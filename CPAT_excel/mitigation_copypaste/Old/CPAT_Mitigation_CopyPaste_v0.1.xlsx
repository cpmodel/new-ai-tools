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ettings" sheetId="2" state="visible" r:id="rId2"/>
    <sheet xmlns:r="http://schemas.openxmlformats.org/officeDocument/2006/relationships" name="Mitigation" sheetId="3" state="visible" r:id="rId3"/>
    <sheet xmlns:r="http://schemas.openxmlformats.org/officeDocument/2006/relationships" name="Mapping" sheetId="4" state="visible" r:id="rId4"/>
    <sheet xmlns:r="http://schemas.openxmlformats.org/officeDocument/2006/relationships" name="DATA-&gt;" sheetId="5" state="visible" r:id="rId5"/>
    <sheet xmlns:r="http://schemas.openxmlformats.org/officeDocument/2006/relationships" name="Countries" sheetId="6" state="visible" r:id="rId6"/>
    <sheet xmlns:r="http://schemas.openxmlformats.org/officeDocument/2006/relationships" name="Elasticities" sheetId="7" state="visible" r:id="rId7"/>
    <sheet xmlns:r="http://schemas.openxmlformats.org/officeDocument/2006/relationships" name="Prices_dom" sheetId="8" state="visible" r:id="rId8"/>
    <sheet xmlns:r="http://schemas.openxmlformats.org/officeDocument/2006/relationships" name="EnergyCons" sheetId="9" state="visible" r:id="rId9"/>
    <sheet xmlns:r="http://schemas.openxmlformats.org/officeDocument/2006/relationships" name="WEO" sheetId="10" state="visible" r:id="rId10"/>
    <sheet xmlns:r="http://schemas.openxmlformats.org/officeDocument/2006/relationships" name="EF_GHG" sheetId="11" state="visible" r:id="rId11"/>
  </sheets>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0.000"/>
    <numFmt numFmtId="167" formatCode="#,##0.0"/>
  </numFmts>
  <fonts count="4">
    <font>
      <name val="Calibri"/>
      <family val="2"/>
      <color theme="1"/>
      <sz val="11"/>
      <scheme val="minor"/>
    </font>
    <font>
      <name val="Arial"/>
      <b val="1"/>
      <color rgb="00FFFFFF"/>
      <sz val="14"/>
    </font>
    <font>
      <name val="Arial"/>
      <sz val="9"/>
    </font>
    <font>
      <name val="Arial"/>
      <b val="1"/>
      <sz val="9"/>
    </font>
  </fonts>
  <fills count="9">
    <fill>
      <patternFill/>
    </fill>
    <fill>
      <patternFill patternType="gray125"/>
    </fill>
    <fill>
      <patternFill patternType="solid">
        <fgColor rgb="0000B050"/>
        <bgColor rgb="0000B050"/>
      </patternFill>
    </fill>
    <fill>
      <patternFill patternType="solid">
        <fgColor rgb="00EBF1DE"/>
        <bgColor rgb="00EBF1DE"/>
      </patternFill>
    </fill>
    <fill>
      <patternFill patternType="solid">
        <fgColor rgb="0092D050"/>
        <bgColor rgb="0092D050"/>
      </patternFill>
    </fill>
    <fill>
      <patternFill patternType="solid">
        <fgColor rgb="00DDD9C4"/>
        <bgColor rgb="00DDD9C4"/>
      </patternFill>
    </fill>
    <fill>
      <patternFill patternType="solid">
        <fgColor rgb="00DCE6F1"/>
        <bgColor rgb="00DCE6F1"/>
      </patternFill>
    </fill>
    <fill>
      <patternFill patternType="solid">
        <fgColor rgb="00F2F2F2"/>
        <bgColor rgb="00F2F2F2"/>
      </patternFill>
    </fill>
    <fill>
      <patternFill patternType="solid">
        <fgColor rgb="00FFF2CC"/>
        <bgColor rgb="00FFF2CC"/>
      </patternFill>
    </fill>
  </fills>
  <borders count="2">
    <border>
      <left/>
      <right/>
      <top/>
      <bottom/>
      <diagonal/>
    </border>
    <border>
      <top style="thin">
        <color rgb="00808080"/>
      </top>
    </border>
  </borders>
  <cellStyleXfs count="1">
    <xf numFmtId="0" fontId="0" fillId="0" borderId="0"/>
  </cellStyleXfs>
  <cellXfs count="29">
    <xf numFmtId="0" fontId="0" fillId="0" borderId="0" pivotButton="0" quotePrefix="0" xfId="0"/>
    <xf numFmtId="0" fontId="1" fillId="2" borderId="0" pivotButton="0" quotePrefix="0" xfId="0"/>
    <xf numFmtId="0" fontId="0" fillId="2" borderId="0" pivotButton="0" quotePrefix="0" xfId="0"/>
    <xf numFmtId="0" fontId="3" fillId="0" borderId="0" applyAlignment="1" pivotButton="0" quotePrefix="0" xfId="0">
      <alignment vertical="top"/>
    </xf>
    <xf numFmtId="0" fontId="2" fillId="0" borderId="0" applyAlignment="1" pivotButton="0" quotePrefix="0" xfId="0">
      <alignment vertical="top" wrapText="1"/>
    </xf>
    <xf numFmtId="0" fontId="2" fillId="0" borderId="0" pivotButton="0" quotePrefix="0" xfId="0"/>
    <xf numFmtId="0" fontId="2" fillId="3" borderId="0" pivotButton="0" quotePrefix="0" xfId="0"/>
    <xf numFmtId="0" fontId="3" fillId="3" borderId="0" pivotButton="0" quotePrefix="0" xfId="0"/>
    <xf numFmtId="0" fontId="3" fillId="0" borderId="0" pivotButton="0" quotePrefix="0" xfId="0"/>
    <xf numFmtId="0" fontId="3" fillId="4" borderId="0" pivotButton="0" quotePrefix="0" xfId="0"/>
    <xf numFmtId="0" fontId="0" fillId="4" borderId="0" pivotButton="0" quotePrefix="0" xfId="0"/>
    <xf numFmtId="0" fontId="3" fillId="3" borderId="1" pivotButton="0" quotePrefix="0" xfId="0"/>
    <xf numFmtId="1" fontId="3" fillId="5" borderId="1" pivotButton="0" quotePrefix="0" xfId="0"/>
    <xf numFmtId="1" fontId="3" fillId="0" borderId="1" pivotButton="0" quotePrefix="0" xfId="0"/>
    <xf numFmtId="1" fontId="3" fillId="5" borderId="0" pivotButton="0" quotePrefix="0" xfId="0"/>
    <xf numFmtId="1" fontId="3" fillId="0" borderId="0" pivotButton="0" quotePrefix="0" xfId="0"/>
    <xf numFmtId="164" fontId="2" fillId="5" borderId="0" pivotButton="0" quotePrefix="0" xfId="0"/>
    <xf numFmtId="164" fontId="2" fillId="0" borderId="0" pivotButton="0" quotePrefix="0" xfId="0"/>
    <xf numFmtId="165" fontId="2" fillId="3" borderId="0" pivotButton="0" quotePrefix="0" xfId="0"/>
    <xf numFmtId="0" fontId="2" fillId="6" borderId="0" pivotButton="0" quotePrefix="0" xfId="0"/>
    <xf numFmtId="166" fontId="2" fillId="3" borderId="0" pivotButton="0" quotePrefix="0" xfId="0"/>
    <xf numFmtId="0" fontId="2" fillId="7" borderId="0" pivotButton="0" quotePrefix="0" xfId="0"/>
    <xf numFmtId="166" fontId="2" fillId="0" borderId="0" pivotButton="0" quotePrefix="0" xfId="0"/>
    <xf numFmtId="166" fontId="2" fillId="5" borderId="0" pivotButton="0" quotePrefix="0" xfId="0"/>
    <xf numFmtId="167" fontId="2" fillId="5" borderId="0" pivotButton="0" quotePrefix="0" xfId="0"/>
    <xf numFmtId="167" fontId="2" fillId="0" borderId="0" pivotButton="0" quotePrefix="0" xfId="0"/>
    <xf numFmtId="166" fontId="2" fillId="8" borderId="0" pivotButton="0" quotePrefix="0" xfId="0"/>
    <xf numFmtId="10" fontId="2" fillId="5" borderId="0" pivotButton="0" quotePrefix="0" xfId="0"/>
    <xf numFmtId="1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C19"/>
  <sheetViews>
    <sheetView workbookViewId="0">
      <selection activeCell="A1" sqref="A1"/>
    </sheetView>
  </sheetViews>
  <sheetFormatPr baseColWidth="8" defaultRowHeight="15"/>
  <cols>
    <col width="24" customWidth="1" min="1" max="1"/>
    <col width="120" customWidth="1" min="2" max="2"/>
  </cols>
  <sheetData>
    <row r="2">
      <c r="A2" s="1" t="inlineStr">
        <is>
          <t>CPAT mitigation module - copy-pasteable prototype v0.1</t>
        </is>
      </c>
      <c r="B2" s="2" t="n"/>
      <c r="C2" s="2" t="n"/>
    </row>
    <row r="4">
      <c r="A4" s="3" t="inlineStr">
        <is>
          <t>Purpose</t>
        </is>
      </c>
      <c r="B4" s="4" t="inlineStr">
        <is>
          <t>Auditable, copy-pasteable replacement of the CPAT mitigation price -&gt; fuel-use chain. Every block has one formula (same R1C1 text) across all its projection cells; a whole scenario group copies to the next group position and keeps working.</t>
        </is>
      </c>
    </row>
    <row r="5">
      <c r="A5" s="3" t="inlineStr">
        <is>
          <t>Status</t>
        </is>
      </c>
      <c r="B5" s="4" t="inlineStr">
        <is>
          <t>v0.1 prototype. Price -&gt; fuel use only (no emissions, power or revenue yet).</t>
        </is>
      </c>
    </row>
    <row r="6">
      <c r="A6" s="3" t="inlineStr">
        <is>
          <t>Layout (design 2)</t>
        </is>
      </c>
      <c r="B6" s="4" t="inlineStr">
        <is>
          <t>Columns: descriptors A-J (NORMS 1.1), keys K-P, parameter sets Q-AJ, then one column group per scenario (15 columns: label, base year, 2023-2035). Rows: macro rows 4-8, then blocks.</t>
        </is>
      </c>
    </row>
    <row r="7">
      <c r="A7" s="3" t="inlineStr">
        <is>
          <t>Nesting</t>
        </is>
      </c>
      <c r="B7" s="4" t="inlineStr">
        <is>
          <t>Across: scenario (outer) &gt; year (inner). Down: variable block (outer) &gt; subsector &gt; fuel (inner). 16 CPAT energy-use subsectors x 8 fuels = 128 rows per block.</t>
        </is>
      </c>
    </row>
    <row r="8">
      <c r="A8" s="3" t="inlineStr">
        <is>
          <t>Blocks</t>
        </is>
      </c>
      <c r="B8" s="4" t="inlineStr">
        <is>
          <t>Pre-tax price (row 10), Tax (row 140), Post-tax price (row 270), Fuel use (row 400), Totals (row 530).</t>
        </is>
      </c>
    </row>
    <row r="9">
      <c r="A9" s="3" t="inlineStr">
        <is>
          <t>Pre-tax price</t>
        </is>
      </c>
      <c r="B9" s="4" t="inlineStr">
        <is>
          <t>base year: Prices_dom supply cost (mit.sp) / GJ per price unit; then p(t) = p(t-1) x (1 + P1 growth).</t>
        </is>
      </c>
    </row>
    <row r="10">
      <c r="A10" s="3" t="inlineStr">
        <is>
          <t>Tax</t>
        </is>
      </c>
      <c r="B10" s="4" t="inlineStr">
        <is>
          <t>tax(t) = P1 base tax + carbon price(t) x P2 EF x P3 coverage. Base tax = (retail - supply cost) / GJ per unit, so it includes existing excise, subsidies and VAT.</t>
        </is>
      </c>
    </row>
    <row r="11">
      <c r="A11" s="3" t="inlineStr">
        <is>
          <t>Post-tax price</t>
        </is>
      </c>
      <c r="B11" s="4" t="inlineStr">
        <is>
          <t>pre-tax + tax (same row in the blocks above, fixed offsets).</t>
        </is>
      </c>
    </row>
    <row r="12">
      <c r="A12" s="3" t="inlineStr">
        <is>
          <t>Fuel use</t>
        </is>
      </c>
      <c r="B12" s="4" t="inlineStr">
        <is>
          <t>F(t) = F(t-1) x (1/(1+alpha))^(1+eps_U) x (1+g)^eps_Y x (p(t)/p(t-1))^eps_U x (p(t)/p(t-1))^(eps_F(1+eps_U)) - CPAT documentation 3.3.3, without the Covid factor and shadow price.</t>
        </is>
      </c>
    </row>
    <row r="13">
      <c r="A13" s="3" t="inlineStr">
        <is>
          <t>Parameters</t>
        </is>
      </c>
      <c r="B13" s="4" t="inlineStr">
        <is>
          <t>Each row has 4 parameter sets of 5 slots (P5 = buffer). Set 1 holds the lookups; sets 2-4 link to set 1 - overwrite a cell to make a parameter scenario-specific. Formulas pick the set with INDEX(row, (scenario number - 1) x 5 + slot).</t>
        </is>
      </c>
    </row>
    <row r="14">
      <c r="A14" s="3" t="inlineStr">
        <is>
          <t>Lookups by country</t>
        </is>
      </c>
      <c r="B14" s="4" t="inlineStr">
        <is>
          <t>Settings!C4 selects the country. Elasticities (via income group) and prices cover all CPAT countries; base-year energy use, GDP growth and EFs are Egypt only so far (other countries return #N/A until their rows are added).</t>
        </is>
      </c>
    </row>
    <row r="15">
      <c r="A15" s="3" t="inlineStr">
        <is>
          <t>Add a scenario</t>
        </is>
      </c>
      <c r="B15" s="4" t="inlineStr">
        <is>
          <t>(1) Copy columns AZ:BN (a whole group) and paste at the next free group position (column BO). (2) Type the new scenario number in its label cell (row 4). (3) Edit the carbon prices in row 8. (4) Optionally overwrite parameter set N on the left. Up to 4 scenarios fit without inserting parameter columns.</t>
        </is>
      </c>
    </row>
    <row r="16">
      <c r="A16" s="3" t="inlineStr">
        <is>
          <t>Colours</t>
        </is>
      </c>
      <c r="B16" s="4" t="inlineStr">
        <is>
          <t>Green = input; tan = base-year column; light blue = codes; grey = unused parameter slot; yellow = check (NORMS section 2).</t>
        </is>
      </c>
    </row>
    <row r="17">
      <c r="A17" s="3" t="inlineStr">
        <is>
          <t>Deviation from NORMS 1.1</t>
        </is>
      </c>
      <c r="B17" s="4" t="inlineStr">
        <is>
          <t>Years do not start in column K: keys, parameter sets and scenario groups follow the descriptor columns (design 2).</t>
        </is>
      </c>
    </row>
    <row r="18">
      <c r="A18" s="3" t="inlineStr">
        <is>
          <t>Data</t>
        </is>
      </c>
      <c r="B18" s="4" t="inlineStr">
        <is>
          <t>Data sheets: Countries, Elasticities, Prices_dom, EnergyCons, WEO, EF_GHG; mappings in Mapping. Built by build_v0_1.py from data/*.csv (extract_data_v0_1.py).</t>
        </is>
      </c>
    </row>
    <row r="19">
      <c r="A19" s="3" t="inlineStr">
        <is>
          <t>Checks</t>
        </is>
      </c>
      <c r="B19" s="4" t="inlineStr">
        <is>
          <t>Row 558 (sum by fuel - sum by subsector) should be 0. check_v0_1.py tests formula uniformity, the scenario-copy behaviour and an independent recomputation.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2:F18"/>
  <sheetViews>
    <sheetView workbookViewId="0">
      <selection activeCell="A1" sqref="A1"/>
    </sheetView>
  </sheetViews>
  <sheetFormatPr baseColWidth="8" defaultRowHeight="15"/>
  <cols>
    <col width="34" customWidth="1" min="2" max="2"/>
    <col width="34" customWidth="1" min="3" max="3"/>
    <col width="70" customWidth="1" min="4" max="4"/>
  </cols>
  <sheetData>
    <row r="2">
      <c r="A2" s="1" t="inlineStr">
        <is>
          <t>Settings</t>
        </is>
      </c>
      <c r="B2" s="2" t="n"/>
      <c r="C2" s="2" t="n"/>
      <c r="D2" s="2" t="n"/>
      <c r="E2" s="2" t="n"/>
      <c r="F2" s="2" t="n"/>
    </row>
    <row r="4">
      <c r="B4" s="5" t="inlineStr">
        <is>
          <t>Country code</t>
        </is>
      </c>
      <c r="C4" s="6" t="inlineStr">
        <is>
          <t>EGY</t>
        </is>
      </c>
    </row>
    <row r="5">
      <c r="B5" s="5" t="inlineStr">
        <is>
          <t>Country name</t>
        </is>
      </c>
      <c r="C5" s="5">
        <f>INDEX(Countries!$B$4:$B$1000,MATCH($C$4,Countries!$A$4:$A$1000,0))</f>
        <v/>
      </c>
    </row>
    <row r="6">
      <c r="B6" s="5" t="inlineStr">
        <is>
          <t>Income group (selects elasticities)</t>
        </is>
      </c>
      <c r="C6" s="5">
        <f>INDEX(Countries!$D$4:$D$1000,MATCH($C$4,Countries!$A$4:$A$1000,0))</f>
        <v/>
      </c>
    </row>
    <row r="7">
      <c r="B7" s="5" t="inlineStr">
        <is>
          <t>Base year</t>
        </is>
      </c>
      <c r="C7" s="6" t="n">
        <v>2022</v>
      </c>
    </row>
    <row r="9">
      <c r="B9" s="7" t="inlineStr">
        <is>
          <t>Scenario number</t>
        </is>
      </c>
      <c r="C9" s="7" t="inlineStr">
        <is>
          <t>Scenario name</t>
        </is>
      </c>
    </row>
    <row r="10">
      <c r="B10" s="5" t="n">
        <v>1</v>
      </c>
      <c r="C10" s="6" t="inlineStr">
        <is>
          <t>Baseline (no carbon price)</t>
        </is>
      </c>
    </row>
    <row r="11">
      <c r="B11" s="5" t="n">
        <v>2</v>
      </c>
      <c r="C11" s="6" t="inlineStr">
        <is>
          <t>Carbon price $20/tCO2 from 2027</t>
        </is>
      </c>
    </row>
    <row r="12">
      <c r="B12" s="5" t="n">
        <v>3</v>
      </c>
      <c r="C12" s="6" t="inlineStr">
        <is>
          <t>Spare (copy a group here)</t>
        </is>
      </c>
    </row>
    <row r="13">
      <c r="B13" s="5" t="n">
        <v>4</v>
      </c>
      <c r="C13" s="6" t="inlineStr">
        <is>
          <t>Spare (copy a group here)</t>
        </is>
      </c>
    </row>
    <row r="16">
      <c r="B16" s="8" t="inlineStr">
        <is>
          <t>Version log</t>
        </is>
      </c>
    </row>
    <row r="17">
      <c r="B17" s="7" t="inlineStr">
        <is>
          <t>Version</t>
        </is>
      </c>
      <c r="C17" s="7" t="inlineStr">
        <is>
          <t>Date</t>
        </is>
      </c>
      <c r="D17" s="7" t="inlineStr">
        <is>
          <t>Description</t>
        </is>
      </c>
      <c r="E17" s="7" t="inlineStr">
        <is>
          <t>Max abs regression diff</t>
        </is>
      </c>
    </row>
    <row r="18">
      <c r="B18" s="5" t="inlineStr">
        <is>
          <t>0.1</t>
        </is>
      </c>
      <c r="C18" s="5" t="inlineStr">
        <is>
          <t>2026-10-08</t>
        </is>
      </c>
      <c r="D18" s="5" t="inlineStr">
        <is>
          <t>First build: design 2 price -&gt; fuel-use prototype, Egypt base data, 2 scenarios.</t>
        </is>
      </c>
      <c r="E18" s="5" t="inlineStr">
        <is>
          <t>n/a (first version)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N561"/>
  <sheetViews>
    <sheetView workbookViewId="0">
      <pane xSplit="10" ySplit="9" topLeftCell="K10" activePane="bottomRight" state="frozen"/>
      <selection pane="topRight"/>
      <selection pane="bottomLeft"/>
      <selection pane="bottomRight" activeCell="A1" sqref="A1"/>
    </sheetView>
  </sheetViews>
  <sheetFormatPr baseColWidth="8" defaultRowHeight="15"/>
  <cols>
    <col width="3" customWidth="1" min="1" max="1"/>
    <col width="5" customWidth="1" min="2" max="2"/>
    <col width="5" customWidth="1" min="3" max="3"/>
    <col width="40" customWidth="1" min="4" max="4"/>
    <col width="7" customWidth="1" min="5" max="5"/>
    <col width="14" customWidth="1" min="6" max="6"/>
    <col width="13" customWidth="1" min="7" max="7"/>
    <col width="15" customWidth="1" min="8" max="8"/>
    <col width="6" customWidth="1" min="9" max="9"/>
    <col width="7"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outlineLevel="1" width="8" customWidth="1" min="22" max="22"/>
    <col outlineLevel="1" width="8" customWidth="1" min="23" max="23"/>
    <col outlineLevel="1" width="8" customWidth="1" min="24" max="24"/>
    <col outlineLevel="1" width="8" customWidth="1" min="25" max="25"/>
    <col outlineLevel="1" width="8" customWidth="1" min="26" max="26"/>
    <col outlineLevel="1" width="8" customWidth="1" min="27" max="27"/>
    <col outlineLevel="1" width="8" customWidth="1" min="28" max="28"/>
    <col outlineLevel="1" width="8" customWidth="1" min="29" max="29"/>
    <col outlineLevel="1" width="8" customWidth="1" min="30" max="30"/>
    <col outlineLevel="1" width="8" customWidth="1" min="31" max="31"/>
    <col outlineLevel="1" width="8" customWidth="1" min="32" max="32"/>
    <col outlineLevel="1" width="8" customWidth="1" min="33" max="33"/>
    <col outlineLevel="1" width="8" customWidth="1" min="34" max="34"/>
    <col outlineLevel="1" width="8" customWidth="1" min="35" max="35"/>
    <col outlineLevel="1" width="8" customWidth="1" min="36" max="36"/>
    <col width="7"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 width="9" customWidth="1" min="51" max="51"/>
    <col width="7" customWidth="1" min="52" max="52"/>
    <col width="9" customWidth="1" min="53" max="53"/>
    <col width="9" customWidth="1" min="54" max="54"/>
    <col width="9" customWidth="1" min="55" max="55"/>
    <col width="9" customWidth="1" min="56" max="56"/>
    <col width="9" customWidth="1" min="57" max="57"/>
    <col width="9" customWidth="1" min="58" max="58"/>
    <col width="9" customWidth="1" min="59" max="59"/>
    <col width="9" customWidth="1" min="60" max="60"/>
    <col width="9" customWidth="1" min="61" max="61"/>
    <col width="9" customWidth="1" min="62" max="62"/>
    <col width="9" customWidth="1" min="63" max="63"/>
    <col width="9" customWidth="1" min="64" max="64"/>
    <col width="9" customWidth="1" min="65" max="65"/>
    <col width="9" customWidth="1" min="66" max="66"/>
  </cols>
  <sheetData>
    <row r="1">
      <c r="A1" s="8" t="inlineStr"/>
      <c r="B1" s="8" t="inlineStr">
        <is>
          <t>Fuel</t>
        </is>
      </c>
      <c r="C1" s="8" t="inlineStr">
        <is>
          <t>Sector</t>
        </is>
      </c>
      <c r="D1" s="8" t="inlineStr">
        <is>
          <t>Description</t>
        </is>
      </c>
      <c r="E1" s="8" t="inlineStr">
        <is>
          <t>Unit</t>
        </is>
      </c>
      <c r="F1" s="8" t="inlineStr">
        <is>
          <t>Source</t>
        </is>
      </c>
      <c r="G1" s="8" t="inlineStr">
        <is>
          <t>Input Code</t>
        </is>
      </c>
      <c r="H1" s="8" t="inlineStr">
        <is>
          <t>Output Code</t>
        </is>
      </c>
      <c r="I1" s="8" t="inlineStr">
        <is>
          <t>Note</t>
        </is>
      </c>
      <c r="J1" s="8" t="inlineStr">
        <is>
          <t>Helper (group)</t>
        </is>
      </c>
      <c r="K1" s="8" t="inlineStr">
        <is>
          <t>Elasticity sector</t>
        </is>
      </c>
      <c r="L1" s="8" t="inlineStr">
        <is>
          <t>Elasticity fuel</t>
        </is>
      </c>
      <c r="M1" s="8" t="inlineStr">
        <is>
          <t>AEEI fuel</t>
        </is>
      </c>
      <c r="N1" s="8" t="inlineStr">
        <is>
          <t>Price code</t>
        </is>
      </c>
      <c r="O1" s="8" t="inlineStr">
        <is>
          <t>EF sector</t>
        </is>
      </c>
      <c r="P1" s="8" t="inlineStr">
        <is>
          <t>GJ per price unit</t>
        </is>
      </c>
      <c r="Q1" s="8" t="inlineStr">
        <is>
          <t>S1 P1</t>
        </is>
      </c>
      <c r="R1" s="8" t="inlineStr">
        <is>
          <t>S1 P2</t>
        </is>
      </c>
      <c r="S1" s="8" t="inlineStr">
        <is>
          <t>S1 P3</t>
        </is>
      </c>
      <c r="T1" s="8" t="inlineStr">
        <is>
          <t>S1 P4</t>
        </is>
      </c>
      <c r="U1" s="8" t="inlineStr">
        <is>
          <t>S1 P5</t>
        </is>
      </c>
      <c r="V1" s="8" t="inlineStr">
        <is>
          <t>S2 P1</t>
        </is>
      </c>
      <c r="W1" s="8" t="inlineStr">
        <is>
          <t>S2 P2</t>
        </is>
      </c>
      <c r="X1" s="8" t="inlineStr">
        <is>
          <t>S2 P3</t>
        </is>
      </c>
      <c r="Y1" s="8" t="inlineStr">
        <is>
          <t>S2 P4</t>
        </is>
      </c>
      <c r="Z1" s="8" t="inlineStr">
        <is>
          <t>S2 P5</t>
        </is>
      </c>
      <c r="AA1" s="8" t="inlineStr">
        <is>
          <t>S3 P1</t>
        </is>
      </c>
      <c r="AB1" s="8" t="inlineStr">
        <is>
          <t>S3 P2</t>
        </is>
      </c>
      <c r="AC1" s="8" t="inlineStr">
        <is>
          <t>S3 P3</t>
        </is>
      </c>
      <c r="AD1" s="8" t="inlineStr">
        <is>
          <t>S3 P4</t>
        </is>
      </c>
      <c r="AE1" s="8" t="inlineStr">
        <is>
          <t>S3 P5</t>
        </is>
      </c>
      <c r="AF1" s="8" t="inlineStr">
        <is>
          <t>S4 P1</t>
        </is>
      </c>
      <c r="AG1" s="8" t="inlineStr">
        <is>
          <t>S4 P2</t>
        </is>
      </c>
      <c r="AH1" s="8" t="inlineStr">
        <is>
          <t>S4 P3</t>
        </is>
      </c>
      <c r="AI1" s="8" t="inlineStr">
        <is>
          <t>S4 P4</t>
        </is>
      </c>
      <c r="AJ1" s="8" t="inlineStr">
        <is>
          <t>S4 P5</t>
        </is>
      </c>
      <c r="AK1" s="8" t="inlineStr">
        <is>
          <t>Scenario group 1</t>
        </is>
      </c>
      <c r="AZ1" s="8" t="inlineStr">
        <is>
          <t>Scenario group 2</t>
        </is>
      </c>
    </row>
    <row r="2">
      <c r="A2" s="1" t="inlineStr">
        <is>
          <t>Mitigation module - price to fuel use (copy-pasteable, design 2)</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2" t="n"/>
      <c r="AT2" s="2" t="n"/>
      <c r="AU2" s="2" t="n"/>
      <c r="AV2" s="2" t="n"/>
      <c r="AW2" s="2" t="n"/>
      <c r="AX2" s="2" t="n"/>
      <c r="AY2" s="2" t="n"/>
      <c r="AZ2" s="2" t="n"/>
      <c r="BA2" s="2" t="n"/>
      <c r="BB2" s="2" t="n"/>
      <c r="BC2" s="2" t="n"/>
      <c r="BD2" s="2" t="n"/>
      <c r="BE2" s="2" t="n"/>
      <c r="BF2" s="2" t="n"/>
      <c r="BG2" s="2" t="n"/>
      <c r="BH2" s="2" t="n"/>
      <c r="BI2" s="2" t="n"/>
      <c r="BJ2" s="2" t="n"/>
      <c r="BK2" s="2" t="n"/>
      <c r="BL2" s="2" t="n"/>
      <c r="BM2" s="2" t="n"/>
      <c r="BN2" s="2" t="n"/>
    </row>
    <row r="3">
      <c r="A3" s="9" t="inlineStr">
        <is>
          <t>Scenario and macro inputs (one column group per scenario; copy a whole group to add a scenario)</t>
        </is>
      </c>
      <c r="B3" s="10" t="n"/>
      <c r="C3" s="10" t="n"/>
      <c r="D3" s="10" t="n"/>
      <c r="E3" s="10" t="n"/>
      <c r="F3" s="10" t="n"/>
      <c r="G3" s="10" t="n"/>
      <c r="H3" s="10" t="n"/>
      <c r="I3" s="10" t="n"/>
      <c r="J3" s="10" t="n"/>
      <c r="K3" s="10" t="n"/>
      <c r="L3" s="10" t="n"/>
      <c r="M3" s="10" t="n"/>
      <c r="N3" s="10" t="n"/>
      <c r="O3" s="10" t="n"/>
      <c r="P3" s="10" t="n"/>
      <c r="Q3" s="10" t="n"/>
      <c r="R3" s="10" t="n"/>
      <c r="S3" s="10" t="n"/>
      <c r="T3" s="10" t="n"/>
      <c r="U3" s="10" t="n"/>
      <c r="V3" s="10" t="n"/>
      <c r="W3" s="10" t="n"/>
      <c r="X3" s="10" t="n"/>
      <c r="Y3" s="10" t="n"/>
      <c r="Z3" s="10" t="n"/>
      <c r="AA3" s="10" t="n"/>
      <c r="AB3" s="10" t="n"/>
      <c r="AC3" s="10" t="n"/>
      <c r="AD3" s="10" t="n"/>
      <c r="AE3" s="10" t="n"/>
      <c r="AF3" s="10" t="n"/>
      <c r="AG3" s="10" t="n"/>
      <c r="AH3" s="10" t="n"/>
      <c r="AI3" s="10" t="n"/>
      <c r="AJ3" s="10" t="n"/>
      <c r="AK3" s="10" t="n"/>
      <c r="AL3" s="10" t="n"/>
      <c r="AM3" s="10" t="n"/>
      <c r="AN3" s="10" t="n"/>
      <c r="AO3" s="10" t="n"/>
      <c r="AP3" s="10" t="n"/>
      <c r="AQ3" s="10" t="n"/>
      <c r="AR3" s="10" t="n"/>
      <c r="AS3" s="10" t="n"/>
      <c r="AT3" s="10" t="n"/>
      <c r="AU3" s="10" t="n"/>
      <c r="AV3" s="10" t="n"/>
      <c r="AW3" s="10" t="n"/>
      <c r="AX3" s="10" t="n"/>
      <c r="AY3" s="10" t="n"/>
      <c r="AZ3" s="10" t="n"/>
      <c r="BA3" s="10" t="n"/>
      <c r="BB3" s="10" t="n"/>
      <c r="BC3" s="10" t="n"/>
      <c r="BD3" s="10" t="n"/>
      <c r="BE3" s="10" t="n"/>
      <c r="BF3" s="10" t="n"/>
      <c r="BG3" s="10" t="n"/>
      <c r="BH3" s="10" t="n"/>
      <c r="BI3" s="10" t="n"/>
      <c r="BJ3" s="10" t="n"/>
      <c r="BK3" s="10" t="n"/>
      <c r="BL3" s="10" t="n"/>
      <c r="BM3" s="10" t="n"/>
      <c r="BN3" s="10" t="n"/>
    </row>
    <row r="4">
      <c r="D4" s="8" t="inlineStr">
        <is>
          <t>Scenario number</t>
        </is>
      </c>
      <c r="E4" s="5" t="inlineStr">
        <is>
          <t>no.</t>
        </is>
      </c>
      <c r="AK4" s="11" t="n">
        <v>1</v>
      </c>
      <c r="AL4" s="12">
        <f>AK4</f>
        <v/>
      </c>
      <c r="AM4" s="13">
        <f>AL4</f>
        <v/>
      </c>
      <c r="AN4" s="13">
        <f>AM4</f>
        <v/>
      </c>
      <c r="AO4" s="13">
        <f>AN4</f>
        <v/>
      </c>
      <c r="AP4" s="13">
        <f>AO4</f>
        <v/>
      </c>
      <c r="AQ4" s="13">
        <f>AP4</f>
        <v/>
      </c>
      <c r="AR4" s="13">
        <f>AQ4</f>
        <v/>
      </c>
      <c r="AS4" s="13">
        <f>AR4</f>
        <v/>
      </c>
      <c r="AT4" s="13">
        <f>AS4</f>
        <v/>
      </c>
      <c r="AU4" s="13">
        <f>AT4</f>
        <v/>
      </c>
      <c r="AV4" s="13">
        <f>AU4</f>
        <v/>
      </c>
      <c r="AW4" s="13">
        <f>AV4</f>
        <v/>
      </c>
      <c r="AX4" s="13">
        <f>AW4</f>
        <v/>
      </c>
      <c r="AY4" s="13">
        <f>AX4</f>
        <v/>
      </c>
      <c r="AZ4" s="11" t="n">
        <v>2</v>
      </c>
      <c r="BA4" s="12">
        <f>AZ4</f>
        <v/>
      </c>
      <c r="BB4" s="13">
        <f>BA4</f>
        <v/>
      </c>
      <c r="BC4" s="13">
        <f>BB4</f>
        <v/>
      </c>
      <c r="BD4" s="13">
        <f>BC4</f>
        <v/>
      </c>
      <c r="BE4" s="13">
        <f>BD4</f>
        <v/>
      </c>
      <c r="BF4" s="13">
        <f>BE4</f>
        <v/>
      </c>
      <c r="BG4" s="13">
        <f>BF4</f>
        <v/>
      </c>
      <c r="BH4" s="13">
        <f>BG4</f>
        <v/>
      </c>
      <c r="BI4" s="13">
        <f>BH4</f>
        <v/>
      </c>
      <c r="BJ4" s="13">
        <f>BI4</f>
        <v/>
      </c>
      <c r="BK4" s="13">
        <f>BJ4</f>
        <v/>
      </c>
      <c r="BL4" s="13">
        <f>BK4</f>
        <v/>
      </c>
      <c r="BM4" s="13">
        <f>BL4</f>
        <v/>
      </c>
      <c r="BN4" s="13">
        <f>BM4</f>
        <v/>
      </c>
    </row>
    <row r="5">
      <c r="D5" s="8" t="inlineStr">
        <is>
          <t>Year</t>
        </is>
      </c>
      <c r="E5" s="5" t="inlineStr">
        <is>
          <t>year</t>
        </is>
      </c>
      <c r="AK5" s="5" t="inlineStr">
        <is>
          <t>base -&gt;</t>
        </is>
      </c>
      <c r="AL5" s="14">
        <f>Settings!$C$7</f>
        <v/>
      </c>
      <c r="AM5" s="15">
        <f>AL5+1</f>
        <v/>
      </c>
      <c r="AN5" s="15">
        <f>AM5+1</f>
        <v/>
      </c>
      <c r="AO5" s="15">
        <f>AN5+1</f>
        <v/>
      </c>
      <c r="AP5" s="15">
        <f>AO5+1</f>
        <v/>
      </c>
      <c r="AQ5" s="15">
        <f>AP5+1</f>
        <v/>
      </c>
      <c r="AR5" s="15">
        <f>AQ5+1</f>
        <v/>
      </c>
      <c r="AS5" s="15">
        <f>AR5+1</f>
        <v/>
      </c>
      <c r="AT5" s="15">
        <f>AS5+1</f>
        <v/>
      </c>
      <c r="AU5" s="15">
        <f>AT5+1</f>
        <v/>
      </c>
      <c r="AV5" s="15">
        <f>AU5+1</f>
        <v/>
      </c>
      <c r="AW5" s="15">
        <f>AV5+1</f>
        <v/>
      </c>
      <c r="AX5" s="15">
        <f>AW5+1</f>
        <v/>
      </c>
      <c r="AY5" s="15">
        <f>AX5+1</f>
        <v/>
      </c>
      <c r="AZ5" s="5" t="inlineStr">
        <is>
          <t>base -&gt;</t>
        </is>
      </c>
      <c r="BA5" s="14">
        <f>Settings!$C$7</f>
        <v/>
      </c>
      <c r="BB5" s="15">
        <f>BA5+1</f>
        <v/>
      </c>
      <c r="BC5" s="15">
        <f>BB5+1</f>
        <v/>
      </c>
      <c r="BD5" s="15">
        <f>BC5+1</f>
        <v/>
      </c>
      <c r="BE5" s="15">
        <f>BD5+1</f>
        <v/>
      </c>
      <c r="BF5" s="15">
        <f>BE5+1</f>
        <v/>
      </c>
      <c r="BG5" s="15">
        <f>BF5+1</f>
        <v/>
      </c>
      <c r="BH5" s="15">
        <f>BG5+1</f>
        <v/>
      </c>
      <c r="BI5" s="15">
        <f>BH5+1</f>
        <v/>
      </c>
      <c r="BJ5" s="15">
        <f>BI5+1</f>
        <v/>
      </c>
      <c r="BK5" s="15">
        <f>BJ5+1</f>
        <v/>
      </c>
      <c r="BL5" s="15">
        <f>BK5+1</f>
        <v/>
      </c>
      <c r="BM5" s="15">
        <f>BL5+1</f>
        <v/>
      </c>
      <c r="BN5" s="15">
        <f>BM5+1</f>
        <v/>
      </c>
    </row>
    <row r="6">
      <c r="D6" s="8" t="inlineStr">
        <is>
          <t>Scenario name</t>
        </is>
      </c>
      <c r="E6" s="5" t="inlineStr"/>
      <c r="AL6" s="8">
        <f>INDEX(Settings!$C$10:$C$13,AL$4)</f>
        <v/>
      </c>
      <c r="BA6" s="8">
        <f>INDEX(Settings!$C$10:$C$13,BA$4)</f>
        <v/>
      </c>
    </row>
    <row r="7">
      <c r="D7" s="8" t="inlineStr">
        <is>
          <t>Real GDP growth</t>
        </is>
      </c>
      <c r="E7" s="5" t="inlineStr">
        <is>
          <t>%</t>
        </is>
      </c>
      <c r="F7" s="5" t="inlineStr">
        <is>
          <t>WEO (by country)</t>
        </is>
      </c>
      <c r="H7" s="5" t="inlineStr">
        <is>
          <t>mit.gdp.pos.pct</t>
        </is>
      </c>
      <c r="AL7" s="16">
        <f>INDEX(WEO!$F$4:$AZ$1000,MATCH(Settings!$C$4&amp;"|gdp_growth",WEO!$A$4:$A$1000,0),MATCH(AL$5,WEO!$F$3:$AZ$3,0))</f>
        <v/>
      </c>
      <c r="AM7" s="17">
        <f>INDEX(WEO!$F$4:$AZ$1000,MATCH(Settings!$C$4&amp;"|gdp_growth",WEO!$A$4:$A$1000,0),MATCH(AM$5,WEO!$F$3:$AZ$3,0))</f>
        <v/>
      </c>
      <c r="AN7" s="17">
        <f>INDEX(WEO!$F$4:$AZ$1000,MATCH(Settings!$C$4&amp;"|gdp_growth",WEO!$A$4:$A$1000,0),MATCH(AN$5,WEO!$F$3:$AZ$3,0))</f>
        <v/>
      </c>
      <c r="AO7" s="17">
        <f>INDEX(WEO!$F$4:$AZ$1000,MATCH(Settings!$C$4&amp;"|gdp_growth",WEO!$A$4:$A$1000,0),MATCH(AO$5,WEO!$F$3:$AZ$3,0))</f>
        <v/>
      </c>
      <c r="AP7" s="17">
        <f>INDEX(WEO!$F$4:$AZ$1000,MATCH(Settings!$C$4&amp;"|gdp_growth",WEO!$A$4:$A$1000,0),MATCH(AP$5,WEO!$F$3:$AZ$3,0))</f>
        <v/>
      </c>
      <c r="AQ7" s="17">
        <f>INDEX(WEO!$F$4:$AZ$1000,MATCH(Settings!$C$4&amp;"|gdp_growth",WEO!$A$4:$A$1000,0),MATCH(AQ$5,WEO!$F$3:$AZ$3,0))</f>
        <v/>
      </c>
      <c r="AR7" s="17">
        <f>INDEX(WEO!$F$4:$AZ$1000,MATCH(Settings!$C$4&amp;"|gdp_growth",WEO!$A$4:$A$1000,0),MATCH(AR$5,WEO!$F$3:$AZ$3,0))</f>
        <v/>
      </c>
      <c r="AS7" s="17">
        <f>INDEX(WEO!$F$4:$AZ$1000,MATCH(Settings!$C$4&amp;"|gdp_growth",WEO!$A$4:$A$1000,0),MATCH(AS$5,WEO!$F$3:$AZ$3,0))</f>
        <v/>
      </c>
      <c r="AT7" s="17">
        <f>INDEX(WEO!$F$4:$AZ$1000,MATCH(Settings!$C$4&amp;"|gdp_growth",WEO!$A$4:$A$1000,0),MATCH(AT$5,WEO!$F$3:$AZ$3,0))</f>
        <v/>
      </c>
      <c r="AU7" s="17">
        <f>INDEX(WEO!$F$4:$AZ$1000,MATCH(Settings!$C$4&amp;"|gdp_growth",WEO!$A$4:$A$1000,0),MATCH(AU$5,WEO!$F$3:$AZ$3,0))</f>
        <v/>
      </c>
      <c r="AV7" s="17">
        <f>INDEX(WEO!$F$4:$AZ$1000,MATCH(Settings!$C$4&amp;"|gdp_growth",WEO!$A$4:$A$1000,0),MATCH(AV$5,WEO!$F$3:$AZ$3,0))</f>
        <v/>
      </c>
      <c r="AW7" s="17">
        <f>INDEX(WEO!$F$4:$AZ$1000,MATCH(Settings!$C$4&amp;"|gdp_growth",WEO!$A$4:$A$1000,0),MATCH(AW$5,WEO!$F$3:$AZ$3,0))</f>
        <v/>
      </c>
      <c r="AX7" s="17">
        <f>INDEX(WEO!$F$4:$AZ$1000,MATCH(Settings!$C$4&amp;"|gdp_growth",WEO!$A$4:$A$1000,0),MATCH(AX$5,WEO!$F$3:$AZ$3,0))</f>
        <v/>
      </c>
      <c r="AY7" s="17">
        <f>INDEX(WEO!$F$4:$AZ$1000,MATCH(Settings!$C$4&amp;"|gdp_growth",WEO!$A$4:$A$1000,0),MATCH(AY$5,WEO!$F$3:$AZ$3,0))</f>
        <v/>
      </c>
      <c r="BA7" s="16">
        <f>INDEX(WEO!$F$4:$AZ$1000,MATCH(Settings!$C$4&amp;"|gdp_growth",WEO!$A$4:$A$1000,0),MATCH(BA$5,WEO!$F$3:$AZ$3,0))</f>
        <v/>
      </c>
      <c r="BB7" s="17">
        <f>INDEX(WEO!$F$4:$AZ$1000,MATCH(Settings!$C$4&amp;"|gdp_growth",WEO!$A$4:$A$1000,0),MATCH(BB$5,WEO!$F$3:$AZ$3,0))</f>
        <v/>
      </c>
      <c r="BC7" s="17">
        <f>INDEX(WEO!$F$4:$AZ$1000,MATCH(Settings!$C$4&amp;"|gdp_growth",WEO!$A$4:$A$1000,0),MATCH(BC$5,WEO!$F$3:$AZ$3,0))</f>
        <v/>
      </c>
      <c r="BD7" s="17">
        <f>INDEX(WEO!$F$4:$AZ$1000,MATCH(Settings!$C$4&amp;"|gdp_growth",WEO!$A$4:$A$1000,0),MATCH(BD$5,WEO!$F$3:$AZ$3,0))</f>
        <v/>
      </c>
      <c r="BE7" s="17">
        <f>INDEX(WEO!$F$4:$AZ$1000,MATCH(Settings!$C$4&amp;"|gdp_growth",WEO!$A$4:$A$1000,0),MATCH(BE$5,WEO!$F$3:$AZ$3,0))</f>
        <v/>
      </c>
      <c r="BF7" s="17">
        <f>INDEX(WEO!$F$4:$AZ$1000,MATCH(Settings!$C$4&amp;"|gdp_growth",WEO!$A$4:$A$1000,0),MATCH(BF$5,WEO!$F$3:$AZ$3,0))</f>
        <v/>
      </c>
      <c r="BG7" s="17">
        <f>INDEX(WEO!$F$4:$AZ$1000,MATCH(Settings!$C$4&amp;"|gdp_growth",WEO!$A$4:$A$1000,0),MATCH(BG$5,WEO!$F$3:$AZ$3,0))</f>
        <v/>
      </c>
      <c r="BH7" s="17">
        <f>INDEX(WEO!$F$4:$AZ$1000,MATCH(Settings!$C$4&amp;"|gdp_growth",WEO!$A$4:$A$1000,0),MATCH(BH$5,WEO!$F$3:$AZ$3,0))</f>
        <v/>
      </c>
      <c r="BI7" s="17">
        <f>INDEX(WEO!$F$4:$AZ$1000,MATCH(Settings!$C$4&amp;"|gdp_growth",WEO!$A$4:$A$1000,0),MATCH(BI$5,WEO!$F$3:$AZ$3,0))</f>
        <v/>
      </c>
      <c r="BJ7" s="17">
        <f>INDEX(WEO!$F$4:$AZ$1000,MATCH(Settings!$C$4&amp;"|gdp_growth",WEO!$A$4:$A$1000,0),MATCH(BJ$5,WEO!$F$3:$AZ$3,0))</f>
        <v/>
      </c>
      <c r="BK7" s="17">
        <f>INDEX(WEO!$F$4:$AZ$1000,MATCH(Settings!$C$4&amp;"|gdp_growth",WEO!$A$4:$A$1000,0),MATCH(BK$5,WEO!$F$3:$AZ$3,0))</f>
        <v/>
      </c>
      <c r="BL7" s="17">
        <f>INDEX(WEO!$F$4:$AZ$1000,MATCH(Settings!$C$4&amp;"|gdp_growth",WEO!$A$4:$A$1000,0),MATCH(BL$5,WEO!$F$3:$AZ$3,0))</f>
        <v/>
      </c>
      <c r="BM7" s="17">
        <f>INDEX(WEO!$F$4:$AZ$1000,MATCH(Settings!$C$4&amp;"|gdp_growth",WEO!$A$4:$A$1000,0),MATCH(BM$5,WEO!$F$3:$AZ$3,0))</f>
        <v/>
      </c>
      <c r="BN7" s="17">
        <f>INDEX(WEO!$F$4:$AZ$1000,MATCH(Settings!$C$4&amp;"|gdp_growth",WEO!$A$4:$A$1000,0),MATCH(BN$5,WEO!$F$3:$AZ$3,0))</f>
        <v/>
      </c>
    </row>
    <row r="8">
      <c r="D8" s="8" t="inlineStr">
        <is>
          <t>Carbon price</t>
        </is>
      </c>
      <c r="E8" s="5" t="inlineStr">
        <is>
          <t>$/tCO2</t>
        </is>
      </c>
      <c r="F8" s="5" t="inlineStr">
        <is>
          <t>Scenario input</t>
        </is>
      </c>
      <c r="H8" s="5" t="inlineStr">
        <is>
          <t>mit.cp</t>
        </is>
      </c>
      <c r="AL8" s="18" t="n">
        <v>0</v>
      </c>
      <c r="AM8" s="18" t="n">
        <v>0</v>
      </c>
      <c r="AN8" s="18" t="n">
        <v>0</v>
      </c>
      <c r="AO8" s="18" t="n">
        <v>0</v>
      </c>
      <c r="AP8" s="18" t="n">
        <v>0</v>
      </c>
      <c r="AQ8" s="18" t="n">
        <v>0</v>
      </c>
      <c r="AR8" s="18" t="n">
        <v>0</v>
      </c>
      <c r="AS8" s="18" t="n">
        <v>0</v>
      </c>
      <c r="AT8" s="18" t="n">
        <v>0</v>
      </c>
      <c r="AU8" s="18" t="n">
        <v>0</v>
      </c>
      <c r="AV8" s="18" t="n">
        <v>0</v>
      </c>
      <c r="AW8" s="18" t="n">
        <v>0</v>
      </c>
      <c r="AX8" s="18" t="n">
        <v>0</v>
      </c>
      <c r="AY8" s="18" t="n">
        <v>0</v>
      </c>
      <c r="BA8" s="18" t="n">
        <v>0</v>
      </c>
      <c r="BB8" s="18" t="n">
        <v>0</v>
      </c>
      <c r="BC8" s="18" t="n">
        <v>0</v>
      </c>
      <c r="BD8" s="18" t="n">
        <v>0</v>
      </c>
      <c r="BE8" s="18" t="n">
        <v>0</v>
      </c>
      <c r="BF8" s="18" t="n">
        <v>20</v>
      </c>
      <c r="BG8" s="18" t="n">
        <v>20</v>
      </c>
      <c r="BH8" s="18" t="n">
        <v>20</v>
      </c>
      <c r="BI8" s="18" t="n">
        <v>20</v>
      </c>
      <c r="BJ8" s="18" t="n">
        <v>20</v>
      </c>
      <c r="BK8" s="18" t="n">
        <v>20</v>
      </c>
      <c r="BL8" s="18" t="n">
        <v>20</v>
      </c>
      <c r="BM8" s="18" t="n">
        <v>20</v>
      </c>
      <c r="BN8" s="18" t="n">
        <v>20</v>
      </c>
    </row>
    <row r="10">
      <c r="A10" s="9" t="inlineStr">
        <is>
          <t>Pre-tax price (supply cost)</t>
        </is>
      </c>
      <c r="B10" s="10" t="n"/>
      <c r="C10" s="10" t="n"/>
      <c r="D10" s="10" t="n"/>
      <c r="E10" s="10" t="n"/>
      <c r="F10" s="10" t="n"/>
      <c r="G10" s="10" t="n"/>
      <c r="H10" s="10" t="n"/>
      <c r="I10" s="10" t="n"/>
      <c r="J10" s="10" t="n"/>
      <c r="K10" s="10" t="n"/>
      <c r="L10" s="10" t="n"/>
      <c r="M10" s="10" t="n"/>
      <c r="N10" s="10" t="n"/>
      <c r="O10" s="10" t="n"/>
      <c r="P10" s="10" t="n"/>
      <c r="Q10" s="9" t="inlineStr">
        <is>
          <t>Annual growth</t>
        </is>
      </c>
      <c r="R10" s="9" t="inlineStr">
        <is>
          <t>-</t>
        </is>
      </c>
      <c r="S10" s="9" t="inlineStr">
        <is>
          <t>-</t>
        </is>
      </c>
      <c r="T10" s="9" t="inlineStr">
        <is>
          <t>-</t>
        </is>
      </c>
      <c r="U10" s="9" t="inlineStr">
        <is>
          <t>buffer</t>
        </is>
      </c>
      <c r="V10" s="9" t="inlineStr">
        <is>
          <t>Annual growth</t>
        </is>
      </c>
      <c r="W10" s="9" t="inlineStr">
        <is>
          <t>-</t>
        </is>
      </c>
      <c r="X10" s="9" t="inlineStr">
        <is>
          <t>-</t>
        </is>
      </c>
      <c r="Y10" s="9" t="inlineStr">
        <is>
          <t>-</t>
        </is>
      </c>
      <c r="Z10" s="9" t="inlineStr">
        <is>
          <t>buffer</t>
        </is>
      </c>
      <c r="AA10" s="9" t="inlineStr">
        <is>
          <t>Annual growth</t>
        </is>
      </c>
      <c r="AB10" s="9" t="inlineStr">
        <is>
          <t>-</t>
        </is>
      </c>
      <c r="AC10" s="9" t="inlineStr">
        <is>
          <t>-</t>
        </is>
      </c>
      <c r="AD10" s="9" t="inlineStr">
        <is>
          <t>-</t>
        </is>
      </c>
      <c r="AE10" s="9" t="inlineStr">
        <is>
          <t>buffer</t>
        </is>
      </c>
      <c r="AF10" s="9" t="inlineStr">
        <is>
          <t>Annual growth</t>
        </is>
      </c>
      <c r="AG10" s="9" t="inlineStr">
        <is>
          <t>-</t>
        </is>
      </c>
      <c r="AH10" s="9" t="inlineStr">
        <is>
          <t>-</t>
        </is>
      </c>
      <c r="AI10" s="9" t="inlineStr">
        <is>
          <t>-</t>
        </is>
      </c>
      <c r="AJ10" s="9" t="inlineStr">
        <is>
          <t>buffer</t>
        </is>
      </c>
      <c r="AK10" s="10" t="n"/>
      <c r="AL10" s="10" t="n"/>
      <c r="AM10" s="10" t="n"/>
      <c r="AN10" s="10" t="n"/>
      <c r="AO10" s="10" t="n"/>
      <c r="AP10" s="10" t="n"/>
      <c r="AQ10" s="10" t="n"/>
      <c r="AR10" s="10" t="n"/>
      <c r="AS10" s="10" t="n"/>
      <c r="AT10" s="10" t="n"/>
      <c r="AU10" s="10" t="n"/>
      <c r="AV10" s="10" t="n"/>
      <c r="AW10" s="10" t="n"/>
      <c r="AX10" s="10" t="n"/>
      <c r="AY10" s="10" t="n"/>
      <c r="AZ10" s="10" t="n"/>
      <c r="BA10" s="10" t="n"/>
      <c r="BB10" s="10" t="n"/>
      <c r="BC10" s="10" t="n"/>
      <c r="BD10" s="10" t="n"/>
      <c r="BE10" s="10" t="n"/>
      <c r="BF10" s="10" t="n"/>
      <c r="BG10" s="10" t="n"/>
      <c r="BH10" s="10" t="n"/>
      <c r="BI10" s="10" t="n"/>
      <c r="BJ10" s="10" t="n"/>
      <c r="BK10" s="10" t="n"/>
      <c r="BL10" s="10" t="n"/>
      <c r="BM10" s="10" t="n"/>
      <c r="BN10" s="10" t="n"/>
    </row>
    <row r="11">
      <c r="B11" s="5" t="inlineStr">
        <is>
          <t>coa</t>
        </is>
      </c>
      <c r="C11" s="5" t="inlineStr">
        <is>
          <t>rod</t>
        </is>
      </c>
      <c r="D11" s="5" t="inlineStr">
        <is>
          <t>Pre-tax price | Road | Coal</t>
        </is>
      </c>
      <c r="E11" s="5" t="inlineStr">
        <is>
          <t>$/GJ</t>
        </is>
      </c>
      <c r="F11" s="5" t="inlineStr">
        <is>
          <t>Prices_dom (base year), then growth</t>
        </is>
      </c>
      <c r="G11" s="19" t="inlineStr">
        <is>
          <t>mit.sp.coa</t>
        </is>
      </c>
      <c r="H11" s="19" t="inlineStr">
        <is>
          <t>mit.pbt.coa.rod</t>
        </is>
      </c>
      <c r="J11" s="5">
        <f>INDEX(Mapping!$C$5:$C$20,MATCH($C11,Mapping!$A$5:$A$20,0))</f>
        <v/>
      </c>
      <c r="K11" s="5">
        <f>INDEX(Mapping!$D$5:$D$20,MATCH($C11,Mapping!$A$5:$A$20,0))</f>
        <v/>
      </c>
      <c r="L11" s="5">
        <f>INDEX(Mapping!$C$24:$C$31,MATCH($B11,Mapping!$A$24:$A$31,0))</f>
        <v/>
      </c>
      <c r="M11" s="5">
        <f>INDEX(Mapping!$D$24:$D$31,MATCH($B11,Mapping!$A$24:$A$31,0))</f>
        <v/>
      </c>
      <c r="N11" s="5">
        <f>$B11&amp;"."&amp;IF(INDEX(Mapping!$E$24:$E$31,MATCH($B11,Mapping!$A$24:$A$31,0))="sub",INDEX(Mapping!$F$5:$F$20,MATCH($C11,Mapping!$A$5:$A$20,0)),"all")</f>
        <v/>
      </c>
      <c r="O11" s="5">
        <f>INDEX(Mapping!$E$5:$E$20,MATCH($C11,Mapping!$A$5:$A$20,0))</f>
        <v/>
      </c>
      <c r="P11" s="5">
        <f>INDEX(Mapping!$G$24:$G$31,MATCH($B11,Mapping!$A$24:$A$31,0))</f>
        <v/>
      </c>
      <c r="Q11" s="20" t="n">
        <v>0</v>
      </c>
      <c r="R11" s="21" t="n"/>
      <c r="S11" s="21" t="n"/>
      <c r="T11" s="21" t="n"/>
      <c r="U11" s="21" t="n"/>
      <c r="V11" s="22">
        <f>Q11</f>
        <v/>
      </c>
      <c r="W11" s="21" t="n"/>
      <c r="X11" s="21" t="n"/>
      <c r="Y11" s="21" t="n"/>
      <c r="Z11" s="21" t="n"/>
      <c r="AA11" s="22">
        <f>Q11</f>
        <v/>
      </c>
      <c r="AB11" s="21" t="n"/>
      <c r="AC11" s="21" t="n"/>
      <c r="AD11" s="21" t="n"/>
      <c r="AE11" s="21" t="n"/>
      <c r="AF11" s="22">
        <f>Q11</f>
        <v/>
      </c>
      <c r="AG11" s="21" t="n"/>
      <c r="AH11" s="21" t="n"/>
      <c r="AI11" s="21" t="n"/>
      <c r="AJ11" s="21" t="n"/>
      <c r="AL11" s="23">
        <f>INDEX(Prices_dom!$A$6:$CU$2000,MATCH(Settings!$C$4&amp;AL$5,Prices_dom!$A$6:$A$2000,0),MATCH("mit.sp."&amp;$N11,Prices_dom!$A$5:$CU$5,0))/$P11</f>
        <v/>
      </c>
      <c r="AM11" s="22">
        <f>AL11*(1+INDEX($Q11:$AJ11,1,(AM$4-1)*5+1))</f>
        <v/>
      </c>
      <c r="AN11" s="22">
        <f>AM11*(1+INDEX($Q11:$AJ11,1,(AN$4-1)*5+1))</f>
        <v/>
      </c>
      <c r="AO11" s="22">
        <f>AN11*(1+INDEX($Q11:$AJ11,1,(AO$4-1)*5+1))</f>
        <v/>
      </c>
      <c r="AP11" s="22">
        <f>AO11*(1+INDEX($Q11:$AJ11,1,(AP$4-1)*5+1))</f>
        <v/>
      </c>
      <c r="AQ11" s="22">
        <f>AP11*(1+INDEX($Q11:$AJ11,1,(AQ$4-1)*5+1))</f>
        <v/>
      </c>
      <c r="AR11" s="22">
        <f>AQ11*(1+INDEX($Q11:$AJ11,1,(AR$4-1)*5+1))</f>
        <v/>
      </c>
      <c r="AS11" s="22">
        <f>AR11*(1+INDEX($Q11:$AJ11,1,(AS$4-1)*5+1))</f>
        <v/>
      </c>
      <c r="AT11" s="22">
        <f>AS11*(1+INDEX($Q11:$AJ11,1,(AT$4-1)*5+1))</f>
        <v/>
      </c>
      <c r="AU11" s="22">
        <f>AT11*(1+INDEX($Q11:$AJ11,1,(AU$4-1)*5+1))</f>
        <v/>
      </c>
      <c r="AV11" s="22">
        <f>AU11*(1+INDEX($Q11:$AJ11,1,(AV$4-1)*5+1))</f>
        <v/>
      </c>
      <c r="AW11" s="22">
        <f>AV11*(1+INDEX($Q11:$AJ11,1,(AW$4-1)*5+1))</f>
        <v/>
      </c>
      <c r="AX11" s="22">
        <f>AW11*(1+INDEX($Q11:$AJ11,1,(AX$4-1)*5+1))</f>
        <v/>
      </c>
      <c r="AY11" s="22">
        <f>AX11*(1+INDEX($Q11:$AJ11,1,(AY$4-1)*5+1))</f>
        <v/>
      </c>
      <c r="BA11" s="23">
        <f>INDEX(Prices_dom!$A$6:$CU$2000,MATCH(Settings!$C$4&amp;BA$5,Prices_dom!$A$6:$A$2000,0),MATCH("mit.sp."&amp;$N11,Prices_dom!$A$5:$CU$5,0))/$P11</f>
        <v/>
      </c>
      <c r="BB11" s="22">
        <f>BA11*(1+INDEX($Q11:$AJ11,1,(BB$4-1)*5+1))</f>
        <v/>
      </c>
      <c r="BC11" s="22">
        <f>BB11*(1+INDEX($Q11:$AJ11,1,(BC$4-1)*5+1))</f>
        <v/>
      </c>
      <c r="BD11" s="22">
        <f>BC11*(1+INDEX($Q11:$AJ11,1,(BD$4-1)*5+1))</f>
        <v/>
      </c>
      <c r="BE11" s="22">
        <f>BD11*(1+INDEX($Q11:$AJ11,1,(BE$4-1)*5+1))</f>
        <v/>
      </c>
      <c r="BF11" s="22">
        <f>BE11*(1+INDEX($Q11:$AJ11,1,(BF$4-1)*5+1))</f>
        <v/>
      </c>
      <c r="BG11" s="22">
        <f>BF11*(1+INDEX($Q11:$AJ11,1,(BG$4-1)*5+1))</f>
        <v/>
      </c>
      <c r="BH11" s="22">
        <f>BG11*(1+INDEX($Q11:$AJ11,1,(BH$4-1)*5+1))</f>
        <v/>
      </c>
      <c r="BI11" s="22">
        <f>BH11*(1+INDEX($Q11:$AJ11,1,(BI$4-1)*5+1))</f>
        <v/>
      </c>
      <c r="BJ11" s="22">
        <f>BI11*(1+INDEX($Q11:$AJ11,1,(BJ$4-1)*5+1))</f>
        <v/>
      </c>
      <c r="BK11" s="22">
        <f>BJ11*(1+INDEX($Q11:$AJ11,1,(BK$4-1)*5+1))</f>
        <v/>
      </c>
      <c r="BL11" s="22">
        <f>BK11*(1+INDEX($Q11:$AJ11,1,(BL$4-1)*5+1))</f>
        <v/>
      </c>
      <c r="BM11" s="22">
        <f>BL11*(1+INDEX($Q11:$AJ11,1,(BM$4-1)*5+1))</f>
        <v/>
      </c>
      <c r="BN11" s="22">
        <f>BM11*(1+INDEX($Q11:$AJ11,1,(BN$4-1)*5+1))</f>
        <v/>
      </c>
    </row>
    <row r="12">
      <c r="B12" s="5" t="inlineStr">
        <is>
          <t>nga</t>
        </is>
      </c>
      <c r="C12" s="5" t="inlineStr">
        <is>
          <t>rod</t>
        </is>
      </c>
      <c r="D12" s="5" t="inlineStr">
        <is>
          <t>Pre-tax price | Road | Natural gas</t>
        </is>
      </c>
      <c r="E12" s="5" t="inlineStr">
        <is>
          <t>$/GJ</t>
        </is>
      </c>
      <c r="F12" s="5" t="inlineStr">
        <is>
          <t>Prices_dom (base year), then growth</t>
        </is>
      </c>
      <c r="G12" s="19" t="inlineStr">
        <is>
          <t>mit.sp.nga</t>
        </is>
      </c>
      <c r="H12" s="19" t="inlineStr">
        <is>
          <t>mit.pbt.nga.rod</t>
        </is>
      </c>
      <c r="J12" s="5">
        <f>INDEX(Mapping!$C$5:$C$20,MATCH($C12,Mapping!$A$5:$A$20,0))</f>
        <v/>
      </c>
      <c r="K12" s="5">
        <f>INDEX(Mapping!$D$5:$D$20,MATCH($C12,Mapping!$A$5:$A$20,0))</f>
        <v/>
      </c>
      <c r="L12" s="5">
        <f>INDEX(Mapping!$C$24:$C$31,MATCH($B12,Mapping!$A$24:$A$31,0))</f>
        <v/>
      </c>
      <c r="M12" s="5">
        <f>INDEX(Mapping!$D$24:$D$31,MATCH($B12,Mapping!$A$24:$A$31,0))</f>
        <v/>
      </c>
      <c r="N12" s="5">
        <f>$B12&amp;"."&amp;IF(INDEX(Mapping!$E$24:$E$31,MATCH($B12,Mapping!$A$24:$A$31,0))="sub",INDEX(Mapping!$F$5:$F$20,MATCH($C12,Mapping!$A$5:$A$20,0)),"all")</f>
        <v/>
      </c>
      <c r="O12" s="5">
        <f>INDEX(Mapping!$E$5:$E$20,MATCH($C12,Mapping!$A$5:$A$20,0))</f>
        <v/>
      </c>
      <c r="P12" s="5">
        <f>INDEX(Mapping!$G$24:$G$31,MATCH($B12,Mapping!$A$24:$A$31,0))</f>
        <v/>
      </c>
      <c r="Q12" s="20" t="n">
        <v>0</v>
      </c>
      <c r="R12" s="21" t="n"/>
      <c r="S12" s="21" t="n"/>
      <c r="T12" s="21" t="n"/>
      <c r="U12" s="21" t="n"/>
      <c r="V12" s="22">
        <f>Q12</f>
        <v/>
      </c>
      <c r="W12" s="21" t="n"/>
      <c r="X12" s="21" t="n"/>
      <c r="Y12" s="21" t="n"/>
      <c r="Z12" s="21" t="n"/>
      <c r="AA12" s="22">
        <f>Q12</f>
        <v/>
      </c>
      <c r="AB12" s="21" t="n"/>
      <c r="AC12" s="21" t="n"/>
      <c r="AD12" s="21" t="n"/>
      <c r="AE12" s="21" t="n"/>
      <c r="AF12" s="22">
        <f>Q12</f>
        <v/>
      </c>
      <c r="AG12" s="21" t="n"/>
      <c r="AH12" s="21" t="n"/>
      <c r="AI12" s="21" t="n"/>
      <c r="AJ12" s="21" t="n"/>
      <c r="AL12" s="23">
        <f>INDEX(Prices_dom!$A$6:$CU$2000,MATCH(Settings!$C$4&amp;AL$5,Prices_dom!$A$6:$A$2000,0),MATCH("mit.sp."&amp;$N12,Prices_dom!$A$5:$CU$5,0))/$P12</f>
        <v/>
      </c>
      <c r="AM12" s="22">
        <f>AL12*(1+INDEX($Q12:$AJ12,1,(AM$4-1)*5+1))</f>
        <v/>
      </c>
      <c r="AN12" s="22">
        <f>AM12*(1+INDEX($Q12:$AJ12,1,(AN$4-1)*5+1))</f>
        <v/>
      </c>
      <c r="AO12" s="22">
        <f>AN12*(1+INDEX($Q12:$AJ12,1,(AO$4-1)*5+1))</f>
        <v/>
      </c>
      <c r="AP12" s="22">
        <f>AO12*(1+INDEX($Q12:$AJ12,1,(AP$4-1)*5+1))</f>
        <v/>
      </c>
      <c r="AQ12" s="22">
        <f>AP12*(1+INDEX($Q12:$AJ12,1,(AQ$4-1)*5+1))</f>
        <v/>
      </c>
      <c r="AR12" s="22">
        <f>AQ12*(1+INDEX($Q12:$AJ12,1,(AR$4-1)*5+1))</f>
        <v/>
      </c>
      <c r="AS12" s="22">
        <f>AR12*(1+INDEX($Q12:$AJ12,1,(AS$4-1)*5+1))</f>
        <v/>
      </c>
      <c r="AT12" s="22">
        <f>AS12*(1+INDEX($Q12:$AJ12,1,(AT$4-1)*5+1))</f>
        <v/>
      </c>
      <c r="AU12" s="22">
        <f>AT12*(1+INDEX($Q12:$AJ12,1,(AU$4-1)*5+1))</f>
        <v/>
      </c>
      <c r="AV12" s="22">
        <f>AU12*(1+INDEX($Q12:$AJ12,1,(AV$4-1)*5+1))</f>
        <v/>
      </c>
      <c r="AW12" s="22">
        <f>AV12*(1+INDEX($Q12:$AJ12,1,(AW$4-1)*5+1))</f>
        <v/>
      </c>
      <c r="AX12" s="22">
        <f>AW12*(1+INDEX($Q12:$AJ12,1,(AX$4-1)*5+1))</f>
        <v/>
      </c>
      <c r="AY12" s="22">
        <f>AX12*(1+INDEX($Q12:$AJ12,1,(AY$4-1)*5+1))</f>
        <v/>
      </c>
      <c r="BA12" s="23">
        <f>INDEX(Prices_dom!$A$6:$CU$2000,MATCH(Settings!$C$4&amp;BA$5,Prices_dom!$A$6:$A$2000,0),MATCH("mit.sp."&amp;$N12,Prices_dom!$A$5:$CU$5,0))/$P12</f>
        <v/>
      </c>
      <c r="BB12" s="22">
        <f>BA12*(1+INDEX($Q12:$AJ12,1,(BB$4-1)*5+1))</f>
        <v/>
      </c>
      <c r="BC12" s="22">
        <f>BB12*(1+INDEX($Q12:$AJ12,1,(BC$4-1)*5+1))</f>
        <v/>
      </c>
      <c r="BD12" s="22">
        <f>BC12*(1+INDEX($Q12:$AJ12,1,(BD$4-1)*5+1))</f>
        <v/>
      </c>
      <c r="BE12" s="22">
        <f>BD12*(1+INDEX($Q12:$AJ12,1,(BE$4-1)*5+1))</f>
        <v/>
      </c>
      <c r="BF12" s="22">
        <f>BE12*(1+INDEX($Q12:$AJ12,1,(BF$4-1)*5+1))</f>
        <v/>
      </c>
      <c r="BG12" s="22">
        <f>BF12*(1+INDEX($Q12:$AJ12,1,(BG$4-1)*5+1))</f>
        <v/>
      </c>
      <c r="BH12" s="22">
        <f>BG12*(1+INDEX($Q12:$AJ12,1,(BH$4-1)*5+1))</f>
        <v/>
      </c>
      <c r="BI12" s="22">
        <f>BH12*(1+INDEX($Q12:$AJ12,1,(BI$4-1)*5+1))</f>
        <v/>
      </c>
      <c r="BJ12" s="22">
        <f>BI12*(1+INDEX($Q12:$AJ12,1,(BJ$4-1)*5+1))</f>
        <v/>
      </c>
      <c r="BK12" s="22">
        <f>BJ12*(1+INDEX($Q12:$AJ12,1,(BK$4-1)*5+1))</f>
        <v/>
      </c>
      <c r="BL12" s="22">
        <f>BK12*(1+INDEX($Q12:$AJ12,1,(BL$4-1)*5+1))</f>
        <v/>
      </c>
      <c r="BM12" s="22">
        <f>BL12*(1+INDEX($Q12:$AJ12,1,(BM$4-1)*5+1))</f>
        <v/>
      </c>
      <c r="BN12" s="22">
        <f>BM12*(1+INDEX($Q12:$AJ12,1,(BN$4-1)*5+1))</f>
        <v/>
      </c>
    </row>
    <row r="13">
      <c r="B13" s="5" t="inlineStr">
        <is>
          <t>gso</t>
        </is>
      </c>
      <c r="C13" s="5" t="inlineStr">
        <is>
          <t>rod</t>
        </is>
      </c>
      <c r="D13" s="5" t="inlineStr">
        <is>
          <t>Pre-tax price | Road | Gasoline</t>
        </is>
      </c>
      <c r="E13" s="5" t="inlineStr">
        <is>
          <t>$/GJ</t>
        </is>
      </c>
      <c r="F13" s="5" t="inlineStr">
        <is>
          <t>Prices_dom (base year), then growth</t>
        </is>
      </c>
      <c r="G13" s="19" t="inlineStr">
        <is>
          <t>mit.sp.gso</t>
        </is>
      </c>
      <c r="H13" s="19" t="inlineStr">
        <is>
          <t>mit.pbt.gso.rod</t>
        </is>
      </c>
      <c r="J13" s="5">
        <f>INDEX(Mapping!$C$5:$C$20,MATCH($C13,Mapping!$A$5:$A$20,0))</f>
        <v/>
      </c>
      <c r="K13" s="5">
        <f>INDEX(Mapping!$D$5:$D$20,MATCH($C13,Mapping!$A$5:$A$20,0))</f>
        <v/>
      </c>
      <c r="L13" s="5">
        <f>INDEX(Mapping!$C$24:$C$31,MATCH($B13,Mapping!$A$24:$A$31,0))</f>
        <v/>
      </c>
      <c r="M13" s="5">
        <f>INDEX(Mapping!$D$24:$D$31,MATCH($B13,Mapping!$A$24:$A$31,0))</f>
        <v/>
      </c>
      <c r="N13" s="5">
        <f>$B13&amp;"."&amp;IF(INDEX(Mapping!$E$24:$E$31,MATCH($B13,Mapping!$A$24:$A$31,0))="sub",INDEX(Mapping!$F$5:$F$20,MATCH($C13,Mapping!$A$5:$A$20,0)),"all")</f>
        <v/>
      </c>
      <c r="O13" s="5">
        <f>INDEX(Mapping!$E$5:$E$20,MATCH($C13,Mapping!$A$5:$A$20,0))</f>
        <v/>
      </c>
      <c r="P13" s="5">
        <f>INDEX(Mapping!$G$24:$G$31,MATCH($B13,Mapping!$A$24:$A$31,0))</f>
        <v/>
      </c>
      <c r="Q13" s="20" t="n">
        <v>0</v>
      </c>
      <c r="R13" s="21" t="n"/>
      <c r="S13" s="21" t="n"/>
      <c r="T13" s="21" t="n"/>
      <c r="U13" s="21" t="n"/>
      <c r="V13" s="22">
        <f>Q13</f>
        <v/>
      </c>
      <c r="W13" s="21" t="n"/>
      <c r="X13" s="21" t="n"/>
      <c r="Y13" s="21" t="n"/>
      <c r="Z13" s="21" t="n"/>
      <c r="AA13" s="22">
        <f>Q13</f>
        <v/>
      </c>
      <c r="AB13" s="21" t="n"/>
      <c r="AC13" s="21" t="n"/>
      <c r="AD13" s="21" t="n"/>
      <c r="AE13" s="21" t="n"/>
      <c r="AF13" s="22">
        <f>Q13</f>
        <v/>
      </c>
      <c r="AG13" s="21" t="n"/>
      <c r="AH13" s="21" t="n"/>
      <c r="AI13" s="21" t="n"/>
      <c r="AJ13" s="21" t="n"/>
      <c r="AL13" s="23">
        <f>INDEX(Prices_dom!$A$6:$CU$2000,MATCH(Settings!$C$4&amp;AL$5,Prices_dom!$A$6:$A$2000,0),MATCH("mit.sp."&amp;$N13,Prices_dom!$A$5:$CU$5,0))/$P13</f>
        <v/>
      </c>
      <c r="AM13" s="22">
        <f>AL13*(1+INDEX($Q13:$AJ13,1,(AM$4-1)*5+1))</f>
        <v/>
      </c>
      <c r="AN13" s="22">
        <f>AM13*(1+INDEX($Q13:$AJ13,1,(AN$4-1)*5+1))</f>
        <v/>
      </c>
      <c r="AO13" s="22">
        <f>AN13*(1+INDEX($Q13:$AJ13,1,(AO$4-1)*5+1))</f>
        <v/>
      </c>
      <c r="AP13" s="22">
        <f>AO13*(1+INDEX($Q13:$AJ13,1,(AP$4-1)*5+1))</f>
        <v/>
      </c>
      <c r="AQ13" s="22">
        <f>AP13*(1+INDEX($Q13:$AJ13,1,(AQ$4-1)*5+1))</f>
        <v/>
      </c>
      <c r="AR13" s="22">
        <f>AQ13*(1+INDEX($Q13:$AJ13,1,(AR$4-1)*5+1))</f>
        <v/>
      </c>
      <c r="AS13" s="22">
        <f>AR13*(1+INDEX($Q13:$AJ13,1,(AS$4-1)*5+1))</f>
        <v/>
      </c>
      <c r="AT13" s="22">
        <f>AS13*(1+INDEX($Q13:$AJ13,1,(AT$4-1)*5+1))</f>
        <v/>
      </c>
      <c r="AU13" s="22">
        <f>AT13*(1+INDEX($Q13:$AJ13,1,(AU$4-1)*5+1))</f>
        <v/>
      </c>
      <c r="AV13" s="22">
        <f>AU13*(1+INDEX($Q13:$AJ13,1,(AV$4-1)*5+1))</f>
        <v/>
      </c>
      <c r="AW13" s="22">
        <f>AV13*(1+INDEX($Q13:$AJ13,1,(AW$4-1)*5+1))</f>
        <v/>
      </c>
      <c r="AX13" s="22">
        <f>AW13*(1+INDEX($Q13:$AJ13,1,(AX$4-1)*5+1))</f>
        <v/>
      </c>
      <c r="AY13" s="22">
        <f>AX13*(1+INDEX($Q13:$AJ13,1,(AY$4-1)*5+1))</f>
        <v/>
      </c>
      <c r="BA13" s="23">
        <f>INDEX(Prices_dom!$A$6:$CU$2000,MATCH(Settings!$C$4&amp;BA$5,Prices_dom!$A$6:$A$2000,0),MATCH("mit.sp."&amp;$N13,Prices_dom!$A$5:$CU$5,0))/$P13</f>
        <v/>
      </c>
      <c r="BB13" s="22">
        <f>BA13*(1+INDEX($Q13:$AJ13,1,(BB$4-1)*5+1))</f>
        <v/>
      </c>
      <c r="BC13" s="22">
        <f>BB13*(1+INDEX($Q13:$AJ13,1,(BC$4-1)*5+1))</f>
        <v/>
      </c>
      <c r="BD13" s="22">
        <f>BC13*(1+INDEX($Q13:$AJ13,1,(BD$4-1)*5+1))</f>
        <v/>
      </c>
      <c r="BE13" s="22">
        <f>BD13*(1+INDEX($Q13:$AJ13,1,(BE$4-1)*5+1))</f>
        <v/>
      </c>
      <c r="BF13" s="22">
        <f>BE13*(1+INDEX($Q13:$AJ13,1,(BF$4-1)*5+1))</f>
        <v/>
      </c>
      <c r="BG13" s="22">
        <f>BF13*(1+INDEX($Q13:$AJ13,1,(BG$4-1)*5+1))</f>
        <v/>
      </c>
      <c r="BH13" s="22">
        <f>BG13*(1+INDEX($Q13:$AJ13,1,(BH$4-1)*5+1))</f>
        <v/>
      </c>
      <c r="BI13" s="22">
        <f>BH13*(1+INDEX($Q13:$AJ13,1,(BI$4-1)*5+1))</f>
        <v/>
      </c>
      <c r="BJ13" s="22">
        <f>BI13*(1+INDEX($Q13:$AJ13,1,(BJ$4-1)*5+1))</f>
        <v/>
      </c>
      <c r="BK13" s="22">
        <f>BJ13*(1+INDEX($Q13:$AJ13,1,(BK$4-1)*5+1))</f>
        <v/>
      </c>
      <c r="BL13" s="22">
        <f>BK13*(1+INDEX($Q13:$AJ13,1,(BL$4-1)*5+1))</f>
        <v/>
      </c>
      <c r="BM13" s="22">
        <f>BL13*(1+INDEX($Q13:$AJ13,1,(BM$4-1)*5+1))</f>
        <v/>
      </c>
      <c r="BN13" s="22">
        <f>BM13*(1+INDEX($Q13:$AJ13,1,(BN$4-1)*5+1))</f>
        <v/>
      </c>
    </row>
    <row r="14">
      <c r="B14" s="5" t="inlineStr">
        <is>
          <t>die</t>
        </is>
      </c>
      <c r="C14" s="5" t="inlineStr">
        <is>
          <t>rod</t>
        </is>
      </c>
      <c r="D14" s="5" t="inlineStr">
        <is>
          <t>Pre-tax price | Road | Diesel</t>
        </is>
      </c>
      <c r="E14" s="5" t="inlineStr">
        <is>
          <t>$/GJ</t>
        </is>
      </c>
      <c r="F14" s="5" t="inlineStr">
        <is>
          <t>Prices_dom (base year), then growth</t>
        </is>
      </c>
      <c r="G14" s="19" t="inlineStr">
        <is>
          <t>mit.sp.die</t>
        </is>
      </c>
      <c r="H14" s="19" t="inlineStr">
        <is>
          <t>mit.pbt.die.rod</t>
        </is>
      </c>
      <c r="J14" s="5">
        <f>INDEX(Mapping!$C$5:$C$20,MATCH($C14,Mapping!$A$5:$A$20,0))</f>
        <v/>
      </c>
      <c r="K14" s="5">
        <f>INDEX(Mapping!$D$5:$D$20,MATCH($C14,Mapping!$A$5:$A$20,0))</f>
        <v/>
      </c>
      <c r="L14" s="5">
        <f>INDEX(Mapping!$C$24:$C$31,MATCH($B14,Mapping!$A$24:$A$31,0))</f>
        <v/>
      </c>
      <c r="M14" s="5">
        <f>INDEX(Mapping!$D$24:$D$31,MATCH($B14,Mapping!$A$24:$A$31,0))</f>
        <v/>
      </c>
      <c r="N14" s="5">
        <f>$B14&amp;"."&amp;IF(INDEX(Mapping!$E$24:$E$31,MATCH($B14,Mapping!$A$24:$A$31,0))="sub",INDEX(Mapping!$F$5:$F$20,MATCH($C14,Mapping!$A$5:$A$20,0)),"all")</f>
        <v/>
      </c>
      <c r="O14" s="5">
        <f>INDEX(Mapping!$E$5:$E$20,MATCH($C14,Mapping!$A$5:$A$20,0))</f>
        <v/>
      </c>
      <c r="P14" s="5">
        <f>INDEX(Mapping!$G$24:$G$31,MATCH($B14,Mapping!$A$24:$A$31,0))</f>
        <v/>
      </c>
      <c r="Q14" s="20" t="n">
        <v>0</v>
      </c>
      <c r="R14" s="21" t="n"/>
      <c r="S14" s="21" t="n"/>
      <c r="T14" s="21" t="n"/>
      <c r="U14" s="21" t="n"/>
      <c r="V14" s="22">
        <f>Q14</f>
        <v/>
      </c>
      <c r="W14" s="21" t="n"/>
      <c r="X14" s="21" t="n"/>
      <c r="Y14" s="21" t="n"/>
      <c r="Z14" s="21" t="n"/>
      <c r="AA14" s="22">
        <f>Q14</f>
        <v/>
      </c>
      <c r="AB14" s="21" t="n"/>
      <c r="AC14" s="21" t="n"/>
      <c r="AD14" s="21" t="n"/>
      <c r="AE14" s="21" t="n"/>
      <c r="AF14" s="22">
        <f>Q14</f>
        <v/>
      </c>
      <c r="AG14" s="21" t="n"/>
      <c r="AH14" s="21" t="n"/>
      <c r="AI14" s="21" t="n"/>
      <c r="AJ14" s="21" t="n"/>
      <c r="AL14" s="23">
        <f>INDEX(Prices_dom!$A$6:$CU$2000,MATCH(Settings!$C$4&amp;AL$5,Prices_dom!$A$6:$A$2000,0),MATCH("mit.sp."&amp;$N14,Prices_dom!$A$5:$CU$5,0))/$P14</f>
        <v/>
      </c>
      <c r="AM14" s="22">
        <f>AL14*(1+INDEX($Q14:$AJ14,1,(AM$4-1)*5+1))</f>
        <v/>
      </c>
      <c r="AN14" s="22">
        <f>AM14*(1+INDEX($Q14:$AJ14,1,(AN$4-1)*5+1))</f>
        <v/>
      </c>
      <c r="AO14" s="22">
        <f>AN14*(1+INDEX($Q14:$AJ14,1,(AO$4-1)*5+1))</f>
        <v/>
      </c>
      <c r="AP14" s="22">
        <f>AO14*(1+INDEX($Q14:$AJ14,1,(AP$4-1)*5+1))</f>
        <v/>
      </c>
      <c r="AQ14" s="22">
        <f>AP14*(1+INDEX($Q14:$AJ14,1,(AQ$4-1)*5+1))</f>
        <v/>
      </c>
      <c r="AR14" s="22">
        <f>AQ14*(1+INDEX($Q14:$AJ14,1,(AR$4-1)*5+1))</f>
        <v/>
      </c>
      <c r="AS14" s="22">
        <f>AR14*(1+INDEX($Q14:$AJ14,1,(AS$4-1)*5+1))</f>
        <v/>
      </c>
      <c r="AT14" s="22">
        <f>AS14*(1+INDEX($Q14:$AJ14,1,(AT$4-1)*5+1))</f>
        <v/>
      </c>
      <c r="AU14" s="22">
        <f>AT14*(1+INDEX($Q14:$AJ14,1,(AU$4-1)*5+1))</f>
        <v/>
      </c>
      <c r="AV14" s="22">
        <f>AU14*(1+INDEX($Q14:$AJ14,1,(AV$4-1)*5+1))</f>
        <v/>
      </c>
      <c r="AW14" s="22">
        <f>AV14*(1+INDEX($Q14:$AJ14,1,(AW$4-1)*5+1))</f>
        <v/>
      </c>
      <c r="AX14" s="22">
        <f>AW14*(1+INDEX($Q14:$AJ14,1,(AX$4-1)*5+1))</f>
        <v/>
      </c>
      <c r="AY14" s="22">
        <f>AX14*(1+INDEX($Q14:$AJ14,1,(AY$4-1)*5+1))</f>
        <v/>
      </c>
      <c r="BA14" s="23">
        <f>INDEX(Prices_dom!$A$6:$CU$2000,MATCH(Settings!$C$4&amp;BA$5,Prices_dom!$A$6:$A$2000,0),MATCH("mit.sp."&amp;$N14,Prices_dom!$A$5:$CU$5,0))/$P14</f>
        <v/>
      </c>
      <c r="BB14" s="22">
        <f>BA14*(1+INDEX($Q14:$AJ14,1,(BB$4-1)*5+1))</f>
        <v/>
      </c>
      <c r="BC14" s="22">
        <f>BB14*(1+INDEX($Q14:$AJ14,1,(BC$4-1)*5+1))</f>
        <v/>
      </c>
      <c r="BD14" s="22">
        <f>BC14*(1+INDEX($Q14:$AJ14,1,(BD$4-1)*5+1))</f>
        <v/>
      </c>
      <c r="BE14" s="22">
        <f>BD14*(1+INDEX($Q14:$AJ14,1,(BE$4-1)*5+1))</f>
        <v/>
      </c>
      <c r="BF14" s="22">
        <f>BE14*(1+INDEX($Q14:$AJ14,1,(BF$4-1)*5+1))</f>
        <v/>
      </c>
      <c r="BG14" s="22">
        <f>BF14*(1+INDEX($Q14:$AJ14,1,(BG$4-1)*5+1))</f>
        <v/>
      </c>
      <c r="BH14" s="22">
        <f>BG14*(1+INDEX($Q14:$AJ14,1,(BH$4-1)*5+1))</f>
        <v/>
      </c>
      <c r="BI14" s="22">
        <f>BH14*(1+INDEX($Q14:$AJ14,1,(BI$4-1)*5+1))</f>
        <v/>
      </c>
      <c r="BJ14" s="22">
        <f>BI14*(1+INDEX($Q14:$AJ14,1,(BJ$4-1)*5+1))</f>
        <v/>
      </c>
      <c r="BK14" s="22">
        <f>BJ14*(1+INDEX($Q14:$AJ14,1,(BK$4-1)*5+1))</f>
        <v/>
      </c>
      <c r="BL14" s="22">
        <f>BK14*(1+INDEX($Q14:$AJ14,1,(BL$4-1)*5+1))</f>
        <v/>
      </c>
      <c r="BM14" s="22">
        <f>BL14*(1+INDEX($Q14:$AJ14,1,(BM$4-1)*5+1))</f>
        <v/>
      </c>
      <c r="BN14" s="22">
        <f>BM14*(1+INDEX($Q14:$AJ14,1,(BN$4-1)*5+1))</f>
        <v/>
      </c>
    </row>
    <row r="15">
      <c r="B15" s="5" t="inlineStr">
        <is>
          <t>lpg</t>
        </is>
      </c>
      <c r="C15" s="5" t="inlineStr">
        <is>
          <t>rod</t>
        </is>
      </c>
      <c r="D15" s="5" t="inlineStr">
        <is>
          <t>Pre-tax price | Road | LPG</t>
        </is>
      </c>
      <c r="E15" s="5" t="inlineStr">
        <is>
          <t>$/GJ</t>
        </is>
      </c>
      <c r="F15" s="5" t="inlineStr">
        <is>
          <t>Prices_dom (base year), then growth</t>
        </is>
      </c>
      <c r="G15" s="19" t="inlineStr">
        <is>
          <t>mit.sp.lpg</t>
        </is>
      </c>
      <c r="H15" s="19" t="inlineStr">
        <is>
          <t>mit.pbt.lpg.rod</t>
        </is>
      </c>
      <c r="J15" s="5">
        <f>INDEX(Mapping!$C$5:$C$20,MATCH($C15,Mapping!$A$5:$A$20,0))</f>
        <v/>
      </c>
      <c r="K15" s="5">
        <f>INDEX(Mapping!$D$5:$D$20,MATCH($C15,Mapping!$A$5:$A$20,0))</f>
        <v/>
      </c>
      <c r="L15" s="5">
        <f>INDEX(Mapping!$C$24:$C$31,MATCH($B15,Mapping!$A$24:$A$31,0))</f>
        <v/>
      </c>
      <c r="M15" s="5">
        <f>INDEX(Mapping!$D$24:$D$31,MATCH($B15,Mapping!$A$24:$A$31,0))</f>
        <v/>
      </c>
      <c r="N15" s="5">
        <f>$B15&amp;"."&amp;IF(INDEX(Mapping!$E$24:$E$31,MATCH($B15,Mapping!$A$24:$A$31,0))="sub",INDEX(Mapping!$F$5:$F$20,MATCH($C15,Mapping!$A$5:$A$20,0)),"all")</f>
        <v/>
      </c>
      <c r="O15" s="5">
        <f>INDEX(Mapping!$E$5:$E$20,MATCH($C15,Mapping!$A$5:$A$20,0))</f>
        <v/>
      </c>
      <c r="P15" s="5">
        <f>INDEX(Mapping!$G$24:$G$31,MATCH($B15,Mapping!$A$24:$A$31,0))</f>
        <v/>
      </c>
      <c r="Q15" s="20" t="n">
        <v>0</v>
      </c>
      <c r="R15" s="21" t="n"/>
      <c r="S15" s="21" t="n"/>
      <c r="T15" s="21" t="n"/>
      <c r="U15" s="21" t="n"/>
      <c r="V15" s="22">
        <f>Q15</f>
        <v/>
      </c>
      <c r="W15" s="21" t="n"/>
      <c r="X15" s="21" t="n"/>
      <c r="Y15" s="21" t="n"/>
      <c r="Z15" s="21" t="n"/>
      <c r="AA15" s="22">
        <f>Q15</f>
        <v/>
      </c>
      <c r="AB15" s="21" t="n"/>
      <c r="AC15" s="21" t="n"/>
      <c r="AD15" s="21" t="n"/>
      <c r="AE15" s="21" t="n"/>
      <c r="AF15" s="22">
        <f>Q15</f>
        <v/>
      </c>
      <c r="AG15" s="21" t="n"/>
      <c r="AH15" s="21" t="n"/>
      <c r="AI15" s="21" t="n"/>
      <c r="AJ15" s="21" t="n"/>
      <c r="AL15" s="23">
        <f>INDEX(Prices_dom!$A$6:$CU$2000,MATCH(Settings!$C$4&amp;AL$5,Prices_dom!$A$6:$A$2000,0),MATCH("mit.sp."&amp;$N15,Prices_dom!$A$5:$CU$5,0))/$P15</f>
        <v/>
      </c>
      <c r="AM15" s="22">
        <f>AL15*(1+INDEX($Q15:$AJ15,1,(AM$4-1)*5+1))</f>
        <v/>
      </c>
      <c r="AN15" s="22">
        <f>AM15*(1+INDEX($Q15:$AJ15,1,(AN$4-1)*5+1))</f>
        <v/>
      </c>
      <c r="AO15" s="22">
        <f>AN15*(1+INDEX($Q15:$AJ15,1,(AO$4-1)*5+1))</f>
        <v/>
      </c>
      <c r="AP15" s="22">
        <f>AO15*(1+INDEX($Q15:$AJ15,1,(AP$4-1)*5+1))</f>
        <v/>
      </c>
      <c r="AQ15" s="22">
        <f>AP15*(1+INDEX($Q15:$AJ15,1,(AQ$4-1)*5+1))</f>
        <v/>
      </c>
      <c r="AR15" s="22">
        <f>AQ15*(1+INDEX($Q15:$AJ15,1,(AR$4-1)*5+1))</f>
        <v/>
      </c>
      <c r="AS15" s="22">
        <f>AR15*(1+INDEX($Q15:$AJ15,1,(AS$4-1)*5+1))</f>
        <v/>
      </c>
      <c r="AT15" s="22">
        <f>AS15*(1+INDEX($Q15:$AJ15,1,(AT$4-1)*5+1))</f>
        <v/>
      </c>
      <c r="AU15" s="22">
        <f>AT15*(1+INDEX($Q15:$AJ15,1,(AU$4-1)*5+1))</f>
        <v/>
      </c>
      <c r="AV15" s="22">
        <f>AU15*(1+INDEX($Q15:$AJ15,1,(AV$4-1)*5+1))</f>
        <v/>
      </c>
      <c r="AW15" s="22">
        <f>AV15*(1+INDEX($Q15:$AJ15,1,(AW$4-1)*5+1))</f>
        <v/>
      </c>
      <c r="AX15" s="22">
        <f>AW15*(1+INDEX($Q15:$AJ15,1,(AX$4-1)*5+1))</f>
        <v/>
      </c>
      <c r="AY15" s="22">
        <f>AX15*(1+INDEX($Q15:$AJ15,1,(AY$4-1)*5+1))</f>
        <v/>
      </c>
      <c r="BA15" s="23">
        <f>INDEX(Prices_dom!$A$6:$CU$2000,MATCH(Settings!$C$4&amp;BA$5,Prices_dom!$A$6:$A$2000,0),MATCH("mit.sp."&amp;$N15,Prices_dom!$A$5:$CU$5,0))/$P15</f>
        <v/>
      </c>
      <c r="BB15" s="22">
        <f>BA15*(1+INDEX($Q15:$AJ15,1,(BB$4-1)*5+1))</f>
        <v/>
      </c>
      <c r="BC15" s="22">
        <f>BB15*(1+INDEX($Q15:$AJ15,1,(BC$4-1)*5+1))</f>
        <v/>
      </c>
      <c r="BD15" s="22">
        <f>BC15*(1+INDEX($Q15:$AJ15,1,(BD$4-1)*5+1))</f>
        <v/>
      </c>
      <c r="BE15" s="22">
        <f>BD15*(1+INDEX($Q15:$AJ15,1,(BE$4-1)*5+1))</f>
        <v/>
      </c>
      <c r="BF15" s="22">
        <f>BE15*(1+INDEX($Q15:$AJ15,1,(BF$4-1)*5+1))</f>
        <v/>
      </c>
      <c r="BG15" s="22">
        <f>BF15*(1+INDEX($Q15:$AJ15,1,(BG$4-1)*5+1))</f>
        <v/>
      </c>
      <c r="BH15" s="22">
        <f>BG15*(1+INDEX($Q15:$AJ15,1,(BH$4-1)*5+1))</f>
        <v/>
      </c>
      <c r="BI15" s="22">
        <f>BH15*(1+INDEX($Q15:$AJ15,1,(BI$4-1)*5+1))</f>
        <v/>
      </c>
      <c r="BJ15" s="22">
        <f>BI15*(1+INDEX($Q15:$AJ15,1,(BJ$4-1)*5+1))</f>
        <v/>
      </c>
      <c r="BK15" s="22">
        <f>BJ15*(1+INDEX($Q15:$AJ15,1,(BK$4-1)*5+1))</f>
        <v/>
      </c>
      <c r="BL15" s="22">
        <f>BK15*(1+INDEX($Q15:$AJ15,1,(BL$4-1)*5+1))</f>
        <v/>
      </c>
      <c r="BM15" s="22">
        <f>BL15*(1+INDEX($Q15:$AJ15,1,(BM$4-1)*5+1))</f>
        <v/>
      </c>
      <c r="BN15" s="22">
        <f>BM15*(1+INDEX($Q15:$AJ15,1,(BN$4-1)*5+1))</f>
        <v/>
      </c>
    </row>
    <row r="16">
      <c r="B16" s="5" t="inlineStr">
        <is>
          <t>ker</t>
        </is>
      </c>
      <c r="C16" s="5" t="inlineStr">
        <is>
          <t>rod</t>
        </is>
      </c>
      <c r="D16" s="5" t="inlineStr">
        <is>
          <t>Pre-tax price | Road | Kerosene</t>
        </is>
      </c>
      <c r="E16" s="5" t="inlineStr">
        <is>
          <t>$/GJ</t>
        </is>
      </c>
      <c r="F16" s="5" t="inlineStr">
        <is>
          <t>Prices_dom (base year), then growth</t>
        </is>
      </c>
      <c r="G16" s="19" t="inlineStr">
        <is>
          <t>mit.sp.ker</t>
        </is>
      </c>
      <c r="H16" s="19" t="inlineStr">
        <is>
          <t>mit.pbt.ker.rod</t>
        </is>
      </c>
      <c r="J16" s="5">
        <f>INDEX(Mapping!$C$5:$C$20,MATCH($C16,Mapping!$A$5:$A$20,0))</f>
        <v/>
      </c>
      <c r="K16" s="5">
        <f>INDEX(Mapping!$D$5:$D$20,MATCH($C16,Mapping!$A$5:$A$20,0))</f>
        <v/>
      </c>
      <c r="L16" s="5">
        <f>INDEX(Mapping!$C$24:$C$31,MATCH($B16,Mapping!$A$24:$A$31,0))</f>
        <v/>
      </c>
      <c r="M16" s="5">
        <f>INDEX(Mapping!$D$24:$D$31,MATCH($B16,Mapping!$A$24:$A$31,0))</f>
        <v/>
      </c>
      <c r="N16" s="5">
        <f>$B16&amp;"."&amp;IF(INDEX(Mapping!$E$24:$E$31,MATCH($B16,Mapping!$A$24:$A$31,0))="sub",INDEX(Mapping!$F$5:$F$20,MATCH($C16,Mapping!$A$5:$A$20,0)),"all")</f>
        <v/>
      </c>
      <c r="O16" s="5">
        <f>INDEX(Mapping!$E$5:$E$20,MATCH($C16,Mapping!$A$5:$A$20,0))</f>
        <v/>
      </c>
      <c r="P16" s="5">
        <f>INDEX(Mapping!$G$24:$G$31,MATCH($B16,Mapping!$A$24:$A$31,0))</f>
        <v/>
      </c>
      <c r="Q16" s="20" t="n">
        <v>0</v>
      </c>
      <c r="R16" s="21" t="n"/>
      <c r="S16" s="21" t="n"/>
      <c r="T16" s="21" t="n"/>
      <c r="U16" s="21" t="n"/>
      <c r="V16" s="22">
        <f>Q16</f>
        <v/>
      </c>
      <c r="W16" s="21" t="n"/>
      <c r="X16" s="21" t="n"/>
      <c r="Y16" s="21" t="n"/>
      <c r="Z16" s="21" t="n"/>
      <c r="AA16" s="22">
        <f>Q16</f>
        <v/>
      </c>
      <c r="AB16" s="21" t="n"/>
      <c r="AC16" s="21" t="n"/>
      <c r="AD16" s="21" t="n"/>
      <c r="AE16" s="21" t="n"/>
      <c r="AF16" s="22">
        <f>Q16</f>
        <v/>
      </c>
      <c r="AG16" s="21" t="n"/>
      <c r="AH16" s="21" t="n"/>
      <c r="AI16" s="21" t="n"/>
      <c r="AJ16" s="21" t="n"/>
      <c r="AL16" s="23">
        <f>INDEX(Prices_dom!$A$6:$CU$2000,MATCH(Settings!$C$4&amp;AL$5,Prices_dom!$A$6:$A$2000,0),MATCH("mit.sp."&amp;$N16,Prices_dom!$A$5:$CU$5,0))/$P16</f>
        <v/>
      </c>
      <c r="AM16" s="22">
        <f>AL16*(1+INDEX($Q16:$AJ16,1,(AM$4-1)*5+1))</f>
        <v/>
      </c>
      <c r="AN16" s="22">
        <f>AM16*(1+INDEX($Q16:$AJ16,1,(AN$4-1)*5+1))</f>
        <v/>
      </c>
      <c r="AO16" s="22">
        <f>AN16*(1+INDEX($Q16:$AJ16,1,(AO$4-1)*5+1))</f>
        <v/>
      </c>
      <c r="AP16" s="22">
        <f>AO16*(1+INDEX($Q16:$AJ16,1,(AP$4-1)*5+1))</f>
        <v/>
      </c>
      <c r="AQ16" s="22">
        <f>AP16*(1+INDEX($Q16:$AJ16,1,(AQ$4-1)*5+1))</f>
        <v/>
      </c>
      <c r="AR16" s="22">
        <f>AQ16*(1+INDEX($Q16:$AJ16,1,(AR$4-1)*5+1))</f>
        <v/>
      </c>
      <c r="AS16" s="22">
        <f>AR16*(1+INDEX($Q16:$AJ16,1,(AS$4-1)*5+1))</f>
        <v/>
      </c>
      <c r="AT16" s="22">
        <f>AS16*(1+INDEX($Q16:$AJ16,1,(AT$4-1)*5+1))</f>
        <v/>
      </c>
      <c r="AU16" s="22">
        <f>AT16*(1+INDEX($Q16:$AJ16,1,(AU$4-1)*5+1))</f>
        <v/>
      </c>
      <c r="AV16" s="22">
        <f>AU16*(1+INDEX($Q16:$AJ16,1,(AV$4-1)*5+1))</f>
        <v/>
      </c>
      <c r="AW16" s="22">
        <f>AV16*(1+INDEX($Q16:$AJ16,1,(AW$4-1)*5+1))</f>
        <v/>
      </c>
      <c r="AX16" s="22">
        <f>AW16*(1+INDEX($Q16:$AJ16,1,(AX$4-1)*5+1))</f>
        <v/>
      </c>
      <c r="AY16" s="22">
        <f>AX16*(1+INDEX($Q16:$AJ16,1,(AY$4-1)*5+1))</f>
        <v/>
      </c>
      <c r="BA16" s="23">
        <f>INDEX(Prices_dom!$A$6:$CU$2000,MATCH(Settings!$C$4&amp;BA$5,Prices_dom!$A$6:$A$2000,0),MATCH("mit.sp."&amp;$N16,Prices_dom!$A$5:$CU$5,0))/$P16</f>
        <v/>
      </c>
      <c r="BB16" s="22">
        <f>BA16*(1+INDEX($Q16:$AJ16,1,(BB$4-1)*5+1))</f>
        <v/>
      </c>
      <c r="BC16" s="22">
        <f>BB16*(1+INDEX($Q16:$AJ16,1,(BC$4-1)*5+1))</f>
        <v/>
      </c>
      <c r="BD16" s="22">
        <f>BC16*(1+INDEX($Q16:$AJ16,1,(BD$4-1)*5+1))</f>
        <v/>
      </c>
      <c r="BE16" s="22">
        <f>BD16*(1+INDEX($Q16:$AJ16,1,(BE$4-1)*5+1))</f>
        <v/>
      </c>
      <c r="BF16" s="22">
        <f>BE16*(1+INDEX($Q16:$AJ16,1,(BF$4-1)*5+1))</f>
        <v/>
      </c>
      <c r="BG16" s="22">
        <f>BF16*(1+INDEX($Q16:$AJ16,1,(BG$4-1)*5+1))</f>
        <v/>
      </c>
      <c r="BH16" s="22">
        <f>BG16*(1+INDEX($Q16:$AJ16,1,(BH$4-1)*5+1))</f>
        <v/>
      </c>
      <c r="BI16" s="22">
        <f>BH16*(1+INDEX($Q16:$AJ16,1,(BI$4-1)*5+1))</f>
        <v/>
      </c>
      <c r="BJ16" s="22">
        <f>BI16*(1+INDEX($Q16:$AJ16,1,(BJ$4-1)*5+1))</f>
        <v/>
      </c>
      <c r="BK16" s="22">
        <f>BJ16*(1+INDEX($Q16:$AJ16,1,(BK$4-1)*5+1))</f>
        <v/>
      </c>
      <c r="BL16" s="22">
        <f>BK16*(1+INDEX($Q16:$AJ16,1,(BL$4-1)*5+1))</f>
        <v/>
      </c>
      <c r="BM16" s="22">
        <f>BL16*(1+INDEX($Q16:$AJ16,1,(BM$4-1)*5+1))</f>
        <v/>
      </c>
      <c r="BN16" s="22">
        <f>BM16*(1+INDEX($Q16:$AJ16,1,(BN$4-1)*5+1))</f>
        <v/>
      </c>
    </row>
    <row r="17">
      <c r="B17" s="5" t="inlineStr">
        <is>
          <t>oop</t>
        </is>
      </c>
      <c r="C17" s="5" t="inlineStr">
        <is>
          <t>rod</t>
        </is>
      </c>
      <c r="D17" s="5" t="inlineStr">
        <is>
          <t>Pre-tax price | Road | Other oil products</t>
        </is>
      </c>
      <c r="E17" s="5" t="inlineStr">
        <is>
          <t>$/GJ</t>
        </is>
      </c>
      <c r="F17" s="5" t="inlineStr">
        <is>
          <t>Prices_dom (base year), then growth</t>
        </is>
      </c>
      <c r="G17" s="19" t="inlineStr">
        <is>
          <t>mit.sp.oop</t>
        </is>
      </c>
      <c r="H17" s="19" t="inlineStr">
        <is>
          <t>mit.pbt.oop.rod</t>
        </is>
      </c>
      <c r="J17" s="5">
        <f>INDEX(Mapping!$C$5:$C$20,MATCH($C17,Mapping!$A$5:$A$20,0))</f>
        <v/>
      </c>
      <c r="K17" s="5">
        <f>INDEX(Mapping!$D$5:$D$20,MATCH($C17,Mapping!$A$5:$A$20,0))</f>
        <v/>
      </c>
      <c r="L17" s="5">
        <f>INDEX(Mapping!$C$24:$C$31,MATCH($B17,Mapping!$A$24:$A$31,0))</f>
        <v/>
      </c>
      <c r="M17" s="5">
        <f>INDEX(Mapping!$D$24:$D$31,MATCH($B17,Mapping!$A$24:$A$31,0))</f>
        <v/>
      </c>
      <c r="N17" s="5">
        <f>$B17&amp;"."&amp;IF(INDEX(Mapping!$E$24:$E$31,MATCH($B17,Mapping!$A$24:$A$31,0))="sub",INDEX(Mapping!$F$5:$F$20,MATCH($C17,Mapping!$A$5:$A$20,0)),"all")</f>
        <v/>
      </c>
      <c r="O17" s="5">
        <f>INDEX(Mapping!$E$5:$E$20,MATCH($C17,Mapping!$A$5:$A$20,0))</f>
        <v/>
      </c>
      <c r="P17" s="5">
        <f>INDEX(Mapping!$G$24:$G$31,MATCH($B17,Mapping!$A$24:$A$31,0))</f>
        <v/>
      </c>
      <c r="Q17" s="20" t="n">
        <v>0</v>
      </c>
      <c r="R17" s="21" t="n"/>
      <c r="S17" s="21" t="n"/>
      <c r="T17" s="21" t="n"/>
      <c r="U17" s="21" t="n"/>
      <c r="V17" s="22">
        <f>Q17</f>
        <v/>
      </c>
      <c r="W17" s="21" t="n"/>
      <c r="X17" s="21" t="n"/>
      <c r="Y17" s="21" t="n"/>
      <c r="Z17" s="21" t="n"/>
      <c r="AA17" s="22">
        <f>Q17</f>
        <v/>
      </c>
      <c r="AB17" s="21" t="n"/>
      <c r="AC17" s="21" t="n"/>
      <c r="AD17" s="21" t="n"/>
      <c r="AE17" s="21" t="n"/>
      <c r="AF17" s="22">
        <f>Q17</f>
        <v/>
      </c>
      <c r="AG17" s="21" t="n"/>
      <c r="AH17" s="21" t="n"/>
      <c r="AI17" s="21" t="n"/>
      <c r="AJ17" s="21" t="n"/>
      <c r="AL17" s="23">
        <f>INDEX(Prices_dom!$A$6:$CU$2000,MATCH(Settings!$C$4&amp;AL$5,Prices_dom!$A$6:$A$2000,0),MATCH("mit.sp."&amp;$N17,Prices_dom!$A$5:$CU$5,0))/$P17</f>
        <v/>
      </c>
      <c r="AM17" s="22">
        <f>AL17*(1+INDEX($Q17:$AJ17,1,(AM$4-1)*5+1))</f>
        <v/>
      </c>
      <c r="AN17" s="22">
        <f>AM17*(1+INDEX($Q17:$AJ17,1,(AN$4-1)*5+1))</f>
        <v/>
      </c>
      <c r="AO17" s="22">
        <f>AN17*(1+INDEX($Q17:$AJ17,1,(AO$4-1)*5+1))</f>
        <v/>
      </c>
      <c r="AP17" s="22">
        <f>AO17*(1+INDEX($Q17:$AJ17,1,(AP$4-1)*5+1))</f>
        <v/>
      </c>
      <c r="AQ17" s="22">
        <f>AP17*(1+INDEX($Q17:$AJ17,1,(AQ$4-1)*5+1))</f>
        <v/>
      </c>
      <c r="AR17" s="22">
        <f>AQ17*(1+INDEX($Q17:$AJ17,1,(AR$4-1)*5+1))</f>
        <v/>
      </c>
      <c r="AS17" s="22">
        <f>AR17*(1+INDEX($Q17:$AJ17,1,(AS$4-1)*5+1))</f>
        <v/>
      </c>
      <c r="AT17" s="22">
        <f>AS17*(1+INDEX($Q17:$AJ17,1,(AT$4-1)*5+1))</f>
        <v/>
      </c>
      <c r="AU17" s="22">
        <f>AT17*(1+INDEX($Q17:$AJ17,1,(AU$4-1)*5+1))</f>
        <v/>
      </c>
      <c r="AV17" s="22">
        <f>AU17*(1+INDEX($Q17:$AJ17,1,(AV$4-1)*5+1))</f>
        <v/>
      </c>
      <c r="AW17" s="22">
        <f>AV17*(1+INDEX($Q17:$AJ17,1,(AW$4-1)*5+1))</f>
        <v/>
      </c>
      <c r="AX17" s="22">
        <f>AW17*(1+INDEX($Q17:$AJ17,1,(AX$4-1)*5+1))</f>
        <v/>
      </c>
      <c r="AY17" s="22">
        <f>AX17*(1+INDEX($Q17:$AJ17,1,(AY$4-1)*5+1))</f>
        <v/>
      </c>
      <c r="BA17" s="23">
        <f>INDEX(Prices_dom!$A$6:$CU$2000,MATCH(Settings!$C$4&amp;BA$5,Prices_dom!$A$6:$A$2000,0),MATCH("mit.sp."&amp;$N17,Prices_dom!$A$5:$CU$5,0))/$P17</f>
        <v/>
      </c>
      <c r="BB17" s="22">
        <f>BA17*(1+INDEX($Q17:$AJ17,1,(BB$4-1)*5+1))</f>
        <v/>
      </c>
      <c r="BC17" s="22">
        <f>BB17*(1+INDEX($Q17:$AJ17,1,(BC$4-1)*5+1))</f>
        <v/>
      </c>
      <c r="BD17" s="22">
        <f>BC17*(1+INDEX($Q17:$AJ17,1,(BD$4-1)*5+1))</f>
        <v/>
      </c>
      <c r="BE17" s="22">
        <f>BD17*(1+INDEX($Q17:$AJ17,1,(BE$4-1)*5+1))</f>
        <v/>
      </c>
      <c r="BF17" s="22">
        <f>BE17*(1+INDEX($Q17:$AJ17,1,(BF$4-1)*5+1))</f>
        <v/>
      </c>
      <c r="BG17" s="22">
        <f>BF17*(1+INDEX($Q17:$AJ17,1,(BG$4-1)*5+1))</f>
        <v/>
      </c>
      <c r="BH17" s="22">
        <f>BG17*(1+INDEX($Q17:$AJ17,1,(BH$4-1)*5+1))</f>
        <v/>
      </c>
      <c r="BI17" s="22">
        <f>BH17*(1+INDEX($Q17:$AJ17,1,(BI$4-1)*5+1))</f>
        <v/>
      </c>
      <c r="BJ17" s="22">
        <f>BI17*(1+INDEX($Q17:$AJ17,1,(BJ$4-1)*5+1))</f>
        <v/>
      </c>
      <c r="BK17" s="22">
        <f>BJ17*(1+INDEX($Q17:$AJ17,1,(BK$4-1)*5+1))</f>
        <v/>
      </c>
      <c r="BL17" s="22">
        <f>BK17*(1+INDEX($Q17:$AJ17,1,(BL$4-1)*5+1))</f>
        <v/>
      </c>
      <c r="BM17" s="22">
        <f>BL17*(1+INDEX($Q17:$AJ17,1,(BM$4-1)*5+1))</f>
        <v/>
      </c>
      <c r="BN17" s="22">
        <f>BM17*(1+INDEX($Q17:$AJ17,1,(BN$4-1)*5+1))</f>
        <v/>
      </c>
    </row>
    <row r="18">
      <c r="B18" s="5" t="inlineStr">
        <is>
          <t>bio</t>
        </is>
      </c>
      <c r="C18" s="5" t="inlineStr">
        <is>
          <t>rod</t>
        </is>
      </c>
      <c r="D18" s="5" t="inlineStr">
        <is>
          <t>Pre-tax price | Road | Biomass</t>
        </is>
      </c>
      <c r="E18" s="5" t="inlineStr">
        <is>
          <t>$/GJ</t>
        </is>
      </c>
      <c r="F18" s="5" t="inlineStr">
        <is>
          <t>Prices_dom (base year), then growth</t>
        </is>
      </c>
      <c r="G18" s="19" t="inlineStr">
        <is>
          <t>mit.sp.bio</t>
        </is>
      </c>
      <c r="H18" s="19" t="inlineStr">
        <is>
          <t>mit.pbt.bio.rod</t>
        </is>
      </c>
      <c r="J18" s="5">
        <f>INDEX(Mapping!$C$5:$C$20,MATCH($C18,Mapping!$A$5:$A$20,0))</f>
        <v/>
      </c>
      <c r="K18" s="5">
        <f>INDEX(Mapping!$D$5:$D$20,MATCH($C18,Mapping!$A$5:$A$20,0))</f>
        <v/>
      </c>
      <c r="L18" s="5">
        <f>INDEX(Mapping!$C$24:$C$31,MATCH($B18,Mapping!$A$24:$A$31,0))</f>
        <v/>
      </c>
      <c r="M18" s="5">
        <f>INDEX(Mapping!$D$24:$D$31,MATCH($B18,Mapping!$A$24:$A$31,0))</f>
        <v/>
      </c>
      <c r="N18" s="5">
        <f>$B18&amp;"."&amp;IF(INDEX(Mapping!$E$24:$E$31,MATCH($B18,Mapping!$A$24:$A$31,0))="sub",INDEX(Mapping!$F$5:$F$20,MATCH($C18,Mapping!$A$5:$A$20,0)),"all")</f>
        <v/>
      </c>
      <c r="O18" s="5">
        <f>INDEX(Mapping!$E$5:$E$20,MATCH($C18,Mapping!$A$5:$A$20,0))</f>
        <v/>
      </c>
      <c r="P18" s="5">
        <f>INDEX(Mapping!$G$24:$G$31,MATCH($B18,Mapping!$A$24:$A$31,0))</f>
        <v/>
      </c>
      <c r="Q18" s="20" t="n">
        <v>0</v>
      </c>
      <c r="R18" s="21" t="n"/>
      <c r="S18" s="21" t="n"/>
      <c r="T18" s="21" t="n"/>
      <c r="U18" s="21" t="n"/>
      <c r="V18" s="22">
        <f>Q18</f>
        <v/>
      </c>
      <c r="W18" s="21" t="n"/>
      <c r="X18" s="21" t="n"/>
      <c r="Y18" s="21" t="n"/>
      <c r="Z18" s="21" t="n"/>
      <c r="AA18" s="22">
        <f>Q18</f>
        <v/>
      </c>
      <c r="AB18" s="21" t="n"/>
      <c r="AC18" s="21" t="n"/>
      <c r="AD18" s="21" t="n"/>
      <c r="AE18" s="21" t="n"/>
      <c r="AF18" s="22">
        <f>Q18</f>
        <v/>
      </c>
      <c r="AG18" s="21" t="n"/>
      <c r="AH18" s="21" t="n"/>
      <c r="AI18" s="21" t="n"/>
      <c r="AJ18" s="21" t="n"/>
      <c r="AL18" s="23">
        <f>INDEX(Prices_dom!$A$6:$CU$2000,MATCH(Settings!$C$4&amp;AL$5,Prices_dom!$A$6:$A$2000,0),MATCH("mit.sp."&amp;$N18,Prices_dom!$A$5:$CU$5,0))/$P18</f>
        <v/>
      </c>
      <c r="AM18" s="22">
        <f>AL18*(1+INDEX($Q18:$AJ18,1,(AM$4-1)*5+1))</f>
        <v/>
      </c>
      <c r="AN18" s="22">
        <f>AM18*(1+INDEX($Q18:$AJ18,1,(AN$4-1)*5+1))</f>
        <v/>
      </c>
      <c r="AO18" s="22">
        <f>AN18*(1+INDEX($Q18:$AJ18,1,(AO$4-1)*5+1))</f>
        <v/>
      </c>
      <c r="AP18" s="22">
        <f>AO18*(1+INDEX($Q18:$AJ18,1,(AP$4-1)*5+1))</f>
        <v/>
      </c>
      <c r="AQ18" s="22">
        <f>AP18*(1+INDEX($Q18:$AJ18,1,(AQ$4-1)*5+1))</f>
        <v/>
      </c>
      <c r="AR18" s="22">
        <f>AQ18*(1+INDEX($Q18:$AJ18,1,(AR$4-1)*5+1))</f>
        <v/>
      </c>
      <c r="AS18" s="22">
        <f>AR18*(1+INDEX($Q18:$AJ18,1,(AS$4-1)*5+1))</f>
        <v/>
      </c>
      <c r="AT18" s="22">
        <f>AS18*(1+INDEX($Q18:$AJ18,1,(AT$4-1)*5+1))</f>
        <v/>
      </c>
      <c r="AU18" s="22">
        <f>AT18*(1+INDEX($Q18:$AJ18,1,(AU$4-1)*5+1))</f>
        <v/>
      </c>
      <c r="AV18" s="22">
        <f>AU18*(1+INDEX($Q18:$AJ18,1,(AV$4-1)*5+1))</f>
        <v/>
      </c>
      <c r="AW18" s="22">
        <f>AV18*(1+INDEX($Q18:$AJ18,1,(AW$4-1)*5+1))</f>
        <v/>
      </c>
      <c r="AX18" s="22">
        <f>AW18*(1+INDEX($Q18:$AJ18,1,(AX$4-1)*5+1))</f>
        <v/>
      </c>
      <c r="AY18" s="22">
        <f>AX18*(1+INDEX($Q18:$AJ18,1,(AY$4-1)*5+1))</f>
        <v/>
      </c>
      <c r="BA18" s="23">
        <f>INDEX(Prices_dom!$A$6:$CU$2000,MATCH(Settings!$C$4&amp;BA$5,Prices_dom!$A$6:$A$2000,0),MATCH("mit.sp."&amp;$N18,Prices_dom!$A$5:$CU$5,0))/$P18</f>
        <v/>
      </c>
      <c r="BB18" s="22">
        <f>BA18*(1+INDEX($Q18:$AJ18,1,(BB$4-1)*5+1))</f>
        <v/>
      </c>
      <c r="BC18" s="22">
        <f>BB18*(1+INDEX($Q18:$AJ18,1,(BC$4-1)*5+1))</f>
        <v/>
      </c>
      <c r="BD18" s="22">
        <f>BC18*(1+INDEX($Q18:$AJ18,1,(BD$4-1)*5+1))</f>
        <v/>
      </c>
      <c r="BE18" s="22">
        <f>BD18*(1+INDEX($Q18:$AJ18,1,(BE$4-1)*5+1))</f>
        <v/>
      </c>
      <c r="BF18" s="22">
        <f>BE18*(1+INDEX($Q18:$AJ18,1,(BF$4-1)*5+1))</f>
        <v/>
      </c>
      <c r="BG18" s="22">
        <f>BF18*(1+INDEX($Q18:$AJ18,1,(BG$4-1)*5+1))</f>
        <v/>
      </c>
      <c r="BH18" s="22">
        <f>BG18*(1+INDEX($Q18:$AJ18,1,(BH$4-1)*5+1))</f>
        <v/>
      </c>
      <c r="BI18" s="22">
        <f>BH18*(1+INDEX($Q18:$AJ18,1,(BI$4-1)*5+1))</f>
        <v/>
      </c>
      <c r="BJ18" s="22">
        <f>BI18*(1+INDEX($Q18:$AJ18,1,(BJ$4-1)*5+1))</f>
        <v/>
      </c>
      <c r="BK18" s="22">
        <f>BJ18*(1+INDEX($Q18:$AJ18,1,(BK$4-1)*5+1))</f>
        <v/>
      </c>
      <c r="BL18" s="22">
        <f>BK18*(1+INDEX($Q18:$AJ18,1,(BL$4-1)*5+1))</f>
        <v/>
      </c>
      <c r="BM18" s="22">
        <f>BL18*(1+INDEX($Q18:$AJ18,1,(BM$4-1)*5+1))</f>
        <v/>
      </c>
      <c r="BN18" s="22">
        <f>BM18*(1+INDEX($Q18:$AJ18,1,(BN$4-1)*5+1))</f>
        <v/>
      </c>
    </row>
    <row r="19">
      <c r="B19" s="5" t="inlineStr">
        <is>
          <t>coa</t>
        </is>
      </c>
      <c r="C19" s="5" t="inlineStr">
        <is>
          <t>ral</t>
        </is>
      </c>
      <c r="D19" s="5" t="inlineStr">
        <is>
          <t>Pre-tax price | Rail | Coal</t>
        </is>
      </c>
      <c r="E19" s="5" t="inlineStr">
        <is>
          <t>$/GJ</t>
        </is>
      </c>
      <c r="F19" s="5" t="inlineStr">
        <is>
          <t>Prices_dom (base year), then growth</t>
        </is>
      </c>
      <c r="G19" s="19" t="inlineStr">
        <is>
          <t>mit.sp.coa</t>
        </is>
      </c>
      <c r="H19" s="19" t="inlineStr">
        <is>
          <t>mit.pbt.coa.ral</t>
        </is>
      </c>
      <c r="J19" s="5">
        <f>INDEX(Mapping!$C$5:$C$20,MATCH($C19,Mapping!$A$5:$A$20,0))</f>
        <v/>
      </c>
      <c r="K19" s="5">
        <f>INDEX(Mapping!$D$5:$D$20,MATCH($C19,Mapping!$A$5:$A$20,0))</f>
        <v/>
      </c>
      <c r="L19" s="5">
        <f>INDEX(Mapping!$C$24:$C$31,MATCH($B19,Mapping!$A$24:$A$31,0))</f>
        <v/>
      </c>
      <c r="M19" s="5">
        <f>INDEX(Mapping!$D$24:$D$31,MATCH($B19,Mapping!$A$24:$A$31,0))</f>
        <v/>
      </c>
      <c r="N19" s="5">
        <f>$B19&amp;"."&amp;IF(INDEX(Mapping!$E$24:$E$31,MATCH($B19,Mapping!$A$24:$A$31,0))="sub",INDEX(Mapping!$F$5:$F$20,MATCH($C19,Mapping!$A$5:$A$20,0)),"all")</f>
        <v/>
      </c>
      <c r="O19" s="5">
        <f>INDEX(Mapping!$E$5:$E$20,MATCH($C19,Mapping!$A$5:$A$20,0))</f>
        <v/>
      </c>
      <c r="P19" s="5">
        <f>INDEX(Mapping!$G$24:$G$31,MATCH($B19,Mapping!$A$24:$A$31,0))</f>
        <v/>
      </c>
      <c r="Q19" s="20" t="n">
        <v>0</v>
      </c>
      <c r="R19" s="21" t="n"/>
      <c r="S19" s="21" t="n"/>
      <c r="T19" s="21" t="n"/>
      <c r="U19" s="21" t="n"/>
      <c r="V19" s="22">
        <f>Q19</f>
        <v/>
      </c>
      <c r="W19" s="21" t="n"/>
      <c r="X19" s="21" t="n"/>
      <c r="Y19" s="21" t="n"/>
      <c r="Z19" s="21" t="n"/>
      <c r="AA19" s="22">
        <f>Q19</f>
        <v/>
      </c>
      <c r="AB19" s="21" t="n"/>
      <c r="AC19" s="21" t="n"/>
      <c r="AD19" s="21" t="n"/>
      <c r="AE19" s="21" t="n"/>
      <c r="AF19" s="22">
        <f>Q19</f>
        <v/>
      </c>
      <c r="AG19" s="21" t="n"/>
      <c r="AH19" s="21" t="n"/>
      <c r="AI19" s="21" t="n"/>
      <c r="AJ19" s="21" t="n"/>
      <c r="AL19" s="23">
        <f>INDEX(Prices_dom!$A$6:$CU$2000,MATCH(Settings!$C$4&amp;AL$5,Prices_dom!$A$6:$A$2000,0),MATCH("mit.sp."&amp;$N19,Prices_dom!$A$5:$CU$5,0))/$P19</f>
        <v/>
      </c>
      <c r="AM19" s="22">
        <f>AL19*(1+INDEX($Q19:$AJ19,1,(AM$4-1)*5+1))</f>
        <v/>
      </c>
      <c r="AN19" s="22">
        <f>AM19*(1+INDEX($Q19:$AJ19,1,(AN$4-1)*5+1))</f>
        <v/>
      </c>
      <c r="AO19" s="22">
        <f>AN19*(1+INDEX($Q19:$AJ19,1,(AO$4-1)*5+1))</f>
        <v/>
      </c>
      <c r="AP19" s="22">
        <f>AO19*(1+INDEX($Q19:$AJ19,1,(AP$4-1)*5+1))</f>
        <v/>
      </c>
      <c r="AQ19" s="22">
        <f>AP19*(1+INDEX($Q19:$AJ19,1,(AQ$4-1)*5+1))</f>
        <v/>
      </c>
      <c r="AR19" s="22">
        <f>AQ19*(1+INDEX($Q19:$AJ19,1,(AR$4-1)*5+1))</f>
        <v/>
      </c>
      <c r="AS19" s="22">
        <f>AR19*(1+INDEX($Q19:$AJ19,1,(AS$4-1)*5+1))</f>
        <v/>
      </c>
      <c r="AT19" s="22">
        <f>AS19*(1+INDEX($Q19:$AJ19,1,(AT$4-1)*5+1))</f>
        <v/>
      </c>
      <c r="AU19" s="22">
        <f>AT19*(1+INDEX($Q19:$AJ19,1,(AU$4-1)*5+1))</f>
        <v/>
      </c>
      <c r="AV19" s="22">
        <f>AU19*(1+INDEX($Q19:$AJ19,1,(AV$4-1)*5+1))</f>
        <v/>
      </c>
      <c r="AW19" s="22">
        <f>AV19*(1+INDEX($Q19:$AJ19,1,(AW$4-1)*5+1))</f>
        <v/>
      </c>
      <c r="AX19" s="22">
        <f>AW19*(1+INDEX($Q19:$AJ19,1,(AX$4-1)*5+1))</f>
        <v/>
      </c>
      <c r="AY19" s="22">
        <f>AX19*(1+INDEX($Q19:$AJ19,1,(AY$4-1)*5+1))</f>
        <v/>
      </c>
      <c r="BA19" s="23">
        <f>INDEX(Prices_dom!$A$6:$CU$2000,MATCH(Settings!$C$4&amp;BA$5,Prices_dom!$A$6:$A$2000,0),MATCH("mit.sp."&amp;$N19,Prices_dom!$A$5:$CU$5,0))/$P19</f>
        <v/>
      </c>
      <c r="BB19" s="22">
        <f>BA19*(1+INDEX($Q19:$AJ19,1,(BB$4-1)*5+1))</f>
        <v/>
      </c>
      <c r="BC19" s="22">
        <f>BB19*(1+INDEX($Q19:$AJ19,1,(BC$4-1)*5+1))</f>
        <v/>
      </c>
      <c r="BD19" s="22">
        <f>BC19*(1+INDEX($Q19:$AJ19,1,(BD$4-1)*5+1))</f>
        <v/>
      </c>
      <c r="BE19" s="22">
        <f>BD19*(1+INDEX($Q19:$AJ19,1,(BE$4-1)*5+1))</f>
        <v/>
      </c>
      <c r="BF19" s="22">
        <f>BE19*(1+INDEX($Q19:$AJ19,1,(BF$4-1)*5+1))</f>
        <v/>
      </c>
      <c r="BG19" s="22">
        <f>BF19*(1+INDEX($Q19:$AJ19,1,(BG$4-1)*5+1))</f>
        <v/>
      </c>
      <c r="BH19" s="22">
        <f>BG19*(1+INDEX($Q19:$AJ19,1,(BH$4-1)*5+1))</f>
        <v/>
      </c>
      <c r="BI19" s="22">
        <f>BH19*(1+INDEX($Q19:$AJ19,1,(BI$4-1)*5+1))</f>
        <v/>
      </c>
      <c r="BJ19" s="22">
        <f>BI19*(1+INDEX($Q19:$AJ19,1,(BJ$4-1)*5+1))</f>
        <v/>
      </c>
      <c r="BK19" s="22">
        <f>BJ19*(1+INDEX($Q19:$AJ19,1,(BK$4-1)*5+1))</f>
        <v/>
      </c>
      <c r="BL19" s="22">
        <f>BK19*(1+INDEX($Q19:$AJ19,1,(BL$4-1)*5+1))</f>
        <v/>
      </c>
      <c r="BM19" s="22">
        <f>BL19*(1+INDEX($Q19:$AJ19,1,(BM$4-1)*5+1))</f>
        <v/>
      </c>
      <c r="BN19" s="22">
        <f>BM19*(1+INDEX($Q19:$AJ19,1,(BN$4-1)*5+1))</f>
        <v/>
      </c>
    </row>
    <row r="20">
      <c r="B20" s="5" t="inlineStr">
        <is>
          <t>nga</t>
        </is>
      </c>
      <c r="C20" s="5" t="inlineStr">
        <is>
          <t>ral</t>
        </is>
      </c>
      <c r="D20" s="5" t="inlineStr">
        <is>
          <t>Pre-tax price | Rail | Natural gas</t>
        </is>
      </c>
      <c r="E20" s="5" t="inlineStr">
        <is>
          <t>$/GJ</t>
        </is>
      </c>
      <c r="F20" s="5" t="inlineStr">
        <is>
          <t>Prices_dom (base year), then growth</t>
        </is>
      </c>
      <c r="G20" s="19" t="inlineStr">
        <is>
          <t>mit.sp.nga</t>
        </is>
      </c>
      <c r="H20" s="19" t="inlineStr">
        <is>
          <t>mit.pbt.nga.ral</t>
        </is>
      </c>
      <c r="J20" s="5">
        <f>INDEX(Mapping!$C$5:$C$20,MATCH($C20,Mapping!$A$5:$A$20,0))</f>
        <v/>
      </c>
      <c r="K20" s="5">
        <f>INDEX(Mapping!$D$5:$D$20,MATCH($C20,Mapping!$A$5:$A$20,0))</f>
        <v/>
      </c>
      <c r="L20" s="5">
        <f>INDEX(Mapping!$C$24:$C$31,MATCH($B20,Mapping!$A$24:$A$31,0))</f>
        <v/>
      </c>
      <c r="M20" s="5">
        <f>INDEX(Mapping!$D$24:$D$31,MATCH($B20,Mapping!$A$24:$A$31,0))</f>
        <v/>
      </c>
      <c r="N20" s="5">
        <f>$B20&amp;"."&amp;IF(INDEX(Mapping!$E$24:$E$31,MATCH($B20,Mapping!$A$24:$A$31,0))="sub",INDEX(Mapping!$F$5:$F$20,MATCH($C20,Mapping!$A$5:$A$20,0)),"all")</f>
        <v/>
      </c>
      <c r="O20" s="5">
        <f>INDEX(Mapping!$E$5:$E$20,MATCH($C20,Mapping!$A$5:$A$20,0))</f>
        <v/>
      </c>
      <c r="P20" s="5">
        <f>INDEX(Mapping!$G$24:$G$31,MATCH($B20,Mapping!$A$24:$A$31,0))</f>
        <v/>
      </c>
      <c r="Q20" s="20" t="n">
        <v>0</v>
      </c>
      <c r="R20" s="21" t="n"/>
      <c r="S20" s="21" t="n"/>
      <c r="T20" s="21" t="n"/>
      <c r="U20" s="21" t="n"/>
      <c r="V20" s="22">
        <f>Q20</f>
        <v/>
      </c>
      <c r="W20" s="21" t="n"/>
      <c r="X20" s="21" t="n"/>
      <c r="Y20" s="21" t="n"/>
      <c r="Z20" s="21" t="n"/>
      <c r="AA20" s="22">
        <f>Q20</f>
        <v/>
      </c>
      <c r="AB20" s="21" t="n"/>
      <c r="AC20" s="21" t="n"/>
      <c r="AD20" s="21" t="n"/>
      <c r="AE20" s="21" t="n"/>
      <c r="AF20" s="22">
        <f>Q20</f>
        <v/>
      </c>
      <c r="AG20" s="21" t="n"/>
      <c r="AH20" s="21" t="n"/>
      <c r="AI20" s="21" t="n"/>
      <c r="AJ20" s="21" t="n"/>
      <c r="AL20" s="23">
        <f>INDEX(Prices_dom!$A$6:$CU$2000,MATCH(Settings!$C$4&amp;AL$5,Prices_dom!$A$6:$A$2000,0),MATCH("mit.sp."&amp;$N20,Prices_dom!$A$5:$CU$5,0))/$P20</f>
        <v/>
      </c>
      <c r="AM20" s="22">
        <f>AL20*(1+INDEX($Q20:$AJ20,1,(AM$4-1)*5+1))</f>
        <v/>
      </c>
      <c r="AN20" s="22">
        <f>AM20*(1+INDEX($Q20:$AJ20,1,(AN$4-1)*5+1))</f>
        <v/>
      </c>
      <c r="AO20" s="22">
        <f>AN20*(1+INDEX($Q20:$AJ20,1,(AO$4-1)*5+1))</f>
        <v/>
      </c>
      <c r="AP20" s="22">
        <f>AO20*(1+INDEX($Q20:$AJ20,1,(AP$4-1)*5+1))</f>
        <v/>
      </c>
      <c r="AQ20" s="22">
        <f>AP20*(1+INDEX($Q20:$AJ20,1,(AQ$4-1)*5+1))</f>
        <v/>
      </c>
      <c r="AR20" s="22">
        <f>AQ20*(1+INDEX($Q20:$AJ20,1,(AR$4-1)*5+1))</f>
        <v/>
      </c>
      <c r="AS20" s="22">
        <f>AR20*(1+INDEX($Q20:$AJ20,1,(AS$4-1)*5+1))</f>
        <v/>
      </c>
      <c r="AT20" s="22">
        <f>AS20*(1+INDEX($Q20:$AJ20,1,(AT$4-1)*5+1))</f>
        <v/>
      </c>
      <c r="AU20" s="22">
        <f>AT20*(1+INDEX($Q20:$AJ20,1,(AU$4-1)*5+1))</f>
        <v/>
      </c>
      <c r="AV20" s="22">
        <f>AU20*(1+INDEX($Q20:$AJ20,1,(AV$4-1)*5+1))</f>
        <v/>
      </c>
      <c r="AW20" s="22">
        <f>AV20*(1+INDEX($Q20:$AJ20,1,(AW$4-1)*5+1))</f>
        <v/>
      </c>
      <c r="AX20" s="22">
        <f>AW20*(1+INDEX($Q20:$AJ20,1,(AX$4-1)*5+1))</f>
        <v/>
      </c>
      <c r="AY20" s="22">
        <f>AX20*(1+INDEX($Q20:$AJ20,1,(AY$4-1)*5+1))</f>
        <v/>
      </c>
      <c r="BA20" s="23">
        <f>INDEX(Prices_dom!$A$6:$CU$2000,MATCH(Settings!$C$4&amp;BA$5,Prices_dom!$A$6:$A$2000,0),MATCH("mit.sp."&amp;$N20,Prices_dom!$A$5:$CU$5,0))/$P20</f>
        <v/>
      </c>
      <c r="BB20" s="22">
        <f>BA20*(1+INDEX($Q20:$AJ20,1,(BB$4-1)*5+1))</f>
        <v/>
      </c>
      <c r="BC20" s="22">
        <f>BB20*(1+INDEX($Q20:$AJ20,1,(BC$4-1)*5+1))</f>
        <v/>
      </c>
      <c r="BD20" s="22">
        <f>BC20*(1+INDEX($Q20:$AJ20,1,(BD$4-1)*5+1))</f>
        <v/>
      </c>
      <c r="BE20" s="22">
        <f>BD20*(1+INDEX($Q20:$AJ20,1,(BE$4-1)*5+1))</f>
        <v/>
      </c>
      <c r="BF20" s="22">
        <f>BE20*(1+INDEX($Q20:$AJ20,1,(BF$4-1)*5+1))</f>
        <v/>
      </c>
      <c r="BG20" s="22">
        <f>BF20*(1+INDEX($Q20:$AJ20,1,(BG$4-1)*5+1))</f>
        <v/>
      </c>
      <c r="BH20" s="22">
        <f>BG20*(1+INDEX($Q20:$AJ20,1,(BH$4-1)*5+1))</f>
        <v/>
      </c>
      <c r="BI20" s="22">
        <f>BH20*(1+INDEX($Q20:$AJ20,1,(BI$4-1)*5+1))</f>
        <v/>
      </c>
      <c r="BJ20" s="22">
        <f>BI20*(1+INDEX($Q20:$AJ20,1,(BJ$4-1)*5+1))</f>
        <v/>
      </c>
      <c r="BK20" s="22">
        <f>BJ20*(1+INDEX($Q20:$AJ20,1,(BK$4-1)*5+1))</f>
        <v/>
      </c>
      <c r="BL20" s="22">
        <f>BK20*(1+INDEX($Q20:$AJ20,1,(BL$4-1)*5+1))</f>
        <v/>
      </c>
      <c r="BM20" s="22">
        <f>BL20*(1+INDEX($Q20:$AJ20,1,(BM$4-1)*5+1))</f>
        <v/>
      </c>
      <c r="BN20" s="22">
        <f>BM20*(1+INDEX($Q20:$AJ20,1,(BN$4-1)*5+1))</f>
        <v/>
      </c>
    </row>
    <row r="21">
      <c r="B21" s="5" t="inlineStr">
        <is>
          <t>gso</t>
        </is>
      </c>
      <c r="C21" s="5" t="inlineStr">
        <is>
          <t>ral</t>
        </is>
      </c>
      <c r="D21" s="5" t="inlineStr">
        <is>
          <t>Pre-tax price | Rail | Gasoline</t>
        </is>
      </c>
      <c r="E21" s="5" t="inlineStr">
        <is>
          <t>$/GJ</t>
        </is>
      </c>
      <c r="F21" s="5" t="inlineStr">
        <is>
          <t>Prices_dom (base year), then growth</t>
        </is>
      </c>
      <c r="G21" s="19" t="inlineStr">
        <is>
          <t>mit.sp.gso</t>
        </is>
      </c>
      <c r="H21" s="19" t="inlineStr">
        <is>
          <t>mit.pbt.gso.ral</t>
        </is>
      </c>
      <c r="J21" s="5">
        <f>INDEX(Mapping!$C$5:$C$20,MATCH($C21,Mapping!$A$5:$A$20,0))</f>
        <v/>
      </c>
      <c r="K21" s="5">
        <f>INDEX(Mapping!$D$5:$D$20,MATCH($C21,Mapping!$A$5:$A$20,0))</f>
        <v/>
      </c>
      <c r="L21" s="5">
        <f>INDEX(Mapping!$C$24:$C$31,MATCH($B21,Mapping!$A$24:$A$31,0))</f>
        <v/>
      </c>
      <c r="M21" s="5">
        <f>INDEX(Mapping!$D$24:$D$31,MATCH($B21,Mapping!$A$24:$A$31,0))</f>
        <v/>
      </c>
      <c r="N21" s="5">
        <f>$B21&amp;"."&amp;IF(INDEX(Mapping!$E$24:$E$31,MATCH($B21,Mapping!$A$24:$A$31,0))="sub",INDEX(Mapping!$F$5:$F$20,MATCH($C21,Mapping!$A$5:$A$20,0)),"all")</f>
        <v/>
      </c>
      <c r="O21" s="5">
        <f>INDEX(Mapping!$E$5:$E$20,MATCH($C21,Mapping!$A$5:$A$20,0))</f>
        <v/>
      </c>
      <c r="P21" s="5">
        <f>INDEX(Mapping!$G$24:$G$31,MATCH($B21,Mapping!$A$24:$A$31,0))</f>
        <v/>
      </c>
      <c r="Q21" s="20" t="n">
        <v>0</v>
      </c>
      <c r="R21" s="21" t="n"/>
      <c r="S21" s="21" t="n"/>
      <c r="T21" s="21" t="n"/>
      <c r="U21" s="21" t="n"/>
      <c r="V21" s="22">
        <f>Q21</f>
        <v/>
      </c>
      <c r="W21" s="21" t="n"/>
      <c r="X21" s="21" t="n"/>
      <c r="Y21" s="21" t="n"/>
      <c r="Z21" s="21" t="n"/>
      <c r="AA21" s="22">
        <f>Q21</f>
        <v/>
      </c>
      <c r="AB21" s="21" t="n"/>
      <c r="AC21" s="21" t="n"/>
      <c r="AD21" s="21" t="n"/>
      <c r="AE21" s="21" t="n"/>
      <c r="AF21" s="22">
        <f>Q21</f>
        <v/>
      </c>
      <c r="AG21" s="21" t="n"/>
      <c r="AH21" s="21" t="n"/>
      <c r="AI21" s="21" t="n"/>
      <c r="AJ21" s="21" t="n"/>
      <c r="AL21" s="23">
        <f>INDEX(Prices_dom!$A$6:$CU$2000,MATCH(Settings!$C$4&amp;AL$5,Prices_dom!$A$6:$A$2000,0),MATCH("mit.sp."&amp;$N21,Prices_dom!$A$5:$CU$5,0))/$P21</f>
        <v/>
      </c>
      <c r="AM21" s="22">
        <f>AL21*(1+INDEX($Q21:$AJ21,1,(AM$4-1)*5+1))</f>
        <v/>
      </c>
      <c r="AN21" s="22">
        <f>AM21*(1+INDEX($Q21:$AJ21,1,(AN$4-1)*5+1))</f>
        <v/>
      </c>
      <c r="AO21" s="22">
        <f>AN21*(1+INDEX($Q21:$AJ21,1,(AO$4-1)*5+1))</f>
        <v/>
      </c>
      <c r="AP21" s="22">
        <f>AO21*(1+INDEX($Q21:$AJ21,1,(AP$4-1)*5+1))</f>
        <v/>
      </c>
      <c r="AQ21" s="22">
        <f>AP21*(1+INDEX($Q21:$AJ21,1,(AQ$4-1)*5+1))</f>
        <v/>
      </c>
      <c r="AR21" s="22">
        <f>AQ21*(1+INDEX($Q21:$AJ21,1,(AR$4-1)*5+1))</f>
        <v/>
      </c>
      <c r="AS21" s="22">
        <f>AR21*(1+INDEX($Q21:$AJ21,1,(AS$4-1)*5+1))</f>
        <v/>
      </c>
      <c r="AT21" s="22">
        <f>AS21*(1+INDEX($Q21:$AJ21,1,(AT$4-1)*5+1))</f>
        <v/>
      </c>
      <c r="AU21" s="22">
        <f>AT21*(1+INDEX($Q21:$AJ21,1,(AU$4-1)*5+1))</f>
        <v/>
      </c>
      <c r="AV21" s="22">
        <f>AU21*(1+INDEX($Q21:$AJ21,1,(AV$4-1)*5+1))</f>
        <v/>
      </c>
      <c r="AW21" s="22">
        <f>AV21*(1+INDEX($Q21:$AJ21,1,(AW$4-1)*5+1))</f>
        <v/>
      </c>
      <c r="AX21" s="22">
        <f>AW21*(1+INDEX($Q21:$AJ21,1,(AX$4-1)*5+1))</f>
        <v/>
      </c>
      <c r="AY21" s="22">
        <f>AX21*(1+INDEX($Q21:$AJ21,1,(AY$4-1)*5+1))</f>
        <v/>
      </c>
      <c r="BA21" s="23">
        <f>INDEX(Prices_dom!$A$6:$CU$2000,MATCH(Settings!$C$4&amp;BA$5,Prices_dom!$A$6:$A$2000,0),MATCH("mit.sp."&amp;$N21,Prices_dom!$A$5:$CU$5,0))/$P21</f>
        <v/>
      </c>
      <c r="BB21" s="22">
        <f>BA21*(1+INDEX($Q21:$AJ21,1,(BB$4-1)*5+1))</f>
        <v/>
      </c>
      <c r="BC21" s="22">
        <f>BB21*(1+INDEX($Q21:$AJ21,1,(BC$4-1)*5+1))</f>
        <v/>
      </c>
      <c r="BD21" s="22">
        <f>BC21*(1+INDEX($Q21:$AJ21,1,(BD$4-1)*5+1))</f>
        <v/>
      </c>
      <c r="BE21" s="22">
        <f>BD21*(1+INDEX($Q21:$AJ21,1,(BE$4-1)*5+1))</f>
        <v/>
      </c>
      <c r="BF21" s="22">
        <f>BE21*(1+INDEX($Q21:$AJ21,1,(BF$4-1)*5+1))</f>
        <v/>
      </c>
      <c r="BG21" s="22">
        <f>BF21*(1+INDEX($Q21:$AJ21,1,(BG$4-1)*5+1))</f>
        <v/>
      </c>
      <c r="BH21" s="22">
        <f>BG21*(1+INDEX($Q21:$AJ21,1,(BH$4-1)*5+1))</f>
        <v/>
      </c>
      <c r="BI21" s="22">
        <f>BH21*(1+INDEX($Q21:$AJ21,1,(BI$4-1)*5+1))</f>
        <v/>
      </c>
      <c r="BJ21" s="22">
        <f>BI21*(1+INDEX($Q21:$AJ21,1,(BJ$4-1)*5+1))</f>
        <v/>
      </c>
      <c r="BK21" s="22">
        <f>BJ21*(1+INDEX($Q21:$AJ21,1,(BK$4-1)*5+1))</f>
        <v/>
      </c>
      <c r="BL21" s="22">
        <f>BK21*(1+INDEX($Q21:$AJ21,1,(BL$4-1)*5+1))</f>
        <v/>
      </c>
      <c r="BM21" s="22">
        <f>BL21*(1+INDEX($Q21:$AJ21,1,(BM$4-1)*5+1))</f>
        <v/>
      </c>
      <c r="BN21" s="22">
        <f>BM21*(1+INDEX($Q21:$AJ21,1,(BN$4-1)*5+1))</f>
        <v/>
      </c>
    </row>
    <row r="22">
      <c r="B22" s="5" t="inlineStr">
        <is>
          <t>die</t>
        </is>
      </c>
      <c r="C22" s="5" t="inlineStr">
        <is>
          <t>ral</t>
        </is>
      </c>
      <c r="D22" s="5" t="inlineStr">
        <is>
          <t>Pre-tax price | Rail | Diesel</t>
        </is>
      </c>
      <c r="E22" s="5" t="inlineStr">
        <is>
          <t>$/GJ</t>
        </is>
      </c>
      <c r="F22" s="5" t="inlineStr">
        <is>
          <t>Prices_dom (base year), then growth</t>
        </is>
      </c>
      <c r="G22" s="19" t="inlineStr">
        <is>
          <t>mit.sp.die</t>
        </is>
      </c>
      <c r="H22" s="19" t="inlineStr">
        <is>
          <t>mit.pbt.die.ral</t>
        </is>
      </c>
      <c r="J22" s="5">
        <f>INDEX(Mapping!$C$5:$C$20,MATCH($C22,Mapping!$A$5:$A$20,0))</f>
        <v/>
      </c>
      <c r="K22" s="5">
        <f>INDEX(Mapping!$D$5:$D$20,MATCH($C22,Mapping!$A$5:$A$20,0))</f>
        <v/>
      </c>
      <c r="L22" s="5">
        <f>INDEX(Mapping!$C$24:$C$31,MATCH($B22,Mapping!$A$24:$A$31,0))</f>
        <v/>
      </c>
      <c r="M22" s="5">
        <f>INDEX(Mapping!$D$24:$D$31,MATCH($B22,Mapping!$A$24:$A$31,0))</f>
        <v/>
      </c>
      <c r="N22" s="5">
        <f>$B22&amp;"."&amp;IF(INDEX(Mapping!$E$24:$E$31,MATCH($B22,Mapping!$A$24:$A$31,0))="sub",INDEX(Mapping!$F$5:$F$20,MATCH($C22,Mapping!$A$5:$A$20,0)),"all")</f>
        <v/>
      </c>
      <c r="O22" s="5">
        <f>INDEX(Mapping!$E$5:$E$20,MATCH($C22,Mapping!$A$5:$A$20,0))</f>
        <v/>
      </c>
      <c r="P22" s="5">
        <f>INDEX(Mapping!$G$24:$G$31,MATCH($B22,Mapping!$A$24:$A$31,0))</f>
        <v/>
      </c>
      <c r="Q22" s="20" t="n">
        <v>0</v>
      </c>
      <c r="R22" s="21" t="n"/>
      <c r="S22" s="21" t="n"/>
      <c r="T22" s="21" t="n"/>
      <c r="U22" s="21" t="n"/>
      <c r="V22" s="22">
        <f>Q22</f>
        <v/>
      </c>
      <c r="W22" s="21" t="n"/>
      <c r="X22" s="21" t="n"/>
      <c r="Y22" s="21" t="n"/>
      <c r="Z22" s="21" t="n"/>
      <c r="AA22" s="22">
        <f>Q22</f>
        <v/>
      </c>
      <c r="AB22" s="21" t="n"/>
      <c r="AC22" s="21" t="n"/>
      <c r="AD22" s="21" t="n"/>
      <c r="AE22" s="21" t="n"/>
      <c r="AF22" s="22">
        <f>Q22</f>
        <v/>
      </c>
      <c r="AG22" s="21" t="n"/>
      <c r="AH22" s="21" t="n"/>
      <c r="AI22" s="21" t="n"/>
      <c r="AJ22" s="21" t="n"/>
      <c r="AL22" s="23">
        <f>INDEX(Prices_dom!$A$6:$CU$2000,MATCH(Settings!$C$4&amp;AL$5,Prices_dom!$A$6:$A$2000,0),MATCH("mit.sp."&amp;$N22,Prices_dom!$A$5:$CU$5,0))/$P22</f>
        <v/>
      </c>
      <c r="AM22" s="22">
        <f>AL22*(1+INDEX($Q22:$AJ22,1,(AM$4-1)*5+1))</f>
        <v/>
      </c>
      <c r="AN22" s="22">
        <f>AM22*(1+INDEX($Q22:$AJ22,1,(AN$4-1)*5+1))</f>
        <v/>
      </c>
      <c r="AO22" s="22">
        <f>AN22*(1+INDEX($Q22:$AJ22,1,(AO$4-1)*5+1))</f>
        <v/>
      </c>
      <c r="AP22" s="22">
        <f>AO22*(1+INDEX($Q22:$AJ22,1,(AP$4-1)*5+1))</f>
        <v/>
      </c>
      <c r="AQ22" s="22">
        <f>AP22*(1+INDEX($Q22:$AJ22,1,(AQ$4-1)*5+1))</f>
        <v/>
      </c>
      <c r="AR22" s="22">
        <f>AQ22*(1+INDEX($Q22:$AJ22,1,(AR$4-1)*5+1))</f>
        <v/>
      </c>
      <c r="AS22" s="22">
        <f>AR22*(1+INDEX($Q22:$AJ22,1,(AS$4-1)*5+1))</f>
        <v/>
      </c>
      <c r="AT22" s="22">
        <f>AS22*(1+INDEX($Q22:$AJ22,1,(AT$4-1)*5+1))</f>
        <v/>
      </c>
      <c r="AU22" s="22">
        <f>AT22*(1+INDEX($Q22:$AJ22,1,(AU$4-1)*5+1))</f>
        <v/>
      </c>
      <c r="AV22" s="22">
        <f>AU22*(1+INDEX($Q22:$AJ22,1,(AV$4-1)*5+1))</f>
        <v/>
      </c>
      <c r="AW22" s="22">
        <f>AV22*(1+INDEX($Q22:$AJ22,1,(AW$4-1)*5+1))</f>
        <v/>
      </c>
      <c r="AX22" s="22">
        <f>AW22*(1+INDEX($Q22:$AJ22,1,(AX$4-1)*5+1))</f>
        <v/>
      </c>
      <c r="AY22" s="22">
        <f>AX22*(1+INDEX($Q22:$AJ22,1,(AY$4-1)*5+1))</f>
        <v/>
      </c>
      <c r="BA22" s="23">
        <f>INDEX(Prices_dom!$A$6:$CU$2000,MATCH(Settings!$C$4&amp;BA$5,Prices_dom!$A$6:$A$2000,0),MATCH("mit.sp."&amp;$N22,Prices_dom!$A$5:$CU$5,0))/$P22</f>
        <v/>
      </c>
      <c r="BB22" s="22">
        <f>BA22*(1+INDEX($Q22:$AJ22,1,(BB$4-1)*5+1))</f>
        <v/>
      </c>
      <c r="BC22" s="22">
        <f>BB22*(1+INDEX($Q22:$AJ22,1,(BC$4-1)*5+1))</f>
        <v/>
      </c>
      <c r="BD22" s="22">
        <f>BC22*(1+INDEX($Q22:$AJ22,1,(BD$4-1)*5+1))</f>
        <v/>
      </c>
      <c r="BE22" s="22">
        <f>BD22*(1+INDEX($Q22:$AJ22,1,(BE$4-1)*5+1))</f>
        <v/>
      </c>
      <c r="BF22" s="22">
        <f>BE22*(1+INDEX($Q22:$AJ22,1,(BF$4-1)*5+1))</f>
        <v/>
      </c>
      <c r="BG22" s="22">
        <f>BF22*(1+INDEX($Q22:$AJ22,1,(BG$4-1)*5+1))</f>
        <v/>
      </c>
      <c r="BH22" s="22">
        <f>BG22*(1+INDEX($Q22:$AJ22,1,(BH$4-1)*5+1))</f>
        <v/>
      </c>
      <c r="BI22" s="22">
        <f>BH22*(1+INDEX($Q22:$AJ22,1,(BI$4-1)*5+1))</f>
        <v/>
      </c>
      <c r="BJ22" s="22">
        <f>BI22*(1+INDEX($Q22:$AJ22,1,(BJ$4-1)*5+1))</f>
        <v/>
      </c>
      <c r="BK22" s="22">
        <f>BJ22*(1+INDEX($Q22:$AJ22,1,(BK$4-1)*5+1))</f>
        <v/>
      </c>
      <c r="BL22" s="22">
        <f>BK22*(1+INDEX($Q22:$AJ22,1,(BL$4-1)*5+1))</f>
        <v/>
      </c>
      <c r="BM22" s="22">
        <f>BL22*(1+INDEX($Q22:$AJ22,1,(BM$4-1)*5+1))</f>
        <v/>
      </c>
      <c r="BN22" s="22">
        <f>BM22*(1+INDEX($Q22:$AJ22,1,(BN$4-1)*5+1))</f>
        <v/>
      </c>
    </row>
    <row r="23">
      <c r="B23" s="5" t="inlineStr">
        <is>
          <t>lpg</t>
        </is>
      </c>
      <c r="C23" s="5" t="inlineStr">
        <is>
          <t>ral</t>
        </is>
      </c>
      <c r="D23" s="5" t="inlineStr">
        <is>
          <t>Pre-tax price | Rail | LPG</t>
        </is>
      </c>
      <c r="E23" s="5" t="inlineStr">
        <is>
          <t>$/GJ</t>
        </is>
      </c>
      <c r="F23" s="5" t="inlineStr">
        <is>
          <t>Prices_dom (base year), then growth</t>
        </is>
      </c>
      <c r="G23" s="19" t="inlineStr">
        <is>
          <t>mit.sp.lpg</t>
        </is>
      </c>
      <c r="H23" s="19" t="inlineStr">
        <is>
          <t>mit.pbt.lpg.ral</t>
        </is>
      </c>
      <c r="J23" s="5">
        <f>INDEX(Mapping!$C$5:$C$20,MATCH($C23,Mapping!$A$5:$A$20,0))</f>
        <v/>
      </c>
      <c r="K23" s="5">
        <f>INDEX(Mapping!$D$5:$D$20,MATCH($C23,Mapping!$A$5:$A$20,0))</f>
        <v/>
      </c>
      <c r="L23" s="5">
        <f>INDEX(Mapping!$C$24:$C$31,MATCH($B23,Mapping!$A$24:$A$31,0))</f>
        <v/>
      </c>
      <c r="M23" s="5">
        <f>INDEX(Mapping!$D$24:$D$31,MATCH($B23,Mapping!$A$24:$A$31,0))</f>
        <v/>
      </c>
      <c r="N23" s="5">
        <f>$B23&amp;"."&amp;IF(INDEX(Mapping!$E$24:$E$31,MATCH($B23,Mapping!$A$24:$A$31,0))="sub",INDEX(Mapping!$F$5:$F$20,MATCH($C23,Mapping!$A$5:$A$20,0)),"all")</f>
        <v/>
      </c>
      <c r="O23" s="5">
        <f>INDEX(Mapping!$E$5:$E$20,MATCH($C23,Mapping!$A$5:$A$20,0))</f>
        <v/>
      </c>
      <c r="P23" s="5">
        <f>INDEX(Mapping!$G$24:$G$31,MATCH($B23,Mapping!$A$24:$A$31,0))</f>
        <v/>
      </c>
      <c r="Q23" s="20" t="n">
        <v>0</v>
      </c>
      <c r="R23" s="21" t="n"/>
      <c r="S23" s="21" t="n"/>
      <c r="T23" s="21" t="n"/>
      <c r="U23" s="21" t="n"/>
      <c r="V23" s="22">
        <f>Q23</f>
        <v/>
      </c>
      <c r="W23" s="21" t="n"/>
      <c r="X23" s="21" t="n"/>
      <c r="Y23" s="21" t="n"/>
      <c r="Z23" s="21" t="n"/>
      <c r="AA23" s="22">
        <f>Q23</f>
        <v/>
      </c>
      <c r="AB23" s="21" t="n"/>
      <c r="AC23" s="21" t="n"/>
      <c r="AD23" s="21" t="n"/>
      <c r="AE23" s="21" t="n"/>
      <c r="AF23" s="22">
        <f>Q23</f>
        <v/>
      </c>
      <c r="AG23" s="21" t="n"/>
      <c r="AH23" s="21" t="n"/>
      <c r="AI23" s="21" t="n"/>
      <c r="AJ23" s="21" t="n"/>
      <c r="AL23" s="23">
        <f>INDEX(Prices_dom!$A$6:$CU$2000,MATCH(Settings!$C$4&amp;AL$5,Prices_dom!$A$6:$A$2000,0),MATCH("mit.sp."&amp;$N23,Prices_dom!$A$5:$CU$5,0))/$P23</f>
        <v/>
      </c>
      <c r="AM23" s="22">
        <f>AL23*(1+INDEX($Q23:$AJ23,1,(AM$4-1)*5+1))</f>
        <v/>
      </c>
      <c r="AN23" s="22">
        <f>AM23*(1+INDEX($Q23:$AJ23,1,(AN$4-1)*5+1))</f>
        <v/>
      </c>
      <c r="AO23" s="22">
        <f>AN23*(1+INDEX($Q23:$AJ23,1,(AO$4-1)*5+1))</f>
        <v/>
      </c>
      <c r="AP23" s="22">
        <f>AO23*(1+INDEX($Q23:$AJ23,1,(AP$4-1)*5+1))</f>
        <v/>
      </c>
      <c r="AQ23" s="22">
        <f>AP23*(1+INDEX($Q23:$AJ23,1,(AQ$4-1)*5+1))</f>
        <v/>
      </c>
      <c r="AR23" s="22">
        <f>AQ23*(1+INDEX($Q23:$AJ23,1,(AR$4-1)*5+1))</f>
        <v/>
      </c>
      <c r="AS23" s="22">
        <f>AR23*(1+INDEX($Q23:$AJ23,1,(AS$4-1)*5+1))</f>
        <v/>
      </c>
      <c r="AT23" s="22">
        <f>AS23*(1+INDEX($Q23:$AJ23,1,(AT$4-1)*5+1))</f>
        <v/>
      </c>
      <c r="AU23" s="22">
        <f>AT23*(1+INDEX($Q23:$AJ23,1,(AU$4-1)*5+1))</f>
        <v/>
      </c>
      <c r="AV23" s="22">
        <f>AU23*(1+INDEX($Q23:$AJ23,1,(AV$4-1)*5+1))</f>
        <v/>
      </c>
      <c r="AW23" s="22">
        <f>AV23*(1+INDEX($Q23:$AJ23,1,(AW$4-1)*5+1))</f>
        <v/>
      </c>
      <c r="AX23" s="22">
        <f>AW23*(1+INDEX($Q23:$AJ23,1,(AX$4-1)*5+1))</f>
        <v/>
      </c>
      <c r="AY23" s="22">
        <f>AX23*(1+INDEX($Q23:$AJ23,1,(AY$4-1)*5+1))</f>
        <v/>
      </c>
      <c r="BA23" s="23">
        <f>INDEX(Prices_dom!$A$6:$CU$2000,MATCH(Settings!$C$4&amp;BA$5,Prices_dom!$A$6:$A$2000,0),MATCH("mit.sp."&amp;$N23,Prices_dom!$A$5:$CU$5,0))/$P23</f>
        <v/>
      </c>
      <c r="BB23" s="22">
        <f>BA23*(1+INDEX($Q23:$AJ23,1,(BB$4-1)*5+1))</f>
        <v/>
      </c>
      <c r="BC23" s="22">
        <f>BB23*(1+INDEX($Q23:$AJ23,1,(BC$4-1)*5+1))</f>
        <v/>
      </c>
      <c r="BD23" s="22">
        <f>BC23*(1+INDEX($Q23:$AJ23,1,(BD$4-1)*5+1))</f>
        <v/>
      </c>
      <c r="BE23" s="22">
        <f>BD23*(1+INDEX($Q23:$AJ23,1,(BE$4-1)*5+1))</f>
        <v/>
      </c>
      <c r="BF23" s="22">
        <f>BE23*(1+INDEX($Q23:$AJ23,1,(BF$4-1)*5+1))</f>
        <v/>
      </c>
      <c r="BG23" s="22">
        <f>BF23*(1+INDEX($Q23:$AJ23,1,(BG$4-1)*5+1))</f>
        <v/>
      </c>
      <c r="BH23" s="22">
        <f>BG23*(1+INDEX($Q23:$AJ23,1,(BH$4-1)*5+1))</f>
        <v/>
      </c>
      <c r="BI23" s="22">
        <f>BH23*(1+INDEX($Q23:$AJ23,1,(BI$4-1)*5+1))</f>
        <v/>
      </c>
      <c r="BJ23" s="22">
        <f>BI23*(1+INDEX($Q23:$AJ23,1,(BJ$4-1)*5+1))</f>
        <v/>
      </c>
      <c r="BK23" s="22">
        <f>BJ23*(1+INDEX($Q23:$AJ23,1,(BK$4-1)*5+1))</f>
        <v/>
      </c>
      <c r="BL23" s="22">
        <f>BK23*(1+INDEX($Q23:$AJ23,1,(BL$4-1)*5+1))</f>
        <v/>
      </c>
      <c r="BM23" s="22">
        <f>BL23*(1+INDEX($Q23:$AJ23,1,(BM$4-1)*5+1))</f>
        <v/>
      </c>
      <c r="BN23" s="22">
        <f>BM23*(1+INDEX($Q23:$AJ23,1,(BN$4-1)*5+1))</f>
        <v/>
      </c>
    </row>
    <row r="24">
      <c r="B24" s="5" t="inlineStr">
        <is>
          <t>ker</t>
        </is>
      </c>
      <c r="C24" s="5" t="inlineStr">
        <is>
          <t>ral</t>
        </is>
      </c>
      <c r="D24" s="5" t="inlineStr">
        <is>
          <t>Pre-tax price | Rail | Kerosene</t>
        </is>
      </c>
      <c r="E24" s="5" t="inlineStr">
        <is>
          <t>$/GJ</t>
        </is>
      </c>
      <c r="F24" s="5" t="inlineStr">
        <is>
          <t>Prices_dom (base year), then growth</t>
        </is>
      </c>
      <c r="G24" s="19" t="inlineStr">
        <is>
          <t>mit.sp.ker</t>
        </is>
      </c>
      <c r="H24" s="19" t="inlineStr">
        <is>
          <t>mit.pbt.ker.ral</t>
        </is>
      </c>
      <c r="J24" s="5">
        <f>INDEX(Mapping!$C$5:$C$20,MATCH($C24,Mapping!$A$5:$A$20,0))</f>
        <v/>
      </c>
      <c r="K24" s="5">
        <f>INDEX(Mapping!$D$5:$D$20,MATCH($C24,Mapping!$A$5:$A$20,0))</f>
        <v/>
      </c>
      <c r="L24" s="5">
        <f>INDEX(Mapping!$C$24:$C$31,MATCH($B24,Mapping!$A$24:$A$31,0))</f>
        <v/>
      </c>
      <c r="M24" s="5">
        <f>INDEX(Mapping!$D$24:$D$31,MATCH($B24,Mapping!$A$24:$A$31,0))</f>
        <v/>
      </c>
      <c r="N24" s="5">
        <f>$B24&amp;"."&amp;IF(INDEX(Mapping!$E$24:$E$31,MATCH($B24,Mapping!$A$24:$A$31,0))="sub",INDEX(Mapping!$F$5:$F$20,MATCH($C24,Mapping!$A$5:$A$20,0)),"all")</f>
        <v/>
      </c>
      <c r="O24" s="5">
        <f>INDEX(Mapping!$E$5:$E$20,MATCH($C24,Mapping!$A$5:$A$20,0))</f>
        <v/>
      </c>
      <c r="P24" s="5">
        <f>INDEX(Mapping!$G$24:$G$31,MATCH($B24,Mapping!$A$24:$A$31,0))</f>
        <v/>
      </c>
      <c r="Q24" s="20" t="n">
        <v>0</v>
      </c>
      <c r="R24" s="21" t="n"/>
      <c r="S24" s="21" t="n"/>
      <c r="T24" s="21" t="n"/>
      <c r="U24" s="21" t="n"/>
      <c r="V24" s="22">
        <f>Q24</f>
        <v/>
      </c>
      <c r="W24" s="21" t="n"/>
      <c r="X24" s="21" t="n"/>
      <c r="Y24" s="21" t="n"/>
      <c r="Z24" s="21" t="n"/>
      <c r="AA24" s="22">
        <f>Q24</f>
        <v/>
      </c>
      <c r="AB24" s="21" t="n"/>
      <c r="AC24" s="21" t="n"/>
      <c r="AD24" s="21" t="n"/>
      <c r="AE24" s="21" t="n"/>
      <c r="AF24" s="22">
        <f>Q24</f>
        <v/>
      </c>
      <c r="AG24" s="21" t="n"/>
      <c r="AH24" s="21" t="n"/>
      <c r="AI24" s="21" t="n"/>
      <c r="AJ24" s="21" t="n"/>
      <c r="AL24" s="23">
        <f>INDEX(Prices_dom!$A$6:$CU$2000,MATCH(Settings!$C$4&amp;AL$5,Prices_dom!$A$6:$A$2000,0),MATCH("mit.sp."&amp;$N24,Prices_dom!$A$5:$CU$5,0))/$P24</f>
        <v/>
      </c>
      <c r="AM24" s="22">
        <f>AL24*(1+INDEX($Q24:$AJ24,1,(AM$4-1)*5+1))</f>
        <v/>
      </c>
      <c r="AN24" s="22">
        <f>AM24*(1+INDEX($Q24:$AJ24,1,(AN$4-1)*5+1))</f>
        <v/>
      </c>
      <c r="AO24" s="22">
        <f>AN24*(1+INDEX($Q24:$AJ24,1,(AO$4-1)*5+1))</f>
        <v/>
      </c>
      <c r="AP24" s="22">
        <f>AO24*(1+INDEX($Q24:$AJ24,1,(AP$4-1)*5+1))</f>
        <v/>
      </c>
      <c r="AQ24" s="22">
        <f>AP24*(1+INDEX($Q24:$AJ24,1,(AQ$4-1)*5+1))</f>
        <v/>
      </c>
      <c r="AR24" s="22">
        <f>AQ24*(1+INDEX($Q24:$AJ24,1,(AR$4-1)*5+1))</f>
        <v/>
      </c>
      <c r="AS24" s="22">
        <f>AR24*(1+INDEX($Q24:$AJ24,1,(AS$4-1)*5+1))</f>
        <v/>
      </c>
      <c r="AT24" s="22">
        <f>AS24*(1+INDEX($Q24:$AJ24,1,(AT$4-1)*5+1))</f>
        <v/>
      </c>
      <c r="AU24" s="22">
        <f>AT24*(1+INDEX($Q24:$AJ24,1,(AU$4-1)*5+1))</f>
        <v/>
      </c>
      <c r="AV24" s="22">
        <f>AU24*(1+INDEX($Q24:$AJ24,1,(AV$4-1)*5+1))</f>
        <v/>
      </c>
      <c r="AW24" s="22">
        <f>AV24*(1+INDEX($Q24:$AJ24,1,(AW$4-1)*5+1))</f>
        <v/>
      </c>
      <c r="AX24" s="22">
        <f>AW24*(1+INDEX($Q24:$AJ24,1,(AX$4-1)*5+1))</f>
        <v/>
      </c>
      <c r="AY24" s="22">
        <f>AX24*(1+INDEX($Q24:$AJ24,1,(AY$4-1)*5+1))</f>
        <v/>
      </c>
      <c r="BA24" s="23">
        <f>INDEX(Prices_dom!$A$6:$CU$2000,MATCH(Settings!$C$4&amp;BA$5,Prices_dom!$A$6:$A$2000,0),MATCH("mit.sp."&amp;$N24,Prices_dom!$A$5:$CU$5,0))/$P24</f>
        <v/>
      </c>
      <c r="BB24" s="22">
        <f>BA24*(1+INDEX($Q24:$AJ24,1,(BB$4-1)*5+1))</f>
        <v/>
      </c>
      <c r="BC24" s="22">
        <f>BB24*(1+INDEX($Q24:$AJ24,1,(BC$4-1)*5+1))</f>
        <v/>
      </c>
      <c r="BD24" s="22">
        <f>BC24*(1+INDEX($Q24:$AJ24,1,(BD$4-1)*5+1))</f>
        <v/>
      </c>
      <c r="BE24" s="22">
        <f>BD24*(1+INDEX($Q24:$AJ24,1,(BE$4-1)*5+1))</f>
        <v/>
      </c>
      <c r="BF24" s="22">
        <f>BE24*(1+INDEX($Q24:$AJ24,1,(BF$4-1)*5+1))</f>
        <v/>
      </c>
      <c r="BG24" s="22">
        <f>BF24*(1+INDEX($Q24:$AJ24,1,(BG$4-1)*5+1))</f>
        <v/>
      </c>
      <c r="BH24" s="22">
        <f>BG24*(1+INDEX($Q24:$AJ24,1,(BH$4-1)*5+1))</f>
        <v/>
      </c>
      <c r="BI24" s="22">
        <f>BH24*(1+INDEX($Q24:$AJ24,1,(BI$4-1)*5+1))</f>
        <v/>
      </c>
      <c r="BJ24" s="22">
        <f>BI24*(1+INDEX($Q24:$AJ24,1,(BJ$4-1)*5+1))</f>
        <v/>
      </c>
      <c r="BK24" s="22">
        <f>BJ24*(1+INDEX($Q24:$AJ24,1,(BK$4-1)*5+1))</f>
        <v/>
      </c>
      <c r="BL24" s="22">
        <f>BK24*(1+INDEX($Q24:$AJ24,1,(BL$4-1)*5+1))</f>
        <v/>
      </c>
      <c r="BM24" s="22">
        <f>BL24*(1+INDEX($Q24:$AJ24,1,(BM$4-1)*5+1))</f>
        <v/>
      </c>
      <c r="BN24" s="22">
        <f>BM24*(1+INDEX($Q24:$AJ24,1,(BN$4-1)*5+1))</f>
        <v/>
      </c>
    </row>
    <row r="25">
      <c r="B25" s="5" t="inlineStr">
        <is>
          <t>oop</t>
        </is>
      </c>
      <c r="C25" s="5" t="inlineStr">
        <is>
          <t>ral</t>
        </is>
      </c>
      <c r="D25" s="5" t="inlineStr">
        <is>
          <t>Pre-tax price | Rail | Other oil products</t>
        </is>
      </c>
      <c r="E25" s="5" t="inlineStr">
        <is>
          <t>$/GJ</t>
        </is>
      </c>
      <c r="F25" s="5" t="inlineStr">
        <is>
          <t>Prices_dom (base year), then growth</t>
        </is>
      </c>
      <c r="G25" s="19" t="inlineStr">
        <is>
          <t>mit.sp.oop</t>
        </is>
      </c>
      <c r="H25" s="19" t="inlineStr">
        <is>
          <t>mit.pbt.oop.ral</t>
        </is>
      </c>
      <c r="J25" s="5">
        <f>INDEX(Mapping!$C$5:$C$20,MATCH($C25,Mapping!$A$5:$A$20,0))</f>
        <v/>
      </c>
      <c r="K25" s="5">
        <f>INDEX(Mapping!$D$5:$D$20,MATCH($C25,Mapping!$A$5:$A$20,0))</f>
        <v/>
      </c>
      <c r="L25" s="5">
        <f>INDEX(Mapping!$C$24:$C$31,MATCH($B25,Mapping!$A$24:$A$31,0))</f>
        <v/>
      </c>
      <c r="M25" s="5">
        <f>INDEX(Mapping!$D$24:$D$31,MATCH($B25,Mapping!$A$24:$A$31,0))</f>
        <v/>
      </c>
      <c r="N25" s="5">
        <f>$B25&amp;"."&amp;IF(INDEX(Mapping!$E$24:$E$31,MATCH($B25,Mapping!$A$24:$A$31,0))="sub",INDEX(Mapping!$F$5:$F$20,MATCH($C25,Mapping!$A$5:$A$20,0)),"all")</f>
        <v/>
      </c>
      <c r="O25" s="5">
        <f>INDEX(Mapping!$E$5:$E$20,MATCH($C25,Mapping!$A$5:$A$20,0))</f>
        <v/>
      </c>
      <c r="P25" s="5">
        <f>INDEX(Mapping!$G$24:$G$31,MATCH($B25,Mapping!$A$24:$A$31,0))</f>
        <v/>
      </c>
      <c r="Q25" s="20" t="n">
        <v>0</v>
      </c>
      <c r="R25" s="21" t="n"/>
      <c r="S25" s="21" t="n"/>
      <c r="T25" s="21" t="n"/>
      <c r="U25" s="21" t="n"/>
      <c r="V25" s="22">
        <f>Q25</f>
        <v/>
      </c>
      <c r="W25" s="21" t="n"/>
      <c r="X25" s="21" t="n"/>
      <c r="Y25" s="21" t="n"/>
      <c r="Z25" s="21" t="n"/>
      <c r="AA25" s="22">
        <f>Q25</f>
        <v/>
      </c>
      <c r="AB25" s="21" t="n"/>
      <c r="AC25" s="21" t="n"/>
      <c r="AD25" s="21" t="n"/>
      <c r="AE25" s="21" t="n"/>
      <c r="AF25" s="22">
        <f>Q25</f>
        <v/>
      </c>
      <c r="AG25" s="21" t="n"/>
      <c r="AH25" s="21" t="n"/>
      <c r="AI25" s="21" t="n"/>
      <c r="AJ25" s="21" t="n"/>
      <c r="AL25" s="23">
        <f>INDEX(Prices_dom!$A$6:$CU$2000,MATCH(Settings!$C$4&amp;AL$5,Prices_dom!$A$6:$A$2000,0),MATCH("mit.sp."&amp;$N25,Prices_dom!$A$5:$CU$5,0))/$P25</f>
        <v/>
      </c>
      <c r="AM25" s="22">
        <f>AL25*(1+INDEX($Q25:$AJ25,1,(AM$4-1)*5+1))</f>
        <v/>
      </c>
      <c r="AN25" s="22">
        <f>AM25*(1+INDEX($Q25:$AJ25,1,(AN$4-1)*5+1))</f>
        <v/>
      </c>
      <c r="AO25" s="22">
        <f>AN25*(1+INDEX($Q25:$AJ25,1,(AO$4-1)*5+1))</f>
        <v/>
      </c>
      <c r="AP25" s="22">
        <f>AO25*(1+INDEX($Q25:$AJ25,1,(AP$4-1)*5+1))</f>
        <v/>
      </c>
      <c r="AQ25" s="22">
        <f>AP25*(1+INDEX($Q25:$AJ25,1,(AQ$4-1)*5+1))</f>
        <v/>
      </c>
      <c r="AR25" s="22">
        <f>AQ25*(1+INDEX($Q25:$AJ25,1,(AR$4-1)*5+1))</f>
        <v/>
      </c>
      <c r="AS25" s="22">
        <f>AR25*(1+INDEX($Q25:$AJ25,1,(AS$4-1)*5+1))</f>
        <v/>
      </c>
      <c r="AT25" s="22">
        <f>AS25*(1+INDEX($Q25:$AJ25,1,(AT$4-1)*5+1))</f>
        <v/>
      </c>
      <c r="AU25" s="22">
        <f>AT25*(1+INDEX($Q25:$AJ25,1,(AU$4-1)*5+1))</f>
        <v/>
      </c>
      <c r="AV25" s="22">
        <f>AU25*(1+INDEX($Q25:$AJ25,1,(AV$4-1)*5+1))</f>
        <v/>
      </c>
      <c r="AW25" s="22">
        <f>AV25*(1+INDEX($Q25:$AJ25,1,(AW$4-1)*5+1))</f>
        <v/>
      </c>
      <c r="AX25" s="22">
        <f>AW25*(1+INDEX($Q25:$AJ25,1,(AX$4-1)*5+1))</f>
        <v/>
      </c>
      <c r="AY25" s="22">
        <f>AX25*(1+INDEX($Q25:$AJ25,1,(AY$4-1)*5+1))</f>
        <v/>
      </c>
      <c r="BA25" s="23">
        <f>INDEX(Prices_dom!$A$6:$CU$2000,MATCH(Settings!$C$4&amp;BA$5,Prices_dom!$A$6:$A$2000,0),MATCH("mit.sp."&amp;$N25,Prices_dom!$A$5:$CU$5,0))/$P25</f>
        <v/>
      </c>
      <c r="BB25" s="22">
        <f>BA25*(1+INDEX($Q25:$AJ25,1,(BB$4-1)*5+1))</f>
        <v/>
      </c>
      <c r="BC25" s="22">
        <f>BB25*(1+INDEX($Q25:$AJ25,1,(BC$4-1)*5+1))</f>
        <v/>
      </c>
      <c r="BD25" s="22">
        <f>BC25*(1+INDEX($Q25:$AJ25,1,(BD$4-1)*5+1))</f>
        <v/>
      </c>
      <c r="BE25" s="22">
        <f>BD25*(1+INDEX($Q25:$AJ25,1,(BE$4-1)*5+1))</f>
        <v/>
      </c>
      <c r="BF25" s="22">
        <f>BE25*(1+INDEX($Q25:$AJ25,1,(BF$4-1)*5+1))</f>
        <v/>
      </c>
      <c r="BG25" s="22">
        <f>BF25*(1+INDEX($Q25:$AJ25,1,(BG$4-1)*5+1))</f>
        <v/>
      </c>
      <c r="BH25" s="22">
        <f>BG25*(1+INDEX($Q25:$AJ25,1,(BH$4-1)*5+1))</f>
        <v/>
      </c>
      <c r="BI25" s="22">
        <f>BH25*(1+INDEX($Q25:$AJ25,1,(BI$4-1)*5+1))</f>
        <v/>
      </c>
      <c r="BJ25" s="22">
        <f>BI25*(1+INDEX($Q25:$AJ25,1,(BJ$4-1)*5+1))</f>
        <v/>
      </c>
      <c r="BK25" s="22">
        <f>BJ25*(1+INDEX($Q25:$AJ25,1,(BK$4-1)*5+1))</f>
        <v/>
      </c>
      <c r="BL25" s="22">
        <f>BK25*(1+INDEX($Q25:$AJ25,1,(BL$4-1)*5+1))</f>
        <v/>
      </c>
      <c r="BM25" s="22">
        <f>BL25*(1+INDEX($Q25:$AJ25,1,(BM$4-1)*5+1))</f>
        <v/>
      </c>
      <c r="BN25" s="22">
        <f>BM25*(1+INDEX($Q25:$AJ25,1,(BN$4-1)*5+1))</f>
        <v/>
      </c>
    </row>
    <row r="26">
      <c r="B26" s="5" t="inlineStr">
        <is>
          <t>bio</t>
        </is>
      </c>
      <c r="C26" s="5" t="inlineStr">
        <is>
          <t>ral</t>
        </is>
      </c>
      <c r="D26" s="5" t="inlineStr">
        <is>
          <t>Pre-tax price | Rail | Biomass</t>
        </is>
      </c>
      <c r="E26" s="5" t="inlineStr">
        <is>
          <t>$/GJ</t>
        </is>
      </c>
      <c r="F26" s="5" t="inlineStr">
        <is>
          <t>Prices_dom (base year), then growth</t>
        </is>
      </c>
      <c r="G26" s="19" t="inlineStr">
        <is>
          <t>mit.sp.bio</t>
        </is>
      </c>
      <c r="H26" s="19" t="inlineStr">
        <is>
          <t>mit.pbt.bio.ral</t>
        </is>
      </c>
      <c r="J26" s="5">
        <f>INDEX(Mapping!$C$5:$C$20,MATCH($C26,Mapping!$A$5:$A$20,0))</f>
        <v/>
      </c>
      <c r="K26" s="5">
        <f>INDEX(Mapping!$D$5:$D$20,MATCH($C26,Mapping!$A$5:$A$20,0))</f>
        <v/>
      </c>
      <c r="L26" s="5">
        <f>INDEX(Mapping!$C$24:$C$31,MATCH($B26,Mapping!$A$24:$A$31,0))</f>
        <v/>
      </c>
      <c r="M26" s="5">
        <f>INDEX(Mapping!$D$24:$D$31,MATCH($B26,Mapping!$A$24:$A$31,0))</f>
        <v/>
      </c>
      <c r="N26" s="5">
        <f>$B26&amp;"."&amp;IF(INDEX(Mapping!$E$24:$E$31,MATCH($B26,Mapping!$A$24:$A$31,0))="sub",INDEX(Mapping!$F$5:$F$20,MATCH($C26,Mapping!$A$5:$A$20,0)),"all")</f>
        <v/>
      </c>
      <c r="O26" s="5">
        <f>INDEX(Mapping!$E$5:$E$20,MATCH($C26,Mapping!$A$5:$A$20,0))</f>
        <v/>
      </c>
      <c r="P26" s="5">
        <f>INDEX(Mapping!$G$24:$G$31,MATCH($B26,Mapping!$A$24:$A$31,0))</f>
        <v/>
      </c>
      <c r="Q26" s="20" t="n">
        <v>0</v>
      </c>
      <c r="R26" s="21" t="n"/>
      <c r="S26" s="21" t="n"/>
      <c r="T26" s="21" t="n"/>
      <c r="U26" s="21" t="n"/>
      <c r="V26" s="22">
        <f>Q26</f>
        <v/>
      </c>
      <c r="W26" s="21" t="n"/>
      <c r="X26" s="21" t="n"/>
      <c r="Y26" s="21" t="n"/>
      <c r="Z26" s="21" t="n"/>
      <c r="AA26" s="22">
        <f>Q26</f>
        <v/>
      </c>
      <c r="AB26" s="21" t="n"/>
      <c r="AC26" s="21" t="n"/>
      <c r="AD26" s="21" t="n"/>
      <c r="AE26" s="21" t="n"/>
      <c r="AF26" s="22">
        <f>Q26</f>
        <v/>
      </c>
      <c r="AG26" s="21" t="n"/>
      <c r="AH26" s="21" t="n"/>
      <c r="AI26" s="21" t="n"/>
      <c r="AJ26" s="21" t="n"/>
      <c r="AL26" s="23">
        <f>INDEX(Prices_dom!$A$6:$CU$2000,MATCH(Settings!$C$4&amp;AL$5,Prices_dom!$A$6:$A$2000,0),MATCH("mit.sp."&amp;$N26,Prices_dom!$A$5:$CU$5,0))/$P26</f>
        <v/>
      </c>
      <c r="AM26" s="22">
        <f>AL26*(1+INDEX($Q26:$AJ26,1,(AM$4-1)*5+1))</f>
        <v/>
      </c>
      <c r="AN26" s="22">
        <f>AM26*(1+INDEX($Q26:$AJ26,1,(AN$4-1)*5+1))</f>
        <v/>
      </c>
      <c r="AO26" s="22">
        <f>AN26*(1+INDEX($Q26:$AJ26,1,(AO$4-1)*5+1))</f>
        <v/>
      </c>
      <c r="AP26" s="22">
        <f>AO26*(1+INDEX($Q26:$AJ26,1,(AP$4-1)*5+1))</f>
        <v/>
      </c>
      <c r="AQ26" s="22">
        <f>AP26*(1+INDEX($Q26:$AJ26,1,(AQ$4-1)*5+1))</f>
        <v/>
      </c>
      <c r="AR26" s="22">
        <f>AQ26*(1+INDEX($Q26:$AJ26,1,(AR$4-1)*5+1))</f>
        <v/>
      </c>
      <c r="AS26" s="22">
        <f>AR26*(1+INDEX($Q26:$AJ26,1,(AS$4-1)*5+1))</f>
        <v/>
      </c>
      <c r="AT26" s="22">
        <f>AS26*(1+INDEX($Q26:$AJ26,1,(AT$4-1)*5+1))</f>
        <v/>
      </c>
      <c r="AU26" s="22">
        <f>AT26*(1+INDEX($Q26:$AJ26,1,(AU$4-1)*5+1))</f>
        <v/>
      </c>
      <c r="AV26" s="22">
        <f>AU26*(1+INDEX($Q26:$AJ26,1,(AV$4-1)*5+1))</f>
        <v/>
      </c>
      <c r="AW26" s="22">
        <f>AV26*(1+INDEX($Q26:$AJ26,1,(AW$4-1)*5+1))</f>
        <v/>
      </c>
      <c r="AX26" s="22">
        <f>AW26*(1+INDEX($Q26:$AJ26,1,(AX$4-1)*5+1))</f>
        <v/>
      </c>
      <c r="AY26" s="22">
        <f>AX26*(1+INDEX($Q26:$AJ26,1,(AY$4-1)*5+1))</f>
        <v/>
      </c>
      <c r="BA26" s="23">
        <f>INDEX(Prices_dom!$A$6:$CU$2000,MATCH(Settings!$C$4&amp;BA$5,Prices_dom!$A$6:$A$2000,0),MATCH("mit.sp."&amp;$N26,Prices_dom!$A$5:$CU$5,0))/$P26</f>
        <v/>
      </c>
      <c r="BB26" s="22">
        <f>BA26*(1+INDEX($Q26:$AJ26,1,(BB$4-1)*5+1))</f>
        <v/>
      </c>
      <c r="BC26" s="22">
        <f>BB26*(1+INDEX($Q26:$AJ26,1,(BC$4-1)*5+1))</f>
        <v/>
      </c>
      <c r="BD26" s="22">
        <f>BC26*(1+INDEX($Q26:$AJ26,1,(BD$4-1)*5+1))</f>
        <v/>
      </c>
      <c r="BE26" s="22">
        <f>BD26*(1+INDEX($Q26:$AJ26,1,(BE$4-1)*5+1))</f>
        <v/>
      </c>
      <c r="BF26" s="22">
        <f>BE26*(1+INDEX($Q26:$AJ26,1,(BF$4-1)*5+1))</f>
        <v/>
      </c>
      <c r="BG26" s="22">
        <f>BF26*(1+INDEX($Q26:$AJ26,1,(BG$4-1)*5+1))</f>
        <v/>
      </c>
      <c r="BH26" s="22">
        <f>BG26*(1+INDEX($Q26:$AJ26,1,(BH$4-1)*5+1))</f>
        <v/>
      </c>
      <c r="BI26" s="22">
        <f>BH26*(1+INDEX($Q26:$AJ26,1,(BI$4-1)*5+1))</f>
        <v/>
      </c>
      <c r="BJ26" s="22">
        <f>BI26*(1+INDEX($Q26:$AJ26,1,(BJ$4-1)*5+1))</f>
        <v/>
      </c>
      <c r="BK26" s="22">
        <f>BJ26*(1+INDEX($Q26:$AJ26,1,(BK$4-1)*5+1))</f>
        <v/>
      </c>
      <c r="BL26" s="22">
        <f>BK26*(1+INDEX($Q26:$AJ26,1,(BL$4-1)*5+1))</f>
        <v/>
      </c>
      <c r="BM26" s="22">
        <f>BL26*(1+INDEX($Q26:$AJ26,1,(BM$4-1)*5+1))</f>
        <v/>
      </c>
      <c r="BN26" s="22">
        <f>BM26*(1+INDEX($Q26:$AJ26,1,(BN$4-1)*5+1))</f>
        <v/>
      </c>
    </row>
    <row r="27">
      <c r="B27" s="5" t="inlineStr">
        <is>
          <t>coa</t>
        </is>
      </c>
      <c r="C27" s="5" t="inlineStr">
        <is>
          <t>avi</t>
        </is>
      </c>
      <c r="D27" s="5" t="inlineStr">
        <is>
          <t>Pre-tax price | Domestic aviation | Coal</t>
        </is>
      </c>
      <c r="E27" s="5" t="inlineStr">
        <is>
          <t>$/GJ</t>
        </is>
      </c>
      <c r="F27" s="5" t="inlineStr">
        <is>
          <t>Prices_dom (base year), then growth</t>
        </is>
      </c>
      <c r="G27" s="19" t="inlineStr">
        <is>
          <t>mit.sp.coa</t>
        </is>
      </c>
      <c r="H27" s="19" t="inlineStr">
        <is>
          <t>mit.pbt.coa.avi</t>
        </is>
      </c>
      <c r="J27" s="5">
        <f>INDEX(Mapping!$C$5:$C$20,MATCH($C27,Mapping!$A$5:$A$20,0))</f>
        <v/>
      </c>
      <c r="K27" s="5">
        <f>INDEX(Mapping!$D$5:$D$20,MATCH($C27,Mapping!$A$5:$A$20,0))</f>
        <v/>
      </c>
      <c r="L27" s="5">
        <f>INDEX(Mapping!$C$24:$C$31,MATCH($B27,Mapping!$A$24:$A$31,0))</f>
        <v/>
      </c>
      <c r="M27" s="5">
        <f>INDEX(Mapping!$D$24:$D$31,MATCH($B27,Mapping!$A$24:$A$31,0))</f>
        <v/>
      </c>
      <c r="N27" s="5">
        <f>$B27&amp;"."&amp;IF(INDEX(Mapping!$E$24:$E$31,MATCH($B27,Mapping!$A$24:$A$31,0))="sub",INDEX(Mapping!$F$5:$F$20,MATCH($C27,Mapping!$A$5:$A$20,0)),"all")</f>
        <v/>
      </c>
      <c r="O27" s="5">
        <f>INDEX(Mapping!$E$5:$E$20,MATCH($C27,Mapping!$A$5:$A$20,0))</f>
        <v/>
      </c>
      <c r="P27" s="5">
        <f>INDEX(Mapping!$G$24:$G$31,MATCH($B27,Mapping!$A$24:$A$31,0))</f>
        <v/>
      </c>
      <c r="Q27" s="20" t="n">
        <v>0</v>
      </c>
      <c r="R27" s="21" t="n"/>
      <c r="S27" s="21" t="n"/>
      <c r="T27" s="21" t="n"/>
      <c r="U27" s="21" t="n"/>
      <c r="V27" s="22">
        <f>Q27</f>
        <v/>
      </c>
      <c r="W27" s="21" t="n"/>
      <c r="X27" s="21" t="n"/>
      <c r="Y27" s="21" t="n"/>
      <c r="Z27" s="21" t="n"/>
      <c r="AA27" s="22">
        <f>Q27</f>
        <v/>
      </c>
      <c r="AB27" s="21" t="n"/>
      <c r="AC27" s="21" t="n"/>
      <c r="AD27" s="21" t="n"/>
      <c r="AE27" s="21" t="n"/>
      <c r="AF27" s="22">
        <f>Q27</f>
        <v/>
      </c>
      <c r="AG27" s="21" t="n"/>
      <c r="AH27" s="21" t="n"/>
      <c r="AI27" s="21" t="n"/>
      <c r="AJ27" s="21" t="n"/>
      <c r="AL27" s="23">
        <f>INDEX(Prices_dom!$A$6:$CU$2000,MATCH(Settings!$C$4&amp;AL$5,Prices_dom!$A$6:$A$2000,0),MATCH("mit.sp."&amp;$N27,Prices_dom!$A$5:$CU$5,0))/$P27</f>
        <v/>
      </c>
      <c r="AM27" s="22">
        <f>AL27*(1+INDEX($Q27:$AJ27,1,(AM$4-1)*5+1))</f>
        <v/>
      </c>
      <c r="AN27" s="22">
        <f>AM27*(1+INDEX($Q27:$AJ27,1,(AN$4-1)*5+1))</f>
        <v/>
      </c>
      <c r="AO27" s="22">
        <f>AN27*(1+INDEX($Q27:$AJ27,1,(AO$4-1)*5+1))</f>
        <v/>
      </c>
      <c r="AP27" s="22">
        <f>AO27*(1+INDEX($Q27:$AJ27,1,(AP$4-1)*5+1))</f>
        <v/>
      </c>
      <c r="AQ27" s="22">
        <f>AP27*(1+INDEX($Q27:$AJ27,1,(AQ$4-1)*5+1))</f>
        <v/>
      </c>
      <c r="AR27" s="22">
        <f>AQ27*(1+INDEX($Q27:$AJ27,1,(AR$4-1)*5+1))</f>
        <v/>
      </c>
      <c r="AS27" s="22">
        <f>AR27*(1+INDEX($Q27:$AJ27,1,(AS$4-1)*5+1))</f>
        <v/>
      </c>
      <c r="AT27" s="22">
        <f>AS27*(1+INDEX($Q27:$AJ27,1,(AT$4-1)*5+1))</f>
        <v/>
      </c>
      <c r="AU27" s="22">
        <f>AT27*(1+INDEX($Q27:$AJ27,1,(AU$4-1)*5+1))</f>
        <v/>
      </c>
      <c r="AV27" s="22">
        <f>AU27*(1+INDEX($Q27:$AJ27,1,(AV$4-1)*5+1))</f>
        <v/>
      </c>
      <c r="AW27" s="22">
        <f>AV27*(1+INDEX($Q27:$AJ27,1,(AW$4-1)*5+1))</f>
        <v/>
      </c>
      <c r="AX27" s="22">
        <f>AW27*(1+INDEX($Q27:$AJ27,1,(AX$4-1)*5+1))</f>
        <v/>
      </c>
      <c r="AY27" s="22">
        <f>AX27*(1+INDEX($Q27:$AJ27,1,(AY$4-1)*5+1))</f>
        <v/>
      </c>
      <c r="BA27" s="23">
        <f>INDEX(Prices_dom!$A$6:$CU$2000,MATCH(Settings!$C$4&amp;BA$5,Prices_dom!$A$6:$A$2000,0),MATCH("mit.sp."&amp;$N27,Prices_dom!$A$5:$CU$5,0))/$P27</f>
        <v/>
      </c>
      <c r="BB27" s="22">
        <f>BA27*(1+INDEX($Q27:$AJ27,1,(BB$4-1)*5+1))</f>
        <v/>
      </c>
      <c r="BC27" s="22">
        <f>BB27*(1+INDEX($Q27:$AJ27,1,(BC$4-1)*5+1))</f>
        <v/>
      </c>
      <c r="BD27" s="22">
        <f>BC27*(1+INDEX($Q27:$AJ27,1,(BD$4-1)*5+1))</f>
        <v/>
      </c>
      <c r="BE27" s="22">
        <f>BD27*(1+INDEX($Q27:$AJ27,1,(BE$4-1)*5+1))</f>
        <v/>
      </c>
      <c r="BF27" s="22">
        <f>BE27*(1+INDEX($Q27:$AJ27,1,(BF$4-1)*5+1))</f>
        <v/>
      </c>
      <c r="BG27" s="22">
        <f>BF27*(1+INDEX($Q27:$AJ27,1,(BG$4-1)*5+1))</f>
        <v/>
      </c>
      <c r="BH27" s="22">
        <f>BG27*(1+INDEX($Q27:$AJ27,1,(BH$4-1)*5+1))</f>
        <v/>
      </c>
      <c r="BI27" s="22">
        <f>BH27*(1+INDEX($Q27:$AJ27,1,(BI$4-1)*5+1))</f>
        <v/>
      </c>
      <c r="BJ27" s="22">
        <f>BI27*(1+INDEX($Q27:$AJ27,1,(BJ$4-1)*5+1))</f>
        <v/>
      </c>
      <c r="BK27" s="22">
        <f>BJ27*(1+INDEX($Q27:$AJ27,1,(BK$4-1)*5+1))</f>
        <v/>
      </c>
      <c r="BL27" s="22">
        <f>BK27*(1+INDEX($Q27:$AJ27,1,(BL$4-1)*5+1))</f>
        <v/>
      </c>
      <c r="BM27" s="22">
        <f>BL27*(1+INDEX($Q27:$AJ27,1,(BM$4-1)*5+1))</f>
        <v/>
      </c>
      <c r="BN27" s="22">
        <f>BM27*(1+INDEX($Q27:$AJ27,1,(BN$4-1)*5+1))</f>
        <v/>
      </c>
    </row>
    <row r="28">
      <c r="B28" s="5" t="inlineStr">
        <is>
          <t>nga</t>
        </is>
      </c>
      <c r="C28" s="5" t="inlineStr">
        <is>
          <t>avi</t>
        </is>
      </c>
      <c r="D28" s="5" t="inlineStr">
        <is>
          <t>Pre-tax price | Domestic aviation | Natural gas</t>
        </is>
      </c>
      <c r="E28" s="5" t="inlineStr">
        <is>
          <t>$/GJ</t>
        </is>
      </c>
      <c r="F28" s="5" t="inlineStr">
        <is>
          <t>Prices_dom (base year), then growth</t>
        </is>
      </c>
      <c r="G28" s="19" t="inlineStr">
        <is>
          <t>mit.sp.nga</t>
        </is>
      </c>
      <c r="H28" s="19" t="inlineStr">
        <is>
          <t>mit.pbt.nga.avi</t>
        </is>
      </c>
      <c r="J28" s="5">
        <f>INDEX(Mapping!$C$5:$C$20,MATCH($C28,Mapping!$A$5:$A$20,0))</f>
        <v/>
      </c>
      <c r="K28" s="5">
        <f>INDEX(Mapping!$D$5:$D$20,MATCH($C28,Mapping!$A$5:$A$20,0))</f>
        <v/>
      </c>
      <c r="L28" s="5">
        <f>INDEX(Mapping!$C$24:$C$31,MATCH($B28,Mapping!$A$24:$A$31,0))</f>
        <v/>
      </c>
      <c r="M28" s="5">
        <f>INDEX(Mapping!$D$24:$D$31,MATCH($B28,Mapping!$A$24:$A$31,0))</f>
        <v/>
      </c>
      <c r="N28" s="5">
        <f>$B28&amp;"."&amp;IF(INDEX(Mapping!$E$24:$E$31,MATCH($B28,Mapping!$A$24:$A$31,0))="sub",INDEX(Mapping!$F$5:$F$20,MATCH($C28,Mapping!$A$5:$A$20,0)),"all")</f>
        <v/>
      </c>
      <c r="O28" s="5">
        <f>INDEX(Mapping!$E$5:$E$20,MATCH($C28,Mapping!$A$5:$A$20,0))</f>
        <v/>
      </c>
      <c r="P28" s="5">
        <f>INDEX(Mapping!$G$24:$G$31,MATCH($B28,Mapping!$A$24:$A$31,0))</f>
        <v/>
      </c>
      <c r="Q28" s="20" t="n">
        <v>0</v>
      </c>
      <c r="R28" s="21" t="n"/>
      <c r="S28" s="21" t="n"/>
      <c r="T28" s="21" t="n"/>
      <c r="U28" s="21" t="n"/>
      <c r="V28" s="22">
        <f>Q28</f>
        <v/>
      </c>
      <c r="W28" s="21" t="n"/>
      <c r="X28" s="21" t="n"/>
      <c r="Y28" s="21" t="n"/>
      <c r="Z28" s="21" t="n"/>
      <c r="AA28" s="22">
        <f>Q28</f>
        <v/>
      </c>
      <c r="AB28" s="21" t="n"/>
      <c r="AC28" s="21" t="n"/>
      <c r="AD28" s="21" t="n"/>
      <c r="AE28" s="21" t="n"/>
      <c r="AF28" s="22">
        <f>Q28</f>
        <v/>
      </c>
      <c r="AG28" s="21" t="n"/>
      <c r="AH28" s="21" t="n"/>
      <c r="AI28" s="21" t="n"/>
      <c r="AJ28" s="21" t="n"/>
      <c r="AL28" s="23">
        <f>INDEX(Prices_dom!$A$6:$CU$2000,MATCH(Settings!$C$4&amp;AL$5,Prices_dom!$A$6:$A$2000,0),MATCH("mit.sp."&amp;$N28,Prices_dom!$A$5:$CU$5,0))/$P28</f>
        <v/>
      </c>
      <c r="AM28" s="22">
        <f>AL28*(1+INDEX($Q28:$AJ28,1,(AM$4-1)*5+1))</f>
        <v/>
      </c>
      <c r="AN28" s="22">
        <f>AM28*(1+INDEX($Q28:$AJ28,1,(AN$4-1)*5+1))</f>
        <v/>
      </c>
      <c r="AO28" s="22">
        <f>AN28*(1+INDEX($Q28:$AJ28,1,(AO$4-1)*5+1))</f>
        <v/>
      </c>
      <c r="AP28" s="22">
        <f>AO28*(1+INDEX($Q28:$AJ28,1,(AP$4-1)*5+1))</f>
        <v/>
      </c>
      <c r="AQ28" s="22">
        <f>AP28*(1+INDEX($Q28:$AJ28,1,(AQ$4-1)*5+1))</f>
        <v/>
      </c>
      <c r="AR28" s="22">
        <f>AQ28*(1+INDEX($Q28:$AJ28,1,(AR$4-1)*5+1))</f>
        <v/>
      </c>
      <c r="AS28" s="22">
        <f>AR28*(1+INDEX($Q28:$AJ28,1,(AS$4-1)*5+1))</f>
        <v/>
      </c>
      <c r="AT28" s="22">
        <f>AS28*(1+INDEX($Q28:$AJ28,1,(AT$4-1)*5+1))</f>
        <v/>
      </c>
      <c r="AU28" s="22">
        <f>AT28*(1+INDEX($Q28:$AJ28,1,(AU$4-1)*5+1))</f>
        <v/>
      </c>
      <c r="AV28" s="22">
        <f>AU28*(1+INDEX($Q28:$AJ28,1,(AV$4-1)*5+1))</f>
        <v/>
      </c>
      <c r="AW28" s="22">
        <f>AV28*(1+INDEX($Q28:$AJ28,1,(AW$4-1)*5+1))</f>
        <v/>
      </c>
      <c r="AX28" s="22">
        <f>AW28*(1+INDEX($Q28:$AJ28,1,(AX$4-1)*5+1))</f>
        <v/>
      </c>
      <c r="AY28" s="22">
        <f>AX28*(1+INDEX($Q28:$AJ28,1,(AY$4-1)*5+1))</f>
        <v/>
      </c>
      <c r="BA28" s="23">
        <f>INDEX(Prices_dom!$A$6:$CU$2000,MATCH(Settings!$C$4&amp;BA$5,Prices_dom!$A$6:$A$2000,0),MATCH("mit.sp."&amp;$N28,Prices_dom!$A$5:$CU$5,0))/$P28</f>
        <v/>
      </c>
      <c r="BB28" s="22">
        <f>BA28*(1+INDEX($Q28:$AJ28,1,(BB$4-1)*5+1))</f>
        <v/>
      </c>
      <c r="BC28" s="22">
        <f>BB28*(1+INDEX($Q28:$AJ28,1,(BC$4-1)*5+1))</f>
        <v/>
      </c>
      <c r="BD28" s="22">
        <f>BC28*(1+INDEX($Q28:$AJ28,1,(BD$4-1)*5+1))</f>
        <v/>
      </c>
      <c r="BE28" s="22">
        <f>BD28*(1+INDEX($Q28:$AJ28,1,(BE$4-1)*5+1))</f>
        <v/>
      </c>
      <c r="BF28" s="22">
        <f>BE28*(1+INDEX($Q28:$AJ28,1,(BF$4-1)*5+1))</f>
        <v/>
      </c>
      <c r="BG28" s="22">
        <f>BF28*(1+INDEX($Q28:$AJ28,1,(BG$4-1)*5+1))</f>
        <v/>
      </c>
      <c r="BH28" s="22">
        <f>BG28*(1+INDEX($Q28:$AJ28,1,(BH$4-1)*5+1))</f>
        <v/>
      </c>
      <c r="BI28" s="22">
        <f>BH28*(1+INDEX($Q28:$AJ28,1,(BI$4-1)*5+1))</f>
        <v/>
      </c>
      <c r="BJ28" s="22">
        <f>BI28*(1+INDEX($Q28:$AJ28,1,(BJ$4-1)*5+1))</f>
        <v/>
      </c>
      <c r="BK28" s="22">
        <f>BJ28*(1+INDEX($Q28:$AJ28,1,(BK$4-1)*5+1))</f>
        <v/>
      </c>
      <c r="BL28" s="22">
        <f>BK28*(1+INDEX($Q28:$AJ28,1,(BL$4-1)*5+1))</f>
        <v/>
      </c>
      <c r="BM28" s="22">
        <f>BL28*(1+INDEX($Q28:$AJ28,1,(BM$4-1)*5+1))</f>
        <v/>
      </c>
      <c r="BN28" s="22">
        <f>BM28*(1+INDEX($Q28:$AJ28,1,(BN$4-1)*5+1))</f>
        <v/>
      </c>
    </row>
    <row r="29">
      <c r="B29" s="5" t="inlineStr">
        <is>
          <t>gso</t>
        </is>
      </c>
      <c r="C29" s="5" t="inlineStr">
        <is>
          <t>avi</t>
        </is>
      </c>
      <c r="D29" s="5" t="inlineStr">
        <is>
          <t>Pre-tax price | Domestic aviation | Gasoline</t>
        </is>
      </c>
      <c r="E29" s="5" t="inlineStr">
        <is>
          <t>$/GJ</t>
        </is>
      </c>
      <c r="F29" s="5" t="inlineStr">
        <is>
          <t>Prices_dom (base year), then growth</t>
        </is>
      </c>
      <c r="G29" s="19" t="inlineStr">
        <is>
          <t>mit.sp.gso</t>
        </is>
      </c>
      <c r="H29" s="19" t="inlineStr">
        <is>
          <t>mit.pbt.gso.avi</t>
        </is>
      </c>
      <c r="J29" s="5">
        <f>INDEX(Mapping!$C$5:$C$20,MATCH($C29,Mapping!$A$5:$A$20,0))</f>
        <v/>
      </c>
      <c r="K29" s="5">
        <f>INDEX(Mapping!$D$5:$D$20,MATCH($C29,Mapping!$A$5:$A$20,0))</f>
        <v/>
      </c>
      <c r="L29" s="5">
        <f>INDEX(Mapping!$C$24:$C$31,MATCH($B29,Mapping!$A$24:$A$31,0))</f>
        <v/>
      </c>
      <c r="M29" s="5">
        <f>INDEX(Mapping!$D$24:$D$31,MATCH($B29,Mapping!$A$24:$A$31,0))</f>
        <v/>
      </c>
      <c r="N29" s="5">
        <f>$B29&amp;"."&amp;IF(INDEX(Mapping!$E$24:$E$31,MATCH($B29,Mapping!$A$24:$A$31,0))="sub",INDEX(Mapping!$F$5:$F$20,MATCH($C29,Mapping!$A$5:$A$20,0)),"all")</f>
        <v/>
      </c>
      <c r="O29" s="5">
        <f>INDEX(Mapping!$E$5:$E$20,MATCH($C29,Mapping!$A$5:$A$20,0))</f>
        <v/>
      </c>
      <c r="P29" s="5">
        <f>INDEX(Mapping!$G$24:$G$31,MATCH($B29,Mapping!$A$24:$A$31,0))</f>
        <v/>
      </c>
      <c r="Q29" s="20" t="n">
        <v>0</v>
      </c>
      <c r="R29" s="21" t="n"/>
      <c r="S29" s="21" t="n"/>
      <c r="T29" s="21" t="n"/>
      <c r="U29" s="21" t="n"/>
      <c r="V29" s="22">
        <f>Q29</f>
        <v/>
      </c>
      <c r="W29" s="21" t="n"/>
      <c r="X29" s="21" t="n"/>
      <c r="Y29" s="21" t="n"/>
      <c r="Z29" s="21" t="n"/>
      <c r="AA29" s="22">
        <f>Q29</f>
        <v/>
      </c>
      <c r="AB29" s="21" t="n"/>
      <c r="AC29" s="21" t="n"/>
      <c r="AD29" s="21" t="n"/>
      <c r="AE29" s="21" t="n"/>
      <c r="AF29" s="22">
        <f>Q29</f>
        <v/>
      </c>
      <c r="AG29" s="21" t="n"/>
      <c r="AH29" s="21" t="n"/>
      <c r="AI29" s="21" t="n"/>
      <c r="AJ29" s="21" t="n"/>
      <c r="AL29" s="23">
        <f>INDEX(Prices_dom!$A$6:$CU$2000,MATCH(Settings!$C$4&amp;AL$5,Prices_dom!$A$6:$A$2000,0),MATCH("mit.sp."&amp;$N29,Prices_dom!$A$5:$CU$5,0))/$P29</f>
        <v/>
      </c>
      <c r="AM29" s="22">
        <f>AL29*(1+INDEX($Q29:$AJ29,1,(AM$4-1)*5+1))</f>
        <v/>
      </c>
      <c r="AN29" s="22">
        <f>AM29*(1+INDEX($Q29:$AJ29,1,(AN$4-1)*5+1))</f>
        <v/>
      </c>
      <c r="AO29" s="22">
        <f>AN29*(1+INDEX($Q29:$AJ29,1,(AO$4-1)*5+1))</f>
        <v/>
      </c>
      <c r="AP29" s="22">
        <f>AO29*(1+INDEX($Q29:$AJ29,1,(AP$4-1)*5+1))</f>
        <v/>
      </c>
      <c r="AQ29" s="22">
        <f>AP29*(1+INDEX($Q29:$AJ29,1,(AQ$4-1)*5+1))</f>
        <v/>
      </c>
      <c r="AR29" s="22">
        <f>AQ29*(1+INDEX($Q29:$AJ29,1,(AR$4-1)*5+1))</f>
        <v/>
      </c>
      <c r="AS29" s="22">
        <f>AR29*(1+INDEX($Q29:$AJ29,1,(AS$4-1)*5+1))</f>
        <v/>
      </c>
      <c r="AT29" s="22">
        <f>AS29*(1+INDEX($Q29:$AJ29,1,(AT$4-1)*5+1))</f>
        <v/>
      </c>
      <c r="AU29" s="22">
        <f>AT29*(1+INDEX($Q29:$AJ29,1,(AU$4-1)*5+1))</f>
        <v/>
      </c>
      <c r="AV29" s="22">
        <f>AU29*(1+INDEX($Q29:$AJ29,1,(AV$4-1)*5+1))</f>
        <v/>
      </c>
      <c r="AW29" s="22">
        <f>AV29*(1+INDEX($Q29:$AJ29,1,(AW$4-1)*5+1))</f>
        <v/>
      </c>
      <c r="AX29" s="22">
        <f>AW29*(1+INDEX($Q29:$AJ29,1,(AX$4-1)*5+1))</f>
        <v/>
      </c>
      <c r="AY29" s="22">
        <f>AX29*(1+INDEX($Q29:$AJ29,1,(AY$4-1)*5+1))</f>
        <v/>
      </c>
      <c r="BA29" s="23">
        <f>INDEX(Prices_dom!$A$6:$CU$2000,MATCH(Settings!$C$4&amp;BA$5,Prices_dom!$A$6:$A$2000,0),MATCH("mit.sp."&amp;$N29,Prices_dom!$A$5:$CU$5,0))/$P29</f>
        <v/>
      </c>
      <c r="BB29" s="22">
        <f>BA29*(1+INDEX($Q29:$AJ29,1,(BB$4-1)*5+1))</f>
        <v/>
      </c>
      <c r="BC29" s="22">
        <f>BB29*(1+INDEX($Q29:$AJ29,1,(BC$4-1)*5+1))</f>
        <v/>
      </c>
      <c r="BD29" s="22">
        <f>BC29*(1+INDEX($Q29:$AJ29,1,(BD$4-1)*5+1))</f>
        <v/>
      </c>
      <c r="BE29" s="22">
        <f>BD29*(1+INDEX($Q29:$AJ29,1,(BE$4-1)*5+1))</f>
        <v/>
      </c>
      <c r="BF29" s="22">
        <f>BE29*(1+INDEX($Q29:$AJ29,1,(BF$4-1)*5+1))</f>
        <v/>
      </c>
      <c r="BG29" s="22">
        <f>BF29*(1+INDEX($Q29:$AJ29,1,(BG$4-1)*5+1))</f>
        <v/>
      </c>
      <c r="BH29" s="22">
        <f>BG29*(1+INDEX($Q29:$AJ29,1,(BH$4-1)*5+1))</f>
        <v/>
      </c>
      <c r="BI29" s="22">
        <f>BH29*(1+INDEX($Q29:$AJ29,1,(BI$4-1)*5+1))</f>
        <v/>
      </c>
      <c r="BJ29" s="22">
        <f>BI29*(1+INDEX($Q29:$AJ29,1,(BJ$4-1)*5+1))</f>
        <v/>
      </c>
      <c r="BK29" s="22">
        <f>BJ29*(1+INDEX($Q29:$AJ29,1,(BK$4-1)*5+1))</f>
        <v/>
      </c>
      <c r="BL29" s="22">
        <f>BK29*(1+INDEX($Q29:$AJ29,1,(BL$4-1)*5+1))</f>
        <v/>
      </c>
      <c r="BM29" s="22">
        <f>BL29*(1+INDEX($Q29:$AJ29,1,(BM$4-1)*5+1))</f>
        <v/>
      </c>
      <c r="BN29" s="22">
        <f>BM29*(1+INDEX($Q29:$AJ29,1,(BN$4-1)*5+1))</f>
        <v/>
      </c>
    </row>
    <row r="30">
      <c r="B30" s="5" t="inlineStr">
        <is>
          <t>die</t>
        </is>
      </c>
      <c r="C30" s="5" t="inlineStr">
        <is>
          <t>avi</t>
        </is>
      </c>
      <c r="D30" s="5" t="inlineStr">
        <is>
          <t>Pre-tax price | Domestic aviation | Diesel</t>
        </is>
      </c>
      <c r="E30" s="5" t="inlineStr">
        <is>
          <t>$/GJ</t>
        </is>
      </c>
      <c r="F30" s="5" t="inlineStr">
        <is>
          <t>Prices_dom (base year), then growth</t>
        </is>
      </c>
      <c r="G30" s="19" t="inlineStr">
        <is>
          <t>mit.sp.die</t>
        </is>
      </c>
      <c r="H30" s="19" t="inlineStr">
        <is>
          <t>mit.pbt.die.avi</t>
        </is>
      </c>
      <c r="J30" s="5">
        <f>INDEX(Mapping!$C$5:$C$20,MATCH($C30,Mapping!$A$5:$A$20,0))</f>
        <v/>
      </c>
      <c r="K30" s="5">
        <f>INDEX(Mapping!$D$5:$D$20,MATCH($C30,Mapping!$A$5:$A$20,0))</f>
        <v/>
      </c>
      <c r="L30" s="5">
        <f>INDEX(Mapping!$C$24:$C$31,MATCH($B30,Mapping!$A$24:$A$31,0))</f>
        <v/>
      </c>
      <c r="M30" s="5">
        <f>INDEX(Mapping!$D$24:$D$31,MATCH($B30,Mapping!$A$24:$A$31,0))</f>
        <v/>
      </c>
      <c r="N30" s="5">
        <f>$B30&amp;"."&amp;IF(INDEX(Mapping!$E$24:$E$31,MATCH($B30,Mapping!$A$24:$A$31,0))="sub",INDEX(Mapping!$F$5:$F$20,MATCH($C30,Mapping!$A$5:$A$20,0)),"all")</f>
        <v/>
      </c>
      <c r="O30" s="5">
        <f>INDEX(Mapping!$E$5:$E$20,MATCH($C30,Mapping!$A$5:$A$20,0))</f>
        <v/>
      </c>
      <c r="P30" s="5">
        <f>INDEX(Mapping!$G$24:$G$31,MATCH($B30,Mapping!$A$24:$A$31,0))</f>
        <v/>
      </c>
      <c r="Q30" s="20" t="n">
        <v>0</v>
      </c>
      <c r="R30" s="21" t="n"/>
      <c r="S30" s="21" t="n"/>
      <c r="T30" s="21" t="n"/>
      <c r="U30" s="21" t="n"/>
      <c r="V30" s="22">
        <f>Q30</f>
        <v/>
      </c>
      <c r="W30" s="21" t="n"/>
      <c r="X30" s="21" t="n"/>
      <c r="Y30" s="21" t="n"/>
      <c r="Z30" s="21" t="n"/>
      <c r="AA30" s="22">
        <f>Q30</f>
        <v/>
      </c>
      <c r="AB30" s="21" t="n"/>
      <c r="AC30" s="21" t="n"/>
      <c r="AD30" s="21" t="n"/>
      <c r="AE30" s="21" t="n"/>
      <c r="AF30" s="22">
        <f>Q30</f>
        <v/>
      </c>
      <c r="AG30" s="21" t="n"/>
      <c r="AH30" s="21" t="n"/>
      <c r="AI30" s="21" t="n"/>
      <c r="AJ30" s="21" t="n"/>
      <c r="AL30" s="23">
        <f>INDEX(Prices_dom!$A$6:$CU$2000,MATCH(Settings!$C$4&amp;AL$5,Prices_dom!$A$6:$A$2000,0),MATCH("mit.sp."&amp;$N30,Prices_dom!$A$5:$CU$5,0))/$P30</f>
        <v/>
      </c>
      <c r="AM30" s="22">
        <f>AL30*(1+INDEX($Q30:$AJ30,1,(AM$4-1)*5+1))</f>
        <v/>
      </c>
      <c r="AN30" s="22">
        <f>AM30*(1+INDEX($Q30:$AJ30,1,(AN$4-1)*5+1))</f>
        <v/>
      </c>
      <c r="AO30" s="22">
        <f>AN30*(1+INDEX($Q30:$AJ30,1,(AO$4-1)*5+1))</f>
        <v/>
      </c>
      <c r="AP30" s="22">
        <f>AO30*(1+INDEX($Q30:$AJ30,1,(AP$4-1)*5+1))</f>
        <v/>
      </c>
      <c r="AQ30" s="22">
        <f>AP30*(1+INDEX($Q30:$AJ30,1,(AQ$4-1)*5+1))</f>
        <v/>
      </c>
      <c r="AR30" s="22">
        <f>AQ30*(1+INDEX($Q30:$AJ30,1,(AR$4-1)*5+1))</f>
        <v/>
      </c>
      <c r="AS30" s="22">
        <f>AR30*(1+INDEX($Q30:$AJ30,1,(AS$4-1)*5+1))</f>
        <v/>
      </c>
      <c r="AT30" s="22">
        <f>AS30*(1+INDEX($Q30:$AJ30,1,(AT$4-1)*5+1))</f>
        <v/>
      </c>
      <c r="AU30" s="22">
        <f>AT30*(1+INDEX($Q30:$AJ30,1,(AU$4-1)*5+1))</f>
        <v/>
      </c>
      <c r="AV30" s="22">
        <f>AU30*(1+INDEX($Q30:$AJ30,1,(AV$4-1)*5+1))</f>
        <v/>
      </c>
      <c r="AW30" s="22">
        <f>AV30*(1+INDEX($Q30:$AJ30,1,(AW$4-1)*5+1))</f>
        <v/>
      </c>
      <c r="AX30" s="22">
        <f>AW30*(1+INDEX($Q30:$AJ30,1,(AX$4-1)*5+1))</f>
        <v/>
      </c>
      <c r="AY30" s="22">
        <f>AX30*(1+INDEX($Q30:$AJ30,1,(AY$4-1)*5+1))</f>
        <v/>
      </c>
      <c r="BA30" s="23">
        <f>INDEX(Prices_dom!$A$6:$CU$2000,MATCH(Settings!$C$4&amp;BA$5,Prices_dom!$A$6:$A$2000,0),MATCH("mit.sp."&amp;$N30,Prices_dom!$A$5:$CU$5,0))/$P30</f>
        <v/>
      </c>
      <c r="BB30" s="22">
        <f>BA30*(1+INDEX($Q30:$AJ30,1,(BB$4-1)*5+1))</f>
        <v/>
      </c>
      <c r="BC30" s="22">
        <f>BB30*(1+INDEX($Q30:$AJ30,1,(BC$4-1)*5+1))</f>
        <v/>
      </c>
      <c r="BD30" s="22">
        <f>BC30*(1+INDEX($Q30:$AJ30,1,(BD$4-1)*5+1))</f>
        <v/>
      </c>
      <c r="BE30" s="22">
        <f>BD30*(1+INDEX($Q30:$AJ30,1,(BE$4-1)*5+1))</f>
        <v/>
      </c>
      <c r="BF30" s="22">
        <f>BE30*(1+INDEX($Q30:$AJ30,1,(BF$4-1)*5+1))</f>
        <v/>
      </c>
      <c r="BG30" s="22">
        <f>BF30*(1+INDEX($Q30:$AJ30,1,(BG$4-1)*5+1))</f>
        <v/>
      </c>
      <c r="BH30" s="22">
        <f>BG30*(1+INDEX($Q30:$AJ30,1,(BH$4-1)*5+1))</f>
        <v/>
      </c>
      <c r="BI30" s="22">
        <f>BH30*(1+INDEX($Q30:$AJ30,1,(BI$4-1)*5+1))</f>
        <v/>
      </c>
      <c r="BJ30" s="22">
        <f>BI30*(1+INDEX($Q30:$AJ30,1,(BJ$4-1)*5+1))</f>
        <v/>
      </c>
      <c r="BK30" s="22">
        <f>BJ30*(1+INDEX($Q30:$AJ30,1,(BK$4-1)*5+1))</f>
        <v/>
      </c>
      <c r="BL30" s="22">
        <f>BK30*(1+INDEX($Q30:$AJ30,1,(BL$4-1)*5+1))</f>
        <v/>
      </c>
      <c r="BM30" s="22">
        <f>BL30*(1+INDEX($Q30:$AJ30,1,(BM$4-1)*5+1))</f>
        <v/>
      </c>
      <c r="BN30" s="22">
        <f>BM30*(1+INDEX($Q30:$AJ30,1,(BN$4-1)*5+1))</f>
        <v/>
      </c>
    </row>
    <row r="31">
      <c r="B31" s="5" t="inlineStr">
        <is>
          <t>lpg</t>
        </is>
      </c>
      <c r="C31" s="5" t="inlineStr">
        <is>
          <t>avi</t>
        </is>
      </c>
      <c r="D31" s="5" t="inlineStr">
        <is>
          <t>Pre-tax price | Domestic aviation | LPG</t>
        </is>
      </c>
      <c r="E31" s="5" t="inlineStr">
        <is>
          <t>$/GJ</t>
        </is>
      </c>
      <c r="F31" s="5" t="inlineStr">
        <is>
          <t>Prices_dom (base year), then growth</t>
        </is>
      </c>
      <c r="G31" s="19" t="inlineStr">
        <is>
          <t>mit.sp.lpg</t>
        </is>
      </c>
      <c r="H31" s="19" t="inlineStr">
        <is>
          <t>mit.pbt.lpg.avi</t>
        </is>
      </c>
      <c r="J31" s="5">
        <f>INDEX(Mapping!$C$5:$C$20,MATCH($C31,Mapping!$A$5:$A$20,0))</f>
        <v/>
      </c>
      <c r="K31" s="5">
        <f>INDEX(Mapping!$D$5:$D$20,MATCH($C31,Mapping!$A$5:$A$20,0))</f>
        <v/>
      </c>
      <c r="L31" s="5">
        <f>INDEX(Mapping!$C$24:$C$31,MATCH($B31,Mapping!$A$24:$A$31,0))</f>
        <v/>
      </c>
      <c r="M31" s="5">
        <f>INDEX(Mapping!$D$24:$D$31,MATCH($B31,Mapping!$A$24:$A$31,0))</f>
        <v/>
      </c>
      <c r="N31" s="5">
        <f>$B31&amp;"."&amp;IF(INDEX(Mapping!$E$24:$E$31,MATCH($B31,Mapping!$A$24:$A$31,0))="sub",INDEX(Mapping!$F$5:$F$20,MATCH($C31,Mapping!$A$5:$A$20,0)),"all")</f>
        <v/>
      </c>
      <c r="O31" s="5">
        <f>INDEX(Mapping!$E$5:$E$20,MATCH($C31,Mapping!$A$5:$A$20,0))</f>
        <v/>
      </c>
      <c r="P31" s="5">
        <f>INDEX(Mapping!$G$24:$G$31,MATCH($B31,Mapping!$A$24:$A$31,0))</f>
        <v/>
      </c>
      <c r="Q31" s="20" t="n">
        <v>0</v>
      </c>
      <c r="R31" s="21" t="n"/>
      <c r="S31" s="21" t="n"/>
      <c r="T31" s="21" t="n"/>
      <c r="U31" s="21" t="n"/>
      <c r="V31" s="22">
        <f>Q31</f>
        <v/>
      </c>
      <c r="W31" s="21" t="n"/>
      <c r="X31" s="21" t="n"/>
      <c r="Y31" s="21" t="n"/>
      <c r="Z31" s="21" t="n"/>
      <c r="AA31" s="22">
        <f>Q31</f>
        <v/>
      </c>
      <c r="AB31" s="21" t="n"/>
      <c r="AC31" s="21" t="n"/>
      <c r="AD31" s="21" t="n"/>
      <c r="AE31" s="21" t="n"/>
      <c r="AF31" s="22">
        <f>Q31</f>
        <v/>
      </c>
      <c r="AG31" s="21" t="n"/>
      <c r="AH31" s="21" t="n"/>
      <c r="AI31" s="21" t="n"/>
      <c r="AJ31" s="21" t="n"/>
      <c r="AL31" s="23">
        <f>INDEX(Prices_dom!$A$6:$CU$2000,MATCH(Settings!$C$4&amp;AL$5,Prices_dom!$A$6:$A$2000,0),MATCH("mit.sp."&amp;$N31,Prices_dom!$A$5:$CU$5,0))/$P31</f>
        <v/>
      </c>
      <c r="AM31" s="22">
        <f>AL31*(1+INDEX($Q31:$AJ31,1,(AM$4-1)*5+1))</f>
        <v/>
      </c>
      <c r="AN31" s="22">
        <f>AM31*(1+INDEX($Q31:$AJ31,1,(AN$4-1)*5+1))</f>
        <v/>
      </c>
      <c r="AO31" s="22">
        <f>AN31*(1+INDEX($Q31:$AJ31,1,(AO$4-1)*5+1))</f>
        <v/>
      </c>
      <c r="AP31" s="22">
        <f>AO31*(1+INDEX($Q31:$AJ31,1,(AP$4-1)*5+1))</f>
        <v/>
      </c>
      <c r="AQ31" s="22">
        <f>AP31*(1+INDEX($Q31:$AJ31,1,(AQ$4-1)*5+1))</f>
        <v/>
      </c>
      <c r="AR31" s="22">
        <f>AQ31*(1+INDEX($Q31:$AJ31,1,(AR$4-1)*5+1))</f>
        <v/>
      </c>
      <c r="AS31" s="22">
        <f>AR31*(1+INDEX($Q31:$AJ31,1,(AS$4-1)*5+1))</f>
        <v/>
      </c>
      <c r="AT31" s="22">
        <f>AS31*(1+INDEX($Q31:$AJ31,1,(AT$4-1)*5+1))</f>
        <v/>
      </c>
      <c r="AU31" s="22">
        <f>AT31*(1+INDEX($Q31:$AJ31,1,(AU$4-1)*5+1))</f>
        <v/>
      </c>
      <c r="AV31" s="22">
        <f>AU31*(1+INDEX($Q31:$AJ31,1,(AV$4-1)*5+1))</f>
        <v/>
      </c>
      <c r="AW31" s="22">
        <f>AV31*(1+INDEX($Q31:$AJ31,1,(AW$4-1)*5+1))</f>
        <v/>
      </c>
      <c r="AX31" s="22">
        <f>AW31*(1+INDEX($Q31:$AJ31,1,(AX$4-1)*5+1))</f>
        <v/>
      </c>
      <c r="AY31" s="22">
        <f>AX31*(1+INDEX($Q31:$AJ31,1,(AY$4-1)*5+1))</f>
        <v/>
      </c>
      <c r="BA31" s="23">
        <f>INDEX(Prices_dom!$A$6:$CU$2000,MATCH(Settings!$C$4&amp;BA$5,Prices_dom!$A$6:$A$2000,0),MATCH("mit.sp."&amp;$N31,Prices_dom!$A$5:$CU$5,0))/$P31</f>
        <v/>
      </c>
      <c r="BB31" s="22">
        <f>BA31*(1+INDEX($Q31:$AJ31,1,(BB$4-1)*5+1))</f>
        <v/>
      </c>
      <c r="BC31" s="22">
        <f>BB31*(1+INDEX($Q31:$AJ31,1,(BC$4-1)*5+1))</f>
        <v/>
      </c>
      <c r="BD31" s="22">
        <f>BC31*(1+INDEX($Q31:$AJ31,1,(BD$4-1)*5+1))</f>
        <v/>
      </c>
      <c r="BE31" s="22">
        <f>BD31*(1+INDEX($Q31:$AJ31,1,(BE$4-1)*5+1))</f>
        <v/>
      </c>
      <c r="BF31" s="22">
        <f>BE31*(1+INDEX($Q31:$AJ31,1,(BF$4-1)*5+1))</f>
        <v/>
      </c>
      <c r="BG31" s="22">
        <f>BF31*(1+INDEX($Q31:$AJ31,1,(BG$4-1)*5+1))</f>
        <v/>
      </c>
      <c r="BH31" s="22">
        <f>BG31*(1+INDEX($Q31:$AJ31,1,(BH$4-1)*5+1))</f>
        <v/>
      </c>
      <c r="BI31" s="22">
        <f>BH31*(1+INDEX($Q31:$AJ31,1,(BI$4-1)*5+1))</f>
        <v/>
      </c>
      <c r="BJ31" s="22">
        <f>BI31*(1+INDEX($Q31:$AJ31,1,(BJ$4-1)*5+1))</f>
        <v/>
      </c>
      <c r="BK31" s="22">
        <f>BJ31*(1+INDEX($Q31:$AJ31,1,(BK$4-1)*5+1))</f>
        <v/>
      </c>
      <c r="BL31" s="22">
        <f>BK31*(1+INDEX($Q31:$AJ31,1,(BL$4-1)*5+1))</f>
        <v/>
      </c>
      <c r="BM31" s="22">
        <f>BL31*(1+INDEX($Q31:$AJ31,1,(BM$4-1)*5+1))</f>
        <v/>
      </c>
      <c r="BN31" s="22">
        <f>BM31*(1+INDEX($Q31:$AJ31,1,(BN$4-1)*5+1))</f>
        <v/>
      </c>
    </row>
    <row r="32">
      <c r="B32" s="5" t="inlineStr">
        <is>
          <t>ker</t>
        </is>
      </c>
      <c r="C32" s="5" t="inlineStr">
        <is>
          <t>avi</t>
        </is>
      </c>
      <c r="D32" s="5" t="inlineStr">
        <is>
          <t>Pre-tax price | Domestic aviation | Kerosene</t>
        </is>
      </c>
      <c r="E32" s="5" t="inlineStr">
        <is>
          <t>$/GJ</t>
        </is>
      </c>
      <c r="F32" s="5" t="inlineStr">
        <is>
          <t>Prices_dom (base year), then growth</t>
        </is>
      </c>
      <c r="G32" s="19" t="inlineStr">
        <is>
          <t>mit.sp.ker</t>
        </is>
      </c>
      <c r="H32" s="19" t="inlineStr">
        <is>
          <t>mit.pbt.ker.avi</t>
        </is>
      </c>
      <c r="J32" s="5">
        <f>INDEX(Mapping!$C$5:$C$20,MATCH($C32,Mapping!$A$5:$A$20,0))</f>
        <v/>
      </c>
      <c r="K32" s="5">
        <f>INDEX(Mapping!$D$5:$D$20,MATCH($C32,Mapping!$A$5:$A$20,0))</f>
        <v/>
      </c>
      <c r="L32" s="5">
        <f>INDEX(Mapping!$C$24:$C$31,MATCH($B32,Mapping!$A$24:$A$31,0))</f>
        <v/>
      </c>
      <c r="M32" s="5">
        <f>INDEX(Mapping!$D$24:$D$31,MATCH($B32,Mapping!$A$24:$A$31,0))</f>
        <v/>
      </c>
      <c r="N32" s="5">
        <f>$B32&amp;"."&amp;IF(INDEX(Mapping!$E$24:$E$31,MATCH($B32,Mapping!$A$24:$A$31,0))="sub",INDEX(Mapping!$F$5:$F$20,MATCH($C32,Mapping!$A$5:$A$20,0)),"all")</f>
        <v/>
      </c>
      <c r="O32" s="5">
        <f>INDEX(Mapping!$E$5:$E$20,MATCH($C32,Mapping!$A$5:$A$20,0))</f>
        <v/>
      </c>
      <c r="P32" s="5">
        <f>INDEX(Mapping!$G$24:$G$31,MATCH($B32,Mapping!$A$24:$A$31,0))</f>
        <v/>
      </c>
      <c r="Q32" s="20" t="n">
        <v>0</v>
      </c>
      <c r="R32" s="21" t="n"/>
      <c r="S32" s="21" t="n"/>
      <c r="T32" s="21" t="n"/>
      <c r="U32" s="21" t="n"/>
      <c r="V32" s="22">
        <f>Q32</f>
        <v/>
      </c>
      <c r="W32" s="21" t="n"/>
      <c r="X32" s="21" t="n"/>
      <c r="Y32" s="21" t="n"/>
      <c r="Z32" s="21" t="n"/>
      <c r="AA32" s="22">
        <f>Q32</f>
        <v/>
      </c>
      <c r="AB32" s="21" t="n"/>
      <c r="AC32" s="21" t="n"/>
      <c r="AD32" s="21" t="n"/>
      <c r="AE32" s="21" t="n"/>
      <c r="AF32" s="22">
        <f>Q32</f>
        <v/>
      </c>
      <c r="AG32" s="21" t="n"/>
      <c r="AH32" s="21" t="n"/>
      <c r="AI32" s="21" t="n"/>
      <c r="AJ32" s="21" t="n"/>
      <c r="AL32" s="23">
        <f>INDEX(Prices_dom!$A$6:$CU$2000,MATCH(Settings!$C$4&amp;AL$5,Prices_dom!$A$6:$A$2000,0),MATCH("mit.sp."&amp;$N32,Prices_dom!$A$5:$CU$5,0))/$P32</f>
        <v/>
      </c>
      <c r="AM32" s="22">
        <f>AL32*(1+INDEX($Q32:$AJ32,1,(AM$4-1)*5+1))</f>
        <v/>
      </c>
      <c r="AN32" s="22">
        <f>AM32*(1+INDEX($Q32:$AJ32,1,(AN$4-1)*5+1))</f>
        <v/>
      </c>
      <c r="AO32" s="22">
        <f>AN32*(1+INDEX($Q32:$AJ32,1,(AO$4-1)*5+1))</f>
        <v/>
      </c>
      <c r="AP32" s="22">
        <f>AO32*(1+INDEX($Q32:$AJ32,1,(AP$4-1)*5+1))</f>
        <v/>
      </c>
      <c r="AQ32" s="22">
        <f>AP32*(1+INDEX($Q32:$AJ32,1,(AQ$4-1)*5+1))</f>
        <v/>
      </c>
      <c r="AR32" s="22">
        <f>AQ32*(1+INDEX($Q32:$AJ32,1,(AR$4-1)*5+1))</f>
        <v/>
      </c>
      <c r="AS32" s="22">
        <f>AR32*(1+INDEX($Q32:$AJ32,1,(AS$4-1)*5+1))</f>
        <v/>
      </c>
      <c r="AT32" s="22">
        <f>AS32*(1+INDEX($Q32:$AJ32,1,(AT$4-1)*5+1))</f>
        <v/>
      </c>
      <c r="AU32" s="22">
        <f>AT32*(1+INDEX($Q32:$AJ32,1,(AU$4-1)*5+1))</f>
        <v/>
      </c>
      <c r="AV32" s="22">
        <f>AU32*(1+INDEX($Q32:$AJ32,1,(AV$4-1)*5+1))</f>
        <v/>
      </c>
      <c r="AW32" s="22">
        <f>AV32*(1+INDEX($Q32:$AJ32,1,(AW$4-1)*5+1))</f>
        <v/>
      </c>
      <c r="AX32" s="22">
        <f>AW32*(1+INDEX($Q32:$AJ32,1,(AX$4-1)*5+1))</f>
        <v/>
      </c>
      <c r="AY32" s="22">
        <f>AX32*(1+INDEX($Q32:$AJ32,1,(AY$4-1)*5+1))</f>
        <v/>
      </c>
      <c r="BA32" s="23">
        <f>INDEX(Prices_dom!$A$6:$CU$2000,MATCH(Settings!$C$4&amp;BA$5,Prices_dom!$A$6:$A$2000,0),MATCH("mit.sp."&amp;$N32,Prices_dom!$A$5:$CU$5,0))/$P32</f>
        <v/>
      </c>
      <c r="BB32" s="22">
        <f>BA32*(1+INDEX($Q32:$AJ32,1,(BB$4-1)*5+1))</f>
        <v/>
      </c>
      <c r="BC32" s="22">
        <f>BB32*(1+INDEX($Q32:$AJ32,1,(BC$4-1)*5+1))</f>
        <v/>
      </c>
      <c r="BD32" s="22">
        <f>BC32*(1+INDEX($Q32:$AJ32,1,(BD$4-1)*5+1))</f>
        <v/>
      </c>
      <c r="BE32" s="22">
        <f>BD32*(1+INDEX($Q32:$AJ32,1,(BE$4-1)*5+1))</f>
        <v/>
      </c>
      <c r="BF32" s="22">
        <f>BE32*(1+INDEX($Q32:$AJ32,1,(BF$4-1)*5+1))</f>
        <v/>
      </c>
      <c r="BG32" s="22">
        <f>BF32*(1+INDEX($Q32:$AJ32,1,(BG$4-1)*5+1))</f>
        <v/>
      </c>
      <c r="BH32" s="22">
        <f>BG32*(1+INDEX($Q32:$AJ32,1,(BH$4-1)*5+1))</f>
        <v/>
      </c>
      <c r="BI32" s="22">
        <f>BH32*(1+INDEX($Q32:$AJ32,1,(BI$4-1)*5+1))</f>
        <v/>
      </c>
      <c r="BJ32" s="22">
        <f>BI32*(1+INDEX($Q32:$AJ32,1,(BJ$4-1)*5+1))</f>
        <v/>
      </c>
      <c r="BK32" s="22">
        <f>BJ32*(1+INDEX($Q32:$AJ32,1,(BK$4-1)*5+1))</f>
        <v/>
      </c>
      <c r="BL32" s="22">
        <f>BK32*(1+INDEX($Q32:$AJ32,1,(BL$4-1)*5+1))</f>
        <v/>
      </c>
      <c r="BM32" s="22">
        <f>BL32*(1+INDEX($Q32:$AJ32,1,(BM$4-1)*5+1))</f>
        <v/>
      </c>
      <c r="BN32" s="22">
        <f>BM32*(1+INDEX($Q32:$AJ32,1,(BN$4-1)*5+1))</f>
        <v/>
      </c>
    </row>
    <row r="33">
      <c r="B33" s="5" t="inlineStr">
        <is>
          <t>oop</t>
        </is>
      </c>
      <c r="C33" s="5" t="inlineStr">
        <is>
          <t>avi</t>
        </is>
      </c>
      <c r="D33" s="5" t="inlineStr">
        <is>
          <t>Pre-tax price | Domestic aviation | Other oil products</t>
        </is>
      </c>
      <c r="E33" s="5" t="inlineStr">
        <is>
          <t>$/GJ</t>
        </is>
      </c>
      <c r="F33" s="5" t="inlineStr">
        <is>
          <t>Prices_dom (base year), then growth</t>
        </is>
      </c>
      <c r="G33" s="19" t="inlineStr">
        <is>
          <t>mit.sp.oop</t>
        </is>
      </c>
      <c r="H33" s="19" t="inlineStr">
        <is>
          <t>mit.pbt.oop.avi</t>
        </is>
      </c>
      <c r="J33" s="5">
        <f>INDEX(Mapping!$C$5:$C$20,MATCH($C33,Mapping!$A$5:$A$20,0))</f>
        <v/>
      </c>
      <c r="K33" s="5">
        <f>INDEX(Mapping!$D$5:$D$20,MATCH($C33,Mapping!$A$5:$A$20,0))</f>
        <v/>
      </c>
      <c r="L33" s="5">
        <f>INDEX(Mapping!$C$24:$C$31,MATCH($B33,Mapping!$A$24:$A$31,0))</f>
        <v/>
      </c>
      <c r="M33" s="5">
        <f>INDEX(Mapping!$D$24:$D$31,MATCH($B33,Mapping!$A$24:$A$31,0))</f>
        <v/>
      </c>
      <c r="N33" s="5">
        <f>$B33&amp;"."&amp;IF(INDEX(Mapping!$E$24:$E$31,MATCH($B33,Mapping!$A$24:$A$31,0))="sub",INDEX(Mapping!$F$5:$F$20,MATCH($C33,Mapping!$A$5:$A$20,0)),"all")</f>
        <v/>
      </c>
      <c r="O33" s="5">
        <f>INDEX(Mapping!$E$5:$E$20,MATCH($C33,Mapping!$A$5:$A$20,0))</f>
        <v/>
      </c>
      <c r="P33" s="5">
        <f>INDEX(Mapping!$G$24:$G$31,MATCH($B33,Mapping!$A$24:$A$31,0))</f>
        <v/>
      </c>
      <c r="Q33" s="20" t="n">
        <v>0</v>
      </c>
      <c r="R33" s="21" t="n"/>
      <c r="S33" s="21" t="n"/>
      <c r="T33" s="21" t="n"/>
      <c r="U33" s="21" t="n"/>
      <c r="V33" s="22">
        <f>Q33</f>
        <v/>
      </c>
      <c r="W33" s="21" t="n"/>
      <c r="X33" s="21" t="n"/>
      <c r="Y33" s="21" t="n"/>
      <c r="Z33" s="21" t="n"/>
      <c r="AA33" s="22">
        <f>Q33</f>
        <v/>
      </c>
      <c r="AB33" s="21" t="n"/>
      <c r="AC33" s="21" t="n"/>
      <c r="AD33" s="21" t="n"/>
      <c r="AE33" s="21" t="n"/>
      <c r="AF33" s="22">
        <f>Q33</f>
        <v/>
      </c>
      <c r="AG33" s="21" t="n"/>
      <c r="AH33" s="21" t="n"/>
      <c r="AI33" s="21" t="n"/>
      <c r="AJ33" s="21" t="n"/>
      <c r="AL33" s="23">
        <f>INDEX(Prices_dom!$A$6:$CU$2000,MATCH(Settings!$C$4&amp;AL$5,Prices_dom!$A$6:$A$2000,0),MATCH("mit.sp."&amp;$N33,Prices_dom!$A$5:$CU$5,0))/$P33</f>
        <v/>
      </c>
      <c r="AM33" s="22">
        <f>AL33*(1+INDEX($Q33:$AJ33,1,(AM$4-1)*5+1))</f>
        <v/>
      </c>
      <c r="AN33" s="22">
        <f>AM33*(1+INDEX($Q33:$AJ33,1,(AN$4-1)*5+1))</f>
        <v/>
      </c>
      <c r="AO33" s="22">
        <f>AN33*(1+INDEX($Q33:$AJ33,1,(AO$4-1)*5+1))</f>
        <v/>
      </c>
      <c r="AP33" s="22">
        <f>AO33*(1+INDEX($Q33:$AJ33,1,(AP$4-1)*5+1))</f>
        <v/>
      </c>
      <c r="AQ33" s="22">
        <f>AP33*(1+INDEX($Q33:$AJ33,1,(AQ$4-1)*5+1))</f>
        <v/>
      </c>
      <c r="AR33" s="22">
        <f>AQ33*(1+INDEX($Q33:$AJ33,1,(AR$4-1)*5+1))</f>
        <v/>
      </c>
      <c r="AS33" s="22">
        <f>AR33*(1+INDEX($Q33:$AJ33,1,(AS$4-1)*5+1))</f>
        <v/>
      </c>
      <c r="AT33" s="22">
        <f>AS33*(1+INDEX($Q33:$AJ33,1,(AT$4-1)*5+1))</f>
        <v/>
      </c>
      <c r="AU33" s="22">
        <f>AT33*(1+INDEX($Q33:$AJ33,1,(AU$4-1)*5+1))</f>
        <v/>
      </c>
      <c r="AV33" s="22">
        <f>AU33*(1+INDEX($Q33:$AJ33,1,(AV$4-1)*5+1))</f>
        <v/>
      </c>
      <c r="AW33" s="22">
        <f>AV33*(1+INDEX($Q33:$AJ33,1,(AW$4-1)*5+1))</f>
        <v/>
      </c>
      <c r="AX33" s="22">
        <f>AW33*(1+INDEX($Q33:$AJ33,1,(AX$4-1)*5+1))</f>
        <v/>
      </c>
      <c r="AY33" s="22">
        <f>AX33*(1+INDEX($Q33:$AJ33,1,(AY$4-1)*5+1))</f>
        <v/>
      </c>
      <c r="BA33" s="23">
        <f>INDEX(Prices_dom!$A$6:$CU$2000,MATCH(Settings!$C$4&amp;BA$5,Prices_dom!$A$6:$A$2000,0),MATCH("mit.sp."&amp;$N33,Prices_dom!$A$5:$CU$5,0))/$P33</f>
        <v/>
      </c>
      <c r="BB33" s="22">
        <f>BA33*(1+INDEX($Q33:$AJ33,1,(BB$4-1)*5+1))</f>
        <v/>
      </c>
      <c r="BC33" s="22">
        <f>BB33*(1+INDEX($Q33:$AJ33,1,(BC$4-1)*5+1))</f>
        <v/>
      </c>
      <c r="BD33" s="22">
        <f>BC33*(1+INDEX($Q33:$AJ33,1,(BD$4-1)*5+1))</f>
        <v/>
      </c>
      <c r="BE33" s="22">
        <f>BD33*(1+INDEX($Q33:$AJ33,1,(BE$4-1)*5+1))</f>
        <v/>
      </c>
      <c r="BF33" s="22">
        <f>BE33*(1+INDEX($Q33:$AJ33,1,(BF$4-1)*5+1))</f>
        <v/>
      </c>
      <c r="BG33" s="22">
        <f>BF33*(1+INDEX($Q33:$AJ33,1,(BG$4-1)*5+1))</f>
        <v/>
      </c>
      <c r="BH33" s="22">
        <f>BG33*(1+INDEX($Q33:$AJ33,1,(BH$4-1)*5+1))</f>
        <v/>
      </c>
      <c r="BI33" s="22">
        <f>BH33*(1+INDEX($Q33:$AJ33,1,(BI$4-1)*5+1))</f>
        <v/>
      </c>
      <c r="BJ33" s="22">
        <f>BI33*(1+INDEX($Q33:$AJ33,1,(BJ$4-1)*5+1))</f>
        <v/>
      </c>
      <c r="BK33" s="22">
        <f>BJ33*(1+INDEX($Q33:$AJ33,1,(BK$4-1)*5+1))</f>
        <v/>
      </c>
      <c r="BL33" s="22">
        <f>BK33*(1+INDEX($Q33:$AJ33,1,(BL$4-1)*5+1))</f>
        <v/>
      </c>
      <c r="BM33" s="22">
        <f>BL33*(1+INDEX($Q33:$AJ33,1,(BM$4-1)*5+1))</f>
        <v/>
      </c>
      <c r="BN33" s="22">
        <f>BM33*(1+INDEX($Q33:$AJ33,1,(BN$4-1)*5+1))</f>
        <v/>
      </c>
    </row>
    <row r="34">
      <c r="B34" s="5" t="inlineStr">
        <is>
          <t>bio</t>
        </is>
      </c>
      <c r="C34" s="5" t="inlineStr">
        <is>
          <t>avi</t>
        </is>
      </c>
      <c r="D34" s="5" t="inlineStr">
        <is>
          <t>Pre-tax price | Domestic aviation | Biomass</t>
        </is>
      </c>
      <c r="E34" s="5" t="inlineStr">
        <is>
          <t>$/GJ</t>
        </is>
      </c>
      <c r="F34" s="5" t="inlineStr">
        <is>
          <t>Prices_dom (base year), then growth</t>
        </is>
      </c>
      <c r="G34" s="19" t="inlineStr">
        <is>
          <t>mit.sp.bio</t>
        </is>
      </c>
      <c r="H34" s="19" t="inlineStr">
        <is>
          <t>mit.pbt.bio.avi</t>
        </is>
      </c>
      <c r="J34" s="5">
        <f>INDEX(Mapping!$C$5:$C$20,MATCH($C34,Mapping!$A$5:$A$20,0))</f>
        <v/>
      </c>
      <c r="K34" s="5">
        <f>INDEX(Mapping!$D$5:$D$20,MATCH($C34,Mapping!$A$5:$A$20,0))</f>
        <v/>
      </c>
      <c r="L34" s="5">
        <f>INDEX(Mapping!$C$24:$C$31,MATCH($B34,Mapping!$A$24:$A$31,0))</f>
        <v/>
      </c>
      <c r="M34" s="5">
        <f>INDEX(Mapping!$D$24:$D$31,MATCH($B34,Mapping!$A$24:$A$31,0))</f>
        <v/>
      </c>
      <c r="N34" s="5">
        <f>$B34&amp;"."&amp;IF(INDEX(Mapping!$E$24:$E$31,MATCH($B34,Mapping!$A$24:$A$31,0))="sub",INDEX(Mapping!$F$5:$F$20,MATCH($C34,Mapping!$A$5:$A$20,0)),"all")</f>
        <v/>
      </c>
      <c r="O34" s="5">
        <f>INDEX(Mapping!$E$5:$E$20,MATCH($C34,Mapping!$A$5:$A$20,0))</f>
        <v/>
      </c>
      <c r="P34" s="5">
        <f>INDEX(Mapping!$G$24:$G$31,MATCH($B34,Mapping!$A$24:$A$31,0))</f>
        <v/>
      </c>
      <c r="Q34" s="20" t="n">
        <v>0</v>
      </c>
      <c r="R34" s="21" t="n"/>
      <c r="S34" s="21" t="n"/>
      <c r="T34" s="21" t="n"/>
      <c r="U34" s="21" t="n"/>
      <c r="V34" s="22">
        <f>Q34</f>
        <v/>
      </c>
      <c r="W34" s="21" t="n"/>
      <c r="X34" s="21" t="n"/>
      <c r="Y34" s="21" t="n"/>
      <c r="Z34" s="21" t="n"/>
      <c r="AA34" s="22">
        <f>Q34</f>
        <v/>
      </c>
      <c r="AB34" s="21" t="n"/>
      <c r="AC34" s="21" t="n"/>
      <c r="AD34" s="21" t="n"/>
      <c r="AE34" s="21" t="n"/>
      <c r="AF34" s="22">
        <f>Q34</f>
        <v/>
      </c>
      <c r="AG34" s="21" t="n"/>
      <c r="AH34" s="21" t="n"/>
      <c r="AI34" s="21" t="n"/>
      <c r="AJ34" s="21" t="n"/>
      <c r="AL34" s="23">
        <f>INDEX(Prices_dom!$A$6:$CU$2000,MATCH(Settings!$C$4&amp;AL$5,Prices_dom!$A$6:$A$2000,0),MATCH("mit.sp."&amp;$N34,Prices_dom!$A$5:$CU$5,0))/$P34</f>
        <v/>
      </c>
      <c r="AM34" s="22">
        <f>AL34*(1+INDEX($Q34:$AJ34,1,(AM$4-1)*5+1))</f>
        <v/>
      </c>
      <c r="AN34" s="22">
        <f>AM34*(1+INDEX($Q34:$AJ34,1,(AN$4-1)*5+1))</f>
        <v/>
      </c>
      <c r="AO34" s="22">
        <f>AN34*(1+INDEX($Q34:$AJ34,1,(AO$4-1)*5+1))</f>
        <v/>
      </c>
      <c r="AP34" s="22">
        <f>AO34*(1+INDEX($Q34:$AJ34,1,(AP$4-1)*5+1))</f>
        <v/>
      </c>
      <c r="AQ34" s="22">
        <f>AP34*(1+INDEX($Q34:$AJ34,1,(AQ$4-1)*5+1))</f>
        <v/>
      </c>
      <c r="AR34" s="22">
        <f>AQ34*(1+INDEX($Q34:$AJ34,1,(AR$4-1)*5+1))</f>
        <v/>
      </c>
      <c r="AS34" s="22">
        <f>AR34*(1+INDEX($Q34:$AJ34,1,(AS$4-1)*5+1))</f>
        <v/>
      </c>
      <c r="AT34" s="22">
        <f>AS34*(1+INDEX($Q34:$AJ34,1,(AT$4-1)*5+1))</f>
        <v/>
      </c>
      <c r="AU34" s="22">
        <f>AT34*(1+INDEX($Q34:$AJ34,1,(AU$4-1)*5+1))</f>
        <v/>
      </c>
      <c r="AV34" s="22">
        <f>AU34*(1+INDEX($Q34:$AJ34,1,(AV$4-1)*5+1))</f>
        <v/>
      </c>
      <c r="AW34" s="22">
        <f>AV34*(1+INDEX($Q34:$AJ34,1,(AW$4-1)*5+1))</f>
        <v/>
      </c>
      <c r="AX34" s="22">
        <f>AW34*(1+INDEX($Q34:$AJ34,1,(AX$4-1)*5+1))</f>
        <v/>
      </c>
      <c r="AY34" s="22">
        <f>AX34*(1+INDEX($Q34:$AJ34,1,(AY$4-1)*5+1))</f>
        <v/>
      </c>
      <c r="BA34" s="23">
        <f>INDEX(Prices_dom!$A$6:$CU$2000,MATCH(Settings!$C$4&amp;BA$5,Prices_dom!$A$6:$A$2000,0),MATCH("mit.sp."&amp;$N34,Prices_dom!$A$5:$CU$5,0))/$P34</f>
        <v/>
      </c>
      <c r="BB34" s="22">
        <f>BA34*(1+INDEX($Q34:$AJ34,1,(BB$4-1)*5+1))</f>
        <v/>
      </c>
      <c r="BC34" s="22">
        <f>BB34*(1+INDEX($Q34:$AJ34,1,(BC$4-1)*5+1))</f>
        <v/>
      </c>
      <c r="BD34" s="22">
        <f>BC34*(1+INDEX($Q34:$AJ34,1,(BD$4-1)*5+1))</f>
        <v/>
      </c>
      <c r="BE34" s="22">
        <f>BD34*(1+INDEX($Q34:$AJ34,1,(BE$4-1)*5+1))</f>
        <v/>
      </c>
      <c r="BF34" s="22">
        <f>BE34*(1+INDEX($Q34:$AJ34,1,(BF$4-1)*5+1))</f>
        <v/>
      </c>
      <c r="BG34" s="22">
        <f>BF34*(1+INDEX($Q34:$AJ34,1,(BG$4-1)*5+1))</f>
        <v/>
      </c>
      <c r="BH34" s="22">
        <f>BG34*(1+INDEX($Q34:$AJ34,1,(BH$4-1)*5+1))</f>
        <v/>
      </c>
      <c r="BI34" s="22">
        <f>BH34*(1+INDEX($Q34:$AJ34,1,(BI$4-1)*5+1))</f>
        <v/>
      </c>
      <c r="BJ34" s="22">
        <f>BI34*(1+INDEX($Q34:$AJ34,1,(BJ$4-1)*5+1))</f>
        <v/>
      </c>
      <c r="BK34" s="22">
        <f>BJ34*(1+INDEX($Q34:$AJ34,1,(BK$4-1)*5+1))</f>
        <v/>
      </c>
      <c r="BL34" s="22">
        <f>BK34*(1+INDEX($Q34:$AJ34,1,(BL$4-1)*5+1))</f>
        <v/>
      </c>
      <c r="BM34" s="22">
        <f>BL34*(1+INDEX($Q34:$AJ34,1,(BM$4-1)*5+1))</f>
        <v/>
      </c>
      <c r="BN34" s="22">
        <f>BM34*(1+INDEX($Q34:$AJ34,1,(BN$4-1)*5+1))</f>
        <v/>
      </c>
    </row>
    <row r="35">
      <c r="B35" s="5" t="inlineStr">
        <is>
          <t>coa</t>
        </is>
      </c>
      <c r="C35" s="5" t="inlineStr">
        <is>
          <t>nav</t>
        </is>
      </c>
      <c r="D35" s="5" t="inlineStr">
        <is>
          <t>Pre-tax price | Domestic navigation | Coal</t>
        </is>
      </c>
      <c r="E35" s="5" t="inlineStr">
        <is>
          <t>$/GJ</t>
        </is>
      </c>
      <c r="F35" s="5" t="inlineStr">
        <is>
          <t>Prices_dom (base year), then growth</t>
        </is>
      </c>
      <c r="G35" s="19" t="inlineStr">
        <is>
          <t>mit.sp.coa</t>
        </is>
      </c>
      <c r="H35" s="19" t="inlineStr">
        <is>
          <t>mit.pbt.coa.nav</t>
        </is>
      </c>
      <c r="J35" s="5">
        <f>INDEX(Mapping!$C$5:$C$20,MATCH($C35,Mapping!$A$5:$A$20,0))</f>
        <v/>
      </c>
      <c r="K35" s="5">
        <f>INDEX(Mapping!$D$5:$D$20,MATCH($C35,Mapping!$A$5:$A$20,0))</f>
        <v/>
      </c>
      <c r="L35" s="5">
        <f>INDEX(Mapping!$C$24:$C$31,MATCH($B35,Mapping!$A$24:$A$31,0))</f>
        <v/>
      </c>
      <c r="M35" s="5">
        <f>INDEX(Mapping!$D$24:$D$31,MATCH($B35,Mapping!$A$24:$A$31,0))</f>
        <v/>
      </c>
      <c r="N35" s="5">
        <f>$B35&amp;"."&amp;IF(INDEX(Mapping!$E$24:$E$31,MATCH($B35,Mapping!$A$24:$A$31,0))="sub",INDEX(Mapping!$F$5:$F$20,MATCH($C35,Mapping!$A$5:$A$20,0)),"all")</f>
        <v/>
      </c>
      <c r="O35" s="5">
        <f>INDEX(Mapping!$E$5:$E$20,MATCH($C35,Mapping!$A$5:$A$20,0))</f>
        <v/>
      </c>
      <c r="P35" s="5">
        <f>INDEX(Mapping!$G$24:$G$31,MATCH($B35,Mapping!$A$24:$A$31,0))</f>
        <v/>
      </c>
      <c r="Q35" s="20" t="n">
        <v>0</v>
      </c>
      <c r="R35" s="21" t="n"/>
      <c r="S35" s="21" t="n"/>
      <c r="T35" s="21" t="n"/>
      <c r="U35" s="21" t="n"/>
      <c r="V35" s="22">
        <f>Q35</f>
        <v/>
      </c>
      <c r="W35" s="21" t="n"/>
      <c r="X35" s="21" t="n"/>
      <c r="Y35" s="21" t="n"/>
      <c r="Z35" s="21" t="n"/>
      <c r="AA35" s="22">
        <f>Q35</f>
        <v/>
      </c>
      <c r="AB35" s="21" t="n"/>
      <c r="AC35" s="21" t="n"/>
      <c r="AD35" s="21" t="n"/>
      <c r="AE35" s="21" t="n"/>
      <c r="AF35" s="22">
        <f>Q35</f>
        <v/>
      </c>
      <c r="AG35" s="21" t="n"/>
      <c r="AH35" s="21" t="n"/>
      <c r="AI35" s="21" t="n"/>
      <c r="AJ35" s="21" t="n"/>
      <c r="AL35" s="23">
        <f>INDEX(Prices_dom!$A$6:$CU$2000,MATCH(Settings!$C$4&amp;AL$5,Prices_dom!$A$6:$A$2000,0),MATCH("mit.sp."&amp;$N35,Prices_dom!$A$5:$CU$5,0))/$P35</f>
        <v/>
      </c>
      <c r="AM35" s="22">
        <f>AL35*(1+INDEX($Q35:$AJ35,1,(AM$4-1)*5+1))</f>
        <v/>
      </c>
      <c r="AN35" s="22">
        <f>AM35*(1+INDEX($Q35:$AJ35,1,(AN$4-1)*5+1))</f>
        <v/>
      </c>
      <c r="AO35" s="22">
        <f>AN35*(1+INDEX($Q35:$AJ35,1,(AO$4-1)*5+1))</f>
        <v/>
      </c>
      <c r="AP35" s="22">
        <f>AO35*(1+INDEX($Q35:$AJ35,1,(AP$4-1)*5+1))</f>
        <v/>
      </c>
      <c r="AQ35" s="22">
        <f>AP35*(1+INDEX($Q35:$AJ35,1,(AQ$4-1)*5+1))</f>
        <v/>
      </c>
      <c r="AR35" s="22">
        <f>AQ35*(1+INDEX($Q35:$AJ35,1,(AR$4-1)*5+1))</f>
        <v/>
      </c>
      <c r="AS35" s="22">
        <f>AR35*(1+INDEX($Q35:$AJ35,1,(AS$4-1)*5+1))</f>
        <v/>
      </c>
      <c r="AT35" s="22">
        <f>AS35*(1+INDEX($Q35:$AJ35,1,(AT$4-1)*5+1))</f>
        <v/>
      </c>
      <c r="AU35" s="22">
        <f>AT35*(1+INDEX($Q35:$AJ35,1,(AU$4-1)*5+1))</f>
        <v/>
      </c>
      <c r="AV35" s="22">
        <f>AU35*(1+INDEX($Q35:$AJ35,1,(AV$4-1)*5+1))</f>
        <v/>
      </c>
      <c r="AW35" s="22">
        <f>AV35*(1+INDEX($Q35:$AJ35,1,(AW$4-1)*5+1))</f>
        <v/>
      </c>
      <c r="AX35" s="22">
        <f>AW35*(1+INDEX($Q35:$AJ35,1,(AX$4-1)*5+1))</f>
        <v/>
      </c>
      <c r="AY35" s="22">
        <f>AX35*(1+INDEX($Q35:$AJ35,1,(AY$4-1)*5+1))</f>
        <v/>
      </c>
      <c r="BA35" s="23">
        <f>INDEX(Prices_dom!$A$6:$CU$2000,MATCH(Settings!$C$4&amp;BA$5,Prices_dom!$A$6:$A$2000,0),MATCH("mit.sp."&amp;$N35,Prices_dom!$A$5:$CU$5,0))/$P35</f>
        <v/>
      </c>
      <c r="BB35" s="22">
        <f>BA35*(1+INDEX($Q35:$AJ35,1,(BB$4-1)*5+1))</f>
        <v/>
      </c>
      <c r="BC35" s="22">
        <f>BB35*(1+INDEX($Q35:$AJ35,1,(BC$4-1)*5+1))</f>
        <v/>
      </c>
      <c r="BD35" s="22">
        <f>BC35*(1+INDEX($Q35:$AJ35,1,(BD$4-1)*5+1))</f>
        <v/>
      </c>
      <c r="BE35" s="22">
        <f>BD35*(1+INDEX($Q35:$AJ35,1,(BE$4-1)*5+1))</f>
        <v/>
      </c>
      <c r="BF35" s="22">
        <f>BE35*(1+INDEX($Q35:$AJ35,1,(BF$4-1)*5+1))</f>
        <v/>
      </c>
      <c r="BG35" s="22">
        <f>BF35*(1+INDEX($Q35:$AJ35,1,(BG$4-1)*5+1))</f>
        <v/>
      </c>
      <c r="BH35" s="22">
        <f>BG35*(1+INDEX($Q35:$AJ35,1,(BH$4-1)*5+1))</f>
        <v/>
      </c>
      <c r="BI35" s="22">
        <f>BH35*(1+INDEX($Q35:$AJ35,1,(BI$4-1)*5+1))</f>
        <v/>
      </c>
      <c r="BJ35" s="22">
        <f>BI35*(1+INDEX($Q35:$AJ35,1,(BJ$4-1)*5+1))</f>
        <v/>
      </c>
      <c r="BK35" s="22">
        <f>BJ35*(1+INDEX($Q35:$AJ35,1,(BK$4-1)*5+1))</f>
        <v/>
      </c>
      <c r="BL35" s="22">
        <f>BK35*(1+INDEX($Q35:$AJ35,1,(BL$4-1)*5+1))</f>
        <v/>
      </c>
      <c r="BM35" s="22">
        <f>BL35*(1+INDEX($Q35:$AJ35,1,(BM$4-1)*5+1))</f>
        <v/>
      </c>
      <c r="BN35" s="22">
        <f>BM35*(1+INDEX($Q35:$AJ35,1,(BN$4-1)*5+1))</f>
        <v/>
      </c>
    </row>
    <row r="36">
      <c r="B36" s="5" t="inlineStr">
        <is>
          <t>nga</t>
        </is>
      </c>
      <c r="C36" s="5" t="inlineStr">
        <is>
          <t>nav</t>
        </is>
      </c>
      <c r="D36" s="5" t="inlineStr">
        <is>
          <t>Pre-tax price | Domestic navigation | Natural gas</t>
        </is>
      </c>
      <c r="E36" s="5" t="inlineStr">
        <is>
          <t>$/GJ</t>
        </is>
      </c>
      <c r="F36" s="5" t="inlineStr">
        <is>
          <t>Prices_dom (base year), then growth</t>
        </is>
      </c>
      <c r="G36" s="19" t="inlineStr">
        <is>
          <t>mit.sp.nga</t>
        </is>
      </c>
      <c r="H36" s="19" t="inlineStr">
        <is>
          <t>mit.pbt.nga.nav</t>
        </is>
      </c>
      <c r="J36" s="5">
        <f>INDEX(Mapping!$C$5:$C$20,MATCH($C36,Mapping!$A$5:$A$20,0))</f>
        <v/>
      </c>
      <c r="K36" s="5">
        <f>INDEX(Mapping!$D$5:$D$20,MATCH($C36,Mapping!$A$5:$A$20,0))</f>
        <v/>
      </c>
      <c r="L36" s="5">
        <f>INDEX(Mapping!$C$24:$C$31,MATCH($B36,Mapping!$A$24:$A$31,0))</f>
        <v/>
      </c>
      <c r="M36" s="5">
        <f>INDEX(Mapping!$D$24:$D$31,MATCH($B36,Mapping!$A$24:$A$31,0))</f>
        <v/>
      </c>
      <c r="N36" s="5">
        <f>$B36&amp;"."&amp;IF(INDEX(Mapping!$E$24:$E$31,MATCH($B36,Mapping!$A$24:$A$31,0))="sub",INDEX(Mapping!$F$5:$F$20,MATCH($C36,Mapping!$A$5:$A$20,0)),"all")</f>
        <v/>
      </c>
      <c r="O36" s="5">
        <f>INDEX(Mapping!$E$5:$E$20,MATCH($C36,Mapping!$A$5:$A$20,0))</f>
        <v/>
      </c>
      <c r="P36" s="5">
        <f>INDEX(Mapping!$G$24:$G$31,MATCH($B36,Mapping!$A$24:$A$31,0))</f>
        <v/>
      </c>
      <c r="Q36" s="20" t="n">
        <v>0</v>
      </c>
      <c r="R36" s="21" t="n"/>
      <c r="S36" s="21" t="n"/>
      <c r="T36" s="21" t="n"/>
      <c r="U36" s="21" t="n"/>
      <c r="V36" s="22">
        <f>Q36</f>
        <v/>
      </c>
      <c r="W36" s="21" t="n"/>
      <c r="X36" s="21" t="n"/>
      <c r="Y36" s="21" t="n"/>
      <c r="Z36" s="21" t="n"/>
      <c r="AA36" s="22">
        <f>Q36</f>
        <v/>
      </c>
      <c r="AB36" s="21" t="n"/>
      <c r="AC36" s="21" t="n"/>
      <c r="AD36" s="21" t="n"/>
      <c r="AE36" s="21" t="n"/>
      <c r="AF36" s="22">
        <f>Q36</f>
        <v/>
      </c>
      <c r="AG36" s="21" t="n"/>
      <c r="AH36" s="21" t="n"/>
      <c r="AI36" s="21" t="n"/>
      <c r="AJ36" s="21" t="n"/>
      <c r="AL36" s="23">
        <f>INDEX(Prices_dom!$A$6:$CU$2000,MATCH(Settings!$C$4&amp;AL$5,Prices_dom!$A$6:$A$2000,0),MATCH("mit.sp."&amp;$N36,Prices_dom!$A$5:$CU$5,0))/$P36</f>
        <v/>
      </c>
      <c r="AM36" s="22">
        <f>AL36*(1+INDEX($Q36:$AJ36,1,(AM$4-1)*5+1))</f>
        <v/>
      </c>
      <c r="AN36" s="22">
        <f>AM36*(1+INDEX($Q36:$AJ36,1,(AN$4-1)*5+1))</f>
        <v/>
      </c>
      <c r="AO36" s="22">
        <f>AN36*(1+INDEX($Q36:$AJ36,1,(AO$4-1)*5+1))</f>
        <v/>
      </c>
      <c r="AP36" s="22">
        <f>AO36*(1+INDEX($Q36:$AJ36,1,(AP$4-1)*5+1))</f>
        <v/>
      </c>
      <c r="AQ36" s="22">
        <f>AP36*(1+INDEX($Q36:$AJ36,1,(AQ$4-1)*5+1))</f>
        <v/>
      </c>
      <c r="AR36" s="22">
        <f>AQ36*(1+INDEX($Q36:$AJ36,1,(AR$4-1)*5+1))</f>
        <v/>
      </c>
      <c r="AS36" s="22">
        <f>AR36*(1+INDEX($Q36:$AJ36,1,(AS$4-1)*5+1))</f>
        <v/>
      </c>
      <c r="AT36" s="22">
        <f>AS36*(1+INDEX($Q36:$AJ36,1,(AT$4-1)*5+1))</f>
        <v/>
      </c>
      <c r="AU36" s="22">
        <f>AT36*(1+INDEX($Q36:$AJ36,1,(AU$4-1)*5+1))</f>
        <v/>
      </c>
      <c r="AV36" s="22">
        <f>AU36*(1+INDEX($Q36:$AJ36,1,(AV$4-1)*5+1))</f>
        <v/>
      </c>
      <c r="AW36" s="22">
        <f>AV36*(1+INDEX($Q36:$AJ36,1,(AW$4-1)*5+1))</f>
        <v/>
      </c>
      <c r="AX36" s="22">
        <f>AW36*(1+INDEX($Q36:$AJ36,1,(AX$4-1)*5+1))</f>
        <v/>
      </c>
      <c r="AY36" s="22">
        <f>AX36*(1+INDEX($Q36:$AJ36,1,(AY$4-1)*5+1))</f>
        <v/>
      </c>
      <c r="BA36" s="23">
        <f>INDEX(Prices_dom!$A$6:$CU$2000,MATCH(Settings!$C$4&amp;BA$5,Prices_dom!$A$6:$A$2000,0),MATCH("mit.sp."&amp;$N36,Prices_dom!$A$5:$CU$5,0))/$P36</f>
        <v/>
      </c>
      <c r="BB36" s="22">
        <f>BA36*(1+INDEX($Q36:$AJ36,1,(BB$4-1)*5+1))</f>
        <v/>
      </c>
      <c r="BC36" s="22">
        <f>BB36*(1+INDEX($Q36:$AJ36,1,(BC$4-1)*5+1))</f>
        <v/>
      </c>
      <c r="BD36" s="22">
        <f>BC36*(1+INDEX($Q36:$AJ36,1,(BD$4-1)*5+1))</f>
        <v/>
      </c>
      <c r="BE36" s="22">
        <f>BD36*(1+INDEX($Q36:$AJ36,1,(BE$4-1)*5+1))</f>
        <v/>
      </c>
      <c r="BF36" s="22">
        <f>BE36*(1+INDEX($Q36:$AJ36,1,(BF$4-1)*5+1))</f>
        <v/>
      </c>
      <c r="BG36" s="22">
        <f>BF36*(1+INDEX($Q36:$AJ36,1,(BG$4-1)*5+1))</f>
        <v/>
      </c>
      <c r="BH36" s="22">
        <f>BG36*(1+INDEX($Q36:$AJ36,1,(BH$4-1)*5+1))</f>
        <v/>
      </c>
      <c r="BI36" s="22">
        <f>BH36*(1+INDEX($Q36:$AJ36,1,(BI$4-1)*5+1))</f>
        <v/>
      </c>
      <c r="BJ36" s="22">
        <f>BI36*(1+INDEX($Q36:$AJ36,1,(BJ$4-1)*5+1))</f>
        <v/>
      </c>
      <c r="BK36" s="22">
        <f>BJ36*(1+INDEX($Q36:$AJ36,1,(BK$4-1)*5+1))</f>
        <v/>
      </c>
      <c r="BL36" s="22">
        <f>BK36*(1+INDEX($Q36:$AJ36,1,(BL$4-1)*5+1))</f>
        <v/>
      </c>
      <c r="BM36" s="22">
        <f>BL36*(1+INDEX($Q36:$AJ36,1,(BM$4-1)*5+1))</f>
        <v/>
      </c>
      <c r="BN36" s="22">
        <f>BM36*(1+INDEX($Q36:$AJ36,1,(BN$4-1)*5+1))</f>
        <v/>
      </c>
    </row>
    <row r="37">
      <c r="B37" s="5" t="inlineStr">
        <is>
          <t>gso</t>
        </is>
      </c>
      <c r="C37" s="5" t="inlineStr">
        <is>
          <t>nav</t>
        </is>
      </c>
      <c r="D37" s="5" t="inlineStr">
        <is>
          <t>Pre-tax price | Domestic navigation | Gasoline</t>
        </is>
      </c>
      <c r="E37" s="5" t="inlineStr">
        <is>
          <t>$/GJ</t>
        </is>
      </c>
      <c r="F37" s="5" t="inlineStr">
        <is>
          <t>Prices_dom (base year), then growth</t>
        </is>
      </c>
      <c r="G37" s="19" t="inlineStr">
        <is>
          <t>mit.sp.gso</t>
        </is>
      </c>
      <c r="H37" s="19" t="inlineStr">
        <is>
          <t>mit.pbt.gso.nav</t>
        </is>
      </c>
      <c r="J37" s="5">
        <f>INDEX(Mapping!$C$5:$C$20,MATCH($C37,Mapping!$A$5:$A$20,0))</f>
        <v/>
      </c>
      <c r="K37" s="5">
        <f>INDEX(Mapping!$D$5:$D$20,MATCH($C37,Mapping!$A$5:$A$20,0))</f>
        <v/>
      </c>
      <c r="L37" s="5">
        <f>INDEX(Mapping!$C$24:$C$31,MATCH($B37,Mapping!$A$24:$A$31,0))</f>
        <v/>
      </c>
      <c r="M37" s="5">
        <f>INDEX(Mapping!$D$24:$D$31,MATCH($B37,Mapping!$A$24:$A$31,0))</f>
        <v/>
      </c>
      <c r="N37" s="5">
        <f>$B37&amp;"."&amp;IF(INDEX(Mapping!$E$24:$E$31,MATCH($B37,Mapping!$A$24:$A$31,0))="sub",INDEX(Mapping!$F$5:$F$20,MATCH($C37,Mapping!$A$5:$A$20,0)),"all")</f>
        <v/>
      </c>
      <c r="O37" s="5">
        <f>INDEX(Mapping!$E$5:$E$20,MATCH($C37,Mapping!$A$5:$A$20,0))</f>
        <v/>
      </c>
      <c r="P37" s="5">
        <f>INDEX(Mapping!$G$24:$G$31,MATCH($B37,Mapping!$A$24:$A$31,0))</f>
        <v/>
      </c>
      <c r="Q37" s="20" t="n">
        <v>0</v>
      </c>
      <c r="R37" s="21" t="n"/>
      <c r="S37" s="21" t="n"/>
      <c r="T37" s="21" t="n"/>
      <c r="U37" s="21" t="n"/>
      <c r="V37" s="22">
        <f>Q37</f>
        <v/>
      </c>
      <c r="W37" s="21" t="n"/>
      <c r="X37" s="21" t="n"/>
      <c r="Y37" s="21" t="n"/>
      <c r="Z37" s="21" t="n"/>
      <c r="AA37" s="22">
        <f>Q37</f>
        <v/>
      </c>
      <c r="AB37" s="21" t="n"/>
      <c r="AC37" s="21" t="n"/>
      <c r="AD37" s="21" t="n"/>
      <c r="AE37" s="21" t="n"/>
      <c r="AF37" s="22">
        <f>Q37</f>
        <v/>
      </c>
      <c r="AG37" s="21" t="n"/>
      <c r="AH37" s="21" t="n"/>
      <c r="AI37" s="21" t="n"/>
      <c r="AJ37" s="21" t="n"/>
      <c r="AL37" s="23">
        <f>INDEX(Prices_dom!$A$6:$CU$2000,MATCH(Settings!$C$4&amp;AL$5,Prices_dom!$A$6:$A$2000,0),MATCH("mit.sp."&amp;$N37,Prices_dom!$A$5:$CU$5,0))/$P37</f>
        <v/>
      </c>
      <c r="AM37" s="22">
        <f>AL37*(1+INDEX($Q37:$AJ37,1,(AM$4-1)*5+1))</f>
        <v/>
      </c>
      <c r="AN37" s="22">
        <f>AM37*(1+INDEX($Q37:$AJ37,1,(AN$4-1)*5+1))</f>
        <v/>
      </c>
      <c r="AO37" s="22">
        <f>AN37*(1+INDEX($Q37:$AJ37,1,(AO$4-1)*5+1))</f>
        <v/>
      </c>
      <c r="AP37" s="22">
        <f>AO37*(1+INDEX($Q37:$AJ37,1,(AP$4-1)*5+1))</f>
        <v/>
      </c>
      <c r="AQ37" s="22">
        <f>AP37*(1+INDEX($Q37:$AJ37,1,(AQ$4-1)*5+1))</f>
        <v/>
      </c>
      <c r="AR37" s="22">
        <f>AQ37*(1+INDEX($Q37:$AJ37,1,(AR$4-1)*5+1))</f>
        <v/>
      </c>
      <c r="AS37" s="22">
        <f>AR37*(1+INDEX($Q37:$AJ37,1,(AS$4-1)*5+1))</f>
        <v/>
      </c>
      <c r="AT37" s="22">
        <f>AS37*(1+INDEX($Q37:$AJ37,1,(AT$4-1)*5+1))</f>
        <v/>
      </c>
      <c r="AU37" s="22">
        <f>AT37*(1+INDEX($Q37:$AJ37,1,(AU$4-1)*5+1))</f>
        <v/>
      </c>
      <c r="AV37" s="22">
        <f>AU37*(1+INDEX($Q37:$AJ37,1,(AV$4-1)*5+1))</f>
        <v/>
      </c>
      <c r="AW37" s="22">
        <f>AV37*(1+INDEX($Q37:$AJ37,1,(AW$4-1)*5+1))</f>
        <v/>
      </c>
      <c r="AX37" s="22">
        <f>AW37*(1+INDEX($Q37:$AJ37,1,(AX$4-1)*5+1))</f>
        <v/>
      </c>
      <c r="AY37" s="22">
        <f>AX37*(1+INDEX($Q37:$AJ37,1,(AY$4-1)*5+1))</f>
        <v/>
      </c>
      <c r="BA37" s="23">
        <f>INDEX(Prices_dom!$A$6:$CU$2000,MATCH(Settings!$C$4&amp;BA$5,Prices_dom!$A$6:$A$2000,0),MATCH("mit.sp."&amp;$N37,Prices_dom!$A$5:$CU$5,0))/$P37</f>
        <v/>
      </c>
      <c r="BB37" s="22">
        <f>BA37*(1+INDEX($Q37:$AJ37,1,(BB$4-1)*5+1))</f>
        <v/>
      </c>
      <c r="BC37" s="22">
        <f>BB37*(1+INDEX($Q37:$AJ37,1,(BC$4-1)*5+1))</f>
        <v/>
      </c>
      <c r="BD37" s="22">
        <f>BC37*(1+INDEX($Q37:$AJ37,1,(BD$4-1)*5+1))</f>
        <v/>
      </c>
      <c r="BE37" s="22">
        <f>BD37*(1+INDEX($Q37:$AJ37,1,(BE$4-1)*5+1))</f>
        <v/>
      </c>
      <c r="BF37" s="22">
        <f>BE37*(1+INDEX($Q37:$AJ37,1,(BF$4-1)*5+1))</f>
        <v/>
      </c>
      <c r="BG37" s="22">
        <f>BF37*(1+INDEX($Q37:$AJ37,1,(BG$4-1)*5+1))</f>
        <v/>
      </c>
      <c r="BH37" s="22">
        <f>BG37*(1+INDEX($Q37:$AJ37,1,(BH$4-1)*5+1))</f>
        <v/>
      </c>
      <c r="BI37" s="22">
        <f>BH37*(1+INDEX($Q37:$AJ37,1,(BI$4-1)*5+1))</f>
        <v/>
      </c>
      <c r="BJ37" s="22">
        <f>BI37*(1+INDEX($Q37:$AJ37,1,(BJ$4-1)*5+1))</f>
        <v/>
      </c>
      <c r="BK37" s="22">
        <f>BJ37*(1+INDEX($Q37:$AJ37,1,(BK$4-1)*5+1))</f>
        <v/>
      </c>
      <c r="BL37" s="22">
        <f>BK37*(1+INDEX($Q37:$AJ37,1,(BL$4-1)*5+1))</f>
        <v/>
      </c>
      <c r="BM37" s="22">
        <f>BL37*(1+INDEX($Q37:$AJ37,1,(BM$4-1)*5+1))</f>
        <v/>
      </c>
      <c r="BN37" s="22">
        <f>BM37*(1+INDEX($Q37:$AJ37,1,(BN$4-1)*5+1))</f>
        <v/>
      </c>
    </row>
    <row r="38">
      <c r="B38" s="5" t="inlineStr">
        <is>
          <t>die</t>
        </is>
      </c>
      <c r="C38" s="5" t="inlineStr">
        <is>
          <t>nav</t>
        </is>
      </c>
      <c r="D38" s="5" t="inlineStr">
        <is>
          <t>Pre-tax price | Domestic navigation | Diesel</t>
        </is>
      </c>
      <c r="E38" s="5" t="inlineStr">
        <is>
          <t>$/GJ</t>
        </is>
      </c>
      <c r="F38" s="5" t="inlineStr">
        <is>
          <t>Prices_dom (base year), then growth</t>
        </is>
      </c>
      <c r="G38" s="19" t="inlineStr">
        <is>
          <t>mit.sp.die</t>
        </is>
      </c>
      <c r="H38" s="19" t="inlineStr">
        <is>
          <t>mit.pbt.die.nav</t>
        </is>
      </c>
      <c r="J38" s="5">
        <f>INDEX(Mapping!$C$5:$C$20,MATCH($C38,Mapping!$A$5:$A$20,0))</f>
        <v/>
      </c>
      <c r="K38" s="5">
        <f>INDEX(Mapping!$D$5:$D$20,MATCH($C38,Mapping!$A$5:$A$20,0))</f>
        <v/>
      </c>
      <c r="L38" s="5">
        <f>INDEX(Mapping!$C$24:$C$31,MATCH($B38,Mapping!$A$24:$A$31,0))</f>
        <v/>
      </c>
      <c r="M38" s="5">
        <f>INDEX(Mapping!$D$24:$D$31,MATCH($B38,Mapping!$A$24:$A$31,0))</f>
        <v/>
      </c>
      <c r="N38" s="5">
        <f>$B38&amp;"."&amp;IF(INDEX(Mapping!$E$24:$E$31,MATCH($B38,Mapping!$A$24:$A$31,0))="sub",INDEX(Mapping!$F$5:$F$20,MATCH($C38,Mapping!$A$5:$A$20,0)),"all")</f>
        <v/>
      </c>
      <c r="O38" s="5">
        <f>INDEX(Mapping!$E$5:$E$20,MATCH($C38,Mapping!$A$5:$A$20,0))</f>
        <v/>
      </c>
      <c r="P38" s="5">
        <f>INDEX(Mapping!$G$24:$G$31,MATCH($B38,Mapping!$A$24:$A$31,0))</f>
        <v/>
      </c>
      <c r="Q38" s="20" t="n">
        <v>0</v>
      </c>
      <c r="R38" s="21" t="n"/>
      <c r="S38" s="21" t="n"/>
      <c r="T38" s="21" t="n"/>
      <c r="U38" s="21" t="n"/>
      <c r="V38" s="22">
        <f>Q38</f>
        <v/>
      </c>
      <c r="W38" s="21" t="n"/>
      <c r="X38" s="21" t="n"/>
      <c r="Y38" s="21" t="n"/>
      <c r="Z38" s="21" t="n"/>
      <c r="AA38" s="22">
        <f>Q38</f>
        <v/>
      </c>
      <c r="AB38" s="21" t="n"/>
      <c r="AC38" s="21" t="n"/>
      <c r="AD38" s="21" t="n"/>
      <c r="AE38" s="21" t="n"/>
      <c r="AF38" s="22">
        <f>Q38</f>
        <v/>
      </c>
      <c r="AG38" s="21" t="n"/>
      <c r="AH38" s="21" t="n"/>
      <c r="AI38" s="21" t="n"/>
      <c r="AJ38" s="21" t="n"/>
      <c r="AL38" s="23">
        <f>INDEX(Prices_dom!$A$6:$CU$2000,MATCH(Settings!$C$4&amp;AL$5,Prices_dom!$A$6:$A$2000,0),MATCH("mit.sp."&amp;$N38,Prices_dom!$A$5:$CU$5,0))/$P38</f>
        <v/>
      </c>
      <c r="AM38" s="22">
        <f>AL38*(1+INDEX($Q38:$AJ38,1,(AM$4-1)*5+1))</f>
        <v/>
      </c>
      <c r="AN38" s="22">
        <f>AM38*(1+INDEX($Q38:$AJ38,1,(AN$4-1)*5+1))</f>
        <v/>
      </c>
      <c r="AO38" s="22">
        <f>AN38*(1+INDEX($Q38:$AJ38,1,(AO$4-1)*5+1))</f>
        <v/>
      </c>
      <c r="AP38" s="22">
        <f>AO38*(1+INDEX($Q38:$AJ38,1,(AP$4-1)*5+1))</f>
        <v/>
      </c>
      <c r="AQ38" s="22">
        <f>AP38*(1+INDEX($Q38:$AJ38,1,(AQ$4-1)*5+1))</f>
        <v/>
      </c>
      <c r="AR38" s="22">
        <f>AQ38*(1+INDEX($Q38:$AJ38,1,(AR$4-1)*5+1))</f>
        <v/>
      </c>
      <c r="AS38" s="22">
        <f>AR38*(1+INDEX($Q38:$AJ38,1,(AS$4-1)*5+1))</f>
        <v/>
      </c>
      <c r="AT38" s="22">
        <f>AS38*(1+INDEX($Q38:$AJ38,1,(AT$4-1)*5+1))</f>
        <v/>
      </c>
      <c r="AU38" s="22">
        <f>AT38*(1+INDEX($Q38:$AJ38,1,(AU$4-1)*5+1))</f>
        <v/>
      </c>
      <c r="AV38" s="22">
        <f>AU38*(1+INDEX($Q38:$AJ38,1,(AV$4-1)*5+1))</f>
        <v/>
      </c>
      <c r="AW38" s="22">
        <f>AV38*(1+INDEX($Q38:$AJ38,1,(AW$4-1)*5+1))</f>
        <v/>
      </c>
      <c r="AX38" s="22">
        <f>AW38*(1+INDEX($Q38:$AJ38,1,(AX$4-1)*5+1))</f>
        <v/>
      </c>
      <c r="AY38" s="22">
        <f>AX38*(1+INDEX($Q38:$AJ38,1,(AY$4-1)*5+1))</f>
        <v/>
      </c>
      <c r="BA38" s="23">
        <f>INDEX(Prices_dom!$A$6:$CU$2000,MATCH(Settings!$C$4&amp;BA$5,Prices_dom!$A$6:$A$2000,0),MATCH("mit.sp."&amp;$N38,Prices_dom!$A$5:$CU$5,0))/$P38</f>
        <v/>
      </c>
      <c r="BB38" s="22">
        <f>BA38*(1+INDEX($Q38:$AJ38,1,(BB$4-1)*5+1))</f>
        <v/>
      </c>
      <c r="BC38" s="22">
        <f>BB38*(1+INDEX($Q38:$AJ38,1,(BC$4-1)*5+1))</f>
        <v/>
      </c>
      <c r="BD38" s="22">
        <f>BC38*(1+INDEX($Q38:$AJ38,1,(BD$4-1)*5+1))</f>
        <v/>
      </c>
      <c r="BE38" s="22">
        <f>BD38*(1+INDEX($Q38:$AJ38,1,(BE$4-1)*5+1))</f>
        <v/>
      </c>
      <c r="BF38" s="22">
        <f>BE38*(1+INDEX($Q38:$AJ38,1,(BF$4-1)*5+1))</f>
        <v/>
      </c>
      <c r="BG38" s="22">
        <f>BF38*(1+INDEX($Q38:$AJ38,1,(BG$4-1)*5+1))</f>
        <v/>
      </c>
      <c r="BH38" s="22">
        <f>BG38*(1+INDEX($Q38:$AJ38,1,(BH$4-1)*5+1))</f>
        <v/>
      </c>
      <c r="BI38" s="22">
        <f>BH38*(1+INDEX($Q38:$AJ38,1,(BI$4-1)*5+1))</f>
        <v/>
      </c>
      <c r="BJ38" s="22">
        <f>BI38*(1+INDEX($Q38:$AJ38,1,(BJ$4-1)*5+1))</f>
        <v/>
      </c>
      <c r="BK38" s="22">
        <f>BJ38*(1+INDEX($Q38:$AJ38,1,(BK$4-1)*5+1))</f>
        <v/>
      </c>
      <c r="BL38" s="22">
        <f>BK38*(1+INDEX($Q38:$AJ38,1,(BL$4-1)*5+1))</f>
        <v/>
      </c>
      <c r="BM38" s="22">
        <f>BL38*(1+INDEX($Q38:$AJ38,1,(BM$4-1)*5+1))</f>
        <v/>
      </c>
      <c r="BN38" s="22">
        <f>BM38*(1+INDEX($Q38:$AJ38,1,(BN$4-1)*5+1))</f>
        <v/>
      </c>
    </row>
    <row r="39">
      <c r="B39" s="5" t="inlineStr">
        <is>
          <t>lpg</t>
        </is>
      </c>
      <c r="C39" s="5" t="inlineStr">
        <is>
          <t>nav</t>
        </is>
      </c>
      <c r="D39" s="5" t="inlineStr">
        <is>
          <t>Pre-tax price | Domestic navigation | LPG</t>
        </is>
      </c>
      <c r="E39" s="5" t="inlineStr">
        <is>
          <t>$/GJ</t>
        </is>
      </c>
      <c r="F39" s="5" t="inlineStr">
        <is>
          <t>Prices_dom (base year), then growth</t>
        </is>
      </c>
      <c r="G39" s="19" t="inlineStr">
        <is>
          <t>mit.sp.lpg</t>
        </is>
      </c>
      <c r="H39" s="19" t="inlineStr">
        <is>
          <t>mit.pbt.lpg.nav</t>
        </is>
      </c>
      <c r="J39" s="5">
        <f>INDEX(Mapping!$C$5:$C$20,MATCH($C39,Mapping!$A$5:$A$20,0))</f>
        <v/>
      </c>
      <c r="K39" s="5">
        <f>INDEX(Mapping!$D$5:$D$20,MATCH($C39,Mapping!$A$5:$A$20,0))</f>
        <v/>
      </c>
      <c r="L39" s="5">
        <f>INDEX(Mapping!$C$24:$C$31,MATCH($B39,Mapping!$A$24:$A$31,0))</f>
        <v/>
      </c>
      <c r="M39" s="5">
        <f>INDEX(Mapping!$D$24:$D$31,MATCH($B39,Mapping!$A$24:$A$31,0))</f>
        <v/>
      </c>
      <c r="N39" s="5">
        <f>$B39&amp;"."&amp;IF(INDEX(Mapping!$E$24:$E$31,MATCH($B39,Mapping!$A$24:$A$31,0))="sub",INDEX(Mapping!$F$5:$F$20,MATCH($C39,Mapping!$A$5:$A$20,0)),"all")</f>
        <v/>
      </c>
      <c r="O39" s="5">
        <f>INDEX(Mapping!$E$5:$E$20,MATCH($C39,Mapping!$A$5:$A$20,0))</f>
        <v/>
      </c>
      <c r="P39" s="5">
        <f>INDEX(Mapping!$G$24:$G$31,MATCH($B39,Mapping!$A$24:$A$31,0))</f>
        <v/>
      </c>
      <c r="Q39" s="20" t="n">
        <v>0</v>
      </c>
      <c r="R39" s="21" t="n"/>
      <c r="S39" s="21" t="n"/>
      <c r="T39" s="21" t="n"/>
      <c r="U39" s="21" t="n"/>
      <c r="V39" s="22">
        <f>Q39</f>
        <v/>
      </c>
      <c r="W39" s="21" t="n"/>
      <c r="X39" s="21" t="n"/>
      <c r="Y39" s="21" t="n"/>
      <c r="Z39" s="21" t="n"/>
      <c r="AA39" s="22">
        <f>Q39</f>
        <v/>
      </c>
      <c r="AB39" s="21" t="n"/>
      <c r="AC39" s="21" t="n"/>
      <c r="AD39" s="21" t="n"/>
      <c r="AE39" s="21" t="n"/>
      <c r="AF39" s="22">
        <f>Q39</f>
        <v/>
      </c>
      <c r="AG39" s="21" t="n"/>
      <c r="AH39" s="21" t="n"/>
      <c r="AI39" s="21" t="n"/>
      <c r="AJ39" s="21" t="n"/>
      <c r="AL39" s="23">
        <f>INDEX(Prices_dom!$A$6:$CU$2000,MATCH(Settings!$C$4&amp;AL$5,Prices_dom!$A$6:$A$2000,0),MATCH("mit.sp."&amp;$N39,Prices_dom!$A$5:$CU$5,0))/$P39</f>
        <v/>
      </c>
      <c r="AM39" s="22">
        <f>AL39*(1+INDEX($Q39:$AJ39,1,(AM$4-1)*5+1))</f>
        <v/>
      </c>
      <c r="AN39" s="22">
        <f>AM39*(1+INDEX($Q39:$AJ39,1,(AN$4-1)*5+1))</f>
        <v/>
      </c>
      <c r="AO39" s="22">
        <f>AN39*(1+INDEX($Q39:$AJ39,1,(AO$4-1)*5+1))</f>
        <v/>
      </c>
      <c r="AP39" s="22">
        <f>AO39*(1+INDEX($Q39:$AJ39,1,(AP$4-1)*5+1))</f>
        <v/>
      </c>
      <c r="AQ39" s="22">
        <f>AP39*(1+INDEX($Q39:$AJ39,1,(AQ$4-1)*5+1))</f>
        <v/>
      </c>
      <c r="AR39" s="22">
        <f>AQ39*(1+INDEX($Q39:$AJ39,1,(AR$4-1)*5+1))</f>
        <v/>
      </c>
      <c r="AS39" s="22">
        <f>AR39*(1+INDEX($Q39:$AJ39,1,(AS$4-1)*5+1))</f>
        <v/>
      </c>
      <c r="AT39" s="22">
        <f>AS39*(1+INDEX($Q39:$AJ39,1,(AT$4-1)*5+1))</f>
        <v/>
      </c>
      <c r="AU39" s="22">
        <f>AT39*(1+INDEX($Q39:$AJ39,1,(AU$4-1)*5+1))</f>
        <v/>
      </c>
      <c r="AV39" s="22">
        <f>AU39*(1+INDEX($Q39:$AJ39,1,(AV$4-1)*5+1))</f>
        <v/>
      </c>
      <c r="AW39" s="22">
        <f>AV39*(1+INDEX($Q39:$AJ39,1,(AW$4-1)*5+1))</f>
        <v/>
      </c>
      <c r="AX39" s="22">
        <f>AW39*(1+INDEX($Q39:$AJ39,1,(AX$4-1)*5+1))</f>
        <v/>
      </c>
      <c r="AY39" s="22">
        <f>AX39*(1+INDEX($Q39:$AJ39,1,(AY$4-1)*5+1))</f>
        <v/>
      </c>
      <c r="BA39" s="23">
        <f>INDEX(Prices_dom!$A$6:$CU$2000,MATCH(Settings!$C$4&amp;BA$5,Prices_dom!$A$6:$A$2000,0),MATCH("mit.sp."&amp;$N39,Prices_dom!$A$5:$CU$5,0))/$P39</f>
        <v/>
      </c>
      <c r="BB39" s="22">
        <f>BA39*(1+INDEX($Q39:$AJ39,1,(BB$4-1)*5+1))</f>
        <v/>
      </c>
      <c r="BC39" s="22">
        <f>BB39*(1+INDEX($Q39:$AJ39,1,(BC$4-1)*5+1))</f>
        <v/>
      </c>
      <c r="BD39" s="22">
        <f>BC39*(1+INDEX($Q39:$AJ39,1,(BD$4-1)*5+1))</f>
        <v/>
      </c>
      <c r="BE39" s="22">
        <f>BD39*(1+INDEX($Q39:$AJ39,1,(BE$4-1)*5+1))</f>
        <v/>
      </c>
      <c r="BF39" s="22">
        <f>BE39*(1+INDEX($Q39:$AJ39,1,(BF$4-1)*5+1))</f>
        <v/>
      </c>
      <c r="BG39" s="22">
        <f>BF39*(1+INDEX($Q39:$AJ39,1,(BG$4-1)*5+1))</f>
        <v/>
      </c>
      <c r="BH39" s="22">
        <f>BG39*(1+INDEX($Q39:$AJ39,1,(BH$4-1)*5+1))</f>
        <v/>
      </c>
      <c r="BI39" s="22">
        <f>BH39*(1+INDEX($Q39:$AJ39,1,(BI$4-1)*5+1))</f>
        <v/>
      </c>
      <c r="BJ39" s="22">
        <f>BI39*(1+INDEX($Q39:$AJ39,1,(BJ$4-1)*5+1))</f>
        <v/>
      </c>
      <c r="BK39" s="22">
        <f>BJ39*(1+INDEX($Q39:$AJ39,1,(BK$4-1)*5+1))</f>
        <v/>
      </c>
      <c r="BL39" s="22">
        <f>BK39*(1+INDEX($Q39:$AJ39,1,(BL$4-1)*5+1))</f>
        <v/>
      </c>
      <c r="BM39" s="22">
        <f>BL39*(1+INDEX($Q39:$AJ39,1,(BM$4-1)*5+1))</f>
        <v/>
      </c>
      <c r="BN39" s="22">
        <f>BM39*(1+INDEX($Q39:$AJ39,1,(BN$4-1)*5+1))</f>
        <v/>
      </c>
    </row>
    <row r="40">
      <c r="B40" s="5" t="inlineStr">
        <is>
          <t>ker</t>
        </is>
      </c>
      <c r="C40" s="5" t="inlineStr">
        <is>
          <t>nav</t>
        </is>
      </c>
      <c r="D40" s="5" t="inlineStr">
        <is>
          <t>Pre-tax price | Domestic navigation | Kerosene</t>
        </is>
      </c>
      <c r="E40" s="5" t="inlineStr">
        <is>
          <t>$/GJ</t>
        </is>
      </c>
      <c r="F40" s="5" t="inlineStr">
        <is>
          <t>Prices_dom (base year), then growth</t>
        </is>
      </c>
      <c r="G40" s="19" t="inlineStr">
        <is>
          <t>mit.sp.ker</t>
        </is>
      </c>
      <c r="H40" s="19" t="inlineStr">
        <is>
          <t>mit.pbt.ker.nav</t>
        </is>
      </c>
      <c r="J40" s="5">
        <f>INDEX(Mapping!$C$5:$C$20,MATCH($C40,Mapping!$A$5:$A$20,0))</f>
        <v/>
      </c>
      <c r="K40" s="5">
        <f>INDEX(Mapping!$D$5:$D$20,MATCH($C40,Mapping!$A$5:$A$20,0))</f>
        <v/>
      </c>
      <c r="L40" s="5">
        <f>INDEX(Mapping!$C$24:$C$31,MATCH($B40,Mapping!$A$24:$A$31,0))</f>
        <v/>
      </c>
      <c r="M40" s="5">
        <f>INDEX(Mapping!$D$24:$D$31,MATCH($B40,Mapping!$A$24:$A$31,0))</f>
        <v/>
      </c>
      <c r="N40" s="5">
        <f>$B40&amp;"."&amp;IF(INDEX(Mapping!$E$24:$E$31,MATCH($B40,Mapping!$A$24:$A$31,0))="sub",INDEX(Mapping!$F$5:$F$20,MATCH($C40,Mapping!$A$5:$A$20,0)),"all")</f>
        <v/>
      </c>
      <c r="O40" s="5">
        <f>INDEX(Mapping!$E$5:$E$20,MATCH($C40,Mapping!$A$5:$A$20,0))</f>
        <v/>
      </c>
      <c r="P40" s="5">
        <f>INDEX(Mapping!$G$24:$G$31,MATCH($B40,Mapping!$A$24:$A$31,0))</f>
        <v/>
      </c>
      <c r="Q40" s="20" t="n">
        <v>0</v>
      </c>
      <c r="R40" s="21" t="n"/>
      <c r="S40" s="21" t="n"/>
      <c r="T40" s="21" t="n"/>
      <c r="U40" s="21" t="n"/>
      <c r="V40" s="22">
        <f>Q40</f>
        <v/>
      </c>
      <c r="W40" s="21" t="n"/>
      <c r="X40" s="21" t="n"/>
      <c r="Y40" s="21" t="n"/>
      <c r="Z40" s="21" t="n"/>
      <c r="AA40" s="22">
        <f>Q40</f>
        <v/>
      </c>
      <c r="AB40" s="21" t="n"/>
      <c r="AC40" s="21" t="n"/>
      <c r="AD40" s="21" t="n"/>
      <c r="AE40" s="21" t="n"/>
      <c r="AF40" s="22">
        <f>Q40</f>
        <v/>
      </c>
      <c r="AG40" s="21" t="n"/>
      <c r="AH40" s="21" t="n"/>
      <c r="AI40" s="21" t="n"/>
      <c r="AJ40" s="21" t="n"/>
      <c r="AL40" s="23">
        <f>INDEX(Prices_dom!$A$6:$CU$2000,MATCH(Settings!$C$4&amp;AL$5,Prices_dom!$A$6:$A$2000,0),MATCH("mit.sp."&amp;$N40,Prices_dom!$A$5:$CU$5,0))/$P40</f>
        <v/>
      </c>
      <c r="AM40" s="22">
        <f>AL40*(1+INDEX($Q40:$AJ40,1,(AM$4-1)*5+1))</f>
        <v/>
      </c>
      <c r="AN40" s="22">
        <f>AM40*(1+INDEX($Q40:$AJ40,1,(AN$4-1)*5+1))</f>
        <v/>
      </c>
      <c r="AO40" s="22">
        <f>AN40*(1+INDEX($Q40:$AJ40,1,(AO$4-1)*5+1))</f>
        <v/>
      </c>
      <c r="AP40" s="22">
        <f>AO40*(1+INDEX($Q40:$AJ40,1,(AP$4-1)*5+1))</f>
        <v/>
      </c>
      <c r="AQ40" s="22">
        <f>AP40*(1+INDEX($Q40:$AJ40,1,(AQ$4-1)*5+1))</f>
        <v/>
      </c>
      <c r="AR40" s="22">
        <f>AQ40*(1+INDEX($Q40:$AJ40,1,(AR$4-1)*5+1))</f>
        <v/>
      </c>
      <c r="AS40" s="22">
        <f>AR40*(1+INDEX($Q40:$AJ40,1,(AS$4-1)*5+1))</f>
        <v/>
      </c>
      <c r="AT40" s="22">
        <f>AS40*(1+INDEX($Q40:$AJ40,1,(AT$4-1)*5+1))</f>
        <v/>
      </c>
      <c r="AU40" s="22">
        <f>AT40*(1+INDEX($Q40:$AJ40,1,(AU$4-1)*5+1))</f>
        <v/>
      </c>
      <c r="AV40" s="22">
        <f>AU40*(1+INDEX($Q40:$AJ40,1,(AV$4-1)*5+1))</f>
        <v/>
      </c>
      <c r="AW40" s="22">
        <f>AV40*(1+INDEX($Q40:$AJ40,1,(AW$4-1)*5+1))</f>
        <v/>
      </c>
      <c r="AX40" s="22">
        <f>AW40*(1+INDEX($Q40:$AJ40,1,(AX$4-1)*5+1))</f>
        <v/>
      </c>
      <c r="AY40" s="22">
        <f>AX40*(1+INDEX($Q40:$AJ40,1,(AY$4-1)*5+1))</f>
        <v/>
      </c>
      <c r="BA40" s="23">
        <f>INDEX(Prices_dom!$A$6:$CU$2000,MATCH(Settings!$C$4&amp;BA$5,Prices_dom!$A$6:$A$2000,0),MATCH("mit.sp."&amp;$N40,Prices_dom!$A$5:$CU$5,0))/$P40</f>
        <v/>
      </c>
      <c r="BB40" s="22">
        <f>BA40*(1+INDEX($Q40:$AJ40,1,(BB$4-1)*5+1))</f>
        <v/>
      </c>
      <c r="BC40" s="22">
        <f>BB40*(1+INDEX($Q40:$AJ40,1,(BC$4-1)*5+1))</f>
        <v/>
      </c>
      <c r="BD40" s="22">
        <f>BC40*(1+INDEX($Q40:$AJ40,1,(BD$4-1)*5+1))</f>
        <v/>
      </c>
      <c r="BE40" s="22">
        <f>BD40*(1+INDEX($Q40:$AJ40,1,(BE$4-1)*5+1))</f>
        <v/>
      </c>
      <c r="BF40" s="22">
        <f>BE40*(1+INDEX($Q40:$AJ40,1,(BF$4-1)*5+1))</f>
        <v/>
      </c>
      <c r="BG40" s="22">
        <f>BF40*(1+INDEX($Q40:$AJ40,1,(BG$4-1)*5+1))</f>
        <v/>
      </c>
      <c r="BH40" s="22">
        <f>BG40*(1+INDEX($Q40:$AJ40,1,(BH$4-1)*5+1))</f>
        <v/>
      </c>
      <c r="BI40" s="22">
        <f>BH40*(1+INDEX($Q40:$AJ40,1,(BI$4-1)*5+1))</f>
        <v/>
      </c>
      <c r="BJ40" s="22">
        <f>BI40*(1+INDEX($Q40:$AJ40,1,(BJ$4-1)*5+1))</f>
        <v/>
      </c>
      <c r="BK40" s="22">
        <f>BJ40*(1+INDEX($Q40:$AJ40,1,(BK$4-1)*5+1))</f>
        <v/>
      </c>
      <c r="BL40" s="22">
        <f>BK40*(1+INDEX($Q40:$AJ40,1,(BL$4-1)*5+1))</f>
        <v/>
      </c>
      <c r="BM40" s="22">
        <f>BL40*(1+INDEX($Q40:$AJ40,1,(BM$4-1)*5+1))</f>
        <v/>
      </c>
      <c r="BN40" s="22">
        <f>BM40*(1+INDEX($Q40:$AJ40,1,(BN$4-1)*5+1))</f>
        <v/>
      </c>
    </row>
    <row r="41">
      <c r="B41" s="5" t="inlineStr">
        <is>
          <t>oop</t>
        </is>
      </c>
      <c r="C41" s="5" t="inlineStr">
        <is>
          <t>nav</t>
        </is>
      </c>
      <c r="D41" s="5" t="inlineStr">
        <is>
          <t>Pre-tax price | Domestic navigation | Other oil products</t>
        </is>
      </c>
      <c r="E41" s="5" t="inlineStr">
        <is>
          <t>$/GJ</t>
        </is>
      </c>
      <c r="F41" s="5" t="inlineStr">
        <is>
          <t>Prices_dom (base year), then growth</t>
        </is>
      </c>
      <c r="G41" s="19" t="inlineStr">
        <is>
          <t>mit.sp.oop</t>
        </is>
      </c>
      <c r="H41" s="19" t="inlineStr">
        <is>
          <t>mit.pbt.oop.nav</t>
        </is>
      </c>
      <c r="J41" s="5">
        <f>INDEX(Mapping!$C$5:$C$20,MATCH($C41,Mapping!$A$5:$A$20,0))</f>
        <v/>
      </c>
      <c r="K41" s="5">
        <f>INDEX(Mapping!$D$5:$D$20,MATCH($C41,Mapping!$A$5:$A$20,0))</f>
        <v/>
      </c>
      <c r="L41" s="5">
        <f>INDEX(Mapping!$C$24:$C$31,MATCH($B41,Mapping!$A$24:$A$31,0))</f>
        <v/>
      </c>
      <c r="M41" s="5">
        <f>INDEX(Mapping!$D$24:$D$31,MATCH($B41,Mapping!$A$24:$A$31,0))</f>
        <v/>
      </c>
      <c r="N41" s="5">
        <f>$B41&amp;"."&amp;IF(INDEX(Mapping!$E$24:$E$31,MATCH($B41,Mapping!$A$24:$A$31,0))="sub",INDEX(Mapping!$F$5:$F$20,MATCH($C41,Mapping!$A$5:$A$20,0)),"all")</f>
        <v/>
      </c>
      <c r="O41" s="5">
        <f>INDEX(Mapping!$E$5:$E$20,MATCH($C41,Mapping!$A$5:$A$20,0))</f>
        <v/>
      </c>
      <c r="P41" s="5">
        <f>INDEX(Mapping!$G$24:$G$31,MATCH($B41,Mapping!$A$24:$A$31,0))</f>
        <v/>
      </c>
      <c r="Q41" s="20" t="n">
        <v>0</v>
      </c>
      <c r="R41" s="21" t="n"/>
      <c r="S41" s="21" t="n"/>
      <c r="T41" s="21" t="n"/>
      <c r="U41" s="21" t="n"/>
      <c r="V41" s="22">
        <f>Q41</f>
        <v/>
      </c>
      <c r="W41" s="21" t="n"/>
      <c r="X41" s="21" t="n"/>
      <c r="Y41" s="21" t="n"/>
      <c r="Z41" s="21" t="n"/>
      <c r="AA41" s="22">
        <f>Q41</f>
        <v/>
      </c>
      <c r="AB41" s="21" t="n"/>
      <c r="AC41" s="21" t="n"/>
      <c r="AD41" s="21" t="n"/>
      <c r="AE41" s="21" t="n"/>
      <c r="AF41" s="22">
        <f>Q41</f>
        <v/>
      </c>
      <c r="AG41" s="21" t="n"/>
      <c r="AH41" s="21" t="n"/>
      <c r="AI41" s="21" t="n"/>
      <c r="AJ41" s="21" t="n"/>
      <c r="AL41" s="23">
        <f>INDEX(Prices_dom!$A$6:$CU$2000,MATCH(Settings!$C$4&amp;AL$5,Prices_dom!$A$6:$A$2000,0),MATCH("mit.sp."&amp;$N41,Prices_dom!$A$5:$CU$5,0))/$P41</f>
        <v/>
      </c>
      <c r="AM41" s="22">
        <f>AL41*(1+INDEX($Q41:$AJ41,1,(AM$4-1)*5+1))</f>
        <v/>
      </c>
      <c r="AN41" s="22">
        <f>AM41*(1+INDEX($Q41:$AJ41,1,(AN$4-1)*5+1))</f>
        <v/>
      </c>
      <c r="AO41" s="22">
        <f>AN41*(1+INDEX($Q41:$AJ41,1,(AO$4-1)*5+1))</f>
        <v/>
      </c>
      <c r="AP41" s="22">
        <f>AO41*(1+INDEX($Q41:$AJ41,1,(AP$4-1)*5+1))</f>
        <v/>
      </c>
      <c r="AQ41" s="22">
        <f>AP41*(1+INDEX($Q41:$AJ41,1,(AQ$4-1)*5+1))</f>
        <v/>
      </c>
      <c r="AR41" s="22">
        <f>AQ41*(1+INDEX($Q41:$AJ41,1,(AR$4-1)*5+1))</f>
        <v/>
      </c>
      <c r="AS41" s="22">
        <f>AR41*(1+INDEX($Q41:$AJ41,1,(AS$4-1)*5+1))</f>
        <v/>
      </c>
      <c r="AT41" s="22">
        <f>AS41*(1+INDEX($Q41:$AJ41,1,(AT$4-1)*5+1))</f>
        <v/>
      </c>
      <c r="AU41" s="22">
        <f>AT41*(1+INDEX($Q41:$AJ41,1,(AU$4-1)*5+1))</f>
        <v/>
      </c>
      <c r="AV41" s="22">
        <f>AU41*(1+INDEX($Q41:$AJ41,1,(AV$4-1)*5+1))</f>
        <v/>
      </c>
      <c r="AW41" s="22">
        <f>AV41*(1+INDEX($Q41:$AJ41,1,(AW$4-1)*5+1))</f>
        <v/>
      </c>
      <c r="AX41" s="22">
        <f>AW41*(1+INDEX($Q41:$AJ41,1,(AX$4-1)*5+1))</f>
        <v/>
      </c>
      <c r="AY41" s="22">
        <f>AX41*(1+INDEX($Q41:$AJ41,1,(AY$4-1)*5+1))</f>
        <v/>
      </c>
      <c r="BA41" s="23">
        <f>INDEX(Prices_dom!$A$6:$CU$2000,MATCH(Settings!$C$4&amp;BA$5,Prices_dom!$A$6:$A$2000,0),MATCH("mit.sp."&amp;$N41,Prices_dom!$A$5:$CU$5,0))/$P41</f>
        <v/>
      </c>
      <c r="BB41" s="22">
        <f>BA41*(1+INDEX($Q41:$AJ41,1,(BB$4-1)*5+1))</f>
        <v/>
      </c>
      <c r="BC41" s="22">
        <f>BB41*(1+INDEX($Q41:$AJ41,1,(BC$4-1)*5+1))</f>
        <v/>
      </c>
      <c r="BD41" s="22">
        <f>BC41*(1+INDEX($Q41:$AJ41,1,(BD$4-1)*5+1))</f>
        <v/>
      </c>
      <c r="BE41" s="22">
        <f>BD41*(1+INDEX($Q41:$AJ41,1,(BE$4-1)*5+1))</f>
        <v/>
      </c>
      <c r="BF41" s="22">
        <f>BE41*(1+INDEX($Q41:$AJ41,1,(BF$4-1)*5+1))</f>
        <v/>
      </c>
      <c r="BG41" s="22">
        <f>BF41*(1+INDEX($Q41:$AJ41,1,(BG$4-1)*5+1))</f>
        <v/>
      </c>
      <c r="BH41" s="22">
        <f>BG41*(1+INDEX($Q41:$AJ41,1,(BH$4-1)*5+1))</f>
        <v/>
      </c>
      <c r="BI41" s="22">
        <f>BH41*(1+INDEX($Q41:$AJ41,1,(BI$4-1)*5+1))</f>
        <v/>
      </c>
      <c r="BJ41" s="22">
        <f>BI41*(1+INDEX($Q41:$AJ41,1,(BJ$4-1)*5+1))</f>
        <v/>
      </c>
      <c r="BK41" s="22">
        <f>BJ41*(1+INDEX($Q41:$AJ41,1,(BK$4-1)*5+1))</f>
        <v/>
      </c>
      <c r="BL41" s="22">
        <f>BK41*(1+INDEX($Q41:$AJ41,1,(BL$4-1)*5+1))</f>
        <v/>
      </c>
      <c r="BM41" s="22">
        <f>BL41*(1+INDEX($Q41:$AJ41,1,(BM$4-1)*5+1))</f>
        <v/>
      </c>
      <c r="BN41" s="22">
        <f>BM41*(1+INDEX($Q41:$AJ41,1,(BN$4-1)*5+1))</f>
        <v/>
      </c>
    </row>
    <row r="42">
      <c r="B42" s="5" t="inlineStr">
        <is>
          <t>bio</t>
        </is>
      </c>
      <c r="C42" s="5" t="inlineStr">
        <is>
          <t>nav</t>
        </is>
      </c>
      <c r="D42" s="5" t="inlineStr">
        <is>
          <t>Pre-tax price | Domestic navigation | Biomass</t>
        </is>
      </c>
      <c r="E42" s="5" t="inlineStr">
        <is>
          <t>$/GJ</t>
        </is>
      </c>
      <c r="F42" s="5" t="inlineStr">
        <is>
          <t>Prices_dom (base year), then growth</t>
        </is>
      </c>
      <c r="G42" s="19" t="inlineStr">
        <is>
          <t>mit.sp.bio</t>
        </is>
      </c>
      <c r="H42" s="19" t="inlineStr">
        <is>
          <t>mit.pbt.bio.nav</t>
        </is>
      </c>
      <c r="J42" s="5">
        <f>INDEX(Mapping!$C$5:$C$20,MATCH($C42,Mapping!$A$5:$A$20,0))</f>
        <v/>
      </c>
      <c r="K42" s="5">
        <f>INDEX(Mapping!$D$5:$D$20,MATCH($C42,Mapping!$A$5:$A$20,0))</f>
        <v/>
      </c>
      <c r="L42" s="5">
        <f>INDEX(Mapping!$C$24:$C$31,MATCH($B42,Mapping!$A$24:$A$31,0))</f>
        <v/>
      </c>
      <c r="M42" s="5">
        <f>INDEX(Mapping!$D$24:$D$31,MATCH($B42,Mapping!$A$24:$A$31,0))</f>
        <v/>
      </c>
      <c r="N42" s="5">
        <f>$B42&amp;"."&amp;IF(INDEX(Mapping!$E$24:$E$31,MATCH($B42,Mapping!$A$24:$A$31,0))="sub",INDEX(Mapping!$F$5:$F$20,MATCH($C42,Mapping!$A$5:$A$20,0)),"all")</f>
        <v/>
      </c>
      <c r="O42" s="5">
        <f>INDEX(Mapping!$E$5:$E$20,MATCH($C42,Mapping!$A$5:$A$20,0))</f>
        <v/>
      </c>
      <c r="P42" s="5">
        <f>INDEX(Mapping!$G$24:$G$31,MATCH($B42,Mapping!$A$24:$A$31,0))</f>
        <v/>
      </c>
      <c r="Q42" s="20" t="n">
        <v>0</v>
      </c>
      <c r="R42" s="21" t="n"/>
      <c r="S42" s="21" t="n"/>
      <c r="T42" s="21" t="n"/>
      <c r="U42" s="21" t="n"/>
      <c r="V42" s="22">
        <f>Q42</f>
        <v/>
      </c>
      <c r="W42" s="21" t="n"/>
      <c r="X42" s="21" t="n"/>
      <c r="Y42" s="21" t="n"/>
      <c r="Z42" s="21" t="n"/>
      <c r="AA42" s="22">
        <f>Q42</f>
        <v/>
      </c>
      <c r="AB42" s="21" t="n"/>
      <c r="AC42" s="21" t="n"/>
      <c r="AD42" s="21" t="n"/>
      <c r="AE42" s="21" t="n"/>
      <c r="AF42" s="22">
        <f>Q42</f>
        <v/>
      </c>
      <c r="AG42" s="21" t="n"/>
      <c r="AH42" s="21" t="n"/>
      <c r="AI42" s="21" t="n"/>
      <c r="AJ42" s="21" t="n"/>
      <c r="AL42" s="23">
        <f>INDEX(Prices_dom!$A$6:$CU$2000,MATCH(Settings!$C$4&amp;AL$5,Prices_dom!$A$6:$A$2000,0),MATCH("mit.sp."&amp;$N42,Prices_dom!$A$5:$CU$5,0))/$P42</f>
        <v/>
      </c>
      <c r="AM42" s="22">
        <f>AL42*(1+INDEX($Q42:$AJ42,1,(AM$4-1)*5+1))</f>
        <v/>
      </c>
      <c r="AN42" s="22">
        <f>AM42*(1+INDEX($Q42:$AJ42,1,(AN$4-1)*5+1))</f>
        <v/>
      </c>
      <c r="AO42" s="22">
        <f>AN42*(1+INDEX($Q42:$AJ42,1,(AO$4-1)*5+1))</f>
        <v/>
      </c>
      <c r="AP42" s="22">
        <f>AO42*(1+INDEX($Q42:$AJ42,1,(AP$4-1)*5+1))</f>
        <v/>
      </c>
      <c r="AQ42" s="22">
        <f>AP42*(1+INDEX($Q42:$AJ42,1,(AQ$4-1)*5+1))</f>
        <v/>
      </c>
      <c r="AR42" s="22">
        <f>AQ42*(1+INDEX($Q42:$AJ42,1,(AR$4-1)*5+1))</f>
        <v/>
      </c>
      <c r="AS42" s="22">
        <f>AR42*(1+INDEX($Q42:$AJ42,1,(AS$4-1)*5+1))</f>
        <v/>
      </c>
      <c r="AT42" s="22">
        <f>AS42*(1+INDEX($Q42:$AJ42,1,(AT$4-1)*5+1))</f>
        <v/>
      </c>
      <c r="AU42" s="22">
        <f>AT42*(1+INDEX($Q42:$AJ42,1,(AU$4-1)*5+1))</f>
        <v/>
      </c>
      <c r="AV42" s="22">
        <f>AU42*(1+INDEX($Q42:$AJ42,1,(AV$4-1)*5+1))</f>
        <v/>
      </c>
      <c r="AW42" s="22">
        <f>AV42*(1+INDEX($Q42:$AJ42,1,(AW$4-1)*5+1))</f>
        <v/>
      </c>
      <c r="AX42" s="22">
        <f>AW42*(1+INDEX($Q42:$AJ42,1,(AX$4-1)*5+1))</f>
        <v/>
      </c>
      <c r="AY42" s="22">
        <f>AX42*(1+INDEX($Q42:$AJ42,1,(AY$4-1)*5+1))</f>
        <v/>
      </c>
      <c r="BA42" s="23">
        <f>INDEX(Prices_dom!$A$6:$CU$2000,MATCH(Settings!$C$4&amp;BA$5,Prices_dom!$A$6:$A$2000,0),MATCH("mit.sp."&amp;$N42,Prices_dom!$A$5:$CU$5,0))/$P42</f>
        <v/>
      </c>
      <c r="BB42" s="22">
        <f>BA42*(1+INDEX($Q42:$AJ42,1,(BB$4-1)*5+1))</f>
        <v/>
      </c>
      <c r="BC42" s="22">
        <f>BB42*(1+INDEX($Q42:$AJ42,1,(BC$4-1)*5+1))</f>
        <v/>
      </c>
      <c r="BD42" s="22">
        <f>BC42*(1+INDEX($Q42:$AJ42,1,(BD$4-1)*5+1))</f>
        <v/>
      </c>
      <c r="BE42" s="22">
        <f>BD42*(1+INDEX($Q42:$AJ42,1,(BE$4-1)*5+1))</f>
        <v/>
      </c>
      <c r="BF42" s="22">
        <f>BE42*(1+INDEX($Q42:$AJ42,1,(BF$4-1)*5+1))</f>
        <v/>
      </c>
      <c r="BG42" s="22">
        <f>BF42*(1+INDEX($Q42:$AJ42,1,(BG$4-1)*5+1))</f>
        <v/>
      </c>
      <c r="BH42" s="22">
        <f>BG42*(1+INDEX($Q42:$AJ42,1,(BH$4-1)*5+1))</f>
        <v/>
      </c>
      <c r="BI42" s="22">
        <f>BH42*(1+INDEX($Q42:$AJ42,1,(BI$4-1)*5+1))</f>
        <v/>
      </c>
      <c r="BJ42" s="22">
        <f>BI42*(1+INDEX($Q42:$AJ42,1,(BJ$4-1)*5+1))</f>
        <v/>
      </c>
      <c r="BK42" s="22">
        <f>BJ42*(1+INDEX($Q42:$AJ42,1,(BK$4-1)*5+1))</f>
        <v/>
      </c>
      <c r="BL42" s="22">
        <f>BK42*(1+INDEX($Q42:$AJ42,1,(BL$4-1)*5+1))</f>
        <v/>
      </c>
      <c r="BM42" s="22">
        <f>BL42*(1+INDEX($Q42:$AJ42,1,(BM$4-1)*5+1))</f>
        <v/>
      </c>
      <c r="BN42" s="22">
        <f>BM42*(1+INDEX($Q42:$AJ42,1,(BN$4-1)*5+1))</f>
        <v/>
      </c>
    </row>
    <row r="43">
      <c r="B43" s="5" t="inlineStr">
        <is>
          <t>coa</t>
        </is>
      </c>
      <c r="C43" s="5" t="inlineStr">
        <is>
          <t>res</t>
        </is>
      </c>
      <c r="D43" s="5" t="inlineStr">
        <is>
          <t>Pre-tax price | Residential | Coal</t>
        </is>
      </c>
      <c r="E43" s="5" t="inlineStr">
        <is>
          <t>$/GJ</t>
        </is>
      </c>
      <c r="F43" s="5" t="inlineStr">
        <is>
          <t>Prices_dom (base year), then growth</t>
        </is>
      </c>
      <c r="G43" s="19" t="inlineStr">
        <is>
          <t>mit.sp.coa</t>
        </is>
      </c>
      <c r="H43" s="19" t="inlineStr">
        <is>
          <t>mit.pbt.coa.res</t>
        </is>
      </c>
      <c r="J43" s="5">
        <f>INDEX(Mapping!$C$5:$C$20,MATCH($C43,Mapping!$A$5:$A$20,0))</f>
        <v/>
      </c>
      <c r="K43" s="5">
        <f>INDEX(Mapping!$D$5:$D$20,MATCH($C43,Mapping!$A$5:$A$20,0))</f>
        <v/>
      </c>
      <c r="L43" s="5">
        <f>INDEX(Mapping!$C$24:$C$31,MATCH($B43,Mapping!$A$24:$A$31,0))</f>
        <v/>
      </c>
      <c r="M43" s="5">
        <f>INDEX(Mapping!$D$24:$D$31,MATCH($B43,Mapping!$A$24:$A$31,0))</f>
        <v/>
      </c>
      <c r="N43" s="5">
        <f>$B43&amp;"."&amp;IF(INDEX(Mapping!$E$24:$E$31,MATCH($B43,Mapping!$A$24:$A$31,0))="sub",INDEX(Mapping!$F$5:$F$20,MATCH($C43,Mapping!$A$5:$A$20,0)),"all")</f>
        <v/>
      </c>
      <c r="O43" s="5">
        <f>INDEX(Mapping!$E$5:$E$20,MATCH($C43,Mapping!$A$5:$A$20,0))</f>
        <v/>
      </c>
      <c r="P43" s="5">
        <f>INDEX(Mapping!$G$24:$G$31,MATCH($B43,Mapping!$A$24:$A$31,0))</f>
        <v/>
      </c>
      <c r="Q43" s="20" t="n">
        <v>0</v>
      </c>
      <c r="R43" s="21" t="n"/>
      <c r="S43" s="21" t="n"/>
      <c r="T43" s="21" t="n"/>
      <c r="U43" s="21" t="n"/>
      <c r="V43" s="22">
        <f>Q43</f>
        <v/>
      </c>
      <c r="W43" s="21" t="n"/>
      <c r="X43" s="21" t="n"/>
      <c r="Y43" s="21" t="n"/>
      <c r="Z43" s="21" t="n"/>
      <c r="AA43" s="22">
        <f>Q43</f>
        <v/>
      </c>
      <c r="AB43" s="21" t="n"/>
      <c r="AC43" s="21" t="n"/>
      <c r="AD43" s="21" t="n"/>
      <c r="AE43" s="21" t="n"/>
      <c r="AF43" s="22">
        <f>Q43</f>
        <v/>
      </c>
      <c r="AG43" s="21" t="n"/>
      <c r="AH43" s="21" t="n"/>
      <c r="AI43" s="21" t="n"/>
      <c r="AJ43" s="21" t="n"/>
      <c r="AL43" s="23">
        <f>INDEX(Prices_dom!$A$6:$CU$2000,MATCH(Settings!$C$4&amp;AL$5,Prices_dom!$A$6:$A$2000,0),MATCH("mit.sp."&amp;$N43,Prices_dom!$A$5:$CU$5,0))/$P43</f>
        <v/>
      </c>
      <c r="AM43" s="22">
        <f>AL43*(1+INDEX($Q43:$AJ43,1,(AM$4-1)*5+1))</f>
        <v/>
      </c>
      <c r="AN43" s="22">
        <f>AM43*(1+INDEX($Q43:$AJ43,1,(AN$4-1)*5+1))</f>
        <v/>
      </c>
      <c r="AO43" s="22">
        <f>AN43*(1+INDEX($Q43:$AJ43,1,(AO$4-1)*5+1))</f>
        <v/>
      </c>
      <c r="AP43" s="22">
        <f>AO43*(1+INDEX($Q43:$AJ43,1,(AP$4-1)*5+1))</f>
        <v/>
      </c>
      <c r="AQ43" s="22">
        <f>AP43*(1+INDEX($Q43:$AJ43,1,(AQ$4-1)*5+1))</f>
        <v/>
      </c>
      <c r="AR43" s="22">
        <f>AQ43*(1+INDEX($Q43:$AJ43,1,(AR$4-1)*5+1))</f>
        <v/>
      </c>
      <c r="AS43" s="22">
        <f>AR43*(1+INDEX($Q43:$AJ43,1,(AS$4-1)*5+1))</f>
        <v/>
      </c>
      <c r="AT43" s="22">
        <f>AS43*(1+INDEX($Q43:$AJ43,1,(AT$4-1)*5+1))</f>
        <v/>
      </c>
      <c r="AU43" s="22">
        <f>AT43*(1+INDEX($Q43:$AJ43,1,(AU$4-1)*5+1))</f>
        <v/>
      </c>
      <c r="AV43" s="22">
        <f>AU43*(1+INDEX($Q43:$AJ43,1,(AV$4-1)*5+1))</f>
        <v/>
      </c>
      <c r="AW43" s="22">
        <f>AV43*(1+INDEX($Q43:$AJ43,1,(AW$4-1)*5+1))</f>
        <v/>
      </c>
      <c r="AX43" s="22">
        <f>AW43*(1+INDEX($Q43:$AJ43,1,(AX$4-1)*5+1))</f>
        <v/>
      </c>
      <c r="AY43" s="22">
        <f>AX43*(1+INDEX($Q43:$AJ43,1,(AY$4-1)*5+1))</f>
        <v/>
      </c>
      <c r="BA43" s="23">
        <f>INDEX(Prices_dom!$A$6:$CU$2000,MATCH(Settings!$C$4&amp;BA$5,Prices_dom!$A$6:$A$2000,0),MATCH("mit.sp."&amp;$N43,Prices_dom!$A$5:$CU$5,0))/$P43</f>
        <v/>
      </c>
      <c r="BB43" s="22">
        <f>BA43*(1+INDEX($Q43:$AJ43,1,(BB$4-1)*5+1))</f>
        <v/>
      </c>
      <c r="BC43" s="22">
        <f>BB43*(1+INDEX($Q43:$AJ43,1,(BC$4-1)*5+1))</f>
        <v/>
      </c>
      <c r="BD43" s="22">
        <f>BC43*(1+INDEX($Q43:$AJ43,1,(BD$4-1)*5+1))</f>
        <v/>
      </c>
      <c r="BE43" s="22">
        <f>BD43*(1+INDEX($Q43:$AJ43,1,(BE$4-1)*5+1))</f>
        <v/>
      </c>
      <c r="BF43" s="22">
        <f>BE43*(1+INDEX($Q43:$AJ43,1,(BF$4-1)*5+1))</f>
        <v/>
      </c>
      <c r="BG43" s="22">
        <f>BF43*(1+INDEX($Q43:$AJ43,1,(BG$4-1)*5+1))</f>
        <v/>
      </c>
      <c r="BH43" s="22">
        <f>BG43*(1+INDEX($Q43:$AJ43,1,(BH$4-1)*5+1))</f>
        <v/>
      </c>
      <c r="BI43" s="22">
        <f>BH43*(1+INDEX($Q43:$AJ43,1,(BI$4-1)*5+1))</f>
        <v/>
      </c>
      <c r="BJ43" s="22">
        <f>BI43*(1+INDEX($Q43:$AJ43,1,(BJ$4-1)*5+1))</f>
        <v/>
      </c>
      <c r="BK43" s="22">
        <f>BJ43*(1+INDEX($Q43:$AJ43,1,(BK$4-1)*5+1))</f>
        <v/>
      </c>
      <c r="BL43" s="22">
        <f>BK43*(1+INDEX($Q43:$AJ43,1,(BL$4-1)*5+1))</f>
        <v/>
      </c>
      <c r="BM43" s="22">
        <f>BL43*(1+INDEX($Q43:$AJ43,1,(BM$4-1)*5+1))</f>
        <v/>
      </c>
      <c r="BN43" s="22">
        <f>BM43*(1+INDEX($Q43:$AJ43,1,(BN$4-1)*5+1))</f>
        <v/>
      </c>
    </row>
    <row r="44">
      <c r="B44" s="5" t="inlineStr">
        <is>
          <t>nga</t>
        </is>
      </c>
      <c r="C44" s="5" t="inlineStr">
        <is>
          <t>res</t>
        </is>
      </c>
      <c r="D44" s="5" t="inlineStr">
        <is>
          <t>Pre-tax price | Residential | Natural gas</t>
        </is>
      </c>
      <c r="E44" s="5" t="inlineStr">
        <is>
          <t>$/GJ</t>
        </is>
      </c>
      <c r="F44" s="5" t="inlineStr">
        <is>
          <t>Prices_dom (base year), then growth</t>
        </is>
      </c>
      <c r="G44" s="19" t="inlineStr">
        <is>
          <t>mit.sp.nga</t>
        </is>
      </c>
      <c r="H44" s="19" t="inlineStr">
        <is>
          <t>mit.pbt.nga.res</t>
        </is>
      </c>
      <c r="J44" s="5">
        <f>INDEX(Mapping!$C$5:$C$20,MATCH($C44,Mapping!$A$5:$A$20,0))</f>
        <v/>
      </c>
      <c r="K44" s="5">
        <f>INDEX(Mapping!$D$5:$D$20,MATCH($C44,Mapping!$A$5:$A$20,0))</f>
        <v/>
      </c>
      <c r="L44" s="5">
        <f>INDEX(Mapping!$C$24:$C$31,MATCH($B44,Mapping!$A$24:$A$31,0))</f>
        <v/>
      </c>
      <c r="M44" s="5">
        <f>INDEX(Mapping!$D$24:$D$31,MATCH($B44,Mapping!$A$24:$A$31,0))</f>
        <v/>
      </c>
      <c r="N44" s="5">
        <f>$B44&amp;"."&amp;IF(INDEX(Mapping!$E$24:$E$31,MATCH($B44,Mapping!$A$24:$A$31,0))="sub",INDEX(Mapping!$F$5:$F$20,MATCH($C44,Mapping!$A$5:$A$20,0)),"all")</f>
        <v/>
      </c>
      <c r="O44" s="5">
        <f>INDEX(Mapping!$E$5:$E$20,MATCH($C44,Mapping!$A$5:$A$20,0))</f>
        <v/>
      </c>
      <c r="P44" s="5">
        <f>INDEX(Mapping!$G$24:$G$31,MATCH($B44,Mapping!$A$24:$A$31,0))</f>
        <v/>
      </c>
      <c r="Q44" s="20" t="n">
        <v>0</v>
      </c>
      <c r="R44" s="21" t="n"/>
      <c r="S44" s="21" t="n"/>
      <c r="T44" s="21" t="n"/>
      <c r="U44" s="21" t="n"/>
      <c r="V44" s="22">
        <f>Q44</f>
        <v/>
      </c>
      <c r="W44" s="21" t="n"/>
      <c r="X44" s="21" t="n"/>
      <c r="Y44" s="21" t="n"/>
      <c r="Z44" s="21" t="n"/>
      <c r="AA44" s="22">
        <f>Q44</f>
        <v/>
      </c>
      <c r="AB44" s="21" t="n"/>
      <c r="AC44" s="21" t="n"/>
      <c r="AD44" s="21" t="n"/>
      <c r="AE44" s="21" t="n"/>
      <c r="AF44" s="22">
        <f>Q44</f>
        <v/>
      </c>
      <c r="AG44" s="21" t="n"/>
      <c r="AH44" s="21" t="n"/>
      <c r="AI44" s="21" t="n"/>
      <c r="AJ44" s="21" t="n"/>
      <c r="AL44" s="23">
        <f>INDEX(Prices_dom!$A$6:$CU$2000,MATCH(Settings!$C$4&amp;AL$5,Prices_dom!$A$6:$A$2000,0),MATCH("mit.sp."&amp;$N44,Prices_dom!$A$5:$CU$5,0))/$P44</f>
        <v/>
      </c>
      <c r="AM44" s="22">
        <f>AL44*(1+INDEX($Q44:$AJ44,1,(AM$4-1)*5+1))</f>
        <v/>
      </c>
      <c r="AN44" s="22">
        <f>AM44*(1+INDEX($Q44:$AJ44,1,(AN$4-1)*5+1))</f>
        <v/>
      </c>
      <c r="AO44" s="22">
        <f>AN44*(1+INDEX($Q44:$AJ44,1,(AO$4-1)*5+1))</f>
        <v/>
      </c>
      <c r="AP44" s="22">
        <f>AO44*(1+INDEX($Q44:$AJ44,1,(AP$4-1)*5+1))</f>
        <v/>
      </c>
      <c r="AQ44" s="22">
        <f>AP44*(1+INDEX($Q44:$AJ44,1,(AQ$4-1)*5+1))</f>
        <v/>
      </c>
      <c r="AR44" s="22">
        <f>AQ44*(1+INDEX($Q44:$AJ44,1,(AR$4-1)*5+1))</f>
        <v/>
      </c>
      <c r="AS44" s="22">
        <f>AR44*(1+INDEX($Q44:$AJ44,1,(AS$4-1)*5+1))</f>
        <v/>
      </c>
      <c r="AT44" s="22">
        <f>AS44*(1+INDEX($Q44:$AJ44,1,(AT$4-1)*5+1))</f>
        <v/>
      </c>
      <c r="AU44" s="22">
        <f>AT44*(1+INDEX($Q44:$AJ44,1,(AU$4-1)*5+1))</f>
        <v/>
      </c>
      <c r="AV44" s="22">
        <f>AU44*(1+INDEX($Q44:$AJ44,1,(AV$4-1)*5+1))</f>
        <v/>
      </c>
      <c r="AW44" s="22">
        <f>AV44*(1+INDEX($Q44:$AJ44,1,(AW$4-1)*5+1))</f>
        <v/>
      </c>
      <c r="AX44" s="22">
        <f>AW44*(1+INDEX($Q44:$AJ44,1,(AX$4-1)*5+1))</f>
        <v/>
      </c>
      <c r="AY44" s="22">
        <f>AX44*(1+INDEX($Q44:$AJ44,1,(AY$4-1)*5+1))</f>
        <v/>
      </c>
      <c r="BA44" s="23">
        <f>INDEX(Prices_dom!$A$6:$CU$2000,MATCH(Settings!$C$4&amp;BA$5,Prices_dom!$A$6:$A$2000,0),MATCH("mit.sp."&amp;$N44,Prices_dom!$A$5:$CU$5,0))/$P44</f>
        <v/>
      </c>
      <c r="BB44" s="22">
        <f>BA44*(1+INDEX($Q44:$AJ44,1,(BB$4-1)*5+1))</f>
        <v/>
      </c>
      <c r="BC44" s="22">
        <f>BB44*(1+INDEX($Q44:$AJ44,1,(BC$4-1)*5+1))</f>
        <v/>
      </c>
      <c r="BD44" s="22">
        <f>BC44*(1+INDEX($Q44:$AJ44,1,(BD$4-1)*5+1))</f>
        <v/>
      </c>
      <c r="BE44" s="22">
        <f>BD44*(1+INDEX($Q44:$AJ44,1,(BE$4-1)*5+1))</f>
        <v/>
      </c>
      <c r="BF44" s="22">
        <f>BE44*(1+INDEX($Q44:$AJ44,1,(BF$4-1)*5+1))</f>
        <v/>
      </c>
      <c r="BG44" s="22">
        <f>BF44*(1+INDEX($Q44:$AJ44,1,(BG$4-1)*5+1))</f>
        <v/>
      </c>
      <c r="BH44" s="22">
        <f>BG44*(1+INDEX($Q44:$AJ44,1,(BH$4-1)*5+1))</f>
        <v/>
      </c>
      <c r="BI44" s="22">
        <f>BH44*(1+INDEX($Q44:$AJ44,1,(BI$4-1)*5+1))</f>
        <v/>
      </c>
      <c r="BJ44" s="22">
        <f>BI44*(1+INDEX($Q44:$AJ44,1,(BJ$4-1)*5+1))</f>
        <v/>
      </c>
      <c r="BK44" s="22">
        <f>BJ44*(1+INDEX($Q44:$AJ44,1,(BK$4-1)*5+1))</f>
        <v/>
      </c>
      <c r="BL44" s="22">
        <f>BK44*(1+INDEX($Q44:$AJ44,1,(BL$4-1)*5+1))</f>
        <v/>
      </c>
      <c r="BM44" s="22">
        <f>BL44*(1+INDEX($Q44:$AJ44,1,(BM$4-1)*5+1))</f>
        <v/>
      </c>
      <c r="BN44" s="22">
        <f>BM44*(1+INDEX($Q44:$AJ44,1,(BN$4-1)*5+1))</f>
        <v/>
      </c>
    </row>
    <row r="45">
      <c r="B45" s="5" t="inlineStr">
        <is>
          <t>gso</t>
        </is>
      </c>
      <c r="C45" s="5" t="inlineStr">
        <is>
          <t>res</t>
        </is>
      </c>
      <c r="D45" s="5" t="inlineStr">
        <is>
          <t>Pre-tax price | Residential | Gasoline</t>
        </is>
      </c>
      <c r="E45" s="5" t="inlineStr">
        <is>
          <t>$/GJ</t>
        </is>
      </c>
      <c r="F45" s="5" t="inlineStr">
        <is>
          <t>Prices_dom (base year), then growth</t>
        </is>
      </c>
      <c r="G45" s="19" t="inlineStr">
        <is>
          <t>mit.sp.gso</t>
        </is>
      </c>
      <c r="H45" s="19" t="inlineStr">
        <is>
          <t>mit.pbt.gso.res</t>
        </is>
      </c>
      <c r="J45" s="5">
        <f>INDEX(Mapping!$C$5:$C$20,MATCH($C45,Mapping!$A$5:$A$20,0))</f>
        <v/>
      </c>
      <c r="K45" s="5">
        <f>INDEX(Mapping!$D$5:$D$20,MATCH($C45,Mapping!$A$5:$A$20,0))</f>
        <v/>
      </c>
      <c r="L45" s="5">
        <f>INDEX(Mapping!$C$24:$C$31,MATCH($B45,Mapping!$A$24:$A$31,0))</f>
        <v/>
      </c>
      <c r="M45" s="5">
        <f>INDEX(Mapping!$D$24:$D$31,MATCH($B45,Mapping!$A$24:$A$31,0))</f>
        <v/>
      </c>
      <c r="N45" s="5">
        <f>$B45&amp;"."&amp;IF(INDEX(Mapping!$E$24:$E$31,MATCH($B45,Mapping!$A$24:$A$31,0))="sub",INDEX(Mapping!$F$5:$F$20,MATCH($C45,Mapping!$A$5:$A$20,0)),"all")</f>
        <v/>
      </c>
      <c r="O45" s="5">
        <f>INDEX(Mapping!$E$5:$E$20,MATCH($C45,Mapping!$A$5:$A$20,0))</f>
        <v/>
      </c>
      <c r="P45" s="5">
        <f>INDEX(Mapping!$G$24:$G$31,MATCH($B45,Mapping!$A$24:$A$31,0))</f>
        <v/>
      </c>
      <c r="Q45" s="20" t="n">
        <v>0</v>
      </c>
      <c r="R45" s="21" t="n"/>
      <c r="S45" s="21" t="n"/>
      <c r="T45" s="21" t="n"/>
      <c r="U45" s="21" t="n"/>
      <c r="V45" s="22">
        <f>Q45</f>
        <v/>
      </c>
      <c r="W45" s="21" t="n"/>
      <c r="X45" s="21" t="n"/>
      <c r="Y45" s="21" t="n"/>
      <c r="Z45" s="21" t="n"/>
      <c r="AA45" s="22">
        <f>Q45</f>
        <v/>
      </c>
      <c r="AB45" s="21" t="n"/>
      <c r="AC45" s="21" t="n"/>
      <c r="AD45" s="21" t="n"/>
      <c r="AE45" s="21" t="n"/>
      <c r="AF45" s="22">
        <f>Q45</f>
        <v/>
      </c>
      <c r="AG45" s="21" t="n"/>
      <c r="AH45" s="21" t="n"/>
      <c r="AI45" s="21" t="n"/>
      <c r="AJ45" s="21" t="n"/>
      <c r="AL45" s="23">
        <f>INDEX(Prices_dom!$A$6:$CU$2000,MATCH(Settings!$C$4&amp;AL$5,Prices_dom!$A$6:$A$2000,0),MATCH("mit.sp."&amp;$N45,Prices_dom!$A$5:$CU$5,0))/$P45</f>
        <v/>
      </c>
      <c r="AM45" s="22">
        <f>AL45*(1+INDEX($Q45:$AJ45,1,(AM$4-1)*5+1))</f>
        <v/>
      </c>
      <c r="AN45" s="22">
        <f>AM45*(1+INDEX($Q45:$AJ45,1,(AN$4-1)*5+1))</f>
        <v/>
      </c>
      <c r="AO45" s="22">
        <f>AN45*(1+INDEX($Q45:$AJ45,1,(AO$4-1)*5+1))</f>
        <v/>
      </c>
      <c r="AP45" s="22">
        <f>AO45*(1+INDEX($Q45:$AJ45,1,(AP$4-1)*5+1))</f>
        <v/>
      </c>
      <c r="AQ45" s="22">
        <f>AP45*(1+INDEX($Q45:$AJ45,1,(AQ$4-1)*5+1))</f>
        <v/>
      </c>
      <c r="AR45" s="22">
        <f>AQ45*(1+INDEX($Q45:$AJ45,1,(AR$4-1)*5+1))</f>
        <v/>
      </c>
      <c r="AS45" s="22">
        <f>AR45*(1+INDEX($Q45:$AJ45,1,(AS$4-1)*5+1))</f>
        <v/>
      </c>
      <c r="AT45" s="22">
        <f>AS45*(1+INDEX($Q45:$AJ45,1,(AT$4-1)*5+1))</f>
        <v/>
      </c>
      <c r="AU45" s="22">
        <f>AT45*(1+INDEX($Q45:$AJ45,1,(AU$4-1)*5+1))</f>
        <v/>
      </c>
      <c r="AV45" s="22">
        <f>AU45*(1+INDEX($Q45:$AJ45,1,(AV$4-1)*5+1))</f>
        <v/>
      </c>
      <c r="AW45" s="22">
        <f>AV45*(1+INDEX($Q45:$AJ45,1,(AW$4-1)*5+1))</f>
        <v/>
      </c>
      <c r="AX45" s="22">
        <f>AW45*(1+INDEX($Q45:$AJ45,1,(AX$4-1)*5+1))</f>
        <v/>
      </c>
      <c r="AY45" s="22">
        <f>AX45*(1+INDEX($Q45:$AJ45,1,(AY$4-1)*5+1))</f>
        <v/>
      </c>
      <c r="BA45" s="23">
        <f>INDEX(Prices_dom!$A$6:$CU$2000,MATCH(Settings!$C$4&amp;BA$5,Prices_dom!$A$6:$A$2000,0),MATCH("mit.sp."&amp;$N45,Prices_dom!$A$5:$CU$5,0))/$P45</f>
        <v/>
      </c>
      <c r="BB45" s="22">
        <f>BA45*(1+INDEX($Q45:$AJ45,1,(BB$4-1)*5+1))</f>
        <v/>
      </c>
      <c r="BC45" s="22">
        <f>BB45*(1+INDEX($Q45:$AJ45,1,(BC$4-1)*5+1))</f>
        <v/>
      </c>
      <c r="BD45" s="22">
        <f>BC45*(1+INDEX($Q45:$AJ45,1,(BD$4-1)*5+1))</f>
        <v/>
      </c>
      <c r="BE45" s="22">
        <f>BD45*(1+INDEX($Q45:$AJ45,1,(BE$4-1)*5+1))</f>
        <v/>
      </c>
      <c r="BF45" s="22">
        <f>BE45*(1+INDEX($Q45:$AJ45,1,(BF$4-1)*5+1))</f>
        <v/>
      </c>
      <c r="BG45" s="22">
        <f>BF45*(1+INDEX($Q45:$AJ45,1,(BG$4-1)*5+1))</f>
        <v/>
      </c>
      <c r="BH45" s="22">
        <f>BG45*(1+INDEX($Q45:$AJ45,1,(BH$4-1)*5+1))</f>
        <v/>
      </c>
      <c r="BI45" s="22">
        <f>BH45*(1+INDEX($Q45:$AJ45,1,(BI$4-1)*5+1))</f>
        <v/>
      </c>
      <c r="BJ45" s="22">
        <f>BI45*(1+INDEX($Q45:$AJ45,1,(BJ$4-1)*5+1))</f>
        <v/>
      </c>
      <c r="BK45" s="22">
        <f>BJ45*(1+INDEX($Q45:$AJ45,1,(BK$4-1)*5+1))</f>
        <v/>
      </c>
      <c r="BL45" s="22">
        <f>BK45*(1+INDEX($Q45:$AJ45,1,(BL$4-1)*5+1))</f>
        <v/>
      </c>
      <c r="BM45" s="22">
        <f>BL45*(1+INDEX($Q45:$AJ45,1,(BM$4-1)*5+1))</f>
        <v/>
      </c>
      <c r="BN45" s="22">
        <f>BM45*(1+INDEX($Q45:$AJ45,1,(BN$4-1)*5+1))</f>
        <v/>
      </c>
    </row>
    <row r="46">
      <c r="B46" s="5" t="inlineStr">
        <is>
          <t>die</t>
        </is>
      </c>
      <c r="C46" s="5" t="inlineStr">
        <is>
          <t>res</t>
        </is>
      </c>
      <c r="D46" s="5" t="inlineStr">
        <is>
          <t>Pre-tax price | Residential | Diesel</t>
        </is>
      </c>
      <c r="E46" s="5" t="inlineStr">
        <is>
          <t>$/GJ</t>
        </is>
      </c>
      <c r="F46" s="5" t="inlineStr">
        <is>
          <t>Prices_dom (base year), then growth</t>
        </is>
      </c>
      <c r="G46" s="19" t="inlineStr">
        <is>
          <t>mit.sp.die</t>
        </is>
      </c>
      <c r="H46" s="19" t="inlineStr">
        <is>
          <t>mit.pbt.die.res</t>
        </is>
      </c>
      <c r="J46" s="5">
        <f>INDEX(Mapping!$C$5:$C$20,MATCH($C46,Mapping!$A$5:$A$20,0))</f>
        <v/>
      </c>
      <c r="K46" s="5">
        <f>INDEX(Mapping!$D$5:$D$20,MATCH($C46,Mapping!$A$5:$A$20,0))</f>
        <v/>
      </c>
      <c r="L46" s="5">
        <f>INDEX(Mapping!$C$24:$C$31,MATCH($B46,Mapping!$A$24:$A$31,0))</f>
        <v/>
      </c>
      <c r="M46" s="5">
        <f>INDEX(Mapping!$D$24:$D$31,MATCH($B46,Mapping!$A$24:$A$31,0))</f>
        <v/>
      </c>
      <c r="N46" s="5">
        <f>$B46&amp;"."&amp;IF(INDEX(Mapping!$E$24:$E$31,MATCH($B46,Mapping!$A$24:$A$31,0))="sub",INDEX(Mapping!$F$5:$F$20,MATCH($C46,Mapping!$A$5:$A$20,0)),"all")</f>
        <v/>
      </c>
      <c r="O46" s="5">
        <f>INDEX(Mapping!$E$5:$E$20,MATCH($C46,Mapping!$A$5:$A$20,0))</f>
        <v/>
      </c>
      <c r="P46" s="5">
        <f>INDEX(Mapping!$G$24:$G$31,MATCH($B46,Mapping!$A$24:$A$31,0))</f>
        <v/>
      </c>
      <c r="Q46" s="20" t="n">
        <v>0</v>
      </c>
      <c r="R46" s="21" t="n"/>
      <c r="S46" s="21" t="n"/>
      <c r="T46" s="21" t="n"/>
      <c r="U46" s="21" t="n"/>
      <c r="V46" s="22">
        <f>Q46</f>
        <v/>
      </c>
      <c r="W46" s="21" t="n"/>
      <c r="X46" s="21" t="n"/>
      <c r="Y46" s="21" t="n"/>
      <c r="Z46" s="21" t="n"/>
      <c r="AA46" s="22">
        <f>Q46</f>
        <v/>
      </c>
      <c r="AB46" s="21" t="n"/>
      <c r="AC46" s="21" t="n"/>
      <c r="AD46" s="21" t="n"/>
      <c r="AE46" s="21" t="n"/>
      <c r="AF46" s="22">
        <f>Q46</f>
        <v/>
      </c>
      <c r="AG46" s="21" t="n"/>
      <c r="AH46" s="21" t="n"/>
      <c r="AI46" s="21" t="n"/>
      <c r="AJ46" s="21" t="n"/>
      <c r="AL46" s="23">
        <f>INDEX(Prices_dom!$A$6:$CU$2000,MATCH(Settings!$C$4&amp;AL$5,Prices_dom!$A$6:$A$2000,0),MATCH("mit.sp."&amp;$N46,Prices_dom!$A$5:$CU$5,0))/$P46</f>
        <v/>
      </c>
      <c r="AM46" s="22">
        <f>AL46*(1+INDEX($Q46:$AJ46,1,(AM$4-1)*5+1))</f>
        <v/>
      </c>
      <c r="AN46" s="22">
        <f>AM46*(1+INDEX($Q46:$AJ46,1,(AN$4-1)*5+1))</f>
        <v/>
      </c>
      <c r="AO46" s="22">
        <f>AN46*(1+INDEX($Q46:$AJ46,1,(AO$4-1)*5+1))</f>
        <v/>
      </c>
      <c r="AP46" s="22">
        <f>AO46*(1+INDEX($Q46:$AJ46,1,(AP$4-1)*5+1))</f>
        <v/>
      </c>
      <c r="AQ46" s="22">
        <f>AP46*(1+INDEX($Q46:$AJ46,1,(AQ$4-1)*5+1))</f>
        <v/>
      </c>
      <c r="AR46" s="22">
        <f>AQ46*(1+INDEX($Q46:$AJ46,1,(AR$4-1)*5+1))</f>
        <v/>
      </c>
      <c r="AS46" s="22">
        <f>AR46*(1+INDEX($Q46:$AJ46,1,(AS$4-1)*5+1))</f>
        <v/>
      </c>
      <c r="AT46" s="22">
        <f>AS46*(1+INDEX($Q46:$AJ46,1,(AT$4-1)*5+1))</f>
        <v/>
      </c>
      <c r="AU46" s="22">
        <f>AT46*(1+INDEX($Q46:$AJ46,1,(AU$4-1)*5+1))</f>
        <v/>
      </c>
      <c r="AV46" s="22">
        <f>AU46*(1+INDEX($Q46:$AJ46,1,(AV$4-1)*5+1))</f>
        <v/>
      </c>
      <c r="AW46" s="22">
        <f>AV46*(1+INDEX($Q46:$AJ46,1,(AW$4-1)*5+1))</f>
        <v/>
      </c>
      <c r="AX46" s="22">
        <f>AW46*(1+INDEX($Q46:$AJ46,1,(AX$4-1)*5+1))</f>
        <v/>
      </c>
      <c r="AY46" s="22">
        <f>AX46*(1+INDEX($Q46:$AJ46,1,(AY$4-1)*5+1))</f>
        <v/>
      </c>
      <c r="BA46" s="23">
        <f>INDEX(Prices_dom!$A$6:$CU$2000,MATCH(Settings!$C$4&amp;BA$5,Prices_dom!$A$6:$A$2000,0),MATCH("mit.sp."&amp;$N46,Prices_dom!$A$5:$CU$5,0))/$P46</f>
        <v/>
      </c>
      <c r="BB46" s="22">
        <f>BA46*(1+INDEX($Q46:$AJ46,1,(BB$4-1)*5+1))</f>
        <v/>
      </c>
      <c r="BC46" s="22">
        <f>BB46*(1+INDEX($Q46:$AJ46,1,(BC$4-1)*5+1))</f>
        <v/>
      </c>
      <c r="BD46" s="22">
        <f>BC46*(1+INDEX($Q46:$AJ46,1,(BD$4-1)*5+1))</f>
        <v/>
      </c>
      <c r="BE46" s="22">
        <f>BD46*(1+INDEX($Q46:$AJ46,1,(BE$4-1)*5+1))</f>
        <v/>
      </c>
      <c r="BF46" s="22">
        <f>BE46*(1+INDEX($Q46:$AJ46,1,(BF$4-1)*5+1))</f>
        <v/>
      </c>
      <c r="BG46" s="22">
        <f>BF46*(1+INDEX($Q46:$AJ46,1,(BG$4-1)*5+1))</f>
        <v/>
      </c>
      <c r="BH46" s="22">
        <f>BG46*(1+INDEX($Q46:$AJ46,1,(BH$4-1)*5+1))</f>
        <v/>
      </c>
      <c r="BI46" s="22">
        <f>BH46*(1+INDEX($Q46:$AJ46,1,(BI$4-1)*5+1))</f>
        <v/>
      </c>
      <c r="BJ46" s="22">
        <f>BI46*(1+INDEX($Q46:$AJ46,1,(BJ$4-1)*5+1))</f>
        <v/>
      </c>
      <c r="BK46" s="22">
        <f>BJ46*(1+INDEX($Q46:$AJ46,1,(BK$4-1)*5+1))</f>
        <v/>
      </c>
      <c r="BL46" s="22">
        <f>BK46*(1+INDEX($Q46:$AJ46,1,(BL$4-1)*5+1))</f>
        <v/>
      </c>
      <c r="BM46" s="22">
        <f>BL46*(1+INDEX($Q46:$AJ46,1,(BM$4-1)*5+1))</f>
        <v/>
      </c>
      <c r="BN46" s="22">
        <f>BM46*(1+INDEX($Q46:$AJ46,1,(BN$4-1)*5+1))</f>
        <v/>
      </c>
    </row>
    <row r="47">
      <c r="B47" s="5" t="inlineStr">
        <is>
          <t>lpg</t>
        </is>
      </c>
      <c r="C47" s="5" t="inlineStr">
        <is>
          <t>res</t>
        </is>
      </c>
      <c r="D47" s="5" t="inlineStr">
        <is>
          <t>Pre-tax price | Residential | LPG</t>
        </is>
      </c>
      <c r="E47" s="5" t="inlineStr">
        <is>
          <t>$/GJ</t>
        </is>
      </c>
      <c r="F47" s="5" t="inlineStr">
        <is>
          <t>Prices_dom (base year), then growth</t>
        </is>
      </c>
      <c r="G47" s="19" t="inlineStr">
        <is>
          <t>mit.sp.lpg</t>
        </is>
      </c>
      <c r="H47" s="19" t="inlineStr">
        <is>
          <t>mit.pbt.lpg.res</t>
        </is>
      </c>
      <c r="J47" s="5">
        <f>INDEX(Mapping!$C$5:$C$20,MATCH($C47,Mapping!$A$5:$A$20,0))</f>
        <v/>
      </c>
      <c r="K47" s="5">
        <f>INDEX(Mapping!$D$5:$D$20,MATCH($C47,Mapping!$A$5:$A$20,0))</f>
        <v/>
      </c>
      <c r="L47" s="5">
        <f>INDEX(Mapping!$C$24:$C$31,MATCH($B47,Mapping!$A$24:$A$31,0))</f>
        <v/>
      </c>
      <c r="M47" s="5">
        <f>INDEX(Mapping!$D$24:$D$31,MATCH($B47,Mapping!$A$24:$A$31,0))</f>
        <v/>
      </c>
      <c r="N47" s="5">
        <f>$B47&amp;"."&amp;IF(INDEX(Mapping!$E$24:$E$31,MATCH($B47,Mapping!$A$24:$A$31,0))="sub",INDEX(Mapping!$F$5:$F$20,MATCH($C47,Mapping!$A$5:$A$20,0)),"all")</f>
        <v/>
      </c>
      <c r="O47" s="5">
        <f>INDEX(Mapping!$E$5:$E$20,MATCH($C47,Mapping!$A$5:$A$20,0))</f>
        <v/>
      </c>
      <c r="P47" s="5">
        <f>INDEX(Mapping!$G$24:$G$31,MATCH($B47,Mapping!$A$24:$A$31,0))</f>
        <v/>
      </c>
      <c r="Q47" s="20" t="n">
        <v>0</v>
      </c>
      <c r="R47" s="21" t="n"/>
      <c r="S47" s="21" t="n"/>
      <c r="T47" s="21" t="n"/>
      <c r="U47" s="21" t="n"/>
      <c r="V47" s="22">
        <f>Q47</f>
        <v/>
      </c>
      <c r="W47" s="21" t="n"/>
      <c r="X47" s="21" t="n"/>
      <c r="Y47" s="21" t="n"/>
      <c r="Z47" s="21" t="n"/>
      <c r="AA47" s="22">
        <f>Q47</f>
        <v/>
      </c>
      <c r="AB47" s="21" t="n"/>
      <c r="AC47" s="21" t="n"/>
      <c r="AD47" s="21" t="n"/>
      <c r="AE47" s="21" t="n"/>
      <c r="AF47" s="22">
        <f>Q47</f>
        <v/>
      </c>
      <c r="AG47" s="21" t="n"/>
      <c r="AH47" s="21" t="n"/>
      <c r="AI47" s="21" t="n"/>
      <c r="AJ47" s="21" t="n"/>
      <c r="AL47" s="23">
        <f>INDEX(Prices_dom!$A$6:$CU$2000,MATCH(Settings!$C$4&amp;AL$5,Prices_dom!$A$6:$A$2000,0),MATCH("mit.sp."&amp;$N47,Prices_dom!$A$5:$CU$5,0))/$P47</f>
        <v/>
      </c>
      <c r="AM47" s="22">
        <f>AL47*(1+INDEX($Q47:$AJ47,1,(AM$4-1)*5+1))</f>
        <v/>
      </c>
      <c r="AN47" s="22">
        <f>AM47*(1+INDEX($Q47:$AJ47,1,(AN$4-1)*5+1))</f>
        <v/>
      </c>
      <c r="AO47" s="22">
        <f>AN47*(1+INDEX($Q47:$AJ47,1,(AO$4-1)*5+1))</f>
        <v/>
      </c>
      <c r="AP47" s="22">
        <f>AO47*(1+INDEX($Q47:$AJ47,1,(AP$4-1)*5+1))</f>
        <v/>
      </c>
      <c r="AQ47" s="22">
        <f>AP47*(1+INDEX($Q47:$AJ47,1,(AQ$4-1)*5+1))</f>
        <v/>
      </c>
      <c r="AR47" s="22">
        <f>AQ47*(1+INDEX($Q47:$AJ47,1,(AR$4-1)*5+1))</f>
        <v/>
      </c>
      <c r="AS47" s="22">
        <f>AR47*(1+INDEX($Q47:$AJ47,1,(AS$4-1)*5+1))</f>
        <v/>
      </c>
      <c r="AT47" s="22">
        <f>AS47*(1+INDEX($Q47:$AJ47,1,(AT$4-1)*5+1))</f>
        <v/>
      </c>
      <c r="AU47" s="22">
        <f>AT47*(1+INDEX($Q47:$AJ47,1,(AU$4-1)*5+1))</f>
        <v/>
      </c>
      <c r="AV47" s="22">
        <f>AU47*(1+INDEX($Q47:$AJ47,1,(AV$4-1)*5+1))</f>
        <v/>
      </c>
      <c r="AW47" s="22">
        <f>AV47*(1+INDEX($Q47:$AJ47,1,(AW$4-1)*5+1))</f>
        <v/>
      </c>
      <c r="AX47" s="22">
        <f>AW47*(1+INDEX($Q47:$AJ47,1,(AX$4-1)*5+1))</f>
        <v/>
      </c>
      <c r="AY47" s="22">
        <f>AX47*(1+INDEX($Q47:$AJ47,1,(AY$4-1)*5+1))</f>
        <v/>
      </c>
      <c r="BA47" s="23">
        <f>INDEX(Prices_dom!$A$6:$CU$2000,MATCH(Settings!$C$4&amp;BA$5,Prices_dom!$A$6:$A$2000,0),MATCH("mit.sp."&amp;$N47,Prices_dom!$A$5:$CU$5,0))/$P47</f>
        <v/>
      </c>
      <c r="BB47" s="22">
        <f>BA47*(1+INDEX($Q47:$AJ47,1,(BB$4-1)*5+1))</f>
        <v/>
      </c>
      <c r="BC47" s="22">
        <f>BB47*(1+INDEX($Q47:$AJ47,1,(BC$4-1)*5+1))</f>
        <v/>
      </c>
      <c r="BD47" s="22">
        <f>BC47*(1+INDEX($Q47:$AJ47,1,(BD$4-1)*5+1))</f>
        <v/>
      </c>
      <c r="BE47" s="22">
        <f>BD47*(1+INDEX($Q47:$AJ47,1,(BE$4-1)*5+1))</f>
        <v/>
      </c>
      <c r="BF47" s="22">
        <f>BE47*(1+INDEX($Q47:$AJ47,1,(BF$4-1)*5+1))</f>
        <v/>
      </c>
      <c r="BG47" s="22">
        <f>BF47*(1+INDEX($Q47:$AJ47,1,(BG$4-1)*5+1))</f>
        <v/>
      </c>
      <c r="BH47" s="22">
        <f>BG47*(1+INDEX($Q47:$AJ47,1,(BH$4-1)*5+1))</f>
        <v/>
      </c>
      <c r="BI47" s="22">
        <f>BH47*(1+INDEX($Q47:$AJ47,1,(BI$4-1)*5+1))</f>
        <v/>
      </c>
      <c r="BJ47" s="22">
        <f>BI47*(1+INDEX($Q47:$AJ47,1,(BJ$4-1)*5+1))</f>
        <v/>
      </c>
      <c r="BK47" s="22">
        <f>BJ47*(1+INDEX($Q47:$AJ47,1,(BK$4-1)*5+1))</f>
        <v/>
      </c>
      <c r="BL47" s="22">
        <f>BK47*(1+INDEX($Q47:$AJ47,1,(BL$4-1)*5+1))</f>
        <v/>
      </c>
      <c r="BM47" s="22">
        <f>BL47*(1+INDEX($Q47:$AJ47,1,(BM$4-1)*5+1))</f>
        <v/>
      </c>
      <c r="BN47" s="22">
        <f>BM47*(1+INDEX($Q47:$AJ47,1,(BN$4-1)*5+1))</f>
        <v/>
      </c>
    </row>
    <row r="48">
      <c r="B48" s="5" t="inlineStr">
        <is>
          <t>ker</t>
        </is>
      </c>
      <c r="C48" s="5" t="inlineStr">
        <is>
          <t>res</t>
        </is>
      </c>
      <c r="D48" s="5" t="inlineStr">
        <is>
          <t>Pre-tax price | Residential | Kerosene</t>
        </is>
      </c>
      <c r="E48" s="5" t="inlineStr">
        <is>
          <t>$/GJ</t>
        </is>
      </c>
      <c r="F48" s="5" t="inlineStr">
        <is>
          <t>Prices_dom (base year), then growth</t>
        </is>
      </c>
      <c r="G48" s="19" t="inlineStr">
        <is>
          <t>mit.sp.ker</t>
        </is>
      </c>
      <c r="H48" s="19" t="inlineStr">
        <is>
          <t>mit.pbt.ker.res</t>
        </is>
      </c>
      <c r="J48" s="5">
        <f>INDEX(Mapping!$C$5:$C$20,MATCH($C48,Mapping!$A$5:$A$20,0))</f>
        <v/>
      </c>
      <c r="K48" s="5">
        <f>INDEX(Mapping!$D$5:$D$20,MATCH($C48,Mapping!$A$5:$A$20,0))</f>
        <v/>
      </c>
      <c r="L48" s="5">
        <f>INDEX(Mapping!$C$24:$C$31,MATCH($B48,Mapping!$A$24:$A$31,0))</f>
        <v/>
      </c>
      <c r="M48" s="5">
        <f>INDEX(Mapping!$D$24:$D$31,MATCH($B48,Mapping!$A$24:$A$31,0))</f>
        <v/>
      </c>
      <c r="N48" s="5">
        <f>$B48&amp;"."&amp;IF(INDEX(Mapping!$E$24:$E$31,MATCH($B48,Mapping!$A$24:$A$31,0))="sub",INDEX(Mapping!$F$5:$F$20,MATCH($C48,Mapping!$A$5:$A$20,0)),"all")</f>
        <v/>
      </c>
      <c r="O48" s="5">
        <f>INDEX(Mapping!$E$5:$E$20,MATCH($C48,Mapping!$A$5:$A$20,0))</f>
        <v/>
      </c>
      <c r="P48" s="5">
        <f>INDEX(Mapping!$G$24:$G$31,MATCH($B48,Mapping!$A$24:$A$31,0))</f>
        <v/>
      </c>
      <c r="Q48" s="20" t="n">
        <v>0</v>
      </c>
      <c r="R48" s="21" t="n"/>
      <c r="S48" s="21" t="n"/>
      <c r="T48" s="21" t="n"/>
      <c r="U48" s="21" t="n"/>
      <c r="V48" s="22">
        <f>Q48</f>
        <v/>
      </c>
      <c r="W48" s="21" t="n"/>
      <c r="X48" s="21" t="n"/>
      <c r="Y48" s="21" t="n"/>
      <c r="Z48" s="21" t="n"/>
      <c r="AA48" s="22">
        <f>Q48</f>
        <v/>
      </c>
      <c r="AB48" s="21" t="n"/>
      <c r="AC48" s="21" t="n"/>
      <c r="AD48" s="21" t="n"/>
      <c r="AE48" s="21" t="n"/>
      <c r="AF48" s="22">
        <f>Q48</f>
        <v/>
      </c>
      <c r="AG48" s="21" t="n"/>
      <c r="AH48" s="21" t="n"/>
      <c r="AI48" s="21" t="n"/>
      <c r="AJ48" s="21" t="n"/>
      <c r="AL48" s="23">
        <f>INDEX(Prices_dom!$A$6:$CU$2000,MATCH(Settings!$C$4&amp;AL$5,Prices_dom!$A$6:$A$2000,0),MATCH("mit.sp."&amp;$N48,Prices_dom!$A$5:$CU$5,0))/$P48</f>
        <v/>
      </c>
      <c r="AM48" s="22">
        <f>AL48*(1+INDEX($Q48:$AJ48,1,(AM$4-1)*5+1))</f>
        <v/>
      </c>
      <c r="AN48" s="22">
        <f>AM48*(1+INDEX($Q48:$AJ48,1,(AN$4-1)*5+1))</f>
        <v/>
      </c>
      <c r="AO48" s="22">
        <f>AN48*(1+INDEX($Q48:$AJ48,1,(AO$4-1)*5+1))</f>
        <v/>
      </c>
      <c r="AP48" s="22">
        <f>AO48*(1+INDEX($Q48:$AJ48,1,(AP$4-1)*5+1))</f>
        <v/>
      </c>
      <c r="AQ48" s="22">
        <f>AP48*(1+INDEX($Q48:$AJ48,1,(AQ$4-1)*5+1))</f>
        <v/>
      </c>
      <c r="AR48" s="22">
        <f>AQ48*(1+INDEX($Q48:$AJ48,1,(AR$4-1)*5+1))</f>
        <v/>
      </c>
      <c r="AS48" s="22">
        <f>AR48*(1+INDEX($Q48:$AJ48,1,(AS$4-1)*5+1))</f>
        <v/>
      </c>
      <c r="AT48" s="22">
        <f>AS48*(1+INDEX($Q48:$AJ48,1,(AT$4-1)*5+1))</f>
        <v/>
      </c>
      <c r="AU48" s="22">
        <f>AT48*(1+INDEX($Q48:$AJ48,1,(AU$4-1)*5+1))</f>
        <v/>
      </c>
      <c r="AV48" s="22">
        <f>AU48*(1+INDEX($Q48:$AJ48,1,(AV$4-1)*5+1))</f>
        <v/>
      </c>
      <c r="AW48" s="22">
        <f>AV48*(1+INDEX($Q48:$AJ48,1,(AW$4-1)*5+1))</f>
        <v/>
      </c>
      <c r="AX48" s="22">
        <f>AW48*(1+INDEX($Q48:$AJ48,1,(AX$4-1)*5+1))</f>
        <v/>
      </c>
      <c r="AY48" s="22">
        <f>AX48*(1+INDEX($Q48:$AJ48,1,(AY$4-1)*5+1))</f>
        <v/>
      </c>
      <c r="BA48" s="23">
        <f>INDEX(Prices_dom!$A$6:$CU$2000,MATCH(Settings!$C$4&amp;BA$5,Prices_dom!$A$6:$A$2000,0),MATCH("mit.sp."&amp;$N48,Prices_dom!$A$5:$CU$5,0))/$P48</f>
        <v/>
      </c>
      <c r="BB48" s="22">
        <f>BA48*(1+INDEX($Q48:$AJ48,1,(BB$4-1)*5+1))</f>
        <v/>
      </c>
      <c r="BC48" s="22">
        <f>BB48*(1+INDEX($Q48:$AJ48,1,(BC$4-1)*5+1))</f>
        <v/>
      </c>
      <c r="BD48" s="22">
        <f>BC48*(1+INDEX($Q48:$AJ48,1,(BD$4-1)*5+1))</f>
        <v/>
      </c>
      <c r="BE48" s="22">
        <f>BD48*(1+INDEX($Q48:$AJ48,1,(BE$4-1)*5+1))</f>
        <v/>
      </c>
      <c r="BF48" s="22">
        <f>BE48*(1+INDEX($Q48:$AJ48,1,(BF$4-1)*5+1))</f>
        <v/>
      </c>
      <c r="BG48" s="22">
        <f>BF48*(1+INDEX($Q48:$AJ48,1,(BG$4-1)*5+1))</f>
        <v/>
      </c>
      <c r="BH48" s="22">
        <f>BG48*(1+INDEX($Q48:$AJ48,1,(BH$4-1)*5+1))</f>
        <v/>
      </c>
      <c r="BI48" s="22">
        <f>BH48*(1+INDEX($Q48:$AJ48,1,(BI$4-1)*5+1))</f>
        <v/>
      </c>
      <c r="BJ48" s="22">
        <f>BI48*(1+INDEX($Q48:$AJ48,1,(BJ$4-1)*5+1))</f>
        <v/>
      </c>
      <c r="BK48" s="22">
        <f>BJ48*(1+INDEX($Q48:$AJ48,1,(BK$4-1)*5+1))</f>
        <v/>
      </c>
      <c r="BL48" s="22">
        <f>BK48*(1+INDEX($Q48:$AJ48,1,(BL$4-1)*5+1))</f>
        <v/>
      </c>
      <c r="BM48" s="22">
        <f>BL48*(1+INDEX($Q48:$AJ48,1,(BM$4-1)*5+1))</f>
        <v/>
      </c>
      <c r="BN48" s="22">
        <f>BM48*(1+INDEX($Q48:$AJ48,1,(BN$4-1)*5+1))</f>
        <v/>
      </c>
    </row>
    <row r="49">
      <c r="B49" s="5" t="inlineStr">
        <is>
          <t>oop</t>
        </is>
      </c>
      <c r="C49" s="5" t="inlineStr">
        <is>
          <t>res</t>
        </is>
      </c>
      <c r="D49" s="5" t="inlineStr">
        <is>
          <t>Pre-tax price | Residential | Other oil products</t>
        </is>
      </c>
      <c r="E49" s="5" t="inlineStr">
        <is>
          <t>$/GJ</t>
        </is>
      </c>
      <c r="F49" s="5" t="inlineStr">
        <is>
          <t>Prices_dom (base year), then growth</t>
        </is>
      </c>
      <c r="G49" s="19" t="inlineStr">
        <is>
          <t>mit.sp.oop</t>
        </is>
      </c>
      <c r="H49" s="19" t="inlineStr">
        <is>
          <t>mit.pbt.oop.res</t>
        </is>
      </c>
      <c r="J49" s="5">
        <f>INDEX(Mapping!$C$5:$C$20,MATCH($C49,Mapping!$A$5:$A$20,0))</f>
        <v/>
      </c>
      <c r="K49" s="5">
        <f>INDEX(Mapping!$D$5:$D$20,MATCH($C49,Mapping!$A$5:$A$20,0))</f>
        <v/>
      </c>
      <c r="L49" s="5">
        <f>INDEX(Mapping!$C$24:$C$31,MATCH($B49,Mapping!$A$24:$A$31,0))</f>
        <v/>
      </c>
      <c r="M49" s="5">
        <f>INDEX(Mapping!$D$24:$D$31,MATCH($B49,Mapping!$A$24:$A$31,0))</f>
        <v/>
      </c>
      <c r="N49" s="5">
        <f>$B49&amp;"."&amp;IF(INDEX(Mapping!$E$24:$E$31,MATCH($B49,Mapping!$A$24:$A$31,0))="sub",INDEX(Mapping!$F$5:$F$20,MATCH($C49,Mapping!$A$5:$A$20,0)),"all")</f>
        <v/>
      </c>
      <c r="O49" s="5">
        <f>INDEX(Mapping!$E$5:$E$20,MATCH($C49,Mapping!$A$5:$A$20,0))</f>
        <v/>
      </c>
      <c r="P49" s="5">
        <f>INDEX(Mapping!$G$24:$G$31,MATCH($B49,Mapping!$A$24:$A$31,0))</f>
        <v/>
      </c>
      <c r="Q49" s="20" t="n">
        <v>0</v>
      </c>
      <c r="R49" s="21" t="n"/>
      <c r="S49" s="21" t="n"/>
      <c r="T49" s="21" t="n"/>
      <c r="U49" s="21" t="n"/>
      <c r="V49" s="22">
        <f>Q49</f>
        <v/>
      </c>
      <c r="W49" s="21" t="n"/>
      <c r="X49" s="21" t="n"/>
      <c r="Y49" s="21" t="n"/>
      <c r="Z49" s="21" t="n"/>
      <c r="AA49" s="22">
        <f>Q49</f>
        <v/>
      </c>
      <c r="AB49" s="21" t="n"/>
      <c r="AC49" s="21" t="n"/>
      <c r="AD49" s="21" t="n"/>
      <c r="AE49" s="21" t="n"/>
      <c r="AF49" s="22">
        <f>Q49</f>
        <v/>
      </c>
      <c r="AG49" s="21" t="n"/>
      <c r="AH49" s="21" t="n"/>
      <c r="AI49" s="21" t="n"/>
      <c r="AJ49" s="21" t="n"/>
      <c r="AL49" s="23">
        <f>INDEX(Prices_dom!$A$6:$CU$2000,MATCH(Settings!$C$4&amp;AL$5,Prices_dom!$A$6:$A$2000,0),MATCH("mit.sp."&amp;$N49,Prices_dom!$A$5:$CU$5,0))/$P49</f>
        <v/>
      </c>
      <c r="AM49" s="22">
        <f>AL49*(1+INDEX($Q49:$AJ49,1,(AM$4-1)*5+1))</f>
        <v/>
      </c>
      <c r="AN49" s="22">
        <f>AM49*(1+INDEX($Q49:$AJ49,1,(AN$4-1)*5+1))</f>
        <v/>
      </c>
      <c r="AO49" s="22">
        <f>AN49*(1+INDEX($Q49:$AJ49,1,(AO$4-1)*5+1))</f>
        <v/>
      </c>
      <c r="AP49" s="22">
        <f>AO49*(1+INDEX($Q49:$AJ49,1,(AP$4-1)*5+1))</f>
        <v/>
      </c>
      <c r="AQ49" s="22">
        <f>AP49*(1+INDEX($Q49:$AJ49,1,(AQ$4-1)*5+1))</f>
        <v/>
      </c>
      <c r="AR49" s="22">
        <f>AQ49*(1+INDEX($Q49:$AJ49,1,(AR$4-1)*5+1))</f>
        <v/>
      </c>
      <c r="AS49" s="22">
        <f>AR49*(1+INDEX($Q49:$AJ49,1,(AS$4-1)*5+1))</f>
        <v/>
      </c>
      <c r="AT49" s="22">
        <f>AS49*(1+INDEX($Q49:$AJ49,1,(AT$4-1)*5+1))</f>
        <v/>
      </c>
      <c r="AU49" s="22">
        <f>AT49*(1+INDEX($Q49:$AJ49,1,(AU$4-1)*5+1))</f>
        <v/>
      </c>
      <c r="AV49" s="22">
        <f>AU49*(1+INDEX($Q49:$AJ49,1,(AV$4-1)*5+1))</f>
        <v/>
      </c>
      <c r="AW49" s="22">
        <f>AV49*(1+INDEX($Q49:$AJ49,1,(AW$4-1)*5+1))</f>
        <v/>
      </c>
      <c r="AX49" s="22">
        <f>AW49*(1+INDEX($Q49:$AJ49,1,(AX$4-1)*5+1))</f>
        <v/>
      </c>
      <c r="AY49" s="22">
        <f>AX49*(1+INDEX($Q49:$AJ49,1,(AY$4-1)*5+1))</f>
        <v/>
      </c>
      <c r="BA49" s="23">
        <f>INDEX(Prices_dom!$A$6:$CU$2000,MATCH(Settings!$C$4&amp;BA$5,Prices_dom!$A$6:$A$2000,0),MATCH("mit.sp."&amp;$N49,Prices_dom!$A$5:$CU$5,0))/$P49</f>
        <v/>
      </c>
      <c r="BB49" s="22">
        <f>BA49*(1+INDEX($Q49:$AJ49,1,(BB$4-1)*5+1))</f>
        <v/>
      </c>
      <c r="BC49" s="22">
        <f>BB49*(1+INDEX($Q49:$AJ49,1,(BC$4-1)*5+1))</f>
        <v/>
      </c>
      <c r="BD49" s="22">
        <f>BC49*(1+INDEX($Q49:$AJ49,1,(BD$4-1)*5+1))</f>
        <v/>
      </c>
      <c r="BE49" s="22">
        <f>BD49*(1+INDEX($Q49:$AJ49,1,(BE$4-1)*5+1))</f>
        <v/>
      </c>
      <c r="BF49" s="22">
        <f>BE49*(1+INDEX($Q49:$AJ49,1,(BF$4-1)*5+1))</f>
        <v/>
      </c>
      <c r="BG49" s="22">
        <f>BF49*(1+INDEX($Q49:$AJ49,1,(BG$4-1)*5+1))</f>
        <v/>
      </c>
      <c r="BH49" s="22">
        <f>BG49*(1+INDEX($Q49:$AJ49,1,(BH$4-1)*5+1))</f>
        <v/>
      </c>
      <c r="BI49" s="22">
        <f>BH49*(1+INDEX($Q49:$AJ49,1,(BI$4-1)*5+1))</f>
        <v/>
      </c>
      <c r="BJ49" s="22">
        <f>BI49*(1+INDEX($Q49:$AJ49,1,(BJ$4-1)*5+1))</f>
        <v/>
      </c>
      <c r="BK49" s="22">
        <f>BJ49*(1+INDEX($Q49:$AJ49,1,(BK$4-1)*5+1))</f>
        <v/>
      </c>
      <c r="BL49" s="22">
        <f>BK49*(1+INDEX($Q49:$AJ49,1,(BL$4-1)*5+1))</f>
        <v/>
      </c>
      <c r="BM49" s="22">
        <f>BL49*(1+INDEX($Q49:$AJ49,1,(BM$4-1)*5+1))</f>
        <v/>
      </c>
      <c r="BN49" s="22">
        <f>BM49*(1+INDEX($Q49:$AJ49,1,(BN$4-1)*5+1))</f>
        <v/>
      </c>
    </row>
    <row r="50">
      <c r="B50" s="5" t="inlineStr">
        <is>
          <t>bio</t>
        </is>
      </c>
      <c r="C50" s="5" t="inlineStr">
        <is>
          <t>res</t>
        </is>
      </c>
      <c r="D50" s="5" t="inlineStr">
        <is>
          <t>Pre-tax price | Residential | Biomass</t>
        </is>
      </c>
      <c r="E50" s="5" t="inlineStr">
        <is>
          <t>$/GJ</t>
        </is>
      </c>
      <c r="F50" s="5" t="inlineStr">
        <is>
          <t>Prices_dom (base year), then growth</t>
        </is>
      </c>
      <c r="G50" s="19" t="inlineStr">
        <is>
          <t>mit.sp.bio</t>
        </is>
      </c>
      <c r="H50" s="19" t="inlineStr">
        <is>
          <t>mit.pbt.bio.res</t>
        </is>
      </c>
      <c r="J50" s="5">
        <f>INDEX(Mapping!$C$5:$C$20,MATCH($C50,Mapping!$A$5:$A$20,0))</f>
        <v/>
      </c>
      <c r="K50" s="5">
        <f>INDEX(Mapping!$D$5:$D$20,MATCH($C50,Mapping!$A$5:$A$20,0))</f>
        <v/>
      </c>
      <c r="L50" s="5">
        <f>INDEX(Mapping!$C$24:$C$31,MATCH($B50,Mapping!$A$24:$A$31,0))</f>
        <v/>
      </c>
      <c r="M50" s="5">
        <f>INDEX(Mapping!$D$24:$D$31,MATCH($B50,Mapping!$A$24:$A$31,0))</f>
        <v/>
      </c>
      <c r="N50" s="5">
        <f>$B50&amp;"."&amp;IF(INDEX(Mapping!$E$24:$E$31,MATCH($B50,Mapping!$A$24:$A$31,0))="sub",INDEX(Mapping!$F$5:$F$20,MATCH($C50,Mapping!$A$5:$A$20,0)),"all")</f>
        <v/>
      </c>
      <c r="O50" s="5">
        <f>INDEX(Mapping!$E$5:$E$20,MATCH($C50,Mapping!$A$5:$A$20,0))</f>
        <v/>
      </c>
      <c r="P50" s="5">
        <f>INDEX(Mapping!$G$24:$G$31,MATCH($B50,Mapping!$A$24:$A$31,0))</f>
        <v/>
      </c>
      <c r="Q50" s="20" t="n">
        <v>0</v>
      </c>
      <c r="R50" s="21" t="n"/>
      <c r="S50" s="21" t="n"/>
      <c r="T50" s="21" t="n"/>
      <c r="U50" s="21" t="n"/>
      <c r="V50" s="22">
        <f>Q50</f>
        <v/>
      </c>
      <c r="W50" s="21" t="n"/>
      <c r="X50" s="21" t="n"/>
      <c r="Y50" s="21" t="n"/>
      <c r="Z50" s="21" t="n"/>
      <c r="AA50" s="22">
        <f>Q50</f>
        <v/>
      </c>
      <c r="AB50" s="21" t="n"/>
      <c r="AC50" s="21" t="n"/>
      <c r="AD50" s="21" t="n"/>
      <c r="AE50" s="21" t="n"/>
      <c r="AF50" s="22">
        <f>Q50</f>
        <v/>
      </c>
      <c r="AG50" s="21" t="n"/>
      <c r="AH50" s="21" t="n"/>
      <c r="AI50" s="21" t="n"/>
      <c r="AJ50" s="21" t="n"/>
      <c r="AL50" s="23">
        <f>INDEX(Prices_dom!$A$6:$CU$2000,MATCH(Settings!$C$4&amp;AL$5,Prices_dom!$A$6:$A$2000,0),MATCH("mit.sp."&amp;$N50,Prices_dom!$A$5:$CU$5,0))/$P50</f>
        <v/>
      </c>
      <c r="AM50" s="22">
        <f>AL50*(1+INDEX($Q50:$AJ50,1,(AM$4-1)*5+1))</f>
        <v/>
      </c>
      <c r="AN50" s="22">
        <f>AM50*(1+INDEX($Q50:$AJ50,1,(AN$4-1)*5+1))</f>
        <v/>
      </c>
      <c r="AO50" s="22">
        <f>AN50*(1+INDEX($Q50:$AJ50,1,(AO$4-1)*5+1))</f>
        <v/>
      </c>
      <c r="AP50" s="22">
        <f>AO50*(1+INDEX($Q50:$AJ50,1,(AP$4-1)*5+1))</f>
        <v/>
      </c>
      <c r="AQ50" s="22">
        <f>AP50*(1+INDEX($Q50:$AJ50,1,(AQ$4-1)*5+1))</f>
        <v/>
      </c>
      <c r="AR50" s="22">
        <f>AQ50*(1+INDEX($Q50:$AJ50,1,(AR$4-1)*5+1))</f>
        <v/>
      </c>
      <c r="AS50" s="22">
        <f>AR50*(1+INDEX($Q50:$AJ50,1,(AS$4-1)*5+1))</f>
        <v/>
      </c>
      <c r="AT50" s="22">
        <f>AS50*(1+INDEX($Q50:$AJ50,1,(AT$4-1)*5+1))</f>
        <v/>
      </c>
      <c r="AU50" s="22">
        <f>AT50*(1+INDEX($Q50:$AJ50,1,(AU$4-1)*5+1))</f>
        <v/>
      </c>
      <c r="AV50" s="22">
        <f>AU50*(1+INDEX($Q50:$AJ50,1,(AV$4-1)*5+1))</f>
        <v/>
      </c>
      <c r="AW50" s="22">
        <f>AV50*(1+INDEX($Q50:$AJ50,1,(AW$4-1)*5+1))</f>
        <v/>
      </c>
      <c r="AX50" s="22">
        <f>AW50*(1+INDEX($Q50:$AJ50,1,(AX$4-1)*5+1))</f>
        <v/>
      </c>
      <c r="AY50" s="22">
        <f>AX50*(1+INDEX($Q50:$AJ50,1,(AY$4-1)*5+1))</f>
        <v/>
      </c>
      <c r="BA50" s="23">
        <f>INDEX(Prices_dom!$A$6:$CU$2000,MATCH(Settings!$C$4&amp;BA$5,Prices_dom!$A$6:$A$2000,0),MATCH("mit.sp."&amp;$N50,Prices_dom!$A$5:$CU$5,0))/$P50</f>
        <v/>
      </c>
      <c r="BB50" s="22">
        <f>BA50*(1+INDEX($Q50:$AJ50,1,(BB$4-1)*5+1))</f>
        <v/>
      </c>
      <c r="BC50" s="22">
        <f>BB50*(1+INDEX($Q50:$AJ50,1,(BC$4-1)*5+1))</f>
        <v/>
      </c>
      <c r="BD50" s="22">
        <f>BC50*(1+INDEX($Q50:$AJ50,1,(BD$4-1)*5+1))</f>
        <v/>
      </c>
      <c r="BE50" s="22">
        <f>BD50*(1+INDEX($Q50:$AJ50,1,(BE$4-1)*5+1))</f>
        <v/>
      </c>
      <c r="BF50" s="22">
        <f>BE50*(1+INDEX($Q50:$AJ50,1,(BF$4-1)*5+1))</f>
        <v/>
      </c>
      <c r="BG50" s="22">
        <f>BF50*(1+INDEX($Q50:$AJ50,1,(BG$4-1)*5+1))</f>
        <v/>
      </c>
      <c r="BH50" s="22">
        <f>BG50*(1+INDEX($Q50:$AJ50,1,(BH$4-1)*5+1))</f>
        <v/>
      </c>
      <c r="BI50" s="22">
        <f>BH50*(1+INDEX($Q50:$AJ50,1,(BI$4-1)*5+1))</f>
        <v/>
      </c>
      <c r="BJ50" s="22">
        <f>BI50*(1+INDEX($Q50:$AJ50,1,(BJ$4-1)*5+1))</f>
        <v/>
      </c>
      <c r="BK50" s="22">
        <f>BJ50*(1+INDEX($Q50:$AJ50,1,(BK$4-1)*5+1))</f>
        <v/>
      </c>
      <c r="BL50" s="22">
        <f>BK50*(1+INDEX($Q50:$AJ50,1,(BL$4-1)*5+1))</f>
        <v/>
      </c>
      <c r="BM50" s="22">
        <f>BL50*(1+INDEX($Q50:$AJ50,1,(BM$4-1)*5+1))</f>
        <v/>
      </c>
      <c r="BN50" s="22">
        <f>BM50*(1+INDEX($Q50:$AJ50,1,(BN$4-1)*5+1))</f>
        <v/>
      </c>
    </row>
    <row r="51">
      <c r="B51" s="5" t="inlineStr">
        <is>
          <t>coa</t>
        </is>
      </c>
      <c r="C51" s="5" t="inlineStr">
        <is>
          <t>foo</t>
        </is>
      </c>
      <c r="D51" s="5" t="inlineStr">
        <is>
          <t>Pre-tax price | Food &amp; forestry | Coal</t>
        </is>
      </c>
      <c r="E51" s="5" t="inlineStr">
        <is>
          <t>$/GJ</t>
        </is>
      </c>
      <c r="F51" s="5" t="inlineStr">
        <is>
          <t>Prices_dom (base year), then growth</t>
        </is>
      </c>
      <c r="G51" s="19" t="inlineStr">
        <is>
          <t>mit.sp.coa</t>
        </is>
      </c>
      <c r="H51" s="19" t="inlineStr">
        <is>
          <t>mit.pbt.coa.foo</t>
        </is>
      </c>
      <c r="J51" s="5">
        <f>INDEX(Mapping!$C$5:$C$20,MATCH($C51,Mapping!$A$5:$A$20,0))</f>
        <v/>
      </c>
      <c r="K51" s="5">
        <f>INDEX(Mapping!$D$5:$D$20,MATCH($C51,Mapping!$A$5:$A$20,0))</f>
        <v/>
      </c>
      <c r="L51" s="5">
        <f>INDEX(Mapping!$C$24:$C$31,MATCH($B51,Mapping!$A$24:$A$31,0))</f>
        <v/>
      </c>
      <c r="M51" s="5">
        <f>INDEX(Mapping!$D$24:$D$31,MATCH($B51,Mapping!$A$24:$A$31,0))</f>
        <v/>
      </c>
      <c r="N51" s="5">
        <f>$B51&amp;"."&amp;IF(INDEX(Mapping!$E$24:$E$31,MATCH($B51,Mapping!$A$24:$A$31,0))="sub",INDEX(Mapping!$F$5:$F$20,MATCH($C51,Mapping!$A$5:$A$20,0)),"all")</f>
        <v/>
      </c>
      <c r="O51" s="5">
        <f>INDEX(Mapping!$E$5:$E$20,MATCH($C51,Mapping!$A$5:$A$20,0))</f>
        <v/>
      </c>
      <c r="P51" s="5">
        <f>INDEX(Mapping!$G$24:$G$31,MATCH($B51,Mapping!$A$24:$A$31,0))</f>
        <v/>
      </c>
      <c r="Q51" s="20" t="n">
        <v>0</v>
      </c>
      <c r="R51" s="21" t="n"/>
      <c r="S51" s="21" t="n"/>
      <c r="T51" s="21" t="n"/>
      <c r="U51" s="21" t="n"/>
      <c r="V51" s="22">
        <f>Q51</f>
        <v/>
      </c>
      <c r="W51" s="21" t="n"/>
      <c r="X51" s="21" t="n"/>
      <c r="Y51" s="21" t="n"/>
      <c r="Z51" s="21" t="n"/>
      <c r="AA51" s="22">
        <f>Q51</f>
        <v/>
      </c>
      <c r="AB51" s="21" t="n"/>
      <c r="AC51" s="21" t="n"/>
      <c r="AD51" s="21" t="n"/>
      <c r="AE51" s="21" t="n"/>
      <c r="AF51" s="22">
        <f>Q51</f>
        <v/>
      </c>
      <c r="AG51" s="21" t="n"/>
      <c r="AH51" s="21" t="n"/>
      <c r="AI51" s="21" t="n"/>
      <c r="AJ51" s="21" t="n"/>
      <c r="AL51" s="23">
        <f>INDEX(Prices_dom!$A$6:$CU$2000,MATCH(Settings!$C$4&amp;AL$5,Prices_dom!$A$6:$A$2000,0),MATCH("mit.sp."&amp;$N51,Prices_dom!$A$5:$CU$5,0))/$P51</f>
        <v/>
      </c>
      <c r="AM51" s="22">
        <f>AL51*(1+INDEX($Q51:$AJ51,1,(AM$4-1)*5+1))</f>
        <v/>
      </c>
      <c r="AN51" s="22">
        <f>AM51*(1+INDEX($Q51:$AJ51,1,(AN$4-1)*5+1))</f>
        <v/>
      </c>
      <c r="AO51" s="22">
        <f>AN51*(1+INDEX($Q51:$AJ51,1,(AO$4-1)*5+1))</f>
        <v/>
      </c>
      <c r="AP51" s="22">
        <f>AO51*(1+INDEX($Q51:$AJ51,1,(AP$4-1)*5+1))</f>
        <v/>
      </c>
      <c r="AQ51" s="22">
        <f>AP51*(1+INDEX($Q51:$AJ51,1,(AQ$4-1)*5+1))</f>
        <v/>
      </c>
      <c r="AR51" s="22">
        <f>AQ51*(1+INDEX($Q51:$AJ51,1,(AR$4-1)*5+1))</f>
        <v/>
      </c>
      <c r="AS51" s="22">
        <f>AR51*(1+INDEX($Q51:$AJ51,1,(AS$4-1)*5+1))</f>
        <v/>
      </c>
      <c r="AT51" s="22">
        <f>AS51*(1+INDEX($Q51:$AJ51,1,(AT$4-1)*5+1))</f>
        <v/>
      </c>
      <c r="AU51" s="22">
        <f>AT51*(1+INDEX($Q51:$AJ51,1,(AU$4-1)*5+1))</f>
        <v/>
      </c>
      <c r="AV51" s="22">
        <f>AU51*(1+INDEX($Q51:$AJ51,1,(AV$4-1)*5+1))</f>
        <v/>
      </c>
      <c r="AW51" s="22">
        <f>AV51*(1+INDEX($Q51:$AJ51,1,(AW$4-1)*5+1))</f>
        <v/>
      </c>
      <c r="AX51" s="22">
        <f>AW51*(1+INDEX($Q51:$AJ51,1,(AX$4-1)*5+1))</f>
        <v/>
      </c>
      <c r="AY51" s="22">
        <f>AX51*(1+INDEX($Q51:$AJ51,1,(AY$4-1)*5+1))</f>
        <v/>
      </c>
      <c r="BA51" s="23">
        <f>INDEX(Prices_dom!$A$6:$CU$2000,MATCH(Settings!$C$4&amp;BA$5,Prices_dom!$A$6:$A$2000,0),MATCH("mit.sp."&amp;$N51,Prices_dom!$A$5:$CU$5,0))/$P51</f>
        <v/>
      </c>
      <c r="BB51" s="22">
        <f>BA51*(1+INDEX($Q51:$AJ51,1,(BB$4-1)*5+1))</f>
        <v/>
      </c>
      <c r="BC51" s="22">
        <f>BB51*(1+INDEX($Q51:$AJ51,1,(BC$4-1)*5+1))</f>
        <v/>
      </c>
      <c r="BD51" s="22">
        <f>BC51*(1+INDEX($Q51:$AJ51,1,(BD$4-1)*5+1))</f>
        <v/>
      </c>
      <c r="BE51" s="22">
        <f>BD51*(1+INDEX($Q51:$AJ51,1,(BE$4-1)*5+1))</f>
        <v/>
      </c>
      <c r="BF51" s="22">
        <f>BE51*(1+INDEX($Q51:$AJ51,1,(BF$4-1)*5+1))</f>
        <v/>
      </c>
      <c r="BG51" s="22">
        <f>BF51*(1+INDEX($Q51:$AJ51,1,(BG$4-1)*5+1))</f>
        <v/>
      </c>
      <c r="BH51" s="22">
        <f>BG51*(1+INDEX($Q51:$AJ51,1,(BH$4-1)*5+1))</f>
        <v/>
      </c>
      <c r="BI51" s="22">
        <f>BH51*(1+INDEX($Q51:$AJ51,1,(BI$4-1)*5+1))</f>
        <v/>
      </c>
      <c r="BJ51" s="22">
        <f>BI51*(1+INDEX($Q51:$AJ51,1,(BJ$4-1)*5+1))</f>
        <v/>
      </c>
      <c r="BK51" s="22">
        <f>BJ51*(1+INDEX($Q51:$AJ51,1,(BK$4-1)*5+1))</f>
        <v/>
      </c>
      <c r="BL51" s="22">
        <f>BK51*(1+INDEX($Q51:$AJ51,1,(BL$4-1)*5+1))</f>
        <v/>
      </c>
      <c r="BM51" s="22">
        <f>BL51*(1+INDEX($Q51:$AJ51,1,(BM$4-1)*5+1))</f>
        <v/>
      </c>
      <c r="BN51" s="22">
        <f>BM51*(1+INDEX($Q51:$AJ51,1,(BN$4-1)*5+1))</f>
        <v/>
      </c>
    </row>
    <row r="52">
      <c r="B52" s="5" t="inlineStr">
        <is>
          <t>nga</t>
        </is>
      </c>
      <c r="C52" s="5" t="inlineStr">
        <is>
          <t>foo</t>
        </is>
      </c>
      <c r="D52" s="5" t="inlineStr">
        <is>
          <t>Pre-tax price | Food &amp; forestry | Natural gas</t>
        </is>
      </c>
      <c r="E52" s="5" t="inlineStr">
        <is>
          <t>$/GJ</t>
        </is>
      </c>
      <c r="F52" s="5" t="inlineStr">
        <is>
          <t>Prices_dom (base year), then growth</t>
        </is>
      </c>
      <c r="G52" s="19" t="inlineStr">
        <is>
          <t>mit.sp.nga</t>
        </is>
      </c>
      <c r="H52" s="19" t="inlineStr">
        <is>
          <t>mit.pbt.nga.foo</t>
        </is>
      </c>
      <c r="J52" s="5">
        <f>INDEX(Mapping!$C$5:$C$20,MATCH($C52,Mapping!$A$5:$A$20,0))</f>
        <v/>
      </c>
      <c r="K52" s="5">
        <f>INDEX(Mapping!$D$5:$D$20,MATCH($C52,Mapping!$A$5:$A$20,0))</f>
        <v/>
      </c>
      <c r="L52" s="5">
        <f>INDEX(Mapping!$C$24:$C$31,MATCH($B52,Mapping!$A$24:$A$31,0))</f>
        <v/>
      </c>
      <c r="M52" s="5">
        <f>INDEX(Mapping!$D$24:$D$31,MATCH($B52,Mapping!$A$24:$A$31,0))</f>
        <v/>
      </c>
      <c r="N52" s="5">
        <f>$B52&amp;"."&amp;IF(INDEX(Mapping!$E$24:$E$31,MATCH($B52,Mapping!$A$24:$A$31,0))="sub",INDEX(Mapping!$F$5:$F$20,MATCH($C52,Mapping!$A$5:$A$20,0)),"all")</f>
        <v/>
      </c>
      <c r="O52" s="5">
        <f>INDEX(Mapping!$E$5:$E$20,MATCH($C52,Mapping!$A$5:$A$20,0))</f>
        <v/>
      </c>
      <c r="P52" s="5">
        <f>INDEX(Mapping!$G$24:$G$31,MATCH($B52,Mapping!$A$24:$A$31,0))</f>
        <v/>
      </c>
      <c r="Q52" s="20" t="n">
        <v>0</v>
      </c>
      <c r="R52" s="21" t="n"/>
      <c r="S52" s="21" t="n"/>
      <c r="T52" s="21" t="n"/>
      <c r="U52" s="21" t="n"/>
      <c r="V52" s="22">
        <f>Q52</f>
        <v/>
      </c>
      <c r="W52" s="21" t="n"/>
      <c r="X52" s="21" t="n"/>
      <c r="Y52" s="21" t="n"/>
      <c r="Z52" s="21" t="n"/>
      <c r="AA52" s="22">
        <f>Q52</f>
        <v/>
      </c>
      <c r="AB52" s="21" t="n"/>
      <c r="AC52" s="21" t="n"/>
      <c r="AD52" s="21" t="n"/>
      <c r="AE52" s="21" t="n"/>
      <c r="AF52" s="22">
        <f>Q52</f>
        <v/>
      </c>
      <c r="AG52" s="21" t="n"/>
      <c r="AH52" s="21" t="n"/>
      <c r="AI52" s="21" t="n"/>
      <c r="AJ52" s="21" t="n"/>
      <c r="AL52" s="23">
        <f>INDEX(Prices_dom!$A$6:$CU$2000,MATCH(Settings!$C$4&amp;AL$5,Prices_dom!$A$6:$A$2000,0),MATCH("mit.sp."&amp;$N52,Prices_dom!$A$5:$CU$5,0))/$P52</f>
        <v/>
      </c>
      <c r="AM52" s="22">
        <f>AL52*(1+INDEX($Q52:$AJ52,1,(AM$4-1)*5+1))</f>
        <v/>
      </c>
      <c r="AN52" s="22">
        <f>AM52*(1+INDEX($Q52:$AJ52,1,(AN$4-1)*5+1))</f>
        <v/>
      </c>
      <c r="AO52" s="22">
        <f>AN52*(1+INDEX($Q52:$AJ52,1,(AO$4-1)*5+1))</f>
        <v/>
      </c>
      <c r="AP52" s="22">
        <f>AO52*(1+INDEX($Q52:$AJ52,1,(AP$4-1)*5+1))</f>
        <v/>
      </c>
      <c r="AQ52" s="22">
        <f>AP52*(1+INDEX($Q52:$AJ52,1,(AQ$4-1)*5+1))</f>
        <v/>
      </c>
      <c r="AR52" s="22">
        <f>AQ52*(1+INDEX($Q52:$AJ52,1,(AR$4-1)*5+1))</f>
        <v/>
      </c>
      <c r="AS52" s="22">
        <f>AR52*(1+INDEX($Q52:$AJ52,1,(AS$4-1)*5+1))</f>
        <v/>
      </c>
      <c r="AT52" s="22">
        <f>AS52*(1+INDEX($Q52:$AJ52,1,(AT$4-1)*5+1))</f>
        <v/>
      </c>
      <c r="AU52" s="22">
        <f>AT52*(1+INDEX($Q52:$AJ52,1,(AU$4-1)*5+1))</f>
        <v/>
      </c>
      <c r="AV52" s="22">
        <f>AU52*(1+INDEX($Q52:$AJ52,1,(AV$4-1)*5+1))</f>
        <v/>
      </c>
      <c r="AW52" s="22">
        <f>AV52*(1+INDEX($Q52:$AJ52,1,(AW$4-1)*5+1))</f>
        <v/>
      </c>
      <c r="AX52" s="22">
        <f>AW52*(1+INDEX($Q52:$AJ52,1,(AX$4-1)*5+1))</f>
        <v/>
      </c>
      <c r="AY52" s="22">
        <f>AX52*(1+INDEX($Q52:$AJ52,1,(AY$4-1)*5+1))</f>
        <v/>
      </c>
      <c r="BA52" s="23">
        <f>INDEX(Prices_dom!$A$6:$CU$2000,MATCH(Settings!$C$4&amp;BA$5,Prices_dom!$A$6:$A$2000,0),MATCH("mit.sp."&amp;$N52,Prices_dom!$A$5:$CU$5,0))/$P52</f>
        <v/>
      </c>
      <c r="BB52" s="22">
        <f>BA52*(1+INDEX($Q52:$AJ52,1,(BB$4-1)*5+1))</f>
        <v/>
      </c>
      <c r="BC52" s="22">
        <f>BB52*(1+INDEX($Q52:$AJ52,1,(BC$4-1)*5+1))</f>
        <v/>
      </c>
      <c r="BD52" s="22">
        <f>BC52*(1+INDEX($Q52:$AJ52,1,(BD$4-1)*5+1))</f>
        <v/>
      </c>
      <c r="BE52" s="22">
        <f>BD52*(1+INDEX($Q52:$AJ52,1,(BE$4-1)*5+1))</f>
        <v/>
      </c>
      <c r="BF52" s="22">
        <f>BE52*(1+INDEX($Q52:$AJ52,1,(BF$4-1)*5+1))</f>
        <v/>
      </c>
      <c r="BG52" s="22">
        <f>BF52*(1+INDEX($Q52:$AJ52,1,(BG$4-1)*5+1))</f>
        <v/>
      </c>
      <c r="BH52" s="22">
        <f>BG52*(1+INDEX($Q52:$AJ52,1,(BH$4-1)*5+1))</f>
        <v/>
      </c>
      <c r="BI52" s="22">
        <f>BH52*(1+INDEX($Q52:$AJ52,1,(BI$4-1)*5+1))</f>
        <v/>
      </c>
      <c r="BJ52" s="22">
        <f>BI52*(1+INDEX($Q52:$AJ52,1,(BJ$4-1)*5+1))</f>
        <v/>
      </c>
      <c r="BK52" s="22">
        <f>BJ52*(1+INDEX($Q52:$AJ52,1,(BK$4-1)*5+1))</f>
        <v/>
      </c>
      <c r="BL52" s="22">
        <f>BK52*(1+INDEX($Q52:$AJ52,1,(BL$4-1)*5+1))</f>
        <v/>
      </c>
      <c r="BM52" s="22">
        <f>BL52*(1+INDEX($Q52:$AJ52,1,(BM$4-1)*5+1))</f>
        <v/>
      </c>
      <c r="BN52" s="22">
        <f>BM52*(1+INDEX($Q52:$AJ52,1,(BN$4-1)*5+1))</f>
        <v/>
      </c>
    </row>
    <row r="53">
      <c r="B53" s="5" t="inlineStr">
        <is>
          <t>gso</t>
        </is>
      </c>
      <c r="C53" s="5" t="inlineStr">
        <is>
          <t>foo</t>
        </is>
      </c>
      <c r="D53" s="5" t="inlineStr">
        <is>
          <t>Pre-tax price | Food &amp; forestry | Gasoline</t>
        </is>
      </c>
      <c r="E53" s="5" t="inlineStr">
        <is>
          <t>$/GJ</t>
        </is>
      </c>
      <c r="F53" s="5" t="inlineStr">
        <is>
          <t>Prices_dom (base year), then growth</t>
        </is>
      </c>
      <c r="G53" s="19" t="inlineStr">
        <is>
          <t>mit.sp.gso</t>
        </is>
      </c>
      <c r="H53" s="19" t="inlineStr">
        <is>
          <t>mit.pbt.gso.foo</t>
        </is>
      </c>
      <c r="J53" s="5">
        <f>INDEX(Mapping!$C$5:$C$20,MATCH($C53,Mapping!$A$5:$A$20,0))</f>
        <v/>
      </c>
      <c r="K53" s="5">
        <f>INDEX(Mapping!$D$5:$D$20,MATCH($C53,Mapping!$A$5:$A$20,0))</f>
        <v/>
      </c>
      <c r="L53" s="5">
        <f>INDEX(Mapping!$C$24:$C$31,MATCH($B53,Mapping!$A$24:$A$31,0))</f>
        <v/>
      </c>
      <c r="M53" s="5">
        <f>INDEX(Mapping!$D$24:$D$31,MATCH($B53,Mapping!$A$24:$A$31,0))</f>
        <v/>
      </c>
      <c r="N53" s="5">
        <f>$B53&amp;"."&amp;IF(INDEX(Mapping!$E$24:$E$31,MATCH($B53,Mapping!$A$24:$A$31,0))="sub",INDEX(Mapping!$F$5:$F$20,MATCH($C53,Mapping!$A$5:$A$20,0)),"all")</f>
        <v/>
      </c>
      <c r="O53" s="5">
        <f>INDEX(Mapping!$E$5:$E$20,MATCH($C53,Mapping!$A$5:$A$20,0))</f>
        <v/>
      </c>
      <c r="P53" s="5">
        <f>INDEX(Mapping!$G$24:$G$31,MATCH($B53,Mapping!$A$24:$A$31,0))</f>
        <v/>
      </c>
      <c r="Q53" s="20" t="n">
        <v>0</v>
      </c>
      <c r="R53" s="21" t="n"/>
      <c r="S53" s="21" t="n"/>
      <c r="T53" s="21" t="n"/>
      <c r="U53" s="21" t="n"/>
      <c r="V53" s="22">
        <f>Q53</f>
        <v/>
      </c>
      <c r="W53" s="21" t="n"/>
      <c r="X53" s="21" t="n"/>
      <c r="Y53" s="21" t="n"/>
      <c r="Z53" s="21" t="n"/>
      <c r="AA53" s="22">
        <f>Q53</f>
        <v/>
      </c>
      <c r="AB53" s="21" t="n"/>
      <c r="AC53" s="21" t="n"/>
      <c r="AD53" s="21" t="n"/>
      <c r="AE53" s="21" t="n"/>
      <c r="AF53" s="22">
        <f>Q53</f>
        <v/>
      </c>
      <c r="AG53" s="21" t="n"/>
      <c r="AH53" s="21" t="n"/>
      <c r="AI53" s="21" t="n"/>
      <c r="AJ53" s="21" t="n"/>
      <c r="AL53" s="23">
        <f>INDEX(Prices_dom!$A$6:$CU$2000,MATCH(Settings!$C$4&amp;AL$5,Prices_dom!$A$6:$A$2000,0),MATCH("mit.sp."&amp;$N53,Prices_dom!$A$5:$CU$5,0))/$P53</f>
        <v/>
      </c>
      <c r="AM53" s="22">
        <f>AL53*(1+INDEX($Q53:$AJ53,1,(AM$4-1)*5+1))</f>
        <v/>
      </c>
      <c r="AN53" s="22">
        <f>AM53*(1+INDEX($Q53:$AJ53,1,(AN$4-1)*5+1))</f>
        <v/>
      </c>
      <c r="AO53" s="22">
        <f>AN53*(1+INDEX($Q53:$AJ53,1,(AO$4-1)*5+1))</f>
        <v/>
      </c>
      <c r="AP53" s="22">
        <f>AO53*(1+INDEX($Q53:$AJ53,1,(AP$4-1)*5+1))</f>
        <v/>
      </c>
      <c r="AQ53" s="22">
        <f>AP53*(1+INDEX($Q53:$AJ53,1,(AQ$4-1)*5+1))</f>
        <v/>
      </c>
      <c r="AR53" s="22">
        <f>AQ53*(1+INDEX($Q53:$AJ53,1,(AR$4-1)*5+1))</f>
        <v/>
      </c>
      <c r="AS53" s="22">
        <f>AR53*(1+INDEX($Q53:$AJ53,1,(AS$4-1)*5+1))</f>
        <v/>
      </c>
      <c r="AT53" s="22">
        <f>AS53*(1+INDEX($Q53:$AJ53,1,(AT$4-1)*5+1))</f>
        <v/>
      </c>
      <c r="AU53" s="22">
        <f>AT53*(1+INDEX($Q53:$AJ53,1,(AU$4-1)*5+1))</f>
        <v/>
      </c>
      <c r="AV53" s="22">
        <f>AU53*(1+INDEX($Q53:$AJ53,1,(AV$4-1)*5+1))</f>
        <v/>
      </c>
      <c r="AW53" s="22">
        <f>AV53*(1+INDEX($Q53:$AJ53,1,(AW$4-1)*5+1))</f>
        <v/>
      </c>
      <c r="AX53" s="22">
        <f>AW53*(1+INDEX($Q53:$AJ53,1,(AX$4-1)*5+1))</f>
        <v/>
      </c>
      <c r="AY53" s="22">
        <f>AX53*(1+INDEX($Q53:$AJ53,1,(AY$4-1)*5+1))</f>
        <v/>
      </c>
      <c r="BA53" s="23">
        <f>INDEX(Prices_dom!$A$6:$CU$2000,MATCH(Settings!$C$4&amp;BA$5,Prices_dom!$A$6:$A$2000,0),MATCH("mit.sp."&amp;$N53,Prices_dom!$A$5:$CU$5,0))/$P53</f>
        <v/>
      </c>
      <c r="BB53" s="22">
        <f>BA53*(1+INDEX($Q53:$AJ53,1,(BB$4-1)*5+1))</f>
        <v/>
      </c>
      <c r="BC53" s="22">
        <f>BB53*(1+INDEX($Q53:$AJ53,1,(BC$4-1)*5+1))</f>
        <v/>
      </c>
      <c r="BD53" s="22">
        <f>BC53*(1+INDEX($Q53:$AJ53,1,(BD$4-1)*5+1))</f>
        <v/>
      </c>
      <c r="BE53" s="22">
        <f>BD53*(1+INDEX($Q53:$AJ53,1,(BE$4-1)*5+1))</f>
        <v/>
      </c>
      <c r="BF53" s="22">
        <f>BE53*(1+INDEX($Q53:$AJ53,1,(BF$4-1)*5+1))</f>
        <v/>
      </c>
      <c r="BG53" s="22">
        <f>BF53*(1+INDEX($Q53:$AJ53,1,(BG$4-1)*5+1))</f>
        <v/>
      </c>
      <c r="BH53" s="22">
        <f>BG53*(1+INDEX($Q53:$AJ53,1,(BH$4-1)*5+1))</f>
        <v/>
      </c>
      <c r="BI53" s="22">
        <f>BH53*(1+INDEX($Q53:$AJ53,1,(BI$4-1)*5+1))</f>
        <v/>
      </c>
      <c r="BJ53" s="22">
        <f>BI53*(1+INDEX($Q53:$AJ53,1,(BJ$4-1)*5+1))</f>
        <v/>
      </c>
      <c r="BK53" s="22">
        <f>BJ53*(1+INDEX($Q53:$AJ53,1,(BK$4-1)*5+1))</f>
        <v/>
      </c>
      <c r="BL53" s="22">
        <f>BK53*(1+INDEX($Q53:$AJ53,1,(BL$4-1)*5+1))</f>
        <v/>
      </c>
      <c r="BM53" s="22">
        <f>BL53*(1+INDEX($Q53:$AJ53,1,(BM$4-1)*5+1))</f>
        <v/>
      </c>
      <c r="BN53" s="22">
        <f>BM53*(1+INDEX($Q53:$AJ53,1,(BN$4-1)*5+1))</f>
        <v/>
      </c>
    </row>
    <row r="54">
      <c r="B54" s="5" t="inlineStr">
        <is>
          <t>die</t>
        </is>
      </c>
      <c r="C54" s="5" t="inlineStr">
        <is>
          <t>foo</t>
        </is>
      </c>
      <c r="D54" s="5" t="inlineStr">
        <is>
          <t>Pre-tax price | Food &amp; forestry | Diesel</t>
        </is>
      </c>
      <c r="E54" s="5" t="inlineStr">
        <is>
          <t>$/GJ</t>
        </is>
      </c>
      <c r="F54" s="5" t="inlineStr">
        <is>
          <t>Prices_dom (base year), then growth</t>
        </is>
      </c>
      <c r="G54" s="19" t="inlineStr">
        <is>
          <t>mit.sp.die</t>
        </is>
      </c>
      <c r="H54" s="19" t="inlineStr">
        <is>
          <t>mit.pbt.die.foo</t>
        </is>
      </c>
      <c r="J54" s="5">
        <f>INDEX(Mapping!$C$5:$C$20,MATCH($C54,Mapping!$A$5:$A$20,0))</f>
        <v/>
      </c>
      <c r="K54" s="5">
        <f>INDEX(Mapping!$D$5:$D$20,MATCH($C54,Mapping!$A$5:$A$20,0))</f>
        <v/>
      </c>
      <c r="L54" s="5">
        <f>INDEX(Mapping!$C$24:$C$31,MATCH($B54,Mapping!$A$24:$A$31,0))</f>
        <v/>
      </c>
      <c r="M54" s="5">
        <f>INDEX(Mapping!$D$24:$D$31,MATCH($B54,Mapping!$A$24:$A$31,0))</f>
        <v/>
      </c>
      <c r="N54" s="5">
        <f>$B54&amp;"."&amp;IF(INDEX(Mapping!$E$24:$E$31,MATCH($B54,Mapping!$A$24:$A$31,0))="sub",INDEX(Mapping!$F$5:$F$20,MATCH($C54,Mapping!$A$5:$A$20,0)),"all")</f>
        <v/>
      </c>
      <c r="O54" s="5">
        <f>INDEX(Mapping!$E$5:$E$20,MATCH($C54,Mapping!$A$5:$A$20,0))</f>
        <v/>
      </c>
      <c r="P54" s="5">
        <f>INDEX(Mapping!$G$24:$G$31,MATCH($B54,Mapping!$A$24:$A$31,0))</f>
        <v/>
      </c>
      <c r="Q54" s="20" t="n">
        <v>0</v>
      </c>
      <c r="R54" s="21" t="n"/>
      <c r="S54" s="21" t="n"/>
      <c r="T54" s="21" t="n"/>
      <c r="U54" s="21" t="n"/>
      <c r="V54" s="22">
        <f>Q54</f>
        <v/>
      </c>
      <c r="W54" s="21" t="n"/>
      <c r="X54" s="21" t="n"/>
      <c r="Y54" s="21" t="n"/>
      <c r="Z54" s="21" t="n"/>
      <c r="AA54" s="22">
        <f>Q54</f>
        <v/>
      </c>
      <c r="AB54" s="21" t="n"/>
      <c r="AC54" s="21" t="n"/>
      <c r="AD54" s="21" t="n"/>
      <c r="AE54" s="21" t="n"/>
      <c r="AF54" s="22">
        <f>Q54</f>
        <v/>
      </c>
      <c r="AG54" s="21" t="n"/>
      <c r="AH54" s="21" t="n"/>
      <c r="AI54" s="21" t="n"/>
      <c r="AJ54" s="21" t="n"/>
      <c r="AL54" s="23">
        <f>INDEX(Prices_dom!$A$6:$CU$2000,MATCH(Settings!$C$4&amp;AL$5,Prices_dom!$A$6:$A$2000,0),MATCH("mit.sp."&amp;$N54,Prices_dom!$A$5:$CU$5,0))/$P54</f>
        <v/>
      </c>
      <c r="AM54" s="22">
        <f>AL54*(1+INDEX($Q54:$AJ54,1,(AM$4-1)*5+1))</f>
        <v/>
      </c>
      <c r="AN54" s="22">
        <f>AM54*(1+INDEX($Q54:$AJ54,1,(AN$4-1)*5+1))</f>
        <v/>
      </c>
      <c r="AO54" s="22">
        <f>AN54*(1+INDEX($Q54:$AJ54,1,(AO$4-1)*5+1))</f>
        <v/>
      </c>
      <c r="AP54" s="22">
        <f>AO54*(1+INDEX($Q54:$AJ54,1,(AP$4-1)*5+1))</f>
        <v/>
      </c>
      <c r="AQ54" s="22">
        <f>AP54*(1+INDEX($Q54:$AJ54,1,(AQ$4-1)*5+1))</f>
        <v/>
      </c>
      <c r="AR54" s="22">
        <f>AQ54*(1+INDEX($Q54:$AJ54,1,(AR$4-1)*5+1))</f>
        <v/>
      </c>
      <c r="AS54" s="22">
        <f>AR54*(1+INDEX($Q54:$AJ54,1,(AS$4-1)*5+1))</f>
        <v/>
      </c>
      <c r="AT54" s="22">
        <f>AS54*(1+INDEX($Q54:$AJ54,1,(AT$4-1)*5+1))</f>
        <v/>
      </c>
      <c r="AU54" s="22">
        <f>AT54*(1+INDEX($Q54:$AJ54,1,(AU$4-1)*5+1))</f>
        <v/>
      </c>
      <c r="AV54" s="22">
        <f>AU54*(1+INDEX($Q54:$AJ54,1,(AV$4-1)*5+1))</f>
        <v/>
      </c>
      <c r="AW54" s="22">
        <f>AV54*(1+INDEX($Q54:$AJ54,1,(AW$4-1)*5+1))</f>
        <v/>
      </c>
      <c r="AX54" s="22">
        <f>AW54*(1+INDEX($Q54:$AJ54,1,(AX$4-1)*5+1))</f>
        <v/>
      </c>
      <c r="AY54" s="22">
        <f>AX54*(1+INDEX($Q54:$AJ54,1,(AY$4-1)*5+1))</f>
        <v/>
      </c>
      <c r="BA54" s="23">
        <f>INDEX(Prices_dom!$A$6:$CU$2000,MATCH(Settings!$C$4&amp;BA$5,Prices_dom!$A$6:$A$2000,0),MATCH("mit.sp."&amp;$N54,Prices_dom!$A$5:$CU$5,0))/$P54</f>
        <v/>
      </c>
      <c r="BB54" s="22">
        <f>BA54*(1+INDEX($Q54:$AJ54,1,(BB$4-1)*5+1))</f>
        <v/>
      </c>
      <c r="BC54" s="22">
        <f>BB54*(1+INDEX($Q54:$AJ54,1,(BC$4-1)*5+1))</f>
        <v/>
      </c>
      <c r="BD54" s="22">
        <f>BC54*(1+INDEX($Q54:$AJ54,1,(BD$4-1)*5+1))</f>
        <v/>
      </c>
      <c r="BE54" s="22">
        <f>BD54*(1+INDEX($Q54:$AJ54,1,(BE$4-1)*5+1))</f>
        <v/>
      </c>
      <c r="BF54" s="22">
        <f>BE54*(1+INDEX($Q54:$AJ54,1,(BF$4-1)*5+1))</f>
        <v/>
      </c>
      <c r="BG54" s="22">
        <f>BF54*(1+INDEX($Q54:$AJ54,1,(BG$4-1)*5+1))</f>
        <v/>
      </c>
      <c r="BH54" s="22">
        <f>BG54*(1+INDEX($Q54:$AJ54,1,(BH$4-1)*5+1))</f>
        <v/>
      </c>
      <c r="BI54" s="22">
        <f>BH54*(1+INDEX($Q54:$AJ54,1,(BI$4-1)*5+1))</f>
        <v/>
      </c>
      <c r="BJ54" s="22">
        <f>BI54*(1+INDEX($Q54:$AJ54,1,(BJ$4-1)*5+1))</f>
        <v/>
      </c>
      <c r="BK54" s="22">
        <f>BJ54*(1+INDEX($Q54:$AJ54,1,(BK$4-1)*5+1))</f>
        <v/>
      </c>
      <c r="BL54" s="22">
        <f>BK54*(1+INDEX($Q54:$AJ54,1,(BL$4-1)*5+1))</f>
        <v/>
      </c>
      <c r="BM54" s="22">
        <f>BL54*(1+INDEX($Q54:$AJ54,1,(BM$4-1)*5+1))</f>
        <v/>
      </c>
      <c r="BN54" s="22">
        <f>BM54*(1+INDEX($Q54:$AJ54,1,(BN$4-1)*5+1))</f>
        <v/>
      </c>
    </row>
    <row r="55">
      <c r="B55" s="5" t="inlineStr">
        <is>
          <t>lpg</t>
        </is>
      </c>
      <c r="C55" s="5" t="inlineStr">
        <is>
          <t>foo</t>
        </is>
      </c>
      <c r="D55" s="5" t="inlineStr">
        <is>
          <t>Pre-tax price | Food &amp; forestry | LPG</t>
        </is>
      </c>
      <c r="E55" s="5" t="inlineStr">
        <is>
          <t>$/GJ</t>
        </is>
      </c>
      <c r="F55" s="5" t="inlineStr">
        <is>
          <t>Prices_dom (base year), then growth</t>
        </is>
      </c>
      <c r="G55" s="19" t="inlineStr">
        <is>
          <t>mit.sp.lpg</t>
        </is>
      </c>
      <c r="H55" s="19" t="inlineStr">
        <is>
          <t>mit.pbt.lpg.foo</t>
        </is>
      </c>
      <c r="J55" s="5">
        <f>INDEX(Mapping!$C$5:$C$20,MATCH($C55,Mapping!$A$5:$A$20,0))</f>
        <v/>
      </c>
      <c r="K55" s="5">
        <f>INDEX(Mapping!$D$5:$D$20,MATCH($C55,Mapping!$A$5:$A$20,0))</f>
        <v/>
      </c>
      <c r="L55" s="5">
        <f>INDEX(Mapping!$C$24:$C$31,MATCH($B55,Mapping!$A$24:$A$31,0))</f>
        <v/>
      </c>
      <c r="M55" s="5">
        <f>INDEX(Mapping!$D$24:$D$31,MATCH($B55,Mapping!$A$24:$A$31,0))</f>
        <v/>
      </c>
      <c r="N55" s="5">
        <f>$B55&amp;"."&amp;IF(INDEX(Mapping!$E$24:$E$31,MATCH($B55,Mapping!$A$24:$A$31,0))="sub",INDEX(Mapping!$F$5:$F$20,MATCH($C55,Mapping!$A$5:$A$20,0)),"all")</f>
        <v/>
      </c>
      <c r="O55" s="5">
        <f>INDEX(Mapping!$E$5:$E$20,MATCH($C55,Mapping!$A$5:$A$20,0))</f>
        <v/>
      </c>
      <c r="P55" s="5">
        <f>INDEX(Mapping!$G$24:$G$31,MATCH($B55,Mapping!$A$24:$A$31,0))</f>
        <v/>
      </c>
      <c r="Q55" s="20" t="n">
        <v>0</v>
      </c>
      <c r="R55" s="21" t="n"/>
      <c r="S55" s="21" t="n"/>
      <c r="T55" s="21" t="n"/>
      <c r="U55" s="21" t="n"/>
      <c r="V55" s="22">
        <f>Q55</f>
        <v/>
      </c>
      <c r="W55" s="21" t="n"/>
      <c r="X55" s="21" t="n"/>
      <c r="Y55" s="21" t="n"/>
      <c r="Z55" s="21" t="n"/>
      <c r="AA55" s="22">
        <f>Q55</f>
        <v/>
      </c>
      <c r="AB55" s="21" t="n"/>
      <c r="AC55" s="21" t="n"/>
      <c r="AD55" s="21" t="n"/>
      <c r="AE55" s="21" t="n"/>
      <c r="AF55" s="22">
        <f>Q55</f>
        <v/>
      </c>
      <c r="AG55" s="21" t="n"/>
      <c r="AH55" s="21" t="n"/>
      <c r="AI55" s="21" t="n"/>
      <c r="AJ55" s="21" t="n"/>
      <c r="AL55" s="23">
        <f>INDEX(Prices_dom!$A$6:$CU$2000,MATCH(Settings!$C$4&amp;AL$5,Prices_dom!$A$6:$A$2000,0),MATCH("mit.sp."&amp;$N55,Prices_dom!$A$5:$CU$5,0))/$P55</f>
        <v/>
      </c>
      <c r="AM55" s="22">
        <f>AL55*(1+INDEX($Q55:$AJ55,1,(AM$4-1)*5+1))</f>
        <v/>
      </c>
      <c r="AN55" s="22">
        <f>AM55*(1+INDEX($Q55:$AJ55,1,(AN$4-1)*5+1))</f>
        <v/>
      </c>
      <c r="AO55" s="22">
        <f>AN55*(1+INDEX($Q55:$AJ55,1,(AO$4-1)*5+1))</f>
        <v/>
      </c>
      <c r="AP55" s="22">
        <f>AO55*(1+INDEX($Q55:$AJ55,1,(AP$4-1)*5+1))</f>
        <v/>
      </c>
      <c r="AQ55" s="22">
        <f>AP55*(1+INDEX($Q55:$AJ55,1,(AQ$4-1)*5+1))</f>
        <v/>
      </c>
      <c r="AR55" s="22">
        <f>AQ55*(1+INDEX($Q55:$AJ55,1,(AR$4-1)*5+1))</f>
        <v/>
      </c>
      <c r="AS55" s="22">
        <f>AR55*(1+INDEX($Q55:$AJ55,1,(AS$4-1)*5+1))</f>
        <v/>
      </c>
      <c r="AT55" s="22">
        <f>AS55*(1+INDEX($Q55:$AJ55,1,(AT$4-1)*5+1))</f>
        <v/>
      </c>
      <c r="AU55" s="22">
        <f>AT55*(1+INDEX($Q55:$AJ55,1,(AU$4-1)*5+1))</f>
        <v/>
      </c>
      <c r="AV55" s="22">
        <f>AU55*(1+INDEX($Q55:$AJ55,1,(AV$4-1)*5+1))</f>
        <v/>
      </c>
      <c r="AW55" s="22">
        <f>AV55*(1+INDEX($Q55:$AJ55,1,(AW$4-1)*5+1))</f>
        <v/>
      </c>
      <c r="AX55" s="22">
        <f>AW55*(1+INDEX($Q55:$AJ55,1,(AX$4-1)*5+1))</f>
        <v/>
      </c>
      <c r="AY55" s="22">
        <f>AX55*(1+INDEX($Q55:$AJ55,1,(AY$4-1)*5+1))</f>
        <v/>
      </c>
      <c r="BA55" s="23">
        <f>INDEX(Prices_dom!$A$6:$CU$2000,MATCH(Settings!$C$4&amp;BA$5,Prices_dom!$A$6:$A$2000,0),MATCH("mit.sp."&amp;$N55,Prices_dom!$A$5:$CU$5,0))/$P55</f>
        <v/>
      </c>
      <c r="BB55" s="22">
        <f>BA55*(1+INDEX($Q55:$AJ55,1,(BB$4-1)*5+1))</f>
        <v/>
      </c>
      <c r="BC55" s="22">
        <f>BB55*(1+INDEX($Q55:$AJ55,1,(BC$4-1)*5+1))</f>
        <v/>
      </c>
      <c r="BD55" s="22">
        <f>BC55*(1+INDEX($Q55:$AJ55,1,(BD$4-1)*5+1))</f>
        <v/>
      </c>
      <c r="BE55" s="22">
        <f>BD55*(1+INDEX($Q55:$AJ55,1,(BE$4-1)*5+1))</f>
        <v/>
      </c>
      <c r="BF55" s="22">
        <f>BE55*(1+INDEX($Q55:$AJ55,1,(BF$4-1)*5+1))</f>
        <v/>
      </c>
      <c r="BG55" s="22">
        <f>BF55*(1+INDEX($Q55:$AJ55,1,(BG$4-1)*5+1))</f>
        <v/>
      </c>
      <c r="BH55" s="22">
        <f>BG55*(1+INDEX($Q55:$AJ55,1,(BH$4-1)*5+1))</f>
        <v/>
      </c>
      <c r="BI55" s="22">
        <f>BH55*(1+INDEX($Q55:$AJ55,1,(BI$4-1)*5+1))</f>
        <v/>
      </c>
      <c r="BJ55" s="22">
        <f>BI55*(1+INDEX($Q55:$AJ55,1,(BJ$4-1)*5+1))</f>
        <v/>
      </c>
      <c r="BK55" s="22">
        <f>BJ55*(1+INDEX($Q55:$AJ55,1,(BK$4-1)*5+1))</f>
        <v/>
      </c>
      <c r="BL55" s="22">
        <f>BK55*(1+INDEX($Q55:$AJ55,1,(BL$4-1)*5+1))</f>
        <v/>
      </c>
      <c r="BM55" s="22">
        <f>BL55*(1+INDEX($Q55:$AJ55,1,(BM$4-1)*5+1))</f>
        <v/>
      </c>
      <c r="BN55" s="22">
        <f>BM55*(1+INDEX($Q55:$AJ55,1,(BN$4-1)*5+1))</f>
        <v/>
      </c>
    </row>
    <row r="56">
      <c r="B56" s="5" t="inlineStr">
        <is>
          <t>ker</t>
        </is>
      </c>
      <c r="C56" s="5" t="inlineStr">
        <is>
          <t>foo</t>
        </is>
      </c>
      <c r="D56" s="5" t="inlineStr">
        <is>
          <t>Pre-tax price | Food &amp; forestry | Kerosene</t>
        </is>
      </c>
      <c r="E56" s="5" t="inlineStr">
        <is>
          <t>$/GJ</t>
        </is>
      </c>
      <c r="F56" s="5" t="inlineStr">
        <is>
          <t>Prices_dom (base year), then growth</t>
        </is>
      </c>
      <c r="G56" s="19" t="inlineStr">
        <is>
          <t>mit.sp.ker</t>
        </is>
      </c>
      <c r="H56" s="19" t="inlineStr">
        <is>
          <t>mit.pbt.ker.foo</t>
        </is>
      </c>
      <c r="J56" s="5">
        <f>INDEX(Mapping!$C$5:$C$20,MATCH($C56,Mapping!$A$5:$A$20,0))</f>
        <v/>
      </c>
      <c r="K56" s="5">
        <f>INDEX(Mapping!$D$5:$D$20,MATCH($C56,Mapping!$A$5:$A$20,0))</f>
        <v/>
      </c>
      <c r="L56" s="5">
        <f>INDEX(Mapping!$C$24:$C$31,MATCH($B56,Mapping!$A$24:$A$31,0))</f>
        <v/>
      </c>
      <c r="M56" s="5">
        <f>INDEX(Mapping!$D$24:$D$31,MATCH($B56,Mapping!$A$24:$A$31,0))</f>
        <v/>
      </c>
      <c r="N56" s="5">
        <f>$B56&amp;"."&amp;IF(INDEX(Mapping!$E$24:$E$31,MATCH($B56,Mapping!$A$24:$A$31,0))="sub",INDEX(Mapping!$F$5:$F$20,MATCH($C56,Mapping!$A$5:$A$20,0)),"all")</f>
        <v/>
      </c>
      <c r="O56" s="5">
        <f>INDEX(Mapping!$E$5:$E$20,MATCH($C56,Mapping!$A$5:$A$20,0))</f>
        <v/>
      </c>
      <c r="P56" s="5">
        <f>INDEX(Mapping!$G$24:$G$31,MATCH($B56,Mapping!$A$24:$A$31,0))</f>
        <v/>
      </c>
      <c r="Q56" s="20" t="n">
        <v>0</v>
      </c>
      <c r="R56" s="21" t="n"/>
      <c r="S56" s="21" t="n"/>
      <c r="T56" s="21" t="n"/>
      <c r="U56" s="21" t="n"/>
      <c r="V56" s="22">
        <f>Q56</f>
        <v/>
      </c>
      <c r="W56" s="21" t="n"/>
      <c r="X56" s="21" t="n"/>
      <c r="Y56" s="21" t="n"/>
      <c r="Z56" s="21" t="n"/>
      <c r="AA56" s="22">
        <f>Q56</f>
        <v/>
      </c>
      <c r="AB56" s="21" t="n"/>
      <c r="AC56" s="21" t="n"/>
      <c r="AD56" s="21" t="n"/>
      <c r="AE56" s="21" t="n"/>
      <c r="AF56" s="22">
        <f>Q56</f>
        <v/>
      </c>
      <c r="AG56" s="21" t="n"/>
      <c r="AH56" s="21" t="n"/>
      <c r="AI56" s="21" t="n"/>
      <c r="AJ56" s="21" t="n"/>
      <c r="AL56" s="23">
        <f>INDEX(Prices_dom!$A$6:$CU$2000,MATCH(Settings!$C$4&amp;AL$5,Prices_dom!$A$6:$A$2000,0),MATCH("mit.sp."&amp;$N56,Prices_dom!$A$5:$CU$5,0))/$P56</f>
        <v/>
      </c>
      <c r="AM56" s="22">
        <f>AL56*(1+INDEX($Q56:$AJ56,1,(AM$4-1)*5+1))</f>
        <v/>
      </c>
      <c r="AN56" s="22">
        <f>AM56*(1+INDEX($Q56:$AJ56,1,(AN$4-1)*5+1))</f>
        <v/>
      </c>
      <c r="AO56" s="22">
        <f>AN56*(1+INDEX($Q56:$AJ56,1,(AO$4-1)*5+1))</f>
        <v/>
      </c>
      <c r="AP56" s="22">
        <f>AO56*(1+INDEX($Q56:$AJ56,1,(AP$4-1)*5+1))</f>
        <v/>
      </c>
      <c r="AQ56" s="22">
        <f>AP56*(1+INDEX($Q56:$AJ56,1,(AQ$4-1)*5+1))</f>
        <v/>
      </c>
      <c r="AR56" s="22">
        <f>AQ56*(1+INDEX($Q56:$AJ56,1,(AR$4-1)*5+1))</f>
        <v/>
      </c>
      <c r="AS56" s="22">
        <f>AR56*(1+INDEX($Q56:$AJ56,1,(AS$4-1)*5+1))</f>
        <v/>
      </c>
      <c r="AT56" s="22">
        <f>AS56*(1+INDEX($Q56:$AJ56,1,(AT$4-1)*5+1))</f>
        <v/>
      </c>
      <c r="AU56" s="22">
        <f>AT56*(1+INDEX($Q56:$AJ56,1,(AU$4-1)*5+1))</f>
        <v/>
      </c>
      <c r="AV56" s="22">
        <f>AU56*(1+INDEX($Q56:$AJ56,1,(AV$4-1)*5+1))</f>
        <v/>
      </c>
      <c r="AW56" s="22">
        <f>AV56*(1+INDEX($Q56:$AJ56,1,(AW$4-1)*5+1))</f>
        <v/>
      </c>
      <c r="AX56" s="22">
        <f>AW56*(1+INDEX($Q56:$AJ56,1,(AX$4-1)*5+1))</f>
        <v/>
      </c>
      <c r="AY56" s="22">
        <f>AX56*(1+INDEX($Q56:$AJ56,1,(AY$4-1)*5+1))</f>
        <v/>
      </c>
      <c r="BA56" s="23">
        <f>INDEX(Prices_dom!$A$6:$CU$2000,MATCH(Settings!$C$4&amp;BA$5,Prices_dom!$A$6:$A$2000,0),MATCH("mit.sp."&amp;$N56,Prices_dom!$A$5:$CU$5,0))/$P56</f>
        <v/>
      </c>
      <c r="BB56" s="22">
        <f>BA56*(1+INDEX($Q56:$AJ56,1,(BB$4-1)*5+1))</f>
        <v/>
      </c>
      <c r="BC56" s="22">
        <f>BB56*(1+INDEX($Q56:$AJ56,1,(BC$4-1)*5+1))</f>
        <v/>
      </c>
      <c r="BD56" s="22">
        <f>BC56*(1+INDEX($Q56:$AJ56,1,(BD$4-1)*5+1))</f>
        <v/>
      </c>
      <c r="BE56" s="22">
        <f>BD56*(1+INDEX($Q56:$AJ56,1,(BE$4-1)*5+1))</f>
        <v/>
      </c>
      <c r="BF56" s="22">
        <f>BE56*(1+INDEX($Q56:$AJ56,1,(BF$4-1)*5+1))</f>
        <v/>
      </c>
      <c r="BG56" s="22">
        <f>BF56*(1+INDEX($Q56:$AJ56,1,(BG$4-1)*5+1))</f>
        <v/>
      </c>
      <c r="BH56" s="22">
        <f>BG56*(1+INDEX($Q56:$AJ56,1,(BH$4-1)*5+1))</f>
        <v/>
      </c>
      <c r="BI56" s="22">
        <f>BH56*(1+INDEX($Q56:$AJ56,1,(BI$4-1)*5+1))</f>
        <v/>
      </c>
      <c r="BJ56" s="22">
        <f>BI56*(1+INDEX($Q56:$AJ56,1,(BJ$4-1)*5+1))</f>
        <v/>
      </c>
      <c r="BK56" s="22">
        <f>BJ56*(1+INDEX($Q56:$AJ56,1,(BK$4-1)*5+1))</f>
        <v/>
      </c>
      <c r="BL56" s="22">
        <f>BK56*(1+INDEX($Q56:$AJ56,1,(BL$4-1)*5+1))</f>
        <v/>
      </c>
      <c r="BM56" s="22">
        <f>BL56*(1+INDEX($Q56:$AJ56,1,(BM$4-1)*5+1))</f>
        <v/>
      </c>
      <c r="BN56" s="22">
        <f>BM56*(1+INDEX($Q56:$AJ56,1,(BN$4-1)*5+1))</f>
        <v/>
      </c>
    </row>
    <row r="57">
      <c r="B57" s="5" t="inlineStr">
        <is>
          <t>oop</t>
        </is>
      </c>
      <c r="C57" s="5" t="inlineStr">
        <is>
          <t>foo</t>
        </is>
      </c>
      <c r="D57" s="5" t="inlineStr">
        <is>
          <t>Pre-tax price | Food &amp; forestry | Other oil products</t>
        </is>
      </c>
      <c r="E57" s="5" t="inlineStr">
        <is>
          <t>$/GJ</t>
        </is>
      </c>
      <c r="F57" s="5" t="inlineStr">
        <is>
          <t>Prices_dom (base year), then growth</t>
        </is>
      </c>
      <c r="G57" s="19" t="inlineStr">
        <is>
          <t>mit.sp.oop</t>
        </is>
      </c>
      <c r="H57" s="19" t="inlineStr">
        <is>
          <t>mit.pbt.oop.foo</t>
        </is>
      </c>
      <c r="J57" s="5">
        <f>INDEX(Mapping!$C$5:$C$20,MATCH($C57,Mapping!$A$5:$A$20,0))</f>
        <v/>
      </c>
      <c r="K57" s="5">
        <f>INDEX(Mapping!$D$5:$D$20,MATCH($C57,Mapping!$A$5:$A$20,0))</f>
        <v/>
      </c>
      <c r="L57" s="5">
        <f>INDEX(Mapping!$C$24:$C$31,MATCH($B57,Mapping!$A$24:$A$31,0))</f>
        <v/>
      </c>
      <c r="M57" s="5">
        <f>INDEX(Mapping!$D$24:$D$31,MATCH($B57,Mapping!$A$24:$A$31,0))</f>
        <v/>
      </c>
      <c r="N57" s="5">
        <f>$B57&amp;"."&amp;IF(INDEX(Mapping!$E$24:$E$31,MATCH($B57,Mapping!$A$24:$A$31,0))="sub",INDEX(Mapping!$F$5:$F$20,MATCH($C57,Mapping!$A$5:$A$20,0)),"all")</f>
        <v/>
      </c>
      <c r="O57" s="5">
        <f>INDEX(Mapping!$E$5:$E$20,MATCH($C57,Mapping!$A$5:$A$20,0))</f>
        <v/>
      </c>
      <c r="P57" s="5">
        <f>INDEX(Mapping!$G$24:$G$31,MATCH($B57,Mapping!$A$24:$A$31,0))</f>
        <v/>
      </c>
      <c r="Q57" s="20" t="n">
        <v>0</v>
      </c>
      <c r="R57" s="21" t="n"/>
      <c r="S57" s="21" t="n"/>
      <c r="T57" s="21" t="n"/>
      <c r="U57" s="21" t="n"/>
      <c r="V57" s="22">
        <f>Q57</f>
        <v/>
      </c>
      <c r="W57" s="21" t="n"/>
      <c r="X57" s="21" t="n"/>
      <c r="Y57" s="21" t="n"/>
      <c r="Z57" s="21" t="n"/>
      <c r="AA57" s="22">
        <f>Q57</f>
        <v/>
      </c>
      <c r="AB57" s="21" t="n"/>
      <c r="AC57" s="21" t="n"/>
      <c r="AD57" s="21" t="n"/>
      <c r="AE57" s="21" t="n"/>
      <c r="AF57" s="22">
        <f>Q57</f>
        <v/>
      </c>
      <c r="AG57" s="21" t="n"/>
      <c r="AH57" s="21" t="n"/>
      <c r="AI57" s="21" t="n"/>
      <c r="AJ57" s="21" t="n"/>
      <c r="AL57" s="23">
        <f>INDEX(Prices_dom!$A$6:$CU$2000,MATCH(Settings!$C$4&amp;AL$5,Prices_dom!$A$6:$A$2000,0),MATCH("mit.sp."&amp;$N57,Prices_dom!$A$5:$CU$5,0))/$P57</f>
        <v/>
      </c>
      <c r="AM57" s="22">
        <f>AL57*(1+INDEX($Q57:$AJ57,1,(AM$4-1)*5+1))</f>
        <v/>
      </c>
      <c r="AN57" s="22">
        <f>AM57*(1+INDEX($Q57:$AJ57,1,(AN$4-1)*5+1))</f>
        <v/>
      </c>
      <c r="AO57" s="22">
        <f>AN57*(1+INDEX($Q57:$AJ57,1,(AO$4-1)*5+1))</f>
        <v/>
      </c>
      <c r="AP57" s="22">
        <f>AO57*(1+INDEX($Q57:$AJ57,1,(AP$4-1)*5+1))</f>
        <v/>
      </c>
      <c r="AQ57" s="22">
        <f>AP57*(1+INDEX($Q57:$AJ57,1,(AQ$4-1)*5+1))</f>
        <v/>
      </c>
      <c r="AR57" s="22">
        <f>AQ57*(1+INDEX($Q57:$AJ57,1,(AR$4-1)*5+1))</f>
        <v/>
      </c>
      <c r="AS57" s="22">
        <f>AR57*(1+INDEX($Q57:$AJ57,1,(AS$4-1)*5+1))</f>
        <v/>
      </c>
      <c r="AT57" s="22">
        <f>AS57*(1+INDEX($Q57:$AJ57,1,(AT$4-1)*5+1))</f>
        <v/>
      </c>
      <c r="AU57" s="22">
        <f>AT57*(1+INDEX($Q57:$AJ57,1,(AU$4-1)*5+1))</f>
        <v/>
      </c>
      <c r="AV57" s="22">
        <f>AU57*(1+INDEX($Q57:$AJ57,1,(AV$4-1)*5+1))</f>
        <v/>
      </c>
      <c r="AW57" s="22">
        <f>AV57*(1+INDEX($Q57:$AJ57,1,(AW$4-1)*5+1))</f>
        <v/>
      </c>
      <c r="AX57" s="22">
        <f>AW57*(1+INDEX($Q57:$AJ57,1,(AX$4-1)*5+1))</f>
        <v/>
      </c>
      <c r="AY57" s="22">
        <f>AX57*(1+INDEX($Q57:$AJ57,1,(AY$4-1)*5+1))</f>
        <v/>
      </c>
      <c r="BA57" s="23">
        <f>INDEX(Prices_dom!$A$6:$CU$2000,MATCH(Settings!$C$4&amp;BA$5,Prices_dom!$A$6:$A$2000,0),MATCH("mit.sp."&amp;$N57,Prices_dom!$A$5:$CU$5,0))/$P57</f>
        <v/>
      </c>
      <c r="BB57" s="22">
        <f>BA57*(1+INDEX($Q57:$AJ57,1,(BB$4-1)*5+1))</f>
        <v/>
      </c>
      <c r="BC57" s="22">
        <f>BB57*(1+INDEX($Q57:$AJ57,1,(BC$4-1)*5+1))</f>
        <v/>
      </c>
      <c r="BD57" s="22">
        <f>BC57*(1+INDEX($Q57:$AJ57,1,(BD$4-1)*5+1))</f>
        <v/>
      </c>
      <c r="BE57" s="22">
        <f>BD57*(1+INDEX($Q57:$AJ57,1,(BE$4-1)*5+1))</f>
        <v/>
      </c>
      <c r="BF57" s="22">
        <f>BE57*(1+INDEX($Q57:$AJ57,1,(BF$4-1)*5+1))</f>
        <v/>
      </c>
      <c r="BG57" s="22">
        <f>BF57*(1+INDEX($Q57:$AJ57,1,(BG$4-1)*5+1))</f>
        <v/>
      </c>
      <c r="BH57" s="22">
        <f>BG57*(1+INDEX($Q57:$AJ57,1,(BH$4-1)*5+1))</f>
        <v/>
      </c>
      <c r="BI57" s="22">
        <f>BH57*(1+INDEX($Q57:$AJ57,1,(BI$4-1)*5+1))</f>
        <v/>
      </c>
      <c r="BJ57" s="22">
        <f>BI57*(1+INDEX($Q57:$AJ57,1,(BJ$4-1)*5+1))</f>
        <v/>
      </c>
      <c r="BK57" s="22">
        <f>BJ57*(1+INDEX($Q57:$AJ57,1,(BK$4-1)*5+1))</f>
        <v/>
      </c>
      <c r="BL57" s="22">
        <f>BK57*(1+INDEX($Q57:$AJ57,1,(BL$4-1)*5+1))</f>
        <v/>
      </c>
      <c r="BM57" s="22">
        <f>BL57*(1+INDEX($Q57:$AJ57,1,(BM$4-1)*5+1))</f>
        <v/>
      </c>
      <c r="BN57" s="22">
        <f>BM57*(1+INDEX($Q57:$AJ57,1,(BN$4-1)*5+1))</f>
        <v/>
      </c>
    </row>
    <row r="58">
      <c r="B58" s="5" t="inlineStr">
        <is>
          <t>bio</t>
        </is>
      </c>
      <c r="C58" s="5" t="inlineStr">
        <is>
          <t>foo</t>
        </is>
      </c>
      <c r="D58" s="5" t="inlineStr">
        <is>
          <t>Pre-tax price | Food &amp; forestry | Biomass</t>
        </is>
      </c>
      <c r="E58" s="5" t="inlineStr">
        <is>
          <t>$/GJ</t>
        </is>
      </c>
      <c r="F58" s="5" t="inlineStr">
        <is>
          <t>Prices_dom (base year), then growth</t>
        </is>
      </c>
      <c r="G58" s="19" t="inlineStr">
        <is>
          <t>mit.sp.bio</t>
        </is>
      </c>
      <c r="H58" s="19" t="inlineStr">
        <is>
          <t>mit.pbt.bio.foo</t>
        </is>
      </c>
      <c r="J58" s="5">
        <f>INDEX(Mapping!$C$5:$C$20,MATCH($C58,Mapping!$A$5:$A$20,0))</f>
        <v/>
      </c>
      <c r="K58" s="5">
        <f>INDEX(Mapping!$D$5:$D$20,MATCH($C58,Mapping!$A$5:$A$20,0))</f>
        <v/>
      </c>
      <c r="L58" s="5">
        <f>INDEX(Mapping!$C$24:$C$31,MATCH($B58,Mapping!$A$24:$A$31,0))</f>
        <v/>
      </c>
      <c r="M58" s="5">
        <f>INDEX(Mapping!$D$24:$D$31,MATCH($B58,Mapping!$A$24:$A$31,0))</f>
        <v/>
      </c>
      <c r="N58" s="5">
        <f>$B58&amp;"."&amp;IF(INDEX(Mapping!$E$24:$E$31,MATCH($B58,Mapping!$A$24:$A$31,0))="sub",INDEX(Mapping!$F$5:$F$20,MATCH($C58,Mapping!$A$5:$A$20,0)),"all")</f>
        <v/>
      </c>
      <c r="O58" s="5">
        <f>INDEX(Mapping!$E$5:$E$20,MATCH($C58,Mapping!$A$5:$A$20,0))</f>
        <v/>
      </c>
      <c r="P58" s="5">
        <f>INDEX(Mapping!$G$24:$G$31,MATCH($B58,Mapping!$A$24:$A$31,0))</f>
        <v/>
      </c>
      <c r="Q58" s="20" t="n">
        <v>0</v>
      </c>
      <c r="R58" s="21" t="n"/>
      <c r="S58" s="21" t="n"/>
      <c r="T58" s="21" t="n"/>
      <c r="U58" s="21" t="n"/>
      <c r="V58" s="22">
        <f>Q58</f>
        <v/>
      </c>
      <c r="W58" s="21" t="n"/>
      <c r="X58" s="21" t="n"/>
      <c r="Y58" s="21" t="n"/>
      <c r="Z58" s="21" t="n"/>
      <c r="AA58" s="22">
        <f>Q58</f>
        <v/>
      </c>
      <c r="AB58" s="21" t="n"/>
      <c r="AC58" s="21" t="n"/>
      <c r="AD58" s="21" t="n"/>
      <c r="AE58" s="21" t="n"/>
      <c r="AF58" s="22">
        <f>Q58</f>
        <v/>
      </c>
      <c r="AG58" s="21" t="n"/>
      <c r="AH58" s="21" t="n"/>
      <c r="AI58" s="21" t="n"/>
      <c r="AJ58" s="21" t="n"/>
      <c r="AL58" s="23">
        <f>INDEX(Prices_dom!$A$6:$CU$2000,MATCH(Settings!$C$4&amp;AL$5,Prices_dom!$A$6:$A$2000,0),MATCH("mit.sp."&amp;$N58,Prices_dom!$A$5:$CU$5,0))/$P58</f>
        <v/>
      </c>
      <c r="AM58" s="22">
        <f>AL58*(1+INDEX($Q58:$AJ58,1,(AM$4-1)*5+1))</f>
        <v/>
      </c>
      <c r="AN58" s="22">
        <f>AM58*(1+INDEX($Q58:$AJ58,1,(AN$4-1)*5+1))</f>
        <v/>
      </c>
      <c r="AO58" s="22">
        <f>AN58*(1+INDEX($Q58:$AJ58,1,(AO$4-1)*5+1))</f>
        <v/>
      </c>
      <c r="AP58" s="22">
        <f>AO58*(1+INDEX($Q58:$AJ58,1,(AP$4-1)*5+1))</f>
        <v/>
      </c>
      <c r="AQ58" s="22">
        <f>AP58*(1+INDEX($Q58:$AJ58,1,(AQ$4-1)*5+1))</f>
        <v/>
      </c>
      <c r="AR58" s="22">
        <f>AQ58*(1+INDEX($Q58:$AJ58,1,(AR$4-1)*5+1))</f>
        <v/>
      </c>
      <c r="AS58" s="22">
        <f>AR58*(1+INDEX($Q58:$AJ58,1,(AS$4-1)*5+1))</f>
        <v/>
      </c>
      <c r="AT58" s="22">
        <f>AS58*(1+INDEX($Q58:$AJ58,1,(AT$4-1)*5+1))</f>
        <v/>
      </c>
      <c r="AU58" s="22">
        <f>AT58*(1+INDEX($Q58:$AJ58,1,(AU$4-1)*5+1))</f>
        <v/>
      </c>
      <c r="AV58" s="22">
        <f>AU58*(1+INDEX($Q58:$AJ58,1,(AV$4-1)*5+1))</f>
        <v/>
      </c>
      <c r="AW58" s="22">
        <f>AV58*(1+INDEX($Q58:$AJ58,1,(AW$4-1)*5+1))</f>
        <v/>
      </c>
      <c r="AX58" s="22">
        <f>AW58*(1+INDEX($Q58:$AJ58,1,(AX$4-1)*5+1))</f>
        <v/>
      </c>
      <c r="AY58" s="22">
        <f>AX58*(1+INDEX($Q58:$AJ58,1,(AY$4-1)*5+1))</f>
        <v/>
      </c>
      <c r="BA58" s="23">
        <f>INDEX(Prices_dom!$A$6:$CU$2000,MATCH(Settings!$C$4&amp;BA$5,Prices_dom!$A$6:$A$2000,0),MATCH("mit.sp."&amp;$N58,Prices_dom!$A$5:$CU$5,0))/$P58</f>
        <v/>
      </c>
      <c r="BB58" s="22">
        <f>BA58*(1+INDEX($Q58:$AJ58,1,(BB$4-1)*5+1))</f>
        <v/>
      </c>
      <c r="BC58" s="22">
        <f>BB58*(1+INDEX($Q58:$AJ58,1,(BC$4-1)*5+1))</f>
        <v/>
      </c>
      <c r="BD58" s="22">
        <f>BC58*(1+INDEX($Q58:$AJ58,1,(BD$4-1)*5+1))</f>
        <v/>
      </c>
      <c r="BE58" s="22">
        <f>BD58*(1+INDEX($Q58:$AJ58,1,(BE$4-1)*5+1))</f>
        <v/>
      </c>
      <c r="BF58" s="22">
        <f>BE58*(1+INDEX($Q58:$AJ58,1,(BF$4-1)*5+1))</f>
        <v/>
      </c>
      <c r="BG58" s="22">
        <f>BF58*(1+INDEX($Q58:$AJ58,1,(BG$4-1)*5+1))</f>
        <v/>
      </c>
      <c r="BH58" s="22">
        <f>BG58*(1+INDEX($Q58:$AJ58,1,(BH$4-1)*5+1))</f>
        <v/>
      </c>
      <c r="BI58" s="22">
        <f>BH58*(1+INDEX($Q58:$AJ58,1,(BI$4-1)*5+1))</f>
        <v/>
      </c>
      <c r="BJ58" s="22">
        <f>BI58*(1+INDEX($Q58:$AJ58,1,(BJ$4-1)*5+1))</f>
        <v/>
      </c>
      <c r="BK58" s="22">
        <f>BJ58*(1+INDEX($Q58:$AJ58,1,(BK$4-1)*5+1))</f>
        <v/>
      </c>
      <c r="BL58" s="22">
        <f>BK58*(1+INDEX($Q58:$AJ58,1,(BL$4-1)*5+1))</f>
        <v/>
      </c>
      <c r="BM58" s="22">
        <f>BL58*(1+INDEX($Q58:$AJ58,1,(BM$4-1)*5+1))</f>
        <v/>
      </c>
      <c r="BN58" s="22">
        <f>BM58*(1+INDEX($Q58:$AJ58,1,(BN$4-1)*5+1))</f>
        <v/>
      </c>
    </row>
    <row r="59">
      <c r="B59" s="5" t="inlineStr">
        <is>
          <t>coa</t>
        </is>
      </c>
      <c r="C59" s="5" t="inlineStr">
        <is>
          <t>srv</t>
        </is>
      </c>
      <c r="D59" s="5" t="inlineStr">
        <is>
          <t>Pre-tax price | Services (public &amp; private) | Coal</t>
        </is>
      </c>
      <c r="E59" s="5" t="inlineStr">
        <is>
          <t>$/GJ</t>
        </is>
      </c>
      <c r="F59" s="5" t="inlineStr">
        <is>
          <t>Prices_dom (base year), then growth</t>
        </is>
      </c>
      <c r="G59" s="19" t="inlineStr">
        <is>
          <t>mit.sp.coa</t>
        </is>
      </c>
      <c r="H59" s="19" t="inlineStr">
        <is>
          <t>mit.pbt.coa.srv</t>
        </is>
      </c>
      <c r="J59" s="5">
        <f>INDEX(Mapping!$C$5:$C$20,MATCH($C59,Mapping!$A$5:$A$20,0))</f>
        <v/>
      </c>
      <c r="K59" s="5">
        <f>INDEX(Mapping!$D$5:$D$20,MATCH($C59,Mapping!$A$5:$A$20,0))</f>
        <v/>
      </c>
      <c r="L59" s="5">
        <f>INDEX(Mapping!$C$24:$C$31,MATCH($B59,Mapping!$A$24:$A$31,0))</f>
        <v/>
      </c>
      <c r="M59" s="5">
        <f>INDEX(Mapping!$D$24:$D$31,MATCH($B59,Mapping!$A$24:$A$31,0))</f>
        <v/>
      </c>
      <c r="N59" s="5">
        <f>$B59&amp;"."&amp;IF(INDEX(Mapping!$E$24:$E$31,MATCH($B59,Mapping!$A$24:$A$31,0))="sub",INDEX(Mapping!$F$5:$F$20,MATCH($C59,Mapping!$A$5:$A$20,0)),"all")</f>
        <v/>
      </c>
      <c r="O59" s="5">
        <f>INDEX(Mapping!$E$5:$E$20,MATCH($C59,Mapping!$A$5:$A$20,0))</f>
        <v/>
      </c>
      <c r="P59" s="5">
        <f>INDEX(Mapping!$G$24:$G$31,MATCH($B59,Mapping!$A$24:$A$31,0))</f>
        <v/>
      </c>
      <c r="Q59" s="20" t="n">
        <v>0</v>
      </c>
      <c r="R59" s="21" t="n"/>
      <c r="S59" s="21" t="n"/>
      <c r="T59" s="21" t="n"/>
      <c r="U59" s="21" t="n"/>
      <c r="V59" s="22">
        <f>Q59</f>
        <v/>
      </c>
      <c r="W59" s="21" t="n"/>
      <c r="X59" s="21" t="n"/>
      <c r="Y59" s="21" t="n"/>
      <c r="Z59" s="21" t="n"/>
      <c r="AA59" s="22">
        <f>Q59</f>
        <v/>
      </c>
      <c r="AB59" s="21" t="n"/>
      <c r="AC59" s="21" t="n"/>
      <c r="AD59" s="21" t="n"/>
      <c r="AE59" s="21" t="n"/>
      <c r="AF59" s="22">
        <f>Q59</f>
        <v/>
      </c>
      <c r="AG59" s="21" t="n"/>
      <c r="AH59" s="21" t="n"/>
      <c r="AI59" s="21" t="n"/>
      <c r="AJ59" s="21" t="n"/>
      <c r="AL59" s="23">
        <f>INDEX(Prices_dom!$A$6:$CU$2000,MATCH(Settings!$C$4&amp;AL$5,Prices_dom!$A$6:$A$2000,0),MATCH("mit.sp."&amp;$N59,Prices_dom!$A$5:$CU$5,0))/$P59</f>
        <v/>
      </c>
      <c r="AM59" s="22">
        <f>AL59*(1+INDEX($Q59:$AJ59,1,(AM$4-1)*5+1))</f>
        <v/>
      </c>
      <c r="AN59" s="22">
        <f>AM59*(1+INDEX($Q59:$AJ59,1,(AN$4-1)*5+1))</f>
        <v/>
      </c>
      <c r="AO59" s="22">
        <f>AN59*(1+INDEX($Q59:$AJ59,1,(AO$4-1)*5+1))</f>
        <v/>
      </c>
      <c r="AP59" s="22">
        <f>AO59*(1+INDEX($Q59:$AJ59,1,(AP$4-1)*5+1))</f>
        <v/>
      </c>
      <c r="AQ59" s="22">
        <f>AP59*(1+INDEX($Q59:$AJ59,1,(AQ$4-1)*5+1))</f>
        <v/>
      </c>
      <c r="AR59" s="22">
        <f>AQ59*(1+INDEX($Q59:$AJ59,1,(AR$4-1)*5+1))</f>
        <v/>
      </c>
      <c r="AS59" s="22">
        <f>AR59*(1+INDEX($Q59:$AJ59,1,(AS$4-1)*5+1))</f>
        <v/>
      </c>
      <c r="AT59" s="22">
        <f>AS59*(1+INDEX($Q59:$AJ59,1,(AT$4-1)*5+1))</f>
        <v/>
      </c>
      <c r="AU59" s="22">
        <f>AT59*(1+INDEX($Q59:$AJ59,1,(AU$4-1)*5+1))</f>
        <v/>
      </c>
      <c r="AV59" s="22">
        <f>AU59*(1+INDEX($Q59:$AJ59,1,(AV$4-1)*5+1))</f>
        <v/>
      </c>
      <c r="AW59" s="22">
        <f>AV59*(1+INDEX($Q59:$AJ59,1,(AW$4-1)*5+1))</f>
        <v/>
      </c>
      <c r="AX59" s="22">
        <f>AW59*(1+INDEX($Q59:$AJ59,1,(AX$4-1)*5+1))</f>
        <v/>
      </c>
      <c r="AY59" s="22">
        <f>AX59*(1+INDEX($Q59:$AJ59,1,(AY$4-1)*5+1))</f>
        <v/>
      </c>
      <c r="BA59" s="23">
        <f>INDEX(Prices_dom!$A$6:$CU$2000,MATCH(Settings!$C$4&amp;BA$5,Prices_dom!$A$6:$A$2000,0),MATCH("mit.sp."&amp;$N59,Prices_dom!$A$5:$CU$5,0))/$P59</f>
        <v/>
      </c>
      <c r="BB59" s="22">
        <f>BA59*(1+INDEX($Q59:$AJ59,1,(BB$4-1)*5+1))</f>
        <v/>
      </c>
      <c r="BC59" s="22">
        <f>BB59*(1+INDEX($Q59:$AJ59,1,(BC$4-1)*5+1))</f>
        <v/>
      </c>
      <c r="BD59" s="22">
        <f>BC59*(1+INDEX($Q59:$AJ59,1,(BD$4-1)*5+1))</f>
        <v/>
      </c>
      <c r="BE59" s="22">
        <f>BD59*(1+INDEX($Q59:$AJ59,1,(BE$4-1)*5+1))</f>
        <v/>
      </c>
      <c r="BF59" s="22">
        <f>BE59*(1+INDEX($Q59:$AJ59,1,(BF$4-1)*5+1))</f>
        <v/>
      </c>
      <c r="BG59" s="22">
        <f>BF59*(1+INDEX($Q59:$AJ59,1,(BG$4-1)*5+1))</f>
        <v/>
      </c>
      <c r="BH59" s="22">
        <f>BG59*(1+INDEX($Q59:$AJ59,1,(BH$4-1)*5+1))</f>
        <v/>
      </c>
      <c r="BI59" s="22">
        <f>BH59*(1+INDEX($Q59:$AJ59,1,(BI$4-1)*5+1))</f>
        <v/>
      </c>
      <c r="BJ59" s="22">
        <f>BI59*(1+INDEX($Q59:$AJ59,1,(BJ$4-1)*5+1))</f>
        <v/>
      </c>
      <c r="BK59" s="22">
        <f>BJ59*(1+INDEX($Q59:$AJ59,1,(BK$4-1)*5+1))</f>
        <v/>
      </c>
      <c r="BL59" s="22">
        <f>BK59*(1+INDEX($Q59:$AJ59,1,(BL$4-1)*5+1))</f>
        <v/>
      </c>
      <c r="BM59" s="22">
        <f>BL59*(1+INDEX($Q59:$AJ59,1,(BM$4-1)*5+1))</f>
        <v/>
      </c>
      <c r="BN59" s="22">
        <f>BM59*(1+INDEX($Q59:$AJ59,1,(BN$4-1)*5+1))</f>
        <v/>
      </c>
    </row>
    <row r="60">
      <c r="B60" s="5" t="inlineStr">
        <is>
          <t>nga</t>
        </is>
      </c>
      <c r="C60" s="5" t="inlineStr">
        <is>
          <t>srv</t>
        </is>
      </c>
      <c r="D60" s="5" t="inlineStr">
        <is>
          <t>Pre-tax price | Services (public &amp; private) | Natural gas</t>
        </is>
      </c>
      <c r="E60" s="5" t="inlineStr">
        <is>
          <t>$/GJ</t>
        </is>
      </c>
      <c r="F60" s="5" t="inlineStr">
        <is>
          <t>Prices_dom (base year), then growth</t>
        </is>
      </c>
      <c r="G60" s="19" t="inlineStr">
        <is>
          <t>mit.sp.nga</t>
        </is>
      </c>
      <c r="H60" s="19" t="inlineStr">
        <is>
          <t>mit.pbt.nga.srv</t>
        </is>
      </c>
      <c r="J60" s="5">
        <f>INDEX(Mapping!$C$5:$C$20,MATCH($C60,Mapping!$A$5:$A$20,0))</f>
        <v/>
      </c>
      <c r="K60" s="5">
        <f>INDEX(Mapping!$D$5:$D$20,MATCH($C60,Mapping!$A$5:$A$20,0))</f>
        <v/>
      </c>
      <c r="L60" s="5">
        <f>INDEX(Mapping!$C$24:$C$31,MATCH($B60,Mapping!$A$24:$A$31,0))</f>
        <v/>
      </c>
      <c r="M60" s="5">
        <f>INDEX(Mapping!$D$24:$D$31,MATCH($B60,Mapping!$A$24:$A$31,0))</f>
        <v/>
      </c>
      <c r="N60" s="5">
        <f>$B60&amp;"."&amp;IF(INDEX(Mapping!$E$24:$E$31,MATCH($B60,Mapping!$A$24:$A$31,0))="sub",INDEX(Mapping!$F$5:$F$20,MATCH($C60,Mapping!$A$5:$A$20,0)),"all")</f>
        <v/>
      </c>
      <c r="O60" s="5">
        <f>INDEX(Mapping!$E$5:$E$20,MATCH($C60,Mapping!$A$5:$A$20,0))</f>
        <v/>
      </c>
      <c r="P60" s="5">
        <f>INDEX(Mapping!$G$24:$G$31,MATCH($B60,Mapping!$A$24:$A$31,0))</f>
        <v/>
      </c>
      <c r="Q60" s="20" t="n">
        <v>0</v>
      </c>
      <c r="R60" s="21" t="n"/>
      <c r="S60" s="21" t="n"/>
      <c r="T60" s="21" t="n"/>
      <c r="U60" s="21" t="n"/>
      <c r="V60" s="22">
        <f>Q60</f>
        <v/>
      </c>
      <c r="W60" s="21" t="n"/>
      <c r="X60" s="21" t="n"/>
      <c r="Y60" s="21" t="n"/>
      <c r="Z60" s="21" t="n"/>
      <c r="AA60" s="22">
        <f>Q60</f>
        <v/>
      </c>
      <c r="AB60" s="21" t="n"/>
      <c r="AC60" s="21" t="n"/>
      <c r="AD60" s="21" t="n"/>
      <c r="AE60" s="21" t="n"/>
      <c r="AF60" s="22">
        <f>Q60</f>
        <v/>
      </c>
      <c r="AG60" s="21" t="n"/>
      <c r="AH60" s="21" t="n"/>
      <c r="AI60" s="21" t="n"/>
      <c r="AJ60" s="21" t="n"/>
      <c r="AL60" s="23">
        <f>INDEX(Prices_dom!$A$6:$CU$2000,MATCH(Settings!$C$4&amp;AL$5,Prices_dom!$A$6:$A$2000,0),MATCH("mit.sp."&amp;$N60,Prices_dom!$A$5:$CU$5,0))/$P60</f>
        <v/>
      </c>
      <c r="AM60" s="22">
        <f>AL60*(1+INDEX($Q60:$AJ60,1,(AM$4-1)*5+1))</f>
        <v/>
      </c>
      <c r="AN60" s="22">
        <f>AM60*(1+INDEX($Q60:$AJ60,1,(AN$4-1)*5+1))</f>
        <v/>
      </c>
      <c r="AO60" s="22">
        <f>AN60*(1+INDEX($Q60:$AJ60,1,(AO$4-1)*5+1))</f>
        <v/>
      </c>
      <c r="AP60" s="22">
        <f>AO60*(1+INDEX($Q60:$AJ60,1,(AP$4-1)*5+1))</f>
        <v/>
      </c>
      <c r="AQ60" s="22">
        <f>AP60*(1+INDEX($Q60:$AJ60,1,(AQ$4-1)*5+1))</f>
        <v/>
      </c>
      <c r="AR60" s="22">
        <f>AQ60*(1+INDEX($Q60:$AJ60,1,(AR$4-1)*5+1))</f>
        <v/>
      </c>
      <c r="AS60" s="22">
        <f>AR60*(1+INDEX($Q60:$AJ60,1,(AS$4-1)*5+1))</f>
        <v/>
      </c>
      <c r="AT60" s="22">
        <f>AS60*(1+INDEX($Q60:$AJ60,1,(AT$4-1)*5+1))</f>
        <v/>
      </c>
      <c r="AU60" s="22">
        <f>AT60*(1+INDEX($Q60:$AJ60,1,(AU$4-1)*5+1))</f>
        <v/>
      </c>
      <c r="AV60" s="22">
        <f>AU60*(1+INDEX($Q60:$AJ60,1,(AV$4-1)*5+1))</f>
        <v/>
      </c>
      <c r="AW60" s="22">
        <f>AV60*(1+INDEX($Q60:$AJ60,1,(AW$4-1)*5+1))</f>
        <v/>
      </c>
      <c r="AX60" s="22">
        <f>AW60*(1+INDEX($Q60:$AJ60,1,(AX$4-1)*5+1))</f>
        <v/>
      </c>
      <c r="AY60" s="22">
        <f>AX60*(1+INDEX($Q60:$AJ60,1,(AY$4-1)*5+1))</f>
        <v/>
      </c>
      <c r="BA60" s="23">
        <f>INDEX(Prices_dom!$A$6:$CU$2000,MATCH(Settings!$C$4&amp;BA$5,Prices_dom!$A$6:$A$2000,0),MATCH("mit.sp."&amp;$N60,Prices_dom!$A$5:$CU$5,0))/$P60</f>
        <v/>
      </c>
      <c r="BB60" s="22">
        <f>BA60*(1+INDEX($Q60:$AJ60,1,(BB$4-1)*5+1))</f>
        <v/>
      </c>
      <c r="BC60" s="22">
        <f>BB60*(1+INDEX($Q60:$AJ60,1,(BC$4-1)*5+1))</f>
        <v/>
      </c>
      <c r="BD60" s="22">
        <f>BC60*(1+INDEX($Q60:$AJ60,1,(BD$4-1)*5+1))</f>
        <v/>
      </c>
      <c r="BE60" s="22">
        <f>BD60*(1+INDEX($Q60:$AJ60,1,(BE$4-1)*5+1))</f>
        <v/>
      </c>
      <c r="BF60" s="22">
        <f>BE60*(1+INDEX($Q60:$AJ60,1,(BF$4-1)*5+1))</f>
        <v/>
      </c>
      <c r="BG60" s="22">
        <f>BF60*(1+INDEX($Q60:$AJ60,1,(BG$4-1)*5+1))</f>
        <v/>
      </c>
      <c r="BH60" s="22">
        <f>BG60*(1+INDEX($Q60:$AJ60,1,(BH$4-1)*5+1))</f>
        <v/>
      </c>
      <c r="BI60" s="22">
        <f>BH60*(1+INDEX($Q60:$AJ60,1,(BI$4-1)*5+1))</f>
        <v/>
      </c>
      <c r="BJ60" s="22">
        <f>BI60*(1+INDEX($Q60:$AJ60,1,(BJ$4-1)*5+1))</f>
        <v/>
      </c>
      <c r="BK60" s="22">
        <f>BJ60*(1+INDEX($Q60:$AJ60,1,(BK$4-1)*5+1))</f>
        <v/>
      </c>
      <c r="BL60" s="22">
        <f>BK60*(1+INDEX($Q60:$AJ60,1,(BL$4-1)*5+1))</f>
        <v/>
      </c>
      <c r="BM60" s="22">
        <f>BL60*(1+INDEX($Q60:$AJ60,1,(BM$4-1)*5+1))</f>
        <v/>
      </c>
      <c r="BN60" s="22">
        <f>BM60*(1+INDEX($Q60:$AJ60,1,(BN$4-1)*5+1))</f>
        <v/>
      </c>
    </row>
    <row r="61">
      <c r="B61" s="5" t="inlineStr">
        <is>
          <t>gso</t>
        </is>
      </c>
      <c r="C61" s="5" t="inlineStr">
        <is>
          <t>srv</t>
        </is>
      </c>
      <c r="D61" s="5" t="inlineStr">
        <is>
          <t>Pre-tax price | Services (public &amp; private) | Gasoline</t>
        </is>
      </c>
      <c r="E61" s="5" t="inlineStr">
        <is>
          <t>$/GJ</t>
        </is>
      </c>
      <c r="F61" s="5" t="inlineStr">
        <is>
          <t>Prices_dom (base year), then growth</t>
        </is>
      </c>
      <c r="G61" s="19" t="inlineStr">
        <is>
          <t>mit.sp.gso</t>
        </is>
      </c>
      <c r="H61" s="19" t="inlineStr">
        <is>
          <t>mit.pbt.gso.srv</t>
        </is>
      </c>
      <c r="J61" s="5">
        <f>INDEX(Mapping!$C$5:$C$20,MATCH($C61,Mapping!$A$5:$A$20,0))</f>
        <v/>
      </c>
      <c r="K61" s="5">
        <f>INDEX(Mapping!$D$5:$D$20,MATCH($C61,Mapping!$A$5:$A$20,0))</f>
        <v/>
      </c>
      <c r="L61" s="5">
        <f>INDEX(Mapping!$C$24:$C$31,MATCH($B61,Mapping!$A$24:$A$31,0))</f>
        <v/>
      </c>
      <c r="M61" s="5">
        <f>INDEX(Mapping!$D$24:$D$31,MATCH($B61,Mapping!$A$24:$A$31,0))</f>
        <v/>
      </c>
      <c r="N61" s="5">
        <f>$B61&amp;"."&amp;IF(INDEX(Mapping!$E$24:$E$31,MATCH($B61,Mapping!$A$24:$A$31,0))="sub",INDEX(Mapping!$F$5:$F$20,MATCH($C61,Mapping!$A$5:$A$20,0)),"all")</f>
        <v/>
      </c>
      <c r="O61" s="5">
        <f>INDEX(Mapping!$E$5:$E$20,MATCH($C61,Mapping!$A$5:$A$20,0))</f>
        <v/>
      </c>
      <c r="P61" s="5">
        <f>INDEX(Mapping!$G$24:$G$31,MATCH($B61,Mapping!$A$24:$A$31,0))</f>
        <v/>
      </c>
      <c r="Q61" s="20" t="n">
        <v>0</v>
      </c>
      <c r="R61" s="21" t="n"/>
      <c r="S61" s="21" t="n"/>
      <c r="T61" s="21" t="n"/>
      <c r="U61" s="21" t="n"/>
      <c r="V61" s="22">
        <f>Q61</f>
        <v/>
      </c>
      <c r="W61" s="21" t="n"/>
      <c r="X61" s="21" t="n"/>
      <c r="Y61" s="21" t="n"/>
      <c r="Z61" s="21" t="n"/>
      <c r="AA61" s="22">
        <f>Q61</f>
        <v/>
      </c>
      <c r="AB61" s="21" t="n"/>
      <c r="AC61" s="21" t="n"/>
      <c r="AD61" s="21" t="n"/>
      <c r="AE61" s="21" t="n"/>
      <c r="AF61" s="22">
        <f>Q61</f>
        <v/>
      </c>
      <c r="AG61" s="21" t="n"/>
      <c r="AH61" s="21" t="n"/>
      <c r="AI61" s="21" t="n"/>
      <c r="AJ61" s="21" t="n"/>
      <c r="AL61" s="23">
        <f>INDEX(Prices_dom!$A$6:$CU$2000,MATCH(Settings!$C$4&amp;AL$5,Prices_dom!$A$6:$A$2000,0),MATCH("mit.sp."&amp;$N61,Prices_dom!$A$5:$CU$5,0))/$P61</f>
        <v/>
      </c>
      <c r="AM61" s="22">
        <f>AL61*(1+INDEX($Q61:$AJ61,1,(AM$4-1)*5+1))</f>
        <v/>
      </c>
      <c r="AN61" s="22">
        <f>AM61*(1+INDEX($Q61:$AJ61,1,(AN$4-1)*5+1))</f>
        <v/>
      </c>
      <c r="AO61" s="22">
        <f>AN61*(1+INDEX($Q61:$AJ61,1,(AO$4-1)*5+1))</f>
        <v/>
      </c>
      <c r="AP61" s="22">
        <f>AO61*(1+INDEX($Q61:$AJ61,1,(AP$4-1)*5+1))</f>
        <v/>
      </c>
      <c r="AQ61" s="22">
        <f>AP61*(1+INDEX($Q61:$AJ61,1,(AQ$4-1)*5+1))</f>
        <v/>
      </c>
      <c r="AR61" s="22">
        <f>AQ61*(1+INDEX($Q61:$AJ61,1,(AR$4-1)*5+1))</f>
        <v/>
      </c>
      <c r="AS61" s="22">
        <f>AR61*(1+INDEX($Q61:$AJ61,1,(AS$4-1)*5+1))</f>
        <v/>
      </c>
      <c r="AT61" s="22">
        <f>AS61*(1+INDEX($Q61:$AJ61,1,(AT$4-1)*5+1))</f>
        <v/>
      </c>
      <c r="AU61" s="22">
        <f>AT61*(1+INDEX($Q61:$AJ61,1,(AU$4-1)*5+1))</f>
        <v/>
      </c>
      <c r="AV61" s="22">
        <f>AU61*(1+INDEX($Q61:$AJ61,1,(AV$4-1)*5+1))</f>
        <v/>
      </c>
      <c r="AW61" s="22">
        <f>AV61*(1+INDEX($Q61:$AJ61,1,(AW$4-1)*5+1))</f>
        <v/>
      </c>
      <c r="AX61" s="22">
        <f>AW61*(1+INDEX($Q61:$AJ61,1,(AX$4-1)*5+1))</f>
        <v/>
      </c>
      <c r="AY61" s="22">
        <f>AX61*(1+INDEX($Q61:$AJ61,1,(AY$4-1)*5+1))</f>
        <v/>
      </c>
      <c r="BA61" s="23">
        <f>INDEX(Prices_dom!$A$6:$CU$2000,MATCH(Settings!$C$4&amp;BA$5,Prices_dom!$A$6:$A$2000,0),MATCH("mit.sp."&amp;$N61,Prices_dom!$A$5:$CU$5,0))/$P61</f>
        <v/>
      </c>
      <c r="BB61" s="22">
        <f>BA61*(1+INDEX($Q61:$AJ61,1,(BB$4-1)*5+1))</f>
        <v/>
      </c>
      <c r="BC61" s="22">
        <f>BB61*(1+INDEX($Q61:$AJ61,1,(BC$4-1)*5+1))</f>
        <v/>
      </c>
      <c r="BD61" s="22">
        <f>BC61*(1+INDEX($Q61:$AJ61,1,(BD$4-1)*5+1))</f>
        <v/>
      </c>
      <c r="BE61" s="22">
        <f>BD61*(1+INDEX($Q61:$AJ61,1,(BE$4-1)*5+1))</f>
        <v/>
      </c>
      <c r="BF61" s="22">
        <f>BE61*(1+INDEX($Q61:$AJ61,1,(BF$4-1)*5+1))</f>
        <v/>
      </c>
      <c r="BG61" s="22">
        <f>BF61*(1+INDEX($Q61:$AJ61,1,(BG$4-1)*5+1))</f>
        <v/>
      </c>
      <c r="BH61" s="22">
        <f>BG61*(1+INDEX($Q61:$AJ61,1,(BH$4-1)*5+1))</f>
        <v/>
      </c>
      <c r="BI61" s="22">
        <f>BH61*(1+INDEX($Q61:$AJ61,1,(BI$4-1)*5+1))</f>
        <v/>
      </c>
      <c r="BJ61" s="22">
        <f>BI61*(1+INDEX($Q61:$AJ61,1,(BJ$4-1)*5+1))</f>
        <v/>
      </c>
      <c r="BK61" s="22">
        <f>BJ61*(1+INDEX($Q61:$AJ61,1,(BK$4-1)*5+1))</f>
        <v/>
      </c>
      <c r="BL61" s="22">
        <f>BK61*(1+INDEX($Q61:$AJ61,1,(BL$4-1)*5+1))</f>
        <v/>
      </c>
      <c r="BM61" s="22">
        <f>BL61*(1+INDEX($Q61:$AJ61,1,(BM$4-1)*5+1))</f>
        <v/>
      </c>
      <c r="BN61" s="22">
        <f>BM61*(1+INDEX($Q61:$AJ61,1,(BN$4-1)*5+1))</f>
        <v/>
      </c>
    </row>
    <row r="62">
      <c r="B62" s="5" t="inlineStr">
        <is>
          <t>die</t>
        </is>
      </c>
      <c r="C62" s="5" t="inlineStr">
        <is>
          <t>srv</t>
        </is>
      </c>
      <c r="D62" s="5" t="inlineStr">
        <is>
          <t>Pre-tax price | Services (public &amp; private) | Diesel</t>
        </is>
      </c>
      <c r="E62" s="5" t="inlineStr">
        <is>
          <t>$/GJ</t>
        </is>
      </c>
      <c r="F62" s="5" t="inlineStr">
        <is>
          <t>Prices_dom (base year), then growth</t>
        </is>
      </c>
      <c r="G62" s="19" t="inlineStr">
        <is>
          <t>mit.sp.die</t>
        </is>
      </c>
      <c r="H62" s="19" t="inlineStr">
        <is>
          <t>mit.pbt.die.srv</t>
        </is>
      </c>
      <c r="J62" s="5">
        <f>INDEX(Mapping!$C$5:$C$20,MATCH($C62,Mapping!$A$5:$A$20,0))</f>
        <v/>
      </c>
      <c r="K62" s="5">
        <f>INDEX(Mapping!$D$5:$D$20,MATCH($C62,Mapping!$A$5:$A$20,0))</f>
        <v/>
      </c>
      <c r="L62" s="5">
        <f>INDEX(Mapping!$C$24:$C$31,MATCH($B62,Mapping!$A$24:$A$31,0))</f>
        <v/>
      </c>
      <c r="M62" s="5">
        <f>INDEX(Mapping!$D$24:$D$31,MATCH($B62,Mapping!$A$24:$A$31,0))</f>
        <v/>
      </c>
      <c r="N62" s="5">
        <f>$B62&amp;"."&amp;IF(INDEX(Mapping!$E$24:$E$31,MATCH($B62,Mapping!$A$24:$A$31,0))="sub",INDEX(Mapping!$F$5:$F$20,MATCH($C62,Mapping!$A$5:$A$20,0)),"all")</f>
        <v/>
      </c>
      <c r="O62" s="5">
        <f>INDEX(Mapping!$E$5:$E$20,MATCH($C62,Mapping!$A$5:$A$20,0))</f>
        <v/>
      </c>
      <c r="P62" s="5">
        <f>INDEX(Mapping!$G$24:$G$31,MATCH($B62,Mapping!$A$24:$A$31,0))</f>
        <v/>
      </c>
      <c r="Q62" s="20" t="n">
        <v>0</v>
      </c>
      <c r="R62" s="21" t="n"/>
      <c r="S62" s="21" t="n"/>
      <c r="T62" s="21" t="n"/>
      <c r="U62" s="21" t="n"/>
      <c r="V62" s="22">
        <f>Q62</f>
        <v/>
      </c>
      <c r="W62" s="21" t="n"/>
      <c r="X62" s="21" t="n"/>
      <c r="Y62" s="21" t="n"/>
      <c r="Z62" s="21" t="n"/>
      <c r="AA62" s="22">
        <f>Q62</f>
        <v/>
      </c>
      <c r="AB62" s="21" t="n"/>
      <c r="AC62" s="21" t="n"/>
      <c r="AD62" s="21" t="n"/>
      <c r="AE62" s="21" t="n"/>
      <c r="AF62" s="22">
        <f>Q62</f>
        <v/>
      </c>
      <c r="AG62" s="21" t="n"/>
      <c r="AH62" s="21" t="n"/>
      <c r="AI62" s="21" t="n"/>
      <c r="AJ62" s="21" t="n"/>
      <c r="AL62" s="23">
        <f>INDEX(Prices_dom!$A$6:$CU$2000,MATCH(Settings!$C$4&amp;AL$5,Prices_dom!$A$6:$A$2000,0),MATCH("mit.sp."&amp;$N62,Prices_dom!$A$5:$CU$5,0))/$P62</f>
        <v/>
      </c>
      <c r="AM62" s="22">
        <f>AL62*(1+INDEX($Q62:$AJ62,1,(AM$4-1)*5+1))</f>
        <v/>
      </c>
      <c r="AN62" s="22">
        <f>AM62*(1+INDEX($Q62:$AJ62,1,(AN$4-1)*5+1))</f>
        <v/>
      </c>
      <c r="AO62" s="22">
        <f>AN62*(1+INDEX($Q62:$AJ62,1,(AO$4-1)*5+1))</f>
        <v/>
      </c>
      <c r="AP62" s="22">
        <f>AO62*(1+INDEX($Q62:$AJ62,1,(AP$4-1)*5+1))</f>
        <v/>
      </c>
      <c r="AQ62" s="22">
        <f>AP62*(1+INDEX($Q62:$AJ62,1,(AQ$4-1)*5+1))</f>
        <v/>
      </c>
      <c r="AR62" s="22">
        <f>AQ62*(1+INDEX($Q62:$AJ62,1,(AR$4-1)*5+1))</f>
        <v/>
      </c>
      <c r="AS62" s="22">
        <f>AR62*(1+INDEX($Q62:$AJ62,1,(AS$4-1)*5+1))</f>
        <v/>
      </c>
      <c r="AT62" s="22">
        <f>AS62*(1+INDEX($Q62:$AJ62,1,(AT$4-1)*5+1))</f>
        <v/>
      </c>
      <c r="AU62" s="22">
        <f>AT62*(1+INDEX($Q62:$AJ62,1,(AU$4-1)*5+1))</f>
        <v/>
      </c>
      <c r="AV62" s="22">
        <f>AU62*(1+INDEX($Q62:$AJ62,1,(AV$4-1)*5+1))</f>
        <v/>
      </c>
      <c r="AW62" s="22">
        <f>AV62*(1+INDEX($Q62:$AJ62,1,(AW$4-1)*5+1))</f>
        <v/>
      </c>
      <c r="AX62" s="22">
        <f>AW62*(1+INDEX($Q62:$AJ62,1,(AX$4-1)*5+1))</f>
        <v/>
      </c>
      <c r="AY62" s="22">
        <f>AX62*(1+INDEX($Q62:$AJ62,1,(AY$4-1)*5+1))</f>
        <v/>
      </c>
      <c r="BA62" s="23">
        <f>INDEX(Prices_dom!$A$6:$CU$2000,MATCH(Settings!$C$4&amp;BA$5,Prices_dom!$A$6:$A$2000,0),MATCH("mit.sp."&amp;$N62,Prices_dom!$A$5:$CU$5,0))/$P62</f>
        <v/>
      </c>
      <c r="BB62" s="22">
        <f>BA62*(1+INDEX($Q62:$AJ62,1,(BB$4-1)*5+1))</f>
        <v/>
      </c>
      <c r="BC62" s="22">
        <f>BB62*(1+INDEX($Q62:$AJ62,1,(BC$4-1)*5+1))</f>
        <v/>
      </c>
      <c r="BD62" s="22">
        <f>BC62*(1+INDEX($Q62:$AJ62,1,(BD$4-1)*5+1))</f>
        <v/>
      </c>
      <c r="BE62" s="22">
        <f>BD62*(1+INDEX($Q62:$AJ62,1,(BE$4-1)*5+1))</f>
        <v/>
      </c>
      <c r="BF62" s="22">
        <f>BE62*(1+INDEX($Q62:$AJ62,1,(BF$4-1)*5+1))</f>
        <v/>
      </c>
      <c r="BG62" s="22">
        <f>BF62*(1+INDEX($Q62:$AJ62,1,(BG$4-1)*5+1))</f>
        <v/>
      </c>
      <c r="BH62" s="22">
        <f>BG62*(1+INDEX($Q62:$AJ62,1,(BH$4-1)*5+1))</f>
        <v/>
      </c>
      <c r="BI62" s="22">
        <f>BH62*(1+INDEX($Q62:$AJ62,1,(BI$4-1)*5+1))</f>
        <v/>
      </c>
      <c r="BJ62" s="22">
        <f>BI62*(1+INDEX($Q62:$AJ62,1,(BJ$4-1)*5+1))</f>
        <v/>
      </c>
      <c r="BK62" s="22">
        <f>BJ62*(1+INDEX($Q62:$AJ62,1,(BK$4-1)*5+1))</f>
        <v/>
      </c>
      <c r="BL62" s="22">
        <f>BK62*(1+INDEX($Q62:$AJ62,1,(BL$4-1)*5+1))</f>
        <v/>
      </c>
      <c r="BM62" s="22">
        <f>BL62*(1+INDEX($Q62:$AJ62,1,(BM$4-1)*5+1))</f>
        <v/>
      </c>
      <c r="BN62" s="22">
        <f>BM62*(1+INDEX($Q62:$AJ62,1,(BN$4-1)*5+1))</f>
        <v/>
      </c>
    </row>
    <row r="63">
      <c r="B63" s="5" t="inlineStr">
        <is>
          <t>lpg</t>
        </is>
      </c>
      <c r="C63" s="5" t="inlineStr">
        <is>
          <t>srv</t>
        </is>
      </c>
      <c r="D63" s="5" t="inlineStr">
        <is>
          <t>Pre-tax price | Services (public &amp; private) | LPG</t>
        </is>
      </c>
      <c r="E63" s="5" t="inlineStr">
        <is>
          <t>$/GJ</t>
        </is>
      </c>
      <c r="F63" s="5" t="inlineStr">
        <is>
          <t>Prices_dom (base year), then growth</t>
        </is>
      </c>
      <c r="G63" s="19" t="inlineStr">
        <is>
          <t>mit.sp.lpg</t>
        </is>
      </c>
      <c r="H63" s="19" t="inlineStr">
        <is>
          <t>mit.pbt.lpg.srv</t>
        </is>
      </c>
      <c r="J63" s="5">
        <f>INDEX(Mapping!$C$5:$C$20,MATCH($C63,Mapping!$A$5:$A$20,0))</f>
        <v/>
      </c>
      <c r="K63" s="5">
        <f>INDEX(Mapping!$D$5:$D$20,MATCH($C63,Mapping!$A$5:$A$20,0))</f>
        <v/>
      </c>
      <c r="L63" s="5">
        <f>INDEX(Mapping!$C$24:$C$31,MATCH($B63,Mapping!$A$24:$A$31,0))</f>
        <v/>
      </c>
      <c r="M63" s="5">
        <f>INDEX(Mapping!$D$24:$D$31,MATCH($B63,Mapping!$A$24:$A$31,0))</f>
        <v/>
      </c>
      <c r="N63" s="5">
        <f>$B63&amp;"."&amp;IF(INDEX(Mapping!$E$24:$E$31,MATCH($B63,Mapping!$A$24:$A$31,0))="sub",INDEX(Mapping!$F$5:$F$20,MATCH($C63,Mapping!$A$5:$A$20,0)),"all")</f>
        <v/>
      </c>
      <c r="O63" s="5">
        <f>INDEX(Mapping!$E$5:$E$20,MATCH($C63,Mapping!$A$5:$A$20,0))</f>
        <v/>
      </c>
      <c r="P63" s="5">
        <f>INDEX(Mapping!$G$24:$G$31,MATCH($B63,Mapping!$A$24:$A$31,0))</f>
        <v/>
      </c>
      <c r="Q63" s="20" t="n">
        <v>0</v>
      </c>
      <c r="R63" s="21" t="n"/>
      <c r="S63" s="21" t="n"/>
      <c r="T63" s="21" t="n"/>
      <c r="U63" s="21" t="n"/>
      <c r="V63" s="22">
        <f>Q63</f>
        <v/>
      </c>
      <c r="W63" s="21" t="n"/>
      <c r="X63" s="21" t="n"/>
      <c r="Y63" s="21" t="n"/>
      <c r="Z63" s="21" t="n"/>
      <c r="AA63" s="22">
        <f>Q63</f>
        <v/>
      </c>
      <c r="AB63" s="21" t="n"/>
      <c r="AC63" s="21" t="n"/>
      <c r="AD63" s="21" t="n"/>
      <c r="AE63" s="21" t="n"/>
      <c r="AF63" s="22">
        <f>Q63</f>
        <v/>
      </c>
      <c r="AG63" s="21" t="n"/>
      <c r="AH63" s="21" t="n"/>
      <c r="AI63" s="21" t="n"/>
      <c r="AJ63" s="21" t="n"/>
      <c r="AL63" s="23">
        <f>INDEX(Prices_dom!$A$6:$CU$2000,MATCH(Settings!$C$4&amp;AL$5,Prices_dom!$A$6:$A$2000,0),MATCH("mit.sp."&amp;$N63,Prices_dom!$A$5:$CU$5,0))/$P63</f>
        <v/>
      </c>
      <c r="AM63" s="22">
        <f>AL63*(1+INDEX($Q63:$AJ63,1,(AM$4-1)*5+1))</f>
        <v/>
      </c>
      <c r="AN63" s="22">
        <f>AM63*(1+INDEX($Q63:$AJ63,1,(AN$4-1)*5+1))</f>
        <v/>
      </c>
      <c r="AO63" s="22">
        <f>AN63*(1+INDEX($Q63:$AJ63,1,(AO$4-1)*5+1))</f>
        <v/>
      </c>
      <c r="AP63" s="22">
        <f>AO63*(1+INDEX($Q63:$AJ63,1,(AP$4-1)*5+1))</f>
        <v/>
      </c>
      <c r="AQ63" s="22">
        <f>AP63*(1+INDEX($Q63:$AJ63,1,(AQ$4-1)*5+1))</f>
        <v/>
      </c>
      <c r="AR63" s="22">
        <f>AQ63*(1+INDEX($Q63:$AJ63,1,(AR$4-1)*5+1))</f>
        <v/>
      </c>
      <c r="AS63" s="22">
        <f>AR63*(1+INDEX($Q63:$AJ63,1,(AS$4-1)*5+1))</f>
        <v/>
      </c>
      <c r="AT63" s="22">
        <f>AS63*(1+INDEX($Q63:$AJ63,1,(AT$4-1)*5+1))</f>
        <v/>
      </c>
      <c r="AU63" s="22">
        <f>AT63*(1+INDEX($Q63:$AJ63,1,(AU$4-1)*5+1))</f>
        <v/>
      </c>
      <c r="AV63" s="22">
        <f>AU63*(1+INDEX($Q63:$AJ63,1,(AV$4-1)*5+1))</f>
        <v/>
      </c>
      <c r="AW63" s="22">
        <f>AV63*(1+INDEX($Q63:$AJ63,1,(AW$4-1)*5+1))</f>
        <v/>
      </c>
      <c r="AX63" s="22">
        <f>AW63*(1+INDEX($Q63:$AJ63,1,(AX$4-1)*5+1))</f>
        <v/>
      </c>
      <c r="AY63" s="22">
        <f>AX63*(1+INDEX($Q63:$AJ63,1,(AY$4-1)*5+1))</f>
        <v/>
      </c>
      <c r="BA63" s="23">
        <f>INDEX(Prices_dom!$A$6:$CU$2000,MATCH(Settings!$C$4&amp;BA$5,Prices_dom!$A$6:$A$2000,0),MATCH("mit.sp."&amp;$N63,Prices_dom!$A$5:$CU$5,0))/$P63</f>
        <v/>
      </c>
      <c r="BB63" s="22">
        <f>BA63*(1+INDEX($Q63:$AJ63,1,(BB$4-1)*5+1))</f>
        <v/>
      </c>
      <c r="BC63" s="22">
        <f>BB63*(1+INDEX($Q63:$AJ63,1,(BC$4-1)*5+1))</f>
        <v/>
      </c>
      <c r="BD63" s="22">
        <f>BC63*(1+INDEX($Q63:$AJ63,1,(BD$4-1)*5+1))</f>
        <v/>
      </c>
      <c r="BE63" s="22">
        <f>BD63*(1+INDEX($Q63:$AJ63,1,(BE$4-1)*5+1))</f>
        <v/>
      </c>
      <c r="BF63" s="22">
        <f>BE63*(1+INDEX($Q63:$AJ63,1,(BF$4-1)*5+1))</f>
        <v/>
      </c>
      <c r="BG63" s="22">
        <f>BF63*(1+INDEX($Q63:$AJ63,1,(BG$4-1)*5+1))</f>
        <v/>
      </c>
      <c r="BH63" s="22">
        <f>BG63*(1+INDEX($Q63:$AJ63,1,(BH$4-1)*5+1))</f>
        <v/>
      </c>
      <c r="BI63" s="22">
        <f>BH63*(1+INDEX($Q63:$AJ63,1,(BI$4-1)*5+1))</f>
        <v/>
      </c>
      <c r="BJ63" s="22">
        <f>BI63*(1+INDEX($Q63:$AJ63,1,(BJ$4-1)*5+1))</f>
        <v/>
      </c>
      <c r="BK63" s="22">
        <f>BJ63*(1+INDEX($Q63:$AJ63,1,(BK$4-1)*5+1))</f>
        <v/>
      </c>
      <c r="BL63" s="22">
        <f>BK63*(1+INDEX($Q63:$AJ63,1,(BL$4-1)*5+1))</f>
        <v/>
      </c>
      <c r="BM63" s="22">
        <f>BL63*(1+INDEX($Q63:$AJ63,1,(BM$4-1)*5+1))</f>
        <v/>
      </c>
      <c r="BN63" s="22">
        <f>BM63*(1+INDEX($Q63:$AJ63,1,(BN$4-1)*5+1))</f>
        <v/>
      </c>
    </row>
    <row r="64">
      <c r="B64" s="5" t="inlineStr">
        <is>
          <t>ker</t>
        </is>
      </c>
      <c r="C64" s="5" t="inlineStr">
        <is>
          <t>srv</t>
        </is>
      </c>
      <c r="D64" s="5" t="inlineStr">
        <is>
          <t>Pre-tax price | Services (public &amp; private) | Kerosene</t>
        </is>
      </c>
      <c r="E64" s="5" t="inlineStr">
        <is>
          <t>$/GJ</t>
        </is>
      </c>
      <c r="F64" s="5" t="inlineStr">
        <is>
          <t>Prices_dom (base year), then growth</t>
        </is>
      </c>
      <c r="G64" s="19" t="inlineStr">
        <is>
          <t>mit.sp.ker</t>
        </is>
      </c>
      <c r="H64" s="19" t="inlineStr">
        <is>
          <t>mit.pbt.ker.srv</t>
        </is>
      </c>
      <c r="J64" s="5">
        <f>INDEX(Mapping!$C$5:$C$20,MATCH($C64,Mapping!$A$5:$A$20,0))</f>
        <v/>
      </c>
      <c r="K64" s="5">
        <f>INDEX(Mapping!$D$5:$D$20,MATCH($C64,Mapping!$A$5:$A$20,0))</f>
        <v/>
      </c>
      <c r="L64" s="5">
        <f>INDEX(Mapping!$C$24:$C$31,MATCH($B64,Mapping!$A$24:$A$31,0))</f>
        <v/>
      </c>
      <c r="M64" s="5">
        <f>INDEX(Mapping!$D$24:$D$31,MATCH($B64,Mapping!$A$24:$A$31,0))</f>
        <v/>
      </c>
      <c r="N64" s="5">
        <f>$B64&amp;"."&amp;IF(INDEX(Mapping!$E$24:$E$31,MATCH($B64,Mapping!$A$24:$A$31,0))="sub",INDEX(Mapping!$F$5:$F$20,MATCH($C64,Mapping!$A$5:$A$20,0)),"all")</f>
        <v/>
      </c>
      <c r="O64" s="5">
        <f>INDEX(Mapping!$E$5:$E$20,MATCH($C64,Mapping!$A$5:$A$20,0))</f>
        <v/>
      </c>
      <c r="P64" s="5">
        <f>INDEX(Mapping!$G$24:$G$31,MATCH($B64,Mapping!$A$24:$A$31,0))</f>
        <v/>
      </c>
      <c r="Q64" s="20" t="n">
        <v>0</v>
      </c>
      <c r="R64" s="21" t="n"/>
      <c r="S64" s="21" t="n"/>
      <c r="T64" s="21" t="n"/>
      <c r="U64" s="21" t="n"/>
      <c r="V64" s="22">
        <f>Q64</f>
        <v/>
      </c>
      <c r="W64" s="21" t="n"/>
      <c r="X64" s="21" t="n"/>
      <c r="Y64" s="21" t="n"/>
      <c r="Z64" s="21" t="n"/>
      <c r="AA64" s="22">
        <f>Q64</f>
        <v/>
      </c>
      <c r="AB64" s="21" t="n"/>
      <c r="AC64" s="21" t="n"/>
      <c r="AD64" s="21" t="n"/>
      <c r="AE64" s="21" t="n"/>
      <c r="AF64" s="22">
        <f>Q64</f>
        <v/>
      </c>
      <c r="AG64" s="21" t="n"/>
      <c r="AH64" s="21" t="n"/>
      <c r="AI64" s="21" t="n"/>
      <c r="AJ64" s="21" t="n"/>
      <c r="AL64" s="23">
        <f>INDEX(Prices_dom!$A$6:$CU$2000,MATCH(Settings!$C$4&amp;AL$5,Prices_dom!$A$6:$A$2000,0),MATCH("mit.sp."&amp;$N64,Prices_dom!$A$5:$CU$5,0))/$P64</f>
        <v/>
      </c>
      <c r="AM64" s="22">
        <f>AL64*(1+INDEX($Q64:$AJ64,1,(AM$4-1)*5+1))</f>
        <v/>
      </c>
      <c r="AN64" s="22">
        <f>AM64*(1+INDEX($Q64:$AJ64,1,(AN$4-1)*5+1))</f>
        <v/>
      </c>
      <c r="AO64" s="22">
        <f>AN64*(1+INDEX($Q64:$AJ64,1,(AO$4-1)*5+1))</f>
        <v/>
      </c>
      <c r="AP64" s="22">
        <f>AO64*(1+INDEX($Q64:$AJ64,1,(AP$4-1)*5+1))</f>
        <v/>
      </c>
      <c r="AQ64" s="22">
        <f>AP64*(1+INDEX($Q64:$AJ64,1,(AQ$4-1)*5+1))</f>
        <v/>
      </c>
      <c r="AR64" s="22">
        <f>AQ64*(1+INDEX($Q64:$AJ64,1,(AR$4-1)*5+1))</f>
        <v/>
      </c>
      <c r="AS64" s="22">
        <f>AR64*(1+INDEX($Q64:$AJ64,1,(AS$4-1)*5+1))</f>
        <v/>
      </c>
      <c r="AT64" s="22">
        <f>AS64*(1+INDEX($Q64:$AJ64,1,(AT$4-1)*5+1))</f>
        <v/>
      </c>
      <c r="AU64" s="22">
        <f>AT64*(1+INDEX($Q64:$AJ64,1,(AU$4-1)*5+1))</f>
        <v/>
      </c>
      <c r="AV64" s="22">
        <f>AU64*(1+INDEX($Q64:$AJ64,1,(AV$4-1)*5+1))</f>
        <v/>
      </c>
      <c r="AW64" s="22">
        <f>AV64*(1+INDEX($Q64:$AJ64,1,(AW$4-1)*5+1))</f>
        <v/>
      </c>
      <c r="AX64" s="22">
        <f>AW64*(1+INDEX($Q64:$AJ64,1,(AX$4-1)*5+1))</f>
        <v/>
      </c>
      <c r="AY64" s="22">
        <f>AX64*(1+INDEX($Q64:$AJ64,1,(AY$4-1)*5+1))</f>
        <v/>
      </c>
      <c r="BA64" s="23">
        <f>INDEX(Prices_dom!$A$6:$CU$2000,MATCH(Settings!$C$4&amp;BA$5,Prices_dom!$A$6:$A$2000,0),MATCH("mit.sp."&amp;$N64,Prices_dom!$A$5:$CU$5,0))/$P64</f>
        <v/>
      </c>
      <c r="BB64" s="22">
        <f>BA64*(1+INDEX($Q64:$AJ64,1,(BB$4-1)*5+1))</f>
        <v/>
      </c>
      <c r="BC64" s="22">
        <f>BB64*(1+INDEX($Q64:$AJ64,1,(BC$4-1)*5+1))</f>
        <v/>
      </c>
      <c r="BD64" s="22">
        <f>BC64*(1+INDEX($Q64:$AJ64,1,(BD$4-1)*5+1))</f>
        <v/>
      </c>
      <c r="BE64" s="22">
        <f>BD64*(1+INDEX($Q64:$AJ64,1,(BE$4-1)*5+1))</f>
        <v/>
      </c>
      <c r="BF64" s="22">
        <f>BE64*(1+INDEX($Q64:$AJ64,1,(BF$4-1)*5+1))</f>
        <v/>
      </c>
      <c r="BG64" s="22">
        <f>BF64*(1+INDEX($Q64:$AJ64,1,(BG$4-1)*5+1))</f>
        <v/>
      </c>
      <c r="BH64" s="22">
        <f>BG64*(1+INDEX($Q64:$AJ64,1,(BH$4-1)*5+1))</f>
        <v/>
      </c>
      <c r="BI64" s="22">
        <f>BH64*(1+INDEX($Q64:$AJ64,1,(BI$4-1)*5+1))</f>
        <v/>
      </c>
      <c r="BJ64" s="22">
        <f>BI64*(1+INDEX($Q64:$AJ64,1,(BJ$4-1)*5+1))</f>
        <v/>
      </c>
      <c r="BK64" s="22">
        <f>BJ64*(1+INDEX($Q64:$AJ64,1,(BK$4-1)*5+1))</f>
        <v/>
      </c>
      <c r="BL64" s="22">
        <f>BK64*(1+INDEX($Q64:$AJ64,1,(BL$4-1)*5+1))</f>
        <v/>
      </c>
      <c r="BM64" s="22">
        <f>BL64*(1+INDEX($Q64:$AJ64,1,(BM$4-1)*5+1))</f>
        <v/>
      </c>
      <c r="BN64" s="22">
        <f>BM64*(1+INDEX($Q64:$AJ64,1,(BN$4-1)*5+1))</f>
        <v/>
      </c>
    </row>
    <row r="65">
      <c r="B65" s="5" t="inlineStr">
        <is>
          <t>oop</t>
        </is>
      </c>
      <c r="C65" s="5" t="inlineStr">
        <is>
          <t>srv</t>
        </is>
      </c>
      <c r="D65" s="5" t="inlineStr">
        <is>
          <t>Pre-tax price | Services (public &amp; private) | Other oil products</t>
        </is>
      </c>
      <c r="E65" s="5" t="inlineStr">
        <is>
          <t>$/GJ</t>
        </is>
      </c>
      <c r="F65" s="5" t="inlineStr">
        <is>
          <t>Prices_dom (base year), then growth</t>
        </is>
      </c>
      <c r="G65" s="19" t="inlineStr">
        <is>
          <t>mit.sp.oop</t>
        </is>
      </c>
      <c r="H65" s="19" t="inlineStr">
        <is>
          <t>mit.pbt.oop.srv</t>
        </is>
      </c>
      <c r="J65" s="5">
        <f>INDEX(Mapping!$C$5:$C$20,MATCH($C65,Mapping!$A$5:$A$20,0))</f>
        <v/>
      </c>
      <c r="K65" s="5">
        <f>INDEX(Mapping!$D$5:$D$20,MATCH($C65,Mapping!$A$5:$A$20,0))</f>
        <v/>
      </c>
      <c r="L65" s="5">
        <f>INDEX(Mapping!$C$24:$C$31,MATCH($B65,Mapping!$A$24:$A$31,0))</f>
        <v/>
      </c>
      <c r="M65" s="5">
        <f>INDEX(Mapping!$D$24:$D$31,MATCH($B65,Mapping!$A$24:$A$31,0))</f>
        <v/>
      </c>
      <c r="N65" s="5">
        <f>$B65&amp;"."&amp;IF(INDEX(Mapping!$E$24:$E$31,MATCH($B65,Mapping!$A$24:$A$31,0))="sub",INDEX(Mapping!$F$5:$F$20,MATCH($C65,Mapping!$A$5:$A$20,0)),"all")</f>
        <v/>
      </c>
      <c r="O65" s="5">
        <f>INDEX(Mapping!$E$5:$E$20,MATCH($C65,Mapping!$A$5:$A$20,0))</f>
        <v/>
      </c>
      <c r="P65" s="5">
        <f>INDEX(Mapping!$G$24:$G$31,MATCH($B65,Mapping!$A$24:$A$31,0))</f>
        <v/>
      </c>
      <c r="Q65" s="20" t="n">
        <v>0</v>
      </c>
      <c r="R65" s="21" t="n"/>
      <c r="S65" s="21" t="n"/>
      <c r="T65" s="21" t="n"/>
      <c r="U65" s="21" t="n"/>
      <c r="V65" s="22">
        <f>Q65</f>
        <v/>
      </c>
      <c r="W65" s="21" t="n"/>
      <c r="X65" s="21" t="n"/>
      <c r="Y65" s="21" t="n"/>
      <c r="Z65" s="21" t="n"/>
      <c r="AA65" s="22">
        <f>Q65</f>
        <v/>
      </c>
      <c r="AB65" s="21" t="n"/>
      <c r="AC65" s="21" t="n"/>
      <c r="AD65" s="21" t="n"/>
      <c r="AE65" s="21" t="n"/>
      <c r="AF65" s="22">
        <f>Q65</f>
        <v/>
      </c>
      <c r="AG65" s="21" t="n"/>
      <c r="AH65" s="21" t="n"/>
      <c r="AI65" s="21" t="n"/>
      <c r="AJ65" s="21" t="n"/>
      <c r="AL65" s="23">
        <f>INDEX(Prices_dom!$A$6:$CU$2000,MATCH(Settings!$C$4&amp;AL$5,Prices_dom!$A$6:$A$2000,0),MATCH("mit.sp."&amp;$N65,Prices_dom!$A$5:$CU$5,0))/$P65</f>
        <v/>
      </c>
      <c r="AM65" s="22">
        <f>AL65*(1+INDEX($Q65:$AJ65,1,(AM$4-1)*5+1))</f>
        <v/>
      </c>
      <c r="AN65" s="22">
        <f>AM65*(1+INDEX($Q65:$AJ65,1,(AN$4-1)*5+1))</f>
        <v/>
      </c>
      <c r="AO65" s="22">
        <f>AN65*(1+INDEX($Q65:$AJ65,1,(AO$4-1)*5+1))</f>
        <v/>
      </c>
      <c r="AP65" s="22">
        <f>AO65*(1+INDEX($Q65:$AJ65,1,(AP$4-1)*5+1))</f>
        <v/>
      </c>
      <c r="AQ65" s="22">
        <f>AP65*(1+INDEX($Q65:$AJ65,1,(AQ$4-1)*5+1))</f>
        <v/>
      </c>
      <c r="AR65" s="22">
        <f>AQ65*(1+INDEX($Q65:$AJ65,1,(AR$4-1)*5+1))</f>
        <v/>
      </c>
      <c r="AS65" s="22">
        <f>AR65*(1+INDEX($Q65:$AJ65,1,(AS$4-1)*5+1))</f>
        <v/>
      </c>
      <c r="AT65" s="22">
        <f>AS65*(1+INDEX($Q65:$AJ65,1,(AT$4-1)*5+1))</f>
        <v/>
      </c>
      <c r="AU65" s="22">
        <f>AT65*(1+INDEX($Q65:$AJ65,1,(AU$4-1)*5+1))</f>
        <v/>
      </c>
      <c r="AV65" s="22">
        <f>AU65*(1+INDEX($Q65:$AJ65,1,(AV$4-1)*5+1))</f>
        <v/>
      </c>
      <c r="AW65" s="22">
        <f>AV65*(1+INDEX($Q65:$AJ65,1,(AW$4-1)*5+1))</f>
        <v/>
      </c>
      <c r="AX65" s="22">
        <f>AW65*(1+INDEX($Q65:$AJ65,1,(AX$4-1)*5+1))</f>
        <v/>
      </c>
      <c r="AY65" s="22">
        <f>AX65*(1+INDEX($Q65:$AJ65,1,(AY$4-1)*5+1))</f>
        <v/>
      </c>
      <c r="BA65" s="23">
        <f>INDEX(Prices_dom!$A$6:$CU$2000,MATCH(Settings!$C$4&amp;BA$5,Prices_dom!$A$6:$A$2000,0),MATCH("mit.sp."&amp;$N65,Prices_dom!$A$5:$CU$5,0))/$P65</f>
        <v/>
      </c>
      <c r="BB65" s="22">
        <f>BA65*(1+INDEX($Q65:$AJ65,1,(BB$4-1)*5+1))</f>
        <v/>
      </c>
      <c r="BC65" s="22">
        <f>BB65*(1+INDEX($Q65:$AJ65,1,(BC$4-1)*5+1))</f>
        <v/>
      </c>
      <c r="BD65" s="22">
        <f>BC65*(1+INDEX($Q65:$AJ65,1,(BD$4-1)*5+1))</f>
        <v/>
      </c>
      <c r="BE65" s="22">
        <f>BD65*(1+INDEX($Q65:$AJ65,1,(BE$4-1)*5+1))</f>
        <v/>
      </c>
      <c r="BF65" s="22">
        <f>BE65*(1+INDEX($Q65:$AJ65,1,(BF$4-1)*5+1))</f>
        <v/>
      </c>
      <c r="BG65" s="22">
        <f>BF65*(1+INDEX($Q65:$AJ65,1,(BG$4-1)*5+1))</f>
        <v/>
      </c>
      <c r="BH65" s="22">
        <f>BG65*(1+INDEX($Q65:$AJ65,1,(BH$4-1)*5+1))</f>
        <v/>
      </c>
      <c r="BI65" s="22">
        <f>BH65*(1+INDEX($Q65:$AJ65,1,(BI$4-1)*5+1))</f>
        <v/>
      </c>
      <c r="BJ65" s="22">
        <f>BI65*(1+INDEX($Q65:$AJ65,1,(BJ$4-1)*5+1))</f>
        <v/>
      </c>
      <c r="BK65" s="22">
        <f>BJ65*(1+INDEX($Q65:$AJ65,1,(BK$4-1)*5+1))</f>
        <v/>
      </c>
      <c r="BL65" s="22">
        <f>BK65*(1+INDEX($Q65:$AJ65,1,(BL$4-1)*5+1))</f>
        <v/>
      </c>
      <c r="BM65" s="22">
        <f>BL65*(1+INDEX($Q65:$AJ65,1,(BM$4-1)*5+1))</f>
        <v/>
      </c>
      <c r="BN65" s="22">
        <f>BM65*(1+INDEX($Q65:$AJ65,1,(BN$4-1)*5+1))</f>
        <v/>
      </c>
    </row>
    <row r="66">
      <c r="B66" s="5" t="inlineStr">
        <is>
          <t>bio</t>
        </is>
      </c>
      <c r="C66" s="5" t="inlineStr">
        <is>
          <t>srv</t>
        </is>
      </c>
      <c r="D66" s="5" t="inlineStr">
        <is>
          <t>Pre-tax price | Services (public &amp; private) | Biomass</t>
        </is>
      </c>
      <c r="E66" s="5" t="inlineStr">
        <is>
          <t>$/GJ</t>
        </is>
      </c>
      <c r="F66" s="5" t="inlineStr">
        <is>
          <t>Prices_dom (base year), then growth</t>
        </is>
      </c>
      <c r="G66" s="19" t="inlineStr">
        <is>
          <t>mit.sp.bio</t>
        </is>
      </c>
      <c r="H66" s="19" t="inlineStr">
        <is>
          <t>mit.pbt.bio.srv</t>
        </is>
      </c>
      <c r="J66" s="5">
        <f>INDEX(Mapping!$C$5:$C$20,MATCH($C66,Mapping!$A$5:$A$20,0))</f>
        <v/>
      </c>
      <c r="K66" s="5">
        <f>INDEX(Mapping!$D$5:$D$20,MATCH($C66,Mapping!$A$5:$A$20,0))</f>
        <v/>
      </c>
      <c r="L66" s="5">
        <f>INDEX(Mapping!$C$24:$C$31,MATCH($B66,Mapping!$A$24:$A$31,0))</f>
        <v/>
      </c>
      <c r="M66" s="5">
        <f>INDEX(Mapping!$D$24:$D$31,MATCH($B66,Mapping!$A$24:$A$31,0))</f>
        <v/>
      </c>
      <c r="N66" s="5">
        <f>$B66&amp;"."&amp;IF(INDEX(Mapping!$E$24:$E$31,MATCH($B66,Mapping!$A$24:$A$31,0))="sub",INDEX(Mapping!$F$5:$F$20,MATCH($C66,Mapping!$A$5:$A$20,0)),"all")</f>
        <v/>
      </c>
      <c r="O66" s="5">
        <f>INDEX(Mapping!$E$5:$E$20,MATCH($C66,Mapping!$A$5:$A$20,0))</f>
        <v/>
      </c>
      <c r="P66" s="5">
        <f>INDEX(Mapping!$G$24:$G$31,MATCH($B66,Mapping!$A$24:$A$31,0))</f>
        <v/>
      </c>
      <c r="Q66" s="20" t="n">
        <v>0</v>
      </c>
      <c r="R66" s="21" t="n"/>
      <c r="S66" s="21" t="n"/>
      <c r="T66" s="21" t="n"/>
      <c r="U66" s="21" t="n"/>
      <c r="V66" s="22">
        <f>Q66</f>
        <v/>
      </c>
      <c r="W66" s="21" t="n"/>
      <c r="X66" s="21" t="n"/>
      <c r="Y66" s="21" t="n"/>
      <c r="Z66" s="21" t="n"/>
      <c r="AA66" s="22">
        <f>Q66</f>
        <v/>
      </c>
      <c r="AB66" s="21" t="n"/>
      <c r="AC66" s="21" t="n"/>
      <c r="AD66" s="21" t="n"/>
      <c r="AE66" s="21" t="n"/>
      <c r="AF66" s="22">
        <f>Q66</f>
        <v/>
      </c>
      <c r="AG66" s="21" t="n"/>
      <c r="AH66" s="21" t="n"/>
      <c r="AI66" s="21" t="n"/>
      <c r="AJ66" s="21" t="n"/>
      <c r="AL66" s="23">
        <f>INDEX(Prices_dom!$A$6:$CU$2000,MATCH(Settings!$C$4&amp;AL$5,Prices_dom!$A$6:$A$2000,0),MATCH("mit.sp."&amp;$N66,Prices_dom!$A$5:$CU$5,0))/$P66</f>
        <v/>
      </c>
      <c r="AM66" s="22">
        <f>AL66*(1+INDEX($Q66:$AJ66,1,(AM$4-1)*5+1))</f>
        <v/>
      </c>
      <c r="AN66" s="22">
        <f>AM66*(1+INDEX($Q66:$AJ66,1,(AN$4-1)*5+1))</f>
        <v/>
      </c>
      <c r="AO66" s="22">
        <f>AN66*(1+INDEX($Q66:$AJ66,1,(AO$4-1)*5+1))</f>
        <v/>
      </c>
      <c r="AP66" s="22">
        <f>AO66*(1+INDEX($Q66:$AJ66,1,(AP$4-1)*5+1))</f>
        <v/>
      </c>
      <c r="AQ66" s="22">
        <f>AP66*(1+INDEX($Q66:$AJ66,1,(AQ$4-1)*5+1))</f>
        <v/>
      </c>
      <c r="AR66" s="22">
        <f>AQ66*(1+INDEX($Q66:$AJ66,1,(AR$4-1)*5+1))</f>
        <v/>
      </c>
      <c r="AS66" s="22">
        <f>AR66*(1+INDEX($Q66:$AJ66,1,(AS$4-1)*5+1))</f>
        <v/>
      </c>
      <c r="AT66" s="22">
        <f>AS66*(1+INDEX($Q66:$AJ66,1,(AT$4-1)*5+1))</f>
        <v/>
      </c>
      <c r="AU66" s="22">
        <f>AT66*(1+INDEX($Q66:$AJ66,1,(AU$4-1)*5+1))</f>
        <v/>
      </c>
      <c r="AV66" s="22">
        <f>AU66*(1+INDEX($Q66:$AJ66,1,(AV$4-1)*5+1))</f>
        <v/>
      </c>
      <c r="AW66" s="22">
        <f>AV66*(1+INDEX($Q66:$AJ66,1,(AW$4-1)*5+1))</f>
        <v/>
      </c>
      <c r="AX66" s="22">
        <f>AW66*(1+INDEX($Q66:$AJ66,1,(AX$4-1)*5+1))</f>
        <v/>
      </c>
      <c r="AY66" s="22">
        <f>AX66*(1+INDEX($Q66:$AJ66,1,(AY$4-1)*5+1))</f>
        <v/>
      </c>
      <c r="BA66" s="23">
        <f>INDEX(Prices_dom!$A$6:$CU$2000,MATCH(Settings!$C$4&amp;BA$5,Prices_dom!$A$6:$A$2000,0),MATCH("mit.sp."&amp;$N66,Prices_dom!$A$5:$CU$5,0))/$P66</f>
        <v/>
      </c>
      <c r="BB66" s="22">
        <f>BA66*(1+INDEX($Q66:$AJ66,1,(BB$4-1)*5+1))</f>
        <v/>
      </c>
      <c r="BC66" s="22">
        <f>BB66*(1+INDEX($Q66:$AJ66,1,(BC$4-1)*5+1))</f>
        <v/>
      </c>
      <c r="BD66" s="22">
        <f>BC66*(1+INDEX($Q66:$AJ66,1,(BD$4-1)*5+1))</f>
        <v/>
      </c>
      <c r="BE66" s="22">
        <f>BD66*(1+INDEX($Q66:$AJ66,1,(BE$4-1)*5+1))</f>
        <v/>
      </c>
      <c r="BF66" s="22">
        <f>BE66*(1+INDEX($Q66:$AJ66,1,(BF$4-1)*5+1))</f>
        <v/>
      </c>
      <c r="BG66" s="22">
        <f>BF66*(1+INDEX($Q66:$AJ66,1,(BG$4-1)*5+1))</f>
        <v/>
      </c>
      <c r="BH66" s="22">
        <f>BG66*(1+INDEX($Q66:$AJ66,1,(BH$4-1)*5+1))</f>
        <v/>
      </c>
      <c r="BI66" s="22">
        <f>BH66*(1+INDEX($Q66:$AJ66,1,(BI$4-1)*5+1))</f>
        <v/>
      </c>
      <c r="BJ66" s="22">
        <f>BI66*(1+INDEX($Q66:$AJ66,1,(BJ$4-1)*5+1))</f>
        <v/>
      </c>
      <c r="BK66" s="22">
        <f>BJ66*(1+INDEX($Q66:$AJ66,1,(BK$4-1)*5+1))</f>
        <v/>
      </c>
      <c r="BL66" s="22">
        <f>BK66*(1+INDEX($Q66:$AJ66,1,(BL$4-1)*5+1))</f>
        <v/>
      </c>
      <c r="BM66" s="22">
        <f>BL66*(1+INDEX($Q66:$AJ66,1,(BM$4-1)*5+1))</f>
        <v/>
      </c>
      <c r="BN66" s="22">
        <f>BM66*(1+INDEX($Q66:$AJ66,1,(BN$4-1)*5+1))</f>
        <v/>
      </c>
    </row>
    <row r="67">
      <c r="B67" s="5" t="inlineStr">
        <is>
          <t>coa</t>
        </is>
      </c>
      <c r="C67" s="5" t="inlineStr">
        <is>
          <t>mch</t>
        </is>
      </c>
      <c r="D67" s="5" t="inlineStr">
        <is>
          <t>Pre-tax price | Mining &amp; chemicals | Coal</t>
        </is>
      </c>
      <c r="E67" s="5" t="inlineStr">
        <is>
          <t>$/GJ</t>
        </is>
      </c>
      <c r="F67" s="5" t="inlineStr">
        <is>
          <t>Prices_dom (base year), then growth</t>
        </is>
      </c>
      <c r="G67" s="19" t="inlineStr">
        <is>
          <t>mit.sp.coa</t>
        </is>
      </c>
      <c r="H67" s="19" t="inlineStr">
        <is>
          <t>mit.pbt.coa.mch</t>
        </is>
      </c>
      <c r="J67" s="5">
        <f>INDEX(Mapping!$C$5:$C$20,MATCH($C67,Mapping!$A$5:$A$20,0))</f>
        <v/>
      </c>
      <c r="K67" s="5">
        <f>INDEX(Mapping!$D$5:$D$20,MATCH($C67,Mapping!$A$5:$A$20,0))</f>
        <v/>
      </c>
      <c r="L67" s="5">
        <f>INDEX(Mapping!$C$24:$C$31,MATCH($B67,Mapping!$A$24:$A$31,0))</f>
        <v/>
      </c>
      <c r="M67" s="5">
        <f>INDEX(Mapping!$D$24:$D$31,MATCH($B67,Mapping!$A$24:$A$31,0))</f>
        <v/>
      </c>
      <c r="N67" s="5">
        <f>$B67&amp;"."&amp;IF(INDEX(Mapping!$E$24:$E$31,MATCH($B67,Mapping!$A$24:$A$31,0))="sub",INDEX(Mapping!$F$5:$F$20,MATCH($C67,Mapping!$A$5:$A$20,0)),"all")</f>
        <v/>
      </c>
      <c r="O67" s="5">
        <f>INDEX(Mapping!$E$5:$E$20,MATCH($C67,Mapping!$A$5:$A$20,0))</f>
        <v/>
      </c>
      <c r="P67" s="5">
        <f>INDEX(Mapping!$G$24:$G$31,MATCH($B67,Mapping!$A$24:$A$31,0))</f>
        <v/>
      </c>
      <c r="Q67" s="20" t="n">
        <v>0</v>
      </c>
      <c r="R67" s="21" t="n"/>
      <c r="S67" s="21" t="n"/>
      <c r="T67" s="21" t="n"/>
      <c r="U67" s="21" t="n"/>
      <c r="V67" s="22">
        <f>Q67</f>
        <v/>
      </c>
      <c r="W67" s="21" t="n"/>
      <c r="X67" s="21" t="n"/>
      <c r="Y67" s="21" t="n"/>
      <c r="Z67" s="21" t="n"/>
      <c r="AA67" s="22">
        <f>Q67</f>
        <v/>
      </c>
      <c r="AB67" s="21" t="n"/>
      <c r="AC67" s="21" t="n"/>
      <c r="AD67" s="21" t="n"/>
      <c r="AE67" s="21" t="n"/>
      <c r="AF67" s="22">
        <f>Q67</f>
        <v/>
      </c>
      <c r="AG67" s="21" t="n"/>
      <c r="AH67" s="21" t="n"/>
      <c r="AI67" s="21" t="n"/>
      <c r="AJ67" s="21" t="n"/>
      <c r="AL67" s="23">
        <f>INDEX(Prices_dom!$A$6:$CU$2000,MATCH(Settings!$C$4&amp;AL$5,Prices_dom!$A$6:$A$2000,0),MATCH("mit.sp."&amp;$N67,Prices_dom!$A$5:$CU$5,0))/$P67</f>
        <v/>
      </c>
      <c r="AM67" s="22">
        <f>AL67*(1+INDEX($Q67:$AJ67,1,(AM$4-1)*5+1))</f>
        <v/>
      </c>
      <c r="AN67" s="22">
        <f>AM67*(1+INDEX($Q67:$AJ67,1,(AN$4-1)*5+1))</f>
        <v/>
      </c>
      <c r="AO67" s="22">
        <f>AN67*(1+INDEX($Q67:$AJ67,1,(AO$4-1)*5+1))</f>
        <v/>
      </c>
      <c r="AP67" s="22">
        <f>AO67*(1+INDEX($Q67:$AJ67,1,(AP$4-1)*5+1))</f>
        <v/>
      </c>
      <c r="AQ67" s="22">
        <f>AP67*(1+INDEX($Q67:$AJ67,1,(AQ$4-1)*5+1))</f>
        <v/>
      </c>
      <c r="AR67" s="22">
        <f>AQ67*(1+INDEX($Q67:$AJ67,1,(AR$4-1)*5+1))</f>
        <v/>
      </c>
      <c r="AS67" s="22">
        <f>AR67*(1+INDEX($Q67:$AJ67,1,(AS$4-1)*5+1))</f>
        <v/>
      </c>
      <c r="AT67" s="22">
        <f>AS67*(1+INDEX($Q67:$AJ67,1,(AT$4-1)*5+1))</f>
        <v/>
      </c>
      <c r="AU67" s="22">
        <f>AT67*(1+INDEX($Q67:$AJ67,1,(AU$4-1)*5+1))</f>
        <v/>
      </c>
      <c r="AV67" s="22">
        <f>AU67*(1+INDEX($Q67:$AJ67,1,(AV$4-1)*5+1))</f>
        <v/>
      </c>
      <c r="AW67" s="22">
        <f>AV67*(1+INDEX($Q67:$AJ67,1,(AW$4-1)*5+1))</f>
        <v/>
      </c>
      <c r="AX67" s="22">
        <f>AW67*(1+INDEX($Q67:$AJ67,1,(AX$4-1)*5+1))</f>
        <v/>
      </c>
      <c r="AY67" s="22">
        <f>AX67*(1+INDEX($Q67:$AJ67,1,(AY$4-1)*5+1))</f>
        <v/>
      </c>
      <c r="BA67" s="23">
        <f>INDEX(Prices_dom!$A$6:$CU$2000,MATCH(Settings!$C$4&amp;BA$5,Prices_dom!$A$6:$A$2000,0),MATCH("mit.sp."&amp;$N67,Prices_dom!$A$5:$CU$5,0))/$P67</f>
        <v/>
      </c>
      <c r="BB67" s="22">
        <f>BA67*(1+INDEX($Q67:$AJ67,1,(BB$4-1)*5+1))</f>
        <v/>
      </c>
      <c r="BC67" s="22">
        <f>BB67*(1+INDEX($Q67:$AJ67,1,(BC$4-1)*5+1))</f>
        <v/>
      </c>
      <c r="BD67" s="22">
        <f>BC67*(1+INDEX($Q67:$AJ67,1,(BD$4-1)*5+1))</f>
        <v/>
      </c>
      <c r="BE67" s="22">
        <f>BD67*(1+INDEX($Q67:$AJ67,1,(BE$4-1)*5+1))</f>
        <v/>
      </c>
      <c r="BF67" s="22">
        <f>BE67*(1+INDEX($Q67:$AJ67,1,(BF$4-1)*5+1))</f>
        <v/>
      </c>
      <c r="BG67" s="22">
        <f>BF67*(1+INDEX($Q67:$AJ67,1,(BG$4-1)*5+1))</f>
        <v/>
      </c>
      <c r="BH67" s="22">
        <f>BG67*(1+INDEX($Q67:$AJ67,1,(BH$4-1)*5+1))</f>
        <v/>
      </c>
      <c r="BI67" s="22">
        <f>BH67*(1+INDEX($Q67:$AJ67,1,(BI$4-1)*5+1))</f>
        <v/>
      </c>
      <c r="BJ67" s="22">
        <f>BI67*(1+INDEX($Q67:$AJ67,1,(BJ$4-1)*5+1))</f>
        <v/>
      </c>
      <c r="BK67" s="22">
        <f>BJ67*(1+INDEX($Q67:$AJ67,1,(BK$4-1)*5+1))</f>
        <v/>
      </c>
      <c r="BL67" s="22">
        <f>BK67*(1+INDEX($Q67:$AJ67,1,(BL$4-1)*5+1))</f>
        <v/>
      </c>
      <c r="BM67" s="22">
        <f>BL67*(1+INDEX($Q67:$AJ67,1,(BM$4-1)*5+1))</f>
        <v/>
      </c>
      <c r="BN67" s="22">
        <f>BM67*(1+INDEX($Q67:$AJ67,1,(BN$4-1)*5+1))</f>
        <v/>
      </c>
    </row>
    <row r="68">
      <c r="B68" s="5" t="inlineStr">
        <is>
          <t>nga</t>
        </is>
      </c>
      <c r="C68" s="5" t="inlineStr">
        <is>
          <t>mch</t>
        </is>
      </c>
      <c r="D68" s="5" t="inlineStr">
        <is>
          <t>Pre-tax price | Mining &amp; chemicals | Natural gas</t>
        </is>
      </c>
      <c r="E68" s="5" t="inlineStr">
        <is>
          <t>$/GJ</t>
        </is>
      </c>
      <c r="F68" s="5" t="inlineStr">
        <is>
          <t>Prices_dom (base year), then growth</t>
        </is>
      </c>
      <c r="G68" s="19" t="inlineStr">
        <is>
          <t>mit.sp.nga</t>
        </is>
      </c>
      <c r="H68" s="19" t="inlineStr">
        <is>
          <t>mit.pbt.nga.mch</t>
        </is>
      </c>
      <c r="J68" s="5">
        <f>INDEX(Mapping!$C$5:$C$20,MATCH($C68,Mapping!$A$5:$A$20,0))</f>
        <v/>
      </c>
      <c r="K68" s="5">
        <f>INDEX(Mapping!$D$5:$D$20,MATCH($C68,Mapping!$A$5:$A$20,0))</f>
        <v/>
      </c>
      <c r="L68" s="5">
        <f>INDEX(Mapping!$C$24:$C$31,MATCH($B68,Mapping!$A$24:$A$31,0))</f>
        <v/>
      </c>
      <c r="M68" s="5">
        <f>INDEX(Mapping!$D$24:$D$31,MATCH($B68,Mapping!$A$24:$A$31,0))</f>
        <v/>
      </c>
      <c r="N68" s="5">
        <f>$B68&amp;"."&amp;IF(INDEX(Mapping!$E$24:$E$31,MATCH($B68,Mapping!$A$24:$A$31,0))="sub",INDEX(Mapping!$F$5:$F$20,MATCH($C68,Mapping!$A$5:$A$20,0)),"all")</f>
        <v/>
      </c>
      <c r="O68" s="5">
        <f>INDEX(Mapping!$E$5:$E$20,MATCH($C68,Mapping!$A$5:$A$20,0))</f>
        <v/>
      </c>
      <c r="P68" s="5">
        <f>INDEX(Mapping!$G$24:$G$31,MATCH($B68,Mapping!$A$24:$A$31,0))</f>
        <v/>
      </c>
      <c r="Q68" s="20" t="n">
        <v>0</v>
      </c>
      <c r="R68" s="21" t="n"/>
      <c r="S68" s="21" t="n"/>
      <c r="T68" s="21" t="n"/>
      <c r="U68" s="21" t="n"/>
      <c r="V68" s="22">
        <f>Q68</f>
        <v/>
      </c>
      <c r="W68" s="21" t="n"/>
      <c r="X68" s="21" t="n"/>
      <c r="Y68" s="21" t="n"/>
      <c r="Z68" s="21" t="n"/>
      <c r="AA68" s="22">
        <f>Q68</f>
        <v/>
      </c>
      <c r="AB68" s="21" t="n"/>
      <c r="AC68" s="21" t="n"/>
      <c r="AD68" s="21" t="n"/>
      <c r="AE68" s="21" t="n"/>
      <c r="AF68" s="22">
        <f>Q68</f>
        <v/>
      </c>
      <c r="AG68" s="21" t="n"/>
      <c r="AH68" s="21" t="n"/>
      <c r="AI68" s="21" t="n"/>
      <c r="AJ68" s="21" t="n"/>
      <c r="AL68" s="23">
        <f>INDEX(Prices_dom!$A$6:$CU$2000,MATCH(Settings!$C$4&amp;AL$5,Prices_dom!$A$6:$A$2000,0),MATCH("mit.sp."&amp;$N68,Prices_dom!$A$5:$CU$5,0))/$P68</f>
        <v/>
      </c>
      <c r="AM68" s="22">
        <f>AL68*(1+INDEX($Q68:$AJ68,1,(AM$4-1)*5+1))</f>
        <v/>
      </c>
      <c r="AN68" s="22">
        <f>AM68*(1+INDEX($Q68:$AJ68,1,(AN$4-1)*5+1))</f>
        <v/>
      </c>
      <c r="AO68" s="22">
        <f>AN68*(1+INDEX($Q68:$AJ68,1,(AO$4-1)*5+1))</f>
        <v/>
      </c>
      <c r="AP68" s="22">
        <f>AO68*(1+INDEX($Q68:$AJ68,1,(AP$4-1)*5+1))</f>
        <v/>
      </c>
      <c r="AQ68" s="22">
        <f>AP68*(1+INDEX($Q68:$AJ68,1,(AQ$4-1)*5+1))</f>
        <v/>
      </c>
      <c r="AR68" s="22">
        <f>AQ68*(1+INDEX($Q68:$AJ68,1,(AR$4-1)*5+1))</f>
        <v/>
      </c>
      <c r="AS68" s="22">
        <f>AR68*(1+INDEX($Q68:$AJ68,1,(AS$4-1)*5+1))</f>
        <v/>
      </c>
      <c r="AT68" s="22">
        <f>AS68*(1+INDEX($Q68:$AJ68,1,(AT$4-1)*5+1))</f>
        <v/>
      </c>
      <c r="AU68" s="22">
        <f>AT68*(1+INDEX($Q68:$AJ68,1,(AU$4-1)*5+1))</f>
        <v/>
      </c>
      <c r="AV68" s="22">
        <f>AU68*(1+INDEX($Q68:$AJ68,1,(AV$4-1)*5+1))</f>
        <v/>
      </c>
      <c r="AW68" s="22">
        <f>AV68*(1+INDEX($Q68:$AJ68,1,(AW$4-1)*5+1))</f>
        <v/>
      </c>
      <c r="AX68" s="22">
        <f>AW68*(1+INDEX($Q68:$AJ68,1,(AX$4-1)*5+1))</f>
        <v/>
      </c>
      <c r="AY68" s="22">
        <f>AX68*(1+INDEX($Q68:$AJ68,1,(AY$4-1)*5+1))</f>
        <v/>
      </c>
      <c r="BA68" s="23">
        <f>INDEX(Prices_dom!$A$6:$CU$2000,MATCH(Settings!$C$4&amp;BA$5,Prices_dom!$A$6:$A$2000,0),MATCH("mit.sp."&amp;$N68,Prices_dom!$A$5:$CU$5,0))/$P68</f>
        <v/>
      </c>
      <c r="BB68" s="22">
        <f>BA68*(1+INDEX($Q68:$AJ68,1,(BB$4-1)*5+1))</f>
        <v/>
      </c>
      <c r="BC68" s="22">
        <f>BB68*(1+INDEX($Q68:$AJ68,1,(BC$4-1)*5+1))</f>
        <v/>
      </c>
      <c r="BD68" s="22">
        <f>BC68*(1+INDEX($Q68:$AJ68,1,(BD$4-1)*5+1))</f>
        <v/>
      </c>
      <c r="BE68" s="22">
        <f>BD68*(1+INDEX($Q68:$AJ68,1,(BE$4-1)*5+1))</f>
        <v/>
      </c>
      <c r="BF68" s="22">
        <f>BE68*(1+INDEX($Q68:$AJ68,1,(BF$4-1)*5+1))</f>
        <v/>
      </c>
      <c r="BG68" s="22">
        <f>BF68*(1+INDEX($Q68:$AJ68,1,(BG$4-1)*5+1))</f>
        <v/>
      </c>
      <c r="BH68" s="22">
        <f>BG68*(1+INDEX($Q68:$AJ68,1,(BH$4-1)*5+1))</f>
        <v/>
      </c>
      <c r="BI68" s="22">
        <f>BH68*(1+INDEX($Q68:$AJ68,1,(BI$4-1)*5+1))</f>
        <v/>
      </c>
      <c r="BJ68" s="22">
        <f>BI68*(1+INDEX($Q68:$AJ68,1,(BJ$4-1)*5+1))</f>
        <v/>
      </c>
      <c r="BK68" s="22">
        <f>BJ68*(1+INDEX($Q68:$AJ68,1,(BK$4-1)*5+1))</f>
        <v/>
      </c>
      <c r="BL68" s="22">
        <f>BK68*(1+INDEX($Q68:$AJ68,1,(BL$4-1)*5+1))</f>
        <v/>
      </c>
      <c r="BM68" s="22">
        <f>BL68*(1+INDEX($Q68:$AJ68,1,(BM$4-1)*5+1))</f>
        <v/>
      </c>
      <c r="BN68" s="22">
        <f>BM68*(1+INDEX($Q68:$AJ68,1,(BN$4-1)*5+1))</f>
        <v/>
      </c>
    </row>
    <row r="69">
      <c r="B69" s="5" t="inlineStr">
        <is>
          <t>gso</t>
        </is>
      </c>
      <c r="C69" s="5" t="inlineStr">
        <is>
          <t>mch</t>
        </is>
      </c>
      <c r="D69" s="5" t="inlineStr">
        <is>
          <t>Pre-tax price | Mining &amp; chemicals | Gasoline</t>
        </is>
      </c>
      <c r="E69" s="5" t="inlineStr">
        <is>
          <t>$/GJ</t>
        </is>
      </c>
      <c r="F69" s="5" t="inlineStr">
        <is>
          <t>Prices_dom (base year), then growth</t>
        </is>
      </c>
      <c r="G69" s="19" t="inlineStr">
        <is>
          <t>mit.sp.gso</t>
        </is>
      </c>
      <c r="H69" s="19" t="inlineStr">
        <is>
          <t>mit.pbt.gso.mch</t>
        </is>
      </c>
      <c r="J69" s="5">
        <f>INDEX(Mapping!$C$5:$C$20,MATCH($C69,Mapping!$A$5:$A$20,0))</f>
        <v/>
      </c>
      <c r="K69" s="5">
        <f>INDEX(Mapping!$D$5:$D$20,MATCH($C69,Mapping!$A$5:$A$20,0))</f>
        <v/>
      </c>
      <c r="L69" s="5">
        <f>INDEX(Mapping!$C$24:$C$31,MATCH($B69,Mapping!$A$24:$A$31,0))</f>
        <v/>
      </c>
      <c r="M69" s="5">
        <f>INDEX(Mapping!$D$24:$D$31,MATCH($B69,Mapping!$A$24:$A$31,0))</f>
        <v/>
      </c>
      <c r="N69" s="5">
        <f>$B69&amp;"."&amp;IF(INDEX(Mapping!$E$24:$E$31,MATCH($B69,Mapping!$A$24:$A$31,0))="sub",INDEX(Mapping!$F$5:$F$20,MATCH($C69,Mapping!$A$5:$A$20,0)),"all")</f>
        <v/>
      </c>
      <c r="O69" s="5">
        <f>INDEX(Mapping!$E$5:$E$20,MATCH($C69,Mapping!$A$5:$A$20,0))</f>
        <v/>
      </c>
      <c r="P69" s="5">
        <f>INDEX(Mapping!$G$24:$G$31,MATCH($B69,Mapping!$A$24:$A$31,0))</f>
        <v/>
      </c>
      <c r="Q69" s="20" t="n">
        <v>0</v>
      </c>
      <c r="R69" s="21" t="n"/>
      <c r="S69" s="21" t="n"/>
      <c r="T69" s="21" t="n"/>
      <c r="U69" s="21" t="n"/>
      <c r="V69" s="22">
        <f>Q69</f>
        <v/>
      </c>
      <c r="W69" s="21" t="n"/>
      <c r="X69" s="21" t="n"/>
      <c r="Y69" s="21" t="n"/>
      <c r="Z69" s="21" t="n"/>
      <c r="AA69" s="22">
        <f>Q69</f>
        <v/>
      </c>
      <c r="AB69" s="21" t="n"/>
      <c r="AC69" s="21" t="n"/>
      <c r="AD69" s="21" t="n"/>
      <c r="AE69" s="21" t="n"/>
      <c r="AF69" s="22">
        <f>Q69</f>
        <v/>
      </c>
      <c r="AG69" s="21" t="n"/>
      <c r="AH69" s="21" t="n"/>
      <c r="AI69" s="21" t="n"/>
      <c r="AJ69" s="21" t="n"/>
      <c r="AL69" s="23">
        <f>INDEX(Prices_dom!$A$6:$CU$2000,MATCH(Settings!$C$4&amp;AL$5,Prices_dom!$A$6:$A$2000,0),MATCH("mit.sp."&amp;$N69,Prices_dom!$A$5:$CU$5,0))/$P69</f>
        <v/>
      </c>
      <c r="AM69" s="22">
        <f>AL69*(1+INDEX($Q69:$AJ69,1,(AM$4-1)*5+1))</f>
        <v/>
      </c>
      <c r="AN69" s="22">
        <f>AM69*(1+INDEX($Q69:$AJ69,1,(AN$4-1)*5+1))</f>
        <v/>
      </c>
      <c r="AO69" s="22">
        <f>AN69*(1+INDEX($Q69:$AJ69,1,(AO$4-1)*5+1))</f>
        <v/>
      </c>
      <c r="AP69" s="22">
        <f>AO69*(1+INDEX($Q69:$AJ69,1,(AP$4-1)*5+1))</f>
        <v/>
      </c>
      <c r="AQ69" s="22">
        <f>AP69*(1+INDEX($Q69:$AJ69,1,(AQ$4-1)*5+1))</f>
        <v/>
      </c>
      <c r="AR69" s="22">
        <f>AQ69*(1+INDEX($Q69:$AJ69,1,(AR$4-1)*5+1))</f>
        <v/>
      </c>
      <c r="AS69" s="22">
        <f>AR69*(1+INDEX($Q69:$AJ69,1,(AS$4-1)*5+1))</f>
        <v/>
      </c>
      <c r="AT69" s="22">
        <f>AS69*(1+INDEX($Q69:$AJ69,1,(AT$4-1)*5+1))</f>
        <v/>
      </c>
      <c r="AU69" s="22">
        <f>AT69*(1+INDEX($Q69:$AJ69,1,(AU$4-1)*5+1))</f>
        <v/>
      </c>
      <c r="AV69" s="22">
        <f>AU69*(1+INDEX($Q69:$AJ69,1,(AV$4-1)*5+1))</f>
        <v/>
      </c>
      <c r="AW69" s="22">
        <f>AV69*(1+INDEX($Q69:$AJ69,1,(AW$4-1)*5+1))</f>
        <v/>
      </c>
      <c r="AX69" s="22">
        <f>AW69*(1+INDEX($Q69:$AJ69,1,(AX$4-1)*5+1))</f>
        <v/>
      </c>
      <c r="AY69" s="22">
        <f>AX69*(1+INDEX($Q69:$AJ69,1,(AY$4-1)*5+1))</f>
        <v/>
      </c>
      <c r="BA69" s="23">
        <f>INDEX(Prices_dom!$A$6:$CU$2000,MATCH(Settings!$C$4&amp;BA$5,Prices_dom!$A$6:$A$2000,0),MATCH("mit.sp."&amp;$N69,Prices_dom!$A$5:$CU$5,0))/$P69</f>
        <v/>
      </c>
      <c r="BB69" s="22">
        <f>BA69*(1+INDEX($Q69:$AJ69,1,(BB$4-1)*5+1))</f>
        <v/>
      </c>
      <c r="BC69" s="22">
        <f>BB69*(1+INDEX($Q69:$AJ69,1,(BC$4-1)*5+1))</f>
        <v/>
      </c>
      <c r="BD69" s="22">
        <f>BC69*(1+INDEX($Q69:$AJ69,1,(BD$4-1)*5+1))</f>
        <v/>
      </c>
      <c r="BE69" s="22">
        <f>BD69*(1+INDEX($Q69:$AJ69,1,(BE$4-1)*5+1))</f>
        <v/>
      </c>
      <c r="BF69" s="22">
        <f>BE69*(1+INDEX($Q69:$AJ69,1,(BF$4-1)*5+1))</f>
        <v/>
      </c>
      <c r="BG69" s="22">
        <f>BF69*(1+INDEX($Q69:$AJ69,1,(BG$4-1)*5+1))</f>
        <v/>
      </c>
      <c r="BH69" s="22">
        <f>BG69*(1+INDEX($Q69:$AJ69,1,(BH$4-1)*5+1))</f>
        <v/>
      </c>
      <c r="BI69" s="22">
        <f>BH69*(1+INDEX($Q69:$AJ69,1,(BI$4-1)*5+1))</f>
        <v/>
      </c>
      <c r="BJ69" s="22">
        <f>BI69*(1+INDEX($Q69:$AJ69,1,(BJ$4-1)*5+1))</f>
        <v/>
      </c>
      <c r="BK69" s="22">
        <f>BJ69*(1+INDEX($Q69:$AJ69,1,(BK$4-1)*5+1))</f>
        <v/>
      </c>
      <c r="BL69" s="22">
        <f>BK69*(1+INDEX($Q69:$AJ69,1,(BL$4-1)*5+1))</f>
        <v/>
      </c>
      <c r="BM69" s="22">
        <f>BL69*(1+INDEX($Q69:$AJ69,1,(BM$4-1)*5+1))</f>
        <v/>
      </c>
      <c r="BN69" s="22">
        <f>BM69*(1+INDEX($Q69:$AJ69,1,(BN$4-1)*5+1))</f>
        <v/>
      </c>
    </row>
    <row r="70">
      <c r="B70" s="5" t="inlineStr">
        <is>
          <t>die</t>
        </is>
      </c>
      <c r="C70" s="5" t="inlineStr">
        <is>
          <t>mch</t>
        </is>
      </c>
      <c r="D70" s="5" t="inlineStr">
        <is>
          <t>Pre-tax price | Mining &amp; chemicals | Diesel</t>
        </is>
      </c>
      <c r="E70" s="5" t="inlineStr">
        <is>
          <t>$/GJ</t>
        </is>
      </c>
      <c r="F70" s="5" t="inlineStr">
        <is>
          <t>Prices_dom (base year), then growth</t>
        </is>
      </c>
      <c r="G70" s="19" t="inlineStr">
        <is>
          <t>mit.sp.die</t>
        </is>
      </c>
      <c r="H70" s="19" t="inlineStr">
        <is>
          <t>mit.pbt.die.mch</t>
        </is>
      </c>
      <c r="J70" s="5">
        <f>INDEX(Mapping!$C$5:$C$20,MATCH($C70,Mapping!$A$5:$A$20,0))</f>
        <v/>
      </c>
      <c r="K70" s="5">
        <f>INDEX(Mapping!$D$5:$D$20,MATCH($C70,Mapping!$A$5:$A$20,0))</f>
        <v/>
      </c>
      <c r="L70" s="5">
        <f>INDEX(Mapping!$C$24:$C$31,MATCH($B70,Mapping!$A$24:$A$31,0))</f>
        <v/>
      </c>
      <c r="M70" s="5">
        <f>INDEX(Mapping!$D$24:$D$31,MATCH($B70,Mapping!$A$24:$A$31,0))</f>
        <v/>
      </c>
      <c r="N70" s="5">
        <f>$B70&amp;"."&amp;IF(INDEX(Mapping!$E$24:$E$31,MATCH($B70,Mapping!$A$24:$A$31,0))="sub",INDEX(Mapping!$F$5:$F$20,MATCH($C70,Mapping!$A$5:$A$20,0)),"all")</f>
        <v/>
      </c>
      <c r="O70" s="5">
        <f>INDEX(Mapping!$E$5:$E$20,MATCH($C70,Mapping!$A$5:$A$20,0))</f>
        <v/>
      </c>
      <c r="P70" s="5">
        <f>INDEX(Mapping!$G$24:$G$31,MATCH($B70,Mapping!$A$24:$A$31,0))</f>
        <v/>
      </c>
      <c r="Q70" s="20" t="n">
        <v>0</v>
      </c>
      <c r="R70" s="21" t="n"/>
      <c r="S70" s="21" t="n"/>
      <c r="T70" s="21" t="n"/>
      <c r="U70" s="21" t="n"/>
      <c r="V70" s="22">
        <f>Q70</f>
        <v/>
      </c>
      <c r="W70" s="21" t="n"/>
      <c r="X70" s="21" t="n"/>
      <c r="Y70" s="21" t="n"/>
      <c r="Z70" s="21" t="n"/>
      <c r="AA70" s="22">
        <f>Q70</f>
        <v/>
      </c>
      <c r="AB70" s="21" t="n"/>
      <c r="AC70" s="21" t="n"/>
      <c r="AD70" s="21" t="n"/>
      <c r="AE70" s="21" t="n"/>
      <c r="AF70" s="22">
        <f>Q70</f>
        <v/>
      </c>
      <c r="AG70" s="21" t="n"/>
      <c r="AH70" s="21" t="n"/>
      <c r="AI70" s="21" t="n"/>
      <c r="AJ70" s="21" t="n"/>
      <c r="AL70" s="23">
        <f>INDEX(Prices_dom!$A$6:$CU$2000,MATCH(Settings!$C$4&amp;AL$5,Prices_dom!$A$6:$A$2000,0),MATCH("mit.sp."&amp;$N70,Prices_dom!$A$5:$CU$5,0))/$P70</f>
        <v/>
      </c>
      <c r="AM70" s="22">
        <f>AL70*(1+INDEX($Q70:$AJ70,1,(AM$4-1)*5+1))</f>
        <v/>
      </c>
      <c r="AN70" s="22">
        <f>AM70*(1+INDEX($Q70:$AJ70,1,(AN$4-1)*5+1))</f>
        <v/>
      </c>
      <c r="AO70" s="22">
        <f>AN70*(1+INDEX($Q70:$AJ70,1,(AO$4-1)*5+1))</f>
        <v/>
      </c>
      <c r="AP70" s="22">
        <f>AO70*(1+INDEX($Q70:$AJ70,1,(AP$4-1)*5+1))</f>
        <v/>
      </c>
      <c r="AQ70" s="22">
        <f>AP70*(1+INDEX($Q70:$AJ70,1,(AQ$4-1)*5+1))</f>
        <v/>
      </c>
      <c r="AR70" s="22">
        <f>AQ70*(1+INDEX($Q70:$AJ70,1,(AR$4-1)*5+1))</f>
        <v/>
      </c>
      <c r="AS70" s="22">
        <f>AR70*(1+INDEX($Q70:$AJ70,1,(AS$4-1)*5+1))</f>
        <v/>
      </c>
      <c r="AT70" s="22">
        <f>AS70*(1+INDEX($Q70:$AJ70,1,(AT$4-1)*5+1))</f>
        <v/>
      </c>
      <c r="AU70" s="22">
        <f>AT70*(1+INDEX($Q70:$AJ70,1,(AU$4-1)*5+1))</f>
        <v/>
      </c>
      <c r="AV70" s="22">
        <f>AU70*(1+INDEX($Q70:$AJ70,1,(AV$4-1)*5+1))</f>
        <v/>
      </c>
      <c r="AW70" s="22">
        <f>AV70*(1+INDEX($Q70:$AJ70,1,(AW$4-1)*5+1))</f>
        <v/>
      </c>
      <c r="AX70" s="22">
        <f>AW70*(1+INDEX($Q70:$AJ70,1,(AX$4-1)*5+1))</f>
        <v/>
      </c>
      <c r="AY70" s="22">
        <f>AX70*(1+INDEX($Q70:$AJ70,1,(AY$4-1)*5+1))</f>
        <v/>
      </c>
      <c r="BA70" s="23">
        <f>INDEX(Prices_dom!$A$6:$CU$2000,MATCH(Settings!$C$4&amp;BA$5,Prices_dom!$A$6:$A$2000,0),MATCH("mit.sp."&amp;$N70,Prices_dom!$A$5:$CU$5,0))/$P70</f>
        <v/>
      </c>
      <c r="BB70" s="22">
        <f>BA70*(1+INDEX($Q70:$AJ70,1,(BB$4-1)*5+1))</f>
        <v/>
      </c>
      <c r="BC70" s="22">
        <f>BB70*(1+INDEX($Q70:$AJ70,1,(BC$4-1)*5+1))</f>
        <v/>
      </c>
      <c r="BD70" s="22">
        <f>BC70*(1+INDEX($Q70:$AJ70,1,(BD$4-1)*5+1))</f>
        <v/>
      </c>
      <c r="BE70" s="22">
        <f>BD70*(1+INDEX($Q70:$AJ70,1,(BE$4-1)*5+1))</f>
        <v/>
      </c>
      <c r="BF70" s="22">
        <f>BE70*(1+INDEX($Q70:$AJ70,1,(BF$4-1)*5+1))</f>
        <v/>
      </c>
      <c r="BG70" s="22">
        <f>BF70*(1+INDEX($Q70:$AJ70,1,(BG$4-1)*5+1))</f>
        <v/>
      </c>
      <c r="BH70" s="22">
        <f>BG70*(1+INDEX($Q70:$AJ70,1,(BH$4-1)*5+1))</f>
        <v/>
      </c>
      <c r="BI70" s="22">
        <f>BH70*(1+INDEX($Q70:$AJ70,1,(BI$4-1)*5+1))</f>
        <v/>
      </c>
      <c r="BJ70" s="22">
        <f>BI70*(1+INDEX($Q70:$AJ70,1,(BJ$4-1)*5+1))</f>
        <v/>
      </c>
      <c r="BK70" s="22">
        <f>BJ70*(1+INDEX($Q70:$AJ70,1,(BK$4-1)*5+1))</f>
        <v/>
      </c>
      <c r="BL70" s="22">
        <f>BK70*(1+INDEX($Q70:$AJ70,1,(BL$4-1)*5+1))</f>
        <v/>
      </c>
      <c r="BM70" s="22">
        <f>BL70*(1+INDEX($Q70:$AJ70,1,(BM$4-1)*5+1))</f>
        <v/>
      </c>
      <c r="BN70" s="22">
        <f>BM70*(1+INDEX($Q70:$AJ70,1,(BN$4-1)*5+1))</f>
        <v/>
      </c>
    </row>
    <row r="71">
      <c r="B71" s="5" t="inlineStr">
        <is>
          <t>lpg</t>
        </is>
      </c>
      <c r="C71" s="5" t="inlineStr">
        <is>
          <t>mch</t>
        </is>
      </c>
      <c r="D71" s="5" t="inlineStr">
        <is>
          <t>Pre-tax price | Mining &amp; chemicals | LPG</t>
        </is>
      </c>
      <c r="E71" s="5" t="inlineStr">
        <is>
          <t>$/GJ</t>
        </is>
      </c>
      <c r="F71" s="5" t="inlineStr">
        <is>
          <t>Prices_dom (base year), then growth</t>
        </is>
      </c>
      <c r="G71" s="19" t="inlineStr">
        <is>
          <t>mit.sp.lpg</t>
        </is>
      </c>
      <c r="H71" s="19" t="inlineStr">
        <is>
          <t>mit.pbt.lpg.mch</t>
        </is>
      </c>
      <c r="J71" s="5">
        <f>INDEX(Mapping!$C$5:$C$20,MATCH($C71,Mapping!$A$5:$A$20,0))</f>
        <v/>
      </c>
      <c r="K71" s="5">
        <f>INDEX(Mapping!$D$5:$D$20,MATCH($C71,Mapping!$A$5:$A$20,0))</f>
        <v/>
      </c>
      <c r="L71" s="5">
        <f>INDEX(Mapping!$C$24:$C$31,MATCH($B71,Mapping!$A$24:$A$31,0))</f>
        <v/>
      </c>
      <c r="M71" s="5">
        <f>INDEX(Mapping!$D$24:$D$31,MATCH($B71,Mapping!$A$24:$A$31,0))</f>
        <v/>
      </c>
      <c r="N71" s="5">
        <f>$B71&amp;"."&amp;IF(INDEX(Mapping!$E$24:$E$31,MATCH($B71,Mapping!$A$24:$A$31,0))="sub",INDEX(Mapping!$F$5:$F$20,MATCH($C71,Mapping!$A$5:$A$20,0)),"all")</f>
        <v/>
      </c>
      <c r="O71" s="5">
        <f>INDEX(Mapping!$E$5:$E$20,MATCH($C71,Mapping!$A$5:$A$20,0))</f>
        <v/>
      </c>
      <c r="P71" s="5">
        <f>INDEX(Mapping!$G$24:$G$31,MATCH($B71,Mapping!$A$24:$A$31,0))</f>
        <v/>
      </c>
      <c r="Q71" s="20" t="n">
        <v>0</v>
      </c>
      <c r="R71" s="21" t="n"/>
      <c r="S71" s="21" t="n"/>
      <c r="T71" s="21" t="n"/>
      <c r="U71" s="21" t="n"/>
      <c r="V71" s="22">
        <f>Q71</f>
        <v/>
      </c>
      <c r="W71" s="21" t="n"/>
      <c r="X71" s="21" t="n"/>
      <c r="Y71" s="21" t="n"/>
      <c r="Z71" s="21" t="n"/>
      <c r="AA71" s="22">
        <f>Q71</f>
        <v/>
      </c>
      <c r="AB71" s="21" t="n"/>
      <c r="AC71" s="21" t="n"/>
      <c r="AD71" s="21" t="n"/>
      <c r="AE71" s="21" t="n"/>
      <c r="AF71" s="22">
        <f>Q71</f>
        <v/>
      </c>
      <c r="AG71" s="21" t="n"/>
      <c r="AH71" s="21" t="n"/>
      <c r="AI71" s="21" t="n"/>
      <c r="AJ71" s="21" t="n"/>
      <c r="AL71" s="23">
        <f>INDEX(Prices_dom!$A$6:$CU$2000,MATCH(Settings!$C$4&amp;AL$5,Prices_dom!$A$6:$A$2000,0),MATCH("mit.sp."&amp;$N71,Prices_dom!$A$5:$CU$5,0))/$P71</f>
        <v/>
      </c>
      <c r="AM71" s="22">
        <f>AL71*(1+INDEX($Q71:$AJ71,1,(AM$4-1)*5+1))</f>
        <v/>
      </c>
      <c r="AN71" s="22">
        <f>AM71*(1+INDEX($Q71:$AJ71,1,(AN$4-1)*5+1))</f>
        <v/>
      </c>
      <c r="AO71" s="22">
        <f>AN71*(1+INDEX($Q71:$AJ71,1,(AO$4-1)*5+1))</f>
        <v/>
      </c>
      <c r="AP71" s="22">
        <f>AO71*(1+INDEX($Q71:$AJ71,1,(AP$4-1)*5+1))</f>
        <v/>
      </c>
      <c r="AQ71" s="22">
        <f>AP71*(1+INDEX($Q71:$AJ71,1,(AQ$4-1)*5+1))</f>
        <v/>
      </c>
      <c r="AR71" s="22">
        <f>AQ71*(1+INDEX($Q71:$AJ71,1,(AR$4-1)*5+1))</f>
        <v/>
      </c>
      <c r="AS71" s="22">
        <f>AR71*(1+INDEX($Q71:$AJ71,1,(AS$4-1)*5+1))</f>
        <v/>
      </c>
      <c r="AT71" s="22">
        <f>AS71*(1+INDEX($Q71:$AJ71,1,(AT$4-1)*5+1))</f>
        <v/>
      </c>
      <c r="AU71" s="22">
        <f>AT71*(1+INDEX($Q71:$AJ71,1,(AU$4-1)*5+1))</f>
        <v/>
      </c>
      <c r="AV71" s="22">
        <f>AU71*(1+INDEX($Q71:$AJ71,1,(AV$4-1)*5+1))</f>
        <v/>
      </c>
      <c r="AW71" s="22">
        <f>AV71*(1+INDEX($Q71:$AJ71,1,(AW$4-1)*5+1))</f>
        <v/>
      </c>
      <c r="AX71" s="22">
        <f>AW71*(1+INDEX($Q71:$AJ71,1,(AX$4-1)*5+1))</f>
        <v/>
      </c>
      <c r="AY71" s="22">
        <f>AX71*(1+INDEX($Q71:$AJ71,1,(AY$4-1)*5+1))</f>
        <v/>
      </c>
      <c r="BA71" s="23">
        <f>INDEX(Prices_dom!$A$6:$CU$2000,MATCH(Settings!$C$4&amp;BA$5,Prices_dom!$A$6:$A$2000,0),MATCH("mit.sp."&amp;$N71,Prices_dom!$A$5:$CU$5,0))/$P71</f>
        <v/>
      </c>
      <c r="BB71" s="22">
        <f>BA71*(1+INDEX($Q71:$AJ71,1,(BB$4-1)*5+1))</f>
        <v/>
      </c>
      <c r="BC71" s="22">
        <f>BB71*(1+INDEX($Q71:$AJ71,1,(BC$4-1)*5+1))</f>
        <v/>
      </c>
      <c r="BD71" s="22">
        <f>BC71*(1+INDEX($Q71:$AJ71,1,(BD$4-1)*5+1))</f>
        <v/>
      </c>
      <c r="BE71" s="22">
        <f>BD71*(1+INDEX($Q71:$AJ71,1,(BE$4-1)*5+1))</f>
        <v/>
      </c>
      <c r="BF71" s="22">
        <f>BE71*(1+INDEX($Q71:$AJ71,1,(BF$4-1)*5+1))</f>
        <v/>
      </c>
      <c r="BG71" s="22">
        <f>BF71*(1+INDEX($Q71:$AJ71,1,(BG$4-1)*5+1))</f>
        <v/>
      </c>
      <c r="BH71" s="22">
        <f>BG71*(1+INDEX($Q71:$AJ71,1,(BH$4-1)*5+1))</f>
        <v/>
      </c>
      <c r="BI71" s="22">
        <f>BH71*(1+INDEX($Q71:$AJ71,1,(BI$4-1)*5+1))</f>
        <v/>
      </c>
      <c r="BJ71" s="22">
        <f>BI71*(1+INDEX($Q71:$AJ71,1,(BJ$4-1)*5+1))</f>
        <v/>
      </c>
      <c r="BK71" s="22">
        <f>BJ71*(1+INDEX($Q71:$AJ71,1,(BK$4-1)*5+1))</f>
        <v/>
      </c>
      <c r="BL71" s="22">
        <f>BK71*(1+INDEX($Q71:$AJ71,1,(BL$4-1)*5+1))</f>
        <v/>
      </c>
      <c r="BM71" s="22">
        <f>BL71*(1+INDEX($Q71:$AJ71,1,(BM$4-1)*5+1))</f>
        <v/>
      </c>
      <c r="BN71" s="22">
        <f>BM71*(1+INDEX($Q71:$AJ71,1,(BN$4-1)*5+1))</f>
        <v/>
      </c>
    </row>
    <row r="72">
      <c r="B72" s="5" t="inlineStr">
        <is>
          <t>ker</t>
        </is>
      </c>
      <c r="C72" s="5" t="inlineStr">
        <is>
          <t>mch</t>
        </is>
      </c>
      <c r="D72" s="5" t="inlineStr">
        <is>
          <t>Pre-tax price | Mining &amp; chemicals | Kerosene</t>
        </is>
      </c>
      <c r="E72" s="5" t="inlineStr">
        <is>
          <t>$/GJ</t>
        </is>
      </c>
      <c r="F72" s="5" t="inlineStr">
        <is>
          <t>Prices_dom (base year), then growth</t>
        </is>
      </c>
      <c r="G72" s="19" t="inlineStr">
        <is>
          <t>mit.sp.ker</t>
        </is>
      </c>
      <c r="H72" s="19" t="inlineStr">
        <is>
          <t>mit.pbt.ker.mch</t>
        </is>
      </c>
      <c r="J72" s="5">
        <f>INDEX(Mapping!$C$5:$C$20,MATCH($C72,Mapping!$A$5:$A$20,0))</f>
        <v/>
      </c>
      <c r="K72" s="5">
        <f>INDEX(Mapping!$D$5:$D$20,MATCH($C72,Mapping!$A$5:$A$20,0))</f>
        <v/>
      </c>
      <c r="L72" s="5">
        <f>INDEX(Mapping!$C$24:$C$31,MATCH($B72,Mapping!$A$24:$A$31,0))</f>
        <v/>
      </c>
      <c r="M72" s="5">
        <f>INDEX(Mapping!$D$24:$D$31,MATCH($B72,Mapping!$A$24:$A$31,0))</f>
        <v/>
      </c>
      <c r="N72" s="5">
        <f>$B72&amp;"."&amp;IF(INDEX(Mapping!$E$24:$E$31,MATCH($B72,Mapping!$A$24:$A$31,0))="sub",INDEX(Mapping!$F$5:$F$20,MATCH($C72,Mapping!$A$5:$A$20,0)),"all")</f>
        <v/>
      </c>
      <c r="O72" s="5">
        <f>INDEX(Mapping!$E$5:$E$20,MATCH($C72,Mapping!$A$5:$A$20,0))</f>
        <v/>
      </c>
      <c r="P72" s="5">
        <f>INDEX(Mapping!$G$24:$G$31,MATCH($B72,Mapping!$A$24:$A$31,0))</f>
        <v/>
      </c>
      <c r="Q72" s="20" t="n">
        <v>0</v>
      </c>
      <c r="R72" s="21" t="n"/>
      <c r="S72" s="21" t="n"/>
      <c r="T72" s="21" t="n"/>
      <c r="U72" s="21" t="n"/>
      <c r="V72" s="22">
        <f>Q72</f>
        <v/>
      </c>
      <c r="W72" s="21" t="n"/>
      <c r="X72" s="21" t="n"/>
      <c r="Y72" s="21" t="n"/>
      <c r="Z72" s="21" t="n"/>
      <c r="AA72" s="22">
        <f>Q72</f>
        <v/>
      </c>
      <c r="AB72" s="21" t="n"/>
      <c r="AC72" s="21" t="n"/>
      <c r="AD72" s="21" t="n"/>
      <c r="AE72" s="21" t="n"/>
      <c r="AF72" s="22">
        <f>Q72</f>
        <v/>
      </c>
      <c r="AG72" s="21" t="n"/>
      <c r="AH72" s="21" t="n"/>
      <c r="AI72" s="21" t="n"/>
      <c r="AJ72" s="21" t="n"/>
      <c r="AL72" s="23">
        <f>INDEX(Prices_dom!$A$6:$CU$2000,MATCH(Settings!$C$4&amp;AL$5,Prices_dom!$A$6:$A$2000,0),MATCH("mit.sp."&amp;$N72,Prices_dom!$A$5:$CU$5,0))/$P72</f>
        <v/>
      </c>
      <c r="AM72" s="22">
        <f>AL72*(1+INDEX($Q72:$AJ72,1,(AM$4-1)*5+1))</f>
        <v/>
      </c>
      <c r="AN72" s="22">
        <f>AM72*(1+INDEX($Q72:$AJ72,1,(AN$4-1)*5+1))</f>
        <v/>
      </c>
      <c r="AO72" s="22">
        <f>AN72*(1+INDEX($Q72:$AJ72,1,(AO$4-1)*5+1))</f>
        <v/>
      </c>
      <c r="AP72" s="22">
        <f>AO72*(1+INDEX($Q72:$AJ72,1,(AP$4-1)*5+1))</f>
        <v/>
      </c>
      <c r="AQ72" s="22">
        <f>AP72*(1+INDEX($Q72:$AJ72,1,(AQ$4-1)*5+1))</f>
        <v/>
      </c>
      <c r="AR72" s="22">
        <f>AQ72*(1+INDEX($Q72:$AJ72,1,(AR$4-1)*5+1))</f>
        <v/>
      </c>
      <c r="AS72" s="22">
        <f>AR72*(1+INDEX($Q72:$AJ72,1,(AS$4-1)*5+1))</f>
        <v/>
      </c>
      <c r="AT72" s="22">
        <f>AS72*(1+INDEX($Q72:$AJ72,1,(AT$4-1)*5+1))</f>
        <v/>
      </c>
      <c r="AU72" s="22">
        <f>AT72*(1+INDEX($Q72:$AJ72,1,(AU$4-1)*5+1))</f>
        <v/>
      </c>
      <c r="AV72" s="22">
        <f>AU72*(1+INDEX($Q72:$AJ72,1,(AV$4-1)*5+1))</f>
        <v/>
      </c>
      <c r="AW72" s="22">
        <f>AV72*(1+INDEX($Q72:$AJ72,1,(AW$4-1)*5+1))</f>
        <v/>
      </c>
      <c r="AX72" s="22">
        <f>AW72*(1+INDEX($Q72:$AJ72,1,(AX$4-1)*5+1))</f>
        <v/>
      </c>
      <c r="AY72" s="22">
        <f>AX72*(1+INDEX($Q72:$AJ72,1,(AY$4-1)*5+1))</f>
        <v/>
      </c>
      <c r="BA72" s="23">
        <f>INDEX(Prices_dom!$A$6:$CU$2000,MATCH(Settings!$C$4&amp;BA$5,Prices_dom!$A$6:$A$2000,0),MATCH("mit.sp."&amp;$N72,Prices_dom!$A$5:$CU$5,0))/$P72</f>
        <v/>
      </c>
      <c r="BB72" s="22">
        <f>BA72*(1+INDEX($Q72:$AJ72,1,(BB$4-1)*5+1))</f>
        <v/>
      </c>
      <c r="BC72" s="22">
        <f>BB72*(1+INDEX($Q72:$AJ72,1,(BC$4-1)*5+1))</f>
        <v/>
      </c>
      <c r="BD72" s="22">
        <f>BC72*(1+INDEX($Q72:$AJ72,1,(BD$4-1)*5+1))</f>
        <v/>
      </c>
      <c r="BE72" s="22">
        <f>BD72*(1+INDEX($Q72:$AJ72,1,(BE$4-1)*5+1))</f>
        <v/>
      </c>
      <c r="BF72" s="22">
        <f>BE72*(1+INDEX($Q72:$AJ72,1,(BF$4-1)*5+1))</f>
        <v/>
      </c>
      <c r="BG72" s="22">
        <f>BF72*(1+INDEX($Q72:$AJ72,1,(BG$4-1)*5+1))</f>
        <v/>
      </c>
      <c r="BH72" s="22">
        <f>BG72*(1+INDEX($Q72:$AJ72,1,(BH$4-1)*5+1))</f>
        <v/>
      </c>
      <c r="BI72" s="22">
        <f>BH72*(1+INDEX($Q72:$AJ72,1,(BI$4-1)*5+1))</f>
        <v/>
      </c>
      <c r="BJ72" s="22">
        <f>BI72*(1+INDEX($Q72:$AJ72,1,(BJ$4-1)*5+1))</f>
        <v/>
      </c>
      <c r="BK72" s="22">
        <f>BJ72*(1+INDEX($Q72:$AJ72,1,(BK$4-1)*5+1))</f>
        <v/>
      </c>
      <c r="BL72" s="22">
        <f>BK72*(1+INDEX($Q72:$AJ72,1,(BL$4-1)*5+1))</f>
        <v/>
      </c>
      <c r="BM72" s="22">
        <f>BL72*(1+INDEX($Q72:$AJ72,1,(BM$4-1)*5+1))</f>
        <v/>
      </c>
      <c r="BN72" s="22">
        <f>BM72*(1+INDEX($Q72:$AJ72,1,(BN$4-1)*5+1))</f>
        <v/>
      </c>
    </row>
    <row r="73">
      <c r="B73" s="5" t="inlineStr">
        <is>
          <t>oop</t>
        </is>
      </c>
      <c r="C73" s="5" t="inlineStr">
        <is>
          <t>mch</t>
        </is>
      </c>
      <c r="D73" s="5" t="inlineStr">
        <is>
          <t>Pre-tax price | Mining &amp; chemicals | Other oil products</t>
        </is>
      </c>
      <c r="E73" s="5" t="inlineStr">
        <is>
          <t>$/GJ</t>
        </is>
      </c>
      <c r="F73" s="5" t="inlineStr">
        <is>
          <t>Prices_dom (base year), then growth</t>
        </is>
      </c>
      <c r="G73" s="19" t="inlineStr">
        <is>
          <t>mit.sp.oop</t>
        </is>
      </c>
      <c r="H73" s="19" t="inlineStr">
        <is>
          <t>mit.pbt.oop.mch</t>
        </is>
      </c>
      <c r="J73" s="5">
        <f>INDEX(Mapping!$C$5:$C$20,MATCH($C73,Mapping!$A$5:$A$20,0))</f>
        <v/>
      </c>
      <c r="K73" s="5">
        <f>INDEX(Mapping!$D$5:$D$20,MATCH($C73,Mapping!$A$5:$A$20,0))</f>
        <v/>
      </c>
      <c r="L73" s="5">
        <f>INDEX(Mapping!$C$24:$C$31,MATCH($B73,Mapping!$A$24:$A$31,0))</f>
        <v/>
      </c>
      <c r="M73" s="5">
        <f>INDEX(Mapping!$D$24:$D$31,MATCH($B73,Mapping!$A$24:$A$31,0))</f>
        <v/>
      </c>
      <c r="N73" s="5">
        <f>$B73&amp;"."&amp;IF(INDEX(Mapping!$E$24:$E$31,MATCH($B73,Mapping!$A$24:$A$31,0))="sub",INDEX(Mapping!$F$5:$F$20,MATCH($C73,Mapping!$A$5:$A$20,0)),"all")</f>
        <v/>
      </c>
      <c r="O73" s="5">
        <f>INDEX(Mapping!$E$5:$E$20,MATCH($C73,Mapping!$A$5:$A$20,0))</f>
        <v/>
      </c>
      <c r="P73" s="5">
        <f>INDEX(Mapping!$G$24:$G$31,MATCH($B73,Mapping!$A$24:$A$31,0))</f>
        <v/>
      </c>
      <c r="Q73" s="20" t="n">
        <v>0</v>
      </c>
      <c r="R73" s="21" t="n"/>
      <c r="S73" s="21" t="n"/>
      <c r="T73" s="21" t="n"/>
      <c r="U73" s="21" t="n"/>
      <c r="V73" s="22">
        <f>Q73</f>
        <v/>
      </c>
      <c r="W73" s="21" t="n"/>
      <c r="X73" s="21" t="n"/>
      <c r="Y73" s="21" t="n"/>
      <c r="Z73" s="21" t="n"/>
      <c r="AA73" s="22">
        <f>Q73</f>
        <v/>
      </c>
      <c r="AB73" s="21" t="n"/>
      <c r="AC73" s="21" t="n"/>
      <c r="AD73" s="21" t="n"/>
      <c r="AE73" s="21" t="n"/>
      <c r="AF73" s="22">
        <f>Q73</f>
        <v/>
      </c>
      <c r="AG73" s="21" t="n"/>
      <c r="AH73" s="21" t="n"/>
      <c r="AI73" s="21" t="n"/>
      <c r="AJ73" s="21" t="n"/>
      <c r="AL73" s="23">
        <f>INDEX(Prices_dom!$A$6:$CU$2000,MATCH(Settings!$C$4&amp;AL$5,Prices_dom!$A$6:$A$2000,0),MATCH("mit.sp."&amp;$N73,Prices_dom!$A$5:$CU$5,0))/$P73</f>
        <v/>
      </c>
      <c r="AM73" s="22">
        <f>AL73*(1+INDEX($Q73:$AJ73,1,(AM$4-1)*5+1))</f>
        <v/>
      </c>
      <c r="AN73" s="22">
        <f>AM73*(1+INDEX($Q73:$AJ73,1,(AN$4-1)*5+1))</f>
        <v/>
      </c>
      <c r="AO73" s="22">
        <f>AN73*(1+INDEX($Q73:$AJ73,1,(AO$4-1)*5+1))</f>
        <v/>
      </c>
      <c r="AP73" s="22">
        <f>AO73*(1+INDEX($Q73:$AJ73,1,(AP$4-1)*5+1))</f>
        <v/>
      </c>
      <c r="AQ73" s="22">
        <f>AP73*(1+INDEX($Q73:$AJ73,1,(AQ$4-1)*5+1))</f>
        <v/>
      </c>
      <c r="AR73" s="22">
        <f>AQ73*(1+INDEX($Q73:$AJ73,1,(AR$4-1)*5+1))</f>
        <v/>
      </c>
      <c r="AS73" s="22">
        <f>AR73*(1+INDEX($Q73:$AJ73,1,(AS$4-1)*5+1))</f>
        <v/>
      </c>
      <c r="AT73" s="22">
        <f>AS73*(1+INDEX($Q73:$AJ73,1,(AT$4-1)*5+1))</f>
        <v/>
      </c>
      <c r="AU73" s="22">
        <f>AT73*(1+INDEX($Q73:$AJ73,1,(AU$4-1)*5+1))</f>
        <v/>
      </c>
      <c r="AV73" s="22">
        <f>AU73*(1+INDEX($Q73:$AJ73,1,(AV$4-1)*5+1))</f>
        <v/>
      </c>
      <c r="AW73" s="22">
        <f>AV73*(1+INDEX($Q73:$AJ73,1,(AW$4-1)*5+1))</f>
        <v/>
      </c>
      <c r="AX73" s="22">
        <f>AW73*(1+INDEX($Q73:$AJ73,1,(AX$4-1)*5+1))</f>
        <v/>
      </c>
      <c r="AY73" s="22">
        <f>AX73*(1+INDEX($Q73:$AJ73,1,(AY$4-1)*5+1))</f>
        <v/>
      </c>
      <c r="BA73" s="23">
        <f>INDEX(Prices_dom!$A$6:$CU$2000,MATCH(Settings!$C$4&amp;BA$5,Prices_dom!$A$6:$A$2000,0),MATCH("mit.sp."&amp;$N73,Prices_dom!$A$5:$CU$5,0))/$P73</f>
        <v/>
      </c>
      <c r="BB73" s="22">
        <f>BA73*(1+INDEX($Q73:$AJ73,1,(BB$4-1)*5+1))</f>
        <v/>
      </c>
      <c r="BC73" s="22">
        <f>BB73*(1+INDEX($Q73:$AJ73,1,(BC$4-1)*5+1))</f>
        <v/>
      </c>
      <c r="BD73" s="22">
        <f>BC73*(1+INDEX($Q73:$AJ73,1,(BD$4-1)*5+1))</f>
        <v/>
      </c>
      <c r="BE73" s="22">
        <f>BD73*(1+INDEX($Q73:$AJ73,1,(BE$4-1)*5+1))</f>
        <v/>
      </c>
      <c r="BF73" s="22">
        <f>BE73*(1+INDEX($Q73:$AJ73,1,(BF$4-1)*5+1))</f>
        <v/>
      </c>
      <c r="BG73" s="22">
        <f>BF73*(1+INDEX($Q73:$AJ73,1,(BG$4-1)*5+1))</f>
        <v/>
      </c>
      <c r="BH73" s="22">
        <f>BG73*(1+INDEX($Q73:$AJ73,1,(BH$4-1)*5+1))</f>
        <v/>
      </c>
      <c r="BI73" s="22">
        <f>BH73*(1+INDEX($Q73:$AJ73,1,(BI$4-1)*5+1))</f>
        <v/>
      </c>
      <c r="BJ73" s="22">
        <f>BI73*(1+INDEX($Q73:$AJ73,1,(BJ$4-1)*5+1))</f>
        <v/>
      </c>
      <c r="BK73" s="22">
        <f>BJ73*(1+INDEX($Q73:$AJ73,1,(BK$4-1)*5+1))</f>
        <v/>
      </c>
      <c r="BL73" s="22">
        <f>BK73*(1+INDEX($Q73:$AJ73,1,(BL$4-1)*5+1))</f>
        <v/>
      </c>
      <c r="BM73" s="22">
        <f>BL73*(1+INDEX($Q73:$AJ73,1,(BM$4-1)*5+1))</f>
        <v/>
      </c>
      <c r="BN73" s="22">
        <f>BM73*(1+INDEX($Q73:$AJ73,1,(BN$4-1)*5+1))</f>
        <v/>
      </c>
    </row>
    <row r="74">
      <c r="B74" s="5" t="inlineStr">
        <is>
          <t>bio</t>
        </is>
      </c>
      <c r="C74" s="5" t="inlineStr">
        <is>
          <t>mch</t>
        </is>
      </c>
      <c r="D74" s="5" t="inlineStr">
        <is>
          <t>Pre-tax price | Mining &amp; chemicals | Biomass</t>
        </is>
      </c>
      <c r="E74" s="5" t="inlineStr">
        <is>
          <t>$/GJ</t>
        </is>
      </c>
      <c r="F74" s="5" t="inlineStr">
        <is>
          <t>Prices_dom (base year), then growth</t>
        </is>
      </c>
      <c r="G74" s="19" t="inlineStr">
        <is>
          <t>mit.sp.bio</t>
        </is>
      </c>
      <c r="H74" s="19" t="inlineStr">
        <is>
          <t>mit.pbt.bio.mch</t>
        </is>
      </c>
      <c r="J74" s="5">
        <f>INDEX(Mapping!$C$5:$C$20,MATCH($C74,Mapping!$A$5:$A$20,0))</f>
        <v/>
      </c>
      <c r="K74" s="5">
        <f>INDEX(Mapping!$D$5:$D$20,MATCH($C74,Mapping!$A$5:$A$20,0))</f>
        <v/>
      </c>
      <c r="L74" s="5">
        <f>INDEX(Mapping!$C$24:$C$31,MATCH($B74,Mapping!$A$24:$A$31,0))</f>
        <v/>
      </c>
      <c r="M74" s="5">
        <f>INDEX(Mapping!$D$24:$D$31,MATCH($B74,Mapping!$A$24:$A$31,0))</f>
        <v/>
      </c>
      <c r="N74" s="5">
        <f>$B74&amp;"."&amp;IF(INDEX(Mapping!$E$24:$E$31,MATCH($B74,Mapping!$A$24:$A$31,0))="sub",INDEX(Mapping!$F$5:$F$20,MATCH($C74,Mapping!$A$5:$A$20,0)),"all")</f>
        <v/>
      </c>
      <c r="O74" s="5">
        <f>INDEX(Mapping!$E$5:$E$20,MATCH($C74,Mapping!$A$5:$A$20,0))</f>
        <v/>
      </c>
      <c r="P74" s="5">
        <f>INDEX(Mapping!$G$24:$G$31,MATCH($B74,Mapping!$A$24:$A$31,0))</f>
        <v/>
      </c>
      <c r="Q74" s="20" t="n">
        <v>0</v>
      </c>
      <c r="R74" s="21" t="n"/>
      <c r="S74" s="21" t="n"/>
      <c r="T74" s="21" t="n"/>
      <c r="U74" s="21" t="n"/>
      <c r="V74" s="22">
        <f>Q74</f>
        <v/>
      </c>
      <c r="W74" s="21" t="n"/>
      <c r="X74" s="21" t="n"/>
      <c r="Y74" s="21" t="n"/>
      <c r="Z74" s="21" t="n"/>
      <c r="AA74" s="22">
        <f>Q74</f>
        <v/>
      </c>
      <c r="AB74" s="21" t="n"/>
      <c r="AC74" s="21" t="n"/>
      <c r="AD74" s="21" t="n"/>
      <c r="AE74" s="21" t="n"/>
      <c r="AF74" s="22">
        <f>Q74</f>
        <v/>
      </c>
      <c r="AG74" s="21" t="n"/>
      <c r="AH74" s="21" t="n"/>
      <c r="AI74" s="21" t="n"/>
      <c r="AJ74" s="21" t="n"/>
      <c r="AL74" s="23">
        <f>INDEX(Prices_dom!$A$6:$CU$2000,MATCH(Settings!$C$4&amp;AL$5,Prices_dom!$A$6:$A$2000,0),MATCH("mit.sp."&amp;$N74,Prices_dom!$A$5:$CU$5,0))/$P74</f>
        <v/>
      </c>
      <c r="AM74" s="22">
        <f>AL74*(1+INDEX($Q74:$AJ74,1,(AM$4-1)*5+1))</f>
        <v/>
      </c>
      <c r="AN74" s="22">
        <f>AM74*(1+INDEX($Q74:$AJ74,1,(AN$4-1)*5+1))</f>
        <v/>
      </c>
      <c r="AO74" s="22">
        <f>AN74*(1+INDEX($Q74:$AJ74,1,(AO$4-1)*5+1))</f>
        <v/>
      </c>
      <c r="AP74" s="22">
        <f>AO74*(1+INDEX($Q74:$AJ74,1,(AP$4-1)*5+1))</f>
        <v/>
      </c>
      <c r="AQ74" s="22">
        <f>AP74*(1+INDEX($Q74:$AJ74,1,(AQ$4-1)*5+1))</f>
        <v/>
      </c>
      <c r="AR74" s="22">
        <f>AQ74*(1+INDEX($Q74:$AJ74,1,(AR$4-1)*5+1))</f>
        <v/>
      </c>
      <c r="AS74" s="22">
        <f>AR74*(1+INDEX($Q74:$AJ74,1,(AS$4-1)*5+1))</f>
        <v/>
      </c>
      <c r="AT74" s="22">
        <f>AS74*(1+INDEX($Q74:$AJ74,1,(AT$4-1)*5+1))</f>
        <v/>
      </c>
      <c r="AU74" s="22">
        <f>AT74*(1+INDEX($Q74:$AJ74,1,(AU$4-1)*5+1))</f>
        <v/>
      </c>
      <c r="AV74" s="22">
        <f>AU74*(1+INDEX($Q74:$AJ74,1,(AV$4-1)*5+1))</f>
        <v/>
      </c>
      <c r="AW74" s="22">
        <f>AV74*(1+INDEX($Q74:$AJ74,1,(AW$4-1)*5+1))</f>
        <v/>
      </c>
      <c r="AX74" s="22">
        <f>AW74*(1+INDEX($Q74:$AJ74,1,(AX$4-1)*5+1))</f>
        <v/>
      </c>
      <c r="AY74" s="22">
        <f>AX74*(1+INDEX($Q74:$AJ74,1,(AY$4-1)*5+1))</f>
        <v/>
      </c>
      <c r="BA74" s="23">
        <f>INDEX(Prices_dom!$A$6:$CU$2000,MATCH(Settings!$C$4&amp;BA$5,Prices_dom!$A$6:$A$2000,0),MATCH("mit.sp."&amp;$N74,Prices_dom!$A$5:$CU$5,0))/$P74</f>
        <v/>
      </c>
      <c r="BB74" s="22">
        <f>BA74*(1+INDEX($Q74:$AJ74,1,(BB$4-1)*5+1))</f>
        <v/>
      </c>
      <c r="BC74" s="22">
        <f>BB74*(1+INDEX($Q74:$AJ74,1,(BC$4-1)*5+1))</f>
        <v/>
      </c>
      <c r="BD74" s="22">
        <f>BC74*(1+INDEX($Q74:$AJ74,1,(BD$4-1)*5+1))</f>
        <v/>
      </c>
      <c r="BE74" s="22">
        <f>BD74*(1+INDEX($Q74:$AJ74,1,(BE$4-1)*5+1))</f>
        <v/>
      </c>
      <c r="BF74" s="22">
        <f>BE74*(1+INDEX($Q74:$AJ74,1,(BF$4-1)*5+1))</f>
        <v/>
      </c>
      <c r="BG74" s="22">
        <f>BF74*(1+INDEX($Q74:$AJ74,1,(BG$4-1)*5+1))</f>
        <v/>
      </c>
      <c r="BH74" s="22">
        <f>BG74*(1+INDEX($Q74:$AJ74,1,(BH$4-1)*5+1))</f>
        <v/>
      </c>
      <c r="BI74" s="22">
        <f>BH74*(1+INDEX($Q74:$AJ74,1,(BI$4-1)*5+1))</f>
        <v/>
      </c>
      <c r="BJ74" s="22">
        <f>BI74*(1+INDEX($Q74:$AJ74,1,(BJ$4-1)*5+1))</f>
        <v/>
      </c>
      <c r="BK74" s="22">
        <f>BJ74*(1+INDEX($Q74:$AJ74,1,(BK$4-1)*5+1))</f>
        <v/>
      </c>
      <c r="BL74" s="22">
        <f>BK74*(1+INDEX($Q74:$AJ74,1,(BL$4-1)*5+1))</f>
        <v/>
      </c>
      <c r="BM74" s="22">
        <f>BL74*(1+INDEX($Q74:$AJ74,1,(BM$4-1)*5+1))</f>
        <v/>
      </c>
      <c r="BN74" s="22">
        <f>BM74*(1+INDEX($Q74:$AJ74,1,(BN$4-1)*5+1))</f>
        <v/>
      </c>
    </row>
    <row r="75">
      <c r="B75" s="5" t="inlineStr">
        <is>
          <t>coa</t>
        </is>
      </c>
      <c r="C75" s="5" t="inlineStr">
        <is>
          <t>irn</t>
        </is>
      </c>
      <c r="D75" s="5" t="inlineStr">
        <is>
          <t>Pre-tax price | Iron &amp; steel | Coal</t>
        </is>
      </c>
      <c r="E75" s="5" t="inlineStr">
        <is>
          <t>$/GJ</t>
        </is>
      </c>
      <c r="F75" s="5" t="inlineStr">
        <is>
          <t>Prices_dom (base year), then growth</t>
        </is>
      </c>
      <c r="G75" s="19" t="inlineStr">
        <is>
          <t>mit.sp.coa</t>
        </is>
      </c>
      <c r="H75" s="19" t="inlineStr">
        <is>
          <t>mit.pbt.coa.irn</t>
        </is>
      </c>
      <c r="J75" s="5">
        <f>INDEX(Mapping!$C$5:$C$20,MATCH($C75,Mapping!$A$5:$A$20,0))</f>
        <v/>
      </c>
      <c r="K75" s="5">
        <f>INDEX(Mapping!$D$5:$D$20,MATCH($C75,Mapping!$A$5:$A$20,0))</f>
        <v/>
      </c>
      <c r="L75" s="5">
        <f>INDEX(Mapping!$C$24:$C$31,MATCH($B75,Mapping!$A$24:$A$31,0))</f>
        <v/>
      </c>
      <c r="M75" s="5">
        <f>INDEX(Mapping!$D$24:$D$31,MATCH($B75,Mapping!$A$24:$A$31,0))</f>
        <v/>
      </c>
      <c r="N75" s="5">
        <f>$B75&amp;"."&amp;IF(INDEX(Mapping!$E$24:$E$31,MATCH($B75,Mapping!$A$24:$A$31,0))="sub",INDEX(Mapping!$F$5:$F$20,MATCH($C75,Mapping!$A$5:$A$20,0)),"all")</f>
        <v/>
      </c>
      <c r="O75" s="5">
        <f>INDEX(Mapping!$E$5:$E$20,MATCH($C75,Mapping!$A$5:$A$20,0))</f>
        <v/>
      </c>
      <c r="P75" s="5">
        <f>INDEX(Mapping!$G$24:$G$31,MATCH($B75,Mapping!$A$24:$A$31,0))</f>
        <v/>
      </c>
      <c r="Q75" s="20" t="n">
        <v>0</v>
      </c>
      <c r="R75" s="21" t="n"/>
      <c r="S75" s="21" t="n"/>
      <c r="T75" s="21" t="n"/>
      <c r="U75" s="21" t="n"/>
      <c r="V75" s="22">
        <f>Q75</f>
        <v/>
      </c>
      <c r="W75" s="21" t="n"/>
      <c r="X75" s="21" t="n"/>
      <c r="Y75" s="21" t="n"/>
      <c r="Z75" s="21" t="n"/>
      <c r="AA75" s="22">
        <f>Q75</f>
        <v/>
      </c>
      <c r="AB75" s="21" t="n"/>
      <c r="AC75" s="21" t="n"/>
      <c r="AD75" s="21" t="n"/>
      <c r="AE75" s="21" t="n"/>
      <c r="AF75" s="22">
        <f>Q75</f>
        <v/>
      </c>
      <c r="AG75" s="21" t="n"/>
      <c r="AH75" s="21" t="n"/>
      <c r="AI75" s="21" t="n"/>
      <c r="AJ75" s="21" t="n"/>
      <c r="AL75" s="23">
        <f>INDEX(Prices_dom!$A$6:$CU$2000,MATCH(Settings!$C$4&amp;AL$5,Prices_dom!$A$6:$A$2000,0),MATCH("mit.sp."&amp;$N75,Prices_dom!$A$5:$CU$5,0))/$P75</f>
        <v/>
      </c>
      <c r="AM75" s="22">
        <f>AL75*(1+INDEX($Q75:$AJ75,1,(AM$4-1)*5+1))</f>
        <v/>
      </c>
      <c r="AN75" s="22">
        <f>AM75*(1+INDEX($Q75:$AJ75,1,(AN$4-1)*5+1))</f>
        <v/>
      </c>
      <c r="AO75" s="22">
        <f>AN75*(1+INDEX($Q75:$AJ75,1,(AO$4-1)*5+1))</f>
        <v/>
      </c>
      <c r="AP75" s="22">
        <f>AO75*(1+INDEX($Q75:$AJ75,1,(AP$4-1)*5+1))</f>
        <v/>
      </c>
      <c r="AQ75" s="22">
        <f>AP75*(1+INDEX($Q75:$AJ75,1,(AQ$4-1)*5+1))</f>
        <v/>
      </c>
      <c r="AR75" s="22">
        <f>AQ75*(1+INDEX($Q75:$AJ75,1,(AR$4-1)*5+1))</f>
        <v/>
      </c>
      <c r="AS75" s="22">
        <f>AR75*(1+INDEX($Q75:$AJ75,1,(AS$4-1)*5+1))</f>
        <v/>
      </c>
      <c r="AT75" s="22">
        <f>AS75*(1+INDEX($Q75:$AJ75,1,(AT$4-1)*5+1))</f>
        <v/>
      </c>
      <c r="AU75" s="22">
        <f>AT75*(1+INDEX($Q75:$AJ75,1,(AU$4-1)*5+1))</f>
        <v/>
      </c>
      <c r="AV75" s="22">
        <f>AU75*(1+INDEX($Q75:$AJ75,1,(AV$4-1)*5+1))</f>
        <v/>
      </c>
      <c r="AW75" s="22">
        <f>AV75*(1+INDEX($Q75:$AJ75,1,(AW$4-1)*5+1))</f>
        <v/>
      </c>
      <c r="AX75" s="22">
        <f>AW75*(1+INDEX($Q75:$AJ75,1,(AX$4-1)*5+1))</f>
        <v/>
      </c>
      <c r="AY75" s="22">
        <f>AX75*(1+INDEX($Q75:$AJ75,1,(AY$4-1)*5+1))</f>
        <v/>
      </c>
      <c r="BA75" s="23">
        <f>INDEX(Prices_dom!$A$6:$CU$2000,MATCH(Settings!$C$4&amp;BA$5,Prices_dom!$A$6:$A$2000,0),MATCH("mit.sp."&amp;$N75,Prices_dom!$A$5:$CU$5,0))/$P75</f>
        <v/>
      </c>
      <c r="BB75" s="22">
        <f>BA75*(1+INDEX($Q75:$AJ75,1,(BB$4-1)*5+1))</f>
        <v/>
      </c>
      <c r="BC75" s="22">
        <f>BB75*(1+INDEX($Q75:$AJ75,1,(BC$4-1)*5+1))</f>
        <v/>
      </c>
      <c r="BD75" s="22">
        <f>BC75*(1+INDEX($Q75:$AJ75,1,(BD$4-1)*5+1))</f>
        <v/>
      </c>
      <c r="BE75" s="22">
        <f>BD75*(1+INDEX($Q75:$AJ75,1,(BE$4-1)*5+1))</f>
        <v/>
      </c>
      <c r="BF75" s="22">
        <f>BE75*(1+INDEX($Q75:$AJ75,1,(BF$4-1)*5+1))</f>
        <v/>
      </c>
      <c r="BG75" s="22">
        <f>BF75*(1+INDEX($Q75:$AJ75,1,(BG$4-1)*5+1))</f>
        <v/>
      </c>
      <c r="BH75" s="22">
        <f>BG75*(1+INDEX($Q75:$AJ75,1,(BH$4-1)*5+1))</f>
        <v/>
      </c>
      <c r="BI75" s="22">
        <f>BH75*(1+INDEX($Q75:$AJ75,1,(BI$4-1)*5+1))</f>
        <v/>
      </c>
      <c r="BJ75" s="22">
        <f>BI75*(1+INDEX($Q75:$AJ75,1,(BJ$4-1)*5+1))</f>
        <v/>
      </c>
      <c r="BK75" s="22">
        <f>BJ75*(1+INDEX($Q75:$AJ75,1,(BK$4-1)*5+1))</f>
        <v/>
      </c>
      <c r="BL75" s="22">
        <f>BK75*(1+INDEX($Q75:$AJ75,1,(BL$4-1)*5+1))</f>
        <v/>
      </c>
      <c r="BM75" s="22">
        <f>BL75*(1+INDEX($Q75:$AJ75,1,(BM$4-1)*5+1))</f>
        <v/>
      </c>
      <c r="BN75" s="22">
        <f>BM75*(1+INDEX($Q75:$AJ75,1,(BN$4-1)*5+1))</f>
        <v/>
      </c>
    </row>
    <row r="76">
      <c r="B76" s="5" t="inlineStr">
        <is>
          <t>nga</t>
        </is>
      </c>
      <c r="C76" s="5" t="inlineStr">
        <is>
          <t>irn</t>
        </is>
      </c>
      <c r="D76" s="5" t="inlineStr">
        <is>
          <t>Pre-tax price | Iron &amp; steel | Natural gas</t>
        </is>
      </c>
      <c r="E76" s="5" t="inlineStr">
        <is>
          <t>$/GJ</t>
        </is>
      </c>
      <c r="F76" s="5" t="inlineStr">
        <is>
          <t>Prices_dom (base year), then growth</t>
        </is>
      </c>
      <c r="G76" s="19" t="inlineStr">
        <is>
          <t>mit.sp.nga</t>
        </is>
      </c>
      <c r="H76" s="19" t="inlineStr">
        <is>
          <t>mit.pbt.nga.irn</t>
        </is>
      </c>
      <c r="J76" s="5">
        <f>INDEX(Mapping!$C$5:$C$20,MATCH($C76,Mapping!$A$5:$A$20,0))</f>
        <v/>
      </c>
      <c r="K76" s="5">
        <f>INDEX(Mapping!$D$5:$D$20,MATCH($C76,Mapping!$A$5:$A$20,0))</f>
        <v/>
      </c>
      <c r="L76" s="5">
        <f>INDEX(Mapping!$C$24:$C$31,MATCH($B76,Mapping!$A$24:$A$31,0))</f>
        <v/>
      </c>
      <c r="M76" s="5">
        <f>INDEX(Mapping!$D$24:$D$31,MATCH($B76,Mapping!$A$24:$A$31,0))</f>
        <v/>
      </c>
      <c r="N76" s="5">
        <f>$B76&amp;"."&amp;IF(INDEX(Mapping!$E$24:$E$31,MATCH($B76,Mapping!$A$24:$A$31,0))="sub",INDEX(Mapping!$F$5:$F$20,MATCH($C76,Mapping!$A$5:$A$20,0)),"all")</f>
        <v/>
      </c>
      <c r="O76" s="5">
        <f>INDEX(Mapping!$E$5:$E$20,MATCH($C76,Mapping!$A$5:$A$20,0))</f>
        <v/>
      </c>
      <c r="P76" s="5">
        <f>INDEX(Mapping!$G$24:$G$31,MATCH($B76,Mapping!$A$24:$A$31,0))</f>
        <v/>
      </c>
      <c r="Q76" s="20" t="n">
        <v>0</v>
      </c>
      <c r="R76" s="21" t="n"/>
      <c r="S76" s="21" t="n"/>
      <c r="T76" s="21" t="n"/>
      <c r="U76" s="21" t="n"/>
      <c r="V76" s="22">
        <f>Q76</f>
        <v/>
      </c>
      <c r="W76" s="21" t="n"/>
      <c r="X76" s="21" t="n"/>
      <c r="Y76" s="21" t="n"/>
      <c r="Z76" s="21" t="n"/>
      <c r="AA76" s="22">
        <f>Q76</f>
        <v/>
      </c>
      <c r="AB76" s="21" t="n"/>
      <c r="AC76" s="21" t="n"/>
      <c r="AD76" s="21" t="n"/>
      <c r="AE76" s="21" t="n"/>
      <c r="AF76" s="22">
        <f>Q76</f>
        <v/>
      </c>
      <c r="AG76" s="21" t="n"/>
      <c r="AH76" s="21" t="n"/>
      <c r="AI76" s="21" t="n"/>
      <c r="AJ76" s="21" t="n"/>
      <c r="AL76" s="23">
        <f>INDEX(Prices_dom!$A$6:$CU$2000,MATCH(Settings!$C$4&amp;AL$5,Prices_dom!$A$6:$A$2000,0),MATCH("mit.sp."&amp;$N76,Prices_dom!$A$5:$CU$5,0))/$P76</f>
        <v/>
      </c>
      <c r="AM76" s="22">
        <f>AL76*(1+INDEX($Q76:$AJ76,1,(AM$4-1)*5+1))</f>
        <v/>
      </c>
      <c r="AN76" s="22">
        <f>AM76*(1+INDEX($Q76:$AJ76,1,(AN$4-1)*5+1))</f>
        <v/>
      </c>
      <c r="AO76" s="22">
        <f>AN76*(1+INDEX($Q76:$AJ76,1,(AO$4-1)*5+1))</f>
        <v/>
      </c>
      <c r="AP76" s="22">
        <f>AO76*(1+INDEX($Q76:$AJ76,1,(AP$4-1)*5+1))</f>
        <v/>
      </c>
      <c r="AQ76" s="22">
        <f>AP76*(1+INDEX($Q76:$AJ76,1,(AQ$4-1)*5+1))</f>
        <v/>
      </c>
      <c r="AR76" s="22">
        <f>AQ76*(1+INDEX($Q76:$AJ76,1,(AR$4-1)*5+1))</f>
        <v/>
      </c>
      <c r="AS76" s="22">
        <f>AR76*(1+INDEX($Q76:$AJ76,1,(AS$4-1)*5+1))</f>
        <v/>
      </c>
      <c r="AT76" s="22">
        <f>AS76*(1+INDEX($Q76:$AJ76,1,(AT$4-1)*5+1))</f>
        <v/>
      </c>
      <c r="AU76" s="22">
        <f>AT76*(1+INDEX($Q76:$AJ76,1,(AU$4-1)*5+1))</f>
        <v/>
      </c>
      <c r="AV76" s="22">
        <f>AU76*(1+INDEX($Q76:$AJ76,1,(AV$4-1)*5+1))</f>
        <v/>
      </c>
      <c r="AW76" s="22">
        <f>AV76*(1+INDEX($Q76:$AJ76,1,(AW$4-1)*5+1))</f>
        <v/>
      </c>
      <c r="AX76" s="22">
        <f>AW76*(1+INDEX($Q76:$AJ76,1,(AX$4-1)*5+1))</f>
        <v/>
      </c>
      <c r="AY76" s="22">
        <f>AX76*(1+INDEX($Q76:$AJ76,1,(AY$4-1)*5+1))</f>
        <v/>
      </c>
      <c r="BA76" s="23">
        <f>INDEX(Prices_dom!$A$6:$CU$2000,MATCH(Settings!$C$4&amp;BA$5,Prices_dom!$A$6:$A$2000,0),MATCH("mit.sp."&amp;$N76,Prices_dom!$A$5:$CU$5,0))/$P76</f>
        <v/>
      </c>
      <c r="BB76" s="22">
        <f>BA76*(1+INDEX($Q76:$AJ76,1,(BB$4-1)*5+1))</f>
        <v/>
      </c>
      <c r="BC76" s="22">
        <f>BB76*(1+INDEX($Q76:$AJ76,1,(BC$4-1)*5+1))</f>
        <v/>
      </c>
      <c r="BD76" s="22">
        <f>BC76*(1+INDEX($Q76:$AJ76,1,(BD$4-1)*5+1))</f>
        <v/>
      </c>
      <c r="BE76" s="22">
        <f>BD76*(1+INDEX($Q76:$AJ76,1,(BE$4-1)*5+1))</f>
        <v/>
      </c>
      <c r="BF76" s="22">
        <f>BE76*(1+INDEX($Q76:$AJ76,1,(BF$4-1)*5+1))</f>
        <v/>
      </c>
      <c r="BG76" s="22">
        <f>BF76*(1+INDEX($Q76:$AJ76,1,(BG$4-1)*5+1))</f>
        <v/>
      </c>
      <c r="BH76" s="22">
        <f>BG76*(1+INDEX($Q76:$AJ76,1,(BH$4-1)*5+1))</f>
        <v/>
      </c>
      <c r="BI76" s="22">
        <f>BH76*(1+INDEX($Q76:$AJ76,1,(BI$4-1)*5+1))</f>
        <v/>
      </c>
      <c r="BJ76" s="22">
        <f>BI76*(1+INDEX($Q76:$AJ76,1,(BJ$4-1)*5+1))</f>
        <v/>
      </c>
      <c r="BK76" s="22">
        <f>BJ76*(1+INDEX($Q76:$AJ76,1,(BK$4-1)*5+1))</f>
        <v/>
      </c>
      <c r="BL76" s="22">
        <f>BK76*(1+INDEX($Q76:$AJ76,1,(BL$4-1)*5+1))</f>
        <v/>
      </c>
      <c r="BM76" s="22">
        <f>BL76*(1+INDEX($Q76:$AJ76,1,(BM$4-1)*5+1))</f>
        <v/>
      </c>
      <c r="BN76" s="22">
        <f>BM76*(1+INDEX($Q76:$AJ76,1,(BN$4-1)*5+1))</f>
        <v/>
      </c>
    </row>
    <row r="77">
      <c r="B77" s="5" t="inlineStr">
        <is>
          <t>gso</t>
        </is>
      </c>
      <c r="C77" s="5" t="inlineStr">
        <is>
          <t>irn</t>
        </is>
      </c>
      <c r="D77" s="5" t="inlineStr">
        <is>
          <t>Pre-tax price | Iron &amp; steel | Gasoline</t>
        </is>
      </c>
      <c r="E77" s="5" t="inlineStr">
        <is>
          <t>$/GJ</t>
        </is>
      </c>
      <c r="F77" s="5" t="inlineStr">
        <is>
          <t>Prices_dom (base year), then growth</t>
        </is>
      </c>
      <c r="G77" s="19" t="inlineStr">
        <is>
          <t>mit.sp.gso</t>
        </is>
      </c>
      <c r="H77" s="19" t="inlineStr">
        <is>
          <t>mit.pbt.gso.irn</t>
        </is>
      </c>
      <c r="J77" s="5">
        <f>INDEX(Mapping!$C$5:$C$20,MATCH($C77,Mapping!$A$5:$A$20,0))</f>
        <v/>
      </c>
      <c r="K77" s="5">
        <f>INDEX(Mapping!$D$5:$D$20,MATCH($C77,Mapping!$A$5:$A$20,0))</f>
        <v/>
      </c>
      <c r="L77" s="5">
        <f>INDEX(Mapping!$C$24:$C$31,MATCH($B77,Mapping!$A$24:$A$31,0))</f>
        <v/>
      </c>
      <c r="M77" s="5">
        <f>INDEX(Mapping!$D$24:$D$31,MATCH($B77,Mapping!$A$24:$A$31,0))</f>
        <v/>
      </c>
      <c r="N77" s="5">
        <f>$B77&amp;"."&amp;IF(INDEX(Mapping!$E$24:$E$31,MATCH($B77,Mapping!$A$24:$A$31,0))="sub",INDEX(Mapping!$F$5:$F$20,MATCH($C77,Mapping!$A$5:$A$20,0)),"all")</f>
        <v/>
      </c>
      <c r="O77" s="5">
        <f>INDEX(Mapping!$E$5:$E$20,MATCH($C77,Mapping!$A$5:$A$20,0))</f>
        <v/>
      </c>
      <c r="P77" s="5">
        <f>INDEX(Mapping!$G$24:$G$31,MATCH($B77,Mapping!$A$24:$A$31,0))</f>
        <v/>
      </c>
      <c r="Q77" s="20" t="n">
        <v>0</v>
      </c>
      <c r="R77" s="21" t="n"/>
      <c r="S77" s="21" t="n"/>
      <c r="T77" s="21" t="n"/>
      <c r="U77" s="21" t="n"/>
      <c r="V77" s="22">
        <f>Q77</f>
        <v/>
      </c>
      <c r="W77" s="21" t="n"/>
      <c r="X77" s="21" t="n"/>
      <c r="Y77" s="21" t="n"/>
      <c r="Z77" s="21" t="n"/>
      <c r="AA77" s="22">
        <f>Q77</f>
        <v/>
      </c>
      <c r="AB77" s="21" t="n"/>
      <c r="AC77" s="21" t="n"/>
      <c r="AD77" s="21" t="n"/>
      <c r="AE77" s="21" t="n"/>
      <c r="AF77" s="22">
        <f>Q77</f>
        <v/>
      </c>
      <c r="AG77" s="21" t="n"/>
      <c r="AH77" s="21" t="n"/>
      <c r="AI77" s="21" t="n"/>
      <c r="AJ77" s="21" t="n"/>
      <c r="AL77" s="23">
        <f>INDEX(Prices_dom!$A$6:$CU$2000,MATCH(Settings!$C$4&amp;AL$5,Prices_dom!$A$6:$A$2000,0),MATCH("mit.sp."&amp;$N77,Prices_dom!$A$5:$CU$5,0))/$P77</f>
        <v/>
      </c>
      <c r="AM77" s="22">
        <f>AL77*(1+INDEX($Q77:$AJ77,1,(AM$4-1)*5+1))</f>
        <v/>
      </c>
      <c r="AN77" s="22">
        <f>AM77*(1+INDEX($Q77:$AJ77,1,(AN$4-1)*5+1))</f>
        <v/>
      </c>
      <c r="AO77" s="22">
        <f>AN77*(1+INDEX($Q77:$AJ77,1,(AO$4-1)*5+1))</f>
        <v/>
      </c>
      <c r="AP77" s="22">
        <f>AO77*(1+INDEX($Q77:$AJ77,1,(AP$4-1)*5+1))</f>
        <v/>
      </c>
      <c r="AQ77" s="22">
        <f>AP77*(1+INDEX($Q77:$AJ77,1,(AQ$4-1)*5+1))</f>
        <v/>
      </c>
      <c r="AR77" s="22">
        <f>AQ77*(1+INDEX($Q77:$AJ77,1,(AR$4-1)*5+1))</f>
        <v/>
      </c>
      <c r="AS77" s="22">
        <f>AR77*(1+INDEX($Q77:$AJ77,1,(AS$4-1)*5+1))</f>
        <v/>
      </c>
      <c r="AT77" s="22">
        <f>AS77*(1+INDEX($Q77:$AJ77,1,(AT$4-1)*5+1))</f>
        <v/>
      </c>
      <c r="AU77" s="22">
        <f>AT77*(1+INDEX($Q77:$AJ77,1,(AU$4-1)*5+1))</f>
        <v/>
      </c>
      <c r="AV77" s="22">
        <f>AU77*(1+INDEX($Q77:$AJ77,1,(AV$4-1)*5+1))</f>
        <v/>
      </c>
      <c r="AW77" s="22">
        <f>AV77*(1+INDEX($Q77:$AJ77,1,(AW$4-1)*5+1))</f>
        <v/>
      </c>
      <c r="AX77" s="22">
        <f>AW77*(1+INDEX($Q77:$AJ77,1,(AX$4-1)*5+1))</f>
        <v/>
      </c>
      <c r="AY77" s="22">
        <f>AX77*(1+INDEX($Q77:$AJ77,1,(AY$4-1)*5+1))</f>
        <v/>
      </c>
      <c r="BA77" s="23">
        <f>INDEX(Prices_dom!$A$6:$CU$2000,MATCH(Settings!$C$4&amp;BA$5,Prices_dom!$A$6:$A$2000,0),MATCH("mit.sp."&amp;$N77,Prices_dom!$A$5:$CU$5,0))/$P77</f>
        <v/>
      </c>
      <c r="BB77" s="22">
        <f>BA77*(1+INDEX($Q77:$AJ77,1,(BB$4-1)*5+1))</f>
        <v/>
      </c>
      <c r="BC77" s="22">
        <f>BB77*(1+INDEX($Q77:$AJ77,1,(BC$4-1)*5+1))</f>
        <v/>
      </c>
      <c r="BD77" s="22">
        <f>BC77*(1+INDEX($Q77:$AJ77,1,(BD$4-1)*5+1))</f>
        <v/>
      </c>
      <c r="BE77" s="22">
        <f>BD77*(1+INDEX($Q77:$AJ77,1,(BE$4-1)*5+1))</f>
        <v/>
      </c>
      <c r="BF77" s="22">
        <f>BE77*(1+INDEX($Q77:$AJ77,1,(BF$4-1)*5+1))</f>
        <v/>
      </c>
      <c r="BG77" s="22">
        <f>BF77*(1+INDEX($Q77:$AJ77,1,(BG$4-1)*5+1))</f>
        <v/>
      </c>
      <c r="BH77" s="22">
        <f>BG77*(1+INDEX($Q77:$AJ77,1,(BH$4-1)*5+1))</f>
        <v/>
      </c>
      <c r="BI77" s="22">
        <f>BH77*(1+INDEX($Q77:$AJ77,1,(BI$4-1)*5+1))</f>
        <v/>
      </c>
      <c r="BJ77" s="22">
        <f>BI77*(1+INDEX($Q77:$AJ77,1,(BJ$4-1)*5+1))</f>
        <v/>
      </c>
      <c r="BK77" s="22">
        <f>BJ77*(1+INDEX($Q77:$AJ77,1,(BK$4-1)*5+1))</f>
        <v/>
      </c>
      <c r="BL77" s="22">
        <f>BK77*(1+INDEX($Q77:$AJ77,1,(BL$4-1)*5+1))</f>
        <v/>
      </c>
      <c r="BM77" s="22">
        <f>BL77*(1+INDEX($Q77:$AJ77,1,(BM$4-1)*5+1))</f>
        <v/>
      </c>
      <c r="BN77" s="22">
        <f>BM77*(1+INDEX($Q77:$AJ77,1,(BN$4-1)*5+1))</f>
        <v/>
      </c>
    </row>
    <row r="78">
      <c r="B78" s="5" t="inlineStr">
        <is>
          <t>die</t>
        </is>
      </c>
      <c r="C78" s="5" t="inlineStr">
        <is>
          <t>irn</t>
        </is>
      </c>
      <c r="D78" s="5" t="inlineStr">
        <is>
          <t>Pre-tax price | Iron &amp; steel | Diesel</t>
        </is>
      </c>
      <c r="E78" s="5" t="inlineStr">
        <is>
          <t>$/GJ</t>
        </is>
      </c>
      <c r="F78" s="5" t="inlineStr">
        <is>
          <t>Prices_dom (base year), then growth</t>
        </is>
      </c>
      <c r="G78" s="19" t="inlineStr">
        <is>
          <t>mit.sp.die</t>
        </is>
      </c>
      <c r="H78" s="19" t="inlineStr">
        <is>
          <t>mit.pbt.die.irn</t>
        </is>
      </c>
      <c r="J78" s="5">
        <f>INDEX(Mapping!$C$5:$C$20,MATCH($C78,Mapping!$A$5:$A$20,0))</f>
        <v/>
      </c>
      <c r="K78" s="5">
        <f>INDEX(Mapping!$D$5:$D$20,MATCH($C78,Mapping!$A$5:$A$20,0))</f>
        <v/>
      </c>
      <c r="L78" s="5">
        <f>INDEX(Mapping!$C$24:$C$31,MATCH($B78,Mapping!$A$24:$A$31,0))</f>
        <v/>
      </c>
      <c r="M78" s="5">
        <f>INDEX(Mapping!$D$24:$D$31,MATCH($B78,Mapping!$A$24:$A$31,0))</f>
        <v/>
      </c>
      <c r="N78" s="5">
        <f>$B78&amp;"."&amp;IF(INDEX(Mapping!$E$24:$E$31,MATCH($B78,Mapping!$A$24:$A$31,0))="sub",INDEX(Mapping!$F$5:$F$20,MATCH($C78,Mapping!$A$5:$A$20,0)),"all")</f>
        <v/>
      </c>
      <c r="O78" s="5">
        <f>INDEX(Mapping!$E$5:$E$20,MATCH($C78,Mapping!$A$5:$A$20,0))</f>
        <v/>
      </c>
      <c r="P78" s="5">
        <f>INDEX(Mapping!$G$24:$G$31,MATCH($B78,Mapping!$A$24:$A$31,0))</f>
        <v/>
      </c>
      <c r="Q78" s="20" t="n">
        <v>0</v>
      </c>
      <c r="R78" s="21" t="n"/>
      <c r="S78" s="21" t="n"/>
      <c r="T78" s="21" t="n"/>
      <c r="U78" s="21" t="n"/>
      <c r="V78" s="22">
        <f>Q78</f>
        <v/>
      </c>
      <c r="W78" s="21" t="n"/>
      <c r="X78" s="21" t="n"/>
      <c r="Y78" s="21" t="n"/>
      <c r="Z78" s="21" t="n"/>
      <c r="AA78" s="22">
        <f>Q78</f>
        <v/>
      </c>
      <c r="AB78" s="21" t="n"/>
      <c r="AC78" s="21" t="n"/>
      <c r="AD78" s="21" t="n"/>
      <c r="AE78" s="21" t="n"/>
      <c r="AF78" s="22">
        <f>Q78</f>
        <v/>
      </c>
      <c r="AG78" s="21" t="n"/>
      <c r="AH78" s="21" t="n"/>
      <c r="AI78" s="21" t="n"/>
      <c r="AJ78" s="21" t="n"/>
      <c r="AL78" s="23">
        <f>INDEX(Prices_dom!$A$6:$CU$2000,MATCH(Settings!$C$4&amp;AL$5,Prices_dom!$A$6:$A$2000,0),MATCH("mit.sp."&amp;$N78,Prices_dom!$A$5:$CU$5,0))/$P78</f>
        <v/>
      </c>
      <c r="AM78" s="22">
        <f>AL78*(1+INDEX($Q78:$AJ78,1,(AM$4-1)*5+1))</f>
        <v/>
      </c>
      <c r="AN78" s="22">
        <f>AM78*(1+INDEX($Q78:$AJ78,1,(AN$4-1)*5+1))</f>
        <v/>
      </c>
      <c r="AO78" s="22">
        <f>AN78*(1+INDEX($Q78:$AJ78,1,(AO$4-1)*5+1))</f>
        <v/>
      </c>
      <c r="AP78" s="22">
        <f>AO78*(1+INDEX($Q78:$AJ78,1,(AP$4-1)*5+1))</f>
        <v/>
      </c>
      <c r="AQ78" s="22">
        <f>AP78*(1+INDEX($Q78:$AJ78,1,(AQ$4-1)*5+1))</f>
        <v/>
      </c>
      <c r="AR78" s="22">
        <f>AQ78*(1+INDEX($Q78:$AJ78,1,(AR$4-1)*5+1))</f>
        <v/>
      </c>
      <c r="AS78" s="22">
        <f>AR78*(1+INDEX($Q78:$AJ78,1,(AS$4-1)*5+1))</f>
        <v/>
      </c>
      <c r="AT78" s="22">
        <f>AS78*(1+INDEX($Q78:$AJ78,1,(AT$4-1)*5+1))</f>
        <v/>
      </c>
      <c r="AU78" s="22">
        <f>AT78*(1+INDEX($Q78:$AJ78,1,(AU$4-1)*5+1))</f>
        <v/>
      </c>
      <c r="AV78" s="22">
        <f>AU78*(1+INDEX($Q78:$AJ78,1,(AV$4-1)*5+1))</f>
        <v/>
      </c>
      <c r="AW78" s="22">
        <f>AV78*(1+INDEX($Q78:$AJ78,1,(AW$4-1)*5+1))</f>
        <v/>
      </c>
      <c r="AX78" s="22">
        <f>AW78*(1+INDEX($Q78:$AJ78,1,(AX$4-1)*5+1))</f>
        <v/>
      </c>
      <c r="AY78" s="22">
        <f>AX78*(1+INDEX($Q78:$AJ78,1,(AY$4-1)*5+1))</f>
        <v/>
      </c>
      <c r="BA78" s="23">
        <f>INDEX(Prices_dom!$A$6:$CU$2000,MATCH(Settings!$C$4&amp;BA$5,Prices_dom!$A$6:$A$2000,0),MATCH("mit.sp."&amp;$N78,Prices_dom!$A$5:$CU$5,0))/$P78</f>
        <v/>
      </c>
      <c r="BB78" s="22">
        <f>BA78*(1+INDEX($Q78:$AJ78,1,(BB$4-1)*5+1))</f>
        <v/>
      </c>
      <c r="BC78" s="22">
        <f>BB78*(1+INDEX($Q78:$AJ78,1,(BC$4-1)*5+1))</f>
        <v/>
      </c>
      <c r="BD78" s="22">
        <f>BC78*(1+INDEX($Q78:$AJ78,1,(BD$4-1)*5+1))</f>
        <v/>
      </c>
      <c r="BE78" s="22">
        <f>BD78*(1+INDEX($Q78:$AJ78,1,(BE$4-1)*5+1))</f>
        <v/>
      </c>
      <c r="BF78" s="22">
        <f>BE78*(1+INDEX($Q78:$AJ78,1,(BF$4-1)*5+1))</f>
        <v/>
      </c>
      <c r="BG78" s="22">
        <f>BF78*(1+INDEX($Q78:$AJ78,1,(BG$4-1)*5+1))</f>
        <v/>
      </c>
      <c r="BH78" s="22">
        <f>BG78*(1+INDEX($Q78:$AJ78,1,(BH$4-1)*5+1))</f>
        <v/>
      </c>
      <c r="BI78" s="22">
        <f>BH78*(1+INDEX($Q78:$AJ78,1,(BI$4-1)*5+1))</f>
        <v/>
      </c>
      <c r="BJ78" s="22">
        <f>BI78*(1+INDEX($Q78:$AJ78,1,(BJ$4-1)*5+1))</f>
        <v/>
      </c>
      <c r="BK78" s="22">
        <f>BJ78*(1+INDEX($Q78:$AJ78,1,(BK$4-1)*5+1))</f>
        <v/>
      </c>
      <c r="BL78" s="22">
        <f>BK78*(1+INDEX($Q78:$AJ78,1,(BL$4-1)*5+1))</f>
        <v/>
      </c>
      <c r="BM78" s="22">
        <f>BL78*(1+INDEX($Q78:$AJ78,1,(BM$4-1)*5+1))</f>
        <v/>
      </c>
      <c r="BN78" s="22">
        <f>BM78*(1+INDEX($Q78:$AJ78,1,(BN$4-1)*5+1))</f>
        <v/>
      </c>
    </row>
    <row r="79">
      <c r="B79" s="5" t="inlineStr">
        <is>
          <t>lpg</t>
        </is>
      </c>
      <c r="C79" s="5" t="inlineStr">
        <is>
          <t>irn</t>
        </is>
      </c>
      <c r="D79" s="5" t="inlineStr">
        <is>
          <t>Pre-tax price | Iron &amp; steel | LPG</t>
        </is>
      </c>
      <c r="E79" s="5" t="inlineStr">
        <is>
          <t>$/GJ</t>
        </is>
      </c>
      <c r="F79" s="5" t="inlineStr">
        <is>
          <t>Prices_dom (base year), then growth</t>
        </is>
      </c>
      <c r="G79" s="19" t="inlineStr">
        <is>
          <t>mit.sp.lpg</t>
        </is>
      </c>
      <c r="H79" s="19" t="inlineStr">
        <is>
          <t>mit.pbt.lpg.irn</t>
        </is>
      </c>
      <c r="J79" s="5">
        <f>INDEX(Mapping!$C$5:$C$20,MATCH($C79,Mapping!$A$5:$A$20,0))</f>
        <v/>
      </c>
      <c r="K79" s="5">
        <f>INDEX(Mapping!$D$5:$D$20,MATCH($C79,Mapping!$A$5:$A$20,0))</f>
        <v/>
      </c>
      <c r="L79" s="5">
        <f>INDEX(Mapping!$C$24:$C$31,MATCH($B79,Mapping!$A$24:$A$31,0))</f>
        <v/>
      </c>
      <c r="M79" s="5">
        <f>INDEX(Mapping!$D$24:$D$31,MATCH($B79,Mapping!$A$24:$A$31,0))</f>
        <v/>
      </c>
      <c r="N79" s="5">
        <f>$B79&amp;"."&amp;IF(INDEX(Mapping!$E$24:$E$31,MATCH($B79,Mapping!$A$24:$A$31,0))="sub",INDEX(Mapping!$F$5:$F$20,MATCH($C79,Mapping!$A$5:$A$20,0)),"all")</f>
        <v/>
      </c>
      <c r="O79" s="5">
        <f>INDEX(Mapping!$E$5:$E$20,MATCH($C79,Mapping!$A$5:$A$20,0))</f>
        <v/>
      </c>
      <c r="P79" s="5">
        <f>INDEX(Mapping!$G$24:$G$31,MATCH($B79,Mapping!$A$24:$A$31,0))</f>
        <v/>
      </c>
      <c r="Q79" s="20" t="n">
        <v>0</v>
      </c>
      <c r="R79" s="21" t="n"/>
      <c r="S79" s="21" t="n"/>
      <c r="T79" s="21" t="n"/>
      <c r="U79" s="21" t="n"/>
      <c r="V79" s="22">
        <f>Q79</f>
        <v/>
      </c>
      <c r="W79" s="21" t="n"/>
      <c r="X79" s="21" t="n"/>
      <c r="Y79" s="21" t="n"/>
      <c r="Z79" s="21" t="n"/>
      <c r="AA79" s="22">
        <f>Q79</f>
        <v/>
      </c>
      <c r="AB79" s="21" t="n"/>
      <c r="AC79" s="21" t="n"/>
      <c r="AD79" s="21" t="n"/>
      <c r="AE79" s="21" t="n"/>
      <c r="AF79" s="22">
        <f>Q79</f>
        <v/>
      </c>
      <c r="AG79" s="21" t="n"/>
      <c r="AH79" s="21" t="n"/>
      <c r="AI79" s="21" t="n"/>
      <c r="AJ79" s="21" t="n"/>
      <c r="AL79" s="23">
        <f>INDEX(Prices_dom!$A$6:$CU$2000,MATCH(Settings!$C$4&amp;AL$5,Prices_dom!$A$6:$A$2000,0),MATCH("mit.sp."&amp;$N79,Prices_dom!$A$5:$CU$5,0))/$P79</f>
        <v/>
      </c>
      <c r="AM79" s="22">
        <f>AL79*(1+INDEX($Q79:$AJ79,1,(AM$4-1)*5+1))</f>
        <v/>
      </c>
      <c r="AN79" s="22">
        <f>AM79*(1+INDEX($Q79:$AJ79,1,(AN$4-1)*5+1))</f>
        <v/>
      </c>
      <c r="AO79" s="22">
        <f>AN79*(1+INDEX($Q79:$AJ79,1,(AO$4-1)*5+1))</f>
        <v/>
      </c>
      <c r="AP79" s="22">
        <f>AO79*(1+INDEX($Q79:$AJ79,1,(AP$4-1)*5+1))</f>
        <v/>
      </c>
      <c r="AQ79" s="22">
        <f>AP79*(1+INDEX($Q79:$AJ79,1,(AQ$4-1)*5+1))</f>
        <v/>
      </c>
      <c r="AR79" s="22">
        <f>AQ79*(1+INDEX($Q79:$AJ79,1,(AR$4-1)*5+1))</f>
        <v/>
      </c>
      <c r="AS79" s="22">
        <f>AR79*(1+INDEX($Q79:$AJ79,1,(AS$4-1)*5+1))</f>
        <v/>
      </c>
      <c r="AT79" s="22">
        <f>AS79*(1+INDEX($Q79:$AJ79,1,(AT$4-1)*5+1))</f>
        <v/>
      </c>
      <c r="AU79" s="22">
        <f>AT79*(1+INDEX($Q79:$AJ79,1,(AU$4-1)*5+1))</f>
        <v/>
      </c>
      <c r="AV79" s="22">
        <f>AU79*(1+INDEX($Q79:$AJ79,1,(AV$4-1)*5+1))</f>
        <v/>
      </c>
      <c r="AW79" s="22">
        <f>AV79*(1+INDEX($Q79:$AJ79,1,(AW$4-1)*5+1))</f>
        <v/>
      </c>
      <c r="AX79" s="22">
        <f>AW79*(1+INDEX($Q79:$AJ79,1,(AX$4-1)*5+1))</f>
        <v/>
      </c>
      <c r="AY79" s="22">
        <f>AX79*(1+INDEX($Q79:$AJ79,1,(AY$4-1)*5+1))</f>
        <v/>
      </c>
      <c r="BA79" s="23">
        <f>INDEX(Prices_dom!$A$6:$CU$2000,MATCH(Settings!$C$4&amp;BA$5,Prices_dom!$A$6:$A$2000,0),MATCH("mit.sp."&amp;$N79,Prices_dom!$A$5:$CU$5,0))/$P79</f>
        <v/>
      </c>
      <c r="BB79" s="22">
        <f>BA79*(1+INDEX($Q79:$AJ79,1,(BB$4-1)*5+1))</f>
        <v/>
      </c>
      <c r="BC79" s="22">
        <f>BB79*(1+INDEX($Q79:$AJ79,1,(BC$4-1)*5+1))</f>
        <v/>
      </c>
      <c r="BD79" s="22">
        <f>BC79*(1+INDEX($Q79:$AJ79,1,(BD$4-1)*5+1))</f>
        <v/>
      </c>
      <c r="BE79" s="22">
        <f>BD79*(1+INDEX($Q79:$AJ79,1,(BE$4-1)*5+1))</f>
        <v/>
      </c>
      <c r="BF79" s="22">
        <f>BE79*(1+INDEX($Q79:$AJ79,1,(BF$4-1)*5+1))</f>
        <v/>
      </c>
      <c r="BG79" s="22">
        <f>BF79*(1+INDEX($Q79:$AJ79,1,(BG$4-1)*5+1))</f>
        <v/>
      </c>
      <c r="BH79" s="22">
        <f>BG79*(1+INDEX($Q79:$AJ79,1,(BH$4-1)*5+1))</f>
        <v/>
      </c>
      <c r="BI79" s="22">
        <f>BH79*(1+INDEX($Q79:$AJ79,1,(BI$4-1)*5+1))</f>
        <v/>
      </c>
      <c r="BJ79" s="22">
        <f>BI79*(1+INDEX($Q79:$AJ79,1,(BJ$4-1)*5+1))</f>
        <v/>
      </c>
      <c r="BK79" s="22">
        <f>BJ79*(1+INDEX($Q79:$AJ79,1,(BK$4-1)*5+1))</f>
        <v/>
      </c>
      <c r="BL79" s="22">
        <f>BK79*(1+INDEX($Q79:$AJ79,1,(BL$4-1)*5+1))</f>
        <v/>
      </c>
      <c r="BM79" s="22">
        <f>BL79*(1+INDEX($Q79:$AJ79,1,(BM$4-1)*5+1))</f>
        <v/>
      </c>
      <c r="BN79" s="22">
        <f>BM79*(1+INDEX($Q79:$AJ79,1,(BN$4-1)*5+1))</f>
        <v/>
      </c>
    </row>
    <row r="80">
      <c r="B80" s="5" t="inlineStr">
        <is>
          <t>ker</t>
        </is>
      </c>
      <c r="C80" s="5" t="inlineStr">
        <is>
          <t>irn</t>
        </is>
      </c>
      <c r="D80" s="5" t="inlineStr">
        <is>
          <t>Pre-tax price | Iron &amp; steel | Kerosene</t>
        </is>
      </c>
      <c r="E80" s="5" t="inlineStr">
        <is>
          <t>$/GJ</t>
        </is>
      </c>
      <c r="F80" s="5" t="inlineStr">
        <is>
          <t>Prices_dom (base year), then growth</t>
        </is>
      </c>
      <c r="G80" s="19" t="inlineStr">
        <is>
          <t>mit.sp.ker</t>
        </is>
      </c>
      <c r="H80" s="19" t="inlineStr">
        <is>
          <t>mit.pbt.ker.irn</t>
        </is>
      </c>
      <c r="J80" s="5">
        <f>INDEX(Mapping!$C$5:$C$20,MATCH($C80,Mapping!$A$5:$A$20,0))</f>
        <v/>
      </c>
      <c r="K80" s="5">
        <f>INDEX(Mapping!$D$5:$D$20,MATCH($C80,Mapping!$A$5:$A$20,0))</f>
        <v/>
      </c>
      <c r="L80" s="5">
        <f>INDEX(Mapping!$C$24:$C$31,MATCH($B80,Mapping!$A$24:$A$31,0))</f>
        <v/>
      </c>
      <c r="M80" s="5">
        <f>INDEX(Mapping!$D$24:$D$31,MATCH($B80,Mapping!$A$24:$A$31,0))</f>
        <v/>
      </c>
      <c r="N80" s="5">
        <f>$B80&amp;"."&amp;IF(INDEX(Mapping!$E$24:$E$31,MATCH($B80,Mapping!$A$24:$A$31,0))="sub",INDEX(Mapping!$F$5:$F$20,MATCH($C80,Mapping!$A$5:$A$20,0)),"all")</f>
        <v/>
      </c>
      <c r="O80" s="5">
        <f>INDEX(Mapping!$E$5:$E$20,MATCH($C80,Mapping!$A$5:$A$20,0))</f>
        <v/>
      </c>
      <c r="P80" s="5">
        <f>INDEX(Mapping!$G$24:$G$31,MATCH($B80,Mapping!$A$24:$A$31,0))</f>
        <v/>
      </c>
      <c r="Q80" s="20" t="n">
        <v>0</v>
      </c>
      <c r="R80" s="21" t="n"/>
      <c r="S80" s="21" t="n"/>
      <c r="T80" s="21" t="n"/>
      <c r="U80" s="21" t="n"/>
      <c r="V80" s="22">
        <f>Q80</f>
        <v/>
      </c>
      <c r="W80" s="21" t="n"/>
      <c r="X80" s="21" t="n"/>
      <c r="Y80" s="21" t="n"/>
      <c r="Z80" s="21" t="n"/>
      <c r="AA80" s="22">
        <f>Q80</f>
        <v/>
      </c>
      <c r="AB80" s="21" t="n"/>
      <c r="AC80" s="21" t="n"/>
      <c r="AD80" s="21" t="n"/>
      <c r="AE80" s="21" t="n"/>
      <c r="AF80" s="22">
        <f>Q80</f>
        <v/>
      </c>
      <c r="AG80" s="21" t="n"/>
      <c r="AH80" s="21" t="n"/>
      <c r="AI80" s="21" t="n"/>
      <c r="AJ80" s="21" t="n"/>
      <c r="AL80" s="23">
        <f>INDEX(Prices_dom!$A$6:$CU$2000,MATCH(Settings!$C$4&amp;AL$5,Prices_dom!$A$6:$A$2000,0),MATCH("mit.sp."&amp;$N80,Prices_dom!$A$5:$CU$5,0))/$P80</f>
        <v/>
      </c>
      <c r="AM80" s="22">
        <f>AL80*(1+INDEX($Q80:$AJ80,1,(AM$4-1)*5+1))</f>
        <v/>
      </c>
      <c r="AN80" s="22">
        <f>AM80*(1+INDEX($Q80:$AJ80,1,(AN$4-1)*5+1))</f>
        <v/>
      </c>
      <c r="AO80" s="22">
        <f>AN80*(1+INDEX($Q80:$AJ80,1,(AO$4-1)*5+1))</f>
        <v/>
      </c>
      <c r="AP80" s="22">
        <f>AO80*(1+INDEX($Q80:$AJ80,1,(AP$4-1)*5+1))</f>
        <v/>
      </c>
      <c r="AQ80" s="22">
        <f>AP80*(1+INDEX($Q80:$AJ80,1,(AQ$4-1)*5+1))</f>
        <v/>
      </c>
      <c r="AR80" s="22">
        <f>AQ80*(1+INDEX($Q80:$AJ80,1,(AR$4-1)*5+1))</f>
        <v/>
      </c>
      <c r="AS80" s="22">
        <f>AR80*(1+INDEX($Q80:$AJ80,1,(AS$4-1)*5+1))</f>
        <v/>
      </c>
      <c r="AT80" s="22">
        <f>AS80*(1+INDEX($Q80:$AJ80,1,(AT$4-1)*5+1))</f>
        <v/>
      </c>
      <c r="AU80" s="22">
        <f>AT80*(1+INDEX($Q80:$AJ80,1,(AU$4-1)*5+1))</f>
        <v/>
      </c>
      <c r="AV80" s="22">
        <f>AU80*(1+INDEX($Q80:$AJ80,1,(AV$4-1)*5+1))</f>
        <v/>
      </c>
      <c r="AW80" s="22">
        <f>AV80*(1+INDEX($Q80:$AJ80,1,(AW$4-1)*5+1))</f>
        <v/>
      </c>
      <c r="AX80" s="22">
        <f>AW80*(1+INDEX($Q80:$AJ80,1,(AX$4-1)*5+1))</f>
        <v/>
      </c>
      <c r="AY80" s="22">
        <f>AX80*(1+INDEX($Q80:$AJ80,1,(AY$4-1)*5+1))</f>
        <v/>
      </c>
      <c r="BA80" s="23">
        <f>INDEX(Prices_dom!$A$6:$CU$2000,MATCH(Settings!$C$4&amp;BA$5,Prices_dom!$A$6:$A$2000,0),MATCH("mit.sp."&amp;$N80,Prices_dom!$A$5:$CU$5,0))/$P80</f>
        <v/>
      </c>
      <c r="BB80" s="22">
        <f>BA80*(1+INDEX($Q80:$AJ80,1,(BB$4-1)*5+1))</f>
        <v/>
      </c>
      <c r="BC80" s="22">
        <f>BB80*(1+INDEX($Q80:$AJ80,1,(BC$4-1)*5+1))</f>
        <v/>
      </c>
      <c r="BD80" s="22">
        <f>BC80*(1+INDEX($Q80:$AJ80,1,(BD$4-1)*5+1))</f>
        <v/>
      </c>
      <c r="BE80" s="22">
        <f>BD80*(1+INDEX($Q80:$AJ80,1,(BE$4-1)*5+1))</f>
        <v/>
      </c>
      <c r="BF80" s="22">
        <f>BE80*(1+INDEX($Q80:$AJ80,1,(BF$4-1)*5+1))</f>
        <v/>
      </c>
      <c r="BG80" s="22">
        <f>BF80*(1+INDEX($Q80:$AJ80,1,(BG$4-1)*5+1))</f>
        <v/>
      </c>
      <c r="BH80" s="22">
        <f>BG80*(1+INDEX($Q80:$AJ80,1,(BH$4-1)*5+1))</f>
        <v/>
      </c>
      <c r="BI80" s="22">
        <f>BH80*(1+INDEX($Q80:$AJ80,1,(BI$4-1)*5+1))</f>
        <v/>
      </c>
      <c r="BJ80" s="22">
        <f>BI80*(1+INDEX($Q80:$AJ80,1,(BJ$4-1)*5+1))</f>
        <v/>
      </c>
      <c r="BK80" s="22">
        <f>BJ80*(1+INDEX($Q80:$AJ80,1,(BK$4-1)*5+1))</f>
        <v/>
      </c>
      <c r="BL80" s="22">
        <f>BK80*(1+INDEX($Q80:$AJ80,1,(BL$4-1)*5+1))</f>
        <v/>
      </c>
      <c r="BM80" s="22">
        <f>BL80*(1+INDEX($Q80:$AJ80,1,(BM$4-1)*5+1))</f>
        <v/>
      </c>
      <c r="BN80" s="22">
        <f>BM80*(1+INDEX($Q80:$AJ80,1,(BN$4-1)*5+1))</f>
        <v/>
      </c>
    </row>
    <row r="81">
      <c r="B81" s="5" t="inlineStr">
        <is>
          <t>oop</t>
        </is>
      </c>
      <c r="C81" s="5" t="inlineStr">
        <is>
          <t>irn</t>
        </is>
      </c>
      <c r="D81" s="5" t="inlineStr">
        <is>
          <t>Pre-tax price | Iron &amp; steel | Other oil products</t>
        </is>
      </c>
      <c r="E81" s="5" t="inlineStr">
        <is>
          <t>$/GJ</t>
        </is>
      </c>
      <c r="F81" s="5" t="inlineStr">
        <is>
          <t>Prices_dom (base year), then growth</t>
        </is>
      </c>
      <c r="G81" s="19" t="inlineStr">
        <is>
          <t>mit.sp.oop</t>
        </is>
      </c>
      <c r="H81" s="19" t="inlineStr">
        <is>
          <t>mit.pbt.oop.irn</t>
        </is>
      </c>
      <c r="J81" s="5">
        <f>INDEX(Mapping!$C$5:$C$20,MATCH($C81,Mapping!$A$5:$A$20,0))</f>
        <v/>
      </c>
      <c r="K81" s="5">
        <f>INDEX(Mapping!$D$5:$D$20,MATCH($C81,Mapping!$A$5:$A$20,0))</f>
        <v/>
      </c>
      <c r="L81" s="5">
        <f>INDEX(Mapping!$C$24:$C$31,MATCH($B81,Mapping!$A$24:$A$31,0))</f>
        <v/>
      </c>
      <c r="M81" s="5">
        <f>INDEX(Mapping!$D$24:$D$31,MATCH($B81,Mapping!$A$24:$A$31,0))</f>
        <v/>
      </c>
      <c r="N81" s="5">
        <f>$B81&amp;"."&amp;IF(INDEX(Mapping!$E$24:$E$31,MATCH($B81,Mapping!$A$24:$A$31,0))="sub",INDEX(Mapping!$F$5:$F$20,MATCH($C81,Mapping!$A$5:$A$20,0)),"all")</f>
        <v/>
      </c>
      <c r="O81" s="5">
        <f>INDEX(Mapping!$E$5:$E$20,MATCH($C81,Mapping!$A$5:$A$20,0))</f>
        <v/>
      </c>
      <c r="P81" s="5">
        <f>INDEX(Mapping!$G$24:$G$31,MATCH($B81,Mapping!$A$24:$A$31,0))</f>
        <v/>
      </c>
      <c r="Q81" s="20" t="n">
        <v>0</v>
      </c>
      <c r="R81" s="21" t="n"/>
      <c r="S81" s="21" t="n"/>
      <c r="T81" s="21" t="n"/>
      <c r="U81" s="21" t="n"/>
      <c r="V81" s="22">
        <f>Q81</f>
        <v/>
      </c>
      <c r="W81" s="21" t="n"/>
      <c r="X81" s="21" t="n"/>
      <c r="Y81" s="21" t="n"/>
      <c r="Z81" s="21" t="n"/>
      <c r="AA81" s="22">
        <f>Q81</f>
        <v/>
      </c>
      <c r="AB81" s="21" t="n"/>
      <c r="AC81" s="21" t="n"/>
      <c r="AD81" s="21" t="n"/>
      <c r="AE81" s="21" t="n"/>
      <c r="AF81" s="22">
        <f>Q81</f>
        <v/>
      </c>
      <c r="AG81" s="21" t="n"/>
      <c r="AH81" s="21" t="n"/>
      <c r="AI81" s="21" t="n"/>
      <c r="AJ81" s="21" t="n"/>
      <c r="AL81" s="23">
        <f>INDEX(Prices_dom!$A$6:$CU$2000,MATCH(Settings!$C$4&amp;AL$5,Prices_dom!$A$6:$A$2000,0),MATCH("mit.sp."&amp;$N81,Prices_dom!$A$5:$CU$5,0))/$P81</f>
        <v/>
      </c>
      <c r="AM81" s="22">
        <f>AL81*(1+INDEX($Q81:$AJ81,1,(AM$4-1)*5+1))</f>
        <v/>
      </c>
      <c r="AN81" s="22">
        <f>AM81*(1+INDEX($Q81:$AJ81,1,(AN$4-1)*5+1))</f>
        <v/>
      </c>
      <c r="AO81" s="22">
        <f>AN81*(1+INDEX($Q81:$AJ81,1,(AO$4-1)*5+1))</f>
        <v/>
      </c>
      <c r="AP81" s="22">
        <f>AO81*(1+INDEX($Q81:$AJ81,1,(AP$4-1)*5+1))</f>
        <v/>
      </c>
      <c r="AQ81" s="22">
        <f>AP81*(1+INDEX($Q81:$AJ81,1,(AQ$4-1)*5+1))</f>
        <v/>
      </c>
      <c r="AR81" s="22">
        <f>AQ81*(1+INDEX($Q81:$AJ81,1,(AR$4-1)*5+1))</f>
        <v/>
      </c>
      <c r="AS81" s="22">
        <f>AR81*(1+INDEX($Q81:$AJ81,1,(AS$4-1)*5+1))</f>
        <v/>
      </c>
      <c r="AT81" s="22">
        <f>AS81*(1+INDEX($Q81:$AJ81,1,(AT$4-1)*5+1))</f>
        <v/>
      </c>
      <c r="AU81" s="22">
        <f>AT81*(1+INDEX($Q81:$AJ81,1,(AU$4-1)*5+1))</f>
        <v/>
      </c>
      <c r="AV81" s="22">
        <f>AU81*(1+INDEX($Q81:$AJ81,1,(AV$4-1)*5+1))</f>
        <v/>
      </c>
      <c r="AW81" s="22">
        <f>AV81*(1+INDEX($Q81:$AJ81,1,(AW$4-1)*5+1))</f>
        <v/>
      </c>
      <c r="AX81" s="22">
        <f>AW81*(1+INDEX($Q81:$AJ81,1,(AX$4-1)*5+1))</f>
        <v/>
      </c>
      <c r="AY81" s="22">
        <f>AX81*(1+INDEX($Q81:$AJ81,1,(AY$4-1)*5+1))</f>
        <v/>
      </c>
      <c r="BA81" s="23">
        <f>INDEX(Prices_dom!$A$6:$CU$2000,MATCH(Settings!$C$4&amp;BA$5,Prices_dom!$A$6:$A$2000,0),MATCH("mit.sp."&amp;$N81,Prices_dom!$A$5:$CU$5,0))/$P81</f>
        <v/>
      </c>
      <c r="BB81" s="22">
        <f>BA81*(1+INDEX($Q81:$AJ81,1,(BB$4-1)*5+1))</f>
        <v/>
      </c>
      <c r="BC81" s="22">
        <f>BB81*(1+INDEX($Q81:$AJ81,1,(BC$4-1)*5+1))</f>
        <v/>
      </c>
      <c r="BD81" s="22">
        <f>BC81*(1+INDEX($Q81:$AJ81,1,(BD$4-1)*5+1))</f>
        <v/>
      </c>
      <c r="BE81" s="22">
        <f>BD81*(1+INDEX($Q81:$AJ81,1,(BE$4-1)*5+1))</f>
        <v/>
      </c>
      <c r="BF81" s="22">
        <f>BE81*(1+INDEX($Q81:$AJ81,1,(BF$4-1)*5+1))</f>
        <v/>
      </c>
      <c r="BG81" s="22">
        <f>BF81*(1+INDEX($Q81:$AJ81,1,(BG$4-1)*5+1))</f>
        <v/>
      </c>
      <c r="BH81" s="22">
        <f>BG81*(1+INDEX($Q81:$AJ81,1,(BH$4-1)*5+1))</f>
        <v/>
      </c>
      <c r="BI81" s="22">
        <f>BH81*(1+INDEX($Q81:$AJ81,1,(BI$4-1)*5+1))</f>
        <v/>
      </c>
      <c r="BJ81" s="22">
        <f>BI81*(1+INDEX($Q81:$AJ81,1,(BJ$4-1)*5+1))</f>
        <v/>
      </c>
      <c r="BK81" s="22">
        <f>BJ81*(1+INDEX($Q81:$AJ81,1,(BK$4-1)*5+1))</f>
        <v/>
      </c>
      <c r="BL81" s="22">
        <f>BK81*(1+INDEX($Q81:$AJ81,1,(BL$4-1)*5+1))</f>
        <v/>
      </c>
      <c r="BM81" s="22">
        <f>BL81*(1+INDEX($Q81:$AJ81,1,(BM$4-1)*5+1))</f>
        <v/>
      </c>
      <c r="BN81" s="22">
        <f>BM81*(1+INDEX($Q81:$AJ81,1,(BN$4-1)*5+1))</f>
        <v/>
      </c>
    </row>
    <row r="82">
      <c r="B82" s="5" t="inlineStr">
        <is>
          <t>bio</t>
        </is>
      </c>
      <c r="C82" s="5" t="inlineStr">
        <is>
          <t>irn</t>
        </is>
      </c>
      <c r="D82" s="5" t="inlineStr">
        <is>
          <t>Pre-tax price | Iron &amp; steel | Biomass</t>
        </is>
      </c>
      <c r="E82" s="5" t="inlineStr">
        <is>
          <t>$/GJ</t>
        </is>
      </c>
      <c r="F82" s="5" t="inlineStr">
        <is>
          <t>Prices_dom (base year), then growth</t>
        </is>
      </c>
      <c r="G82" s="19" t="inlineStr">
        <is>
          <t>mit.sp.bio</t>
        </is>
      </c>
      <c r="H82" s="19" t="inlineStr">
        <is>
          <t>mit.pbt.bio.irn</t>
        </is>
      </c>
      <c r="J82" s="5">
        <f>INDEX(Mapping!$C$5:$C$20,MATCH($C82,Mapping!$A$5:$A$20,0))</f>
        <v/>
      </c>
      <c r="K82" s="5">
        <f>INDEX(Mapping!$D$5:$D$20,MATCH($C82,Mapping!$A$5:$A$20,0))</f>
        <v/>
      </c>
      <c r="L82" s="5">
        <f>INDEX(Mapping!$C$24:$C$31,MATCH($B82,Mapping!$A$24:$A$31,0))</f>
        <v/>
      </c>
      <c r="M82" s="5">
        <f>INDEX(Mapping!$D$24:$D$31,MATCH($B82,Mapping!$A$24:$A$31,0))</f>
        <v/>
      </c>
      <c r="N82" s="5">
        <f>$B82&amp;"."&amp;IF(INDEX(Mapping!$E$24:$E$31,MATCH($B82,Mapping!$A$24:$A$31,0))="sub",INDEX(Mapping!$F$5:$F$20,MATCH($C82,Mapping!$A$5:$A$20,0)),"all")</f>
        <v/>
      </c>
      <c r="O82" s="5">
        <f>INDEX(Mapping!$E$5:$E$20,MATCH($C82,Mapping!$A$5:$A$20,0))</f>
        <v/>
      </c>
      <c r="P82" s="5">
        <f>INDEX(Mapping!$G$24:$G$31,MATCH($B82,Mapping!$A$24:$A$31,0))</f>
        <v/>
      </c>
      <c r="Q82" s="20" t="n">
        <v>0</v>
      </c>
      <c r="R82" s="21" t="n"/>
      <c r="S82" s="21" t="n"/>
      <c r="T82" s="21" t="n"/>
      <c r="U82" s="21" t="n"/>
      <c r="V82" s="22">
        <f>Q82</f>
        <v/>
      </c>
      <c r="W82" s="21" t="n"/>
      <c r="X82" s="21" t="n"/>
      <c r="Y82" s="21" t="n"/>
      <c r="Z82" s="21" t="n"/>
      <c r="AA82" s="22">
        <f>Q82</f>
        <v/>
      </c>
      <c r="AB82" s="21" t="n"/>
      <c r="AC82" s="21" t="n"/>
      <c r="AD82" s="21" t="n"/>
      <c r="AE82" s="21" t="n"/>
      <c r="AF82" s="22">
        <f>Q82</f>
        <v/>
      </c>
      <c r="AG82" s="21" t="n"/>
      <c r="AH82" s="21" t="n"/>
      <c r="AI82" s="21" t="n"/>
      <c r="AJ82" s="21" t="n"/>
      <c r="AL82" s="23">
        <f>INDEX(Prices_dom!$A$6:$CU$2000,MATCH(Settings!$C$4&amp;AL$5,Prices_dom!$A$6:$A$2000,0),MATCH("mit.sp."&amp;$N82,Prices_dom!$A$5:$CU$5,0))/$P82</f>
        <v/>
      </c>
      <c r="AM82" s="22">
        <f>AL82*(1+INDEX($Q82:$AJ82,1,(AM$4-1)*5+1))</f>
        <v/>
      </c>
      <c r="AN82" s="22">
        <f>AM82*(1+INDEX($Q82:$AJ82,1,(AN$4-1)*5+1))</f>
        <v/>
      </c>
      <c r="AO82" s="22">
        <f>AN82*(1+INDEX($Q82:$AJ82,1,(AO$4-1)*5+1))</f>
        <v/>
      </c>
      <c r="AP82" s="22">
        <f>AO82*(1+INDEX($Q82:$AJ82,1,(AP$4-1)*5+1))</f>
        <v/>
      </c>
      <c r="AQ82" s="22">
        <f>AP82*(1+INDEX($Q82:$AJ82,1,(AQ$4-1)*5+1))</f>
        <v/>
      </c>
      <c r="AR82" s="22">
        <f>AQ82*(1+INDEX($Q82:$AJ82,1,(AR$4-1)*5+1))</f>
        <v/>
      </c>
      <c r="AS82" s="22">
        <f>AR82*(1+INDEX($Q82:$AJ82,1,(AS$4-1)*5+1))</f>
        <v/>
      </c>
      <c r="AT82" s="22">
        <f>AS82*(1+INDEX($Q82:$AJ82,1,(AT$4-1)*5+1))</f>
        <v/>
      </c>
      <c r="AU82" s="22">
        <f>AT82*(1+INDEX($Q82:$AJ82,1,(AU$4-1)*5+1))</f>
        <v/>
      </c>
      <c r="AV82" s="22">
        <f>AU82*(1+INDEX($Q82:$AJ82,1,(AV$4-1)*5+1))</f>
        <v/>
      </c>
      <c r="AW82" s="22">
        <f>AV82*(1+INDEX($Q82:$AJ82,1,(AW$4-1)*5+1))</f>
        <v/>
      </c>
      <c r="AX82" s="22">
        <f>AW82*(1+INDEX($Q82:$AJ82,1,(AX$4-1)*5+1))</f>
        <v/>
      </c>
      <c r="AY82" s="22">
        <f>AX82*(1+INDEX($Q82:$AJ82,1,(AY$4-1)*5+1))</f>
        <v/>
      </c>
      <c r="BA82" s="23">
        <f>INDEX(Prices_dom!$A$6:$CU$2000,MATCH(Settings!$C$4&amp;BA$5,Prices_dom!$A$6:$A$2000,0),MATCH("mit.sp."&amp;$N82,Prices_dom!$A$5:$CU$5,0))/$P82</f>
        <v/>
      </c>
      <c r="BB82" s="22">
        <f>BA82*(1+INDEX($Q82:$AJ82,1,(BB$4-1)*5+1))</f>
        <v/>
      </c>
      <c r="BC82" s="22">
        <f>BB82*(1+INDEX($Q82:$AJ82,1,(BC$4-1)*5+1))</f>
        <v/>
      </c>
      <c r="BD82" s="22">
        <f>BC82*(1+INDEX($Q82:$AJ82,1,(BD$4-1)*5+1))</f>
        <v/>
      </c>
      <c r="BE82" s="22">
        <f>BD82*(1+INDEX($Q82:$AJ82,1,(BE$4-1)*5+1))</f>
        <v/>
      </c>
      <c r="BF82" s="22">
        <f>BE82*(1+INDEX($Q82:$AJ82,1,(BF$4-1)*5+1))</f>
        <v/>
      </c>
      <c r="BG82" s="22">
        <f>BF82*(1+INDEX($Q82:$AJ82,1,(BG$4-1)*5+1))</f>
        <v/>
      </c>
      <c r="BH82" s="22">
        <f>BG82*(1+INDEX($Q82:$AJ82,1,(BH$4-1)*5+1))</f>
        <v/>
      </c>
      <c r="BI82" s="22">
        <f>BH82*(1+INDEX($Q82:$AJ82,1,(BI$4-1)*5+1))</f>
        <v/>
      </c>
      <c r="BJ82" s="22">
        <f>BI82*(1+INDEX($Q82:$AJ82,1,(BJ$4-1)*5+1))</f>
        <v/>
      </c>
      <c r="BK82" s="22">
        <f>BJ82*(1+INDEX($Q82:$AJ82,1,(BK$4-1)*5+1))</f>
        <v/>
      </c>
      <c r="BL82" s="22">
        <f>BK82*(1+INDEX($Q82:$AJ82,1,(BL$4-1)*5+1))</f>
        <v/>
      </c>
      <c r="BM82" s="22">
        <f>BL82*(1+INDEX($Q82:$AJ82,1,(BM$4-1)*5+1))</f>
        <v/>
      </c>
      <c r="BN82" s="22">
        <f>BM82*(1+INDEX($Q82:$AJ82,1,(BN$4-1)*5+1))</f>
        <v/>
      </c>
    </row>
    <row r="83">
      <c r="B83" s="5" t="inlineStr">
        <is>
          <t>coa</t>
        </is>
      </c>
      <c r="C83" s="5" t="inlineStr">
        <is>
          <t>nfm</t>
        </is>
      </c>
      <c r="D83" s="5" t="inlineStr">
        <is>
          <t>Pre-tax price | Other metals | Coal</t>
        </is>
      </c>
      <c r="E83" s="5" t="inlineStr">
        <is>
          <t>$/GJ</t>
        </is>
      </c>
      <c r="F83" s="5" t="inlineStr">
        <is>
          <t>Prices_dom (base year), then growth</t>
        </is>
      </c>
      <c r="G83" s="19" t="inlineStr">
        <is>
          <t>mit.sp.coa</t>
        </is>
      </c>
      <c r="H83" s="19" t="inlineStr">
        <is>
          <t>mit.pbt.coa.nfm</t>
        </is>
      </c>
      <c r="J83" s="5">
        <f>INDEX(Mapping!$C$5:$C$20,MATCH($C83,Mapping!$A$5:$A$20,0))</f>
        <v/>
      </c>
      <c r="K83" s="5">
        <f>INDEX(Mapping!$D$5:$D$20,MATCH($C83,Mapping!$A$5:$A$20,0))</f>
        <v/>
      </c>
      <c r="L83" s="5">
        <f>INDEX(Mapping!$C$24:$C$31,MATCH($B83,Mapping!$A$24:$A$31,0))</f>
        <v/>
      </c>
      <c r="M83" s="5">
        <f>INDEX(Mapping!$D$24:$D$31,MATCH($B83,Mapping!$A$24:$A$31,0))</f>
        <v/>
      </c>
      <c r="N83" s="5">
        <f>$B83&amp;"."&amp;IF(INDEX(Mapping!$E$24:$E$31,MATCH($B83,Mapping!$A$24:$A$31,0))="sub",INDEX(Mapping!$F$5:$F$20,MATCH($C83,Mapping!$A$5:$A$20,0)),"all")</f>
        <v/>
      </c>
      <c r="O83" s="5">
        <f>INDEX(Mapping!$E$5:$E$20,MATCH($C83,Mapping!$A$5:$A$20,0))</f>
        <v/>
      </c>
      <c r="P83" s="5">
        <f>INDEX(Mapping!$G$24:$G$31,MATCH($B83,Mapping!$A$24:$A$31,0))</f>
        <v/>
      </c>
      <c r="Q83" s="20" t="n">
        <v>0</v>
      </c>
      <c r="R83" s="21" t="n"/>
      <c r="S83" s="21" t="n"/>
      <c r="T83" s="21" t="n"/>
      <c r="U83" s="21" t="n"/>
      <c r="V83" s="22">
        <f>Q83</f>
        <v/>
      </c>
      <c r="W83" s="21" t="n"/>
      <c r="X83" s="21" t="n"/>
      <c r="Y83" s="21" t="n"/>
      <c r="Z83" s="21" t="n"/>
      <c r="AA83" s="22">
        <f>Q83</f>
        <v/>
      </c>
      <c r="AB83" s="21" t="n"/>
      <c r="AC83" s="21" t="n"/>
      <c r="AD83" s="21" t="n"/>
      <c r="AE83" s="21" t="n"/>
      <c r="AF83" s="22">
        <f>Q83</f>
        <v/>
      </c>
      <c r="AG83" s="21" t="n"/>
      <c r="AH83" s="21" t="n"/>
      <c r="AI83" s="21" t="n"/>
      <c r="AJ83" s="21" t="n"/>
      <c r="AL83" s="23">
        <f>INDEX(Prices_dom!$A$6:$CU$2000,MATCH(Settings!$C$4&amp;AL$5,Prices_dom!$A$6:$A$2000,0),MATCH("mit.sp."&amp;$N83,Prices_dom!$A$5:$CU$5,0))/$P83</f>
        <v/>
      </c>
      <c r="AM83" s="22">
        <f>AL83*(1+INDEX($Q83:$AJ83,1,(AM$4-1)*5+1))</f>
        <v/>
      </c>
      <c r="AN83" s="22">
        <f>AM83*(1+INDEX($Q83:$AJ83,1,(AN$4-1)*5+1))</f>
        <v/>
      </c>
      <c r="AO83" s="22">
        <f>AN83*(1+INDEX($Q83:$AJ83,1,(AO$4-1)*5+1))</f>
        <v/>
      </c>
      <c r="AP83" s="22">
        <f>AO83*(1+INDEX($Q83:$AJ83,1,(AP$4-1)*5+1))</f>
        <v/>
      </c>
      <c r="AQ83" s="22">
        <f>AP83*(1+INDEX($Q83:$AJ83,1,(AQ$4-1)*5+1))</f>
        <v/>
      </c>
      <c r="AR83" s="22">
        <f>AQ83*(1+INDEX($Q83:$AJ83,1,(AR$4-1)*5+1))</f>
        <v/>
      </c>
      <c r="AS83" s="22">
        <f>AR83*(1+INDEX($Q83:$AJ83,1,(AS$4-1)*5+1))</f>
        <v/>
      </c>
      <c r="AT83" s="22">
        <f>AS83*(1+INDEX($Q83:$AJ83,1,(AT$4-1)*5+1))</f>
        <v/>
      </c>
      <c r="AU83" s="22">
        <f>AT83*(1+INDEX($Q83:$AJ83,1,(AU$4-1)*5+1))</f>
        <v/>
      </c>
      <c r="AV83" s="22">
        <f>AU83*(1+INDEX($Q83:$AJ83,1,(AV$4-1)*5+1))</f>
        <v/>
      </c>
      <c r="AW83" s="22">
        <f>AV83*(1+INDEX($Q83:$AJ83,1,(AW$4-1)*5+1))</f>
        <v/>
      </c>
      <c r="AX83" s="22">
        <f>AW83*(1+INDEX($Q83:$AJ83,1,(AX$4-1)*5+1))</f>
        <v/>
      </c>
      <c r="AY83" s="22">
        <f>AX83*(1+INDEX($Q83:$AJ83,1,(AY$4-1)*5+1))</f>
        <v/>
      </c>
      <c r="BA83" s="23">
        <f>INDEX(Prices_dom!$A$6:$CU$2000,MATCH(Settings!$C$4&amp;BA$5,Prices_dom!$A$6:$A$2000,0),MATCH("mit.sp."&amp;$N83,Prices_dom!$A$5:$CU$5,0))/$P83</f>
        <v/>
      </c>
      <c r="BB83" s="22">
        <f>BA83*(1+INDEX($Q83:$AJ83,1,(BB$4-1)*5+1))</f>
        <v/>
      </c>
      <c r="BC83" s="22">
        <f>BB83*(1+INDEX($Q83:$AJ83,1,(BC$4-1)*5+1))</f>
        <v/>
      </c>
      <c r="BD83" s="22">
        <f>BC83*(1+INDEX($Q83:$AJ83,1,(BD$4-1)*5+1))</f>
        <v/>
      </c>
      <c r="BE83" s="22">
        <f>BD83*(1+INDEX($Q83:$AJ83,1,(BE$4-1)*5+1))</f>
        <v/>
      </c>
      <c r="BF83" s="22">
        <f>BE83*(1+INDEX($Q83:$AJ83,1,(BF$4-1)*5+1))</f>
        <v/>
      </c>
      <c r="BG83" s="22">
        <f>BF83*(1+INDEX($Q83:$AJ83,1,(BG$4-1)*5+1))</f>
        <v/>
      </c>
      <c r="BH83" s="22">
        <f>BG83*(1+INDEX($Q83:$AJ83,1,(BH$4-1)*5+1))</f>
        <v/>
      </c>
      <c r="BI83" s="22">
        <f>BH83*(1+INDEX($Q83:$AJ83,1,(BI$4-1)*5+1))</f>
        <v/>
      </c>
      <c r="BJ83" s="22">
        <f>BI83*(1+INDEX($Q83:$AJ83,1,(BJ$4-1)*5+1))</f>
        <v/>
      </c>
      <c r="BK83" s="22">
        <f>BJ83*(1+INDEX($Q83:$AJ83,1,(BK$4-1)*5+1))</f>
        <v/>
      </c>
      <c r="BL83" s="22">
        <f>BK83*(1+INDEX($Q83:$AJ83,1,(BL$4-1)*5+1))</f>
        <v/>
      </c>
      <c r="BM83" s="22">
        <f>BL83*(1+INDEX($Q83:$AJ83,1,(BM$4-1)*5+1))</f>
        <v/>
      </c>
      <c r="BN83" s="22">
        <f>BM83*(1+INDEX($Q83:$AJ83,1,(BN$4-1)*5+1))</f>
        <v/>
      </c>
    </row>
    <row r="84">
      <c r="B84" s="5" t="inlineStr">
        <is>
          <t>nga</t>
        </is>
      </c>
      <c r="C84" s="5" t="inlineStr">
        <is>
          <t>nfm</t>
        </is>
      </c>
      <c r="D84" s="5" t="inlineStr">
        <is>
          <t>Pre-tax price | Other metals | Natural gas</t>
        </is>
      </c>
      <c r="E84" s="5" t="inlineStr">
        <is>
          <t>$/GJ</t>
        </is>
      </c>
      <c r="F84" s="5" t="inlineStr">
        <is>
          <t>Prices_dom (base year), then growth</t>
        </is>
      </c>
      <c r="G84" s="19" t="inlineStr">
        <is>
          <t>mit.sp.nga</t>
        </is>
      </c>
      <c r="H84" s="19" t="inlineStr">
        <is>
          <t>mit.pbt.nga.nfm</t>
        </is>
      </c>
      <c r="J84" s="5">
        <f>INDEX(Mapping!$C$5:$C$20,MATCH($C84,Mapping!$A$5:$A$20,0))</f>
        <v/>
      </c>
      <c r="K84" s="5">
        <f>INDEX(Mapping!$D$5:$D$20,MATCH($C84,Mapping!$A$5:$A$20,0))</f>
        <v/>
      </c>
      <c r="L84" s="5">
        <f>INDEX(Mapping!$C$24:$C$31,MATCH($B84,Mapping!$A$24:$A$31,0))</f>
        <v/>
      </c>
      <c r="M84" s="5">
        <f>INDEX(Mapping!$D$24:$D$31,MATCH($B84,Mapping!$A$24:$A$31,0))</f>
        <v/>
      </c>
      <c r="N84" s="5">
        <f>$B84&amp;"."&amp;IF(INDEX(Mapping!$E$24:$E$31,MATCH($B84,Mapping!$A$24:$A$31,0))="sub",INDEX(Mapping!$F$5:$F$20,MATCH($C84,Mapping!$A$5:$A$20,0)),"all")</f>
        <v/>
      </c>
      <c r="O84" s="5">
        <f>INDEX(Mapping!$E$5:$E$20,MATCH($C84,Mapping!$A$5:$A$20,0))</f>
        <v/>
      </c>
      <c r="P84" s="5">
        <f>INDEX(Mapping!$G$24:$G$31,MATCH($B84,Mapping!$A$24:$A$31,0))</f>
        <v/>
      </c>
      <c r="Q84" s="20" t="n">
        <v>0</v>
      </c>
      <c r="R84" s="21" t="n"/>
      <c r="S84" s="21" t="n"/>
      <c r="T84" s="21" t="n"/>
      <c r="U84" s="21" t="n"/>
      <c r="V84" s="22">
        <f>Q84</f>
        <v/>
      </c>
      <c r="W84" s="21" t="n"/>
      <c r="X84" s="21" t="n"/>
      <c r="Y84" s="21" t="n"/>
      <c r="Z84" s="21" t="n"/>
      <c r="AA84" s="22">
        <f>Q84</f>
        <v/>
      </c>
      <c r="AB84" s="21" t="n"/>
      <c r="AC84" s="21" t="n"/>
      <c r="AD84" s="21" t="n"/>
      <c r="AE84" s="21" t="n"/>
      <c r="AF84" s="22">
        <f>Q84</f>
        <v/>
      </c>
      <c r="AG84" s="21" t="n"/>
      <c r="AH84" s="21" t="n"/>
      <c r="AI84" s="21" t="n"/>
      <c r="AJ84" s="21" t="n"/>
      <c r="AL84" s="23">
        <f>INDEX(Prices_dom!$A$6:$CU$2000,MATCH(Settings!$C$4&amp;AL$5,Prices_dom!$A$6:$A$2000,0),MATCH("mit.sp."&amp;$N84,Prices_dom!$A$5:$CU$5,0))/$P84</f>
        <v/>
      </c>
      <c r="AM84" s="22">
        <f>AL84*(1+INDEX($Q84:$AJ84,1,(AM$4-1)*5+1))</f>
        <v/>
      </c>
      <c r="AN84" s="22">
        <f>AM84*(1+INDEX($Q84:$AJ84,1,(AN$4-1)*5+1))</f>
        <v/>
      </c>
      <c r="AO84" s="22">
        <f>AN84*(1+INDEX($Q84:$AJ84,1,(AO$4-1)*5+1))</f>
        <v/>
      </c>
      <c r="AP84" s="22">
        <f>AO84*(1+INDEX($Q84:$AJ84,1,(AP$4-1)*5+1))</f>
        <v/>
      </c>
      <c r="AQ84" s="22">
        <f>AP84*(1+INDEX($Q84:$AJ84,1,(AQ$4-1)*5+1))</f>
        <v/>
      </c>
      <c r="AR84" s="22">
        <f>AQ84*(1+INDEX($Q84:$AJ84,1,(AR$4-1)*5+1))</f>
        <v/>
      </c>
      <c r="AS84" s="22">
        <f>AR84*(1+INDEX($Q84:$AJ84,1,(AS$4-1)*5+1))</f>
        <v/>
      </c>
      <c r="AT84" s="22">
        <f>AS84*(1+INDEX($Q84:$AJ84,1,(AT$4-1)*5+1))</f>
        <v/>
      </c>
      <c r="AU84" s="22">
        <f>AT84*(1+INDEX($Q84:$AJ84,1,(AU$4-1)*5+1))</f>
        <v/>
      </c>
      <c r="AV84" s="22">
        <f>AU84*(1+INDEX($Q84:$AJ84,1,(AV$4-1)*5+1))</f>
        <v/>
      </c>
      <c r="AW84" s="22">
        <f>AV84*(1+INDEX($Q84:$AJ84,1,(AW$4-1)*5+1))</f>
        <v/>
      </c>
      <c r="AX84" s="22">
        <f>AW84*(1+INDEX($Q84:$AJ84,1,(AX$4-1)*5+1))</f>
        <v/>
      </c>
      <c r="AY84" s="22">
        <f>AX84*(1+INDEX($Q84:$AJ84,1,(AY$4-1)*5+1))</f>
        <v/>
      </c>
      <c r="BA84" s="23">
        <f>INDEX(Prices_dom!$A$6:$CU$2000,MATCH(Settings!$C$4&amp;BA$5,Prices_dom!$A$6:$A$2000,0),MATCH("mit.sp."&amp;$N84,Prices_dom!$A$5:$CU$5,0))/$P84</f>
        <v/>
      </c>
      <c r="BB84" s="22">
        <f>BA84*(1+INDEX($Q84:$AJ84,1,(BB$4-1)*5+1))</f>
        <v/>
      </c>
      <c r="BC84" s="22">
        <f>BB84*(1+INDEX($Q84:$AJ84,1,(BC$4-1)*5+1))</f>
        <v/>
      </c>
      <c r="BD84" s="22">
        <f>BC84*(1+INDEX($Q84:$AJ84,1,(BD$4-1)*5+1))</f>
        <v/>
      </c>
      <c r="BE84" s="22">
        <f>BD84*(1+INDEX($Q84:$AJ84,1,(BE$4-1)*5+1))</f>
        <v/>
      </c>
      <c r="BF84" s="22">
        <f>BE84*(1+INDEX($Q84:$AJ84,1,(BF$4-1)*5+1))</f>
        <v/>
      </c>
      <c r="BG84" s="22">
        <f>BF84*(1+INDEX($Q84:$AJ84,1,(BG$4-1)*5+1))</f>
        <v/>
      </c>
      <c r="BH84" s="22">
        <f>BG84*(1+INDEX($Q84:$AJ84,1,(BH$4-1)*5+1))</f>
        <v/>
      </c>
      <c r="BI84" s="22">
        <f>BH84*(1+INDEX($Q84:$AJ84,1,(BI$4-1)*5+1))</f>
        <v/>
      </c>
      <c r="BJ84" s="22">
        <f>BI84*(1+INDEX($Q84:$AJ84,1,(BJ$4-1)*5+1))</f>
        <v/>
      </c>
      <c r="BK84" s="22">
        <f>BJ84*(1+INDEX($Q84:$AJ84,1,(BK$4-1)*5+1))</f>
        <v/>
      </c>
      <c r="BL84" s="22">
        <f>BK84*(1+INDEX($Q84:$AJ84,1,(BL$4-1)*5+1))</f>
        <v/>
      </c>
      <c r="BM84" s="22">
        <f>BL84*(1+INDEX($Q84:$AJ84,1,(BM$4-1)*5+1))</f>
        <v/>
      </c>
      <c r="BN84" s="22">
        <f>BM84*(1+INDEX($Q84:$AJ84,1,(BN$4-1)*5+1))</f>
        <v/>
      </c>
    </row>
    <row r="85">
      <c r="B85" s="5" t="inlineStr">
        <is>
          <t>gso</t>
        </is>
      </c>
      <c r="C85" s="5" t="inlineStr">
        <is>
          <t>nfm</t>
        </is>
      </c>
      <c r="D85" s="5" t="inlineStr">
        <is>
          <t>Pre-tax price | Other metals | Gasoline</t>
        </is>
      </c>
      <c r="E85" s="5" t="inlineStr">
        <is>
          <t>$/GJ</t>
        </is>
      </c>
      <c r="F85" s="5" t="inlineStr">
        <is>
          <t>Prices_dom (base year), then growth</t>
        </is>
      </c>
      <c r="G85" s="19" t="inlineStr">
        <is>
          <t>mit.sp.gso</t>
        </is>
      </c>
      <c r="H85" s="19" t="inlineStr">
        <is>
          <t>mit.pbt.gso.nfm</t>
        </is>
      </c>
      <c r="J85" s="5">
        <f>INDEX(Mapping!$C$5:$C$20,MATCH($C85,Mapping!$A$5:$A$20,0))</f>
        <v/>
      </c>
      <c r="K85" s="5">
        <f>INDEX(Mapping!$D$5:$D$20,MATCH($C85,Mapping!$A$5:$A$20,0))</f>
        <v/>
      </c>
      <c r="L85" s="5">
        <f>INDEX(Mapping!$C$24:$C$31,MATCH($B85,Mapping!$A$24:$A$31,0))</f>
        <v/>
      </c>
      <c r="M85" s="5">
        <f>INDEX(Mapping!$D$24:$D$31,MATCH($B85,Mapping!$A$24:$A$31,0))</f>
        <v/>
      </c>
      <c r="N85" s="5">
        <f>$B85&amp;"."&amp;IF(INDEX(Mapping!$E$24:$E$31,MATCH($B85,Mapping!$A$24:$A$31,0))="sub",INDEX(Mapping!$F$5:$F$20,MATCH($C85,Mapping!$A$5:$A$20,0)),"all")</f>
        <v/>
      </c>
      <c r="O85" s="5">
        <f>INDEX(Mapping!$E$5:$E$20,MATCH($C85,Mapping!$A$5:$A$20,0))</f>
        <v/>
      </c>
      <c r="P85" s="5">
        <f>INDEX(Mapping!$G$24:$G$31,MATCH($B85,Mapping!$A$24:$A$31,0))</f>
        <v/>
      </c>
      <c r="Q85" s="20" t="n">
        <v>0</v>
      </c>
      <c r="R85" s="21" t="n"/>
      <c r="S85" s="21" t="n"/>
      <c r="T85" s="21" t="n"/>
      <c r="U85" s="21" t="n"/>
      <c r="V85" s="22">
        <f>Q85</f>
        <v/>
      </c>
      <c r="W85" s="21" t="n"/>
      <c r="X85" s="21" t="n"/>
      <c r="Y85" s="21" t="n"/>
      <c r="Z85" s="21" t="n"/>
      <c r="AA85" s="22">
        <f>Q85</f>
        <v/>
      </c>
      <c r="AB85" s="21" t="n"/>
      <c r="AC85" s="21" t="n"/>
      <c r="AD85" s="21" t="n"/>
      <c r="AE85" s="21" t="n"/>
      <c r="AF85" s="22">
        <f>Q85</f>
        <v/>
      </c>
      <c r="AG85" s="21" t="n"/>
      <c r="AH85" s="21" t="n"/>
      <c r="AI85" s="21" t="n"/>
      <c r="AJ85" s="21" t="n"/>
      <c r="AL85" s="23">
        <f>INDEX(Prices_dom!$A$6:$CU$2000,MATCH(Settings!$C$4&amp;AL$5,Prices_dom!$A$6:$A$2000,0),MATCH("mit.sp."&amp;$N85,Prices_dom!$A$5:$CU$5,0))/$P85</f>
        <v/>
      </c>
      <c r="AM85" s="22">
        <f>AL85*(1+INDEX($Q85:$AJ85,1,(AM$4-1)*5+1))</f>
        <v/>
      </c>
      <c r="AN85" s="22">
        <f>AM85*(1+INDEX($Q85:$AJ85,1,(AN$4-1)*5+1))</f>
        <v/>
      </c>
      <c r="AO85" s="22">
        <f>AN85*(1+INDEX($Q85:$AJ85,1,(AO$4-1)*5+1))</f>
        <v/>
      </c>
      <c r="AP85" s="22">
        <f>AO85*(1+INDEX($Q85:$AJ85,1,(AP$4-1)*5+1))</f>
        <v/>
      </c>
      <c r="AQ85" s="22">
        <f>AP85*(1+INDEX($Q85:$AJ85,1,(AQ$4-1)*5+1))</f>
        <v/>
      </c>
      <c r="AR85" s="22">
        <f>AQ85*(1+INDEX($Q85:$AJ85,1,(AR$4-1)*5+1))</f>
        <v/>
      </c>
      <c r="AS85" s="22">
        <f>AR85*(1+INDEX($Q85:$AJ85,1,(AS$4-1)*5+1))</f>
        <v/>
      </c>
      <c r="AT85" s="22">
        <f>AS85*(1+INDEX($Q85:$AJ85,1,(AT$4-1)*5+1))</f>
        <v/>
      </c>
      <c r="AU85" s="22">
        <f>AT85*(1+INDEX($Q85:$AJ85,1,(AU$4-1)*5+1))</f>
        <v/>
      </c>
      <c r="AV85" s="22">
        <f>AU85*(1+INDEX($Q85:$AJ85,1,(AV$4-1)*5+1))</f>
        <v/>
      </c>
      <c r="AW85" s="22">
        <f>AV85*(1+INDEX($Q85:$AJ85,1,(AW$4-1)*5+1))</f>
        <v/>
      </c>
      <c r="AX85" s="22">
        <f>AW85*(1+INDEX($Q85:$AJ85,1,(AX$4-1)*5+1))</f>
        <v/>
      </c>
      <c r="AY85" s="22">
        <f>AX85*(1+INDEX($Q85:$AJ85,1,(AY$4-1)*5+1))</f>
        <v/>
      </c>
      <c r="BA85" s="23">
        <f>INDEX(Prices_dom!$A$6:$CU$2000,MATCH(Settings!$C$4&amp;BA$5,Prices_dom!$A$6:$A$2000,0),MATCH("mit.sp."&amp;$N85,Prices_dom!$A$5:$CU$5,0))/$P85</f>
        <v/>
      </c>
      <c r="BB85" s="22">
        <f>BA85*(1+INDEX($Q85:$AJ85,1,(BB$4-1)*5+1))</f>
        <v/>
      </c>
      <c r="BC85" s="22">
        <f>BB85*(1+INDEX($Q85:$AJ85,1,(BC$4-1)*5+1))</f>
        <v/>
      </c>
      <c r="BD85" s="22">
        <f>BC85*(1+INDEX($Q85:$AJ85,1,(BD$4-1)*5+1))</f>
        <v/>
      </c>
      <c r="BE85" s="22">
        <f>BD85*(1+INDEX($Q85:$AJ85,1,(BE$4-1)*5+1))</f>
        <v/>
      </c>
      <c r="BF85" s="22">
        <f>BE85*(1+INDEX($Q85:$AJ85,1,(BF$4-1)*5+1))</f>
        <v/>
      </c>
      <c r="BG85" s="22">
        <f>BF85*(1+INDEX($Q85:$AJ85,1,(BG$4-1)*5+1))</f>
        <v/>
      </c>
      <c r="BH85" s="22">
        <f>BG85*(1+INDEX($Q85:$AJ85,1,(BH$4-1)*5+1))</f>
        <v/>
      </c>
      <c r="BI85" s="22">
        <f>BH85*(1+INDEX($Q85:$AJ85,1,(BI$4-1)*5+1))</f>
        <v/>
      </c>
      <c r="BJ85" s="22">
        <f>BI85*(1+INDEX($Q85:$AJ85,1,(BJ$4-1)*5+1))</f>
        <v/>
      </c>
      <c r="BK85" s="22">
        <f>BJ85*(1+INDEX($Q85:$AJ85,1,(BK$4-1)*5+1))</f>
        <v/>
      </c>
      <c r="BL85" s="22">
        <f>BK85*(1+INDEX($Q85:$AJ85,1,(BL$4-1)*5+1))</f>
        <v/>
      </c>
      <c r="BM85" s="22">
        <f>BL85*(1+INDEX($Q85:$AJ85,1,(BM$4-1)*5+1))</f>
        <v/>
      </c>
      <c r="BN85" s="22">
        <f>BM85*(1+INDEX($Q85:$AJ85,1,(BN$4-1)*5+1))</f>
        <v/>
      </c>
    </row>
    <row r="86">
      <c r="B86" s="5" t="inlineStr">
        <is>
          <t>die</t>
        </is>
      </c>
      <c r="C86" s="5" t="inlineStr">
        <is>
          <t>nfm</t>
        </is>
      </c>
      <c r="D86" s="5" t="inlineStr">
        <is>
          <t>Pre-tax price | Other metals | Diesel</t>
        </is>
      </c>
      <c r="E86" s="5" t="inlineStr">
        <is>
          <t>$/GJ</t>
        </is>
      </c>
      <c r="F86" s="5" t="inlineStr">
        <is>
          <t>Prices_dom (base year), then growth</t>
        </is>
      </c>
      <c r="G86" s="19" t="inlineStr">
        <is>
          <t>mit.sp.die</t>
        </is>
      </c>
      <c r="H86" s="19" t="inlineStr">
        <is>
          <t>mit.pbt.die.nfm</t>
        </is>
      </c>
      <c r="J86" s="5">
        <f>INDEX(Mapping!$C$5:$C$20,MATCH($C86,Mapping!$A$5:$A$20,0))</f>
        <v/>
      </c>
      <c r="K86" s="5">
        <f>INDEX(Mapping!$D$5:$D$20,MATCH($C86,Mapping!$A$5:$A$20,0))</f>
        <v/>
      </c>
      <c r="L86" s="5">
        <f>INDEX(Mapping!$C$24:$C$31,MATCH($B86,Mapping!$A$24:$A$31,0))</f>
        <v/>
      </c>
      <c r="M86" s="5">
        <f>INDEX(Mapping!$D$24:$D$31,MATCH($B86,Mapping!$A$24:$A$31,0))</f>
        <v/>
      </c>
      <c r="N86" s="5">
        <f>$B86&amp;"."&amp;IF(INDEX(Mapping!$E$24:$E$31,MATCH($B86,Mapping!$A$24:$A$31,0))="sub",INDEX(Mapping!$F$5:$F$20,MATCH($C86,Mapping!$A$5:$A$20,0)),"all")</f>
        <v/>
      </c>
      <c r="O86" s="5">
        <f>INDEX(Mapping!$E$5:$E$20,MATCH($C86,Mapping!$A$5:$A$20,0))</f>
        <v/>
      </c>
      <c r="P86" s="5">
        <f>INDEX(Mapping!$G$24:$G$31,MATCH($B86,Mapping!$A$24:$A$31,0))</f>
        <v/>
      </c>
      <c r="Q86" s="20" t="n">
        <v>0</v>
      </c>
      <c r="R86" s="21" t="n"/>
      <c r="S86" s="21" t="n"/>
      <c r="T86" s="21" t="n"/>
      <c r="U86" s="21" t="n"/>
      <c r="V86" s="22">
        <f>Q86</f>
        <v/>
      </c>
      <c r="W86" s="21" t="n"/>
      <c r="X86" s="21" t="n"/>
      <c r="Y86" s="21" t="n"/>
      <c r="Z86" s="21" t="n"/>
      <c r="AA86" s="22">
        <f>Q86</f>
        <v/>
      </c>
      <c r="AB86" s="21" t="n"/>
      <c r="AC86" s="21" t="n"/>
      <c r="AD86" s="21" t="n"/>
      <c r="AE86" s="21" t="n"/>
      <c r="AF86" s="22">
        <f>Q86</f>
        <v/>
      </c>
      <c r="AG86" s="21" t="n"/>
      <c r="AH86" s="21" t="n"/>
      <c r="AI86" s="21" t="n"/>
      <c r="AJ86" s="21" t="n"/>
      <c r="AL86" s="23">
        <f>INDEX(Prices_dom!$A$6:$CU$2000,MATCH(Settings!$C$4&amp;AL$5,Prices_dom!$A$6:$A$2000,0),MATCH("mit.sp."&amp;$N86,Prices_dom!$A$5:$CU$5,0))/$P86</f>
        <v/>
      </c>
      <c r="AM86" s="22">
        <f>AL86*(1+INDEX($Q86:$AJ86,1,(AM$4-1)*5+1))</f>
        <v/>
      </c>
      <c r="AN86" s="22">
        <f>AM86*(1+INDEX($Q86:$AJ86,1,(AN$4-1)*5+1))</f>
        <v/>
      </c>
      <c r="AO86" s="22">
        <f>AN86*(1+INDEX($Q86:$AJ86,1,(AO$4-1)*5+1))</f>
        <v/>
      </c>
      <c r="AP86" s="22">
        <f>AO86*(1+INDEX($Q86:$AJ86,1,(AP$4-1)*5+1))</f>
        <v/>
      </c>
      <c r="AQ86" s="22">
        <f>AP86*(1+INDEX($Q86:$AJ86,1,(AQ$4-1)*5+1))</f>
        <v/>
      </c>
      <c r="AR86" s="22">
        <f>AQ86*(1+INDEX($Q86:$AJ86,1,(AR$4-1)*5+1))</f>
        <v/>
      </c>
      <c r="AS86" s="22">
        <f>AR86*(1+INDEX($Q86:$AJ86,1,(AS$4-1)*5+1))</f>
        <v/>
      </c>
      <c r="AT86" s="22">
        <f>AS86*(1+INDEX($Q86:$AJ86,1,(AT$4-1)*5+1))</f>
        <v/>
      </c>
      <c r="AU86" s="22">
        <f>AT86*(1+INDEX($Q86:$AJ86,1,(AU$4-1)*5+1))</f>
        <v/>
      </c>
      <c r="AV86" s="22">
        <f>AU86*(1+INDEX($Q86:$AJ86,1,(AV$4-1)*5+1))</f>
        <v/>
      </c>
      <c r="AW86" s="22">
        <f>AV86*(1+INDEX($Q86:$AJ86,1,(AW$4-1)*5+1))</f>
        <v/>
      </c>
      <c r="AX86" s="22">
        <f>AW86*(1+INDEX($Q86:$AJ86,1,(AX$4-1)*5+1))</f>
        <v/>
      </c>
      <c r="AY86" s="22">
        <f>AX86*(1+INDEX($Q86:$AJ86,1,(AY$4-1)*5+1))</f>
        <v/>
      </c>
      <c r="BA86" s="23">
        <f>INDEX(Prices_dom!$A$6:$CU$2000,MATCH(Settings!$C$4&amp;BA$5,Prices_dom!$A$6:$A$2000,0),MATCH("mit.sp."&amp;$N86,Prices_dom!$A$5:$CU$5,0))/$P86</f>
        <v/>
      </c>
      <c r="BB86" s="22">
        <f>BA86*(1+INDEX($Q86:$AJ86,1,(BB$4-1)*5+1))</f>
        <v/>
      </c>
      <c r="BC86" s="22">
        <f>BB86*(1+INDEX($Q86:$AJ86,1,(BC$4-1)*5+1))</f>
        <v/>
      </c>
      <c r="BD86" s="22">
        <f>BC86*(1+INDEX($Q86:$AJ86,1,(BD$4-1)*5+1))</f>
        <v/>
      </c>
      <c r="BE86" s="22">
        <f>BD86*(1+INDEX($Q86:$AJ86,1,(BE$4-1)*5+1))</f>
        <v/>
      </c>
      <c r="BF86" s="22">
        <f>BE86*(1+INDEX($Q86:$AJ86,1,(BF$4-1)*5+1))</f>
        <v/>
      </c>
      <c r="BG86" s="22">
        <f>BF86*(1+INDEX($Q86:$AJ86,1,(BG$4-1)*5+1))</f>
        <v/>
      </c>
      <c r="BH86" s="22">
        <f>BG86*(1+INDEX($Q86:$AJ86,1,(BH$4-1)*5+1))</f>
        <v/>
      </c>
      <c r="BI86" s="22">
        <f>BH86*(1+INDEX($Q86:$AJ86,1,(BI$4-1)*5+1))</f>
        <v/>
      </c>
      <c r="BJ86" s="22">
        <f>BI86*(1+INDEX($Q86:$AJ86,1,(BJ$4-1)*5+1))</f>
        <v/>
      </c>
      <c r="BK86" s="22">
        <f>BJ86*(1+INDEX($Q86:$AJ86,1,(BK$4-1)*5+1))</f>
        <v/>
      </c>
      <c r="BL86" s="22">
        <f>BK86*(1+INDEX($Q86:$AJ86,1,(BL$4-1)*5+1))</f>
        <v/>
      </c>
      <c r="BM86" s="22">
        <f>BL86*(1+INDEX($Q86:$AJ86,1,(BM$4-1)*5+1))</f>
        <v/>
      </c>
      <c r="BN86" s="22">
        <f>BM86*(1+INDEX($Q86:$AJ86,1,(BN$4-1)*5+1))</f>
        <v/>
      </c>
    </row>
    <row r="87">
      <c r="B87" s="5" t="inlineStr">
        <is>
          <t>lpg</t>
        </is>
      </c>
      <c r="C87" s="5" t="inlineStr">
        <is>
          <t>nfm</t>
        </is>
      </c>
      <c r="D87" s="5" t="inlineStr">
        <is>
          <t>Pre-tax price | Other metals | LPG</t>
        </is>
      </c>
      <c r="E87" s="5" t="inlineStr">
        <is>
          <t>$/GJ</t>
        </is>
      </c>
      <c r="F87" s="5" t="inlineStr">
        <is>
          <t>Prices_dom (base year), then growth</t>
        </is>
      </c>
      <c r="G87" s="19" t="inlineStr">
        <is>
          <t>mit.sp.lpg</t>
        </is>
      </c>
      <c r="H87" s="19" t="inlineStr">
        <is>
          <t>mit.pbt.lpg.nfm</t>
        </is>
      </c>
      <c r="J87" s="5">
        <f>INDEX(Mapping!$C$5:$C$20,MATCH($C87,Mapping!$A$5:$A$20,0))</f>
        <v/>
      </c>
      <c r="K87" s="5">
        <f>INDEX(Mapping!$D$5:$D$20,MATCH($C87,Mapping!$A$5:$A$20,0))</f>
        <v/>
      </c>
      <c r="L87" s="5">
        <f>INDEX(Mapping!$C$24:$C$31,MATCH($B87,Mapping!$A$24:$A$31,0))</f>
        <v/>
      </c>
      <c r="M87" s="5">
        <f>INDEX(Mapping!$D$24:$D$31,MATCH($B87,Mapping!$A$24:$A$31,0))</f>
        <v/>
      </c>
      <c r="N87" s="5">
        <f>$B87&amp;"."&amp;IF(INDEX(Mapping!$E$24:$E$31,MATCH($B87,Mapping!$A$24:$A$31,0))="sub",INDEX(Mapping!$F$5:$F$20,MATCH($C87,Mapping!$A$5:$A$20,0)),"all")</f>
        <v/>
      </c>
      <c r="O87" s="5">
        <f>INDEX(Mapping!$E$5:$E$20,MATCH($C87,Mapping!$A$5:$A$20,0))</f>
        <v/>
      </c>
      <c r="P87" s="5">
        <f>INDEX(Mapping!$G$24:$G$31,MATCH($B87,Mapping!$A$24:$A$31,0))</f>
        <v/>
      </c>
      <c r="Q87" s="20" t="n">
        <v>0</v>
      </c>
      <c r="R87" s="21" t="n"/>
      <c r="S87" s="21" t="n"/>
      <c r="T87" s="21" t="n"/>
      <c r="U87" s="21" t="n"/>
      <c r="V87" s="22">
        <f>Q87</f>
        <v/>
      </c>
      <c r="W87" s="21" t="n"/>
      <c r="X87" s="21" t="n"/>
      <c r="Y87" s="21" t="n"/>
      <c r="Z87" s="21" t="n"/>
      <c r="AA87" s="22">
        <f>Q87</f>
        <v/>
      </c>
      <c r="AB87" s="21" t="n"/>
      <c r="AC87" s="21" t="n"/>
      <c r="AD87" s="21" t="n"/>
      <c r="AE87" s="21" t="n"/>
      <c r="AF87" s="22">
        <f>Q87</f>
        <v/>
      </c>
      <c r="AG87" s="21" t="n"/>
      <c r="AH87" s="21" t="n"/>
      <c r="AI87" s="21" t="n"/>
      <c r="AJ87" s="21" t="n"/>
      <c r="AL87" s="23">
        <f>INDEX(Prices_dom!$A$6:$CU$2000,MATCH(Settings!$C$4&amp;AL$5,Prices_dom!$A$6:$A$2000,0),MATCH("mit.sp."&amp;$N87,Prices_dom!$A$5:$CU$5,0))/$P87</f>
        <v/>
      </c>
      <c r="AM87" s="22">
        <f>AL87*(1+INDEX($Q87:$AJ87,1,(AM$4-1)*5+1))</f>
        <v/>
      </c>
      <c r="AN87" s="22">
        <f>AM87*(1+INDEX($Q87:$AJ87,1,(AN$4-1)*5+1))</f>
        <v/>
      </c>
      <c r="AO87" s="22">
        <f>AN87*(1+INDEX($Q87:$AJ87,1,(AO$4-1)*5+1))</f>
        <v/>
      </c>
      <c r="AP87" s="22">
        <f>AO87*(1+INDEX($Q87:$AJ87,1,(AP$4-1)*5+1))</f>
        <v/>
      </c>
      <c r="AQ87" s="22">
        <f>AP87*(1+INDEX($Q87:$AJ87,1,(AQ$4-1)*5+1))</f>
        <v/>
      </c>
      <c r="AR87" s="22">
        <f>AQ87*(1+INDEX($Q87:$AJ87,1,(AR$4-1)*5+1))</f>
        <v/>
      </c>
      <c r="AS87" s="22">
        <f>AR87*(1+INDEX($Q87:$AJ87,1,(AS$4-1)*5+1))</f>
        <v/>
      </c>
      <c r="AT87" s="22">
        <f>AS87*(1+INDEX($Q87:$AJ87,1,(AT$4-1)*5+1))</f>
        <v/>
      </c>
      <c r="AU87" s="22">
        <f>AT87*(1+INDEX($Q87:$AJ87,1,(AU$4-1)*5+1))</f>
        <v/>
      </c>
      <c r="AV87" s="22">
        <f>AU87*(1+INDEX($Q87:$AJ87,1,(AV$4-1)*5+1))</f>
        <v/>
      </c>
      <c r="AW87" s="22">
        <f>AV87*(1+INDEX($Q87:$AJ87,1,(AW$4-1)*5+1))</f>
        <v/>
      </c>
      <c r="AX87" s="22">
        <f>AW87*(1+INDEX($Q87:$AJ87,1,(AX$4-1)*5+1))</f>
        <v/>
      </c>
      <c r="AY87" s="22">
        <f>AX87*(1+INDEX($Q87:$AJ87,1,(AY$4-1)*5+1))</f>
        <v/>
      </c>
      <c r="BA87" s="23">
        <f>INDEX(Prices_dom!$A$6:$CU$2000,MATCH(Settings!$C$4&amp;BA$5,Prices_dom!$A$6:$A$2000,0),MATCH("mit.sp."&amp;$N87,Prices_dom!$A$5:$CU$5,0))/$P87</f>
        <v/>
      </c>
      <c r="BB87" s="22">
        <f>BA87*(1+INDEX($Q87:$AJ87,1,(BB$4-1)*5+1))</f>
        <v/>
      </c>
      <c r="BC87" s="22">
        <f>BB87*(1+INDEX($Q87:$AJ87,1,(BC$4-1)*5+1))</f>
        <v/>
      </c>
      <c r="BD87" s="22">
        <f>BC87*(1+INDEX($Q87:$AJ87,1,(BD$4-1)*5+1))</f>
        <v/>
      </c>
      <c r="BE87" s="22">
        <f>BD87*(1+INDEX($Q87:$AJ87,1,(BE$4-1)*5+1))</f>
        <v/>
      </c>
      <c r="BF87" s="22">
        <f>BE87*(1+INDEX($Q87:$AJ87,1,(BF$4-1)*5+1))</f>
        <v/>
      </c>
      <c r="BG87" s="22">
        <f>BF87*(1+INDEX($Q87:$AJ87,1,(BG$4-1)*5+1))</f>
        <v/>
      </c>
      <c r="BH87" s="22">
        <f>BG87*(1+INDEX($Q87:$AJ87,1,(BH$4-1)*5+1))</f>
        <v/>
      </c>
      <c r="BI87" s="22">
        <f>BH87*(1+INDEX($Q87:$AJ87,1,(BI$4-1)*5+1))</f>
        <v/>
      </c>
      <c r="BJ87" s="22">
        <f>BI87*(1+INDEX($Q87:$AJ87,1,(BJ$4-1)*5+1))</f>
        <v/>
      </c>
      <c r="BK87" s="22">
        <f>BJ87*(1+INDEX($Q87:$AJ87,1,(BK$4-1)*5+1))</f>
        <v/>
      </c>
      <c r="BL87" s="22">
        <f>BK87*(1+INDEX($Q87:$AJ87,1,(BL$4-1)*5+1))</f>
        <v/>
      </c>
      <c r="BM87" s="22">
        <f>BL87*(1+INDEX($Q87:$AJ87,1,(BM$4-1)*5+1))</f>
        <v/>
      </c>
      <c r="BN87" s="22">
        <f>BM87*(1+INDEX($Q87:$AJ87,1,(BN$4-1)*5+1))</f>
        <v/>
      </c>
    </row>
    <row r="88">
      <c r="B88" s="5" t="inlineStr">
        <is>
          <t>ker</t>
        </is>
      </c>
      <c r="C88" s="5" t="inlineStr">
        <is>
          <t>nfm</t>
        </is>
      </c>
      <c r="D88" s="5" t="inlineStr">
        <is>
          <t>Pre-tax price | Other metals | Kerosene</t>
        </is>
      </c>
      <c r="E88" s="5" t="inlineStr">
        <is>
          <t>$/GJ</t>
        </is>
      </c>
      <c r="F88" s="5" t="inlineStr">
        <is>
          <t>Prices_dom (base year), then growth</t>
        </is>
      </c>
      <c r="G88" s="19" t="inlineStr">
        <is>
          <t>mit.sp.ker</t>
        </is>
      </c>
      <c r="H88" s="19" t="inlineStr">
        <is>
          <t>mit.pbt.ker.nfm</t>
        </is>
      </c>
      <c r="J88" s="5">
        <f>INDEX(Mapping!$C$5:$C$20,MATCH($C88,Mapping!$A$5:$A$20,0))</f>
        <v/>
      </c>
      <c r="K88" s="5">
        <f>INDEX(Mapping!$D$5:$D$20,MATCH($C88,Mapping!$A$5:$A$20,0))</f>
        <v/>
      </c>
      <c r="L88" s="5">
        <f>INDEX(Mapping!$C$24:$C$31,MATCH($B88,Mapping!$A$24:$A$31,0))</f>
        <v/>
      </c>
      <c r="M88" s="5">
        <f>INDEX(Mapping!$D$24:$D$31,MATCH($B88,Mapping!$A$24:$A$31,0))</f>
        <v/>
      </c>
      <c r="N88" s="5">
        <f>$B88&amp;"."&amp;IF(INDEX(Mapping!$E$24:$E$31,MATCH($B88,Mapping!$A$24:$A$31,0))="sub",INDEX(Mapping!$F$5:$F$20,MATCH($C88,Mapping!$A$5:$A$20,0)),"all")</f>
        <v/>
      </c>
      <c r="O88" s="5">
        <f>INDEX(Mapping!$E$5:$E$20,MATCH($C88,Mapping!$A$5:$A$20,0))</f>
        <v/>
      </c>
      <c r="P88" s="5">
        <f>INDEX(Mapping!$G$24:$G$31,MATCH($B88,Mapping!$A$24:$A$31,0))</f>
        <v/>
      </c>
      <c r="Q88" s="20" t="n">
        <v>0</v>
      </c>
      <c r="R88" s="21" t="n"/>
      <c r="S88" s="21" t="n"/>
      <c r="T88" s="21" t="n"/>
      <c r="U88" s="21" t="n"/>
      <c r="V88" s="22">
        <f>Q88</f>
        <v/>
      </c>
      <c r="W88" s="21" t="n"/>
      <c r="X88" s="21" t="n"/>
      <c r="Y88" s="21" t="n"/>
      <c r="Z88" s="21" t="n"/>
      <c r="AA88" s="22">
        <f>Q88</f>
        <v/>
      </c>
      <c r="AB88" s="21" t="n"/>
      <c r="AC88" s="21" t="n"/>
      <c r="AD88" s="21" t="n"/>
      <c r="AE88" s="21" t="n"/>
      <c r="AF88" s="22">
        <f>Q88</f>
        <v/>
      </c>
      <c r="AG88" s="21" t="n"/>
      <c r="AH88" s="21" t="n"/>
      <c r="AI88" s="21" t="n"/>
      <c r="AJ88" s="21" t="n"/>
      <c r="AL88" s="23">
        <f>INDEX(Prices_dom!$A$6:$CU$2000,MATCH(Settings!$C$4&amp;AL$5,Prices_dom!$A$6:$A$2000,0),MATCH("mit.sp."&amp;$N88,Prices_dom!$A$5:$CU$5,0))/$P88</f>
        <v/>
      </c>
      <c r="AM88" s="22">
        <f>AL88*(1+INDEX($Q88:$AJ88,1,(AM$4-1)*5+1))</f>
        <v/>
      </c>
      <c r="AN88" s="22">
        <f>AM88*(1+INDEX($Q88:$AJ88,1,(AN$4-1)*5+1))</f>
        <v/>
      </c>
      <c r="AO88" s="22">
        <f>AN88*(1+INDEX($Q88:$AJ88,1,(AO$4-1)*5+1))</f>
        <v/>
      </c>
      <c r="AP88" s="22">
        <f>AO88*(1+INDEX($Q88:$AJ88,1,(AP$4-1)*5+1))</f>
        <v/>
      </c>
      <c r="AQ88" s="22">
        <f>AP88*(1+INDEX($Q88:$AJ88,1,(AQ$4-1)*5+1))</f>
        <v/>
      </c>
      <c r="AR88" s="22">
        <f>AQ88*(1+INDEX($Q88:$AJ88,1,(AR$4-1)*5+1))</f>
        <v/>
      </c>
      <c r="AS88" s="22">
        <f>AR88*(1+INDEX($Q88:$AJ88,1,(AS$4-1)*5+1))</f>
        <v/>
      </c>
      <c r="AT88" s="22">
        <f>AS88*(1+INDEX($Q88:$AJ88,1,(AT$4-1)*5+1))</f>
        <v/>
      </c>
      <c r="AU88" s="22">
        <f>AT88*(1+INDEX($Q88:$AJ88,1,(AU$4-1)*5+1))</f>
        <v/>
      </c>
      <c r="AV88" s="22">
        <f>AU88*(1+INDEX($Q88:$AJ88,1,(AV$4-1)*5+1))</f>
        <v/>
      </c>
      <c r="AW88" s="22">
        <f>AV88*(1+INDEX($Q88:$AJ88,1,(AW$4-1)*5+1))</f>
        <v/>
      </c>
      <c r="AX88" s="22">
        <f>AW88*(1+INDEX($Q88:$AJ88,1,(AX$4-1)*5+1))</f>
        <v/>
      </c>
      <c r="AY88" s="22">
        <f>AX88*(1+INDEX($Q88:$AJ88,1,(AY$4-1)*5+1))</f>
        <v/>
      </c>
      <c r="BA88" s="23">
        <f>INDEX(Prices_dom!$A$6:$CU$2000,MATCH(Settings!$C$4&amp;BA$5,Prices_dom!$A$6:$A$2000,0),MATCH("mit.sp."&amp;$N88,Prices_dom!$A$5:$CU$5,0))/$P88</f>
        <v/>
      </c>
      <c r="BB88" s="22">
        <f>BA88*(1+INDEX($Q88:$AJ88,1,(BB$4-1)*5+1))</f>
        <v/>
      </c>
      <c r="BC88" s="22">
        <f>BB88*(1+INDEX($Q88:$AJ88,1,(BC$4-1)*5+1))</f>
        <v/>
      </c>
      <c r="BD88" s="22">
        <f>BC88*(1+INDEX($Q88:$AJ88,1,(BD$4-1)*5+1))</f>
        <v/>
      </c>
      <c r="BE88" s="22">
        <f>BD88*(1+INDEX($Q88:$AJ88,1,(BE$4-1)*5+1))</f>
        <v/>
      </c>
      <c r="BF88" s="22">
        <f>BE88*(1+INDEX($Q88:$AJ88,1,(BF$4-1)*5+1))</f>
        <v/>
      </c>
      <c r="BG88" s="22">
        <f>BF88*(1+INDEX($Q88:$AJ88,1,(BG$4-1)*5+1))</f>
        <v/>
      </c>
      <c r="BH88" s="22">
        <f>BG88*(1+INDEX($Q88:$AJ88,1,(BH$4-1)*5+1))</f>
        <v/>
      </c>
      <c r="BI88" s="22">
        <f>BH88*(1+INDEX($Q88:$AJ88,1,(BI$4-1)*5+1))</f>
        <v/>
      </c>
      <c r="BJ88" s="22">
        <f>BI88*(1+INDEX($Q88:$AJ88,1,(BJ$4-1)*5+1))</f>
        <v/>
      </c>
      <c r="BK88" s="22">
        <f>BJ88*(1+INDEX($Q88:$AJ88,1,(BK$4-1)*5+1))</f>
        <v/>
      </c>
      <c r="BL88" s="22">
        <f>BK88*(1+INDEX($Q88:$AJ88,1,(BL$4-1)*5+1))</f>
        <v/>
      </c>
      <c r="BM88" s="22">
        <f>BL88*(1+INDEX($Q88:$AJ88,1,(BM$4-1)*5+1))</f>
        <v/>
      </c>
      <c r="BN88" s="22">
        <f>BM88*(1+INDEX($Q88:$AJ88,1,(BN$4-1)*5+1))</f>
        <v/>
      </c>
    </row>
    <row r="89">
      <c r="B89" s="5" t="inlineStr">
        <is>
          <t>oop</t>
        </is>
      </c>
      <c r="C89" s="5" t="inlineStr">
        <is>
          <t>nfm</t>
        </is>
      </c>
      <c r="D89" s="5" t="inlineStr">
        <is>
          <t>Pre-tax price | Other metals | Other oil products</t>
        </is>
      </c>
      <c r="E89" s="5" t="inlineStr">
        <is>
          <t>$/GJ</t>
        </is>
      </c>
      <c r="F89" s="5" t="inlineStr">
        <is>
          <t>Prices_dom (base year), then growth</t>
        </is>
      </c>
      <c r="G89" s="19" t="inlineStr">
        <is>
          <t>mit.sp.oop</t>
        </is>
      </c>
      <c r="H89" s="19" t="inlineStr">
        <is>
          <t>mit.pbt.oop.nfm</t>
        </is>
      </c>
      <c r="J89" s="5">
        <f>INDEX(Mapping!$C$5:$C$20,MATCH($C89,Mapping!$A$5:$A$20,0))</f>
        <v/>
      </c>
      <c r="K89" s="5">
        <f>INDEX(Mapping!$D$5:$D$20,MATCH($C89,Mapping!$A$5:$A$20,0))</f>
        <v/>
      </c>
      <c r="L89" s="5">
        <f>INDEX(Mapping!$C$24:$C$31,MATCH($B89,Mapping!$A$24:$A$31,0))</f>
        <v/>
      </c>
      <c r="M89" s="5">
        <f>INDEX(Mapping!$D$24:$D$31,MATCH($B89,Mapping!$A$24:$A$31,0))</f>
        <v/>
      </c>
      <c r="N89" s="5">
        <f>$B89&amp;"."&amp;IF(INDEX(Mapping!$E$24:$E$31,MATCH($B89,Mapping!$A$24:$A$31,0))="sub",INDEX(Mapping!$F$5:$F$20,MATCH($C89,Mapping!$A$5:$A$20,0)),"all")</f>
        <v/>
      </c>
      <c r="O89" s="5">
        <f>INDEX(Mapping!$E$5:$E$20,MATCH($C89,Mapping!$A$5:$A$20,0))</f>
        <v/>
      </c>
      <c r="P89" s="5">
        <f>INDEX(Mapping!$G$24:$G$31,MATCH($B89,Mapping!$A$24:$A$31,0))</f>
        <v/>
      </c>
      <c r="Q89" s="20" t="n">
        <v>0</v>
      </c>
      <c r="R89" s="21" t="n"/>
      <c r="S89" s="21" t="n"/>
      <c r="T89" s="21" t="n"/>
      <c r="U89" s="21" t="n"/>
      <c r="V89" s="22">
        <f>Q89</f>
        <v/>
      </c>
      <c r="W89" s="21" t="n"/>
      <c r="X89" s="21" t="n"/>
      <c r="Y89" s="21" t="n"/>
      <c r="Z89" s="21" t="n"/>
      <c r="AA89" s="22">
        <f>Q89</f>
        <v/>
      </c>
      <c r="AB89" s="21" t="n"/>
      <c r="AC89" s="21" t="n"/>
      <c r="AD89" s="21" t="n"/>
      <c r="AE89" s="21" t="n"/>
      <c r="AF89" s="22">
        <f>Q89</f>
        <v/>
      </c>
      <c r="AG89" s="21" t="n"/>
      <c r="AH89" s="21" t="n"/>
      <c r="AI89" s="21" t="n"/>
      <c r="AJ89" s="21" t="n"/>
      <c r="AL89" s="23">
        <f>INDEX(Prices_dom!$A$6:$CU$2000,MATCH(Settings!$C$4&amp;AL$5,Prices_dom!$A$6:$A$2000,0),MATCH("mit.sp."&amp;$N89,Prices_dom!$A$5:$CU$5,0))/$P89</f>
        <v/>
      </c>
      <c r="AM89" s="22">
        <f>AL89*(1+INDEX($Q89:$AJ89,1,(AM$4-1)*5+1))</f>
        <v/>
      </c>
      <c r="AN89" s="22">
        <f>AM89*(1+INDEX($Q89:$AJ89,1,(AN$4-1)*5+1))</f>
        <v/>
      </c>
      <c r="AO89" s="22">
        <f>AN89*(1+INDEX($Q89:$AJ89,1,(AO$4-1)*5+1))</f>
        <v/>
      </c>
      <c r="AP89" s="22">
        <f>AO89*(1+INDEX($Q89:$AJ89,1,(AP$4-1)*5+1))</f>
        <v/>
      </c>
      <c r="AQ89" s="22">
        <f>AP89*(1+INDEX($Q89:$AJ89,1,(AQ$4-1)*5+1))</f>
        <v/>
      </c>
      <c r="AR89" s="22">
        <f>AQ89*(1+INDEX($Q89:$AJ89,1,(AR$4-1)*5+1))</f>
        <v/>
      </c>
      <c r="AS89" s="22">
        <f>AR89*(1+INDEX($Q89:$AJ89,1,(AS$4-1)*5+1))</f>
        <v/>
      </c>
      <c r="AT89" s="22">
        <f>AS89*(1+INDEX($Q89:$AJ89,1,(AT$4-1)*5+1))</f>
        <v/>
      </c>
      <c r="AU89" s="22">
        <f>AT89*(1+INDEX($Q89:$AJ89,1,(AU$4-1)*5+1))</f>
        <v/>
      </c>
      <c r="AV89" s="22">
        <f>AU89*(1+INDEX($Q89:$AJ89,1,(AV$4-1)*5+1))</f>
        <v/>
      </c>
      <c r="AW89" s="22">
        <f>AV89*(1+INDEX($Q89:$AJ89,1,(AW$4-1)*5+1))</f>
        <v/>
      </c>
      <c r="AX89" s="22">
        <f>AW89*(1+INDEX($Q89:$AJ89,1,(AX$4-1)*5+1))</f>
        <v/>
      </c>
      <c r="AY89" s="22">
        <f>AX89*(1+INDEX($Q89:$AJ89,1,(AY$4-1)*5+1))</f>
        <v/>
      </c>
      <c r="BA89" s="23">
        <f>INDEX(Prices_dom!$A$6:$CU$2000,MATCH(Settings!$C$4&amp;BA$5,Prices_dom!$A$6:$A$2000,0),MATCH("mit.sp."&amp;$N89,Prices_dom!$A$5:$CU$5,0))/$P89</f>
        <v/>
      </c>
      <c r="BB89" s="22">
        <f>BA89*(1+INDEX($Q89:$AJ89,1,(BB$4-1)*5+1))</f>
        <v/>
      </c>
      <c r="BC89" s="22">
        <f>BB89*(1+INDEX($Q89:$AJ89,1,(BC$4-1)*5+1))</f>
        <v/>
      </c>
      <c r="BD89" s="22">
        <f>BC89*(1+INDEX($Q89:$AJ89,1,(BD$4-1)*5+1))</f>
        <v/>
      </c>
      <c r="BE89" s="22">
        <f>BD89*(1+INDEX($Q89:$AJ89,1,(BE$4-1)*5+1))</f>
        <v/>
      </c>
      <c r="BF89" s="22">
        <f>BE89*(1+INDEX($Q89:$AJ89,1,(BF$4-1)*5+1))</f>
        <v/>
      </c>
      <c r="BG89" s="22">
        <f>BF89*(1+INDEX($Q89:$AJ89,1,(BG$4-1)*5+1))</f>
        <v/>
      </c>
      <c r="BH89" s="22">
        <f>BG89*(1+INDEX($Q89:$AJ89,1,(BH$4-1)*5+1))</f>
        <v/>
      </c>
      <c r="BI89" s="22">
        <f>BH89*(1+INDEX($Q89:$AJ89,1,(BI$4-1)*5+1))</f>
        <v/>
      </c>
      <c r="BJ89" s="22">
        <f>BI89*(1+INDEX($Q89:$AJ89,1,(BJ$4-1)*5+1))</f>
        <v/>
      </c>
      <c r="BK89" s="22">
        <f>BJ89*(1+INDEX($Q89:$AJ89,1,(BK$4-1)*5+1))</f>
        <v/>
      </c>
      <c r="BL89" s="22">
        <f>BK89*(1+INDEX($Q89:$AJ89,1,(BL$4-1)*5+1))</f>
        <v/>
      </c>
      <c r="BM89" s="22">
        <f>BL89*(1+INDEX($Q89:$AJ89,1,(BM$4-1)*5+1))</f>
        <v/>
      </c>
      <c r="BN89" s="22">
        <f>BM89*(1+INDEX($Q89:$AJ89,1,(BN$4-1)*5+1))</f>
        <v/>
      </c>
    </row>
    <row r="90">
      <c r="B90" s="5" t="inlineStr">
        <is>
          <t>bio</t>
        </is>
      </c>
      <c r="C90" s="5" t="inlineStr">
        <is>
          <t>nfm</t>
        </is>
      </c>
      <c r="D90" s="5" t="inlineStr">
        <is>
          <t>Pre-tax price | Other metals | Biomass</t>
        </is>
      </c>
      <c r="E90" s="5" t="inlineStr">
        <is>
          <t>$/GJ</t>
        </is>
      </c>
      <c r="F90" s="5" t="inlineStr">
        <is>
          <t>Prices_dom (base year), then growth</t>
        </is>
      </c>
      <c r="G90" s="19" t="inlineStr">
        <is>
          <t>mit.sp.bio</t>
        </is>
      </c>
      <c r="H90" s="19" t="inlineStr">
        <is>
          <t>mit.pbt.bio.nfm</t>
        </is>
      </c>
      <c r="J90" s="5">
        <f>INDEX(Mapping!$C$5:$C$20,MATCH($C90,Mapping!$A$5:$A$20,0))</f>
        <v/>
      </c>
      <c r="K90" s="5">
        <f>INDEX(Mapping!$D$5:$D$20,MATCH($C90,Mapping!$A$5:$A$20,0))</f>
        <v/>
      </c>
      <c r="L90" s="5">
        <f>INDEX(Mapping!$C$24:$C$31,MATCH($B90,Mapping!$A$24:$A$31,0))</f>
        <v/>
      </c>
      <c r="M90" s="5">
        <f>INDEX(Mapping!$D$24:$D$31,MATCH($B90,Mapping!$A$24:$A$31,0))</f>
        <v/>
      </c>
      <c r="N90" s="5">
        <f>$B90&amp;"."&amp;IF(INDEX(Mapping!$E$24:$E$31,MATCH($B90,Mapping!$A$24:$A$31,0))="sub",INDEX(Mapping!$F$5:$F$20,MATCH($C90,Mapping!$A$5:$A$20,0)),"all")</f>
        <v/>
      </c>
      <c r="O90" s="5">
        <f>INDEX(Mapping!$E$5:$E$20,MATCH($C90,Mapping!$A$5:$A$20,0))</f>
        <v/>
      </c>
      <c r="P90" s="5">
        <f>INDEX(Mapping!$G$24:$G$31,MATCH($B90,Mapping!$A$24:$A$31,0))</f>
        <v/>
      </c>
      <c r="Q90" s="20" t="n">
        <v>0</v>
      </c>
      <c r="R90" s="21" t="n"/>
      <c r="S90" s="21" t="n"/>
      <c r="T90" s="21" t="n"/>
      <c r="U90" s="21" t="n"/>
      <c r="V90" s="22">
        <f>Q90</f>
        <v/>
      </c>
      <c r="W90" s="21" t="n"/>
      <c r="X90" s="21" t="n"/>
      <c r="Y90" s="21" t="n"/>
      <c r="Z90" s="21" t="n"/>
      <c r="AA90" s="22">
        <f>Q90</f>
        <v/>
      </c>
      <c r="AB90" s="21" t="n"/>
      <c r="AC90" s="21" t="n"/>
      <c r="AD90" s="21" t="n"/>
      <c r="AE90" s="21" t="n"/>
      <c r="AF90" s="22">
        <f>Q90</f>
        <v/>
      </c>
      <c r="AG90" s="21" t="n"/>
      <c r="AH90" s="21" t="n"/>
      <c r="AI90" s="21" t="n"/>
      <c r="AJ90" s="21" t="n"/>
      <c r="AL90" s="23">
        <f>INDEX(Prices_dom!$A$6:$CU$2000,MATCH(Settings!$C$4&amp;AL$5,Prices_dom!$A$6:$A$2000,0),MATCH("mit.sp."&amp;$N90,Prices_dom!$A$5:$CU$5,0))/$P90</f>
        <v/>
      </c>
      <c r="AM90" s="22">
        <f>AL90*(1+INDEX($Q90:$AJ90,1,(AM$4-1)*5+1))</f>
        <v/>
      </c>
      <c r="AN90" s="22">
        <f>AM90*(1+INDEX($Q90:$AJ90,1,(AN$4-1)*5+1))</f>
        <v/>
      </c>
      <c r="AO90" s="22">
        <f>AN90*(1+INDEX($Q90:$AJ90,1,(AO$4-1)*5+1))</f>
        <v/>
      </c>
      <c r="AP90" s="22">
        <f>AO90*(1+INDEX($Q90:$AJ90,1,(AP$4-1)*5+1))</f>
        <v/>
      </c>
      <c r="AQ90" s="22">
        <f>AP90*(1+INDEX($Q90:$AJ90,1,(AQ$4-1)*5+1))</f>
        <v/>
      </c>
      <c r="AR90" s="22">
        <f>AQ90*(1+INDEX($Q90:$AJ90,1,(AR$4-1)*5+1))</f>
        <v/>
      </c>
      <c r="AS90" s="22">
        <f>AR90*(1+INDEX($Q90:$AJ90,1,(AS$4-1)*5+1))</f>
        <v/>
      </c>
      <c r="AT90" s="22">
        <f>AS90*(1+INDEX($Q90:$AJ90,1,(AT$4-1)*5+1))</f>
        <v/>
      </c>
      <c r="AU90" s="22">
        <f>AT90*(1+INDEX($Q90:$AJ90,1,(AU$4-1)*5+1))</f>
        <v/>
      </c>
      <c r="AV90" s="22">
        <f>AU90*(1+INDEX($Q90:$AJ90,1,(AV$4-1)*5+1))</f>
        <v/>
      </c>
      <c r="AW90" s="22">
        <f>AV90*(1+INDEX($Q90:$AJ90,1,(AW$4-1)*5+1))</f>
        <v/>
      </c>
      <c r="AX90" s="22">
        <f>AW90*(1+INDEX($Q90:$AJ90,1,(AX$4-1)*5+1))</f>
        <v/>
      </c>
      <c r="AY90" s="22">
        <f>AX90*(1+INDEX($Q90:$AJ90,1,(AY$4-1)*5+1))</f>
        <v/>
      </c>
      <c r="BA90" s="23">
        <f>INDEX(Prices_dom!$A$6:$CU$2000,MATCH(Settings!$C$4&amp;BA$5,Prices_dom!$A$6:$A$2000,0),MATCH("mit.sp."&amp;$N90,Prices_dom!$A$5:$CU$5,0))/$P90</f>
        <v/>
      </c>
      <c r="BB90" s="22">
        <f>BA90*(1+INDEX($Q90:$AJ90,1,(BB$4-1)*5+1))</f>
        <v/>
      </c>
      <c r="BC90" s="22">
        <f>BB90*(1+INDEX($Q90:$AJ90,1,(BC$4-1)*5+1))</f>
        <v/>
      </c>
      <c r="BD90" s="22">
        <f>BC90*(1+INDEX($Q90:$AJ90,1,(BD$4-1)*5+1))</f>
        <v/>
      </c>
      <c r="BE90" s="22">
        <f>BD90*(1+INDEX($Q90:$AJ90,1,(BE$4-1)*5+1))</f>
        <v/>
      </c>
      <c r="BF90" s="22">
        <f>BE90*(1+INDEX($Q90:$AJ90,1,(BF$4-1)*5+1))</f>
        <v/>
      </c>
      <c r="BG90" s="22">
        <f>BF90*(1+INDEX($Q90:$AJ90,1,(BG$4-1)*5+1))</f>
        <v/>
      </c>
      <c r="BH90" s="22">
        <f>BG90*(1+INDEX($Q90:$AJ90,1,(BH$4-1)*5+1))</f>
        <v/>
      </c>
      <c r="BI90" s="22">
        <f>BH90*(1+INDEX($Q90:$AJ90,1,(BI$4-1)*5+1))</f>
        <v/>
      </c>
      <c r="BJ90" s="22">
        <f>BI90*(1+INDEX($Q90:$AJ90,1,(BJ$4-1)*5+1))</f>
        <v/>
      </c>
      <c r="BK90" s="22">
        <f>BJ90*(1+INDEX($Q90:$AJ90,1,(BK$4-1)*5+1))</f>
        <v/>
      </c>
      <c r="BL90" s="22">
        <f>BK90*(1+INDEX($Q90:$AJ90,1,(BL$4-1)*5+1))</f>
        <v/>
      </c>
      <c r="BM90" s="22">
        <f>BL90*(1+INDEX($Q90:$AJ90,1,(BM$4-1)*5+1))</f>
        <v/>
      </c>
      <c r="BN90" s="22">
        <f>BM90*(1+INDEX($Q90:$AJ90,1,(BN$4-1)*5+1))</f>
        <v/>
      </c>
    </row>
    <row r="91">
      <c r="B91" s="5" t="inlineStr">
        <is>
          <t>coa</t>
        </is>
      </c>
      <c r="C91" s="5" t="inlineStr">
        <is>
          <t>mac</t>
        </is>
      </c>
      <c r="D91" s="5" t="inlineStr">
        <is>
          <t>Pre-tax price | Machinery | Coal</t>
        </is>
      </c>
      <c r="E91" s="5" t="inlineStr">
        <is>
          <t>$/GJ</t>
        </is>
      </c>
      <c r="F91" s="5" t="inlineStr">
        <is>
          <t>Prices_dom (base year), then growth</t>
        </is>
      </c>
      <c r="G91" s="19" t="inlineStr">
        <is>
          <t>mit.sp.coa</t>
        </is>
      </c>
      <c r="H91" s="19" t="inlineStr">
        <is>
          <t>mit.pbt.coa.mac</t>
        </is>
      </c>
      <c r="J91" s="5">
        <f>INDEX(Mapping!$C$5:$C$20,MATCH($C91,Mapping!$A$5:$A$20,0))</f>
        <v/>
      </c>
      <c r="K91" s="5">
        <f>INDEX(Mapping!$D$5:$D$20,MATCH($C91,Mapping!$A$5:$A$20,0))</f>
        <v/>
      </c>
      <c r="L91" s="5">
        <f>INDEX(Mapping!$C$24:$C$31,MATCH($B91,Mapping!$A$24:$A$31,0))</f>
        <v/>
      </c>
      <c r="M91" s="5">
        <f>INDEX(Mapping!$D$24:$D$31,MATCH($B91,Mapping!$A$24:$A$31,0))</f>
        <v/>
      </c>
      <c r="N91" s="5">
        <f>$B91&amp;"."&amp;IF(INDEX(Mapping!$E$24:$E$31,MATCH($B91,Mapping!$A$24:$A$31,0))="sub",INDEX(Mapping!$F$5:$F$20,MATCH($C91,Mapping!$A$5:$A$20,0)),"all")</f>
        <v/>
      </c>
      <c r="O91" s="5">
        <f>INDEX(Mapping!$E$5:$E$20,MATCH($C91,Mapping!$A$5:$A$20,0))</f>
        <v/>
      </c>
      <c r="P91" s="5">
        <f>INDEX(Mapping!$G$24:$G$31,MATCH($B91,Mapping!$A$24:$A$31,0))</f>
        <v/>
      </c>
      <c r="Q91" s="20" t="n">
        <v>0</v>
      </c>
      <c r="R91" s="21" t="n"/>
      <c r="S91" s="21" t="n"/>
      <c r="T91" s="21" t="n"/>
      <c r="U91" s="21" t="n"/>
      <c r="V91" s="22">
        <f>Q91</f>
        <v/>
      </c>
      <c r="W91" s="21" t="n"/>
      <c r="X91" s="21" t="n"/>
      <c r="Y91" s="21" t="n"/>
      <c r="Z91" s="21" t="n"/>
      <c r="AA91" s="22">
        <f>Q91</f>
        <v/>
      </c>
      <c r="AB91" s="21" t="n"/>
      <c r="AC91" s="21" t="n"/>
      <c r="AD91" s="21" t="n"/>
      <c r="AE91" s="21" t="n"/>
      <c r="AF91" s="22">
        <f>Q91</f>
        <v/>
      </c>
      <c r="AG91" s="21" t="n"/>
      <c r="AH91" s="21" t="n"/>
      <c r="AI91" s="21" t="n"/>
      <c r="AJ91" s="21" t="n"/>
      <c r="AL91" s="23">
        <f>INDEX(Prices_dom!$A$6:$CU$2000,MATCH(Settings!$C$4&amp;AL$5,Prices_dom!$A$6:$A$2000,0),MATCH("mit.sp."&amp;$N91,Prices_dom!$A$5:$CU$5,0))/$P91</f>
        <v/>
      </c>
      <c r="AM91" s="22">
        <f>AL91*(1+INDEX($Q91:$AJ91,1,(AM$4-1)*5+1))</f>
        <v/>
      </c>
      <c r="AN91" s="22">
        <f>AM91*(1+INDEX($Q91:$AJ91,1,(AN$4-1)*5+1))</f>
        <v/>
      </c>
      <c r="AO91" s="22">
        <f>AN91*(1+INDEX($Q91:$AJ91,1,(AO$4-1)*5+1))</f>
        <v/>
      </c>
      <c r="AP91" s="22">
        <f>AO91*(1+INDEX($Q91:$AJ91,1,(AP$4-1)*5+1))</f>
        <v/>
      </c>
      <c r="AQ91" s="22">
        <f>AP91*(1+INDEX($Q91:$AJ91,1,(AQ$4-1)*5+1))</f>
        <v/>
      </c>
      <c r="AR91" s="22">
        <f>AQ91*(1+INDEX($Q91:$AJ91,1,(AR$4-1)*5+1))</f>
        <v/>
      </c>
      <c r="AS91" s="22">
        <f>AR91*(1+INDEX($Q91:$AJ91,1,(AS$4-1)*5+1))</f>
        <v/>
      </c>
      <c r="AT91" s="22">
        <f>AS91*(1+INDEX($Q91:$AJ91,1,(AT$4-1)*5+1))</f>
        <v/>
      </c>
      <c r="AU91" s="22">
        <f>AT91*(1+INDEX($Q91:$AJ91,1,(AU$4-1)*5+1))</f>
        <v/>
      </c>
      <c r="AV91" s="22">
        <f>AU91*(1+INDEX($Q91:$AJ91,1,(AV$4-1)*5+1))</f>
        <v/>
      </c>
      <c r="AW91" s="22">
        <f>AV91*(1+INDEX($Q91:$AJ91,1,(AW$4-1)*5+1))</f>
        <v/>
      </c>
      <c r="AX91" s="22">
        <f>AW91*(1+INDEX($Q91:$AJ91,1,(AX$4-1)*5+1))</f>
        <v/>
      </c>
      <c r="AY91" s="22">
        <f>AX91*(1+INDEX($Q91:$AJ91,1,(AY$4-1)*5+1))</f>
        <v/>
      </c>
      <c r="BA91" s="23">
        <f>INDEX(Prices_dom!$A$6:$CU$2000,MATCH(Settings!$C$4&amp;BA$5,Prices_dom!$A$6:$A$2000,0),MATCH("mit.sp."&amp;$N91,Prices_dom!$A$5:$CU$5,0))/$P91</f>
        <v/>
      </c>
      <c r="BB91" s="22">
        <f>BA91*(1+INDEX($Q91:$AJ91,1,(BB$4-1)*5+1))</f>
        <v/>
      </c>
      <c r="BC91" s="22">
        <f>BB91*(1+INDEX($Q91:$AJ91,1,(BC$4-1)*5+1))</f>
        <v/>
      </c>
      <c r="BD91" s="22">
        <f>BC91*(1+INDEX($Q91:$AJ91,1,(BD$4-1)*5+1))</f>
        <v/>
      </c>
      <c r="BE91" s="22">
        <f>BD91*(1+INDEX($Q91:$AJ91,1,(BE$4-1)*5+1))</f>
        <v/>
      </c>
      <c r="BF91" s="22">
        <f>BE91*(1+INDEX($Q91:$AJ91,1,(BF$4-1)*5+1))</f>
        <v/>
      </c>
      <c r="BG91" s="22">
        <f>BF91*(1+INDEX($Q91:$AJ91,1,(BG$4-1)*5+1))</f>
        <v/>
      </c>
      <c r="BH91" s="22">
        <f>BG91*(1+INDEX($Q91:$AJ91,1,(BH$4-1)*5+1))</f>
        <v/>
      </c>
      <c r="BI91" s="22">
        <f>BH91*(1+INDEX($Q91:$AJ91,1,(BI$4-1)*5+1))</f>
        <v/>
      </c>
      <c r="BJ91" s="22">
        <f>BI91*(1+INDEX($Q91:$AJ91,1,(BJ$4-1)*5+1))</f>
        <v/>
      </c>
      <c r="BK91" s="22">
        <f>BJ91*(1+INDEX($Q91:$AJ91,1,(BK$4-1)*5+1))</f>
        <v/>
      </c>
      <c r="BL91" s="22">
        <f>BK91*(1+INDEX($Q91:$AJ91,1,(BL$4-1)*5+1))</f>
        <v/>
      </c>
      <c r="BM91" s="22">
        <f>BL91*(1+INDEX($Q91:$AJ91,1,(BM$4-1)*5+1))</f>
        <v/>
      </c>
      <c r="BN91" s="22">
        <f>BM91*(1+INDEX($Q91:$AJ91,1,(BN$4-1)*5+1))</f>
        <v/>
      </c>
    </row>
    <row r="92">
      <c r="B92" s="5" t="inlineStr">
        <is>
          <t>nga</t>
        </is>
      </c>
      <c r="C92" s="5" t="inlineStr">
        <is>
          <t>mac</t>
        </is>
      </c>
      <c r="D92" s="5" t="inlineStr">
        <is>
          <t>Pre-tax price | Machinery | Natural gas</t>
        </is>
      </c>
      <c r="E92" s="5" t="inlineStr">
        <is>
          <t>$/GJ</t>
        </is>
      </c>
      <c r="F92" s="5" t="inlineStr">
        <is>
          <t>Prices_dom (base year), then growth</t>
        </is>
      </c>
      <c r="G92" s="19" t="inlineStr">
        <is>
          <t>mit.sp.nga</t>
        </is>
      </c>
      <c r="H92" s="19" t="inlineStr">
        <is>
          <t>mit.pbt.nga.mac</t>
        </is>
      </c>
      <c r="J92" s="5">
        <f>INDEX(Mapping!$C$5:$C$20,MATCH($C92,Mapping!$A$5:$A$20,0))</f>
        <v/>
      </c>
      <c r="K92" s="5">
        <f>INDEX(Mapping!$D$5:$D$20,MATCH($C92,Mapping!$A$5:$A$20,0))</f>
        <v/>
      </c>
      <c r="L92" s="5">
        <f>INDEX(Mapping!$C$24:$C$31,MATCH($B92,Mapping!$A$24:$A$31,0))</f>
        <v/>
      </c>
      <c r="M92" s="5">
        <f>INDEX(Mapping!$D$24:$D$31,MATCH($B92,Mapping!$A$24:$A$31,0))</f>
        <v/>
      </c>
      <c r="N92" s="5">
        <f>$B92&amp;"."&amp;IF(INDEX(Mapping!$E$24:$E$31,MATCH($B92,Mapping!$A$24:$A$31,0))="sub",INDEX(Mapping!$F$5:$F$20,MATCH($C92,Mapping!$A$5:$A$20,0)),"all")</f>
        <v/>
      </c>
      <c r="O92" s="5">
        <f>INDEX(Mapping!$E$5:$E$20,MATCH($C92,Mapping!$A$5:$A$20,0))</f>
        <v/>
      </c>
      <c r="P92" s="5">
        <f>INDEX(Mapping!$G$24:$G$31,MATCH($B92,Mapping!$A$24:$A$31,0))</f>
        <v/>
      </c>
      <c r="Q92" s="20" t="n">
        <v>0</v>
      </c>
      <c r="R92" s="21" t="n"/>
      <c r="S92" s="21" t="n"/>
      <c r="T92" s="21" t="n"/>
      <c r="U92" s="21" t="n"/>
      <c r="V92" s="22">
        <f>Q92</f>
        <v/>
      </c>
      <c r="W92" s="21" t="n"/>
      <c r="X92" s="21" t="n"/>
      <c r="Y92" s="21" t="n"/>
      <c r="Z92" s="21" t="n"/>
      <c r="AA92" s="22">
        <f>Q92</f>
        <v/>
      </c>
      <c r="AB92" s="21" t="n"/>
      <c r="AC92" s="21" t="n"/>
      <c r="AD92" s="21" t="n"/>
      <c r="AE92" s="21" t="n"/>
      <c r="AF92" s="22">
        <f>Q92</f>
        <v/>
      </c>
      <c r="AG92" s="21" t="n"/>
      <c r="AH92" s="21" t="n"/>
      <c r="AI92" s="21" t="n"/>
      <c r="AJ92" s="21" t="n"/>
      <c r="AL92" s="23">
        <f>INDEX(Prices_dom!$A$6:$CU$2000,MATCH(Settings!$C$4&amp;AL$5,Prices_dom!$A$6:$A$2000,0),MATCH("mit.sp."&amp;$N92,Prices_dom!$A$5:$CU$5,0))/$P92</f>
        <v/>
      </c>
      <c r="AM92" s="22">
        <f>AL92*(1+INDEX($Q92:$AJ92,1,(AM$4-1)*5+1))</f>
        <v/>
      </c>
      <c r="AN92" s="22">
        <f>AM92*(1+INDEX($Q92:$AJ92,1,(AN$4-1)*5+1))</f>
        <v/>
      </c>
      <c r="AO92" s="22">
        <f>AN92*(1+INDEX($Q92:$AJ92,1,(AO$4-1)*5+1))</f>
        <v/>
      </c>
      <c r="AP92" s="22">
        <f>AO92*(1+INDEX($Q92:$AJ92,1,(AP$4-1)*5+1))</f>
        <v/>
      </c>
      <c r="AQ92" s="22">
        <f>AP92*(1+INDEX($Q92:$AJ92,1,(AQ$4-1)*5+1))</f>
        <v/>
      </c>
      <c r="AR92" s="22">
        <f>AQ92*(1+INDEX($Q92:$AJ92,1,(AR$4-1)*5+1))</f>
        <v/>
      </c>
      <c r="AS92" s="22">
        <f>AR92*(1+INDEX($Q92:$AJ92,1,(AS$4-1)*5+1))</f>
        <v/>
      </c>
      <c r="AT92" s="22">
        <f>AS92*(1+INDEX($Q92:$AJ92,1,(AT$4-1)*5+1))</f>
        <v/>
      </c>
      <c r="AU92" s="22">
        <f>AT92*(1+INDEX($Q92:$AJ92,1,(AU$4-1)*5+1))</f>
        <v/>
      </c>
      <c r="AV92" s="22">
        <f>AU92*(1+INDEX($Q92:$AJ92,1,(AV$4-1)*5+1))</f>
        <v/>
      </c>
      <c r="AW92" s="22">
        <f>AV92*(1+INDEX($Q92:$AJ92,1,(AW$4-1)*5+1))</f>
        <v/>
      </c>
      <c r="AX92" s="22">
        <f>AW92*(1+INDEX($Q92:$AJ92,1,(AX$4-1)*5+1))</f>
        <v/>
      </c>
      <c r="AY92" s="22">
        <f>AX92*(1+INDEX($Q92:$AJ92,1,(AY$4-1)*5+1))</f>
        <v/>
      </c>
      <c r="BA92" s="23">
        <f>INDEX(Prices_dom!$A$6:$CU$2000,MATCH(Settings!$C$4&amp;BA$5,Prices_dom!$A$6:$A$2000,0),MATCH("mit.sp."&amp;$N92,Prices_dom!$A$5:$CU$5,0))/$P92</f>
        <v/>
      </c>
      <c r="BB92" s="22">
        <f>BA92*(1+INDEX($Q92:$AJ92,1,(BB$4-1)*5+1))</f>
        <v/>
      </c>
      <c r="BC92" s="22">
        <f>BB92*(1+INDEX($Q92:$AJ92,1,(BC$4-1)*5+1))</f>
        <v/>
      </c>
      <c r="BD92" s="22">
        <f>BC92*(1+INDEX($Q92:$AJ92,1,(BD$4-1)*5+1))</f>
        <v/>
      </c>
      <c r="BE92" s="22">
        <f>BD92*(1+INDEX($Q92:$AJ92,1,(BE$4-1)*5+1))</f>
        <v/>
      </c>
      <c r="BF92" s="22">
        <f>BE92*(1+INDEX($Q92:$AJ92,1,(BF$4-1)*5+1))</f>
        <v/>
      </c>
      <c r="BG92" s="22">
        <f>BF92*(1+INDEX($Q92:$AJ92,1,(BG$4-1)*5+1))</f>
        <v/>
      </c>
      <c r="BH92" s="22">
        <f>BG92*(1+INDEX($Q92:$AJ92,1,(BH$4-1)*5+1))</f>
        <v/>
      </c>
      <c r="BI92" s="22">
        <f>BH92*(1+INDEX($Q92:$AJ92,1,(BI$4-1)*5+1))</f>
        <v/>
      </c>
      <c r="BJ92" s="22">
        <f>BI92*(1+INDEX($Q92:$AJ92,1,(BJ$4-1)*5+1))</f>
        <v/>
      </c>
      <c r="BK92" s="22">
        <f>BJ92*(1+INDEX($Q92:$AJ92,1,(BK$4-1)*5+1))</f>
        <v/>
      </c>
      <c r="BL92" s="22">
        <f>BK92*(1+INDEX($Q92:$AJ92,1,(BL$4-1)*5+1))</f>
        <v/>
      </c>
      <c r="BM92" s="22">
        <f>BL92*(1+INDEX($Q92:$AJ92,1,(BM$4-1)*5+1))</f>
        <v/>
      </c>
      <c r="BN92" s="22">
        <f>BM92*(1+INDEX($Q92:$AJ92,1,(BN$4-1)*5+1))</f>
        <v/>
      </c>
    </row>
    <row r="93">
      <c r="B93" s="5" t="inlineStr">
        <is>
          <t>gso</t>
        </is>
      </c>
      <c r="C93" s="5" t="inlineStr">
        <is>
          <t>mac</t>
        </is>
      </c>
      <c r="D93" s="5" t="inlineStr">
        <is>
          <t>Pre-tax price | Machinery | Gasoline</t>
        </is>
      </c>
      <c r="E93" s="5" t="inlineStr">
        <is>
          <t>$/GJ</t>
        </is>
      </c>
      <c r="F93" s="5" t="inlineStr">
        <is>
          <t>Prices_dom (base year), then growth</t>
        </is>
      </c>
      <c r="G93" s="19" t="inlineStr">
        <is>
          <t>mit.sp.gso</t>
        </is>
      </c>
      <c r="H93" s="19" t="inlineStr">
        <is>
          <t>mit.pbt.gso.mac</t>
        </is>
      </c>
      <c r="J93" s="5">
        <f>INDEX(Mapping!$C$5:$C$20,MATCH($C93,Mapping!$A$5:$A$20,0))</f>
        <v/>
      </c>
      <c r="K93" s="5">
        <f>INDEX(Mapping!$D$5:$D$20,MATCH($C93,Mapping!$A$5:$A$20,0))</f>
        <v/>
      </c>
      <c r="L93" s="5">
        <f>INDEX(Mapping!$C$24:$C$31,MATCH($B93,Mapping!$A$24:$A$31,0))</f>
        <v/>
      </c>
      <c r="M93" s="5">
        <f>INDEX(Mapping!$D$24:$D$31,MATCH($B93,Mapping!$A$24:$A$31,0))</f>
        <v/>
      </c>
      <c r="N93" s="5">
        <f>$B93&amp;"."&amp;IF(INDEX(Mapping!$E$24:$E$31,MATCH($B93,Mapping!$A$24:$A$31,0))="sub",INDEX(Mapping!$F$5:$F$20,MATCH($C93,Mapping!$A$5:$A$20,0)),"all")</f>
        <v/>
      </c>
      <c r="O93" s="5">
        <f>INDEX(Mapping!$E$5:$E$20,MATCH($C93,Mapping!$A$5:$A$20,0))</f>
        <v/>
      </c>
      <c r="P93" s="5">
        <f>INDEX(Mapping!$G$24:$G$31,MATCH($B93,Mapping!$A$24:$A$31,0))</f>
        <v/>
      </c>
      <c r="Q93" s="20" t="n">
        <v>0</v>
      </c>
      <c r="R93" s="21" t="n"/>
      <c r="S93" s="21" t="n"/>
      <c r="T93" s="21" t="n"/>
      <c r="U93" s="21" t="n"/>
      <c r="V93" s="22">
        <f>Q93</f>
        <v/>
      </c>
      <c r="W93" s="21" t="n"/>
      <c r="X93" s="21" t="n"/>
      <c r="Y93" s="21" t="n"/>
      <c r="Z93" s="21" t="n"/>
      <c r="AA93" s="22">
        <f>Q93</f>
        <v/>
      </c>
      <c r="AB93" s="21" t="n"/>
      <c r="AC93" s="21" t="n"/>
      <c r="AD93" s="21" t="n"/>
      <c r="AE93" s="21" t="n"/>
      <c r="AF93" s="22">
        <f>Q93</f>
        <v/>
      </c>
      <c r="AG93" s="21" t="n"/>
      <c r="AH93" s="21" t="n"/>
      <c r="AI93" s="21" t="n"/>
      <c r="AJ93" s="21" t="n"/>
      <c r="AL93" s="23">
        <f>INDEX(Prices_dom!$A$6:$CU$2000,MATCH(Settings!$C$4&amp;AL$5,Prices_dom!$A$6:$A$2000,0),MATCH("mit.sp."&amp;$N93,Prices_dom!$A$5:$CU$5,0))/$P93</f>
        <v/>
      </c>
      <c r="AM93" s="22">
        <f>AL93*(1+INDEX($Q93:$AJ93,1,(AM$4-1)*5+1))</f>
        <v/>
      </c>
      <c r="AN93" s="22">
        <f>AM93*(1+INDEX($Q93:$AJ93,1,(AN$4-1)*5+1))</f>
        <v/>
      </c>
      <c r="AO93" s="22">
        <f>AN93*(1+INDEX($Q93:$AJ93,1,(AO$4-1)*5+1))</f>
        <v/>
      </c>
      <c r="AP93" s="22">
        <f>AO93*(1+INDEX($Q93:$AJ93,1,(AP$4-1)*5+1))</f>
        <v/>
      </c>
      <c r="AQ93" s="22">
        <f>AP93*(1+INDEX($Q93:$AJ93,1,(AQ$4-1)*5+1))</f>
        <v/>
      </c>
      <c r="AR93" s="22">
        <f>AQ93*(1+INDEX($Q93:$AJ93,1,(AR$4-1)*5+1))</f>
        <v/>
      </c>
      <c r="AS93" s="22">
        <f>AR93*(1+INDEX($Q93:$AJ93,1,(AS$4-1)*5+1))</f>
        <v/>
      </c>
      <c r="AT93" s="22">
        <f>AS93*(1+INDEX($Q93:$AJ93,1,(AT$4-1)*5+1))</f>
        <v/>
      </c>
      <c r="AU93" s="22">
        <f>AT93*(1+INDEX($Q93:$AJ93,1,(AU$4-1)*5+1))</f>
        <v/>
      </c>
      <c r="AV93" s="22">
        <f>AU93*(1+INDEX($Q93:$AJ93,1,(AV$4-1)*5+1))</f>
        <v/>
      </c>
      <c r="AW93" s="22">
        <f>AV93*(1+INDEX($Q93:$AJ93,1,(AW$4-1)*5+1))</f>
        <v/>
      </c>
      <c r="AX93" s="22">
        <f>AW93*(1+INDEX($Q93:$AJ93,1,(AX$4-1)*5+1))</f>
        <v/>
      </c>
      <c r="AY93" s="22">
        <f>AX93*(1+INDEX($Q93:$AJ93,1,(AY$4-1)*5+1))</f>
        <v/>
      </c>
      <c r="BA93" s="23">
        <f>INDEX(Prices_dom!$A$6:$CU$2000,MATCH(Settings!$C$4&amp;BA$5,Prices_dom!$A$6:$A$2000,0),MATCH("mit.sp."&amp;$N93,Prices_dom!$A$5:$CU$5,0))/$P93</f>
        <v/>
      </c>
      <c r="BB93" s="22">
        <f>BA93*(1+INDEX($Q93:$AJ93,1,(BB$4-1)*5+1))</f>
        <v/>
      </c>
      <c r="BC93" s="22">
        <f>BB93*(1+INDEX($Q93:$AJ93,1,(BC$4-1)*5+1))</f>
        <v/>
      </c>
      <c r="BD93" s="22">
        <f>BC93*(1+INDEX($Q93:$AJ93,1,(BD$4-1)*5+1))</f>
        <v/>
      </c>
      <c r="BE93" s="22">
        <f>BD93*(1+INDEX($Q93:$AJ93,1,(BE$4-1)*5+1))</f>
        <v/>
      </c>
      <c r="BF93" s="22">
        <f>BE93*(1+INDEX($Q93:$AJ93,1,(BF$4-1)*5+1))</f>
        <v/>
      </c>
      <c r="BG93" s="22">
        <f>BF93*(1+INDEX($Q93:$AJ93,1,(BG$4-1)*5+1))</f>
        <v/>
      </c>
      <c r="BH93" s="22">
        <f>BG93*(1+INDEX($Q93:$AJ93,1,(BH$4-1)*5+1))</f>
        <v/>
      </c>
      <c r="BI93" s="22">
        <f>BH93*(1+INDEX($Q93:$AJ93,1,(BI$4-1)*5+1))</f>
        <v/>
      </c>
      <c r="BJ93" s="22">
        <f>BI93*(1+INDEX($Q93:$AJ93,1,(BJ$4-1)*5+1))</f>
        <v/>
      </c>
      <c r="BK93" s="22">
        <f>BJ93*(1+INDEX($Q93:$AJ93,1,(BK$4-1)*5+1))</f>
        <v/>
      </c>
      <c r="BL93" s="22">
        <f>BK93*(1+INDEX($Q93:$AJ93,1,(BL$4-1)*5+1))</f>
        <v/>
      </c>
      <c r="BM93" s="22">
        <f>BL93*(1+INDEX($Q93:$AJ93,1,(BM$4-1)*5+1))</f>
        <v/>
      </c>
      <c r="BN93" s="22">
        <f>BM93*(1+INDEX($Q93:$AJ93,1,(BN$4-1)*5+1))</f>
        <v/>
      </c>
    </row>
    <row r="94">
      <c r="B94" s="5" t="inlineStr">
        <is>
          <t>die</t>
        </is>
      </c>
      <c r="C94" s="5" t="inlineStr">
        <is>
          <t>mac</t>
        </is>
      </c>
      <c r="D94" s="5" t="inlineStr">
        <is>
          <t>Pre-tax price | Machinery | Diesel</t>
        </is>
      </c>
      <c r="E94" s="5" t="inlineStr">
        <is>
          <t>$/GJ</t>
        </is>
      </c>
      <c r="F94" s="5" t="inlineStr">
        <is>
          <t>Prices_dom (base year), then growth</t>
        </is>
      </c>
      <c r="G94" s="19" t="inlineStr">
        <is>
          <t>mit.sp.die</t>
        </is>
      </c>
      <c r="H94" s="19" t="inlineStr">
        <is>
          <t>mit.pbt.die.mac</t>
        </is>
      </c>
      <c r="J94" s="5">
        <f>INDEX(Mapping!$C$5:$C$20,MATCH($C94,Mapping!$A$5:$A$20,0))</f>
        <v/>
      </c>
      <c r="K94" s="5">
        <f>INDEX(Mapping!$D$5:$D$20,MATCH($C94,Mapping!$A$5:$A$20,0))</f>
        <v/>
      </c>
      <c r="L94" s="5">
        <f>INDEX(Mapping!$C$24:$C$31,MATCH($B94,Mapping!$A$24:$A$31,0))</f>
        <v/>
      </c>
      <c r="M94" s="5">
        <f>INDEX(Mapping!$D$24:$D$31,MATCH($B94,Mapping!$A$24:$A$31,0))</f>
        <v/>
      </c>
      <c r="N94" s="5">
        <f>$B94&amp;"."&amp;IF(INDEX(Mapping!$E$24:$E$31,MATCH($B94,Mapping!$A$24:$A$31,0))="sub",INDEX(Mapping!$F$5:$F$20,MATCH($C94,Mapping!$A$5:$A$20,0)),"all")</f>
        <v/>
      </c>
      <c r="O94" s="5">
        <f>INDEX(Mapping!$E$5:$E$20,MATCH($C94,Mapping!$A$5:$A$20,0))</f>
        <v/>
      </c>
      <c r="P94" s="5">
        <f>INDEX(Mapping!$G$24:$G$31,MATCH($B94,Mapping!$A$24:$A$31,0))</f>
        <v/>
      </c>
      <c r="Q94" s="20" t="n">
        <v>0</v>
      </c>
      <c r="R94" s="21" t="n"/>
      <c r="S94" s="21" t="n"/>
      <c r="T94" s="21" t="n"/>
      <c r="U94" s="21" t="n"/>
      <c r="V94" s="22">
        <f>Q94</f>
        <v/>
      </c>
      <c r="W94" s="21" t="n"/>
      <c r="X94" s="21" t="n"/>
      <c r="Y94" s="21" t="n"/>
      <c r="Z94" s="21" t="n"/>
      <c r="AA94" s="22">
        <f>Q94</f>
        <v/>
      </c>
      <c r="AB94" s="21" t="n"/>
      <c r="AC94" s="21" t="n"/>
      <c r="AD94" s="21" t="n"/>
      <c r="AE94" s="21" t="n"/>
      <c r="AF94" s="22">
        <f>Q94</f>
        <v/>
      </c>
      <c r="AG94" s="21" t="n"/>
      <c r="AH94" s="21" t="n"/>
      <c r="AI94" s="21" t="n"/>
      <c r="AJ94" s="21" t="n"/>
      <c r="AL94" s="23">
        <f>INDEX(Prices_dom!$A$6:$CU$2000,MATCH(Settings!$C$4&amp;AL$5,Prices_dom!$A$6:$A$2000,0),MATCH("mit.sp."&amp;$N94,Prices_dom!$A$5:$CU$5,0))/$P94</f>
        <v/>
      </c>
      <c r="AM94" s="22">
        <f>AL94*(1+INDEX($Q94:$AJ94,1,(AM$4-1)*5+1))</f>
        <v/>
      </c>
      <c r="AN94" s="22">
        <f>AM94*(1+INDEX($Q94:$AJ94,1,(AN$4-1)*5+1))</f>
        <v/>
      </c>
      <c r="AO94" s="22">
        <f>AN94*(1+INDEX($Q94:$AJ94,1,(AO$4-1)*5+1))</f>
        <v/>
      </c>
      <c r="AP94" s="22">
        <f>AO94*(1+INDEX($Q94:$AJ94,1,(AP$4-1)*5+1))</f>
        <v/>
      </c>
      <c r="AQ94" s="22">
        <f>AP94*(1+INDEX($Q94:$AJ94,1,(AQ$4-1)*5+1))</f>
        <v/>
      </c>
      <c r="AR94" s="22">
        <f>AQ94*(1+INDEX($Q94:$AJ94,1,(AR$4-1)*5+1))</f>
        <v/>
      </c>
      <c r="AS94" s="22">
        <f>AR94*(1+INDEX($Q94:$AJ94,1,(AS$4-1)*5+1))</f>
        <v/>
      </c>
      <c r="AT94" s="22">
        <f>AS94*(1+INDEX($Q94:$AJ94,1,(AT$4-1)*5+1))</f>
        <v/>
      </c>
      <c r="AU94" s="22">
        <f>AT94*(1+INDEX($Q94:$AJ94,1,(AU$4-1)*5+1))</f>
        <v/>
      </c>
      <c r="AV94" s="22">
        <f>AU94*(1+INDEX($Q94:$AJ94,1,(AV$4-1)*5+1))</f>
        <v/>
      </c>
      <c r="AW94" s="22">
        <f>AV94*(1+INDEX($Q94:$AJ94,1,(AW$4-1)*5+1))</f>
        <v/>
      </c>
      <c r="AX94" s="22">
        <f>AW94*(1+INDEX($Q94:$AJ94,1,(AX$4-1)*5+1))</f>
        <v/>
      </c>
      <c r="AY94" s="22">
        <f>AX94*(1+INDEX($Q94:$AJ94,1,(AY$4-1)*5+1))</f>
        <v/>
      </c>
      <c r="BA94" s="23">
        <f>INDEX(Prices_dom!$A$6:$CU$2000,MATCH(Settings!$C$4&amp;BA$5,Prices_dom!$A$6:$A$2000,0),MATCH("mit.sp."&amp;$N94,Prices_dom!$A$5:$CU$5,0))/$P94</f>
        <v/>
      </c>
      <c r="BB94" s="22">
        <f>BA94*(1+INDEX($Q94:$AJ94,1,(BB$4-1)*5+1))</f>
        <v/>
      </c>
      <c r="BC94" s="22">
        <f>BB94*(1+INDEX($Q94:$AJ94,1,(BC$4-1)*5+1))</f>
        <v/>
      </c>
      <c r="BD94" s="22">
        <f>BC94*(1+INDEX($Q94:$AJ94,1,(BD$4-1)*5+1))</f>
        <v/>
      </c>
      <c r="BE94" s="22">
        <f>BD94*(1+INDEX($Q94:$AJ94,1,(BE$4-1)*5+1))</f>
        <v/>
      </c>
      <c r="BF94" s="22">
        <f>BE94*(1+INDEX($Q94:$AJ94,1,(BF$4-1)*5+1))</f>
        <v/>
      </c>
      <c r="BG94" s="22">
        <f>BF94*(1+INDEX($Q94:$AJ94,1,(BG$4-1)*5+1))</f>
        <v/>
      </c>
      <c r="BH94" s="22">
        <f>BG94*(1+INDEX($Q94:$AJ94,1,(BH$4-1)*5+1))</f>
        <v/>
      </c>
      <c r="BI94" s="22">
        <f>BH94*(1+INDEX($Q94:$AJ94,1,(BI$4-1)*5+1))</f>
        <v/>
      </c>
      <c r="BJ94" s="22">
        <f>BI94*(1+INDEX($Q94:$AJ94,1,(BJ$4-1)*5+1))</f>
        <v/>
      </c>
      <c r="BK94" s="22">
        <f>BJ94*(1+INDEX($Q94:$AJ94,1,(BK$4-1)*5+1))</f>
        <v/>
      </c>
      <c r="BL94" s="22">
        <f>BK94*(1+INDEX($Q94:$AJ94,1,(BL$4-1)*5+1))</f>
        <v/>
      </c>
      <c r="BM94" s="22">
        <f>BL94*(1+INDEX($Q94:$AJ94,1,(BM$4-1)*5+1))</f>
        <v/>
      </c>
      <c r="BN94" s="22">
        <f>BM94*(1+INDEX($Q94:$AJ94,1,(BN$4-1)*5+1))</f>
        <v/>
      </c>
    </row>
    <row r="95">
      <c r="B95" s="5" t="inlineStr">
        <is>
          <t>lpg</t>
        </is>
      </c>
      <c r="C95" s="5" t="inlineStr">
        <is>
          <t>mac</t>
        </is>
      </c>
      <c r="D95" s="5" t="inlineStr">
        <is>
          <t>Pre-tax price | Machinery | LPG</t>
        </is>
      </c>
      <c r="E95" s="5" t="inlineStr">
        <is>
          <t>$/GJ</t>
        </is>
      </c>
      <c r="F95" s="5" t="inlineStr">
        <is>
          <t>Prices_dom (base year), then growth</t>
        </is>
      </c>
      <c r="G95" s="19" t="inlineStr">
        <is>
          <t>mit.sp.lpg</t>
        </is>
      </c>
      <c r="H95" s="19" t="inlineStr">
        <is>
          <t>mit.pbt.lpg.mac</t>
        </is>
      </c>
      <c r="J95" s="5">
        <f>INDEX(Mapping!$C$5:$C$20,MATCH($C95,Mapping!$A$5:$A$20,0))</f>
        <v/>
      </c>
      <c r="K95" s="5">
        <f>INDEX(Mapping!$D$5:$D$20,MATCH($C95,Mapping!$A$5:$A$20,0))</f>
        <v/>
      </c>
      <c r="L95" s="5">
        <f>INDEX(Mapping!$C$24:$C$31,MATCH($B95,Mapping!$A$24:$A$31,0))</f>
        <v/>
      </c>
      <c r="M95" s="5">
        <f>INDEX(Mapping!$D$24:$D$31,MATCH($B95,Mapping!$A$24:$A$31,0))</f>
        <v/>
      </c>
      <c r="N95" s="5">
        <f>$B95&amp;"."&amp;IF(INDEX(Mapping!$E$24:$E$31,MATCH($B95,Mapping!$A$24:$A$31,0))="sub",INDEX(Mapping!$F$5:$F$20,MATCH($C95,Mapping!$A$5:$A$20,0)),"all")</f>
        <v/>
      </c>
      <c r="O95" s="5">
        <f>INDEX(Mapping!$E$5:$E$20,MATCH($C95,Mapping!$A$5:$A$20,0))</f>
        <v/>
      </c>
      <c r="P95" s="5">
        <f>INDEX(Mapping!$G$24:$G$31,MATCH($B95,Mapping!$A$24:$A$31,0))</f>
        <v/>
      </c>
      <c r="Q95" s="20" t="n">
        <v>0</v>
      </c>
      <c r="R95" s="21" t="n"/>
      <c r="S95" s="21" t="n"/>
      <c r="T95" s="21" t="n"/>
      <c r="U95" s="21" t="n"/>
      <c r="V95" s="22">
        <f>Q95</f>
        <v/>
      </c>
      <c r="W95" s="21" t="n"/>
      <c r="X95" s="21" t="n"/>
      <c r="Y95" s="21" t="n"/>
      <c r="Z95" s="21" t="n"/>
      <c r="AA95" s="22">
        <f>Q95</f>
        <v/>
      </c>
      <c r="AB95" s="21" t="n"/>
      <c r="AC95" s="21" t="n"/>
      <c r="AD95" s="21" t="n"/>
      <c r="AE95" s="21" t="n"/>
      <c r="AF95" s="22">
        <f>Q95</f>
        <v/>
      </c>
      <c r="AG95" s="21" t="n"/>
      <c r="AH95" s="21" t="n"/>
      <c r="AI95" s="21" t="n"/>
      <c r="AJ95" s="21" t="n"/>
      <c r="AL95" s="23">
        <f>INDEX(Prices_dom!$A$6:$CU$2000,MATCH(Settings!$C$4&amp;AL$5,Prices_dom!$A$6:$A$2000,0),MATCH("mit.sp."&amp;$N95,Prices_dom!$A$5:$CU$5,0))/$P95</f>
        <v/>
      </c>
      <c r="AM95" s="22">
        <f>AL95*(1+INDEX($Q95:$AJ95,1,(AM$4-1)*5+1))</f>
        <v/>
      </c>
      <c r="AN95" s="22">
        <f>AM95*(1+INDEX($Q95:$AJ95,1,(AN$4-1)*5+1))</f>
        <v/>
      </c>
      <c r="AO95" s="22">
        <f>AN95*(1+INDEX($Q95:$AJ95,1,(AO$4-1)*5+1))</f>
        <v/>
      </c>
      <c r="AP95" s="22">
        <f>AO95*(1+INDEX($Q95:$AJ95,1,(AP$4-1)*5+1))</f>
        <v/>
      </c>
      <c r="AQ95" s="22">
        <f>AP95*(1+INDEX($Q95:$AJ95,1,(AQ$4-1)*5+1))</f>
        <v/>
      </c>
      <c r="AR95" s="22">
        <f>AQ95*(1+INDEX($Q95:$AJ95,1,(AR$4-1)*5+1))</f>
        <v/>
      </c>
      <c r="AS95" s="22">
        <f>AR95*(1+INDEX($Q95:$AJ95,1,(AS$4-1)*5+1))</f>
        <v/>
      </c>
      <c r="AT95" s="22">
        <f>AS95*(1+INDEX($Q95:$AJ95,1,(AT$4-1)*5+1))</f>
        <v/>
      </c>
      <c r="AU95" s="22">
        <f>AT95*(1+INDEX($Q95:$AJ95,1,(AU$4-1)*5+1))</f>
        <v/>
      </c>
      <c r="AV95" s="22">
        <f>AU95*(1+INDEX($Q95:$AJ95,1,(AV$4-1)*5+1))</f>
        <v/>
      </c>
      <c r="AW95" s="22">
        <f>AV95*(1+INDEX($Q95:$AJ95,1,(AW$4-1)*5+1))</f>
        <v/>
      </c>
      <c r="AX95" s="22">
        <f>AW95*(1+INDEX($Q95:$AJ95,1,(AX$4-1)*5+1))</f>
        <v/>
      </c>
      <c r="AY95" s="22">
        <f>AX95*(1+INDEX($Q95:$AJ95,1,(AY$4-1)*5+1))</f>
        <v/>
      </c>
      <c r="BA95" s="23">
        <f>INDEX(Prices_dom!$A$6:$CU$2000,MATCH(Settings!$C$4&amp;BA$5,Prices_dom!$A$6:$A$2000,0),MATCH("mit.sp."&amp;$N95,Prices_dom!$A$5:$CU$5,0))/$P95</f>
        <v/>
      </c>
      <c r="BB95" s="22">
        <f>BA95*(1+INDEX($Q95:$AJ95,1,(BB$4-1)*5+1))</f>
        <v/>
      </c>
      <c r="BC95" s="22">
        <f>BB95*(1+INDEX($Q95:$AJ95,1,(BC$4-1)*5+1))</f>
        <v/>
      </c>
      <c r="BD95" s="22">
        <f>BC95*(1+INDEX($Q95:$AJ95,1,(BD$4-1)*5+1))</f>
        <v/>
      </c>
      <c r="BE95" s="22">
        <f>BD95*(1+INDEX($Q95:$AJ95,1,(BE$4-1)*5+1))</f>
        <v/>
      </c>
      <c r="BF95" s="22">
        <f>BE95*(1+INDEX($Q95:$AJ95,1,(BF$4-1)*5+1))</f>
        <v/>
      </c>
      <c r="BG95" s="22">
        <f>BF95*(1+INDEX($Q95:$AJ95,1,(BG$4-1)*5+1))</f>
        <v/>
      </c>
      <c r="BH95" s="22">
        <f>BG95*(1+INDEX($Q95:$AJ95,1,(BH$4-1)*5+1))</f>
        <v/>
      </c>
      <c r="BI95" s="22">
        <f>BH95*(1+INDEX($Q95:$AJ95,1,(BI$4-1)*5+1))</f>
        <v/>
      </c>
      <c r="BJ95" s="22">
        <f>BI95*(1+INDEX($Q95:$AJ95,1,(BJ$4-1)*5+1))</f>
        <v/>
      </c>
      <c r="BK95" s="22">
        <f>BJ95*(1+INDEX($Q95:$AJ95,1,(BK$4-1)*5+1))</f>
        <v/>
      </c>
      <c r="BL95" s="22">
        <f>BK95*(1+INDEX($Q95:$AJ95,1,(BL$4-1)*5+1))</f>
        <v/>
      </c>
      <c r="BM95" s="22">
        <f>BL95*(1+INDEX($Q95:$AJ95,1,(BM$4-1)*5+1))</f>
        <v/>
      </c>
      <c r="BN95" s="22">
        <f>BM95*(1+INDEX($Q95:$AJ95,1,(BN$4-1)*5+1))</f>
        <v/>
      </c>
    </row>
    <row r="96">
      <c r="B96" s="5" t="inlineStr">
        <is>
          <t>ker</t>
        </is>
      </c>
      <c r="C96" s="5" t="inlineStr">
        <is>
          <t>mac</t>
        </is>
      </c>
      <c r="D96" s="5" t="inlineStr">
        <is>
          <t>Pre-tax price | Machinery | Kerosene</t>
        </is>
      </c>
      <c r="E96" s="5" t="inlineStr">
        <is>
          <t>$/GJ</t>
        </is>
      </c>
      <c r="F96" s="5" t="inlineStr">
        <is>
          <t>Prices_dom (base year), then growth</t>
        </is>
      </c>
      <c r="G96" s="19" t="inlineStr">
        <is>
          <t>mit.sp.ker</t>
        </is>
      </c>
      <c r="H96" s="19" t="inlineStr">
        <is>
          <t>mit.pbt.ker.mac</t>
        </is>
      </c>
      <c r="J96" s="5">
        <f>INDEX(Mapping!$C$5:$C$20,MATCH($C96,Mapping!$A$5:$A$20,0))</f>
        <v/>
      </c>
      <c r="K96" s="5">
        <f>INDEX(Mapping!$D$5:$D$20,MATCH($C96,Mapping!$A$5:$A$20,0))</f>
        <v/>
      </c>
      <c r="L96" s="5">
        <f>INDEX(Mapping!$C$24:$C$31,MATCH($B96,Mapping!$A$24:$A$31,0))</f>
        <v/>
      </c>
      <c r="M96" s="5">
        <f>INDEX(Mapping!$D$24:$D$31,MATCH($B96,Mapping!$A$24:$A$31,0))</f>
        <v/>
      </c>
      <c r="N96" s="5">
        <f>$B96&amp;"."&amp;IF(INDEX(Mapping!$E$24:$E$31,MATCH($B96,Mapping!$A$24:$A$31,0))="sub",INDEX(Mapping!$F$5:$F$20,MATCH($C96,Mapping!$A$5:$A$20,0)),"all")</f>
        <v/>
      </c>
      <c r="O96" s="5">
        <f>INDEX(Mapping!$E$5:$E$20,MATCH($C96,Mapping!$A$5:$A$20,0))</f>
        <v/>
      </c>
      <c r="P96" s="5">
        <f>INDEX(Mapping!$G$24:$G$31,MATCH($B96,Mapping!$A$24:$A$31,0))</f>
        <v/>
      </c>
      <c r="Q96" s="20" t="n">
        <v>0</v>
      </c>
      <c r="R96" s="21" t="n"/>
      <c r="S96" s="21" t="n"/>
      <c r="T96" s="21" t="n"/>
      <c r="U96" s="21" t="n"/>
      <c r="V96" s="22">
        <f>Q96</f>
        <v/>
      </c>
      <c r="W96" s="21" t="n"/>
      <c r="X96" s="21" t="n"/>
      <c r="Y96" s="21" t="n"/>
      <c r="Z96" s="21" t="n"/>
      <c r="AA96" s="22">
        <f>Q96</f>
        <v/>
      </c>
      <c r="AB96" s="21" t="n"/>
      <c r="AC96" s="21" t="n"/>
      <c r="AD96" s="21" t="n"/>
      <c r="AE96" s="21" t="n"/>
      <c r="AF96" s="22">
        <f>Q96</f>
        <v/>
      </c>
      <c r="AG96" s="21" t="n"/>
      <c r="AH96" s="21" t="n"/>
      <c r="AI96" s="21" t="n"/>
      <c r="AJ96" s="21" t="n"/>
      <c r="AL96" s="23">
        <f>INDEX(Prices_dom!$A$6:$CU$2000,MATCH(Settings!$C$4&amp;AL$5,Prices_dom!$A$6:$A$2000,0),MATCH("mit.sp."&amp;$N96,Prices_dom!$A$5:$CU$5,0))/$P96</f>
        <v/>
      </c>
      <c r="AM96" s="22">
        <f>AL96*(1+INDEX($Q96:$AJ96,1,(AM$4-1)*5+1))</f>
        <v/>
      </c>
      <c r="AN96" s="22">
        <f>AM96*(1+INDEX($Q96:$AJ96,1,(AN$4-1)*5+1))</f>
        <v/>
      </c>
      <c r="AO96" s="22">
        <f>AN96*(1+INDEX($Q96:$AJ96,1,(AO$4-1)*5+1))</f>
        <v/>
      </c>
      <c r="AP96" s="22">
        <f>AO96*(1+INDEX($Q96:$AJ96,1,(AP$4-1)*5+1))</f>
        <v/>
      </c>
      <c r="AQ96" s="22">
        <f>AP96*(1+INDEX($Q96:$AJ96,1,(AQ$4-1)*5+1))</f>
        <v/>
      </c>
      <c r="AR96" s="22">
        <f>AQ96*(1+INDEX($Q96:$AJ96,1,(AR$4-1)*5+1))</f>
        <v/>
      </c>
      <c r="AS96" s="22">
        <f>AR96*(1+INDEX($Q96:$AJ96,1,(AS$4-1)*5+1))</f>
        <v/>
      </c>
      <c r="AT96" s="22">
        <f>AS96*(1+INDEX($Q96:$AJ96,1,(AT$4-1)*5+1))</f>
        <v/>
      </c>
      <c r="AU96" s="22">
        <f>AT96*(1+INDEX($Q96:$AJ96,1,(AU$4-1)*5+1))</f>
        <v/>
      </c>
      <c r="AV96" s="22">
        <f>AU96*(1+INDEX($Q96:$AJ96,1,(AV$4-1)*5+1))</f>
        <v/>
      </c>
      <c r="AW96" s="22">
        <f>AV96*(1+INDEX($Q96:$AJ96,1,(AW$4-1)*5+1))</f>
        <v/>
      </c>
      <c r="AX96" s="22">
        <f>AW96*(1+INDEX($Q96:$AJ96,1,(AX$4-1)*5+1))</f>
        <v/>
      </c>
      <c r="AY96" s="22">
        <f>AX96*(1+INDEX($Q96:$AJ96,1,(AY$4-1)*5+1))</f>
        <v/>
      </c>
      <c r="BA96" s="23">
        <f>INDEX(Prices_dom!$A$6:$CU$2000,MATCH(Settings!$C$4&amp;BA$5,Prices_dom!$A$6:$A$2000,0),MATCH("mit.sp."&amp;$N96,Prices_dom!$A$5:$CU$5,0))/$P96</f>
        <v/>
      </c>
      <c r="BB96" s="22">
        <f>BA96*(1+INDEX($Q96:$AJ96,1,(BB$4-1)*5+1))</f>
        <v/>
      </c>
      <c r="BC96" s="22">
        <f>BB96*(1+INDEX($Q96:$AJ96,1,(BC$4-1)*5+1))</f>
        <v/>
      </c>
      <c r="BD96" s="22">
        <f>BC96*(1+INDEX($Q96:$AJ96,1,(BD$4-1)*5+1))</f>
        <v/>
      </c>
      <c r="BE96" s="22">
        <f>BD96*(1+INDEX($Q96:$AJ96,1,(BE$4-1)*5+1))</f>
        <v/>
      </c>
      <c r="BF96" s="22">
        <f>BE96*(1+INDEX($Q96:$AJ96,1,(BF$4-1)*5+1))</f>
        <v/>
      </c>
      <c r="BG96" s="22">
        <f>BF96*(1+INDEX($Q96:$AJ96,1,(BG$4-1)*5+1))</f>
        <v/>
      </c>
      <c r="BH96" s="22">
        <f>BG96*(1+INDEX($Q96:$AJ96,1,(BH$4-1)*5+1))</f>
        <v/>
      </c>
      <c r="BI96" s="22">
        <f>BH96*(1+INDEX($Q96:$AJ96,1,(BI$4-1)*5+1))</f>
        <v/>
      </c>
      <c r="BJ96" s="22">
        <f>BI96*(1+INDEX($Q96:$AJ96,1,(BJ$4-1)*5+1))</f>
        <v/>
      </c>
      <c r="BK96" s="22">
        <f>BJ96*(1+INDEX($Q96:$AJ96,1,(BK$4-1)*5+1))</f>
        <v/>
      </c>
      <c r="BL96" s="22">
        <f>BK96*(1+INDEX($Q96:$AJ96,1,(BL$4-1)*5+1))</f>
        <v/>
      </c>
      <c r="BM96" s="22">
        <f>BL96*(1+INDEX($Q96:$AJ96,1,(BM$4-1)*5+1))</f>
        <v/>
      </c>
      <c r="BN96" s="22">
        <f>BM96*(1+INDEX($Q96:$AJ96,1,(BN$4-1)*5+1))</f>
        <v/>
      </c>
    </row>
    <row r="97">
      <c r="B97" s="5" t="inlineStr">
        <is>
          <t>oop</t>
        </is>
      </c>
      <c r="C97" s="5" t="inlineStr">
        <is>
          <t>mac</t>
        </is>
      </c>
      <c r="D97" s="5" t="inlineStr">
        <is>
          <t>Pre-tax price | Machinery | Other oil products</t>
        </is>
      </c>
      <c r="E97" s="5" t="inlineStr">
        <is>
          <t>$/GJ</t>
        </is>
      </c>
      <c r="F97" s="5" t="inlineStr">
        <is>
          <t>Prices_dom (base year), then growth</t>
        </is>
      </c>
      <c r="G97" s="19" t="inlineStr">
        <is>
          <t>mit.sp.oop</t>
        </is>
      </c>
      <c r="H97" s="19" t="inlineStr">
        <is>
          <t>mit.pbt.oop.mac</t>
        </is>
      </c>
      <c r="J97" s="5">
        <f>INDEX(Mapping!$C$5:$C$20,MATCH($C97,Mapping!$A$5:$A$20,0))</f>
        <v/>
      </c>
      <c r="K97" s="5">
        <f>INDEX(Mapping!$D$5:$D$20,MATCH($C97,Mapping!$A$5:$A$20,0))</f>
        <v/>
      </c>
      <c r="L97" s="5">
        <f>INDEX(Mapping!$C$24:$C$31,MATCH($B97,Mapping!$A$24:$A$31,0))</f>
        <v/>
      </c>
      <c r="M97" s="5">
        <f>INDEX(Mapping!$D$24:$D$31,MATCH($B97,Mapping!$A$24:$A$31,0))</f>
        <v/>
      </c>
      <c r="N97" s="5">
        <f>$B97&amp;"."&amp;IF(INDEX(Mapping!$E$24:$E$31,MATCH($B97,Mapping!$A$24:$A$31,0))="sub",INDEX(Mapping!$F$5:$F$20,MATCH($C97,Mapping!$A$5:$A$20,0)),"all")</f>
        <v/>
      </c>
      <c r="O97" s="5">
        <f>INDEX(Mapping!$E$5:$E$20,MATCH($C97,Mapping!$A$5:$A$20,0))</f>
        <v/>
      </c>
      <c r="P97" s="5">
        <f>INDEX(Mapping!$G$24:$G$31,MATCH($B97,Mapping!$A$24:$A$31,0))</f>
        <v/>
      </c>
      <c r="Q97" s="20" t="n">
        <v>0</v>
      </c>
      <c r="R97" s="21" t="n"/>
      <c r="S97" s="21" t="n"/>
      <c r="T97" s="21" t="n"/>
      <c r="U97" s="21" t="n"/>
      <c r="V97" s="22">
        <f>Q97</f>
        <v/>
      </c>
      <c r="W97" s="21" t="n"/>
      <c r="X97" s="21" t="n"/>
      <c r="Y97" s="21" t="n"/>
      <c r="Z97" s="21" t="n"/>
      <c r="AA97" s="22">
        <f>Q97</f>
        <v/>
      </c>
      <c r="AB97" s="21" t="n"/>
      <c r="AC97" s="21" t="n"/>
      <c r="AD97" s="21" t="n"/>
      <c r="AE97" s="21" t="n"/>
      <c r="AF97" s="22">
        <f>Q97</f>
        <v/>
      </c>
      <c r="AG97" s="21" t="n"/>
      <c r="AH97" s="21" t="n"/>
      <c r="AI97" s="21" t="n"/>
      <c r="AJ97" s="21" t="n"/>
      <c r="AL97" s="23">
        <f>INDEX(Prices_dom!$A$6:$CU$2000,MATCH(Settings!$C$4&amp;AL$5,Prices_dom!$A$6:$A$2000,0),MATCH("mit.sp."&amp;$N97,Prices_dom!$A$5:$CU$5,0))/$P97</f>
        <v/>
      </c>
      <c r="AM97" s="22">
        <f>AL97*(1+INDEX($Q97:$AJ97,1,(AM$4-1)*5+1))</f>
        <v/>
      </c>
      <c r="AN97" s="22">
        <f>AM97*(1+INDEX($Q97:$AJ97,1,(AN$4-1)*5+1))</f>
        <v/>
      </c>
      <c r="AO97" s="22">
        <f>AN97*(1+INDEX($Q97:$AJ97,1,(AO$4-1)*5+1))</f>
        <v/>
      </c>
      <c r="AP97" s="22">
        <f>AO97*(1+INDEX($Q97:$AJ97,1,(AP$4-1)*5+1))</f>
        <v/>
      </c>
      <c r="AQ97" s="22">
        <f>AP97*(1+INDEX($Q97:$AJ97,1,(AQ$4-1)*5+1))</f>
        <v/>
      </c>
      <c r="AR97" s="22">
        <f>AQ97*(1+INDEX($Q97:$AJ97,1,(AR$4-1)*5+1))</f>
        <v/>
      </c>
      <c r="AS97" s="22">
        <f>AR97*(1+INDEX($Q97:$AJ97,1,(AS$4-1)*5+1))</f>
        <v/>
      </c>
      <c r="AT97" s="22">
        <f>AS97*(1+INDEX($Q97:$AJ97,1,(AT$4-1)*5+1))</f>
        <v/>
      </c>
      <c r="AU97" s="22">
        <f>AT97*(1+INDEX($Q97:$AJ97,1,(AU$4-1)*5+1))</f>
        <v/>
      </c>
      <c r="AV97" s="22">
        <f>AU97*(1+INDEX($Q97:$AJ97,1,(AV$4-1)*5+1))</f>
        <v/>
      </c>
      <c r="AW97" s="22">
        <f>AV97*(1+INDEX($Q97:$AJ97,1,(AW$4-1)*5+1))</f>
        <v/>
      </c>
      <c r="AX97" s="22">
        <f>AW97*(1+INDEX($Q97:$AJ97,1,(AX$4-1)*5+1))</f>
        <v/>
      </c>
      <c r="AY97" s="22">
        <f>AX97*(1+INDEX($Q97:$AJ97,1,(AY$4-1)*5+1))</f>
        <v/>
      </c>
      <c r="BA97" s="23">
        <f>INDEX(Prices_dom!$A$6:$CU$2000,MATCH(Settings!$C$4&amp;BA$5,Prices_dom!$A$6:$A$2000,0),MATCH("mit.sp."&amp;$N97,Prices_dom!$A$5:$CU$5,0))/$P97</f>
        <v/>
      </c>
      <c r="BB97" s="22">
        <f>BA97*(1+INDEX($Q97:$AJ97,1,(BB$4-1)*5+1))</f>
        <v/>
      </c>
      <c r="BC97" s="22">
        <f>BB97*(1+INDEX($Q97:$AJ97,1,(BC$4-1)*5+1))</f>
        <v/>
      </c>
      <c r="BD97" s="22">
        <f>BC97*(1+INDEX($Q97:$AJ97,1,(BD$4-1)*5+1))</f>
        <v/>
      </c>
      <c r="BE97" s="22">
        <f>BD97*(1+INDEX($Q97:$AJ97,1,(BE$4-1)*5+1))</f>
        <v/>
      </c>
      <c r="BF97" s="22">
        <f>BE97*(1+INDEX($Q97:$AJ97,1,(BF$4-1)*5+1))</f>
        <v/>
      </c>
      <c r="BG97" s="22">
        <f>BF97*(1+INDEX($Q97:$AJ97,1,(BG$4-1)*5+1))</f>
        <v/>
      </c>
      <c r="BH97" s="22">
        <f>BG97*(1+INDEX($Q97:$AJ97,1,(BH$4-1)*5+1))</f>
        <v/>
      </c>
      <c r="BI97" s="22">
        <f>BH97*(1+INDEX($Q97:$AJ97,1,(BI$4-1)*5+1))</f>
        <v/>
      </c>
      <c r="BJ97" s="22">
        <f>BI97*(1+INDEX($Q97:$AJ97,1,(BJ$4-1)*5+1))</f>
        <v/>
      </c>
      <c r="BK97" s="22">
        <f>BJ97*(1+INDEX($Q97:$AJ97,1,(BK$4-1)*5+1))</f>
        <v/>
      </c>
      <c r="BL97" s="22">
        <f>BK97*(1+INDEX($Q97:$AJ97,1,(BL$4-1)*5+1))</f>
        <v/>
      </c>
      <c r="BM97" s="22">
        <f>BL97*(1+INDEX($Q97:$AJ97,1,(BM$4-1)*5+1))</f>
        <v/>
      </c>
      <c r="BN97" s="22">
        <f>BM97*(1+INDEX($Q97:$AJ97,1,(BN$4-1)*5+1))</f>
        <v/>
      </c>
    </row>
    <row r="98">
      <c r="B98" s="5" t="inlineStr">
        <is>
          <t>bio</t>
        </is>
      </c>
      <c r="C98" s="5" t="inlineStr">
        <is>
          <t>mac</t>
        </is>
      </c>
      <c r="D98" s="5" t="inlineStr">
        <is>
          <t>Pre-tax price | Machinery | Biomass</t>
        </is>
      </c>
      <c r="E98" s="5" t="inlineStr">
        <is>
          <t>$/GJ</t>
        </is>
      </c>
      <c r="F98" s="5" t="inlineStr">
        <is>
          <t>Prices_dom (base year), then growth</t>
        </is>
      </c>
      <c r="G98" s="19" t="inlineStr">
        <is>
          <t>mit.sp.bio</t>
        </is>
      </c>
      <c r="H98" s="19" t="inlineStr">
        <is>
          <t>mit.pbt.bio.mac</t>
        </is>
      </c>
      <c r="J98" s="5">
        <f>INDEX(Mapping!$C$5:$C$20,MATCH($C98,Mapping!$A$5:$A$20,0))</f>
        <v/>
      </c>
      <c r="K98" s="5">
        <f>INDEX(Mapping!$D$5:$D$20,MATCH($C98,Mapping!$A$5:$A$20,0))</f>
        <v/>
      </c>
      <c r="L98" s="5">
        <f>INDEX(Mapping!$C$24:$C$31,MATCH($B98,Mapping!$A$24:$A$31,0))</f>
        <v/>
      </c>
      <c r="M98" s="5">
        <f>INDEX(Mapping!$D$24:$D$31,MATCH($B98,Mapping!$A$24:$A$31,0))</f>
        <v/>
      </c>
      <c r="N98" s="5">
        <f>$B98&amp;"."&amp;IF(INDEX(Mapping!$E$24:$E$31,MATCH($B98,Mapping!$A$24:$A$31,0))="sub",INDEX(Mapping!$F$5:$F$20,MATCH($C98,Mapping!$A$5:$A$20,0)),"all")</f>
        <v/>
      </c>
      <c r="O98" s="5">
        <f>INDEX(Mapping!$E$5:$E$20,MATCH($C98,Mapping!$A$5:$A$20,0))</f>
        <v/>
      </c>
      <c r="P98" s="5">
        <f>INDEX(Mapping!$G$24:$G$31,MATCH($B98,Mapping!$A$24:$A$31,0))</f>
        <v/>
      </c>
      <c r="Q98" s="20" t="n">
        <v>0</v>
      </c>
      <c r="R98" s="21" t="n"/>
      <c r="S98" s="21" t="n"/>
      <c r="T98" s="21" t="n"/>
      <c r="U98" s="21" t="n"/>
      <c r="V98" s="22">
        <f>Q98</f>
        <v/>
      </c>
      <c r="W98" s="21" t="n"/>
      <c r="X98" s="21" t="n"/>
      <c r="Y98" s="21" t="n"/>
      <c r="Z98" s="21" t="n"/>
      <c r="AA98" s="22">
        <f>Q98</f>
        <v/>
      </c>
      <c r="AB98" s="21" t="n"/>
      <c r="AC98" s="21" t="n"/>
      <c r="AD98" s="21" t="n"/>
      <c r="AE98" s="21" t="n"/>
      <c r="AF98" s="22">
        <f>Q98</f>
        <v/>
      </c>
      <c r="AG98" s="21" t="n"/>
      <c r="AH98" s="21" t="n"/>
      <c r="AI98" s="21" t="n"/>
      <c r="AJ98" s="21" t="n"/>
      <c r="AL98" s="23">
        <f>INDEX(Prices_dom!$A$6:$CU$2000,MATCH(Settings!$C$4&amp;AL$5,Prices_dom!$A$6:$A$2000,0),MATCH("mit.sp."&amp;$N98,Prices_dom!$A$5:$CU$5,0))/$P98</f>
        <v/>
      </c>
      <c r="AM98" s="22">
        <f>AL98*(1+INDEX($Q98:$AJ98,1,(AM$4-1)*5+1))</f>
        <v/>
      </c>
      <c r="AN98" s="22">
        <f>AM98*(1+INDEX($Q98:$AJ98,1,(AN$4-1)*5+1))</f>
        <v/>
      </c>
      <c r="AO98" s="22">
        <f>AN98*(1+INDEX($Q98:$AJ98,1,(AO$4-1)*5+1))</f>
        <v/>
      </c>
      <c r="AP98" s="22">
        <f>AO98*(1+INDEX($Q98:$AJ98,1,(AP$4-1)*5+1))</f>
        <v/>
      </c>
      <c r="AQ98" s="22">
        <f>AP98*(1+INDEX($Q98:$AJ98,1,(AQ$4-1)*5+1))</f>
        <v/>
      </c>
      <c r="AR98" s="22">
        <f>AQ98*(1+INDEX($Q98:$AJ98,1,(AR$4-1)*5+1))</f>
        <v/>
      </c>
      <c r="AS98" s="22">
        <f>AR98*(1+INDEX($Q98:$AJ98,1,(AS$4-1)*5+1))</f>
        <v/>
      </c>
      <c r="AT98" s="22">
        <f>AS98*(1+INDEX($Q98:$AJ98,1,(AT$4-1)*5+1))</f>
        <v/>
      </c>
      <c r="AU98" s="22">
        <f>AT98*(1+INDEX($Q98:$AJ98,1,(AU$4-1)*5+1))</f>
        <v/>
      </c>
      <c r="AV98" s="22">
        <f>AU98*(1+INDEX($Q98:$AJ98,1,(AV$4-1)*5+1))</f>
        <v/>
      </c>
      <c r="AW98" s="22">
        <f>AV98*(1+INDEX($Q98:$AJ98,1,(AW$4-1)*5+1))</f>
        <v/>
      </c>
      <c r="AX98" s="22">
        <f>AW98*(1+INDEX($Q98:$AJ98,1,(AX$4-1)*5+1))</f>
        <v/>
      </c>
      <c r="AY98" s="22">
        <f>AX98*(1+INDEX($Q98:$AJ98,1,(AY$4-1)*5+1))</f>
        <v/>
      </c>
      <c r="BA98" s="23">
        <f>INDEX(Prices_dom!$A$6:$CU$2000,MATCH(Settings!$C$4&amp;BA$5,Prices_dom!$A$6:$A$2000,0),MATCH("mit.sp."&amp;$N98,Prices_dom!$A$5:$CU$5,0))/$P98</f>
        <v/>
      </c>
      <c r="BB98" s="22">
        <f>BA98*(1+INDEX($Q98:$AJ98,1,(BB$4-1)*5+1))</f>
        <v/>
      </c>
      <c r="BC98" s="22">
        <f>BB98*(1+INDEX($Q98:$AJ98,1,(BC$4-1)*5+1))</f>
        <v/>
      </c>
      <c r="BD98" s="22">
        <f>BC98*(1+INDEX($Q98:$AJ98,1,(BD$4-1)*5+1))</f>
        <v/>
      </c>
      <c r="BE98" s="22">
        <f>BD98*(1+INDEX($Q98:$AJ98,1,(BE$4-1)*5+1))</f>
        <v/>
      </c>
      <c r="BF98" s="22">
        <f>BE98*(1+INDEX($Q98:$AJ98,1,(BF$4-1)*5+1))</f>
        <v/>
      </c>
      <c r="BG98" s="22">
        <f>BF98*(1+INDEX($Q98:$AJ98,1,(BG$4-1)*5+1))</f>
        <v/>
      </c>
      <c r="BH98" s="22">
        <f>BG98*(1+INDEX($Q98:$AJ98,1,(BH$4-1)*5+1))</f>
        <v/>
      </c>
      <c r="BI98" s="22">
        <f>BH98*(1+INDEX($Q98:$AJ98,1,(BI$4-1)*5+1))</f>
        <v/>
      </c>
      <c r="BJ98" s="22">
        <f>BI98*(1+INDEX($Q98:$AJ98,1,(BJ$4-1)*5+1))</f>
        <v/>
      </c>
      <c r="BK98" s="22">
        <f>BJ98*(1+INDEX($Q98:$AJ98,1,(BK$4-1)*5+1))</f>
        <v/>
      </c>
      <c r="BL98" s="22">
        <f>BK98*(1+INDEX($Q98:$AJ98,1,(BL$4-1)*5+1))</f>
        <v/>
      </c>
      <c r="BM98" s="22">
        <f>BL98*(1+INDEX($Q98:$AJ98,1,(BM$4-1)*5+1))</f>
        <v/>
      </c>
      <c r="BN98" s="22">
        <f>BM98*(1+INDEX($Q98:$AJ98,1,(BN$4-1)*5+1))</f>
        <v/>
      </c>
    </row>
    <row r="99">
      <c r="B99" s="5" t="inlineStr">
        <is>
          <t>coa</t>
        </is>
      </c>
      <c r="C99" s="5" t="inlineStr">
        <is>
          <t>cem</t>
        </is>
      </c>
      <c r="D99" s="5" t="inlineStr">
        <is>
          <t>Pre-tax price | Cement | Coal</t>
        </is>
      </c>
      <c r="E99" s="5" t="inlineStr">
        <is>
          <t>$/GJ</t>
        </is>
      </c>
      <c r="F99" s="5" t="inlineStr">
        <is>
          <t>Prices_dom (base year), then growth</t>
        </is>
      </c>
      <c r="G99" s="19" t="inlineStr">
        <is>
          <t>mit.sp.coa</t>
        </is>
      </c>
      <c r="H99" s="19" t="inlineStr">
        <is>
          <t>mit.pbt.coa.cem</t>
        </is>
      </c>
      <c r="J99" s="5">
        <f>INDEX(Mapping!$C$5:$C$20,MATCH($C99,Mapping!$A$5:$A$20,0))</f>
        <v/>
      </c>
      <c r="K99" s="5">
        <f>INDEX(Mapping!$D$5:$D$20,MATCH($C99,Mapping!$A$5:$A$20,0))</f>
        <v/>
      </c>
      <c r="L99" s="5">
        <f>INDEX(Mapping!$C$24:$C$31,MATCH($B99,Mapping!$A$24:$A$31,0))</f>
        <v/>
      </c>
      <c r="M99" s="5">
        <f>INDEX(Mapping!$D$24:$D$31,MATCH($B99,Mapping!$A$24:$A$31,0))</f>
        <v/>
      </c>
      <c r="N99" s="5">
        <f>$B99&amp;"."&amp;IF(INDEX(Mapping!$E$24:$E$31,MATCH($B99,Mapping!$A$24:$A$31,0))="sub",INDEX(Mapping!$F$5:$F$20,MATCH($C99,Mapping!$A$5:$A$20,0)),"all")</f>
        <v/>
      </c>
      <c r="O99" s="5">
        <f>INDEX(Mapping!$E$5:$E$20,MATCH($C99,Mapping!$A$5:$A$20,0))</f>
        <v/>
      </c>
      <c r="P99" s="5">
        <f>INDEX(Mapping!$G$24:$G$31,MATCH($B99,Mapping!$A$24:$A$31,0))</f>
        <v/>
      </c>
      <c r="Q99" s="20" t="n">
        <v>0</v>
      </c>
      <c r="R99" s="21" t="n"/>
      <c r="S99" s="21" t="n"/>
      <c r="T99" s="21" t="n"/>
      <c r="U99" s="21" t="n"/>
      <c r="V99" s="22">
        <f>Q99</f>
        <v/>
      </c>
      <c r="W99" s="21" t="n"/>
      <c r="X99" s="21" t="n"/>
      <c r="Y99" s="21" t="n"/>
      <c r="Z99" s="21" t="n"/>
      <c r="AA99" s="22">
        <f>Q99</f>
        <v/>
      </c>
      <c r="AB99" s="21" t="n"/>
      <c r="AC99" s="21" t="n"/>
      <c r="AD99" s="21" t="n"/>
      <c r="AE99" s="21" t="n"/>
      <c r="AF99" s="22">
        <f>Q99</f>
        <v/>
      </c>
      <c r="AG99" s="21" t="n"/>
      <c r="AH99" s="21" t="n"/>
      <c r="AI99" s="21" t="n"/>
      <c r="AJ99" s="21" t="n"/>
      <c r="AL99" s="23">
        <f>INDEX(Prices_dom!$A$6:$CU$2000,MATCH(Settings!$C$4&amp;AL$5,Prices_dom!$A$6:$A$2000,0),MATCH("mit.sp."&amp;$N99,Prices_dom!$A$5:$CU$5,0))/$P99</f>
        <v/>
      </c>
      <c r="AM99" s="22">
        <f>AL99*(1+INDEX($Q99:$AJ99,1,(AM$4-1)*5+1))</f>
        <v/>
      </c>
      <c r="AN99" s="22">
        <f>AM99*(1+INDEX($Q99:$AJ99,1,(AN$4-1)*5+1))</f>
        <v/>
      </c>
      <c r="AO99" s="22">
        <f>AN99*(1+INDEX($Q99:$AJ99,1,(AO$4-1)*5+1))</f>
        <v/>
      </c>
      <c r="AP99" s="22">
        <f>AO99*(1+INDEX($Q99:$AJ99,1,(AP$4-1)*5+1))</f>
        <v/>
      </c>
      <c r="AQ99" s="22">
        <f>AP99*(1+INDEX($Q99:$AJ99,1,(AQ$4-1)*5+1))</f>
        <v/>
      </c>
      <c r="AR99" s="22">
        <f>AQ99*(1+INDEX($Q99:$AJ99,1,(AR$4-1)*5+1))</f>
        <v/>
      </c>
      <c r="AS99" s="22">
        <f>AR99*(1+INDEX($Q99:$AJ99,1,(AS$4-1)*5+1))</f>
        <v/>
      </c>
      <c r="AT99" s="22">
        <f>AS99*(1+INDEX($Q99:$AJ99,1,(AT$4-1)*5+1))</f>
        <v/>
      </c>
      <c r="AU99" s="22">
        <f>AT99*(1+INDEX($Q99:$AJ99,1,(AU$4-1)*5+1))</f>
        <v/>
      </c>
      <c r="AV99" s="22">
        <f>AU99*(1+INDEX($Q99:$AJ99,1,(AV$4-1)*5+1))</f>
        <v/>
      </c>
      <c r="AW99" s="22">
        <f>AV99*(1+INDEX($Q99:$AJ99,1,(AW$4-1)*5+1))</f>
        <v/>
      </c>
      <c r="AX99" s="22">
        <f>AW99*(1+INDEX($Q99:$AJ99,1,(AX$4-1)*5+1))</f>
        <v/>
      </c>
      <c r="AY99" s="22">
        <f>AX99*(1+INDEX($Q99:$AJ99,1,(AY$4-1)*5+1))</f>
        <v/>
      </c>
      <c r="BA99" s="23">
        <f>INDEX(Prices_dom!$A$6:$CU$2000,MATCH(Settings!$C$4&amp;BA$5,Prices_dom!$A$6:$A$2000,0),MATCH("mit.sp."&amp;$N99,Prices_dom!$A$5:$CU$5,0))/$P99</f>
        <v/>
      </c>
      <c r="BB99" s="22">
        <f>BA99*(1+INDEX($Q99:$AJ99,1,(BB$4-1)*5+1))</f>
        <v/>
      </c>
      <c r="BC99" s="22">
        <f>BB99*(1+INDEX($Q99:$AJ99,1,(BC$4-1)*5+1))</f>
        <v/>
      </c>
      <c r="BD99" s="22">
        <f>BC99*(1+INDEX($Q99:$AJ99,1,(BD$4-1)*5+1))</f>
        <v/>
      </c>
      <c r="BE99" s="22">
        <f>BD99*(1+INDEX($Q99:$AJ99,1,(BE$4-1)*5+1))</f>
        <v/>
      </c>
      <c r="BF99" s="22">
        <f>BE99*(1+INDEX($Q99:$AJ99,1,(BF$4-1)*5+1))</f>
        <v/>
      </c>
      <c r="BG99" s="22">
        <f>BF99*(1+INDEX($Q99:$AJ99,1,(BG$4-1)*5+1))</f>
        <v/>
      </c>
      <c r="BH99" s="22">
        <f>BG99*(1+INDEX($Q99:$AJ99,1,(BH$4-1)*5+1))</f>
        <v/>
      </c>
      <c r="BI99" s="22">
        <f>BH99*(1+INDEX($Q99:$AJ99,1,(BI$4-1)*5+1))</f>
        <v/>
      </c>
      <c r="BJ99" s="22">
        <f>BI99*(1+INDEX($Q99:$AJ99,1,(BJ$4-1)*5+1))</f>
        <v/>
      </c>
      <c r="BK99" s="22">
        <f>BJ99*(1+INDEX($Q99:$AJ99,1,(BK$4-1)*5+1))</f>
        <v/>
      </c>
      <c r="BL99" s="22">
        <f>BK99*(1+INDEX($Q99:$AJ99,1,(BL$4-1)*5+1))</f>
        <v/>
      </c>
      <c r="BM99" s="22">
        <f>BL99*(1+INDEX($Q99:$AJ99,1,(BM$4-1)*5+1))</f>
        <v/>
      </c>
      <c r="BN99" s="22">
        <f>BM99*(1+INDEX($Q99:$AJ99,1,(BN$4-1)*5+1))</f>
        <v/>
      </c>
    </row>
    <row r="100">
      <c r="B100" s="5" t="inlineStr">
        <is>
          <t>nga</t>
        </is>
      </c>
      <c r="C100" s="5" t="inlineStr">
        <is>
          <t>cem</t>
        </is>
      </c>
      <c r="D100" s="5" t="inlineStr">
        <is>
          <t>Pre-tax price | Cement | Natural gas</t>
        </is>
      </c>
      <c r="E100" s="5" t="inlineStr">
        <is>
          <t>$/GJ</t>
        </is>
      </c>
      <c r="F100" s="5" t="inlineStr">
        <is>
          <t>Prices_dom (base year), then growth</t>
        </is>
      </c>
      <c r="G100" s="19" t="inlineStr">
        <is>
          <t>mit.sp.nga</t>
        </is>
      </c>
      <c r="H100" s="19" t="inlineStr">
        <is>
          <t>mit.pbt.nga.cem</t>
        </is>
      </c>
      <c r="J100" s="5">
        <f>INDEX(Mapping!$C$5:$C$20,MATCH($C100,Mapping!$A$5:$A$20,0))</f>
        <v/>
      </c>
      <c r="K100" s="5">
        <f>INDEX(Mapping!$D$5:$D$20,MATCH($C100,Mapping!$A$5:$A$20,0))</f>
        <v/>
      </c>
      <c r="L100" s="5">
        <f>INDEX(Mapping!$C$24:$C$31,MATCH($B100,Mapping!$A$24:$A$31,0))</f>
        <v/>
      </c>
      <c r="M100" s="5">
        <f>INDEX(Mapping!$D$24:$D$31,MATCH($B100,Mapping!$A$24:$A$31,0))</f>
        <v/>
      </c>
      <c r="N100" s="5">
        <f>$B100&amp;"."&amp;IF(INDEX(Mapping!$E$24:$E$31,MATCH($B100,Mapping!$A$24:$A$31,0))="sub",INDEX(Mapping!$F$5:$F$20,MATCH($C100,Mapping!$A$5:$A$20,0)),"all")</f>
        <v/>
      </c>
      <c r="O100" s="5">
        <f>INDEX(Mapping!$E$5:$E$20,MATCH($C100,Mapping!$A$5:$A$20,0))</f>
        <v/>
      </c>
      <c r="P100" s="5">
        <f>INDEX(Mapping!$G$24:$G$31,MATCH($B100,Mapping!$A$24:$A$31,0))</f>
        <v/>
      </c>
      <c r="Q100" s="20" t="n">
        <v>0</v>
      </c>
      <c r="R100" s="21" t="n"/>
      <c r="S100" s="21" t="n"/>
      <c r="T100" s="21" t="n"/>
      <c r="U100" s="21" t="n"/>
      <c r="V100" s="22">
        <f>Q100</f>
        <v/>
      </c>
      <c r="W100" s="21" t="n"/>
      <c r="X100" s="21" t="n"/>
      <c r="Y100" s="21" t="n"/>
      <c r="Z100" s="21" t="n"/>
      <c r="AA100" s="22">
        <f>Q100</f>
        <v/>
      </c>
      <c r="AB100" s="21" t="n"/>
      <c r="AC100" s="21" t="n"/>
      <c r="AD100" s="21" t="n"/>
      <c r="AE100" s="21" t="n"/>
      <c r="AF100" s="22">
        <f>Q100</f>
        <v/>
      </c>
      <c r="AG100" s="21" t="n"/>
      <c r="AH100" s="21" t="n"/>
      <c r="AI100" s="21" t="n"/>
      <c r="AJ100" s="21" t="n"/>
      <c r="AL100" s="23">
        <f>INDEX(Prices_dom!$A$6:$CU$2000,MATCH(Settings!$C$4&amp;AL$5,Prices_dom!$A$6:$A$2000,0),MATCH("mit.sp."&amp;$N100,Prices_dom!$A$5:$CU$5,0))/$P100</f>
        <v/>
      </c>
      <c r="AM100" s="22">
        <f>AL100*(1+INDEX($Q100:$AJ100,1,(AM$4-1)*5+1))</f>
        <v/>
      </c>
      <c r="AN100" s="22">
        <f>AM100*(1+INDEX($Q100:$AJ100,1,(AN$4-1)*5+1))</f>
        <v/>
      </c>
      <c r="AO100" s="22">
        <f>AN100*(1+INDEX($Q100:$AJ100,1,(AO$4-1)*5+1))</f>
        <v/>
      </c>
      <c r="AP100" s="22">
        <f>AO100*(1+INDEX($Q100:$AJ100,1,(AP$4-1)*5+1))</f>
        <v/>
      </c>
      <c r="AQ100" s="22">
        <f>AP100*(1+INDEX($Q100:$AJ100,1,(AQ$4-1)*5+1))</f>
        <v/>
      </c>
      <c r="AR100" s="22">
        <f>AQ100*(1+INDEX($Q100:$AJ100,1,(AR$4-1)*5+1))</f>
        <v/>
      </c>
      <c r="AS100" s="22">
        <f>AR100*(1+INDEX($Q100:$AJ100,1,(AS$4-1)*5+1))</f>
        <v/>
      </c>
      <c r="AT100" s="22">
        <f>AS100*(1+INDEX($Q100:$AJ100,1,(AT$4-1)*5+1))</f>
        <v/>
      </c>
      <c r="AU100" s="22">
        <f>AT100*(1+INDEX($Q100:$AJ100,1,(AU$4-1)*5+1))</f>
        <v/>
      </c>
      <c r="AV100" s="22">
        <f>AU100*(1+INDEX($Q100:$AJ100,1,(AV$4-1)*5+1))</f>
        <v/>
      </c>
      <c r="AW100" s="22">
        <f>AV100*(1+INDEX($Q100:$AJ100,1,(AW$4-1)*5+1))</f>
        <v/>
      </c>
      <c r="AX100" s="22">
        <f>AW100*(1+INDEX($Q100:$AJ100,1,(AX$4-1)*5+1))</f>
        <v/>
      </c>
      <c r="AY100" s="22">
        <f>AX100*(1+INDEX($Q100:$AJ100,1,(AY$4-1)*5+1))</f>
        <v/>
      </c>
      <c r="BA100" s="23">
        <f>INDEX(Prices_dom!$A$6:$CU$2000,MATCH(Settings!$C$4&amp;BA$5,Prices_dom!$A$6:$A$2000,0),MATCH("mit.sp."&amp;$N100,Prices_dom!$A$5:$CU$5,0))/$P100</f>
        <v/>
      </c>
      <c r="BB100" s="22">
        <f>BA100*(1+INDEX($Q100:$AJ100,1,(BB$4-1)*5+1))</f>
        <v/>
      </c>
      <c r="BC100" s="22">
        <f>BB100*(1+INDEX($Q100:$AJ100,1,(BC$4-1)*5+1))</f>
        <v/>
      </c>
      <c r="BD100" s="22">
        <f>BC100*(1+INDEX($Q100:$AJ100,1,(BD$4-1)*5+1))</f>
        <v/>
      </c>
      <c r="BE100" s="22">
        <f>BD100*(1+INDEX($Q100:$AJ100,1,(BE$4-1)*5+1))</f>
        <v/>
      </c>
      <c r="BF100" s="22">
        <f>BE100*(1+INDEX($Q100:$AJ100,1,(BF$4-1)*5+1))</f>
        <v/>
      </c>
      <c r="BG100" s="22">
        <f>BF100*(1+INDEX($Q100:$AJ100,1,(BG$4-1)*5+1))</f>
        <v/>
      </c>
      <c r="BH100" s="22">
        <f>BG100*(1+INDEX($Q100:$AJ100,1,(BH$4-1)*5+1))</f>
        <v/>
      </c>
      <c r="BI100" s="22">
        <f>BH100*(1+INDEX($Q100:$AJ100,1,(BI$4-1)*5+1))</f>
        <v/>
      </c>
      <c r="BJ100" s="22">
        <f>BI100*(1+INDEX($Q100:$AJ100,1,(BJ$4-1)*5+1))</f>
        <v/>
      </c>
      <c r="BK100" s="22">
        <f>BJ100*(1+INDEX($Q100:$AJ100,1,(BK$4-1)*5+1))</f>
        <v/>
      </c>
      <c r="BL100" s="22">
        <f>BK100*(1+INDEX($Q100:$AJ100,1,(BL$4-1)*5+1))</f>
        <v/>
      </c>
      <c r="BM100" s="22">
        <f>BL100*(1+INDEX($Q100:$AJ100,1,(BM$4-1)*5+1))</f>
        <v/>
      </c>
      <c r="BN100" s="22">
        <f>BM100*(1+INDEX($Q100:$AJ100,1,(BN$4-1)*5+1))</f>
        <v/>
      </c>
    </row>
    <row r="101">
      <c r="B101" s="5" t="inlineStr">
        <is>
          <t>gso</t>
        </is>
      </c>
      <c r="C101" s="5" t="inlineStr">
        <is>
          <t>cem</t>
        </is>
      </c>
      <c r="D101" s="5" t="inlineStr">
        <is>
          <t>Pre-tax price | Cement | Gasoline</t>
        </is>
      </c>
      <c r="E101" s="5" t="inlineStr">
        <is>
          <t>$/GJ</t>
        </is>
      </c>
      <c r="F101" s="5" t="inlineStr">
        <is>
          <t>Prices_dom (base year), then growth</t>
        </is>
      </c>
      <c r="G101" s="19" t="inlineStr">
        <is>
          <t>mit.sp.gso</t>
        </is>
      </c>
      <c r="H101" s="19" t="inlineStr">
        <is>
          <t>mit.pbt.gso.cem</t>
        </is>
      </c>
      <c r="J101" s="5">
        <f>INDEX(Mapping!$C$5:$C$20,MATCH($C101,Mapping!$A$5:$A$20,0))</f>
        <v/>
      </c>
      <c r="K101" s="5">
        <f>INDEX(Mapping!$D$5:$D$20,MATCH($C101,Mapping!$A$5:$A$20,0))</f>
        <v/>
      </c>
      <c r="L101" s="5">
        <f>INDEX(Mapping!$C$24:$C$31,MATCH($B101,Mapping!$A$24:$A$31,0))</f>
        <v/>
      </c>
      <c r="M101" s="5">
        <f>INDEX(Mapping!$D$24:$D$31,MATCH($B101,Mapping!$A$24:$A$31,0))</f>
        <v/>
      </c>
      <c r="N101" s="5">
        <f>$B101&amp;"."&amp;IF(INDEX(Mapping!$E$24:$E$31,MATCH($B101,Mapping!$A$24:$A$31,0))="sub",INDEX(Mapping!$F$5:$F$20,MATCH($C101,Mapping!$A$5:$A$20,0)),"all")</f>
        <v/>
      </c>
      <c r="O101" s="5">
        <f>INDEX(Mapping!$E$5:$E$20,MATCH($C101,Mapping!$A$5:$A$20,0))</f>
        <v/>
      </c>
      <c r="P101" s="5">
        <f>INDEX(Mapping!$G$24:$G$31,MATCH($B101,Mapping!$A$24:$A$31,0))</f>
        <v/>
      </c>
      <c r="Q101" s="20" t="n">
        <v>0</v>
      </c>
      <c r="R101" s="21" t="n"/>
      <c r="S101" s="21" t="n"/>
      <c r="T101" s="21" t="n"/>
      <c r="U101" s="21" t="n"/>
      <c r="V101" s="22">
        <f>Q101</f>
        <v/>
      </c>
      <c r="W101" s="21" t="n"/>
      <c r="X101" s="21" t="n"/>
      <c r="Y101" s="21" t="n"/>
      <c r="Z101" s="21" t="n"/>
      <c r="AA101" s="22">
        <f>Q101</f>
        <v/>
      </c>
      <c r="AB101" s="21" t="n"/>
      <c r="AC101" s="21" t="n"/>
      <c r="AD101" s="21" t="n"/>
      <c r="AE101" s="21" t="n"/>
      <c r="AF101" s="22">
        <f>Q101</f>
        <v/>
      </c>
      <c r="AG101" s="21" t="n"/>
      <c r="AH101" s="21" t="n"/>
      <c r="AI101" s="21" t="n"/>
      <c r="AJ101" s="21" t="n"/>
      <c r="AL101" s="23">
        <f>INDEX(Prices_dom!$A$6:$CU$2000,MATCH(Settings!$C$4&amp;AL$5,Prices_dom!$A$6:$A$2000,0),MATCH("mit.sp."&amp;$N101,Prices_dom!$A$5:$CU$5,0))/$P101</f>
        <v/>
      </c>
      <c r="AM101" s="22">
        <f>AL101*(1+INDEX($Q101:$AJ101,1,(AM$4-1)*5+1))</f>
        <v/>
      </c>
      <c r="AN101" s="22">
        <f>AM101*(1+INDEX($Q101:$AJ101,1,(AN$4-1)*5+1))</f>
        <v/>
      </c>
      <c r="AO101" s="22">
        <f>AN101*(1+INDEX($Q101:$AJ101,1,(AO$4-1)*5+1))</f>
        <v/>
      </c>
      <c r="AP101" s="22">
        <f>AO101*(1+INDEX($Q101:$AJ101,1,(AP$4-1)*5+1))</f>
        <v/>
      </c>
      <c r="AQ101" s="22">
        <f>AP101*(1+INDEX($Q101:$AJ101,1,(AQ$4-1)*5+1))</f>
        <v/>
      </c>
      <c r="AR101" s="22">
        <f>AQ101*(1+INDEX($Q101:$AJ101,1,(AR$4-1)*5+1))</f>
        <v/>
      </c>
      <c r="AS101" s="22">
        <f>AR101*(1+INDEX($Q101:$AJ101,1,(AS$4-1)*5+1))</f>
        <v/>
      </c>
      <c r="AT101" s="22">
        <f>AS101*(1+INDEX($Q101:$AJ101,1,(AT$4-1)*5+1))</f>
        <v/>
      </c>
      <c r="AU101" s="22">
        <f>AT101*(1+INDEX($Q101:$AJ101,1,(AU$4-1)*5+1))</f>
        <v/>
      </c>
      <c r="AV101" s="22">
        <f>AU101*(1+INDEX($Q101:$AJ101,1,(AV$4-1)*5+1))</f>
        <v/>
      </c>
      <c r="AW101" s="22">
        <f>AV101*(1+INDEX($Q101:$AJ101,1,(AW$4-1)*5+1))</f>
        <v/>
      </c>
      <c r="AX101" s="22">
        <f>AW101*(1+INDEX($Q101:$AJ101,1,(AX$4-1)*5+1))</f>
        <v/>
      </c>
      <c r="AY101" s="22">
        <f>AX101*(1+INDEX($Q101:$AJ101,1,(AY$4-1)*5+1))</f>
        <v/>
      </c>
      <c r="BA101" s="23">
        <f>INDEX(Prices_dom!$A$6:$CU$2000,MATCH(Settings!$C$4&amp;BA$5,Prices_dom!$A$6:$A$2000,0),MATCH("mit.sp."&amp;$N101,Prices_dom!$A$5:$CU$5,0))/$P101</f>
        <v/>
      </c>
      <c r="BB101" s="22">
        <f>BA101*(1+INDEX($Q101:$AJ101,1,(BB$4-1)*5+1))</f>
        <v/>
      </c>
      <c r="BC101" s="22">
        <f>BB101*(1+INDEX($Q101:$AJ101,1,(BC$4-1)*5+1))</f>
        <v/>
      </c>
      <c r="BD101" s="22">
        <f>BC101*(1+INDEX($Q101:$AJ101,1,(BD$4-1)*5+1))</f>
        <v/>
      </c>
      <c r="BE101" s="22">
        <f>BD101*(1+INDEX($Q101:$AJ101,1,(BE$4-1)*5+1))</f>
        <v/>
      </c>
      <c r="BF101" s="22">
        <f>BE101*(1+INDEX($Q101:$AJ101,1,(BF$4-1)*5+1))</f>
        <v/>
      </c>
      <c r="BG101" s="22">
        <f>BF101*(1+INDEX($Q101:$AJ101,1,(BG$4-1)*5+1))</f>
        <v/>
      </c>
      <c r="BH101" s="22">
        <f>BG101*(1+INDEX($Q101:$AJ101,1,(BH$4-1)*5+1))</f>
        <v/>
      </c>
      <c r="BI101" s="22">
        <f>BH101*(1+INDEX($Q101:$AJ101,1,(BI$4-1)*5+1))</f>
        <v/>
      </c>
      <c r="BJ101" s="22">
        <f>BI101*(1+INDEX($Q101:$AJ101,1,(BJ$4-1)*5+1))</f>
        <v/>
      </c>
      <c r="BK101" s="22">
        <f>BJ101*(1+INDEX($Q101:$AJ101,1,(BK$4-1)*5+1))</f>
        <v/>
      </c>
      <c r="BL101" s="22">
        <f>BK101*(1+INDEX($Q101:$AJ101,1,(BL$4-1)*5+1))</f>
        <v/>
      </c>
      <c r="BM101" s="22">
        <f>BL101*(1+INDEX($Q101:$AJ101,1,(BM$4-1)*5+1))</f>
        <v/>
      </c>
      <c r="BN101" s="22">
        <f>BM101*(1+INDEX($Q101:$AJ101,1,(BN$4-1)*5+1))</f>
        <v/>
      </c>
    </row>
    <row r="102">
      <c r="B102" s="5" t="inlineStr">
        <is>
          <t>die</t>
        </is>
      </c>
      <c r="C102" s="5" t="inlineStr">
        <is>
          <t>cem</t>
        </is>
      </c>
      <c r="D102" s="5" t="inlineStr">
        <is>
          <t>Pre-tax price | Cement | Diesel</t>
        </is>
      </c>
      <c r="E102" s="5" t="inlineStr">
        <is>
          <t>$/GJ</t>
        </is>
      </c>
      <c r="F102" s="5" t="inlineStr">
        <is>
          <t>Prices_dom (base year), then growth</t>
        </is>
      </c>
      <c r="G102" s="19" t="inlineStr">
        <is>
          <t>mit.sp.die</t>
        </is>
      </c>
      <c r="H102" s="19" t="inlineStr">
        <is>
          <t>mit.pbt.die.cem</t>
        </is>
      </c>
      <c r="J102" s="5">
        <f>INDEX(Mapping!$C$5:$C$20,MATCH($C102,Mapping!$A$5:$A$20,0))</f>
        <v/>
      </c>
      <c r="K102" s="5">
        <f>INDEX(Mapping!$D$5:$D$20,MATCH($C102,Mapping!$A$5:$A$20,0))</f>
        <v/>
      </c>
      <c r="L102" s="5">
        <f>INDEX(Mapping!$C$24:$C$31,MATCH($B102,Mapping!$A$24:$A$31,0))</f>
        <v/>
      </c>
      <c r="M102" s="5">
        <f>INDEX(Mapping!$D$24:$D$31,MATCH($B102,Mapping!$A$24:$A$31,0))</f>
        <v/>
      </c>
      <c r="N102" s="5">
        <f>$B102&amp;"."&amp;IF(INDEX(Mapping!$E$24:$E$31,MATCH($B102,Mapping!$A$24:$A$31,0))="sub",INDEX(Mapping!$F$5:$F$20,MATCH($C102,Mapping!$A$5:$A$20,0)),"all")</f>
        <v/>
      </c>
      <c r="O102" s="5">
        <f>INDEX(Mapping!$E$5:$E$20,MATCH($C102,Mapping!$A$5:$A$20,0))</f>
        <v/>
      </c>
      <c r="P102" s="5">
        <f>INDEX(Mapping!$G$24:$G$31,MATCH($B102,Mapping!$A$24:$A$31,0))</f>
        <v/>
      </c>
      <c r="Q102" s="20" t="n">
        <v>0</v>
      </c>
      <c r="R102" s="21" t="n"/>
      <c r="S102" s="21" t="n"/>
      <c r="T102" s="21" t="n"/>
      <c r="U102" s="21" t="n"/>
      <c r="V102" s="22">
        <f>Q102</f>
        <v/>
      </c>
      <c r="W102" s="21" t="n"/>
      <c r="X102" s="21" t="n"/>
      <c r="Y102" s="21" t="n"/>
      <c r="Z102" s="21" t="n"/>
      <c r="AA102" s="22">
        <f>Q102</f>
        <v/>
      </c>
      <c r="AB102" s="21" t="n"/>
      <c r="AC102" s="21" t="n"/>
      <c r="AD102" s="21" t="n"/>
      <c r="AE102" s="21" t="n"/>
      <c r="AF102" s="22">
        <f>Q102</f>
        <v/>
      </c>
      <c r="AG102" s="21" t="n"/>
      <c r="AH102" s="21" t="n"/>
      <c r="AI102" s="21" t="n"/>
      <c r="AJ102" s="21" t="n"/>
      <c r="AL102" s="23">
        <f>INDEX(Prices_dom!$A$6:$CU$2000,MATCH(Settings!$C$4&amp;AL$5,Prices_dom!$A$6:$A$2000,0),MATCH("mit.sp."&amp;$N102,Prices_dom!$A$5:$CU$5,0))/$P102</f>
        <v/>
      </c>
      <c r="AM102" s="22">
        <f>AL102*(1+INDEX($Q102:$AJ102,1,(AM$4-1)*5+1))</f>
        <v/>
      </c>
      <c r="AN102" s="22">
        <f>AM102*(1+INDEX($Q102:$AJ102,1,(AN$4-1)*5+1))</f>
        <v/>
      </c>
      <c r="AO102" s="22">
        <f>AN102*(1+INDEX($Q102:$AJ102,1,(AO$4-1)*5+1))</f>
        <v/>
      </c>
      <c r="AP102" s="22">
        <f>AO102*(1+INDEX($Q102:$AJ102,1,(AP$4-1)*5+1))</f>
        <v/>
      </c>
      <c r="AQ102" s="22">
        <f>AP102*(1+INDEX($Q102:$AJ102,1,(AQ$4-1)*5+1))</f>
        <v/>
      </c>
      <c r="AR102" s="22">
        <f>AQ102*(1+INDEX($Q102:$AJ102,1,(AR$4-1)*5+1))</f>
        <v/>
      </c>
      <c r="AS102" s="22">
        <f>AR102*(1+INDEX($Q102:$AJ102,1,(AS$4-1)*5+1))</f>
        <v/>
      </c>
      <c r="AT102" s="22">
        <f>AS102*(1+INDEX($Q102:$AJ102,1,(AT$4-1)*5+1))</f>
        <v/>
      </c>
      <c r="AU102" s="22">
        <f>AT102*(1+INDEX($Q102:$AJ102,1,(AU$4-1)*5+1))</f>
        <v/>
      </c>
      <c r="AV102" s="22">
        <f>AU102*(1+INDEX($Q102:$AJ102,1,(AV$4-1)*5+1))</f>
        <v/>
      </c>
      <c r="AW102" s="22">
        <f>AV102*(1+INDEX($Q102:$AJ102,1,(AW$4-1)*5+1))</f>
        <v/>
      </c>
      <c r="AX102" s="22">
        <f>AW102*(1+INDEX($Q102:$AJ102,1,(AX$4-1)*5+1))</f>
        <v/>
      </c>
      <c r="AY102" s="22">
        <f>AX102*(1+INDEX($Q102:$AJ102,1,(AY$4-1)*5+1))</f>
        <v/>
      </c>
      <c r="BA102" s="23">
        <f>INDEX(Prices_dom!$A$6:$CU$2000,MATCH(Settings!$C$4&amp;BA$5,Prices_dom!$A$6:$A$2000,0),MATCH("mit.sp."&amp;$N102,Prices_dom!$A$5:$CU$5,0))/$P102</f>
        <v/>
      </c>
      <c r="BB102" s="22">
        <f>BA102*(1+INDEX($Q102:$AJ102,1,(BB$4-1)*5+1))</f>
        <v/>
      </c>
      <c r="BC102" s="22">
        <f>BB102*(1+INDEX($Q102:$AJ102,1,(BC$4-1)*5+1))</f>
        <v/>
      </c>
      <c r="BD102" s="22">
        <f>BC102*(1+INDEX($Q102:$AJ102,1,(BD$4-1)*5+1))</f>
        <v/>
      </c>
      <c r="BE102" s="22">
        <f>BD102*(1+INDEX($Q102:$AJ102,1,(BE$4-1)*5+1))</f>
        <v/>
      </c>
      <c r="BF102" s="22">
        <f>BE102*(1+INDEX($Q102:$AJ102,1,(BF$4-1)*5+1))</f>
        <v/>
      </c>
      <c r="BG102" s="22">
        <f>BF102*(1+INDEX($Q102:$AJ102,1,(BG$4-1)*5+1))</f>
        <v/>
      </c>
      <c r="BH102" s="22">
        <f>BG102*(1+INDEX($Q102:$AJ102,1,(BH$4-1)*5+1))</f>
        <v/>
      </c>
      <c r="BI102" s="22">
        <f>BH102*(1+INDEX($Q102:$AJ102,1,(BI$4-1)*5+1))</f>
        <v/>
      </c>
      <c r="BJ102" s="22">
        <f>BI102*(1+INDEX($Q102:$AJ102,1,(BJ$4-1)*5+1))</f>
        <v/>
      </c>
      <c r="BK102" s="22">
        <f>BJ102*(1+INDEX($Q102:$AJ102,1,(BK$4-1)*5+1))</f>
        <v/>
      </c>
      <c r="BL102" s="22">
        <f>BK102*(1+INDEX($Q102:$AJ102,1,(BL$4-1)*5+1))</f>
        <v/>
      </c>
      <c r="BM102" s="22">
        <f>BL102*(1+INDEX($Q102:$AJ102,1,(BM$4-1)*5+1))</f>
        <v/>
      </c>
      <c r="BN102" s="22">
        <f>BM102*(1+INDEX($Q102:$AJ102,1,(BN$4-1)*5+1))</f>
        <v/>
      </c>
    </row>
    <row r="103">
      <c r="B103" s="5" t="inlineStr">
        <is>
          <t>lpg</t>
        </is>
      </c>
      <c r="C103" s="5" t="inlineStr">
        <is>
          <t>cem</t>
        </is>
      </c>
      <c r="D103" s="5" t="inlineStr">
        <is>
          <t>Pre-tax price | Cement | LPG</t>
        </is>
      </c>
      <c r="E103" s="5" t="inlineStr">
        <is>
          <t>$/GJ</t>
        </is>
      </c>
      <c r="F103" s="5" t="inlineStr">
        <is>
          <t>Prices_dom (base year), then growth</t>
        </is>
      </c>
      <c r="G103" s="19" t="inlineStr">
        <is>
          <t>mit.sp.lpg</t>
        </is>
      </c>
      <c r="H103" s="19" t="inlineStr">
        <is>
          <t>mit.pbt.lpg.cem</t>
        </is>
      </c>
      <c r="J103" s="5">
        <f>INDEX(Mapping!$C$5:$C$20,MATCH($C103,Mapping!$A$5:$A$20,0))</f>
        <v/>
      </c>
      <c r="K103" s="5">
        <f>INDEX(Mapping!$D$5:$D$20,MATCH($C103,Mapping!$A$5:$A$20,0))</f>
        <v/>
      </c>
      <c r="L103" s="5">
        <f>INDEX(Mapping!$C$24:$C$31,MATCH($B103,Mapping!$A$24:$A$31,0))</f>
        <v/>
      </c>
      <c r="M103" s="5">
        <f>INDEX(Mapping!$D$24:$D$31,MATCH($B103,Mapping!$A$24:$A$31,0))</f>
        <v/>
      </c>
      <c r="N103" s="5">
        <f>$B103&amp;"."&amp;IF(INDEX(Mapping!$E$24:$E$31,MATCH($B103,Mapping!$A$24:$A$31,0))="sub",INDEX(Mapping!$F$5:$F$20,MATCH($C103,Mapping!$A$5:$A$20,0)),"all")</f>
        <v/>
      </c>
      <c r="O103" s="5">
        <f>INDEX(Mapping!$E$5:$E$20,MATCH($C103,Mapping!$A$5:$A$20,0))</f>
        <v/>
      </c>
      <c r="P103" s="5">
        <f>INDEX(Mapping!$G$24:$G$31,MATCH($B103,Mapping!$A$24:$A$31,0))</f>
        <v/>
      </c>
      <c r="Q103" s="20" t="n">
        <v>0</v>
      </c>
      <c r="R103" s="21" t="n"/>
      <c r="S103" s="21" t="n"/>
      <c r="T103" s="21" t="n"/>
      <c r="U103" s="21" t="n"/>
      <c r="V103" s="22">
        <f>Q103</f>
        <v/>
      </c>
      <c r="W103" s="21" t="n"/>
      <c r="X103" s="21" t="n"/>
      <c r="Y103" s="21" t="n"/>
      <c r="Z103" s="21" t="n"/>
      <c r="AA103" s="22">
        <f>Q103</f>
        <v/>
      </c>
      <c r="AB103" s="21" t="n"/>
      <c r="AC103" s="21" t="n"/>
      <c r="AD103" s="21" t="n"/>
      <c r="AE103" s="21" t="n"/>
      <c r="AF103" s="22">
        <f>Q103</f>
        <v/>
      </c>
      <c r="AG103" s="21" t="n"/>
      <c r="AH103" s="21" t="n"/>
      <c r="AI103" s="21" t="n"/>
      <c r="AJ103" s="21" t="n"/>
      <c r="AL103" s="23">
        <f>INDEX(Prices_dom!$A$6:$CU$2000,MATCH(Settings!$C$4&amp;AL$5,Prices_dom!$A$6:$A$2000,0),MATCH("mit.sp."&amp;$N103,Prices_dom!$A$5:$CU$5,0))/$P103</f>
        <v/>
      </c>
      <c r="AM103" s="22">
        <f>AL103*(1+INDEX($Q103:$AJ103,1,(AM$4-1)*5+1))</f>
        <v/>
      </c>
      <c r="AN103" s="22">
        <f>AM103*(1+INDEX($Q103:$AJ103,1,(AN$4-1)*5+1))</f>
        <v/>
      </c>
      <c r="AO103" s="22">
        <f>AN103*(1+INDEX($Q103:$AJ103,1,(AO$4-1)*5+1))</f>
        <v/>
      </c>
      <c r="AP103" s="22">
        <f>AO103*(1+INDEX($Q103:$AJ103,1,(AP$4-1)*5+1))</f>
        <v/>
      </c>
      <c r="AQ103" s="22">
        <f>AP103*(1+INDEX($Q103:$AJ103,1,(AQ$4-1)*5+1))</f>
        <v/>
      </c>
      <c r="AR103" s="22">
        <f>AQ103*(1+INDEX($Q103:$AJ103,1,(AR$4-1)*5+1))</f>
        <v/>
      </c>
      <c r="AS103" s="22">
        <f>AR103*(1+INDEX($Q103:$AJ103,1,(AS$4-1)*5+1))</f>
        <v/>
      </c>
      <c r="AT103" s="22">
        <f>AS103*(1+INDEX($Q103:$AJ103,1,(AT$4-1)*5+1))</f>
        <v/>
      </c>
      <c r="AU103" s="22">
        <f>AT103*(1+INDEX($Q103:$AJ103,1,(AU$4-1)*5+1))</f>
        <v/>
      </c>
      <c r="AV103" s="22">
        <f>AU103*(1+INDEX($Q103:$AJ103,1,(AV$4-1)*5+1))</f>
        <v/>
      </c>
      <c r="AW103" s="22">
        <f>AV103*(1+INDEX($Q103:$AJ103,1,(AW$4-1)*5+1))</f>
        <v/>
      </c>
      <c r="AX103" s="22">
        <f>AW103*(1+INDEX($Q103:$AJ103,1,(AX$4-1)*5+1))</f>
        <v/>
      </c>
      <c r="AY103" s="22">
        <f>AX103*(1+INDEX($Q103:$AJ103,1,(AY$4-1)*5+1))</f>
        <v/>
      </c>
      <c r="BA103" s="23">
        <f>INDEX(Prices_dom!$A$6:$CU$2000,MATCH(Settings!$C$4&amp;BA$5,Prices_dom!$A$6:$A$2000,0),MATCH("mit.sp."&amp;$N103,Prices_dom!$A$5:$CU$5,0))/$P103</f>
        <v/>
      </c>
      <c r="BB103" s="22">
        <f>BA103*(1+INDEX($Q103:$AJ103,1,(BB$4-1)*5+1))</f>
        <v/>
      </c>
      <c r="BC103" s="22">
        <f>BB103*(1+INDEX($Q103:$AJ103,1,(BC$4-1)*5+1))</f>
        <v/>
      </c>
      <c r="BD103" s="22">
        <f>BC103*(1+INDEX($Q103:$AJ103,1,(BD$4-1)*5+1))</f>
        <v/>
      </c>
      <c r="BE103" s="22">
        <f>BD103*(1+INDEX($Q103:$AJ103,1,(BE$4-1)*5+1))</f>
        <v/>
      </c>
      <c r="BF103" s="22">
        <f>BE103*(1+INDEX($Q103:$AJ103,1,(BF$4-1)*5+1))</f>
        <v/>
      </c>
      <c r="BG103" s="22">
        <f>BF103*(1+INDEX($Q103:$AJ103,1,(BG$4-1)*5+1))</f>
        <v/>
      </c>
      <c r="BH103" s="22">
        <f>BG103*(1+INDEX($Q103:$AJ103,1,(BH$4-1)*5+1))</f>
        <v/>
      </c>
      <c r="BI103" s="22">
        <f>BH103*(1+INDEX($Q103:$AJ103,1,(BI$4-1)*5+1))</f>
        <v/>
      </c>
      <c r="BJ103" s="22">
        <f>BI103*(1+INDEX($Q103:$AJ103,1,(BJ$4-1)*5+1))</f>
        <v/>
      </c>
      <c r="BK103" s="22">
        <f>BJ103*(1+INDEX($Q103:$AJ103,1,(BK$4-1)*5+1))</f>
        <v/>
      </c>
      <c r="BL103" s="22">
        <f>BK103*(1+INDEX($Q103:$AJ103,1,(BL$4-1)*5+1))</f>
        <v/>
      </c>
      <c r="BM103" s="22">
        <f>BL103*(1+INDEX($Q103:$AJ103,1,(BM$4-1)*5+1))</f>
        <v/>
      </c>
      <c r="BN103" s="22">
        <f>BM103*(1+INDEX($Q103:$AJ103,1,(BN$4-1)*5+1))</f>
        <v/>
      </c>
    </row>
    <row r="104">
      <c r="B104" s="5" t="inlineStr">
        <is>
          <t>ker</t>
        </is>
      </c>
      <c r="C104" s="5" t="inlineStr">
        <is>
          <t>cem</t>
        </is>
      </c>
      <c r="D104" s="5" t="inlineStr">
        <is>
          <t>Pre-tax price | Cement | Kerosene</t>
        </is>
      </c>
      <c r="E104" s="5" t="inlineStr">
        <is>
          <t>$/GJ</t>
        </is>
      </c>
      <c r="F104" s="5" t="inlineStr">
        <is>
          <t>Prices_dom (base year), then growth</t>
        </is>
      </c>
      <c r="G104" s="19" t="inlineStr">
        <is>
          <t>mit.sp.ker</t>
        </is>
      </c>
      <c r="H104" s="19" t="inlineStr">
        <is>
          <t>mit.pbt.ker.cem</t>
        </is>
      </c>
      <c r="J104" s="5">
        <f>INDEX(Mapping!$C$5:$C$20,MATCH($C104,Mapping!$A$5:$A$20,0))</f>
        <v/>
      </c>
      <c r="K104" s="5">
        <f>INDEX(Mapping!$D$5:$D$20,MATCH($C104,Mapping!$A$5:$A$20,0))</f>
        <v/>
      </c>
      <c r="L104" s="5">
        <f>INDEX(Mapping!$C$24:$C$31,MATCH($B104,Mapping!$A$24:$A$31,0))</f>
        <v/>
      </c>
      <c r="M104" s="5">
        <f>INDEX(Mapping!$D$24:$D$31,MATCH($B104,Mapping!$A$24:$A$31,0))</f>
        <v/>
      </c>
      <c r="N104" s="5">
        <f>$B104&amp;"."&amp;IF(INDEX(Mapping!$E$24:$E$31,MATCH($B104,Mapping!$A$24:$A$31,0))="sub",INDEX(Mapping!$F$5:$F$20,MATCH($C104,Mapping!$A$5:$A$20,0)),"all")</f>
        <v/>
      </c>
      <c r="O104" s="5">
        <f>INDEX(Mapping!$E$5:$E$20,MATCH($C104,Mapping!$A$5:$A$20,0))</f>
        <v/>
      </c>
      <c r="P104" s="5">
        <f>INDEX(Mapping!$G$24:$G$31,MATCH($B104,Mapping!$A$24:$A$31,0))</f>
        <v/>
      </c>
      <c r="Q104" s="20" t="n">
        <v>0</v>
      </c>
      <c r="R104" s="21" t="n"/>
      <c r="S104" s="21" t="n"/>
      <c r="T104" s="21" t="n"/>
      <c r="U104" s="21" t="n"/>
      <c r="V104" s="22">
        <f>Q104</f>
        <v/>
      </c>
      <c r="W104" s="21" t="n"/>
      <c r="X104" s="21" t="n"/>
      <c r="Y104" s="21" t="n"/>
      <c r="Z104" s="21" t="n"/>
      <c r="AA104" s="22">
        <f>Q104</f>
        <v/>
      </c>
      <c r="AB104" s="21" t="n"/>
      <c r="AC104" s="21" t="n"/>
      <c r="AD104" s="21" t="n"/>
      <c r="AE104" s="21" t="n"/>
      <c r="AF104" s="22">
        <f>Q104</f>
        <v/>
      </c>
      <c r="AG104" s="21" t="n"/>
      <c r="AH104" s="21" t="n"/>
      <c r="AI104" s="21" t="n"/>
      <c r="AJ104" s="21" t="n"/>
      <c r="AL104" s="23">
        <f>INDEX(Prices_dom!$A$6:$CU$2000,MATCH(Settings!$C$4&amp;AL$5,Prices_dom!$A$6:$A$2000,0),MATCH("mit.sp."&amp;$N104,Prices_dom!$A$5:$CU$5,0))/$P104</f>
        <v/>
      </c>
      <c r="AM104" s="22">
        <f>AL104*(1+INDEX($Q104:$AJ104,1,(AM$4-1)*5+1))</f>
        <v/>
      </c>
      <c r="AN104" s="22">
        <f>AM104*(1+INDEX($Q104:$AJ104,1,(AN$4-1)*5+1))</f>
        <v/>
      </c>
      <c r="AO104" s="22">
        <f>AN104*(1+INDEX($Q104:$AJ104,1,(AO$4-1)*5+1))</f>
        <v/>
      </c>
      <c r="AP104" s="22">
        <f>AO104*(1+INDEX($Q104:$AJ104,1,(AP$4-1)*5+1))</f>
        <v/>
      </c>
      <c r="AQ104" s="22">
        <f>AP104*(1+INDEX($Q104:$AJ104,1,(AQ$4-1)*5+1))</f>
        <v/>
      </c>
      <c r="AR104" s="22">
        <f>AQ104*(1+INDEX($Q104:$AJ104,1,(AR$4-1)*5+1))</f>
        <v/>
      </c>
      <c r="AS104" s="22">
        <f>AR104*(1+INDEX($Q104:$AJ104,1,(AS$4-1)*5+1))</f>
        <v/>
      </c>
      <c r="AT104" s="22">
        <f>AS104*(1+INDEX($Q104:$AJ104,1,(AT$4-1)*5+1))</f>
        <v/>
      </c>
      <c r="AU104" s="22">
        <f>AT104*(1+INDEX($Q104:$AJ104,1,(AU$4-1)*5+1))</f>
        <v/>
      </c>
      <c r="AV104" s="22">
        <f>AU104*(1+INDEX($Q104:$AJ104,1,(AV$4-1)*5+1))</f>
        <v/>
      </c>
      <c r="AW104" s="22">
        <f>AV104*(1+INDEX($Q104:$AJ104,1,(AW$4-1)*5+1))</f>
        <v/>
      </c>
      <c r="AX104" s="22">
        <f>AW104*(1+INDEX($Q104:$AJ104,1,(AX$4-1)*5+1))</f>
        <v/>
      </c>
      <c r="AY104" s="22">
        <f>AX104*(1+INDEX($Q104:$AJ104,1,(AY$4-1)*5+1))</f>
        <v/>
      </c>
      <c r="BA104" s="23">
        <f>INDEX(Prices_dom!$A$6:$CU$2000,MATCH(Settings!$C$4&amp;BA$5,Prices_dom!$A$6:$A$2000,0),MATCH("mit.sp."&amp;$N104,Prices_dom!$A$5:$CU$5,0))/$P104</f>
        <v/>
      </c>
      <c r="BB104" s="22">
        <f>BA104*(1+INDEX($Q104:$AJ104,1,(BB$4-1)*5+1))</f>
        <v/>
      </c>
      <c r="BC104" s="22">
        <f>BB104*(1+INDEX($Q104:$AJ104,1,(BC$4-1)*5+1))</f>
        <v/>
      </c>
      <c r="BD104" s="22">
        <f>BC104*(1+INDEX($Q104:$AJ104,1,(BD$4-1)*5+1))</f>
        <v/>
      </c>
      <c r="BE104" s="22">
        <f>BD104*(1+INDEX($Q104:$AJ104,1,(BE$4-1)*5+1))</f>
        <v/>
      </c>
      <c r="BF104" s="22">
        <f>BE104*(1+INDEX($Q104:$AJ104,1,(BF$4-1)*5+1))</f>
        <v/>
      </c>
      <c r="BG104" s="22">
        <f>BF104*(1+INDEX($Q104:$AJ104,1,(BG$4-1)*5+1))</f>
        <v/>
      </c>
      <c r="BH104" s="22">
        <f>BG104*(1+INDEX($Q104:$AJ104,1,(BH$4-1)*5+1))</f>
        <v/>
      </c>
      <c r="BI104" s="22">
        <f>BH104*(1+INDEX($Q104:$AJ104,1,(BI$4-1)*5+1))</f>
        <v/>
      </c>
      <c r="BJ104" s="22">
        <f>BI104*(1+INDEX($Q104:$AJ104,1,(BJ$4-1)*5+1))</f>
        <v/>
      </c>
      <c r="BK104" s="22">
        <f>BJ104*(1+INDEX($Q104:$AJ104,1,(BK$4-1)*5+1))</f>
        <v/>
      </c>
      <c r="BL104" s="22">
        <f>BK104*(1+INDEX($Q104:$AJ104,1,(BL$4-1)*5+1))</f>
        <v/>
      </c>
      <c r="BM104" s="22">
        <f>BL104*(1+INDEX($Q104:$AJ104,1,(BM$4-1)*5+1))</f>
        <v/>
      </c>
      <c r="BN104" s="22">
        <f>BM104*(1+INDEX($Q104:$AJ104,1,(BN$4-1)*5+1))</f>
        <v/>
      </c>
    </row>
    <row r="105">
      <c r="B105" s="5" t="inlineStr">
        <is>
          <t>oop</t>
        </is>
      </c>
      <c r="C105" s="5" t="inlineStr">
        <is>
          <t>cem</t>
        </is>
      </c>
      <c r="D105" s="5" t="inlineStr">
        <is>
          <t>Pre-tax price | Cement | Other oil products</t>
        </is>
      </c>
      <c r="E105" s="5" t="inlineStr">
        <is>
          <t>$/GJ</t>
        </is>
      </c>
      <c r="F105" s="5" t="inlineStr">
        <is>
          <t>Prices_dom (base year), then growth</t>
        </is>
      </c>
      <c r="G105" s="19" t="inlineStr">
        <is>
          <t>mit.sp.oop</t>
        </is>
      </c>
      <c r="H105" s="19" t="inlineStr">
        <is>
          <t>mit.pbt.oop.cem</t>
        </is>
      </c>
      <c r="J105" s="5">
        <f>INDEX(Mapping!$C$5:$C$20,MATCH($C105,Mapping!$A$5:$A$20,0))</f>
        <v/>
      </c>
      <c r="K105" s="5">
        <f>INDEX(Mapping!$D$5:$D$20,MATCH($C105,Mapping!$A$5:$A$20,0))</f>
        <v/>
      </c>
      <c r="L105" s="5">
        <f>INDEX(Mapping!$C$24:$C$31,MATCH($B105,Mapping!$A$24:$A$31,0))</f>
        <v/>
      </c>
      <c r="M105" s="5">
        <f>INDEX(Mapping!$D$24:$D$31,MATCH($B105,Mapping!$A$24:$A$31,0))</f>
        <v/>
      </c>
      <c r="N105" s="5">
        <f>$B105&amp;"."&amp;IF(INDEX(Mapping!$E$24:$E$31,MATCH($B105,Mapping!$A$24:$A$31,0))="sub",INDEX(Mapping!$F$5:$F$20,MATCH($C105,Mapping!$A$5:$A$20,0)),"all")</f>
        <v/>
      </c>
      <c r="O105" s="5">
        <f>INDEX(Mapping!$E$5:$E$20,MATCH($C105,Mapping!$A$5:$A$20,0))</f>
        <v/>
      </c>
      <c r="P105" s="5">
        <f>INDEX(Mapping!$G$24:$G$31,MATCH($B105,Mapping!$A$24:$A$31,0))</f>
        <v/>
      </c>
      <c r="Q105" s="20" t="n">
        <v>0</v>
      </c>
      <c r="R105" s="21" t="n"/>
      <c r="S105" s="21" t="n"/>
      <c r="T105" s="21" t="n"/>
      <c r="U105" s="21" t="n"/>
      <c r="V105" s="22">
        <f>Q105</f>
        <v/>
      </c>
      <c r="W105" s="21" t="n"/>
      <c r="X105" s="21" t="n"/>
      <c r="Y105" s="21" t="n"/>
      <c r="Z105" s="21" t="n"/>
      <c r="AA105" s="22">
        <f>Q105</f>
        <v/>
      </c>
      <c r="AB105" s="21" t="n"/>
      <c r="AC105" s="21" t="n"/>
      <c r="AD105" s="21" t="n"/>
      <c r="AE105" s="21" t="n"/>
      <c r="AF105" s="22">
        <f>Q105</f>
        <v/>
      </c>
      <c r="AG105" s="21" t="n"/>
      <c r="AH105" s="21" t="n"/>
      <c r="AI105" s="21" t="n"/>
      <c r="AJ105" s="21" t="n"/>
      <c r="AL105" s="23">
        <f>INDEX(Prices_dom!$A$6:$CU$2000,MATCH(Settings!$C$4&amp;AL$5,Prices_dom!$A$6:$A$2000,0),MATCH("mit.sp."&amp;$N105,Prices_dom!$A$5:$CU$5,0))/$P105</f>
        <v/>
      </c>
      <c r="AM105" s="22">
        <f>AL105*(1+INDEX($Q105:$AJ105,1,(AM$4-1)*5+1))</f>
        <v/>
      </c>
      <c r="AN105" s="22">
        <f>AM105*(1+INDEX($Q105:$AJ105,1,(AN$4-1)*5+1))</f>
        <v/>
      </c>
      <c r="AO105" s="22">
        <f>AN105*(1+INDEX($Q105:$AJ105,1,(AO$4-1)*5+1))</f>
        <v/>
      </c>
      <c r="AP105" s="22">
        <f>AO105*(1+INDEX($Q105:$AJ105,1,(AP$4-1)*5+1))</f>
        <v/>
      </c>
      <c r="AQ105" s="22">
        <f>AP105*(1+INDEX($Q105:$AJ105,1,(AQ$4-1)*5+1))</f>
        <v/>
      </c>
      <c r="AR105" s="22">
        <f>AQ105*(1+INDEX($Q105:$AJ105,1,(AR$4-1)*5+1))</f>
        <v/>
      </c>
      <c r="AS105" s="22">
        <f>AR105*(1+INDEX($Q105:$AJ105,1,(AS$4-1)*5+1))</f>
        <v/>
      </c>
      <c r="AT105" s="22">
        <f>AS105*(1+INDEX($Q105:$AJ105,1,(AT$4-1)*5+1))</f>
        <v/>
      </c>
      <c r="AU105" s="22">
        <f>AT105*(1+INDEX($Q105:$AJ105,1,(AU$4-1)*5+1))</f>
        <v/>
      </c>
      <c r="AV105" s="22">
        <f>AU105*(1+INDEX($Q105:$AJ105,1,(AV$4-1)*5+1))</f>
        <v/>
      </c>
      <c r="AW105" s="22">
        <f>AV105*(1+INDEX($Q105:$AJ105,1,(AW$4-1)*5+1))</f>
        <v/>
      </c>
      <c r="AX105" s="22">
        <f>AW105*(1+INDEX($Q105:$AJ105,1,(AX$4-1)*5+1))</f>
        <v/>
      </c>
      <c r="AY105" s="22">
        <f>AX105*(1+INDEX($Q105:$AJ105,1,(AY$4-1)*5+1))</f>
        <v/>
      </c>
      <c r="BA105" s="23">
        <f>INDEX(Prices_dom!$A$6:$CU$2000,MATCH(Settings!$C$4&amp;BA$5,Prices_dom!$A$6:$A$2000,0),MATCH("mit.sp."&amp;$N105,Prices_dom!$A$5:$CU$5,0))/$P105</f>
        <v/>
      </c>
      <c r="BB105" s="22">
        <f>BA105*(1+INDEX($Q105:$AJ105,1,(BB$4-1)*5+1))</f>
        <v/>
      </c>
      <c r="BC105" s="22">
        <f>BB105*(1+INDEX($Q105:$AJ105,1,(BC$4-1)*5+1))</f>
        <v/>
      </c>
      <c r="BD105" s="22">
        <f>BC105*(1+INDEX($Q105:$AJ105,1,(BD$4-1)*5+1))</f>
        <v/>
      </c>
      <c r="BE105" s="22">
        <f>BD105*(1+INDEX($Q105:$AJ105,1,(BE$4-1)*5+1))</f>
        <v/>
      </c>
      <c r="BF105" s="22">
        <f>BE105*(1+INDEX($Q105:$AJ105,1,(BF$4-1)*5+1))</f>
        <v/>
      </c>
      <c r="BG105" s="22">
        <f>BF105*(1+INDEX($Q105:$AJ105,1,(BG$4-1)*5+1))</f>
        <v/>
      </c>
      <c r="BH105" s="22">
        <f>BG105*(1+INDEX($Q105:$AJ105,1,(BH$4-1)*5+1))</f>
        <v/>
      </c>
      <c r="BI105" s="22">
        <f>BH105*(1+INDEX($Q105:$AJ105,1,(BI$4-1)*5+1))</f>
        <v/>
      </c>
      <c r="BJ105" s="22">
        <f>BI105*(1+INDEX($Q105:$AJ105,1,(BJ$4-1)*5+1))</f>
        <v/>
      </c>
      <c r="BK105" s="22">
        <f>BJ105*(1+INDEX($Q105:$AJ105,1,(BK$4-1)*5+1))</f>
        <v/>
      </c>
      <c r="BL105" s="22">
        <f>BK105*(1+INDEX($Q105:$AJ105,1,(BL$4-1)*5+1))</f>
        <v/>
      </c>
      <c r="BM105" s="22">
        <f>BL105*(1+INDEX($Q105:$AJ105,1,(BM$4-1)*5+1))</f>
        <v/>
      </c>
      <c r="BN105" s="22">
        <f>BM105*(1+INDEX($Q105:$AJ105,1,(BN$4-1)*5+1))</f>
        <v/>
      </c>
    </row>
    <row r="106">
      <c r="B106" s="5" t="inlineStr">
        <is>
          <t>bio</t>
        </is>
      </c>
      <c r="C106" s="5" t="inlineStr">
        <is>
          <t>cem</t>
        </is>
      </c>
      <c r="D106" s="5" t="inlineStr">
        <is>
          <t>Pre-tax price | Cement | Biomass</t>
        </is>
      </c>
      <c r="E106" s="5" t="inlineStr">
        <is>
          <t>$/GJ</t>
        </is>
      </c>
      <c r="F106" s="5" t="inlineStr">
        <is>
          <t>Prices_dom (base year), then growth</t>
        </is>
      </c>
      <c r="G106" s="19" t="inlineStr">
        <is>
          <t>mit.sp.bio</t>
        </is>
      </c>
      <c r="H106" s="19" t="inlineStr">
        <is>
          <t>mit.pbt.bio.cem</t>
        </is>
      </c>
      <c r="J106" s="5">
        <f>INDEX(Mapping!$C$5:$C$20,MATCH($C106,Mapping!$A$5:$A$20,0))</f>
        <v/>
      </c>
      <c r="K106" s="5">
        <f>INDEX(Mapping!$D$5:$D$20,MATCH($C106,Mapping!$A$5:$A$20,0))</f>
        <v/>
      </c>
      <c r="L106" s="5">
        <f>INDEX(Mapping!$C$24:$C$31,MATCH($B106,Mapping!$A$24:$A$31,0))</f>
        <v/>
      </c>
      <c r="M106" s="5">
        <f>INDEX(Mapping!$D$24:$D$31,MATCH($B106,Mapping!$A$24:$A$31,0))</f>
        <v/>
      </c>
      <c r="N106" s="5">
        <f>$B106&amp;"."&amp;IF(INDEX(Mapping!$E$24:$E$31,MATCH($B106,Mapping!$A$24:$A$31,0))="sub",INDEX(Mapping!$F$5:$F$20,MATCH($C106,Mapping!$A$5:$A$20,0)),"all")</f>
        <v/>
      </c>
      <c r="O106" s="5">
        <f>INDEX(Mapping!$E$5:$E$20,MATCH($C106,Mapping!$A$5:$A$20,0))</f>
        <v/>
      </c>
      <c r="P106" s="5">
        <f>INDEX(Mapping!$G$24:$G$31,MATCH($B106,Mapping!$A$24:$A$31,0))</f>
        <v/>
      </c>
      <c r="Q106" s="20" t="n">
        <v>0</v>
      </c>
      <c r="R106" s="21" t="n"/>
      <c r="S106" s="21" t="n"/>
      <c r="T106" s="21" t="n"/>
      <c r="U106" s="21" t="n"/>
      <c r="V106" s="22">
        <f>Q106</f>
        <v/>
      </c>
      <c r="W106" s="21" t="n"/>
      <c r="X106" s="21" t="n"/>
      <c r="Y106" s="21" t="n"/>
      <c r="Z106" s="21" t="n"/>
      <c r="AA106" s="22">
        <f>Q106</f>
        <v/>
      </c>
      <c r="AB106" s="21" t="n"/>
      <c r="AC106" s="21" t="n"/>
      <c r="AD106" s="21" t="n"/>
      <c r="AE106" s="21" t="n"/>
      <c r="AF106" s="22">
        <f>Q106</f>
        <v/>
      </c>
      <c r="AG106" s="21" t="n"/>
      <c r="AH106" s="21" t="n"/>
      <c r="AI106" s="21" t="n"/>
      <c r="AJ106" s="21" t="n"/>
      <c r="AL106" s="23">
        <f>INDEX(Prices_dom!$A$6:$CU$2000,MATCH(Settings!$C$4&amp;AL$5,Prices_dom!$A$6:$A$2000,0),MATCH("mit.sp."&amp;$N106,Prices_dom!$A$5:$CU$5,0))/$P106</f>
        <v/>
      </c>
      <c r="AM106" s="22">
        <f>AL106*(1+INDEX($Q106:$AJ106,1,(AM$4-1)*5+1))</f>
        <v/>
      </c>
      <c r="AN106" s="22">
        <f>AM106*(1+INDEX($Q106:$AJ106,1,(AN$4-1)*5+1))</f>
        <v/>
      </c>
      <c r="AO106" s="22">
        <f>AN106*(1+INDEX($Q106:$AJ106,1,(AO$4-1)*5+1))</f>
        <v/>
      </c>
      <c r="AP106" s="22">
        <f>AO106*(1+INDEX($Q106:$AJ106,1,(AP$4-1)*5+1))</f>
        <v/>
      </c>
      <c r="AQ106" s="22">
        <f>AP106*(1+INDEX($Q106:$AJ106,1,(AQ$4-1)*5+1))</f>
        <v/>
      </c>
      <c r="AR106" s="22">
        <f>AQ106*(1+INDEX($Q106:$AJ106,1,(AR$4-1)*5+1))</f>
        <v/>
      </c>
      <c r="AS106" s="22">
        <f>AR106*(1+INDEX($Q106:$AJ106,1,(AS$4-1)*5+1))</f>
        <v/>
      </c>
      <c r="AT106" s="22">
        <f>AS106*(1+INDEX($Q106:$AJ106,1,(AT$4-1)*5+1))</f>
        <v/>
      </c>
      <c r="AU106" s="22">
        <f>AT106*(1+INDEX($Q106:$AJ106,1,(AU$4-1)*5+1))</f>
        <v/>
      </c>
      <c r="AV106" s="22">
        <f>AU106*(1+INDEX($Q106:$AJ106,1,(AV$4-1)*5+1))</f>
        <v/>
      </c>
      <c r="AW106" s="22">
        <f>AV106*(1+INDEX($Q106:$AJ106,1,(AW$4-1)*5+1))</f>
        <v/>
      </c>
      <c r="AX106" s="22">
        <f>AW106*(1+INDEX($Q106:$AJ106,1,(AX$4-1)*5+1))</f>
        <v/>
      </c>
      <c r="AY106" s="22">
        <f>AX106*(1+INDEX($Q106:$AJ106,1,(AY$4-1)*5+1))</f>
        <v/>
      </c>
      <c r="BA106" s="23">
        <f>INDEX(Prices_dom!$A$6:$CU$2000,MATCH(Settings!$C$4&amp;BA$5,Prices_dom!$A$6:$A$2000,0),MATCH("mit.sp."&amp;$N106,Prices_dom!$A$5:$CU$5,0))/$P106</f>
        <v/>
      </c>
      <c r="BB106" s="22">
        <f>BA106*(1+INDEX($Q106:$AJ106,1,(BB$4-1)*5+1))</f>
        <v/>
      </c>
      <c r="BC106" s="22">
        <f>BB106*(1+INDEX($Q106:$AJ106,1,(BC$4-1)*5+1))</f>
        <v/>
      </c>
      <c r="BD106" s="22">
        <f>BC106*(1+INDEX($Q106:$AJ106,1,(BD$4-1)*5+1))</f>
        <v/>
      </c>
      <c r="BE106" s="22">
        <f>BD106*(1+INDEX($Q106:$AJ106,1,(BE$4-1)*5+1))</f>
        <v/>
      </c>
      <c r="BF106" s="22">
        <f>BE106*(1+INDEX($Q106:$AJ106,1,(BF$4-1)*5+1))</f>
        <v/>
      </c>
      <c r="BG106" s="22">
        <f>BF106*(1+INDEX($Q106:$AJ106,1,(BG$4-1)*5+1))</f>
        <v/>
      </c>
      <c r="BH106" s="22">
        <f>BG106*(1+INDEX($Q106:$AJ106,1,(BH$4-1)*5+1))</f>
        <v/>
      </c>
      <c r="BI106" s="22">
        <f>BH106*(1+INDEX($Q106:$AJ106,1,(BI$4-1)*5+1))</f>
        <v/>
      </c>
      <c r="BJ106" s="22">
        <f>BI106*(1+INDEX($Q106:$AJ106,1,(BJ$4-1)*5+1))</f>
        <v/>
      </c>
      <c r="BK106" s="22">
        <f>BJ106*(1+INDEX($Q106:$AJ106,1,(BK$4-1)*5+1))</f>
        <v/>
      </c>
      <c r="BL106" s="22">
        <f>BK106*(1+INDEX($Q106:$AJ106,1,(BL$4-1)*5+1))</f>
        <v/>
      </c>
      <c r="BM106" s="22">
        <f>BL106*(1+INDEX($Q106:$AJ106,1,(BM$4-1)*5+1))</f>
        <v/>
      </c>
      <c r="BN106" s="22">
        <f>BM106*(1+INDEX($Q106:$AJ106,1,(BN$4-1)*5+1))</f>
        <v/>
      </c>
    </row>
    <row r="107">
      <c r="B107" s="5" t="inlineStr">
        <is>
          <t>coa</t>
        </is>
      </c>
      <c r="C107" s="5" t="inlineStr">
        <is>
          <t>omn</t>
        </is>
      </c>
      <c r="D107" s="5" t="inlineStr">
        <is>
          <t>Pre-tax price | Other manufacturing | Coal</t>
        </is>
      </c>
      <c r="E107" s="5" t="inlineStr">
        <is>
          <t>$/GJ</t>
        </is>
      </c>
      <c r="F107" s="5" t="inlineStr">
        <is>
          <t>Prices_dom (base year), then growth</t>
        </is>
      </c>
      <c r="G107" s="19" t="inlineStr">
        <is>
          <t>mit.sp.coa</t>
        </is>
      </c>
      <c r="H107" s="19" t="inlineStr">
        <is>
          <t>mit.pbt.coa.omn</t>
        </is>
      </c>
      <c r="J107" s="5">
        <f>INDEX(Mapping!$C$5:$C$20,MATCH($C107,Mapping!$A$5:$A$20,0))</f>
        <v/>
      </c>
      <c r="K107" s="5">
        <f>INDEX(Mapping!$D$5:$D$20,MATCH($C107,Mapping!$A$5:$A$20,0))</f>
        <v/>
      </c>
      <c r="L107" s="5">
        <f>INDEX(Mapping!$C$24:$C$31,MATCH($B107,Mapping!$A$24:$A$31,0))</f>
        <v/>
      </c>
      <c r="M107" s="5">
        <f>INDEX(Mapping!$D$24:$D$31,MATCH($B107,Mapping!$A$24:$A$31,0))</f>
        <v/>
      </c>
      <c r="N107" s="5">
        <f>$B107&amp;"."&amp;IF(INDEX(Mapping!$E$24:$E$31,MATCH($B107,Mapping!$A$24:$A$31,0))="sub",INDEX(Mapping!$F$5:$F$20,MATCH($C107,Mapping!$A$5:$A$20,0)),"all")</f>
        <v/>
      </c>
      <c r="O107" s="5">
        <f>INDEX(Mapping!$E$5:$E$20,MATCH($C107,Mapping!$A$5:$A$20,0))</f>
        <v/>
      </c>
      <c r="P107" s="5">
        <f>INDEX(Mapping!$G$24:$G$31,MATCH($B107,Mapping!$A$24:$A$31,0))</f>
        <v/>
      </c>
      <c r="Q107" s="20" t="n">
        <v>0</v>
      </c>
      <c r="R107" s="21" t="n"/>
      <c r="S107" s="21" t="n"/>
      <c r="T107" s="21" t="n"/>
      <c r="U107" s="21" t="n"/>
      <c r="V107" s="22">
        <f>Q107</f>
        <v/>
      </c>
      <c r="W107" s="21" t="n"/>
      <c r="X107" s="21" t="n"/>
      <c r="Y107" s="21" t="n"/>
      <c r="Z107" s="21" t="n"/>
      <c r="AA107" s="22">
        <f>Q107</f>
        <v/>
      </c>
      <c r="AB107" s="21" t="n"/>
      <c r="AC107" s="21" t="n"/>
      <c r="AD107" s="21" t="n"/>
      <c r="AE107" s="21" t="n"/>
      <c r="AF107" s="22">
        <f>Q107</f>
        <v/>
      </c>
      <c r="AG107" s="21" t="n"/>
      <c r="AH107" s="21" t="n"/>
      <c r="AI107" s="21" t="n"/>
      <c r="AJ107" s="21" t="n"/>
      <c r="AL107" s="23">
        <f>INDEX(Prices_dom!$A$6:$CU$2000,MATCH(Settings!$C$4&amp;AL$5,Prices_dom!$A$6:$A$2000,0),MATCH("mit.sp."&amp;$N107,Prices_dom!$A$5:$CU$5,0))/$P107</f>
        <v/>
      </c>
      <c r="AM107" s="22">
        <f>AL107*(1+INDEX($Q107:$AJ107,1,(AM$4-1)*5+1))</f>
        <v/>
      </c>
      <c r="AN107" s="22">
        <f>AM107*(1+INDEX($Q107:$AJ107,1,(AN$4-1)*5+1))</f>
        <v/>
      </c>
      <c r="AO107" s="22">
        <f>AN107*(1+INDEX($Q107:$AJ107,1,(AO$4-1)*5+1))</f>
        <v/>
      </c>
      <c r="AP107" s="22">
        <f>AO107*(1+INDEX($Q107:$AJ107,1,(AP$4-1)*5+1))</f>
        <v/>
      </c>
      <c r="AQ107" s="22">
        <f>AP107*(1+INDEX($Q107:$AJ107,1,(AQ$4-1)*5+1))</f>
        <v/>
      </c>
      <c r="AR107" s="22">
        <f>AQ107*(1+INDEX($Q107:$AJ107,1,(AR$4-1)*5+1))</f>
        <v/>
      </c>
      <c r="AS107" s="22">
        <f>AR107*(1+INDEX($Q107:$AJ107,1,(AS$4-1)*5+1))</f>
        <v/>
      </c>
      <c r="AT107" s="22">
        <f>AS107*(1+INDEX($Q107:$AJ107,1,(AT$4-1)*5+1))</f>
        <v/>
      </c>
      <c r="AU107" s="22">
        <f>AT107*(1+INDEX($Q107:$AJ107,1,(AU$4-1)*5+1))</f>
        <v/>
      </c>
      <c r="AV107" s="22">
        <f>AU107*(1+INDEX($Q107:$AJ107,1,(AV$4-1)*5+1))</f>
        <v/>
      </c>
      <c r="AW107" s="22">
        <f>AV107*(1+INDEX($Q107:$AJ107,1,(AW$4-1)*5+1))</f>
        <v/>
      </c>
      <c r="AX107" s="22">
        <f>AW107*(1+INDEX($Q107:$AJ107,1,(AX$4-1)*5+1))</f>
        <v/>
      </c>
      <c r="AY107" s="22">
        <f>AX107*(1+INDEX($Q107:$AJ107,1,(AY$4-1)*5+1))</f>
        <v/>
      </c>
      <c r="BA107" s="23">
        <f>INDEX(Prices_dom!$A$6:$CU$2000,MATCH(Settings!$C$4&amp;BA$5,Prices_dom!$A$6:$A$2000,0),MATCH("mit.sp."&amp;$N107,Prices_dom!$A$5:$CU$5,0))/$P107</f>
        <v/>
      </c>
      <c r="BB107" s="22">
        <f>BA107*(1+INDEX($Q107:$AJ107,1,(BB$4-1)*5+1))</f>
        <v/>
      </c>
      <c r="BC107" s="22">
        <f>BB107*(1+INDEX($Q107:$AJ107,1,(BC$4-1)*5+1))</f>
        <v/>
      </c>
      <c r="BD107" s="22">
        <f>BC107*(1+INDEX($Q107:$AJ107,1,(BD$4-1)*5+1))</f>
        <v/>
      </c>
      <c r="BE107" s="22">
        <f>BD107*(1+INDEX($Q107:$AJ107,1,(BE$4-1)*5+1))</f>
        <v/>
      </c>
      <c r="BF107" s="22">
        <f>BE107*(1+INDEX($Q107:$AJ107,1,(BF$4-1)*5+1))</f>
        <v/>
      </c>
      <c r="BG107" s="22">
        <f>BF107*(1+INDEX($Q107:$AJ107,1,(BG$4-1)*5+1))</f>
        <v/>
      </c>
      <c r="BH107" s="22">
        <f>BG107*(1+INDEX($Q107:$AJ107,1,(BH$4-1)*5+1))</f>
        <v/>
      </c>
      <c r="BI107" s="22">
        <f>BH107*(1+INDEX($Q107:$AJ107,1,(BI$4-1)*5+1))</f>
        <v/>
      </c>
      <c r="BJ107" s="22">
        <f>BI107*(1+INDEX($Q107:$AJ107,1,(BJ$4-1)*5+1))</f>
        <v/>
      </c>
      <c r="BK107" s="22">
        <f>BJ107*(1+INDEX($Q107:$AJ107,1,(BK$4-1)*5+1))</f>
        <v/>
      </c>
      <c r="BL107" s="22">
        <f>BK107*(1+INDEX($Q107:$AJ107,1,(BL$4-1)*5+1))</f>
        <v/>
      </c>
      <c r="BM107" s="22">
        <f>BL107*(1+INDEX($Q107:$AJ107,1,(BM$4-1)*5+1))</f>
        <v/>
      </c>
      <c r="BN107" s="22">
        <f>BM107*(1+INDEX($Q107:$AJ107,1,(BN$4-1)*5+1))</f>
        <v/>
      </c>
    </row>
    <row r="108">
      <c r="B108" s="5" t="inlineStr">
        <is>
          <t>nga</t>
        </is>
      </c>
      <c r="C108" s="5" t="inlineStr">
        <is>
          <t>omn</t>
        </is>
      </c>
      <c r="D108" s="5" t="inlineStr">
        <is>
          <t>Pre-tax price | Other manufacturing | Natural gas</t>
        </is>
      </c>
      <c r="E108" s="5" t="inlineStr">
        <is>
          <t>$/GJ</t>
        </is>
      </c>
      <c r="F108" s="5" t="inlineStr">
        <is>
          <t>Prices_dom (base year), then growth</t>
        </is>
      </c>
      <c r="G108" s="19" t="inlineStr">
        <is>
          <t>mit.sp.nga</t>
        </is>
      </c>
      <c r="H108" s="19" t="inlineStr">
        <is>
          <t>mit.pbt.nga.omn</t>
        </is>
      </c>
      <c r="J108" s="5">
        <f>INDEX(Mapping!$C$5:$C$20,MATCH($C108,Mapping!$A$5:$A$20,0))</f>
        <v/>
      </c>
      <c r="K108" s="5">
        <f>INDEX(Mapping!$D$5:$D$20,MATCH($C108,Mapping!$A$5:$A$20,0))</f>
        <v/>
      </c>
      <c r="L108" s="5">
        <f>INDEX(Mapping!$C$24:$C$31,MATCH($B108,Mapping!$A$24:$A$31,0))</f>
        <v/>
      </c>
      <c r="M108" s="5">
        <f>INDEX(Mapping!$D$24:$D$31,MATCH($B108,Mapping!$A$24:$A$31,0))</f>
        <v/>
      </c>
      <c r="N108" s="5">
        <f>$B108&amp;"."&amp;IF(INDEX(Mapping!$E$24:$E$31,MATCH($B108,Mapping!$A$24:$A$31,0))="sub",INDEX(Mapping!$F$5:$F$20,MATCH($C108,Mapping!$A$5:$A$20,0)),"all")</f>
        <v/>
      </c>
      <c r="O108" s="5">
        <f>INDEX(Mapping!$E$5:$E$20,MATCH($C108,Mapping!$A$5:$A$20,0))</f>
        <v/>
      </c>
      <c r="P108" s="5">
        <f>INDEX(Mapping!$G$24:$G$31,MATCH($B108,Mapping!$A$24:$A$31,0))</f>
        <v/>
      </c>
      <c r="Q108" s="20" t="n">
        <v>0</v>
      </c>
      <c r="R108" s="21" t="n"/>
      <c r="S108" s="21" t="n"/>
      <c r="T108" s="21" t="n"/>
      <c r="U108" s="21" t="n"/>
      <c r="V108" s="22">
        <f>Q108</f>
        <v/>
      </c>
      <c r="W108" s="21" t="n"/>
      <c r="X108" s="21" t="n"/>
      <c r="Y108" s="21" t="n"/>
      <c r="Z108" s="21" t="n"/>
      <c r="AA108" s="22">
        <f>Q108</f>
        <v/>
      </c>
      <c r="AB108" s="21" t="n"/>
      <c r="AC108" s="21" t="n"/>
      <c r="AD108" s="21" t="n"/>
      <c r="AE108" s="21" t="n"/>
      <c r="AF108" s="22">
        <f>Q108</f>
        <v/>
      </c>
      <c r="AG108" s="21" t="n"/>
      <c r="AH108" s="21" t="n"/>
      <c r="AI108" s="21" t="n"/>
      <c r="AJ108" s="21" t="n"/>
      <c r="AL108" s="23">
        <f>INDEX(Prices_dom!$A$6:$CU$2000,MATCH(Settings!$C$4&amp;AL$5,Prices_dom!$A$6:$A$2000,0),MATCH("mit.sp."&amp;$N108,Prices_dom!$A$5:$CU$5,0))/$P108</f>
        <v/>
      </c>
      <c r="AM108" s="22">
        <f>AL108*(1+INDEX($Q108:$AJ108,1,(AM$4-1)*5+1))</f>
        <v/>
      </c>
      <c r="AN108" s="22">
        <f>AM108*(1+INDEX($Q108:$AJ108,1,(AN$4-1)*5+1))</f>
        <v/>
      </c>
      <c r="AO108" s="22">
        <f>AN108*(1+INDEX($Q108:$AJ108,1,(AO$4-1)*5+1))</f>
        <v/>
      </c>
      <c r="AP108" s="22">
        <f>AO108*(1+INDEX($Q108:$AJ108,1,(AP$4-1)*5+1))</f>
        <v/>
      </c>
      <c r="AQ108" s="22">
        <f>AP108*(1+INDEX($Q108:$AJ108,1,(AQ$4-1)*5+1))</f>
        <v/>
      </c>
      <c r="AR108" s="22">
        <f>AQ108*(1+INDEX($Q108:$AJ108,1,(AR$4-1)*5+1))</f>
        <v/>
      </c>
      <c r="AS108" s="22">
        <f>AR108*(1+INDEX($Q108:$AJ108,1,(AS$4-1)*5+1))</f>
        <v/>
      </c>
      <c r="AT108" s="22">
        <f>AS108*(1+INDEX($Q108:$AJ108,1,(AT$4-1)*5+1))</f>
        <v/>
      </c>
      <c r="AU108" s="22">
        <f>AT108*(1+INDEX($Q108:$AJ108,1,(AU$4-1)*5+1))</f>
        <v/>
      </c>
      <c r="AV108" s="22">
        <f>AU108*(1+INDEX($Q108:$AJ108,1,(AV$4-1)*5+1))</f>
        <v/>
      </c>
      <c r="AW108" s="22">
        <f>AV108*(1+INDEX($Q108:$AJ108,1,(AW$4-1)*5+1))</f>
        <v/>
      </c>
      <c r="AX108" s="22">
        <f>AW108*(1+INDEX($Q108:$AJ108,1,(AX$4-1)*5+1))</f>
        <v/>
      </c>
      <c r="AY108" s="22">
        <f>AX108*(1+INDEX($Q108:$AJ108,1,(AY$4-1)*5+1))</f>
        <v/>
      </c>
      <c r="BA108" s="23">
        <f>INDEX(Prices_dom!$A$6:$CU$2000,MATCH(Settings!$C$4&amp;BA$5,Prices_dom!$A$6:$A$2000,0),MATCH("mit.sp."&amp;$N108,Prices_dom!$A$5:$CU$5,0))/$P108</f>
        <v/>
      </c>
      <c r="BB108" s="22">
        <f>BA108*(1+INDEX($Q108:$AJ108,1,(BB$4-1)*5+1))</f>
        <v/>
      </c>
      <c r="BC108" s="22">
        <f>BB108*(1+INDEX($Q108:$AJ108,1,(BC$4-1)*5+1))</f>
        <v/>
      </c>
      <c r="BD108" s="22">
        <f>BC108*(1+INDEX($Q108:$AJ108,1,(BD$4-1)*5+1))</f>
        <v/>
      </c>
      <c r="BE108" s="22">
        <f>BD108*(1+INDEX($Q108:$AJ108,1,(BE$4-1)*5+1))</f>
        <v/>
      </c>
      <c r="BF108" s="22">
        <f>BE108*(1+INDEX($Q108:$AJ108,1,(BF$4-1)*5+1))</f>
        <v/>
      </c>
      <c r="BG108" s="22">
        <f>BF108*(1+INDEX($Q108:$AJ108,1,(BG$4-1)*5+1))</f>
        <v/>
      </c>
      <c r="BH108" s="22">
        <f>BG108*(1+INDEX($Q108:$AJ108,1,(BH$4-1)*5+1))</f>
        <v/>
      </c>
      <c r="BI108" s="22">
        <f>BH108*(1+INDEX($Q108:$AJ108,1,(BI$4-1)*5+1))</f>
        <v/>
      </c>
      <c r="BJ108" s="22">
        <f>BI108*(1+INDEX($Q108:$AJ108,1,(BJ$4-1)*5+1))</f>
        <v/>
      </c>
      <c r="BK108" s="22">
        <f>BJ108*(1+INDEX($Q108:$AJ108,1,(BK$4-1)*5+1))</f>
        <v/>
      </c>
      <c r="BL108" s="22">
        <f>BK108*(1+INDEX($Q108:$AJ108,1,(BL$4-1)*5+1))</f>
        <v/>
      </c>
      <c r="BM108" s="22">
        <f>BL108*(1+INDEX($Q108:$AJ108,1,(BM$4-1)*5+1))</f>
        <v/>
      </c>
      <c r="BN108" s="22">
        <f>BM108*(1+INDEX($Q108:$AJ108,1,(BN$4-1)*5+1))</f>
        <v/>
      </c>
    </row>
    <row r="109">
      <c r="B109" s="5" t="inlineStr">
        <is>
          <t>gso</t>
        </is>
      </c>
      <c r="C109" s="5" t="inlineStr">
        <is>
          <t>omn</t>
        </is>
      </c>
      <c r="D109" s="5" t="inlineStr">
        <is>
          <t>Pre-tax price | Other manufacturing | Gasoline</t>
        </is>
      </c>
      <c r="E109" s="5" t="inlineStr">
        <is>
          <t>$/GJ</t>
        </is>
      </c>
      <c r="F109" s="5" t="inlineStr">
        <is>
          <t>Prices_dom (base year), then growth</t>
        </is>
      </c>
      <c r="G109" s="19" t="inlineStr">
        <is>
          <t>mit.sp.gso</t>
        </is>
      </c>
      <c r="H109" s="19" t="inlineStr">
        <is>
          <t>mit.pbt.gso.omn</t>
        </is>
      </c>
      <c r="J109" s="5">
        <f>INDEX(Mapping!$C$5:$C$20,MATCH($C109,Mapping!$A$5:$A$20,0))</f>
        <v/>
      </c>
      <c r="K109" s="5">
        <f>INDEX(Mapping!$D$5:$D$20,MATCH($C109,Mapping!$A$5:$A$20,0))</f>
        <v/>
      </c>
      <c r="L109" s="5">
        <f>INDEX(Mapping!$C$24:$C$31,MATCH($B109,Mapping!$A$24:$A$31,0))</f>
        <v/>
      </c>
      <c r="M109" s="5">
        <f>INDEX(Mapping!$D$24:$D$31,MATCH($B109,Mapping!$A$24:$A$31,0))</f>
        <v/>
      </c>
      <c r="N109" s="5">
        <f>$B109&amp;"."&amp;IF(INDEX(Mapping!$E$24:$E$31,MATCH($B109,Mapping!$A$24:$A$31,0))="sub",INDEX(Mapping!$F$5:$F$20,MATCH($C109,Mapping!$A$5:$A$20,0)),"all")</f>
        <v/>
      </c>
      <c r="O109" s="5">
        <f>INDEX(Mapping!$E$5:$E$20,MATCH($C109,Mapping!$A$5:$A$20,0))</f>
        <v/>
      </c>
      <c r="P109" s="5">
        <f>INDEX(Mapping!$G$24:$G$31,MATCH($B109,Mapping!$A$24:$A$31,0))</f>
        <v/>
      </c>
      <c r="Q109" s="20" t="n">
        <v>0</v>
      </c>
      <c r="R109" s="21" t="n"/>
      <c r="S109" s="21" t="n"/>
      <c r="T109" s="21" t="n"/>
      <c r="U109" s="21" t="n"/>
      <c r="V109" s="22">
        <f>Q109</f>
        <v/>
      </c>
      <c r="W109" s="21" t="n"/>
      <c r="X109" s="21" t="n"/>
      <c r="Y109" s="21" t="n"/>
      <c r="Z109" s="21" t="n"/>
      <c r="AA109" s="22">
        <f>Q109</f>
        <v/>
      </c>
      <c r="AB109" s="21" t="n"/>
      <c r="AC109" s="21" t="n"/>
      <c r="AD109" s="21" t="n"/>
      <c r="AE109" s="21" t="n"/>
      <c r="AF109" s="22">
        <f>Q109</f>
        <v/>
      </c>
      <c r="AG109" s="21" t="n"/>
      <c r="AH109" s="21" t="n"/>
      <c r="AI109" s="21" t="n"/>
      <c r="AJ109" s="21" t="n"/>
      <c r="AL109" s="23">
        <f>INDEX(Prices_dom!$A$6:$CU$2000,MATCH(Settings!$C$4&amp;AL$5,Prices_dom!$A$6:$A$2000,0),MATCH("mit.sp."&amp;$N109,Prices_dom!$A$5:$CU$5,0))/$P109</f>
        <v/>
      </c>
      <c r="AM109" s="22">
        <f>AL109*(1+INDEX($Q109:$AJ109,1,(AM$4-1)*5+1))</f>
        <v/>
      </c>
      <c r="AN109" s="22">
        <f>AM109*(1+INDEX($Q109:$AJ109,1,(AN$4-1)*5+1))</f>
        <v/>
      </c>
      <c r="AO109" s="22">
        <f>AN109*(1+INDEX($Q109:$AJ109,1,(AO$4-1)*5+1))</f>
        <v/>
      </c>
      <c r="AP109" s="22">
        <f>AO109*(1+INDEX($Q109:$AJ109,1,(AP$4-1)*5+1))</f>
        <v/>
      </c>
      <c r="AQ109" s="22">
        <f>AP109*(1+INDEX($Q109:$AJ109,1,(AQ$4-1)*5+1))</f>
        <v/>
      </c>
      <c r="AR109" s="22">
        <f>AQ109*(1+INDEX($Q109:$AJ109,1,(AR$4-1)*5+1))</f>
        <v/>
      </c>
      <c r="AS109" s="22">
        <f>AR109*(1+INDEX($Q109:$AJ109,1,(AS$4-1)*5+1))</f>
        <v/>
      </c>
      <c r="AT109" s="22">
        <f>AS109*(1+INDEX($Q109:$AJ109,1,(AT$4-1)*5+1))</f>
        <v/>
      </c>
      <c r="AU109" s="22">
        <f>AT109*(1+INDEX($Q109:$AJ109,1,(AU$4-1)*5+1))</f>
        <v/>
      </c>
      <c r="AV109" s="22">
        <f>AU109*(1+INDEX($Q109:$AJ109,1,(AV$4-1)*5+1))</f>
        <v/>
      </c>
      <c r="AW109" s="22">
        <f>AV109*(1+INDEX($Q109:$AJ109,1,(AW$4-1)*5+1))</f>
        <v/>
      </c>
      <c r="AX109" s="22">
        <f>AW109*(1+INDEX($Q109:$AJ109,1,(AX$4-1)*5+1))</f>
        <v/>
      </c>
      <c r="AY109" s="22">
        <f>AX109*(1+INDEX($Q109:$AJ109,1,(AY$4-1)*5+1))</f>
        <v/>
      </c>
      <c r="BA109" s="23">
        <f>INDEX(Prices_dom!$A$6:$CU$2000,MATCH(Settings!$C$4&amp;BA$5,Prices_dom!$A$6:$A$2000,0),MATCH("mit.sp."&amp;$N109,Prices_dom!$A$5:$CU$5,0))/$P109</f>
        <v/>
      </c>
      <c r="BB109" s="22">
        <f>BA109*(1+INDEX($Q109:$AJ109,1,(BB$4-1)*5+1))</f>
        <v/>
      </c>
      <c r="BC109" s="22">
        <f>BB109*(1+INDEX($Q109:$AJ109,1,(BC$4-1)*5+1))</f>
        <v/>
      </c>
      <c r="BD109" s="22">
        <f>BC109*(1+INDEX($Q109:$AJ109,1,(BD$4-1)*5+1))</f>
        <v/>
      </c>
      <c r="BE109" s="22">
        <f>BD109*(1+INDEX($Q109:$AJ109,1,(BE$4-1)*5+1))</f>
        <v/>
      </c>
      <c r="BF109" s="22">
        <f>BE109*(1+INDEX($Q109:$AJ109,1,(BF$4-1)*5+1))</f>
        <v/>
      </c>
      <c r="BG109" s="22">
        <f>BF109*(1+INDEX($Q109:$AJ109,1,(BG$4-1)*5+1))</f>
        <v/>
      </c>
      <c r="BH109" s="22">
        <f>BG109*(1+INDEX($Q109:$AJ109,1,(BH$4-1)*5+1))</f>
        <v/>
      </c>
      <c r="BI109" s="22">
        <f>BH109*(1+INDEX($Q109:$AJ109,1,(BI$4-1)*5+1))</f>
        <v/>
      </c>
      <c r="BJ109" s="22">
        <f>BI109*(1+INDEX($Q109:$AJ109,1,(BJ$4-1)*5+1))</f>
        <v/>
      </c>
      <c r="BK109" s="22">
        <f>BJ109*(1+INDEX($Q109:$AJ109,1,(BK$4-1)*5+1))</f>
        <v/>
      </c>
      <c r="BL109" s="22">
        <f>BK109*(1+INDEX($Q109:$AJ109,1,(BL$4-1)*5+1))</f>
        <v/>
      </c>
      <c r="BM109" s="22">
        <f>BL109*(1+INDEX($Q109:$AJ109,1,(BM$4-1)*5+1))</f>
        <v/>
      </c>
      <c r="BN109" s="22">
        <f>BM109*(1+INDEX($Q109:$AJ109,1,(BN$4-1)*5+1))</f>
        <v/>
      </c>
    </row>
    <row r="110">
      <c r="B110" s="5" t="inlineStr">
        <is>
          <t>die</t>
        </is>
      </c>
      <c r="C110" s="5" t="inlineStr">
        <is>
          <t>omn</t>
        </is>
      </c>
      <c r="D110" s="5" t="inlineStr">
        <is>
          <t>Pre-tax price | Other manufacturing | Diesel</t>
        </is>
      </c>
      <c r="E110" s="5" t="inlineStr">
        <is>
          <t>$/GJ</t>
        </is>
      </c>
      <c r="F110" s="5" t="inlineStr">
        <is>
          <t>Prices_dom (base year), then growth</t>
        </is>
      </c>
      <c r="G110" s="19" t="inlineStr">
        <is>
          <t>mit.sp.die</t>
        </is>
      </c>
      <c r="H110" s="19" t="inlineStr">
        <is>
          <t>mit.pbt.die.omn</t>
        </is>
      </c>
      <c r="J110" s="5">
        <f>INDEX(Mapping!$C$5:$C$20,MATCH($C110,Mapping!$A$5:$A$20,0))</f>
        <v/>
      </c>
      <c r="K110" s="5">
        <f>INDEX(Mapping!$D$5:$D$20,MATCH($C110,Mapping!$A$5:$A$20,0))</f>
        <v/>
      </c>
      <c r="L110" s="5">
        <f>INDEX(Mapping!$C$24:$C$31,MATCH($B110,Mapping!$A$24:$A$31,0))</f>
        <v/>
      </c>
      <c r="M110" s="5">
        <f>INDEX(Mapping!$D$24:$D$31,MATCH($B110,Mapping!$A$24:$A$31,0))</f>
        <v/>
      </c>
      <c r="N110" s="5">
        <f>$B110&amp;"."&amp;IF(INDEX(Mapping!$E$24:$E$31,MATCH($B110,Mapping!$A$24:$A$31,0))="sub",INDEX(Mapping!$F$5:$F$20,MATCH($C110,Mapping!$A$5:$A$20,0)),"all")</f>
        <v/>
      </c>
      <c r="O110" s="5">
        <f>INDEX(Mapping!$E$5:$E$20,MATCH($C110,Mapping!$A$5:$A$20,0))</f>
        <v/>
      </c>
      <c r="P110" s="5">
        <f>INDEX(Mapping!$G$24:$G$31,MATCH($B110,Mapping!$A$24:$A$31,0))</f>
        <v/>
      </c>
      <c r="Q110" s="20" t="n">
        <v>0</v>
      </c>
      <c r="R110" s="21" t="n"/>
      <c r="S110" s="21" t="n"/>
      <c r="T110" s="21" t="n"/>
      <c r="U110" s="21" t="n"/>
      <c r="V110" s="22">
        <f>Q110</f>
        <v/>
      </c>
      <c r="W110" s="21" t="n"/>
      <c r="X110" s="21" t="n"/>
      <c r="Y110" s="21" t="n"/>
      <c r="Z110" s="21" t="n"/>
      <c r="AA110" s="22">
        <f>Q110</f>
        <v/>
      </c>
      <c r="AB110" s="21" t="n"/>
      <c r="AC110" s="21" t="n"/>
      <c r="AD110" s="21" t="n"/>
      <c r="AE110" s="21" t="n"/>
      <c r="AF110" s="22">
        <f>Q110</f>
        <v/>
      </c>
      <c r="AG110" s="21" t="n"/>
      <c r="AH110" s="21" t="n"/>
      <c r="AI110" s="21" t="n"/>
      <c r="AJ110" s="21" t="n"/>
      <c r="AL110" s="23">
        <f>INDEX(Prices_dom!$A$6:$CU$2000,MATCH(Settings!$C$4&amp;AL$5,Prices_dom!$A$6:$A$2000,0),MATCH("mit.sp."&amp;$N110,Prices_dom!$A$5:$CU$5,0))/$P110</f>
        <v/>
      </c>
      <c r="AM110" s="22">
        <f>AL110*(1+INDEX($Q110:$AJ110,1,(AM$4-1)*5+1))</f>
        <v/>
      </c>
      <c r="AN110" s="22">
        <f>AM110*(1+INDEX($Q110:$AJ110,1,(AN$4-1)*5+1))</f>
        <v/>
      </c>
      <c r="AO110" s="22">
        <f>AN110*(1+INDEX($Q110:$AJ110,1,(AO$4-1)*5+1))</f>
        <v/>
      </c>
      <c r="AP110" s="22">
        <f>AO110*(1+INDEX($Q110:$AJ110,1,(AP$4-1)*5+1))</f>
        <v/>
      </c>
      <c r="AQ110" s="22">
        <f>AP110*(1+INDEX($Q110:$AJ110,1,(AQ$4-1)*5+1))</f>
        <v/>
      </c>
      <c r="AR110" s="22">
        <f>AQ110*(1+INDEX($Q110:$AJ110,1,(AR$4-1)*5+1))</f>
        <v/>
      </c>
      <c r="AS110" s="22">
        <f>AR110*(1+INDEX($Q110:$AJ110,1,(AS$4-1)*5+1))</f>
        <v/>
      </c>
      <c r="AT110" s="22">
        <f>AS110*(1+INDEX($Q110:$AJ110,1,(AT$4-1)*5+1))</f>
        <v/>
      </c>
      <c r="AU110" s="22">
        <f>AT110*(1+INDEX($Q110:$AJ110,1,(AU$4-1)*5+1))</f>
        <v/>
      </c>
      <c r="AV110" s="22">
        <f>AU110*(1+INDEX($Q110:$AJ110,1,(AV$4-1)*5+1))</f>
        <v/>
      </c>
      <c r="AW110" s="22">
        <f>AV110*(1+INDEX($Q110:$AJ110,1,(AW$4-1)*5+1))</f>
        <v/>
      </c>
      <c r="AX110" s="22">
        <f>AW110*(1+INDEX($Q110:$AJ110,1,(AX$4-1)*5+1))</f>
        <v/>
      </c>
      <c r="AY110" s="22">
        <f>AX110*(1+INDEX($Q110:$AJ110,1,(AY$4-1)*5+1))</f>
        <v/>
      </c>
      <c r="BA110" s="23">
        <f>INDEX(Prices_dom!$A$6:$CU$2000,MATCH(Settings!$C$4&amp;BA$5,Prices_dom!$A$6:$A$2000,0),MATCH("mit.sp."&amp;$N110,Prices_dom!$A$5:$CU$5,0))/$P110</f>
        <v/>
      </c>
      <c r="BB110" s="22">
        <f>BA110*(1+INDEX($Q110:$AJ110,1,(BB$4-1)*5+1))</f>
        <v/>
      </c>
      <c r="BC110" s="22">
        <f>BB110*(1+INDEX($Q110:$AJ110,1,(BC$4-1)*5+1))</f>
        <v/>
      </c>
      <c r="BD110" s="22">
        <f>BC110*(1+INDEX($Q110:$AJ110,1,(BD$4-1)*5+1))</f>
        <v/>
      </c>
      <c r="BE110" s="22">
        <f>BD110*(1+INDEX($Q110:$AJ110,1,(BE$4-1)*5+1))</f>
        <v/>
      </c>
      <c r="BF110" s="22">
        <f>BE110*(1+INDEX($Q110:$AJ110,1,(BF$4-1)*5+1))</f>
        <v/>
      </c>
      <c r="BG110" s="22">
        <f>BF110*(1+INDEX($Q110:$AJ110,1,(BG$4-1)*5+1))</f>
        <v/>
      </c>
      <c r="BH110" s="22">
        <f>BG110*(1+INDEX($Q110:$AJ110,1,(BH$4-1)*5+1))</f>
        <v/>
      </c>
      <c r="BI110" s="22">
        <f>BH110*(1+INDEX($Q110:$AJ110,1,(BI$4-1)*5+1))</f>
        <v/>
      </c>
      <c r="BJ110" s="22">
        <f>BI110*(1+INDEX($Q110:$AJ110,1,(BJ$4-1)*5+1))</f>
        <v/>
      </c>
      <c r="BK110" s="22">
        <f>BJ110*(1+INDEX($Q110:$AJ110,1,(BK$4-1)*5+1))</f>
        <v/>
      </c>
      <c r="BL110" s="22">
        <f>BK110*(1+INDEX($Q110:$AJ110,1,(BL$4-1)*5+1))</f>
        <v/>
      </c>
      <c r="BM110" s="22">
        <f>BL110*(1+INDEX($Q110:$AJ110,1,(BM$4-1)*5+1))</f>
        <v/>
      </c>
      <c r="BN110" s="22">
        <f>BM110*(1+INDEX($Q110:$AJ110,1,(BN$4-1)*5+1))</f>
        <v/>
      </c>
    </row>
    <row r="111">
      <c r="B111" s="5" t="inlineStr">
        <is>
          <t>lpg</t>
        </is>
      </c>
      <c r="C111" s="5" t="inlineStr">
        <is>
          <t>omn</t>
        </is>
      </c>
      <c r="D111" s="5" t="inlineStr">
        <is>
          <t>Pre-tax price | Other manufacturing | LPG</t>
        </is>
      </c>
      <c r="E111" s="5" t="inlineStr">
        <is>
          <t>$/GJ</t>
        </is>
      </c>
      <c r="F111" s="5" t="inlineStr">
        <is>
          <t>Prices_dom (base year), then growth</t>
        </is>
      </c>
      <c r="G111" s="19" t="inlineStr">
        <is>
          <t>mit.sp.lpg</t>
        </is>
      </c>
      <c r="H111" s="19" t="inlineStr">
        <is>
          <t>mit.pbt.lpg.omn</t>
        </is>
      </c>
      <c r="J111" s="5">
        <f>INDEX(Mapping!$C$5:$C$20,MATCH($C111,Mapping!$A$5:$A$20,0))</f>
        <v/>
      </c>
      <c r="K111" s="5">
        <f>INDEX(Mapping!$D$5:$D$20,MATCH($C111,Mapping!$A$5:$A$20,0))</f>
        <v/>
      </c>
      <c r="L111" s="5">
        <f>INDEX(Mapping!$C$24:$C$31,MATCH($B111,Mapping!$A$24:$A$31,0))</f>
        <v/>
      </c>
      <c r="M111" s="5">
        <f>INDEX(Mapping!$D$24:$D$31,MATCH($B111,Mapping!$A$24:$A$31,0))</f>
        <v/>
      </c>
      <c r="N111" s="5">
        <f>$B111&amp;"."&amp;IF(INDEX(Mapping!$E$24:$E$31,MATCH($B111,Mapping!$A$24:$A$31,0))="sub",INDEX(Mapping!$F$5:$F$20,MATCH($C111,Mapping!$A$5:$A$20,0)),"all")</f>
        <v/>
      </c>
      <c r="O111" s="5">
        <f>INDEX(Mapping!$E$5:$E$20,MATCH($C111,Mapping!$A$5:$A$20,0))</f>
        <v/>
      </c>
      <c r="P111" s="5">
        <f>INDEX(Mapping!$G$24:$G$31,MATCH($B111,Mapping!$A$24:$A$31,0))</f>
        <v/>
      </c>
      <c r="Q111" s="20" t="n">
        <v>0</v>
      </c>
      <c r="R111" s="21" t="n"/>
      <c r="S111" s="21" t="n"/>
      <c r="T111" s="21" t="n"/>
      <c r="U111" s="21" t="n"/>
      <c r="V111" s="22">
        <f>Q111</f>
        <v/>
      </c>
      <c r="W111" s="21" t="n"/>
      <c r="X111" s="21" t="n"/>
      <c r="Y111" s="21" t="n"/>
      <c r="Z111" s="21" t="n"/>
      <c r="AA111" s="22">
        <f>Q111</f>
        <v/>
      </c>
      <c r="AB111" s="21" t="n"/>
      <c r="AC111" s="21" t="n"/>
      <c r="AD111" s="21" t="n"/>
      <c r="AE111" s="21" t="n"/>
      <c r="AF111" s="22">
        <f>Q111</f>
        <v/>
      </c>
      <c r="AG111" s="21" t="n"/>
      <c r="AH111" s="21" t="n"/>
      <c r="AI111" s="21" t="n"/>
      <c r="AJ111" s="21" t="n"/>
      <c r="AL111" s="23">
        <f>INDEX(Prices_dom!$A$6:$CU$2000,MATCH(Settings!$C$4&amp;AL$5,Prices_dom!$A$6:$A$2000,0),MATCH("mit.sp."&amp;$N111,Prices_dom!$A$5:$CU$5,0))/$P111</f>
        <v/>
      </c>
      <c r="AM111" s="22">
        <f>AL111*(1+INDEX($Q111:$AJ111,1,(AM$4-1)*5+1))</f>
        <v/>
      </c>
      <c r="AN111" s="22">
        <f>AM111*(1+INDEX($Q111:$AJ111,1,(AN$4-1)*5+1))</f>
        <v/>
      </c>
      <c r="AO111" s="22">
        <f>AN111*(1+INDEX($Q111:$AJ111,1,(AO$4-1)*5+1))</f>
        <v/>
      </c>
      <c r="AP111" s="22">
        <f>AO111*(1+INDEX($Q111:$AJ111,1,(AP$4-1)*5+1))</f>
        <v/>
      </c>
      <c r="AQ111" s="22">
        <f>AP111*(1+INDEX($Q111:$AJ111,1,(AQ$4-1)*5+1))</f>
        <v/>
      </c>
      <c r="AR111" s="22">
        <f>AQ111*(1+INDEX($Q111:$AJ111,1,(AR$4-1)*5+1))</f>
        <v/>
      </c>
      <c r="AS111" s="22">
        <f>AR111*(1+INDEX($Q111:$AJ111,1,(AS$4-1)*5+1))</f>
        <v/>
      </c>
      <c r="AT111" s="22">
        <f>AS111*(1+INDEX($Q111:$AJ111,1,(AT$4-1)*5+1))</f>
        <v/>
      </c>
      <c r="AU111" s="22">
        <f>AT111*(1+INDEX($Q111:$AJ111,1,(AU$4-1)*5+1))</f>
        <v/>
      </c>
      <c r="AV111" s="22">
        <f>AU111*(1+INDEX($Q111:$AJ111,1,(AV$4-1)*5+1))</f>
        <v/>
      </c>
      <c r="AW111" s="22">
        <f>AV111*(1+INDEX($Q111:$AJ111,1,(AW$4-1)*5+1))</f>
        <v/>
      </c>
      <c r="AX111" s="22">
        <f>AW111*(1+INDEX($Q111:$AJ111,1,(AX$4-1)*5+1))</f>
        <v/>
      </c>
      <c r="AY111" s="22">
        <f>AX111*(1+INDEX($Q111:$AJ111,1,(AY$4-1)*5+1))</f>
        <v/>
      </c>
      <c r="BA111" s="23">
        <f>INDEX(Prices_dom!$A$6:$CU$2000,MATCH(Settings!$C$4&amp;BA$5,Prices_dom!$A$6:$A$2000,0),MATCH("mit.sp."&amp;$N111,Prices_dom!$A$5:$CU$5,0))/$P111</f>
        <v/>
      </c>
      <c r="BB111" s="22">
        <f>BA111*(1+INDEX($Q111:$AJ111,1,(BB$4-1)*5+1))</f>
        <v/>
      </c>
      <c r="BC111" s="22">
        <f>BB111*(1+INDEX($Q111:$AJ111,1,(BC$4-1)*5+1))</f>
        <v/>
      </c>
      <c r="BD111" s="22">
        <f>BC111*(1+INDEX($Q111:$AJ111,1,(BD$4-1)*5+1))</f>
        <v/>
      </c>
      <c r="BE111" s="22">
        <f>BD111*(1+INDEX($Q111:$AJ111,1,(BE$4-1)*5+1))</f>
        <v/>
      </c>
      <c r="BF111" s="22">
        <f>BE111*(1+INDEX($Q111:$AJ111,1,(BF$4-1)*5+1))</f>
        <v/>
      </c>
      <c r="BG111" s="22">
        <f>BF111*(1+INDEX($Q111:$AJ111,1,(BG$4-1)*5+1))</f>
        <v/>
      </c>
      <c r="BH111" s="22">
        <f>BG111*(1+INDEX($Q111:$AJ111,1,(BH$4-1)*5+1))</f>
        <v/>
      </c>
      <c r="BI111" s="22">
        <f>BH111*(1+INDEX($Q111:$AJ111,1,(BI$4-1)*5+1))</f>
        <v/>
      </c>
      <c r="BJ111" s="22">
        <f>BI111*(1+INDEX($Q111:$AJ111,1,(BJ$4-1)*5+1))</f>
        <v/>
      </c>
      <c r="BK111" s="22">
        <f>BJ111*(1+INDEX($Q111:$AJ111,1,(BK$4-1)*5+1))</f>
        <v/>
      </c>
      <c r="BL111" s="22">
        <f>BK111*(1+INDEX($Q111:$AJ111,1,(BL$4-1)*5+1))</f>
        <v/>
      </c>
      <c r="BM111" s="22">
        <f>BL111*(1+INDEX($Q111:$AJ111,1,(BM$4-1)*5+1))</f>
        <v/>
      </c>
      <c r="BN111" s="22">
        <f>BM111*(1+INDEX($Q111:$AJ111,1,(BN$4-1)*5+1))</f>
        <v/>
      </c>
    </row>
    <row r="112">
      <c r="B112" s="5" t="inlineStr">
        <is>
          <t>ker</t>
        </is>
      </c>
      <c r="C112" s="5" t="inlineStr">
        <is>
          <t>omn</t>
        </is>
      </c>
      <c r="D112" s="5" t="inlineStr">
        <is>
          <t>Pre-tax price | Other manufacturing | Kerosene</t>
        </is>
      </c>
      <c r="E112" s="5" t="inlineStr">
        <is>
          <t>$/GJ</t>
        </is>
      </c>
      <c r="F112" s="5" t="inlineStr">
        <is>
          <t>Prices_dom (base year), then growth</t>
        </is>
      </c>
      <c r="G112" s="19" t="inlineStr">
        <is>
          <t>mit.sp.ker</t>
        </is>
      </c>
      <c r="H112" s="19" t="inlineStr">
        <is>
          <t>mit.pbt.ker.omn</t>
        </is>
      </c>
      <c r="J112" s="5">
        <f>INDEX(Mapping!$C$5:$C$20,MATCH($C112,Mapping!$A$5:$A$20,0))</f>
        <v/>
      </c>
      <c r="K112" s="5">
        <f>INDEX(Mapping!$D$5:$D$20,MATCH($C112,Mapping!$A$5:$A$20,0))</f>
        <v/>
      </c>
      <c r="L112" s="5">
        <f>INDEX(Mapping!$C$24:$C$31,MATCH($B112,Mapping!$A$24:$A$31,0))</f>
        <v/>
      </c>
      <c r="M112" s="5">
        <f>INDEX(Mapping!$D$24:$D$31,MATCH($B112,Mapping!$A$24:$A$31,0))</f>
        <v/>
      </c>
      <c r="N112" s="5">
        <f>$B112&amp;"."&amp;IF(INDEX(Mapping!$E$24:$E$31,MATCH($B112,Mapping!$A$24:$A$31,0))="sub",INDEX(Mapping!$F$5:$F$20,MATCH($C112,Mapping!$A$5:$A$20,0)),"all")</f>
        <v/>
      </c>
      <c r="O112" s="5">
        <f>INDEX(Mapping!$E$5:$E$20,MATCH($C112,Mapping!$A$5:$A$20,0))</f>
        <v/>
      </c>
      <c r="P112" s="5">
        <f>INDEX(Mapping!$G$24:$G$31,MATCH($B112,Mapping!$A$24:$A$31,0))</f>
        <v/>
      </c>
      <c r="Q112" s="20" t="n">
        <v>0</v>
      </c>
      <c r="R112" s="21" t="n"/>
      <c r="S112" s="21" t="n"/>
      <c r="T112" s="21" t="n"/>
      <c r="U112" s="21" t="n"/>
      <c r="V112" s="22">
        <f>Q112</f>
        <v/>
      </c>
      <c r="W112" s="21" t="n"/>
      <c r="X112" s="21" t="n"/>
      <c r="Y112" s="21" t="n"/>
      <c r="Z112" s="21" t="n"/>
      <c r="AA112" s="22">
        <f>Q112</f>
        <v/>
      </c>
      <c r="AB112" s="21" t="n"/>
      <c r="AC112" s="21" t="n"/>
      <c r="AD112" s="21" t="n"/>
      <c r="AE112" s="21" t="n"/>
      <c r="AF112" s="22">
        <f>Q112</f>
        <v/>
      </c>
      <c r="AG112" s="21" t="n"/>
      <c r="AH112" s="21" t="n"/>
      <c r="AI112" s="21" t="n"/>
      <c r="AJ112" s="21" t="n"/>
      <c r="AL112" s="23">
        <f>INDEX(Prices_dom!$A$6:$CU$2000,MATCH(Settings!$C$4&amp;AL$5,Prices_dom!$A$6:$A$2000,0),MATCH("mit.sp."&amp;$N112,Prices_dom!$A$5:$CU$5,0))/$P112</f>
        <v/>
      </c>
      <c r="AM112" s="22">
        <f>AL112*(1+INDEX($Q112:$AJ112,1,(AM$4-1)*5+1))</f>
        <v/>
      </c>
      <c r="AN112" s="22">
        <f>AM112*(1+INDEX($Q112:$AJ112,1,(AN$4-1)*5+1))</f>
        <v/>
      </c>
      <c r="AO112" s="22">
        <f>AN112*(1+INDEX($Q112:$AJ112,1,(AO$4-1)*5+1))</f>
        <v/>
      </c>
      <c r="AP112" s="22">
        <f>AO112*(1+INDEX($Q112:$AJ112,1,(AP$4-1)*5+1))</f>
        <v/>
      </c>
      <c r="AQ112" s="22">
        <f>AP112*(1+INDEX($Q112:$AJ112,1,(AQ$4-1)*5+1))</f>
        <v/>
      </c>
      <c r="AR112" s="22">
        <f>AQ112*(1+INDEX($Q112:$AJ112,1,(AR$4-1)*5+1))</f>
        <v/>
      </c>
      <c r="AS112" s="22">
        <f>AR112*(1+INDEX($Q112:$AJ112,1,(AS$4-1)*5+1))</f>
        <v/>
      </c>
      <c r="AT112" s="22">
        <f>AS112*(1+INDEX($Q112:$AJ112,1,(AT$4-1)*5+1))</f>
        <v/>
      </c>
      <c r="AU112" s="22">
        <f>AT112*(1+INDEX($Q112:$AJ112,1,(AU$4-1)*5+1))</f>
        <v/>
      </c>
      <c r="AV112" s="22">
        <f>AU112*(1+INDEX($Q112:$AJ112,1,(AV$4-1)*5+1))</f>
        <v/>
      </c>
      <c r="AW112" s="22">
        <f>AV112*(1+INDEX($Q112:$AJ112,1,(AW$4-1)*5+1))</f>
        <v/>
      </c>
      <c r="AX112" s="22">
        <f>AW112*(1+INDEX($Q112:$AJ112,1,(AX$4-1)*5+1))</f>
        <v/>
      </c>
      <c r="AY112" s="22">
        <f>AX112*(1+INDEX($Q112:$AJ112,1,(AY$4-1)*5+1))</f>
        <v/>
      </c>
      <c r="BA112" s="23">
        <f>INDEX(Prices_dom!$A$6:$CU$2000,MATCH(Settings!$C$4&amp;BA$5,Prices_dom!$A$6:$A$2000,0),MATCH("mit.sp."&amp;$N112,Prices_dom!$A$5:$CU$5,0))/$P112</f>
        <v/>
      </c>
      <c r="BB112" s="22">
        <f>BA112*(1+INDEX($Q112:$AJ112,1,(BB$4-1)*5+1))</f>
        <v/>
      </c>
      <c r="BC112" s="22">
        <f>BB112*(1+INDEX($Q112:$AJ112,1,(BC$4-1)*5+1))</f>
        <v/>
      </c>
      <c r="BD112" s="22">
        <f>BC112*(1+INDEX($Q112:$AJ112,1,(BD$4-1)*5+1))</f>
        <v/>
      </c>
      <c r="BE112" s="22">
        <f>BD112*(1+INDEX($Q112:$AJ112,1,(BE$4-1)*5+1))</f>
        <v/>
      </c>
      <c r="BF112" s="22">
        <f>BE112*(1+INDEX($Q112:$AJ112,1,(BF$4-1)*5+1))</f>
        <v/>
      </c>
      <c r="BG112" s="22">
        <f>BF112*(1+INDEX($Q112:$AJ112,1,(BG$4-1)*5+1))</f>
        <v/>
      </c>
      <c r="BH112" s="22">
        <f>BG112*(1+INDEX($Q112:$AJ112,1,(BH$4-1)*5+1))</f>
        <v/>
      </c>
      <c r="BI112" s="22">
        <f>BH112*(1+INDEX($Q112:$AJ112,1,(BI$4-1)*5+1))</f>
        <v/>
      </c>
      <c r="BJ112" s="22">
        <f>BI112*(1+INDEX($Q112:$AJ112,1,(BJ$4-1)*5+1))</f>
        <v/>
      </c>
      <c r="BK112" s="22">
        <f>BJ112*(1+INDEX($Q112:$AJ112,1,(BK$4-1)*5+1))</f>
        <v/>
      </c>
      <c r="BL112" s="22">
        <f>BK112*(1+INDEX($Q112:$AJ112,1,(BL$4-1)*5+1))</f>
        <v/>
      </c>
      <c r="BM112" s="22">
        <f>BL112*(1+INDEX($Q112:$AJ112,1,(BM$4-1)*5+1))</f>
        <v/>
      </c>
      <c r="BN112" s="22">
        <f>BM112*(1+INDEX($Q112:$AJ112,1,(BN$4-1)*5+1))</f>
        <v/>
      </c>
    </row>
    <row r="113">
      <c r="B113" s="5" t="inlineStr">
        <is>
          <t>oop</t>
        </is>
      </c>
      <c r="C113" s="5" t="inlineStr">
        <is>
          <t>omn</t>
        </is>
      </c>
      <c r="D113" s="5" t="inlineStr">
        <is>
          <t>Pre-tax price | Other manufacturing | Other oil products</t>
        </is>
      </c>
      <c r="E113" s="5" t="inlineStr">
        <is>
          <t>$/GJ</t>
        </is>
      </c>
      <c r="F113" s="5" t="inlineStr">
        <is>
          <t>Prices_dom (base year), then growth</t>
        </is>
      </c>
      <c r="G113" s="19" t="inlineStr">
        <is>
          <t>mit.sp.oop</t>
        </is>
      </c>
      <c r="H113" s="19" t="inlineStr">
        <is>
          <t>mit.pbt.oop.omn</t>
        </is>
      </c>
      <c r="J113" s="5">
        <f>INDEX(Mapping!$C$5:$C$20,MATCH($C113,Mapping!$A$5:$A$20,0))</f>
        <v/>
      </c>
      <c r="K113" s="5">
        <f>INDEX(Mapping!$D$5:$D$20,MATCH($C113,Mapping!$A$5:$A$20,0))</f>
        <v/>
      </c>
      <c r="L113" s="5">
        <f>INDEX(Mapping!$C$24:$C$31,MATCH($B113,Mapping!$A$24:$A$31,0))</f>
        <v/>
      </c>
      <c r="M113" s="5">
        <f>INDEX(Mapping!$D$24:$D$31,MATCH($B113,Mapping!$A$24:$A$31,0))</f>
        <v/>
      </c>
      <c r="N113" s="5">
        <f>$B113&amp;"."&amp;IF(INDEX(Mapping!$E$24:$E$31,MATCH($B113,Mapping!$A$24:$A$31,0))="sub",INDEX(Mapping!$F$5:$F$20,MATCH($C113,Mapping!$A$5:$A$20,0)),"all")</f>
        <v/>
      </c>
      <c r="O113" s="5">
        <f>INDEX(Mapping!$E$5:$E$20,MATCH($C113,Mapping!$A$5:$A$20,0))</f>
        <v/>
      </c>
      <c r="P113" s="5">
        <f>INDEX(Mapping!$G$24:$G$31,MATCH($B113,Mapping!$A$24:$A$31,0))</f>
        <v/>
      </c>
      <c r="Q113" s="20" t="n">
        <v>0</v>
      </c>
      <c r="R113" s="21" t="n"/>
      <c r="S113" s="21" t="n"/>
      <c r="T113" s="21" t="n"/>
      <c r="U113" s="21" t="n"/>
      <c r="V113" s="22">
        <f>Q113</f>
        <v/>
      </c>
      <c r="W113" s="21" t="n"/>
      <c r="X113" s="21" t="n"/>
      <c r="Y113" s="21" t="n"/>
      <c r="Z113" s="21" t="n"/>
      <c r="AA113" s="22">
        <f>Q113</f>
        <v/>
      </c>
      <c r="AB113" s="21" t="n"/>
      <c r="AC113" s="21" t="n"/>
      <c r="AD113" s="21" t="n"/>
      <c r="AE113" s="21" t="n"/>
      <c r="AF113" s="22">
        <f>Q113</f>
        <v/>
      </c>
      <c r="AG113" s="21" t="n"/>
      <c r="AH113" s="21" t="n"/>
      <c r="AI113" s="21" t="n"/>
      <c r="AJ113" s="21" t="n"/>
      <c r="AL113" s="23">
        <f>INDEX(Prices_dom!$A$6:$CU$2000,MATCH(Settings!$C$4&amp;AL$5,Prices_dom!$A$6:$A$2000,0),MATCH("mit.sp."&amp;$N113,Prices_dom!$A$5:$CU$5,0))/$P113</f>
        <v/>
      </c>
      <c r="AM113" s="22">
        <f>AL113*(1+INDEX($Q113:$AJ113,1,(AM$4-1)*5+1))</f>
        <v/>
      </c>
      <c r="AN113" s="22">
        <f>AM113*(1+INDEX($Q113:$AJ113,1,(AN$4-1)*5+1))</f>
        <v/>
      </c>
      <c r="AO113" s="22">
        <f>AN113*(1+INDEX($Q113:$AJ113,1,(AO$4-1)*5+1))</f>
        <v/>
      </c>
      <c r="AP113" s="22">
        <f>AO113*(1+INDEX($Q113:$AJ113,1,(AP$4-1)*5+1))</f>
        <v/>
      </c>
      <c r="AQ113" s="22">
        <f>AP113*(1+INDEX($Q113:$AJ113,1,(AQ$4-1)*5+1))</f>
        <v/>
      </c>
      <c r="AR113" s="22">
        <f>AQ113*(1+INDEX($Q113:$AJ113,1,(AR$4-1)*5+1))</f>
        <v/>
      </c>
      <c r="AS113" s="22">
        <f>AR113*(1+INDEX($Q113:$AJ113,1,(AS$4-1)*5+1))</f>
        <v/>
      </c>
      <c r="AT113" s="22">
        <f>AS113*(1+INDEX($Q113:$AJ113,1,(AT$4-1)*5+1))</f>
        <v/>
      </c>
      <c r="AU113" s="22">
        <f>AT113*(1+INDEX($Q113:$AJ113,1,(AU$4-1)*5+1))</f>
        <v/>
      </c>
      <c r="AV113" s="22">
        <f>AU113*(1+INDEX($Q113:$AJ113,1,(AV$4-1)*5+1))</f>
        <v/>
      </c>
      <c r="AW113" s="22">
        <f>AV113*(1+INDEX($Q113:$AJ113,1,(AW$4-1)*5+1))</f>
        <v/>
      </c>
      <c r="AX113" s="22">
        <f>AW113*(1+INDEX($Q113:$AJ113,1,(AX$4-1)*5+1))</f>
        <v/>
      </c>
      <c r="AY113" s="22">
        <f>AX113*(1+INDEX($Q113:$AJ113,1,(AY$4-1)*5+1))</f>
        <v/>
      </c>
      <c r="BA113" s="23">
        <f>INDEX(Prices_dom!$A$6:$CU$2000,MATCH(Settings!$C$4&amp;BA$5,Prices_dom!$A$6:$A$2000,0),MATCH("mit.sp."&amp;$N113,Prices_dom!$A$5:$CU$5,0))/$P113</f>
        <v/>
      </c>
      <c r="BB113" s="22">
        <f>BA113*(1+INDEX($Q113:$AJ113,1,(BB$4-1)*5+1))</f>
        <v/>
      </c>
      <c r="BC113" s="22">
        <f>BB113*(1+INDEX($Q113:$AJ113,1,(BC$4-1)*5+1))</f>
        <v/>
      </c>
      <c r="BD113" s="22">
        <f>BC113*(1+INDEX($Q113:$AJ113,1,(BD$4-1)*5+1))</f>
        <v/>
      </c>
      <c r="BE113" s="22">
        <f>BD113*(1+INDEX($Q113:$AJ113,1,(BE$4-1)*5+1))</f>
        <v/>
      </c>
      <c r="BF113" s="22">
        <f>BE113*(1+INDEX($Q113:$AJ113,1,(BF$4-1)*5+1))</f>
        <v/>
      </c>
      <c r="BG113" s="22">
        <f>BF113*(1+INDEX($Q113:$AJ113,1,(BG$4-1)*5+1))</f>
        <v/>
      </c>
      <c r="BH113" s="22">
        <f>BG113*(1+INDEX($Q113:$AJ113,1,(BH$4-1)*5+1))</f>
        <v/>
      </c>
      <c r="BI113" s="22">
        <f>BH113*(1+INDEX($Q113:$AJ113,1,(BI$4-1)*5+1))</f>
        <v/>
      </c>
      <c r="BJ113" s="22">
        <f>BI113*(1+INDEX($Q113:$AJ113,1,(BJ$4-1)*5+1))</f>
        <v/>
      </c>
      <c r="BK113" s="22">
        <f>BJ113*(1+INDEX($Q113:$AJ113,1,(BK$4-1)*5+1))</f>
        <v/>
      </c>
      <c r="BL113" s="22">
        <f>BK113*(1+INDEX($Q113:$AJ113,1,(BL$4-1)*5+1))</f>
        <v/>
      </c>
      <c r="BM113" s="22">
        <f>BL113*(1+INDEX($Q113:$AJ113,1,(BM$4-1)*5+1))</f>
        <v/>
      </c>
      <c r="BN113" s="22">
        <f>BM113*(1+INDEX($Q113:$AJ113,1,(BN$4-1)*5+1))</f>
        <v/>
      </c>
    </row>
    <row r="114">
      <c r="B114" s="5" t="inlineStr">
        <is>
          <t>bio</t>
        </is>
      </c>
      <c r="C114" s="5" t="inlineStr">
        <is>
          <t>omn</t>
        </is>
      </c>
      <c r="D114" s="5" t="inlineStr">
        <is>
          <t>Pre-tax price | Other manufacturing | Biomass</t>
        </is>
      </c>
      <c r="E114" s="5" t="inlineStr">
        <is>
          <t>$/GJ</t>
        </is>
      </c>
      <c r="F114" s="5" t="inlineStr">
        <is>
          <t>Prices_dom (base year), then growth</t>
        </is>
      </c>
      <c r="G114" s="19" t="inlineStr">
        <is>
          <t>mit.sp.bio</t>
        </is>
      </c>
      <c r="H114" s="19" t="inlineStr">
        <is>
          <t>mit.pbt.bio.omn</t>
        </is>
      </c>
      <c r="J114" s="5">
        <f>INDEX(Mapping!$C$5:$C$20,MATCH($C114,Mapping!$A$5:$A$20,0))</f>
        <v/>
      </c>
      <c r="K114" s="5">
        <f>INDEX(Mapping!$D$5:$D$20,MATCH($C114,Mapping!$A$5:$A$20,0))</f>
        <v/>
      </c>
      <c r="L114" s="5">
        <f>INDEX(Mapping!$C$24:$C$31,MATCH($B114,Mapping!$A$24:$A$31,0))</f>
        <v/>
      </c>
      <c r="M114" s="5">
        <f>INDEX(Mapping!$D$24:$D$31,MATCH($B114,Mapping!$A$24:$A$31,0))</f>
        <v/>
      </c>
      <c r="N114" s="5">
        <f>$B114&amp;"."&amp;IF(INDEX(Mapping!$E$24:$E$31,MATCH($B114,Mapping!$A$24:$A$31,0))="sub",INDEX(Mapping!$F$5:$F$20,MATCH($C114,Mapping!$A$5:$A$20,0)),"all")</f>
        <v/>
      </c>
      <c r="O114" s="5">
        <f>INDEX(Mapping!$E$5:$E$20,MATCH($C114,Mapping!$A$5:$A$20,0))</f>
        <v/>
      </c>
      <c r="P114" s="5">
        <f>INDEX(Mapping!$G$24:$G$31,MATCH($B114,Mapping!$A$24:$A$31,0))</f>
        <v/>
      </c>
      <c r="Q114" s="20" t="n">
        <v>0</v>
      </c>
      <c r="R114" s="21" t="n"/>
      <c r="S114" s="21" t="n"/>
      <c r="T114" s="21" t="n"/>
      <c r="U114" s="21" t="n"/>
      <c r="V114" s="22">
        <f>Q114</f>
        <v/>
      </c>
      <c r="W114" s="21" t="n"/>
      <c r="X114" s="21" t="n"/>
      <c r="Y114" s="21" t="n"/>
      <c r="Z114" s="21" t="n"/>
      <c r="AA114" s="22">
        <f>Q114</f>
        <v/>
      </c>
      <c r="AB114" s="21" t="n"/>
      <c r="AC114" s="21" t="n"/>
      <c r="AD114" s="21" t="n"/>
      <c r="AE114" s="21" t="n"/>
      <c r="AF114" s="22">
        <f>Q114</f>
        <v/>
      </c>
      <c r="AG114" s="21" t="n"/>
      <c r="AH114" s="21" t="n"/>
      <c r="AI114" s="21" t="n"/>
      <c r="AJ114" s="21" t="n"/>
      <c r="AL114" s="23">
        <f>INDEX(Prices_dom!$A$6:$CU$2000,MATCH(Settings!$C$4&amp;AL$5,Prices_dom!$A$6:$A$2000,0),MATCH("mit.sp."&amp;$N114,Prices_dom!$A$5:$CU$5,0))/$P114</f>
        <v/>
      </c>
      <c r="AM114" s="22">
        <f>AL114*(1+INDEX($Q114:$AJ114,1,(AM$4-1)*5+1))</f>
        <v/>
      </c>
      <c r="AN114" s="22">
        <f>AM114*(1+INDEX($Q114:$AJ114,1,(AN$4-1)*5+1))</f>
        <v/>
      </c>
      <c r="AO114" s="22">
        <f>AN114*(1+INDEX($Q114:$AJ114,1,(AO$4-1)*5+1))</f>
        <v/>
      </c>
      <c r="AP114" s="22">
        <f>AO114*(1+INDEX($Q114:$AJ114,1,(AP$4-1)*5+1))</f>
        <v/>
      </c>
      <c r="AQ114" s="22">
        <f>AP114*(1+INDEX($Q114:$AJ114,1,(AQ$4-1)*5+1))</f>
        <v/>
      </c>
      <c r="AR114" s="22">
        <f>AQ114*(1+INDEX($Q114:$AJ114,1,(AR$4-1)*5+1))</f>
        <v/>
      </c>
      <c r="AS114" s="22">
        <f>AR114*(1+INDEX($Q114:$AJ114,1,(AS$4-1)*5+1))</f>
        <v/>
      </c>
      <c r="AT114" s="22">
        <f>AS114*(1+INDEX($Q114:$AJ114,1,(AT$4-1)*5+1))</f>
        <v/>
      </c>
      <c r="AU114" s="22">
        <f>AT114*(1+INDEX($Q114:$AJ114,1,(AU$4-1)*5+1))</f>
        <v/>
      </c>
      <c r="AV114" s="22">
        <f>AU114*(1+INDEX($Q114:$AJ114,1,(AV$4-1)*5+1))</f>
        <v/>
      </c>
      <c r="AW114" s="22">
        <f>AV114*(1+INDEX($Q114:$AJ114,1,(AW$4-1)*5+1))</f>
        <v/>
      </c>
      <c r="AX114" s="22">
        <f>AW114*(1+INDEX($Q114:$AJ114,1,(AX$4-1)*5+1))</f>
        <v/>
      </c>
      <c r="AY114" s="22">
        <f>AX114*(1+INDEX($Q114:$AJ114,1,(AY$4-1)*5+1))</f>
        <v/>
      </c>
      <c r="BA114" s="23">
        <f>INDEX(Prices_dom!$A$6:$CU$2000,MATCH(Settings!$C$4&amp;BA$5,Prices_dom!$A$6:$A$2000,0),MATCH("mit.sp."&amp;$N114,Prices_dom!$A$5:$CU$5,0))/$P114</f>
        <v/>
      </c>
      <c r="BB114" s="22">
        <f>BA114*(1+INDEX($Q114:$AJ114,1,(BB$4-1)*5+1))</f>
        <v/>
      </c>
      <c r="BC114" s="22">
        <f>BB114*(1+INDEX($Q114:$AJ114,1,(BC$4-1)*5+1))</f>
        <v/>
      </c>
      <c r="BD114" s="22">
        <f>BC114*(1+INDEX($Q114:$AJ114,1,(BD$4-1)*5+1))</f>
        <v/>
      </c>
      <c r="BE114" s="22">
        <f>BD114*(1+INDEX($Q114:$AJ114,1,(BE$4-1)*5+1))</f>
        <v/>
      </c>
      <c r="BF114" s="22">
        <f>BE114*(1+INDEX($Q114:$AJ114,1,(BF$4-1)*5+1))</f>
        <v/>
      </c>
      <c r="BG114" s="22">
        <f>BF114*(1+INDEX($Q114:$AJ114,1,(BG$4-1)*5+1))</f>
        <v/>
      </c>
      <c r="BH114" s="22">
        <f>BG114*(1+INDEX($Q114:$AJ114,1,(BH$4-1)*5+1))</f>
        <v/>
      </c>
      <c r="BI114" s="22">
        <f>BH114*(1+INDEX($Q114:$AJ114,1,(BI$4-1)*5+1))</f>
        <v/>
      </c>
      <c r="BJ114" s="22">
        <f>BI114*(1+INDEX($Q114:$AJ114,1,(BJ$4-1)*5+1))</f>
        <v/>
      </c>
      <c r="BK114" s="22">
        <f>BJ114*(1+INDEX($Q114:$AJ114,1,(BK$4-1)*5+1))</f>
        <v/>
      </c>
      <c r="BL114" s="22">
        <f>BK114*(1+INDEX($Q114:$AJ114,1,(BL$4-1)*5+1))</f>
        <v/>
      </c>
      <c r="BM114" s="22">
        <f>BL114*(1+INDEX($Q114:$AJ114,1,(BM$4-1)*5+1))</f>
        <v/>
      </c>
      <c r="BN114" s="22">
        <f>BM114*(1+INDEX($Q114:$AJ114,1,(BN$4-1)*5+1))</f>
        <v/>
      </c>
    </row>
    <row r="115">
      <c r="B115" s="5" t="inlineStr">
        <is>
          <t>coa</t>
        </is>
      </c>
      <c r="C115" s="5" t="inlineStr">
        <is>
          <t>cst</t>
        </is>
      </c>
      <c r="D115" s="5" t="inlineStr">
        <is>
          <t>Pre-tax price | Construction | Coal</t>
        </is>
      </c>
      <c r="E115" s="5" t="inlineStr">
        <is>
          <t>$/GJ</t>
        </is>
      </c>
      <c r="F115" s="5" t="inlineStr">
        <is>
          <t>Prices_dom (base year), then growth</t>
        </is>
      </c>
      <c r="G115" s="19" t="inlineStr">
        <is>
          <t>mit.sp.coa</t>
        </is>
      </c>
      <c r="H115" s="19" t="inlineStr">
        <is>
          <t>mit.pbt.coa.cst</t>
        </is>
      </c>
      <c r="J115" s="5">
        <f>INDEX(Mapping!$C$5:$C$20,MATCH($C115,Mapping!$A$5:$A$20,0))</f>
        <v/>
      </c>
      <c r="K115" s="5">
        <f>INDEX(Mapping!$D$5:$D$20,MATCH($C115,Mapping!$A$5:$A$20,0))</f>
        <v/>
      </c>
      <c r="L115" s="5">
        <f>INDEX(Mapping!$C$24:$C$31,MATCH($B115,Mapping!$A$24:$A$31,0))</f>
        <v/>
      </c>
      <c r="M115" s="5">
        <f>INDEX(Mapping!$D$24:$D$31,MATCH($B115,Mapping!$A$24:$A$31,0))</f>
        <v/>
      </c>
      <c r="N115" s="5">
        <f>$B115&amp;"."&amp;IF(INDEX(Mapping!$E$24:$E$31,MATCH($B115,Mapping!$A$24:$A$31,0))="sub",INDEX(Mapping!$F$5:$F$20,MATCH($C115,Mapping!$A$5:$A$20,0)),"all")</f>
        <v/>
      </c>
      <c r="O115" s="5">
        <f>INDEX(Mapping!$E$5:$E$20,MATCH($C115,Mapping!$A$5:$A$20,0))</f>
        <v/>
      </c>
      <c r="P115" s="5">
        <f>INDEX(Mapping!$G$24:$G$31,MATCH($B115,Mapping!$A$24:$A$31,0))</f>
        <v/>
      </c>
      <c r="Q115" s="20" t="n">
        <v>0</v>
      </c>
      <c r="R115" s="21" t="n"/>
      <c r="S115" s="21" t="n"/>
      <c r="T115" s="21" t="n"/>
      <c r="U115" s="21" t="n"/>
      <c r="V115" s="22">
        <f>Q115</f>
        <v/>
      </c>
      <c r="W115" s="21" t="n"/>
      <c r="X115" s="21" t="n"/>
      <c r="Y115" s="21" t="n"/>
      <c r="Z115" s="21" t="n"/>
      <c r="AA115" s="22">
        <f>Q115</f>
        <v/>
      </c>
      <c r="AB115" s="21" t="n"/>
      <c r="AC115" s="21" t="n"/>
      <c r="AD115" s="21" t="n"/>
      <c r="AE115" s="21" t="n"/>
      <c r="AF115" s="22">
        <f>Q115</f>
        <v/>
      </c>
      <c r="AG115" s="21" t="n"/>
      <c r="AH115" s="21" t="n"/>
      <c r="AI115" s="21" t="n"/>
      <c r="AJ115" s="21" t="n"/>
      <c r="AL115" s="23">
        <f>INDEX(Prices_dom!$A$6:$CU$2000,MATCH(Settings!$C$4&amp;AL$5,Prices_dom!$A$6:$A$2000,0),MATCH("mit.sp."&amp;$N115,Prices_dom!$A$5:$CU$5,0))/$P115</f>
        <v/>
      </c>
      <c r="AM115" s="22">
        <f>AL115*(1+INDEX($Q115:$AJ115,1,(AM$4-1)*5+1))</f>
        <v/>
      </c>
      <c r="AN115" s="22">
        <f>AM115*(1+INDEX($Q115:$AJ115,1,(AN$4-1)*5+1))</f>
        <v/>
      </c>
      <c r="AO115" s="22">
        <f>AN115*(1+INDEX($Q115:$AJ115,1,(AO$4-1)*5+1))</f>
        <v/>
      </c>
      <c r="AP115" s="22">
        <f>AO115*(1+INDEX($Q115:$AJ115,1,(AP$4-1)*5+1))</f>
        <v/>
      </c>
      <c r="AQ115" s="22">
        <f>AP115*(1+INDEX($Q115:$AJ115,1,(AQ$4-1)*5+1))</f>
        <v/>
      </c>
      <c r="AR115" s="22">
        <f>AQ115*(1+INDEX($Q115:$AJ115,1,(AR$4-1)*5+1))</f>
        <v/>
      </c>
      <c r="AS115" s="22">
        <f>AR115*(1+INDEX($Q115:$AJ115,1,(AS$4-1)*5+1))</f>
        <v/>
      </c>
      <c r="AT115" s="22">
        <f>AS115*(1+INDEX($Q115:$AJ115,1,(AT$4-1)*5+1))</f>
        <v/>
      </c>
      <c r="AU115" s="22">
        <f>AT115*(1+INDEX($Q115:$AJ115,1,(AU$4-1)*5+1))</f>
        <v/>
      </c>
      <c r="AV115" s="22">
        <f>AU115*(1+INDEX($Q115:$AJ115,1,(AV$4-1)*5+1))</f>
        <v/>
      </c>
      <c r="AW115" s="22">
        <f>AV115*(1+INDEX($Q115:$AJ115,1,(AW$4-1)*5+1))</f>
        <v/>
      </c>
      <c r="AX115" s="22">
        <f>AW115*(1+INDEX($Q115:$AJ115,1,(AX$4-1)*5+1))</f>
        <v/>
      </c>
      <c r="AY115" s="22">
        <f>AX115*(1+INDEX($Q115:$AJ115,1,(AY$4-1)*5+1))</f>
        <v/>
      </c>
      <c r="BA115" s="23">
        <f>INDEX(Prices_dom!$A$6:$CU$2000,MATCH(Settings!$C$4&amp;BA$5,Prices_dom!$A$6:$A$2000,0),MATCH("mit.sp."&amp;$N115,Prices_dom!$A$5:$CU$5,0))/$P115</f>
        <v/>
      </c>
      <c r="BB115" s="22">
        <f>BA115*(1+INDEX($Q115:$AJ115,1,(BB$4-1)*5+1))</f>
        <v/>
      </c>
      <c r="BC115" s="22">
        <f>BB115*(1+INDEX($Q115:$AJ115,1,(BC$4-1)*5+1))</f>
        <v/>
      </c>
      <c r="BD115" s="22">
        <f>BC115*(1+INDEX($Q115:$AJ115,1,(BD$4-1)*5+1))</f>
        <v/>
      </c>
      <c r="BE115" s="22">
        <f>BD115*(1+INDEX($Q115:$AJ115,1,(BE$4-1)*5+1))</f>
        <v/>
      </c>
      <c r="BF115" s="22">
        <f>BE115*(1+INDEX($Q115:$AJ115,1,(BF$4-1)*5+1))</f>
        <v/>
      </c>
      <c r="BG115" s="22">
        <f>BF115*(1+INDEX($Q115:$AJ115,1,(BG$4-1)*5+1))</f>
        <v/>
      </c>
      <c r="BH115" s="22">
        <f>BG115*(1+INDEX($Q115:$AJ115,1,(BH$4-1)*5+1))</f>
        <v/>
      </c>
      <c r="BI115" s="22">
        <f>BH115*(1+INDEX($Q115:$AJ115,1,(BI$4-1)*5+1))</f>
        <v/>
      </c>
      <c r="BJ115" s="22">
        <f>BI115*(1+INDEX($Q115:$AJ115,1,(BJ$4-1)*5+1))</f>
        <v/>
      </c>
      <c r="BK115" s="22">
        <f>BJ115*(1+INDEX($Q115:$AJ115,1,(BK$4-1)*5+1))</f>
        <v/>
      </c>
      <c r="BL115" s="22">
        <f>BK115*(1+INDEX($Q115:$AJ115,1,(BL$4-1)*5+1))</f>
        <v/>
      </c>
      <c r="BM115" s="22">
        <f>BL115*(1+INDEX($Q115:$AJ115,1,(BM$4-1)*5+1))</f>
        <v/>
      </c>
      <c r="BN115" s="22">
        <f>BM115*(1+INDEX($Q115:$AJ115,1,(BN$4-1)*5+1))</f>
        <v/>
      </c>
    </row>
    <row r="116">
      <c r="B116" s="5" t="inlineStr">
        <is>
          <t>nga</t>
        </is>
      </c>
      <c r="C116" s="5" t="inlineStr">
        <is>
          <t>cst</t>
        </is>
      </c>
      <c r="D116" s="5" t="inlineStr">
        <is>
          <t>Pre-tax price | Construction | Natural gas</t>
        </is>
      </c>
      <c r="E116" s="5" t="inlineStr">
        <is>
          <t>$/GJ</t>
        </is>
      </c>
      <c r="F116" s="5" t="inlineStr">
        <is>
          <t>Prices_dom (base year), then growth</t>
        </is>
      </c>
      <c r="G116" s="19" t="inlineStr">
        <is>
          <t>mit.sp.nga</t>
        </is>
      </c>
      <c r="H116" s="19" t="inlineStr">
        <is>
          <t>mit.pbt.nga.cst</t>
        </is>
      </c>
      <c r="J116" s="5">
        <f>INDEX(Mapping!$C$5:$C$20,MATCH($C116,Mapping!$A$5:$A$20,0))</f>
        <v/>
      </c>
      <c r="K116" s="5">
        <f>INDEX(Mapping!$D$5:$D$20,MATCH($C116,Mapping!$A$5:$A$20,0))</f>
        <v/>
      </c>
      <c r="L116" s="5">
        <f>INDEX(Mapping!$C$24:$C$31,MATCH($B116,Mapping!$A$24:$A$31,0))</f>
        <v/>
      </c>
      <c r="M116" s="5">
        <f>INDEX(Mapping!$D$24:$D$31,MATCH($B116,Mapping!$A$24:$A$31,0))</f>
        <v/>
      </c>
      <c r="N116" s="5">
        <f>$B116&amp;"."&amp;IF(INDEX(Mapping!$E$24:$E$31,MATCH($B116,Mapping!$A$24:$A$31,0))="sub",INDEX(Mapping!$F$5:$F$20,MATCH($C116,Mapping!$A$5:$A$20,0)),"all")</f>
        <v/>
      </c>
      <c r="O116" s="5">
        <f>INDEX(Mapping!$E$5:$E$20,MATCH($C116,Mapping!$A$5:$A$20,0))</f>
        <v/>
      </c>
      <c r="P116" s="5">
        <f>INDEX(Mapping!$G$24:$G$31,MATCH($B116,Mapping!$A$24:$A$31,0))</f>
        <v/>
      </c>
      <c r="Q116" s="20" t="n">
        <v>0</v>
      </c>
      <c r="R116" s="21" t="n"/>
      <c r="S116" s="21" t="n"/>
      <c r="T116" s="21" t="n"/>
      <c r="U116" s="21" t="n"/>
      <c r="V116" s="22">
        <f>Q116</f>
        <v/>
      </c>
      <c r="W116" s="21" t="n"/>
      <c r="X116" s="21" t="n"/>
      <c r="Y116" s="21" t="n"/>
      <c r="Z116" s="21" t="n"/>
      <c r="AA116" s="22">
        <f>Q116</f>
        <v/>
      </c>
      <c r="AB116" s="21" t="n"/>
      <c r="AC116" s="21" t="n"/>
      <c r="AD116" s="21" t="n"/>
      <c r="AE116" s="21" t="n"/>
      <c r="AF116" s="22">
        <f>Q116</f>
        <v/>
      </c>
      <c r="AG116" s="21" t="n"/>
      <c r="AH116" s="21" t="n"/>
      <c r="AI116" s="21" t="n"/>
      <c r="AJ116" s="21" t="n"/>
      <c r="AL116" s="23">
        <f>INDEX(Prices_dom!$A$6:$CU$2000,MATCH(Settings!$C$4&amp;AL$5,Prices_dom!$A$6:$A$2000,0),MATCH("mit.sp."&amp;$N116,Prices_dom!$A$5:$CU$5,0))/$P116</f>
        <v/>
      </c>
      <c r="AM116" s="22">
        <f>AL116*(1+INDEX($Q116:$AJ116,1,(AM$4-1)*5+1))</f>
        <v/>
      </c>
      <c r="AN116" s="22">
        <f>AM116*(1+INDEX($Q116:$AJ116,1,(AN$4-1)*5+1))</f>
        <v/>
      </c>
      <c r="AO116" s="22">
        <f>AN116*(1+INDEX($Q116:$AJ116,1,(AO$4-1)*5+1))</f>
        <v/>
      </c>
      <c r="AP116" s="22">
        <f>AO116*(1+INDEX($Q116:$AJ116,1,(AP$4-1)*5+1))</f>
        <v/>
      </c>
      <c r="AQ116" s="22">
        <f>AP116*(1+INDEX($Q116:$AJ116,1,(AQ$4-1)*5+1))</f>
        <v/>
      </c>
      <c r="AR116" s="22">
        <f>AQ116*(1+INDEX($Q116:$AJ116,1,(AR$4-1)*5+1))</f>
        <v/>
      </c>
      <c r="AS116" s="22">
        <f>AR116*(1+INDEX($Q116:$AJ116,1,(AS$4-1)*5+1))</f>
        <v/>
      </c>
      <c r="AT116" s="22">
        <f>AS116*(1+INDEX($Q116:$AJ116,1,(AT$4-1)*5+1))</f>
        <v/>
      </c>
      <c r="AU116" s="22">
        <f>AT116*(1+INDEX($Q116:$AJ116,1,(AU$4-1)*5+1))</f>
        <v/>
      </c>
      <c r="AV116" s="22">
        <f>AU116*(1+INDEX($Q116:$AJ116,1,(AV$4-1)*5+1))</f>
        <v/>
      </c>
      <c r="AW116" s="22">
        <f>AV116*(1+INDEX($Q116:$AJ116,1,(AW$4-1)*5+1))</f>
        <v/>
      </c>
      <c r="AX116" s="22">
        <f>AW116*(1+INDEX($Q116:$AJ116,1,(AX$4-1)*5+1))</f>
        <v/>
      </c>
      <c r="AY116" s="22">
        <f>AX116*(1+INDEX($Q116:$AJ116,1,(AY$4-1)*5+1))</f>
        <v/>
      </c>
      <c r="BA116" s="23">
        <f>INDEX(Prices_dom!$A$6:$CU$2000,MATCH(Settings!$C$4&amp;BA$5,Prices_dom!$A$6:$A$2000,0),MATCH("mit.sp."&amp;$N116,Prices_dom!$A$5:$CU$5,0))/$P116</f>
        <v/>
      </c>
      <c r="BB116" s="22">
        <f>BA116*(1+INDEX($Q116:$AJ116,1,(BB$4-1)*5+1))</f>
        <v/>
      </c>
      <c r="BC116" s="22">
        <f>BB116*(1+INDEX($Q116:$AJ116,1,(BC$4-1)*5+1))</f>
        <v/>
      </c>
      <c r="BD116" s="22">
        <f>BC116*(1+INDEX($Q116:$AJ116,1,(BD$4-1)*5+1))</f>
        <v/>
      </c>
      <c r="BE116" s="22">
        <f>BD116*(1+INDEX($Q116:$AJ116,1,(BE$4-1)*5+1))</f>
        <v/>
      </c>
      <c r="BF116" s="22">
        <f>BE116*(1+INDEX($Q116:$AJ116,1,(BF$4-1)*5+1))</f>
        <v/>
      </c>
      <c r="BG116" s="22">
        <f>BF116*(1+INDEX($Q116:$AJ116,1,(BG$4-1)*5+1))</f>
        <v/>
      </c>
      <c r="BH116" s="22">
        <f>BG116*(1+INDEX($Q116:$AJ116,1,(BH$4-1)*5+1))</f>
        <v/>
      </c>
      <c r="BI116" s="22">
        <f>BH116*(1+INDEX($Q116:$AJ116,1,(BI$4-1)*5+1))</f>
        <v/>
      </c>
      <c r="BJ116" s="22">
        <f>BI116*(1+INDEX($Q116:$AJ116,1,(BJ$4-1)*5+1))</f>
        <v/>
      </c>
      <c r="BK116" s="22">
        <f>BJ116*(1+INDEX($Q116:$AJ116,1,(BK$4-1)*5+1))</f>
        <v/>
      </c>
      <c r="BL116" s="22">
        <f>BK116*(1+INDEX($Q116:$AJ116,1,(BL$4-1)*5+1))</f>
        <v/>
      </c>
      <c r="BM116" s="22">
        <f>BL116*(1+INDEX($Q116:$AJ116,1,(BM$4-1)*5+1))</f>
        <v/>
      </c>
      <c r="BN116" s="22">
        <f>BM116*(1+INDEX($Q116:$AJ116,1,(BN$4-1)*5+1))</f>
        <v/>
      </c>
    </row>
    <row r="117">
      <c r="B117" s="5" t="inlineStr">
        <is>
          <t>gso</t>
        </is>
      </c>
      <c r="C117" s="5" t="inlineStr">
        <is>
          <t>cst</t>
        </is>
      </c>
      <c r="D117" s="5" t="inlineStr">
        <is>
          <t>Pre-tax price | Construction | Gasoline</t>
        </is>
      </c>
      <c r="E117" s="5" t="inlineStr">
        <is>
          <t>$/GJ</t>
        </is>
      </c>
      <c r="F117" s="5" t="inlineStr">
        <is>
          <t>Prices_dom (base year), then growth</t>
        </is>
      </c>
      <c r="G117" s="19" t="inlineStr">
        <is>
          <t>mit.sp.gso</t>
        </is>
      </c>
      <c r="H117" s="19" t="inlineStr">
        <is>
          <t>mit.pbt.gso.cst</t>
        </is>
      </c>
      <c r="J117" s="5">
        <f>INDEX(Mapping!$C$5:$C$20,MATCH($C117,Mapping!$A$5:$A$20,0))</f>
        <v/>
      </c>
      <c r="K117" s="5">
        <f>INDEX(Mapping!$D$5:$D$20,MATCH($C117,Mapping!$A$5:$A$20,0))</f>
        <v/>
      </c>
      <c r="L117" s="5">
        <f>INDEX(Mapping!$C$24:$C$31,MATCH($B117,Mapping!$A$24:$A$31,0))</f>
        <v/>
      </c>
      <c r="M117" s="5">
        <f>INDEX(Mapping!$D$24:$D$31,MATCH($B117,Mapping!$A$24:$A$31,0))</f>
        <v/>
      </c>
      <c r="N117" s="5">
        <f>$B117&amp;"."&amp;IF(INDEX(Mapping!$E$24:$E$31,MATCH($B117,Mapping!$A$24:$A$31,0))="sub",INDEX(Mapping!$F$5:$F$20,MATCH($C117,Mapping!$A$5:$A$20,0)),"all")</f>
        <v/>
      </c>
      <c r="O117" s="5">
        <f>INDEX(Mapping!$E$5:$E$20,MATCH($C117,Mapping!$A$5:$A$20,0))</f>
        <v/>
      </c>
      <c r="P117" s="5">
        <f>INDEX(Mapping!$G$24:$G$31,MATCH($B117,Mapping!$A$24:$A$31,0))</f>
        <v/>
      </c>
      <c r="Q117" s="20" t="n">
        <v>0</v>
      </c>
      <c r="R117" s="21" t="n"/>
      <c r="S117" s="21" t="n"/>
      <c r="T117" s="21" t="n"/>
      <c r="U117" s="21" t="n"/>
      <c r="V117" s="22">
        <f>Q117</f>
        <v/>
      </c>
      <c r="W117" s="21" t="n"/>
      <c r="X117" s="21" t="n"/>
      <c r="Y117" s="21" t="n"/>
      <c r="Z117" s="21" t="n"/>
      <c r="AA117" s="22">
        <f>Q117</f>
        <v/>
      </c>
      <c r="AB117" s="21" t="n"/>
      <c r="AC117" s="21" t="n"/>
      <c r="AD117" s="21" t="n"/>
      <c r="AE117" s="21" t="n"/>
      <c r="AF117" s="22">
        <f>Q117</f>
        <v/>
      </c>
      <c r="AG117" s="21" t="n"/>
      <c r="AH117" s="21" t="n"/>
      <c r="AI117" s="21" t="n"/>
      <c r="AJ117" s="21" t="n"/>
      <c r="AL117" s="23">
        <f>INDEX(Prices_dom!$A$6:$CU$2000,MATCH(Settings!$C$4&amp;AL$5,Prices_dom!$A$6:$A$2000,0),MATCH("mit.sp."&amp;$N117,Prices_dom!$A$5:$CU$5,0))/$P117</f>
        <v/>
      </c>
      <c r="AM117" s="22">
        <f>AL117*(1+INDEX($Q117:$AJ117,1,(AM$4-1)*5+1))</f>
        <v/>
      </c>
      <c r="AN117" s="22">
        <f>AM117*(1+INDEX($Q117:$AJ117,1,(AN$4-1)*5+1))</f>
        <v/>
      </c>
      <c r="AO117" s="22">
        <f>AN117*(1+INDEX($Q117:$AJ117,1,(AO$4-1)*5+1))</f>
        <v/>
      </c>
      <c r="AP117" s="22">
        <f>AO117*(1+INDEX($Q117:$AJ117,1,(AP$4-1)*5+1))</f>
        <v/>
      </c>
      <c r="AQ117" s="22">
        <f>AP117*(1+INDEX($Q117:$AJ117,1,(AQ$4-1)*5+1))</f>
        <v/>
      </c>
      <c r="AR117" s="22">
        <f>AQ117*(1+INDEX($Q117:$AJ117,1,(AR$4-1)*5+1))</f>
        <v/>
      </c>
      <c r="AS117" s="22">
        <f>AR117*(1+INDEX($Q117:$AJ117,1,(AS$4-1)*5+1))</f>
        <v/>
      </c>
      <c r="AT117" s="22">
        <f>AS117*(1+INDEX($Q117:$AJ117,1,(AT$4-1)*5+1))</f>
        <v/>
      </c>
      <c r="AU117" s="22">
        <f>AT117*(1+INDEX($Q117:$AJ117,1,(AU$4-1)*5+1))</f>
        <v/>
      </c>
      <c r="AV117" s="22">
        <f>AU117*(1+INDEX($Q117:$AJ117,1,(AV$4-1)*5+1))</f>
        <v/>
      </c>
      <c r="AW117" s="22">
        <f>AV117*(1+INDEX($Q117:$AJ117,1,(AW$4-1)*5+1))</f>
        <v/>
      </c>
      <c r="AX117" s="22">
        <f>AW117*(1+INDEX($Q117:$AJ117,1,(AX$4-1)*5+1))</f>
        <v/>
      </c>
      <c r="AY117" s="22">
        <f>AX117*(1+INDEX($Q117:$AJ117,1,(AY$4-1)*5+1))</f>
        <v/>
      </c>
      <c r="BA117" s="23">
        <f>INDEX(Prices_dom!$A$6:$CU$2000,MATCH(Settings!$C$4&amp;BA$5,Prices_dom!$A$6:$A$2000,0),MATCH("mit.sp."&amp;$N117,Prices_dom!$A$5:$CU$5,0))/$P117</f>
        <v/>
      </c>
      <c r="BB117" s="22">
        <f>BA117*(1+INDEX($Q117:$AJ117,1,(BB$4-1)*5+1))</f>
        <v/>
      </c>
      <c r="BC117" s="22">
        <f>BB117*(1+INDEX($Q117:$AJ117,1,(BC$4-1)*5+1))</f>
        <v/>
      </c>
      <c r="BD117" s="22">
        <f>BC117*(1+INDEX($Q117:$AJ117,1,(BD$4-1)*5+1))</f>
        <v/>
      </c>
      <c r="BE117" s="22">
        <f>BD117*(1+INDEX($Q117:$AJ117,1,(BE$4-1)*5+1))</f>
        <v/>
      </c>
      <c r="BF117" s="22">
        <f>BE117*(1+INDEX($Q117:$AJ117,1,(BF$4-1)*5+1))</f>
        <v/>
      </c>
      <c r="BG117" s="22">
        <f>BF117*(1+INDEX($Q117:$AJ117,1,(BG$4-1)*5+1))</f>
        <v/>
      </c>
      <c r="BH117" s="22">
        <f>BG117*(1+INDEX($Q117:$AJ117,1,(BH$4-1)*5+1))</f>
        <v/>
      </c>
      <c r="BI117" s="22">
        <f>BH117*(1+INDEX($Q117:$AJ117,1,(BI$4-1)*5+1))</f>
        <v/>
      </c>
      <c r="BJ117" s="22">
        <f>BI117*(1+INDEX($Q117:$AJ117,1,(BJ$4-1)*5+1))</f>
        <v/>
      </c>
      <c r="BK117" s="22">
        <f>BJ117*(1+INDEX($Q117:$AJ117,1,(BK$4-1)*5+1))</f>
        <v/>
      </c>
      <c r="BL117" s="22">
        <f>BK117*(1+INDEX($Q117:$AJ117,1,(BL$4-1)*5+1))</f>
        <v/>
      </c>
      <c r="BM117" s="22">
        <f>BL117*(1+INDEX($Q117:$AJ117,1,(BM$4-1)*5+1))</f>
        <v/>
      </c>
      <c r="BN117" s="22">
        <f>BM117*(1+INDEX($Q117:$AJ117,1,(BN$4-1)*5+1))</f>
        <v/>
      </c>
    </row>
    <row r="118">
      <c r="B118" s="5" t="inlineStr">
        <is>
          <t>die</t>
        </is>
      </c>
      <c r="C118" s="5" t="inlineStr">
        <is>
          <t>cst</t>
        </is>
      </c>
      <c r="D118" s="5" t="inlineStr">
        <is>
          <t>Pre-tax price | Construction | Diesel</t>
        </is>
      </c>
      <c r="E118" s="5" t="inlineStr">
        <is>
          <t>$/GJ</t>
        </is>
      </c>
      <c r="F118" s="5" t="inlineStr">
        <is>
          <t>Prices_dom (base year), then growth</t>
        </is>
      </c>
      <c r="G118" s="19" t="inlineStr">
        <is>
          <t>mit.sp.die</t>
        </is>
      </c>
      <c r="H118" s="19" t="inlineStr">
        <is>
          <t>mit.pbt.die.cst</t>
        </is>
      </c>
      <c r="J118" s="5">
        <f>INDEX(Mapping!$C$5:$C$20,MATCH($C118,Mapping!$A$5:$A$20,0))</f>
        <v/>
      </c>
      <c r="K118" s="5">
        <f>INDEX(Mapping!$D$5:$D$20,MATCH($C118,Mapping!$A$5:$A$20,0))</f>
        <v/>
      </c>
      <c r="L118" s="5">
        <f>INDEX(Mapping!$C$24:$C$31,MATCH($B118,Mapping!$A$24:$A$31,0))</f>
        <v/>
      </c>
      <c r="M118" s="5">
        <f>INDEX(Mapping!$D$24:$D$31,MATCH($B118,Mapping!$A$24:$A$31,0))</f>
        <v/>
      </c>
      <c r="N118" s="5">
        <f>$B118&amp;"."&amp;IF(INDEX(Mapping!$E$24:$E$31,MATCH($B118,Mapping!$A$24:$A$31,0))="sub",INDEX(Mapping!$F$5:$F$20,MATCH($C118,Mapping!$A$5:$A$20,0)),"all")</f>
        <v/>
      </c>
      <c r="O118" s="5">
        <f>INDEX(Mapping!$E$5:$E$20,MATCH($C118,Mapping!$A$5:$A$20,0))</f>
        <v/>
      </c>
      <c r="P118" s="5">
        <f>INDEX(Mapping!$G$24:$G$31,MATCH($B118,Mapping!$A$24:$A$31,0))</f>
        <v/>
      </c>
      <c r="Q118" s="20" t="n">
        <v>0</v>
      </c>
      <c r="R118" s="21" t="n"/>
      <c r="S118" s="21" t="n"/>
      <c r="T118" s="21" t="n"/>
      <c r="U118" s="21" t="n"/>
      <c r="V118" s="22">
        <f>Q118</f>
        <v/>
      </c>
      <c r="W118" s="21" t="n"/>
      <c r="X118" s="21" t="n"/>
      <c r="Y118" s="21" t="n"/>
      <c r="Z118" s="21" t="n"/>
      <c r="AA118" s="22">
        <f>Q118</f>
        <v/>
      </c>
      <c r="AB118" s="21" t="n"/>
      <c r="AC118" s="21" t="n"/>
      <c r="AD118" s="21" t="n"/>
      <c r="AE118" s="21" t="n"/>
      <c r="AF118" s="22">
        <f>Q118</f>
        <v/>
      </c>
      <c r="AG118" s="21" t="n"/>
      <c r="AH118" s="21" t="n"/>
      <c r="AI118" s="21" t="n"/>
      <c r="AJ118" s="21" t="n"/>
      <c r="AL118" s="23">
        <f>INDEX(Prices_dom!$A$6:$CU$2000,MATCH(Settings!$C$4&amp;AL$5,Prices_dom!$A$6:$A$2000,0),MATCH("mit.sp."&amp;$N118,Prices_dom!$A$5:$CU$5,0))/$P118</f>
        <v/>
      </c>
      <c r="AM118" s="22">
        <f>AL118*(1+INDEX($Q118:$AJ118,1,(AM$4-1)*5+1))</f>
        <v/>
      </c>
      <c r="AN118" s="22">
        <f>AM118*(1+INDEX($Q118:$AJ118,1,(AN$4-1)*5+1))</f>
        <v/>
      </c>
      <c r="AO118" s="22">
        <f>AN118*(1+INDEX($Q118:$AJ118,1,(AO$4-1)*5+1))</f>
        <v/>
      </c>
      <c r="AP118" s="22">
        <f>AO118*(1+INDEX($Q118:$AJ118,1,(AP$4-1)*5+1))</f>
        <v/>
      </c>
      <c r="AQ118" s="22">
        <f>AP118*(1+INDEX($Q118:$AJ118,1,(AQ$4-1)*5+1))</f>
        <v/>
      </c>
      <c r="AR118" s="22">
        <f>AQ118*(1+INDEX($Q118:$AJ118,1,(AR$4-1)*5+1))</f>
        <v/>
      </c>
      <c r="AS118" s="22">
        <f>AR118*(1+INDEX($Q118:$AJ118,1,(AS$4-1)*5+1))</f>
        <v/>
      </c>
      <c r="AT118" s="22">
        <f>AS118*(1+INDEX($Q118:$AJ118,1,(AT$4-1)*5+1))</f>
        <v/>
      </c>
      <c r="AU118" s="22">
        <f>AT118*(1+INDEX($Q118:$AJ118,1,(AU$4-1)*5+1))</f>
        <v/>
      </c>
      <c r="AV118" s="22">
        <f>AU118*(1+INDEX($Q118:$AJ118,1,(AV$4-1)*5+1))</f>
        <v/>
      </c>
      <c r="AW118" s="22">
        <f>AV118*(1+INDEX($Q118:$AJ118,1,(AW$4-1)*5+1))</f>
        <v/>
      </c>
      <c r="AX118" s="22">
        <f>AW118*(1+INDEX($Q118:$AJ118,1,(AX$4-1)*5+1))</f>
        <v/>
      </c>
      <c r="AY118" s="22">
        <f>AX118*(1+INDEX($Q118:$AJ118,1,(AY$4-1)*5+1))</f>
        <v/>
      </c>
      <c r="BA118" s="23">
        <f>INDEX(Prices_dom!$A$6:$CU$2000,MATCH(Settings!$C$4&amp;BA$5,Prices_dom!$A$6:$A$2000,0),MATCH("mit.sp."&amp;$N118,Prices_dom!$A$5:$CU$5,0))/$P118</f>
        <v/>
      </c>
      <c r="BB118" s="22">
        <f>BA118*(1+INDEX($Q118:$AJ118,1,(BB$4-1)*5+1))</f>
        <v/>
      </c>
      <c r="BC118" s="22">
        <f>BB118*(1+INDEX($Q118:$AJ118,1,(BC$4-1)*5+1))</f>
        <v/>
      </c>
      <c r="BD118" s="22">
        <f>BC118*(1+INDEX($Q118:$AJ118,1,(BD$4-1)*5+1))</f>
        <v/>
      </c>
      <c r="BE118" s="22">
        <f>BD118*(1+INDEX($Q118:$AJ118,1,(BE$4-1)*5+1))</f>
        <v/>
      </c>
      <c r="BF118" s="22">
        <f>BE118*(1+INDEX($Q118:$AJ118,1,(BF$4-1)*5+1))</f>
        <v/>
      </c>
      <c r="BG118" s="22">
        <f>BF118*(1+INDEX($Q118:$AJ118,1,(BG$4-1)*5+1))</f>
        <v/>
      </c>
      <c r="BH118" s="22">
        <f>BG118*(1+INDEX($Q118:$AJ118,1,(BH$4-1)*5+1))</f>
        <v/>
      </c>
      <c r="BI118" s="22">
        <f>BH118*(1+INDEX($Q118:$AJ118,1,(BI$4-1)*5+1))</f>
        <v/>
      </c>
      <c r="BJ118" s="22">
        <f>BI118*(1+INDEX($Q118:$AJ118,1,(BJ$4-1)*5+1))</f>
        <v/>
      </c>
      <c r="BK118" s="22">
        <f>BJ118*(1+INDEX($Q118:$AJ118,1,(BK$4-1)*5+1))</f>
        <v/>
      </c>
      <c r="BL118" s="22">
        <f>BK118*(1+INDEX($Q118:$AJ118,1,(BL$4-1)*5+1))</f>
        <v/>
      </c>
      <c r="BM118" s="22">
        <f>BL118*(1+INDEX($Q118:$AJ118,1,(BM$4-1)*5+1))</f>
        <v/>
      </c>
      <c r="BN118" s="22">
        <f>BM118*(1+INDEX($Q118:$AJ118,1,(BN$4-1)*5+1))</f>
        <v/>
      </c>
    </row>
    <row r="119">
      <c r="B119" s="5" t="inlineStr">
        <is>
          <t>lpg</t>
        </is>
      </c>
      <c r="C119" s="5" t="inlineStr">
        <is>
          <t>cst</t>
        </is>
      </c>
      <c r="D119" s="5" t="inlineStr">
        <is>
          <t>Pre-tax price | Construction | LPG</t>
        </is>
      </c>
      <c r="E119" s="5" t="inlineStr">
        <is>
          <t>$/GJ</t>
        </is>
      </c>
      <c r="F119" s="5" t="inlineStr">
        <is>
          <t>Prices_dom (base year), then growth</t>
        </is>
      </c>
      <c r="G119" s="19" t="inlineStr">
        <is>
          <t>mit.sp.lpg</t>
        </is>
      </c>
      <c r="H119" s="19" t="inlineStr">
        <is>
          <t>mit.pbt.lpg.cst</t>
        </is>
      </c>
      <c r="J119" s="5">
        <f>INDEX(Mapping!$C$5:$C$20,MATCH($C119,Mapping!$A$5:$A$20,0))</f>
        <v/>
      </c>
      <c r="K119" s="5">
        <f>INDEX(Mapping!$D$5:$D$20,MATCH($C119,Mapping!$A$5:$A$20,0))</f>
        <v/>
      </c>
      <c r="L119" s="5">
        <f>INDEX(Mapping!$C$24:$C$31,MATCH($B119,Mapping!$A$24:$A$31,0))</f>
        <v/>
      </c>
      <c r="M119" s="5">
        <f>INDEX(Mapping!$D$24:$D$31,MATCH($B119,Mapping!$A$24:$A$31,0))</f>
        <v/>
      </c>
      <c r="N119" s="5">
        <f>$B119&amp;"."&amp;IF(INDEX(Mapping!$E$24:$E$31,MATCH($B119,Mapping!$A$24:$A$31,0))="sub",INDEX(Mapping!$F$5:$F$20,MATCH($C119,Mapping!$A$5:$A$20,0)),"all")</f>
        <v/>
      </c>
      <c r="O119" s="5">
        <f>INDEX(Mapping!$E$5:$E$20,MATCH($C119,Mapping!$A$5:$A$20,0))</f>
        <v/>
      </c>
      <c r="P119" s="5">
        <f>INDEX(Mapping!$G$24:$G$31,MATCH($B119,Mapping!$A$24:$A$31,0))</f>
        <v/>
      </c>
      <c r="Q119" s="20" t="n">
        <v>0</v>
      </c>
      <c r="R119" s="21" t="n"/>
      <c r="S119" s="21" t="n"/>
      <c r="T119" s="21" t="n"/>
      <c r="U119" s="21" t="n"/>
      <c r="V119" s="22">
        <f>Q119</f>
        <v/>
      </c>
      <c r="W119" s="21" t="n"/>
      <c r="X119" s="21" t="n"/>
      <c r="Y119" s="21" t="n"/>
      <c r="Z119" s="21" t="n"/>
      <c r="AA119" s="22">
        <f>Q119</f>
        <v/>
      </c>
      <c r="AB119" s="21" t="n"/>
      <c r="AC119" s="21" t="n"/>
      <c r="AD119" s="21" t="n"/>
      <c r="AE119" s="21" t="n"/>
      <c r="AF119" s="22">
        <f>Q119</f>
        <v/>
      </c>
      <c r="AG119" s="21" t="n"/>
      <c r="AH119" s="21" t="n"/>
      <c r="AI119" s="21" t="n"/>
      <c r="AJ119" s="21" t="n"/>
      <c r="AL119" s="23">
        <f>INDEX(Prices_dom!$A$6:$CU$2000,MATCH(Settings!$C$4&amp;AL$5,Prices_dom!$A$6:$A$2000,0),MATCH("mit.sp."&amp;$N119,Prices_dom!$A$5:$CU$5,0))/$P119</f>
        <v/>
      </c>
      <c r="AM119" s="22">
        <f>AL119*(1+INDEX($Q119:$AJ119,1,(AM$4-1)*5+1))</f>
        <v/>
      </c>
      <c r="AN119" s="22">
        <f>AM119*(1+INDEX($Q119:$AJ119,1,(AN$4-1)*5+1))</f>
        <v/>
      </c>
      <c r="AO119" s="22">
        <f>AN119*(1+INDEX($Q119:$AJ119,1,(AO$4-1)*5+1))</f>
        <v/>
      </c>
      <c r="AP119" s="22">
        <f>AO119*(1+INDEX($Q119:$AJ119,1,(AP$4-1)*5+1))</f>
        <v/>
      </c>
      <c r="AQ119" s="22">
        <f>AP119*(1+INDEX($Q119:$AJ119,1,(AQ$4-1)*5+1))</f>
        <v/>
      </c>
      <c r="AR119" s="22">
        <f>AQ119*(1+INDEX($Q119:$AJ119,1,(AR$4-1)*5+1))</f>
        <v/>
      </c>
      <c r="AS119" s="22">
        <f>AR119*(1+INDEX($Q119:$AJ119,1,(AS$4-1)*5+1))</f>
        <v/>
      </c>
      <c r="AT119" s="22">
        <f>AS119*(1+INDEX($Q119:$AJ119,1,(AT$4-1)*5+1))</f>
        <v/>
      </c>
      <c r="AU119" s="22">
        <f>AT119*(1+INDEX($Q119:$AJ119,1,(AU$4-1)*5+1))</f>
        <v/>
      </c>
      <c r="AV119" s="22">
        <f>AU119*(1+INDEX($Q119:$AJ119,1,(AV$4-1)*5+1))</f>
        <v/>
      </c>
      <c r="AW119" s="22">
        <f>AV119*(1+INDEX($Q119:$AJ119,1,(AW$4-1)*5+1))</f>
        <v/>
      </c>
      <c r="AX119" s="22">
        <f>AW119*(1+INDEX($Q119:$AJ119,1,(AX$4-1)*5+1))</f>
        <v/>
      </c>
      <c r="AY119" s="22">
        <f>AX119*(1+INDEX($Q119:$AJ119,1,(AY$4-1)*5+1))</f>
        <v/>
      </c>
      <c r="BA119" s="23">
        <f>INDEX(Prices_dom!$A$6:$CU$2000,MATCH(Settings!$C$4&amp;BA$5,Prices_dom!$A$6:$A$2000,0),MATCH("mit.sp."&amp;$N119,Prices_dom!$A$5:$CU$5,0))/$P119</f>
        <v/>
      </c>
      <c r="BB119" s="22">
        <f>BA119*(1+INDEX($Q119:$AJ119,1,(BB$4-1)*5+1))</f>
        <v/>
      </c>
      <c r="BC119" s="22">
        <f>BB119*(1+INDEX($Q119:$AJ119,1,(BC$4-1)*5+1))</f>
        <v/>
      </c>
      <c r="BD119" s="22">
        <f>BC119*(1+INDEX($Q119:$AJ119,1,(BD$4-1)*5+1))</f>
        <v/>
      </c>
      <c r="BE119" s="22">
        <f>BD119*(1+INDEX($Q119:$AJ119,1,(BE$4-1)*5+1))</f>
        <v/>
      </c>
      <c r="BF119" s="22">
        <f>BE119*(1+INDEX($Q119:$AJ119,1,(BF$4-1)*5+1))</f>
        <v/>
      </c>
      <c r="BG119" s="22">
        <f>BF119*(1+INDEX($Q119:$AJ119,1,(BG$4-1)*5+1))</f>
        <v/>
      </c>
      <c r="BH119" s="22">
        <f>BG119*(1+INDEX($Q119:$AJ119,1,(BH$4-1)*5+1))</f>
        <v/>
      </c>
      <c r="BI119" s="22">
        <f>BH119*(1+INDEX($Q119:$AJ119,1,(BI$4-1)*5+1))</f>
        <v/>
      </c>
      <c r="BJ119" s="22">
        <f>BI119*(1+INDEX($Q119:$AJ119,1,(BJ$4-1)*5+1))</f>
        <v/>
      </c>
      <c r="BK119" s="22">
        <f>BJ119*(1+INDEX($Q119:$AJ119,1,(BK$4-1)*5+1))</f>
        <v/>
      </c>
      <c r="BL119" s="22">
        <f>BK119*(1+INDEX($Q119:$AJ119,1,(BL$4-1)*5+1))</f>
        <v/>
      </c>
      <c r="BM119" s="22">
        <f>BL119*(1+INDEX($Q119:$AJ119,1,(BM$4-1)*5+1))</f>
        <v/>
      </c>
      <c r="BN119" s="22">
        <f>BM119*(1+INDEX($Q119:$AJ119,1,(BN$4-1)*5+1))</f>
        <v/>
      </c>
    </row>
    <row r="120">
      <c r="B120" s="5" t="inlineStr">
        <is>
          <t>ker</t>
        </is>
      </c>
      <c r="C120" s="5" t="inlineStr">
        <is>
          <t>cst</t>
        </is>
      </c>
      <c r="D120" s="5" t="inlineStr">
        <is>
          <t>Pre-tax price | Construction | Kerosene</t>
        </is>
      </c>
      <c r="E120" s="5" t="inlineStr">
        <is>
          <t>$/GJ</t>
        </is>
      </c>
      <c r="F120" s="5" t="inlineStr">
        <is>
          <t>Prices_dom (base year), then growth</t>
        </is>
      </c>
      <c r="G120" s="19" t="inlineStr">
        <is>
          <t>mit.sp.ker</t>
        </is>
      </c>
      <c r="H120" s="19" t="inlineStr">
        <is>
          <t>mit.pbt.ker.cst</t>
        </is>
      </c>
      <c r="J120" s="5">
        <f>INDEX(Mapping!$C$5:$C$20,MATCH($C120,Mapping!$A$5:$A$20,0))</f>
        <v/>
      </c>
      <c r="K120" s="5">
        <f>INDEX(Mapping!$D$5:$D$20,MATCH($C120,Mapping!$A$5:$A$20,0))</f>
        <v/>
      </c>
      <c r="L120" s="5">
        <f>INDEX(Mapping!$C$24:$C$31,MATCH($B120,Mapping!$A$24:$A$31,0))</f>
        <v/>
      </c>
      <c r="M120" s="5">
        <f>INDEX(Mapping!$D$24:$D$31,MATCH($B120,Mapping!$A$24:$A$31,0))</f>
        <v/>
      </c>
      <c r="N120" s="5">
        <f>$B120&amp;"."&amp;IF(INDEX(Mapping!$E$24:$E$31,MATCH($B120,Mapping!$A$24:$A$31,0))="sub",INDEX(Mapping!$F$5:$F$20,MATCH($C120,Mapping!$A$5:$A$20,0)),"all")</f>
        <v/>
      </c>
      <c r="O120" s="5">
        <f>INDEX(Mapping!$E$5:$E$20,MATCH($C120,Mapping!$A$5:$A$20,0))</f>
        <v/>
      </c>
      <c r="P120" s="5">
        <f>INDEX(Mapping!$G$24:$G$31,MATCH($B120,Mapping!$A$24:$A$31,0))</f>
        <v/>
      </c>
      <c r="Q120" s="20" t="n">
        <v>0</v>
      </c>
      <c r="R120" s="21" t="n"/>
      <c r="S120" s="21" t="n"/>
      <c r="T120" s="21" t="n"/>
      <c r="U120" s="21" t="n"/>
      <c r="V120" s="22">
        <f>Q120</f>
        <v/>
      </c>
      <c r="W120" s="21" t="n"/>
      <c r="X120" s="21" t="n"/>
      <c r="Y120" s="21" t="n"/>
      <c r="Z120" s="21" t="n"/>
      <c r="AA120" s="22">
        <f>Q120</f>
        <v/>
      </c>
      <c r="AB120" s="21" t="n"/>
      <c r="AC120" s="21" t="n"/>
      <c r="AD120" s="21" t="n"/>
      <c r="AE120" s="21" t="n"/>
      <c r="AF120" s="22">
        <f>Q120</f>
        <v/>
      </c>
      <c r="AG120" s="21" t="n"/>
      <c r="AH120" s="21" t="n"/>
      <c r="AI120" s="21" t="n"/>
      <c r="AJ120" s="21" t="n"/>
      <c r="AL120" s="23">
        <f>INDEX(Prices_dom!$A$6:$CU$2000,MATCH(Settings!$C$4&amp;AL$5,Prices_dom!$A$6:$A$2000,0),MATCH("mit.sp."&amp;$N120,Prices_dom!$A$5:$CU$5,0))/$P120</f>
        <v/>
      </c>
      <c r="AM120" s="22">
        <f>AL120*(1+INDEX($Q120:$AJ120,1,(AM$4-1)*5+1))</f>
        <v/>
      </c>
      <c r="AN120" s="22">
        <f>AM120*(1+INDEX($Q120:$AJ120,1,(AN$4-1)*5+1))</f>
        <v/>
      </c>
      <c r="AO120" s="22">
        <f>AN120*(1+INDEX($Q120:$AJ120,1,(AO$4-1)*5+1))</f>
        <v/>
      </c>
      <c r="AP120" s="22">
        <f>AO120*(1+INDEX($Q120:$AJ120,1,(AP$4-1)*5+1))</f>
        <v/>
      </c>
      <c r="AQ120" s="22">
        <f>AP120*(1+INDEX($Q120:$AJ120,1,(AQ$4-1)*5+1))</f>
        <v/>
      </c>
      <c r="AR120" s="22">
        <f>AQ120*(1+INDEX($Q120:$AJ120,1,(AR$4-1)*5+1))</f>
        <v/>
      </c>
      <c r="AS120" s="22">
        <f>AR120*(1+INDEX($Q120:$AJ120,1,(AS$4-1)*5+1))</f>
        <v/>
      </c>
      <c r="AT120" s="22">
        <f>AS120*(1+INDEX($Q120:$AJ120,1,(AT$4-1)*5+1))</f>
        <v/>
      </c>
      <c r="AU120" s="22">
        <f>AT120*(1+INDEX($Q120:$AJ120,1,(AU$4-1)*5+1))</f>
        <v/>
      </c>
      <c r="AV120" s="22">
        <f>AU120*(1+INDEX($Q120:$AJ120,1,(AV$4-1)*5+1))</f>
        <v/>
      </c>
      <c r="AW120" s="22">
        <f>AV120*(1+INDEX($Q120:$AJ120,1,(AW$4-1)*5+1))</f>
        <v/>
      </c>
      <c r="AX120" s="22">
        <f>AW120*(1+INDEX($Q120:$AJ120,1,(AX$4-1)*5+1))</f>
        <v/>
      </c>
      <c r="AY120" s="22">
        <f>AX120*(1+INDEX($Q120:$AJ120,1,(AY$4-1)*5+1))</f>
        <v/>
      </c>
      <c r="BA120" s="23">
        <f>INDEX(Prices_dom!$A$6:$CU$2000,MATCH(Settings!$C$4&amp;BA$5,Prices_dom!$A$6:$A$2000,0),MATCH("mit.sp."&amp;$N120,Prices_dom!$A$5:$CU$5,0))/$P120</f>
        <v/>
      </c>
      <c r="BB120" s="22">
        <f>BA120*(1+INDEX($Q120:$AJ120,1,(BB$4-1)*5+1))</f>
        <v/>
      </c>
      <c r="BC120" s="22">
        <f>BB120*(1+INDEX($Q120:$AJ120,1,(BC$4-1)*5+1))</f>
        <v/>
      </c>
      <c r="BD120" s="22">
        <f>BC120*(1+INDEX($Q120:$AJ120,1,(BD$4-1)*5+1))</f>
        <v/>
      </c>
      <c r="BE120" s="22">
        <f>BD120*(1+INDEX($Q120:$AJ120,1,(BE$4-1)*5+1))</f>
        <v/>
      </c>
      <c r="BF120" s="22">
        <f>BE120*(1+INDEX($Q120:$AJ120,1,(BF$4-1)*5+1))</f>
        <v/>
      </c>
      <c r="BG120" s="22">
        <f>BF120*(1+INDEX($Q120:$AJ120,1,(BG$4-1)*5+1))</f>
        <v/>
      </c>
      <c r="BH120" s="22">
        <f>BG120*(1+INDEX($Q120:$AJ120,1,(BH$4-1)*5+1))</f>
        <v/>
      </c>
      <c r="BI120" s="22">
        <f>BH120*(1+INDEX($Q120:$AJ120,1,(BI$4-1)*5+1))</f>
        <v/>
      </c>
      <c r="BJ120" s="22">
        <f>BI120*(1+INDEX($Q120:$AJ120,1,(BJ$4-1)*5+1))</f>
        <v/>
      </c>
      <c r="BK120" s="22">
        <f>BJ120*(1+INDEX($Q120:$AJ120,1,(BK$4-1)*5+1))</f>
        <v/>
      </c>
      <c r="BL120" s="22">
        <f>BK120*(1+INDEX($Q120:$AJ120,1,(BL$4-1)*5+1))</f>
        <v/>
      </c>
      <c r="BM120" s="22">
        <f>BL120*(1+INDEX($Q120:$AJ120,1,(BM$4-1)*5+1))</f>
        <v/>
      </c>
      <c r="BN120" s="22">
        <f>BM120*(1+INDEX($Q120:$AJ120,1,(BN$4-1)*5+1))</f>
        <v/>
      </c>
    </row>
    <row r="121">
      <c r="B121" s="5" t="inlineStr">
        <is>
          <t>oop</t>
        </is>
      </c>
      <c r="C121" s="5" t="inlineStr">
        <is>
          <t>cst</t>
        </is>
      </c>
      <c r="D121" s="5" t="inlineStr">
        <is>
          <t>Pre-tax price | Construction | Other oil products</t>
        </is>
      </c>
      <c r="E121" s="5" t="inlineStr">
        <is>
          <t>$/GJ</t>
        </is>
      </c>
      <c r="F121" s="5" t="inlineStr">
        <is>
          <t>Prices_dom (base year), then growth</t>
        </is>
      </c>
      <c r="G121" s="19" t="inlineStr">
        <is>
          <t>mit.sp.oop</t>
        </is>
      </c>
      <c r="H121" s="19" t="inlineStr">
        <is>
          <t>mit.pbt.oop.cst</t>
        </is>
      </c>
      <c r="J121" s="5">
        <f>INDEX(Mapping!$C$5:$C$20,MATCH($C121,Mapping!$A$5:$A$20,0))</f>
        <v/>
      </c>
      <c r="K121" s="5">
        <f>INDEX(Mapping!$D$5:$D$20,MATCH($C121,Mapping!$A$5:$A$20,0))</f>
        <v/>
      </c>
      <c r="L121" s="5">
        <f>INDEX(Mapping!$C$24:$C$31,MATCH($B121,Mapping!$A$24:$A$31,0))</f>
        <v/>
      </c>
      <c r="M121" s="5">
        <f>INDEX(Mapping!$D$24:$D$31,MATCH($B121,Mapping!$A$24:$A$31,0))</f>
        <v/>
      </c>
      <c r="N121" s="5">
        <f>$B121&amp;"."&amp;IF(INDEX(Mapping!$E$24:$E$31,MATCH($B121,Mapping!$A$24:$A$31,0))="sub",INDEX(Mapping!$F$5:$F$20,MATCH($C121,Mapping!$A$5:$A$20,0)),"all")</f>
        <v/>
      </c>
      <c r="O121" s="5">
        <f>INDEX(Mapping!$E$5:$E$20,MATCH($C121,Mapping!$A$5:$A$20,0))</f>
        <v/>
      </c>
      <c r="P121" s="5">
        <f>INDEX(Mapping!$G$24:$G$31,MATCH($B121,Mapping!$A$24:$A$31,0))</f>
        <v/>
      </c>
      <c r="Q121" s="20" t="n">
        <v>0</v>
      </c>
      <c r="R121" s="21" t="n"/>
      <c r="S121" s="21" t="n"/>
      <c r="T121" s="21" t="n"/>
      <c r="U121" s="21" t="n"/>
      <c r="V121" s="22">
        <f>Q121</f>
        <v/>
      </c>
      <c r="W121" s="21" t="n"/>
      <c r="X121" s="21" t="n"/>
      <c r="Y121" s="21" t="n"/>
      <c r="Z121" s="21" t="n"/>
      <c r="AA121" s="22">
        <f>Q121</f>
        <v/>
      </c>
      <c r="AB121" s="21" t="n"/>
      <c r="AC121" s="21" t="n"/>
      <c r="AD121" s="21" t="n"/>
      <c r="AE121" s="21" t="n"/>
      <c r="AF121" s="22">
        <f>Q121</f>
        <v/>
      </c>
      <c r="AG121" s="21" t="n"/>
      <c r="AH121" s="21" t="n"/>
      <c r="AI121" s="21" t="n"/>
      <c r="AJ121" s="21" t="n"/>
      <c r="AL121" s="23">
        <f>INDEX(Prices_dom!$A$6:$CU$2000,MATCH(Settings!$C$4&amp;AL$5,Prices_dom!$A$6:$A$2000,0),MATCH("mit.sp."&amp;$N121,Prices_dom!$A$5:$CU$5,0))/$P121</f>
        <v/>
      </c>
      <c r="AM121" s="22">
        <f>AL121*(1+INDEX($Q121:$AJ121,1,(AM$4-1)*5+1))</f>
        <v/>
      </c>
      <c r="AN121" s="22">
        <f>AM121*(1+INDEX($Q121:$AJ121,1,(AN$4-1)*5+1))</f>
        <v/>
      </c>
      <c r="AO121" s="22">
        <f>AN121*(1+INDEX($Q121:$AJ121,1,(AO$4-1)*5+1))</f>
        <v/>
      </c>
      <c r="AP121" s="22">
        <f>AO121*(1+INDEX($Q121:$AJ121,1,(AP$4-1)*5+1))</f>
        <v/>
      </c>
      <c r="AQ121" s="22">
        <f>AP121*(1+INDEX($Q121:$AJ121,1,(AQ$4-1)*5+1))</f>
        <v/>
      </c>
      <c r="AR121" s="22">
        <f>AQ121*(1+INDEX($Q121:$AJ121,1,(AR$4-1)*5+1))</f>
        <v/>
      </c>
      <c r="AS121" s="22">
        <f>AR121*(1+INDEX($Q121:$AJ121,1,(AS$4-1)*5+1))</f>
        <v/>
      </c>
      <c r="AT121" s="22">
        <f>AS121*(1+INDEX($Q121:$AJ121,1,(AT$4-1)*5+1))</f>
        <v/>
      </c>
      <c r="AU121" s="22">
        <f>AT121*(1+INDEX($Q121:$AJ121,1,(AU$4-1)*5+1))</f>
        <v/>
      </c>
      <c r="AV121" s="22">
        <f>AU121*(1+INDEX($Q121:$AJ121,1,(AV$4-1)*5+1))</f>
        <v/>
      </c>
      <c r="AW121" s="22">
        <f>AV121*(1+INDEX($Q121:$AJ121,1,(AW$4-1)*5+1))</f>
        <v/>
      </c>
      <c r="AX121" s="22">
        <f>AW121*(1+INDEX($Q121:$AJ121,1,(AX$4-1)*5+1))</f>
        <v/>
      </c>
      <c r="AY121" s="22">
        <f>AX121*(1+INDEX($Q121:$AJ121,1,(AY$4-1)*5+1))</f>
        <v/>
      </c>
      <c r="BA121" s="23">
        <f>INDEX(Prices_dom!$A$6:$CU$2000,MATCH(Settings!$C$4&amp;BA$5,Prices_dom!$A$6:$A$2000,0),MATCH("mit.sp."&amp;$N121,Prices_dom!$A$5:$CU$5,0))/$P121</f>
        <v/>
      </c>
      <c r="BB121" s="22">
        <f>BA121*(1+INDEX($Q121:$AJ121,1,(BB$4-1)*5+1))</f>
        <v/>
      </c>
      <c r="BC121" s="22">
        <f>BB121*(1+INDEX($Q121:$AJ121,1,(BC$4-1)*5+1))</f>
        <v/>
      </c>
      <c r="BD121" s="22">
        <f>BC121*(1+INDEX($Q121:$AJ121,1,(BD$4-1)*5+1))</f>
        <v/>
      </c>
      <c r="BE121" s="22">
        <f>BD121*(1+INDEX($Q121:$AJ121,1,(BE$4-1)*5+1))</f>
        <v/>
      </c>
      <c r="BF121" s="22">
        <f>BE121*(1+INDEX($Q121:$AJ121,1,(BF$4-1)*5+1))</f>
        <v/>
      </c>
      <c r="BG121" s="22">
        <f>BF121*(1+INDEX($Q121:$AJ121,1,(BG$4-1)*5+1))</f>
        <v/>
      </c>
      <c r="BH121" s="22">
        <f>BG121*(1+INDEX($Q121:$AJ121,1,(BH$4-1)*5+1))</f>
        <v/>
      </c>
      <c r="BI121" s="22">
        <f>BH121*(1+INDEX($Q121:$AJ121,1,(BI$4-1)*5+1))</f>
        <v/>
      </c>
      <c r="BJ121" s="22">
        <f>BI121*(1+INDEX($Q121:$AJ121,1,(BJ$4-1)*5+1))</f>
        <v/>
      </c>
      <c r="BK121" s="22">
        <f>BJ121*(1+INDEX($Q121:$AJ121,1,(BK$4-1)*5+1))</f>
        <v/>
      </c>
      <c r="BL121" s="22">
        <f>BK121*(1+INDEX($Q121:$AJ121,1,(BL$4-1)*5+1))</f>
        <v/>
      </c>
      <c r="BM121" s="22">
        <f>BL121*(1+INDEX($Q121:$AJ121,1,(BM$4-1)*5+1))</f>
        <v/>
      </c>
      <c r="BN121" s="22">
        <f>BM121*(1+INDEX($Q121:$AJ121,1,(BN$4-1)*5+1))</f>
        <v/>
      </c>
    </row>
    <row r="122">
      <c r="B122" s="5" t="inlineStr">
        <is>
          <t>bio</t>
        </is>
      </c>
      <c r="C122" s="5" t="inlineStr">
        <is>
          <t>cst</t>
        </is>
      </c>
      <c r="D122" s="5" t="inlineStr">
        <is>
          <t>Pre-tax price | Construction | Biomass</t>
        </is>
      </c>
      <c r="E122" s="5" t="inlineStr">
        <is>
          <t>$/GJ</t>
        </is>
      </c>
      <c r="F122" s="5" t="inlineStr">
        <is>
          <t>Prices_dom (base year), then growth</t>
        </is>
      </c>
      <c r="G122" s="19" t="inlineStr">
        <is>
          <t>mit.sp.bio</t>
        </is>
      </c>
      <c r="H122" s="19" t="inlineStr">
        <is>
          <t>mit.pbt.bio.cst</t>
        </is>
      </c>
      <c r="J122" s="5">
        <f>INDEX(Mapping!$C$5:$C$20,MATCH($C122,Mapping!$A$5:$A$20,0))</f>
        <v/>
      </c>
      <c r="K122" s="5">
        <f>INDEX(Mapping!$D$5:$D$20,MATCH($C122,Mapping!$A$5:$A$20,0))</f>
        <v/>
      </c>
      <c r="L122" s="5">
        <f>INDEX(Mapping!$C$24:$C$31,MATCH($B122,Mapping!$A$24:$A$31,0))</f>
        <v/>
      </c>
      <c r="M122" s="5">
        <f>INDEX(Mapping!$D$24:$D$31,MATCH($B122,Mapping!$A$24:$A$31,0))</f>
        <v/>
      </c>
      <c r="N122" s="5">
        <f>$B122&amp;"."&amp;IF(INDEX(Mapping!$E$24:$E$31,MATCH($B122,Mapping!$A$24:$A$31,0))="sub",INDEX(Mapping!$F$5:$F$20,MATCH($C122,Mapping!$A$5:$A$20,0)),"all")</f>
        <v/>
      </c>
      <c r="O122" s="5">
        <f>INDEX(Mapping!$E$5:$E$20,MATCH($C122,Mapping!$A$5:$A$20,0))</f>
        <v/>
      </c>
      <c r="P122" s="5">
        <f>INDEX(Mapping!$G$24:$G$31,MATCH($B122,Mapping!$A$24:$A$31,0))</f>
        <v/>
      </c>
      <c r="Q122" s="20" t="n">
        <v>0</v>
      </c>
      <c r="R122" s="21" t="n"/>
      <c r="S122" s="21" t="n"/>
      <c r="T122" s="21" t="n"/>
      <c r="U122" s="21" t="n"/>
      <c r="V122" s="22">
        <f>Q122</f>
        <v/>
      </c>
      <c r="W122" s="21" t="n"/>
      <c r="X122" s="21" t="n"/>
      <c r="Y122" s="21" t="n"/>
      <c r="Z122" s="21" t="n"/>
      <c r="AA122" s="22">
        <f>Q122</f>
        <v/>
      </c>
      <c r="AB122" s="21" t="n"/>
      <c r="AC122" s="21" t="n"/>
      <c r="AD122" s="21" t="n"/>
      <c r="AE122" s="21" t="n"/>
      <c r="AF122" s="22">
        <f>Q122</f>
        <v/>
      </c>
      <c r="AG122" s="21" t="n"/>
      <c r="AH122" s="21" t="n"/>
      <c r="AI122" s="21" t="n"/>
      <c r="AJ122" s="21" t="n"/>
      <c r="AL122" s="23">
        <f>INDEX(Prices_dom!$A$6:$CU$2000,MATCH(Settings!$C$4&amp;AL$5,Prices_dom!$A$6:$A$2000,0),MATCH("mit.sp."&amp;$N122,Prices_dom!$A$5:$CU$5,0))/$P122</f>
        <v/>
      </c>
      <c r="AM122" s="22">
        <f>AL122*(1+INDEX($Q122:$AJ122,1,(AM$4-1)*5+1))</f>
        <v/>
      </c>
      <c r="AN122" s="22">
        <f>AM122*(1+INDEX($Q122:$AJ122,1,(AN$4-1)*5+1))</f>
        <v/>
      </c>
      <c r="AO122" s="22">
        <f>AN122*(1+INDEX($Q122:$AJ122,1,(AO$4-1)*5+1))</f>
        <v/>
      </c>
      <c r="AP122" s="22">
        <f>AO122*(1+INDEX($Q122:$AJ122,1,(AP$4-1)*5+1))</f>
        <v/>
      </c>
      <c r="AQ122" s="22">
        <f>AP122*(1+INDEX($Q122:$AJ122,1,(AQ$4-1)*5+1))</f>
        <v/>
      </c>
      <c r="AR122" s="22">
        <f>AQ122*(1+INDEX($Q122:$AJ122,1,(AR$4-1)*5+1))</f>
        <v/>
      </c>
      <c r="AS122" s="22">
        <f>AR122*(1+INDEX($Q122:$AJ122,1,(AS$4-1)*5+1))</f>
        <v/>
      </c>
      <c r="AT122" s="22">
        <f>AS122*(1+INDEX($Q122:$AJ122,1,(AT$4-1)*5+1))</f>
        <v/>
      </c>
      <c r="AU122" s="22">
        <f>AT122*(1+INDEX($Q122:$AJ122,1,(AU$4-1)*5+1))</f>
        <v/>
      </c>
      <c r="AV122" s="22">
        <f>AU122*(1+INDEX($Q122:$AJ122,1,(AV$4-1)*5+1))</f>
        <v/>
      </c>
      <c r="AW122" s="22">
        <f>AV122*(1+INDEX($Q122:$AJ122,1,(AW$4-1)*5+1))</f>
        <v/>
      </c>
      <c r="AX122" s="22">
        <f>AW122*(1+INDEX($Q122:$AJ122,1,(AX$4-1)*5+1))</f>
        <v/>
      </c>
      <c r="AY122" s="22">
        <f>AX122*(1+INDEX($Q122:$AJ122,1,(AY$4-1)*5+1))</f>
        <v/>
      </c>
      <c r="BA122" s="23">
        <f>INDEX(Prices_dom!$A$6:$CU$2000,MATCH(Settings!$C$4&amp;BA$5,Prices_dom!$A$6:$A$2000,0),MATCH("mit.sp."&amp;$N122,Prices_dom!$A$5:$CU$5,0))/$P122</f>
        <v/>
      </c>
      <c r="BB122" s="22">
        <f>BA122*(1+INDEX($Q122:$AJ122,1,(BB$4-1)*5+1))</f>
        <v/>
      </c>
      <c r="BC122" s="22">
        <f>BB122*(1+INDEX($Q122:$AJ122,1,(BC$4-1)*5+1))</f>
        <v/>
      </c>
      <c r="BD122" s="22">
        <f>BC122*(1+INDEX($Q122:$AJ122,1,(BD$4-1)*5+1))</f>
        <v/>
      </c>
      <c r="BE122" s="22">
        <f>BD122*(1+INDEX($Q122:$AJ122,1,(BE$4-1)*5+1))</f>
        <v/>
      </c>
      <c r="BF122" s="22">
        <f>BE122*(1+INDEX($Q122:$AJ122,1,(BF$4-1)*5+1))</f>
        <v/>
      </c>
      <c r="BG122" s="22">
        <f>BF122*(1+INDEX($Q122:$AJ122,1,(BG$4-1)*5+1))</f>
        <v/>
      </c>
      <c r="BH122" s="22">
        <f>BG122*(1+INDEX($Q122:$AJ122,1,(BH$4-1)*5+1))</f>
        <v/>
      </c>
      <c r="BI122" s="22">
        <f>BH122*(1+INDEX($Q122:$AJ122,1,(BI$4-1)*5+1))</f>
        <v/>
      </c>
      <c r="BJ122" s="22">
        <f>BI122*(1+INDEX($Q122:$AJ122,1,(BJ$4-1)*5+1))</f>
        <v/>
      </c>
      <c r="BK122" s="22">
        <f>BJ122*(1+INDEX($Q122:$AJ122,1,(BK$4-1)*5+1))</f>
        <v/>
      </c>
      <c r="BL122" s="22">
        <f>BK122*(1+INDEX($Q122:$AJ122,1,(BL$4-1)*5+1))</f>
        <v/>
      </c>
      <c r="BM122" s="22">
        <f>BL122*(1+INDEX($Q122:$AJ122,1,(BM$4-1)*5+1))</f>
        <v/>
      </c>
      <c r="BN122" s="22">
        <f>BM122*(1+INDEX($Q122:$AJ122,1,(BN$4-1)*5+1))</f>
        <v/>
      </c>
    </row>
    <row r="123">
      <c r="B123" s="5" t="inlineStr">
        <is>
          <t>coa</t>
        </is>
      </c>
      <c r="C123" s="5" t="inlineStr">
        <is>
          <t>ftr</t>
        </is>
      </c>
      <c r="D123" s="5" t="inlineStr">
        <is>
          <t>Pre-tax price | Fuel transformation | Coal</t>
        </is>
      </c>
      <c r="E123" s="5" t="inlineStr">
        <is>
          <t>$/GJ</t>
        </is>
      </c>
      <c r="F123" s="5" t="inlineStr">
        <is>
          <t>Prices_dom (base year), then growth</t>
        </is>
      </c>
      <c r="G123" s="19" t="inlineStr">
        <is>
          <t>mit.sp.coa</t>
        </is>
      </c>
      <c r="H123" s="19" t="inlineStr">
        <is>
          <t>mit.pbt.coa.ftr</t>
        </is>
      </c>
      <c r="J123" s="5">
        <f>INDEX(Mapping!$C$5:$C$20,MATCH($C123,Mapping!$A$5:$A$20,0))</f>
        <v/>
      </c>
      <c r="K123" s="5">
        <f>INDEX(Mapping!$D$5:$D$20,MATCH($C123,Mapping!$A$5:$A$20,0))</f>
        <v/>
      </c>
      <c r="L123" s="5">
        <f>INDEX(Mapping!$C$24:$C$31,MATCH($B123,Mapping!$A$24:$A$31,0))</f>
        <v/>
      </c>
      <c r="M123" s="5">
        <f>INDEX(Mapping!$D$24:$D$31,MATCH($B123,Mapping!$A$24:$A$31,0))</f>
        <v/>
      </c>
      <c r="N123" s="5">
        <f>$B123&amp;"."&amp;IF(INDEX(Mapping!$E$24:$E$31,MATCH($B123,Mapping!$A$24:$A$31,0))="sub",INDEX(Mapping!$F$5:$F$20,MATCH($C123,Mapping!$A$5:$A$20,0)),"all")</f>
        <v/>
      </c>
      <c r="O123" s="5">
        <f>INDEX(Mapping!$E$5:$E$20,MATCH($C123,Mapping!$A$5:$A$20,0))</f>
        <v/>
      </c>
      <c r="P123" s="5">
        <f>INDEX(Mapping!$G$24:$G$31,MATCH($B123,Mapping!$A$24:$A$31,0))</f>
        <v/>
      </c>
      <c r="Q123" s="20" t="n">
        <v>0</v>
      </c>
      <c r="R123" s="21" t="n"/>
      <c r="S123" s="21" t="n"/>
      <c r="T123" s="21" t="n"/>
      <c r="U123" s="21" t="n"/>
      <c r="V123" s="22">
        <f>Q123</f>
        <v/>
      </c>
      <c r="W123" s="21" t="n"/>
      <c r="X123" s="21" t="n"/>
      <c r="Y123" s="21" t="n"/>
      <c r="Z123" s="21" t="n"/>
      <c r="AA123" s="22">
        <f>Q123</f>
        <v/>
      </c>
      <c r="AB123" s="21" t="n"/>
      <c r="AC123" s="21" t="n"/>
      <c r="AD123" s="21" t="n"/>
      <c r="AE123" s="21" t="n"/>
      <c r="AF123" s="22">
        <f>Q123</f>
        <v/>
      </c>
      <c r="AG123" s="21" t="n"/>
      <c r="AH123" s="21" t="n"/>
      <c r="AI123" s="21" t="n"/>
      <c r="AJ123" s="21" t="n"/>
      <c r="AL123" s="23">
        <f>INDEX(Prices_dom!$A$6:$CU$2000,MATCH(Settings!$C$4&amp;AL$5,Prices_dom!$A$6:$A$2000,0),MATCH("mit.sp."&amp;$N123,Prices_dom!$A$5:$CU$5,0))/$P123</f>
        <v/>
      </c>
      <c r="AM123" s="22">
        <f>AL123*(1+INDEX($Q123:$AJ123,1,(AM$4-1)*5+1))</f>
        <v/>
      </c>
      <c r="AN123" s="22">
        <f>AM123*(1+INDEX($Q123:$AJ123,1,(AN$4-1)*5+1))</f>
        <v/>
      </c>
      <c r="AO123" s="22">
        <f>AN123*(1+INDEX($Q123:$AJ123,1,(AO$4-1)*5+1))</f>
        <v/>
      </c>
      <c r="AP123" s="22">
        <f>AO123*(1+INDEX($Q123:$AJ123,1,(AP$4-1)*5+1))</f>
        <v/>
      </c>
      <c r="AQ123" s="22">
        <f>AP123*(1+INDEX($Q123:$AJ123,1,(AQ$4-1)*5+1))</f>
        <v/>
      </c>
      <c r="AR123" s="22">
        <f>AQ123*(1+INDEX($Q123:$AJ123,1,(AR$4-1)*5+1))</f>
        <v/>
      </c>
      <c r="AS123" s="22">
        <f>AR123*(1+INDEX($Q123:$AJ123,1,(AS$4-1)*5+1))</f>
        <v/>
      </c>
      <c r="AT123" s="22">
        <f>AS123*(1+INDEX($Q123:$AJ123,1,(AT$4-1)*5+1))</f>
        <v/>
      </c>
      <c r="AU123" s="22">
        <f>AT123*(1+INDEX($Q123:$AJ123,1,(AU$4-1)*5+1))</f>
        <v/>
      </c>
      <c r="AV123" s="22">
        <f>AU123*(1+INDEX($Q123:$AJ123,1,(AV$4-1)*5+1))</f>
        <v/>
      </c>
      <c r="AW123" s="22">
        <f>AV123*(1+INDEX($Q123:$AJ123,1,(AW$4-1)*5+1))</f>
        <v/>
      </c>
      <c r="AX123" s="22">
        <f>AW123*(1+INDEX($Q123:$AJ123,1,(AX$4-1)*5+1))</f>
        <v/>
      </c>
      <c r="AY123" s="22">
        <f>AX123*(1+INDEX($Q123:$AJ123,1,(AY$4-1)*5+1))</f>
        <v/>
      </c>
      <c r="BA123" s="23">
        <f>INDEX(Prices_dom!$A$6:$CU$2000,MATCH(Settings!$C$4&amp;BA$5,Prices_dom!$A$6:$A$2000,0),MATCH("mit.sp."&amp;$N123,Prices_dom!$A$5:$CU$5,0))/$P123</f>
        <v/>
      </c>
      <c r="BB123" s="22">
        <f>BA123*(1+INDEX($Q123:$AJ123,1,(BB$4-1)*5+1))</f>
        <v/>
      </c>
      <c r="BC123" s="22">
        <f>BB123*(1+INDEX($Q123:$AJ123,1,(BC$4-1)*5+1))</f>
        <v/>
      </c>
      <c r="BD123" s="22">
        <f>BC123*(1+INDEX($Q123:$AJ123,1,(BD$4-1)*5+1))</f>
        <v/>
      </c>
      <c r="BE123" s="22">
        <f>BD123*(1+INDEX($Q123:$AJ123,1,(BE$4-1)*5+1))</f>
        <v/>
      </c>
      <c r="BF123" s="22">
        <f>BE123*(1+INDEX($Q123:$AJ123,1,(BF$4-1)*5+1))</f>
        <v/>
      </c>
      <c r="BG123" s="22">
        <f>BF123*(1+INDEX($Q123:$AJ123,1,(BG$4-1)*5+1))</f>
        <v/>
      </c>
      <c r="BH123" s="22">
        <f>BG123*(1+INDEX($Q123:$AJ123,1,(BH$4-1)*5+1))</f>
        <v/>
      </c>
      <c r="BI123" s="22">
        <f>BH123*(1+INDEX($Q123:$AJ123,1,(BI$4-1)*5+1))</f>
        <v/>
      </c>
      <c r="BJ123" s="22">
        <f>BI123*(1+INDEX($Q123:$AJ123,1,(BJ$4-1)*5+1))</f>
        <v/>
      </c>
      <c r="BK123" s="22">
        <f>BJ123*(1+INDEX($Q123:$AJ123,1,(BK$4-1)*5+1))</f>
        <v/>
      </c>
      <c r="BL123" s="22">
        <f>BK123*(1+INDEX($Q123:$AJ123,1,(BL$4-1)*5+1))</f>
        <v/>
      </c>
      <c r="BM123" s="22">
        <f>BL123*(1+INDEX($Q123:$AJ123,1,(BM$4-1)*5+1))</f>
        <v/>
      </c>
      <c r="BN123" s="22">
        <f>BM123*(1+INDEX($Q123:$AJ123,1,(BN$4-1)*5+1))</f>
        <v/>
      </c>
    </row>
    <row r="124">
      <c r="B124" s="5" t="inlineStr">
        <is>
          <t>nga</t>
        </is>
      </c>
      <c r="C124" s="5" t="inlineStr">
        <is>
          <t>ftr</t>
        </is>
      </c>
      <c r="D124" s="5" t="inlineStr">
        <is>
          <t>Pre-tax price | Fuel transformation | Natural gas</t>
        </is>
      </c>
      <c r="E124" s="5" t="inlineStr">
        <is>
          <t>$/GJ</t>
        </is>
      </c>
      <c r="F124" s="5" t="inlineStr">
        <is>
          <t>Prices_dom (base year), then growth</t>
        </is>
      </c>
      <c r="G124" s="19" t="inlineStr">
        <is>
          <t>mit.sp.nga</t>
        </is>
      </c>
      <c r="H124" s="19" t="inlineStr">
        <is>
          <t>mit.pbt.nga.ftr</t>
        </is>
      </c>
      <c r="J124" s="5">
        <f>INDEX(Mapping!$C$5:$C$20,MATCH($C124,Mapping!$A$5:$A$20,0))</f>
        <v/>
      </c>
      <c r="K124" s="5">
        <f>INDEX(Mapping!$D$5:$D$20,MATCH($C124,Mapping!$A$5:$A$20,0))</f>
        <v/>
      </c>
      <c r="L124" s="5">
        <f>INDEX(Mapping!$C$24:$C$31,MATCH($B124,Mapping!$A$24:$A$31,0))</f>
        <v/>
      </c>
      <c r="M124" s="5">
        <f>INDEX(Mapping!$D$24:$D$31,MATCH($B124,Mapping!$A$24:$A$31,0))</f>
        <v/>
      </c>
      <c r="N124" s="5">
        <f>$B124&amp;"."&amp;IF(INDEX(Mapping!$E$24:$E$31,MATCH($B124,Mapping!$A$24:$A$31,0))="sub",INDEX(Mapping!$F$5:$F$20,MATCH($C124,Mapping!$A$5:$A$20,0)),"all")</f>
        <v/>
      </c>
      <c r="O124" s="5">
        <f>INDEX(Mapping!$E$5:$E$20,MATCH($C124,Mapping!$A$5:$A$20,0))</f>
        <v/>
      </c>
      <c r="P124" s="5">
        <f>INDEX(Mapping!$G$24:$G$31,MATCH($B124,Mapping!$A$24:$A$31,0))</f>
        <v/>
      </c>
      <c r="Q124" s="20" t="n">
        <v>0</v>
      </c>
      <c r="R124" s="21" t="n"/>
      <c r="S124" s="21" t="n"/>
      <c r="T124" s="21" t="n"/>
      <c r="U124" s="21" t="n"/>
      <c r="V124" s="22">
        <f>Q124</f>
        <v/>
      </c>
      <c r="W124" s="21" t="n"/>
      <c r="X124" s="21" t="n"/>
      <c r="Y124" s="21" t="n"/>
      <c r="Z124" s="21" t="n"/>
      <c r="AA124" s="22">
        <f>Q124</f>
        <v/>
      </c>
      <c r="AB124" s="21" t="n"/>
      <c r="AC124" s="21" t="n"/>
      <c r="AD124" s="21" t="n"/>
      <c r="AE124" s="21" t="n"/>
      <c r="AF124" s="22">
        <f>Q124</f>
        <v/>
      </c>
      <c r="AG124" s="21" t="n"/>
      <c r="AH124" s="21" t="n"/>
      <c r="AI124" s="21" t="n"/>
      <c r="AJ124" s="21" t="n"/>
      <c r="AL124" s="23">
        <f>INDEX(Prices_dom!$A$6:$CU$2000,MATCH(Settings!$C$4&amp;AL$5,Prices_dom!$A$6:$A$2000,0),MATCH("mit.sp."&amp;$N124,Prices_dom!$A$5:$CU$5,0))/$P124</f>
        <v/>
      </c>
      <c r="AM124" s="22">
        <f>AL124*(1+INDEX($Q124:$AJ124,1,(AM$4-1)*5+1))</f>
        <v/>
      </c>
      <c r="AN124" s="22">
        <f>AM124*(1+INDEX($Q124:$AJ124,1,(AN$4-1)*5+1))</f>
        <v/>
      </c>
      <c r="AO124" s="22">
        <f>AN124*(1+INDEX($Q124:$AJ124,1,(AO$4-1)*5+1))</f>
        <v/>
      </c>
      <c r="AP124" s="22">
        <f>AO124*(1+INDEX($Q124:$AJ124,1,(AP$4-1)*5+1))</f>
        <v/>
      </c>
      <c r="AQ124" s="22">
        <f>AP124*(1+INDEX($Q124:$AJ124,1,(AQ$4-1)*5+1))</f>
        <v/>
      </c>
      <c r="AR124" s="22">
        <f>AQ124*(1+INDEX($Q124:$AJ124,1,(AR$4-1)*5+1))</f>
        <v/>
      </c>
      <c r="AS124" s="22">
        <f>AR124*(1+INDEX($Q124:$AJ124,1,(AS$4-1)*5+1))</f>
        <v/>
      </c>
      <c r="AT124" s="22">
        <f>AS124*(1+INDEX($Q124:$AJ124,1,(AT$4-1)*5+1))</f>
        <v/>
      </c>
      <c r="AU124" s="22">
        <f>AT124*(1+INDEX($Q124:$AJ124,1,(AU$4-1)*5+1))</f>
        <v/>
      </c>
      <c r="AV124" s="22">
        <f>AU124*(1+INDEX($Q124:$AJ124,1,(AV$4-1)*5+1))</f>
        <v/>
      </c>
      <c r="AW124" s="22">
        <f>AV124*(1+INDEX($Q124:$AJ124,1,(AW$4-1)*5+1))</f>
        <v/>
      </c>
      <c r="AX124" s="22">
        <f>AW124*(1+INDEX($Q124:$AJ124,1,(AX$4-1)*5+1))</f>
        <v/>
      </c>
      <c r="AY124" s="22">
        <f>AX124*(1+INDEX($Q124:$AJ124,1,(AY$4-1)*5+1))</f>
        <v/>
      </c>
      <c r="BA124" s="23">
        <f>INDEX(Prices_dom!$A$6:$CU$2000,MATCH(Settings!$C$4&amp;BA$5,Prices_dom!$A$6:$A$2000,0),MATCH("mit.sp."&amp;$N124,Prices_dom!$A$5:$CU$5,0))/$P124</f>
        <v/>
      </c>
      <c r="BB124" s="22">
        <f>BA124*(1+INDEX($Q124:$AJ124,1,(BB$4-1)*5+1))</f>
        <v/>
      </c>
      <c r="BC124" s="22">
        <f>BB124*(1+INDEX($Q124:$AJ124,1,(BC$4-1)*5+1))</f>
        <v/>
      </c>
      <c r="BD124" s="22">
        <f>BC124*(1+INDEX($Q124:$AJ124,1,(BD$4-1)*5+1))</f>
        <v/>
      </c>
      <c r="BE124" s="22">
        <f>BD124*(1+INDEX($Q124:$AJ124,1,(BE$4-1)*5+1))</f>
        <v/>
      </c>
      <c r="BF124" s="22">
        <f>BE124*(1+INDEX($Q124:$AJ124,1,(BF$4-1)*5+1))</f>
        <v/>
      </c>
      <c r="BG124" s="22">
        <f>BF124*(1+INDEX($Q124:$AJ124,1,(BG$4-1)*5+1))</f>
        <v/>
      </c>
      <c r="BH124" s="22">
        <f>BG124*(1+INDEX($Q124:$AJ124,1,(BH$4-1)*5+1))</f>
        <v/>
      </c>
      <c r="BI124" s="22">
        <f>BH124*(1+INDEX($Q124:$AJ124,1,(BI$4-1)*5+1))</f>
        <v/>
      </c>
      <c r="BJ124" s="22">
        <f>BI124*(1+INDEX($Q124:$AJ124,1,(BJ$4-1)*5+1))</f>
        <v/>
      </c>
      <c r="BK124" s="22">
        <f>BJ124*(1+INDEX($Q124:$AJ124,1,(BK$4-1)*5+1))</f>
        <v/>
      </c>
      <c r="BL124" s="22">
        <f>BK124*(1+INDEX($Q124:$AJ124,1,(BL$4-1)*5+1))</f>
        <v/>
      </c>
      <c r="BM124" s="22">
        <f>BL124*(1+INDEX($Q124:$AJ124,1,(BM$4-1)*5+1))</f>
        <v/>
      </c>
      <c r="BN124" s="22">
        <f>BM124*(1+INDEX($Q124:$AJ124,1,(BN$4-1)*5+1))</f>
        <v/>
      </c>
    </row>
    <row r="125">
      <c r="B125" s="5" t="inlineStr">
        <is>
          <t>gso</t>
        </is>
      </c>
      <c r="C125" s="5" t="inlineStr">
        <is>
          <t>ftr</t>
        </is>
      </c>
      <c r="D125" s="5" t="inlineStr">
        <is>
          <t>Pre-tax price | Fuel transformation | Gasoline</t>
        </is>
      </c>
      <c r="E125" s="5" t="inlineStr">
        <is>
          <t>$/GJ</t>
        </is>
      </c>
      <c r="F125" s="5" t="inlineStr">
        <is>
          <t>Prices_dom (base year), then growth</t>
        </is>
      </c>
      <c r="G125" s="19" t="inlineStr">
        <is>
          <t>mit.sp.gso</t>
        </is>
      </c>
      <c r="H125" s="19" t="inlineStr">
        <is>
          <t>mit.pbt.gso.ftr</t>
        </is>
      </c>
      <c r="J125" s="5">
        <f>INDEX(Mapping!$C$5:$C$20,MATCH($C125,Mapping!$A$5:$A$20,0))</f>
        <v/>
      </c>
      <c r="K125" s="5">
        <f>INDEX(Mapping!$D$5:$D$20,MATCH($C125,Mapping!$A$5:$A$20,0))</f>
        <v/>
      </c>
      <c r="L125" s="5">
        <f>INDEX(Mapping!$C$24:$C$31,MATCH($B125,Mapping!$A$24:$A$31,0))</f>
        <v/>
      </c>
      <c r="M125" s="5">
        <f>INDEX(Mapping!$D$24:$D$31,MATCH($B125,Mapping!$A$24:$A$31,0))</f>
        <v/>
      </c>
      <c r="N125" s="5">
        <f>$B125&amp;"."&amp;IF(INDEX(Mapping!$E$24:$E$31,MATCH($B125,Mapping!$A$24:$A$31,0))="sub",INDEX(Mapping!$F$5:$F$20,MATCH($C125,Mapping!$A$5:$A$20,0)),"all")</f>
        <v/>
      </c>
      <c r="O125" s="5">
        <f>INDEX(Mapping!$E$5:$E$20,MATCH($C125,Mapping!$A$5:$A$20,0))</f>
        <v/>
      </c>
      <c r="P125" s="5">
        <f>INDEX(Mapping!$G$24:$G$31,MATCH($B125,Mapping!$A$24:$A$31,0))</f>
        <v/>
      </c>
      <c r="Q125" s="20" t="n">
        <v>0</v>
      </c>
      <c r="R125" s="21" t="n"/>
      <c r="S125" s="21" t="n"/>
      <c r="T125" s="21" t="n"/>
      <c r="U125" s="21" t="n"/>
      <c r="V125" s="22">
        <f>Q125</f>
        <v/>
      </c>
      <c r="W125" s="21" t="n"/>
      <c r="X125" s="21" t="n"/>
      <c r="Y125" s="21" t="n"/>
      <c r="Z125" s="21" t="n"/>
      <c r="AA125" s="22">
        <f>Q125</f>
        <v/>
      </c>
      <c r="AB125" s="21" t="n"/>
      <c r="AC125" s="21" t="n"/>
      <c r="AD125" s="21" t="n"/>
      <c r="AE125" s="21" t="n"/>
      <c r="AF125" s="22">
        <f>Q125</f>
        <v/>
      </c>
      <c r="AG125" s="21" t="n"/>
      <c r="AH125" s="21" t="n"/>
      <c r="AI125" s="21" t="n"/>
      <c r="AJ125" s="21" t="n"/>
      <c r="AL125" s="23">
        <f>INDEX(Prices_dom!$A$6:$CU$2000,MATCH(Settings!$C$4&amp;AL$5,Prices_dom!$A$6:$A$2000,0),MATCH("mit.sp."&amp;$N125,Prices_dom!$A$5:$CU$5,0))/$P125</f>
        <v/>
      </c>
      <c r="AM125" s="22">
        <f>AL125*(1+INDEX($Q125:$AJ125,1,(AM$4-1)*5+1))</f>
        <v/>
      </c>
      <c r="AN125" s="22">
        <f>AM125*(1+INDEX($Q125:$AJ125,1,(AN$4-1)*5+1))</f>
        <v/>
      </c>
      <c r="AO125" s="22">
        <f>AN125*(1+INDEX($Q125:$AJ125,1,(AO$4-1)*5+1))</f>
        <v/>
      </c>
      <c r="AP125" s="22">
        <f>AO125*(1+INDEX($Q125:$AJ125,1,(AP$4-1)*5+1))</f>
        <v/>
      </c>
      <c r="AQ125" s="22">
        <f>AP125*(1+INDEX($Q125:$AJ125,1,(AQ$4-1)*5+1))</f>
        <v/>
      </c>
      <c r="AR125" s="22">
        <f>AQ125*(1+INDEX($Q125:$AJ125,1,(AR$4-1)*5+1))</f>
        <v/>
      </c>
      <c r="AS125" s="22">
        <f>AR125*(1+INDEX($Q125:$AJ125,1,(AS$4-1)*5+1))</f>
        <v/>
      </c>
      <c r="AT125" s="22">
        <f>AS125*(1+INDEX($Q125:$AJ125,1,(AT$4-1)*5+1))</f>
        <v/>
      </c>
      <c r="AU125" s="22">
        <f>AT125*(1+INDEX($Q125:$AJ125,1,(AU$4-1)*5+1))</f>
        <v/>
      </c>
      <c r="AV125" s="22">
        <f>AU125*(1+INDEX($Q125:$AJ125,1,(AV$4-1)*5+1))</f>
        <v/>
      </c>
      <c r="AW125" s="22">
        <f>AV125*(1+INDEX($Q125:$AJ125,1,(AW$4-1)*5+1))</f>
        <v/>
      </c>
      <c r="AX125" s="22">
        <f>AW125*(1+INDEX($Q125:$AJ125,1,(AX$4-1)*5+1))</f>
        <v/>
      </c>
      <c r="AY125" s="22">
        <f>AX125*(1+INDEX($Q125:$AJ125,1,(AY$4-1)*5+1))</f>
        <v/>
      </c>
      <c r="BA125" s="23">
        <f>INDEX(Prices_dom!$A$6:$CU$2000,MATCH(Settings!$C$4&amp;BA$5,Prices_dom!$A$6:$A$2000,0),MATCH("mit.sp."&amp;$N125,Prices_dom!$A$5:$CU$5,0))/$P125</f>
        <v/>
      </c>
      <c r="BB125" s="22">
        <f>BA125*(1+INDEX($Q125:$AJ125,1,(BB$4-1)*5+1))</f>
        <v/>
      </c>
      <c r="BC125" s="22">
        <f>BB125*(1+INDEX($Q125:$AJ125,1,(BC$4-1)*5+1))</f>
        <v/>
      </c>
      <c r="BD125" s="22">
        <f>BC125*(1+INDEX($Q125:$AJ125,1,(BD$4-1)*5+1))</f>
        <v/>
      </c>
      <c r="BE125" s="22">
        <f>BD125*(1+INDEX($Q125:$AJ125,1,(BE$4-1)*5+1))</f>
        <v/>
      </c>
      <c r="BF125" s="22">
        <f>BE125*(1+INDEX($Q125:$AJ125,1,(BF$4-1)*5+1))</f>
        <v/>
      </c>
      <c r="BG125" s="22">
        <f>BF125*(1+INDEX($Q125:$AJ125,1,(BG$4-1)*5+1))</f>
        <v/>
      </c>
      <c r="BH125" s="22">
        <f>BG125*(1+INDEX($Q125:$AJ125,1,(BH$4-1)*5+1))</f>
        <v/>
      </c>
      <c r="BI125" s="22">
        <f>BH125*(1+INDEX($Q125:$AJ125,1,(BI$4-1)*5+1))</f>
        <v/>
      </c>
      <c r="BJ125" s="22">
        <f>BI125*(1+INDEX($Q125:$AJ125,1,(BJ$4-1)*5+1))</f>
        <v/>
      </c>
      <c r="BK125" s="22">
        <f>BJ125*(1+INDEX($Q125:$AJ125,1,(BK$4-1)*5+1))</f>
        <v/>
      </c>
      <c r="BL125" s="22">
        <f>BK125*(1+INDEX($Q125:$AJ125,1,(BL$4-1)*5+1))</f>
        <v/>
      </c>
      <c r="BM125" s="22">
        <f>BL125*(1+INDEX($Q125:$AJ125,1,(BM$4-1)*5+1))</f>
        <v/>
      </c>
      <c r="BN125" s="22">
        <f>BM125*(1+INDEX($Q125:$AJ125,1,(BN$4-1)*5+1))</f>
        <v/>
      </c>
    </row>
    <row r="126">
      <c r="B126" s="5" t="inlineStr">
        <is>
          <t>die</t>
        </is>
      </c>
      <c r="C126" s="5" t="inlineStr">
        <is>
          <t>ftr</t>
        </is>
      </c>
      <c r="D126" s="5" t="inlineStr">
        <is>
          <t>Pre-tax price | Fuel transformation | Diesel</t>
        </is>
      </c>
      <c r="E126" s="5" t="inlineStr">
        <is>
          <t>$/GJ</t>
        </is>
      </c>
      <c r="F126" s="5" t="inlineStr">
        <is>
          <t>Prices_dom (base year), then growth</t>
        </is>
      </c>
      <c r="G126" s="19" t="inlineStr">
        <is>
          <t>mit.sp.die</t>
        </is>
      </c>
      <c r="H126" s="19" t="inlineStr">
        <is>
          <t>mit.pbt.die.ftr</t>
        </is>
      </c>
      <c r="J126" s="5">
        <f>INDEX(Mapping!$C$5:$C$20,MATCH($C126,Mapping!$A$5:$A$20,0))</f>
        <v/>
      </c>
      <c r="K126" s="5">
        <f>INDEX(Mapping!$D$5:$D$20,MATCH($C126,Mapping!$A$5:$A$20,0))</f>
        <v/>
      </c>
      <c r="L126" s="5">
        <f>INDEX(Mapping!$C$24:$C$31,MATCH($B126,Mapping!$A$24:$A$31,0))</f>
        <v/>
      </c>
      <c r="M126" s="5">
        <f>INDEX(Mapping!$D$24:$D$31,MATCH($B126,Mapping!$A$24:$A$31,0))</f>
        <v/>
      </c>
      <c r="N126" s="5">
        <f>$B126&amp;"."&amp;IF(INDEX(Mapping!$E$24:$E$31,MATCH($B126,Mapping!$A$24:$A$31,0))="sub",INDEX(Mapping!$F$5:$F$20,MATCH($C126,Mapping!$A$5:$A$20,0)),"all")</f>
        <v/>
      </c>
      <c r="O126" s="5">
        <f>INDEX(Mapping!$E$5:$E$20,MATCH($C126,Mapping!$A$5:$A$20,0))</f>
        <v/>
      </c>
      <c r="P126" s="5">
        <f>INDEX(Mapping!$G$24:$G$31,MATCH($B126,Mapping!$A$24:$A$31,0))</f>
        <v/>
      </c>
      <c r="Q126" s="20" t="n">
        <v>0</v>
      </c>
      <c r="R126" s="21" t="n"/>
      <c r="S126" s="21" t="n"/>
      <c r="T126" s="21" t="n"/>
      <c r="U126" s="21" t="n"/>
      <c r="V126" s="22">
        <f>Q126</f>
        <v/>
      </c>
      <c r="W126" s="21" t="n"/>
      <c r="X126" s="21" t="n"/>
      <c r="Y126" s="21" t="n"/>
      <c r="Z126" s="21" t="n"/>
      <c r="AA126" s="22">
        <f>Q126</f>
        <v/>
      </c>
      <c r="AB126" s="21" t="n"/>
      <c r="AC126" s="21" t="n"/>
      <c r="AD126" s="21" t="n"/>
      <c r="AE126" s="21" t="n"/>
      <c r="AF126" s="22">
        <f>Q126</f>
        <v/>
      </c>
      <c r="AG126" s="21" t="n"/>
      <c r="AH126" s="21" t="n"/>
      <c r="AI126" s="21" t="n"/>
      <c r="AJ126" s="21" t="n"/>
      <c r="AL126" s="23">
        <f>INDEX(Prices_dom!$A$6:$CU$2000,MATCH(Settings!$C$4&amp;AL$5,Prices_dom!$A$6:$A$2000,0),MATCH("mit.sp."&amp;$N126,Prices_dom!$A$5:$CU$5,0))/$P126</f>
        <v/>
      </c>
      <c r="AM126" s="22">
        <f>AL126*(1+INDEX($Q126:$AJ126,1,(AM$4-1)*5+1))</f>
        <v/>
      </c>
      <c r="AN126" s="22">
        <f>AM126*(1+INDEX($Q126:$AJ126,1,(AN$4-1)*5+1))</f>
        <v/>
      </c>
      <c r="AO126" s="22">
        <f>AN126*(1+INDEX($Q126:$AJ126,1,(AO$4-1)*5+1))</f>
        <v/>
      </c>
      <c r="AP126" s="22">
        <f>AO126*(1+INDEX($Q126:$AJ126,1,(AP$4-1)*5+1))</f>
        <v/>
      </c>
      <c r="AQ126" s="22">
        <f>AP126*(1+INDEX($Q126:$AJ126,1,(AQ$4-1)*5+1))</f>
        <v/>
      </c>
      <c r="AR126" s="22">
        <f>AQ126*(1+INDEX($Q126:$AJ126,1,(AR$4-1)*5+1))</f>
        <v/>
      </c>
      <c r="AS126" s="22">
        <f>AR126*(1+INDEX($Q126:$AJ126,1,(AS$4-1)*5+1))</f>
        <v/>
      </c>
      <c r="AT126" s="22">
        <f>AS126*(1+INDEX($Q126:$AJ126,1,(AT$4-1)*5+1))</f>
        <v/>
      </c>
      <c r="AU126" s="22">
        <f>AT126*(1+INDEX($Q126:$AJ126,1,(AU$4-1)*5+1))</f>
        <v/>
      </c>
      <c r="AV126" s="22">
        <f>AU126*(1+INDEX($Q126:$AJ126,1,(AV$4-1)*5+1))</f>
        <v/>
      </c>
      <c r="AW126" s="22">
        <f>AV126*(1+INDEX($Q126:$AJ126,1,(AW$4-1)*5+1))</f>
        <v/>
      </c>
      <c r="AX126" s="22">
        <f>AW126*(1+INDEX($Q126:$AJ126,1,(AX$4-1)*5+1))</f>
        <v/>
      </c>
      <c r="AY126" s="22">
        <f>AX126*(1+INDEX($Q126:$AJ126,1,(AY$4-1)*5+1))</f>
        <v/>
      </c>
      <c r="BA126" s="23">
        <f>INDEX(Prices_dom!$A$6:$CU$2000,MATCH(Settings!$C$4&amp;BA$5,Prices_dom!$A$6:$A$2000,0),MATCH("mit.sp."&amp;$N126,Prices_dom!$A$5:$CU$5,0))/$P126</f>
        <v/>
      </c>
      <c r="BB126" s="22">
        <f>BA126*(1+INDEX($Q126:$AJ126,1,(BB$4-1)*5+1))</f>
        <v/>
      </c>
      <c r="BC126" s="22">
        <f>BB126*(1+INDEX($Q126:$AJ126,1,(BC$4-1)*5+1))</f>
        <v/>
      </c>
      <c r="BD126" s="22">
        <f>BC126*(1+INDEX($Q126:$AJ126,1,(BD$4-1)*5+1))</f>
        <v/>
      </c>
      <c r="BE126" s="22">
        <f>BD126*(1+INDEX($Q126:$AJ126,1,(BE$4-1)*5+1))</f>
        <v/>
      </c>
      <c r="BF126" s="22">
        <f>BE126*(1+INDEX($Q126:$AJ126,1,(BF$4-1)*5+1))</f>
        <v/>
      </c>
      <c r="BG126" s="22">
        <f>BF126*(1+INDEX($Q126:$AJ126,1,(BG$4-1)*5+1))</f>
        <v/>
      </c>
      <c r="BH126" s="22">
        <f>BG126*(1+INDEX($Q126:$AJ126,1,(BH$4-1)*5+1))</f>
        <v/>
      </c>
      <c r="BI126" s="22">
        <f>BH126*(1+INDEX($Q126:$AJ126,1,(BI$4-1)*5+1))</f>
        <v/>
      </c>
      <c r="BJ126" s="22">
        <f>BI126*(1+INDEX($Q126:$AJ126,1,(BJ$4-1)*5+1))</f>
        <v/>
      </c>
      <c r="BK126" s="22">
        <f>BJ126*(1+INDEX($Q126:$AJ126,1,(BK$4-1)*5+1))</f>
        <v/>
      </c>
      <c r="BL126" s="22">
        <f>BK126*(1+INDEX($Q126:$AJ126,1,(BL$4-1)*5+1))</f>
        <v/>
      </c>
      <c r="BM126" s="22">
        <f>BL126*(1+INDEX($Q126:$AJ126,1,(BM$4-1)*5+1))</f>
        <v/>
      </c>
      <c r="BN126" s="22">
        <f>BM126*(1+INDEX($Q126:$AJ126,1,(BN$4-1)*5+1))</f>
        <v/>
      </c>
    </row>
    <row r="127">
      <c r="B127" s="5" t="inlineStr">
        <is>
          <t>lpg</t>
        </is>
      </c>
      <c r="C127" s="5" t="inlineStr">
        <is>
          <t>ftr</t>
        </is>
      </c>
      <c r="D127" s="5" t="inlineStr">
        <is>
          <t>Pre-tax price | Fuel transformation | LPG</t>
        </is>
      </c>
      <c r="E127" s="5" t="inlineStr">
        <is>
          <t>$/GJ</t>
        </is>
      </c>
      <c r="F127" s="5" t="inlineStr">
        <is>
          <t>Prices_dom (base year), then growth</t>
        </is>
      </c>
      <c r="G127" s="19" t="inlineStr">
        <is>
          <t>mit.sp.lpg</t>
        </is>
      </c>
      <c r="H127" s="19" t="inlineStr">
        <is>
          <t>mit.pbt.lpg.ftr</t>
        </is>
      </c>
      <c r="J127" s="5">
        <f>INDEX(Mapping!$C$5:$C$20,MATCH($C127,Mapping!$A$5:$A$20,0))</f>
        <v/>
      </c>
      <c r="K127" s="5">
        <f>INDEX(Mapping!$D$5:$D$20,MATCH($C127,Mapping!$A$5:$A$20,0))</f>
        <v/>
      </c>
      <c r="L127" s="5">
        <f>INDEX(Mapping!$C$24:$C$31,MATCH($B127,Mapping!$A$24:$A$31,0))</f>
        <v/>
      </c>
      <c r="M127" s="5">
        <f>INDEX(Mapping!$D$24:$D$31,MATCH($B127,Mapping!$A$24:$A$31,0))</f>
        <v/>
      </c>
      <c r="N127" s="5">
        <f>$B127&amp;"."&amp;IF(INDEX(Mapping!$E$24:$E$31,MATCH($B127,Mapping!$A$24:$A$31,0))="sub",INDEX(Mapping!$F$5:$F$20,MATCH($C127,Mapping!$A$5:$A$20,0)),"all")</f>
        <v/>
      </c>
      <c r="O127" s="5">
        <f>INDEX(Mapping!$E$5:$E$20,MATCH($C127,Mapping!$A$5:$A$20,0))</f>
        <v/>
      </c>
      <c r="P127" s="5">
        <f>INDEX(Mapping!$G$24:$G$31,MATCH($B127,Mapping!$A$24:$A$31,0))</f>
        <v/>
      </c>
      <c r="Q127" s="20" t="n">
        <v>0</v>
      </c>
      <c r="R127" s="21" t="n"/>
      <c r="S127" s="21" t="n"/>
      <c r="T127" s="21" t="n"/>
      <c r="U127" s="21" t="n"/>
      <c r="V127" s="22">
        <f>Q127</f>
        <v/>
      </c>
      <c r="W127" s="21" t="n"/>
      <c r="X127" s="21" t="n"/>
      <c r="Y127" s="21" t="n"/>
      <c r="Z127" s="21" t="n"/>
      <c r="AA127" s="22">
        <f>Q127</f>
        <v/>
      </c>
      <c r="AB127" s="21" t="n"/>
      <c r="AC127" s="21" t="n"/>
      <c r="AD127" s="21" t="n"/>
      <c r="AE127" s="21" t="n"/>
      <c r="AF127" s="22">
        <f>Q127</f>
        <v/>
      </c>
      <c r="AG127" s="21" t="n"/>
      <c r="AH127" s="21" t="n"/>
      <c r="AI127" s="21" t="n"/>
      <c r="AJ127" s="21" t="n"/>
      <c r="AL127" s="23">
        <f>INDEX(Prices_dom!$A$6:$CU$2000,MATCH(Settings!$C$4&amp;AL$5,Prices_dom!$A$6:$A$2000,0),MATCH("mit.sp."&amp;$N127,Prices_dom!$A$5:$CU$5,0))/$P127</f>
        <v/>
      </c>
      <c r="AM127" s="22">
        <f>AL127*(1+INDEX($Q127:$AJ127,1,(AM$4-1)*5+1))</f>
        <v/>
      </c>
      <c r="AN127" s="22">
        <f>AM127*(1+INDEX($Q127:$AJ127,1,(AN$4-1)*5+1))</f>
        <v/>
      </c>
      <c r="AO127" s="22">
        <f>AN127*(1+INDEX($Q127:$AJ127,1,(AO$4-1)*5+1))</f>
        <v/>
      </c>
      <c r="AP127" s="22">
        <f>AO127*(1+INDEX($Q127:$AJ127,1,(AP$4-1)*5+1))</f>
        <v/>
      </c>
      <c r="AQ127" s="22">
        <f>AP127*(1+INDEX($Q127:$AJ127,1,(AQ$4-1)*5+1))</f>
        <v/>
      </c>
      <c r="AR127" s="22">
        <f>AQ127*(1+INDEX($Q127:$AJ127,1,(AR$4-1)*5+1))</f>
        <v/>
      </c>
      <c r="AS127" s="22">
        <f>AR127*(1+INDEX($Q127:$AJ127,1,(AS$4-1)*5+1))</f>
        <v/>
      </c>
      <c r="AT127" s="22">
        <f>AS127*(1+INDEX($Q127:$AJ127,1,(AT$4-1)*5+1))</f>
        <v/>
      </c>
      <c r="AU127" s="22">
        <f>AT127*(1+INDEX($Q127:$AJ127,1,(AU$4-1)*5+1))</f>
        <v/>
      </c>
      <c r="AV127" s="22">
        <f>AU127*(1+INDEX($Q127:$AJ127,1,(AV$4-1)*5+1))</f>
        <v/>
      </c>
      <c r="AW127" s="22">
        <f>AV127*(1+INDEX($Q127:$AJ127,1,(AW$4-1)*5+1))</f>
        <v/>
      </c>
      <c r="AX127" s="22">
        <f>AW127*(1+INDEX($Q127:$AJ127,1,(AX$4-1)*5+1))</f>
        <v/>
      </c>
      <c r="AY127" s="22">
        <f>AX127*(1+INDEX($Q127:$AJ127,1,(AY$4-1)*5+1))</f>
        <v/>
      </c>
      <c r="BA127" s="23">
        <f>INDEX(Prices_dom!$A$6:$CU$2000,MATCH(Settings!$C$4&amp;BA$5,Prices_dom!$A$6:$A$2000,0),MATCH("mit.sp."&amp;$N127,Prices_dom!$A$5:$CU$5,0))/$P127</f>
        <v/>
      </c>
      <c r="BB127" s="22">
        <f>BA127*(1+INDEX($Q127:$AJ127,1,(BB$4-1)*5+1))</f>
        <v/>
      </c>
      <c r="BC127" s="22">
        <f>BB127*(1+INDEX($Q127:$AJ127,1,(BC$4-1)*5+1))</f>
        <v/>
      </c>
      <c r="BD127" s="22">
        <f>BC127*(1+INDEX($Q127:$AJ127,1,(BD$4-1)*5+1))</f>
        <v/>
      </c>
      <c r="BE127" s="22">
        <f>BD127*(1+INDEX($Q127:$AJ127,1,(BE$4-1)*5+1))</f>
        <v/>
      </c>
      <c r="BF127" s="22">
        <f>BE127*(1+INDEX($Q127:$AJ127,1,(BF$4-1)*5+1))</f>
        <v/>
      </c>
      <c r="BG127" s="22">
        <f>BF127*(1+INDEX($Q127:$AJ127,1,(BG$4-1)*5+1))</f>
        <v/>
      </c>
      <c r="BH127" s="22">
        <f>BG127*(1+INDEX($Q127:$AJ127,1,(BH$4-1)*5+1))</f>
        <v/>
      </c>
      <c r="BI127" s="22">
        <f>BH127*(1+INDEX($Q127:$AJ127,1,(BI$4-1)*5+1))</f>
        <v/>
      </c>
      <c r="BJ127" s="22">
        <f>BI127*(1+INDEX($Q127:$AJ127,1,(BJ$4-1)*5+1))</f>
        <v/>
      </c>
      <c r="BK127" s="22">
        <f>BJ127*(1+INDEX($Q127:$AJ127,1,(BK$4-1)*5+1))</f>
        <v/>
      </c>
      <c r="BL127" s="22">
        <f>BK127*(1+INDEX($Q127:$AJ127,1,(BL$4-1)*5+1))</f>
        <v/>
      </c>
      <c r="BM127" s="22">
        <f>BL127*(1+INDEX($Q127:$AJ127,1,(BM$4-1)*5+1))</f>
        <v/>
      </c>
      <c r="BN127" s="22">
        <f>BM127*(1+INDEX($Q127:$AJ127,1,(BN$4-1)*5+1))</f>
        <v/>
      </c>
    </row>
    <row r="128">
      <c r="B128" s="5" t="inlineStr">
        <is>
          <t>ker</t>
        </is>
      </c>
      <c r="C128" s="5" t="inlineStr">
        <is>
          <t>ftr</t>
        </is>
      </c>
      <c r="D128" s="5" t="inlineStr">
        <is>
          <t>Pre-tax price | Fuel transformation | Kerosene</t>
        </is>
      </c>
      <c r="E128" s="5" t="inlineStr">
        <is>
          <t>$/GJ</t>
        </is>
      </c>
      <c r="F128" s="5" t="inlineStr">
        <is>
          <t>Prices_dom (base year), then growth</t>
        </is>
      </c>
      <c r="G128" s="19" t="inlineStr">
        <is>
          <t>mit.sp.ker</t>
        </is>
      </c>
      <c r="H128" s="19" t="inlineStr">
        <is>
          <t>mit.pbt.ker.ftr</t>
        </is>
      </c>
      <c r="J128" s="5">
        <f>INDEX(Mapping!$C$5:$C$20,MATCH($C128,Mapping!$A$5:$A$20,0))</f>
        <v/>
      </c>
      <c r="K128" s="5">
        <f>INDEX(Mapping!$D$5:$D$20,MATCH($C128,Mapping!$A$5:$A$20,0))</f>
        <v/>
      </c>
      <c r="L128" s="5">
        <f>INDEX(Mapping!$C$24:$C$31,MATCH($B128,Mapping!$A$24:$A$31,0))</f>
        <v/>
      </c>
      <c r="M128" s="5">
        <f>INDEX(Mapping!$D$24:$D$31,MATCH($B128,Mapping!$A$24:$A$31,0))</f>
        <v/>
      </c>
      <c r="N128" s="5">
        <f>$B128&amp;"."&amp;IF(INDEX(Mapping!$E$24:$E$31,MATCH($B128,Mapping!$A$24:$A$31,0))="sub",INDEX(Mapping!$F$5:$F$20,MATCH($C128,Mapping!$A$5:$A$20,0)),"all")</f>
        <v/>
      </c>
      <c r="O128" s="5">
        <f>INDEX(Mapping!$E$5:$E$20,MATCH($C128,Mapping!$A$5:$A$20,0))</f>
        <v/>
      </c>
      <c r="P128" s="5">
        <f>INDEX(Mapping!$G$24:$G$31,MATCH($B128,Mapping!$A$24:$A$31,0))</f>
        <v/>
      </c>
      <c r="Q128" s="20" t="n">
        <v>0</v>
      </c>
      <c r="R128" s="21" t="n"/>
      <c r="S128" s="21" t="n"/>
      <c r="T128" s="21" t="n"/>
      <c r="U128" s="21" t="n"/>
      <c r="V128" s="22">
        <f>Q128</f>
        <v/>
      </c>
      <c r="W128" s="21" t="n"/>
      <c r="X128" s="21" t="n"/>
      <c r="Y128" s="21" t="n"/>
      <c r="Z128" s="21" t="n"/>
      <c r="AA128" s="22">
        <f>Q128</f>
        <v/>
      </c>
      <c r="AB128" s="21" t="n"/>
      <c r="AC128" s="21" t="n"/>
      <c r="AD128" s="21" t="n"/>
      <c r="AE128" s="21" t="n"/>
      <c r="AF128" s="22">
        <f>Q128</f>
        <v/>
      </c>
      <c r="AG128" s="21" t="n"/>
      <c r="AH128" s="21" t="n"/>
      <c r="AI128" s="21" t="n"/>
      <c r="AJ128" s="21" t="n"/>
      <c r="AL128" s="23">
        <f>INDEX(Prices_dom!$A$6:$CU$2000,MATCH(Settings!$C$4&amp;AL$5,Prices_dom!$A$6:$A$2000,0),MATCH("mit.sp."&amp;$N128,Prices_dom!$A$5:$CU$5,0))/$P128</f>
        <v/>
      </c>
      <c r="AM128" s="22">
        <f>AL128*(1+INDEX($Q128:$AJ128,1,(AM$4-1)*5+1))</f>
        <v/>
      </c>
      <c r="AN128" s="22">
        <f>AM128*(1+INDEX($Q128:$AJ128,1,(AN$4-1)*5+1))</f>
        <v/>
      </c>
      <c r="AO128" s="22">
        <f>AN128*(1+INDEX($Q128:$AJ128,1,(AO$4-1)*5+1))</f>
        <v/>
      </c>
      <c r="AP128" s="22">
        <f>AO128*(1+INDEX($Q128:$AJ128,1,(AP$4-1)*5+1))</f>
        <v/>
      </c>
      <c r="AQ128" s="22">
        <f>AP128*(1+INDEX($Q128:$AJ128,1,(AQ$4-1)*5+1))</f>
        <v/>
      </c>
      <c r="AR128" s="22">
        <f>AQ128*(1+INDEX($Q128:$AJ128,1,(AR$4-1)*5+1))</f>
        <v/>
      </c>
      <c r="AS128" s="22">
        <f>AR128*(1+INDEX($Q128:$AJ128,1,(AS$4-1)*5+1))</f>
        <v/>
      </c>
      <c r="AT128" s="22">
        <f>AS128*(1+INDEX($Q128:$AJ128,1,(AT$4-1)*5+1))</f>
        <v/>
      </c>
      <c r="AU128" s="22">
        <f>AT128*(1+INDEX($Q128:$AJ128,1,(AU$4-1)*5+1))</f>
        <v/>
      </c>
      <c r="AV128" s="22">
        <f>AU128*(1+INDEX($Q128:$AJ128,1,(AV$4-1)*5+1))</f>
        <v/>
      </c>
      <c r="AW128" s="22">
        <f>AV128*(1+INDEX($Q128:$AJ128,1,(AW$4-1)*5+1))</f>
        <v/>
      </c>
      <c r="AX128" s="22">
        <f>AW128*(1+INDEX($Q128:$AJ128,1,(AX$4-1)*5+1))</f>
        <v/>
      </c>
      <c r="AY128" s="22">
        <f>AX128*(1+INDEX($Q128:$AJ128,1,(AY$4-1)*5+1))</f>
        <v/>
      </c>
      <c r="BA128" s="23">
        <f>INDEX(Prices_dom!$A$6:$CU$2000,MATCH(Settings!$C$4&amp;BA$5,Prices_dom!$A$6:$A$2000,0),MATCH("mit.sp."&amp;$N128,Prices_dom!$A$5:$CU$5,0))/$P128</f>
        <v/>
      </c>
      <c r="BB128" s="22">
        <f>BA128*(1+INDEX($Q128:$AJ128,1,(BB$4-1)*5+1))</f>
        <v/>
      </c>
      <c r="BC128" s="22">
        <f>BB128*(1+INDEX($Q128:$AJ128,1,(BC$4-1)*5+1))</f>
        <v/>
      </c>
      <c r="BD128" s="22">
        <f>BC128*(1+INDEX($Q128:$AJ128,1,(BD$4-1)*5+1))</f>
        <v/>
      </c>
      <c r="BE128" s="22">
        <f>BD128*(1+INDEX($Q128:$AJ128,1,(BE$4-1)*5+1))</f>
        <v/>
      </c>
      <c r="BF128" s="22">
        <f>BE128*(1+INDEX($Q128:$AJ128,1,(BF$4-1)*5+1))</f>
        <v/>
      </c>
      <c r="BG128" s="22">
        <f>BF128*(1+INDEX($Q128:$AJ128,1,(BG$4-1)*5+1))</f>
        <v/>
      </c>
      <c r="BH128" s="22">
        <f>BG128*(1+INDEX($Q128:$AJ128,1,(BH$4-1)*5+1))</f>
        <v/>
      </c>
      <c r="BI128" s="22">
        <f>BH128*(1+INDEX($Q128:$AJ128,1,(BI$4-1)*5+1))</f>
        <v/>
      </c>
      <c r="BJ128" s="22">
        <f>BI128*(1+INDEX($Q128:$AJ128,1,(BJ$4-1)*5+1))</f>
        <v/>
      </c>
      <c r="BK128" s="22">
        <f>BJ128*(1+INDEX($Q128:$AJ128,1,(BK$4-1)*5+1))</f>
        <v/>
      </c>
      <c r="BL128" s="22">
        <f>BK128*(1+INDEX($Q128:$AJ128,1,(BL$4-1)*5+1))</f>
        <v/>
      </c>
      <c r="BM128" s="22">
        <f>BL128*(1+INDEX($Q128:$AJ128,1,(BM$4-1)*5+1))</f>
        <v/>
      </c>
      <c r="BN128" s="22">
        <f>BM128*(1+INDEX($Q128:$AJ128,1,(BN$4-1)*5+1))</f>
        <v/>
      </c>
    </row>
    <row r="129">
      <c r="B129" s="5" t="inlineStr">
        <is>
          <t>oop</t>
        </is>
      </c>
      <c r="C129" s="5" t="inlineStr">
        <is>
          <t>ftr</t>
        </is>
      </c>
      <c r="D129" s="5" t="inlineStr">
        <is>
          <t>Pre-tax price | Fuel transformation | Other oil products</t>
        </is>
      </c>
      <c r="E129" s="5" t="inlineStr">
        <is>
          <t>$/GJ</t>
        </is>
      </c>
      <c r="F129" s="5" t="inlineStr">
        <is>
          <t>Prices_dom (base year), then growth</t>
        </is>
      </c>
      <c r="G129" s="19" t="inlineStr">
        <is>
          <t>mit.sp.oop</t>
        </is>
      </c>
      <c r="H129" s="19" t="inlineStr">
        <is>
          <t>mit.pbt.oop.ftr</t>
        </is>
      </c>
      <c r="J129" s="5">
        <f>INDEX(Mapping!$C$5:$C$20,MATCH($C129,Mapping!$A$5:$A$20,0))</f>
        <v/>
      </c>
      <c r="K129" s="5">
        <f>INDEX(Mapping!$D$5:$D$20,MATCH($C129,Mapping!$A$5:$A$20,0))</f>
        <v/>
      </c>
      <c r="L129" s="5">
        <f>INDEX(Mapping!$C$24:$C$31,MATCH($B129,Mapping!$A$24:$A$31,0))</f>
        <v/>
      </c>
      <c r="M129" s="5">
        <f>INDEX(Mapping!$D$24:$D$31,MATCH($B129,Mapping!$A$24:$A$31,0))</f>
        <v/>
      </c>
      <c r="N129" s="5">
        <f>$B129&amp;"."&amp;IF(INDEX(Mapping!$E$24:$E$31,MATCH($B129,Mapping!$A$24:$A$31,0))="sub",INDEX(Mapping!$F$5:$F$20,MATCH($C129,Mapping!$A$5:$A$20,0)),"all")</f>
        <v/>
      </c>
      <c r="O129" s="5">
        <f>INDEX(Mapping!$E$5:$E$20,MATCH($C129,Mapping!$A$5:$A$20,0))</f>
        <v/>
      </c>
      <c r="P129" s="5">
        <f>INDEX(Mapping!$G$24:$G$31,MATCH($B129,Mapping!$A$24:$A$31,0))</f>
        <v/>
      </c>
      <c r="Q129" s="20" t="n">
        <v>0</v>
      </c>
      <c r="R129" s="21" t="n"/>
      <c r="S129" s="21" t="n"/>
      <c r="T129" s="21" t="n"/>
      <c r="U129" s="21" t="n"/>
      <c r="V129" s="22">
        <f>Q129</f>
        <v/>
      </c>
      <c r="W129" s="21" t="n"/>
      <c r="X129" s="21" t="n"/>
      <c r="Y129" s="21" t="n"/>
      <c r="Z129" s="21" t="n"/>
      <c r="AA129" s="22">
        <f>Q129</f>
        <v/>
      </c>
      <c r="AB129" s="21" t="n"/>
      <c r="AC129" s="21" t="n"/>
      <c r="AD129" s="21" t="n"/>
      <c r="AE129" s="21" t="n"/>
      <c r="AF129" s="22">
        <f>Q129</f>
        <v/>
      </c>
      <c r="AG129" s="21" t="n"/>
      <c r="AH129" s="21" t="n"/>
      <c r="AI129" s="21" t="n"/>
      <c r="AJ129" s="21" t="n"/>
      <c r="AL129" s="23">
        <f>INDEX(Prices_dom!$A$6:$CU$2000,MATCH(Settings!$C$4&amp;AL$5,Prices_dom!$A$6:$A$2000,0),MATCH("mit.sp."&amp;$N129,Prices_dom!$A$5:$CU$5,0))/$P129</f>
        <v/>
      </c>
      <c r="AM129" s="22">
        <f>AL129*(1+INDEX($Q129:$AJ129,1,(AM$4-1)*5+1))</f>
        <v/>
      </c>
      <c r="AN129" s="22">
        <f>AM129*(1+INDEX($Q129:$AJ129,1,(AN$4-1)*5+1))</f>
        <v/>
      </c>
      <c r="AO129" s="22">
        <f>AN129*(1+INDEX($Q129:$AJ129,1,(AO$4-1)*5+1))</f>
        <v/>
      </c>
      <c r="AP129" s="22">
        <f>AO129*(1+INDEX($Q129:$AJ129,1,(AP$4-1)*5+1))</f>
        <v/>
      </c>
      <c r="AQ129" s="22">
        <f>AP129*(1+INDEX($Q129:$AJ129,1,(AQ$4-1)*5+1))</f>
        <v/>
      </c>
      <c r="AR129" s="22">
        <f>AQ129*(1+INDEX($Q129:$AJ129,1,(AR$4-1)*5+1))</f>
        <v/>
      </c>
      <c r="AS129" s="22">
        <f>AR129*(1+INDEX($Q129:$AJ129,1,(AS$4-1)*5+1))</f>
        <v/>
      </c>
      <c r="AT129" s="22">
        <f>AS129*(1+INDEX($Q129:$AJ129,1,(AT$4-1)*5+1))</f>
        <v/>
      </c>
      <c r="AU129" s="22">
        <f>AT129*(1+INDEX($Q129:$AJ129,1,(AU$4-1)*5+1))</f>
        <v/>
      </c>
      <c r="AV129" s="22">
        <f>AU129*(1+INDEX($Q129:$AJ129,1,(AV$4-1)*5+1))</f>
        <v/>
      </c>
      <c r="AW129" s="22">
        <f>AV129*(1+INDEX($Q129:$AJ129,1,(AW$4-1)*5+1))</f>
        <v/>
      </c>
      <c r="AX129" s="22">
        <f>AW129*(1+INDEX($Q129:$AJ129,1,(AX$4-1)*5+1))</f>
        <v/>
      </c>
      <c r="AY129" s="22">
        <f>AX129*(1+INDEX($Q129:$AJ129,1,(AY$4-1)*5+1))</f>
        <v/>
      </c>
      <c r="BA129" s="23">
        <f>INDEX(Prices_dom!$A$6:$CU$2000,MATCH(Settings!$C$4&amp;BA$5,Prices_dom!$A$6:$A$2000,0),MATCH("mit.sp."&amp;$N129,Prices_dom!$A$5:$CU$5,0))/$P129</f>
        <v/>
      </c>
      <c r="BB129" s="22">
        <f>BA129*(1+INDEX($Q129:$AJ129,1,(BB$4-1)*5+1))</f>
        <v/>
      </c>
      <c r="BC129" s="22">
        <f>BB129*(1+INDEX($Q129:$AJ129,1,(BC$4-1)*5+1))</f>
        <v/>
      </c>
      <c r="BD129" s="22">
        <f>BC129*(1+INDEX($Q129:$AJ129,1,(BD$4-1)*5+1))</f>
        <v/>
      </c>
      <c r="BE129" s="22">
        <f>BD129*(1+INDEX($Q129:$AJ129,1,(BE$4-1)*5+1))</f>
        <v/>
      </c>
      <c r="BF129" s="22">
        <f>BE129*(1+INDEX($Q129:$AJ129,1,(BF$4-1)*5+1))</f>
        <v/>
      </c>
      <c r="BG129" s="22">
        <f>BF129*(1+INDEX($Q129:$AJ129,1,(BG$4-1)*5+1))</f>
        <v/>
      </c>
      <c r="BH129" s="22">
        <f>BG129*(1+INDEX($Q129:$AJ129,1,(BH$4-1)*5+1))</f>
        <v/>
      </c>
      <c r="BI129" s="22">
        <f>BH129*(1+INDEX($Q129:$AJ129,1,(BI$4-1)*5+1))</f>
        <v/>
      </c>
      <c r="BJ129" s="22">
        <f>BI129*(1+INDEX($Q129:$AJ129,1,(BJ$4-1)*5+1))</f>
        <v/>
      </c>
      <c r="BK129" s="22">
        <f>BJ129*(1+INDEX($Q129:$AJ129,1,(BK$4-1)*5+1))</f>
        <v/>
      </c>
      <c r="BL129" s="22">
        <f>BK129*(1+INDEX($Q129:$AJ129,1,(BL$4-1)*5+1))</f>
        <v/>
      </c>
      <c r="BM129" s="22">
        <f>BL129*(1+INDEX($Q129:$AJ129,1,(BM$4-1)*5+1))</f>
        <v/>
      </c>
      <c r="BN129" s="22">
        <f>BM129*(1+INDEX($Q129:$AJ129,1,(BN$4-1)*5+1))</f>
        <v/>
      </c>
    </row>
    <row r="130">
      <c r="B130" s="5" t="inlineStr">
        <is>
          <t>bio</t>
        </is>
      </c>
      <c r="C130" s="5" t="inlineStr">
        <is>
          <t>ftr</t>
        </is>
      </c>
      <c r="D130" s="5" t="inlineStr">
        <is>
          <t>Pre-tax price | Fuel transformation | Biomass</t>
        </is>
      </c>
      <c r="E130" s="5" t="inlineStr">
        <is>
          <t>$/GJ</t>
        </is>
      </c>
      <c r="F130" s="5" t="inlineStr">
        <is>
          <t>Prices_dom (base year), then growth</t>
        </is>
      </c>
      <c r="G130" s="19" t="inlineStr">
        <is>
          <t>mit.sp.bio</t>
        </is>
      </c>
      <c r="H130" s="19" t="inlineStr">
        <is>
          <t>mit.pbt.bio.ftr</t>
        </is>
      </c>
      <c r="J130" s="5">
        <f>INDEX(Mapping!$C$5:$C$20,MATCH($C130,Mapping!$A$5:$A$20,0))</f>
        <v/>
      </c>
      <c r="K130" s="5">
        <f>INDEX(Mapping!$D$5:$D$20,MATCH($C130,Mapping!$A$5:$A$20,0))</f>
        <v/>
      </c>
      <c r="L130" s="5">
        <f>INDEX(Mapping!$C$24:$C$31,MATCH($B130,Mapping!$A$24:$A$31,0))</f>
        <v/>
      </c>
      <c r="M130" s="5">
        <f>INDEX(Mapping!$D$24:$D$31,MATCH($B130,Mapping!$A$24:$A$31,0))</f>
        <v/>
      </c>
      <c r="N130" s="5">
        <f>$B130&amp;"."&amp;IF(INDEX(Mapping!$E$24:$E$31,MATCH($B130,Mapping!$A$24:$A$31,0))="sub",INDEX(Mapping!$F$5:$F$20,MATCH($C130,Mapping!$A$5:$A$20,0)),"all")</f>
        <v/>
      </c>
      <c r="O130" s="5">
        <f>INDEX(Mapping!$E$5:$E$20,MATCH($C130,Mapping!$A$5:$A$20,0))</f>
        <v/>
      </c>
      <c r="P130" s="5">
        <f>INDEX(Mapping!$G$24:$G$31,MATCH($B130,Mapping!$A$24:$A$31,0))</f>
        <v/>
      </c>
      <c r="Q130" s="20" t="n">
        <v>0</v>
      </c>
      <c r="R130" s="21" t="n"/>
      <c r="S130" s="21" t="n"/>
      <c r="T130" s="21" t="n"/>
      <c r="U130" s="21" t="n"/>
      <c r="V130" s="22">
        <f>Q130</f>
        <v/>
      </c>
      <c r="W130" s="21" t="n"/>
      <c r="X130" s="21" t="n"/>
      <c r="Y130" s="21" t="n"/>
      <c r="Z130" s="21" t="n"/>
      <c r="AA130" s="22">
        <f>Q130</f>
        <v/>
      </c>
      <c r="AB130" s="21" t="n"/>
      <c r="AC130" s="21" t="n"/>
      <c r="AD130" s="21" t="n"/>
      <c r="AE130" s="21" t="n"/>
      <c r="AF130" s="22">
        <f>Q130</f>
        <v/>
      </c>
      <c r="AG130" s="21" t="n"/>
      <c r="AH130" s="21" t="n"/>
      <c r="AI130" s="21" t="n"/>
      <c r="AJ130" s="21" t="n"/>
      <c r="AL130" s="23">
        <f>INDEX(Prices_dom!$A$6:$CU$2000,MATCH(Settings!$C$4&amp;AL$5,Prices_dom!$A$6:$A$2000,0),MATCH("mit.sp."&amp;$N130,Prices_dom!$A$5:$CU$5,0))/$P130</f>
        <v/>
      </c>
      <c r="AM130" s="22">
        <f>AL130*(1+INDEX($Q130:$AJ130,1,(AM$4-1)*5+1))</f>
        <v/>
      </c>
      <c r="AN130" s="22">
        <f>AM130*(1+INDEX($Q130:$AJ130,1,(AN$4-1)*5+1))</f>
        <v/>
      </c>
      <c r="AO130" s="22">
        <f>AN130*(1+INDEX($Q130:$AJ130,1,(AO$4-1)*5+1))</f>
        <v/>
      </c>
      <c r="AP130" s="22">
        <f>AO130*(1+INDEX($Q130:$AJ130,1,(AP$4-1)*5+1))</f>
        <v/>
      </c>
      <c r="AQ130" s="22">
        <f>AP130*(1+INDEX($Q130:$AJ130,1,(AQ$4-1)*5+1))</f>
        <v/>
      </c>
      <c r="AR130" s="22">
        <f>AQ130*(1+INDEX($Q130:$AJ130,1,(AR$4-1)*5+1))</f>
        <v/>
      </c>
      <c r="AS130" s="22">
        <f>AR130*(1+INDEX($Q130:$AJ130,1,(AS$4-1)*5+1))</f>
        <v/>
      </c>
      <c r="AT130" s="22">
        <f>AS130*(1+INDEX($Q130:$AJ130,1,(AT$4-1)*5+1))</f>
        <v/>
      </c>
      <c r="AU130" s="22">
        <f>AT130*(1+INDEX($Q130:$AJ130,1,(AU$4-1)*5+1))</f>
        <v/>
      </c>
      <c r="AV130" s="22">
        <f>AU130*(1+INDEX($Q130:$AJ130,1,(AV$4-1)*5+1))</f>
        <v/>
      </c>
      <c r="AW130" s="22">
        <f>AV130*(1+INDEX($Q130:$AJ130,1,(AW$4-1)*5+1))</f>
        <v/>
      </c>
      <c r="AX130" s="22">
        <f>AW130*(1+INDEX($Q130:$AJ130,1,(AX$4-1)*5+1))</f>
        <v/>
      </c>
      <c r="AY130" s="22">
        <f>AX130*(1+INDEX($Q130:$AJ130,1,(AY$4-1)*5+1))</f>
        <v/>
      </c>
      <c r="BA130" s="23">
        <f>INDEX(Prices_dom!$A$6:$CU$2000,MATCH(Settings!$C$4&amp;BA$5,Prices_dom!$A$6:$A$2000,0),MATCH("mit.sp."&amp;$N130,Prices_dom!$A$5:$CU$5,0))/$P130</f>
        <v/>
      </c>
      <c r="BB130" s="22">
        <f>BA130*(1+INDEX($Q130:$AJ130,1,(BB$4-1)*5+1))</f>
        <v/>
      </c>
      <c r="BC130" s="22">
        <f>BB130*(1+INDEX($Q130:$AJ130,1,(BC$4-1)*5+1))</f>
        <v/>
      </c>
      <c r="BD130" s="22">
        <f>BC130*(1+INDEX($Q130:$AJ130,1,(BD$4-1)*5+1))</f>
        <v/>
      </c>
      <c r="BE130" s="22">
        <f>BD130*(1+INDEX($Q130:$AJ130,1,(BE$4-1)*5+1))</f>
        <v/>
      </c>
      <c r="BF130" s="22">
        <f>BE130*(1+INDEX($Q130:$AJ130,1,(BF$4-1)*5+1))</f>
        <v/>
      </c>
      <c r="BG130" s="22">
        <f>BF130*(1+INDEX($Q130:$AJ130,1,(BG$4-1)*5+1))</f>
        <v/>
      </c>
      <c r="BH130" s="22">
        <f>BG130*(1+INDEX($Q130:$AJ130,1,(BH$4-1)*5+1))</f>
        <v/>
      </c>
      <c r="BI130" s="22">
        <f>BH130*(1+INDEX($Q130:$AJ130,1,(BI$4-1)*5+1))</f>
        <v/>
      </c>
      <c r="BJ130" s="22">
        <f>BI130*(1+INDEX($Q130:$AJ130,1,(BJ$4-1)*5+1))</f>
        <v/>
      </c>
      <c r="BK130" s="22">
        <f>BJ130*(1+INDEX($Q130:$AJ130,1,(BK$4-1)*5+1))</f>
        <v/>
      </c>
      <c r="BL130" s="22">
        <f>BK130*(1+INDEX($Q130:$AJ130,1,(BL$4-1)*5+1))</f>
        <v/>
      </c>
      <c r="BM130" s="22">
        <f>BL130*(1+INDEX($Q130:$AJ130,1,(BM$4-1)*5+1))</f>
        <v/>
      </c>
      <c r="BN130" s="22">
        <f>BM130*(1+INDEX($Q130:$AJ130,1,(BN$4-1)*5+1))</f>
        <v/>
      </c>
    </row>
    <row r="131">
      <c r="B131" s="5" t="inlineStr">
        <is>
          <t>coa</t>
        </is>
      </c>
      <c r="C131" s="5" t="inlineStr">
        <is>
          <t>oen</t>
        </is>
      </c>
      <c r="D131" s="5" t="inlineStr">
        <is>
          <t>Pre-tax price | Other energy use | Coal</t>
        </is>
      </c>
      <c r="E131" s="5" t="inlineStr">
        <is>
          <t>$/GJ</t>
        </is>
      </c>
      <c r="F131" s="5" t="inlineStr">
        <is>
          <t>Prices_dom (base year), then growth</t>
        </is>
      </c>
      <c r="G131" s="19" t="inlineStr">
        <is>
          <t>mit.sp.coa</t>
        </is>
      </c>
      <c r="H131" s="19" t="inlineStr">
        <is>
          <t>mit.pbt.coa.oen</t>
        </is>
      </c>
      <c r="J131" s="5">
        <f>INDEX(Mapping!$C$5:$C$20,MATCH($C131,Mapping!$A$5:$A$20,0))</f>
        <v/>
      </c>
      <c r="K131" s="5">
        <f>INDEX(Mapping!$D$5:$D$20,MATCH($C131,Mapping!$A$5:$A$20,0))</f>
        <v/>
      </c>
      <c r="L131" s="5">
        <f>INDEX(Mapping!$C$24:$C$31,MATCH($B131,Mapping!$A$24:$A$31,0))</f>
        <v/>
      </c>
      <c r="M131" s="5">
        <f>INDEX(Mapping!$D$24:$D$31,MATCH($B131,Mapping!$A$24:$A$31,0))</f>
        <v/>
      </c>
      <c r="N131" s="5">
        <f>$B131&amp;"."&amp;IF(INDEX(Mapping!$E$24:$E$31,MATCH($B131,Mapping!$A$24:$A$31,0))="sub",INDEX(Mapping!$F$5:$F$20,MATCH($C131,Mapping!$A$5:$A$20,0)),"all")</f>
        <v/>
      </c>
      <c r="O131" s="5">
        <f>INDEX(Mapping!$E$5:$E$20,MATCH($C131,Mapping!$A$5:$A$20,0))</f>
        <v/>
      </c>
      <c r="P131" s="5">
        <f>INDEX(Mapping!$G$24:$G$31,MATCH($B131,Mapping!$A$24:$A$31,0))</f>
        <v/>
      </c>
      <c r="Q131" s="20" t="n">
        <v>0</v>
      </c>
      <c r="R131" s="21" t="n"/>
      <c r="S131" s="21" t="n"/>
      <c r="T131" s="21" t="n"/>
      <c r="U131" s="21" t="n"/>
      <c r="V131" s="22">
        <f>Q131</f>
        <v/>
      </c>
      <c r="W131" s="21" t="n"/>
      <c r="X131" s="21" t="n"/>
      <c r="Y131" s="21" t="n"/>
      <c r="Z131" s="21" t="n"/>
      <c r="AA131" s="22">
        <f>Q131</f>
        <v/>
      </c>
      <c r="AB131" s="21" t="n"/>
      <c r="AC131" s="21" t="n"/>
      <c r="AD131" s="21" t="n"/>
      <c r="AE131" s="21" t="n"/>
      <c r="AF131" s="22">
        <f>Q131</f>
        <v/>
      </c>
      <c r="AG131" s="21" t="n"/>
      <c r="AH131" s="21" t="n"/>
      <c r="AI131" s="21" t="n"/>
      <c r="AJ131" s="21" t="n"/>
      <c r="AL131" s="23">
        <f>INDEX(Prices_dom!$A$6:$CU$2000,MATCH(Settings!$C$4&amp;AL$5,Prices_dom!$A$6:$A$2000,0),MATCH("mit.sp."&amp;$N131,Prices_dom!$A$5:$CU$5,0))/$P131</f>
        <v/>
      </c>
      <c r="AM131" s="22">
        <f>AL131*(1+INDEX($Q131:$AJ131,1,(AM$4-1)*5+1))</f>
        <v/>
      </c>
      <c r="AN131" s="22">
        <f>AM131*(1+INDEX($Q131:$AJ131,1,(AN$4-1)*5+1))</f>
        <v/>
      </c>
      <c r="AO131" s="22">
        <f>AN131*(1+INDEX($Q131:$AJ131,1,(AO$4-1)*5+1))</f>
        <v/>
      </c>
      <c r="AP131" s="22">
        <f>AO131*(1+INDEX($Q131:$AJ131,1,(AP$4-1)*5+1))</f>
        <v/>
      </c>
      <c r="AQ131" s="22">
        <f>AP131*(1+INDEX($Q131:$AJ131,1,(AQ$4-1)*5+1))</f>
        <v/>
      </c>
      <c r="AR131" s="22">
        <f>AQ131*(1+INDEX($Q131:$AJ131,1,(AR$4-1)*5+1))</f>
        <v/>
      </c>
      <c r="AS131" s="22">
        <f>AR131*(1+INDEX($Q131:$AJ131,1,(AS$4-1)*5+1))</f>
        <v/>
      </c>
      <c r="AT131" s="22">
        <f>AS131*(1+INDEX($Q131:$AJ131,1,(AT$4-1)*5+1))</f>
        <v/>
      </c>
      <c r="AU131" s="22">
        <f>AT131*(1+INDEX($Q131:$AJ131,1,(AU$4-1)*5+1))</f>
        <v/>
      </c>
      <c r="AV131" s="22">
        <f>AU131*(1+INDEX($Q131:$AJ131,1,(AV$4-1)*5+1))</f>
        <v/>
      </c>
      <c r="AW131" s="22">
        <f>AV131*(1+INDEX($Q131:$AJ131,1,(AW$4-1)*5+1))</f>
        <v/>
      </c>
      <c r="AX131" s="22">
        <f>AW131*(1+INDEX($Q131:$AJ131,1,(AX$4-1)*5+1))</f>
        <v/>
      </c>
      <c r="AY131" s="22">
        <f>AX131*(1+INDEX($Q131:$AJ131,1,(AY$4-1)*5+1))</f>
        <v/>
      </c>
      <c r="BA131" s="23">
        <f>INDEX(Prices_dom!$A$6:$CU$2000,MATCH(Settings!$C$4&amp;BA$5,Prices_dom!$A$6:$A$2000,0),MATCH("mit.sp."&amp;$N131,Prices_dom!$A$5:$CU$5,0))/$P131</f>
        <v/>
      </c>
      <c r="BB131" s="22">
        <f>BA131*(1+INDEX($Q131:$AJ131,1,(BB$4-1)*5+1))</f>
        <v/>
      </c>
      <c r="BC131" s="22">
        <f>BB131*(1+INDEX($Q131:$AJ131,1,(BC$4-1)*5+1))</f>
        <v/>
      </c>
      <c r="BD131" s="22">
        <f>BC131*(1+INDEX($Q131:$AJ131,1,(BD$4-1)*5+1))</f>
        <v/>
      </c>
      <c r="BE131" s="22">
        <f>BD131*(1+INDEX($Q131:$AJ131,1,(BE$4-1)*5+1))</f>
        <v/>
      </c>
      <c r="BF131" s="22">
        <f>BE131*(1+INDEX($Q131:$AJ131,1,(BF$4-1)*5+1))</f>
        <v/>
      </c>
      <c r="BG131" s="22">
        <f>BF131*(1+INDEX($Q131:$AJ131,1,(BG$4-1)*5+1))</f>
        <v/>
      </c>
      <c r="BH131" s="22">
        <f>BG131*(1+INDEX($Q131:$AJ131,1,(BH$4-1)*5+1))</f>
        <v/>
      </c>
      <c r="BI131" s="22">
        <f>BH131*(1+INDEX($Q131:$AJ131,1,(BI$4-1)*5+1))</f>
        <v/>
      </c>
      <c r="BJ131" s="22">
        <f>BI131*(1+INDEX($Q131:$AJ131,1,(BJ$4-1)*5+1))</f>
        <v/>
      </c>
      <c r="BK131" s="22">
        <f>BJ131*(1+INDEX($Q131:$AJ131,1,(BK$4-1)*5+1))</f>
        <v/>
      </c>
      <c r="BL131" s="22">
        <f>BK131*(1+INDEX($Q131:$AJ131,1,(BL$4-1)*5+1))</f>
        <v/>
      </c>
      <c r="BM131" s="22">
        <f>BL131*(1+INDEX($Q131:$AJ131,1,(BM$4-1)*5+1))</f>
        <v/>
      </c>
      <c r="BN131" s="22">
        <f>BM131*(1+INDEX($Q131:$AJ131,1,(BN$4-1)*5+1))</f>
        <v/>
      </c>
    </row>
    <row r="132">
      <c r="B132" s="5" t="inlineStr">
        <is>
          <t>nga</t>
        </is>
      </c>
      <c r="C132" s="5" t="inlineStr">
        <is>
          <t>oen</t>
        </is>
      </c>
      <c r="D132" s="5" t="inlineStr">
        <is>
          <t>Pre-tax price | Other energy use | Natural gas</t>
        </is>
      </c>
      <c r="E132" s="5" t="inlineStr">
        <is>
          <t>$/GJ</t>
        </is>
      </c>
      <c r="F132" s="5" t="inlineStr">
        <is>
          <t>Prices_dom (base year), then growth</t>
        </is>
      </c>
      <c r="G132" s="19" t="inlineStr">
        <is>
          <t>mit.sp.nga</t>
        </is>
      </c>
      <c r="H132" s="19" t="inlineStr">
        <is>
          <t>mit.pbt.nga.oen</t>
        </is>
      </c>
      <c r="J132" s="5">
        <f>INDEX(Mapping!$C$5:$C$20,MATCH($C132,Mapping!$A$5:$A$20,0))</f>
        <v/>
      </c>
      <c r="K132" s="5">
        <f>INDEX(Mapping!$D$5:$D$20,MATCH($C132,Mapping!$A$5:$A$20,0))</f>
        <v/>
      </c>
      <c r="L132" s="5">
        <f>INDEX(Mapping!$C$24:$C$31,MATCH($B132,Mapping!$A$24:$A$31,0))</f>
        <v/>
      </c>
      <c r="M132" s="5">
        <f>INDEX(Mapping!$D$24:$D$31,MATCH($B132,Mapping!$A$24:$A$31,0))</f>
        <v/>
      </c>
      <c r="N132" s="5">
        <f>$B132&amp;"."&amp;IF(INDEX(Mapping!$E$24:$E$31,MATCH($B132,Mapping!$A$24:$A$31,0))="sub",INDEX(Mapping!$F$5:$F$20,MATCH($C132,Mapping!$A$5:$A$20,0)),"all")</f>
        <v/>
      </c>
      <c r="O132" s="5">
        <f>INDEX(Mapping!$E$5:$E$20,MATCH($C132,Mapping!$A$5:$A$20,0))</f>
        <v/>
      </c>
      <c r="P132" s="5">
        <f>INDEX(Mapping!$G$24:$G$31,MATCH($B132,Mapping!$A$24:$A$31,0))</f>
        <v/>
      </c>
      <c r="Q132" s="20" t="n">
        <v>0</v>
      </c>
      <c r="R132" s="21" t="n"/>
      <c r="S132" s="21" t="n"/>
      <c r="T132" s="21" t="n"/>
      <c r="U132" s="21" t="n"/>
      <c r="V132" s="22">
        <f>Q132</f>
        <v/>
      </c>
      <c r="W132" s="21" t="n"/>
      <c r="X132" s="21" t="n"/>
      <c r="Y132" s="21" t="n"/>
      <c r="Z132" s="21" t="n"/>
      <c r="AA132" s="22">
        <f>Q132</f>
        <v/>
      </c>
      <c r="AB132" s="21" t="n"/>
      <c r="AC132" s="21" t="n"/>
      <c r="AD132" s="21" t="n"/>
      <c r="AE132" s="21" t="n"/>
      <c r="AF132" s="22">
        <f>Q132</f>
        <v/>
      </c>
      <c r="AG132" s="21" t="n"/>
      <c r="AH132" s="21" t="n"/>
      <c r="AI132" s="21" t="n"/>
      <c r="AJ132" s="21" t="n"/>
      <c r="AL132" s="23">
        <f>INDEX(Prices_dom!$A$6:$CU$2000,MATCH(Settings!$C$4&amp;AL$5,Prices_dom!$A$6:$A$2000,0),MATCH("mit.sp."&amp;$N132,Prices_dom!$A$5:$CU$5,0))/$P132</f>
        <v/>
      </c>
      <c r="AM132" s="22">
        <f>AL132*(1+INDEX($Q132:$AJ132,1,(AM$4-1)*5+1))</f>
        <v/>
      </c>
      <c r="AN132" s="22">
        <f>AM132*(1+INDEX($Q132:$AJ132,1,(AN$4-1)*5+1))</f>
        <v/>
      </c>
      <c r="AO132" s="22">
        <f>AN132*(1+INDEX($Q132:$AJ132,1,(AO$4-1)*5+1))</f>
        <v/>
      </c>
      <c r="AP132" s="22">
        <f>AO132*(1+INDEX($Q132:$AJ132,1,(AP$4-1)*5+1))</f>
        <v/>
      </c>
      <c r="AQ132" s="22">
        <f>AP132*(1+INDEX($Q132:$AJ132,1,(AQ$4-1)*5+1))</f>
        <v/>
      </c>
      <c r="AR132" s="22">
        <f>AQ132*(1+INDEX($Q132:$AJ132,1,(AR$4-1)*5+1))</f>
        <v/>
      </c>
      <c r="AS132" s="22">
        <f>AR132*(1+INDEX($Q132:$AJ132,1,(AS$4-1)*5+1))</f>
        <v/>
      </c>
      <c r="AT132" s="22">
        <f>AS132*(1+INDEX($Q132:$AJ132,1,(AT$4-1)*5+1))</f>
        <v/>
      </c>
      <c r="AU132" s="22">
        <f>AT132*(1+INDEX($Q132:$AJ132,1,(AU$4-1)*5+1))</f>
        <v/>
      </c>
      <c r="AV132" s="22">
        <f>AU132*(1+INDEX($Q132:$AJ132,1,(AV$4-1)*5+1))</f>
        <v/>
      </c>
      <c r="AW132" s="22">
        <f>AV132*(1+INDEX($Q132:$AJ132,1,(AW$4-1)*5+1))</f>
        <v/>
      </c>
      <c r="AX132" s="22">
        <f>AW132*(1+INDEX($Q132:$AJ132,1,(AX$4-1)*5+1))</f>
        <v/>
      </c>
      <c r="AY132" s="22">
        <f>AX132*(1+INDEX($Q132:$AJ132,1,(AY$4-1)*5+1))</f>
        <v/>
      </c>
      <c r="BA132" s="23">
        <f>INDEX(Prices_dom!$A$6:$CU$2000,MATCH(Settings!$C$4&amp;BA$5,Prices_dom!$A$6:$A$2000,0),MATCH("mit.sp."&amp;$N132,Prices_dom!$A$5:$CU$5,0))/$P132</f>
        <v/>
      </c>
      <c r="BB132" s="22">
        <f>BA132*(1+INDEX($Q132:$AJ132,1,(BB$4-1)*5+1))</f>
        <v/>
      </c>
      <c r="BC132" s="22">
        <f>BB132*(1+INDEX($Q132:$AJ132,1,(BC$4-1)*5+1))</f>
        <v/>
      </c>
      <c r="BD132" s="22">
        <f>BC132*(1+INDEX($Q132:$AJ132,1,(BD$4-1)*5+1))</f>
        <v/>
      </c>
      <c r="BE132" s="22">
        <f>BD132*(1+INDEX($Q132:$AJ132,1,(BE$4-1)*5+1))</f>
        <v/>
      </c>
      <c r="BF132" s="22">
        <f>BE132*(1+INDEX($Q132:$AJ132,1,(BF$4-1)*5+1))</f>
        <v/>
      </c>
      <c r="BG132" s="22">
        <f>BF132*(1+INDEX($Q132:$AJ132,1,(BG$4-1)*5+1))</f>
        <v/>
      </c>
      <c r="BH132" s="22">
        <f>BG132*(1+INDEX($Q132:$AJ132,1,(BH$4-1)*5+1))</f>
        <v/>
      </c>
      <c r="BI132" s="22">
        <f>BH132*(1+INDEX($Q132:$AJ132,1,(BI$4-1)*5+1))</f>
        <v/>
      </c>
      <c r="BJ132" s="22">
        <f>BI132*(1+INDEX($Q132:$AJ132,1,(BJ$4-1)*5+1))</f>
        <v/>
      </c>
      <c r="BK132" s="22">
        <f>BJ132*(1+INDEX($Q132:$AJ132,1,(BK$4-1)*5+1))</f>
        <v/>
      </c>
      <c r="BL132" s="22">
        <f>BK132*(1+INDEX($Q132:$AJ132,1,(BL$4-1)*5+1))</f>
        <v/>
      </c>
      <c r="BM132" s="22">
        <f>BL132*(1+INDEX($Q132:$AJ132,1,(BM$4-1)*5+1))</f>
        <v/>
      </c>
      <c r="BN132" s="22">
        <f>BM132*(1+INDEX($Q132:$AJ132,1,(BN$4-1)*5+1))</f>
        <v/>
      </c>
    </row>
    <row r="133">
      <c r="B133" s="5" t="inlineStr">
        <is>
          <t>gso</t>
        </is>
      </c>
      <c r="C133" s="5" t="inlineStr">
        <is>
          <t>oen</t>
        </is>
      </c>
      <c r="D133" s="5" t="inlineStr">
        <is>
          <t>Pre-tax price | Other energy use | Gasoline</t>
        </is>
      </c>
      <c r="E133" s="5" t="inlineStr">
        <is>
          <t>$/GJ</t>
        </is>
      </c>
      <c r="F133" s="5" t="inlineStr">
        <is>
          <t>Prices_dom (base year), then growth</t>
        </is>
      </c>
      <c r="G133" s="19" t="inlineStr">
        <is>
          <t>mit.sp.gso</t>
        </is>
      </c>
      <c r="H133" s="19" t="inlineStr">
        <is>
          <t>mit.pbt.gso.oen</t>
        </is>
      </c>
      <c r="J133" s="5">
        <f>INDEX(Mapping!$C$5:$C$20,MATCH($C133,Mapping!$A$5:$A$20,0))</f>
        <v/>
      </c>
      <c r="K133" s="5">
        <f>INDEX(Mapping!$D$5:$D$20,MATCH($C133,Mapping!$A$5:$A$20,0))</f>
        <v/>
      </c>
      <c r="L133" s="5">
        <f>INDEX(Mapping!$C$24:$C$31,MATCH($B133,Mapping!$A$24:$A$31,0))</f>
        <v/>
      </c>
      <c r="M133" s="5">
        <f>INDEX(Mapping!$D$24:$D$31,MATCH($B133,Mapping!$A$24:$A$31,0))</f>
        <v/>
      </c>
      <c r="N133" s="5">
        <f>$B133&amp;"."&amp;IF(INDEX(Mapping!$E$24:$E$31,MATCH($B133,Mapping!$A$24:$A$31,0))="sub",INDEX(Mapping!$F$5:$F$20,MATCH($C133,Mapping!$A$5:$A$20,0)),"all")</f>
        <v/>
      </c>
      <c r="O133" s="5">
        <f>INDEX(Mapping!$E$5:$E$20,MATCH($C133,Mapping!$A$5:$A$20,0))</f>
        <v/>
      </c>
      <c r="P133" s="5">
        <f>INDEX(Mapping!$G$24:$G$31,MATCH($B133,Mapping!$A$24:$A$31,0))</f>
        <v/>
      </c>
      <c r="Q133" s="20" t="n">
        <v>0</v>
      </c>
      <c r="R133" s="21" t="n"/>
      <c r="S133" s="21" t="n"/>
      <c r="T133" s="21" t="n"/>
      <c r="U133" s="21" t="n"/>
      <c r="V133" s="22">
        <f>Q133</f>
        <v/>
      </c>
      <c r="W133" s="21" t="n"/>
      <c r="X133" s="21" t="n"/>
      <c r="Y133" s="21" t="n"/>
      <c r="Z133" s="21" t="n"/>
      <c r="AA133" s="22">
        <f>Q133</f>
        <v/>
      </c>
      <c r="AB133" s="21" t="n"/>
      <c r="AC133" s="21" t="n"/>
      <c r="AD133" s="21" t="n"/>
      <c r="AE133" s="21" t="n"/>
      <c r="AF133" s="22">
        <f>Q133</f>
        <v/>
      </c>
      <c r="AG133" s="21" t="n"/>
      <c r="AH133" s="21" t="n"/>
      <c r="AI133" s="21" t="n"/>
      <c r="AJ133" s="21" t="n"/>
      <c r="AL133" s="23">
        <f>INDEX(Prices_dom!$A$6:$CU$2000,MATCH(Settings!$C$4&amp;AL$5,Prices_dom!$A$6:$A$2000,0),MATCH("mit.sp."&amp;$N133,Prices_dom!$A$5:$CU$5,0))/$P133</f>
        <v/>
      </c>
      <c r="AM133" s="22">
        <f>AL133*(1+INDEX($Q133:$AJ133,1,(AM$4-1)*5+1))</f>
        <v/>
      </c>
      <c r="AN133" s="22">
        <f>AM133*(1+INDEX($Q133:$AJ133,1,(AN$4-1)*5+1))</f>
        <v/>
      </c>
      <c r="AO133" s="22">
        <f>AN133*(1+INDEX($Q133:$AJ133,1,(AO$4-1)*5+1))</f>
        <v/>
      </c>
      <c r="AP133" s="22">
        <f>AO133*(1+INDEX($Q133:$AJ133,1,(AP$4-1)*5+1))</f>
        <v/>
      </c>
      <c r="AQ133" s="22">
        <f>AP133*(1+INDEX($Q133:$AJ133,1,(AQ$4-1)*5+1))</f>
        <v/>
      </c>
      <c r="AR133" s="22">
        <f>AQ133*(1+INDEX($Q133:$AJ133,1,(AR$4-1)*5+1))</f>
        <v/>
      </c>
      <c r="AS133" s="22">
        <f>AR133*(1+INDEX($Q133:$AJ133,1,(AS$4-1)*5+1))</f>
        <v/>
      </c>
      <c r="AT133" s="22">
        <f>AS133*(1+INDEX($Q133:$AJ133,1,(AT$4-1)*5+1))</f>
        <v/>
      </c>
      <c r="AU133" s="22">
        <f>AT133*(1+INDEX($Q133:$AJ133,1,(AU$4-1)*5+1))</f>
        <v/>
      </c>
      <c r="AV133" s="22">
        <f>AU133*(1+INDEX($Q133:$AJ133,1,(AV$4-1)*5+1))</f>
        <v/>
      </c>
      <c r="AW133" s="22">
        <f>AV133*(1+INDEX($Q133:$AJ133,1,(AW$4-1)*5+1))</f>
        <v/>
      </c>
      <c r="AX133" s="22">
        <f>AW133*(1+INDEX($Q133:$AJ133,1,(AX$4-1)*5+1))</f>
        <v/>
      </c>
      <c r="AY133" s="22">
        <f>AX133*(1+INDEX($Q133:$AJ133,1,(AY$4-1)*5+1))</f>
        <v/>
      </c>
      <c r="BA133" s="23">
        <f>INDEX(Prices_dom!$A$6:$CU$2000,MATCH(Settings!$C$4&amp;BA$5,Prices_dom!$A$6:$A$2000,0),MATCH("mit.sp."&amp;$N133,Prices_dom!$A$5:$CU$5,0))/$P133</f>
        <v/>
      </c>
      <c r="BB133" s="22">
        <f>BA133*(1+INDEX($Q133:$AJ133,1,(BB$4-1)*5+1))</f>
        <v/>
      </c>
      <c r="BC133" s="22">
        <f>BB133*(1+INDEX($Q133:$AJ133,1,(BC$4-1)*5+1))</f>
        <v/>
      </c>
      <c r="BD133" s="22">
        <f>BC133*(1+INDEX($Q133:$AJ133,1,(BD$4-1)*5+1))</f>
        <v/>
      </c>
      <c r="BE133" s="22">
        <f>BD133*(1+INDEX($Q133:$AJ133,1,(BE$4-1)*5+1))</f>
        <v/>
      </c>
      <c r="BF133" s="22">
        <f>BE133*(1+INDEX($Q133:$AJ133,1,(BF$4-1)*5+1))</f>
        <v/>
      </c>
      <c r="BG133" s="22">
        <f>BF133*(1+INDEX($Q133:$AJ133,1,(BG$4-1)*5+1))</f>
        <v/>
      </c>
      <c r="BH133" s="22">
        <f>BG133*(1+INDEX($Q133:$AJ133,1,(BH$4-1)*5+1))</f>
        <v/>
      </c>
      <c r="BI133" s="22">
        <f>BH133*(1+INDEX($Q133:$AJ133,1,(BI$4-1)*5+1))</f>
        <v/>
      </c>
      <c r="BJ133" s="22">
        <f>BI133*(1+INDEX($Q133:$AJ133,1,(BJ$4-1)*5+1))</f>
        <v/>
      </c>
      <c r="BK133" s="22">
        <f>BJ133*(1+INDEX($Q133:$AJ133,1,(BK$4-1)*5+1))</f>
        <v/>
      </c>
      <c r="BL133" s="22">
        <f>BK133*(1+INDEX($Q133:$AJ133,1,(BL$4-1)*5+1))</f>
        <v/>
      </c>
      <c r="BM133" s="22">
        <f>BL133*(1+INDEX($Q133:$AJ133,1,(BM$4-1)*5+1))</f>
        <v/>
      </c>
      <c r="BN133" s="22">
        <f>BM133*(1+INDEX($Q133:$AJ133,1,(BN$4-1)*5+1))</f>
        <v/>
      </c>
    </row>
    <row r="134">
      <c r="B134" s="5" t="inlineStr">
        <is>
          <t>die</t>
        </is>
      </c>
      <c r="C134" s="5" t="inlineStr">
        <is>
          <t>oen</t>
        </is>
      </c>
      <c r="D134" s="5" t="inlineStr">
        <is>
          <t>Pre-tax price | Other energy use | Diesel</t>
        </is>
      </c>
      <c r="E134" s="5" t="inlineStr">
        <is>
          <t>$/GJ</t>
        </is>
      </c>
      <c r="F134" s="5" t="inlineStr">
        <is>
          <t>Prices_dom (base year), then growth</t>
        </is>
      </c>
      <c r="G134" s="19" t="inlineStr">
        <is>
          <t>mit.sp.die</t>
        </is>
      </c>
      <c r="H134" s="19" t="inlineStr">
        <is>
          <t>mit.pbt.die.oen</t>
        </is>
      </c>
      <c r="J134" s="5">
        <f>INDEX(Mapping!$C$5:$C$20,MATCH($C134,Mapping!$A$5:$A$20,0))</f>
        <v/>
      </c>
      <c r="K134" s="5">
        <f>INDEX(Mapping!$D$5:$D$20,MATCH($C134,Mapping!$A$5:$A$20,0))</f>
        <v/>
      </c>
      <c r="L134" s="5">
        <f>INDEX(Mapping!$C$24:$C$31,MATCH($B134,Mapping!$A$24:$A$31,0))</f>
        <v/>
      </c>
      <c r="M134" s="5">
        <f>INDEX(Mapping!$D$24:$D$31,MATCH($B134,Mapping!$A$24:$A$31,0))</f>
        <v/>
      </c>
      <c r="N134" s="5">
        <f>$B134&amp;"."&amp;IF(INDEX(Mapping!$E$24:$E$31,MATCH($B134,Mapping!$A$24:$A$31,0))="sub",INDEX(Mapping!$F$5:$F$20,MATCH($C134,Mapping!$A$5:$A$20,0)),"all")</f>
        <v/>
      </c>
      <c r="O134" s="5">
        <f>INDEX(Mapping!$E$5:$E$20,MATCH($C134,Mapping!$A$5:$A$20,0))</f>
        <v/>
      </c>
      <c r="P134" s="5">
        <f>INDEX(Mapping!$G$24:$G$31,MATCH($B134,Mapping!$A$24:$A$31,0))</f>
        <v/>
      </c>
      <c r="Q134" s="20" t="n">
        <v>0</v>
      </c>
      <c r="R134" s="21" t="n"/>
      <c r="S134" s="21" t="n"/>
      <c r="T134" s="21" t="n"/>
      <c r="U134" s="21" t="n"/>
      <c r="V134" s="22">
        <f>Q134</f>
        <v/>
      </c>
      <c r="W134" s="21" t="n"/>
      <c r="X134" s="21" t="n"/>
      <c r="Y134" s="21" t="n"/>
      <c r="Z134" s="21" t="n"/>
      <c r="AA134" s="22">
        <f>Q134</f>
        <v/>
      </c>
      <c r="AB134" s="21" t="n"/>
      <c r="AC134" s="21" t="n"/>
      <c r="AD134" s="21" t="n"/>
      <c r="AE134" s="21" t="n"/>
      <c r="AF134" s="22">
        <f>Q134</f>
        <v/>
      </c>
      <c r="AG134" s="21" t="n"/>
      <c r="AH134" s="21" t="n"/>
      <c r="AI134" s="21" t="n"/>
      <c r="AJ134" s="21" t="n"/>
      <c r="AL134" s="23">
        <f>INDEX(Prices_dom!$A$6:$CU$2000,MATCH(Settings!$C$4&amp;AL$5,Prices_dom!$A$6:$A$2000,0),MATCH("mit.sp."&amp;$N134,Prices_dom!$A$5:$CU$5,0))/$P134</f>
        <v/>
      </c>
      <c r="AM134" s="22">
        <f>AL134*(1+INDEX($Q134:$AJ134,1,(AM$4-1)*5+1))</f>
        <v/>
      </c>
      <c r="AN134" s="22">
        <f>AM134*(1+INDEX($Q134:$AJ134,1,(AN$4-1)*5+1))</f>
        <v/>
      </c>
      <c r="AO134" s="22">
        <f>AN134*(1+INDEX($Q134:$AJ134,1,(AO$4-1)*5+1))</f>
        <v/>
      </c>
      <c r="AP134" s="22">
        <f>AO134*(1+INDEX($Q134:$AJ134,1,(AP$4-1)*5+1))</f>
        <v/>
      </c>
      <c r="AQ134" s="22">
        <f>AP134*(1+INDEX($Q134:$AJ134,1,(AQ$4-1)*5+1))</f>
        <v/>
      </c>
      <c r="AR134" s="22">
        <f>AQ134*(1+INDEX($Q134:$AJ134,1,(AR$4-1)*5+1))</f>
        <v/>
      </c>
      <c r="AS134" s="22">
        <f>AR134*(1+INDEX($Q134:$AJ134,1,(AS$4-1)*5+1))</f>
        <v/>
      </c>
      <c r="AT134" s="22">
        <f>AS134*(1+INDEX($Q134:$AJ134,1,(AT$4-1)*5+1))</f>
        <v/>
      </c>
      <c r="AU134" s="22">
        <f>AT134*(1+INDEX($Q134:$AJ134,1,(AU$4-1)*5+1))</f>
        <v/>
      </c>
      <c r="AV134" s="22">
        <f>AU134*(1+INDEX($Q134:$AJ134,1,(AV$4-1)*5+1))</f>
        <v/>
      </c>
      <c r="AW134" s="22">
        <f>AV134*(1+INDEX($Q134:$AJ134,1,(AW$4-1)*5+1))</f>
        <v/>
      </c>
      <c r="AX134" s="22">
        <f>AW134*(1+INDEX($Q134:$AJ134,1,(AX$4-1)*5+1))</f>
        <v/>
      </c>
      <c r="AY134" s="22">
        <f>AX134*(1+INDEX($Q134:$AJ134,1,(AY$4-1)*5+1))</f>
        <v/>
      </c>
      <c r="BA134" s="23">
        <f>INDEX(Prices_dom!$A$6:$CU$2000,MATCH(Settings!$C$4&amp;BA$5,Prices_dom!$A$6:$A$2000,0),MATCH("mit.sp."&amp;$N134,Prices_dom!$A$5:$CU$5,0))/$P134</f>
        <v/>
      </c>
      <c r="BB134" s="22">
        <f>BA134*(1+INDEX($Q134:$AJ134,1,(BB$4-1)*5+1))</f>
        <v/>
      </c>
      <c r="BC134" s="22">
        <f>BB134*(1+INDEX($Q134:$AJ134,1,(BC$4-1)*5+1))</f>
        <v/>
      </c>
      <c r="BD134" s="22">
        <f>BC134*(1+INDEX($Q134:$AJ134,1,(BD$4-1)*5+1))</f>
        <v/>
      </c>
      <c r="BE134" s="22">
        <f>BD134*(1+INDEX($Q134:$AJ134,1,(BE$4-1)*5+1))</f>
        <v/>
      </c>
      <c r="BF134" s="22">
        <f>BE134*(1+INDEX($Q134:$AJ134,1,(BF$4-1)*5+1))</f>
        <v/>
      </c>
      <c r="BG134" s="22">
        <f>BF134*(1+INDEX($Q134:$AJ134,1,(BG$4-1)*5+1))</f>
        <v/>
      </c>
      <c r="BH134" s="22">
        <f>BG134*(1+INDEX($Q134:$AJ134,1,(BH$4-1)*5+1))</f>
        <v/>
      </c>
      <c r="BI134" s="22">
        <f>BH134*(1+INDEX($Q134:$AJ134,1,(BI$4-1)*5+1))</f>
        <v/>
      </c>
      <c r="BJ134" s="22">
        <f>BI134*(1+INDEX($Q134:$AJ134,1,(BJ$4-1)*5+1))</f>
        <v/>
      </c>
      <c r="BK134" s="22">
        <f>BJ134*(1+INDEX($Q134:$AJ134,1,(BK$4-1)*5+1))</f>
        <v/>
      </c>
      <c r="BL134" s="22">
        <f>BK134*(1+INDEX($Q134:$AJ134,1,(BL$4-1)*5+1))</f>
        <v/>
      </c>
      <c r="BM134" s="22">
        <f>BL134*(1+INDEX($Q134:$AJ134,1,(BM$4-1)*5+1))</f>
        <v/>
      </c>
      <c r="BN134" s="22">
        <f>BM134*(1+INDEX($Q134:$AJ134,1,(BN$4-1)*5+1))</f>
        <v/>
      </c>
    </row>
    <row r="135">
      <c r="B135" s="5" t="inlineStr">
        <is>
          <t>lpg</t>
        </is>
      </c>
      <c r="C135" s="5" t="inlineStr">
        <is>
          <t>oen</t>
        </is>
      </c>
      <c r="D135" s="5" t="inlineStr">
        <is>
          <t>Pre-tax price | Other energy use | LPG</t>
        </is>
      </c>
      <c r="E135" s="5" t="inlineStr">
        <is>
          <t>$/GJ</t>
        </is>
      </c>
      <c r="F135" s="5" t="inlineStr">
        <is>
          <t>Prices_dom (base year), then growth</t>
        </is>
      </c>
      <c r="G135" s="19" t="inlineStr">
        <is>
          <t>mit.sp.lpg</t>
        </is>
      </c>
      <c r="H135" s="19" t="inlineStr">
        <is>
          <t>mit.pbt.lpg.oen</t>
        </is>
      </c>
      <c r="J135" s="5">
        <f>INDEX(Mapping!$C$5:$C$20,MATCH($C135,Mapping!$A$5:$A$20,0))</f>
        <v/>
      </c>
      <c r="K135" s="5">
        <f>INDEX(Mapping!$D$5:$D$20,MATCH($C135,Mapping!$A$5:$A$20,0))</f>
        <v/>
      </c>
      <c r="L135" s="5">
        <f>INDEX(Mapping!$C$24:$C$31,MATCH($B135,Mapping!$A$24:$A$31,0))</f>
        <v/>
      </c>
      <c r="M135" s="5">
        <f>INDEX(Mapping!$D$24:$D$31,MATCH($B135,Mapping!$A$24:$A$31,0))</f>
        <v/>
      </c>
      <c r="N135" s="5">
        <f>$B135&amp;"."&amp;IF(INDEX(Mapping!$E$24:$E$31,MATCH($B135,Mapping!$A$24:$A$31,0))="sub",INDEX(Mapping!$F$5:$F$20,MATCH($C135,Mapping!$A$5:$A$20,0)),"all")</f>
        <v/>
      </c>
      <c r="O135" s="5">
        <f>INDEX(Mapping!$E$5:$E$20,MATCH($C135,Mapping!$A$5:$A$20,0))</f>
        <v/>
      </c>
      <c r="P135" s="5">
        <f>INDEX(Mapping!$G$24:$G$31,MATCH($B135,Mapping!$A$24:$A$31,0))</f>
        <v/>
      </c>
      <c r="Q135" s="20" t="n">
        <v>0</v>
      </c>
      <c r="R135" s="21" t="n"/>
      <c r="S135" s="21" t="n"/>
      <c r="T135" s="21" t="n"/>
      <c r="U135" s="21" t="n"/>
      <c r="V135" s="22">
        <f>Q135</f>
        <v/>
      </c>
      <c r="W135" s="21" t="n"/>
      <c r="X135" s="21" t="n"/>
      <c r="Y135" s="21" t="n"/>
      <c r="Z135" s="21" t="n"/>
      <c r="AA135" s="22">
        <f>Q135</f>
        <v/>
      </c>
      <c r="AB135" s="21" t="n"/>
      <c r="AC135" s="21" t="n"/>
      <c r="AD135" s="21" t="n"/>
      <c r="AE135" s="21" t="n"/>
      <c r="AF135" s="22">
        <f>Q135</f>
        <v/>
      </c>
      <c r="AG135" s="21" t="n"/>
      <c r="AH135" s="21" t="n"/>
      <c r="AI135" s="21" t="n"/>
      <c r="AJ135" s="21" t="n"/>
      <c r="AL135" s="23">
        <f>INDEX(Prices_dom!$A$6:$CU$2000,MATCH(Settings!$C$4&amp;AL$5,Prices_dom!$A$6:$A$2000,0),MATCH("mit.sp."&amp;$N135,Prices_dom!$A$5:$CU$5,0))/$P135</f>
        <v/>
      </c>
      <c r="AM135" s="22">
        <f>AL135*(1+INDEX($Q135:$AJ135,1,(AM$4-1)*5+1))</f>
        <v/>
      </c>
      <c r="AN135" s="22">
        <f>AM135*(1+INDEX($Q135:$AJ135,1,(AN$4-1)*5+1))</f>
        <v/>
      </c>
      <c r="AO135" s="22">
        <f>AN135*(1+INDEX($Q135:$AJ135,1,(AO$4-1)*5+1))</f>
        <v/>
      </c>
      <c r="AP135" s="22">
        <f>AO135*(1+INDEX($Q135:$AJ135,1,(AP$4-1)*5+1))</f>
        <v/>
      </c>
      <c r="AQ135" s="22">
        <f>AP135*(1+INDEX($Q135:$AJ135,1,(AQ$4-1)*5+1))</f>
        <v/>
      </c>
      <c r="AR135" s="22">
        <f>AQ135*(1+INDEX($Q135:$AJ135,1,(AR$4-1)*5+1))</f>
        <v/>
      </c>
      <c r="AS135" s="22">
        <f>AR135*(1+INDEX($Q135:$AJ135,1,(AS$4-1)*5+1))</f>
        <v/>
      </c>
      <c r="AT135" s="22">
        <f>AS135*(1+INDEX($Q135:$AJ135,1,(AT$4-1)*5+1))</f>
        <v/>
      </c>
      <c r="AU135" s="22">
        <f>AT135*(1+INDEX($Q135:$AJ135,1,(AU$4-1)*5+1))</f>
        <v/>
      </c>
      <c r="AV135" s="22">
        <f>AU135*(1+INDEX($Q135:$AJ135,1,(AV$4-1)*5+1))</f>
        <v/>
      </c>
      <c r="AW135" s="22">
        <f>AV135*(1+INDEX($Q135:$AJ135,1,(AW$4-1)*5+1))</f>
        <v/>
      </c>
      <c r="AX135" s="22">
        <f>AW135*(1+INDEX($Q135:$AJ135,1,(AX$4-1)*5+1))</f>
        <v/>
      </c>
      <c r="AY135" s="22">
        <f>AX135*(1+INDEX($Q135:$AJ135,1,(AY$4-1)*5+1))</f>
        <v/>
      </c>
      <c r="BA135" s="23">
        <f>INDEX(Prices_dom!$A$6:$CU$2000,MATCH(Settings!$C$4&amp;BA$5,Prices_dom!$A$6:$A$2000,0),MATCH("mit.sp."&amp;$N135,Prices_dom!$A$5:$CU$5,0))/$P135</f>
        <v/>
      </c>
      <c r="BB135" s="22">
        <f>BA135*(1+INDEX($Q135:$AJ135,1,(BB$4-1)*5+1))</f>
        <v/>
      </c>
      <c r="BC135" s="22">
        <f>BB135*(1+INDEX($Q135:$AJ135,1,(BC$4-1)*5+1))</f>
        <v/>
      </c>
      <c r="BD135" s="22">
        <f>BC135*(1+INDEX($Q135:$AJ135,1,(BD$4-1)*5+1))</f>
        <v/>
      </c>
      <c r="BE135" s="22">
        <f>BD135*(1+INDEX($Q135:$AJ135,1,(BE$4-1)*5+1))</f>
        <v/>
      </c>
      <c r="BF135" s="22">
        <f>BE135*(1+INDEX($Q135:$AJ135,1,(BF$4-1)*5+1))</f>
        <v/>
      </c>
      <c r="BG135" s="22">
        <f>BF135*(1+INDEX($Q135:$AJ135,1,(BG$4-1)*5+1))</f>
        <v/>
      </c>
      <c r="BH135" s="22">
        <f>BG135*(1+INDEX($Q135:$AJ135,1,(BH$4-1)*5+1))</f>
        <v/>
      </c>
      <c r="BI135" s="22">
        <f>BH135*(1+INDEX($Q135:$AJ135,1,(BI$4-1)*5+1))</f>
        <v/>
      </c>
      <c r="BJ135" s="22">
        <f>BI135*(1+INDEX($Q135:$AJ135,1,(BJ$4-1)*5+1))</f>
        <v/>
      </c>
      <c r="BK135" s="22">
        <f>BJ135*(1+INDEX($Q135:$AJ135,1,(BK$4-1)*5+1))</f>
        <v/>
      </c>
      <c r="BL135" s="22">
        <f>BK135*(1+INDEX($Q135:$AJ135,1,(BL$4-1)*5+1))</f>
        <v/>
      </c>
      <c r="BM135" s="22">
        <f>BL135*(1+INDEX($Q135:$AJ135,1,(BM$4-1)*5+1))</f>
        <v/>
      </c>
      <c r="BN135" s="22">
        <f>BM135*(1+INDEX($Q135:$AJ135,1,(BN$4-1)*5+1))</f>
        <v/>
      </c>
    </row>
    <row r="136">
      <c r="B136" s="5" t="inlineStr">
        <is>
          <t>ker</t>
        </is>
      </c>
      <c r="C136" s="5" t="inlineStr">
        <is>
          <t>oen</t>
        </is>
      </c>
      <c r="D136" s="5" t="inlineStr">
        <is>
          <t>Pre-tax price | Other energy use | Kerosene</t>
        </is>
      </c>
      <c r="E136" s="5" t="inlineStr">
        <is>
          <t>$/GJ</t>
        </is>
      </c>
      <c r="F136" s="5" t="inlineStr">
        <is>
          <t>Prices_dom (base year), then growth</t>
        </is>
      </c>
      <c r="G136" s="19" t="inlineStr">
        <is>
          <t>mit.sp.ker</t>
        </is>
      </c>
      <c r="H136" s="19" t="inlineStr">
        <is>
          <t>mit.pbt.ker.oen</t>
        </is>
      </c>
      <c r="J136" s="5">
        <f>INDEX(Mapping!$C$5:$C$20,MATCH($C136,Mapping!$A$5:$A$20,0))</f>
        <v/>
      </c>
      <c r="K136" s="5">
        <f>INDEX(Mapping!$D$5:$D$20,MATCH($C136,Mapping!$A$5:$A$20,0))</f>
        <v/>
      </c>
      <c r="L136" s="5">
        <f>INDEX(Mapping!$C$24:$C$31,MATCH($B136,Mapping!$A$24:$A$31,0))</f>
        <v/>
      </c>
      <c r="M136" s="5">
        <f>INDEX(Mapping!$D$24:$D$31,MATCH($B136,Mapping!$A$24:$A$31,0))</f>
        <v/>
      </c>
      <c r="N136" s="5">
        <f>$B136&amp;"."&amp;IF(INDEX(Mapping!$E$24:$E$31,MATCH($B136,Mapping!$A$24:$A$31,0))="sub",INDEX(Mapping!$F$5:$F$20,MATCH($C136,Mapping!$A$5:$A$20,0)),"all")</f>
        <v/>
      </c>
      <c r="O136" s="5">
        <f>INDEX(Mapping!$E$5:$E$20,MATCH($C136,Mapping!$A$5:$A$20,0))</f>
        <v/>
      </c>
      <c r="P136" s="5">
        <f>INDEX(Mapping!$G$24:$G$31,MATCH($B136,Mapping!$A$24:$A$31,0))</f>
        <v/>
      </c>
      <c r="Q136" s="20" t="n">
        <v>0</v>
      </c>
      <c r="R136" s="21" t="n"/>
      <c r="S136" s="21" t="n"/>
      <c r="T136" s="21" t="n"/>
      <c r="U136" s="21" t="n"/>
      <c r="V136" s="22">
        <f>Q136</f>
        <v/>
      </c>
      <c r="W136" s="21" t="n"/>
      <c r="X136" s="21" t="n"/>
      <c r="Y136" s="21" t="n"/>
      <c r="Z136" s="21" t="n"/>
      <c r="AA136" s="22">
        <f>Q136</f>
        <v/>
      </c>
      <c r="AB136" s="21" t="n"/>
      <c r="AC136" s="21" t="n"/>
      <c r="AD136" s="21" t="n"/>
      <c r="AE136" s="21" t="n"/>
      <c r="AF136" s="22">
        <f>Q136</f>
        <v/>
      </c>
      <c r="AG136" s="21" t="n"/>
      <c r="AH136" s="21" t="n"/>
      <c r="AI136" s="21" t="n"/>
      <c r="AJ136" s="21" t="n"/>
      <c r="AL136" s="23">
        <f>INDEX(Prices_dom!$A$6:$CU$2000,MATCH(Settings!$C$4&amp;AL$5,Prices_dom!$A$6:$A$2000,0),MATCH("mit.sp."&amp;$N136,Prices_dom!$A$5:$CU$5,0))/$P136</f>
        <v/>
      </c>
      <c r="AM136" s="22">
        <f>AL136*(1+INDEX($Q136:$AJ136,1,(AM$4-1)*5+1))</f>
        <v/>
      </c>
      <c r="AN136" s="22">
        <f>AM136*(1+INDEX($Q136:$AJ136,1,(AN$4-1)*5+1))</f>
        <v/>
      </c>
      <c r="AO136" s="22">
        <f>AN136*(1+INDEX($Q136:$AJ136,1,(AO$4-1)*5+1))</f>
        <v/>
      </c>
      <c r="AP136" s="22">
        <f>AO136*(1+INDEX($Q136:$AJ136,1,(AP$4-1)*5+1))</f>
        <v/>
      </c>
      <c r="AQ136" s="22">
        <f>AP136*(1+INDEX($Q136:$AJ136,1,(AQ$4-1)*5+1))</f>
        <v/>
      </c>
      <c r="AR136" s="22">
        <f>AQ136*(1+INDEX($Q136:$AJ136,1,(AR$4-1)*5+1))</f>
        <v/>
      </c>
      <c r="AS136" s="22">
        <f>AR136*(1+INDEX($Q136:$AJ136,1,(AS$4-1)*5+1))</f>
        <v/>
      </c>
      <c r="AT136" s="22">
        <f>AS136*(1+INDEX($Q136:$AJ136,1,(AT$4-1)*5+1))</f>
        <v/>
      </c>
      <c r="AU136" s="22">
        <f>AT136*(1+INDEX($Q136:$AJ136,1,(AU$4-1)*5+1))</f>
        <v/>
      </c>
      <c r="AV136" s="22">
        <f>AU136*(1+INDEX($Q136:$AJ136,1,(AV$4-1)*5+1))</f>
        <v/>
      </c>
      <c r="AW136" s="22">
        <f>AV136*(1+INDEX($Q136:$AJ136,1,(AW$4-1)*5+1))</f>
        <v/>
      </c>
      <c r="AX136" s="22">
        <f>AW136*(1+INDEX($Q136:$AJ136,1,(AX$4-1)*5+1))</f>
        <v/>
      </c>
      <c r="AY136" s="22">
        <f>AX136*(1+INDEX($Q136:$AJ136,1,(AY$4-1)*5+1))</f>
        <v/>
      </c>
      <c r="BA136" s="23">
        <f>INDEX(Prices_dom!$A$6:$CU$2000,MATCH(Settings!$C$4&amp;BA$5,Prices_dom!$A$6:$A$2000,0),MATCH("mit.sp."&amp;$N136,Prices_dom!$A$5:$CU$5,0))/$P136</f>
        <v/>
      </c>
      <c r="BB136" s="22">
        <f>BA136*(1+INDEX($Q136:$AJ136,1,(BB$4-1)*5+1))</f>
        <v/>
      </c>
      <c r="BC136" s="22">
        <f>BB136*(1+INDEX($Q136:$AJ136,1,(BC$4-1)*5+1))</f>
        <v/>
      </c>
      <c r="BD136" s="22">
        <f>BC136*(1+INDEX($Q136:$AJ136,1,(BD$4-1)*5+1))</f>
        <v/>
      </c>
      <c r="BE136" s="22">
        <f>BD136*(1+INDEX($Q136:$AJ136,1,(BE$4-1)*5+1))</f>
        <v/>
      </c>
      <c r="BF136" s="22">
        <f>BE136*(1+INDEX($Q136:$AJ136,1,(BF$4-1)*5+1))</f>
        <v/>
      </c>
      <c r="BG136" s="22">
        <f>BF136*(1+INDEX($Q136:$AJ136,1,(BG$4-1)*5+1))</f>
        <v/>
      </c>
      <c r="BH136" s="22">
        <f>BG136*(1+INDEX($Q136:$AJ136,1,(BH$4-1)*5+1))</f>
        <v/>
      </c>
      <c r="BI136" s="22">
        <f>BH136*(1+INDEX($Q136:$AJ136,1,(BI$4-1)*5+1))</f>
        <v/>
      </c>
      <c r="BJ136" s="22">
        <f>BI136*(1+INDEX($Q136:$AJ136,1,(BJ$4-1)*5+1))</f>
        <v/>
      </c>
      <c r="BK136" s="22">
        <f>BJ136*(1+INDEX($Q136:$AJ136,1,(BK$4-1)*5+1))</f>
        <v/>
      </c>
      <c r="BL136" s="22">
        <f>BK136*(1+INDEX($Q136:$AJ136,1,(BL$4-1)*5+1))</f>
        <v/>
      </c>
      <c r="BM136" s="22">
        <f>BL136*(1+INDEX($Q136:$AJ136,1,(BM$4-1)*5+1))</f>
        <v/>
      </c>
      <c r="BN136" s="22">
        <f>BM136*(1+INDEX($Q136:$AJ136,1,(BN$4-1)*5+1))</f>
        <v/>
      </c>
    </row>
    <row r="137">
      <c r="B137" s="5" t="inlineStr">
        <is>
          <t>oop</t>
        </is>
      </c>
      <c r="C137" s="5" t="inlineStr">
        <is>
          <t>oen</t>
        </is>
      </c>
      <c r="D137" s="5" t="inlineStr">
        <is>
          <t>Pre-tax price | Other energy use | Other oil products</t>
        </is>
      </c>
      <c r="E137" s="5" t="inlineStr">
        <is>
          <t>$/GJ</t>
        </is>
      </c>
      <c r="F137" s="5" t="inlineStr">
        <is>
          <t>Prices_dom (base year), then growth</t>
        </is>
      </c>
      <c r="G137" s="19" t="inlineStr">
        <is>
          <t>mit.sp.oop</t>
        </is>
      </c>
      <c r="H137" s="19" t="inlineStr">
        <is>
          <t>mit.pbt.oop.oen</t>
        </is>
      </c>
      <c r="J137" s="5">
        <f>INDEX(Mapping!$C$5:$C$20,MATCH($C137,Mapping!$A$5:$A$20,0))</f>
        <v/>
      </c>
      <c r="K137" s="5">
        <f>INDEX(Mapping!$D$5:$D$20,MATCH($C137,Mapping!$A$5:$A$20,0))</f>
        <v/>
      </c>
      <c r="L137" s="5">
        <f>INDEX(Mapping!$C$24:$C$31,MATCH($B137,Mapping!$A$24:$A$31,0))</f>
        <v/>
      </c>
      <c r="M137" s="5">
        <f>INDEX(Mapping!$D$24:$D$31,MATCH($B137,Mapping!$A$24:$A$31,0))</f>
        <v/>
      </c>
      <c r="N137" s="5">
        <f>$B137&amp;"."&amp;IF(INDEX(Mapping!$E$24:$E$31,MATCH($B137,Mapping!$A$24:$A$31,0))="sub",INDEX(Mapping!$F$5:$F$20,MATCH($C137,Mapping!$A$5:$A$20,0)),"all")</f>
        <v/>
      </c>
      <c r="O137" s="5">
        <f>INDEX(Mapping!$E$5:$E$20,MATCH($C137,Mapping!$A$5:$A$20,0))</f>
        <v/>
      </c>
      <c r="P137" s="5">
        <f>INDEX(Mapping!$G$24:$G$31,MATCH($B137,Mapping!$A$24:$A$31,0))</f>
        <v/>
      </c>
      <c r="Q137" s="20" t="n">
        <v>0</v>
      </c>
      <c r="R137" s="21" t="n"/>
      <c r="S137" s="21" t="n"/>
      <c r="T137" s="21" t="n"/>
      <c r="U137" s="21" t="n"/>
      <c r="V137" s="22">
        <f>Q137</f>
        <v/>
      </c>
      <c r="W137" s="21" t="n"/>
      <c r="X137" s="21" t="n"/>
      <c r="Y137" s="21" t="n"/>
      <c r="Z137" s="21" t="n"/>
      <c r="AA137" s="22">
        <f>Q137</f>
        <v/>
      </c>
      <c r="AB137" s="21" t="n"/>
      <c r="AC137" s="21" t="n"/>
      <c r="AD137" s="21" t="n"/>
      <c r="AE137" s="21" t="n"/>
      <c r="AF137" s="22">
        <f>Q137</f>
        <v/>
      </c>
      <c r="AG137" s="21" t="n"/>
      <c r="AH137" s="21" t="n"/>
      <c r="AI137" s="21" t="n"/>
      <c r="AJ137" s="21" t="n"/>
      <c r="AL137" s="23">
        <f>INDEX(Prices_dom!$A$6:$CU$2000,MATCH(Settings!$C$4&amp;AL$5,Prices_dom!$A$6:$A$2000,0),MATCH("mit.sp."&amp;$N137,Prices_dom!$A$5:$CU$5,0))/$P137</f>
        <v/>
      </c>
      <c r="AM137" s="22">
        <f>AL137*(1+INDEX($Q137:$AJ137,1,(AM$4-1)*5+1))</f>
        <v/>
      </c>
      <c r="AN137" s="22">
        <f>AM137*(1+INDEX($Q137:$AJ137,1,(AN$4-1)*5+1))</f>
        <v/>
      </c>
      <c r="AO137" s="22">
        <f>AN137*(1+INDEX($Q137:$AJ137,1,(AO$4-1)*5+1))</f>
        <v/>
      </c>
      <c r="AP137" s="22">
        <f>AO137*(1+INDEX($Q137:$AJ137,1,(AP$4-1)*5+1))</f>
        <v/>
      </c>
      <c r="AQ137" s="22">
        <f>AP137*(1+INDEX($Q137:$AJ137,1,(AQ$4-1)*5+1))</f>
        <v/>
      </c>
      <c r="AR137" s="22">
        <f>AQ137*(1+INDEX($Q137:$AJ137,1,(AR$4-1)*5+1))</f>
        <v/>
      </c>
      <c r="AS137" s="22">
        <f>AR137*(1+INDEX($Q137:$AJ137,1,(AS$4-1)*5+1))</f>
        <v/>
      </c>
      <c r="AT137" s="22">
        <f>AS137*(1+INDEX($Q137:$AJ137,1,(AT$4-1)*5+1))</f>
        <v/>
      </c>
      <c r="AU137" s="22">
        <f>AT137*(1+INDEX($Q137:$AJ137,1,(AU$4-1)*5+1))</f>
        <v/>
      </c>
      <c r="AV137" s="22">
        <f>AU137*(1+INDEX($Q137:$AJ137,1,(AV$4-1)*5+1))</f>
        <v/>
      </c>
      <c r="AW137" s="22">
        <f>AV137*(1+INDEX($Q137:$AJ137,1,(AW$4-1)*5+1))</f>
        <v/>
      </c>
      <c r="AX137" s="22">
        <f>AW137*(1+INDEX($Q137:$AJ137,1,(AX$4-1)*5+1))</f>
        <v/>
      </c>
      <c r="AY137" s="22">
        <f>AX137*(1+INDEX($Q137:$AJ137,1,(AY$4-1)*5+1))</f>
        <v/>
      </c>
      <c r="BA137" s="23">
        <f>INDEX(Prices_dom!$A$6:$CU$2000,MATCH(Settings!$C$4&amp;BA$5,Prices_dom!$A$6:$A$2000,0),MATCH("mit.sp."&amp;$N137,Prices_dom!$A$5:$CU$5,0))/$P137</f>
        <v/>
      </c>
      <c r="BB137" s="22">
        <f>BA137*(1+INDEX($Q137:$AJ137,1,(BB$4-1)*5+1))</f>
        <v/>
      </c>
      <c r="BC137" s="22">
        <f>BB137*(1+INDEX($Q137:$AJ137,1,(BC$4-1)*5+1))</f>
        <v/>
      </c>
      <c r="BD137" s="22">
        <f>BC137*(1+INDEX($Q137:$AJ137,1,(BD$4-1)*5+1))</f>
        <v/>
      </c>
      <c r="BE137" s="22">
        <f>BD137*(1+INDEX($Q137:$AJ137,1,(BE$4-1)*5+1))</f>
        <v/>
      </c>
      <c r="BF137" s="22">
        <f>BE137*(1+INDEX($Q137:$AJ137,1,(BF$4-1)*5+1))</f>
        <v/>
      </c>
      <c r="BG137" s="22">
        <f>BF137*(1+INDEX($Q137:$AJ137,1,(BG$4-1)*5+1))</f>
        <v/>
      </c>
      <c r="BH137" s="22">
        <f>BG137*(1+INDEX($Q137:$AJ137,1,(BH$4-1)*5+1))</f>
        <v/>
      </c>
      <c r="BI137" s="22">
        <f>BH137*(1+INDEX($Q137:$AJ137,1,(BI$4-1)*5+1))</f>
        <v/>
      </c>
      <c r="BJ137" s="22">
        <f>BI137*(1+INDEX($Q137:$AJ137,1,(BJ$4-1)*5+1))</f>
        <v/>
      </c>
      <c r="BK137" s="22">
        <f>BJ137*(1+INDEX($Q137:$AJ137,1,(BK$4-1)*5+1))</f>
        <v/>
      </c>
      <c r="BL137" s="22">
        <f>BK137*(1+INDEX($Q137:$AJ137,1,(BL$4-1)*5+1))</f>
        <v/>
      </c>
      <c r="BM137" s="22">
        <f>BL137*(1+INDEX($Q137:$AJ137,1,(BM$4-1)*5+1))</f>
        <v/>
      </c>
      <c r="BN137" s="22">
        <f>BM137*(1+INDEX($Q137:$AJ137,1,(BN$4-1)*5+1))</f>
        <v/>
      </c>
    </row>
    <row r="138">
      <c r="B138" s="5" t="inlineStr">
        <is>
          <t>bio</t>
        </is>
      </c>
      <c r="C138" s="5" t="inlineStr">
        <is>
          <t>oen</t>
        </is>
      </c>
      <c r="D138" s="5" t="inlineStr">
        <is>
          <t>Pre-tax price | Other energy use | Biomass</t>
        </is>
      </c>
      <c r="E138" s="5" t="inlineStr">
        <is>
          <t>$/GJ</t>
        </is>
      </c>
      <c r="F138" s="5" t="inlineStr">
        <is>
          <t>Prices_dom (base year), then growth</t>
        </is>
      </c>
      <c r="G138" s="19" t="inlineStr">
        <is>
          <t>mit.sp.bio</t>
        </is>
      </c>
      <c r="H138" s="19" t="inlineStr">
        <is>
          <t>mit.pbt.bio.oen</t>
        </is>
      </c>
      <c r="J138" s="5">
        <f>INDEX(Mapping!$C$5:$C$20,MATCH($C138,Mapping!$A$5:$A$20,0))</f>
        <v/>
      </c>
      <c r="K138" s="5">
        <f>INDEX(Mapping!$D$5:$D$20,MATCH($C138,Mapping!$A$5:$A$20,0))</f>
        <v/>
      </c>
      <c r="L138" s="5">
        <f>INDEX(Mapping!$C$24:$C$31,MATCH($B138,Mapping!$A$24:$A$31,0))</f>
        <v/>
      </c>
      <c r="M138" s="5">
        <f>INDEX(Mapping!$D$24:$D$31,MATCH($B138,Mapping!$A$24:$A$31,0))</f>
        <v/>
      </c>
      <c r="N138" s="5">
        <f>$B138&amp;"."&amp;IF(INDEX(Mapping!$E$24:$E$31,MATCH($B138,Mapping!$A$24:$A$31,0))="sub",INDEX(Mapping!$F$5:$F$20,MATCH($C138,Mapping!$A$5:$A$20,0)),"all")</f>
        <v/>
      </c>
      <c r="O138" s="5">
        <f>INDEX(Mapping!$E$5:$E$20,MATCH($C138,Mapping!$A$5:$A$20,0))</f>
        <v/>
      </c>
      <c r="P138" s="5">
        <f>INDEX(Mapping!$G$24:$G$31,MATCH($B138,Mapping!$A$24:$A$31,0))</f>
        <v/>
      </c>
      <c r="Q138" s="20" t="n">
        <v>0</v>
      </c>
      <c r="R138" s="21" t="n"/>
      <c r="S138" s="21" t="n"/>
      <c r="T138" s="21" t="n"/>
      <c r="U138" s="21" t="n"/>
      <c r="V138" s="22">
        <f>Q138</f>
        <v/>
      </c>
      <c r="W138" s="21" t="n"/>
      <c r="X138" s="21" t="n"/>
      <c r="Y138" s="21" t="n"/>
      <c r="Z138" s="21" t="n"/>
      <c r="AA138" s="22">
        <f>Q138</f>
        <v/>
      </c>
      <c r="AB138" s="21" t="n"/>
      <c r="AC138" s="21" t="n"/>
      <c r="AD138" s="21" t="n"/>
      <c r="AE138" s="21" t="n"/>
      <c r="AF138" s="22">
        <f>Q138</f>
        <v/>
      </c>
      <c r="AG138" s="21" t="n"/>
      <c r="AH138" s="21" t="n"/>
      <c r="AI138" s="21" t="n"/>
      <c r="AJ138" s="21" t="n"/>
      <c r="AL138" s="23">
        <f>INDEX(Prices_dom!$A$6:$CU$2000,MATCH(Settings!$C$4&amp;AL$5,Prices_dom!$A$6:$A$2000,0),MATCH("mit.sp."&amp;$N138,Prices_dom!$A$5:$CU$5,0))/$P138</f>
        <v/>
      </c>
      <c r="AM138" s="22">
        <f>AL138*(1+INDEX($Q138:$AJ138,1,(AM$4-1)*5+1))</f>
        <v/>
      </c>
      <c r="AN138" s="22">
        <f>AM138*(1+INDEX($Q138:$AJ138,1,(AN$4-1)*5+1))</f>
        <v/>
      </c>
      <c r="AO138" s="22">
        <f>AN138*(1+INDEX($Q138:$AJ138,1,(AO$4-1)*5+1))</f>
        <v/>
      </c>
      <c r="AP138" s="22">
        <f>AO138*(1+INDEX($Q138:$AJ138,1,(AP$4-1)*5+1))</f>
        <v/>
      </c>
      <c r="AQ138" s="22">
        <f>AP138*(1+INDEX($Q138:$AJ138,1,(AQ$4-1)*5+1))</f>
        <v/>
      </c>
      <c r="AR138" s="22">
        <f>AQ138*(1+INDEX($Q138:$AJ138,1,(AR$4-1)*5+1))</f>
        <v/>
      </c>
      <c r="AS138" s="22">
        <f>AR138*(1+INDEX($Q138:$AJ138,1,(AS$4-1)*5+1))</f>
        <v/>
      </c>
      <c r="AT138" s="22">
        <f>AS138*(1+INDEX($Q138:$AJ138,1,(AT$4-1)*5+1))</f>
        <v/>
      </c>
      <c r="AU138" s="22">
        <f>AT138*(1+INDEX($Q138:$AJ138,1,(AU$4-1)*5+1))</f>
        <v/>
      </c>
      <c r="AV138" s="22">
        <f>AU138*(1+INDEX($Q138:$AJ138,1,(AV$4-1)*5+1))</f>
        <v/>
      </c>
      <c r="AW138" s="22">
        <f>AV138*(1+INDEX($Q138:$AJ138,1,(AW$4-1)*5+1))</f>
        <v/>
      </c>
      <c r="AX138" s="22">
        <f>AW138*(1+INDEX($Q138:$AJ138,1,(AX$4-1)*5+1))</f>
        <v/>
      </c>
      <c r="AY138" s="22">
        <f>AX138*(1+INDEX($Q138:$AJ138,1,(AY$4-1)*5+1))</f>
        <v/>
      </c>
      <c r="BA138" s="23">
        <f>INDEX(Prices_dom!$A$6:$CU$2000,MATCH(Settings!$C$4&amp;BA$5,Prices_dom!$A$6:$A$2000,0),MATCH("mit.sp."&amp;$N138,Prices_dom!$A$5:$CU$5,0))/$P138</f>
        <v/>
      </c>
      <c r="BB138" s="22">
        <f>BA138*(1+INDEX($Q138:$AJ138,1,(BB$4-1)*5+1))</f>
        <v/>
      </c>
      <c r="BC138" s="22">
        <f>BB138*(1+INDEX($Q138:$AJ138,1,(BC$4-1)*5+1))</f>
        <v/>
      </c>
      <c r="BD138" s="22">
        <f>BC138*(1+INDEX($Q138:$AJ138,1,(BD$4-1)*5+1))</f>
        <v/>
      </c>
      <c r="BE138" s="22">
        <f>BD138*(1+INDEX($Q138:$AJ138,1,(BE$4-1)*5+1))</f>
        <v/>
      </c>
      <c r="BF138" s="22">
        <f>BE138*(1+INDEX($Q138:$AJ138,1,(BF$4-1)*5+1))</f>
        <v/>
      </c>
      <c r="BG138" s="22">
        <f>BF138*(1+INDEX($Q138:$AJ138,1,(BG$4-1)*5+1))</f>
        <v/>
      </c>
      <c r="BH138" s="22">
        <f>BG138*(1+INDEX($Q138:$AJ138,1,(BH$4-1)*5+1))</f>
        <v/>
      </c>
      <c r="BI138" s="22">
        <f>BH138*(1+INDEX($Q138:$AJ138,1,(BI$4-1)*5+1))</f>
        <v/>
      </c>
      <c r="BJ138" s="22">
        <f>BI138*(1+INDEX($Q138:$AJ138,1,(BJ$4-1)*5+1))</f>
        <v/>
      </c>
      <c r="BK138" s="22">
        <f>BJ138*(1+INDEX($Q138:$AJ138,1,(BK$4-1)*5+1))</f>
        <v/>
      </c>
      <c r="BL138" s="22">
        <f>BK138*(1+INDEX($Q138:$AJ138,1,(BL$4-1)*5+1))</f>
        <v/>
      </c>
      <c r="BM138" s="22">
        <f>BL138*(1+INDEX($Q138:$AJ138,1,(BM$4-1)*5+1))</f>
        <v/>
      </c>
      <c r="BN138" s="22">
        <f>BM138*(1+INDEX($Q138:$AJ138,1,(BN$4-1)*5+1))</f>
        <v/>
      </c>
    </row>
    <row r="140">
      <c r="A140" s="9" t="inlineStr">
        <is>
          <t>Tax: base tax + carbon price x EF x coverage</t>
        </is>
      </c>
      <c r="B140" s="10" t="n"/>
      <c r="C140" s="10" t="n"/>
      <c r="D140" s="10" t="n"/>
      <c r="E140" s="10" t="n"/>
      <c r="F140" s="10" t="n"/>
      <c r="G140" s="10" t="n"/>
      <c r="H140" s="10" t="n"/>
      <c r="I140" s="10" t="n"/>
      <c r="J140" s="10" t="n"/>
      <c r="K140" s="10" t="n"/>
      <c r="L140" s="10" t="n"/>
      <c r="M140" s="10" t="n"/>
      <c r="N140" s="10" t="n"/>
      <c r="O140" s="10" t="n"/>
      <c r="P140" s="10" t="n"/>
      <c r="Q140" s="9" t="inlineStr">
        <is>
          <t>Base tax ($/GJ)</t>
        </is>
      </c>
      <c r="R140" s="9" t="inlineStr">
        <is>
          <t>EF (tCO2/GJ)</t>
        </is>
      </c>
      <c r="S140" s="9" t="inlineStr">
        <is>
          <t>Coverage</t>
        </is>
      </c>
      <c r="T140" s="9" t="inlineStr">
        <is>
          <t>-</t>
        </is>
      </c>
      <c r="U140" s="9" t="inlineStr">
        <is>
          <t>buffer</t>
        </is>
      </c>
      <c r="V140" s="9" t="inlineStr">
        <is>
          <t>Base tax ($/GJ)</t>
        </is>
      </c>
      <c r="W140" s="9" t="inlineStr">
        <is>
          <t>EF (tCO2/GJ)</t>
        </is>
      </c>
      <c r="X140" s="9" t="inlineStr">
        <is>
          <t>Coverage</t>
        </is>
      </c>
      <c r="Y140" s="9" t="inlineStr">
        <is>
          <t>-</t>
        </is>
      </c>
      <c r="Z140" s="9" t="inlineStr">
        <is>
          <t>buffer</t>
        </is>
      </c>
      <c r="AA140" s="9" t="inlineStr">
        <is>
          <t>Base tax ($/GJ)</t>
        </is>
      </c>
      <c r="AB140" s="9" t="inlineStr">
        <is>
          <t>EF (tCO2/GJ)</t>
        </is>
      </c>
      <c r="AC140" s="9" t="inlineStr">
        <is>
          <t>Coverage</t>
        </is>
      </c>
      <c r="AD140" s="9" t="inlineStr">
        <is>
          <t>-</t>
        </is>
      </c>
      <c r="AE140" s="9" t="inlineStr">
        <is>
          <t>buffer</t>
        </is>
      </c>
      <c r="AF140" s="9" t="inlineStr">
        <is>
          <t>Base tax ($/GJ)</t>
        </is>
      </c>
      <c r="AG140" s="9" t="inlineStr">
        <is>
          <t>EF (tCO2/GJ)</t>
        </is>
      </c>
      <c r="AH140" s="9" t="inlineStr">
        <is>
          <t>Coverage</t>
        </is>
      </c>
      <c r="AI140" s="9" t="inlineStr">
        <is>
          <t>-</t>
        </is>
      </c>
      <c r="AJ140" s="9" t="inlineStr">
        <is>
          <t>buffer</t>
        </is>
      </c>
      <c r="AK140" s="10" t="n"/>
      <c r="AL140" s="10" t="n"/>
      <c r="AM140" s="10" t="n"/>
      <c r="AN140" s="10" t="n"/>
      <c r="AO140" s="10" t="n"/>
      <c r="AP140" s="10" t="n"/>
      <c r="AQ140" s="10" t="n"/>
      <c r="AR140" s="10" t="n"/>
      <c r="AS140" s="10" t="n"/>
      <c r="AT140" s="10" t="n"/>
      <c r="AU140" s="10" t="n"/>
      <c r="AV140" s="10" t="n"/>
      <c r="AW140" s="10" t="n"/>
      <c r="AX140" s="10" t="n"/>
      <c r="AY140" s="10" t="n"/>
      <c r="AZ140" s="10" t="n"/>
      <c r="BA140" s="10" t="n"/>
      <c r="BB140" s="10" t="n"/>
      <c r="BC140" s="10" t="n"/>
      <c r="BD140" s="10" t="n"/>
      <c r="BE140" s="10" t="n"/>
      <c r="BF140" s="10" t="n"/>
      <c r="BG140" s="10" t="n"/>
      <c r="BH140" s="10" t="n"/>
      <c r="BI140" s="10" t="n"/>
      <c r="BJ140" s="10" t="n"/>
      <c r="BK140" s="10" t="n"/>
      <c r="BL140" s="10" t="n"/>
      <c r="BM140" s="10" t="n"/>
      <c r="BN140" s="10" t="n"/>
    </row>
    <row r="141">
      <c r="B141" s="5" t="inlineStr">
        <is>
          <t>coa</t>
        </is>
      </c>
      <c r="C141" s="5" t="inlineStr">
        <is>
          <t>rod</t>
        </is>
      </c>
      <c r="D141" s="5" t="inlineStr">
        <is>
          <t>Tax | Road | Coal</t>
        </is>
      </c>
      <c r="E141" s="5" t="inlineStr">
        <is>
          <t>$/GJ</t>
        </is>
      </c>
      <c r="F141" s="5" t="inlineStr">
        <is>
          <t>Prices_dom, EF_GHG, Mapping</t>
        </is>
      </c>
      <c r="G141" s="19" t="inlineStr">
        <is>
          <t>mit.rp.coa</t>
        </is>
      </c>
      <c r="H141" s="19" t="inlineStr">
        <is>
          <t>mit.tax.coa.rod</t>
        </is>
      </c>
      <c r="J141" s="5">
        <f>INDEX(Mapping!$C$5:$C$20,MATCH($C141,Mapping!$A$5:$A$20,0))</f>
        <v/>
      </c>
      <c r="K141" s="5">
        <f>INDEX(Mapping!$D$5:$D$20,MATCH($C141,Mapping!$A$5:$A$20,0))</f>
        <v/>
      </c>
      <c r="L141" s="5">
        <f>INDEX(Mapping!$C$24:$C$31,MATCH($B141,Mapping!$A$24:$A$31,0))</f>
        <v/>
      </c>
      <c r="M141" s="5">
        <f>INDEX(Mapping!$D$24:$D$31,MATCH($B141,Mapping!$A$24:$A$31,0))</f>
        <v/>
      </c>
      <c r="N141" s="5">
        <f>$B141&amp;"."&amp;IF(INDEX(Mapping!$E$24:$E$31,MATCH($B141,Mapping!$A$24:$A$31,0))="sub",INDEX(Mapping!$F$5:$F$20,MATCH($C141,Mapping!$A$5:$A$20,0)),"all")</f>
        <v/>
      </c>
      <c r="O141" s="5">
        <f>INDEX(Mapping!$E$5:$E$20,MATCH($C141,Mapping!$A$5:$A$20,0))</f>
        <v/>
      </c>
      <c r="P141" s="5">
        <f>INDEX(Mapping!$G$24:$G$31,MATCH($B141,Mapping!$A$24:$A$31,0))</f>
        <v/>
      </c>
      <c r="Q141" s="22">
        <f>(INDEX(Prices_dom!$A$6:$CU$2000,MATCH(Settings!$C$4&amp;Settings!$C$7,Prices_dom!$A$6:$A$2000,0),MATCH("mit.rp."&amp;$N141,Prices_dom!$A$5:$CU$5,0))-INDEX(Prices_dom!$A$6:$CU$2000,MATCH(Settings!$C$4&amp;Settings!$C$7,Prices_dom!$A$6:$A$2000,0),MATCH("mit.sp."&amp;$N141,Prices_dom!$A$5:$CU$5,0)))/$P141</f>
        <v/>
      </c>
      <c r="R141" s="22">
        <f>INDEX(EF_GHG!$E$4:$E$1000,MATCH(Settings!$C$4&amp;"|"&amp;$B141&amp;"|"&amp;$O141,EF_GHG!$A$4:$A$1000,0))</f>
        <v/>
      </c>
      <c r="S141" s="22">
        <f>INDEX(Mapping!$G$5:$G$20,MATCH($C141,Mapping!$A$5:$A$20,0))</f>
        <v/>
      </c>
      <c r="T141" s="21" t="n"/>
      <c r="U141" s="21" t="n"/>
      <c r="V141" s="22">
        <f>Q141</f>
        <v/>
      </c>
      <c r="W141" s="22">
        <f>R141</f>
        <v/>
      </c>
      <c r="X141" s="22">
        <f>S141</f>
        <v/>
      </c>
      <c r="Y141" s="21" t="n"/>
      <c r="Z141" s="21" t="n"/>
      <c r="AA141" s="22">
        <f>Q141</f>
        <v/>
      </c>
      <c r="AB141" s="22">
        <f>R141</f>
        <v/>
      </c>
      <c r="AC141" s="22">
        <f>S141</f>
        <v/>
      </c>
      <c r="AD141" s="21" t="n"/>
      <c r="AE141" s="21" t="n"/>
      <c r="AF141" s="22">
        <f>Q141</f>
        <v/>
      </c>
      <c r="AG141" s="22">
        <f>R141</f>
        <v/>
      </c>
      <c r="AH141" s="22">
        <f>S141</f>
        <v/>
      </c>
      <c r="AI141" s="21" t="n"/>
      <c r="AJ141" s="21" t="n"/>
      <c r="AL141" s="23">
        <f>INDEX($Q141:$AJ141,1,(AL$4-1)*5+1)+AL$8*INDEX($Q141:$AJ141,1,(AL$4-1)*5+2)*INDEX($Q141:$AJ141,1,(AL$4-1)*5+3)</f>
        <v/>
      </c>
      <c r="AM141" s="22">
        <f>INDEX($Q141:$AJ141,1,(AM$4-1)*5+1)+AM$8*INDEX($Q141:$AJ141,1,(AM$4-1)*5+2)*INDEX($Q141:$AJ141,1,(AM$4-1)*5+3)</f>
        <v/>
      </c>
      <c r="AN141" s="22">
        <f>INDEX($Q141:$AJ141,1,(AN$4-1)*5+1)+AN$8*INDEX($Q141:$AJ141,1,(AN$4-1)*5+2)*INDEX($Q141:$AJ141,1,(AN$4-1)*5+3)</f>
        <v/>
      </c>
      <c r="AO141" s="22">
        <f>INDEX($Q141:$AJ141,1,(AO$4-1)*5+1)+AO$8*INDEX($Q141:$AJ141,1,(AO$4-1)*5+2)*INDEX($Q141:$AJ141,1,(AO$4-1)*5+3)</f>
        <v/>
      </c>
      <c r="AP141" s="22">
        <f>INDEX($Q141:$AJ141,1,(AP$4-1)*5+1)+AP$8*INDEX($Q141:$AJ141,1,(AP$4-1)*5+2)*INDEX($Q141:$AJ141,1,(AP$4-1)*5+3)</f>
        <v/>
      </c>
      <c r="AQ141" s="22">
        <f>INDEX($Q141:$AJ141,1,(AQ$4-1)*5+1)+AQ$8*INDEX($Q141:$AJ141,1,(AQ$4-1)*5+2)*INDEX($Q141:$AJ141,1,(AQ$4-1)*5+3)</f>
        <v/>
      </c>
      <c r="AR141" s="22">
        <f>INDEX($Q141:$AJ141,1,(AR$4-1)*5+1)+AR$8*INDEX($Q141:$AJ141,1,(AR$4-1)*5+2)*INDEX($Q141:$AJ141,1,(AR$4-1)*5+3)</f>
        <v/>
      </c>
      <c r="AS141" s="22">
        <f>INDEX($Q141:$AJ141,1,(AS$4-1)*5+1)+AS$8*INDEX($Q141:$AJ141,1,(AS$4-1)*5+2)*INDEX($Q141:$AJ141,1,(AS$4-1)*5+3)</f>
        <v/>
      </c>
      <c r="AT141" s="22">
        <f>INDEX($Q141:$AJ141,1,(AT$4-1)*5+1)+AT$8*INDEX($Q141:$AJ141,1,(AT$4-1)*5+2)*INDEX($Q141:$AJ141,1,(AT$4-1)*5+3)</f>
        <v/>
      </c>
      <c r="AU141" s="22">
        <f>INDEX($Q141:$AJ141,1,(AU$4-1)*5+1)+AU$8*INDEX($Q141:$AJ141,1,(AU$4-1)*5+2)*INDEX($Q141:$AJ141,1,(AU$4-1)*5+3)</f>
        <v/>
      </c>
      <c r="AV141" s="22">
        <f>INDEX($Q141:$AJ141,1,(AV$4-1)*5+1)+AV$8*INDEX($Q141:$AJ141,1,(AV$4-1)*5+2)*INDEX($Q141:$AJ141,1,(AV$4-1)*5+3)</f>
        <v/>
      </c>
      <c r="AW141" s="22">
        <f>INDEX($Q141:$AJ141,1,(AW$4-1)*5+1)+AW$8*INDEX($Q141:$AJ141,1,(AW$4-1)*5+2)*INDEX($Q141:$AJ141,1,(AW$4-1)*5+3)</f>
        <v/>
      </c>
      <c r="AX141" s="22">
        <f>INDEX($Q141:$AJ141,1,(AX$4-1)*5+1)+AX$8*INDEX($Q141:$AJ141,1,(AX$4-1)*5+2)*INDEX($Q141:$AJ141,1,(AX$4-1)*5+3)</f>
        <v/>
      </c>
      <c r="AY141" s="22">
        <f>INDEX($Q141:$AJ141,1,(AY$4-1)*5+1)+AY$8*INDEX($Q141:$AJ141,1,(AY$4-1)*5+2)*INDEX($Q141:$AJ141,1,(AY$4-1)*5+3)</f>
        <v/>
      </c>
      <c r="BA141" s="23">
        <f>INDEX($Q141:$AJ141,1,(BA$4-1)*5+1)+BA$8*INDEX($Q141:$AJ141,1,(BA$4-1)*5+2)*INDEX($Q141:$AJ141,1,(BA$4-1)*5+3)</f>
        <v/>
      </c>
      <c r="BB141" s="22">
        <f>INDEX($Q141:$AJ141,1,(BB$4-1)*5+1)+BB$8*INDEX($Q141:$AJ141,1,(BB$4-1)*5+2)*INDEX($Q141:$AJ141,1,(BB$4-1)*5+3)</f>
        <v/>
      </c>
      <c r="BC141" s="22">
        <f>INDEX($Q141:$AJ141,1,(BC$4-1)*5+1)+BC$8*INDEX($Q141:$AJ141,1,(BC$4-1)*5+2)*INDEX($Q141:$AJ141,1,(BC$4-1)*5+3)</f>
        <v/>
      </c>
      <c r="BD141" s="22">
        <f>INDEX($Q141:$AJ141,1,(BD$4-1)*5+1)+BD$8*INDEX($Q141:$AJ141,1,(BD$4-1)*5+2)*INDEX($Q141:$AJ141,1,(BD$4-1)*5+3)</f>
        <v/>
      </c>
      <c r="BE141" s="22">
        <f>INDEX($Q141:$AJ141,1,(BE$4-1)*5+1)+BE$8*INDEX($Q141:$AJ141,1,(BE$4-1)*5+2)*INDEX($Q141:$AJ141,1,(BE$4-1)*5+3)</f>
        <v/>
      </c>
      <c r="BF141" s="22">
        <f>INDEX($Q141:$AJ141,1,(BF$4-1)*5+1)+BF$8*INDEX($Q141:$AJ141,1,(BF$4-1)*5+2)*INDEX($Q141:$AJ141,1,(BF$4-1)*5+3)</f>
        <v/>
      </c>
      <c r="BG141" s="22">
        <f>INDEX($Q141:$AJ141,1,(BG$4-1)*5+1)+BG$8*INDEX($Q141:$AJ141,1,(BG$4-1)*5+2)*INDEX($Q141:$AJ141,1,(BG$4-1)*5+3)</f>
        <v/>
      </c>
      <c r="BH141" s="22">
        <f>INDEX($Q141:$AJ141,1,(BH$4-1)*5+1)+BH$8*INDEX($Q141:$AJ141,1,(BH$4-1)*5+2)*INDEX($Q141:$AJ141,1,(BH$4-1)*5+3)</f>
        <v/>
      </c>
      <c r="BI141" s="22">
        <f>INDEX($Q141:$AJ141,1,(BI$4-1)*5+1)+BI$8*INDEX($Q141:$AJ141,1,(BI$4-1)*5+2)*INDEX($Q141:$AJ141,1,(BI$4-1)*5+3)</f>
        <v/>
      </c>
      <c r="BJ141" s="22">
        <f>INDEX($Q141:$AJ141,1,(BJ$4-1)*5+1)+BJ$8*INDEX($Q141:$AJ141,1,(BJ$4-1)*5+2)*INDEX($Q141:$AJ141,1,(BJ$4-1)*5+3)</f>
        <v/>
      </c>
      <c r="BK141" s="22">
        <f>INDEX($Q141:$AJ141,1,(BK$4-1)*5+1)+BK$8*INDEX($Q141:$AJ141,1,(BK$4-1)*5+2)*INDEX($Q141:$AJ141,1,(BK$4-1)*5+3)</f>
        <v/>
      </c>
      <c r="BL141" s="22">
        <f>INDEX($Q141:$AJ141,1,(BL$4-1)*5+1)+BL$8*INDEX($Q141:$AJ141,1,(BL$4-1)*5+2)*INDEX($Q141:$AJ141,1,(BL$4-1)*5+3)</f>
        <v/>
      </c>
      <c r="BM141" s="22">
        <f>INDEX($Q141:$AJ141,1,(BM$4-1)*5+1)+BM$8*INDEX($Q141:$AJ141,1,(BM$4-1)*5+2)*INDEX($Q141:$AJ141,1,(BM$4-1)*5+3)</f>
        <v/>
      </c>
      <c r="BN141" s="22">
        <f>INDEX($Q141:$AJ141,1,(BN$4-1)*5+1)+BN$8*INDEX($Q141:$AJ141,1,(BN$4-1)*5+2)*INDEX($Q141:$AJ141,1,(BN$4-1)*5+3)</f>
        <v/>
      </c>
    </row>
    <row r="142">
      <c r="B142" s="5" t="inlineStr">
        <is>
          <t>nga</t>
        </is>
      </c>
      <c r="C142" s="5" t="inlineStr">
        <is>
          <t>rod</t>
        </is>
      </c>
      <c r="D142" s="5" t="inlineStr">
        <is>
          <t>Tax | Road | Natural gas</t>
        </is>
      </c>
      <c r="E142" s="5" t="inlineStr">
        <is>
          <t>$/GJ</t>
        </is>
      </c>
      <c r="F142" s="5" t="inlineStr">
        <is>
          <t>Prices_dom, EF_GHG, Mapping</t>
        </is>
      </c>
      <c r="G142" s="19" t="inlineStr">
        <is>
          <t>mit.rp.nga</t>
        </is>
      </c>
      <c r="H142" s="19" t="inlineStr">
        <is>
          <t>mit.tax.nga.rod</t>
        </is>
      </c>
      <c r="J142" s="5">
        <f>INDEX(Mapping!$C$5:$C$20,MATCH($C142,Mapping!$A$5:$A$20,0))</f>
        <v/>
      </c>
      <c r="K142" s="5">
        <f>INDEX(Mapping!$D$5:$D$20,MATCH($C142,Mapping!$A$5:$A$20,0))</f>
        <v/>
      </c>
      <c r="L142" s="5">
        <f>INDEX(Mapping!$C$24:$C$31,MATCH($B142,Mapping!$A$24:$A$31,0))</f>
        <v/>
      </c>
      <c r="M142" s="5">
        <f>INDEX(Mapping!$D$24:$D$31,MATCH($B142,Mapping!$A$24:$A$31,0))</f>
        <v/>
      </c>
      <c r="N142" s="5">
        <f>$B142&amp;"."&amp;IF(INDEX(Mapping!$E$24:$E$31,MATCH($B142,Mapping!$A$24:$A$31,0))="sub",INDEX(Mapping!$F$5:$F$20,MATCH($C142,Mapping!$A$5:$A$20,0)),"all")</f>
        <v/>
      </c>
      <c r="O142" s="5">
        <f>INDEX(Mapping!$E$5:$E$20,MATCH($C142,Mapping!$A$5:$A$20,0))</f>
        <v/>
      </c>
      <c r="P142" s="5">
        <f>INDEX(Mapping!$G$24:$G$31,MATCH($B142,Mapping!$A$24:$A$31,0))</f>
        <v/>
      </c>
      <c r="Q142" s="22">
        <f>(INDEX(Prices_dom!$A$6:$CU$2000,MATCH(Settings!$C$4&amp;Settings!$C$7,Prices_dom!$A$6:$A$2000,0),MATCH("mit.rp."&amp;$N142,Prices_dom!$A$5:$CU$5,0))-INDEX(Prices_dom!$A$6:$CU$2000,MATCH(Settings!$C$4&amp;Settings!$C$7,Prices_dom!$A$6:$A$2000,0),MATCH("mit.sp."&amp;$N142,Prices_dom!$A$5:$CU$5,0)))/$P142</f>
        <v/>
      </c>
      <c r="R142" s="22">
        <f>INDEX(EF_GHG!$E$4:$E$1000,MATCH(Settings!$C$4&amp;"|"&amp;$B142&amp;"|"&amp;$O142,EF_GHG!$A$4:$A$1000,0))</f>
        <v/>
      </c>
      <c r="S142" s="22">
        <f>INDEX(Mapping!$G$5:$G$20,MATCH($C142,Mapping!$A$5:$A$20,0))</f>
        <v/>
      </c>
      <c r="T142" s="21" t="n"/>
      <c r="U142" s="21" t="n"/>
      <c r="V142" s="22">
        <f>Q142</f>
        <v/>
      </c>
      <c r="W142" s="22">
        <f>R142</f>
        <v/>
      </c>
      <c r="X142" s="22">
        <f>S142</f>
        <v/>
      </c>
      <c r="Y142" s="21" t="n"/>
      <c r="Z142" s="21" t="n"/>
      <c r="AA142" s="22">
        <f>Q142</f>
        <v/>
      </c>
      <c r="AB142" s="22">
        <f>R142</f>
        <v/>
      </c>
      <c r="AC142" s="22">
        <f>S142</f>
        <v/>
      </c>
      <c r="AD142" s="21" t="n"/>
      <c r="AE142" s="21" t="n"/>
      <c r="AF142" s="22">
        <f>Q142</f>
        <v/>
      </c>
      <c r="AG142" s="22">
        <f>R142</f>
        <v/>
      </c>
      <c r="AH142" s="22">
        <f>S142</f>
        <v/>
      </c>
      <c r="AI142" s="21" t="n"/>
      <c r="AJ142" s="21" t="n"/>
      <c r="AL142" s="23">
        <f>INDEX($Q142:$AJ142,1,(AL$4-1)*5+1)+AL$8*INDEX($Q142:$AJ142,1,(AL$4-1)*5+2)*INDEX($Q142:$AJ142,1,(AL$4-1)*5+3)</f>
        <v/>
      </c>
      <c r="AM142" s="22">
        <f>INDEX($Q142:$AJ142,1,(AM$4-1)*5+1)+AM$8*INDEX($Q142:$AJ142,1,(AM$4-1)*5+2)*INDEX($Q142:$AJ142,1,(AM$4-1)*5+3)</f>
        <v/>
      </c>
      <c r="AN142" s="22">
        <f>INDEX($Q142:$AJ142,1,(AN$4-1)*5+1)+AN$8*INDEX($Q142:$AJ142,1,(AN$4-1)*5+2)*INDEX($Q142:$AJ142,1,(AN$4-1)*5+3)</f>
        <v/>
      </c>
      <c r="AO142" s="22">
        <f>INDEX($Q142:$AJ142,1,(AO$4-1)*5+1)+AO$8*INDEX($Q142:$AJ142,1,(AO$4-1)*5+2)*INDEX($Q142:$AJ142,1,(AO$4-1)*5+3)</f>
        <v/>
      </c>
      <c r="AP142" s="22">
        <f>INDEX($Q142:$AJ142,1,(AP$4-1)*5+1)+AP$8*INDEX($Q142:$AJ142,1,(AP$4-1)*5+2)*INDEX($Q142:$AJ142,1,(AP$4-1)*5+3)</f>
        <v/>
      </c>
      <c r="AQ142" s="22">
        <f>INDEX($Q142:$AJ142,1,(AQ$4-1)*5+1)+AQ$8*INDEX($Q142:$AJ142,1,(AQ$4-1)*5+2)*INDEX($Q142:$AJ142,1,(AQ$4-1)*5+3)</f>
        <v/>
      </c>
      <c r="AR142" s="22">
        <f>INDEX($Q142:$AJ142,1,(AR$4-1)*5+1)+AR$8*INDEX($Q142:$AJ142,1,(AR$4-1)*5+2)*INDEX($Q142:$AJ142,1,(AR$4-1)*5+3)</f>
        <v/>
      </c>
      <c r="AS142" s="22">
        <f>INDEX($Q142:$AJ142,1,(AS$4-1)*5+1)+AS$8*INDEX($Q142:$AJ142,1,(AS$4-1)*5+2)*INDEX($Q142:$AJ142,1,(AS$4-1)*5+3)</f>
        <v/>
      </c>
      <c r="AT142" s="22">
        <f>INDEX($Q142:$AJ142,1,(AT$4-1)*5+1)+AT$8*INDEX($Q142:$AJ142,1,(AT$4-1)*5+2)*INDEX($Q142:$AJ142,1,(AT$4-1)*5+3)</f>
        <v/>
      </c>
      <c r="AU142" s="22">
        <f>INDEX($Q142:$AJ142,1,(AU$4-1)*5+1)+AU$8*INDEX($Q142:$AJ142,1,(AU$4-1)*5+2)*INDEX($Q142:$AJ142,1,(AU$4-1)*5+3)</f>
        <v/>
      </c>
      <c r="AV142" s="22">
        <f>INDEX($Q142:$AJ142,1,(AV$4-1)*5+1)+AV$8*INDEX($Q142:$AJ142,1,(AV$4-1)*5+2)*INDEX($Q142:$AJ142,1,(AV$4-1)*5+3)</f>
        <v/>
      </c>
      <c r="AW142" s="22">
        <f>INDEX($Q142:$AJ142,1,(AW$4-1)*5+1)+AW$8*INDEX($Q142:$AJ142,1,(AW$4-1)*5+2)*INDEX($Q142:$AJ142,1,(AW$4-1)*5+3)</f>
        <v/>
      </c>
      <c r="AX142" s="22">
        <f>INDEX($Q142:$AJ142,1,(AX$4-1)*5+1)+AX$8*INDEX($Q142:$AJ142,1,(AX$4-1)*5+2)*INDEX($Q142:$AJ142,1,(AX$4-1)*5+3)</f>
        <v/>
      </c>
      <c r="AY142" s="22">
        <f>INDEX($Q142:$AJ142,1,(AY$4-1)*5+1)+AY$8*INDEX($Q142:$AJ142,1,(AY$4-1)*5+2)*INDEX($Q142:$AJ142,1,(AY$4-1)*5+3)</f>
        <v/>
      </c>
      <c r="BA142" s="23">
        <f>INDEX($Q142:$AJ142,1,(BA$4-1)*5+1)+BA$8*INDEX($Q142:$AJ142,1,(BA$4-1)*5+2)*INDEX($Q142:$AJ142,1,(BA$4-1)*5+3)</f>
        <v/>
      </c>
      <c r="BB142" s="22">
        <f>INDEX($Q142:$AJ142,1,(BB$4-1)*5+1)+BB$8*INDEX($Q142:$AJ142,1,(BB$4-1)*5+2)*INDEX($Q142:$AJ142,1,(BB$4-1)*5+3)</f>
        <v/>
      </c>
      <c r="BC142" s="22">
        <f>INDEX($Q142:$AJ142,1,(BC$4-1)*5+1)+BC$8*INDEX($Q142:$AJ142,1,(BC$4-1)*5+2)*INDEX($Q142:$AJ142,1,(BC$4-1)*5+3)</f>
        <v/>
      </c>
      <c r="BD142" s="22">
        <f>INDEX($Q142:$AJ142,1,(BD$4-1)*5+1)+BD$8*INDEX($Q142:$AJ142,1,(BD$4-1)*5+2)*INDEX($Q142:$AJ142,1,(BD$4-1)*5+3)</f>
        <v/>
      </c>
      <c r="BE142" s="22">
        <f>INDEX($Q142:$AJ142,1,(BE$4-1)*5+1)+BE$8*INDEX($Q142:$AJ142,1,(BE$4-1)*5+2)*INDEX($Q142:$AJ142,1,(BE$4-1)*5+3)</f>
        <v/>
      </c>
      <c r="BF142" s="22">
        <f>INDEX($Q142:$AJ142,1,(BF$4-1)*5+1)+BF$8*INDEX($Q142:$AJ142,1,(BF$4-1)*5+2)*INDEX($Q142:$AJ142,1,(BF$4-1)*5+3)</f>
        <v/>
      </c>
      <c r="BG142" s="22">
        <f>INDEX($Q142:$AJ142,1,(BG$4-1)*5+1)+BG$8*INDEX($Q142:$AJ142,1,(BG$4-1)*5+2)*INDEX($Q142:$AJ142,1,(BG$4-1)*5+3)</f>
        <v/>
      </c>
      <c r="BH142" s="22">
        <f>INDEX($Q142:$AJ142,1,(BH$4-1)*5+1)+BH$8*INDEX($Q142:$AJ142,1,(BH$4-1)*5+2)*INDEX($Q142:$AJ142,1,(BH$4-1)*5+3)</f>
        <v/>
      </c>
      <c r="BI142" s="22">
        <f>INDEX($Q142:$AJ142,1,(BI$4-1)*5+1)+BI$8*INDEX($Q142:$AJ142,1,(BI$4-1)*5+2)*INDEX($Q142:$AJ142,1,(BI$4-1)*5+3)</f>
        <v/>
      </c>
      <c r="BJ142" s="22">
        <f>INDEX($Q142:$AJ142,1,(BJ$4-1)*5+1)+BJ$8*INDEX($Q142:$AJ142,1,(BJ$4-1)*5+2)*INDEX($Q142:$AJ142,1,(BJ$4-1)*5+3)</f>
        <v/>
      </c>
      <c r="BK142" s="22">
        <f>INDEX($Q142:$AJ142,1,(BK$4-1)*5+1)+BK$8*INDEX($Q142:$AJ142,1,(BK$4-1)*5+2)*INDEX($Q142:$AJ142,1,(BK$4-1)*5+3)</f>
        <v/>
      </c>
      <c r="BL142" s="22">
        <f>INDEX($Q142:$AJ142,1,(BL$4-1)*5+1)+BL$8*INDEX($Q142:$AJ142,1,(BL$4-1)*5+2)*INDEX($Q142:$AJ142,1,(BL$4-1)*5+3)</f>
        <v/>
      </c>
      <c r="BM142" s="22">
        <f>INDEX($Q142:$AJ142,1,(BM$4-1)*5+1)+BM$8*INDEX($Q142:$AJ142,1,(BM$4-1)*5+2)*INDEX($Q142:$AJ142,1,(BM$4-1)*5+3)</f>
        <v/>
      </c>
      <c r="BN142" s="22">
        <f>INDEX($Q142:$AJ142,1,(BN$4-1)*5+1)+BN$8*INDEX($Q142:$AJ142,1,(BN$4-1)*5+2)*INDEX($Q142:$AJ142,1,(BN$4-1)*5+3)</f>
        <v/>
      </c>
    </row>
    <row r="143">
      <c r="B143" s="5" t="inlineStr">
        <is>
          <t>gso</t>
        </is>
      </c>
      <c r="C143" s="5" t="inlineStr">
        <is>
          <t>rod</t>
        </is>
      </c>
      <c r="D143" s="5" t="inlineStr">
        <is>
          <t>Tax | Road | Gasoline</t>
        </is>
      </c>
      <c r="E143" s="5" t="inlineStr">
        <is>
          <t>$/GJ</t>
        </is>
      </c>
      <c r="F143" s="5" t="inlineStr">
        <is>
          <t>Prices_dom, EF_GHG, Mapping</t>
        </is>
      </c>
      <c r="G143" s="19" t="inlineStr">
        <is>
          <t>mit.rp.gso</t>
        </is>
      </c>
      <c r="H143" s="19" t="inlineStr">
        <is>
          <t>mit.tax.gso.rod</t>
        </is>
      </c>
      <c r="J143" s="5">
        <f>INDEX(Mapping!$C$5:$C$20,MATCH($C143,Mapping!$A$5:$A$20,0))</f>
        <v/>
      </c>
      <c r="K143" s="5">
        <f>INDEX(Mapping!$D$5:$D$20,MATCH($C143,Mapping!$A$5:$A$20,0))</f>
        <v/>
      </c>
      <c r="L143" s="5">
        <f>INDEX(Mapping!$C$24:$C$31,MATCH($B143,Mapping!$A$24:$A$31,0))</f>
        <v/>
      </c>
      <c r="M143" s="5">
        <f>INDEX(Mapping!$D$24:$D$31,MATCH($B143,Mapping!$A$24:$A$31,0))</f>
        <v/>
      </c>
      <c r="N143" s="5">
        <f>$B143&amp;"."&amp;IF(INDEX(Mapping!$E$24:$E$31,MATCH($B143,Mapping!$A$24:$A$31,0))="sub",INDEX(Mapping!$F$5:$F$20,MATCH($C143,Mapping!$A$5:$A$20,0)),"all")</f>
        <v/>
      </c>
      <c r="O143" s="5">
        <f>INDEX(Mapping!$E$5:$E$20,MATCH($C143,Mapping!$A$5:$A$20,0))</f>
        <v/>
      </c>
      <c r="P143" s="5">
        <f>INDEX(Mapping!$G$24:$G$31,MATCH($B143,Mapping!$A$24:$A$31,0))</f>
        <v/>
      </c>
      <c r="Q143" s="22">
        <f>(INDEX(Prices_dom!$A$6:$CU$2000,MATCH(Settings!$C$4&amp;Settings!$C$7,Prices_dom!$A$6:$A$2000,0),MATCH("mit.rp."&amp;$N143,Prices_dom!$A$5:$CU$5,0))-INDEX(Prices_dom!$A$6:$CU$2000,MATCH(Settings!$C$4&amp;Settings!$C$7,Prices_dom!$A$6:$A$2000,0),MATCH("mit.sp."&amp;$N143,Prices_dom!$A$5:$CU$5,0)))/$P143</f>
        <v/>
      </c>
      <c r="R143" s="22">
        <f>INDEX(EF_GHG!$E$4:$E$1000,MATCH(Settings!$C$4&amp;"|"&amp;$B143&amp;"|"&amp;$O143,EF_GHG!$A$4:$A$1000,0))</f>
        <v/>
      </c>
      <c r="S143" s="22">
        <f>INDEX(Mapping!$G$5:$G$20,MATCH($C143,Mapping!$A$5:$A$20,0))</f>
        <v/>
      </c>
      <c r="T143" s="21" t="n"/>
      <c r="U143" s="21" t="n"/>
      <c r="V143" s="22">
        <f>Q143</f>
        <v/>
      </c>
      <c r="W143" s="22">
        <f>R143</f>
        <v/>
      </c>
      <c r="X143" s="22">
        <f>S143</f>
        <v/>
      </c>
      <c r="Y143" s="21" t="n"/>
      <c r="Z143" s="21" t="n"/>
      <c r="AA143" s="22">
        <f>Q143</f>
        <v/>
      </c>
      <c r="AB143" s="22">
        <f>R143</f>
        <v/>
      </c>
      <c r="AC143" s="22">
        <f>S143</f>
        <v/>
      </c>
      <c r="AD143" s="21" t="n"/>
      <c r="AE143" s="21" t="n"/>
      <c r="AF143" s="22">
        <f>Q143</f>
        <v/>
      </c>
      <c r="AG143" s="22">
        <f>R143</f>
        <v/>
      </c>
      <c r="AH143" s="22">
        <f>S143</f>
        <v/>
      </c>
      <c r="AI143" s="21" t="n"/>
      <c r="AJ143" s="21" t="n"/>
      <c r="AL143" s="23">
        <f>INDEX($Q143:$AJ143,1,(AL$4-1)*5+1)+AL$8*INDEX($Q143:$AJ143,1,(AL$4-1)*5+2)*INDEX($Q143:$AJ143,1,(AL$4-1)*5+3)</f>
        <v/>
      </c>
      <c r="AM143" s="22">
        <f>INDEX($Q143:$AJ143,1,(AM$4-1)*5+1)+AM$8*INDEX($Q143:$AJ143,1,(AM$4-1)*5+2)*INDEX($Q143:$AJ143,1,(AM$4-1)*5+3)</f>
        <v/>
      </c>
      <c r="AN143" s="22">
        <f>INDEX($Q143:$AJ143,1,(AN$4-1)*5+1)+AN$8*INDEX($Q143:$AJ143,1,(AN$4-1)*5+2)*INDEX($Q143:$AJ143,1,(AN$4-1)*5+3)</f>
        <v/>
      </c>
      <c r="AO143" s="22">
        <f>INDEX($Q143:$AJ143,1,(AO$4-1)*5+1)+AO$8*INDEX($Q143:$AJ143,1,(AO$4-1)*5+2)*INDEX($Q143:$AJ143,1,(AO$4-1)*5+3)</f>
        <v/>
      </c>
      <c r="AP143" s="22">
        <f>INDEX($Q143:$AJ143,1,(AP$4-1)*5+1)+AP$8*INDEX($Q143:$AJ143,1,(AP$4-1)*5+2)*INDEX($Q143:$AJ143,1,(AP$4-1)*5+3)</f>
        <v/>
      </c>
      <c r="AQ143" s="22">
        <f>INDEX($Q143:$AJ143,1,(AQ$4-1)*5+1)+AQ$8*INDEX($Q143:$AJ143,1,(AQ$4-1)*5+2)*INDEX($Q143:$AJ143,1,(AQ$4-1)*5+3)</f>
        <v/>
      </c>
      <c r="AR143" s="22">
        <f>INDEX($Q143:$AJ143,1,(AR$4-1)*5+1)+AR$8*INDEX($Q143:$AJ143,1,(AR$4-1)*5+2)*INDEX($Q143:$AJ143,1,(AR$4-1)*5+3)</f>
        <v/>
      </c>
      <c r="AS143" s="22">
        <f>INDEX($Q143:$AJ143,1,(AS$4-1)*5+1)+AS$8*INDEX($Q143:$AJ143,1,(AS$4-1)*5+2)*INDEX($Q143:$AJ143,1,(AS$4-1)*5+3)</f>
        <v/>
      </c>
      <c r="AT143" s="22">
        <f>INDEX($Q143:$AJ143,1,(AT$4-1)*5+1)+AT$8*INDEX($Q143:$AJ143,1,(AT$4-1)*5+2)*INDEX($Q143:$AJ143,1,(AT$4-1)*5+3)</f>
        <v/>
      </c>
      <c r="AU143" s="22">
        <f>INDEX($Q143:$AJ143,1,(AU$4-1)*5+1)+AU$8*INDEX($Q143:$AJ143,1,(AU$4-1)*5+2)*INDEX($Q143:$AJ143,1,(AU$4-1)*5+3)</f>
        <v/>
      </c>
      <c r="AV143" s="22">
        <f>INDEX($Q143:$AJ143,1,(AV$4-1)*5+1)+AV$8*INDEX($Q143:$AJ143,1,(AV$4-1)*5+2)*INDEX($Q143:$AJ143,1,(AV$4-1)*5+3)</f>
        <v/>
      </c>
      <c r="AW143" s="22">
        <f>INDEX($Q143:$AJ143,1,(AW$4-1)*5+1)+AW$8*INDEX($Q143:$AJ143,1,(AW$4-1)*5+2)*INDEX($Q143:$AJ143,1,(AW$4-1)*5+3)</f>
        <v/>
      </c>
      <c r="AX143" s="22">
        <f>INDEX($Q143:$AJ143,1,(AX$4-1)*5+1)+AX$8*INDEX($Q143:$AJ143,1,(AX$4-1)*5+2)*INDEX($Q143:$AJ143,1,(AX$4-1)*5+3)</f>
        <v/>
      </c>
      <c r="AY143" s="22">
        <f>INDEX($Q143:$AJ143,1,(AY$4-1)*5+1)+AY$8*INDEX($Q143:$AJ143,1,(AY$4-1)*5+2)*INDEX($Q143:$AJ143,1,(AY$4-1)*5+3)</f>
        <v/>
      </c>
      <c r="BA143" s="23">
        <f>INDEX($Q143:$AJ143,1,(BA$4-1)*5+1)+BA$8*INDEX($Q143:$AJ143,1,(BA$4-1)*5+2)*INDEX($Q143:$AJ143,1,(BA$4-1)*5+3)</f>
        <v/>
      </c>
      <c r="BB143" s="22">
        <f>INDEX($Q143:$AJ143,1,(BB$4-1)*5+1)+BB$8*INDEX($Q143:$AJ143,1,(BB$4-1)*5+2)*INDEX($Q143:$AJ143,1,(BB$4-1)*5+3)</f>
        <v/>
      </c>
      <c r="BC143" s="22">
        <f>INDEX($Q143:$AJ143,1,(BC$4-1)*5+1)+BC$8*INDEX($Q143:$AJ143,1,(BC$4-1)*5+2)*INDEX($Q143:$AJ143,1,(BC$4-1)*5+3)</f>
        <v/>
      </c>
      <c r="BD143" s="22">
        <f>INDEX($Q143:$AJ143,1,(BD$4-1)*5+1)+BD$8*INDEX($Q143:$AJ143,1,(BD$4-1)*5+2)*INDEX($Q143:$AJ143,1,(BD$4-1)*5+3)</f>
        <v/>
      </c>
      <c r="BE143" s="22">
        <f>INDEX($Q143:$AJ143,1,(BE$4-1)*5+1)+BE$8*INDEX($Q143:$AJ143,1,(BE$4-1)*5+2)*INDEX($Q143:$AJ143,1,(BE$4-1)*5+3)</f>
        <v/>
      </c>
      <c r="BF143" s="22">
        <f>INDEX($Q143:$AJ143,1,(BF$4-1)*5+1)+BF$8*INDEX($Q143:$AJ143,1,(BF$4-1)*5+2)*INDEX($Q143:$AJ143,1,(BF$4-1)*5+3)</f>
        <v/>
      </c>
      <c r="BG143" s="22">
        <f>INDEX($Q143:$AJ143,1,(BG$4-1)*5+1)+BG$8*INDEX($Q143:$AJ143,1,(BG$4-1)*5+2)*INDEX($Q143:$AJ143,1,(BG$4-1)*5+3)</f>
        <v/>
      </c>
      <c r="BH143" s="22">
        <f>INDEX($Q143:$AJ143,1,(BH$4-1)*5+1)+BH$8*INDEX($Q143:$AJ143,1,(BH$4-1)*5+2)*INDEX($Q143:$AJ143,1,(BH$4-1)*5+3)</f>
        <v/>
      </c>
      <c r="BI143" s="22">
        <f>INDEX($Q143:$AJ143,1,(BI$4-1)*5+1)+BI$8*INDEX($Q143:$AJ143,1,(BI$4-1)*5+2)*INDEX($Q143:$AJ143,1,(BI$4-1)*5+3)</f>
        <v/>
      </c>
      <c r="BJ143" s="22">
        <f>INDEX($Q143:$AJ143,1,(BJ$4-1)*5+1)+BJ$8*INDEX($Q143:$AJ143,1,(BJ$4-1)*5+2)*INDEX($Q143:$AJ143,1,(BJ$4-1)*5+3)</f>
        <v/>
      </c>
      <c r="BK143" s="22">
        <f>INDEX($Q143:$AJ143,1,(BK$4-1)*5+1)+BK$8*INDEX($Q143:$AJ143,1,(BK$4-1)*5+2)*INDEX($Q143:$AJ143,1,(BK$4-1)*5+3)</f>
        <v/>
      </c>
      <c r="BL143" s="22">
        <f>INDEX($Q143:$AJ143,1,(BL$4-1)*5+1)+BL$8*INDEX($Q143:$AJ143,1,(BL$4-1)*5+2)*INDEX($Q143:$AJ143,1,(BL$4-1)*5+3)</f>
        <v/>
      </c>
      <c r="BM143" s="22">
        <f>INDEX($Q143:$AJ143,1,(BM$4-1)*5+1)+BM$8*INDEX($Q143:$AJ143,1,(BM$4-1)*5+2)*INDEX($Q143:$AJ143,1,(BM$4-1)*5+3)</f>
        <v/>
      </c>
      <c r="BN143" s="22">
        <f>INDEX($Q143:$AJ143,1,(BN$4-1)*5+1)+BN$8*INDEX($Q143:$AJ143,1,(BN$4-1)*5+2)*INDEX($Q143:$AJ143,1,(BN$4-1)*5+3)</f>
        <v/>
      </c>
    </row>
    <row r="144">
      <c r="B144" s="5" t="inlineStr">
        <is>
          <t>die</t>
        </is>
      </c>
      <c r="C144" s="5" t="inlineStr">
        <is>
          <t>rod</t>
        </is>
      </c>
      <c r="D144" s="5" t="inlineStr">
        <is>
          <t>Tax | Road | Diesel</t>
        </is>
      </c>
      <c r="E144" s="5" t="inlineStr">
        <is>
          <t>$/GJ</t>
        </is>
      </c>
      <c r="F144" s="5" t="inlineStr">
        <is>
          <t>Prices_dom, EF_GHG, Mapping</t>
        </is>
      </c>
      <c r="G144" s="19" t="inlineStr">
        <is>
          <t>mit.rp.die</t>
        </is>
      </c>
      <c r="H144" s="19" t="inlineStr">
        <is>
          <t>mit.tax.die.rod</t>
        </is>
      </c>
      <c r="J144" s="5">
        <f>INDEX(Mapping!$C$5:$C$20,MATCH($C144,Mapping!$A$5:$A$20,0))</f>
        <v/>
      </c>
      <c r="K144" s="5">
        <f>INDEX(Mapping!$D$5:$D$20,MATCH($C144,Mapping!$A$5:$A$20,0))</f>
        <v/>
      </c>
      <c r="L144" s="5">
        <f>INDEX(Mapping!$C$24:$C$31,MATCH($B144,Mapping!$A$24:$A$31,0))</f>
        <v/>
      </c>
      <c r="M144" s="5">
        <f>INDEX(Mapping!$D$24:$D$31,MATCH($B144,Mapping!$A$24:$A$31,0))</f>
        <v/>
      </c>
      <c r="N144" s="5">
        <f>$B144&amp;"."&amp;IF(INDEX(Mapping!$E$24:$E$31,MATCH($B144,Mapping!$A$24:$A$31,0))="sub",INDEX(Mapping!$F$5:$F$20,MATCH($C144,Mapping!$A$5:$A$20,0)),"all")</f>
        <v/>
      </c>
      <c r="O144" s="5">
        <f>INDEX(Mapping!$E$5:$E$20,MATCH($C144,Mapping!$A$5:$A$20,0))</f>
        <v/>
      </c>
      <c r="P144" s="5">
        <f>INDEX(Mapping!$G$24:$G$31,MATCH($B144,Mapping!$A$24:$A$31,0))</f>
        <v/>
      </c>
      <c r="Q144" s="22">
        <f>(INDEX(Prices_dom!$A$6:$CU$2000,MATCH(Settings!$C$4&amp;Settings!$C$7,Prices_dom!$A$6:$A$2000,0),MATCH("mit.rp."&amp;$N144,Prices_dom!$A$5:$CU$5,0))-INDEX(Prices_dom!$A$6:$CU$2000,MATCH(Settings!$C$4&amp;Settings!$C$7,Prices_dom!$A$6:$A$2000,0),MATCH("mit.sp."&amp;$N144,Prices_dom!$A$5:$CU$5,0)))/$P144</f>
        <v/>
      </c>
      <c r="R144" s="22">
        <f>INDEX(EF_GHG!$E$4:$E$1000,MATCH(Settings!$C$4&amp;"|"&amp;$B144&amp;"|"&amp;$O144,EF_GHG!$A$4:$A$1000,0))</f>
        <v/>
      </c>
      <c r="S144" s="22">
        <f>INDEX(Mapping!$G$5:$G$20,MATCH($C144,Mapping!$A$5:$A$20,0))</f>
        <v/>
      </c>
      <c r="T144" s="21" t="n"/>
      <c r="U144" s="21" t="n"/>
      <c r="V144" s="22">
        <f>Q144</f>
        <v/>
      </c>
      <c r="W144" s="22">
        <f>R144</f>
        <v/>
      </c>
      <c r="X144" s="22">
        <f>S144</f>
        <v/>
      </c>
      <c r="Y144" s="21" t="n"/>
      <c r="Z144" s="21" t="n"/>
      <c r="AA144" s="22">
        <f>Q144</f>
        <v/>
      </c>
      <c r="AB144" s="22">
        <f>R144</f>
        <v/>
      </c>
      <c r="AC144" s="22">
        <f>S144</f>
        <v/>
      </c>
      <c r="AD144" s="21" t="n"/>
      <c r="AE144" s="21" t="n"/>
      <c r="AF144" s="22">
        <f>Q144</f>
        <v/>
      </c>
      <c r="AG144" s="22">
        <f>R144</f>
        <v/>
      </c>
      <c r="AH144" s="22">
        <f>S144</f>
        <v/>
      </c>
      <c r="AI144" s="21" t="n"/>
      <c r="AJ144" s="21" t="n"/>
      <c r="AL144" s="23">
        <f>INDEX($Q144:$AJ144,1,(AL$4-1)*5+1)+AL$8*INDEX($Q144:$AJ144,1,(AL$4-1)*5+2)*INDEX($Q144:$AJ144,1,(AL$4-1)*5+3)</f>
        <v/>
      </c>
      <c r="AM144" s="22">
        <f>INDEX($Q144:$AJ144,1,(AM$4-1)*5+1)+AM$8*INDEX($Q144:$AJ144,1,(AM$4-1)*5+2)*INDEX($Q144:$AJ144,1,(AM$4-1)*5+3)</f>
        <v/>
      </c>
      <c r="AN144" s="22">
        <f>INDEX($Q144:$AJ144,1,(AN$4-1)*5+1)+AN$8*INDEX($Q144:$AJ144,1,(AN$4-1)*5+2)*INDEX($Q144:$AJ144,1,(AN$4-1)*5+3)</f>
        <v/>
      </c>
      <c r="AO144" s="22">
        <f>INDEX($Q144:$AJ144,1,(AO$4-1)*5+1)+AO$8*INDEX($Q144:$AJ144,1,(AO$4-1)*5+2)*INDEX($Q144:$AJ144,1,(AO$4-1)*5+3)</f>
        <v/>
      </c>
      <c r="AP144" s="22">
        <f>INDEX($Q144:$AJ144,1,(AP$4-1)*5+1)+AP$8*INDEX($Q144:$AJ144,1,(AP$4-1)*5+2)*INDEX($Q144:$AJ144,1,(AP$4-1)*5+3)</f>
        <v/>
      </c>
      <c r="AQ144" s="22">
        <f>INDEX($Q144:$AJ144,1,(AQ$4-1)*5+1)+AQ$8*INDEX($Q144:$AJ144,1,(AQ$4-1)*5+2)*INDEX($Q144:$AJ144,1,(AQ$4-1)*5+3)</f>
        <v/>
      </c>
      <c r="AR144" s="22">
        <f>INDEX($Q144:$AJ144,1,(AR$4-1)*5+1)+AR$8*INDEX($Q144:$AJ144,1,(AR$4-1)*5+2)*INDEX($Q144:$AJ144,1,(AR$4-1)*5+3)</f>
        <v/>
      </c>
      <c r="AS144" s="22">
        <f>INDEX($Q144:$AJ144,1,(AS$4-1)*5+1)+AS$8*INDEX($Q144:$AJ144,1,(AS$4-1)*5+2)*INDEX($Q144:$AJ144,1,(AS$4-1)*5+3)</f>
        <v/>
      </c>
      <c r="AT144" s="22">
        <f>INDEX($Q144:$AJ144,1,(AT$4-1)*5+1)+AT$8*INDEX($Q144:$AJ144,1,(AT$4-1)*5+2)*INDEX($Q144:$AJ144,1,(AT$4-1)*5+3)</f>
        <v/>
      </c>
      <c r="AU144" s="22">
        <f>INDEX($Q144:$AJ144,1,(AU$4-1)*5+1)+AU$8*INDEX($Q144:$AJ144,1,(AU$4-1)*5+2)*INDEX($Q144:$AJ144,1,(AU$4-1)*5+3)</f>
        <v/>
      </c>
      <c r="AV144" s="22">
        <f>INDEX($Q144:$AJ144,1,(AV$4-1)*5+1)+AV$8*INDEX($Q144:$AJ144,1,(AV$4-1)*5+2)*INDEX($Q144:$AJ144,1,(AV$4-1)*5+3)</f>
        <v/>
      </c>
      <c r="AW144" s="22">
        <f>INDEX($Q144:$AJ144,1,(AW$4-1)*5+1)+AW$8*INDEX($Q144:$AJ144,1,(AW$4-1)*5+2)*INDEX($Q144:$AJ144,1,(AW$4-1)*5+3)</f>
        <v/>
      </c>
      <c r="AX144" s="22">
        <f>INDEX($Q144:$AJ144,1,(AX$4-1)*5+1)+AX$8*INDEX($Q144:$AJ144,1,(AX$4-1)*5+2)*INDEX($Q144:$AJ144,1,(AX$4-1)*5+3)</f>
        <v/>
      </c>
      <c r="AY144" s="22">
        <f>INDEX($Q144:$AJ144,1,(AY$4-1)*5+1)+AY$8*INDEX($Q144:$AJ144,1,(AY$4-1)*5+2)*INDEX($Q144:$AJ144,1,(AY$4-1)*5+3)</f>
        <v/>
      </c>
      <c r="BA144" s="23">
        <f>INDEX($Q144:$AJ144,1,(BA$4-1)*5+1)+BA$8*INDEX($Q144:$AJ144,1,(BA$4-1)*5+2)*INDEX($Q144:$AJ144,1,(BA$4-1)*5+3)</f>
        <v/>
      </c>
      <c r="BB144" s="22">
        <f>INDEX($Q144:$AJ144,1,(BB$4-1)*5+1)+BB$8*INDEX($Q144:$AJ144,1,(BB$4-1)*5+2)*INDEX($Q144:$AJ144,1,(BB$4-1)*5+3)</f>
        <v/>
      </c>
      <c r="BC144" s="22">
        <f>INDEX($Q144:$AJ144,1,(BC$4-1)*5+1)+BC$8*INDEX($Q144:$AJ144,1,(BC$4-1)*5+2)*INDEX($Q144:$AJ144,1,(BC$4-1)*5+3)</f>
        <v/>
      </c>
      <c r="BD144" s="22">
        <f>INDEX($Q144:$AJ144,1,(BD$4-1)*5+1)+BD$8*INDEX($Q144:$AJ144,1,(BD$4-1)*5+2)*INDEX($Q144:$AJ144,1,(BD$4-1)*5+3)</f>
        <v/>
      </c>
      <c r="BE144" s="22">
        <f>INDEX($Q144:$AJ144,1,(BE$4-1)*5+1)+BE$8*INDEX($Q144:$AJ144,1,(BE$4-1)*5+2)*INDEX($Q144:$AJ144,1,(BE$4-1)*5+3)</f>
        <v/>
      </c>
      <c r="BF144" s="22">
        <f>INDEX($Q144:$AJ144,1,(BF$4-1)*5+1)+BF$8*INDEX($Q144:$AJ144,1,(BF$4-1)*5+2)*INDEX($Q144:$AJ144,1,(BF$4-1)*5+3)</f>
        <v/>
      </c>
      <c r="BG144" s="22">
        <f>INDEX($Q144:$AJ144,1,(BG$4-1)*5+1)+BG$8*INDEX($Q144:$AJ144,1,(BG$4-1)*5+2)*INDEX($Q144:$AJ144,1,(BG$4-1)*5+3)</f>
        <v/>
      </c>
      <c r="BH144" s="22">
        <f>INDEX($Q144:$AJ144,1,(BH$4-1)*5+1)+BH$8*INDEX($Q144:$AJ144,1,(BH$4-1)*5+2)*INDEX($Q144:$AJ144,1,(BH$4-1)*5+3)</f>
        <v/>
      </c>
      <c r="BI144" s="22">
        <f>INDEX($Q144:$AJ144,1,(BI$4-1)*5+1)+BI$8*INDEX($Q144:$AJ144,1,(BI$4-1)*5+2)*INDEX($Q144:$AJ144,1,(BI$4-1)*5+3)</f>
        <v/>
      </c>
      <c r="BJ144" s="22">
        <f>INDEX($Q144:$AJ144,1,(BJ$4-1)*5+1)+BJ$8*INDEX($Q144:$AJ144,1,(BJ$4-1)*5+2)*INDEX($Q144:$AJ144,1,(BJ$4-1)*5+3)</f>
        <v/>
      </c>
      <c r="BK144" s="22">
        <f>INDEX($Q144:$AJ144,1,(BK$4-1)*5+1)+BK$8*INDEX($Q144:$AJ144,1,(BK$4-1)*5+2)*INDEX($Q144:$AJ144,1,(BK$4-1)*5+3)</f>
        <v/>
      </c>
      <c r="BL144" s="22">
        <f>INDEX($Q144:$AJ144,1,(BL$4-1)*5+1)+BL$8*INDEX($Q144:$AJ144,1,(BL$4-1)*5+2)*INDEX($Q144:$AJ144,1,(BL$4-1)*5+3)</f>
        <v/>
      </c>
      <c r="BM144" s="22">
        <f>INDEX($Q144:$AJ144,1,(BM$4-1)*5+1)+BM$8*INDEX($Q144:$AJ144,1,(BM$4-1)*5+2)*INDEX($Q144:$AJ144,1,(BM$4-1)*5+3)</f>
        <v/>
      </c>
      <c r="BN144" s="22">
        <f>INDEX($Q144:$AJ144,1,(BN$4-1)*5+1)+BN$8*INDEX($Q144:$AJ144,1,(BN$4-1)*5+2)*INDEX($Q144:$AJ144,1,(BN$4-1)*5+3)</f>
        <v/>
      </c>
    </row>
    <row r="145">
      <c r="B145" s="5" t="inlineStr">
        <is>
          <t>lpg</t>
        </is>
      </c>
      <c r="C145" s="5" t="inlineStr">
        <is>
          <t>rod</t>
        </is>
      </c>
      <c r="D145" s="5" t="inlineStr">
        <is>
          <t>Tax | Road | LPG</t>
        </is>
      </c>
      <c r="E145" s="5" t="inlineStr">
        <is>
          <t>$/GJ</t>
        </is>
      </c>
      <c r="F145" s="5" t="inlineStr">
        <is>
          <t>Prices_dom, EF_GHG, Mapping</t>
        </is>
      </c>
      <c r="G145" s="19" t="inlineStr">
        <is>
          <t>mit.rp.lpg</t>
        </is>
      </c>
      <c r="H145" s="19" t="inlineStr">
        <is>
          <t>mit.tax.lpg.rod</t>
        </is>
      </c>
      <c r="J145" s="5">
        <f>INDEX(Mapping!$C$5:$C$20,MATCH($C145,Mapping!$A$5:$A$20,0))</f>
        <v/>
      </c>
      <c r="K145" s="5">
        <f>INDEX(Mapping!$D$5:$D$20,MATCH($C145,Mapping!$A$5:$A$20,0))</f>
        <v/>
      </c>
      <c r="L145" s="5">
        <f>INDEX(Mapping!$C$24:$C$31,MATCH($B145,Mapping!$A$24:$A$31,0))</f>
        <v/>
      </c>
      <c r="M145" s="5">
        <f>INDEX(Mapping!$D$24:$D$31,MATCH($B145,Mapping!$A$24:$A$31,0))</f>
        <v/>
      </c>
      <c r="N145" s="5">
        <f>$B145&amp;"."&amp;IF(INDEX(Mapping!$E$24:$E$31,MATCH($B145,Mapping!$A$24:$A$31,0))="sub",INDEX(Mapping!$F$5:$F$20,MATCH($C145,Mapping!$A$5:$A$20,0)),"all")</f>
        <v/>
      </c>
      <c r="O145" s="5">
        <f>INDEX(Mapping!$E$5:$E$20,MATCH($C145,Mapping!$A$5:$A$20,0))</f>
        <v/>
      </c>
      <c r="P145" s="5">
        <f>INDEX(Mapping!$G$24:$G$31,MATCH($B145,Mapping!$A$24:$A$31,0))</f>
        <v/>
      </c>
      <c r="Q145" s="22">
        <f>(INDEX(Prices_dom!$A$6:$CU$2000,MATCH(Settings!$C$4&amp;Settings!$C$7,Prices_dom!$A$6:$A$2000,0),MATCH("mit.rp."&amp;$N145,Prices_dom!$A$5:$CU$5,0))-INDEX(Prices_dom!$A$6:$CU$2000,MATCH(Settings!$C$4&amp;Settings!$C$7,Prices_dom!$A$6:$A$2000,0),MATCH("mit.sp."&amp;$N145,Prices_dom!$A$5:$CU$5,0)))/$P145</f>
        <v/>
      </c>
      <c r="R145" s="22">
        <f>INDEX(EF_GHG!$E$4:$E$1000,MATCH(Settings!$C$4&amp;"|"&amp;$B145&amp;"|"&amp;$O145,EF_GHG!$A$4:$A$1000,0))</f>
        <v/>
      </c>
      <c r="S145" s="22">
        <f>INDEX(Mapping!$G$5:$G$20,MATCH($C145,Mapping!$A$5:$A$20,0))</f>
        <v/>
      </c>
      <c r="T145" s="21" t="n"/>
      <c r="U145" s="21" t="n"/>
      <c r="V145" s="22">
        <f>Q145</f>
        <v/>
      </c>
      <c r="W145" s="22">
        <f>R145</f>
        <v/>
      </c>
      <c r="X145" s="22">
        <f>S145</f>
        <v/>
      </c>
      <c r="Y145" s="21" t="n"/>
      <c r="Z145" s="21" t="n"/>
      <c r="AA145" s="22">
        <f>Q145</f>
        <v/>
      </c>
      <c r="AB145" s="22">
        <f>R145</f>
        <v/>
      </c>
      <c r="AC145" s="22">
        <f>S145</f>
        <v/>
      </c>
      <c r="AD145" s="21" t="n"/>
      <c r="AE145" s="21" t="n"/>
      <c r="AF145" s="22">
        <f>Q145</f>
        <v/>
      </c>
      <c r="AG145" s="22">
        <f>R145</f>
        <v/>
      </c>
      <c r="AH145" s="22">
        <f>S145</f>
        <v/>
      </c>
      <c r="AI145" s="21" t="n"/>
      <c r="AJ145" s="21" t="n"/>
      <c r="AL145" s="23">
        <f>INDEX($Q145:$AJ145,1,(AL$4-1)*5+1)+AL$8*INDEX($Q145:$AJ145,1,(AL$4-1)*5+2)*INDEX($Q145:$AJ145,1,(AL$4-1)*5+3)</f>
        <v/>
      </c>
      <c r="AM145" s="22">
        <f>INDEX($Q145:$AJ145,1,(AM$4-1)*5+1)+AM$8*INDEX($Q145:$AJ145,1,(AM$4-1)*5+2)*INDEX($Q145:$AJ145,1,(AM$4-1)*5+3)</f>
        <v/>
      </c>
      <c r="AN145" s="22">
        <f>INDEX($Q145:$AJ145,1,(AN$4-1)*5+1)+AN$8*INDEX($Q145:$AJ145,1,(AN$4-1)*5+2)*INDEX($Q145:$AJ145,1,(AN$4-1)*5+3)</f>
        <v/>
      </c>
      <c r="AO145" s="22">
        <f>INDEX($Q145:$AJ145,1,(AO$4-1)*5+1)+AO$8*INDEX($Q145:$AJ145,1,(AO$4-1)*5+2)*INDEX($Q145:$AJ145,1,(AO$4-1)*5+3)</f>
        <v/>
      </c>
      <c r="AP145" s="22">
        <f>INDEX($Q145:$AJ145,1,(AP$4-1)*5+1)+AP$8*INDEX($Q145:$AJ145,1,(AP$4-1)*5+2)*INDEX($Q145:$AJ145,1,(AP$4-1)*5+3)</f>
        <v/>
      </c>
      <c r="AQ145" s="22">
        <f>INDEX($Q145:$AJ145,1,(AQ$4-1)*5+1)+AQ$8*INDEX($Q145:$AJ145,1,(AQ$4-1)*5+2)*INDEX($Q145:$AJ145,1,(AQ$4-1)*5+3)</f>
        <v/>
      </c>
      <c r="AR145" s="22">
        <f>INDEX($Q145:$AJ145,1,(AR$4-1)*5+1)+AR$8*INDEX($Q145:$AJ145,1,(AR$4-1)*5+2)*INDEX($Q145:$AJ145,1,(AR$4-1)*5+3)</f>
        <v/>
      </c>
      <c r="AS145" s="22">
        <f>INDEX($Q145:$AJ145,1,(AS$4-1)*5+1)+AS$8*INDEX($Q145:$AJ145,1,(AS$4-1)*5+2)*INDEX($Q145:$AJ145,1,(AS$4-1)*5+3)</f>
        <v/>
      </c>
      <c r="AT145" s="22">
        <f>INDEX($Q145:$AJ145,1,(AT$4-1)*5+1)+AT$8*INDEX($Q145:$AJ145,1,(AT$4-1)*5+2)*INDEX($Q145:$AJ145,1,(AT$4-1)*5+3)</f>
        <v/>
      </c>
      <c r="AU145" s="22">
        <f>INDEX($Q145:$AJ145,1,(AU$4-1)*5+1)+AU$8*INDEX($Q145:$AJ145,1,(AU$4-1)*5+2)*INDEX($Q145:$AJ145,1,(AU$4-1)*5+3)</f>
        <v/>
      </c>
      <c r="AV145" s="22">
        <f>INDEX($Q145:$AJ145,1,(AV$4-1)*5+1)+AV$8*INDEX($Q145:$AJ145,1,(AV$4-1)*5+2)*INDEX($Q145:$AJ145,1,(AV$4-1)*5+3)</f>
        <v/>
      </c>
      <c r="AW145" s="22">
        <f>INDEX($Q145:$AJ145,1,(AW$4-1)*5+1)+AW$8*INDEX($Q145:$AJ145,1,(AW$4-1)*5+2)*INDEX($Q145:$AJ145,1,(AW$4-1)*5+3)</f>
        <v/>
      </c>
      <c r="AX145" s="22">
        <f>INDEX($Q145:$AJ145,1,(AX$4-1)*5+1)+AX$8*INDEX($Q145:$AJ145,1,(AX$4-1)*5+2)*INDEX($Q145:$AJ145,1,(AX$4-1)*5+3)</f>
        <v/>
      </c>
      <c r="AY145" s="22">
        <f>INDEX($Q145:$AJ145,1,(AY$4-1)*5+1)+AY$8*INDEX($Q145:$AJ145,1,(AY$4-1)*5+2)*INDEX($Q145:$AJ145,1,(AY$4-1)*5+3)</f>
        <v/>
      </c>
      <c r="BA145" s="23">
        <f>INDEX($Q145:$AJ145,1,(BA$4-1)*5+1)+BA$8*INDEX($Q145:$AJ145,1,(BA$4-1)*5+2)*INDEX($Q145:$AJ145,1,(BA$4-1)*5+3)</f>
        <v/>
      </c>
      <c r="BB145" s="22">
        <f>INDEX($Q145:$AJ145,1,(BB$4-1)*5+1)+BB$8*INDEX($Q145:$AJ145,1,(BB$4-1)*5+2)*INDEX($Q145:$AJ145,1,(BB$4-1)*5+3)</f>
        <v/>
      </c>
      <c r="BC145" s="22">
        <f>INDEX($Q145:$AJ145,1,(BC$4-1)*5+1)+BC$8*INDEX($Q145:$AJ145,1,(BC$4-1)*5+2)*INDEX($Q145:$AJ145,1,(BC$4-1)*5+3)</f>
        <v/>
      </c>
      <c r="BD145" s="22">
        <f>INDEX($Q145:$AJ145,1,(BD$4-1)*5+1)+BD$8*INDEX($Q145:$AJ145,1,(BD$4-1)*5+2)*INDEX($Q145:$AJ145,1,(BD$4-1)*5+3)</f>
        <v/>
      </c>
      <c r="BE145" s="22">
        <f>INDEX($Q145:$AJ145,1,(BE$4-1)*5+1)+BE$8*INDEX($Q145:$AJ145,1,(BE$4-1)*5+2)*INDEX($Q145:$AJ145,1,(BE$4-1)*5+3)</f>
        <v/>
      </c>
      <c r="BF145" s="22">
        <f>INDEX($Q145:$AJ145,1,(BF$4-1)*5+1)+BF$8*INDEX($Q145:$AJ145,1,(BF$4-1)*5+2)*INDEX($Q145:$AJ145,1,(BF$4-1)*5+3)</f>
        <v/>
      </c>
      <c r="BG145" s="22">
        <f>INDEX($Q145:$AJ145,1,(BG$4-1)*5+1)+BG$8*INDEX($Q145:$AJ145,1,(BG$4-1)*5+2)*INDEX($Q145:$AJ145,1,(BG$4-1)*5+3)</f>
        <v/>
      </c>
      <c r="BH145" s="22">
        <f>INDEX($Q145:$AJ145,1,(BH$4-1)*5+1)+BH$8*INDEX($Q145:$AJ145,1,(BH$4-1)*5+2)*INDEX($Q145:$AJ145,1,(BH$4-1)*5+3)</f>
        <v/>
      </c>
      <c r="BI145" s="22">
        <f>INDEX($Q145:$AJ145,1,(BI$4-1)*5+1)+BI$8*INDEX($Q145:$AJ145,1,(BI$4-1)*5+2)*INDEX($Q145:$AJ145,1,(BI$4-1)*5+3)</f>
        <v/>
      </c>
      <c r="BJ145" s="22">
        <f>INDEX($Q145:$AJ145,1,(BJ$4-1)*5+1)+BJ$8*INDEX($Q145:$AJ145,1,(BJ$4-1)*5+2)*INDEX($Q145:$AJ145,1,(BJ$4-1)*5+3)</f>
        <v/>
      </c>
      <c r="BK145" s="22">
        <f>INDEX($Q145:$AJ145,1,(BK$4-1)*5+1)+BK$8*INDEX($Q145:$AJ145,1,(BK$4-1)*5+2)*INDEX($Q145:$AJ145,1,(BK$4-1)*5+3)</f>
        <v/>
      </c>
      <c r="BL145" s="22">
        <f>INDEX($Q145:$AJ145,1,(BL$4-1)*5+1)+BL$8*INDEX($Q145:$AJ145,1,(BL$4-1)*5+2)*INDEX($Q145:$AJ145,1,(BL$4-1)*5+3)</f>
        <v/>
      </c>
      <c r="BM145" s="22">
        <f>INDEX($Q145:$AJ145,1,(BM$4-1)*5+1)+BM$8*INDEX($Q145:$AJ145,1,(BM$4-1)*5+2)*INDEX($Q145:$AJ145,1,(BM$4-1)*5+3)</f>
        <v/>
      </c>
      <c r="BN145" s="22">
        <f>INDEX($Q145:$AJ145,1,(BN$4-1)*5+1)+BN$8*INDEX($Q145:$AJ145,1,(BN$4-1)*5+2)*INDEX($Q145:$AJ145,1,(BN$4-1)*5+3)</f>
        <v/>
      </c>
    </row>
    <row r="146">
      <c r="B146" s="5" t="inlineStr">
        <is>
          <t>ker</t>
        </is>
      </c>
      <c r="C146" s="5" t="inlineStr">
        <is>
          <t>rod</t>
        </is>
      </c>
      <c r="D146" s="5" t="inlineStr">
        <is>
          <t>Tax | Road | Kerosene</t>
        </is>
      </c>
      <c r="E146" s="5" t="inlineStr">
        <is>
          <t>$/GJ</t>
        </is>
      </c>
      <c r="F146" s="5" t="inlineStr">
        <is>
          <t>Prices_dom, EF_GHG, Mapping</t>
        </is>
      </c>
      <c r="G146" s="19" t="inlineStr">
        <is>
          <t>mit.rp.ker</t>
        </is>
      </c>
      <c r="H146" s="19" t="inlineStr">
        <is>
          <t>mit.tax.ker.rod</t>
        </is>
      </c>
      <c r="J146" s="5">
        <f>INDEX(Mapping!$C$5:$C$20,MATCH($C146,Mapping!$A$5:$A$20,0))</f>
        <v/>
      </c>
      <c r="K146" s="5">
        <f>INDEX(Mapping!$D$5:$D$20,MATCH($C146,Mapping!$A$5:$A$20,0))</f>
        <v/>
      </c>
      <c r="L146" s="5">
        <f>INDEX(Mapping!$C$24:$C$31,MATCH($B146,Mapping!$A$24:$A$31,0))</f>
        <v/>
      </c>
      <c r="M146" s="5">
        <f>INDEX(Mapping!$D$24:$D$31,MATCH($B146,Mapping!$A$24:$A$31,0))</f>
        <v/>
      </c>
      <c r="N146" s="5">
        <f>$B146&amp;"."&amp;IF(INDEX(Mapping!$E$24:$E$31,MATCH($B146,Mapping!$A$24:$A$31,0))="sub",INDEX(Mapping!$F$5:$F$20,MATCH($C146,Mapping!$A$5:$A$20,0)),"all")</f>
        <v/>
      </c>
      <c r="O146" s="5">
        <f>INDEX(Mapping!$E$5:$E$20,MATCH($C146,Mapping!$A$5:$A$20,0))</f>
        <v/>
      </c>
      <c r="P146" s="5">
        <f>INDEX(Mapping!$G$24:$G$31,MATCH($B146,Mapping!$A$24:$A$31,0))</f>
        <v/>
      </c>
      <c r="Q146" s="22">
        <f>(INDEX(Prices_dom!$A$6:$CU$2000,MATCH(Settings!$C$4&amp;Settings!$C$7,Prices_dom!$A$6:$A$2000,0),MATCH("mit.rp."&amp;$N146,Prices_dom!$A$5:$CU$5,0))-INDEX(Prices_dom!$A$6:$CU$2000,MATCH(Settings!$C$4&amp;Settings!$C$7,Prices_dom!$A$6:$A$2000,0),MATCH("mit.sp."&amp;$N146,Prices_dom!$A$5:$CU$5,0)))/$P146</f>
        <v/>
      </c>
      <c r="R146" s="22">
        <f>INDEX(EF_GHG!$E$4:$E$1000,MATCH(Settings!$C$4&amp;"|"&amp;$B146&amp;"|"&amp;$O146,EF_GHG!$A$4:$A$1000,0))</f>
        <v/>
      </c>
      <c r="S146" s="22">
        <f>INDEX(Mapping!$G$5:$G$20,MATCH($C146,Mapping!$A$5:$A$20,0))</f>
        <v/>
      </c>
      <c r="T146" s="21" t="n"/>
      <c r="U146" s="21" t="n"/>
      <c r="V146" s="22">
        <f>Q146</f>
        <v/>
      </c>
      <c r="W146" s="22">
        <f>R146</f>
        <v/>
      </c>
      <c r="X146" s="22">
        <f>S146</f>
        <v/>
      </c>
      <c r="Y146" s="21" t="n"/>
      <c r="Z146" s="21" t="n"/>
      <c r="AA146" s="22">
        <f>Q146</f>
        <v/>
      </c>
      <c r="AB146" s="22">
        <f>R146</f>
        <v/>
      </c>
      <c r="AC146" s="22">
        <f>S146</f>
        <v/>
      </c>
      <c r="AD146" s="21" t="n"/>
      <c r="AE146" s="21" t="n"/>
      <c r="AF146" s="22">
        <f>Q146</f>
        <v/>
      </c>
      <c r="AG146" s="22">
        <f>R146</f>
        <v/>
      </c>
      <c r="AH146" s="22">
        <f>S146</f>
        <v/>
      </c>
      <c r="AI146" s="21" t="n"/>
      <c r="AJ146" s="21" t="n"/>
      <c r="AL146" s="23">
        <f>INDEX($Q146:$AJ146,1,(AL$4-1)*5+1)+AL$8*INDEX($Q146:$AJ146,1,(AL$4-1)*5+2)*INDEX($Q146:$AJ146,1,(AL$4-1)*5+3)</f>
        <v/>
      </c>
      <c r="AM146" s="22">
        <f>INDEX($Q146:$AJ146,1,(AM$4-1)*5+1)+AM$8*INDEX($Q146:$AJ146,1,(AM$4-1)*5+2)*INDEX($Q146:$AJ146,1,(AM$4-1)*5+3)</f>
        <v/>
      </c>
      <c r="AN146" s="22">
        <f>INDEX($Q146:$AJ146,1,(AN$4-1)*5+1)+AN$8*INDEX($Q146:$AJ146,1,(AN$4-1)*5+2)*INDEX($Q146:$AJ146,1,(AN$4-1)*5+3)</f>
        <v/>
      </c>
      <c r="AO146" s="22">
        <f>INDEX($Q146:$AJ146,1,(AO$4-1)*5+1)+AO$8*INDEX($Q146:$AJ146,1,(AO$4-1)*5+2)*INDEX($Q146:$AJ146,1,(AO$4-1)*5+3)</f>
        <v/>
      </c>
      <c r="AP146" s="22">
        <f>INDEX($Q146:$AJ146,1,(AP$4-1)*5+1)+AP$8*INDEX($Q146:$AJ146,1,(AP$4-1)*5+2)*INDEX($Q146:$AJ146,1,(AP$4-1)*5+3)</f>
        <v/>
      </c>
      <c r="AQ146" s="22">
        <f>INDEX($Q146:$AJ146,1,(AQ$4-1)*5+1)+AQ$8*INDEX($Q146:$AJ146,1,(AQ$4-1)*5+2)*INDEX($Q146:$AJ146,1,(AQ$4-1)*5+3)</f>
        <v/>
      </c>
      <c r="AR146" s="22">
        <f>INDEX($Q146:$AJ146,1,(AR$4-1)*5+1)+AR$8*INDEX($Q146:$AJ146,1,(AR$4-1)*5+2)*INDEX($Q146:$AJ146,1,(AR$4-1)*5+3)</f>
        <v/>
      </c>
      <c r="AS146" s="22">
        <f>INDEX($Q146:$AJ146,1,(AS$4-1)*5+1)+AS$8*INDEX($Q146:$AJ146,1,(AS$4-1)*5+2)*INDEX($Q146:$AJ146,1,(AS$4-1)*5+3)</f>
        <v/>
      </c>
      <c r="AT146" s="22">
        <f>INDEX($Q146:$AJ146,1,(AT$4-1)*5+1)+AT$8*INDEX($Q146:$AJ146,1,(AT$4-1)*5+2)*INDEX($Q146:$AJ146,1,(AT$4-1)*5+3)</f>
        <v/>
      </c>
      <c r="AU146" s="22">
        <f>INDEX($Q146:$AJ146,1,(AU$4-1)*5+1)+AU$8*INDEX($Q146:$AJ146,1,(AU$4-1)*5+2)*INDEX($Q146:$AJ146,1,(AU$4-1)*5+3)</f>
        <v/>
      </c>
      <c r="AV146" s="22">
        <f>INDEX($Q146:$AJ146,1,(AV$4-1)*5+1)+AV$8*INDEX($Q146:$AJ146,1,(AV$4-1)*5+2)*INDEX($Q146:$AJ146,1,(AV$4-1)*5+3)</f>
        <v/>
      </c>
      <c r="AW146" s="22">
        <f>INDEX($Q146:$AJ146,1,(AW$4-1)*5+1)+AW$8*INDEX($Q146:$AJ146,1,(AW$4-1)*5+2)*INDEX($Q146:$AJ146,1,(AW$4-1)*5+3)</f>
        <v/>
      </c>
      <c r="AX146" s="22">
        <f>INDEX($Q146:$AJ146,1,(AX$4-1)*5+1)+AX$8*INDEX($Q146:$AJ146,1,(AX$4-1)*5+2)*INDEX($Q146:$AJ146,1,(AX$4-1)*5+3)</f>
        <v/>
      </c>
      <c r="AY146" s="22">
        <f>INDEX($Q146:$AJ146,1,(AY$4-1)*5+1)+AY$8*INDEX($Q146:$AJ146,1,(AY$4-1)*5+2)*INDEX($Q146:$AJ146,1,(AY$4-1)*5+3)</f>
        <v/>
      </c>
      <c r="BA146" s="23">
        <f>INDEX($Q146:$AJ146,1,(BA$4-1)*5+1)+BA$8*INDEX($Q146:$AJ146,1,(BA$4-1)*5+2)*INDEX($Q146:$AJ146,1,(BA$4-1)*5+3)</f>
        <v/>
      </c>
      <c r="BB146" s="22">
        <f>INDEX($Q146:$AJ146,1,(BB$4-1)*5+1)+BB$8*INDEX($Q146:$AJ146,1,(BB$4-1)*5+2)*INDEX($Q146:$AJ146,1,(BB$4-1)*5+3)</f>
        <v/>
      </c>
      <c r="BC146" s="22">
        <f>INDEX($Q146:$AJ146,1,(BC$4-1)*5+1)+BC$8*INDEX($Q146:$AJ146,1,(BC$4-1)*5+2)*INDEX($Q146:$AJ146,1,(BC$4-1)*5+3)</f>
        <v/>
      </c>
      <c r="BD146" s="22">
        <f>INDEX($Q146:$AJ146,1,(BD$4-1)*5+1)+BD$8*INDEX($Q146:$AJ146,1,(BD$4-1)*5+2)*INDEX($Q146:$AJ146,1,(BD$4-1)*5+3)</f>
        <v/>
      </c>
      <c r="BE146" s="22">
        <f>INDEX($Q146:$AJ146,1,(BE$4-1)*5+1)+BE$8*INDEX($Q146:$AJ146,1,(BE$4-1)*5+2)*INDEX($Q146:$AJ146,1,(BE$4-1)*5+3)</f>
        <v/>
      </c>
      <c r="BF146" s="22">
        <f>INDEX($Q146:$AJ146,1,(BF$4-1)*5+1)+BF$8*INDEX($Q146:$AJ146,1,(BF$4-1)*5+2)*INDEX($Q146:$AJ146,1,(BF$4-1)*5+3)</f>
        <v/>
      </c>
      <c r="BG146" s="22">
        <f>INDEX($Q146:$AJ146,1,(BG$4-1)*5+1)+BG$8*INDEX($Q146:$AJ146,1,(BG$4-1)*5+2)*INDEX($Q146:$AJ146,1,(BG$4-1)*5+3)</f>
        <v/>
      </c>
      <c r="BH146" s="22">
        <f>INDEX($Q146:$AJ146,1,(BH$4-1)*5+1)+BH$8*INDEX($Q146:$AJ146,1,(BH$4-1)*5+2)*INDEX($Q146:$AJ146,1,(BH$4-1)*5+3)</f>
        <v/>
      </c>
      <c r="BI146" s="22">
        <f>INDEX($Q146:$AJ146,1,(BI$4-1)*5+1)+BI$8*INDEX($Q146:$AJ146,1,(BI$4-1)*5+2)*INDEX($Q146:$AJ146,1,(BI$4-1)*5+3)</f>
        <v/>
      </c>
      <c r="BJ146" s="22">
        <f>INDEX($Q146:$AJ146,1,(BJ$4-1)*5+1)+BJ$8*INDEX($Q146:$AJ146,1,(BJ$4-1)*5+2)*INDEX($Q146:$AJ146,1,(BJ$4-1)*5+3)</f>
        <v/>
      </c>
      <c r="BK146" s="22">
        <f>INDEX($Q146:$AJ146,1,(BK$4-1)*5+1)+BK$8*INDEX($Q146:$AJ146,1,(BK$4-1)*5+2)*INDEX($Q146:$AJ146,1,(BK$4-1)*5+3)</f>
        <v/>
      </c>
      <c r="BL146" s="22">
        <f>INDEX($Q146:$AJ146,1,(BL$4-1)*5+1)+BL$8*INDEX($Q146:$AJ146,1,(BL$4-1)*5+2)*INDEX($Q146:$AJ146,1,(BL$4-1)*5+3)</f>
        <v/>
      </c>
      <c r="BM146" s="22">
        <f>INDEX($Q146:$AJ146,1,(BM$4-1)*5+1)+BM$8*INDEX($Q146:$AJ146,1,(BM$4-1)*5+2)*INDEX($Q146:$AJ146,1,(BM$4-1)*5+3)</f>
        <v/>
      </c>
      <c r="BN146" s="22">
        <f>INDEX($Q146:$AJ146,1,(BN$4-1)*5+1)+BN$8*INDEX($Q146:$AJ146,1,(BN$4-1)*5+2)*INDEX($Q146:$AJ146,1,(BN$4-1)*5+3)</f>
        <v/>
      </c>
    </row>
    <row r="147">
      <c r="B147" s="5" t="inlineStr">
        <is>
          <t>oop</t>
        </is>
      </c>
      <c r="C147" s="5" t="inlineStr">
        <is>
          <t>rod</t>
        </is>
      </c>
      <c r="D147" s="5" t="inlineStr">
        <is>
          <t>Tax | Road | Other oil products</t>
        </is>
      </c>
      <c r="E147" s="5" t="inlineStr">
        <is>
          <t>$/GJ</t>
        </is>
      </c>
      <c r="F147" s="5" t="inlineStr">
        <is>
          <t>Prices_dom, EF_GHG, Mapping</t>
        </is>
      </c>
      <c r="G147" s="19" t="inlineStr">
        <is>
          <t>mit.rp.oop</t>
        </is>
      </c>
      <c r="H147" s="19" t="inlineStr">
        <is>
          <t>mit.tax.oop.rod</t>
        </is>
      </c>
      <c r="J147" s="5">
        <f>INDEX(Mapping!$C$5:$C$20,MATCH($C147,Mapping!$A$5:$A$20,0))</f>
        <v/>
      </c>
      <c r="K147" s="5">
        <f>INDEX(Mapping!$D$5:$D$20,MATCH($C147,Mapping!$A$5:$A$20,0))</f>
        <v/>
      </c>
      <c r="L147" s="5">
        <f>INDEX(Mapping!$C$24:$C$31,MATCH($B147,Mapping!$A$24:$A$31,0))</f>
        <v/>
      </c>
      <c r="M147" s="5">
        <f>INDEX(Mapping!$D$24:$D$31,MATCH($B147,Mapping!$A$24:$A$31,0))</f>
        <v/>
      </c>
      <c r="N147" s="5">
        <f>$B147&amp;"."&amp;IF(INDEX(Mapping!$E$24:$E$31,MATCH($B147,Mapping!$A$24:$A$31,0))="sub",INDEX(Mapping!$F$5:$F$20,MATCH($C147,Mapping!$A$5:$A$20,0)),"all")</f>
        <v/>
      </c>
      <c r="O147" s="5">
        <f>INDEX(Mapping!$E$5:$E$20,MATCH($C147,Mapping!$A$5:$A$20,0))</f>
        <v/>
      </c>
      <c r="P147" s="5">
        <f>INDEX(Mapping!$G$24:$G$31,MATCH($B147,Mapping!$A$24:$A$31,0))</f>
        <v/>
      </c>
      <c r="Q147" s="22">
        <f>(INDEX(Prices_dom!$A$6:$CU$2000,MATCH(Settings!$C$4&amp;Settings!$C$7,Prices_dom!$A$6:$A$2000,0),MATCH("mit.rp."&amp;$N147,Prices_dom!$A$5:$CU$5,0))-INDEX(Prices_dom!$A$6:$CU$2000,MATCH(Settings!$C$4&amp;Settings!$C$7,Prices_dom!$A$6:$A$2000,0),MATCH("mit.sp."&amp;$N147,Prices_dom!$A$5:$CU$5,0)))/$P147</f>
        <v/>
      </c>
      <c r="R147" s="22">
        <f>INDEX(EF_GHG!$E$4:$E$1000,MATCH(Settings!$C$4&amp;"|"&amp;$B147&amp;"|"&amp;$O147,EF_GHG!$A$4:$A$1000,0))</f>
        <v/>
      </c>
      <c r="S147" s="22">
        <f>INDEX(Mapping!$G$5:$G$20,MATCH($C147,Mapping!$A$5:$A$20,0))</f>
        <v/>
      </c>
      <c r="T147" s="21" t="n"/>
      <c r="U147" s="21" t="n"/>
      <c r="V147" s="22">
        <f>Q147</f>
        <v/>
      </c>
      <c r="W147" s="22">
        <f>R147</f>
        <v/>
      </c>
      <c r="X147" s="22">
        <f>S147</f>
        <v/>
      </c>
      <c r="Y147" s="21" t="n"/>
      <c r="Z147" s="21" t="n"/>
      <c r="AA147" s="22">
        <f>Q147</f>
        <v/>
      </c>
      <c r="AB147" s="22">
        <f>R147</f>
        <v/>
      </c>
      <c r="AC147" s="22">
        <f>S147</f>
        <v/>
      </c>
      <c r="AD147" s="21" t="n"/>
      <c r="AE147" s="21" t="n"/>
      <c r="AF147" s="22">
        <f>Q147</f>
        <v/>
      </c>
      <c r="AG147" s="22">
        <f>R147</f>
        <v/>
      </c>
      <c r="AH147" s="22">
        <f>S147</f>
        <v/>
      </c>
      <c r="AI147" s="21" t="n"/>
      <c r="AJ147" s="21" t="n"/>
      <c r="AL147" s="23">
        <f>INDEX($Q147:$AJ147,1,(AL$4-1)*5+1)+AL$8*INDEX($Q147:$AJ147,1,(AL$4-1)*5+2)*INDEX($Q147:$AJ147,1,(AL$4-1)*5+3)</f>
        <v/>
      </c>
      <c r="AM147" s="22">
        <f>INDEX($Q147:$AJ147,1,(AM$4-1)*5+1)+AM$8*INDEX($Q147:$AJ147,1,(AM$4-1)*5+2)*INDEX($Q147:$AJ147,1,(AM$4-1)*5+3)</f>
        <v/>
      </c>
      <c r="AN147" s="22">
        <f>INDEX($Q147:$AJ147,1,(AN$4-1)*5+1)+AN$8*INDEX($Q147:$AJ147,1,(AN$4-1)*5+2)*INDEX($Q147:$AJ147,1,(AN$4-1)*5+3)</f>
        <v/>
      </c>
      <c r="AO147" s="22">
        <f>INDEX($Q147:$AJ147,1,(AO$4-1)*5+1)+AO$8*INDEX($Q147:$AJ147,1,(AO$4-1)*5+2)*INDEX($Q147:$AJ147,1,(AO$4-1)*5+3)</f>
        <v/>
      </c>
      <c r="AP147" s="22">
        <f>INDEX($Q147:$AJ147,1,(AP$4-1)*5+1)+AP$8*INDEX($Q147:$AJ147,1,(AP$4-1)*5+2)*INDEX($Q147:$AJ147,1,(AP$4-1)*5+3)</f>
        <v/>
      </c>
      <c r="AQ147" s="22">
        <f>INDEX($Q147:$AJ147,1,(AQ$4-1)*5+1)+AQ$8*INDEX($Q147:$AJ147,1,(AQ$4-1)*5+2)*INDEX($Q147:$AJ147,1,(AQ$4-1)*5+3)</f>
        <v/>
      </c>
      <c r="AR147" s="22">
        <f>INDEX($Q147:$AJ147,1,(AR$4-1)*5+1)+AR$8*INDEX($Q147:$AJ147,1,(AR$4-1)*5+2)*INDEX($Q147:$AJ147,1,(AR$4-1)*5+3)</f>
        <v/>
      </c>
      <c r="AS147" s="22">
        <f>INDEX($Q147:$AJ147,1,(AS$4-1)*5+1)+AS$8*INDEX($Q147:$AJ147,1,(AS$4-1)*5+2)*INDEX($Q147:$AJ147,1,(AS$4-1)*5+3)</f>
        <v/>
      </c>
      <c r="AT147" s="22">
        <f>INDEX($Q147:$AJ147,1,(AT$4-1)*5+1)+AT$8*INDEX($Q147:$AJ147,1,(AT$4-1)*5+2)*INDEX($Q147:$AJ147,1,(AT$4-1)*5+3)</f>
        <v/>
      </c>
      <c r="AU147" s="22">
        <f>INDEX($Q147:$AJ147,1,(AU$4-1)*5+1)+AU$8*INDEX($Q147:$AJ147,1,(AU$4-1)*5+2)*INDEX($Q147:$AJ147,1,(AU$4-1)*5+3)</f>
        <v/>
      </c>
      <c r="AV147" s="22">
        <f>INDEX($Q147:$AJ147,1,(AV$4-1)*5+1)+AV$8*INDEX($Q147:$AJ147,1,(AV$4-1)*5+2)*INDEX($Q147:$AJ147,1,(AV$4-1)*5+3)</f>
        <v/>
      </c>
      <c r="AW147" s="22">
        <f>INDEX($Q147:$AJ147,1,(AW$4-1)*5+1)+AW$8*INDEX($Q147:$AJ147,1,(AW$4-1)*5+2)*INDEX($Q147:$AJ147,1,(AW$4-1)*5+3)</f>
        <v/>
      </c>
      <c r="AX147" s="22">
        <f>INDEX($Q147:$AJ147,1,(AX$4-1)*5+1)+AX$8*INDEX($Q147:$AJ147,1,(AX$4-1)*5+2)*INDEX($Q147:$AJ147,1,(AX$4-1)*5+3)</f>
        <v/>
      </c>
      <c r="AY147" s="22">
        <f>INDEX($Q147:$AJ147,1,(AY$4-1)*5+1)+AY$8*INDEX($Q147:$AJ147,1,(AY$4-1)*5+2)*INDEX($Q147:$AJ147,1,(AY$4-1)*5+3)</f>
        <v/>
      </c>
      <c r="BA147" s="23">
        <f>INDEX($Q147:$AJ147,1,(BA$4-1)*5+1)+BA$8*INDEX($Q147:$AJ147,1,(BA$4-1)*5+2)*INDEX($Q147:$AJ147,1,(BA$4-1)*5+3)</f>
        <v/>
      </c>
      <c r="BB147" s="22">
        <f>INDEX($Q147:$AJ147,1,(BB$4-1)*5+1)+BB$8*INDEX($Q147:$AJ147,1,(BB$4-1)*5+2)*INDEX($Q147:$AJ147,1,(BB$4-1)*5+3)</f>
        <v/>
      </c>
      <c r="BC147" s="22">
        <f>INDEX($Q147:$AJ147,1,(BC$4-1)*5+1)+BC$8*INDEX($Q147:$AJ147,1,(BC$4-1)*5+2)*INDEX($Q147:$AJ147,1,(BC$4-1)*5+3)</f>
        <v/>
      </c>
      <c r="BD147" s="22">
        <f>INDEX($Q147:$AJ147,1,(BD$4-1)*5+1)+BD$8*INDEX($Q147:$AJ147,1,(BD$4-1)*5+2)*INDEX($Q147:$AJ147,1,(BD$4-1)*5+3)</f>
        <v/>
      </c>
      <c r="BE147" s="22">
        <f>INDEX($Q147:$AJ147,1,(BE$4-1)*5+1)+BE$8*INDEX($Q147:$AJ147,1,(BE$4-1)*5+2)*INDEX($Q147:$AJ147,1,(BE$4-1)*5+3)</f>
        <v/>
      </c>
      <c r="BF147" s="22">
        <f>INDEX($Q147:$AJ147,1,(BF$4-1)*5+1)+BF$8*INDEX($Q147:$AJ147,1,(BF$4-1)*5+2)*INDEX($Q147:$AJ147,1,(BF$4-1)*5+3)</f>
        <v/>
      </c>
      <c r="BG147" s="22">
        <f>INDEX($Q147:$AJ147,1,(BG$4-1)*5+1)+BG$8*INDEX($Q147:$AJ147,1,(BG$4-1)*5+2)*INDEX($Q147:$AJ147,1,(BG$4-1)*5+3)</f>
        <v/>
      </c>
      <c r="BH147" s="22">
        <f>INDEX($Q147:$AJ147,1,(BH$4-1)*5+1)+BH$8*INDEX($Q147:$AJ147,1,(BH$4-1)*5+2)*INDEX($Q147:$AJ147,1,(BH$4-1)*5+3)</f>
        <v/>
      </c>
      <c r="BI147" s="22">
        <f>INDEX($Q147:$AJ147,1,(BI$4-1)*5+1)+BI$8*INDEX($Q147:$AJ147,1,(BI$4-1)*5+2)*INDEX($Q147:$AJ147,1,(BI$4-1)*5+3)</f>
        <v/>
      </c>
      <c r="BJ147" s="22">
        <f>INDEX($Q147:$AJ147,1,(BJ$4-1)*5+1)+BJ$8*INDEX($Q147:$AJ147,1,(BJ$4-1)*5+2)*INDEX($Q147:$AJ147,1,(BJ$4-1)*5+3)</f>
        <v/>
      </c>
      <c r="BK147" s="22">
        <f>INDEX($Q147:$AJ147,1,(BK$4-1)*5+1)+BK$8*INDEX($Q147:$AJ147,1,(BK$4-1)*5+2)*INDEX($Q147:$AJ147,1,(BK$4-1)*5+3)</f>
        <v/>
      </c>
      <c r="BL147" s="22">
        <f>INDEX($Q147:$AJ147,1,(BL$4-1)*5+1)+BL$8*INDEX($Q147:$AJ147,1,(BL$4-1)*5+2)*INDEX($Q147:$AJ147,1,(BL$4-1)*5+3)</f>
        <v/>
      </c>
      <c r="BM147" s="22">
        <f>INDEX($Q147:$AJ147,1,(BM$4-1)*5+1)+BM$8*INDEX($Q147:$AJ147,1,(BM$4-1)*5+2)*INDEX($Q147:$AJ147,1,(BM$4-1)*5+3)</f>
        <v/>
      </c>
      <c r="BN147" s="22">
        <f>INDEX($Q147:$AJ147,1,(BN$4-1)*5+1)+BN$8*INDEX($Q147:$AJ147,1,(BN$4-1)*5+2)*INDEX($Q147:$AJ147,1,(BN$4-1)*5+3)</f>
        <v/>
      </c>
    </row>
    <row r="148">
      <c r="B148" s="5" t="inlineStr">
        <is>
          <t>bio</t>
        </is>
      </c>
      <c r="C148" s="5" t="inlineStr">
        <is>
          <t>rod</t>
        </is>
      </c>
      <c r="D148" s="5" t="inlineStr">
        <is>
          <t>Tax | Road | Biomass</t>
        </is>
      </c>
      <c r="E148" s="5" t="inlineStr">
        <is>
          <t>$/GJ</t>
        </is>
      </c>
      <c r="F148" s="5" t="inlineStr">
        <is>
          <t>Prices_dom, EF_GHG, Mapping</t>
        </is>
      </c>
      <c r="G148" s="19" t="inlineStr">
        <is>
          <t>mit.rp.bio</t>
        </is>
      </c>
      <c r="H148" s="19" t="inlineStr">
        <is>
          <t>mit.tax.bio.rod</t>
        </is>
      </c>
      <c r="J148" s="5">
        <f>INDEX(Mapping!$C$5:$C$20,MATCH($C148,Mapping!$A$5:$A$20,0))</f>
        <v/>
      </c>
      <c r="K148" s="5">
        <f>INDEX(Mapping!$D$5:$D$20,MATCH($C148,Mapping!$A$5:$A$20,0))</f>
        <v/>
      </c>
      <c r="L148" s="5">
        <f>INDEX(Mapping!$C$24:$C$31,MATCH($B148,Mapping!$A$24:$A$31,0))</f>
        <v/>
      </c>
      <c r="M148" s="5">
        <f>INDEX(Mapping!$D$24:$D$31,MATCH($B148,Mapping!$A$24:$A$31,0))</f>
        <v/>
      </c>
      <c r="N148" s="5">
        <f>$B148&amp;"."&amp;IF(INDEX(Mapping!$E$24:$E$31,MATCH($B148,Mapping!$A$24:$A$31,0))="sub",INDEX(Mapping!$F$5:$F$20,MATCH($C148,Mapping!$A$5:$A$20,0)),"all")</f>
        <v/>
      </c>
      <c r="O148" s="5">
        <f>INDEX(Mapping!$E$5:$E$20,MATCH($C148,Mapping!$A$5:$A$20,0))</f>
        <v/>
      </c>
      <c r="P148" s="5">
        <f>INDEX(Mapping!$G$24:$G$31,MATCH($B148,Mapping!$A$24:$A$31,0))</f>
        <v/>
      </c>
      <c r="Q148" s="22">
        <f>(INDEX(Prices_dom!$A$6:$CU$2000,MATCH(Settings!$C$4&amp;Settings!$C$7,Prices_dom!$A$6:$A$2000,0),MATCH("mit.rp."&amp;$N148,Prices_dom!$A$5:$CU$5,0))-INDEX(Prices_dom!$A$6:$CU$2000,MATCH(Settings!$C$4&amp;Settings!$C$7,Prices_dom!$A$6:$A$2000,0),MATCH("mit.sp."&amp;$N148,Prices_dom!$A$5:$CU$5,0)))/$P148</f>
        <v/>
      </c>
      <c r="R148" s="22">
        <f>INDEX(EF_GHG!$E$4:$E$1000,MATCH(Settings!$C$4&amp;"|"&amp;$B148&amp;"|"&amp;$O148,EF_GHG!$A$4:$A$1000,0))</f>
        <v/>
      </c>
      <c r="S148" s="22">
        <f>INDEX(Mapping!$G$5:$G$20,MATCH($C148,Mapping!$A$5:$A$20,0))</f>
        <v/>
      </c>
      <c r="T148" s="21" t="n"/>
      <c r="U148" s="21" t="n"/>
      <c r="V148" s="22">
        <f>Q148</f>
        <v/>
      </c>
      <c r="W148" s="22">
        <f>R148</f>
        <v/>
      </c>
      <c r="X148" s="22">
        <f>S148</f>
        <v/>
      </c>
      <c r="Y148" s="21" t="n"/>
      <c r="Z148" s="21" t="n"/>
      <c r="AA148" s="22">
        <f>Q148</f>
        <v/>
      </c>
      <c r="AB148" s="22">
        <f>R148</f>
        <v/>
      </c>
      <c r="AC148" s="22">
        <f>S148</f>
        <v/>
      </c>
      <c r="AD148" s="21" t="n"/>
      <c r="AE148" s="21" t="n"/>
      <c r="AF148" s="22">
        <f>Q148</f>
        <v/>
      </c>
      <c r="AG148" s="22">
        <f>R148</f>
        <v/>
      </c>
      <c r="AH148" s="22">
        <f>S148</f>
        <v/>
      </c>
      <c r="AI148" s="21" t="n"/>
      <c r="AJ148" s="21" t="n"/>
      <c r="AL148" s="23">
        <f>INDEX($Q148:$AJ148,1,(AL$4-1)*5+1)+AL$8*INDEX($Q148:$AJ148,1,(AL$4-1)*5+2)*INDEX($Q148:$AJ148,1,(AL$4-1)*5+3)</f>
        <v/>
      </c>
      <c r="AM148" s="22">
        <f>INDEX($Q148:$AJ148,1,(AM$4-1)*5+1)+AM$8*INDEX($Q148:$AJ148,1,(AM$4-1)*5+2)*INDEX($Q148:$AJ148,1,(AM$4-1)*5+3)</f>
        <v/>
      </c>
      <c r="AN148" s="22">
        <f>INDEX($Q148:$AJ148,1,(AN$4-1)*5+1)+AN$8*INDEX($Q148:$AJ148,1,(AN$4-1)*5+2)*INDEX($Q148:$AJ148,1,(AN$4-1)*5+3)</f>
        <v/>
      </c>
      <c r="AO148" s="22">
        <f>INDEX($Q148:$AJ148,1,(AO$4-1)*5+1)+AO$8*INDEX($Q148:$AJ148,1,(AO$4-1)*5+2)*INDEX($Q148:$AJ148,1,(AO$4-1)*5+3)</f>
        <v/>
      </c>
      <c r="AP148" s="22">
        <f>INDEX($Q148:$AJ148,1,(AP$4-1)*5+1)+AP$8*INDEX($Q148:$AJ148,1,(AP$4-1)*5+2)*INDEX($Q148:$AJ148,1,(AP$4-1)*5+3)</f>
        <v/>
      </c>
      <c r="AQ148" s="22">
        <f>INDEX($Q148:$AJ148,1,(AQ$4-1)*5+1)+AQ$8*INDEX($Q148:$AJ148,1,(AQ$4-1)*5+2)*INDEX($Q148:$AJ148,1,(AQ$4-1)*5+3)</f>
        <v/>
      </c>
      <c r="AR148" s="22">
        <f>INDEX($Q148:$AJ148,1,(AR$4-1)*5+1)+AR$8*INDEX($Q148:$AJ148,1,(AR$4-1)*5+2)*INDEX($Q148:$AJ148,1,(AR$4-1)*5+3)</f>
        <v/>
      </c>
      <c r="AS148" s="22">
        <f>INDEX($Q148:$AJ148,1,(AS$4-1)*5+1)+AS$8*INDEX($Q148:$AJ148,1,(AS$4-1)*5+2)*INDEX($Q148:$AJ148,1,(AS$4-1)*5+3)</f>
        <v/>
      </c>
      <c r="AT148" s="22">
        <f>INDEX($Q148:$AJ148,1,(AT$4-1)*5+1)+AT$8*INDEX($Q148:$AJ148,1,(AT$4-1)*5+2)*INDEX($Q148:$AJ148,1,(AT$4-1)*5+3)</f>
        <v/>
      </c>
      <c r="AU148" s="22">
        <f>INDEX($Q148:$AJ148,1,(AU$4-1)*5+1)+AU$8*INDEX($Q148:$AJ148,1,(AU$4-1)*5+2)*INDEX($Q148:$AJ148,1,(AU$4-1)*5+3)</f>
        <v/>
      </c>
      <c r="AV148" s="22">
        <f>INDEX($Q148:$AJ148,1,(AV$4-1)*5+1)+AV$8*INDEX($Q148:$AJ148,1,(AV$4-1)*5+2)*INDEX($Q148:$AJ148,1,(AV$4-1)*5+3)</f>
        <v/>
      </c>
      <c r="AW148" s="22">
        <f>INDEX($Q148:$AJ148,1,(AW$4-1)*5+1)+AW$8*INDEX($Q148:$AJ148,1,(AW$4-1)*5+2)*INDEX($Q148:$AJ148,1,(AW$4-1)*5+3)</f>
        <v/>
      </c>
      <c r="AX148" s="22">
        <f>INDEX($Q148:$AJ148,1,(AX$4-1)*5+1)+AX$8*INDEX($Q148:$AJ148,1,(AX$4-1)*5+2)*INDEX($Q148:$AJ148,1,(AX$4-1)*5+3)</f>
        <v/>
      </c>
      <c r="AY148" s="22">
        <f>INDEX($Q148:$AJ148,1,(AY$4-1)*5+1)+AY$8*INDEX($Q148:$AJ148,1,(AY$4-1)*5+2)*INDEX($Q148:$AJ148,1,(AY$4-1)*5+3)</f>
        <v/>
      </c>
      <c r="BA148" s="23">
        <f>INDEX($Q148:$AJ148,1,(BA$4-1)*5+1)+BA$8*INDEX($Q148:$AJ148,1,(BA$4-1)*5+2)*INDEX($Q148:$AJ148,1,(BA$4-1)*5+3)</f>
        <v/>
      </c>
      <c r="BB148" s="22">
        <f>INDEX($Q148:$AJ148,1,(BB$4-1)*5+1)+BB$8*INDEX($Q148:$AJ148,1,(BB$4-1)*5+2)*INDEX($Q148:$AJ148,1,(BB$4-1)*5+3)</f>
        <v/>
      </c>
      <c r="BC148" s="22">
        <f>INDEX($Q148:$AJ148,1,(BC$4-1)*5+1)+BC$8*INDEX($Q148:$AJ148,1,(BC$4-1)*5+2)*INDEX($Q148:$AJ148,1,(BC$4-1)*5+3)</f>
        <v/>
      </c>
      <c r="BD148" s="22">
        <f>INDEX($Q148:$AJ148,1,(BD$4-1)*5+1)+BD$8*INDEX($Q148:$AJ148,1,(BD$4-1)*5+2)*INDEX($Q148:$AJ148,1,(BD$4-1)*5+3)</f>
        <v/>
      </c>
      <c r="BE148" s="22">
        <f>INDEX($Q148:$AJ148,1,(BE$4-1)*5+1)+BE$8*INDEX($Q148:$AJ148,1,(BE$4-1)*5+2)*INDEX($Q148:$AJ148,1,(BE$4-1)*5+3)</f>
        <v/>
      </c>
      <c r="BF148" s="22">
        <f>INDEX($Q148:$AJ148,1,(BF$4-1)*5+1)+BF$8*INDEX($Q148:$AJ148,1,(BF$4-1)*5+2)*INDEX($Q148:$AJ148,1,(BF$4-1)*5+3)</f>
        <v/>
      </c>
      <c r="BG148" s="22">
        <f>INDEX($Q148:$AJ148,1,(BG$4-1)*5+1)+BG$8*INDEX($Q148:$AJ148,1,(BG$4-1)*5+2)*INDEX($Q148:$AJ148,1,(BG$4-1)*5+3)</f>
        <v/>
      </c>
      <c r="BH148" s="22">
        <f>INDEX($Q148:$AJ148,1,(BH$4-1)*5+1)+BH$8*INDEX($Q148:$AJ148,1,(BH$4-1)*5+2)*INDEX($Q148:$AJ148,1,(BH$4-1)*5+3)</f>
        <v/>
      </c>
      <c r="BI148" s="22">
        <f>INDEX($Q148:$AJ148,1,(BI$4-1)*5+1)+BI$8*INDEX($Q148:$AJ148,1,(BI$4-1)*5+2)*INDEX($Q148:$AJ148,1,(BI$4-1)*5+3)</f>
        <v/>
      </c>
      <c r="BJ148" s="22">
        <f>INDEX($Q148:$AJ148,1,(BJ$4-1)*5+1)+BJ$8*INDEX($Q148:$AJ148,1,(BJ$4-1)*5+2)*INDEX($Q148:$AJ148,1,(BJ$4-1)*5+3)</f>
        <v/>
      </c>
      <c r="BK148" s="22">
        <f>INDEX($Q148:$AJ148,1,(BK$4-1)*5+1)+BK$8*INDEX($Q148:$AJ148,1,(BK$4-1)*5+2)*INDEX($Q148:$AJ148,1,(BK$4-1)*5+3)</f>
        <v/>
      </c>
      <c r="BL148" s="22">
        <f>INDEX($Q148:$AJ148,1,(BL$4-1)*5+1)+BL$8*INDEX($Q148:$AJ148,1,(BL$4-1)*5+2)*INDEX($Q148:$AJ148,1,(BL$4-1)*5+3)</f>
        <v/>
      </c>
      <c r="BM148" s="22">
        <f>INDEX($Q148:$AJ148,1,(BM$4-1)*5+1)+BM$8*INDEX($Q148:$AJ148,1,(BM$4-1)*5+2)*INDEX($Q148:$AJ148,1,(BM$4-1)*5+3)</f>
        <v/>
      </c>
      <c r="BN148" s="22">
        <f>INDEX($Q148:$AJ148,1,(BN$4-1)*5+1)+BN$8*INDEX($Q148:$AJ148,1,(BN$4-1)*5+2)*INDEX($Q148:$AJ148,1,(BN$4-1)*5+3)</f>
        <v/>
      </c>
    </row>
    <row r="149">
      <c r="B149" s="5" t="inlineStr">
        <is>
          <t>coa</t>
        </is>
      </c>
      <c r="C149" s="5" t="inlineStr">
        <is>
          <t>ral</t>
        </is>
      </c>
      <c r="D149" s="5" t="inlineStr">
        <is>
          <t>Tax | Rail | Coal</t>
        </is>
      </c>
      <c r="E149" s="5" t="inlineStr">
        <is>
          <t>$/GJ</t>
        </is>
      </c>
      <c r="F149" s="5" t="inlineStr">
        <is>
          <t>Prices_dom, EF_GHG, Mapping</t>
        </is>
      </c>
      <c r="G149" s="19" t="inlineStr">
        <is>
          <t>mit.rp.coa</t>
        </is>
      </c>
      <c r="H149" s="19" t="inlineStr">
        <is>
          <t>mit.tax.coa.ral</t>
        </is>
      </c>
      <c r="J149" s="5">
        <f>INDEX(Mapping!$C$5:$C$20,MATCH($C149,Mapping!$A$5:$A$20,0))</f>
        <v/>
      </c>
      <c r="K149" s="5">
        <f>INDEX(Mapping!$D$5:$D$20,MATCH($C149,Mapping!$A$5:$A$20,0))</f>
        <v/>
      </c>
      <c r="L149" s="5">
        <f>INDEX(Mapping!$C$24:$C$31,MATCH($B149,Mapping!$A$24:$A$31,0))</f>
        <v/>
      </c>
      <c r="M149" s="5">
        <f>INDEX(Mapping!$D$24:$D$31,MATCH($B149,Mapping!$A$24:$A$31,0))</f>
        <v/>
      </c>
      <c r="N149" s="5">
        <f>$B149&amp;"."&amp;IF(INDEX(Mapping!$E$24:$E$31,MATCH($B149,Mapping!$A$24:$A$31,0))="sub",INDEX(Mapping!$F$5:$F$20,MATCH($C149,Mapping!$A$5:$A$20,0)),"all")</f>
        <v/>
      </c>
      <c r="O149" s="5">
        <f>INDEX(Mapping!$E$5:$E$20,MATCH($C149,Mapping!$A$5:$A$20,0))</f>
        <v/>
      </c>
      <c r="P149" s="5">
        <f>INDEX(Mapping!$G$24:$G$31,MATCH($B149,Mapping!$A$24:$A$31,0))</f>
        <v/>
      </c>
      <c r="Q149" s="22">
        <f>(INDEX(Prices_dom!$A$6:$CU$2000,MATCH(Settings!$C$4&amp;Settings!$C$7,Prices_dom!$A$6:$A$2000,0),MATCH("mit.rp."&amp;$N149,Prices_dom!$A$5:$CU$5,0))-INDEX(Prices_dom!$A$6:$CU$2000,MATCH(Settings!$C$4&amp;Settings!$C$7,Prices_dom!$A$6:$A$2000,0),MATCH("mit.sp."&amp;$N149,Prices_dom!$A$5:$CU$5,0)))/$P149</f>
        <v/>
      </c>
      <c r="R149" s="22">
        <f>INDEX(EF_GHG!$E$4:$E$1000,MATCH(Settings!$C$4&amp;"|"&amp;$B149&amp;"|"&amp;$O149,EF_GHG!$A$4:$A$1000,0))</f>
        <v/>
      </c>
      <c r="S149" s="22">
        <f>INDEX(Mapping!$G$5:$G$20,MATCH($C149,Mapping!$A$5:$A$20,0))</f>
        <v/>
      </c>
      <c r="T149" s="21" t="n"/>
      <c r="U149" s="21" t="n"/>
      <c r="V149" s="22">
        <f>Q149</f>
        <v/>
      </c>
      <c r="W149" s="22">
        <f>R149</f>
        <v/>
      </c>
      <c r="X149" s="22">
        <f>S149</f>
        <v/>
      </c>
      <c r="Y149" s="21" t="n"/>
      <c r="Z149" s="21" t="n"/>
      <c r="AA149" s="22">
        <f>Q149</f>
        <v/>
      </c>
      <c r="AB149" s="22">
        <f>R149</f>
        <v/>
      </c>
      <c r="AC149" s="22">
        <f>S149</f>
        <v/>
      </c>
      <c r="AD149" s="21" t="n"/>
      <c r="AE149" s="21" t="n"/>
      <c r="AF149" s="22">
        <f>Q149</f>
        <v/>
      </c>
      <c r="AG149" s="22">
        <f>R149</f>
        <v/>
      </c>
      <c r="AH149" s="22">
        <f>S149</f>
        <v/>
      </c>
      <c r="AI149" s="21" t="n"/>
      <c r="AJ149" s="21" t="n"/>
      <c r="AL149" s="23">
        <f>INDEX($Q149:$AJ149,1,(AL$4-1)*5+1)+AL$8*INDEX($Q149:$AJ149,1,(AL$4-1)*5+2)*INDEX($Q149:$AJ149,1,(AL$4-1)*5+3)</f>
        <v/>
      </c>
      <c r="AM149" s="22">
        <f>INDEX($Q149:$AJ149,1,(AM$4-1)*5+1)+AM$8*INDEX($Q149:$AJ149,1,(AM$4-1)*5+2)*INDEX($Q149:$AJ149,1,(AM$4-1)*5+3)</f>
        <v/>
      </c>
      <c r="AN149" s="22">
        <f>INDEX($Q149:$AJ149,1,(AN$4-1)*5+1)+AN$8*INDEX($Q149:$AJ149,1,(AN$4-1)*5+2)*INDEX($Q149:$AJ149,1,(AN$4-1)*5+3)</f>
        <v/>
      </c>
      <c r="AO149" s="22">
        <f>INDEX($Q149:$AJ149,1,(AO$4-1)*5+1)+AO$8*INDEX($Q149:$AJ149,1,(AO$4-1)*5+2)*INDEX($Q149:$AJ149,1,(AO$4-1)*5+3)</f>
        <v/>
      </c>
      <c r="AP149" s="22">
        <f>INDEX($Q149:$AJ149,1,(AP$4-1)*5+1)+AP$8*INDEX($Q149:$AJ149,1,(AP$4-1)*5+2)*INDEX($Q149:$AJ149,1,(AP$4-1)*5+3)</f>
        <v/>
      </c>
      <c r="AQ149" s="22">
        <f>INDEX($Q149:$AJ149,1,(AQ$4-1)*5+1)+AQ$8*INDEX($Q149:$AJ149,1,(AQ$4-1)*5+2)*INDEX($Q149:$AJ149,1,(AQ$4-1)*5+3)</f>
        <v/>
      </c>
      <c r="AR149" s="22">
        <f>INDEX($Q149:$AJ149,1,(AR$4-1)*5+1)+AR$8*INDEX($Q149:$AJ149,1,(AR$4-1)*5+2)*INDEX($Q149:$AJ149,1,(AR$4-1)*5+3)</f>
        <v/>
      </c>
      <c r="AS149" s="22">
        <f>INDEX($Q149:$AJ149,1,(AS$4-1)*5+1)+AS$8*INDEX($Q149:$AJ149,1,(AS$4-1)*5+2)*INDEX($Q149:$AJ149,1,(AS$4-1)*5+3)</f>
        <v/>
      </c>
      <c r="AT149" s="22">
        <f>INDEX($Q149:$AJ149,1,(AT$4-1)*5+1)+AT$8*INDEX($Q149:$AJ149,1,(AT$4-1)*5+2)*INDEX($Q149:$AJ149,1,(AT$4-1)*5+3)</f>
        <v/>
      </c>
      <c r="AU149" s="22">
        <f>INDEX($Q149:$AJ149,1,(AU$4-1)*5+1)+AU$8*INDEX($Q149:$AJ149,1,(AU$4-1)*5+2)*INDEX($Q149:$AJ149,1,(AU$4-1)*5+3)</f>
        <v/>
      </c>
      <c r="AV149" s="22">
        <f>INDEX($Q149:$AJ149,1,(AV$4-1)*5+1)+AV$8*INDEX($Q149:$AJ149,1,(AV$4-1)*5+2)*INDEX($Q149:$AJ149,1,(AV$4-1)*5+3)</f>
        <v/>
      </c>
      <c r="AW149" s="22">
        <f>INDEX($Q149:$AJ149,1,(AW$4-1)*5+1)+AW$8*INDEX($Q149:$AJ149,1,(AW$4-1)*5+2)*INDEX($Q149:$AJ149,1,(AW$4-1)*5+3)</f>
        <v/>
      </c>
      <c r="AX149" s="22">
        <f>INDEX($Q149:$AJ149,1,(AX$4-1)*5+1)+AX$8*INDEX($Q149:$AJ149,1,(AX$4-1)*5+2)*INDEX($Q149:$AJ149,1,(AX$4-1)*5+3)</f>
        <v/>
      </c>
      <c r="AY149" s="22">
        <f>INDEX($Q149:$AJ149,1,(AY$4-1)*5+1)+AY$8*INDEX($Q149:$AJ149,1,(AY$4-1)*5+2)*INDEX($Q149:$AJ149,1,(AY$4-1)*5+3)</f>
        <v/>
      </c>
      <c r="BA149" s="23">
        <f>INDEX($Q149:$AJ149,1,(BA$4-1)*5+1)+BA$8*INDEX($Q149:$AJ149,1,(BA$4-1)*5+2)*INDEX($Q149:$AJ149,1,(BA$4-1)*5+3)</f>
        <v/>
      </c>
      <c r="BB149" s="22">
        <f>INDEX($Q149:$AJ149,1,(BB$4-1)*5+1)+BB$8*INDEX($Q149:$AJ149,1,(BB$4-1)*5+2)*INDEX($Q149:$AJ149,1,(BB$4-1)*5+3)</f>
        <v/>
      </c>
      <c r="BC149" s="22">
        <f>INDEX($Q149:$AJ149,1,(BC$4-1)*5+1)+BC$8*INDEX($Q149:$AJ149,1,(BC$4-1)*5+2)*INDEX($Q149:$AJ149,1,(BC$4-1)*5+3)</f>
        <v/>
      </c>
      <c r="BD149" s="22">
        <f>INDEX($Q149:$AJ149,1,(BD$4-1)*5+1)+BD$8*INDEX($Q149:$AJ149,1,(BD$4-1)*5+2)*INDEX($Q149:$AJ149,1,(BD$4-1)*5+3)</f>
        <v/>
      </c>
      <c r="BE149" s="22">
        <f>INDEX($Q149:$AJ149,1,(BE$4-1)*5+1)+BE$8*INDEX($Q149:$AJ149,1,(BE$4-1)*5+2)*INDEX($Q149:$AJ149,1,(BE$4-1)*5+3)</f>
        <v/>
      </c>
      <c r="BF149" s="22">
        <f>INDEX($Q149:$AJ149,1,(BF$4-1)*5+1)+BF$8*INDEX($Q149:$AJ149,1,(BF$4-1)*5+2)*INDEX($Q149:$AJ149,1,(BF$4-1)*5+3)</f>
        <v/>
      </c>
      <c r="BG149" s="22">
        <f>INDEX($Q149:$AJ149,1,(BG$4-1)*5+1)+BG$8*INDEX($Q149:$AJ149,1,(BG$4-1)*5+2)*INDEX($Q149:$AJ149,1,(BG$4-1)*5+3)</f>
        <v/>
      </c>
      <c r="BH149" s="22">
        <f>INDEX($Q149:$AJ149,1,(BH$4-1)*5+1)+BH$8*INDEX($Q149:$AJ149,1,(BH$4-1)*5+2)*INDEX($Q149:$AJ149,1,(BH$4-1)*5+3)</f>
        <v/>
      </c>
      <c r="BI149" s="22">
        <f>INDEX($Q149:$AJ149,1,(BI$4-1)*5+1)+BI$8*INDEX($Q149:$AJ149,1,(BI$4-1)*5+2)*INDEX($Q149:$AJ149,1,(BI$4-1)*5+3)</f>
        <v/>
      </c>
      <c r="BJ149" s="22">
        <f>INDEX($Q149:$AJ149,1,(BJ$4-1)*5+1)+BJ$8*INDEX($Q149:$AJ149,1,(BJ$4-1)*5+2)*INDEX($Q149:$AJ149,1,(BJ$4-1)*5+3)</f>
        <v/>
      </c>
      <c r="BK149" s="22">
        <f>INDEX($Q149:$AJ149,1,(BK$4-1)*5+1)+BK$8*INDEX($Q149:$AJ149,1,(BK$4-1)*5+2)*INDEX($Q149:$AJ149,1,(BK$4-1)*5+3)</f>
        <v/>
      </c>
      <c r="BL149" s="22">
        <f>INDEX($Q149:$AJ149,1,(BL$4-1)*5+1)+BL$8*INDEX($Q149:$AJ149,1,(BL$4-1)*5+2)*INDEX($Q149:$AJ149,1,(BL$4-1)*5+3)</f>
        <v/>
      </c>
      <c r="BM149" s="22">
        <f>INDEX($Q149:$AJ149,1,(BM$4-1)*5+1)+BM$8*INDEX($Q149:$AJ149,1,(BM$4-1)*5+2)*INDEX($Q149:$AJ149,1,(BM$4-1)*5+3)</f>
        <v/>
      </c>
      <c r="BN149" s="22">
        <f>INDEX($Q149:$AJ149,1,(BN$4-1)*5+1)+BN$8*INDEX($Q149:$AJ149,1,(BN$4-1)*5+2)*INDEX($Q149:$AJ149,1,(BN$4-1)*5+3)</f>
        <v/>
      </c>
    </row>
    <row r="150">
      <c r="B150" s="5" t="inlineStr">
        <is>
          <t>nga</t>
        </is>
      </c>
      <c r="C150" s="5" t="inlineStr">
        <is>
          <t>ral</t>
        </is>
      </c>
      <c r="D150" s="5" t="inlineStr">
        <is>
          <t>Tax | Rail | Natural gas</t>
        </is>
      </c>
      <c r="E150" s="5" t="inlineStr">
        <is>
          <t>$/GJ</t>
        </is>
      </c>
      <c r="F150" s="5" t="inlineStr">
        <is>
          <t>Prices_dom, EF_GHG, Mapping</t>
        </is>
      </c>
      <c r="G150" s="19" t="inlineStr">
        <is>
          <t>mit.rp.nga</t>
        </is>
      </c>
      <c r="H150" s="19" t="inlineStr">
        <is>
          <t>mit.tax.nga.ral</t>
        </is>
      </c>
      <c r="J150" s="5">
        <f>INDEX(Mapping!$C$5:$C$20,MATCH($C150,Mapping!$A$5:$A$20,0))</f>
        <v/>
      </c>
      <c r="K150" s="5">
        <f>INDEX(Mapping!$D$5:$D$20,MATCH($C150,Mapping!$A$5:$A$20,0))</f>
        <v/>
      </c>
      <c r="L150" s="5">
        <f>INDEX(Mapping!$C$24:$C$31,MATCH($B150,Mapping!$A$24:$A$31,0))</f>
        <v/>
      </c>
      <c r="M150" s="5">
        <f>INDEX(Mapping!$D$24:$D$31,MATCH($B150,Mapping!$A$24:$A$31,0))</f>
        <v/>
      </c>
      <c r="N150" s="5">
        <f>$B150&amp;"."&amp;IF(INDEX(Mapping!$E$24:$E$31,MATCH($B150,Mapping!$A$24:$A$31,0))="sub",INDEX(Mapping!$F$5:$F$20,MATCH($C150,Mapping!$A$5:$A$20,0)),"all")</f>
        <v/>
      </c>
      <c r="O150" s="5">
        <f>INDEX(Mapping!$E$5:$E$20,MATCH($C150,Mapping!$A$5:$A$20,0))</f>
        <v/>
      </c>
      <c r="P150" s="5">
        <f>INDEX(Mapping!$G$24:$G$31,MATCH($B150,Mapping!$A$24:$A$31,0))</f>
        <v/>
      </c>
      <c r="Q150" s="22">
        <f>(INDEX(Prices_dom!$A$6:$CU$2000,MATCH(Settings!$C$4&amp;Settings!$C$7,Prices_dom!$A$6:$A$2000,0),MATCH("mit.rp."&amp;$N150,Prices_dom!$A$5:$CU$5,0))-INDEX(Prices_dom!$A$6:$CU$2000,MATCH(Settings!$C$4&amp;Settings!$C$7,Prices_dom!$A$6:$A$2000,0),MATCH("mit.sp."&amp;$N150,Prices_dom!$A$5:$CU$5,0)))/$P150</f>
        <v/>
      </c>
      <c r="R150" s="22">
        <f>INDEX(EF_GHG!$E$4:$E$1000,MATCH(Settings!$C$4&amp;"|"&amp;$B150&amp;"|"&amp;$O150,EF_GHG!$A$4:$A$1000,0))</f>
        <v/>
      </c>
      <c r="S150" s="22">
        <f>INDEX(Mapping!$G$5:$G$20,MATCH($C150,Mapping!$A$5:$A$20,0))</f>
        <v/>
      </c>
      <c r="T150" s="21" t="n"/>
      <c r="U150" s="21" t="n"/>
      <c r="V150" s="22">
        <f>Q150</f>
        <v/>
      </c>
      <c r="W150" s="22">
        <f>R150</f>
        <v/>
      </c>
      <c r="X150" s="22">
        <f>S150</f>
        <v/>
      </c>
      <c r="Y150" s="21" t="n"/>
      <c r="Z150" s="21" t="n"/>
      <c r="AA150" s="22">
        <f>Q150</f>
        <v/>
      </c>
      <c r="AB150" s="22">
        <f>R150</f>
        <v/>
      </c>
      <c r="AC150" s="22">
        <f>S150</f>
        <v/>
      </c>
      <c r="AD150" s="21" t="n"/>
      <c r="AE150" s="21" t="n"/>
      <c r="AF150" s="22">
        <f>Q150</f>
        <v/>
      </c>
      <c r="AG150" s="22">
        <f>R150</f>
        <v/>
      </c>
      <c r="AH150" s="22">
        <f>S150</f>
        <v/>
      </c>
      <c r="AI150" s="21" t="n"/>
      <c r="AJ150" s="21" t="n"/>
      <c r="AL150" s="23">
        <f>INDEX($Q150:$AJ150,1,(AL$4-1)*5+1)+AL$8*INDEX($Q150:$AJ150,1,(AL$4-1)*5+2)*INDEX($Q150:$AJ150,1,(AL$4-1)*5+3)</f>
        <v/>
      </c>
      <c r="AM150" s="22">
        <f>INDEX($Q150:$AJ150,1,(AM$4-1)*5+1)+AM$8*INDEX($Q150:$AJ150,1,(AM$4-1)*5+2)*INDEX($Q150:$AJ150,1,(AM$4-1)*5+3)</f>
        <v/>
      </c>
      <c r="AN150" s="22">
        <f>INDEX($Q150:$AJ150,1,(AN$4-1)*5+1)+AN$8*INDEX($Q150:$AJ150,1,(AN$4-1)*5+2)*INDEX($Q150:$AJ150,1,(AN$4-1)*5+3)</f>
        <v/>
      </c>
      <c r="AO150" s="22">
        <f>INDEX($Q150:$AJ150,1,(AO$4-1)*5+1)+AO$8*INDEX($Q150:$AJ150,1,(AO$4-1)*5+2)*INDEX($Q150:$AJ150,1,(AO$4-1)*5+3)</f>
        <v/>
      </c>
      <c r="AP150" s="22">
        <f>INDEX($Q150:$AJ150,1,(AP$4-1)*5+1)+AP$8*INDEX($Q150:$AJ150,1,(AP$4-1)*5+2)*INDEX($Q150:$AJ150,1,(AP$4-1)*5+3)</f>
        <v/>
      </c>
      <c r="AQ150" s="22">
        <f>INDEX($Q150:$AJ150,1,(AQ$4-1)*5+1)+AQ$8*INDEX($Q150:$AJ150,1,(AQ$4-1)*5+2)*INDEX($Q150:$AJ150,1,(AQ$4-1)*5+3)</f>
        <v/>
      </c>
      <c r="AR150" s="22">
        <f>INDEX($Q150:$AJ150,1,(AR$4-1)*5+1)+AR$8*INDEX($Q150:$AJ150,1,(AR$4-1)*5+2)*INDEX($Q150:$AJ150,1,(AR$4-1)*5+3)</f>
        <v/>
      </c>
      <c r="AS150" s="22">
        <f>INDEX($Q150:$AJ150,1,(AS$4-1)*5+1)+AS$8*INDEX($Q150:$AJ150,1,(AS$4-1)*5+2)*INDEX($Q150:$AJ150,1,(AS$4-1)*5+3)</f>
        <v/>
      </c>
      <c r="AT150" s="22">
        <f>INDEX($Q150:$AJ150,1,(AT$4-1)*5+1)+AT$8*INDEX($Q150:$AJ150,1,(AT$4-1)*5+2)*INDEX($Q150:$AJ150,1,(AT$4-1)*5+3)</f>
        <v/>
      </c>
      <c r="AU150" s="22">
        <f>INDEX($Q150:$AJ150,1,(AU$4-1)*5+1)+AU$8*INDEX($Q150:$AJ150,1,(AU$4-1)*5+2)*INDEX($Q150:$AJ150,1,(AU$4-1)*5+3)</f>
        <v/>
      </c>
      <c r="AV150" s="22">
        <f>INDEX($Q150:$AJ150,1,(AV$4-1)*5+1)+AV$8*INDEX($Q150:$AJ150,1,(AV$4-1)*5+2)*INDEX($Q150:$AJ150,1,(AV$4-1)*5+3)</f>
        <v/>
      </c>
      <c r="AW150" s="22">
        <f>INDEX($Q150:$AJ150,1,(AW$4-1)*5+1)+AW$8*INDEX($Q150:$AJ150,1,(AW$4-1)*5+2)*INDEX($Q150:$AJ150,1,(AW$4-1)*5+3)</f>
        <v/>
      </c>
      <c r="AX150" s="22">
        <f>INDEX($Q150:$AJ150,1,(AX$4-1)*5+1)+AX$8*INDEX($Q150:$AJ150,1,(AX$4-1)*5+2)*INDEX($Q150:$AJ150,1,(AX$4-1)*5+3)</f>
        <v/>
      </c>
      <c r="AY150" s="22">
        <f>INDEX($Q150:$AJ150,1,(AY$4-1)*5+1)+AY$8*INDEX($Q150:$AJ150,1,(AY$4-1)*5+2)*INDEX($Q150:$AJ150,1,(AY$4-1)*5+3)</f>
        <v/>
      </c>
      <c r="BA150" s="23">
        <f>INDEX($Q150:$AJ150,1,(BA$4-1)*5+1)+BA$8*INDEX($Q150:$AJ150,1,(BA$4-1)*5+2)*INDEX($Q150:$AJ150,1,(BA$4-1)*5+3)</f>
        <v/>
      </c>
      <c r="BB150" s="22">
        <f>INDEX($Q150:$AJ150,1,(BB$4-1)*5+1)+BB$8*INDEX($Q150:$AJ150,1,(BB$4-1)*5+2)*INDEX($Q150:$AJ150,1,(BB$4-1)*5+3)</f>
        <v/>
      </c>
      <c r="BC150" s="22">
        <f>INDEX($Q150:$AJ150,1,(BC$4-1)*5+1)+BC$8*INDEX($Q150:$AJ150,1,(BC$4-1)*5+2)*INDEX($Q150:$AJ150,1,(BC$4-1)*5+3)</f>
        <v/>
      </c>
      <c r="BD150" s="22">
        <f>INDEX($Q150:$AJ150,1,(BD$4-1)*5+1)+BD$8*INDEX($Q150:$AJ150,1,(BD$4-1)*5+2)*INDEX($Q150:$AJ150,1,(BD$4-1)*5+3)</f>
        <v/>
      </c>
      <c r="BE150" s="22">
        <f>INDEX($Q150:$AJ150,1,(BE$4-1)*5+1)+BE$8*INDEX($Q150:$AJ150,1,(BE$4-1)*5+2)*INDEX($Q150:$AJ150,1,(BE$4-1)*5+3)</f>
        <v/>
      </c>
      <c r="BF150" s="22">
        <f>INDEX($Q150:$AJ150,1,(BF$4-1)*5+1)+BF$8*INDEX($Q150:$AJ150,1,(BF$4-1)*5+2)*INDEX($Q150:$AJ150,1,(BF$4-1)*5+3)</f>
        <v/>
      </c>
      <c r="BG150" s="22">
        <f>INDEX($Q150:$AJ150,1,(BG$4-1)*5+1)+BG$8*INDEX($Q150:$AJ150,1,(BG$4-1)*5+2)*INDEX($Q150:$AJ150,1,(BG$4-1)*5+3)</f>
        <v/>
      </c>
      <c r="BH150" s="22">
        <f>INDEX($Q150:$AJ150,1,(BH$4-1)*5+1)+BH$8*INDEX($Q150:$AJ150,1,(BH$4-1)*5+2)*INDEX($Q150:$AJ150,1,(BH$4-1)*5+3)</f>
        <v/>
      </c>
      <c r="BI150" s="22">
        <f>INDEX($Q150:$AJ150,1,(BI$4-1)*5+1)+BI$8*INDEX($Q150:$AJ150,1,(BI$4-1)*5+2)*INDEX($Q150:$AJ150,1,(BI$4-1)*5+3)</f>
        <v/>
      </c>
      <c r="BJ150" s="22">
        <f>INDEX($Q150:$AJ150,1,(BJ$4-1)*5+1)+BJ$8*INDEX($Q150:$AJ150,1,(BJ$4-1)*5+2)*INDEX($Q150:$AJ150,1,(BJ$4-1)*5+3)</f>
        <v/>
      </c>
      <c r="BK150" s="22">
        <f>INDEX($Q150:$AJ150,1,(BK$4-1)*5+1)+BK$8*INDEX($Q150:$AJ150,1,(BK$4-1)*5+2)*INDEX($Q150:$AJ150,1,(BK$4-1)*5+3)</f>
        <v/>
      </c>
      <c r="BL150" s="22">
        <f>INDEX($Q150:$AJ150,1,(BL$4-1)*5+1)+BL$8*INDEX($Q150:$AJ150,1,(BL$4-1)*5+2)*INDEX($Q150:$AJ150,1,(BL$4-1)*5+3)</f>
        <v/>
      </c>
      <c r="BM150" s="22">
        <f>INDEX($Q150:$AJ150,1,(BM$4-1)*5+1)+BM$8*INDEX($Q150:$AJ150,1,(BM$4-1)*5+2)*INDEX($Q150:$AJ150,1,(BM$4-1)*5+3)</f>
        <v/>
      </c>
      <c r="BN150" s="22">
        <f>INDEX($Q150:$AJ150,1,(BN$4-1)*5+1)+BN$8*INDEX($Q150:$AJ150,1,(BN$4-1)*5+2)*INDEX($Q150:$AJ150,1,(BN$4-1)*5+3)</f>
        <v/>
      </c>
    </row>
    <row r="151">
      <c r="B151" s="5" t="inlineStr">
        <is>
          <t>gso</t>
        </is>
      </c>
      <c r="C151" s="5" t="inlineStr">
        <is>
          <t>ral</t>
        </is>
      </c>
      <c r="D151" s="5" t="inlineStr">
        <is>
          <t>Tax | Rail | Gasoline</t>
        </is>
      </c>
      <c r="E151" s="5" t="inlineStr">
        <is>
          <t>$/GJ</t>
        </is>
      </c>
      <c r="F151" s="5" t="inlineStr">
        <is>
          <t>Prices_dom, EF_GHG, Mapping</t>
        </is>
      </c>
      <c r="G151" s="19" t="inlineStr">
        <is>
          <t>mit.rp.gso</t>
        </is>
      </c>
      <c r="H151" s="19" t="inlineStr">
        <is>
          <t>mit.tax.gso.ral</t>
        </is>
      </c>
      <c r="J151" s="5">
        <f>INDEX(Mapping!$C$5:$C$20,MATCH($C151,Mapping!$A$5:$A$20,0))</f>
        <v/>
      </c>
      <c r="K151" s="5">
        <f>INDEX(Mapping!$D$5:$D$20,MATCH($C151,Mapping!$A$5:$A$20,0))</f>
        <v/>
      </c>
      <c r="L151" s="5">
        <f>INDEX(Mapping!$C$24:$C$31,MATCH($B151,Mapping!$A$24:$A$31,0))</f>
        <v/>
      </c>
      <c r="M151" s="5">
        <f>INDEX(Mapping!$D$24:$D$31,MATCH($B151,Mapping!$A$24:$A$31,0))</f>
        <v/>
      </c>
      <c r="N151" s="5">
        <f>$B151&amp;"."&amp;IF(INDEX(Mapping!$E$24:$E$31,MATCH($B151,Mapping!$A$24:$A$31,0))="sub",INDEX(Mapping!$F$5:$F$20,MATCH($C151,Mapping!$A$5:$A$20,0)),"all")</f>
        <v/>
      </c>
      <c r="O151" s="5">
        <f>INDEX(Mapping!$E$5:$E$20,MATCH($C151,Mapping!$A$5:$A$20,0))</f>
        <v/>
      </c>
      <c r="P151" s="5">
        <f>INDEX(Mapping!$G$24:$G$31,MATCH($B151,Mapping!$A$24:$A$31,0))</f>
        <v/>
      </c>
      <c r="Q151" s="22">
        <f>(INDEX(Prices_dom!$A$6:$CU$2000,MATCH(Settings!$C$4&amp;Settings!$C$7,Prices_dom!$A$6:$A$2000,0),MATCH("mit.rp."&amp;$N151,Prices_dom!$A$5:$CU$5,0))-INDEX(Prices_dom!$A$6:$CU$2000,MATCH(Settings!$C$4&amp;Settings!$C$7,Prices_dom!$A$6:$A$2000,0),MATCH("mit.sp."&amp;$N151,Prices_dom!$A$5:$CU$5,0)))/$P151</f>
        <v/>
      </c>
      <c r="R151" s="22">
        <f>INDEX(EF_GHG!$E$4:$E$1000,MATCH(Settings!$C$4&amp;"|"&amp;$B151&amp;"|"&amp;$O151,EF_GHG!$A$4:$A$1000,0))</f>
        <v/>
      </c>
      <c r="S151" s="22">
        <f>INDEX(Mapping!$G$5:$G$20,MATCH($C151,Mapping!$A$5:$A$20,0))</f>
        <v/>
      </c>
      <c r="T151" s="21" t="n"/>
      <c r="U151" s="21" t="n"/>
      <c r="V151" s="22">
        <f>Q151</f>
        <v/>
      </c>
      <c r="W151" s="22">
        <f>R151</f>
        <v/>
      </c>
      <c r="X151" s="22">
        <f>S151</f>
        <v/>
      </c>
      <c r="Y151" s="21" t="n"/>
      <c r="Z151" s="21" t="n"/>
      <c r="AA151" s="22">
        <f>Q151</f>
        <v/>
      </c>
      <c r="AB151" s="22">
        <f>R151</f>
        <v/>
      </c>
      <c r="AC151" s="22">
        <f>S151</f>
        <v/>
      </c>
      <c r="AD151" s="21" t="n"/>
      <c r="AE151" s="21" t="n"/>
      <c r="AF151" s="22">
        <f>Q151</f>
        <v/>
      </c>
      <c r="AG151" s="22">
        <f>R151</f>
        <v/>
      </c>
      <c r="AH151" s="22">
        <f>S151</f>
        <v/>
      </c>
      <c r="AI151" s="21" t="n"/>
      <c r="AJ151" s="21" t="n"/>
      <c r="AL151" s="23">
        <f>INDEX($Q151:$AJ151,1,(AL$4-1)*5+1)+AL$8*INDEX($Q151:$AJ151,1,(AL$4-1)*5+2)*INDEX($Q151:$AJ151,1,(AL$4-1)*5+3)</f>
        <v/>
      </c>
      <c r="AM151" s="22">
        <f>INDEX($Q151:$AJ151,1,(AM$4-1)*5+1)+AM$8*INDEX($Q151:$AJ151,1,(AM$4-1)*5+2)*INDEX($Q151:$AJ151,1,(AM$4-1)*5+3)</f>
        <v/>
      </c>
      <c r="AN151" s="22">
        <f>INDEX($Q151:$AJ151,1,(AN$4-1)*5+1)+AN$8*INDEX($Q151:$AJ151,1,(AN$4-1)*5+2)*INDEX($Q151:$AJ151,1,(AN$4-1)*5+3)</f>
        <v/>
      </c>
      <c r="AO151" s="22">
        <f>INDEX($Q151:$AJ151,1,(AO$4-1)*5+1)+AO$8*INDEX($Q151:$AJ151,1,(AO$4-1)*5+2)*INDEX($Q151:$AJ151,1,(AO$4-1)*5+3)</f>
        <v/>
      </c>
      <c r="AP151" s="22">
        <f>INDEX($Q151:$AJ151,1,(AP$4-1)*5+1)+AP$8*INDEX($Q151:$AJ151,1,(AP$4-1)*5+2)*INDEX($Q151:$AJ151,1,(AP$4-1)*5+3)</f>
        <v/>
      </c>
      <c r="AQ151" s="22">
        <f>INDEX($Q151:$AJ151,1,(AQ$4-1)*5+1)+AQ$8*INDEX($Q151:$AJ151,1,(AQ$4-1)*5+2)*INDEX($Q151:$AJ151,1,(AQ$4-1)*5+3)</f>
        <v/>
      </c>
      <c r="AR151" s="22">
        <f>INDEX($Q151:$AJ151,1,(AR$4-1)*5+1)+AR$8*INDEX($Q151:$AJ151,1,(AR$4-1)*5+2)*INDEX($Q151:$AJ151,1,(AR$4-1)*5+3)</f>
        <v/>
      </c>
      <c r="AS151" s="22">
        <f>INDEX($Q151:$AJ151,1,(AS$4-1)*5+1)+AS$8*INDEX($Q151:$AJ151,1,(AS$4-1)*5+2)*INDEX($Q151:$AJ151,1,(AS$4-1)*5+3)</f>
        <v/>
      </c>
      <c r="AT151" s="22">
        <f>INDEX($Q151:$AJ151,1,(AT$4-1)*5+1)+AT$8*INDEX($Q151:$AJ151,1,(AT$4-1)*5+2)*INDEX($Q151:$AJ151,1,(AT$4-1)*5+3)</f>
        <v/>
      </c>
      <c r="AU151" s="22">
        <f>INDEX($Q151:$AJ151,1,(AU$4-1)*5+1)+AU$8*INDEX($Q151:$AJ151,1,(AU$4-1)*5+2)*INDEX($Q151:$AJ151,1,(AU$4-1)*5+3)</f>
        <v/>
      </c>
      <c r="AV151" s="22">
        <f>INDEX($Q151:$AJ151,1,(AV$4-1)*5+1)+AV$8*INDEX($Q151:$AJ151,1,(AV$4-1)*5+2)*INDEX($Q151:$AJ151,1,(AV$4-1)*5+3)</f>
        <v/>
      </c>
      <c r="AW151" s="22">
        <f>INDEX($Q151:$AJ151,1,(AW$4-1)*5+1)+AW$8*INDEX($Q151:$AJ151,1,(AW$4-1)*5+2)*INDEX($Q151:$AJ151,1,(AW$4-1)*5+3)</f>
        <v/>
      </c>
      <c r="AX151" s="22">
        <f>INDEX($Q151:$AJ151,1,(AX$4-1)*5+1)+AX$8*INDEX($Q151:$AJ151,1,(AX$4-1)*5+2)*INDEX($Q151:$AJ151,1,(AX$4-1)*5+3)</f>
        <v/>
      </c>
      <c r="AY151" s="22">
        <f>INDEX($Q151:$AJ151,1,(AY$4-1)*5+1)+AY$8*INDEX($Q151:$AJ151,1,(AY$4-1)*5+2)*INDEX($Q151:$AJ151,1,(AY$4-1)*5+3)</f>
        <v/>
      </c>
      <c r="BA151" s="23">
        <f>INDEX($Q151:$AJ151,1,(BA$4-1)*5+1)+BA$8*INDEX($Q151:$AJ151,1,(BA$4-1)*5+2)*INDEX($Q151:$AJ151,1,(BA$4-1)*5+3)</f>
        <v/>
      </c>
      <c r="BB151" s="22">
        <f>INDEX($Q151:$AJ151,1,(BB$4-1)*5+1)+BB$8*INDEX($Q151:$AJ151,1,(BB$4-1)*5+2)*INDEX($Q151:$AJ151,1,(BB$4-1)*5+3)</f>
        <v/>
      </c>
      <c r="BC151" s="22">
        <f>INDEX($Q151:$AJ151,1,(BC$4-1)*5+1)+BC$8*INDEX($Q151:$AJ151,1,(BC$4-1)*5+2)*INDEX($Q151:$AJ151,1,(BC$4-1)*5+3)</f>
        <v/>
      </c>
      <c r="BD151" s="22">
        <f>INDEX($Q151:$AJ151,1,(BD$4-1)*5+1)+BD$8*INDEX($Q151:$AJ151,1,(BD$4-1)*5+2)*INDEX($Q151:$AJ151,1,(BD$4-1)*5+3)</f>
        <v/>
      </c>
      <c r="BE151" s="22">
        <f>INDEX($Q151:$AJ151,1,(BE$4-1)*5+1)+BE$8*INDEX($Q151:$AJ151,1,(BE$4-1)*5+2)*INDEX($Q151:$AJ151,1,(BE$4-1)*5+3)</f>
        <v/>
      </c>
      <c r="BF151" s="22">
        <f>INDEX($Q151:$AJ151,1,(BF$4-1)*5+1)+BF$8*INDEX($Q151:$AJ151,1,(BF$4-1)*5+2)*INDEX($Q151:$AJ151,1,(BF$4-1)*5+3)</f>
        <v/>
      </c>
      <c r="BG151" s="22">
        <f>INDEX($Q151:$AJ151,1,(BG$4-1)*5+1)+BG$8*INDEX($Q151:$AJ151,1,(BG$4-1)*5+2)*INDEX($Q151:$AJ151,1,(BG$4-1)*5+3)</f>
        <v/>
      </c>
      <c r="BH151" s="22">
        <f>INDEX($Q151:$AJ151,1,(BH$4-1)*5+1)+BH$8*INDEX($Q151:$AJ151,1,(BH$4-1)*5+2)*INDEX($Q151:$AJ151,1,(BH$4-1)*5+3)</f>
        <v/>
      </c>
      <c r="BI151" s="22">
        <f>INDEX($Q151:$AJ151,1,(BI$4-1)*5+1)+BI$8*INDEX($Q151:$AJ151,1,(BI$4-1)*5+2)*INDEX($Q151:$AJ151,1,(BI$4-1)*5+3)</f>
        <v/>
      </c>
      <c r="BJ151" s="22">
        <f>INDEX($Q151:$AJ151,1,(BJ$4-1)*5+1)+BJ$8*INDEX($Q151:$AJ151,1,(BJ$4-1)*5+2)*INDEX($Q151:$AJ151,1,(BJ$4-1)*5+3)</f>
        <v/>
      </c>
      <c r="BK151" s="22">
        <f>INDEX($Q151:$AJ151,1,(BK$4-1)*5+1)+BK$8*INDEX($Q151:$AJ151,1,(BK$4-1)*5+2)*INDEX($Q151:$AJ151,1,(BK$4-1)*5+3)</f>
        <v/>
      </c>
      <c r="BL151" s="22">
        <f>INDEX($Q151:$AJ151,1,(BL$4-1)*5+1)+BL$8*INDEX($Q151:$AJ151,1,(BL$4-1)*5+2)*INDEX($Q151:$AJ151,1,(BL$4-1)*5+3)</f>
        <v/>
      </c>
      <c r="BM151" s="22">
        <f>INDEX($Q151:$AJ151,1,(BM$4-1)*5+1)+BM$8*INDEX($Q151:$AJ151,1,(BM$4-1)*5+2)*INDEX($Q151:$AJ151,1,(BM$4-1)*5+3)</f>
        <v/>
      </c>
      <c r="BN151" s="22">
        <f>INDEX($Q151:$AJ151,1,(BN$4-1)*5+1)+BN$8*INDEX($Q151:$AJ151,1,(BN$4-1)*5+2)*INDEX($Q151:$AJ151,1,(BN$4-1)*5+3)</f>
        <v/>
      </c>
    </row>
    <row r="152">
      <c r="B152" s="5" t="inlineStr">
        <is>
          <t>die</t>
        </is>
      </c>
      <c r="C152" s="5" t="inlineStr">
        <is>
          <t>ral</t>
        </is>
      </c>
      <c r="D152" s="5" t="inlineStr">
        <is>
          <t>Tax | Rail | Diesel</t>
        </is>
      </c>
      <c r="E152" s="5" t="inlineStr">
        <is>
          <t>$/GJ</t>
        </is>
      </c>
      <c r="F152" s="5" t="inlineStr">
        <is>
          <t>Prices_dom, EF_GHG, Mapping</t>
        </is>
      </c>
      <c r="G152" s="19" t="inlineStr">
        <is>
          <t>mit.rp.die</t>
        </is>
      </c>
      <c r="H152" s="19" t="inlineStr">
        <is>
          <t>mit.tax.die.ral</t>
        </is>
      </c>
      <c r="J152" s="5">
        <f>INDEX(Mapping!$C$5:$C$20,MATCH($C152,Mapping!$A$5:$A$20,0))</f>
        <v/>
      </c>
      <c r="K152" s="5">
        <f>INDEX(Mapping!$D$5:$D$20,MATCH($C152,Mapping!$A$5:$A$20,0))</f>
        <v/>
      </c>
      <c r="L152" s="5">
        <f>INDEX(Mapping!$C$24:$C$31,MATCH($B152,Mapping!$A$24:$A$31,0))</f>
        <v/>
      </c>
      <c r="M152" s="5">
        <f>INDEX(Mapping!$D$24:$D$31,MATCH($B152,Mapping!$A$24:$A$31,0))</f>
        <v/>
      </c>
      <c r="N152" s="5">
        <f>$B152&amp;"."&amp;IF(INDEX(Mapping!$E$24:$E$31,MATCH($B152,Mapping!$A$24:$A$31,0))="sub",INDEX(Mapping!$F$5:$F$20,MATCH($C152,Mapping!$A$5:$A$20,0)),"all")</f>
        <v/>
      </c>
      <c r="O152" s="5">
        <f>INDEX(Mapping!$E$5:$E$20,MATCH($C152,Mapping!$A$5:$A$20,0))</f>
        <v/>
      </c>
      <c r="P152" s="5">
        <f>INDEX(Mapping!$G$24:$G$31,MATCH($B152,Mapping!$A$24:$A$31,0))</f>
        <v/>
      </c>
      <c r="Q152" s="22">
        <f>(INDEX(Prices_dom!$A$6:$CU$2000,MATCH(Settings!$C$4&amp;Settings!$C$7,Prices_dom!$A$6:$A$2000,0),MATCH("mit.rp."&amp;$N152,Prices_dom!$A$5:$CU$5,0))-INDEX(Prices_dom!$A$6:$CU$2000,MATCH(Settings!$C$4&amp;Settings!$C$7,Prices_dom!$A$6:$A$2000,0),MATCH("mit.sp."&amp;$N152,Prices_dom!$A$5:$CU$5,0)))/$P152</f>
        <v/>
      </c>
      <c r="R152" s="22">
        <f>INDEX(EF_GHG!$E$4:$E$1000,MATCH(Settings!$C$4&amp;"|"&amp;$B152&amp;"|"&amp;$O152,EF_GHG!$A$4:$A$1000,0))</f>
        <v/>
      </c>
      <c r="S152" s="22">
        <f>INDEX(Mapping!$G$5:$G$20,MATCH($C152,Mapping!$A$5:$A$20,0))</f>
        <v/>
      </c>
      <c r="T152" s="21" t="n"/>
      <c r="U152" s="21" t="n"/>
      <c r="V152" s="22">
        <f>Q152</f>
        <v/>
      </c>
      <c r="W152" s="22">
        <f>R152</f>
        <v/>
      </c>
      <c r="X152" s="22">
        <f>S152</f>
        <v/>
      </c>
      <c r="Y152" s="21" t="n"/>
      <c r="Z152" s="21" t="n"/>
      <c r="AA152" s="22">
        <f>Q152</f>
        <v/>
      </c>
      <c r="AB152" s="22">
        <f>R152</f>
        <v/>
      </c>
      <c r="AC152" s="22">
        <f>S152</f>
        <v/>
      </c>
      <c r="AD152" s="21" t="n"/>
      <c r="AE152" s="21" t="n"/>
      <c r="AF152" s="22">
        <f>Q152</f>
        <v/>
      </c>
      <c r="AG152" s="22">
        <f>R152</f>
        <v/>
      </c>
      <c r="AH152" s="22">
        <f>S152</f>
        <v/>
      </c>
      <c r="AI152" s="21" t="n"/>
      <c r="AJ152" s="21" t="n"/>
      <c r="AL152" s="23">
        <f>INDEX($Q152:$AJ152,1,(AL$4-1)*5+1)+AL$8*INDEX($Q152:$AJ152,1,(AL$4-1)*5+2)*INDEX($Q152:$AJ152,1,(AL$4-1)*5+3)</f>
        <v/>
      </c>
      <c r="AM152" s="22">
        <f>INDEX($Q152:$AJ152,1,(AM$4-1)*5+1)+AM$8*INDEX($Q152:$AJ152,1,(AM$4-1)*5+2)*INDEX($Q152:$AJ152,1,(AM$4-1)*5+3)</f>
        <v/>
      </c>
      <c r="AN152" s="22">
        <f>INDEX($Q152:$AJ152,1,(AN$4-1)*5+1)+AN$8*INDEX($Q152:$AJ152,1,(AN$4-1)*5+2)*INDEX($Q152:$AJ152,1,(AN$4-1)*5+3)</f>
        <v/>
      </c>
      <c r="AO152" s="22">
        <f>INDEX($Q152:$AJ152,1,(AO$4-1)*5+1)+AO$8*INDEX($Q152:$AJ152,1,(AO$4-1)*5+2)*INDEX($Q152:$AJ152,1,(AO$4-1)*5+3)</f>
        <v/>
      </c>
      <c r="AP152" s="22">
        <f>INDEX($Q152:$AJ152,1,(AP$4-1)*5+1)+AP$8*INDEX($Q152:$AJ152,1,(AP$4-1)*5+2)*INDEX($Q152:$AJ152,1,(AP$4-1)*5+3)</f>
        <v/>
      </c>
      <c r="AQ152" s="22">
        <f>INDEX($Q152:$AJ152,1,(AQ$4-1)*5+1)+AQ$8*INDEX($Q152:$AJ152,1,(AQ$4-1)*5+2)*INDEX($Q152:$AJ152,1,(AQ$4-1)*5+3)</f>
        <v/>
      </c>
      <c r="AR152" s="22">
        <f>INDEX($Q152:$AJ152,1,(AR$4-1)*5+1)+AR$8*INDEX($Q152:$AJ152,1,(AR$4-1)*5+2)*INDEX($Q152:$AJ152,1,(AR$4-1)*5+3)</f>
        <v/>
      </c>
      <c r="AS152" s="22">
        <f>INDEX($Q152:$AJ152,1,(AS$4-1)*5+1)+AS$8*INDEX($Q152:$AJ152,1,(AS$4-1)*5+2)*INDEX($Q152:$AJ152,1,(AS$4-1)*5+3)</f>
        <v/>
      </c>
      <c r="AT152" s="22">
        <f>INDEX($Q152:$AJ152,1,(AT$4-1)*5+1)+AT$8*INDEX($Q152:$AJ152,1,(AT$4-1)*5+2)*INDEX($Q152:$AJ152,1,(AT$4-1)*5+3)</f>
        <v/>
      </c>
      <c r="AU152" s="22">
        <f>INDEX($Q152:$AJ152,1,(AU$4-1)*5+1)+AU$8*INDEX($Q152:$AJ152,1,(AU$4-1)*5+2)*INDEX($Q152:$AJ152,1,(AU$4-1)*5+3)</f>
        <v/>
      </c>
      <c r="AV152" s="22">
        <f>INDEX($Q152:$AJ152,1,(AV$4-1)*5+1)+AV$8*INDEX($Q152:$AJ152,1,(AV$4-1)*5+2)*INDEX($Q152:$AJ152,1,(AV$4-1)*5+3)</f>
        <v/>
      </c>
      <c r="AW152" s="22">
        <f>INDEX($Q152:$AJ152,1,(AW$4-1)*5+1)+AW$8*INDEX($Q152:$AJ152,1,(AW$4-1)*5+2)*INDEX($Q152:$AJ152,1,(AW$4-1)*5+3)</f>
        <v/>
      </c>
      <c r="AX152" s="22">
        <f>INDEX($Q152:$AJ152,1,(AX$4-1)*5+1)+AX$8*INDEX($Q152:$AJ152,1,(AX$4-1)*5+2)*INDEX($Q152:$AJ152,1,(AX$4-1)*5+3)</f>
        <v/>
      </c>
      <c r="AY152" s="22">
        <f>INDEX($Q152:$AJ152,1,(AY$4-1)*5+1)+AY$8*INDEX($Q152:$AJ152,1,(AY$4-1)*5+2)*INDEX($Q152:$AJ152,1,(AY$4-1)*5+3)</f>
        <v/>
      </c>
      <c r="BA152" s="23">
        <f>INDEX($Q152:$AJ152,1,(BA$4-1)*5+1)+BA$8*INDEX($Q152:$AJ152,1,(BA$4-1)*5+2)*INDEX($Q152:$AJ152,1,(BA$4-1)*5+3)</f>
        <v/>
      </c>
      <c r="BB152" s="22">
        <f>INDEX($Q152:$AJ152,1,(BB$4-1)*5+1)+BB$8*INDEX($Q152:$AJ152,1,(BB$4-1)*5+2)*INDEX($Q152:$AJ152,1,(BB$4-1)*5+3)</f>
        <v/>
      </c>
      <c r="BC152" s="22">
        <f>INDEX($Q152:$AJ152,1,(BC$4-1)*5+1)+BC$8*INDEX($Q152:$AJ152,1,(BC$4-1)*5+2)*INDEX($Q152:$AJ152,1,(BC$4-1)*5+3)</f>
        <v/>
      </c>
      <c r="BD152" s="22">
        <f>INDEX($Q152:$AJ152,1,(BD$4-1)*5+1)+BD$8*INDEX($Q152:$AJ152,1,(BD$4-1)*5+2)*INDEX($Q152:$AJ152,1,(BD$4-1)*5+3)</f>
        <v/>
      </c>
      <c r="BE152" s="22">
        <f>INDEX($Q152:$AJ152,1,(BE$4-1)*5+1)+BE$8*INDEX($Q152:$AJ152,1,(BE$4-1)*5+2)*INDEX($Q152:$AJ152,1,(BE$4-1)*5+3)</f>
        <v/>
      </c>
      <c r="BF152" s="22">
        <f>INDEX($Q152:$AJ152,1,(BF$4-1)*5+1)+BF$8*INDEX($Q152:$AJ152,1,(BF$4-1)*5+2)*INDEX($Q152:$AJ152,1,(BF$4-1)*5+3)</f>
        <v/>
      </c>
      <c r="BG152" s="22">
        <f>INDEX($Q152:$AJ152,1,(BG$4-1)*5+1)+BG$8*INDEX($Q152:$AJ152,1,(BG$4-1)*5+2)*INDEX($Q152:$AJ152,1,(BG$4-1)*5+3)</f>
        <v/>
      </c>
      <c r="BH152" s="22">
        <f>INDEX($Q152:$AJ152,1,(BH$4-1)*5+1)+BH$8*INDEX($Q152:$AJ152,1,(BH$4-1)*5+2)*INDEX($Q152:$AJ152,1,(BH$4-1)*5+3)</f>
        <v/>
      </c>
      <c r="BI152" s="22">
        <f>INDEX($Q152:$AJ152,1,(BI$4-1)*5+1)+BI$8*INDEX($Q152:$AJ152,1,(BI$4-1)*5+2)*INDEX($Q152:$AJ152,1,(BI$4-1)*5+3)</f>
        <v/>
      </c>
      <c r="BJ152" s="22">
        <f>INDEX($Q152:$AJ152,1,(BJ$4-1)*5+1)+BJ$8*INDEX($Q152:$AJ152,1,(BJ$4-1)*5+2)*INDEX($Q152:$AJ152,1,(BJ$4-1)*5+3)</f>
        <v/>
      </c>
      <c r="BK152" s="22">
        <f>INDEX($Q152:$AJ152,1,(BK$4-1)*5+1)+BK$8*INDEX($Q152:$AJ152,1,(BK$4-1)*5+2)*INDEX($Q152:$AJ152,1,(BK$4-1)*5+3)</f>
        <v/>
      </c>
      <c r="BL152" s="22">
        <f>INDEX($Q152:$AJ152,1,(BL$4-1)*5+1)+BL$8*INDEX($Q152:$AJ152,1,(BL$4-1)*5+2)*INDEX($Q152:$AJ152,1,(BL$4-1)*5+3)</f>
        <v/>
      </c>
      <c r="BM152" s="22">
        <f>INDEX($Q152:$AJ152,1,(BM$4-1)*5+1)+BM$8*INDEX($Q152:$AJ152,1,(BM$4-1)*5+2)*INDEX($Q152:$AJ152,1,(BM$4-1)*5+3)</f>
        <v/>
      </c>
      <c r="BN152" s="22">
        <f>INDEX($Q152:$AJ152,1,(BN$4-1)*5+1)+BN$8*INDEX($Q152:$AJ152,1,(BN$4-1)*5+2)*INDEX($Q152:$AJ152,1,(BN$4-1)*5+3)</f>
        <v/>
      </c>
    </row>
    <row r="153">
      <c r="B153" s="5" t="inlineStr">
        <is>
          <t>lpg</t>
        </is>
      </c>
      <c r="C153" s="5" t="inlineStr">
        <is>
          <t>ral</t>
        </is>
      </c>
      <c r="D153" s="5" t="inlineStr">
        <is>
          <t>Tax | Rail | LPG</t>
        </is>
      </c>
      <c r="E153" s="5" t="inlineStr">
        <is>
          <t>$/GJ</t>
        </is>
      </c>
      <c r="F153" s="5" t="inlineStr">
        <is>
          <t>Prices_dom, EF_GHG, Mapping</t>
        </is>
      </c>
      <c r="G153" s="19" t="inlineStr">
        <is>
          <t>mit.rp.lpg</t>
        </is>
      </c>
      <c r="H153" s="19" t="inlineStr">
        <is>
          <t>mit.tax.lpg.ral</t>
        </is>
      </c>
      <c r="J153" s="5">
        <f>INDEX(Mapping!$C$5:$C$20,MATCH($C153,Mapping!$A$5:$A$20,0))</f>
        <v/>
      </c>
      <c r="K153" s="5">
        <f>INDEX(Mapping!$D$5:$D$20,MATCH($C153,Mapping!$A$5:$A$20,0))</f>
        <v/>
      </c>
      <c r="L153" s="5">
        <f>INDEX(Mapping!$C$24:$C$31,MATCH($B153,Mapping!$A$24:$A$31,0))</f>
        <v/>
      </c>
      <c r="M153" s="5">
        <f>INDEX(Mapping!$D$24:$D$31,MATCH($B153,Mapping!$A$24:$A$31,0))</f>
        <v/>
      </c>
      <c r="N153" s="5">
        <f>$B153&amp;"."&amp;IF(INDEX(Mapping!$E$24:$E$31,MATCH($B153,Mapping!$A$24:$A$31,0))="sub",INDEX(Mapping!$F$5:$F$20,MATCH($C153,Mapping!$A$5:$A$20,0)),"all")</f>
        <v/>
      </c>
      <c r="O153" s="5">
        <f>INDEX(Mapping!$E$5:$E$20,MATCH($C153,Mapping!$A$5:$A$20,0))</f>
        <v/>
      </c>
      <c r="P153" s="5">
        <f>INDEX(Mapping!$G$24:$G$31,MATCH($B153,Mapping!$A$24:$A$31,0))</f>
        <v/>
      </c>
      <c r="Q153" s="22">
        <f>(INDEX(Prices_dom!$A$6:$CU$2000,MATCH(Settings!$C$4&amp;Settings!$C$7,Prices_dom!$A$6:$A$2000,0),MATCH("mit.rp."&amp;$N153,Prices_dom!$A$5:$CU$5,0))-INDEX(Prices_dom!$A$6:$CU$2000,MATCH(Settings!$C$4&amp;Settings!$C$7,Prices_dom!$A$6:$A$2000,0),MATCH("mit.sp."&amp;$N153,Prices_dom!$A$5:$CU$5,0)))/$P153</f>
        <v/>
      </c>
      <c r="R153" s="22">
        <f>INDEX(EF_GHG!$E$4:$E$1000,MATCH(Settings!$C$4&amp;"|"&amp;$B153&amp;"|"&amp;$O153,EF_GHG!$A$4:$A$1000,0))</f>
        <v/>
      </c>
      <c r="S153" s="22">
        <f>INDEX(Mapping!$G$5:$G$20,MATCH($C153,Mapping!$A$5:$A$20,0))</f>
        <v/>
      </c>
      <c r="T153" s="21" t="n"/>
      <c r="U153" s="21" t="n"/>
      <c r="V153" s="22">
        <f>Q153</f>
        <v/>
      </c>
      <c r="W153" s="22">
        <f>R153</f>
        <v/>
      </c>
      <c r="X153" s="22">
        <f>S153</f>
        <v/>
      </c>
      <c r="Y153" s="21" t="n"/>
      <c r="Z153" s="21" t="n"/>
      <c r="AA153" s="22">
        <f>Q153</f>
        <v/>
      </c>
      <c r="AB153" s="22">
        <f>R153</f>
        <v/>
      </c>
      <c r="AC153" s="22">
        <f>S153</f>
        <v/>
      </c>
      <c r="AD153" s="21" t="n"/>
      <c r="AE153" s="21" t="n"/>
      <c r="AF153" s="22">
        <f>Q153</f>
        <v/>
      </c>
      <c r="AG153" s="22">
        <f>R153</f>
        <v/>
      </c>
      <c r="AH153" s="22">
        <f>S153</f>
        <v/>
      </c>
      <c r="AI153" s="21" t="n"/>
      <c r="AJ153" s="21" t="n"/>
      <c r="AL153" s="23">
        <f>INDEX($Q153:$AJ153,1,(AL$4-1)*5+1)+AL$8*INDEX($Q153:$AJ153,1,(AL$4-1)*5+2)*INDEX($Q153:$AJ153,1,(AL$4-1)*5+3)</f>
        <v/>
      </c>
      <c r="AM153" s="22">
        <f>INDEX($Q153:$AJ153,1,(AM$4-1)*5+1)+AM$8*INDEX($Q153:$AJ153,1,(AM$4-1)*5+2)*INDEX($Q153:$AJ153,1,(AM$4-1)*5+3)</f>
        <v/>
      </c>
      <c r="AN153" s="22">
        <f>INDEX($Q153:$AJ153,1,(AN$4-1)*5+1)+AN$8*INDEX($Q153:$AJ153,1,(AN$4-1)*5+2)*INDEX($Q153:$AJ153,1,(AN$4-1)*5+3)</f>
        <v/>
      </c>
      <c r="AO153" s="22">
        <f>INDEX($Q153:$AJ153,1,(AO$4-1)*5+1)+AO$8*INDEX($Q153:$AJ153,1,(AO$4-1)*5+2)*INDEX($Q153:$AJ153,1,(AO$4-1)*5+3)</f>
        <v/>
      </c>
      <c r="AP153" s="22">
        <f>INDEX($Q153:$AJ153,1,(AP$4-1)*5+1)+AP$8*INDEX($Q153:$AJ153,1,(AP$4-1)*5+2)*INDEX($Q153:$AJ153,1,(AP$4-1)*5+3)</f>
        <v/>
      </c>
      <c r="AQ153" s="22">
        <f>INDEX($Q153:$AJ153,1,(AQ$4-1)*5+1)+AQ$8*INDEX($Q153:$AJ153,1,(AQ$4-1)*5+2)*INDEX($Q153:$AJ153,1,(AQ$4-1)*5+3)</f>
        <v/>
      </c>
      <c r="AR153" s="22">
        <f>INDEX($Q153:$AJ153,1,(AR$4-1)*5+1)+AR$8*INDEX($Q153:$AJ153,1,(AR$4-1)*5+2)*INDEX($Q153:$AJ153,1,(AR$4-1)*5+3)</f>
        <v/>
      </c>
      <c r="AS153" s="22">
        <f>INDEX($Q153:$AJ153,1,(AS$4-1)*5+1)+AS$8*INDEX($Q153:$AJ153,1,(AS$4-1)*5+2)*INDEX($Q153:$AJ153,1,(AS$4-1)*5+3)</f>
        <v/>
      </c>
      <c r="AT153" s="22">
        <f>INDEX($Q153:$AJ153,1,(AT$4-1)*5+1)+AT$8*INDEX($Q153:$AJ153,1,(AT$4-1)*5+2)*INDEX($Q153:$AJ153,1,(AT$4-1)*5+3)</f>
        <v/>
      </c>
      <c r="AU153" s="22">
        <f>INDEX($Q153:$AJ153,1,(AU$4-1)*5+1)+AU$8*INDEX($Q153:$AJ153,1,(AU$4-1)*5+2)*INDEX($Q153:$AJ153,1,(AU$4-1)*5+3)</f>
        <v/>
      </c>
      <c r="AV153" s="22">
        <f>INDEX($Q153:$AJ153,1,(AV$4-1)*5+1)+AV$8*INDEX($Q153:$AJ153,1,(AV$4-1)*5+2)*INDEX($Q153:$AJ153,1,(AV$4-1)*5+3)</f>
        <v/>
      </c>
      <c r="AW153" s="22">
        <f>INDEX($Q153:$AJ153,1,(AW$4-1)*5+1)+AW$8*INDEX($Q153:$AJ153,1,(AW$4-1)*5+2)*INDEX($Q153:$AJ153,1,(AW$4-1)*5+3)</f>
        <v/>
      </c>
      <c r="AX153" s="22">
        <f>INDEX($Q153:$AJ153,1,(AX$4-1)*5+1)+AX$8*INDEX($Q153:$AJ153,1,(AX$4-1)*5+2)*INDEX($Q153:$AJ153,1,(AX$4-1)*5+3)</f>
        <v/>
      </c>
      <c r="AY153" s="22">
        <f>INDEX($Q153:$AJ153,1,(AY$4-1)*5+1)+AY$8*INDEX($Q153:$AJ153,1,(AY$4-1)*5+2)*INDEX($Q153:$AJ153,1,(AY$4-1)*5+3)</f>
        <v/>
      </c>
      <c r="BA153" s="23">
        <f>INDEX($Q153:$AJ153,1,(BA$4-1)*5+1)+BA$8*INDEX($Q153:$AJ153,1,(BA$4-1)*5+2)*INDEX($Q153:$AJ153,1,(BA$4-1)*5+3)</f>
        <v/>
      </c>
      <c r="BB153" s="22">
        <f>INDEX($Q153:$AJ153,1,(BB$4-1)*5+1)+BB$8*INDEX($Q153:$AJ153,1,(BB$4-1)*5+2)*INDEX($Q153:$AJ153,1,(BB$4-1)*5+3)</f>
        <v/>
      </c>
      <c r="BC153" s="22">
        <f>INDEX($Q153:$AJ153,1,(BC$4-1)*5+1)+BC$8*INDEX($Q153:$AJ153,1,(BC$4-1)*5+2)*INDEX($Q153:$AJ153,1,(BC$4-1)*5+3)</f>
        <v/>
      </c>
      <c r="BD153" s="22">
        <f>INDEX($Q153:$AJ153,1,(BD$4-1)*5+1)+BD$8*INDEX($Q153:$AJ153,1,(BD$4-1)*5+2)*INDEX($Q153:$AJ153,1,(BD$4-1)*5+3)</f>
        <v/>
      </c>
      <c r="BE153" s="22">
        <f>INDEX($Q153:$AJ153,1,(BE$4-1)*5+1)+BE$8*INDEX($Q153:$AJ153,1,(BE$4-1)*5+2)*INDEX($Q153:$AJ153,1,(BE$4-1)*5+3)</f>
        <v/>
      </c>
      <c r="BF153" s="22">
        <f>INDEX($Q153:$AJ153,1,(BF$4-1)*5+1)+BF$8*INDEX($Q153:$AJ153,1,(BF$4-1)*5+2)*INDEX($Q153:$AJ153,1,(BF$4-1)*5+3)</f>
        <v/>
      </c>
      <c r="BG153" s="22">
        <f>INDEX($Q153:$AJ153,1,(BG$4-1)*5+1)+BG$8*INDEX($Q153:$AJ153,1,(BG$4-1)*5+2)*INDEX($Q153:$AJ153,1,(BG$4-1)*5+3)</f>
        <v/>
      </c>
      <c r="BH153" s="22">
        <f>INDEX($Q153:$AJ153,1,(BH$4-1)*5+1)+BH$8*INDEX($Q153:$AJ153,1,(BH$4-1)*5+2)*INDEX($Q153:$AJ153,1,(BH$4-1)*5+3)</f>
        <v/>
      </c>
      <c r="BI153" s="22">
        <f>INDEX($Q153:$AJ153,1,(BI$4-1)*5+1)+BI$8*INDEX($Q153:$AJ153,1,(BI$4-1)*5+2)*INDEX($Q153:$AJ153,1,(BI$4-1)*5+3)</f>
        <v/>
      </c>
      <c r="BJ153" s="22">
        <f>INDEX($Q153:$AJ153,1,(BJ$4-1)*5+1)+BJ$8*INDEX($Q153:$AJ153,1,(BJ$4-1)*5+2)*INDEX($Q153:$AJ153,1,(BJ$4-1)*5+3)</f>
        <v/>
      </c>
      <c r="BK153" s="22">
        <f>INDEX($Q153:$AJ153,1,(BK$4-1)*5+1)+BK$8*INDEX($Q153:$AJ153,1,(BK$4-1)*5+2)*INDEX($Q153:$AJ153,1,(BK$4-1)*5+3)</f>
        <v/>
      </c>
      <c r="BL153" s="22">
        <f>INDEX($Q153:$AJ153,1,(BL$4-1)*5+1)+BL$8*INDEX($Q153:$AJ153,1,(BL$4-1)*5+2)*INDEX($Q153:$AJ153,1,(BL$4-1)*5+3)</f>
        <v/>
      </c>
      <c r="BM153" s="22">
        <f>INDEX($Q153:$AJ153,1,(BM$4-1)*5+1)+BM$8*INDEX($Q153:$AJ153,1,(BM$4-1)*5+2)*INDEX($Q153:$AJ153,1,(BM$4-1)*5+3)</f>
        <v/>
      </c>
      <c r="BN153" s="22">
        <f>INDEX($Q153:$AJ153,1,(BN$4-1)*5+1)+BN$8*INDEX($Q153:$AJ153,1,(BN$4-1)*5+2)*INDEX($Q153:$AJ153,1,(BN$4-1)*5+3)</f>
        <v/>
      </c>
    </row>
    <row r="154">
      <c r="B154" s="5" t="inlineStr">
        <is>
          <t>ker</t>
        </is>
      </c>
      <c r="C154" s="5" t="inlineStr">
        <is>
          <t>ral</t>
        </is>
      </c>
      <c r="D154" s="5" t="inlineStr">
        <is>
          <t>Tax | Rail | Kerosene</t>
        </is>
      </c>
      <c r="E154" s="5" t="inlineStr">
        <is>
          <t>$/GJ</t>
        </is>
      </c>
      <c r="F154" s="5" t="inlineStr">
        <is>
          <t>Prices_dom, EF_GHG, Mapping</t>
        </is>
      </c>
      <c r="G154" s="19" t="inlineStr">
        <is>
          <t>mit.rp.ker</t>
        </is>
      </c>
      <c r="H154" s="19" t="inlineStr">
        <is>
          <t>mit.tax.ker.ral</t>
        </is>
      </c>
      <c r="J154" s="5">
        <f>INDEX(Mapping!$C$5:$C$20,MATCH($C154,Mapping!$A$5:$A$20,0))</f>
        <v/>
      </c>
      <c r="K154" s="5">
        <f>INDEX(Mapping!$D$5:$D$20,MATCH($C154,Mapping!$A$5:$A$20,0))</f>
        <v/>
      </c>
      <c r="L154" s="5">
        <f>INDEX(Mapping!$C$24:$C$31,MATCH($B154,Mapping!$A$24:$A$31,0))</f>
        <v/>
      </c>
      <c r="M154" s="5">
        <f>INDEX(Mapping!$D$24:$D$31,MATCH($B154,Mapping!$A$24:$A$31,0))</f>
        <v/>
      </c>
      <c r="N154" s="5">
        <f>$B154&amp;"."&amp;IF(INDEX(Mapping!$E$24:$E$31,MATCH($B154,Mapping!$A$24:$A$31,0))="sub",INDEX(Mapping!$F$5:$F$20,MATCH($C154,Mapping!$A$5:$A$20,0)),"all")</f>
        <v/>
      </c>
      <c r="O154" s="5">
        <f>INDEX(Mapping!$E$5:$E$20,MATCH($C154,Mapping!$A$5:$A$20,0))</f>
        <v/>
      </c>
      <c r="P154" s="5">
        <f>INDEX(Mapping!$G$24:$G$31,MATCH($B154,Mapping!$A$24:$A$31,0))</f>
        <v/>
      </c>
      <c r="Q154" s="22">
        <f>(INDEX(Prices_dom!$A$6:$CU$2000,MATCH(Settings!$C$4&amp;Settings!$C$7,Prices_dom!$A$6:$A$2000,0),MATCH("mit.rp."&amp;$N154,Prices_dom!$A$5:$CU$5,0))-INDEX(Prices_dom!$A$6:$CU$2000,MATCH(Settings!$C$4&amp;Settings!$C$7,Prices_dom!$A$6:$A$2000,0),MATCH("mit.sp."&amp;$N154,Prices_dom!$A$5:$CU$5,0)))/$P154</f>
        <v/>
      </c>
      <c r="R154" s="22">
        <f>INDEX(EF_GHG!$E$4:$E$1000,MATCH(Settings!$C$4&amp;"|"&amp;$B154&amp;"|"&amp;$O154,EF_GHG!$A$4:$A$1000,0))</f>
        <v/>
      </c>
      <c r="S154" s="22">
        <f>INDEX(Mapping!$G$5:$G$20,MATCH($C154,Mapping!$A$5:$A$20,0))</f>
        <v/>
      </c>
      <c r="T154" s="21" t="n"/>
      <c r="U154" s="21" t="n"/>
      <c r="V154" s="22">
        <f>Q154</f>
        <v/>
      </c>
      <c r="W154" s="22">
        <f>R154</f>
        <v/>
      </c>
      <c r="X154" s="22">
        <f>S154</f>
        <v/>
      </c>
      <c r="Y154" s="21" t="n"/>
      <c r="Z154" s="21" t="n"/>
      <c r="AA154" s="22">
        <f>Q154</f>
        <v/>
      </c>
      <c r="AB154" s="22">
        <f>R154</f>
        <v/>
      </c>
      <c r="AC154" s="22">
        <f>S154</f>
        <v/>
      </c>
      <c r="AD154" s="21" t="n"/>
      <c r="AE154" s="21" t="n"/>
      <c r="AF154" s="22">
        <f>Q154</f>
        <v/>
      </c>
      <c r="AG154" s="22">
        <f>R154</f>
        <v/>
      </c>
      <c r="AH154" s="22">
        <f>S154</f>
        <v/>
      </c>
      <c r="AI154" s="21" t="n"/>
      <c r="AJ154" s="21" t="n"/>
      <c r="AL154" s="23">
        <f>INDEX($Q154:$AJ154,1,(AL$4-1)*5+1)+AL$8*INDEX($Q154:$AJ154,1,(AL$4-1)*5+2)*INDEX($Q154:$AJ154,1,(AL$4-1)*5+3)</f>
        <v/>
      </c>
      <c r="AM154" s="22">
        <f>INDEX($Q154:$AJ154,1,(AM$4-1)*5+1)+AM$8*INDEX($Q154:$AJ154,1,(AM$4-1)*5+2)*INDEX($Q154:$AJ154,1,(AM$4-1)*5+3)</f>
        <v/>
      </c>
      <c r="AN154" s="22">
        <f>INDEX($Q154:$AJ154,1,(AN$4-1)*5+1)+AN$8*INDEX($Q154:$AJ154,1,(AN$4-1)*5+2)*INDEX($Q154:$AJ154,1,(AN$4-1)*5+3)</f>
        <v/>
      </c>
      <c r="AO154" s="22">
        <f>INDEX($Q154:$AJ154,1,(AO$4-1)*5+1)+AO$8*INDEX($Q154:$AJ154,1,(AO$4-1)*5+2)*INDEX($Q154:$AJ154,1,(AO$4-1)*5+3)</f>
        <v/>
      </c>
      <c r="AP154" s="22">
        <f>INDEX($Q154:$AJ154,1,(AP$4-1)*5+1)+AP$8*INDEX($Q154:$AJ154,1,(AP$4-1)*5+2)*INDEX($Q154:$AJ154,1,(AP$4-1)*5+3)</f>
        <v/>
      </c>
      <c r="AQ154" s="22">
        <f>INDEX($Q154:$AJ154,1,(AQ$4-1)*5+1)+AQ$8*INDEX($Q154:$AJ154,1,(AQ$4-1)*5+2)*INDEX($Q154:$AJ154,1,(AQ$4-1)*5+3)</f>
        <v/>
      </c>
      <c r="AR154" s="22">
        <f>INDEX($Q154:$AJ154,1,(AR$4-1)*5+1)+AR$8*INDEX($Q154:$AJ154,1,(AR$4-1)*5+2)*INDEX($Q154:$AJ154,1,(AR$4-1)*5+3)</f>
        <v/>
      </c>
      <c r="AS154" s="22">
        <f>INDEX($Q154:$AJ154,1,(AS$4-1)*5+1)+AS$8*INDEX($Q154:$AJ154,1,(AS$4-1)*5+2)*INDEX($Q154:$AJ154,1,(AS$4-1)*5+3)</f>
        <v/>
      </c>
      <c r="AT154" s="22">
        <f>INDEX($Q154:$AJ154,1,(AT$4-1)*5+1)+AT$8*INDEX($Q154:$AJ154,1,(AT$4-1)*5+2)*INDEX($Q154:$AJ154,1,(AT$4-1)*5+3)</f>
        <v/>
      </c>
      <c r="AU154" s="22">
        <f>INDEX($Q154:$AJ154,1,(AU$4-1)*5+1)+AU$8*INDEX($Q154:$AJ154,1,(AU$4-1)*5+2)*INDEX($Q154:$AJ154,1,(AU$4-1)*5+3)</f>
        <v/>
      </c>
      <c r="AV154" s="22">
        <f>INDEX($Q154:$AJ154,1,(AV$4-1)*5+1)+AV$8*INDEX($Q154:$AJ154,1,(AV$4-1)*5+2)*INDEX($Q154:$AJ154,1,(AV$4-1)*5+3)</f>
        <v/>
      </c>
      <c r="AW154" s="22">
        <f>INDEX($Q154:$AJ154,1,(AW$4-1)*5+1)+AW$8*INDEX($Q154:$AJ154,1,(AW$4-1)*5+2)*INDEX($Q154:$AJ154,1,(AW$4-1)*5+3)</f>
        <v/>
      </c>
      <c r="AX154" s="22">
        <f>INDEX($Q154:$AJ154,1,(AX$4-1)*5+1)+AX$8*INDEX($Q154:$AJ154,1,(AX$4-1)*5+2)*INDEX($Q154:$AJ154,1,(AX$4-1)*5+3)</f>
        <v/>
      </c>
      <c r="AY154" s="22">
        <f>INDEX($Q154:$AJ154,1,(AY$4-1)*5+1)+AY$8*INDEX($Q154:$AJ154,1,(AY$4-1)*5+2)*INDEX($Q154:$AJ154,1,(AY$4-1)*5+3)</f>
        <v/>
      </c>
      <c r="BA154" s="23">
        <f>INDEX($Q154:$AJ154,1,(BA$4-1)*5+1)+BA$8*INDEX($Q154:$AJ154,1,(BA$4-1)*5+2)*INDEX($Q154:$AJ154,1,(BA$4-1)*5+3)</f>
        <v/>
      </c>
      <c r="BB154" s="22">
        <f>INDEX($Q154:$AJ154,1,(BB$4-1)*5+1)+BB$8*INDEX($Q154:$AJ154,1,(BB$4-1)*5+2)*INDEX($Q154:$AJ154,1,(BB$4-1)*5+3)</f>
        <v/>
      </c>
      <c r="BC154" s="22">
        <f>INDEX($Q154:$AJ154,1,(BC$4-1)*5+1)+BC$8*INDEX($Q154:$AJ154,1,(BC$4-1)*5+2)*INDEX($Q154:$AJ154,1,(BC$4-1)*5+3)</f>
        <v/>
      </c>
      <c r="BD154" s="22">
        <f>INDEX($Q154:$AJ154,1,(BD$4-1)*5+1)+BD$8*INDEX($Q154:$AJ154,1,(BD$4-1)*5+2)*INDEX($Q154:$AJ154,1,(BD$4-1)*5+3)</f>
        <v/>
      </c>
      <c r="BE154" s="22">
        <f>INDEX($Q154:$AJ154,1,(BE$4-1)*5+1)+BE$8*INDEX($Q154:$AJ154,1,(BE$4-1)*5+2)*INDEX($Q154:$AJ154,1,(BE$4-1)*5+3)</f>
        <v/>
      </c>
      <c r="BF154" s="22">
        <f>INDEX($Q154:$AJ154,1,(BF$4-1)*5+1)+BF$8*INDEX($Q154:$AJ154,1,(BF$4-1)*5+2)*INDEX($Q154:$AJ154,1,(BF$4-1)*5+3)</f>
        <v/>
      </c>
      <c r="BG154" s="22">
        <f>INDEX($Q154:$AJ154,1,(BG$4-1)*5+1)+BG$8*INDEX($Q154:$AJ154,1,(BG$4-1)*5+2)*INDEX($Q154:$AJ154,1,(BG$4-1)*5+3)</f>
        <v/>
      </c>
      <c r="BH154" s="22">
        <f>INDEX($Q154:$AJ154,1,(BH$4-1)*5+1)+BH$8*INDEX($Q154:$AJ154,1,(BH$4-1)*5+2)*INDEX($Q154:$AJ154,1,(BH$4-1)*5+3)</f>
        <v/>
      </c>
      <c r="BI154" s="22">
        <f>INDEX($Q154:$AJ154,1,(BI$4-1)*5+1)+BI$8*INDEX($Q154:$AJ154,1,(BI$4-1)*5+2)*INDEX($Q154:$AJ154,1,(BI$4-1)*5+3)</f>
        <v/>
      </c>
      <c r="BJ154" s="22">
        <f>INDEX($Q154:$AJ154,1,(BJ$4-1)*5+1)+BJ$8*INDEX($Q154:$AJ154,1,(BJ$4-1)*5+2)*INDEX($Q154:$AJ154,1,(BJ$4-1)*5+3)</f>
        <v/>
      </c>
      <c r="BK154" s="22">
        <f>INDEX($Q154:$AJ154,1,(BK$4-1)*5+1)+BK$8*INDEX($Q154:$AJ154,1,(BK$4-1)*5+2)*INDEX($Q154:$AJ154,1,(BK$4-1)*5+3)</f>
        <v/>
      </c>
      <c r="BL154" s="22">
        <f>INDEX($Q154:$AJ154,1,(BL$4-1)*5+1)+BL$8*INDEX($Q154:$AJ154,1,(BL$4-1)*5+2)*INDEX($Q154:$AJ154,1,(BL$4-1)*5+3)</f>
        <v/>
      </c>
      <c r="BM154" s="22">
        <f>INDEX($Q154:$AJ154,1,(BM$4-1)*5+1)+BM$8*INDEX($Q154:$AJ154,1,(BM$4-1)*5+2)*INDEX($Q154:$AJ154,1,(BM$4-1)*5+3)</f>
        <v/>
      </c>
      <c r="BN154" s="22">
        <f>INDEX($Q154:$AJ154,1,(BN$4-1)*5+1)+BN$8*INDEX($Q154:$AJ154,1,(BN$4-1)*5+2)*INDEX($Q154:$AJ154,1,(BN$4-1)*5+3)</f>
        <v/>
      </c>
    </row>
    <row r="155">
      <c r="B155" s="5" t="inlineStr">
        <is>
          <t>oop</t>
        </is>
      </c>
      <c r="C155" s="5" t="inlineStr">
        <is>
          <t>ral</t>
        </is>
      </c>
      <c r="D155" s="5" t="inlineStr">
        <is>
          <t>Tax | Rail | Other oil products</t>
        </is>
      </c>
      <c r="E155" s="5" t="inlineStr">
        <is>
          <t>$/GJ</t>
        </is>
      </c>
      <c r="F155" s="5" t="inlineStr">
        <is>
          <t>Prices_dom, EF_GHG, Mapping</t>
        </is>
      </c>
      <c r="G155" s="19" t="inlineStr">
        <is>
          <t>mit.rp.oop</t>
        </is>
      </c>
      <c r="H155" s="19" t="inlineStr">
        <is>
          <t>mit.tax.oop.ral</t>
        </is>
      </c>
      <c r="J155" s="5">
        <f>INDEX(Mapping!$C$5:$C$20,MATCH($C155,Mapping!$A$5:$A$20,0))</f>
        <v/>
      </c>
      <c r="K155" s="5">
        <f>INDEX(Mapping!$D$5:$D$20,MATCH($C155,Mapping!$A$5:$A$20,0))</f>
        <v/>
      </c>
      <c r="L155" s="5">
        <f>INDEX(Mapping!$C$24:$C$31,MATCH($B155,Mapping!$A$24:$A$31,0))</f>
        <v/>
      </c>
      <c r="M155" s="5">
        <f>INDEX(Mapping!$D$24:$D$31,MATCH($B155,Mapping!$A$24:$A$31,0))</f>
        <v/>
      </c>
      <c r="N155" s="5">
        <f>$B155&amp;"."&amp;IF(INDEX(Mapping!$E$24:$E$31,MATCH($B155,Mapping!$A$24:$A$31,0))="sub",INDEX(Mapping!$F$5:$F$20,MATCH($C155,Mapping!$A$5:$A$20,0)),"all")</f>
        <v/>
      </c>
      <c r="O155" s="5">
        <f>INDEX(Mapping!$E$5:$E$20,MATCH($C155,Mapping!$A$5:$A$20,0))</f>
        <v/>
      </c>
      <c r="P155" s="5">
        <f>INDEX(Mapping!$G$24:$G$31,MATCH($B155,Mapping!$A$24:$A$31,0))</f>
        <v/>
      </c>
      <c r="Q155" s="22">
        <f>(INDEX(Prices_dom!$A$6:$CU$2000,MATCH(Settings!$C$4&amp;Settings!$C$7,Prices_dom!$A$6:$A$2000,0),MATCH("mit.rp."&amp;$N155,Prices_dom!$A$5:$CU$5,0))-INDEX(Prices_dom!$A$6:$CU$2000,MATCH(Settings!$C$4&amp;Settings!$C$7,Prices_dom!$A$6:$A$2000,0),MATCH("mit.sp."&amp;$N155,Prices_dom!$A$5:$CU$5,0)))/$P155</f>
        <v/>
      </c>
      <c r="R155" s="22">
        <f>INDEX(EF_GHG!$E$4:$E$1000,MATCH(Settings!$C$4&amp;"|"&amp;$B155&amp;"|"&amp;$O155,EF_GHG!$A$4:$A$1000,0))</f>
        <v/>
      </c>
      <c r="S155" s="22">
        <f>INDEX(Mapping!$G$5:$G$20,MATCH($C155,Mapping!$A$5:$A$20,0))</f>
        <v/>
      </c>
      <c r="T155" s="21" t="n"/>
      <c r="U155" s="21" t="n"/>
      <c r="V155" s="22">
        <f>Q155</f>
        <v/>
      </c>
      <c r="W155" s="22">
        <f>R155</f>
        <v/>
      </c>
      <c r="X155" s="22">
        <f>S155</f>
        <v/>
      </c>
      <c r="Y155" s="21" t="n"/>
      <c r="Z155" s="21" t="n"/>
      <c r="AA155" s="22">
        <f>Q155</f>
        <v/>
      </c>
      <c r="AB155" s="22">
        <f>R155</f>
        <v/>
      </c>
      <c r="AC155" s="22">
        <f>S155</f>
        <v/>
      </c>
      <c r="AD155" s="21" t="n"/>
      <c r="AE155" s="21" t="n"/>
      <c r="AF155" s="22">
        <f>Q155</f>
        <v/>
      </c>
      <c r="AG155" s="22">
        <f>R155</f>
        <v/>
      </c>
      <c r="AH155" s="22">
        <f>S155</f>
        <v/>
      </c>
      <c r="AI155" s="21" t="n"/>
      <c r="AJ155" s="21" t="n"/>
      <c r="AL155" s="23">
        <f>INDEX($Q155:$AJ155,1,(AL$4-1)*5+1)+AL$8*INDEX($Q155:$AJ155,1,(AL$4-1)*5+2)*INDEX($Q155:$AJ155,1,(AL$4-1)*5+3)</f>
        <v/>
      </c>
      <c r="AM155" s="22">
        <f>INDEX($Q155:$AJ155,1,(AM$4-1)*5+1)+AM$8*INDEX($Q155:$AJ155,1,(AM$4-1)*5+2)*INDEX($Q155:$AJ155,1,(AM$4-1)*5+3)</f>
        <v/>
      </c>
      <c r="AN155" s="22">
        <f>INDEX($Q155:$AJ155,1,(AN$4-1)*5+1)+AN$8*INDEX($Q155:$AJ155,1,(AN$4-1)*5+2)*INDEX($Q155:$AJ155,1,(AN$4-1)*5+3)</f>
        <v/>
      </c>
      <c r="AO155" s="22">
        <f>INDEX($Q155:$AJ155,1,(AO$4-1)*5+1)+AO$8*INDEX($Q155:$AJ155,1,(AO$4-1)*5+2)*INDEX($Q155:$AJ155,1,(AO$4-1)*5+3)</f>
        <v/>
      </c>
      <c r="AP155" s="22">
        <f>INDEX($Q155:$AJ155,1,(AP$4-1)*5+1)+AP$8*INDEX($Q155:$AJ155,1,(AP$4-1)*5+2)*INDEX($Q155:$AJ155,1,(AP$4-1)*5+3)</f>
        <v/>
      </c>
      <c r="AQ155" s="22">
        <f>INDEX($Q155:$AJ155,1,(AQ$4-1)*5+1)+AQ$8*INDEX($Q155:$AJ155,1,(AQ$4-1)*5+2)*INDEX($Q155:$AJ155,1,(AQ$4-1)*5+3)</f>
        <v/>
      </c>
      <c r="AR155" s="22">
        <f>INDEX($Q155:$AJ155,1,(AR$4-1)*5+1)+AR$8*INDEX($Q155:$AJ155,1,(AR$4-1)*5+2)*INDEX($Q155:$AJ155,1,(AR$4-1)*5+3)</f>
        <v/>
      </c>
      <c r="AS155" s="22">
        <f>INDEX($Q155:$AJ155,1,(AS$4-1)*5+1)+AS$8*INDEX($Q155:$AJ155,1,(AS$4-1)*5+2)*INDEX($Q155:$AJ155,1,(AS$4-1)*5+3)</f>
        <v/>
      </c>
      <c r="AT155" s="22">
        <f>INDEX($Q155:$AJ155,1,(AT$4-1)*5+1)+AT$8*INDEX($Q155:$AJ155,1,(AT$4-1)*5+2)*INDEX($Q155:$AJ155,1,(AT$4-1)*5+3)</f>
        <v/>
      </c>
      <c r="AU155" s="22">
        <f>INDEX($Q155:$AJ155,1,(AU$4-1)*5+1)+AU$8*INDEX($Q155:$AJ155,1,(AU$4-1)*5+2)*INDEX($Q155:$AJ155,1,(AU$4-1)*5+3)</f>
        <v/>
      </c>
      <c r="AV155" s="22">
        <f>INDEX($Q155:$AJ155,1,(AV$4-1)*5+1)+AV$8*INDEX($Q155:$AJ155,1,(AV$4-1)*5+2)*INDEX($Q155:$AJ155,1,(AV$4-1)*5+3)</f>
        <v/>
      </c>
      <c r="AW155" s="22">
        <f>INDEX($Q155:$AJ155,1,(AW$4-1)*5+1)+AW$8*INDEX($Q155:$AJ155,1,(AW$4-1)*5+2)*INDEX($Q155:$AJ155,1,(AW$4-1)*5+3)</f>
        <v/>
      </c>
      <c r="AX155" s="22">
        <f>INDEX($Q155:$AJ155,1,(AX$4-1)*5+1)+AX$8*INDEX($Q155:$AJ155,1,(AX$4-1)*5+2)*INDEX($Q155:$AJ155,1,(AX$4-1)*5+3)</f>
        <v/>
      </c>
      <c r="AY155" s="22">
        <f>INDEX($Q155:$AJ155,1,(AY$4-1)*5+1)+AY$8*INDEX($Q155:$AJ155,1,(AY$4-1)*5+2)*INDEX($Q155:$AJ155,1,(AY$4-1)*5+3)</f>
        <v/>
      </c>
      <c r="BA155" s="23">
        <f>INDEX($Q155:$AJ155,1,(BA$4-1)*5+1)+BA$8*INDEX($Q155:$AJ155,1,(BA$4-1)*5+2)*INDEX($Q155:$AJ155,1,(BA$4-1)*5+3)</f>
        <v/>
      </c>
      <c r="BB155" s="22">
        <f>INDEX($Q155:$AJ155,1,(BB$4-1)*5+1)+BB$8*INDEX($Q155:$AJ155,1,(BB$4-1)*5+2)*INDEX($Q155:$AJ155,1,(BB$4-1)*5+3)</f>
        <v/>
      </c>
      <c r="BC155" s="22">
        <f>INDEX($Q155:$AJ155,1,(BC$4-1)*5+1)+BC$8*INDEX($Q155:$AJ155,1,(BC$4-1)*5+2)*INDEX($Q155:$AJ155,1,(BC$4-1)*5+3)</f>
        <v/>
      </c>
      <c r="BD155" s="22">
        <f>INDEX($Q155:$AJ155,1,(BD$4-1)*5+1)+BD$8*INDEX($Q155:$AJ155,1,(BD$4-1)*5+2)*INDEX($Q155:$AJ155,1,(BD$4-1)*5+3)</f>
        <v/>
      </c>
      <c r="BE155" s="22">
        <f>INDEX($Q155:$AJ155,1,(BE$4-1)*5+1)+BE$8*INDEX($Q155:$AJ155,1,(BE$4-1)*5+2)*INDEX($Q155:$AJ155,1,(BE$4-1)*5+3)</f>
        <v/>
      </c>
      <c r="BF155" s="22">
        <f>INDEX($Q155:$AJ155,1,(BF$4-1)*5+1)+BF$8*INDEX($Q155:$AJ155,1,(BF$4-1)*5+2)*INDEX($Q155:$AJ155,1,(BF$4-1)*5+3)</f>
        <v/>
      </c>
      <c r="BG155" s="22">
        <f>INDEX($Q155:$AJ155,1,(BG$4-1)*5+1)+BG$8*INDEX($Q155:$AJ155,1,(BG$4-1)*5+2)*INDEX($Q155:$AJ155,1,(BG$4-1)*5+3)</f>
        <v/>
      </c>
      <c r="BH155" s="22">
        <f>INDEX($Q155:$AJ155,1,(BH$4-1)*5+1)+BH$8*INDEX($Q155:$AJ155,1,(BH$4-1)*5+2)*INDEX($Q155:$AJ155,1,(BH$4-1)*5+3)</f>
        <v/>
      </c>
      <c r="BI155" s="22">
        <f>INDEX($Q155:$AJ155,1,(BI$4-1)*5+1)+BI$8*INDEX($Q155:$AJ155,1,(BI$4-1)*5+2)*INDEX($Q155:$AJ155,1,(BI$4-1)*5+3)</f>
        <v/>
      </c>
      <c r="BJ155" s="22">
        <f>INDEX($Q155:$AJ155,1,(BJ$4-1)*5+1)+BJ$8*INDEX($Q155:$AJ155,1,(BJ$4-1)*5+2)*INDEX($Q155:$AJ155,1,(BJ$4-1)*5+3)</f>
        <v/>
      </c>
      <c r="BK155" s="22">
        <f>INDEX($Q155:$AJ155,1,(BK$4-1)*5+1)+BK$8*INDEX($Q155:$AJ155,1,(BK$4-1)*5+2)*INDEX($Q155:$AJ155,1,(BK$4-1)*5+3)</f>
        <v/>
      </c>
      <c r="BL155" s="22">
        <f>INDEX($Q155:$AJ155,1,(BL$4-1)*5+1)+BL$8*INDEX($Q155:$AJ155,1,(BL$4-1)*5+2)*INDEX($Q155:$AJ155,1,(BL$4-1)*5+3)</f>
        <v/>
      </c>
      <c r="BM155" s="22">
        <f>INDEX($Q155:$AJ155,1,(BM$4-1)*5+1)+BM$8*INDEX($Q155:$AJ155,1,(BM$4-1)*5+2)*INDEX($Q155:$AJ155,1,(BM$4-1)*5+3)</f>
        <v/>
      </c>
      <c r="BN155" s="22">
        <f>INDEX($Q155:$AJ155,1,(BN$4-1)*5+1)+BN$8*INDEX($Q155:$AJ155,1,(BN$4-1)*5+2)*INDEX($Q155:$AJ155,1,(BN$4-1)*5+3)</f>
        <v/>
      </c>
    </row>
    <row r="156">
      <c r="B156" s="5" t="inlineStr">
        <is>
          <t>bio</t>
        </is>
      </c>
      <c r="C156" s="5" t="inlineStr">
        <is>
          <t>ral</t>
        </is>
      </c>
      <c r="D156" s="5" t="inlineStr">
        <is>
          <t>Tax | Rail | Biomass</t>
        </is>
      </c>
      <c r="E156" s="5" t="inlineStr">
        <is>
          <t>$/GJ</t>
        </is>
      </c>
      <c r="F156" s="5" t="inlineStr">
        <is>
          <t>Prices_dom, EF_GHG, Mapping</t>
        </is>
      </c>
      <c r="G156" s="19" t="inlineStr">
        <is>
          <t>mit.rp.bio</t>
        </is>
      </c>
      <c r="H156" s="19" t="inlineStr">
        <is>
          <t>mit.tax.bio.ral</t>
        </is>
      </c>
      <c r="J156" s="5">
        <f>INDEX(Mapping!$C$5:$C$20,MATCH($C156,Mapping!$A$5:$A$20,0))</f>
        <v/>
      </c>
      <c r="K156" s="5">
        <f>INDEX(Mapping!$D$5:$D$20,MATCH($C156,Mapping!$A$5:$A$20,0))</f>
        <v/>
      </c>
      <c r="L156" s="5">
        <f>INDEX(Mapping!$C$24:$C$31,MATCH($B156,Mapping!$A$24:$A$31,0))</f>
        <v/>
      </c>
      <c r="M156" s="5">
        <f>INDEX(Mapping!$D$24:$D$31,MATCH($B156,Mapping!$A$24:$A$31,0))</f>
        <v/>
      </c>
      <c r="N156" s="5">
        <f>$B156&amp;"."&amp;IF(INDEX(Mapping!$E$24:$E$31,MATCH($B156,Mapping!$A$24:$A$31,0))="sub",INDEX(Mapping!$F$5:$F$20,MATCH($C156,Mapping!$A$5:$A$20,0)),"all")</f>
        <v/>
      </c>
      <c r="O156" s="5">
        <f>INDEX(Mapping!$E$5:$E$20,MATCH($C156,Mapping!$A$5:$A$20,0))</f>
        <v/>
      </c>
      <c r="P156" s="5">
        <f>INDEX(Mapping!$G$24:$G$31,MATCH($B156,Mapping!$A$24:$A$31,0))</f>
        <v/>
      </c>
      <c r="Q156" s="22">
        <f>(INDEX(Prices_dom!$A$6:$CU$2000,MATCH(Settings!$C$4&amp;Settings!$C$7,Prices_dom!$A$6:$A$2000,0),MATCH("mit.rp."&amp;$N156,Prices_dom!$A$5:$CU$5,0))-INDEX(Prices_dom!$A$6:$CU$2000,MATCH(Settings!$C$4&amp;Settings!$C$7,Prices_dom!$A$6:$A$2000,0),MATCH("mit.sp."&amp;$N156,Prices_dom!$A$5:$CU$5,0)))/$P156</f>
        <v/>
      </c>
      <c r="R156" s="22">
        <f>INDEX(EF_GHG!$E$4:$E$1000,MATCH(Settings!$C$4&amp;"|"&amp;$B156&amp;"|"&amp;$O156,EF_GHG!$A$4:$A$1000,0))</f>
        <v/>
      </c>
      <c r="S156" s="22">
        <f>INDEX(Mapping!$G$5:$G$20,MATCH($C156,Mapping!$A$5:$A$20,0))</f>
        <v/>
      </c>
      <c r="T156" s="21" t="n"/>
      <c r="U156" s="21" t="n"/>
      <c r="V156" s="22">
        <f>Q156</f>
        <v/>
      </c>
      <c r="W156" s="22">
        <f>R156</f>
        <v/>
      </c>
      <c r="X156" s="22">
        <f>S156</f>
        <v/>
      </c>
      <c r="Y156" s="21" t="n"/>
      <c r="Z156" s="21" t="n"/>
      <c r="AA156" s="22">
        <f>Q156</f>
        <v/>
      </c>
      <c r="AB156" s="22">
        <f>R156</f>
        <v/>
      </c>
      <c r="AC156" s="22">
        <f>S156</f>
        <v/>
      </c>
      <c r="AD156" s="21" t="n"/>
      <c r="AE156" s="21" t="n"/>
      <c r="AF156" s="22">
        <f>Q156</f>
        <v/>
      </c>
      <c r="AG156" s="22">
        <f>R156</f>
        <v/>
      </c>
      <c r="AH156" s="22">
        <f>S156</f>
        <v/>
      </c>
      <c r="AI156" s="21" t="n"/>
      <c r="AJ156" s="21" t="n"/>
      <c r="AL156" s="23">
        <f>INDEX($Q156:$AJ156,1,(AL$4-1)*5+1)+AL$8*INDEX($Q156:$AJ156,1,(AL$4-1)*5+2)*INDEX($Q156:$AJ156,1,(AL$4-1)*5+3)</f>
        <v/>
      </c>
      <c r="AM156" s="22">
        <f>INDEX($Q156:$AJ156,1,(AM$4-1)*5+1)+AM$8*INDEX($Q156:$AJ156,1,(AM$4-1)*5+2)*INDEX($Q156:$AJ156,1,(AM$4-1)*5+3)</f>
        <v/>
      </c>
      <c r="AN156" s="22">
        <f>INDEX($Q156:$AJ156,1,(AN$4-1)*5+1)+AN$8*INDEX($Q156:$AJ156,1,(AN$4-1)*5+2)*INDEX($Q156:$AJ156,1,(AN$4-1)*5+3)</f>
        <v/>
      </c>
      <c r="AO156" s="22">
        <f>INDEX($Q156:$AJ156,1,(AO$4-1)*5+1)+AO$8*INDEX($Q156:$AJ156,1,(AO$4-1)*5+2)*INDEX($Q156:$AJ156,1,(AO$4-1)*5+3)</f>
        <v/>
      </c>
      <c r="AP156" s="22">
        <f>INDEX($Q156:$AJ156,1,(AP$4-1)*5+1)+AP$8*INDEX($Q156:$AJ156,1,(AP$4-1)*5+2)*INDEX($Q156:$AJ156,1,(AP$4-1)*5+3)</f>
        <v/>
      </c>
      <c r="AQ156" s="22">
        <f>INDEX($Q156:$AJ156,1,(AQ$4-1)*5+1)+AQ$8*INDEX($Q156:$AJ156,1,(AQ$4-1)*5+2)*INDEX($Q156:$AJ156,1,(AQ$4-1)*5+3)</f>
        <v/>
      </c>
      <c r="AR156" s="22">
        <f>INDEX($Q156:$AJ156,1,(AR$4-1)*5+1)+AR$8*INDEX($Q156:$AJ156,1,(AR$4-1)*5+2)*INDEX($Q156:$AJ156,1,(AR$4-1)*5+3)</f>
        <v/>
      </c>
      <c r="AS156" s="22">
        <f>INDEX($Q156:$AJ156,1,(AS$4-1)*5+1)+AS$8*INDEX($Q156:$AJ156,1,(AS$4-1)*5+2)*INDEX($Q156:$AJ156,1,(AS$4-1)*5+3)</f>
        <v/>
      </c>
      <c r="AT156" s="22">
        <f>INDEX($Q156:$AJ156,1,(AT$4-1)*5+1)+AT$8*INDEX($Q156:$AJ156,1,(AT$4-1)*5+2)*INDEX($Q156:$AJ156,1,(AT$4-1)*5+3)</f>
        <v/>
      </c>
      <c r="AU156" s="22">
        <f>INDEX($Q156:$AJ156,1,(AU$4-1)*5+1)+AU$8*INDEX($Q156:$AJ156,1,(AU$4-1)*5+2)*INDEX($Q156:$AJ156,1,(AU$4-1)*5+3)</f>
        <v/>
      </c>
      <c r="AV156" s="22">
        <f>INDEX($Q156:$AJ156,1,(AV$4-1)*5+1)+AV$8*INDEX($Q156:$AJ156,1,(AV$4-1)*5+2)*INDEX($Q156:$AJ156,1,(AV$4-1)*5+3)</f>
        <v/>
      </c>
      <c r="AW156" s="22">
        <f>INDEX($Q156:$AJ156,1,(AW$4-1)*5+1)+AW$8*INDEX($Q156:$AJ156,1,(AW$4-1)*5+2)*INDEX($Q156:$AJ156,1,(AW$4-1)*5+3)</f>
        <v/>
      </c>
      <c r="AX156" s="22">
        <f>INDEX($Q156:$AJ156,1,(AX$4-1)*5+1)+AX$8*INDEX($Q156:$AJ156,1,(AX$4-1)*5+2)*INDEX($Q156:$AJ156,1,(AX$4-1)*5+3)</f>
        <v/>
      </c>
      <c r="AY156" s="22">
        <f>INDEX($Q156:$AJ156,1,(AY$4-1)*5+1)+AY$8*INDEX($Q156:$AJ156,1,(AY$4-1)*5+2)*INDEX($Q156:$AJ156,1,(AY$4-1)*5+3)</f>
        <v/>
      </c>
      <c r="BA156" s="23">
        <f>INDEX($Q156:$AJ156,1,(BA$4-1)*5+1)+BA$8*INDEX($Q156:$AJ156,1,(BA$4-1)*5+2)*INDEX($Q156:$AJ156,1,(BA$4-1)*5+3)</f>
        <v/>
      </c>
      <c r="BB156" s="22">
        <f>INDEX($Q156:$AJ156,1,(BB$4-1)*5+1)+BB$8*INDEX($Q156:$AJ156,1,(BB$4-1)*5+2)*INDEX($Q156:$AJ156,1,(BB$4-1)*5+3)</f>
        <v/>
      </c>
      <c r="BC156" s="22">
        <f>INDEX($Q156:$AJ156,1,(BC$4-1)*5+1)+BC$8*INDEX($Q156:$AJ156,1,(BC$4-1)*5+2)*INDEX($Q156:$AJ156,1,(BC$4-1)*5+3)</f>
        <v/>
      </c>
      <c r="BD156" s="22">
        <f>INDEX($Q156:$AJ156,1,(BD$4-1)*5+1)+BD$8*INDEX($Q156:$AJ156,1,(BD$4-1)*5+2)*INDEX($Q156:$AJ156,1,(BD$4-1)*5+3)</f>
        <v/>
      </c>
      <c r="BE156" s="22">
        <f>INDEX($Q156:$AJ156,1,(BE$4-1)*5+1)+BE$8*INDEX($Q156:$AJ156,1,(BE$4-1)*5+2)*INDEX($Q156:$AJ156,1,(BE$4-1)*5+3)</f>
        <v/>
      </c>
      <c r="BF156" s="22">
        <f>INDEX($Q156:$AJ156,1,(BF$4-1)*5+1)+BF$8*INDEX($Q156:$AJ156,1,(BF$4-1)*5+2)*INDEX($Q156:$AJ156,1,(BF$4-1)*5+3)</f>
        <v/>
      </c>
      <c r="BG156" s="22">
        <f>INDEX($Q156:$AJ156,1,(BG$4-1)*5+1)+BG$8*INDEX($Q156:$AJ156,1,(BG$4-1)*5+2)*INDEX($Q156:$AJ156,1,(BG$4-1)*5+3)</f>
        <v/>
      </c>
      <c r="BH156" s="22">
        <f>INDEX($Q156:$AJ156,1,(BH$4-1)*5+1)+BH$8*INDEX($Q156:$AJ156,1,(BH$4-1)*5+2)*INDEX($Q156:$AJ156,1,(BH$4-1)*5+3)</f>
        <v/>
      </c>
      <c r="BI156" s="22">
        <f>INDEX($Q156:$AJ156,1,(BI$4-1)*5+1)+BI$8*INDEX($Q156:$AJ156,1,(BI$4-1)*5+2)*INDEX($Q156:$AJ156,1,(BI$4-1)*5+3)</f>
        <v/>
      </c>
      <c r="BJ156" s="22">
        <f>INDEX($Q156:$AJ156,1,(BJ$4-1)*5+1)+BJ$8*INDEX($Q156:$AJ156,1,(BJ$4-1)*5+2)*INDEX($Q156:$AJ156,1,(BJ$4-1)*5+3)</f>
        <v/>
      </c>
      <c r="BK156" s="22">
        <f>INDEX($Q156:$AJ156,1,(BK$4-1)*5+1)+BK$8*INDEX($Q156:$AJ156,1,(BK$4-1)*5+2)*INDEX($Q156:$AJ156,1,(BK$4-1)*5+3)</f>
        <v/>
      </c>
      <c r="BL156" s="22">
        <f>INDEX($Q156:$AJ156,1,(BL$4-1)*5+1)+BL$8*INDEX($Q156:$AJ156,1,(BL$4-1)*5+2)*INDEX($Q156:$AJ156,1,(BL$4-1)*5+3)</f>
        <v/>
      </c>
      <c r="BM156" s="22">
        <f>INDEX($Q156:$AJ156,1,(BM$4-1)*5+1)+BM$8*INDEX($Q156:$AJ156,1,(BM$4-1)*5+2)*INDEX($Q156:$AJ156,1,(BM$4-1)*5+3)</f>
        <v/>
      </c>
      <c r="BN156" s="22">
        <f>INDEX($Q156:$AJ156,1,(BN$4-1)*5+1)+BN$8*INDEX($Q156:$AJ156,1,(BN$4-1)*5+2)*INDEX($Q156:$AJ156,1,(BN$4-1)*5+3)</f>
        <v/>
      </c>
    </row>
    <row r="157">
      <c r="B157" s="5" t="inlineStr">
        <is>
          <t>coa</t>
        </is>
      </c>
      <c r="C157" s="5" t="inlineStr">
        <is>
          <t>avi</t>
        </is>
      </c>
      <c r="D157" s="5" t="inlineStr">
        <is>
          <t>Tax | Domestic aviation | Coal</t>
        </is>
      </c>
      <c r="E157" s="5" t="inlineStr">
        <is>
          <t>$/GJ</t>
        </is>
      </c>
      <c r="F157" s="5" t="inlineStr">
        <is>
          <t>Prices_dom, EF_GHG, Mapping</t>
        </is>
      </c>
      <c r="G157" s="19" t="inlineStr">
        <is>
          <t>mit.rp.coa</t>
        </is>
      </c>
      <c r="H157" s="19" t="inlineStr">
        <is>
          <t>mit.tax.coa.avi</t>
        </is>
      </c>
      <c r="J157" s="5">
        <f>INDEX(Mapping!$C$5:$C$20,MATCH($C157,Mapping!$A$5:$A$20,0))</f>
        <v/>
      </c>
      <c r="K157" s="5">
        <f>INDEX(Mapping!$D$5:$D$20,MATCH($C157,Mapping!$A$5:$A$20,0))</f>
        <v/>
      </c>
      <c r="L157" s="5">
        <f>INDEX(Mapping!$C$24:$C$31,MATCH($B157,Mapping!$A$24:$A$31,0))</f>
        <v/>
      </c>
      <c r="M157" s="5">
        <f>INDEX(Mapping!$D$24:$D$31,MATCH($B157,Mapping!$A$24:$A$31,0))</f>
        <v/>
      </c>
      <c r="N157" s="5">
        <f>$B157&amp;"."&amp;IF(INDEX(Mapping!$E$24:$E$31,MATCH($B157,Mapping!$A$24:$A$31,0))="sub",INDEX(Mapping!$F$5:$F$20,MATCH($C157,Mapping!$A$5:$A$20,0)),"all")</f>
        <v/>
      </c>
      <c r="O157" s="5">
        <f>INDEX(Mapping!$E$5:$E$20,MATCH($C157,Mapping!$A$5:$A$20,0))</f>
        <v/>
      </c>
      <c r="P157" s="5">
        <f>INDEX(Mapping!$G$24:$G$31,MATCH($B157,Mapping!$A$24:$A$31,0))</f>
        <v/>
      </c>
      <c r="Q157" s="22">
        <f>(INDEX(Prices_dom!$A$6:$CU$2000,MATCH(Settings!$C$4&amp;Settings!$C$7,Prices_dom!$A$6:$A$2000,0),MATCH("mit.rp."&amp;$N157,Prices_dom!$A$5:$CU$5,0))-INDEX(Prices_dom!$A$6:$CU$2000,MATCH(Settings!$C$4&amp;Settings!$C$7,Prices_dom!$A$6:$A$2000,0),MATCH("mit.sp."&amp;$N157,Prices_dom!$A$5:$CU$5,0)))/$P157</f>
        <v/>
      </c>
      <c r="R157" s="22">
        <f>INDEX(EF_GHG!$E$4:$E$1000,MATCH(Settings!$C$4&amp;"|"&amp;$B157&amp;"|"&amp;$O157,EF_GHG!$A$4:$A$1000,0))</f>
        <v/>
      </c>
      <c r="S157" s="22">
        <f>INDEX(Mapping!$G$5:$G$20,MATCH($C157,Mapping!$A$5:$A$20,0))</f>
        <v/>
      </c>
      <c r="T157" s="21" t="n"/>
      <c r="U157" s="21" t="n"/>
      <c r="V157" s="22">
        <f>Q157</f>
        <v/>
      </c>
      <c r="W157" s="22">
        <f>R157</f>
        <v/>
      </c>
      <c r="X157" s="22">
        <f>S157</f>
        <v/>
      </c>
      <c r="Y157" s="21" t="n"/>
      <c r="Z157" s="21" t="n"/>
      <c r="AA157" s="22">
        <f>Q157</f>
        <v/>
      </c>
      <c r="AB157" s="22">
        <f>R157</f>
        <v/>
      </c>
      <c r="AC157" s="22">
        <f>S157</f>
        <v/>
      </c>
      <c r="AD157" s="21" t="n"/>
      <c r="AE157" s="21" t="n"/>
      <c r="AF157" s="22">
        <f>Q157</f>
        <v/>
      </c>
      <c r="AG157" s="22">
        <f>R157</f>
        <v/>
      </c>
      <c r="AH157" s="22">
        <f>S157</f>
        <v/>
      </c>
      <c r="AI157" s="21" t="n"/>
      <c r="AJ157" s="21" t="n"/>
      <c r="AL157" s="23">
        <f>INDEX($Q157:$AJ157,1,(AL$4-1)*5+1)+AL$8*INDEX($Q157:$AJ157,1,(AL$4-1)*5+2)*INDEX($Q157:$AJ157,1,(AL$4-1)*5+3)</f>
        <v/>
      </c>
      <c r="AM157" s="22">
        <f>INDEX($Q157:$AJ157,1,(AM$4-1)*5+1)+AM$8*INDEX($Q157:$AJ157,1,(AM$4-1)*5+2)*INDEX($Q157:$AJ157,1,(AM$4-1)*5+3)</f>
        <v/>
      </c>
      <c r="AN157" s="22">
        <f>INDEX($Q157:$AJ157,1,(AN$4-1)*5+1)+AN$8*INDEX($Q157:$AJ157,1,(AN$4-1)*5+2)*INDEX($Q157:$AJ157,1,(AN$4-1)*5+3)</f>
        <v/>
      </c>
      <c r="AO157" s="22">
        <f>INDEX($Q157:$AJ157,1,(AO$4-1)*5+1)+AO$8*INDEX($Q157:$AJ157,1,(AO$4-1)*5+2)*INDEX($Q157:$AJ157,1,(AO$4-1)*5+3)</f>
        <v/>
      </c>
      <c r="AP157" s="22">
        <f>INDEX($Q157:$AJ157,1,(AP$4-1)*5+1)+AP$8*INDEX($Q157:$AJ157,1,(AP$4-1)*5+2)*INDEX($Q157:$AJ157,1,(AP$4-1)*5+3)</f>
        <v/>
      </c>
      <c r="AQ157" s="22">
        <f>INDEX($Q157:$AJ157,1,(AQ$4-1)*5+1)+AQ$8*INDEX($Q157:$AJ157,1,(AQ$4-1)*5+2)*INDEX($Q157:$AJ157,1,(AQ$4-1)*5+3)</f>
        <v/>
      </c>
      <c r="AR157" s="22">
        <f>INDEX($Q157:$AJ157,1,(AR$4-1)*5+1)+AR$8*INDEX($Q157:$AJ157,1,(AR$4-1)*5+2)*INDEX($Q157:$AJ157,1,(AR$4-1)*5+3)</f>
        <v/>
      </c>
      <c r="AS157" s="22">
        <f>INDEX($Q157:$AJ157,1,(AS$4-1)*5+1)+AS$8*INDEX($Q157:$AJ157,1,(AS$4-1)*5+2)*INDEX($Q157:$AJ157,1,(AS$4-1)*5+3)</f>
        <v/>
      </c>
      <c r="AT157" s="22">
        <f>INDEX($Q157:$AJ157,1,(AT$4-1)*5+1)+AT$8*INDEX($Q157:$AJ157,1,(AT$4-1)*5+2)*INDEX($Q157:$AJ157,1,(AT$4-1)*5+3)</f>
        <v/>
      </c>
      <c r="AU157" s="22">
        <f>INDEX($Q157:$AJ157,1,(AU$4-1)*5+1)+AU$8*INDEX($Q157:$AJ157,1,(AU$4-1)*5+2)*INDEX($Q157:$AJ157,1,(AU$4-1)*5+3)</f>
        <v/>
      </c>
      <c r="AV157" s="22">
        <f>INDEX($Q157:$AJ157,1,(AV$4-1)*5+1)+AV$8*INDEX($Q157:$AJ157,1,(AV$4-1)*5+2)*INDEX($Q157:$AJ157,1,(AV$4-1)*5+3)</f>
        <v/>
      </c>
      <c r="AW157" s="22">
        <f>INDEX($Q157:$AJ157,1,(AW$4-1)*5+1)+AW$8*INDEX($Q157:$AJ157,1,(AW$4-1)*5+2)*INDEX($Q157:$AJ157,1,(AW$4-1)*5+3)</f>
        <v/>
      </c>
      <c r="AX157" s="22">
        <f>INDEX($Q157:$AJ157,1,(AX$4-1)*5+1)+AX$8*INDEX($Q157:$AJ157,1,(AX$4-1)*5+2)*INDEX($Q157:$AJ157,1,(AX$4-1)*5+3)</f>
        <v/>
      </c>
      <c r="AY157" s="22">
        <f>INDEX($Q157:$AJ157,1,(AY$4-1)*5+1)+AY$8*INDEX($Q157:$AJ157,1,(AY$4-1)*5+2)*INDEX($Q157:$AJ157,1,(AY$4-1)*5+3)</f>
        <v/>
      </c>
      <c r="BA157" s="23">
        <f>INDEX($Q157:$AJ157,1,(BA$4-1)*5+1)+BA$8*INDEX($Q157:$AJ157,1,(BA$4-1)*5+2)*INDEX($Q157:$AJ157,1,(BA$4-1)*5+3)</f>
        <v/>
      </c>
      <c r="BB157" s="22">
        <f>INDEX($Q157:$AJ157,1,(BB$4-1)*5+1)+BB$8*INDEX($Q157:$AJ157,1,(BB$4-1)*5+2)*INDEX($Q157:$AJ157,1,(BB$4-1)*5+3)</f>
        <v/>
      </c>
      <c r="BC157" s="22">
        <f>INDEX($Q157:$AJ157,1,(BC$4-1)*5+1)+BC$8*INDEX($Q157:$AJ157,1,(BC$4-1)*5+2)*INDEX($Q157:$AJ157,1,(BC$4-1)*5+3)</f>
        <v/>
      </c>
      <c r="BD157" s="22">
        <f>INDEX($Q157:$AJ157,1,(BD$4-1)*5+1)+BD$8*INDEX($Q157:$AJ157,1,(BD$4-1)*5+2)*INDEX($Q157:$AJ157,1,(BD$4-1)*5+3)</f>
        <v/>
      </c>
      <c r="BE157" s="22">
        <f>INDEX($Q157:$AJ157,1,(BE$4-1)*5+1)+BE$8*INDEX($Q157:$AJ157,1,(BE$4-1)*5+2)*INDEX($Q157:$AJ157,1,(BE$4-1)*5+3)</f>
        <v/>
      </c>
      <c r="BF157" s="22">
        <f>INDEX($Q157:$AJ157,1,(BF$4-1)*5+1)+BF$8*INDEX($Q157:$AJ157,1,(BF$4-1)*5+2)*INDEX($Q157:$AJ157,1,(BF$4-1)*5+3)</f>
        <v/>
      </c>
      <c r="BG157" s="22">
        <f>INDEX($Q157:$AJ157,1,(BG$4-1)*5+1)+BG$8*INDEX($Q157:$AJ157,1,(BG$4-1)*5+2)*INDEX($Q157:$AJ157,1,(BG$4-1)*5+3)</f>
        <v/>
      </c>
      <c r="BH157" s="22">
        <f>INDEX($Q157:$AJ157,1,(BH$4-1)*5+1)+BH$8*INDEX($Q157:$AJ157,1,(BH$4-1)*5+2)*INDEX($Q157:$AJ157,1,(BH$4-1)*5+3)</f>
        <v/>
      </c>
      <c r="BI157" s="22">
        <f>INDEX($Q157:$AJ157,1,(BI$4-1)*5+1)+BI$8*INDEX($Q157:$AJ157,1,(BI$4-1)*5+2)*INDEX($Q157:$AJ157,1,(BI$4-1)*5+3)</f>
        <v/>
      </c>
      <c r="BJ157" s="22">
        <f>INDEX($Q157:$AJ157,1,(BJ$4-1)*5+1)+BJ$8*INDEX($Q157:$AJ157,1,(BJ$4-1)*5+2)*INDEX($Q157:$AJ157,1,(BJ$4-1)*5+3)</f>
        <v/>
      </c>
      <c r="BK157" s="22">
        <f>INDEX($Q157:$AJ157,1,(BK$4-1)*5+1)+BK$8*INDEX($Q157:$AJ157,1,(BK$4-1)*5+2)*INDEX($Q157:$AJ157,1,(BK$4-1)*5+3)</f>
        <v/>
      </c>
      <c r="BL157" s="22">
        <f>INDEX($Q157:$AJ157,1,(BL$4-1)*5+1)+BL$8*INDEX($Q157:$AJ157,1,(BL$4-1)*5+2)*INDEX($Q157:$AJ157,1,(BL$4-1)*5+3)</f>
        <v/>
      </c>
      <c r="BM157" s="22">
        <f>INDEX($Q157:$AJ157,1,(BM$4-1)*5+1)+BM$8*INDEX($Q157:$AJ157,1,(BM$4-1)*5+2)*INDEX($Q157:$AJ157,1,(BM$4-1)*5+3)</f>
        <v/>
      </c>
      <c r="BN157" s="22">
        <f>INDEX($Q157:$AJ157,1,(BN$4-1)*5+1)+BN$8*INDEX($Q157:$AJ157,1,(BN$4-1)*5+2)*INDEX($Q157:$AJ157,1,(BN$4-1)*5+3)</f>
        <v/>
      </c>
    </row>
    <row r="158">
      <c r="B158" s="5" t="inlineStr">
        <is>
          <t>nga</t>
        </is>
      </c>
      <c r="C158" s="5" t="inlineStr">
        <is>
          <t>avi</t>
        </is>
      </c>
      <c r="D158" s="5" t="inlineStr">
        <is>
          <t>Tax | Domestic aviation | Natural gas</t>
        </is>
      </c>
      <c r="E158" s="5" t="inlineStr">
        <is>
          <t>$/GJ</t>
        </is>
      </c>
      <c r="F158" s="5" t="inlineStr">
        <is>
          <t>Prices_dom, EF_GHG, Mapping</t>
        </is>
      </c>
      <c r="G158" s="19" t="inlineStr">
        <is>
          <t>mit.rp.nga</t>
        </is>
      </c>
      <c r="H158" s="19" t="inlineStr">
        <is>
          <t>mit.tax.nga.avi</t>
        </is>
      </c>
      <c r="J158" s="5">
        <f>INDEX(Mapping!$C$5:$C$20,MATCH($C158,Mapping!$A$5:$A$20,0))</f>
        <v/>
      </c>
      <c r="K158" s="5">
        <f>INDEX(Mapping!$D$5:$D$20,MATCH($C158,Mapping!$A$5:$A$20,0))</f>
        <v/>
      </c>
      <c r="L158" s="5">
        <f>INDEX(Mapping!$C$24:$C$31,MATCH($B158,Mapping!$A$24:$A$31,0))</f>
        <v/>
      </c>
      <c r="M158" s="5">
        <f>INDEX(Mapping!$D$24:$D$31,MATCH($B158,Mapping!$A$24:$A$31,0))</f>
        <v/>
      </c>
      <c r="N158" s="5">
        <f>$B158&amp;"."&amp;IF(INDEX(Mapping!$E$24:$E$31,MATCH($B158,Mapping!$A$24:$A$31,0))="sub",INDEX(Mapping!$F$5:$F$20,MATCH($C158,Mapping!$A$5:$A$20,0)),"all")</f>
        <v/>
      </c>
      <c r="O158" s="5">
        <f>INDEX(Mapping!$E$5:$E$20,MATCH($C158,Mapping!$A$5:$A$20,0))</f>
        <v/>
      </c>
      <c r="P158" s="5">
        <f>INDEX(Mapping!$G$24:$G$31,MATCH($B158,Mapping!$A$24:$A$31,0))</f>
        <v/>
      </c>
      <c r="Q158" s="22">
        <f>(INDEX(Prices_dom!$A$6:$CU$2000,MATCH(Settings!$C$4&amp;Settings!$C$7,Prices_dom!$A$6:$A$2000,0),MATCH("mit.rp."&amp;$N158,Prices_dom!$A$5:$CU$5,0))-INDEX(Prices_dom!$A$6:$CU$2000,MATCH(Settings!$C$4&amp;Settings!$C$7,Prices_dom!$A$6:$A$2000,0),MATCH("mit.sp."&amp;$N158,Prices_dom!$A$5:$CU$5,0)))/$P158</f>
        <v/>
      </c>
      <c r="R158" s="22">
        <f>INDEX(EF_GHG!$E$4:$E$1000,MATCH(Settings!$C$4&amp;"|"&amp;$B158&amp;"|"&amp;$O158,EF_GHG!$A$4:$A$1000,0))</f>
        <v/>
      </c>
      <c r="S158" s="22">
        <f>INDEX(Mapping!$G$5:$G$20,MATCH($C158,Mapping!$A$5:$A$20,0))</f>
        <v/>
      </c>
      <c r="T158" s="21" t="n"/>
      <c r="U158" s="21" t="n"/>
      <c r="V158" s="22">
        <f>Q158</f>
        <v/>
      </c>
      <c r="W158" s="22">
        <f>R158</f>
        <v/>
      </c>
      <c r="X158" s="22">
        <f>S158</f>
        <v/>
      </c>
      <c r="Y158" s="21" t="n"/>
      <c r="Z158" s="21" t="n"/>
      <c r="AA158" s="22">
        <f>Q158</f>
        <v/>
      </c>
      <c r="AB158" s="22">
        <f>R158</f>
        <v/>
      </c>
      <c r="AC158" s="22">
        <f>S158</f>
        <v/>
      </c>
      <c r="AD158" s="21" t="n"/>
      <c r="AE158" s="21" t="n"/>
      <c r="AF158" s="22">
        <f>Q158</f>
        <v/>
      </c>
      <c r="AG158" s="22">
        <f>R158</f>
        <v/>
      </c>
      <c r="AH158" s="22">
        <f>S158</f>
        <v/>
      </c>
      <c r="AI158" s="21" t="n"/>
      <c r="AJ158" s="21" t="n"/>
      <c r="AL158" s="23">
        <f>INDEX($Q158:$AJ158,1,(AL$4-1)*5+1)+AL$8*INDEX($Q158:$AJ158,1,(AL$4-1)*5+2)*INDEX($Q158:$AJ158,1,(AL$4-1)*5+3)</f>
        <v/>
      </c>
      <c r="AM158" s="22">
        <f>INDEX($Q158:$AJ158,1,(AM$4-1)*5+1)+AM$8*INDEX($Q158:$AJ158,1,(AM$4-1)*5+2)*INDEX($Q158:$AJ158,1,(AM$4-1)*5+3)</f>
        <v/>
      </c>
      <c r="AN158" s="22">
        <f>INDEX($Q158:$AJ158,1,(AN$4-1)*5+1)+AN$8*INDEX($Q158:$AJ158,1,(AN$4-1)*5+2)*INDEX($Q158:$AJ158,1,(AN$4-1)*5+3)</f>
        <v/>
      </c>
      <c r="AO158" s="22">
        <f>INDEX($Q158:$AJ158,1,(AO$4-1)*5+1)+AO$8*INDEX($Q158:$AJ158,1,(AO$4-1)*5+2)*INDEX($Q158:$AJ158,1,(AO$4-1)*5+3)</f>
        <v/>
      </c>
      <c r="AP158" s="22">
        <f>INDEX($Q158:$AJ158,1,(AP$4-1)*5+1)+AP$8*INDEX($Q158:$AJ158,1,(AP$4-1)*5+2)*INDEX($Q158:$AJ158,1,(AP$4-1)*5+3)</f>
        <v/>
      </c>
      <c r="AQ158" s="22">
        <f>INDEX($Q158:$AJ158,1,(AQ$4-1)*5+1)+AQ$8*INDEX($Q158:$AJ158,1,(AQ$4-1)*5+2)*INDEX($Q158:$AJ158,1,(AQ$4-1)*5+3)</f>
        <v/>
      </c>
      <c r="AR158" s="22">
        <f>INDEX($Q158:$AJ158,1,(AR$4-1)*5+1)+AR$8*INDEX($Q158:$AJ158,1,(AR$4-1)*5+2)*INDEX($Q158:$AJ158,1,(AR$4-1)*5+3)</f>
        <v/>
      </c>
      <c r="AS158" s="22">
        <f>INDEX($Q158:$AJ158,1,(AS$4-1)*5+1)+AS$8*INDEX($Q158:$AJ158,1,(AS$4-1)*5+2)*INDEX($Q158:$AJ158,1,(AS$4-1)*5+3)</f>
        <v/>
      </c>
      <c r="AT158" s="22">
        <f>INDEX($Q158:$AJ158,1,(AT$4-1)*5+1)+AT$8*INDEX($Q158:$AJ158,1,(AT$4-1)*5+2)*INDEX($Q158:$AJ158,1,(AT$4-1)*5+3)</f>
        <v/>
      </c>
      <c r="AU158" s="22">
        <f>INDEX($Q158:$AJ158,1,(AU$4-1)*5+1)+AU$8*INDEX($Q158:$AJ158,1,(AU$4-1)*5+2)*INDEX($Q158:$AJ158,1,(AU$4-1)*5+3)</f>
        <v/>
      </c>
      <c r="AV158" s="22">
        <f>INDEX($Q158:$AJ158,1,(AV$4-1)*5+1)+AV$8*INDEX($Q158:$AJ158,1,(AV$4-1)*5+2)*INDEX($Q158:$AJ158,1,(AV$4-1)*5+3)</f>
        <v/>
      </c>
      <c r="AW158" s="22">
        <f>INDEX($Q158:$AJ158,1,(AW$4-1)*5+1)+AW$8*INDEX($Q158:$AJ158,1,(AW$4-1)*5+2)*INDEX($Q158:$AJ158,1,(AW$4-1)*5+3)</f>
        <v/>
      </c>
      <c r="AX158" s="22">
        <f>INDEX($Q158:$AJ158,1,(AX$4-1)*5+1)+AX$8*INDEX($Q158:$AJ158,1,(AX$4-1)*5+2)*INDEX($Q158:$AJ158,1,(AX$4-1)*5+3)</f>
        <v/>
      </c>
      <c r="AY158" s="22">
        <f>INDEX($Q158:$AJ158,1,(AY$4-1)*5+1)+AY$8*INDEX($Q158:$AJ158,1,(AY$4-1)*5+2)*INDEX($Q158:$AJ158,1,(AY$4-1)*5+3)</f>
        <v/>
      </c>
      <c r="BA158" s="23">
        <f>INDEX($Q158:$AJ158,1,(BA$4-1)*5+1)+BA$8*INDEX($Q158:$AJ158,1,(BA$4-1)*5+2)*INDEX($Q158:$AJ158,1,(BA$4-1)*5+3)</f>
        <v/>
      </c>
      <c r="BB158" s="22">
        <f>INDEX($Q158:$AJ158,1,(BB$4-1)*5+1)+BB$8*INDEX($Q158:$AJ158,1,(BB$4-1)*5+2)*INDEX($Q158:$AJ158,1,(BB$4-1)*5+3)</f>
        <v/>
      </c>
      <c r="BC158" s="22">
        <f>INDEX($Q158:$AJ158,1,(BC$4-1)*5+1)+BC$8*INDEX($Q158:$AJ158,1,(BC$4-1)*5+2)*INDEX($Q158:$AJ158,1,(BC$4-1)*5+3)</f>
        <v/>
      </c>
      <c r="BD158" s="22">
        <f>INDEX($Q158:$AJ158,1,(BD$4-1)*5+1)+BD$8*INDEX($Q158:$AJ158,1,(BD$4-1)*5+2)*INDEX($Q158:$AJ158,1,(BD$4-1)*5+3)</f>
        <v/>
      </c>
      <c r="BE158" s="22">
        <f>INDEX($Q158:$AJ158,1,(BE$4-1)*5+1)+BE$8*INDEX($Q158:$AJ158,1,(BE$4-1)*5+2)*INDEX($Q158:$AJ158,1,(BE$4-1)*5+3)</f>
        <v/>
      </c>
      <c r="BF158" s="22">
        <f>INDEX($Q158:$AJ158,1,(BF$4-1)*5+1)+BF$8*INDEX($Q158:$AJ158,1,(BF$4-1)*5+2)*INDEX($Q158:$AJ158,1,(BF$4-1)*5+3)</f>
        <v/>
      </c>
      <c r="BG158" s="22">
        <f>INDEX($Q158:$AJ158,1,(BG$4-1)*5+1)+BG$8*INDEX($Q158:$AJ158,1,(BG$4-1)*5+2)*INDEX($Q158:$AJ158,1,(BG$4-1)*5+3)</f>
        <v/>
      </c>
      <c r="BH158" s="22">
        <f>INDEX($Q158:$AJ158,1,(BH$4-1)*5+1)+BH$8*INDEX($Q158:$AJ158,1,(BH$4-1)*5+2)*INDEX($Q158:$AJ158,1,(BH$4-1)*5+3)</f>
        <v/>
      </c>
      <c r="BI158" s="22">
        <f>INDEX($Q158:$AJ158,1,(BI$4-1)*5+1)+BI$8*INDEX($Q158:$AJ158,1,(BI$4-1)*5+2)*INDEX($Q158:$AJ158,1,(BI$4-1)*5+3)</f>
        <v/>
      </c>
      <c r="BJ158" s="22">
        <f>INDEX($Q158:$AJ158,1,(BJ$4-1)*5+1)+BJ$8*INDEX($Q158:$AJ158,1,(BJ$4-1)*5+2)*INDEX($Q158:$AJ158,1,(BJ$4-1)*5+3)</f>
        <v/>
      </c>
      <c r="BK158" s="22">
        <f>INDEX($Q158:$AJ158,1,(BK$4-1)*5+1)+BK$8*INDEX($Q158:$AJ158,1,(BK$4-1)*5+2)*INDEX($Q158:$AJ158,1,(BK$4-1)*5+3)</f>
        <v/>
      </c>
      <c r="BL158" s="22">
        <f>INDEX($Q158:$AJ158,1,(BL$4-1)*5+1)+BL$8*INDEX($Q158:$AJ158,1,(BL$4-1)*5+2)*INDEX($Q158:$AJ158,1,(BL$4-1)*5+3)</f>
        <v/>
      </c>
      <c r="BM158" s="22">
        <f>INDEX($Q158:$AJ158,1,(BM$4-1)*5+1)+BM$8*INDEX($Q158:$AJ158,1,(BM$4-1)*5+2)*INDEX($Q158:$AJ158,1,(BM$4-1)*5+3)</f>
        <v/>
      </c>
      <c r="BN158" s="22">
        <f>INDEX($Q158:$AJ158,1,(BN$4-1)*5+1)+BN$8*INDEX($Q158:$AJ158,1,(BN$4-1)*5+2)*INDEX($Q158:$AJ158,1,(BN$4-1)*5+3)</f>
        <v/>
      </c>
    </row>
    <row r="159">
      <c r="B159" s="5" t="inlineStr">
        <is>
          <t>gso</t>
        </is>
      </c>
      <c r="C159" s="5" t="inlineStr">
        <is>
          <t>avi</t>
        </is>
      </c>
      <c r="D159" s="5" t="inlineStr">
        <is>
          <t>Tax | Domestic aviation | Gasoline</t>
        </is>
      </c>
      <c r="E159" s="5" t="inlineStr">
        <is>
          <t>$/GJ</t>
        </is>
      </c>
      <c r="F159" s="5" t="inlineStr">
        <is>
          <t>Prices_dom, EF_GHG, Mapping</t>
        </is>
      </c>
      <c r="G159" s="19" t="inlineStr">
        <is>
          <t>mit.rp.gso</t>
        </is>
      </c>
      <c r="H159" s="19" t="inlineStr">
        <is>
          <t>mit.tax.gso.avi</t>
        </is>
      </c>
      <c r="J159" s="5">
        <f>INDEX(Mapping!$C$5:$C$20,MATCH($C159,Mapping!$A$5:$A$20,0))</f>
        <v/>
      </c>
      <c r="K159" s="5">
        <f>INDEX(Mapping!$D$5:$D$20,MATCH($C159,Mapping!$A$5:$A$20,0))</f>
        <v/>
      </c>
      <c r="L159" s="5">
        <f>INDEX(Mapping!$C$24:$C$31,MATCH($B159,Mapping!$A$24:$A$31,0))</f>
        <v/>
      </c>
      <c r="M159" s="5">
        <f>INDEX(Mapping!$D$24:$D$31,MATCH($B159,Mapping!$A$24:$A$31,0))</f>
        <v/>
      </c>
      <c r="N159" s="5">
        <f>$B159&amp;"."&amp;IF(INDEX(Mapping!$E$24:$E$31,MATCH($B159,Mapping!$A$24:$A$31,0))="sub",INDEX(Mapping!$F$5:$F$20,MATCH($C159,Mapping!$A$5:$A$20,0)),"all")</f>
        <v/>
      </c>
      <c r="O159" s="5">
        <f>INDEX(Mapping!$E$5:$E$20,MATCH($C159,Mapping!$A$5:$A$20,0))</f>
        <v/>
      </c>
      <c r="P159" s="5">
        <f>INDEX(Mapping!$G$24:$G$31,MATCH($B159,Mapping!$A$24:$A$31,0))</f>
        <v/>
      </c>
      <c r="Q159" s="22">
        <f>(INDEX(Prices_dom!$A$6:$CU$2000,MATCH(Settings!$C$4&amp;Settings!$C$7,Prices_dom!$A$6:$A$2000,0),MATCH("mit.rp."&amp;$N159,Prices_dom!$A$5:$CU$5,0))-INDEX(Prices_dom!$A$6:$CU$2000,MATCH(Settings!$C$4&amp;Settings!$C$7,Prices_dom!$A$6:$A$2000,0),MATCH("mit.sp."&amp;$N159,Prices_dom!$A$5:$CU$5,0)))/$P159</f>
        <v/>
      </c>
      <c r="R159" s="22">
        <f>INDEX(EF_GHG!$E$4:$E$1000,MATCH(Settings!$C$4&amp;"|"&amp;$B159&amp;"|"&amp;$O159,EF_GHG!$A$4:$A$1000,0))</f>
        <v/>
      </c>
      <c r="S159" s="22">
        <f>INDEX(Mapping!$G$5:$G$20,MATCH($C159,Mapping!$A$5:$A$20,0))</f>
        <v/>
      </c>
      <c r="T159" s="21" t="n"/>
      <c r="U159" s="21" t="n"/>
      <c r="V159" s="22">
        <f>Q159</f>
        <v/>
      </c>
      <c r="W159" s="22">
        <f>R159</f>
        <v/>
      </c>
      <c r="X159" s="22">
        <f>S159</f>
        <v/>
      </c>
      <c r="Y159" s="21" t="n"/>
      <c r="Z159" s="21" t="n"/>
      <c r="AA159" s="22">
        <f>Q159</f>
        <v/>
      </c>
      <c r="AB159" s="22">
        <f>R159</f>
        <v/>
      </c>
      <c r="AC159" s="22">
        <f>S159</f>
        <v/>
      </c>
      <c r="AD159" s="21" t="n"/>
      <c r="AE159" s="21" t="n"/>
      <c r="AF159" s="22">
        <f>Q159</f>
        <v/>
      </c>
      <c r="AG159" s="22">
        <f>R159</f>
        <v/>
      </c>
      <c r="AH159" s="22">
        <f>S159</f>
        <v/>
      </c>
      <c r="AI159" s="21" t="n"/>
      <c r="AJ159" s="21" t="n"/>
      <c r="AL159" s="23">
        <f>INDEX($Q159:$AJ159,1,(AL$4-1)*5+1)+AL$8*INDEX($Q159:$AJ159,1,(AL$4-1)*5+2)*INDEX($Q159:$AJ159,1,(AL$4-1)*5+3)</f>
        <v/>
      </c>
      <c r="AM159" s="22">
        <f>INDEX($Q159:$AJ159,1,(AM$4-1)*5+1)+AM$8*INDEX($Q159:$AJ159,1,(AM$4-1)*5+2)*INDEX($Q159:$AJ159,1,(AM$4-1)*5+3)</f>
        <v/>
      </c>
      <c r="AN159" s="22">
        <f>INDEX($Q159:$AJ159,1,(AN$4-1)*5+1)+AN$8*INDEX($Q159:$AJ159,1,(AN$4-1)*5+2)*INDEX($Q159:$AJ159,1,(AN$4-1)*5+3)</f>
        <v/>
      </c>
      <c r="AO159" s="22">
        <f>INDEX($Q159:$AJ159,1,(AO$4-1)*5+1)+AO$8*INDEX($Q159:$AJ159,1,(AO$4-1)*5+2)*INDEX($Q159:$AJ159,1,(AO$4-1)*5+3)</f>
        <v/>
      </c>
      <c r="AP159" s="22">
        <f>INDEX($Q159:$AJ159,1,(AP$4-1)*5+1)+AP$8*INDEX($Q159:$AJ159,1,(AP$4-1)*5+2)*INDEX($Q159:$AJ159,1,(AP$4-1)*5+3)</f>
        <v/>
      </c>
      <c r="AQ159" s="22">
        <f>INDEX($Q159:$AJ159,1,(AQ$4-1)*5+1)+AQ$8*INDEX($Q159:$AJ159,1,(AQ$4-1)*5+2)*INDEX($Q159:$AJ159,1,(AQ$4-1)*5+3)</f>
        <v/>
      </c>
      <c r="AR159" s="22">
        <f>INDEX($Q159:$AJ159,1,(AR$4-1)*5+1)+AR$8*INDEX($Q159:$AJ159,1,(AR$4-1)*5+2)*INDEX($Q159:$AJ159,1,(AR$4-1)*5+3)</f>
        <v/>
      </c>
      <c r="AS159" s="22">
        <f>INDEX($Q159:$AJ159,1,(AS$4-1)*5+1)+AS$8*INDEX($Q159:$AJ159,1,(AS$4-1)*5+2)*INDEX($Q159:$AJ159,1,(AS$4-1)*5+3)</f>
        <v/>
      </c>
      <c r="AT159" s="22">
        <f>INDEX($Q159:$AJ159,1,(AT$4-1)*5+1)+AT$8*INDEX($Q159:$AJ159,1,(AT$4-1)*5+2)*INDEX($Q159:$AJ159,1,(AT$4-1)*5+3)</f>
        <v/>
      </c>
      <c r="AU159" s="22">
        <f>INDEX($Q159:$AJ159,1,(AU$4-1)*5+1)+AU$8*INDEX($Q159:$AJ159,1,(AU$4-1)*5+2)*INDEX($Q159:$AJ159,1,(AU$4-1)*5+3)</f>
        <v/>
      </c>
      <c r="AV159" s="22">
        <f>INDEX($Q159:$AJ159,1,(AV$4-1)*5+1)+AV$8*INDEX($Q159:$AJ159,1,(AV$4-1)*5+2)*INDEX($Q159:$AJ159,1,(AV$4-1)*5+3)</f>
        <v/>
      </c>
      <c r="AW159" s="22">
        <f>INDEX($Q159:$AJ159,1,(AW$4-1)*5+1)+AW$8*INDEX($Q159:$AJ159,1,(AW$4-1)*5+2)*INDEX($Q159:$AJ159,1,(AW$4-1)*5+3)</f>
        <v/>
      </c>
      <c r="AX159" s="22">
        <f>INDEX($Q159:$AJ159,1,(AX$4-1)*5+1)+AX$8*INDEX($Q159:$AJ159,1,(AX$4-1)*5+2)*INDEX($Q159:$AJ159,1,(AX$4-1)*5+3)</f>
        <v/>
      </c>
      <c r="AY159" s="22">
        <f>INDEX($Q159:$AJ159,1,(AY$4-1)*5+1)+AY$8*INDEX($Q159:$AJ159,1,(AY$4-1)*5+2)*INDEX($Q159:$AJ159,1,(AY$4-1)*5+3)</f>
        <v/>
      </c>
      <c r="BA159" s="23">
        <f>INDEX($Q159:$AJ159,1,(BA$4-1)*5+1)+BA$8*INDEX($Q159:$AJ159,1,(BA$4-1)*5+2)*INDEX($Q159:$AJ159,1,(BA$4-1)*5+3)</f>
        <v/>
      </c>
      <c r="BB159" s="22">
        <f>INDEX($Q159:$AJ159,1,(BB$4-1)*5+1)+BB$8*INDEX($Q159:$AJ159,1,(BB$4-1)*5+2)*INDEX($Q159:$AJ159,1,(BB$4-1)*5+3)</f>
        <v/>
      </c>
      <c r="BC159" s="22">
        <f>INDEX($Q159:$AJ159,1,(BC$4-1)*5+1)+BC$8*INDEX($Q159:$AJ159,1,(BC$4-1)*5+2)*INDEX($Q159:$AJ159,1,(BC$4-1)*5+3)</f>
        <v/>
      </c>
      <c r="BD159" s="22">
        <f>INDEX($Q159:$AJ159,1,(BD$4-1)*5+1)+BD$8*INDEX($Q159:$AJ159,1,(BD$4-1)*5+2)*INDEX($Q159:$AJ159,1,(BD$4-1)*5+3)</f>
        <v/>
      </c>
      <c r="BE159" s="22">
        <f>INDEX($Q159:$AJ159,1,(BE$4-1)*5+1)+BE$8*INDEX($Q159:$AJ159,1,(BE$4-1)*5+2)*INDEX($Q159:$AJ159,1,(BE$4-1)*5+3)</f>
        <v/>
      </c>
      <c r="BF159" s="22">
        <f>INDEX($Q159:$AJ159,1,(BF$4-1)*5+1)+BF$8*INDEX($Q159:$AJ159,1,(BF$4-1)*5+2)*INDEX($Q159:$AJ159,1,(BF$4-1)*5+3)</f>
        <v/>
      </c>
      <c r="BG159" s="22">
        <f>INDEX($Q159:$AJ159,1,(BG$4-1)*5+1)+BG$8*INDEX($Q159:$AJ159,1,(BG$4-1)*5+2)*INDEX($Q159:$AJ159,1,(BG$4-1)*5+3)</f>
        <v/>
      </c>
      <c r="BH159" s="22">
        <f>INDEX($Q159:$AJ159,1,(BH$4-1)*5+1)+BH$8*INDEX($Q159:$AJ159,1,(BH$4-1)*5+2)*INDEX($Q159:$AJ159,1,(BH$4-1)*5+3)</f>
        <v/>
      </c>
      <c r="BI159" s="22">
        <f>INDEX($Q159:$AJ159,1,(BI$4-1)*5+1)+BI$8*INDEX($Q159:$AJ159,1,(BI$4-1)*5+2)*INDEX($Q159:$AJ159,1,(BI$4-1)*5+3)</f>
        <v/>
      </c>
      <c r="BJ159" s="22">
        <f>INDEX($Q159:$AJ159,1,(BJ$4-1)*5+1)+BJ$8*INDEX($Q159:$AJ159,1,(BJ$4-1)*5+2)*INDEX($Q159:$AJ159,1,(BJ$4-1)*5+3)</f>
        <v/>
      </c>
      <c r="BK159" s="22">
        <f>INDEX($Q159:$AJ159,1,(BK$4-1)*5+1)+BK$8*INDEX($Q159:$AJ159,1,(BK$4-1)*5+2)*INDEX($Q159:$AJ159,1,(BK$4-1)*5+3)</f>
        <v/>
      </c>
      <c r="BL159" s="22">
        <f>INDEX($Q159:$AJ159,1,(BL$4-1)*5+1)+BL$8*INDEX($Q159:$AJ159,1,(BL$4-1)*5+2)*INDEX($Q159:$AJ159,1,(BL$4-1)*5+3)</f>
        <v/>
      </c>
      <c r="BM159" s="22">
        <f>INDEX($Q159:$AJ159,1,(BM$4-1)*5+1)+BM$8*INDEX($Q159:$AJ159,1,(BM$4-1)*5+2)*INDEX($Q159:$AJ159,1,(BM$4-1)*5+3)</f>
        <v/>
      </c>
      <c r="BN159" s="22">
        <f>INDEX($Q159:$AJ159,1,(BN$4-1)*5+1)+BN$8*INDEX($Q159:$AJ159,1,(BN$4-1)*5+2)*INDEX($Q159:$AJ159,1,(BN$4-1)*5+3)</f>
        <v/>
      </c>
    </row>
    <row r="160">
      <c r="B160" s="5" t="inlineStr">
        <is>
          <t>die</t>
        </is>
      </c>
      <c r="C160" s="5" t="inlineStr">
        <is>
          <t>avi</t>
        </is>
      </c>
      <c r="D160" s="5" t="inlineStr">
        <is>
          <t>Tax | Domestic aviation | Diesel</t>
        </is>
      </c>
      <c r="E160" s="5" t="inlineStr">
        <is>
          <t>$/GJ</t>
        </is>
      </c>
      <c r="F160" s="5" t="inlineStr">
        <is>
          <t>Prices_dom, EF_GHG, Mapping</t>
        </is>
      </c>
      <c r="G160" s="19" t="inlineStr">
        <is>
          <t>mit.rp.die</t>
        </is>
      </c>
      <c r="H160" s="19" t="inlineStr">
        <is>
          <t>mit.tax.die.avi</t>
        </is>
      </c>
      <c r="J160" s="5">
        <f>INDEX(Mapping!$C$5:$C$20,MATCH($C160,Mapping!$A$5:$A$20,0))</f>
        <v/>
      </c>
      <c r="K160" s="5">
        <f>INDEX(Mapping!$D$5:$D$20,MATCH($C160,Mapping!$A$5:$A$20,0))</f>
        <v/>
      </c>
      <c r="L160" s="5">
        <f>INDEX(Mapping!$C$24:$C$31,MATCH($B160,Mapping!$A$24:$A$31,0))</f>
        <v/>
      </c>
      <c r="M160" s="5">
        <f>INDEX(Mapping!$D$24:$D$31,MATCH($B160,Mapping!$A$24:$A$31,0))</f>
        <v/>
      </c>
      <c r="N160" s="5">
        <f>$B160&amp;"."&amp;IF(INDEX(Mapping!$E$24:$E$31,MATCH($B160,Mapping!$A$24:$A$31,0))="sub",INDEX(Mapping!$F$5:$F$20,MATCH($C160,Mapping!$A$5:$A$20,0)),"all")</f>
        <v/>
      </c>
      <c r="O160" s="5">
        <f>INDEX(Mapping!$E$5:$E$20,MATCH($C160,Mapping!$A$5:$A$20,0))</f>
        <v/>
      </c>
      <c r="P160" s="5">
        <f>INDEX(Mapping!$G$24:$G$31,MATCH($B160,Mapping!$A$24:$A$31,0))</f>
        <v/>
      </c>
      <c r="Q160" s="22">
        <f>(INDEX(Prices_dom!$A$6:$CU$2000,MATCH(Settings!$C$4&amp;Settings!$C$7,Prices_dom!$A$6:$A$2000,0),MATCH("mit.rp."&amp;$N160,Prices_dom!$A$5:$CU$5,0))-INDEX(Prices_dom!$A$6:$CU$2000,MATCH(Settings!$C$4&amp;Settings!$C$7,Prices_dom!$A$6:$A$2000,0),MATCH("mit.sp."&amp;$N160,Prices_dom!$A$5:$CU$5,0)))/$P160</f>
        <v/>
      </c>
      <c r="R160" s="22">
        <f>INDEX(EF_GHG!$E$4:$E$1000,MATCH(Settings!$C$4&amp;"|"&amp;$B160&amp;"|"&amp;$O160,EF_GHG!$A$4:$A$1000,0))</f>
        <v/>
      </c>
      <c r="S160" s="22">
        <f>INDEX(Mapping!$G$5:$G$20,MATCH($C160,Mapping!$A$5:$A$20,0))</f>
        <v/>
      </c>
      <c r="T160" s="21" t="n"/>
      <c r="U160" s="21" t="n"/>
      <c r="V160" s="22">
        <f>Q160</f>
        <v/>
      </c>
      <c r="W160" s="22">
        <f>R160</f>
        <v/>
      </c>
      <c r="X160" s="22">
        <f>S160</f>
        <v/>
      </c>
      <c r="Y160" s="21" t="n"/>
      <c r="Z160" s="21" t="n"/>
      <c r="AA160" s="22">
        <f>Q160</f>
        <v/>
      </c>
      <c r="AB160" s="22">
        <f>R160</f>
        <v/>
      </c>
      <c r="AC160" s="22">
        <f>S160</f>
        <v/>
      </c>
      <c r="AD160" s="21" t="n"/>
      <c r="AE160" s="21" t="n"/>
      <c r="AF160" s="22">
        <f>Q160</f>
        <v/>
      </c>
      <c r="AG160" s="22">
        <f>R160</f>
        <v/>
      </c>
      <c r="AH160" s="22">
        <f>S160</f>
        <v/>
      </c>
      <c r="AI160" s="21" t="n"/>
      <c r="AJ160" s="21" t="n"/>
      <c r="AL160" s="23">
        <f>INDEX($Q160:$AJ160,1,(AL$4-1)*5+1)+AL$8*INDEX($Q160:$AJ160,1,(AL$4-1)*5+2)*INDEX($Q160:$AJ160,1,(AL$4-1)*5+3)</f>
        <v/>
      </c>
      <c r="AM160" s="22">
        <f>INDEX($Q160:$AJ160,1,(AM$4-1)*5+1)+AM$8*INDEX($Q160:$AJ160,1,(AM$4-1)*5+2)*INDEX($Q160:$AJ160,1,(AM$4-1)*5+3)</f>
        <v/>
      </c>
      <c r="AN160" s="22">
        <f>INDEX($Q160:$AJ160,1,(AN$4-1)*5+1)+AN$8*INDEX($Q160:$AJ160,1,(AN$4-1)*5+2)*INDEX($Q160:$AJ160,1,(AN$4-1)*5+3)</f>
        <v/>
      </c>
      <c r="AO160" s="22">
        <f>INDEX($Q160:$AJ160,1,(AO$4-1)*5+1)+AO$8*INDEX($Q160:$AJ160,1,(AO$4-1)*5+2)*INDEX($Q160:$AJ160,1,(AO$4-1)*5+3)</f>
        <v/>
      </c>
      <c r="AP160" s="22">
        <f>INDEX($Q160:$AJ160,1,(AP$4-1)*5+1)+AP$8*INDEX($Q160:$AJ160,1,(AP$4-1)*5+2)*INDEX($Q160:$AJ160,1,(AP$4-1)*5+3)</f>
        <v/>
      </c>
      <c r="AQ160" s="22">
        <f>INDEX($Q160:$AJ160,1,(AQ$4-1)*5+1)+AQ$8*INDEX($Q160:$AJ160,1,(AQ$4-1)*5+2)*INDEX($Q160:$AJ160,1,(AQ$4-1)*5+3)</f>
        <v/>
      </c>
      <c r="AR160" s="22">
        <f>INDEX($Q160:$AJ160,1,(AR$4-1)*5+1)+AR$8*INDEX($Q160:$AJ160,1,(AR$4-1)*5+2)*INDEX($Q160:$AJ160,1,(AR$4-1)*5+3)</f>
        <v/>
      </c>
      <c r="AS160" s="22">
        <f>INDEX($Q160:$AJ160,1,(AS$4-1)*5+1)+AS$8*INDEX($Q160:$AJ160,1,(AS$4-1)*5+2)*INDEX($Q160:$AJ160,1,(AS$4-1)*5+3)</f>
        <v/>
      </c>
      <c r="AT160" s="22">
        <f>INDEX($Q160:$AJ160,1,(AT$4-1)*5+1)+AT$8*INDEX($Q160:$AJ160,1,(AT$4-1)*5+2)*INDEX($Q160:$AJ160,1,(AT$4-1)*5+3)</f>
        <v/>
      </c>
      <c r="AU160" s="22">
        <f>INDEX($Q160:$AJ160,1,(AU$4-1)*5+1)+AU$8*INDEX($Q160:$AJ160,1,(AU$4-1)*5+2)*INDEX($Q160:$AJ160,1,(AU$4-1)*5+3)</f>
        <v/>
      </c>
      <c r="AV160" s="22">
        <f>INDEX($Q160:$AJ160,1,(AV$4-1)*5+1)+AV$8*INDEX($Q160:$AJ160,1,(AV$4-1)*5+2)*INDEX($Q160:$AJ160,1,(AV$4-1)*5+3)</f>
        <v/>
      </c>
      <c r="AW160" s="22">
        <f>INDEX($Q160:$AJ160,1,(AW$4-1)*5+1)+AW$8*INDEX($Q160:$AJ160,1,(AW$4-1)*5+2)*INDEX($Q160:$AJ160,1,(AW$4-1)*5+3)</f>
        <v/>
      </c>
      <c r="AX160" s="22">
        <f>INDEX($Q160:$AJ160,1,(AX$4-1)*5+1)+AX$8*INDEX($Q160:$AJ160,1,(AX$4-1)*5+2)*INDEX($Q160:$AJ160,1,(AX$4-1)*5+3)</f>
        <v/>
      </c>
      <c r="AY160" s="22">
        <f>INDEX($Q160:$AJ160,1,(AY$4-1)*5+1)+AY$8*INDEX($Q160:$AJ160,1,(AY$4-1)*5+2)*INDEX($Q160:$AJ160,1,(AY$4-1)*5+3)</f>
        <v/>
      </c>
      <c r="BA160" s="23">
        <f>INDEX($Q160:$AJ160,1,(BA$4-1)*5+1)+BA$8*INDEX($Q160:$AJ160,1,(BA$4-1)*5+2)*INDEX($Q160:$AJ160,1,(BA$4-1)*5+3)</f>
        <v/>
      </c>
      <c r="BB160" s="22">
        <f>INDEX($Q160:$AJ160,1,(BB$4-1)*5+1)+BB$8*INDEX($Q160:$AJ160,1,(BB$4-1)*5+2)*INDEX($Q160:$AJ160,1,(BB$4-1)*5+3)</f>
        <v/>
      </c>
      <c r="BC160" s="22">
        <f>INDEX($Q160:$AJ160,1,(BC$4-1)*5+1)+BC$8*INDEX($Q160:$AJ160,1,(BC$4-1)*5+2)*INDEX($Q160:$AJ160,1,(BC$4-1)*5+3)</f>
        <v/>
      </c>
      <c r="BD160" s="22">
        <f>INDEX($Q160:$AJ160,1,(BD$4-1)*5+1)+BD$8*INDEX($Q160:$AJ160,1,(BD$4-1)*5+2)*INDEX($Q160:$AJ160,1,(BD$4-1)*5+3)</f>
        <v/>
      </c>
      <c r="BE160" s="22">
        <f>INDEX($Q160:$AJ160,1,(BE$4-1)*5+1)+BE$8*INDEX($Q160:$AJ160,1,(BE$4-1)*5+2)*INDEX($Q160:$AJ160,1,(BE$4-1)*5+3)</f>
        <v/>
      </c>
      <c r="BF160" s="22">
        <f>INDEX($Q160:$AJ160,1,(BF$4-1)*5+1)+BF$8*INDEX($Q160:$AJ160,1,(BF$4-1)*5+2)*INDEX($Q160:$AJ160,1,(BF$4-1)*5+3)</f>
        <v/>
      </c>
      <c r="BG160" s="22">
        <f>INDEX($Q160:$AJ160,1,(BG$4-1)*5+1)+BG$8*INDEX($Q160:$AJ160,1,(BG$4-1)*5+2)*INDEX($Q160:$AJ160,1,(BG$4-1)*5+3)</f>
        <v/>
      </c>
      <c r="BH160" s="22">
        <f>INDEX($Q160:$AJ160,1,(BH$4-1)*5+1)+BH$8*INDEX($Q160:$AJ160,1,(BH$4-1)*5+2)*INDEX($Q160:$AJ160,1,(BH$4-1)*5+3)</f>
        <v/>
      </c>
      <c r="BI160" s="22">
        <f>INDEX($Q160:$AJ160,1,(BI$4-1)*5+1)+BI$8*INDEX($Q160:$AJ160,1,(BI$4-1)*5+2)*INDEX($Q160:$AJ160,1,(BI$4-1)*5+3)</f>
        <v/>
      </c>
      <c r="BJ160" s="22">
        <f>INDEX($Q160:$AJ160,1,(BJ$4-1)*5+1)+BJ$8*INDEX($Q160:$AJ160,1,(BJ$4-1)*5+2)*INDEX($Q160:$AJ160,1,(BJ$4-1)*5+3)</f>
        <v/>
      </c>
      <c r="BK160" s="22">
        <f>INDEX($Q160:$AJ160,1,(BK$4-1)*5+1)+BK$8*INDEX($Q160:$AJ160,1,(BK$4-1)*5+2)*INDEX($Q160:$AJ160,1,(BK$4-1)*5+3)</f>
        <v/>
      </c>
      <c r="BL160" s="22">
        <f>INDEX($Q160:$AJ160,1,(BL$4-1)*5+1)+BL$8*INDEX($Q160:$AJ160,1,(BL$4-1)*5+2)*INDEX($Q160:$AJ160,1,(BL$4-1)*5+3)</f>
        <v/>
      </c>
      <c r="BM160" s="22">
        <f>INDEX($Q160:$AJ160,1,(BM$4-1)*5+1)+BM$8*INDEX($Q160:$AJ160,1,(BM$4-1)*5+2)*INDEX($Q160:$AJ160,1,(BM$4-1)*5+3)</f>
        <v/>
      </c>
      <c r="BN160" s="22">
        <f>INDEX($Q160:$AJ160,1,(BN$4-1)*5+1)+BN$8*INDEX($Q160:$AJ160,1,(BN$4-1)*5+2)*INDEX($Q160:$AJ160,1,(BN$4-1)*5+3)</f>
        <v/>
      </c>
    </row>
    <row r="161">
      <c r="B161" s="5" t="inlineStr">
        <is>
          <t>lpg</t>
        </is>
      </c>
      <c r="C161" s="5" t="inlineStr">
        <is>
          <t>avi</t>
        </is>
      </c>
      <c r="D161" s="5" t="inlineStr">
        <is>
          <t>Tax | Domestic aviation | LPG</t>
        </is>
      </c>
      <c r="E161" s="5" t="inlineStr">
        <is>
          <t>$/GJ</t>
        </is>
      </c>
      <c r="F161" s="5" t="inlineStr">
        <is>
          <t>Prices_dom, EF_GHG, Mapping</t>
        </is>
      </c>
      <c r="G161" s="19" t="inlineStr">
        <is>
          <t>mit.rp.lpg</t>
        </is>
      </c>
      <c r="H161" s="19" t="inlineStr">
        <is>
          <t>mit.tax.lpg.avi</t>
        </is>
      </c>
      <c r="J161" s="5">
        <f>INDEX(Mapping!$C$5:$C$20,MATCH($C161,Mapping!$A$5:$A$20,0))</f>
        <v/>
      </c>
      <c r="K161" s="5">
        <f>INDEX(Mapping!$D$5:$D$20,MATCH($C161,Mapping!$A$5:$A$20,0))</f>
        <v/>
      </c>
      <c r="L161" s="5">
        <f>INDEX(Mapping!$C$24:$C$31,MATCH($B161,Mapping!$A$24:$A$31,0))</f>
        <v/>
      </c>
      <c r="M161" s="5">
        <f>INDEX(Mapping!$D$24:$D$31,MATCH($B161,Mapping!$A$24:$A$31,0))</f>
        <v/>
      </c>
      <c r="N161" s="5">
        <f>$B161&amp;"."&amp;IF(INDEX(Mapping!$E$24:$E$31,MATCH($B161,Mapping!$A$24:$A$31,0))="sub",INDEX(Mapping!$F$5:$F$20,MATCH($C161,Mapping!$A$5:$A$20,0)),"all")</f>
        <v/>
      </c>
      <c r="O161" s="5">
        <f>INDEX(Mapping!$E$5:$E$20,MATCH($C161,Mapping!$A$5:$A$20,0))</f>
        <v/>
      </c>
      <c r="P161" s="5">
        <f>INDEX(Mapping!$G$24:$G$31,MATCH($B161,Mapping!$A$24:$A$31,0))</f>
        <v/>
      </c>
      <c r="Q161" s="22">
        <f>(INDEX(Prices_dom!$A$6:$CU$2000,MATCH(Settings!$C$4&amp;Settings!$C$7,Prices_dom!$A$6:$A$2000,0),MATCH("mit.rp."&amp;$N161,Prices_dom!$A$5:$CU$5,0))-INDEX(Prices_dom!$A$6:$CU$2000,MATCH(Settings!$C$4&amp;Settings!$C$7,Prices_dom!$A$6:$A$2000,0),MATCH("mit.sp."&amp;$N161,Prices_dom!$A$5:$CU$5,0)))/$P161</f>
        <v/>
      </c>
      <c r="R161" s="22">
        <f>INDEX(EF_GHG!$E$4:$E$1000,MATCH(Settings!$C$4&amp;"|"&amp;$B161&amp;"|"&amp;$O161,EF_GHG!$A$4:$A$1000,0))</f>
        <v/>
      </c>
      <c r="S161" s="22">
        <f>INDEX(Mapping!$G$5:$G$20,MATCH($C161,Mapping!$A$5:$A$20,0))</f>
        <v/>
      </c>
      <c r="T161" s="21" t="n"/>
      <c r="U161" s="21" t="n"/>
      <c r="V161" s="22">
        <f>Q161</f>
        <v/>
      </c>
      <c r="W161" s="22">
        <f>R161</f>
        <v/>
      </c>
      <c r="X161" s="22">
        <f>S161</f>
        <v/>
      </c>
      <c r="Y161" s="21" t="n"/>
      <c r="Z161" s="21" t="n"/>
      <c r="AA161" s="22">
        <f>Q161</f>
        <v/>
      </c>
      <c r="AB161" s="22">
        <f>R161</f>
        <v/>
      </c>
      <c r="AC161" s="22">
        <f>S161</f>
        <v/>
      </c>
      <c r="AD161" s="21" t="n"/>
      <c r="AE161" s="21" t="n"/>
      <c r="AF161" s="22">
        <f>Q161</f>
        <v/>
      </c>
      <c r="AG161" s="22">
        <f>R161</f>
        <v/>
      </c>
      <c r="AH161" s="22">
        <f>S161</f>
        <v/>
      </c>
      <c r="AI161" s="21" t="n"/>
      <c r="AJ161" s="21" t="n"/>
      <c r="AL161" s="23">
        <f>INDEX($Q161:$AJ161,1,(AL$4-1)*5+1)+AL$8*INDEX($Q161:$AJ161,1,(AL$4-1)*5+2)*INDEX($Q161:$AJ161,1,(AL$4-1)*5+3)</f>
        <v/>
      </c>
      <c r="AM161" s="22">
        <f>INDEX($Q161:$AJ161,1,(AM$4-1)*5+1)+AM$8*INDEX($Q161:$AJ161,1,(AM$4-1)*5+2)*INDEX($Q161:$AJ161,1,(AM$4-1)*5+3)</f>
        <v/>
      </c>
      <c r="AN161" s="22">
        <f>INDEX($Q161:$AJ161,1,(AN$4-1)*5+1)+AN$8*INDEX($Q161:$AJ161,1,(AN$4-1)*5+2)*INDEX($Q161:$AJ161,1,(AN$4-1)*5+3)</f>
        <v/>
      </c>
      <c r="AO161" s="22">
        <f>INDEX($Q161:$AJ161,1,(AO$4-1)*5+1)+AO$8*INDEX($Q161:$AJ161,1,(AO$4-1)*5+2)*INDEX($Q161:$AJ161,1,(AO$4-1)*5+3)</f>
        <v/>
      </c>
      <c r="AP161" s="22">
        <f>INDEX($Q161:$AJ161,1,(AP$4-1)*5+1)+AP$8*INDEX($Q161:$AJ161,1,(AP$4-1)*5+2)*INDEX($Q161:$AJ161,1,(AP$4-1)*5+3)</f>
        <v/>
      </c>
      <c r="AQ161" s="22">
        <f>INDEX($Q161:$AJ161,1,(AQ$4-1)*5+1)+AQ$8*INDEX($Q161:$AJ161,1,(AQ$4-1)*5+2)*INDEX($Q161:$AJ161,1,(AQ$4-1)*5+3)</f>
        <v/>
      </c>
      <c r="AR161" s="22">
        <f>INDEX($Q161:$AJ161,1,(AR$4-1)*5+1)+AR$8*INDEX($Q161:$AJ161,1,(AR$4-1)*5+2)*INDEX($Q161:$AJ161,1,(AR$4-1)*5+3)</f>
        <v/>
      </c>
      <c r="AS161" s="22">
        <f>INDEX($Q161:$AJ161,1,(AS$4-1)*5+1)+AS$8*INDEX($Q161:$AJ161,1,(AS$4-1)*5+2)*INDEX($Q161:$AJ161,1,(AS$4-1)*5+3)</f>
        <v/>
      </c>
      <c r="AT161" s="22">
        <f>INDEX($Q161:$AJ161,1,(AT$4-1)*5+1)+AT$8*INDEX($Q161:$AJ161,1,(AT$4-1)*5+2)*INDEX($Q161:$AJ161,1,(AT$4-1)*5+3)</f>
        <v/>
      </c>
      <c r="AU161" s="22">
        <f>INDEX($Q161:$AJ161,1,(AU$4-1)*5+1)+AU$8*INDEX($Q161:$AJ161,1,(AU$4-1)*5+2)*INDEX($Q161:$AJ161,1,(AU$4-1)*5+3)</f>
        <v/>
      </c>
      <c r="AV161" s="22">
        <f>INDEX($Q161:$AJ161,1,(AV$4-1)*5+1)+AV$8*INDEX($Q161:$AJ161,1,(AV$4-1)*5+2)*INDEX($Q161:$AJ161,1,(AV$4-1)*5+3)</f>
        <v/>
      </c>
      <c r="AW161" s="22">
        <f>INDEX($Q161:$AJ161,1,(AW$4-1)*5+1)+AW$8*INDEX($Q161:$AJ161,1,(AW$4-1)*5+2)*INDEX($Q161:$AJ161,1,(AW$4-1)*5+3)</f>
        <v/>
      </c>
      <c r="AX161" s="22">
        <f>INDEX($Q161:$AJ161,1,(AX$4-1)*5+1)+AX$8*INDEX($Q161:$AJ161,1,(AX$4-1)*5+2)*INDEX($Q161:$AJ161,1,(AX$4-1)*5+3)</f>
        <v/>
      </c>
      <c r="AY161" s="22">
        <f>INDEX($Q161:$AJ161,1,(AY$4-1)*5+1)+AY$8*INDEX($Q161:$AJ161,1,(AY$4-1)*5+2)*INDEX($Q161:$AJ161,1,(AY$4-1)*5+3)</f>
        <v/>
      </c>
      <c r="BA161" s="23">
        <f>INDEX($Q161:$AJ161,1,(BA$4-1)*5+1)+BA$8*INDEX($Q161:$AJ161,1,(BA$4-1)*5+2)*INDEX($Q161:$AJ161,1,(BA$4-1)*5+3)</f>
        <v/>
      </c>
      <c r="BB161" s="22">
        <f>INDEX($Q161:$AJ161,1,(BB$4-1)*5+1)+BB$8*INDEX($Q161:$AJ161,1,(BB$4-1)*5+2)*INDEX($Q161:$AJ161,1,(BB$4-1)*5+3)</f>
        <v/>
      </c>
      <c r="BC161" s="22">
        <f>INDEX($Q161:$AJ161,1,(BC$4-1)*5+1)+BC$8*INDEX($Q161:$AJ161,1,(BC$4-1)*5+2)*INDEX($Q161:$AJ161,1,(BC$4-1)*5+3)</f>
        <v/>
      </c>
      <c r="BD161" s="22">
        <f>INDEX($Q161:$AJ161,1,(BD$4-1)*5+1)+BD$8*INDEX($Q161:$AJ161,1,(BD$4-1)*5+2)*INDEX($Q161:$AJ161,1,(BD$4-1)*5+3)</f>
        <v/>
      </c>
      <c r="BE161" s="22">
        <f>INDEX($Q161:$AJ161,1,(BE$4-1)*5+1)+BE$8*INDEX($Q161:$AJ161,1,(BE$4-1)*5+2)*INDEX($Q161:$AJ161,1,(BE$4-1)*5+3)</f>
        <v/>
      </c>
      <c r="BF161" s="22">
        <f>INDEX($Q161:$AJ161,1,(BF$4-1)*5+1)+BF$8*INDEX($Q161:$AJ161,1,(BF$4-1)*5+2)*INDEX($Q161:$AJ161,1,(BF$4-1)*5+3)</f>
        <v/>
      </c>
      <c r="BG161" s="22">
        <f>INDEX($Q161:$AJ161,1,(BG$4-1)*5+1)+BG$8*INDEX($Q161:$AJ161,1,(BG$4-1)*5+2)*INDEX($Q161:$AJ161,1,(BG$4-1)*5+3)</f>
        <v/>
      </c>
      <c r="BH161" s="22">
        <f>INDEX($Q161:$AJ161,1,(BH$4-1)*5+1)+BH$8*INDEX($Q161:$AJ161,1,(BH$4-1)*5+2)*INDEX($Q161:$AJ161,1,(BH$4-1)*5+3)</f>
        <v/>
      </c>
      <c r="BI161" s="22">
        <f>INDEX($Q161:$AJ161,1,(BI$4-1)*5+1)+BI$8*INDEX($Q161:$AJ161,1,(BI$4-1)*5+2)*INDEX($Q161:$AJ161,1,(BI$4-1)*5+3)</f>
        <v/>
      </c>
      <c r="BJ161" s="22">
        <f>INDEX($Q161:$AJ161,1,(BJ$4-1)*5+1)+BJ$8*INDEX($Q161:$AJ161,1,(BJ$4-1)*5+2)*INDEX($Q161:$AJ161,1,(BJ$4-1)*5+3)</f>
        <v/>
      </c>
      <c r="BK161" s="22">
        <f>INDEX($Q161:$AJ161,1,(BK$4-1)*5+1)+BK$8*INDEX($Q161:$AJ161,1,(BK$4-1)*5+2)*INDEX($Q161:$AJ161,1,(BK$4-1)*5+3)</f>
        <v/>
      </c>
      <c r="BL161" s="22">
        <f>INDEX($Q161:$AJ161,1,(BL$4-1)*5+1)+BL$8*INDEX($Q161:$AJ161,1,(BL$4-1)*5+2)*INDEX($Q161:$AJ161,1,(BL$4-1)*5+3)</f>
        <v/>
      </c>
      <c r="BM161" s="22">
        <f>INDEX($Q161:$AJ161,1,(BM$4-1)*5+1)+BM$8*INDEX($Q161:$AJ161,1,(BM$4-1)*5+2)*INDEX($Q161:$AJ161,1,(BM$4-1)*5+3)</f>
        <v/>
      </c>
      <c r="BN161" s="22">
        <f>INDEX($Q161:$AJ161,1,(BN$4-1)*5+1)+BN$8*INDEX($Q161:$AJ161,1,(BN$4-1)*5+2)*INDEX($Q161:$AJ161,1,(BN$4-1)*5+3)</f>
        <v/>
      </c>
    </row>
    <row r="162">
      <c r="B162" s="5" t="inlineStr">
        <is>
          <t>ker</t>
        </is>
      </c>
      <c r="C162" s="5" t="inlineStr">
        <is>
          <t>avi</t>
        </is>
      </c>
      <c r="D162" s="5" t="inlineStr">
        <is>
          <t>Tax | Domestic aviation | Kerosene</t>
        </is>
      </c>
      <c r="E162" s="5" t="inlineStr">
        <is>
          <t>$/GJ</t>
        </is>
      </c>
      <c r="F162" s="5" t="inlineStr">
        <is>
          <t>Prices_dom, EF_GHG, Mapping</t>
        </is>
      </c>
      <c r="G162" s="19" t="inlineStr">
        <is>
          <t>mit.rp.ker</t>
        </is>
      </c>
      <c r="H162" s="19" t="inlineStr">
        <is>
          <t>mit.tax.ker.avi</t>
        </is>
      </c>
      <c r="J162" s="5">
        <f>INDEX(Mapping!$C$5:$C$20,MATCH($C162,Mapping!$A$5:$A$20,0))</f>
        <v/>
      </c>
      <c r="K162" s="5">
        <f>INDEX(Mapping!$D$5:$D$20,MATCH($C162,Mapping!$A$5:$A$20,0))</f>
        <v/>
      </c>
      <c r="L162" s="5">
        <f>INDEX(Mapping!$C$24:$C$31,MATCH($B162,Mapping!$A$24:$A$31,0))</f>
        <v/>
      </c>
      <c r="M162" s="5">
        <f>INDEX(Mapping!$D$24:$D$31,MATCH($B162,Mapping!$A$24:$A$31,0))</f>
        <v/>
      </c>
      <c r="N162" s="5">
        <f>$B162&amp;"."&amp;IF(INDEX(Mapping!$E$24:$E$31,MATCH($B162,Mapping!$A$24:$A$31,0))="sub",INDEX(Mapping!$F$5:$F$20,MATCH($C162,Mapping!$A$5:$A$20,0)),"all")</f>
        <v/>
      </c>
      <c r="O162" s="5">
        <f>INDEX(Mapping!$E$5:$E$20,MATCH($C162,Mapping!$A$5:$A$20,0))</f>
        <v/>
      </c>
      <c r="P162" s="5">
        <f>INDEX(Mapping!$G$24:$G$31,MATCH($B162,Mapping!$A$24:$A$31,0))</f>
        <v/>
      </c>
      <c r="Q162" s="22">
        <f>(INDEX(Prices_dom!$A$6:$CU$2000,MATCH(Settings!$C$4&amp;Settings!$C$7,Prices_dom!$A$6:$A$2000,0),MATCH("mit.rp."&amp;$N162,Prices_dom!$A$5:$CU$5,0))-INDEX(Prices_dom!$A$6:$CU$2000,MATCH(Settings!$C$4&amp;Settings!$C$7,Prices_dom!$A$6:$A$2000,0),MATCH("mit.sp."&amp;$N162,Prices_dom!$A$5:$CU$5,0)))/$P162</f>
        <v/>
      </c>
      <c r="R162" s="22">
        <f>INDEX(EF_GHG!$E$4:$E$1000,MATCH(Settings!$C$4&amp;"|"&amp;$B162&amp;"|"&amp;$O162,EF_GHG!$A$4:$A$1000,0))</f>
        <v/>
      </c>
      <c r="S162" s="22">
        <f>INDEX(Mapping!$G$5:$G$20,MATCH($C162,Mapping!$A$5:$A$20,0))</f>
        <v/>
      </c>
      <c r="T162" s="21" t="n"/>
      <c r="U162" s="21" t="n"/>
      <c r="V162" s="22">
        <f>Q162</f>
        <v/>
      </c>
      <c r="W162" s="22">
        <f>R162</f>
        <v/>
      </c>
      <c r="X162" s="22">
        <f>S162</f>
        <v/>
      </c>
      <c r="Y162" s="21" t="n"/>
      <c r="Z162" s="21" t="n"/>
      <c r="AA162" s="22">
        <f>Q162</f>
        <v/>
      </c>
      <c r="AB162" s="22">
        <f>R162</f>
        <v/>
      </c>
      <c r="AC162" s="22">
        <f>S162</f>
        <v/>
      </c>
      <c r="AD162" s="21" t="n"/>
      <c r="AE162" s="21" t="n"/>
      <c r="AF162" s="22">
        <f>Q162</f>
        <v/>
      </c>
      <c r="AG162" s="22">
        <f>R162</f>
        <v/>
      </c>
      <c r="AH162" s="22">
        <f>S162</f>
        <v/>
      </c>
      <c r="AI162" s="21" t="n"/>
      <c r="AJ162" s="21" t="n"/>
      <c r="AL162" s="23">
        <f>INDEX($Q162:$AJ162,1,(AL$4-1)*5+1)+AL$8*INDEX($Q162:$AJ162,1,(AL$4-1)*5+2)*INDEX($Q162:$AJ162,1,(AL$4-1)*5+3)</f>
        <v/>
      </c>
      <c r="AM162" s="22">
        <f>INDEX($Q162:$AJ162,1,(AM$4-1)*5+1)+AM$8*INDEX($Q162:$AJ162,1,(AM$4-1)*5+2)*INDEX($Q162:$AJ162,1,(AM$4-1)*5+3)</f>
        <v/>
      </c>
      <c r="AN162" s="22">
        <f>INDEX($Q162:$AJ162,1,(AN$4-1)*5+1)+AN$8*INDEX($Q162:$AJ162,1,(AN$4-1)*5+2)*INDEX($Q162:$AJ162,1,(AN$4-1)*5+3)</f>
        <v/>
      </c>
      <c r="AO162" s="22">
        <f>INDEX($Q162:$AJ162,1,(AO$4-1)*5+1)+AO$8*INDEX($Q162:$AJ162,1,(AO$4-1)*5+2)*INDEX($Q162:$AJ162,1,(AO$4-1)*5+3)</f>
        <v/>
      </c>
      <c r="AP162" s="22">
        <f>INDEX($Q162:$AJ162,1,(AP$4-1)*5+1)+AP$8*INDEX($Q162:$AJ162,1,(AP$4-1)*5+2)*INDEX($Q162:$AJ162,1,(AP$4-1)*5+3)</f>
        <v/>
      </c>
      <c r="AQ162" s="22">
        <f>INDEX($Q162:$AJ162,1,(AQ$4-1)*5+1)+AQ$8*INDEX($Q162:$AJ162,1,(AQ$4-1)*5+2)*INDEX($Q162:$AJ162,1,(AQ$4-1)*5+3)</f>
        <v/>
      </c>
      <c r="AR162" s="22">
        <f>INDEX($Q162:$AJ162,1,(AR$4-1)*5+1)+AR$8*INDEX($Q162:$AJ162,1,(AR$4-1)*5+2)*INDEX($Q162:$AJ162,1,(AR$4-1)*5+3)</f>
        <v/>
      </c>
      <c r="AS162" s="22">
        <f>INDEX($Q162:$AJ162,1,(AS$4-1)*5+1)+AS$8*INDEX($Q162:$AJ162,1,(AS$4-1)*5+2)*INDEX($Q162:$AJ162,1,(AS$4-1)*5+3)</f>
        <v/>
      </c>
      <c r="AT162" s="22">
        <f>INDEX($Q162:$AJ162,1,(AT$4-1)*5+1)+AT$8*INDEX($Q162:$AJ162,1,(AT$4-1)*5+2)*INDEX($Q162:$AJ162,1,(AT$4-1)*5+3)</f>
        <v/>
      </c>
      <c r="AU162" s="22">
        <f>INDEX($Q162:$AJ162,1,(AU$4-1)*5+1)+AU$8*INDEX($Q162:$AJ162,1,(AU$4-1)*5+2)*INDEX($Q162:$AJ162,1,(AU$4-1)*5+3)</f>
        <v/>
      </c>
      <c r="AV162" s="22">
        <f>INDEX($Q162:$AJ162,1,(AV$4-1)*5+1)+AV$8*INDEX($Q162:$AJ162,1,(AV$4-1)*5+2)*INDEX($Q162:$AJ162,1,(AV$4-1)*5+3)</f>
        <v/>
      </c>
      <c r="AW162" s="22">
        <f>INDEX($Q162:$AJ162,1,(AW$4-1)*5+1)+AW$8*INDEX($Q162:$AJ162,1,(AW$4-1)*5+2)*INDEX($Q162:$AJ162,1,(AW$4-1)*5+3)</f>
        <v/>
      </c>
      <c r="AX162" s="22">
        <f>INDEX($Q162:$AJ162,1,(AX$4-1)*5+1)+AX$8*INDEX($Q162:$AJ162,1,(AX$4-1)*5+2)*INDEX($Q162:$AJ162,1,(AX$4-1)*5+3)</f>
        <v/>
      </c>
      <c r="AY162" s="22">
        <f>INDEX($Q162:$AJ162,1,(AY$4-1)*5+1)+AY$8*INDEX($Q162:$AJ162,1,(AY$4-1)*5+2)*INDEX($Q162:$AJ162,1,(AY$4-1)*5+3)</f>
        <v/>
      </c>
      <c r="BA162" s="23">
        <f>INDEX($Q162:$AJ162,1,(BA$4-1)*5+1)+BA$8*INDEX($Q162:$AJ162,1,(BA$4-1)*5+2)*INDEX($Q162:$AJ162,1,(BA$4-1)*5+3)</f>
        <v/>
      </c>
      <c r="BB162" s="22">
        <f>INDEX($Q162:$AJ162,1,(BB$4-1)*5+1)+BB$8*INDEX($Q162:$AJ162,1,(BB$4-1)*5+2)*INDEX($Q162:$AJ162,1,(BB$4-1)*5+3)</f>
        <v/>
      </c>
      <c r="BC162" s="22">
        <f>INDEX($Q162:$AJ162,1,(BC$4-1)*5+1)+BC$8*INDEX($Q162:$AJ162,1,(BC$4-1)*5+2)*INDEX($Q162:$AJ162,1,(BC$4-1)*5+3)</f>
        <v/>
      </c>
      <c r="BD162" s="22">
        <f>INDEX($Q162:$AJ162,1,(BD$4-1)*5+1)+BD$8*INDEX($Q162:$AJ162,1,(BD$4-1)*5+2)*INDEX($Q162:$AJ162,1,(BD$4-1)*5+3)</f>
        <v/>
      </c>
      <c r="BE162" s="22">
        <f>INDEX($Q162:$AJ162,1,(BE$4-1)*5+1)+BE$8*INDEX($Q162:$AJ162,1,(BE$4-1)*5+2)*INDEX($Q162:$AJ162,1,(BE$4-1)*5+3)</f>
        <v/>
      </c>
      <c r="BF162" s="22">
        <f>INDEX($Q162:$AJ162,1,(BF$4-1)*5+1)+BF$8*INDEX($Q162:$AJ162,1,(BF$4-1)*5+2)*INDEX($Q162:$AJ162,1,(BF$4-1)*5+3)</f>
        <v/>
      </c>
      <c r="BG162" s="22">
        <f>INDEX($Q162:$AJ162,1,(BG$4-1)*5+1)+BG$8*INDEX($Q162:$AJ162,1,(BG$4-1)*5+2)*INDEX($Q162:$AJ162,1,(BG$4-1)*5+3)</f>
        <v/>
      </c>
      <c r="BH162" s="22">
        <f>INDEX($Q162:$AJ162,1,(BH$4-1)*5+1)+BH$8*INDEX($Q162:$AJ162,1,(BH$4-1)*5+2)*INDEX($Q162:$AJ162,1,(BH$4-1)*5+3)</f>
        <v/>
      </c>
      <c r="BI162" s="22">
        <f>INDEX($Q162:$AJ162,1,(BI$4-1)*5+1)+BI$8*INDEX($Q162:$AJ162,1,(BI$4-1)*5+2)*INDEX($Q162:$AJ162,1,(BI$4-1)*5+3)</f>
        <v/>
      </c>
      <c r="BJ162" s="22">
        <f>INDEX($Q162:$AJ162,1,(BJ$4-1)*5+1)+BJ$8*INDEX($Q162:$AJ162,1,(BJ$4-1)*5+2)*INDEX($Q162:$AJ162,1,(BJ$4-1)*5+3)</f>
        <v/>
      </c>
      <c r="BK162" s="22">
        <f>INDEX($Q162:$AJ162,1,(BK$4-1)*5+1)+BK$8*INDEX($Q162:$AJ162,1,(BK$4-1)*5+2)*INDEX($Q162:$AJ162,1,(BK$4-1)*5+3)</f>
        <v/>
      </c>
      <c r="BL162" s="22">
        <f>INDEX($Q162:$AJ162,1,(BL$4-1)*5+1)+BL$8*INDEX($Q162:$AJ162,1,(BL$4-1)*5+2)*INDEX($Q162:$AJ162,1,(BL$4-1)*5+3)</f>
        <v/>
      </c>
      <c r="BM162" s="22">
        <f>INDEX($Q162:$AJ162,1,(BM$4-1)*5+1)+BM$8*INDEX($Q162:$AJ162,1,(BM$4-1)*5+2)*INDEX($Q162:$AJ162,1,(BM$4-1)*5+3)</f>
        <v/>
      </c>
      <c r="BN162" s="22">
        <f>INDEX($Q162:$AJ162,1,(BN$4-1)*5+1)+BN$8*INDEX($Q162:$AJ162,1,(BN$4-1)*5+2)*INDEX($Q162:$AJ162,1,(BN$4-1)*5+3)</f>
        <v/>
      </c>
    </row>
    <row r="163">
      <c r="B163" s="5" t="inlineStr">
        <is>
          <t>oop</t>
        </is>
      </c>
      <c r="C163" s="5" t="inlineStr">
        <is>
          <t>avi</t>
        </is>
      </c>
      <c r="D163" s="5" t="inlineStr">
        <is>
          <t>Tax | Domestic aviation | Other oil products</t>
        </is>
      </c>
      <c r="E163" s="5" t="inlineStr">
        <is>
          <t>$/GJ</t>
        </is>
      </c>
      <c r="F163" s="5" t="inlineStr">
        <is>
          <t>Prices_dom, EF_GHG, Mapping</t>
        </is>
      </c>
      <c r="G163" s="19" t="inlineStr">
        <is>
          <t>mit.rp.oop</t>
        </is>
      </c>
      <c r="H163" s="19" t="inlineStr">
        <is>
          <t>mit.tax.oop.avi</t>
        </is>
      </c>
      <c r="J163" s="5">
        <f>INDEX(Mapping!$C$5:$C$20,MATCH($C163,Mapping!$A$5:$A$20,0))</f>
        <v/>
      </c>
      <c r="K163" s="5">
        <f>INDEX(Mapping!$D$5:$D$20,MATCH($C163,Mapping!$A$5:$A$20,0))</f>
        <v/>
      </c>
      <c r="L163" s="5">
        <f>INDEX(Mapping!$C$24:$C$31,MATCH($B163,Mapping!$A$24:$A$31,0))</f>
        <v/>
      </c>
      <c r="M163" s="5">
        <f>INDEX(Mapping!$D$24:$D$31,MATCH($B163,Mapping!$A$24:$A$31,0))</f>
        <v/>
      </c>
      <c r="N163" s="5">
        <f>$B163&amp;"."&amp;IF(INDEX(Mapping!$E$24:$E$31,MATCH($B163,Mapping!$A$24:$A$31,0))="sub",INDEX(Mapping!$F$5:$F$20,MATCH($C163,Mapping!$A$5:$A$20,0)),"all")</f>
        <v/>
      </c>
      <c r="O163" s="5">
        <f>INDEX(Mapping!$E$5:$E$20,MATCH($C163,Mapping!$A$5:$A$20,0))</f>
        <v/>
      </c>
      <c r="P163" s="5">
        <f>INDEX(Mapping!$G$24:$G$31,MATCH($B163,Mapping!$A$24:$A$31,0))</f>
        <v/>
      </c>
      <c r="Q163" s="22">
        <f>(INDEX(Prices_dom!$A$6:$CU$2000,MATCH(Settings!$C$4&amp;Settings!$C$7,Prices_dom!$A$6:$A$2000,0),MATCH("mit.rp."&amp;$N163,Prices_dom!$A$5:$CU$5,0))-INDEX(Prices_dom!$A$6:$CU$2000,MATCH(Settings!$C$4&amp;Settings!$C$7,Prices_dom!$A$6:$A$2000,0),MATCH("mit.sp."&amp;$N163,Prices_dom!$A$5:$CU$5,0)))/$P163</f>
        <v/>
      </c>
      <c r="R163" s="22">
        <f>INDEX(EF_GHG!$E$4:$E$1000,MATCH(Settings!$C$4&amp;"|"&amp;$B163&amp;"|"&amp;$O163,EF_GHG!$A$4:$A$1000,0))</f>
        <v/>
      </c>
      <c r="S163" s="22">
        <f>INDEX(Mapping!$G$5:$G$20,MATCH($C163,Mapping!$A$5:$A$20,0))</f>
        <v/>
      </c>
      <c r="T163" s="21" t="n"/>
      <c r="U163" s="21" t="n"/>
      <c r="V163" s="22">
        <f>Q163</f>
        <v/>
      </c>
      <c r="W163" s="22">
        <f>R163</f>
        <v/>
      </c>
      <c r="X163" s="22">
        <f>S163</f>
        <v/>
      </c>
      <c r="Y163" s="21" t="n"/>
      <c r="Z163" s="21" t="n"/>
      <c r="AA163" s="22">
        <f>Q163</f>
        <v/>
      </c>
      <c r="AB163" s="22">
        <f>R163</f>
        <v/>
      </c>
      <c r="AC163" s="22">
        <f>S163</f>
        <v/>
      </c>
      <c r="AD163" s="21" t="n"/>
      <c r="AE163" s="21" t="n"/>
      <c r="AF163" s="22">
        <f>Q163</f>
        <v/>
      </c>
      <c r="AG163" s="22">
        <f>R163</f>
        <v/>
      </c>
      <c r="AH163" s="22">
        <f>S163</f>
        <v/>
      </c>
      <c r="AI163" s="21" t="n"/>
      <c r="AJ163" s="21" t="n"/>
      <c r="AL163" s="23">
        <f>INDEX($Q163:$AJ163,1,(AL$4-1)*5+1)+AL$8*INDEX($Q163:$AJ163,1,(AL$4-1)*5+2)*INDEX($Q163:$AJ163,1,(AL$4-1)*5+3)</f>
        <v/>
      </c>
      <c r="AM163" s="22">
        <f>INDEX($Q163:$AJ163,1,(AM$4-1)*5+1)+AM$8*INDEX($Q163:$AJ163,1,(AM$4-1)*5+2)*INDEX($Q163:$AJ163,1,(AM$4-1)*5+3)</f>
        <v/>
      </c>
      <c r="AN163" s="22">
        <f>INDEX($Q163:$AJ163,1,(AN$4-1)*5+1)+AN$8*INDEX($Q163:$AJ163,1,(AN$4-1)*5+2)*INDEX($Q163:$AJ163,1,(AN$4-1)*5+3)</f>
        <v/>
      </c>
      <c r="AO163" s="22">
        <f>INDEX($Q163:$AJ163,1,(AO$4-1)*5+1)+AO$8*INDEX($Q163:$AJ163,1,(AO$4-1)*5+2)*INDEX($Q163:$AJ163,1,(AO$4-1)*5+3)</f>
        <v/>
      </c>
      <c r="AP163" s="22">
        <f>INDEX($Q163:$AJ163,1,(AP$4-1)*5+1)+AP$8*INDEX($Q163:$AJ163,1,(AP$4-1)*5+2)*INDEX($Q163:$AJ163,1,(AP$4-1)*5+3)</f>
        <v/>
      </c>
      <c r="AQ163" s="22">
        <f>INDEX($Q163:$AJ163,1,(AQ$4-1)*5+1)+AQ$8*INDEX($Q163:$AJ163,1,(AQ$4-1)*5+2)*INDEX($Q163:$AJ163,1,(AQ$4-1)*5+3)</f>
        <v/>
      </c>
      <c r="AR163" s="22">
        <f>INDEX($Q163:$AJ163,1,(AR$4-1)*5+1)+AR$8*INDEX($Q163:$AJ163,1,(AR$4-1)*5+2)*INDEX($Q163:$AJ163,1,(AR$4-1)*5+3)</f>
        <v/>
      </c>
      <c r="AS163" s="22">
        <f>INDEX($Q163:$AJ163,1,(AS$4-1)*5+1)+AS$8*INDEX($Q163:$AJ163,1,(AS$4-1)*5+2)*INDEX($Q163:$AJ163,1,(AS$4-1)*5+3)</f>
        <v/>
      </c>
      <c r="AT163" s="22">
        <f>INDEX($Q163:$AJ163,1,(AT$4-1)*5+1)+AT$8*INDEX($Q163:$AJ163,1,(AT$4-1)*5+2)*INDEX($Q163:$AJ163,1,(AT$4-1)*5+3)</f>
        <v/>
      </c>
      <c r="AU163" s="22">
        <f>INDEX($Q163:$AJ163,1,(AU$4-1)*5+1)+AU$8*INDEX($Q163:$AJ163,1,(AU$4-1)*5+2)*INDEX($Q163:$AJ163,1,(AU$4-1)*5+3)</f>
        <v/>
      </c>
      <c r="AV163" s="22">
        <f>INDEX($Q163:$AJ163,1,(AV$4-1)*5+1)+AV$8*INDEX($Q163:$AJ163,1,(AV$4-1)*5+2)*INDEX($Q163:$AJ163,1,(AV$4-1)*5+3)</f>
        <v/>
      </c>
      <c r="AW163" s="22">
        <f>INDEX($Q163:$AJ163,1,(AW$4-1)*5+1)+AW$8*INDEX($Q163:$AJ163,1,(AW$4-1)*5+2)*INDEX($Q163:$AJ163,1,(AW$4-1)*5+3)</f>
        <v/>
      </c>
      <c r="AX163" s="22">
        <f>INDEX($Q163:$AJ163,1,(AX$4-1)*5+1)+AX$8*INDEX($Q163:$AJ163,1,(AX$4-1)*5+2)*INDEX($Q163:$AJ163,1,(AX$4-1)*5+3)</f>
        <v/>
      </c>
      <c r="AY163" s="22">
        <f>INDEX($Q163:$AJ163,1,(AY$4-1)*5+1)+AY$8*INDEX($Q163:$AJ163,1,(AY$4-1)*5+2)*INDEX($Q163:$AJ163,1,(AY$4-1)*5+3)</f>
        <v/>
      </c>
      <c r="BA163" s="23">
        <f>INDEX($Q163:$AJ163,1,(BA$4-1)*5+1)+BA$8*INDEX($Q163:$AJ163,1,(BA$4-1)*5+2)*INDEX($Q163:$AJ163,1,(BA$4-1)*5+3)</f>
        <v/>
      </c>
      <c r="BB163" s="22">
        <f>INDEX($Q163:$AJ163,1,(BB$4-1)*5+1)+BB$8*INDEX($Q163:$AJ163,1,(BB$4-1)*5+2)*INDEX($Q163:$AJ163,1,(BB$4-1)*5+3)</f>
        <v/>
      </c>
      <c r="BC163" s="22">
        <f>INDEX($Q163:$AJ163,1,(BC$4-1)*5+1)+BC$8*INDEX($Q163:$AJ163,1,(BC$4-1)*5+2)*INDEX($Q163:$AJ163,1,(BC$4-1)*5+3)</f>
        <v/>
      </c>
      <c r="BD163" s="22">
        <f>INDEX($Q163:$AJ163,1,(BD$4-1)*5+1)+BD$8*INDEX($Q163:$AJ163,1,(BD$4-1)*5+2)*INDEX($Q163:$AJ163,1,(BD$4-1)*5+3)</f>
        <v/>
      </c>
      <c r="BE163" s="22">
        <f>INDEX($Q163:$AJ163,1,(BE$4-1)*5+1)+BE$8*INDEX($Q163:$AJ163,1,(BE$4-1)*5+2)*INDEX($Q163:$AJ163,1,(BE$4-1)*5+3)</f>
        <v/>
      </c>
      <c r="BF163" s="22">
        <f>INDEX($Q163:$AJ163,1,(BF$4-1)*5+1)+BF$8*INDEX($Q163:$AJ163,1,(BF$4-1)*5+2)*INDEX($Q163:$AJ163,1,(BF$4-1)*5+3)</f>
        <v/>
      </c>
      <c r="BG163" s="22">
        <f>INDEX($Q163:$AJ163,1,(BG$4-1)*5+1)+BG$8*INDEX($Q163:$AJ163,1,(BG$4-1)*5+2)*INDEX($Q163:$AJ163,1,(BG$4-1)*5+3)</f>
        <v/>
      </c>
      <c r="BH163" s="22">
        <f>INDEX($Q163:$AJ163,1,(BH$4-1)*5+1)+BH$8*INDEX($Q163:$AJ163,1,(BH$4-1)*5+2)*INDEX($Q163:$AJ163,1,(BH$4-1)*5+3)</f>
        <v/>
      </c>
      <c r="BI163" s="22">
        <f>INDEX($Q163:$AJ163,1,(BI$4-1)*5+1)+BI$8*INDEX($Q163:$AJ163,1,(BI$4-1)*5+2)*INDEX($Q163:$AJ163,1,(BI$4-1)*5+3)</f>
        <v/>
      </c>
      <c r="BJ163" s="22">
        <f>INDEX($Q163:$AJ163,1,(BJ$4-1)*5+1)+BJ$8*INDEX($Q163:$AJ163,1,(BJ$4-1)*5+2)*INDEX($Q163:$AJ163,1,(BJ$4-1)*5+3)</f>
        <v/>
      </c>
      <c r="BK163" s="22">
        <f>INDEX($Q163:$AJ163,1,(BK$4-1)*5+1)+BK$8*INDEX($Q163:$AJ163,1,(BK$4-1)*5+2)*INDEX($Q163:$AJ163,1,(BK$4-1)*5+3)</f>
        <v/>
      </c>
      <c r="BL163" s="22">
        <f>INDEX($Q163:$AJ163,1,(BL$4-1)*5+1)+BL$8*INDEX($Q163:$AJ163,1,(BL$4-1)*5+2)*INDEX($Q163:$AJ163,1,(BL$4-1)*5+3)</f>
        <v/>
      </c>
      <c r="BM163" s="22">
        <f>INDEX($Q163:$AJ163,1,(BM$4-1)*5+1)+BM$8*INDEX($Q163:$AJ163,1,(BM$4-1)*5+2)*INDEX($Q163:$AJ163,1,(BM$4-1)*5+3)</f>
        <v/>
      </c>
      <c r="BN163" s="22">
        <f>INDEX($Q163:$AJ163,1,(BN$4-1)*5+1)+BN$8*INDEX($Q163:$AJ163,1,(BN$4-1)*5+2)*INDEX($Q163:$AJ163,1,(BN$4-1)*5+3)</f>
        <v/>
      </c>
    </row>
    <row r="164">
      <c r="B164" s="5" t="inlineStr">
        <is>
          <t>bio</t>
        </is>
      </c>
      <c r="C164" s="5" t="inlineStr">
        <is>
          <t>avi</t>
        </is>
      </c>
      <c r="D164" s="5" t="inlineStr">
        <is>
          <t>Tax | Domestic aviation | Biomass</t>
        </is>
      </c>
      <c r="E164" s="5" t="inlineStr">
        <is>
          <t>$/GJ</t>
        </is>
      </c>
      <c r="F164" s="5" t="inlineStr">
        <is>
          <t>Prices_dom, EF_GHG, Mapping</t>
        </is>
      </c>
      <c r="G164" s="19" t="inlineStr">
        <is>
          <t>mit.rp.bio</t>
        </is>
      </c>
      <c r="H164" s="19" t="inlineStr">
        <is>
          <t>mit.tax.bio.avi</t>
        </is>
      </c>
      <c r="J164" s="5">
        <f>INDEX(Mapping!$C$5:$C$20,MATCH($C164,Mapping!$A$5:$A$20,0))</f>
        <v/>
      </c>
      <c r="K164" s="5">
        <f>INDEX(Mapping!$D$5:$D$20,MATCH($C164,Mapping!$A$5:$A$20,0))</f>
        <v/>
      </c>
      <c r="L164" s="5">
        <f>INDEX(Mapping!$C$24:$C$31,MATCH($B164,Mapping!$A$24:$A$31,0))</f>
        <v/>
      </c>
      <c r="M164" s="5">
        <f>INDEX(Mapping!$D$24:$D$31,MATCH($B164,Mapping!$A$24:$A$31,0))</f>
        <v/>
      </c>
      <c r="N164" s="5">
        <f>$B164&amp;"."&amp;IF(INDEX(Mapping!$E$24:$E$31,MATCH($B164,Mapping!$A$24:$A$31,0))="sub",INDEX(Mapping!$F$5:$F$20,MATCH($C164,Mapping!$A$5:$A$20,0)),"all")</f>
        <v/>
      </c>
      <c r="O164" s="5">
        <f>INDEX(Mapping!$E$5:$E$20,MATCH($C164,Mapping!$A$5:$A$20,0))</f>
        <v/>
      </c>
      <c r="P164" s="5">
        <f>INDEX(Mapping!$G$24:$G$31,MATCH($B164,Mapping!$A$24:$A$31,0))</f>
        <v/>
      </c>
      <c r="Q164" s="22">
        <f>(INDEX(Prices_dom!$A$6:$CU$2000,MATCH(Settings!$C$4&amp;Settings!$C$7,Prices_dom!$A$6:$A$2000,0),MATCH("mit.rp."&amp;$N164,Prices_dom!$A$5:$CU$5,0))-INDEX(Prices_dom!$A$6:$CU$2000,MATCH(Settings!$C$4&amp;Settings!$C$7,Prices_dom!$A$6:$A$2000,0),MATCH("mit.sp."&amp;$N164,Prices_dom!$A$5:$CU$5,0)))/$P164</f>
        <v/>
      </c>
      <c r="R164" s="22">
        <f>INDEX(EF_GHG!$E$4:$E$1000,MATCH(Settings!$C$4&amp;"|"&amp;$B164&amp;"|"&amp;$O164,EF_GHG!$A$4:$A$1000,0))</f>
        <v/>
      </c>
      <c r="S164" s="22">
        <f>INDEX(Mapping!$G$5:$G$20,MATCH($C164,Mapping!$A$5:$A$20,0))</f>
        <v/>
      </c>
      <c r="T164" s="21" t="n"/>
      <c r="U164" s="21" t="n"/>
      <c r="V164" s="22">
        <f>Q164</f>
        <v/>
      </c>
      <c r="W164" s="22">
        <f>R164</f>
        <v/>
      </c>
      <c r="X164" s="22">
        <f>S164</f>
        <v/>
      </c>
      <c r="Y164" s="21" t="n"/>
      <c r="Z164" s="21" t="n"/>
      <c r="AA164" s="22">
        <f>Q164</f>
        <v/>
      </c>
      <c r="AB164" s="22">
        <f>R164</f>
        <v/>
      </c>
      <c r="AC164" s="22">
        <f>S164</f>
        <v/>
      </c>
      <c r="AD164" s="21" t="n"/>
      <c r="AE164" s="21" t="n"/>
      <c r="AF164" s="22">
        <f>Q164</f>
        <v/>
      </c>
      <c r="AG164" s="22">
        <f>R164</f>
        <v/>
      </c>
      <c r="AH164" s="22">
        <f>S164</f>
        <v/>
      </c>
      <c r="AI164" s="21" t="n"/>
      <c r="AJ164" s="21" t="n"/>
      <c r="AL164" s="23">
        <f>INDEX($Q164:$AJ164,1,(AL$4-1)*5+1)+AL$8*INDEX($Q164:$AJ164,1,(AL$4-1)*5+2)*INDEX($Q164:$AJ164,1,(AL$4-1)*5+3)</f>
        <v/>
      </c>
      <c r="AM164" s="22">
        <f>INDEX($Q164:$AJ164,1,(AM$4-1)*5+1)+AM$8*INDEX($Q164:$AJ164,1,(AM$4-1)*5+2)*INDEX($Q164:$AJ164,1,(AM$4-1)*5+3)</f>
        <v/>
      </c>
      <c r="AN164" s="22">
        <f>INDEX($Q164:$AJ164,1,(AN$4-1)*5+1)+AN$8*INDEX($Q164:$AJ164,1,(AN$4-1)*5+2)*INDEX($Q164:$AJ164,1,(AN$4-1)*5+3)</f>
        <v/>
      </c>
      <c r="AO164" s="22">
        <f>INDEX($Q164:$AJ164,1,(AO$4-1)*5+1)+AO$8*INDEX($Q164:$AJ164,1,(AO$4-1)*5+2)*INDEX($Q164:$AJ164,1,(AO$4-1)*5+3)</f>
        <v/>
      </c>
      <c r="AP164" s="22">
        <f>INDEX($Q164:$AJ164,1,(AP$4-1)*5+1)+AP$8*INDEX($Q164:$AJ164,1,(AP$4-1)*5+2)*INDEX($Q164:$AJ164,1,(AP$4-1)*5+3)</f>
        <v/>
      </c>
      <c r="AQ164" s="22">
        <f>INDEX($Q164:$AJ164,1,(AQ$4-1)*5+1)+AQ$8*INDEX($Q164:$AJ164,1,(AQ$4-1)*5+2)*INDEX($Q164:$AJ164,1,(AQ$4-1)*5+3)</f>
        <v/>
      </c>
      <c r="AR164" s="22">
        <f>INDEX($Q164:$AJ164,1,(AR$4-1)*5+1)+AR$8*INDEX($Q164:$AJ164,1,(AR$4-1)*5+2)*INDEX($Q164:$AJ164,1,(AR$4-1)*5+3)</f>
        <v/>
      </c>
      <c r="AS164" s="22">
        <f>INDEX($Q164:$AJ164,1,(AS$4-1)*5+1)+AS$8*INDEX($Q164:$AJ164,1,(AS$4-1)*5+2)*INDEX($Q164:$AJ164,1,(AS$4-1)*5+3)</f>
        <v/>
      </c>
      <c r="AT164" s="22">
        <f>INDEX($Q164:$AJ164,1,(AT$4-1)*5+1)+AT$8*INDEX($Q164:$AJ164,1,(AT$4-1)*5+2)*INDEX($Q164:$AJ164,1,(AT$4-1)*5+3)</f>
        <v/>
      </c>
      <c r="AU164" s="22">
        <f>INDEX($Q164:$AJ164,1,(AU$4-1)*5+1)+AU$8*INDEX($Q164:$AJ164,1,(AU$4-1)*5+2)*INDEX($Q164:$AJ164,1,(AU$4-1)*5+3)</f>
        <v/>
      </c>
      <c r="AV164" s="22">
        <f>INDEX($Q164:$AJ164,1,(AV$4-1)*5+1)+AV$8*INDEX($Q164:$AJ164,1,(AV$4-1)*5+2)*INDEX($Q164:$AJ164,1,(AV$4-1)*5+3)</f>
        <v/>
      </c>
      <c r="AW164" s="22">
        <f>INDEX($Q164:$AJ164,1,(AW$4-1)*5+1)+AW$8*INDEX($Q164:$AJ164,1,(AW$4-1)*5+2)*INDEX($Q164:$AJ164,1,(AW$4-1)*5+3)</f>
        <v/>
      </c>
      <c r="AX164" s="22">
        <f>INDEX($Q164:$AJ164,1,(AX$4-1)*5+1)+AX$8*INDEX($Q164:$AJ164,1,(AX$4-1)*5+2)*INDEX($Q164:$AJ164,1,(AX$4-1)*5+3)</f>
        <v/>
      </c>
      <c r="AY164" s="22">
        <f>INDEX($Q164:$AJ164,1,(AY$4-1)*5+1)+AY$8*INDEX($Q164:$AJ164,1,(AY$4-1)*5+2)*INDEX($Q164:$AJ164,1,(AY$4-1)*5+3)</f>
        <v/>
      </c>
      <c r="BA164" s="23">
        <f>INDEX($Q164:$AJ164,1,(BA$4-1)*5+1)+BA$8*INDEX($Q164:$AJ164,1,(BA$4-1)*5+2)*INDEX($Q164:$AJ164,1,(BA$4-1)*5+3)</f>
        <v/>
      </c>
      <c r="BB164" s="22">
        <f>INDEX($Q164:$AJ164,1,(BB$4-1)*5+1)+BB$8*INDEX($Q164:$AJ164,1,(BB$4-1)*5+2)*INDEX($Q164:$AJ164,1,(BB$4-1)*5+3)</f>
        <v/>
      </c>
      <c r="BC164" s="22">
        <f>INDEX($Q164:$AJ164,1,(BC$4-1)*5+1)+BC$8*INDEX($Q164:$AJ164,1,(BC$4-1)*5+2)*INDEX($Q164:$AJ164,1,(BC$4-1)*5+3)</f>
        <v/>
      </c>
      <c r="BD164" s="22">
        <f>INDEX($Q164:$AJ164,1,(BD$4-1)*5+1)+BD$8*INDEX($Q164:$AJ164,1,(BD$4-1)*5+2)*INDEX($Q164:$AJ164,1,(BD$4-1)*5+3)</f>
        <v/>
      </c>
      <c r="BE164" s="22">
        <f>INDEX($Q164:$AJ164,1,(BE$4-1)*5+1)+BE$8*INDEX($Q164:$AJ164,1,(BE$4-1)*5+2)*INDEX($Q164:$AJ164,1,(BE$4-1)*5+3)</f>
        <v/>
      </c>
      <c r="BF164" s="22">
        <f>INDEX($Q164:$AJ164,1,(BF$4-1)*5+1)+BF$8*INDEX($Q164:$AJ164,1,(BF$4-1)*5+2)*INDEX($Q164:$AJ164,1,(BF$4-1)*5+3)</f>
        <v/>
      </c>
      <c r="BG164" s="22">
        <f>INDEX($Q164:$AJ164,1,(BG$4-1)*5+1)+BG$8*INDEX($Q164:$AJ164,1,(BG$4-1)*5+2)*INDEX($Q164:$AJ164,1,(BG$4-1)*5+3)</f>
        <v/>
      </c>
      <c r="BH164" s="22">
        <f>INDEX($Q164:$AJ164,1,(BH$4-1)*5+1)+BH$8*INDEX($Q164:$AJ164,1,(BH$4-1)*5+2)*INDEX($Q164:$AJ164,1,(BH$4-1)*5+3)</f>
        <v/>
      </c>
      <c r="BI164" s="22">
        <f>INDEX($Q164:$AJ164,1,(BI$4-1)*5+1)+BI$8*INDEX($Q164:$AJ164,1,(BI$4-1)*5+2)*INDEX($Q164:$AJ164,1,(BI$4-1)*5+3)</f>
        <v/>
      </c>
      <c r="BJ164" s="22">
        <f>INDEX($Q164:$AJ164,1,(BJ$4-1)*5+1)+BJ$8*INDEX($Q164:$AJ164,1,(BJ$4-1)*5+2)*INDEX($Q164:$AJ164,1,(BJ$4-1)*5+3)</f>
        <v/>
      </c>
      <c r="BK164" s="22">
        <f>INDEX($Q164:$AJ164,1,(BK$4-1)*5+1)+BK$8*INDEX($Q164:$AJ164,1,(BK$4-1)*5+2)*INDEX($Q164:$AJ164,1,(BK$4-1)*5+3)</f>
        <v/>
      </c>
      <c r="BL164" s="22">
        <f>INDEX($Q164:$AJ164,1,(BL$4-1)*5+1)+BL$8*INDEX($Q164:$AJ164,1,(BL$4-1)*5+2)*INDEX($Q164:$AJ164,1,(BL$4-1)*5+3)</f>
        <v/>
      </c>
      <c r="BM164" s="22">
        <f>INDEX($Q164:$AJ164,1,(BM$4-1)*5+1)+BM$8*INDEX($Q164:$AJ164,1,(BM$4-1)*5+2)*INDEX($Q164:$AJ164,1,(BM$4-1)*5+3)</f>
        <v/>
      </c>
      <c r="BN164" s="22">
        <f>INDEX($Q164:$AJ164,1,(BN$4-1)*5+1)+BN$8*INDEX($Q164:$AJ164,1,(BN$4-1)*5+2)*INDEX($Q164:$AJ164,1,(BN$4-1)*5+3)</f>
        <v/>
      </c>
    </row>
    <row r="165">
      <c r="B165" s="5" t="inlineStr">
        <is>
          <t>coa</t>
        </is>
      </c>
      <c r="C165" s="5" t="inlineStr">
        <is>
          <t>nav</t>
        </is>
      </c>
      <c r="D165" s="5" t="inlineStr">
        <is>
          <t>Tax | Domestic navigation | Coal</t>
        </is>
      </c>
      <c r="E165" s="5" t="inlineStr">
        <is>
          <t>$/GJ</t>
        </is>
      </c>
      <c r="F165" s="5" t="inlineStr">
        <is>
          <t>Prices_dom, EF_GHG, Mapping</t>
        </is>
      </c>
      <c r="G165" s="19" t="inlineStr">
        <is>
          <t>mit.rp.coa</t>
        </is>
      </c>
      <c r="H165" s="19" t="inlineStr">
        <is>
          <t>mit.tax.coa.nav</t>
        </is>
      </c>
      <c r="J165" s="5">
        <f>INDEX(Mapping!$C$5:$C$20,MATCH($C165,Mapping!$A$5:$A$20,0))</f>
        <v/>
      </c>
      <c r="K165" s="5">
        <f>INDEX(Mapping!$D$5:$D$20,MATCH($C165,Mapping!$A$5:$A$20,0))</f>
        <v/>
      </c>
      <c r="L165" s="5">
        <f>INDEX(Mapping!$C$24:$C$31,MATCH($B165,Mapping!$A$24:$A$31,0))</f>
        <v/>
      </c>
      <c r="M165" s="5">
        <f>INDEX(Mapping!$D$24:$D$31,MATCH($B165,Mapping!$A$24:$A$31,0))</f>
        <v/>
      </c>
      <c r="N165" s="5">
        <f>$B165&amp;"."&amp;IF(INDEX(Mapping!$E$24:$E$31,MATCH($B165,Mapping!$A$24:$A$31,0))="sub",INDEX(Mapping!$F$5:$F$20,MATCH($C165,Mapping!$A$5:$A$20,0)),"all")</f>
        <v/>
      </c>
      <c r="O165" s="5">
        <f>INDEX(Mapping!$E$5:$E$20,MATCH($C165,Mapping!$A$5:$A$20,0))</f>
        <v/>
      </c>
      <c r="P165" s="5">
        <f>INDEX(Mapping!$G$24:$G$31,MATCH($B165,Mapping!$A$24:$A$31,0))</f>
        <v/>
      </c>
      <c r="Q165" s="22">
        <f>(INDEX(Prices_dom!$A$6:$CU$2000,MATCH(Settings!$C$4&amp;Settings!$C$7,Prices_dom!$A$6:$A$2000,0),MATCH("mit.rp."&amp;$N165,Prices_dom!$A$5:$CU$5,0))-INDEX(Prices_dom!$A$6:$CU$2000,MATCH(Settings!$C$4&amp;Settings!$C$7,Prices_dom!$A$6:$A$2000,0),MATCH("mit.sp."&amp;$N165,Prices_dom!$A$5:$CU$5,0)))/$P165</f>
        <v/>
      </c>
      <c r="R165" s="22">
        <f>INDEX(EF_GHG!$E$4:$E$1000,MATCH(Settings!$C$4&amp;"|"&amp;$B165&amp;"|"&amp;$O165,EF_GHG!$A$4:$A$1000,0))</f>
        <v/>
      </c>
      <c r="S165" s="22">
        <f>INDEX(Mapping!$G$5:$G$20,MATCH($C165,Mapping!$A$5:$A$20,0))</f>
        <v/>
      </c>
      <c r="T165" s="21" t="n"/>
      <c r="U165" s="21" t="n"/>
      <c r="V165" s="22">
        <f>Q165</f>
        <v/>
      </c>
      <c r="W165" s="22">
        <f>R165</f>
        <v/>
      </c>
      <c r="X165" s="22">
        <f>S165</f>
        <v/>
      </c>
      <c r="Y165" s="21" t="n"/>
      <c r="Z165" s="21" t="n"/>
      <c r="AA165" s="22">
        <f>Q165</f>
        <v/>
      </c>
      <c r="AB165" s="22">
        <f>R165</f>
        <v/>
      </c>
      <c r="AC165" s="22">
        <f>S165</f>
        <v/>
      </c>
      <c r="AD165" s="21" t="n"/>
      <c r="AE165" s="21" t="n"/>
      <c r="AF165" s="22">
        <f>Q165</f>
        <v/>
      </c>
      <c r="AG165" s="22">
        <f>R165</f>
        <v/>
      </c>
      <c r="AH165" s="22">
        <f>S165</f>
        <v/>
      </c>
      <c r="AI165" s="21" t="n"/>
      <c r="AJ165" s="21" t="n"/>
      <c r="AL165" s="23">
        <f>INDEX($Q165:$AJ165,1,(AL$4-1)*5+1)+AL$8*INDEX($Q165:$AJ165,1,(AL$4-1)*5+2)*INDEX($Q165:$AJ165,1,(AL$4-1)*5+3)</f>
        <v/>
      </c>
      <c r="AM165" s="22">
        <f>INDEX($Q165:$AJ165,1,(AM$4-1)*5+1)+AM$8*INDEX($Q165:$AJ165,1,(AM$4-1)*5+2)*INDEX($Q165:$AJ165,1,(AM$4-1)*5+3)</f>
        <v/>
      </c>
      <c r="AN165" s="22">
        <f>INDEX($Q165:$AJ165,1,(AN$4-1)*5+1)+AN$8*INDEX($Q165:$AJ165,1,(AN$4-1)*5+2)*INDEX($Q165:$AJ165,1,(AN$4-1)*5+3)</f>
        <v/>
      </c>
      <c r="AO165" s="22">
        <f>INDEX($Q165:$AJ165,1,(AO$4-1)*5+1)+AO$8*INDEX($Q165:$AJ165,1,(AO$4-1)*5+2)*INDEX($Q165:$AJ165,1,(AO$4-1)*5+3)</f>
        <v/>
      </c>
      <c r="AP165" s="22">
        <f>INDEX($Q165:$AJ165,1,(AP$4-1)*5+1)+AP$8*INDEX($Q165:$AJ165,1,(AP$4-1)*5+2)*INDEX($Q165:$AJ165,1,(AP$4-1)*5+3)</f>
        <v/>
      </c>
      <c r="AQ165" s="22">
        <f>INDEX($Q165:$AJ165,1,(AQ$4-1)*5+1)+AQ$8*INDEX($Q165:$AJ165,1,(AQ$4-1)*5+2)*INDEX($Q165:$AJ165,1,(AQ$4-1)*5+3)</f>
        <v/>
      </c>
      <c r="AR165" s="22">
        <f>INDEX($Q165:$AJ165,1,(AR$4-1)*5+1)+AR$8*INDEX($Q165:$AJ165,1,(AR$4-1)*5+2)*INDEX($Q165:$AJ165,1,(AR$4-1)*5+3)</f>
        <v/>
      </c>
      <c r="AS165" s="22">
        <f>INDEX($Q165:$AJ165,1,(AS$4-1)*5+1)+AS$8*INDEX($Q165:$AJ165,1,(AS$4-1)*5+2)*INDEX($Q165:$AJ165,1,(AS$4-1)*5+3)</f>
        <v/>
      </c>
      <c r="AT165" s="22">
        <f>INDEX($Q165:$AJ165,1,(AT$4-1)*5+1)+AT$8*INDEX($Q165:$AJ165,1,(AT$4-1)*5+2)*INDEX($Q165:$AJ165,1,(AT$4-1)*5+3)</f>
        <v/>
      </c>
      <c r="AU165" s="22">
        <f>INDEX($Q165:$AJ165,1,(AU$4-1)*5+1)+AU$8*INDEX($Q165:$AJ165,1,(AU$4-1)*5+2)*INDEX($Q165:$AJ165,1,(AU$4-1)*5+3)</f>
        <v/>
      </c>
      <c r="AV165" s="22">
        <f>INDEX($Q165:$AJ165,1,(AV$4-1)*5+1)+AV$8*INDEX($Q165:$AJ165,1,(AV$4-1)*5+2)*INDEX($Q165:$AJ165,1,(AV$4-1)*5+3)</f>
        <v/>
      </c>
      <c r="AW165" s="22">
        <f>INDEX($Q165:$AJ165,1,(AW$4-1)*5+1)+AW$8*INDEX($Q165:$AJ165,1,(AW$4-1)*5+2)*INDEX($Q165:$AJ165,1,(AW$4-1)*5+3)</f>
        <v/>
      </c>
      <c r="AX165" s="22">
        <f>INDEX($Q165:$AJ165,1,(AX$4-1)*5+1)+AX$8*INDEX($Q165:$AJ165,1,(AX$4-1)*5+2)*INDEX($Q165:$AJ165,1,(AX$4-1)*5+3)</f>
        <v/>
      </c>
      <c r="AY165" s="22">
        <f>INDEX($Q165:$AJ165,1,(AY$4-1)*5+1)+AY$8*INDEX($Q165:$AJ165,1,(AY$4-1)*5+2)*INDEX($Q165:$AJ165,1,(AY$4-1)*5+3)</f>
        <v/>
      </c>
      <c r="BA165" s="23">
        <f>INDEX($Q165:$AJ165,1,(BA$4-1)*5+1)+BA$8*INDEX($Q165:$AJ165,1,(BA$4-1)*5+2)*INDEX($Q165:$AJ165,1,(BA$4-1)*5+3)</f>
        <v/>
      </c>
      <c r="BB165" s="22">
        <f>INDEX($Q165:$AJ165,1,(BB$4-1)*5+1)+BB$8*INDEX($Q165:$AJ165,1,(BB$4-1)*5+2)*INDEX($Q165:$AJ165,1,(BB$4-1)*5+3)</f>
        <v/>
      </c>
      <c r="BC165" s="22">
        <f>INDEX($Q165:$AJ165,1,(BC$4-1)*5+1)+BC$8*INDEX($Q165:$AJ165,1,(BC$4-1)*5+2)*INDEX($Q165:$AJ165,1,(BC$4-1)*5+3)</f>
        <v/>
      </c>
      <c r="BD165" s="22">
        <f>INDEX($Q165:$AJ165,1,(BD$4-1)*5+1)+BD$8*INDEX($Q165:$AJ165,1,(BD$4-1)*5+2)*INDEX($Q165:$AJ165,1,(BD$4-1)*5+3)</f>
        <v/>
      </c>
      <c r="BE165" s="22">
        <f>INDEX($Q165:$AJ165,1,(BE$4-1)*5+1)+BE$8*INDEX($Q165:$AJ165,1,(BE$4-1)*5+2)*INDEX($Q165:$AJ165,1,(BE$4-1)*5+3)</f>
        <v/>
      </c>
      <c r="BF165" s="22">
        <f>INDEX($Q165:$AJ165,1,(BF$4-1)*5+1)+BF$8*INDEX($Q165:$AJ165,1,(BF$4-1)*5+2)*INDEX($Q165:$AJ165,1,(BF$4-1)*5+3)</f>
        <v/>
      </c>
      <c r="BG165" s="22">
        <f>INDEX($Q165:$AJ165,1,(BG$4-1)*5+1)+BG$8*INDEX($Q165:$AJ165,1,(BG$4-1)*5+2)*INDEX($Q165:$AJ165,1,(BG$4-1)*5+3)</f>
        <v/>
      </c>
      <c r="BH165" s="22">
        <f>INDEX($Q165:$AJ165,1,(BH$4-1)*5+1)+BH$8*INDEX($Q165:$AJ165,1,(BH$4-1)*5+2)*INDEX($Q165:$AJ165,1,(BH$4-1)*5+3)</f>
        <v/>
      </c>
      <c r="BI165" s="22">
        <f>INDEX($Q165:$AJ165,1,(BI$4-1)*5+1)+BI$8*INDEX($Q165:$AJ165,1,(BI$4-1)*5+2)*INDEX($Q165:$AJ165,1,(BI$4-1)*5+3)</f>
        <v/>
      </c>
      <c r="BJ165" s="22">
        <f>INDEX($Q165:$AJ165,1,(BJ$4-1)*5+1)+BJ$8*INDEX($Q165:$AJ165,1,(BJ$4-1)*5+2)*INDEX($Q165:$AJ165,1,(BJ$4-1)*5+3)</f>
        <v/>
      </c>
      <c r="BK165" s="22">
        <f>INDEX($Q165:$AJ165,1,(BK$4-1)*5+1)+BK$8*INDEX($Q165:$AJ165,1,(BK$4-1)*5+2)*INDEX($Q165:$AJ165,1,(BK$4-1)*5+3)</f>
        <v/>
      </c>
      <c r="BL165" s="22">
        <f>INDEX($Q165:$AJ165,1,(BL$4-1)*5+1)+BL$8*INDEX($Q165:$AJ165,1,(BL$4-1)*5+2)*INDEX($Q165:$AJ165,1,(BL$4-1)*5+3)</f>
        <v/>
      </c>
      <c r="BM165" s="22">
        <f>INDEX($Q165:$AJ165,1,(BM$4-1)*5+1)+BM$8*INDEX($Q165:$AJ165,1,(BM$4-1)*5+2)*INDEX($Q165:$AJ165,1,(BM$4-1)*5+3)</f>
        <v/>
      </c>
      <c r="BN165" s="22">
        <f>INDEX($Q165:$AJ165,1,(BN$4-1)*5+1)+BN$8*INDEX($Q165:$AJ165,1,(BN$4-1)*5+2)*INDEX($Q165:$AJ165,1,(BN$4-1)*5+3)</f>
        <v/>
      </c>
    </row>
    <row r="166">
      <c r="B166" s="5" t="inlineStr">
        <is>
          <t>nga</t>
        </is>
      </c>
      <c r="C166" s="5" t="inlineStr">
        <is>
          <t>nav</t>
        </is>
      </c>
      <c r="D166" s="5" t="inlineStr">
        <is>
          <t>Tax | Domestic navigation | Natural gas</t>
        </is>
      </c>
      <c r="E166" s="5" t="inlineStr">
        <is>
          <t>$/GJ</t>
        </is>
      </c>
      <c r="F166" s="5" t="inlineStr">
        <is>
          <t>Prices_dom, EF_GHG, Mapping</t>
        </is>
      </c>
      <c r="G166" s="19" t="inlineStr">
        <is>
          <t>mit.rp.nga</t>
        </is>
      </c>
      <c r="H166" s="19" t="inlineStr">
        <is>
          <t>mit.tax.nga.nav</t>
        </is>
      </c>
      <c r="J166" s="5">
        <f>INDEX(Mapping!$C$5:$C$20,MATCH($C166,Mapping!$A$5:$A$20,0))</f>
        <v/>
      </c>
      <c r="K166" s="5">
        <f>INDEX(Mapping!$D$5:$D$20,MATCH($C166,Mapping!$A$5:$A$20,0))</f>
        <v/>
      </c>
      <c r="L166" s="5">
        <f>INDEX(Mapping!$C$24:$C$31,MATCH($B166,Mapping!$A$24:$A$31,0))</f>
        <v/>
      </c>
      <c r="M166" s="5">
        <f>INDEX(Mapping!$D$24:$D$31,MATCH($B166,Mapping!$A$24:$A$31,0))</f>
        <v/>
      </c>
      <c r="N166" s="5">
        <f>$B166&amp;"."&amp;IF(INDEX(Mapping!$E$24:$E$31,MATCH($B166,Mapping!$A$24:$A$31,0))="sub",INDEX(Mapping!$F$5:$F$20,MATCH($C166,Mapping!$A$5:$A$20,0)),"all")</f>
        <v/>
      </c>
      <c r="O166" s="5">
        <f>INDEX(Mapping!$E$5:$E$20,MATCH($C166,Mapping!$A$5:$A$20,0))</f>
        <v/>
      </c>
      <c r="P166" s="5">
        <f>INDEX(Mapping!$G$24:$G$31,MATCH($B166,Mapping!$A$24:$A$31,0))</f>
        <v/>
      </c>
      <c r="Q166" s="22">
        <f>(INDEX(Prices_dom!$A$6:$CU$2000,MATCH(Settings!$C$4&amp;Settings!$C$7,Prices_dom!$A$6:$A$2000,0),MATCH("mit.rp."&amp;$N166,Prices_dom!$A$5:$CU$5,0))-INDEX(Prices_dom!$A$6:$CU$2000,MATCH(Settings!$C$4&amp;Settings!$C$7,Prices_dom!$A$6:$A$2000,0),MATCH("mit.sp."&amp;$N166,Prices_dom!$A$5:$CU$5,0)))/$P166</f>
        <v/>
      </c>
      <c r="R166" s="22">
        <f>INDEX(EF_GHG!$E$4:$E$1000,MATCH(Settings!$C$4&amp;"|"&amp;$B166&amp;"|"&amp;$O166,EF_GHG!$A$4:$A$1000,0))</f>
        <v/>
      </c>
      <c r="S166" s="22">
        <f>INDEX(Mapping!$G$5:$G$20,MATCH($C166,Mapping!$A$5:$A$20,0))</f>
        <v/>
      </c>
      <c r="T166" s="21" t="n"/>
      <c r="U166" s="21" t="n"/>
      <c r="V166" s="22">
        <f>Q166</f>
        <v/>
      </c>
      <c r="W166" s="22">
        <f>R166</f>
        <v/>
      </c>
      <c r="X166" s="22">
        <f>S166</f>
        <v/>
      </c>
      <c r="Y166" s="21" t="n"/>
      <c r="Z166" s="21" t="n"/>
      <c r="AA166" s="22">
        <f>Q166</f>
        <v/>
      </c>
      <c r="AB166" s="22">
        <f>R166</f>
        <v/>
      </c>
      <c r="AC166" s="22">
        <f>S166</f>
        <v/>
      </c>
      <c r="AD166" s="21" t="n"/>
      <c r="AE166" s="21" t="n"/>
      <c r="AF166" s="22">
        <f>Q166</f>
        <v/>
      </c>
      <c r="AG166" s="22">
        <f>R166</f>
        <v/>
      </c>
      <c r="AH166" s="22">
        <f>S166</f>
        <v/>
      </c>
      <c r="AI166" s="21" t="n"/>
      <c r="AJ166" s="21" t="n"/>
      <c r="AL166" s="23">
        <f>INDEX($Q166:$AJ166,1,(AL$4-1)*5+1)+AL$8*INDEX($Q166:$AJ166,1,(AL$4-1)*5+2)*INDEX($Q166:$AJ166,1,(AL$4-1)*5+3)</f>
        <v/>
      </c>
      <c r="AM166" s="22">
        <f>INDEX($Q166:$AJ166,1,(AM$4-1)*5+1)+AM$8*INDEX($Q166:$AJ166,1,(AM$4-1)*5+2)*INDEX($Q166:$AJ166,1,(AM$4-1)*5+3)</f>
        <v/>
      </c>
      <c r="AN166" s="22">
        <f>INDEX($Q166:$AJ166,1,(AN$4-1)*5+1)+AN$8*INDEX($Q166:$AJ166,1,(AN$4-1)*5+2)*INDEX($Q166:$AJ166,1,(AN$4-1)*5+3)</f>
        <v/>
      </c>
      <c r="AO166" s="22">
        <f>INDEX($Q166:$AJ166,1,(AO$4-1)*5+1)+AO$8*INDEX($Q166:$AJ166,1,(AO$4-1)*5+2)*INDEX($Q166:$AJ166,1,(AO$4-1)*5+3)</f>
        <v/>
      </c>
      <c r="AP166" s="22">
        <f>INDEX($Q166:$AJ166,1,(AP$4-1)*5+1)+AP$8*INDEX($Q166:$AJ166,1,(AP$4-1)*5+2)*INDEX($Q166:$AJ166,1,(AP$4-1)*5+3)</f>
        <v/>
      </c>
      <c r="AQ166" s="22">
        <f>INDEX($Q166:$AJ166,1,(AQ$4-1)*5+1)+AQ$8*INDEX($Q166:$AJ166,1,(AQ$4-1)*5+2)*INDEX($Q166:$AJ166,1,(AQ$4-1)*5+3)</f>
        <v/>
      </c>
      <c r="AR166" s="22">
        <f>INDEX($Q166:$AJ166,1,(AR$4-1)*5+1)+AR$8*INDEX($Q166:$AJ166,1,(AR$4-1)*5+2)*INDEX($Q166:$AJ166,1,(AR$4-1)*5+3)</f>
        <v/>
      </c>
      <c r="AS166" s="22">
        <f>INDEX($Q166:$AJ166,1,(AS$4-1)*5+1)+AS$8*INDEX($Q166:$AJ166,1,(AS$4-1)*5+2)*INDEX($Q166:$AJ166,1,(AS$4-1)*5+3)</f>
        <v/>
      </c>
      <c r="AT166" s="22">
        <f>INDEX($Q166:$AJ166,1,(AT$4-1)*5+1)+AT$8*INDEX($Q166:$AJ166,1,(AT$4-1)*5+2)*INDEX($Q166:$AJ166,1,(AT$4-1)*5+3)</f>
        <v/>
      </c>
      <c r="AU166" s="22">
        <f>INDEX($Q166:$AJ166,1,(AU$4-1)*5+1)+AU$8*INDEX($Q166:$AJ166,1,(AU$4-1)*5+2)*INDEX($Q166:$AJ166,1,(AU$4-1)*5+3)</f>
        <v/>
      </c>
      <c r="AV166" s="22">
        <f>INDEX($Q166:$AJ166,1,(AV$4-1)*5+1)+AV$8*INDEX($Q166:$AJ166,1,(AV$4-1)*5+2)*INDEX($Q166:$AJ166,1,(AV$4-1)*5+3)</f>
        <v/>
      </c>
      <c r="AW166" s="22">
        <f>INDEX($Q166:$AJ166,1,(AW$4-1)*5+1)+AW$8*INDEX($Q166:$AJ166,1,(AW$4-1)*5+2)*INDEX($Q166:$AJ166,1,(AW$4-1)*5+3)</f>
        <v/>
      </c>
      <c r="AX166" s="22">
        <f>INDEX($Q166:$AJ166,1,(AX$4-1)*5+1)+AX$8*INDEX($Q166:$AJ166,1,(AX$4-1)*5+2)*INDEX($Q166:$AJ166,1,(AX$4-1)*5+3)</f>
        <v/>
      </c>
      <c r="AY166" s="22">
        <f>INDEX($Q166:$AJ166,1,(AY$4-1)*5+1)+AY$8*INDEX($Q166:$AJ166,1,(AY$4-1)*5+2)*INDEX($Q166:$AJ166,1,(AY$4-1)*5+3)</f>
        <v/>
      </c>
      <c r="BA166" s="23">
        <f>INDEX($Q166:$AJ166,1,(BA$4-1)*5+1)+BA$8*INDEX($Q166:$AJ166,1,(BA$4-1)*5+2)*INDEX($Q166:$AJ166,1,(BA$4-1)*5+3)</f>
        <v/>
      </c>
      <c r="BB166" s="22">
        <f>INDEX($Q166:$AJ166,1,(BB$4-1)*5+1)+BB$8*INDEX($Q166:$AJ166,1,(BB$4-1)*5+2)*INDEX($Q166:$AJ166,1,(BB$4-1)*5+3)</f>
        <v/>
      </c>
      <c r="BC166" s="22">
        <f>INDEX($Q166:$AJ166,1,(BC$4-1)*5+1)+BC$8*INDEX($Q166:$AJ166,1,(BC$4-1)*5+2)*INDEX($Q166:$AJ166,1,(BC$4-1)*5+3)</f>
        <v/>
      </c>
      <c r="BD166" s="22">
        <f>INDEX($Q166:$AJ166,1,(BD$4-1)*5+1)+BD$8*INDEX($Q166:$AJ166,1,(BD$4-1)*5+2)*INDEX($Q166:$AJ166,1,(BD$4-1)*5+3)</f>
        <v/>
      </c>
      <c r="BE166" s="22">
        <f>INDEX($Q166:$AJ166,1,(BE$4-1)*5+1)+BE$8*INDEX($Q166:$AJ166,1,(BE$4-1)*5+2)*INDEX($Q166:$AJ166,1,(BE$4-1)*5+3)</f>
        <v/>
      </c>
      <c r="BF166" s="22">
        <f>INDEX($Q166:$AJ166,1,(BF$4-1)*5+1)+BF$8*INDEX($Q166:$AJ166,1,(BF$4-1)*5+2)*INDEX($Q166:$AJ166,1,(BF$4-1)*5+3)</f>
        <v/>
      </c>
      <c r="BG166" s="22">
        <f>INDEX($Q166:$AJ166,1,(BG$4-1)*5+1)+BG$8*INDEX($Q166:$AJ166,1,(BG$4-1)*5+2)*INDEX($Q166:$AJ166,1,(BG$4-1)*5+3)</f>
        <v/>
      </c>
      <c r="BH166" s="22">
        <f>INDEX($Q166:$AJ166,1,(BH$4-1)*5+1)+BH$8*INDEX($Q166:$AJ166,1,(BH$4-1)*5+2)*INDEX($Q166:$AJ166,1,(BH$4-1)*5+3)</f>
        <v/>
      </c>
      <c r="BI166" s="22">
        <f>INDEX($Q166:$AJ166,1,(BI$4-1)*5+1)+BI$8*INDEX($Q166:$AJ166,1,(BI$4-1)*5+2)*INDEX($Q166:$AJ166,1,(BI$4-1)*5+3)</f>
        <v/>
      </c>
      <c r="BJ166" s="22">
        <f>INDEX($Q166:$AJ166,1,(BJ$4-1)*5+1)+BJ$8*INDEX($Q166:$AJ166,1,(BJ$4-1)*5+2)*INDEX($Q166:$AJ166,1,(BJ$4-1)*5+3)</f>
        <v/>
      </c>
      <c r="BK166" s="22">
        <f>INDEX($Q166:$AJ166,1,(BK$4-1)*5+1)+BK$8*INDEX($Q166:$AJ166,1,(BK$4-1)*5+2)*INDEX($Q166:$AJ166,1,(BK$4-1)*5+3)</f>
        <v/>
      </c>
      <c r="BL166" s="22">
        <f>INDEX($Q166:$AJ166,1,(BL$4-1)*5+1)+BL$8*INDEX($Q166:$AJ166,1,(BL$4-1)*5+2)*INDEX($Q166:$AJ166,1,(BL$4-1)*5+3)</f>
        <v/>
      </c>
      <c r="BM166" s="22">
        <f>INDEX($Q166:$AJ166,1,(BM$4-1)*5+1)+BM$8*INDEX($Q166:$AJ166,1,(BM$4-1)*5+2)*INDEX($Q166:$AJ166,1,(BM$4-1)*5+3)</f>
        <v/>
      </c>
      <c r="BN166" s="22">
        <f>INDEX($Q166:$AJ166,1,(BN$4-1)*5+1)+BN$8*INDEX($Q166:$AJ166,1,(BN$4-1)*5+2)*INDEX($Q166:$AJ166,1,(BN$4-1)*5+3)</f>
        <v/>
      </c>
    </row>
    <row r="167">
      <c r="B167" s="5" t="inlineStr">
        <is>
          <t>gso</t>
        </is>
      </c>
      <c r="C167" s="5" t="inlineStr">
        <is>
          <t>nav</t>
        </is>
      </c>
      <c r="D167" s="5" t="inlineStr">
        <is>
          <t>Tax | Domestic navigation | Gasoline</t>
        </is>
      </c>
      <c r="E167" s="5" t="inlineStr">
        <is>
          <t>$/GJ</t>
        </is>
      </c>
      <c r="F167" s="5" t="inlineStr">
        <is>
          <t>Prices_dom, EF_GHG, Mapping</t>
        </is>
      </c>
      <c r="G167" s="19" t="inlineStr">
        <is>
          <t>mit.rp.gso</t>
        </is>
      </c>
      <c r="H167" s="19" t="inlineStr">
        <is>
          <t>mit.tax.gso.nav</t>
        </is>
      </c>
      <c r="J167" s="5">
        <f>INDEX(Mapping!$C$5:$C$20,MATCH($C167,Mapping!$A$5:$A$20,0))</f>
        <v/>
      </c>
      <c r="K167" s="5">
        <f>INDEX(Mapping!$D$5:$D$20,MATCH($C167,Mapping!$A$5:$A$20,0))</f>
        <v/>
      </c>
      <c r="L167" s="5">
        <f>INDEX(Mapping!$C$24:$C$31,MATCH($B167,Mapping!$A$24:$A$31,0))</f>
        <v/>
      </c>
      <c r="M167" s="5">
        <f>INDEX(Mapping!$D$24:$D$31,MATCH($B167,Mapping!$A$24:$A$31,0))</f>
        <v/>
      </c>
      <c r="N167" s="5">
        <f>$B167&amp;"."&amp;IF(INDEX(Mapping!$E$24:$E$31,MATCH($B167,Mapping!$A$24:$A$31,0))="sub",INDEX(Mapping!$F$5:$F$20,MATCH($C167,Mapping!$A$5:$A$20,0)),"all")</f>
        <v/>
      </c>
      <c r="O167" s="5">
        <f>INDEX(Mapping!$E$5:$E$20,MATCH($C167,Mapping!$A$5:$A$20,0))</f>
        <v/>
      </c>
      <c r="P167" s="5">
        <f>INDEX(Mapping!$G$24:$G$31,MATCH($B167,Mapping!$A$24:$A$31,0))</f>
        <v/>
      </c>
      <c r="Q167" s="22">
        <f>(INDEX(Prices_dom!$A$6:$CU$2000,MATCH(Settings!$C$4&amp;Settings!$C$7,Prices_dom!$A$6:$A$2000,0),MATCH("mit.rp."&amp;$N167,Prices_dom!$A$5:$CU$5,0))-INDEX(Prices_dom!$A$6:$CU$2000,MATCH(Settings!$C$4&amp;Settings!$C$7,Prices_dom!$A$6:$A$2000,0),MATCH("mit.sp."&amp;$N167,Prices_dom!$A$5:$CU$5,0)))/$P167</f>
        <v/>
      </c>
      <c r="R167" s="22">
        <f>INDEX(EF_GHG!$E$4:$E$1000,MATCH(Settings!$C$4&amp;"|"&amp;$B167&amp;"|"&amp;$O167,EF_GHG!$A$4:$A$1000,0))</f>
        <v/>
      </c>
      <c r="S167" s="22">
        <f>INDEX(Mapping!$G$5:$G$20,MATCH($C167,Mapping!$A$5:$A$20,0))</f>
        <v/>
      </c>
      <c r="T167" s="21" t="n"/>
      <c r="U167" s="21" t="n"/>
      <c r="V167" s="22">
        <f>Q167</f>
        <v/>
      </c>
      <c r="W167" s="22">
        <f>R167</f>
        <v/>
      </c>
      <c r="X167" s="22">
        <f>S167</f>
        <v/>
      </c>
      <c r="Y167" s="21" t="n"/>
      <c r="Z167" s="21" t="n"/>
      <c r="AA167" s="22">
        <f>Q167</f>
        <v/>
      </c>
      <c r="AB167" s="22">
        <f>R167</f>
        <v/>
      </c>
      <c r="AC167" s="22">
        <f>S167</f>
        <v/>
      </c>
      <c r="AD167" s="21" t="n"/>
      <c r="AE167" s="21" t="n"/>
      <c r="AF167" s="22">
        <f>Q167</f>
        <v/>
      </c>
      <c r="AG167" s="22">
        <f>R167</f>
        <v/>
      </c>
      <c r="AH167" s="22">
        <f>S167</f>
        <v/>
      </c>
      <c r="AI167" s="21" t="n"/>
      <c r="AJ167" s="21" t="n"/>
      <c r="AL167" s="23">
        <f>INDEX($Q167:$AJ167,1,(AL$4-1)*5+1)+AL$8*INDEX($Q167:$AJ167,1,(AL$4-1)*5+2)*INDEX($Q167:$AJ167,1,(AL$4-1)*5+3)</f>
        <v/>
      </c>
      <c r="AM167" s="22">
        <f>INDEX($Q167:$AJ167,1,(AM$4-1)*5+1)+AM$8*INDEX($Q167:$AJ167,1,(AM$4-1)*5+2)*INDEX($Q167:$AJ167,1,(AM$4-1)*5+3)</f>
        <v/>
      </c>
      <c r="AN167" s="22">
        <f>INDEX($Q167:$AJ167,1,(AN$4-1)*5+1)+AN$8*INDEX($Q167:$AJ167,1,(AN$4-1)*5+2)*INDEX($Q167:$AJ167,1,(AN$4-1)*5+3)</f>
        <v/>
      </c>
      <c r="AO167" s="22">
        <f>INDEX($Q167:$AJ167,1,(AO$4-1)*5+1)+AO$8*INDEX($Q167:$AJ167,1,(AO$4-1)*5+2)*INDEX($Q167:$AJ167,1,(AO$4-1)*5+3)</f>
        <v/>
      </c>
      <c r="AP167" s="22">
        <f>INDEX($Q167:$AJ167,1,(AP$4-1)*5+1)+AP$8*INDEX($Q167:$AJ167,1,(AP$4-1)*5+2)*INDEX($Q167:$AJ167,1,(AP$4-1)*5+3)</f>
        <v/>
      </c>
      <c r="AQ167" s="22">
        <f>INDEX($Q167:$AJ167,1,(AQ$4-1)*5+1)+AQ$8*INDEX($Q167:$AJ167,1,(AQ$4-1)*5+2)*INDEX($Q167:$AJ167,1,(AQ$4-1)*5+3)</f>
        <v/>
      </c>
      <c r="AR167" s="22">
        <f>INDEX($Q167:$AJ167,1,(AR$4-1)*5+1)+AR$8*INDEX($Q167:$AJ167,1,(AR$4-1)*5+2)*INDEX($Q167:$AJ167,1,(AR$4-1)*5+3)</f>
        <v/>
      </c>
      <c r="AS167" s="22">
        <f>INDEX($Q167:$AJ167,1,(AS$4-1)*5+1)+AS$8*INDEX($Q167:$AJ167,1,(AS$4-1)*5+2)*INDEX($Q167:$AJ167,1,(AS$4-1)*5+3)</f>
        <v/>
      </c>
      <c r="AT167" s="22">
        <f>INDEX($Q167:$AJ167,1,(AT$4-1)*5+1)+AT$8*INDEX($Q167:$AJ167,1,(AT$4-1)*5+2)*INDEX($Q167:$AJ167,1,(AT$4-1)*5+3)</f>
        <v/>
      </c>
      <c r="AU167" s="22">
        <f>INDEX($Q167:$AJ167,1,(AU$4-1)*5+1)+AU$8*INDEX($Q167:$AJ167,1,(AU$4-1)*5+2)*INDEX($Q167:$AJ167,1,(AU$4-1)*5+3)</f>
        <v/>
      </c>
      <c r="AV167" s="22">
        <f>INDEX($Q167:$AJ167,1,(AV$4-1)*5+1)+AV$8*INDEX($Q167:$AJ167,1,(AV$4-1)*5+2)*INDEX($Q167:$AJ167,1,(AV$4-1)*5+3)</f>
        <v/>
      </c>
      <c r="AW167" s="22">
        <f>INDEX($Q167:$AJ167,1,(AW$4-1)*5+1)+AW$8*INDEX($Q167:$AJ167,1,(AW$4-1)*5+2)*INDEX($Q167:$AJ167,1,(AW$4-1)*5+3)</f>
        <v/>
      </c>
      <c r="AX167" s="22">
        <f>INDEX($Q167:$AJ167,1,(AX$4-1)*5+1)+AX$8*INDEX($Q167:$AJ167,1,(AX$4-1)*5+2)*INDEX($Q167:$AJ167,1,(AX$4-1)*5+3)</f>
        <v/>
      </c>
      <c r="AY167" s="22">
        <f>INDEX($Q167:$AJ167,1,(AY$4-1)*5+1)+AY$8*INDEX($Q167:$AJ167,1,(AY$4-1)*5+2)*INDEX($Q167:$AJ167,1,(AY$4-1)*5+3)</f>
        <v/>
      </c>
      <c r="BA167" s="23">
        <f>INDEX($Q167:$AJ167,1,(BA$4-1)*5+1)+BA$8*INDEX($Q167:$AJ167,1,(BA$4-1)*5+2)*INDEX($Q167:$AJ167,1,(BA$4-1)*5+3)</f>
        <v/>
      </c>
      <c r="BB167" s="22">
        <f>INDEX($Q167:$AJ167,1,(BB$4-1)*5+1)+BB$8*INDEX($Q167:$AJ167,1,(BB$4-1)*5+2)*INDEX($Q167:$AJ167,1,(BB$4-1)*5+3)</f>
        <v/>
      </c>
      <c r="BC167" s="22">
        <f>INDEX($Q167:$AJ167,1,(BC$4-1)*5+1)+BC$8*INDEX($Q167:$AJ167,1,(BC$4-1)*5+2)*INDEX($Q167:$AJ167,1,(BC$4-1)*5+3)</f>
        <v/>
      </c>
      <c r="BD167" s="22">
        <f>INDEX($Q167:$AJ167,1,(BD$4-1)*5+1)+BD$8*INDEX($Q167:$AJ167,1,(BD$4-1)*5+2)*INDEX($Q167:$AJ167,1,(BD$4-1)*5+3)</f>
        <v/>
      </c>
      <c r="BE167" s="22">
        <f>INDEX($Q167:$AJ167,1,(BE$4-1)*5+1)+BE$8*INDEX($Q167:$AJ167,1,(BE$4-1)*5+2)*INDEX($Q167:$AJ167,1,(BE$4-1)*5+3)</f>
        <v/>
      </c>
      <c r="BF167" s="22">
        <f>INDEX($Q167:$AJ167,1,(BF$4-1)*5+1)+BF$8*INDEX($Q167:$AJ167,1,(BF$4-1)*5+2)*INDEX($Q167:$AJ167,1,(BF$4-1)*5+3)</f>
        <v/>
      </c>
      <c r="BG167" s="22">
        <f>INDEX($Q167:$AJ167,1,(BG$4-1)*5+1)+BG$8*INDEX($Q167:$AJ167,1,(BG$4-1)*5+2)*INDEX($Q167:$AJ167,1,(BG$4-1)*5+3)</f>
        <v/>
      </c>
      <c r="BH167" s="22">
        <f>INDEX($Q167:$AJ167,1,(BH$4-1)*5+1)+BH$8*INDEX($Q167:$AJ167,1,(BH$4-1)*5+2)*INDEX($Q167:$AJ167,1,(BH$4-1)*5+3)</f>
        <v/>
      </c>
      <c r="BI167" s="22">
        <f>INDEX($Q167:$AJ167,1,(BI$4-1)*5+1)+BI$8*INDEX($Q167:$AJ167,1,(BI$4-1)*5+2)*INDEX($Q167:$AJ167,1,(BI$4-1)*5+3)</f>
        <v/>
      </c>
      <c r="BJ167" s="22">
        <f>INDEX($Q167:$AJ167,1,(BJ$4-1)*5+1)+BJ$8*INDEX($Q167:$AJ167,1,(BJ$4-1)*5+2)*INDEX($Q167:$AJ167,1,(BJ$4-1)*5+3)</f>
        <v/>
      </c>
      <c r="BK167" s="22">
        <f>INDEX($Q167:$AJ167,1,(BK$4-1)*5+1)+BK$8*INDEX($Q167:$AJ167,1,(BK$4-1)*5+2)*INDEX($Q167:$AJ167,1,(BK$4-1)*5+3)</f>
        <v/>
      </c>
      <c r="BL167" s="22">
        <f>INDEX($Q167:$AJ167,1,(BL$4-1)*5+1)+BL$8*INDEX($Q167:$AJ167,1,(BL$4-1)*5+2)*INDEX($Q167:$AJ167,1,(BL$4-1)*5+3)</f>
        <v/>
      </c>
      <c r="BM167" s="22">
        <f>INDEX($Q167:$AJ167,1,(BM$4-1)*5+1)+BM$8*INDEX($Q167:$AJ167,1,(BM$4-1)*5+2)*INDEX($Q167:$AJ167,1,(BM$4-1)*5+3)</f>
        <v/>
      </c>
      <c r="BN167" s="22">
        <f>INDEX($Q167:$AJ167,1,(BN$4-1)*5+1)+BN$8*INDEX($Q167:$AJ167,1,(BN$4-1)*5+2)*INDEX($Q167:$AJ167,1,(BN$4-1)*5+3)</f>
        <v/>
      </c>
    </row>
    <row r="168">
      <c r="B168" s="5" t="inlineStr">
        <is>
          <t>die</t>
        </is>
      </c>
      <c r="C168" s="5" t="inlineStr">
        <is>
          <t>nav</t>
        </is>
      </c>
      <c r="D168" s="5" t="inlineStr">
        <is>
          <t>Tax | Domestic navigation | Diesel</t>
        </is>
      </c>
      <c r="E168" s="5" t="inlineStr">
        <is>
          <t>$/GJ</t>
        </is>
      </c>
      <c r="F168" s="5" t="inlineStr">
        <is>
          <t>Prices_dom, EF_GHG, Mapping</t>
        </is>
      </c>
      <c r="G168" s="19" t="inlineStr">
        <is>
          <t>mit.rp.die</t>
        </is>
      </c>
      <c r="H168" s="19" t="inlineStr">
        <is>
          <t>mit.tax.die.nav</t>
        </is>
      </c>
      <c r="J168" s="5">
        <f>INDEX(Mapping!$C$5:$C$20,MATCH($C168,Mapping!$A$5:$A$20,0))</f>
        <v/>
      </c>
      <c r="K168" s="5">
        <f>INDEX(Mapping!$D$5:$D$20,MATCH($C168,Mapping!$A$5:$A$20,0))</f>
        <v/>
      </c>
      <c r="L168" s="5">
        <f>INDEX(Mapping!$C$24:$C$31,MATCH($B168,Mapping!$A$24:$A$31,0))</f>
        <v/>
      </c>
      <c r="M168" s="5">
        <f>INDEX(Mapping!$D$24:$D$31,MATCH($B168,Mapping!$A$24:$A$31,0))</f>
        <v/>
      </c>
      <c r="N168" s="5">
        <f>$B168&amp;"."&amp;IF(INDEX(Mapping!$E$24:$E$31,MATCH($B168,Mapping!$A$24:$A$31,0))="sub",INDEX(Mapping!$F$5:$F$20,MATCH($C168,Mapping!$A$5:$A$20,0)),"all")</f>
        <v/>
      </c>
      <c r="O168" s="5">
        <f>INDEX(Mapping!$E$5:$E$20,MATCH($C168,Mapping!$A$5:$A$20,0))</f>
        <v/>
      </c>
      <c r="P168" s="5">
        <f>INDEX(Mapping!$G$24:$G$31,MATCH($B168,Mapping!$A$24:$A$31,0))</f>
        <v/>
      </c>
      <c r="Q168" s="22">
        <f>(INDEX(Prices_dom!$A$6:$CU$2000,MATCH(Settings!$C$4&amp;Settings!$C$7,Prices_dom!$A$6:$A$2000,0),MATCH("mit.rp."&amp;$N168,Prices_dom!$A$5:$CU$5,0))-INDEX(Prices_dom!$A$6:$CU$2000,MATCH(Settings!$C$4&amp;Settings!$C$7,Prices_dom!$A$6:$A$2000,0),MATCH("mit.sp."&amp;$N168,Prices_dom!$A$5:$CU$5,0)))/$P168</f>
        <v/>
      </c>
      <c r="R168" s="22">
        <f>INDEX(EF_GHG!$E$4:$E$1000,MATCH(Settings!$C$4&amp;"|"&amp;$B168&amp;"|"&amp;$O168,EF_GHG!$A$4:$A$1000,0))</f>
        <v/>
      </c>
      <c r="S168" s="22">
        <f>INDEX(Mapping!$G$5:$G$20,MATCH($C168,Mapping!$A$5:$A$20,0))</f>
        <v/>
      </c>
      <c r="T168" s="21" t="n"/>
      <c r="U168" s="21" t="n"/>
      <c r="V168" s="22">
        <f>Q168</f>
        <v/>
      </c>
      <c r="W168" s="22">
        <f>R168</f>
        <v/>
      </c>
      <c r="X168" s="22">
        <f>S168</f>
        <v/>
      </c>
      <c r="Y168" s="21" t="n"/>
      <c r="Z168" s="21" t="n"/>
      <c r="AA168" s="22">
        <f>Q168</f>
        <v/>
      </c>
      <c r="AB168" s="22">
        <f>R168</f>
        <v/>
      </c>
      <c r="AC168" s="22">
        <f>S168</f>
        <v/>
      </c>
      <c r="AD168" s="21" t="n"/>
      <c r="AE168" s="21" t="n"/>
      <c r="AF168" s="22">
        <f>Q168</f>
        <v/>
      </c>
      <c r="AG168" s="22">
        <f>R168</f>
        <v/>
      </c>
      <c r="AH168" s="22">
        <f>S168</f>
        <v/>
      </c>
      <c r="AI168" s="21" t="n"/>
      <c r="AJ168" s="21" t="n"/>
      <c r="AL168" s="23">
        <f>INDEX($Q168:$AJ168,1,(AL$4-1)*5+1)+AL$8*INDEX($Q168:$AJ168,1,(AL$4-1)*5+2)*INDEX($Q168:$AJ168,1,(AL$4-1)*5+3)</f>
        <v/>
      </c>
      <c r="AM168" s="22">
        <f>INDEX($Q168:$AJ168,1,(AM$4-1)*5+1)+AM$8*INDEX($Q168:$AJ168,1,(AM$4-1)*5+2)*INDEX($Q168:$AJ168,1,(AM$4-1)*5+3)</f>
        <v/>
      </c>
      <c r="AN168" s="22">
        <f>INDEX($Q168:$AJ168,1,(AN$4-1)*5+1)+AN$8*INDEX($Q168:$AJ168,1,(AN$4-1)*5+2)*INDEX($Q168:$AJ168,1,(AN$4-1)*5+3)</f>
        <v/>
      </c>
      <c r="AO168" s="22">
        <f>INDEX($Q168:$AJ168,1,(AO$4-1)*5+1)+AO$8*INDEX($Q168:$AJ168,1,(AO$4-1)*5+2)*INDEX($Q168:$AJ168,1,(AO$4-1)*5+3)</f>
        <v/>
      </c>
      <c r="AP168" s="22">
        <f>INDEX($Q168:$AJ168,1,(AP$4-1)*5+1)+AP$8*INDEX($Q168:$AJ168,1,(AP$4-1)*5+2)*INDEX($Q168:$AJ168,1,(AP$4-1)*5+3)</f>
        <v/>
      </c>
      <c r="AQ168" s="22">
        <f>INDEX($Q168:$AJ168,1,(AQ$4-1)*5+1)+AQ$8*INDEX($Q168:$AJ168,1,(AQ$4-1)*5+2)*INDEX($Q168:$AJ168,1,(AQ$4-1)*5+3)</f>
        <v/>
      </c>
      <c r="AR168" s="22">
        <f>INDEX($Q168:$AJ168,1,(AR$4-1)*5+1)+AR$8*INDEX($Q168:$AJ168,1,(AR$4-1)*5+2)*INDEX($Q168:$AJ168,1,(AR$4-1)*5+3)</f>
        <v/>
      </c>
      <c r="AS168" s="22">
        <f>INDEX($Q168:$AJ168,1,(AS$4-1)*5+1)+AS$8*INDEX($Q168:$AJ168,1,(AS$4-1)*5+2)*INDEX($Q168:$AJ168,1,(AS$4-1)*5+3)</f>
        <v/>
      </c>
      <c r="AT168" s="22">
        <f>INDEX($Q168:$AJ168,1,(AT$4-1)*5+1)+AT$8*INDEX($Q168:$AJ168,1,(AT$4-1)*5+2)*INDEX($Q168:$AJ168,1,(AT$4-1)*5+3)</f>
        <v/>
      </c>
      <c r="AU168" s="22">
        <f>INDEX($Q168:$AJ168,1,(AU$4-1)*5+1)+AU$8*INDEX($Q168:$AJ168,1,(AU$4-1)*5+2)*INDEX($Q168:$AJ168,1,(AU$4-1)*5+3)</f>
        <v/>
      </c>
      <c r="AV168" s="22">
        <f>INDEX($Q168:$AJ168,1,(AV$4-1)*5+1)+AV$8*INDEX($Q168:$AJ168,1,(AV$4-1)*5+2)*INDEX($Q168:$AJ168,1,(AV$4-1)*5+3)</f>
        <v/>
      </c>
      <c r="AW168" s="22">
        <f>INDEX($Q168:$AJ168,1,(AW$4-1)*5+1)+AW$8*INDEX($Q168:$AJ168,1,(AW$4-1)*5+2)*INDEX($Q168:$AJ168,1,(AW$4-1)*5+3)</f>
        <v/>
      </c>
      <c r="AX168" s="22">
        <f>INDEX($Q168:$AJ168,1,(AX$4-1)*5+1)+AX$8*INDEX($Q168:$AJ168,1,(AX$4-1)*5+2)*INDEX($Q168:$AJ168,1,(AX$4-1)*5+3)</f>
        <v/>
      </c>
      <c r="AY168" s="22">
        <f>INDEX($Q168:$AJ168,1,(AY$4-1)*5+1)+AY$8*INDEX($Q168:$AJ168,1,(AY$4-1)*5+2)*INDEX($Q168:$AJ168,1,(AY$4-1)*5+3)</f>
        <v/>
      </c>
      <c r="BA168" s="23">
        <f>INDEX($Q168:$AJ168,1,(BA$4-1)*5+1)+BA$8*INDEX($Q168:$AJ168,1,(BA$4-1)*5+2)*INDEX($Q168:$AJ168,1,(BA$4-1)*5+3)</f>
        <v/>
      </c>
      <c r="BB168" s="22">
        <f>INDEX($Q168:$AJ168,1,(BB$4-1)*5+1)+BB$8*INDEX($Q168:$AJ168,1,(BB$4-1)*5+2)*INDEX($Q168:$AJ168,1,(BB$4-1)*5+3)</f>
        <v/>
      </c>
      <c r="BC168" s="22">
        <f>INDEX($Q168:$AJ168,1,(BC$4-1)*5+1)+BC$8*INDEX($Q168:$AJ168,1,(BC$4-1)*5+2)*INDEX($Q168:$AJ168,1,(BC$4-1)*5+3)</f>
        <v/>
      </c>
      <c r="BD168" s="22">
        <f>INDEX($Q168:$AJ168,1,(BD$4-1)*5+1)+BD$8*INDEX($Q168:$AJ168,1,(BD$4-1)*5+2)*INDEX($Q168:$AJ168,1,(BD$4-1)*5+3)</f>
        <v/>
      </c>
      <c r="BE168" s="22">
        <f>INDEX($Q168:$AJ168,1,(BE$4-1)*5+1)+BE$8*INDEX($Q168:$AJ168,1,(BE$4-1)*5+2)*INDEX($Q168:$AJ168,1,(BE$4-1)*5+3)</f>
        <v/>
      </c>
      <c r="BF168" s="22">
        <f>INDEX($Q168:$AJ168,1,(BF$4-1)*5+1)+BF$8*INDEX($Q168:$AJ168,1,(BF$4-1)*5+2)*INDEX($Q168:$AJ168,1,(BF$4-1)*5+3)</f>
        <v/>
      </c>
      <c r="BG168" s="22">
        <f>INDEX($Q168:$AJ168,1,(BG$4-1)*5+1)+BG$8*INDEX($Q168:$AJ168,1,(BG$4-1)*5+2)*INDEX($Q168:$AJ168,1,(BG$4-1)*5+3)</f>
        <v/>
      </c>
      <c r="BH168" s="22">
        <f>INDEX($Q168:$AJ168,1,(BH$4-1)*5+1)+BH$8*INDEX($Q168:$AJ168,1,(BH$4-1)*5+2)*INDEX($Q168:$AJ168,1,(BH$4-1)*5+3)</f>
        <v/>
      </c>
      <c r="BI168" s="22">
        <f>INDEX($Q168:$AJ168,1,(BI$4-1)*5+1)+BI$8*INDEX($Q168:$AJ168,1,(BI$4-1)*5+2)*INDEX($Q168:$AJ168,1,(BI$4-1)*5+3)</f>
        <v/>
      </c>
      <c r="BJ168" s="22">
        <f>INDEX($Q168:$AJ168,1,(BJ$4-1)*5+1)+BJ$8*INDEX($Q168:$AJ168,1,(BJ$4-1)*5+2)*INDEX($Q168:$AJ168,1,(BJ$4-1)*5+3)</f>
        <v/>
      </c>
      <c r="BK168" s="22">
        <f>INDEX($Q168:$AJ168,1,(BK$4-1)*5+1)+BK$8*INDEX($Q168:$AJ168,1,(BK$4-1)*5+2)*INDEX($Q168:$AJ168,1,(BK$4-1)*5+3)</f>
        <v/>
      </c>
      <c r="BL168" s="22">
        <f>INDEX($Q168:$AJ168,1,(BL$4-1)*5+1)+BL$8*INDEX($Q168:$AJ168,1,(BL$4-1)*5+2)*INDEX($Q168:$AJ168,1,(BL$4-1)*5+3)</f>
        <v/>
      </c>
      <c r="BM168" s="22">
        <f>INDEX($Q168:$AJ168,1,(BM$4-1)*5+1)+BM$8*INDEX($Q168:$AJ168,1,(BM$4-1)*5+2)*INDEX($Q168:$AJ168,1,(BM$4-1)*5+3)</f>
        <v/>
      </c>
      <c r="BN168" s="22">
        <f>INDEX($Q168:$AJ168,1,(BN$4-1)*5+1)+BN$8*INDEX($Q168:$AJ168,1,(BN$4-1)*5+2)*INDEX($Q168:$AJ168,1,(BN$4-1)*5+3)</f>
        <v/>
      </c>
    </row>
    <row r="169">
      <c r="B169" s="5" t="inlineStr">
        <is>
          <t>lpg</t>
        </is>
      </c>
      <c r="C169" s="5" t="inlineStr">
        <is>
          <t>nav</t>
        </is>
      </c>
      <c r="D169" s="5" t="inlineStr">
        <is>
          <t>Tax | Domestic navigation | LPG</t>
        </is>
      </c>
      <c r="E169" s="5" t="inlineStr">
        <is>
          <t>$/GJ</t>
        </is>
      </c>
      <c r="F169" s="5" t="inlineStr">
        <is>
          <t>Prices_dom, EF_GHG, Mapping</t>
        </is>
      </c>
      <c r="G169" s="19" t="inlineStr">
        <is>
          <t>mit.rp.lpg</t>
        </is>
      </c>
      <c r="H169" s="19" t="inlineStr">
        <is>
          <t>mit.tax.lpg.nav</t>
        </is>
      </c>
      <c r="J169" s="5">
        <f>INDEX(Mapping!$C$5:$C$20,MATCH($C169,Mapping!$A$5:$A$20,0))</f>
        <v/>
      </c>
      <c r="K169" s="5">
        <f>INDEX(Mapping!$D$5:$D$20,MATCH($C169,Mapping!$A$5:$A$20,0))</f>
        <v/>
      </c>
      <c r="L169" s="5">
        <f>INDEX(Mapping!$C$24:$C$31,MATCH($B169,Mapping!$A$24:$A$31,0))</f>
        <v/>
      </c>
      <c r="M169" s="5">
        <f>INDEX(Mapping!$D$24:$D$31,MATCH($B169,Mapping!$A$24:$A$31,0))</f>
        <v/>
      </c>
      <c r="N169" s="5">
        <f>$B169&amp;"."&amp;IF(INDEX(Mapping!$E$24:$E$31,MATCH($B169,Mapping!$A$24:$A$31,0))="sub",INDEX(Mapping!$F$5:$F$20,MATCH($C169,Mapping!$A$5:$A$20,0)),"all")</f>
        <v/>
      </c>
      <c r="O169" s="5">
        <f>INDEX(Mapping!$E$5:$E$20,MATCH($C169,Mapping!$A$5:$A$20,0))</f>
        <v/>
      </c>
      <c r="P169" s="5">
        <f>INDEX(Mapping!$G$24:$G$31,MATCH($B169,Mapping!$A$24:$A$31,0))</f>
        <v/>
      </c>
      <c r="Q169" s="22">
        <f>(INDEX(Prices_dom!$A$6:$CU$2000,MATCH(Settings!$C$4&amp;Settings!$C$7,Prices_dom!$A$6:$A$2000,0),MATCH("mit.rp."&amp;$N169,Prices_dom!$A$5:$CU$5,0))-INDEX(Prices_dom!$A$6:$CU$2000,MATCH(Settings!$C$4&amp;Settings!$C$7,Prices_dom!$A$6:$A$2000,0),MATCH("mit.sp."&amp;$N169,Prices_dom!$A$5:$CU$5,0)))/$P169</f>
        <v/>
      </c>
      <c r="R169" s="22">
        <f>INDEX(EF_GHG!$E$4:$E$1000,MATCH(Settings!$C$4&amp;"|"&amp;$B169&amp;"|"&amp;$O169,EF_GHG!$A$4:$A$1000,0))</f>
        <v/>
      </c>
      <c r="S169" s="22">
        <f>INDEX(Mapping!$G$5:$G$20,MATCH($C169,Mapping!$A$5:$A$20,0))</f>
        <v/>
      </c>
      <c r="T169" s="21" t="n"/>
      <c r="U169" s="21" t="n"/>
      <c r="V169" s="22">
        <f>Q169</f>
        <v/>
      </c>
      <c r="W169" s="22">
        <f>R169</f>
        <v/>
      </c>
      <c r="X169" s="22">
        <f>S169</f>
        <v/>
      </c>
      <c r="Y169" s="21" t="n"/>
      <c r="Z169" s="21" t="n"/>
      <c r="AA169" s="22">
        <f>Q169</f>
        <v/>
      </c>
      <c r="AB169" s="22">
        <f>R169</f>
        <v/>
      </c>
      <c r="AC169" s="22">
        <f>S169</f>
        <v/>
      </c>
      <c r="AD169" s="21" t="n"/>
      <c r="AE169" s="21" t="n"/>
      <c r="AF169" s="22">
        <f>Q169</f>
        <v/>
      </c>
      <c r="AG169" s="22">
        <f>R169</f>
        <v/>
      </c>
      <c r="AH169" s="22">
        <f>S169</f>
        <v/>
      </c>
      <c r="AI169" s="21" t="n"/>
      <c r="AJ169" s="21" t="n"/>
      <c r="AL169" s="23">
        <f>INDEX($Q169:$AJ169,1,(AL$4-1)*5+1)+AL$8*INDEX($Q169:$AJ169,1,(AL$4-1)*5+2)*INDEX($Q169:$AJ169,1,(AL$4-1)*5+3)</f>
        <v/>
      </c>
      <c r="AM169" s="22">
        <f>INDEX($Q169:$AJ169,1,(AM$4-1)*5+1)+AM$8*INDEX($Q169:$AJ169,1,(AM$4-1)*5+2)*INDEX($Q169:$AJ169,1,(AM$4-1)*5+3)</f>
        <v/>
      </c>
      <c r="AN169" s="22">
        <f>INDEX($Q169:$AJ169,1,(AN$4-1)*5+1)+AN$8*INDEX($Q169:$AJ169,1,(AN$4-1)*5+2)*INDEX($Q169:$AJ169,1,(AN$4-1)*5+3)</f>
        <v/>
      </c>
      <c r="AO169" s="22">
        <f>INDEX($Q169:$AJ169,1,(AO$4-1)*5+1)+AO$8*INDEX($Q169:$AJ169,1,(AO$4-1)*5+2)*INDEX($Q169:$AJ169,1,(AO$4-1)*5+3)</f>
        <v/>
      </c>
      <c r="AP169" s="22">
        <f>INDEX($Q169:$AJ169,1,(AP$4-1)*5+1)+AP$8*INDEX($Q169:$AJ169,1,(AP$4-1)*5+2)*INDEX($Q169:$AJ169,1,(AP$4-1)*5+3)</f>
        <v/>
      </c>
      <c r="AQ169" s="22">
        <f>INDEX($Q169:$AJ169,1,(AQ$4-1)*5+1)+AQ$8*INDEX($Q169:$AJ169,1,(AQ$4-1)*5+2)*INDEX($Q169:$AJ169,1,(AQ$4-1)*5+3)</f>
        <v/>
      </c>
      <c r="AR169" s="22">
        <f>INDEX($Q169:$AJ169,1,(AR$4-1)*5+1)+AR$8*INDEX($Q169:$AJ169,1,(AR$4-1)*5+2)*INDEX($Q169:$AJ169,1,(AR$4-1)*5+3)</f>
        <v/>
      </c>
      <c r="AS169" s="22">
        <f>INDEX($Q169:$AJ169,1,(AS$4-1)*5+1)+AS$8*INDEX($Q169:$AJ169,1,(AS$4-1)*5+2)*INDEX($Q169:$AJ169,1,(AS$4-1)*5+3)</f>
        <v/>
      </c>
      <c r="AT169" s="22">
        <f>INDEX($Q169:$AJ169,1,(AT$4-1)*5+1)+AT$8*INDEX($Q169:$AJ169,1,(AT$4-1)*5+2)*INDEX($Q169:$AJ169,1,(AT$4-1)*5+3)</f>
        <v/>
      </c>
      <c r="AU169" s="22">
        <f>INDEX($Q169:$AJ169,1,(AU$4-1)*5+1)+AU$8*INDEX($Q169:$AJ169,1,(AU$4-1)*5+2)*INDEX($Q169:$AJ169,1,(AU$4-1)*5+3)</f>
        <v/>
      </c>
      <c r="AV169" s="22">
        <f>INDEX($Q169:$AJ169,1,(AV$4-1)*5+1)+AV$8*INDEX($Q169:$AJ169,1,(AV$4-1)*5+2)*INDEX($Q169:$AJ169,1,(AV$4-1)*5+3)</f>
        <v/>
      </c>
      <c r="AW169" s="22">
        <f>INDEX($Q169:$AJ169,1,(AW$4-1)*5+1)+AW$8*INDEX($Q169:$AJ169,1,(AW$4-1)*5+2)*INDEX($Q169:$AJ169,1,(AW$4-1)*5+3)</f>
        <v/>
      </c>
      <c r="AX169" s="22">
        <f>INDEX($Q169:$AJ169,1,(AX$4-1)*5+1)+AX$8*INDEX($Q169:$AJ169,1,(AX$4-1)*5+2)*INDEX($Q169:$AJ169,1,(AX$4-1)*5+3)</f>
        <v/>
      </c>
      <c r="AY169" s="22">
        <f>INDEX($Q169:$AJ169,1,(AY$4-1)*5+1)+AY$8*INDEX($Q169:$AJ169,1,(AY$4-1)*5+2)*INDEX($Q169:$AJ169,1,(AY$4-1)*5+3)</f>
        <v/>
      </c>
      <c r="BA169" s="23">
        <f>INDEX($Q169:$AJ169,1,(BA$4-1)*5+1)+BA$8*INDEX($Q169:$AJ169,1,(BA$4-1)*5+2)*INDEX($Q169:$AJ169,1,(BA$4-1)*5+3)</f>
        <v/>
      </c>
      <c r="BB169" s="22">
        <f>INDEX($Q169:$AJ169,1,(BB$4-1)*5+1)+BB$8*INDEX($Q169:$AJ169,1,(BB$4-1)*5+2)*INDEX($Q169:$AJ169,1,(BB$4-1)*5+3)</f>
        <v/>
      </c>
      <c r="BC169" s="22">
        <f>INDEX($Q169:$AJ169,1,(BC$4-1)*5+1)+BC$8*INDEX($Q169:$AJ169,1,(BC$4-1)*5+2)*INDEX($Q169:$AJ169,1,(BC$4-1)*5+3)</f>
        <v/>
      </c>
      <c r="BD169" s="22">
        <f>INDEX($Q169:$AJ169,1,(BD$4-1)*5+1)+BD$8*INDEX($Q169:$AJ169,1,(BD$4-1)*5+2)*INDEX($Q169:$AJ169,1,(BD$4-1)*5+3)</f>
        <v/>
      </c>
      <c r="BE169" s="22">
        <f>INDEX($Q169:$AJ169,1,(BE$4-1)*5+1)+BE$8*INDEX($Q169:$AJ169,1,(BE$4-1)*5+2)*INDEX($Q169:$AJ169,1,(BE$4-1)*5+3)</f>
        <v/>
      </c>
      <c r="BF169" s="22">
        <f>INDEX($Q169:$AJ169,1,(BF$4-1)*5+1)+BF$8*INDEX($Q169:$AJ169,1,(BF$4-1)*5+2)*INDEX($Q169:$AJ169,1,(BF$4-1)*5+3)</f>
        <v/>
      </c>
      <c r="BG169" s="22">
        <f>INDEX($Q169:$AJ169,1,(BG$4-1)*5+1)+BG$8*INDEX($Q169:$AJ169,1,(BG$4-1)*5+2)*INDEX($Q169:$AJ169,1,(BG$4-1)*5+3)</f>
        <v/>
      </c>
      <c r="BH169" s="22">
        <f>INDEX($Q169:$AJ169,1,(BH$4-1)*5+1)+BH$8*INDEX($Q169:$AJ169,1,(BH$4-1)*5+2)*INDEX($Q169:$AJ169,1,(BH$4-1)*5+3)</f>
        <v/>
      </c>
      <c r="BI169" s="22">
        <f>INDEX($Q169:$AJ169,1,(BI$4-1)*5+1)+BI$8*INDEX($Q169:$AJ169,1,(BI$4-1)*5+2)*INDEX($Q169:$AJ169,1,(BI$4-1)*5+3)</f>
        <v/>
      </c>
      <c r="BJ169" s="22">
        <f>INDEX($Q169:$AJ169,1,(BJ$4-1)*5+1)+BJ$8*INDEX($Q169:$AJ169,1,(BJ$4-1)*5+2)*INDEX($Q169:$AJ169,1,(BJ$4-1)*5+3)</f>
        <v/>
      </c>
      <c r="BK169" s="22">
        <f>INDEX($Q169:$AJ169,1,(BK$4-1)*5+1)+BK$8*INDEX($Q169:$AJ169,1,(BK$4-1)*5+2)*INDEX($Q169:$AJ169,1,(BK$4-1)*5+3)</f>
        <v/>
      </c>
      <c r="BL169" s="22">
        <f>INDEX($Q169:$AJ169,1,(BL$4-1)*5+1)+BL$8*INDEX($Q169:$AJ169,1,(BL$4-1)*5+2)*INDEX($Q169:$AJ169,1,(BL$4-1)*5+3)</f>
        <v/>
      </c>
      <c r="BM169" s="22">
        <f>INDEX($Q169:$AJ169,1,(BM$4-1)*5+1)+BM$8*INDEX($Q169:$AJ169,1,(BM$4-1)*5+2)*INDEX($Q169:$AJ169,1,(BM$4-1)*5+3)</f>
        <v/>
      </c>
      <c r="BN169" s="22">
        <f>INDEX($Q169:$AJ169,1,(BN$4-1)*5+1)+BN$8*INDEX($Q169:$AJ169,1,(BN$4-1)*5+2)*INDEX($Q169:$AJ169,1,(BN$4-1)*5+3)</f>
        <v/>
      </c>
    </row>
    <row r="170">
      <c r="B170" s="5" t="inlineStr">
        <is>
          <t>ker</t>
        </is>
      </c>
      <c r="C170" s="5" t="inlineStr">
        <is>
          <t>nav</t>
        </is>
      </c>
      <c r="D170" s="5" t="inlineStr">
        <is>
          <t>Tax | Domestic navigation | Kerosene</t>
        </is>
      </c>
      <c r="E170" s="5" t="inlineStr">
        <is>
          <t>$/GJ</t>
        </is>
      </c>
      <c r="F170" s="5" t="inlineStr">
        <is>
          <t>Prices_dom, EF_GHG, Mapping</t>
        </is>
      </c>
      <c r="G170" s="19" t="inlineStr">
        <is>
          <t>mit.rp.ker</t>
        </is>
      </c>
      <c r="H170" s="19" t="inlineStr">
        <is>
          <t>mit.tax.ker.nav</t>
        </is>
      </c>
      <c r="J170" s="5">
        <f>INDEX(Mapping!$C$5:$C$20,MATCH($C170,Mapping!$A$5:$A$20,0))</f>
        <v/>
      </c>
      <c r="K170" s="5">
        <f>INDEX(Mapping!$D$5:$D$20,MATCH($C170,Mapping!$A$5:$A$20,0))</f>
        <v/>
      </c>
      <c r="L170" s="5">
        <f>INDEX(Mapping!$C$24:$C$31,MATCH($B170,Mapping!$A$24:$A$31,0))</f>
        <v/>
      </c>
      <c r="M170" s="5">
        <f>INDEX(Mapping!$D$24:$D$31,MATCH($B170,Mapping!$A$24:$A$31,0))</f>
        <v/>
      </c>
      <c r="N170" s="5">
        <f>$B170&amp;"."&amp;IF(INDEX(Mapping!$E$24:$E$31,MATCH($B170,Mapping!$A$24:$A$31,0))="sub",INDEX(Mapping!$F$5:$F$20,MATCH($C170,Mapping!$A$5:$A$20,0)),"all")</f>
        <v/>
      </c>
      <c r="O170" s="5">
        <f>INDEX(Mapping!$E$5:$E$20,MATCH($C170,Mapping!$A$5:$A$20,0))</f>
        <v/>
      </c>
      <c r="P170" s="5">
        <f>INDEX(Mapping!$G$24:$G$31,MATCH($B170,Mapping!$A$24:$A$31,0))</f>
        <v/>
      </c>
      <c r="Q170" s="22">
        <f>(INDEX(Prices_dom!$A$6:$CU$2000,MATCH(Settings!$C$4&amp;Settings!$C$7,Prices_dom!$A$6:$A$2000,0),MATCH("mit.rp."&amp;$N170,Prices_dom!$A$5:$CU$5,0))-INDEX(Prices_dom!$A$6:$CU$2000,MATCH(Settings!$C$4&amp;Settings!$C$7,Prices_dom!$A$6:$A$2000,0),MATCH("mit.sp."&amp;$N170,Prices_dom!$A$5:$CU$5,0)))/$P170</f>
        <v/>
      </c>
      <c r="R170" s="22">
        <f>INDEX(EF_GHG!$E$4:$E$1000,MATCH(Settings!$C$4&amp;"|"&amp;$B170&amp;"|"&amp;$O170,EF_GHG!$A$4:$A$1000,0))</f>
        <v/>
      </c>
      <c r="S170" s="22">
        <f>INDEX(Mapping!$G$5:$G$20,MATCH($C170,Mapping!$A$5:$A$20,0))</f>
        <v/>
      </c>
      <c r="T170" s="21" t="n"/>
      <c r="U170" s="21" t="n"/>
      <c r="V170" s="22">
        <f>Q170</f>
        <v/>
      </c>
      <c r="W170" s="22">
        <f>R170</f>
        <v/>
      </c>
      <c r="X170" s="22">
        <f>S170</f>
        <v/>
      </c>
      <c r="Y170" s="21" t="n"/>
      <c r="Z170" s="21" t="n"/>
      <c r="AA170" s="22">
        <f>Q170</f>
        <v/>
      </c>
      <c r="AB170" s="22">
        <f>R170</f>
        <v/>
      </c>
      <c r="AC170" s="22">
        <f>S170</f>
        <v/>
      </c>
      <c r="AD170" s="21" t="n"/>
      <c r="AE170" s="21" t="n"/>
      <c r="AF170" s="22">
        <f>Q170</f>
        <v/>
      </c>
      <c r="AG170" s="22">
        <f>R170</f>
        <v/>
      </c>
      <c r="AH170" s="22">
        <f>S170</f>
        <v/>
      </c>
      <c r="AI170" s="21" t="n"/>
      <c r="AJ170" s="21" t="n"/>
      <c r="AL170" s="23">
        <f>INDEX($Q170:$AJ170,1,(AL$4-1)*5+1)+AL$8*INDEX($Q170:$AJ170,1,(AL$4-1)*5+2)*INDEX($Q170:$AJ170,1,(AL$4-1)*5+3)</f>
        <v/>
      </c>
      <c r="AM170" s="22">
        <f>INDEX($Q170:$AJ170,1,(AM$4-1)*5+1)+AM$8*INDEX($Q170:$AJ170,1,(AM$4-1)*5+2)*INDEX($Q170:$AJ170,1,(AM$4-1)*5+3)</f>
        <v/>
      </c>
      <c r="AN170" s="22">
        <f>INDEX($Q170:$AJ170,1,(AN$4-1)*5+1)+AN$8*INDEX($Q170:$AJ170,1,(AN$4-1)*5+2)*INDEX($Q170:$AJ170,1,(AN$4-1)*5+3)</f>
        <v/>
      </c>
      <c r="AO170" s="22">
        <f>INDEX($Q170:$AJ170,1,(AO$4-1)*5+1)+AO$8*INDEX($Q170:$AJ170,1,(AO$4-1)*5+2)*INDEX($Q170:$AJ170,1,(AO$4-1)*5+3)</f>
        <v/>
      </c>
      <c r="AP170" s="22">
        <f>INDEX($Q170:$AJ170,1,(AP$4-1)*5+1)+AP$8*INDEX($Q170:$AJ170,1,(AP$4-1)*5+2)*INDEX($Q170:$AJ170,1,(AP$4-1)*5+3)</f>
        <v/>
      </c>
      <c r="AQ170" s="22">
        <f>INDEX($Q170:$AJ170,1,(AQ$4-1)*5+1)+AQ$8*INDEX($Q170:$AJ170,1,(AQ$4-1)*5+2)*INDEX($Q170:$AJ170,1,(AQ$4-1)*5+3)</f>
        <v/>
      </c>
      <c r="AR170" s="22">
        <f>INDEX($Q170:$AJ170,1,(AR$4-1)*5+1)+AR$8*INDEX($Q170:$AJ170,1,(AR$4-1)*5+2)*INDEX($Q170:$AJ170,1,(AR$4-1)*5+3)</f>
        <v/>
      </c>
      <c r="AS170" s="22">
        <f>INDEX($Q170:$AJ170,1,(AS$4-1)*5+1)+AS$8*INDEX($Q170:$AJ170,1,(AS$4-1)*5+2)*INDEX($Q170:$AJ170,1,(AS$4-1)*5+3)</f>
        <v/>
      </c>
      <c r="AT170" s="22">
        <f>INDEX($Q170:$AJ170,1,(AT$4-1)*5+1)+AT$8*INDEX($Q170:$AJ170,1,(AT$4-1)*5+2)*INDEX($Q170:$AJ170,1,(AT$4-1)*5+3)</f>
        <v/>
      </c>
      <c r="AU170" s="22">
        <f>INDEX($Q170:$AJ170,1,(AU$4-1)*5+1)+AU$8*INDEX($Q170:$AJ170,1,(AU$4-1)*5+2)*INDEX($Q170:$AJ170,1,(AU$4-1)*5+3)</f>
        <v/>
      </c>
      <c r="AV170" s="22">
        <f>INDEX($Q170:$AJ170,1,(AV$4-1)*5+1)+AV$8*INDEX($Q170:$AJ170,1,(AV$4-1)*5+2)*INDEX($Q170:$AJ170,1,(AV$4-1)*5+3)</f>
        <v/>
      </c>
      <c r="AW170" s="22">
        <f>INDEX($Q170:$AJ170,1,(AW$4-1)*5+1)+AW$8*INDEX($Q170:$AJ170,1,(AW$4-1)*5+2)*INDEX($Q170:$AJ170,1,(AW$4-1)*5+3)</f>
        <v/>
      </c>
      <c r="AX170" s="22">
        <f>INDEX($Q170:$AJ170,1,(AX$4-1)*5+1)+AX$8*INDEX($Q170:$AJ170,1,(AX$4-1)*5+2)*INDEX($Q170:$AJ170,1,(AX$4-1)*5+3)</f>
        <v/>
      </c>
      <c r="AY170" s="22">
        <f>INDEX($Q170:$AJ170,1,(AY$4-1)*5+1)+AY$8*INDEX($Q170:$AJ170,1,(AY$4-1)*5+2)*INDEX($Q170:$AJ170,1,(AY$4-1)*5+3)</f>
        <v/>
      </c>
      <c r="BA170" s="23">
        <f>INDEX($Q170:$AJ170,1,(BA$4-1)*5+1)+BA$8*INDEX($Q170:$AJ170,1,(BA$4-1)*5+2)*INDEX($Q170:$AJ170,1,(BA$4-1)*5+3)</f>
        <v/>
      </c>
      <c r="BB170" s="22">
        <f>INDEX($Q170:$AJ170,1,(BB$4-1)*5+1)+BB$8*INDEX($Q170:$AJ170,1,(BB$4-1)*5+2)*INDEX($Q170:$AJ170,1,(BB$4-1)*5+3)</f>
        <v/>
      </c>
      <c r="BC170" s="22">
        <f>INDEX($Q170:$AJ170,1,(BC$4-1)*5+1)+BC$8*INDEX($Q170:$AJ170,1,(BC$4-1)*5+2)*INDEX($Q170:$AJ170,1,(BC$4-1)*5+3)</f>
        <v/>
      </c>
      <c r="BD170" s="22">
        <f>INDEX($Q170:$AJ170,1,(BD$4-1)*5+1)+BD$8*INDEX($Q170:$AJ170,1,(BD$4-1)*5+2)*INDEX($Q170:$AJ170,1,(BD$4-1)*5+3)</f>
        <v/>
      </c>
      <c r="BE170" s="22">
        <f>INDEX($Q170:$AJ170,1,(BE$4-1)*5+1)+BE$8*INDEX($Q170:$AJ170,1,(BE$4-1)*5+2)*INDEX($Q170:$AJ170,1,(BE$4-1)*5+3)</f>
        <v/>
      </c>
      <c r="BF170" s="22">
        <f>INDEX($Q170:$AJ170,1,(BF$4-1)*5+1)+BF$8*INDEX($Q170:$AJ170,1,(BF$4-1)*5+2)*INDEX($Q170:$AJ170,1,(BF$4-1)*5+3)</f>
        <v/>
      </c>
      <c r="BG170" s="22">
        <f>INDEX($Q170:$AJ170,1,(BG$4-1)*5+1)+BG$8*INDEX($Q170:$AJ170,1,(BG$4-1)*5+2)*INDEX($Q170:$AJ170,1,(BG$4-1)*5+3)</f>
        <v/>
      </c>
      <c r="BH170" s="22">
        <f>INDEX($Q170:$AJ170,1,(BH$4-1)*5+1)+BH$8*INDEX($Q170:$AJ170,1,(BH$4-1)*5+2)*INDEX($Q170:$AJ170,1,(BH$4-1)*5+3)</f>
        <v/>
      </c>
      <c r="BI170" s="22">
        <f>INDEX($Q170:$AJ170,1,(BI$4-1)*5+1)+BI$8*INDEX($Q170:$AJ170,1,(BI$4-1)*5+2)*INDEX($Q170:$AJ170,1,(BI$4-1)*5+3)</f>
        <v/>
      </c>
      <c r="BJ170" s="22">
        <f>INDEX($Q170:$AJ170,1,(BJ$4-1)*5+1)+BJ$8*INDEX($Q170:$AJ170,1,(BJ$4-1)*5+2)*INDEX($Q170:$AJ170,1,(BJ$4-1)*5+3)</f>
        <v/>
      </c>
      <c r="BK170" s="22">
        <f>INDEX($Q170:$AJ170,1,(BK$4-1)*5+1)+BK$8*INDEX($Q170:$AJ170,1,(BK$4-1)*5+2)*INDEX($Q170:$AJ170,1,(BK$4-1)*5+3)</f>
        <v/>
      </c>
      <c r="BL170" s="22">
        <f>INDEX($Q170:$AJ170,1,(BL$4-1)*5+1)+BL$8*INDEX($Q170:$AJ170,1,(BL$4-1)*5+2)*INDEX($Q170:$AJ170,1,(BL$4-1)*5+3)</f>
        <v/>
      </c>
      <c r="BM170" s="22">
        <f>INDEX($Q170:$AJ170,1,(BM$4-1)*5+1)+BM$8*INDEX($Q170:$AJ170,1,(BM$4-1)*5+2)*INDEX($Q170:$AJ170,1,(BM$4-1)*5+3)</f>
        <v/>
      </c>
      <c r="BN170" s="22">
        <f>INDEX($Q170:$AJ170,1,(BN$4-1)*5+1)+BN$8*INDEX($Q170:$AJ170,1,(BN$4-1)*5+2)*INDEX($Q170:$AJ170,1,(BN$4-1)*5+3)</f>
        <v/>
      </c>
    </row>
    <row r="171">
      <c r="B171" s="5" t="inlineStr">
        <is>
          <t>oop</t>
        </is>
      </c>
      <c r="C171" s="5" t="inlineStr">
        <is>
          <t>nav</t>
        </is>
      </c>
      <c r="D171" s="5" t="inlineStr">
        <is>
          <t>Tax | Domestic navigation | Other oil products</t>
        </is>
      </c>
      <c r="E171" s="5" t="inlineStr">
        <is>
          <t>$/GJ</t>
        </is>
      </c>
      <c r="F171" s="5" t="inlineStr">
        <is>
          <t>Prices_dom, EF_GHG, Mapping</t>
        </is>
      </c>
      <c r="G171" s="19" t="inlineStr">
        <is>
          <t>mit.rp.oop</t>
        </is>
      </c>
      <c r="H171" s="19" t="inlineStr">
        <is>
          <t>mit.tax.oop.nav</t>
        </is>
      </c>
      <c r="J171" s="5">
        <f>INDEX(Mapping!$C$5:$C$20,MATCH($C171,Mapping!$A$5:$A$20,0))</f>
        <v/>
      </c>
      <c r="K171" s="5">
        <f>INDEX(Mapping!$D$5:$D$20,MATCH($C171,Mapping!$A$5:$A$20,0))</f>
        <v/>
      </c>
      <c r="L171" s="5">
        <f>INDEX(Mapping!$C$24:$C$31,MATCH($B171,Mapping!$A$24:$A$31,0))</f>
        <v/>
      </c>
      <c r="M171" s="5">
        <f>INDEX(Mapping!$D$24:$D$31,MATCH($B171,Mapping!$A$24:$A$31,0))</f>
        <v/>
      </c>
      <c r="N171" s="5">
        <f>$B171&amp;"."&amp;IF(INDEX(Mapping!$E$24:$E$31,MATCH($B171,Mapping!$A$24:$A$31,0))="sub",INDEX(Mapping!$F$5:$F$20,MATCH($C171,Mapping!$A$5:$A$20,0)),"all")</f>
        <v/>
      </c>
      <c r="O171" s="5">
        <f>INDEX(Mapping!$E$5:$E$20,MATCH($C171,Mapping!$A$5:$A$20,0))</f>
        <v/>
      </c>
      <c r="P171" s="5">
        <f>INDEX(Mapping!$G$24:$G$31,MATCH($B171,Mapping!$A$24:$A$31,0))</f>
        <v/>
      </c>
      <c r="Q171" s="22">
        <f>(INDEX(Prices_dom!$A$6:$CU$2000,MATCH(Settings!$C$4&amp;Settings!$C$7,Prices_dom!$A$6:$A$2000,0),MATCH("mit.rp."&amp;$N171,Prices_dom!$A$5:$CU$5,0))-INDEX(Prices_dom!$A$6:$CU$2000,MATCH(Settings!$C$4&amp;Settings!$C$7,Prices_dom!$A$6:$A$2000,0),MATCH("mit.sp."&amp;$N171,Prices_dom!$A$5:$CU$5,0)))/$P171</f>
        <v/>
      </c>
      <c r="R171" s="22">
        <f>INDEX(EF_GHG!$E$4:$E$1000,MATCH(Settings!$C$4&amp;"|"&amp;$B171&amp;"|"&amp;$O171,EF_GHG!$A$4:$A$1000,0))</f>
        <v/>
      </c>
      <c r="S171" s="22">
        <f>INDEX(Mapping!$G$5:$G$20,MATCH($C171,Mapping!$A$5:$A$20,0))</f>
        <v/>
      </c>
      <c r="T171" s="21" t="n"/>
      <c r="U171" s="21" t="n"/>
      <c r="V171" s="22">
        <f>Q171</f>
        <v/>
      </c>
      <c r="W171" s="22">
        <f>R171</f>
        <v/>
      </c>
      <c r="X171" s="22">
        <f>S171</f>
        <v/>
      </c>
      <c r="Y171" s="21" t="n"/>
      <c r="Z171" s="21" t="n"/>
      <c r="AA171" s="22">
        <f>Q171</f>
        <v/>
      </c>
      <c r="AB171" s="22">
        <f>R171</f>
        <v/>
      </c>
      <c r="AC171" s="22">
        <f>S171</f>
        <v/>
      </c>
      <c r="AD171" s="21" t="n"/>
      <c r="AE171" s="21" t="n"/>
      <c r="AF171" s="22">
        <f>Q171</f>
        <v/>
      </c>
      <c r="AG171" s="22">
        <f>R171</f>
        <v/>
      </c>
      <c r="AH171" s="22">
        <f>S171</f>
        <v/>
      </c>
      <c r="AI171" s="21" t="n"/>
      <c r="AJ171" s="21" t="n"/>
      <c r="AL171" s="23">
        <f>INDEX($Q171:$AJ171,1,(AL$4-1)*5+1)+AL$8*INDEX($Q171:$AJ171,1,(AL$4-1)*5+2)*INDEX($Q171:$AJ171,1,(AL$4-1)*5+3)</f>
        <v/>
      </c>
      <c r="AM171" s="22">
        <f>INDEX($Q171:$AJ171,1,(AM$4-1)*5+1)+AM$8*INDEX($Q171:$AJ171,1,(AM$4-1)*5+2)*INDEX($Q171:$AJ171,1,(AM$4-1)*5+3)</f>
        <v/>
      </c>
      <c r="AN171" s="22">
        <f>INDEX($Q171:$AJ171,1,(AN$4-1)*5+1)+AN$8*INDEX($Q171:$AJ171,1,(AN$4-1)*5+2)*INDEX($Q171:$AJ171,1,(AN$4-1)*5+3)</f>
        <v/>
      </c>
      <c r="AO171" s="22">
        <f>INDEX($Q171:$AJ171,1,(AO$4-1)*5+1)+AO$8*INDEX($Q171:$AJ171,1,(AO$4-1)*5+2)*INDEX($Q171:$AJ171,1,(AO$4-1)*5+3)</f>
        <v/>
      </c>
      <c r="AP171" s="22">
        <f>INDEX($Q171:$AJ171,1,(AP$4-1)*5+1)+AP$8*INDEX($Q171:$AJ171,1,(AP$4-1)*5+2)*INDEX($Q171:$AJ171,1,(AP$4-1)*5+3)</f>
        <v/>
      </c>
      <c r="AQ171" s="22">
        <f>INDEX($Q171:$AJ171,1,(AQ$4-1)*5+1)+AQ$8*INDEX($Q171:$AJ171,1,(AQ$4-1)*5+2)*INDEX($Q171:$AJ171,1,(AQ$4-1)*5+3)</f>
        <v/>
      </c>
      <c r="AR171" s="22">
        <f>INDEX($Q171:$AJ171,1,(AR$4-1)*5+1)+AR$8*INDEX($Q171:$AJ171,1,(AR$4-1)*5+2)*INDEX($Q171:$AJ171,1,(AR$4-1)*5+3)</f>
        <v/>
      </c>
      <c r="AS171" s="22">
        <f>INDEX($Q171:$AJ171,1,(AS$4-1)*5+1)+AS$8*INDEX($Q171:$AJ171,1,(AS$4-1)*5+2)*INDEX($Q171:$AJ171,1,(AS$4-1)*5+3)</f>
        <v/>
      </c>
      <c r="AT171" s="22">
        <f>INDEX($Q171:$AJ171,1,(AT$4-1)*5+1)+AT$8*INDEX($Q171:$AJ171,1,(AT$4-1)*5+2)*INDEX($Q171:$AJ171,1,(AT$4-1)*5+3)</f>
        <v/>
      </c>
      <c r="AU171" s="22">
        <f>INDEX($Q171:$AJ171,1,(AU$4-1)*5+1)+AU$8*INDEX($Q171:$AJ171,1,(AU$4-1)*5+2)*INDEX($Q171:$AJ171,1,(AU$4-1)*5+3)</f>
        <v/>
      </c>
      <c r="AV171" s="22">
        <f>INDEX($Q171:$AJ171,1,(AV$4-1)*5+1)+AV$8*INDEX($Q171:$AJ171,1,(AV$4-1)*5+2)*INDEX($Q171:$AJ171,1,(AV$4-1)*5+3)</f>
        <v/>
      </c>
      <c r="AW171" s="22">
        <f>INDEX($Q171:$AJ171,1,(AW$4-1)*5+1)+AW$8*INDEX($Q171:$AJ171,1,(AW$4-1)*5+2)*INDEX($Q171:$AJ171,1,(AW$4-1)*5+3)</f>
        <v/>
      </c>
      <c r="AX171" s="22">
        <f>INDEX($Q171:$AJ171,1,(AX$4-1)*5+1)+AX$8*INDEX($Q171:$AJ171,1,(AX$4-1)*5+2)*INDEX($Q171:$AJ171,1,(AX$4-1)*5+3)</f>
        <v/>
      </c>
      <c r="AY171" s="22">
        <f>INDEX($Q171:$AJ171,1,(AY$4-1)*5+1)+AY$8*INDEX($Q171:$AJ171,1,(AY$4-1)*5+2)*INDEX($Q171:$AJ171,1,(AY$4-1)*5+3)</f>
        <v/>
      </c>
      <c r="BA171" s="23">
        <f>INDEX($Q171:$AJ171,1,(BA$4-1)*5+1)+BA$8*INDEX($Q171:$AJ171,1,(BA$4-1)*5+2)*INDEX($Q171:$AJ171,1,(BA$4-1)*5+3)</f>
        <v/>
      </c>
      <c r="BB171" s="22">
        <f>INDEX($Q171:$AJ171,1,(BB$4-1)*5+1)+BB$8*INDEX($Q171:$AJ171,1,(BB$4-1)*5+2)*INDEX($Q171:$AJ171,1,(BB$4-1)*5+3)</f>
        <v/>
      </c>
      <c r="BC171" s="22">
        <f>INDEX($Q171:$AJ171,1,(BC$4-1)*5+1)+BC$8*INDEX($Q171:$AJ171,1,(BC$4-1)*5+2)*INDEX($Q171:$AJ171,1,(BC$4-1)*5+3)</f>
        <v/>
      </c>
      <c r="BD171" s="22">
        <f>INDEX($Q171:$AJ171,1,(BD$4-1)*5+1)+BD$8*INDEX($Q171:$AJ171,1,(BD$4-1)*5+2)*INDEX($Q171:$AJ171,1,(BD$4-1)*5+3)</f>
        <v/>
      </c>
      <c r="BE171" s="22">
        <f>INDEX($Q171:$AJ171,1,(BE$4-1)*5+1)+BE$8*INDEX($Q171:$AJ171,1,(BE$4-1)*5+2)*INDEX($Q171:$AJ171,1,(BE$4-1)*5+3)</f>
        <v/>
      </c>
      <c r="BF171" s="22">
        <f>INDEX($Q171:$AJ171,1,(BF$4-1)*5+1)+BF$8*INDEX($Q171:$AJ171,1,(BF$4-1)*5+2)*INDEX($Q171:$AJ171,1,(BF$4-1)*5+3)</f>
        <v/>
      </c>
      <c r="BG171" s="22">
        <f>INDEX($Q171:$AJ171,1,(BG$4-1)*5+1)+BG$8*INDEX($Q171:$AJ171,1,(BG$4-1)*5+2)*INDEX($Q171:$AJ171,1,(BG$4-1)*5+3)</f>
        <v/>
      </c>
      <c r="BH171" s="22">
        <f>INDEX($Q171:$AJ171,1,(BH$4-1)*5+1)+BH$8*INDEX($Q171:$AJ171,1,(BH$4-1)*5+2)*INDEX($Q171:$AJ171,1,(BH$4-1)*5+3)</f>
        <v/>
      </c>
      <c r="BI171" s="22">
        <f>INDEX($Q171:$AJ171,1,(BI$4-1)*5+1)+BI$8*INDEX($Q171:$AJ171,1,(BI$4-1)*5+2)*INDEX($Q171:$AJ171,1,(BI$4-1)*5+3)</f>
        <v/>
      </c>
      <c r="BJ171" s="22">
        <f>INDEX($Q171:$AJ171,1,(BJ$4-1)*5+1)+BJ$8*INDEX($Q171:$AJ171,1,(BJ$4-1)*5+2)*INDEX($Q171:$AJ171,1,(BJ$4-1)*5+3)</f>
        <v/>
      </c>
      <c r="BK171" s="22">
        <f>INDEX($Q171:$AJ171,1,(BK$4-1)*5+1)+BK$8*INDEX($Q171:$AJ171,1,(BK$4-1)*5+2)*INDEX($Q171:$AJ171,1,(BK$4-1)*5+3)</f>
        <v/>
      </c>
      <c r="BL171" s="22">
        <f>INDEX($Q171:$AJ171,1,(BL$4-1)*5+1)+BL$8*INDEX($Q171:$AJ171,1,(BL$4-1)*5+2)*INDEX($Q171:$AJ171,1,(BL$4-1)*5+3)</f>
        <v/>
      </c>
      <c r="BM171" s="22">
        <f>INDEX($Q171:$AJ171,1,(BM$4-1)*5+1)+BM$8*INDEX($Q171:$AJ171,1,(BM$4-1)*5+2)*INDEX($Q171:$AJ171,1,(BM$4-1)*5+3)</f>
        <v/>
      </c>
      <c r="BN171" s="22">
        <f>INDEX($Q171:$AJ171,1,(BN$4-1)*5+1)+BN$8*INDEX($Q171:$AJ171,1,(BN$4-1)*5+2)*INDEX($Q171:$AJ171,1,(BN$4-1)*5+3)</f>
        <v/>
      </c>
    </row>
    <row r="172">
      <c r="B172" s="5" t="inlineStr">
        <is>
          <t>bio</t>
        </is>
      </c>
      <c r="C172" s="5" t="inlineStr">
        <is>
          <t>nav</t>
        </is>
      </c>
      <c r="D172" s="5" t="inlineStr">
        <is>
          <t>Tax | Domestic navigation | Biomass</t>
        </is>
      </c>
      <c r="E172" s="5" t="inlineStr">
        <is>
          <t>$/GJ</t>
        </is>
      </c>
      <c r="F172" s="5" t="inlineStr">
        <is>
          <t>Prices_dom, EF_GHG, Mapping</t>
        </is>
      </c>
      <c r="G172" s="19" t="inlineStr">
        <is>
          <t>mit.rp.bio</t>
        </is>
      </c>
      <c r="H172" s="19" t="inlineStr">
        <is>
          <t>mit.tax.bio.nav</t>
        </is>
      </c>
      <c r="J172" s="5">
        <f>INDEX(Mapping!$C$5:$C$20,MATCH($C172,Mapping!$A$5:$A$20,0))</f>
        <v/>
      </c>
      <c r="K172" s="5">
        <f>INDEX(Mapping!$D$5:$D$20,MATCH($C172,Mapping!$A$5:$A$20,0))</f>
        <v/>
      </c>
      <c r="L172" s="5">
        <f>INDEX(Mapping!$C$24:$C$31,MATCH($B172,Mapping!$A$24:$A$31,0))</f>
        <v/>
      </c>
      <c r="M172" s="5">
        <f>INDEX(Mapping!$D$24:$D$31,MATCH($B172,Mapping!$A$24:$A$31,0))</f>
        <v/>
      </c>
      <c r="N172" s="5">
        <f>$B172&amp;"."&amp;IF(INDEX(Mapping!$E$24:$E$31,MATCH($B172,Mapping!$A$24:$A$31,0))="sub",INDEX(Mapping!$F$5:$F$20,MATCH($C172,Mapping!$A$5:$A$20,0)),"all")</f>
        <v/>
      </c>
      <c r="O172" s="5">
        <f>INDEX(Mapping!$E$5:$E$20,MATCH($C172,Mapping!$A$5:$A$20,0))</f>
        <v/>
      </c>
      <c r="P172" s="5">
        <f>INDEX(Mapping!$G$24:$G$31,MATCH($B172,Mapping!$A$24:$A$31,0))</f>
        <v/>
      </c>
      <c r="Q172" s="22">
        <f>(INDEX(Prices_dom!$A$6:$CU$2000,MATCH(Settings!$C$4&amp;Settings!$C$7,Prices_dom!$A$6:$A$2000,0),MATCH("mit.rp."&amp;$N172,Prices_dom!$A$5:$CU$5,0))-INDEX(Prices_dom!$A$6:$CU$2000,MATCH(Settings!$C$4&amp;Settings!$C$7,Prices_dom!$A$6:$A$2000,0),MATCH("mit.sp."&amp;$N172,Prices_dom!$A$5:$CU$5,0)))/$P172</f>
        <v/>
      </c>
      <c r="R172" s="22">
        <f>INDEX(EF_GHG!$E$4:$E$1000,MATCH(Settings!$C$4&amp;"|"&amp;$B172&amp;"|"&amp;$O172,EF_GHG!$A$4:$A$1000,0))</f>
        <v/>
      </c>
      <c r="S172" s="22">
        <f>INDEX(Mapping!$G$5:$G$20,MATCH($C172,Mapping!$A$5:$A$20,0))</f>
        <v/>
      </c>
      <c r="T172" s="21" t="n"/>
      <c r="U172" s="21" t="n"/>
      <c r="V172" s="22">
        <f>Q172</f>
        <v/>
      </c>
      <c r="W172" s="22">
        <f>R172</f>
        <v/>
      </c>
      <c r="X172" s="22">
        <f>S172</f>
        <v/>
      </c>
      <c r="Y172" s="21" t="n"/>
      <c r="Z172" s="21" t="n"/>
      <c r="AA172" s="22">
        <f>Q172</f>
        <v/>
      </c>
      <c r="AB172" s="22">
        <f>R172</f>
        <v/>
      </c>
      <c r="AC172" s="22">
        <f>S172</f>
        <v/>
      </c>
      <c r="AD172" s="21" t="n"/>
      <c r="AE172" s="21" t="n"/>
      <c r="AF172" s="22">
        <f>Q172</f>
        <v/>
      </c>
      <c r="AG172" s="22">
        <f>R172</f>
        <v/>
      </c>
      <c r="AH172" s="22">
        <f>S172</f>
        <v/>
      </c>
      <c r="AI172" s="21" t="n"/>
      <c r="AJ172" s="21" t="n"/>
      <c r="AL172" s="23">
        <f>INDEX($Q172:$AJ172,1,(AL$4-1)*5+1)+AL$8*INDEX($Q172:$AJ172,1,(AL$4-1)*5+2)*INDEX($Q172:$AJ172,1,(AL$4-1)*5+3)</f>
        <v/>
      </c>
      <c r="AM172" s="22">
        <f>INDEX($Q172:$AJ172,1,(AM$4-1)*5+1)+AM$8*INDEX($Q172:$AJ172,1,(AM$4-1)*5+2)*INDEX($Q172:$AJ172,1,(AM$4-1)*5+3)</f>
        <v/>
      </c>
      <c r="AN172" s="22">
        <f>INDEX($Q172:$AJ172,1,(AN$4-1)*5+1)+AN$8*INDEX($Q172:$AJ172,1,(AN$4-1)*5+2)*INDEX($Q172:$AJ172,1,(AN$4-1)*5+3)</f>
        <v/>
      </c>
      <c r="AO172" s="22">
        <f>INDEX($Q172:$AJ172,1,(AO$4-1)*5+1)+AO$8*INDEX($Q172:$AJ172,1,(AO$4-1)*5+2)*INDEX($Q172:$AJ172,1,(AO$4-1)*5+3)</f>
        <v/>
      </c>
      <c r="AP172" s="22">
        <f>INDEX($Q172:$AJ172,1,(AP$4-1)*5+1)+AP$8*INDEX($Q172:$AJ172,1,(AP$4-1)*5+2)*INDEX($Q172:$AJ172,1,(AP$4-1)*5+3)</f>
        <v/>
      </c>
      <c r="AQ172" s="22">
        <f>INDEX($Q172:$AJ172,1,(AQ$4-1)*5+1)+AQ$8*INDEX($Q172:$AJ172,1,(AQ$4-1)*5+2)*INDEX($Q172:$AJ172,1,(AQ$4-1)*5+3)</f>
        <v/>
      </c>
      <c r="AR172" s="22">
        <f>INDEX($Q172:$AJ172,1,(AR$4-1)*5+1)+AR$8*INDEX($Q172:$AJ172,1,(AR$4-1)*5+2)*INDEX($Q172:$AJ172,1,(AR$4-1)*5+3)</f>
        <v/>
      </c>
      <c r="AS172" s="22">
        <f>INDEX($Q172:$AJ172,1,(AS$4-1)*5+1)+AS$8*INDEX($Q172:$AJ172,1,(AS$4-1)*5+2)*INDEX($Q172:$AJ172,1,(AS$4-1)*5+3)</f>
        <v/>
      </c>
      <c r="AT172" s="22">
        <f>INDEX($Q172:$AJ172,1,(AT$4-1)*5+1)+AT$8*INDEX($Q172:$AJ172,1,(AT$4-1)*5+2)*INDEX($Q172:$AJ172,1,(AT$4-1)*5+3)</f>
        <v/>
      </c>
      <c r="AU172" s="22">
        <f>INDEX($Q172:$AJ172,1,(AU$4-1)*5+1)+AU$8*INDEX($Q172:$AJ172,1,(AU$4-1)*5+2)*INDEX($Q172:$AJ172,1,(AU$4-1)*5+3)</f>
        <v/>
      </c>
      <c r="AV172" s="22">
        <f>INDEX($Q172:$AJ172,1,(AV$4-1)*5+1)+AV$8*INDEX($Q172:$AJ172,1,(AV$4-1)*5+2)*INDEX($Q172:$AJ172,1,(AV$4-1)*5+3)</f>
        <v/>
      </c>
      <c r="AW172" s="22">
        <f>INDEX($Q172:$AJ172,1,(AW$4-1)*5+1)+AW$8*INDEX($Q172:$AJ172,1,(AW$4-1)*5+2)*INDEX($Q172:$AJ172,1,(AW$4-1)*5+3)</f>
        <v/>
      </c>
      <c r="AX172" s="22">
        <f>INDEX($Q172:$AJ172,1,(AX$4-1)*5+1)+AX$8*INDEX($Q172:$AJ172,1,(AX$4-1)*5+2)*INDEX($Q172:$AJ172,1,(AX$4-1)*5+3)</f>
        <v/>
      </c>
      <c r="AY172" s="22">
        <f>INDEX($Q172:$AJ172,1,(AY$4-1)*5+1)+AY$8*INDEX($Q172:$AJ172,1,(AY$4-1)*5+2)*INDEX($Q172:$AJ172,1,(AY$4-1)*5+3)</f>
        <v/>
      </c>
      <c r="BA172" s="23">
        <f>INDEX($Q172:$AJ172,1,(BA$4-1)*5+1)+BA$8*INDEX($Q172:$AJ172,1,(BA$4-1)*5+2)*INDEX($Q172:$AJ172,1,(BA$4-1)*5+3)</f>
        <v/>
      </c>
      <c r="BB172" s="22">
        <f>INDEX($Q172:$AJ172,1,(BB$4-1)*5+1)+BB$8*INDEX($Q172:$AJ172,1,(BB$4-1)*5+2)*INDEX($Q172:$AJ172,1,(BB$4-1)*5+3)</f>
        <v/>
      </c>
      <c r="BC172" s="22">
        <f>INDEX($Q172:$AJ172,1,(BC$4-1)*5+1)+BC$8*INDEX($Q172:$AJ172,1,(BC$4-1)*5+2)*INDEX($Q172:$AJ172,1,(BC$4-1)*5+3)</f>
        <v/>
      </c>
      <c r="BD172" s="22">
        <f>INDEX($Q172:$AJ172,1,(BD$4-1)*5+1)+BD$8*INDEX($Q172:$AJ172,1,(BD$4-1)*5+2)*INDEX($Q172:$AJ172,1,(BD$4-1)*5+3)</f>
        <v/>
      </c>
      <c r="BE172" s="22">
        <f>INDEX($Q172:$AJ172,1,(BE$4-1)*5+1)+BE$8*INDEX($Q172:$AJ172,1,(BE$4-1)*5+2)*INDEX($Q172:$AJ172,1,(BE$4-1)*5+3)</f>
        <v/>
      </c>
      <c r="BF172" s="22">
        <f>INDEX($Q172:$AJ172,1,(BF$4-1)*5+1)+BF$8*INDEX($Q172:$AJ172,1,(BF$4-1)*5+2)*INDEX($Q172:$AJ172,1,(BF$4-1)*5+3)</f>
        <v/>
      </c>
      <c r="BG172" s="22">
        <f>INDEX($Q172:$AJ172,1,(BG$4-1)*5+1)+BG$8*INDEX($Q172:$AJ172,1,(BG$4-1)*5+2)*INDEX($Q172:$AJ172,1,(BG$4-1)*5+3)</f>
        <v/>
      </c>
      <c r="BH172" s="22">
        <f>INDEX($Q172:$AJ172,1,(BH$4-1)*5+1)+BH$8*INDEX($Q172:$AJ172,1,(BH$4-1)*5+2)*INDEX($Q172:$AJ172,1,(BH$4-1)*5+3)</f>
        <v/>
      </c>
      <c r="BI172" s="22">
        <f>INDEX($Q172:$AJ172,1,(BI$4-1)*5+1)+BI$8*INDEX($Q172:$AJ172,1,(BI$4-1)*5+2)*INDEX($Q172:$AJ172,1,(BI$4-1)*5+3)</f>
        <v/>
      </c>
      <c r="BJ172" s="22">
        <f>INDEX($Q172:$AJ172,1,(BJ$4-1)*5+1)+BJ$8*INDEX($Q172:$AJ172,1,(BJ$4-1)*5+2)*INDEX($Q172:$AJ172,1,(BJ$4-1)*5+3)</f>
        <v/>
      </c>
      <c r="BK172" s="22">
        <f>INDEX($Q172:$AJ172,1,(BK$4-1)*5+1)+BK$8*INDEX($Q172:$AJ172,1,(BK$4-1)*5+2)*INDEX($Q172:$AJ172,1,(BK$4-1)*5+3)</f>
        <v/>
      </c>
      <c r="BL172" s="22">
        <f>INDEX($Q172:$AJ172,1,(BL$4-1)*5+1)+BL$8*INDEX($Q172:$AJ172,1,(BL$4-1)*5+2)*INDEX($Q172:$AJ172,1,(BL$4-1)*5+3)</f>
        <v/>
      </c>
      <c r="BM172" s="22">
        <f>INDEX($Q172:$AJ172,1,(BM$4-1)*5+1)+BM$8*INDEX($Q172:$AJ172,1,(BM$4-1)*5+2)*INDEX($Q172:$AJ172,1,(BM$4-1)*5+3)</f>
        <v/>
      </c>
      <c r="BN172" s="22">
        <f>INDEX($Q172:$AJ172,1,(BN$4-1)*5+1)+BN$8*INDEX($Q172:$AJ172,1,(BN$4-1)*5+2)*INDEX($Q172:$AJ172,1,(BN$4-1)*5+3)</f>
        <v/>
      </c>
    </row>
    <row r="173">
      <c r="B173" s="5" t="inlineStr">
        <is>
          <t>coa</t>
        </is>
      </c>
      <c r="C173" s="5" t="inlineStr">
        <is>
          <t>res</t>
        </is>
      </c>
      <c r="D173" s="5" t="inlineStr">
        <is>
          <t>Tax | Residential | Coal</t>
        </is>
      </c>
      <c r="E173" s="5" t="inlineStr">
        <is>
          <t>$/GJ</t>
        </is>
      </c>
      <c r="F173" s="5" t="inlineStr">
        <is>
          <t>Prices_dom, EF_GHG, Mapping</t>
        </is>
      </c>
      <c r="G173" s="19" t="inlineStr">
        <is>
          <t>mit.rp.coa</t>
        </is>
      </c>
      <c r="H173" s="19" t="inlineStr">
        <is>
          <t>mit.tax.coa.res</t>
        </is>
      </c>
      <c r="J173" s="5">
        <f>INDEX(Mapping!$C$5:$C$20,MATCH($C173,Mapping!$A$5:$A$20,0))</f>
        <v/>
      </c>
      <c r="K173" s="5">
        <f>INDEX(Mapping!$D$5:$D$20,MATCH($C173,Mapping!$A$5:$A$20,0))</f>
        <v/>
      </c>
      <c r="L173" s="5">
        <f>INDEX(Mapping!$C$24:$C$31,MATCH($B173,Mapping!$A$24:$A$31,0))</f>
        <v/>
      </c>
      <c r="M173" s="5">
        <f>INDEX(Mapping!$D$24:$D$31,MATCH($B173,Mapping!$A$24:$A$31,0))</f>
        <v/>
      </c>
      <c r="N173" s="5">
        <f>$B173&amp;"."&amp;IF(INDEX(Mapping!$E$24:$E$31,MATCH($B173,Mapping!$A$24:$A$31,0))="sub",INDEX(Mapping!$F$5:$F$20,MATCH($C173,Mapping!$A$5:$A$20,0)),"all")</f>
        <v/>
      </c>
      <c r="O173" s="5">
        <f>INDEX(Mapping!$E$5:$E$20,MATCH($C173,Mapping!$A$5:$A$20,0))</f>
        <v/>
      </c>
      <c r="P173" s="5">
        <f>INDEX(Mapping!$G$24:$G$31,MATCH($B173,Mapping!$A$24:$A$31,0))</f>
        <v/>
      </c>
      <c r="Q173" s="22">
        <f>(INDEX(Prices_dom!$A$6:$CU$2000,MATCH(Settings!$C$4&amp;Settings!$C$7,Prices_dom!$A$6:$A$2000,0),MATCH("mit.rp."&amp;$N173,Prices_dom!$A$5:$CU$5,0))-INDEX(Prices_dom!$A$6:$CU$2000,MATCH(Settings!$C$4&amp;Settings!$C$7,Prices_dom!$A$6:$A$2000,0),MATCH("mit.sp."&amp;$N173,Prices_dom!$A$5:$CU$5,0)))/$P173</f>
        <v/>
      </c>
      <c r="R173" s="22">
        <f>INDEX(EF_GHG!$E$4:$E$1000,MATCH(Settings!$C$4&amp;"|"&amp;$B173&amp;"|"&amp;$O173,EF_GHG!$A$4:$A$1000,0))</f>
        <v/>
      </c>
      <c r="S173" s="22">
        <f>INDEX(Mapping!$G$5:$G$20,MATCH($C173,Mapping!$A$5:$A$20,0))</f>
        <v/>
      </c>
      <c r="T173" s="21" t="n"/>
      <c r="U173" s="21" t="n"/>
      <c r="V173" s="22">
        <f>Q173</f>
        <v/>
      </c>
      <c r="W173" s="22">
        <f>R173</f>
        <v/>
      </c>
      <c r="X173" s="22">
        <f>S173</f>
        <v/>
      </c>
      <c r="Y173" s="21" t="n"/>
      <c r="Z173" s="21" t="n"/>
      <c r="AA173" s="22">
        <f>Q173</f>
        <v/>
      </c>
      <c r="AB173" s="22">
        <f>R173</f>
        <v/>
      </c>
      <c r="AC173" s="22">
        <f>S173</f>
        <v/>
      </c>
      <c r="AD173" s="21" t="n"/>
      <c r="AE173" s="21" t="n"/>
      <c r="AF173" s="22">
        <f>Q173</f>
        <v/>
      </c>
      <c r="AG173" s="22">
        <f>R173</f>
        <v/>
      </c>
      <c r="AH173" s="22">
        <f>S173</f>
        <v/>
      </c>
      <c r="AI173" s="21" t="n"/>
      <c r="AJ173" s="21" t="n"/>
      <c r="AL173" s="23">
        <f>INDEX($Q173:$AJ173,1,(AL$4-1)*5+1)+AL$8*INDEX($Q173:$AJ173,1,(AL$4-1)*5+2)*INDEX($Q173:$AJ173,1,(AL$4-1)*5+3)</f>
        <v/>
      </c>
      <c r="AM173" s="22">
        <f>INDEX($Q173:$AJ173,1,(AM$4-1)*5+1)+AM$8*INDEX($Q173:$AJ173,1,(AM$4-1)*5+2)*INDEX($Q173:$AJ173,1,(AM$4-1)*5+3)</f>
        <v/>
      </c>
      <c r="AN173" s="22">
        <f>INDEX($Q173:$AJ173,1,(AN$4-1)*5+1)+AN$8*INDEX($Q173:$AJ173,1,(AN$4-1)*5+2)*INDEX($Q173:$AJ173,1,(AN$4-1)*5+3)</f>
        <v/>
      </c>
      <c r="AO173" s="22">
        <f>INDEX($Q173:$AJ173,1,(AO$4-1)*5+1)+AO$8*INDEX($Q173:$AJ173,1,(AO$4-1)*5+2)*INDEX($Q173:$AJ173,1,(AO$4-1)*5+3)</f>
        <v/>
      </c>
      <c r="AP173" s="22">
        <f>INDEX($Q173:$AJ173,1,(AP$4-1)*5+1)+AP$8*INDEX($Q173:$AJ173,1,(AP$4-1)*5+2)*INDEX($Q173:$AJ173,1,(AP$4-1)*5+3)</f>
        <v/>
      </c>
      <c r="AQ173" s="22">
        <f>INDEX($Q173:$AJ173,1,(AQ$4-1)*5+1)+AQ$8*INDEX($Q173:$AJ173,1,(AQ$4-1)*5+2)*INDEX($Q173:$AJ173,1,(AQ$4-1)*5+3)</f>
        <v/>
      </c>
      <c r="AR173" s="22">
        <f>INDEX($Q173:$AJ173,1,(AR$4-1)*5+1)+AR$8*INDEX($Q173:$AJ173,1,(AR$4-1)*5+2)*INDEX($Q173:$AJ173,1,(AR$4-1)*5+3)</f>
        <v/>
      </c>
      <c r="AS173" s="22">
        <f>INDEX($Q173:$AJ173,1,(AS$4-1)*5+1)+AS$8*INDEX($Q173:$AJ173,1,(AS$4-1)*5+2)*INDEX($Q173:$AJ173,1,(AS$4-1)*5+3)</f>
        <v/>
      </c>
      <c r="AT173" s="22">
        <f>INDEX($Q173:$AJ173,1,(AT$4-1)*5+1)+AT$8*INDEX($Q173:$AJ173,1,(AT$4-1)*5+2)*INDEX($Q173:$AJ173,1,(AT$4-1)*5+3)</f>
        <v/>
      </c>
      <c r="AU173" s="22">
        <f>INDEX($Q173:$AJ173,1,(AU$4-1)*5+1)+AU$8*INDEX($Q173:$AJ173,1,(AU$4-1)*5+2)*INDEX($Q173:$AJ173,1,(AU$4-1)*5+3)</f>
        <v/>
      </c>
      <c r="AV173" s="22">
        <f>INDEX($Q173:$AJ173,1,(AV$4-1)*5+1)+AV$8*INDEX($Q173:$AJ173,1,(AV$4-1)*5+2)*INDEX($Q173:$AJ173,1,(AV$4-1)*5+3)</f>
        <v/>
      </c>
      <c r="AW173" s="22">
        <f>INDEX($Q173:$AJ173,1,(AW$4-1)*5+1)+AW$8*INDEX($Q173:$AJ173,1,(AW$4-1)*5+2)*INDEX($Q173:$AJ173,1,(AW$4-1)*5+3)</f>
        <v/>
      </c>
      <c r="AX173" s="22">
        <f>INDEX($Q173:$AJ173,1,(AX$4-1)*5+1)+AX$8*INDEX($Q173:$AJ173,1,(AX$4-1)*5+2)*INDEX($Q173:$AJ173,1,(AX$4-1)*5+3)</f>
        <v/>
      </c>
      <c r="AY173" s="22">
        <f>INDEX($Q173:$AJ173,1,(AY$4-1)*5+1)+AY$8*INDEX($Q173:$AJ173,1,(AY$4-1)*5+2)*INDEX($Q173:$AJ173,1,(AY$4-1)*5+3)</f>
        <v/>
      </c>
      <c r="BA173" s="23">
        <f>INDEX($Q173:$AJ173,1,(BA$4-1)*5+1)+BA$8*INDEX($Q173:$AJ173,1,(BA$4-1)*5+2)*INDEX($Q173:$AJ173,1,(BA$4-1)*5+3)</f>
        <v/>
      </c>
      <c r="BB173" s="22">
        <f>INDEX($Q173:$AJ173,1,(BB$4-1)*5+1)+BB$8*INDEX($Q173:$AJ173,1,(BB$4-1)*5+2)*INDEX($Q173:$AJ173,1,(BB$4-1)*5+3)</f>
        <v/>
      </c>
      <c r="BC173" s="22">
        <f>INDEX($Q173:$AJ173,1,(BC$4-1)*5+1)+BC$8*INDEX($Q173:$AJ173,1,(BC$4-1)*5+2)*INDEX($Q173:$AJ173,1,(BC$4-1)*5+3)</f>
        <v/>
      </c>
      <c r="BD173" s="22">
        <f>INDEX($Q173:$AJ173,1,(BD$4-1)*5+1)+BD$8*INDEX($Q173:$AJ173,1,(BD$4-1)*5+2)*INDEX($Q173:$AJ173,1,(BD$4-1)*5+3)</f>
        <v/>
      </c>
      <c r="BE173" s="22">
        <f>INDEX($Q173:$AJ173,1,(BE$4-1)*5+1)+BE$8*INDEX($Q173:$AJ173,1,(BE$4-1)*5+2)*INDEX($Q173:$AJ173,1,(BE$4-1)*5+3)</f>
        <v/>
      </c>
      <c r="BF173" s="22">
        <f>INDEX($Q173:$AJ173,1,(BF$4-1)*5+1)+BF$8*INDEX($Q173:$AJ173,1,(BF$4-1)*5+2)*INDEX($Q173:$AJ173,1,(BF$4-1)*5+3)</f>
        <v/>
      </c>
      <c r="BG173" s="22">
        <f>INDEX($Q173:$AJ173,1,(BG$4-1)*5+1)+BG$8*INDEX($Q173:$AJ173,1,(BG$4-1)*5+2)*INDEX($Q173:$AJ173,1,(BG$4-1)*5+3)</f>
        <v/>
      </c>
      <c r="BH173" s="22">
        <f>INDEX($Q173:$AJ173,1,(BH$4-1)*5+1)+BH$8*INDEX($Q173:$AJ173,1,(BH$4-1)*5+2)*INDEX($Q173:$AJ173,1,(BH$4-1)*5+3)</f>
        <v/>
      </c>
      <c r="BI173" s="22">
        <f>INDEX($Q173:$AJ173,1,(BI$4-1)*5+1)+BI$8*INDEX($Q173:$AJ173,1,(BI$4-1)*5+2)*INDEX($Q173:$AJ173,1,(BI$4-1)*5+3)</f>
        <v/>
      </c>
      <c r="BJ173" s="22">
        <f>INDEX($Q173:$AJ173,1,(BJ$4-1)*5+1)+BJ$8*INDEX($Q173:$AJ173,1,(BJ$4-1)*5+2)*INDEX($Q173:$AJ173,1,(BJ$4-1)*5+3)</f>
        <v/>
      </c>
      <c r="BK173" s="22">
        <f>INDEX($Q173:$AJ173,1,(BK$4-1)*5+1)+BK$8*INDEX($Q173:$AJ173,1,(BK$4-1)*5+2)*INDEX($Q173:$AJ173,1,(BK$4-1)*5+3)</f>
        <v/>
      </c>
      <c r="BL173" s="22">
        <f>INDEX($Q173:$AJ173,1,(BL$4-1)*5+1)+BL$8*INDEX($Q173:$AJ173,1,(BL$4-1)*5+2)*INDEX($Q173:$AJ173,1,(BL$4-1)*5+3)</f>
        <v/>
      </c>
      <c r="BM173" s="22">
        <f>INDEX($Q173:$AJ173,1,(BM$4-1)*5+1)+BM$8*INDEX($Q173:$AJ173,1,(BM$4-1)*5+2)*INDEX($Q173:$AJ173,1,(BM$4-1)*5+3)</f>
        <v/>
      </c>
      <c r="BN173" s="22">
        <f>INDEX($Q173:$AJ173,1,(BN$4-1)*5+1)+BN$8*INDEX($Q173:$AJ173,1,(BN$4-1)*5+2)*INDEX($Q173:$AJ173,1,(BN$4-1)*5+3)</f>
        <v/>
      </c>
    </row>
    <row r="174">
      <c r="B174" s="5" t="inlineStr">
        <is>
          <t>nga</t>
        </is>
      </c>
      <c r="C174" s="5" t="inlineStr">
        <is>
          <t>res</t>
        </is>
      </c>
      <c r="D174" s="5" t="inlineStr">
        <is>
          <t>Tax | Residential | Natural gas</t>
        </is>
      </c>
      <c r="E174" s="5" t="inlineStr">
        <is>
          <t>$/GJ</t>
        </is>
      </c>
      <c r="F174" s="5" t="inlineStr">
        <is>
          <t>Prices_dom, EF_GHG, Mapping</t>
        </is>
      </c>
      <c r="G174" s="19" t="inlineStr">
        <is>
          <t>mit.rp.nga</t>
        </is>
      </c>
      <c r="H174" s="19" t="inlineStr">
        <is>
          <t>mit.tax.nga.res</t>
        </is>
      </c>
      <c r="J174" s="5">
        <f>INDEX(Mapping!$C$5:$C$20,MATCH($C174,Mapping!$A$5:$A$20,0))</f>
        <v/>
      </c>
      <c r="K174" s="5">
        <f>INDEX(Mapping!$D$5:$D$20,MATCH($C174,Mapping!$A$5:$A$20,0))</f>
        <v/>
      </c>
      <c r="L174" s="5">
        <f>INDEX(Mapping!$C$24:$C$31,MATCH($B174,Mapping!$A$24:$A$31,0))</f>
        <v/>
      </c>
      <c r="M174" s="5">
        <f>INDEX(Mapping!$D$24:$D$31,MATCH($B174,Mapping!$A$24:$A$31,0))</f>
        <v/>
      </c>
      <c r="N174" s="5">
        <f>$B174&amp;"."&amp;IF(INDEX(Mapping!$E$24:$E$31,MATCH($B174,Mapping!$A$24:$A$31,0))="sub",INDEX(Mapping!$F$5:$F$20,MATCH($C174,Mapping!$A$5:$A$20,0)),"all")</f>
        <v/>
      </c>
      <c r="O174" s="5">
        <f>INDEX(Mapping!$E$5:$E$20,MATCH($C174,Mapping!$A$5:$A$20,0))</f>
        <v/>
      </c>
      <c r="P174" s="5">
        <f>INDEX(Mapping!$G$24:$G$31,MATCH($B174,Mapping!$A$24:$A$31,0))</f>
        <v/>
      </c>
      <c r="Q174" s="22">
        <f>(INDEX(Prices_dom!$A$6:$CU$2000,MATCH(Settings!$C$4&amp;Settings!$C$7,Prices_dom!$A$6:$A$2000,0),MATCH("mit.rp."&amp;$N174,Prices_dom!$A$5:$CU$5,0))-INDEX(Prices_dom!$A$6:$CU$2000,MATCH(Settings!$C$4&amp;Settings!$C$7,Prices_dom!$A$6:$A$2000,0),MATCH("mit.sp."&amp;$N174,Prices_dom!$A$5:$CU$5,0)))/$P174</f>
        <v/>
      </c>
      <c r="R174" s="22">
        <f>INDEX(EF_GHG!$E$4:$E$1000,MATCH(Settings!$C$4&amp;"|"&amp;$B174&amp;"|"&amp;$O174,EF_GHG!$A$4:$A$1000,0))</f>
        <v/>
      </c>
      <c r="S174" s="22">
        <f>INDEX(Mapping!$G$5:$G$20,MATCH($C174,Mapping!$A$5:$A$20,0))</f>
        <v/>
      </c>
      <c r="T174" s="21" t="n"/>
      <c r="U174" s="21" t="n"/>
      <c r="V174" s="22">
        <f>Q174</f>
        <v/>
      </c>
      <c r="W174" s="22">
        <f>R174</f>
        <v/>
      </c>
      <c r="X174" s="22">
        <f>S174</f>
        <v/>
      </c>
      <c r="Y174" s="21" t="n"/>
      <c r="Z174" s="21" t="n"/>
      <c r="AA174" s="22">
        <f>Q174</f>
        <v/>
      </c>
      <c r="AB174" s="22">
        <f>R174</f>
        <v/>
      </c>
      <c r="AC174" s="22">
        <f>S174</f>
        <v/>
      </c>
      <c r="AD174" s="21" t="n"/>
      <c r="AE174" s="21" t="n"/>
      <c r="AF174" s="22">
        <f>Q174</f>
        <v/>
      </c>
      <c r="AG174" s="22">
        <f>R174</f>
        <v/>
      </c>
      <c r="AH174" s="22">
        <f>S174</f>
        <v/>
      </c>
      <c r="AI174" s="21" t="n"/>
      <c r="AJ174" s="21" t="n"/>
      <c r="AL174" s="23">
        <f>INDEX($Q174:$AJ174,1,(AL$4-1)*5+1)+AL$8*INDEX($Q174:$AJ174,1,(AL$4-1)*5+2)*INDEX($Q174:$AJ174,1,(AL$4-1)*5+3)</f>
        <v/>
      </c>
      <c r="AM174" s="22">
        <f>INDEX($Q174:$AJ174,1,(AM$4-1)*5+1)+AM$8*INDEX($Q174:$AJ174,1,(AM$4-1)*5+2)*INDEX($Q174:$AJ174,1,(AM$4-1)*5+3)</f>
        <v/>
      </c>
      <c r="AN174" s="22">
        <f>INDEX($Q174:$AJ174,1,(AN$4-1)*5+1)+AN$8*INDEX($Q174:$AJ174,1,(AN$4-1)*5+2)*INDEX($Q174:$AJ174,1,(AN$4-1)*5+3)</f>
        <v/>
      </c>
      <c r="AO174" s="22">
        <f>INDEX($Q174:$AJ174,1,(AO$4-1)*5+1)+AO$8*INDEX($Q174:$AJ174,1,(AO$4-1)*5+2)*INDEX($Q174:$AJ174,1,(AO$4-1)*5+3)</f>
        <v/>
      </c>
      <c r="AP174" s="22">
        <f>INDEX($Q174:$AJ174,1,(AP$4-1)*5+1)+AP$8*INDEX($Q174:$AJ174,1,(AP$4-1)*5+2)*INDEX($Q174:$AJ174,1,(AP$4-1)*5+3)</f>
        <v/>
      </c>
      <c r="AQ174" s="22">
        <f>INDEX($Q174:$AJ174,1,(AQ$4-1)*5+1)+AQ$8*INDEX($Q174:$AJ174,1,(AQ$4-1)*5+2)*INDEX($Q174:$AJ174,1,(AQ$4-1)*5+3)</f>
        <v/>
      </c>
      <c r="AR174" s="22">
        <f>INDEX($Q174:$AJ174,1,(AR$4-1)*5+1)+AR$8*INDEX($Q174:$AJ174,1,(AR$4-1)*5+2)*INDEX($Q174:$AJ174,1,(AR$4-1)*5+3)</f>
        <v/>
      </c>
      <c r="AS174" s="22">
        <f>INDEX($Q174:$AJ174,1,(AS$4-1)*5+1)+AS$8*INDEX($Q174:$AJ174,1,(AS$4-1)*5+2)*INDEX($Q174:$AJ174,1,(AS$4-1)*5+3)</f>
        <v/>
      </c>
      <c r="AT174" s="22">
        <f>INDEX($Q174:$AJ174,1,(AT$4-1)*5+1)+AT$8*INDEX($Q174:$AJ174,1,(AT$4-1)*5+2)*INDEX($Q174:$AJ174,1,(AT$4-1)*5+3)</f>
        <v/>
      </c>
      <c r="AU174" s="22">
        <f>INDEX($Q174:$AJ174,1,(AU$4-1)*5+1)+AU$8*INDEX($Q174:$AJ174,1,(AU$4-1)*5+2)*INDEX($Q174:$AJ174,1,(AU$4-1)*5+3)</f>
        <v/>
      </c>
      <c r="AV174" s="22">
        <f>INDEX($Q174:$AJ174,1,(AV$4-1)*5+1)+AV$8*INDEX($Q174:$AJ174,1,(AV$4-1)*5+2)*INDEX($Q174:$AJ174,1,(AV$4-1)*5+3)</f>
        <v/>
      </c>
      <c r="AW174" s="22">
        <f>INDEX($Q174:$AJ174,1,(AW$4-1)*5+1)+AW$8*INDEX($Q174:$AJ174,1,(AW$4-1)*5+2)*INDEX($Q174:$AJ174,1,(AW$4-1)*5+3)</f>
        <v/>
      </c>
      <c r="AX174" s="22">
        <f>INDEX($Q174:$AJ174,1,(AX$4-1)*5+1)+AX$8*INDEX($Q174:$AJ174,1,(AX$4-1)*5+2)*INDEX($Q174:$AJ174,1,(AX$4-1)*5+3)</f>
        <v/>
      </c>
      <c r="AY174" s="22">
        <f>INDEX($Q174:$AJ174,1,(AY$4-1)*5+1)+AY$8*INDEX($Q174:$AJ174,1,(AY$4-1)*5+2)*INDEX($Q174:$AJ174,1,(AY$4-1)*5+3)</f>
        <v/>
      </c>
      <c r="BA174" s="23">
        <f>INDEX($Q174:$AJ174,1,(BA$4-1)*5+1)+BA$8*INDEX($Q174:$AJ174,1,(BA$4-1)*5+2)*INDEX($Q174:$AJ174,1,(BA$4-1)*5+3)</f>
        <v/>
      </c>
      <c r="BB174" s="22">
        <f>INDEX($Q174:$AJ174,1,(BB$4-1)*5+1)+BB$8*INDEX($Q174:$AJ174,1,(BB$4-1)*5+2)*INDEX($Q174:$AJ174,1,(BB$4-1)*5+3)</f>
        <v/>
      </c>
      <c r="BC174" s="22">
        <f>INDEX($Q174:$AJ174,1,(BC$4-1)*5+1)+BC$8*INDEX($Q174:$AJ174,1,(BC$4-1)*5+2)*INDEX($Q174:$AJ174,1,(BC$4-1)*5+3)</f>
        <v/>
      </c>
      <c r="BD174" s="22">
        <f>INDEX($Q174:$AJ174,1,(BD$4-1)*5+1)+BD$8*INDEX($Q174:$AJ174,1,(BD$4-1)*5+2)*INDEX($Q174:$AJ174,1,(BD$4-1)*5+3)</f>
        <v/>
      </c>
      <c r="BE174" s="22">
        <f>INDEX($Q174:$AJ174,1,(BE$4-1)*5+1)+BE$8*INDEX($Q174:$AJ174,1,(BE$4-1)*5+2)*INDEX($Q174:$AJ174,1,(BE$4-1)*5+3)</f>
        <v/>
      </c>
      <c r="BF174" s="22">
        <f>INDEX($Q174:$AJ174,1,(BF$4-1)*5+1)+BF$8*INDEX($Q174:$AJ174,1,(BF$4-1)*5+2)*INDEX($Q174:$AJ174,1,(BF$4-1)*5+3)</f>
        <v/>
      </c>
      <c r="BG174" s="22">
        <f>INDEX($Q174:$AJ174,1,(BG$4-1)*5+1)+BG$8*INDEX($Q174:$AJ174,1,(BG$4-1)*5+2)*INDEX($Q174:$AJ174,1,(BG$4-1)*5+3)</f>
        <v/>
      </c>
      <c r="BH174" s="22">
        <f>INDEX($Q174:$AJ174,1,(BH$4-1)*5+1)+BH$8*INDEX($Q174:$AJ174,1,(BH$4-1)*5+2)*INDEX($Q174:$AJ174,1,(BH$4-1)*5+3)</f>
        <v/>
      </c>
      <c r="BI174" s="22">
        <f>INDEX($Q174:$AJ174,1,(BI$4-1)*5+1)+BI$8*INDEX($Q174:$AJ174,1,(BI$4-1)*5+2)*INDEX($Q174:$AJ174,1,(BI$4-1)*5+3)</f>
        <v/>
      </c>
      <c r="BJ174" s="22">
        <f>INDEX($Q174:$AJ174,1,(BJ$4-1)*5+1)+BJ$8*INDEX($Q174:$AJ174,1,(BJ$4-1)*5+2)*INDEX($Q174:$AJ174,1,(BJ$4-1)*5+3)</f>
        <v/>
      </c>
      <c r="BK174" s="22">
        <f>INDEX($Q174:$AJ174,1,(BK$4-1)*5+1)+BK$8*INDEX($Q174:$AJ174,1,(BK$4-1)*5+2)*INDEX($Q174:$AJ174,1,(BK$4-1)*5+3)</f>
        <v/>
      </c>
      <c r="BL174" s="22">
        <f>INDEX($Q174:$AJ174,1,(BL$4-1)*5+1)+BL$8*INDEX($Q174:$AJ174,1,(BL$4-1)*5+2)*INDEX($Q174:$AJ174,1,(BL$4-1)*5+3)</f>
        <v/>
      </c>
      <c r="BM174" s="22">
        <f>INDEX($Q174:$AJ174,1,(BM$4-1)*5+1)+BM$8*INDEX($Q174:$AJ174,1,(BM$4-1)*5+2)*INDEX($Q174:$AJ174,1,(BM$4-1)*5+3)</f>
        <v/>
      </c>
      <c r="BN174" s="22">
        <f>INDEX($Q174:$AJ174,1,(BN$4-1)*5+1)+BN$8*INDEX($Q174:$AJ174,1,(BN$4-1)*5+2)*INDEX($Q174:$AJ174,1,(BN$4-1)*5+3)</f>
        <v/>
      </c>
    </row>
    <row r="175">
      <c r="B175" s="5" t="inlineStr">
        <is>
          <t>gso</t>
        </is>
      </c>
      <c r="C175" s="5" t="inlineStr">
        <is>
          <t>res</t>
        </is>
      </c>
      <c r="D175" s="5" t="inlineStr">
        <is>
          <t>Tax | Residential | Gasoline</t>
        </is>
      </c>
      <c r="E175" s="5" t="inlineStr">
        <is>
          <t>$/GJ</t>
        </is>
      </c>
      <c r="F175" s="5" t="inlineStr">
        <is>
          <t>Prices_dom, EF_GHG, Mapping</t>
        </is>
      </c>
      <c r="G175" s="19" t="inlineStr">
        <is>
          <t>mit.rp.gso</t>
        </is>
      </c>
      <c r="H175" s="19" t="inlineStr">
        <is>
          <t>mit.tax.gso.res</t>
        </is>
      </c>
      <c r="J175" s="5">
        <f>INDEX(Mapping!$C$5:$C$20,MATCH($C175,Mapping!$A$5:$A$20,0))</f>
        <v/>
      </c>
      <c r="K175" s="5">
        <f>INDEX(Mapping!$D$5:$D$20,MATCH($C175,Mapping!$A$5:$A$20,0))</f>
        <v/>
      </c>
      <c r="L175" s="5">
        <f>INDEX(Mapping!$C$24:$C$31,MATCH($B175,Mapping!$A$24:$A$31,0))</f>
        <v/>
      </c>
      <c r="M175" s="5">
        <f>INDEX(Mapping!$D$24:$D$31,MATCH($B175,Mapping!$A$24:$A$31,0))</f>
        <v/>
      </c>
      <c r="N175" s="5">
        <f>$B175&amp;"."&amp;IF(INDEX(Mapping!$E$24:$E$31,MATCH($B175,Mapping!$A$24:$A$31,0))="sub",INDEX(Mapping!$F$5:$F$20,MATCH($C175,Mapping!$A$5:$A$20,0)),"all")</f>
        <v/>
      </c>
      <c r="O175" s="5">
        <f>INDEX(Mapping!$E$5:$E$20,MATCH($C175,Mapping!$A$5:$A$20,0))</f>
        <v/>
      </c>
      <c r="P175" s="5">
        <f>INDEX(Mapping!$G$24:$G$31,MATCH($B175,Mapping!$A$24:$A$31,0))</f>
        <v/>
      </c>
      <c r="Q175" s="22">
        <f>(INDEX(Prices_dom!$A$6:$CU$2000,MATCH(Settings!$C$4&amp;Settings!$C$7,Prices_dom!$A$6:$A$2000,0),MATCH("mit.rp."&amp;$N175,Prices_dom!$A$5:$CU$5,0))-INDEX(Prices_dom!$A$6:$CU$2000,MATCH(Settings!$C$4&amp;Settings!$C$7,Prices_dom!$A$6:$A$2000,0),MATCH("mit.sp."&amp;$N175,Prices_dom!$A$5:$CU$5,0)))/$P175</f>
        <v/>
      </c>
      <c r="R175" s="22">
        <f>INDEX(EF_GHG!$E$4:$E$1000,MATCH(Settings!$C$4&amp;"|"&amp;$B175&amp;"|"&amp;$O175,EF_GHG!$A$4:$A$1000,0))</f>
        <v/>
      </c>
      <c r="S175" s="22">
        <f>INDEX(Mapping!$G$5:$G$20,MATCH($C175,Mapping!$A$5:$A$20,0))</f>
        <v/>
      </c>
      <c r="T175" s="21" t="n"/>
      <c r="U175" s="21" t="n"/>
      <c r="V175" s="22">
        <f>Q175</f>
        <v/>
      </c>
      <c r="W175" s="22">
        <f>R175</f>
        <v/>
      </c>
      <c r="X175" s="22">
        <f>S175</f>
        <v/>
      </c>
      <c r="Y175" s="21" t="n"/>
      <c r="Z175" s="21" t="n"/>
      <c r="AA175" s="22">
        <f>Q175</f>
        <v/>
      </c>
      <c r="AB175" s="22">
        <f>R175</f>
        <v/>
      </c>
      <c r="AC175" s="22">
        <f>S175</f>
        <v/>
      </c>
      <c r="AD175" s="21" t="n"/>
      <c r="AE175" s="21" t="n"/>
      <c r="AF175" s="22">
        <f>Q175</f>
        <v/>
      </c>
      <c r="AG175" s="22">
        <f>R175</f>
        <v/>
      </c>
      <c r="AH175" s="22">
        <f>S175</f>
        <v/>
      </c>
      <c r="AI175" s="21" t="n"/>
      <c r="AJ175" s="21" t="n"/>
      <c r="AL175" s="23">
        <f>INDEX($Q175:$AJ175,1,(AL$4-1)*5+1)+AL$8*INDEX($Q175:$AJ175,1,(AL$4-1)*5+2)*INDEX($Q175:$AJ175,1,(AL$4-1)*5+3)</f>
        <v/>
      </c>
      <c r="AM175" s="22">
        <f>INDEX($Q175:$AJ175,1,(AM$4-1)*5+1)+AM$8*INDEX($Q175:$AJ175,1,(AM$4-1)*5+2)*INDEX($Q175:$AJ175,1,(AM$4-1)*5+3)</f>
        <v/>
      </c>
      <c r="AN175" s="22">
        <f>INDEX($Q175:$AJ175,1,(AN$4-1)*5+1)+AN$8*INDEX($Q175:$AJ175,1,(AN$4-1)*5+2)*INDEX($Q175:$AJ175,1,(AN$4-1)*5+3)</f>
        <v/>
      </c>
      <c r="AO175" s="22">
        <f>INDEX($Q175:$AJ175,1,(AO$4-1)*5+1)+AO$8*INDEX($Q175:$AJ175,1,(AO$4-1)*5+2)*INDEX($Q175:$AJ175,1,(AO$4-1)*5+3)</f>
        <v/>
      </c>
      <c r="AP175" s="22">
        <f>INDEX($Q175:$AJ175,1,(AP$4-1)*5+1)+AP$8*INDEX($Q175:$AJ175,1,(AP$4-1)*5+2)*INDEX($Q175:$AJ175,1,(AP$4-1)*5+3)</f>
        <v/>
      </c>
      <c r="AQ175" s="22">
        <f>INDEX($Q175:$AJ175,1,(AQ$4-1)*5+1)+AQ$8*INDEX($Q175:$AJ175,1,(AQ$4-1)*5+2)*INDEX($Q175:$AJ175,1,(AQ$4-1)*5+3)</f>
        <v/>
      </c>
      <c r="AR175" s="22">
        <f>INDEX($Q175:$AJ175,1,(AR$4-1)*5+1)+AR$8*INDEX($Q175:$AJ175,1,(AR$4-1)*5+2)*INDEX($Q175:$AJ175,1,(AR$4-1)*5+3)</f>
        <v/>
      </c>
      <c r="AS175" s="22">
        <f>INDEX($Q175:$AJ175,1,(AS$4-1)*5+1)+AS$8*INDEX($Q175:$AJ175,1,(AS$4-1)*5+2)*INDEX($Q175:$AJ175,1,(AS$4-1)*5+3)</f>
        <v/>
      </c>
      <c r="AT175" s="22">
        <f>INDEX($Q175:$AJ175,1,(AT$4-1)*5+1)+AT$8*INDEX($Q175:$AJ175,1,(AT$4-1)*5+2)*INDEX($Q175:$AJ175,1,(AT$4-1)*5+3)</f>
        <v/>
      </c>
      <c r="AU175" s="22">
        <f>INDEX($Q175:$AJ175,1,(AU$4-1)*5+1)+AU$8*INDEX($Q175:$AJ175,1,(AU$4-1)*5+2)*INDEX($Q175:$AJ175,1,(AU$4-1)*5+3)</f>
        <v/>
      </c>
      <c r="AV175" s="22">
        <f>INDEX($Q175:$AJ175,1,(AV$4-1)*5+1)+AV$8*INDEX($Q175:$AJ175,1,(AV$4-1)*5+2)*INDEX($Q175:$AJ175,1,(AV$4-1)*5+3)</f>
        <v/>
      </c>
      <c r="AW175" s="22">
        <f>INDEX($Q175:$AJ175,1,(AW$4-1)*5+1)+AW$8*INDEX($Q175:$AJ175,1,(AW$4-1)*5+2)*INDEX($Q175:$AJ175,1,(AW$4-1)*5+3)</f>
        <v/>
      </c>
      <c r="AX175" s="22">
        <f>INDEX($Q175:$AJ175,1,(AX$4-1)*5+1)+AX$8*INDEX($Q175:$AJ175,1,(AX$4-1)*5+2)*INDEX($Q175:$AJ175,1,(AX$4-1)*5+3)</f>
        <v/>
      </c>
      <c r="AY175" s="22">
        <f>INDEX($Q175:$AJ175,1,(AY$4-1)*5+1)+AY$8*INDEX($Q175:$AJ175,1,(AY$4-1)*5+2)*INDEX($Q175:$AJ175,1,(AY$4-1)*5+3)</f>
        <v/>
      </c>
      <c r="BA175" s="23">
        <f>INDEX($Q175:$AJ175,1,(BA$4-1)*5+1)+BA$8*INDEX($Q175:$AJ175,1,(BA$4-1)*5+2)*INDEX($Q175:$AJ175,1,(BA$4-1)*5+3)</f>
        <v/>
      </c>
      <c r="BB175" s="22">
        <f>INDEX($Q175:$AJ175,1,(BB$4-1)*5+1)+BB$8*INDEX($Q175:$AJ175,1,(BB$4-1)*5+2)*INDEX($Q175:$AJ175,1,(BB$4-1)*5+3)</f>
        <v/>
      </c>
      <c r="BC175" s="22">
        <f>INDEX($Q175:$AJ175,1,(BC$4-1)*5+1)+BC$8*INDEX($Q175:$AJ175,1,(BC$4-1)*5+2)*INDEX($Q175:$AJ175,1,(BC$4-1)*5+3)</f>
        <v/>
      </c>
      <c r="BD175" s="22">
        <f>INDEX($Q175:$AJ175,1,(BD$4-1)*5+1)+BD$8*INDEX($Q175:$AJ175,1,(BD$4-1)*5+2)*INDEX($Q175:$AJ175,1,(BD$4-1)*5+3)</f>
        <v/>
      </c>
      <c r="BE175" s="22">
        <f>INDEX($Q175:$AJ175,1,(BE$4-1)*5+1)+BE$8*INDEX($Q175:$AJ175,1,(BE$4-1)*5+2)*INDEX($Q175:$AJ175,1,(BE$4-1)*5+3)</f>
        <v/>
      </c>
      <c r="BF175" s="22">
        <f>INDEX($Q175:$AJ175,1,(BF$4-1)*5+1)+BF$8*INDEX($Q175:$AJ175,1,(BF$4-1)*5+2)*INDEX($Q175:$AJ175,1,(BF$4-1)*5+3)</f>
        <v/>
      </c>
      <c r="BG175" s="22">
        <f>INDEX($Q175:$AJ175,1,(BG$4-1)*5+1)+BG$8*INDEX($Q175:$AJ175,1,(BG$4-1)*5+2)*INDEX($Q175:$AJ175,1,(BG$4-1)*5+3)</f>
        <v/>
      </c>
      <c r="BH175" s="22">
        <f>INDEX($Q175:$AJ175,1,(BH$4-1)*5+1)+BH$8*INDEX($Q175:$AJ175,1,(BH$4-1)*5+2)*INDEX($Q175:$AJ175,1,(BH$4-1)*5+3)</f>
        <v/>
      </c>
      <c r="BI175" s="22">
        <f>INDEX($Q175:$AJ175,1,(BI$4-1)*5+1)+BI$8*INDEX($Q175:$AJ175,1,(BI$4-1)*5+2)*INDEX($Q175:$AJ175,1,(BI$4-1)*5+3)</f>
        <v/>
      </c>
      <c r="BJ175" s="22">
        <f>INDEX($Q175:$AJ175,1,(BJ$4-1)*5+1)+BJ$8*INDEX($Q175:$AJ175,1,(BJ$4-1)*5+2)*INDEX($Q175:$AJ175,1,(BJ$4-1)*5+3)</f>
        <v/>
      </c>
      <c r="BK175" s="22">
        <f>INDEX($Q175:$AJ175,1,(BK$4-1)*5+1)+BK$8*INDEX($Q175:$AJ175,1,(BK$4-1)*5+2)*INDEX($Q175:$AJ175,1,(BK$4-1)*5+3)</f>
        <v/>
      </c>
      <c r="BL175" s="22">
        <f>INDEX($Q175:$AJ175,1,(BL$4-1)*5+1)+BL$8*INDEX($Q175:$AJ175,1,(BL$4-1)*5+2)*INDEX($Q175:$AJ175,1,(BL$4-1)*5+3)</f>
        <v/>
      </c>
      <c r="BM175" s="22">
        <f>INDEX($Q175:$AJ175,1,(BM$4-1)*5+1)+BM$8*INDEX($Q175:$AJ175,1,(BM$4-1)*5+2)*INDEX($Q175:$AJ175,1,(BM$4-1)*5+3)</f>
        <v/>
      </c>
      <c r="BN175" s="22">
        <f>INDEX($Q175:$AJ175,1,(BN$4-1)*5+1)+BN$8*INDEX($Q175:$AJ175,1,(BN$4-1)*5+2)*INDEX($Q175:$AJ175,1,(BN$4-1)*5+3)</f>
        <v/>
      </c>
    </row>
    <row r="176">
      <c r="B176" s="5" t="inlineStr">
        <is>
          <t>die</t>
        </is>
      </c>
      <c r="C176" s="5" t="inlineStr">
        <is>
          <t>res</t>
        </is>
      </c>
      <c r="D176" s="5" t="inlineStr">
        <is>
          <t>Tax | Residential | Diesel</t>
        </is>
      </c>
      <c r="E176" s="5" t="inlineStr">
        <is>
          <t>$/GJ</t>
        </is>
      </c>
      <c r="F176" s="5" t="inlineStr">
        <is>
          <t>Prices_dom, EF_GHG, Mapping</t>
        </is>
      </c>
      <c r="G176" s="19" t="inlineStr">
        <is>
          <t>mit.rp.die</t>
        </is>
      </c>
      <c r="H176" s="19" t="inlineStr">
        <is>
          <t>mit.tax.die.res</t>
        </is>
      </c>
      <c r="J176" s="5">
        <f>INDEX(Mapping!$C$5:$C$20,MATCH($C176,Mapping!$A$5:$A$20,0))</f>
        <v/>
      </c>
      <c r="K176" s="5">
        <f>INDEX(Mapping!$D$5:$D$20,MATCH($C176,Mapping!$A$5:$A$20,0))</f>
        <v/>
      </c>
      <c r="L176" s="5">
        <f>INDEX(Mapping!$C$24:$C$31,MATCH($B176,Mapping!$A$24:$A$31,0))</f>
        <v/>
      </c>
      <c r="M176" s="5">
        <f>INDEX(Mapping!$D$24:$D$31,MATCH($B176,Mapping!$A$24:$A$31,0))</f>
        <v/>
      </c>
      <c r="N176" s="5">
        <f>$B176&amp;"."&amp;IF(INDEX(Mapping!$E$24:$E$31,MATCH($B176,Mapping!$A$24:$A$31,0))="sub",INDEX(Mapping!$F$5:$F$20,MATCH($C176,Mapping!$A$5:$A$20,0)),"all")</f>
        <v/>
      </c>
      <c r="O176" s="5">
        <f>INDEX(Mapping!$E$5:$E$20,MATCH($C176,Mapping!$A$5:$A$20,0))</f>
        <v/>
      </c>
      <c r="P176" s="5">
        <f>INDEX(Mapping!$G$24:$G$31,MATCH($B176,Mapping!$A$24:$A$31,0))</f>
        <v/>
      </c>
      <c r="Q176" s="22">
        <f>(INDEX(Prices_dom!$A$6:$CU$2000,MATCH(Settings!$C$4&amp;Settings!$C$7,Prices_dom!$A$6:$A$2000,0),MATCH("mit.rp."&amp;$N176,Prices_dom!$A$5:$CU$5,0))-INDEX(Prices_dom!$A$6:$CU$2000,MATCH(Settings!$C$4&amp;Settings!$C$7,Prices_dom!$A$6:$A$2000,0),MATCH("mit.sp."&amp;$N176,Prices_dom!$A$5:$CU$5,0)))/$P176</f>
        <v/>
      </c>
      <c r="R176" s="22">
        <f>INDEX(EF_GHG!$E$4:$E$1000,MATCH(Settings!$C$4&amp;"|"&amp;$B176&amp;"|"&amp;$O176,EF_GHG!$A$4:$A$1000,0))</f>
        <v/>
      </c>
      <c r="S176" s="22">
        <f>INDEX(Mapping!$G$5:$G$20,MATCH($C176,Mapping!$A$5:$A$20,0))</f>
        <v/>
      </c>
      <c r="T176" s="21" t="n"/>
      <c r="U176" s="21" t="n"/>
      <c r="V176" s="22">
        <f>Q176</f>
        <v/>
      </c>
      <c r="W176" s="22">
        <f>R176</f>
        <v/>
      </c>
      <c r="X176" s="22">
        <f>S176</f>
        <v/>
      </c>
      <c r="Y176" s="21" t="n"/>
      <c r="Z176" s="21" t="n"/>
      <c r="AA176" s="22">
        <f>Q176</f>
        <v/>
      </c>
      <c r="AB176" s="22">
        <f>R176</f>
        <v/>
      </c>
      <c r="AC176" s="22">
        <f>S176</f>
        <v/>
      </c>
      <c r="AD176" s="21" t="n"/>
      <c r="AE176" s="21" t="n"/>
      <c r="AF176" s="22">
        <f>Q176</f>
        <v/>
      </c>
      <c r="AG176" s="22">
        <f>R176</f>
        <v/>
      </c>
      <c r="AH176" s="22">
        <f>S176</f>
        <v/>
      </c>
      <c r="AI176" s="21" t="n"/>
      <c r="AJ176" s="21" t="n"/>
      <c r="AL176" s="23">
        <f>INDEX($Q176:$AJ176,1,(AL$4-1)*5+1)+AL$8*INDEX($Q176:$AJ176,1,(AL$4-1)*5+2)*INDEX($Q176:$AJ176,1,(AL$4-1)*5+3)</f>
        <v/>
      </c>
      <c r="AM176" s="22">
        <f>INDEX($Q176:$AJ176,1,(AM$4-1)*5+1)+AM$8*INDEX($Q176:$AJ176,1,(AM$4-1)*5+2)*INDEX($Q176:$AJ176,1,(AM$4-1)*5+3)</f>
        <v/>
      </c>
      <c r="AN176" s="22">
        <f>INDEX($Q176:$AJ176,1,(AN$4-1)*5+1)+AN$8*INDEX($Q176:$AJ176,1,(AN$4-1)*5+2)*INDEX($Q176:$AJ176,1,(AN$4-1)*5+3)</f>
        <v/>
      </c>
      <c r="AO176" s="22">
        <f>INDEX($Q176:$AJ176,1,(AO$4-1)*5+1)+AO$8*INDEX($Q176:$AJ176,1,(AO$4-1)*5+2)*INDEX($Q176:$AJ176,1,(AO$4-1)*5+3)</f>
        <v/>
      </c>
      <c r="AP176" s="22">
        <f>INDEX($Q176:$AJ176,1,(AP$4-1)*5+1)+AP$8*INDEX($Q176:$AJ176,1,(AP$4-1)*5+2)*INDEX($Q176:$AJ176,1,(AP$4-1)*5+3)</f>
        <v/>
      </c>
      <c r="AQ176" s="22">
        <f>INDEX($Q176:$AJ176,1,(AQ$4-1)*5+1)+AQ$8*INDEX($Q176:$AJ176,1,(AQ$4-1)*5+2)*INDEX($Q176:$AJ176,1,(AQ$4-1)*5+3)</f>
        <v/>
      </c>
      <c r="AR176" s="22">
        <f>INDEX($Q176:$AJ176,1,(AR$4-1)*5+1)+AR$8*INDEX($Q176:$AJ176,1,(AR$4-1)*5+2)*INDEX($Q176:$AJ176,1,(AR$4-1)*5+3)</f>
        <v/>
      </c>
      <c r="AS176" s="22">
        <f>INDEX($Q176:$AJ176,1,(AS$4-1)*5+1)+AS$8*INDEX($Q176:$AJ176,1,(AS$4-1)*5+2)*INDEX($Q176:$AJ176,1,(AS$4-1)*5+3)</f>
        <v/>
      </c>
      <c r="AT176" s="22">
        <f>INDEX($Q176:$AJ176,1,(AT$4-1)*5+1)+AT$8*INDEX($Q176:$AJ176,1,(AT$4-1)*5+2)*INDEX($Q176:$AJ176,1,(AT$4-1)*5+3)</f>
        <v/>
      </c>
      <c r="AU176" s="22">
        <f>INDEX($Q176:$AJ176,1,(AU$4-1)*5+1)+AU$8*INDEX($Q176:$AJ176,1,(AU$4-1)*5+2)*INDEX($Q176:$AJ176,1,(AU$4-1)*5+3)</f>
        <v/>
      </c>
      <c r="AV176" s="22">
        <f>INDEX($Q176:$AJ176,1,(AV$4-1)*5+1)+AV$8*INDEX($Q176:$AJ176,1,(AV$4-1)*5+2)*INDEX($Q176:$AJ176,1,(AV$4-1)*5+3)</f>
        <v/>
      </c>
      <c r="AW176" s="22">
        <f>INDEX($Q176:$AJ176,1,(AW$4-1)*5+1)+AW$8*INDEX($Q176:$AJ176,1,(AW$4-1)*5+2)*INDEX($Q176:$AJ176,1,(AW$4-1)*5+3)</f>
        <v/>
      </c>
      <c r="AX176" s="22">
        <f>INDEX($Q176:$AJ176,1,(AX$4-1)*5+1)+AX$8*INDEX($Q176:$AJ176,1,(AX$4-1)*5+2)*INDEX($Q176:$AJ176,1,(AX$4-1)*5+3)</f>
        <v/>
      </c>
      <c r="AY176" s="22">
        <f>INDEX($Q176:$AJ176,1,(AY$4-1)*5+1)+AY$8*INDEX($Q176:$AJ176,1,(AY$4-1)*5+2)*INDEX($Q176:$AJ176,1,(AY$4-1)*5+3)</f>
        <v/>
      </c>
      <c r="BA176" s="23">
        <f>INDEX($Q176:$AJ176,1,(BA$4-1)*5+1)+BA$8*INDEX($Q176:$AJ176,1,(BA$4-1)*5+2)*INDEX($Q176:$AJ176,1,(BA$4-1)*5+3)</f>
        <v/>
      </c>
      <c r="BB176" s="22">
        <f>INDEX($Q176:$AJ176,1,(BB$4-1)*5+1)+BB$8*INDEX($Q176:$AJ176,1,(BB$4-1)*5+2)*INDEX($Q176:$AJ176,1,(BB$4-1)*5+3)</f>
        <v/>
      </c>
      <c r="BC176" s="22">
        <f>INDEX($Q176:$AJ176,1,(BC$4-1)*5+1)+BC$8*INDEX($Q176:$AJ176,1,(BC$4-1)*5+2)*INDEX($Q176:$AJ176,1,(BC$4-1)*5+3)</f>
        <v/>
      </c>
      <c r="BD176" s="22">
        <f>INDEX($Q176:$AJ176,1,(BD$4-1)*5+1)+BD$8*INDEX($Q176:$AJ176,1,(BD$4-1)*5+2)*INDEX($Q176:$AJ176,1,(BD$4-1)*5+3)</f>
        <v/>
      </c>
      <c r="BE176" s="22">
        <f>INDEX($Q176:$AJ176,1,(BE$4-1)*5+1)+BE$8*INDEX($Q176:$AJ176,1,(BE$4-1)*5+2)*INDEX($Q176:$AJ176,1,(BE$4-1)*5+3)</f>
        <v/>
      </c>
      <c r="BF176" s="22">
        <f>INDEX($Q176:$AJ176,1,(BF$4-1)*5+1)+BF$8*INDEX($Q176:$AJ176,1,(BF$4-1)*5+2)*INDEX($Q176:$AJ176,1,(BF$4-1)*5+3)</f>
        <v/>
      </c>
      <c r="BG176" s="22">
        <f>INDEX($Q176:$AJ176,1,(BG$4-1)*5+1)+BG$8*INDEX($Q176:$AJ176,1,(BG$4-1)*5+2)*INDEX($Q176:$AJ176,1,(BG$4-1)*5+3)</f>
        <v/>
      </c>
      <c r="BH176" s="22">
        <f>INDEX($Q176:$AJ176,1,(BH$4-1)*5+1)+BH$8*INDEX($Q176:$AJ176,1,(BH$4-1)*5+2)*INDEX($Q176:$AJ176,1,(BH$4-1)*5+3)</f>
        <v/>
      </c>
      <c r="BI176" s="22">
        <f>INDEX($Q176:$AJ176,1,(BI$4-1)*5+1)+BI$8*INDEX($Q176:$AJ176,1,(BI$4-1)*5+2)*INDEX($Q176:$AJ176,1,(BI$4-1)*5+3)</f>
        <v/>
      </c>
      <c r="BJ176" s="22">
        <f>INDEX($Q176:$AJ176,1,(BJ$4-1)*5+1)+BJ$8*INDEX($Q176:$AJ176,1,(BJ$4-1)*5+2)*INDEX($Q176:$AJ176,1,(BJ$4-1)*5+3)</f>
        <v/>
      </c>
      <c r="BK176" s="22">
        <f>INDEX($Q176:$AJ176,1,(BK$4-1)*5+1)+BK$8*INDEX($Q176:$AJ176,1,(BK$4-1)*5+2)*INDEX($Q176:$AJ176,1,(BK$4-1)*5+3)</f>
        <v/>
      </c>
      <c r="BL176" s="22">
        <f>INDEX($Q176:$AJ176,1,(BL$4-1)*5+1)+BL$8*INDEX($Q176:$AJ176,1,(BL$4-1)*5+2)*INDEX($Q176:$AJ176,1,(BL$4-1)*5+3)</f>
        <v/>
      </c>
      <c r="BM176" s="22">
        <f>INDEX($Q176:$AJ176,1,(BM$4-1)*5+1)+BM$8*INDEX($Q176:$AJ176,1,(BM$4-1)*5+2)*INDEX($Q176:$AJ176,1,(BM$4-1)*5+3)</f>
        <v/>
      </c>
      <c r="BN176" s="22">
        <f>INDEX($Q176:$AJ176,1,(BN$4-1)*5+1)+BN$8*INDEX($Q176:$AJ176,1,(BN$4-1)*5+2)*INDEX($Q176:$AJ176,1,(BN$4-1)*5+3)</f>
        <v/>
      </c>
    </row>
    <row r="177">
      <c r="B177" s="5" t="inlineStr">
        <is>
          <t>lpg</t>
        </is>
      </c>
      <c r="C177" s="5" t="inlineStr">
        <is>
          <t>res</t>
        </is>
      </c>
      <c r="D177" s="5" t="inlineStr">
        <is>
          <t>Tax | Residential | LPG</t>
        </is>
      </c>
      <c r="E177" s="5" t="inlineStr">
        <is>
          <t>$/GJ</t>
        </is>
      </c>
      <c r="F177" s="5" t="inlineStr">
        <is>
          <t>Prices_dom, EF_GHG, Mapping</t>
        </is>
      </c>
      <c r="G177" s="19" t="inlineStr">
        <is>
          <t>mit.rp.lpg</t>
        </is>
      </c>
      <c r="H177" s="19" t="inlineStr">
        <is>
          <t>mit.tax.lpg.res</t>
        </is>
      </c>
      <c r="J177" s="5">
        <f>INDEX(Mapping!$C$5:$C$20,MATCH($C177,Mapping!$A$5:$A$20,0))</f>
        <v/>
      </c>
      <c r="K177" s="5">
        <f>INDEX(Mapping!$D$5:$D$20,MATCH($C177,Mapping!$A$5:$A$20,0))</f>
        <v/>
      </c>
      <c r="L177" s="5">
        <f>INDEX(Mapping!$C$24:$C$31,MATCH($B177,Mapping!$A$24:$A$31,0))</f>
        <v/>
      </c>
      <c r="M177" s="5">
        <f>INDEX(Mapping!$D$24:$D$31,MATCH($B177,Mapping!$A$24:$A$31,0))</f>
        <v/>
      </c>
      <c r="N177" s="5">
        <f>$B177&amp;"."&amp;IF(INDEX(Mapping!$E$24:$E$31,MATCH($B177,Mapping!$A$24:$A$31,0))="sub",INDEX(Mapping!$F$5:$F$20,MATCH($C177,Mapping!$A$5:$A$20,0)),"all")</f>
        <v/>
      </c>
      <c r="O177" s="5">
        <f>INDEX(Mapping!$E$5:$E$20,MATCH($C177,Mapping!$A$5:$A$20,0))</f>
        <v/>
      </c>
      <c r="P177" s="5">
        <f>INDEX(Mapping!$G$24:$G$31,MATCH($B177,Mapping!$A$24:$A$31,0))</f>
        <v/>
      </c>
      <c r="Q177" s="22">
        <f>(INDEX(Prices_dom!$A$6:$CU$2000,MATCH(Settings!$C$4&amp;Settings!$C$7,Prices_dom!$A$6:$A$2000,0),MATCH("mit.rp."&amp;$N177,Prices_dom!$A$5:$CU$5,0))-INDEX(Prices_dom!$A$6:$CU$2000,MATCH(Settings!$C$4&amp;Settings!$C$7,Prices_dom!$A$6:$A$2000,0),MATCH("mit.sp."&amp;$N177,Prices_dom!$A$5:$CU$5,0)))/$P177</f>
        <v/>
      </c>
      <c r="R177" s="22">
        <f>INDEX(EF_GHG!$E$4:$E$1000,MATCH(Settings!$C$4&amp;"|"&amp;$B177&amp;"|"&amp;$O177,EF_GHG!$A$4:$A$1000,0))</f>
        <v/>
      </c>
      <c r="S177" s="22">
        <f>INDEX(Mapping!$G$5:$G$20,MATCH($C177,Mapping!$A$5:$A$20,0))</f>
        <v/>
      </c>
      <c r="T177" s="21" t="n"/>
      <c r="U177" s="21" t="n"/>
      <c r="V177" s="22">
        <f>Q177</f>
        <v/>
      </c>
      <c r="W177" s="22">
        <f>R177</f>
        <v/>
      </c>
      <c r="X177" s="22">
        <f>S177</f>
        <v/>
      </c>
      <c r="Y177" s="21" t="n"/>
      <c r="Z177" s="21" t="n"/>
      <c r="AA177" s="22">
        <f>Q177</f>
        <v/>
      </c>
      <c r="AB177" s="22">
        <f>R177</f>
        <v/>
      </c>
      <c r="AC177" s="22">
        <f>S177</f>
        <v/>
      </c>
      <c r="AD177" s="21" t="n"/>
      <c r="AE177" s="21" t="n"/>
      <c r="AF177" s="22">
        <f>Q177</f>
        <v/>
      </c>
      <c r="AG177" s="22">
        <f>R177</f>
        <v/>
      </c>
      <c r="AH177" s="22">
        <f>S177</f>
        <v/>
      </c>
      <c r="AI177" s="21" t="n"/>
      <c r="AJ177" s="21" t="n"/>
      <c r="AL177" s="23">
        <f>INDEX($Q177:$AJ177,1,(AL$4-1)*5+1)+AL$8*INDEX($Q177:$AJ177,1,(AL$4-1)*5+2)*INDEX($Q177:$AJ177,1,(AL$4-1)*5+3)</f>
        <v/>
      </c>
      <c r="AM177" s="22">
        <f>INDEX($Q177:$AJ177,1,(AM$4-1)*5+1)+AM$8*INDEX($Q177:$AJ177,1,(AM$4-1)*5+2)*INDEX($Q177:$AJ177,1,(AM$4-1)*5+3)</f>
        <v/>
      </c>
      <c r="AN177" s="22">
        <f>INDEX($Q177:$AJ177,1,(AN$4-1)*5+1)+AN$8*INDEX($Q177:$AJ177,1,(AN$4-1)*5+2)*INDEX($Q177:$AJ177,1,(AN$4-1)*5+3)</f>
        <v/>
      </c>
      <c r="AO177" s="22">
        <f>INDEX($Q177:$AJ177,1,(AO$4-1)*5+1)+AO$8*INDEX($Q177:$AJ177,1,(AO$4-1)*5+2)*INDEX($Q177:$AJ177,1,(AO$4-1)*5+3)</f>
        <v/>
      </c>
      <c r="AP177" s="22">
        <f>INDEX($Q177:$AJ177,1,(AP$4-1)*5+1)+AP$8*INDEX($Q177:$AJ177,1,(AP$4-1)*5+2)*INDEX($Q177:$AJ177,1,(AP$4-1)*5+3)</f>
        <v/>
      </c>
      <c r="AQ177" s="22">
        <f>INDEX($Q177:$AJ177,1,(AQ$4-1)*5+1)+AQ$8*INDEX($Q177:$AJ177,1,(AQ$4-1)*5+2)*INDEX($Q177:$AJ177,1,(AQ$4-1)*5+3)</f>
        <v/>
      </c>
      <c r="AR177" s="22">
        <f>INDEX($Q177:$AJ177,1,(AR$4-1)*5+1)+AR$8*INDEX($Q177:$AJ177,1,(AR$4-1)*5+2)*INDEX($Q177:$AJ177,1,(AR$4-1)*5+3)</f>
        <v/>
      </c>
      <c r="AS177" s="22">
        <f>INDEX($Q177:$AJ177,1,(AS$4-1)*5+1)+AS$8*INDEX($Q177:$AJ177,1,(AS$4-1)*5+2)*INDEX($Q177:$AJ177,1,(AS$4-1)*5+3)</f>
        <v/>
      </c>
      <c r="AT177" s="22">
        <f>INDEX($Q177:$AJ177,1,(AT$4-1)*5+1)+AT$8*INDEX($Q177:$AJ177,1,(AT$4-1)*5+2)*INDEX($Q177:$AJ177,1,(AT$4-1)*5+3)</f>
        <v/>
      </c>
      <c r="AU177" s="22">
        <f>INDEX($Q177:$AJ177,1,(AU$4-1)*5+1)+AU$8*INDEX($Q177:$AJ177,1,(AU$4-1)*5+2)*INDEX($Q177:$AJ177,1,(AU$4-1)*5+3)</f>
        <v/>
      </c>
      <c r="AV177" s="22">
        <f>INDEX($Q177:$AJ177,1,(AV$4-1)*5+1)+AV$8*INDEX($Q177:$AJ177,1,(AV$4-1)*5+2)*INDEX($Q177:$AJ177,1,(AV$4-1)*5+3)</f>
        <v/>
      </c>
      <c r="AW177" s="22">
        <f>INDEX($Q177:$AJ177,1,(AW$4-1)*5+1)+AW$8*INDEX($Q177:$AJ177,1,(AW$4-1)*5+2)*INDEX($Q177:$AJ177,1,(AW$4-1)*5+3)</f>
        <v/>
      </c>
      <c r="AX177" s="22">
        <f>INDEX($Q177:$AJ177,1,(AX$4-1)*5+1)+AX$8*INDEX($Q177:$AJ177,1,(AX$4-1)*5+2)*INDEX($Q177:$AJ177,1,(AX$4-1)*5+3)</f>
        <v/>
      </c>
      <c r="AY177" s="22">
        <f>INDEX($Q177:$AJ177,1,(AY$4-1)*5+1)+AY$8*INDEX($Q177:$AJ177,1,(AY$4-1)*5+2)*INDEX($Q177:$AJ177,1,(AY$4-1)*5+3)</f>
        <v/>
      </c>
      <c r="BA177" s="23">
        <f>INDEX($Q177:$AJ177,1,(BA$4-1)*5+1)+BA$8*INDEX($Q177:$AJ177,1,(BA$4-1)*5+2)*INDEX($Q177:$AJ177,1,(BA$4-1)*5+3)</f>
        <v/>
      </c>
      <c r="BB177" s="22">
        <f>INDEX($Q177:$AJ177,1,(BB$4-1)*5+1)+BB$8*INDEX($Q177:$AJ177,1,(BB$4-1)*5+2)*INDEX($Q177:$AJ177,1,(BB$4-1)*5+3)</f>
        <v/>
      </c>
      <c r="BC177" s="22">
        <f>INDEX($Q177:$AJ177,1,(BC$4-1)*5+1)+BC$8*INDEX($Q177:$AJ177,1,(BC$4-1)*5+2)*INDEX($Q177:$AJ177,1,(BC$4-1)*5+3)</f>
        <v/>
      </c>
      <c r="BD177" s="22">
        <f>INDEX($Q177:$AJ177,1,(BD$4-1)*5+1)+BD$8*INDEX($Q177:$AJ177,1,(BD$4-1)*5+2)*INDEX($Q177:$AJ177,1,(BD$4-1)*5+3)</f>
        <v/>
      </c>
      <c r="BE177" s="22">
        <f>INDEX($Q177:$AJ177,1,(BE$4-1)*5+1)+BE$8*INDEX($Q177:$AJ177,1,(BE$4-1)*5+2)*INDEX($Q177:$AJ177,1,(BE$4-1)*5+3)</f>
        <v/>
      </c>
      <c r="BF177" s="22">
        <f>INDEX($Q177:$AJ177,1,(BF$4-1)*5+1)+BF$8*INDEX($Q177:$AJ177,1,(BF$4-1)*5+2)*INDEX($Q177:$AJ177,1,(BF$4-1)*5+3)</f>
        <v/>
      </c>
      <c r="BG177" s="22">
        <f>INDEX($Q177:$AJ177,1,(BG$4-1)*5+1)+BG$8*INDEX($Q177:$AJ177,1,(BG$4-1)*5+2)*INDEX($Q177:$AJ177,1,(BG$4-1)*5+3)</f>
        <v/>
      </c>
      <c r="BH177" s="22">
        <f>INDEX($Q177:$AJ177,1,(BH$4-1)*5+1)+BH$8*INDEX($Q177:$AJ177,1,(BH$4-1)*5+2)*INDEX($Q177:$AJ177,1,(BH$4-1)*5+3)</f>
        <v/>
      </c>
      <c r="BI177" s="22">
        <f>INDEX($Q177:$AJ177,1,(BI$4-1)*5+1)+BI$8*INDEX($Q177:$AJ177,1,(BI$4-1)*5+2)*INDEX($Q177:$AJ177,1,(BI$4-1)*5+3)</f>
        <v/>
      </c>
      <c r="BJ177" s="22">
        <f>INDEX($Q177:$AJ177,1,(BJ$4-1)*5+1)+BJ$8*INDEX($Q177:$AJ177,1,(BJ$4-1)*5+2)*INDEX($Q177:$AJ177,1,(BJ$4-1)*5+3)</f>
        <v/>
      </c>
      <c r="BK177" s="22">
        <f>INDEX($Q177:$AJ177,1,(BK$4-1)*5+1)+BK$8*INDEX($Q177:$AJ177,1,(BK$4-1)*5+2)*INDEX($Q177:$AJ177,1,(BK$4-1)*5+3)</f>
        <v/>
      </c>
      <c r="BL177" s="22">
        <f>INDEX($Q177:$AJ177,1,(BL$4-1)*5+1)+BL$8*INDEX($Q177:$AJ177,1,(BL$4-1)*5+2)*INDEX($Q177:$AJ177,1,(BL$4-1)*5+3)</f>
        <v/>
      </c>
      <c r="BM177" s="22">
        <f>INDEX($Q177:$AJ177,1,(BM$4-1)*5+1)+BM$8*INDEX($Q177:$AJ177,1,(BM$4-1)*5+2)*INDEX($Q177:$AJ177,1,(BM$4-1)*5+3)</f>
        <v/>
      </c>
      <c r="BN177" s="22">
        <f>INDEX($Q177:$AJ177,1,(BN$4-1)*5+1)+BN$8*INDEX($Q177:$AJ177,1,(BN$4-1)*5+2)*INDEX($Q177:$AJ177,1,(BN$4-1)*5+3)</f>
        <v/>
      </c>
    </row>
    <row r="178">
      <c r="B178" s="5" t="inlineStr">
        <is>
          <t>ker</t>
        </is>
      </c>
      <c r="C178" s="5" t="inlineStr">
        <is>
          <t>res</t>
        </is>
      </c>
      <c r="D178" s="5" t="inlineStr">
        <is>
          <t>Tax | Residential | Kerosene</t>
        </is>
      </c>
      <c r="E178" s="5" t="inlineStr">
        <is>
          <t>$/GJ</t>
        </is>
      </c>
      <c r="F178" s="5" t="inlineStr">
        <is>
          <t>Prices_dom, EF_GHG, Mapping</t>
        </is>
      </c>
      <c r="G178" s="19" t="inlineStr">
        <is>
          <t>mit.rp.ker</t>
        </is>
      </c>
      <c r="H178" s="19" t="inlineStr">
        <is>
          <t>mit.tax.ker.res</t>
        </is>
      </c>
      <c r="J178" s="5">
        <f>INDEX(Mapping!$C$5:$C$20,MATCH($C178,Mapping!$A$5:$A$20,0))</f>
        <v/>
      </c>
      <c r="K178" s="5">
        <f>INDEX(Mapping!$D$5:$D$20,MATCH($C178,Mapping!$A$5:$A$20,0))</f>
        <v/>
      </c>
      <c r="L178" s="5">
        <f>INDEX(Mapping!$C$24:$C$31,MATCH($B178,Mapping!$A$24:$A$31,0))</f>
        <v/>
      </c>
      <c r="M178" s="5">
        <f>INDEX(Mapping!$D$24:$D$31,MATCH($B178,Mapping!$A$24:$A$31,0))</f>
        <v/>
      </c>
      <c r="N178" s="5">
        <f>$B178&amp;"."&amp;IF(INDEX(Mapping!$E$24:$E$31,MATCH($B178,Mapping!$A$24:$A$31,0))="sub",INDEX(Mapping!$F$5:$F$20,MATCH($C178,Mapping!$A$5:$A$20,0)),"all")</f>
        <v/>
      </c>
      <c r="O178" s="5">
        <f>INDEX(Mapping!$E$5:$E$20,MATCH($C178,Mapping!$A$5:$A$20,0))</f>
        <v/>
      </c>
      <c r="P178" s="5">
        <f>INDEX(Mapping!$G$24:$G$31,MATCH($B178,Mapping!$A$24:$A$31,0))</f>
        <v/>
      </c>
      <c r="Q178" s="22">
        <f>(INDEX(Prices_dom!$A$6:$CU$2000,MATCH(Settings!$C$4&amp;Settings!$C$7,Prices_dom!$A$6:$A$2000,0),MATCH("mit.rp."&amp;$N178,Prices_dom!$A$5:$CU$5,0))-INDEX(Prices_dom!$A$6:$CU$2000,MATCH(Settings!$C$4&amp;Settings!$C$7,Prices_dom!$A$6:$A$2000,0),MATCH("mit.sp."&amp;$N178,Prices_dom!$A$5:$CU$5,0)))/$P178</f>
        <v/>
      </c>
      <c r="R178" s="22">
        <f>INDEX(EF_GHG!$E$4:$E$1000,MATCH(Settings!$C$4&amp;"|"&amp;$B178&amp;"|"&amp;$O178,EF_GHG!$A$4:$A$1000,0))</f>
        <v/>
      </c>
      <c r="S178" s="22">
        <f>INDEX(Mapping!$G$5:$G$20,MATCH($C178,Mapping!$A$5:$A$20,0))</f>
        <v/>
      </c>
      <c r="T178" s="21" t="n"/>
      <c r="U178" s="21" t="n"/>
      <c r="V178" s="22">
        <f>Q178</f>
        <v/>
      </c>
      <c r="W178" s="22">
        <f>R178</f>
        <v/>
      </c>
      <c r="X178" s="22">
        <f>S178</f>
        <v/>
      </c>
      <c r="Y178" s="21" t="n"/>
      <c r="Z178" s="21" t="n"/>
      <c r="AA178" s="22">
        <f>Q178</f>
        <v/>
      </c>
      <c r="AB178" s="22">
        <f>R178</f>
        <v/>
      </c>
      <c r="AC178" s="22">
        <f>S178</f>
        <v/>
      </c>
      <c r="AD178" s="21" t="n"/>
      <c r="AE178" s="21" t="n"/>
      <c r="AF178" s="22">
        <f>Q178</f>
        <v/>
      </c>
      <c r="AG178" s="22">
        <f>R178</f>
        <v/>
      </c>
      <c r="AH178" s="22">
        <f>S178</f>
        <v/>
      </c>
      <c r="AI178" s="21" t="n"/>
      <c r="AJ178" s="21" t="n"/>
      <c r="AL178" s="23">
        <f>INDEX($Q178:$AJ178,1,(AL$4-1)*5+1)+AL$8*INDEX($Q178:$AJ178,1,(AL$4-1)*5+2)*INDEX($Q178:$AJ178,1,(AL$4-1)*5+3)</f>
        <v/>
      </c>
      <c r="AM178" s="22">
        <f>INDEX($Q178:$AJ178,1,(AM$4-1)*5+1)+AM$8*INDEX($Q178:$AJ178,1,(AM$4-1)*5+2)*INDEX($Q178:$AJ178,1,(AM$4-1)*5+3)</f>
        <v/>
      </c>
      <c r="AN178" s="22">
        <f>INDEX($Q178:$AJ178,1,(AN$4-1)*5+1)+AN$8*INDEX($Q178:$AJ178,1,(AN$4-1)*5+2)*INDEX($Q178:$AJ178,1,(AN$4-1)*5+3)</f>
        <v/>
      </c>
      <c r="AO178" s="22">
        <f>INDEX($Q178:$AJ178,1,(AO$4-1)*5+1)+AO$8*INDEX($Q178:$AJ178,1,(AO$4-1)*5+2)*INDEX($Q178:$AJ178,1,(AO$4-1)*5+3)</f>
        <v/>
      </c>
      <c r="AP178" s="22">
        <f>INDEX($Q178:$AJ178,1,(AP$4-1)*5+1)+AP$8*INDEX($Q178:$AJ178,1,(AP$4-1)*5+2)*INDEX($Q178:$AJ178,1,(AP$4-1)*5+3)</f>
        <v/>
      </c>
      <c r="AQ178" s="22">
        <f>INDEX($Q178:$AJ178,1,(AQ$4-1)*5+1)+AQ$8*INDEX($Q178:$AJ178,1,(AQ$4-1)*5+2)*INDEX($Q178:$AJ178,1,(AQ$4-1)*5+3)</f>
        <v/>
      </c>
      <c r="AR178" s="22">
        <f>INDEX($Q178:$AJ178,1,(AR$4-1)*5+1)+AR$8*INDEX($Q178:$AJ178,1,(AR$4-1)*5+2)*INDEX($Q178:$AJ178,1,(AR$4-1)*5+3)</f>
        <v/>
      </c>
      <c r="AS178" s="22">
        <f>INDEX($Q178:$AJ178,1,(AS$4-1)*5+1)+AS$8*INDEX($Q178:$AJ178,1,(AS$4-1)*5+2)*INDEX($Q178:$AJ178,1,(AS$4-1)*5+3)</f>
        <v/>
      </c>
      <c r="AT178" s="22">
        <f>INDEX($Q178:$AJ178,1,(AT$4-1)*5+1)+AT$8*INDEX($Q178:$AJ178,1,(AT$4-1)*5+2)*INDEX($Q178:$AJ178,1,(AT$4-1)*5+3)</f>
        <v/>
      </c>
      <c r="AU178" s="22">
        <f>INDEX($Q178:$AJ178,1,(AU$4-1)*5+1)+AU$8*INDEX($Q178:$AJ178,1,(AU$4-1)*5+2)*INDEX($Q178:$AJ178,1,(AU$4-1)*5+3)</f>
        <v/>
      </c>
      <c r="AV178" s="22">
        <f>INDEX($Q178:$AJ178,1,(AV$4-1)*5+1)+AV$8*INDEX($Q178:$AJ178,1,(AV$4-1)*5+2)*INDEX($Q178:$AJ178,1,(AV$4-1)*5+3)</f>
        <v/>
      </c>
      <c r="AW178" s="22">
        <f>INDEX($Q178:$AJ178,1,(AW$4-1)*5+1)+AW$8*INDEX($Q178:$AJ178,1,(AW$4-1)*5+2)*INDEX($Q178:$AJ178,1,(AW$4-1)*5+3)</f>
        <v/>
      </c>
      <c r="AX178" s="22">
        <f>INDEX($Q178:$AJ178,1,(AX$4-1)*5+1)+AX$8*INDEX($Q178:$AJ178,1,(AX$4-1)*5+2)*INDEX($Q178:$AJ178,1,(AX$4-1)*5+3)</f>
        <v/>
      </c>
      <c r="AY178" s="22">
        <f>INDEX($Q178:$AJ178,1,(AY$4-1)*5+1)+AY$8*INDEX($Q178:$AJ178,1,(AY$4-1)*5+2)*INDEX($Q178:$AJ178,1,(AY$4-1)*5+3)</f>
        <v/>
      </c>
      <c r="BA178" s="23">
        <f>INDEX($Q178:$AJ178,1,(BA$4-1)*5+1)+BA$8*INDEX($Q178:$AJ178,1,(BA$4-1)*5+2)*INDEX($Q178:$AJ178,1,(BA$4-1)*5+3)</f>
        <v/>
      </c>
      <c r="BB178" s="22">
        <f>INDEX($Q178:$AJ178,1,(BB$4-1)*5+1)+BB$8*INDEX($Q178:$AJ178,1,(BB$4-1)*5+2)*INDEX($Q178:$AJ178,1,(BB$4-1)*5+3)</f>
        <v/>
      </c>
      <c r="BC178" s="22">
        <f>INDEX($Q178:$AJ178,1,(BC$4-1)*5+1)+BC$8*INDEX($Q178:$AJ178,1,(BC$4-1)*5+2)*INDEX($Q178:$AJ178,1,(BC$4-1)*5+3)</f>
        <v/>
      </c>
      <c r="BD178" s="22">
        <f>INDEX($Q178:$AJ178,1,(BD$4-1)*5+1)+BD$8*INDEX($Q178:$AJ178,1,(BD$4-1)*5+2)*INDEX($Q178:$AJ178,1,(BD$4-1)*5+3)</f>
        <v/>
      </c>
      <c r="BE178" s="22">
        <f>INDEX($Q178:$AJ178,1,(BE$4-1)*5+1)+BE$8*INDEX($Q178:$AJ178,1,(BE$4-1)*5+2)*INDEX($Q178:$AJ178,1,(BE$4-1)*5+3)</f>
        <v/>
      </c>
      <c r="BF178" s="22">
        <f>INDEX($Q178:$AJ178,1,(BF$4-1)*5+1)+BF$8*INDEX($Q178:$AJ178,1,(BF$4-1)*5+2)*INDEX($Q178:$AJ178,1,(BF$4-1)*5+3)</f>
        <v/>
      </c>
      <c r="BG178" s="22">
        <f>INDEX($Q178:$AJ178,1,(BG$4-1)*5+1)+BG$8*INDEX($Q178:$AJ178,1,(BG$4-1)*5+2)*INDEX($Q178:$AJ178,1,(BG$4-1)*5+3)</f>
        <v/>
      </c>
      <c r="BH178" s="22">
        <f>INDEX($Q178:$AJ178,1,(BH$4-1)*5+1)+BH$8*INDEX($Q178:$AJ178,1,(BH$4-1)*5+2)*INDEX($Q178:$AJ178,1,(BH$4-1)*5+3)</f>
        <v/>
      </c>
      <c r="BI178" s="22">
        <f>INDEX($Q178:$AJ178,1,(BI$4-1)*5+1)+BI$8*INDEX($Q178:$AJ178,1,(BI$4-1)*5+2)*INDEX($Q178:$AJ178,1,(BI$4-1)*5+3)</f>
        <v/>
      </c>
      <c r="BJ178" s="22">
        <f>INDEX($Q178:$AJ178,1,(BJ$4-1)*5+1)+BJ$8*INDEX($Q178:$AJ178,1,(BJ$4-1)*5+2)*INDEX($Q178:$AJ178,1,(BJ$4-1)*5+3)</f>
        <v/>
      </c>
      <c r="BK178" s="22">
        <f>INDEX($Q178:$AJ178,1,(BK$4-1)*5+1)+BK$8*INDEX($Q178:$AJ178,1,(BK$4-1)*5+2)*INDEX($Q178:$AJ178,1,(BK$4-1)*5+3)</f>
        <v/>
      </c>
      <c r="BL178" s="22">
        <f>INDEX($Q178:$AJ178,1,(BL$4-1)*5+1)+BL$8*INDEX($Q178:$AJ178,1,(BL$4-1)*5+2)*INDEX($Q178:$AJ178,1,(BL$4-1)*5+3)</f>
        <v/>
      </c>
      <c r="BM178" s="22">
        <f>INDEX($Q178:$AJ178,1,(BM$4-1)*5+1)+BM$8*INDEX($Q178:$AJ178,1,(BM$4-1)*5+2)*INDEX($Q178:$AJ178,1,(BM$4-1)*5+3)</f>
        <v/>
      </c>
      <c r="BN178" s="22">
        <f>INDEX($Q178:$AJ178,1,(BN$4-1)*5+1)+BN$8*INDEX($Q178:$AJ178,1,(BN$4-1)*5+2)*INDEX($Q178:$AJ178,1,(BN$4-1)*5+3)</f>
        <v/>
      </c>
    </row>
    <row r="179">
      <c r="B179" s="5" t="inlineStr">
        <is>
          <t>oop</t>
        </is>
      </c>
      <c r="C179" s="5" t="inlineStr">
        <is>
          <t>res</t>
        </is>
      </c>
      <c r="D179" s="5" t="inlineStr">
        <is>
          <t>Tax | Residential | Other oil products</t>
        </is>
      </c>
      <c r="E179" s="5" t="inlineStr">
        <is>
          <t>$/GJ</t>
        </is>
      </c>
      <c r="F179" s="5" t="inlineStr">
        <is>
          <t>Prices_dom, EF_GHG, Mapping</t>
        </is>
      </c>
      <c r="G179" s="19" t="inlineStr">
        <is>
          <t>mit.rp.oop</t>
        </is>
      </c>
      <c r="H179" s="19" t="inlineStr">
        <is>
          <t>mit.tax.oop.res</t>
        </is>
      </c>
      <c r="J179" s="5">
        <f>INDEX(Mapping!$C$5:$C$20,MATCH($C179,Mapping!$A$5:$A$20,0))</f>
        <v/>
      </c>
      <c r="K179" s="5">
        <f>INDEX(Mapping!$D$5:$D$20,MATCH($C179,Mapping!$A$5:$A$20,0))</f>
        <v/>
      </c>
      <c r="L179" s="5">
        <f>INDEX(Mapping!$C$24:$C$31,MATCH($B179,Mapping!$A$24:$A$31,0))</f>
        <v/>
      </c>
      <c r="M179" s="5">
        <f>INDEX(Mapping!$D$24:$D$31,MATCH($B179,Mapping!$A$24:$A$31,0))</f>
        <v/>
      </c>
      <c r="N179" s="5">
        <f>$B179&amp;"."&amp;IF(INDEX(Mapping!$E$24:$E$31,MATCH($B179,Mapping!$A$24:$A$31,0))="sub",INDEX(Mapping!$F$5:$F$20,MATCH($C179,Mapping!$A$5:$A$20,0)),"all")</f>
        <v/>
      </c>
      <c r="O179" s="5">
        <f>INDEX(Mapping!$E$5:$E$20,MATCH($C179,Mapping!$A$5:$A$20,0))</f>
        <v/>
      </c>
      <c r="P179" s="5">
        <f>INDEX(Mapping!$G$24:$G$31,MATCH($B179,Mapping!$A$24:$A$31,0))</f>
        <v/>
      </c>
      <c r="Q179" s="22">
        <f>(INDEX(Prices_dom!$A$6:$CU$2000,MATCH(Settings!$C$4&amp;Settings!$C$7,Prices_dom!$A$6:$A$2000,0),MATCH("mit.rp."&amp;$N179,Prices_dom!$A$5:$CU$5,0))-INDEX(Prices_dom!$A$6:$CU$2000,MATCH(Settings!$C$4&amp;Settings!$C$7,Prices_dom!$A$6:$A$2000,0),MATCH("mit.sp."&amp;$N179,Prices_dom!$A$5:$CU$5,0)))/$P179</f>
        <v/>
      </c>
      <c r="R179" s="22">
        <f>INDEX(EF_GHG!$E$4:$E$1000,MATCH(Settings!$C$4&amp;"|"&amp;$B179&amp;"|"&amp;$O179,EF_GHG!$A$4:$A$1000,0))</f>
        <v/>
      </c>
      <c r="S179" s="22">
        <f>INDEX(Mapping!$G$5:$G$20,MATCH($C179,Mapping!$A$5:$A$20,0))</f>
        <v/>
      </c>
      <c r="T179" s="21" t="n"/>
      <c r="U179" s="21" t="n"/>
      <c r="V179" s="22">
        <f>Q179</f>
        <v/>
      </c>
      <c r="W179" s="22">
        <f>R179</f>
        <v/>
      </c>
      <c r="X179" s="22">
        <f>S179</f>
        <v/>
      </c>
      <c r="Y179" s="21" t="n"/>
      <c r="Z179" s="21" t="n"/>
      <c r="AA179" s="22">
        <f>Q179</f>
        <v/>
      </c>
      <c r="AB179" s="22">
        <f>R179</f>
        <v/>
      </c>
      <c r="AC179" s="22">
        <f>S179</f>
        <v/>
      </c>
      <c r="AD179" s="21" t="n"/>
      <c r="AE179" s="21" t="n"/>
      <c r="AF179" s="22">
        <f>Q179</f>
        <v/>
      </c>
      <c r="AG179" s="22">
        <f>R179</f>
        <v/>
      </c>
      <c r="AH179" s="22">
        <f>S179</f>
        <v/>
      </c>
      <c r="AI179" s="21" t="n"/>
      <c r="AJ179" s="21" t="n"/>
      <c r="AL179" s="23">
        <f>INDEX($Q179:$AJ179,1,(AL$4-1)*5+1)+AL$8*INDEX($Q179:$AJ179,1,(AL$4-1)*5+2)*INDEX($Q179:$AJ179,1,(AL$4-1)*5+3)</f>
        <v/>
      </c>
      <c r="AM179" s="22">
        <f>INDEX($Q179:$AJ179,1,(AM$4-1)*5+1)+AM$8*INDEX($Q179:$AJ179,1,(AM$4-1)*5+2)*INDEX($Q179:$AJ179,1,(AM$4-1)*5+3)</f>
        <v/>
      </c>
      <c r="AN179" s="22">
        <f>INDEX($Q179:$AJ179,1,(AN$4-1)*5+1)+AN$8*INDEX($Q179:$AJ179,1,(AN$4-1)*5+2)*INDEX($Q179:$AJ179,1,(AN$4-1)*5+3)</f>
        <v/>
      </c>
      <c r="AO179" s="22">
        <f>INDEX($Q179:$AJ179,1,(AO$4-1)*5+1)+AO$8*INDEX($Q179:$AJ179,1,(AO$4-1)*5+2)*INDEX($Q179:$AJ179,1,(AO$4-1)*5+3)</f>
        <v/>
      </c>
      <c r="AP179" s="22">
        <f>INDEX($Q179:$AJ179,1,(AP$4-1)*5+1)+AP$8*INDEX($Q179:$AJ179,1,(AP$4-1)*5+2)*INDEX($Q179:$AJ179,1,(AP$4-1)*5+3)</f>
        <v/>
      </c>
      <c r="AQ179" s="22">
        <f>INDEX($Q179:$AJ179,1,(AQ$4-1)*5+1)+AQ$8*INDEX($Q179:$AJ179,1,(AQ$4-1)*5+2)*INDEX($Q179:$AJ179,1,(AQ$4-1)*5+3)</f>
        <v/>
      </c>
      <c r="AR179" s="22">
        <f>INDEX($Q179:$AJ179,1,(AR$4-1)*5+1)+AR$8*INDEX($Q179:$AJ179,1,(AR$4-1)*5+2)*INDEX($Q179:$AJ179,1,(AR$4-1)*5+3)</f>
        <v/>
      </c>
      <c r="AS179" s="22">
        <f>INDEX($Q179:$AJ179,1,(AS$4-1)*5+1)+AS$8*INDEX($Q179:$AJ179,1,(AS$4-1)*5+2)*INDEX($Q179:$AJ179,1,(AS$4-1)*5+3)</f>
        <v/>
      </c>
      <c r="AT179" s="22">
        <f>INDEX($Q179:$AJ179,1,(AT$4-1)*5+1)+AT$8*INDEX($Q179:$AJ179,1,(AT$4-1)*5+2)*INDEX($Q179:$AJ179,1,(AT$4-1)*5+3)</f>
        <v/>
      </c>
      <c r="AU179" s="22">
        <f>INDEX($Q179:$AJ179,1,(AU$4-1)*5+1)+AU$8*INDEX($Q179:$AJ179,1,(AU$4-1)*5+2)*INDEX($Q179:$AJ179,1,(AU$4-1)*5+3)</f>
        <v/>
      </c>
      <c r="AV179" s="22">
        <f>INDEX($Q179:$AJ179,1,(AV$4-1)*5+1)+AV$8*INDEX($Q179:$AJ179,1,(AV$4-1)*5+2)*INDEX($Q179:$AJ179,1,(AV$4-1)*5+3)</f>
        <v/>
      </c>
      <c r="AW179" s="22">
        <f>INDEX($Q179:$AJ179,1,(AW$4-1)*5+1)+AW$8*INDEX($Q179:$AJ179,1,(AW$4-1)*5+2)*INDEX($Q179:$AJ179,1,(AW$4-1)*5+3)</f>
        <v/>
      </c>
      <c r="AX179" s="22">
        <f>INDEX($Q179:$AJ179,1,(AX$4-1)*5+1)+AX$8*INDEX($Q179:$AJ179,1,(AX$4-1)*5+2)*INDEX($Q179:$AJ179,1,(AX$4-1)*5+3)</f>
        <v/>
      </c>
      <c r="AY179" s="22">
        <f>INDEX($Q179:$AJ179,1,(AY$4-1)*5+1)+AY$8*INDEX($Q179:$AJ179,1,(AY$4-1)*5+2)*INDEX($Q179:$AJ179,1,(AY$4-1)*5+3)</f>
        <v/>
      </c>
      <c r="BA179" s="23">
        <f>INDEX($Q179:$AJ179,1,(BA$4-1)*5+1)+BA$8*INDEX($Q179:$AJ179,1,(BA$4-1)*5+2)*INDEX($Q179:$AJ179,1,(BA$4-1)*5+3)</f>
        <v/>
      </c>
      <c r="BB179" s="22">
        <f>INDEX($Q179:$AJ179,1,(BB$4-1)*5+1)+BB$8*INDEX($Q179:$AJ179,1,(BB$4-1)*5+2)*INDEX($Q179:$AJ179,1,(BB$4-1)*5+3)</f>
        <v/>
      </c>
      <c r="BC179" s="22">
        <f>INDEX($Q179:$AJ179,1,(BC$4-1)*5+1)+BC$8*INDEX($Q179:$AJ179,1,(BC$4-1)*5+2)*INDEX($Q179:$AJ179,1,(BC$4-1)*5+3)</f>
        <v/>
      </c>
      <c r="BD179" s="22">
        <f>INDEX($Q179:$AJ179,1,(BD$4-1)*5+1)+BD$8*INDEX($Q179:$AJ179,1,(BD$4-1)*5+2)*INDEX($Q179:$AJ179,1,(BD$4-1)*5+3)</f>
        <v/>
      </c>
      <c r="BE179" s="22">
        <f>INDEX($Q179:$AJ179,1,(BE$4-1)*5+1)+BE$8*INDEX($Q179:$AJ179,1,(BE$4-1)*5+2)*INDEX($Q179:$AJ179,1,(BE$4-1)*5+3)</f>
        <v/>
      </c>
      <c r="BF179" s="22">
        <f>INDEX($Q179:$AJ179,1,(BF$4-1)*5+1)+BF$8*INDEX($Q179:$AJ179,1,(BF$4-1)*5+2)*INDEX($Q179:$AJ179,1,(BF$4-1)*5+3)</f>
        <v/>
      </c>
      <c r="BG179" s="22">
        <f>INDEX($Q179:$AJ179,1,(BG$4-1)*5+1)+BG$8*INDEX($Q179:$AJ179,1,(BG$4-1)*5+2)*INDEX($Q179:$AJ179,1,(BG$4-1)*5+3)</f>
        <v/>
      </c>
      <c r="BH179" s="22">
        <f>INDEX($Q179:$AJ179,1,(BH$4-1)*5+1)+BH$8*INDEX($Q179:$AJ179,1,(BH$4-1)*5+2)*INDEX($Q179:$AJ179,1,(BH$4-1)*5+3)</f>
        <v/>
      </c>
      <c r="BI179" s="22">
        <f>INDEX($Q179:$AJ179,1,(BI$4-1)*5+1)+BI$8*INDEX($Q179:$AJ179,1,(BI$4-1)*5+2)*INDEX($Q179:$AJ179,1,(BI$4-1)*5+3)</f>
        <v/>
      </c>
      <c r="BJ179" s="22">
        <f>INDEX($Q179:$AJ179,1,(BJ$4-1)*5+1)+BJ$8*INDEX($Q179:$AJ179,1,(BJ$4-1)*5+2)*INDEX($Q179:$AJ179,1,(BJ$4-1)*5+3)</f>
        <v/>
      </c>
      <c r="BK179" s="22">
        <f>INDEX($Q179:$AJ179,1,(BK$4-1)*5+1)+BK$8*INDEX($Q179:$AJ179,1,(BK$4-1)*5+2)*INDEX($Q179:$AJ179,1,(BK$4-1)*5+3)</f>
        <v/>
      </c>
      <c r="BL179" s="22">
        <f>INDEX($Q179:$AJ179,1,(BL$4-1)*5+1)+BL$8*INDEX($Q179:$AJ179,1,(BL$4-1)*5+2)*INDEX($Q179:$AJ179,1,(BL$4-1)*5+3)</f>
        <v/>
      </c>
      <c r="BM179" s="22">
        <f>INDEX($Q179:$AJ179,1,(BM$4-1)*5+1)+BM$8*INDEX($Q179:$AJ179,1,(BM$4-1)*5+2)*INDEX($Q179:$AJ179,1,(BM$4-1)*5+3)</f>
        <v/>
      </c>
      <c r="BN179" s="22">
        <f>INDEX($Q179:$AJ179,1,(BN$4-1)*5+1)+BN$8*INDEX($Q179:$AJ179,1,(BN$4-1)*5+2)*INDEX($Q179:$AJ179,1,(BN$4-1)*5+3)</f>
        <v/>
      </c>
    </row>
    <row r="180">
      <c r="B180" s="5" t="inlineStr">
        <is>
          <t>bio</t>
        </is>
      </c>
      <c r="C180" s="5" t="inlineStr">
        <is>
          <t>res</t>
        </is>
      </c>
      <c r="D180" s="5" t="inlineStr">
        <is>
          <t>Tax | Residential | Biomass</t>
        </is>
      </c>
      <c r="E180" s="5" t="inlineStr">
        <is>
          <t>$/GJ</t>
        </is>
      </c>
      <c r="F180" s="5" t="inlineStr">
        <is>
          <t>Prices_dom, EF_GHG, Mapping</t>
        </is>
      </c>
      <c r="G180" s="19" t="inlineStr">
        <is>
          <t>mit.rp.bio</t>
        </is>
      </c>
      <c r="H180" s="19" t="inlineStr">
        <is>
          <t>mit.tax.bio.res</t>
        </is>
      </c>
      <c r="J180" s="5">
        <f>INDEX(Mapping!$C$5:$C$20,MATCH($C180,Mapping!$A$5:$A$20,0))</f>
        <v/>
      </c>
      <c r="K180" s="5">
        <f>INDEX(Mapping!$D$5:$D$20,MATCH($C180,Mapping!$A$5:$A$20,0))</f>
        <v/>
      </c>
      <c r="L180" s="5">
        <f>INDEX(Mapping!$C$24:$C$31,MATCH($B180,Mapping!$A$24:$A$31,0))</f>
        <v/>
      </c>
      <c r="M180" s="5">
        <f>INDEX(Mapping!$D$24:$D$31,MATCH($B180,Mapping!$A$24:$A$31,0))</f>
        <v/>
      </c>
      <c r="N180" s="5">
        <f>$B180&amp;"."&amp;IF(INDEX(Mapping!$E$24:$E$31,MATCH($B180,Mapping!$A$24:$A$31,0))="sub",INDEX(Mapping!$F$5:$F$20,MATCH($C180,Mapping!$A$5:$A$20,0)),"all")</f>
        <v/>
      </c>
      <c r="O180" s="5">
        <f>INDEX(Mapping!$E$5:$E$20,MATCH($C180,Mapping!$A$5:$A$20,0))</f>
        <v/>
      </c>
      <c r="P180" s="5">
        <f>INDEX(Mapping!$G$24:$G$31,MATCH($B180,Mapping!$A$24:$A$31,0))</f>
        <v/>
      </c>
      <c r="Q180" s="22">
        <f>(INDEX(Prices_dom!$A$6:$CU$2000,MATCH(Settings!$C$4&amp;Settings!$C$7,Prices_dom!$A$6:$A$2000,0),MATCH("mit.rp."&amp;$N180,Prices_dom!$A$5:$CU$5,0))-INDEX(Prices_dom!$A$6:$CU$2000,MATCH(Settings!$C$4&amp;Settings!$C$7,Prices_dom!$A$6:$A$2000,0),MATCH("mit.sp."&amp;$N180,Prices_dom!$A$5:$CU$5,0)))/$P180</f>
        <v/>
      </c>
      <c r="R180" s="22">
        <f>INDEX(EF_GHG!$E$4:$E$1000,MATCH(Settings!$C$4&amp;"|"&amp;$B180&amp;"|"&amp;$O180,EF_GHG!$A$4:$A$1000,0))</f>
        <v/>
      </c>
      <c r="S180" s="22">
        <f>INDEX(Mapping!$G$5:$G$20,MATCH($C180,Mapping!$A$5:$A$20,0))</f>
        <v/>
      </c>
      <c r="T180" s="21" t="n"/>
      <c r="U180" s="21" t="n"/>
      <c r="V180" s="22">
        <f>Q180</f>
        <v/>
      </c>
      <c r="W180" s="22">
        <f>R180</f>
        <v/>
      </c>
      <c r="X180" s="22">
        <f>S180</f>
        <v/>
      </c>
      <c r="Y180" s="21" t="n"/>
      <c r="Z180" s="21" t="n"/>
      <c r="AA180" s="22">
        <f>Q180</f>
        <v/>
      </c>
      <c r="AB180" s="22">
        <f>R180</f>
        <v/>
      </c>
      <c r="AC180" s="22">
        <f>S180</f>
        <v/>
      </c>
      <c r="AD180" s="21" t="n"/>
      <c r="AE180" s="21" t="n"/>
      <c r="AF180" s="22">
        <f>Q180</f>
        <v/>
      </c>
      <c r="AG180" s="22">
        <f>R180</f>
        <v/>
      </c>
      <c r="AH180" s="22">
        <f>S180</f>
        <v/>
      </c>
      <c r="AI180" s="21" t="n"/>
      <c r="AJ180" s="21" t="n"/>
      <c r="AL180" s="23">
        <f>INDEX($Q180:$AJ180,1,(AL$4-1)*5+1)+AL$8*INDEX($Q180:$AJ180,1,(AL$4-1)*5+2)*INDEX($Q180:$AJ180,1,(AL$4-1)*5+3)</f>
        <v/>
      </c>
      <c r="AM180" s="22">
        <f>INDEX($Q180:$AJ180,1,(AM$4-1)*5+1)+AM$8*INDEX($Q180:$AJ180,1,(AM$4-1)*5+2)*INDEX($Q180:$AJ180,1,(AM$4-1)*5+3)</f>
        <v/>
      </c>
      <c r="AN180" s="22">
        <f>INDEX($Q180:$AJ180,1,(AN$4-1)*5+1)+AN$8*INDEX($Q180:$AJ180,1,(AN$4-1)*5+2)*INDEX($Q180:$AJ180,1,(AN$4-1)*5+3)</f>
        <v/>
      </c>
      <c r="AO180" s="22">
        <f>INDEX($Q180:$AJ180,1,(AO$4-1)*5+1)+AO$8*INDEX($Q180:$AJ180,1,(AO$4-1)*5+2)*INDEX($Q180:$AJ180,1,(AO$4-1)*5+3)</f>
        <v/>
      </c>
      <c r="AP180" s="22">
        <f>INDEX($Q180:$AJ180,1,(AP$4-1)*5+1)+AP$8*INDEX($Q180:$AJ180,1,(AP$4-1)*5+2)*INDEX($Q180:$AJ180,1,(AP$4-1)*5+3)</f>
        <v/>
      </c>
      <c r="AQ180" s="22">
        <f>INDEX($Q180:$AJ180,1,(AQ$4-1)*5+1)+AQ$8*INDEX($Q180:$AJ180,1,(AQ$4-1)*5+2)*INDEX($Q180:$AJ180,1,(AQ$4-1)*5+3)</f>
        <v/>
      </c>
      <c r="AR180" s="22">
        <f>INDEX($Q180:$AJ180,1,(AR$4-1)*5+1)+AR$8*INDEX($Q180:$AJ180,1,(AR$4-1)*5+2)*INDEX($Q180:$AJ180,1,(AR$4-1)*5+3)</f>
        <v/>
      </c>
      <c r="AS180" s="22">
        <f>INDEX($Q180:$AJ180,1,(AS$4-1)*5+1)+AS$8*INDEX($Q180:$AJ180,1,(AS$4-1)*5+2)*INDEX($Q180:$AJ180,1,(AS$4-1)*5+3)</f>
        <v/>
      </c>
      <c r="AT180" s="22">
        <f>INDEX($Q180:$AJ180,1,(AT$4-1)*5+1)+AT$8*INDEX($Q180:$AJ180,1,(AT$4-1)*5+2)*INDEX($Q180:$AJ180,1,(AT$4-1)*5+3)</f>
        <v/>
      </c>
      <c r="AU180" s="22">
        <f>INDEX($Q180:$AJ180,1,(AU$4-1)*5+1)+AU$8*INDEX($Q180:$AJ180,1,(AU$4-1)*5+2)*INDEX($Q180:$AJ180,1,(AU$4-1)*5+3)</f>
        <v/>
      </c>
      <c r="AV180" s="22">
        <f>INDEX($Q180:$AJ180,1,(AV$4-1)*5+1)+AV$8*INDEX($Q180:$AJ180,1,(AV$4-1)*5+2)*INDEX($Q180:$AJ180,1,(AV$4-1)*5+3)</f>
        <v/>
      </c>
      <c r="AW180" s="22">
        <f>INDEX($Q180:$AJ180,1,(AW$4-1)*5+1)+AW$8*INDEX($Q180:$AJ180,1,(AW$4-1)*5+2)*INDEX($Q180:$AJ180,1,(AW$4-1)*5+3)</f>
        <v/>
      </c>
      <c r="AX180" s="22">
        <f>INDEX($Q180:$AJ180,1,(AX$4-1)*5+1)+AX$8*INDEX($Q180:$AJ180,1,(AX$4-1)*5+2)*INDEX($Q180:$AJ180,1,(AX$4-1)*5+3)</f>
        <v/>
      </c>
      <c r="AY180" s="22">
        <f>INDEX($Q180:$AJ180,1,(AY$4-1)*5+1)+AY$8*INDEX($Q180:$AJ180,1,(AY$4-1)*5+2)*INDEX($Q180:$AJ180,1,(AY$4-1)*5+3)</f>
        <v/>
      </c>
      <c r="BA180" s="23">
        <f>INDEX($Q180:$AJ180,1,(BA$4-1)*5+1)+BA$8*INDEX($Q180:$AJ180,1,(BA$4-1)*5+2)*INDEX($Q180:$AJ180,1,(BA$4-1)*5+3)</f>
        <v/>
      </c>
      <c r="BB180" s="22">
        <f>INDEX($Q180:$AJ180,1,(BB$4-1)*5+1)+BB$8*INDEX($Q180:$AJ180,1,(BB$4-1)*5+2)*INDEX($Q180:$AJ180,1,(BB$4-1)*5+3)</f>
        <v/>
      </c>
      <c r="BC180" s="22">
        <f>INDEX($Q180:$AJ180,1,(BC$4-1)*5+1)+BC$8*INDEX($Q180:$AJ180,1,(BC$4-1)*5+2)*INDEX($Q180:$AJ180,1,(BC$4-1)*5+3)</f>
        <v/>
      </c>
      <c r="BD180" s="22">
        <f>INDEX($Q180:$AJ180,1,(BD$4-1)*5+1)+BD$8*INDEX($Q180:$AJ180,1,(BD$4-1)*5+2)*INDEX($Q180:$AJ180,1,(BD$4-1)*5+3)</f>
        <v/>
      </c>
      <c r="BE180" s="22">
        <f>INDEX($Q180:$AJ180,1,(BE$4-1)*5+1)+BE$8*INDEX($Q180:$AJ180,1,(BE$4-1)*5+2)*INDEX($Q180:$AJ180,1,(BE$4-1)*5+3)</f>
        <v/>
      </c>
      <c r="BF180" s="22">
        <f>INDEX($Q180:$AJ180,1,(BF$4-1)*5+1)+BF$8*INDEX($Q180:$AJ180,1,(BF$4-1)*5+2)*INDEX($Q180:$AJ180,1,(BF$4-1)*5+3)</f>
        <v/>
      </c>
      <c r="BG180" s="22">
        <f>INDEX($Q180:$AJ180,1,(BG$4-1)*5+1)+BG$8*INDEX($Q180:$AJ180,1,(BG$4-1)*5+2)*INDEX($Q180:$AJ180,1,(BG$4-1)*5+3)</f>
        <v/>
      </c>
      <c r="BH180" s="22">
        <f>INDEX($Q180:$AJ180,1,(BH$4-1)*5+1)+BH$8*INDEX($Q180:$AJ180,1,(BH$4-1)*5+2)*INDEX($Q180:$AJ180,1,(BH$4-1)*5+3)</f>
        <v/>
      </c>
      <c r="BI180" s="22">
        <f>INDEX($Q180:$AJ180,1,(BI$4-1)*5+1)+BI$8*INDEX($Q180:$AJ180,1,(BI$4-1)*5+2)*INDEX($Q180:$AJ180,1,(BI$4-1)*5+3)</f>
        <v/>
      </c>
      <c r="BJ180" s="22">
        <f>INDEX($Q180:$AJ180,1,(BJ$4-1)*5+1)+BJ$8*INDEX($Q180:$AJ180,1,(BJ$4-1)*5+2)*INDEX($Q180:$AJ180,1,(BJ$4-1)*5+3)</f>
        <v/>
      </c>
      <c r="BK180" s="22">
        <f>INDEX($Q180:$AJ180,1,(BK$4-1)*5+1)+BK$8*INDEX($Q180:$AJ180,1,(BK$4-1)*5+2)*INDEX($Q180:$AJ180,1,(BK$4-1)*5+3)</f>
        <v/>
      </c>
      <c r="BL180" s="22">
        <f>INDEX($Q180:$AJ180,1,(BL$4-1)*5+1)+BL$8*INDEX($Q180:$AJ180,1,(BL$4-1)*5+2)*INDEX($Q180:$AJ180,1,(BL$4-1)*5+3)</f>
        <v/>
      </c>
      <c r="BM180" s="22">
        <f>INDEX($Q180:$AJ180,1,(BM$4-1)*5+1)+BM$8*INDEX($Q180:$AJ180,1,(BM$4-1)*5+2)*INDEX($Q180:$AJ180,1,(BM$4-1)*5+3)</f>
        <v/>
      </c>
      <c r="BN180" s="22">
        <f>INDEX($Q180:$AJ180,1,(BN$4-1)*5+1)+BN$8*INDEX($Q180:$AJ180,1,(BN$4-1)*5+2)*INDEX($Q180:$AJ180,1,(BN$4-1)*5+3)</f>
        <v/>
      </c>
    </row>
    <row r="181">
      <c r="B181" s="5" t="inlineStr">
        <is>
          <t>coa</t>
        </is>
      </c>
      <c r="C181" s="5" t="inlineStr">
        <is>
          <t>foo</t>
        </is>
      </c>
      <c r="D181" s="5" t="inlineStr">
        <is>
          <t>Tax | Food &amp; forestry | Coal</t>
        </is>
      </c>
      <c r="E181" s="5" t="inlineStr">
        <is>
          <t>$/GJ</t>
        </is>
      </c>
      <c r="F181" s="5" t="inlineStr">
        <is>
          <t>Prices_dom, EF_GHG, Mapping</t>
        </is>
      </c>
      <c r="G181" s="19" t="inlineStr">
        <is>
          <t>mit.rp.coa</t>
        </is>
      </c>
      <c r="H181" s="19" t="inlineStr">
        <is>
          <t>mit.tax.coa.foo</t>
        </is>
      </c>
      <c r="J181" s="5">
        <f>INDEX(Mapping!$C$5:$C$20,MATCH($C181,Mapping!$A$5:$A$20,0))</f>
        <v/>
      </c>
      <c r="K181" s="5">
        <f>INDEX(Mapping!$D$5:$D$20,MATCH($C181,Mapping!$A$5:$A$20,0))</f>
        <v/>
      </c>
      <c r="L181" s="5">
        <f>INDEX(Mapping!$C$24:$C$31,MATCH($B181,Mapping!$A$24:$A$31,0))</f>
        <v/>
      </c>
      <c r="M181" s="5">
        <f>INDEX(Mapping!$D$24:$D$31,MATCH($B181,Mapping!$A$24:$A$31,0))</f>
        <v/>
      </c>
      <c r="N181" s="5">
        <f>$B181&amp;"."&amp;IF(INDEX(Mapping!$E$24:$E$31,MATCH($B181,Mapping!$A$24:$A$31,0))="sub",INDEX(Mapping!$F$5:$F$20,MATCH($C181,Mapping!$A$5:$A$20,0)),"all")</f>
        <v/>
      </c>
      <c r="O181" s="5">
        <f>INDEX(Mapping!$E$5:$E$20,MATCH($C181,Mapping!$A$5:$A$20,0))</f>
        <v/>
      </c>
      <c r="P181" s="5">
        <f>INDEX(Mapping!$G$24:$G$31,MATCH($B181,Mapping!$A$24:$A$31,0))</f>
        <v/>
      </c>
      <c r="Q181" s="22">
        <f>(INDEX(Prices_dom!$A$6:$CU$2000,MATCH(Settings!$C$4&amp;Settings!$C$7,Prices_dom!$A$6:$A$2000,0),MATCH("mit.rp."&amp;$N181,Prices_dom!$A$5:$CU$5,0))-INDEX(Prices_dom!$A$6:$CU$2000,MATCH(Settings!$C$4&amp;Settings!$C$7,Prices_dom!$A$6:$A$2000,0),MATCH("mit.sp."&amp;$N181,Prices_dom!$A$5:$CU$5,0)))/$P181</f>
        <v/>
      </c>
      <c r="R181" s="22">
        <f>INDEX(EF_GHG!$E$4:$E$1000,MATCH(Settings!$C$4&amp;"|"&amp;$B181&amp;"|"&amp;$O181,EF_GHG!$A$4:$A$1000,0))</f>
        <v/>
      </c>
      <c r="S181" s="22">
        <f>INDEX(Mapping!$G$5:$G$20,MATCH($C181,Mapping!$A$5:$A$20,0))</f>
        <v/>
      </c>
      <c r="T181" s="21" t="n"/>
      <c r="U181" s="21" t="n"/>
      <c r="V181" s="22">
        <f>Q181</f>
        <v/>
      </c>
      <c r="W181" s="22">
        <f>R181</f>
        <v/>
      </c>
      <c r="X181" s="22">
        <f>S181</f>
        <v/>
      </c>
      <c r="Y181" s="21" t="n"/>
      <c r="Z181" s="21" t="n"/>
      <c r="AA181" s="22">
        <f>Q181</f>
        <v/>
      </c>
      <c r="AB181" s="22">
        <f>R181</f>
        <v/>
      </c>
      <c r="AC181" s="22">
        <f>S181</f>
        <v/>
      </c>
      <c r="AD181" s="21" t="n"/>
      <c r="AE181" s="21" t="n"/>
      <c r="AF181" s="22">
        <f>Q181</f>
        <v/>
      </c>
      <c r="AG181" s="22">
        <f>R181</f>
        <v/>
      </c>
      <c r="AH181" s="22">
        <f>S181</f>
        <v/>
      </c>
      <c r="AI181" s="21" t="n"/>
      <c r="AJ181" s="21" t="n"/>
      <c r="AL181" s="23">
        <f>INDEX($Q181:$AJ181,1,(AL$4-1)*5+1)+AL$8*INDEX($Q181:$AJ181,1,(AL$4-1)*5+2)*INDEX($Q181:$AJ181,1,(AL$4-1)*5+3)</f>
        <v/>
      </c>
      <c r="AM181" s="22">
        <f>INDEX($Q181:$AJ181,1,(AM$4-1)*5+1)+AM$8*INDEX($Q181:$AJ181,1,(AM$4-1)*5+2)*INDEX($Q181:$AJ181,1,(AM$4-1)*5+3)</f>
        <v/>
      </c>
      <c r="AN181" s="22">
        <f>INDEX($Q181:$AJ181,1,(AN$4-1)*5+1)+AN$8*INDEX($Q181:$AJ181,1,(AN$4-1)*5+2)*INDEX($Q181:$AJ181,1,(AN$4-1)*5+3)</f>
        <v/>
      </c>
      <c r="AO181" s="22">
        <f>INDEX($Q181:$AJ181,1,(AO$4-1)*5+1)+AO$8*INDEX($Q181:$AJ181,1,(AO$4-1)*5+2)*INDEX($Q181:$AJ181,1,(AO$4-1)*5+3)</f>
        <v/>
      </c>
      <c r="AP181" s="22">
        <f>INDEX($Q181:$AJ181,1,(AP$4-1)*5+1)+AP$8*INDEX($Q181:$AJ181,1,(AP$4-1)*5+2)*INDEX($Q181:$AJ181,1,(AP$4-1)*5+3)</f>
        <v/>
      </c>
      <c r="AQ181" s="22">
        <f>INDEX($Q181:$AJ181,1,(AQ$4-1)*5+1)+AQ$8*INDEX($Q181:$AJ181,1,(AQ$4-1)*5+2)*INDEX($Q181:$AJ181,1,(AQ$4-1)*5+3)</f>
        <v/>
      </c>
      <c r="AR181" s="22">
        <f>INDEX($Q181:$AJ181,1,(AR$4-1)*5+1)+AR$8*INDEX($Q181:$AJ181,1,(AR$4-1)*5+2)*INDEX($Q181:$AJ181,1,(AR$4-1)*5+3)</f>
        <v/>
      </c>
      <c r="AS181" s="22">
        <f>INDEX($Q181:$AJ181,1,(AS$4-1)*5+1)+AS$8*INDEX($Q181:$AJ181,1,(AS$4-1)*5+2)*INDEX($Q181:$AJ181,1,(AS$4-1)*5+3)</f>
        <v/>
      </c>
      <c r="AT181" s="22">
        <f>INDEX($Q181:$AJ181,1,(AT$4-1)*5+1)+AT$8*INDEX($Q181:$AJ181,1,(AT$4-1)*5+2)*INDEX($Q181:$AJ181,1,(AT$4-1)*5+3)</f>
        <v/>
      </c>
      <c r="AU181" s="22">
        <f>INDEX($Q181:$AJ181,1,(AU$4-1)*5+1)+AU$8*INDEX($Q181:$AJ181,1,(AU$4-1)*5+2)*INDEX($Q181:$AJ181,1,(AU$4-1)*5+3)</f>
        <v/>
      </c>
      <c r="AV181" s="22">
        <f>INDEX($Q181:$AJ181,1,(AV$4-1)*5+1)+AV$8*INDEX($Q181:$AJ181,1,(AV$4-1)*5+2)*INDEX($Q181:$AJ181,1,(AV$4-1)*5+3)</f>
        <v/>
      </c>
      <c r="AW181" s="22">
        <f>INDEX($Q181:$AJ181,1,(AW$4-1)*5+1)+AW$8*INDEX($Q181:$AJ181,1,(AW$4-1)*5+2)*INDEX($Q181:$AJ181,1,(AW$4-1)*5+3)</f>
        <v/>
      </c>
      <c r="AX181" s="22">
        <f>INDEX($Q181:$AJ181,1,(AX$4-1)*5+1)+AX$8*INDEX($Q181:$AJ181,1,(AX$4-1)*5+2)*INDEX($Q181:$AJ181,1,(AX$4-1)*5+3)</f>
        <v/>
      </c>
      <c r="AY181" s="22">
        <f>INDEX($Q181:$AJ181,1,(AY$4-1)*5+1)+AY$8*INDEX($Q181:$AJ181,1,(AY$4-1)*5+2)*INDEX($Q181:$AJ181,1,(AY$4-1)*5+3)</f>
        <v/>
      </c>
      <c r="BA181" s="23">
        <f>INDEX($Q181:$AJ181,1,(BA$4-1)*5+1)+BA$8*INDEX($Q181:$AJ181,1,(BA$4-1)*5+2)*INDEX($Q181:$AJ181,1,(BA$4-1)*5+3)</f>
        <v/>
      </c>
      <c r="BB181" s="22">
        <f>INDEX($Q181:$AJ181,1,(BB$4-1)*5+1)+BB$8*INDEX($Q181:$AJ181,1,(BB$4-1)*5+2)*INDEX($Q181:$AJ181,1,(BB$4-1)*5+3)</f>
        <v/>
      </c>
      <c r="BC181" s="22">
        <f>INDEX($Q181:$AJ181,1,(BC$4-1)*5+1)+BC$8*INDEX($Q181:$AJ181,1,(BC$4-1)*5+2)*INDEX($Q181:$AJ181,1,(BC$4-1)*5+3)</f>
        <v/>
      </c>
      <c r="BD181" s="22">
        <f>INDEX($Q181:$AJ181,1,(BD$4-1)*5+1)+BD$8*INDEX($Q181:$AJ181,1,(BD$4-1)*5+2)*INDEX($Q181:$AJ181,1,(BD$4-1)*5+3)</f>
        <v/>
      </c>
      <c r="BE181" s="22">
        <f>INDEX($Q181:$AJ181,1,(BE$4-1)*5+1)+BE$8*INDEX($Q181:$AJ181,1,(BE$4-1)*5+2)*INDEX($Q181:$AJ181,1,(BE$4-1)*5+3)</f>
        <v/>
      </c>
      <c r="BF181" s="22">
        <f>INDEX($Q181:$AJ181,1,(BF$4-1)*5+1)+BF$8*INDEX($Q181:$AJ181,1,(BF$4-1)*5+2)*INDEX($Q181:$AJ181,1,(BF$4-1)*5+3)</f>
        <v/>
      </c>
      <c r="BG181" s="22">
        <f>INDEX($Q181:$AJ181,1,(BG$4-1)*5+1)+BG$8*INDEX($Q181:$AJ181,1,(BG$4-1)*5+2)*INDEX($Q181:$AJ181,1,(BG$4-1)*5+3)</f>
        <v/>
      </c>
      <c r="BH181" s="22">
        <f>INDEX($Q181:$AJ181,1,(BH$4-1)*5+1)+BH$8*INDEX($Q181:$AJ181,1,(BH$4-1)*5+2)*INDEX($Q181:$AJ181,1,(BH$4-1)*5+3)</f>
        <v/>
      </c>
      <c r="BI181" s="22">
        <f>INDEX($Q181:$AJ181,1,(BI$4-1)*5+1)+BI$8*INDEX($Q181:$AJ181,1,(BI$4-1)*5+2)*INDEX($Q181:$AJ181,1,(BI$4-1)*5+3)</f>
        <v/>
      </c>
      <c r="BJ181" s="22">
        <f>INDEX($Q181:$AJ181,1,(BJ$4-1)*5+1)+BJ$8*INDEX($Q181:$AJ181,1,(BJ$4-1)*5+2)*INDEX($Q181:$AJ181,1,(BJ$4-1)*5+3)</f>
        <v/>
      </c>
      <c r="BK181" s="22">
        <f>INDEX($Q181:$AJ181,1,(BK$4-1)*5+1)+BK$8*INDEX($Q181:$AJ181,1,(BK$4-1)*5+2)*INDEX($Q181:$AJ181,1,(BK$4-1)*5+3)</f>
        <v/>
      </c>
      <c r="BL181" s="22">
        <f>INDEX($Q181:$AJ181,1,(BL$4-1)*5+1)+BL$8*INDEX($Q181:$AJ181,1,(BL$4-1)*5+2)*INDEX($Q181:$AJ181,1,(BL$4-1)*5+3)</f>
        <v/>
      </c>
      <c r="BM181" s="22">
        <f>INDEX($Q181:$AJ181,1,(BM$4-1)*5+1)+BM$8*INDEX($Q181:$AJ181,1,(BM$4-1)*5+2)*INDEX($Q181:$AJ181,1,(BM$4-1)*5+3)</f>
        <v/>
      </c>
      <c r="BN181" s="22">
        <f>INDEX($Q181:$AJ181,1,(BN$4-1)*5+1)+BN$8*INDEX($Q181:$AJ181,1,(BN$4-1)*5+2)*INDEX($Q181:$AJ181,1,(BN$4-1)*5+3)</f>
        <v/>
      </c>
    </row>
    <row r="182">
      <c r="B182" s="5" t="inlineStr">
        <is>
          <t>nga</t>
        </is>
      </c>
      <c r="C182" s="5" t="inlineStr">
        <is>
          <t>foo</t>
        </is>
      </c>
      <c r="D182" s="5" t="inlineStr">
        <is>
          <t>Tax | Food &amp; forestry | Natural gas</t>
        </is>
      </c>
      <c r="E182" s="5" t="inlineStr">
        <is>
          <t>$/GJ</t>
        </is>
      </c>
      <c r="F182" s="5" t="inlineStr">
        <is>
          <t>Prices_dom, EF_GHG, Mapping</t>
        </is>
      </c>
      <c r="G182" s="19" t="inlineStr">
        <is>
          <t>mit.rp.nga</t>
        </is>
      </c>
      <c r="H182" s="19" t="inlineStr">
        <is>
          <t>mit.tax.nga.foo</t>
        </is>
      </c>
      <c r="J182" s="5">
        <f>INDEX(Mapping!$C$5:$C$20,MATCH($C182,Mapping!$A$5:$A$20,0))</f>
        <v/>
      </c>
      <c r="K182" s="5">
        <f>INDEX(Mapping!$D$5:$D$20,MATCH($C182,Mapping!$A$5:$A$20,0))</f>
        <v/>
      </c>
      <c r="L182" s="5">
        <f>INDEX(Mapping!$C$24:$C$31,MATCH($B182,Mapping!$A$24:$A$31,0))</f>
        <v/>
      </c>
      <c r="M182" s="5">
        <f>INDEX(Mapping!$D$24:$D$31,MATCH($B182,Mapping!$A$24:$A$31,0))</f>
        <v/>
      </c>
      <c r="N182" s="5">
        <f>$B182&amp;"."&amp;IF(INDEX(Mapping!$E$24:$E$31,MATCH($B182,Mapping!$A$24:$A$31,0))="sub",INDEX(Mapping!$F$5:$F$20,MATCH($C182,Mapping!$A$5:$A$20,0)),"all")</f>
        <v/>
      </c>
      <c r="O182" s="5">
        <f>INDEX(Mapping!$E$5:$E$20,MATCH($C182,Mapping!$A$5:$A$20,0))</f>
        <v/>
      </c>
      <c r="P182" s="5">
        <f>INDEX(Mapping!$G$24:$G$31,MATCH($B182,Mapping!$A$24:$A$31,0))</f>
        <v/>
      </c>
      <c r="Q182" s="22">
        <f>(INDEX(Prices_dom!$A$6:$CU$2000,MATCH(Settings!$C$4&amp;Settings!$C$7,Prices_dom!$A$6:$A$2000,0),MATCH("mit.rp."&amp;$N182,Prices_dom!$A$5:$CU$5,0))-INDEX(Prices_dom!$A$6:$CU$2000,MATCH(Settings!$C$4&amp;Settings!$C$7,Prices_dom!$A$6:$A$2000,0),MATCH("mit.sp."&amp;$N182,Prices_dom!$A$5:$CU$5,0)))/$P182</f>
        <v/>
      </c>
      <c r="R182" s="22">
        <f>INDEX(EF_GHG!$E$4:$E$1000,MATCH(Settings!$C$4&amp;"|"&amp;$B182&amp;"|"&amp;$O182,EF_GHG!$A$4:$A$1000,0))</f>
        <v/>
      </c>
      <c r="S182" s="22">
        <f>INDEX(Mapping!$G$5:$G$20,MATCH($C182,Mapping!$A$5:$A$20,0))</f>
        <v/>
      </c>
      <c r="T182" s="21" t="n"/>
      <c r="U182" s="21" t="n"/>
      <c r="V182" s="22">
        <f>Q182</f>
        <v/>
      </c>
      <c r="W182" s="22">
        <f>R182</f>
        <v/>
      </c>
      <c r="X182" s="22">
        <f>S182</f>
        <v/>
      </c>
      <c r="Y182" s="21" t="n"/>
      <c r="Z182" s="21" t="n"/>
      <c r="AA182" s="22">
        <f>Q182</f>
        <v/>
      </c>
      <c r="AB182" s="22">
        <f>R182</f>
        <v/>
      </c>
      <c r="AC182" s="22">
        <f>S182</f>
        <v/>
      </c>
      <c r="AD182" s="21" t="n"/>
      <c r="AE182" s="21" t="n"/>
      <c r="AF182" s="22">
        <f>Q182</f>
        <v/>
      </c>
      <c r="AG182" s="22">
        <f>R182</f>
        <v/>
      </c>
      <c r="AH182" s="22">
        <f>S182</f>
        <v/>
      </c>
      <c r="AI182" s="21" t="n"/>
      <c r="AJ182" s="21" t="n"/>
      <c r="AL182" s="23">
        <f>INDEX($Q182:$AJ182,1,(AL$4-1)*5+1)+AL$8*INDEX($Q182:$AJ182,1,(AL$4-1)*5+2)*INDEX($Q182:$AJ182,1,(AL$4-1)*5+3)</f>
        <v/>
      </c>
      <c r="AM182" s="22">
        <f>INDEX($Q182:$AJ182,1,(AM$4-1)*5+1)+AM$8*INDEX($Q182:$AJ182,1,(AM$4-1)*5+2)*INDEX($Q182:$AJ182,1,(AM$4-1)*5+3)</f>
        <v/>
      </c>
      <c r="AN182" s="22">
        <f>INDEX($Q182:$AJ182,1,(AN$4-1)*5+1)+AN$8*INDEX($Q182:$AJ182,1,(AN$4-1)*5+2)*INDEX($Q182:$AJ182,1,(AN$4-1)*5+3)</f>
        <v/>
      </c>
      <c r="AO182" s="22">
        <f>INDEX($Q182:$AJ182,1,(AO$4-1)*5+1)+AO$8*INDEX($Q182:$AJ182,1,(AO$4-1)*5+2)*INDEX($Q182:$AJ182,1,(AO$4-1)*5+3)</f>
        <v/>
      </c>
      <c r="AP182" s="22">
        <f>INDEX($Q182:$AJ182,1,(AP$4-1)*5+1)+AP$8*INDEX($Q182:$AJ182,1,(AP$4-1)*5+2)*INDEX($Q182:$AJ182,1,(AP$4-1)*5+3)</f>
        <v/>
      </c>
      <c r="AQ182" s="22">
        <f>INDEX($Q182:$AJ182,1,(AQ$4-1)*5+1)+AQ$8*INDEX($Q182:$AJ182,1,(AQ$4-1)*5+2)*INDEX($Q182:$AJ182,1,(AQ$4-1)*5+3)</f>
        <v/>
      </c>
      <c r="AR182" s="22">
        <f>INDEX($Q182:$AJ182,1,(AR$4-1)*5+1)+AR$8*INDEX($Q182:$AJ182,1,(AR$4-1)*5+2)*INDEX($Q182:$AJ182,1,(AR$4-1)*5+3)</f>
        <v/>
      </c>
      <c r="AS182" s="22">
        <f>INDEX($Q182:$AJ182,1,(AS$4-1)*5+1)+AS$8*INDEX($Q182:$AJ182,1,(AS$4-1)*5+2)*INDEX($Q182:$AJ182,1,(AS$4-1)*5+3)</f>
        <v/>
      </c>
      <c r="AT182" s="22">
        <f>INDEX($Q182:$AJ182,1,(AT$4-1)*5+1)+AT$8*INDEX($Q182:$AJ182,1,(AT$4-1)*5+2)*INDEX($Q182:$AJ182,1,(AT$4-1)*5+3)</f>
        <v/>
      </c>
      <c r="AU182" s="22">
        <f>INDEX($Q182:$AJ182,1,(AU$4-1)*5+1)+AU$8*INDEX($Q182:$AJ182,1,(AU$4-1)*5+2)*INDEX($Q182:$AJ182,1,(AU$4-1)*5+3)</f>
        <v/>
      </c>
      <c r="AV182" s="22">
        <f>INDEX($Q182:$AJ182,1,(AV$4-1)*5+1)+AV$8*INDEX($Q182:$AJ182,1,(AV$4-1)*5+2)*INDEX($Q182:$AJ182,1,(AV$4-1)*5+3)</f>
        <v/>
      </c>
      <c r="AW182" s="22">
        <f>INDEX($Q182:$AJ182,1,(AW$4-1)*5+1)+AW$8*INDEX($Q182:$AJ182,1,(AW$4-1)*5+2)*INDEX($Q182:$AJ182,1,(AW$4-1)*5+3)</f>
        <v/>
      </c>
      <c r="AX182" s="22">
        <f>INDEX($Q182:$AJ182,1,(AX$4-1)*5+1)+AX$8*INDEX($Q182:$AJ182,1,(AX$4-1)*5+2)*INDEX($Q182:$AJ182,1,(AX$4-1)*5+3)</f>
        <v/>
      </c>
      <c r="AY182" s="22">
        <f>INDEX($Q182:$AJ182,1,(AY$4-1)*5+1)+AY$8*INDEX($Q182:$AJ182,1,(AY$4-1)*5+2)*INDEX($Q182:$AJ182,1,(AY$4-1)*5+3)</f>
        <v/>
      </c>
      <c r="BA182" s="23">
        <f>INDEX($Q182:$AJ182,1,(BA$4-1)*5+1)+BA$8*INDEX($Q182:$AJ182,1,(BA$4-1)*5+2)*INDEX($Q182:$AJ182,1,(BA$4-1)*5+3)</f>
        <v/>
      </c>
      <c r="BB182" s="22">
        <f>INDEX($Q182:$AJ182,1,(BB$4-1)*5+1)+BB$8*INDEX($Q182:$AJ182,1,(BB$4-1)*5+2)*INDEX($Q182:$AJ182,1,(BB$4-1)*5+3)</f>
        <v/>
      </c>
      <c r="BC182" s="22">
        <f>INDEX($Q182:$AJ182,1,(BC$4-1)*5+1)+BC$8*INDEX($Q182:$AJ182,1,(BC$4-1)*5+2)*INDEX($Q182:$AJ182,1,(BC$4-1)*5+3)</f>
        <v/>
      </c>
      <c r="BD182" s="22">
        <f>INDEX($Q182:$AJ182,1,(BD$4-1)*5+1)+BD$8*INDEX($Q182:$AJ182,1,(BD$4-1)*5+2)*INDEX($Q182:$AJ182,1,(BD$4-1)*5+3)</f>
        <v/>
      </c>
      <c r="BE182" s="22">
        <f>INDEX($Q182:$AJ182,1,(BE$4-1)*5+1)+BE$8*INDEX($Q182:$AJ182,1,(BE$4-1)*5+2)*INDEX($Q182:$AJ182,1,(BE$4-1)*5+3)</f>
        <v/>
      </c>
      <c r="BF182" s="22">
        <f>INDEX($Q182:$AJ182,1,(BF$4-1)*5+1)+BF$8*INDEX($Q182:$AJ182,1,(BF$4-1)*5+2)*INDEX($Q182:$AJ182,1,(BF$4-1)*5+3)</f>
        <v/>
      </c>
      <c r="BG182" s="22">
        <f>INDEX($Q182:$AJ182,1,(BG$4-1)*5+1)+BG$8*INDEX($Q182:$AJ182,1,(BG$4-1)*5+2)*INDEX($Q182:$AJ182,1,(BG$4-1)*5+3)</f>
        <v/>
      </c>
      <c r="BH182" s="22">
        <f>INDEX($Q182:$AJ182,1,(BH$4-1)*5+1)+BH$8*INDEX($Q182:$AJ182,1,(BH$4-1)*5+2)*INDEX($Q182:$AJ182,1,(BH$4-1)*5+3)</f>
        <v/>
      </c>
      <c r="BI182" s="22">
        <f>INDEX($Q182:$AJ182,1,(BI$4-1)*5+1)+BI$8*INDEX($Q182:$AJ182,1,(BI$4-1)*5+2)*INDEX($Q182:$AJ182,1,(BI$4-1)*5+3)</f>
        <v/>
      </c>
      <c r="BJ182" s="22">
        <f>INDEX($Q182:$AJ182,1,(BJ$4-1)*5+1)+BJ$8*INDEX($Q182:$AJ182,1,(BJ$4-1)*5+2)*INDEX($Q182:$AJ182,1,(BJ$4-1)*5+3)</f>
        <v/>
      </c>
      <c r="BK182" s="22">
        <f>INDEX($Q182:$AJ182,1,(BK$4-1)*5+1)+BK$8*INDEX($Q182:$AJ182,1,(BK$4-1)*5+2)*INDEX($Q182:$AJ182,1,(BK$4-1)*5+3)</f>
        <v/>
      </c>
      <c r="BL182" s="22">
        <f>INDEX($Q182:$AJ182,1,(BL$4-1)*5+1)+BL$8*INDEX($Q182:$AJ182,1,(BL$4-1)*5+2)*INDEX($Q182:$AJ182,1,(BL$4-1)*5+3)</f>
        <v/>
      </c>
      <c r="BM182" s="22">
        <f>INDEX($Q182:$AJ182,1,(BM$4-1)*5+1)+BM$8*INDEX($Q182:$AJ182,1,(BM$4-1)*5+2)*INDEX($Q182:$AJ182,1,(BM$4-1)*5+3)</f>
        <v/>
      </c>
      <c r="BN182" s="22">
        <f>INDEX($Q182:$AJ182,1,(BN$4-1)*5+1)+BN$8*INDEX($Q182:$AJ182,1,(BN$4-1)*5+2)*INDEX($Q182:$AJ182,1,(BN$4-1)*5+3)</f>
        <v/>
      </c>
    </row>
    <row r="183">
      <c r="B183" s="5" t="inlineStr">
        <is>
          <t>gso</t>
        </is>
      </c>
      <c r="C183" s="5" t="inlineStr">
        <is>
          <t>foo</t>
        </is>
      </c>
      <c r="D183" s="5" t="inlineStr">
        <is>
          <t>Tax | Food &amp; forestry | Gasoline</t>
        </is>
      </c>
      <c r="E183" s="5" t="inlineStr">
        <is>
          <t>$/GJ</t>
        </is>
      </c>
      <c r="F183" s="5" t="inlineStr">
        <is>
          <t>Prices_dom, EF_GHG, Mapping</t>
        </is>
      </c>
      <c r="G183" s="19" t="inlineStr">
        <is>
          <t>mit.rp.gso</t>
        </is>
      </c>
      <c r="H183" s="19" t="inlineStr">
        <is>
          <t>mit.tax.gso.foo</t>
        </is>
      </c>
      <c r="J183" s="5">
        <f>INDEX(Mapping!$C$5:$C$20,MATCH($C183,Mapping!$A$5:$A$20,0))</f>
        <v/>
      </c>
      <c r="K183" s="5">
        <f>INDEX(Mapping!$D$5:$D$20,MATCH($C183,Mapping!$A$5:$A$20,0))</f>
        <v/>
      </c>
      <c r="L183" s="5">
        <f>INDEX(Mapping!$C$24:$C$31,MATCH($B183,Mapping!$A$24:$A$31,0))</f>
        <v/>
      </c>
      <c r="M183" s="5">
        <f>INDEX(Mapping!$D$24:$D$31,MATCH($B183,Mapping!$A$24:$A$31,0))</f>
        <v/>
      </c>
      <c r="N183" s="5">
        <f>$B183&amp;"."&amp;IF(INDEX(Mapping!$E$24:$E$31,MATCH($B183,Mapping!$A$24:$A$31,0))="sub",INDEX(Mapping!$F$5:$F$20,MATCH($C183,Mapping!$A$5:$A$20,0)),"all")</f>
        <v/>
      </c>
      <c r="O183" s="5">
        <f>INDEX(Mapping!$E$5:$E$20,MATCH($C183,Mapping!$A$5:$A$20,0))</f>
        <v/>
      </c>
      <c r="P183" s="5">
        <f>INDEX(Mapping!$G$24:$G$31,MATCH($B183,Mapping!$A$24:$A$31,0))</f>
        <v/>
      </c>
      <c r="Q183" s="22">
        <f>(INDEX(Prices_dom!$A$6:$CU$2000,MATCH(Settings!$C$4&amp;Settings!$C$7,Prices_dom!$A$6:$A$2000,0),MATCH("mit.rp."&amp;$N183,Prices_dom!$A$5:$CU$5,0))-INDEX(Prices_dom!$A$6:$CU$2000,MATCH(Settings!$C$4&amp;Settings!$C$7,Prices_dom!$A$6:$A$2000,0),MATCH("mit.sp."&amp;$N183,Prices_dom!$A$5:$CU$5,0)))/$P183</f>
        <v/>
      </c>
      <c r="R183" s="22">
        <f>INDEX(EF_GHG!$E$4:$E$1000,MATCH(Settings!$C$4&amp;"|"&amp;$B183&amp;"|"&amp;$O183,EF_GHG!$A$4:$A$1000,0))</f>
        <v/>
      </c>
      <c r="S183" s="22">
        <f>INDEX(Mapping!$G$5:$G$20,MATCH($C183,Mapping!$A$5:$A$20,0))</f>
        <v/>
      </c>
      <c r="T183" s="21" t="n"/>
      <c r="U183" s="21" t="n"/>
      <c r="V183" s="22">
        <f>Q183</f>
        <v/>
      </c>
      <c r="W183" s="22">
        <f>R183</f>
        <v/>
      </c>
      <c r="X183" s="22">
        <f>S183</f>
        <v/>
      </c>
      <c r="Y183" s="21" t="n"/>
      <c r="Z183" s="21" t="n"/>
      <c r="AA183" s="22">
        <f>Q183</f>
        <v/>
      </c>
      <c r="AB183" s="22">
        <f>R183</f>
        <v/>
      </c>
      <c r="AC183" s="22">
        <f>S183</f>
        <v/>
      </c>
      <c r="AD183" s="21" t="n"/>
      <c r="AE183" s="21" t="n"/>
      <c r="AF183" s="22">
        <f>Q183</f>
        <v/>
      </c>
      <c r="AG183" s="22">
        <f>R183</f>
        <v/>
      </c>
      <c r="AH183" s="22">
        <f>S183</f>
        <v/>
      </c>
      <c r="AI183" s="21" t="n"/>
      <c r="AJ183" s="21" t="n"/>
      <c r="AL183" s="23">
        <f>INDEX($Q183:$AJ183,1,(AL$4-1)*5+1)+AL$8*INDEX($Q183:$AJ183,1,(AL$4-1)*5+2)*INDEX($Q183:$AJ183,1,(AL$4-1)*5+3)</f>
        <v/>
      </c>
      <c r="AM183" s="22">
        <f>INDEX($Q183:$AJ183,1,(AM$4-1)*5+1)+AM$8*INDEX($Q183:$AJ183,1,(AM$4-1)*5+2)*INDEX($Q183:$AJ183,1,(AM$4-1)*5+3)</f>
        <v/>
      </c>
      <c r="AN183" s="22">
        <f>INDEX($Q183:$AJ183,1,(AN$4-1)*5+1)+AN$8*INDEX($Q183:$AJ183,1,(AN$4-1)*5+2)*INDEX($Q183:$AJ183,1,(AN$4-1)*5+3)</f>
        <v/>
      </c>
      <c r="AO183" s="22">
        <f>INDEX($Q183:$AJ183,1,(AO$4-1)*5+1)+AO$8*INDEX($Q183:$AJ183,1,(AO$4-1)*5+2)*INDEX($Q183:$AJ183,1,(AO$4-1)*5+3)</f>
        <v/>
      </c>
      <c r="AP183" s="22">
        <f>INDEX($Q183:$AJ183,1,(AP$4-1)*5+1)+AP$8*INDEX($Q183:$AJ183,1,(AP$4-1)*5+2)*INDEX($Q183:$AJ183,1,(AP$4-1)*5+3)</f>
        <v/>
      </c>
      <c r="AQ183" s="22">
        <f>INDEX($Q183:$AJ183,1,(AQ$4-1)*5+1)+AQ$8*INDEX($Q183:$AJ183,1,(AQ$4-1)*5+2)*INDEX($Q183:$AJ183,1,(AQ$4-1)*5+3)</f>
        <v/>
      </c>
      <c r="AR183" s="22">
        <f>INDEX($Q183:$AJ183,1,(AR$4-1)*5+1)+AR$8*INDEX($Q183:$AJ183,1,(AR$4-1)*5+2)*INDEX($Q183:$AJ183,1,(AR$4-1)*5+3)</f>
        <v/>
      </c>
      <c r="AS183" s="22">
        <f>INDEX($Q183:$AJ183,1,(AS$4-1)*5+1)+AS$8*INDEX($Q183:$AJ183,1,(AS$4-1)*5+2)*INDEX($Q183:$AJ183,1,(AS$4-1)*5+3)</f>
        <v/>
      </c>
      <c r="AT183" s="22">
        <f>INDEX($Q183:$AJ183,1,(AT$4-1)*5+1)+AT$8*INDEX($Q183:$AJ183,1,(AT$4-1)*5+2)*INDEX($Q183:$AJ183,1,(AT$4-1)*5+3)</f>
        <v/>
      </c>
      <c r="AU183" s="22">
        <f>INDEX($Q183:$AJ183,1,(AU$4-1)*5+1)+AU$8*INDEX($Q183:$AJ183,1,(AU$4-1)*5+2)*INDEX($Q183:$AJ183,1,(AU$4-1)*5+3)</f>
        <v/>
      </c>
      <c r="AV183" s="22">
        <f>INDEX($Q183:$AJ183,1,(AV$4-1)*5+1)+AV$8*INDEX($Q183:$AJ183,1,(AV$4-1)*5+2)*INDEX($Q183:$AJ183,1,(AV$4-1)*5+3)</f>
        <v/>
      </c>
      <c r="AW183" s="22">
        <f>INDEX($Q183:$AJ183,1,(AW$4-1)*5+1)+AW$8*INDEX($Q183:$AJ183,1,(AW$4-1)*5+2)*INDEX($Q183:$AJ183,1,(AW$4-1)*5+3)</f>
        <v/>
      </c>
      <c r="AX183" s="22">
        <f>INDEX($Q183:$AJ183,1,(AX$4-1)*5+1)+AX$8*INDEX($Q183:$AJ183,1,(AX$4-1)*5+2)*INDEX($Q183:$AJ183,1,(AX$4-1)*5+3)</f>
        <v/>
      </c>
      <c r="AY183" s="22">
        <f>INDEX($Q183:$AJ183,1,(AY$4-1)*5+1)+AY$8*INDEX($Q183:$AJ183,1,(AY$4-1)*5+2)*INDEX($Q183:$AJ183,1,(AY$4-1)*5+3)</f>
        <v/>
      </c>
      <c r="BA183" s="23">
        <f>INDEX($Q183:$AJ183,1,(BA$4-1)*5+1)+BA$8*INDEX($Q183:$AJ183,1,(BA$4-1)*5+2)*INDEX($Q183:$AJ183,1,(BA$4-1)*5+3)</f>
        <v/>
      </c>
      <c r="BB183" s="22">
        <f>INDEX($Q183:$AJ183,1,(BB$4-1)*5+1)+BB$8*INDEX($Q183:$AJ183,1,(BB$4-1)*5+2)*INDEX($Q183:$AJ183,1,(BB$4-1)*5+3)</f>
        <v/>
      </c>
      <c r="BC183" s="22">
        <f>INDEX($Q183:$AJ183,1,(BC$4-1)*5+1)+BC$8*INDEX($Q183:$AJ183,1,(BC$4-1)*5+2)*INDEX($Q183:$AJ183,1,(BC$4-1)*5+3)</f>
        <v/>
      </c>
      <c r="BD183" s="22">
        <f>INDEX($Q183:$AJ183,1,(BD$4-1)*5+1)+BD$8*INDEX($Q183:$AJ183,1,(BD$4-1)*5+2)*INDEX($Q183:$AJ183,1,(BD$4-1)*5+3)</f>
        <v/>
      </c>
      <c r="BE183" s="22">
        <f>INDEX($Q183:$AJ183,1,(BE$4-1)*5+1)+BE$8*INDEX($Q183:$AJ183,1,(BE$4-1)*5+2)*INDEX($Q183:$AJ183,1,(BE$4-1)*5+3)</f>
        <v/>
      </c>
      <c r="BF183" s="22">
        <f>INDEX($Q183:$AJ183,1,(BF$4-1)*5+1)+BF$8*INDEX($Q183:$AJ183,1,(BF$4-1)*5+2)*INDEX($Q183:$AJ183,1,(BF$4-1)*5+3)</f>
        <v/>
      </c>
      <c r="BG183" s="22">
        <f>INDEX($Q183:$AJ183,1,(BG$4-1)*5+1)+BG$8*INDEX($Q183:$AJ183,1,(BG$4-1)*5+2)*INDEX($Q183:$AJ183,1,(BG$4-1)*5+3)</f>
        <v/>
      </c>
      <c r="BH183" s="22">
        <f>INDEX($Q183:$AJ183,1,(BH$4-1)*5+1)+BH$8*INDEX($Q183:$AJ183,1,(BH$4-1)*5+2)*INDEX($Q183:$AJ183,1,(BH$4-1)*5+3)</f>
        <v/>
      </c>
      <c r="BI183" s="22">
        <f>INDEX($Q183:$AJ183,1,(BI$4-1)*5+1)+BI$8*INDEX($Q183:$AJ183,1,(BI$4-1)*5+2)*INDEX($Q183:$AJ183,1,(BI$4-1)*5+3)</f>
        <v/>
      </c>
      <c r="BJ183" s="22">
        <f>INDEX($Q183:$AJ183,1,(BJ$4-1)*5+1)+BJ$8*INDEX($Q183:$AJ183,1,(BJ$4-1)*5+2)*INDEX($Q183:$AJ183,1,(BJ$4-1)*5+3)</f>
        <v/>
      </c>
      <c r="BK183" s="22">
        <f>INDEX($Q183:$AJ183,1,(BK$4-1)*5+1)+BK$8*INDEX($Q183:$AJ183,1,(BK$4-1)*5+2)*INDEX($Q183:$AJ183,1,(BK$4-1)*5+3)</f>
        <v/>
      </c>
      <c r="BL183" s="22">
        <f>INDEX($Q183:$AJ183,1,(BL$4-1)*5+1)+BL$8*INDEX($Q183:$AJ183,1,(BL$4-1)*5+2)*INDEX($Q183:$AJ183,1,(BL$4-1)*5+3)</f>
        <v/>
      </c>
      <c r="BM183" s="22">
        <f>INDEX($Q183:$AJ183,1,(BM$4-1)*5+1)+BM$8*INDEX($Q183:$AJ183,1,(BM$4-1)*5+2)*INDEX($Q183:$AJ183,1,(BM$4-1)*5+3)</f>
        <v/>
      </c>
      <c r="BN183" s="22">
        <f>INDEX($Q183:$AJ183,1,(BN$4-1)*5+1)+BN$8*INDEX($Q183:$AJ183,1,(BN$4-1)*5+2)*INDEX($Q183:$AJ183,1,(BN$4-1)*5+3)</f>
        <v/>
      </c>
    </row>
    <row r="184">
      <c r="B184" s="5" t="inlineStr">
        <is>
          <t>die</t>
        </is>
      </c>
      <c r="C184" s="5" t="inlineStr">
        <is>
          <t>foo</t>
        </is>
      </c>
      <c r="D184" s="5" t="inlineStr">
        <is>
          <t>Tax | Food &amp; forestry | Diesel</t>
        </is>
      </c>
      <c r="E184" s="5" t="inlineStr">
        <is>
          <t>$/GJ</t>
        </is>
      </c>
      <c r="F184" s="5" t="inlineStr">
        <is>
          <t>Prices_dom, EF_GHG, Mapping</t>
        </is>
      </c>
      <c r="G184" s="19" t="inlineStr">
        <is>
          <t>mit.rp.die</t>
        </is>
      </c>
      <c r="H184" s="19" t="inlineStr">
        <is>
          <t>mit.tax.die.foo</t>
        </is>
      </c>
      <c r="J184" s="5">
        <f>INDEX(Mapping!$C$5:$C$20,MATCH($C184,Mapping!$A$5:$A$20,0))</f>
        <v/>
      </c>
      <c r="K184" s="5">
        <f>INDEX(Mapping!$D$5:$D$20,MATCH($C184,Mapping!$A$5:$A$20,0))</f>
        <v/>
      </c>
      <c r="L184" s="5">
        <f>INDEX(Mapping!$C$24:$C$31,MATCH($B184,Mapping!$A$24:$A$31,0))</f>
        <v/>
      </c>
      <c r="M184" s="5">
        <f>INDEX(Mapping!$D$24:$D$31,MATCH($B184,Mapping!$A$24:$A$31,0))</f>
        <v/>
      </c>
      <c r="N184" s="5">
        <f>$B184&amp;"."&amp;IF(INDEX(Mapping!$E$24:$E$31,MATCH($B184,Mapping!$A$24:$A$31,0))="sub",INDEX(Mapping!$F$5:$F$20,MATCH($C184,Mapping!$A$5:$A$20,0)),"all")</f>
        <v/>
      </c>
      <c r="O184" s="5">
        <f>INDEX(Mapping!$E$5:$E$20,MATCH($C184,Mapping!$A$5:$A$20,0))</f>
        <v/>
      </c>
      <c r="P184" s="5">
        <f>INDEX(Mapping!$G$24:$G$31,MATCH($B184,Mapping!$A$24:$A$31,0))</f>
        <v/>
      </c>
      <c r="Q184" s="22">
        <f>(INDEX(Prices_dom!$A$6:$CU$2000,MATCH(Settings!$C$4&amp;Settings!$C$7,Prices_dom!$A$6:$A$2000,0),MATCH("mit.rp."&amp;$N184,Prices_dom!$A$5:$CU$5,0))-INDEX(Prices_dom!$A$6:$CU$2000,MATCH(Settings!$C$4&amp;Settings!$C$7,Prices_dom!$A$6:$A$2000,0),MATCH("mit.sp."&amp;$N184,Prices_dom!$A$5:$CU$5,0)))/$P184</f>
        <v/>
      </c>
      <c r="R184" s="22">
        <f>INDEX(EF_GHG!$E$4:$E$1000,MATCH(Settings!$C$4&amp;"|"&amp;$B184&amp;"|"&amp;$O184,EF_GHG!$A$4:$A$1000,0))</f>
        <v/>
      </c>
      <c r="S184" s="22">
        <f>INDEX(Mapping!$G$5:$G$20,MATCH($C184,Mapping!$A$5:$A$20,0))</f>
        <v/>
      </c>
      <c r="T184" s="21" t="n"/>
      <c r="U184" s="21" t="n"/>
      <c r="V184" s="22">
        <f>Q184</f>
        <v/>
      </c>
      <c r="W184" s="22">
        <f>R184</f>
        <v/>
      </c>
      <c r="X184" s="22">
        <f>S184</f>
        <v/>
      </c>
      <c r="Y184" s="21" t="n"/>
      <c r="Z184" s="21" t="n"/>
      <c r="AA184" s="22">
        <f>Q184</f>
        <v/>
      </c>
      <c r="AB184" s="22">
        <f>R184</f>
        <v/>
      </c>
      <c r="AC184" s="22">
        <f>S184</f>
        <v/>
      </c>
      <c r="AD184" s="21" t="n"/>
      <c r="AE184" s="21" t="n"/>
      <c r="AF184" s="22">
        <f>Q184</f>
        <v/>
      </c>
      <c r="AG184" s="22">
        <f>R184</f>
        <v/>
      </c>
      <c r="AH184" s="22">
        <f>S184</f>
        <v/>
      </c>
      <c r="AI184" s="21" t="n"/>
      <c r="AJ184" s="21" t="n"/>
      <c r="AL184" s="23">
        <f>INDEX($Q184:$AJ184,1,(AL$4-1)*5+1)+AL$8*INDEX($Q184:$AJ184,1,(AL$4-1)*5+2)*INDEX($Q184:$AJ184,1,(AL$4-1)*5+3)</f>
        <v/>
      </c>
      <c r="AM184" s="22">
        <f>INDEX($Q184:$AJ184,1,(AM$4-1)*5+1)+AM$8*INDEX($Q184:$AJ184,1,(AM$4-1)*5+2)*INDEX($Q184:$AJ184,1,(AM$4-1)*5+3)</f>
        <v/>
      </c>
      <c r="AN184" s="22">
        <f>INDEX($Q184:$AJ184,1,(AN$4-1)*5+1)+AN$8*INDEX($Q184:$AJ184,1,(AN$4-1)*5+2)*INDEX($Q184:$AJ184,1,(AN$4-1)*5+3)</f>
        <v/>
      </c>
      <c r="AO184" s="22">
        <f>INDEX($Q184:$AJ184,1,(AO$4-1)*5+1)+AO$8*INDEX($Q184:$AJ184,1,(AO$4-1)*5+2)*INDEX($Q184:$AJ184,1,(AO$4-1)*5+3)</f>
        <v/>
      </c>
      <c r="AP184" s="22">
        <f>INDEX($Q184:$AJ184,1,(AP$4-1)*5+1)+AP$8*INDEX($Q184:$AJ184,1,(AP$4-1)*5+2)*INDEX($Q184:$AJ184,1,(AP$4-1)*5+3)</f>
        <v/>
      </c>
      <c r="AQ184" s="22">
        <f>INDEX($Q184:$AJ184,1,(AQ$4-1)*5+1)+AQ$8*INDEX($Q184:$AJ184,1,(AQ$4-1)*5+2)*INDEX($Q184:$AJ184,1,(AQ$4-1)*5+3)</f>
        <v/>
      </c>
      <c r="AR184" s="22">
        <f>INDEX($Q184:$AJ184,1,(AR$4-1)*5+1)+AR$8*INDEX($Q184:$AJ184,1,(AR$4-1)*5+2)*INDEX($Q184:$AJ184,1,(AR$4-1)*5+3)</f>
        <v/>
      </c>
      <c r="AS184" s="22">
        <f>INDEX($Q184:$AJ184,1,(AS$4-1)*5+1)+AS$8*INDEX($Q184:$AJ184,1,(AS$4-1)*5+2)*INDEX($Q184:$AJ184,1,(AS$4-1)*5+3)</f>
        <v/>
      </c>
      <c r="AT184" s="22">
        <f>INDEX($Q184:$AJ184,1,(AT$4-1)*5+1)+AT$8*INDEX($Q184:$AJ184,1,(AT$4-1)*5+2)*INDEX($Q184:$AJ184,1,(AT$4-1)*5+3)</f>
        <v/>
      </c>
      <c r="AU184" s="22">
        <f>INDEX($Q184:$AJ184,1,(AU$4-1)*5+1)+AU$8*INDEX($Q184:$AJ184,1,(AU$4-1)*5+2)*INDEX($Q184:$AJ184,1,(AU$4-1)*5+3)</f>
        <v/>
      </c>
      <c r="AV184" s="22">
        <f>INDEX($Q184:$AJ184,1,(AV$4-1)*5+1)+AV$8*INDEX($Q184:$AJ184,1,(AV$4-1)*5+2)*INDEX($Q184:$AJ184,1,(AV$4-1)*5+3)</f>
        <v/>
      </c>
      <c r="AW184" s="22">
        <f>INDEX($Q184:$AJ184,1,(AW$4-1)*5+1)+AW$8*INDEX($Q184:$AJ184,1,(AW$4-1)*5+2)*INDEX($Q184:$AJ184,1,(AW$4-1)*5+3)</f>
        <v/>
      </c>
      <c r="AX184" s="22">
        <f>INDEX($Q184:$AJ184,1,(AX$4-1)*5+1)+AX$8*INDEX($Q184:$AJ184,1,(AX$4-1)*5+2)*INDEX($Q184:$AJ184,1,(AX$4-1)*5+3)</f>
        <v/>
      </c>
      <c r="AY184" s="22">
        <f>INDEX($Q184:$AJ184,1,(AY$4-1)*5+1)+AY$8*INDEX($Q184:$AJ184,1,(AY$4-1)*5+2)*INDEX($Q184:$AJ184,1,(AY$4-1)*5+3)</f>
        <v/>
      </c>
      <c r="BA184" s="23">
        <f>INDEX($Q184:$AJ184,1,(BA$4-1)*5+1)+BA$8*INDEX($Q184:$AJ184,1,(BA$4-1)*5+2)*INDEX($Q184:$AJ184,1,(BA$4-1)*5+3)</f>
        <v/>
      </c>
      <c r="BB184" s="22">
        <f>INDEX($Q184:$AJ184,1,(BB$4-1)*5+1)+BB$8*INDEX($Q184:$AJ184,1,(BB$4-1)*5+2)*INDEX($Q184:$AJ184,1,(BB$4-1)*5+3)</f>
        <v/>
      </c>
      <c r="BC184" s="22">
        <f>INDEX($Q184:$AJ184,1,(BC$4-1)*5+1)+BC$8*INDEX($Q184:$AJ184,1,(BC$4-1)*5+2)*INDEX($Q184:$AJ184,1,(BC$4-1)*5+3)</f>
        <v/>
      </c>
      <c r="BD184" s="22">
        <f>INDEX($Q184:$AJ184,1,(BD$4-1)*5+1)+BD$8*INDEX($Q184:$AJ184,1,(BD$4-1)*5+2)*INDEX($Q184:$AJ184,1,(BD$4-1)*5+3)</f>
        <v/>
      </c>
      <c r="BE184" s="22">
        <f>INDEX($Q184:$AJ184,1,(BE$4-1)*5+1)+BE$8*INDEX($Q184:$AJ184,1,(BE$4-1)*5+2)*INDEX($Q184:$AJ184,1,(BE$4-1)*5+3)</f>
        <v/>
      </c>
      <c r="BF184" s="22">
        <f>INDEX($Q184:$AJ184,1,(BF$4-1)*5+1)+BF$8*INDEX($Q184:$AJ184,1,(BF$4-1)*5+2)*INDEX($Q184:$AJ184,1,(BF$4-1)*5+3)</f>
        <v/>
      </c>
      <c r="BG184" s="22">
        <f>INDEX($Q184:$AJ184,1,(BG$4-1)*5+1)+BG$8*INDEX($Q184:$AJ184,1,(BG$4-1)*5+2)*INDEX($Q184:$AJ184,1,(BG$4-1)*5+3)</f>
        <v/>
      </c>
      <c r="BH184" s="22">
        <f>INDEX($Q184:$AJ184,1,(BH$4-1)*5+1)+BH$8*INDEX($Q184:$AJ184,1,(BH$4-1)*5+2)*INDEX($Q184:$AJ184,1,(BH$4-1)*5+3)</f>
        <v/>
      </c>
      <c r="BI184" s="22">
        <f>INDEX($Q184:$AJ184,1,(BI$4-1)*5+1)+BI$8*INDEX($Q184:$AJ184,1,(BI$4-1)*5+2)*INDEX($Q184:$AJ184,1,(BI$4-1)*5+3)</f>
        <v/>
      </c>
      <c r="BJ184" s="22">
        <f>INDEX($Q184:$AJ184,1,(BJ$4-1)*5+1)+BJ$8*INDEX($Q184:$AJ184,1,(BJ$4-1)*5+2)*INDEX($Q184:$AJ184,1,(BJ$4-1)*5+3)</f>
        <v/>
      </c>
      <c r="BK184" s="22">
        <f>INDEX($Q184:$AJ184,1,(BK$4-1)*5+1)+BK$8*INDEX($Q184:$AJ184,1,(BK$4-1)*5+2)*INDEX($Q184:$AJ184,1,(BK$4-1)*5+3)</f>
        <v/>
      </c>
      <c r="BL184" s="22">
        <f>INDEX($Q184:$AJ184,1,(BL$4-1)*5+1)+BL$8*INDEX($Q184:$AJ184,1,(BL$4-1)*5+2)*INDEX($Q184:$AJ184,1,(BL$4-1)*5+3)</f>
        <v/>
      </c>
      <c r="BM184" s="22">
        <f>INDEX($Q184:$AJ184,1,(BM$4-1)*5+1)+BM$8*INDEX($Q184:$AJ184,1,(BM$4-1)*5+2)*INDEX($Q184:$AJ184,1,(BM$4-1)*5+3)</f>
        <v/>
      </c>
      <c r="BN184" s="22">
        <f>INDEX($Q184:$AJ184,1,(BN$4-1)*5+1)+BN$8*INDEX($Q184:$AJ184,1,(BN$4-1)*5+2)*INDEX($Q184:$AJ184,1,(BN$4-1)*5+3)</f>
        <v/>
      </c>
    </row>
    <row r="185">
      <c r="B185" s="5" t="inlineStr">
        <is>
          <t>lpg</t>
        </is>
      </c>
      <c r="C185" s="5" t="inlineStr">
        <is>
          <t>foo</t>
        </is>
      </c>
      <c r="D185" s="5" t="inlineStr">
        <is>
          <t>Tax | Food &amp; forestry | LPG</t>
        </is>
      </c>
      <c r="E185" s="5" t="inlineStr">
        <is>
          <t>$/GJ</t>
        </is>
      </c>
      <c r="F185" s="5" t="inlineStr">
        <is>
          <t>Prices_dom, EF_GHG, Mapping</t>
        </is>
      </c>
      <c r="G185" s="19" t="inlineStr">
        <is>
          <t>mit.rp.lpg</t>
        </is>
      </c>
      <c r="H185" s="19" t="inlineStr">
        <is>
          <t>mit.tax.lpg.foo</t>
        </is>
      </c>
      <c r="J185" s="5">
        <f>INDEX(Mapping!$C$5:$C$20,MATCH($C185,Mapping!$A$5:$A$20,0))</f>
        <v/>
      </c>
      <c r="K185" s="5">
        <f>INDEX(Mapping!$D$5:$D$20,MATCH($C185,Mapping!$A$5:$A$20,0))</f>
        <v/>
      </c>
      <c r="L185" s="5">
        <f>INDEX(Mapping!$C$24:$C$31,MATCH($B185,Mapping!$A$24:$A$31,0))</f>
        <v/>
      </c>
      <c r="M185" s="5">
        <f>INDEX(Mapping!$D$24:$D$31,MATCH($B185,Mapping!$A$24:$A$31,0))</f>
        <v/>
      </c>
      <c r="N185" s="5">
        <f>$B185&amp;"."&amp;IF(INDEX(Mapping!$E$24:$E$31,MATCH($B185,Mapping!$A$24:$A$31,0))="sub",INDEX(Mapping!$F$5:$F$20,MATCH($C185,Mapping!$A$5:$A$20,0)),"all")</f>
        <v/>
      </c>
      <c r="O185" s="5">
        <f>INDEX(Mapping!$E$5:$E$20,MATCH($C185,Mapping!$A$5:$A$20,0))</f>
        <v/>
      </c>
      <c r="P185" s="5">
        <f>INDEX(Mapping!$G$24:$G$31,MATCH($B185,Mapping!$A$24:$A$31,0))</f>
        <v/>
      </c>
      <c r="Q185" s="22">
        <f>(INDEX(Prices_dom!$A$6:$CU$2000,MATCH(Settings!$C$4&amp;Settings!$C$7,Prices_dom!$A$6:$A$2000,0),MATCH("mit.rp."&amp;$N185,Prices_dom!$A$5:$CU$5,0))-INDEX(Prices_dom!$A$6:$CU$2000,MATCH(Settings!$C$4&amp;Settings!$C$7,Prices_dom!$A$6:$A$2000,0),MATCH("mit.sp."&amp;$N185,Prices_dom!$A$5:$CU$5,0)))/$P185</f>
        <v/>
      </c>
      <c r="R185" s="22">
        <f>INDEX(EF_GHG!$E$4:$E$1000,MATCH(Settings!$C$4&amp;"|"&amp;$B185&amp;"|"&amp;$O185,EF_GHG!$A$4:$A$1000,0))</f>
        <v/>
      </c>
      <c r="S185" s="22">
        <f>INDEX(Mapping!$G$5:$G$20,MATCH($C185,Mapping!$A$5:$A$20,0))</f>
        <v/>
      </c>
      <c r="T185" s="21" t="n"/>
      <c r="U185" s="21" t="n"/>
      <c r="V185" s="22">
        <f>Q185</f>
        <v/>
      </c>
      <c r="W185" s="22">
        <f>R185</f>
        <v/>
      </c>
      <c r="X185" s="22">
        <f>S185</f>
        <v/>
      </c>
      <c r="Y185" s="21" t="n"/>
      <c r="Z185" s="21" t="n"/>
      <c r="AA185" s="22">
        <f>Q185</f>
        <v/>
      </c>
      <c r="AB185" s="22">
        <f>R185</f>
        <v/>
      </c>
      <c r="AC185" s="22">
        <f>S185</f>
        <v/>
      </c>
      <c r="AD185" s="21" t="n"/>
      <c r="AE185" s="21" t="n"/>
      <c r="AF185" s="22">
        <f>Q185</f>
        <v/>
      </c>
      <c r="AG185" s="22">
        <f>R185</f>
        <v/>
      </c>
      <c r="AH185" s="22">
        <f>S185</f>
        <v/>
      </c>
      <c r="AI185" s="21" t="n"/>
      <c r="AJ185" s="21" t="n"/>
      <c r="AL185" s="23">
        <f>INDEX($Q185:$AJ185,1,(AL$4-1)*5+1)+AL$8*INDEX($Q185:$AJ185,1,(AL$4-1)*5+2)*INDEX($Q185:$AJ185,1,(AL$4-1)*5+3)</f>
        <v/>
      </c>
      <c r="AM185" s="22">
        <f>INDEX($Q185:$AJ185,1,(AM$4-1)*5+1)+AM$8*INDEX($Q185:$AJ185,1,(AM$4-1)*5+2)*INDEX($Q185:$AJ185,1,(AM$4-1)*5+3)</f>
        <v/>
      </c>
      <c r="AN185" s="22">
        <f>INDEX($Q185:$AJ185,1,(AN$4-1)*5+1)+AN$8*INDEX($Q185:$AJ185,1,(AN$4-1)*5+2)*INDEX($Q185:$AJ185,1,(AN$4-1)*5+3)</f>
        <v/>
      </c>
      <c r="AO185" s="22">
        <f>INDEX($Q185:$AJ185,1,(AO$4-1)*5+1)+AO$8*INDEX($Q185:$AJ185,1,(AO$4-1)*5+2)*INDEX($Q185:$AJ185,1,(AO$4-1)*5+3)</f>
        <v/>
      </c>
      <c r="AP185" s="22">
        <f>INDEX($Q185:$AJ185,1,(AP$4-1)*5+1)+AP$8*INDEX($Q185:$AJ185,1,(AP$4-1)*5+2)*INDEX($Q185:$AJ185,1,(AP$4-1)*5+3)</f>
        <v/>
      </c>
      <c r="AQ185" s="22">
        <f>INDEX($Q185:$AJ185,1,(AQ$4-1)*5+1)+AQ$8*INDEX($Q185:$AJ185,1,(AQ$4-1)*5+2)*INDEX($Q185:$AJ185,1,(AQ$4-1)*5+3)</f>
        <v/>
      </c>
      <c r="AR185" s="22">
        <f>INDEX($Q185:$AJ185,1,(AR$4-1)*5+1)+AR$8*INDEX($Q185:$AJ185,1,(AR$4-1)*5+2)*INDEX($Q185:$AJ185,1,(AR$4-1)*5+3)</f>
        <v/>
      </c>
      <c r="AS185" s="22">
        <f>INDEX($Q185:$AJ185,1,(AS$4-1)*5+1)+AS$8*INDEX($Q185:$AJ185,1,(AS$4-1)*5+2)*INDEX($Q185:$AJ185,1,(AS$4-1)*5+3)</f>
        <v/>
      </c>
      <c r="AT185" s="22">
        <f>INDEX($Q185:$AJ185,1,(AT$4-1)*5+1)+AT$8*INDEX($Q185:$AJ185,1,(AT$4-1)*5+2)*INDEX($Q185:$AJ185,1,(AT$4-1)*5+3)</f>
        <v/>
      </c>
      <c r="AU185" s="22">
        <f>INDEX($Q185:$AJ185,1,(AU$4-1)*5+1)+AU$8*INDEX($Q185:$AJ185,1,(AU$4-1)*5+2)*INDEX($Q185:$AJ185,1,(AU$4-1)*5+3)</f>
        <v/>
      </c>
      <c r="AV185" s="22">
        <f>INDEX($Q185:$AJ185,1,(AV$4-1)*5+1)+AV$8*INDEX($Q185:$AJ185,1,(AV$4-1)*5+2)*INDEX($Q185:$AJ185,1,(AV$4-1)*5+3)</f>
        <v/>
      </c>
      <c r="AW185" s="22">
        <f>INDEX($Q185:$AJ185,1,(AW$4-1)*5+1)+AW$8*INDEX($Q185:$AJ185,1,(AW$4-1)*5+2)*INDEX($Q185:$AJ185,1,(AW$4-1)*5+3)</f>
        <v/>
      </c>
      <c r="AX185" s="22">
        <f>INDEX($Q185:$AJ185,1,(AX$4-1)*5+1)+AX$8*INDEX($Q185:$AJ185,1,(AX$4-1)*5+2)*INDEX($Q185:$AJ185,1,(AX$4-1)*5+3)</f>
        <v/>
      </c>
      <c r="AY185" s="22">
        <f>INDEX($Q185:$AJ185,1,(AY$4-1)*5+1)+AY$8*INDEX($Q185:$AJ185,1,(AY$4-1)*5+2)*INDEX($Q185:$AJ185,1,(AY$4-1)*5+3)</f>
        <v/>
      </c>
      <c r="BA185" s="23">
        <f>INDEX($Q185:$AJ185,1,(BA$4-1)*5+1)+BA$8*INDEX($Q185:$AJ185,1,(BA$4-1)*5+2)*INDEX($Q185:$AJ185,1,(BA$4-1)*5+3)</f>
        <v/>
      </c>
      <c r="BB185" s="22">
        <f>INDEX($Q185:$AJ185,1,(BB$4-1)*5+1)+BB$8*INDEX($Q185:$AJ185,1,(BB$4-1)*5+2)*INDEX($Q185:$AJ185,1,(BB$4-1)*5+3)</f>
        <v/>
      </c>
      <c r="BC185" s="22">
        <f>INDEX($Q185:$AJ185,1,(BC$4-1)*5+1)+BC$8*INDEX($Q185:$AJ185,1,(BC$4-1)*5+2)*INDEX($Q185:$AJ185,1,(BC$4-1)*5+3)</f>
        <v/>
      </c>
      <c r="BD185" s="22">
        <f>INDEX($Q185:$AJ185,1,(BD$4-1)*5+1)+BD$8*INDEX($Q185:$AJ185,1,(BD$4-1)*5+2)*INDEX($Q185:$AJ185,1,(BD$4-1)*5+3)</f>
        <v/>
      </c>
      <c r="BE185" s="22">
        <f>INDEX($Q185:$AJ185,1,(BE$4-1)*5+1)+BE$8*INDEX($Q185:$AJ185,1,(BE$4-1)*5+2)*INDEX($Q185:$AJ185,1,(BE$4-1)*5+3)</f>
        <v/>
      </c>
      <c r="BF185" s="22">
        <f>INDEX($Q185:$AJ185,1,(BF$4-1)*5+1)+BF$8*INDEX($Q185:$AJ185,1,(BF$4-1)*5+2)*INDEX($Q185:$AJ185,1,(BF$4-1)*5+3)</f>
        <v/>
      </c>
      <c r="BG185" s="22">
        <f>INDEX($Q185:$AJ185,1,(BG$4-1)*5+1)+BG$8*INDEX($Q185:$AJ185,1,(BG$4-1)*5+2)*INDEX($Q185:$AJ185,1,(BG$4-1)*5+3)</f>
        <v/>
      </c>
      <c r="BH185" s="22">
        <f>INDEX($Q185:$AJ185,1,(BH$4-1)*5+1)+BH$8*INDEX($Q185:$AJ185,1,(BH$4-1)*5+2)*INDEX($Q185:$AJ185,1,(BH$4-1)*5+3)</f>
        <v/>
      </c>
      <c r="BI185" s="22">
        <f>INDEX($Q185:$AJ185,1,(BI$4-1)*5+1)+BI$8*INDEX($Q185:$AJ185,1,(BI$4-1)*5+2)*INDEX($Q185:$AJ185,1,(BI$4-1)*5+3)</f>
        <v/>
      </c>
      <c r="BJ185" s="22">
        <f>INDEX($Q185:$AJ185,1,(BJ$4-1)*5+1)+BJ$8*INDEX($Q185:$AJ185,1,(BJ$4-1)*5+2)*INDEX($Q185:$AJ185,1,(BJ$4-1)*5+3)</f>
        <v/>
      </c>
      <c r="BK185" s="22">
        <f>INDEX($Q185:$AJ185,1,(BK$4-1)*5+1)+BK$8*INDEX($Q185:$AJ185,1,(BK$4-1)*5+2)*INDEX($Q185:$AJ185,1,(BK$4-1)*5+3)</f>
        <v/>
      </c>
      <c r="BL185" s="22">
        <f>INDEX($Q185:$AJ185,1,(BL$4-1)*5+1)+BL$8*INDEX($Q185:$AJ185,1,(BL$4-1)*5+2)*INDEX($Q185:$AJ185,1,(BL$4-1)*5+3)</f>
        <v/>
      </c>
      <c r="BM185" s="22">
        <f>INDEX($Q185:$AJ185,1,(BM$4-1)*5+1)+BM$8*INDEX($Q185:$AJ185,1,(BM$4-1)*5+2)*INDEX($Q185:$AJ185,1,(BM$4-1)*5+3)</f>
        <v/>
      </c>
      <c r="BN185" s="22">
        <f>INDEX($Q185:$AJ185,1,(BN$4-1)*5+1)+BN$8*INDEX($Q185:$AJ185,1,(BN$4-1)*5+2)*INDEX($Q185:$AJ185,1,(BN$4-1)*5+3)</f>
        <v/>
      </c>
    </row>
    <row r="186">
      <c r="B186" s="5" t="inlineStr">
        <is>
          <t>ker</t>
        </is>
      </c>
      <c r="C186" s="5" t="inlineStr">
        <is>
          <t>foo</t>
        </is>
      </c>
      <c r="D186" s="5" t="inlineStr">
        <is>
          <t>Tax | Food &amp; forestry | Kerosene</t>
        </is>
      </c>
      <c r="E186" s="5" t="inlineStr">
        <is>
          <t>$/GJ</t>
        </is>
      </c>
      <c r="F186" s="5" t="inlineStr">
        <is>
          <t>Prices_dom, EF_GHG, Mapping</t>
        </is>
      </c>
      <c r="G186" s="19" t="inlineStr">
        <is>
          <t>mit.rp.ker</t>
        </is>
      </c>
      <c r="H186" s="19" t="inlineStr">
        <is>
          <t>mit.tax.ker.foo</t>
        </is>
      </c>
      <c r="J186" s="5">
        <f>INDEX(Mapping!$C$5:$C$20,MATCH($C186,Mapping!$A$5:$A$20,0))</f>
        <v/>
      </c>
      <c r="K186" s="5">
        <f>INDEX(Mapping!$D$5:$D$20,MATCH($C186,Mapping!$A$5:$A$20,0))</f>
        <v/>
      </c>
      <c r="L186" s="5">
        <f>INDEX(Mapping!$C$24:$C$31,MATCH($B186,Mapping!$A$24:$A$31,0))</f>
        <v/>
      </c>
      <c r="M186" s="5">
        <f>INDEX(Mapping!$D$24:$D$31,MATCH($B186,Mapping!$A$24:$A$31,0))</f>
        <v/>
      </c>
      <c r="N186" s="5">
        <f>$B186&amp;"."&amp;IF(INDEX(Mapping!$E$24:$E$31,MATCH($B186,Mapping!$A$24:$A$31,0))="sub",INDEX(Mapping!$F$5:$F$20,MATCH($C186,Mapping!$A$5:$A$20,0)),"all")</f>
        <v/>
      </c>
      <c r="O186" s="5">
        <f>INDEX(Mapping!$E$5:$E$20,MATCH($C186,Mapping!$A$5:$A$20,0))</f>
        <v/>
      </c>
      <c r="P186" s="5">
        <f>INDEX(Mapping!$G$24:$G$31,MATCH($B186,Mapping!$A$24:$A$31,0))</f>
        <v/>
      </c>
      <c r="Q186" s="22">
        <f>(INDEX(Prices_dom!$A$6:$CU$2000,MATCH(Settings!$C$4&amp;Settings!$C$7,Prices_dom!$A$6:$A$2000,0),MATCH("mit.rp."&amp;$N186,Prices_dom!$A$5:$CU$5,0))-INDEX(Prices_dom!$A$6:$CU$2000,MATCH(Settings!$C$4&amp;Settings!$C$7,Prices_dom!$A$6:$A$2000,0),MATCH("mit.sp."&amp;$N186,Prices_dom!$A$5:$CU$5,0)))/$P186</f>
        <v/>
      </c>
      <c r="R186" s="22">
        <f>INDEX(EF_GHG!$E$4:$E$1000,MATCH(Settings!$C$4&amp;"|"&amp;$B186&amp;"|"&amp;$O186,EF_GHG!$A$4:$A$1000,0))</f>
        <v/>
      </c>
      <c r="S186" s="22">
        <f>INDEX(Mapping!$G$5:$G$20,MATCH($C186,Mapping!$A$5:$A$20,0))</f>
        <v/>
      </c>
      <c r="T186" s="21" t="n"/>
      <c r="U186" s="21" t="n"/>
      <c r="V186" s="22">
        <f>Q186</f>
        <v/>
      </c>
      <c r="W186" s="22">
        <f>R186</f>
        <v/>
      </c>
      <c r="X186" s="22">
        <f>S186</f>
        <v/>
      </c>
      <c r="Y186" s="21" t="n"/>
      <c r="Z186" s="21" t="n"/>
      <c r="AA186" s="22">
        <f>Q186</f>
        <v/>
      </c>
      <c r="AB186" s="22">
        <f>R186</f>
        <v/>
      </c>
      <c r="AC186" s="22">
        <f>S186</f>
        <v/>
      </c>
      <c r="AD186" s="21" t="n"/>
      <c r="AE186" s="21" t="n"/>
      <c r="AF186" s="22">
        <f>Q186</f>
        <v/>
      </c>
      <c r="AG186" s="22">
        <f>R186</f>
        <v/>
      </c>
      <c r="AH186" s="22">
        <f>S186</f>
        <v/>
      </c>
      <c r="AI186" s="21" t="n"/>
      <c r="AJ186" s="21" t="n"/>
      <c r="AL186" s="23">
        <f>INDEX($Q186:$AJ186,1,(AL$4-1)*5+1)+AL$8*INDEX($Q186:$AJ186,1,(AL$4-1)*5+2)*INDEX($Q186:$AJ186,1,(AL$4-1)*5+3)</f>
        <v/>
      </c>
      <c r="AM186" s="22">
        <f>INDEX($Q186:$AJ186,1,(AM$4-1)*5+1)+AM$8*INDEX($Q186:$AJ186,1,(AM$4-1)*5+2)*INDEX($Q186:$AJ186,1,(AM$4-1)*5+3)</f>
        <v/>
      </c>
      <c r="AN186" s="22">
        <f>INDEX($Q186:$AJ186,1,(AN$4-1)*5+1)+AN$8*INDEX($Q186:$AJ186,1,(AN$4-1)*5+2)*INDEX($Q186:$AJ186,1,(AN$4-1)*5+3)</f>
        <v/>
      </c>
      <c r="AO186" s="22">
        <f>INDEX($Q186:$AJ186,1,(AO$4-1)*5+1)+AO$8*INDEX($Q186:$AJ186,1,(AO$4-1)*5+2)*INDEX($Q186:$AJ186,1,(AO$4-1)*5+3)</f>
        <v/>
      </c>
      <c r="AP186" s="22">
        <f>INDEX($Q186:$AJ186,1,(AP$4-1)*5+1)+AP$8*INDEX($Q186:$AJ186,1,(AP$4-1)*5+2)*INDEX($Q186:$AJ186,1,(AP$4-1)*5+3)</f>
        <v/>
      </c>
      <c r="AQ186" s="22">
        <f>INDEX($Q186:$AJ186,1,(AQ$4-1)*5+1)+AQ$8*INDEX($Q186:$AJ186,1,(AQ$4-1)*5+2)*INDEX($Q186:$AJ186,1,(AQ$4-1)*5+3)</f>
        <v/>
      </c>
      <c r="AR186" s="22">
        <f>INDEX($Q186:$AJ186,1,(AR$4-1)*5+1)+AR$8*INDEX($Q186:$AJ186,1,(AR$4-1)*5+2)*INDEX($Q186:$AJ186,1,(AR$4-1)*5+3)</f>
        <v/>
      </c>
      <c r="AS186" s="22">
        <f>INDEX($Q186:$AJ186,1,(AS$4-1)*5+1)+AS$8*INDEX($Q186:$AJ186,1,(AS$4-1)*5+2)*INDEX($Q186:$AJ186,1,(AS$4-1)*5+3)</f>
        <v/>
      </c>
      <c r="AT186" s="22">
        <f>INDEX($Q186:$AJ186,1,(AT$4-1)*5+1)+AT$8*INDEX($Q186:$AJ186,1,(AT$4-1)*5+2)*INDEX($Q186:$AJ186,1,(AT$4-1)*5+3)</f>
        <v/>
      </c>
      <c r="AU186" s="22">
        <f>INDEX($Q186:$AJ186,1,(AU$4-1)*5+1)+AU$8*INDEX($Q186:$AJ186,1,(AU$4-1)*5+2)*INDEX($Q186:$AJ186,1,(AU$4-1)*5+3)</f>
        <v/>
      </c>
      <c r="AV186" s="22">
        <f>INDEX($Q186:$AJ186,1,(AV$4-1)*5+1)+AV$8*INDEX($Q186:$AJ186,1,(AV$4-1)*5+2)*INDEX($Q186:$AJ186,1,(AV$4-1)*5+3)</f>
        <v/>
      </c>
      <c r="AW186" s="22">
        <f>INDEX($Q186:$AJ186,1,(AW$4-1)*5+1)+AW$8*INDEX($Q186:$AJ186,1,(AW$4-1)*5+2)*INDEX($Q186:$AJ186,1,(AW$4-1)*5+3)</f>
        <v/>
      </c>
      <c r="AX186" s="22">
        <f>INDEX($Q186:$AJ186,1,(AX$4-1)*5+1)+AX$8*INDEX($Q186:$AJ186,1,(AX$4-1)*5+2)*INDEX($Q186:$AJ186,1,(AX$4-1)*5+3)</f>
        <v/>
      </c>
      <c r="AY186" s="22">
        <f>INDEX($Q186:$AJ186,1,(AY$4-1)*5+1)+AY$8*INDEX($Q186:$AJ186,1,(AY$4-1)*5+2)*INDEX($Q186:$AJ186,1,(AY$4-1)*5+3)</f>
        <v/>
      </c>
      <c r="BA186" s="23">
        <f>INDEX($Q186:$AJ186,1,(BA$4-1)*5+1)+BA$8*INDEX($Q186:$AJ186,1,(BA$4-1)*5+2)*INDEX($Q186:$AJ186,1,(BA$4-1)*5+3)</f>
        <v/>
      </c>
      <c r="BB186" s="22">
        <f>INDEX($Q186:$AJ186,1,(BB$4-1)*5+1)+BB$8*INDEX($Q186:$AJ186,1,(BB$4-1)*5+2)*INDEX($Q186:$AJ186,1,(BB$4-1)*5+3)</f>
        <v/>
      </c>
      <c r="BC186" s="22">
        <f>INDEX($Q186:$AJ186,1,(BC$4-1)*5+1)+BC$8*INDEX($Q186:$AJ186,1,(BC$4-1)*5+2)*INDEX($Q186:$AJ186,1,(BC$4-1)*5+3)</f>
        <v/>
      </c>
      <c r="BD186" s="22">
        <f>INDEX($Q186:$AJ186,1,(BD$4-1)*5+1)+BD$8*INDEX($Q186:$AJ186,1,(BD$4-1)*5+2)*INDEX($Q186:$AJ186,1,(BD$4-1)*5+3)</f>
        <v/>
      </c>
      <c r="BE186" s="22">
        <f>INDEX($Q186:$AJ186,1,(BE$4-1)*5+1)+BE$8*INDEX($Q186:$AJ186,1,(BE$4-1)*5+2)*INDEX($Q186:$AJ186,1,(BE$4-1)*5+3)</f>
        <v/>
      </c>
      <c r="BF186" s="22">
        <f>INDEX($Q186:$AJ186,1,(BF$4-1)*5+1)+BF$8*INDEX($Q186:$AJ186,1,(BF$4-1)*5+2)*INDEX($Q186:$AJ186,1,(BF$4-1)*5+3)</f>
        <v/>
      </c>
      <c r="BG186" s="22">
        <f>INDEX($Q186:$AJ186,1,(BG$4-1)*5+1)+BG$8*INDEX($Q186:$AJ186,1,(BG$4-1)*5+2)*INDEX($Q186:$AJ186,1,(BG$4-1)*5+3)</f>
        <v/>
      </c>
      <c r="BH186" s="22">
        <f>INDEX($Q186:$AJ186,1,(BH$4-1)*5+1)+BH$8*INDEX($Q186:$AJ186,1,(BH$4-1)*5+2)*INDEX($Q186:$AJ186,1,(BH$4-1)*5+3)</f>
        <v/>
      </c>
      <c r="BI186" s="22">
        <f>INDEX($Q186:$AJ186,1,(BI$4-1)*5+1)+BI$8*INDEX($Q186:$AJ186,1,(BI$4-1)*5+2)*INDEX($Q186:$AJ186,1,(BI$4-1)*5+3)</f>
        <v/>
      </c>
      <c r="BJ186" s="22">
        <f>INDEX($Q186:$AJ186,1,(BJ$4-1)*5+1)+BJ$8*INDEX($Q186:$AJ186,1,(BJ$4-1)*5+2)*INDEX($Q186:$AJ186,1,(BJ$4-1)*5+3)</f>
        <v/>
      </c>
      <c r="BK186" s="22">
        <f>INDEX($Q186:$AJ186,1,(BK$4-1)*5+1)+BK$8*INDEX($Q186:$AJ186,1,(BK$4-1)*5+2)*INDEX($Q186:$AJ186,1,(BK$4-1)*5+3)</f>
        <v/>
      </c>
      <c r="BL186" s="22">
        <f>INDEX($Q186:$AJ186,1,(BL$4-1)*5+1)+BL$8*INDEX($Q186:$AJ186,1,(BL$4-1)*5+2)*INDEX($Q186:$AJ186,1,(BL$4-1)*5+3)</f>
        <v/>
      </c>
      <c r="BM186" s="22">
        <f>INDEX($Q186:$AJ186,1,(BM$4-1)*5+1)+BM$8*INDEX($Q186:$AJ186,1,(BM$4-1)*5+2)*INDEX($Q186:$AJ186,1,(BM$4-1)*5+3)</f>
        <v/>
      </c>
      <c r="BN186" s="22">
        <f>INDEX($Q186:$AJ186,1,(BN$4-1)*5+1)+BN$8*INDEX($Q186:$AJ186,1,(BN$4-1)*5+2)*INDEX($Q186:$AJ186,1,(BN$4-1)*5+3)</f>
        <v/>
      </c>
    </row>
    <row r="187">
      <c r="B187" s="5" t="inlineStr">
        <is>
          <t>oop</t>
        </is>
      </c>
      <c r="C187" s="5" t="inlineStr">
        <is>
          <t>foo</t>
        </is>
      </c>
      <c r="D187" s="5" t="inlineStr">
        <is>
          <t>Tax | Food &amp; forestry | Other oil products</t>
        </is>
      </c>
      <c r="E187" s="5" t="inlineStr">
        <is>
          <t>$/GJ</t>
        </is>
      </c>
      <c r="F187" s="5" t="inlineStr">
        <is>
          <t>Prices_dom, EF_GHG, Mapping</t>
        </is>
      </c>
      <c r="G187" s="19" t="inlineStr">
        <is>
          <t>mit.rp.oop</t>
        </is>
      </c>
      <c r="H187" s="19" t="inlineStr">
        <is>
          <t>mit.tax.oop.foo</t>
        </is>
      </c>
      <c r="J187" s="5">
        <f>INDEX(Mapping!$C$5:$C$20,MATCH($C187,Mapping!$A$5:$A$20,0))</f>
        <v/>
      </c>
      <c r="K187" s="5">
        <f>INDEX(Mapping!$D$5:$D$20,MATCH($C187,Mapping!$A$5:$A$20,0))</f>
        <v/>
      </c>
      <c r="L187" s="5">
        <f>INDEX(Mapping!$C$24:$C$31,MATCH($B187,Mapping!$A$24:$A$31,0))</f>
        <v/>
      </c>
      <c r="M187" s="5">
        <f>INDEX(Mapping!$D$24:$D$31,MATCH($B187,Mapping!$A$24:$A$31,0))</f>
        <v/>
      </c>
      <c r="N187" s="5">
        <f>$B187&amp;"."&amp;IF(INDEX(Mapping!$E$24:$E$31,MATCH($B187,Mapping!$A$24:$A$31,0))="sub",INDEX(Mapping!$F$5:$F$20,MATCH($C187,Mapping!$A$5:$A$20,0)),"all")</f>
        <v/>
      </c>
      <c r="O187" s="5">
        <f>INDEX(Mapping!$E$5:$E$20,MATCH($C187,Mapping!$A$5:$A$20,0))</f>
        <v/>
      </c>
      <c r="P187" s="5">
        <f>INDEX(Mapping!$G$24:$G$31,MATCH($B187,Mapping!$A$24:$A$31,0))</f>
        <v/>
      </c>
      <c r="Q187" s="22">
        <f>(INDEX(Prices_dom!$A$6:$CU$2000,MATCH(Settings!$C$4&amp;Settings!$C$7,Prices_dom!$A$6:$A$2000,0),MATCH("mit.rp."&amp;$N187,Prices_dom!$A$5:$CU$5,0))-INDEX(Prices_dom!$A$6:$CU$2000,MATCH(Settings!$C$4&amp;Settings!$C$7,Prices_dom!$A$6:$A$2000,0),MATCH("mit.sp."&amp;$N187,Prices_dom!$A$5:$CU$5,0)))/$P187</f>
        <v/>
      </c>
      <c r="R187" s="22">
        <f>INDEX(EF_GHG!$E$4:$E$1000,MATCH(Settings!$C$4&amp;"|"&amp;$B187&amp;"|"&amp;$O187,EF_GHG!$A$4:$A$1000,0))</f>
        <v/>
      </c>
      <c r="S187" s="22">
        <f>INDEX(Mapping!$G$5:$G$20,MATCH($C187,Mapping!$A$5:$A$20,0))</f>
        <v/>
      </c>
      <c r="T187" s="21" t="n"/>
      <c r="U187" s="21" t="n"/>
      <c r="V187" s="22">
        <f>Q187</f>
        <v/>
      </c>
      <c r="W187" s="22">
        <f>R187</f>
        <v/>
      </c>
      <c r="X187" s="22">
        <f>S187</f>
        <v/>
      </c>
      <c r="Y187" s="21" t="n"/>
      <c r="Z187" s="21" t="n"/>
      <c r="AA187" s="22">
        <f>Q187</f>
        <v/>
      </c>
      <c r="AB187" s="22">
        <f>R187</f>
        <v/>
      </c>
      <c r="AC187" s="22">
        <f>S187</f>
        <v/>
      </c>
      <c r="AD187" s="21" t="n"/>
      <c r="AE187" s="21" t="n"/>
      <c r="AF187" s="22">
        <f>Q187</f>
        <v/>
      </c>
      <c r="AG187" s="22">
        <f>R187</f>
        <v/>
      </c>
      <c r="AH187" s="22">
        <f>S187</f>
        <v/>
      </c>
      <c r="AI187" s="21" t="n"/>
      <c r="AJ187" s="21" t="n"/>
      <c r="AL187" s="23">
        <f>INDEX($Q187:$AJ187,1,(AL$4-1)*5+1)+AL$8*INDEX($Q187:$AJ187,1,(AL$4-1)*5+2)*INDEX($Q187:$AJ187,1,(AL$4-1)*5+3)</f>
        <v/>
      </c>
      <c r="AM187" s="22">
        <f>INDEX($Q187:$AJ187,1,(AM$4-1)*5+1)+AM$8*INDEX($Q187:$AJ187,1,(AM$4-1)*5+2)*INDEX($Q187:$AJ187,1,(AM$4-1)*5+3)</f>
        <v/>
      </c>
      <c r="AN187" s="22">
        <f>INDEX($Q187:$AJ187,1,(AN$4-1)*5+1)+AN$8*INDEX($Q187:$AJ187,1,(AN$4-1)*5+2)*INDEX($Q187:$AJ187,1,(AN$4-1)*5+3)</f>
        <v/>
      </c>
      <c r="AO187" s="22">
        <f>INDEX($Q187:$AJ187,1,(AO$4-1)*5+1)+AO$8*INDEX($Q187:$AJ187,1,(AO$4-1)*5+2)*INDEX($Q187:$AJ187,1,(AO$4-1)*5+3)</f>
        <v/>
      </c>
      <c r="AP187" s="22">
        <f>INDEX($Q187:$AJ187,1,(AP$4-1)*5+1)+AP$8*INDEX($Q187:$AJ187,1,(AP$4-1)*5+2)*INDEX($Q187:$AJ187,1,(AP$4-1)*5+3)</f>
        <v/>
      </c>
      <c r="AQ187" s="22">
        <f>INDEX($Q187:$AJ187,1,(AQ$4-1)*5+1)+AQ$8*INDEX($Q187:$AJ187,1,(AQ$4-1)*5+2)*INDEX($Q187:$AJ187,1,(AQ$4-1)*5+3)</f>
        <v/>
      </c>
      <c r="AR187" s="22">
        <f>INDEX($Q187:$AJ187,1,(AR$4-1)*5+1)+AR$8*INDEX($Q187:$AJ187,1,(AR$4-1)*5+2)*INDEX($Q187:$AJ187,1,(AR$4-1)*5+3)</f>
        <v/>
      </c>
      <c r="AS187" s="22">
        <f>INDEX($Q187:$AJ187,1,(AS$4-1)*5+1)+AS$8*INDEX($Q187:$AJ187,1,(AS$4-1)*5+2)*INDEX($Q187:$AJ187,1,(AS$4-1)*5+3)</f>
        <v/>
      </c>
      <c r="AT187" s="22">
        <f>INDEX($Q187:$AJ187,1,(AT$4-1)*5+1)+AT$8*INDEX($Q187:$AJ187,1,(AT$4-1)*5+2)*INDEX($Q187:$AJ187,1,(AT$4-1)*5+3)</f>
        <v/>
      </c>
      <c r="AU187" s="22">
        <f>INDEX($Q187:$AJ187,1,(AU$4-1)*5+1)+AU$8*INDEX($Q187:$AJ187,1,(AU$4-1)*5+2)*INDEX($Q187:$AJ187,1,(AU$4-1)*5+3)</f>
        <v/>
      </c>
      <c r="AV187" s="22">
        <f>INDEX($Q187:$AJ187,1,(AV$4-1)*5+1)+AV$8*INDEX($Q187:$AJ187,1,(AV$4-1)*5+2)*INDEX($Q187:$AJ187,1,(AV$4-1)*5+3)</f>
        <v/>
      </c>
      <c r="AW187" s="22">
        <f>INDEX($Q187:$AJ187,1,(AW$4-1)*5+1)+AW$8*INDEX($Q187:$AJ187,1,(AW$4-1)*5+2)*INDEX($Q187:$AJ187,1,(AW$4-1)*5+3)</f>
        <v/>
      </c>
      <c r="AX187" s="22">
        <f>INDEX($Q187:$AJ187,1,(AX$4-1)*5+1)+AX$8*INDEX($Q187:$AJ187,1,(AX$4-1)*5+2)*INDEX($Q187:$AJ187,1,(AX$4-1)*5+3)</f>
        <v/>
      </c>
      <c r="AY187" s="22">
        <f>INDEX($Q187:$AJ187,1,(AY$4-1)*5+1)+AY$8*INDEX($Q187:$AJ187,1,(AY$4-1)*5+2)*INDEX($Q187:$AJ187,1,(AY$4-1)*5+3)</f>
        <v/>
      </c>
      <c r="BA187" s="23">
        <f>INDEX($Q187:$AJ187,1,(BA$4-1)*5+1)+BA$8*INDEX($Q187:$AJ187,1,(BA$4-1)*5+2)*INDEX($Q187:$AJ187,1,(BA$4-1)*5+3)</f>
        <v/>
      </c>
      <c r="BB187" s="22">
        <f>INDEX($Q187:$AJ187,1,(BB$4-1)*5+1)+BB$8*INDEX($Q187:$AJ187,1,(BB$4-1)*5+2)*INDEX($Q187:$AJ187,1,(BB$4-1)*5+3)</f>
        <v/>
      </c>
      <c r="BC187" s="22">
        <f>INDEX($Q187:$AJ187,1,(BC$4-1)*5+1)+BC$8*INDEX($Q187:$AJ187,1,(BC$4-1)*5+2)*INDEX($Q187:$AJ187,1,(BC$4-1)*5+3)</f>
        <v/>
      </c>
      <c r="BD187" s="22">
        <f>INDEX($Q187:$AJ187,1,(BD$4-1)*5+1)+BD$8*INDEX($Q187:$AJ187,1,(BD$4-1)*5+2)*INDEX($Q187:$AJ187,1,(BD$4-1)*5+3)</f>
        <v/>
      </c>
      <c r="BE187" s="22">
        <f>INDEX($Q187:$AJ187,1,(BE$4-1)*5+1)+BE$8*INDEX($Q187:$AJ187,1,(BE$4-1)*5+2)*INDEX($Q187:$AJ187,1,(BE$4-1)*5+3)</f>
        <v/>
      </c>
      <c r="BF187" s="22">
        <f>INDEX($Q187:$AJ187,1,(BF$4-1)*5+1)+BF$8*INDEX($Q187:$AJ187,1,(BF$4-1)*5+2)*INDEX($Q187:$AJ187,1,(BF$4-1)*5+3)</f>
        <v/>
      </c>
      <c r="BG187" s="22">
        <f>INDEX($Q187:$AJ187,1,(BG$4-1)*5+1)+BG$8*INDEX($Q187:$AJ187,1,(BG$4-1)*5+2)*INDEX($Q187:$AJ187,1,(BG$4-1)*5+3)</f>
        <v/>
      </c>
      <c r="BH187" s="22">
        <f>INDEX($Q187:$AJ187,1,(BH$4-1)*5+1)+BH$8*INDEX($Q187:$AJ187,1,(BH$4-1)*5+2)*INDEX($Q187:$AJ187,1,(BH$4-1)*5+3)</f>
        <v/>
      </c>
      <c r="BI187" s="22">
        <f>INDEX($Q187:$AJ187,1,(BI$4-1)*5+1)+BI$8*INDEX($Q187:$AJ187,1,(BI$4-1)*5+2)*INDEX($Q187:$AJ187,1,(BI$4-1)*5+3)</f>
        <v/>
      </c>
      <c r="BJ187" s="22">
        <f>INDEX($Q187:$AJ187,1,(BJ$4-1)*5+1)+BJ$8*INDEX($Q187:$AJ187,1,(BJ$4-1)*5+2)*INDEX($Q187:$AJ187,1,(BJ$4-1)*5+3)</f>
        <v/>
      </c>
      <c r="BK187" s="22">
        <f>INDEX($Q187:$AJ187,1,(BK$4-1)*5+1)+BK$8*INDEX($Q187:$AJ187,1,(BK$4-1)*5+2)*INDEX($Q187:$AJ187,1,(BK$4-1)*5+3)</f>
        <v/>
      </c>
      <c r="BL187" s="22">
        <f>INDEX($Q187:$AJ187,1,(BL$4-1)*5+1)+BL$8*INDEX($Q187:$AJ187,1,(BL$4-1)*5+2)*INDEX($Q187:$AJ187,1,(BL$4-1)*5+3)</f>
        <v/>
      </c>
      <c r="BM187" s="22">
        <f>INDEX($Q187:$AJ187,1,(BM$4-1)*5+1)+BM$8*INDEX($Q187:$AJ187,1,(BM$4-1)*5+2)*INDEX($Q187:$AJ187,1,(BM$4-1)*5+3)</f>
        <v/>
      </c>
      <c r="BN187" s="22">
        <f>INDEX($Q187:$AJ187,1,(BN$4-1)*5+1)+BN$8*INDEX($Q187:$AJ187,1,(BN$4-1)*5+2)*INDEX($Q187:$AJ187,1,(BN$4-1)*5+3)</f>
        <v/>
      </c>
    </row>
    <row r="188">
      <c r="B188" s="5" t="inlineStr">
        <is>
          <t>bio</t>
        </is>
      </c>
      <c r="C188" s="5" t="inlineStr">
        <is>
          <t>foo</t>
        </is>
      </c>
      <c r="D188" s="5" t="inlineStr">
        <is>
          <t>Tax | Food &amp; forestry | Biomass</t>
        </is>
      </c>
      <c r="E188" s="5" t="inlineStr">
        <is>
          <t>$/GJ</t>
        </is>
      </c>
      <c r="F188" s="5" t="inlineStr">
        <is>
          <t>Prices_dom, EF_GHG, Mapping</t>
        </is>
      </c>
      <c r="G188" s="19" t="inlineStr">
        <is>
          <t>mit.rp.bio</t>
        </is>
      </c>
      <c r="H188" s="19" t="inlineStr">
        <is>
          <t>mit.tax.bio.foo</t>
        </is>
      </c>
      <c r="J188" s="5">
        <f>INDEX(Mapping!$C$5:$C$20,MATCH($C188,Mapping!$A$5:$A$20,0))</f>
        <v/>
      </c>
      <c r="K188" s="5">
        <f>INDEX(Mapping!$D$5:$D$20,MATCH($C188,Mapping!$A$5:$A$20,0))</f>
        <v/>
      </c>
      <c r="L188" s="5">
        <f>INDEX(Mapping!$C$24:$C$31,MATCH($B188,Mapping!$A$24:$A$31,0))</f>
        <v/>
      </c>
      <c r="M188" s="5">
        <f>INDEX(Mapping!$D$24:$D$31,MATCH($B188,Mapping!$A$24:$A$31,0))</f>
        <v/>
      </c>
      <c r="N188" s="5">
        <f>$B188&amp;"."&amp;IF(INDEX(Mapping!$E$24:$E$31,MATCH($B188,Mapping!$A$24:$A$31,0))="sub",INDEX(Mapping!$F$5:$F$20,MATCH($C188,Mapping!$A$5:$A$20,0)),"all")</f>
        <v/>
      </c>
      <c r="O188" s="5">
        <f>INDEX(Mapping!$E$5:$E$20,MATCH($C188,Mapping!$A$5:$A$20,0))</f>
        <v/>
      </c>
      <c r="P188" s="5">
        <f>INDEX(Mapping!$G$24:$G$31,MATCH($B188,Mapping!$A$24:$A$31,0))</f>
        <v/>
      </c>
      <c r="Q188" s="22">
        <f>(INDEX(Prices_dom!$A$6:$CU$2000,MATCH(Settings!$C$4&amp;Settings!$C$7,Prices_dom!$A$6:$A$2000,0),MATCH("mit.rp."&amp;$N188,Prices_dom!$A$5:$CU$5,0))-INDEX(Prices_dom!$A$6:$CU$2000,MATCH(Settings!$C$4&amp;Settings!$C$7,Prices_dom!$A$6:$A$2000,0),MATCH("mit.sp."&amp;$N188,Prices_dom!$A$5:$CU$5,0)))/$P188</f>
        <v/>
      </c>
      <c r="R188" s="22">
        <f>INDEX(EF_GHG!$E$4:$E$1000,MATCH(Settings!$C$4&amp;"|"&amp;$B188&amp;"|"&amp;$O188,EF_GHG!$A$4:$A$1000,0))</f>
        <v/>
      </c>
      <c r="S188" s="22">
        <f>INDEX(Mapping!$G$5:$G$20,MATCH($C188,Mapping!$A$5:$A$20,0))</f>
        <v/>
      </c>
      <c r="T188" s="21" t="n"/>
      <c r="U188" s="21" t="n"/>
      <c r="V188" s="22">
        <f>Q188</f>
        <v/>
      </c>
      <c r="W188" s="22">
        <f>R188</f>
        <v/>
      </c>
      <c r="X188" s="22">
        <f>S188</f>
        <v/>
      </c>
      <c r="Y188" s="21" t="n"/>
      <c r="Z188" s="21" t="n"/>
      <c r="AA188" s="22">
        <f>Q188</f>
        <v/>
      </c>
      <c r="AB188" s="22">
        <f>R188</f>
        <v/>
      </c>
      <c r="AC188" s="22">
        <f>S188</f>
        <v/>
      </c>
      <c r="AD188" s="21" t="n"/>
      <c r="AE188" s="21" t="n"/>
      <c r="AF188" s="22">
        <f>Q188</f>
        <v/>
      </c>
      <c r="AG188" s="22">
        <f>R188</f>
        <v/>
      </c>
      <c r="AH188" s="22">
        <f>S188</f>
        <v/>
      </c>
      <c r="AI188" s="21" t="n"/>
      <c r="AJ188" s="21" t="n"/>
      <c r="AL188" s="23">
        <f>INDEX($Q188:$AJ188,1,(AL$4-1)*5+1)+AL$8*INDEX($Q188:$AJ188,1,(AL$4-1)*5+2)*INDEX($Q188:$AJ188,1,(AL$4-1)*5+3)</f>
        <v/>
      </c>
      <c r="AM188" s="22">
        <f>INDEX($Q188:$AJ188,1,(AM$4-1)*5+1)+AM$8*INDEX($Q188:$AJ188,1,(AM$4-1)*5+2)*INDEX($Q188:$AJ188,1,(AM$4-1)*5+3)</f>
        <v/>
      </c>
      <c r="AN188" s="22">
        <f>INDEX($Q188:$AJ188,1,(AN$4-1)*5+1)+AN$8*INDEX($Q188:$AJ188,1,(AN$4-1)*5+2)*INDEX($Q188:$AJ188,1,(AN$4-1)*5+3)</f>
        <v/>
      </c>
      <c r="AO188" s="22">
        <f>INDEX($Q188:$AJ188,1,(AO$4-1)*5+1)+AO$8*INDEX($Q188:$AJ188,1,(AO$4-1)*5+2)*INDEX($Q188:$AJ188,1,(AO$4-1)*5+3)</f>
        <v/>
      </c>
      <c r="AP188" s="22">
        <f>INDEX($Q188:$AJ188,1,(AP$4-1)*5+1)+AP$8*INDEX($Q188:$AJ188,1,(AP$4-1)*5+2)*INDEX($Q188:$AJ188,1,(AP$4-1)*5+3)</f>
        <v/>
      </c>
      <c r="AQ188" s="22">
        <f>INDEX($Q188:$AJ188,1,(AQ$4-1)*5+1)+AQ$8*INDEX($Q188:$AJ188,1,(AQ$4-1)*5+2)*INDEX($Q188:$AJ188,1,(AQ$4-1)*5+3)</f>
        <v/>
      </c>
      <c r="AR188" s="22">
        <f>INDEX($Q188:$AJ188,1,(AR$4-1)*5+1)+AR$8*INDEX($Q188:$AJ188,1,(AR$4-1)*5+2)*INDEX($Q188:$AJ188,1,(AR$4-1)*5+3)</f>
        <v/>
      </c>
      <c r="AS188" s="22">
        <f>INDEX($Q188:$AJ188,1,(AS$4-1)*5+1)+AS$8*INDEX($Q188:$AJ188,1,(AS$4-1)*5+2)*INDEX($Q188:$AJ188,1,(AS$4-1)*5+3)</f>
        <v/>
      </c>
      <c r="AT188" s="22">
        <f>INDEX($Q188:$AJ188,1,(AT$4-1)*5+1)+AT$8*INDEX($Q188:$AJ188,1,(AT$4-1)*5+2)*INDEX($Q188:$AJ188,1,(AT$4-1)*5+3)</f>
        <v/>
      </c>
      <c r="AU188" s="22">
        <f>INDEX($Q188:$AJ188,1,(AU$4-1)*5+1)+AU$8*INDEX($Q188:$AJ188,1,(AU$4-1)*5+2)*INDEX($Q188:$AJ188,1,(AU$4-1)*5+3)</f>
        <v/>
      </c>
      <c r="AV188" s="22">
        <f>INDEX($Q188:$AJ188,1,(AV$4-1)*5+1)+AV$8*INDEX($Q188:$AJ188,1,(AV$4-1)*5+2)*INDEX($Q188:$AJ188,1,(AV$4-1)*5+3)</f>
        <v/>
      </c>
      <c r="AW188" s="22">
        <f>INDEX($Q188:$AJ188,1,(AW$4-1)*5+1)+AW$8*INDEX($Q188:$AJ188,1,(AW$4-1)*5+2)*INDEX($Q188:$AJ188,1,(AW$4-1)*5+3)</f>
        <v/>
      </c>
      <c r="AX188" s="22">
        <f>INDEX($Q188:$AJ188,1,(AX$4-1)*5+1)+AX$8*INDEX($Q188:$AJ188,1,(AX$4-1)*5+2)*INDEX($Q188:$AJ188,1,(AX$4-1)*5+3)</f>
        <v/>
      </c>
      <c r="AY188" s="22">
        <f>INDEX($Q188:$AJ188,1,(AY$4-1)*5+1)+AY$8*INDEX($Q188:$AJ188,1,(AY$4-1)*5+2)*INDEX($Q188:$AJ188,1,(AY$4-1)*5+3)</f>
        <v/>
      </c>
      <c r="BA188" s="23">
        <f>INDEX($Q188:$AJ188,1,(BA$4-1)*5+1)+BA$8*INDEX($Q188:$AJ188,1,(BA$4-1)*5+2)*INDEX($Q188:$AJ188,1,(BA$4-1)*5+3)</f>
        <v/>
      </c>
      <c r="BB188" s="22">
        <f>INDEX($Q188:$AJ188,1,(BB$4-1)*5+1)+BB$8*INDEX($Q188:$AJ188,1,(BB$4-1)*5+2)*INDEX($Q188:$AJ188,1,(BB$4-1)*5+3)</f>
        <v/>
      </c>
      <c r="BC188" s="22">
        <f>INDEX($Q188:$AJ188,1,(BC$4-1)*5+1)+BC$8*INDEX($Q188:$AJ188,1,(BC$4-1)*5+2)*INDEX($Q188:$AJ188,1,(BC$4-1)*5+3)</f>
        <v/>
      </c>
      <c r="BD188" s="22">
        <f>INDEX($Q188:$AJ188,1,(BD$4-1)*5+1)+BD$8*INDEX($Q188:$AJ188,1,(BD$4-1)*5+2)*INDEX($Q188:$AJ188,1,(BD$4-1)*5+3)</f>
        <v/>
      </c>
      <c r="BE188" s="22">
        <f>INDEX($Q188:$AJ188,1,(BE$4-1)*5+1)+BE$8*INDEX($Q188:$AJ188,1,(BE$4-1)*5+2)*INDEX($Q188:$AJ188,1,(BE$4-1)*5+3)</f>
        <v/>
      </c>
      <c r="BF188" s="22">
        <f>INDEX($Q188:$AJ188,1,(BF$4-1)*5+1)+BF$8*INDEX($Q188:$AJ188,1,(BF$4-1)*5+2)*INDEX($Q188:$AJ188,1,(BF$4-1)*5+3)</f>
        <v/>
      </c>
      <c r="BG188" s="22">
        <f>INDEX($Q188:$AJ188,1,(BG$4-1)*5+1)+BG$8*INDEX($Q188:$AJ188,1,(BG$4-1)*5+2)*INDEX($Q188:$AJ188,1,(BG$4-1)*5+3)</f>
        <v/>
      </c>
      <c r="BH188" s="22">
        <f>INDEX($Q188:$AJ188,1,(BH$4-1)*5+1)+BH$8*INDEX($Q188:$AJ188,1,(BH$4-1)*5+2)*INDEX($Q188:$AJ188,1,(BH$4-1)*5+3)</f>
        <v/>
      </c>
      <c r="BI188" s="22">
        <f>INDEX($Q188:$AJ188,1,(BI$4-1)*5+1)+BI$8*INDEX($Q188:$AJ188,1,(BI$4-1)*5+2)*INDEX($Q188:$AJ188,1,(BI$4-1)*5+3)</f>
        <v/>
      </c>
      <c r="BJ188" s="22">
        <f>INDEX($Q188:$AJ188,1,(BJ$4-1)*5+1)+BJ$8*INDEX($Q188:$AJ188,1,(BJ$4-1)*5+2)*INDEX($Q188:$AJ188,1,(BJ$4-1)*5+3)</f>
        <v/>
      </c>
      <c r="BK188" s="22">
        <f>INDEX($Q188:$AJ188,1,(BK$4-1)*5+1)+BK$8*INDEX($Q188:$AJ188,1,(BK$4-1)*5+2)*INDEX($Q188:$AJ188,1,(BK$4-1)*5+3)</f>
        <v/>
      </c>
      <c r="BL188" s="22">
        <f>INDEX($Q188:$AJ188,1,(BL$4-1)*5+1)+BL$8*INDEX($Q188:$AJ188,1,(BL$4-1)*5+2)*INDEX($Q188:$AJ188,1,(BL$4-1)*5+3)</f>
        <v/>
      </c>
      <c r="BM188" s="22">
        <f>INDEX($Q188:$AJ188,1,(BM$4-1)*5+1)+BM$8*INDEX($Q188:$AJ188,1,(BM$4-1)*5+2)*INDEX($Q188:$AJ188,1,(BM$4-1)*5+3)</f>
        <v/>
      </c>
      <c r="BN188" s="22">
        <f>INDEX($Q188:$AJ188,1,(BN$4-1)*5+1)+BN$8*INDEX($Q188:$AJ188,1,(BN$4-1)*5+2)*INDEX($Q188:$AJ188,1,(BN$4-1)*5+3)</f>
        <v/>
      </c>
    </row>
    <row r="189">
      <c r="B189" s="5" t="inlineStr">
        <is>
          <t>coa</t>
        </is>
      </c>
      <c r="C189" s="5" t="inlineStr">
        <is>
          <t>srv</t>
        </is>
      </c>
      <c r="D189" s="5" t="inlineStr">
        <is>
          <t>Tax | Services (public &amp; private) | Coal</t>
        </is>
      </c>
      <c r="E189" s="5" t="inlineStr">
        <is>
          <t>$/GJ</t>
        </is>
      </c>
      <c r="F189" s="5" t="inlineStr">
        <is>
          <t>Prices_dom, EF_GHG, Mapping</t>
        </is>
      </c>
      <c r="G189" s="19" t="inlineStr">
        <is>
          <t>mit.rp.coa</t>
        </is>
      </c>
      <c r="H189" s="19" t="inlineStr">
        <is>
          <t>mit.tax.coa.srv</t>
        </is>
      </c>
      <c r="J189" s="5">
        <f>INDEX(Mapping!$C$5:$C$20,MATCH($C189,Mapping!$A$5:$A$20,0))</f>
        <v/>
      </c>
      <c r="K189" s="5">
        <f>INDEX(Mapping!$D$5:$D$20,MATCH($C189,Mapping!$A$5:$A$20,0))</f>
        <v/>
      </c>
      <c r="L189" s="5">
        <f>INDEX(Mapping!$C$24:$C$31,MATCH($B189,Mapping!$A$24:$A$31,0))</f>
        <v/>
      </c>
      <c r="M189" s="5">
        <f>INDEX(Mapping!$D$24:$D$31,MATCH($B189,Mapping!$A$24:$A$31,0))</f>
        <v/>
      </c>
      <c r="N189" s="5">
        <f>$B189&amp;"."&amp;IF(INDEX(Mapping!$E$24:$E$31,MATCH($B189,Mapping!$A$24:$A$31,0))="sub",INDEX(Mapping!$F$5:$F$20,MATCH($C189,Mapping!$A$5:$A$20,0)),"all")</f>
        <v/>
      </c>
      <c r="O189" s="5">
        <f>INDEX(Mapping!$E$5:$E$20,MATCH($C189,Mapping!$A$5:$A$20,0))</f>
        <v/>
      </c>
      <c r="P189" s="5">
        <f>INDEX(Mapping!$G$24:$G$31,MATCH($B189,Mapping!$A$24:$A$31,0))</f>
        <v/>
      </c>
      <c r="Q189" s="22">
        <f>(INDEX(Prices_dom!$A$6:$CU$2000,MATCH(Settings!$C$4&amp;Settings!$C$7,Prices_dom!$A$6:$A$2000,0),MATCH("mit.rp."&amp;$N189,Prices_dom!$A$5:$CU$5,0))-INDEX(Prices_dom!$A$6:$CU$2000,MATCH(Settings!$C$4&amp;Settings!$C$7,Prices_dom!$A$6:$A$2000,0),MATCH("mit.sp."&amp;$N189,Prices_dom!$A$5:$CU$5,0)))/$P189</f>
        <v/>
      </c>
      <c r="R189" s="22">
        <f>INDEX(EF_GHG!$E$4:$E$1000,MATCH(Settings!$C$4&amp;"|"&amp;$B189&amp;"|"&amp;$O189,EF_GHG!$A$4:$A$1000,0))</f>
        <v/>
      </c>
      <c r="S189" s="22">
        <f>INDEX(Mapping!$G$5:$G$20,MATCH($C189,Mapping!$A$5:$A$20,0))</f>
        <v/>
      </c>
      <c r="T189" s="21" t="n"/>
      <c r="U189" s="21" t="n"/>
      <c r="V189" s="22">
        <f>Q189</f>
        <v/>
      </c>
      <c r="W189" s="22">
        <f>R189</f>
        <v/>
      </c>
      <c r="X189" s="22">
        <f>S189</f>
        <v/>
      </c>
      <c r="Y189" s="21" t="n"/>
      <c r="Z189" s="21" t="n"/>
      <c r="AA189" s="22">
        <f>Q189</f>
        <v/>
      </c>
      <c r="AB189" s="22">
        <f>R189</f>
        <v/>
      </c>
      <c r="AC189" s="22">
        <f>S189</f>
        <v/>
      </c>
      <c r="AD189" s="21" t="n"/>
      <c r="AE189" s="21" t="n"/>
      <c r="AF189" s="22">
        <f>Q189</f>
        <v/>
      </c>
      <c r="AG189" s="22">
        <f>R189</f>
        <v/>
      </c>
      <c r="AH189" s="22">
        <f>S189</f>
        <v/>
      </c>
      <c r="AI189" s="21" t="n"/>
      <c r="AJ189" s="21" t="n"/>
      <c r="AL189" s="23">
        <f>INDEX($Q189:$AJ189,1,(AL$4-1)*5+1)+AL$8*INDEX($Q189:$AJ189,1,(AL$4-1)*5+2)*INDEX($Q189:$AJ189,1,(AL$4-1)*5+3)</f>
        <v/>
      </c>
      <c r="AM189" s="22">
        <f>INDEX($Q189:$AJ189,1,(AM$4-1)*5+1)+AM$8*INDEX($Q189:$AJ189,1,(AM$4-1)*5+2)*INDEX($Q189:$AJ189,1,(AM$4-1)*5+3)</f>
        <v/>
      </c>
      <c r="AN189" s="22">
        <f>INDEX($Q189:$AJ189,1,(AN$4-1)*5+1)+AN$8*INDEX($Q189:$AJ189,1,(AN$4-1)*5+2)*INDEX($Q189:$AJ189,1,(AN$4-1)*5+3)</f>
        <v/>
      </c>
      <c r="AO189" s="22">
        <f>INDEX($Q189:$AJ189,1,(AO$4-1)*5+1)+AO$8*INDEX($Q189:$AJ189,1,(AO$4-1)*5+2)*INDEX($Q189:$AJ189,1,(AO$4-1)*5+3)</f>
        <v/>
      </c>
      <c r="AP189" s="22">
        <f>INDEX($Q189:$AJ189,1,(AP$4-1)*5+1)+AP$8*INDEX($Q189:$AJ189,1,(AP$4-1)*5+2)*INDEX($Q189:$AJ189,1,(AP$4-1)*5+3)</f>
        <v/>
      </c>
      <c r="AQ189" s="22">
        <f>INDEX($Q189:$AJ189,1,(AQ$4-1)*5+1)+AQ$8*INDEX($Q189:$AJ189,1,(AQ$4-1)*5+2)*INDEX($Q189:$AJ189,1,(AQ$4-1)*5+3)</f>
        <v/>
      </c>
      <c r="AR189" s="22">
        <f>INDEX($Q189:$AJ189,1,(AR$4-1)*5+1)+AR$8*INDEX($Q189:$AJ189,1,(AR$4-1)*5+2)*INDEX($Q189:$AJ189,1,(AR$4-1)*5+3)</f>
        <v/>
      </c>
      <c r="AS189" s="22">
        <f>INDEX($Q189:$AJ189,1,(AS$4-1)*5+1)+AS$8*INDEX($Q189:$AJ189,1,(AS$4-1)*5+2)*INDEX($Q189:$AJ189,1,(AS$4-1)*5+3)</f>
        <v/>
      </c>
      <c r="AT189" s="22">
        <f>INDEX($Q189:$AJ189,1,(AT$4-1)*5+1)+AT$8*INDEX($Q189:$AJ189,1,(AT$4-1)*5+2)*INDEX($Q189:$AJ189,1,(AT$4-1)*5+3)</f>
        <v/>
      </c>
      <c r="AU189" s="22">
        <f>INDEX($Q189:$AJ189,1,(AU$4-1)*5+1)+AU$8*INDEX($Q189:$AJ189,1,(AU$4-1)*5+2)*INDEX($Q189:$AJ189,1,(AU$4-1)*5+3)</f>
        <v/>
      </c>
      <c r="AV189" s="22">
        <f>INDEX($Q189:$AJ189,1,(AV$4-1)*5+1)+AV$8*INDEX($Q189:$AJ189,1,(AV$4-1)*5+2)*INDEX($Q189:$AJ189,1,(AV$4-1)*5+3)</f>
        <v/>
      </c>
      <c r="AW189" s="22">
        <f>INDEX($Q189:$AJ189,1,(AW$4-1)*5+1)+AW$8*INDEX($Q189:$AJ189,1,(AW$4-1)*5+2)*INDEX($Q189:$AJ189,1,(AW$4-1)*5+3)</f>
        <v/>
      </c>
      <c r="AX189" s="22">
        <f>INDEX($Q189:$AJ189,1,(AX$4-1)*5+1)+AX$8*INDEX($Q189:$AJ189,1,(AX$4-1)*5+2)*INDEX($Q189:$AJ189,1,(AX$4-1)*5+3)</f>
        <v/>
      </c>
      <c r="AY189" s="22">
        <f>INDEX($Q189:$AJ189,1,(AY$4-1)*5+1)+AY$8*INDEX($Q189:$AJ189,1,(AY$4-1)*5+2)*INDEX($Q189:$AJ189,1,(AY$4-1)*5+3)</f>
        <v/>
      </c>
      <c r="BA189" s="23">
        <f>INDEX($Q189:$AJ189,1,(BA$4-1)*5+1)+BA$8*INDEX($Q189:$AJ189,1,(BA$4-1)*5+2)*INDEX($Q189:$AJ189,1,(BA$4-1)*5+3)</f>
        <v/>
      </c>
      <c r="BB189" s="22">
        <f>INDEX($Q189:$AJ189,1,(BB$4-1)*5+1)+BB$8*INDEX($Q189:$AJ189,1,(BB$4-1)*5+2)*INDEX($Q189:$AJ189,1,(BB$4-1)*5+3)</f>
        <v/>
      </c>
      <c r="BC189" s="22">
        <f>INDEX($Q189:$AJ189,1,(BC$4-1)*5+1)+BC$8*INDEX($Q189:$AJ189,1,(BC$4-1)*5+2)*INDEX($Q189:$AJ189,1,(BC$4-1)*5+3)</f>
        <v/>
      </c>
      <c r="BD189" s="22">
        <f>INDEX($Q189:$AJ189,1,(BD$4-1)*5+1)+BD$8*INDEX($Q189:$AJ189,1,(BD$4-1)*5+2)*INDEX($Q189:$AJ189,1,(BD$4-1)*5+3)</f>
        <v/>
      </c>
      <c r="BE189" s="22">
        <f>INDEX($Q189:$AJ189,1,(BE$4-1)*5+1)+BE$8*INDEX($Q189:$AJ189,1,(BE$4-1)*5+2)*INDEX($Q189:$AJ189,1,(BE$4-1)*5+3)</f>
        <v/>
      </c>
      <c r="BF189" s="22">
        <f>INDEX($Q189:$AJ189,1,(BF$4-1)*5+1)+BF$8*INDEX($Q189:$AJ189,1,(BF$4-1)*5+2)*INDEX($Q189:$AJ189,1,(BF$4-1)*5+3)</f>
        <v/>
      </c>
      <c r="BG189" s="22">
        <f>INDEX($Q189:$AJ189,1,(BG$4-1)*5+1)+BG$8*INDEX($Q189:$AJ189,1,(BG$4-1)*5+2)*INDEX($Q189:$AJ189,1,(BG$4-1)*5+3)</f>
        <v/>
      </c>
      <c r="BH189" s="22">
        <f>INDEX($Q189:$AJ189,1,(BH$4-1)*5+1)+BH$8*INDEX($Q189:$AJ189,1,(BH$4-1)*5+2)*INDEX($Q189:$AJ189,1,(BH$4-1)*5+3)</f>
        <v/>
      </c>
      <c r="BI189" s="22">
        <f>INDEX($Q189:$AJ189,1,(BI$4-1)*5+1)+BI$8*INDEX($Q189:$AJ189,1,(BI$4-1)*5+2)*INDEX($Q189:$AJ189,1,(BI$4-1)*5+3)</f>
        <v/>
      </c>
      <c r="BJ189" s="22">
        <f>INDEX($Q189:$AJ189,1,(BJ$4-1)*5+1)+BJ$8*INDEX($Q189:$AJ189,1,(BJ$4-1)*5+2)*INDEX($Q189:$AJ189,1,(BJ$4-1)*5+3)</f>
        <v/>
      </c>
      <c r="BK189" s="22">
        <f>INDEX($Q189:$AJ189,1,(BK$4-1)*5+1)+BK$8*INDEX($Q189:$AJ189,1,(BK$4-1)*5+2)*INDEX($Q189:$AJ189,1,(BK$4-1)*5+3)</f>
        <v/>
      </c>
      <c r="BL189" s="22">
        <f>INDEX($Q189:$AJ189,1,(BL$4-1)*5+1)+BL$8*INDEX($Q189:$AJ189,1,(BL$4-1)*5+2)*INDEX($Q189:$AJ189,1,(BL$4-1)*5+3)</f>
        <v/>
      </c>
      <c r="BM189" s="22">
        <f>INDEX($Q189:$AJ189,1,(BM$4-1)*5+1)+BM$8*INDEX($Q189:$AJ189,1,(BM$4-1)*5+2)*INDEX($Q189:$AJ189,1,(BM$4-1)*5+3)</f>
        <v/>
      </c>
      <c r="BN189" s="22">
        <f>INDEX($Q189:$AJ189,1,(BN$4-1)*5+1)+BN$8*INDEX($Q189:$AJ189,1,(BN$4-1)*5+2)*INDEX($Q189:$AJ189,1,(BN$4-1)*5+3)</f>
        <v/>
      </c>
    </row>
    <row r="190">
      <c r="B190" s="5" t="inlineStr">
        <is>
          <t>nga</t>
        </is>
      </c>
      <c r="C190" s="5" t="inlineStr">
        <is>
          <t>srv</t>
        </is>
      </c>
      <c r="D190" s="5" t="inlineStr">
        <is>
          <t>Tax | Services (public &amp; private) | Natural gas</t>
        </is>
      </c>
      <c r="E190" s="5" t="inlineStr">
        <is>
          <t>$/GJ</t>
        </is>
      </c>
      <c r="F190" s="5" t="inlineStr">
        <is>
          <t>Prices_dom, EF_GHG, Mapping</t>
        </is>
      </c>
      <c r="G190" s="19" t="inlineStr">
        <is>
          <t>mit.rp.nga</t>
        </is>
      </c>
      <c r="H190" s="19" t="inlineStr">
        <is>
          <t>mit.tax.nga.srv</t>
        </is>
      </c>
      <c r="J190" s="5">
        <f>INDEX(Mapping!$C$5:$C$20,MATCH($C190,Mapping!$A$5:$A$20,0))</f>
        <v/>
      </c>
      <c r="K190" s="5">
        <f>INDEX(Mapping!$D$5:$D$20,MATCH($C190,Mapping!$A$5:$A$20,0))</f>
        <v/>
      </c>
      <c r="L190" s="5">
        <f>INDEX(Mapping!$C$24:$C$31,MATCH($B190,Mapping!$A$24:$A$31,0))</f>
        <v/>
      </c>
      <c r="M190" s="5">
        <f>INDEX(Mapping!$D$24:$D$31,MATCH($B190,Mapping!$A$24:$A$31,0))</f>
        <v/>
      </c>
      <c r="N190" s="5">
        <f>$B190&amp;"."&amp;IF(INDEX(Mapping!$E$24:$E$31,MATCH($B190,Mapping!$A$24:$A$31,0))="sub",INDEX(Mapping!$F$5:$F$20,MATCH($C190,Mapping!$A$5:$A$20,0)),"all")</f>
        <v/>
      </c>
      <c r="O190" s="5">
        <f>INDEX(Mapping!$E$5:$E$20,MATCH($C190,Mapping!$A$5:$A$20,0))</f>
        <v/>
      </c>
      <c r="P190" s="5">
        <f>INDEX(Mapping!$G$24:$G$31,MATCH($B190,Mapping!$A$24:$A$31,0))</f>
        <v/>
      </c>
      <c r="Q190" s="22">
        <f>(INDEX(Prices_dom!$A$6:$CU$2000,MATCH(Settings!$C$4&amp;Settings!$C$7,Prices_dom!$A$6:$A$2000,0),MATCH("mit.rp."&amp;$N190,Prices_dom!$A$5:$CU$5,0))-INDEX(Prices_dom!$A$6:$CU$2000,MATCH(Settings!$C$4&amp;Settings!$C$7,Prices_dom!$A$6:$A$2000,0),MATCH("mit.sp."&amp;$N190,Prices_dom!$A$5:$CU$5,0)))/$P190</f>
        <v/>
      </c>
      <c r="R190" s="22">
        <f>INDEX(EF_GHG!$E$4:$E$1000,MATCH(Settings!$C$4&amp;"|"&amp;$B190&amp;"|"&amp;$O190,EF_GHG!$A$4:$A$1000,0))</f>
        <v/>
      </c>
      <c r="S190" s="22">
        <f>INDEX(Mapping!$G$5:$G$20,MATCH($C190,Mapping!$A$5:$A$20,0))</f>
        <v/>
      </c>
      <c r="T190" s="21" t="n"/>
      <c r="U190" s="21" t="n"/>
      <c r="V190" s="22">
        <f>Q190</f>
        <v/>
      </c>
      <c r="W190" s="22">
        <f>R190</f>
        <v/>
      </c>
      <c r="X190" s="22">
        <f>S190</f>
        <v/>
      </c>
      <c r="Y190" s="21" t="n"/>
      <c r="Z190" s="21" t="n"/>
      <c r="AA190" s="22">
        <f>Q190</f>
        <v/>
      </c>
      <c r="AB190" s="22">
        <f>R190</f>
        <v/>
      </c>
      <c r="AC190" s="22">
        <f>S190</f>
        <v/>
      </c>
      <c r="AD190" s="21" t="n"/>
      <c r="AE190" s="21" t="n"/>
      <c r="AF190" s="22">
        <f>Q190</f>
        <v/>
      </c>
      <c r="AG190" s="22">
        <f>R190</f>
        <v/>
      </c>
      <c r="AH190" s="22">
        <f>S190</f>
        <v/>
      </c>
      <c r="AI190" s="21" t="n"/>
      <c r="AJ190" s="21" t="n"/>
      <c r="AL190" s="23">
        <f>INDEX($Q190:$AJ190,1,(AL$4-1)*5+1)+AL$8*INDEX($Q190:$AJ190,1,(AL$4-1)*5+2)*INDEX($Q190:$AJ190,1,(AL$4-1)*5+3)</f>
        <v/>
      </c>
      <c r="AM190" s="22">
        <f>INDEX($Q190:$AJ190,1,(AM$4-1)*5+1)+AM$8*INDEX($Q190:$AJ190,1,(AM$4-1)*5+2)*INDEX($Q190:$AJ190,1,(AM$4-1)*5+3)</f>
        <v/>
      </c>
      <c r="AN190" s="22">
        <f>INDEX($Q190:$AJ190,1,(AN$4-1)*5+1)+AN$8*INDEX($Q190:$AJ190,1,(AN$4-1)*5+2)*INDEX($Q190:$AJ190,1,(AN$4-1)*5+3)</f>
        <v/>
      </c>
      <c r="AO190" s="22">
        <f>INDEX($Q190:$AJ190,1,(AO$4-1)*5+1)+AO$8*INDEX($Q190:$AJ190,1,(AO$4-1)*5+2)*INDEX($Q190:$AJ190,1,(AO$4-1)*5+3)</f>
        <v/>
      </c>
      <c r="AP190" s="22">
        <f>INDEX($Q190:$AJ190,1,(AP$4-1)*5+1)+AP$8*INDEX($Q190:$AJ190,1,(AP$4-1)*5+2)*INDEX($Q190:$AJ190,1,(AP$4-1)*5+3)</f>
        <v/>
      </c>
      <c r="AQ190" s="22">
        <f>INDEX($Q190:$AJ190,1,(AQ$4-1)*5+1)+AQ$8*INDEX($Q190:$AJ190,1,(AQ$4-1)*5+2)*INDEX($Q190:$AJ190,1,(AQ$4-1)*5+3)</f>
        <v/>
      </c>
      <c r="AR190" s="22">
        <f>INDEX($Q190:$AJ190,1,(AR$4-1)*5+1)+AR$8*INDEX($Q190:$AJ190,1,(AR$4-1)*5+2)*INDEX($Q190:$AJ190,1,(AR$4-1)*5+3)</f>
        <v/>
      </c>
      <c r="AS190" s="22">
        <f>INDEX($Q190:$AJ190,1,(AS$4-1)*5+1)+AS$8*INDEX($Q190:$AJ190,1,(AS$4-1)*5+2)*INDEX($Q190:$AJ190,1,(AS$4-1)*5+3)</f>
        <v/>
      </c>
      <c r="AT190" s="22">
        <f>INDEX($Q190:$AJ190,1,(AT$4-1)*5+1)+AT$8*INDEX($Q190:$AJ190,1,(AT$4-1)*5+2)*INDEX($Q190:$AJ190,1,(AT$4-1)*5+3)</f>
        <v/>
      </c>
      <c r="AU190" s="22">
        <f>INDEX($Q190:$AJ190,1,(AU$4-1)*5+1)+AU$8*INDEX($Q190:$AJ190,1,(AU$4-1)*5+2)*INDEX($Q190:$AJ190,1,(AU$4-1)*5+3)</f>
        <v/>
      </c>
      <c r="AV190" s="22">
        <f>INDEX($Q190:$AJ190,1,(AV$4-1)*5+1)+AV$8*INDEX($Q190:$AJ190,1,(AV$4-1)*5+2)*INDEX($Q190:$AJ190,1,(AV$4-1)*5+3)</f>
        <v/>
      </c>
      <c r="AW190" s="22">
        <f>INDEX($Q190:$AJ190,1,(AW$4-1)*5+1)+AW$8*INDEX($Q190:$AJ190,1,(AW$4-1)*5+2)*INDEX($Q190:$AJ190,1,(AW$4-1)*5+3)</f>
        <v/>
      </c>
      <c r="AX190" s="22">
        <f>INDEX($Q190:$AJ190,1,(AX$4-1)*5+1)+AX$8*INDEX($Q190:$AJ190,1,(AX$4-1)*5+2)*INDEX($Q190:$AJ190,1,(AX$4-1)*5+3)</f>
        <v/>
      </c>
      <c r="AY190" s="22">
        <f>INDEX($Q190:$AJ190,1,(AY$4-1)*5+1)+AY$8*INDEX($Q190:$AJ190,1,(AY$4-1)*5+2)*INDEX($Q190:$AJ190,1,(AY$4-1)*5+3)</f>
        <v/>
      </c>
      <c r="BA190" s="23">
        <f>INDEX($Q190:$AJ190,1,(BA$4-1)*5+1)+BA$8*INDEX($Q190:$AJ190,1,(BA$4-1)*5+2)*INDEX($Q190:$AJ190,1,(BA$4-1)*5+3)</f>
        <v/>
      </c>
      <c r="BB190" s="22">
        <f>INDEX($Q190:$AJ190,1,(BB$4-1)*5+1)+BB$8*INDEX($Q190:$AJ190,1,(BB$4-1)*5+2)*INDEX($Q190:$AJ190,1,(BB$4-1)*5+3)</f>
        <v/>
      </c>
      <c r="BC190" s="22">
        <f>INDEX($Q190:$AJ190,1,(BC$4-1)*5+1)+BC$8*INDEX($Q190:$AJ190,1,(BC$4-1)*5+2)*INDEX($Q190:$AJ190,1,(BC$4-1)*5+3)</f>
        <v/>
      </c>
      <c r="BD190" s="22">
        <f>INDEX($Q190:$AJ190,1,(BD$4-1)*5+1)+BD$8*INDEX($Q190:$AJ190,1,(BD$4-1)*5+2)*INDEX($Q190:$AJ190,1,(BD$4-1)*5+3)</f>
        <v/>
      </c>
      <c r="BE190" s="22">
        <f>INDEX($Q190:$AJ190,1,(BE$4-1)*5+1)+BE$8*INDEX($Q190:$AJ190,1,(BE$4-1)*5+2)*INDEX($Q190:$AJ190,1,(BE$4-1)*5+3)</f>
        <v/>
      </c>
      <c r="BF190" s="22">
        <f>INDEX($Q190:$AJ190,1,(BF$4-1)*5+1)+BF$8*INDEX($Q190:$AJ190,1,(BF$4-1)*5+2)*INDEX($Q190:$AJ190,1,(BF$4-1)*5+3)</f>
        <v/>
      </c>
      <c r="BG190" s="22">
        <f>INDEX($Q190:$AJ190,1,(BG$4-1)*5+1)+BG$8*INDEX($Q190:$AJ190,1,(BG$4-1)*5+2)*INDEX($Q190:$AJ190,1,(BG$4-1)*5+3)</f>
        <v/>
      </c>
      <c r="BH190" s="22">
        <f>INDEX($Q190:$AJ190,1,(BH$4-1)*5+1)+BH$8*INDEX($Q190:$AJ190,1,(BH$4-1)*5+2)*INDEX($Q190:$AJ190,1,(BH$4-1)*5+3)</f>
        <v/>
      </c>
      <c r="BI190" s="22">
        <f>INDEX($Q190:$AJ190,1,(BI$4-1)*5+1)+BI$8*INDEX($Q190:$AJ190,1,(BI$4-1)*5+2)*INDEX($Q190:$AJ190,1,(BI$4-1)*5+3)</f>
        <v/>
      </c>
      <c r="BJ190" s="22">
        <f>INDEX($Q190:$AJ190,1,(BJ$4-1)*5+1)+BJ$8*INDEX($Q190:$AJ190,1,(BJ$4-1)*5+2)*INDEX($Q190:$AJ190,1,(BJ$4-1)*5+3)</f>
        <v/>
      </c>
      <c r="BK190" s="22">
        <f>INDEX($Q190:$AJ190,1,(BK$4-1)*5+1)+BK$8*INDEX($Q190:$AJ190,1,(BK$4-1)*5+2)*INDEX($Q190:$AJ190,1,(BK$4-1)*5+3)</f>
        <v/>
      </c>
      <c r="BL190" s="22">
        <f>INDEX($Q190:$AJ190,1,(BL$4-1)*5+1)+BL$8*INDEX($Q190:$AJ190,1,(BL$4-1)*5+2)*INDEX($Q190:$AJ190,1,(BL$4-1)*5+3)</f>
        <v/>
      </c>
      <c r="BM190" s="22">
        <f>INDEX($Q190:$AJ190,1,(BM$4-1)*5+1)+BM$8*INDEX($Q190:$AJ190,1,(BM$4-1)*5+2)*INDEX($Q190:$AJ190,1,(BM$4-1)*5+3)</f>
        <v/>
      </c>
      <c r="BN190" s="22">
        <f>INDEX($Q190:$AJ190,1,(BN$4-1)*5+1)+BN$8*INDEX($Q190:$AJ190,1,(BN$4-1)*5+2)*INDEX($Q190:$AJ190,1,(BN$4-1)*5+3)</f>
        <v/>
      </c>
    </row>
    <row r="191">
      <c r="B191" s="5" t="inlineStr">
        <is>
          <t>gso</t>
        </is>
      </c>
      <c r="C191" s="5" t="inlineStr">
        <is>
          <t>srv</t>
        </is>
      </c>
      <c r="D191" s="5" t="inlineStr">
        <is>
          <t>Tax | Services (public &amp; private) | Gasoline</t>
        </is>
      </c>
      <c r="E191" s="5" t="inlineStr">
        <is>
          <t>$/GJ</t>
        </is>
      </c>
      <c r="F191" s="5" t="inlineStr">
        <is>
          <t>Prices_dom, EF_GHG, Mapping</t>
        </is>
      </c>
      <c r="G191" s="19" t="inlineStr">
        <is>
          <t>mit.rp.gso</t>
        </is>
      </c>
      <c r="H191" s="19" t="inlineStr">
        <is>
          <t>mit.tax.gso.srv</t>
        </is>
      </c>
      <c r="J191" s="5">
        <f>INDEX(Mapping!$C$5:$C$20,MATCH($C191,Mapping!$A$5:$A$20,0))</f>
        <v/>
      </c>
      <c r="K191" s="5">
        <f>INDEX(Mapping!$D$5:$D$20,MATCH($C191,Mapping!$A$5:$A$20,0))</f>
        <v/>
      </c>
      <c r="L191" s="5">
        <f>INDEX(Mapping!$C$24:$C$31,MATCH($B191,Mapping!$A$24:$A$31,0))</f>
        <v/>
      </c>
      <c r="M191" s="5">
        <f>INDEX(Mapping!$D$24:$D$31,MATCH($B191,Mapping!$A$24:$A$31,0))</f>
        <v/>
      </c>
      <c r="N191" s="5">
        <f>$B191&amp;"."&amp;IF(INDEX(Mapping!$E$24:$E$31,MATCH($B191,Mapping!$A$24:$A$31,0))="sub",INDEX(Mapping!$F$5:$F$20,MATCH($C191,Mapping!$A$5:$A$20,0)),"all")</f>
        <v/>
      </c>
      <c r="O191" s="5">
        <f>INDEX(Mapping!$E$5:$E$20,MATCH($C191,Mapping!$A$5:$A$20,0))</f>
        <v/>
      </c>
      <c r="P191" s="5">
        <f>INDEX(Mapping!$G$24:$G$31,MATCH($B191,Mapping!$A$24:$A$31,0))</f>
        <v/>
      </c>
      <c r="Q191" s="22">
        <f>(INDEX(Prices_dom!$A$6:$CU$2000,MATCH(Settings!$C$4&amp;Settings!$C$7,Prices_dom!$A$6:$A$2000,0),MATCH("mit.rp."&amp;$N191,Prices_dom!$A$5:$CU$5,0))-INDEX(Prices_dom!$A$6:$CU$2000,MATCH(Settings!$C$4&amp;Settings!$C$7,Prices_dom!$A$6:$A$2000,0),MATCH("mit.sp."&amp;$N191,Prices_dom!$A$5:$CU$5,0)))/$P191</f>
        <v/>
      </c>
      <c r="R191" s="22">
        <f>INDEX(EF_GHG!$E$4:$E$1000,MATCH(Settings!$C$4&amp;"|"&amp;$B191&amp;"|"&amp;$O191,EF_GHG!$A$4:$A$1000,0))</f>
        <v/>
      </c>
      <c r="S191" s="22">
        <f>INDEX(Mapping!$G$5:$G$20,MATCH($C191,Mapping!$A$5:$A$20,0))</f>
        <v/>
      </c>
      <c r="T191" s="21" t="n"/>
      <c r="U191" s="21" t="n"/>
      <c r="V191" s="22">
        <f>Q191</f>
        <v/>
      </c>
      <c r="W191" s="22">
        <f>R191</f>
        <v/>
      </c>
      <c r="X191" s="22">
        <f>S191</f>
        <v/>
      </c>
      <c r="Y191" s="21" t="n"/>
      <c r="Z191" s="21" t="n"/>
      <c r="AA191" s="22">
        <f>Q191</f>
        <v/>
      </c>
      <c r="AB191" s="22">
        <f>R191</f>
        <v/>
      </c>
      <c r="AC191" s="22">
        <f>S191</f>
        <v/>
      </c>
      <c r="AD191" s="21" t="n"/>
      <c r="AE191" s="21" t="n"/>
      <c r="AF191" s="22">
        <f>Q191</f>
        <v/>
      </c>
      <c r="AG191" s="22">
        <f>R191</f>
        <v/>
      </c>
      <c r="AH191" s="22">
        <f>S191</f>
        <v/>
      </c>
      <c r="AI191" s="21" t="n"/>
      <c r="AJ191" s="21" t="n"/>
      <c r="AL191" s="23">
        <f>INDEX($Q191:$AJ191,1,(AL$4-1)*5+1)+AL$8*INDEX($Q191:$AJ191,1,(AL$4-1)*5+2)*INDEX($Q191:$AJ191,1,(AL$4-1)*5+3)</f>
        <v/>
      </c>
      <c r="AM191" s="22">
        <f>INDEX($Q191:$AJ191,1,(AM$4-1)*5+1)+AM$8*INDEX($Q191:$AJ191,1,(AM$4-1)*5+2)*INDEX($Q191:$AJ191,1,(AM$4-1)*5+3)</f>
        <v/>
      </c>
      <c r="AN191" s="22">
        <f>INDEX($Q191:$AJ191,1,(AN$4-1)*5+1)+AN$8*INDEX($Q191:$AJ191,1,(AN$4-1)*5+2)*INDEX($Q191:$AJ191,1,(AN$4-1)*5+3)</f>
        <v/>
      </c>
      <c r="AO191" s="22">
        <f>INDEX($Q191:$AJ191,1,(AO$4-1)*5+1)+AO$8*INDEX($Q191:$AJ191,1,(AO$4-1)*5+2)*INDEX($Q191:$AJ191,1,(AO$4-1)*5+3)</f>
        <v/>
      </c>
      <c r="AP191" s="22">
        <f>INDEX($Q191:$AJ191,1,(AP$4-1)*5+1)+AP$8*INDEX($Q191:$AJ191,1,(AP$4-1)*5+2)*INDEX($Q191:$AJ191,1,(AP$4-1)*5+3)</f>
        <v/>
      </c>
      <c r="AQ191" s="22">
        <f>INDEX($Q191:$AJ191,1,(AQ$4-1)*5+1)+AQ$8*INDEX($Q191:$AJ191,1,(AQ$4-1)*5+2)*INDEX($Q191:$AJ191,1,(AQ$4-1)*5+3)</f>
        <v/>
      </c>
      <c r="AR191" s="22">
        <f>INDEX($Q191:$AJ191,1,(AR$4-1)*5+1)+AR$8*INDEX($Q191:$AJ191,1,(AR$4-1)*5+2)*INDEX($Q191:$AJ191,1,(AR$4-1)*5+3)</f>
        <v/>
      </c>
      <c r="AS191" s="22">
        <f>INDEX($Q191:$AJ191,1,(AS$4-1)*5+1)+AS$8*INDEX($Q191:$AJ191,1,(AS$4-1)*5+2)*INDEX($Q191:$AJ191,1,(AS$4-1)*5+3)</f>
        <v/>
      </c>
      <c r="AT191" s="22">
        <f>INDEX($Q191:$AJ191,1,(AT$4-1)*5+1)+AT$8*INDEX($Q191:$AJ191,1,(AT$4-1)*5+2)*INDEX($Q191:$AJ191,1,(AT$4-1)*5+3)</f>
        <v/>
      </c>
      <c r="AU191" s="22">
        <f>INDEX($Q191:$AJ191,1,(AU$4-1)*5+1)+AU$8*INDEX($Q191:$AJ191,1,(AU$4-1)*5+2)*INDEX($Q191:$AJ191,1,(AU$4-1)*5+3)</f>
        <v/>
      </c>
      <c r="AV191" s="22">
        <f>INDEX($Q191:$AJ191,1,(AV$4-1)*5+1)+AV$8*INDEX($Q191:$AJ191,1,(AV$4-1)*5+2)*INDEX($Q191:$AJ191,1,(AV$4-1)*5+3)</f>
        <v/>
      </c>
      <c r="AW191" s="22">
        <f>INDEX($Q191:$AJ191,1,(AW$4-1)*5+1)+AW$8*INDEX($Q191:$AJ191,1,(AW$4-1)*5+2)*INDEX($Q191:$AJ191,1,(AW$4-1)*5+3)</f>
        <v/>
      </c>
      <c r="AX191" s="22">
        <f>INDEX($Q191:$AJ191,1,(AX$4-1)*5+1)+AX$8*INDEX($Q191:$AJ191,1,(AX$4-1)*5+2)*INDEX($Q191:$AJ191,1,(AX$4-1)*5+3)</f>
        <v/>
      </c>
      <c r="AY191" s="22">
        <f>INDEX($Q191:$AJ191,1,(AY$4-1)*5+1)+AY$8*INDEX($Q191:$AJ191,1,(AY$4-1)*5+2)*INDEX($Q191:$AJ191,1,(AY$4-1)*5+3)</f>
        <v/>
      </c>
      <c r="BA191" s="23">
        <f>INDEX($Q191:$AJ191,1,(BA$4-1)*5+1)+BA$8*INDEX($Q191:$AJ191,1,(BA$4-1)*5+2)*INDEX($Q191:$AJ191,1,(BA$4-1)*5+3)</f>
        <v/>
      </c>
      <c r="BB191" s="22">
        <f>INDEX($Q191:$AJ191,1,(BB$4-1)*5+1)+BB$8*INDEX($Q191:$AJ191,1,(BB$4-1)*5+2)*INDEX($Q191:$AJ191,1,(BB$4-1)*5+3)</f>
        <v/>
      </c>
      <c r="BC191" s="22">
        <f>INDEX($Q191:$AJ191,1,(BC$4-1)*5+1)+BC$8*INDEX($Q191:$AJ191,1,(BC$4-1)*5+2)*INDEX($Q191:$AJ191,1,(BC$4-1)*5+3)</f>
        <v/>
      </c>
      <c r="BD191" s="22">
        <f>INDEX($Q191:$AJ191,1,(BD$4-1)*5+1)+BD$8*INDEX($Q191:$AJ191,1,(BD$4-1)*5+2)*INDEX($Q191:$AJ191,1,(BD$4-1)*5+3)</f>
        <v/>
      </c>
      <c r="BE191" s="22">
        <f>INDEX($Q191:$AJ191,1,(BE$4-1)*5+1)+BE$8*INDEX($Q191:$AJ191,1,(BE$4-1)*5+2)*INDEX($Q191:$AJ191,1,(BE$4-1)*5+3)</f>
        <v/>
      </c>
      <c r="BF191" s="22">
        <f>INDEX($Q191:$AJ191,1,(BF$4-1)*5+1)+BF$8*INDEX($Q191:$AJ191,1,(BF$4-1)*5+2)*INDEX($Q191:$AJ191,1,(BF$4-1)*5+3)</f>
        <v/>
      </c>
      <c r="BG191" s="22">
        <f>INDEX($Q191:$AJ191,1,(BG$4-1)*5+1)+BG$8*INDEX($Q191:$AJ191,1,(BG$4-1)*5+2)*INDEX($Q191:$AJ191,1,(BG$4-1)*5+3)</f>
        <v/>
      </c>
      <c r="BH191" s="22">
        <f>INDEX($Q191:$AJ191,1,(BH$4-1)*5+1)+BH$8*INDEX($Q191:$AJ191,1,(BH$4-1)*5+2)*INDEX($Q191:$AJ191,1,(BH$4-1)*5+3)</f>
        <v/>
      </c>
      <c r="BI191" s="22">
        <f>INDEX($Q191:$AJ191,1,(BI$4-1)*5+1)+BI$8*INDEX($Q191:$AJ191,1,(BI$4-1)*5+2)*INDEX($Q191:$AJ191,1,(BI$4-1)*5+3)</f>
        <v/>
      </c>
      <c r="BJ191" s="22">
        <f>INDEX($Q191:$AJ191,1,(BJ$4-1)*5+1)+BJ$8*INDEX($Q191:$AJ191,1,(BJ$4-1)*5+2)*INDEX($Q191:$AJ191,1,(BJ$4-1)*5+3)</f>
        <v/>
      </c>
      <c r="BK191" s="22">
        <f>INDEX($Q191:$AJ191,1,(BK$4-1)*5+1)+BK$8*INDEX($Q191:$AJ191,1,(BK$4-1)*5+2)*INDEX($Q191:$AJ191,1,(BK$4-1)*5+3)</f>
        <v/>
      </c>
      <c r="BL191" s="22">
        <f>INDEX($Q191:$AJ191,1,(BL$4-1)*5+1)+BL$8*INDEX($Q191:$AJ191,1,(BL$4-1)*5+2)*INDEX($Q191:$AJ191,1,(BL$4-1)*5+3)</f>
        <v/>
      </c>
      <c r="BM191" s="22">
        <f>INDEX($Q191:$AJ191,1,(BM$4-1)*5+1)+BM$8*INDEX($Q191:$AJ191,1,(BM$4-1)*5+2)*INDEX($Q191:$AJ191,1,(BM$4-1)*5+3)</f>
        <v/>
      </c>
      <c r="BN191" s="22">
        <f>INDEX($Q191:$AJ191,1,(BN$4-1)*5+1)+BN$8*INDEX($Q191:$AJ191,1,(BN$4-1)*5+2)*INDEX($Q191:$AJ191,1,(BN$4-1)*5+3)</f>
        <v/>
      </c>
    </row>
    <row r="192">
      <c r="B192" s="5" t="inlineStr">
        <is>
          <t>die</t>
        </is>
      </c>
      <c r="C192" s="5" t="inlineStr">
        <is>
          <t>srv</t>
        </is>
      </c>
      <c r="D192" s="5" t="inlineStr">
        <is>
          <t>Tax | Services (public &amp; private) | Diesel</t>
        </is>
      </c>
      <c r="E192" s="5" t="inlineStr">
        <is>
          <t>$/GJ</t>
        </is>
      </c>
      <c r="F192" s="5" t="inlineStr">
        <is>
          <t>Prices_dom, EF_GHG, Mapping</t>
        </is>
      </c>
      <c r="G192" s="19" t="inlineStr">
        <is>
          <t>mit.rp.die</t>
        </is>
      </c>
      <c r="H192" s="19" t="inlineStr">
        <is>
          <t>mit.tax.die.srv</t>
        </is>
      </c>
      <c r="J192" s="5">
        <f>INDEX(Mapping!$C$5:$C$20,MATCH($C192,Mapping!$A$5:$A$20,0))</f>
        <v/>
      </c>
      <c r="K192" s="5">
        <f>INDEX(Mapping!$D$5:$D$20,MATCH($C192,Mapping!$A$5:$A$20,0))</f>
        <v/>
      </c>
      <c r="L192" s="5">
        <f>INDEX(Mapping!$C$24:$C$31,MATCH($B192,Mapping!$A$24:$A$31,0))</f>
        <v/>
      </c>
      <c r="M192" s="5">
        <f>INDEX(Mapping!$D$24:$D$31,MATCH($B192,Mapping!$A$24:$A$31,0))</f>
        <v/>
      </c>
      <c r="N192" s="5">
        <f>$B192&amp;"."&amp;IF(INDEX(Mapping!$E$24:$E$31,MATCH($B192,Mapping!$A$24:$A$31,0))="sub",INDEX(Mapping!$F$5:$F$20,MATCH($C192,Mapping!$A$5:$A$20,0)),"all")</f>
        <v/>
      </c>
      <c r="O192" s="5">
        <f>INDEX(Mapping!$E$5:$E$20,MATCH($C192,Mapping!$A$5:$A$20,0))</f>
        <v/>
      </c>
      <c r="P192" s="5">
        <f>INDEX(Mapping!$G$24:$G$31,MATCH($B192,Mapping!$A$24:$A$31,0))</f>
        <v/>
      </c>
      <c r="Q192" s="22">
        <f>(INDEX(Prices_dom!$A$6:$CU$2000,MATCH(Settings!$C$4&amp;Settings!$C$7,Prices_dom!$A$6:$A$2000,0),MATCH("mit.rp."&amp;$N192,Prices_dom!$A$5:$CU$5,0))-INDEX(Prices_dom!$A$6:$CU$2000,MATCH(Settings!$C$4&amp;Settings!$C$7,Prices_dom!$A$6:$A$2000,0),MATCH("mit.sp."&amp;$N192,Prices_dom!$A$5:$CU$5,0)))/$P192</f>
        <v/>
      </c>
      <c r="R192" s="22">
        <f>INDEX(EF_GHG!$E$4:$E$1000,MATCH(Settings!$C$4&amp;"|"&amp;$B192&amp;"|"&amp;$O192,EF_GHG!$A$4:$A$1000,0))</f>
        <v/>
      </c>
      <c r="S192" s="22">
        <f>INDEX(Mapping!$G$5:$G$20,MATCH($C192,Mapping!$A$5:$A$20,0))</f>
        <v/>
      </c>
      <c r="T192" s="21" t="n"/>
      <c r="U192" s="21" t="n"/>
      <c r="V192" s="22">
        <f>Q192</f>
        <v/>
      </c>
      <c r="W192" s="22">
        <f>R192</f>
        <v/>
      </c>
      <c r="X192" s="22">
        <f>S192</f>
        <v/>
      </c>
      <c r="Y192" s="21" t="n"/>
      <c r="Z192" s="21" t="n"/>
      <c r="AA192" s="22">
        <f>Q192</f>
        <v/>
      </c>
      <c r="AB192" s="22">
        <f>R192</f>
        <v/>
      </c>
      <c r="AC192" s="22">
        <f>S192</f>
        <v/>
      </c>
      <c r="AD192" s="21" t="n"/>
      <c r="AE192" s="21" t="n"/>
      <c r="AF192" s="22">
        <f>Q192</f>
        <v/>
      </c>
      <c r="AG192" s="22">
        <f>R192</f>
        <v/>
      </c>
      <c r="AH192" s="22">
        <f>S192</f>
        <v/>
      </c>
      <c r="AI192" s="21" t="n"/>
      <c r="AJ192" s="21" t="n"/>
      <c r="AL192" s="23">
        <f>INDEX($Q192:$AJ192,1,(AL$4-1)*5+1)+AL$8*INDEX($Q192:$AJ192,1,(AL$4-1)*5+2)*INDEX($Q192:$AJ192,1,(AL$4-1)*5+3)</f>
        <v/>
      </c>
      <c r="AM192" s="22">
        <f>INDEX($Q192:$AJ192,1,(AM$4-1)*5+1)+AM$8*INDEX($Q192:$AJ192,1,(AM$4-1)*5+2)*INDEX($Q192:$AJ192,1,(AM$4-1)*5+3)</f>
        <v/>
      </c>
      <c r="AN192" s="22">
        <f>INDEX($Q192:$AJ192,1,(AN$4-1)*5+1)+AN$8*INDEX($Q192:$AJ192,1,(AN$4-1)*5+2)*INDEX($Q192:$AJ192,1,(AN$4-1)*5+3)</f>
        <v/>
      </c>
      <c r="AO192" s="22">
        <f>INDEX($Q192:$AJ192,1,(AO$4-1)*5+1)+AO$8*INDEX($Q192:$AJ192,1,(AO$4-1)*5+2)*INDEX($Q192:$AJ192,1,(AO$4-1)*5+3)</f>
        <v/>
      </c>
      <c r="AP192" s="22">
        <f>INDEX($Q192:$AJ192,1,(AP$4-1)*5+1)+AP$8*INDEX($Q192:$AJ192,1,(AP$4-1)*5+2)*INDEX($Q192:$AJ192,1,(AP$4-1)*5+3)</f>
        <v/>
      </c>
      <c r="AQ192" s="22">
        <f>INDEX($Q192:$AJ192,1,(AQ$4-1)*5+1)+AQ$8*INDEX($Q192:$AJ192,1,(AQ$4-1)*5+2)*INDEX($Q192:$AJ192,1,(AQ$4-1)*5+3)</f>
        <v/>
      </c>
      <c r="AR192" s="22">
        <f>INDEX($Q192:$AJ192,1,(AR$4-1)*5+1)+AR$8*INDEX($Q192:$AJ192,1,(AR$4-1)*5+2)*INDEX($Q192:$AJ192,1,(AR$4-1)*5+3)</f>
        <v/>
      </c>
      <c r="AS192" s="22">
        <f>INDEX($Q192:$AJ192,1,(AS$4-1)*5+1)+AS$8*INDEX($Q192:$AJ192,1,(AS$4-1)*5+2)*INDEX($Q192:$AJ192,1,(AS$4-1)*5+3)</f>
        <v/>
      </c>
      <c r="AT192" s="22">
        <f>INDEX($Q192:$AJ192,1,(AT$4-1)*5+1)+AT$8*INDEX($Q192:$AJ192,1,(AT$4-1)*5+2)*INDEX($Q192:$AJ192,1,(AT$4-1)*5+3)</f>
        <v/>
      </c>
      <c r="AU192" s="22">
        <f>INDEX($Q192:$AJ192,1,(AU$4-1)*5+1)+AU$8*INDEX($Q192:$AJ192,1,(AU$4-1)*5+2)*INDEX($Q192:$AJ192,1,(AU$4-1)*5+3)</f>
        <v/>
      </c>
      <c r="AV192" s="22">
        <f>INDEX($Q192:$AJ192,1,(AV$4-1)*5+1)+AV$8*INDEX($Q192:$AJ192,1,(AV$4-1)*5+2)*INDEX($Q192:$AJ192,1,(AV$4-1)*5+3)</f>
        <v/>
      </c>
      <c r="AW192" s="22">
        <f>INDEX($Q192:$AJ192,1,(AW$4-1)*5+1)+AW$8*INDEX($Q192:$AJ192,1,(AW$4-1)*5+2)*INDEX($Q192:$AJ192,1,(AW$4-1)*5+3)</f>
        <v/>
      </c>
      <c r="AX192" s="22">
        <f>INDEX($Q192:$AJ192,1,(AX$4-1)*5+1)+AX$8*INDEX($Q192:$AJ192,1,(AX$4-1)*5+2)*INDEX($Q192:$AJ192,1,(AX$4-1)*5+3)</f>
        <v/>
      </c>
      <c r="AY192" s="22">
        <f>INDEX($Q192:$AJ192,1,(AY$4-1)*5+1)+AY$8*INDEX($Q192:$AJ192,1,(AY$4-1)*5+2)*INDEX($Q192:$AJ192,1,(AY$4-1)*5+3)</f>
        <v/>
      </c>
      <c r="BA192" s="23">
        <f>INDEX($Q192:$AJ192,1,(BA$4-1)*5+1)+BA$8*INDEX($Q192:$AJ192,1,(BA$4-1)*5+2)*INDEX($Q192:$AJ192,1,(BA$4-1)*5+3)</f>
        <v/>
      </c>
      <c r="BB192" s="22">
        <f>INDEX($Q192:$AJ192,1,(BB$4-1)*5+1)+BB$8*INDEX($Q192:$AJ192,1,(BB$4-1)*5+2)*INDEX($Q192:$AJ192,1,(BB$4-1)*5+3)</f>
        <v/>
      </c>
      <c r="BC192" s="22">
        <f>INDEX($Q192:$AJ192,1,(BC$4-1)*5+1)+BC$8*INDEX($Q192:$AJ192,1,(BC$4-1)*5+2)*INDEX($Q192:$AJ192,1,(BC$4-1)*5+3)</f>
        <v/>
      </c>
      <c r="BD192" s="22">
        <f>INDEX($Q192:$AJ192,1,(BD$4-1)*5+1)+BD$8*INDEX($Q192:$AJ192,1,(BD$4-1)*5+2)*INDEX($Q192:$AJ192,1,(BD$4-1)*5+3)</f>
        <v/>
      </c>
      <c r="BE192" s="22">
        <f>INDEX($Q192:$AJ192,1,(BE$4-1)*5+1)+BE$8*INDEX($Q192:$AJ192,1,(BE$4-1)*5+2)*INDEX($Q192:$AJ192,1,(BE$4-1)*5+3)</f>
        <v/>
      </c>
      <c r="BF192" s="22">
        <f>INDEX($Q192:$AJ192,1,(BF$4-1)*5+1)+BF$8*INDEX($Q192:$AJ192,1,(BF$4-1)*5+2)*INDEX($Q192:$AJ192,1,(BF$4-1)*5+3)</f>
        <v/>
      </c>
      <c r="BG192" s="22">
        <f>INDEX($Q192:$AJ192,1,(BG$4-1)*5+1)+BG$8*INDEX($Q192:$AJ192,1,(BG$4-1)*5+2)*INDEX($Q192:$AJ192,1,(BG$4-1)*5+3)</f>
        <v/>
      </c>
      <c r="BH192" s="22">
        <f>INDEX($Q192:$AJ192,1,(BH$4-1)*5+1)+BH$8*INDEX($Q192:$AJ192,1,(BH$4-1)*5+2)*INDEX($Q192:$AJ192,1,(BH$4-1)*5+3)</f>
        <v/>
      </c>
      <c r="BI192" s="22">
        <f>INDEX($Q192:$AJ192,1,(BI$4-1)*5+1)+BI$8*INDEX($Q192:$AJ192,1,(BI$4-1)*5+2)*INDEX($Q192:$AJ192,1,(BI$4-1)*5+3)</f>
        <v/>
      </c>
      <c r="BJ192" s="22">
        <f>INDEX($Q192:$AJ192,1,(BJ$4-1)*5+1)+BJ$8*INDEX($Q192:$AJ192,1,(BJ$4-1)*5+2)*INDEX($Q192:$AJ192,1,(BJ$4-1)*5+3)</f>
        <v/>
      </c>
      <c r="BK192" s="22">
        <f>INDEX($Q192:$AJ192,1,(BK$4-1)*5+1)+BK$8*INDEX($Q192:$AJ192,1,(BK$4-1)*5+2)*INDEX($Q192:$AJ192,1,(BK$4-1)*5+3)</f>
        <v/>
      </c>
      <c r="BL192" s="22">
        <f>INDEX($Q192:$AJ192,1,(BL$4-1)*5+1)+BL$8*INDEX($Q192:$AJ192,1,(BL$4-1)*5+2)*INDEX($Q192:$AJ192,1,(BL$4-1)*5+3)</f>
        <v/>
      </c>
      <c r="BM192" s="22">
        <f>INDEX($Q192:$AJ192,1,(BM$4-1)*5+1)+BM$8*INDEX($Q192:$AJ192,1,(BM$4-1)*5+2)*INDEX($Q192:$AJ192,1,(BM$4-1)*5+3)</f>
        <v/>
      </c>
      <c r="BN192" s="22">
        <f>INDEX($Q192:$AJ192,1,(BN$4-1)*5+1)+BN$8*INDEX($Q192:$AJ192,1,(BN$4-1)*5+2)*INDEX($Q192:$AJ192,1,(BN$4-1)*5+3)</f>
        <v/>
      </c>
    </row>
    <row r="193">
      <c r="B193" s="5" t="inlineStr">
        <is>
          <t>lpg</t>
        </is>
      </c>
      <c r="C193" s="5" t="inlineStr">
        <is>
          <t>srv</t>
        </is>
      </c>
      <c r="D193" s="5" t="inlineStr">
        <is>
          <t>Tax | Services (public &amp; private) | LPG</t>
        </is>
      </c>
      <c r="E193" s="5" t="inlineStr">
        <is>
          <t>$/GJ</t>
        </is>
      </c>
      <c r="F193" s="5" t="inlineStr">
        <is>
          <t>Prices_dom, EF_GHG, Mapping</t>
        </is>
      </c>
      <c r="G193" s="19" t="inlineStr">
        <is>
          <t>mit.rp.lpg</t>
        </is>
      </c>
      <c r="H193" s="19" t="inlineStr">
        <is>
          <t>mit.tax.lpg.srv</t>
        </is>
      </c>
      <c r="J193" s="5">
        <f>INDEX(Mapping!$C$5:$C$20,MATCH($C193,Mapping!$A$5:$A$20,0))</f>
        <v/>
      </c>
      <c r="K193" s="5">
        <f>INDEX(Mapping!$D$5:$D$20,MATCH($C193,Mapping!$A$5:$A$20,0))</f>
        <v/>
      </c>
      <c r="L193" s="5">
        <f>INDEX(Mapping!$C$24:$C$31,MATCH($B193,Mapping!$A$24:$A$31,0))</f>
        <v/>
      </c>
      <c r="M193" s="5">
        <f>INDEX(Mapping!$D$24:$D$31,MATCH($B193,Mapping!$A$24:$A$31,0))</f>
        <v/>
      </c>
      <c r="N193" s="5">
        <f>$B193&amp;"."&amp;IF(INDEX(Mapping!$E$24:$E$31,MATCH($B193,Mapping!$A$24:$A$31,0))="sub",INDEX(Mapping!$F$5:$F$20,MATCH($C193,Mapping!$A$5:$A$20,0)),"all")</f>
        <v/>
      </c>
      <c r="O193" s="5">
        <f>INDEX(Mapping!$E$5:$E$20,MATCH($C193,Mapping!$A$5:$A$20,0))</f>
        <v/>
      </c>
      <c r="P193" s="5">
        <f>INDEX(Mapping!$G$24:$G$31,MATCH($B193,Mapping!$A$24:$A$31,0))</f>
        <v/>
      </c>
      <c r="Q193" s="22">
        <f>(INDEX(Prices_dom!$A$6:$CU$2000,MATCH(Settings!$C$4&amp;Settings!$C$7,Prices_dom!$A$6:$A$2000,0),MATCH("mit.rp."&amp;$N193,Prices_dom!$A$5:$CU$5,0))-INDEX(Prices_dom!$A$6:$CU$2000,MATCH(Settings!$C$4&amp;Settings!$C$7,Prices_dom!$A$6:$A$2000,0),MATCH("mit.sp."&amp;$N193,Prices_dom!$A$5:$CU$5,0)))/$P193</f>
        <v/>
      </c>
      <c r="R193" s="22">
        <f>INDEX(EF_GHG!$E$4:$E$1000,MATCH(Settings!$C$4&amp;"|"&amp;$B193&amp;"|"&amp;$O193,EF_GHG!$A$4:$A$1000,0))</f>
        <v/>
      </c>
      <c r="S193" s="22">
        <f>INDEX(Mapping!$G$5:$G$20,MATCH($C193,Mapping!$A$5:$A$20,0))</f>
        <v/>
      </c>
      <c r="T193" s="21" t="n"/>
      <c r="U193" s="21" t="n"/>
      <c r="V193" s="22">
        <f>Q193</f>
        <v/>
      </c>
      <c r="W193" s="22">
        <f>R193</f>
        <v/>
      </c>
      <c r="X193" s="22">
        <f>S193</f>
        <v/>
      </c>
      <c r="Y193" s="21" t="n"/>
      <c r="Z193" s="21" t="n"/>
      <c r="AA193" s="22">
        <f>Q193</f>
        <v/>
      </c>
      <c r="AB193" s="22">
        <f>R193</f>
        <v/>
      </c>
      <c r="AC193" s="22">
        <f>S193</f>
        <v/>
      </c>
      <c r="AD193" s="21" t="n"/>
      <c r="AE193" s="21" t="n"/>
      <c r="AF193" s="22">
        <f>Q193</f>
        <v/>
      </c>
      <c r="AG193" s="22">
        <f>R193</f>
        <v/>
      </c>
      <c r="AH193" s="22">
        <f>S193</f>
        <v/>
      </c>
      <c r="AI193" s="21" t="n"/>
      <c r="AJ193" s="21" t="n"/>
      <c r="AL193" s="23">
        <f>INDEX($Q193:$AJ193,1,(AL$4-1)*5+1)+AL$8*INDEX($Q193:$AJ193,1,(AL$4-1)*5+2)*INDEX($Q193:$AJ193,1,(AL$4-1)*5+3)</f>
        <v/>
      </c>
      <c r="AM193" s="22">
        <f>INDEX($Q193:$AJ193,1,(AM$4-1)*5+1)+AM$8*INDEX($Q193:$AJ193,1,(AM$4-1)*5+2)*INDEX($Q193:$AJ193,1,(AM$4-1)*5+3)</f>
        <v/>
      </c>
      <c r="AN193" s="22">
        <f>INDEX($Q193:$AJ193,1,(AN$4-1)*5+1)+AN$8*INDEX($Q193:$AJ193,1,(AN$4-1)*5+2)*INDEX($Q193:$AJ193,1,(AN$4-1)*5+3)</f>
        <v/>
      </c>
      <c r="AO193" s="22">
        <f>INDEX($Q193:$AJ193,1,(AO$4-1)*5+1)+AO$8*INDEX($Q193:$AJ193,1,(AO$4-1)*5+2)*INDEX($Q193:$AJ193,1,(AO$4-1)*5+3)</f>
        <v/>
      </c>
      <c r="AP193" s="22">
        <f>INDEX($Q193:$AJ193,1,(AP$4-1)*5+1)+AP$8*INDEX($Q193:$AJ193,1,(AP$4-1)*5+2)*INDEX($Q193:$AJ193,1,(AP$4-1)*5+3)</f>
        <v/>
      </c>
      <c r="AQ193" s="22">
        <f>INDEX($Q193:$AJ193,1,(AQ$4-1)*5+1)+AQ$8*INDEX($Q193:$AJ193,1,(AQ$4-1)*5+2)*INDEX($Q193:$AJ193,1,(AQ$4-1)*5+3)</f>
        <v/>
      </c>
      <c r="AR193" s="22">
        <f>INDEX($Q193:$AJ193,1,(AR$4-1)*5+1)+AR$8*INDEX($Q193:$AJ193,1,(AR$4-1)*5+2)*INDEX($Q193:$AJ193,1,(AR$4-1)*5+3)</f>
        <v/>
      </c>
      <c r="AS193" s="22">
        <f>INDEX($Q193:$AJ193,1,(AS$4-1)*5+1)+AS$8*INDEX($Q193:$AJ193,1,(AS$4-1)*5+2)*INDEX($Q193:$AJ193,1,(AS$4-1)*5+3)</f>
        <v/>
      </c>
      <c r="AT193" s="22">
        <f>INDEX($Q193:$AJ193,1,(AT$4-1)*5+1)+AT$8*INDEX($Q193:$AJ193,1,(AT$4-1)*5+2)*INDEX($Q193:$AJ193,1,(AT$4-1)*5+3)</f>
        <v/>
      </c>
      <c r="AU193" s="22">
        <f>INDEX($Q193:$AJ193,1,(AU$4-1)*5+1)+AU$8*INDEX($Q193:$AJ193,1,(AU$4-1)*5+2)*INDEX($Q193:$AJ193,1,(AU$4-1)*5+3)</f>
        <v/>
      </c>
      <c r="AV193" s="22">
        <f>INDEX($Q193:$AJ193,1,(AV$4-1)*5+1)+AV$8*INDEX($Q193:$AJ193,1,(AV$4-1)*5+2)*INDEX($Q193:$AJ193,1,(AV$4-1)*5+3)</f>
        <v/>
      </c>
      <c r="AW193" s="22">
        <f>INDEX($Q193:$AJ193,1,(AW$4-1)*5+1)+AW$8*INDEX($Q193:$AJ193,1,(AW$4-1)*5+2)*INDEX($Q193:$AJ193,1,(AW$4-1)*5+3)</f>
        <v/>
      </c>
      <c r="AX193" s="22">
        <f>INDEX($Q193:$AJ193,1,(AX$4-1)*5+1)+AX$8*INDEX($Q193:$AJ193,1,(AX$4-1)*5+2)*INDEX($Q193:$AJ193,1,(AX$4-1)*5+3)</f>
        <v/>
      </c>
      <c r="AY193" s="22">
        <f>INDEX($Q193:$AJ193,1,(AY$4-1)*5+1)+AY$8*INDEX($Q193:$AJ193,1,(AY$4-1)*5+2)*INDEX($Q193:$AJ193,1,(AY$4-1)*5+3)</f>
        <v/>
      </c>
      <c r="BA193" s="23">
        <f>INDEX($Q193:$AJ193,1,(BA$4-1)*5+1)+BA$8*INDEX($Q193:$AJ193,1,(BA$4-1)*5+2)*INDEX($Q193:$AJ193,1,(BA$4-1)*5+3)</f>
        <v/>
      </c>
      <c r="BB193" s="22">
        <f>INDEX($Q193:$AJ193,1,(BB$4-1)*5+1)+BB$8*INDEX($Q193:$AJ193,1,(BB$4-1)*5+2)*INDEX($Q193:$AJ193,1,(BB$4-1)*5+3)</f>
        <v/>
      </c>
      <c r="BC193" s="22">
        <f>INDEX($Q193:$AJ193,1,(BC$4-1)*5+1)+BC$8*INDEX($Q193:$AJ193,1,(BC$4-1)*5+2)*INDEX($Q193:$AJ193,1,(BC$4-1)*5+3)</f>
        <v/>
      </c>
      <c r="BD193" s="22">
        <f>INDEX($Q193:$AJ193,1,(BD$4-1)*5+1)+BD$8*INDEX($Q193:$AJ193,1,(BD$4-1)*5+2)*INDEX($Q193:$AJ193,1,(BD$4-1)*5+3)</f>
        <v/>
      </c>
      <c r="BE193" s="22">
        <f>INDEX($Q193:$AJ193,1,(BE$4-1)*5+1)+BE$8*INDEX($Q193:$AJ193,1,(BE$4-1)*5+2)*INDEX($Q193:$AJ193,1,(BE$4-1)*5+3)</f>
        <v/>
      </c>
      <c r="BF193" s="22">
        <f>INDEX($Q193:$AJ193,1,(BF$4-1)*5+1)+BF$8*INDEX($Q193:$AJ193,1,(BF$4-1)*5+2)*INDEX($Q193:$AJ193,1,(BF$4-1)*5+3)</f>
        <v/>
      </c>
      <c r="BG193" s="22">
        <f>INDEX($Q193:$AJ193,1,(BG$4-1)*5+1)+BG$8*INDEX($Q193:$AJ193,1,(BG$4-1)*5+2)*INDEX($Q193:$AJ193,1,(BG$4-1)*5+3)</f>
        <v/>
      </c>
      <c r="BH193" s="22">
        <f>INDEX($Q193:$AJ193,1,(BH$4-1)*5+1)+BH$8*INDEX($Q193:$AJ193,1,(BH$4-1)*5+2)*INDEX($Q193:$AJ193,1,(BH$4-1)*5+3)</f>
        <v/>
      </c>
      <c r="BI193" s="22">
        <f>INDEX($Q193:$AJ193,1,(BI$4-1)*5+1)+BI$8*INDEX($Q193:$AJ193,1,(BI$4-1)*5+2)*INDEX($Q193:$AJ193,1,(BI$4-1)*5+3)</f>
        <v/>
      </c>
      <c r="BJ193" s="22">
        <f>INDEX($Q193:$AJ193,1,(BJ$4-1)*5+1)+BJ$8*INDEX($Q193:$AJ193,1,(BJ$4-1)*5+2)*INDEX($Q193:$AJ193,1,(BJ$4-1)*5+3)</f>
        <v/>
      </c>
      <c r="BK193" s="22">
        <f>INDEX($Q193:$AJ193,1,(BK$4-1)*5+1)+BK$8*INDEX($Q193:$AJ193,1,(BK$4-1)*5+2)*INDEX($Q193:$AJ193,1,(BK$4-1)*5+3)</f>
        <v/>
      </c>
      <c r="BL193" s="22">
        <f>INDEX($Q193:$AJ193,1,(BL$4-1)*5+1)+BL$8*INDEX($Q193:$AJ193,1,(BL$4-1)*5+2)*INDEX($Q193:$AJ193,1,(BL$4-1)*5+3)</f>
        <v/>
      </c>
      <c r="BM193" s="22">
        <f>INDEX($Q193:$AJ193,1,(BM$4-1)*5+1)+BM$8*INDEX($Q193:$AJ193,1,(BM$4-1)*5+2)*INDEX($Q193:$AJ193,1,(BM$4-1)*5+3)</f>
        <v/>
      </c>
      <c r="BN193" s="22">
        <f>INDEX($Q193:$AJ193,1,(BN$4-1)*5+1)+BN$8*INDEX($Q193:$AJ193,1,(BN$4-1)*5+2)*INDEX($Q193:$AJ193,1,(BN$4-1)*5+3)</f>
        <v/>
      </c>
    </row>
    <row r="194">
      <c r="B194" s="5" t="inlineStr">
        <is>
          <t>ker</t>
        </is>
      </c>
      <c r="C194" s="5" t="inlineStr">
        <is>
          <t>srv</t>
        </is>
      </c>
      <c r="D194" s="5" t="inlineStr">
        <is>
          <t>Tax | Services (public &amp; private) | Kerosene</t>
        </is>
      </c>
      <c r="E194" s="5" t="inlineStr">
        <is>
          <t>$/GJ</t>
        </is>
      </c>
      <c r="F194" s="5" t="inlineStr">
        <is>
          <t>Prices_dom, EF_GHG, Mapping</t>
        </is>
      </c>
      <c r="G194" s="19" t="inlineStr">
        <is>
          <t>mit.rp.ker</t>
        </is>
      </c>
      <c r="H194" s="19" t="inlineStr">
        <is>
          <t>mit.tax.ker.srv</t>
        </is>
      </c>
      <c r="J194" s="5">
        <f>INDEX(Mapping!$C$5:$C$20,MATCH($C194,Mapping!$A$5:$A$20,0))</f>
        <v/>
      </c>
      <c r="K194" s="5">
        <f>INDEX(Mapping!$D$5:$D$20,MATCH($C194,Mapping!$A$5:$A$20,0))</f>
        <v/>
      </c>
      <c r="L194" s="5">
        <f>INDEX(Mapping!$C$24:$C$31,MATCH($B194,Mapping!$A$24:$A$31,0))</f>
        <v/>
      </c>
      <c r="M194" s="5">
        <f>INDEX(Mapping!$D$24:$D$31,MATCH($B194,Mapping!$A$24:$A$31,0))</f>
        <v/>
      </c>
      <c r="N194" s="5">
        <f>$B194&amp;"."&amp;IF(INDEX(Mapping!$E$24:$E$31,MATCH($B194,Mapping!$A$24:$A$31,0))="sub",INDEX(Mapping!$F$5:$F$20,MATCH($C194,Mapping!$A$5:$A$20,0)),"all")</f>
        <v/>
      </c>
      <c r="O194" s="5">
        <f>INDEX(Mapping!$E$5:$E$20,MATCH($C194,Mapping!$A$5:$A$20,0))</f>
        <v/>
      </c>
      <c r="P194" s="5">
        <f>INDEX(Mapping!$G$24:$G$31,MATCH($B194,Mapping!$A$24:$A$31,0))</f>
        <v/>
      </c>
      <c r="Q194" s="22">
        <f>(INDEX(Prices_dom!$A$6:$CU$2000,MATCH(Settings!$C$4&amp;Settings!$C$7,Prices_dom!$A$6:$A$2000,0),MATCH("mit.rp."&amp;$N194,Prices_dom!$A$5:$CU$5,0))-INDEX(Prices_dom!$A$6:$CU$2000,MATCH(Settings!$C$4&amp;Settings!$C$7,Prices_dom!$A$6:$A$2000,0),MATCH("mit.sp."&amp;$N194,Prices_dom!$A$5:$CU$5,0)))/$P194</f>
        <v/>
      </c>
      <c r="R194" s="22">
        <f>INDEX(EF_GHG!$E$4:$E$1000,MATCH(Settings!$C$4&amp;"|"&amp;$B194&amp;"|"&amp;$O194,EF_GHG!$A$4:$A$1000,0))</f>
        <v/>
      </c>
      <c r="S194" s="22">
        <f>INDEX(Mapping!$G$5:$G$20,MATCH($C194,Mapping!$A$5:$A$20,0))</f>
        <v/>
      </c>
      <c r="T194" s="21" t="n"/>
      <c r="U194" s="21" t="n"/>
      <c r="V194" s="22">
        <f>Q194</f>
        <v/>
      </c>
      <c r="W194" s="22">
        <f>R194</f>
        <v/>
      </c>
      <c r="X194" s="22">
        <f>S194</f>
        <v/>
      </c>
      <c r="Y194" s="21" t="n"/>
      <c r="Z194" s="21" t="n"/>
      <c r="AA194" s="22">
        <f>Q194</f>
        <v/>
      </c>
      <c r="AB194" s="22">
        <f>R194</f>
        <v/>
      </c>
      <c r="AC194" s="22">
        <f>S194</f>
        <v/>
      </c>
      <c r="AD194" s="21" t="n"/>
      <c r="AE194" s="21" t="n"/>
      <c r="AF194" s="22">
        <f>Q194</f>
        <v/>
      </c>
      <c r="AG194" s="22">
        <f>R194</f>
        <v/>
      </c>
      <c r="AH194" s="22">
        <f>S194</f>
        <v/>
      </c>
      <c r="AI194" s="21" t="n"/>
      <c r="AJ194" s="21" t="n"/>
      <c r="AL194" s="23">
        <f>INDEX($Q194:$AJ194,1,(AL$4-1)*5+1)+AL$8*INDEX($Q194:$AJ194,1,(AL$4-1)*5+2)*INDEX($Q194:$AJ194,1,(AL$4-1)*5+3)</f>
        <v/>
      </c>
      <c r="AM194" s="22">
        <f>INDEX($Q194:$AJ194,1,(AM$4-1)*5+1)+AM$8*INDEX($Q194:$AJ194,1,(AM$4-1)*5+2)*INDEX($Q194:$AJ194,1,(AM$4-1)*5+3)</f>
        <v/>
      </c>
      <c r="AN194" s="22">
        <f>INDEX($Q194:$AJ194,1,(AN$4-1)*5+1)+AN$8*INDEX($Q194:$AJ194,1,(AN$4-1)*5+2)*INDEX($Q194:$AJ194,1,(AN$4-1)*5+3)</f>
        <v/>
      </c>
      <c r="AO194" s="22">
        <f>INDEX($Q194:$AJ194,1,(AO$4-1)*5+1)+AO$8*INDEX($Q194:$AJ194,1,(AO$4-1)*5+2)*INDEX($Q194:$AJ194,1,(AO$4-1)*5+3)</f>
        <v/>
      </c>
      <c r="AP194" s="22">
        <f>INDEX($Q194:$AJ194,1,(AP$4-1)*5+1)+AP$8*INDEX($Q194:$AJ194,1,(AP$4-1)*5+2)*INDEX($Q194:$AJ194,1,(AP$4-1)*5+3)</f>
        <v/>
      </c>
      <c r="AQ194" s="22">
        <f>INDEX($Q194:$AJ194,1,(AQ$4-1)*5+1)+AQ$8*INDEX($Q194:$AJ194,1,(AQ$4-1)*5+2)*INDEX($Q194:$AJ194,1,(AQ$4-1)*5+3)</f>
        <v/>
      </c>
      <c r="AR194" s="22">
        <f>INDEX($Q194:$AJ194,1,(AR$4-1)*5+1)+AR$8*INDEX($Q194:$AJ194,1,(AR$4-1)*5+2)*INDEX($Q194:$AJ194,1,(AR$4-1)*5+3)</f>
        <v/>
      </c>
      <c r="AS194" s="22">
        <f>INDEX($Q194:$AJ194,1,(AS$4-1)*5+1)+AS$8*INDEX($Q194:$AJ194,1,(AS$4-1)*5+2)*INDEX($Q194:$AJ194,1,(AS$4-1)*5+3)</f>
        <v/>
      </c>
      <c r="AT194" s="22">
        <f>INDEX($Q194:$AJ194,1,(AT$4-1)*5+1)+AT$8*INDEX($Q194:$AJ194,1,(AT$4-1)*5+2)*INDEX($Q194:$AJ194,1,(AT$4-1)*5+3)</f>
        <v/>
      </c>
      <c r="AU194" s="22">
        <f>INDEX($Q194:$AJ194,1,(AU$4-1)*5+1)+AU$8*INDEX($Q194:$AJ194,1,(AU$4-1)*5+2)*INDEX($Q194:$AJ194,1,(AU$4-1)*5+3)</f>
        <v/>
      </c>
      <c r="AV194" s="22">
        <f>INDEX($Q194:$AJ194,1,(AV$4-1)*5+1)+AV$8*INDEX($Q194:$AJ194,1,(AV$4-1)*5+2)*INDEX($Q194:$AJ194,1,(AV$4-1)*5+3)</f>
        <v/>
      </c>
      <c r="AW194" s="22">
        <f>INDEX($Q194:$AJ194,1,(AW$4-1)*5+1)+AW$8*INDEX($Q194:$AJ194,1,(AW$4-1)*5+2)*INDEX($Q194:$AJ194,1,(AW$4-1)*5+3)</f>
        <v/>
      </c>
      <c r="AX194" s="22">
        <f>INDEX($Q194:$AJ194,1,(AX$4-1)*5+1)+AX$8*INDEX($Q194:$AJ194,1,(AX$4-1)*5+2)*INDEX($Q194:$AJ194,1,(AX$4-1)*5+3)</f>
        <v/>
      </c>
      <c r="AY194" s="22">
        <f>INDEX($Q194:$AJ194,1,(AY$4-1)*5+1)+AY$8*INDEX($Q194:$AJ194,1,(AY$4-1)*5+2)*INDEX($Q194:$AJ194,1,(AY$4-1)*5+3)</f>
        <v/>
      </c>
      <c r="BA194" s="23">
        <f>INDEX($Q194:$AJ194,1,(BA$4-1)*5+1)+BA$8*INDEX($Q194:$AJ194,1,(BA$4-1)*5+2)*INDEX($Q194:$AJ194,1,(BA$4-1)*5+3)</f>
        <v/>
      </c>
      <c r="BB194" s="22">
        <f>INDEX($Q194:$AJ194,1,(BB$4-1)*5+1)+BB$8*INDEX($Q194:$AJ194,1,(BB$4-1)*5+2)*INDEX($Q194:$AJ194,1,(BB$4-1)*5+3)</f>
        <v/>
      </c>
      <c r="BC194" s="22">
        <f>INDEX($Q194:$AJ194,1,(BC$4-1)*5+1)+BC$8*INDEX($Q194:$AJ194,1,(BC$4-1)*5+2)*INDEX($Q194:$AJ194,1,(BC$4-1)*5+3)</f>
        <v/>
      </c>
      <c r="BD194" s="22">
        <f>INDEX($Q194:$AJ194,1,(BD$4-1)*5+1)+BD$8*INDEX($Q194:$AJ194,1,(BD$4-1)*5+2)*INDEX($Q194:$AJ194,1,(BD$4-1)*5+3)</f>
        <v/>
      </c>
      <c r="BE194" s="22">
        <f>INDEX($Q194:$AJ194,1,(BE$4-1)*5+1)+BE$8*INDEX($Q194:$AJ194,1,(BE$4-1)*5+2)*INDEX($Q194:$AJ194,1,(BE$4-1)*5+3)</f>
        <v/>
      </c>
      <c r="BF194" s="22">
        <f>INDEX($Q194:$AJ194,1,(BF$4-1)*5+1)+BF$8*INDEX($Q194:$AJ194,1,(BF$4-1)*5+2)*INDEX($Q194:$AJ194,1,(BF$4-1)*5+3)</f>
        <v/>
      </c>
      <c r="BG194" s="22">
        <f>INDEX($Q194:$AJ194,1,(BG$4-1)*5+1)+BG$8*INDEX($Q194:$AJ194,1,(BG$4-1)*5+2)*INDEX($Q194:$AJ194,1,(BG$4-1)*5+3)</f>
        <v/>
      </c>
      <c r="BH194" s="22">
        <f>INDEX($Q194:$AJ194,1,(BH$4-1)*5+1)+BH$8*INDEX($Q194:$AJ194,1,(BH$4-1)*5+2)*INDEX($Q194:$AJ194,1,(BH$4-1)*5+3)</f>
        <v/>
      </c>
      <c r="BI194" s="22">
        <f>INDEX($Q194:$AJ194,1,(BI$4-1)*5+1)+BI$8*INDEX($Q194:$AJ194,1,(BI$4-1)*5+2)*INDEX($Q194:$AJ194,1,(BI$4-1)*5+3)</f>
        <v/>
      </c>
      <c r="BJ194" s="22">
        <f>INDEX($Q194:$AJ194,1,(BJ$4-1)*5+1)+BJ$8*INDEX($Q194:$AJ194,1,(BJ$4-1)*5+2)*INDEX($Q194:$AJ194,1,(BJ$4-1)*5+3)</f>
        <v/>
      </c>
      <c r="BK194" s="22">
        <f>INDEX($Q194:$AJ194,1,(BK$4-1)*5+1)+BK$8*INDEX($Q194:$AJ194,1,(BK$4-1)*5+2)*INDEX($Q194:$AJ194,1,(BK$4-1)*5+3)</f>
        <v/>
      </c>
      <c r="BL194" s="22">
        <f>INDEX($Q194:$AJ194,1,(BL$4-1)*5+1)+BL$8*INDEX($Q194:$AJ194,1,(BL$4-1)*5+2)*INDEX($Q194:$AJ194,1,(BL$4-1)*5+3)</f>
        <v/>
      </c>
      <c r="BM194" s="22">
        <f>INDEX($Q194:$AJ194,1,(BM$4-1)*5+1)+BM$8*INDEX($Q194:$AJ194,1,(BM$4-1)*5+2)*INDEX($Q194:$AJ194,1,(BM$4-1)*5+3)</f>
        <v/>
      </c>
      <c r="BN194" s="22">
        <f>INDEX($Q194:$AJ194,1,(BN$4-1)*5+1)+BN$8*INDEX($Q194:$AJ194,1,(BN$4-1)*5+2)*INDEX($Q194:$AJ194,1,(BN$4-1)*5+3)</f>
        <v/>
      </c>
    </row>
    <row r="195">
      <c r="B195" s="5" t="inlineStr">
        <is>
          <t>oop</t>
        </is>
      </c>
      <c r="C195" s="5" t="inlineStr">
        <is>
          <t>srv</t>
        </is>
      </c>
      <c r="D195" s="5" t="inlineStr">
        <is>
          <t>Tax | Services (public &amp; private) | Other oil products</t>
        </is>
      </c>
      <c r="E195" s="5" t="inlineStr">
        <is>
          <t>$/GJ</t>
        </is>
      </c>
      <c r="F195" s="5" t="inlineStr">
        <is>
          <t>Prices_dom, EF_GHG, Mapping</t>
        </is>
      </c>
      <c r="G195" s="19" t="inlineStr">
        <is>
          <t>mit.rp.oop</t>
        </is>
      </c>
      <c r="H195" s="19" t="inlineStr">
        <is>
          <t>mit.tax.oop.srv</t>
        </is>
      </c>
      <c r="J195" s="5">
        <f>INDEX(Mapping!$C$5:$C$20,MATCH($C195,Mapping!$A$5:$A$20,0))</f>
        <v/>
      </c>
      <c r="K195" s="5">
        <f>INDEX(Mapping!$D$5:$D$20,MATCH($C195,Mapping!$A$5:$A$20,0))</f>
        <v/>
      </c>
      <c r="L195" s="5">
        <f>INDEX(Mapping!$C$24:$C$31,MATCH($B195,Mapping!$A$24:$A$31,0))</f>
        <v/>
      </c>
      <c r="M195" s="5">
        <f>INDEX(Mapping!$D$24:$D$31,MATCH($B195,Mapping!$A$24:$A$31,0))</f>
        <v/>
      </c>
      <c r="N195" s="5">
        <f>$B195&amp;"."&amp;IF(INDEX(Mapping!$E$24:$E$31,MATCH($B195,Mapping!$A$24:$A$31,0))="sub",INDEX(Mapping!$F$5:$F$20,MATCH($C195,Mapping!$A$5:$A$20,0)),"all")</f>
        <v/>
      </c>
      <c r="O195" s="5">
        <f>INDEX(Mapping!$E$5:$E$20,MATCH($C195,Mapping!$A$5:$A$20,0))</f>
        <v/>
      </c>
      <c r="P195" s="5">
        <f>INDEX(Mapping!$G$24:$G$31,MATCH($B195,Mapping!$A$24:$A$31,0))</f>
        <v/>
      </c>
      <c r="Q195" s="22">
        <f>(INDEX(Prices_dom!$A$6:$CU$2000,MATCH(Settings!$C$4&amp;Settings!$C$7,Prices_dom!$A$6:$A$2000,0),MATCH("mit.rp."&amp;$N195,Prices_dom!$A$5:$CU$5,0))-INDEX(Prices_dom!$A$6:$CU$2000,MATCH(Settings!$C$4&amp;Settings!$C$7,Prices_dom!$A$6:$A$2000,0),MATCH("mit.sp."&amp;$N195,Prices_dom!$A$5:$CU$5,0)))/$P195</f>
        <v/>
      </c>
      <c r="R195" s="22">
        <f>INDEX(EF_GHG!$E$4:$E$1000,MATCH(Settings!$C$4&amp;"|"&amp;$B195&amp;"|"&amp;$O195,EF_GHG!$A$4:$A$1000,0))</f>
        <v/>
      </c>
      <c r="S195" s="22">
        <f>INDEX(Mapping!$G$5:$G$20,MATCH($C195,Mapping!$A$5:$A$20,0))</f>
        <v/>
      </c>
      <c r="T195" s="21" t="n"/>
      <c r="U195" s="21" t="n"/>
      <c r="V195" s="22">
        <f>Q195</f>
        <v/>
      </c>
      <c r="W195" s="22">
        <f>R195</f>
        <v/>
      </c>
      <c r="X195" s="22">
        <f>S195</f>
        <v/>
      </c>
      <c r="Y195" s="21" t="n"/>
      <c r="Z195" s="21" t="n"/>
      <c r="AA195" s="22">
        <f>Q195</f>
        <v/>
      </c>
      <c r="AB195" s="22">
        <f>R195</f>
        <v/>
      </c>
      <c r="AC195" s="22">
        <f>S195</f>
        <v/>
      </c>
      <c r="AD195" s="21" t="n"/>
      <c r="AE195" s="21" t="n"/>
      <c r="AF195" s="22">
        <f>Q195</f>
        <v/>
      </c>
      <c r="AG195" s="22">
        <f>R195</f>
        <v/>
      </c>
      <c r="AH195" s="22">
        <f>S195</f>
        <v/>
      </c>
      <c r="AI195" s="21" t="n"/>
      <c r="AJ195" s="21" t="n"/>
      <c r="AL195" s="23">
        <f>INDEX($Q195:$AJ195,1,(AL$4-1)*5+1)+AL$8*INDEX($Q195:$AJ195,1,(AL$4-1)*5+2)*INDEX($Q195:$AJ195,1,(AL$4-1)*5+3)</f>
        <v/>
      </c>
      <c r="AM195" s="22">
        <f>INDEX($Q195:$AJ195,1,(AM$4-1)*5+1)+AM$8*INDEX($Q195:$AJ195,1,(AM$4-1)*5+2)*INDEX($Q195:$AJ195,1,(AM$4-1)*5+3)</f>
        <v/>
      </c>
      <c r="AN195" s="22">
        <f>INDEX($Q195:$AJ195,1,(AN$4-1)*5+1)+AN$8*INDEX($Q195:$AJ195,1,(AN$4-1)*5+2)*INDEX($Q195:$AJ195,1,(AN$4-1)*5+3)</f>
        <v/>
      </c>
      <c r="AO195" s="22">
        <f>INDEX($Q195:$AJ195,1,(AO$4-1)*5+1)+AO$8*INDEX($Q195:$AJ195,1,(AO$4-1)*5+2)*INDEX($Q195:$AJ195,1,(AO$4-1)*5+3)</f>
        <v/>
      </c>
      <c r="AP195" s="22">
        <f>INDEX($Q195:$AJ195,1,(AP$4-1)*5+1)+AP$8*INDEX($Q195:$AJ195,1,(AP$4-1)*5+2)*INDEX($Q195:$AJ195,1,(AP$4-1)*5+3)</f>
        <v/>
      </c>
      <c r="AQ195" s="22">
        <f>INDEX($Q195:$AJ195,1,(AQ$4-1)*5+1)+AQ$8*INDEX($Q195:$AJ195,1,(AQ$4-1)*5+2)*INDEX($Q195:$AJ195,1,(AQ$4-1)*5+3)</f>
        <v/>
      </c>
      <c r="AR195" s="22">
        <f>INDEX($Q195:$AJ195,1,(AR$4-1)*5+1)+AR$8*INDEX($Q195:$AJ195,1,(AR$4-1)*5+2)*INDEX($Q195:$AJ195,1,(AR$4-1)*5+3)</f>
        <v/>
      </c>
      <c r="AS195" s="22">
        <f>INDEX($Q195:$AJ195,1,(AS$4-1)*5+1)+AS$8*INDEX($Q195:$AJ195,1,(AS$4-1)*5+2)*INDEX($Q195:$AJ195,1,(AS$4-1)*5+3)</f>
        <v/>
      </c>
      <c r="AT195" s="22">
        <f>INDEX($Q195:$AJ195,1,(AT$4-1)*5+1)+AT$8*INDEX($Q195:$AJ195,1,(AT$4-1)*5+2)*INDEX($Q195:$AJ195,1,(AT$4-1)*5+3)</f>
        <v/>
      </c>
      <c r="AU195" s="22">
        <f>INDEX($Q195:$AJ195,1,(AU$4-1)*5+1)+AU$8*INDEX($Q195:$AJ195,1,(AU$4-1)*5+2)*INDEX($Q195:$AJ195,1,(AU$4-1)*5+3)</f>
        <v/>
      </c>
      <c r="AV195" s="22">
        <f>INDEX($Q195:$AJ195,1,(AV$4-1)*5+1)+AV$8*INDEX($Q195:$AJ195,1,(AV$4-1)*5+2)*INDEX($Q195:$AJ195,1,(AV$4-1)*5+3)</f>
        <v/>
      </c>
      <c r="AW195" s="22">
        <f>INDEX($Q195:$AJ195,1,(AW$4-1)*5+1)+AW$8*INDEX($Q195:$AJ195,1,(AW$4-1)*5+2)*INDEX($Q195:$AJ195,1,(AW$4-1)*5+3)</f>
        <v/>
      </c>
      <c r="AX195" s="22">
        <f>INDEX($Q195:$AJ195,1,(AX$4-1)*5+1)+AX$8*INDEX($Q195:$AJ195,1,(AX$4-1)*5+2)*INDEX($Q195:$AJ195,1,(AX$4-1)*5+3)</f>
        <v/>
      </c>
      <c r="AY195" s="22">
        <f>INDEX($Q195:$AJ195,1,(AY$4-1)*5+1)+AY$8*INDEX($Q195:$AJ195,1,(AY$4-1)*5+2)*INDEX($Q195:$AJ195,1,(AY$4-1)*5+3)</f>
        <v/>
      </c>
      <c r="BA195" s="23">
        <f>INDEX($Q195:$AJ195,1,(BA$4-1)*5+1)+BA$8*INDEX($Q195:$AJ195,1,(BA$4-1)*5+2)*INDEX($Q195:$AJ195,1,(BA$4-1)*5+3)</f>
        <v/>
      </c>
      <c r="BB195" s="22">
        <f>INDEX($Q195:$AJ195,1,(BB$4-1)*5+1)+BB$8*INDEX($Q195:$AJ195,1,(BB$4-1)*5+2)*INDEX($Q195:$AJ195,1,(BB$4-1)*5+3)</f>
        <v/>
      </c>
      <c r="BC195" s="22">
        <f>INDEX($Q195:$AJ195,1,(BC$4-1)*5+1)+BC$8*INDEX($Q195:$AJ195,1,(BC$4-1)*5+2)*INDEX($Q195:$AJ195,1,(BC$4-1)*5+3)</f>
        <v/>
      </c>
      <c r="BD195" s="22">
        <f>INDEX($Q195:$AJ195,1,(BD$4-1)*5+1)+BD$8*INDEX($Q195:$AJ195,1,(BD$4-1)*5+2)*INDEX($Q195:$AJ195,1,(BD$4-1)*5+3)</f>
        <v/>
      </c>
      <c r="BE195" s="22">
        <f>INDEX($Q195:$AJ195,1,(BE$4-1)*5+1)+BE$8*INDEX($Q195:$AJ195,1,(BE$4-1)*5+2)*INDEX($Q195:$AJ195,1,(BE$4-1)*5+3)</f>
        <v/>
      </c>
      <c r="BF195" s="22">
        <f>INDEX($Q195:$AJ195,1,(BF$4-1)*5+1)+BF$8*INDEX($Q195:$AJ195,1,(BF$4-1)*5+2)*INDEX($Q195:$AJ195,1,(BF$4-1)*5+3)</f>
        <v/>
      </c>
      <c r="BG195" s="22">
        <f>INDEX($Q195:$AJ195,1,(BG$4-1)*5+1)+BG$8*INDEX($Q195:$AJ195,1,(BG$4-1)*5+2)*INDEX($Q195:$AJ195,1,(BG$4-1)*5+3)</f>
        <v/>
      </c>
      <c r="BH195" s="22">
        <f>INDEX($Q195:$AJ195,1,(BH$4-1)*5+1)+BH$8*INDEX($Q195:$AJ195,1,(BH$4-1)*5+2)*INDEX($Q195:$AJ195,1,(BH$4-1)*5+3)</f>
        <v/>
      </c>
      <c r="BI195" s="22">
        <f>INDEX($Q195:$AJ195,1,(BI$4-1)*5+1)+BI$8*INDEX($Q195:$AJ195,1,(BI$4-1)*5+2)*INDEX($Q195:$AJ195,1,(BI$4-1)*5+3)</f>
        <v/>
      </c>
      <c r="BJ195" s="22">
        <f>INDEX($Q195:$AJ195,1,(BJ$4-1)*5+1)+BJ$8*INDEX($Q195:$AJ195,1,(BJ$4-1)*5+2)*INDEX($Q195:$AJ195,1,(BJ$4-1)*5+3)</f>
        <v/>
      </c>
      <c r="BK195" s="22">
        <f>INDEX($Q195:$AJ195,1,(BK$4-1)*5+1)+BK$8*INDEX($Q195:$AJ195,1,(BK$4-1)*5+2)*INDEX($Q195:$AJ195,1,(BK$4-1)*5+3)</f>
        <v/>
      </c>
      <c r="BL195" s="22">
        <f>INDEX($Q195:$AJ195,1,(BL$4-1)*5+1)+BL$8*INDEX($Q195:$AJ195,1,(BL$4-1)*5+2)*INDEX($Q195:$AJ195,1,(BL$4-1)*5+3)</f>
        <v/>
      </c>
      <c r="BM195" s="22">
        <f>INDEX($Q195:$AJ195,1,(BM$4-1)*5+1)+BM$8*INDEX($Q195:$AJ195,1,(BM$4-1)*5+2)*INDEX($Q195:$AJ195,1,(BM$4-1)*5+3)</f>
        <v/>
      </c>
      <c r="BN195" s="22">
        <f>INDEX($Q195:$AJ195,1,(BN$4-1)*5+1)+BN$8*INDEX($Q195:$AJ195,1,(BN$4-1)*5+2)*INDEX($Q195:$AJ195,1,(BN$4-1)*5+3)</f>
        <v/>
      </c>
    </row>
    <row r="196">
      <c r="B196" s="5" t="inlineStr">
        <is>
          <t>bio</t>
        </is>
      </c>
      <c r="C196" s="5" t="inlineStr">
        <is>
          <t>srv</t>
        </is>
      </c>
      <c r="D196" s="5" t="inlineStr">
        <is>
          <t>Tax | Services (public &amp; private) | Biomass</t>
        </is>
      </c>
      <c r="E196" s="5" t="inlineStr">
        <is>
          <t>$/GJ</t>
        </is>
      </c>
      <c r="F196" s="5" t="inlineStr">
        <is>
          <t>Prices_dom, EF_GHG, Mapping</t>
        </is>
      </c>
      <c r="G196" s="19" t="inlineStr">
        <is>
          <t>mit.rp.bio</t>
        </is>
      </c>
      <c r="H196" s="19" t="inlineStr">
        <is>
          <t>mit.tax.bio.srv</t>
        </is>
      </c>
      <c r="J196" s="5">
        <f>INDEX(Mapping!$C$5:$C$20,MATCH($C196,Mapping!$A$5:$A$20,0))</f>
        <v/>
      </c>
      <c r="K196" s="5">
        <f>INDEX(Mapping!$D$5:$D$20,MATCH($C196,Mapping!$A$5:$A$20,0))</f>
        <v/>
      </c>
      <c r="L196" s="5">
        <f>INDEX(Mapping!$C$24:$C$31,MATCH($B196,Mapping!$A$24:$A$31,0))</f>
        <v/>
      </c>
      <c r="M196" s="5">
        <f>INDEX(Mapping!$D$24:$D$31,MATCH($B196,Mapping!$A$24:$A$31,0))</f>
        <v/>
      </c>
      <c r="N196" s="5">
        <f>$B196&amp;"."&amp;IF(INDEX(Mapping!$E$24:$E$31,MATCH($B196,Mapping!$A$24:$A$31,0))="sub",INDEX(Mapping!$F$5:$F$20,MATCH($C196,Mapping!$A$5:$A$20,0)),"all")</f>
        <v/>
      </c>
      <c r="O196" s="5">
        <f>INDEX(Mapping!$E$5:$E$20,MATCH($C196,Mapping!$A$5:$A$20,0))</f>
        <v/>
      </c>
      <c r="P196" s="5">
        <f>INDEX(Mapping!$G$24:$G$31,MATCH($B196,Mapping!$A$24:$A$31,0))</f>
        <v/>
      </c>
      <c r="Q196" s="22">
        <f>(INDEX(Prices_dom!$A$6:$CU$2000,MATCH(Settings!$C$4&amp;Settings!$C$7,Prices_dom!$A$6:$A$2000,0),MATCH("mit.rp."&amp;$N196,Prices_dom!$A$5:$CU$5,0))-INDEX(Prices_dom!$A$6:$CU$2000,MATCH(Settings!$C$4&amp;Settings!$C$7,Prices_dom!$A$6:$A$2000,0),MATCH("mit.sp."&amp;$N196,Prices_dom!$A$5:$CU$5,0)))/$P196</f>
        <v/>
      </c>
      <c r="R196" s="22">
        <f>INDEX(EF_GHG!$E$4:$E$1000,MATCH(Settings!$C$4&amp;"|"&amp;$B196&amp;"|"&amp;$O196,EF_GHG!$A$4:$A$1000,0))</f>
        <v/>
      </c>
      <c r="S196" s="22">
        <f>INDEX(Mapping!$G$5:$G$20,MATCH($C196,Mapping!$A$5:$A$20,0))</f>
        <v/>
      </c>
      <c r="T196" s="21" t="n"/>
      <c r="U196" s="21" t="n"/>
      <c r="V196" s="22">
        <f>Q196</f>
        <v/>
      </c>
      <c r="W196" s="22">
        <f>R196</f>
        <v/>
      </c>
      <c r="X196" s="22">
        <f>S196</f>
        <v/>
      </c>
      <c r="Y196" s="21" t="n"/>
      <c r="Z196" s="21" t="n"/>
      <c r="AA196" s="22">
        <f>Q196</f>
        <v/>
      </c>
      <c r="AB196" s="22">
        <f>R196</f>
        <v/>
      </c>
      <c r="AC196" s="22">
        <f>S196</f>
        <v/>
      </c>
      <c r="AD196" s="21" t="n"/>
      <c r="AE196" s="21" t="n"/>
      <c r="AF196" s="22">
        <f>Q196</f>
        <v/>
      </c>
      <c r="AG196" s="22">
        <f>R196</f>
        <v/>
      </c>
      <c r="AH196" s="22">
        <f>S196</f>
        <v/>
      </c>
      <c r="AI196" s="21" t="n"/>
      <c r="AJ196" s="21" t="n"/>
      <c r="AL196" s="23">
        <f>INDEX($Q196:$AJ196,1,(AL$4-1)*5+1)+AL$8*INDEX($Q196:$AJ196,1,(AL$4-1)*5+2)*INDEX($Q196:$AJ196,1,(AL$4-1)*5+3)</f>
        <v/>
      </c>
      <c r="AM196" s="22">
        <f>INDEX($Q196:$AJ196,1,(AM$4-1)*5+1)+AM$8*INDEX($Q196:$AJ196,1,(AM$4-1)*5+2)*INDEX($Q196:$AJ196,1,(AM$4-1)*5+3)</f>
        <v/>
      </c>
      <c r="AN196" s="22">
        <f>INDEX($Q196:$AJ196,1,(AN$4-1)*5+1)+AN$8*INDEX($Q196:$AJ196,1,(AN$4-1)*5+2)*INDEX($Q196:$AJ196,1,(AN$4-1)*5+3)</f>
        <v/>
      </c>
      <c r="AO196" s="22">
        <f>INDEX($Q196:$AJ196,1,(AO$4-1)*5+1)+AO$8*INDEX($Q196:$AJ196,1,(AO$4-1)*5+2)*INDEX($Q196:$AJ196,1,(AO$4-1)*5+3)</f>
        <v/>
      </c>
      <c r="AP196" s="22">
        <f>INDEX($Q196:$AJ196,1,(AP$4-1)*5+1)+AP$8*INDEX($Q196:$AJ196,1,(AP$4-1)*5+2)*INDEX($Q196:$AJ196,1,(AP$4-1)*5+3)</f>
        <v/>
      </c>
      <c r="AQ196" s="22">
        <f>INDEX($Q196:$AJ196,1,(AQ$4-1)*5+1)+AQ$8*INDEX($Q196:$AJ196,1,(AQ$4-1)*5+2)*INDEX($Q196:$AJ196,1,(AQ$4-1)*5+3)</f>
        <v/>
      </c>
      <c r="AR196" s="22">
        <f>INDEX($Q196:$AJ196,1,(AR$4-1)*5+1)+AR$8*INDEX($Q196:$AJ196,1,(AR$4-1)*5+2)*INDEX($Q196:$AJ196,1,(AR$4-1)*5+3)</f>
        <v/>
      </c>
      <c r="AS196" s="22">
        <f>INDEX($Q196:$AJ196,1,(AS$4-1)*5+1)+AS$8*INDEX($Q196:$AJ196,1,(AS$4-1)*5+2)*INDEX($Q196:$AJ196,1,(AS$4-1)*5+3)</f>
        <v/>
      </c>
      <c r="AT196" s="22">
        <f>INDEX($Q196:$AJ196,1,(AT$4-1)*5+1)+AT$8*INDEX($Q196:$AJ196,1,(AT$4-1)*5+2)*INDEX($Q196:$AJ196,1,(AT$4-1)*5+3)</f>
        <v/>
      </c>
      <c r="AU196" s="22">
        <f>INDEX($Q196:$AJ196,1,(AU$4-1)*5+1)+AU$8*INDEX($Q196:$AJ196,1,(AU$4-1)*5+2)*INDEX($Q196:$AJ196,1,(AU$4-1)*5+3)</f>
        <v/>
      </c>
      <c r="AV196" s="22">
        <f>INDEX($Q196:$AJ196,1,(AV$4-1)*5+1)+AV$8*INDEX($Q196:$AJ196,1,(AV$4-1)*5+2)*INDEX($Q196:$AJ196,1,(AV$4-1)*5+3)</f>
        <v/>
      </c>
      <c r="AW196" s="22">
        <f>INDEX($Q196:$AJ196,1,(AW$4-1)*5+1)+AW$8*INDEX($Q196:$AJ196,1,(AW$4-1)*5+2)*INDEX($Q196:$AJ196,1,(AW$4-1)*5+3)</f>
        <v/>
      </c>
      <c r="AX196" s="22">
        <f>INDEX($Q196:$AJ196,1,(AX$4-1)*5+1)+AX$8*INDEX($Q196:$AJ196,1,(AX$4-1)*5+2)*INDEX($Q196:$AJ196,1,(AX$4-1)*5+3)</f>
        <v/>
      </c>
      <c r="AY196" s="22">
        <f>INDEX($Q196:$AJ196,1,(AY$4-1)*5+1)+AY$8*INDEX($Q196:$AJ196,1,(AY$4-1)*5+2)*INDEX($Q196:$AJ196,1,(AY$4-1)*5+3)</f>
        <v/>
      </c>
      <c r="BA196" s="23">
        <f>INDEX($Q196:$AJ196,1,(BA$4-1)*5+1)+BA$8*INDEX($Q196:$AJ196,1,(BA$4-1)*5+2)*INDEX($Q196:$AJ196,1,(BA$4-1)*5+3)</f>
        <v/>
      </c>
      <c r="BB196" s="22">
        <f>INDEX($Q196:$AJ196,1,(BB$4-1)*5+1)+BB$8*INDEX($Q196:$AJ196,1,(BB$4-1)*5+2)*INDEX($Q196:$AJ196,1,(BB$4-1)*5+3)</f>
        <v/>
      </c>
      <c r="BC196" s="22">
        <f>INDEX($Q196:$AJ196,1,(BC$4-1)*5+1)+BC$8*INDEX($Q196:$AJ196,1,(BC$4-1)*5+2)*INDEX($Q196:$AJ196,1,(BC$4-1)*5+3)</f>
        <v/>
      </c>
      <c r="BD196" s="22">
        <f>INDEX($Q196:$AJ196,1,(BD$4-1)*5+1)+BD$8*INDEX($Q196:$AJ196,1,(BD$4-1)*5+2)*INDEX($Q196:$AJ196,1,(BD$4-1)*5+3)</f>
        <v/>
      </c>
      <c r="BE196" s="22">
        <f>INDEX($Q196:$AJ196,1,(BE$4-1)*5+1)+BE$8*INDEX($Q196:$AJ196,1,(BE$4-1)*5+2)*INDEX($Q196:$AJ196,1,(BE$4-1)*5+3)</f>
        <v/>
      </c>
      <c r="BF196" s="22">
        <f>INDEX($Q196:$AJ196,1,(BF$4-1)*5+1)+BF$8*INDEX($Q196:$AJ196,1,(BF$4-1)*5+2)*INDEX($Q196:$AJ196,1,(BF$4-1)*5+3)</f>
        <v/>
      </c>
      <c r="BG196" s="22">
        <f>INDEX($Q196:$AJ196,1,(BG$4-1)*5+1)+BG$8*INDEX($Q196:$AJ196,1,(BG$4-1)*5+2)*INDEX($Q196:$AJ196,1,(BG$4-1)*5+3)</f>
        <v/>
      </c>
      <c r="BH196" s="22">
        <f>INDEX($Q196:$AJ196,1,(BH$4-1)*5+1)+BH$8*INDEX($Q196:$AJ196,1,(BH$4-1)*5+2)*INDEX($Q196:$AJ196,1,(BH$4-1)*5+3)</f>
        <v/>
      </c>
      <c r="BI196" s="22">
        <f>INDEX($Q196:$AJ196,1,(BI$4-1)*5+1)+BI$8*INDEX($Q196:$AJ196,1,(BI$4-1)*5+2)*INDEX($Q196:$AJ196,1,(BI$4-1)*5+3)</f>
        <v/>
      </c>
      <c r="BJ196" s="22">
        <f>INDEX($Q196:$AJ196,1,(BJ$4-1)*5+1)+BJ$8*INDEX($Q196:$AJ196,1,(BJ$4-1)*5+2)*INDEX($Q196:$AJ196,1,(BJ$4-1)*5+3)</f>
        <v/>
      </c>
      <c r="BK196" s="22">
        <f>INDEX($Q196:$AJ196,1,(BK$4-1)*5+1)+BK$8*INDEX($Q196:$AJ196,1,(BK$4-1)*5+2)*INDEX($Q196:$AJ196,1,(BK$4-1)*5+3)</f>
        <v/>
      </c>
      <c r="BL196" s="22">
        <f>INDEX($Q196:$AJ196,1,(BL$4-1)*5+1)+BL$8*INDEX($Q196:$AJ196,1,(BL$4-1)*5+2)*INDEX($Q196:$AJ196,1,(BL$4-1)*5+3)</f>
        <v/>
      </c>
      <c r="BM196" s="22">
        <f>INDEX($Q196:$AJ196,1,(BM$4-1)*5+1)+BM$8*INDEX($Q196:$AJ196,1,(BM$4-1)*5+2)*INDEX($Q196:$AJ196,1,(BM$4-1)*5+3)</f>
        <v/>
      </c>
      <c r="BN196" s="22">
        <f>INDEX($Q196:$AJ196,1,(BN$4-1)*5+1)+BN$8*INDEX($Q196:$AJ196,1,(BN$4-1)*5+2)*INDEX($Q196:$AJ196,1,(BN$4-1)*5+3)</f>
        <v/>
      </c>
    </row>
    <row r="197">
      <c r="B197" s="5" t="inlineStr">
        <is>
          <t>coa</t>
        </is>
      </c>
      <c r="C197" s="5" t="inlineStr">
        <is>
          <t>mch</t>
        </is>
      </c>
      <c r="D197" s="5" t="inlineStr">
        <is>
          <t>Tax | Mining &amp; chemicals | Coal</t>
        </is>
      </c>
      <c r="E197" s="5" t="inlineStr">
        <is>
          <t>$/GJ</t>
        </is>
      </c>
      <c r="F197" s="5" t="inlineStr">
        <is>
          <t>Prices_dom, EF_GHG, Mapping</t>
        </is>
      </c>
      <c r="G197" s="19" t="inlineStr">
        <is>
          <t>mit.rp.coa</t>
        </is>
      </c>
      <c r="H197" s="19" t="inlineStr">
        <is>
          <t>mit.tax.coa.mch</t>
        </is>
      </c>
      <c r="J197" s="5">
        <f>INDEX(Mapping!$C$5:$C$20,MATCH($C197,Mapping!$A$5:$A$20,0))</f>
        <v/>
      </c>
      <c r="K197" s="5">
        <f>INDEX(Mapping!$D$5:$D$20,MATCH($C197,Mapping!$A$5:$A$20,0))</f>
        <v/>
      </c>
      <c r="L197" s="5">
        <f>INDEX(Mapping!$C$24:$C$31,MATCH($B197,Mapping!$A$24:$A$31,0))</f>
        <v/>
      </c>
      <c r="M197" s="5">
        <f>INDEX(Mapping!$D$24:$D$31,MATCH($B197,Mapping!$A$24:$A$31,0))</f>
        <v/>
      </c>
      <c r="N197" s="5">
        <f>$B197&amp;"."&amp;IF(INDEX(Mapping!$E$24:$E$31,MATCH($B197,Mapping!$A$24:$A$31,0))="sub",INDEX(Mapping!$F$5:$F$20,MATCH($C197,Mapping!$A$5:$A$20,0)),"all")</f>
        <v/>
      </c>
      <c r="O197" s="5">
        <f>INDEX(Mapping!$E$5:$E$20,MATCH($C197,Mapping!$A$5:$A$20,0))</f>
        <v/>
      </c>
      <c r="P197" s="5">
        <f>INDEX(Mapping!$G$24:$G$31,MATCH($B197,Mapping!$A$24:$A$31,0))</f>
        <v/>
      </c>
      <c r="Q197" s="22">
        <f>(INDEX(Prices_dom!$A$6:$CU$2000,MATCH(Settings!$C$4&amp;Settings!$C$7,Prices_dom!$A$6:$A$2000,0),MATCH("mit.rp."&amp;$N197,Prices_dom!$A$5:$CU$5,0))-INDEX(Prices_dom!$A$6:$CU$2000,MATCH(Settings!$C$4&amp;Settings!$C$7,Prices_dom!$A$6:$A$2000,0),MATCH("mit.sp."&amp;$N197,Prices_dom!$A$5:$CU$5,0)))/$P197</f>
        <v/>
      </c>
      <c r="R197" s="22">
        <f>INDEX(EF_GHG!$E$4:$E$1000,MATCH(Settings!$C$4&amp;"|"&amp;$B197&amp;"|"&amp;$O197,EF_GHG!$A$4:$A$1000,0))</f>
        <v/>
      </c>
      <c r="S197" s="22">
        <f>INDEX(Mapping!$G$5:$G$20,MATCH($C197,Mapping!$A$5:$A$20,0))</f>
        <v/>
      </c>
      <c r="T197" s="21" t="n"/>
      <c r="U197" s="21" t="n"/>
      <c r="V197" s="22">
        <f>Q197</f>
        <v/>
      </c>
      <c r="W197" s="22">
        <f>R197</f>
        <v/>
      </c>
      <c r="X197" s="22">
        <f>S197</f>
        <v/>
      </c>
      <c r="Y197" s="21" t="n"/>
      <c r="Z197" s="21" t="n"/>
      <c r="AA197" s="22">
        <f>Q197</f>
        <v/>
      </c>
      <c r="AB197" s="22">
        <f>R197</f>
        <v/>
      </c>
      <c r="AC197" s="22">
        <f>S197</f>
        <v/>
      </c>
      <c r="AD197" s="21" t="n"/>
      <c r="AE197" s="21" t="n"/>
      <c r="AF197" s="22">
        <f>Q197</f>
        <v/>
      </c>
      <c r="AG197" s="22">
        <f>R197</f>
        <v/>
      </c>
      <c r="AH197" s="22">
        <f>S197</f>
        <v/>
      </c>
      <c r="AI197" s="21" t="n"/>
      <c r="AJ197" s="21" t="n"/>
      <c r="AL197" s="23">
        <f>INDEX($Q197:$AJ197,1,(AL$4-1)*5+1)+AL$8*INDEX($Q197:$AJ197,1,(AL$4-1)*5+2)*INDEX($Q197:$AJ197,1,(AL$4-1)*5+3)</f>
        <v/>
      </c>
      <c r="AM197" s="22">
        <f>INDEX($Q197:$AJ197,1,(AM$4-1)*5+1)+AM$8*INDEX($Q197:$AJ197,1,(AM$4-1)*5+2)*INDEX($Q197:$AJ197,1,(AM$4-1)*5+3)</f>
        <v/>
      </c>
      <c r="AN197" s="22">
        <f>INDEX($Q197:$AJ197,1,(AN$4-1)*5+1)+AN$8*INDEX($Q197:$AJ197,1,(AN$4-1)*5+2)*INDEX($Q197:$AJ197,1,(AN$4-1)*5+3)</f>
        <v/>
      </c>
      <c r="AO197" s="22">
        <f>INDEX($Q197:$AJ197,1,(AO$4-1)*5+1)+AO$8*INDEX($Q197:$AJ197,1,(AO$4-1)*5+2)*INDEX($Q197:$AJ197,1,(AO$4-1)*5+3)</f>
        <v/>
      </c>
      <c r="AP197" s="22">
        <f>INDEX($Q197:$AJ197,1,(AP$4-1)*5+1)+AP$8*INDEX($Q197:$AJ197,1,(AP$4-1)*5+2)*INDEX($Q197:$AJ197,1,(AP$4-1)*5+3)</f>
        <v/>
      </c>
      <c r="AQ197" s="22">
        <f>INDEX($Q197:$AJ197,1,(AQ$4-1)*5+1)+AQ$8*INDEX($Q197:$AJ197,1,(AQ$4-1)*5+2)*INDEX($Q197:$AJ197,1,(AQ$4-1)*5+3)</f>
        <v/>
      </c>
      <c r="AR197" s="22">
        <f>INDEX($Q197:$AJ197,1,(AR$4-1)*5+1)+AR$8*INDEX($Q197:$AJ197,1,(AR$4-1)*5+2)*INDEX($Q197:$AJ197,1,(AR$4-1)*5+3)</f>
        <v/>
      </c>
      <c r="AS197" s="22">
        <f>INDEX($Q197:$AJ197,1,(AS$4-1)*5+1)+AS$8*INDEX($Q197:$AJ197,1,(AS$4-1)*5+2)*INDEX($Q197:$AJ197,1,(AS$4-1)*5+3)</f>
        <v/>
      </c>
      <c r="AT197" s="22">
        <f>INDEX($Q197:$AJ197,1,(AT$4-1)*5+1)+AT$8*INDEX($Q197:$AJ197,1,(AT$4-1)*5+2)*INDEX($Q197:$AJ197,1,(AT$4-1)*5+3)</f>
        <v/>
      </c>
      <c r="AU197" s="22">
        <f>INDEX($Q197:$AJ197,1,(AU$4-1)*5+1)+AU$8*INDEX($Q197:$AJ197,1,(AU$4-1)*5+2)*INDEX($Q197:$AJ197,1,(AU$4-1)*5+3)</f>
        <v/>
      </c>
      <c r="AV197" s="22">
        <f>INDEX($Q197:$AJ197,1,(AV$4-1)*5+1)+AV$8*INDEX($Q197:$AJ197,1,(AV$4-1)*5+2)*INDEX($Q197:$AJ197,1,(AV$4-1)*5+3)</f>
        <v/>
      </c>
      <c r="AW197" s="22">
        <f>INDEX($Q197:$AJ197,1,(AW$4-1)*5+1)+AW$8*INDEX($Q197:$AJ197,1,(AW$4-1)*5+2)*INDEX($Q197:$AJ197,1,(AW$4-1)*5+3)</f>
        <v/>
      </c>
      <c r="AX197" s="22">
        <f>INDEX($Q197:$AJ197,1,(AX$4-1)*5+1)+AX$8*INDEX($Q197:$AJ197,1,(AX$4-1)*5+2)*INDEX($Q197:$AJ197,1,(AX$4-1)*5+3)</f>
        <v/>
      </c>
      <c r="AY197" s="22">
        <f>INDEX($Q197:$AJ197,1,(AY$4-1)*5+1)+AY$8*INDEX($Q197:$AJ197,1,(AY$4-1)*5+2)*INDEX($Q197:$AJ197,1,(AY$4-1)*5+3)</f>
        <v/>
      </c>
      <c r="BA197" s="23">
        <f>INDEX($Q197:$AJ197,1,(BA$4-1)*5+1)+BA$8*INDEX($Q197:$AJ197,1,(BA$4-1)*5+2)*INDEX($Q197:$AJ197,1,(BA$4-1)*5+3)</f>
        <v/>
      </c>
      <c r="BB197" s="22">
        <f>INDEX($Q197:$AJ197,1,(BB$4-1)*5+1)+BB$8*INDEX($Q197:$AJ197,1,(BB$4-1)*5+2)*INDEX($Q197:$AJ197,1,(BB$4-1)*5+3)</f>
        <v/>
      </c>
      <c r="BC197" s="22">
        <f>INDEX($Q197:$AJ197,1,(BC$4-1)*5+1)+BC$8*INDEX($Q197:$AJ197,1,(BC$4-1)*5+2)*INDEX($Q197:$AJ197,1,(BC$4-1)*5+3)</f>
        <v/>
      </c>
      <c r="BD197" s="22">
        <f>INDEX($Q197:$AJ197,1,(BD$4-1)*5+1)+BD$8*INDEX($Q197:$AJ197,1,(BD$4-1)*5+2)*INDEX($Q197:$AJ197,1,(BD$4-1)*5+3)</f>
        <v/>
      </c>
      <c r="BE197" s="22">
        <f>INDEX($Q197:$AJ197,1,(BE$4-1)*5+1)+BE$8*INDEX($Q197:$AJ197,1,(BE$4-1)*5+2)*INDEX($Q197:$AJ197,1,(BE$4-1)*5+3)</f>
        <v/>
      </c>
      <c r="BF197" s="22">
        <f>INDEX($Q197:$AJ197,1,(BF$4-1)*5+1)+BF$8*INDEX($Q197:$AJ197,1,(BF$4-1)*5+2)*INDEX($Q197:$AJ197,1,(BF$4-1)*5+3)</f>
        <v/>
      </c>
      <c r="BG197" s="22">
        <f>INDEX($Q197:$AJ197,1,(BG$4-1)*5+1)+BG$8*INDEX($Q197:$AJ197,1,(BG$4-1)*5+2)*INDEX($Q197:$AJ197,1,(BG$4-1)*5+3)</f>
        <v/>
      </c>
      <c r="BH197" s="22">
        <f>INDEX($Q197:$AJ197,1,(BH$4-1)*5+1)+BH$8*INDEX($Q197:$AJ197,1,(BH$4-1)*5+2)*INDEX($Q197:$AJ197,1,(BH$4-1)*5+3)</f>
        <v/>
      </c>
      <c r="BI197" s="22">
        <f>INDEX($Q197:$AJ197,1,(BI$4-1)*5+1)+BI$8*INDEX($Q197:$AJ197,1,(BI$4-1)*5+2)*INDEX($Q197:$AJ197,1,(BI$4-1)*5+3)</f>
        <v/>
      </c>
      <c r="BJ197" s="22">
        <f>INDEX($Q197:$AJ197,1,(BJ$4-1)*5+1)+BJ$8*INDEX($Q197:$AJ197,1,(BJ$4-1)*5+2)*INDEX($Q197:$AJ197,1,(BJ$4-1)*5+3)</f>
        <v/>
      </c>
      <c r="BK197" s="22">
        <f>INDEX($Q197:$AJ197,1,(BK$4-1)*5+1)+BK$8*INDEX($Q197:$AJ197,1,(BK$4-1)*5+2)*INDEX($Q197:$AJ197,1,(BK$4-1)*5+3)</f>
        <v/>
      </c>
      <c r="BL197" s="22">
        <f>INDEX($Q197:$AJ197,1,(BL$4-1)*5+1)+BL$8*INDEX($Q197:$AJ197,1,(BL$4-1)*5+2)*INDEX($Q197:$AJ197,1,(BL$4-1)*5+3)</f>
        <v/>
      </c>
      <c r="BM197" s="22">
        <f>INDEX($Q197:$AJ197,1,(BM$4-1)*5+1)+BM$8*INDEX($Q197:$AJ197,1,(BM$4-1)*5+2)*INDEX($Q197:$AJ197,1,(BM$4-1)*5+3)</f>
        <v/>
      </c>
      <c r="BN197" s="22">
        <f>INDEX($Q197:$AJ197,1,(BN$4-1)*5+1)+BN$8*INDEX($Q197:$AJ197,1,(BN$4-1)*5+2)*INDEX($Q197:$AJ197,1,(BN$4-1)*5+3)</f>
        <v/>
      </c>
    </row>
    <row r="198">
      <c r="B198" s="5" t="inlineStr">
        <is>
          <t>nga</t>
        </is>
      </c>
      <c r="C198" s="5" t="inlineStr">
        <is>
          <t>mch</t>
        </is>
      </c>
      <c r="D198" s="5" t="inlineStr">
        <is>
          <t>Tax | Mining &amp; chemicals | Natural gas</t>
        </is>
      </c>
      <c r="E198" s="5" t="inlineStr">
        <is>
          <t>$/GJ</t>
        </is>
      </c>
      <c r="F198" s="5" t="inlineStr">
        <is>
          <t>Prices_dom, EF_GHG, Mapping</t>
        </is>
      </c>
      <c r="G198" s="19" t="inlineStr">
        <is>
          <t>mit.rp.nga</t>
        </is>
      </c>
      <c r="H198" s="19" t="inlineStr">
        <is>
          <t>mit.tax.nga.mch</t>
        </is>
      </c>
      <c r="J198" s="5">
        <f>INDEX(Mapping!$C$5:$C$20,MATCH($C198,Mapping!$A$5:$A$20,0))</f>
        <v/>
      </c>
      <c r="K198" s="5">
        <f>INDEX(Mapping!$D$5:$D$20,MATCH($C198,Mapping!$A$5:$A$20,0))</f>
        <v/>
      </c>
      <c r="L198" s="5">
        <f>INDEX(Mapping!$C$24:$C$31,MATCH($B198,Mapping!$A$24:$A$31,0))</f>
        <v/>
      </c>
      <c r="M198" s="5">
        <f>INDEX(Mapping!$D$24:$D$31,MATCH($B198,Mapping!$A$24:$A$31,0))</f>
        <v/>
      </c>
      <c r="N198" s="5">
        <f>$B198&amp;"."&amp;IF(INDEX(Mapping!$E$24:$E$31,MATCH($B198,Mapping!$A$24:$A$31,0))="sub",INDEX(Mapping!$F$5:$F$20,MATCH($C198,Mapping!$A$5:$A$20,0)),"all")</f>
        <v/>
      </c>
      <c r="O198" s="5">
        <f>INDEX(Mapping!$E$5:$E$20,MATCH($C198,Mapping!$A$5:$A$20,0))</f>
        <v/>
      </c>
      <c r="P198" s="5">
        <f>INDEX(Mapping!$G$24:$G$31,MATCH($B198,Mapping!$A$24:$A$31,0))</f>
        <v/>
      </c>
      <c r="Q198" s="22">
        <f>(INDEX(Prices_dom!$A$6:$CU$2000,MATCH(Settings!$C$4&amp;Settings!$C$7,Prices_dom!$A$6:$A$2000,0),MATCH("mit.rp."&amp;$N198,Prices_dom!$A$5:$CU$5,0))-INDEX(Prices_dom!$A$6:$CU$2000,MATCH(Settings!$C$4&amp;Settings!$C$7,Prices_dom!$A$6:$A$2000,0),MATCH("mit.sp."&amp;$N198,Prices_dom!$A$5:$CU$5,0)))/$P198</f>
        <v/>
      </c>
      <c r="R198" s="22">
        <f>INDEX(EF_GHG!$E$4:$E$1000,MATCH(Settings!$C$4&amp;"|"&amp;$B198&amp;"|"&amp;$O198,EF_GHG!$A$4:$A$1000,0))</f>
        <v/>
      </c>
      <c r="S198" s="22">
        <f>INDEX(Mapping!$G$5:$G$20,MATCH($C198,Mapping!$A$5:$A$20,0))</f>
        <v/>
      </c>
      <c r="T198" s="21" t="n"/>
      <c r="U198" s="21" t="n"/>
      <c r="V198" s="22">
        <f>Q198</f>
        <v/>
      </c>
      <c r="W198" s="22">
        <f>R198</f>
        <v/>
      </c>
      <c r="X198" s="22">
        <f>S198</f>
        <v/>
      </c>
      <c r="Y198" s="21" t="n"/>
      <c r="Z198" s="21" t="n"/>
      <c r="AA198" s="22">
        <f>Q198</f>
        <v/>
      </c>
      <c r="AB198" s="22">
        <f>R198</f>
        <v/>
      </c>
      <c r="AC198" s="22">
        <f>S198</f>
        <v/>
      </c>
      <c r="AD198" s="21" t="n"/>
      <c r="AE198" s="21" t="n"/>
      <c r="AF198" s="22">
        <f>Q198</f>
        <v/>
      </c>
      <c r="AG198" s="22">
        <f>R198</f>
        <v/>
      </c>
      <c r="AH198" s="22">
        <f>S198</f>
        <v/>
      </c>
      <c r="AI198" s="21" t="n"/>
      <c r="AJ198" s="21" t="n"/>
      <c r="AL198" s="23">
        <f>INDEX($Q198:$AJ198,1,(AL$4-1)*5+1)+AL$8*INDEX($Q198:$AJ198,1,(AL$4-1)*5+2)*INDEX($Q198:$AJ198,1,(AL$4-1)*5+3)</f>
        <v/>
      </c>
      <c r="AM198" s="22">
        <f>INDEX($Q198:$AJ198,1,(AM$4-1)*5+1)+AM$8*INDEX($Q198:$AJ198,1,(AM$4-1)*5+2)*INDEX($Q198:$AJ198,1,(AM$4-1)*5+3)</f>
        <v/>
      </c>
      <c r="AN198" s="22">
        <f>INDEX($Q198:$AJ198,1,(AN$4-1)*5+1)+AN$8*INDEX($Q198:$AJ198,1,(AN$4-1)*5+2)*INDEX($Q198:$AJ198,1,(AN$4-1)*5+3)</f>
        <v/>
      </c>
      <c r="AO198" s="22">
        <f>INDEX($Q198:$AJ198,1,(AO$4-1)*5+1)+AO$8*INDEX($Q198:$AJ198,1,(AO$4-1)*5+2)*INDEX($Q198:$AJ198,1,(AO$4-1)*5+3)</f>
        <v/>
      </c>
      <c r="AP198" s="22">
        <f>INDEX($Q198:$AJ198,1,(AP$4-1)*5+1)+AP$8*INDEX($Q198:$AJ198,1,(AP$4-1)*5+2)*INDEX($Q198:$AJ198,1,(AP$4-1)*5+3)</f>
        <v/>
      </c>
      <c r="AQ198" s="22">
        <f>INDEX($Q198:$AJ198,1,(AQ$4-1)*5+1)+AQ$8*INDEX($Q198:$AJ198,1,(AQ$4-1)*5+2)*INDEX($Q198:$AJ198,1,(AQ$4-1)*5+3)</f>
        <v/>
      </c>
      <c r="AR198" s="22">
        <f>INDEX($Q198:$AJ198,1,(AR$4-1)*5+1)+AR$8*INDEX($Q198:$AJ198,1,(AR$4-1)*5+2)*INDEX($Q198:$AJ198,1,(AR$4-1)*5+3)</f>
        <v/>
      </c>
      <c r="AS198" s="22">
        <f>INDEX($Q198:$AJ198,1,(AS$4-1)*5+1)+AS$8*INDEX($Q198:$AJ198,1,(AS$4-1)*5+2)*INDEX($Q198:$AJ198,1,(AS$4-1)*5+3)</f>
        <v/>
      </c>
      <c r="AT198" s="22">
        <f>INDEX($Q198:$AJ198,1,(AT$4-1)*5+1)+AT$8*INDEX($Q198:$AJ198,1,(AT$4-1)*5+2)*INDEX($Q198:$AJ198,1,(AT$4-1)*5+3)</f>
        <v/>
      </c>
      <c r="AU198" s="22">
        <f>INDEX($Q198:$AJ198,1,(AU$4-1)*5+1)+AU$8*INDEX($Q198:$AJ198,1,(AU$4-1)*5+2)*INDEX($Q198:$AJ198,1,(AU$4-1)*5+3)</f>
        <v/>
      </c>
      <c r="AV198" s="22">
        <f>INDEX($Q198:$AJ198,1,(AV$4-1)*5+1)+AV$8*INDEX($Q198:$AJ198,1,(AV$4-1)*5+2)*INDEX($Q198:$AJ198,1,(AV$4-1)*5+3)</f>
        <v/>
      </c>
      <c r="AW198" s="22">
        <f>INDEX($Q198:$AJ198,1,(AW$4-1)*5+1)+AW$8*INDEX($Q198:$AJ198,1,(AW$4-1)*5+2)*INDEX($Q198:$AJ198,1,(AW$4-1)*5+3)</f>
        <v/>
      </c>
      <c r="AX198" s="22">
        <f>INDEX($Q198:$AJ198,1,(AX$4-1)*5+1)+AX$8*INDEX($Q198:$AJ198,1,(AX$4-1)*5+2)*INDEX($Q198:$AJ198,1,(AX$4-1)*5+3)</f>
        <v/>
      </c>
      <c r="AY198" s="22">
        <f>INDEX($Q198:$AJ198,1,(AY$4-1)*5+1)+AY$8*INDEX($Q198:$AJ198,1,(AY$4-1)*5+2)*INDEX($Q198:$AJ198,1,(AY$4-1)*5+3)</f>
        <v/>
      </c>
      <c r="BA198" s="23">
        <f>INDEX($Q198:$AJ198,1,(BA$4-1)*5+1)+BA$8*INDEX($Q198:$AJ198,1,(BA$4-1)*5+2)*INDEX($Q198:$AJ198,1,(BA$4-1)*5+3)</f>
        <v/>
      </c>
      <c r="BB198" s="22">
        <f>INDEX($Q198:$AJ198,1,(BB$4-1)*5+1)+BB$8*INDEX($Q198:$AJ198,1,(BB$4-1)*5+2)*INDEX($Q198:$AJ198,1,(BB$4-1)*5+3)</f>
        <v/>
      </c>
      <c r="BC198" s="22">
        <f>INDEX($Q198:$AJ198,1,(BC$4-1)*5+1)+BC$8*INDEX($Q198:$AJ198,1,(BC$4-1)*5+2)*INDEX($Q198:$AJ198,1,(BC$4-1)*5+3)</f>
        <v/>
      </c>
      <c r="BD198" s="22">
        <f>INDEX($Q198:$AJ198,1,(BD$4-1)*5+1)+BD$8*INDEX($Q198:$AJ198,1,(BD$4-1)*5+2)*INDEX($Q198:$AJ198,1,(BD$4-1)*5+3)</f>
        <v/>
      </c>
      <c r="BE198" s="22">
        <f>INDEX($Q198:$AJ198,1,(BE$4-1)*5+1)+BE$8*INDEX($Q198:$AJ198,1,(BE$4-1)*5+2)*INDEX($Q198:$AJ198,1,(BE$4-1)*5+3)</f>
        <v/>
      </c>
      <c r="BF198" s="22">
        <f>INDEX($Q198:$AJ198,1,(BF$4-1)*5+1)+BF$8*INDEX($Q198:$AJ198,1,(BF$4-1)*5+2)*INDEX($Q198:$AJ198,1,(BF$4-1)*5+3)</f>
        <v/>
      </c>
      <c r="BG198" s="22">
        <f>INDEX($Q198:$AJ198,1,(BG$4-1)*5+1)+BG$8*INDEX($Q198:$AJ198,1,(BG$4-1)*5+2)*INDEX($Q198:$AJ198,1,(BG$4-1)*5+3)</f>
        <v/>
      </c>
      <c r="BH198" s="22">
        <f>INDEX($Q198:$AJ198,1,(BH$4-1)*5+1)+BH$8*INDEX($Q198:$AJ198,1,(BH$4-1)*5+2)*INDEX($Q198:$AJ198,1,(BH$4-1)*5+3)</f>
        <v/>
      </c>
      <c r="BI198" s="22">
        <f>INDEX($Q198:$AJ198,1,(BI$4-1)*5+1)+BI$8*INDEX($Q198:$AJ198,1,(BI$4-1)*5+2)*INDEX($Q198:$AJ198,1,(BI$4-1)*5+3)</f>
        <v/>
      </c>
      <c r="BJ198" s="22">
        <f>INDEX($Q198:$AJ198,1,(BJ$4-1)*5+1)+BJ$8*INDEX($Q198:$AJ198,1,(BJ$4-1)*5+2)*INDEX($Q198:$AJ198,1,(BJ$4-1)*5+3)</f>
        <v/>
      </c>
      <c r="BK198" s="22">
        <f>INDEX($Q198:$AJ198,1,(BK$4-1)*5+1)+BK$8*INDEX($Q198:$AJ198,1,(BK$4-1)*5+2)*INDEX($Q198:$AJ198,1,(BK$4-1)*5+3)</f>
        <v/>
      </c>
      <c r="BL198" s="22">
        <f>INDEX($Q198:$AJ198,1,(BL$4-1)*5+1)+BL$8*INDEX($Q198:$AJ198,1,(BL$4-1)*5+2)*INDEX($Q198:$AJ198,1,(BL$4-1)*5+3)</f>
        <v/>
      </c>
      <c r="BM198" s="22">
        <f>INDEX($Q198:$AJ198,1,(BM$4-1)*5+1)+BM$8*INDEX($Q198:$AJ198,1,(BM$4-1)*5+2)*INDEX($Q198:$AJ198,1,(BM$4-1)*5+3)</f>
        <v/>
      </c>
      <c r="BN198" s="22">
        <f>INDEX($Q198:$AJ198,1,(BN$4-1)*5+1)+BN$8*INDEX($Q198:$AJ198,1,(BN$4-1)*5+2)*INDEX($Q198:$AJ198,1,(BN$4-1)*5+3)</f>
        <v/>
      </c>
    </row>
    <row r="199">
      <c r="B199" s="5" t="inlineStr">
        <is>
          <t>gso</t>
        </is>
      </c>
      <c r="C199" s="5" t="inlineStr">
        <is>
          <t>mch</t>
        </is>
      </c>
      <c r="D199" s="5" t="inlineStr">
        <is>
          <t>Tax | Mining &amp; chemicals | Gasoline</t>
        </is>
      </c>
      <c r="E199" s="5" t="inlineStr">
        <is>
          <t>$/GJ</t>
        </is>
      </c>
      <c r="F199" s="5" t="inlineStr">
        <is>
          <t>Prices_dom, EF_GHG, Mapping</t>
        </is>
      </c>
      <c r="G199" s="19" t="inlineStr">
        <is>
          <t>mit.rp.gso</t>
        </is>
      </c>
      <c r="H199" s="19" t="inlineStr">
        <is>
          <t>mit.tax.gso.mch</t>
        </is>
      </c>
      <c r="J199" s="5">
        <f>INDEX(Mapping!$C$5:$C$20,MATCH($C199,Mapping!$A$5:$A$20,0))</f>
        <v/>
      </c>
      <c r="K199" s="5">
        <f>INDEX(Mapping!$D$5:$D$20,MATCH($C199,Mapping!$A$5:$A$20,0))</f>
        <v/>
      </c>
      <c r="L199" s="5">
        <f>INDEX(Mapping!$C$24:$C$31,MATCH($B199,Mapping!$A$24:$A$31,0))</f>
        <v/>
      </c>
      <c r="M199" s="5">
        <f>INDEX(Mapping!$D$24:$D$31,MATCH($B199,Mapping!$A$24:$A$31,0))</f>
        <v/>
      </c>
      <c r="N199" s="5">
        <f>$B199&amp;"."&amp;IF(INDEX(Mapping!$E$24:$E$31,MATCH($B199,Mapping!$A$24:$A$31,0))="sub",INDEX(Mapping!$F$5:$F$20,MATCH($C199,Mapping!$A$5:$A$20,0)),"all")</f>
        <v/>
      </c>
      <c r="O199" s="5">
        <f>INDEX(Mapping!$E$5:$E$20,MATCH($C199,Mapping!$A$5:$A$20,0))</f>
        <v/>
      </c>
      <c r="P199" s="5">
        <f>INDEX(Mapping!$G$24:$G$31,MATCH($B199,Mapping!$A$24:$A$31,0))</f>
        <v/>
      </c>
      <c r="Q199" s="22">
        <f>(INDEX(Prices_dom!$A$6:$CU$2000,MATCH(Settings!$C$4&amp;Settings!$C$7,Prices_dom!$A$6:$A$2000,0),MATCH("mit.rp."&amp;$N199,Prices_dom!$A$5:$CU$5,0))-INDEX(Prices_dom!$A$6:$CU$2000,MATCH(Settings!$C$4&amp;Settings!$C$7,Prices_dom!$A$6:$A$2000,0),MATCH("mit.sp."&amp;$N199,Prices_dom!$A$5:$CU$5,0)))/$P199</f>
        <v/>
      </c>
      <c r="R199" s="22">
        <f>INDEX(EF_GHG!$E$4:$E$1000,MATCH(Settings!$C$4&amp;"|"&amp;$B199&amp;"|"&amp;$O199,EF_GHG!$A$4:$A$1000,0))</f>
        <v/>
      </c>
      <c r="S199" s="22">
        <f>INDEX(Mapping!$G$5:$G$20,MATCH($C199,Mapping!$A$5:$A$20,0))</f>
        <v/>
      </c>
      <c r="T199" s="21" t="n"/>
      <c r="U199" s="21" t="n"/>
      <c r="V199" s="22">
        <f>Q199</f>
        <v/>
      </c>
      <c r="W199" s="22">
        <f>R199</f>
        <v/>
      </c>
      <c r="X199" s="22">
        <f>S199</f>
        <v/>
      </c>
      <c r="Y199" s="21" t="n"/>
      <c r="Z199" s="21" t="n"/>
      <c r="AA199" s="22">
        <f>Q199</f>
        <v/>
      </c>
      <c r="AB199" s="22">
        <f>R199</f>
        <v/>
      </c>
      <c r="AC199" s="22">
        <f>S199</f>
        <v/>
      </c>
      <c r="AD199" s="21" t="n"/>
      <c r="AE199" s="21" t="n"/>
      <c r="AF199" s="22">
        <f>Q199</f>
        <v/>
      </c>
      <c r="AG199" s="22">
        <f>R199</f>
        <v/>
      </c>
      <c r="AH199" s="22">
        <f>S199</f>
        <v/>
      </c>
      <c r="AI199" s="21" t="n"/>
      <c r="AJ199" s="21" t="n"/>
      <c r="AL199" s="23">
        <f>INDEX($Q199:$AJ199,1,(AL$4-1)*5+1)+AL$8*INDEX($Q199:$AJ199,1,(AL$4-1)*5+2)*INDEX($Q199:$AJ199,1,(AL$4-1)*5+3)</f>
        <v/>
      </c>
      <c r="AM199" s="22">
        <f>INDEX($Q199:$AJ199,1,(AM$4-1)*5+1)+AM$8*INDEX($Q199:$AJ199,1,(AM$4-1)*5+2)*INDEX($Q199:$AJ199,1,(AM$4-1)*5+3)</f>
        <v/>
      </c>
      <c r="AN199" s="22">
        <f>INDEX($Q199:$AJ199,1,(AN$4-1)*5+1)+AN$8*INDEX($Q199:$AJ199,1,(AN$4-1)*5+2)*INDEX($Q199:$AJ199,1,(AN$4-1)*5+3)</f>
        <v/>
      </c>
      <c r="AO199" s="22">
        <f>INDEX($Q199:$AJ199,1,(AO$4-1)*5+1)+AO$8*INDEX($Q199:$AJ199,1,(AO$4-1)*5+2)*INDEX($Q199:$AJ199,1,(AO$4-1)*5+3)</f>
        <v/>
      </c>
      <c r="AP199" s="22">
        <f>INDEX($Q199:$AJ199,1,(AP$4-1)*5+1)+AP$8*INDEX($Q199:$AJ199,1,(AP$4-1)*5+2)*INDEX($Q199:$AJ199,1,(AP$4-1)*5+3)</f>
        <v/>
      </c>
      <c r="AQ199" s="22">
        <f>INDEX($Q199:$AJ199,1,(AQ$4-1)*5+1)+AQ$8*INDEX($Q199:$AJ199,1,(AQ$4-1)*5+2)*INDEX($Q199:$AJ199,1,(AQ$4-1)*5+3)</f>
        <v/>
      </c>
      <c r="AR199" s="22">
        <f>INDEX($Q199:$AJ199,1,(AR$4-1)*5+1)+AR$8*INDEX($Q199:$AJ199,1,(AR$4-1)*5+2)*INDEX($Q199:$AJ199,1,(AR$4-1)*5+3)</f>
        <v/>
      </c>
      <c r="AS199" s="22">
        <f>INDEX($Q199:$AJ199,1,(AS$4-1)*5+1)+AS$8*INDEX($Q199:$AJ199,1,(AS$4-1)*5+2)*INDEX($Q199:$AJ199,1,(AS$4-1)*5+3)</f>
        <v/>
      </c>
      <c r="AT199" s="22">
        <f>INDEX($Q199:$AJ199,1,(AT$4-1)*5+1)+AT$8*INDEX($Q199:$AJ199,1,(AT$4-1)*5+2)*INDEX($Q199:$AJ199,1,(AT$4-1)*5+3)</f>
        <v/>
      </c>
      <c r="AU199" s="22">
        <f>INDEX($Q199:$AJ199,1,(AU$4-1)*5+1)+AU$8*INDEX($Q199:$AJ199,1,(AU$4-1)*5+2)*INDEX($Q199:$AJ199,1,(AU$4-1)*5+3)</f>
        <v/>
      </c>
      <c r="AV199" s="22">
        <f>INDEX($Q199:$AJ199,1,(AV$4-1)*5+1)+AV$8*INDEX($Q199:$AJ199,1,(AV$4-1)*5+2)*INDEX($Q199:$AJ199,1,(AV$4-1)*5+3)</f>
        <v/>
      </c>
      <c r="AW199" s="22">
        <f>INDEX($Q199:$AJ199,1,(AW$4-1)*5+1)+AW$8*INDEX($Q199:$AJ199,1,(AW$4-1)*5+2)*INDEX($Q199:$AJ199,1,(AW$4-1)*5+3)</f>
        <v/>
      </c>
      <c r="AX199" s="22">
        <f>INDEX($Q199:$AJ199,1,(AX$4-1)*5+1)+AX$8*INDEX($Q199:$AJ199,1,(AX$4-1)*5+2)*INDEX($Q199:$AJ199,1,(AX$4-1)*5+3)</f>
        <v/>
      </c>
      <c r="AY199" s="22">
        <f>INDEX($Q199:$AJ199,1,(AY$4-1)*5+1)+AY$8*INDEX($Q199:$AJ199,1,(AY$4-1)*5+2)*INDEX($Q199:$AJ199,1,(AY$4-1)*5+3)</f>
        <v/>
      </c>
      <c r="BA199" s="23">
        <f>INDEX($Q199:$AJ199,1,(BA$4-1)*5+1)+BA$8*INDEX($Q199:$AJ199,1,(BA$4-1)*5+2)*INDEX($Q199:$AJ199,1,(BA$4-1)*5+3)</f>
        <v/>
      </c>
      <c r="BB199" s="22">
        <f>INDEX($Q199:$AJ199,1,(BB$4-1)*5+1)+BB$8*INDEX($Q199:$AJ199,1,(BB$4-1)*5+2)*INDEX($Q199:$AJ199,1,(BB$4-1)*5+3)</f>
        <v/>
      </c>
      <c r="BC199" s="22">
        <f>INDEX($Q199:$AJ199,1,(BC$4-1)*5+1)+BC$8*INDEX($Q199:$AJ199,1,(BC$4-1)*5+2)*INDEX($Q199:$AJ199,1,(BC$4-1)*5+3)</f>
        <v/>
      </c>
      <c r="BD199" s="22">
        <f>INDEX($Q199:$AJ199,1,(BD$4-1)*5+1)+BD$8*INDEX($Q199:$AJ199,1,(BD$4-1)*5+2)*INDEX($Q199:$AJ199,1,(BD$4-1)*5+3)</f>
        <v/>
      </c>
      <c r="BE199" s="22">
        <f>INDEX($Q199:$AJ199,1,(BE$4-1)*5+1)+BE$8*INDEX($Q199:$AJ199,1,(BE$4-1)*5+2)*INDEX($Q199:$AJ199,1,(BE$4-1)*5+3)</f>
        <v/>
      </c>
      <c r="BF199" s="22">
        <f>INDEX($Q199:$AJ199,1,(BF$4-1)*5+1)+BF$8*INDEX($Q199:$AJ199,1,(BF$4-1)*5+2)*INDEX($Q199:$AJ199,1,(BF$4-1)*5+3)</f>
        <v/>
      </c>
      <c r="BG199" s="22">
        <f>INDEX($Q199:$AJ199,1,(BG$4-1)*5+1)+BG$8*INDEX($Q199:$AJ199,1,(BG$4-1)*5+2)*INDEX($Q199:$AJ199,1,(BG$4-1)*5+3)</f>
        <v/>
      </c>
      <c r="BH199" s="22">
        <f>INDEX($Q199:$AJ199,1,(BH$4-1)*5+1)+BH$8*INDEX($Q199:$AJ199,1,(BH$4-1)*5+2)*INDEX($Q199:$AJ199,1,(BH$4-1)*5+3)</f>
        <v/>
      </c>
      <c r="BI199" s="22">
        <f>INDEX($Q199:$AJ199,1,(BI$4-1)*5+1)+BI$8*INDEX($Q199:$AJ199,1,(BI$4-1)*5+2)*INDEX($Q199:$AJ199,1,(BI$4-1)*5+3)</f>
        <v/>
      </c>
      <c r="BJ199" s="22">
        <f>INDEX($Q199:$AJ199,1,(BJ$4-1)*5+1)+BJ$8*INDEX($Q199:$AJ199,1,(BJ$4-1)*5+2)*INDEX($Q199:$AJ199,1,(BJ$4-1)*5+3)</f>
        <v/>
      </c>
      <c r="BK199" s="22">
        <f>INDEX($Q199:$AJ199,1,(BK$4-1)*5+1)+BK$8*INDEX($Q199:$AJ199,1,(BK$4-1)*5+2)*INDEX($Q199:$AJ199,1,(BK$4-1)*5+3)</f>
        <v/>
      </c>
      <c r="BL199" s="22">
        <f>INDEX($Q199:$AJ199,1,(BL$4-1)*5+1)+BL$8*INDEX($Q199:$AJ199,1,(BL$4-1)*5+2)*INDEX($Q199:$AJ199,1,(BL$4-1)*5+3)</f>
        <v/>
      </c>
      <c r="BM199" s="22">
        <f>INDEX($Q199:$AJ199,1,(BM$4-1)*5+1)+BM$8*INDEX($Q199:$AJ199,1,(BM$4-1)*5+2)*INDEX($Q199:$AJ199,1,(BM$4-1)*5+3)</f>
        <v/>
      </c>
      <c r="BN199" s="22">
        <f>INDEX($Q199:$AJ199,1,(BN$4-1)*5+1)+BN$8*INDEX($Q199:$AJ199,1,(BN$4-1)*5+2)*INDEX($Q199:$AJ199,1,(BN$4-1)*5+3)</f>
        <v/>
      </c>
    </row>
    <row r="200">
      <c r="B200" s="5" t="inlineStr">
        <is>
          <t>die</t>
        </is>
      </c>
      <c r="C200" s="5" t="inlineStr">
        <is>
          <t>mch</t>
        </is>
      </c>
      <c r="D200" s="5" t="inlineStr">
        <is>
          <t>Tax | Mining &amp; chemicals | Diesel</t>
        </is>
      </c>
      <c r="E200" s="5" t="inlineStr">
        <is>
          <t>$/GJ</t>
        </is>
      </c>
      <c r="F200" s="5" t="inlineStr">
        <is>
          <t>Prices_dom, EF_GHG, Mapping</t>
        </is>
      </c>
      <c r="G200" s="19" t="inlineStr">
        <is>
          <t>mit.rp.die</t>
        </is>
      </c>
      <c r="H200" s="19" t="inlineStr">
        <is>
          <t>mit.tax.die.mch</t>
        </is>
      </c>
      <c r="J200" s="5">
        <f>INDEX(Mapping!$C$5:$C$20,MATCH($C200,Mapping!$A$5:$A$20,0))</f>
        <v/>
      </c>
      <c r="K200" s="5">
        <f>INDEX(Mapping!$D$5:$D$20,MATCH($C200,Mapping!$A$5:$A$20,0))</f>
        <v/>
      </c>
      <c r="L200" s="5">
        <f>INDEX(Mapping!$C$24:$C$31,MATCH($B200,Mapping!$A$24:$A$31,0))</f>
        <v/>
      </c>
      <c r="M200" s="5">
        <f>INDEX(Mapping!$D$24:$D$31,MATCH($B200,Mapping!$A$24:$A$31,0))</f>
        <v/>
      </c>
      <c r="N200" s="5">
        <f>$B200&amp;"."&amp;IF(INDEX(Mapping!$E$24:$E$31,MATCH($B200,Mapping!$A$24:$A$31,0))="sub",INDEX(Mapping!$F$5:$F$20,MATCH($C200,Mapping!$A$5:$A$20,0)),"all")</f>
        <v/>
      </c>
      <c r="O200" s="5">
        <f>INDEX(Mapping!$E$5:$E$20,MATCH($C200,Mapping!$A$5:$A$20,0))</f>
        <v/>
      </c>
      <c r="P200" s="5">
        <f>INDEX(Mapping!$G$24:$G$31,MATCH($B200,Mapping!$A$24:$A$31,0))</f>
        <v/>
      </c>
      <c r="Q200" s="22">
        <f>(INDEX(Prices_dom!$A$6:$CU$2000,MATCH(Settings!$C$4&amp;Settings!$C$7,Prices_dom!$A$6:$A$2000,0),MATCH("mit.rp."&amp;$N200,Prices_dom!$A$5:$CU$5,0))-INDEX(Prices_dom!$A$6:$CU$2000,MATCH(Settings!$C$4&amp;Settings!$C$7,Prices_dom!$A$6:$A$2000,0),MATCH("mit.sp."&amp;$N200,Prices_dom!$A$5:$CU$5,0)))/$P200</f>
        <v/>
      </c>
      <c r="R200" s="22">
        <f>INDEX(EF_GHG!$E$4:$E$1000,MATCH(Settings!$C$4&amp;"|"&amp;$B200&amp;"|"&amp;$O200,EF_GHG!$A$4:$A$1000,0))</f>
        <v/>
      </c>
      <c r="S200" s="22">
        <f>INDEX(Mapping!$G$5:$G$20,MATCH($C200,Mapping!$A$5:$A$20,0))</f>
        <v/>
      </c>
      <c r="T200" s="21" t="n"/>
      <c r="U200" s="21" t="n"/>
      <c r="V200" s="22">
        <f>Q200</f>
        <v/>
      </c>
      <c r="W200" s="22">
        <f>R200</f>
        <v/>
      </c>
      <c r="X200" s="22">
        <f>S200</f>
        <v/>
      </c>
      <c r="Y200" s="21" t="n"/>
      <c r="Z200" s="21" t="n"/>
      <c r="AA200" s="22">
        <f>Q200</f>
        <v/>
      </c>
      <c r="AB200" s="22">
        <f>R200</f>
        <v/>
      </c>
      <c r="AC200" s="22">
        <f>S200</f>
        <v/>
      </c>
      <c r="AD200" s="21" t="n"/>
      <c r="AE200" s="21" t="n"/>
      <c r="AF200" s="22">
        <f>Q200</f>
        <v/>
      </c>
      <c r="AG200" s="22">
        <f>R200</f>
        <v/>
      </c>
      <c r="AH200" s="22">
        <f>S200</f>
        <v/>
      </c>
      <c r="AI200" s="21" t="n"/>
      <c r="AJ200" s="21" t="n"/>
      <c r="AL200" s="23">
        <f>INDEX($Q200:$AJ200,1,(AL$4-1)*5+1)+AL$8*INDEX($Q200:$AJ200,1,(AL$4-1)*5+2)*INDEX($Q200:$AJ200,1,(AL$4-1)*5+3)</f>
        <v/>
      </c>
      <c r="AM200" s="22">
        <f>INDEX($Q200:$AJ200,1,(AM$4-1)*5+1)+AM$8*INDEX($Q200:$AJ200,1,(AM$4-1)*5+2)*INDEX($Q200:$AJ200,1,(AM$4-1)*5+3)</f>
        <v/>
      </c>
      <c r="AN200" s="22">
        <f>INDEX($Q200:$AJ200,1,(AN$4-1)*5+1)+AN$8*INDEX($Q200:$AJ200,1,(AN$4-1)*5+2)*INDEX($Q200:$AJ200,1,(AN$4-1)*5+3)</f>
        <v/>
      </c>
      <c r="AO200" s="22">
        <f>INDEX($Q200:$AJ200,1,(AO$4-1)*5+1)+AO$8*INDEX($Q200:$AJ200,1,(AO$4-1)*5+2)*INDEX($Q200:$AJ200,1,(AO$4-1)*5+3)</f>
        <v/>
      </c>
      <c r="AP200" s="22">
        <f>INDEX($Q200:$AJ200,1,(AP$4-1)*5+1)+AP$8*INDEX($Q200:$AJ200,1,(AP$4-1)*5+2)*INDEX($Q200:$AJ200,1,(AP$4-1)*5+3)</f>
        <v/>
      </c>
      <c r="AQ200" s="22">
        <f>INDEX($Q200:$AJ200,1,(AQ$4-1)*5+1)+AQ$8*INDEX($Q200:$AJ200,1,(AQ$4-1)*5+2)*INDEX($Q200:$AJ200,1,(AQ$4-1)*5+3)</f>
        <v/>
      </c>
      <c r="AR200" s="22">
        <f>INDEX($Q200:$AJ200,1,(AR$4-1)*5+1)+AR$8*INDEX($Q200:$AJ200,1,(AR$4-1)*5+2)*INDEX($Q200:$AJ200,1,(AR$4-1)*5+3)</f>
        <v/>
      </c>
      <c r="AS200" s="22">
        <f>INDEX($Q200:$AJ200,1,(AS$4-1)*5+1)+AS$8*INDEX($Q200:$AJ200,1,(AS$4-1)*5+2)*INDEX($Q200:$AJ200,1,(AS$4-1)*5+3)</f>
        <v/>
      </c>
      <c r="AT200" s="22">
        <f>INDEX($Q200:$AJ200,1,(AT$4-1)*5+1)+AT$8*INDEX($Q200:$AJ200,1,(AT$4-1)*5+2)*INDEX($Q200:$AJ200,1,(AT$4-1)*5+3)</f>
        <v/>
      </c>
      <c r="AU200" s="22">
        <f>INDEX($Q200:$AJ200,1,(AU$4-1)*5+1)+AU$8*INDEX($Q200:$AJ200,1,(AU$4-1)*5+2)*INDEX($Q200:$AJ200,1,(AU$4-1)*5+3)</f>
        <v/>
      </c>
      <c r="AV200" s="22">
        <f>INDEX($Q200:$AJ200,1,(AV$4-1)*5+1)+AV$8*INDEX($Q200:$AJ200,1,(AV$4-1)*5+2)*INDEX($Q200:$AJ200,1,(AV$4-1)*5+3)</f>
        <v/>
      </c>
      <c r="AW200" s="22">
        <f>INDEX($Q200:$AJ200,1,(AW$4-1)*5+1)+AW$8*INDEX($Q200:$AJ200,1,(AW$4-1)*5+2)*INDEX($Q200:$AJ200,1,(AW$4-1)*5+3)</f>
        <v/>
      </c>
      <c r="AX200" s="22">
        <f>INDEX($Q200:$AJ200,1,(AX$4-1)*5+1)+AX$8*INDEX($Q200:$AJ200,1,(AX$4-1)*5+2)*INDEX($Q200:$AJ200,1,(AX$4-1)*5+3)</f>
        <v/>
      </c>
      <c r="AY200" s="22">
        <f>INDEX($Q200:$AJ200,1,(AY$4-1)*5+1)+AY$8*INDEX($Q200:$AJ200,1,(AY$4-1)*5+2)*INDEX($Q200:$AJ200,1,(AY$4-1)*5+3)</f>
        <v/>
      </c>
      <c r="BA200" s="23">
        <f>INDEX($Q200:$AJ200,1,(BA$4-1)*5+1)+BA$8*INDEX($Q200:$AJ200,1,(BA$4-1)*5+2)*INDEX($Q200:$AJ200,1,(BA$4-1)*5+3)</f>
        <v/>
      </c>
      <c r="BB200" s="22">
        <f>INDEX($Q200:$AJ200,1,(BB$4-1)*5+1)+BB$8*INDEX($Q200:$AJ200,1,(BB$4-1)*5+2)*INDEX($Q200:$AJ200,1,(BB$4-1)*5+3)</f>
        <v/>
      </c>
      <c r="BC200" s="22">
        <f>INDEX($Q200:$AJ200,1,(BC$4-1)*5+1)+BC$8*INDEX($Q200:$AJ200,1,(BC$4-1)*5+2)*INDEX($Q200:$AJ200,1,(BC$4-1)*5+3)</f>
        <v/>
      </c>
      <c r="BD200" s="22">
        <f>INDEX($Q200:$AJ200,1,(BD$4-1)*5+1)+BD$8*INDEX($Q200:$AJ200,1,(BD$4-1)*5+2)*INDEX($Q200:$AJ200,1,(BD$4-1)*5+3)</f>
        <v/>
      </c>
      <c r="BE200" s="22">
        <f>INDEX($Q200:$AJ200,1,(BE$4-1)*5+1)+BE$8*INDEX($Q200:$AJ200,1,(BE$4-1)*5+2)*INDEX($Q200:$AJ200,1,(BE$4-1)*5+3)</f>
        <v/>
      </c>
      <c r="BF200" s="22">
        <f>INDEX($Q200:$AJ200,1,(BF$4-1)*5+1)+BF$8*INDEX($Q200:$AJ200,1,(BF$4-1)*5+2)*INDEX($Q200:$AJ200,1,(BF$4-1)*5+3)</f>
        <v/>
      </c>
      <c r="BG200" s="22">
        <f>INDEX($Q200:$AJ200,1,(BG$4-1)*5+1)+BG$8*INDEX($Q200:$AJ200,1,(BG$4-1)*5+2)*INDEX($Q200:$AJ200,1,(BG$4-1)*5+3)</f>
        <v/>
      </c>
      <c r="BH200" s="22">
        <f>INDEX($Q200:$AJ200,1,(BH$4-1)*5+1)+BH$8*INDEX($Q200:$AJ200,1,(BH$4-1)*5+2)*INDEX($Q200:$AJ200,1,(BH$4-1)*5+3)</f>
        <v/>
      </c>
      <c r="BI200" s="22">
        <f>INDEX($Q200:$AJ200,1,(BI$4-1)*5+1)+BI$8*INDEX($Q200:$AJ200,1,(BI$4-1)*5+2)*INDEX($Q200:$AJ200,1,(BI$4-1)*5+3)</f>
        <v/>
      </c>
      <c r="BJ200" s="22">
        <f>INDEX($Q200:$AJ200,1,(BJ$4-1)*5+1)+BJ$8*INDEX($Q200:$AJ200,1,(BJ$4-1)*5+2)*INDEX($Q200:$AJ200,1,(BJ$4-1)*5+3)</f>
        <v/>
      </c>
      <c r="BK200" s="22">
        <f>INDEX($Q200:$AJ200,1,(BK$4-1)*5+1)+BK$8*INDEX($Q200:$AJ200,1,(BK$4-1)*5+2)*INDEX($Q200:$AJ200,1,(BK$4-1)*5+3)</f>
        <v/>
      </c>
      <c r="BL200" s="22">
        <f>INDEX($Q200:$AJ200,1,(BL$4-1)*5+1)+BL$8*INDEX($Q200:$AJ200,1,(BL$4-1)*5+2)*INDEX($Q200:$AJ200,1,(BL$4-1)*5+3)</f>
        <v/>
      </c>
      <c r="BM200" s="22">
        <f>INDEX($Q200:$AJ200,1,(BM$4-1)*5+1)+BM$8*INDEX($Q200:$AJ200,1,(BM$4-1)*5+2)*INDEX($Q200:$AJ200,1,(BM$4-1)*5+3)</f>
        <v/>
      </c>
      <c r="BN200" s="22">
        <f>INDEX($Q200:$AJ200,1,(BN$4-1)*5+1)+BN$8*INDEX($Q200:$AJ200,1,(BN$4-1)*5+2)*INDEX($Q200:$AJ200,1,(BN$4-1)*5+3)</f>
        <v/>
      </c>
    </row>
    <row r="201">
      <c r="B201" s="5" t="inlineStr">
        <is>
          <t>lpg</t>
        </is>
      </c>
      <c r="C201" s="5" t="inlineStr">
        <is>
          <t>mch</t>
        </is>
      </c>
      <c r="D201" s="5" t="inlineStr">
        <is>
          <t>Tax | Mining &amp; chemicals | LPG</t>
        </is>
      </c>
      <c r="E201" s="5" t="inlineStr">
        <is>
          <t>$/GJ</t>
        </is>
      </c>
      <c r="F201" s="5" t="inlineStr">
        <is>
          <t>Prices_dom, EF_GHG, Mapping</t>
        </is>
      </c>
      <c r="G201" s="19" t="inlineStr">
        <is>
          <t>mit.rp.lpg</t>
        </is>
      </c>
      <c r="H201" s="19" t="inlineStr">
        <is>
          <t>mit.tax.lpg.mch</t>
        </is>
      </c>
      <c r="J201" s="5">
        <f>INDEX(Mapping!$C$5:$C$20,MATCH($C201,Mapping!$A$5:$A$20,0))</f>
        <v/>
      </c>
      <c r="K201" s="5">
        <f>INDEX(Mapping!$D$5:$D$20,MATCH($C201,Mapping!$A$5:$A$20,0))</f>
        <v/>
      </c>
      <c r="L201" s="5">
        <f>INDEX(Mapping!$C$24:$C$31,MATCH($B201,Mapping!$A$24:$A$31,0))</f>
        <v/>
      </c>
      <c r="M201" s="5">
        <f>INDEX(Mapping!$D$24:$D$31,MATCH($B201,Mapping!$A$24:$A$31,0))</f>
        <v/>
      </c>
      <c r="N201" s="5">
        <f>$B201&amp;"."&amp;IF(INDEX(Mapping!$E$24:$E$31,MATCH($B201,Mapping!$A$24:$A$31,0))="sub",INDEX(Mapping!$F$5:$F$20,MATCH($C201,Mapping!$A$5:$A$20,0)),"all")</f>
        <v/>
      </c>
      <c r="O201" s="5">
        <f>INDEX(Mapping!$E$5:$E$20,MATCH($C201,Mapping!$A$5:$A$20,0))</f>
        <v/>
      </c>
      <c r="P201" s="5">
        <f>INDEX(Mapping!$G$24:$G$31,MATCH($B201,Mapping!$A$24:$A$31,0))</f>
        <v/>
      </c>
      <c r="Q201" s="22">
        <f>(INDEX(Prices_dom!$A$6:$CU$2000,MATCH(Settings!$C$4&amp;Settings!$C$7,Prices_dom!$A$6:$A$2000,0),MATCH("mit.rp."&amp;$N201,Prices_dom!$A$5:$CU$5,0))-INDEX(Prices_dom!$A$6:$CU$2000,MATCH(Settings!$C$4&amp;Settings!$C$7,Prices_dom!$A$6:$A$2000,0),MATCH("mit.sp."&amp;$N201,Prices_dom!$A$5:$CU$5,0)))/$P201</f>
        <v/>
      </c>
      <c r="R201" s="22">
        <f>INDEX(EF_GHG!$E$4:$E$1000,MATCH(Settings!$C$4&amp;"|"&amp;$B201&amp;"|"&amp;$O201,EF_GHG!$A$4:$A$1000,0))</f>
        <v/>
      </c>
      <c r="S201" s="22">
        <f>INDEX(Mapping!$G$5:$G$20,MATCH($C201,Mapping!$A$5:$A$20,0))</f>
        <v/>
      </c>
      <c r="T201" s="21" t="n"/>
      <c r="U201" s="21" t="n"/>
      <c r="V201" s="22">
        <f>Q201</f>
        <v/>
      </c>
      <c r="W201" s="22">
        <f>R201</f>
        <v/>
      </c>
      <c r="X201" s="22">
        <f>S201</f>
        <v/>
      </c>
      <c r="Y201" s="21" t="n"/>
      <c r="Z201" s="21" t="n"/>
      <c r="AA201" s="22">
        <f>Q201</f>
        <v/>
      </c>
      <c r="AB201" s="22">
        <f>R201</f>
        <v/>
      </c>
      <c r="AC201" s="22">
        <f>S201</f>
        <v/>
      </c>
      <c r="AD201" s="21" t="n"/>
      <c r="AE201" s="21" t="n"/>
      <c r="AF201" s="22">
        <f>Q201</f>
        <v/>
      </c>
      <c r="AG201" s="22">
        <f>R201</f>
        <v/>
      </c>
      <c r="AH201" s="22">
        <f>S201</f>
        <v/>
      </c>
      <c r="AI201" s="21" t="n"/>
      <c r="AJ201" s="21" t="n"/>
      <c r="AL201" s="23">
        <f>INDEX($Q201:$AJ201,1,(AL$4-1)*5+1)+AL$8*INDEX($Q201:$AJ201,1,(AL$4-1)*5+2)*INDEX($Q201:$AJ201,1,(AL$4-1)*5+3)</f>
        <v/>
      </c>
      <c r="AM201" s="22">
        <f>INDEX($Q201:$AJ201,1,(AM$4-1)*5+1)+AM$8*INDEX($Q201:$AJ201,1,(AM$4-1)*5+2)*INDEX($Q201:$AJ201,1,(AM$4-1)*5+3)</f>
        <v/>
      </c>
      <c r="AN201" s="22">
        <f>INDEX($Q201:$AJ201,1,(AN$4-1)*5+1)+AN$8*INDEX($Q201:$AJ201,1,(AN$4-1)*5+2)*INDEX($Q201:$AJ201,1,(AN$4-1)*5+3)</f>
        <v/>
      </c>
      <c r="AO201" s="22">
        <f>INDEX($Q201:$AJ201,1,(AO$4-1)*5+1)+AO$8*INDEX($Q201:$AJ201,1,(AO$4-1)*5+2)*INDEX($Q201:$AJ201,1,(AO$4-1)*5+3)</f>
        <v/>
      </c>
      <c r="AP201" s="22">
        <f>INDEX($Q201:$AJ201,1,(AP$4-1)*5+1)+AP$8*INDEX($Q201:$AJ201,1,(AP$4-1)*5+2)*INDEX($Q201:$AJ201,1,(AP$4-1)*5+3)</f>
        <v/>
      </c>
      <c r="AQ201" s="22">
        <f>INDEX($Q201:$AJ201,1,(AQ$4-1)*5+1)+AQ$8*INDEX($Q201:$AJ201,1,(AQ$4-1)*5+2)*INDEX($Q201:$AJ201,1,(AQ$4-1)*5+3)</f>
        <v/>
      </c>
      <c r="AR201" s="22">
        <f>INDEX($Q201:$AJ201,1,(AR$4-1)*5+1)+AR$8*INDEX($Q201:$AJ201,1,(AR$4-1)*5+2)*INDEX($Q201:$AJ201,1,(AR$4-1)*5+3)</f>
        <v/>
      </c>
      <c r="AS201" s="22">
        <f>INDEX($Q201:$AJ201,1,(AS$4-1)*5+1)+AS$8*INDEX($Q201:$AJ201,1,(AS$4-1)*5+2)*INDEX($Q201:$AJ201,1,(AS$4-1)*5+3)</f>
        <v/>
      </c>
      <c r="AT201" s="22">
        <f>INDEX($Q201:$AJ201,1,(AT$4-1)*5+1)+AT$8*INDEX($Q201:$AJ201,1,(AT$4-1)*5+2)*INDEX($Q201:$AJ201,1,(AT$4-1)*5+3)</f>
        <v/>
      </c>
      <c r="AU201" s="22">
        <f>INDEX($Q201:$AJ201,1,(AU$4-1)*5+1)+AU$8*INDEX($Q201:$AJ201,1,(AU$4-1)*5+2)*INDEX($Q201:$AJ201,1,(AU$4-1)*5+3)</f>
        <v/>
      </c>
      <c r="AV201" s="22">
        <f>INDEX($Q201:$AJ201,1,(AV$4-1)*5+1)+AV$8*INDEX($Q201:$AJ201,1,(AV$4-1)*5+2)*INDEX($Q201:$AJ201,1,(AV$4-1)*5+3)</f>
        <v/>
      </c>
      <c r="AW201" s="22">
        <f>INDEX($Q201:$AJ201,1,(AW$4-1)*5+1)+AW$8*INDEX($Q201:$AJ201,1,(AW$4-1)*5+2)*INDEX($Q201:$AJ201,1,(AW$4-1)*5+3)</f>
        <v/>
      </c>
      <c r="AX201" s="22">
        <f>INDEX($Q201:$AJ201,1,(AX$4-1)*5+1)+AX$8*INDEX($Q201:$AJ201,1,(AX$4-1)*5+2)*INDEX($Q201:$AJ201,1,(AX$4-1)*5+3)</f>
        <v/>
      </c>
      <c r="AY201" s="22">
        <f>INDEX($Q201:$AJ201,1,(AY$4-1)*5+1)+AY$8*INDEX($Q201:$AJ201,1,(AY$4-1)*5+2)*INDEX($Q201:$AJ201,1,(AY$4-1)*5+3)</f>
        <v/>
      </c>
      <c r="BA201" s="23">
        <f>INDEX($Q201:$AJ201,1,(BA$4-1)*5+1)+BA$8*INDEX($Q201:$AJ201,1,(BA$4-1)*5+2)*INDEX($Q201:$AJ201,1,(BA$4-1)*5+3)</f>
        <v/>
      </c>
      <c r="BB201" s="22">
        <f>INDEX($Q201:$AJ201,1,(BB$4-1)*5+1)+BB$8*INDEX($Q201:$AJ201,1,(BB$4-1)*5+2)*INDEX($Q201:$AJ201,1,(BB$4-1)*5+3)</f>
        <v/>
      </c>
      <c r="BC201" s="22">
        <f>INDEX($Q201:$AJ201,1,(BC$4-1)*5+1)+BC$8*INDEX($Q201:$AJ201,1,(BC$4-1)*5+2)*INDEX($Q201:$AJ201,1,(BC$4-1)*5+3)</f>
        <v/>
      </c>
      <c r="BD201" s="22">
        <f>INDEX($Q201:$AJ201,1,(BD$4-1)*5+1)+BD$8*INDEX($Q201:$AJ201,1,(BD$4-1)*5+2)*INDEX($Q201:$AJ201,1,(BD$4-1)*5+3)</f>
        <v/>
      </c>
      <c r="BE201" s="22">
        <f>INDEX($Q201:$AJ201,1,(BE$4-1)*5+1)+BE$8*INDEX($Q201:$AJ201,1,(BE$4-1)*5+2)*INDEX($Q201:$AJ201,1,(BE$4-1)*5+3)</f>
        <v/>
      </c>
      <c r="BF201" s="22">
        <f>INDEX($Q201:$AJ201,1,(BF$4-1)*5+1)+BF$8*INDEX($Q201:$AJ201,1,(BF$4-1)*5+2)*INDEX($Q201:$AJ201,1,(BF$4-1)*5+3)</f>
        <v/>
      </c>
      <c r="BG201" s="22">
        <f>INDEX($Q201:$AJ201,1,(BG$4-1)*5+1)+BG$8*INDEX($Q201:$AJ201,1,(BG$4-1)*5+2)*INDEX($Q201:$AJ201,1,(BG$4-1)*5+3)</f>
        <v/>
      </c>
      <c r="BH201" s="22">
        <f>INDEX($Q201:$AJ201,1,(BH$4-1)*5+1)+BH$8*INDEX($Q201:$AJ201,1,(BH$4-1)*5+2)*INDEX($Q201:$AJ201,1,(BH$4-1)*5+3)</f>
        <v/>
      </c>
      <c r="BI201" s="22">
        <f>INDEX($Q201:$AJ201,1,(BI$4-1)*5+1)+BI$8*INDEX($Q201:$AJ201,1,(BI$4-1)*5+2)*INDEX($Q201:$AJ201,1,(BI$4-1)*5+3)</f>
        <v/>
      </c>
      <c r="BJ201" s="22">
        <f>INDEX($Q201:$AJ201,1,(BJ$4-1)*5+1)+BJ$8*INDEX($Q201:$AJ201,1,(BJ$4-1)*5+2)*INDEX($Q201:$AJ201,1,(BJ$4-1)*5+3)</f>
        <v/>
      </c>
      <c r="BK201" s="22">
        <f>INDEX($Q201:$AJ201,1,(BK$4-1)*5+1)+BK$8*INDEX($Q201:$AJ201,1,(BK$4-1)*5+2)*INDEX($Q201:$AJ201,1,(BK$4-1)*5+3)</f>
        <v/>
      </c>
      <c r="BL201" s="22">
        <f>INDEX($Q201:$AJ201,1,(BL$4-1)*5+1)+BL$8*INDEX($Q201:$AJ201,1,(BL$4-1)*5+2)*INDEX($Q201:$AJ201,1,(BL$4-1)*5+3)</f>
        <v/>
      </c>
      <c r="BM201" s="22">
        <f>INDEX($Q201:$AJ201,1,(BM$4-1)*5+1)+BM$8*INDEX($Q201:$AJ201,1,(BM$4-1)*5+2)*INDEX($Q201:$AJ201,1,(BM$4-1)*5+3)</f>
        <v/>
      </c>
      <c r="BN201" s="22">
        <f>INDEX($Q201:$AJ201,1,(BN$4-1)*5+1)+BN$8*INDEX($Q201:$AJ201,1,(BN$4-1)*5+2)*INDEX($Q201:$AJ201,1,(BN$4-1)*5+3)</f>
        <v/>
      </c>
    </row>
    <row r="202">
      <c r="B202" s="5" t="inlineStr">
        <is>
          <t>ker</t>
        </is>
      </c>
      <c r="C202" s="5" t="inlineStr">
        <is>
          <t>mch</t>
        </is>
      </c>
      <c r="D202" s="5" t="inlineStr">
        <is>
          <t>Tax | Mining &amp; chemicals | Kerosene</t>
        </is>
      </c>
      <c r="E202" s="5" t="inlineStr">
        <is>
          <t>$/GJ</t>
        </is>
      </c>
      <c r="F202" s="5" t="inlineStr">
        <is>
          <t>Prices_dom, EF_GHG, Mapping</t>
        </is>
      </c>
      <c r="G202" s="19" t="inlineStr">
        <is>
          <t>mit.rp.ker</t>
        </is>
      </c>
      <c r="H202" s="19" t="inlineStr">
        <is>
          <t>mit.tax.ker.mch</t>
        </is>
      </c>
      <c r="J202" s="5">
        <f>INDEX(Mapping!$C$5:$C$20,MATCH($C202,Mapping!$A$5:$A$20,0))</f>
        <v/>
      </c>
      <c r="K202" s="5">
        <f>INDEX(Mapping!$D$5:$D$20,MATCH($C202,Mapping!$A$5:$A$20,0))</f>
        <v/>
      </c>
      <c r="L202" s="5">
        <f>INDEX(Mapping!$C$24:$C$31,MATCH($B202,Mapping!$A$24:$A$31,0))</f>
        <v/>
      </c>
      <c r="M202" s="5">
        <f>INDEX(Mapping!$D$24:$D$31,MATCH($B202,Mapping!$A$24:$A$31,0))</f>
        <v/>
      </c>
      <c r="N202" s="5">
        <f>$B202&amp;"."&amp;IF(INDEX(Mapping!$E$24:$E$31,MATCH($B202,Mapping!$A$24:$A$31,0))="sub",INDEX(Mapping!$F$5:$F$20,MATCH($C202,Mapping!$A$5:$A$20,0)),"all")</f>
        <v/>
      </c>
      <c r="O202" s="5">
        <f>INDEX(Mapping!$E$5:$E$20,MATCH($C202,Mapping!$A$5:$A$20,0))</f>
        <v/>
      </c>
      <c r="P202" s="5">
        <f>INDEX(Mapping!$G$24:$G$31,MATCH($B202,Mapping!$A$24:$A$31,0))</f>
        <v/>
      </c>
      <c r="Q202" s="22">
        <f>(INDEX(Prices_dom!$A$6:$CU$2000,MATCH(Settings!$C$4&amp;Settings!$C$7,Prices_dom!$A$6:$A$2000,0),MATCH("mit.rp."&amp;$N202,Prices_dom!$A$5:$CU$5,0))-INDEX(Prices_dom!$A$6:$CU$2000,MATCH(Settings!$C$4&amp;Settings!$C$7,Prices_dom!$A$6:$A$2000,0),MATCH("mit.sp."&amp;$N202,Prices_dom!$A$5:$CU$5,0)))/$P202</f>
        <v/>
      </c>
      <c r="R202" s="22">
        <f>INDEX(EF_GHG!$E$4:$E$1000,MATCH(Settings!$C$4&amp;"|"&amp;$B202&amp;"|"&amp;$O202,EF_GHG!$A$4:$A$1000,0))</f>
        <v/>
      </c>
      <c r="S202" s="22">
        <f>INDEX(Mapping!$G$5:$G$20,MATCH($C202,Mapping!$A$5:$A$20,0))</f>
        <v/>
      </c>
      <c r="T202" s="21" t="n"/>
      <c r="U202" s="21" t="n"/>
      <c r="V202" s="22">
        <f>Q202</f>
        <v/>
      </c>
      <c r="W202" s="22">
        <f>R202</f>
        <v/>
      </c>
      <c r="X202" s="22">
        <f>S202</f>
        <v/>
      </c>
      <c r="Y202" s="21" t="n"/>
      <c r="Z202" s="21" t="n"/>
      <c r="AA202" s="22">
        <f>Q202</f>
        <v/>
      </c>
      <c r="AB202" s="22">
        <f>R202</f>
        <v/>
      </c>
      <c r="AC202" s="22">
        <f>S202</f>
        <v/>
      </c>
      <c r="AD202" s="21" t="n"/>
      <c r="AE202" s="21" t="n"/>
      <c r="AF202" s="22">
        <f>Q202</f>
        <v/>
      </c>
      <c r="AG202" s="22">
        <f>R202</f>
        <v/>
      </c>
      <c r="AH202" s="22">
        <f>S202</f>
        <v/>
      </c>
      <c r="AI202" s="21" t="n"/>
      <c r="AJ202" s="21" t="n"/>
      <c r="AL202" s="23">
        <f>INDEX($Q202:$AJ202,1,(AL$4-1)*5+1)+AL$8*INDEX($Q202:$AJ202,1,(AL$4-1)*5+2)*INDEX($Q202:$AJ202,1,(AL$4-1)*5+3)</f>
        <v/>
      </c>
      <c r="AM202" s="22">
        <f>INDEX($Q202:$AJ202,1,(AM$4-1)*5+1)+AM$8*INDEX($Q202:$AJ202,1,(AM$4-1)*5+2)*INDEX($Q202:$AJ202,1,(AM$4-1)*5+3)</f>
        <v/>
      </c>
      <c r="AN202" s="22">
        <f>INDEX($Q202:$AJ202,1,(AN$4-1)*5+1)+AN$8*INDEX($Q202:$AJ202,1,(AN$4-1)*5+2)*INDEX($Q202:$AJ202,1,(AN$4-1)*5+3)</f>
        <v/>
      </c>
      <c r="AO202" s="22">
        <f>INDEX($Q202:$AJ202,1,(AO$4-1)*5+1)+AO$8*INDEX($Q202:$AJ202,1,(AO$4-1)*5+2)*INDEX($Q202:$AJ202,1,(AO$4-1)*5+3)</f>
        <v/>
      </c>
      <c r="AP202" s="22">
        <f>INDEX($Q202:$AJ202,1,(AP$4-1)*5+1)+AP$8*INDEX($Q202:$AJ202,1,(AP$4-1)*5+2)*INDEX($Q202:$AJ202,1,(AP$4-1)*5+3)</f>
        <v/>
      </c>
      <c r="AQ202" s="22">
        <f>INDEX($Q202:$AJ202,1,(AQ$4-1)*5+1)+AQ$8*INDEX($Q202:$AJ202,1,(AQ$4-1)*5+2)*INDEX($Q202:$AJ202,1,(AQ$4-1)*5+3)</f>
        <v/>
      </c>
      <c r="AR202" s="22">
        <f>INDEX($Q202:$AJ202,1,(AR$4-1)*5+1)+AR$8*INDEX($Q202:$AJ202,1,(AR$4-1)*5+2)*INDEX($Q202:$AJ202,1,(AR$4-1)*5+3)</f>
        <v/>
      </c>
      <c r="AS202" s="22">
        <f>INDEX($Q202:$AJ202,1,(AS$4-1)*5+1)+AS$8*INDEX($Q202:$AJ202,1,(AS$4-1)*5+2)*INDEX($Q202:$AJ202,1,(AS$4-1)*5+3)</f>
        <v/>
      </c>
      <c r="AT202" s="22">
        <f>INDEX($Q202:$AJ202,1,(AT$4-1)*5+1)+AT$8*INDEX($Q202:$AJ202,1,(AT$4-1)*5+2)*INDEX($Q202:$AJ202,1,(AT$4-1)*5+3)</f>
        <v/>
      </c>
      <c r="AU202" s="22">
        <f>INDEX($Q202:$AJ202,1,(AU$4-1)*5+1)+AU$8*INDEX($Q202:$AJ202,1,(AU$4-1)*5+2)*INDEX($Q202:$AJ202,1,(AU$4-1)*5+3)</f>
        <v/>
      </c>
      <c r="AV202" s="22">
        <f>INDEX($Q202:$AJ202,1,(AV$4-1)*5+1)+AV$8*INDEX($Q202:$AJ202,1,(AV$4-1)*5+2)*INDEX($Q202:$AJ202,1,(AV$4-1)*5+3)</f>
        <v/>
      </c>
      <c r="AW202" s="22">
        <f>INDEX($Q202:$AJ202,1,(AW$4-1)*5+1)+AW$8*INDEX($Q202:$AJ202,1,(AW$4-1)*5+2)*INDEX($Q202:$AJ202,1,(AW$4-1)*5+3)</f>
        <v/>
      </c>
      <c r="AX202" s="22">
        <f>INDEX($Q202:$AJ202,1,(AX$4-1)*5+1)+AX$8*INDEX($Q202:$AJ202,1,(AX$4-1)*5+2)*INDEX($Q202:$AJ202,1,(AX$4-1)*5+3)</f>
        <v/>
      </c>
      <c r="AY202" s="22">
        <f>INDEX($Q202:$AJ202,1,(AY$4-1)*5+1)+AY$8*INDEX($Q202:$AJ202,1,(AY$4-1)*5+2)*INDEX($Q202:$AJ202,1,(AY$4-1)*5+3)</f>
        <v/>
      </c>
      <c r="BA202" s="23">
        <f>INDEX($Q202:$AJ202,1,(BA$4-1)*5+1)+BA$8*INDEX($Q202:$AJ202,1,(BA$4-1)*5+2)*INDEX($Q202:$AJ202,1,(BA$4-1)*5+3)</f>
        <v/>
      </c>
      <c r="BB202" s="22">
        <f>INDEX($Q202:$AJ202,1,(BB$4-1)*5+1)+BB$8*INDEX($Q202:$AJ202,1,(BB$4-1)*5+2)*INDEX($Q202:$AJ202,1,(BB$4-1)*5+3)</f>
        <v/>
      </c>
      <c r="BC202" s="22">
        <f>INDEX($Q202:$AJ202,1,(BC$4-1)*5+1)+BC$8*INDEX($Q202:$AJ202,1,(BC$4-1)*5+2)*INDEX($Q202:$AJ202,1,(BC$4-1)*5+3)</f>
        <v/>
      </c>
      <c r="BD202" s="22">
        <f>INDEX($Q202:$AJ202,1,(BD$4-1)*5+1)+BD$8*INDEX($Q202:$AJ202,1,(BD$4-1)*5+2)*INDEX($Q202:$AJ202,1,(BD$4-1)*5+3)</f>
        <v/>
      </c>
      <c r="BE202" s="22">
        <f>INDEX($Q202:$AJ202,1,(BE$4-1)*5+1)+BE$8*INDEX($Q202:$AJ202,1,(BE$4-1)*5+2)*INDEX($Q202:$AJ202,1,(BE$4-1)*5+3)</f>
        <v/>
      </c>
      <c r="BF202" s="22">
        <f>INDEX($Q202:$AJ202,1,(BF$4-1)*5+1)+BF$8*INDEX($Q202:$AJ202,1,(BF$4-1)*5+2)*INDEX($Q202:$AJ202,1,(BF$4-1)*5+3)</f>
        <v/>
      </c>
      <c r="BG202" s="22">
        <f>INDEX($Q202:$AJ202,1,(BG$4-1)*5+1)+BG$8*INDEX($Q202:$AJ202,1,(BG$4-1)*5+2)*INDEX($Q202:$AJ202,1,(BG$4-1)*5+3)</f>
        <v/>
      </c>
      <c r="BH202" s="22">
        <f>INDEX($Q202:$AJ202,1,(BH$4-1)*5+1)+BH$8*INDEX($Q202:$AJ202,1,(BH$4-1)*5+2)*INDEX($Q202:$AJ202,1,(BH$4-1)*5+3)</f>
        <v/>
      </c>
      <c r="BI202" s="22">
        <f>INDEX($Q202:$AJ202,1,(BI$4-1)*5+1)+BI$8*INDEX($Q202:$AJ202,1,(BI$4-1)*5+2)*INDEX($Q202:$AJ202,1,(BI$4-1)*5+3)</f>
        <v/>
      </c>
      <c r="BJ202" s="22">
        <f>INDEX($Q202:$AJ202,1,(BJ$4-1)*5+1)+BJ$8*INDEX($Q202:$AJ202,1,(BJ$4-1)*5+2)*INDEX($Q202:$AJ202,1,(BJ$4-1)*5+3)</f>
        <v/>
      </c>
      <c r="BK202" s="22">
        <f>INDEX($Q202:$AJ202,1,(BK$4-1)*5+1)+BK$8*INDEX($Q202:$AJ202,1,(BK$4-1)*5+2)*INDEX($Q202:$AJ202,1,(BK$4-1)*5+3)</f>
        <v/>
      </c>
      <c r="BL202" s="22">
        <f>INDEX($Q202:$AJ202,1,(BL$4-1)*5+1)+BL$8*INDEX($Q202:$AJ202,1,(BL$4-1)*5+2)*INDEX($Q202:$AJ202,1,(BL$4-1)*5+3)</f>
        <v/>
      </c>
      <c r="BM202" s="22">
        <f>INDEX($Q202:$AJ202,1,(BM$4-1)*5+1)+BM$8*INDEX($Q202:$AJ202,1,(BM$4-1)*5+2)*INDEX($Q202:$AJ202,1,(BM$4-1)*5+3)</f>
        <v/>
      </c>
      <c r="BN202" s="22">
        <f>INDEX($Q202:$AJ202,1,(BN$4-1)*5+1)+BN$8*INDEX($Q202:$AJ202,1,(BN$4-1)*5+2)*INDEX($Q202:$AJ202,1,(BN$4-1)*5+3)</f>
        <v/>
      </c>
    </row>
    <row r="203">
      <c r="B203" s="5" t="inlineStr">
        <is>
          <t>oop</t>
        </is>
      </c>
      <c r="C203" s="5" t="inlineStr">
        <is>
          <t>mch</t>
        </is>
      </c>
      <c r="D203" s="5" t="inlineStr">
        <is>
          <t>Tax | Mining &amp; chemicals | Other oil products</t>
        </is>
      </c>
      <c r="E203" s="5" t="inlineStr">
        <is>
          <t>$/GJ</t>
        </is>
      </c>
      <c r="F203" s="5" t="inlineStr">
        <is>
          <t>Prices_dom, EF_GHG, Mapping</t>
        </is>
      </c>
      <c r="G203" s="19" t="inlineStr">
        <is>
          <t>mit.rp.oop</t>
        </is>
      </c>
      <c r="H203" s="19" t="inlineStr">
        <is>
          <t>mit.tax.oop.mch</t>
        </is>
      </c>
      <c r="J203" s="5">
        <f>INDEX(Mapping!$C$5:$C$20,MATCH($C203,Mapping!$A$5:$A$20,0))</f>
        <v/>
      </c>
      <c r="K203" s="5">
        <f>INDEX(Mapping!$D$5:$D$20,MATCH($C203,Mapping!$A$5:$A$20,0))</f>
        <v/>
      </c>
      <c r="L203" s="5">
        <f>INDEX(Mapping!$C$24:$C$31,MATCH($B203,Mapping!$A$24:$A$31,0))</f>
        <v/>
      </c>
      <c r="M203" s="5">
        <f>INDEX(Mapping!$D$24:$D$31,MATCH($B203,Mapping!$A$24:$A$31,0))</f>
        <v/>
      </c>
      <c r="N203" s="5">
        <f>$B203&amp;"."&amp;IF(INDEX(Mapping!$E$24:$E$31,MATCH($B203,Mapping!$A$24:$A$31,0))="sub",INDEX(Mapping!$F$5:$F$20,MATCH($C203,Mapping!$A$5:$A$20,0)),"all")</f>
        <v/>
      </c>
      <c r="O203" s="5">
        <f>INDEX(Mapping!$E$5:$E$20,MATCH($C203,Mapping!$A$5:$A$20,0))</f>
        <v/>
      </c>
      <c r="P203" s="5">
        <f>INDEX(Mapping!$G$24:$G$31,MATCH($B203,Mapping!$A$24:$A$31,0))</f>
        <v/>
      </c>
      <c r="Q203" s="22">
        <f>(INDEX(Prices_dom!$A$6:$CU$2000,MATCH(Settings!$C$4&amp;Settings!$C$7,Prices_dom!$A$6:$A$2000,0),MATCH("mit.rp."&amp;$N203,Prices_dom!$A$5:$CU$5,0))-INDEX(Prices_dom!$A$6:$CU$2000,MATCH(Settings!$C$4&amp;Settings!$C$7,Prices_dom!$A$6:$A$2000,0),MATCH("mit.sp."&amp;$N203,Prices_dom!$A$5:$CU$5,0)))/$P203</f>
        <v/>
      </c>
      <c r="R203" s="22">
        <f>INDEX(EF_GHG!$E$4:$E$1000,MATCH(Settings!$C$4&amp;"|"&amp;$B203&amp;"|"&amp;$O203,EF_GHG!$A$4:$A$1000,0))</f>
        <v/>
      </c>
      <c r="S203" s="22">
        <f>INDEX(Mapping!$G$5:$G$20,MATCH($C203,Mapping!$A$5:$A$20,0))</f>
        <v/>
      </c>
      <c r="T203" s="21" t="n"/>
      <c r="U203" s="21" t="n"/>
      <c r="V203" s="22">
        <f>Q203</f>
        <v/>
      </c>
      <c r="W203" s="22">
        <f>R203</f>
        <v/>
      </c>
      <c r="X203" s="22">
        <f>S203</f>
        <v/>
      </c>
      <c r="Y203" s="21" t="n"/>
      <c r="Z203" s="21" t="n"/>
      <c r="AA203" s="22">
        <f>Q203</f>
        <v/>
      </c>
      <c r="AB203" s="22">
        <f>R203</f>
        <v/>
      </c>
      <c r="AC203" s="22">
        <f>S203</f>
        <v/>
      </c>
      <c r="AD203" s="21" t="n"/>
      <c r="AE203" s="21" t="n"/>
      <c r="AF203" s="22">
        <f>Q203</f>
        <v/>
      </c>
      <c r="AG203" s="22">
        <f>R203</f>
        <v/>
      </c>
      <c r="AH203" s="22">
        <f>S203</f>
        <v/>
      </c>
      <c r="AI203" s="21" t="n"/>
      <c r="AJ203" s="21" t="n"/>
      <c r="AL203" s="23">
        <f>INDEX($Q203:$AJ203,1,(AL$4-1)*5+1)+AL$8*INDEX($Q203:$AJ203,1,(AL$4-1)*5+2)*INDEX($Q203:$AJ203,1,(AL$4-1)*5+3)</f>
        <v/>
      </c>
      <c r="AM203" s="22">
        <f>INDEX($Q203:$AJ203,1,(AM$4-1)*5+1)+AM$8*INDEX($Q203:$AJ203,1,(AM$4-1)*5+2)*INDEX($Q203:$AJ203,1,(AM$4-1)*5+3)</f>
        <v/>
      </c>
      <c r="AN203" s="22">
        <f>INDEX($Q203:$AJ203,1,(AN$4-1)*5+1)+AN$8*INDEX($Q203:$AJ203,1,(AN$4-1)*5+2)*INDEX($Q203:$AJ203,1,(AN$4-1)*5+3)</f>
        <v/>
      </c>
      <c r="AO203" s="22">
        <f>INDEX($Q203:$AJ203,1,(AO$4-1)*5+1)+AO$8*INDEX($Q203:$AJ203,1,(AO$4-1)*5+2)*INDEX($Q203:$AJ203,1,(AO$4-1)*5+3)</f>
        <v/>
      </c>
      <c r="AP203" s="22">
        <f>INDEX($Q203:$AJ203,1,(AP$4-1)*5+1)+AP$8*INDEX($Q203:$AJ203,1,(AP$4-1)*5+2)*INDEX($Q203:$AJ203,1,(AP$4-1)*5+3)</f>
        <v/>
      </c>
      <c r="AQ203" s="22">
        <f>INDEX($Q203:$AJ203,1,(AQ$4-1)*5+1)+AQ$8*INDEX($Q203:$AJ203,1,(AQ$4-1)*5+2)*INDEX($Q203:$AJ203,1,(AQ$4-1)*5+3)</f>
        <v/>
      </c>
      <c r="AR203" s="22">
        <f>INDEX($Q203:$AJ203,1,(AR$4-1)*5+1)+AR$8*INDEX($Q203:$AJ203,1,(AR$4-1)*5+2)*INDEX($Q203:$AJ203,1,(AR$4-1)*5+3)</f>
        <v/>
      </c>
      <c r="AS203" s="22">
        <f>INDEX($Q203:$AJ203,1,(AS$4-1)*5+1)+AS$8*INDEX($Q203:$AJ203,1,(AS$4-1)*5+2)*INDEX($Q203:$AJ203,1,(AS$4-1)*5+3)</f>
        <v/>
      </c>
      <c r="AT203" s="22">
        <f>INDEX($Q203:$AJ203,1,(AT$4-1)*5+1)+AT$8*INDEX($Q203:$AJ203,1,(AT$4-1)*5+2)*INDEX($Q203:$AJ203,1,(AT$4-1)*5+3)</f>
        <v/>
      </c>
      <c r="AU203" s="22">
        <f>INDEX($Q203:$AJ203,1,(AU$4-1)*5+1)+AU$8*INDEX($Q203:$AJ203,1,(AU$4-1)*5+2)*INDEX($Q203:$AJ203,1,(AU$4-1)*5+3)</f>
        <v/>
      </c>
      <c r="AV203" s="22">
        <f>INDEX($Q203:$AJ203,1,(AV$4-1)*5+1)+AV$8*INDEX($Q203:$AJ203,1,(AV$4-1)*5+2)*INDEX($Q203:$AJ203,1,(AV$4-1)*5+3)</f>
        <v/>
      </c>
      <c r="AW203" s="22">
        <f>INDEX($Q203:$AJ203,1,(AW$4-1)*5+1)+AW$8*INDEX($Q203:$AJ203,1,(AW$4-1)*5+2)*INDEX($Q203:$AJ203,1,(AW$4-1)*5+3)</f>
        <v/>
      </c>
      <c r="AX203" s="22">
        <f>INDEX($Q203:$AJ203,1,(AX$4-1)*5+1)+AX$8*INDEX($Q203:$AJ203,1,(AX$4-1)*5+2)*INDEX($Q203:$AJ203,1,(AX$4-1)*5+3)</f>
        <v/>
      </c>
      <c r="AY203" s="22">
        <f>INDEX($Q203:$AJ203,1,(AY$4-1)*5+1)+AY$8*INDEX($Q203:$AJ203,1,(AY$4-1)*5+2)*INDEX($Q203:$AJ203,1,(AY$4-1)*5+3)</f>
        <v/>
      </c>
      <c r="BA203" s="23">
        <f>INDEX($Q203:$AJ203,1,(BA$4-1)*5+1)+BA$8*INDEX($Q203:$AJ203,1,(BA$4-1)*5+2)*INDEX($Q203:$AJ203,1,(BA$4-1)*5+3)</f>
        <v/>
      </c>
      <c r="BB203" s="22">
        <f>INDEX($Q203:$AJ203,1,(BB$4-1)*5+1)+BB$8*INDEX($Q203:$AJ203,1,(BB$4-1)*5+2)*INDEX($Q203:$AJ203,1,(BB$4-1)*5+3)</f>
        <v/>
      </c>
      <c r="BC203" s="22">
        <f>INDEX($Q203:$AJ203,1,(BC$4-1)*5+1)+BC$8*INDEX($Q203:$AJ203,1,(BC$4-1)*5+2)*INDEX($Q203:$AJ203,1,(BC$4-1)*5+3)</f>
        <v/>
      </c>
      <c r="BD203" s="22">
        <f>INDEX($Q203:$AJ203,1,(BD$4-1)*5+1)+BD$8*INDEX($Q203:$AJ203,1,(BD$4-1)*5+2)*INDEX($Q203:$AJ203,1,(BD$4-1)*5+3)</f>
        <v/>
      </c>
      <c r="BE203" s="22">
        <f>INDEX($Q203:$AJ203,1,(BE$4-1)*5+1)+BE$8*INDEX($Q203:$AJ203,1,(BE$4-1)*5+2)*INDEX($Q203:$AJ203,1,(BE$4-1)*5+3)</f>
        <v/>
      </c>
      <c r="BF203" s="22">
        <f>INDEX($Q203:$AJ203,1,(BF$4-1)*5+1)+BF$8*INDEX($Q203:$AJ203,1,(BF$4-1)*5+2)*INDEX($Q203:$AJ203,1,(BF$4-1)*5+3)</f>
        <v/>
      </c>
      <c r="BG203" s="22">
        <f>INDEX($Q203:$AJ203,1,(BG$4-1)*5+1)+BG$8*INDEX($Q203:$AJ203,1,(BG$4-1)*5+2)*INDEX($Q203:$AJ203,1,(BG$4-1)*5+3)</f>
        <v/>
      </c>
      <c r="BH203" s="22">
        <f>INDEX($Q203:$AJ203,1,(BH$4-1)*5+1)+BH$8*INDEX($Q203:$AJ203,1,(BH$4-1)*5+2)*INDEX($Q203:$AJ203,1,(BH$4-1)*5+3)</f>
        <v/>
      </c>
      <c r="BI203" s="22">
        <f>INDEX($Q203:$AJ203,1,(BI$4-1)*5+1)+BI$8*INDEX($Q203:$AJ203,1,(BI$4-1)*5+2)*INDEX($Q203:$AJ203,1,(BI$4-1)*5+3)</f>
        <v/>
      </c>
      <c r="BJ203" s="22">
        <f>INDEX($Q203:$AJ203,1,(BJ$4-1)*5+1)+BJ$8*INDEX($Q203:$AJ203,1,(BJ$4-1)*5+2)*INDEX($Q203:$AJ203,1,(BJ$4-1)*5+3)</f>
        <v/>
      </c>
      <c r="BK203" s="22">
        <f>INDEX($Q203:$AJ203,1,(BK$4-1)*5+1)+BK$8*INDEX($Q203:$AJ203,1,(BK$4-1)*5+2)*INDEX($Q203:$AJ203,1,(BK$4-1)*5+3)</f>
        <v/>
      </c>
      <c r="BL203" s="22">
        <f>INDEX($Q203:$AJ203,1,(BL$4-1)*5+1)+BL$8*INDEX($Q203:$AJ203,1,(BL$4-1)*5+2)*INDEX($Q203:$AJ203,1,(BL$4-1)*5+3)</f>
        <v/>
      </c>
      <c r="BM203" s="22">
        <f>INDEX($Q203:$AJ203,1,(BM$4-1)*5+1)+BM$8*INDEX($Q203:$AJ203,1,(BM$4-1)*5+2)*INDEX($Q203:$AJ203,1,(BM$4-1)*5+3)</f>
        <v/>
      </c>
      <c r="BN203" s="22">
        <f>INDEX($Q203:$AJ203,1,(BN$4-1)*5+1)+BN$8*INDEX($Q203:$AJ203,1,(BN$4-1)*5+2)*INDEX($Q203:$AJ203,1,(BN$4-1)*5+3)</f>
        <v/>
      </c>
    </row>
    <row r="204">
      <c r="B204" s="5" t="inlineStr">
        <is>
          <t>bio</t>
        </is>
      </c>
      <c r="C204" s="5" t="inlineStr">
        <is>
          <t>mch</t>
        </is>
      </c>
      <c r="D204" s="5" t="inlineStr">
        <is>
          <t>Tax | Mining &amp; chemicals | Biomass</t>
        </is>
      </c>
      <c r="E204" s="5" t="inlineStr">
        <is>
          <t>$/GJ</t>
        </is>
      </c>
      <c r="F204" s="5" t="inlineStr">
        <is>
          <t>Prices_dom, EF_GHG, Mapping</t>
        </is>
      </c>
      <c r="G204" s="19" t="inlineStr">
        <is>
          <t>mit.rp.bio</t>
        </is>
      </c>
      <c r="H204" s="19" t="inlineStr">
        <is>
          <t>mit.tax.bio.mch</t>
        </is>
      </c>
      <c r="J204" s="5">
        <f>INDEX(Mapping!$C$5:$C$20,MATCH($C204,Mapping!$A$5:$A$20,0))</f>
        <v/>
      </c>
      <c r="K204" s="5">
        <f>INDEX(Mapping!$D$5:$D$20,MATCH($C204,Mapping!$A$5:$A$20,0))</f>
        <v/>
      </c>
      <c r="L204" s="5">
        <f>INDEX(Mapping!$C$24:$C$31,MATCH($B204,Mapping!$A$24:$A$31,0))</f>
        <v/>
      </c>
      <c r="M204" s="5">
        <f>INDEX(Mapping!$D$24:$D$31,MATCH($B204,Mapping!$A$24:$A$31,0))</f>
        <v/>
      </c>
      <c r="N204" s="5">
        <f>$B204&amp;"."&amp;IF(INDEX(Mapping!$E$24:$E$31,MATCH($B204,Mapping!$A$24:$A$31,0))="sub",INDEX(Mapping!$F$5:$F$20,MATCH($C204,Mapping!$A$5:$A$20,0)),"all")</f>
        <v/>
      </c>
      <c r="O204" s="5">
        <f>INDEX(Mapping!$E$5:$E$20,MATCH($C204,Mapping!$A$5:$A$20,0))</f>
        <v/>
      </c>
      <c r="P204" s="5">
        <f>INDEX(Mapping!$G$24:$G$31,MATCH($B204,Mapping!$A$24:$A$31,0))</f>
        <v/>
      </c>
      <c r="Q204" s="22">
        <f>(INDEX(Prices_dom!$A$6:$CU$2000,MATCH(Settings!$C$4&amp;Settings!$C$7,Prices_dom!$A$6:$A$2000,0),MATCH("mit.rp."&amp;$N204,Prices_dom!$A$5:$CU$5,0))-INDEX(Prices_dom!$A$6:$CU$2000,MATCH(Settings!$C$4&amp;Settings!$C$7,Prices_dom!$A$6:$A$2000,0),MATCH("mit.sp."&amp;$N204,Prices_dom!$A$5:$CU$5,0)))/$P204</f>
        <v/>
      </c>
      <c r="R204" s="22">
        <f>INDEX(EF_GHG!$E$4:$E$1000,MATCH(Settings!$C$4&amp;"|"&amp;$B204&amp;"|"&amp;$O204,EF_GHG!$A$4:$A$1000,0))</f>
        <v/>
      </c>
      <c r="S204" s="22">
        <f>INDEX(Mapping!$G$5:$G$20,MATCH($C204,Mapping!$A$5:$A$20,0))</f>
        <v/>
      </c>
      <c r="T204" s="21" t="n"/>
      <c r="U204" s="21" t="n"/>
      <c r="V204" s="22">
        <f>Q204</f>
        <v/>
      </c>
      <c r="W204" s="22">
        <f>R204</f>
        <v/>
      </c>
      <c r="X204" s="22">
        <f>S204</f>
        <v/>
      </c>
      <c r="Y204" s="21" t="n"/>
      <c r="Z204" s="21" t="n"/>
      <c r="AA204" s="22">
        <f>Q204</f>
        <v/>
      </c>
      <c r="AB204" s="22">
        <f>R204</f>
        <v/>
      </c>
      <c r="AC204" s="22">
        <f>S204</f>
        <v/>
      </c>
      <c r="AD204" s="21" t="n"/>
      <c r="AE204" s="21" t="n"/>
      <c r="AF204" s="22">
        <f>Q204</f>
        <v/>
      </c>
      <c r="AG204" s="22">
        <f>R204</f>
        <v/>
      </c>
      <c r="AH204" s="22">
        <f>S204</f>
        <v/>
      </c>
      <c r="AI204" s="21" t="n"/>
      <c r="AJ204" s="21" t="n"/>
      <c r="AL204" s="23">
        <f>INDEX($Q204:$AJ204,1,(AL$4-1)*5+1)+AL$8*INDEX($Q204:$AJ204,1,(AL$4-1)*5+2)*INDEX($Q204:$AJ204,1,(AL$4-1)*5+3)</f>
        <v/>
      </c>
      <c r="AM204" s="22">
        <f>INDEX($Q204:$AJ204,1,(AM$4-1)*5+1)+AM$8*INDEX($Q204:$AJ204,1,(AM$4-1)*5+2)*INDEX($Q204:$AJ204,1,(AM$4-1)*5+3)</f>
        <v/>
      </c>
      <c r="AN204" s="22">
        <f>INDEX($Q204:$AJ204,1,(AN$4-1)*5+1)+AN$8*INDEX($Q204:$AJ204,1,(AN$4-1)*5+2)*INDEX($Q204:$AJ204,1,(AN$4-1)*5+3)</f>
        <v/>
      </c>
      <c r="AO204" s="22">
        <f>INDEX($Q204:$AJ204,1,(AO$4-1)*5+1)+AO$8*INDEX($Q204:$AJ204,1,(AO$4-1)*5+2)*INDEX($Q204:$AJ204,1,(AO$4-1)*5+3)</f>
        <v/>
      </c>
      <c r="AP204" s="22">
        <f>INDEX($Q204:$AJ204,1,(AP$4-1)*5+1)+AP$8*INDEX($Q204:$AJ204,1,(AP$4-1)*5+2)*INDEX($Q204:$AJ204,1,(AP$4-1)*5+3)</f>
        <v/>
      </c>
      <c r="AQ204" s="22">
        <f>INDEX($Q204:$AJ204,1,(AQ$4-1)*5+1)+AQ$8*INDEX($Q204:$AJ204,1,(AQ$4-1)*5+2)*INDEX($Q204:$AJ204,1,(AQ$4-1)*5+3)</f>
        <v/>
      </c>
      <c r="AR204" s="22">
        <f>INDEX($Q204:$AJ204,1,(AR$4-1)*5+1)+AR$8*INDEX($Q204:$AJ204,1,(AR$4-1)*5+2)*INDEX($Q204:$AJ204,1,(AR$4-1)*5+3)</f>
        <v/>
      </c>
      <c r="AS204" s="22">
        <f>INDEX($Q204:$AJ204,1,(AS$4-1)*5+1)+AS$8*INDEX($Q204:$AJ204,1,(AS$4-1)*5+2)*INDEX($Q204:$AJ204,1,(AS$4-1)*5+3)</f>
        <v/>
      </c>
      <c r="AT204" s="22">
        <f>INDEX($Q204:$AJ204,1,(AT$4-1)*5+1)+AT$8*INDEX($Q204:$AJ204,1,(AT$4-1)*5+2)*INDEX($Q204:$AJ204,1,(AT$4-1)*5+3)</f>
        <v/>
      </c>
      <c r="AU204" s="22">
        <f>INDEX($Q204:$AJ204,1,(AU$4-1)*5+1)+AU$8*INDEX($Q204:$AJ204,1,(AU$4-1)*5+2)*INDEX($Q204:$AJ204,1,(AU$4-1)*5+3)</f>
        <v/>
      </c>
      <c r="AV204" s="22">
        <f>INDEX($Q204:$AJ204,1,(AV$4-1)*5+1)+AV$8*INDEX($Q204:$AJ204,1,(AV$4-1)*5+2)*INDEX($Q204:$AJ204,1,(AV$4-1)*5+3)</f>
        <v/>
      </c>
      <c r="AW204" s="22">
        <f>INDEX($Q204:$AJ204,1,(AW$4-1)*5+1)+AW$8*INDEX($Q204:$AJ204,1,(AW$4-1)*5+2)*INDEX($Q204:$AJ204,1,(AW$4-1)*5+3)</f>
        <v/>
      </c>
      <c r="AX204" s="22">
        <f>INDEX($Q204:$AJ204,1,(AX$4-1)*5+1)+AX$8*INDEX($Q204:$AJ204,1,(AX$4-1)*5+2)*INDEX($Q204:$AJ204,1,(AX$4-1)*5+3)</f>
        <v/>
      </c>
      <c r="AY204" s="22">
        <f>INDEX($Q204:$AJ204,1,(AY$4-1)*5+1)+AY$8*INDEX($Q204:$AJ204,1,(AY$4-1)*5+2)*INDEX($Q204:$AJ204,1,(AY$4-1)*5+3)</f>
        <v/>
      </c>
      <c r="BA204" s="23">
        <f>INDEX($Q204:$AJ204,1,(BA$4-1)*5+1)+BA$8*INDEX($Q204:$AJ204,1,(BA$4-1)*5+2)*INDEX($Q204:$AJ204,1,(BA$4-1)*5+3)</f>
        <v/>
      </c>
      <c r="BB204" s="22">
        <f>INDEX($Q204:$AJ204,1,(BB$4-1)*5+1)+BB$8*INDEX($Q204:$AJ204,1,(BB$4-1)*5+2)*INDEX($Q204:$AJ204,1,(BB$4-1)*5+3)</f>
        <v/>
      </c>
      <c r="BC204" s="22">
        <f>INDEX($Q204:$AJ204,1,(BC$4-1)*5+1)+BC$8*INDEX($Q204:$AJ204,1,(BC$4-1)*5+2)*INDEX($Q204:$AJ204,1,(BC$4-1)*5+3)</f>
        <v/>
      </c>
      <c r="BD204" s="22">
        <f>INDEX($Q204:$AJ204,1,(BD$4-1)*5+1)+BD$8*INDEX($Q204:$AJ204,1,(BD$4-1)*5+2)*INDEX($Q204:$AJ204,1,(BD$4-1)*5+3)</f>
        <v/>
      </c>
      <c r="BE204" s="22">
        <f>INDEX($Q204:$AJ204,1,(BE$4-1)*5+1)+BE$8*INDEX($Q204:$AJ204,1,(BE$4-1)*5+2)*INDEX($Q204:$AJ204,1,(BE$4-1)*5+3)</f>
        <v/>
      </c>
      <c r="BF204" s="22">
        <f>INDEX($Q204:$AJ204,1,(BF$4-1)*5+1)+BF$8*INDEX($Q204:$AJ204,1,(BF$4-1)*5+2)*INDEX($Q204:$AJ204,1,(BF$4-1)*5+3)</f>
        <v/>
      </c>
      <c r="BG204" s="22">
        <f>INDEX($Q204:$AJ204,1,(BG$4-1)*5+1)+BG$8*INDEX($Q204:$AJ204,1,(BG$4-1)*5+2)*INDEX($Q204:$AJ204,1,(BG$4-1)*5+3)</f>
        <v/>
      </c>
      <c r="BH204" s="22">
        <f>INDEX($Q204:$AJ204,1,(BH$4-1)*5+1)+BH$8*INDEX($Q204:$AJ204,1,(BH$4-1)*5+2)*INDEX($Q204:$AJ204,1,(BH$4-1)*5+3)</f>
        <v/>
      </c>
      <c r="BI204" s="22">
        <f>INDEX($Q204:$AJ204,1,(BI$4-1)*5+1)+BI$8*INDEX($Q204:$AJ204,1,(BI$4-1)*5+2)*INDEX($Q204:$AJ204,1,(BI$4-1)*5+3)</f>
        <v/>
      </c>
      <c r="BJ204" s="22">
        <f>INDEX($Q204:$AJ204,1,(BJ$4-1)*5+1)+BJ$8*INDEX($Q204:$AJ204,1,(BJ$4-1)*5+2)*INDEX($Q204:$AJ204,1,(BJ$4-1)*5+3)</f>
        <v/>
      </c>
      <c r="BK204" s="22">
        <f>INDEX($Q204:$AJ204,1,(BK$4-1)*5+1)+BK$8*INDEX($Q204:$AJ204,1,(BK$4-1)*5+2)*INDEX($Q204:$AJ204,1,(BK$4-1)*5+3)</f>
        <v/>
      </c>
      <c r="BL204" s="22">
        <f>INDEX($Q204:$AJ204,1,(BL$4-1)*5+1)+BL$8*INDEX($Q204:$AJ204,1,(BL$4-1)*5+2)*INDEX($Q204:$AJ204,1,(BL$4-1)*5+3)</f>
        <v/>
      </c>
      <c r="BM204" s="22">
        <f>INDEX($Q204:$AJ204,1,(BM$4-1)*5+1)+BM$8*INDEX($Q204:$AJ204,1,(BM$4-1)*5+2)*INDEX($Q204:$AJ204,1,(BM$4-1)*5+3)</f>
        <v/>
      </c>
      <c r="BN204" s="22">
        <f>INDEX($Q204:$AJ204,1,(BN$4-1)*5+1)+BN$8*INDEX($Q204:$AJ204,1,(BN$4-1)*5+2)*INDEX($Q204:$AJ204,1,(BN$4-1)*5+3)</f>
        <v/>
      </c>
    </row>
    <row r="205">
      <c r="B205" s="5" t="inlineStr">
        <is>
          <t>coa</t>
        </is>
      </c>
      <c r="C205" s="5" t="inlineStr">
        <is>
          <t>irn</t>
        </is>
      </c>
      <c r="D205" s="5" t="inlineStr">
        <is>
          <t>Tax | Iron &amp; steel | Coal</t>
        </is>
      </c>
      <c r="E205" s="5" t="inlineStr">
        <is>
          <t>$/GJ</t>
        </is>
      </c>
      <c r="F205" s="5" t="inlineStr">
        <is>
          <t>Prices_dom, EF_GHG, Mapping</t>
        </is>
      </c>
      <c r="G205" s="19" t="inlineStr">
        <is>
          <t>mit.rp.coa</t>
        </is>
      </c>
      <c r="H205" s="19" t="inlineStr">
        <is>
          <t>mit.tax.coa.irn</t>
        </is>
      </c>
      <c r="J205" s="5">
        <f>INDEX(Mapping!$C$5:$C$20,MATCH($C205,Mapping!$A$5:$A$20,0))</f>
        <v/>
      </c>
      <c r="K205" s="5">
        <f>INDEX(Mapping!$D$5:$D$20,MATCH($C205,Mapping!$A$5:$A$20,0))</f>
        <v/>
      </c>
      <c r="L205" s="5">
        <f>INDEX(Mapping!$C$24:$C$31,MATCH($B205,Mapping!$A$24:$A$31,0))</f>
        <v/>
      </c>
      <c r="M205" s="5">
        <f>INDEX(Mapping!$D$24:$D$31,MATCH($B205,Mapping!$A$24:$A$31,0))</f>
        <v/>
      </c>
      <c r="N205" s="5">
        <f>$B205&amp;"."&amp;IF(INDEX(Mapping!$E$24:$E$31,MATCH($B205,Mapping!$A$24:$A$31,0))="sub",INDEX(Mapping!$F$5:$F$20,MATCH($C205,Mapping!$A$5:$A$20,0)),"all")</f>
        <v/>
      </c>
      <c r="O205" s="5">
        <f>INDEX(Mapping!$E$5:$E$20,MATCH($C205,Mapping!$A$5:$A$20,0))</f>
        <v/>
      </c>
      <c r="P205" s="5">
        <f>INDEX(Mapping!$G$24:$G$31,MATCH($B205,Mapping!$A$24:$A$31,0))</f>
        <v/>
      </c>
      <c r="Q205" s="22">
        <f>(INDEX(Prices_dom!$A$6:$CU$2000,MATCH(Settings!$C$4&amp;Settings!$C$7,Prices_dom!$A$6:$A$2000,0),MATCH("mit.rp."&amp;$N205,Prices_dom!$A$5:$CU$5,0))-INDEX(Prices_dom!$A$6:$CU$2000,MATCH(Settings!$C$4&amp;Settings!$C$7,Prices_dom!$A$6:$A$2000,0),MATCH("mit.sp."&amp;$N205,Prices_dom!$A$5:$CU$5,0)))/$P205</f>
        <v/>
      </c>
      <c r="R205" s="22">
        <f>INDEX(EF_GHG!$E$4:$E$1000,MATCH(Settings!$C$4&amp;"|"&amp;$B205&amp;"|"&amp;$O205,EF_GHG!$A$4:$A$1000,0))</f>
        <v/>
      </c>
      <c r="S205" s="22">
        <f>INDEX(Mapping!$G$5:$G$20,MATCH($C205,Mapping!$A$5:$A$20,0))</f>
        <v/>
      </c>
      <c r="T205" s="21" t="n"/>
      <c r="U205" s="21" t="n"/>
      <c r="V205" s="22">
        <f>Q205</f>
        <v/>
      </c>
      <c r="W205" s="22">
        <f>R205</f>
        <v/>
      </c>
      <c r="X205" s="22">
        <f>S205</f>
        <v/>
      </c>
      <c r="Y205" s="21" t="n"/>
      <c r="Z205" s="21" t="n"/>
      <c r="AA205" s="22">
        <f>Q205</f>
        <v/>
      </c>
      <c r="AB205" s="22">
        <f>R205</f>
        <v/>
      </c>
      <c r="AC205" s="22">
        <f>S205</f>
        <v/>
      </c>
      <c r="AD205" s="21" t="n"/>
      <c r="AE205" s="21" t="n"/>
      <c r="AF205" s="22">
        <f>Q205</f>
        <v/>
      </c>
      <c r="AG205" s="22">
        <f>R205</f>
        <v/>
      </c>
      <c r="AH205" s="22">
        <f>S205</f>
        <v/>
      </c>
      <c r="AI205" s="21" t="n"/>
      <c r="AJ205" s="21" t="n"/>
      <c r="AL205" s="23">
        <f>INDEX($Q205:$AJ205,1,(AL$4-1)*5+1)+AL$8*INDEX($Q205:$AJ205,1,(AL$4-1)*5+2)*INDEX($Q205:$AJ205,1,(AL$4-1)*5+3)</f>
        <v/>
      </c>
      <c r="AM205" s="22">
        <f>INDEX($Q205:$AJ205,1,(AM$4-1)*5+1)+AM$8*INDEX($Q205:$AJ205,1,(AM$4-1)*5+2)*INDEX($Q205:$AJ205,1,(AM$4-1)*5+3)</f>
        <v/>
      </c>
      <c r="AN205" s="22">
        <f>INDEX($Q205:$AJ205,1,(AN$4-1)*5+1)+AN$8*INDEX($Q205:$AJ205,1,(AN$4-1)*5+2)*INDEX($Q205:$AJ205,1,(AN$4-1)*5+3)</f>
        <v/>
      </c>
      <c r="AO205" s="22">
        <f>INDEX($Q205:$AJ205,1,(AO$4-1)*5+1)+AO$8*INDEX($Q205:$AJ205,1,(AO$4-1)*5+2)*INDEX($Q205:$AJ205,1,(AO$4-1)*5+3)</f>
        <v/>
      </c>
      <c r="AP205" s="22">
        <f>INDEX($Q205:$AJ205,1,(AP$4-1)*5+1)+AP$8*INDEX($Q205:$AJ205,1,(AP$4-1)*5+2)*INDEX($Q205:$AJ205,1,(AP$4-1)*5+3)</f>
        <v/>
      </c>
      <c r="AQ205" s="22">
        <f>INDEX($Q205:$AJ205,1,(AQ$4-1)*5+1)+AQ$8*INDEX($Q205:$AJ205,1,(AQ$4-1)*5+2)*INDEX($Q205:$AJ205,1,(AQ$4-1)*5+3)</f>
        <v/>
      </c>
      <c r="AR205" s="22">
        <f>INDEX($Q205:$AJ205,1,(AR$4-1)*5+1)+AR$8*INDEX($Q205:$AJ205,1,(AR$4-1)*5+2)*INDEX($Q205:$AJ205,1,(AR$4-1)*5+3)</f>
        <v/>
      </c>
      <c r="AS205" s="22">
        <f>INDEX($Q205:$AJ205,1,(AS$4-1)*5+1)+AS$8*INDEX($Q205:$AJ205,1,(AS$4-1)*5+2)*INDEX($Q205:$AJ205,1,(AS$4-1)*5+3)</f>
        <v/>
      </c>
      <c r="AT205" s="22">
        <f>INDEX($Q205:$AJ205,1,(AT$4-1)*5+1)+AT$8*INDEX($Q205:$AJ205,1,(AT$4-1)*5+2)*INDEX($Q205:$AJ205,1,(AT$4-1)*5+3)</f>
        <v/>
      </c>
      <c r="AU205" s="22">
        <f>INDEX($Q205:$AJ205,1,(AU$4-1)*5+1)+AU$8*INDEX($Q205:$AJ205,1,(AU$4-1)*5+2)*INDEX($Q205:$AJ205,1,(AU$4-1)*5+3)</f>
        <v/>
      </c>
      <c r="AV205" s="22">
        <f>INDEX($Q205:$AJ205,1,(AV$4-1)*5+1)+AV$8*INDEX($Q205:$AJ205,1,(AV$4-1)*5+2)*INDEX($Q205:$AJ205,1,(AV$4-1)*5+3)</f>
        <v/>
      </c>
      <c r="AW205" s="22">
        <f>INDEX($Q205:$AJ205,1,(AW$4-1)*5+1)+AW$8*INDEX($Q205:$AJ205,1,(AW$4-1)*5+2)*INDEX($Q205:$AJ205,1,(AW$4-1)*5+3)</f>
        <v/>
      </c>
      <c r="AX205" s="22">
        <f>INDEX($Q205:$AJ205,1,(AX$4-1)*5+1)+AX$8*INDEX($Q205:$AJ205,1,(AX$4-1)*5+2)*INDEX($Q205:$AJ205,1,(AX$4-1)*5+3)</f>
        <v/>
      </c>
      <c r="AY205" s="22">
        <f>INDEX($Q205:$AJ205,1,(AY$4-1)*5+1)+AY$8*INDEX($Q205:$AJ205,1,(AY$4-1)*5+2)*INDEX($Q205:$AJ205,1,(AY$4-1)*5+3)</f>
        <v/>
      </c>
      <c r="BA205" s="23">
        <f>INDEX($Q205:$AJ205,1,(BA$4-1)*5+1)+BA$8*INDEX($Q205:$AJ205,1,(BA$4-1)*5+2)*INDEX($Q205:$AJ205,1,(BA$4-1)*5+3)</f>
        <v/>
      </c>
      <c r="BB205" s="22">
        <f>INDEX($Q205:$AJ205,1,(BB$4-1)*5+1)+BB$8*INDEX($Q205:$AJ205,1,(BB$4-1)*5+2)*INDEX($Q205:$AJ205,1,(BB$4-1)*5+3)</f>
        <v/>
      </c>
      <c r="BC205" s="22">
        <f>INDEX($Q205:$AJ205,1,(BC$4-1)*5+1)+BC$8*INDEX($Q205:$AJ205,1,(BC$4-1)*5+2)*INDEX($Q205:$AJ205,1,(BC$4-1)*5+3)</f>
        <v/>
      </c>
      <c r="BD205" s="22">
        <f>INDEX($Q205:$AJ205,1,(BD$4-1)*5+1)+BD$8*INDEX($Q205:$AJ205,1,(BD$4-1)*5+2)*INDEX($Q205:$AJ205,1,(BD$4-1)*5+3)</f>
        <v/>
      </c>
      <c r="BE205" s="22">
        <f>INDEX($Q205:$AJ205,1,(BE$4-1)*5+1)+BE$8*INDEX($Q205:$AJ205,1,(BE$4-1)*5+2)*INDEX($Q205:$AJ205,1,(BE$4-1)*5+3)</f>
        <v/>
      </c>
      <c r="BF205" s="22">
        <f>INDEX($Q205:$AJ205,1,(BF$4-1)*5+1)+BF$8*INDEX($Q205:$AJ205,1,(BF$4-1)*5+2)*INDEX($Q205:$AJ205,1,(BF$4-1)*5+3)</f>
        <v/>
      </c>
      <c r="BG205" s="22">
        <f>INDEX($Q205:$AJ205,1,(BG$4-1)*5+1)+BG$8*INDEX($Q205:$AJ205,1,(BG$4-1)*5+2)*INDEX($Q205:$AJ205,1,(BG$4-1)*5+3)</f>
        <v/>
      </c>
      <c r="BH205" s="22">
        <f>INDEX($Q205:$AJ205,1,(BH$4-1)*5+1)+BH$8*INDEX($Q205:$AJ205,1,(BH$4-1)*5+2)*INDEX($Q205:$AJ205,1,(BH$4-1)*5+3)</f>
        <v/>
      </c>
      <c r="BI205" s="22">
        <f>INDEX($Q205:$AJ205,1,(BI$4-1)*5+1)+BI$8*INDEX($Q205:$AJ205,1,(BI$4-1)*5+2)*INDEX($Q205:$AJ205,1,(BI$4-1)*5+3)</f>
        <v/>
      </c>
      <c r="BJ205" s="22">
        <f>INDEX($Q205:$AJ205,1,(BJ$4-1)*5+1)+BJ$8*INDEX($Q205:$AJ205,1,(BJ$4-1)*5+2)*INDEX($Q205:$AJ205,1,(BJ$4-1)*5+3)</f>
        <v/>
      </c>
      <c r="BK205" s="22">
        <f>INDEX($Q205:$AJ205,1,(BK$4-1)*5+1)+BK$8*INDEX($Q205:$AJ205,1,(BK$4-1)*5+2)*INDEX($Q205:$AJ205,1,(BK$4-1)*5+3)</f>
        <v/>
      </c>
      <c r="BL205" s="22">
        <f>INDEX($Q205:$AJ205,1,(BL$4-1)*5+1)+BL$8*INDEX($Q205:$AJ205,1,(BL$4-1)*5+2)*INDEX($Q205:$AJ205,1,(BL$4-1)*5+3)</f>
        <v/>
      </c>
      <c r="BM205" s="22">
        <f>INDEX($Q205:$AJ205,1,(BM$4-1)*5+1)+BM$8*INDEX($Q205:$AJ205,1,(BM$4-1)*5+2)*INDEX($Q205:$AJ205,1,(BM$4-1)*5+3)</f>
        <v/>
      </c>
      <c r="BN205" s="22">
        <f>INDEX($Q205:$AJ205,1,(BN$4-1)*5+1)+BN$8*INDEX($Q205:$AJ205,1,(BN$4-1)*5+2)*INDEX($Q205:$AJ205,1,(BN$4-1)*5+3)</f>
        <v/>
      </c>
    </row>
    <row r="206">
      <c r="B206" s="5" t="inlineStr">
        <is>
          <t>nga</t>
        </is>
      </c>
      <c r="C206" s="5" t="inlineStr">
        <is>
          <t>irn</t>
        </is>
      </c>
      <c r="D206" s="5" t="inlineStr">
        <is>
          <t>Tax | Iron &amp; steel | Natural gas</t>
        </is>
      </c>
      <c r="E206" s="5" t="inlineStr">
        <is>
          <t>$/GJ</t>
        </is>
      </c>
      <c r="F206" s="5" t="inlineStr">
        <is>
          <t>Prices_dom, EF_GHG, Mapping</t>
        </is>
      </c>
      <c r="G206" s="19" t="inlineStr">
        <is>
          <t>mit.rp.nga</t>
        </is>
      </c>
      <c r="H206" s="19" t="inlineStr">
        <is>
          <t>mit.tax.nga.irn</t>
        </is>
      </c>
      <c r="J206" s="5">
        <f>INDEX(Mapping!$C$5:$C$20,MATCH($C206,Mapping!$A$5:$A$20,0))</f>
        <v/>
      </c>
      <c r="K206" s="5">
        <f>INDEX(Mapping!$D$5:$D$20,MATCH($C206,Mapping!$A$5:$A$20,0))</f>
        <v/>
      </c>
      <c r="L206" s="5">
        <f>INDEX(Mapping!$C$24:$C$31,MATCH($B206,Mapping!$A$24:$A$31,0))</f>
        <v/>
      </c>
      <c r="M206" s="5">
        <f>INDEX(Mapping!$D$24:$D$31,MATCH($B206,Mapping!$A$24:$A$31,0))</f>
        <v/>
      </c>
      <c r="N206" s="5">
        <f>$B206&amp;"."&amp;IF(INDEX(Mapping!$E$24:$E$31,MATCH($B206,Mapping!$A$24:$A$31,0))="sub",INDEX(Mapping!$F$5:$F$20,MATCH($C206,Mapping!$A$5:$A$20,0)),"all")</f>
        <v/>
      </c>
      <c r="O206" s="5">
        <f>INDEX(Mapping!$E$5:$E$20,MATCH($C206,Mapping!$A$5:$A$20,0))</f>
        <v/>
      </c>
      <c r="P206" s="5">
        <f>INDEX(Mapping!$G$24:$G$31,MATCH($B206,Mapping!$A$24:$A$31,0))</f>
        <v/>
      </c>
      <c r="Q206" s="22">
        <f>(INDEX(Prices_dom!$A$6:$CU$2000,MATCH(Settings!$C$4&amp;Settings!$C$7,Prices_dom!$A$6:$A$2000,0),MATCH("mit.rp."&amp;$N206,Prices_dom!$A$5:$CU$5,0))-INDEX(Prices_dom!$A$6:$CU$2000,MATCH(Settings!$C$4&amp;Settings!$C$7,Prices_dom!$A$6:$A$2000,0),MATCH("mit.sp."&amp;$N206,Prices_dom!$A$5:$CU$5,0)))/$P206</f>
        <v/>
      </c>
      <c r="R206" s="22">
        <f>INDEX(EF_GHG!$E$4:$E$1000,MATCH(Settings!$C$4&amp;"|"&amp;$B206&amp;"|"&amp;$O206,EF_GHG!$A$4:$A$1000,0))</f>
        <v/>
      </c>
      <c r="S206" s="22">
        <f>INDEX(Mapping!$G$5:$G$20,MATCH($C206,Mapping!$A$5:$A$20,0))</f>
        <v/>
      </c>
      <c r="T206" s="21" t="n"/>
      <c r="U206" s="21" t="n"/>
      <c r="V206" s="22">
        <f>Q206</f>
        <v/>
      </c>
      <c r="W206" s="22">
        <f>R206</f>
        <v/>
      </c>
      <c r="X206" s="22">
        <f>S206</f>
        <v/>
      </c>
      <c r="Y206" s="21" t="n"/>
      <c r="Z206" s="21" t="n"/>
      <c r="AA206" s="22">
        <f>Q206</f>
        <v/>
      </c>
      <c r="AB206" s="22">
        <f>R206</f>
        <v/>
      </c>
      <c r="AC206" s="22">
        <f>S206</f>
        <v/>
      </c>
      <c r="AD206" s="21" t="n"/>
      <c r="AE206" s="21" t="n"/>
      <c r="AF206" s="22">
        <f>Q206</f>
        <v/>
      </c>
      <c r="AG206" s="22">
        <f>R206</f>
        <v/>
      </c>
      <c r="AH206" s="22">
        <f>S206</f>
        <v/>
      </c>
      <c r="AI206" s="21" t="n"/>
      <c r="AJ206" s="21" t="n"/>
      <c r="AL206" s="23">
        <f>INDEX($Q206:$AJ206,1,(AL$4-1)*5+1)+AL$8*INDEX($Q206:$AJ206,1,(AL$4-1)*5+2)*INDEX($Q206:$AJ206,1,(AL$4-1)*5+3)</f>
        <v/>
      </c>
      <c r="AM206" s="22">
        <f>INDEX($Q206:$AJ206,1,(AM$4-1)*5+1)+AM$8*INDEX($Q206:$AJ206,1,(AM$4-1)*5+2)*INDEX($Q206:$AJ206,1,(AM$4-1)*5+3)</f>
        <v/>
      </c>
      <c r="AN206" s="22">
        <f>INDEX($Q206:$AJ206,1,(AN$4-1)*5+1)+AN$8*INDEX($Q206:$AJ206,1,(AN$4-1)*5+2)*INDEX($Q206:$AJ206,1,(AN$4-1)*5+3)</f>
        <v/>
      </c>
      <c r="AO206" s="22">
        <f>INDEX($Q206:$AJ206,1,(AO$4-1)*5+1)+AO$8*INDEX($Q206:$AJ206,1,(AO$4-1)*5+2)*INDEX($Q206:$AJ206,1,(AO$4-1)*5+3)</f>
        <v/>
      </c>
      <c r="AP206" s="22">
        <f>INDEX($Q206:$AJ206,1,(AP$4-1)*5+1)+AP$8*INDEX($Q206:$AJ206,1,(AP$4-1)*5+2)*INDEX($Q206:$AJ206,1,(AP$4-1)*5+3)</f>
        <v/>
      </c>
      <c r="AQ206" s="22">
        <f>INDEX($Q206:$AJ206,1,(AQ$4-1)*5+1)+AQ$8*INDEX($Q206:$AJ206,1,(AQ$4-1)*5+2)*INDEX($Q206:$AJ206,1,(AQ$4-1)*5+3)</f>
        <v/>
      </c>
      <c r="AR206" s="22">
        <f>INDEX($Q206:$AJ206,1,(AR$4-1)*5+1)+AR$8*INDEX($Q206:$AJ206,1,(AR$4-1)*5+2)*INDEX($Q206:$AJ206,1,(AR$4-1)*5+3)</f>
        <v/>
      </c>
      <c r="AS206" s="22">
        <f>INDEX($Q206:$AJ206,1,(AS$4-1)*5+1)+AS$8*INDEX($Q206:$AJ206,1,(AS$4-1)*5+2)*INDEX($Q206:$AJ206,1,(AS$4-1)*5+3)</f>
        <v/>
      </c>
      <c r="AT206" s="22">
        <f>INDEX($Q206:$AJ206,1,(AT$4-1)*5+1)+AT$8*INDEX($Q206:$AJ206,1,(AT$4-1)*5+2)*INDEX($Q206:$AJ206,1,(AT$4-1)*5+3)</f>
        <v/>
      </c>
      <c r="AU206" s="22">
        <f>INDEX($Q206:$AJ206,1,(AU$4-1)*5+1)+AU$8*INDEX($Q206:$AJ206,1,(AU$4-1)*5+2)*INDEX($Q206:$AJ206,1,(AU$4-1)*5+3)</f>
        <v/>
      </c>
      <c r="AV206" s="22">
        <f>INDEX($Q206:$AJ206,1,(AV$4-1)*5+1)+AV$8*INDEX($Q206:$AJ206,1,(AV$4-1)*5+2)*INDEX($Q206:$AJ206,1,(AV$4-1)*5+3)</f>
        <v/>
      </c>
      <c r="AW206" s="22">
        <f>INDEX($Q206:$AJ206,1,(AW$4-1)*5+1)+AW$8*INDEX($Q206:$AJ206,1,(AW$4-1)*5+2)*INDEX($Q206:$AJ206,1,(AW$4-1)*5+3)</f>
        <v/>
      </c>
      <c r="AX206" s="22">
        <f>INDEX($Q206:$AJ206,1,(AX$4-1)*5+1)+AX$8*INDEX($Q206:$AJ206,1,(AX$4-1)*5+2)*INDEX($Q206:$AJ206,1,(AX$4-1)*5+3)</f>
        <v/>
      </c>
      <c r="AY206" s="22">
        <f>INDEX($Q206:$AJ206,1,(AY$4-1)*5+1)+AY$8*INDEX($Q206:$AJ206,1,(AY$4-1)*5+2)*INDEX($Q206:$AJ206,1,(AY$4-1)*5+3)</f>
        <v/>
      </c>
      <c r="BA206" s="23">
        <f>INDEX($Q206:$AJ206,1,(BA$4-1)*5+1)+BA$8*INDEX($Q206:$AJ206,1,(BA$4-1)*5+2)*INDEX($Q206:$AJ206,1,(BA$4-1)*5+3)</f>
        <v/>
      </c>
      <c r="BB206" s="22">
        <f>INDEX($Q206:$AJ206,1,(BB$4-1)*5+1)+BB$8*INDEX($Q206:$AJ206,1,(BB$4-1)*5+2)*INDEX($Q206:$AJ206,1,(BB$4-1)*5+3)</f>
        <v/>
      </c>
      <c r="BC206" s="22">
        <f>INDEX($Q206:$AJ206,1,(BC$4-1)*5+1)+BC$8*INDEX($Q206:$AJ206,1,(BC$4-1)*5+2)*INDEX($Q206:$AJ206,1,(BC$4-1)*5+3)</f>
        <v/>
      </c>
      <c r="BD206" s="22">
        <f>INDEX($Q206:$AJ206,1,(BD$4-1)*5+1)+BD$8*INDEX($Q206:$AJ206,1,(BD$4-1)*5+2)*INDEX($Q206:$AJ206,1,(BD$4-1)*5+3)</f>
        <v/>
      </c>
      <c r="BE206" s="22">
        <f>INDEX($Q206:$AJ206,1,(BE$4-1)*5+1)+BE$8*INDEX($Q206:$AJ206,1,(BE$4-1)*5+2)*INDEX($Q206:$AJ206,1,(BE$4-1)*5+3)</f>
        <v/>
      </c>
      <c r="BF206" s="22">
        <f>INDEX($Q206:$AJ206,1,(BF$4-1)*5+1)+BF$8*INDEX($Q206:$AJ206,1,(BF$4-1)*5+2)*INDEX($Q206:$AJ206,1,(BF$4-1)*5+3)</f>
        <v/>
      </c>
      <c r="BG206" s="22">
        <f>INDEX($Q206:$AJ206,1,(BG$4-1)*5+1)+BG$8*INDEX($Q206:$AJ206,1,(BG$4-1)*5+2)*INDEX($Q206:$AJ206,1,(BG$4-1)*5+3)</f>
        <v/>
      </c>
      <c r="BH206" s="22">
        <f>INDEX($Q206:$AJ206,1,(BH$4-1)*5+1)+BH$8*INDEX($Q206:$AJ206,1,(BH$4-1)*5+2)*INDEX($Q206:$AJ206,1,(BH$4-1)*5+3)</f>
        <v/>
      </c>
      <c r="BI206" s="22">
        <f>INDEX($Q206:$AJ206,1,(BI$4-1)*5+1)+BI$8*INDEX($Q206:$AJ206,1,(BI$4-1)*5+2)*INDEX($Q206:$AJ206,1,(BI$4-1)*5+3)</f>
        <v/>
      </c>
      <c r="BJ206" s="22">
        <f>INDEX($Q206:$AJ206,1,(BJ$4-1)*5+1)+BJ$8*INDEX($Q206:$AJ206,1,(BJ$4-1)*5+2)*INDEX($Q206:$AJ206,1,(BJ$4-1)*5+3)</f>
        <v/>
      </c>
      <c r="BK206" s="22">
        <f>INDEX($Q206:$AJ206,1,(BK$4-1)*5+1)+BK$8*INDEX($Q206:$AJ206,1,(BK$4-1)*5+2)*INDEX($Q206:$AJ206,1,(BK$4-1)*5+3)</f>
        <v/>
      </c>
      <c r="BL206" s="22">
        <f>INDEX($Q206:$AJ206,1,(BL$4-1)*5+1)+BL$8*INDEX($Q206:$AJ206,1,(BL$4-1)*5+2)*INDEX($Q206:$AJ206,1,(BL$4-1)*5+3)</f>
        <v/>
      </c>
      <c r="BM206" s="22">
        <f>INDEX($Q206:$AJ206,1,(BM$4-1)*5+1)+BM$8*INDEX($Q206:$AJ206,1,(BM$4-1)*5+2)*INDEX($Q206:$AJ206,1,(BM$4-1)*5+3)</f>
        <v/>
      </c>
      <c r="BN206" s="22">
        <f>INDEX($Q206:$AJ206,1,(BN$4-1)*5+1)+BN$8*INDEX($Q206:$AJ206,1,(BN$4-1)*5+2)*INDEX($Q206:$AJ206,1,(BN$4-1)*5+3)</f>
        <v/>
      </c>
    </row>
    <row r="207">
      <c r="B207" s="5" t="inlineStr">
        <is>
          <t>gso</t>
        </is>
      </c>
      <c r="C207" s="5" t="inlineStr">
        <is>
          <t>irn</t>
        </is>
      </c>
      <c r="D207" s="5" t="inlineStr">
        <is>
          <t>Tax | Iron &amp; steel | Gasoline</t>
        </is>
      </c>
      <c r="E207" s="5" t="inlineStr">
        <is>
          <t>$/GJ</t>
        </is>
      </c>
      <c r="F207" s="5" t="inlineStr">
        <is>
          <t>Prices_dom, EF_GHG, Mapping</t>
        </is>
      </c>
      <c r="G207" s="19" t="inlineStr">
        <is>
          <t>mit.rp.gso</t>
        </is>
      </c>
      <c r="H207" s="19" t="inlineStr">
        <is>
          <t>mit.tax.gso.irn</t>
        </is>
      </c>
      <c r="J207" s="5">
        <f>INDEX(Mapping!$C$5:$C$20,MATCH($C207,Mapping!$A$5:$A$20,0))</f>
        <v/>
      </c>
      <c r="K207" s="5">
        <f>INDEX(Mapping!$D$5:$D$20,MATCH($C207,Mapping!$A$5:$A$20,0))</f>
        <v/>
      </c>
      <c r="L207" s="5">
        <f>INDEX(Mapping!$C$24:$C$31,MATCH($B207,Mapping!$A$24:$A$31,0))</f>
        <v/>
      </c>
      <c r="M207" s="5">
        <f>INDEX(Mapping!$D$24:$D$31,MATCH($B207,Mapping!$A$24:$A$31,0))</f>
        <v/>
      </c>
      <c r="N207" s="5">
        <f>$B207&amp;"."&amp;IF(INDEX(Mapping!$E$24:$E$31,MATCH($B207,Mapping!$A$24:$A$31,0))="sub",INDEX(Mapping!$F$5:$F$20,MATCH($C207,Mapping!$A$5:$A$20,0)),"all")</f>
        <v/>
      </c>
      <c r="O207" s="5">
        <f>INDEX(Mapping!$E$5:$E$20,MATCH($C207,Mapping!$A$5:$A$20,0))</f>
        <v/>
      </c>
      <c r="P207" s="5">
        <f>INDEX(Mapping!$G$24:$G$31,MATCH($B207,Mapping!$A$24:$A$31,0))</f>
        <v/>
      </c>
      <c r="Q207" s="22">
        <f>(INDEX(Prices_dom!$A$6:$CU$2000,MATCH(Settings!$C$4&amp;Settings!$C$7,Prices_dom!$A$6:$A$2000,0),MATCH("mit.rp."&amp;$N207,Prices_dom!$A$5:$CU$5,0))-INDEX(Prices_dom!$A$6:$CU$2000,MATCH(Settings!$C$4&amp;Settings!$C$7,Prices_dom!$A$6:$A$2000,0),MATCH("mit.sp."&amp;$N207,Prices_dom!$A$5:$CU$5,0)))/$P207</f>
        <v/>
      </c>
      <c r="R207" s="22">
        <f>INDEX(EF_GHG!$E$4:$E$1000,MATCH(Settings!$C$4&amp;"|"&amp;$B207&amp;"|"&amp;$O207,EF_GHG!$A$4:$A$1000,0))</f>
        <v/>
      </c>
      <c r="S207" s="22">
        <f>INDEX(Mapping!$G$5:$G$20,MATCH($C207,Mapping!$A$5:$A$20,0))</f>
        <v/>
      </c>
      <c r="T207" s="21" t="n"/>
      <c r="U207" s="21" t="n"/>
      <c r="V207" s="22">
        <f>Q207</f>
        <v/>
      </c>
      <c r="W207" s="22">
        <f>R207</f>
        <v/>
      </c>
      <c r="X207" s="22">
        <f>S207</f>
        <v/>
      </c>
      <c r="Y207" s="21" t="n"/>
      <c r="Z207" s="21" t="n"/>
      <c r="AA207" s="22">
        <f>Q207</f>
        <v/>
      </c>
      <c r="AB207" s="22">
        <f>R207</f>
        <v/>
      </c>
      <c r="AC207" s="22">
        <f>S207</f>
        <v/>
      </c>
      <c r="AD207" s="21" t="n"/>
      <c r="AE207" s="21" t="n"/>
      <c r="AF207" s="22">
        <f>Q207</f>
        <v/>
      </c>
      <c r="AG207" s="22">
        <f>R207</f>
        <v/>
      </c>
      <c r="AH207" s="22">
        <f>S207</f>
        <v/>
      </c>
      <c r="AI207" s="21" t="n"/>
      <c r="AJ207" s="21" t="n"/>
      <c r="AL207" s="23">
        <f>INDEX($Q207:$AJ207,1,(AL$4-1)*5+1)+AL$8*INDEX($Q207:$AJ207,1,(AL$4-1)*5+2)*INDEX($Q207:$AJ207,1,(AL$4-1)*5+3)</f>
        <v/>
      </c>
      <c r="AM207" s="22">
        <f>INDEX($Q207:$AJ207,1,(AM$4-1)*5+1)+AM$8*INDEX($Q207:$AJ207,1,(AM$4-1)*5+2)*INDEX($Q207:$AJ207,1,(AM$4-1)*5+3)</f>
        <v/>
      </c>
      <c r="AN207" s="22">
        <f>INDEX($Q207:$AJ207,1,(AN$4-1)*5+1)+AN$8*INDEX($Q207:$AJ207,1,(AN$4-1)*5+2)*INDEX($Q207:$AJ207,1,(AN$4-1)*5+3)</f>
        <v/>
      </c>
      <c r="AO207" s="22">
        <f>INDEX($Q207:$AJ207,1,(AO$4-1)*5+1)+AO$8*INDEX($Q207:$AJ207,1,(AO$4-1)*5+2)*INDEX($Q207:$AJ207,1,(AO$4-1)*5+3)</f>
        <v/>
      </c>
      <c r="AP207" s="22">
        <f>INDEX($Q207:$AJ207,1,(AP$4-1)*5+1)+AP$8*INDEX($Q207:$AJ207,1,(AP$4-1)*5+2)*INDEX($Q207:$AJ207,1,(AP$4-1)*5+3)</f>
        <v/>
      </c>
      <c r="AQ207" s="22">
        <f>INDEX($Q207:$AJ207,1,(AQ$4-1)*5+1)+AQ$8*INDEX($Q207:$AJ207,1,(AQ$4-1)*5+2)*INDEX($Q207:$AJ207,1,(AQ$4-1)*5+3)</f>
        <v/>
      </c>
      <c r="AR207" s="22">
        <f>INDEX($Q207:$AJ207,1,(AR$4-1)*5+1)+AR$8*INDEX($Q207:$AJ207,1,(AR$4-1)*5+2)*INDEX($Q207:$AJ207,1,(AR$4-1)*5+3)</f>
        <v/>
      </c>
      <c r="AS207" s="22">
        <f>INDEX($Q207:$AJ207,1,(AS$4-1)*5+1)+AS$8*INDEX($Q207:$AJ207,1,(AS$4-1)*5+2)*INDEX($Q207:$AJ207,1,(AS$4-1)*5+3)</f>
        <v/>
      </c>
      <c r="AT207" s="22">
        <f>INDEX($Q207:$AJ207,1,(AT$4-1)*5+1)+AT$8*INDEX($Q207:$AJ207,1,(AT$4-1)*5+2)*INDEX($Q207:$AJ207,1,(AT$4-1)*5+3)</f>
        <v/>
      </c>
      <c r="AU207" s="22">
        <f>INDEX($Q207:$AJ207,1,(AU$4-1)*5+1)+AU$8*INDEX($Q207:$AJ207,1,(AU$4-1)*5+2)*INDEX($Q207:$AJ207,1,(AU$4-1)*5+3)</f>
        <v/>
      </c>
      <c r="AV207" s="22">
        <f>INDEX($Q207:$AJ207,1,(AV$4-1)*5+1)+AV$8*INDEX($Q207:$AJ207,1,(AV$4-1)*5+2)*INDEX($Q207:$AJ207,1,(AV$4-1)*5+3)</f>
        <v/>
      </c>
      <c r="AW207" s="22">
        <f>INDEX($Q207:$AJ207,1,(AW$4-1)*5+1)+AW$8*INDEX($Q207:$AJ207,1,(AW$4-1)*5+2)*INDEX($Q207:$AJ207,1,(AW$4-1)*5+3)</f>
        <v/>
      </c>
      <c r="AX207" s="22">
        <f>INDEX($Q207:$AJ207,1,(AX$4-1)*5+1)+AX$8*INDEX($Q207:$AJ207,1,(AX$4-1)*5+2)*INDEX($Q207:$AJ207,1,(AX$4-1)*5+3)</f>
        <v/>
      </c>
      <c r="AY207" s="22">
        <f>INDEX($Q207:$AJ207,1,(AY$4-1)*5+1)+AY$8*INDEX($Q207:$AJ207,1,(AY$4-1)*5+2)*INDEX($Q207:$AJ207,1,(AY$4-1)*5+3)</f>
        <v/>
      </c>
      <c r="BA207" s="23">
        <f>INDEX($Q207:$AJ207,1,(BA$4-1)*5+1)+BA$8*INDEX($Q207:$AJ207,1,(BA$4-1)*5+2)*INDEX($Q207:$AJ207,1,(BA$4-1)*5+3)</f>
        <v/>
      </c>
      <c r="BB207" s="22">
        <f>INDEX($Q207:$AJ207,1,(BB$4-1)*5+1)+BB$8*INDEX($Q207:$AJ207,1,(BB$4-1)*5+2)*INDEX($Q207:$AJ207,1,(BB$4-1)*5+3)</f>
        <v/>
      </c>
      <c r="BC207" s="22">
        <f>INDEX($Q207:$AJ207,1,(BC$4-1)*5+1)+BC$8*INDEX($Q207:$AJ207,1,(BC$4-1)*5+2)*INDEX($Q207:$AJ207,1,(BC$4-1)*5+3)</f>
        <v/>
      </c>
      <c r="BD207" s="22">
        <f>INDEX($Q207:$AJ207,1,(BD$4-1)*5+1)+BD$8*INDEX($Q207:$AJ207,1,(BD$4-1)*5+2)*INDEX($Q207:$AJ207,1,(BD$4-1)*5+3)</f>
        <v/>
      </c>
      <c r="BE207" s="22">
        <f>INDEX($Q207:$AJ207,1,(BE$4-1)*5+1)+BE$8*INDEX($Q207:$AJ207,1,(BE$4-1)*5+2)*INDEX($Q207:$AJ207,1,(BE$4-1)*5+3)</f>
        <v/>
      </c>
      <c r="BF207" s="22">
        <f>INDEX($Q207:$AJ207,1,(BF$4-1)*5+1)+BF$8*INDEX($Q207:$AJ207,1,(BF$4-1)*5+2)*INDEX($Q207:$AJ207,1,(BF$4-1)*5+3)</f>
        <v/>
      </c>
      <c r="BG207" s="22">
        <f>INDEX($Q207:$AJ207,1,(BG$4-1)*5+1)+BG$8*INDEX($Q207:$AJ207,1,(BG$4-1)*5+2)*INDEX($Q207:$AJ207,1,(BG$4-1)*5+3)</f>
        <v/>
      </c>
      <c r="BH207" s="22">
        <f>INDEX($Q207:$AJ207,1,(BH$4-1)*5+1)+BH$8*INDEX($Q207:$AJ207,1,(BH$4-1)*5+2)*INDEX($Q207:$AJ207,1,(BH$4-1)*5+3)</f>
        <v/>
      </c>
      <c r="BI207" s="22">
        <f>INDEX($Q207:$AJ207,1,(BI$4-1)*5+1)+BI$8*INDEX($Q207:$AJ207,1,(BI$4-1)*5+2)*INDEX($Q207:$AJ207,1,(BI$4-1)*5+3)</f>
        <v/>
      </c>
      <c r="BJ207" s="22">
        <f>INDEX($Q207:$AJ207,1,(BJ$4-1)*5+1)+BJ$8*INDEX($Q207:$AJ207,1,(BJ$4-1)*5+2)*INDEX($Q207:$AJ207,1,(BJ$4-1)*5+3)</f>
        <v/>
      </c>
      <c r="BK207" s="22">
        <f>INDEX($Q207:$AJ207,1,(BK$4-1)*5+1)+BK$8*INDEX($Q207:$AJ207,1,(BK$4-1)*5+2)*INDEX($Q207:$AJ207,1,(BK$4-1)*5+3)</f>
        <v/>
      </c>
      <c r="BL207" s="22">
        <f>INDEX($Q207:$AJ207,1,(BL$4-1)*5+1)+BL$8*INDEX($Q207:$AJ207,1,(BL$4-1)*5+2)*INDEX($Q207:$AJ207,1,(BL$4-1)*5+3)</f>
        <v/>
      </c>
      <c r="BM207" s="22">
        <f>INDEX($Q207:$AJ207,1,(BM$4-1)*5+1)+BM$8*INDEX($Q207:$AJ207,1,(BM$4-1)*5+2)*INDEX($Q207:$AJ207,1,(BM$4-1)*5+3)</f>
        <v/>
      </c>
      <c r="BN207" s="22">
        <f>INDEX($Q207:$AJ207,1,(BN$4-1)*5+1)+BN$8*INDEX($Q207:$AJ207,1,(BN$4-1)*5+2)*INDEX($Q207:$AJ207,1,(BN$4-1)*5+3)</f>
        <v/>
      </c>
    </row>
    <row r="208">
      <c r="B208" s="5" t="inlineStr">
        <is>
          <t>die</t>
        </is>
      </c>
      <c r="C208" s="5" t="inlineStr">
        <is>
          <t>irn</t>
        </is>
      </c>
      <c r="D208" s="5" t="inlineStr">
        <is>
          <t>Tax | Iron &amp; steel | Diesel</t>
        </is>
      </c>
      <c r="E208" s="5" t="inlineStr">
        <is>
          <t>$/GJ</t>
        </is>
      </c>
      <c r="F208" s="5" t="inlineStr">
        <is>
          <t>Prices_dom, EF_GHG, Mapping</t>
        </is>
      </c>
      <c r="G208" s="19" t="inlineStr">
        <is>
          <t>mit.rp.die</t>
        </is>
      </c>
      <c r="H208" s="19" t="inlineStr">
        <is>
          <t>mit.tax.die.irn</t>
        </is>
      </c>
      <c r="J208" s="5">
        <f>INDEX(Mapping!$C$5:$C$20,MATCH($C208,Mapping!$A$5:$A$20,0))</f>
        <v/>
      </c>
      <c r="K208" s="5">
        <f>INDEX(Mapping!$D$5:$D$20,MATCH($C208,Mapping!$A$5:$A$20,0))</f>
        <v/>
      </c>
      <c r="L208" s="5">
        <f>INDEX(Mapping!$C$24:$C$31,MATCH($B208,Mapping!$A$24:$A$31,0))</f>
        <v/>
      </c>
      <c r="M208" s="5">
        <f>INDEX(Mapping!$D$24:$D$31,MATCH($B208,Mapping!$A$24:$A$31,0))</f>
        <v/>
      </c>
      <c r="N208" s="5">
        <f>$B208&amp;"."&amp;IF(INDEX(Mapping!$E$24:$E$31,MATCH($B208,Mapping!$A$24:$A$31,0))="sub",INDEX(Mapping!$F$5:$F$20,MATCH($C208,Mapping!$A$5:$A$20,0)),"all")</f>
        <v/>
      </c>
      <c r="O208" s="5">
        <f>INDEX(Mapping!$E$5:$E$20,MATCH($C208,Mapping!$A$5:$A$20,0))</f>
        <v/>
      </c>
      <c r="P208" s="5">
        <f>INDEX(Mapping!$G$24:$G$31,MATCH($B208,Mapping!$A$24:$A$31,0))</f>
        <v/>
      </c>
      <c r="Q208" s="22">
        <f>(INDEX(Prices_dom!$A$6:$CU$2000,MATCH(Settings!$C$4&amp;Settings!$C$7,Prices_dom!$A$6:$A$2000,0),MATCH("mit.rp."&amp;$N208,Prices_dom!$A$5:$CU$5,0))-INDEX(Prices_dom!$A$6:$CU$2000,MATCH(Settings!$C$4&amp;Settings!$C$7,Prices_dom!$A$6:$A$2000,0),MATCH("mit.sp."&amp;$N208,Prices_dom!$A$5:$CU$5,0)))/$P208</f>
        <v/>
      </c>
      <c r="R208" s="22">
        <f>INDEX(EF_GHG!$E$4:$E$1000,MATCH(Settings!$C$4&amp;"|"&amp;$B208&amp;"|"&amp;$O208,EF_GHG!$A$4:$A$1000,0))</f>
        <v/>
      </c>
      <c r="S208" s="22">
        <f>INDEX(Mapping!$G$5:$G$20,MATCH($C208,Mapping!$A$5:$A$20,0))</f>
        <v/>
      </c>
      <c r="T208" s="21" t="n"/>
      <c r="U208" s="21" t="n"/>
      <c r="V208" s="22">
        <f>Q208</f>
        <v/>
      </c>
      <c r="W208" s="22">
        <f>R208</f>
        <v/>
      </c>
      <c r="X208" s="22">
        <f>S208</f>
        <v/>
      </c>
      <c r="Y208" s="21" t="n"/>
      <c r="Z208" s="21" t="n"/>
      <c r="AA208" s="22">
        <f>Q208</f>
        <v/>
      </c>
      <c r="AB208" s="22">
        <f>R208</f>
        <v/>
      </c>
      <c r="AC208" s="22">
        <f>S208</f>
        <v/>
      </c>
      <c r="AD208" s="21" t="n"/>
      <c r="AE208" s="21" t="n"/>
      <c r="AF208" s="22">
        <f>Q208</f>
        <v/>
      </c>
      <c r="AG208" s="22">
        <f>R208</f>
        <v/>
      </c>
      <c r="AH208" s="22">
        <f>S208</f>
        <v/>
      </c>
      <c r="AI208" s="21" t="n"/>
      <c r="AJ208" s="21" t="n"/>
      <c r="AL208" s="23">
        <f>INDEX($Q208:$AJ208,1,(AL$4-1)*5+1)+AL$8*INDEX($Q208:$AJ208,1,(AL$4-1)*5+2)*INDEX($Q208:$AJ208,1,(AL$4-1)*5+3)</f>
        <v/>
      </c>
      <c r="AM208" s="22">
        <f>INDEX($Q208:$AJ208,1,(AM$4-1)*5+1)+AM$8*INDEX($Q208:$AJ208,1,(AM$4-1)*5+2)*INDEX($Q208:$AJ208,1,(AM$4-1)*5+3)</f>
        <v/>
      </c>
      <c r="AN208" s="22">
        <f>INDEX($Q208:$AJ208,1,(AN$4-1)*5+1)+AN$8*INDEX($Q208:$AJ208,1,(AN$4-1)*5+2)*INDEX($Q208:$AJ208,1,(AN$4-1)*5+3)</f>
        <v/>
      </c>
      <c r="AO208" s="22">
        <f>INDEX($Q208:$AJ208,1,(AO$4-1)*5+1)+AO$8*INDEX($Q208:$AJ208,1,(AO$4-1)*5+2)*INDEX($Q208:$AJ208,1,(AO$4-1)*5+3)</f>
        <v/>
      </c>
      <c r="AP208" s="22">
        <f>INDEX($Q208:$AJ208,1,(AP$4-1)*5+1)+AP$8*INDEX($Q208:$AJ208,1,(AP$4-1)*5+2)*INDEX($Q208:$AJ208,1,(AP$4-1)*5+3)</f>
        <v/>
      </c>
      <c r="AQ208" s="22">
        <f>INDEX($Q208:$AJ208,1,(AQ$4-1)*5+1)+AQ$8*INDEX($Q208:$AJ208,1,(AQ$4-1)*5+2)*INDEX($Q208:$AJ208,1,(AQ$4-1)*5+3)</f>
        <v/>
      </c>
      <c r="AR208" s="22">
        <f>INDEX($Q208:$AJ208,1,(AR$4-1)*5+1)+AR$8*INDEX($Q208:$AJ208,1,(AR$4-1)*5+2)*INDEX($Q208:$AJ208,1,(AR$4-1)*5+3)</f>
        <v/>
      </c>
      <c r="AS208" s="22">
        <f>INDEX($Q208:$AJ208,1,(AS$4-1)*5+1)+AS$8*INDEX($Q208:$AJ208,1,(AS$4-1)*5+2)*INDEX($Q208:$AJ208,1,(AS$4-1)*5+3)</f>
        <v/>
      </c>
      <c r="AT208" s="22">
        <f>INDEX($Q208:$AJ208,1,(AT$4-1)*5+1)+AT$8*INDEX($Q208:$AJ208,1,(AT$4-1)*5+2)*INDEX($Q208:$AJ208,1,(AT$4-1)*5+3)</f>
        <v/>
      </c>
      <c r="AU208" s="22">
        <f>INDEX($Q208:$AJ208,1,(AU$4-1)*5+1)+AU$8*INDEX($Q208:$AJ208,1,(AU$4-1)*5+2)*INDEX($Q208:$AJ208,1,(AU$4-1)*5+3)</f>
        <v/>
      </c>
      <c r="AV208" s="22">
        <f>INDEX($Q208:$AJ208,1,(AV$4-1)*5+1)+AV$8*INDEX($Q208:$AJ208,1,(AV$4-1)*5+2)*INDEX($Q208:$AJ208,1,(AV$4-1)*5+3)</f>
        <v/>
      </c>
      <c r="AW208" s="22">
        <f>INDEX($Q208:$AJ208,1,(AW$4-1)*5+1)+AW$8*INDEX($Q208:$AJ208,1,(AW$4-1)*5+2)*INDEX($Q208:$AJ208,1,(AW$4-1)*5+3)</f>
        <v/>
      </c>
      <c r="AX208" s="22">
        <f>INDEX($Q208:$AJ208,1,(AX$4-1)*5+1)+AX$8*INDEX($Q208:$AJ208,1,(AX$4-1)*5+2)*INDEX($Q208:$AJ208,1,(AX$4-1)*5+3)</f>
        <v/>
      </c>
      <c r="AY208" s="22">
        <f>INDEX($Q208:$AJ208,1,(AY$4-1)*5+1)+AY$8*INDEX($Q208:$AJ208,1,(AY$4-1)*5+2)*INDEX($Q208:$AJ208,1,(AY$4-1)*5+3)</f>
        <v/>
      </c>
      <c r="BA208" s="23">
        <f>INDEX($Q208:$AJ208,1,(BA$4-1)*5+1)+BA$8*INDEX($Q208:$AJ208,1,(BA$4-1)*5+2)*INDEX($Q208:$AJ208,1,(BA$4-1)*5+3)</f>
        <v/>
      </c>
      <c r="BB208" s="22">
        <f>INDEX($Q208:$AJ208,1,(BB$4-1)*5+1)+BB$8*INDEX($Q208:$AJ208,1,(BB$4-1)*5+2)*INDEX($Q208:$AJ208,1,(BB$4-1)*5+3)</f>
        <v/>
      </c>
      <c r="BC208" s="22">
        <f>INDEX($Q208:$AJ208,1,(BC$4-1)*5+1)+BC$8*INDEX($Q208:$AJ208,1,(BC$4-1)*5+2)*INDEX($Q208:$AJ208,1,(BC$4-1)*5+3)</f>
        <v/>
      </c>
      <c r="BD208" s="22">
        <f>INDEX($Q208:$AJ208,1,(BD$4-1)*5+1)+BD$8*INDEX($Q208:$AJ208,1,(BD$4-1)*5+2)*INDEX($Q208:$AJ208,1,(BD$4-1)*5+3)</f>
        <v/>
      </c>
      <c r="BE208" s="22">
        <f>INDEX($Q208:$AJ208,1,(BE$4-1)*5+1)+BE$8*INDEX($Q208:$AJ208,1,(BE$4-1)*5+2)*INDEX($Q208:$AJ208,1,(BE$4-1)*5+3)</f>
        <v/>
      </c>
      <c r="BF208" s="22">
        <f>INDEX($Q208:$AJ208,1,(BF$4-1)*5+1)+BF$8*INDEX($Q208:$AJ208,1,(BF$4-1)*5+2)*INDEX($Q208:$AJ208,1,(BF$4-1)*5+3)</f>
        <v/>
      </c>
      <c r="BG208" s="22">
        <f>INDEX($Q208:$AJ208,1,(BG$4-1)*5+1)+BG$8*INDEX($Q208:$AJ208,1,(BG$4-1)*5+2)*INDEX($Q208:$AJ208,1,(BG$4-1)*5+3)</f>
        <v/>
      </c>
      <c r="BH208" s="22">
        <f>INDEX($Q208:$AJ208,1,(BH$4-1)*5+1)+BH$8*INDEX($Q208:$AJ208,1,(BH$4-1)*5+2)*INDEX($Q208:$AJ208,1,(BH$4-1)*5+3)</f>
        <v/>
      </c>
      <c r="BI208" s="22">
        <f>INDEX($Q208:$AJ208,1,(BI$4-1)*5+1)+BI$8*INDEX($Q208:$AJ208,1,(BI$4-1)*5+2)*INDEX($Q208:$AJ208,1,(BI$4-1)*5+3)</f>
        <v/>
      </c>
      <c r="BJ208" s="22">
        <f>INDEX($Q208:$AJ208,1,(BJ$4-1)*5+1)+BJ$8*INDEX($Q208:$AJ208,1,(BJ$4-1)*5+2)*INDEX($Q208:$AJ208,1,(BJ$4-1)*5+3)</f>
        <v/>
      </c>
      <c r="BK208" s="22">
        <f>INDEX($Q208:$AJ208,1,(BK$4-1)*5+1)+BK$8*INDEX($Q208:$AJ208,1,(BK$4-1)*5+2)*INDEX($Q208:$AJ208,1,(BK$4-1)*5+3)</f>
        <v/>
      </c>
      <c r="BL208" s="22">
        <f>INDEX($Q208:$AJ208,1,(BL$4-1)*5+1)+BL$8*INDEX($Q208:$AJ208,1,(BL$4-1)*5+2)*INDEX($Q208:$AJ208,1,(BL$4-1)*5+3)</f>
        <v/>
      </c>
      <c r="BM208" s="22">
        <f>INDEX($Q208:$AJ208,1,(BM$4-1)*5+1)+BM$8*INDEX($Q208:$AJ208,1,(BM$4-1)*5+2)*INDEX($Q208:$AJ208,1,(BM$4-1)*5+3)</f>
        <v/>
      </c>
      <c r="BN208" s="22">
        <f>INDEX($Q208:$AJ208,1,(BN$4-1)*5+1)+BN$8*INDEX($Q208:$AJ208,1,(BN$4-1)*5+2)*INDEX($Q208:$AJ208,1,(BN$4-1)*5+3)</f>
        <v/>
      </c>
    </row>
    <row r="209">
      <c r="B209" s="5" t="inlineStr">
        <is>
          <t>lpg</t>
        </is>
      </c>
      <c r="C209" s="5" t="inlineStr">
        <is>
          <t>irn</t>
        </is>
      </c>
      <c r="D209" s="5" t="inlineStr">
        <is>
          <t>Tax | Iron &amp; steel | LPG</t>
        </is>
      </c>
      <c r="E209" s="5" t="inlineStr">
        <is>
          <t>$/GJ</t>
        </is>
      </c>
      <c r="F209" s="5" t="inlineStr">
        <is>
          <t>Prices_dom, EF_GHG, Mapping</t>
        </is>
      </c>
      <c r="G209" s="19" t="inlineStr">
        <is>
          <t>mit.rp.lpg</t>
        </is>
      </c>
      <c r="H209" s="19" t="inlineStr">
        <is>
          <t>mit.tax.lpg.irn</t>
        </is>
      </c>
      <c r="J209" s="5">
        <f>INDEX(Mapping!$C$5:$C$20,MATCH($C209,Mapping!$A$5:$A$20,0))</f>
        <v/>
      </c>
      <c r="K209" s="5">
        <f>INDEX(Mapping!$D$5:$D$20,MATCH($C209,Mapping!$A$5:$A$20,0))</f>
        <v/>
      </c>
      <c r="L209" s="5">
        <f>INDEX(Mapping!$C$24:$C$31,MATCH($B209,Mapping!$A$24:$A$31,0))</f>
        <v/>
      </c>
      <c r="M209" s="5">
        <f>INDEX(Mapping!$D$24:$D$31,MATCH($B209,Mapping!$A$24:$A$31,0))</f>
        <v/>
      </c>
      <c r="N209" s="5">
        <f>$B209&amp;"."&amp;IF(INDEX(Mapping!$E$24:$E$31,MATCH($B209,Mapping!$A$24:$A$31,0))="sub",INDEX(Mapping!$F$5:$F$20,MATCH($C209,Mapping!$A$5:$A$20,0)),"all")</f>
        <v/>
      </c>
      <c r="O209" s="5">
        <f>INDEX(Mapping!$E$5:$E$20,MATCH($C209,Mapping!$A$5:$A$20,0))</f>
        <v/>
      </c>
      <c r="P209" s="5">
        <f>INDEX(Mapping!$G$24:$G$31,MATCH($B209,Mapping!$A$24:$A$31,0))</f>
        <v/>
      </c>
      <c r="Q209" s="22">
        <f>(INDEX(Prices_dom!$A$6:$CU$2000,MATCH(Settings!$C$4&amp;Settings!$C$7,Prices_dom!$A$6:$A$2000,0),MATCH("mit.rp."&amp;$N209,Prices_dom!$A$5:$CU$5,0))-INDEX(Prices_dom!$A$6:$CU$2000,MATCH(Settings!$C$4&amp;Settings!$C$7,Prices_dom!$A$6:$A$2000,0),MATCH("mit.sp."&amp;$N209,Prices_dom!$A$5:$CU$5,0)))/$P209</f>
        <v/>
      </c>
      <c r="R209" s="22">
        <f>INDEX(EF_GHG!$E$4:$E$1000,MATCH(Settings!$C$4&amp;"|"&amp;$B209&amp;"|"&amp;$O209,EF_GHG!$A$4:$A$1000,0))</f>
        <v/>
      </c>
      <c r="S209" s="22">
        <f>INDEX(Mapping!$G$5:$G$20,MATCH($C209,Mapping!$A$5:$A$20,0))</f>
        <v/>
      </c>
      <c r="T209" s="21" t="n"/>
      <c r="U209" s="21" t="n"/>
      <c r="V209" s="22">
        <f>Q209</f>
        <v/>
      </c>
      <c r="W209" s="22">
        <f>R209</f>
        <v/>
      </c>
      <c r="X209" s="22">
        <f>S209</f>
        <v/>
      </c>
      <c r="Y209" s="21" t="n"/>
      <c r="Z209" s="21" t="n"/>
      <c r="AA209" s="22">
        <f>Q209</f>
        <v/>
      </c>
      <c r="AB209" s="22">
        <f>R209</f>
        <v/>
      </c>
      <c r="AC209" s="22">
        <f>S209</f>
        <v/>
      </c>
      <c r="AD209" s="21" t="n"/>
      <c r="AE209" s="21" t="n"/>
      <c r="AF209" s="22">
        <f>Q209</f>
        <v/>
      </c>
      <c r="AG209" s="22">
        <f>R209</f>
        <v/>
      </c>
      <c r="AH209" s="22">
        <f>S209</f>
        <v/>
      </c>
      <c r="AI209" s="21" t="n"/>
      <c r="AJ209" s="21" t="n"/>
      <c r="AL209" s="23">
        <f>INDEX($Q209:$AJ209,1,(AL$4-1)*5+1)+AL$8*INDEX($Q209:$AJ209,1,(AL$4-1)*5+2)*INDEX($Q209:$AJ209,1,(AL$4-1)*5+3)</f>
        <v/>
      </c>
      <c r="AM209" s="22">
        <f>INDEX($Q209:$AJ209,1,(AM$4-1)*5+1)+AM$8*INDEX($Q209:$AJ209,1,(AM$4-1)*5+2)*INDEX($Q209:$AJ209,1,(AM$4-1)*5+3)</f>
        <v/>
      </c>
      <c r="AN209" s="22">
        <f>INDEX($Q209:$AJ209,1,(AN$4-1)*5+1)+AN$8*INDEX($Q209:$AJ209,1,(AN$4-1)*5+2)*INDEX($Q209:$AJ209,1,(AN$4-1)*5+3)</f>
        <v/>
      </c>
      <c r="AO209" s="22">
        <f>INDEX($Q209:$AJ209,1,(AO$4-1)*5+1)+AO$8*INDEX($Q209:$AJ209,1,(AO$4-1)*5+2)*INDEX($Q209:$AJ209,1,(AO$4-1)*5+3)</f>
        <v/>
      </c>
      <c r="AP209" s="22">
        <f>INDEX($Q209:$AJ209,1,(AP$4-1)*5+1)+AP$8*INDEX($Q209:$AJ209,1,(AP$4-1)*5+2)*INDEX($Q209:$AJ209,1,(AP$4-1)*5+3)</f>
        <v/>
      </c>
      <c r="AQ209" s="22">
        <f>INDEX($Q209:$AJ209,1,(AQ$4-1)*5+1)+AQ$8*INDEX($Q209:$AJ209,1,(AQ$4-1)*5+2)*INDEX($Q209:$AJ209,1,(AQ$4-1)*5+3)</f>
        <v/>
      </c>
      <c r="AR209" s="22">
        <f>INDEX($Q209:$AJ209,1,(AR$4-1)*5+1)+AR$8*INDEX($Q209:$AJ209,1,(AR$4-1)*5+2)*INDEX($Q209:$AJ209,1,(AR$4-1)*5+3)</f>
        <v/>
      </c>
      <c r="AS209" s="22">
        <f>INDEX($Q209:$AJ209,1,(AS$4-1)*5+1)+AS$8*INDEX($Q209:$AJ209,1,(AS$4-1)*5+2)*INDEX($Q209:$AJ209,1,(AS$4-1)*5+3)</f>
        <v/>
      </c>
      <c r="AT209" s="22">
        <f>INDEX($Q209:$AJ209,1,(AT$4-1)*5+1)+AT$8*INDEX($Q209:$AJ209,1,(AT$4-1)*5+2)*INDEX($Q209:$AJ209,1,(AT$4-1)*5+3)</f>
        <v/>
      </c>
      <c r="AU209" s="22">
        <f>INDEX($Q209:$AJ209,1,(AU$4-1)*5+1)+AU$8*INDEX($Q209:$AJ209,1,(AU$4-1)*5+2)*INDEX($Q209:$AJ209,1,(AU$4-1)*5+3)</f>
        <v/>
      </c>
      <c r="AV209" s="22">
        <f>INDEX($Q209:$AJ209,1,(AV$4-1)*5+1)+AV$8*INDEX($Q209:$AJ209,1,(AV$4-1)*5+2)*INDEX($Q209:$AJ209,1,(AV$4-1)*5+3)</f>
        <v/>
      </c>
      <c r="AW209" s="22">
        <f>INDEX($Q209:$AJ209,1,(AW$4-1)*5+1)+AW$8*INDEX($Q209:$AJ209,1,(AW$4-1)*5+2)*INDEX($Q209:$AJ209,1,(AW$4-1)*5+3)</f>
        <v/>
      </c>
      <c r="AX209" s="22">
        <f>INDEX($Q209:$AJ209,1,(AX$4-1)*5+1)+AX$8*INDEX($Q209:$AJ209,1,(AX$4-1)*5+2)*INDEX($Q209:$AJ209,1,(AX$4-1)*5+3)</f>
        <v/>
      </c>
      <c r="AY209" s="22">
        <f>INDEX($Q209:$AJ209,1,(AY$4-1)*5+1)+AY$8*INDEX($Q209:$AJ209,1,(AY$4-1)*5+2)*INDEX($Q209:$AJ209,1,(AY$4-1)*5+3)</f>
        <v/>
      </c>
      <c r="BA209" s="23">
        <f>INDEX($Q209:$AJ209,1,(BA$4-1)*5+1)+BA$8*INDEX($Q209:$AJ209,1,(BA$4-1)*5+2)*INDEX($Q209:$AJ209,1,(BA$4-1)*5+3)</f>
        <v/>
      </c>
      <c r="BB209" s="22">
        <f>INDEX($Q209:$AJ209,1,(BB$4-1)*5+1)+BB$8*INDEX($Q209:$AJ209,1,(BB$4-1)*5+2)*INDEX($Q209:$AJ209,1,(BB$4-1)*5+3)</f>
        <v/>
      </c>
      <c r="BC209" s="22">
        <f>INDEX($Q209:$AJ209,1,(BC$4-1)*5+1)+BC$8*INDEX($Q209:$AJ209,1,(BC$4-1)*5+2)*INDEX($Q209:$AJ209,1,(BC$4-1)*5+3)</f>
        <v/>
      </c>
      <c r="BD209" s="22">
        <f>INDEX($Q209:$AJ209,1,(BD$4-1)*5+1)+BD$8*INDEX($Q209:$AJ209,1,(BD$4-1)*5+2)*INDEX($Q209:$AJ209,1,(BD$4-1)*5+3)</f>
        <v/>
      </c>
      <c r="BE209" s="22">
        <f>INDEX($Q209:$AJ209,1,(BE$4-1)*5+1)+BE$8*INDEX($Q209:$AJ209,1,(BE$4-1)*5+2)*INDEX($Q209:$AJ209,1,(BE$4-1)*5+3)</f>
        <v/>
      </c>
      <c r="BF209" s="22">
        <f>INDEX($Q209:$AJ209,1,(BF$4-1)*5+1)+BF$8*INDEX($Q209:$AJ209,1,(BF$4-1)*5+2)*INDEX($Q209:$AJ209,1,(BF$4-1)*5+3)</f>
        <v/>
      </c>
      <c r="BG209" s="22">
        <f>INDEX($Q209:$AJ209,1,(BG$4-1)*5+1)+BG$8*INDEX($Q209:$AJ209,1,(BG$4-1)*5+2)*INDEX($Q209:$AJ209,1,(BG$4-1)*5+3)</f>
        <v/>
      </c>
      <c r="BH209" s="22">
        <f>INDEX($Q209:$AJ209,1,(BH$4-1)*5+1)+BH$8*INDEX($Q209:$AJ209,1,(BH$4-1)*5+2)*INDEX($Q209:$AJ209,1,(BH$4-1)*5+3)</f>
        <v/>
      </c>
      <c r="BI209" s="22">
        <f>INDEX($Q209:$AJ209,1,(BI$4-1)*5+1)+BI$8*INDEX($Q209:$AJ209,1,(BI$4-1)*5+2)*INDEX($Q209:$AJ209,1,(BI$4-1)*5+3)</f>
        <v/>
      </c>
      <c r="BJ209" s="22">
        <f>INDEX($Q209:$AJ209,1,(BJ$4-1)*5+1)+BJ$8*INDEX($Q209:$AJ209,1,(BJ$4-1)*5+2)*INDEX($Q209:$AJ209,1,(BJ$4-1)*5+3)</f>
        <v/>
      </c>
      <c r="BK209" s="22">
        <f>INDEX($Q209:$AJ209,1,(BK$4-1)*5+1)+BK$8*INDEX($Q209:$AJ209,1,(BK$4-1)*5+2)*INDEX($Q209:$AJ209,1,(BK$4-1)*5+3)</f>
        <v/>
      </c>
      <c r="BL209" s="22">
        <f>INDEX($Q209:$AJ209,1,(BL$4-1)*5+1)+BL$8*INDEX($Q209:$AJ209,1,(BL$4-1)*5+2)*INDEX($Q209:$AJ209,1,(BL$4-1)*5+3)</f>
        <v/>
      </c>
      <c r="BM209" s="22">
        <f>INDEX($Q209:$AJ209,1,(BM$4-1)*5+1)+BM$8*INDEX($Q209:$AJ209,1,(BM$4-1)*5+2)*INDEX($Q209:$AJ209,1,(BM$4-1)*5+3)</f>
        <v/>
      </c>
      <c r="BN209" s="22">
        <f>INDEX($Q209:$AJ209,1,(BN$4-1)*5+1)+BN$8*INDEX($Q209:$AJ209,1,(BN$4-1)*5+2)*INDEX($Q209:$AJ209,1,(BN$4-1)*5+3)</f>
        <v/>
      </c>
    </row>
    <row r="210">
      <c r="B210" s="5" t="inlineStr">
        <is>
          <t>ker</t>
        </is>
      </c>
      <c r="C210" s="5" t="inlineStr">
        <is>
          <t>irn</t>
        </is>
      </c>
      <c r="D210" s="5" t="inlineStr">
        <is>
          <t>Tax | Iron &amp; steel | Kerosene</t>
        </is>
      </c>
      <c r="E210" s="5" t="inlineStr">
        <is>
          <t>$/GJ</t>
        </is>
      </c>
      <c r="F210" s="5" t="inlineStr">
        <is>
          <t>Prices_dom, EF_GHG, Mapping</t>
        </is>
      </c>
      <c r="G210" s="19" t="inlineStr">
        <is>
          <t>mit.rp.ker</t>
        </is>
      </c>
      <c r="H210" s="19" t="inlineStr">
        <is>
          <t>mit.tax.ker.irn</t>
        </is>
      </c>
      <c r="J210" s="5">
        <f>INDEX(Mapping!$C$5:$C$20,MATCH($C210,Mapping!$A$5:$A$20,0))</f>
        <v/>
      </c>
      <c r="K210" s="5">
        <f>INDEX(Mapping!$D$5:$D$20,MATCH($C210,Mapping!$A$5:$A$20,0))</f>
        <v/>
      </c>
      <c r="L210" s="5">
        <f>INDEX(Mapping!$C$24:$C$31,MATCH($B210,Mapping!$A$24:$A$31,0))</f>
        <v/>
      </c>
      <c r="M210" s="5">
        <f>INDEX(Mapping!$D$24:$D$31,MATCH($B210,Mapping!$A$24:$A$31,0))</f>
        <v/>
      </c>
      <c r="N210" s="5">
        <f>$B210&amp;"."&amp;IF(INDEX(Mapping!$E$24:$E$31,MATCH($B210,Mapping!$A$24:$A$31,0))="sub",INDEX(Mapping!$F$5:$F$20,MATCH($C210,Mapping!$A$5:$A$20,0)),"all")</f>
        <v/>
      </c>
      <c r="O210" s="5">
        <f>INDEX(Mapping!$E$5:$E$20,MATCH($C210,Mapping!$A$5:$A$20,0))</f>
        <v/>
      </c>
      <c r="P210" s="5">
        <f>INDEX(Mapping!$G$24:$G$31,MATCH($B210,Mapping!$A$24:$A$31,0))</f>
        <v/>
      </c>
      <c r="Q210" s="22">
        <f>(INDEX(Prices_dom!$A$6:$CU$2000,MATCH(Settings!$C$4&amp;Settings!$C$7,Prices_dom!$A$6:$A$2000,0),MATCH("mit.rp."&amp;$N210,Prices_dom!$A$5:$CU$5,0))-INDEX(Prices_dom!$A$6:$CU$2000,MATCH(Settings!$C$4&amp;Settings!$C$7,Prices_dom!$A$6:$A$2000,0),MATCH("mit.sp."&amp;$N210,Prices_dom!$A$5:$CU$5,0)))/$P210</f>
        <v/>
      </c>
      <c r="R210" s="22">
        <f>INDEX(EF_GHG!$E$4:$E$1000,MATCH(Settings!$C$4&amp;"|"&amp;$B210&amp;"|"&amp;$O210,EF_GHG!$A$4:$A$1000,0))</f>
        <v/>
      </c>
      <c r="S210" s="22">
        <f>INDEX(Mapping!$G$5:$G$20,MATCH($C210,Mapping!$A$5:$A$20,0))</f>
        <v/>
      </c>
      <c r="T210" s="21" t="n"/>
      <c r="U210" s="21" t="n"/>
      <c r="V210" s="22">
        <f>Q210</f>
        <v/>
      </c>
      <c r="W210" s="22">
        <f>R210</f>
        <v/>
      </c>
      <c r="X210" s="22">
        <f>S210</f>
        <v/>
      </c>
      <c r="Y210" s="21" t="n"/>
      <c r="Z210" s="21" t="n"/>
      <c r="AA210" s="22">
        <f>Q210</f>
        <v/>
      </c>
      <c r="AB210" s="22">
        <f>R210</f>
        <v/>
      </c>
      <c r="AC210" s="22">
        <f>S210</f>
        <v/>
      </c>
      <c r="AD210" s="21" t="n"/>
      <c r="AE210" s="21" t="n"/>
      <c r="AF210" s="22">
        <f>Q210</f>
        <v/>
      </c>
      <c r="AG210" s="22">
        <f>R210</f>
        <v/>
      </c>
      <c r="AH210" s="22">
        <f>S210</f>
        <v/>
      </c>
      <c r="AI210" s="21" t="n"/>
      <c r="AJ210" s="21" t="n"/>
      <c r="AL210" s="23">
        <f>INDEX($Q210:$AJ210,1,(AL$4-1)*5+1)+AL$8*INDEX($Q210:$AJ210,1,(AL$4-1)*5+2)*INDEX($Q210:$AJ210,1,(AL$4-1)*5+3)</f>
        <v/>
      </c>
      <c r="AM210" s="22">
        <f>INDEX($Q210:$AJ210,1,(AM$4-1)*5+1)+AM$8*INDEX($Q210:$AJ210,1,(AM$4-1)*5+2)*INDEX($Q210:$AJ210,1,(AM$4-1)*5+3)</f>
        <v/>
      </c>
      <c r="AN210" s="22">
        <f>INDEX($Q210:$AJ210,1,(AN$4-1)*5+1)+AN$8*INDEX($Q210:$AJ210,1,(AN$4-1)*5+2)*INDEX($Q210:$AJ210,1,(AN$4-1)*5+3)</f>
        <v/>
      </c>
      <c r="AO210" s="22">
        <f>INDEX($Q210:$AJ210,1,(AO$4-1)*5+1)+AO$8*INDEX($Q210:$AJ210,1,(AO$4-1)*5+2)*INDEX($Q210:$AJ210,1,(AO$4-1)*5+3)</f>
        <v/>
      </c>
      <c r="AP210" s="22">
        <f>INDEX($Q210:$AJ210,1,(AP$4-1)*5+1)+AP$8*INDEX($Q210:$AJ210,1,(AP$4-1)*5+2)*INDEX($Q210:$AJ210,1,(AP$4-1)*5+3)</f>
        <v/>
      </c>
      <c r="AQ210" s="22">
        <f>INDEX($Q210:$AJ210,1,(AQ$4-1)*5+1)+AQ$8*INDEX($Q210:$AJ210,1,(AQ$4-1)*5+2)*INDEX($Q210:$AJ210,1,(AQ$4-1)*5+3)</f>
        <v/>
      </c>
      <c r="AR210" s="22">
        <f>INDEX($Q210:$AJ210,1,(AR$4-1)*5+1)+AR$8*INDEX($Q210:$AJ210,1,(AR$4-1)*5+2)*INDEX($Q210:$AJ210,1,(AR$4-1)*5+3)</f>
        <v/>
      </c>
      <c r="AS210" s="22">
        <f>INDEX($Q210:$AJ210,1,(AS$4-1)*5+1)+AS$8*INDEX($Q210:$AJ210,1,(AS$4-1)*5+2)*INDEX($Q210:$AJ210,1,(AS$4-1)*5+3)</f>
        <v/>
      </c>
      <c r="AT210" s="22">
        <f>INDEX($Q210:$AJ210,1,(AT$4-1)*5+1)+AT$8*INDEX($Q210:$AJ210,1,(AT$4-1)*5+2)*INDEX($Q210:$AJ210,1,(AT$4-1)*5+3)</f>
        <v/>
      </c>
      <c r="AU210" s="22">
        <f>INDEX($Q210:$AJ210,1,(AU$4-1)*5+1)+AU$8*INDEX($Q210:$AJ210,1,(AU$4-1)*5+2)*INDEX($Q210:$AJ210,1,(AU$4-1)*5+3)</f>
        <v/>
      </c>
      <c r="AV210" s="22">
        <f>INDEX($Q210:$AJ210,1,(AV$4-1)*5+1)+AV$8*INDEX($Q210:$AJ210,1,(AV$4-1)*5+2)*INDEX($Q210:$AJ210,1,(AV$4-1)*5+3)</f>
        <v/>
      </c>
      <c r="AW210" s="22">
        <f>INDEX($Q210:$AJ210,1,(AW$4-1)*5+1)+AW$8*INDEX($Q210:$AJ210,1,(AW$4-1)*5+2)*INDEX($Q210:$AJ210,1,(AW$4-1)*5+3)</f>
        <v/>
      </c>
      <c r="AX210" s="22">
        <f>INDEX($Q210:$AJ210,1,(AX$4-1)*5+1)+AX$8*INDEX($Q210:$AJ210,1,(AX$4-1)*5+2)*INDEX($Q210:$AJ210,1,(AX$4-1)*5+3)</f>
        <v/>
      </c>
      <c r="AY210" s="22">
        <f>INDEX($Q210:$AJ210,1,(AY$4-1)*5+1)+AY$8*INDEX($Q210:$AJ210,1,(AY$4-1)*5+2)*INDEX($Q210:$AJ210,1,(AY$4-1)*5+3)</f>
        <v/>
      </c>
      <c r="BA210" s="23">
        <f>INDEX($Q210:$AJ210,1,(BA$4-1)*5+1)+BA$8*INDEX($Q210:$AJ210,1,(BA$4-1)*5+2)*INDEX($Q210:$AJ210,1,(BA$4-1)*5+3)</f>
        <v/>
      </c>
      <c r="BB210" s="22">
        <f>INDEX($Q210:$AJ210,1,(BB$4-1)*5+1)+BB$8*INDEX($Q210:$AJ210,1,(BB$4-1)*5+2)*INDEX($Q210:$AJ210,1,(BB$4-1)*5+3)</f>
        <v/>
      </c>
      <c r="BC210" s="22">
        <f>INDEX($Q210:$AJ210,1,(BC$4-1)*5+1)+BC$8*INDEX($Q210:$AJ210,1,(BC$4-1)*5+2)*INDEX($Q210:$AJ210,1,(BC$4-1)*5+3)</f>
        <v/>
      </c>
      <c r="BD210" s="22">
        <f>INDEX($Q210:$AJ210,1,(BD$4-1)*5+1)+BD$8*INDEX($Q210:$AJ210,1,(BD$4-1)*5+2)*INDEX($Q210:$AJ210,1,(BD$4-1)*5+3)</f>
        <v/>
      </c>
      <c r="BE210" s="22">
        <f>INDEX($Q210:$AJ210,1,(BE$4-1)*5+1)+BE$8*INDEX($Q210:$AJ210,1,(BE$4-1)*5+2)*INDEX($Q210:$AJ210,1,(BE$4-1)*5+3)</f>
        <v/>
      </c>
      <c r="BF210" s="22">
        <f>INDEX($Q210:$AJ210,1,(BF$4-1)*5+1)+BF$8*INDEX($Q210:$AJ210,1,(BF$4-1)*5+2)*INDEX($Q210:$AJ210,1,(BF$4-1)*5+3)</f>
        <v/>
      </c>
      <c r="BG210" s="22">
        <f>INDEX($Q210:$AJ210,1,(BG$4-1)*5+1)+BG$8*INDEX($Q210:$AJ210,1,(BG$4-1)*5+2)*INDEX($Q210:$AJ210,1,(BG$4-1)*5+3)</f>
        <v/>
      </c>
      <c r="BH210" s="22">
        <f>INDEX($Q210:$AJ210,1,(BH$4-1)*5+1)+BH$8*INDEX($Q210:$AJ210,1,(BH$4-1)*5+2)*INDEX($Q210:$AJ210,1,(BH$4-1)*5+3)</f>
        <v/>
      </c>
      <c r="BI210" s="22">
        <f>INDEX($Q210:$AJ210,1,(BI$4-1)*5+1)+BI$8*INDEX($Q210:$AJ210,1,(BI$4-1)*5+2)*INDEX($Q210:$AJ210,1,(BI$4-1)*5+3)</f>
        <v/>
      </c>
      <c r="BJ210" s="22">
        <f>INDEX($Q210:$AJ210,1,(BJ$4-1)*5+1)+BJ$8*INDEX($Q210:$AJ210,1,(BJ$4-1)*5+2)*INDEX($Q210:$AJ210,1,(BJ$4-1)*5+3)</f>
        <v/>
      </c>
      <c r="BK210" s="22">
        <f>INDEX($Q210:$AJ210,1,(BK$4-1)*5+1)+BK$8*INDEX($Q210:$AJ210,1,(BK$4-1)*5+2)*INDEX($Q210:$AJ210,1,(BK$4-1)*5+3)</f>
        <v/>
      </c>
      <c r="BL210" s="22">
        <f>INDEX($Q210:$AJ210,1,(BL$4-1)*5+1)+BL$8*INDEX($Q210:$AJ210,1,(BL$4-1)*5+2)*INDEX($Q210:$AJ210,1,(BL$4-1)*5+3)</f>
        <v/>
      </c>
      <c r="BM210" s="22">
        <f>INDEX($Q210:$AJ210,1,(BM$4-1)*5+1)+BM$8*INDEX($Q210:$AJ210,1,(BM$4-1)*5+2)*INDEX($Q210:$AJ210,1,(BM$4-1)*5+3)</f>
        <v/>
      </c>
      <c r="BN210" s="22">
        <f>INDEX($Q210:$AJ210,1,(BN$4-1)*5+1)+BN$8*INDEX($Q210:$AJ210,1,(BN$4-1)*5+2)*INDEX($Q210:$AJ210,1,(BN$4-1)*5+3)</f>
        <v/>
      </c>
    </row>
    <row r="211">
      <c r="B211" s="5" t="inlineStr">
        <is>
          <t>oop</t>
        </is>
      </c>
      <c r="C211" s="5" t="inlineStr">
        <is>
          <t>irn</t>
        </is>
      </c>
      <c r="D211" s="5" t="inlineStr">
        <is>
          <t>Tax | Iron &amp; steel | Other oil products</t>
        </is>
      </c>
      <c r="E211" s="5" t="inlineStr">
        <is>
          <t>$/GJ</t>
        </is>
      </c>
      <c r="F211" s="5" t="inlineStr">
        <is>
          <t>Prices_dom, EF_GHG, Mapping</t>
        </is>
      </c>
      <c r="G211" s="19" t="inlineStr">
        <is>
          <t>mit.rp.oop</t>
        </is>
      </c>
      <c r="H211" s="19" t="inlineStr">
        <is>
          <t>mit.tax.oop.irn</t>
        </is>
      </c>
      <c r="J211" s="5">
        <f>INDEX(Mapping!$C$5:$C$20,MATCH($C211,Mapping!$A$5:$A$20,0))</f>
        <v/>
      </c>
      <c r="K211" s="5">
        <f>INDEX(Mapping!$D$5:$D$20,MATCH($C211,Mapping!$A$5:$A$20,0))</f>
        <v/>
      </c>
      <c r="L211" s="5">
        <f>INDEX(Mapping!$C$24:$C$31,MATCH($B211,Mapping!$A$24:$A$31,0))</f>
        <v/>
      </c>
      <c r="M211" s="5">
        <f>INDEX(Mapping!$D$24:$D$31,MATCH($B211,Mapping!$A$24:$A$31,0))</f>
        <v/>
      </c>
      <c r="N211" s="5">
        <f>$B211&amp;"."&amp;IF(INDEX(Mapping!$E$24:$E$31,MATCH($B211,Mapping!$A$24:$A$31,0))="sub",INDEX(Mapping!$F$5:$F$20,MATCH($C211,Mapping!$A$5:$A$20,0)),"all")</f>
        <v/>
      </c>
      <c r="O211" s="5">
        <f>INDEX(Mapping!$E$5:$E$20,MATCH($C211,Mapping!$A$5:$A$20,0))</f>
        <v/>
      </c>
      <c r="P211" s="5">
        <f>INDEX(Mapping!$G$24:$G$31,MATCH($B211,Mapping!$A$24:$A$31,0))</f>
        <v/>
      </c>
      <c r="Q211" s="22">
        <f>(INDEX(Prices_dom!$A$6:$CU$2000,MATCH(Settings!$C$4&amp;Settings!$C$7,Prices_dom!$A$6:$A$2000,0),MATCH("mit.rp."&amp;$N211,Prices_dom!$A$5:$CU$5,0))-INDEX(Prices_dom!$A$6:$CU$2000,MATCH(Settings!$C$4&amp;Settings!$C$7,Prices_dom!$A$6:$A$2000,0),MATCH("mit.sp."&amp;$N211,Prices_dom!$A$5:$CU$5,0)))/$P211</f>
        <v/>
      </c>
      <c r="R211" s="22">
        <f>INDEX(EF_GHG!$E$4:$E$1000,MATCH(Settings!$C$4&amp;"|"&amp;$B211&amp;"|"&amp;$O211,EF_GHG!$A$4:$A$1000,0))</f>
        <v/>
      </c>
      <c r="S211" s="22">
        <f>INDEX(Mapping!$G$5:$G$20,MATCH($C211,Mapping!$A$5:$A$20,0))</f>
        <v/>
      </c>
      <c r="T211" s="21" t="n"/>
      <c r="U211" s="21" t="n"/>
      <c r="V211" s="22">
        <f>Q211</f>
        <v/>
      </c>
      <c r="W211" s="22">
        <f>R211</f>
        <v/>
      </c>
      <c r="X211" s="22">
        <f>S211</f>
        <v/>
      </c>
      <c r="Y211" s="21" t="n"/>
      <c r="Z211" s="21" t="n"/>
      <c r="AA211" s="22">
        <f>Q211</f>
        <v/>
      </c>
      <c r="AB211" s="22">
        <f>R211</f>
        <v/>
      </c>
      <c r="AC211" s="22">
        <f>S211</f>
        <v/>
      </c>
      <c r="AD211" s="21" t="n"/>
      <c r="AE211" s="21" t="n"/>
      <c r="AF211" s="22">
        <f>Q211</f>
        <v/>
      </c>
      <c r="AG211" s="22">
        <f>R211</f>
        <v/>
      </c>
      <c r="AH211" s="22">
        <f>S211</f>
        <v/>
      </c>
      <c r="AI211" s="21" t="n"/>
      <c r="AJ211" s="21" t="n"/>
      <c r="AL211" s="23">
        <f>INDEX($Q211:$AJ211,1,(AL$4-1)*5+1)+AL$8*INDEX($Q211:$AJ211,1,(AL$4-1)*5+2)*INDEX($Q211:$AJ211,1,(AL$4-1)*5+3)</f>
        <v/>
      </c>
      <c r="AM211" s="22">
        <f>INDEX($Q211:$AJ211,1,(AM$4-1)*5+1)+AM$8*INDEX($Q211:$AJ211,1,(AM$4-1)*5+2)*INDEX($Q211:$AJ211,1,(AM$4-1)*5+3)</f>
        <v/>
      </c>
      <c r="AN211" s="22">
        <f>INDEX($Q211:$AJ211,1,(AN$4-1)*5+1)+AN$8*INDEX($Q211:$AJ211,1,(AN$4-1)*5+2)*INDEX($Q211:$AJ211,1,(AN$4-1)*5+3)</f>
        <v/>
      </c>
      <c r="AO211" s="22">
        <f>INDEX($Q211:$AJ211,1,(AO$4-1)*5+1)+AO$8*INDEX($Q211:$AJ211,1,(AO$4-1)*5+2)*INDEX($Q211:$AJ211,1,(AO$4-1)*5+3)</f>
        <v/>
      </c>
      <c r="AP211" s="22">
        <f>INDEX($Q211:$AJ211,1,(AP$4-1)*5+1)+AP$8*INDEX($Q211:$AJ211,1,(AP$4-1)*5+2)*INDEX($Q211:$AJ211,1,(AP$4-1)*5+3)</f>
        <v/>
      </c>
      <c r="AQ211" s="22">
        <f>INDEX($Q211:$AJ211,1,(AQ$4-1)*5+1)+AQ$8*INDEX($Q211:$AJ211,1,(AQ$4-1)*5+2)*INDEX($Q211:$AJ211,1,(AQ$4-1)*5+3)</f>
        <v/>
      </c>
      <c r="AR211" s="22">
        <f>INDEX($Q211:$AJ211,1,(AR$4-1)*5+1)+AR$8*INDEX($Q211:$AJ211,1,(AR$4-1)*5+2)*INDEX($Q211:$AJ211,1,(AR$4-1)*5+3)</f>
        <v/>
      </c>
      <c r="AS211" s="22">
        <f>INDEX($Q211:$AJ211,1,(AS$4-1)*5+1)+AS$8*INDEX($Q211:$AJ211,1,(AS$4-1)*5+2)*INDEX($Q211:$AJ211,1,(AS$4-1)*5+3)</f>
        <v/>
      </c>
      <c r="AT211" s="22">
        <f>INDEX($Q211:$AJ211,1,(AT$4-1)*5+1)+AT$8*INDEX($Q211:$AJ211,1,(AT$4-1)*5+2)*INDEX($Q211:$AJ211,1,(AT$4-1)*5+3)</f>
        <v/>
      </c>
      <c r="AU211" s="22">
        <f>INDEX($Q211:$AJ211,1,(AU$4-1)*5+1)+AU$8*INDEX($Q211:$AJ211,1,(AU$4-1)*5+2)*INDEX($Q211:$AJ211,1,(AU$4-1)*5+3)</f>
        <v/>
      </c>
      <c r="AV211" s="22">
        <f>INDEX($Q211:$AJ211,1,(AV$4-1)*5+1)+AV$8*INDEX($Q211:$AJ211,1,(AV$4-1)*5+2)*INDEX($Q211:$AJ211,1,(AV$4-1)*5+3)</f>
        <v/>
      </c>
      <c r="AW211" s="22">
        <f>INDEX($Q211:$AJ211,1,(AW$4-1)*5+1)+AW$8*INDEX($Q211:$AJ211,1,(AW$4-1)*5+2)*INDEX($Q211:$AJ211,1,(AW$4-1)*5+3)</f>
        <v/>
      </c>
      <c r="AX211" s="22">
        <f>INDEX($Q211:$AJ211,1,(AX$4-1)*5+1)+AX$8*INDEX($Q211:$AJ211,1,(AX$4-1)*5+2)*INDEX($Q211:$AJ211,1,(AX$4-1)*5+3)</f>
        <v/>
      </c>
      <c r="AY211" s="22">
        <f>INDEX($Q211:$AJ211,1,(AY$4-1)*5+1)+AY$8*INDEX($Q211:$AJ211,1,(AY$4-1)*5+2)*INDEX($Q211:$AJ211,1,(AY$4-1)*5+3)</f>
        <v/>
      </c>
      <c r="BA211" s="23">
        <f>INDEX($Q211:$AJ211,1,(BA$4-1)*5+1)+BA$8*INDEX($Q211:$AJ211,1,(BA$4-1)*5+2)*INDEX($Q211:$AJ211,1,(BA$4-1)*5+3)</f>
        <v/>
      </c>
      <c r="BB211" s="22">
        <f>INDEX($Q211:$AJ211,1,(BB$4-1)*5+1)+BB$8*INDEX($Q211:$AJ211,1,(BB$4-1)*5+2)*INDEX($Q211:$AJ211,1,(BB$4-1)*5+3)</f>
        <v/>
      </c>
      <c r="BC211" s="22">
        <f>INDEX($Q211:$AJ211,1,(BC$4-1)*5+1)+BC$8*INDEX($Q211:$AJ211,1,(BC$4-1)*5+2)*INDEX($Q211:$AJ211,1,(BC$4-1)*5+3)</f>
        <v/>
      </c>
      <c r="BD211" s="22">
        <f>INDEX($Q211:$AJ211,1,(BD$4-1)*5+1)+BD$8*INDEX($Q211:$AJ211,1,(BD$4-1)*5+2)*INDEX($Q211:$AJ211,1,(BD$4-1)*5+3)</f>
        <v/>
      </c>
      <c r="BE211" s="22">
        <f>INDEX($Q211:$AJ211,1,(BE$4-1)*5+1)+BE$8*INDEX($Q211:$AJ211,1,(BE$4-1)*5+2)*INDEX($Q211:$AJ211,1,(BE$4-1)*5+3)</f>
        <v/>
      </c>
      <c r="BF211" s="22">
        <f>INDEX($Q211:$AJ211,1,(BF$4-1)*5+1)+BF$8*INDEX($Q211:$AJ211,1,(BF$4-1)*5+2)*INDEX($Q211:$AJ211,1,(BF$4-1)*5+3)</f>
        <v/>
      </c>
      <c r="BG211" s="22">
        <f>INDEX($Q211:$AJ211,1,(BG$4-1)*5+1)+BG$8*INDEX($Q211:$AJ211,1,(BG$4-1)*5+2)*INDEX($Q211:$AJ211,1,(BG$4-1)*5+3)</f>
        <v/>
      </c>
      <c r="BH211" s="22">
        <f>INDEX($Q211:$AJ211,1,(BH$4-1)*5+1)+BH$8*INDEX($Q211:$AJ211,1,(BH$4-1)*5+2)*INDEX($Q211:$AJ211,1,(BH$4-1)*5+3)</f>
        <v/>
      </c>
      <c r="BI211" s="22">
        <f>INDEX($Q211:$AJ211,1,(BI$4-1)*5+1)+BI$8*INDEX($Q211:$AJ211,1,(BI$4-1)*5+2)*INDEX($Q211:$AJ211,1,(BI$4-1)*5+3)</f>
        <v/>
      </c>
      <c r="BJ211" s="22">
        <f>INDEX($Q211:$AJ211,1,(BJ$4-1)*5+1)+BJ$8*INDEX($Q211:$AJ211,1,(BJ$4-1)*5+2)*INDEX($Q211:$AJ211,1,(BJ$4-1)*5+3)</f>
        <v/>
      </c>
      <c r="BK211" s="22">
        <f>INDEX($Q211:$AJ211,1,(BK$4-1)*5+1)+BK$8*INDEX($Q211:$AJ211,1,(BK$4-1)*5+2)*INDEX($Q211:$AJ211,1,(BK$4-1)*5+3)</f>
        <v/>
      </c>
      <c r="BL211" s="22">
        <f>INDEX($Q211:$AJ211,1,(BL$4-1)*5+1)+BL$8*INDEX($Q211:$AJ211,1,(BL$4-1)*5+2)*INDEX($Q211:$AJ211,1,(BL$4-1)*5+3)</f>
        <v/>
      </c>
      <c r="BM211" s="22">
        <f>INDEX($Q211:$AJ211,1,(BM$4-1)*5+1)+BM$8*INDEX($Q211:$AJ211,1,(BM$4-1)*5+2)*INDEX($Q211:$AJ211,1,(BM$4-1)*5+3)</f>
        <v/>
      </c>
      <c r="BN211" s="22">
        <f>INDEX($Q211:$AJ211,1,(BN$4-1)*5+1)+BN$8*INDEX($Q211:$AJ211,1,(BN$4-1)*5+2)*INDEX($Q211:$AJ211,1,(BN$4-1)*5+3)</f>
        <v/>
      </c>
    </row>
    <row r="212">
      <c r="B212" s="5" t="inlineStr">
        <is>
          <t>bio</t>
        </is>
      </c>
      <c r="C212" s="5" t="inlineStr">
        <is>
          <t>irn</t>
        </is>
      </c>
      <c r="D212" s="5" t="inlineStr">
        <is>
          <t>Tax | Iron &amp; steel | Biomass</t>
        </is>
      </c>
      <c r="E212" s="5" t="inlineStr">
        <is>
          <t>$/GJ</t>
        </is>
      </c>
      <c r="F212" s="5" t="inlineStr">
        <is>
          <t>Prices_dom, EF_GHG, Mapping</t>
        </is>
      </c>
      <c r="G212" s="19" t="inlineStr">
        <is>
          <t>mit.rp.bio</t>
        </is>
      </c>
      <c r="H212" s="19" t="inlineStr">
        <is>
          <t>mit.tax.bio.irn</t>
        </is>
      </c>
      <c r="J212" s="5">
        <f>INDEX(Mapping!$C$5:$C$20,MATCH($C212,Mapping!$A$5:$A$20,0))</f>
        <v/>
      </c>
      <c r="K212" s="5">
        <f>INDEX(Mapping!$D$5:$D$20,MATCH($C212,Mapping!$A$5:$A$20,0))</f>
        <v/>
      </c>
      <c r="L212" s="5">
        <f>INDEX(Mapping!$C$24:$C$31,MATCH($B212,Mapping!$A$24:$A$31,0))</f>
        <v/>
      </c>
      <c r="M212" s="5">
        <f>INDEX(Mapping!$D$24:$D$31,MATCH($B212,Mapping!$A$24:$A$31,0))</f>
        <v/>
      </c>
      <c r="N212" s="5">
        <f>$B212&amp;"."&amp;IF(INDEX(Mapping!$E$24:$E$31,MATCH($B212,Mapping!$A$24:$A$31,0))="sub",INDEX(Mapping!$F$5:$F$20,MATCH($C212,Mapping!$A$5:$A$20,0)),"all")</f>
        <v/>
      </c>
      <c r="O212" s="5">
        <f>INDEX(Mapping!$E$5:$E$20,MATCH($C212,Mapping!$A$5:$A$20,0))</f>
        <v/>
      </c>
      <c r="P212" s="5">
        <f>INDEX(Mapping!$G$24:$G$31,MATCH($B212,Mapping!$A$24:$A$31,0))</f>
        <v/>
      </c>
      <c r="Q212" s="22">
        <f>(INDEX(Prices_dom!$A$6:$CU$2000,MATCH(Settings!$C$4&amp;Settings!$C$7,Prices_dom!$A$6:$A$2000,0),MATCH("mit.rp."&amp;$N212,Prices_dom!$A$5:$CU$5,0))-INDEX(Prices_dom!$A$6:$CU$2000,MATCH(Settings!$C$4&amp;Settings!$C$7,Prices_dom!$A$6:$A$2000,0),MATCH("mit.sp."&amp;$N212,Prices_dom!$A$5:$CU$5,0)))/$P212</f>
        <v/>
      </c>
      <c r="R212" s="22">
        <f>INDEX(EF_GHG!$E$4:$E$1000,MATCH(Settings!$C$4&amp;"|"&amp;$B212&amp;"|"&amp;$O212,EF_GHG!$A$4:$A$1000,0))</f>
        <v/>
      </c>
      <c r="S212" s="22">
        <f>INDEX(Mapping!$G$5:$G$20,MATCH($C212,Mapping!$A$5:$A$20,0))</f>
        <v/>
      </c>
      <c r="T212" s="21" t="n"/>
      <c r="U212" s="21" t="n"/>
      <c r="V212" s="22">
        <f>Q212</f>
        <v/>
      </c>
      <c r="W212" s="22">
        <f>R212</f>
        <v/>
      </c>
      <c r="X212" s="22">
        <f>S212</f>
        <v/>
      </c>
      <c r="Y212" s="21" t="n"/>
      <c r="Z212" s="21" t="n"/>
      <c r="AA212" s="22">
        <f>Q212</f>
        <v/>
      </c>
      <c r="AB212" s="22">
        <f>R212</f>
        <v/>
      </c>
      <c r="AC212" s="22">
        <f>S212</f>
        <v/>
      </c>
      <c r="AD212" s="21" t="n"/>
      <c r="AE212" s="21" t="n"/>
      <c r="AF212" s="22">
        <f>Q212</f>
        <v/>
      </c>
      <c r="AG212" s="22">
        <f>R212</f>
        <v/>
      </c>
      <c r="AH212" s="22">
        <f>S212</f>
        <v/>
      </c>
      <c r="AI212" s="21" t="n"/>
      <c r="AJ212" s="21" t="n"/>
      <c r="AL212" s="23">
        <f>INDEX($Q212:$AJ212,1,(AL$4-1)*5+1)+AL$8*INDEX($Q212:$AJ212,1,(AL$4-1)*5+2)*INDEX($Q212:$AJ212,1,(AL$4-1)*5+3)</f>
        <v/>
      </c>
      <c r="AM212" s="22">
        <f>INDEX($Q212:$AJ212,1,(AM$4-1)*5+1)+AM$8*INDEX($Q212:$AJ212,1,(AM$4-1)*5+2)*INDEX($Q212:$AJ212,1,(AM$4-1)*5+3)</f>
        <v/>
      </c>
      <c r="AN212" s="22">
        <f>INDEX($Q212:$AJ212,1,(AN$4-1)*5+1)+AN$8*INDEX($Q212:$AJ212,1,(AN$4-1)*5+2)*INDEX($Q212:$AJ212,1,(AN$4-1)*5+3)</f>
        <v/>
      </c>
      <c r="AO212" s="22">
        <f>INDEX($Q212:$AJ212,1,(AO$4-1)*5+1)+AO$8*INDEX($Q212:$AJ212,1,(AO$4-1)*5+2)*INDEX($Q212:$AJ212,1,(AO$4-1)*5+3)</f>
        <v/>
      </c>
      <c r="AP212" s="22">
        <f>INDEX($Q212:$AJ212,1,(AP$4-1)*5+1)+AP$8*INDEX($Q212:$AJ212,1,(AP$4-1)*5+2)*INDEX($Q212:$AJ212,1,(AP$4-1)*5+3)</f>
        <v/>
      </c>
      <c r="AQ212" s="22">
        <f>INDEX($Q212:$AJ212,1,(AQ$4-1)*5+1)+AQ$8*INDEX($Q212:$AJ212,1,(AQ$4-1)*5+2)*INDEX($Q212:$AJ212,1,(AQ$4-1)*5+3)</f>
        <v/>
      </c>
      <c r="AR212" s="22">
        <f>INDEX($Q212:$AJ212,1,(AR$4-1)*5+1)+AR$8*INDEX($Q212:$AJ212,1,(AR$4-1)*5+2)*INDEX($Q212:$AJ212,1,(AR$4-1)*5+3)</f>
        <v/>
      </c>
      <c r="AS212" s="22">
        <f>INDEX($Q212:$AJ212,1,(AS$4-1)*5+1)+AS$8*INDEX($Q212:$AJ212,1,(AS$4-1)*5+2)*INDEX($Q212:$AJ212,1,(AS$4-1)*5+3)</f>
        <v/>
      </c>
      <c r="AT212" s="22">
        <f>INDEX($Q212:$AJ212,1,(AT$4-1)*5+1)+AT$8*INDEX($Q212:$AJ212,1,(AT$4-1)*5+2)*INDEX($Q212:$AJ212,1,(AT$4-1)*5+3)</f>
        <v/>
      </c>
      <c r="AU212" s="22">
        <f>INDEX($Q212:$AJ212,1,(AU$4-1)*5+1)+AU$8*INDEX($Q212:$AJ212,1,(AU$4-1)*5+2)*INDEX($Q212:$AJ212,1,(AU$4-1)*5+3)</f>
        <v/>
      </c>
      <c r="AV212" s="22">
        <f>INDEX($Q212:$AJ212,1,(AV$4-1)*5+1)+AV$8*INDEX($Q212:$AJ212,1,(AV$4-1)*5+2)*INDEX($Q212:$AJ212,1,(AV$4-1)*5+3)</f>
        <v/>
      </c>
      <c r="AW212" s="22">
        <f>INDEX($Q212:$AJ212,1,(AW$4-1)*5+1)+AW$8*INDEX($Q212:$AJ212,1,(AW$4-1)*5+2)*INDEX($Q212:$AJ212,1,(AW$4-1)*5+3)</f>
        <v/>
      </c>
      <c r="AX212" s="22">
        <f>INDEX($Q212:$AJ212,1,(AX$4-1)*5+1)+AX$8*INDEX($Q212:$AJ212,1,(AX$4-1)*5+2)*INDEX($Q212:$AJ212,1,(AX$4-1)*5+3)</f>
        <v/>
      </c>
      <c r="AY212" s="22">
        <f>INDEX($Q212:$AJ212,1,(AY$4-1)*5+1)+AY$8*INDEX($Q212:$AJ212,1,(AY$4-1)*5+2)*INDEX($Q212:$AJ212,1,(AY$4-1)*5+3)</f>
        <v/>
      </c>
      <c r="BA212" s="23">
        <f>INDEX($Q212:$AJ212,1,(BA$4-1)*5+1)+BA$8*INDEX($Q212:$AJ212,1,(BA$4-1)*5+2)*INDEX($Q212:$AJ212,1,(BA$4-1)*5+3)</f>
        <v/>
      </c>
      <c r="BB212" s="22">
        <f>INDEX($Q212:$AJ212,1,(BB$4-1)*5+1)+BB$8*INDEX($Q212:$AJ212,1,(BB$4-1)*5+2)*INDEX($Q212:$AJ212,1,(BB$4-1)*5+3)</f>
        <v/>
      </c>
      <c r="BC212" s="22">
        <f>INDEX($Q212:$AJ212,1,(BC$4-1)*5+1)+BC$8*INDEX($Q212:$AJ212,1,(BC$4-1)*5+2)*INDEX($Q212:$AJ212,1,(BC$4-1)*5+3)</f>
        <v/>
      </c>
      <c r="BD212" s="22">
        <f>INDEX($Q212:$AJ212,1,(BD$4-1)*5+1)+BD$8*INDEX($Q212:$AJ212,1,(BD$4-1)*5+2)*INDEX($Q212:$AJ212,1,(BD$4-1)*5+3)</f>
        <v/>
      </c>
      <c r="BE212" s="22">
        <f>INDEX($Q212:$AJ212,1,(BE$4-1)*5+1)+BE$8*INDEX($Q212:$AJ212,1,(BE$4-1)*5+2)*INDEX($Q212:$AJ212,1,(BE$4-1)*5+3)</f>
        <v/>
      </c>
      <c r="BF212" s="22">
        <f>INDEX($Q212:$AJ212,1,(BF$4-1)*5+1)+BF$8*INDEX($Q212:$AJ212,1,(BF$4-1)*5+2)*INDEX($Q212:$AJ212,1,(BF$4-1)*5+3)</f>
        <v/>
      </c>
      <c r="BG212" s="22">
        <f>INDEX($Q212:$AJ212,1,(BG$4-1)*5+1)+BG$8*INDEX($Q212:$AJ212,1,(BG$4-1)*5+2)*INDEX($Q212:$AJ212,1,(BG$4-1)*5+3)</f>
        <v/>
      </c>
      <c r="BH212" s="22">
        <f>INDEX($Q212:$AJ212,1,(BH$4-1)*5+1)+BH$8*INDEX($Q212:$AJ212,1,(BH$4-1)*5+2)*INDEX($Q212:$AJ212,1,(BH$4-1)*5+3)</f>
        <v/>
      </c>
      <c r="BI212" s="22">
        <f>INDEX($Q212:$AJ212,1,(BI$4-1)*5+1)+BI$8*INDEX($Q212:$AJ212,1,(BI$4-1)*5+2)*INDEX($Q212:$AJ212,1,(BI$4-1)*5+3)</f>
        <v/>
      </c>
      <c r="BJ212" s="22">
        <f>INDEX($Q212:$AJ212,1,(BJ$4-1)*5+1)+BJ$8*INDEX($Q212:$AJ212,1,(BJ$4-1)*5+2)*INDEX($Q212:$AJ212,1,(BJ$4-1)*5+3)</f>
        <v/>
      </c>
      <c r="BK212" s="22">
        <f>INDEX($Q212:$AJ212,1,(BK$4-1)*5+1)+BK$8*INDEX($Q212:$AJ212,1,(BK$4-1)*5+2)*INDEX($Q212:$AJ212,1,(BK$4-1)*5+3)</f>
        <v/>
      </c>
      <c r="BL212" s="22">
        <f>INDEX($Q212:$AJ212,1,(BL$4-1)*5+1)+BL$8*INDEX($Q212:$AJ212,1,(BL$4-1)*5+2)*INDEX($Q212:$AJ212,1,(BL$4-1)*5+3)</f>
        <v/>
      </c>
      <c r="BM212" s="22">
        <f>INDEX($Q212:$AJ212,1,(BM$4-1)*5+1)+BM$8*INDEX($Q212:$AJ212,1,(BM$4-1)*5+2)*INDEX($Q212:$AJ212,1,(BM$4-1)*5+3)</f>
        <v/>
      </c>
      <c r="BN212" s="22">
        <f>INDEX($Q212:$AJ212,1,(BN$4-1)*5+1)+BN$8*INDEX($Q212:$AJ212,1,(BN$4-1)*5+2)*INDEX($Q212:$AJ212,1,(BN$4-1)*5+3)</f>
        <v/>
      </c>
    </row>
    <row r="213">
      <c r="B213" s="5" t="inlineStr">
        <is>
          <t>coa</t>
        </is>
      </c>
      <c r="C213" s="5" t="inlineStr">
        <is>
          <t>nfm</t>
        </is>
      </c>
      <c r="D213" s="5" t="inlineStr">
        <is>
          <t>Tax | Other metals | Coal</t>
        </is>
      </c>
      <c r="E213" s="5" t="inlineStr">
        <is>
          <t>$/GJ</t>
        </is>
      </c>
      <c r="F213" s="5" t="inlineStr">
        <is>
          <t>Prices_dom, EF_GHG, Mapping</t>
        </is>
      </c>
      <c r="G213" s="19" t="inlineStr">
        <is>
          <t>mit.rp.coa</t>
        </is>
      </c>
      <c r="H213" s="19" t="inlineStr">
        <is>
          <t>mit.tax.coa.nfm</t>
        </is>
      </c>
      <c r="J213" s="5">
        <f>INDEX(Mapping!$C$5:$C$20,MATCH($C213,Mapping!$A$5:$A$20,0))</f>
        <v/>
      </c>
      <c r="K213" s="5">
        <f>INDEX(Mapping!$D$5:$D$20,MATCH($C213,Mapping!$A$5:$A$20,0))</f>
        <v/>
      </c>
      <c r="L213" s="5">
        <f>INDEX(Mapping!$C$24:$C$31,MATCH($B213,Mapping!$A$24:$A$31,0))</f>
        <v/>
      </c>
      <c r="M213" s="5">
        <f>INDEX(Mapping!$D$24:$D$31,MATCH($B213,Mapping!$A$24:$A$31,0))</f>
        <v/>
      </c>
      <c r="N213" s="5">
        <f>$B213&amp;"."&amp;IF(INDEX(Mapping!$E$24:$E$31,MATCH($B213,Mapping!$A$24:$A$31,0))="sub",INDEX(Mapping!$F$5:$F$20,MATCH($C213,Mapping!$A$5:$A$20,0)),"all")</f>
        <v/>
      </c>
      <c r="O213" s="5">
        <f>INDEX(Mapping!$E$5:$E$20,MATCH($C213,Mapping!$A$5:$A$20,0))</f>
        <v/>
      </c>
      <c r="P213" s="5">
        <f>INDEX(Mapping!$G$24:$G$31,MATCH($B213,Mapping!$A$24:$A$31,0))</f>
        <v/>
      </c>
      <c r="Q213" s="22">
        <f>(INDEX(Prices_dom!$A$6:$CU$2000,MATCH(Settings!$C$4&amp;Settings!$C$7,Prices_dom!$A$6:$A$2000,0),MATCH("mit.rp."&amp;$N213,Prices_dom!$A$5:$CU$5,0))-INDEX(Prices_dom!$A$6:$CU$2000,MATCH(Settings!$C$4&amp;Settings!$C$7,Prices_dom!$A$6:$A$2000,0),MATCH("mit.sp."&amp;$N213,Prices_dom!$A$5:$CU$5,0)))/$P213</f>
        <v/>
      </c>
      <c r="R213" s="22">
        <f>INDEX(EF_GHG!$E$4:$E$1000,MATCH(Settings!$C$4&amp;"|"&amp;$B213&amp;"|"&amp;$O213,EF_GHG!$A$4:$A$1000,0))</f>
        <v/>
      </c>
      <c r="S213" s="22">
        <f>INDEX(Mapping!$G$5:$G$20,MATCH($C213,Mapping!$A$5:$A$20,0))</f>
        <v/>
      </c>
      <c r="T213" s="21" t="n"/>
      <c r="U213" s="21" t="n"/>
      <c r="V213" s="22">
        <f>Q213</f>
        <v/>
      </c>
      <c r="W213" s="22">
        <f>R213</f>
        <v/>
      </c>
      <c r="X213" s="22">
        <f>S213</f>
        <v/>
      </c>
      <c r="Y213" s="21" t="n"/>
      <c r="Z213" s="21" t="n"/>
      <c r="AA213" s="22">
        <f>Q213</f>
        <v/>
      </c>
      <c r="AB213" s="22">
        <f>R213</f>
        <v/>
      </c>
      <c r="AC213" s="22">
        <f>S213</f>
        <v/>
      </c>
      <c r="AD213" s="21" t="n"/>
      <c r="AE213" s="21" t="n"/>
      <c r="AF213" s="22">
        <f>Q213</f>
        <v/>
      </c>
      <c r="AG213" s="22">
        <f>R213</f>
        <v/>
      </c>
      <c r="AH213" s="22">
        <f>S213</f>
        <v/>
      </c>
      <c r="AI213" s="21" t="n"/>
      <c r="AJ213" s="21" t="n"/>
      <c r="AL213" s="23">
        <f>INDEX($Q213:$AJ213,1,(AL$4-1)*5+1)+AL$8*INDEX($Q213:$AJ213,1,(AL$4-1)*5+2)*INDEX($Q213:$AJ213,1,(AL$4-1)*5+3)</f>
        <v/>
      </c>
      <c r="AM213" s="22">
        <f>INDEX($Q213:$AJ213,1,(AM$4-1)*5+1)+AM$8*INDEX($Q213:$AJ213,1,(AM$4-1)*5+2)*INDEX($Q213:$AJ213,1,(AM$4-1)*5+3)</f>
        <v/>
      </c>
      <c r="AN213" s="22">
        <f>INDEX($Q213:$AJ213,1,(AN$4-1)*5+1)+AN$8*INDEX($Q213:$AJ213,1,(AN$4-1)*5+2)*INDEX($Q213:$AJ213,1,(AN$4-1)*5+3)</f>
        <v/>
      </c>
      <c r="AO213" s="22">
        <f>INDEX($Q213:$AJ213,1,(AO$4-1)*5+1)+AO$8*INDEX($Q213:$AJ213,1,(AO$4-1)*5+2)*INDEX($Q213:$AJ213,1,(AO$4-1)*5+3)</f>
        <v/>
      </c>
      <c r="AP213" s="22">
        <f>INDEX($Q213:$AJ213,1,(AP$4-1)*5+1)+AP$8*INDEX($Q213:$AJ213,1,(AP$4-1)*5+2)*INDEX($Q213:$AJ213,1,(AP$4-1)*5+3)</f>
        <v/>
      </c>
      <c r="AQ213" s="22">
        <f>INDEX($Q213:$AJ213,1,(AQ$4-1)*5+1)+AQ$8*INDEX($Q213:$AJ213,1,(AQ$4-1)*5+2)*INDEX($Q213:$AJ213,1,(AQ$4-1)*5+3)</f>
        <v/>
      </c>
      <c r="AR213" s="22">
        <f>INDEX($Q213:$AJ213,1,(AR$4-1)*5+1)+AR$8*INDEX($Q213:$AJ213,1,(AR$4-1)*5+2)*INDEX($Q213:$AJ213,1,(AR$4-1)*5+3)</f>
        <v/>
      </c>
      <c r="AS213" s="22">
        <f>INDEX($Q213:$AJ213,1,(AS$4-1)*5+1)+AS$8*INDEX($Q213:$AJ213,1,(AS$4-1)*5+2)*INDEX($Q213:$AJ213,1,(AS$4-1)*5+3)</f>
        <v/>
      </c>
      <c r="AT213" s="22">
        <f>INDEX($Q213:$AJ213,1,(AT$4-1)*5+1)+AT$8*INDEX($Q213:$AJ213,1,(AT$4-1)*5+2)*INDEX($Q213:$AJ213,1,(AT$4-1)*5+3)</f>
        <v/>
      </c>
      <c r="AU213" s="22">
        <f>INDEX($Q213:$AJ213,1,(AU$4-1)*5+1)+AU$8*INDEX($Q213:$AJ213,1,(AU$4-1)*5+2)*INDEX($Q213:$AJ213,1,(AU$4-1)*5+3)</f>
        <v/>
      </c>
      <c r="AV213" s="22">
        <f>INDEX($Q213:$AJ213,1,(AV$4-1)*5+1)+AV$8*INDEX($Q213:$AJ213,1,(AV$4-1)*5+2)*INDEX($Q213:$AJ213,1,(AV$4-1)*5+3)</f>
        <v/>
      </c>
      <c r="AW213" s="22">
        <f>INDEX($Q213:$AJ213,1,(AW$4-1)*5+1)+AW$8*INDEX($Q213:$AJ213,1,(AW$4-1)*5+2)*INDEX($Q213:$AJ213,1,(AW$4-1)*5+3)</f>
        <v/>
      </c>
      <c r="AX213" s="22">
        <f>INDEX($Q213:$AJ213,1,(AX$4-1)*5+1)+AX$8*INDEX($Q213:$AJ213,1,(AX$4-1)*5+2)*INDEX($Q213:$AJ213,1,(AX$4-1)*5+3)</f>
        <v/>
      </c>
      <c r="AY213" s="22">
        <f>INDEX($Q213:$AJ213,1,(AY$4-1)*5+1)+AY$8*INDEX($Q213:$AJ213,1,(AY$4-1)*5+2)*INDEX($Q213:$AJ213,1,(AY$4-1)*5+3)</f>
        <v/>
      </c>
      <c r="BA213" s="23">
        <f>INDEX($Q213:$AJ213,1,(BA$4-1)*5+1)+BA$8*INDEX($Q213:$AJ213,1,(BA$4-1)*5+2)*INDEX($Q213:$AJ213,1,(BA$4-1)*5+3)</f>
        <v/>
      </c>
      <c r="BB213" s="22">
        <f>INDEX($Q213:$AJ213,1,(BB$4-1)*5+1)+BB$8*INDEX($Q213:$AJ213,1,(BB$4-1)*5+2)*INDEX($Q213:$AJ213,1,(BB$4-1)*5+3)</f>
        <v/>
      </c>
      <c r="BC213" s="22">
        <f>INDEX($Q213:$AJ213,1,(BC$4-1)*5+1)+BC$8*INDEX($Q213:$AJ213,1,(BC$4-1)*5+2)*INDEX($Q213:$AJ213,1,(BC$4-1)*5+3)</f>
        <v/>
      </c>
      <c r="BD213" s="22">
        <f>INDEX($Q213:$AJ213,1,(BD$4-1)*5+1)+BD$8*INDEX($Q213:$AJ213,1,(BD$4-1)*5+2)*INDEX($Q213:$AJ213,1,(BD$4-1)*5+3)</f>
        <v/>
      </c>
      <c r="BE213" s="22">
        <f>INDEX($Q213:$AJ213,1,(BE$4-1)*5+1)+BE$8*INDEX($Q213:$AJ213,1,(BE$4-1)*5+2)*INDEX($Q213:$AJ213,1,(BE$4-1)*5+3)</f>
        <v/>
      </c>
      <c r="BF213" s="22">
        <f>INDEX($Q213:$AJ213,1,(BF$4-1)*5+1)+BF$8*INDEX($Q213:$AJ213,1,(BF$4-1)*5+2)*INDEX($Q213:$AJ213,1,(BF$4-1)*5+3)</f>
        <v/>
      </c>
      <c r="BG213" s="22">
        <f>INDEX($Q213:$AJ213,1,(BG$4-1)*5+1)+BG$8*INDEX($Q213:$AJ213,1,(BG$4-1)*5+2)*INDEX($Q213:$AJ213,1,(BG$4-1)*5+3)</f>
        <v/>
      </c>
      <c r="BH213" s="22">
        <f>INDEX($Q213:$AJ213,1,(BH$4-1)*5+1)+BH$8*INDEX($Q213:$AJ213,1,(BH$4-1)*5+2)*INDEX($Q213:$AJ213,1,(BH$4-1)*5+3)</f>
        <v/>
      </c>
      <c r="BI213" s="22">
        <f>INDEX($Q213:$AJ213,1,(BI$4-1)*5+1)+BI$8*INDEX($Q213:$AJ213,1,(BI$4-1)*5+2)*INDEX($Q213:$AJ213,1,(BI$4-1)*5+3)</f>
        <v/>
      </c>
      <c r="BJ213" s="22">
        <f>INDEX($Q213:$AJ213,1,(BJ$4-1)*5+1)+BJ$8*INDEX($Q213:$AJ213,1,(BJ$4-1)*5+2)*INDEX($Q213:$AJ213,1,(BJ$4-1)*5+3)</f>
        <v/>
      </c>
      <c r="BK213" s="22">
        <f>INDEX($Q213:$AJ213,1,(BK$4-1)*5+1)+BK$8*INDEX($Q213:$AJ213,1,(BK$4-1)*5+2)*INDEX($Q213:$AJ213,1,(BK$4-1)*5+3)</f>
        <v/>
      </c>
      <c r="BL213" s="22">
        <f>INDEX($Q213:$AJ213,1,(BL$4-1)*5+1)+BL$8*INDEX($Q213:$AJ213,1,(BL$4-1)*5+2)*INDEX($Q213:$AJ213,1,(BL$4-1)*5+3)</f>
        <v/>
      </c>
      <c r="BM213" s="22">
        <f>INDEX($Q213:$AJ213,1,(BM$4-1)*5+1)+BM$8*INDEX($Q213:$AJ213,1,(BM$4-1)*5+2)*INDEX($Q213:$AJ213,1,(BM$4-1)*5+3)</f>
        <v/>
      </c>
      <c r="BN213" s="22">
        <f>INDEX($Q213:$AJ213,1,(BN$4-1)*5+1)+BN$8*INDEX($Q213:$AJ213,1,(BN$4-1)*5+2)*INDEX($Q213:$AJ213,1,(BN$4-1)*5+3)</f>
        <v/>
      </c>
    </row>
    <row r="214">
      <c r="B214" s="5" t="inlineStr">
        <is>
          <t>nga</t>
        </is>
      </c>
      <c r="C214" s="5" t="inlineStr">
        <is>
          <t>nfm</t>
        </is>
      </c>
      <c r="D214" s="5" t="inlineStr">
        <is>
          <t>Tax | Other metals | Natural gas</t>
        </is>
      </c>
      <c r="E214" s="5" t="inlineStr">
        <is>
          <t>$/GJ</t>
        </is>
      </c>
      <c r="F214" s="5" t="inlineStr">
        <is>
          <t>Prices_dom, EF_GHG, Mapping</t>
        </is>
      </c>
      <c r="G214" s="19" t="inlineStr">
        <is>
          <t>mit.rp.nga</t>
        </is>
      </c>
      <c r="H214" s="19" t="inlineStr">
        <is>
          <t>mit.tax.nga.nfm</t>
        </is>
      </c>
      <c r="J214" s="5">
        <f>INDEX(Mapping!$C$5:$C$20,MATCH($C214,Mapping!$A$5:$A$20,0))</f>
        <v/>
      </c>
      <c r="K214" s="5">
        <f>INDEX(Mapping!$D$5:$D$20,MATCH($C214,Mapping!$A$5:$A$20,0))</f>
        <v/>
      </c>
      <c r="L214" s="5">
        <f>INDEX(Mapping!$C$24:$C$31,MATCH($B214,Mapping!$A$24:$A$31,0))</f>
        <v/>
      </c>
      <c r="M214" s="5">
        <f>INDEX(Mapping!$D$24:$D$31,MATCH($B214,Mapping!$A$24:$A$31,0))</f>
        <v/>
      </c>
      <c r="N214" s="5">
        <f>$B214&amp;"."&amp;IF(INDEX(Mapping!$E$24:$E$31,MATCH($B214,Mapping!$A$24:$A$31,0))="sub",INDEX(Mapping!$F$5:$F$20,MATCH($C214,Mapping!$A$5:$A$20,0)),"all")</f>
        <v/>
      </c>
      <c r="O214" s="5">
        <f>INDEX(Mapping!$E$5:$E$20,MATCH($C214,Mapping!$A$5:$A$20,0))</f>
        <v/>
      </c>
      <c r="P214" s="5">
        <f>INDEX(Mapping!$G$24:$G$31,MATCH($B214,Mapping!$A$24:$A$31,0))</f>
        <v/>
      </c>
      <c r="Q214" s="22">
        <f>(INDEX(Prices_dom!$A$6:$CU$2000,MATCH(Settings!$C$4&amp;Settings!$C$7,Prices_dom!$A$6:$A$2000,0),MATCH("mit.rp."&amp;$N214,Prices_dom!$A$5:$CU$5,0))-INDEX(Prices_dom!$A$6:$CU$2000,MATCH(Settings!$C$4&amp;Settings!$C$7,Prices_dom!$A$6:$A$2000,0),MATCH("mit.sp."&amp;$N214,Prices_dom!$A$5:$CU$5,0)))/$P214</f>
        <v/>
      </c>
      <c r="R214" s="22">
        <f>INDEX(EF_GHG!$E$4:$E$1000,MATCH(Settings!$C$4&amp;"|"&amp;$B214&amp;"|"&amp;$O214,EF_GHG!$A$4:$A$1000,0))</f>
        <v/>
      </c>
      <c r="S214" s="22">
        <f>INDEX(Mapping!$G$5:$G$20,MATCH($C214,Mapping!$A$5:$A$20,0))</f>
        <v/>
      </c>
      <c r="T214" s="21" t="n"/>
      <c r="U214" s="21" t="n"/>
      <c r="V214" s="22">
        <f>Q214</f>
        <v/>
      </c>
      <c r="W214" s="22">
        <f>R214</f>
        <v/>
      </c>
      <c r="X214" s="22">
        <f>S214</f>
        <v/>
      </c>
      <c r="Y214" s="21" t="n"/>
      <c r="Z214" s="21" t="n"/>
      <c r="AA214" s="22">
        <f>Q214</f>
        <v/>
      </c>
      <c r="AB214" s="22">
        <f>R214</f>
        <v/>
      </c>
      <c r="AC214" s="22">
        <f>S214</f>
        <v/>
      </c>
      <c r="AD214" s="21" t="n"/>
      <c r="AE214" s="21" t="n"/>
      <c r="AF214" s="22">
        <f>Q214</f>
        <v/>
      </c>
      <c r="AG214" s="22">
        <f>R214</f>
        <v/>
      </c>
      <c r="AH214" s="22">
        <f>S214</f>
        <v/>
      </c>
      <c r="AI214" s="21" t="n"/>
      <c r="AJ214" s="21" t="n"/>
      <c r="AL214" s="23">
        <f>INDEX($Q214:$AJ214,1,(AL$4-1)*5+1)+AL$8*INDEX($Q214:$AJ214,1,(AL$4-1)*5+2)*INDEX($Q214:$AJ214,1,(AL$4-1)*5+3)</f>
        <v/>
      </c>
      <c r="AM214" s="22">
        <f>INDEX($Q214:$AJ214,1,(AM$4-1)*5+1)+AM$8*INDEX($Q214:$AJ214,1,(AM$4-1)*5+2)*INDEX($Q214:$AJ214,1,(AM$4-1)*5+3)</f>
        <v/>
      </c>
      <c r="AN214" s="22">
        <f>INDEX($Q214:$AJ214,1,(AN$4-1)*5+1)+AN$8*INDEX($Q214:$AJ214,1,(AN$4-1)*5+2)*INDEX($Q214:$AJ214,1,(AN$4-1)*5+3)</f>
        <v/>
      </c>
      <c r="AO214" s="22">
        <f>INDEX($Q214:$AJ214,1,(AO$4-1)*5+1)+AO$8*INDEX($Q214:$AJ214,1,(AO$4-1)*5+2)*INDEX($Q214:$AJ214,1,(AO$4-1)*5+3)</f>
        <v/>
      </c>
      <c r="AP214" s="22">
        <f>INDEX($Q214:$AJ214,1,(AP$4-1)*5+1)+AP$8*INDEX($Q214:$AJ214,1,(AP$4-1)*5+2)*INDEX($Q214:$AJ214,1,(AP$4-1)*5+3)</f>
        <v/>
      </c>
      <c r="AQ214" s="22">
        <f>INDEX($Q214:$AJ214,1,(AQ$4-1)*5+1)+AQ$8*INDEX($Q214:$AJ214,1,(AQ$4-1)*5+2)*INDEX($Q214:$AJ214,1,(AQ$4-1)*5+3)</f>
        <v/>
      </c>
      <c r="AR214" s="22">
        <f>INDEX($Q214:$AJ214,1,(AR$4-1)*5+1)+AR$8*INDEX($Q214:$AJ214,1,(AR$4-1)*5+2)*INDEX($Q214:$AJ214,1,(AR$4-1)*5+3)</f>
        <v/>
      </c>
      <c r="AS214" s="22">
        <f>INDEX($Q214:$AJ214,1,(AS$4-1)*5+1)+AS$8*INDEX($Q214:$AJ214,1,(AS$4-1)*5+2)*INDEX($Q214:$AJ214,1,(AS$4-1)*5+3)</f>
        <v/>
      </c>
      <c r="AT214" s="22">
        <f>INDEX($Q214:$AJ214,1,(AT$4-1)*5+1)+AT$8*INDEX($Q214:$AJ214,1,(AT$4-1)*5+2)*INDEX($Q214:$AJ214,1,(AT$4-1)*5+3)</f>
        <v/>
      </c>
      <c r="AU214" s="22">
        <f>INDEX($Q214:$AJ214,1,(AU$4-1)*5+1)+AU$8*INDEX($Q214:$AJ214,1,(AU$4-1)*5+2)*INDEX($Q214:$AJ214,1,(AU$4-1)*5+3)</f>
        <v/>
      </c>
      <c r="AV214" s="22">
        <f>INDEX($Q214:$AJ214,1,(AV$4-1)*5+1)+AV$8*INDEX($Q214:$AJ214,1,(AV$4-1)*5+2)*INDEX($Q214:$AJ214,1,(AV$4-1)*5+3)</f>
        <v/>
      </c>
      <c r="AW214" s="22">
        <f>INDEX($Q214:$AJ214,1,(AW$4-1)*5+1)+AW$8*INDEX($Q214:$AJ214,1,(AW$4-1)*5+2)*INDEX($Q214:$AJ214,1,(AW$4-1)*5+3)</f>
        <v/>
      </c>
      <c r="AX214" s="22">
        <f>INDEX($Q214:$AJ214,1,(AX$4-1)*5+1)+AX$8*INDEX($Q214:$AJ214,1,(AX$4-1)*5+2)*INDEX($Q214:$AJ214,1,(AX$4-1)*5+3)</f>
        <v/>
      </c>
      <c r="AY214" s="22">
        <f>INDEX($Q214:$AJ214,1,(AY$4-1)*5+1)+AY$8*INDEX($Q214:$AJ214,1,(AY$4-1)*5+2)*INDEX($Q214:$AJ214,1,(AY$4-1)*5+3)</f>
        <v/>
      </c>
      <c r="BA214" s="23">
        <f>INDEX($Q214:$AJ214,1,(BA$4-1)*5+1)+BA$8*INDEX($Q214:$AJ214,1,(BA$4-1)*5+2)*INDEX($Q214:$AJ214,1,(BA$4-1)*5+3)</f>
        <v/>
      </c>
      <c r="BB214" s="22">
        <f>INDEX($Q214:$AJ214,1,(BB$4-1)*5+1)+BB$8*INDEX($Q214:$AJ214,1,(BB$4-1)*5+2)*INDEX($Q214:$AJ214,1,(BB$4-1)*5+3)</f>
        <v/>
      </c>
      <c r="BC214" s="22">
        <f>INDEX($Q214:$AJ214,1,(BC$4-1)*5+1)+BC$8*INDEX($Q214:$AJ214,1,(BC$4-1)*5+2)*INDEX($Q214:$AJ214,1,(BC$4-1)*5+3)</f>
        <v/>
      </c>
      <c r="BD214" s="22">
        <f>INDEX($Q214:$AJ214,1,(BD$4-1)*5+1)+BD$8*INDEX($Q214:$AJ214,1,(BD$4-1)*5+2)*INDEX($Q214:$AJ214,1,(BD$4-1)*5+3)</f>
        <v/>
      </c>
      <c r="BE214" s="22">
        <f>INDEX($Q214:$AJ214,1,(BE$4-1)*5+1)+BE$8*INDEX($Q214:$AJ214,1,(BE$4-1)*5+2)*INDEX($Q214:$AJ214,1,(BE$4-1)*5+3)</f>
        <v/>
      </c>
      <c r="BF214" s="22">
        <f>INDEX($Q214:$AJ214,1,(BF$4-1)*5+1)+BF$8*INDEX($Q214:$AJ214,1,(BF$4-1)*5+2)*INDEX($Q214:$AJ214,1,(BF$4-1)*5+3)</f>
        <v/>
      </c>
      <c r="BG214" s="22">
        <f>INDEX($Q214:$AJ214,1,(BG$4-1)*5+1)+BG$8*INDEX($Q214:$AJ214,1,(BG$4-1)*5+2)*INDEX($Q214:$AJ214,1,(BG$4-1)*5+3)</f>
        <v/>
      </c>
      <c r="BH214" s="22">
        <f>INDEX($Q214:$AJ214,1,(BH$4-1)*5+1)+BH$8*INDEX($Q214:$AJ214,1,(BH$4-1)*5+2)*INDEX($Q214:$AJ214,1,(BH$4-1)*5+3)</f>
        <v/>
      </c>
      <c r="BI214" s="22">
        <f>INDEX($Q214:$AJ214,1,(BI$4-1)*5+1)+BI$8*INDEX($Q214:$AJ214,1,(BI$4-1)*5+2)*INDEX($Q214:$AJ214,1,(BI$4-1)*5+3)</f>
        <v/>
      </c>
      <c r="BJ214" s="22">
        <f>INDEX($Q214:$AJ214,1,(BJ$4-1)*5+1)+BJ$8*INDEX($Q214:$AJ214,1,(BJ$4-1)*5+2)*INDEX($Q214:$AJ214,1,(BJ$4-1)*5+3)</f>
        <v/>
      </c>
      <c r="BK214" s="22">
        <f>INDEX($Q214:$AJ214,1,(BK$4-1)*5+1)+BK$8*INDEX($Q214:$AJ214,1,(BK$4-1)*5+2)*INDEX($Q214:$AJ214,1,(BK$4-1)*5+3)</f>
        <v/>
      </c>
      <c r="BL214" s="22">
        <f>INDEX($Q214:$AJ214,1,(BL$4-1)*5+1)+BL$8*INDEX($Q214:$AJ214,1,(BL$4-1)*5+2)*INDEX($Q214:$AJ214,1,(BL$4-1)*5+3)</f>
        <v/>
      </c>
      <c r="BM214" s="22">
        <f>INDEX($Q214:$AJ214,1,(BM$4-1)*5+1)+BM$8*INDEX($Q214:$AJ214,1,(BM$4-1)*5+2)*INDEX($Q214:$AJ214,1,(BM$4-1)*5+3)</f>
        <v/>
      </c>
      <c r="BN214" s="22">
        <f>INDEX($Q214:$AJ214,1,(BN$4-1)*5+1)+BN$8*INDEX($Q214:$AJ214,1,(BN$4-1)*5+2)*INDEX($Q214:$AJ214,1,(BN$4-1)*5+3)</f>
        <v/>
      </c>
    </row>
    <row r="215">
      <c r="B215" s="5" t="inlineStr">
        <is>
          <t>gso</t>
        </is>
      </c>
      <c r="C215" s="5" t="inlineStr">
        <is>
          <t>nfm</t>
        </is>
      </c>
      <c r="D215" s="5" t="inlineStr">
        <is>
          <t>Tax | Other metals | Gasoline</t>
        </is>
      </c>
      <c r="E215" s="5" t="inlineStr">
        <is>
          <t>$/GJ</t>
        </is>
      </c>
      <c r="F215" s="5" t="inlineStr">
        <is>
          <t>Prices_dom, EF_GHG, Mapping</t>
        </is>
      </c>
      <c r="G215" s="19" t="inlineStr">
        <is>
          <t>mit.rp.gso</t>
        </is>
      </c>
      <c r="H215" s="19" t="inlineStr">
        <is>
          <t>mit.tax.gso.nfm</t>
        </is>
      </c>
      <c r="J215" s="5">
        <f>INDEX(Mapping!$C$5:$C$20,MATCH($C215,Mapping!$A$5:$A$20,0))</f>
        <v/>
      </c>
      <c r="K215" s="5">
        <f>INDEX(Mapping!$D$5:$D$20,MATCH($C215,Mapping!$A$5:$A$20,0))</f>
        <v/>
      </c>
      <c r="L215" s="5">
        <f>INDEX(Mapping!$C$24:$C$31,MATCH($B215,Mapping!$A$24:$A$31,0))</f>
        <v/>
      </c>
      <c r="M215" s="5">
        <f>INDEX(Mapping!$D$24:$D$31,MATCH($B215,Mapping!$A$24:$A$31,0))</f>
        <v/>
      </c>
      <c r="N215" s="5">
        <f>$B215&amp;"."&amp;IF(INDEX(Mapping!$E$24:$E$31,MATCH($B215,Mapping!$A$24:$A$31,0))="sub",INDEX(Mapping!$F$5:$F$20,MATCH($C215,Mapping!$A$5:$A$20,0)),"all")</f>
        <v/>
      </c>
      <c r="O215" s="5">
        <f>INDEX(Mapping!$E$5:$E$20,MATCH($C215,Mapping!$A$5:$A$20,0))</f>
        <v/>
      </c>
      <c r="P215" s="5">
        <f>INDEX(Mapping!$G$24:$G$31,MATCH($B215,Mapping!$A$24:$A$31,0))</f>
        <v/>
      </c>
      <c r="Q215" s="22">
        <f>(INDEX(Prices_dom!$A$6:$CU$2000,MATCH(Settings!$C$4&amp;Settings!$C$7,Prices_dom!$A$6:$A$2000,0),MATCH("mit.rp."&amp;$N215,Prices_dom!$A$5:$CU$5,0))-INDEX(Prices_dom!$A$6:$CU$2000,MATCH(Settings!$C$4&amp;Settings!$C$7,Prices_dom!$A$6:$A$2000,0),MATCH("mit.sp."&amp;$N215,Prices_dom!$A$5:$CU$5,0)))/$P215</f>
        <v/>
      </c>
      <c r="R215" s="22">
        <f>INDEX(EF_GHG!$E$4:$E$1000,MATCH(Settings!$C$4&amp;"|"&amp;$B215&amp;"|"&amp;$O215,EF_GHG!$A$4:$A$1000,0))</f>
        <v/>
      </c>
      <c r="S215" s="22">
        <f>INDEX(Mapping!$G$5:$G$20,MATCH($C215,Mapping!$A$5:$A$20,0))</f>
        <v/>
      </c>
      <c r="T215" s="21" t="n"/>
      <c r="U215" s="21" t="n"/>
      <c r="V215" s="22">
        <f>Q215</f>
        <v/>
      </c>
      <c r="W215" s="22">
        <f>R215</f>
        <v/>
      </c>
      <c r="X215" s="22">
        <f>S215</f>
        <v/>
      </c>
      <c r="Y215" s="21" t="n"/>
      <c r="Z215" s="21" t="n"/>
      <c r="AA215" s="22">
        <f>Q215</f>
        <v/>
      </c>
      <c r="AB215" s="22">
        <f>R215</f>
        <v/>
      </c>
      <c r="AC215" s="22">
        <f>S215</f>
        <v/>
      </c>
      <c r="AD215" s="21" t="n"/>
      <c r="AE215" s="21" t="n"/>
      <c r="AF215" s="22">
        <f>Q215</f>
        <v/>
      </c>
      <c r="AG215" s="22">
        <f>R215</f>
        <v/>
      </c>
      <c r="AH215" s="22">
        <f>S215</f>
        <v/>
      </c>
      <c r="AI215" s="21" t="n"/>
      <c r="AJ215" s="21" t="n"/>
      <c r="AL215" s="23">
        <f>INDEX($Q215:$AJ215,1,(AL$4-1)*5+1)+AL$8*INDEX($Q215:$AJ215,1,(AL$4-1)*5+2)*INDEX($Q215:$AJ215,1,(AL$4-1)*5+3)</f>
        <v/>
      </c>
      <c r="AM215" s="22">
        <f>INDEX($Q215:$AJ215,1,(AM$4-1)*5+1)+AM$8*INDEX($Q215:$AJ215,1,(AM$4-1)*5+2)*INDEX($Q215:$AJ215,1,(AM$4-1)*5+3)</f>
        <v/>
      </c>
      <c r="AN215" s="22">
        <f>INDEX($Q215:$AJ215,1,(AN$4-1)*5+1)+AN$8*INDEX($Q215:$AJ215,1,(AN$4-1)*5+2)*INDEX($Q215:$AJ215,1,(AN$4-1)*5+3)</f>
        <v/>
      </c>
      <c r="AO215" s="22">
        <f>INDEX($Q215:$AJ215,1,(AO$4-1)*5+1)+AO$8*INDEX($Q215:$AJ215,1,(AO$4-1)*5+2)*INDEX($Q215:$AJ215,1,(AO$4-1)*5+3)</f>
        <v/>
      </c>
      <c r="AP215" s="22">
        <f>INDEX($Q215:$AJ215,1,(AP$4-1)*5+1)+AP$8*INDEX($Q215:$AJ215,1,(AP$4-1)*5+2)*INDEX($Q215:$AJ215,1,(AP$4-1)*5+3)</f>
        <v/>
      </c>
      <c r="AQ215" s="22">
        <f>INDEX($Q215:$AJ215,1,(AQ$4-1)*5+1)+AQ$8*INDEX($Q215:$AJ215,1,(AQ$4-1)*5+2)*INDEX($Q215:$AJ215,1,(AQ$4-1)*5+3)</f>
        <v/>
      </c>
      <c r="AR215" s="22">
        <f>INDEX($Q215:$AJ215,1,(AR$4-1)*5+1)+AR$8*INDEX($Q215:$AJ215,1,(AR$4-1)*5+2)*INDEX($Q215:$AJ215,1,(AR$4-1)*5+3)</f>
        <v/>
      </c>
      <c r="AS215" s="22">
        <f>INDEX($Q215:$AJ215,1,(AS$4-1)*5+1)+AS$8*INDEX($Q215:$AJ215,1,(AS$4-1)*5+2)*INDEX($Q215:$AJ215,1,(AS$4-1)*5+3)</f>
        <v/>
      </c>
      <c r="AT215" s="22">
        <f>INDEX($Q215:$AJ215,1,(AT$4-1)*5+1)+AT$8*INDEX($Q215:$AJ215,1,(AT$4-1)*5+2)*INDEX($Q215:$AJ215,1,(AT$4-1)*5+3)</f>
        <v/>
      </c>
      <c r="AU215" s="22">
        <f>INDEX($Q215:$AJ215,1,(AU$4-1)*5+1)+AU$8*INDEX($Q215:$AJ215,1,(AU$4-1)*5+2)*INDEX($Q215:$AJ215,1,(AU$4-1)*5+3)</f>
        <v/>
      </c>
      <c r="AV215" s="22">
        <f>INDEX($Q215:$AJ215,1,(AV$4-1)*5+1)+AV$8*INDEX($Q215:$AJ215,1,(AV$4-1)*5+2)*INDEX($Q215:$AJ215,1,(AV$4-1)*5+3)</f>
        <v/>
      </c>
      <c r="AW215" s="22">
        <f>INDEX($Q215:$AJ215,1,(AW$4-1)*5+1)+AW$8*INDEX($Q215:$AJ215,1,(AW$4-1)*5+2)*INDEX($Q215:$AJ215,1,(AW$4-1)*5+3)</f>
        <v/>
      </c>
      <c r="AX215" s="22">
        <f>INDEX($Q215:$AJ215,1,(AX$4-1)*5+1)+AX$8*INDEX($Q215:$AJ215,1,(AX$4-1)*5+2)*INDEX($Q215:$AJ215,1,(AX$4-1)*5+3)</f>
        <v/>
      </c>
      <c r="AY215" s="22">
        <f>INDEX($Q215:$AJ215,1,(AY$4-1)*5+1)+AY$8*INDEX($Q215:$AJ215,1,(AY$4-1)*5+2)*INDEX($Q215:$AJ215,1,(AY$4-1)*5+3)</f>
        <v/>
      </c>
      <c r="BA215" s="23">
        <f>INDEX($Q215:$AJ215,1,(BA$4-1)*5+1)+BA$8*INDEX($Q215:$AJ215,1,(BA$4-1)*5+2)*INDEX($Q215:$AJ215,1,(BA$4-1)*5+3)</f>
        <v/>
      </c>
      <c r="BB215" s="22">
        <f>INDEX($Q215:$AJ215,1,(BB$4-1)*5+1)+BB$8*INDEX($Q215:$AJ215,1,(BB$4-1)*5+2)*INDEX($Q215:$AJ215,1,(BB$4-1)*5+3)</f>
        <v/>
      </c>
      <c r="BC215" s="22">
        <f>INDEX($Q215:$AJ215,1,(BC$4-1)*5+1)+BC$8*INDEX($Q215:$AJ215,1,(BC$4-1)*5+2)*INDEX($Q215:$AJ215,1,(BC$4-1)*5+3)</f>
        <v/>
      </c>
      <c r="BD215" s="22">
        <f>INDEX($Q215:$AJ215,1,(BD$4-1)*5+1)+BD$8*INDEX($Q215:$AJ215,1,(BD$4-1)*5+2)*INDEX($Q215:$AJ215,1,(BD$4-1)*5+3)</f>
        <v/>
      </c>
      <c r="BE215" s="22">
        <f>INDEX($Q215:$AJ215,1,(BE$4-1)*5+1)+BE$8*INDEX($Q215:$AJ215,1,(BE$4-1)*5+2)*INDEX($Q215:$AJ215,1,(BE$4-1)*5+3)</f>
        <v/>
      </c>
      <c r="BF215" s="22">
        <f>INDEX($Q215:$AJ215,1,(BF$4-1)*5+1)+BF$8*INDEX($Q215:$AJ215,1,(BF$4-1)*5+2)*INDEX($Q215:$AJ215,1,(BF$4-1)*5+3)</f>
        <v/>
      </c>
      <c r="BG215" s="22">
        <f>INDEX($Q215:$AJ215,1,(BG$4-1)*5+1)+BG$8*INDEX($Q215:$AJ215,1,(BG$4-1)*5+2)*INDEX($Q215:$AJ215,1,(BG$4-1)*5+3)</f>
        <v/>
      </c>
      <c r="BH215" s="22">
        <f>INDEX($Q215:$AJ215,1,(BH$4-1)*5+1)+BH$8*INDEX($Q215:$AJ215,1,(BH$4-1)*5+2)*INDEX($Q215:$AJ215,1,(BH$4-1)*5+3)</f>
        <v/>
      </c>
      <c r="BI215" s="22">
        <f>INDEX($Q215:$AJ215,1,(BI$4-1)*5+1)+BI$8*INDEX($Q215:$AJ215,1,(BI$4-1)*5+2)*INDEX($Q215:$AJ215,1,(BI$4-1)*5+3)</f>
        <v/>
      </c>
      <c r="BJ215" s="22">
        <f>INDEX($Q215:$AJ215,1,(BJ$4-1)*5+1)+BJ$8*INDEX($Q215:$AJ215,1,(BJ$4-1)*5+2)*INDEX($Q215:$AJ215,1,(BJ$4-1)*5+3)</f>
        <v/>
      </c>
      <c r="BK215" s="22">
        <f>INDEX($Q215:$AJ215,1,(BK$4-1)*5+1)+BK$8*INDEX($Q215:$AJ215,1,(BK$4-1)*5+2)*INDEX($Q215:$AJ215,1,(BK$4-1)*5+3)</f>
        <v/>
      </c>
      <c r="BL215" s="22">
        <f>INDEX($Q215:$AJ215,1,(BL$4-1)*5+1)+BL$8*INDEX($Q215:$AJ215,1,(BL$4-1)*5+2)*INDEX($Q215:$AJ215,1,(BL$4-1)*5+3)</f>
        <v/>
      </c>
      <c r="BM215" s="22">
        <f>INDEX($Q215:$AJ215,1,(BM$4-1)*5+1)+BM$8*INDEX($Q215:$AJ215,1,(BM$4-1)*5+2)*INDEX($Q215:$AJ215,1,(BM$4-1)*5+3)</f>
        <v/>
      </c>
      <c r="BN215" s="22">
        <f>INDEX($Q215:$AJ215,1,(BN$4-1)*5+1)+BN$8*INDEX($Q215:$AJ215,1,(BN$4-1)*5+2)*INDEX($Q215:$AJ215,1,(BN$4-1)*5+3)</f>
        <v/>
      </c>
    </row>
    <row r="216">
      <c r="B216" s="5" t="inlineStr">
        <is>
          <t>die</t>
        </is>
      </c>
      <c r="C216" s="5" t="inlineStr">
        <is>
          <t>nfm</t>
        </is>
      </c>
      <c r="D216" s="5" t="inlineStr">
        <is>
          <t>Tax | Other metals | Diesel</t>
        </is>
      </c>
      <c r="E216" s="5" t="inlineStr">
        <is>
          <t>$/GJ</t>
        </is>
      </c>
      <c r="F216" s="5" t="inlineStr">
        <is>
          <t>Prices_dom, EF_GHG, Mapping</t>
        </is>
      </c>
      <c r="G216" s="19" t="inlineStr">
        <is>
          <t>mit.rp.die</t>
        </is>
      </c>
      <c r="H216" s="19" t="inlineStr">
        <is>
          <t>mit.tax.die.nfm</t>
        </is>
      </c>
      <c r="J216" s="5">
        <f>INDEX(Mapping!$C$5:$C$20,MATCH($C216,Mapping!$A$5:$A$20,0))</f>
        <v/>
      </c>
      <c r="K216" s="5">
        <f>INDEX(Mapping!$D$5:$D$20,MATCH($C216,Mapping!$A$5:$A$20,0))</f>
        <v/>
      </c>
      <c r="L216" s="5">
        <f>INDEX(Mapping!$C$24:$C$31,MATCH($B216,Mapping!$A$24:$A$31,0))</f>
        <v/>
      </c>
      <c r="M216" s="5">
        <f>INDEX(Mapping!$D$24:$D$31,MATCH($B216,Mapping!$A$24:$A$31,0))</f>
        <v/>
      </c>
      <c r="N216" s="5">
        <f>$B216&amp;"."&amp;IF(INDEX(Mapping!$E$24:$E$31,MATCH($B216,Mapping!$A$24:$A$31,0))="sub",INDEX(Mapping!$F$5:$F$20,MATCH($C216,Mapping!$A$5:$A$20,0)),"all")</f>
        <v/>
      </c>
      <c r="O216" s="5">
        <f>INDEX(Mapping!$E$5:$E$20,MATCH($C216,Mapping!$A$5:$A$20,0))</f>
        <v/>
      </c>
      <c r="P216" s="5">
        <f>INDEX(Mapping!$G$24:$G$31,MATCH($B216,Mapping!$A$24:$A$31,0))</f>
        <v/>
      </c>
      <c r="Q216" s="22">
        <f>(INDEX(Prices_dom!$A$6:$CU$2000,MATCH(Settings!$C$4&amp;Settings!$C$7,Prices_dom!$A$6:$A$2000,0),MATCH("mit.rp."&amp;$N216,Prices_dom!$A$5:$CU$5,0))-INDEX(Prices_dom!$A$6:$CU$2000,MATCH(Settings!$C$4&amp;Settings!$C$7,Prices_dom!$A$6:$A$2000,0),MATCH("mit.sp."&amp;$N216,Prices_dom!$A$5:$CU$5,0)))/$P216</f>
        <v/>
      </c>
      <c r="R216" s="22">
        <f>INDEX(EF_GHG!$E$4:$E$1000,MATCH(Settings!$C$4&amp;"|"&amp;$B216&amp;"|"&amp;$O216,EF_GHG!$A$4:$A$1000,0))</f>
        <v/>
      </c>
      <c r="S216" s="22">
        <f>INDEX(Mapping!$G$5:$G$20,MATCH($C216,Mapping!$A$5:$A$20,0))</f>
        <v/>
      </c>
      <c r="T216" s="21" t="n"/>
      <c r="U216" s="21" t="n"/>
      <c r="V216" s="22">
        <f>Q216</f>
        <v/>
      </c>
      <c r="W216" s="22">
        <f>R216</f>
        <v/>
      </c>
      <c r="X216" s="22">
        <f>S216</f>
        <v/>
      </c>
      <c r="Y216" s="21" t="n"/>
      <c r="Z216" s="21" t="n"/>
      <c r="AA216" s="22">
        <f>Q216</f>
        <v/>
      </c>
      <c r="AB216" s="22">
        <f>R216</f>
        <v/>
      </c>
      <c r="AC216" s="22">
        <f>S216</f>
        <v/>
      </c>
      <c r="AD216" s="21" t="n"/>
      <c r="AE216" s="21" t="n"/>
      <c r="AF216" s="22">
        <f>Q216</f>
        <v/>
      </c>
      <c r="AG216" s="22">
        <f>R216</f>
        <v/>
      </c>
      <c r="AH216" s="22">
        <f>S216</f>
        <v/>
      </c>
      <c r="AI216" s="21" t="n"/>
      <c r="AJ216" s="21" t="n"/>
      <c r="AL216" s="23">
        <f>INDEX($Q216:$AJ216,1,(AL$4-1)*5+1)+AL$8*INDEX($Q216:$AJ216,1,(AL$4-1)*5+2)*INDEX($Q216:$AJ216,1,(AL$4-1)*5+3)</f>
        <v/>
      </c>
      <c r="AM216" s="22">
        <f>INDEX($Q216:$AJ216,1,(AM$4-1)*5+1)+AM$8*INDEX($Q216:$AJ216,1,(AM$4-1)*5+2)*INDEX($Q216:$AJ216,1,(AM$4-1)*5+3)</f>
        <v/>
      </c>
      <c r="AN216" s="22">
        <f>INDEX($Q216:$AJ216,1,(AN$4-1)*5+1)+AN$8*INDEX($Q216:$AJ216,1,(AN$4-1)*5+2)*INDEX($Q216:$AJ216,1,(AN$4-1)*5+3)</f>
        <v/>
      </c>
      <c r="AO216" s="22">
        <f>INDEX($Q216:$AJ216,1,(AO$4-1)*5+1)+AO$8*INDEX($Q216:$AJ216,1,(AO$4-1)*5+2)*INDEX($Q216:$AJ216,1,(AO$4-1)*5+3)</f>
        <v/>
      </c>
      <c r="AP216" s="22">
        <f>INDEX($Q216:$AJ216,1,(AP$4-1)*5+1)+AP$8*INDEX($Q216:$AJ216,1,(AP$4-1)*5+2)*INDEX($Q216:$AJ216,1,(AP$4-1)*5+3)</f>
        <v/>
      </c>
      <c r="AQ216" s="22">
        <f>INDEX($Q216:$AJ216,1,(AQ$4-1)*5+1)+AQ$8*INDEX($Q216:$AJ216,1,(AQ$4-1)*5+2)*INDEX($Q216:$AJ216,1,(AQ$4-1)*5+3)</f>
        <v/>
      </c>
      <c r="AR216" s="22">
        <f>INDEX($Q216:$AJ216,1,(AR$4-1)*5+1)+AR$8*INDEX($Q216:$AJ216,1,(AR$4-1)*5+2)*INDEX($Q216:$AJ216,1,(AR$4-1)*5+3)</f>
        <v/>
      </c>
      <c r="AS216" s="22">
        <f>INDEX($Q216:$AJ216,1,(AS$4-1)*5+1)+AS$8*INDEX($Q216:$AJ216,1,(AS$4-1)*5+2)*INDEX($Q216:$AJ216,1,(AS$4-1)*5+3)</f>
        <v/>
      </c>
      <c r="AT216" s="22">
        <f>INDEX($Q216:$AJ216,1,(AT$4-1)*5+1)+AT$8*INDEX($Q216:$AJ216,1,(AT$4-1)*5+2)*INDEX($Q216:$AJ216,1,(AT$4-1)*5+3)</f>
        <v/>
      </c>
      <c r="AU216" s="22">
        <f>INDEX($Q216:$AJ216,1,(AU$4-1)*5+1)+AU$8*INDEX($Q216:$AJ216,1,(AU$4-1)*5+2)*INDEX($Q216:$AJ216,1,(AU$4-1)*5+3)</f>
        <v/>
      </c>
      <c r="AV216" s="22">
        <f>INDEX($Q216:$AJ216,1,(AV$4-1)*5+1)+AV$8*INDEX($Q216:$AJ216,1,(AV$4-1)*5+2)*INDEX($Q216:$AJ216,1,(AV$4-1)*5+3)</f>
        <v/>
      </c>
      <c r="AW216" s="22">
        <f>INDEX($Q216:$AJ216,1,(AW$4-1)*5+1)+AW$8*INDEX($Q216:$AJ216,1,(AW$4-1)*5+2)*INDEX($Q216:$AJ216,1,(AW$4-1)*5+3)</f>
        <v/>
      </c>
      <c r="AX216" s="22">
        <f>INDEX($Q216:$AJ216,1,(AX$4-1)*5+1)+AX$8*INDEX($Q216:$AJ216,1,(AX$4-1)*5+2)*INDEX($Q216:$AJ216,1,(AX$4-1)*5+3)</f>
        <v/>
      </c>
      <c r="AY216" s="22">
        <f>INDEX($Q216:$AJ216,1,(AY$4-1)*5+1)+AY$8*INDEX($Q216:$AJ216,1,(AY$4-1)*5+2)*INDEX($Q216:$AJ216,1,(AY$4-1)*5+3)</f>
        <v/>
      </c>
      <c r="BA216" s="23">
        <f>INDEX($Q216:$AJ216,1,(BA$4-1)*5+1)+BA$8*INDEX($Q216:$AJ216,1,(BA$4-1)*5+2)*INDEX($Q216:$AJ216,1,(BA$4-1)*5+3)</f>
        <v/>
      </c>
      <c r="BB216" s="22">
        <f>INDEX($Q216:$AJ216,1,(BB$4-1)*5+1)+BB$8*INDEX($Q216:$AJ216,1,(BB$4-1)*5+2)*INDEX($Q216:$AJ216,1,(BB$4-1)*5+3)</f>
        <v/>
      </c>
      <c r="BC216" s="22">
        <f>INDEX($Q216:$AJ216,1,(BC$4-1)*5+1)+BC$8*INDEX($Q216:$AJ216,1,(BC$4-1)*5+2)*INDEX($Q216:$AJ216,1,(BC$4-1)*5+3)</f>
        <v/>
      </c>
      <c r="BD216" s="22">
        <f>INDEX($Q216:$AJ216,1,(BD$4-1)*5+1)+BD$8*INDEX($Q216:$AJ216,1,(BD$4-1)*5+2)*INDEX($Q216:$AJ216,1,(BD$4-1)*5+3)</f>
        <v/>
      </c>
      <c r="BE216" s="22">
        <f>INDEX($Q216:$AJ216,1,(BE$4-1)*5+1)+BE$8*INDEX($Q216:$AJ216,1,(BE$4-1)*5+2)*INDEX($Q216:$AJ216,1,(BE$4-1)*5+3)</f>
        <v/>
      </c>
      <c r="BF216" s="22">
        <f>INDEX($Q216:$AJ216,1,(BF$4-1)*5+1)+BF$8*INDEX($Q216:$AJ216,1,(BF$4-1)*5+2)*INDEX($Q216:$AJ216,1,(BF$4-1)*5+3)</f>
        <v/>
      </c>
      <c r="BG216" s="22">
        <f>INDEX($Q216:$AJ216,1,(BG$4-1)*5+1)+BG$8*INDEX($Q216:$AJ216,1,(BG$4-1)*5+2)*INDEX($Q216:$AJ216,1,(BG$4-1)*5+3)</f>
        <v/>
      </c>
      <c r="BH216" s="22">
        <f>INDEX($Q216:$AJ216,1,(BH$4-1)*5+1)+BH$8*INDEX($Q216:$AJ216,1,(BH$4-1)*5+2)*INDEX($Q216:$AJ216,1,(BH$4-1)*5+3)</f>
        <v/>
      </c>
      <c r="BI216" s="22">
        <f>INDEX($Q216:$AJ216,1,(BI$4-1)*5+1)+BI$8*INDEX($Q216:$AJ216,1,(BI$4-1)*5+2)*INDEX($Q216:$AJ216,1,(BI$4-1)*5+3)</f>
        <v/>
      </c>
      <c r="BJ216" s="22">
        <f>INDEX($Q216:$AJ216,1,(BJ$4-1)*5+1)+BJ$8*INDEX($Q216:$AJ216,1,(BJ$4-1)*5+2)*INDEX($Q216:$AJ216,1,(BJ$4-1)*5+3)</f>
        <v/>
      </c>
      <c r="BK216" s="22">
        <f>INDEX($Q216:$AJ216,1,(BK$4-1)*5+1)+BK$8*INDEX($Q216:$AJ216,1,(BK$4-1)*5+2)*INDEX($Q216:$AJ216,1,(BK$4-1)*5+3)</f>
        <v/>
      </c>
      <c r="BL216" s="22">
        <f>INDEX($Q216:$AJ216,1,(BL$4-1)*5+1)+BL$8*INDEX($Q216:$AJ216,1,(BL$4-1)*5+2)*INDEX($Q216:$AJ216,1,(BL$4-1)*5+3)</f>
        <v/>
      </c>
      <c r="BM216" s="22">
        <f>INDEX($Q216:$AJ216,1,(BM$4-1)*5+1)+BM$8*INDEX($Q216:$AJ216,1,(BM$4-1)*5+2)*INDEX($Q216:$AJ216,1,(BM$4-1)*5+3)</f>
        <v/>
      </c>
      <c r="BN216" s="22">
        <f>INDEX($Q216:$AJ216,1,(BN$4-1)*5+1)+BN$8*INDEX($Q216:$AJ216,1,(BN$4-1)*5+2)*INDEX($Q216:$AJ216,1,(BN$4-1)*5+3)</f>
        <v/>
      </c>
    </row>
    <row r="217">
      <c r="B217" s="5" t="inlineStr">
        <is>
          <t>lpg</t>
        </is>
      </c>
      <c r="C217" s="5" t="inlineStr">
        <is>
          <t>nfm</t>
        </is>
      </c>
      <c r="D217" s="5" t="inlineStr">
        <is>
          <t>Tax | Other metals | LPG</t>
        </is>
      </c>
      <c r="E217" s="5" t="inlineStr">
        <is>
          <t>$/GJ</t>
        </is>
      </c>
      <c r="F217" s="5" t="inlineStr">
        <is>
          <t>Prices_dom, EF_GHG, Mapping</t>
        </is>
      </c>
      <c r="G217" s="19" t="inlineStr">
        <is>
          <t>mit.rp.lpg</t>
        </is>
      </c>
      <c r="H217" s="19" t="inlineStr">
        <is>
          <t>mit.tax.lpg.nfm</t>
        </is>
      </c>
      <c r="J217" s="5">
        <f>INDEX(Mapping!$C$5:$C$20,MATCH($C217,Mapping!$A$5:$A$20,0))</f>
        <v/>
      </c>
      <c r="K217" s="5">
        <f>INDEX(Mapping!$D$5:$D$20,MATCH($C217,Mapping!$A$5:$A$20,0))</f>
        <v/>
      </c>
      <c r="L217" s="5">
        <f>INDEX(Mapping!$C$24:$C$31,MATCH($B217,Mapping!$A$24:$A$31,0))</f>
        <v/>
      </c>
      <c r="M217" s="5">
        <f>INDEX(Mapping!$D$24:$D$31,MATCH($B217,Mapping!$A$24:$A$31,0))</f>
        <v/>
      </c>
      <c r="N217" s="5">
        <f>$B217&amp;"."&amp;IF(INDEX(Mapping!$E$24:$E$31,MATCH($B217,Mapping!$A$24:$A$31,0))="sub",INDEX(Mapping!$F$5:$F$20,MATCH($C217,Mapping!$A$5:$A$20,0)),"all")</f>
        <v/>
      </c>
      <c r="O217" s="5">
        <f>INDEX(Mapping!$E$5:$E$20,MATCH($C217,Mapping!$A$5:$A$20,0))</f>
        <v/>
      </c>
      <c r="P217" s="5">
        <f>INDEX(Mapping!$G$24:$G$31,MATCH($B217,Mapping!$A$24:$A$31,0))</f>
        <v/>
      </c>
      <c r="Q217" s="22">
        <f>(INDEX(Prices_dom!$A$6:$CU$2000,MATCH(Settings!$C$4&amp;Settings!$C$7,Prices_dom!$A$6:$A$2000,0),MATCH("mit.rp."&amp;$N217,Prices_dom!$A$5:$CU$5,0))-INDEX(Prices_dom!$A$6:$CU$2000,MATCH(Settings!$C$4&amp;Settings!$C$7,Prices_dom!$A$6:$A$2000,0),MATCH("mit.sp."&amp;$N217,Prices_dom!$A$5:$CU$5,0)))/$P217</f>
        <v/>
      </c>
      <c r="R217" s="22">
        <f>INDEX(EF_GHG!$E$4:$E$1000,MATCH(Settings!$C$4&amp;"|"&amp;$B217&amp;"|"&amp;$O217,EF_GHG!$A$4:$A$1000,0))</f>
        <v/>
      </c>
      <c r="S217" s="22">
        <f>INDEX(Mapping!$G$5:$G$20,MATCH($C217,Mapping!$A$5:$A$20,0))</f>
        <v/>
      </c>
      <c r="T217" s="21" t="n"/>
      <c r="U217" s="21" t="n"/>
      <c r="V217" s="22">
        <f>Q217</f>
        <v/>
      </c>
      <c r="W217" s="22">
        <f>R217</f>
        <v/>
      </c>
      <c r="X217" s="22">
        <f>S217</f>
        <v/>
      </c>
      <c r="Y217" s="21" t="n"/>
      <c r="Z217" s="21" t="n"/>
      <c r="AA217" s="22">
        <f>Q217</f>
        <v/>
      </c>
      <c r="AB217" s="22">
        <f>R217</f>
        <v/>
      </c>
      <c r="AC217" s="22">
        <f>S217</f>
        <v/>
      </c>
      <c r="AD217" s="21" t="n"/>
      <c r="AE217" s="21" t="n"/>
      <c r="AF217" s="22">
        <f>Q217</f>
        <v/>
      </c>
      <c r="AG217" s="22">
        <f>R217</f>
        <v/>
      </c>
      <c r="AH217" s="22">
        <f>S217</f>
        <v/>
      </c>
      <c r="AI217" s="21" t="n"/>
      <c r="AJ217" s="21" t="n"/>
      <c r="AL217" s="23">
        <f>INDEX($Q217:$AJ217,1,(AL$4-1)*5+1)+AL$8*INDEX($Q217:$AJ217,1,(AL$4-1)*5+2)*INDEX($Q217:$AJ217,1,(AL$4-1)*5+3)</f>
        <v/>
      </c>
      <c r="AM217" s="22">
        <f>INDEX($Q217:$AJ217,1,(AM$4-1)*5+1)+AM$8*INDEX($Q217:$AJ217,1,(AM$4-1)*5+2)*INDEX($Q217:$AJ217,1,(AM$4-1)*5+3)</f>
        <v/>
      </c>
      <c r="AN217" s="22">
        <f>INDEX($Q217:$AJ217,1,(AN$4-1)*5+1)+AN$8*INDEX($Q217:$AJ217,1,(AN$4-1)*5+2)*INDEX($Q217:$AJ217,1,(AN$4-1)*5+3)</f>
        <v/>
      </c>
      <c r="AO217" s="22">
        <f>INDEX($Q217:$AJ217,1,(AO$4-1)*5+1)+AO$8*INDEX($Q217:$AJ217,1,(AO$4-1)*5+2)*INDEX($Q217:$AJ217,1,(AO$4-1)*5+3)</f>
        <v/>
      </c>
      <c r="AP217" s="22">
        <f>INDEX($Q217:$AJ217,1,(AP$4-1)*5+1)+AP$8*INDEX($Q217:$AJ217,1,(AP$4-1)*5+2)*INDEX($Q217:$AJ217,1,(AP$4-1)*5+3)</f>
        <v/>
      </c>
      <c r="AQ217" s="22">
        <f>INDEX($Q217:$AJ217,1,(AQ$4-1)*5+1)+AQ$8*INDEX($Q217:$AJ217,1,(AQ$4-1)*5+2)*INDEX($Q217:$AJ217,1,(AQ$4-1)*5+3)</f>
        <v/>
      </c>
      <c r="AR217" s="22">
        <f>INDEX($Q217:$AJ217,1,(AR$4-1)*5+1)+AR$8*INDEX($Q217:$AJ217,1,(AR$4-1)*5+2)*INDEX($Q217:$AJ217,1,(AR$4-1)*5+3)</f>
        <v/>
      </c>
      <c r="AS217" s="22">
        <f>INDEX($Q217:$AJ217,1,(AS$4-1)*5+1)+AS$8*INDEX($Q217:$AJ217,1,(AS$4-1)*5+2)*INDEX($Q217:$AJ217,1,(AS$4-1)*5+3)</f>
        <v/>
      </c>
      <c r="AT217" s="22">
        <f>INDEX($Q217:$AJ217,1,(AT$4-1)*5+1)+AT$8*INDEX($Q217:$AJ217,1,(AT$4-1)*5+2)*INDEX($Q217:$AJ217,1,(AT$4-1)*5+3)</f>
        <v/>
      </c>
      <c r="AU217" s="22">
        <f>INDEX($Q217:$AJ217,1,(AU$4-1)*5+1)+AU$8*INDEX($Q217:$AJ217,1,(AU$4-1)*5+2)*INDEX($Q217:$AJ217,1,(AU$4-1)*5+3)</f>
        <v/>
      </c>
      <c r="AV217" s="22">
        <f>INDEX($Q217:$AJ217,1,(AV$4-1)*5+1)+AV$8*INDEX($Q217:$AJ217,1,(AV$4-1)*5+2)*INDEX($Q217:$AJ217,1,(AV$4-1)*5+3)</f>
        <v/>
      </c>
      <c r="AW217" s="22">
        <f>INDEX($Q217:$AJ217,1,(AW$4-1)*5+1)+AW$8*INDEX($Q217:$AJ217,1,(AW$4-1)*5+2)*INDEX($Q217:$AJ217,1,(AW$4-1)*5+3)</f>
        <v/>
      </c>
      <c r="AX217" s="22">
        <f>INDEX($Q217:$AJ217,1,(AX$4-1)*5+1)+AX$8*INDEX($Q217:$AJ217,1,(AX$4-1)*5+2)*INDEX($Q217:$AJ217,1,(AX$4-1)*5+3)</f>
        <v/>
      </c>
      <c r="AY217" s="22">
        <f>INDEX($Q217:$AJ217,1,(AY$4-1)*5+1)+AY$8*INDEX($Q217:$AJ217,1,(AY$4-1)*5+2)*INDEX($Q217:$AJ217,1,(AY$4-1)*5+3)</f>
        <v/>
      </c>
      <c r="BA217" s="23">
        <f>INDEX($Q217:$AJ217,1,(BA$4-1)*5+1)+BA$8*INDEX($Q217:$AJ217,1,(BA$4-1)*5+2)*INDEX($Q217:$AJ217,1,(BA$4-1)*5+3)</f>
        <v/>
      </c>
      <c r="BB217" s="22">
        <f>INDEX($Q217:$AJ217,1,(BB$4-1)*5+1)+BB$8*INDEX($Q217:$AJ217,1,(BB$4-1)*5+2)*INDEX($Q217:$AJ217,1,(BB$4-1)*5+3)</f>
        <v/>
      </c>
      <c r="BC217" s="22">
        <f>INDEX($Q217:$AJ217,1,(BC$4-1)*5+1)+BC$8*INDEX($Q217:$AJ217,1,(BC$4-1)*5+2)*INDEX($Q217:$AJ217,1,(BC$4-1)*5+3)</f>
        <v/>
      </c>
      <c r="BD217" s="22">
        <f>INDEX($Q217:$AJ217,1,(BD$4-1)*5+1)+BD$8*INDEX($Q217:$AJ217,1,(BD$4-1)*5+2)*INDEX($Q217:$AJ217,1,(BD$4-1)*5+3)</f>
        <v/>
      </c>
      <c r="BE217" s="22">
        <f>INDEX($Q217:$AJ217,1,(BE$4-1)*5+1)+BE$8*INDEX($Q217:$AJ217,1,(BE$4-1)*5+2)*INDEX($Q217:$AJ217,1,(BE$4-1)*5+3)</f>
        <v/>
      </c>
      <c r="BF217" s="22">
        <f>INDEX($Q217:$AJ217,1,(BF$4-1)*5+1)+BF$8*INDEX($Q217:$AJ217,1,(BF$4-1)*5+2)*INDEX($Q217:$AJ217,1,(BF$4-1)*5+3)</f>
        <v/>
      </c>
      <c r="BG217" s="22">
        <f>INDEX($Q217:$AJ217,1,(BG$4-1)*5+1)+BG$8*INDEX($Q217:$AJ217,1,(BG$4-1)*5+2)*INDEX($Q217:$AJ217,1,(BG$4-1)*5+3)</f>
        <v/>
      </c>
      <c r="BH217" s="22">
        <f>INDEX($Q217:$AJ217,1,(BH$4-1)*5+1)+BH$8*INDEX($Q217:$AJ217,1,(BH$4-1)*5+2)*INDEX($Q217:$AJ217,1,(BH$4-1)*5+3)</f>
        <v/>
      </c>
      <c r="BI217" s="22">
        <f>INDEX($Q217:$AJ217,1,(BI$4-1)*5+1)+BI$8*INDEX($Q217:$AJ217,1,(BI$4-1)*5+2)*INDEX($Q217:$AJ217,1,(BI$4-1)*5+3)</f>
        <v/>
      </c>
      <c r="BJ217" s="22">
        <f>INDEX($Q217:$AJ217,1,(BJ$4-1)*5+1)+BJ$8*INDEX($Q217:$AJ217,1,(BJ$4-1)*5+2)*INDEX($Q217:$AJ217,1,(BJ$4-1)*5+3)</f>
        <v/>
      </c>
      <c r="BK217" s="22">
        <f>INDEX($Q217:$AJ217,1,(BK$4-1)*5+1)+BK$8*INDEX($Q217:$AJ217,1,(BK$4-1)*5+2)*INDEX($Q217:$AJ217,1,(BK$4-1)*5+3)</f>
        <v/>
      </c>
      <c r="BL217" s="22">
        <f>INDEX($Q217:$AJ217,1,(BL$4-1)*5+1)+BL$8*INDEX($Q217:$AJ217,1,(BL$4-1)*5+2)*INDEX($Q217:$AJ217,1,(BL$4-1)*5+3)</f>
        <v/>
      </c>
      <c r="BM217" s="22">
        <f>INDEX($Q217:$AJ217,1,(BM$4-1)*5+1)+BM$8*INDEX($Q217:$AJ217,1,(BM$4-1)*5+2)*INDEX($Q217:$AJ217,1,(BM$4-1)*5+3)</f>
        <v/>
      </c>
      <c r="BN217" s="22">
        <f>INDEX($Q217:$AJ217,1,(BN$4-1)*5+1)+BN$8*INDEX($Q217:$AJ217,1,(BN$4-1)*5+2)*INDEX($Q217:$AJ217,1,(BN$4-1)*5+3)</f>
        <v/>
      </c>
    </row>
    <row r="218">
      <c r="B218" s="5" t="inlineStr">
        <is>
          <t>ker</t>
        </is>
      </c>
      <c r="C218" s="5" t="inlineStr">
        <is>
          <t>nfm</t>
        </is>
      </c>
      <c r="D218" s="5" t="inlineStr">
        <is>
          <t>Tax | Other metals | Kerosene</t>
        </is>
      </c>
      <c r="E218" s="5" t="inlineStr">
        <is>
          <t>$/GJ</t>
        </is>
      </c>
      <c r="F218" s="5" t="inlineStr">
        <is>
          <t>Prices_dom, EF_GHG, Mapping</t>
        </is>
      </c>
      <c r="G218" s="19" t="inlineStr">
        <is>
          <t>mit.rp.ker</t>
        </is>
      </c>
      <c r="H218" s="19" t="inlineStr">
        <is>
          <t>mit.tax.ker.nfm</t>
        </is>
      </c>
      <c r="J218" s="5">
        <f>INDEX(Mapping!$C$5:$C$20,MATCH($C218,Mapping!$A$5:$A$20,0))</f>
        <v/>
      </c>
      <c r="K218" s="5">
        <f>INDEX(Mapping!$D$5:$D$20,MATCH($C218,Mapping!$A$5:$A$20,0))</f>
        <v/>
      </c>
      <c r="L218" s="5">
        <f>INDEX(Mapping!$C$24:$C$31,MATCH($B218,Mapping!$A$24:$A$31,0))</f>
        <v/>
      </c>
      <c r="M218" s="5">
        <f>INDEX(Mapping!$D$24:$D$31,MATCH($B218,Mapping!$A$24:$A$31,0))</f>
        <v/>
      </c>
      <c r="N218" s="5">
        <f>$B218&amp;"."&amp;IF(INDEX(Mapping!$E$24:$E$31,MATCH($B218,Mapping!$A$24:$A$31,0))="sub",INDEX(Mapping!$F$5:$F$20,MATCH($C218,Mapping!$A$5:$A$20,0)),"all")</f>
        <v/>
      </c>
      <c r="O218" s="5">
        <f>INDEX(Mapping!$E$5:$E$20,MATCH($C218,Mapping!$A$5:$A$20,0))</f>
        <v/>
      </c>
      <c r="P218" s="5">
        <f>INDEX(Mapping!$G$24:$G$31,MATCH($B218,Mapping!$A$24:$A$31,0))</f>
        <v/>
      </c>
      <c r="Q218" s="22">
        <f>(INDEX(Prices_dom!$A$6:$CU$2000,MATCH(Settings!$C$4&amp;Settings!$C$7,Prices_dom!$A$6:$A$2000,0),MATCH("mit.rp."&amp;$N218,Prices_dom!$A$5:$CU$5,0))-INDEX(Prices_dom!$A$6:$CU$2000,MATCH(Settings!$C$4&amp;Settings!$C$7,Prices_dom!$A$6:$A$2000,0),MATCH("mit.sp."&amp;$N218,Prices_dom!$A$5:$CU$5,0)))/$P218</f>
        <v/>
      </c>
      <c r="R218" s="22">
        <f>INDEX(EF_GHG!$E$4:$E$1000,MATCH(Settings!$C$4&amp;"|"&amp;$B218&amp;"|"&amp;$O218,EF_GHG!$A$4:$A$1000,0))</f>
        <v/>
      </c>
      <c r="S218" s="22">
        <f>INDEX(Mapping!$G$5:$G$20,MATCH($C218,Mapping!$A$5:$A$20,0))</f>
        <v/>
      </c>
      <c r="T218" s="21" t="n"/>
      <c r="U218" s="21" t="n"/>
      <c r="V218" s="22">
        <f>Q218</f>
        <v/>
      </c>
      <c r="W218" s="22">
        <f>R218</f>
        <v/>
      </c>
      <c r="X218" s="22">
        <f>S218</f>
        <v/>
      </c>
      <c r="Y218" s="21" t="n"/>
      <c r="Z218" s="21" t="n"/>
      <c r="AA218" s="22">
        <f>Q218</f>
        <v/>
      </c>
      <c r="AB218" s="22">
        <f>R218</f>
        <v/>
      </c>
      <c r="AC218" s="22">
        <f>S218</f>
        <v/>
      </c>
      <c r="AD218" s="21" t="n"/>
      <c r="AE218" s="21" t="n"/>
      <c r="AF218" s="22">
        <f>Q218</f>
        <v/>
      </c>
      <c r="AG218" s="22">
        <f>R218</f>
        <v/>
      </c>
      <c r="AH218" s="22">
        <f>S218</f>
        <v/>
      </c>
      <c r="AI218" s="21" t="n"/>
      <c r="AJ218" s="21" t="n"/>
      <c r="AL218" s="23">
        <f>INDEX($Q218:$AJ218,1,(AL$4-1)*5+1)+AL$8*INDEX($Q218:$AJ218,1,(AL$4-1)*5+2)*INDEX($Q218:$AJ218,1,(AL$4-1)*5+3)</f>
        <v/>
      </c>
      <c r="AM218" s="22">
        <f>INDEX($Q218:$AJ218,1,(AM$4-1)*5+1)+AM$8*INDEX($Q218:$AJ218,1,(AM$4-1)*5+2)*INDEX($Q218:$AJ218,1,(AM$4-1)*5+3)</f>
        <v/>
      </c>
      <c r="AN218" s="22">
        <f>INDEX($Q218:$AJ218,1,(AN$4-1)*5+1)+AN$8*INDEX($Q218:$AJ218,1,(AN$4-1)*5+2)*INDEX($Q218:$AJ218,1,(AN$4-1)*5+3)</f>
        <v/>
      </c>
      <c r="AO218" s="22">
        <f>INDEX($Q218:$AJ218,1,(AO$4-1)*5+1)+AO$8*INDEX($Q218:$AJ218,1,(AO$4-1)*5+2)*INDEX($Q218:$AJ218,1,(AO$4-1)*5+3)</f>
        <v/>
      </c>
      <c r="AP218" s="22">
        <f>INDEX($Q218:$AJ218,1,(AP$4-1)*5+1)+AP$8*INDEX($Q218:$AJ218,1,(AP$4-1)*5+2)*INDEX($Q218:$AJ218,1,(AP$4-1)*5+3)</f>
        <v/>
      </c>
      <c r="AQ218" s="22">
        <f>INDEX($Q218:$AJ218,1,(AQ$4-1)*5+1)+AQ$8*INDEX($Q218:$AJ218,1,(AQ$4-1)*5+2)*INDEX($Q218:$AJ218,1,(AQ$4-1)*5+3)</f>
        <v/>
      </c>
      <c r="AR218" s="22">
        <f>INDEX($Q218:$AJ218,1,(AR$4-1)*5+1)+AR$8*INDEX($Q218:$AJ218,1,(AR$4-1)*5+2)*INDEX($Q218:$AJ218,1,(AR$4-1)*5+3)</f>
        <v/>
      </c>
      <c r="AS218" s="22">
        <f>INDEX($Q218:$AJ218,1,(AS$4-1)*5+1)+AS$8*INDEX($Q218:$AJ218,1,(AS$4-1)*5+2)*INDEX($Q218:$AJ218,1,(AS$4-1)*5+3)</f>
        <v/>
      </c>
      <c r="AT218" s="22">
        <f>INDEX($Q218:$AJ218,1,(AT$4-1)*5+1)+AT$8*INDEX($Q218:$AJ218,1,(AT$4-1)*5+2)*INDEX($Q218:$AJ218,1,(AT$4-1)*5+3)</f>
        <v/>
      </c>
      <c r="AU218" s="22">
        <f>INDEX($Q218:$AJ218,1,(AU$4-1)*5+1)+AU$8*INDEX($Q218:$AJ218,1,(AU$4-1)*5+2)*INDEX($Q218:$AJ218,1,(AU$4-1)*5+3)</f>
        <v/>
      </c>
      <c r="AV218" s="22">
        <f>INDEX($Q218:$AJ218,1,(AV$4-1)*5+1)+AV$8*INDEX($Q218:$AJ218,1,(AV$4-1)*5+2)*INDEX($Q218:$AJ218,1,(AV$4-1)*5+3)</f>
        <v/>
      </c>
      <c r="AW218" s="22">
        <f>INDEX($Q218:$AJ218,1,(AW$4-1)*5+1)+AW$8*INDEX($Q218:$AJ218,1,(AW$4-1)*5+2)*INDEX($Q218:$AJ218,1,(AW$4-1)*5+3)</f>
        <v/>
      </c>
      <c r="AX218" s="22">
        <f>INDEX($Q218:$AJ218,1,(AX$4-1)*5+1)+AX$8*INDEX($Q218:$AJ218,1,(AX$4-1)*5+2)*INDEX($Q218:$AJ218,1,(AX$4-1)*5+3)</f>
        <v/>
      </c>
      <c r="AY218" s="22">
        <f>INDEX($Q218:$AJ218,1,(AY$4-1)*5+1)+AY$8*INDEX($Q218:$AJ218,1,(AY$4-1)*5+2)*INDEX($Q218:$AJ218,1,(AY$4-1)*5+3)</f>
        <v/>
      </c>
      <c r="BA218" s="23">
        <f>INDEX($Q218:$AJ218,1,(BA$4-1)*5+1)+BA$8*INDEX($Q218:$AJ218,1,(BA$4-1)*5+2)*INDEX($Q218:$AJ218,1,(BA$4-1)*5+3)</f>
        <v/>
      </c>
      <c r="BB218" s="22">
        <f>INDEX($Q218:$AJ218,1,(BB$4-1)*5+1)+BB$8*INDEX($Q218:$AJ218,1,(BB$4-1)*5+2)*INDEX($Q218:$AJ218,1,(BB$4-1)*5+3)</f>
        <v/>
      </c>
      <c r="BC218" s="22">
        <f>INDEX($Q218:$AJ218,1,(BC$4-1)*5+1)+BC$8*INDEX($Q218:$AJ218,1,(BC$4-1)*5+2)*INDEX($Q218:$AJ218,1,(BC$4-1)*5+3)</f>
        <v/>
      </c>
      <c r="BD218" s="22">
        <f>INDEX($Q218:$AJ218,1,(BD$4-1)*5+1)+BD$8*INDEX($Q218:$AJ218,1,(BD$4-1)*5+2)*INDEX($Q218:$AJ218,1,(BD$4-1)*5+3)</f>
        <v/>
      </c>
      <c r="BE218" s="22">
        <f>INDEX($Q218:$AJ218,1,(BE$4-1)*5+1)+BE$8*INDEX($Q218:$AJ218,1,(BE$4-1)*5+2)*INDEX($Q218:$AJ218,1,(BE$4-1)*5+3)</f>
        <v/>
      </c>
      <c r="BF218" s="22">
        <f>INDEX($Q218:$AJ218,1,(BF$4-1)*5+1)+BF$8*INDEX($Q218:$AJ218,1,(BF$4-1)*5+2)*INDEX($Q218:$AJ218,1,(BF$4-1)*5+3)</f>
        <v/>
      </c>
      <c r="BG218" s="22">
        <f>INDEX($Q218:$AJ218,1,(BG$4-1)*5+1)+BG$8*INDEX($Q218:$AJ218,1,(BG$4-1)*5+2)*INDEX($Q218:$AJ218,1,(BG$4-1)*5+3)</f>
        <v/>
      </c>
      <c r="BH218" s="22">
        <f>INDEX($Q218:$AJ218,1,(BH$4-1)*5+1)+BH$8*INDEX($Q218:$AJ218,1,(BH$4-1)*5+2)*INDEX($Q218:$AJ218,1,(BH$4-1)*5+3)</f>
        <v/>
      </c>
      <c r="BI218" s="22">
        <f>INDEX($Q218:$AJ218,1,(BI$4-1)*5+1)+BI$8*INDEX($Q218:$AJ218,1,(BI$4-1)*5+2)*INDEX($Q218:$AJ218,1,(BI$4-1)*5+3)</f>
        <v/>
      </c>
      <c r="BJ218" s="22">
        <f>INDEX($Q218:$AJ218,1,(BJ$4-1)*5+1)+BJ$8*INDEX($Q218:$AJ218,1,(BJ$4-1)*5+2)*INDEX($Q218:$AJ218,1,(BJ$4-1)*5+3)</f>
        <v/>
      </c>
      <c r="BK218" s="22">
        <f>INDEX($Q218:$AJ218,1,(BK$4-1)*5+1)+BK$8*INDEX($Q218:$AJ218,1,(BK$4-1)*5+2)*INDEX($Q218:$AJ218,1,(BK$4-1)*5+3)</f>
        <v/>
      </c>
      <c r="BL218" s="22">
        <f>INDEX($Q218:$AJ218,1,(BL$4-1)*5+1)+BL$8*INDEX($Q218:$AJ218,1,(BL$4-1)*5+2)*INDEX($Q218:$AJ218,1,(BL$4-1)*5+3)</f>
        <v/>
      </c>
      <c r="BM218" s="22">
        <f>INDEX($Q218:$AJ218,1,(BM$4-1)*5+1)+BM$8*INDEX($Q218:$AJ218,1,(BM$4-1)*5+2)*INDEX($Q218:$AJ218,1,(BM$4-1)*5+3)</f>
        <v/>
      </c>
      <c r="BN218" s="22">
        <f>INDEX($Q218:$AJ218,1,(BN$4-1)*5+1)+BN$8*INDEX($Q218:$AJ218,1,(BN$4-1)*5+2)*INDEX($Q218:$AJ218,1,(BN$4-1)*5+3)</f>
        <v/>
      </c>
    </row>
    <row r="219">
      <c r="B219" s="5" t="inlineStr">
        <is>
          <t>oop</t>
        </is>
      </c>
      <c r="C219" s="5" t="inlineStr">
        <is>
          <t>nfm</t>
        </is>
      </c>
      <c r="D219" s="5" t="inlineStr">
        <is>
          <t>Tax | Other metals | Other oil products</t>
        </is>
      </c>
      <c r="E219" s="5" t="inlineStr">
        <is>
          <t>$/GJ</t>
        </is>
      </c>
      <c r="F219" s="5" t="inlineStr">
        <is>
          <t>Prices_dom, EF_GHG, Mapping</t>
        </is>
      </c>
      <c r="G219" s="19" t="inlineStr">
        <is>
          <t>mit.rp.oop</t>
        </is>
      </c>
      <c r="H219" s="19" t="inlineStr">
        <is>
          <t>mit.tax.oop.nfm</t>
        </is>
      </c>
      <c r="J219" s="5">
        <f>INDEX(Mapping!$C$5:$C$20,MATCH($C219,Mapping!$A$5:$A$20,0))</f>
        <v/>
      </c>
      <c r="K219" s="5">
        <f>INDEX(Mapping!$D$5:$D$20,MATCH($C219,Mapping!$A$5:$A$20,0))</f>
        <v/>
      </c>
      <c r="L219" s="5">
        <f>INDEX(Mapping!$C$24:$C$31,MATCH($B219,Mapping!$A$24:$A$31,0))</f>
        <v/>
      </c>
      <c r="M219" s="5">
        <f>INDEX(Mapping!$D$24:$D$31,MATCH($B219,Mapping!$A$24:$A$31,0))</f>
        <v/>
      </c>
      <c r="N219" s="5">
        <f>$B219&amp;"."&amp;IF(INDEX(Mapping!$E$24:$E$31,MATCH($B219,Mapping!$A$24:$A$31,0))="sub",INDEX(Mapping!$F$5:$F$20,MATCH($C219,Mapping!$A$5:$A$20,0)),"all")</f>
        <v/>
      </c>
      <c r="O219" s="5">
        <f>INDEX(Mapping!$E$5:$E$20,MATCH($C219,Mapping!$A$5:$A$20,0))</f>
        <v/>
      </c>
      <c r="P219" s="5">
        <f>INDEX(Mapping!$G$24:$G$31,MATCH($B219,Mapping!$A$24:$A$31,0))</f>
        <v/>
      </c>
      <c r="Q219" s="22">
        <f>(INDEX(Prices_dom!$A$6:$CU$2000,MATCH(Settings!$C$4&amp;Settings!$C$7,Prices_dom!$A$6:$A$2000,0),MATCH("mit.rp."&amp;$N219,Prices_dom!$A$5:$CU$5,0))-INDEX(Prices_dom!$A$6:$CU$2000,MATCH(Settings!$C$4&amp;Settings!$C$7,Prices_dom!$A$6:$A$2000,0),MATCH("mit.sp."&amp;$N219,Prices_dom!$A$5:$CU$5,0)))/$P219</f>
        <v/>
      </c>
      <c r="R219" s="22">
        <f>INDEX(EF_GHG!$E$4:$E$1000,MATCH(Settings!$C$4&amp;"|"&amp;$B219&amp;"|"&amp;$O219,EF_GHG!$A$4:$A$1000,0))</f>
        <v/>
      </c>
      <c r="S219" s="22">
        <f>INDEX(Mapping!$G$5:$G$20,MATCH($C219,Mapping!$A$5:$A$20,0))</f>
        <v/>
      </c>
      <c r="T219" s="21" t="n"/>
      <c r="U219" s="21" t="n"/>
      <c r="V219" s="22">
        <f>Q219</f>
        <v/>
      </c>
      <c r="W219" s="22">
        <f>R219</f>
        <v/>
      </c>
      <c r="X219" s="22">
        <f>S219</f>
        <v/>
      </c>
      <c r="Y219" s="21" t="n"/>
      <c r="Z219" s="21" t="n"/>
      <c r="AA219" s="22">
        <f>Q219</f>
        <v/>
      </c>
      <c r="AB219" s="22">
        <f>R219</f>
        <v/>
      </c>
      <c r="AC219" s="22">
        <f>S219</f>
        <v/>
      </c>
      <c r="AD219" s="21" t="n"/>
      <c r="AE219" s="21" t="n"/>
      <c r="AF219" s="22">
        <f>Q219</f>
        <v/>
      </c>
      <c r="AG219" s="22">
        <f>R219</f>
        <v/>
      </c>
      <c r="AH219" s="22">
        <f>S219</f>
        <v/>
      </c>
      <c r="AI219" s="21" t="n"/>
      <c r="AJ219" s="21" t="n"/>
      <c r="AL219" s="23">
        <f>INDEX($Q219:$AJ219,1,(AL$4-1)*5+1)+AL$8*INDEX($Q219:$AJ219,1,(AL$4-1)*5+2)*INDEX($Q219:$AJ219,1,(AL$4-1)*5+3)</f>
        <v/>
      </c>
      <c r="AM219" s="22">
        <f>INDEX($Q219:$AJ219,1,(AM$4-1)*5+1)+AM$8*INDEX($Q219:$AJ219,1,(AM$4-1)*5+2)*INDEX($Q219:$AJ219,1,(AM$4-1)*5+3)</f>
        <v/>
      </c>
      <c r="AN219" s="22">
        <f>INDEX($Q219:$AJ219,1,(AN$4-1)*5+1)+AN$8*INDEX($Q219:$AJ219,1,(AN$4-1)*5+2)*INDEX($Q219:$AJ219,1,(AN$4-1)*5+3)</f>
        <v/>
      </c>
      <c r="AO219" s="22">
        <f>INDEX($Q219:$AJ219,1,(AO$4-1)*5+1)+AO$8*INDEX($Q219:$AJ219,1,(AO$4-1)*5+2)*INDEX($Q219:$AJ219,1,(AO$4-1)*5+3)</f>
        <v/>
      </c>
      <c r="AP219" s="22">
        <f>INDEX($Q219:$AJ219,1,(AP$4-1)*5+1)+AP$8*INDEX($Q219:$AJ219,1,(AP$4-1)*5+2)*INDEX($Q219:$AJ219,1,(AP$4-1)*5+3)</f>
        <v/>
      </c>
      <c r="AQ219" s="22">
        <f>INDEX($Q219:$AJ219,1,(AQ$4-1)*5+1)+AQ$8*INDEX($Q219:$AJ219,1,(AQ$4-1)*5+2)*INDEX($Q219:$AJ219,1,(AQ$4-1)*5+3)</f>
        <v/>
      </c>
      <c r="AR219" s="22">
        <f>INDEX($Q219:$AJ219,1,(AR$4-1)*5+1)+AR$8*INDEX($Q219:$AJ219,1,(AR$4-1)*5+2)*INDEX($Q219:$AJ219,1,(AR$4-1)*5+3)</f>
        <v/>
      </c>
      <c r="AS219" s="22">
        <f>INDEX($Q219:$AJ219,1,(AS$4-1)*5+1)+AS$8*INDEX($Q219:$AJ219,1,(AS$4-1)*5+2)*INDEX($Q219:$AJ219,1,(AS$4-1)*5+3)</f>
        <v/>
      </c>
      <c r="AT219" s="22">
        <f>INDEX($Q219:$AJ219,1,(AT$4-1)*5+1)+AT$8*INDEX($Q219:$AJ219,1,(AT$4-1)*5+2)*INDEX($Q219:$AJ219,1,(AT$4-1)*5+3)</f>
        <v/>
      </c>
      <c r="AU219" s="22">
        <f>INDEX($Q219:$AJ219,1,(AU$4-1)*5+1)+AU$8*INDEX($Q219:$AJ219,1,(AU$4-1)*5+2)*INDEX($Q219:$AJ219,1,(AU$4-1)*5+3)</f>
        <v/>
      </c>
      <c r="AV219" s="22">
        <f>INDEX($Q219:$AJ219,1,(AV$4-1)*5+1)+AV$8*INDEX($Q219:$AJ219,1,(AV$4-1)*5+2)*INDEX($Q219:$AJ219,1,(AV$4-1)*5+3)</f>
        <v/>
      </c>
      <c r="AW219" s="22">
        <f>INDEX($Q219:$AJ219,1,(AW$4-1)*5+1)+AW$8*INDEX($Q219:$AJ219,1,(AW$4-1)*5+2)*INDEX($Q219:$AJ219,1,(AW$4-1)*5+3)</f>
        <v/>
      </c>
      <c r="AX219" s="22">
        <f>INDEX($Q219:$AJ219,1,(AX$4-1)*5+1)+AX$8*INDEX($Q219:$AJ219,1,(AX$4-1)*5+2)*INDEX($Q219:$AJ219,1,(AX$4-1)*5+3)</f>
        <v/>
      </c>
      <c r="AY219" s="22">
        <f>INDEX($Q219:$AJ219,1,(AY$4-1)*5+1)+AY$8*INDEX($Q219:$AJ219,1,(AY$4-1)*5+2)*INDEX($Q219:$AJ219,1,(AY$4-1)*5+3)</f>
        <v/>
      </c>
      <c r="BA219" s="23">
        <f>INDEX($Q219:$AJ219,1,(BA$4-1)*5+1)+BA$8*INDEX($Q219:$AJ219,1,(BA$4-1)*5+2)*INDEX($Q219:$AJ219,1,(BA$4-1)*5+3)</f>
        <v/>
      </c>
      <c r="BB219" s="22">
        <f>INDEX($Q219:$AJ219,1,(BB$4-1)*5+1)+BB$8*INDEX($Q219:$AJ219,1,(BB$4-1)*5+2)*INDEX($Q219:$AJ219,1,(BB$4-1)*5+3)</f>
        <v/>
      </c>
      <c r="BC219" s="22">
        <f>INDEX($Q219:$AJ219,1,(BC$4-1)*5+1)+BC$8*INDEX($Q219:$AJ219,1,(BC$4-1)*5+2)*INDEX($Q219:$AJ219,1,(BC$4-1)*5+3)</f>
        <v/>
      </c>
      <c r="BD219" s="22">
        <f>INDEX($Q219:$AJ219,1,(BD$4-1)*5+1)+BD$8*INDEX($Q219:$AJ219,1,(BD$4-1)*5+2)*INDEX($Q219:$AJ219,1,(BD$4-1)*5+3)</f>
        <v/>
      </c>
      <c r="BE219" s="22">
        <f>INDEX($Q219:$AJ219,1,(BE$4-1)*5+1)+BE$8*INDEX($Q219:$AJ219,1,(BE$4-1)*5+2)*INDEX($Q219:$AJ219,1,(BE$4-1)*5+3)</f>
        <v/>
      </c>
      <c r="BF219" s="22">
        <f>INDEX($Q219:$AJ219,1,(BF$4-1)*5+1)+BF$8*INDEX($Q219:$AJ219,1,(BF$4-1)*5+2)*INDEX($Q219:$AJ219,1,(BF$4-1)*5+3)</f>
        <v/>
      </c>
      <c r="BG219" s="22">
        <f>INDEX($Q219:$AJ219,1,(BG$4-1)*5+1)+BG$8*INDEX($Q219:$AJ219,1,(BG$4-1)*5+2)*INDEX($Q219:$AJ219,1,(BG$4-1)*5+3)</f>
        <v/>
      </c>
      <c r="BH219" s="22">
        <f>INDEX($Q219:$AJ219,1,(BH$4-1)*5+1)+BH$8*INDEX($Q219:$AJ219,1,(BH$4-1)*5+2)*INDEX($Q219:$AJ219,1,(BH$4-1)*5+3)</f>
        <v/>
      </c>
      <c r="BI219" s="22">
        <f>INDEX($Q219:$AJ219,1,(BI$4-1)*5+1)+BI$8*INDEX($Q219:$AJ219,1,(BI$4-1)*5+2)*INDEX($Q219:$AJ219,1,(BI$4-1)*5+3)</f>
        <v/>
      </c>
      <c r="BJ219" s="22">
        <f>INDEX($Q219:$AJ219,1,(BJ$4-1)*5+1)+BJ$8*INDEX($Q219:$AJ219,1,(BJ$4-1)*5+2)*INDEX($Q219:$AJ219,1,(BJ$4-1)*5+3)</f>
        <v/>
      </c>
      <c r="BK219" s="22">
        <f>INDEX($Q219:$AJ219,1,(BK$4-1)*5+1)+BK$8*INDEX($Q219:$AJ219,1,(BK$4-1)*5+2)*INDEX($Q219:$AJ219,1,(BK$4-1)*5+3)</f>
        <v/>
      </c>
      <c r="BL219" s="22">
        <f>INDEX($Q219:$AJ219,1,(BL$4-1)*5+1)+BL$8*INDEX($Q219:$AJ219,1,(BL$4-1)*5+2)*INDEX($Q219:$AJ219,1,(BL$4-1)*5+3)</f>
        <v/>
      </c>
      <c r="BM219" s="22">
        <f>INDEX($Q219:$AJ219,1,(BM$4-1)*5+1)+BM$8*INDEX($Q219:$AJ219,1,(BM$4-1)*5+2)*INDEX($Q219:$AJ219,1,(BM$4-1)*5+3)</f>
        <v/>
      </c>
      <c r="BN219" s="22">
        <f>INDEX($Q219:$AJ219,1,(BN$4-1)*5+1)+BN$8*INDEX($Q219:$AJ219,1,(BN$4-1)*5+2)*INDEX($Q219:$AJ219,1,(BN$4-1)*5+3)</f>
        <v/>
      </c>
    </row>
    <row r="220">
      <c r="B220" s="5" t="inlineStr">
        <is>
          <t>bio</t>
        </is>
      </c>
      <c r="C220" s="5" t="inlineStr">
        <is>
          <t>nfm</t>
        </is>
      </c>
      <c r="D220" s="5" t="inlineStr">
        <is>
          <t>Tax | Other metals | Biomass</t>
        </is>
      </c>
      <c r="E220" s="5" t="inlineStr">
        <is>
          <t>$/GJ</t>
        </is>
      </c>
      <c r="F220" s="5" t="inlineStr">
        <is>
          <t>Prices_dom, EF_GHG, Mapping</t>
        </is>
      </c>
      <c r="G220" s="19" t="inlineStr">
        <is>
          <t>mit.rp.bio</t>
        </is>
      </c>
      <c r="H220" s="19" t="inlineStr">
        <is>
          <t>mit.tax.bio.nfm</t>
        </is>
      </c>
      <c r="J220" s="5">
        <f>INDEX(Mapping!$C$5:$C$20,MATCH($C220,Mapping!$A$5:$A$20,0))</f>
        <v/>
      </c>
      <c r="K220" s="5">
        <f>INDEX(Mapping!$D$5:$D$20,MATCH($C220,Mapping!$A$5:$A$20,0))</f>
        <v/>
      </c>
      <c r="L220" s="5">
        <f>INDEX(Mapping!$C$24:$C$31,MATCH($B220,Mapping!$A$24:$A$31,0))</f>
        <v/>
      </c>
      <c r="M220" s="5">
        <f>INDEX(Mapping!$D$24:$D$31,MATCH($B220,Mapping!$A$24:$A$31,0))</f>
        <v/>
      </c>
      <c r="N220" s="5">
        <f>$B220&amp;"."&amp;IF(INDEX(Mapping!$E$24:$E$31,MATCH($B220,Mapping!$A$24:$A$31,0))="sub",INDEX(Mapping!$F$5:$F$20,MATCH($C220,Mapping!$A$5:$A$20,0)),"all")</f>
        <v/>
      </c>
      <c r="O220" s="5">
        <f>INDEX(Mapping!$E$5:$E$20,MATCH($C220,Mapping!$A$5:$A$20,0))</f>
        <v/>
      </c>
      <c r="P220" s="5">
        <f>INDEX(Mapping!$G$24:$G$31,MATCH($B220,Mapping!$A$24:$A$31,0))</f>
        <v/>
      </c>
      <c r="Q220" s="22">
        <f>(INDEX(Prices_dom!$A$6:$CU$2000,MATCH(Settings!$C$4&amp;Settings!$C$7,Prices_dom!$A$6:$A$2000,0),MATCH("mit.rp."&amp;$N220,Prices_dom!$A$5:$CU$5,0))-INDEX(Prices_dom!$A$6:$CU$2000,MATCH(Settings!$C$4&amp;Settings!$C$7,Prices_dom!$A$6:$A$2000,0),MATCH("mit.sp."&amp;$N220,Prices_dom!$A$5:$CU$5,0)))/$P220</f>
        <v/>
      </c>
      <c r="R220" s="22">
        <f>INDEX(EF_GHG!$E$4:$E$1000,MATCH(Settings!$C$4&amp;"|"&amp;$B220&amp;"|"&amp;$O220,EF_GHG!$A$4:$A$1000,0))</f>
        <v/>
      </c>
      <c r="S220" s="22">
        <f>INDEX(Mapping!$G$5:$G$20,MATCH($C220,Mapping!$A$5:$A$20,0))</f>
        <v/>
      </c>
      <c r="T220" s="21" t="n"/>
      <c r="U220" s="21" t="n"/>
      <c r="V220" s="22">
        <f>Q220</f>
        <v/>
      </c>
      <c r="W220" s="22">
        <f>R220</f>
        <v/>
      </c>
      <c r="X220" s="22">
        <f>S220</f>
        <v/>
      </c>
      <c r="Y220" s="21" t="n"/>
      <c r="Z220" s="21" t="n"/>
      <c r="AA220" s="22">
        <f>Q220</f>
        <v/>
      </c>
      <c r="AB220" s="22">
        <f>R220</f>
        <v/>
      </c>
      <c r="AC220" s="22">
        <f>S220</f>
        <v/>
      </c>
      <c r="AD220" s="21" t="n"/>
      <c r="AE220" s="21" t="n"/>
      <c r="AF220" s="22">
        <f>Q220</f>
        <v/>
      </c>
      <c r="AG220" s="22">
        <f>R220</f>
        <v/>
      </c>
      <c r="AH220" s="22">
        <f>S220</f>
        <v/>
      </c>
      <c r="AI220" s="21" t="n"/>
      <c r="AJ220" s="21" t="n"/>
      <c r="AL220" s="23">
        <f>INDEX($Q220:$AJ220,1,(AL$4-1)*5+1)+AL$8*INDEX($Q220:$AJ220,1,(AL$4-1)*5+2)*INDEX($Q220:$AJ220,1,(AL$4-1)*5+3)</f>
        <v/>
      </c>
      <c r="AM220" s="22">
        <f>INDEX($Q220:$AJ220,1,(AM$4-1)*5+1)+AM$8*INDEX($Q220:$AJ220,1,(AM$4-1)*5+2)*INDEX($Q220:$AJ220,1,(AM$4-1)*5+3)</f>
        <v/>
      </c>
      <c r="AN220" s="22">
        <f>INDEX($Q220:$AJ220,1,(AN$4-1)*5+1)+AN$8*INDEX($Q220:$AJ220,1,(AN$4-1)*5+2)*INDEX($Q220:$AJ220,1,(AN$4-1)*5+3)</f>
        <v/>
      </c>
      <c r="AO220" s="22">
        <f>INDEX($Q220:$AJ220,1,(AO$4-1)*5+1)+AO$8*INDEX($Q220:$AJ220,1,(AO$4-1)*5+2)*INDEX($Q220:$AJ220,1,(AO$4-1)*5+3)</f>
        <v/>
      </c>
      <c r="AP220" s="22">
        <f>INDEX($Q220:$AJ220,1,(AP$4-1)*5+1)+AP$8*INDEX($Q220:$AJ220,1,(AP$4-1)*5+2)*INDEX($Q220:$AJ220,1,(AP$4-1)*5+3)</f>
        <v/>
      </c>
      <c r="AQ220" s="22">
        <f>INDEX($Q220:$AJ220,1,(AQ$4-1)*5+1)+AQ$8*INDEX($Q220:$AJ220,1,(AQ$4-1)*5+2)*INDEX($Q220:$AJ220,1,(AQ$4-1)*5+3)</f>
        <v/>
      </c>
      <c r="AR220" s="22">
        <f>INDEX($Q220:$AJ220,1,(AR$4-1)*5+1)+AR$8*INDEX($Q220:$AJ220,1,(AR$4-1)*5+2)*INDEX($Q220:$AJ220,1,(AR$4-1)*5+3)</f>
        <v/>
      </c>
      <c r="AS220" s="22">
        <f>INDEX($Q220:$AJ220,1,(AS$4-1)*5+1)+AS$8*INDEX($Q220:$AJ220,1,(AS$4-1)*5+2)*INDEX($Q220:$AJ220,1,(AS$4-1)*5+3)</f>
        <v/>
      </c>
      <c r="AT220" s="22">
        <f>INDEX($Q220:$AJ220,1,(AT$4-1)*5+1)+AT$8*INDEX($Q220:$AJ220,1,(AT$4-1)*5+2)*INDEX($Q220:$AJ220,1,(AT$4-1)*5+3)</f>
        <v/>
      </c>
      <c r="AU220" s="22">
        <f>INDEX($Q220:$AJ220,1,(AU$4-1)*5+1)+AU$8*INDEX($Q220:$AJ220,1,(AU$4-1)*5+2)*INDEX($Q220:$AJ220,1,(AU$4-1)*5+3)</f>
        <v/>
      </c>
      <c r="AV220" s="22">
        <f>INDEX($Q220:$AJ220,1,(AV$4-1)*5+1)+AV$8*INDEX($Q220:$AJ220,1,(AV$4-1)*5+2)*INDEX($Q220:$AJ220,1,(AV$4-1)*5+3)</f>
        <v/>
      </c>
      <c r="AW220" s="22">
        <f>INDEX($Q220:$AJ220,1,(AW$4-1)*5+1)+AW$8*INDEX($Q220:$AJ220,1,(AW$4-1)*5+2)*INDEX($Q220:$AJ220,1,(AW$4-1)*5+3)</f>
        <v/>
      </c>
      <c r="AX220" s="22">
        <f>INDEX($Q220:$AJ220,1,(AX$4-1)*5+1)+AX$8*INDEX($Q220:$AJ220,1,(AX$4-1)*5+2)*INDEX($Q220:$AJ220,1,(AX$4-1)*5+3)</f>
        <v/>
      </c>
      <c r="AY220" s="22">
        <f>INDEX($Q220:$AJ220,1,(AY$4-1)*5+1)+AY$8*INDEX($Q220:$AJ220,1,(AY$4-1)*5+2)*INDEX($Q220:$AJ220,1,(AY$4-1)*5+3)</f>
        <v/>
      </c>
      <c r="BA220" s="23">
        <f>INDEX($Q220:$AJ220,1,(BA$4-1)*5+1)+BA$8*INDEX($Q220:$AJ220,1,(BA$4-1)*5+2)*INDEX($Q220:$AJ220,1,(BA$4-1)*5+3)</f>
        <v/>
      </c>
      <c r="BB220" s="22">
        <f>INDEX($Q220:$AJ220,1,(BB$4-1)*5+1)+BB$8*INDEX($Q220:$AJ220,1,(BB$4-1)*5+2)*INDEX($Q220:$AJ220,1,(BB$4-1)*5+3)</f>
        <v/>
      </c>
      <c r="BC220" s="22">
        <f>INDEX($Q220:$AJ220,1,(BC$4-1)*5+1)+BC$8*INDEX($Q220:$AJ220,1,(BC$4-1)*5+2)*INDEX($Q220:$AJ220,1,(BC$4-1)*5+3)</f>
        <v/>
      </c>
      <c r="BD220" s="22">
        <f>INDEX($Q220:$AJ220,1,(BD$4-1)*5+1)+BD$8*INDEX($Q220:$AJ220,1,(BD$4-1)*5+2)*INDEX($Q220:$AJ220,1,(BD$4-1)*5+3)</f>
        <v/>
      </c>
      <c r="BE220" s="22">
        <f>INDEX($Q220:$AJ220,1,(BE$4-1)*5+1)+BE$8*INDEX($Q220:$AJ220,1,(BE$4-1)*5+2)*INDEX($Q220:$AJ220,1,(BE$4-1)*5+3)</f>
        <v/>
      </c>
      <c r="BF220" s="22">
        <f>INDEX($Q220:$AJ220,1,(BF$4-1)*5+1)+BF$8*INDEX($Q220:$AJ220,1,(BF$4-1)*5+2)*INDEX($Q220:$AJ220,1,(BF$4-1)*5+3)</f>
        <v/>
      </c>
      <c r="BG220" s="22">
        <f>INDEX($Q220:$AJ220,1,(BG$4-1)*5+1)+BG$8*INDEX($Q220:$AJ220,1,(BG$4-1)*5+2)*INDEX($Q220:$AJ220,1,(BG$4-1)*5+3)</f>
        <v/>
      </c>
      <c r="BH220" s="22">
        <f>INDEX($Q220:$AJ220,1,(BH$4-1)*5+1)+BH$8*INDEX($Q220:$AJ220,1,(BH$4-1)*5+2)*INDEX($Q220:$AJ220,1,(BH$4-1)*5+3)</f>
        <v/>
      </c>
      <c r="BI220" s="22">
        <f>INDEX($Q220:$AJ220,1,(BI$4-1)*5+1)+BI$8*INDEX($Q220:$AJ220,1,(BI$4-1)*5+2)*INDEX($Q220:$AJ220,1,(BI$4-1)*5+3)</f>
        <v/>
      </c>
      <c r="BJ220" s="22">
        <f>INDEX($Q220:$AJ220,1,(BJ$4-1)*5+1)+BJ$8*INDEX($Q220:$AJ220,1,(BJ$4-1)*5+2)*INDEX($Q220:$AJ220,1,(BJ$4-1)*5+3)</f>
        <v/>
      </c>
      <c r="BK220" s="22">
        <f>INDEX($Q220:$AJ220,1,(BK$4-1)*5+1)+BK$8*INDEX($Q220:$AJ220,1,(BK$4-1)*5+2)*INDEX($Q220:$AJ220,1,(BK$4-1)*5+3)</f>
        <v/>
      </c>
      <c r="BL220" s="22">
        <f>INDEX($Q220:$AJ220,1,(BL$4-1)*5+1)+BL$8*INDEX($Q220:$AJ220,1,(BL$4-1)*5+2)*INDEX($Q220:$AJ220,1,(BL$4-1)*5+3)</f>
        <v/>
      </c>
      <c r="BM220" s="22">
        <f>INDEX($Q220:$AJ220,1,(BM$4-1)*5+1)+BM$8*INDEX($Q220:$AJ220,1,(BM$4-1)*5+2)*INDEX($Q220:$AJ220,1,(BM$4-1)*5+3)</f>
        <v/>
      </c>
      <c r="BN220" s="22">
        <f>INDEX($Q220:$AJ220,1,(BN$4-1)*5+1)+BN$8*INDEX($Q220:$AJ220,1,(BN$4-1)*5+2)*INDEX($Q220:$AJ220,1,(BN$4-1)*5+3)</f>
        <v/>
      </c>
    </row>
    <row r="221">
      <c r="B221" s="5" t="inlineStr">
        <is>
          <t>coa</t>
        </is>
      </c>
      <c r="C221" s="5" t="inlineStr">
        <is>
          <t>mac</t>
        </is>
      </c>
      <c r="D221" s="5" t="inlineStr">
        <is>
          <t>Tax | Machinery | Coal</t>
        </is>
      </c>
      <c r="E221" s="5" t="inlineStr">
        <is>
          <t>$/GJ</t>
        </is>
      </c>
      <c r="F221" s="5" t="inlineStr">
        <is>
          <t>Prices_dom, EF_GHG, Mapping</t>
        </is>
      </c>
      <c r="G221" s="19" t="inlineStr">
        <is>
          <t>mit.rp.coa</t>
        </is>
      </c>
      <c r="H221" s="19" t="inlineStr">
        <is>
          <t>mit.tax.coa.mac</t>
        </is>
      </c>
      <c r="J221" s="5">
        <f>INDEX(Mapping!$C$5:$C$20,MATCH($C221,Mapping!$A$5:$A$20,0))</f>
        <v/>
      </c>
      <c r="K221" s="5">
        <f>INDEX(Mapping!$D$5:$D$20,MATCH($C221,Mapping!$A$5:$A$20,0))</f>
        <v/>
      </c>
      <c r="L221" s="5">
        <f>INDEX(Mapping!$C$24:$C$31,MATCH($B221,Mapping!$A$24:$A$31,0))</f>
        <v/>
      </c>
      <c r="M221" s="5">
        <f>INDEX(Mapping!$D$24:$D$31,MATCH($B221,Mapping!$A$24:$A$31,0))</f>
        <v/>
      </c>
      <c r="N221" s="5">
        <f>$B221&amp;"."&amp;IF(INDEX(Mapping!$E$24:$E$31,MATCH($B221,Mapping!$A$24:$A$31,0))="sub",INDEX(Mapping!$F$5:$F$20,MATCH($C221,Mapping!$A$5:$A$20,0)),"all")</f>
        <v/>
      </c>
      <c r="O221" s="5">
        <f>INDEX(Mapping!$E$5:$E$20,MATCH($C221,Mapping!$A$5:$A$20,0))</f>
        <v/>
      </c>
      <c r="P221" s="5">
        <f>INDEX(Mapping!$G$24:$G$31,MATCH($B221,Mapping!$A$24:$A$31,0))</f>
        <v/>
      </c>
      <c r="Q221" s="22">
        <f>(INDEX(Prices_dom!$A$6:$CU$2000,MATCH(Settings!$C$4&amp;Settings!$C$7,Prices_dom!$A$6:$A$2000,0),MATCH("mit.rp."&amp;$N221,Prices_dom!$A$5:$CU$5,0))-INDEX(Prices_dom!$A$6:$CU$2000,MATCH(Settings!$C$4&amp;Settings!$C$7,Prices_dom!$A$6:$A$2000,0),MATCH("mit.sp."&amp;$N221,Prices_dom!$A$5:$CU$5,0)))/$P221</f>
        <v/>
      </c>
      <c r="R221" s="22">
        <f>INDEX(EF_GHG!$E$4:$E$1000,MATCH(Settings!$C$4&amp;"|"&amp;$B221&amp;"|"&amp;$O221,EF_GHG!$A$4:$A$1000,0))</f>
        <v/>
      </c>
      <c r="S221" s="22">
        <f>INDEX(Mapping!$G$5:$G$20,MATCH($C221,Mapping!$A$5:$A$20,0))</f>
        <v/>
      </c>
      <c r="T221" s="21" t="n"/>
      <c r="U221" s="21" t="n"/>
      <c r="V221" s="22">
        <f>Q221</f>
        <v/>
      </c>
      <c r="W221" s="22">
        <f>R221</f>
        <v/>
      </c>
      <c r="X221" s="22">
        <f>S221</f>
        <v/>
      </c>
      <c r="Y221" s="21" t="n"/>
      <c r="Z221" s="21" t="n"/>
      <c r="AA221" s="22">
        <f>Q221</f>
        <v/>
      </c>
      <c r="AB221" s="22">
        <f>R221</f>
        <v/>
      </c>
      <c r="AC221" s="22">
        <f>S221</f>
        <v/>
      </c>
      <c r="AD221" s="21" t="n"/>
      <c r="AE221" s="21" t="n"/>
      <c r="AF221" s="22">
        <f>Q221</f>
        <v/>
      </c>
      <c r="AG221" s="22">
        <f>R221</f>
        <v/>
      </c>
      <c r="AH221" s="22">
        <f>S221</f>
        <v/>
      </c>
      <c r="AI221" s="21" t="n"/>
      <c r="AJ221" s="21" t="n"/>
      <c r="AL221" s="23">
        <f>INDEX($Q221:$AJ221,1,(AL$4-1)*5+1)+AL$8*INDEX($Q221:$AJ221,1,(AL$4-1)*5+2)*INDEX($Q221:$AJ221,1,(AL$4-1)*5+3)</f>
        <v/>
      </c>
      <c r="AM221" s="22">
        <f>INDEX($Q221:$AJ221,1,(AM$4-1)*5+1)+AM$8*INDEX($Q221:$AJ221,1,(AM$4-1)*5+2)*INDEX($Q221:$AJ221,1,(AM$4-1)*5+3)</f>
        <v/>
      </c>
      <c r="AN221" s="22">
        <f>INDEX($Q221:$AJ221,1,(AN$4-1)*5+1)+AN$8*INDEX($Q221:$AJ221,1,(AN$4-1)*5+2)*INDEX($Q221:$AJ221,1,(AN$4-1)*5+3)</f>
        <v/>
      </c>
      <c r="AO221" s="22">
        <f>INDEX($Q221:$AJ221,1,(AO$4-1)*5+1)+AO$8*INDEX($Q221:$AJ221,1,(AO$4-1)*5+2)*INDEX($Q221:$AJ221,1,(AO$4-1)*5+3)</f>
        <v/>
      </c>
      <c r="AP221" s="22">
        <f>INDEX($Q221:$AJ221,1,(AP$4-1)*5+1)+AP$8*INDEX($Q221:$AJ221,1,(AP$4-1)*5+2)*INDEX($Q221:$AJ221,1,(AP$4-1)*5+3)</f>
        <v/>
      </c>
      <c r="AQ221" s="22">
        <f>INDEX($Q221:$AJ221,1,(AQ$4-1)*5+1)+AQ$8*INDEX($Q221:$AJ221,1,(AQ$4-1)*5+2)*INDEX($Q221:$AJ221,1,(AQ$4-1)*5+3)</f>
        <v/>
      </c>
      <c r="AR221" s="22">
        <f>INDEX($Q221:$AJ221,1,(AR$4-1)*5+1)+AR$8*INDEX($Q221:$AJ221,1,(AR$4-1)*5+2)*INDEX($Q221:$AJ221,1,(AR$4-1)*5+3)</f>
        <v/>
      </c>
      <c r="AS221" s="22">
        <f>INDEX($Q221:$AJ221,1,(AS$4-1)*5+1)+AS$8*INDEX($Q221:$AJ221,1,(AS$4-1)*5+2)*INDEX($Q221:$AJ221,1,(AS$4-1)*5+3)</f>
        <v/>
      </c>
      <c r="AT221" s="22">
        <f>INDEX($Q221:$AJ221,1,(AT$4-1)*5+1)+AT$8*INDEX($Q221:$AJ221,1,(AT$4-1)*5+2)*INDEX($Q221:$AJ221,1,(AT$4-1)*5+3)</f>
        <v/>
      </c>
      <c r="AU221" s="22">
        <f>INDEX($Q221:$AJ221,1,(AU$4-1)*5+1)+AU$8*INDEX($Q221:$AJ221,1,(AU$4-1)*5+2)*INDEX($Q221:$AJ221,1,(AU$4-1)*5+3)</f>
        <v/>
      </c>
      <c r="AV221" s="22">
        <f>INDEX($Q221:$AJ221,1,(AV$4-1)*5+1)+AV$8*INDEX($Q221:$AJ221,1,(AV$4-1)*5+2)*INDEX($Q221:$AJ221,1,(AV$4-1)*5+3)</f>
        <v/>
      </c>
      <c r="AW221" s="22">
        <f>INDEX($Q221:$AJ221,1,(AW$4-1)*5+1)+AW$8*INDEX($Q221:$AJ221,1,(AW$4-1)*5+2)*INDEX($Q221:$AJ221,1,(AW$4-1)*5+3)</f>
        <v/>
      </c>
      <c r="AX221" s="22">
        <f>INDEX($Q221:$AJ221,1,(AX$4-1)*5+1)+AX$8*INDEX($Q221:$AJ221,1,(AX$4-1)*5+2)*INDEX($Q221:$AJ221,1,(AX$4-1)*5+3)</f>
        <v/>
      </c>
      <c r="AY221" s="22">
        <f>INDEX($Q221:$AJ221,1,(AY$4-1)*5+1)+AY$8*INDEX($Q221:$AJ221,1,(AY$4-1)*5+2)*INDEX($Q221:$AJ221,1,(AY$4-1)*5+3)</f>
        <v/>
      </c>
      <c r="BA221" s="23">
        <f>INDEX($Q221:$AJ221,1,(BA$4-1)*5+1)+BA$8*INDEX($Q221:$AJ221,1,(BA$4-1)*5+2)*INDEX($Q221:$AJ221,1,(BA$4-1)*5+3)</f>
        <v/>
      </c>
      <c r="BB221" s="22">
        <f>INDEX($Q221:$AJ221,1,(BB$4-1)*5+1)+BB$8*INDEX($Q221:$AJ221,1,(BB$4-1)*5+2)*INDEX($Q221:$AJ221,1,(BB$4-1)*5+3)</f>
        <v/>
      </c>
      <c r="BC221" s="22">
        <f>INDEX($Q221:$AJ221,1,(BC$4-1)*5+1)+BC$8*INDEX($Q221:$AJ221,1,(BC$4-1)*5+2)*INDEX($Q221:$AJ221,1,(BC$4-1)*5+3)</f>
        <v/>
      </c>
      <c r="BD221" s="22">
        <f>INDEX($Q221:$AJ221,1,(BD$4-1)*5+1)+BD$8*INDEX($Q221:$AJ221,1,(BD$4-1)*5+2)*INDEX($Q221:$AJ221,1,(BD$4-1)*5+3)</f>
        <v/>
      </c>
      <c r="BE221" s="22">
        <f>INDEX($Q221:$AJ221,1,(BE$4-1)*5+1)+BE$8*INDEX($Q221:$AJ221,1,(BE$4-1)*5+2)*INDEX($Q221:$AJ221,1,(BE$4-1)*5+3)</f>
        <v/>
      </c>
      <c r="BF221" s="22">
        <f>INDEX($Q221:$AJ221,1,(BF$4-1)*5+1)+BF$8*INDEX($Q221:$AJ221,1,(BF$4-1)*5+2)*INDEX($Q221:$AJ221,1,(BF$4-1)*5+3)</f>
        <v/>
      </c>
      <c r="BG221" s="22">
        <f>INDEX($Q221:$AJ221,1,(BG$4-1)*5+1)+BG$8*INDEX($Q221:$AJ221,1,(BG$4-1)*5+2)*INDEX($Q221:$AJ221,1,(BG$4-1)*5+3)</f>
        <v/>
      </c>
      <c r="BH221" s="22">
        <f>INDEX($Q221:$AJ221,1,(BH$4-1)*5+1)+BH$8*INDEX($Q221:$AJ221,1,(BH$4-1)*5+2)*INDEX($Q221:$AJ221,1,(BH$4-1)*5+3)</f>
        <v/>
      </c>
      <c r="BI221" s="22">
        <f>INDEX($Q221:$AJ221,1,(BI$4-1)*5+1)+BI$8*INDEX($Q221:$AJ221,1,(BI$4-1)*5+2)*INDEX($Q221:$AJ221,1,(BI$4-1)*5+3)</f>
        <v/>
      </c>
      <c r="BJ221" s="22">
        <f>INDEX($Q221:$AJ221,1,(BJ$4-1)*5+1)+BJ$8*INDEX($Q221:$AJ221,1,(BJ$4-1)*5+2)*INDEX($Q221:$AJ221,1,(BJ$4-1)*5+3)</f>
        <v/>
      </c>
      <c r="BK221" s="22">
        <f>INDEX($Q221:$AJ221,1,(BK$4-1)*5+1)+BK$8*INDEX($Q221:$AJ221,1,(BK$4-1)*5+2)*INDEX($Q221:$AJ221,1,(BK$4-1)*5+3)</f>
        <v/>
      </c>
      <c r="BL221" s="22">
        <f>INDEX($Q221:$AJ221,1,(BL$4-1)*5+1)+BL$8*INDEX($Q221:$AJ221,1,(BL$4-1)*5+2)*INDEX($Q221:$AJ221,1,(BL$4-1)*5+3)</f>
        <v/>
      </c>
      <c r="BM221" s="22">
        <f>INDEX($Q221:$AJ221,1,(BM$4-1)*5+1)+BM$8*INDEX($Q221:$AJ221,1,(BM$4-1)*5+2)*INDEX($Q221:$AJ221,1,(BM$4-1)*5+3)</f>
        <v/>
      </c>
      <c r="BN221" s="22">
        <f>INDEX($Q221:$AJ221,1,(BN$4-1)*5+1)+BN$8*INDEX($Q221:$AJ221,1,(BN$4-1)*5+2)*INDEX($Q221:$AJ221,1,(BN$4-1)*5+3)</f>
        <v/>
      </c>
    </row>
    <row r="222">
      <c r="B222" s="5" t="inlineStr">
        <is>
          <t>nga</t>
        </is>
      </c>
      <c r="C222" s="5" t="inlineStr">
        <is>
          <t>mac</t>
        </is>
      </c>
      <c r="D222" s="5" t="inlineStr">
        <is>
          <t>Tax | Machinery | Natural gas</t>
        </is>
      </c>
      <c r="E222" s="5" t="inlineStr">
        <is>
          <t>$/GJ</t>
        </is>
      </c>
      <c r="F222" s="5" t="inlineStr">
        <is>
          <t>Prices_dom, EF_GHG, Mapping</t>
        </is>
      </c>
      <c r="G222" s="19" t="inlineStr">
        <is>
          <t>mit.rp.nga</t>
        </is>
      </c>
      <c r="H222" s="19" t="inlineStr">
        <is>
          <t>mit.tax.nga.mac</t>
        </is>
      </c>
      <c r="J222" s="5">
        <f>INDEX(Mapping!$C$5:$C$20,MATCH($C222,Mapping!$A$5:$A$20,0))</f>
        <v/>
      </c>
      <c r="K222" s="5">
        <f>INDEX(Mapping!$D$5:$D$20,MATCH($C222,Mapping!$A$5:$A$20,0))</f>
        <v/>
      </c>
      <c r="L222" s="5">
        <f>INDEX(Mapping!$C$24:$C$31,MATCH($B222,Mapping!$A$24:$A$31,0))</f>
        <v/>
      </c>
      <c r="M222" s="5">
        <f>INDEX(Mapping!$D$24:$D$31,MATCH($B222,Mapping!$A$24:$A$31,0))</f>
        <v/>
      </c>
      <c r="N222" s="5">
        <f>$B222&amp;"."&amp;IF(INDEX(Mapping!$E$24:$E$31,MATCH($B222,Mapping!$A$24:$A$31,0))="sub",INDEX(Mapping!$F$5:$F$20,MATCH($C222,Mapping!$A$5:$A$20,0)),"all")</f>
        <v/>
      </c>
      <c r="O222" s="5">
        <f>INDEX(Mapping!$E$5:$E$20,MATCH($C222,Mapping!$A$5:$A$20,0))</f>
        <v/>
      </c>
      <c r="P222" s="5">
        <f>INDEX(Mapping!$G$24:$G$31,MATCH($B222,Mapping!$A$24:$A$31,0))</f>
        <v/>
      </c>
      <c r="Q222" s="22">
        <f>(INDEX(Prices_dom!$A$6:$CU$2000,MATCH(Settings!$C$4&amp;Settings!$C$7,Prices_dom!$A$6:$A$2000,0),MATCH("mit.rp."&amp;$N222,Prices_dom!$A$5:$CU$5,0))-INDEX(Prices_dom!$A$6:$CU$2000,MATCH(Settings!$C$4&amp;Settings!$C$7,Prices_dom!$A$6:$A$2000,0),MATCH("mit.sp."&amp;$N222,Prices_dom!$A$5:$CU$5,0)))/$P222</f>
        <v/>
      </c>
      <c r="R222" s="22">
        <f>INDEX(EF_GHG!$E$4:$E$1000,MATCH(Settings!$C$4&amp;"|"&amp;$B222&amp;"|"&amp;$O222,EF_GHG!$A$4:$A$1000,0))</f>
        <v/>
      </c>
      <c r="S222" s="22">
        <f>INDEX(Mapping!$G$5:$G$20,MATCH($C222,Mapping!$A$5:$A$20,0))</f>
        <v/>
      </c>
      <c r="T222" s="21" t="n"/>
      <c r="U222" s="21" t="n"/>
      <c r="V222" s="22">
        <f>Q222</f>
        <v/>
      </c>
      <c r="W222" s="22">
        <f>R222</f>
        <v/>
      </c>
      <c r="X222" s="22">
        <f>S222</f>
        <v/>
      </c>
      <c r="Y222" s="21" t="n"/>
      <c r="Z222" s="21" t="n"/>
      <c r="AA222" s="22">
        <f>Q222</f>
        <v/>
      </c>
      <c r="AB222" s="22">
        <f>R222</f>
        <v/>
      </c>
      <c r="AC222" s="22">
        <f>S222</f>
        <v/>
      </c>
      <c r="AD222" s="21" t="n"/>
      <c r="AE222" s="21" t="n"/>
      <c r="AF222" s="22">
        <f>Q222</f>
        <v/>
      </c>
      <c r="AG222" s="22">
        <f>R222</f>
        <v/>
      </c>
      <c r="AH222" s="22">
        <f>S222</f>
        <v/>
      </c>
      <c r="AI222" s="21" t="n"/>
      <c r="AJ222" s="21" t="n"/>
      <c r="AL222" s="23">
        <f>INDEX($Q222:$AJ222,1,(AL$4-1)*5+1)+AL$8*INDEX($Q222:$AJ222,1,(AL$4-1)*5+2)*INDEX($Q222:$AJ222,1,(AL$4-1)*5+3)</f>
        <v/>
      </c>
      <c r="AM222" s="22">
        <f>INDEX($Q222:$AJ222,1,(AM$4-1)*5+1)+AM$8*INDEX($Q222:$AJ222,1,(AM$4-1)*5+2)*INDEX($Q222:$AJ222,1,(AM$4-1)*5+3)</f>
        <v/>
      </c>
      <c r="AN222" s="22">
        <f>INDEX($Q222:$AJ222,1,(AN$4-1)*5+1)+AN$8*INDEX($Q222:$AJ222,1,(AN$4-1)*5+2)*INDEX($Q222:$AJ222,1,(AN$4-1)*5+3)</f>
        <v/>
      </c>
      <c r="AO222" s="22">
        <f>INDEX($Q222:$AJ222,1,(AO$4-1)*5+1)+AO$8*INDEX($Q222:$AJ222,1,(AO$4-1)*5+2)*INDEX($Q222:$AJ222,1,(AO$4-1)*5+3)</f>
        <v/>
      </c>
      <c r="AP222" s="22">
        <f>INDEX($Q222:$AJ222,1,(AP$4-1)*5+1)+AP$8*INDEX($Q222:$AJ222,1,(AP$4-1)*5+2)*INDEX($Q222:$AJ222,1,(AP$4-1)*5+3)</f>
        <v/>
      </c>
      <c r="AQ222" s="22">
        <f>INDEX($Q222:$AJ222,1,(AQ$4-1)*5+1)+AQ$8*INDEX($Q222:$AJ222,1,(AQ$4-1)*5+2)*INDEX($Q222:$AJ222,1,(AQ$4-1)*5+3)</f>
        <v/>
      </c>
      <c r="AR222" s="22">
        <f>INDEX($Q222:$AJ222,1,(AR$4-1)*5+1)+AR$8*INDEX($Q222:$AJ222,1,(AR$4-1)*5+2)*INDEX($Q222:$AJ222,1,(AR$4-1)*5+3)</f>
        <v/>
      </c>
      <c r="AS222" s="22">
        <f>INDEX($Q222:$AJ222,1,(AS$4-1)*5+1)+AS$8*INDEX($Q222:$AJ222,1,(AS$4-1)*5+2)*INDEX($Q222:$AJ222,1,(AS$4-1)*5+3)</f>
        <v/>
      </c>
      <c r="AT222" s="22">
        <f>INDEX($Q222:$AJ222,1,(AT$4-1)*5+1)+AT$8*INDEX($Q222:$AJ222,1,(AT$4-1)*5+2)*INDEX($Q222:$AJ222,1,(AT$4-1)*5+3)</f>
        <v/>
      </c>
      <c r="AU222" s="22">
        <f>INDEX($Q222:$AJ222,1,(AU$4-1)*5+1)+AU$8*INDEX($Q222:$AJ222,1,(AU$4-1)*5+2)*INDEX($Q222:$AJ222,1,(AU$4-1)*5+3)</f>
        <v/>
      </c>
      <c r="AV222" s="22">
        <f>INDEX($Q222:$AJ222,1,(AV$4-1)*5+1)+AV$8*INDEX($Q222:$AJ222,1,(AV$4-1)*5+2)*INDEX($Q222:$AJ222,1,(AV$4-1)*5+3)</f>
        <v/>
      </c>
      <c r="AW222" s="22">
        <f>INDEX($Q222:$AJ222,1,(AW$4-1)*5+1)+AW$8*INDEX($Q222:$AJ222,1,(AW$4-1)*5+2)*INDEX($Q222:$AJ222,1,(AW$4-1)*5+3)</f>
        <v/>
      </c>
      <c r="AX222" s="22">
        <f>INDEX($Q222:$AJ222,1,(AX$4-1)*5+1)+AX$8*INDEX($Q222:$AJ222,1,(AX$4-1)*5+2)*INDEX($Q222:$AJ222,1,(AX$4-1)*5+3)</f>
        <v/>
      </c>
      <c r="AY222" s="22">
        <f>INDEX($Q222:$AJ222,1,(AY$4-1)*5+1)+AY$8*INDEX($Q222:$AJ222,1,(AY$4-1)*5+2)*INDEX($Q222:$AJ222,1,(AY$4-1)*5+3)</f>
        <v/>
      </c>
      <c r="BA222" s="23">
        <f>INDEX($Q222:$AJ222,1,(BA$4-1)*5+1)+BA$8*INDEX($Q222:$AJ222,1,(BA$4-1)*5+2)*INDEX($Q222:$AJ222,1,(BA$4-1)*5+3)</f>
        <v/>
      </c>
      <c r="BB222" s="22">
        <f>INDEX($Q222:$AJ222,1,(BB$4-1)*5+1)+BB$8*INDEX($Q222:$AJ222,1,(BB$4-1)*5+2)*INDEX($Q222:$AJ222,1,(BB$4-1)*5+3)</f>
        <v/>
      </c>
      <c r="BC222" s="22">
        <f>INDEX($Q222:$AJ222,1,(BC$4-1)*5+1)+BC$8*INDEX($Q222:$AJ222,1,(BC$4-1)*5+2)*INDEX($Q222:$AJ222,1,(BC$4-1)*5+3)</f>
        <v/>
      </c>
      <c r="BD222" s="22">
        <f>INDEX($Q222:$AJ222,1,(BD$4-1)*5+1)+BD$8*INDEX($Q222:$AJ222,1,(BD$4-1)*5+2)*INDEX($Q222:$AJ222,1,(BD$4-1)*5+3)</f>
        <v/>
      </c>
      <c r="BE222" s="22">
        <f>INDEX($Q222:$AJ222,1,(BE$4-1)*5+1)+BE$8*INDEX($Q222:$AJ222,1,(BE$4-1)*5+2)*INDEX($Q222:$AJ222,1,(BE$4-1)*5+3)</f>
        <v/>
      </c>
      <c r="BF222" s="22">
        <f>INDEX($Q222:$AJ222,1,(BF$4-1)*5+1)+BF$8*INDEX($Q222:$AJ222,1,(BF$4-1)*5+2)*INDEX($Q222:$AJ222,1,(BF$4-1)*5+3)</f>
        <v/>
      </c>
      <c r="BG222" s="22">
        <f>INDEX($Q222:$AJ222,1,(BG$4-1)*5+1)+BG$8*INDEX($Q222:$AJ222,1,(BG$4-1)*5+2)*INDEX($Q222:$AJ222,1,(BG$4-1)*5+3)</f>
        <v/>
      </c>
      <c r="BH222" s="22">
        <f>INDEX($Q222:$AJ222,1,(BH$4-1)*5+1)+BH$8*INDEX($Q222:$AJ222,1,(BH$4-1)*5+2)*INDEX($Q222:$AJ222,1,(BH$4-1)*5+3)</f>
        <v/>
      </c>
      <c r="BI222" s="22">
        <f>INDEX($Q222:$AJ222,1,(BI$4-1)*5+1)+BI$8*INDEX($Q222:$AJ222,1,(BI$4-1)*5+2)*INDEX($Q222:$AJ222,1,(BI$4-1)*5+3)</f>
        <v/>
      </c>
      <c r="BJ222" s="22">
        <f>INDEX($Q222:$AJ222,1,(BJ$4-1)*5+1)+BJ$8*INDEX($Q222:$AJ222,1,(BJ$4-1)*5+2)*INDEX($Q222:$AJ222,1,(BJ$4-1)*5+3)</f>
        <v/>
      </c>
      <c r="BK222" s="22">
        <f>INDEX($Q222:$AJ222,1,(BK$4-1)*5+1)+BK$8*INDEX($Q222:$AJ222,1,(BK$4-1)*5+2)*INDEX($Q222:$AJ222,1,(BK$4-1)*5+3)</f>
        <v/>
      </c>
      <c r="BL222" s="22">
        <f>INDEX($Q222:$AJ222,1,(BL$4-1)*5+1)+BL$8*INDEX($Q222:$AJ222,1,(BL$4-1)*5+2)*INDEX($Q222:$AJ222,1,(BL$4-1)*5+3)</f>
        <v/>
      </c>
      <c r="BM222" s="22">
        <f>INDEX($Q222:$AJ222,1,(BM$4-1)*5+1)+BM$8*INDEX($Q222:$AJ222,1,(BM$4-1)*5+2)*INDEX($Q222:$AJ222,1,(BM$4-1)*5+3)</f>
        <v/>
      </c>
      <c r="BN222" s="22">
        <f>INDEX($Q222:$AJ222,1,(BN$4-1)*5+1)+BN$8*INDEX($Q222:$AJ222,1,(BN$4-1)*5+2)*INDEX($Q222:$AJ222,1,(BN$4-1)*5+3)</f>
        <v/>
      </c>
    </row>
    <row r="223">
      <c r="B223" s="5" t="inlineStr">
        <is>
          <t>gso</t>
        </is>
      </c>
      <c r="C223" s="5" t="inlineStr">
        <is>
          <t>mac</t>
        </is>
      </c>
      <c r="D223" s="5" t="inlineStr">
        <is>
          <t>Tax | Machinery | Gasoline</t>
        </is>
      </c>
      <c r="E223" s="5" t="inlineStr">
        <is>
          <t>$/GJ</t>
        </is>
      </c>
      <c r="F223" s="5" t="inlineStr">
        <is>
          <t>Prices_dom, EF_GHG, Mapping</t>
        </is>
      </c>
      <c r="G223" s="19" t="inlineStr">
        <is>
          <t>mit.rp.gso</t>
        </is>
      </c>
      <c r="H223" s="19" t="inlineStr">
        <is>
          <t>mit.tax.gso.mac</t>
        </is>
      </c>
      <c r="J223" s="5">
        <f>INDEX(Mapping!$C$5:$C$20,MATCH($C223,Mapping!$A$5:$A$20,0))</f>
        <v/>
      </c>
      <c r="K223" s="5">
        <f>INDEX(Mapping!$D$5:$D$20,MATCH($C223,Mapping!$A$5:$A$20,0))</f>
        <v/>
      </c>
      <c r="L223" s="5">
        <f>INDEX(Mapping!$C$24:$C$31,MATCH($B223,Mapping!$A$24:$A$31,0))</f>
        <v/>
      </c>
      <c r="M223" s="5">
        <f>INDEX(Mapping!$D$24:$D$31,MATCH($B223,Mapping!$A$24:$A$31,0))</f>
        <v/>
      </c>
      <c r="N223" s="5">
        <f>$B223&amp;"."&amp;IF(INDEX(Mapping!$E$24:$E$31,MATCH($B223,Mapping!$A$24:$A$31,0))="sub",INDEX(Mapping!$F$5:$F$20,MATCH($C223,Mapping!$A$5:$A$20,0)),"all")</f>
        <v/>
      </c>
      <c r="O223" s="5">
        <f>INDEX(Mapping!$E$5:$E$20,MATCH($C223,Mapping!$A$5:$A$20,0))</f>
        <v/>
      </c>
      <c r="P223" s="5">
        <f>INDEX(Mapping!$G$24:$G$31,MATCH($B223,Mapping!$A$24:$A$31,0))</f>
        <v/>
      </c>
      <c r="Q223" s="22">
        <f>(INDEX(Prices_dom!$A$6:$CU$2000,MATCH(Settings!$C$4&amp;Settings!$C$7,Prices_dom!$A$6:$A$2000,0),MATCH("mit.rp."&amp;$N223,Prices_dom!$A$5:$CU$5,0))-INDEX(Prices_dom!$A$6:$CU$2000,MATCH(Settings!$C$4&amp;Settings!$C$7,Prices_dom!$A$6:$A$2000,0),MATCH("mit.sp."&amp;$N223,Prices_dom!$A$5:$CU$5,0)))/$P223</f>
        <v/>
      </c>
      <c r="R223" s="22">
        <f>INDEX(EF_GHG!$E$4:$E$1000,MATCH(Settings!$C$4&amp;"|"&amp;$B223&amp;"|"&amp;$O223,EF_GHG!$A$4:$A$1000,0))</f>
        <v/>
      </c>
      <c r="S223" s="22">
        <f>INDEX(Mapping!$G$5:$G$20,MATCH($C223,Mapping!$A$5:$A$20,0))</f>
        <v/>
      </c>
      <c r="T223" s="21" t="n"/>
      <c r="U223" s="21" t="n"/>
      <c r="V223" s="22">
        <f>Q223</f>
        <v/>
      </c>
      <c r="W223" s="22">
        <f>R223</f>
        <v/>
      </c>
      <c r="X223" s="22">
        <f>S223</f>
        <v/>
      </c>
      <c r="Y223" s="21" t="n"/>
      <c r="Z223" s="21" t="n"/>
      <c r="AA223" s="22">
        <f>Q223</f>
        <v/>
      </c>
      <c r="AB223" s="22">
        <f>R223</f>
        <v/>
      </c>
      <c r="AC223" s="22">
        <f>S223</f>
        <v/>
      </c>
      <c r="AD223" s="21" t="n"/>
      <c r="AE223" s="21" t="n"/>
      <c r="AF223" s="22">
        <f>Q223</f>
        <v/>
      </c>
      <c r="AG223" s="22">
        <f>R223</f>
        <v/>
      </c>
      <c r="AH223" s="22">
        <f>S223</f>
        <v/>
      </c>
      <c r="AI223" s="21" t="n"/>
      <c r="AJ223" s="21" t="n"/>
      <c r="AL223" s="23">
        <f>INDEX($Q223:$AJ223,1,(AL$4-1)*5+1)+AL$8*INDEX($Q223:$AJ223,1,(AL$4-1)*5+2)*INDEX($Q223:$AJ223,1,(AL$4-1)*5+3)</f>
        <v/>
      </c>
      <c r="AM223" s="22">
        <f>INDEX($Q223:$AJ223,1,(AM$4-1)*5+1)+AM$8*INDEX($Q223:$AJ223,1,(AM$4-1)*5+2)*INDEX($Q223:$AJ223,1,(AM$4-1)*5+3)</f>
        <v/>
      </c>
      <c r="AN223" s="22">
        <f>INDEX($Q223:$AJ223,1,(AN$4-1)*5+1)+AN$8*INDEX($Q223:$AJ223,1,(AN$4-1)*5+2)*INDEX($Q223:$AJ223,1,(AN$4-1)*5+3)</f>
        <v/>
      </c>
      <c r="AO223" s="22">
        <f>INDEX($Q223:$AJ223,1,(AO$4-1)*5+1)+AO$8*INDEX($Q223:$AJ223,1,(AO$4-1)*5+2)*INDEX($Q223:$AJ223,1,(AO$4-1)*5+3)</f>
        <v/>
      </c>
      <c r="AP223" s="22">
        <f>INDEX($Q223:$AJ223,1,(AP$4-1)*5+1)+AP$8*INDEX($Q223:$AJ223,1,(AP$4-1)*5+2)*INDEX($Q223:$AJ223,1,(AP$4-1)*5+3)</f>
        <v/>
      </c>
      <c r="AQ223" s="22">
        <f>INDEX($Q223:$AJ223,1,(AQ$4-1)*5+1)+AQ$8*INDEX($Q223:$AJ223,1,(AQ$4-1)*5+2)*INDEX($Q223:$AJ223,1,(AQ$4-1)*5+3)</f>
        <v/>
      </c>
      <c r="AR223" s="22">
        <f>INDEX($Q223:$AJ223,1,(AR$4-1)*5+1)+AR$8*INDEX($Q223:$AJ223,1,(AR$4-1)*5+2)*INDEX($Q223:$AJ223,1,(AR$4-1)*5+3)</f>
        <v/>
      </c>
      <c r="AS223" s="22">
        <f>INDEX($Q223:$AJ223,1,(AS$4-1)*5+1)+AS$8*INDEX($Q223:$AJ223,1,(AS$4-1)*5+2)*INDEX($Q223:$AJ223,1,(AS$4-1)*5+3)</f>
        <v/>
      </c>
      <c r="AT223" s="22">
        <f>INDEX($Q223:$AJ223,1,(AT$4-1)*5+1)+AT$8*INDEX($Q223:$AJ223,1,(AT$4-1)*5+2)*INDEX($Q223:$AJ223,1,(AT$4-1)*5+3)</f>
        <v/>
      </c>
      <c r="AU223" s="22">
        <f>INDEX($Q223:$AJ223,1,(AU$4-1)*5+1)+AU$8*INDEX($Q223:$AJ223,1,(AU$4-1)*5+2)*INDEX($Q223:$AJ223,1,(AU$4-1)*5+3)</f>
        <v/>
      </c>
      <c r="AV223" s="22">
        <f>INDEX($Q223:$AJ223,1,(AV$4-1)*5+1)+AV$8*INDEX($Q223:$AJ223,1,(AV$4-1)*5+2)*INDEX($Q223:$AJ223,1,(AV$4-1)*5+3)</f>
        <v/>
      </c>
      <c r="AW223" s="22">
        <f>INDEX($Q223:$AJ223,1,(AW$4-1)*5+1)+AW$8*INDEX($Q223:$AJ223,1,(AW$4-1)*5+2)*INDEX($Q223:$AJ223,1,(AW$4-1)*5+3)</f>
        <v/>
      </c>
      <c r="AX223" s="22">
        <f>INDEX($Q223:$AJ223,1,(AX$4-1)*5+1)+AX$8*INDEX($Q223:$AJ223,1,(AX$4-1)*5+2)*INDEX($Q223:$AJ223,1,(AX$4-1)*5+3)</f>
        <v/>
      </c>
      <c r="AY223" s="22">
        <f>INDEX($Q223:$AJ223,1,(AY$4-1)*5+1)+AY$8*INDEX($Q223:$AJ223,1,(AY$4-1)*5+2)*INDEX($Q223:$AJ223,1,(AY$4-1)*5+3)</f>
        <v/>
      </c>
      <c r="BA223" s="23">
        <f>INDEX($Q223:$AJ223,1,(BA$4-1)*5+1)+BA$8*INDEX($Q223:$AJ223,1,(BA$4-1)*5+2)*INDEX($Q223:$AJ223,1,(BA$4-1)*5+3)</f>
        <v/>
      </c>
      <c r="BB223" s="22">
        <f>INDEX($Q223:$AJ223,1,(BB$4-1)*5+1)+BB$8*INDEX($Q223:$AJ223,1,(BB$4-1)*5+2)*INDEX($Q223:$AJ223,1,(BB$4-1)*5+3)</f>
        <v/>
      </c>
      <c r="BC223" s="22">
        <f>INDEX($Q223:$AJ223,1,(BC$4-1)*5+1)+BC$8*INDEX($Q223:$AJ223,1,(BC$4-1)*5+2)*INDEX($Q223:$AJ223,1,(BC$4-1)*5+3)</f>
        <v/>
      </c>
      <c r="BD223" s="22">
        <f>INDEX($Q223:$AJ223,1,(BD$4-1)*5+1)+BD$8*INDEX($Q223:$AJ223,1,(BD$4-1)*5+2)*INDEX($Q223:$AJ223,1,(BD$4-1)*5+3)</f>
        <v/>
      </c>
      <c r="BE223" s="22">
        <f>INDEX($Q223:$AJ223,1,(BE$4-1)*5+1)+BE$8*INDEX($Q223:$AJ223,1,(BE$4-1)*5+2)*INDEX($Q223:$AJ223,1,(BE$4-1)*5+3)</f>
        <v/>
      </c>
      <c r="BF223" s="22">
        <f>INDEX($Q223:$AJ223,1,(BF$4-1)*5+1)+BF$8*INDEX($Q223:$AJ223,1,(BF$4-1)*5+2)*INDEX($Q223:$AJ223,1,(BF$4-1)*5+3)</f>
        <v/>
      </c>
      <c r="BG223" s="22">
        <f>INDEX($Q223:$AJ223,1,(BG$4-1)*5+1)+BG$8*INDEX($Q223:$AJ223,1,(BG$4-1)*5+2)*INDEX($Q223:$AJ223,1,(BG$4-1)*5+3)</f>
        <v/>
      </c>
      <c r="BH223" s="22">
        <f>INDEX($Q223:$AJ223,1,(BH$4-1)*5+1)+BH$8*INDEX($Q223:$AJ223,1,(BH$4-1)*5+2)*INDEX($Q223:$AJ223,1,(BH$4-1)*5+3)</f>
        <v/>
      </c>
      <c r="BI223" s="22">
        <f>INDEX($Q223:$AJ223,1,(BI$4-1)*5+1)+BI$8*INDEX($Q223:$AJ223,1,(BI$4-1)*5+2)*INDEX($Q223:$AJ223,1,(BI$4-1)*5+3)</f>
        <v/>
      </c>
      <c r="BJ223" s="22">
        <f>INDEX($Q223:$AJ223,1,(BJ$4-1)*5+1)+BJ$8*INDEX($Q223:$AJ223,1,(BJ$4-1)*5+2)*INDEX($Q223:$AJ223,1,(BJ$4-1)*5+3)</f>
        <v/>
      </c>
      <c r="BK223" s="22">
        <f>INDEX($Q223:$AJ223,1,(BK$4-1)*5+1)+BK$8*INDEX($Q223:$AJ223,1,(BK$4-1)*5+2)*INDEX($Q223:$AJ223,1,(BK$4-1)*5+3)</f>
        <v/>
      </c>
      <c r="BL223" s="22">
        <f>INDEX($Q223:$AJ223,1,(BL$4-1)*5+1)+BL$8*INDEX($Q223:$AJ223,1,(BL$4-1)*5+2)*INDEX($Q223:$AJ223,1,(BL$4-1)*5+3)</f>
        <v/>
      </c>
      <c r="BM223" s="22">
        <f>INDEX($Q223:$AJ223,1,(BM$4-1)*5+1)+BM$8*INDEX($Q223:$AJ223,1,(BM$4-1)*5+2)*INDEX($Q223:$AJ223,1,(BM$4-1)*5+3)</f>
        <v/>
      </c>
      <c r="BN223" s="22">
        <f>INDEX($Q223:$AJ223,1,(BN$4-1)*5+1)+BN$8*INDEX($Q223:$AJ223,1,(BN$4-1)*5+2)*INDEX($Q223:$AJ223,1,(BN$4-1)*5+3)</f>
        <v/>
      </c>
    </row>
    <row r="224">
      <c r="B224" s="5" t="inlineStr">
        <is>
          <t>die</t>
        </is>
      </c>
      <c r="C224" s="5" t="inlineStr">
        <is>
          <t>mac</t>
        </is>
      </c>
      <c r="D224" s="5" t="inlineStr">
        <is>
          <t>Tax | Machinery | Diesel</t>
        </is>
      </c>
      <c r="E224" s="5" t="inlineStr">
        <is>
          <t>$/GJ</t>
        </is>
      </c>
      <c r="F224" s="5" t="inlineStr">
        <is>
          <t>Prices_dom, EF_GHG, Mapping</t>
        </is>
      </c>
      <c r="G224" s="19" t="inlineStr">
        <is>
          <t>mit.rp.die</t>
        </is>
      </c>
      <c r="H224" s="19" t="inlineStr">
        <is>
          <t>mit.tax.die.mac</t>
        </is>
      </c>
      <c r="J224" s="5">
        <f>INDEX(Mapping!$C$5:$C$20,MATCH($C224,Mapping!$A$5:$A$20,0))</f>
        <v/>
      </c>
      <c r="K224" s="5">
        <f>INDEX(Mapping!$D$5:$D$20,MATCH($C224,Mapping!$A$5:$A$20,0))</f>
        <v/>
      </c>
      <c r="L224" s="5">
        <f>INDEX(Mapping!$C$24:$C$31,MATCH($B224,Mapping!$A$24:$A$31,0))</f>
        <v/>
      </c>
      <c r="M224" s="5">
        <f>INDEX(Mapping!$D$24:$D$31,MATCH($B224,Mapping!$A$24:$A$31,0))</f>
        <v/>
      </c>
      <c r="N224" s="5">
        <f>$B224&amp;"."&amp;IF(INDEX(Mapping!$E$24:$E$31,MATCH($B224,Mapping!$A$24:$A$31,0))="sub",INDEX(Mapping!$F$5:$F$20,MATCH($C224,Mapping!$A$5:$A$20,0)),"all")</f>
        <v/>
      </c>
      <c r="O224" s="5">
        <f>INDEX(Mapping!$E$5:$E$20,MATCH($C224,Mapping!$A$5:$A$20,0))</f>
        <v/>
      </c>
      <c r="P224" s="5">
        <f>INDEX(Mapping!$G$24:$G$31,MATCH($B224,Mapping!$A$24:$A$31,0))</f>
        <v/>
      </c>
      <c r="Q224" s="22">
        <f>(INDEX(Prices_dom!$A$6:$CU$2000,MATCH(Settings!$C$4&amp;Settings!$C$7,Prices_dom!$A$6:$A$2000,0),MATCH("mit.rp."&amp;$N224,Prices_dom!$A$5:$CU$5,0))-INDEX(Prices_dom!$A$6:$CU$2000,MATCH(Settings!$C$4&amp;Settings!$C$7,Prices_dom!$A$6:$A$2000,0),MATCH("mit.sp."&amp;$N224,Prices_dom!$A$5:$CU$5,0)))/$P224</f>
        <v/>
      </c>
      <c r="R224" s="22">
        <f>INDEX(EF_GHG!$E$4:$E$1000,MATCH(Settings!$C$4&amp;"|"&amp;$B224&amp;"|"&amp;$O224,EF_GHG!$A$4:$A$1000,0))</f>
        <v/>
      </c>
      <c r="S224" s="22">
        <f>INDEX(Mapping!$G$5:$G$20,MATCH($C224,Mapping!$A$5:$A$20,0))</f>
        <v/>
      </c>
      <c r="T224" s="21" t="n"/>
      <c r="U224" s="21" t="n"/>
      <c r="V224" s="22">
        <f>Q224</f>
        <v/>
      </c>
      <c r="W224" s="22">
        <f>R224</f>
        <v/>
      </c>
      <c r="X224" s="22">
        <f>S224</f>
        <v/>
      </c>
      <c r="Y224" s="21" t="n"/>
      <c r="Z224" s="21" t="n"/>
      <c r="AA224" s="22">
        <f>Q224</f>
        <v/>
      </c>
      <c r="AB224" s="22">
        <f>R224</f>
        <v/>
      </c>
      <c r="AC224" s="22">
        <f>S224</f>
        <v/>
      </c>
      <c r="AD224" s="21" t="n"/>
      <c r="AE224" s="21" t="n"/>
      <c r="AF224" s="22">
        <f>Q224</f>
        <v/>
      </c>
      <c r="AG224" s="22">
        <f>R224</f>
        <v/>
      </c>
      <c r="AH224" s="22">
        <f>S224</f>
        <v/>
      </c>
      <c r="AI224" s="21" t="n"/>
      <c r="AJ224" s="21" t="n"/>
      <c r="AL224" s="23">
        <f>INDEX($Q224:$AJ224,1,(AL$4-1)*5+1)+AL$8*INDEX($Q224:$AJ224,1,(AL$4-1)*5+2)*INDEX($Q224:$AJ224,1,(AL$4-1)*5+3)</f>
        <v/>
      </c>
      <c r="AM224" s="22">
        <f>INDEX($Q224:$AJ224,1,(AM$4-1)*5+1)+AM$8*INDEX($Q224:$AJ224,1,(AM$4-1)*5+2)*INDEX($Q224:$AJ224,1,(AM$4-1)*5+3)</f>
        <v/>
      </c>
      <c r="AN224" s="22">
        <f>INDEX($Q224:$AJ224,1,(AN$4-1)*5+1)+AN$8*INDEX($Q224:$AJ224,1,(AN$4-1)*5+2)*INDEX($Q224:$AJ224,1,(AN$4-1)*5+3)</f>
        <v/>
      </c>
      <c r="AO224" s="22">
        <f>INDEX($Q224:$AJ224,1,(AO$4-1)*5+1)+AO$8*INDEX($Q224:$AJ224,1,(AO$4-1)*5+2)*INDEX($Q224:$AJ224,1,(AO$4-1)*5+3)</f>
        <v/>
      </c>
      <c r="AP224" s="22">
        <f>INDEX($Q224:$AJ224,1,(AP$4-1)*5+1)+AP$8*INDEX($Q224:$AJ224,1,(AP$4-1)*5+2)*INDEX($Q224:$AJ224,1,(AP$4-1)*5+3)</f>
        <v/>
      </c>
      <c r="AQ224" s="22">
        <f>INDEX($Q224:$AJ224,1,(AQ$4-1)*5+1)+AQ$8*INDEX($Q224:$AJ224,1,(AQ$4-1)*5+2)*INDEX($Q224:$AJ224,1,(AQ$4-1)*5+3)</f>
        <v/>
      </c>
      <c r="AR224" s="22">
        <f>INDEX($Q224:$AJ224,1,(AR$4-1)*5+1)+AR$8*INDEX($Q224:$AJ224,1,(AR$4-1)*5+2)*INDEX($Q224:$AJ224,1,(AR$4-1)*5+3)</f>
        <v/>
      </c>
      <c r="AS224" s="22">
        <f>INDEX($Q224:$AJ224,1,(AS$4-1)*5+1)+AS$8*INDEX($Q224:$AJ224,1,(AS$4-1)*5+2)*INDEX($Q224:$AJ224,1,(AS$4-1)*5+3)</f>
        <v/>
      </c>
      <c r="AT224" s="22">
        <f>INDEX($Q224:$AJ224,1,(AT$4-1)*5+1)+AT$8*INDEX($Q224:$AJ224,1,(AT$4-1)*5+2)*INDEX($Q224:$AJ224,1,(AT$4-1)*5+3)</f>
        <v/>
      </c>
      <c r="AU224" s="22">
        <f>INDEX($Q224:$AJ224,1,(AU$4-1)*5+1)+AU$8*INDEX($Q224:$AJ224,1,(AU$4-1)*5+2)*INDEX($Q224:$AJ224,1,(AU$4-1)*5+3)</f>
        <v/>
      </c>
      <c r="AV224" s="22">
        <f>INDEX($Q224:$AJ224,1,(AV$4-1)*5+1)+AV$8*INDEX($Q224:$AJ224,1,(AV$4-1)*5+2)*INDEX($Q224:$AJ224,1,(AV$4-1)*5+3)</f>
        <v/>
      </c>
      <c r="AW224" s="22">
        <f>INDEX($Q224:$AJ224,1,(AW$4-1)*5+1)+AW$8*INDEX($Q224:$AJ224,1,(AW$4-1)*5+2)*INDEX($Q224:$AJ224,1,(AW$4-1)*5+3)</f>
        <v/>
      </c>
      <c r="AX224" s="22">
        <f>INDEX($Q224:$AJ224,1,(AX$4-1)*5+1)+AX$8*INDEX($Q224:$AJ224,1,(AX$4-1)*5+2)*INDEX($Q224:$AJ224,1,(AX$4-1)*5+3)</f>
        <v/>
      </c>
      <c r="AY224" s="22">
        <f>INDEX($Q224:$AJ224,1,(AY$4-1)*5+1)+AY$8*INDEX($Q224:$AJ224,1,(AY$4-1)*5+2)*INDEX($Q224:$AJ224,1,(AY$4-1)*5+3)</f>
        <v/>
      </c>
      <c r="BA224" s="23">
        <f>INDEX($Q224:$AJ224,1,(BA$4-1)*5+1)+BA$8*INDEX($Q224:$AJ224,1,(BA$4-1)*5+2)*INDEX($Q224:$AJ224,1,(BA$4-1)*5+3)</f>
        <v/>
      </c>
      <c r="BB224" s="22">
        <f>INDEX($Q224:$AJ224,1,(BB$4-1)*5+1)+BB$8*INDEX($Q224:$AJ224,1,(BB$4-1)*5+2)*INDEX($Q224:$AJ224,1,(BB$4-1)*5+3)</f>
        <v/>
      </c>
      <c r="BC224" s="22">
        <f>INDEX($Q224:$AJ224,1,(BC$4-1)*5+1)+BC$8*INDEX($Q224:$AJ224,1,(BC$4-1)*5+2)*INDEX($Q224:$AJ224,1,(BC$4-1)*5+3)</f>
        <v/>
      </c>
      <c r="BD224" s="22">
        <f>INDEX($Q224:$AJ224,1,(BD$4-1)*5+1)+BD$8*INDEX($Q224:$AJ224,1,(BD$4-1)*5+2)*INDEX($Q224:$AJ224,1,(BD$4-1)*5+3)</f>
        <v/>
      </c>
      <c r="BE224" s="22">
        <f>INDEX($Q224:$AJ224,1,(BE$4-1)*5+1)+BE$8*INDEX($Q224:$AJ224,1,(BE$4-1)*5+2)*INDEX($Q224:$AJ224,1,(BE$4-1)*5+3)</f>
        <v/>
      </c>
      <c r="BF224" s="22">
        <f>INDEX($Q224:$AJ224,1,(BF$4-1)*5+1)+BF$8*INDEX($Q224:$AJ224,1,(BF$4-1)*5+2)*INDEX($Q224:$AJ224,1,(BF$4-1)*5+3)</f>
        <v/>
      </c>
      <c r="BG224" s="22">
        <f>INDEX($Q224:$AJ224,1,(BG$4-1)*5+1)+BG$8*INDEX($Q224:$AJ224,1,(BG$4-1)*5+2)*INDEX($Q224:$AJ224,1,(BG$4-1)*5+3)</f>
        <v/>
      </c>
      <c r="BH224" s="22">
        <f>INDEX($Q224:$AJ224,1,(BH$4-1)*5+1)+BH$8*INDEX($Q224:$AJ224,1,(BH$4-1)*5+2)*INDEX($Q224:$AJ224,1,(BH$4-1)*5+3)</f>
        <v/>
      </c>
      <c r="BI224" s="22">
        <f>INDEX($Q224:$AJ224,1,(BI$4-1)*5+1)+BI$8*INDEX($Q224:$AJ224,1,(BI$4-1)*5+2)*INDEX($Q224:$AJ224,1,(BI$4-1)*5+3)</f>
        <v/>
      </c>
      <c r="BJ224" s="22">
        <f>INDEX($Q224:$AJ224,1,(BJ$4-1)*5+1)+BJ$8*INDEX($Q224:$AJ224,1,(BJ$4-1)*5+2)*INDEX($Q224:$AJ224,1,(BJ$4-1)*5+3)</f>
        <v/>
      </c>
      <c r="BK224" s="22">
        <f>INDEX($Q224:$AJ224,1,(BK$4-1)*5+1)+BK$8*INDEX($Q224:$AJ224,1,(BK$4-1)*5+2)*INDEX($Q224:$AJ224,1,(BK$4-1)*5+3)</f>
        <v/>
      </c>
      <c r="BL224" s="22">
        <f>INDEX($Q224:$AJ224,1,(BL$4-1)*5+1)+BL$8*INDEX($Q224:$AJ224,1,(BL$4-1)*5+2)*INDEX($Q224:$AJ224,1,(BL$4-1)*5+3)</f>
        <v/>
      </c>
      <c r="BM224" s="22">
        <f>INDEX($Q224:$AJ224,1,(BM$4-1)*5+1)+BM$8*INDEX($Q224:$AJ224,1,(BM$4-1)*5+2)*INDEX($Q224:$AJ224,1,(BM$4-1)*5+3)</f>
        <v/>
      </c>
      <c r="BN224" s="22">
        <f>INDEX($Q224:$AJ224,1,(BN$4-1)*5+1)+BN$8*INDEX($Q224:$AJ224,1,(BN$4-1)*5+2)*INDEX($Q224:$AJ224,1,(BN$4-1)*5+3)</f>
        <v/>
      </c>
    </row>
    <row r="225">
      <c r="B225" s="5" t="inlineStr">
        <is>
          <t>lpg</t>
        </is>
      </c>
      <c r="C225" s="5" t="inlineStr">
        <is>
          <t>mac</t>
        </is>
      </c>
      <c r="D225" s="5" t="inlineStr">
        <is>
          <t>Tax | Machinery | LPG</t>
        </is>
      </c>
      <c r="E225" s="5" t="inlineStr">
        <is>
          <t>$/GJ</t>
        </is>
      </c>
      <c r="F225" s="5" t="inlineStr">
        <is>
          <t>Prices_dom, EF_GHG, Mapping</t>
        </is>
      </c>
      <c r="G225" s="19" t="inlineStr">
        <is>
          <t>mit.rp.lpg</t>
        </is>
      </c>
      <c r="H225" s="19" t="inlineStr">
        <is>
          <t>mit.tax.lpg.mac</t>
        </is>
      </c>
      <c r="J225" s="5">
        <f>INDEX(Mapping!$C$5:$C$20,MATCH($C225,Mapping!$A$5:$A$20,0))</f>
        <v/>
      </c>
      <c r="K225" s="5">
        <f>INDEX(Mapping!$D$5:$D$20,MATCH($C225,Mapping!$A$5:$A$20,0))</f>
        <v/>
      </c>
      <c r="L225" s="5">
        <f>INDEX(Mapping!$C$24:$C$31,MATCH($B225,Mapping!$A$24:$A$31,0))</f>
        <v/>
      </c>
      <c r="M225" s="5">
        <f>INDEX(Mapping!$D$24:$D$31,MATCH($B225,Mapping!$A$24:$A$31,0))</f>
        <v/>
      </c>
      <c r="N225" s="5">
        <f>$B225&amp;"."&amp;IF(INDEX(Mapping!$E$24:$E$31,MATCH($B225,Mapping!$A$24:$A$31,0))="sub",INDEX(Mapping!$F$5:$F$20,MATCH($C225,Mapping!$A$5:$A$20,0)),"all")</f>
        <v/>
      </c>
      <c r="O225" s="5">
        <f>INDEX(Mapping!$E$5:$E$20,MATCH($C225,Mapping!$A$5:$A$20,0))</f>
        <v/>
      </c>
      <c r="P225" s="5">
        <f>INDEX(Mapping!$G$24:$G$31,MATCH($B225,Mapping!$A$24:$A$31,0))</f>
        <v/>
      </c>
      <c r="Q225" s="22">
        <f>(INDEX(Prices_dom!$A$6:$CU$2000,MATCH(Settings!$C$4&amp;Settings!$C$7,Prices_dom!$A$6:$A$2000,0),MATCH("mit.rp."&amp;$N225,Prices_dom!$A$5:$CU$5,0))-INDEX(Prices_dom!$A$6:$CU$2000,MATCH(Settings!$C$4&amp;Settings!$C$7,Prices_dom!$A$6:$A$2000,0),MATCH("mit.sp."&amp;$N225,Prices_dom!$A$5:$CU$5,0)))/$P225</f>
        <v/>
      </c>
      <c r="R225" s="22">
        <f>INDEX(EF_GHG!$E$4:$E$1000,MATCH(Settings!$C$4&amp;"|"&amp;$B225&amp;"|"&amp;$O225,EF_GHG!$A$4:$A$1000,0))</f>
        <v/>
      </c>
      <c r="S225" s="22">
        <f>INDEX(Mapping!$G$5:$G$20,MATCH($C225,Mapping!$A$5:$A$20,0))</f>
        <v/>
      </c>
      <c r="T225" s="21" t="n"/>
      <c r="U225" s="21" t="n"/>
      <c r="V225" s="22">
        <f>Q225</f>
        <v/>
      </c>
      <c r="W225" s="22">
        <f>R225</f>
        <v/>
      </c>
      <c r="X225" s="22">
        <f>S225</f>
        <v/>
      </c>
      <c r="Y225" s="21" t="n"/>
      <c r="Z225" s="21" t="n"/>
      <c r="AA225" s="22">
        <f>Q225</f>
        <v/>
      </c>
      <c r="AB225" s="22">
        <f>R225</f>
        <v/>
      </c>
      <c r="AC225" s="22">
        <f>S225</f>
        <v/>
      </c>
      <c r="AD225" s="21" t="n"/>
      <c r="AE225" s="21" t="n"/>
      <c r="AF225" s="22">
        <f>Q225</f>
        <v/>
      </c>
      <c r="AG225" s="22">
        <f>R225</f>
        <v/>
      </c>
      <c r="AH225" s="22">
        <f>S225</f>
        <v/>
      </c>
      <c r="AI225" s="21" t="n"/>
      <c r="AJ225" s="21" t="n"/>
      <c r="AL225" s="23">
        <f>INDEX($Q225:$AJ225,1,(AL$4-1)*5+1)+AL$8*INDEX($Q225:$AJ225,1,(AL$4-1)*5+2)*INDEX($Q225:$AJ225,1,(AL$4-1)*5+3)</f>
        <v/>
      </c>
      <c r="AM225" s="22">
        <f>INDEX($Q225:$AJ225,1,(AM$4-1)*5+1)+AM$8*INDEX($Q225:$AJ225,1,(AM$4-1)*5+2)*INDEX($Q225:$AJ225,1,(AM$4-1)*5+3)</f>
        <v/>
      </c>
      <c r="AN225" s="22">
        <f>INDEX($Q225:$AJ225,1,(AN$4-1)*5+1)+AN$8*INDEX($Q225:$AJ225,1,(AN$4-1)*5+2)*INDEX($Q225:$AJ225,1,(AN$4-1)*5+3)</f>
        <v/>
      </c>
      <c r="AO225" s="22">
        <f>INDEX($Q225:$AJ225,1,(AO$4-1)*5+1)+AO$8*INDEX($Q225:$AJ225,1,(AO$4-1)*5+2)*INDEX($Q225:$AJ225,1,(AO$4-1)*5+3)</f>
        <v/>
      </c>
      <c r="AP225" s="22">
        <f>INDEX($Q225:$AJ225,1,(AP$4-1)*5+1)+AP$8*INDEX($Q225:$AJ225,1,(AP$4-1)*5+2)*INDEX($Q225:$AJ225,1,(AP$4-1)*5+3)</f>
        <v/>
      </c>
      <c r="AQ225" s="22">
        <f>INDEX($Q225:$AJ225,1,(AQ$4-1)*5+1)+AQ$8*INDEX($Q225:$AJ225,1,(AQ$4-1)*5+2)*INDEX($Q225:$AJ225,1,(AQ$4-1)*5+3)</f>
        <v/>
      </c>
      <c r="AR225" s="22">
        <f>INDEX($Q225:$AJ225,1,(AR$4-1)*5+1)+AR$8*INDEX($Q225:$AJ225,1,(AR$4-1)*5+2)*INDEX($Q225:$AJ225,1,(AR$4-1)*5+3)</f>
        <v/>
      </c>
      <c r="AS225" s="22">
        <f>INDEX($Q225:$AJ225,1,(AS$4-1)*5+1)+AS$8*INDEX($Q225:$AJ225,1,(AS$4-1)*5+2)*INDEX($Q225:$AJ225,1,(AS$4-1)*5+3)</f>
        <v/>
      </c>
      <c r="AT225" s="22">
        <f>INDEX($Q225:$AJ225,1,(AT$4-1)*5+1)+AT$8*INDEX($Q225:$AJ225,1,(AT$4-1)*5+2)*INDEX($Q225:$AJ225,1,(AT$4-1)*5+3)</f>
        <v/>
      </c>
      <c r="AU225" s="22">
        <f>INDEX($Q225:$AJ225,1,(AU$4-1)*5+1)+AU$8*INDEX($Q225:$AJ225,1,(AU$4-1)*5+2)*INDEX($Q225:$AJ225,1,(AU$4-1)*5+3)</f>
        <v/>
      </c>
      <c r="AV225" s="22">
        <f>INDEX($Q225:$AJ225,1,(AV$4-1)*5+1)+AV$8*INDEX($Q225:$AJ225,1,(AV$4-1)*5+2)*INDEX($Q225:$AJ225,1,(AV$4-1)*5+3)</f>
        <v/>
      </c>
      <c r="AW225" s="22">
        <f>INDEX($Q225:$AJ225,1,(AW$4-1)*5+1)+AW$8*INDEX($Q225:$AJ225,1,(AW$4-1)*5+2)*INDEX($Q225:$AJ225,1,(AW$4-1)*5+3)</f>
        <v/>
      </c>
      <c r="AX225" s="22">
        <f>INDEX($Q225:$AJ225,1,(AX$4-1)*5+1)+AX$8*INDEX($Q225:$AJ225,1,(AX$4-1)*5+2)*INDEX($Q225:$AJ225,1,(AX$4-1)*5+3)</f>
        <v/>
      </c>
      <c r="AY225" s="22">
        <f>INDEX($Q225:$AJ225,1,(AY$4-1)*5+1)+AY$8*INDEX($Q225:$AJ225,1,(AY$4-1)*5+2)*INDEX($Q225:$AJ225,1,(AY$4-1)*5+3)</f>
        <v/>
      </c>
      <c r="BA225" s="23">
        <f>INDEX($Q225:$AJ225,1,(BA$4-1)*5+1)+BA$8*INDEX($Q225:$AJ225,1,(BA$4-1)*5+2)*INDEX($Q225:$AJ225,1,(BA$4-1)*5+3)</f>
        <v/>
      </c>
      <c r="BB225" s="22">
        <f>INDEX($Q225:$AJ225,1,(BB$4-1)*5+1)+BB$8*INDEX($Q225:$AJ225,1,(BB$4-1)*5+2)*INDEX($Q225:$AJ225,1,(BB$4-1)*5+3)</f>
        <v/>
      </c>
      <c r="BC225" s="22">
        <f>INDEX($Q225:$AJ225,1,(BC$4-1)*5+1)+BC$8*INDEX($Q225:$AJ225,1,(BC$4-1)*5+2)*INDEX($Q225:$AJ225,1,(BC$4-1)*5+3)</f>
        <v/>
      </c>
      <c r="BD225" s="22">
        <f>INDEX($Q225:$AJ225,1,(BD$4-1)*5+1)+BD$8*INDEX($Q225:$AJ225,1,(BD$4-1)*5+2)*INDEX($Q225:$AJ225,1,(BD$4-1)*5+3)</f>
        <v/>
      </c>
      <c r="BE225" s="22">
        <f>INDEX($Q225:$AJ225,1,(BE$4-1)*5+1)+BE$8*INDEX($Q225:$AJ225,1,(BE$4-1)*5+2)*INDEX($Q225:$AJ225,1,(BE$4-1)*5+3)</f>
        <v/>
      </c>
      <c r="BF225" s="22">
        <f>INDEX($Q225:$AJ225,1,(BF$4-1)*5+1)+BF$8*INDEX($Q225:$AJ225,1,(BF$4-1)*5+2)*INDEX($Q225:$AJ225,1,(BF$4-1)*5+3)</f>
        <v/>
      </c>
      <c r="BG225" s="22">
        <f>INDEX($Q225:$AJ225,1,(BG$4-1)*5+1)+BG$8*INDEX($Q225:$AJ225,1,(BG$4-1)*5+2)*INDEX($Q225:$AJ225,1,(BG$4-1)*5+3)</f>
        <v/>
      </c>
      <c r="BH225" s="22">
        <f>INDEX($Q225:$AJ225,1,(BH$4-1)*5+1)+BH$8*INDEX($Q225:$AJ225,1,(BH$4-1)*5+2)*INDEX($Q225:$AJ225,1,(BH$4-1)*5+3)</f>
        <v/>
      </c>
      <c r="BI225" s="22">
        <f>INDEX($Q225:$AJ225,1,(BI$4-1)*5+1)+BI$8*INDEX($Q225:$AJ225,1,(BI$4-1)*5+2)*INDEX($Q225:$AJ225,1,(BI$4-1)*5+3)</f>
        <v/>
      </c>
      <c r="BJ225" s="22">
        <f>INDEX($Q225:$AJ225,1,(BJ$4-1)*5+1)+BJ$8*INDEX($Q225:$AJ225,1,(BJ$4-1)*5+2)*INDEX($Q225:$AJ225,1,(BJ$4-1)*5+3)</f>
        <v/>
      </c>
      <c r="BK225" s="22">
        <f>INDEX($Q225:$AJ225,1,(BK$4-1)*5+1)+BK$8*INDEX($Q225:$AJ225,1,(BK$4-1)*5+2)*INDEX($Q225:$AJ225,1,(BK$4-1)*5+3)</f>
        <v/>
      </c>
      <c r="BL225" s="22">
        <f>INDEX($Q225:$AJ225,1,(BL$4-1)*5+1)+BL$8*INDEX($Q225:$AJ225,1,(BL$4-1)*5+2)*INDEX($Q225:$AJ225,1,(BL$4-1)*5+3)</f>
        <v/>
      </c>
      <c r="BM225" s="22">
        <f>INDEX($Q225:$AJ225,1,(BM$4-1)*5+1)+BM$8*INDEX($Q225:$AJ225,1,(BM$4-1)*5+2)*INDEX($Q225:$AJ225,1,(BM$4-1)*5+3)</f>
        <v/>
      </c>
      <c r="BN225" s="22">
        <f>INDEX($Q225:$AJ225,1,(BN$4-1)*5+1)+BN$8*INDEX($Q225:$AJ225,1,(BN$4-1)*5+2)*INDEX($Q225:$AJ225,1,(BN$4-1)*5+3)</f>
        <v/>
      </c>
    </row>
    <row r="226">
      <c r="B226" s="5" t="inlineStr">
        <is>
          <t>ker</t>
        </is>
      </c>
      <c r="C226" s="5" t="inlineStr">
        <is>
          <t>mac</t>
        </is>
      </c>
      <c r="D226" s="5" t="inlineStr">
        <is>
          <t>Tax | Machinery | Kerosene</t>
        </is>
      </c>
      <c r="E226" s="5" t="inlineStr">
        <is>
          <t>$/GJ</t>
        </is>
      </c>
      <c r="F226" s="5" t="inlineStr">
        <is>
          <t>Prices_dom, EF_GHG, Mapping</t>
        </is>
      </c>
      <c r="G226" s="19" t="inlineStr">
        <is>
          <t>mit.rp.ker</t>
        </is>
      </c>
      <c r="H226" s="19" t="inlineStr">
        <is>
          <t>mit.tax.ker.mac</t>
        </is>
      </c>
      <c r="J226" s="5">
        <f>INDEX(Mapping!$C$5:$C$20,MATCH($C226,Mapping!$A$5:$A$20,0))</f>
        <v/>
      </c>
      <c r="K226" s="5">
        <f>INDEX(Mapping!$D$5:$D$20,MATCH($C226,Mapping!$A$5:$A$20,0))</f>
        <v/>
      </c>
      <c r="L226" s="5">
        <f>INDEX(Mapping!$C$24:$C$31,MATCH($B226,Mapping!$A$24:$A$31,0))</f>
        <v/>
      </c>
      <c r="M226" s="5">
        <f>INDEX(Mapping!$D$24:$D$31,MATCH($B226,Mapping!$A$24:$A$31,0))</f>
        <v/>
      </c>
      <c r="N226" s="5">
        <f>$B226&amp;"."&amp;IF(INDEX(Mapping!$E$24:$E$31,MATCH($B226,Mapping!$A$24:$A$31,0))="sub",INDEX(Mapping!$F$5:$F$20,MATCH($C226,Mapping!$A$5:$A$20,0)),"all")</f>
        <v/>
      </c>
      <c r="O226" s="5">
        <f>INDEX(Mapping!$E$5:$E$20,MATCH($C226,Mapping!$A$5:$A$20,0))</f>
        <v/>
      </c>
      <c r="P226" s="5">
        <f>INDEX(Mapping!$G$24:$G$31,MATCH($B226,Mapping!$A$24:$A$31,0))</f>
        <v/>
      </c>
      <c r="Q226" s="22">
        <f>(INDEX(Prices_dom!$A$6:$CU$2000,MATCH(Settings!$C$4&amp;Settings!$C$7,Prices_dom!$A$6:$A$2000,0),MATCH("mit.rp."&amp;$N226,Prices_dom!$A$5:$CU$5,0))-INDEX(Prices_dom!$A$6:$CU$2000,MATCH(Settings!$C$4&amp;Settings!$C$7,Prices_dom!$A$6:$A$2000,0),MATCH("mit.sp."&amp;$N226,Prices_dom!$A$5:$CU$5,0)))/$P226</f>
        <v/>
      </c>
      <c r="R226" s="22">
        <f>INDEX(EF_GHG!$E$4:$E$1000,MATCH(Settings!$C$4&amp;"|"&amp;$B226&amp;"|"&amp;$O226,EF_GHG!$A$4:$A$1000,0))</f>
        <v/>
      </c>
      <c r="S226" s="22">
        <f>INDEX(Mapping!$G$5:$G$20,MATCH($C226,Mapping!$A$5:$A$20,0))</f>
        <v/>
      </c>
      <c r="T226" s="21" t="n"/>
      <c r="U226" s="21" t="n"/>
      <c r="V226" s="22">
        <f>Q226</f>
        <v/>
      </c>
      <c r="W226" s="22">
        <f>R226</f>
        <v/>
      </c>
      <c r="X226" s="22">
        <f>S226</f>
        <v/>
      </c>
      <c r="Y226" s="21" t="n"/>
      <c r="Z226" s="21" t="n"/>
      <c r="AA226" s="22">
        <f>Q226</f>
        <v/>
      </c>
      <c r="AB226" s="22">
        <f>R226</f>
        <v/>
      </c>
      <c r="AC226" s="22">
        <f>S226</f>
        <v/>
      </c>
      <c r="AD226" s="21" t="n"/>
      <c r="AE226" s="21" t="n"/>
      <c r="AF226" s="22">
        <f>Q226</f>
        <v/>
      </c>
      <c r="AG226" s="22">
        <f>R226</f>
        <v/>
      </c>
      <c r="AH226" s="22">
        <f>S226</f>
        <v/>
      </c>
      <c r="AI226" s="21" t="n"/>
      <c r="AJ226" s="21" t="n"/>
      <c r="AL226" s="23">
        <f>INDEX($Q226:$AJ226,1,(AL$4-1)*5+1)+AL$8*INDEX($Q226:$AJ226,1,(AL$4-1)*5+2)*INDEX($Q226:$AJ226,1,(AL$4-1)*5+3)</f>
        <v/>
      </c>
      <c r="AM226" s="22">
        <f>INDEX($Q226:$AJ226,1,(AM$4-1)*5+1)+AM$8*INDEX($Q226:$AJ226,1,(AM$4-1)*5+2)*INDEX($Q226:$AJ226,1,(AM$4-1)*5+3)</f>
        <v/>
      </c>
      <c r="AN226" s="22">
        <f>INDEX($Q226:$AJ226,1,(AN$4-1)*5+1)+AN$8*INDEX($Q226:$AJ226,1,(AN$4-1)*5+2)*INDEX($Q226:$AJ226,1,(AN$4-1)*5+3)</f>
        <v/>
      </c>
      <c r="AO226" s="22">
        <f>INDEX($Q226:$AJ226,1,(AO$4-1)*5+1)+AO$8*INDEX($Q226:$AJ226,1,(AO$4-1)*5+2)*INDEX($Q226:$AJ226,1,(AO$4-1)*5+3)</f>
        <v/>
      </c>
      <c r="AP226" s="22">
        <f>INDEX($Q226:$AJ226,1,(AP$4-1)*5+1)+AP$8*INDEX($Q226:$AJ226,1,(AP$4-1)*5+2)*INDEX($Q226:$AJ226,1,(AP$4-1)*5+3)</f>
        <v/>
      </c>
      <c r="AQ226" s="22">
        <f>INDEX($Q226:$AJ226,1,(AQ$4-1)*5+1)+AQ$8*INDEX($Q226:$AJ226,1,(AQ$4-1)*5+2)*INDEX($Q226:$AJ226,1,(AQ$4-1)*5+3)</f>
        <v/>
      </c>
      <c r="AR226" s="22">
        <f>INDEX($Q226:$AJ226,1,(AR$4-1)*5+1)+AR$8*INDEX($Q226:$AJ226,1,(AR$4-1)*5+2)*INDEX($Q226:$AJ226,1,(AR$4-1)*5+3)</f>
        <v/>
      </c>
      <c r="AS226" s="22">
        <f>INDEX($Q226:$AJ226,1,(AS$4-1)*5+1)+AS$8*INDEX($Q226:$AJ226,1,(AS$4-1)*5+2)*INDEX($Q226:$AJ226,1,(AS$4-1)*5+3)</f>
        <v/>
      </c>
      <c r="AT226" s="22">
        <f>INDEX($Q226:$AJ226,1,(AT$4-1)*5+1)+AT$8*INDEX($Q226:$AJ226,1,(AT$4-1)*5+2)*INDEX($Q226:$AJ226,1,(AT$4-1)*5+3)</f>
        <v/>
      </c>
      <c r="AU226" s="22">
        <f>INDEX($Q226:$AJ226,1,(AU$4-1)*5+1)+AU$8*INDEX($Q226:$AJ226,1,(AU$4-1)*5+2)*INDEX($Q226:$AJ226,1,(AU$4-1)*5+3)</f>
        <v/>
      </c>
      <c r="AV226" s="22">
        <f>INDEX($Q226:$AJ226,1,(AV$4-1)*5+1)+AV$8*INDEX($Q226:$AJ226,1,(AV$4-1)*5+2)*INDEX($Q226:$AJ226,1,(AV$4-1)*5+3)</f>
        <v/>
      </c>
      <c r="AW226" s="22">
        <f>INDEX($Q226:$AJ226,1,(AW$4-1)*5+1)+AW$8*INDEX($Q226:$AJ226,1,(AW$4-1)*5+2)*INDEX($Q226:$AJ226,1,(AW$4-1)*5+3)</f>
        <v/>
      </c>
      <c r="AX226" s="22">
        <f>INDEX($Q226:$AJ226,1,(AX$4-1)*5+1)+AX$8*INDEX($Q226:$AJ226,1,(AX$4-1)*5+2)*INDEX($Q226:$AJ226,1,(AX$4-1)*5+3)</f>
        <v/>
      </c>
      <c r="AY226" s="22">
        <f>INDEX($Q226:$AJ226,1,(AY$4-1)*5+1)+AY$8*INDEX($Q226:$AJ226,1,(AY$4-1)*5+2)*INDEX($Q226:$AJ226,1,(AY$4-1)*5+3)</f>
        <v/>
      </c>
      <c r="BA226" s="23">
        <f>INDEX($Q226:$AJ226,1,(BA$4-1)*5+1)+BA$8*INDEX($Q226:$AJ226,1,(BA$4-1)*5+2)*INDEX($Q226:$AJ226,1,(BA$4-1)*5+3)</f>
        <v/>
      </c>
      <c r="BB226" s="22">
        <f>INDEX($Q226:$AJ226,1,(BB$4-1)*5+1)+BB$8*INDEX($Q226:$AJ226,1,(BB$4-1)*5+2)*INDEX($Q226:$AJ226,1,(BB$4-1)*5+3)</f>
        <v/>
      </c>
      <c r="BC226" s="22">
        <f>INDEX($Q226:$AJ226,1,(BC$4-1)*5+1)+BC$8*INDEX($Q226:$AJ226,1,(BC$4-1)*5+2)*INDEX($Q226:$AJ226,1,(BC$4-1)*5+3)</f>
        <v/>
      </c>
      <c r="BD226" s="22">
        <f>INDEX($Q226:$AJ226,1,(BD$4-1)*5+1)+BD$8*INDEX($Q226:$AJ226,1,(BD$4-1)*5+2)*INDEX($Q226:$AJ226,1,(BD$4-1)*5+3)</f>
        <v/>
      </c>
      <c r="BE226" s="22">
        <f>INDEX($Q226:$AJ226,1,(BE$4-1)*5+1)+BE$8*INDEX($Q226:$AJ226,1,(BE$4-1)*5+2)*INDEX($Q226:$AJ226,1,(BE$4-1)*5+3)</f>
        <v/>
      </c>
      <c r="BF226" s="22">
        <f>INDEX($Q226:$AJ226,1,(BF$4-1)*5+1)+BF$8*INDEX($Q226:$AJ226,1,(BF$4-1)*5+2)*INDEX($Q226:$AJ226,1,(BF$4-1)*5+3)</f>
        <v/>
      </c>
      <c r="BG226" s="22">
        <f>INDEX($Q226:$AJ226,1,(BG$4-1)*5+1)+BG$8*INDEX($Q226:$AJ226,1,(BG$4-1)*5+2)*INDEX($Q226:$AJ226,1,(BG$4-1)*5+3)</f>
        <v/>
      </c>
      <c r="BH226" s="22">
        <f>INDEX($Q226:$AJ226,1,(BH$4-1)*5+1)+BH$8*INDEX($Q226:$AJ226,1,(BH$4-1)*5+2)*INDEX($Q226:$AJ226,1,(BH$4-1)*5+3)</f>
        <v/>
      </c>
      <c r="BI226" s="22">
        <f>INDEX($Q226:$AJ226,1,(BI$4-1)*5+1)+BI$8*INDEX($Q226:$AJ226,1,(BI$4-1)*5+2)*INDEX($Q226:$AJ226,1,(BI$4-1)*5+3)</f>
        <v/>
      </c>
      <c r="BJ226" s="22">
        <f>INDEX($Q226:$AJ226,1,(BJ$4-1)*5+1)+BJ$8*INDEX($Q226:$AJ226,1,(BJ$4-1)*5+2)*INDEX($Q226:$AJ226,1,(BJ$4-1)*5+3)</f>
        <v/>
      </c>
      <c r="BK226" s="22">
        <f>INDEX($Q226:$AJ226,1,(BK$4-1)*5+1)+BK$8*INDEX($Q226:$AJ226,1,(BK$4-1)*5+2)*INDEX($Q226:$AJ226,1,(BK$4-1)*5+3)</f>
        <v/>
      </c>
      <c r="BL226" s="22">
        <f>INDEX($Q226:$AJ226,1,(BL$4-1)*5+1)+BL$8*INDEX($Q226:$AJ226,1,(BL$4-1)*5+2)*INDEX($Q226:$AJ226,1,(BL$4-1)*5+3)</f>
        <v/>
      </c>
      <c r="BM226" s="22">
        <f>INDEX($Q226:$AJ226,1,(BM$4-1)*5+1)+BM$8*INDEX($Q226:$AJ226,1,(BM$4-1)*5+2)*INDEX($Q226:$AJ226,1,(BM$4-1)*5+3)</f>
        <v/>
      </c>
      <c r="BN226" s="22">
        <f>INDEX($Q226:$AJ226,1,(BN$4-1)*5+1)+BN$8*INDEX($Q226:$AJ226,1,(BN$4-1)*5+2)*INDEX($Q226:$AJ226,1,(BN$4-1)*5+3)</f>
        <v/>
      </c>
    </row>
    <row r="227">
      <c r="B227" s="5" t="inlineStr">
        <is>
          <t>oop</t>
        </is>
      </c>
      <c r="C227" s="5" t="inlineStr">
        <is>
          <t>mac</t>
        </is>
      </c>
      <c r="D227" s="5" t="inlineStr">
        <is>
          <t>Tax | Machinery | Other oil products</t>
        </is>
      </c>
      <c r="E227" s="5" t="inlineStr">
        <is>
          <t>$/GJ</t>
        </is>
      </c>
      <c r="F227" s="5" t="inlineStr">
        <is>
          <t>Prices_dom, EF_GHG, Mapping</t>
        </is>
      </c>
      <c r="G227" s="19" t="inlineStr">
        <is>
          <t>mit.rp.oop</t>
        </is>
      </c>
      <c r="H227" s="19" t="inlineStr">
        <is>
          <t>mit.tax.oop.mac</t>
        </is>
      </c>
      <c r="J227" s="5">
        <f>INDEX(Mapping!$C$5:$C$20,MATCH($C227,Mapping!$A$5:$A$20,0))</f>
        <v/>
      </c>
      <c r="K227" s="5">
        <f>INDEX(Mapping!$D$5:$D$20,MATCH($C227,Mapping!$A$5:$A$20,0))</f>
        <v/>
      </c>
      <c r="L227" s="5">
        <f>INDEX(Mapping!$C$24:$C$31,MATCH($B227,Mapping!$A$24:$A$31,0))</f>
        <v/>
      </c>
      <c r="M227" s="5">
        <f>INDEX(Mapping!$D$24:$D$31,MATCH($B227,Mapping!$A$24:$A$31,0))</f>
        <v/>
      </c>
      <c r="N227" s="5">
        <f>$B227&amp;"."&amp;IF(INDEX(Mapping!$E$24:$E$31,MATCH($B227,Mapping!$A$24:$A$31,0))="sub",INDEX(Mapping!$F$5:$F$20,MATCH($C227,Mapping!$A$5:$A$20,0)),"all")</f>
        <v/>
      </c>
      <c r="O227" s="5">
        <f>INDEX(Mapping!$E$5:$E$20,MATCH($C227,Mapping!$A$5:$A$20,0))</f>
        <v/>
      </c>
      <c r="P227" s="5">
        <f>INDEX(Mapping!$G$24:$G$31,MATCH($B227,Mapping!$A$24:$A$31,0))</f>
        <v/>
      </c>
      <c r="Q227" s="22">
        <f>(INDEX(Prices_dom!$A$6:$CU$2000,MATCH(Settings!$C$4&amp;Settings!$C$7,Prices_dom!$A$6:$A$2000,0),MATCH("mit.rp."&amp;$N227,Prices_dom!$A$5:$CU$5,0))-INDEX(Prices_dom!$A$6:$CU$2000,MATCH(Settings!$C$4&amp;Settings!$C$7,Prices_dom!$A$6:$A$2000,0),MATCH("mit.sp."&amp;$N227,Prices_dom!$A$5:$CU$5,0)))/$P227</f>
        <v/>
      </c>
      <c r="R227" s="22">
        <f>INDEX(EF_GHG!$E$4:$E$1000,MATCH(Settings!$C$4&amp;"|"&amp;$B227&amp;"|"&amp;$O227,EF_GHG!$A$4:$A$1000,0))</f>
        <v/>
      </c>
      <c r="S227" s="22">
        <f>INDEX(Mapping!$G$5:$G$20,MATCH($C227,Mapping!$A$5:$A$20,0))</f>
        <v/>
      </c>
      <c r="T227" s="21" t="n"/>
      <c r="U227" s="21" t="n"/>
      <c r="V227" s="22">
        <f>Q227</f>
        <v/>
      </c>
      <c r="W227" s="22">
        <f>R227</f>
        <v/>
      </c>
      <c r="X227" s="22">
        <f>S227</f>
        <v/>
      </c>
      <c r="Y227" s="21" t="n"/>
      <c r="Z227" s="21" t="n"/>
      <c r="AA227" s="22">
        <f>Q227</f>
        <v/>
      </c>
      <c r="AB227" s="22">
        <f>R227</f>
        <v/>
      </c>
      <c r="AC227" s="22">
        <f>S227</f>
        <v/>
      </c>
      <c r="AD227" s="21" t="n"/>
      <c r="AE227" s="21" t="n"/>
      <c r="AF227" s="22">
        <f>Q227</f>
        <v/>
      </c>
      <c r="AG227" s="22">
        <f>R227</f>
        <v/>
      </c>
      <c r="AH227" s="22">
        <f>S227</f>
        <v/>
      </c>
      <c r="AI227" s="21" t="n"/>
      <c r="AJ227" s="21" t="n"/>
      <c r="AL227" s="23">
        <f>INDEX($Q227:$AJ227,1,(AL$4-1)*5+1)+AL$8*INDEX($Q227:$AJ227,1,(AL$4-1)*5+2)*INDEX($Q227:$AJ227,1,(AL$4-1)*5+3)</f>
        <v/>
      </c>
      <c r="AM227" s="22">
        <f>INDEX($Q227:$AJ227,1,(AM$4-1)*5+1)+AM$8*INDEX($Q227:$AJ227,1,(AM$4-1)*5+2)*INDEX($Q227:$AJ227,1,(AM$4-1)*5+3)</f>
        <v/>
      </c>
      <c r="AN227" s="22">
        <f>INDEX($Q227:$AJ227,1,(AN$4-1)*5+1)+AN$8*INDEX($Q227:$AJ227,1,(AN$4-1)*5+2)*INDEX($Q227:$AJ227,1,(AN$4-1)*5+3)</f>
        <v/>
      </c>
      <c r="AO227" s="22">
        <f>INDEX($Q227:$AJ227,1,(AO$4-1)*5+1)+AO$8*INDEX($Q227:$AJ227,1,(AO$4-1)*5+2)*INDEX($Q227:$AJ227,1,(AO$4-1)*5+3)</f>
        <v/>
      </c>
      <c r="AP227" s="22">
        <f>INDEX($Q227:$AJ227,1,(AP$4-1)*5+1)+AP$8*INDEX($Q227:$AJ227,1,(AP$4-1)*5+2)*INDEX($Q227:$AJ227,1,(AP$4-1)*5+3)</f>
        <v/>
      </c>
      <c r="AQ227" s="22">
        <f>INDEX($Q227:$AJ227,1,(AQ$4-1)*5+1)+AQ$8*INDEX($Q227:$AJ227,1,(AQ$4-1)*5+2)*INDEX($Q227:$AJ227,1,(AQ$4-1)*5+3)</f>
        <v/>
      </c>
      <c r="AR227" s="22">
        <f>INDEX($Q227:$AJ227,1,(AR$4-1)*5+1)+AR$8*INDEX($Q227:$AJ227,1,(AR$4-1)*5+2)*INDEX($Q227:$AJ227,1,(AR$4-1)*5+3)</f>
        <v/>
      </c>
      <c r="AS227" s="22">
        <f>INDEX($Q227:$AJ227,1,(AS$4-1)*5+1)+AS$8*INDEX($Q227:$AJ227,1,(AS$4-1)*5+2)*INDEX($Q227:$AJ227,1,(AS$4-1)*5+3)</f>
        <v/>
      </c>
      <c r="AT227" s="22">
        <f>INDEX($Q227:$AJ227,1,(AT$4-1)*5+1)+AT$8*INDEX($Q227:$AJ227,1,(AT$4-1)*5+2)*INDEX($Q227:$AJ227,1,(AT$4-1)*5+3)</f>
        <v/>
      </c>
      <c r="AU227" s="22">
        <f>INDEX($Q227:$AJ227,1,(AU$4-1)*5+1)+AU$8*INDEX($Q227:$AJ227,1,(AU$4-1)*5+2)*INDEX($Q227:$AJ227,1,(AU$4-1)*5+3)</f>
        <v/>
      </c>
      <c r="AV227" s="22">
        <f>INDEX($Q227:$AJ227,1,(AV$4-1)*5+1)+AV$8*INDEX($Q227:$AJ227,1,(AV$4-1)*5+2)*INDEX($Q227:$AJ227,1,(AV$4-1)*5+3)</f>
        <v/>
      </c>
      <c r="AW227" s="22">
        <f>INDEX($Q227:$AJ227,1,(AW$4-1)*5+1)+AW$8*INDEX($Q227:$AJ227,1,(AW$4-1)*5+2)*INDEX($Q227:$AJ227,1,(AW$4-1)*5+3)</f>
        <v/>
      </c>
      <c r="AX227" s="22">
        <f>INDEX($Q227:$AJ227,1,(AX$4-1)*5+1)+AX$8*INDEX($Q227:$AJ227,1,(AX$4-1)*5+2)*INDEX($Q227:$AJ227,1,(AX$4-1)*5+3)</f>
        <v/>
      </c>
      <c r="AY227" s="22">
        <f>INDEX($Q227:$AJ227,1,(AY$4-1)*5+1)+AY$8*INDEX($Q227:$AJ227,1,(AY$4-1)*5+2)*INDEX($Q227:$AJ227,1,(AY$4-1)*5+3)</f>
        <v/>
      </c>
      <c r="BA227" s="23">
        <f>INDEX($Q227:$AJ227,1,(BA$4-1)*5+1)+BA$8*INDEX($Q227:$AJ227,1,(BA$4-1)*5+2)*INDEX($Q227:$AJ227,1,(BA$4-1)*5+3)</f>
        <v/>
      </c>
      <c r="BB227" s="22">
        <f>INDEX($Q227:$AJ227,1,(BB$4-1)*5+1)+BB$8*INDEX($Q227:$AJ227,1,(BB$4-1)*5+2)*INDEX($Q227:$AJ227,1,(BB$4-1)*5+3)</f>
        <v/>
      </c>
      <c r="BC227" s="22">
        <f>INDEX($Q227:$AJ227,1,(BC$4-1)*5+1)+BC$8*INDEX($Q227:$AJ227,1,(BC$4-1)*5+2)*INDEX($Q227:$AJ227,1,(BC$4-1)*5+3)</f>
        <v/>
      </c>
      <c r="BD227" s="22">
        <f>INDEX($Q227:$AJ227,1,(BD$4-1)*5+1)+BD$8*INDEX($Q227:$AJ227,1,(BD$4-1)*5+2)*INDEX($Q227:$AJ227,1,(BD$4-1)*5+3)</f>
        <v/>
      </c>
      <c r="BE227" s="22">
        <f>INDEX($Q227:$AJ227,1,(BE$4-1)*5+1)+BE$8*INDEX($Q227:$AJ227,1,(BE$4-1)*5+2)*INDEX($Q227:$AJ227,1,(BE$4-1)*5+3)</f>
        <v/>
      </c>
      <c r="BF227" s="22">
        <f>INDEX($Q227:$AJ227,1,(BF$4-1)*5+1)+BF$8*INDEX($Q227:$AJ227,1,(BF$4-1)*5+2)*INDEX($Q227:$AJ227,1,(BF$4-1)*5+3)</f>
        <v/>
      </c>
      <c r="BG227" s="22">
        <f>INDEX($Q227:$AJ227,1,(BG$4-1)*5+1)+BG$8*INDEX($Q227:$AJ227,1,(BG$4-1)*5+2)*INDEX($Q227:$AJ227,1,(BG$4-1)*5+3)</f>
        <v/>
      </c>
      <c r="BH227" s="22">
        <f>INDEX($Q227:$AJ227,1,(BH$4-1)*5+1)+BH$8*INDEX($Q227:$AJ227,1,(BH$4-1)*5+2)*INDEX($Q227:$AJ227,1,(BH$4-1)*5+3)</f>
        <v/>
      </c>
      <c r="BI227" s="22">
        <f>INDEX($Q227:$AJ227,1,(BI$4-1)*5+1)+BI$8*INDEX($Q227:$AJ227,1,(BI$4-1)*5+2)*INDEX($Q227:$AJ227,1,(BI$4-1)*5+3)</f>
        <v/>
      </c>
      <c r="BJ227" s="22">
        <f>INDEX($Q227:$AJ227,1,(BJ$4-1)*5+1)+BJ$8*INDEX($Q227:$AJ227,1,(BJ$4-1)*5+2)*INDEX($Q227:$AJ227,1,(BJ$4-1)*5+3)</f>
        <v/>
      </c>
      <c r="BK227" s="22">
        <f>INDEX($Q227:$AJ227,1,(BK$4-1)*5+1)+BK$8*INDEX($Q227:$AJ227,1,(BK$4-1)*5+2)*INDEX($Q227:$AJ227,1,(BK$4-1)*5+3)</f>
        <v/>
      </c>
      <c r="BL227" s="22">
        <f>INDEX($Q227:$AJ227,1,(BL$4-1)*5+1)+BL$8*INDEX($Q227:$AJ227,1,(BL$4-1)*5+2)*INDEX($Q227:$AJ227,1,(BL$4-1)*5+3)</f>
        <v/>
      </c>
      <c r="BM227" s="22">
        <f>INDEX($Q227:$AJ227,1,(BM$4-1)*5+1)+BM$8*INDEX($Q227:$AJ227,1,(BM$4-1)*5+2)*INDEX($Q227:$AJ227,1,(BM$4-1)*5+3)</f>
        <v/>
      </c>
      <c r="BN227" s="22">
        <f>INDEX($Q227:$AJ227,1,(BN$4-1)*5+1)+BN$8*INDEX($Q227:$AJ227,1,(BN$4-1)*5+2)*INDEX($Q227:$AJ227,1,(BN$4-1)*5+3)</f>
        <v/>
      </c>
    </row>
    <row r="228">
      <c r="B228" s="5" t="inlineStr">
        <is>
          <t>bio</t>
        </is>
      </c>
      <c r="C228" s="5" t="inlineStr">
        <is>
          <t>mac</t>
        </is>
      </c>
      <c r="D228" s="5" t="inlineStr">
        <is>
          <t>Tax | Machinery | Biomass</t>
        </is>
      </c>
      <c r="E228" s="5" t="inlineStr">
        <is>
          <t>$/GJ</t>
        </is>
      </c>
      <c r="F228" s="5" t="inlineStr">
        <is>
          <t>Prices_dom, EF_GHG, Mapping</t>
        </is>
      </c>
      <c r="G228" s="19" t="inlineStr">
        <is>
          <t>mit.rp.bio</t>
        </is>
      </c>
      <c r="H228" s="19" t="inlineStr">
        <is>
          <t>mit.tax.bio.mac</t>
        </is>
      </c>
      <c r="J228" s="5">
        <f>INDEX(Mapping!$C$5:$C$20,MATCH($C228,Mapping!$A$5:$A$20,0))</f>
        <v/>
      </c>
      <c r="K228" s="5">
        <f>INDEX(Mapping!$D$5:$D$20,MATCH($C228,Mapping!$A$5:$A$20,0))</f>
        <v/>
      </c>
      <c r="L228" s="5">
        <f>INDEX(Mapping!$C$24:$C$31,MATCH($B228,Mapping!$A$24:$A$31,0))</f>
        <v/>
      </c>
      <c r="M228" s="5">
        <f>INDEX(Mapping!$D$24:$D$31,MATCH($B228,Mapping!$A$24:$A$31,0))</f>
        <v/>
      </c>
      <c r="N228" s="5">
        <f>$B228&amp;"."&amp;IF(INDEX(Mapping!$E$24:$E$31,MATCH($B228,Mapping!$A$24:$A$31,0))="sub",INDEX(Mapping!$F$5:$F$20,MATCH($C228,Mapping!$A$5:$A$20,0)),"all")</f>
        <v/>
      </c>
      <c r="O228" s="5">
        <f>INDEX(Mapping!$E$5:$E$20,MATCH($C228,Mapping!$A$5:$A$20,0))</f>
        <v/>
      </c>
      <c r="P228" s="5">
        <f>INDEX(Mapping!$G$24:$G$31,MATCH($B228,Mapping!$A$24:$A$31,0))</f>
        <v/>
      </c>
      <c r="Q228" s="22">
        <f>(INDEX(Prices_dom!$A$6:$CU$2000,MATCH(Settings!$C$4&amp;Settings!$C$7,Prices_dom!$A$6:$A$2000,0),MATCH("mit.rp."&amp;$N228,Prices_dom!$A$5:$CU$5,0))-INDEX(Prices_dom!$A$6:$CU$2000,MATCH(Settings!$C$4&amp;Settings!$C$7,Prices_dom!$A$6:$A$2000,0),MATCH("mit.sp."&amp;$N228,Prices_dom!$A$5:$CU$5,0)))/$P228</f>
        <v/>
      </c>
      <c r="R228" s="22">
        <f>INDEX(EF_GHG!$E$4:$E$1000,MATCH(Settings!$C$4&amp;"|"&amp;$B228&amp;"|"&amp;$O228,EF_GHG!$A$4:$A$1000,0))</f>
        <v/>
      </c>
      <c r="S228" s="22">
        <f>INDEX(Mapping!$G$5:$G$20,MATCH($C228,Mapping!$A$5:$A$20,0))</f>
        <v/>
      </c>
      <c r="T228" s="21" t="n"/>
      <c r="U228" s="21" t="n"/>
      <c r="V228" s="22">
        <f>Q228</f>
        <v/>
      </c>
      <c r="W228" s="22">
        <f>R228</f>
        <v/>
      </c>
      <c r="X228" s="22">
        <f>S228</f>
        <v/>
      </c>
      <c r="Y228" s="21" t="n"/>
      <c r="Z228" s="21" t="n"/>
      <c r="AA228" s="22">
        <f>Q228</f>
        <v/>
      </c>
      <c r="AB228" s="22">
        <f>R228</f>
        <v/>
      </c>
      <c r="AC228" s="22">
        <f>S228</f>
        <v/>
      </c>
      <c r="AD228" s="21" t="n"/>
      <c r="AE228" s="21" t="n"/>
      <c r="AF228" s="22">
        <f>Q228</f>
        <v/>
      </c>
      <c r="AG228" s="22">
        <f>R228</f>
        <v/>
      </c>
      <c r="AH228" s="22">
        <f>S228</f>
        <v/>
      </c>
      <c r="AI228" s="21" t="n"/>
      <c r="AJ228" s="21" t="n"/>
      <c r="AL228" s="23">
        <f>INDEX($Q228:$AJ228,1,(AL$4-1)*5+1)+AL$8*INDEX($Q228:$AJ228,1,(AL$4-1)*5+2)*INDEX($Q228:$AJ228,1,(AL$4-1)*5+3)</f>
        <v/>
      </c>
      <c r="AM228" s="22">
        <f>INDEX($Q228:$AJ228,1,(AM$4-1)*5+1)+AM$8*INDEX($Q228:$AJ228,1,(AM$4-1)*5+2)*INDEX($Q228:$AJ228,1,(AM$4-1)*5+3)</f>
        <v/>
      </c>
      <c r="AN228" s="22">
        <f>INDEX($Q228:$AJ228,1,(AN$4-1)*5+1)+AN$8*INDEX($Q228:$AJ228,1,(AN$4-1)*5+2)*INDEX($Q228:$AJ228,1,(AN$4-1)*5+3)</f>
        <v/>
      </c>
      <c r="AO228" s="22">
        <f>INDEX($Q228:$AJ228,1,(AO$4-1)*5+1)+AO$8*INDEX($Q228:$AJ228,1,(AO$4-1)*5+2)*INDEX($Q228:$AJ228,1,(AO$4-1)*5+3)</f>
        <v/>
      </c>
      <c r="AP228" s="22">
        <f>INDEX($Q228:$AJ228,1,(AP$4-1)*5+1)+AP$8*INDEX($Q228:$AJ228,1,(AP$4-1)*5+2)*INDEX($Q228:$AJ228,1,(AP$4-1)*5+3)</f>
        <v/>
      </c>
      <c r="AQ228" s="22">
        <f>INDEX($Q228:$AJ228,1,(AQ$4-1)*5+1)+AQ$8*INDEX($Q228:$AJ228,1,(AQ$4-1)*5+2)*INDEX($Q228:$AJ228,1,(AQ$4-1)*5+3)</f>
        <v/>
      </c>
      <c r="AR228" s="22">
        <f>INDEX($Q228:$AJ228,1,(AR$4-1)*5+1)+AR$8*INDEX($Q228:$AJ228,1,(AR$4-1)*5+2)*INDEX($Q228:$AJ228,1,(AR$4-1)*5+3)</f>
        <v/>
      </c>
      <c r="AS228" s="22">
        <f>INDEX($Q228:$AJ228,1,(AS$4-1)*5+1)+AS$8*INDEX($Q228:$AJ228,1,(AS$4-1)*5+2)*INDEX($Q228:$AJ228,1,(AS$4-1)*5+3)</f>
        <v/>
      </c>
      <c r="AT228" s="22">
        <f>INDEX($Q228:$AJ228,1,(AT$4-1)*5+1)+AT$8*INDEX($Q228:$AJ228,1,(AT$4-1)*5+2)*INDEX($Q228:$AJ228,1,(AT$4-1)*5+3)</f>
        <v/>
      </c>
      <c r="AU228" s="22">
        <f>INDEX($Q228:$AJ228,1,(AU$4-1)*5+1)+AU$8*INDEX($Q228:$AJ228,1,(AU$4-1)*5+2)*INDEX($Q228:$AJ228,1,(AU$4-1)*5+3)</f>
        <v/>
      </c>
      <c r="AV228" s="22">
        <f>INDEX($Q228:$AJ228,1,(AV$4-1)*5+1)+AV$8*INDEX($Q228:$AJ228,1,(AV$4-1)*5+2)*INDEX($Q228:$AJ228,1,(AV$4-1)*5+3)</f>
        <v/>
      </c>
      <c r="AW228" s="22">
        <f>INDEX($Q228:$AJ228,1,(AW$4-1)*5+1)+AW$8*INDEX($Q228:$AJ228,1,(AW$4-1)*5+2)*INDEX($Q228:$AJ228,1,(AW$4-1)*5+3)</f>
        <v/>
      </c>
      <c r="AX228" s="22">
        <f>INDEX($Q228:$AJ228,1,(AX$4-1)*5+1)+AX$8*INDEX($Q228:$AJ228,1,(AX$4-1)*5+2)*INDEX($Q228:$AJ228,1,(AX$4-1)*5+3)</f>
        <v/>
      </c>
      <c r="AY228" s="22">
        <f>INDEX($Q228:$AJ228,1,(AY$4-1)*5+1)+AY$8*INDEX($Q228:$AJ228,1,(AY$4-1)*5+2)*INDEX($Q228:$AJ228,1,(AY$4-1)*5+3)</f>
        <v/>
      </c>
      <c r="BA228" s="23">
        <f>INDEX($Q228:$AJ228,1,(BA$4-1)*5+1)+BA$8*INDEX($Q228:$AJ228,1,(BA$4-1)*5+2)*INDEX($Q228:$AJ228,1,(BA$4-1)*5+3)</f>
        <v/>
      </c>
      <c r="BB228" s="22">
        <f>INDEX($Q228:$AJ228,1,(BB$4-1)*5+1)+BB$8*INDEX($Q228:$AJ228,1,(BB$4-1)*5+2)*INDEX($Q228:$AJ228,1,(BB$4-1)*5+3)</f>
        <v/>
      </c>
      <c r="BC228" s="22">
        <f>INDEX($Q228:$AJ228,1,(BC$4-1)*5+1)+BC$8*INDEX($Q228:$AJ228,1,(BC$4-1)*5+2)*INDEX($Q228:$AJ228,1,(BC$4-1)*5+3)</f>
        <v/>
      </c>
      <c r="BD228" s="22">
        <f>INDEX($Q228:$AJ228,1,(BD$4-1)*5+1)+BD$8*INDEX($Q228:$AJ228,1,(BD$4-1)*5+2)*INDEX($Q228:$AJ228,1,(BD$4-1)*5+3)</f>
        <v/>
      </c>
      <c r="BE228" s="22">
        <f>INDEX($Q228:$AJ228,1,(BE$4-1)*5+1)+BE$8*INDEX($Q228:$AJ228,1,(BE$4-1)*5+2)*INDEX($Q228:$AJ228,1,(BE$4-1)*5+3)</f>
        <v/>
      </c>
      <c r="BF228" s="22">
        <f>INDEX($Q228:$AJ228,1,(BF$4-1)*5+1)+BF$8*INDEX($Q228:$AJ228,1,(BF$4-1)*5+2)*INDEX($Q228:$AJ228,1,(BF$4-1)*5+3)</f>
        <v/>
      </c>
      <c r="BG228" s="22">
        <f>INDEX($Q228:$AJ228,1,(BG$4-1)*5+1)+BG$8*INDEX($Q228:$AJ228,1,(BG$4-1)*5+2)*INDEX($Q228:$AJ228,1,(BG$4-1)*5+3)</f>
        <v/>
      </c>
      <c r="BH228" s="22">
        <f>INDEX($Q228:$AJ228,1,(BH$4-1)*5+1)+BH$8*INDEX($Q228:$AJ228,1,(BH$4-1)*5+2)*INDEX($Q228:$AJ228,1,(BH$4-1)*5+3)</f>
        <v/>
      </c>
      <c r="BI228" s="22">
        <f>INDEX($Q228:$AJ228,1,(BI$4-1)*5+1)+BI$8*INDEX($Q228:$AJ228,1,(BI$4-1)*5+2)*INDEX($Q228:$AJ228,1,(BI$4-1)*5+3)</f>
        <v/>
      </c>
      <c r="BJ228" s="22">
        <f>INDEX($Q228:$AJ228,1,(BJ$4-1)*5+1)+BJ$8*INDEX($Q228:$AJ228,1,(BJ$4-1)*5+2)*INDEX($Q228:$AJ228,1,(BJ$4-1)*5+3)</f>
        <v/>
      </c>
      <c r="BK228" s="22">
        <f>INDEX($Q228:$AJ228,1,(BK$4-1)*5+1)+BK$8*INDEX($Q228:$AJ228,1,(BK$4-1)*5+2)*INDEX($Q228:$AJ228,1,(BK$4-1)*5+3)</f>
        <v/>
      </c>
      <c r="BL228" s="22">
        <f>INDEX($Q228:$AJ228,1,(BL$4-1)*5+1)+BL$8*INDEX($Q228:$AJ228,1,(BL$4-1)*5+2)*INDEX($Q228:$AJ228,1,(BL$4-1)*5+3)</f>
        <v/>
      </c>
      <c r="BM228" s="22">
        <f>INDEX($Q228:$AJ228,1,(BM$4-1)*5+1)+BM$8*INDEX($Q228:$AJ228,1,(BM$4-1)*5+2)*INDEX($Q228:$AJ228,1,(BM$4-1)*5+3)</f>
        <v/>
      </c>
      <c r="BN228" s="22">
        <f>INDEX($Q228:$AJ228,1,(BN$4-1)*5+1)+BN$8*INDEX($Q228:$AJ228,1,(BN$4-1)*5+2)*INDEX($Q228:$AJ228,1,(BN$4-1)*5+3)</f>
        <v/>
      </c>
    </row>
    <row r="229">
      <c r="B229" s="5" t="inlineStr">
        <is>
          <t>coa</t>
        </is>
      </c>
      <c r="C229" s="5" t="inlineStr">
        <is>
          <t>cem</t>
        </is>
      </c>
      <c r="D229" s="5" t="inlineStr">
        <is>
          <t>Tax | Cement | Coal</t>
        </is>
      </c>
      <c r="E229" s="5" t="inlineStr">
        <is>
          <t>$/GJ</t>
        </is>
      </c>
      <c r="F229" s="5" t="inlineStr">
        <is>
          <t>Prices_dom, EF_GHG, Mapping</t>
        </is>
      </c>
      <c r="G229" s="19" t="inlineStr">
        <is>
          <t>mit.rp.coa</t>
        </is>
      </c>
      <c r="H229" s="19" t="inlineStr">
        <is>
          <t>mit.tax.coa.cem</t>
        </is>
      </c>
      <c r="J229" s="5">
        <f>INDEX(Mapping!$C$5:$C$20,MATCH($C229,Mapping!$A$5:$A$20,0))</f>
        <v/>
      </c>
      <c r="K229" s="5">
        <f>INDEX(Mapping!$D$5:$D$20,MATCH($C229,Mapping!$A$5:$A$20,0))</f>
        <v/>
      </c>
      <c r="L229" s="5">
        <f>INDEX(Mapping!$C$24:$C$31,MATCH($B229,Mapping!$A$24:$A$31,0))</f>
        <v/>
      </c>
      <c r="M229" s="5">
        <f>INDEX(Mapping!$D$24:$D$31,MATCH($B229,Mapping!$A$24:$A$31,0))</f>
        <v/>
      </c>
      <c r="N229" s="5">
        <f>$B229&amp;"."&amp;IF(INDEX(Mapping!$E$24:$E$31,MATCH($B229,Mapping!$A$24:$A$31,0))="sub",INDEX(Mapping!$F$5:$F$20,MATCH($C229,Mapping!$A$5:$A$20,0)),"all")</f>
        <v/>
      </c>
      <c r="O229" s="5">
        <f>INDEX(Mapping!$E$5:$E$20,MATCH($C229,Mapping!$A$5:$A$20,0))</f>
        <v/>
      </c>
      <c r="P229" s="5">
        <f>INDEX(Mapping!$G$24:$G$31,MATCH($B229,Mapping!$A$24:$A$31,0))</f>
        <v/>
      </c>
      <c r="Q229" s="22">
        <f>(INDEX(Prices_dom!$A$6:$CU$2000,MATCH(Settings!$C$4&amp;Settings!$C$7,Prices_dom!$A$6:$A$2000,0),MATCH("mit.rp."&amp;$N229,Prices_dom!$A$5:$CU$5,0))-INDEX(Prices_dom!$A$6:$CU$2000,MATCH(Settings!$C$4&amp;Settings!$C$7,Prices_dom!$A$6:$A$2000,0),MATCH("mit.sp."&amp;$N229,Prices_dom!$A$5:$CU$5,0)))/$P229</f>
        <v/>
      </c>
      <c r="R229" s="22">
        <f>INDEX(EF_GHG!$E$4:$E$1000,MATCH(Settings!$C$4&amp;"|"&amp;$B229&amp;"|"&amp;$O229,EF_GHG!$A$4:$A$1000,0))</f>
        <v/>
      </c>
      <c r="S229" s="22">
        <f>INDEX(Mapping!$G$5:$G$20,MATCH($C229,Mapping!$A$5:$A$20,0))</f>
        <v/>
      </c>
      <c r="T229" s="21" t="n"/>
      <c r="U229" s="21" t="n"/>
      <c r="V229" s="22">
        <f>Q229</f>
        <v/>
      </c>
      <c r="W229" s="22">
        <f>R229</f>
        <v/>
      </c>
      <c r="X229" s="22">
        <f>S229</f>
        <v/>
      </c>
      <c r="Y229" s="21" t="n"/>
      <c r="Z229" s="21" t="n"/>
      <c r="AA229" s="22">
        <f>Q229</f>
        <v/>
      </c>
      <c r="AB229" s="22">
        <f>R229</f>
        <v/>
      </c>
      <c r="AC229" s="22">
        <f>S229</f>
        <v/>
      </c>
      <c r="AD229" s="21" t="n"/>
      <c r="AE229" s="21" t="n"/>
      <c r="AF229" s="22">
        <f>Q229</f>
        <v/>
      </c>
      <c r="AG229" s="22">
        <f>R229</f>
        <v/>
      </c>
      <c r="AH229" s="22">
        <f>S229</f>
        <v/>
      </c>
      <c r="AI229" s="21" t="n"/>
      <c r="AJ229" s="21" t="n"/>
      <c r="AL229" s="23">
        <f>INDEX($Q229:$AJ229,1,(AL$4-1)*5+1)+AL$8*INDEX($Q229:$AJ229,1,(AL$4-1)*5+2)*INDEX($Q229:$AJ229,1,(AL$4-1)*5+3)</f>
        <v/>
      </c>
      <c r="AM229" s="22">
        <f>INDEX($Q229:$AJ229,1,(AM$4-1)*5+1)+AM$8*INDEX($Q229:$AJ229,1,(AM$4-1)*5+2)*INDEX($Q229:$AJ229,1,(AM$4-1)*5+3)</f>
        <v/>
      </c>
      <c r="AN229" s="22">
        <f>INDEX($Q229:$AJ229,1,(AN$4-1)*5+1)+AN$8*INDEX($Q229:$AJ229,1,(AN$4-1)*5+2)*INDEX($Q229:$AJ229,1,(AN$4-1)*5+3)</f>
        <v/>
      </c>
      <c r="AO229" s="22">
        <f>INDEX($Q229:$AJ229,1,(AO$4-1)*5+1)+AO$8*INDEX($Q229:$AJ229,1,(AO$4-1)*5+2)*INDEX($Q229:$AJ229,1,(AO$4-1)*5+3)</f>
        <v/>
      </c>
      <c r="AP229" s="22">
        <f>INDEX($Q229:$AJ229,1,(AP$4-1)*5+1)+AP$8*INDEX($Q229:$AJ229,1,(AP$4-1)*5+2)*INDEX($Q229:$AJ229,1,(AP$4-1)*5+3)</f>
        <v/>
      </c>
      <c r="AQ229" s="22">
        <f>INDEX($Q229:$AJ229,1,(AQ$4-1)*5+1)+AQ$8*INDEX($Q229:$AJ229,1,(AQ$4-1)*5+2)*INDEX($Q229:$AJ229,1,(AQ$4-1)*5+3)</f>
        <v/>
      </c>
      <c r="AR229" s="22">
        <f>INDEX($Q229:$AJ229,1,(AR$4-1)*5+1)+AR$8*INDEX($Q229:$AJ229,1,(AR$4-1)*5+2)*INDEX($Q229:$AJ229,1,(AR$4-1)*5+3)</f>
        <v/>
      </c>
      <c r="AS229" s="22">
        <f>INDEX($Q229:$AJ229,1,(AS$4-1)*5+1)+AS$8*INDEX($Q229:$AJ229,1,(AS$4-1)*5+2)*INDEX($Q229:$AJ229,1,(AS$4-1)*5+3)</f>
        <v/>
      </c>
      <c r="AT229" s="22">
        <f>INDEX($Q229:$AJ229,1,(AT$4-1)*5+1)+AT$8*INDEX($Q229:$AJ229,1,(AT$4-1)*5+2)*INDEX($Q229:$AJ229,1,(AT$4-1)*5+3)</f>
        <v/>
      </c>
      <c r="AU229" s="22">
        <f>INDEX($Q229:$AJ229,1,(AU$4-1)*5+1)+AU$8*INDEX($Q229:$AJ229,1,(AU$4-1)*5+2)*INDEX($Q229:$AJ229,1,(AU$4-1)*5+3)</f>
        <v/>
      </c>
      <c r="AV229" s="22">
        <f>INDEX($Q229:$AJ229,1,(AV$4-1)*5+1)+AV$8*INDEX($Q229:$AJ229,1,(AV$4-1)*5+2)*INDEX($Q229:$AJ229,1,(AV$4-1)*5+3)</f>
        <v/>
      </c>
      <c r="AW229" s="22">
        <f>INDEX($Q229:$AJ229,1,(AW$4-1)*5+1)+AW$8*INDEX($Q229:$AJ229,1,(AW$4-1)*5+2)*INDEX($Q229:$AJ229,1,(AW$4-1)*5+3)</f>
        <v/>
      </c>
      <c r="AX229" s="22">
        <f>INDEX($Q229:$AJ229,1,(AX$4-1)*5+1)+AX$8*INDEX($Q229:$AJ229,1,(AX$4-1)*5+2)*INDEX($Q229:$AJ229,1,(AX$4-1)*5+3)</f>
        <v/>
      </c>
      <c r="AY229" s="22">
        <f>INDEX($Q229:$AJ229,1,(AY$4-1)*5+1)+AY$8*INDEX($Q229:$AJ229,1,(AY$4-1)*5+2)*INDEX($Q229:$AJ229,1,(AY$4-1)*5+3)</f>
        <v/>
      </c>
      <c r="BA229" s="23">
        <f>INDEX($Q229:$AJ229,1,(BA$4-1)*5+1)+BA$8*INDEX($Q229:$AJ229,1,(BA$4-1)*5+2)*INDEX($Q229:$AJ229,1,(BA$4-1)*5+3)</f>
        <v/>
      </c>
      <c r="BB229" s="22">
        <f>INDEX($Q229:$AJ229,1,(BB$4-1)*5+1)+BB$8*INDEX($Q229:$AJ229,1,(BB$4-1)*5+2)*INDEX($Q229:$AJ229,1,(BB$4-1)*5+3)</f>
        <v/>
      </c>
      <c r="BC229" s="22">
        <f>INDEX($Q229:$AJ229,1,(BC$4-1)*5+1)+BC$8*INDEX($Q229:$AJ229,1,(BC$4-1)*5+2)*INDEX($Q229:$AJ229,1,(BC$4-1)*5+3)</f>
        <v/>
      </c>
      <c r="BD229" s="22">
        <f>INDEX($Q229:$AJ229,1,(BD$4-1)*5+1)+BD$8*INDEX($Q229:$AJ229,1,(BD$4-1)*5+2)*INDEX($Q229:$AJ229,1,(BD$4-1)*5+3)</f>
        <v/>
      </c>
      <c r="BE229" s="22">
        <f>INDEX($Q229:$AJ229,1,(BE$4-1)*5+1)+BE$8*INDEX($Q229:$AJ229,1,(BE$4-1)*5+2)*INDEX($Q229:$AJ229,1,(BE$4-1)*5+3)</f>
        <v/>
      </c>
      <c r="BF229" s="22">
        <f>INDEX($Q229:$AJ229,1,(BF$4-1)*5+1)+BF$8*INDEX($Q229:$AJ229,1,(BF$4-1)*5+2)*INDEX($Q229:$AJ229,1,(BF$4-1)*5+3)</f>
        <v/>
      </c>
      <c r="BG229" s="22">
        <f>INDEX($Q229:$AJ229,1,(BG$4-1)*5+1)+BG$8*INDEX($Q229:$AJ229,1,(BG$4-1)*5+2)*INDEX($Q229:$AJ229,1,(BG$4-1)*5+3)</f>
        <v/>
      </c>
      <c r="BH229" s="22">
        <f>INDEX($Q229:$AJ229,1,(BH$4-1)*5+1)+BH$8*INDEX($Q229:$AJ229,1,(BH$4-1)*5+2)*INDEX($Q229:$AJ229,1,(BH$4-1)*5+3)</f>
        <v/>
      </c>
      <c r="BI229" s="22">
        <f>INDEX($Q229:$AJ229,1,(BI$4-1)*5+1)+BI$8*INDEX($Q229:$AJ229,1,(BI$4-1)*5+2)*INDEX($Q229:$AJ229,1,(BI$4-1)*5+3)</f>
        <v/>
      </c>
      <c r="BJ229" s="22">
        <f>INDEX($Q229:$AJ229,1,(BJ$4-1)*5+1)+BJ$8*INDEX($Q229:$AJ229,1,(BJ$4-1)*5+2)*INDEX($Q229:$AJ229,1,(BJ$4-1)*5+3)</f>
        <v/>
      </c>
      <c r="BK229" s="22">
        <f>INDEX($Q229:$AJ229,1,(BK$4-1)*5+1)+BK$8*INDEX($Q229:$AJ229,1,(BK$4-1)*5+2)*INDEX($Q229:$AJ229,1,(BK$4-1)*5+3)</f>
        <v/>
      </c>
      <c r="BL229" s="22">
        <f>INDEX($Q229:$AJ229,1,(BL$4-1)*5+1)+BL$8*INDEX($Q229:$AJ229,1,(BL$4-1)*5+2)*INDEX($Q229:$AJ229,1,(BL$4-1)*5+3)</f>
        <v/>
      </c>
      <c r="BM229" s="22">
        <f>INDEX($Q229:$AJ229,1,(BM$4-1)*5+1)+BM$8*INDEX($Q229:$AJ229,1,(BM$4-1)*5+2)*INDEX($Q229:$AJ229,1,(BM$4-1)*5+3)</f>
        <v/>
      </c>
      <c r="BN229" s="22">
        <f>INDEX($Q229:$AJ229,1,(BN$4-1)*5+1)+BN$8*INDEX($Q229:$AJ229,1,(BN$4-1)*5+2)*INDEX($Q229:$AJ229,1,(BN$4-1)*5+3)</f>
        <v/>
      </c>
    </row>
    <row r="230">
      <c r="B230" s="5" t="inlineStr">
        <is>
          <t>nga</t>
        </is>
      </c>
      <c r="C230" s="5" t="inlineStr">
        <is>
          <t>cem</t>
        </is>
      </c>
      <c r="D230" s="5" t="inlineStr">
        <is>
          <t>Tax | Cement | Natural gas</t>
        </is>
      </c>
      <c r="E230" s="5" t="inlineStr">
        <is>
          <t>$/GJ</t>
        </is>
      </c>
      <c r="F230" s="5" t="inlineStr">
        <is>
          <t>Prices_dom, EF_GHG, Mapping</t>
        </is>
      </c>
      <c r="G230" s="19" t="inlineStr">
        <is>
          <t>mit.rp.nga</t>
        </is>
      </c>
      <c r="H230" s="19" t="inlineStr">
        <is>
          <t>mit.tax.nga.cem</t>
        </is>
      </c>
      <c r="J230" s="5">
        <f>INDEX(Mapping!$C$5:$C$20,MATCH($C230,Mapping!$A$5:$A$20,0))</f>
        <v/>
      </c>
      <c r="K230" s="5">
        <f>INDEX(Mapping!$D$5:$D$20,MATCH($C230,Mapping!$A$5:$A$20,0))</f>
        <v/>
      </c>
      <c r="L230" s="5">
        <f>INDEX(Mapping!$C$24:$C$31,MATCH($B230,Mapping!$A$24:$A$31,0))</f>
        <v/>
      </c>
      <c r="M230" s="5">
        <f>INDEX(Mapping!$D$24:$D$31,MATCH($B230,Mapping!$A$24:$A$31,0))</f>
        <v/>
      </c>
      <c r="N230" s="5">
        <f>$B230&amp;"."&amp;IF(INDEX(Mapping!$E$24:$E$31,MATCH($B230,Mapping!$A$24:$A$31,0))="sub",INDEX(Mapping!$F$5:$F$20,MATCH($C230,Mapping!$A$5:$A$20,0)),"all")</f>
        <v/>
      </c>
      <c r="O230" s="5">
        <f>INDEX(Mapping!$E$5:$E$20,MATCH($C230,Mapping!$A$5:$A$20,0))</f>
        <v/>
      </c>
      <c r="P230" s="5">
        <f>INDEX(Mapping!$G$24:$G$31,MATCH($B230,Mapping!$A$24:$A$31,0))</f>
        <v/>
      </c>
      <c r="Q230" s="22">
        <f>(INDEX(Prices_dom!$A$6:$CU$2000,MATCH(Settings!$C$4&amp;Settings!$C$7,Prices_dom!$A$6:$A$2000,0),MATCH("mit.rp."&amp;$N230,Prices_dom!$A$5:$CU$5,0))-INDEX(Prices_dom!$A$6:$CU$2000,MATCH(Settings!$C$4&amp;Settings!$C$7,Prices_dom!$A$6:$A$2000,0),MATCH("mit.sp."&amp;$N230,Prices_dom!$A$5:$CU$5,0)))/$P230</f>
        <v/>
      </c>
      <c r="R230" s="22">
        <f>INDEX(EF_GHG!$E$4:$E$1000,MATCH(Settings!$C$4&amp;"|"&amp;$B230&amp;"|"&amp;$O230,EF_GHG!$A$4:$A$1000,0))</f>
        <v/>
      </c>
      <c r="S230" s="22">
        <f>INDEX(Mapping!$G$5:$G$20,MATCH($C230,Mapping!$A$5:$A$20,0))</f>
        <v/>
      </c>
      <c r="T230" s="21" t="n"/>
      <c r="U230" s="21" t="n"/>
      <c r="V230" s="22">
        <f>Q230</f>
        <v/>
      </c>
      <c r="W230" s="22">
        <f>R230</f>
        <v/>
      </c>
      <c r="X230" s="22">
        <f>S230</f>
        <v/>
      </c>
      <c r="Y230" s="21" t="n"/>
      <c r="Z230" s="21" t="n"/>
      <c r="AA230" s="22">
        <f>Q230</f>
        <v/>
      </c>
      <c r="AB230" s="22">
        <f>R230</f>
        <v/>
      </c>
      <c r="AC230" s="22">
        <f>S230</f>
        <v/>
      </c>
      <c r="AD230" s="21" t="n"/>
      <c r="AE230" s="21" t="n"/>
      <c r="AF230" s="22">
        <f>Q230</f>
        <v/>
      </c>
      <c r="AG230" s="22">
        <f>R230</f>
        <v/>
      </c>
      <c r="AH230" s="22">
        <f>S230</f>
        <v/>
      </c>
      <c r="AI230" s="21" t="n"/>
      <c r="AJ230" s="21" t="n"/>
      <c r="AL230" s="23">
        <f>INDEX($Q230:$AJ230,1,(AL$4-1)*5+1)+AL$8*INDEX($Q230:$AJ230,1,(AL$4-1)*5+2)*INDEX($Q230:$AJ230,1,(AL$4-1)*5+3)</f>
        <v/>
      </c>
      <c r="AM230" s="22">
        <f>INDEX($Q230:$AJ230,1,(AM$4-1)*5+1)+AM$8*INDEX($Q230:$AJ230,1,(AM$4-1)*5+2)*INDEX($Q230:$AJ230,1,(AM$4-1)*5+3)</f>
        <v/>
      </c>
      <c r="AN230" s="22">
        <f>INDEX($Q230:$AJ230,1,(AN$4-1)*5+1)+AN$8*INDEX($Q230:$AJ230,1,(AN$4-1)*5+2)*INDEX($Q230:$AJ230,1,(AN$4-1)*5+3)</f>
        <v/>
      </c>
      <c r="AO230" s="22">
        <f>INDEX($Q230:$AJ230,1,(AO$4-1)*5+1)+AO$8*INDEX($Q230:$AJ230,1,(AO$4-1)*5+2)*INDEX($Q230:$AJ230,1,(AO$4-1)*5+3)</f>
        <v/>
      </c>
      <c r="AP230" s="22">
        <f>INDEX($Q230:$AJ230,1,(AP$4-1)*5+1)+AP$8*INDEX($Q230:$AJ230,1,(AP$4-1)*5+2)*INDEX($Q230:$AJ230,1,(AP$4-1)*5+3)</f>
        <v/>
      </c>
      <c r="AQ230" s="22">
        <f>INDEX($Q230:$AJ230,1,(AQ$4-1)*5+1)+AQ$8*INDEX($Q230:$AJ230,1,(AQ$4-1)*5+2)*INDEX($Q230:$AJ230,1,(AQ$4-1)*5+3)</f>
        <v/>
      </c>
      <c r="AR230" s="22">
        <f>INDEX($Q230:$AJ230,1,(AR$4-1)*5+1)+AR$8*INDEX($Q230:$AJ230,1,(AR$4-1)*5+2)*INDEX($Q230:$AJ230,1,(AR$4-1)*5+3)</f>
        <v/>
      </c>
      <c r="AS230" s="22">
        <f>INDEX($Q230:$AJ230,1,(AS$4-1)*5+1)+AS$8*INDEX($Q230:$AJ230,1,(AS$4-1)*5+2)*INDEX($Q230:$AJ230,1,(AS$4-1)*5+3)</f>
        <v/>
      </c>
      <c r="AT230" s="22">
        <f>INDEX($Q230:$AJ230,1,(AT$4-1)*5+1)+AT$8*INDEX($Q230:$AJ230,1,(AT$4-1)*5+2)*INDEX($Q230:$AJ230,1,(AT$4-1)*5+3)</f>
        <v/>
      </c>
      <c r="AU230" s="22">
        <f>INDEX($Q230:$AJ230,1,(AU$4-1)*5+1)+AU$8*INDEX($Q230:$AJ230,1,(AU$4-1)*5+2)*INDEX($Q230:$AJ230,1,(AU$4-1)*5+3)</f>
        <v/>
      </c>
      <c r="AV230" s="22">
        <f>INDEX($Q230:$AJ230,1,(AV$4-1)*5+1)+AV$8*INDEX($Q230:$AJ230,1,(AV$4-1)*5+2)*INDEX($Q230:$AJ230,1,(AV$4-1)*5+3)</f>
        <v/>
      </c>
      <c r="AW230" s="22">
        <f>INDEX($Q230:$AJ230,1,(AW$4-1)*5+1)+AW$8*INDEX($Q230:$AJ230,1,(AW$4-1)*5+2)*INDEX($Q230:$AJ230,1,(AW$4-1)*5+3)</f>
        <v/>
      </c>
      <c r="AX230" s="22">
        <f>INDEX($Q230:$AJ230,1,(AX$4-1)*5+1)+AX$8*INDEX($Q230:$AJ230,1,(AX$4-1)*5+2)*INDEX($Q230:$AJ230,1,(AX$4-1)*5+3)</f>
        <v/>
      </c>
      <c r="AY230" s="22">
        <f>INDEX($Q230:$AJ230,1,(AY$4-1)*5+1)+AY$8*INDEX($Q230:$AJ230,1,(AY$4-1)*5+2)*INDEX($Q230:$AJ230,1,(AY$4-1)*5+3)</f>
        <v/>
      </c>
      <c r="BA230" s="23">
        <f>INDEX($Q230:$AJ230,1,(BA$4-1)*5+1)+BA$8*INDEX($Q230:$AJ230,1,(BA$4-1)*5+2)*INDEX($Q230:$AJ230,1,(BA$4-1)*5+3)</f>
        <v/>
      </c>
      <c r="BB230" s="22">
        <f>INDEX($Q230:$AJ230,1,(BB$4-1)*5+1)+BB$8*INDEX($Q230:$AJ230,1,(BB$4-1)*5+2)*INDEX($Q230:$AJ230,1,(BB$4-1)*5+3)</f>
        <v/>
      </c>
      <c r="BC230" s="22">
        <f>INDEX($Q230:$AJ230,1,(BC$4-1)*5+1)+BC$8*INDEX($Q230:$AJ230,1,(BC$4-1)*5+2)*INDEX($Q230:$AJ230,1,(BC$4-1)*5+3)</f>
        <v/>
      </c>
      <c r="BD230" s="22">
        <f>INDEX($Q230:$AJ230,1,(BD$4-1)*5+1)+BD$8*INDEX($Q230:$AJ230,1,(BD$4-1)*5+2)*INDEX($Q230:$AJ230,1,(BD$4-1)*5+3)</f>
        <v/>
      </c>
      <c r="BE230" s="22">
        <f>INDEX($Q230:$AJ230,1,(BE$4-1)*5+1)+BE$8*INDEX($Q230:$AJ230,1,(BE$4-1)*5+2)*INDEX($Q230:$AJ230,1,(BE$4-1)*5+3)</f>
        <v/>
      </c>
      <c r="BF230" s="22">
        <f>INDEX($Q230:$AJ230,1,(BF$4-1)*5+1)+BF$8*INDEX($Q230:$AJ230,1,(BF$4-1)*5+2)*INDEX($Q230:$AJ230,1,(BF$4-1)*5+3)</f>
        <v/>
      </c>
      <c r="BG230" s="22">
        <f>INDEX($Q230:$AJ230,1,(BG$4-1)*5+1)+BG$8*INDEX($Q230:$AJ230,1,(BG$4-1)*5+2)*INDEX($Q230:$AJ230,1,(BG$4-1)*5+3)</f>
        <v/>
      </c>
      <c r="BH230" s="22">
        <f>INDEX($Q230:$AJ230,1,(BH$4-1)*5+1)+BH$8*INDEX($Q230:$AJ230,1,(BH$4-1)*5+2)*INDEX($Q230:$AJ230,1,(BH$4-1)*5+3)</f>
        <v/>
      </c>
      <c r="BI230" s="22">
        <f>INDEX($Q230:$AJ230,1,(BI$4-1)*5+1)+BI$8*INDEX($Q230:$AJ230,1,(BI$4-1)*5+2)*INDEX($Q230:$AJ230,1,(BI$4-1)*5+3)</f>
        <v/>
      </c>
      <c r="BJ230" s="22">
        <f>INDEX($Q230:$AJ230,1,(BJ$4-1)*5+1)+BJ$8*INDEX($Q230:$AJ230,1,(BJ$4-1)*5+2)*INDEX($Q230:$AJ230,1,(BJ$4-1)*5+3)</f>
        <v/>
      </c>
      <c r="BK230" s="22">
        <f>INDEX($Q230:$AJ230,1,(BK$4-1)*5+1)+BK$8*INDEX($Q230:$AJ230,1,(BK$4-1)*5+2)*INDEX($Q230:$AJ230,1,(BK$4-1)*5+3)</f>
        <v/>
      </c>
      <c r="BL230" s="22">
        <f>INDEX($Q230:$AJ230,1,(BL$4-1)*5+1)+BL$8*INDEX($Q230:$AJ230,1,(BL$4-1)*5+2)*INDEX($Q230:$AJ230,1,(BL$4-1)*5+3)</f>
        <v/>
      </c>
      <c r="BM230" s="22">
        <f>INDEX($Q230:$AJ230,1,(BM$4-1)*5+1)+BM$8*INDEX($Q230:$AJ230,1,(BM$4-1)*5+2)*INDEX($Q230:$AJ230,1,(BM$4-1)*5+3)</f>
        <v/>
      </c>
      <c r="BN230" s="22">
        <f>INDEX($Q230:$AJ230,1,(BN$4-1)*5+1)+BN$8*INDEX($Q230:$AJ230,1,(BN$4-1)*5+2)*INDEX($Q230:$AJ230,1,(BN$4-1)*5+3)</f>
        <v/>
      </c>
    </row>
    <row r="231">
      <c r="B231" s="5" t="inlineStr">
        <is>
          <t>gso</t>
        </is>
      </c>
      <c r="C231" s="5" t="inlineStr">
        <is>
          <t>cem</t>
        </is>
      </c>
      <c r="D231" s="5" t="inlineStr">
        <is>
          <t>Tax | Cement | Gasoline</t>
        </is>
      </c>
      <c r="E231" s="5" t="inlineStr">
        <is>
          <t>$/GJ</t>
        </is>
      </c>
      <c r="F231" s="5" t="inlineStr">
        <is>
          <t>Prices_dom, EF_GHG, Mapping</t>
        </is>
      </c>
      <c r="G231" s="19" t="inlineStr">
        <is>
          <t>mit.rp.gso</t>
        </is>
      </c>
      <c r="H231" s="19" t="inlineStr">
        <is>
          <t>mit.tax.gso.cem</t>
        </is>
      </c>
      <c r="J231" s="5">
        <f>INDEX(Mapping!$C$5:$C$20,MATCH($C231,Mapping!$A$5:$A$20,0))</f>
        <v/>
      </c>
      <c r="K231" s="5">
        <f>INDEX(Mapping!$D$5:$D$20,MATCH($C231,Mapping!$A$5:$A$20,0))</f>
        <v/>
      </c>
      <c r="L231" s="5">
        <f>INDEX(Mapping!$C$24:$C$31,MATCH($B231,Mapping!$A$24:$A$31,0))</f>
        <v/>
      </c>
      <c r="M231" s="5">
        <f>INDEX(Mapping!$D$24:$D$31,MATCH($B231,Mapping!$A$24:$A$31,0))</f>
        <v/>
      </c>
      <c r="N231" s="5">
        <f>$B231&amp;"."&amp;IF(INDEX(Mapping!$E$24:$E$31,MATCH($B231,Mapping!$A$24:$A$31,0))="sub",INDEX(Mapping!$F$5:$F$20,MATCH($C231,Mapping!$A$5:$A$20,0)),"all")</f>
        <v/>
      </c>
      <c r="O231" s="5">
        <f>INDEX(Mapping!$E$5:$E$20,MATCH($C231,Mapping!$A$5:$A$20,0))</f>
        <v/>
      </c>
      <c r="P231" s="5">
        <f>INDEX(Mapping!$G$24:$G$31,MATCH($B231,Mapping!$A$24:$A$31,0))</f>
        <v/>
      </c>
      <c r="Q231" s="22">
        <f>(INDEX(Prices_dom!$A$6:$CU$2000,MATCH(Settings!$C$4&amp;Settings!$C$7,Prices_dom!$A$6:$A$2000,0),MATCH("mit.rp."&amp;$N231,Prices_dom!$A$5:$CU$5,0))-INDEX(Prices_dom!$A$6:$CU$2000,MATCH(Settings!$C$4&amp;Settings!$C$7,Prices_dom!$A$6:$A$2000,0),MATCH("mit.sp."&amp;$N231,Prices_dom!$A$5:$CU$5,0)))/$P231</f>
        <v/>
      </c>
      <c r="R231" s="22">
        <f>INDEX(EF_GHG!$E$4:$E$1000,MATCH(Settings!$C$4&amp;"|"&amp;$B231&amp;"|"&amp;$O231,EF_GHG!$A$4:$A$1000,0))</f>
        <v/>
      </c>
      <c r="S231" s="22">
        <f>INDEX(Mapping!$G$5:$G$20,MATCH($C231,Mapping!$A$5:$A$20,0))</f>
        <v/>
      </c>
      <c r="T231" s="21" t="n"/>
      <c r="U231" s="21" t="n"/>
      <c r="V231" s="22">
        <f>Q231</f>
        <v/>
      </c>
      <c r="W231" s="22">
        <f>R231</f>
        <v/>
      </c>
      <c r="X231" s="22">
        <f>S231</f>
        <v/>
      </c>
      <c r="Y231" s="21" t="n"/>
      <c r="Z231" s="21" t="n"/>
      <c r="AA231" s="22">
        <f>Q231</f>
        <v/>
      </c>
      <c r="AB231" s="22">
        <f>R231</f>
        <v/>
      </c>
      <c r="AC231" s="22">
        <f>S231</f>
        <v/>
      </c>
      <c r="AD231" s="21" t="n"/>
      <c r="AE231" s="21" t="n"/>
      <c r="AF231" s="22">
        <f>Q231</f>
        <v/>
      </c>
      <c r="AG231" s="22">
        <f>R231</f>
        <v/>
      </c>
      <c r="AH231" s="22">
        <f>S231</f>
        <v/>
      </c>
      <c r="AI231" s="21" t="n"/>
      <c r="AJ231" s="21" t="n"/>
      <c r="AL231" s="23">
        <f>INDEX($Q231:$AJ231,1,(AL$4-1)*5+1)+AL$8*INDEX($Q231:$AJ231,1,(AL$4-1)*5+2)*INDEX($Q231:$AJ231,1,(AL$4-1)*5+3)</f>
        <v/>
      </c>
      <c r="AM231" s="22">
        <f>INDEX($Q231:$AJ231,1,(AM$4-1)*5+1)+AM$8*INDEX($Q231:$AJ231,1,(AM$4-1)*5+2)*INDEX($Q231:$AJ231,1,(AM$4-1)*5+3)</f>
        <v/>
      </c>
      <c r="AN231" s="22">
        <f>INDEX($Q231:$AJ231,1,(AN$4-1)*5+1)+AN$8*INDEX($Q231:$AJ231,1,(AN$4-1)*5+2)*INDEX($Q231:$AJ231,1,(AN$4-1)*5+3)</f>
        <v/>
      </c>
      <c r="AO231" s="22">
        <f>INDEX($Q231:$AJ231,1,(AO$4-1)*5+1)+AO$8*INDEX($Q231:$AJ231,1,(AO$4-1)*5+2)*INDEX($Q231:$AJ231,1,(AO$4-1)*5+3)</f>
        <v/>
      </c>
      <c r="AP231" s="22">
        <f>INDEX($Q231:$AJ231,1,(AP$4-1)*5+1)+AP$8*INDEX($Q231:$AJ231,1,(AP$4-1)*5+2)*INDEX($Q231:$AJ231,1,(AP$4-1)*5+3)</f>
        <v/>
      </c>
      <c r="AQ231" s="22">
        <f>INDEX($Q231:$AJ231,1,(AQ$4-1)*5+1)+AQ$8*INDEX($Q231:$AJ231,1,(AQ$4-1)*5+2)*INDEX($Q231:$AJ231,1,(AQ$4-1)*5+3)</f>
        <v/>
      </c>
      <c r="AR231" s="22">
        <f>INDEX($Q231:$AJ231,1,(AR$4-1)*5+1)+AR$8*INDEX($Q231:$AJ231,1,(AR$4-1)*5+2)*INDEX($Q231:$AJ231,1,(AR$4-1)*5+3)</f>
        <v/>
      </c>
      <c r="AS231" s="22">
        <f>INDEX($Q231:$AJ231,1,(AS$4-1)*5+1)+AS$8*INDEX($Q231:$AJ231,1,(AS$4-1)*5+2)*INDEX($Q231:$AJ231,1,(AS$4-1)*5+3)</f>
        <v/>
      </c>
      <c r="AT231" s="22">
        <f>INDEX($Q231:$AJ231,1,(AT$4-1)*5+1)+AT$8*INDEX($Q231:$AJ231,1,(AT$4-1)*5+2)*INDEX($Q231:$AJ231,1,(AT$4-1)*5+3)</f>
        <v/>
      </c>
      <c r="AU231" s="22">
        <f>INDEX($Q231:$AJ231,1,(AU$4-1)*5+1)+AU$8*INDEX($Q231:$AJ231,1,(AU$4-1)*5+2)*INDEX($Q231:$AJ231,1,(AU$4-1)*5+3)</f>
        <v/>
      </c>
      <c r="AV231" s="22">
        <f>INDEX($Q231:$AJ231,1,(AV$4-1)*5+1)+AV$8*INDEX($Q231:$AJ231,1,(AV$4-1)*5+2)*INDEX($Q231:$AJ231,1,(AV$4-1)*5+3)</f>
        <v/>
      </c>
      <c r="AW231" s="22">
        <f>INDEX($Q231:$AJ231,1,(AW$4-1)*5+1)+AW$8*INDEX($Q231:$AJ231,1,(AW$4-1)*5+2)*INDEX($Q231:$AJ231,1,(AW$4-1)*5+3)</f>
        <v/>
      </c>
      <c r="AX231" s="22">
        <f>INDEX($Q231:$AJ231,1,(AX$4-1)*5+1)+AX$8*INDEX($Q231:$AJ231,1,(AX$4-1)*5+2)*INDEX($Q231:$AJ231,1,(AX$4-1)*5+3)</f>
        <v/>
      </c>
      <c r="AY231" s="22">
        <f>INDEX($Q231:$AJ231,1,(AY$4-1)*5+1)+AY$8*INDEX($Q231:$AJ231,1,(AY$4-1)*5+2)*INDEX($Q231:$AJ231,1,(AY$4-1)*5+3)</f>
        <v/>
      </c>
      <c r="BA231" s="23">
        <f>INDEX($Q231:$AJ231,1,(BA$4-1)*5+1)+BA$8*INDEX($Q231:$AJ231,1,(BA$4-1)*5+2)*INDEX($Q231:$AJ231,1,(BA$4-1)*5+3)</f>
        <v/>
      </c>
      <c r="BB231" s="22">
        <f>INDEX($Q231:$AJ231,1,(BB$4-1)*5+1)+BB$8*INDEX($Q231:$AJ231,1,(BB$4-1)*5+2)*INDEX($Q231:$AJ231,1,(BB$4-1)*5+3)</f>
        <v/>
      </c>
      <c r="BC231" s="22">
        <f>INDEX($Q231:$AJ231,1,(BC$4-1)*5+1)+BC$8*INDEX($Q231:$AJ231,1,(BC$4-1)*5+2)*INDEX($Q231:$AJ231,1,(BC$4-1)*5+3)</f>
        <v/>
      </c>
      <c r="BD231" s="22">
        <f>INDEX($Q231:$AJ231,1,(BD$4-1)*5+1)+BD$8*INDEX($Q231:$AJ231,1,(BD$4-1)*5+2)*INDEX($Q231:$AJ231,1,(BD$4-1)*5+3)</f>
        <v/>
      </c>
      <c r="BE231" s="22">
        <f>INDEX($Q231:$AJ231,1,(BE$4-1)*5+1)+BE$8*INDEX($Q231:$AJ231,1,(BE$4-1)*5+2)*INDEX($Q231:$AJ231,1,(BE$4-1)*5+3)</f>
        <v/>
      </c>
      <c r="BF231" s="22">
        <f>INDEX($Q231:$AJ231,1,(BF$4-1)*5+1)+BF$8*INDEX($Q231:$AJ231,1,(BF$4-1)*5+2)*INDEX($Q231:$AJ231,1,(BF$4-1)*5+3)</f>
        <v/>
      </c>
      <c r="BG231" s="22">
        <f>INDEX($Q231:$AJ231,1,(BG$4-1)*5+1)+BG$8*INDEX($Q231:$AJ231,1,(BG$4-1)*5+2)*INDEX($Q231:$AJ231,1,(BG$4-1)*5+3)</f>
        <v/>
      </c>
      <c r="BH231" s="22">
        <f>INDEX($Q231:$AJ231,1,(BH$4-1)*5+1)+BH$8*INDEX($Q231:$AJ231,1,(BH$4-1)*5+2)*INDEX($Q231:$AJ231,1,(BH$4-1)*5+3)</f>
        <v/>
      </c>
      <c r="BI231" s="22">
        <f>INDEX($Q231:$AJ231,1,(BI$4-1)*5+1)+BI$8*INDEX($Q231:$AJ231,1,(BI$4-1)*5+2)*INDEX($Q231:$AJ231,1,(BI$4-1)*5+3)</f>
        <v/>
      </c>
      <c r="BJ231" s="22">
        <f>INDEX($Q231:$AJ231,1,(BJ$4-1)*5+1)+BJ$8*INDEX($Q231:$AJ231,1,(BJ$4-1)*5+2)*INDEX($Q231:$AJ231,1,(BJ$4-1)*5+3)</f>
        <v/>
      </c>
      <c r="BK231" s="22">
        <f>INDEX($Q231:$AJ231,1,(BK$4-1)*5+1)+BK$8*INDEX($Q231:$AJ231,1,(BK$4-1)*5+2)*INDEX($Q231:$AJ231,1,(BK$4-1)*5+3)</f>
        <v/>
      </c>
      <c r="BL231" s="22">
        <f>INDEX($Q231:$AJ231,1,(BL$4-1)*5+1)+BL$8*INDEX($Q231:$AJ231,1,(BL$4-1)*5+2)*INDEX($Q231:$AJ231,1,(BL$4-1)*5+3)</f>
        <v/>
      </c>
      <c r="BM231" s="22">
        <f>INDEX($Q231:$AJ231,1,(BM$4-1)*5+1)+BM$8*INDEX($Q231:$AJ231,1,(BM$4-1)*5+2)*INDEX($Q231:$AJ231,1,(BM$4-1)*5+3)</f>
        <v/>
      </c>
      <c r="BN231" s="22">
        <f>INDEX($Q231:$AJ231,1,(BN$4-1)*5+1)+BN$8*INDEX($Q231:$AJ231,1,(BN$4-1)*5+2)*INDEX($Q231:$AJ231,1,(BN$4-1)*5+3)</f>
        <v/>
      </c>
    </row>
    <row r="232">
      <c r="B232" s="5" t="inlineStr">
        <is>
          <t>die</t>
        </is>
      </c>
      <c r="C232" s="5" t="inlineStr">
        <is>
          <t>cem</t>
        </is>
      </c>
      <c r="D232" s="5" t="inlineStr">
        <is>
          <t>Tax | Cement | Diesel</t>
        </is>
      </c>
      <c r="E232" s="5" t="inlineStr">
        <is>
          <t>$/GJ</t>
        </is>
      </c>
      <c r="F232" s="5" t="inlineStr">
        <is>
          <t>Prices_dom, EF_GHG, Mapping</t>
        </is>
      </c>
      <c r="G232" s="19" t="inlineStr">
        <is>
          <t>mit.rp.die</t>
        </is>
      </c>
      <c r="H232" s="19" t="inlineStr">
        <is>
          <t>mit.tax.die.cem</t>
        </is>
      </c>
      <c r="J232" s="5">
        <f>INDEX(Mapping!$C$5:$C$20,MATCH($C232,Mapping!$A$5:$A$20,0))</f>
        <v/>
      </c>
      <c r="K232" s="5">
        <f>INDEX(Mapping!$D$5:$D$20,MATCH($C232,Mapping!$A$5:$A$20,0))</f>
        <v/>
      </c>
      <c r="L232" s="5">
        <f>INDEX(Mapping!$C$24:$C$31,MATCH($B232,Mapping!$A$24:$A$31,0))</f>
        <v/>
      </c>
      <c r="M232" s="5">
        <f>INDEX(Mapping!$D$24:$D$31,MATCH($B232,Mapping!$A$24:$A$31,0))</f>
        <v/>
      </c>
      <c r="N232" s="5">
        <f>$B232&amp;"."&amp;IF(INDEX(Mapping!$E$24:$E$31,MATCH($B232,Mapping!$A$24:$A$31,0))="sub",INDEX(Mapping!$F$5:$F$20,MATCH($C232,Mapping!$A$5:$A$20,0)),"all")</f>
        <v/>
      </c>
      <c r="O232" s="5">
        <f>INDEX(Mapping!$E$5:$E$20,MATCH($C232,Mapping!$A$5:$A$20,0))</f>
        <v/>
      </c>
      <c r="P232" s="5">
        <f>INDEX(Mapping!$G$24:$G$31,MATCH($B232,Mapping!$A$24:$A$31,0))</f>
        <v/>
      </c>
      <c r="Q232" s="22">
        <f>(INDEX(Prices_dom!$A$6:$CU$2000,MATCH(Settings!$C$4&amp;Settings!$C$7,Prices_dom!$A$6:$A$2000,0),MATCH("mit.rp."&amp;$N232,Prices_dom!$A$5:$CU$5,0))-INDEX(Prices_dom!$A$6:$CU$2000,MATCH(Settings!$C$4&amp;Settings!$C$7,Prices_dom!$A$6:$A$2000,0),MATCH("mit.sp."&amp;$N232,Prices_dom!$A$5:$CU$5,0)))/$P232</f>
        <v/>
      </c>
      <c r="R232" s="22">
        <f>INDEX(EF_GHG!$E$4:$E$1000,MATCH(Settings!$C$4&amp;"|"&amp;$B232&amp;"|"&amp;$O232,EF_GHG!$A$4:$A$1000,0))</f>
        <v/>
      </c>
      <c r="S232" s="22">
        <f>INDEX(Mapping!$G$5:$G$20,MATCH($C232,Mapping!$A$5:$A$20,0))</f>
        <v/>
      </c>
      <c r="T232" s="21" t="n"/>
      <c r="U232" s="21" t="n"/>
      <c r="V232" s="22">
        <f>Q232</f>
        <v/>
      </c>
      <c r="W232" s="22">
        <f>R232</f>
        <v/>
      </c>
      <c r="X232" s="22">
        <f>S232</f>
        <v/>
      </c>
      <c r="Y232" s="21" t="n"/>
      <c r="Z232" s="21" t="n"/>
      <c r="AA232" s="22">
        <f>Q232</f>
        <v/>
      </c>
      <c r="AB232" s="22">
        <f>R232</f>
        <v/>
      </c>
      <c r="AC232" s="22">
        <f>S232</f>
        <v/>
      </c>
      <c r="AD232" s="21" t="n"/>
      <c r="AE232" s="21" t="n"/>
      <c r="AF232" s="22">
        <f>Q232</f>
        <v/>
      </c>
      <c r="AG232" s="22">
        <f>R232</f>
        <v/>
      </c>
      <c r="AH232" s="22">
        <f>S232</f>
        <v/>
      </c>
      <c r="AI232" s="21" t="n"/>
      <c r="AJ232" s="21" t="n"/>
      <c r="AL232" s="23">
        <f>INDEX($Q232:$AJ232,1,(AL$4-1)*5+1)+AL$8*INDEX($Q232:$AJ232,1,(AL$4-1)*5+2)*INDEX($Q232:$AJ232,1,(AL$4-1)*5+3)</f>
        <v/>
      </c>
      <c r="AM232" s="22">
        <f>INDEX($Q232:$AJ232,1,(AM$4-1)*5+1)+AM$8*INDEX($Q232:$AJ232,1,(AM$4-1)*5+2)*INDEX($Q232:$AJ232,1,(AM$4-1)*5+3)</f>
        <v/>
      </c>
      <c r="AN232" s="22">
        <f>INDEX($Q232:$AJ232,1,(AN$4-1)*5+1)+AN$8*INDEX($Q232:$AJ232,1,(AN$4-1)*5+2)*INDEX($Q232:$AJ232,1,(AN$4-1)*5+3)</f>
        <v/>
      </c>
      <c r="AO232" s="22">
        <f>INDEX($Q232:$AJ232,1,(AO$4-1)*5+1)+AO$8*INDEX($Q232:$AJ232,1,(AO$4-1)*5+2)*INDEX($Q232:$AJ232,1,(AO$4-1)*5+3)</f>
        <v/>
      </c>
      <c r="AP232" s="22">
        <f>INDEX($Q232:$AJ232,1,(AP$4-1)*5+1)+AP$8*INDEX($Q232:$AJ232,1,(AP$4-1)*5+2)*INDEX($Q232:$AJ232,1,(AP$4-1)*5+3)</f>
        <v/>
      </c>
      <c r="AQ232" s="22">
        <f>INDEX($Q232:$AJ232,1,(AQ$4-1)*5+1)+AQ$8*INDEX($Q232:$AJ232,1,(AQ$4-1)*5+2)*INDEX($Q232:$AJ232,1,(AQ$4-1)*5+3)</f>
        <v/>
      </c>
      <c r="AR232" s="22">
        <f>INDEX($Q232:$AJ232,1,(AR$4-1)*5+1)+AR$8*INDEX($Q232:$AJ232,1,(AR$4-1)*5+2)*INDEX($Q232:$AJ232,1,(AR$4-1)*5+3)</f>
        <v/>
      </c>
      <c r="AS232" s="22">
        <f>INDEX($Q232:$AJ232,1,(AS$4-1)*5+1)+AS$8*INDEX($Q232:$AJ232,1,(AS$4-1)*5+2)*INDEX($Q232:$AJ232,1,(AS$4-1)*5+3)</f>
        <v/>
      </c>
      <c r="AT232" s="22">
        <f>INDEX($Q232:$AJ232,1,(AT$4-1)*5+1)+AT$8*INDEX($Q232:$AJ232,1,(AT$4-1)*5+2)*INDEX($Q232:$AJ232,1,(AT$4-1)*5+3)</f>
        <v/>
      </c>
      <c r="AU232" s="22">
        <f>INDEX($Q232:$AJ232,1,(AU$4-1)*5+1)+AU$8*INDEX($Q232:$AJ232,1,(AU$4-1)*5+2)*INDEX($Q232:$AJ232,1,(AU$4-1)*5+3)</f>
        <v/>
      </c>
      <c r="AV232" s="22">
        <f>INDEX($Q232:$AJ232,1,(AV$4-1)*5+1)+AV$8*INDEX($Q232:$AJ232,1,(AV$4-1)*5+2)*INDEX($Q232:$AJ232,1,(AV$4-1)*5+3)</f>
        <v/>
      </c>
      <c r="AW232" s="22">
        <f>INDEX($Q232:$AJ232,1,(AW$4-1)*5+1)+AW$8*INDEX($Q232:$AJ232,1,(AW$4-1)*5+2)*INDEX($Q232:$AJ232,1,(AW$4-1)*5+3)</f>
        <v/>
      </c>
      <c r="AX232" s="22">
        <f>INDEX($Q232:$AJ232,1,(AX$4-1)*5+1)+AX$8*INDEX($Q232:$AJ232,1,(AX$4-1)*5+2)*INDEX($Q232:$AJ232,1,(AX$4-1)*5+3)</f>
        <v/>
      </c>
      <c r="AY232" s="22">
        <f>INDEX($Q232:$AJ232,1,(AY$4-1)*5+1)+AY$8*INDEX($Q232:$AJ232,1,(AY$4-1)*5+2)*INDEX($Q232:$AJ232,1,(AY$4-1)*5+3)</f>
        <v/>
      </c>
      <c r="BA232" s="23">
        <f>INDEX($Q232:$AJ232,1,(BA$4-1)*5+1)+BA$8*INDEX($Q232:$AJ232,1,(BA$4-1)*5+2)*INDEX($Q232:$AJ232,1,(BA$4-1)*5+3)</f>
        <v/>
      </c>
      <c r="BB232" s="22">
        <f>INDEX($Q232:$AJ232,1,(BB$4-1)*5+1)+BB$8*INDEX($Q232:$AJ232,1,(BB$4-1)*5+2)*INDEX($Q232:$AJ232,1,(BB$4-1)*5+3)</f>
        <v/>
      </c>
      <c r="BC232" s="22">
        <f>INDEX($Q232:$AJ232,1,(BC$4-1)*5+1)+BC$8*INDEX($Q232:$AJ232,1,(BC$4-1)*5+2)*INDEX($Q232:$AJ232,1,(BC$4-1)*5+3)</f>
        <v/>
      </c>
      <c r="BD232" s="22">
        <f>INDEX($Q232:$AJ232,1,(BD$4-1)*5+1)+BD$8*INDEX($Q232:$AJ232,1,(BD$4-1)*5+2)*INDEX($Q232:$AJ232,1,(BD$4-1)*5+3)</f>
        <v/>
      </c>
      <c r="BE232" s="22">
        <f>INDEX($Q232:$AJ232,1,(BE$4-1)*5+1)+BE$8*INDEX($Q232:$AJ232,1,(BE$4-1)*5+2)*INDEX($Q232:$AJ232,1,(BE$4-1)*5+3)</f>
        <v/>
      </c>
      <c r="BF232" s="22">
        <f>INDEX($Q232:$AJ232,1,(BF$4-1)*5+1)+BF$8*INDEX($Q232:$AJ232,1,(BF$4-1)*5+2)*INDEX($Q232:$AJ232,1,(BF$4-1)*5+3)</f>
        <v/>
      </c>
      <c r="BG232" s="22">
        <f>INDEX($Q232:$AJ232,1,(BG$4-1)*5+1)+BG$8*INDEX($Q232:$AJ232,1,(BG$4-1)*5+2)*INDEX($Q232:$AJ232,1,(BG$4-1)*5+3)</f>
        <v/>
      </c>
      <c r="BH232" s="22">
        <f>INDEX($Q232:$AJ232,1,(BH$4-1)*5+1)+BH$8*INDEX($Q232:$AJ232,1,(BH$4-1)*5+2)*INDEX($Q232:$AJ232,1,(BH$4-1)*5+3)</f>
        <v/>
      </c>
      <c r="BI232" s="22">
        <f>INDEX($Q232:$AJ232,1,(BI$4-1)*5+1)+BI$8*INDEX($Q232:$AJ232,1,(BI$4-1)*5+2)*INDEX($Q232:$AJ232,1,(BI$4-1)*5+3)</f>
        <v/>
      </c>
      <c r="BJ232" s="22">
        <f>INDEX($Q232:$AJ232,1,(BJ$4-1)*5+1)+BJ$8*INDEX($Q232:$AJ232,1,(BJ$4-1)*5+2)*INDEX($Q232:$AJ232,1,(BJ$4-1)*5+3)</f>
        <v/>
      </c>
      <c r="BK232" s="22">
        <f>INDEX($Q232:$AJ232,1,(BK$4-1)*5+1)+BK$8*INDEX($Q232:$AJ232,1,(BK$4-1)*5+2)*INDEX($Q232:$AJ232,1,(BK$4-1)*5+3)</f>
        <v/>
      </c>
      <c r="BL232" s="22">
        <f>INDEX($Q232:$AJ232,1,(BL$4-1)*5+1)+BL$8*INDEX($Q232:$AJ232,1,(BL$4-1)*5+2)*INDEX($Q232:$AJ232,1,(BL$4-1)*5+3)</f>
        <v/>
      </c>
      <c r="BM232" s="22">
        <f>INDEX($Q232:$AJ232,1,(BM$4-1)*5+1)+BM$8*INDEX($Q232:$AJ232,1,(BM$4-1)*5+2)*INDEX($Q232:$AJ232,1,(BM$4-1)*5+3)</f>
        <v/>
      </c>
      <c r="BN232" s="22">
        <f>INDEX($Q232:$AJ232,1,(BN$4-1)*5+1)+BN$8*INDEX($Q232:$AJ232,1,(BN$4-1)*5+2)*INDEX($Q232:$AJ232,1,(BN$4-1)*5+3)</f>
        <v/>
      </c>
    </row>
    <row r="233">
      <c r="B233" s="5" t="inlineStr">
        <is>
          <t>lpg</t>
        </is>
      </c>
      <c r="C233" s="5" t="inlineStr">
        <is>
          <t>cem</t>
        </is>
      </c>
      <c r="D233" s="5" t="inlineStr">
        <is>
          <t>Tax | Cement | LPG</t>
        </is>
      </c>
      <c r="E233" s="5" t="inlineStr">
        <is>
          <t>$/GJ</t>
        </is>
      </c>
      <c r="F233" s="5" t="inlineStr">
        <is>
          <t>Prices_dom, EF_GHG, Mapping</t>
        </is>
      </c>
      <c r="G233" s="19" t="inlineStr">
        <is>
          <t>mit.rp.lpg</t>
        </is>
      </c>
      <c r="H233" s="19" t="inlineStr">
        <is>
          <t>mit.tax.lpg.cem</t>
        </is>
      </c>
      <c r="J233" s="5">
        <f>INDEX(Mapping!$C$5:$C$20,MATCH($C233,Mapping!$A$5:$A$20,0))</f>
        <v/>
      </c>
      <c r="K233" s="5">
        <f>INDEX(Mapping!$D$5:$D$20,MATCH($C233,Mapping!$A$5:$A$20,0))</f>
        <v/>
      </c>
      <c r="L233" s="5">
        <f>INDEX(Mapping!$C$24:$C$31,MATCH($B233,Mapping!$A$24:$A$31,0))</f>
        <v/>
      </c>
      <c r="M233" s="5">
        <f>INDEX(Mapping!$D$24:$D$31,MATCH($B233,Mapping!$A$24:$A$31,0))</f>
        <v/>
      </c>
      <c r="N233" s="5">
        <f>$B233&amp;"."&amp;IF(INDEX(Mapping!$E$24:$E$31,MATCH($B233,Mapping!$A$24:$A$31,0))="sub",INDEX(Mapping!$F$5:$F$20,MATCH($C233,Mapping!$A$5:$A$20,0)),"all")</f>
        <v/>
      </c>
      <c r="O233" s="5">
        <f>INDEX(Mapping!$E$5:$E$20,MATCH($C233,Mapping!$A$5:$A$20,0))</f>
        <v/>
      </c>
      <c r="P233" s="5">
        <f>INDEX(Mapping!$G$24:$G$31,MATCH($B233,Mapping!$A$24:$A$31,0))</f>
        <v/>
      </c>
      <c r="Q233" s="22">
        <f>(INDEX(Prices_dom!$A$6:$CU$2000,MATCH(Settings!$C$4&amp;Settings!$C$7,Prices_dom!$A$6:$A$2000,0),MATCH("mit.rp."&amp;$N233,Prices_dom!$A$5:$CU$5,0))-INDEX(Prices_dom!$A$6:$CU$2000,MATCH(Settings!$C$4&amp;Settings!$C$7,Prices_dom!$A$6:$A$2000,0),MATCH("mit.sp."&amp;$N233,Prices_dom!$A$5:$CU$5,0)))/$P233</f>
        <v/>
      </c>
      <c r="R233" s="22">
        <f>INDEX(EF_GHG!$E$4:$E$1000,MATCH(Settings!$C$4&amp;"|"&amp;$B233&amp;"|"&amp;$O233,EF_GHG!$A$4:$A$1000,0))</f>
        <v/>
      </c>
      <c r="S233" s="22">
        <f>INDEX(Mapping!$G$5:$G$20,MATCH($C233,Mapping!$A$5:$A$20,0))</f>
        <v/>
      </c>
      <c r="T233" s="21" t="n"/>
      <c r="U233" s="21" t="n"/>
      <c r="V233" s="22">
        <f>Q233</f>
        <v/>
      </c>
      <c r="W233" s="22">
        <f>R233</f>
        <v/>
      </c>
      <c r="X233" s="22">
        <f>S233</f>
        <v/>
      </c>
      <c r="Y233" s="21" t="n"/>
      <c r="Z233" s="21" t="n"/>
      <c r="AA233" s="22">
        <f>Q233</f>
        <v/>
      </c>
      <c r="AB233" s="22">
        <f>R233</f>
        <v/>
      </c>
      <c r="AC233" s="22">
        <f>S233</f>
        <v/>
      </c>
      <c r="AD233" s="21" t="n"/>
      <c r="AE233" s="21" t="n"/>
      <c r="AF233" s="22">
        <f>Q233</f>
        <v/>
      </c>
      <c r="AG233" s="22">
        <f>R233</f>
        <v/>
      </c>
      <c r="AH233" s="22">
        <f>S233</f>
        <v/>
      </c>
      <c r="AI233" s="21" t="n"/>
      <c r="AJ233" s="21" t="n"/>
      <c r="AL233" s="23">
        <f>INDEX($Q233:$AJ233,1,(AL$4-1)*5+1)+AL$8*INDEX($Q233:$AJ233,1,(AL$4-1)*5+2)*INDEX($Q233:$AJ233,1,(AL$4-1)*5+3)</f>
        <v/>
      </c>
      <c r="AM233" s="22">
        <f>INDEX($Q233:$AJ233,1,(AM$4-1)*5+1)+AM$8*INDEX($Q233:$AJ233,1,(AM$4-1)*5+2)*INDEX($Q233:$AJ233,1,(AM$4-1)*5+3)</f>
        <v/>
      </c>
      <c r="AN233" s="22">
        <f>INDEX($Q233:$AJ233,1,(AN$4-1)*5+1)+AN$8*INDEX($Q233:$AJ233,1,(AN$4-1)*5+2)*INDEX($Q233:$AJ233,1,(AN$4-1)*5+3)</f>
        <v/>
      </c>
      <c r="AO233" s="22">
        <f>INDEX($Q233:$AJ233,1,(AO$4-1)*5+1)+AO$8*INDEX($Q233:$AJ233,1,(AO$4-1)*5+2)*INDEX($Q233:$AJ233,1,(AO$4-1)*5+3)</f>
        <v/>
      </c>
      <c r="AP233" s="22">
        <f>INDEX($Q233:$AJ233,1,(AP$4-1)*5+1)+AP$8*INDEX($Q233:$AJ233,1,(AP$4-1)*5+2)*INDEX($Q233:$AJ233,1,(AP$4-1)*5+3)</f>
        <v/>
      </c>
      <c r="AQ233" s="22">
        <f>INDEX($Q233:$AJ233,1,(AQ$4-1)*5+1)+AQ$8*INDEX($Q233:$AJ233,1,(AQ$4-1)*5+2)*INDEX($Q233:$AJ233,1,(AQ$4-1)*5+3)</f>
        <v/>
      </c>
      <c r="AR233" s="22">
        <f>INDEX($Q233:$AJ233,1,(AR$4-1)*5+1)+AR$8*INDEX($Q233:$AJ233,1,(AR$4-1)*5+2)*INDEX($Q233:$AJ233,1,(AR$4-1)*5+3)</f>
        <v/>
      </c>
      <c r="AS233" s="22">
        <f>INDEX($Q233:$AJ233,1,(AS$4-1)*5+1)+AS$8*INDEX($Q233:$AJ233,1,(AS$4-1)*5+2)*INDEX($Q233:$AJ233,1,(AS$4-1)*5+3)</f>
        <v/>
      </c>
      <c r="AT233" s="22">
        <f>INDEX($Q233:$AJ233,1,(AT$4-1)*5+1)+AT$8*INDEX($Q233:$AJ233,1,(AT$4-1)*5+2)*INDEX($Q233:$AJ233,1,(AT$4-1)*5+3)</f>
        <v/>
      </c>
      <c r="AU233" s="22">
        <f>INDEX($Q233:$AJ233,1,(AU$4-1)*5+1)+AU$8*INDEX($Q233:$AJ233,1,(AU$4-1)*5+2)*INDEX($Q233:$AJ233,1,(AU$4-1)*5+3)</f>
        <v/>
      </c>
      <c r="AV233" s="22">
        <f>INDEX($Q233:$AJ233,1,(AV$4-1)*5+1)+AV$8*INDEX($Q233:$AJ233,1,(AV$4-1)*5+2)*INDEX($Q233:$AJ233,1,(AV$4-1)*5+3)</f>
        <v/>
      </c>
      <c r="AW233" s="22">
        <f>INDEX($Q233:$AJ233,1,(AW$4-1)*5+1)+AW$8*INDEX($Q233:$AJ233,1,(AW$4-1)*5+2)*INDEX($Q233:$AJ233,1,(AW$4-1)*5+3)</f>
        <v/>
      </c>
      <c r="AX233" s="22">
        <f>INDEX($Q233:$AJ233,1,(AX$4-1)*5+1)+AX$8*INDEX($Q233:$AJ233,1,(AX$4-1)*5+2)*INDEX($Q233:$AJ233,1,(AX$4-1)*5+3)</f>
        <v/>
      </c>
      <c r="AY233" s="22">
        <f>INDEX($Q233:$AJ233,1,(AY$4-1)*5+1)+AY$8*INDEX($Q233:$AJ233,1,(AY$4-1)*5+2)*INDEX($Q233:$AJ233,1,(AY$4-1)*5+3)</f>
        <v/>
      </c>
      <c r="BA233" s="23">
        <f>INDEX($Q233:$AJ233,1,(BA$4-1)*5+1)+BA$8*INDEX($Q233:$AJ233,1,(BA$4-1)*5+2)*INDEX($Q233:$AJ233,1,(BA$4-1)*5+3)</f>
        <v/>
      </c>
      <c r="BB233" s="22">
        <f>INDEX($Q233:$AJ233,1,(BB$4-1)*5+1)+BB$8*INDEX($Q233:$AJ233,1,(BB$4-1)*5+2)*INDEX($Q233:$AJ233,1,(BB$4-1)*5+3)</f>
        <v/>
      </c>
      <c r="BC233" s="22">
        <f>INDEX($Q233:$AJ233,1,(BC$4-1)*5+1)+BC$8*INDEX($Q233:$AJ233,1,(BC$4-1)*5+2)*INDEX($Q233:$AJ233,1,(BC$4-1)*5+3)</f>
        <v/>
      </c>
      <c r="BD233" s="22">
        <f>INDEX($Q233:$AJ233,1,(BD$4-1)*5+1)+BD$8*INDEX($Q233:$AJ233,1,(BD$4-1)*5+2)*INDEX($Q233:$AJ233,1,(BD$4-1)*5+3)</f>
        <v/>
      </c>
      <c r="BE233" s="22">
        <f>INDEX($Q233:$AJ233,1,(BE$4-1)*5+1)+BE$8*INDEX($Q233:$AJ233,1,(BE$4-1)*5+2)*INDEX($Q233:$AJ233,1,(BE$4-1)*5+3)</f>
        <v/>
      </c>
      <c r="BF233" s="22">
        <f>INDEX($Q233:$AJ233,1,(BF$4-1)*5+1)+BF$8*INDEX($Q233:$AJ233,1,(BF$4-1)*5+2)*INDEX($Q233:$AJ233,1,(BF$4-1)*5+3)</f>
        <v/>
      </c>
      <c r="BG233" s="22">
        <f>INDEX($Q233:$AJ233,1,(BG$4-1)*5+1)+BG$8*INDEX($Q233:$AJ233,1,(BG$4-1)*5+2)*INDEX($Q233:$AJ233,1,(BG$4-1)*5+3)</f>
        <v/>
      </c>
      <c r="BH233" s="22">
        <f>INDEX($Q233:$AJ233,1,(BH$4-1)*5+1)+BH$8*INDEX($Q233:$AJ233,1,(BH$4-1)*5+2)*INDEX($Q233:$AJ233,1,(BH$4-1)*5+3)</f>
        <v/>
      </c>
      <c r="BI233" s="22">
        <f>INDEX($Q233:$AJ233,1,(BI$4-1)*5+1)+BI$8*INDEX($Q233:$AJ233,1,(BI$4-1)*5+2)*INDEX($Q233:$AJ233,1,(BI$4-1)*5+3)</f>
        <v/>
      </c>
      <c r="BJ233" s="22">
        <f>INDEX($Q233:$AJ233,1,(BJ$4-1)*5+1)+BJ$8*INDEX($Q233:$AJ233,1,(BJ$4-1)*5+2)*INDEX($Q233:$AJ233,1,(BJ$4-1)*5+3)</f>
        <v/>
      </c>
      <c r="BK233" s="22">
        <f>INDEX($Q233:$AJ233,1,(BK$4-1)*5+1)+BK$8*INDEX($Q233:$AJ233,1,(BK$4-1)*5+2)*INDEX($Q233:$AJ233,1,(BK$4-1)*5+3)</f>
        <v/>
      </c>
      <c r="BL233" s="22">
        <f>INDEX($Q233:$AJ233,1,(BL$4-1)*5+1)+BL$8*INDEX($Q233:$AJ233,1,(BL$4-1)*5+2)*INDEX($Q233:$AJ233,1,(BL$4-1)*5+3)</f>
        <v/>
      </c>
      <c r="BM233" s="22">
        <f>INDEX($Q233:$AJ233,1,(BM$4-1)*5+1)+BM$8*INDEX($Q233:$AJ233,1,(BM$4-1)*5+2)*INDEX($Q233:$AJ233,1,(BM$4-1)*5+3)</f>
        <v/>
      </c>
      <c r="BN233" s="22">
        <f>INDEX($Q233:$AJ233,1,(BN$4-1)*5+1)+BN$8*INDEX($Q233:$AJ233,1,(BN$4-1)*5+2)*INDEX($Q233:$AJ233,1,(BN$4-1)*5+3)</f>
        <v/>
      </c>
    </row>
    <row r="234">
      <c r="B234" s="5" t="inlineStr">
        <is>
          <t>ker</t>
        </is>
      </c>
      <c r="C234" s="5" t="inlineStr">
        <is>
          <t>cem</t>
        </is>
      </c>
      <c r="D234" s="5" t="inlineStr">
        <is>
          <t>Tax | Cement | Kerosene</t>
        </is>
      </c>
      <c r="E234" s="5" t="inlineStr">
        <is>
          <t>$/GJ</t>
        </is>
      </c>
      <c r="F234" s="5" t="inlineStr">
        <is>
          <t>Prices_dom, EF_GHG, Mapping</t>
        </is>
      </c>
      <c r="G234" s="19" t="inlineStr">
        <is>
          <t>mit.rp.ker</t>
        </is>
      </c>
      <c r="H234" s="19" t="inlineStr">
        <is>
          <t>mit.tax.ker.cem</t>
        </is>
      </c>
      <c r="J234" s="5">
        <f>INDEX(Mapping!$C$5:$C$20,MATCH($C234,Mapping!$A$5:$A$20,0))</f>
        <v/>
      </c>
      <c r="K234" s="5">
        <f>INDEX(Mapping!$D$5:$D$20,MATCH($C234,Mapping!$A$5:$A$20,0))</f>
        <v/>
      </c>
      <c r="L234" s="5">
        <f>INDEX(Mapping!$C$24:$C$31,MATCH($B234,Mapping!$A$24:$A$31,0))</f>
        <v/>
      </c>
      <c r="M234" s="5">
        <f>INDEX(Mapping!$D$24:$D$31,MATCH($B234,Mapping!$A$24:$A$31,0))</f>
        <v/>
      </c>
      <c r="N234" s="5">
        <f>$B234&amp;"."&amp;IF(INDEX(Mapping!$E$24:$E$31,MATCH($B234,Mapping!$A$24:$A$31,0))="sub",INDEX(Mapping!$F$5:$F$20,MATCH($C234,Mapping!$A$5:$A$20,0)),"all")</f>
        <v/>
      </c>
      <c r="O234" s="5">
        <f>INDEX(Mapping!$E$5:$E$20,MATCH($C234,Mapping!$A$5:$A$20,0))</f>
        <v/>
      </c>
      <c r="P234" s="5">
        <f>INDEX(Mapping!$G$24:$G$31,MATCH($B234,Mapping!$A$24:$A$31,0))</f>
        <v/>
      </c>
      <c r="Q234" s="22">
        <f>(INDEX(Prices_dom!$A$6:$CU$2000,MATCH(Settings!$C$4&amp;Settings!$C$7,Prices_dom!$A$6:$A$2000,0),MATCH("mit.rp."&amp;$N234,Prices_dom!$A$5:$CU$5,0))-INDEX(Prices_dom!$A$6:$CU$2000,MATCH(Settings!$C$4&amp;Settings!$C$7,Prices_dom!$A$6:$A$2000,0),MATCH("mit.sp."&amp;$N234,Prices_dom!$A$5:$CU$5,0)))/$P234</f>
        <v/>
      </c>
      <c r="R234" s="22">
        <f>INDEX(EF_GHG!$E$4:$E$1000,MATCH(Settings!$C$4&amp;"|"&amp;$B234&amp;"|"&amp;$O234,EF_GHG!$A$4:$A$1000,0))</f>
        <v/>
      </c>
      <c r="S234" s="22">
        <f>INDEX(Mapping!$G$5:$G$20,MATCH($C234,Mapping!$A$5:$A$20,0))</f>
        <v/>
      </c>
      <c r="T234" s="21" t="n"/>
      <c r="U234" s="21" t="n"/>
      <c r="V234" s="22">
        <f>Q234</f>
        <v/>
      </c>
      <c r="W234" s="22">
        <f>R234</f>
        <v/>
      </c>
      <c r="X234" s="22">
        <f>S234</f>
        <v/>
      </c>
      <c r="Y234" s="21" t="n"/>
      <c r="Z234" s="21" t="n"/>
      <c r="AA234" s="22">
        <f>Q234</f>
        <v/>
      </c>
      <c r="AB234" s="22">
        <f>R234</f>
        <v/>
      </c>
      <c r="AC234" s="22">
        <f>S234</f>
        <v/>
      </c>
      <c r="AD234" s="21" t="n"/>
      <c r="AE234" s="21" t="n"/>
      <c r="AF234" s="22">
        <f>Q234</f>
        <v/>
      </c>
      <c r="AG234" s="22">
        <f>R234</f>
        <v/>
      </c>
      <c r="AH234" s="22">
        <f>S234</f>
        <v/>
      </c>
      <c r="AI234" s="21" t="n"/>
      <c r="AJ234" s="21" t="n"/>
      <c r="AL234" s="23">
        <f>INDEX($Q234:$AJ234,1,(AL$4-1)*5+1)+AL$8*INDEX($Q234:$AJ234,1,(AL$4-1)*5+2)*INDEX($Q234:$AJ234,1,(AL$4-1)*5+3)</f>
        <v/>
      </c>
      <c r="AM234" s="22">
        <f>INDEX($Q234:$AJ234,1,(AM$4-1)*5+1)+AM$8*INDEX($Q234:$AJ234,1,(AM$4-1)*5+2)*INDEX($Q234:$AJ234,1,(AM$4-1)*5+3)</f>
        <v/>
      </c>
      <c r="AN234" s="22">
        <f>INDEX($Q234:$AJ234,1,(AN$4-1)*5+1)+AN$8*INDEX($Q234:$AJ234,1,(AN$4-1)*5+2)*INDEX($Q234:$AJ234,1,(AN$4-1)*5+3)</f>
        <v/>
      </c>
      <c r="AO234" s="22">
        <f>INDEX($Q234:$AJ234,1,(AO$4-1)*5+1)+AO$8*INDEX($Q234:$AJ234,1,(AO$4-1)*5+2)*INDEX($Q234:$AJ234,1,(AO$4-1)*5+3)</f>
        <v/>
      </c>
      <c r="AP234" s="22">
        <f>INDEX($Q234:$AJ234,1,(AP$4-1)*5+1)+AP$8*INDEX($Q234:$AJ234,1,(AP$4-1)*5+2)*INDEX($Q234:$AJ234,1,(AP$4-1)*5+3)</f>
        <v/>
      </c>
      <c r="AQ234" s="22">
        <f>INDEX($Q234:$AJ234,1,(AQ$4-1)*5+1)+AQ$8*INDEX($Q234:$AJ234,1,(AQ$4-1)*5+2)*INDEX($Q234:$AJ234,1,(AQ$4-1)*5+3)</f>
        <v/>
      </c>
      <c r="AR234" s="22">
        <f>INDEX($Q234:$AJ234,1,(AR$4-1)*5+1)+AR$8*INDEX($Q234:$AJ234,1,(AR$4-1)*5+2)*INDEX($Q234:$AJ234,1,(AR$4-1)*5+3)</f>
        <v/>
      </c>
      <c r="AS234" s="22">
        <f>INDEX($Q234:$AJ234,1,(AS$4-1)*5+1)+AS$8*INDEX($Q234:$AJ234,1,(AS$4-1)*5+2)*INDEX($Q234:$AJ234,1,(AS$4-1)*5+3)</f>
        <v/>
      </c>
      <c r="AT234" s="22">
        <f>INDEX($Q234:$AJ234,1,(AT$4-1)*5+1)+AT$8*INDEX($Q234:$AJ234,1,(AT$4-1)*5+2)*INDEX($Q234:$AJ234,1,(AT$4-1)*5+3)</f>
        <v/>
      </c>
      <c r="AU234" s="22">
        <f>INDEX($Q234:$AJ234,1,(AU$4-1)*5+1)+AU$8*INDEX($Q234:$AJ234,1,(AU$4-1)*5+2)*INDEX($Q234:$AJ234,1,(AU$4-1)*5+3)</f>
        <v/>
      </c>
      <c r="AV234" s="22">
        <f>INDEX($Q234:$AJ234,1,(AV$4-1)*5+1)+AV$8*INDEX($Q234:$AJ234,1,(AV$4-1)*5+2)*INDEX($Q234:$AJ234,1,(AV$4-1)*5+3)</f>
        <v/>
      </c>
      <c r="AW234" s="22">
        <f>INDEX($Q234:$AJ234,1,(AW$4-1)*5+1)+AW$8*INDEX($Q234:$AJ234,1,(AW$4-1)*5+2)*INDEX($Q234:$AJ234,1,(AW$4-1)*5+3)</f>
        <v/>
      </c>
      <c r="AX234" s="22">
        <f>INDEX($Q234:$AJ234,1,(AX$4-1)*5+1)+AX$8*INDEX($Q234:$AJ234,1,(AX$4-1)*5+2)*INDEX($Q234:$AJ234,1,(AX$4-1)*5+3)</f>
        <v/>
      </c>
      <c r="AY234" s="22">
        <f>INDEX($Q234:$AJ234,1,(AY$4-1)*5+1)+AY$8*INDEX($Q234:$AJ234,1,(AY$4-1)*5+2)*INDEX($Q234:$AJ234,1,(AY$4-1)*5+3)</f>
        <v/>
      </c>
      <c r="BA234" s="23">
        <f>INDEX($Q234:$AJ234,1,(BA$4-1)*5+1)+BA$8*INDEX($Q234:$AJ234,1,(BA$4-1)*5+2)*INDEX($Q234:$AJ234,1,(BA$4-1)*5+3)</f>
        <v/>
      </c>
      <c r="BB234" s="22">
        <f>INDEX($Q234:$AJ234,1,(BB$4-1)*5+1)+BB$8*INDEX($Q234:$AJ234,1,(BB$4-1)*5+2)*INDEX($Q234:$AJ234,1,(BB$4-1)*5+3)</f>
        <v/>
      </c>
      <c r="BC234" s="22">
        <f>INDEX($Q234:$AJ234,1,(BC$4-1)*5+1)+BC$8*INDEX($Q234:$AJ234,1,(BC$4-1)*5+2)*INDEX($Q234:$AJ234,1,(BC$4-1)*5+3)</f>
        <v/>
      </c>
      <c r="BD234" s="22">
        <f>INDEX($Q234:$AJ234,1,(BD$4-1)*5+1)+BD$8*INDEX($Q234:$AJ234,1,(BD$4-1)*5+2)*INDEX($Q234:$AJ234,1,(BD$4-1)*5+3)</f>
        <v/>
      </c>
      <c r="BE234" s="22">
        <f>INDEX($Q234:$AJ234,1,(BE$4-1)*5+1)+BE$8*INDEX($Q234:$AJ234,1,(BE$4-1)*5+2)*INDEX($Q234:$AJ234,1,(BE$4-1)*5+3)</f>
        <v/>
      </c>
      <c r="BF234" s="22">
        <f>INDEX($Q234:$AJ234,1,(BF$4-1)*5+1)+BF$8*INDEX($Q234:$AJ234,1,(BF$4-1)*5+2)*INDEX($Q234:$AJ234,1,(BF$4-1)*5+3)</f>
        <v/>
      </c>
      <c r="BG234" s="22">
        <f>INDEX($Q234:$AJ234,1,(BG$4-1)*5+1)+BG$8*INDEX($Q234:$AJ234,1,(BG$4-1)*5+2)*INDEX($Q234:$AJ234,1,(BG$4-1)*5+3)</f>
        <v/>
      </c>
      <c r="BH234" s="22">
        <f>INDEX($Q234:$AJ234,1,(BH$4-1)*5+1)+BH$8*INDEX($Q234:$AJ234,1,(BH$4-1)*5+2)*INDEX($Q234:$AJ234,1,(BH$4-1)*5+3)</f>
        <v/>
      </c>
      <c r="BI234" s="22">
        <f>INDEX($Q234:$AJ234,1,(BI$4-1)*5+1)+BI$8*INDEX($Q234:$AJ234,1,(BI$4-1)*5+2)*INDEX($Q234:$AJ234,1,(BI$4-1)*5+3)</f>
        <v/>
      </c>
      <c r="BJ234" s="22">
        <f>INDEX($Q234:$AJ234,1,(BJ$4-1)*5+1)+BJ$8*INDEX($Q234:$AJ234,1,(BJ$4-1)*5+2)*INDEX($Q234:$AJ234,1,(BJ$4-1)*5+3)</f>
        <v/>
      </c>
      <c r="BK234" s="22">
        <f>INDEX($Q234:$AJ234,1,(BK$4-1)*5+1)+BK$8*INDEX($Q234:$AJ234,1,(BK$4-1)*5+2)*INDEX($Q234:$AJ234,1,(BK$4-1)*5+3)</f>
        <v/>
      </c>
      <c r="BL234" s="22">
        <f>INDEX($Q234:$AJ234,1,(BL$4-1)*5+1)+BL$8*INDEX($Q234:$AJ234,1,(BL$4-1)*5+2)*INDEX($Q234:$AJ234,1,(BL$4-1)*5+3)</f>
        <v/>
      </c>
      <c r="BM234" s="22">
        <f>INDEX($Q234:$AJ234,1,(BM$4-1)*5+1)+BM$8*INDEX($Q234:$AJ234,1,(BM$4-1)*5+2)*INDEX($Q234:$AJ234,1,(BM$4-1)*5+3)</f>
        <v/>
      </c>
      <c r="BN234" s="22">
        <f>INDEX($Q234:$AJ234,1,(BN$4-1)*5+1)+BN$8*INDEX($Q234:$AJ234,1,(BN$4-1)*5+2)*INDEX($Q234:$AJ234,1,(BN$4-1)*5+3)</f>
        <v/>
      </c>
    </row>
    <row r="235">
      <c r="B235" s="5" t="inlineStr">
        <is>
          <t>oop</t>
        </is>
      </c>
      <c r="C235" s="5" t="inlineStr">
        <is>
          <t>cem</t>
        </is>
      </c>
      <c r="D235" s="5" t="inlineStr">
        <is>
          <t>Tax | Cement | Other oil products</t>
        </is>
      </c>
      <c r="E235" s="5" t="inlineStr">
        <is>
          <t>$/GJ</t>
        </is>
      </c>
      <c r="F235" s="5" t="inlineStr">
        <is>
          <t>Prices_dom, EF_GHG, Mapping</t>
        </is>
      </c>
      <c r="G235" s="19" t="inlineStr">
        <is>
          <t>mit.rp.oop</t>
        </is>
      </c>
      <c r="H235" s="19" t="inlineStr">
        <is>
          <t>mit.tax.oop.cem</t>
        </is>
      </c>
      <c r="J235" s="5">
        <f>INDEX(Mapping!$C$5:$C$20,MATCH($C235,Mapping!$A$5:$A$20,0))</f>
        <v/>
      </c>
      <c r="K235" s="5">
        <f>INDEX(Mapping!$D$5:$D$20,MATCH($C235,Mapping!$A$5:$A$20,0))</f>
        <v/>
      </c>
      <c r="L235" s="5">
        <f>INDEX(Mapping!$C$24:$C$31,MATCH($B235,Mapping!$A$24:$A$31,0))</f>
        <v/>
      </c>
      <c r="M235" s="5">
        <f>INDEX(Mapping!$D$24:$D$31,MATCH($B235,Mapping!$A$24:$A$31,0))</f>
        <v/>
      </c>
      <c r="N235" s="5">
        <f>$B235&amp;"."&amp;IF(INDEX(Mapping!$E$24:$E$31,MATCH($B235,Mapping!$A$24:$A$31,0))="sub",INDEX(Mapping!$F$5:$F$20,MATCH($C235,Mapping!$A$5:$A$20,0)),"all")</f>
        <v/>
      </c>
      <c r="O235" s="5">
        <f>INDEX(Mapping!$E$5:$E$20,MATCH($C235,Mapping!$A$5:$A$20,0))</f>
        <v/>
      </c>
      <c r="P235" s="5">
        <f>INDEX(Mapping!$G$24:$G$31,MATCH($B235,Mapping!$A$24:$A$31,0))</f>
        <v/>
      </c>
      <c r="Q235" s="22">
        <f>(INDEX(Prices_dom!$A$6:$CU$2000,MATCH(Settings!$C$4&amp;Settings!$C$7,Prices_dom!$A$6:$A$2000,0),MATCH("mit.rp."&amp;$N235,Prices_dom!$A$5:$CU$5,0))-INDEX(Prices_dom!$A$6:$CU$2000,MATCH(Settings!$C$4&amp;Settings!$C$7,Prices_dom!$A$6:$A$2000,0),MATCH("mit.sp."&amp;$N235,Prices_dom!$A$5:$CU$5,0)))/$P235</f>
        <v/>
      </c>
      <c r="R235" s="22">
        <f>INDEX(EF_GHG!$E$4:$E$1000,MATCH(Settings!$C$4&amp;"|"&amp;$B235&amp;"|"&amp;$O235,EF_GHG!$A$4:$A$1000,0))</f>
        <v/>
      </c>
      <c r="S235" s="22">
        <f>INDEX(Mapping!$G$5:$G$20,MATCH($C235,Mapping!$A$5:$A$20,0))</f>
        <v/>
      </c>
      <c r="T235" s="21" t="n"/>
      <c r="U235" s="21" t="n"/>
      <c r="V235" s="22">
        <f>Q235</f>
        <v/>
      </c>
      <c r="W235" s="22">
        <f>R235</f>
        <v/>
      </c>
      <c r="X235" s="22">
        <f>S235</f>
        <v/>
      </c>
      <c r="Y235" s="21" t="n"/>
      <c r="Z235" s="21" t="n"/>
      <c r="AA235" s="22">
        <f>Q235</f>
        <v/>
      </c>
      <c r="AB235" s="22">
        <f>R235</f>
        <v/>
      </c>
      <c r="AC235" s="22">
        <f>S235</f>
        <v/>
      </c>
      <c r="AD235" s="21" t="n"/>
      <c r="AE235" s="21" t="n"/>
      <c r="AF235" s="22">
        <f>Q235</f>
        <v/>
      </c>
      <c r="AG235" s="22">
        <f>R235</f>
        <v/>
      </c>
      <c r="AH235" s="22">
        <f>S235</f>
        <v/>
      </c>
      <c r="AI235" s="21" t="n"/>
      <c r="AJ235" s="21" t="n"/>
      <c r="AL235" s="23">
        <f>INDEX($Q235:$AJ235,1,(AL$4-1)*5+1)+AL$8*INDEX($Q235:$AJ235,1,(AL$4-1)*5+2)*INDEX($Q235:$AJ235,1,(AL$4-1)*5+3)</f>
        <v/>
      </c>
      <c r="AM235" s="22">
        <f>INDEX($Q235:$AJ235,1,(AM$4-1)*5+1)+AM$8*INDEX($Q235:$AJ235,1,(AM$4-1)*5+2)*INDEX($Q235:$AJ235,1,(AM$4-1)*5+3)</f>
        <v/>
      </c>
      <c r="AN235" s="22">
        <f>INDEX($Q235:$AJ235,1,(AN$4-1)*5+1)+AN$8*INDEX($Q235:$AJ235,1,(AN$4-1)*5+2)*INDEX($Q235:$AJ235,1,(AN$4-1)*5+3)</f>
        <v/>
      </c>
      <c r="AO235" s="22">
        <f>INDEX($Q235:$AJ235,1,(AO$4-1)*5+1)+AO$8*INDEX($Q235:$AJ235,1,(AO$4-1)*5+2)*INDEX($Q235:$AJ235,1,(AO$4-1)*5+3)</f>
        <v/>
      </c>
      <c r="AP235" s="22">
        <f>INDEX($Q235:$AJ235,1,(AP$4-1)*5+1)+AP$8*INDEX($Q235:$AJ235,1,(AP$4-1)*5+2)*INDEX($Q235:$AJ235,1,(AP$4-1)*5+3)</f>
        <v/>
      </c>
      <c r="AQ235" s="22">
        <f>INDEX($Q235:$AJ235,1,(AQ$4-1)*5+1)+AQ$8*INDEX($Q235:$AJ235,1,(AQ$4-1)*5+2)*INDEX($Q235:$AJ235,1,(AQ$4-1)*5+3)</f>
        <v/>
      </c>
      <c r="AR235" s="22">
        <f>INDEX($Q235:$AJ235,1,(AR$4-1)*5+1)+AR$8*INDEX($Q235:$AJ235,1,(AR$4-1)*5+2)*INDEX($Q235:$AJ235,1,(AR$4-1)*5+3)</f>
        <v/>
      </c>
      <c r="AS235" s="22">
        <f>INDEX($Q235:$AJ235,1,(AS$4-1)*5+1)+AS$8*INDEX($Q235:$AJ235,1,(AS$4-1)*5+2)*INDEX($Q235:$AJ235,1,(AS$4-1)*5+3)</f>
        <v/>
      </c>
      <c r="AT235" s="22">
        <f>INDEX($Q235:$AJ235,1,(AT$4-1)*5+1)+AT$8*INDEX($Q235:$AJ235,1,(AT$4-1)*5+2)*INDEX($Q235:$AJ235,1,(AT$4-1)*5+3)</f>
        <v/>
      </c>
      <c r="AU235" s="22">
        <f>INDEX($Q235:$AJ235,1,(AU$4-1)*5+1)+AU$8*INDEX($Q235:$AJ235,1,(AU$4-1)*5+2)*INDEX($Q235:$AJ235,1,(AU$4-1)*5+3)</f>
        <v/>
      </c>
      <c r="AV235" s="22">
        <f>INDEX($Q235:$AJ235,1,(AV$4-1)*5+1)+AV$8*INDEX($Q235:$AJ235,1,(AV$4-1)*5+2)*INDEX($Q235:$AJ235,1,(AV$4-1)*5+3)</f>
        <v/>
      </c>
      <c r="AW235" s="22">
        <f>INDEX($Q235:$AJ235,1,(AW$4-1)*5+1)+AW$8*INDEX($Q235:$AJ235,1,(AW$4-1)*5+2)*INDEX($Q235:$AJ235,1,(AW$4-1)*5+3)</f>
        <v/>
      </c>
      <c r="AX235" s="22">
        <f>INDEX($Q235:$AJ235,1,(AX$4-1)*5+1)+AX$8*INDEX($Q235:$AJ235,1,(AX$4-1)*5+2)*INDEX($Q235:$AJ235,1,(AX$4-1)*5+3)</f>
        <v/>
      </c>
      <c r="AY235" s="22">
        <f>INDEX($Q235:$AJ235,1,(AY$4-1)*5+1)+AY$8*INDEX($Q235:$AJ235,1,(AY$4-1)*5+2)*INDEX($Q235:$AJ235,1,(AY$4-1)*5+3)</f>
        <v/>
      </c>
      <c r="BA235" s="23">
        <f>INDEX($Q235:$AJ235,1,(BA$4-1)*5+1)+BA$8*INDEX($Q235:$AJ235,1,(BA$4-1)*5+2)*INDEX($Q235:$AJ235,1,(BA$4-1)*5+3)</f>
        <v/>
      </c>
      <c r="BB235" s="22">
        <f>INDEX($Q235:$AJ235,1,(BB$4-1)*5+1)+BB$8*INDEX($Q235:$AJ235,1,(BB$4-1)*5+2)*INDEX($Q235:$AJ235,1,(BB$4-1)*5+3)</f>
        <v/>
      </c>
      <c r="BC235" s="22">
        <f>INDEX($Q235:$AJ235,1,(BC$4-1)*5+1)+BC$8*INDEX($Q235:$AJ235,1,(BC$4-1)*5+2)*INDEX($Q235:$AJ235,1,(BC$4-1)*5+3)</f>
        <v/>
      </c>
      <c r="BD235" s="22">
        <f>INDEX($Q235:$AJ235,1,(BD$4-1)*5+1)+BD$8*INDEX($Q235:$AJ235,1,(BD$4-1)*5+2)*INDEX($Q235:$AJ235,1,(BD$4-1)*5+3)</f>
        <v/>
      </c>
      <c r="BE235" s="22">
        <f>INDEX($Q235:$AJ235,1,(BE$4-1)*5+1)+BE$8*INDEX($Q235:$AJ235,1,(BE$4-1)*5+2)*INDEX($Q235:$AJ235,1,(BE$4-1)*5+3)</f>
        <v/>
      </c>
      <c r="BF235" s="22">
        <f>INDEX($Q235:$AJ235,1,(BF$4-1)*5+1)+BF$8*INDEX($Q235:$AJ235,1,(BF$4-1)*5+2)*INDEX($Q235:$AJ235,1,(BF$4-1)*5+3)</f>
        <v/>
      </c>
      <c r="BG235" s="22">
        <f>INDEX($Q235:$AJ235,1,(BG$4-1)*5+1)+BG$8*INDEX($Q235:$AJ235,1,(BG$4-1)*5+2)*INDEX($Q235:$AJ235,1,(BG$4-1)*5+3)</f>
        <v/>
      </c>
      <c r="BH235" s="22">
        <f>INDEX($Q235:$AJ235,1,(BH$4-1)*5+1)+BH$8*INDEX($Q235:$AJ235,1,(BH$4-1)*5+2)*INDEX($Q235:$AJ235,1,(BH$4-1)*5+3)</f>
        <v/>
      </c>
      <c r="BI235" s="22">
        <f>INDEX($Q235:$AJ235,1,(BI$4-1)*5+1)+BI$8*INDEX($Q235:$AJ235,1,(BI$4-1)*5+2)*INDEX($Q235:$AJ235,1,(BI$4-1)*5+3)</f>
        <v/>
      </c>
      <c r="BJ235" s="22">
        <f>INDEX($Q235:$AJ235,1,(BJ$4-1)*5+1)+BJ$8*INDEX($Q235:$AJ235,1,(BJ$4-1)*5+2)*INDEX($Q235:$AJ235,1,(BJ$4-1)*5+3)</f>
        <v/>
      </c>
      <c r="BK235" s="22">
        <f>INDEX($Q235:$AJ235,1,(BK$4-1)*5+1)+BK$8*INDEX($Q235:$AJ235,1,(BK$4-1)*5+2)*INDEX($Q235:$AJ235,1,(BK$4-1)*5+3)</f>
        <v/>
      </c>
      <c r="BL235" s="22">
        <f>INDEX($Q235:$AJ235,1,(BL$4-1)*5+1)+BL$8*INDEX($Q235:$AJ235,1,(BL$4-1)*5+2)*INDEX($Q235:$AJ235,1,(BL$4-1)*5+3)</f>
        <v/>
      </c>
      <c r="BM235" s="22">
        <f>INDEX($Q235:$AJ235,1,(BM$4-1)*5+1)+BM$8*INDEX($Q235:$AJ235,1,(BM$4-1)*5+2)*INDEX($Q235:$AJ235,1,(BM$4-1)*5+3)</f>
        <v/>
      </c>
      <c r="BN235" s="22">
        <f>INDEX($Q235:$AJ235,1,(BN$4-1)*5+1)+BN$8*INDEX($Q235:$AJ235,1,(BN$4-1)*5+2)*INDEX($Q235:$AJ235,1,(BN$4-1)*5+3)</f>
        <v/>
      </c>
    </row>
    <row r="236">
      <c r="B236" s="5" t="inlineStr">
        <is>
          <t>bio</t>
        </is>
      </c>
      <c r="C236" s="5" t="inlineStr">
        <is>
          <t>cem</t>
        </is>
      </c>
      <c r="D236" s="5" t="inlineStr">
        <is>
          <t>Tax | Cement | Biomass</t>
        </is>
      </c>
      <c r="E236" s="5" t="inlineStr">
        <is>
          <t>$/GJ</t>
        </is>
      </c>
      <c r="F236" s="5" t="inlineStr">
        <is>
          <t>Prices_dom, EF_GHG, Mapping</t>
        </is>
      </c>
      <c r="G236" s="19" t="inlineStr">
        <is>
          <t>mit.rp.bio</t>
        </is>
      </c>
      <c r="H236" s="19" t="inlineStr">
        <is>
          <t>mit.tax.bio.cem</t>
        </is>
      </c>
      <c r="J236" s="5">
        <f>INDEX(Mapping!$C$5:$C$20,MATCH($C236,Mapping!$A$5:$A$20,0))</f>
        <v/>
      </c>
      <c r="K236" s="5">
        <f>INDEX(Mapping!$D$5:$D$20,MATCH($C236,Mapping!$A$5:$A$20,0))</f>
        <v/>
      </c>
      <c r="L236" s="5">
        <f>INDEX(Mapping!$C$24:$C$31,MATCH($B236,Mapping!$A$24:$A$31,0))</f>
        <v/>
      </c>
      <c r="M236" s="5">
        <f>INDEX(Mapping!$D$24:$D$31,MATCH($B236,Mapping!$A$24:$A$31,0))</f>
        <v/>
      </c>
      <c r="N236" s="5">
        <f>$B236&amp;"."&amp;IF(INDEX(Mapping!$E$24:$E$31,MATCH($B236,Mapping!$A$24:$A$31,0))="sub",INDEX(Mapping!$F$5:$F$20,MATCH($C236,Mapping!$A$5:$A$20,0)),"all")</f>
        <v/>
      </c>
      <c r="O236" s="5">
        <f>INDEX(Mapping!$E$5:$E$20,MATCH($C236,Mapping!$A$5:$A$20,0))</f>
        <v/>
      </c>
      <c r="P236" s="5">
        <f>INDEX(Mapping!$G$24:$G$31,MATCH($B236,Mapping!$A$24:$A$31,0))</f>
        <v/>
      </c>
      <c r="Q236" s="22">
        <f>(INDEX(Prices_dom!$A$6:$CU$2000,MATCH(Settings!$C$4&amp;Settings!$C$7,Prices_dom!$A$6:$A$2000,0),MATCH("mit.rp."&amp;$N236,Prices_dom!$A$5:$CU$5,0))-INDEX(Prices_dom!$A$6:$CU$2000,MATCH(Settings!$C$4&amp;Settings!$C$7,Prices_dom!$A$6:$A$2000,0),MATCH("mit.sp."&amp;$N236,Prices_dom!$A$5:$CU$5,0)))/$P236</f>
        <v/>
      </c>
      <c r="R236" s="22">
        <f>INDEX(EF_GHG!$E$4:$E$1000,MATCH(Settings!$C$4&amp;"|"&amp;$B236&amp;"|"&amp;$O236,EF_GHG!$A$4:$A$1000,0))</f>
        <v/>
      </c>
      <c r="S236" s="22">
        <f>INDEX(Mapping!$G$5:$G$20,MATCH($C236,Mapping!$A$5:$A$20,0))</f>
        <v/>
      </c>
      <c r="T236" s="21" t="n"/>
      <c r="U236" s="21" t="n"/>
      <c r="V236" s="22">
        <f>Q236</f>
        <v/>
      </c>
      <c r="W236" s="22">
        <f>R236</f>
        <v/>
      </c>
      <c r="X236" s="22">
        <f>S236</f>
        <v/>
      </c>
      <c r="Y236" s="21" t="n"/>
      <c r="Z236" s="21" t="n"/>
      <c r="AA236" s="22">
        <f>Q236</f>
        <v/>
      </c>
      <c r="AB236" s="22">
        <f>R236</f>
        <v/>
      </c>
      <c r="AC236" s="22">
        <f>S236</f>
        <v/>
      </c>
      <c r="AD236" s="21" t="n"/>
      <c r="AE236" s="21" t="n"/>
      <c r="AF236" s="22">
        <f>Q236</f>
        <v/>
      </c>
      <c r="AG236" s="22">
        <f>R236</f>
        <v/>
      </c>
      <c r="AH236" s="22">
        <f>S236</f>
        <v/>
      </c>
      <c r="AI236" s="21" t="n"/>
      <c r="AJ236" s="21" t="n"/>
      <c r="AL236" s="23">
        <f>INDEX($Q236:$AJ236,1,(AL$4-1)*5+1)+AL$8*INDEX($Q236:$AJ236,1,(AL$4-1)*5+2)*INDEX($Q236:$AJ236,1,(AL$4-1)*5+3)</f>
        <v/>
      </c>
      <c r="AM236" s="22">
        <f>INDEX($Q236:$AJ236,1,(AM$4-1)*5+1)+AM$8*INDEX($Q236:$AJ236,1,(AM$4-1)*5+2)*INDEX($Q236:$AJ236,1,(AM$4-1)*5+3)</f>
        <v/>
      </c>
      <c r="AN236" s="22">
        <f>INDEX($Q236:$AJ236,1,(AN$4-1)*5+1)+AN$8*INDEX($Q236:$AJ236,1,(AN$4-1)*5+2)*INDEX($Q236:$AJ236,1,(AN$4-1)*5+3)</f>
        <v/>
      </c>
      <c r="AO236" s="22">
        <f>INDEX($Q236:$AJ236,1,(AO$4-1)*5+1)+AO$8*INDEX($Q236:$AJ236,1,(AO$4-1)*5+2)*INDEX($Q236:$AJ236,1,(AO$4-1)*5+3)</f>
        <v/>
      </c>
      <c r="AP236" s="22">
        <f>INDEX($Q236:$AJ236,1,(AP$4-1)*5+1)+AP$8*INDEX($Q236:$AJ236,1,(AP$4-1)*5+2)*INDEX($Q236:$AJ236,1,(AP$4-1)*5+3)</f>
        <v/>
      </c>
      <c r="AQ236" s="22">
        <f>INDEX($Q236:$AJ236,1,(AQ$4-1)*5+1)+AQ$8*INDEX($Q236:$AJ236,1,(AQ$4-1)*5+2)*INDEX($Q236:$AJ236,1,(AQ$4-1)*5+3)</f>
        <v/>
      </c>
      <c r="AR236" s="22">
        <f>INDEX($Q236:$AJ236,1,(AR$4-1)*5+1)+AR$8*INDEX($Q236:$AJ236,1,(AR$4-1)*5+2)*INDEX($Q236:$AJ236,1,(AR$4-1)*5+3)</f>
        <v/>
      </c>
      <c r="AS236" s="22">
        <f>INDEX($Q236:$AJ236,1,(AS$4-1)*5+1)+AS$8*INDEX($Q236:$AJ236,1,(AS$4-1)*5+2)*INDEX($Q236:$AJ236,1,(AS$4-1)*5+3)</f>
        <v/>
      </c>
      <c r="AT236" s="22">
        <f>INDEX($Q236:$AJ236,1,(AT$4-1)*5+1)+AT$8*INDEX($Q236:$AJ236,1,(AT$4-1)*5+2)*INDEX($Q236:$AJ236,1,(AT$4-1)*5+3)</f>
        <v/>
      </c>
      <c r="AU236" s="22">
        <f>INDEX($Q236:$AJ236,1,(AU$4-1)*5+1)+AU$8*INDEX($Q236:$AJ236,1,(AU$4-1)*5+2)*INDEX($Q236:$AJ236,1,(AU$4-1)*5+3)</f>
        <v/>
      </c>
      <c r="AV236" s="22">
        <f>INDEX($Q236:$AJ236,1,(AV$4-1)*5+1)+AV$8*INDEX($Q236:$AJ236,1,(AV$4-1)*5+2)*INDEX($Q236:$AJ236,1,(AV$4-1)*5+3)</f>
        <v/>
      </c>
      <c r="AW236" s="22">
        <f>INDEX($Q236:$AJ236,1,(AW$4-1)*5+1)+AW$8*INDEX($Q236:$AJ236,1,(AW$4-1)*5+2)*INDEX($Q236:$AJ236,1,(AW$4-1)*5+3)</f>
        <v/>
      </c>
      <c r="AX236" s="22">
        <f>INDEX($Q236:$AJ236,1,(AX$4-1)*5+1)+AX$8*INDEX($Q236:$AJ236,1,(AX$4-1)*5+2)*INDEX($Q236:$AJ236,1,(AX$4-1)*5+3)</f>
        <v/>
      </c>
      <c r="AY236" s="22">
        <f>INDEX($Q236:$AJ236,1,(AY$4-1)*5+1)+AY$8*INDEX($Q236:$AJ236,1,(AY$4-1)*5+2)*INDEX($Q236:$AJ236,1,(AY$4-1)*5+3)</f>
        <v/>
      </c>
      <c r="BA236" s="23">
        <f>INDEX($Q236:$AJ236,1,(BA$4-1)*5+1)+BA$8*INDEX($Q236:$AJ236,1,(BA$4-1)*5+2)*INDEX($Q236:$AJ236,1,(BA$4-1)*5+3)</f>
        <v/>
      </c>
      <c r="BB236" s="22">
        <f>INDEX($Q236:$AJ236,1,(BB$4-1)*5+1)+BB$8*INDEX($Q236:$AJ236,1,(BB$4-1)*5+2)*INDEX($Q236:$AJ236,1,(BB$4-1)*5+3)</f>
        <v/>
      </c>
      <c r="BC236" s="22">
        <f>INDEX($Q236:$AJ236,1,(BC$4-1)*5+1)+BC$8*INDEX($Q236:$AJ236,1,(BC$4-1)*5+2)*INDEX($Q236:$AJ236,1,(BC$4-1)*5+3)</f>
        <v/>
      </c>
      <c r="BD236" s="22">
        <f>INDEX($Q236:$AJ236,1,(BD$4-1)*5+1)+BD$8*INDEX($Q236:$AJ236,1,(BD$4-1)*5+2)*INDEX($Q236:$AJ236,1,(BD$4-1)*5+3)</f>
        <v/>
      </c>
      <c r="BE236" s="22">
        <f>INDEX($Q236:$AJ236,1,(BE$4-1)*5+1)+BE$8*INDEX($Q236:$AJ236,1,(BE$4-1)*5+2)*INDEX($Q236:$AJ236,1,(BE$4-1)*5+3)</f>
        <v/>
      </c>
      <c r="BF236" s="22">
        <f>INDEX($Q236:$AJ236,1,(BF$4-1)*5+1)+BF$8*INDEX($Q236:$AJ236,1,(BF$4-1)*5+2)*INDEX($Q236:$AJ236,1,(BF$4-1)*5+3)</f>
        <v/>
      </c>
      <c r="BG236" s="22">
        <f>INDEX($Q236:$AJ236,1,(BG$4-1)*5+1)+BG$8*INDEX($Q236:$AJ236,1,(BG$4-1)*5+2)*INDEX($Q236:$AJ236,1,(BG$4-1)*5+3)</f>
        <v/>
      </c>
      <c r="BH236" s="22">
        <f>INDEX($Q236:$AJ236,1,(BH$4-1)*5+1)+BH$8*INDEX($Q236:$AJ236,1,(BH$4-1)*5+2)*INDEX($Q236:$AJ236,1,(BH$4-1)*5+3)</f>
        <v/>
      </c>
      <c r="BI236" s="22">
        <f>INDEX($Q236:$AJ236,1,(BI$4-1)*5+1)+BI$8*INDEX($Q236:$AJ236,1,(BI$4-1)*5+2)*INDEX($Q236:$AJ236,1,(BI$4-1)*5+3)</f>
        <v/>
      </c>
      <c r="BJ236" s="22">
        <f>INDEX($Q236:$AJ236,1,(BJ$4-1)*5+1)+BJ$8*INDEX($Q236:$AJ236,1,(BJ$4-1)*5+2)*INDEX($Q236:$AJ236,1,(BJ$4-1)*5+3)</f>
        <v/>
      </c>
      <c r="BK236" s="22">
        <f>INDEX($Q236:$AJ236,1,(BK$4-1)*5+1)+BK$8*INDEX($Q236:$AJ236,1,(BK$4-1)*5+2)*INDEX($Q236:$AJ236,1,(BK$4-1)*5+3)</f>
        <v/>
      </c>
      <c r="BL236" s="22">
        <f>INDEX($Q236:$AJ236,1,(BL$4-1)*5+1)+BL$8*INDEX($Q236:$AJ236,1,(BL$4-1)*5+2)*INDEX($Q236:$AJ236,1,(BL$4-1)*5+3)</f>
        <v/>
      </c>
      <c r="BM236" s="22">
        <f>INDEX($Q236:$AJ236,1,(BM$4-1)*5+1)+BM$8*INDEX($Q236:$AJ236,1,(BM$4-1)*5+2)*INDEX($Q236:$AJ236,1,(BM$4-1)*5+3)</f>
        <v/>
      </c>
      <c r="BN236" s="22">
        <f>INDEX($Q236:$AJ236,1,(BN$4-1)*5+1)+BN$8*INDEX($Q236:$AJ236,1,(BN$4-1)*5+2)*INDEX($Q236:$AJ236,1,(BN$4-1)*5+3)</f>
        <v/>
      </c>
    </row>
    <row r="237">
      <c r="B237" s="5" t="inlineStr">
        <is>
          <t>coa</t>
        </is>
      </c>
      <c r="C237" s="5" t="inlineStr">
        <is>
          <t>omn</t>
        </is>
      </c>
      <c r="D237" s="5" t="inlineStr">
        <is>
          <t>Tax | Other manufacturing | Coal</t>
        </is>
      </c>
      <c r="E237" s="5" t="inlineStr">
        <is>
          <t>$/GJ</t>
        </is>
      </c>
      <c r="F237" s="5" t="inlineStr">
        <is>
          <t>Prices_dom, EF_GHG, Mapping</t>
        </is>
      </c>
      <c r="G237" s="19" t="inlineStr">
        <is>
          <t>mit.rp.coa</t>
        </is>
      </c>
      <c r="H237" s="19" t="inlineStr">
        <is>
          <t>mit.tax.coa.omn</t>
        </is>
      </c>
      <c r="J237" s="5">
        <f>INDEX(Mapping!$C$5:$C$20,MATCH($C237,Mapping!$A$5:$A$20,0))</f>
        <v/>
      </c>
      <c r="K237" s="5">
        <f>INDEX(Mapping!$D$5:$D$20,MATCH($C237,Mapping!$A$5:$A$20,0))</f>
        <v/>
      </c>
      <c r="L237" s="5">
        <f>INDEX(Mapping!$C$24:$C$31,MATCH($B237,Mapping!$A$24:$A$31,0))</f>
        <v/>
      </c>
      <c r="M237" s="5">
        <f>INDEX(Mapping!$D$24:$D$31,MATCH($B237,Mapping!$A$24:$A$31,0))</f>
        <v/>
      </c>
      <c r="N237" s="5">
        <f>$B237&amp;"."&amp;IF(INDEX(Mapping!$E$24:$E$31,MATCH($B237,Mapping!$A$24:$A$31,0))="sub",INDEX(Mapping!$F$5:$F$20,MATCH($C237,Mapping!$A$5:$A$20,0)),"all")</f>
        <v/>
      </c>
      <c r="O237" s="5">
        <f>INDEX(Mapping!$E$5:$E$20,MATCH($C237,Mapping!$A$5:$A$20,0))</f>
        <v/>
      </c>
      <c r="P237" s="5">
        <f>INDEX(Mapping!$G$24:$G$31,MATCH($B237,Mapping!$A$24:$A$31,0))</f>
        <v/>
      </c>
      <c r="Q237" s="22">
        <f>(INDEX(Prices_dom!$A$6:$CU$2000,MATCH(Settings!$C$4&amp;Settings!$C$7,Prices_dom!$A$6:$A$2000,0),MATCH("mit.rp."&amp;$N237,Prices_dom!$A$5:$CU$5,0))-INDEX(Prices_dom!$A$6:$CU$2000,MATCH(Settings!$C$4&amp;Settings!$C$7,Prices_dom!$A$6:$A$2000,0),MATCH("mit.sp."&amp;$N237,Prices_dom!$A$5:$CU$5,0)))/$P237</f>
        <v/>
      </c>
      <c r="R237" s="22">
        <f>INDEX(EF_GHG!$E$4:$E$1000,MATCH(Settings!$C$4&amp;"|"&amp;$B237&amp;"|"&amp;$O237,EF_GHG!$A$4:$A$1000,0))</f>
        <v/>
      </c>
      <c r="S237" s="22">
        <f>INDEX(Mapping!$G$5:$G$20,MATCH($C237,Mapping!$A$5:$A$20,0))</f>
        <v/>
      </c>
      <c r="T237" s="21" t="n"/>
      <c r="U237" s="21" t="n"/>
      <c r="V237" s="22">
        <f>Q237</f>
        <v/>
      </c>
      <c r="W237" s="22">
        <f>R237</f>
        <v/>
      </c>
      <c r="X237" s="22">
        <f>S237</f>
        <v/>
      </c>
      <c r="Y237" s="21" t="n"/>
      <c r="Z237" s="21" t="n"/>
      <c r="AA237" s="22">
        <f>Q237</f>
        <v/>
      </c>
      <c r="AB237" s="22">
        <f>R237</f>
        <v/>
      </c>
      <c r="AC237" s="22">
        <f>S237</f>
        <v/>
      </c>
      <c r="AD237" s="21" t="n"/>
      <c r="AE237" s="21" t="n"/>
      <c r="AF237" s="22">
        <f>Q237</f>
        <v/>
      </c>
      <c r="AG237" s="22">
        <f>R237</f>
        <v/>
      </c>
      <c r="AH237" s="22">
        <f>S237</f>
        <v/>
      </c>
      <c r="AI237" s="21" t="n"/>
      <c r="AJ237" s="21" t="n"/>
      <c r="AL237" s="23">
        <f>INDEX($Q237:$AJ237,1,(AL$4-1)*5+1)+AL$8*INDEX($Q237:$AJ237,1,(AL$4-1)*5+2)*INDEX($Q237:$AJ237,1,(AL$4-1)*5+3)</f>
        <v/>
      </c>
      <c r="AM237" s="22">
        <f>INDEX($Q237:$AJ237,1,(AM$4-1)*5+1)+AM$8*INDEX($Q237:$AJ237,1,(AM$4-1)*5+2)*INDEX($Q237:$AJ237,1,(AM$4-1)*5+3)</f>
        <v/>
      </c>
      <c r="AN237" s="22">
        <f>INDEX($Q237:$AJ237,1,(AN$4-1)*5+1)+AN$8*INDEX($Q237:$AJ237,1,(AN$4-1)*5+2)*INDEX($Q237:$AJ237,1,(AN$4-1)*5+3)</f>
        <v/>
      </c>
      <c r="AO237" s="22">
        <f>INDEX($Q237:$AJ237,1,(AO$4-1)*5+1)+AO$8*INDEX($Q237:$AJ237,1,(AO$4-1)*5+2)*INDEX($Q237:$AJ237,1,(AO$4-1)*5+3)</f>
        <v/>
      </c>
      <c r="AP237" s="22">
        <f>INDEX($Q237:$AJ237,1,(AP$4-1)*5+1)+AP$8*INDEX($Q237:$AJ237,1,(AP$4-1)*5+2)*INDEX($Q237:$AJ237,1,(AP$4-1)*5+3)</f>
        <v/>
      </c>
      <c r="AQ237" s="22">
        <f>INDEX($Q237:$AJ237,1,(AQ$4-1)*5+1)+AQ$8*INDEX($Q237:$AJ237,1,(AQ$4-1)*5+2)*INDEX($Q237:$AJ237,1,(AQ$4-1)*5+3)</f>
        <v/>
      </c>
      <c r="AR237" s="22">
        <f>INDEX($Q237:$AJ237,1,(AR$4-1)*5+1)+AR$8*INDEX($Q237:$AJ237,1,(AR$4-1)*5+2)*INDEX($Q237:$AJ237,1,(AR$4-1)*5+3)</f>
        <v/>
      </c>
      <c r="AS237" s="22">
        <f>INDEX($Q237:$AJ237,1,(AS$4-1)*5+1)+AS$8*INDEX($Q237:$AJ237,1,(AS$4-1)*5+2)*INDEX($Q237:$AJ237,1,(AS$4-1)*5+3)</f>
        <v/>
      </c>
      <c r="AT237" s="22">
        <f>INDEX($Q237:$AJ237,1,(AT$4-1)*5+1)+AT$8*INDEX($Q237:$AJ237,1,(AT$4-1)*5+2)*INDEX($Q237:$AJ237,1,(AT$4-1)*5+3)</f>
        <v/>
      </c>
      <c r="AU237" s="22">
        <f>INDEX($Q237:$AJ237,1,(AU$4-1)*5+1)+AU$8*INDEX($Q237:$AJ237,1,(AU$4-1)*5+2)*INDEX($Q237:$AJ237,1,(AU$4-1)*5+3)</f>
        <v/>
      </c>
      <c r="AV237" s="22">
        <f>INDEX($Q237:$AJ237,1,(AV$4-1)*5+1)+AV$8*INDEX($Q237:$AJ237,1,(AV$4-1)*5+2)*INDEX($Q237:$AJ237,1,(AV$4-1)*5+3)</f>
        <v/>
      </c>
      <c r="AW237" s="22">
        <f>INDEX($Q237:$AJ237,1,(AW$4-1)*5+1)+AW$8*INDEX($Q237:$AJ237,1,(AW$4-1)*5+2)*INDEX($Q237:$AJ237,1,(AW$4-1)*5+3)</f>
        <v/>
      </c>
      <c r="AX237" s="22">
        <f>INDEX($Q237:$AJ237,1,(AX$4-1)*5+1)+AX$8*INDEX($Q237:$AJ237,1,(AX$4-1)*5+2)*INDEX($Q237:$AJ237,1,(AX$4-1)*5+3)</f>
        <v/>
      </c>
      <c r="AY237" s="22">
        <f>INDEX($Q237:$AJ237,1,(AY$4-1)*5+1)+AY$8*INDEX($Q237:$AJ237,1,(AY$4-1)*5+2)*INDEX($Q237:$AJ237,1,(AY$4-1)*5+3)</f>
        <v/>
      </c>
      <c r="BA237" s="23">
        <f>INDEX($Q237:$AJ237,1,(BA$4-1)*5+1)+BA$8*INDEX($Q237:$AJ237,1,(BA$4-1)*5+2)*INDEX($Q237:$AJ237,1,(BA$4-1)*5+3)</f>
        <v/>
      </c>
      <c r="BB237" s="22">
        <f>INDEX($Q237:$AJ237,1,(BB$4-1)*5+1)+BB$8*INDEX($Q237:$AJ237,1,(BB$4-1)*5+2)*INDEX($Q237:$AJ237,1,(BB$4-1)*5+3)</f>
        <v/>
      </c>
      <c r="BC237" s="22">
        <f>INDEX($Q237:$AJ237,1,(BC$4-1)*5+1)+BC$8*INDEX($Q237:$AJ237,1,(BC$4-1)*5+2)*INDEX($Q237:$AJ237,1,(BC$4-1)*5+3)</f>
        <v/>
      </c>
      <c r="BD237" s="22">
        <f>INDEX($Q237:$AJ237,1,(BD$4-1)*5+1)+BD$8*INDEX($Q237:$AJ237,1,(BD$4-1)*5+2)*INDEX($Q237:$AJ237,1,(BD$4-1)*5+3)</f>
        <v/>
      </c>
      <c r="BE237" s="22">
        <f>INDEX($Q237:$AJ237,1,(BE$4-1)*5+1)+BE$8*INDEX($Q237:$AJ237,1,(BE$4-1)*5+2)*INDEX($Q237:$AJ237,1,(BE$4-1)*5+3)</f>
        <v/>
      </c>
      <c r="BF237" s="22">
        <f>INDEX($Q237:$AJ237,1,(BF$4-1)*5+1)+BF$8*INDEX($Q237:$AJ237,1,(BF$4-1)*5+2)*INDEX($Q237:$AJ237,1,(BF$4-1)*5+3)</f>
        <v/>
      </c>
      <c r="BG237" s="22">
        <f>INDEX($Q237:$AJ237,1,(BG$4-1)*5+1)+BG$8*INDEX($Q237:$AJ237,1,(BG$4-1)*5+2)*INDEX($Q237:$AJ237,1,(BG$4-1)*5+3)</f>
        <v/>
      </c>
      <c r="BH237" s="22">
        <f>INDEX($Q237:$AJ237,1,(BH$4-1)*5+1)+BH$8*INDEX($Q237:$AJ237,1,(BH$4-1)*5+2)*INDEX($Q237:$AJ237,1,(BH$4-1)*5+3)</f>
        <v/>
      </c>
      <c r="BI237" s="22">
        <f>INDEX($Q237:$AJ237,1,(BI$4-1)*5+1)+BI$8*INDEX($Q237:$AJ237,1,(BI$4-1)*5+2)*INDEX($Q237:$AJ237,1,(BI$4-1)*5+3)</f>
        <v/>
      </c>
      <c r="BJ237" s="22">
        <f>INDEX($Q237:$AJ237,1,(BJ$4-1)*5+1)+BJ$8*INDEX($Q237:$AJ237,1,(BJ$4-1)*5+2)*INDEX($Q237:$AJ237,1,(BJ$4-1)*5+3)</f>
        <v/>
      </c>
      <c r="BK237" s="22">
        <f>INDEX($Q237:$AJ237,1,(BK$4-1)*5+1)+BK$8*INDEX($Q237:$AJ237,1,(BK$4-1)*5+2)*INDEX($Q237:$AJ237,1,(BK$4-1)*5+3)</f>
        <v/>
      </c>
      <c r="BL237" s="22">
        <f>INDEX($Q237:$AJ237,1,(BL$4-1)*5+1)+BL$8*INDEX($Q237:$AJ237,1,(BL$4-1)*5+2)*INDEX($Q237:$AJ237,1,(BL$4-1)*5+3)</f>
        <v/>
      </c>
      <c r="BM237" s="22">
        <f>INDEX($Q237:$AJ237,1,(BM$4-1)*5+1)+BM$8*INDEX($Q237:$AJ237,1,(BM$4-1)*5+2)*INDEX($Q237:$AJ237,1,(BM$4-1)*5+3)</f>
        <v/>
      </c>
      <c r="BN237" s="22">
        <f>INDEX($Q237:$AJ237,1,(BN$4-1)*5+1)+BN$8*INDEX($Q237:$AJ237,1,(BN$4-1)*5+2)*INDEX($Q237:$AJ237,1,(BN$4-1)*5+3)</f>
        <v/>
      </c>
    </row>
    <row r="238">
      <c r="B238" s="5" t="inlineStr">
        <is>
          <t>nga</t>
        </is>
      </c>
      <c r="C238" s="5" t="inlineStr">
        <is>
          <t>omn</t>
        </is>
      </c>
      <c r="D238" s="5" t="inlineStr">
        <is>
          <t>Tax | Other manufacturing | Natural gas</t>
        </is>
      </c>
      <c r="E238" s="5" t="inlineStr">
        <is>
          <t>$/GJ</t>
        </is>
      </c>
      <c r="F238" s="5" t="inlineStr">
        <is>
          <t>Prices_dom, EF_GHG, Mapping</t>
        </is>
      </c>
      <c r="G238" s="19" t="inlineStr">
        <is>
          <t>mit.rp.nga</t>
        </is>
      </c>
      <c r="H238" s="19" t="inlineStr">
        <is>
          <t>mit.tax.nga.omn</t>
        </is>
      </c>
      <c r="J238" s="5">
        <f>INDEX(Mapping!$C$5:$C$20,MATCH($C238,Mapping!$A$5:$A$20,0))</f>
        <v/>
      </c>
      <c r="K238" s="5">
        <f>INDEX(Mapping!$D$5:$D$20,MATCH($C238,Mapping!$A$5:$A$20,0))</f>
        <v/>
      </c>
      <c r="L238" s="5">
        <f>INDEX(Mapping!$C$24:$C$31,MATCH($B238,Mapping!$A$24:$A$31,0))</f>
        <v/>
      </c>
      <c r="M238" s="5">
        <f>INDEX(Mapping!$D$24:$D$31,MATCH($B238,Mapping!$A$24:$A$31,0))</f>
        <v/>
      </c>
      <c r="N238" s="5">
        <f>$B238&amp;"."&amp;IF(INDEX(Mapping!$E$24:$E$31,MATCH($B238,Mapping!$A$24:$A$31,0))="sub",INDEX(Mapping!$F$5:$F$20,MATCH($C238,Mapping!$A$5:$A$20,0)),"all")</f>
        <v/>
      </c>
      <c r="O238" s="5">
        <f>INDEX(Mapping!$E$5:$E$20,MATCH($C238,Mapping!$A$5:$A$20,0))</f>
        <v/>
      </c>
      <c r="P238" s="5">
        <f>INDEX(Mapping!$G$24:$G$31,MATCH($B238,Mapping!$A$24:$A$31,0))</f>
        <v/>
      </c>
      <c r="Q238" s="22">
        <f>(INDEX(Prices_dom!$A$6:$CU$2000,MATCH(Settings!$C$4&amp;Settings!$C$7,Prices_dom!$A$6:$A$2000,0),MATCH("mit.rp."&amp;$N238,Prices_dom!$A$5:$CU$5,0))-INDEX(Prices_dom!$A$6:$CU$2000,MATCH(Settings!$C$4&amp;Settings!$C$7,Prices_dom!$A$6:$A$2000,0),MATCH("mit.sp."&amp;$N238,Prices_dom!$A$5:$CU$5,0)))/$P238</f>
        <v/>
      </c>
      <c r="R238" s="22">
        <f>INDEX(EF_GHG!$E$4:$E$1000,MATCH(Settings!$C$4&amp;"|"&amp;$B238&amp;"|"&amp;$O238,EF_GHG!$A$4:$A$1000,0))</f>
        <v/>
      </c>
      <c r="S238" s="22">
        <f>INDEX(Mapping!$G$5:$G$20,MATCH($C238,Mapping!$A$5:$A$20,0))</f>
        <v/>
      </c>
      <c r="T238" s="21" t="n"/>
      <c r="U238" s="21" t="n"/>
      <c r="V238" s="22">
        <f>Q238</f>
        <v/>
      </c>
      <c r="W238" s="22">
        <f>R238</f>
        <v/>
      </c>
      <c r="X238" s="22">
        <f>S238</f>
        <v/>
      </c>
      <c r="Y238" s="21" t="n"/>
      <c r="Z238" s="21" t="n"/>
      <c r="AA238" s="22">
        <f>Q238</f>
        <v/>
      </c>
      <c r="AB238" s="22">
        <f>R238</f>
        <v/>
      </c>
      <c r="AC238" s="22">
        <f>S238</f>
        <v/>
      </c>
      <c r="AD238" s="21" t="n"/>
      <c r="AE238" s="21" t="n"/>
      <c r="AF238" s="22">
        <f>Q238</f>
        <v/>
      </c>
      <c r="AG238" s="22">
        <f>R238</f>
        <v/>
      </c>
      <c r="AH238" s="22">
        <f>S238</f>
        <v/>
      </c>
      <c r="AI238" s="21" t="n"/>
      <c r="AJ238" s="21" t="n"/>
      <c r="AL238" s="23">
        <f>INDEX($Q238:$AJ238,1,(AL$4-1)*5+1)+AL$8*INDEX($Q238:$AJ238,1,(AL$4-1)*5+2)*INDEX($Q238:$AJ238,1,(AL$4-1)*5+3)</f>
        <v/>
      </c>
      <c r="AM238" s="22">
        <f>INDEX($Q238:$AJ238,1,(AM$4-1)*5+1)+AM$8*INDEX($Q238:$AJ238,1,(AM$4-1)*5+2)*INDEX($Q238:$AJ238,1,(AM$4-1)*5+3)</f>
        <v/>
      </c>
      <c r="AN238" s="22">
        <f>INDEX($Q238:$AJ238,1,(AN$4-1)*5+1)+AN$8*INDEX($Q238:$AJ238,1,(AN$4-1)*5+2)*INDEX($Q238:$AJ238,1,(AN$4-1)*5+3)</f>
        <v/>
      </c>
      <c r="AO238" s="22">
        <f>INDEX($Q238:$AJ238,1,(AO$4-1)*5+1)+AO$8*INDEX($Q238:$AJ238,1,(AO$4-1)*5+2)*INDEX($Q238:$AJ238,1,(AO$4-1)*5+3)</f>
        <v/>
      </c>
      <c r="AP238" s="22">
        <f>INDEX($Q238:$AJ238,1,(AP$4-1)*5+1)+AP$8*INDEX($Q238:$AJ238,1,(AP$4-1)*5+2)*INDEX($Q238:$AJ238,1,(AP$4-1)*5+3)</f>
        <v/>
      </c>
      <c r="AQ238" s="22">
        <f>INDEX($Q238:$AJ238,1,(AQ$4-1)*5+1)+AQ$8*INDEX($Q238:$AJ238,1,(AQ$4-1)*5+2)*INDEX($Q238:$AJ238,1,(AQ$4-1)*5+3)</f>
        <v/>
      </c>
      <c r="AR238" s="22">
        <f>INDEX($Q238:$AJ238,1,(AR$4-1)*5+1)+AR$8*INDEX($Q238:$AJ238,1,(AR$4-1)*5+2)*INDEX($Q238:$AJ238,1,(AR$4-1)*5+3)</f>
        <v/>
      </c>
      <c r="AS238" s="22">
        <f>INDEX($Q238:$AJ238,1,(AS$4-1)*5+1)+AS$8*INDEX($Q238:$AJ238,1,(AS$4-1)*5+2)*INDEX($Q238:$AJ238,1,(AS$4-1)*5+3)</f>
        <v/>
      </c>
      <c r="AT238" s="22">
        <f>INDEX($Q238:$AJ238,1,(AT$4-1)*5+1)+AT$8*INDEX($Q238:$AJ238,1,(AT$4-1)*5+2)*INDEX($Q238:$AJ238,1,(AT$4-1)*5+3)</f>
        <v/>
      </c>
      <c r="AU238" s="22">
        <f>INDEX($Q238:$AJ238,1,(AU$4-1)*5+1)+AU$8*INDEX($Q238:$AJ238,1,(AU$4-1)*5+2)*INDEX($Q238:$AJ238,1,(AU$4-1)*5+3)</f>
        <v/>
      </c>
      <c r="AV238" s="22">
        <f>INDEX($Q238:$AJ238,1,(AV$4-1)*5+1)+AV$8*INDEX($Q238:$AJ238,1,(AV$4-1)*5+2)*INDEX($Q238:$AJ238,1,(AV$4-1)*5+3)</f>
        <v/>
      </c>
      <c r="AW238" s="22">
        <f>INDEX($Q238:$AJ238,1,(AW$4-1)*5+1)+AW$8*INDEX($Q238:$AJ238,1,(AW$4-1)*5+2)*INDEX($Q238:$AJ238,1,(AW$4-1)*5+3)</f>
        <v/>
      </c>
      <c r="AX238" s="22">
        <f>INDEX($Q238:$AJ238,1,(AX$4-1)*5+1)+AX$8*INDEX($Q238:$AJ238,1,(AX$4-1)*5+2)*INDEX($Q238:$AJ238,1,(AX$4-1)*5+3)</f>
        <v/>
      </c>
      <c r="AY238" s="22">
        <f>INDEX($Q238:$AJ238,1,(AY$4-1)*5+1)+AY$8*INDEX($Q238:$AJ238,1,(AY$4-1)*5+2)*INDEX($Q238:$AJ238,1,(AY$4-1)*5+3)</f>
        <v/>
      </c>
      <c r="BA238" s="23">
        <f>INDEX($Q238:$AJ238,1,(BA$4-1)*5+1)+BA$8*INDEX($Q238:$AJ238,1,(BA$4-1)*5+2)*INDEX($Q238:$AJ238,1,(BA$4-1)*5+3)</f>
        <v/>
      </c>
      <c r="BB238" s="22">
        <f>INDEX($Q238:$AJ238,1,(BB$4-1)*5+1)+BB$8*INDEX($Q238:$AJ238,1,(BB$4-1)*5+2)*INDEX($Q238:$AJ238,1,(BB$4-1)*5+3)</f>
        <v/>
      </c>
      <c r="BC238" s="22">
        <f>INDEX($Q238:$AJ238,1,(BC$4-1)*5+1)+BC$8*INDEX($Q238:$AJ238,1,(BC$4-1)*5+2)*INDEX($Q238:$AJ238,1,(BC$4-1)*5+3)</f>
        <v/>
      </c>
      <c r="BD238" s="22">
        <f>INDEX($Q238:$AJ238,1,(BD$4-1)*5+1)+BD$8*INDEX($Q238:$AJ238,1,(BD$4-1)*5+2)*INDEX($Q238:$AJ238,1,(BD$4-1)*5+3)</f>
        <v/>
      </c>
      <c r="BE238" s="22">
        <f>INDEX($Q238:$AJ238,1,(BE$4-1)*5+1)+BE$8*INDEX($Q238:$AJ238,1,(BE$4-1)*5+2)*INDEX($Q238:$AJ238,1,(BE$4-1)*5+3)</f>
        <v/>
      </c>
      <c r="BF238" s="22">
        <f>INDEX($Q238:$AJ238,1,(BF$4-1)*5+1)+BF$8*INDEX($Q238:$AJ238,1,(BF$4-1)*5+2)*INDEX($Q238:$AJ238,1,(BF$4-1)*5+3)</f>
        <v/>
      </c>
      <c r="BG238" s="22">
        <f>INDEX($Q238:$AJ238,1,(BG$4-1)*5+1)+BG$8*INDEX($Q238:$AJ238,1,(BG$4-1)*5+2)*INDEX($Q238:$AJ238,1,(BG$4-1)*5+3)</f>
        <v/>
      </c>
      <c r="BH238" s="22">
        <f>INDEX($Q238:$AJ238,1,(BH$4-1)*5+1)+BH$8*INDEX($Q238:$AJ238,1,(BH$4-1)*5+2)*INDEX($Q238:$AJ238,1,(BH$4-1)*5+3)</f>
        <v/>
      </c>
      <c r="BI238" s="22">
        <f>INDEX($Q238:$AJ238,1,(BI$4-1)*5+1)+BI$8*INDEX($Q238:$AJ238,1,(BI$4-1)*5+2)*INDEX($Q238:$AJ238,1,(BI$4-1)*5+3)</f>
        <v/>
      </c>
      <c r="BJ238" s="22">
        <f>INDEX($Q238:$AJ238,1,(BJ$4-1)*5+1)+BJ$8*INDEX($Q238:$AJ238,1,(BJ$4-1)*5+2)*INDEX($Q238:$AJ238,1,(BJ$4-1)*5+3)</f>
        <v/>
      </c>
      <c r="BK238" s="22">
        <f>INDEX($Q238:$AJ238,1,(BK$4-1)*5+1)+BK$8*INDEX($Q238:$AJ238,1,(BK$4-1)*5+2)*INDEX($Q238:$AJ238,1,(BK$4-1)*5+3)</f>
        <v/>
      </c>
      <c r="BL238" s="22">
        <f>INDEX($Q238:$AJ238,1,(BL$4-1)*5+1)+BL$8*INDEX($Q238:$AJ238,1,(BL$4-1)*5+2)*INDEX($Q238:$AJ238,1,(BL$4-1)*5+3)</f>
        <v/>
      </c>
      <c r="BM238" s="22">
        <f>INDEX($Q238:$AJ238,1,(BM$4-1)*5+1)+BM$8*INDEX($Q238:$AJ238,1,(BM$4-1)*5+2)*INDEX($Q238:$AJ238,1,(BM$4-1)*5+3)</f>
        <v/>
      </c>
      <c r="BN238" s="22">
        <f>INDEX($Q238:$AJ238,1,(BN$4-1)*5+1)+BN$8*INDEX($Q238:$AJ238,1,(BN$4-1)*5+2)*INDEX($Q238:$AJ238,1,(BN$4-1)*5+3)</f>
        <v/>
      </c>
    </row>
    <row r="239">
      <c r="B239" s="5" t="inlineStr">
        <is>
          <t>gso</t>
        </is>
      </c>
      <c r="C239" s="5" t="inlineStr">
        <is>
          <t>omn</t>
        </is>
      </c>
      <c r="D239" s="5" t="inlineStr">
        <is>
          <t>Tax | Other manufacturing | Gasoline</t>
        </is>
      </c>
      <c r="E239" s="5" t="inlineStr">
        <is>
          <t>$/GJ</t>
        </is>
      </c>
      <c r="F239" s="5" t="inlineStr">
        <is>
          <t>Prices_dom, EF_GHG, Mapping</t>
        </is>
      </c>
      <c r="G239" s="19" t="inlineStr">
        <is>
          <t>mit.rp.gso</t>
        </is>
      </c>
      <c r="H239" s="19" t="inlineStr">
        <is>
          <t>mit.tax.gso.omn</t>
        </is>
      </c>
      <c r="J239" s="5">
        <f>INDEX(Mapping!$C$5:$C$20,MATCH($C239,Mapping!$A$5:$A$20,0))</f>
        <v/>
      </c>
      <c r="K239" s="5">
        <f>INDEX(Mapping!$D$5:$D$20,MATCH($C239,Mapping!$A$5:$A$20,0))</f>
        <v/>
      </c>
      <c r="L239" s="5">
        <f>INDEX(Mapping!$C$24:$C$31,MATCH($B239,Mapping!$A$24:$A$31,0))</f>
        <v/>
      </c>
      <c r="M239" s="5">
        <f>INDEX(Mapping!$D$24:$D$31,MATCH($B239,Mapping!$A$24:$A$31,0))</f>
        <v/>
      </c>
      <c r="N239" s="5">
        <f>$B239&amp;"."&amp;IF(INDEX(Mapping!$E$24:$E$31,MATCH($B239,Mapping!$A$24:$A$31,0))="sub",INDEX(Mapping!$F$5:$F$20,MATCH($C239,Mapping!$A$5:$A$20,0)),"all")</f>
        <v/>
      </c>
      <c r="O239" s="5">
        <f>INDEX(Mapping!$E$5:$E$20,MATCH($C239,Mapping!$A$5:$A$20,0))</f>
        <v/>
      </c>
      <c r="P239" s="5">
        <f>INDEX(Mapping!$G$24:$G$31,MATCH($B239,Mapping!$A$24:$A$31,0))</f>
        <v/>
      </c>
      <c r="Q239" s="22">
        <f>(INDEX(Prices_dom!$A$6:$CU$2000,MATCH(Settings!$C$4&amp;Settings!$C$7,Prices_dom!$A$6:$A$2000,0),MATCH("mit.rp."&amp;$N239,Prices_dom!$A$5:$CU$5,0))-INDEX(Prices_dom!$A$6:$CU$2000,MATCH(Settings!$C$4&amp;Settings!$C$7,Prices_dom!$A$6:$A$2000,0),MATCH("mit.sp."&amp;$N239,Prices_dom!$A$5:$CU$5,0)))/$P239</f>
        <v/>
      </c>
      <c r="R239" s="22">
        <f>INDEX(EF_GHG!$E$4:$E$1000,MATCH(Settings!$C$4&amp;"|"&amp;$B239&amp;"|"&amp;$O239,EF_GHG!$A$4:$A$1000,0))</f>
        <v/>
      </c>
      <c r="S239" s="22">
        <f>INDEX(Mapping!$G$5:$G$20,MATCH($C239,Mapping!$A$5:$A$20,0))</f>
        <v/>
      </c>
      <c r="T239" s="21" t="n"/>
      <c r="U239" s="21" t="n"/>
      <c r="V239" s="22">
        <f>Q239</f>
        <v/>
      </c>
      <c r="W239" s="22">
        <f>R239</f>
        <v/>
      </c>
      <c r="X239" s="22">
        <f>S239</f>
        <v/>
      </c>
      <c r="Y239" s="21" t="n"/>
      <c r="Z239" s="21" t="n"/>
      <c r="AA239" s="22">
        <f>Q239</f>
        <v/>
      </c>
      <c r="AB239" s="22">
        <f>R239</f>
        <v/>
      </c>
      <c r="AC239" s="22">
        <f>S239</f>
        <v/>
      </c>
      <c r="AD239" s="21" t="n"/>
      <c r="AE239" s="21" t="n"/>
      <c r="AF239" s="22">
        <f>Q239</f>
        <v/>
      </c>
      <c r="AG239" s="22">
        <f>R239</f>
        <v/>
      </c>
      <c r="AH239" s="22">
        <f>S239</f>
        <v/>
      </c>
      <c r="AI239" s="21" t="n"/>
      <c r="AJ239" s="21" t="n"/>
      <c r="AL239" s="23">
        <f>INDEX($Q239:$AJ239,1,(AL$4-1)*5+1)+AL$8*INDEX($Q239:$AJ239,1,(AL$4-1)*5+2)*INDEX($Q239:$AJ239,1,(AL$4-1)*5+3)</f>
        <v/>
      </c>
      <c r="AM239" s="22">
        <f>INDEX($Q239:$AJ239,1,(AM$4-1)*5+1)+AM$8*INDEX($Q239:$AJ239,1,(AM$4-1)*5+2)*INDEX($Q239:$AJ239,1,(AM$4-1)*5+3)</f>
        <v/>
      </c>
      <c r="AN239" s="22">
        <f>INDEX($Q239:$AJ239,1,(AN$4-1)*5+1)+AN$8*INDEX($Q239:$AJ239,1,(AN$4-1)*5+2)*INDEX($Q239:$AJ239,1,(AN$4-1)*5+3)</f>
        <v/>
      </c>
      <c r="AO239" s="22">
        <f>INDEX($Q239:$AJ239,1,(AO$4-1)*5+1)+AO$8*INDEX($Q239:$AJ239,1,(AO$4-1)*5+2)*INDEX($Q239:$AJ239,1,(AO$4-1)*5+3)</f>
        <v/>
      </c>
      <c r="AP239" s="22">
        <f>INDEX($Q239:$AJ239,1,(AP$4-1)*5+1)+AP$8*INDEX($Q239:$AJ239,1,(AP$4-1)*5+2)*INDEX($Q239:$AJ239,1,(AP$4-1)*5+3)</f>
        <v/>
      </c>
      <c r="AQ239" s="22">
        <f>INDEX($Q239:$AJ239,1,(AQ$4-1)*5+1)+AQ$8*INDEX($Q239:$AJ239,1,(AQ$4-1)*5+2)*INDEX($Q239:$AJ239,1,(AQ$4-1)*5+3)</f>
        <v/>
      </c>
      <c r="AR239" s="22">
        <f>INDEX($Q239:$AJ239,1,(AR$4-1)*5+1)+AR$8*INDEX($Q239:$AJ239,1,(AR$4-1)*5+2)*INDEX($Q239:$AJ239,1,(AR$4-1)*5+3)</f>
        <v/>
      </c>
      <c r="AS239" s="22">
        <f>INDEX($Q239:$AJ239,1,(AS$4-1)*5+1)+AS$8*INDEX($Q239:$AJ239,1,(AS$4-1)*5+2)*INDEX($Q239:$AJ239,1,(AS$4-1)*5+3)</f>
        <v/>
      </c>
      <c r="AT239" s="22">
        <f>INDEX($Q239:$AJ239,1,(AT$4-1)*5+1)+AT$8*INDEX($Q239:$AJ239,1,(AT$4-1)*5+2)*INDEX($Q239:$AJ239,1,(AT$4-1)*5+3)</f>
        <v/>
      </c>
      <c r="AU239" s="22">
        <f>INDEX($Q239:$AJ239,1,(AU$4-1)*5+1)+AU$8*INDEX($Q239:$AJ239,1,(AU$4-1)*5+2)*INDEX($Q239:$AJ239,1,(AU$4-1)*5+3)</f>
        <v/>
      </c>
      <c r="AV239" s="22">
        <f>INDEX($Q239:$AJ239,1,(AV$4-1)*5+1)+AV$8*INDEX($Q239:$AJ239,1,(AV$4-1)*5+2)*INDEX($Q239:$AJ239,1,(AV$4-1)*5+3)</f>
        <v/>
      </c>
      <c r="AW239" s="22">
        <f>INDEX($Q239:$AJ239,1,(AW$4-1)*5+1)+AW$8*INDEX($Q239:$AJ239,1,(AW$4-1)*5+2)*INDEX($Q239:$AJ239,1,(AW$4-1)*5+3)</f>
        <v/>
      </c>
      <c r="AX239" s="22">
        <f>INDEX($Q239:$AJ239,1,(AX$4-1)*5+1)+AX$8*INDEX($Q239:$AJ239,1,(AX$4-1)*5+2)*INDEX($Q239:$AJ239,1,(AX$4-1)*5+3)</f>
        <v/>
      </c>
      <c r="AY239" s="22">
        <f>INDEX($Q239:$AJ239,1,(AY$4-1)*5+1)+AY$8*INDEX($Q239:$AJ239,1,(AY$4-1)*5+2)*INDEX($Q239:$AJ239,1,(AY$4-1)*5+3)</f>
        <v/>
      </c>
      <c r="BA239" s="23">
        <f>INDEX($Q239:$AJ239,1,(BA$4-1)*5+1)+BA$8*INDEX($Q239:$AJ239,1,(BA$4-1)*5+2)*INDEX($Q239:$AJ239,1,(BA$4-1)*5+3)</f>
        <v/>
      </c>
      <c r="BB239" s="22">
        <f>INDEX($Q239:$AJ239,1,(BB$4-1)*5+1)+BB$8*INDEX($Q239:$AJ239,1,(BB$4-1)*5+2)*INDEX($Q239:$AJ239,1,(BB$4-1)*5+3)</f>
        <v/>
      </c>
      <c r="BC239" s="22">
        <f>INDEX($Q239:$AJ239,1,(BC$4-1)*5+1)+BC$8*INDEX($Q239:$AJ239,1,(BC$4-1)*5+2)*INDEX($Q239:$AJ239,1,(BC$4-1)*5+3)</f>
        <v/>
      </c>
      <c r="BD239" s="22">
        <f>INDEX($Q239:$AJ239,1,(BD$4-1)*5+1)+BD$8*INDEX($Q239:$AJ239,1,(BD$4-1)*5+2)*INDEX($Q239:$AJ239,1,(BD$4-1)*5+3)</f>
        <v/>
      </c>
      <c r="BE239" s="22">
        <f>INDEX($Q239:$AJ239,1,(BE$4-1)*5+1)+BE$8*INDEX($Q239:$AJ239,1,(BE$4-1)*5+2)*INDEX($Q239:$AJ239,1,(BE$4-1)*5+3)</f>
        <v/>
      </c>
      <c r="BF239" s="22">
        <f>INDEX($Q239:$AJ239,1,(BF$4-1)*5+1)+BF$8*INDEX($Q239:$AJ239,1,(BF$4-1)*5+2)*INDEX($Q239:$AJ239,1,(BF$4-1)*5+3)</f>
        <v/>
      </c>
      <c r="BG239" s="22">
        <f>INDEX($Q239:$AJ239,1,(BG$4-1)*5+1)+BG$8*INDEX($Q239:$AJ239,1,(BG$4-1)*5+2)*INDEX($Q239:$AJ239,1,(BG$4-1)*5+3)</f>
        <v/>
      </c>
      <c r="BH239" s="22">
        <f>INDEX($Q239:$AJ239,1,(BH$4-1)*5+1)+BH$8*INDEX($Q239:$AJ239,1,(BH$4-1)*5+2)*INDEX($Q239:$AJ239,1,(BH$4-1)*5+3)</f>
        <v/>
      </c>
      <c r="BI239" s="22">
        <f>INDEX($Q239:$AJ239,1,(BI$4-1)*5+1)+BI$8*INDEX($Q239:$AJ239,1,(BI$4-1)*5+2)*INDEX($Q239:$AJ239,1,(BI$4-1)*5+3)</f>
        <v/>
      </c>
      <c r="BJ239" s="22">
        <f>INDEX($Q239:$AJ239,1,(BJ$4-1)*5+1)+BJ$8*INDEX($Q239:$AJ239,1,(BJ$4-1)*5+2)*INDEX($Q239:$AJ239,1,(BJ$4-1)*5+3)</f>
        <v/>
      </c>
      <c r="BK239" s="22">
        <f>INDEX($Q239:$AJ239,1,(BK$4-1)*5+1)+BK$8*INDEX($Q239:$AJ239,1,(BK$4-1)*5+2)*INDEX($Q239:$AJ239,1,(BK$4-1)*5+3)</f>
        <v/>
      </c>
      <c r="BL239" s="22">
        <f>INDEX($Q239:$AJ239,1,(BL$4-1)*5+1)+BL$8*INDEX($Q239:$AJ239,1,(BL$4-1)*5+2)*INDEX($Q239:$AJ239,1,(BL$4-1)*5+3)</f>
        <v/>
      </c>
      <c r="BM239" s="22">
        <f>INDEX($Q239:$AJ239,1,(BM$4-1)*5+1)+BM$8*INDEX($Q239:$AJ239,1,(BM$4-1)*5+2)*INDEX($Q239:$AJ239,1,(BM$4-1)*5+3)</f>
        <v/>
      </c>
      <c r="BN239" s="22">
        <f>INDEX($Q239:$AJ239,1,(BN$4-1)*5+1)+BN$8*INDEX($Q239:$AJ239,1,(BN$4-1)*5+2)*INDEX($Q239:$AJ239,1,(BN$4-1)*5+3)</f>
        <v/>
      </c>
    </row>
    <row r="240">
      <c r="B240" s="5" t="inlineStr">
        <is>
          <t>die</t>
        </is>
      </c>
      <c r="C240" s="5" t="inlineStr">
        <is>
          <t>omn</t>
        </is>
      </c>
      <c r="D240" s="5" t="inlineStr">
        <is>
          <t>Tax | Other manufacturing | Diesel</t>
        </is>
      </c>
      <c r="E240" s="5" t="inlineStr">
        <is>
          <t>$/GJ</t>
        </is>
      </c>
      <c r="F240" s="5" t="inlineStr">
        <is>
          <t>Prices_dom, EF_GHG, Mapping</t>
        </is>
      </c>
      <c r="G240" s="19" t="inlineStr">
        <is>
          <t>mit.rp.die</t>
        </is>
      </c>
      <c r="H240" s="19" t="inlineStr">
        <is>
          <t>mit.tax.die.omn</t>
        </is>
      </c>
      <c r="J240" s="5">
        <f>INDEX(Mapping!$C$5:$C$20,MATCH($C240,Mapping!$A$5:$A$20,0))</f>
        <v/>
      </c>
      <c r="K240" s="5">
        <f>INDEX(Mapping!$D$5:$D$20,MATCH($C240,Mapping!$A$5:$A$20,0))</f>
        <v/>
      </c>
      <c r="L240" s="5">
        <f>INDEX(Mapping!$C$24:$C$31,MATCH($B240,Mapping!$A$24:$A$31,0))</f>
        <v/>
      </c>
      <c r="M240" s="5">
        <f>INDEX(Mapping!$D$24:$D$31,MATCH($B240,Mapping!$A$24:$A$31,0))</f>
        <v/>
      </c>
      <c r="N240" s="5">
        <f>$B240&amp;"."&amp;IF(INDEX(Mapping!$E$24:$E$31,MATCH($B240,Mapping!$A$24:$A$31,0))="sub",INDEX(Mapping!$F$5:$F$20,MATCH($C240,Mapping!$A$5:$A$20,0)),"all")</f>
        <v/>
      </c>
      <c r="O240" s="5">
        <f>INDEX(Mapping!$E$5:$E$20,MATCH($C240,Mapping!$A$5:$A$20,0))</f>
        <v/>
      </c>
      <c r="P240" s="5">
        <f>INDEX(Mapping!$G$24:$G$31,MATCH($B240,Mapping!$A$24:$A$31,0))</f>
        <v/>
      </c>
      <c r="Q240" s="22">
        <f>(INDEX(Prices_dom!$A$6:$CU$2000,MATCH(Settings!$C$4&amp;Settings!$C$7,Prices_dom!$A$6:$A$2000,0),MATCH("mit.rp."&amp;$N240,Prices_dom!$A$5:$CU$5,0))-INDEX(Prices_dom!$A$6:$CU$2000,MATCH(Settings!$C$4&amp;Settings!$C$7,Prices_dom!$A$6:$A$2000,0),MATCH("mit.sp."&amp;$N240,Prices_dom!$A$5:$CU$5,0)))/$P240</f>
        <v/>
      </c>
      <c r="R240" s="22">
        <f>INDEX(EF_GHG!$E$4:$E$1000,MATCH(Settings!$C$4&amp;"|"&amp;$B240&amp;"|"&amp;$O240,EF_GHG!$A$4:$A$1000,0))</f>
        <v/>
      </c>
      <c r="S240" s="22">
        <f>INDEX(Mapping!$G$5:$G$20,MATCH($C240,Mapping!$A$5:$A$20,0))</f>
        <v/>
      </c>
      <c r="T240" s="21" t="n"/>
      <c r="U240" s="21" t="n"/>
      <c r="V240" s="22">
        <f>Q240</f>
        <v/>
      </c>
      <c r="W240" s="22">
        <f>R240</f>
        <v/>
      </c>
      <c r="X240" s="22">
        <f>S240</f>
        <v/>
      </c>
      <c r="Y240" s="21" t="n"/>
      <c r="Z240" s="21" t="n"/>
      <c r="AA240" s="22">
        <f>Q240</f>
        <v/>
      </c>
      <c r="AB240" s="22">
        <f>R240</f>
        <v/>
      </c>
      <c r="AC240" s="22">
        <f>S240</f>
        <v/>
      </c>
      <c r="AD240" s="21" t="n"/>
      <c r="AE240" s="21" t="n"/>
      <c r="AF240" s="22">
        <f>Q240</f>
        <v/>
      </c>
      <c r="AG240" s="22">
        <f>R240</f>
        <v/>
      </c>
      <c r="AH240" s="22">
        <f>S240</f>
        <v/>
      </c>
      <c r="AI240" s="21" t="n"/>
      <c r="AJ240" s="21" t="n"/>
      <c r="AL240" s="23">
        <f>INDEX($Q240:$AJ240,1,(AL$4-1)*5+1)+AL$8*INDEX($Q240:$AJ240,1,(AL$4-1)*5+2)*INDEX($Q240:$AJ240,1,(AL$4-1)*5+3)</f>
        <v/>
      </c>
      <c r="AM240" s="22">
        <f>INDEX($Q240:$AJ240,1,(AM$4-1)*5+1)+AM$8*INDEX($Q240:$AJ240,1,(AM$4-1)*5+2)*INDEX($Q240:$AJ240,1,(AM$4-1)*5+3)</f>
        <v/>
      </c>
      <c r="AN240" s="22">
        <f>INDEX($Q240:$AJ240,1,(AN$4-1)*5+1)+AN$8*INDEX($Q240:$AJ240,1,(AN$4-1)*5+2)*INDEX($Q240:$AJ240,1,(AN$4-1)*5+3)</f>
        <v/>
      </c>
      <c r="AO240" s="22">
        <f>INDEX($Q240:$AJ240,1,(AO$4-1)*5+1)+AO$8*INDEX($Q240:$AJ240,1,(AO$4-1)*5+2)*INDEX($Q240:$AJ240,1,(AO$4-1)*5+3)</f>
        <v/>
      </c>
      <c r="AP240" s="22">
        <f>INDEX($Q240:$AJ240,1,(AP$4-1)*5+1)+AP$8*INDEX($Q240:$AJ240,1,(AP$4-1)*5+2)*INDEX($Q240:$AJ240,1,(AP$4-1)*5+3)</f>
        <v/>
      </c>
      <c r="AQ240" s="22">
        <f>INDEX($Q240:$AJ240,1,(AQ$4-1)*5+1)+AQ$8*INDEX($Q240:$AJ240,1,(AQ$4-1)*5+2)*INDEX($Q240:$AJ240,1,(AQ$4-1)*5+3)</f>
        <v/>
      </c>
      <c r="AR240" s="22">
        <f>INDEX($Q240:$AJ240,1,(AR$4-1)*5+1)+AR$8*INDEX($Q240:$AJ240,1,(AR$4-1)*5+2)*INDEX($Q240:$AJ240,1,(AR$4-1)*5+3)</f>
        <v/>
      </c>
      <c r="AS240" s="22">
        <f>INDEX($Q240:$AJ240,1,(AS$4-1)*5+1)+AS$8*INDEX($Q240:$AJ240,1,(AS$4-1)*5+2)*INDEX($Q240:$AJ240,1,(AS$4-1)*5+3)</f>
        <v/>
      </c>
      <c r="AT240" s="22">
        <f>INDEX($Q240:$AJ240,1,(AT$4-1)*5+1)+AT$8*INDEX($Q240:$AJ240,1,(AT$4-1)*5+2)*INDEX($Q240:$AJ240,1,(AT$4-1)*5+3)</f>
        <v/>
      </c>
      <c r="AU240" s="22">
        <f>INDEX($Q240:$AJ240,1,(AU$4-1)*5+1)+AU$8*INDEX($Q240:$AJ240,1,(AU$4-1)*5+2)*INDEX($Q240:$AJ240,1,(AU$4-1)*5+3)</f>
        <v/>
      </c>
      <c r="AV240" s="22">
        <f>INDEX($Q240:$AJ240,1,(AV$4-1)*5+1)+AV$8*INDEX($Q240:$AJ240,1,(AV$4-1)*5+2)*INDEX($Q240:$AJ240,1,(AV$4-1)*5+3)</f>
        <v/>
      </c>
      <c r="AW240" s="22">
        <f>INDEX($Q240:$AJ240,1,(AW$4-1)*5+1)+AW$8*INDEX($Q240:$AJ240,1,(AW$4-1)*5+2)*INDEX($Q240:$AJ240,1,(AW$4-1)*5+3)</f>
        <v/>
      </c>
      <c r="AX240" s="22">
        <f>INDEX($Q240:$AJ240,1,(AX$4-1)*5+1)+AX$8*INDEX($Q240:$AJ240,1,(AX$4-1)*5+2)*INDEX($Q240:$AJ240,1,(AX$4-1)*5+3)</f>
        <v/>
      </c>
      <c r="AY240" s="22">
        <f>INDEX($Q240:$AJ240,1,(AY$4-1)*5+1)+AY$8*INDEX($Q240:$AJ240,1,(AY$4-1)*5+2)*INDEX($Q240:$AJ240,1,(AY$4-1)*5+3)</f>
        <v/>
      </c>
      <c r="BA240" s="23">
        <f>INDEX($Q240:$AJ240,1,(BA$4-1)*5+1)+BA$8*INDEX($Q240:$AJ240,1,(BA$4-1)*5+2)*INDEX($Q240:$AJ240,1,(BA$4-1)*5+3)</f>
        <v/>
      </c>
      <c r="BB240" s="22">
        <f>INDEX($Q240:$AJ240,1,(BB$4-1)*5+1)+BB$8*INDEX($Q240:$AJ240,1,(BB$4-1)*5+2)*INDEX($Q240:$AJ240,1,(BB$4-1)*5+3)</f>
        <v/>
      </c>
      <c r="BC240" s="22">
        <f>INDEX($Q240:$AJ240,1,(BC$4-1)*5+1)+BC$8*INDEX($Q240:$AJ240,1,(BC$4-1)*5+2)*INDEX($Q240:$AJ240,1,(BC$4-1)*5+3)</f>
        <v/>
      </c>
      <c r="BD240" s="22">
        <f>INDEX($Q240:$AJ240,1,(BD$4-1)*5+1)+BD$8*INDEX($Q240:$AJ240,1,(BD$4-1)*5+2)*INDEX($Q240:$AJ240,1,(BD$4-1)*5+3)</f>
        <v/>
      </c>
      <c r="BE240" s="22">
        <f>INDEX($Q240:$AJ240,1,(BE$4-1)*5+1)+BE$8*INDEX($Q240:$AJ240,1,(BE$4-1)*5+2)*INDEX($Q240:$AJ240,1,(BE$4-1)*5+3)</f>
        <v/>
      </c>
      <c r="BF240" s="22">
        <f>INDEX($Q240:$AJ240,1,(BF$4-1)*5+1)+BF$8*INDEX($Q240:$AJ240,1,(BF$4-1)*5+2)*INDEX($Q240:$AJ240,1,(BF$4-1)*5+3)</f>
        <v/>
      </c>
      <c r="BG240" s="22">
        <f>INDEX($Q240:$AJ240,1,(BG$4-1)*5+1)+BG$8*INDEX($Q240:$AJ240,1,(BG$4-1)*5+2)*INDEX($Q240:$AJ240,1,(BG$4-1)*5+3)</f>
        <v/>
      </c>
      <c r="BH240" s="22">
        <f>INDEX($Q240:$AJ240,1,(BH$4-1)*5+1)+BH$8*INDEX($Q240:$AJ240,1,(BH$4-1)*5+2)*INDEX($Q240:$AJ240,1,(BH$4-1)*5+3)</f>
        <v/>
      </c>
      <c r="BI240" s="22">
        <f>INDEX($Q240:$AJ240,1,(BI$4-1)*5+1)+BI$8*INDEX($Q240:$AJ240,1,(BI$4-1)*5+2)*INDEX($Q240:$AJ240,1,(BI$4-1)*5+3)</f>
        <v/>
      </c>
      <c r="BJ240" s="22">
        <f>INDEX($Q240:$AJ240,1,(BJ$4-1)*5+1)+BJ$8*INDEX($Q240:$AJ240,1,(BJ$4-1)*5+2)*INDEX($Q240:$AJ240,1,(BJ$4-1)*5+3)</f>
        <v/>
      </c>
      <c r="BK240" s="22">
        <f>INDEX($Q240:$AJ240,1,(BK$4-1)*5+1)+BK$8*INDEX($Q240:$AJ240,1,(BK$4-1)*5+2)*INDEX($Q240:$AJ240,1,(BK$4-1)*5+3)</f>
        <v/>
      </c>
      <c r="BL240" s="22">
        <f>INDEX($Q240:$AJ240,1,(BL$4-1)*5+1)+BL$8*INDEX($Q240:$AJ240,1,(BL$4-1)*5+2)*INDEX($Q240:$AJ240,1,(BL$4-1)*5+3)</f>
        <v/>
      </c>
      <c r="BM240" s="22">
        <f>INDEX($Q240:$AJ240,1,(BM$4-1)*5+1)+BM$8*INDEX($Q240:$AJ240,1,(BM$4-1)*5+2)*INDEX($Q240:$AJ240,1,(BM$4-1)*5+3)</f>
        <v/>
      </c>
      <c r="BN240" s="22">
        <f>INDEX($Q240:$AJ240,1,(BN$4-1)*5+1)+BN$8*INDEX($Q240:$AJ240,1,(BN$4-1)*5+2)*INDEX($Q240:$AJ240,1,(BN$4-1)*5+3)</f>
        <v/>
      </c>
    </row>
    <row r="241">
      <c r="B241" s="5" t="inlineStr">
        <is>
          <t>lpg</t>
        </is>
      </c>
      <c r="C241" s="5" t="inlineStr">
        <is>
          <t>omn</t>
        </is>
      </c>
      <c r="D241" s="5" t="inlineStr">
        <is>
          <t>Tax | Other manufacturing | LPG</t>
        </is>
      </c>
      <c r="E241" s="5" t="inlineStr">
        <is>
          <t>$/GJ</t>
        </is>
      </c>
      <c r="F241" s="5" t="inlineStr">
        <is>
          <t>Prices_dom, EF_GHG, Mapping</t>
        </is>
      </c>
      <c r="G241" s="19" t="inlineStr">
        <is>
          <t>mit.rp.lpg</t>
        </is>
      </c>
      <c r="H241" s="19" t="inlineStr">
        <is>
          <t>mit.tax.lpg.omn</t>
        </is>
      </c>
      <c r="J241" s="5">
        <f>INDEX(Mapping!$C$5:$C$20,MATCH($C241,Mapping!$A$5:$A$20,0))</f>
        <v/>
      </c>
      <c r="K241" s="5">
        <f>INDEX(Mapping!$D$5:$D$20,MATCH($C241,Mapping!$A$5:$A$20,0))</f>
        <v/>
      </c>
      <c r="L241" s="5">
        <f>INDEX(Mapping!$C$24:$C$31,MATCH($B241,Mapping!$A$24:$A$31,0))</f>
        <v/>
      </c>
      <c r="M241" s="5">
        <f>INDEX(Mapping!$D$24:$D$31,MATCH($B241,Mapping!$A$24:$A$31,0))</f>
        <v/>
      </c>
      <c r="N241" s="5">
        <f>$B241&amp;"."&amp;IF(INDEX(Mapping!$E$24:$E$31,MATCH($B241,Mapping!$A$24:$A$31,0))="sub",INDEX(Mapping!$F$5:$F$20,MATCH($C241,Mapping!$A$5:$A$20,0)),"all")</f>
        <v/>
      </c>
      <c r="O241" s="5">
        <f>INDEX(Mapping!$E$5:$E$20,MATCH($C241,Mapping!$A$5:$A$20,0))</f>
        <v/>
      </c>
      <c r="P241" s="5">
        <f>INDEX(Mapping!$G$24:$G$31,MATCH($B241,Mapping!$A$24:$A$31,0))</f>
        <v/>
      </c>
      <c r="Q241" s="22">
        <f>(INDEX(Prices_dom!$A$6:$CU$2000,MATCH(Settings!$C$4&amp;Settings!$C$7,Prices_dom!$A$6:$A$2000,0),MATCH("mit.rp."&amp;$N241,Prices_dom!$A$5:$CU$5,0))-INDEX(Prices_dom!$A$6:$CU$2000,MATCH(Settings!$C$4&amp;Settings!$C$7,Prices_dom!$A$6:$A$2000,0),MATCH("mit.sp."&amp;$N241,Prices_dom!$A$5:$CU$5,0)))/$P241</f>
        <v/>
      </c>
      <c r="R241" s="22">
        <f>INDEX(EF_GHG!$E$4:$E$1000,MATCH(Settings!$C$4&amp;"|"&amp;$B241&amp;"|"&amp;$O241,EF_GHG!$A$4:$A$1000,0))</f>
        <v/>
      </c>
      <c r="S241" s="22">
        <f>INDEX(Mapping!$G$5:$G$20,MATCH($C241,Mapping!$A$5:$A$20,0))</f>
        <v/>
      </c>
      <c r="T241" s="21" t="n"/>
      <c r="U241" s="21" t="n"/>
      <c r="V241" s="22">
        <f>Q241</f>
        <v/>
      </c>
      <c r="W241" s="22">
        <f>R241</f>
        <v/>
      </c>
      <c r="X241" s="22">
        <f>S241</f>
        <v/>
      </c>
      <c r="Y241" s="21" t="n"/>
      <c r="Z241" s="21" t="n"/>
      <c r="AA241" s="22">
        <f>Q241</f>
        <v/>
      </c>
      <c r="AB241" s="22">
        <f>R241</f>
        <v/>
      </c>
      <c r="AC241" s="22">
        <f>S241</f>
        <v/>
      </c>
      <c r="AD241" s="21" t="n"/>
      <c r="AE241" s="21" t="n"/>
      <c r="AF241" s="22">
        <f>Q241</f>
        <v/>
      </c>
      <c r="AG241" s="22">
        <f>R241</f>
        <v/>
      </c>
      <c r="AH241" s="22">
        <f>S241</f>
        <v/>
      </c>
      <c r="AI241" s="21" t="n"/>
      <c r="AJ241" s="21" t="n"/>
      <c r="AL241" s="23">
        <f>INDEX($Q241:$AJ241,1,(AL$4-1)*5+1)+AL$8*INDEX($Q241:$AJ241,1,(AL$4-1)*5+2)*INDEX($Q241:$AJ241,1,(AL$4-1)*5+3)</f>
        <v/>
      </c>
      <c r="AM241" s="22">
        <f>INDEX($Q241:$AJ241,1,(AM$4-1)*5+1)+AM$8*INDEX($Q241:$AJ241,1,(AM$4-1)*5+2)*INDEX($Q241:$AJ241,1,(AM$4-1)*5+3)</f>
        <v/>
      </c>
      <c r="AN241" s="22">
        <f>INDEX($Q241:$AJ241,1,(AN$4-1)*5+1)+AN$8*INDEX($Q241:$AJ241,1,(AN$4-1)*5+2)*INDEX($Q241:$AJ241,1,(AN$4-1)*5+3)</f>
        <v/>
      </c>
      <c r="AO241" s="22">
        <f>INDEX($Q241:$AJ241,1,(AO$4-1)*5+1)+AO$8*INDEX($Q241:$AJ241,1,(AO$4-1)*5+2)*INDEX($Q241:$AJ241,1,(AO$4-1)*5+3)</f>
        <v/>
      </c>
      <c r="AP241" s="22">
        <f>INDEX($Q241:$AJ241,1,(AP$4-1)*5+1)+AP$8*INDEX($Q241:$AJ241,1,(AP$4-1)*5+2)*INDEX($Q241:$AJ241,1,(AP$4-1)*5+3)</f>
        <v/>
      </c>
      <c r="AQ241" s="22">
        <f>INDEX($Q241:$AJ241,1,(AQ$4-1)*5+1)+AQ$8*INDEX($Q241:$AJ241,1,(AQ$4-1)*5+2)*INDEX($Q241:$AJ241,1,(AQ$4-1)*5+3)</f>
        <v/>
      </c>
      <c r="AR241" s="22">
        <f>INDEX($Q241:$AJ241,1,(AR$4-1)*5+1)+AR$8*INDEX($Q241:$AJ241,1,(AR$4-1)*5+2)*INDEX($Q241:$AJ241,1,(AR$4-1)*5+3)</f>
        <v/>
      </c>
      <c r="AS241" s="22">
        <f>INDEX($Q241:$AJ241,1,(AS$4-1)*5+1)+AS$8*INDEX($Q241:$AJ241,1,(AS$4-1)*5+2)*INDEX($Q241:$AJ241,1,(AS$4-1)*5+3)</f>
        <v/>
      </c>
      <c r="AT241" s="22">
        <f>INDEX($Q241:$AJ241,1,(AT$4-1)*5+1)+AT$8*INDEX($Q241:$AJ241,1,(AT$4-1)*5+2)*INDEX($Q241:$AJ241,1,(AT$4-1)*5+3)</f>
        <v/>
      </c>
      <c r="AU241" s="22">
        <f>INDEX($Q241:$AJ241,1,(AU$4-1)*5+1)+AU$8*INDEX($Q241:$AJ241,1,(AU$4-1)*5+2)*INDEX($Q241:$AJ241,1,(AU$4-1)*5+3)</f>
        <v/>
      </c>
      <c r="AV241" s="22">
        <f>INDEX($Q241:$AJ241,1,(AV$4-1)*5+1)+AV$8*INDEX($Q241:$AJ241,1,(AV$4-1)*5+2)*INDEX($Q241:$AJ241,1,(AV$4-1)*5+3)</f>
        <v/>
      </c>
      <c r="AW241" s="22">
        <f>INDEX($Q241:$AJ241,1,(AW$4-1)*5+1)+AW$8*INDEX($Q241:$AJ241,1,(AW$4-1)*5+2)*INDEX($Q241:$AJ241,1,(AW$4-1)*5+3)</f>
        <v/>
      </c>
      <c r="AX241" s="22">
        <f>INDEX($Q241:$AJ241,1,(AX$4-1)*5+1)+AX$8*INDEX($Q241:$AJ241,1,(AX$4-1)*5+2)*INDEX($Q241:$AJ241,1,(AX$4-1)*5+3)</f>
        <v/>
      </c>
      <c r="AY241" s="22">
        <f>INDEX($Q241:$AJ241,1,(AY$4-1)*5+1)+AY$8*INDEX($Q241:$AJ241,1,(AY$4-1)*5+2)*INDEX($Q241:$AJ241,1,(AY$4-1)*5+3)</f>
        <v/>
      </c>
      <c r="BA241" s="23">
        <f>INDEX($Q241:$AJ241,1,(BA$4-1)*5+1)+BA$8*INDEX($Q241:$AJ241,1,(BA$4-1)*5+2)*INDEX($Q241:$AJ241,1,(BA$4-1)*5+3)</f>
        <v/>
      </c>
      <c r="BB241" s="22">
        <f>INDEX($Q241:$AJ241,1,(BB$4-1)*5+1)+BB$8*INDEX($Q241:$AJ241,1,(BB$4-1)*5+2)*INDEX($Q241:$AJ241,1,(BB$4-1)*5+3)</f>
        <v/>
      </c>
      <c r="BC241" s="22">
        <f>INDEX($Q241:$AJ241,1,(BC$4-1)*5+1)+BC$8*INDEX($Q241:$AJ241,1,(BC$4-1)*5+2)*INDEX($Q241:$AJ241,1,(BC$4-1)*5+3)</f>
        <v/>
      </c>
      <c r="BD241" s="22">
        <f>INDEX($Q241:$AJ241,1,(BD$4-1)*5+1)+BD$8*INDEX($Q241:$AJ241,1,(BD$4-1)*5+2)*INDEX($Q241:$AJ241,1,(BD$4-1)*5+3)</f>
        <v/>
      </c>
      <c r="BE241" s="22">
        <f>INDEX($Q241:$AJ241,1,(BE$4-1)*5+1)+BE$8*INDEX($Q241:$AJ241,1,(BE$4-1)*5+2)*INDEX($Q241:$AJ241,1,(BE$4-1)*5+3)</f>
        <v/>
      </c>
      <c r="BF241" s="22">
        <f>INDEX($Q241:$AJ241,1,(BF$4-1)*5+1)+BF$8*INDEX($Q241:$AJ241,1,(BF$4-1)*5+2)*INDEX($Q241:$AJ241,1,(BF$4-1)*5+3)</f>
        <v/>
      </c>
      <c r="BG241" s="22">
        <f>INDEX($Q241:$AJ241,1,(BG$4-1)*5+1)+BG$8*INDEX($Q241:$AJ241,1,(BG$4-1)*5+2)*INDEX($Q241:$AJ241,1,(BG$4-1)*5+3)</f>
        <v/>
      </c>
      <c r="BH241" s="22">
        <f>INDEX($Q241:$AJ241,1,(BH$4-1)*5+1)+BH$8*INDEX($Q241:$AJ241,1,(BH$4-1)*5+2)*INDEX($Q241:$AJ241,1,(BH$4-1)*5+3)</f>
        <v/>
      </c>
      <c r="BI241" s="22">
        <f>INDEX($Q241:$AJ241,1,(BI$4-1)*5+1)+BI$8*INDEX($Q241:$AJ241,1,(BI$4-1)*5+2)*INDEX($Q241:$AJ241,1,(BI$4-1)*5+3)</f>
        <v/>
      </c>
      <c r="BJ241" s="22">
        <f>INDEX($Q241:$AJ241,1,(BJ$4-1)*5+1)+BJ$8*INDEX($Q241:$AJ241,1,(BJ$4-1)*5+2)*INDEX($Q241:$AJ241,1,(BJ$4-1)*5+3)</f>
        <v/>
      </c>
      <c r="BK241" s="22">
        <f>INDEX($Q241:$AJ241,1,(BK$4-1)*5+1)+BK$8*INDEX($Q241:$AJ241,1,(BK$4-1)*5+2)*INDEX($Q241:$AJ241,1,(BK$4-1)*5+3)</f>
        <v/>
      </c>
      <c r="BL241" s="22">
        <f>INDEX($Q241:$AJ241,1,(BL$4-1)*5+1)+BL$8*INDEX($Q241:$AJ241,1,(BL$4-1)*5+2)*INDEX($Q241:$AJ241,1,(BL$4-1)*5+3)</f>
        <v/>
      </c>
      <c r="BM241" s="22">
        <f>INDEX($Q241:$AJ241,1,(BM$4-1)*5+1)+BM$8*INDEX($Q241:$AJ241,1,(BM$4-1)*5+2)*INDEX($Q241:$AJ241,1,(BM$4-1)*5+3)</f>
        <v/>
      </c>
      <c r="BN241" s="22">
        <f>INDEX($Q241:$AJ241,1,(BN$4-1)*5+1)+BN$8*INDEX($Q241:$AJ241,1,(BN$4-1)*5+2)*INDEX($Q241:$AJ241,1,(BN$4-1)*5+3)</f>
        <v/>
      </c>
    </row>
    <row r="242">
      <c r="B242" s="5" t="inlineStr">
        <is>
          <t>ker</t>
        </is>
      </c>
      <c r="C242" s="5" t="inlineStr">
        <is>
          <t>omn</t>
        </is>
      </c>
      <c r="D242" s="5" t="inlineStr">
        <is>
          <t>Tax | Other manufacturing | Kerosene</t>
        </is>
      </c>
      <c r="E242" s="5" t="inlineStr">
        <is>
          <t>$/GJ</t>
        </is>
      </c>
      <c r="F242" s="5" t="inlineStr">
        <is>
          <t>Prices_dom, EF_GHG, Mapping</t>
        </is>
      </c>
      <c r="G242" s="19" t="inlineStr">
        <is>
          <t>mit.rp.ker</t>
        </is>
      </c>
      <c r="H242" s="19" t="inlineStr">
        <is>
          <t>mit.tax.ker.omn</t>
        </is>
      </c>
      <c r="J242" s="5">
        <f>INDEX(Mapping!$C$5:$C$20,MATCH($C242,Mapping!$A$5:$A$20,0))</f>
        <v/>
      </c>
      <c r="K242" s="5">
        <f>INDEX(Mapping!$D$5:$D$20,MATCH($C242,Mapping!$A$5:$A$20,0))</f>
        <v/>
      </c>
      <c r="L242" s="5">
        <f>INDEX(Mapping!$C$24:$C$31,MATCH($B242,Mapping!$A$24:$A$31,0))</f>
        <v/>
      </c>
      <c r="M242" s="5">
        <f>INDEX(Mapping!$D$24:$D$31,MATCH($B242,Mapping!$A$24:$A$31,0))</f>
        <v/>
      </c>
      <c r="N242" s="5">
        <f>$B242&amp;"."&amp;IF(INDEX(Mapping!$E$24:$E$31,MATCH($B242,Mapping!$A$24:$A$31,0))="sub",INDEX(Mapping!$F$5:$F$20,MATCH($C242,Mapping!$A$5:$A$20,0)),"all")</f>
        <v/>
      </c>
      <c r="O242" s="5">
        <f>INDEX(Mapping!$E$5:$E$20,MATCH($C242,Mapping!$A$5:$A$20,0))</f>
        <v/>
      </c>
      <c r="P242" s="5">
        <f>INDEX(Mapping!$G$24:$G$31,MATCH($B242,Mapping!$A$24:$A$31,0))</f>
        <v/>
      </c>
      <c r="Q242" s="22">
        <f>(INDEX(Prices_dom!$A$6:$CU$2000,MATCH(Settings!$C$4&amp;Settings!$C$7,Prices_dom!$A$6:$A$2000,0),MATCH("mit.rp."&amp;$N242,Prices_dom!$A$5:$CU$5,0))-INDEX(Prices_dom!$A$6:$CU$2000,MATCH(Settings!$C$4&amp;Settings!$C$7,Prices_dom!$A$6:$A$2000,0),MATCH("mit.sp."&amp;$N242,Prices_dom!$A$5:$CU$5,0)))/$P242</f>
        <v/>
      </c>
      <c r="R242" s="22">
        <f>INDEX(EF_GHG!$E$4:$E$1000,MATCH(Settings!$C$4&amp;"|"&amp;$B242&amp;"|"&amp;$O242,EF_GHG!$A$4:$A$1000,0))</f>
        <v/>
      </c>
      <c r="S242" s="22">
        <f>INDEX(Mapping!$G$5:$G$20,MATCH($C242,Mapping!$A$5:$A$20,0))</f>
        <v/>
      </c>
      <c r="T242" s="21" t="n"/>
      <c r="U242" s="21" t="n"/>
      <c r="V242" s="22">
        <f>Q242</f>
        <v/>
      </c>
      <c r="W242" s="22">
        <f>R242</f>
        <v/>
      </c>
      <c r="X242" s="22">
        <f>S242</f>
        <v/>
      </c>
      <c r="Y242" s="21" t="n"/>
      <c r="Z242" s="21" t="n"/>
      <c r="AA242" s="22">
        <f>Q242</f>
        <v/>
      </c>
      <c r="AB242" s="22">
        <f>R242</f>
        <v/>
      </c>
      <c r="AC242" s="22">
        <f>S242</f>
        <v/>
      </c>
      <c r="AD242" s="21" t="n"/>
      <c r="AE242" s="21" t="n"/>
      <c r="AF242" s="22">
        <f>Q242</f>
        <v/>
      </c>
      <c r="AG242" s="22">
        <f>R242</f>
        <v/>
      </c>
      <c r="AH242" s="22">
        <f>S242</f>
        <v/>
      </c>
      <c r="AI242" s="21" t="n"/>
      <c r="AJ242" s="21" t="n"/>
      <c r="AL242" s="23">
        <f>INDEX($Q242:$AJ242,1,(AL$4-1)*5+1)+AL$8*INDEX($Q242:$AJ242,1,(AL$4-1)*5+2)*INDEX($Q242:$AJ242,1,(AL$4-1)*5+3)</f>
        <v/>
      </c>
      <c r="AM242" s="22">
        <f>INDEX($Q242:$AJ242,1,(AM$4-1)*5+1)+AM$8*INDEX($Q242:$AJ242,1,(AM$4-1)*5+2)*INDEX($Q242:$AJ242,1,(AM$4-1)*5+3)</f>
        <v/>
      </c>
      <c r="AN242" s="22">
        <f>INDEX($Q242:$AJ242,1,(AN$4-1)*5+1)+AN$8*INDEX($Q242:$AJ242,1,(AN$4-1)*5+2)*INDEX($Q242:$AJ242,1,(AN$4-1)*5+3)</f>
        <v/>
      </c>
      <c r="AO242" s="22">
        <f>INDEX($Q242:$AJ242,1,(AO$4-1)*5+1)+AO$8*INDEX($Q242:$AJ242,1,(AO$4-1)*5+2)*INDEX($Q242:$AJ242,1,(AO$4-1)*5+3)</f>
        <v/>
      </c>
      <c r="AP242" s="22">
        <f>INDEX($Q242:$AJ242,1,(AP$4-1)*5+1)+AP$8*INDEX($Q242:$AJ242,1,(AP$4-1)*5+2)*INDEX($Q242:$AJ242,1,(AP$4-1)*5+3)</f>
        <v/>
      </c>
      <c r="AQ242" s="22">
        <f>INDEX($Q242:$AJ242,1,(AQ$4-1)*5+1)+AQ$8*INDEX($Q242:$AJ242,1,(AQ$4-1)*5+2)*INDEX($Q242:$AJ242,1,(AQ$4-1)*5+3)</f>
        <v/>
      </c>
      <c r="AR242" s="22">
        <f>INDEX($Q242:$AJ242,1,(AR$4-1)*5+1)+AR$8*INDEX($Q242:$AJ242,1,(AR$4-1)*5+2)*INDEX($Q242:$AJ242,1,(AR$4-1)*5+3)</f>
        <v/>
      </c>
      <c r="AS242" s="22">
        <f>INDEX($Q242:$AJ242,1,(AS$4-1)*5+1)+AS$8*INDEX($Q242:$AJ242,1,(AS$4-1)*5+2)*INDEX($Q242:$AJ242,1,(AS$4-1)*5+3)</f>
        <v/>
      </c>
      <c r="AT242" s="22">
        <f>INDEX($Q242:$AJ242,1,(AT$4-1)*5+1)+AT$8*INDEX($Q242:$AJ242,1,(AT$4-1)*5+2)*INDEX($Q242:$AJ242,1,(AT$4-1)*5+3)</f>
        <v/>
      </c>
      <c r="AU242" s="22">
        <f>INDEX($Q242:$AJ242,1,(AU$4-1)*5+1)+AU$8*INDEX($Q242:$AJ242,1,(AU$4-1)*5+2)*INDEX($Q242:$AJ242,1,(AU$4-1)*5+3)</f>
        <v/>
      </c>
      <c r="AV242" s="22">
        <f>INDEX($Q242:$AJ242,1,(AV$4-1)*5+1)+AV$8*INDEX($Q242:$AJ242,1,(AV$4-1)*5+2)*INDEX($Q242:$AJ242,1,(AV$4-1)*5+3)</f>
        <v/>
      </c>
      <c r="AW242" s="22">
        <f>INDEX($Q242:$AJ242,1,(AW$4-1)*5+1)+AW$8*INDEX($Q242:$AJ242,1,(AW$4-1)*5+2)*INDEX($Q242:$AJ242,1,(AW$4-1)*5+3)</f>
        <v/>
      </c>
      <c r="AX242" s="22">
        <f>INDEX($Q242:$AJ242,1,(AX$4-1)*5+1)+AX$8*INDEX($Q242:$AJ242,1,(AX$4-1)*5+2)*INDEX($Q242:$AJ242,1,(AX$4-1)*5+3)</f>
        <v/>
      </c>
      <c r="AY242" s="22">
        <f>INDEX($Q242:$AJ242,1,(AY$4-1)*5+1)+AY$8*INDEX($Q242:$AJ242,1,(AY$4-1)*5+2)*INDEX($Q242:$AJ242,1,(AY$4-1)*5+3)</f>
        <v/>
      </c>
      <c r="BA242" s="23">
        <f>INDEX($Q242:$AJ242,1,(BA$4-1)*5+1)+BA$8*INDEX($Q242:$AJ242,1,(BA$4-1)*5+2)*INDEX($Q242:$AJ242,1,(BA$4-1)*5+3)</f>
        <v/>
      </c>
      <c r="BB242" s="22">
        <f>INDEX($Q242:$AJ242,1,(BB$4-1)*5+1)+BB$8*INDEX($Q242:$AJ242,1,(BB$4-1)*5+2)*INDEX($Q242:$AJ242,1,(BB$4-1)*5+3)</f>
        <v/>
      </c>
      <c r="BC242" s="22">
        <f>INDEX($Q242:$AJ242,1,(BC$4-1)*5+1)+BC$8*INDEX($Q242:$AJ242,1,(BC$4-1)*5+2)*INDEX($Q242:$AJ242,1,(BC$4-1)*5+3)</f>
        <v/>
      </c>
      <c r="BD242" s="22">
        <f>INDEX($Q242:$AJ242,1,(BD$4-1)*5+1)+BD$8*INDEX($Q242:$AJ242,1,(BD$4-1)*5+2)*INDEX($Q242:$AJ242,1,(BD$4-1)*5+3)</f>
        <v/>
      </c>
      <c r="BE242" s="22">
        <f>INDEX($Q242:$AJ242,1,(BE$4-1)*5+1)+BE$8*INDEX($Q242:$AJ242,1,(BE$4-1)*5+2)*INDEX($Q242:$AJ242,1,(BE$4-1)*5+3)</f>
        <v/>
      </c>
      <c r="BF242" s="22">
        <f>INDEX($Q242:$AJ242,1,(BF$4-1)*5+1)+BF$8*INDEX($Q242:$AJ242,1,(BF$4-1)*5+2)*INDEX($Q242:$AJ242,1,(BF$4-1)*5+3)</f>
        <v/>
      </c>
      <c r="BG242" s="22">
        <f>INDEX($Q242:$AJ242,1,(BG$4-1)*5+1)+BG$8*INDEX($Q242:$AJ242,1,(BG$4-1)*5+2)*INDEX($Q242:$AJ242,1,(BG$4-1)*5+3)</f>
        <v/>
      </c>
      <c r="BH242" s="22">
        <f>INDEX($Q242:$AJ242,1,(BH$4-1)*5+1)+BH$8*INDEX($Q242:$AJ242,1,(BH$4-1)*5+2)*INDEX($Q242:$AJ242,1,(BH$4-1)*5+3)</f>
        <v/>
      </c>
      <c r="BI242" s="22">
        <f>INDEX($Q242:$AJ242,1,(BI$4-1)*5+1)+BI$8*INDEX($Q242:$AJ242,1,(BI$4-1)*5+2)*INDEX($Q242:$AJ242,1,(BI$4-1)*5+3)</f>
        <v/>
      </c>
      <c r="BJ242" s="22">
        <f>INDEX($Q242:$AJ242,1,(BJ$4-1)*5+1)+BJ$8*INDEX($Q242:$AJ242,1,(BJ$4-1)*5+2)*INDEX($Q242:$AJ242,1,(BJ$4-1)*5+3)</f>
        <v/>
      </c>
      <c r="BK242" s="22">
        <f>INDEX($Q242:$AJ242,1,(BK$4-1)*5+1)+BK$8*INDEX($Q242:$AJ242,1,(BK$4-1)*5+2)*INDEX($Q242:$AJ242,1,(BK$4-1)*5+3)</f>
        <v/>
      </c>
      <c r="BL242" s="22">
        <f>INDEX($Q242:$AJ242,1,(BL$4-1)*5+1)+BL$8*INDEX($Q242:$AJ242,1,(BL$4-1)*5+2)*INDEX($Q242:$AJ242,1,(BL$4-1)*5+3)</f>
        <v/>
      </c>
      <c r="BM242" s="22">
        <f>INDEX($Q242:$AJ242,1,(BM$4-1)*5+1)+BM$8*INDEX($Q242:$AJ242,1,(BM$4-1)*5+2)*INDEX($Q242:$AJ242,1,(BM$4-1)*5+3)</f>
        <v/>
      </c>
      <c r="BN242" s="22">
        <f>INDEX($Q242:$AJ242,1,(BN$4-1)*5+1)+BN$8*INDEX($Q242:$AJ242,1,(BN$4-1)*5+2)*INDEX($Q242:$AJ242,1,(BN$4-1)*5+3)</f>
        <v/>
      </c>
    </row>
    <row r="243">
      <c r="B243" s="5" t="inlineStr">
        <is>
          <t>oop</t>
        </is>
      </c>
      <c r="C243" s="5" t="inlineStr">
        <is>
          <t>omn</t>
        </is>
      </c>
      <c r="D243" s="5" t="inlineStr">
        <is>
          <t>Tax | Other manufacturing | Other oil products</t>
        </is>
      </c>
      <c r="E243" s="5" t="inlineStr">
        <is>
          <t>$/GJ</t>
        </is>
      </c>
      <c r="F243" s="5" t="inlineStr">
        <is>
          <t>Prices_dom, EF_GHG, Mapping</t>
        </is>
      </c>
      <c r="G243" s="19" t="inlineStr">
        <is>
          <t>mit.rp.oop</t>
        </is>
      </c>
      <c r="H243" s="19" t="inlineStr">
        <is>
          <t>mit.tax.oop.omn</t>
        </is>
      </c>
      <c r="J243" s="5">
        <f>INDEX(Mapping!$C$5:$C$20,MATCH($C243,Mapping!$A$5:$A$20,0))</f>
        <v/>
      </c>
      <c r="K243" s="5">
        <f>INDEX(Mapping!$D$5:$D$20,MATCH($C243,Mapping!$A$5:$A$20,0))</f>
        <v/>
      </c>
      <c r="L243" s="5">
        <f>INDEX(Mapping!$C$24:$C$31,MATCH($B243,Mapping!$A$24:$A$31,0))</f>
        <v/>
      </c>
      <c r="M243" s="5">
        <f>INDEX(Mapping!$D$24:$D$31,MATCH($B243,Mapping!$A$24:$A$31,0))</f>
        <v/>
      </c>
      <c r="N243" s="5">
        <f>$B243&amp;"."&amp;IF(INDEX(Mapping!$E$24:$E$31,MATCH($B243,Mapping!$A$24:$A$31,0))="sub",INDEX(Mapping!$F$5:$F$20,MATCH($C243,Mapping!$A$5:$A$20,0)),"all")</f>
        <v/>
      </c>
      <c r="O243" s="5">
        <f>INDEX(Mapping!$E$5:$E$20,MATCH($C243,Mapping!$A$5:$A$20,0))</f>
        <v/>
      </c>
      <c r="P243" s="5">
        <f>INDEX(Mapping!$G$24:$G$31,MATCH($B243,Mapping!$A$24:$A$31,0))</f>
        <v/>
      </c>
      <c r="Q243" s="22">
        <f>(INDEX(Prices_dom!$A$6:$CU$2000,MATCH(Settings!$C$4&amp;Settings!$C$7,Prices_dom!$A$6:$A$2000,0),MATCH("mit.rp."&amp;$N243,Prices_dom!$A$5:$CU$5,0))-INDEX(Prices_dom!$A$6:$CU$2000,MATCH(Settings!$C$4&amp;Settings!$C$7,Prices_dom!$A$6:$A$2000,0),MATCH("mit.sp."&amp;$N243,Prices_dom!$A$5:$CU$5,0)))/$P243</f>
        <v/>
      </c>
      <c r="R243" s="22">
        <f>INDEX(EF_GHG!$E$4:$E$1000,MATCH(Settings!$C$4&amp;"|"&amp;$B243&amp;"|"&amp;$O243,EF_GHG!$A$4:$A$1000,0))</f>
        <v/>
      </c>
      <c r="S243" s="22">
        <f>INDEX(Mapping!$G$5:$G$20,MATCH($C243,Mapping!$A$5:$A$20,0))</f>
        <v/>
      </c>
      <c r="T243" s="21" t="n"/>
      <c r="U243" s="21" t="n"/>
      <c r="V243" s="22">
        <f>Q243</f>
        <v/>
      </c>
      <c r="W243" s="22">
        <f>R243</f>
        <v/>
      </c>
      <c r="X243" s="22">
        <f>S243</f>
        <v/>
      </c>
      <c r="Y243" s="21" t="n"/>
      <c r="Z243" s="21" t="n"/>
      <c r="AA243" s="22">
        <f>Q243</f>
        <v/>
      </c>
      <c r="AB243" s="22">
        <f>R243</f>
        <v/>
      </c>
      <c r="AC243" s="22">
        <f>S243</f>
        <v/>
      </c>
      <c r="AD243" s="21" t="n"/>
      <c r="AE243" s="21" t="n"/>
      <c r="AF243" s="22">
        <f>Q243</f>
        <v/>
      </c>
      <c r="AG243" s="22">
        <f>R243</f>
        <v/>
      </c>
      <c r="AH243" s="22">
        <f>S243</f>
        <v/>
      </c>
      <c r="AI243" s="21" t="n"/>
      <c r="AJ243" s="21" t="n"/>
      <c r="AL243" s="23">
        <f>INDEX($Q243:$AJ243,1,(AL$4-1)*5+1)+AL$8*INDEX($Q243:$AJ243,1,(AL$4-1)*5+2)*INDEX($Q243:$AJ243,1,(AL$4-1)*5+3)</f>
        <v/>
      </c>
      <c r="AM243" s="22">
        <f>INDEX($Q243:$AJ243,1,(AM$4-1)*5+1)+AM$8*INDEX($Q243:$AJ243,1,(AM$4-1)*5+2)*INDEX($Q243:$AJ243,1,(AM$4-1)*5+3)</f>
        <v/>
      </c>
      <c r="AN243" s="22">
        <f>INDEX($Q243:$AJ243,1,(AN$4-1)*5+1)+AN$8*INDEX($Q243:$AJ243,1,(AN$4-1)*5+2)*INDEX($Q243:$AJ243,1,(AN$4-1)*5+3)</f>
        <v/>
      </c>
      <c r="AO243" s="22">
        <f>INDEX($Q243:$AJ243,1,(AO$4-1)*5+1)+AO$8*INDEX($Q243:$AJ243,1,(AO$4-1)*5+2)*INDEX($Q243:$AJ243,1,(AO$4-1)*5+3)</f>
        <v/>
      </c>
      <c r="AP243" s="22">
        <f>INDEX($Q243:$AJ243,1,(AP$4-1)*5+1)+AP$8*INDEX($Q243:$AJ243,1,(AP$4-1)*5+2)*INDEX($Q243:$AJ243,1,(AP$4-1)*5+3)</f>
        <v/>
      </c>
      <c r="AQ243" s="22">
        <f>INDEX($Q243:$AJ243,1,(AQ$4-1)*5+1)+AQ$8*INDEX($Q243:$AJ243,1,(AQ$4-1)*5+2)*INDEX($Q243:$AJ243,1,(AQ$4-1)*5+3)</f>
        <v/>
      </c>
      <c r="AR243" s="22">
        <f>INDEX($Q243:$AJ243,1,(AR$4-1)*5+1)+AR$8*INDEX($Q243:$AJ243,1,(AR$4-1)*5+2)*INDEX($Q243:$AJ243,1,(AR$4-1)*5+3)</f>
        <v/>
      </c>
      <c r="AS243" s="22">
        <f>INDEX($Q243:$AJ243,1,(AS$4-1)*5+1)+AS$8*INDEX($Q243:$AJ243,1,(AS$4-1)*5+2)*INDEX($Q243:$AJ243,1,(AS$4-1)*5+3)</f>
        <v/>
      </c>
      <c r="AT243" s="22">
        <f>INDEX($Q243:$AJ243,1,(AT$4-1)*5+1)+AT$8*INDEX($Q243:$AJ243,1,(AT$4-1)*5+2)*INDEX($Q243:$AJ243,1,(AT$4-1)*5+3)</f>
        <v/>
      </c>
      <c r="AU243" s="22">
        <f>INDEX($Q243:$AJ243,1,(AU$4-1)*5+1)+AU$8*INDEX($Q243:$AJ243,1,(AU$4-1)*5+2)*INDEX($Q243:$AJ243,1,(AU$4-1)*5+3)</f>
        <v/>
      </c>
      <c r="AV243" s="22">
        <f>INDEX($Q243:$AJ243,1,(AV$4-1)*5+1)+AV$8*INDEX($Q243:$AJ243,1,(AV$4-1)*5+2)*INDEX($Q243:$AJ243,1,(AV$4-1)*5+3)</f>
        <v/>
      </c>
      <c r="AW243" s="22">
        <f>INDEX($Q243:$AJ243,1,(AW$4-1)*5+1)+AW$8*INDEX($Q243:$AJ243,1,(AW$4-1)*5+2)*INDEX($Q243:$AJ243,1,(AW$4-1)*5+3)</f>
        <v/>
      </c>
      <c r="AX243" s="22">
        <f>INDEX($Q243:$AJ243,1,(AX$4-1)*5+1)+AX$8*INDEX($Q243:$AJ243,1,(AX$4-1)*5+2)*INDEX($Q243:$AJ243,1,(AX$4-1)*5+3)</f>
        <v/>
      </c>
      <c r="AY243" s="22">
        <f>INDEX($Q243:$AJ243,1,(AY$4-1)*5+1)+AY$8*INDEX($Q243:$AJ243,1,(AY$4-1)*5+2)*INDEX($Q243:$AJ243,1,(AY$4-1)*5+3)</f>
        <v/>
      </c>
      <c r="BA243" s="23">
        <f>INDEX($Q243:$AJ243,1,(BA$4-1)*5+1)+BA$8*INDEX($Q243:$AJ243,1,(BA$4-1)*5+2)*INDEX($Q243:$AJ243,1,(BA$4-1)*5+3)</f>
        <v/>
      </c>
      <c r="BB243" s="22">
        <f>INDEX($Q243:$AJ243,1,(BB$4-1)*5+1)+BB$8*INDEX($Q243:$AJ243,1,(BB$4-1)*5+2)*INDEX($Q243:$AJ243,1,(BB$4-1)*5+3)</f>
        <v/>
      </c>
      <c r="BC243" s="22">
        <f>INDEX($Q243:$AJ243,1,(BC$4-1)*5+1)+BC$8*INDEX($Q243:$AJ243,1,(BC$4-1)*5+2)*INDEX($Q243:$AJ243,1,(BC$4-1)*5+3)</f>
        <v/>
      </c>
      <c r="BD243" s="22">
        <f>INDEX($Q243:$AJ243,1,(BD$4-1)*5+1)+BD$8*INDEX($Q243:$AJ243,1,(BD$4-1)*5+2)*INDEX($Q243:$AJ243,1,(BD$4-1)*5+3)</f>
        <v/>
      </c>
      <c r="BE243" s="22">
        <f>INDEX($Q243:$AJ243,1,(BE$4-1)*5+1)+BE$8*INDEX($Q243:$AJ243,1,(BE$4-1)*5+2)*INDEX($Q243:$AJ243,1,(BE$4-1)*5+3)</f>
        <v/>
      </c>
      <c r="BF243" s="22">
        <f>INDEX($Q243:$AJ243,1,(BF$4-1)*5+1)+BF$8*INDEX($Q243:$AJ243,1,(BF$4-1)*5+2)*INDEX($Q243:$AJ243,1,(BF$4-1)*5+3)</f>
        <v/>
      </c>
      <c r="BG243" s="22">
        <f>INDEX($Q243:$AJ243,1,(BG$4-1)*5+1)+BG$8*INDEX($Q243:$AJ243,1,(BG$4-1)*5+2)*INDEX($Q243:$AJ243,1,(BG$4-1)*5+3)</f>
        <v/>
      </c>
      <c r="BH243" s="22">
        <f>INDEX($Q243:$AJ243,1,(BH$4-1)*5+1)+BH$8*INDEX($Q243:$AJ243,1,(BH$4-1)*5+2)*INDEX($Q243:$AJ243,1,(BH$4-1)*5+3)</f>
        <v/>
      </c>
      <c r="BI243" s="22">
        <f>INDEX($Q243:$AJ243,1,(BI$4-1)*5+1)+BI$8*INDEX($Q243:$AJ243,1,(BI$4-1)*5+2)*INDEX($Q243:$AJ243,1,(BI$4-1)*5+3)</f>
        <v/>
      </c>
      <c r="BJ243" s="22">
        <f>INDEX($Q243:$AJ243,1,(BJ$4-1)*5+1)+BJ$8*INDEX($Q243:$AJ243,1,(BJ$4-1)*5+2)*INDEX($Q243:$AJ243,1,(BJ$4-1)*5+3)</f>
        <v/>
      </c>
      <c r="BK243" s="22">
        <f>INDEX($Q243:$AJ243,1,(BK$4-1)*5+1)+BK$8*INDEX($Q243:$AJ243,1,(BK$4-1)*5+2)*INDEX($Q243:$AJ243,1,(BK$4-1)*5+3)</f>
        <v/>
      </c>
      <c r="BL243" s="22">
        <f>INDEX($Q243:$AJ243,1,(BL$4-1)*5+1)+BL$8*INDEX($Q243:$AJ243,1,(BL$4-1)*5+2)*INDEX($Q243:$AJ243,1,(BL$4-1)*5+3)</f>
        <v/>
      </c>
      <c r="BM243" s="22">
        <f>INDEX($Q243:$AJ243,1,(BM$4-1)*5+1)+BM$8*INDEX($Q243:$AJ243,1,(BM$4-1)*5+2)*INDEX($Q243:$AJ243,1,(BM$4-1)*5+3)</f>
        <v/>
      </c>
      <c r="BN243" s="22">
        <f>INDEX($Q243:$AJ243,1,(BN$4-1)*5+1)+BN$8*INDEX($Q243:$AJ243,1,(BN$4-1)*5+2)*INDEX($Q243:$AJ243,1,(BN$4-1)*5+3)</f>
        <v/>
      </c>
    </row>
    <row r="244">
      <c r="B244" s="5" t="inlineStr">
        <is>
          <t>bio</t>
        </is>
      </c>
      <c r="C244" s="5" t="inlineStr">
        <is>
          <t>omn</t>
        </is>
      </c>
      <c r="D244" s="5" t="inlineStr">
        <is>
          <t>Tax | Other manufacturing | Biomass</t>
        </is>
      </c>
      <c r="E244" s="5" t="inlineStr">
        <is>
          <t>$/GJ</t>
        </is>
      </c>
      <c r="F244" s="5" t="inlineStr">
        <is>
          <t>Prices_dom, EF_GHG, Mapping</t>
        </is>
      </c>
      <c r="G244" s="19" t="inlineStr">
        <is>
          <t>mit.rp.bio</t>
        </is>
      </c>
      <c r="H244" s="19" t="inlineStr">
        <is>
          <t>mit.tax.bio.omn</t>
        </is>
      </c>
      <c r="J244" s="5">
        <f>INDEX(Mapping!$C$5:$C$20,MATCH($C244,Mapping!$A$5:$A$20,0))</f>
        <v/>
      </c>
      <c r="K244" s="5">
        <f>INDEX(Mapping!$D$5:$D$20,MATCH($C244,Mapping!$A$5:$A$20,0))</f>
        <v/>
      </c>
      <c r="L244" s="5">
        <f>INDEX(Mapping!$C$24:$C$31,MATCH($B244,Mapping!$A$24:$A$31,0))</f>
        <v/>
      </c>
      <c r="M244" s="5">
        <f>INDEX(Mapping!$D$24:$D$31,MATCH($B244,Mapping!$A$24:$A$31,0))</f>
        <v/>
      </c>
      <c r="N244" s="5">
        <f>$B244&amp;"."&amp;IF(INDEX(Mapping!$E$24:$E$31,MATCH($B244,Mapping!$A$24:$A$31,0))="sub",INDEX(Mapping!$F$5:$F$20,MATCH($C244,Mapping!$A$5:$A$20,0)),"all")</f>
        <v/>
      </c>
      <c r="O244" s="5">
        <f>INDEX(Mapping!$E$5:$E$20,MATCH($C244,Mapping!$A$5:$A$20,0))</f>
        <v/>
      </c>
      <c r="P244" s="5">
        <f>INDEX(Mapping!$G$24:$G$31,MATCH($B244,Mapping!$A$24:$A$31,0))</f>
        <v/>
      </c>
      <c r="Q244" s="22">
        <f>(INDEX(Prices_dom!$A$6:$CU$2000,MATCH(Settings!$C$4&amp;Settings!$C$7,Prices_dom!$A$6:$A$2000,0),MATCH("mit.rp."&amp;$N244,Prices_dom!$A$5:$CU$5,0))-INDEX(Prices_dom!$A$6:$CU$2000,MATCH(Settings!$C$4&amp;Settings!$C$7,Prices_dom!$A$6:$A$2000,0),MATCH("mit.sp."&amp;$N244,Prices_dom!$A$5:$CU$5,0)))/$P244</f>
        <v/>
      </c>
      <c r="R244" s="22">
        <f>INDEX(EF_GHG!$E$4:$E$1000,MATCH(Settings!$C$4&amp;"|"&amp;$B244&amp;"|"&amp;$O244,EF_GHG!$A$4:$A$1000,0))</f>
        <v/>
      </c>
      <c r="S244" s="22">
        <f>INDEX(Mapping!$G$5:$G$20,MATCH($C244,Mapping!$A$5:$A$20,0))</f>
        <v/>
      </c>
      <c r="T244" s="21" t="n"/>
      <c r="U244" s="21" t="n"/>
      <c r="V244" s="22">
        <f>Q244</f>
        <v/>
      </c>
      <c r="W244" s="22">
        <f>R244</f>
        <v/>
      </c>
      <c r="X244" s="22">
        <f>S244</f>
        <v/>
      </c>
      <c r="Y244" s="21" t="n"/>
      <c r="Z244" s="21" t="n"/>
      <c r="AA244" s="22">
        <f>Q244</f>
        <v/>
      </c>
      <c r="AB244" s="22">
        <f>R244</f>
        <v/>
      </c>
      <c r="AC244" s="22">
        <f>S244</f>
        <v/>
      </c>
      <c r="AD244" s="21" t="n"/>
      <c r="AE244" s="21" t="n"/>
      <c r="AF244" s="22">
        <f>Q244</f>
        <v/>
      </c>
      <c r="AG244" s="22">
        <f>R244</f>
        <v/>
      </c>
      <c r="AH244" s="22">
        <f>S244</f>
        <v/>
      </c>
      <c r="AI244" s="21" t="n"/>
      <c r="AJ244" s="21" t="n"/>
      <c r="AL244" s="23">
        <f>INDEX($Q244:$AJ244,1,(AL$4-1)*5+1)+AL$8*INDEX($Q244:$AJ244,1,(AL$4-1)*5+2)*INDEX($Q244:$AJ244,1,(AL$4-1)*5+3)</f>
        <v/>
      </c>
      <c r="AM244" s="22">
        <f>INDEX($Q244:$AJ244,1,(AM$4-1)*5+1)+AM$8*INDEX($Q244:$AJ244,1,(AM$4-1)*5+2)*INDEX($Q244:$AJ244,1,(AM$4-1)*5+3)</f>
        <v/>
      </c>
      <c r="AN244" s="22">
        <f>INDEX($Q244:$AJ244,1,(AN$4-1)*5+1)+AN$8*INDEX($Q244:$AJ244,1,(AN$4-1)*5+2)*INDEX($Q244:$AJ244,1,(AN$4-1)*5+3)</f>
        <v/>
      </c>
      <c r="AO244" s="22">
        <f>INDEX($Q244:$AJ244,1,(AO$4-1)*5+1)+AO$8*INDEX($Q244:$AJ244,1,(AO$4-1)*5+2)*INDEX($Q244:$AJ244,1,(AO$4-1)*5+3)</f>
        <v/>
      </c>
      <c r="AP244" s="22">
        <f>INDEX($Q244:$AJ244,1,(AP$4-1)*5+1)+AP$8*INDEX($Q244:$AJ244,1,(AP$4-1)*5+2)*INDEX($Q244:$AJ244,1,(AP$4-1)*5+3)</f>
        <v/>
      </c>
      <c r="AQ244" s="22">
        <f>INDEX($Q244:$AJ244,1,(AQ$4-1)*5+1)+AQ$8*INDEX($Q244:$AJ244,1,(AQ$4-1)*5+2)*INDEX($Q244:$AJ244,1,(AQ$4-1)*5+3)</f>
        <v/>
      </c>
      <c r="AR244" s="22">
        <f>INDEX($Q244:$AJ244,1,(AR$4-1)*5+1)+AR$8*INDEX($Q244:$AJ244,1,(AR$4-1)*5+2)*INDEX($Q244:$AJ244,1,(AR$4-1)*5+3)</f>
        <v/>
      </c>
      <c r="AS244" s="22">
        <f>INDEX($Q244:$AJ244,1,(AS$4-1)*5+1)+AS$8*INDEX($Q244:$AJ244,1,(AS$4-1)*5+2)*INDEX($Q244:$AJ244,1,(AS$4-1)*5+3)</f>
        <v/>
      </c>
      <c r="AT244" s="22">
        <f>INDEX($Q244:$AJ244,1,(AT$4-1)*5+1)+AT$8*INDEX($Q244:$AJ244,1,(AT$4-1)*5+2)*INDEX($Q244:$AJ244,1,(AT$4-1)*5+3)</f>
        <v/>
      </c>
      <c r="AU244" s="22">
        <f>INDEX($Q244:$AJ244,1,(AU$4-1)*5+1)+AU$8*INDEX($Q244:$AJ244,1,(AU$4-1)*5+2)*INDEX($Q244:$AJ244,1,(AU$4-1)*5+3)</f>
        <v/>
      </c>
      <c r="AV244" s="22">
        <f>INDEX($Q244:$AJ244,1,(AV$4-1)*5+1)+AV$8*INDEX($Q244:$AJ244,1,(AV$4-1)*5+2)*INDEX($Q244:$AJ244,1,(AV$4-1)*5+3)</f>
        <v/>
      </c>
      <c r="AW244" s="22">
        <f>INDEX($Q244:$AJ244,1,(AW$4-1)*5+1)+AW$8*INDEX($Q244:$AJ244,1,(AW$4-1)*5+2)*INDEX($Q244:$AJ244,1,(AW$4-1)*5+3)</f>
        <v/>
      </c>
      <c r="AX244" s="22">
        <f>INDEX($Q244:$AJ244,1,(AX$4-1)*5+1)+AX$8*INDEX($Q244:$AJ244,1,(AX$4-1)*5+2)*INDEX($Q244:$AJ244,1,(AX$4-1)*5+3)</f>
        <v/>
      </c>
      <c r="AY244" s="22">
        <f>INDEX($Q244:$AJ244,1,(AY$4-1)*5+1)+AY$8*INDEX($Q244:$AJ244,1,(AY$4-1)*5+2)*INDEX($Q244:$AJ244,1,(AY$4-1)*5+3)</f>
        <v/>
      </c>
      <c r="BA244" s="23">
        <f>INDEX($Q244:$AJ244,1,(BA$4-1)*5+1)+BA$8*INDEX($Q244:$AJ244,1,(BA$4-1)*5+2)*INDEX($Q244:$AJ244,1,(BA$4-1)*5+3)</f>
        <v/>
      </c>
      <c r="BB244" s="22">
        <f>INDEX($Q244:$AJ244,1,(BB$4-1)*5+1)+BB$8*INDEX($Q244:$AJ244,1,(BB$4-1)*5+2)*INDEX($Q244:$AJ244,1,(BB$4-1)*5+3)</f>
        <v/>
      </c>
      <c r="BC244" s="22">
        <f>INDEX($Q244:$AJ244,1,(BC$4-1)*5+1)+BC$8*INDEX($Q244:$AJ244,1,(BC$4-1)*5+2)*INDEX($Q244:$AJ244,1,(BC$4-1)*5+3)</f>
        <v/>
      </c>
      <c r="BD244" s="22">
        <f>INDEX($Q244:$AJ244,1,(BD$4-1)*5+1)+BD$8*INDEX($Q244:$AJ244,1,(BD$4-1)*5+2)*INDEX($Q244:$AJ244,1,(BD$4-1)*5+3)</f>
        <v/>
      </c>
      <c r="BE244" s="22">
        <f>INDEX($Q244:$AJ244,1,(BE$4-1)*5+1)+BE$8*INDEX($Q244:$AJ244,1,(BE$4-1)*5+2)*INDEX($Q244:$AJ244,1,(BE$4-1)*5+3)</f>
        <v/>
      </c>
      <c r="BF244" s="22">
        <f>INDEX($Q244:$AJ244,1,(BF$4-1)*5+1)+BF$8*INDEX($Q244:$AJ244,1,(BF$4-1)*5+2)*INDEX($Q244:$AJ244,1,(BF$4-1)*5+3)</f>
        <v/>
      </c>
      <c r="BG244" s="22">
        <f>INDEX($Q244:$AJ244,1,(BG$4-1)*5+1)+BG$8*INDEX($Q244:$AJ244,1,(BG$4-1)*5+2)*INDEX($Q244:$AJ244,1,(BG$4-1)*5+3)</f>
        <v/>
      </c>
      <c r="BH244" s="22">
        <f>INDEX($Q244:$AJ244,1,(BH$4-1)*5+1)+BH$8*INDEX($Q244:$AJ244,1,(BH$4-1)*5+2)*INDEX($Q244:$AJ244,1,(BH$4-1)*5+3)</f>
        <v/>
      </c>
      <c r="BI244" s="22">
        <f>INDEX($Q244:$AJ244,1,(BI$4-1)*5+1)+BI$8*INDEX($Q244:$AJ244,1,(BI$4-1)*5+2)*INDEX($Q244:$AJ244,1,(BI$4-1)*5+3)</f>
        <v/>
      </c>
      <c r="BJ244" s="22">
        <f>INDEX($Q244:$AJ244,1,(BJ$4-1)*5+1)+BJ$8*INDEX($Q244:$AJ244,1,(BJ$4-1)*5+2)*INDEX($Q244:$AJ244,1,(BJ$4-1)*5+3)</f>
        <v/>
      </c>
      <c r="BK244" s="22">
        <f>INDEX($Q244:$AJ244,1,(BK$4-1)*5+1)+BK$8*INDEX($Q244:$AJ244,1,(BK$4-1)*5+2)*INDEX($Q244:$AJ244,1,(BK$4-1)*5+3)</f>
        <v/>
      </c>
      <c r="BL244" s="22">
        <f>INDEX($Q244:$AJ244,1,(BL$4-1)*5+1)+BL$8*INDEX($Q244:$AJ244,1,(BL$4-1)*5+2)*INDEX($Q244:$AJ244,1,(BL$4-1)*5+3)</f>
        <v/>
      </c>
      <c r="BM244" s="22">
        <f>INDEX($Q244:$AJ244,1,(BM$4-1)*5+1)+BM$8*INDEX($Q244:$AJ244,1,(BM$4-1)*5+2)*INDEX($Q244:$AJ244,1,(BM$4-1)*5+3)</f>
        <v/>
      </c>
      <c r="BN244" s="22">
        <f>INDEX($Q244:$AJ244,1,(BN$4-1)*5+1)+BN$8*INDEX($Q244:$AJ244,1,(BN$4-1)*5+2)*INDEX($Q244:$AJ244,1,(BN$4-1)*5+3)</f>
        <v/>
      </c>
    </row>
    <row r="245">
      <c r="B245" s="5" t="inlineStr">
        <is>
          <t>coa</t>
        </is>
      </c>
      <c r="C245" s="5" t="inlineStr">
        <is>
          <t>cst</t>
        </is>
      </c>
      <c r="D245" s="5" t="inlineStr">
        <is>
          <t>Tax | Construction | Coal</t>
        </is>
      </c>
      <c r="E245" s="5" t="inlineStr">
        <is>
          <t>$/GJ</t>
        </is>
      </c>
      <c r="F245" s="5" t="inlineStr">
        <is>
          <t>Prices_dom, EF_GHG, Mapping</t>
        </is>
      </c>
      <c r="G245" s="19" t="inlineStr">
        <is>
          <t>mit.rp.coa</t>
        </is>
      </c>
      <c r="H245" s="19" t="inlineStr">
        <is>
          <t>mit.tax.coa.cst</t>
        </is>
      </c>
      <c r="J245" s="5">
        <f>INDEX(Mapping!$C$5:$C$20,MATCH($C245,Mapping!$A$5:$A$20,0))</f>
        <v/>
      </c>
      <c r="K245" s="5">
        <f>INDEX(Mapping!$D$5:$D$20,MATCH($C245,Mapping!$A$5:$A$20,0))</f>
        <v/>
      </c>
      <c r="L245" s="5">
        <f>INDEX(Mapping!$C$24:$C$31,MATCH($B245,Mapping!$A$24:$A$31,0))</f>
        <v/>
      </c>
      <c r="M245" s="5">
        <f>INDEX(Mapping!$D$24:$D$31,MATCH($B245,Mapping!$A$24:$A$31,0))</f>
        <v/>
      </c>
      <c r="N245" s="5">
        <f>$B245&amp;"."&amp;IF(INDEX(Mapping!$E$24:$E$31,MATCH($B245,Mapping!$A$24:$A$31,0))="sub",INDEX(Mapping!$F$5:$F$20,MATCH($C245,Mapping!$A$5:$A$20,0)),"all")</f>
        <v/>
      </c>
      <c r="O245" s="5">
        <f>INDEX(Mapping!$E$5:$E$20,MATCH($C245,Mapping!$A$5:$A$20,0))</f>
        <v/>
      </c>
      <c r="P245" s="5">
        <f>INDEX(Mapping!$G$24:$G$31,MATCH($B245,Mapping!$A$24:$A$31,0))</f>
        <v/>
      </c>
      <c r="Q245" s="22">
        <f>(INDEX(Prices_dom!$A$6:$CU$2000,MATCH(Settings!$C$4&amp;Settings!$C$7,Prices_dom!$A$6:$A$2000,0),MATCH("mit.rp."&amp;$N245,Prices_dom!$A$5:$CU$5,0))-INDEX(Prices_dom!$A$6:$CU$2000,MATCH(Settings!$C$4&amp;Settings!$C$7,Prices_dom!$A$6:$A$2000,0),MATCH("mit.sp."&amp;$N245,Prices_dom!$A$5:$CU$5,0)))/$P245</f>
        <v/>
      </c>
      <c r="R245" s="22">
        <f>INDEX(EF_GHG!$E$4:$E$1000,MATCH(Settings!$C$4&amp;"|"&amp;$B245&amp;"|"&amp;$O245,EF_GHG!$A$4:$A$1000,0))</f>
        <v/>
      </c>
      <c r="S245" s="22">
        <f>INDEX(Mapping!$G$5:$G$20,MATCH($C245,Mapping!$A$5:$A$20,0))</f>
        <v/>
      </c>
      <c r="T245" s="21" t="n"/>
      <c r="U245" s="21" t="n"/>
      <c r="V245" s="22">
        <f>Q245</f>
        <v/>
      </c>
      <c r="W245" s="22">
        <f>R245</f>
        <v/>
      </c>
      <c r="X245" s="22">
        <f>S245</f>
        <v/>
      </c>
      <c r="Y245" s="21" t="n"/>
      <c r="Z245" s="21" t="n"/>
      <c r="AA245" s="22">
        <f>Q245</f>
        <v/>
      </c>
      <c r="AB245" s="22">
        <f>R245</f>
        <v/>
      </c>
      <c r="AC245" s="22">
        <f>S245</f>
        <v/>
      </c>
      <c r="AD245" s="21" t="n"/>
      <c r="AE245" s="21" t="n"/>
      <c r="AF245" s="22">
        <f>Q245</f>
        <v/>
      </c>
      <c r="AG245" s="22">
        <f>R245</f>
        <v/>
      </c>
      <c r="AH245" s="22">
        <f>S245</f>
        <v/>
      </c>
      <c r="AI245" s="21" t="n"/>
      <c r="AJ245" s="21" t="n"/>
      <c r="AL245" s="23">
        <f>INDEX($Q245:$AJ245,1,(AL$4-1)*5+1)+AL$8*INDEX($Q245:$AJ245,1,(AL$4-1)*5+2)*INDEX($Q245:$AJ245,1,(AL$4-1)*5+3)</f>
        <v/>
      </c>
      <c r="AM245" s="22">
        <f>INDEX($Q245:$AJ245,1,(AM$4-1)*5+1)+AM$8*INDEX($Q245:$AJ245,1,(AM$4-1)*5+2)*INDEX($Q245:$AJ245,1,(AM$4-1)*5+3)</f>
        <v/>
      </c>
      <c r="AN245" s="22">
        <f>INDEX($Q245:$AJ245,1,(AN$4-1)*5+1)+AN$8*INDEX($Q245:$AJ245,1,(AN$4-1)*5+2)*INDEX($Q245:$AJ245,1,(AN$4-1)*5+3)</f>
        <v/>
      </c>
      <c r="AO245" s="22">
        <f>INDEX($Q245:$AJ245,1,(AO$4-1)*5+1)+AO$8*INDEX($Q245:$AJ245,1,(AO$4-1)*5+2)*INDEX($Q245:$AJ245,1,(AO$4-1)*5+3)</f>
        <v/>
      </c>
      <c r="AP245" s="22">
        <f>INDEX($Q245:$AJ245,1,(AP$4-1)*5+1)+AP$8*INDEX($Q245:$AJ245,1,(AP$4-1)*5+2)*INDEX($Q245:$AJ245,1,(AP$4-1)*5+3)</f>
        <v/>
      </c>
      <c r="AQ245" s="22">
        <f>INDEX($Q245:$AJ245,1,(AQ$4-1)*5+1)+AQ$8*INDEX($Q245:$AJ245,1,(AQ$4-1)*5+2)*INDEX($Q245:$AJ245,1,(AQ$4-1)*5+3)</f>
        <v/>
      </c>
      <c r="AR245" s="22">
        <f>INDEX($Q245:$AJ245,1,(AR$4-1)*5+1)+AR$8*INDEX($Q245:$AJ245,1,(AR$4-1)*5+2)*INDEX($Q245:$AJ245,1,(AR$4-1)*5+3)</f>
        <v/>
      </c>
      <c r="AS245" s="22">
        <f>INDEX($Q245:$AJ245,1,(AS$4-1)*5+1)+AS$8*INDEX($Q245:$AJ245,1,(AS$4-1)*5+2)*INDEX($Q245:$AJ245,1,(AS$4-1)*5+3)</f>
        <v/>
      </c>
      <c r="AT245" s="22">
        <f>INDEX($Q245:$AJ245,1,(AT$4-1)*5+1)+AT$8*INDEX($Q245:$AJ245,1,(AT$4-1)*5+2)*INDEX($Q245:$AJ245,1,(AT$4-1)*5+3)</f>
        <v/>
      </c>
      <c r="AU245" s="22">
        <f>INDEX($Q245:$AJ245,1,(AU$4-1)*5+1)+AU$8*INDEX($Q245:$AJ245,1,(AU$4-1)*5+2)*INDEX($Q245:$AJ245,1,(AU$4-1)*5+3)</f>
        <v/>
      </c>
      <c r="AV245" s="22">
        <f>INDEX($Q245:$AJ245,1,(AV$4-1)*5+1)+AV$8*INDEX($Q245:$AJ245,1,(AV$4-1)*5+2)*INDEX($Q245:$AJ245,1,(AV$4-1)*5+3)</f>
        <v/>
      </c>
      <c r="AW245" s="22">
        <f>INDEX($Q245:$AJ245,1,(AW$4-1)*5+1)+AW$8*INDEX($Q245:$AJ245,1,(AW$4-1)*5+2)*INDEX($Q245:$AJ245,1,(AW$4-1)*5+3)</f>
        <v/>
      </c>
      <c r="AX245" s="22">
        <f>INDEX($Q245:$AJ245,1,(AX$4-1)*5+1)+AX$8*INDEX($Q245:$AJ245,1,(AX$4-1)*5+2)*INDEX($Q245:$AJ245,1,(AX$4-1)*5+3)</f>
        <v/>
      </c>
      <c r="AY245" s="22">
        <f>INDEX($Q245:$AJ245,1,(AY$4-1)*5+1)+AY$8*INDEX($Q245:$AJ245,1,(AY$4-1)*5+2)*INDEX($Q245:$AJ245,1,(AY$4-1)*5+3)</f>
        <v/>
      </c>
      <c r="BA245" s="23">
        <f>INDEX($Q245:$AJ245,1,(BA$4-1)*5+1)+BA$8*INDEX($Q245:$AJ245,1,(BA$4-1)*5+2)*INDEX($Q245:$AJ245,1,(BA$4-1)*5+3)</f>
        <v/>
      </c>
      <c r="BB245" s="22">
        <f>INDEX($Q245:$AJ245,1,(BB$4-1)*5+1)+BB$8*INDEX($Q245:$AJ245,1,(BB$4-1)*5+2)*INDEX($Q245:$AJ245,1,(BB$4-1)*5+3)</f>
        <v/>
      </c>
      <c r="BC245" s="22">
        <f>INDEX($Q245:$AJ245,1,(BC$4-1)*5+1)+BC$8*INDEX($Q245:$AJ245,1,(BC$4-1)*5+2)*INDEX($Q245:$AJ245,1,(BC$4-1)*5+3)</f>
        <v/>
      </c>
      <c r="BD245" s="22">
        <f>INDEX($Q245:$AJ245,1,(BD$4-1)*5+1)+BD$8*INDEX($Q245:$AJ245,1,(BD$4-1)*5+2)*INDEX($Q245:$AJ245,1,(BD$4-1)*5+3)</f>
        <v/>
      </c>
      <c r="BE245" s="22">
        <f>INDEX($Q245:$AJ245,1,(BE$4-1)*5+1)+BE$8*INDEX($Q245:$AJ245,1,(BE$4-1)*5+2)*INDEX($Q245:$AJ245,1,(BE$4-1)*5+3)</f>
        <v/>
      </c>
      <c r="BF245" s="22">
        <f>INDEX($Q245:$AJ245,1,(BF$4-1)*5+1)+BF$8*INDEX($Q245:$AJ245,1,(BF$4-1)*5+2)*INDEX($Q245:$AJ245,1,(BF$4-1)*5+3)</f>
        <v/>
      </c>
      <c r="BG245" s="22">
        <f>INDEX($Q245:$AJ245,1,(BG$4-1)*5+1)+BG$8*INDEX($Q245:$AJ245,1,(BG$4-1)*5+2)*INDEX($Q245:$AJ245,1,(BG$4-1)*5+3)</f>
        <v/>
      </c>
      <c r="BH245" s="22">
        <f>INDEX($Q245:$AJ245,1,(BH$4-1)*5+1)+BH$8*INDEX($Q245:$AJ245,1,(BH$4-1)*5+2)*INDEX($Q245:$AJ245,1,(BH$4-1)*5+3)</f>
        <v/>
      </c>
      <c r="BI245" s="22">
        <f>INDEX($Q245:$AJ245,1,(BI$4-1)*5+1)+BI$8*INDEX($Q245:$AJ245,1,(BI$4-1)*5+2)*INDEX($Q245:$AJ245,1,(BI$4-1)*5+3)</f>
        <v/>
      </c>
      <c r="BJ245" s="22">
        <f>INDEX($Q245:$AJ245,1,(BJ$4-1)*5+1)+BJ$8*INDEX($Q245:$AJ245,1,(BJ$4-1)*5+2)*INDEX($Q245:$AJ245,1,(BJ$4-1)*5+3)</f>
        <v/>
      </c>
      <c r="BK245" s="22">
        <f>INDEX($Q245:$AJ245,1,(BK$4-1)*5+1)+BK$8*INDEX($Q245:$AJ245,1,(BK$4-1)*5+2)*INDEX($Q245:$AJ245,1,(BK$4-1)*5+3)</f>
        <v/>
      </c>
      <c r="BL245" s="22">
        <f>INDEX($Q245:$AJ245,1,(BL$4-1)*5+1)+BL$8*INDEX($Q245:$AJ245,1,(BL$4-1)*5+2)*INDEX($Q245:$AJ245,1,(BL$4-1)*5+3)</f>
        <v/>
      </c>
      <c r="BM245" s="22">
        <f>INDEX($Q245:$AJ245,1,(BM$4-1)*5+1)+BM$8*INDEX($Q245:$AJ245,1,(BM$4-1)*5+2)*INDEX($Q245:$AJ245,1,(BM$4-1)*5+3)</f>
        <v/>
      </c>
      <c r="BN245" s="22">
        <f>INDEX($Q245:$AJ245,1,(BN$4-1)*5+1)+BN$8*INDEX($Q245:$AJ245,1,(BN$4-1)*5+2)*INDEX($Q245:$AJ245,1,(BN$4-1)*5+3)</f>
        <v/>
      </c>
    </row>
    <row r="246">
      <c r="B246" s="5" t="inlineStr">
        <is>
          <t>nga</t>
        </is>
      </c>
      <c r="C246" s="5" t="inlineStr">
        <is>
          <t>cst</t>
        </is>
      </c>
      <c r="D246" s="5" t="inlineStr">
        <is>
          <t>Tax | Construction | Natural gas</t>
        </is>
      </c>
      <c r="E246" s="5" t="inlineStr">
        <is>
          <t>$/GJ</t>
        </is>
      </c>
      <c r="F246" s="5" t="inlineStr">
        <is>
          <t>Prices_dom, EF_GHG, Mapping</t>
        </is>
      </c>
      <c r="G246" s="19" t="inlineStr">
        <is>
          <t>mit.rp.nga</t>
        </is>
      </c>
      <c r="H246" s="19" t="inlineStr">
        <is>
          <t>mit.tax.nga.cst</t>
        </is>
      </c>
      <c r="J246" s="5">
        <f>INDEX(Mapping!$C$5:$C$20,MATCH($C246,Mapping!$A$5:$A$20,0))</f>
        <v/>
      </c>
      <c r="K246" s="5">
        <f>INDEX(Mapping!$D$5:$D$20,MATCH($C246,Mapping!$A$5:$A$20,0))</f>
        <v/>
      </c>
      <c r="L246" s="5">
        <f>INDEX(Mapping!$C$24:$C$31,MATCH($B246,Mapping!$A$24:$A$31,0))</f>
        <v/>
      </c>
      <c r="M246" s="5">
        <f>INDEX(Mapping!$D$24:$D$31,MATCH($B246,Mapping!$A$24:$A$31,0))</f>
        <v/>
      </c>
      <c r="N246" s="5">
        <f>$B246&amp;"."&amp;IF(INDEX(Mapping!$E$24:$E$31,MATCH($B246,Mapping!$A$24:$A$31,0))="sub",INDEX(Mapping!$F$5:$F$20,MATCH($C246,Mapping!$A$5:$A$20,0)),"all")</f>
        <v/>
      </c>
      <c r="O246" s="5">
        <f>INDEX(Mapping!$E$5:$E$20,MATCH($C246,Mapping!$A$5:$A$20,0))</f>
        <v/>
      </c>
      <c r="P246" s="5">
        <f>INDEX(Mapping!$G$24:$G$31,MATCH($B246,Mapping!$A$24:$A$31,0))</f>
        <v/>
      </c>
      <c r="Q246" s="22">
        <f>(INDEX(Prices_dom!$A$6:$CU$2000,MATCH(Settings!$C$4&amp;Settings!$C$7,Prices_dom!$A$6:$A$2000,0),MATCH("mit.rp."&amp;$N246,Prices_dom!$A$5:$CU$5,0))-INDEX(Prices_dom!$A$6:$CU$2000,MATCH(Settings!$C$4&amp;Settings!$C$7,Prices_dom!$A$6:$A$2000,0),MATCH("mit.sp."&amp;$N246,Prices_dom!$A$5:$CU$5,0)))/$P246</f>
        <v/>
      </c>
      <c r="R246" s="22">
        <f>INDEX(EF_GHG!$E$4:$E$1000,MATCH(Settings!$C$4&amp;"|"&amp;$B246&amp;"|"&amp;$O246,EF_GHG!$A$4:$A$1000,0))</f>
        <v/>
      </c>
      <c r="S246" s="22">
        <f>INDEX(Mapping!$G$5:$G$20,MATCH($C246,Mapping!$A$5:$A$20,0))</f>
        <v/>
      </c>
      <c r="T246" s="21" t="n"/>
      <c r="U246" s="21" t="n"/>
      <c r="V246" s="22">
        <f>Q246</f>
        <v/>
      </c>
      <c r="W246" s="22">
        <f>R246</f>
        <v/>
      </c>
      <c r="X246" s="22">
        <f>S246</f>
        <v/>
      </c>
      <c r="Y246" s="21" t="n"/>
      <c r="Z246" s="21" t="n"/>
      <c r="AA246" s="22">
        <f>Q246</f>
        <v/>
      </c>
      <c r="AB246" s="22">
        <f>R246</f>
        <v/>
      </c>
      <c r="AC246" s="22">
        <f>S246</f>
        <v/>
      </c>
      <c r="AD246" s="21" t="n"/>
      <c r="AE246" s="21" t="n"/>
      <c r="AF246" s="22">
        <f>Q246</f>
        <v/>
      </c>
      <c r="AG246" s="22">
        <f>R246</f>
        <v/>
      </c>
      <c r="AH246" s="22">
        <f>S246</f>
        <v/>
      </c>
      <c r="AI246" s="21" t="n"/>
      <c r="AJ246" s="21" t="n"/>
      <c r="AL246" s="23">
        <f>INDEX($Q246:$AJ246,1,(AL$4-1)*5+1)+AL$8*INDEX($Q246:$AJ246,1,(AL$4-1)*5+2)*INDEX($Q246:$AJ246,1,(AL$4-1)*5+3)</f>
        <v/>
      </c>
      <c r="AM246" s="22">
        <f>INDEX($Q246:$AJ246,1,(AM$4-1)*5+1)+AM$8*INDEX($Q246:$AJ246,1,(AM$4-1)*5+2)*INDEX($Q246:$AJ246,1,(AM$4-1)*5+3)</f>
        <v/>
      </c>
      <c r="AN246" s="22">
        <f>INDEX($Q246:$AJ246,1,(AN$4-1)*5+1)+AN$8*INDEX($Q246:$AJ246,1,(AN$4-1)*5+2)*INDEX($Q246:$AJ246,1,(AN$4-1)*5+3)</f>
        <v/>
      </c>
      <c r="AO246" s="22">
        <f>INDEX($Q246:$AJ246,1,(AO$4-1)*5+1)+AO$8*INDEX($Q246:$AJ246,1,(AO$4-1)*5+2)*INDEX($Q246:$AJ246,1,(AO$4-1)*5+3)</f>
        <v/>
      </c>
      <c r="AP246" s="22">
        <f>INDEX($Q246:$AJ246,1,(AP$4-1)*5+1)+AP$8*INDEX($Q246:$AJ246,1,(AP$4-1)*5+2)*INDEX($Q246:$AJ246,1,(AP$4-1)*5+3)</f>
        <v/>
      </c>
      <c r="AQ246" s="22">
        <f>INDEX($Q246:$AJ246,1,(AQ$4-1)*5+1)+AQ$8*INDEX($Q246:$AJ246,1,(AQ$4-1)*5+2)*INDEX($Q246:$AJ246,1,(AQ$4-1)*5+3)</f>
        <v/>
      </c>
      <c r="AR246" s="22">
        <f>INDEX($Q246:$AJ246,1,(AR$4-1)*5+1)+AR$8*INDEX($Q246:$AJ246,1,(AR$4-1)*5+2)*INDEX($Q246:$AJ246,1,(AR$4-1)*5+3)</f>
        <v/>
      </c>
      <c r="AS246" s="22">
        <f>INDEX($Q246:$AJ246,1,(AS$4-1)*5+1)+AS$8*INDEX($Q246:$AJ246,1,(AS$4-1)*5+2)*INDEX($Q246:$AJ246,1,(AS$4-1)*5+3)</f>
        <v/>
      </c>
      <c r="AT246" s="22">
        <f>INDEX($Q246:$AJ246,1,(AT$4-1)*5+1)+AT$8*INDEX($Q246:$AJ246,1,(AT$4-1)*5+2)*INDEX($Q246:$AJ246,1,(AT$4-1)*5+3)</f>
        <v/>
      </c>
      <c r="AU246" s="22">
        <f>INDEX($Q246:$AJ246,1,(AU$4-1)*5+1)+AU$8*INDEX($Q246:$AJ246,1,(AU$4-1)*5+2)*INDEX($Q246:$AJ246,1,(AU$4-1)*5+3)</f>
        <v/>
      </c>
      <c r="AV246" s="22">
        <f>INDEX($Q246:$AJ246,1,(AV$4-1)*5+1)+AV$8*INDEX($Q246:$AJ246,1,(AV$4-1)*5+2)*INDEX($Q246:$AJ246,1,(AV$4-1)*5+3)</f>
        <v/>
      </c>
      <c r="AW246" s="22">
        <f>INDEX($Q246:$AJ246,1,(AW$4-1)*5+1)+AW$8*INDEX($Q246:$AJ246,1,(AW$4-1)*5+2)*INDEX($Q246:$AJ246,1,(AW$4-1)*5+3)</f>
        <v/>
      </c>
      <c r="AX246" s="22">
        <f>INDEX($Q246:$AJ246,1,(AX$4-1)*5+1)+AX$8*INDEX($Q246:$AJ246,1,(AX$4-1)*5+2)*INDEX($Q246:$AJ246,1,(AX$4-1)*5+3)</f>
        <v/>
      </c>
      <c r="AY246" s="22">
        <f>INDEX($Q246:$AJ246,1,(AY$4-1)*5+1)+AY$8*INDEX($Q246:$AJ246,1,(AY$4-1)*5+2)*INDEX($Q246:$AJ246,1,(AY$4-1)*5+3)</f>
        <v/>
      </c>
      <c r="BA246" s="23">
        <f>INDEX($Q246:$AJ246,1,(BA$4-1)*5+1)+BA$8*INDEX($Q246:$AJ246,1,(BA$4-1)*5+2)*INDEX($Q246:$AJ246,1,(BA$4-1)*5+3)</f>
        <v/>
      </c>
      <c r="BB246" s="22">
        <f>INDEX($Q246:$AJ246,1,(BB$4-1)*5+1)+BB$8*INDEX($Q246:$AJ246,1,(BB$4-1)*5+2)*INDEX($Q246:$AJ246,1,(BB$4-1)*5+3)</f>
        <v/>
      </c>
      <c r="BC246" s="22">
        <f>INDEX($Q246:$AJ246,1,(BC$4-1)*5+1)+BC$8*INDEX($Q246:$AJ246,1,(BC$4-1)*5+2)*INDEX($Q246:$AJ246,1,(BC$4-1)*5+3)</f>
        <v/>
      </c>
      <c r="BD246" s="22">
        <f>INDEX($Q246:$AJ246,1,(BD$4-1)*5+1)+BD$8*INDEX($Q246:$AJ246,1,(BD$4-1)*5+2)*INDEX($Q246:$AJ246,1,(BD$4-1)*5+3)</f>
        <v/>
      </c>
      <c r="BE246" s="22">
        <f>INDEX($Q246:$AJ246,1,(BE$4-1)*5+1)+BE$8*INDEX($Q246:$AJ246,1,(BE$4-1)*5+2)*INDEX($Q246:$AJ246,1,(BE$4-1)*5+3)</f>
        <v/>
      </c>
      <c r="BF246" s="22">
        <f>INDEX($Q246:$AJ246,1,(BF$4-1)*5+1)+BF$8*INDEX($Q246:$AJ246,1,(BF$4-1)*5+2)*INDEX($Q246:$AJ246,1,(BF$4-1)*5+3)</f>
        <v/>
      </c>
      <c r="BG246" s="22">
        <f>INDEX($Q246:$AJ246,1,(BG$4-1)*5+1)+BG$8*INDEX($Q246:$AJ246,1,(BG$4-1)*5+2)*INDEX($Q246:$AJ246,1,(BG$4-1)*5+3)</f>
        <v/>
      </c>
      <c r="BH246" s="22">
        <f>INDEX($Q246:$AJ246,1,(BH$4-1)*5+1)+BH$8*INDEX($Q246:$AJ246,1,(BH$4-1)*5+2)*INDEX($Q246:$AJ246,1,(BH$4-1)*5+3)</f>
        <v/>
      </c>
      <c r="BI246" s="22">
        <f>INDEX($Q246:$AJ246,1,(BI$4-1)*5+1)+BI$8*INDEX($Q246:$AJ246,1,(BI$4-1)*5+2)*INDEX($Q246:$AJ246,1,(BI$4-1)*5+3)</f>
        <v/>
      </c>
      <c r="BJ246" s="22">
        <f>INDEX($Q246:$AJ246,1,(BJ$4-1)*5+1)+BJ$8*INDEX($Q246:$AJ246,1,(BJ$4-1)*5+2)*INDEX($Q246:$AJ246,1,(BJ$4-1)*5+3)</f>
        <v/>
      </c>
      <c r="BK246" s="22">
        <f>INDEX($Q246:$AJ246,1,(BK$4-1)*5+1)+BK$8*INDEX($Q246:$AJ246,1,(BK$4-1)*5+2)*INDEX($Q246:$AJ246,1,(BK$4-1)*5+3)</f>
        <v/>
      </c>
      <c r="BL246" s="22">
        <f>INDEX($Q246:$AJ246,1,(BL$4-1)*5+1)+BL$8*INDEX($Q246:$AJ246,1,(BL$4-1)*5+2)*INDEX($Q246:$AJ246,1,(BL$4-1)*5+3)</f>
        <v/>
      </c>
      <c r="BM246" s="22">
        <f>INDEX($Q246:$AJ246,1,(BM$4-1)*5+1)+BM$8*INDEX($Q246:$AJ246,1,(BM$4-1)*5+2)*INDEX($Q246:$AJ246,1,(BM$4-1)*5+3)</f>
        <v/>
      </c>
      <c r="BN246" s="22">
        <f>INDEX($Q246:$AJ246,1,(BN$4-1)*5+1)+BN$8*INDEX($Q246:$AJ246,1,(BN$4-1)*5+2)*INDEX($Q246:$AJ246,1,(BN$4-1)*5+3)</f>
        <v/>
      </c>
    </row>
    <row r="247">
      <c r="B247" s="5" t="inlineStr">
        <is>
          <t>gso</t>
        </is>
      </c>
      <c r="C247" s="5" t="inlineStr">
        <is>
          <t>cst</t>
        </is>
      </c>
      <c r="D247" s="5" t="inlineStr">
        <is>
          <t>Tax | Construction | Gasoline</t>
        </is>
      </c>
      <c r="E247" s="5" t="inlineStr">
        <is>
          <t>$/GJ</t>
        </is>
      </c>
      <c r="F247" s="5" t="inlineStr">
        <is>
          <t>Prices_dom, EF_GHG, Mapping</t>
        </is>
      </c>
      <c r="G247" s="19" t="inlineStr">
        <is>
          <t>mit.rp.gso</t>
        </is>
      </c>
      <c r="H247" s="19" t="inlineStr">
        <is>
          <t>mit.tax.gso.cst</t>
        </is>
      </c>
      <c r="J247" s="5">
        <f>INDEX(Mapping!$C$5:$C$20,MATCH($C247,Mapping!$A$5:$A$20,0))</f>
        <v/>
      </c>
      <c r="K247" s="5">
        <f>INDEX(Mapping!$D$5:$D$20,MATCH($C247,Mapping!$A$5:$A$20,0))</f>
        <v/>
      </c>
      <c r="L247" s="5">
        <f>INDEX(Mapping!$C$24:$C$31,MATCH($B247,Mapping!$A$24:$A$31,0))</f>
        <v/>
      </c>
      <c r="M247" s="5">
        <f>INDEX(Mapping!$D$24:$D$31,MATCH($B247,Mapping!$A$24:$A$31,0))</f>
        <v/>
      </c>
      <c r="N247" s="5">
        <f>$B247&amp;"."&amp;IF(INDEX(Mapping!$E$24:$E$31,MATCH($B247,Mapping!$A$24:$A$31,0))="sub",INDEX(Mapping!$F$5:$F$20,MATCH($C247,Mapping!$A$5:$A$20,0)),"all")</f>
        <v/>
      </c>
      <c r="O247" s="5">
        <f>INDEX(Mapping!$E$5:$E$20,MATCH($C247,Mapping!$A$5:$A$20,0))</f>
        <v/>
      </c>
      <c r="P247" s="5">
        <f>INDEX(Mapping!$G$24:$G$31,MATCH($B247,Mapping!$A$24:$A$31,0))</f>
        <v/>
      </c>
      <c r="Q247" s="22">
        <f>(INDEX(Prices_dom!$A$6:$CU$2000,MATCH(Settings!$C$4&amp;Settings!$C$7,Prices_dom!$A$6:$A$2000,0),MATCH("mit.rp."&amp;$N247,Prices_dom!$A$5:$CU$5,0))-INDEX(Prices_dom!$A$6:$CU$2000,MATCH(Settings!$C$4&amp;Settings!$C$7,Prices_dom!$A$6:$A$2000,0),MATCH("mit.sp."&amp;$N247,Prices_dom!$A$5:$CU$5,0)))/$P247</f>
        <v/>
      </c>
      <c r="R247" s="22">
        <f>INDEX(EF_GHG!$E$4:$E$1000,MATCH(Settings!$C$4&amp;"|"&amp;$B247&amp;"|"&amp;$O247,EF_GHG!$A$4:$A$1000,0))</f>
        <v/>
      </c>
      <c r="S247" s="22">
        <f>INDEX(Mapping!$G$5:$G$20,MATCH($C247,Mapping!$A$5:$A$20,0))</f>
        <v/>
      </c>
      <c r="T247" s="21" t="n"/>
      <c r="U247" s="21" t="n"/>
      <c r="V247" s="22">
        <f>Q247</f>
        <v/>
      </c>
      <c r="W247" s="22">
        <f>R247</f>
        <v/>
      </c>
      <c r="X247" s="22">
        <f>S247</f>
        <v/>
      </c>
      <c r="Y247" s="21" t="n"/>
      <c r="Z247" s="21" t="n"/>
      <c r="AA247" s="22">
        <f>Q247</f>
        <v/>
      </c>
      <c r="AB247" s="22">
        <f>R247</f>
        <v/>
      </c>
      <c r="AC247" s="22">
        <f>S247</f>
        <v/>
      </c>
      <c r="AD247" s="21" t="n"/>
      <c r="AE247" s="21" t="n"/>
      <c r="AF247" s="22">
        <f>Q247</f>
        <v/>
      </c>
      <c r="AG247" s="22">
        <f>R247</f>
        <v/>
      </c>
      <c r="AH247" s="22">
        <f>S247</f>
        <v/>
      </c>
      <c r="AI247" s="21" t="n"/>
      <c r="AJ247" s="21" t="n"/>
      <c r="AL247" s="23">
        <f>INDEX($Q247:$AJ247,1,(AL$4-1)*5+1)+AL$8*INDEX($Q247:$AJ247,1,(AL$4-1)*5+2)*INDEX($Q247:$AJ247,1,(AL$4-1)*5+3)</f>
        <v/>
      </c>
      <c r="AM247" s="22">
        <f>INDEX($Q247:$AJ247,1,(AM$4-1)*5+1)+AM$8*INDEX($Q247:$AJ247,1,(AM$4-1)*5+2)*INDEX($Q247:$AJ247,1,(AM$4-1)*5+3)</f>
        <v/>
      </c>
      <c r="AN247" s="22">
        <f>INDEX($Q247:$AJ247,1,(AN$4-1)*5+1)+AN$8*INDEX($Q247:$AJ247,1,(AN$4-1)*5+2)*INDEX($Q247:$AJ247,1,(AN$4-1)*5+3)</f>
        <v/>
      </c>
      <c r="AO247" s="22">
        <f>INDEX($Q247:$AJ247,1,(AO$4-1)*5+1)+AO$8*INDEX($Q247:$AJ247,1,(AO$4-1)*5+2)*INDEX($Q247:$AJ247,1,(AO$4-1)*5+3)</f>
        <v/>
      </c>
      <c r="AP247" s="22">
        <f>INDEX($Q247:$AJ247,1,(AP$4-1)*5+1)+AP$8*INDEX($Q247:$AJ247,1,(AP$4-1)*5+2)*INDEX($Q247:$AJ247,1,(AP$4-1)*5+3)</f>
        <v/>
      </c>
      <c r="AQ247" s="22">
        <f>INDEX($Q247:$AJ247,1,(AQ$4-1)*5+1)+AQ$8*INDEX($Q247:$AJ247,1,(AQ$4-1)*5+2)*INDEX($Q247:$AJ247,1,(AQ$4-1)*5+3)</f>
        <v/>
      </c>
      <c r="AR247" s="22">
        <f>INDEX($Q247:$AJ247,1,(AR$4-1)*5+1)+AR$8*INDEX($Q247:$AJ247,1,(AR$4-1)*5+2)*INDEX($Q247:$AJ247,1,(AR$4-1)*5+3)</f>
        <v/>
      </c>
      <c r="AS247" s="22">
        <f>INDEX($Q247:$AJ247,1,(AS$4-1)*5+1)+AS$8*INDEX($Q247:$AJ247,1,(AS$4-1)*5+2)*INDEX($Q247:$AJ247,1,(AS$4-1)*5+3)</f>
        <v/>
      </c>
      <c r="AT247" s="22">
        <f>INDEX($Q247:$AJ247,1,(AT$4-1)*5+1)+AT$8*INDEX($Q247:$AJ247,1,(AT$4-1)*5+2)*INDEX($Q247:$AJ247,1,(AT$4-1)*5+3)</f>
        <v/>
      </c>
      <c r="AU247" s="22">
        <f>INDEX($Q247:$AJ247,1,(AU$4-1)*5+1)+AU$8*INDEX($Q247:$AJ247,1,(AU$4-1)*5+2)*INDEX($Q247:$AJ247,1,(AU$4-1)*5+3)</f>
        <v/>
      </c>
      <c r="AV247" s="22">
        <f>INDEX($Q247:$AJ247,1,(AV$4-1)*5+1)+AV$8*INDEX($Q247:$AJ247,1,(AV$4-1)*5+2)*INDEX($Q247:$AJ247,1,(AV$4-1)*5+3)</f>
        <v/>
      </c>
      <c r="AW247" s="22">
        <f>INDEX($Q247:$AJ247,1,(AW$4-1)*5+1)+AW$8*INDEX($Q247:$AJ247,1,(AW$4-1)*5+2)*INDEX($Q247:$AJ247,1,(AW$4-1)*5+3)</f>
        <v/>
      </c>
      <c r="AX247" s="22">
        <f>INDEX($Q247:$AJ247,1,(AX$4-1)*5+1)+AX$8*INDEX($Q247:$AJ247,1,(AX$4-1)*5+2)*INDEX($Q247:$AJ247,1,(AX$4-1)*5+3)</f>
        <v/>
      </c>
      <c r="AY247" s="22">
        <f>INDEX($Q247:$AJ247,1,(AY$4-1)*5+1)+AY$8*INDEX($Q247:$AJ247,1,(AY$4-1)*5+2)*INDEX($Q247:$AJ247,1,(AY$4-1)*5+3)</f>
        <v/>
      </c>
      <c r="BA247" s="23">
        <f>INDEX($Q247:$AJ247,1,(BA$4-1)*5+1)+BA$8*INDEX($Q247:$AJ247,1,(BA$4-1)*5+2)*INDEX($Q247:$AJ247,1,(BA$4-1)*5+3)</f>
        <v/>
      </c>
      <c r="BB247" s="22">
        <f>INDEX($Q247:$AJ247,1,(BB$4-1)*5+1)+BB$8*INDEX($Q247:$AJ247,1,(BB$4-1)*5+2)*INDEX($Q247:$AJ247,1,(BB$4-1)*5+3)</f>
        <v/>
      </c>
      <c r="BC247" s="22">
        <f>INDEX($Q247:$AJ247,1,(BC$4-1)*5+1)+BC$8*INDEX($Q247:$AJ247,1,(BC$4-1)*5+2)*INDEX($Q247:$AJ247,1,(BC$4-1)*5+3)</f>
        <v/>
      </c>
      <c r="BD247" s="22">
        <f>INDEX($Q247:$AJ247,1,(BD$4-1)*5+1)+BD$8*INDEX($Q247:$AJ247,1,(BD$4-1)*5+2)*INDEX($Q247:$AJ247,1,(BD$4-1)*5+3)</f>
        <v/>
      </c>
      <c r="BE247" s="22">
        <f>INDEX($Q247:$AJ247,1,(BE$4-1)*5+1)+BE$8*INDEX($Q247:$AJ247,1,(BE$4-1)*5+2)*INDEX($Q247:$AJ247,1,(BE$4-1)*5+3)</f>
        <v/>
      </c>
      <c r="BF247" s="22">
        <f>INDEX($Q247:$AJ247,1,(BF$4-1)*5+1)+BF$8*INDEX($Q247:$AJ247,1,(BF$4-1)*5+2)*INDEX($Q247:$AJ247,1,(BF$4-1)*5+3)</f>
        <v/>
      </c>
      <c r="BG247" s="22">
        <f>INDEX($Q247:$AJ247,1,(BG$4-1)*5+1)+BG$8*INDEX($Q247:$AJ247,1,(BG$4-1)*5+2)*INDEX($Q247:$AJ247,1,(BG$4-1)*5+3)</f>
        <v/>
      </c>
      <c r="BH247" s="22">
        <f>INDEX($Q247:$AJ247,1,(BH$4-1)*5+1)+BH$8*INDEX($Q247:$AJ247,1,(BH$4-1)*5+2)*INDEX($Q247:$AJ247,1,(BH$4-1)*5+3)</f>
        <v/>
      </c>
      <c r="BI247" s="22">
        <f>INDEX($Q247:$AJ247,1,(BI$4-1)*5+1)+BI$8*INDEX($Q247:$AJ247,1,(BI$4-1)*5+2)*INDEX($Q247:$AJ247,1,(BI$4-1)*5+3)</f>
        <v/>
      </c>
      <c r="BJ247" s="22">
        <f>INDEX($Q247:$AJ247,1,(BJ$4-1)*5+1)+BJ$8*INDEX($Q247:$AJ247,1,(BJ$4-1)*5+2)*INDEX($Q247:$AJ247,1,(BJ$4-1)*5+3)</f>
        <v/>
      </c>
      <c r="BK247" s="22">
        <f>INDEX($Q247:$AJ247,1,(BK$4-1)*5+1)+BK$8*INDEX($Q247:$AJ247,1,(BK$4-1)*5+2)*INDEX($Q247:$AJ247,1,(BK$4-1)*5+3)</f>
        <v/>
      </c>
      <c r="BL247" s="22">
        <f>INDEX($Q247:$AJ247,1,(BL$4-1)*5+1)+BL$8*INDEX($Q247:$AJ247,1,(BL$4-1)*5+2)*INDEX($Q247:$AJ247,1,(BL$4-1)*5+3)</f>
        <v/>
      </c>
      <c r="BM247" s="22">
        <f>INDEX($Q247:$AJ247,1,(BM$4-1)*5+1)+BM$8*INDEX($Q247:$AJ247,1,(BM$4-1)*5+2)*INDEX($Q247:$AJ247,1,(BM$4-1)*5+3)</f>
        <v/>
      </c>
      <c r="BN247" s="22">
        <f>INDEX($Q247:$AJ247,1,(BN$4-1)*5+1)+BN$8*INDEX($Q247:$AJ247,1,(BN$4-1)*5+2)*INDEX($Q247:$AJ247,1,(BN$4-1)*5+3)</f>
        <v/>
      </c>
    </row>
    <row r="248">
      <c r="B248" s="5" t="inlineStr">
        <is>
          <t>die</t>
        </is>
      </c>
      <c r="C248" s="5" t="inlineStr">
        <is>
          <t>cst</t>
        </is>
      </c>
      <c r="D248" s="5" t="inlineStr">
        <is>
          <t>Tax | Construction | Diesel</t>
        </is>
      </c>
      <c r="E248" s="5" t="inlineStr">
        <is>
          <t>$/GJ</t>
        </is>
      </c>
      <c r="F248" s="5" t="inlineStr">
        <is>
          <t>Prices_dom, EF_GHG, Mapping</t>
        </is>
      </c>
      <c r="G248" s="19" t="inlineStr">
        <is>
          <t>mit.rp.die</t>
        </is>
      </c>
      <c r="H248" s="19" t="inlineStr">
        <is>
          <t>mit.tax.die.cst</t>
        </is>
      </c>
      <c r="J248" s="5">
        <f>INDEX(Mapping!$C$5:$C$20,MATCH($C248,Mapping!$A$5:$A$20,0))</f>
        <v/>
      </c>
      <c r="K248" s="5">
        <f>INDEX(Mapping!$D$5:$D$20,MATCH($C248,Mapping!$A$5:$A$20,0))</f>
        <v/>
      </c>
      <c r="L248" s="5">
        <f>INDEX(Mapping!$C$24:$C$31,MATCH($B248,Mapping!$A$24:$A$31,0))</f>
        <v/>
      </c>
      <c r="M248" s="5">
        <f>INDEX(Mapping!$D$24:$D$31,MATCH($B248,Mapping!$A$24:$A$31,0))</f>
        <v/>
      </c>
      <c r="N248" s="5">
        <f>$B248&amp;"."&amp;IF(INDEX(Mapping!$E$24:$E$31,MATCH($B248,Mapping!$A$24:$A$31,0))="sub",INDEX(Mapping!$F$5:$F$20,MATCH($C248,Mapping!$A$5:$A$20,0)),"all")</f>
        <v/>
      </c>
      <c r="O248" s="5">
        <f>INDEX(Mapping!$E$5:$E$20,MATCH($C248,Mapping!$A$5:$A$20,0))</f>
        <v/>
      </c>
      <c r="P248" s="5">
        <f>INDEX(Mapping!$G$24:$G$31,MATCH($B248,Mapping!$A$24:$A$31,0))</f>
        <v/>
      </c>
      <c r="Q248" s="22">
        <f>(INDEX(Prices_dom!$A$6:$CU$2000,MATCH(Settings!$C$4&amp;Settings!$C$7,Prices_dom!$A$6:$A$2000,0),MATCH("mit.rp."&amp;$N248,Prices_dom!$A$5:$CU$5,0))-INDEX(Prices_dom!$A$6:$CU$2000,MATCH(Settings!$C$4&amp;Settings!$C$7,Prices_dom!$A$6:$A$2000,0),MATCH("mit.sp."&amp;$N248,Prices_dom!$A$5:$CU$5,0)))/$P248</f>
        <v/>
      </c>
      <c r="R248" s="22">
        <f>INDEX(EF_GHG!$E$4:$E$1000,MATCH(Settings!$C$4&amp;"|"&amp;$B248&amp;"|"&amp;$O248,EF_GHG!$A$4:$A$1000,0))</f>
        <v/>
      </c>
      <c r="S248" s="22">
        <f>INDEX(Mapping!$G$5:$G$20,MATCH($C248,Mapping!$A$5:$A$20,0))</f>
        <v/>
      </c>
      <c r="T248" s="21" t="n"/>
      <c r="U248" s="21" t="n"/>
      <c r="V248" s="22">
        <f>Q248</f>
        <v/>
      </c>
      <c r="W248" s="22">
        <f>R248</f>
        <v/>
      </c>
      <c r="X248" s="22">
        <f>S248</f>
        <v/>
      </c>
      <c r="Y248" s="21" t="n"/>
      <c r="Z248" s="21" t="n"/>
      <c r="AA248" s="22">
        <f>Q248</f>
        <v/>
      </c>
      <c r="AB248" s="22">
        <f>R248</f>
        <v/>
      </c>
      <c r="AC248" s="22">
        <f>S248</f>
        <v/>
      </c>
      <c r="AD248" s="21" t="n"/>
      <c r="AE248" s="21" t="n"/>
      <c r="AF248" s="22">
        <f>Q248</f>
        <v/>
      </c>
      <c r="AG248" s="22">
        <f>R248</f>
        <v/>
      </c>
      <c r="AH248" s="22">
        <f>S248</f>
        <v/>
      </c>
      <c r="AI248" s="21" t="n"/>
      <c r="AJ248" s="21" t="n"/>
      <c r="AL248" s="23">
        <f>INDEX($Q248:$AJ248,1,(AL$4-1)*5+1)+AL$8*INDEX($Q248:$AJ248,1,(AL$4-1)*5+2)*INDEX($Q248:$AJ248,1,(AL$4-1)*5+3)</f>
        <v/>
      </c>
      <c r="AM248" s="22">
        <f>INDEX($Q248:$AJ248,1,(AM$4-1)*5+1)+AM$8*INDEX($Q248:$AJ248,1,(AM$4-1)*5+2)*INDEX($Q248:$AJ248,1,(AM$4-1)*5+3)</f>
        <v/>
      </c>
      <c r="AN248" s="22">
        <f>INDEX($Q248:$AJ248,1,(AN$4-1)*5+1)+AN$8*INDEX($Q248:$AJ248,1,(AN$4-1)*5+2)*INDEX($Q248:$AJ248,1,(AN$4-1)*5+3)</f>
        <v/>
      </c>
      <c r="AO248" s="22">
        <f>INDEX($Q248:$AJ248,1,(AO$4-1)*5+1)+AO$8*INDEX($Q248:$AJ248,1,(AO$4-1)*5+2)*INDEX($Q248:$AJ248,1,(AO$4-1)*5+3)</f>
        <v/>
      </c>
      <c r="AP248" s="22">
        <f>INDEX($Q248:$AJ248,1,(AP$4-1)*5+1)+AP$8*INDEX($Q248:$AJ248,1,(AP$4-1)*5+2)*INDEX($Q248:$AJ248,1,(AP$4-1)*5+3)</f>
        <v/>
      </c>
      <c r="AQ248" s="22">
        <f>INDEX($Q248:$AJ248,1,(AQ$4-1)*5+1)+AQ$8*INDEX($Q248:$AJ248,1,(AQ$4-1)*5+2)*INDEX($Q248:$AJ248,1,(AQ$4-1)*5+3)</f>
        <v/>
      </c>
      <c r="AR248" s="22">
        <f>INDEX($Q248:$AJ248,1,(AR$4-1)*5+1)+AR$8*INDEX($Q248:$AJ248,1,(AR$4-1)*5+2)*INDEX($Q248:$AJ248,1,(AR$4-1)*5+3)</f>
        <v/>
      </c>
      <c r="AS248" s="22">
        <f>INDEX($Q248:$AJ248,1,(AS$4-1)*5+1)+AS$8*INDEX($Q248:$AJ248,1,(AS$4-1)*5+2)*INDEX($Q248:$AJ248,1,(AS$4-1)*5+3)</f>
        <v/>
      </c>
      <c r="AT248" s="22">
        <f>INDEX($Q248:$AJ248,1,(AT$4-1)*5+1)+AT$8*INDEX($Q248:$AJ248,1,(AT$4-1)*5+2)*INDEX($Q248:$AJ248,1,(AT$4-1)*5+3)</f>
        <v/>
      </c>
      <c r="AU248" s="22">
        <f>INDEX($Q248:$AJ248,1,(AU$4-1)*5+1)+AU$8*INDEX($Q248:$AJ248,1,(AU$4-1)*5+2)*INDEX($Q248:$AJ248,1,(AU$4-1)*5+3)</f>
        <v/>
      </c>
      <c r="AV248" s="22">
        <f>INDEX($Q248:$AJ248,1,(AV$4-1)*5+1)+AV$8*INDEX($Q248:$AJ248,1,(AV$4-1)*5+2)*INDEX($Q248:$AJ248,1,(AV$4-1)*5+3)</f>
        <v/>
      </c>
      <c r="AW248" s="22">
        <f>INDEX($Q248:$AJ248,1,(AW$4-1)*5+1)+AW$8*INDEX($Q248:$AJ248,1,(AW$4-1)*5+2)*INDEX($Q248:$AJ248,1,(AW$4-1)*5+3)</f>
        <v/>
      </c>
      <c r="AX248" s="22">
        <f>INDEX($Q248:$AJ248,1,(AX$4-1)*5+1)+AX$8*INDEX($Q248:$AJ248,1,(AX$4-1)*5+2)*INDEX($Q248:$AJ248,1,(AX$4-1)*5+3)</f>
        <v/>
      </c>
      <c r="AY248" s="22">
        <f>INDEX($Q248:$AJ248,1,(AY$4-1)*5+1)+AY$8*INDEX($Q248:$AJ248,1,(AY$4-1)*5+2)*INDEX($Q248:$AJ248,1,(AY$4-1)*5+3)</f>
        <v/>
      </c>
      <c r="BA248" s="23">
        <f>INDEX($Q248:$AJ248,1,(BA$4-1)*5+1)+BA$8*INDEX($Q248:$AJ248,1,(BA$4-1)*5+2)*INDEX($Q248:$AJ248,1,(BA$4-1)*5+3)</f>
        <v/>
      </c>
      <c r="BB248" s="22">
        <f>INDEX($Q248:$AJ248,1,(BB$4-1)*5+1)+BB$8*INDEX($Q248:$AJ248,1,(BB$4-1)*5+2)*INDEX($Q248:$AJ248,1,(BB$4-1)*5+3)</f>
        <v/>
      </c>
      <c r="BC248" s="22">
        <f>INDEX($Q248:$AJ248,1,(BC$4-1)*5+1)+BC$8*INDEX($Q248:$AJ248,1,(BC$4-1)*5+2)*INDEX($Q248:$AJ248,1,(BC$4-1)*5+3)</f>
        <v/>
      </c>
      <c r="BD248" s="22">
        <f>INDEX($Q248:$AJ248,1,(BD$4-1)*5+1)+BD$8*INDEX($Q248:$AJ248,1,(BD$4-1)*5+2)*INDEX($Q248:$AJ248,1,(BD$4-1)*5+3)</f>
        <v/>
      </c>
      <c r="BE248" s="22">
        <f>INDEX($Q248:$AJ248,1,(BE$4-1)*5+1)+BE$8*INDEX($Q248:$AJ248,1,(BE$4-1)*5+2)*INDEX($Q248:$AJ248,1,(BE$4-1)*5+3)</f>
        <v/>
      </c>
      <c r="BF248" s="22">
        <f>INDEX($Q248:$AJ248,1,(BF$4-1)*5+1)+BF$8*INDEX($Q248:$AJ248,1,(BF$4-1)*5+2)*INDEX($Q248:$AJ248,1,(BF$4-1)*5+3)</f>
        <v/>
      </c>
      <c r="BG248" s="22">
        <f>INDEX($Q248:$AJ248,1,(BG$4-1)*5+1)+BG$8*INDEX($Q248:$AJ248,1,(BG$4-1)*5+2)*INDEX($Q248:$AJ248,1,(BG$4-1)*5+3)</f>
        <v/>
      </c>
      <c r="BH248" s="22">
        <f>INDEX($Q248:$AJ248,1,(BH$4-1)*5+1)+BH$8*INDEX($Q248:$AJ248,1,(BH$4-1)*5+2)*INDEX($Q248:$AJ248,1,(BH$4-1)*5+3)</f>
        <v/>
      </c>
      <c r="BI248" s="22">
        <f>INDEX($Q248:$AJ248,1,(BI$4-1)*5+1)+BI$8*INDEX($Q248:$AJ248,1,(BI$4-1)*5+2)*INDEX($Q248:$AJ248,1,(BI$4-1)*5+3)</f>
        <v/>
      </c>
      <c r="BJ248" s="22">
        <f>INDEX($Q248:$AJ248,1,(BJ$4-1)*5+1)+BJ$8*INDEX($Q248:$AJ248,1,(BJ$4-1)*5+2)*INDEX($Q248:$AJ248,1,(BJ$4-1)*5+3)</f>
        <v/>
      </c>
      <c r="BK248" s="22">
        <f>INDEX($Q248:$AJ248,1,(BK$4-1)*5+1)+BK$8*INDEX($Q248:$AJ248,1,(BK$4-1)*5+2)*INDEX($Q248:$AJ248,1,(BK$4-1)*5+3)</f>
        <v/>
      </c>
      <c r="BL248" s="22">
        <f>INDEX($Q248:$AJ248,1,(BL$4-1)*5+1)+BL$8*INDEX($Q248:$AJ248,1,(BL$4-1)*5+2)*INDEX($Q248:$AJ248,1,(BL$4-1)*5+3)</f>
        <v/>
      </c>
      <c r="BM248" s="22">
        <f>INDEX($Q248:$AJ248,1,(BM$4-1)*5+1)+BM$8*INDEX($Q248:$AJ248,1,(BM$4-1)*5+2)*INDEX($Q248:$AJ248,1,(BM$4-1)*5+3)</f>
        <v/>
      </c>
      <c r="BN248" s="22">
        <f>INDEX($Q248:$AJ248,1,(BN$4-1)*5+1)+BN$8*INDEX($Q248:$AJ248,1,(BN$4-1)*5+2)*INDEX($Q248:$AJ248,1,(BN$4-1)*5+3)</f>
        <v/>
      </c>
    </row>
    <row r="249">
      <c r="B249" s="5" t="inlineStr">
        <is>
          <t>lpg</t>
        </is>
      </c>
      <c r="C249" s="5" t="inlineStr">
        <is>
          <t>cst</t>
        </is>
      </c>
      <c r="D249" s="5" t="inlineStr">
        <is>
          <t>Tax | Construction | LPG</t>
        </is>
      </c>
      <c r="E249" s="5" t="inlineStr">
        <is>
          <t>$/GJ</t>
        </is>
      </c>
      <c r="F249" s="5" t="inlineStr">
        <is>
          <t>Prices_dom, EF_GHG, Mapping</t>
        </is>
      </c>
      <c r="G249" s="19" t="inlineStr">
        <is>
          <t>mit.rp.lpg</t>
        </is>
      </c>
      <c r="H249" s="19" t="inlineStr">
        <is>
          <t>mit.tax.lpg.cst</t>
        </is>
      </c>
      <c r="J249" s="5">
        <f>INDEX(Mapping!$C$5:$C$20,MATCH($C249,Mapping!$A$5:$A$20,0))</f>
        <v/>
      </c>
      <c r="K249" s="5">
        <f>INDEX(Mapping!$D$5:$D$20,MATCH($C249,Mapping!$A$5:$A$20,0))</f>
        <v/>
      </c>
      <c r="L249" s="5">
        <f>INDEX(Mapping!$C$24:$C$31,MATCH($B249,Mapping!$A$24:$A$31,0))</f>
        <v/>
      </c>
      <c r="M249" s="5">
        <f>INDEX(Mapping!$D$24:$D$31,MATCH($B249,Mapping!$A$24:$A$31,0))</f>
        <v/>
      </c>
      <c r="N249" s="5">
        <f>$B249&amp;"."&amp;IF(INDEX(Mapping!$E$24:$E$31,MATCH($B249,Mapping!$A$24:$A$31,0))="sub",INDEX(Mapping!$F$5:$F$20,MATCH($C249,Mapping!$A$5:$A$20,0)),"all")</f>
        <v/>
      </c>
      <c r="O249" s="5">
        <f>INDEX(Mapping!$E$5:$E$20,MATCH($C249,Mapping!$A$5:$A$20,0))</f>
        <v/>
      </c>
      <c r="P249" s="5">
        <f>INDEX(Mapping!$G$24:$G$31,MATCH($B249,Mapping!$A$24:$A$31,0))</f>
        <v/>
      </c>
      <c r="Q249" s="22">
        <f>(INDEX(Prices_dom!$A$6:$CU$2000,MATCH(Settings!$C$4&amp;Settings!$C$7,Prices_dom!$A$6:$A$2000,0),MATCH("mit.rp."&amp;$N249,Prices_dom!$A$5:$CU$5,0))-INDEX(Prices_dom!$A$6:$CU$2000,MATCH(Settings!$C$4&amp;Settings!$C$7,Prices_dom!$A$6:$A$2000,0),MATCH("mit.sp."&amp;$N249,Prices_dom!$A$5:$CU$5,0)))/$P249</f>
        <v/>
      </c>
      <c r="R249" s="22">
        <f>INDEX(EF_GHG!$E$4:$E$1000,MATCH(Settings!$C$4&amp;"|"&amp;$B249&amp;"|"&amp;$O249,EF_GHG!$A$4:$A$1000,0))</f>
        <v/>
      </c>
      <c r="S249" s="22">
        <f>INDEX(Mapping!$G$5:$G$20,MATCH($C249,Mapping!$A$5:$A$20,0))</f>
        <v/>
      </c>
      <c r="T249" s="21" t="n"/>
      <c r="U249" s="21" t="n"/>
      <c r="V249" s="22">
        <f>Q249</f>
        <v/>
      </c>
      <c r="W249" s="22">
        <f>R249</f>
        <v/>
      </c>
      <c r="X249" s="22">
        <f>S249</f>
        <v/>
      </c>
      <c r="Y249" s="21" t="n"/>
      <c r="Z249" s="21" t="n"/>
      <c r="AA249" s="22">
        <f>Q249</f>
        <v/>
      </c>
      <c r="AB249" s="22">
        <f>R249</f>
        <v/>
      </c>
      <c r="AC249" s="22">
        <f>S249</f>
        <v/>
      </c>
      <c r="AD249" s="21" t="n"/>
      <c r="AE249" s="21" t="n"/>
      <c r="AF249" s="22">
        <f>Q249</f>
        <v/>
      </c>
      <c r="AG249" s="22">
        <f>R249</f>
        <v/>
      </c>
      <c r="AH249" s="22">
        <f>S249</f>
        <v/>
      </c>
      <c r="AI249" s="21" t="n"/>
      <c r="AJ249" s="21" t="n"/>
      <c r="AL249" s="23">
        <f>INDEX($Q249:$AJ249,1,(AL$4-1)*5+1)+AL$8*INDEX($Q249:$AJ249,1,(AL$4-1)*5+2)*INDEX($Q249:$AJ249,1,(AL$4-1)*5+3)</f>
        <v/>
      </c>
      <c r="AM249" s="22">
        <f>INDEX($Q249:$AJ249,1,(AM$4-1)*5+1)+AM$8*INDEX($Q249:$AJ249,1,(AM$4-1)*5+2)*INDEX($Q249:$AJ249,1,(AM$4-1)*5+3)</f>
        <v/>
      </c>
      <c r="AN249" s="22">
        <f>INDEX($Q249:$AJ249,1,(AN$4-1)*5+1)+AN$8*INDEX($Q249:$AJ249,1,(AN$4-1)*5+2)*INDEX($Q249:$AJ249,1,(AN$4-1)*5+3)</f>
        <v/>
      </c>
      <c r="AO249" s="22">
        <f>INDEX($Q249:$AJ249,1,(AO$4-1)*5+1)+AO$8*INDEX($Q249:$AJ249,1,(AO$4-1)*5+2)*INDEX($Q249:$AJ249,1,(AO$4-1)*5+3)</f>
        <v/>
      </c>
      <c r="AP249" s="22">
        <f>INDEX($Q249:$AJ249,1,(AP$4-1)*5+1)+AP$8*INDEX($Q249:$AJ249,1,(AP$4-1)*5+2)*INDEX($Q249:$AJ249,1,(AP$4-1)*5+3)</f>
        <v/>
      </c>
      <c r="AQ249" s="22">
        <f>INDEX($Q249:$AJ249,1,(AQ$4-1)*5+1)+AQ$8*INDEX($Q249:$AJ249,1,(AQ$4-1)*5+2)*INDEX($Q249:$AJ249,1,(AQ$4-1)*5+3)</f>
        <v/>
      </c>
      <c r="AR249" s="22">
        <f>INDEX($Q249:$AJ249,1,(AR$4-1)*5+1)+AR$8*INDEX($Q249:$AJ249,1,(AR$4-1)*5+2)*INDEX($Q249:$AJ249,1,(AR$4-1)*5+3)</f>
        <v/>
      </c>
      <c r="AS249" s="22">
        <f>INDEX($Q249:$AJ249,1,(AS$4-1)*5+1)+AS$8*INDEX($Q249:$AJ249,1,(AS$4-1)*5+2)*INDEX($Q249:$AJ249,1,(AS$4-1)*5+3)</f>
        <v/>
      </c>
      <c r="AT249" s="22">
        <f>INDEX($Q249:$AJ249,1,(AT$4-1)*5+1)+AT$8*INDEX($Q249:$AJ249,1,(AT$4-1)*5+2)*INDEX($Q249:$AJ249,1,(AT$4-1)*5+3)</f>
        <v/>
      </c>
      <c r="AU249" s="22">
        <f>INDEX($Q249:$AJ249,1,(AU$4-1)*5+1)+AU$8*INDEX($Q249:$AJ249,1,(AU$4-1)*5+2)*INDEX($Q249:$AJ249,1,(AU$4-1)*5+3)</f>
        <v/>
      </c>
      <c r="AV249" s="22">
        <f>INDEX($Q249:$AJ249,1,(AV$4-1)*5+1)+AV$8*INDEX($Q249:$AJ249,1,(AV$4-1)*5+2)*INDEX($Q249:$AJ249,1,(AV$4-1)*5+3)</f>
        <v/>
      </c>
      <c r="AW249" s="22">
        <f>INDEX($Q249:$AJ249,1,(AW$4-1)*5+1)+AW$8*INDEX($Q249:$AJ249,1,(AW$4-1)*5+2)*INDEX($Q249:$AJ249,1,(AW$4-1)*5+3)</f>
        <v/>
      </c>
      <c r="AX249" s="22">
        <f>INDEX($Q249:$AJ249,1,(AX$4-1)*5+1)+AX$8*INDEX($Q249:$AJ249,1,(AX$4-1)*5+2)*INDEX($Q249:$AJ249,1,(AX$4-1)*5+3)</f>
        <v/>
      </c>
      <c r="AY249" s="22">
        <f>INDEX($Q249:$AJ249,1,(AY$4-1)*5+1)+AY$8*INDEX($Q249:$AJ249,1,(AY$4-1)*5+2)*INDEX($Q249:$AJ249,1,(AY$4-1)*5+3)</f>
        <v/>
      </c>
      <c r="BA249" s="23">
        <f>INDEX($Q249:$AJ249,1,(BA$4-1)*5+1)+BA$8*INDEX($Q249:$AJ249,1,(BA$4-1)*5+2)*INDEX($Q249:$AJ249,1,(BA$4-1)*5+3)</f>
        <v/>
      </c>
      <c r="BB249" s="22">
        <f>INDEX($Q249:$AJ249,1,(BB$4-1)*5+1)+BB$8*INDEX($Q249:$AJ249,1,(BB$4-1)*5+2)*INDEX($Q249:$AJ249,1,(BB$4-1)*5+3)</f>
        <v/>
      </c>
      <c r="BC249" s="22">
        <f>INDEX($Q249:$AJ249,1,(BC$4-1)*5+1)+BC$8*INDEX($Q249:$AJ249,1,(BC$4-1)*5+2)*INDEX($Q249:$AJ249,1,(BC$4-1)*5+3)</f>
        <v/>
      </c>
      <c r="BD249" s="22">
        <f>INDEX($Q249:$AJ249,1,(BD$4-1)*5+1)+BD$8*INDEX($Q249:$AJ249,1,(BD$4-1)*5+2)*INDEX($Q249:$AJ249,1,(BD$4-1)*5+3)</f>
        <v/>
      </c>
      <c r="BE249" s="22">
        <f>INDEX($Q249:$AJ249,1,(BE$4-1)*5+1)+BE$8*INDEX($Q249:$AJ249,1,(BE$4-1)*5+2)*INDEX($Q249:$AJ249,1,(BE$4-1)*5+3)</f>
        <v/>
      </c>
      <c r="BF249" s="22">
        <f>INDEX($Q249:$AJ249,1,(BF$4-1)*5+1)+BF$8*INDEX($Q249:$AJ249,1,(BF$4-1)*5+2)*INDEX($Q249:$AJ249,1,(BF$4-1)*5+3)</f>
        <v/>
      </c>
      <c r="BG249" s="22">
        <f>INDEX($Q249:$AJ249,1,(BG$4-1)*5+1)+BG$8*INDEX($Q249:$AJ249,1,(BG$4-1)*5+2)*INDEX($Q249:$AJ249,1,(BG$4-1)*5+3)</f>
        <v/>
      </c>
      <c r="BH249" s="22">
        <f>INDEX($Q249:$AJ249,1,(BH$4-1)*5+1)+BH$8*INDEX($Q249:$AJ249,1,(BH$4-1)*5+2)*INDEX($Q249:$AJ249,1,(BH$4-1)*5+3)</f>
        <v/>
      </c>
      <c r="BI249" s="22">
        <f>INDEX($Q249:$AJ249,1,(BI$4-1)*5+1)+BI$8*INDEX($Q249:$AJ249,1,(BI$4-1)*5+2)*INDEX($Q249:$AJ249,1,(BI$4-1)*5+3)</f>
        <v/>
      </c>
      <c r="BJ249" s="22">
        <f>INDEX($Q249:$AJ249,1,(BJ$4-1)*5+1)+BJ$8*INDEX($Q249:$AJ249,1,(BJ$4-1)*5+2)*INDEX($Q249:$AJ249,1,(BJ$4-1)*5+3)</f>
        <v/>
      </c>
      <c r="BK249" s="22">
        <f>INDEX($Q249:$AJ249,1,(BK$4-1)*5+1)+BK$8*INDEX($Q249:$AJ249,1,(BK$4-1)*5+2)*INDEX($Q249:$AJ249,1,(BK$4-1)*5+3)</f>
        <v/>
      </c>
      <c r="BL249" s="22">
        <f>INDEX($Q249:$AJ249,1,(BL$4-1)*5+1)+BL$8*INDEX($Q249:$AJ249,1,(BL$4-1)*5+2)*INDEX($Q249:$AJ249,1,(BL$4-1)*5+3)</f>
        <v/>
      </c>
      <c r="BM249" s="22">
        <f>INDEX($Q249:$AJ249,1,(BM$4-1)*5+1)+BM$8*INDEX($Q249:$AJ249,1,(BM$4-1)*5+2)*INDEX($Q249:$AJ249,1,(BM$4-1)*5+3)</f>
        <v/>
      </c>
      <c r="BN249" s="22">
        <f>INDEX($Q249:$AJ249,1,(BN$4-1)*5+1)+BN$8*INDEX($Q249:$AJ249,1,(BN$4-1)*5+2)*INDEX($Q249:$AJ249,1,(BN$4-1)*5+3)</f>
        <v/>
      </c>
    </row>
    <row r="250">
      <c r="B250" s="5" t="inlineStr">
        <is>
          <t>ker</t>
        </is>
      </c>
      <c r="C250" s="5" t="inlineStr">
        <is>
          <t>cst</t>
        </is>
      </c>
      <c r="D250" s="5" t="inlineStr">
        <is>
          <t>Tax | Construction | Kerosene</t>
        </is>
      </c>
      <c r="E250" s="5" t="inlineStr">
        <is>
          <t>$/GJ</t>
        </is>
      </c>
      <c r="F250" s="5" t="inlineStr">
        <is>
          <t>Prices_dom, EF_GHG, Mapping</t>
        </is>
      </c>
      <c r="G250" s="19" t="inlineStr">
        <is>
          <t>mit.rp.ker</t>
        </is>
      </c>
      <c r="H250" s="19" t="inlineStr">
        <is>
          <t>mit.tax.ker.cst</t>
        </is>
      </c>
      <c r="J250" s="5">
        <f>INDEX(Mapping!$C$5:$C$20,MATCH($C250,Mapping!$A$5:$A$20,0))</f>
        <v/>
      </c>
      <c r="K250" s="5">
        <f>INDEX(Mapping!$D$5:$D$20,MATCH($C250,Mapping!$A$5:$A$20,0))</f>
        <v/>
      </c>
      <c r="L250" s="5">
        <f>INDEX(Mapping!$C$24:$C$31,MATCH($B250,Mapping!$A$24:$A$31,0))</f>
        <v/>
      </c>
      <c r="M250" s="5">
        <f>INDEX(Mapping!$D$24:$D$31,MATCH($B250,Mapping!$A$24:$A$31,0))</f>
        <v/>
      </c>
      <c r="N250" s="5">
        <f>$B250&amp;"."&amp;IF(INDEX(Mapping!$E$24:$E$31,MATCH($B250,Mapping!$A$24:$A$31,0))="sub",INDEX(Mapping!$F$5:$F$20,MATCH($C250,Mapping!$A$5:$A$20,0)),"all")</f>
        <v/>
      </c>
      <c r="O250" s="5">
        <f>INDEX(Mapping!$E$5:$E$20,MATCH($C250,Mapping!$A$5:$A$20,0))</f>
        <v/>
      </c>
      <c r="P250" s="5">
        <f>INDEX(Mapping!$G$24:$G$31,MATCH($B250,Mapping!$A$24:$A$31,0))</f>
        <v/>
      </c>
      <c r="Q250" s="22">
        <f>(INDEX(Prices_dom!$A$6:$CU$2000,MATCH(Settings!$C$4&amp;Settings!$C$7,Prices_dom!$A$6:$A$2000,0),MATCH("mit.rp."&amp;$N250,Prices_dom!$A$5:$CU$5,0))-INDEX(Prices_dom!$A$6:$CU$2000,MATCH(Settings!$C$4&amp;Settings!$C$7,Prices_dom!$A$6:$A$2000,0),MATCH("mit.sp."&amp;$N250,Prices_dom!$A$5:$CU$5,0)))/$P250</f>
        <v/>
      </c>
      <c r="R250" s="22">
        <f>INDEX(EF_GHG!$E$4:$E$1000,MATCH(Settings!$C$4&amp;"|"&amp;$B250&amp;"|"&amp;$O250,EF_GHG!$A$4:$A$1000,0))</f>
        <v/>
      </c>
      <c r="S250" s="22">
        <f>INDEX(Mapping!$G$5:$G$20,MATCH($C250,Mapping!$A$5:$A$20,0))</f>
        <v/>
      </c>
      <c r="T250" s="21" t="n"/>
      <c r="U250" s="21" t="n"/>
      <c r="V250" s="22">
        <f>Q250</f>
        <v/>
      </c>
      <c r="W250" s="22">
        <f>R250</f>
        <v/>
      </c>
      <c r="X250" s="22">
        <f>S250</f>
        <v/>
      </c>
      <c r="Y250" s="21" t="n"/>
      <c r="Z250" s="21" t="n"/>
      <c r="AA250" s="22">
        <f>Q250</f>
        <v/>
      </c>
      <c r="AB250" s="22">
        <f>R250</f>
        <v/>
      </c>
      <c r="AC250" s="22">
        <f>S250</f>
        <v/>
      </c>
      <c r="AD250" s="21" t="n"/>
      <c r="AE250" s="21" t="n"/>
      <c r="AF250" s="22">
        <f>Q250</f>
        <v/>
      </c>
      <c r="AG250" s="22">
        <f>R250</f>
        <v/>
      </c>
      <c r="AH250" s="22">
        <f>S250</f>
        <v/>
      </c>
      <c r="AI250" s="21" t="n"/>
      <c r="AJ250" s="21" t="n"/>
      <c r="AL250" s="23">
        <f>INDEX($Q250:$AJ250,1,(AL$4-1)*5+1)+AL$8*INDEX($Q250:$AJ250,1,(AL$4-1)*5+2)*INDEX($Q250:$AJ250,1,(AL$4-1)*5+3)</f>
        <v/>
      </c>
      <c r="AM250" s="22">
        <f>INDEX($Q250:$AJ250,1,(AM$4-1)*5+1)+AM$8*INDEX($Q250:$AJ250,1,(AM$4-1)*5+2)*INDEX($Q250:$AJ250,1,(AM$4-1)*5+3)</f>
        <v/>
      </c>
      <c r="AN250" s="22">
        <f>INDEX($Q250:$AJ250,1,(AN$4-1)*5+1)+AN$8*INDEX($Q250:$AJ250,1,(AN$4-1)*5+2)*INDEX($Q250:$AJ250,1,(AN$4-1)*5+3)</f>
        <v/>
      </c>
      <c r="AO250" s="22">
        <f>INDEX($Q250:$AJ250,1,(AO$4-1)*5+1)+AO$8*INDEX($Q250:$AJ250,1,(AO$4-1)*5+2)*INDEX($Q250:$AJ250,1,(AO$4-1)*5+3)</f>
        <v/>
      </c>
      <c r="AP250" s="22">
        <f>INDEX($Q250:$AJ250,1,(AP$4-1)*5+1)+AP$8*INDEX($Q250:$AJ250,1,(AP$4-1)*5+2)*INDEX($Q250:$AJ250,1,(AP$4-1)*5+3)</f>
        <v/>
      </c>
      <c r="AQ250" s="22">
        <f>INDEX($Q250:$AJ250,1,(AQ$4-1)*5+1)+AQ$8*INDEX($Q250:$AJ250,1,(AQ$4-1)*5+2)*INDEX($Q250:$AJ250,1,(AQ$4-1)*5+3)</f>
        <v/>
      </c>
      <c r="AR250" s="22">
        <f>INDEX($Q250:$AJ250,1,(AR$4-1)*5+1)+AR$8*INDEX($Q250:$AJ250,1,(AR$4-1)*5+2)*INDEX($Q250:$AJ250,1,(AR$4-1)*5+3)</f>
        <v/>
      </c>
      <c r="AS250" s="22">
        <f>INDEX($Q250:$AJ250,1,(AS$4-1)*5+1)+AS$8*INDEX($Q250:$AJ250,1,(AS$4-1)*5+2)*INDEX($Q250:$AJ250,1,(AS$4-1)*5+3)</f>
        <v/>
      </c>
      <c r="AT250" s="22">
        <f>INDEX($Q250:$AJ250,1,(AT$4-1)*5+1)+AT$8*INDEX($Q250:$AJ250,1,(AT$4-1)*5+2)*INDEX($Q250:$AJ250,1,(AT$4-1)*5+3)</f>
        <v/>
      </c>
      <c r="AU250" s="22">
        <f>INDEX($Q250:$AJ250,1,(AU$4-1)*5+1)+AU$8*INDEX($Q250:$AJ250,1,(AU$4-1)*5+2)*INDEX($Q250:$AJ250,1,(AU$4-1)*5+3)</f>
        <v/>
      </c>
      <c r="AV250" s="22">
        <f>INDEX($Q250:$AJ250,1,(AV$4-1)*5+1)+AV$8*INDEX($Q250:$AJ250,1,(AV$4-1)*5+2)*INDEX($Q250:$AJ250,1,(AV$4-1)*5+3)</f>
        <v/>
      </c>
      <c r="AW250" s="22">
        <f>INDEX($Q250:$AJ250,1,(AW$4-1)*5+1)+AW$8*INDEX($Q250:$AJ250,1,(AW$4-1)*5+2)*INDEX($Q250:$AJ250,1,(AW$4-1)*5+3)</f>
        <v/>
      </c>
      <c r="AX250" s="22">
        <f>INDEX($Q250:$AJ250,1,(AX$4-1)*5+1)+AX$8*INDEX($Q250:$AJ250,1,(AX$4-1)*5+2)*INDEX($Q250:$AJ250,1,(AX$4-1)*5+3)</f>
        <v/>
      </c>
      <c r="AY250" s="22">
        <f>INDEX($Q250:$AJ250,1,(AY$4-1)*5+1)+AY$8*INDEX($Q250:$AJ250,1,(AY$4-1)*5+2)*INDEX($Q250:$AJ250,1,(AY$4-1)*5+3)</f>
        <v/>
      </c>
      <c r="BA250" s="23">
        <f>INDEX($Q250:$AJ250,1,(BA$4-1)*5+1)+BA$8*INDEX($Q250:$AJ250,1,(BA$4-1)*5+2)*INDEX($Q250:$AJ250,1,(BA$4-1)*5+3)</f>
        <v/>
      </c>
      <c r="BB250" s="22">
        <f>INDEX($Q250:$AJ250,1,(BB$4-1)*5+1)+BB$8*INDEX($Q250:$AJ250,1,(BB$4-1)*5+2)*INDEX($Q250:$AJ250,1,(BB$4-1)*5+3)</f>
        <v/>
      </c>
      <c r="BC250" s="22">
        <f>INDEX($Q250:$AJ250,1,(BC$4-1)*5+1)+BC$8*INDEX($Q250:$AJ250,1,(BC$4-1)*5+2)*INDEX($Q250:$AJ250,1,(BC$4-1)*5+3)</f>
        <v/>
      </c>
      <c r="BD250" s="22">
        <f>INDEX($Q250:$AJ250,1,(BD$4-1)*5+1)+BD$8*INDEX($Q250:$AJ250,1,(BD$4-1)*5+2)*INDEX($Q250:$AJ250,1,(BD$4-1)*5+3)</f>
        <v/>
      </c>
      <c r="BE250" s="22">
        <f>INDEX($Q250:$AJ250,1,(BE$4-1)*5+1)+BE$8*INDEX($Q250:$AJ250,1,(BE$4-1)*5+2)*INDEX($Q250:$AJ250,1,(BE$4-1)*5+3)</f>
        <v/>
      </c>
      <c r="BF250" s="22">
        <f>INDEX($Q250:$AJ250,1,(BF$4-1)*5+1)+BF$8*INDEX($Q250:$AJ250,1,(BF$4-1)*5+2)*INDEX($Q250:$AJ250,1,(BF$4-1)*5+3)</f>
        <v/>
      </c>
      <c r="BG250" s="22">
        <f>INDEX($Q250:$AJ250,1,(BG$4-1)*5+1)+BG$8*INDEX($Q250:$AJ250,1,(BG$4-1)*5+2)*INDEX($Q250:$AJ250,1,(BG$4-1)*5+3)</f>
        <v/>
      </c>
      <c r="BH250" s="22">
        <f>INDEX($Q250:$AJ250,1,(BH$4-1)*5+1)+BH$8*INDEX($Q250:$AJ250,1,(BH$4-1)*5+2)*INDEX($Q250:$AJ250,1,(BH$4-1)*5+3)</f>
        <v/>
      </c>
      <c r="BI250" s="22">
        <f>INDEX($Q250:$AJ250,1,(BI$4-1)*5+1)+BI$8*INDEX($Q250:$AJ250,1,(BI$4-1)*5+2)*INDEX($Q250:$AJ250,1,(BI$4-1)*5+3)</f>
        <v/>
      </c>
      <c r="BJ250" s="22">
        <f>INDEX($Q250:$AJ250,1,(BJ$4-1)*5+1)+BJ$8*INDEX($Q250:$AJ250,1,(BJ$4-1)*5+2)*INDEX($Q250:$AJ250,1,(BJ$4-1)*5+3)</f>
        <v/>
      </c>
      <c r="BK250" s="22">
        <f>INDEX($Q250:$AJ250,1,(BK$4-1)*5+1)+BK$8*INDEX($Q250:$AJ250,1,(BK$4-1)*5+2)*INDEX($Q250:$AJ250,1,(BK$4-1)*5+3)</f>
        <v/>
      </c>
      <c r="BL250" s="22">
        <f>INDEX($Q250:$AJ250,1,(BL$4-1)*5+1)+BL$8*INDEX($Q250:$AJ250,1,(BL$4-1)*5+2)*INDEX($Q250:$AJ250,1,(BL$4-1)*5+3)</f>
        <v/>
      </c>
      <c r="BM250" s="22">
        <f>INDEX($Q250:$AJ250,1,(BM$4-1)*5+1)+BM$8*INDEX($Q250:$AJ250,1,(BM$4-1)*5+2)*INDEX($Q250:$AJ250,1,(BM$4-1)*5+3)</f>
        <v/>
      </c>
      <c r="BN250" s="22">
        <f>INDEX($Q250:$AJ250,1,(BN$4-1)*5+1)+BN$8*INDEX($Q250:$AJ250,1,(BN$4-1)*5+2)*INDEX($Q250:$AJ250,1,(BN$4-1)*5+3)</f>
        <v/>
      </c>
    </row>
    <row r="251">
      <c r="B251" s="5" t="inlineStr">
        <is>
          <t>oop</t>
        </is>
      </c>
      <c r="C251" s="5" t="inlineStr">
        <is>
          <t>cst</t>
        </is>
      </c>
      <c r="D251" s="5" t="inlineStr">
        <is>
          <t>Tax | Construction | Other oil products</t>
        </is>
      </c>
      <c r="E251" s="5" t="inlineStr">
        <is>
          <t>$/GJ</t>
        </is>
      </c>
      <c r="F251" s="5" t="inlineStr">
        <is>
          <t>Prices_dom, EF_GHG, Mapping</t>
        </is>
      </c>
      <c r="G251" s="19" t="inlineStr">
        <is>
          <t>mit.rp.oop</t>
        </is>
      </c>
      <c r="H251" s="19" t="inlineStr">
        <is>
          <t>mit.tax.oop.cst</t>
        </is>
      </c>
      <c r="J251" s="5">
        <f>INDEX(Mapping!$C$5:$C$20,MATCH($C251,Mapping!$A$5:$A$20,0))</f>
        <v/>
      </c>
      <c r="K251" s="5">
        <f>INDEX(Mapping!$D$5:$D$20,MATCH($C251,Mapping!$A$5:$A$20,0))</f>
        <v/>
      </c>
      <c r="L251" s="5">
        <f>INDEX(Mapping!$C$24:$C$31,MATCH($B251,Mapping!$A$24:$A$31,0))</f>
        <v/>
      </c>
      <c r="M251" s="5">
        <f>INDEX(Mapping!$D$24:$D$31,MATCH($B251,Mapping!$A$24:$A$31,0))</f>
        <v/>
      </c>
      <c r="N251" s="5">
        <f>$B251&amp;"."&amp;IF(INDEX(Mapping!$E$24:$E$31,MATCH($B251,Mapping!$A$24:$A$31,0))="sub",INDEX(Mapping!$F$5:$F$20,MATCH($C251,Mapping!$A$5:$A$20,0)),"all")</f>
        <v/>
      </c>
      <c r="O251" s="5">
        <f>INDEX(Mapping!$E$5:$E$20,MATCH($C251,Mapping!$A$5:$A$20,0))</f>
        <v/>
      </c>
      <c r="P251" s="5">
        <f>INDEX(Mapping!$G$24:$G$31,MATCH($B251,Mapping!$A$24:$A$31,0))</f>
        <v/>
      </c>
      <c r="Q251" s="22">
        <f>(INDEX(Prices_dom!$A$6:$CU$2000,MATCH(Settings!$C$4&amp;Settings!$C$7,Prices_dom!$A$6:$A$2000,0),MATCH("mit.rp."&amp;$N251,Prices_dom!$A$5:$CU$5,0))-INDEX(Prices_dom!$A$6:$CU$2000,MATCH(Settings!$C$4&amp;Settings!$C$7,Prices_dom!$A$6:$A$2000,0),MATCH("mit.sp."&amp;$N251,Prices_dom!$A$5:$CU$5,0)))/$P251</f>
        <v/>
      </c>
      <c r="R251" s="22">
        <f>INDEX(EF_GHG!$E$4:$E$1000,MATCH(Settings!$C$4&amp;"|"&amp;$B251&amp;"|"&amp;$O251,EF_GHG!$A$4:$A$1000,0))</f>
        <v/>
      </c>
      <c r="S251" s="22">
        <f>INDEX(Mapping!$G$5:$G$20,MATCH($C251,Mapping!$A$5:$A$20,0))</f>
        <v/>
      </c>
      <c r="T251" s="21" t="n"/>
      <c r="U251" s="21" t="n"/>
      <c r="V251" s="22">
        <f>Q251</f>
        <v/>
      </c>
      <c r="W251" s="22">
        <f>R251</f>
        <v/>
      </c>
      <c r="X251" s="22">
        <f>S251</f>
        <v/>
      </c>
      <c r="Y251" s="21" t="n"/>
      <c r="Z251" s="21" t="n"/>
      <c r="AA251" s="22">
        <f>Q251</f>
        <v/>
      </c>
      <c r="AB251" s="22">
        <f>R251</f>
        <v/>
      </c>
      <c r="AC251" s="22">
        <f>S251</f>
        <v/>
      </c>
      <c r="AD251" s="21" t="n"/>
      <c r="AE251" s="21" t="n"/>
      <c r="AF251" s="22">
        <f>Q251</f>
        <v/>
      </c>
      <c r="AG251" s="22">
        <f>R251</f>
        <v/>
      </c>
      <c r="AH251" s="22">
        <f>S251</f>
        <v/>
      </c>
      <c r="AI251" s="21" t="n"/>
      <c r="AJ251" s="21" t="n"/>
      <c r="AL251" s="23">
        <f>INDEX($Q251:$AJ251,1,(AL$4-1)*5+1)+AL$8*INDEX($Q251:$AJ251,1,(AL$4-1)*5+2)*INDEX($Q251:$AJ251,1,(AL$4-1)*5+3)</f>
        <v/>
      </c>
      <c r="AM251" s="22">
        <f>INDEX($Q251:$AJ251,1,(AM$4-1)*5+1)+AM$8*INDEX($Q251:$AJ251,1,(AM$4-1)*5+2)*INDEX($Q251:$AJ251,1,(AM$4-1)*5+3)</f>
        <v/>
      </c>
      <c r="AN251" s="22">
        <f>INDEX($Q251:$AJ251,1,(AN$4-1)*5+1)+AN$8*INDEX($Q251:$AJ251,1,(AN$4-1)*5+2)*INDEX($Q251:$AJ251,1,(AN$4-1)*5+3)</f>
        <v/>
      </c>
      <c r="AO251" s="22">
        <f>INDEX($Q251:$AJ251,1,(AO$4-1)*5+1)+AO$8*INDEX($Q251:$AJ251,1,(AO$4-1)*5+2)*INDEX($Q251:$AJ251,1,(AO$4-1)*5+3)</f>
        <v/>
      </c>
      <c r="AP251" s="22">
        <f>INDEX($Q251:$AJ251,1,(AP$4-1)*5+1)+AP$8*INDEX($Q251:$AJ251,1,(AP$4-1)*5+2)*INDEX($Q251:$AJ251,1,(AP$4-1)*5+3)</f>
        <v/>
      </c>
      <c r="AQ251" s="22">
        <f>INDEX($Q251:$AJ251,1,(AQ$4-1)*5+1)+AQ$8*INDEX($Q251:$AJ251,1,(AQ$4-1)*5+2)*INDEX($Q251:$AJ251,1,(AQ$4-1)*5+3)</f>
        <v/>
      </c>
      <c r="AR251" s="22">
        <f>INDEX($Q251:$AJ251,1,(AR$4-1)*5+1)+AR$8*INDEX($Q251:$AJ251,1,(AR$4-1)*5+2)*INDEX($Q251:$AJ251,1,(AR$4-1)*5+3)</f>
        <v/>
      </c>
      <c r="AS251" s="22">
        <f>INDEX($Q251:$AJ251,1,(AS$4-1)*5+1)+AS$8*INDEX($Q251:$AJ251,1,(AS$4-1)*5+2)*INDEX($Q251:$AJ251,1,(AS$4-1)*5+3)</f>
        <v/>
      </c>
      <c r="AT251" s="22">
        <f>INDEX($Q251:$AJ251,1,(AT$4-1)*5+1)+AT$8*INDEX($Q251:$AJ251,1,(AT$4-1)*5+2)*INDEX($Q251:$AJ251,1,(AT$4-1)*5+3)</f>
        <v/>
      </c>
      <c r="AU251" s="22">
        <f>INDEX($Q251:$AJ251,1,(AU$4-1)*5+1)+AU$8*INDEX($Q251:$AJ251,1,(AU$4-1)*5+2)*INDEX($Q251:$AJ251,1,(AU$4-1)*5+3)</f>
        <v/>
      </c>
      <c r="AV251" s="22">
        <f>INDEX($Q251:$AJ251,1,(AV$4-1)*5+1)+AV$8*INDEX($Q251:$AJ251,1,(AV$4-1)*5+2)*INDEX($Q251:$AJ251,1,(AV$4-1)*5+3)</f>
        <v/>
      </c>
      <c r="AW251" s="22">
        <f>INDEX($Q251:$AJ251,1,(AW$4-1)*5+1)+AW$8*INDEX($Q251:$AJ251,1,(AW$4-1)*5+2)*INDEX($Q251:$AJ251,1,(AW$4-1)*5+3)</f>
        <v/>
      </c>
      <c r="AX251" s="22">
        <f>INDEX($Q251:$AJ251,1,(AX$4-1)*5+1)+AX$8*INDEX($Q251:$AJ251,1,(AX$4-1)*5+2)*INDEX($Q251:$AJ251,1,(AX$4-1)*5+3)</f>
        <v/>
      </c>
      <c r="AY251" s="22">
        <f>INDEX($Q251:$AJ251,1,(AY$4-1)*5+1)+AY$8*INDEX($Q251:$AJ251,1,(AY$4-1)*5+2)*INDEX($Q251:$AJ251,1,(AY$4-1)*5+3)</f>
        <v/>
      </c>
      <c r="BA251" s="23">
        <f>INDEX($Q251:$AJ251,1,(BA$4-1)*5+1)+BA$8*INDEX($Q251:$AJ251,1,(BA$4-1)*5+2)*INDEX($Q251:$AJ251,1,(BA$4-1)*5+3)</f>
        <v/>
      </c>
      <c r="BB251" s="22">
        <f>INDEX($Q251:$AJ251,1,(BB$4-1)*5+1)+BB$8*INDEX($Q251:$AJ251,1,(BB$4-1)*5+2)*INDEX($Q251:$AJ251,1,(BB$4-1)*5+3)</f>
        <v/>
      </c>
      <c r="BC251" s="22">
        <f>INDEX($Q251:$AJ251,1,(BC$4-1)*5+1)+BC$8*INDEX($Q251:$AJ251,1,(BC$4-1)*5+2)*INDEX($Q251:$AJ251,1,(BC$4-1)*5+3)</f>
        <v/>
      </c>
      <c r="BD251" s="22">
        <f>INDEX($Q251:$AJ251,1,(BD$4-1)*5+1)+BD$8*INDEX($Q251:$AJ251,1,(BD$4-1)*5+2)*INDEX($Q251:$AJ251,1,(BD$4-1)*5+3)</f>
        <v/>
      </c>
      <c r="BE251" s="22">
        <f>INDEX($Q251:$AJ251,1,(BE$4-1)*5+1)+BE$8*INDEX($Q251:$AJ251,1,(BE$4-1)*5+2)*INDEX($Q251:$AJ251,1,(BE$4-1)*5+3)</f>
        <v/>
      </c>
      <c r="BF251" s="22">
        <f>INDEX($Q251:$AJ251,1,(BF$4-1)*5+1)+BF$8*INDEX($Q251:$AJ251,1,(BF$4-1)*5+2)*INDEX($Q251:$AJ251,1,(BF$4-1)*5+3)</f>
        <v/>
      </c>
      <c r="BG251" s="22">
        <f>INDEX($Q251:$AJ251,1,(BG$4-1)*5+1)+BG$8*INDEX($Q251:$AJ251,1,(BG$4-1)*5+2)*INDEX($Q251:$AJ251,1,(BG$4-1)*5+3)</f>
        <v/>
      </c>
      <c r="BH251" s="22">
        <f>INDEX($Q251:$AJ251,1,(BH$4-1)*5+1)+BH$8*INDEX($Q251:$AJ251,1,(BH$4-1)*5+2)*INDEX($Q251:$AJ251,1,(BH$4-1)*5+3)</f>
        <v/>
      </c>
      <c r="BI251" s="22">
        <f>INDEX($Q251:$AJ251,1,(BI$4-1)*5+1)+BI$8*INDEX($Q251:$AJ251,1,(BI$4-1)*5+2)*INDEX($Q251:$AJ251,1,(BI$4-1)*5+3)</f>
        <v/>
      </c>
      <c r="BJ251" s="22">
        <f>INDEX($Q251:$AJ251,1,(BJ$4-1)*5+1)+BJ$8*INDEX($Q251:$AJ251,1,(BJ$4-1)*5+2)*INDEX($Q251:$AJ251,1,(BJ$4-1)*5+3)</f>
        <v/>
      </c>
      <c r="BK251" s="22">
        <f>INDEX($Q251:$AJ251,1,(BK$4-1)*5+1)+BK$8*INDEX($Q251:$AJ251,1,(BK$4-1)*5+2)*INDEX($Q251:$AJ251,1,(BK$4-1)*5+3)</f>
        <v/>
      </c>
      <c r="BL251" s="22">
        <f>INDEX($Q251:$AJ251,1,(BL$4-1)*5+1)+BL$8*INDEX($Q251:$AJ251,1,(BL$4-1)*5+2)*INDEX($Q251:$AJ251,1,(BL$4-1)*5+3)</f>
        <v/>
      </c>
      <c r="BM251" s="22">
        <f>INDEX($Q251:$AJ251,1,(BM$4-1)*5+1)+BM$8*INDEX($Q251:$AJ251,1,(BM$4-1)*5+2)*INDEX($Q251:$AJ251,1,(BM$4-1)*5+3)</f>
        <v/>
      </c>
      <c r="BN251" s="22">
        <f>INDEX($Q251:$AJ251,1,(BN$4-1)*5+1)+BN$8*INDEX($Q251:$AJ251,1,(BN$4-1)*5+2)*INDEX($Q251:$AJ251,1,(BN$4-1)*5+3)</f>
        <v/>
      </c>
    </row>
    <row r="252">
      <c r="B252" s="5" t="inlineStr">
        <is>
          <t>bio</t>
        </is>
      </c>
      <c r="C252" s="5" t="inlineStr">
        <is>
          <t>cst</t>
        </is>
      </c>
      <c r="D252" s="5" t="inlineStr">
        <is>
          <t>Tax | Construction | Biomass</t>
        </is>
      </c>
      <c r="E252" s="5" t="inlineStr">
        <is>
          <t>$/GJ</t>
        </is>
      </c>
      <c r="F252" s="5" t="inlineStr">
        <is>
          <t>Prices_dom, EF_GHG, Mapping</t>
        </is>
      </c>
      <c r="G252" s="19" t="inlineStr">
        <is>
          <t>mit.rp.bio</t>
        </is>
      </c>
      <c r="H252" s="19" t="inlineStr">
        <is>
          <t>mit.tax.bio.cst</t>
        </is>
      </c>
      <c r="J252" s="5">
        <f>INDEX(Mapping!$C$5:$C$20,MATCH($C252,Mapping!$A$5:$A$20,0))</f>
        <v/>
      </c>
      <c r="K252" s="5">
        <f>INDEX(Mapping!$D$5:$D$20,MATCH($C252,Mapping!$A$5:$A$20,0))</f>
        <v/>
      </c>
      <c r="L252" s="5">
        <f>INDEX(Mapping!$C$24:$C$31,MATCH($B252,Mapping!$A$24:$A$31,0))</f>
        <v/>
      </c>
      <c r="M252" s="5">
        <f>INDEX(Mapping!$D$24:$D$31,MATCH($B252,Mapping!$A$24:$A$31,0))</f>
        <v/>
      </c>
      <c r="N252" s="5">
        <f>$B252&amp;"."&amp;IF(INDEX(Mapping!$E$24:$E$31,MATCH($B252,Mapping!$A$24:$A$31,0))="sub",INDEX(Mapping!$F$5:$F$20,MATCH($C252,Mapping!$A$5:$A$20,0)),"all")</f>
        <v/>
      </c>
      <c r="O252" s="5">
        <f>INDEX(Mapping!$E$5:$E$20,MATCH($C252,Mapping!$A$5:$A$20,0))</f>
        <v/>
      </c>
      <c r="P252" s="5">
        <f>INDEX(Mapping!$G$24:$G$31,MATCH($B252,Mapping!$A$24:$A$31,0))</f>
        <v/>
      </c>
      <c r="Q252" s="22">
        <f>(INDEX(Prices_dom!$A$6:$CU$2000,MATCH(Settings!$C$4&amp;Settings!$C$7,Prices_dom!$A$6:$A$2000,0),MATCH("mit.rp."&amp;$N252,Prices_dom!$A$5:$CU$5,0))-INDEX(Prices_dom!$A$6:$CU$2000,MATCH(Settings!$C$4&amp;Settings!$C$7,Prices_dom!$A$6:$A$2000,0),MATCH("mit.sp."&amp;$N252,Prices_dom!$A$5:$CU$5,0)))/$P252</f>
        <v/>
      </c>
      <c r="R252" s="22">
        <f>INDEX(EF_GHG!$E$4:$E$1000,MATCH(Settings!$C$4&amp;"|"&amp;$B252&amp;"|"&amp;$O252,EF_GHG!$A$4:$A$1000,0))</f>
        <v/>
      </c>
      <c r="S252" s="22">
        <f>INDEX(Mapping!$G$5:$G$20,MATCH($C252,Mapping!$A$5:$A$20,0))</f>
        <v/>
      </c>
      <c r="T252" s="21" t="n"/>
      <c r="U252" s="21" t="n"/>
      <c r="V252" s="22">
        <f>Q252</f>
        <v/>
      </c>
      <c r="W252" s="22">
        <f>R252</f>
        <v/>
      </c>
      <c r="X252" s="22">
        <f>S252</f>
        <v/>
      </c>
      <c r="Y252" s="21" t="n"/>
      <c r="Z252" s="21" t="n"/>
      <c r="AA252" s="22">
        <f>Q252</f>
        <v/>
      </c>
      <c r="AB252" s="22">
        <f>R252</f>
        <v/>
      </c>
      <c r="AC252" s="22">
        <f>S252</f>
        <v/>
      </c>
      <c r="AD252" s="21" t="n"/>
      <c r="AE252" s="21" t="n"/>
      <c r="AF252" s="22">
        <f>Q252</f>
        <v/>
      </c>
      <c r="AG252" s="22">
        <f>R252</f>
        <v/>
      </c>
      <c r="AH252" s="22">
        <f>S252</f>
        <v/>
      </c>
      <c r="AI252" s="21" t="n"/>
      <c r="AJ252" s="21" t="n"/>
      <c r="AL252" s="23">
        <f>INDEX($Q252:$AJ252,1,(AL$4-1)*5+1)+AL$8*INDEX($Q252:$AJ252,1,(AL$4-1)*5+2)*INDEX($Q252:$AJ252,1,(AL$4-1)*5+3)</f>
        <v/>
      </c>
      <c r="AM252" s="22">
        <f>INDEX($Q252:$AJ252,1,(AM$4-1)*5+1)+AM$8*INDEX($Q252:$AJ252,1,(AM$4-1)*5+2)*INDEX($Q252:$AJ252,1,(AM$4-1)*5+3)</f>
        <v/>
      </c>
      <c r="AN252" s="22">
        <f>INDEX($Q252:$AJ252,1,(AN$4-1)*5+1)+AN$8*INDEX($Q252:$AJ252,1,(AN$4-1)*5+2)*INDEX($Q252:$AJ252,1,(AN$4-1)*5+3)</f>
        <v/>
      </c>
      <c r="AO252" s="22">
        <f>INDEX($Q252:$AJ252,1,(AO$4-1)*5+1)+AO$8*INDEX($Q252:$AJ252,1,(AO$4-1)*5+2)*INDEX($Q252:$AJ252,1,(AO$4-1)*5+3)</f>
        <v/>
      </c>
      <c r="AP252" s="22">
        <f>INDEX($Q252:$AJ252,1,(AP$4-1)*5+1)+AP$8*INDEX($Q252:$AJ252,1,(AP$4-1)*5+2)*INDEX($Q252:$AJ252,1,(AP$4-1)*5+3)</f>
        <v/>
      </c>
      <c r="AQ252" s="22">
        <f>INDEX($Q252:$AJ252,1,(AQ$4-1)*5+1)+AQ$8*INDEX($Q252:$AJ252,1,(AQ$4-1)*5+2)*INDEX($Q252:$AJ252,1,(AQ$4-1)*5+3)</f>
        <v/>
      </c>
      <c r="AR252" s="22">
        <f>INDEX($Q252:$AJ252,1,(AR$4-1)*5+1)+AR$8*INDEX($Q252:$AJ252,1,(AR$4-1)*5+2)*INDEX($Q252:$AJ252,1,(AR$4-1)*5+3)</f>
        <v/>
      </c>
      <c r="AS252" s="22">
        <f>INDEX($Q252:$AJ252,1,(AS$4-1)*5+1)+AS$8*INDEX($Q252:$AJ252,1,(AS$4-1)*5+2)*INDEX($Q252:$AJ252,1,(AS$4-1)*5+3)</f>
        <v/>
      </c>
      <c r="AT252" s="22">
        <f>INDEX($Q252:$AJ252,1,(AT$4-1)*5+1)+AT$8*INDEX($Q252:$AJ252,1,(AT$4-1)*5+2)*INDEX($Q252:$AJ252,1,(AT$4-1)*5+3)</f>
        <v/>
      </c>
      <c r="AU252" s="22">
        <f>INDEX($Q252:$AJ252,1,(AU$4-1)*5+1)+AU$8*INDEX($Q252:$AJ252,1,(AU$4-1)*5+2)*INDEX($Q252:$AJ252,1,(AU$4-1)*5+3)</f>
        <v/>
      </c>
      <c r="AV252" s="22">
        <f>INDEX($Q252:$AJ252,1,(AV$4-1)*5+1)+AV$8*INDEX($Q252:$AJ252,1,(AV$4-1)*5+2)*INDEX($Q252:$AJ252,1,(AV$4-1)*5+3)</f>
        <v/>
      </c>
      <c r="AW252" s="22">
        <f>INDEX($Q252:$AJ252,1,(AW$4-1)*5+1)+AW$8*INDEX($Q252:$AJ252,1,(AW$4-1)*5+2)*INDEX($Q252:$AJ252,1,(AW$4-1)*5+3)</f>
        <v/>
      </c>
      <c r="AX252" s="22">
        <f>INDEX($Q252:$AJ252,1,(AX$4-1)*5+1)+AX$8*INDEX($Q252:$AJ252,1,(AX$4-1)*5+2)*INDEX($Q252:$AJ252,1,(AX$4-1)*5+3)</f>
        <v/>
      </c>
      <c r="AY252" s="22">
        <f>INDEX($Q252:$AJ252,1,(AY$4-1)*5+1)+AY$8*INDEX($Q252:$AJ252,1,(AY$4-1)*5+2)*INDEX($Q252:$AJ252,1,(AY$4-1)*5+3)</f>
        <v/>
      </c>
      <c r="BA252" s="23">
        <f>INDEX($Q252:$AJ252,1,(BA$4-1)*5+1)+BA$8*INDEX($Q252:$AJ252,1,(BA$4-1)*5+2)*INDEX($Q252:$AJ252,1,(BA$4-1)*5+3)</f>
        <v/>
      </c>
      <c r="BB252" s="22">
        <f>INDEX($Q252:$AJ252,1,(BB$4-1)*5+1)+BB$8*INDEX($Q252:$AJ252,1,(BB$4-1)*5+2)*INDEX($Q252:$AJ252,1,(BB$4-1)*5+3)</f>
        <v/>
      </c>
      <c r="BC252" s="22">
        <f>INDEX($Q252:$AJ252,1,(BC$4-1)*5+1)+BC$8*INDEX($Q252:$AJ252,1,(BC$4-1)*5+2)*INDEX($Q252:$AJ252,1,(BC$4-1)*5+3)</f>
        <v/>
      </c>
      <c r="BD252" s="22">
        <f>INDEX($Q252:$AJ252,1,(BD$4-1)*5+1)+BD$8*INDEX($Q252:$AJ252,1,(BD$4-1)*5+2)*INDEX($Q252:$AJ252,1,(BD$4-1)*5+3)</f>
        <v/>
      </c>
      <c r="BE252" s="22">
        <f>INDEX($Q252:$AJ252,1,(BE$4-1)*5+1)+BE$8*INDEX($Q252:$AJ252,1,(BE$4-1)*5+2)*INDEX($Q252:$AJ252,1,(BE$4-1)*5+3)</f>
        <v/>
      </c>
      <c r="BF252" s="22">
        <f>INDEX($Q252:$AJ252,1,(BF$4-1)*5+1)+BF$8*INDEX($Q252:$AJ252,1,(BF$4-1)*5+2)*INDEX($Q252:$AJ252,1,(BF$4-1)*5+3)</f>
        <v/>
      </c>
      <c r="BG252" s="22">
        <f>INDEX($Q252:$AJ252,1,(BG$4-1)*5+1)+BG$8*INDEX($Q252:$AJ252,1,(BG$4-1)*5+2)*INDEX($Q252:$AJ252,1,(BG$4-1)*5+3)</f>
        <v/>
      </c>
      <c r="BH252" s="22">
        <f>INDEX($Q252:$AJ252,1,(BH$4-1)*5+1)+BH$8*INDEX($Q252:$AJ252,1,(BH$4-1)*5+2)*INDEX($Q252:$AJ252,1,(BH$4-1)*5+3)</f>
        <v/>
      </c>
      <c r="BI252" s="22">
        <f>INDEX($Q252:$AJ252,1,(BI$4-1)*5+1)+BI$8*INDEX($Q252:$AJ252,1,(BI$4-1)*5+2)*INDEX($Q252:$AJ252,1,(BI$4-1)*5+3)</f>
        <v/>
      </c>
      <c r="BJ252" s="22">
        <f>INDEX($Q252:$AJ252,1,(BJ$4-1)*5+1)+BJ$8*INDEX($Q252:$AJ252,1,(BJ$4-1)*5+2)*INDEX($Q252:$AJ252,1,(BJ$4-1)*5+3)</f>
        <v/>
      </c>
      <c r="BK252" s="22">
        <f>INDEX($Q252:$AJ252,1,(BK$4-1)*5+1)+BK$8*INDEX($Q252:$AJ252,1,(BK$4-1)*5+2)*INDEX($Q252:$AJ252,1,(BK$4-1)*5+3)</f>
        <v/>
      </c>
      <c r="BL252" s="22">
        <f>INDEX($Q252:$AJ252,1,(BL$4-1)*5+1)+BL$8*INDEX($Q252:$AJ252,1,(BL$4-1)*5+2)*INDEX($Q252:$AJ252,1,(BL$4-1)*5+3)</f>
        <v/>
      </c>
      <c r="BM252" s="22">
        <f>INDEX($Q252:$AJ252,1,(BM$4-1)*5+1)+BM$8*INDEX($Q252:$AJ252,1,(BM$4-1)*5+2)*INDEX($Q252:$AJ252,1,(BM$4-1)*5+3)</f>
        <v/>
      </c>
      <c r="BN252" s="22">
        <f>INDEX($Q252:$AJ252,1,(BN$4-1)*5+1)+BN$8*INDEX($Q252:$AJ252,1,(BN$4-1)*5+2)*INDEX($Q252:$AJ252,1,(BN$4-1)*5+3)</f>
        <v/>
      </c>
    </row>
    <row r="253">
      <c r="B253" s="5" t="inlineStr">
        <is>
          <t>coa</t>
        </is>
      </c>
      <c r="C253" s="5" t="inlineStr">
        <is>
          <t>ftr</t>
        </is>
      </c>
      <c r="D253" s="5" t="inlineStr">
        <is>
          <t>Tax | Fuel transformation | Coal</t>
        </is>
      </c>
      <c r="E253" s="5" t="inlineStr">
        <is>
          <t>$/GJ</t>
        </is>
      </c>
      <c r="F253" s="5" t="inlineStr">
        <is>
          <t>Prices_dom, EF_GHG, Mapping</t>
        </is>
      </c>
      <c r="G253" s="19" t="inlineStr">
        <is>
          <t>mit.rp.coa</t>
        </is>
      </c>
      <c r="H253" s="19" t="inlineStr">
        <is>
          <t>mit.tax.coa.ftr</t>
        </is>
      </c>
      <c r="J253" s="5">
        <f>INDEX(Mapping!$C$5:$C$20,MATCH($C253,Mapping!$A$5:$A$20,0))</f>
        <v/>
      </c>
      <c r="K253" s="5">
        <f>INDEX(Mapping!$D$5:$D$20,MATCH($C253,Mapping!$A$5:$A$20,0))</f>
        <v/>
      </c>
      <c r="L253" s="5">
        <f>INDEX(Mapping!$C$24:$C$31,MATCH($B253,Mapping!$A$24:$A$31,0))</f>
        <v/>
      </c>
      <c r="M253" s="5">
        <f>INDEX(Mapping!$D$24:$D$31,MATCH($B253,Mapping!$A$24:$A$31,0))</f>
        <v/>
      </c>
      <c r="N253" s="5">
        <f>$B253&amp;"."&amp;IF(INDEX(Mapping!$E$24:$E$31,MATCH($B253,Mapping!$A$24:$A$31,0))="sub",INDEX(Mapping!$F$5:$F$20,MATCH($C253,Mapping!$A$5:$A$20,0)),"all")</f>
        <v/>
      </c>
      <c r="O253" s="5">
        <f>INDEX(Mapping!$E$5:$E$20,MATCH($C253,Mapping!$A$5:$A$20,0))</f>
        <v/>
      </c>
      <c r="P253" s="5">
        <f>INDEX(Mapping!$G$24:$G$31,MATCH($B253,Mapping!$A$24:$A$31,0))</f>
        <v/>
      </c>
      <c r="Q253" s="22">
        <f>(INDEX(Prices_dom!$A$6:$CU$2000,MATCH(Settings!$C$4&amp;Settings!$C$7,Prices_dom!$A$6:$A$2000,0),MATCH("mit.rp."&amp;$N253,Prices_dom!$A$5:$CU$5,0))-INDEX(Prices_dom!$A$6:$CU$2000,MATCH(Settings!$C$4&amp;Settings!$C$7,Prices_dom!$A$6:$A$2000,0),MATCH("mit.sp."&amp;$N253,Prices_dom!$A$5:$CU$5,0)))/$P253</f>
        <v/>
      </c>
      <c r="R253" s="22">
        <f>INDEX(EF_GHG!$E$4:$E$1000,MATCH(Settings!$C$4&amp;"|"&amp;$B253&amp;"|"&amp;$O253,EF_GHG!$A$4:$A$1000,0))</f>
        <v/>
      </c>
      <c r="S253" s="22">
        <f>INDEX(Mapping!$G$5:$G$20,MATCH($C253,Mapping!$A$5:$A$20,0))</f>
        <v/>
      </c>
      <c r="T253" s="21" t="n"/>
      <c r="U253" s="21" t="n"/>
      <c r="V253" s="22">
        <f>Q253</f>
        <v/>
      </c>
      <c r="W253" s="22">
        <f>R253</f>
        <v/>
      </c>
      <c r="X253" s="22">
        <f>S253</f>
        <v/>
      </c>
      <c r="Y253" s="21" t="n"/>
      <c r="Z253" s="21" t="n"/>
      <c r="AA253" s="22">
        <f>Q253</f>
        <v/>
      </c>
      <c r="AB253" s="22">
        <f>R253</f>
        <v/>
      </c>
      <c r="AC253" s="22">
        <f>S253</f>
        <v/>
      </c>
      <c r="AD253" s="21" t="n"/>
      <c r="AE253" s="21" t="n"/>
      <c r="AF253" s="22">
        <f>Q253</f>
        <v/>
      </c>
      <c r="AG253" s="22">
        <f>R253</f>
        <v/>
      </c>
      <c r="AH253" s="22">
        <f>S253</f>
        <v/>
      </c>
      <c r="AI253" s="21" t="n"/>
      <c r="AJ253" s="21" t="n"/>
      <c r="AL253" s="23">
        <f>INDEX($Q253:$AJ253,1,(AL$4-1)*5+1)+AL$8*INDEX($Q253:$AJ253,1,(AL$4-1)*5+2)*INDEX($Q253:$AJ253,1,(AL$4-1)*5+3)</f>
        <v/>
      </c>
      <c r="AM253" s="22">
        <f>INDEX($Q253:$AJ253,1,(AM$4-1)*5+1)+AM$8*INDEX($Q253:$AJ253,1,(AM$4-1)*5+2)*INDEX($Q253:$AJ253,1,(AM$4-1)*5+3)</f>
        <v/>
      </c>
      <c r="AN253" s="22">
        <f>INDEX($Q253:$AJ253,1,(AN$4-1)*5+1)+AN$8*INDEX($Q253:$AJ253,1,(AN$4-1)*5+2)*INDEX($Q253:$AJ253,1,(AN$4-1)*5+3)</f>
        <v/>
      </c>
      <c r="AO253" s="22">
        <f>INDEX($Q253:$AJ253,1,(AO$4-1)*5+1)+AO$8*INDEX($Q253:$AJ253,1,(AO$4-1)*5+2)*INDEX($Q253:$AJ253,1,(AO$4-1)*5+3)</f>
        <v/>
      </c>
      <c r="AP253" s="22">
        <f>INDEX($Q253:$AJ253,1,(AP$4-1)*5+1)+AP$8*INDEX($Q253:$AJ253,1,(AP$4-1)*5+2)*INDEX($Q253:$AJ253,1,(AP$4-1)*5+3)</f>
        <v/>
      </c>
      <c r="AQ253" s="22">
        <f>INDEX($Q253:$AJ253,1,(AQ$4-1)*5+1)+AQ$8*INDEX($Q253:$AJ253,1,(AQ$4-1)*5+2)*INDEX($Q253:$AJ253,1,(AQ$4-1)*5+3)</f>
        <v/>
      </c>
      <c r="AR253" s="22">
        <f>INDEX($Q253:$AJ253,1,(AR$4-1)*5+1)+AR$8*INDEX($Q253:$AJ253,1,(AR$4-1)*5+2)*INDEX($Q253:$AJ253,1,(AR$4-1)*5+3)</f>
        <v/>
      </c>
      <c r="AS253" s="22">
        <f>INDEX($Q253:$AJ253,1,(AS$4-1)*5+1)+AS$8*INDEX($Q253:$AJ253,1,(AS$4-1)*5+2)*INDEX($Q253:$AJ253,1,(AS$4-1)*5+3)</f>
        <v/>
      </c>
      <c r="AT253" s="22">
        <f>INDEX($Q253:$AJ253,1,(AT$4-1)*5+1)+AT$8*INDEX($Q253:$AJ253,1,(AT$4-1)*5+2)*INDEX($Q253:$AJ253,1,(AT$4-1)*5+3)</f>
        <v/>
      </c>
      <c r="AU253" s="22">
        <f>INDEX($Q253:$AJ253,1,(AU$4-1)*5+1)+AU$8*INDEX($Q253:$AJ253,1,(AU$4-1)*5+2)*INDEX($Q253:$AJ253,1,(AU$4-1)*5+3)</f>
        <v/>
      </c>
      <c r="AV253" s="22">
        <f>INDEX($Q253:$AJ253,1,(AV$4-1)*5+1)+AV$8*INDEX($Q253:$AJ253,1,(AV$4-1)*5+2)*INDEX($Q253:$AJ253,1,(AV$4-1)*5+3)</f>
        <v/>
      </c>
      <c r="AW253" s="22">
        <f>INDEX($Q253:$AJ253,1,(AW$4-1)*5+1)+AW$8*INDEX($Q253:$AJ253,1,(AW$4-1)*5+2)*INDEX($Q253:$AJ253,1,(AW$4-1)*5+3)</f>
        <v/>
      </c>
      <c r="AX253" s="22">
        <f>INDEX($Q253:$AJ253,1,(AX$4-1)*5+1)+AX$8*INDEX($Q253:$AJ253,1,(AX$4-1)*5+2)*INDEX($Q253:$AJ253,1,(AX$4-1)*5+3)</f>
        <v/>
      </c>
      <c r="AY253" s="22">
        <f>INDEX($Q253:$AJ253,1,(AY$4-1)*5+1)+AY$8*INDEX($Q253:$AJ253,1,(AY$4-1)*5+2)*INDEX($Q253:$AJ253,1,(AY$4-1)*5+3)</f>
        <v/>
      </c>
      <c r="BA253" s="23">
        <f>INDEX($Q253:$AJ253,1,(BA$4-1)*5+1)+BA$8*INDEX($Q253:$AJ253,1,(BA$4-1)*5+2)*INDEX($Q253:$AJ253,1,(BA$4-1)*5+3)</f>
        <v/>
      </c>
      <c r="BB253" s="22">
        <f>INDEX($Q253:$AJ253,1,(BB$4-1)*5+1)+BB$8*INDEX($Q253:$AJ253,1,(BB$4-1)*5+2)*INDEX($Q253:$AJ253,1,(BB$4-1)*5+3)</f>
        <v/>
      </c>
      <c r="BC253" s="22">
        <f>INDEX($Q253:$AJ253,1,(BC$4-1)*5+1)+BC$8*INDEX($Q253:$AJ253,1,(BC$4-1)*5+2)*INDEX($Q253:$AJ253,1,(BC$4-1)*5+3)</f>
        <v/>
      </c>
      <c r="BD253" s="22">
        <f>INDEX($Q253:$AJ253,1,(BD$4-1)*5+1)+BD$8*INDEX($Q253:$AJ253,1,(BD$4-1)*5+2)*INDEX($Q253:$AJ253,1,(BD$4-1)*5+3)</f>
        <v/>
      </c>
      <c r="BE253" s="22">
        <f>INDEX($Q253:$AJ253,1,(BE$4-1)*5+1)+BE$8*INDEX($Q253:$AJ253,1,(BE$4-1)*5+2)*INDEX($Q253:$AJ253,1,(BE$4-1)*5+3)</f>
        <v/>
      </c>
      <c r="BF253" s="22">
        <f>INDEX($Q253:$AJ253,1,(BF$4-1)*5+1)+BF$8*INDEX($Q253:$AJ253,1,(BF$4-1)*5+2)*INDEX($Q253:$AJ253,1,(BF$4-1)*5+3)</f>
        <v/>
      </c>
      <c r="BG253" s="22">
        <f>INDEX($Q253:$AJ253,1,(BG$4-1)*5+1)+BG$8*INDEX($Q253:$AJ253,1,(BG$4-1)*5+2)*INDEX($Q253:$AJ253,1,(BG$4-1)*5+3)</f>
        <v/>
      </c>
      <c r="BH253" s="22">
        <f>INDEX($Q253:$AJ253,1,(BH$4-1)*5+1)+BH$8*INDEX($Q253:$AJ253,1,(BH$4-1)*5+2)*INDEX($Q253:$AJ253,1,(BH$4-1)*5+3)</f>
        <v/>
      </c>
      <c r="BI253" s="22">
        <f>INDEX($Q253:$AJ253,1,(BI$4-1)*5+1)+BI$8*INDEX($Q253:$AJ253,1,(BI$4-1)*5+2)*INDEX($Q253:$AJ253,1,(BI$4-1)*5+3)</f>
        <v/>
      </c>
      <c r="BJ253" s="22">
        <f>INDEX($Q253:$AJ253,1,(BJ$4-1)*5+1)+BJ$8*INDEX($Q253:$AJ253,1,(BJ$4-1)*5+2)*INDEX($Q253:$AJ253,1,(BJ$4-1)*5+3)</f>
        <v/>
      </c>
      <c r="BK253" s="22">
        <f>INDEX($Q253:$AJ253,1,(BK$4-1)*5+1)+BK$8*INDEX($Q253:$AJ253,1,(BK$4-1)*5+2)*INDEX($Q253:$AJ253,1,(BK$4-1)*5+3)</f>
        <v/>
      </c>
      <c r="BL253" s="22">
        <f>INDEX($Q253:$AJ253,1,(BL$4-1)*5+1)+BL$8*INDEX($Q253:$AJ253,1,(BL$4-1)*5+2)*INDEX($Q253:$AJ253,1,(BL$4-1)*5+3)</f>
        <v/>
      </c>
      <c r="BM253" s="22">
        <f>INDEX($Q253:$AJ253,1,(BM$4-1)*5+1)+BM$8*INDEX($Q253:$AJ253,1,(BM$4-1)*5+2)*INDEX($Q253:$AJ253,1,(BM$4-1)*5+3)</f>
        <v/>
      </c>
      <c r="BN253" s="22">
        <f>INDEX($Q253:$AJ253,1,(BN$4-1)*5+1)+BN$8*INDEX($Q253:$AJ253,1,(BN$4-1)*5+2)*INDEX($Q253:$AJ253,1,(BN$4-1)*5+3)</f>
        <v/>
      </c>
    </row>
    <row r="254">
      <c r="B254" s="5" t="inlineStr">
        <is>
          <t>nga</t>
        </is>
      </c>
      <c r="C254" s="5" t="inlineStr">
        <is>
          <t>ftr</t>
        </is>
      </c>
      <c r="D254" s="5" t="inlineStr">
        <is>
          <t>Tax | Fuel transformation | Natural gas</t>
        </is>
      </c>
      <c r="E254" s="5" t="inlineStr">
        <is>
          <t>$/GJ</t>
        </is>
      </c>
      <c r="F254" s="5" t="inlineStr">
        <is>
          <t>Prices_dom, EF_GHG, Mapping</t>
        </is>
      </c>
      <c r="G254" s="19" t="inlineStr">
        <is>
          <t>mit.rp.nga</t>
        </is>
      </c>
      <c r="H254" s="19" t="inlineStr">
        <is>
          <t>mit.tax.nga.ftr</t>
        </is>
      </c>
      <c r="J254" s="5">
        <f>INDEX(Mapping!$C$5:$C$20,MATCH($C254,Mapping!$A$5:$A$20,0))</f>
        <v/>
      </c>
      <c r="K254" s="5">
        <f>INDEX(Mapping!$D$5:$D$20,MATCH($C254,Mapping!$A$5:$A$20,0))</f>
        <v/>
      </c>
      <c r="L254" s="5">
        <f>INDEX(Mapping!$C$24:$C$31,MATCH($B254,Mapping!$A$24:$A$31,0))</f>
        <v/>
      </c>
      <c r="M254" s="5">
        <f>INDEX(Mapping!$D$24:$D$31,MATCH($B254,Mapping!$A$24:$A$31,0))</f>
        <v/>
      </c>
      <c r="N254" s="5">
        <f>$B254&amp;"."&amp;IF(INDEX(Mapping!$E$24:$E$31,MATCH($B254,Mapping!$A$24:$A$31,0))="sub",INDEX(Mapping!$F$5:$F$20,MATCH($C254,Mapping!$A$5:$A$20,0)),"all")</f>
        <v/>
      </c>
      <c r="O254" s="5">
        <f>INDEX(Mapping!$E$5:$E$20,MATCH($C254,Mapping!$A$5:$A$20,0))</f>
        <v/>
      </c>
      <c r="P254" s="5">
        <f>INDEX(Mapping!$G$24:$G$31,MATCH($B254,Mapping!$A$24:$A$31,0))</f>
        <v/>
      </c>
      <c r="Q254" s="22">
        <f>(INDEX(Prices_dom!$A$6:$CU$2000,MATCH(Settings!$C$4&amp;Settings!$C$7,Prices_dom!$A$6:$A$2000,0),MATCH("mit.rp."&amp;$N254,Prices_dom!$A$5:$CU$5,0))-INDEX(Prices_dom!$A$6:$CU$2000,MATCH(Settings!$C$4&amp;Settings!$C$7,Prices_dom!$A$6:$A$2000,0),MATCH("mit.sp."&amp;$N254,Prices_dom!$A$5:$CU$5,0)))/$P254</f>
        <v/>
      </c>
      <c r="R254" s="22">
        <f>INDEX(EF_GHG!$E$4:$E$1000,MATCH(Settings!$C$4&amp;"|"&amp;$B254&amp;"|"&amp;$O254,EF_GHG!$A$4:$A$1000,0))</f>
        <v/>
      </c>
      <c r="S254" s="22">
        <f>INDEX(Mapping!$G$5:$G$20,MATCH($C254,Mapping!$A$5:$A$20,0))</f>
        <v/>
      </c>
      <c r="T254" s="21" t="n"/>
      <c r="U254" s="21" t="n"/>
      <c r="V254" s="22">
        <f>Q254</f>
        <v/>
      </c>
      <c r="W254" s="22">
        <f>R254</f>
        <v/>
      </c>
      <c r="X254" s="22">
        <f>S254</f>
        <v/>
      </c>
      <c r="Y254" s="21" t="n"/>
      <c r="Z254" s="21" t="n"/>
      <c r="AA254" s="22">
        <f>Q254</f>
        <v/>
      </c>
      <c r="AB254" s="22">
        <f>R254</f>
        <v/>
      </c>
      <c r="AC254" s="22">
        <f>S254</f>
        <v/>
      </c>
      <c r="AD254" s="21" t="n"/>
      <c r="AE254" s="21" t="n"/>
      <c r="AF254" s="22">
        <f>Q254</f>
        <v/>
      </c>
      <c r="AG254" s="22">
        <f>R254</f>
        <v/>
      </c>
      <c r="AH254" s="22">
        <f>S254</f>
        <v/>
      </c>
      <c r="AI254" s="21" t="n"/>
      <c r="AJ254" s="21" t="n"/>
      <c r="AL254" s="23">
        <f>INDEX($Q254:$AJ254,1,(AL$4-1)*5+1)+AL$8*INDEX($Q254:$AJ254,1,(AL$4-1)*5+2)*INDEX($Q254:$AJ254,1,(AL$4-1)*5+3)</f>
        <v/>
      </c>
      <c r="AM254" s="22">
        <f>INDEX($Q254:$AJ254,1,(AM$4-1)*5+1)+AM$8*INDEX($Q254:$AJ254,1,(AM$4-1)*5+2)*INDEX($Q254:$AJ254,1,(AM$4-1)*5+3)</f>
        <v/>
      </c>
      <c r="AN254" s="22">
        <f>INDEX($Q254:$AJ254,1,(AN$4-1)*5+1)+AN$8*INDEX($Q254:$AJ254,1,(AN$4-1)*5+2)*INDEX($Q254:$AJ254,1,(AN$4-1)*5+3)</f>
        <v/>
      </c>
      <c r="AO254" s="22">
        <f>INDEX($Q254:$AJ254,1,(AO$4-1)*5+1)+AO$8*INDEX($Q254:$AJ254,1,(AO$4-1)*5+2)*INDEX($Q254:$AJ254,1,(AO$4-1)*5+3)</f>
        <v/>
      </c>
      <c r="AP254" s="22">
        <f>INDEX($Q254:$AJ254,1,(AP$4-1)*5+1)+AP$8*INDEX($Q254:$AJ254,1,(AP$4-1)*5+2)*INDEX($Q254:$AJ254,1,(AP$4-1)*5+3)</f>
        <v/>
      </c>
      <c r="AQ254" s="22">
        <f>INDEX($Q254:$AJ254,1,(AQ$4-1)*5+1)+AQ$8*INDEX($Q254:$AJ254,1,(AQ$4-1)*5+2)*INDEX($Q254:$AJ254,1,(AQ$4-1)*5+3)</f>
        <v/>
      </c>
      <c r="AR254" s="22">
        <f>INDEX($Q254:$AJ254,1,(AR$4-1)*5+1)+AR$8*INDEX($Q254:$AJ254,1,(AR$4-1)*5+2)*INDEX($Q254:$AJ254,1,(AR$4-1)*5+3)</f>
        <v/>
      </c>
      <c r="AS254" s="22">
        <f>INDEX($Q254:$AJ254,1,(AS$4-1)*5+1)+AS$8*INDEX($Q254:$AJ254,1,(AS$4-1)*5+2)*INDEX($Q254:$AJ254,1,(AS$4-1)*5+3)</f>
        <v/>
      </c>
      <c r="AT254" s="22">
        <f>INDEX($Q254:$AJ254,1,(AT$4-1)*5+1)+AT$8*INDEX($Q254:$AJ254,1,(AT$4-1)*5+2)*INDEX($Q254:$AJ254,1,(AT$4-1)*5+3)</f>
        <v/>
      </c>
      <c r="AU254" s="22">
        <f>INDEX($Q254:$AJ254,1,(AU$4-1)*5+1)+AU$8*INDEX($Q254:$AJ254,1,(AU$4-1)*5+2)*INDEX($Q254:$AJ254,1,(AU$4-1)*5+3)</f>
        <v/>
      </c>
      <c r="AV254" s="22">
        <f>INDEX($Q254:$AJ254,1,(AV$4-1)*5+1)+AV$8*INDEX($Q254:$AJ254,1,(AV$4-1)*5+2)*INDEX($Q254:$AJ254,1,(AV$4-1)*5+3)</f>
        <v/>
      </c>
      <c r="AW254" s="22">
        <f>INDEX($Q254:$AJ254,1,(AW$4-1)*5+1)+AW$8*INDEX($Q254:$AJ254,1,(AW$4-1)*5+2)*INDEX($Q254:$AJ254,1,(AW$4-1)*5+3)</f>
        <v/>
      </c>
      <c r="AX254" s="22">
        <f>INDEX($Q254:$AJ254,1,(AX$4-1)*5+1)+AX$8*INDEX($Q254:$AJ254,1,(AX$4-1)*5+2)*INDEX($Q254:$AJ254,1,(AX$4-1)*5+3)</f>
        <v/>
      </c>
      <c r="AY254" s="22">
        <f>INDEX($Q254:$AJ254,1,(AY$4-1)*5+1)+AY$8*INDEX($Q254:$AJ254,1,(AY$4-1)*5+2)*INDEX($Q254:$AJ254,1,(AY$4-1)*5+3)</f>
        <v/>
      </c>
      <c r="BA254" s="23">
        <f>INDEX($Q254:$AJ254,1,(BA$4-1)*5+1)+BA$8*INDEX($Q254:$AJ254,1,(BA$4-1)*5+2)*INDEX($Q254:$AJ254,1,(BA$4-1)*5+3)</f>
        <v/>
      </c>
      <c r="BB254" s="22">
        <f>INDEX($Q254:$AJ254,1,(BB$4-1)*5+1)+BB$8*INDEX($Q254:$AJ254,1,(BB$4-1)*5+2)*INDEX($Q254:$AJ254,1,(BB$4-1)*5+3)</f>
        <v/>
      </c>
      <c r="BC254" s="22">
        <f>INDEX($Q254:$AJ254,1,(BC$4-1)*5+1)+BC$8*INDEX($Q254:$AJ254,1,(BC$4-1)*5+2)*INDEX($Q254:$AJ254,1,(BC$4-1)*5+3)</f>
        <v/>
      </c>
      <c r="BD254" s="22">
        <f>INDEX($Q254:$AJ254,1,(BD$4-1)*5+1)+BD$8*INDEX($Q254:$AJ254,1,(BD$4-1)*5+2)*INDEX($Q254:$AJ254,1,(BD$4-1)*5+3)</f>
        <v/>
      </c>
      <c r="BE254" s="22">
        <f>INDEX($Q254:$AJ254,1,(BE$4-1)*5+1)+BE$8*INDEX($Q254:$AJ254,1,(BE$4-1)*5+2)*INDEX($Q254:$AJ254,1,(BE$4-1)*5+3)</f>
        <v/>
      </c>
      <c r="BF254" s="22">
        <f>INDEX($Q254:$AJ254,1,(BF$4-1)*5+1)+BF$8*INDEX($Q254:$AJ254,1,(BF$4-1)*5+2)*INDEX($Q254:$AJ254,1,(BF$4-1)*5+3)</f>
        <v/>
      </c>
      <c r="BG254" s="22">
        <f>INDEX($Q254:$AJ254,1,(BG$4-1)*5+1)+BG$8*INDEX($Q254:$AJ254,1,(BG$4-1)*5+2)*INDEX($Q254:$AJ254,1,(BG$4-1)*5+3)</f>
        <v/>
      </c>
      <c r="BH254" s="22">
        <f>INDEX($Q254:$AJ254,1,(BH$4-1)*5+1)+BH$8*INDEX($Q254:$AJ254,1,(BH$4-1)*5+2)*INDEX($Q254:$AJ254,1,(BH$4-1)*5+3)</f>
        <v/>
      </c>
      <c r="BI254" s="22">
        <f>INDEX($Q254:$AJ254,1,(BI$4-1)*5+1)+BI$8*INDEX($Q254:$AJ254,1,(BI$4-1)*5+2)*INDEX($Q254:$AJ254,1,(BI$4-1)*5+3)</f>
        <v/>
      </c>
      <c r="BJ254" s="22">
        <f>INDEX($Q254:$AJ254,1,(BJ$4-1)*5+1)+BJ$8*INDEX($Q254:$AJ254,1,(BJ$4-1)*5+2)*INDEX($Q254:$AJ254,1,(BJ$4-1)*5+3)</f>
        <v/>
      </c>
      <c r="BK254" s="22">
        <f>INDEX($Q254:$AJ254,1,(BK$4-1)*5+1)+BK$8*INDEX($Q254:$AJ254,1,(BK$4-1)*5+2)*INDEX($Q254:$AJ254,1,(BK$4-1)*5+3)</f>
        <v/>
      </c>
      <c r="BL254" s="22">
        <f>INDEX($Q254:$AJ254,1,(BL$4-1)*5+1)+BL$8*INDEX($Q254:$AJ254,1,(BL$4-1)*5+2)*INDEX($Q254:$AJ254,1,(BL$4-1)*5+3)</f>
        <v/>
      </c>
      <c r="BM254" s="22">
        <f>INDEX($Q254:$AJ254,1,(BM$4-1)*5+1)+BM$8*INDEX($Q254:$AJ254,1,(BM$4-1)*5+2)*INDEX($Q254:$AJ254,1,(BM$4-1)*5+3)</f>
        <v/>
      </c>
      <c r="BN254" s="22">
        <f>INDEX($Q254:$AJ254,1,(BN$4-1)*5+1)+BN$8*INDEX($Q254:$AJ254,1,(BN$4-1)*5+2)*INDEX($Q254:$AJ254,1,(BN$4-1)*5+3)</f>
        <v/>
      </c>
    </row>
    <row r="255">
      <c r="B255" s="5" t="inlineStr">
        <is>
          <t>gso</t>
        </is>
      </c>
      <c r="C255" s="5" t="inlineStr">
        <is>
          <t>ftr</t>
        </is>
      </c>
      <c r="D255" s="5" t="inlineStr">
        <is>
          <t>Tax | Fuel transformation | Gasoline</t>
        </is>
      </c>
      <c r="E255" s="5" t="inlineStr">
        <is>
          <t>$/GJ</t>
        </is>
      </c>
      <c r="F255" s="5" t="inlineStr">
        <is>
          <t>Prices_dom, EF_GHG, Mapping</t>
        </is>
      </c>
      <c r="G255" s="19" t="inlineStr">
        <is>
          <t>mit.rp.gso</t>
        </is>
      </c>
      <c r="H255" s="19" t="inlineStr">
        <is>
          <t>mit.tax.gso.ftr</t>
        </is>
      </c>
      <c r="J255" s="5">
        <f>INDEX(Mapping!$C$5:$C$20,MATCH($C255,Mapping!$A$5:$A$20,0))</f>
        <v/>
      </c>
      <c r="K255" s="5">
        <f>INDEX(Mapping!$D$5:$D$20,MATCH($C255,Mapping!$A$5:$A$20,0))</f>
        <v/>
      </c>
      <c r="L255" s="5">
        <f>INDEX(Mapping!$C$24:$C$31,MATCH($B255,Mapping!$A$24:$A$31,0))</f>
        <v/>
      </c>
      <c r="M255" s="5">
        <f>INDEX(Mapping!$D$24:$D$31,MATCH($B255,Mapping!$A$24:$A$31,0))</f>
        <v/>
      </c>
      <c r="N255" s="5">
        <f>$B255&amp;"."&amp;IF(INDEX(Mapping!$E$24:$E$31,MATCH($B255,Mapping!$A$24:$A$31,0))="sub",INDEX(Mapping!$F$5:$F$20,MATCH($C255,Mapping!$A$5:$A$20,0)),"all")</f>
        <v/>
      </c>
      <c r="O255" s="5">
        <f>INDEX(Mapping!$E$5:$E$20,MATCH($C255,Mapping!$A$5:$A$20,0))</f>
        <v/>
      </c>
      <c r="P255" s="5">
        <f>INDEX(Mapping!$G$24:$G$31,MATCH($B255,Mapping!$A$24:$A$31,0))</f>
        <v/>
      </c>
      <c r="Q255" s="22">
        <f>(INDEX(Prices_dom!$A$6:$CU$2000,MATCH(Settings!$C$4&amp;Settings!$C$7,Prices_dom!$A$6:$A$2000,0),MATCH("mit.rp."&amp;$N255,Prices_dom!$A$5:$CU$5,0))-INDEX(Prices_dom!$A$6:$CU$2000,MATCH(Settings!$C$4&amp;Settings!$C$7,Prices_dom!$A$6:$A$2000,0),MATCH("mit.sp."&amp;$N255,Prices_dom!$A$5:$CU$5,0)))/$P255</f>
        <v/>
      </c>
      <c r="R255" s="22">
        <f>INDEX(EF_GHG!$E$4:$E$1000,MATCH(Settings!$C$4&amp;"|"&amp;$B255&amp;"|"&amp;$O255,EF_GHG!$A$4:$A$1000,0))</f>
        <v/>
      </c>
      <c r="S255" s="22">
        <f>INDEX(Mapping!$G$5:$G$20,MATCH($C255,Mapping!$A$5:$A$20,0))</f>
        <v/>
      </c>
      <c r="T255" s="21" t="n"/>
      <c r="U255" s="21" t="n"/>
      <c r="V255" s="22">
        <f>Q255</f>
        <v/>
      </c>
      <c r="W255" s="22">
        <f>R255</f>
        <v/>
      </c>
      <c r="X255" s="22">
        <f>S255</f>
        <v/>
      </c>
      <c r="Y255" s="21" t="n"/>
      <c r="Z255" s="21" t="n"/>
      <c r="AA255" s="22">
        <f>Q255</f>
        <v/>
      </c>
      <c r="AB255" s="22">
        <f>R255</f>
        <v/>
      </c>
      <c r="AC255" s="22">
        <f>S255</f>
        <v/>
      </c>
      <c r="AD255" s="21" t="n"/>
      <c r="AE255" s="21" t="n"/>
      <c r="AF255" s="22">
        <f>Q255</f>
        <v/>
      </c>
      <c r="AG255" s="22">
        <f>R255</f>
        <v/>
      </c>
      <c r="AH255" s="22">
        <f>S255</f>
        <v/>
      </c>
      <c r="AI255" s="21" t="n"/>
      <c r="AJ255" s="21" t="n"/>
      <c r="AL255" s="23">
        <f>INDEX($Q255:$AJ255,1,(AL$4-1)*5+1)+AL$8*INDEX($Q255:$AJ255,1,(AL$4-1)*5+2)*INDEX($Q255:$AJ255,1,(AL$4-1)*5+3)</f>
        <v/>
      </c>
      <c r="AM255" s="22">
        <f>INDEX($Q255:$AJ255,1,(AM$4-1)*5+1)+AM$8*INDEX($Q255:$AJ255,1,(AM$4-1)*5+2)*INDEX($Q255:$AJ255,1,(AM$4-1)*5+3)</f>
        <v/>
      </c>
      <c r="AN255" s="22">
        <f>INDEX($Q255:$AJ255,1,(AN$4-1)*5+1)+AN$8*INDEX($Q255:$AJ255,1,(AN$4-1)*5+2)*INDEX($Q255:$AJ255,1,(AN$4-1)*5+3)</f>
        <v/>
      </c>
      <c r="AO255" s="22">
        <f>INDEX($Q255:$AJ255,1,(AO$4-1)*5+1)+AO$8*INDEX($Q255:$AJ255,1,(AO$4-1)*5+2)*INDEX($Q255:$AJ255,1,(AO$4-1)*5+3)</f>
        <v/>
      </c>
      <c r="AP255" s="22">
        <f>INDEX($Q255:$AJ255,1,(AP$4-1)*5+1)+AP$8*INDEX($Q255:$AJ255,1,(AP$4-1)*5+2)*INDEX($Q255:$AJ255,1,(AP$4-1)*5+3)</f>
        <v/>
      </c>
      <c r="AQ255" s="22">
        <f>INDEX($Q255:$AJ255,1,(AQ$4-1)*5+1)+AQ$8*INDEX($Q255:$AJ255,1,(AQ$4-1)*5+2)*INDEX($Q255:$AJ255,1,(AQ$4-1)*5+3)</f>
        <v/>
      </c>
      <c r="AR255" s="22">
        <f>INDEX($Q255:$AJ255,1,(AR$4-1)*5+1)+AR$8*INDEX($Q255:$AJ255,1,(AR$4-1)*5+2)*INDEX($Q255:$AJ255,1,(AR$4-1)*5+3)</f>
        <v/>
      </c>
      <c r="AS255" s="22">
        <f>INDEX($Q255:$AJ255,1,(AS$4-1)*5+1)+AS$8*INDEX($Q255:$AJ255,1,(AS$4-1)*5+2)*INDEX($Q255:$AJ255,1,(AS$4-1)*5+3)</f>
        <v/>
      </c>
      <c r="AT255" s="22">
        <f>INDEX($Q255:$AJ255,1,(AT$4-1)*5+1)+AT$8*INDEX($Q255:$AJ255,1,(AT$4-1)*5+2)*INDEX($Q255:$AJ255,1,(AT$4-1)*5+3)</f>
        <v/>
      </c>
      <c r="AU255" s="22">
        <f>INDEX($Q255:$AJ255,1,(AU$4-1)*5+1)+AU$8*INDEX($Q255:$AJ255,1,(AU$4-1)*5+2)*INDEX($Q255:$AJ255,1,(AU$4-1)*5+3)</f>
        <v/>
      </c>
      <c r="AV255" s="22">
        <f>INDEX($Q255:$AJ255,1,(AV$4-1)*5+1)+AV$8*INDEX($Q255:$AJ255,1,(AV$4-1)*5+2)*INDEX($Q255:$AJ255,1,(AV$4-1)*5+3)</f>
        <v/>
      </c>
      <c r="AW255" s="22">
        <f>INDEX($Q255:$AJ255,1,(AW$4-1)*5+1)+AW$8*INDEX($Q255:$AJ255,1,(AW$4-1)*5+2)*INDEX($Q255:$AJ255,1,(AW$4-1)*5+3)</f>
        <v/>
      </c>
      <c r="AX255" s="22">
        <f>INDEX($Q255:$AJ255,1,(AX$4-1)*5+1)+AX$8*INDEX($Q255:$AJ255,1,(AX$4-1)*5+2)*INDEX($Q255:$AJ255,1,(AX$4-1)*5+3)</f>
        <v/>
      </c>
      <c r="AY255" s="22">
        <f>INDEX($Q255:$AJ255,1,(AY$4-1)*5+1)+AY$8*INDEX($Q255:$AJ255,1,(AY$4-1)*5+2)*INDEX($Q255:$AJ255,1,(AY$4-1)*5+3)</f>
        <v/>
      </c>
      <c r="BA255" s="23">
        <f>INDEX($Q255:$AJ255,1,(BA$4-1)*5+1)+BA$8*INDEX($Q255:$AJ255,1,(BA$4-1)*5+2)*INDEX($Q255:$AJ255,1,(BA$4-1)*5+3)</f>
        <v/>
      </c>
      <c r="BB255" s="22">
        <f>INDEX($Q255:$AJ255,1,(BB$4-1)*5+1)+BB$8*INDEX($Q255:$AJ255,1,(BB$4-1)*5+2)*INDEX($Q255:$AJ255,1,(BB$4-1)*5+3)</f>
        <v/>
      </c>
      <c r="BC255" s="22">
        <f>INDEX($Q255:$AJ255,1,(BC$4-1)*5+1)+BC$8*INDEX($Q255:$AJ255,1,(BC$4-1)*5+2)*INDEX($Q255:$AJ255,1,(BC$4-1)*5+3)</f>
        <v/>
      </c>
      <c r="BD255" s="22">
        <f>INDEX($Q255:$AJ255,1,(BD$4-1)*5+1)+BD$8*INDEX($Q255:$AJ255,1,(BD$4-1)*5+2)*INDEX($Q255:$AJ255,1,(BD$4-1)*5+3)</f>
        <v/>
      </c>
      <c r="BE255" s="22">
        <f>INDEX($Q255:$AJ255,1,(BE$4-1)*5+1)+BE$8*INDEX($Q255:$AJ255,1,(BE$4-1)*5+2)*INDEX($Q255:$AJ255,1,(BE$4-1)*5+3)</f>
        <v/>
      </c>
      <c r="BF255" s="22">
        <f>INDEX($Q255:$AJ255,1,(BF$4-1)*5+1)+BF$8*INDEX($Q255:$AJ255,1,(BF$4-1)*5+2)*INDEX($Q255:$AJ255,1,(BF$4-1)*5+3)</f>
        <v/>
      </c>
      <c r="BG255" s="22">
        <f>INDEX($Q255:$AJ255,1,(BG$4-1)*5+1)+BG$8*INDEX($Q255:$AJ255,1,(BG$4-1)*5+2)*INDEX($Q255:$AJ255,1,(BG$4-1)*5+3)</f>
        <v/>
      </c>
      <c r="BH255" s="22">
        <f>INDEX($Q255:$AJ255,1,(BH$4-1)*5+1)+BH$8*INDEX($Q255:$AJ255,1,(BH$4-1)*5+2)*INDEX($Q255:$AJ255,1,(BH$4-1)*5+3)</f>
        <v/>
      </c>
      <c r="BI255" s="22">
        <f>INDEX($Q255:$AJ255,1,(BI$4-1)*5+1)+BI$8*INDEX($Q255:$AJ255,1,(BI$4-1)*5+2)*INDEX($Q255:$AJ255,1,(BI$4-1)*5+3)</f>
        <v/>
      </c>
      <c r="BJ255" s="22">
        <f>INDEX($Q255:$AJ255,1,(BJ$4-1)*5+1)+BJ$8*INDEX($Q255:$AJ255,1,(BJ$4-1)*5+2)*INDEX($Q255:$AJ255,1,(BJ$4-1)*5+3)</f>
        <v/>
      </c>
      <c r="BK255" s="22">
        <f>INDEX($Q255:$AJ255,1,(BK$4-1)*5+1)+BK$8*INDEX($Q255:$AJ255,1,(BK$4-1)*5+2)*INDEX($Q255:$AJ255,1,(BK$4-1)*5+3)</f>
        <v/>
      </c>
      <c r="BL255" s="22">
        <f>INDEX($Q255:$AJ255,1,(BL$4-1)*5+1)+BL$8*INDEX($Q255:$AJ255,1,(BL$4-1)*5+2)*INDEX($Q255:$AJ255,1,(BL$4-1)*5+3)</f>
        <v/>
      </c>
      <c r="BM255" s="22">
        <f>INDEX($Q255:$AJ255,1,(BM$4-1)*5+1)+BM$8*INDEX($Q255:$AJ255,1,(BM$4-1)*5+2)*INDEX($Q255:$AJ255,1,(BM$4-1)*5+3)</f>
        <v/>
      </c>
      <c r="BN255" s="22">
        <f>INDEX($Q255:$AJ255,1,(BN$4-1)*5+1)+BN$8*INDEX($Q255:$AJ255,1,(BN$4-1)*5+2)*INDEX($Q255:$AJ255,1,(BN$4-1)*5+3)</f>
        <v/>
      </c>
    </row>
    <row r="256">
      <c r="B256" s="5" t="inlineStr">
        <is>
          <t>die</t>
        </is>
      </c>
      <c r="C256" s="5" t="inlineStr">
        <is>
          <t>ftr</t>
        </is>
      </c>
      <c r="D256" s="5" t="inlineStr">
        <is>
          <t>Tax | Fuel transformation | Diesel</t>
        </is>
      </c>
      <c r="E256" s="5" t="inlineStr">
        <is>
          <t>$/GJ</t>
        </is>
      </c>
      <c r="F256" s="5" t="inlineStr">
        <is>
          <t>Prices_dom, EF_GHG, Mapping</t>
        </is>
      </c>
      <c r="G256" s="19" t="inlineStr">
        <is>
          <t>mit.rp.die</t>
        </is>
      </c>
      <c r="H256" s="19" t="inlineStr">
        <is>
          <t>mit.tax.die.ftr</t>
        </is>
      </c>
      <c r="J256" s="5">
        <f>INDEX(Mapping!$C$5:$C$20,MATCH($C256,Mapping!$A$5:$A$20,0))</f>
        <v/>
      </c>
      <c r="K256" s="5">
        <f>INDEX(Mapping!$D$5:$D$20,MATCH($C256,Mapping!$A$5:$A$20,0))</f>
        <v/>
      </c>
      <c r="L256" s="5">
        <f>INDEX(Mapping!$C$24:$C$31,MATCH($B256,Mapping!$A$24:$A$31,0))</f>
        <v/>
      </c>
      <c r="M256" s="5">
        <f>INDEX(Mapping!$D$24:$D$31,MATCH($B256,Mapping!$A$24:$A$31,0))</f>
        <v/>
      </c>
      <c r="N256" s="5">
        <f>$B256&amp;"."&amp;IF(INDEX(Mapping!$E$24:$E$31,MATCH($B256,Mapping!$A$24:$A$31,0))="sub",INDEX(Mapping!$F$5:$F$20,MATCH($C256,Mapping!$A$5:$A$20,0)),"all")</f>
        <v/>
      </c>
      <c r="O256" s="5">
        <f>INDEX(Mapping!$E$5:$E$20,MATCH($C256,Mapping!$A$5:$A$20,0))</f>
        <v/>
      </c>
      <c r="P256" s="5">
        <f>INDEX(Mapping!$G$24:$G$31,MATCH($B256,Mapping!$A$24:$A$31,0))</f>
        <v/>
      </c>
      <c r="Q256" s="22">
        <f>(INDEX(Prices_dom!$A$6:$CU$2000,MATCH(Settings!$C$4&amp;Settings!$C$7,Prices_dom!$A$6:$A$2000,0),MATCH("mit.rp."&amp;$N256,Prices_dom!$A$5:$CU$5,0))-INDEX(Prices_dom!$A$6:$CU$2000,MATCH(Settings!$C$4&amp;Settings!$C$7,Prices_dom!$A$6:$A$2000,0),MATCH("mit.sp."&amp;$N256,Prices_dom!$A$5:$CU$5,0)))/$P256</f>
        <v/>
      </c>
      <c r="R256" s="22">
        <f>INDEX(EF_GHG!$E$4:$E$1000,MATCH(Settings!$C$4&amp;"|"&amp;$B256&amp;"|"&amp;$O256,EF_GHG!$A$4:$A$1000,0))</f>
        <v/>
      </c>
      <c r="S256" s="22">
        <f>INDEX(Mapping!$G$5:$G$20,MATCH($C256,Mapping!$A$5:$A$20,0))</f>
        <v/>
      </c>
      <c r="T256" s="21" t="n"/>
      <c r="U256" s="21" t="n"/>
      <c r="V256" s="22">
        <f>Q256</f>
        <v/>
      </c>
      <c r="W256" s="22">
        <f>R256</f>
        <v/>
      </c>
      <c r="X256" s="22">
        <f>S256</f>
        <v/>
      </c>
      <c r="Y256" s="21" t="n"/>
      <c r="Z256" s="21" t="n"/>
      <c r="AA256" s="22">
        <f>Q256</f>
        <v/>
      </c>
      <c r="AB256" s="22">
        <f>R256</f>
        <v/>
      </c>
      <c r="AC256" s="22">
        <f>S256</f>
        <v/>
      </c>
      <c r="AD256" s="21" t="n"/>
      <c r="AE256" s="21" t="n"/>
      <c r="AF256" s="22">
        <f>Q256</f>
        <v/>
      </c>
      <c r="AG256" s="22">
        <f>R256</f>
        <v/>
      </c>
      <c r="AH256" s="22">
        <f>S256</f>
        <v/>
      </c>
      <c r="AI256" s="21" t="n"/>
      <c r="AJ256" s="21" t="n"/>
      <c r="AL256" s="23">
        <f>INDEX($Q256:$AJ256,1,(AL$4-1)*5+1)+AL$8*INDEX($Q256:$AJ256,1,(AL$4-1)*5+2)*INDEX($Q256:$AJ256,1,(AL$4-1)*5+3)</f>
        <v/>
      </c>
      <c r="AM256" s="22">
        <f>INDEX($Q256:$AJ256,1,(AM$4-1)*5+1)+AM$8*INDEX($Q256:$AJ256,1,(AM$4-1)*5+2)*INDEX($Q256:$AJ256,1,(AM$4-1)*5+3)</f>
        <v/>
      </c>
      <c r="AN256" s="22">
        <f>INDEX($Q256:$AJ256,1,(AN$4-1)*5+1)+AN$8*INDEX($Q256:$AJ256,1,(AN$4-1)*5+2)*INDEX($Q256:$AJ256,1,(AN$4-1)*5+3)</f>
        <v/>
      </c>
      <c r="AO256" s="22">
        <f>INDEX($Q256:$AJ256,1,(AO$4-1)*5+1)+AO$8*INDEX($Q256:$AJ256,1,(AO$4-1)*5+2)*INDEX($Q256:$AJ256,1,(AO$4-1)*5+3)</f>
        <v/>
      </c>
      <c r="AP256" s="22">
        <f>INDEX($Q256:$AJ256,1,(AP$4-1)*5+1)+AP$8*INDEX($Q256:$AJ256,1,(AP$4-1)*5+2)*INDEX($Q256:$AJ256,1,(AP$4-1)*5+3)</f>
        <v/>
      </c>
      <c r="AQ256" s="22">
        <f>INDEX($Q256:$AJ256,1,(AQ$4-1)*5+1)+AQ$8*INDEX($Q256:$AJ256,1,(AQ$4-1)*5+2)*INDEX($Q256:$AJ256,1,(AQ$4-1)*5+3)</f>
        <v/>
      </c>
      <c r="AR256" s="22">
        <f>INDEX($Q256:$AJ256,1,(AR$4-1)*5+1)+AR$8*INDEX($Q256:$AJ256,1,(AR$4-1)*5+2)*INDEX($Q256:$AJ256,1,(AR$4-1)*5+3)</f>
        <v/>
      </c>
      <c r="AS256" s="22">
        <f>INDEX($Q256:$AJ256,1,(AS$4-1)*5+1)+AS$8*INDEX($Q256:$AJ256,1,(AS$4-1)*5+2)*INDEX($Q256:$AJ256,1,(AS$4-1)*5+3)</f>
        <v/>
      </c>
      <c r="AT256" s="22">
        <f>INDEX($Q256:$AJ256,1,(AT$4-1)*5+1)+AT$8*INDEX($Q256:$AJ256,1,(AT$4-1)*5+2)*INDEX($Q256:$AJ256,1,(AT$4-1)*5+3)</f>
        <v/>
      </c>
      <c r="AU256" s="22">
        <f>INDEX($Q256:$AJ256,1,(AU$4-1)*5+1)+AU$8*INDEX($Q256:$AJ256,1,(AU$4-1)*5+2)*INDEX($Q256:$AJ256,1,(AU$4-1)*5+3)</f>
        <v/>
      </c>
      <c r="AV256" s="22">
        <f>INDEX($Q256:$AJ256,1,(AV$4-1)*5+1)+AV$8*INDEX($Q256:$AJ256,1,(AV$4-1)*5+2)*INDEX($Q256:$AJ256,1,(AV$4-1)*5+3)</f>
        <v/>
      </c>
      <c r="AW256" s="22">
        <f>INDEX($Q256:$AJ256,1,(AW$4-1)*5+1)+AW$8*INDEX($Q256:$AJ256,1,(AW$4-1)*5+2)*INDEX($Q256:$AJ256,1,(AW$4-1)*5+3)</f>
        <v/>
      </c>
      <c r="AX256" s="22">
        <f>INDEX($Q256:$AJ256,1,(AX$4-1)*5+1)+AX$8*INDEX($Q256:$AJ256,1,(AX$4-1)*5+2)*INDEX($Q256:$AJ256,1,(AX$4-1)*5+3)</f>
        <v/>
      </c>
      <c r="AY256" s="22">
        <f>INDEX($Q256:$AJ256,1,(AY$4-1)*5+1)+AY$8*INDEX($Q256:$AJ256,1,(AY$4-1)*5+2)*INDEX($Q256:$AJ256,1,(AY$4-1)*5+3)</f>
        <v/>
      </c>
      <c r="BA256" s="23">
        <f>INDEX($Q256:$AJ256,1,(BA$4-1)*5+1)+BA$8*INDEX($Q256:$AJ256,1,(BA$4-1)*5+2)*INDEX($Q256:$AJ256,1,(BA$4-1)*5+3)</f>
        <v/>
      </c>
      <c r="BB256" s="22">
        <f>INDEX($Q256:$AJ256,1,(BB$4-1)*5+1)+BB$8*INDEX($Q256:$AJ256,1,(BB$4-1)*5+2)*INDEX($Q256:$AJ256,1,(BB$4-1)*5+3)</f>
        <v/>
      </c>
      <c r="BC256" s="22">
        <f>INDEX($Q256:$AJ256,1,(BC$4-1)*5+1)+BC$8*INDEX($Q256:$AJ256,1,(BC$4-1)*5+2)*INDEX($Q256:$AJ256,1,(BC$4-1)*5+3)</f>
        <v/>
      </c>
      <c r="BD256" s="22">
        <f>INDEX($Q256:$AJ256,1,(BD$4-1)*5+1)+BD$8*INDEX($Q256:$AJ256,1,(BD$4-1)*5+2)*INDEX($Q256:$AJ256,1,(BD$4-1)*5+3)</f>
        <v/>
      </c>
      <c r="BE256" s="22">
        <f>INDEX($Q256:$AJ256,1,(BE$4-1)*5+1)+BE$8*INDEX($Q256:$AJ256,1,(BE$4-1)*5+2)*INDEX($Q256:$AJ256,1,(BE$4-1)*5+3)</f>
        <v/>
      </c>
      <c r="BF256" s="22">
        <f>INDEX($Q256:$AJ256,1,(BF$4-1)*5+1)+BF$8*INDEX($Q256:$AJ256,1,(BF$4-1)*5+2)*INDEX($Q256:$AJ256,1,(BF$4-1)*5+3)</f>
        <v/>
      </c>
      <c r="BG256" s="22">
        <f>INDEX($Q256:$AJ256,1,(BG$4-1)*5+1)+BG$8*INDEX($Q256:$AJ256,1,(BG$4-1)*5+2)*INDEX($Q256:$AJ256,1,(BG$4-1)*5+3)</f>
        <v/>
      </c>
      <c r="BH256" s="22">
        <f>INDEX($Q256:$AJ256,1,(BH$4-1)*5+1)+BH$8*INDEX($Q256:$AJ256,1,(BH$4-1)*5+2)*INDEX($Q256:$AJ256,1,(BH$4-1)*5+3)</f>
        <v/>
      </c>
      <c r="BI256" s="22">
        <f>INDEX($Q256:$AJ256,1,(BI$4-1)*5+1)+BI$8*INDEX($Q256:$AJ256,1,(BI$4-1)*5+2)*INDEX($Q256:$AJ256,1,(BI$4-1)*5+3)</f>
        <v/>
      </c>
      <c r="BJ256" s="22">
        <f>INDEX($Q256:$AJ256,1,(BJ$4-1)*5+1)+BJ$8*INDEX($Q256:$AJ256,1,(BJ$4-1)*5+2)*INDEX($Q256:$AJ256,1,(BJ$4-1)*5+3)</f>
        <v/>
      </c>
      <c r="BK256" s="22">
        <f>INDEX($Q256:$AJ256,1,(BK$4-1)*5+1)+BK$8*INDEX($Q256:$AJ256,1,(BK$4-1)*5+2)*INDEX($Q256:$AJ256,1,(BK$4-1)*5+3)</f>
        <v/>
      </c>
      <c r="BL256" s="22">
        <f>INDEX($Q256:$AJ256,1,(BL$4-1)*5+1)+BL$8*INDEX($Q256:$AJ256,1,(BL$4-1)*5+2)*INDEX($Q256:$AJ256,1,(BL$4-1)*5+3)</f>
        <v/>
      </c>
      <c r="BM256" s="22">
        <f>INDEX($Q256:$AJ256,1,(BM$4-1)*5+1)+BM$8*INDEX($Q256:$AJ256,1,(BM$4-1)*5+2)*INDEX($Q256:$AJ256,1,(BM$4-1)*5+3)</f>
        <v/>
      </c>
      <c r="BN256" s="22">
        <f>INDEX($Q256:$AJ256,1,(BN$4-1)*5+1)+BN$8*INDEX($Q256:$AJ256,1,(BN$4-1)*5+2)*INDEX($Q256:$AJ256,1,(BN$4-1)*5+3)</f>
        <v/>
      </c>
    </row>
    <row r="257">
      <c r="B257" s="5" t="inlineStr">
        <is>
          <t>lpg</t>
        </is>
      </c>
      <c r="C257" s="5" t="inlineStr">
        <is>
          <t>ftr</t>
        </is>
      </c>
      <c r="D257" s="5" t="inlineStr">
        <is>
          <t>Tax | Fuel transformation | LPG</t>
        </is>
      </c>
      <c r="E257" s="5" t="inlineStr">
        <is>
          <t>$/GJ</t>
        </is>
      </c>
      <c r="F257" s="5" t="inlineStr">
        <is>
          <t>Prices_dom, EF_GHG, Mapping</t>
        </is>
      </c>
      <c r="G257" s="19" t="inlineStr">
        <is>
          <t>mit.rp.lpg</t>
        </is>
      </c>
      <c r="H257" s="19" t="inlineStr">
        <is>
          <t>mit.tax.lpg.ftr</t>
        </is>
      </c>
      <c r="J257" s="5">
        <f>INDEX(Mapping!$C$5:$C$20,MATCH($C257,Mapping!$A$5:$A$20,0))</f>
        <v/>
      </c>
      <c r="K257" s="5">
        <f>INDEX(Mapping!$D$5:$D$20,MATCH($C257,Mapping!$A$5:$A$20,0))</f>
        <v/>
      </c>
      <c r="L257" s="5">
        <f>INDEX(Mapping!$C$24:$C$31,MATCH($B257,Mapping!$A$24:$A$31,0))</f>
        <v/>
      </c>
      <c r="M257" s="5">
        <f>INDEX(Mapping!$D$24:$D$31,MATCH($B257,Mapping!$A$24:$A$31,0))</f>
        <v/>
      </c>
      <c r="N257" s="5">
        <f>$B257&amp;"."&amp;IF(INDEX(Mapping!$E$24:$E$31,MATCH($B257,Mapping!$A$24:$A$31,0))="sub",INDEX(Mapping!$F$5:$F$20,MATCH($C257,Mapping!$A$5:$A$20,0)),"all")</f>
        <v/>
      </c>
      <c r="O257" s="5">
        <f>INDEX(Mapping!$E$5:$E$20,MATCH($C257,Mapping!$A$5:$A$20,0))</f>
        <v/>
      </c>
      <c r="P257" s="5">
        <f>INDEX(Mapping!$G$24:$G$31,MATCH($B257,Mapping!$A$24:$A$31,0))</f>
        <v/>
      </c>
      <c r="Q257" s="22">
        <f>(INDEX(Prices_dom!$A$6:$CU$2000,MATCH(Settings!$C$4&amp;Settings!$C$7,Prices_dom!$A$6:$A$2000,0),MATCH("mit.rp."&amp;$N257,Prices_dom!$A$5:$CU$5,0))-INDEX(Prices_dom!$A$6:$CU$2000,MATCH(Settings!$C$4&amp;Settings!$C$7,Prices_dom!$A$6:$A$2000,0),MATCH("mit.sp."&amp;$N257,Prices_dom!$A$5:$CU$5,0)))/$P257</f>
        <v/>
      </c>
      <c r="R257" s="22">
        <f>INDEX(EF_GHG!$E$4:$E$1000,MATCH(Settings!$C$4&amp;"|"&amp;$B257&amp;"|"&amp;$O257,EF_GHG!$A$4:$A$1000,0))</f>
        <v/>
      </c>
      <c r="S257" s="22">
        <f>INDEX(Mapping!$G$5:$G$20,MATCH($C257,Mapping!$A$5:$A$20,0))</f>
        <v/>
      </c>
      <c r="T257" s="21" t="n"/>
      <c r="U257" s="21" t="n"/>
      <c r="V257" s="22">
        <f>Q257</f>
        <v/>
      </c>
      <c r="W257" s="22">
        <f>R257</f>
        <v/>
      </c>
      <c r="X257" s="22">
        <f>S257</f>
        <v/>
      </c>
      <c r="Y257" s="21" t="n"/>
      <c r="Z257" s="21" t="n"/>
      <c r="AA257" s="22">
        <f>Q257</f>
        <v/>
      </c>
      <c r="AB257" s="22">
        <f>R257</f>
        <v/>
      </c>
      <c r="AC257" s="22">
        <f>S257</f>
        <v/>
      </c>
      <c r="AD257" s="21" t="n"/>
      <c r="AE257" s="21" t="n"/>
      <c r="AF257" s="22">
        <f>Q257</f>
        <v/>
      </c>
      <c r="AG257" s="22">
        <f>R257</f>
        <v/>
      </c>
      <c r="AH257" s="22">
        <f>S257</f>
        <v/>
      </c>
      <c r="AI257" s="21" t="n"/>
      <c r="AJ257" s="21" t="n"/>
      <c r="AL257" s="23">
        <f>INDEX($Q257:$AJ257,1,(AL$4-1)*5+1)+AL$8*INDEX($Q257:$AJ257,1,(AL$4-1)*5+2)*INDEX($Q257:$AJ257,1,(AL$4-1)*5+3)</f>
        <v/>
      </c>
      <c r="AM257" s="22">
        <f>INDEX($Q257:$AJ257,1,(AM$4-1)*5+1)+AM$8*INDEX($Q257:$AJ257,1,(AM$4-1)*5+2)*INDEX($Q257:$AJ257,1,(AM$4-1)*5+3)</f>
        <v/>
      </c>
      <c r="AN257" s="22">
        <f>INDEX($Q257:$AJ257,1,(AN$4-1)*5+1)+AN$8*INDEX($Q257:$AJ257,1,(AN$4-1)*5+2)*INDEX($Q257:$AJ257,1,(AN$4-1)*5+3)</f>
        <v/>
      </c>
      <c r="AO257" s="22">
        <f>INDEX($Q257:$AJ257,1,(AO$4-1)*5+1)+AO$8*INDEX($Q257:$AJ257,1,(AO$4-1)*5+2)*INDEX($Q257:$AJ257,1,(AO$4-1)*5+3)</f>
        <v/>
      </c>
      <c r="AP257" s="22">
        <f>INDEX($Q257:$AJ257,1,(AP$4-1)*5+1)+AP$8*INDEX($Q257:$AJ257,1,(AP$4-1)*5+2)*INDEX($Q257:$AJ257,1,(AP$4-1)*5+3)</f>
        <v/>
      </c>
      <c r="AQ257" s="22">
        <f>INDEX($Q257:$AJ257,1,(AQ$4-1)*5+1)+AQ$8*INDEX($Q257:$AJ257,1,(AQ$4-1)*5+2)*INDEX($Q257:$AJ257,1,(AQ$4-1)*5+3)</f>
        <v/>
      </c>
      <c r="AR257" s="22">
        <f>INDEX($Q257:$AJ257,1,(AR$4-1)*5+1)+AR$8*INDEX($Q257:$AJ257,1,(AR$4-1)*5+2)*INDEX($Q257:$AJ257,1,(AR$4-1)*5+3)</f>
        <v/>
      </c>
      <c r="AS257" s="22">
        <f>INDEX($Q257:$AJ257,1,(AS$4-1)*5+1)+AS$8*INDEX($Q257:$AJ257,1,(AS$4-1)*5+2)*INDEX($Q257:$AJ257,1,(AS$4-1)*5+3)</f>
        <v/>
      </c>
      <c r="AT257" s="22">
        <f>INDEX($Q257:$AJ257,1,(AT$4-1)*5+1)+AT$8*INDEX($Q257:$AJ257,1,(AT$4-1)*5+2)*INDEX($Q257:$AJ257,1,(AT$4-1)*5+3)</f>
        <v/>
      </c>
      <c r="AU257" s="22">
        <f>INDEX($Q257:$AJ257,1,(AU$4-1)*5+1)+AU$8*INDEX($Q257:$AJ257,1,(AU$4-1)*5+2)*INDEX($Q257:$AJ257,1,(AU$4-1)*5+3)</f>
        <v/>
      </c>
      <c r="AV257" s="22">
        <f>INDEX($Q257:$AJ257,1,(AV$4-1)*5+1)+AV$8*INDEX($Q257:$AJ257,1,(AV$4-1)*5+2)*INDEX($Q257:$AJ257,1,(AV$4-1)*5+3)</f>
        <v/>
      </c>
      <c r="AW257" s="22">
        <f>INDEX($Q257:$AJ257,1,(AW$4-1)*5+1)+AW$8*INDEX($Q257:$AJ257,1,(AW$4-1)*5+2)*INDEX($Q257:$AJ257,1,(AW$4-1)*5+3)</f>
        <v/>
      </c>
      <c r="AX257" s="22">
        <f>INDEX($Q257:$AJ257,1,(AX$4-1)*5+1)+AX$8*INDEX($Q257:$AJ257,1,(AX$4-1)*5+2)*INDEX($Q257:$AJ257,1,(AX$4-1)*5+3)</f>
        <v/>
      </c>
      <c r="AY257" s="22">
        <f>INDEX($Q257:$AJ257,1,(AY$4-1)*5+1)+AY$8*INDEX($Q257:$AJ257,1,(AY$4-1)*5+2)*INDEX($Q257:$AJ257,1,(AY$4-1)*5+3)</f>
        <v/>
      </c>
      <c r="BA257" s="23">
        <f>INDEX($Q257:$AJ257,1,(BA$4-1)*5+1)+BA$8*INDEX($Q257:$AJ257,1,(BA$4-1)*5+2)*INDEX($Q257:$AJ257,1,(BA$4-1)*5+3)</f>
        <v/>
      </c>
      <c r="BB257" s="22">
        <f>INDEX($Q257:$AJ257,1,(BB$4-1)*5+1)+BB$8*INDEX($Q257:$AJ257,1,(BB$4-1)*5+2)*INDEX($Q257:$AJ257,1,(BB$4-1)*5+3)</f>
        <v/>
      </c>
      <c r="BC257" s="22">
        <f>INDEX($Q257:$AJ257,1,(BC$4-1)*5+1)+BC$8*INDEX($Q257:$AJ257,1,(BC$4-1)*5+2)*INDEX($Q257:$AJ257,1,(BC$4-1)*5+3)</f>
        <v/>
      </c>
      <c r="BD257" s="22">
        <f>INDEX($Q257:$AJ257,1,(BD$4-1)*5+1)+BD$8*INDEX($Q257:$AJ257,1,(BD$4-1)*5+2)*INDEX($Q257:$AJ257,1,(BD$4-1)*5+3)</f>
        <v/>
      </c>
      <c r="BE257" s="22">
        <f>INDEX($Q257:$AJ257,1,(BE$4-1)*5+1)+BE$8*INDEX($Q257:$AJ257,1,(BE$4-1)*5+2)*INDEX($Q257:$AJ257,1,(BE$4-1)*5+3)</f>
        <v/>
      </c>
      <c r="BF257" s="22">
        <f>INDEX($Q257:$AJ257,1,(BF$4-1)*5+1)+BF$8*INDEX($Q257:$AJ257,1,(BF$4-1)*5+2)*INDEX($Q257:$AJ257,1,(BF$4-1)*5+3)</f>
        <v/>
      </c>
      <c r="BG257" s="22">
        <f>INDEX($Q257:$AJ257,1,(BG$4-1)*5+1)+BG$8*INDEX($Q257:$AJ257,1,(BG$4-1)*5+2)*INDEX($Q257:$AJ257,1,(BG$4-1)*5+3)</f>
        <v/>
      </c>
      <c r="BH257" s="22">
        <f>INDEX($Q257:$AJ257,1,(BH$4-1)*5+1)+BH$8*INDEX($Q257:$AJ257,1,(BH$4-1)*5+2)*INDEX($Q257:$AJ257,1,(BH$4-1)*5+3)</f>
        <v/>
      </c>
      <c r="BI257" s="22">
        <f>INDEX($Q257:$AJ257,1,(BI$4-1)*5+1)+BI$8*INDEX($Q257:$AJ257,1,(BI$4-1)*5+2)*INDEX($Q257:$AJ257,1,(BI$4-1)*5+3)</f>
        <v/>
      </c>
      <c r="BJ257" s="22">
        <f>INDEX($Q257:$AJ257,1,(BJ$4-1)*5+1)+BJ$8*INDEX($Q257:$AJ257,1,(BJ$4-1)*5+2)*INDEX($Q257:$AJ257,1,(BJ$4-1)*5+3)</f>
        <v/>
      </c>
      <c r="BK257" s="22">
        <f>INDEX($Q257:$AJ257,1,(BK$4-1)*5+1)+BK$8*INDEX($Q257:$AJ257,1,(BK$4-1)*5+2)*INDEX($Q257:$AJ257,1,(BK$4-1)*5+3)</f>
        <v/>
      </c>
      <c r="BL257" s="22">
        <f>INDEX($Q257:$AJ257,1,(BL$4-1)*5+1)+BL$8*INDEX($Q257:$AJ257,1,(BL$4-1)*5+2)*INDEX($Q257:$AJ257,1,(BL$4-1)*5+3)</f>
        <v/>
      </c>
      <c r="BM257" s="22">
        <f>INDEX($Q257:$AJ257,1,(BM$4-1)*5+1)+BM$8*INDEX($Q257:$AJ257,1,(BM$4-1)*5+2)*INDEX($Q257:$AJ257,1,(BM$4-1)*5+3)</f>
        <v/>
      </c>
      <c r="BN257" s="22">
        <f>INDEX($Q257:$AJ257,1,(BN$4-1)*5+1)+BN$8*INDEX($Q257:$AJ257,1,(BN$4-1)*5+2)*INDEX($Q257:$AJ257,1,(BN$4-1)*5+3)</f>
        <v/>
      </c>
    </row>
    <row r="258">
      <c r="B258" s="5" t="inlineStr">
        <is>
          <t>ker</t>
        </is>
      </c>
      <c r="C258" s="5" t="inlineStr">
        <is>
          <t>ftr</t>
        </is>
      </c>
      <c r="D258" s="5" t="inlineStr">
        <is>
          <t>Tax | Fuel transformation | Kerosene</t>
        </is>
      </c>
      <c r="E258" s="5" t="inlineStr">
        <is>
          <t>$/GJ</t>
        </is>
      </c>
      <c r="F258" s="5" t="inlineStr">
        <is>
          <t>Prices_dom, EF_GHG, Mapping</t>
        </is>
      </c>
      <c r="G258" s="19" t="inlineStr">
        <is>
          <t>mit.rp.ker</t>
        </is>
      </c>
      <c r="H258" s="19" t="inlineStr">
        <is>
          <t>mit.tax.ker.ftr</t>
        </is>
      </c>
      <c r="J258" s="5">
        <f>INDEX(Mapping!$C$5:$C$20,MATCH($C258,Mapping!$A$5:$A$20,0))</f>
        <v/>
      </c>
      <c r="K258" s="5">
        <f>INDEX(Mapping!$D$5:$D$20,MATCH($C258,Mapping!$A$5:$A$20,0))</f>
        <v/>
      </c>
      <c r="L258" s="5">
        <f>INDEX(Mapping!$C$24:$C$31,MATCH($B258,Mapping!$A$24:$A$31,0))</f>
        <v/>
      </c>
      <c r="M258" s="5">
        <f>INDEX(Mapping!$D$24:$D$31,MATCH($B258,Mapping!$A$24:$A$31,0))</f>
        <v/>
      </c>
      <c r="N258" s="5">
        <f>$B258&amp;"."&amp;IF(INDEX(Mapping!$E$24:$E$31,MATCH($B258,Mapping!$A$24:$A$31,0))="sub",INDEX(Mapping!$F$5:$F$20,MATCH($C258,Mapping!$A$5:$A$20,0)),"all")</f>
        <v/>
      </c>
      <c r="O258" s="5">
        <f>INDEX(Mapping!$E$5:$E$20,MATCH($C258,Mapping!$A$5:$A$20,0))</f>
        <v/>
      </c>
      <c r="P258" s="5">
        <f>INDEX(Mapping!$G$24:$G$31,MATCH($B258,Mapping!$A$24:$A$31,0))</f>
        <v/>
      </c>
      <c r="Q258" s="22">
        <f>(INDEX(Prices_dom!$A$6:$CU$2000,MATCH(Settings!$C$4&amp;Settings!$C$7,Prices_dom!$A$6:$A$2000,0),MATCH("mit.rp."&amp;$N258,Prices_dom!$A$5:$CU$5,0))-INDEX(Prices_dom!$A$6:$CU$2000,MATCH(Settings!$C$4&amp;Settings!$C$7,Prices_dom!$A$6:$A$2000,0),MATCH("mit.sp."&amp;$N258,Prices_dom!$A$5:$CU$5,0)))/$P258</f>
        <v/>
      </c>
      <c r="R258" s="22">
        <f>INDEX(EF_GHG!$E$4:$E$1000,MATCH(Settings!$C$4&amp;"|"&amp;$B258&amp;"|"&amp;$O258,EF_GHG!$A$4:$A$1000,0))</f>
        <v/>
      </c>
      <c r="S258" s="22">
        <f>INDEX(Mapping!$G$5:$G$20,MATCH($C258,Mapping!$A$5:$A$20,0))</f>
        <v/>
      </c>
      <c r="T258" s="21" t="n"/>
      <c r="U258" s="21" t="n"/>
      <c r="V258" s="22">
        <f>Q258</f>
        <v/>
      </c>
      <c r="W258" s="22">
        <f>R258</f>
        <v/>
      </c>
      <c r="X258" s="22">
        <f>S258</f>
        <v/>
      </c>
      <c r="Y258" s="21" t="n"/>
      <c r="Z258" s="21" t="n"/>
      <c r="AA258" s="22">
        <f>Q258</f>
        <v/>
      </c>
      <c r="AB258" s="22">
        <f>R258</f>
        <v/>
      </c>
      <c r="AC258" s="22">
        <f>S258</f>
        <v/>
      </c>
      <c r="AD258" s="21" t="n"/>
      <c r="AE258" s="21" t="n"/>
      <c r="AF258" s="22">
        <f>Q258</f>
        <v/>
      </c>
      <c r="AG258" s="22">
        <f>R258</f>
        <v/>
      </c>
      <c r="AH258" s="22">
        <f>S258</f>
        <v/>
      </c>
      <c r="AI258" s="21" t="n"/>
      <c r="AJ258" s="21" t="n"/>
      <c r="AL258" s="23">
        <f>INDEX($Q258:$AJ258,1,(AL$4-1)*5+1)+AL$8*INDEX($Q258:$AJ258,1,(AL$4-1)*5+2)*INDEX($Q258:$AJ258,1,(AL$4-1)*5+3)</f>
        <v/>
      </c>
      <c r="AM258" s="22">
        <f>INDEX($Q258:$AJ258,1,(AM$4-1)*5+1)+AM$8*INDEX($Q258:$AJ258,1,(AM$4-1)*5+2)*INDEX($Q258:$AJ258,1,(AM$4-1)*5+3)</f>
        <v/>
      </c>
      <c r="AN258" s="22">
        <f>INDEX($Q258:$AJ258,1,(AN$4-1)*5+1)+AN$8*INDEX($Q258:$AJ258,1,(AN$4-1)*5+2)*INDEX($Q258:$AJ258,1,(AN$4-1)*5+3)</f>
        <v/>
      </c>
      <c r="AO258" s="22">
        <f>INDEX($Q258:$AJ258,1,(AO$4-1)*5+1)+AO$8*INDEX($Q258:$AJ258,1,(AO$4-1)*5+2)*INDEX($Q258:$AJ258,1,(AO$4-1)*5+3)</f>
        <v/>
      </c>
      <c r="AP258" s="22">
        <f>INDEX($Q258:$AJ258,1,(AP$4-1)*5+1)+AP$8*INDEX($Q258:$AJ258,1,(AP$4-1)*5+2)*INDEX($Q258:$AJ258,1,(AP$4-1)*5+3)</f>
        <v/>
      </c>
      <c r="AQ258" s="22">
        <f>INDEX($Q258:$AJ258,1,(AQ$4-1)*5+1)+AQ$8*INDEX($Q258:$AJ258,1,(AQ$4-1)*5+2)*INDEX($Q258:$AJ258,1,(AQ$4-1)*5+3)</f>
        <v/>
      </c>
      <c r="AR258" s="22">
        <f>INDEX($Q258:$AJ258,1,(AR$4-1)*5+1)+AR$8*INDEX($Q258:$AJ258,1,(AR$4-1)*5+2)*INDEX($Q258:$AJ258,1,(AR$4-1)*5+3)</f>
        <v/>
      </c>
      <c r="AS258" s="22">
        <f>INDEX($Q258:$AJ258,1,(AS$4-1)*5+1)+AS$8*INDEX($Q258:$AJ258,1,(AS$4-1)*5+2)*INDEX($Q258:$AJ258,1,(AS$4-1)*5+3)</f>
        <v/>
      </c>
      <c r="AT258" s="22">
        <f>INDEX($Q258:$AJ258,1,(AT$4-1)*5+1)+AT$8*INDEX($Q258:$AJ258,1,(AT$4-1)*5+2)*INDEX($Q258:$AJ258,1,(AT$4-1)*5+3)</f>
        <v/>
      </c>
      <c r="AU258" s="22">
        <f>INDEX($Q258:$AJ258,1,(AU$4-1)*5+1)+AU$8*INDEX($Q258:$AJ258,1,(AU$4-1)*5+2)*INDEX($Q258:$AJ258,1,(AU$4-1)*5+3)</f>
        <v/>
      </c>
      <c r="AV258" s="22">
        <f>INDEX($Q258:$AJ258,1,(AV$4-1)*5+1)+AV$8*INDEX($Q258:$AJ258,1,(AV$4-1)*5+2)*INDEX($Q258:$AJ258,1,(AV$4-1)*5+3)</f>
        <v/>
      </c>
      <c r="AW258" s="22">
        <f>INDEX($Q258:$AJ258,1,(AW$4-1)*5+1)+AW$8*INDEX($Q258:$AJ258,1,(AW$4-1)*5+2)*INDEX($Q258:$AJ258,1,(AW$4-1)*5+3)</f>
        <v/>
      </c>
      <c r="AX258" s="22">
        <f>INDEX($Q258:$AJ258,1,(AX$4-1)*5+1)+AX$8*INDEX($Q258:$AJ258,1,(AX$4-1)*5+2)*INDEX($Q258:$AJ258,1,(AX$4-1)*5+3)</f>
        <v/>
      </c>
      <c r="AY258" s="22">
        <f>INDEX($Q258:$AJ258,1,(AY$4-1)*5+1)+AY$8*INDEX($Q258:$AJ258,1,(AY$4-1)*5+2)*INDEX($Q258:$AJ258,1,(AY$4-1)*5+3)</f>
        <v/>
      </c>
      <c r="BA258" s="23">
        <f>INDEX($Q258:$AJ258,1,(BA$4-1)*5+1)+BA$8*INDEX($Q258:$AJ258,1,(BA$4-1)*5+2)*INDEX($Q258:$AJ258,1,(BA$4-1)*5+3)</f>
        <v/>
      </c>
      <c r="BB258" s="22">
        <f>INDEX($Q258:$AJ258,1,(BB$4-1)*5+1)+BB$8*INDEX($Q258:$AJ258,1,(BB$4-1)*5+2)*INDEX($Q258:$AJ258,1,(BB$4-1)*5+3)</f>
        <v/>
      </c>
      <c r="BC258" s="22">
        <f>INDEX($Q258:$AJ258,1,(BC$4-1)*5+1)+BC$8*INDEX($Q258:$AJ258,1,(BC$4-1)*5+2)*INDEX($Q258:$AJ258,1,(BC$4-1)*5+3)</f>
        <v/>
      </c>
      <c r="BD258" s="22">
        <f>INDEX($Q258:$AJ258,1,(BD$4-1)*5+1)+BD$8*INDEX($Q258:$AJ258,1,(BD$4-1)*5+2)*INDEX($Q258:$AJ258,1,(BD$4-1)*5+3)</f>
        <v/>
      </c>
      <c r="BE258" s="22">
        <f>INDEX($Q258:$AJ258,1,(BE$4-1)*5+1)+BE$8*INDEX($Q258:$AJ258,1,(BE$4-1)*5+2)*INDEX($Q258:$AJ258,1,(BE$4-1)*5+3)</f>
        <v/>
      </c>
      <c r="BF258" s="22">
        <f>INDEX($Q258:$AJ258,1,(BF$4-1)*5+1)+BF$8*INDEX($Q258:$AJ258,1,(BF$4-1)*5+2)*INDEX($Q258:$AJ258,1,(BF$4-1)*5+3)</f>
        <v/>
      </c>
      <c r="BG258" s="22">
        <f>INDEX($Q258:$AJ258,1,(BG$4-1)*5+1)+BG$8*INDEX($Q258:$AJ258,1,(BG$4-1)*5+2)*INDEX($Q258:$AJ258,1,(BG$4-1)*5+3)</f>
        <v/>
      </c>
      <c r="BH258" s="22">
        <f>INDEX($Q258:$AJ258,1,(BH$4-1)*5+1)+BH$8*INDEX($Q258:$AJ258,1,(BH$4-1)*5+2)*INDEX($Q258:$AJ258,1,(BH$4-1)*5+3)</f>
        <v/>
      </c>
      <c r="BI258" s="22">
        <f>INDEX($Q258:$AJ258,1,(BI$4-1)*5+1)+BI$8*INDEX($Q258:$AJ258,1,(BI$4-1)*5+2)*INDEX($Q258:$AJ258,1,(BI$4-1)*5+3)</f>
        <v/>
      </c>
      <c r="BJ258" s="22">
        <f>INDEX($Q258:$AJ258,1,(BJ$4-1)*5+1)+BJ$8*INDEX($Q258:$AJ258,1,(BJ$4-1)*5+2)*INDEX($Q258:$AJ258,1,(BJ$4-1)*5+3)</f>
        <v/>
      </c>
      <c r="BK258" s="22">
        <f>INDEX($Q258:$AJ258,1,(BK$4-1)*5+1)+BK$8*INDEX($Q258:$AJ258,1,(BK$4-1)*5+2)*INDEX($Q258:$AJ258,1,(BK$4-1)*5+3)</f>
        <v/>
      </c>
      <c r="BL258" s="22">
        <f>INDEX($Q258:$AJ258,1,(BL$4-1)*5+1)+BL$8*INDEX($Q258:$AJ258,1,(BL$4-1)*5+2)*INDEX($Q258:$AJ258,1,(BL$4-1)*5+3)</f>
        <v/>
      </c>
      <c r="BM258" s="22">
        <f>INDEX($Q258:$AJ258,1,(BM$4-1)*5+1)+BM$8*INDEX($Q258:$AJ258,1,(BM$4-1)*5+2)*INDEX($Q258:$AJ258,1,(BM$4-1)*5+3)</f>
        <v/>
      </c>
      <c r="BN258" s="22">
        <f>INDEX($Q258:$AJ258,1,(BN$4-1)*5+1)+BN$8*INDEX($Q258:$AJ258,1,(BN$4-1)*5+2)*INDEX($Q258:$AJ258,1,(BN$4-1)*5+3)</f>
        <v/>
      </c>
    </row>
    <row r="259">
      <c r="B259" s="5" t="inlineStr">
        <is>
          <t>oop</t>
        </is>
      </c>
      <c r="C259" s="5" t="inlineStr">
        <is>
          <t>ftr</t>
        </is>
      </c>
      <c r="D259" s="5" t="inlineStr">
        <is>
          <t>Tax | Fuel transformation | Other oil products</t>
        </is>
      </c>
      <c r="E259" s="5" t="inlineStr">
        <is>
          <t>$/GJ</t>
        </is>
      </c>
      <c r="F259" s="5" t="inlineStr">
        <is>
          <t>Prices_dom, EF_GHG, Mapping</t>
        </is>
      </c>
      <c r="G259" s="19" t="inlineStr">
        <is>
          <t>mit.rp.oop</t>
        </is>
      </c>
      <c r="H259" s="19" t="inlineStr">
        <is>
          <t>mit.tax.oop.ftr</t>
        </is>
      </c>
      <c r="J259" s="5">
        <f>INDEX(Mapping!$C$5:$C$20,MATCH($C259,Mapping!$A$5:$A$20,0))</f>
        <v/>
      </c>
      <c r="K259" s="5">
        <f>INDEX(Mapping!$D$5:$D$20,MATCH($C259,Mapping!$A$5:$A$20,0))</f>
        <v/>
      </c>
      <c r="L259" s="5">
        <f>INDEX(Mapping!$C$24:$C$31,MATCH($B259,Mapping!$A$24:$A$31,0))</f>
        <v/>
      </c>
      <c r="M259" s="5">
        <f>INDEX(Mapping!$D$24:$D$31,MATCH($B259,Mapping!$A$24:$A$31,0))</f>
        <v/>
      </c>
      <c r="N259" s="5">
        <f>$B259&amp;"."&amp;IF(INDEX(Mapping!$E$24:$E$31,MATCH($B259,Mapping!$A$24:$A$31,0))="sub",INDEX(Mapping!$F$5:$F$20,MATCH($C259,Mapping!$A$5:$A$20,0)),"all")</f>
        <v/>
      </c>
      <c r="O259" s="5">
        <f>INDEX(Mapping!$E$5:$E$20,MATCH($C259,Mapping!$A$5:$A$20,0))</f>
        <v/>
      </c>
      <c r="P259" s="5">
        <f>INDEX(Mapping!$G$24:$G$31,MATCH($B259,Mapping!$A$24:$A$31,0))</f>
        <v/>
      </c>
      <c r="Q259" s="22">
        <f>(INDEX(Prices_dom!$A$6:$CU$2000,MATCH(Settings!$C$4&amp;Settings!$C$7,Prices_dom!$A$6:$A$2000,0),MATCH("mit.rp."&amp;$N259,Prices_dom!$A$5:$CU$5,0))-INDEX(Prices_dom!$A$6:$CU$2000,MATCH(Settings!$C$4&amp;Settings!$C$7,Prices_dom!$A$6:$A$2000,0),MATCH("mit.sp."&amp;$N259,Prices_dom!$A$5:$CU$5,0)))/$P259</f>
        <v/>
      </c>
      <c r="R259" s="22">
        <f>INDEX(EF_GHG!$E$4:$E$1000,MATCH(Settings!$C$4&amp;"|"&amp;$B259&amp;"|"&amp;$O259,EF_GHG!$A$4:$A$1000,0))</f>
        <v/>
      </c>
      <c r="S259" s="22">
        <f>INDEX(Mapping!$G$5:$G$20,MATCH($C259,Mapping!$A$5:$A$20,0))</f>
        <v/>
      </c>
      <c r="T259" s="21" t="n"/>
      <c r="U259" s="21" t="n"/>
      <c r="V259" s="22">
        <f>Q259</f>
        <v/>
      </c>
      <c r="W259" s="22">
        <f>R259</f>
        <v/>
      </c>
      <c r="X259" s="22">
        <f>S259</f>
        <v/>
      </c>
      <c r="Y259" s="21" t="n"/>
      <c r="Z259" s="21" t="n"/>
      <c r="AA259" s="22">
        <f>Q259</f>
        <v/>
      </c>
      <c r="AB259" s="22">
        <f>R259</f>
        <v/>
      </c>
      <c r="AC259" s="22">
        <f>S259</f>
        <v/>
      </c>
      <c r="AD259" s="21" t="n"/>
      <c r="AE259" s="21" t="n"/>
      <c r="AF259" s="22">
        <f>Q259</f>
        <v/>
      </c>
      <c r="AG259" s="22">
        <f>R259</f>
        <v/>
      </c>
      <c r="AH259" s="22">
        <f>S259</f>
        <v/>
      </c>
      <c r="AI259" s="21" t="n"/>
      <c r="AJ259" s="21" t="n"/>
      <c r="AL259" s="23">
        <f>INDEX($Q259:$AJ259,1,(AL$4-1)*5+1)+AL$8*INDEX($Q259:$AJ259,1,(AL$4-1)*5+2)*INDEX($Q259:$AJ259,1,(AL$4-1)*5+3)</f>
        <v/>
      </c>
      <c r="AM259" s="22">
        <f>INDEX($Q259:$AJ259,1,(AM$4-1)*5+1)+AM$8*INDEX($Q259:$AJ259,1,(AM$4-1)*5+2)*INDEX($Q259:$AJ259,1,(AM$4-1)*5+3)</f>
        <v/>
      </c>
      <c r="AN259" s="22">
        <f>INDEX($Q259:$AJ259,1,(AN$4-1)*5+1)+AN$8*INDEX($Q259:$AJ259,1,(AN$4-1)*5+2)*INDEX($Q259:$AJ259,1,(AN$4-1)*5+3)</f>
        <v/>
      </c>
      <c r="AO259" s="22">
        <f>INDEX($Q259:$AJ259,1,(AO$4-1)*5+1)+AO$8*INDEX($Q259:$AJ259,1,(AO$4-1)*5+2)*INDEX($Q259:$AJ259,1,(AO$4-1)*5+3)</f>
        <v/>
      </c>
      <c r="AP259" s="22">
        <f>INDEX($Q259:$AJ259,1,(AP$4-1)*5+1)+AP$8*INDEX($Q259:$AJ259,1,(AP$4-1)*5+2)*INDEX($Q259:$AJ259,1,(AP$4-1)*5+3)</f>
        <v/>
      </c>
      <c r="AQ259" s="22">
        <f>INDEX($Q259:$AJ259,1,(AQ$4-1)*5+1)+AQ$8*INDEX($Q259:$AJ259,1,(AQ$4-1)*5+2)*INDEX($Q259:$AJ259,1,(AQ$4-1)*5+3)</f>
        <v/>
      </c>
      <c r="AR259" s="22">
        <f>INDEX($Q259:$AJ259,1,(AR$4-1)*5+1)+AR$8*INDEX($Q259:$AJ259,1,(AR$4-1)*5+2)*INDEX($Q259:$AJ259,1,(AR$4-1)*5+3)</f>
        <v/>
      </c>
      <c r="AS259" s="22">
        <f>INDEX($Q259:$AJ259,1,(AS$4-1)*5+1)+AS$8*INDEX($Q259:$AJ259,1,(AS$4-1)*5+2)*INDEX($Q259:$AJ259,1,(AS$4-1)*5+3)</f>
        <v/>
      </c>
      <c r="AT259" s="22">
        <f>INDEX($Q259:$AJ259,1,(AT$4-1)*5+1)+AT$8*INDEX($Q259:$AJ259,1,(AT$4-1)*5+2)*INDEX($Q259:$AJ259,1,(AT$4-1)*5+3)</f>
        <v/>
      </c>
      <c r="AU259" s="22">
        <f>INDEX($Q259:$AJ259,1,(AU$4-1)*5+1)+AU$8*INDEX($Q259:$AJ259,1,(AU$4-1)*5+2)*INDEX($Q259:$AJ259,1,(AU$4-1)*5+3)</f>
        <v/>
      </c>
      <c r="AV259" s="22">
        <f>INDEX($Q259:$AJ259,1,(AV$4-1)*5+1)+AV$8*INDEX($Q259:$AJ259,1,(AV$4-1)*5+2)*INDEX($Q259:$AJ259,1,(AV$4-1)*5+3)</f>
        <v/>
      </c>
      <c r="AW259" s="22">
        <f>INDEX($Q259:$AJ259,1,(AW$4-1)*5+1)+AW$8*INDEX($Q259:$AJ259,1,(AW$4-1)*5+2)*INDEX($Q259:$AJ259,1,(AW$4-1)*5+3)</f>
        <v/>
      </c>
      <c r="AX259" s="22">
        <f>INDEX($Q259:$AJ259,1,(AX$4-1)*5+1)+AX$8*INDEX($Q259:$AJ259,1,(AX$4-1)*5+2)*INDEX($Q259:$AJ259,1,(AX$4-1)*5+3)</f>
        <v/>
      </c>
      <c r="AY259" s="22">
        <f>INDEX($Q259:$AJ259,1,(AY$4-1)*5+1)+AY$8*INDEX($Q259:$AJ259,1,(AY$4-1)*5+2)*INDEX($Q259:$AJ259,1,(AY$4-1)*5+3)</f>
        <v/>
      </c>
      <c r="BA259" s="23">
        <f>INDEX($Q259:$AJ259,1,(BA$4-1)*5+1)+BA$8*INDEX($Q259:$AJ259,1,(BA$4-1)*5+2)*INDEX($Q259:$AJ259,1,(BA$4-1)*5+3)</f>
        <v/>
      </c>
      <c r="BB259" s="22">
        <f>INDEX($Q259:$AJ259,1,(BB$4-1)*5+1)+BB$8*INDEX($Q259:$AJ259,1,(BB$4-1)*5+2)*INDEX($Q259:$AJ259,1,(BB$4-1)*5+3)</f>
        <v/>
      </c>
      <c r="BC259" s="22">
        <f>INDEX($Q259:$AJ259,1,(BC$4-1)*5+1)+BC$8*INDEX($Q259:$AJ259,1,(BC$4-1)*5+2)*INDEX($Q259:$AJ259,1,(BC$4-1)*5+3)</f>
        <v/>
      </c>
      <c r="BD259" s="22">
        <f>INDEX($Q259:$AJ259,1,(BD$4-1)*5+1)+BD$8*INDEX($Q259:$AJ259,1,(BD$4-1)*5+2)*INDEX($Q259:$AJ259,1,(BD$4-1)*5+3)</f>
        <v/>
      </c>
      <c r="BE259" s="22">
        <f>INDEX($Q259:$AJ259,1,(BE$4-1)*5+1)+BE$8*INDEX($Q259:$AJ259,1,(BE$4-1)*5+2)*INDEX($Q259:$AJ259,1,(BE$4-1)*5+3)</f>
        <v/>
      </c>
      <c r="BF259" s="22">
        <f>INDEX($Q259:$AJ259,1,(BF$4-1)*5+1)+BF$8*INDEX($Q259:$AJ259,1,(BF$4-1)*5+2)*INDEX($Q259:$AJ259,1,(BF$4-1)*5+3)</f>
        <v/>
      </c>
      <c r="BG259" s="22">
        <f>INDEX($Q259:$AJ259,1,(BG$4-1)*5+1)+BG$8*INDEX($Q259:$AJ259,1,(BG$4-1)*5+2)*INDEX($Q259:$AJ259,1,(BG$4-1)*5+3)</f>
        <v/>
      </c>
      <c r="BH259" s="22">
        <f>INDEX($Q259:$AJ259,1,(BH$4-1)*5+1)+BH$8*INDEX($Q259:$AJ259,1,(BH$4-1)*5+2)*INDEX($Q259:$AJ259,1,(BH$4-1)*5+3)</f>
        <v/>
      </c>
      <c r="BI259" s="22">
        <f>INDEX($Q259:$AJ259,1,(BI$4-1)*5+1)+BI$8*INDEX($Q259:$AJ259,1,(BI$4-1)*5+2)*INDEX($Q259:$AJ259,1,(BI$4-1)*5+3)</f>
        <v/>
      </c>
      <c r="BJ259" s="22">
        <f>INDEX($Q259:$AJ259,1,(BJ$4-1)*5+1)+BJ$8*INDEX($Q259:$AJ259,1,(BJ$4-1)*5+2)*INDEX($Q259:$AJ259,1,(BJ$4-1)*5+3)</f>
        <v/>
      </c>
      <c r="BK259" s="22">
        <f>INDEX($Q259:$AJ259,1,(BK$4-1)*5+1)+BK$8*INDEX($Q259:$AJ259,1,(BK$4-1)*5+2)*INDEX($Q259:$AJ259,1,(BK$4-1)*5+3)</f>
        <v/>
      </c>
      <c r="BL259" s="22">
        <f>INDEX($Q259:$AJ259,1,(BL$4-1)*5+1)+BL$8*INDEX($Q259:$AJ259,1,(BL$4-1)*5+2)*INDEX($Q259:$AJ259,1,(BL$4-1)*5+3)</f>
        <v/>
      </c>
      <c r="BM259" s="22">
        <f>INDEX($Q259:$AJ259,1,(BM$4-1)*5+1)+BM$8*INDEX($Q259:$AJ259,1,(BM$4-1)*5+2)*INDEX($Q259:$AJ259,1,(BM$4-1)*5+3)</f>
        <v/>
      </c>
      <c r="BN259" s="22">
        <f>INDEX($Q259:$AJ259,1,(BN$4-1)*5+1)+BN$8*INDEX($Q259:$AJ259,1,(BN$4-1)*5+2)*INDEX($Q259:$AJ259,1,(BN$4-1)*5+3)</f>
        <v/>
      </c>
    </row>
    <row r="260">
      <c r="B260" s="5" t="inlineStr">
        <is>
          <t>bio</t>
        </is>
      </c>
      <c r="C260" s="5" t="inlineStr">
        <is>
          <t>ftr</t>
        </is>
      </c>
      <c r="D260" s="5" t="inlineStr">
        <is>
          <t>Tax | Fuel transformation | Biomass</t>
        </is>
      </c>
      <c r="E260" s="5" t="inlineStr">
        <is>
          <t>$/GJ</t>
        </is>
      </c>
      <c r="F260" s="5" t="inlineStr">
        <is>
          <t>Prices_dom, EF_GHG, Mapping</t>
        </is>
      </c>
      <c r="G260" s="19" t="inlineStr">
        <is>
          <t>mit.rp.bio</t>
        </is>
      </c>
      <c r="H260" s="19" t="inlineStr">
        <is>
          <t>mit.tax.bio.ftr</t>
        </is>
      </c>
      <c r="J260" s="5">
        <f>INDEX(Mapping!$C$5:$C$20,MATCH($C260,Mapping!$A$5:$A$20,0))</f>
        <v/>
      </c>
      <c r="K260" s="5">
        <f>INDEX(Mapping!$D$5:$D$20,MATCH($C260,Mapping!$A$5:$A$20,0))</f>
        <v/>
      </c>
      <c r="L260" s="5">
        <f>INDEX(Mapping!$C$24:$C$31,MATCH($B260,Mapping!$A$24:$A$31,0))</f>
        <v/>
      </c>
      <c r="M260" s="5">
        <f>INDEX(Mapping!$D$24:$D$31,MATCH($B260,Mapping!$A$24:$A$31,0))</f>
        <v/>
      </c>
      <c r="N260" s="5">
        <f>$B260&amp;"."&amp;IF(INDEX(Mapping!$E$24:$E$31,MATCH($B260,Mapping!$A$24:$A$31,0))="sub",INDEX(Mapping!$F$5:$F$20,MATCH($C260,Mapping!$A$5:$A$20,0)),"all")</f>
        <v/>
      </c>
      <c r="O260" s="5">
        <f>INDEX(Mapping!$E$5:$E$20,MATCH($C260,Mapping!$A$5:$A$20,0))</f>
        <v/>
      </c>
      <c r="P260" s="5">
        <f>INDEX(Mapping!$G$24:$G$31,MATCH($B260,Mapping!$A$24:$A$31,0))</f>
        <v/>
      </c>
      <c r="Q260" s="22">
        <f>(INDEX(Prices_dom!$A$6:$CU$2000,MATCH(Settings!$C$4&amp;Settings!$C$7,Prices_dom!$A$6:$A$2000,0),MATCH("mit.rp."&amp;$N260,Prices_dom!$A$5:$CU$5,0))-INDEX(Prices_dom!$A$6:$CU$2000,MATCH(Settings!$C$4&amp;Settings!$C$7,Prices_dom!$A$6:$A$2000,0),MATCH("mit.sp."&amp;$N260,Prices_dom!$A$5:$CU$5,0)))/$P260</f>
        <v/>
      </c>
      <c r="R260" s="22">
        <f>INDEX(EF_GHG!$E$4:$E$1000,MATCH(Settings!$C$4&amp;"|"&amp;$B260&amp;"|"&amp;$O260,EF_GHG!$A$4:$A$1000,0))</f>
        <v/>
      </c>
      <c r="S260" s="22">
        <f>INDEX(Mapping!$G$5:$G$20,MATCH($C260,Mapping!$A$5:$A$20,0))</f>
        <v/>
      </c>
      <c r="T260" s="21" t="n"/>
      <c r="U260" s="21" t="n"/>
      <c r="V260" s="22">
        <f>Q260</f>
        <v/>
      </c>
      <c r="W260" s="22">
        <f>R260</f>
        <v/>
      </c>
      <c r="X260" s="22">
        <f>S260</f>
        <v/>
      </c>
      <c r="Y260" s="21" t="n"/>
      <c r="Z260" s="21" t="n"/>
      <c r="AA260" s="22">
        <f>Q260</f>
        <v/>
      </c>
      <c r="AB260" s="22">
        <f>R260</f>
        <v/>
      </c>
      <c r="AC260" s="22">
        <f>S260</f>
        <v/>
      </c>
      <c r="AD260" s="21" t="n"/>
      <c r="AE260" s="21" t="n"/>
      <c r="AF260" s="22">
        <f>Q260</f>
        <v/>
      </c>
      <c r="AG260" s="22">
        <f>R260</f>
        <v/>
      </c>
      <c r="AH260" s="22">
        <f>S260</f>
        <v/>
      </c>
      <c r="AI260" s="21" t="n"/>
      <c r="AJ260" s="21" t="n"/>
      <c r="AL260" s="23">
        <f>INDEX($Q260:$AJ260,1,(AL$4-1)*5+1)+AL$8*INDEX($Q260:$AJ260,1,(AL$4-1)*5+2)*INDEX($Q260:$AJ260,1,(AL$4-1)*5+3)</f>
        <v/>
      </c>
      <c r="AM260" s="22">
        <f>INDEX($Q260:$AJ260,1,(AM$4-1)*5+1)+AM$8*INDEX($Q260:$AJ260,1,(AM$4-1)*5+2)*INDEX($Q260:$AJ260,1,(AM$4-1)*5+3)</f>
        <v/>
      </c>
      <c r="AN260" s="22">
        <f>INDEX($Q260:$AJ260,1,(AN$4-1)*5+1)+AN$8*INDEX($Q260:$AJ260,1,(AN$4-1)*5+2)*INDEX($Q260:$AJ260,1,(AN$4-1)*5+3)</f>
        <v/>
      </c>
      <c r="AO260" s="22">
        <f>INDEX($Q260:$AJ260,1,(AO$4-1)*5+1)+AO$8*INDEX($Q260:$AJ260,1,(AO$4-1)*5+2)*INDEX($Q260:$AJ260,1,(AO$4-1)*5+3)</f>
        <v/>
      </c>
      <c r="AP260" s="22">
        <f>INDEX($Q260:$AJ260,1,(AP$4-1)*5+1)+AP$8*INDEX($Q260:$AJ260,1,(AP$4-1)*5+2)*INDEX($Q260:$AJ260,1,(AP$4-1)*5+3)</f>
        <v/>
      </c>
      <c r="AQ260" s="22">
        <f>INDEX($Q260:$AJ260,1,(AQ$4-1)*5+1)+AQ$8*INDEX($Q260:$AJ260,1,(AQ$4-1)*5+2)*INDEX($Q260:$AJ260,1,(AQ$4-1)*5+3)</f>
        <v/>
      </c>
      <c r="AR260" s="22">
        <f>INDEX($Q260:$AJ260,1,(AR$4-1)*5+1)+AR$8*INDEX($Q260:$AJ260,1,(AR$4-1)*5+2)*INDEX($Q260:$AJ260,1,(AR$4-1)*5+3)</f>
        <v/>
      </c>
      <c r="AS260" s="22">
        <f>INDEX($Q260:$AJ260,1,(AS$4-1)*5+1)+AS$8*INDEX($Q260:$AJ260,1,(AS$4-1)*5+2)*INDEX($Q260:$AJ260,1,(AS$4-1)*5+3)</f>
        <v/>
      </c>
      <c r="AT260" s="22">
        <f>INDEX($Q260:$AJ260,1,(AT$4-1)*5+1)+AT$8*INDEX($Q260:$AJ260,1,(AT$4-1)*5+2)*INDEX($Q260:$AJ260,1,(AT$4-1)*5+3)</f>
        <v/>
      </c>
      <c r="AU260" s="22">
        <f>INDEX($Q260:$AJ260,1,(AU$4-1)*5+1)+AU$8*INDEX($Q260:$AJ260,1,(AU$4-1)*5+2)*INDEX($Q260:$AJ260,1,(AU$4-1)*5+3)</f>
        <v/>
      </c>
      <c r="AV260" s="22">
        <f>INDEX($Q260:$AJ260,1,(AV$4-1)*5+1)+AV$8*INDEX($Q260:$AJ260,1,(AV$4-1)*5+2)*INDEX($Q260:$AJ260,1,(AV$4-1)*5+3)</f>
        <v/>
      </c>
      <c r="AW260" s="22">
        <f>INDEX($Q260:$AJ260,1,(AW$4-1)*5+1)+AW$8*INDEX($Q260:$AJ260,1,(AW$4-1)*5+2)*INDEX($Q260:$AJ260,1,(AW$4-1)*5+3)</f>
        <v/>
      </c>
      <c r="AX260" s="22">
        <f>INDEX($Q260:$AJ260,1,(AX$4-1)*5+1)+AX$8*INDEX($Q260:$AJ260,1,(AX$4-1)*5+2)*INDEX($Q260:$AJ260,1,(AX$4-1)*5+3)</f>
        <v/>
      </c>
      <c r="AY260" s="22">
        <f>INDEX($Q260:$AJ260,1,(AY$4-1)*5+1)+AY$8*INDEX($Q260:$AJ260,1,(AY$4-1)*5+2)*INDEX($Q260:$AJ260,1,(AY$4-1)*5+3)</f>
        <v/>
      </c>
      <c r="BA260" s="23">
        <f>INDEX($Q260:$AJ260,1,(BA$4-1)*5+1)+BA$8*INDEX($Q260:$AJ260,1,(BA$4-1)*5+2)*INDEX($Q260:$AJ260,1,(BA$4-1)*5+3)</f>
        <v/>
      </c>
      <c r="BB260" s="22">
        <f>INDEX($Q260:$AJ260,1,(BB$4-1)*5+1)+BB$8*INDEX($Q260:$AJ260,1,(BB$4-1)*5+2)*INDEX($Q260:$AJ260,1,(BB$4-1)*5+3)</f>
        <v/>
      </c>
      <c r="BC260" s="22">
        <f>INDEX($Q260:$AJ260,1,(BC$4-1)*5+1)+BC$8*INDEX($Q260:$AJ260,1,(BC$4-1)*5+2)*INDEX($Q260:$AJ260,1,(BC$4-1)*5+3)</f>
        <v/>
      </c>
      <c r="BD260" s="22">
        <f>INDEX($Q260:$AJ260,1,(BD$4-1)*5+1)+BD$8*INDEX($Q260:$AJ260,1,(BD$4-1)*5+2)*INDEX($Q260:$AJ260,1,(BD$4-1)*5+3)</f>
        <v/>
      </c>
      <c r="BE260" s="22">
        <f>INDEX($Q260:$AJ260,1,(BE$4-1)*5+1)+BE$8*INDEX($Q260:$AJ260,1,(BE$4-1)*5+2)*INDEX($Q260:$AJ260,1,(BE$4-1)*5+3)</f>
        <v/>
      </c>
      <c r="BF260" s="22">
        <f>INDEX($Q260:$AJ260,1,(BF$4-1)*5+1)+BF$8*INDEX($Q260:$AJ260,1,(BF$4-1)*5+2)*INDEX($Q260:$AJ260,1,(BF$4-1)*5+3)</f>
        <v/>
      </c>
      <c r="BG260" s="22">
        <f>INDEX($Q260:$AJ260,1,(BG$4-1)*5+1)+BG$8*INDEX($Q260:$AJ260,1,(BG$4-1)*5+2)*INDEX($Q260:$AJ260,1,(BG$4-1)*5+3)</f>
        <v/>
      </c>
      <c r="BH260" s="22">
        <f>INDEX($Q260:$AJ260,1,(BH$4-1)*5+1)+BH$8*INDEX($Q260:$AJ260,1,(BH$4-1)*5+2)*INDEX($Q260:$AJ260,1,(BH$4-1)*5+3)</f>
        <v/>
      </c>
      <c r="BI260" s="22">
        <f>INDEX($Q260:$AJ260,1,(BI$4-1)*5+1)+BI$8*INDEX($Q260:$AJ260,1,(BI$4-1)*5+2)*INDEX($Q260:$AJ260,1,(BI$4-1)*5+3)</f>
        <v/>
      </c>
      <c r="BJ260" s="22">
        <f>INDEX($Q260:$AJ260,1,(BJ$4-1)*5+1)+BJ$8*INDEX($Q260:$AJ260,1,(BJ$4-1)*5+2)*INDEX($Q260:$AJ260,1,(BJ$4-1)*5+3)</f>
        <v/>
      </c>
      <c r="BK260" s="22">
        <f>INDEX($Q260:$AJ260,1,(BK$4-1)*5+1)+BK$8*INDEX($Q260:$AJ260,1,(BK$4-1)*5+2)*INDEX($Q260:$AJ260,1,(BK$4-1)*5+3)</f>
        <v/>
      </c>
      <c r="BL260" s="22">
        <f>INDEX($Q260:$AJ260,1,(BL$4-1)*5+1)+BL$8*INDEX($Q260:$AJ260,1,(BL$4-1)*5+2)*INDEX($Q260:$AJ260,1,(BL$4-1)*5+3)</f>
        <v/>
      </c>
      <c r="BM260" s="22">
        <f>INDEX($Q260:$AJ260,1,(BM$4-1)*5+1)+BM$8*INDEX($Q260:$AJ260,1,(BM$4-1)*5+2)*INDEX($Q260:$AJ260,1,(BM$4-1)*5+3)</f>
        <v/>
      </c>
      <c r="BN260" s="22">
        <f>INDEX($Q260:$AJ260,1,(BN$4-1)*5+1)+BN$8*INDEX($Q260:$AJ260,1,(BN$4-1)*5+2)*INDEX($Q260:$AJ260,1,(BN$4-1)*5+3)</f>
        <v/>
      </c>
    </row>
    <row r="261">
      <c r="B261" s="5" t="inlineStr">
        <is>
          <t>coa</t>
        </is>
      </c>
      <c r="C261" s="5" t="inlineStr">
        <is>
          <t>oen</t>
        </is>
      </c>
      <c r="D261" s="5" t="inlineStr">
        <is>
          <t>Tax | Other energy use | Coal</t>
        </is>
      </c>
      <c r="E261" s="5" t="inlineStr">
        <is>
          <t>$/GJ</t>
        </is>
      </c>
      <c r="F261" s="5" t="inlineStr">
        <is>
          <t>Prices_dom, EF_GHG, Mapping</t>
        </is>
      </c>
      <c r="G261" s="19" t="inlineStr">
        <is>
          <t>mit.rp.coa</t>
        </is>
      </c>
      <c r="H261" s="19" t="inlineStr">
        <is>
          <t>mit.tax.coa.oen</t>
        </is>
      </c>
      <c r="J261" s="5">
        <f>INDEX(Mapping!$C$5:$C$20,MATCH($C261,Mapping!$A$5:$A$20,0))</f>
        <v/>
      </c>
      <c r="K261" s="5">
        <f>INDEX(Mapping!$D$5:$D$20,MATCH($C261,Mapping!$A$5:$A$20,0))</f>
        <v/>
      </c>
      <c r="L261" s="5">
        <f>INDEX(Mapping!$C$24:$C$31,MATCH($B261,Mapping!$A$24:$A$31,0))</f>
        <v/>
      </c>
      <c r="M261" s="5">
        <f>INDEX(Mapping!$D$24:$D$31,MATCH($B261,Mapping!$A$24:$A$31,0))</f>
        <v/>
      </c>
      <c r="N261" s="5">
        <f>$B261&amp;"."&amp;IF(INDEX(Mapping!$E$24:$E$31,MATCH($B261,Mapping!$A$24:$A$31,0))="sub",INDEX(Mapping!$F$5:$F$20,MATCH($C261,Mapping!$A$5:$A$20,0)),"all")</f>
        <v/>
      </c>
      <c r="O261" s="5">
        <f>INDEX(Mapping!$E$5:$E$20,MATCH($C261,Mapping!$A$5:$A$20,0))</f>
        <v/>
      </c>
      <c r="P261" s="5">
        <f>INDEX(Mapping!$G$24:$G$31,MATCH($B261,Mapping!$A$24:$A$31,0))</f>
        <v/>
      </c>
      <c r="Q261" s="22">
        <f>(INDEX(Prices_dom!$A$6:$CU$2000,MATCH(Settings!$C$4&amp;Settings!$C$7,Prices_dom!$A$6:$A$2000,0),MATCH("mit.rp."&amp;$N261,Prices_dom!$A$5:$CU$5,0))-INDEX(Prices_dom!$A$6:$CU$2000,MATCH(Settings!$C$4&amp;Settings!$C$7,Prices_dom!$A$6:$A$2000,0),MATCH("mit.sp."&amp;$N261,Prices_dom!$A$5:$CU$5,0)))/$P261</f>
        <v/>
      </c>
      <c r="R261" s="22">
        <f>INDEX(EF_GHG!$E$4:$E$1000,MATCH(Settings!$C$4&amp;"|"&amp;$B261&amp;"|"&amp;$O261,EF_GHG!$A$4:$A$1000,0))</f>
        <v/>
      </c>
      <c r="S261" s="22">
        <f>INDEX(Mapping!$G$5:$G$20,MATCH($C261,Mapping!$A$5:$A$20,0))</f>
        <v/>
      </c>
      <c r="T261" s="21" t="n"/>
      <c r="U261" s="21" t="n"/>
      <c r="V261" s="22">
        <f>Q261</f>
        <v/>
      </c>
      <c r="W261" s="22">
        <f>R261</f>
        <v/>
      </c>
      <c r="X261" s="22">
        <f>S261</f>
        <v/>
      </c>
      <c r="Y261" s="21" t="n"/>
      <c r="Z261" s="21" t="n"/>
      <c r="AA261" s="22">
        <f>Q261</f>
        <v/>
      </c>
      <c r="AB261" s="22">
        <f>R261</f>
        <v/>
      </c>
      <c r="AC261" s="22">
        <f>S261</f>
        <v/>
      </c>
      <c r="AD261" s="21" t="n"/>
      <c r="AE261" s="21" t="n"/>
      <c r="AF261" s="22">
        <f>Q261</f>
        <v/>
      </c>
      <c r="AG261" s="22">
        <f>R261</f>
        <v/>
      </c>
      <c r="AH261" s="22">
        <f>S261</f>
        <v/>
      </c>
      <c r="AI261" s="21" t="n"/>
      <c r="AJ261" s="21" t="n"/>
      <c r="AL261" s="23">
        <f>INDEX($Q261:$AJ261,1,(AL$4-1)*5+1)+AL$8*INDEX($Q261:$AJ261,1,(AL$4-1)*5+2)*INDEX($Q261:$AJ261,1,(AL$4-1)*5+3)</f>
        <v/>
      </c>
      <c r="AM261" s="22">
        <f>INDEX($Q261:$AJ261,1,(AM$4-1)*5+1)+AM$8*INDEX($Q261:$AJ261,1,(AM$4-1)*5+2)*INDEX($Q261:$AJ261,1,(AM$4-1)*5+3)</f>
        <v/>
      </c>
      <c r="AN261" s="22">
        <f>INDEX($Q261:$AJ261,1,(AN$4-1)*5+1)+AN$8*INDEX($Q261:$AJ261,1,(AN$4-1)*5+2)*INDEX($Q261:$AJ261,1,(AN$4-1)*5+3)</f>
        <v/>
      </c>
      <c r="AO261" s="22">
        <f>INDEX($Q261:$AJ261,1,(AO$4-1)*5+1)+AO$8*INDEX($Q261:$AJ261,1,(AO$4-1)*5+2)*INDEX($Q261:$AJ261,1,(AO$4-1)*5+3)</f>
        <v/>
      </c>
      <c r="AP261" s="22">
        <f>INDEX($Q261:$AJ261,1,(AP$4-1)*5+1)+AP$8*INDEX($Q261:$AJ261,1,(AP$4-1)*5+2)*INDEX($Q261:$AJ261,1,(AP$4-1)*5+3)</f>
        <v/>
      </c>
      <c r="AQ261" s="22">
        <f>INDEX($Q261:$AJ261,1,(AQ$4-1)*5+1)+AQ$8*INDEX($Q261:$AJ261,1,(AQ$4-1)*5+2)*INDEX($Q261:$AJ261,1,(AQ$4-1)*5+3)</f>
        <v/>
      </c>
      <c r="AR261" s="22">
        <f>INDEX($Q261:$AJ261,1,(AR$4-1)*5+1)+AR$8*INDEX($Q261:$AJ261,1,(AR$4-1)*5+2)*INDEX($Q261:$AJ261,1,(AR$4-1)*5+3)</f>
        <v/>
      </c>
      <c r="AS261" s="22">
        <f>INDEX($Q261:$AJ261,1,(AS$4-1)*5+1)+AS$8*INDEX($Q261:$AJ261,1,(AS$4-1)*5+2)*INDEX($Q261:$AJ261,1,(AS$4-1)*5+3)</f>
        <v/>
      </c>
      <c r="AT261" s="22">
        <f>INDEX($Q261:$AJ261,1,(AT$4-1)*5+1)+AT$8*INDEX($Q261:$AJ261,1,(AT$4-1)*5+2)*INDEX($Q261:$AJ261,1,(AT$4-1)*5+3)</f>
        <v/>
      </c>
      <c r="AU261" s="22">
        <f>INDEX($Q261:$AJ261,1,(AU$4-1)*5+1)+AU$8*INDEX($Q261:$AJ261,1,(AU$4-1)*5+2)*INDEX($Q261:$AJ261,1,(AU$4-1)*5+3)</f>
        <v/>
      </c>
      <c r="AV261" s="22">
        <f>INDEX($Q261:$AJ261,1,(AV$4-1)*5+1)+AV$8*INDEX($Q261:$AJ261,1,(AV$4-1)*5+2)*INDEX($Q261:$AJ261,1,(AV$4-1)*5+3)</f>
        <v/>
      </c>
      <c r="AW261" s="22">
        <f>INDEX($Q261:$AJ261,1,(AW$4-1)*5+1)+AW$8*INDEX($Q261:$AJ261,1,(AW$4-1)*5+2)*INDEX($Q261:$AJ261,1,(AW$4-1)*5+3)</f>
        <v/>
      </c>
      <c r="AX261" s="22">
        <f>INDEX($Q261:$AJ261,1,(AX$4-1)*5+1)+AX$8*INDEX($Q261:$AJ261,1,(AX$4-1)*5+2)*INDEX($Q261:$AJ261,1,(AX$4-1)*5+3)</f>
        <v/>
      </c>
      <c r="AY261" s="22">
        <f>INDEX($Q261:$AJ261,1,(AY$4-1)*5+1)+AY$8*INDEX($Q261:$AJ261,1,(AY$4-1)*5+2)*INDEX($Q261:$AJ261,1,(AY$4-1)*5+3)</f>
        <v/>
      </c>
      <c r="BA261" s="23">
        <f>INDEX($Q261:$AJ261,1,(BA$4-1)*5+1)+BA$8*INDEX($Q261:$AJ261,1,(BA$4-1)*5+2)*INDEX($Q261:$AJ261,1,(BA$4-1)*5+3)</f>
        <v/>
      </c>
      <c r="BB261" s="22">
        <f>INDEX($Q261:$AJ261,1,(BB$4-1)*5+1)+BB$8*INDEX($Q261:$AJ261,1,(BB$4-1)*5+2)*INDEX($Q261:$AJ261,1,(BB$4-1)*5+3)</f>
        <v/>
      </c>
      <c r="BC261" s="22">
        <f>INDEX($Q261:$AJ261,1,(BC$4-1)*5+1)+BC$8*INDEX($Q261:$AJ261,1,(BC$4-1)*5+2)*INDEX($Q261:$AJ261,1,(BC$4-1)*5+3)</f>
        <v/>
      </c>
      <c r="BD261" s="22">
        <f>INDEX($Q261:$AJ261,1,(BD$4-1)*5+1)+BD$8*INDEX($Q261:$AJ261,1,(BD$4-1)*5+2)*INDEX($Q261:$AJ261,1,(BD$4-1)*5+3)</f>
        <v/>
      </c>
      <c r="BE261" s="22">
        <f>INDEX($Q261:$AJ261,1,(BE$4-1)*5+1)+BE$8*INDEX($Q261:$AJ261,1,(BE$4-1)*5+2)*INDEX($Q261:$AJ261,1,(BE$4-1)*5+3)</f>
        <v/>
      </c>
      <c r="BF261" s="22">
        <f>INDEX($Q261:$AJ261,1,(BF$4-1)*5+1)+BF$8*INDEX($Q261:$AJ261,1,(BF$4-1)*5+2)*INDEX($Q261:$AJ261,1,(BF$4-1)*5+3)</f>
        <v/>
      </c>
      <c r="BG261" s="22">
        <f>INDEX($Q261:$AJ261,1,(BG$4-1)*5+1)+BG$8*INDEX($Q261:$AJ261,1,(BG$4-1)*5+2)*INDEX($Q261:$AJ261,1,(BG$4-1)*5+3)</f>
        <v/>
      </c>
      <c r="BH261" s="22">
        <f>INDEX($Q261:$AJ261,1,(BH$4-1)*5+1)+BH$8*INDEX($Q261:$AJ261,1,(BH$4-1)*5+2)*INDEX($Q261:$AJ261,1,(BH$4-1)*5+3)</f>
        <v/>
      </c>
      <c r="BI261" s="22">
        <f>INDEX($Q261:$AJ261,1,(BI$4-1)*5+1)+BI$8*INDEX($Q261:$AJ261,1,(BI$4-1)*5+2)*INDEX($Q261:$AJ261,1,(BI$4-1)*5+3)</f>
        <v/>
      </c>
      <c r="BJ261" s="22">
        <f>INDEX($Q261:$AJ261,1,(BJ$4-1)*5+1)+BJ$8*INDEX($Q261:$AJ261,1,(BJ$4-1)*5+2)*INDEX($Q261:$AJ261,1,(BJ$4-1)*5+3)</f>
        <v/>
      </c>
      <c r="BK261" s="22">
        <f>INDEX($Q261:$AJ261,1,(BK$4-1)*5+1)+BK$8*INDEX($Q261:$AJ261,1,(BK$4-1)*5+2)*INDEX($Q261:$AJ261,1,(BK$4-1)*5+3)</f>
        <v/>
      </c>
      <c r="BL261" s="22">
        <f>INDEX($Q261:$AJ261,1,(BL$4-1)*5+1)+BL$8*INDEX($Q261:$AJ261,1,(BL$4-1)*5+2)*INDEX($Q261:$AJ261,1,(BL$4-1)*5+3)</f>
        <v/>
      </c>
      <c r="BM261" s="22">
        <f>INDEX($Q261:$AJ261,1,(BM$4-1)*5+1)+BM$8*INDEX($Q261:$AJ261,1,(BM$4-1)*5+2)*INDEX($Q261:$AJ261,1,(BM$4-1)*5+3)</f>
        <v/>
      </c>
      <c r="BN261" s="22">
        <f>INDEX($Q261:$AJ261,1,(BN$4-1)*5+1)+BN$8*INDEX($Q261:$AJ261,1,(BN$4-1)*5+2)*INDEX($Q261:$AJ261,1,(BN$4-1)*5+3)</f>
        <v/>
      </c>
    </row>
    <row r="262">
      <c r="B262" s="5" t="inlineStr">
        <is>
          <t>nga</t>
        </is>
      </c>
      <c r="C262" s="5" t="inlineStr">
        <is>
          <t>oen</t>
        </is>
      </c>
      <c r="D262" s="5" t="inlineStr">
        <is>
          <t>Tax | Other energy use | Natural gas</t>
        </is>
      </c>
      <c r="E262" s="5" t="inlineStr">
        <is>
          <t>$/GJ</t>
        </is>
      </c>
      <c r="F262" s="5" t="inlineStr">
        <is>
          <t>Prices_dom, EF_GHG, Mapping</t>
        </is>
      </c>
      <c r="G262" s="19" t="inlineStr">
        <is>
          <t>mit.rp.nga</t>
        </is>
      </c>
      <c r="H262" s="19" t="inlineStr">
        <is>
          <t>mit.tax.nga.oen</t>
        </is>
      </c>
      <c r="J262" s="5">
        <f>INDEX(Mapping!$C$5:$C$20,MATCH($C262,Mapping!$A$5:$A$20,0))</f>
        <v/>
      </c>
      <c r="K262" s="5">
        <f>INDEX(Mapping!$D$5:$D$20,MATCH($C262,Mapping!$A$5:$A$20,0))</f>
        <v/>
      </c>
      <c r="L262" s="5">
        <f>INDEX(Mapping!$C$24:$C$31,MATCH($B262,Mapping!$A$24:$A$31,0))</f>
        <v/>
      </c>
      <c r="M262" s="5">
        <f>INDEX(Mapping!$D$24:$D$31,MATCH($B262,Mapping!$A$24:$A$31,0))</f>
        <v/>
      </c>
      <c r="N262" s="5">
        <f>$B262&amp;"."&amp;IF(INDEX(Mapping!$E$24:$E$31,MATCH($B262,Mapping!$A$24:$A$31,0))="sub",INDEX(Mapping!$F$5:$F$20,MATCH($C262,Mapping!$A$5:$A$20,0)),"all")</f>
        <v/>
      </c>
      <c r="O262" s="5">
        <f>INDEX(Mapping!$E$5:$E$20,MATCH($C262,Mapping!$A$5:$A$20,0))</f>
        <v/>
      </c>
      <c r="P262" s="5">
        <f>INDEX(Mapping!$G$24:$G$31,MATCH($B262,Mapping!$A$24:$A$31,0))</f>
        <v/>
      </c>
      <c r="Q262" s="22">
        <f>(INDEX(Prices_dom!$A$6:$CU$2000,MATCH(Settings!$C$4&amp;Settings!$C$7,Prices_dom!$A$6:$A$2000,0),MATCH("mit.rp."&amp;$N262,Prices_dom!$A$5:$CU$5,0))-INDEX(Prices_dom!$A$6:$CU$2000,MATCH(Settings!$C$4&amp;Settings!$C$7,Prices_dom!$A$6:$A$2000,0),MATCH("mit.sp."&amp;$N262,Prices_dom!$A$5:$CU$5,0)))/$P262</f>
        <v/>
      </c>
      <c r="R262" s="22">
        <f>INDEX(EF_GHG!$E$4:$E$1000,MATCH(Settings!$C$4&amp;"|"&amp;$B262&amp;"|"&amp;$O262,EF_GHG!$A$4:$A$1000,0))</f>
        <v/>
      </c>
      <c r="S262" s="22">
        <f>INDEX(Mapping!$G$5:$G$20,MATCH($C262,Mapping!$A$5:$A$20,0))</f>
        <v/>
      </c>
      <c r="T262" s="21" t="n"/>
      <c r="U262" s="21" t="n"/>
      <c r="V262" s="22">
        <f>Q262</f>
        <v/>
      </c>
      <c r="W262" s="22">
        <f>R262</f>
        <v/>
      </c>
      <c r="X262" s="22">
        <f>S262</f>
        <v/>
      </c>
      <c r="Y262" s="21" t="n"/>
      <c r="Z262" s="21" t="n"/>
      <c r="AA262" s="22">
        <f>Q262</f>
        <v/>
      </c>
      <c r="AB262" s="22">
        <f>R262</f>
        <v/>
      </c>
      <c r="AC262" s="22">
        <f>S262</f>
        <v/>
      </c>
      <c r="AD262" s="21" t="n"/>
      <c r="AE262" s="21" t="n"/>
      <c r="AF262" s="22">
        <f>Q262</f>
        <v/>
      </c>
      <c r="AG262" s="22">
        <f>R262</f>
        <v/>
      </c>
      <c r="AH262" s="22">
        <f>S262</f>
        <v/>
      </c>
      <c r="AI262" s="21" t="n"/>
      <c r="AJ262" s="21" t="n"/>
      <c r="AL262" s="23">
        <f>INDEX($Q262:$AJ262,1,(AL$4-1)*5+1)+AL$8*INDEX($Q262:$AJ262,1,(AL$4-1)*5+2)*INDEX($Q262:$AJ262,1,(AL$4-1)*5+3)</f>
        <v/>
      </c>
      <c r="AM262" s="22">
        <f>INDEX($Q262:$AJ262,1,(AM$4-1)*5+1)+AM$8*INDEX($Q262:$AJ262,1,(AM$4-1)*5+2)*INDEX($Q262:$AJ262,1,(AM$4-1)*5+3)</f>
        <v/>
      </c>
      <c r="AN262" s="22">
        <f>INDEX($Q262:$AJ262,1,(AN$4-1)*5+1)+AN$8*INDEX($Q262:$AJ262,1,(AN$4-1)*5+2)*INDEX($Q262:$AJ262,1,(AN$4-1)*5+3)</f>
        <v/>
      </c>
      <c r="AO262" s="22">
        <f>INDEX($Q262:$AJ262,1,(AO$4-1)*5+1)+AO$8*INDEX($Q262:$AJ262,1,(AO$4-1)*5+2)*INDEX($Q262:$AJ262,1,(AO$4-1)*5+3)</f>
        <v/>
      </c>
      <c r="AP262" s="22">
        <f>INDEX($Q262:$AJ262,1,(AP$4-1)*5+1)+AP$8*INDEX($Q262:$AJ262,1,(AP$4-1)*5+2)*INDEX($Q262:$AJ262,1,(AP$4-1)*5+3)</f>
        <v/>
      </c>
      <c r="AQ262" s="22">
        <f>INDEX($Q262:$AJ262,1,(AQ$4-1)*5+1)+AQ$8*INDEX($Q262:$AJ262,1,(AQ$4-1)*5+2)*INDEX($Q262:$AJ262,1,(AQ$4-1)*5+3)</f>
        <v/>
      </c>
      <c r="AR262" s="22">
        <f>INDEX($Q262:$AJ262,1,(AR$4-1)*5+1)+AR$8*INDEX($Q262:$AJ262,1,(AR$4-1)*5+2)*INDEX($Q262:$AJ262,1,(AR$4-1)*5+3)</f>
        <v/>
      </c>
      <c r="AS262" s="22">
        <f>INDEX($Q262:$AJ262,1,(AS$4-1)*5+1)+AS$8*INDEX($Q262:$AJ262,1,(AS$4-1)*5+2)*INDEX($Q262:$AJ262,1,(AS$4-1)*5+3)</f>
        <v/>
      </c>
      <c r="AT262" s="22">
        <f>INDEX($Q262:$AJ262,1,(AT$4-1)*5+1)+AT$8*INDEX($Q262:$AJ262,1,(AT$4-1)*5+2)*INDEX($Q262:$AJ262,1,(AT$4-1)*5+3)</f>
        <v/>
      </c>
      <c r="AU262" s="22">
        <f>INDEX($Q262:$AJ262,1,(AU$4-1)*5+1)+AU$8*INDEX($Q262:$AJ262,1,(AU$4-1)*5+2)*INDEX($Q262:$AJ262,1,(AU$4-1)*5+3)</f>
        <v/>
      </c>
      <c r="AV262" s="22">
        <f>INDEX($Q262:$AJ262,1,(AV$4-1)*5+1)+AV$8*INDEX($Q262:$AJ262,1,(AV$4-1)*5+2)*INDEX($Q262:$AJ262,1,(AV$4-1)*5+3)</f>
        <v/>
      </c>
      <c r="AW262" s="22">
        <f>INDEX($Q262:$AJ262,1,(AW$4-1)*5+1)+AW$8*INDEX($Q262:$AJ262,1,(AW$4-1)*5+2)*INDEX($Q262:$AJ262,1,(AW$4-1)*5+3)</f>
        <v/>
      </c>
      <c r="AX262" s="22">
        <f>INDEX($Q262:$AJ262,1,(AX$4-1)*5+1)+AX$8*INDEX($Q262:$AJ262,1,(AX$4-1)*5+2)*INDEX($Q262:$AJ262,1,(AX$4-1)*5+3)</f>
        <v/>
      </c>
      <c r="AY262" s="22">
        <f>INDEX($Q262:$AJ262,1,(AY$4-1)*5+1)+AY$8*INDEX($Q262:$AJ262,1,(AY$4-1)*5+2)*INDEX($Q262:$AJ262,1,(AY$4-1)*5+3)</f>
        <v/>
      </c>
      <c r="BA262" s="23">
        <f>INDEX($Q262:$AJ262,1,(BA$4-1)*5+1)+BA$8*INDEX($Q262:$AJ262,1,(BA$4-1)*5+2)*INDEX($Q262:$AJ262,1,(BA$4-1)*5+3)</f>
        <v/>
      </c>
      <c r="BB262" s="22">
        <f>INDEX($Q262:$AJ262,1,(BB$4-1)*5+1)+BB$8*INDEX($Q262:$AJ262,1,(BB$4-1)*5+2)*INDEX($Q262:$AJ262,1,(BB$4-1)*5+3)</f>
        <v/>
      </c>
      <c r="BC262" s="22">
        <f>INDEX($Q262:$AJ262,1,(BC$4-1)*5+1)+BC$8*INDEX($Q262:$AJ262,1,(BC$4-1)*5+2)*INDEX($Q262:$AJ262,1,(BC$4-1)*5+3)</f>
        <v/>
      </c>
      <c r="BD262" s="22">
        <f>INDEX($Q262:$AJ262,1,(BD$4-1)*5+1)+BD$8*INDEX($Q262:$AJ262,1,(BD$4-1)*5+2)*INDEX($Q262:$AJ262,1,(BD$4-1)*5+3)</f>
        <v/>
      </c>
      <c r="BE262" s="22">
        <f>INDEX($Q262:$AJ262,1,(BE$4-1)*5+1)+BE$8*INDEX($Q262:$AJ262,1,(BE$4-1)*5+2)*INDEX($Q262:$AJ262,1,(BE$4-1)*5+3)</f>
        <v/>
      </c>
      <c r="BF262" s="22">
        <f>INDEX($Q262:$AJ262,1,(BF$4-1)*5+1)+BF$8*INDEX($Q262:$AJ262,1,(BF$4-1)*5+2)*INDEX($Q262:$AJ262,1,(BF$4-1)*5+3)</f>
        <v/>
      </c>
      <c r="BG262" s="22">
        <f>INDEX($Q262:$AJ262,1,(BG$4-1)*5+1)+BG$8*INDEX($Q262:$AJ262,1,(BG$4-1)*5+2)*INDEX($Q262:$AJ262,1,(BG$4-1)*5+3)</f>
        <v/>
      </c>
      <c r="BH262" s="22">
        <f>INDEX($Q262:$AJ262,1,(BH$4-1)*5+1)+BH$8*INDEX($Q262:$AJ262,1,(BH$4-1)*5+2)*INDEX($Q262:$AJ262,1,(BH$4-1)*5+3)</f>
        <v/>
      </c>
      <c r="BI262" s="22">
        <f>INDEX($Q262:$AJ262,1,(BI$4-1)*5+1)+BI$8*INDEX($Q262:$AJ262,1,(BI$4-1)*5+2)*INDEX($Q262:$AJ262,1,(BI$4-1)*5+3)</f>
        <v/>
      </c>
      <c r="BJ262" s="22">
        <f>INDEX($Q262:$AJ262,1,(BJ$4-1)*5+1)+BJ$8*INDEX($Q262:$AJ262,1,(BJ$4-1)*5+2)*INDEX($Q262:$AJ262,1,(BJ$4-1)*5+3)</f>
        <v/>
      </c>
      <c r="BK262" s="22">
        <f>INDEX($Q262:$AJ262,1,(BK$4-1)*5+1)+BK$8*INDEX($Q262:$AJ262,1,(BK$4-1)*5+2)*INDEX($Q262:$AJ262,1,(BK$4-1)*5+3)</f>
        <v/>
      </c>
      <c r="BL262" s="22">
        <f>INDEX($Q262:$AJ262,1,(BL$4-1)*5+1)+BL$8*INDEX($Q262:$AJ262,1,(BL$4-1)*5+2)*INDEX($Q262:$AJ262,1,(BL$4-1)*5+3)</f>
        <v/>
      </c>
      <c r="BM262" s="22">
        <f>INDEX($Q262:$AJ262,1,(BM$4-1)*5+1)+BM$8*INDEX($Q262:$AJ262,1,(BM$4-1)*5+2)*INDEX($Q262:$AJ262,1,(BM$4-1)*5+3)</f>
        <v/>
      </c>
      <c r="BN262" s="22">
        <f>INDEX($Q262:$AJ262,1,(BN$4-1)*5+1)+BN$8*INDEX($Q262:$AJ262,1,(BN$4-1)*5+2)*INDEX($Q262:$AJ262,1,(BN$4-1)*5+3)</f>
        <v/>
      </c>
    </row>
    <row r="263">
      <c r="B263" s="5" t="inlineStr">
        <is>
          <t>gso</t>
        </is>
      </c>
      <c r="C263" s="5" t="inlineStr">
        <is>
          <t>oen</t>
        </is>
      </c>
      <c r="D263" s="5" t="inlineStr">
        <is>
          <t>Tax | Other energy use | Gasoline</t>
        </is>
      </c>
      <c r="E263" s="5" t="inlineStr">
        <is>
          <t>$/GJ</t>
        </is>
      </c>
      <c r="F263" s="5" t="inlineStr">
        <is>
          <t>Prices_dom, EF_GHG, Mapping</t>
        </is>
      </c>
      <c r="G263" s="19" t="inlineStr">
        <is>
          <t>mit.rp.gso</t>
        </is>
      </c>
      <c r="H263" s="19" t="inlineStr">
        <is>
          <t>mit.tax.gso.oen</t>
        </is>
      </c>
      <c r="J263" s="5">
        <f>INDEX(Mapping!$C$5:$C$20,MATCH($C263,Mapping!$A$5:$A$20,0))</f>
        <v/>
      </c>
      <c r="K263" s="5">
        <f>INDEX(Mapping!$D$5:$D$20,MATCH($C263,Mapping!$A$5:$A$20,0))</f>
        <v/>
      </c>
      <c r="L263" s="5">
        <f>INDEX(Mapping!$C$24:$C$31,MATCH($B263,Mapping!$A$24:$A$31,0))</f>
        <v/>
      </c>
      <c r="M263" s="5">
        <f>INDEX(Mapping!$D$24:$D$31,MATCH($B263,Mapping!$A$24:$A$31,0))</f>
        <v/>
      </c>
      <c r="N263" s="5">
        <f>$B263&amp;"."&amp;IF(INDEX(Mapping!$E$24:$E$31,MATCH($B263,Mapping!$A$24:$A$31,0))="sub",INDEX(Mapping!$F$5:$F$20,MATCH($C263,Mapping!$A$5:$A$20,0)),"all")</f>
        <v/>
      </c>
      <c r="O263" s="5">
        <f>INDEX(Mapping!$E$5:$E$20,MATCH($C263,Mapping!$A$5:$A$20,0))</f>
        <v/>
      </c>
      <c r="P263" s="5">
        <f>INDEX(Mapping!$G$24:$G$31,MATCH($B263,Mapping!$A$24:$A$31,0))</f>
        <v/>
      </c>
      <c r="Q263" s="22">
        <f>(INDEX(Prices_dom!$A$6:$CU$2000,MATCH(Settings!$C$4&amp;Settings!$C$7,Prices_dom!$A$6:$A$2000,0),MATCH("mit.rp."&amp;$N263,Prices_dom!$A$5:$CU$5,0))-INDEX(Prices_dom!$A$6:$CU$2000,MATCH(Settings!$C$4&amp;Settings!$C$7,Prices_dom!$A$6:$A$2000,0),MATCH("mit.sp."&amp;$N263,Prices_dom!$A$5:$CU$5,0)))/$P263</f>
        <v/>
      </c>
      <c r="R263" s="22">
        <f>INDEX(EF_GHG!$E$4:$E$1000,MATCH(Settings!$C$4&amp;"|"&amp;$B263&amp;"|"&amp;$O263,EF_GHG!$A$4:$A$1000,0))</f>
        <v/>
      </c>
      <c r="S263" s="22">
        <f>INDEX(Mapping!$G$5:$G$20,MATCH($C263,Mapping!$A$5:$A$20,0))</f>
        <v/>
      </c>
      <c r="T263" s="21" t="n"/>
      <c r="U263" s="21" t="n"/>
      <c r="V263" s="22">
        <f>Q263</f>
        <v/>
      </c>
      <c r="W263" s="22">
        <f>R263</f>
        <v/>
      </c>
      <c r="X263" s="22">
        <f>S263</f>
        <v/>
      </c>
      <c r="Y263" s="21" t="n"/>
      <c r="Z263" s="21" t="n"/>
      <c r="AA263" s="22">
        <f>Q263</f>
        <v/>
      </c>
      <c r="AB263" s="22">
        <f>R263</f>
        <v/>
      </c>
      <c r="AC263" s="22">
        <f>S263</f>
        <v/>
      </c>
      <c r="AD263" s="21" t="n"/>
      <c r="AE263" s="21" t="n"/>
      <c r="AF263" s="22">
        <f>Q263</f>
        <v/>
      </c>
      <c r="AG263" s="22">
        <f>R263</f>
        <v/>
      </c>
      <c r="AH263" s="22">
        <f>S263</f>
        <v/>
      </c>
      <c r="AI263" s="21" t="n"/>
      <c r="AJ263" s="21" t="n"/>
      <c r="AL263" s="23">
        <f>INDEX($Q263:$AJ263,1,(AL$4-1)*5+1)+AL$8*INDEX($Q263:$AJ263,1,(AL$4-1)*5+2)*INDEX($Q263:$AJ263,1,(AL$4-1)*5+3)</f>
        <v/>
      </c>
      <c r="AM263" s="22">
        <f>INDEX($Q263:$AJ263,1,(AM$4-1)*5+1)+AM$8*INDEX($Q263:$AJ263,1,(AM$4-1)*5+2)*INDEX($Q263:$AJ263,1,(AM$4-1)*5+3)</f>
        <v/>
      </c>
      <c r="AN263" s="22">
        <f>INDEX($Q263:$AJ263,1,(AN$4-1)*5+1)+AN$8*INDEX($Q263:$AJ263,1,(AN$4-1)*5+2)*INDEX($Q263:$AJ263,1,(AN$4-1)*5+3)</f>
        <v/>
      </c>
      <c r="AO263" s="22">
        <f>INDEX($Q263:$AJ263,1,(AO$4-1)*5+1)+AO$8*INDEX($Q263:$AJ263,1,(AO$4-1)*5+2)*INDEX($Q263:$AJ263,1,(AO$4-1)*5+3)</f>
        <v/>
      </c>
      <c r="AP263" s="22">
        <f>INDEX($Q263:$AJ263,1,(AP$4-1)*5+1)+AP$8*INDEX($Q263:$AJ263,1,(AP$4-1)*5+2)*INDEX($Q263:$AJ263,1,(AP$4-1)*5+3)</f>
        <v/>
      </c>
      <c r="AQ263" s="22">
        <f>INDEX($Q263:$AJ263,1,(AQ$4-1)*5+1)+AQ$8*INDEX($Q263:$AJ263,1,(AQ$4-1)*5+2)*INDEX($Q263:$AJ263,1,(AQ$4-1)*5+3)</f>
        <v/>
      </c>
      <c r="AR263" s="22">
        <f>INDEX($Q263:$AJ263,1,(AR$4-1)*5+1)+AR$8*INDEX($Q263:$AJ263,1,(AR$4-1)*5+2)*INDEX($Q263:$AJ263,1,(AR$4-1)*5+3)</f>
        <v/>
      </c>
      <c r="AS263" s="22">
        <f>INDEX($Q263:$AJ263,1,(AS$4-1)*5+1)+AS$8*INDEX($Q263:$AJ263,1,(AS$4-1)*5+2)*INDEX($Q263:$AJ263,1,(AS$4-1)*5+3)</f>
        <v/>
      </c>
      <c r="AT263" s="22">
        <f>INDEX($Q263:$AJ263,1,(AT$4-1)*5+1)+AT$8*INDEX($Q263:$AJ263,1,(AT$4-1)*5+2)*INDEX($Q263:$AJ263,1,(AT$4-1)*5+3)</f>
        <v/>
      </c>
      <c r="AU263" s="22">
        <f>INDEX($Q263:$AJ263,1,(AU$4-1)*5+1)+AU$8*INDEX($Q263:$AJ263,1,(AU$4-1)*5+2)*INDEX($Q263:$AJ263,1,(AU$4-1)*5+3)</f>
        <v/>
      </c>
      <c r="AV263" s="22">
        <f>INDEX($Q263:$AJ263,1,(AV$4-1)*5+1)+AV$8*INDEX($Q263:$AJ263,1,(AV$4-1)*5+2)*INDEX($Q263:$AJ263,1,(AV$4-1)*5+3)</f>
        <v/>
      </c>
      <c r="AW263" s="22">
        <f>INDEX($Q263:$AJ263,1,(AW$4-1)*5+1)+AW$8*INDEX($Q263:$AJ263,1,(AW$4-1)*5+2)*INDEX($Q263:$AJ263,1,(AW$4-1)*5+3)</f>
        <v/>
      </c>
      <c r="AX263" s="22">
        <f>INDEX($Q263:$AJ263,1,(AX$4-1)*5+1)+AX$8*INDEX($Q263:$AJ263,1,(AX$4-1)*5+2)*INDEX($Q263:$AJ263,1,(AX$4-1)*5+3)</f>
        <v/>
      </c>
      <c r="AY263" s="22">
        <f>INDEX($Q263:$AJ263,1,(AY$4-1)*5+1)+AY$8*INDEX($Q263:$AJ263,1,(AY$4-1)*5+2)*INDEX($Q263:$AJ263,1,(AY$4-1)*5+3)</f>
        <v/>
      </c>
      <c r="BA263" s="23">
        <f>INDEX($Q263:$AJ263,1,(BA$4-1)*5+1)+BA$8*INDEX($Q263:$AJ263,1,(BA$4-1)*5+2)*INDEX($Q263:$AJ263,1,(BA$4-1)*5+3)</f>
        <v/>
      </c>
      <c r="BB263" s="22">
        <f>INDEX($Q263:$AJ263,1,(BB$4-1)*5+1)+BB$8*INDEX($Q263:$AJ263,1,(BB$4-1)*5+2)*INDEX($Q263:$AJ263,1,(BB$4-1)*5+3)</f>
        <v/>
      </c>
      <c r="BC263" s="22">
        <f>INDEX($Q263:$AJ263,1,(BC$4-1)*5+1)+BC$8*INDEX($Q263:$AJ263,1,(BC$4-1)*5+2)*INDEX($Q263:$AJ263,1,(BC$4-1)*5+3)</f>
        <v/>
      </c>
      <c r="BD263" s="22">
        <f>INDEX($Q263:$AJ263,1,(BD$4-1)*5+1)+BD$8*INDEX($Q263:$AJ263,1,(BD$4-1)*5+2)*INDEX($Q263:$AJ263,1,(BD$4-1)*5+3)</f>
        <v/>
      </c>
      <c r="BE263" s="22">
        <f>INDEX($Q263:$AJ263,1,(BE$4-1)*5+1)+BE$8*INDEX($Q263:$AJ263,1,(BE$4-1)*5+2)*INDEX($Q263:$AJ263,1,(BE$4-1)*5+3)</f>
        <v/>
      </c>
      <c r="BF263" s="22">
        <f>INDEX($Q263:$AJ263,1,(BF$4-1)*5+1)+BF$8*INDEX($Q263:$AJ263,1,(BF$4-1)*5+2)*INDEX($Q263:$AJ263,1,(BF$4-1)*5+3)</f>
        <v/>
      </c>
      <c r="BG263" s="22">
        <f>INDEX($Q263:$AJ263,1,(BG$4-1)*5+1)+BG$8*INDEX($Q263:$AJ263,1,(BG$4-1)*5+2)*INDEX($Q263:$AJ263,1,(BG$4-1)*5+3)</f>
        <v/>
      </c>
      <c r="BH263" s="22">
        <f>INDEX($Q263:$AJ263,1,(BH$4-1)*5+1)+BH$8*INDEX($Q263:$AJ263,1,(BH$4-1)*5+2)*INDEX($Q263:$AJ263,1,(BH$4-1)*5+3)</f>
        <v/>
      </c>
      <c r="BI263" s="22">
        <f>INDEX($Q263:$AJ263,1,(BI$4-1)*5+1)+BI$8*INDEX($Q263:$AJ263,1,(BI$4-1)*5+2)*INDEX($Q263:$AJ263,1,(BI$4-1)*5+3)</f>
        <v/>
      </c>
      <c r="BJ263" s="22">
        <f>INDEX($Q263:$AJ263,1,(BJ$4-1)*5+1)+BJ$8*INDEX($Q263:$AJ263,1,(BJ$4-1)*5+2)*INDEX($Q263:$AJ263,1,(BJ$4-1)*5+3)</f>
        <v/>
      </c>
      <c r="BK263" s="22">
        <f>INDEX($Q263:$AJ263,1,(BK$4-1)*5+1)+BK$8*INDEX($Q263:$AJ263,1,(BK$4-1)*5+2)*INDEX($Q263:$AJ263,1,(BK$4-1)*5+3)</f>
        <v/>
      </c>
      <c r="BL263" s="22">
        <f>INDEX($Q263:$AJ263,1,(BL$4-1)*5+1)+BL$8*INDEX($Q263:$AJ263,1,(BL$4-1)*5+2)*INDEX($Q263:$AJ263,1,(BL$4-1)*5+3)</f>
        <v/>
      </c>
      <c r="BM263" s="22">
        <f>INDEX($Q263:$AJ263,1,(BM$4-1)*5+1)+BM$8*INDEX($Q263:$AJ263,1,(BM$4-1)*5+2)*INDEX($Q263:$AJ263,1,(BM$4-1)*5+3)</f>
        <v/>
      </c>
      <c r="BN263" s="22">
        <f>INDEX($Q263:$AJ263,1,(BN$4-1)*5+1)+BN$8*INDEX($Q263:$AJ263,1,(BN$4-1)*5+2)*INDEX($Q263:$AJ263,1,(BN$4-1)*5+3)</f>
        <v/>
      </c>
    </row>
    <row r="264">
      <c r="B264" s="5" t="inlineStr">
        <is>
          <t>die</t>
        </is>
      </c>
      <c r="C264" s="5" t="inlineStr">
        <is>
          <t>oen</t>
        </is>
      </c>
      <c r="D264" s="5" t="inlineStr">
        <is>
          <t>Tax | Other energy use | Diesel</t>
        </is>
      </c>
      <c r="E264" s="5" t="inlineStr">
        <is>
          <t>$/GJ</t>
        </is>
      </c>
      <c r="F264" s="5" t="inlineStr">
        <is>
          <t>Prices_dom, EF_GHG, Mapping</t>
        </is>
      </c>
      <c r="G264" s="19" t="inlineStr">
        <is>
          <t>mit.rp.die</t>
        </is>
      </c>
      <c r="H264" s="19" t="inlineStr">
        <is>
          <t>mit.tax.die.oen</t>
        </is>
      </c>
      <c r="J264" s="5">
        <f>INDEX(Mapping!$C$5:$C$20,MATCH($C264,Mapping!$A$5:$A$20,0))</f>
        <v/>
      </c>
      <c r="K264" s="5">
        <f>INDEX(Mapping!$D$5:$D$20,MATCH($C264,Mapping!$A$5:$A$20,0))</f>
        <v/>
      </c>
      <c r="L264" s="5">
        <f>INDEX(Mapping!$C$24:$C$31,MATCH($B264,Mapping!$A$24:$A$31,0))</f>
        <v/>
      </c>
      <c r="M264" s="5">
        <f>INDEX(Mapping!$D$24:$D$31,MATCH($B264,Mapping!$A$24:$A$31,0))</f>
        <v/>
      </c>
      <c r="N264" s="5">
        <f>$B264&amp;"."&amp;IF(INDEX(Mapping!$E$24:$E$31,MATCH($B264,Mapping!$A$24:$A$31,0))="sub",INDEX(Mapping!$F$5:$F$20,MATCH($C264,Mapping!$A$5:$A$20,0)),"all")</f>
        <v/>
      </c>
      <c r="O264" s="5">
        <f>INDEX(Mapping!$E$5:$E$20,MATCH($C264,Mapping!$A$5:$A$20,0))</f>
        <v/>
      </c>
      <c r="P264" s="5">
        <f>INDEX(Mapping!$G$24:$G$31,MATCH($B264,Mapping!$A$24:$A$31,0))</f>
        <v/>
      </c>
      <c r="Q264" s="22">
        <f>(INDEX(Prices_dom!$A$6:$CU$2000,MATCH(Settings!$C$4&amp;Settings!$C$7,Prices_dom!$A$6:$A$2000,0),MATCH("mit.rp."&amp;$N264,Prices_dom!$A$5:$CU$5,0))-INDEX(Prices_dom!$A$6:$CU$2000,MATCH(Settings!$C$4&amp;Settings!$C$7,Prices_dom!$A$6:$A$2000,0),MATCH("mit.sp."&amp;$N264,Prices_dom!$A$5:$CU$5,0)))/$P264</f>
        <v/>
      </c>
      <c r="R264" s="22">
        <f>INDEX(EF_GHG!$E$4:$E$1000,MATCH(Settings!$C$4&amp;"|"&amp;$B264&amp;"|"&amp;$O264,EF_GHG!$A$4:$A$1000,0))</f>
        <v/>
      </c>
      <c r="S264" s="22">
        <f>INDEX(Mapping!$G$5:$G$20,MATCH($C264,Mapping!$A$5:$A$20,0))</f>
        <v/>
      </c>
      <c r="T264" s="21" t="n"/>
      <c r="U264" s="21" t="n"/>
      <c r="V264" s="22">
        <f>Q264</f>
        <v/>
      </c>
      <c r="W264" s="22">
        <f>R264</f>
        <v/>
      </c>
      <c r="X264" s="22">
        <f>S264</f>
        <v/>
      </c>
      <c r="Y264" s="21" t="n"/>
      <c r="Z264" s="21" t="n"/>
      <c r="AA264" s="22">
        <f>Q264</f>
        <v/>
      </c>
      <c r="AB264" s="22">
        <f>R264</f>
        <v/>
      </c>
      <c r="AC264" s="22">
        <f>S264</f>
        <v/>
      </c>
      <c r="AD264" s="21" t="n"/>
      <c r="AE264" s="21" t="n"/>
      <c r="AF264" s="22">
        <f>Q264</f>
        <v/>
      </c>
      <c r="AG264" s="22">
        <f>R264</f>
        <v/>
      </c>
      <c r="AH264" s="22">
        <f>S264</f>
        <v/>
      </c>
      <c r="AI264" s="21" t="n"/>
      <c r="AJ264" s="21" t="n"/>
      <c r="AL264" s="23">
        <f>INDEX($Q264:$AJ264,1,(AL$4-1)*5+1)+AL$8*INDEX($Q264:$AJ264,1,(AL$4-1)*5+2)*INDEX($Q264:$AJ264,1,(AL$4-1)*5+3)</f>
        <v/>
      </c>
      <c r="AM264" s="22">
        <f>INDEX($Q264:$AJ264,1,(AM$4-1)*5+1)+AM$8*INDEX($Q264:$AJ264,1,(AM$4-1)*5+2)*INDEX($Q264:$AJ264,1,(AM$4-1)*5+3)</f>
        <v/>
      </c>
      <c r="AN264" s="22">
        <f>INDEX($Q264:$AJ264,1,(AN$4-1)*5+1)+AN$8*INDEX($Q264:$AJ264,1,(AN$4-1)*5+2)*INDEX($Q264:$AJ264,1,(AN$4-1)*5+3)</f>
        <v/>
      </c>
      <c r="AO264" s="22">
        <f>INDEX($Q264:$AJ264,1,(AO$4-1)*5+1)+AO$8*INDEX($Q264:$AJ264,1,(AO$4-1)*5+2)*INDEX($Q264:$AJ264,1,(AO$4-1)*5+3)</f>
        <v/>
      </c>
      <c r="AP264" s="22">
        <f>INDEX($Q264:$AJ264,1,(AP$4-1)*5+1)+AP$8*INDEX($Q264:$AJ264,1,(AP$4-1)*5+2)*INDEX($Q264:$AJ264,1,(AP$4-1)*5+3)</f>
        <v/>
      </c>
      <c r="AQ264" s="22">
        <f>INDEX($Q264:$AJ264,1,(AQ$4-1)*5+1)+AQ$8*INDEX($Q264:$AJ264,1,(AQ$4-1)*5+2)*INDEX($Q264:$AJ264,1,(AQ$4-1)*5+3)</f>
        <v/>
      </c>
      <c r="AR264" s="22">
        <f>INDEX($Q264:$AJ264,1,(AR$4-1)*5+1)+AR$8*INDEX($Q264:$AJ264,1,(AR$4-1)*5+2)*INDEX($Q264:$AJ264,1,(AR$4-1)*5+3)</f>
        <v/>
      </c>
      <c r="AS264" s="22">
        <f>INDEX($Q264:$AJ264,1,(AS$4-1)*5+1)+AS$8*INDEX($Q264:$AJ264,1,(AS$4-1)*5+2)*INDEX($Q264:$AJ264,1,(AS$4-1)*5+3)</f>
        <v/>
      </c>
      <c r="AT264" s="22">
        <f>INDEX($Q264:$AJ264,1,(AT$4-1)*5+1)+AT$8*INDEX($Q264:$AJ264,1,(AT$4-1)*5+2)*INDEX($Q264:$AJ264,1,(AT$4-1)*5+3)</f>
        <v/>
      </c>
      <c r="AU264" s="22">
        <f>INDEX($Q264:$AJ264,1,(AU$4-1)*5+1)+AU$8*INDEX($Q264:$AJ264,1,(AU$4-1)*5+2)*INDEX($Q264:$AJ264,1,(AU$4-1)*5+3)</f>
        <v/>
      </c>
      <c r="AV264" s="22">
        <f>INDEX($Q264:$AJ264,1,(AV$4-1)*5+1)+AV$8*INDEX($Q264:$AJ264,1,(AV$4-1)*5+2)*INDEX($Q264:$AJ264,1,(AV$4-1)*5+3)</f>
        <v/>
      </c>
      <c r="AW264" s="22">
        <f>INDEX($Q264:$AJ264,1,(AW$4-1)*5+1)+AW$8*INDEX($Q264:$AJ264,1,(AW$4-1)*5+2)*INDEX($Q264:$AJ264,1,(AW$4-1)*5+3)</f>
        <v/>
      </c>
      <c r="AX264" s="22">
        <f>INDEX($Q264:$AJ264,1,(AX$4-1)*5+1)+AX$8*INDEX($Q264:$AJ264,1,(AX$4-1)*5+2)*INDEX($Q264:$AJ264,1,(AX$4-1)*5+3)</f>
        <v/>
      </c>
      <c r="AY264" s="22">
        <f>INDEX($Q264:$AJ264,1,(AY$4-1)*5+1)+AY$8*INDEX($Q264:$AJ264,1,(AY$4-1)*5+2)*INDEX($Q264:$AJ264,1,(AY$4-1)*5+3)</f>
        <v/>
      </c>
      <c r="BA264" s="23">
        <f>INDEX($Q264:$AJ264,1,(BA$4-1)*5+1)+BA$8*INDEX($Q264:$AJ264,1,(BA$4-1)*5+2)*INDEX($Q264:$AJ264,1,(BA$4-1)*5+3)</f>
        <v/>
      </c>
      <c r="BB264" s="22">
        <f>INDEX($Q264:$AJ264,1,(BB$4-1)*5+1)+BB$8*INDEX($Q264:$AJ264,1,(BB$4-1)*5+2)*INDEX($Q264:$AJ264,1,(BB$4-1)*5+3)</f>
        <v/>
      </c>
      <c r="BC264" s="22">
        <f>INDEX($Q264:$AJ264,1,(BC$4-1)*5+1)+BC$8*INDEX($Q264:$AJ264,1,(BC$4-1)*5+2)*INDEX($Q264:$AJ264,1,(BC$4-1)*5+3)</f>
        <v/>
      </c>
      <c r="BD264" s="22">
        <f>INDEX($Q264:$AJ264,1,(BD$4-1)*5+1)+BD$8*INDEX($Q264:$AJ264,1,(BD$4-1)*5+2)*INDEX($Q264:$AJ264,1,(BD$4-1)*5+3)</f>
        <v/>
      </c>
      <c r="BE264" s="22">
        <f>INDEX($Q264:$AJ264,1,(BE$4-1)*5+1)+BE$8*INDEX($Q264:$AJ264,1,(BE$4-1)*5+2)*INDEX($Q264:$AJ264,1,(BE$4-1)*5+3)</f>
        <v/>
      </c>
      <c r="BF264" s="22">
        <f>INDEX($Q264:$AJ264,1,(BF$4-1)*5+1)+BF$8*INDEX($Q264:$AJ264,1,(BF$4-1)*5+2)*INDEX($Q264:$AJ264,1,(BF$4-1)*5+3)</f>
        <v/>
      </c>
      <c r="BG264" s="22">
        <f>INDEX($Q264:$AJ264,1,(BG$4-1)*5+1)+BG$8*INDEX($Q264:$AJ264,1,(BG$4-1)*5+2)*INDEX($Q264:$AJ264,1,(BG$4-1)*5+3)</f>
        <v/>
      </c>
      <c r="BH264" s="22">
        <f>INDEX($Q264:$AJ264,1,(BH$4-1)*5+1)+BH$8*INDEX($Q264:$AJ264,1,(BH$4-1)*5+2)*INDEX($Q264:$AJ264,1,(BH$4-1)*5+3)</f>
        <v/>
      </c>
      <c r="BI264" s="22">
        <f>INDEX($Q264:$AJ264,1,(BI$4-1)*5+1)+BI$8*INDEX($Q264:$AJ264,1,(BI$4-1)*5+2)*INDEX($Q264:$AJ264,1,(BI$4-1)*5+3)</f>
        <v/>
      </c>
      <c r="BJ264" s="22">
        <f>INDEX($Q264:$AJ264,1,(BJ$4-1)*5+1)+BJ$8*INDEX($Q264:$AJ264,1,(BJ$4-1)*5+2)*INDEX($Q264:$AJ264,1,(BJ$4-1)*5+3)</f>
        <v/>
      </c>
      <c r="BK264" s="22">
        <f>INDEX($Q264:$AJ264,1,(BK$4-1)*5+1)+BK$8*INDEX($Q264:$AJ264,1,(BK$4-1)*5+2)*INDEX($Q264:$AJ264,1,(BK$4-1)*5+3)</f>
        <v/>
      </c>
      <c r="BL264" s="22">
        <f>INDEX($Q264:$AJ264,1,(BL$4-1)*5+1)+BL$8*INDEX($Q264:$AJ264,1,(BL$4-1)*5+2)*INDEX($Q264:$AJ264,1,(BL$4-1)*5+3)</f>
        <v/>
      </c>
      <c r="BM264" s="22">
        <f>INDEX($Q264:$AJ264,1,(BM$4-1)*5+1)+BM$8*INDEX($Q264:$AJ264,1,(BM$4-1)*5+2)*INDEX($Q264:$AJ264,1,(BM$4-1)*5+3)</f>
        <v/>
      </c>
      <c r="BN264" s="22">
        <f>INDEX($Q264:$AJ264,1,(BN$4-1)*5+1)+BN$8*INDEX($Q264:$AJ264,1,(BN$4-1)*5+2)*INDEX($Q264:$AJ264,1,(BN$4-1)*5+3)</f>
        <v/>
      </c>
    </row>
    <row r="265">
      <c r="B265" s="5" t="inlineStr">
        <is>
          <t>lpg</t>
        </is>
      </c>
      <c r="C265" s="5" t="inlineStr">
        <is>
          <t>oen</t>
        </is>
      </c>
      <c r="D265" s="5" t="inlineStr">
        <is>
          <t>Tax | Other energy use | LPG</t>
        </is>
      </c>
      <c r="E265" s="5" t="inlineStr">
        <is>
          <t>$/GJ</t>
        </is>
      </c>
      <c r="F265" s="5" t="inlineStr">
        <is>
          <t>Prices_dom, EF_GHG, Mapping</t>
        </is>
      </c>
      <c r="G265" s="19" t="inlineStr">
        <is>
          <t>mit.rp.lpg</t>
        </is>
      </c>
      <c r="H265" s="19" t="inlineStr">
        <is>
          <t>mit.tax.lpg.oen</t>
        </is>
      </c>
      <c r="J265" s="5">
        <f>INDEX(Mapping!$C$5:$C$20,MATCH($C265,Mapping!$A$5:$A$20,0))</f>
        <v/>
      </c>
      <c r="K265" s="5">
        <f>INDEX(Mapping!$D$5:$D$20,MATCH($C265,Mapping!$A$5:$A$20,0))</f>
        <v/>
      </c>
      <c r="L265" s="5">
        <f>INDEX(Mapping!$C$24:$C$31,MATCH($B265,Mapping!$A$24:$A$31,0))</f>
        <v/>
      </c>
      <c r="M265" s="5">
        <f>INDEX(Mapping!$D$24:$D$31,MATCH($B265,Mapping!$A$24:$A$31,0))</f>
        <v/>
      </c>
      <c r="N265" s="5">
        <f>$B265&amp;"."&amp;IF(INDEX(Mapping!$E$24:$E$31,MATCH($B265,Mapping!$A$24:$A$31,0))="sub",INDEX(Mapping!$F$5:$F$20,MATCH($C265,Mapping!$A$5:$A$20,0)),"all")</f>
        <v/>
      </c>
      <c r="O265" s="5">
        <f>INDEX(Mapping!$E$5:$E$20,MATCH($C265,Mapping!$A$5:$A$20,0))</f>
        <v/>
      </c>
      <c r="P265" s="5">
        <f>INDEX(Mapping!$G$24:$G$31,MATCH($B265,Mapping!$A$24:$A$31,0))</f>
        <v/>
      </c>
      <c r="Q265" s="22">
        <f>(INDEX(Prices_dom!$A$6:$CU$2000,MATCH(Settings!$C$4&amp;Settings!$C$7,Prices_dom!$A$6:$A$2000,0),MATCH("mit.rp."&amp;$N265,Prices_dom!$A$5:$CU$5,0))-INDEX(Prices_dom!$A$6:$CU$2000,MATCH(Settings!$C$4&amp;Settings!$C$7,Prices_dom!$A$6:$A$2000,0),MATCH("mit.sp."&amp;$N265,Prices_dom!$A$5:$CU$5,0)))/$P265</f>
        <v/>
      </c>
      <c r="R265" s="22">
        <f>INDEX(EF_GHG!$E$4:$E$1000,MATCH(Settings!$C$4&amp;"|"&amp;$B265&amp;"|"&amp;$O265,EF_GHG!$A$4:$A$1000,0))</f>
        <v/>
      </c>
      <c r="S265" s="22">
        <f>INDEX(Mapping!$G$5:$G$20,MATCH($C265,Mapping!$A$5:$A$20,0))</f>
        <v/>
      </c>
      <c r="T265" s="21" t="n"/>
      <c r="U265" s="21" t="n"/>
      <c r="V265" s="22">
        <f>Q265</f>
        <v/>
      </c>
      <c r="W265" s="22">
        <f>R265</f>
        <v/>
      </c>
      <c r="X265" s="22">
        <f>S265</f>
        <v/>
      </c>
      <c r="Y265" s="21" t="n"/>
      <c r="Z265" s="21" t="n"/>
      <c r="AA265" s="22">
        <f>Q265</f>
        <v/>
      </c>
      <c r="AB265" s="22">
        <f>R265</f>
        <v/>
      </c>
      <c r="AC265" s="22">
        <f>S265</f>
        <v/>
      </c>
      <c r="AD265" s="21" t="n"/>
      <c r="AE265" s="21" t="n"/>
      <c r="AF265" s="22">
        <f>Q265</f>
        <v/>
      </c>
      <c r="AG265" s="22">
        <f>R265</f>
        <v/>
      </c>
      <c r="AH265" s="22">
        <f>S265</f>
        <v/>
      </c>
      <c r="AI265" s="21" t="n"/>
      <c r="AJ265" s="21" t="n"/>
      <c r="AL265" s="23">
        <f>INDEX($Q265:$AJ265,1,(AL$4-1)*5+1)+AL$8*INDEX($Q265:$AJ265,1,(AL$4-1)*5+2)*INDEX($Q265:$AJ265,1,(AL$4-1)*5+3)</f>
        <v/>
      </c>
      <c r="AM265" s="22">
        <f>INDEX($Q265:$AJ265,1,(AM$4-1)*5+1)+AM$8*INDEX($Q265:$AJ265,1,(AM$4-1)*5+2)*INDEX($Q265:$AJ265,1,(AM$4-1)*5+3)</f>
        <v/>
      </c>
      <c r="AN265" s="22">
        <f>INDEX($Q265:$AJ265,1,(AN$4-1)*5+1)+AN$8*INDEX($Q265:$AJ265,1,(AN$4-1)*5+2)*INDEX($Q265:$AJ265,1,(AN$4-1)*5+3)</f>
        <v/>
      </c>
      <c r="AO265" s="22">
        <f>INDEX($Q265:$AJ265,1,(AO$4-1)*5+1)+AO$8*INDEX($Q265:$AJ265,1,(AO$4-1)*5+2)*INDEX($Q265:$AJ265,1,(AO$4-1)*5+3)</f>
        <v/>
      </c>
      <c r="AP265" s="22">
        <f>INDEX($Q265:$AJ265,1,(AP$4-1)*5+1)+AP$8*INDEX($Q265:$AJ265,1,(AP$4-1)*5+2)*INDEX($Q265:$AJ265,1,(AP$4-1)*5+3)</f>
        <v/>
      </c>
      <c r="AQ265" s="22">
        <f>INDEX($Q265:$AJ265,1,(AQ$4-1)*5+1)+AQ$8*INDEX($Q265:$AJ265,1,(AQ$4-1)*5+2)*INDEX($Q265:$AJ265,1,(AQ$4-1)*5+3)</f>
        <v/>
      </c>
      <c r="AR265" s="22">
        <f>INDEX($Q265:$AJ265,1,(AR$4-1)*5+1)+AR$8*INDEX($Q265:$AJ265,1,(AR$4-1)*5+2)*INDEX($Q265:$AJ265,1,(AR$4-1)*5+3)</f>
        <v/>
      </c>
      <c r="AS265" s="22">
        <f>INDEX($Q265:$AJ265,1,(AS$4-1)*5+1)+AS$8*INDEX($Q265:$AJ265,1,(AS$4-1)*5+2)*INDEX($Q265:$AJ265,1,(AS$4-1)*5+3)</f>
        <v/>
      </c>
      <c r="AT265" s="22">
        <f>INDEX($Q265:$AJ265,1,(AT$4-1)*5+1)+AT$8*INDEX($Q265:$AJ265,1,(AT$4-1)*5+2)*INDEX($Q265:$AJ265,1,(AT$4-1)*5+3)</f>
        <v/>
      </c>
      <c r="AU265" s="22">
        <f>INDEX($Q265:$AJ265,1,(AU$4-1)*5+1)+AU$8*INDEX($Q265:$AJ265,1,(AU$4-1)*5+2)*INDEX($Q265:$AJ265,1,(AU$4-1)*5+3)</f>
        <v/>
      </c>
      <c r="AV265" s="22">
        <f>INDEX($Q265:$AJ265,1,(AV$4-1)*5+1)+AV$8*INDEX($Q265:$AJ265,1,(AV$4-1)*5+2)*INDEX($Q265:$AJ265,1,(AV$4-1)*5+3)</f>
        <v/>
      </c>
      <c r="AW265" s="22">
        <f>INDEX($Q265:$AJ265,1,(AW$4-1)*5+1)+AW$8*INDEX($Q265:$AJ265,1,(AW$4-1)*5+2)*INDEX($Q265:$AJ265,1,(AW$4-1)*5+3)</f>
        <v/>
      </c>
      <c r="AX265" s="22">
        <f>INDEX($Q265:$AJ265,1,(AX$4-1)*5+1)+AX$8*INDEX($Q265:$AJ265,1,(AX$4-1)*5+2)*INDEX($Q265:$AJ265,1,(AX$4-1)*5+3)</f>
        <v/>
      </c>
      <c r="AY265" s="22">
        <f>INDEX($Q265:$AJ265,1,(AY$4-1)*5+1)+AY$8*INDEX($Q265:$AJ265,1,(AY$4-1)*5+2)*INDEX($Q265:$AJ265,1,(AY$4-1)*5+3)</f>
        <v/>
      </c>
      <c r="BA265" s="23">
        <f>INDEX($Q265:$AJ265,1,(BA$4-1)*5+1)+BA$8*INDEX($Q265:$AJ265,1,(BA$4-1)*5+2)*INDEX($Q265:$AJ265,1,(BA$4-1)*5+3)</f>
        <v/>
      </c>
      <c r="BB265" s="22">
        <f>INDEX($Q265:$AJ265,1,(BB$4-1)*5+1)+BB$8*INDEX($Q265:$AJ265,1,(BB$4-1)*5+2)*INDEX($Q265:$AJ265,1,(BB$4-1)*5+3)</f>
        <v/>
      </c>
      <c r="BC265" s="22">
        <f>INDEX($Q265:$AJ265,1,(BC$4-1)*5+1)+BC$8*INDEX($Q265:$AJ265,1,(BC$4-1)*5+2)*INDEX($Q265:$AJ265,1,(BC$4-1)*5+3)</f>
        <v/>
      </c>
      <c r="BD265" s="22">
        <f>INDEX($Q265:$AJ265,1,(BD$4-1)*5+1)+BD$8*INDEX($Q265:$AJ265,1,(BD$4-1)*5+2)*INDEX($Q265:$AJ265,1,(BD$4-1)*5+3)</f>
        <v/>
      </c>
      <c r="BE265" s="22">
        <f>INDEX($Q265:$AJ265,1,(BE$4-1)*5+1)+BE$8*INDEX($Q265:$AJ265,1,(BE$4-1)*5+2)*INDEX($Q265:$AJ265,1,(BE$4-1)*5+3)</f>
        <v/>
      </c>
      <c r="BF265" s="22">
        <f>INDEX($Q265:$AJ265,1,(BF$4-1)*5+1)+BF$8*INDEX($Q265:$AJ265,1,(BF$4-1)*5+2)*INDEX($Q265:$AJ265,1,(BF$4-1)*5+3)</f>
        <v/>
      </c>
      <c r="BG265" s="22">
        <f>INDEX($Q265:$AJ265,1,(BG$4-1)*5+1)+BG$8*INDEX($Q265:$AJ265,1,(BG$4-1)*5+2)*INDEX($Q265:$AJ265,1,(BG$4-1)*5+3)</f>
        <v/>
      </c>
      <c r="BH265" s="22">
        <f>INDEX($Q265:$AJ265,1,(BH$4-1)*5+1)+BH$8*INDEX($Q265:$AJ265,1,(BH$4-1)*5+2)*INDEX($Q265:$AJ265,1,(BH$4-1)*5+3)</f>
        <v/>
      </c>
      <c r="BI265" s="22">
        <f>INDEX($Q265:$AJ265,1,(BI$4-1)*5+1)+BI$8*INDEX($Q265:$AJ265,1,(BI$4-1)*5+2)*INDEX($Q265:$AJ265,1,(BI$4-1)*5+3)</f>
        <v/>
      </c>
      <c r="BJ265" s="22">
        <f>INDEX($Q265:$AJ265,1,(BJ$4-1)*5+1)+BJ$8*INDEX($Q265:$AJ265,1,(BJ$4-1)*5+2)*INDEX($Q265:$AJ265,1,(BJ$4-1)*5+3)</f>
        <v/>
      </c>
      <c r="BK265" s="22">
        <f>INDEX($Q265:$AJ265,1,(BK$4-1)*5+1)+BK$8*INDEX($Q265:$AJ265,1,(BK$4-1)*5+2)*INDEX($Q265:$AJ265,1,(BK$4-1)*5+3)</f>
        <v/>
      </c>
      <c r="BL265" s="22">
        <f>INDEX($Q265:$AJ265,1,(BL$4-1)*5+1)+BL$8*INDEX($Q265:$AJ265,1,(BL$4-1)*5+2)*INDEX($Q265:$AJ265,1,(BL$4-1)*5+3)</f>
        <v/>
      </c>
      <c r="BM265" s="22">
        <f>INDEX($Q265:$AJ265,1,(BM$4-1)*5+1)+BM$8*INDEX($Q265:$AJ265,1,(BM$4-1)*5+2)*INDEX($Q265:$AJ265,1,(BM$4-1)*5+3)</f>
        <v/>
      </c>
      <c r="BN265" s="22">
        <f>INDEX($Q265:$AJ265,1,(BN$4-1)*5+1)+BN$8*INDEX($Q265:$AJ265,1,(BN$4-1)*5+2)*INDEX($Q265:$AJ265,1,(BN$4-1)*5+3)</f>
        <v/>
      </c>
    </row>
    <row r="266">
      <c r="B266" s="5" t="inlineStr">
        <is>
          <t>ker</t>
        </is>
      </c>
      <c r="C266" s="5" t="inlineStr">
        <is>
          <t>oen</t>
        </is>
      </c>
      <c r="D266" s="5" t="inlineStr">
        <is>
          <t>Tax | Other energy use | Kerosene</t>
        </is>
      </c>
      <c r="E266" s="5" t="inlineStr">
        <is>
          <t>$/GJ</t>
        </is>
      </c>
      <c r="F266" s="5" t="inlineStr">
        <is>
          <t>Prices_dom, EF_GHG, Mapping</t>
        </is>
      </c>
      <c r="G266" s="19" t="inlineStr">
        <is>
          <t>mit.rp.ker</t>
        </is>
      </c>
      <c r="H266" s="19" t="inlineStr">
        <is>
          <t>mit.tax.ker.oen</t>
        </is>
      </c>
      <c r="J266" s="5">
        <f>INDEX(Mapping!$C$5:$C$20,MATCH($C266,Mapping!$A$5:$A$20,0))</f>
        <v/>
      </c>
      <c r="K266" s="5">
        <f>INDEX(Mapping!$D$5:$D$20,MATCH($C266,Mapping!$A$5:$A$20,0))</f>
        <v/>
      </c>
      <c r="L266" s="5">
        <f>INDEX(Mapping!$C$24:$C$31,MATCH($B266,Mapping!$A$24:$A$31,0))</f>
        <v/>
      </c>
      <c r="M266" s="5">
        <f>INDEX(Mapping!$D$24:$D$31,MATCH($B266,Mapping!$A$24:$A$31,0))</f>
        <v/>
      </c>
      <c r="N266" s="5">
        <f>$B266&amp;"."&amp;IF(INDEX(Mapping!$E$24:$E$31,MATCH($B266,Mapping!$A$24:$A$31,0))="sub",INDEX(Mapping!$F$5:$F$20,MATCH($C266,Mapping!$A$5:$A$20,0)),"all")</f>
        <v/>
      </c>
      <c r="O266" s="5">
        <f>INDEX(Mapping!$E$5:$E$20,MATCH($C266,Mapping!$A$5:$A$20,0))</f>
        <v/>
      </c>
      <c r="P266" s="5">
        <f>INDEX(Mapping!$G$24:$G$31,MATCH($B266,Mapping!$A$24:$A$31,0))</f>
        <v/>
      </c>
      <c r="Q266" s="22">
        <f>(INDEX(Prices_dom!$A$6:$CU$2000,MATCH(Settings!$C$4&amp;Settings!$C$7,Prices_dom!$A$6:$A$2000,0),MATCH("mit.rp."&amp;$N266,Prices_dom!$A$5:$CU$5,0))-INDEX(Prices_dom!$A$6:$CU$2000,MATCH(Settings!$C$4&amp;Settings!$C$7,Prices_dom!$A$6:$A$2000,0),MATCH("mit.sp."&amp;$N266,Prices_dom!$A$5:$CU$5,0)))/$P266</f>
        <v/>
      </c>
      <c r="R266" s="22">
        <f>INDEX(EF_GHG!$E$4:$E$1000,MATCH(Settings!$C$4&amp;"|"&amp;$B266&amp;"|"&amp;$O266,EF_GHG!$A$4:$A$1000,0))</f>
        <v/>
      </c>
      <c r="S266" s="22">
        <f>INDEX(Mapping!$G$5:$G$20,MATCH($C266,Mapping!$A$5:$A$20,0))</f>
        <v/>
      </c>
      <c r="T266" s="21" t="n"/>
      <c r="U266" s="21" t="n"/>
      <c r="V266" s="22">
        <f>Q266</f>
        <v/>
      </c>
      <c r="W266" s="22">
        <f>R266</f>
        <v/>
      </c>
      <c r="X266" s="22">
        <f>S266</f>
        <v/>
      </c>
      <c r="Y266" s="21" t="n"/>
      <c r="Z266" s="21" t="n"/>
      <c r="AA266" s="22">
        <f>Q266</f>
        <v/>
      </c>
      <c r="AB266" s="22">
        <f>R266</f>
        <v/>
      </c>
      <c r="AC266" s="22">
        <f>S266</f>
        <v/>
      </c>
      <c r="AD266" s="21" t="n"/>
      <c r="AE266" s="21" t="n"/>
      <c r="AF266" s="22">
        <f>Q266</f>
        <v/>
      </c>
      <c r="AG266" s="22">
        <f>R266</f>
        <v/>
      </c>
      <c r="AH266" s="22">
        <f>S266</f>
        <v/>
      </c>
      <c r="AI266" s="21" t="n"/>
      <c r="AJ266" s="21" t="n"/>
      <c r="AL266" s="23">
        <f>INDEX($Q266:$AJ266,1,(AL$4-1)*5+1)+AL$8*INDEX($Q266:$AJ266,1,(AL$4-1)*5+2)*INDEX($Q266:$AJ266,1,(AL$4-1)*5+3)</f>
        <v/>
      </c>
      <c r="AM266" s="22">
        <f>INDEX($Q266:$AJ266,1,(AM$4-1)*5+1)+AM$8*INDEX($Q266:$AJ266,1,(AM$4-1)*5+2)*INDEX($Q266:$AJ266,1,(AM$4-1)*5+3)</f>
        <v/>
      </c>
      <c r="AN266" s="22">
        <f>INDEX($Q266:$AJ266,1,(AN$4-1)*5+1)+AN$8*INDEX($Q266:$AJ266,1,(AN$4-1)*5+2)*INDEX($Q266:$AJ266,1,(AN$4-1)*5+3)</f>
        <v/>
      </c>
      <c r="AO266" s="22">
        <f>INDEX($Q266:$AJ266,1,(AO$4-1)*5+1)+AO$8*INDEX($Q266:$AJ266,1,(AO$4-1)*5+2)*INDEX($Q266:$AJ266,1,(AO$4-1)*5+3)</f>
        <v/>
      </c>
      <c r="AP266" s="22">
        <f>INDEX($Q266:$AJ266,1,(AP$4-1)*5+1)+AP$8*INDEX($Q266:$AJ266,1,(AP$4-1)*5+2)*INDEX($Q266:$AJ266,1,(AP$4-1)*5+3)</f>
        <v/>
      </c>
      <c r="AQ266" s="22">
        <f>INDEX($Q266:$AJ266,1,(AQ$4-1)*5+1)+AQ$8*INDEX($Q266:$AJ266,1,(AQ$4-1)*5+2)*INDEX($Q266:$AJ266,1,(AQ$4-1)*5+3)</f>
        <v/>
      </c>
      <c r="AR266" s="22">
        <f>INDEX($Q266:$AJ266,1,(AR$4-1)*5+1)+AR$8*INDEX($Q266:$AJ266,1,(AR$4-1)*5+2)*INDEX($Q266:$AJ266,1,(AR$4-1)*5+3)</f>
        <v/>
      </c>
      <c r="AS266" s="22">
        <f>INDEX($Q266:$AJ266,1,(AS$4-1)*5+1)+AS$8*INDEX($Q266:$AJ266,1,(AS$4-1)*5+2)*INDEX($Q266:$AJ266,1,(AS$4-1)*5+3)</f>
        <v/>
      </c>
      <c r="AT266" s="22">
        <f>INDEX($Q266:$AJ266,1,(AT$4-1)*5+1)+AT$8*INDEX($Q266:$AJ266,1,(AT$4-1)*5+2)*INDEX($Q266:$AJ266,1,(AT$4-1)*5+3)</f>
        <v/>
      </c>
      <c r="AU266" s="22">
        <f>INDEX($Q266:$AJ266,1,(AU$4-1)*5+1)+AU$8*INDEX($Q266:$AJ266,1,(AU$4-1)*5+2)*INDEX($Q266:$AJ266,1,(AU$4-1)*5+3)</f>
        <v/>
      </c>
      <c r="AV266" s="22">
        <f>INDEX($Q266:$AJ266,1,(AV$4-1)*5+1)+AV$8*INDEX($Q266:$AJ266,1,(AV$4-1)*5+2)*INDEX($Q266:$AJ266,1,(AV$4-1)*5+3)</f>
        <v/>
      </c>
      <c r="AW266" s="22">
        <f>INDEX($Q266:$AJ266,1,(AW$4-1)*5+1)+AW$8*INDEX($Q266:$AJ266,1,(AW$4-1)*5+2)*INDEX($Q266:$AJ266,1,(AW$4-1)*5+3)</f>
        <v/>
      </c>
      <c r="AX266" s="22">
        <f>INDEX($Q266:$AJ266,1,(AX$4-1)*5+1)+AX$8*INDEX($Q266:$AJ266,1,(AX$4-1)*5+2)*INDEX($Q266:$AJ266,1,(AX$4-1)*5+3)</f>
        <v/>
      </c>
      <c r="AY266" s="22">
        <f>INDEX($Q266:$AJ266,1,(AY$4-1)*5+1)+AY$8*INDEX($Q266:$AJ266,1,(AY$4-1)*5+2)*INDEX($Q266:$AJ266,1,(AY$4-1)*5+3)</f>
        <v/>
      </c>
      <c r="BA266" s="23">
        <f>INDEX($Q266:$AJ266,1,(BA$4-1)*5+1)+BA$8*INDEX($Q266:$AJ266,1,(BA$4-1)*5+2)*INDEX($Q266:$AJ266,1,(BA$4-1)*5+3)</f>
        <v/>
      </c>
      <c r="BB266" s="22">
        <f>INDEX($Q266:$AJ266,1,(BB$4-1)*5+1)+BB$8*INDEX($Q266:$AJ266,1,(BB$4-1)*5+2)*INDEX($Q266:$AJ266,1,(BB$4-1)*5+3)</f>
        <v/>
      </c>
      <c r="BC266" s="22">
        <f>INDEX($Q266:$AJ266,1,(BC$4-1)*5+1)+BC$8*INDEX($Q266:$AJ266,1,(BC$4-1)*5+2)*INDEX($Q266:$AJ266,1,(BC$4-1)*5+3)</f>
        <v/>
      </c>
      <c r="BD266" s="22">
        <f>INDEX($Q266:$AJ266,1,(BD$4-1)*5+1)+BD$8*INDEX($Q266:$AJ266,1,(BD$4-1)*5+2)*INDEX($Q266:$AJ266,1,(BD$4-1)*5+3)</f>
        <v/>
      </c>
      <c r="BE266" s="22">
        <f>INDEX($Q266:$AJ266,1,(BE$4-1)*5+1)+BE$8*INDEX($Q266:$AJ266,1,(BE$4-1)*5+2)*INDEX($Q266:$AJ266,1,(BE$4-1)*5+3)</f>
        <v/>
      </c>
      <c r="BF266" s="22">
        <f>INDEX($Q266:$AJ266,1,(BF$4-1)*5+1)+BF$8*INDEX($Q266:$AJ266,1,(BF$4-1)*5+2)*INDEX($Q266:$AJ266,1,(BF$4-1)*5+3)</f>
        <v/>
      </c>
      <c r="BG266" s="22">
        <f>INDEX($Q266:$AJ266,1,(BG$4-1)*5+1)+BG$8*INDEX($Q266:$AJ266,1,(BG$4-1)*5+2)*INDEX($Q266:$AJ266,1,(BG$4-1)*5+3)</f>
        <v/>
      </c>
      <c r="BH266" s="22">
        <f>INDEX($Q266:$AJ266,1,(BH$4-1)*5+1)+BH$8*INDEX($Q266:$AJ266,1,(BH$4-1)*5+2)*INDEX($Q266:$AJ266,1,(BH$4-1)*5+3)</f>
        <v/>
      </c>
      <c r="BI266" s="22">
        <f>INDEX($Q266:$AJ266,1,(BI$4-1)*5+1)+BI$8*INDEX($Q266:$AJ266,1,(BI$4-1)*5+2)*INDEX($Q266:$AJ266,1,(BI$4-1)*5+3)</f>
        <v/>
      </c>
      <c r="BJ266" s="22">
        <f>INDEX($Q266:$AJ266,1,(BJ$4-1)*5+1)+BJ$8*INDEX($Q266:$AJ266,1,(BJ$4-1)*5+2)*INDEX($Q266:$AJ266,1,(BJ$4-1)*5+3)</f>
        <v/>
      </c>
      <c r="BK266" s="22">
        <f>INDEX($Q266:$AJ266,1,(BK$4-1)*5+1)+BK$8*INDEX($Q266:$AJ266,1,(BK$4-1)*5+2)*INDEX($Q266:$AJ266,1,(BK$4-1)*5+3)</f>
        <v/>
      </c>
      <c r="BL266" s="22">
        <f>INDEX($Q266:$AJ266,1,(BL$4-1)*5+1)+BL$8*INDEX($Q266:$AJ266,1,(BL$4-1)*5+2)*INDEX($Q266:$AJ266,1,(BL$4-1)*5+3)</f>
        <v/>
      </c>
      <c r="BM266" s="22">
        <f>INDEX($Q266:$AJ266,1,(BM$4-1)*5+1)+BM$8*INDEX($Q266:$AJ266,1,(BM$4-1)*5+2)*INDEX($Q266:$AJ266,1,(BM$4-1)*5+3)</f>
        <v/>
      </c>
      <c r="BN266" s="22">
        <f>INDEX($Q266:$AJ266,1,(BN$4-1)*5+1)+BN$8*INDEX($Q266:$AJ266,1,(BN$4-1)*5+2)*INDEX($Q266:$AJ266,1,(BN$4-1)*5+3)</f>
        <v/>
      </c>
    </row>
    <row r="267">
      <c r="B267" s="5" t="inlineStr">
        <is>
          <t>oop</t>
        </is>
      </c>
      <c r="C267" s="5" t="inlineStr">
        <is>
          <t>oen</t>
        </is>
      </c>
      <c r="D267" s="5" t="inlineStr">
        <is>
          <t>Tax | Other energy use | Other oil products</t>
        </is>
      </c>
      <c r="E267" s="5" t="inlineStr">
        <is>
          <t>$/GJ</t>
        </is>
      </c>
      <c r="F267" s="5" t="inlineStr">
        <is>
          <t>Prices_dom, EF_GHG, Mapping</t>
        </is>
      </c>
      <c r="G267" s="19" t="inlineStr">
        <is>
          <t>mit.rp.oop</t>
        </is>
      </c>
      <c r="H267" s="19" t="inlineStr">
        <is>
          <t>mit.tax.oop.oen</t>
        </is>
      </c>
      <c r="J267" s="5">
        <f>INDEX(Mapping!$C$5:$C$20,MATCH($C267,Mapping!$A$5:$A$20,0))</f>
        <v/>
      </c>
      <c r="K267" s="5">
        <f>INDEX(Mapping!$D$5:$D$20,MATCH($C267,Mapping!$A$5:$A$20,0))</f>
        <v/>
      </c>
      <c r="L267" s="5">
        <f>INDEX(Mapping!$C$24:$C$31,MATCH($B267,Mapping!$A$24:$A$31,0))</f>
        <v/>
      </c>
      <c r="M267" s="5">
        <f>INDEX(Mapping!$D$24:$D$31,MATCH($B267,Mapping!$A$24:$A$31,0))</f>
        <v/>
      </c>
      <c r="N267" s="5">
        <f>$B267&amp;"."&amp;IF(INDEX(Mapping!$E$24:$E$31,MATCH($B267,Mapping!$A$24:$A$31,0))="sub",INDEX(Mapping!$F$5:$F$20,MATCH($C267,Mapping!$A$5:$A$20,0)),"all")</f>
        <v/>
      </c>
      <c r="O267" s="5">
        <f>INDEX(Mapping!$E$5:$E$20,MATCH($C267,Mapping!$A$5:$A$20,0))</f>
        <v/>
      </c>
      <c r="P267" s="5">
        <f>INDEX(Mapping!$G$24:$G$31,MATCH($B267,Mapping!$A$24:$A$31,0))</f>
        <v/>
      </c>
      <c r="Q267" s="22">
        <f>(INDEX(Prices_dom!$A$6:$CU$2000,MATCH(Settings!$C$4&amp;Settings!$C$7,Prices_dom!$A$6:$A$2000,0),MATCH("mit.rp."&amp;$N267,Prices_dom!$A$5:$CU$5,0))-INDEX(Prices_dom!$A$6:$CU$2000,MATCH(Settings!$C$4&amp;Settings!$C$7,Prices_dom!$A$6:$A$2000,0),MATCH("mit.sp."&amp;$N267,Prices_dom!$A$5:$CU$5,0)))/$P267</f>
        <v/>
      </c>
      <c r="R267" s="22">
        <f>INDEX(EF_GHG!$E$4:$E$1000,MATCH(Settings!$C$4&amp;"|"&amp;$B267&amp;"|"&amp;$O267,EF_GHG!$A$4:$A$1000,0))</f>
        <v/>
      </c>
      <c r="S267" s="22">
        <f>INDEX(Mapping!$G$5:$G$20,MATCH($C267,Mapping!$A$5:$A$20,0))</f>
        <v/>
      </c>
      <c r="T267" s="21" t="n"/>
      <c r="U267" s="21" t="n"/>
      <c r="V267" s="22">
        <f>Q267</f>
        <v/>
      </c>
      <c r="W267" s="22">
        <f>R267</f>
        <v/>
      </c>
      <c r="X267" s="22">
        <f>S267</f>
        <v/>
      </c>
      <c r="Y267" s="21" t="n"/>
      <c r="Z267" s="21" t="n"/>
      <c r="AA267" s="22">
        <f>Q267</f>
        <v/>
      </c>
      <c r="AB267" s="22">
        <f>R267</f>
        <v/>
      </c>
      <c r="AC267" s="22">
        <f>S267</f>
        <v/>
      </c>
      <c r="AD267" s="21" t="n"/>
      <c r="AE267" s="21" t="n"/>
      <c r="AF267" s="22">
        <f>Q267</f>
        <v/>
      </c>
      <c r="AG267" s="22">
        <f>R267</f>
        <v/>
      </c>
      <c r="AH267" s="22">
        <f>S267</f>
        <v/>
      </c>
      <c r="AI267" s="21" t="n"/>
      <c r="AJ267" s="21" t="n"/>
      <c r="AL267" s="23">
        <f>INDEX($Q267:$AJ267,1,(AL$4-1)*5+1)+AL$8*INDEX($Q267:$AJ267,1,(AL$4-1)*5+2)*INDEX($Q267:$AJ267,1,(AL$4-1)*5+3)</f>
        <v/>
      </c>
      <c r="AM267" s="22">
        <f>INDEX($Q267:$AJ267,1,(AM$4-1)*5+1)+AM$8*INDEX($Q267:$AJ267,1,(AM$4-1)*5+2)*INDEX($Q267:$AJ267,1,(AM$4-1)*5+3)</f>
        <v/>
      </c>
      <c r="AN267" s="22">
        <f>INDEX($Q267:$AJ267,1,(AN$4-1)*5+1)+AN$8*INDEX($Q267:$AJ267,1,(AN$4-1)*5+2)*INDEX($Q267:$AJ267,1,(AN$4-1)*5+3)</f>
        <v/>
      </c>
      <c r="AO267" s="22">
        <f>INDEX($Q267:$AJ267,1,(AO$4-1)*5+1)+AO$8*INDEX($Q267:$AJ267,1,(AO$4-1)*5+2)*INDEX($Q267:$AJ267,1,(AO$4-1)*5+3)</f>
        <v/>
      </c>
      <c r="AP267" s="22">
        <f>INDEX($Q267:$AJ267,1,(AP$4-1)*5+1)+AP$8*INDEX($Q267:$AJ267,1,(AP$4-1)*5+2)*INDEX($Q267:$AJ267,1,(AP$4-1)*5+3)</f>
        <v/>
      </c>
      <c r="AQ267" s="22">
        <f>INDEX($Q267:$AJ267,1,(AQ$4-1)*5+1)+AQ$8*INDEX($Q267:$AJ267,1,(AQ$4-1)*5+2)*INDEX($Q267:$AJ267,1,(AQ$4-1)*5+3)</f>
        <v/>
      </c>
      <c r="AR267" s="22">
        <f>INDEX($Q267:$AJ267,1,(AR$4-1)*5+1)+AR$8*INDEX($Q267:$AJ267,1,(AR$4-1)*5+2)*INDEX($Q267:$AJ267,1,(AR$4-1)*5+3)</f>
        <v/>
      </c>
      <c r="AS267" s="22">
        <f>INDEX($Q267:$AJ267,1,(AS$4-1)*5+1)+AS$8*INDEX($Q267:$AJ267,1,(AS$4-1)*5+2)*INDEX($Q267:$AJ267,1,(AS$4-1)*5+3)</f>
        <v/>
      </c>
      <c r="AT267" s="22">
        <f>INDEX($Q267:$AJ267,1,(AT$4-1)*5+1)+AT$8*INDEX($Q267:$AJ267,1,(AT$4-1)*5+2)*INDEX($Q267:$AJ267,1,(AT$4-1)*5+3)</f>
        <v/>
      </c>
      <c r="AU267" s="22">
        <f>INDEX($Q267:$AJ267,1,(AU$4-1)*5+1)+AU$8*INDEX($Q267:$AJ267,1,(AU$4-1)*5+2)*INDEX($Q267:$AJ267,1,(AU$4-1)*5+3)</f>
        <v/>
      </c>
      <c r="AV267" s="22">
        <f>INDEX($Q267:$AJ267,1,(AV$4-1)*5+1)+AV$8*INDEX($Q267:$AJ267,1,(AV$4-1)*5+2)*INDEX($Q267:$AJ267,1,(AV$4-1)*5+3)</f>
        <v/>
      </c>
      <c r="AW267" s="22">
        <f>INDEX($Q267:$AJ267,1,(AW$4-1)*5+1)+AW$8*INDEX($Q267:$AJ267,1,(AW$4-1)*5+2)*INDEX($Q267:$AJ267,1,(AW$4-1)*5+3)</f>
        <v/>
      </c>
      <c r="AX267" s="22">
        <f>INDEX($Q267:$AJ267,1,(AX$4-1)*5+1)+AX$8*INDEX($Q267:$AJ267,1,(AX$4-1)*5+2)*INDEX($Q267:$AJ267,1,(AX$4-1)*5+3)</f>
        <v/>
      </c>
      <c r="AY267" s="22">
        <f>INDEX($Q267:$AJ267,1,(AY$4-1)*5+1)+AY$8*INDEX($Q267:$AJ267,1,(AY$4-1)*5+2)*INDEX($Q267:$AJ267,1,(AY$4-1)*5+3)</f>
        <v/>
      </c>
      <c r="BA267" s="23">
        <f>INDEX($Q267:$AJ267,1,(BA$4-1)*5+1)+BA$8*INDEX($Q267:$AJ267,1,(BA$4-1)*5+2)*INDEX($Q267:$AJ267,1,(BA$4-1)*5+3)</f>
        <v/>
      </c>
      <c r="BB267" s="22">
        <f>INDEX($Q267:$AJ267,1,(BB$4-1)*5+1)+BB$8*INDEX($Q267:$AJ267,1,(BB$4-1)*5+2)*INDEX($Q267:$AJ267,1,(BB$4-1)*5+3)</f>
        <v/>
      </c>
      <c r="BC267" s="22">
        <f>INDEX($Q267:$AJ267,1,(BC$4-1)*5+1)+BC$8*INDEX($Q267:$AJ267,1,(BC$4-1)*5+2)*INDEX($Q267:$AJ267,1,(BC$4-1)*5+3)</f>
        <v/>
      </c>
      <c r="BD267" s="22">
        <f>INDEX($Q267:$AJ267,1,(BD$4-1)*5+1)+BD$8*INDEX($Q267:$AJ267,1,(BD$4-1)*5+2)*INDEX($Q267:$AJ267,1,(BD$4-1)*5+3)</f>
        <v/>
      </c>
      <c r="BE267" s="22">
        <f>INDEX($Q267:$AJ267,1,(BE$4-1)*5+1)+BE$8*INDEX($Q267:$AJ267,1,(BE$4-1)*5+2)*INDEX($Q267:$AJ267,1,(BE$4-1)*5+3)</f>
        <v/>
      </c>
      <c r="BF267" s="22">
        <f>INDEX($Q267:$AJ267,1,(BF$4-1)*5+1)+BF$8*INDEX($Q267:$AJ267,1,(BF$4-1)*5+2)*INDEX($Q267:$AJ267,1,(BF$4-1)*5+3)</f>
        <v/>
      </c>
      <c r="BG267" s="22">
        <f>INDEX($Q267:$AJ267,1,(BG$4-1)*5+1)+BG$8*INDEX($Q267:$AJ267,1,(BG$4-1)*5+2)*INDEX($Q267:$AJ267,1,(BG$4-1)*5+3)</f>
        <v/>
      </c>
      <c r="BH267" s="22">
        <f>INDEX($Q267:$AJ267,1,(BH$4-1)*5+1)+BH$8*INDEX($Q267:$AJ267,1,(BH$4-1)*5+2)*INDEX($Q267:$AJ267,1,(BH$4-1)*5+3)</f>
        <v/>
      </c>
      <c r="BI267" s="22">
        <f>INDEX($Q267:$AJ267,1,(BI$4-1)*5+1)+BI$8*INDEX($Q267:$AJ267,1,(BI$4-1)*5+2)*INDEX($Q267:$AJ267,1,(BI$4-1)*5+3)</f>
        <v/>
      </c>
      <c r="BJ267" s="22">
        <f>INDEX($Q267:$AJ267,1,(BJ$4-1)*5+1)+BJ$8*INDEX($Q267:$AJ267,1,(BJ$4-1)*5+2)*INDEX($Q267:$AJ267,1,(BJ$4-1)*5+3)</f>
        <v/>
      </c>
      <c r="BK267" s="22">
        <f>INDEX($Q267:$AJ267,1,(BK$4-1)*5+1)+BK$8*INDEX($Q267:$AJ267,1,(BK$4-1)*5+2)*INDEX($Q267:$AJ267,1,(BK$4-1)*5+3)</f>
        <v/>
      </c>
      <c r="BL267" s="22">
        <f>INDEX($Q267:$AJ267,1,(BL$4-1)*5+1)+BL$8*INDEX($Q267:$AJ267,1,(BL$4-1)*5+2)*INDEX($Q267:$AJ267,1,(BL$4-1)*5+3)</f>
        <v/>
      </c>
      <c r="BM267" s="22">
        <f>INDEX($Q267:$AJ267,1,(BM$4-1)*5+1)+BM$8*INDEX($Q267:$AJ267,1,(BM$4-1)*5+2)*INDEX($Q267:$AJ267,1,(BM$4-1)*5+3)</f>
        <v/>
      </c>
      <c r="BN267" s="22">
        <f>INDEX($Q267:$AJ267,1,(BN$4-1)*5+1)+BN$8*INDEX($Q267:$AJ267,1,(BN$4-1)*5+2)*INDEX($Q267:$AJ267,1,(BN$4-1)*5+3)</f>
        <v/>
      </c>
    </row>
    <row r="268">
      <c r="B268" s="5" t="inlineStr">
        <is>
          <t>bio</t>
        </is>
      </c>
      <c r="C268" s="5" t="inlineStr">
        <is>
          <t>oen</t>
        </is>
      </c>
      <c r="D268" s="5" t="inlineStr">
        <is>
          <t>Tax | Other energy use | Biomass</t>
        </is>
      </c>
      <c r="E268" s="5" t="inlineStr">
        <is>
          <t>$/GJ</t>
        </is>
      </c>
      <c r="F268" s="5" t="inlineStr">
        <is>
          <t>Prices_dom, EF_GHG, Mapping</t>
        </is>
      </c>
      <c r="G268" s="19" t="inlineStr">
        <is>
          <t>mit.rp.bio</t>
        </is>
      </c>
      <c r="H268" s="19" t="inlineStr">
        <is>
          <t>mit.tax.bio.oen</t>
        </is>
      </c>
      <c r="J268" s="5">
        <f>INDEX(Mapping!$C$5:$C$20,MATCH($C268,Mapping!$A$5:$A$20,0))</f>
        <v/>
      </c>
      <c r="K268" s="5">
        <f>INDEX(Mapping!$D$5:$D$20,MATCH($C268,Mapping!$A$5:$A$20,0))</f>
        <v/>
      </c>
      <c r="L268" s="5">
        <f>INDEX(Mapping!$C$24:$C$31,MATCH($B268,Mapping!$A$24:$A$31,0))</f>
        <v/>
      </c>
      <c r="M268" s="5">
        <f>INDEX(Mapping!$D$24:$D$31,MATCH($B268,Mapping!$A$24:$A$31,0))</f>
        <v/>
      </c>
      <c r="N268" s="5">
        <f>$B268&amp;"."&amp;IF(INDEX(Mapping!$E$24:$E$31,MATCH($B268,Mapping!$A$24:$A$31,0))="sub",INDEX(Mapping!$F$5:$F$20,MATCH($C268,Mapping!$A$5:$A$20,0)),"all")</f>
        <v/>
      </c>
      <c r="O268" s="5">
        <f>INDEX(Mapping!$E$5:$E$20,MATCH($C268,Mapping!$A$5:$A$20,0))</f>
        <v/>
      </c>
      <c r="P268" s="5">
        <f>INDEX(Mapping!$G$24:$G$31,MATCH($B268,Mapping!$A$24:$A$31,0))</f>
        <v/>
      </c>
      <c r="Q268" s="22">
        <f>(INDEX(Prices_dom!$A$6:$CU$2000,MATCH(Settings!$C$4&amp;Settings!$C$7,Prices_dom!$A$6:$A$2000,0),MATCH("mit.rp."&amp;$N268,Prices_dom!$A$5:$CU$5,0))-INDEX(Prices_dom!$A$6:$CU$2000,MATCH(Settings!$C$4&amp;Settings!$C$7,Prices_dom!$A$6:$A$2000,0),MATCH("mit.sp."&amp;$N268,Prices_dom!$A$5:$CU$5,0)))/$P268</f>
        <v/>
      </c>
      <c r="R268" s="22">
        <f>INDEX(EF_GHG!$E$4:$E$1000,MATCH(Settings!$C$4&amp;"|"&amp;$B268&amp;"|"&amp;$O268,EF_GHG!$A$4:$A$1000,0))</f>
        <v/>
      </c>
      <c r="S268" s="22">
        <f>INDEX(Mapping!$G$5:$G$20,MATCH($C268,Mapping!$A$5:$A$20,0))</f>
        <v/>
      </c>
      <c r="T268" s="21" t="n"/>
      <c r="U268" s="21" t="n"/>
      <c r="V268" s="22">
        <f>Q268</f>
        <v/>
      </c>
      <c r="W268" s="22">
        <f>R268</f>
        <v/>
      </c>
      <c r="X268" s="22">
        <f>S268</f>
        <v/>
      </c>
      <c r="Y268" s="21" t="n"/>
      <c r="Z268" s="21" t="n"/>
      <c r="AA268" s="22">
        <f>Q268</f>
        <v/>
      </c>
      <c r="AB268" s="22">
        <f>R268</f>
        <v/>
      </c>
      <c r="AC268" s="22">
        <f>S268</f>
        <v/>
      </c>
      <c r="AD268" s="21" t="n"/>
      <c r="AE268" s="21" t="n"/>
      <c r="AF268" s="22">
        <f>Q268</f>
        <v/>
      </c>
      <c r="AG268" s="22">
        <f>R268</f>
        <v/>
      </c>
      <c r="AH268" s="22">
        <f>S268</f>
        <v/>
      </c>
      <c r="AI268" s="21" t="n"/>
      <c r="AJ268" s="21" t="n"/>
      <c r="AL268" s="23">
        <f>INDEX($Q268:$AJ268,1,(AL$4-1)*5+1)+AL$8*INDEX($Q268:$AJ268,1,(AL$4-1)*5+2)*INDEX($Q268:$AJ268,1,(AL$4-1)*5+3)</f>
        <v/>
      </c>
      <c r="AM268" s="22">
        <f>INDEX($Q268:$AJ268,1,(AM$4-1)*5+1)+AM$8*INDEX($Q268:$AJ268,1,(AM$4-1)*5+2)*INDEX($Q268:$AJ268,1,(AM$4-1)*5+3)</f>
        <v/>
      </c>
      <c r="AN268" s="22">
        <f>INDEX($Q268:$AJ268,1,(AN$4-1)*5+1)+AN$8*INDEX($Q268:$AJ268,1,(AN$4-1)*5+2)*INDEX($Q268:$AJ268,1,(AN$4-1)*5+3)</f>
        <v/>
      </c>
      <c r="AO268" s="22">
        <f>INDEX($Q268:$AJ268,1,(AO$4-1)*5+1)+AO$8*INDEX($Q268:$AJ268,1,(AO$4-1)*5+2)*INDEX($Q268:$AJ268,1,(AO$4-1)*5+3)</f>
        <v/>
      </c>
      <c r="AP268" s="22">
        <f>INDEX($Q268:$AJ268,1,(AP$4-1)*5+1)+AP$8*INDEX($Q268:$AJ268,1,(AP$4-1)*5+2)*INDEX($Q268:$AJ268,1,(AP$4-1)*5+3)</f>
        <v/>
      </c>
      <c r="AQ268" s="22">
        <f>INDEX($Q268:$AJ268,1,(AQ$4-1)*5+1)+AQ$8*INDEX($Q268:$AJ268,1,(AQ$4-1)*5+2)*INDEX($Q268:$AJ268,1,(AQ$4-1)*5+3)</f>
        <v/>
      </c>
      <c r="AR268" s="22">
        <f>INDEX($Q268:$AJ268,1,(AR$4-1)*5+1)+AR$8*INDEX($Q268:$AJ268,1,(AR$4-1)*5+2)*INDEX($Q268:$AJ268,1,(AR$4-1)*5+3)</f>
        <v/>
      </c>
      <c r="AS268" s="22">
        <f>INDEX($Q268:$AJ268,1,(AS$4-1)*5+1)+AS$8*INDEX($Q268:$AJ268,1,(AS$4-1)*5+2)*INDEX($Q268:$AJ268,1,(AS$4-1)*5+3)</f>
        <v/>
      </c>
      <c r="AT268" s="22">
        <f>INDEX($Q268:$AJ268,1,(AT$4-1)*5+1)+AT$8*INDEX($Q268:$AJ268,1,(AT$4-1)*5+2)*INDEX($Q268:$AJ268,1,(AT$4-1)*5+3)</f>
        <v/>
      </c>
      <c r="AU268" s="22">
        <f>INDEX($Q268:$AJ268,1,(AU$4-1)*5+1)+AU$8*INDEX($Q268:$AJ268,1,(AU$4-1)*5+2)*INDEX($Q268:$AJ268,1,(AU$4-1)*5+3)</f>
        <v/>
      </c>
      <c r="AV268" s="22">
        <f>INDEX($Q268:$AJ268,1,(AV$4-1)*5+1)+AV$8*INDEX($Q268:$AJ268,1,(AV$4-1)*5+2)*INDEX($Q268:$AJ268,1,(AV$4-1)*5+3)</f>
        <v/>
      </c>
      <c r="AW268" s="22">
        <f>INDEX($Q268:$AJ268,1,(AW$4-1)*5+1)+AW$8*INDEX($Q268:$AJ268,1,(AW$4-1)*5+2)*INDEX($Q268:$AJ268,1,(AW$4-1)*5+3)</f>
        <v/>
      </c>
      <c r="AX268" s="22">
        <f>INDEX($Q268:$AJ268,1,(AX$4-1)*5+1)+AX$8*INDEX($Q268:$AJ268,1,(AX$4-1)*5+2)*INDEX($Q268:$AJ268,1,(AX$4-1)*5+3)</f>
        <v/>
      </c>
      <c r="AY268" s="22">
        <f>INDEX($Q268:$AJ268,1,(AY$4-1)*5+1)+AY$8*INDEX($Q268:$AJ268,1,(AY$4-1)*5+2)*INDEX($Q268:$AJ268,1,(AY$4-1)*5+3)</f>
        <v/>
      </c>
      <c r="BA268" s="23">
        <f>INDEX($Q268:$AJ268,1,(BA$4-1)*5+1)+BA$8*INDEX($Q268:$AJ268,1,(BA$4-1)*5+2)*INDEX($Q268:$AJ268,1,(BA$4-1)*5+3)</f>
        <v/>
      </c>
      <c r="BB268" s="22">
        <f>INDEX($Q268:$AJ268,1,(BB$4-1)*5+1)+BB$8*INDEX($Q268:$AJ268,1,(BB$4-1)*5+2)*INDEX($Q268:$AJ268,1,(BB$4-1)*5+3)</f>
        <v/>
      </c>
      <c r="BC268" s="22">
        <f>INDEX($Q268:$AJ268,1,(BC$4-1)*5+1)+BC$8*INDEX($Q268:$AJ268,1,(BC$4-1)*5+2)*INDEX($Q268:$AJ268,1,(BC$4-1)*5+3)</f>
        <v/>
      </c>
      <c r="BD268" s="22">
        <f>INDEX($Q268:$AJ268,1,(BD$4-1)*5+1)+BD$8*INDEX($Q268:$AJ268,1,(BD$4-1)*5+2)*INDEX($Q268:$AJ268,1,(BD$4-1)*5+3)</f>
        <v/>
      </c>
      <c r="BE268" s="22">
        <f>INDEX($Q268:$AJ268,1,(BE$4-1)*5+1)+BE$8*INDEX($Q268:$AJ268,1,(BE$4-1)*5+2)*INDEX($Q268:$AJ268,1,(BE$4-1)*5+3)</f>
        <v/>
      </c>
      <c r="BF268" s="22">
        <f>INDEX($Q268:$AJ268,1,(BF$4-1)*5+1)+BF$8*INDEX($Q268:$AJ268,1,(BF$4-1)*5+2)*INDEX($Q268:$AJ268,1,(BF$4-1)*5+3)</f>
        <v/>
      </c>
      <c r="BG268" s="22">
        <f>INDEX($Q268:$AJ268,1,(BG$4-1)*5+1)+BG$8*INDEX($Q268:$AJ268,1,(BG$4-1)*5+2)*INDEX($Q268:$AJ268,1,(BG$4-1)*5+3)</f>
        <v/>
      </c>
      <c r="BH268" s="22">
        <f>INDEX($Q268:$AJ268,1,(BH$4-1)*5+1)+BH$8*INDEX($Q268:$AJ268,1,(BH$4-1)*5+2)*INDEX($Q268:$AJ268,1,(BH$4-1)*5+3)</f>
        <v/>
      </c>
      <c r="BI268" s="22">
        <f>INDEX($Q268:$AJ268,1,(BI$4-1)*5+1)+BI$8*INDEX($Q268:$AJ268,1,(BI$4-1)*5+2)*INDEX($Q268:$AJ268,1,(BI$4-1)*5+3)</f>
        <v/>
      </c>
      <c r="BJ268" s="22">
        <f>INDEX($Q268:$AJ268,1,(BJ$4-1)*5+1)+BJ$8*INDEX($Q268:$AJ268,1,(BJ$4-1)*5+2)*INDEX($Q268:$AJ268,1,(BJ$4-1)*5+3)</f>
        <v/>
      </c>
      <c r="BK268" s="22">
        <f>INDEX($Q268:$AJ268,1,(BK$4-1)*5+1)+BK$8*INDEX($Q268:$AJ268,1,(BK$4-1)*5+2)*INDEX($Q268:$AJ268,1,(BK$4-1)*5+3)</f>
        <v/>
      </c>
      <c r="BL268" s="22">
        <f>INDEX($Q268:$AJ268,1,(BL$4-1)*5+1)+BL$8*INDEX($Q268:$AJ268,1,(BL$4-1)*5+2)*INDEX($Q268:$AJ268,1,(BL$4-1)*5+3)</f>
        <v/>
      </c>
      <c r="BM268" s="22">
        <f>INDEX($Q268:$AJ268,1,(BM$4-1)*5+1)+BM$8*INDEX($Q268:$AJ268,1,(BM$4-1)*5+2)*INDEX($Q268:$AJ268,1,(BM$4-1)*5+3)</f>
        <v/>
      </c>
      <c r="BN268" s="22">
        <f>INDEX($Q268:$AJ268,1,(BN$4-1)*5+1)+BN$8*INDEX($Q268:$AJ268,1,(BN$4-1)*5+2)*INDEX($Q268:$AJ268,1,(BN$4-1)*5+3)</f>
        <v/>
      </c>
    </row>
    <row r="270">
      <c r="A270" s="9" t="inlineStr">
        <is>
          <t>Post-tax price = pre-tax + tax</t>
        </is>
      </c>
      <c r="B270" s="10" t="n"/>
      <c r="C270" s="10" t="n"/>
      <c r="D270" s="10" t="n"/>
      <c r="E270" s="10" t="n"/>
      <c r="F270" s="10" t="n"/>
      <c r="G270" s="10" t="n"/>
      <c r="H270" s="10" t="n"/>
      <c r="I270" s="10" t="n"/>
      <c r="J270" s="10" t="n"/>
      <c r="K270" s="10" t="n"/>
      <c r="L270" s="10" t="n"/>
      <c r="M270" s="10" t="n"/>
      <c r="N270" s="10" t="n"/>
      <c r="O270" s="10" t="n"/>
      <c r="P270" s="10" t="n"/>
      <c r="Q270" s="9" t="inlineStr">
        <is>
          <t>-</t>
        </is>
      </c>
      <c r="R270" s="9" t="inlineStr">
        <is>
          <t>-</t>
        </is>
      </c>
      <c r="S270" s="9" t="inlineStr">
        <is>
          <t>-</t>
        </is>
      </c>
      <c r="T270" s="9" t="inlineStr">
        <is>
          <t>-</t>
        </is>
      </c>
      <c r="U270" s="9" t="inlineStr">
        <is>
          <t>buffer</t>
        </is>
      </c>
      <c r="V270" s="9" t="inlineStr">
        <is>
          <t>-</t>
        </is>
      </c>
      <c r="W270" s="9" t="inlineStr">
        <is>
          <t>-</t>
        </is>
      </c>
      <c r="X270" s="9" t="inlineStr">
        <is>
          <t>-</t>
        </is>
      </c>
      <c r="Y270" s="9" t="inlineStr">
        <is>
          <t>-</t>
        </is>
      </c>
      <c r="Z270" s="9" t="inlineStr">
        <is>
          <t>buffer</t>
        </is>
      </c>
      <c r="AA270" s="9" t="inlineStr">
        <is>
          <t>-</t>
        </is>
      </c>
      <c r="AB270" s="9" t="inlineStr">
        <is>
          <t>-</t>
        </is>
      </c>
      <c r="AC270" s="9" t="inlineStr">
        <is>
          <t>-</t>
        </is>
      </c>
      <c r="AD270" s="9" t="inlineStr">
        <is>
          <t>-</t>
        </is>
      </c>
      <c r="AE270" s="9" t="inlineStr">
        <is>
          <t>buffer</t>
        </is>
      </c>
      <c r="AF270" s="9" t="inlineStr">
        <is>
          <t>-</t>
        </is>
      </c>
      <c r="AG270" s="9" t="inlineStr">
        <is>
          <t>-</t>
        </is>
      </c>
      <c r="AH270" s="9" t="inlineStr">
        <is>
          <t>-</t>
        </is>
      </c>
      <c r="AI270" s="9" t="inlineStr">
        <is>
          <t>-</t>
        </is>
      </c>
      <c r="AJ270" s="9" t="inlineStr">
        <is>
          <t>buffer</t>
        </is>
      </c>
      <c r="AK270" s="10" t="n"/>
      <c r="AL270" s="10" t="n"/>
      <c r="AM270" s="10" t="n"/>
      <c r="AN270" s="10" t="n"/>
      <c r="AO270" s="10" t="n"/>
      <c r="AP270" s="10" t="n"/>
      <c r="AQ270" s="10" t="n"/>
      <c r="AR270" s="10" t="n"/>
      <c r="AS270" s="10" t="n"/>
      <c r="AT270" s="10" t="n"/>
      <c r="AU270" s="10" t="n"/>
      <c r="AV270" s="10" t="n"/>
      <c r="AW270" s="10" t="n"/>
      <c r="AX270" s="10" t="n"/>
      <c r="AY270" s="10" t="n"/>
      <c r="AZ270" s="10" t="n"/>
      <c r="BA270" s="10" t="n"/>
      <c r="BB270" s="10" t="n"/>
      <c r="BC270" s="10" t="n"/>
      <c r="BD270" s="10" t="n"/>
      <c r="BE270" s="10" t="n"/>
      <c r="BF270" s="10" t="n"/>
      <c r="BG270" s="10" t="n"/>
      <c r="BH270" s="10" t="n"/>
      <c r="BI270" s="10" t="n"/>
      <c r="BJ270" s="10" t="n"/>
      <c r="BK270" s="10" t="n"/>
      <c r="BL270" s="10" t="n"/>
      <c r="BM270" s="10" t="n"/>
      <c r="BN270" s="10" t="n"/>
    </row>
    <row r="271">
      <c r="B271" s="5" t="inlineStr">
        <is>
          <t>coa</t>
        </is>
      </c>
      <c r="C271" s="5" t="inlineStr">
        <is>
          <t>rod</t>
        </is>
      </c>
      <c r="D271" s="5" t="inlineStr">
        <is>
          <t>Post-tax price | Road | Coal</t>
        </is>
      </c>
      <c r="E271" s="5" t="inlineStr">
        <is>
          <t>$/GJ</t>
        </is>
      </c>
      <c r="F271" s="5" t="inlineStr">
        <is>
          <t>Calculation</t>
        </is>
      </c>
      <c r="G271" s="19" t="inlineStr"/>
      <c r="H271" s="19" t="inlineStr">
        <is>
          <t>mit.ptp.coa.rod</t>
        </is>
      </c>
      <c r="J271" s="5">
        <f>INDEX(Mapping!$C$5:$C$20,MATCH($C271,Mapping!$A$5:$A$20,0))</f>
        <v/>
      </c>
      <c r="K271" s="5">
        <f>INDEX(Mapping!$D$5:$D$20,MATCH($C271,Mapping!$A$5:$A$20,0))</f>
        <v/>
      </c>
      <c r="L271" s="5">
        <f>INDEX(Mapping!$C$24:$C$31,MATCH($B271,Mapping!$A$24:$A$31,0))</f>
        <v/>
      </c>
      <c r="M271" s="5">
        <f>INDEX(Mapping!$D$24:$D$31,MATCH($B271,Mapping!$A$24:$A$31,0))</f>
        <v/>
      </c>
      <c r="N271" s="5">
        <f>$B271&amp;"."&amp;IF(INDEX(Mapping!$E$24:$E$31,MATCH($B271,Mapping!$A$24:$A$31,0))="sub",INDEX(Mapping!$F$5:$F$20,MATCH($C271,Mapping!$A$5:$A$20,0)),"all")</f>
        <v/>
      </c>
      <c r="O271" s="5">
        <f>INDEX(Mapping!$E$5:$E$20,MATCH($C271,Mapping!$A$5:$A$20,0))</f>
        <v/>
      </c>
      <c r="P271" s="5">
        <f>INDEX(Mapping!$G$24:$G$31,MATCH($B271,Mapping!$A$24:$A$31,0))</f>
        <v/>
      </c>
      <c r="Q271" s="21" t="n"/>
      <c r="R271" s="21" t="n"/>
      <c r="S271" s="21" t="n"/>
      <c r="T271" s="21" t="n"/>
      <c r="U271" s="21" t="n"/>
      <c r="V271" s="21" t="n"/>
      <c r="W271" s="21" t="n"/>
      <c r="X271" s="21" t="n"/>
      <c r="Y271" s="21" t="n"/>
      <c r="Z271" s="21" t="n"/>
      <c r="AA271" s="21" t="n"/>
      <c r="AB271" s="21" t="n"/>
      <c r="AC271" s="21" t="n"/>
      <c r="AD271" s="21" t="n"/>
      <c r="AE271" s="21" t="n"/>
      <c r="AF271" s="21" t="n"/>
      <c r="AG271" s="21" t="n"/>
      <c r="AH271" s="21" t="n"/>
      <c r="AI271" s="21" t="n"/>
      <c r="AJ271" s="21" t="n"/>
      <c r="AL271" s="23">
        <f>AL11+AL141</f>
        <v/>
      </c>
      <c r="AM271" s="22">
        <f>AM11+AM141</f>
        <v/>
      </c>
      <c r="AN271" s="22">
        <f>AN11+AN141</f>
        <v/>
      </c>
      <c r="AO271" s="22">
        <f>AO11+AO141</f>
        <v/>
      </c>
      <c r="AP271" s="22">
        <f>AP11+AP141</f>
        <v/>
      </c>
      <c r="AQ271" s="22">
        <f>AQ11+AQ141</f>
        <v/>
      </c>
      <c r="AR271" s="22">
        <f>AR11+AR141</f>
        <v/>
      </c>
      <c r="AS271" s="22">
        <f>AS11+AS141</f>
        <v/>
      </c>
      <c r="AT271" s="22">
        <f>AT11+AT141</f>
        <v/>
      </c>
      <c r="AU271" s="22">
        <f>AU11+AU141</f>
        <v/>
      </c>
      <c r="AV271" s="22">
        <f>AV11+AV141</f>
        <v/>
      </c>
      <c r="AW271" s="22">
        <f>AW11+AW141</f>
        <v/>
      </c>
      <c r="AX271" s="22">
        <f>AX11+AX141</f>
        <v/>
      </c>
      <c r="AY271" s="22">
        <f>AY11+AY141</f>
        <v/>
      </c>
      <c r="BA271" s="23">
        <f>BA11+BA141</f>
        <v/>
      </c>
      <c r="BB271" s="22">
        <f>BB11+BB141</f>
        <v/>
      </c>
      <c r="BC271" s="22">
        <f>BC11+BC141</f>
        <v/>
      </c>
      <c r="BD271" s="22">
        <f>BD11+BD141</f>
        <v/>
      </c>
      <c r="BE271" s="22">
        <f>BE11+BE141</f>
        <v/>
      </c>
      <c r="BF271" s="22">
        <f>BF11+BF141</f>
        <v/>
      </c>
      <c r="BG271" s="22">
        <f>BG11+BG141</f>
        <v/>
      </c>
      <c r="BH271" s="22">
        <f>BH11+BH141</f>
        <v/>
      </c>
      <c r="BI271" s="22">
        <f>BI11+BI141</f>
        <v/>
      </c>
      <c r="BJ271" s="22">
        <f>BJ11+BJ141</f>
        <v/>
      </c>
      <c r="BK271" s="22">
        <f>BK11+BK141</f>
        <v/>
      </c>
      <c r="BL271" s="22">
        <f>BL11+BL141</f>
        <v/>
      </c>
      <c r="BM271" s="22">
        <f>BM11+BM141</f>
        <v/>
      </c>
      <c r="BN271" s="22">
        <f>BN11+BN141</f>
        <v/>
      </c>
    </row>
    <row r="272">
      <c r="B272" s="5" t="inlineStr">
        <is>
          <t>nga</t>
        </is>
      </c>
      <c r="C272" s="5" t="inlineStr">
        <is>
          <t>rod</t>
        </is>
      </c>
      <c r="D272" s="5" t="inlineStr">
        <is>
          <t>Post-tax price | Road | Natural gas</t>
        </is>
      </c>
      <c r="E272" s="5" t="inlineStr">
        <is>
          <t>$/GJ</t>
        </is>
      </c>
      <c r="F272" s="5" t="inlineStr">
        <is>
          <t>Calculation</t>
        </is>
      </c>
      <c r="G272" s="19" t="inlineStr"/>
      <c r="H272" s="19" t="inlineStr">
        <is>
          <t>mit.ptp.nga.rod</t>
        </is>
      </c>
      <c r="J272" s="5">
        <f>INDEX(Mapping!$C$5:$C$20,MATCH($C272,Mapping!$A$5:$A$20,0))</f>
        <v/>
      </c>
      <c r="K272" s="5">
        <f>INDEX(Mapping!$D$5:$D$20,MATCH($C272,Mapping!$A$5:$A$20,0))</f>
        <v/>
      </c>
      <c r="L272" s="5">
        <f>INDEX(Mapping!$C$24:$C$31,MATCH($B272,Mapping!$A$24:$A$31,0))</f>
        <v/>
      </c>
      <c r="M272" s="5">
        <f>INDEX(Mapping!$D$24:$D$31,MATCH($B272,Mapping!$A$24:$A$31,0))</f>
        <v/>
      </c>
      <c r="N272" s="5">
        <f>$B272&amp;"."&amp;IF(INDEX(Mapping!$E$24:$E$31,MATCH($B272,Mapping!$A$24:$A$31,0))="sub",INDEX(Mapping!$F$5:$F$20,MATCH($C272,Mapping!$A$5:$A$20,0)),"all")</f>
        <v/>
      </c>
      <c r="O272" s="5">
        <f>INDEX(Mapping!$E$5:$E$20,MATCH($C272,Mapping!$A$5:$A$20,0))</f>
        <v/>
      </c>
      <c r="P272" s="5">
        <f>INDEX(Mapping!$G$24:$G$31,MATCH($B272,Mapping!$A$24:$A$31,0))</f>
        <v/>
      </c>
      <c r="Q272" s="21" t="n"/>
      <c r="R272" s="21" t="n"/>
      <c r="S272" s="21" t="n"/>
      <c r="T272" s="21" t="n"/>
      <c r="U272" s="21" t="n"/>
      <c r="V272" s="21" t="n"/>
      <c r="W272" s="21" t="n"/>
      <c r="X272" s="21" t="n"/>
      <c r="Y272" s="21" t="n"/>
      <c r="Z272" s="21" t="n"/>
      <c r="AA272" s="21" t="n"/>
      <c r="AB272" s="21" t="n"/>
      <c r="AC272" s="21" t="n"/>
      <c r="AD272" s="21" t="n"/>
      <c r="AE272" s="21" t="n"/>
      <c r="AF272" s="21" t="n"/>
      <c r="AG272" s="21" t="n"/>
      <c r="AH272" s="21" t="n"/>
      <c r="AI272" s="21" t="n"/>
      <c r="AJ272" s="21" t="n"/>
      <c r="AL272" s="23">
        <f>AL12+AL142</f>
        <v/>
      </c>
      <c r="AM272" s="22">
        <f>AM12+AM142</f>
        <v/>
      </c>
      <c r="AN272" s="22">
        <f>AN12+AN142</f>
        <v/>
      </c>
      <c r="AO272" s="22">
        <f>AO12+AO142</f>
        <v/>
      </c>
      <c r="AP272" s="22">
        <f>AP12+AP142</f>
        <v/>
      </c>
      <c r="AQ272" s="22">
        <f>AQ12+AQ142</f>
        <v/>
      </c>
      <c r="AR272" s="22">
        <f>AR12+AR142</f>
        <v/>
      </c>
      <c r="AS272" s="22">
        <f>AS12+AS142</f>
        <v/>
      </c>
      <c r="AT272" s="22">
        <f>AT12+AT142</f>
        <v/>
      </c>
      <c r="AU272" s="22">
        <f>AU12+AU142</f>
        <v/>
      </c>
      <c r="AV272" s="22">
        <f>AV12+AV142</f>
        <v/>
      </c>
      <c r="AW272" s="22">
        <f>AW12+AW142</f>
        <v/>
      </c>
      <c r="AX272" s="22">
        <f>AX12+AX142</f>
        <v/>
      </c>
      <c r="AY272" s="22">
        <f>AY12+AY142</f>
        <v/>
      </c>
      <c r="BA272" s="23">
        <f>BA12+BA142</f>
        <v/>
      </c>
      <c r="BB272" s="22">
        <f>BB12+BB142</f>
        <v/>
      </c>
      <c r="BC272" s="22">
        <f>BC12+BC142</f>
        <v/>
      </c>
      <c r="BD272" s="22">
        <f>BD12+BD142</f>
        <v/>
      </c>
      <c r="BE272" s="22">
        <f>BE12+BE142</f>
        <v/>
      </c>
      <c r="BF272" s="22">
        <f>BF12+BF142</f>
        <v/>
      </c>
      <c r="BG272" s="22">
        <f>BG12+BG142</f>
        <v/>
      </c>
      <c r="BH272" s="22">
        <f>BH12+BH142</f>
        <v/>
      </c>
      <c r="BI272" s="22">
        <f>BI12+BI142</f>
        <v/>
      </c>
      <c r="BJ272" s="22">
        <f>BJ12+BJ142</f>
        <v/>
      </c>
      <c r="BK272" s="22">
        <f>BK12+BK142</f>
        <v/>
      </c>
      <c r="BL272" s="22">
        <f>BL12+BL142</f>
        <v/>
      </c>
      <c r="BM272" s="22">
        <f>BM12+BM142</f>
        <v/>
      </c>
      <c r="BN272" s="22">
        <f>BN12+BN142</f>
        <v/>
      </c>
    </row>
    <row r="273">
      <c r="B273" s="5" t="inlineStr">
        <is>
          <t>gso</t>
        </is>
      </c>
      <c r="C273" s="5" t="inlineStr">
        <is>
          <t>rod</t>
        </is>
      </c>
      <c r="D273" s="5" t="inlineStr">
        <is>
          <t>Post-tax price | Road | Gasoline</t>
        </is>
      </c>
      <c r="E273" s="5" t="inlineStr">
        <is>
          <t>$/GJ</t>
        </is>
      </c>
      <c r="F273" s="5" t="inlineStr">
        <is>
          <t>Calculation</t>
        </is>
      </c>
      <c r="G273" s="19" t="inlineStr"/>
      <c r="H273" s="19" t="inlineStr">
        <is>
          <t>mit.ptp.gso.rod</t>
        </is>
      </c>
      <c r="J273" s="5">
        <f>INDEX(Mapping!$C$5:$C$20,MATCH($C273,Mapping!$A$5:$A$20,0))</f>
        <v/>
      </c>
      <c r="K273" s="5">
        <f>INDEX(Mapping!$D$5:$D$20,MATCH($C273,Mapping!$A$5:$A$20,0))</f>
        <v/>
      </c>
      <c r="L273" s="5">
        <f>INDEX(Mapping!$C$24:$C$31,MATCH($B273,Mapping!$A$24:$A$31,0))</f>
        <v/>
      </c>
      <c r="M273" s="5">
        <f>INDEX(Mapping!$D$24:$D$31,MATCH($B273,Mapping!$A$24:$A$31,0))</f>
        <v/>
      </c>
      <c r="N273" s="5">
        <f>$B273&amp;"."&amp;IF(INDEX(Mapping!$E$24:$E$31,MATCH($B273,Mapping!$A$24:$A$31,0))="sub",INDEX(Mapping!$F$5:$F$20,MATCH($C273,Mapping!$A$5:$A$20,0)),"all")</f>
        <v/>
      </c>
      <c r="O273" s="5">
        <f>INDEX(Mapping!$E$5:$E$20,MATCH($C273,Mapping!$A$5:$A$20,0))</f>
        <v/>
      </c>
      <c r="P273" s="5">
        <f>INDEX(Mapping!$G$24:$G$31,MATCH($B273,Mapping!$A$24:$A$31,0))</f>
        <v/>
      </c>
      <c r="Q273" s="21" t="n"/>
      <c r="R273" s="21" t="n"/>
      <c r="S273" s="21" t="n"/>
      <c r="T273" s="21" t="n"/>
      <c r="U273" s="21" t="n"/>
      <c r="V273" s="21" t="n"/>
      <c r="W273" s="21" t="n"/>
      <c r="X273" s="21" t="n"/>
      <c r="Y273" s="21" t="n"/>
      <c r="Z273" s="21" t="n"/>
      <c r="AA273" s="21" t="n"/>
      <c r="AB273" s="21" t="n"/>
      <c r="AC273" s="21" t="n"/>
      <c r="AD273" s="21" t="n"/>
      <c r="AE273" s="21" t="n"/>
      <c r="AF273" s="21" t="n"/>
      <c r="AG273" s="21" t="n"/>
      <c r="AH273" s="21" t="n"/>
      <c r="AI273" s="21" t="n"/>
      <c r="AJ273" s="21" t="n"/>
      <c r="AL273" s="23">
        <f>AL13+AL143</f>
        <v/>
      </c>
      <c r="AM273" s="22">
        <f>AM13+AM143</f>
        <v/>
      </c>
      <c r="AN273" s="22">
        <f>AN13+AN143</f>
        <v/>
      </c>
      <c r="AO273" s="22">
        <f>AO13+AO143</f>
        <v/>
      </c>
      <c r="AP273" s="22">
        <f>AP13+AP143</f>
        <v/>
      </c>
      <c r="AQ273" s="22">
        <f>AQ13+AQ143</f>
        <v/>
      </c>
      <c r="AR273" s="22">
        <f>AR13+AR143</f>
        <v/>
      </c>
      <c r="AS273" s="22">
        <f>AS13+AS143</f>
        <v/>
      </c>
      <c r="AT273" s="22">
        <f>AT13+AT143</f>
        <v/>
      </c>
      <c r="AU273" s="22">
        <f>AU13+AU143</f>
        <v/>
      </c>
      <c r="AV273" s="22">
        <f>AV13+AV143</f>
        <v/>
      </c>
      <c r="AW273" s="22">
        <f>AW13+AW143</f>
        <v/>
      </c>
      <c r="AX273" s="22">
        <f>AX13+AX143</f>
        <v/>
      </c>
      <c r="AY273" s="22">
        <f>AY13+AY143</f>
        <v/>
      </c>
      <c r="BA273" s="23">
        <f>BA13+BA143</f>
        <v/>
      </c>
      <c r="BB273" s="22">
        <f>BB13+BB143</f>
        <v/>
      </c>
      <c r="BC273" s="22">
        <f>BC13+BC143</f>
        <v/>
      </c>
      <c r="BD273" s="22">
        <f>BD13+BD143</f>
        <v/>
      </c>
      <c r="BE273" s="22">
        <f>BE13+BE143</f>
        <v/>
      </c>
      <c r="BF273" s="22">
        <f>BF13+BF143</f>
        <v/>
      </c>
      <c r="BG273" s="22">
        <f>BG13+BG143</f>
        <v/>
      </c>
      <c r="BH273" s="22">
        <f>BH13+BH143</f>
        <v/>
      </c>
      <c r="BI273" s="22">
        <f>BI13+BI143</f>
        <v/>
      </c>
      <c r="BJ273" s="22">
        <f>BJ13+BJ143</f>
        <v/>
      </c>
      <c r="BK273" s="22">
        <f>BK13+BK143</f>
        <v/>
      </c>
      <c r="BL273" s="22">
        <f>BL13+BL143</f>
        <v/>
      </c>
      <c r="BM273" s="22">
        <f>BM13+BM143</f>
        <v/>
      </c>
      <c r="BN273" s="22">
        <f>BN13+BN143</f>
        <v/>
      </c>
    </row>
    <row r="274">
      <c r="B274" s="5" t="inlineStr">
        <is>
          <t>die</t>
        </is>
      </c>
      <c r="C274" s="5" t="inlineStr">
        <is>
          <t>rod</t>
        </is>
      </c>
      <c r="D274" s="5" t="inlineStr">
        <is>
          <t>Post-tax price | Road | Diesel</t>
        </is>
      </c>
      <c r="E274" s="5" t="inlineStr">
        <is>
          <t>$/GJ</t>
        </is>
      </c>
      <c r="F274" s="5" t="inlineStr">
        <is>
          <t>Calculation</t>
        </is>
      </c>
      <c r="G274" s="19" t="inlineStr"/>
      <c r="H274" s="19" t="inlineStr">
        <is>
          <t>mit.ptp.die.rod</t>
        </is>
      </c>
      <c r="J274" s="5">
        <f>INDEX(Mapping!$C$5:$C$20,MATCH($C274,Mapping!$A$5:$A$20,0))</f>
        <v/>
      </c>
      <c r="K274" s="5">
        <f>INDEX(Mapping!$D$5:$D$20,MATCH($C274,Mapping!$A$5:$A$20,0))</f>
        <v/>
      </c>
      <c r="L274" s="5">
        <f>INDEX(Mapping!$C$24:$C$31,MATCH($B274,Mapping!$A$24:$A$31,0))</f>
        <v/>
      </c>
      <c r="M274" s="5">
        <f>INDEX(Mapping!$D$24:$D$31,MATCH($B274,Mapping!$A$24:$A$31,0))</f>
        <v/>
      </c>
      <c r="N274" s="5">
        <f>$B274&amp;"."&amp;IF(INDEX(Mapping!$E$24:$E$31,MATCH($B274,Mapping!$A$24:$A$31,0))="sub",INDEX(Mapping!$F$5:$F$20,MATCH($C274,Mapping!$A$5:$A$20,0)),"all")</f>
        <v/>
      </c>
      <c r="O274" s="5">
        <f>INDEX(Mapping!$E$5:$E$20,MATCH($C274,Mapping!$A$5:$A$20,0))</f>
        <v/>
      </c>
      <c r="P274" s="5">
        <f>INDEX(Mapping!$G$24:$G$31,MATCH($B274,Mapping!$A$24:$A$31,0))</f>
        <v/>
      </c>
      <c r="Q274" s="21" t="n"/>
      <c r="R274" s="21" t="n"/>
      <c r="S274" s="21" t="n"/>
      <c r="T274" s="21" t="n"/>
      <c r="U274" s="21" t="n"/>
      <c r="V274" s="21" t="n"/>
      <c r="W274" s="21" t="n"/>
      <c r="X274" s="21" t="n"/>
      <c r="Y274" s="21" t="n"/>
      <c r="Z274" s="21" t="n"/>
      <c r="AA274" s="21" t="n"/>
      <c r="AB274" s="21" t="n"/>
      <c r="AC274" s="21" t="n"/>
      <c r="AD274" s="21" t="n"/>
      <c r="AE274" s="21" t="n"/>
      <c r="AF274" s="21" t="n"/>
      <c r="AG274" s="21" t="n"/>
      <c r="AH274" s="21" t="n"/>
      <c r="AI274" s="21" t="n"/>
      <c r="AJ274" s="21" t="n"/>
      <c r="AL274" s="23">
        <f>AL14+AL144</f>
        <v/>
      </c>
      <c r="AM274" s="22">
        <f>AM14+AM144</f>
        <v/>
      </c>
      <c r="AN274" s="22">
        <f>AN14+AN144</f>
        <v/>
      </c>
      <c r="AO274" s="22">
        <f>AO14+AO144</f>
        <v/>
      </c>
      <c r="AP274" s="22">
        <f>AP14+AP144</f>
        <v/>
      </c>
      <c r="AQ274" s="22">
        <f>AQ14+AQ144</f>
        <v/>
      </c>
      <c r="AR274" s="22">
        <f>AR14+AR144</f>
        <v/>
      </c>
      <c r="AS274" s="22">
        <f>AS14+AS144</f>
        <v/>
      </c>
      <c r="AT274" s="22">
        <f>AT14+AT144</f>
        <v/>
      </c>
      <c r="AU274" s="22">
        <f>AU14+AU144</f>
        <v/>
      </c>
      <c r="AV274" s="22">
        <f>AV14+AV144</f>
        <v/>
      </c>
      <c r="AW274" s="22">
        <f>AW14+AW144</f>
        <v/>
      </c>
      <c r="AX274" s="22">
        <f>AX14+AX144</f>
        <v/>
      </c>
      <c r="AY274" s="22">
        <f>AY14+AY144</f>
        <v/>
      </c>
      <c r="BA274" s="23">
        <f>BA14+BA144</f>
        <v/>
      </c>
      <c r="BB274" s="22">
        <f>BB14+BB144</f>
        <v/>
      </c>
      <c r="BC274" s="22">
        <f>BC14+BC144</f>
        <v/>
      </c>
      <c r="BD274" s="22">
        <f>BD14+BD144</f>
        <v/>
      </c>
      <c r="BE274" s="22">
        <f>BE14+BE144</f>
        <v/>
      </c>
      <c r="BF274" s="22">
        <f>BF14+BF144</f>
        <v/>
      </c>
      <c r="BG274" s="22">
        <f>BG14+BG144</f>
        <v/>
      </c>
      <c r="BH274" s="22">
        <f>BH14+BH144</f>
        <v/>
      </c>
      <c r="BI274" s="22">
        <f>BI14+BI144</f>
        <v/>
      </c>
      <c r="BJ274" s="22">
        <f>BJ14+BJ144</f>
        <v/>
      </c>
      <c r="BK274" s="22">
        <f>BK14+BK144</f>
        <v/>
      </c>
      <c r="BL274" s="22">
        <f>BL14+BL144</f>
        <v/>
      </c>
      <c r="BM274" s="22">
        <f>BM14+BM144</f>
        <v/>
      </c>
      <c r="BN274" s="22">
        <f>BN14+BN144</f>
        <v/>
      </c>
    </row>
    <row r="275">
      <c r="B275" s="5" t="inlineStr">
        <is>
          <t>lpg</t>
        </is>
      </c>
      <c r="C275" s="5" t="inlineStr">
        <is>
          <t>rod</t>
        </is>
      </c>
      <c r="D275" s="5" t="inlineStr">
        <is>
          <t>Post-tax price | Road | LPG</t>
        </is>
      </c>
      <c r="E275" s="5" t="inlineStr">
        <is>
          <t>$/GJ</t>
        </is>
      </c>
      <c r="F275" s="5" t="inlineStr">
        <is>
          <t>Calculation</t>
        </is>
      </c>
      <c r="G275" s="19" t="inlineStr"/>
      <c r="H275" s="19" t="inlineStr">
        <is>
          <t>mit.ptp.lpg.rod</t>
        </is>
      </c>
      <c r="J275" s="5">
        <f>INDEX(Mapping!$C$5:$C$20,MATCH($C275,Mapping!$A$5:$A$20,0))</f>
        <v/>
      </c>
      <c r="K275" s="5">
        <f>INDEX(Mapping!$D$5:$D$20,MATCH($C275,Mapping!$A$5:$A$20,0))</f>
        <v/>
      </c>
      <c r="L275" s="5">
        <f>INDEX(Mapping!$C$24:$C$31,MATCH($B275,Mapping!$A$24:$A$31,0))</f>
        <v/>
      </c>
      <c r="M275" s="5">
        <f>INDEX(Mapping!$D$24:$D$31,MATCH($B275,Mapping!$A$24:$A$31,0))</f>
        <v/>
      </c>
      <c r="N275" s="5">
        <f>$B275&amp;"."&amp;IF(INDEX(Mapping!$E$24:$E$31,MATCH($B275,Mapping!$A$24:$A$31,0))="sub",INDEX(Mapping!$F$5:$F$20,MATCH($C275,Mapping!$A$5:$A$20,0)),"all")</f>
        <v/>
      </c>
      <c r="O275" s="5">
        <f>INDEX(Mapping!$E$5:$E$20,MATCH($C275,Mapping!$A$5:$A$20,0))</f>
        <v/>
      </c>
      <c r="P275" s="5">
        <f>INDEX(Mapping!$G$24:$G$31,MATCH($B275,Mapping!$A$24:$A$31,0))</f>
        <v/>
      </c>
      <c r="Q275" s="21" t="n"/>
      <c r="R275" s="21" t="n"/>
      <c r="S275" s="21" t="n"/>
      <c r="T275" s="21" t="n"/>
      <c r="U275" s="21" t="n"/>
      <c r="V275" s="21" t="n"/>
      <c r="W275" s="21" t="n"/>
      <c r="X275" s="21" t="n"/>
      <c r="Y275" s="21" t="n"/>
      <c r="Z275" s="21" t="n"/>
      <c r="AA275" s="21" t="n"/>
      <c r="AB275" s="21" t="n"/>
      <c r="AC275" s="21" t="n"/>
      <c r="AD275" s="21" t="n"/>
      <c r="AE275" s="21" t="n"/>
      <c r="AF275" s="21" t="n"/>
      <c r="AG275" s="21" t="n"/>
      <c r="AH275" s="21" t="n"/>
      <c r="AI275" s="21" t="n"/>
      <c r="AJ275" s="21" t="n"/>
      <c r="AL275" s="23">
        <f>AL15+AL145</f>
        <v/>
      </c>
      <c r="AM275" s="22">
        <f>AM15+AM145</f>
        <v/>
      </c>
      <c r="AN275" s="22">
        <f>AN15+AN145</f>
        <v/>
      </c>
      <c r="AO275" s="22">
        <f>AO15+AO145</f>
        <v/>
      </c>
      <c r="AP275" s="22">
        <f>AP15+AP145</f>
        <v/>
      </c>
      <c r="AQ275" s="22">
        <f>AQ15+AQ145</f>
        <v/>
      </c>
      <c r="AR275" s="22">
        <f>AR15+AR145</f>
        <v/>
      </c>
      <c r="AS275" s="22">
        <f>AS15+AS145</f>
        <v/>
      </c>
      <c r="AT275" s="22">
        <f>AT15+AT145</f>
        <v/>
      </c>
      <c r="AU275" s="22">
        <f>AU15+AU145</f>
        <v/>
      </c>
      <c r="AV275" s="22">
        <f>AV15+AV145</f>
        <v/>
      </c>
      <c r="AW275" s="22">
        <f>AW15+AW145</f>
        <v/>
      </c>
      <c r="AX275" s="22">
        <f>AX15+AX145</f>
        <v/>
      </c>
      <c r="AY275" s="22">
        <f>AY15+AY145</f>
        <v/>
      </c>
      <c r="BA275" s="23">
        <f>BA15+BA145</f>
        <v/>
      </c>
      <c r="BB275" s="22">
        <f>BB15+BB145</f>
        <v/>
      </c>
      <c r="BC275" s="22">
        <f>BC15+BC145</f>
        <v/>
      </c>
      <c r="BD275" s="22">
        <f>BD15+BD145</f>
        <v/>
      </c>
      <c r="BE275" s="22">
        <f>BE15+BE145</f>
        <v/>
      </c>
      <c r="BF275" s="22">
        <f>BF15+BF145</f>
        <v/>
      </c>
      <c r="BG275" s="22">
        <f>BG15+BG145</f>
        <v/>
      </c>
      <c r="BH275" s="22">
        <f>BH15+BH145</f>
        <v/>
      </c>
      <c r="BI275" s="22">
        <f>BI15+BI145</f>
        <v/>
      </c>
      <c r="BJ275" s="22">
        <f>BJ15+BJ145</f>
        <v/>
      </c>
      <c r="BK275" s="22">
        <f>BK15+BK145</f>
        <v/>
      </c>
      <c r="BL275" s="22">
        <f>BL15+BL145</f>
        <v/>
      </c>
      <c r="BM275" s="22">
        <f>BM15+BM145</f>
        <v/>
      </c>
      <c r="BN275" s="22">
        <f>BN15+BN145</f>
        <v/>
      </c>
    </row>
    <row r="276">
      <c r="B276" s="5" t="inlineStr">
        <is>
          <t>ker</t>
        </is>
      </c>
      <c r="C276" s="5" t="inlineStr">
        <is>
          <t>rod</t>
        </is>
      </c>
      <c r="D276" s="5" t="inlineStr">
        <is>
          <t>Post-tax price | Road | Kerosene</t>
        </is>
      </c>
      <c r="E276" s="5" t="inlineStr">
        <is>
          <t>$/GJ</t>
        </is>
      </c>
      <c r="F276" s="5" t="inlineStr">
        <is>
          <t>Calculation</t>
        </is>
      </c>
      <c r="G276" s="19" t="inlineStr"/>
      <c r="H276" s="19" t="inlineStr">
        <is>
          <t>mit.ptp.ker.rod</t>
        </is>
      </c>
      <c r="J276" s="5">
        <f>INDEX(Mapping!$C$5:$C$20,MATCH($C276,Mapping!$A$5:$A$20,0))</f>
        <v/>
      </c>
      <c r="K276" s="5">
        <f>INDEX(Mapping!$D$5:$D$20,MATCH($C276,Mapping!$A$5:$A$20,0))</f>
        <v/>
      </c>
      <c r="L276" s="5">
        <f>INDEX(Mapping!$C$24:$C$31,MATCH($B276,Mapping!$A$24:$A$31,0))</f>
        <v/>
      </c>
      <c r="M276" s="5">
        <f>INDEX(Mapping!$D$24:$D$31,MATCH($B276,Mapping!$A$24:$A$31,0))</f>
        <v/>
      </c>
      <c r="N276" s="5">
        <f>$B276&amp;"."&amp;IF(INDEX(Mapping!$E$24:$E$31,MATCH($B276,Mapping!$A$24:$A$31,0))="sub",INDEX(Mapping!$F$5:$F$20,MATCH($C276,Mapping!$A$5:$A$20,0)),"all")</f>
        <v/>
      </c>
      <c r="O276" s="5">
        <f>INDEX(Mapping!$E$5:$E$20,MATCH($C276,Mapping!$A$5:$A$20,0))</f>
        <v/>
      </c>
      <c r="P276" s="5">
        <f>INDEX(Mapping!$G$24:$G$31,MATCH($B276,Mapping!$A$24:$A$31,0))</f>
        <v/>
      </c>
      <c r="Q276" s="21" t="n"/>
      <c r="R276" s="21" t="n"/>
      <c r="S276" s="21" t="n"/>
      <c r="T276" s="21" t="n"/>
      <c r="U276" s="21" t="n"/>
      <c r="V276" s="21" t="n"/>
      <c r="W276" s="21" t="n"/>
      <c r="X276" s="21" t="n"/>
      <c r="Y276" s="21" t="n"/>
      <c r="Z276" s="21" t="n"/>
      <c r="AA276" s="21" t="n"/>
      <c r="AB276" s="21" t="n"/>
      <c r="AC276" s="21" t="n"/>
      <c r="AD276" s="21" t="n"/>
      <c r="AE276" s="21" t="n"/>
      <c r="AF276" s="21" t="n"/>
      <c r="AG276" s="21" t="n"/>
      <c r="AH276" s="21" t="n"/>
      <c r="AI276" s="21" t="n"/>
      <c r="AJ276" s="21" t="n"/>
      <c r="AL276" s="23">
        <f>AL16+AL146</f>
        <v/>
      </c>
      <c r="AM276" s="22">
        <f>AM16+AM146</f>
        <v/>
      </c>
      <c r="AN276" s="22">
        <f>AN16+AN146</f>
        <v/>
      </c>
      <c r="AO276" s="22">
        <f>AO16+AO146</f>
        <v/>
      </c>
      <c r="AP276" s="22">
        <f>AP16+AP146</f>
        <v/>
      </c>
      <c r="AQ276" s="22">
        <f>AQ16+AQ146</f>
        <v/>
      </c>
      <c r="AR276" s="22">
        <f>AR16+AR146</f>
        <v/>
      </c>
      <c r="AS276" s="22">
        <f>AS16+AS146</f>
        <v/>
      </c>
      <c r="AT276" s="22">
        <f>AT16+AT146</f>
        <v/>
      </c>
      <c r="AU276" s="22">
        <f>AU16+AU146</f>
        <v/>
      </c>
      <c r="AV276" s="22">
        <f>AV16+AV146</f>
        <v/>
      </c>
      <c r="AW276" s="22">
        <f>AW16+AW146</f>
        <v/>
      </c>
      <c r="AX276" s="22">
        <f>AX16+AX146</f>
        <v/>
      </c>
      <c r="AY276" s="22">
        <f>AY16+AY146</f>
        <v/>
      </c>
      <c r="BA276" s="23">
        <f>BA16+BA146</f>
        <v/>
      </c>
      <c r="BB276" s="22">
        <f>BB16+BB146</f>
        <v/>
      </c>
      <c r="BC276" s="22">
        <f>BC16+BC146</f>
        <v/>
      </c>
      <c r="BD276" s="22">
        <f>BD16+BD146</f>
        <v/>
      </c>
      <c r="BE276" s="22">
        <f>BE16+BE146</f>
        <v/>
      </c>
      <c r="BF276" s="22">
        <f>BF16+BF146</f>
        <v/>
      </c>
      <c r="BG276" s="22">
        <f>BG16+BG146</f>
        <v/>
      </c>
      <c r="BH276" s="22">
        <f>BH16+BH146</f>
        <v/>
      </c>
      <c r="BI276" s="22">
        <f>BI16+BI146</f>
        <v/>
      </c>
      <c r="BJ276" s="22">
        <f>BJ16+BJ146</f>
        <v/>
      </c>
      <c r="BK276" s="22">
        <f>BK16+BK146</f>
        <v/>
      </c>
      <c r="BL276" s="22">
        <f>BL16+BL146</f>
        <v/>
      </c>
      <c r="BM276" s="22">
        <f>BM16+BM146</f>
        <v/>
      </c>
      <c r="BN276" s="22">
        <f>BN16+BN146</f>
        <v/>
      </c>
    </row>
    <row r="277">
      <c r="B277" s="5" t="inlineStr">
        <is>
          <t>oop</t>
        </is>
      </c>
      <c r="C277" s="5" t="inlineStr">
        <is>
          <t>rod</t>
        </is>
      </c>
      <c r="D277" s="5" t="inlineStr">
        <is>
          <t>Post-tax price | Road | Other oil products</t>
        </is>
      </c>
      <c r="E277" s="5" t="inlineStr">
        <is>
          <t>$/GJ</t>
        </is>
      </c>
      <c r="F277" s="5" t="inlineStr">
        <is>
          <t>Calculation</t>
        </is>
      </c>
      <c r="G277" s="19" t="inlineStr"/>
      <c r="H277" s="19" t="inlineStr">
        <is>
          <t>mit.ptp.oop.rod</t>
        </is>
      </c>
      <c r="J277" s="5">
        <f>INDEX(Mapping!$C$5:$C$20,MATCH($C277,Mapping!$A$5:$A$20,0))</f>
        <v/>
      </c>
      <c r="K277" s="5">
        <f>INDEX(Mapping!$D$5:$D$20,MATCH($C277,Mapping!$A$5:$A$20,0))</f>
        <v/>
      </c>
      <c r="L277" s="5">
        <f>INDEX(Mapping!$C$24:$C$31,MATCH($B277,Mapping!$A$24:$A$31,0))</f>
        <v/>
      </c>
      <c r="M277" s="5">
        <f>INDEX(Mapping!$D$24:$D$31,MATCH($B277,Mapping!$A$24:$A$31,0))</f>
        <v/>
      </c>
      <c r="N277" s="5">
        <f>$B277&amp;"."&amp;IF(INDEX(Mapping!$E$24:$E$31,MATCH($B277,Mapping!$A$24:$A$31,0))="sub",INDEX(Mapping!$F$5:$F$20,MATCH($C277,Mapping!$A$5:$A$20,0)),"all")</f>
        <v/>
      </c>
      <c r="O277" s="5">
        <f>INDEX(Mapping!$E$5:$E$20,MATCH($C277,Mapping!$A$5:$A$20,0))</f>
        <v/>
      </c>
      <c r="P277" s="5">
        <f>INDEX(Mapping!$G$24:$G$31,MATCH($B277,Mapping!$A$24:$A$31,0))</f>
        <v/>
      </c>
      <c r="Q277" s="21" t="n"/>
      <c r="R277" s="21" t="n"/>
      <c r="S277" s="21" t="n"/>
      <c r="T277" s="21" t="n"/>
      <c r="U277" s="21" t="n"/>
      <c r="V277" s="21" t="n"/>
      <c r="W277" s="21" t="n"/>
      <c r="X277" s="21" t="n"/>
      <c r="Y277" s="21" t="n"/>
      <c r="Z277" s="21" t="n"/>
      <c r="AA277" s="21" t="n"/>
      <c r="AB277" s="21" t="n"/>
      <c r="AC277" s="21" t="n"/>
      <c r="AD277" s="21" t="n"/>
      <c r="AE277" s="21" t="n"/>
      <c r="AF277" s="21" t="n"/>
      <c r="AG277" s="21" t="n"/>
      <c r="AH277" s="21" t="n"/>
      <c r="AI277" s="21" t="n"/>
      <c r="AJ277" s="21" t="n"/>
      <c r="AL277" s="23">
        <f>AL17+AL147</f>
        <v/>
      </c>
      <c r="AM277" s="22">
        <f>AM17+AM147</f>
        <v/>
      </c>
      <c r="AN277" s="22">
        <f>AN17+AN147</f>
        <v/>
      </c>
      <c r="AO277" s="22">
        <f>AO17+AO147</f>
        <v/>
      </c>
      <c r="AP277" s="22">
        <f>AP17+AP147</f>
        <v/>
      </c>
      <c r="AQ277" s="22">
        <f>AQ17+AQ147</f>
        <v/>
      </c>
      <c r="AR277" s="22">
        <f>AR17+AR147</f>
        <v/>
      </c>
      <c r="AS277" s="22">
        <f>AS17+AS147</f>
        <v/>
      </c>
      <c r="AT277" s="22">
        <f>AT17+AT147</f>
        <v/>
      </c>
      <c r="AU277" s="22">
        <f>AU17+AU147</f>
        <v/>
      </c>
      <c r="AV277" s="22">
        <f>AV17+AV147</f>
        <v/>
      </c>
      <c r="AW277" s="22">
        <f>AW17+AW147</f>
        <v/>
      </c>
      <c r="AX277" s="22">
        <f>AX17+AX147</f>
        <v/>
      </c>
      <c r="AY277" s="22">
        <f>AY17+AY147</f>
        <v/>
      </c>
      <c r="BA277" s="23">
        <f>BA17+BA147</f>
        <v/>
      </c>
      <c r="BB277" s="22">
        <f>BB17+BB147</f>
        <v/>
      </c>
      <c r="BC277" s="22">
        <f>BC17+BC147</f>
        <v/>
      </c>
      <c r="BD277" s="22">
        <f>BD17+BD147</f>
        <v/>
      </c>
      <c r="BE277" s="22">
        <f>BE17+BE147</f>
        <v/>
      </c>
      <c r="BF277" s="22">
        <f>BF17+BF147</f>
        <v/>
      </c>
      <c r="BG277" s="22">
        <f>BG17+BG147</f>
        <v/>
      </c>
      <c r="BH277" s="22">
        <f>BH17+BH147</f>
        <v/>
      </c>
      <c r="BI277" s="22">
        <f>BI17+BI147</f>
        <v/>
      </c>
      <c r="BJ277" s="22">
        <f>BJ17+BJ147</f>
        <v/>
      </c>
      <c r="BK277" s="22">
        <f>BK17+BK147</f>
        <v/>
      </c>
      <c r="BL277" s="22">
        <f>BL17+BL147</f>
        <v/>
      </c>
      <c r="BM277" s="22">
        <f>BM17+BM147</f>
        <v/>
      </c>
      <c r="BN277" s="22">
        <f>BN17+BN147</f>
        <v/>
      </c>
    </row>
    <row r="278">
      <c r="B278" s="5" t="inlineStr">
        <is>
          <t>bio</t>
        </is>
      </c>
      <c r="C278" s="5" t="inlineStr">
        <is>
          <t>rod</t>
        </is>
      </c>
      <c r="D278" s="5" t="inlineStr">
        <is>
          <t>Post-tax price | Road | Biomass</t>
        </is>
      </c>
      <c r="E278" s="5" t="inlineStr">
        <is>
          <t>$/GJ</t>
        </is>
      </c>
      <c r="F278" s="5" t="inlineStr">
        <is>
          <t>Calculation</t>
        </is>
      </c>
      <c r="G278" s="19" t="inlineStr"/>
      <c r="H278" s="19" t="inlineStr">
        <is>
          <t>mit.ptp.bio.rod</t>
        </is>
      </c>
      <c r="J278" s="5">
        <f>INDEX(Mapping!$C$5:$C$20,MATCH($C278,Mapping!$A$5:$A$20,0))</f>
        <v/>
      </c>
      <c r="K278" s="5">
        <f>INDEX(Mapping!$D$5:$D$20,MATCH($C278,Mapping!$A$5:$A$20,0))</f>
        <v/>
      </c>
      <c r="L278" s="5">
        <f>INDEX(Mapping!$C$24:$C$31,MATCH($B278,Mapping!$A$24:$A$31,0))</f>
        <v/>
      </c>
      <c r="M278" s="5">
        <f>INDEX(Mapping!$D$24:$D$31,MATCH($B278,Mapping!$A$24:$A$31,0))</f>
        <v/>
      </c>
      <c r="N278" s="5">
        <f>$B278&amp;"."&amp;IF(INDEX(Mapping!$E$24:$E$31,MATCH($B278,Mapping!$A$24:$A$31,0))="sub",INDEX(Mapping!$F$5:$F$20,MATCH($C278,Mapping!$A$5:$A$20,0)),"all")</f>
        <v/>
      </c>
      <c r="O278" s="5">
        <f>INDEX(Mapping!$E$5:$E$20,MATCH($C278,Mapping!$A$5:$A$20,0))</f>
        <v/>
      </c>
      <c r="P278" s="5">
        <f>INDEX(Mapping!$G$24:$G$31,MATCH($B278,Mapping!$A$24:$A$31,0))</f>
        <v/>
      </c>
      <c r="Q278" s="21" t="n"/>
      <c r="R278" s="21" t="n"/>
      <c r="S278" s="21" t="n"/>
      <c r="T278" s="21" t="n"/>
      <c r="U278" s="21" t="n"/>
      <c r="V278" s="21" t="n"/>
      <c r="W278" s="21" t="n"/>
      <c r="X278" s="21" t="n"/>
      <c r="Y278" s="21" t="n"/>
      <c r="Z278" s="21" t="n"/>
      <c r="AA278" s="21" t="n"/>
      <c r="AB278" s="21" t="n"/>
      <c r="AC278" s="21" t="n"/>
      <c r="AD278" s="21" t="n"/>
      <c r="AE278" s="21" t="n"/>
      <c r="AF278" s="21" t="n"/>
      <c r="AG278" s="21" t="n"/>
      <c r="AH278" s="21" t="n"/>
      <c r="AI278" s="21" t="n"/>
      <c r="AJ278" s="21" t="n"/>
      <c r="AL278" s="23">
        <f>AL18+AL148</f>
        <v/>
      </c>
      <c r="AM278" s="22">
        <f>AM18+AM148</f>
        <v/>
      </c>
      <c r="AN278" s="22">
        <f>AN18+AN148</f>
        <v/>
      </c>
      <c r="AO278" s="22">
        <f>AO18+AO148</f>
        <v/>
      </c>
      <c r="AP278" s="22">
        <f>AP18+AP148</f>
        <v/>
      </c>
      <c r="AQ278" s="22">
        <f>AQ18+AQ148</f>
        <v/>
      </c>
      <c r="AR278" s="22">
        <f>AR18+AR148</f>
        <v/>
      </c>
      <c r="AS278" s="22">
        <f>AS18+AS148</f>
        <v/>
      </c>
      <c r="AT278" s="22">
        <f>AT18+AT148</f>
        <v/>
      </c>
      <c r="AU278" s="22">
        <f>AU18+AU148</f>
        <v/>
      </c>
      <c r="AV278" s="22">
        <f>AV18+AV148</f>
        <v/>
      </c>
      <c r="AW278" s="22">
        <f>AW18+AW148</f>
        <v/>
      </c>
      <c r="AX278" s="22">
        <f>AX18+AX148</f>
        <v/>
      </c>
      <c r="AY278" s="22">
        <f>AY18+AY148</f>
        <v/>
      </c>
      <c r="BA278" s="23">
        <f>BA18+BA148</f>
        <v/>
      </c>
      <c r="BB278" s="22">
        <f>BB18+BB148</f>
        <v/>
      </c>
      <c r="BC278" s="22">
        <f>BC18+BC148</f>
        <v/>
      </c>
      <c r="BD278" s="22">
        <f>BD18+BD148</f>
        <v/>
      </c>
      <c r="BE278" s="22">
        <f>BE18+BE148</f>
        <v/>
      </c>
      <c r="BF278" s="22">
        <f>BF18+BF148</f>
        <v/>
      </c>
      <c r="BG278" s="22">
        <f>BG18+BG148</f>
        <v/>
      </c>
      <c r="BH278" s="22">
        <f>BH18+BH148</f>
        <v/>
      </c>
      <c r="BI278" s="22">
        <f>BI18+BI148</f>
        <v/>
      </c>
      <c r="BJ278" s="22">
        <f>BJ18+BJ148</f>
        <v/>
      </c>
      <c r="BK278" s="22">
        <f>BK18+BK148</f>
        <v/>
      </c>
      <c r="BL278" s="22">
        <f>BL18+BL148</f>
        <v/>
      </c>
      <c r="BM278" s="22">
        <f>BM18+BM148</f>
        <v/>
      </c>
      <c r="BN278" s="22">
        <f>BN18+BN148</f>
        <v/>
      </c>
    </row>
    <row r="279">
      <c r="B279" s="5" t="inlineStr">
        <is>
          <t>coa</t>
        </is>
      </c>
      <c r="C279" s="5" t="inlineStr">
        <is>
          <t>ral</t>
        </is>
      </c>
      <c r="D279" s="5" t="inlineStr">
        <is>
          <t>Post-tax price | Rail | Coal</t>
        </is>
      </c>
      <c r="E279" s="5" t="inlineStr">
        <is>
          <t>$/GJ</t>
        </is>
      </c>
      <c r="F279" s="5" t="inlineStr">
        <is>
          <t>Calculation</t>
        </is>
      </c>
      <c r="G279" s="19" t="inlineStr"/>
      <c r="H279" s="19" t="inlineStr">
        <is>
          <t>mit.ptp.coa.ral</t>
        </is>
      </c>
      <c r="J279" s="5">
        <f>INDEX(Mapping!$C$5:$C$20,MATCH($C279,Mapping!$A$5:$A$20,0))</f>
        <v/>
      </c>
      <c r="K279" s="5">
        <f>INDEX(Mapping!$D$5:$D$20,MATCH($C279,Mapping!$A$5:$A$20,0))</f>
        <v/>
      </c>
      <c r="L279" s="5">
        <f>INDEX(Mapping!$C$24:$C$31,MATCH($B279,Mapping!$A$24:$A$31,0))</f>
        <v/>
      </c>
      <c r="M279" s="5">
        <f>INDEX(Mapping!$D$24:$D$31,MATCH($B279,Mapping!$A$24:$A$31,0))</f>
        <v/>
      </c>
      <c r="N279" s="5">
        <f>$B279&amp;"."&amp;IF(INDEX(Mapping!$E$24:$E$31,MATCH($B279,Mapping!$A$24:$A$31,0))="sub",INDEX(Mapping!$F$5:$F$20,MATCH($C279,Mapping!$A$5:$A$20,0)),"all")</f>
        <v/>
      </c>
      <c r="O279" s="5">
        <f>INDEX(Mapping!$E$5:$E$20,MATCH($C279,Mapping!$A$5:$A$20,0))</f>
        <v/>
      </c>
      <c r="P279" s="5">
        <f>INDEX(Mapping!$G$24:$G$31,MATCH($B279,Mapping!$A$24:$A$31,0))</f>
        <v/>
      </c>
      <c r="Q279" s="21" t="n"/>
      <c r="R279" s="21" t="n"/>
      <c r="S279" s="21" t="n"/>
      <c r="T279" s="21" t="n"/>
      <c r="U279" s="21" t="n"/>
      <c r="V279" s="21" t="n"/>
      <c r="W279" s="21" t="n"/>
      <c r="X279" s="21" t="n"/>
      <c r="Y279" s="21" t="n"/>
      <c r="Z279" s="21" t="n"/>
      <c r="AA279" s="21" t="n"/>
      <c r="AB279" s="21" t="n"/>
      <c r="AC279" s="21" t="n"/>
      <c r="AD279" s="21" t="n"/>
      <c r="AE279" s="21" t="n"/>
      <c r="AF279" s="21" t="n"/>
      <c r="AG279" s="21" t="n"/>
      <c r="AH279" s="21" t="n"/>
      <c r="AI279" s="21" t="n"/>
      <c r="AJ279" s="21" t="n"/>
      <c r="AL279" s="23">
        <f>AL19+AL149</f>
        <v/>
      </c>
      <c r="AM279" s="22">
        <f>AM19+AM149</f>
        <v/>
      </c>
      <c r="AN279" s="22">
        <f>AN19+AN149</f>
        <v/>
      </c>
      <c r="AO279" s="22">
        <f>AO19+AO149</f>
        <v/>
      </c>
      <c r="AP279" s="22">
        <f>AP19+AP149</f>
        <v/>
      </c>
      <c r="AQ279" s="22">
        <f>AQ19+AQ149</f>
        <v/>
      </c>
      <c r="AR279" s="22">
        <f>AR19+AR149</f>
        <v/>
      </c>
      <c r="AS279" s="22">
        <f>AS19+AS149</f>
        <v/>
      </c>
      <c r="AT279" s="22">
        <f>AT19+AT149</f>
        <v/>
      </c>
      <c r="AU279" s="22">
        <f>AU19+AU149</f>
        <v/>
      </c>
      <c r="AV279" s="22">
        <f>AV19+AV149</f>
        <v/>
      </c>
      <c r="AW279" s="22">
        <f>AW19+AW149</f>
        <v/>
      </c>
      <c r="AX279" s="22">
        <f>AX19+AX149</f>
        <v/>
      </c>
      <c r="AY279" s="22">
        <f>AY19+AY149</f>
        <v/>
      </c>
      <c r="BA279" s="23">
        <f>BA19+BA149</f>
        <v/>
      </c>
      <c r="BB279" s="22">
        <f>BB19+BB149</f>
        <v/>
      </c>
      <c r="BC279" s="22">
        <f>BC19+BC149</f>
        <v/>
      </c>
      <c r="BD279" s="22">
        <f>BD19+BD149</f>
        <v/>
      </c>
      <c r="BE279" s="22">
        <f>BE19+BE149</f>
        <v/>
      </c>
      <c r="BF279" s="22">
        <f>BF19+BF149</f>
        <v/>
      </c>
      <c r="BG279" s="22">
        <f>BG19+BG149</f>
        <v/>
      </c>
      <c r="BH279" s="22">
        <f>BH19+BH149</f>
        <v/>
      </c>
      <c r="BI279" s="22">
        <f>BI19+BI149</f>
        <v/>
      </c>
      <c r="BJ279" s="22">
        <f>BJ19+BJ149</f>
        <v/>
      </c>
      <c r="BK279" s="22">
        <f>BK19+BK149</f>
        <v/>
      </c>
      <c r="BL279" s="22">
        <f>BL19+BL149</f>
        <v/>
      </c>
      <c r="BM279" s="22">
        <f>BM19+BM149</f>
        <v/>
      </c>
      <c r="BN279" s="22">
        <f>BN19+BN149</f>
        <v/>
      </c>
    </row>
    <row r="280">
      <c r="B280" s="5" t="inlineStr">
        <is>
          <t>nga</t>
        </is>
      </c>
      <c r="C280" s="5" t="inlineStr">
        <is>
          <t>ral</t>
        </is>
      </c>
      <c r="D280" s="5" t="inlineStr">
        <is>
          <t>Post-tax price | Rail | Natural gas</t>
        </is>
      </c>
      <c r="E280" s="5" t="inlineStr">
        <is>
          <t>$/GJ</t>
        </is>
      </c>
      <c r="F280" s="5" t="inlineStr">
        <is>
          <t>Calculation</t>
        </is>
      </c>
      <c r="G280" s="19" t="inlineStr"/>
      <c r="H280" s="19" t="inlineStr">
        <is>
          <t>mit.ptp.nga.ral</t>
        </is>
      </c>
      <c r="J280" s="5">
        <f>INDEX(Mapping!$C$5:$C$20,MATCH($C280,Mapping!$A$5:$A$20,0))</f>
        <v/>
      </c>
      <c r="K280" s="5">
        <f>INDEX(Mapping!$D$5:$D$20,MATCH($C280,Mapping!$A$5:$A$20,0))</f>
        <v/>
      </c>
      <c r="L280" s="5">
        <f>INDEX(Mapping!$C$24:$C$31,MATCH($B280,Mapping!$A$24:$A$31,0))</f>
        <v/>
      </c>
      <c r="M280" s="5">
        <f>INDEX(Mapping!$D$24:$D$31,MATCH($B280,Mapping!$A$24:$A$31,0))</f>
        <v/>
      </c>
      <c r="N280" s="5">
        <f>$B280&amp;"."&amp;IF(INDEX(Mapping!$E$24:$E$31,MATCH($B280,Mapping!$A$24:$A$31,0))="sub",INDEX(Mapping!$F$5:$F$20,MATCH($C280,Mapping!$A$5:$A$20,0)),"all")</f>
        <v/>
      </c>
      <c r="O280" s="5">
        <f>INDEX(Mapping!$E$5:$E$20,MATCH($C280,Mapping!$A$5:$A$20,0))</f>
        <v/>
      </c>
      <c r="P280" s="5">
        <f>INDEX(Mapping!$G$24:$G$31,MATCH($B280,Mapping!$A$24:$A$31,0))</f>
        <v/>
      </c>
      <c r="Q280" s="21" t="n"/>
      <c r="R280" s="21" t="n"/>
      <c r="S280" s="21" t="n"/>
      <c r="T280" s="21" t="n"/>
      <c r="U280" s="21" t="n"/>
      <c r="V280" s="21" t="n"/>
      <c r="W280" s="21" t="n"/>
      <c r="X280" s="21" t="n"/>
      <c r="Y280" s="21" t="n"/>
      <c r="Z280" s="21" t="n"/>
      <c r="AA280" s="21" t="n"/>
      <c r="AB280" s="21" t="n"/>
      <c r="AC280" s="21" t="n"/>
      <c r="AD280" s="21" t="n"/>
      <c r="AE280" s="21" t="n"/>
      <c r="AF280" s="21" t="n"/>
      <c r="AG280" s="21" t="n"/>
      <c r="AH280" s="21" t="n"/>
      <c r="AI280" s="21" t="n"/>
      <c r="AJ280" s="21" t="n"/>
      <c r="AL280" s="23">
        <f>AL20+AL150</f>
        <v/>
      </c>
      <c r="AM280" s="22">
        <f>AM20+AM150</f>
        <v/>
      </c>
      <c r="AN280" s="22">
        <f>AN20+AN150</f>
        <v/>
      </c>
      <c r="AO280" s="22">
        <f>AO20+AO150</f>
        <v/>
      </c>
      <c r="AP280" s="22">
        <f>AP20+AP150</f>
        <v/>
      </c>
      <c r="AQ280" s="22">
        <f>AQ20+AQ150</f>
        <v/>
      </c>
      <c r="AR280" s="22">
        <f>AR20+AR150</f>
        <v/>
      </c>
      <c r="AS280" s="22">
        <f>AS20+AS150</f>
        <v/>
      </c>
      <c r="AT280" s="22">
        <f>AT20+AT150</f>
        <v/>
      </c>
      <c r="AU280" s="22">
        <f>AU20+AU150</f>
        <v/>
      </c>
      <c r="AV280" s="22">
        <f>AV20+AV150</f>
        <v/>
      </c>
      <c r="AW280" s="22">
        <f>AW20+AW150</f>
        <v/>
      </c>
      <c r="AX280" s="22">
        <f>AX20+AX150</f>
        <v/>
      </c>
      <c r="AY280" s="22">
        <f>AY20+AY150</f>
        <v/>
      </c>
      <c r="BA280" s="23">
        <f>BA20+BA150</f>
        <v/>
      </c>
      <c r="BB280" s="22">
        <f>BB20+BB150</f>
        <v/>
      </c>
      <c r="BC280" s="22">
        <f>BC20+BC150</f>
        <v/>
      </c>
      <c r="BD280" s="22">
        <f>BD20+BD150</f>
        <v/>
      </c>
      <c r="BE280" s="22">
        <f>BE20+BE150</f>
        <v/>
      </c>
      <c r="BF280" s="22">
        <f>BF20+BF150</f>
        <v/>
      </c>
      <c r="BG280" s="22">
        <f>BG20+BG150</f>
        <v/>
      </c>
      <c r="BH280" s="22">
        <f>BH20+BH150</f>
        <v/>
      </c>
      <c r="BI280" s="22">
        <f>BI20+BI150</f>
        <v/>
      </c>
      <c r="BJ280" s="22">
        <f>BJ20+BJ150</f>
        <v/>
      </c>
      <c r="BK280" s="22">
        <f>BK20+BK150</f>
        <v/>
      </c>
      <c r="BL280" s="22">
        <f>BL20+BL150</f>
        <v/>
      </c>
      <c r="BM280" s="22">
        <f>BM20+BM150</f>
        <v/>
      </c>
      <c r="BN280" s="22">
        <f>BN20+BN150</f>
        <v/>
      </c>
    </row>
    <row r="281">
      <c r="B281" s="5" t="inlineStr">
        <is>
          <t>gso</t>
        </is>
      </c>
      <c r="C281" s="5" t="inlineStr">
        <is>
          <t>ral</t>
        </is>
      </c>
      <c r="D281" s="5" t="inlineStr">
        <is>
          <t>Post-tax price | Rail | Gasoline</t>
        </is>
      </c>
      <c r="E281" s="5" t="inlineStr">
        <is>
          <t>$/GJ</t>
        </is>
      </c>
      <c r="F281" s="5" t="inlineStr">
        <is>
          <t>Calculation</t>
        </is>
      </c>
      <c r="G281" s="19" t="inlineStr"/>
      <c r="H281" s="19" t="inlineStr">
        <is>
          <t>mit.ptp.gso.ral</t>
        </is>
      </c>
      <c r="J281" s="5">
        <f>INDEX(Mapping!$C$5:$C$20,MATCH($C281,Mapping!$A$5:$A$20,0))</f>
        <v/>
      </c>
      <c r="K281" s="5">
        <f>INDEX(Mapping!$D$5:$D$20,MATCH($C281,Mapping!$A$5:$A$20,0))</f>
        <v/>
      </c>
      <c r="L281" s="5">
        <f>INDEX(Mapping!$C$24:$C$31,MATCH($B281,Mapping!$A$24:$A$31,0))</f>
        <v/>
      </c>
      <c r="M281" s="5">
        <f>INDEX(Mapping!$D$24:$D$31,MATCH($B281,Mapping!$A$24:$A$31,0))</f>
        <v/>
      </c>
      <c r="N281" s="5">
        <f>$B281&amp;"."&amp;IF(INDEX(Mapping!$E$24:$E$31,MATCH($B281,Mapping!$A$24:$A$31,0))="sub",INDEX(Mapping!$F$5:$F$20,MATCH($C281,Mapping!$A$5:$A$20,0)),"all")</f>
        <v/>
      </c>
      <c r="O281" s="5">
        <f>INDEX(Mapping!$E$5:$E$20,MATCH($C281,Mapping!$A$5:$A$20,0))</f>
        <v/>
      </c>
      <c r="P281" s="5">
        <f>INDEX(Mapping!$G$24:$G$31,MATCH($B281,Mapping!$A$24:$A$31,0))</f>
        <v/>
      </c>
      <c r="Q281" s="21" t="n"/>
      <c r="R281" s="21" t="n"/>
      <c r="S281" s="21" t="n"/>
      <c r="T281" s="21" t="n"/>
      <c r="U281" s="21" t="n"/>
      <c r="V281" s="21" t="n"/>
      <c r="W281" s="21" t="n"/>
      <c r="X281" s="21" t="n"/>
      <c r="Y281" s="21" t="n"/>
      <c r="Z281" s="21" t="n"/>
      <c r="AA281" s="21" t="n"/>
      <c r="AB281" s="21" t="n"/>
      <c r="AC281" s="21" t="n"/>
      <c r="AD281" s="21" t="n"/>
      <c r="AE281" s="21" t="n"/>
      <c r="AF281" s="21" t="n"/>
      <c r="AG281" s="21" t="n"/>
      <c r="AH281" s="21" t="n"/>
      <c r="AI281" s="21" t="n"/>
      <c r="AJ281" s="21" t="n"/>
      <c r="AL281" s="23">
        <f>AL21+AL151</f>
        <v/>
      </c>
      <c r="AM281" s="22">
        <f>AM21+AM151</f>
        <v/>
      </c>
      <c r="AN281" s="22">
        <f>AN21+AN151</f>
        <v/>
      </c>
      <c r="AO281" s="22">
        <f>AO21+AO151</f>
        <v/>
      </c>
      <c r="AP281" s="22">
        <f>AP21+AP151</f>
        <v/>
      </c>
      <c r="AQ281" s="22">
        <f>AQ21+AQ151</f>
        <v/>
      </c>
      <c r="AR281" s="22">
        <f>AR21+AR151</f>
        <v/>
      </c>
      <c r="AS281" s="22">
        <f>AS21+AS151</f>
        <v/>
      </c>
      <c r="AT281" s="22">
        <f>AT21+AT151</f>
        <v/>
      </c>
      <c r="AU281" s="22">
        <f>AU21+AU151</f>
        <v/>
      </c>
      <c r="AV281" s="22">
        <f>AV21+AV151</f>
        <v/>
      </c>
      <c r="AW281" s="22">
        <f>AW21+AW151</f>
        <v/>
      </c>
      <c r="AX281" s="22">
        <f>AX21+AX151</f>
        <v/>
      </c>
      <c r="AY281" s="22">
        <f>AY21+AY151</f>
        <v/>
      </c>
      <c r="BA281" s="23">
        <f>BA21+BA151</f>
        <v/>
      </c>
      <c r="BB281" s="22">
        <f>BB21+BB151</f>
        <v/>
      </c>
      <c r="BC281" s="22">
        <f>BC21+BC151</f>
        <v/>
      </c>
      <c r="BD281" s="22">
        <f>BD21+BD151</f>
        <v/>
      </c>
      <c r="BE281" s="22">
        <f>BE21+BE151</f>
        <v/>
      </c>
      <c r="BF281" s="22">
        <f>BF21+BF151</f>
        <v/>
      </c>
      <c r="BG281" s="22">
        <f>BG21+BG151</f>
        <v/>
      </c>
      <c r="BH281" s="22">
        <f>BH21+BH151</f>
        <v/>
      </c>
      <c r="BI281" s="22">
        <f>BI21+BI151</f>
        <v/>
      </c>
      <c r="BJ281" s="22">
        <f>BJ21+BJ151</f>
        <v/>
      </c>
      <c r="BK281" s="22">
        <f>BK21+BK151</f>
        <v/>
      </c>
      <c r="BL281" s="22">
        <f>BL21+BL151</f>
        <v/>
      </c>
      <c r="BM281" s="22">
        <f>BM21+BM151</f>
        <v/>
      </c>
      <c r="BN281" s="22">
        <f>BN21+BN151</f>
        <v/>
      </c>
    </row>
    <row r="282">
      <c r="B282" s="5" t="inlineStr">
        <is>
          <t>die</t>
        </is>
      </c>
      <c r="C282" s="5" t="inlineStr">
        <is>
          <t>ral</t>
        </is>
      </c>
      <c r="D282" s="5" t="inlineStr">
        <is>
          <t>Post-tax price | Rail | Diesel</t>
        </is>
      </c>
      <c r="E282" s="5" t="inlineStr">
        <is>
          <t>$/GJ</t>
        </is>
      </c>
      <c r="F282" s="5" t="inlineStr">
        <is>
          <t>Calculation</t>
        </is>
      </c>
      <c r="G282" s="19" t="inlineStr"/>
      <c r="H282" s="19" t="inlineStr">
        <is>
          <t>mit.ptp.die.ral</t>
        </is>
      </c>
      <c r="J282" s="5">
        <f>INDEX(Mapping!$C$5:$C$20,MATCH($C282,Mapping!$A$5:$A$20,0))</f>
        <v/>
      </c>
      <c r="K282" s="5">
        <f>INDEX(Mapping!$D$5:$D$20,MATCH($C282,Mapping!$A$5:$A$20,0))</f>
        <v/>
      </c>
      <c r="L282" s="5">
        <f>INDEX(Mapping!$C$24:$C$31,MATCH($B282,Mapping!$A$24:$A$31,0))</f>
        <v/>
      </c>
      <c r="M282" s="5">
        <f>INDEX(Mapping!$D$24:$D$31,MATCH($B282,Mapping!$A$24:$A$31,0))</f>
        <v/>
      </c>
      <c r="N282" s="5">
        <f>$B282&amp;"."&amp;IF(INDEX(Mapping!$E$24:$E$31,MATCH($B282,Mapping!$A$24:$A$31,0))="sub",INDEX(Mapping!$F$5:$F$20,MATCH($C282,Mapping!$A$5:$A$20,0)),"all")</f>
        <v/>
      </c>
      <c r="O282" s="5">
        <f>INDEX(Mapping!$E$5:$E$20,MATCH($C282,Mapping!$A$5:$A$20,0))</f>
        <v/>
      </c>
      <c r="P282" s="5">
        <f>INDEX(Mapping!$G$24:$G$31,MATCH($B282,Mapping!$A$24:$A$31,0))</f>
        <v/>
      </c>
      <c r="Q282" s="21" t="n"/>
      <c r="R282" s="21" t="n"/>
      <c r="S282" s="21" t="n"/>
      <c r="T282" s="21" t="n"/>
      <c r="U282" s="21" t="n"/>
      <c r="V282" s="21" t="n"/>
      <c r="W282" s="21" t="n"/>
      <c r="X282" s="21" t="n"/>
      <c r="Y282" s="21" t="n"/>
      <c r="Z282" s="21" t="n"/>
      <c r="AA282" s="21" t="n"/>
      <c r="AB282" s="21" t="n"/>
      <c r="AC282" s="21" t="n"/>
      <c r="AD282" s="21" t="n"/>
      <c r="AE282" s="21" t="n"/>
      <c r="AF282" s="21" t="n"/>
      <c r="AG282" s="21" t="n"/>
      <c r="AH282" s="21" t="n"/>
      <c r="AI282" s="21" t="n"/>
      <c r="AJ282" s="21" t="n"/>
      <c r="AL282" s="23">
        <f>AL22+AL152</f>
        <v/>
      </c>
      <c r="AM282" s="22">
        <f>AM22+AM152</f>
        <v/>
      </c>
      <c r="AN282" s="22">
        <f>AN22+AN152</f>
        <v/>
      </c>
      <c r="AO282" s="22">
        <f>AO22+AO152</f>
        <v/>
      </c>
      <c r="AP282" s="22">
        <f>AP22+AP152</f>
        <v/>
      </c>
      <c r="AQ282" s="22">
        <f>AQ22+AQ152</f>
        <v/>
      </c>
      <c r="AR282" s="22">
        <f>AR22+AR152</f>
        <v/>
      </c>
      <c r="AS282" s="22">
        <f>AS22+AS152</f>
        <v/>
      </c>
      <c r="AT282" s="22">
        <f>AT22+AT152</f>
        <v/>
      </c>
      <c r="AU282" s="22">
        <f>AU22+AU152</f>
        <v/>
      </c>
      <c r="AV282" s="22">
        <f>AV22+AV152</f>
        <v/>
      </c>
      <c r="AW282" s="22">
        <f>AW22+AW152</f>
        <v/>
      </c>
      <c r="AX282" s="22">
        <f>AX22+AX152</f>
        <v/>
      </c>
      <c r="AY282" s="22">
        <f>AY22+AY152</f>
        <v/>
      </c>
      <c r="BA282" s="23">
        <f>BA22+BA152</f>
        <v/>
      </c>
      <c r="BB282" s="22">
        <f>BB22+BB152</f>
        <v/>
      </c>
      <c r="BC282" s="22">
        <f>BC22+BC152</f>
        <v/>
      </c>
      <c r="BD282" s="22">
        <f>BD22+BD152</f>
        <v/>
      </c>
      <c r="BE282" s="22">
        <f>BE22+BE152</f>
        <v/>
      </c>
      <c r="BF282" s="22">
        <f>BF22+BF152</f>
        <v/>
      </c>
      <c r="BG282" s="22">
        <f>BG22+BG152</f>
        <v/>
      </c>
      <c r="BH282" s="22">
        <f>BH22+BH152</f>
        <v/>
      </c>
      <c r="BI282" s="22">
        <f>BI22+BI152</f>
        <v/>
      </c>
      <c r="BJ282" s="22">
        <f>BJ22+BJ152</f>
        <v/>
      </c>
      <c r="BK282" s="22">
        <f>BK22+BK152</f>
        <v/>
      </c>
      <c r="BL282" s="22">
        <f>BL22+BL152</f>
        <v/>
      </c>
      <c r="BM282" s="22">
        <f>BM22+BM152</f>
        <v/>
      </c>
      <c r="BN282" s="22">
        <f>BN22+BN152</f>
        <v/>
      </c>
    </row>
    <row r="283">
      <c r="B283" s="5" t="inlineStr">
        <is>
          <t>lpg</t>
        </is>
      </c>
      <c r="C283" s="5" t="inlineStr">
        <is>
          <t>ral</t>
        </is>
      </c>
      <c r="D283" s="5" t="inlineStr">
        <is>
          <t>Post-tax price | Rail | LPG</t>
        </is>
      </c>
      <c r="E283" s="5" t="inlineStr">
        <is>
          <t>$/GJ</t>
        </is>
      </c>
      <c r="F283" s="5" t="inlineStr">
        <is>
          <t>Calculation</t>
        </is>
      </c>
      <c r="G283" s="19" t="inlineStr"/>
      <c r="H283" s="19" t="inlineStr">
        <is>
          <t>mit.ptp.lpg.ral</t>
        </is>
      </c>
      <c r="J283" s="5">
        <f>INDEX(Mapping!$C$5:$C$20,MATCH($C283,Mapping!$A$5:$A$20,0))</f>
        <v/>
      </c>
      <c r="K283" s="5">
        <f>INDEX(Mapping!$D$5:$D$20,MATCH($C283,Mapping!$A$5:$A$20,0))</f>
        <v/>
      </c>
      <c r="L283" s="5">
        <f>INDEX(Mapping!$C$24:$C$31,MATCH($B283,Mapping!$A$24:$A$31,0))</f>
        <v/>
      </c>
      <c r="M283" s="5">
        <f>INDEX(Mapping!$D$24:$D$31,MATCH($B283,Mapping!$A$24:$A$31,0))</f>
        <v/>
      </c>
      <c r="N283" s="5">
        <f>$B283&amp;"."&amp;IF(INDEX(Mapping!$E$24:$E$31,MATCH($B283,Mapping!$A$24:$A$31,0))="sub",INDEX(Mapping!$F$5:$F$20,MATCH($C283,Mapping!$A$5:$A$20,0)),"all")</f>
        <v/>
      </c>
      <c r="O283" s="5">
        <f>INDEX(Mapping!$E$5:$E$20,MATCH($C283,Mapping!$A$5:$A$20,0))</f>
        <v/>
      </c>
      <c r="P283" s="5">
        <f>INDEX(Mapping!$G$24:$G$31,MATCH($B283,Mapping!$A$24:$A$31,0))</f>
        <v/>
      </c>
      <c r="Q283" s="21" t="n"/>
      <c r="R283" s="21" t="n"/>
      <c r="S283" s="21" t="n"/>
      <c r="T283" s="21" t="n"/>
      <c r="U283" s="21" t="n"/>
      <c r="V283" s="21" t="n"/>
      <c r="W283" s="21" t="n"/>
      <c r="X283" s="21" t="n"/>
      <c r="Y283" s="21" t="n"/>
      <c r="Z283" s="21" t="n"/>
      <c r="AA283" s="21" t="n"/>
      <c r="AB283" s="21" t="n"/>
      <c r="AC283" s="21" t="n"/>
      <c r="AD283" s="21" t="n"/>
      <c r="AE283" s="21" t="n"/>
      <c r="AF283" s="21" t="n"/>
      <c r="AG283" s="21" t="n"/>
      <c r="AH283" s="21" t="n"/>
      <c r="AI283" s="21" t="n"/>
      <c r="AJ283" s="21" t="n"/>
      <c r="AL283" s="23">
        <f>AL23+AL153</f>
        <v/>
      </c>
      <c r="AM283" s="22">
        <f>AM23+AM153</f>
        <v/>
      </c>
      <c r="AN283" s="22">
        <f>AN23+AN153</f>
        <v/>
      </c>
      <c r="AO283" s="22">
        <f>AO23+AO153</f>
        <v/>
      </c>
      <c r="AP283" s="22">
        <f>AP23+AP153</f>
        <v/>
      </c>
      <c r="AQ283" s="22">
        <f>AQ23+AQ153</f>
        <v/>
      </c>
      <c r="AR283" s="22">
        <f>AR23+AR153</f>
        <v/>
      </c>
      <c r="AS283" s="22">
        <f>AS23+AS153</f>
        <v/>
      </c>
      <c r="AT283" s="22">
        <f>AT23+AT153</f>
        <v/>
      </c>
      <c r="AU283" s="22">
        <f>AU23+AU153</f>
        <v/>
      </c>
      <c r="AV283" s="22">
        <f>AV23+AV153</f>
        <v/>
      </c>
      <c r="AW283" s="22">
        <f>AW23+AW153</f>
        <v/>
      </c>
      <c r="AX283" s="22">
        <f>AX23+AX153</f>
        <v/>
      </c>
      <c r="AY283" s="22">
        <f>AY23+AY153</f>
        <v/>
      </c>
      <c r="BA283" s="23">
        <f>BA23+BA153</f>
        <v/>
      </c>
      <c r="BB283" s="22">
        <f>BB23+BB153</f>
        <v/>
      </c>
      <c r="BC283" s="22">
        <f>BC23+BC153</f>
        <v/>
      </c>
      <c r="BD283" s="22">
        <f>BD23+BD153</f>
        <v/>
      </c>
      <c r="BE283" s="22">
        <f>BE23+BE153</f>
        <v/>
      </c>
      <c r="BF283" s="22">
        <f>BF23+BF153</f>
        <v/>
      </c>
      <c r="BG283" s="22">
        <f>BG23+BG153</f>
        <v/>
      </c>
      <c r="BH283" s="22">
        <f>BH23+BH153</f>
        <v/>
      </c>
      <c r="BI283" s="22">
        <f>BI23+BI153</f>
        <v/>
      </c>
      <c r="BJ283" s="22">
        <f>BJ23+BJ153</f>
        <v/>
      </c>
      <c r="BK283" s="22">
        <f>BK23+BK153</f>
        <v/>
      </c>
      <c r="BL283" s="22">
        <f>BL23+BL153</f>
        <v/>
      </c>
      <c r="BM283" s="22">
        <f>BM23+BM153</f>
        <v/>
      </c>
      <c r="BN283" s="22">
        <f>BN23+BN153</f>
        <v/>
      </c>
    </row>
    <row r="284">
      <c r="B284" s="5" t="inlineStr">
        <is>
          <t>ker</t>
        </is>
      </c>
      <c r="C284" s="5" t="inlineStr">
        <is>
          <t>ral</t>
        </is>
      </c>
      <c r="D284" s="5" t="inlineStr">
        <is>
          <t>Post-tax price | Rail | Kerosene</t>
        </is>
      </c>
      <c r="E284" s="5" t="inlineStr">
        <is>
          <t>$/GJ</t>
        </is>
      </c>
      <c r="F284" s="5" t="inlineStr">
        <is>
          <t>Calculation</t>
        </is>
      </c>
      <c r="G284" s="19" t="inlineStr"/>
      <c r="H284" s="19" t="inlineStr">
        <is>
          <t>mit.ptp.ker.ral</t>
        </is>
      </c>
      <c r="J284" s="5">
        <f>INDEX(Mapping!$C$5:$C$20,MATCH($C284,Mapping!$A$5:$A$20,0))</f>
        <v/>
      </c>
      <c r="K284" s="5">
        <f>INDEX(Mapping!$D$5:$D$20,MATCH($C284,Mapping!$A$5:$A$20,0))</f>
        <v/>
      </c>
      <c r="L284" s="5">
        <f>INDEX(Mapping!$C$24:$C$31,MATCH($B284,Mapping!$A$24:$A$31,0))</f>
        <v/>
      </c>
      <c r="M284" s="5">
        <f>INDEX(Mapping!$D$24:$D$31,MATCH($B284,Mapping!$A$24:$A$31,0))</f>
        <v/>
      </c>
      <c r="N284" s="5">
        <f>$B284&amp;"."&amp;IF(INDEX(Mapping!$E$24:$E$31,MATCH($B284,Mapping!$A$24:$A$31,0))="sub",INDEX(Mapping!$F$5:$F$20,MATCH($C284,Mapping!$A$5:$A$20,0)),"all")</f>
        <v/>
      </c>
      <c r="O284" s="5">
        <f>INDEX(Mapping!$E$5:$E$20,MATCH($C284,Mapping!$A$5:$A$20,0))</f>
        <v/>
      </c>
      <c r="P284" s="5">
        <f>INDEX(Mapping!$G$24:$G$31,MATCH($B284,Mapping!$A$24:$A$31,0))</f>
        <v/>
      </c>
      <c r="Q284" s="21" t="n"/>
      <c r="R284" s="21" t="n"/>
      <c r="S284" s="21" t="n"/>
      <c r="T284" s="21" t="n"/>
      <c r="U284" s="21" t="n"/>
      <c r="V284" s="21" t="n"/>
      <c r="W284" s="21" t="n"/>
      <c r="X284" s="21" t="n"/>
      <c r="Y284" s="21" t="n"/>
      <c r="Z284" s="21" t="n"/>
      <c r="AA284" s="21" t="n"/>
      <c r="AB284" s="21" t="n"/>
      <c r="AC284" s="21" t="n"/>
      <c r="AD284" s="21" t="n"/>
      <c r="AE284" s="21" t="n"/>
      <c r="AF284" s="21" t="n"/>
      <c r="AG284" s="21" t="n"/>
      <c r="AH284" s="21" t="n"/>
      <c r="AI284" s="21" t="n"/>
      <c r="AJ284" s="21" t="n"/>
      <c r="AL284" s="23">
        <f>AL24+AL154</f>
        <v/>
      </c>
      <c r="AM284" s="22">
        <f>AM24+AM154</f>
        <v/>
      </c>
      <c r="AN284" s="22">
        <f>AN24+AN154</f>
        <v/>
      </c>
      <c r="AO284" s="22">
        <f>AO24+AO154</f>
        <v/>
      </c>
      <c r="AP284" s="22">
        <f>AP24+AP154</f>
        <v/>
      </c>
      <c r="AQ284" s="22">
        <f>AQ24+AQ154</f>
        <v/>
      </c>
      <c r="AR284" s="22">
        <f>AR24+AR154</f>
        <v/>
      </c>
      <c r="AS284" s="22">
        <f>AS24+AS154</f>
        <v/>
      </c>
      <c r="AT284" s="22">
        <f>AT24+AT154</f>
        <v/>
      </c>
      <c r="AU284" s="22">
        <f>AU24+AU154</f>
        <v/>
      </c>
      <c r="AV284" s="22">
        <f>AV24+AV154</f>
        <v/>
      </c>
      <c r="AW284" s="22">
        <f>AW24+AW154</f>
        <v/>
      </c>
      <c r="AX284" s="22">
        <f>AX24+AX154</f>
        <v/>
      </c>
      <c r="AY284" s="22">
        <f>AY24+AY154</f>
        <v/>
      </c>
      <c r="BA284" s="23">
        <f>BA24+BA154</f>
        <v/>
      </c>
      <c r="BB284" s="22">
        <f>BB24+BB154</f>
        <v/>
      </c>
      <c r="BC284" s="22">
        <f>BC24+BC154</f>
        <v/>
      </c>
      <c r="BD284" s="22">
        <f>BD24+BD154</f>
        <v/>
      </c>
      <c r="BE284" s="22">
        <f>BE24+BE154</f>
        <v/>
      </c>
      <c r="BF284" s="22">
        <f>BF24+BF154</f>
        <v/>
      </c>
      <c r="BG284" s="22">
        <f>BG24+BG154</f>
        <v/>
      </c>
      <c r="BH284" s="22">
        <f>BH24+BH154</f>
        <v/>
      </c>
      <c r="BI284" s="22">
        <f>BI24+BI154</f>
        <v/>
      </c>
      <c r="BJ284" s="22">
        <f>BJ24+BJ154</f>
        <v/>
      </c>
      <c r="BK284" s="22">
        <f>BK24+BK154</f>
        <v/>
      </c>
      <c r="BL284" s="22">
        <f>BL24+BL154</f>
        <v/>
      </c>
      <c r="BM284" s="22">
        <f>BM24+BM154</f>
        <v/>
      </c>
      <c r="BN284" s="22">
        <f>BN24+BN154</f>
        <v/>
      </c>
    </row>
    <row r="285">
      <c r="B285" s="5" t="inlineStr">
        <is>
          <t>oop</t>
        </is>
      </c>
      <c r="C285" s="5" t="inlineStr">
        <is>
          <t>ral</t>
        </is>
      </c>
      <c r="D285" s="5" t="inlineStr">
        <is>
          <t>Post-tax price | Rail | Other oil products</t>
        </is>
      </c>
      <c r="E285" s="5" t="inlineStr">
        <is>
          <t>$/GJ</t>
        </is>
      </c>
      <c r="F285" s="5" t="inlineStr">
        <is>
          <t>Calculation</t>
        </is>
      </c>
      <c r="G285" s="19" t="inlineStr"/>
      <c r="H285" s="19" t="inlineStr">
        <is>
          <t>mit.ptp.oop.ral</t>
        </is>
      </c>
      <c r="J285" s="5">
        <f>INDEX(Mapping!$C$5:$C$20,MATCH($C285,Mapping!$A$5:$A$20,0))</f>
        <v/>
      </c>
      <c r="K285" s="5">
        <f>INDEX(Mapping!$D$5:$D$20,MATCH($C285,Mapping!$A$5:$A$20,0))</f>
        <v/>
      </c>
      <c r="L285" s="5">
        <f>INDEX(Mapping!$C$24:$C$31,MATCH($B285,Mapping!$A$24:$A$31,0))</f>
        <v/>
      </c>
      <c r="M285" s="5">
        <f>INDEX(Mapping!$D$24:$D$31,MATCH($B285,Mapping!$A$24:$A$31,0))</f>
        <v/>
      </c>
      <c r="N285" s="5">
        <f>$B285&amp;"."&amp;IF(INDEX(Mapping!$E$24:$E$31,MATCH($B285,Mapping!$A$24:$A$31,0))="sub",INDEX(Mapping!$F$5:$F$20,MATCH($C285,Mapping!$A$5:$A$20,0)),"all")</f>
        <v/>
      </c>
      <c r="O285" s="5">
        <f>INDEX(Mapping!$E$5:$E$20,MATCH($C285,Mapping!$A$5:$A$20,0))</f>
        <v/>
      </c>
      <c r="P285" s="5">
        <f>INDEX(Mapping!$G$24:$G$31,MATCH($B285,Mapping!$A$24:$A$31,0))</f>
        <v/>
      </c>
      <c r="Q285" s="21" t="n"/>
      <c r="R285" s="21" t="n"/>
      <c r="S285" s="21" t="n"/>
      <c r="T285" s="21" t="n"/>
      <c r="U285" s="21" t="n"/>
      <c r="V285" s="21" t="n"/>
      <c r="W285" s="21" t="n"/>
      <c r="X285" s="21" t="n"/>
      <c r="Y285" s="21" t="n"/>
      <c r="Z285" s="21" t="n"/>
      <c r="AA285" s="21" t="n"/>
      <c r="AB285" s="21" t="n"/>
      <c r="AC285" s="21" t="n"/>
      <c r="AD285" s="21" t="n"/>
      <c r="AE285" s="21" t="n"/>
      <c r="AF285" s="21" t="n"/>
      <c r="AG285" s="21" t="n"/>
      <c r="AH285" s="21" t="n"/>
      <c r="AI285" s="21" t="n"/>
      <c r="AJ285" s="21" t="n"/>
      <c r="AL285" s="23">
        <f>AL25+AL155</f>
        <v/>
      </c>
      <c r="AM285" s="22">
        <f>AM25+AM155</f>
        <v/>
      </c>
      <c r="AN285" s="22">
        <f>AN25+AN155</f>
        <v/>
      </c>
      <c r="AO285" s="22">
        <f>AO25+AO155</f>
        <v/>
      </c>
      <c r="AP285" s="22">
        <f>AP25+AP155</f>
        <v/>
      </c>
      <c r="AQ285" s="22">
        <f>AQ25+AQ155</f>
        <v/>
      </c>
      <c r="AR285" s="22">
        <f>AR25+AR155</f>
        <v/>
      </c>
      <c r="AS285" s="22">
        <f>AS25+AS155</f>
        <v/>
      </c>
      <c r="AT285" s="22">
        <f>AT25+AT155</f>
        <v/>
      </c>
      <c r="AU285" s="22">
        <f>AU25+AU155</f>
        <v/>
      </c>
      <c r="AV285" s="22">
        <f>AV25+AV155</f>
        <v/>
      </c>
      <c r="AW285" s="22">
        <f>AW25+AW155</f>
        <v/>
      </c>
      <c r="AX285" s="22">
        <f>AX25+AX155</f>
        <v/>
      </c>
      <c r="AY285" s="22">
        <f>AY25+AY155</f>
        <v/>
      </c>
      <c r="BA285" s="23">
        <f>BA25+BA155</f>
        <v/>
      </c>
      <c r="BB285" s="22">
        <f>BB25+BB155</f>
        <v/>
      </c>
      <c r="BC285" s="22">
        <f>BC25+BC155</f>
        <v/>
      </c>
      <c r="BD285" s="22">
        <f>BD25+BD155</f>
        <v/>
      </c>
      <c r="BE285" s="22">
        <f>BE25+BE155</f>
        <v/>
      </c>
      <c r="BF285" s="22">
        <f>BF25+BF155</f>
        <v/>
      </c>
      <c r="BG285" s="22">
        <f>BG25+BG155</f>
        <v/>
      </c>
      <c r="BH285" s="22">
        <f>BH25+BH155</f>
        <v/>
      </c>
      <c r="BI285" s="22">
        <f>BI25+BI155</f>
        <v/>
      </c>
      <c r="BJ285" s="22">
        <f>BJ25+BJ155</f>
        <v/>
      </c>
      <c r="BK285" s="22">
        <f>BK25+BK155</f>
        <v/>
      </c>
      <c r="BL285" s="22">
        <f>BL25+BL155</f>
        <v/>
      </c>
      <c r="BM285" s="22">
        <f>BM25+BM155</f>
        <v/>
      </c>
      <c r="BN285" s="22">
        <f>BN25+BN155</f>
        <v/>
      </c>
    </row>
    <row r="286">
      <c r="B286" s="5" t="inlineStr">
        <is>
          <t>bio</t>
        </is>
      </c>
      <c r="C286" s="5" t="inlineStr">
        <is>
          <t>ral</t>
        </is>
      </c>
      <c r="D286" s="5" t="inlineStr">
        <is>
          <t>Post-tax price | Rail | Biomass</t>
        </is>
      </c>
      <c r="E286" s="5" t="inlineStr">
        <is>
          <t>$/GJ</t>
        </is>
      </c>
      <c r="F286" s="5" t="inlineStr">
        <is>
          <t>Calculation</t>
        </is>
      </c>
      <c r="G286" s="19" t="inlineStr"/>
      <c r="H286" s="19" t="inlineStr">
        <is>
          <t>mit.ptp.bio.ral</t>
        </is>
      </c>
      <c r="J286" s="5">
        <f>INDEX(Mapping!$C$5:$C$20,MATCH($C286,Mapping!$A$5:$A$20,0))</f>
        <v/>
      </c>
      <c r="K286" s="5">
        <f>INDEX(Mapping!$D$5:$D$20,MATCH($C286,Mapping!$A$5:$A$20,0))</f>
        <v/>
      </c>
      <c r="L286" s="5">
        <f>INDEX(Mapping!$C$24:$C$31,MATCH($B286,Mapping!$A$24:$A$31,0))</f>
        <v/>
      </c>
      <c r="M286" s="5">
        <f>INDEX(Mapping!$D$24:$D$31,MATCH($B286,Mapping!$A$24:$A$31,0))</f>
        <v/>
      </c>
      <c r="N286" s="5">
        <f>$B286&amp;"."&amp;IF(INDEX(Mapping!$E$24:$E$31,MATCH($B286,Mapping!$A$24:$A$31,0))="sub",INDEX(Mapping!$F$5:$F$20,MATCH($C286,Mapping!$A$5:$A$20,0)),"all")</f>
        <v/>
      </c>
      <c r="O286" s="5">
        <f>INDEX(Mapping!$E$5:$E$20,MATCH($C286,Mapping!$A$5:$A$20,0))</f>
        <v/>
      </c>
      <c r="P286" s="5">
        <f>INDEX(Mapping!$G$24:$G$31,MATCH($B286,Mapping!$A$24:$A$31,0))</f>
        <v/>
      </c>
      <c r="Q286" s="21" t="n"/>
      <c r="R286" s="21" t="n"/>
      <c r="S286" s="21" t="n"/>
      <c r="T286" s="21" t="n"/>
      <c r="U286" s="21" t="n"/>
      <c r="V286" s="21" t="n"/>
      <c r="W286" s="21" t="n"/>
      <c r="X286" s="21" t="n"/>
      <c r="Y286" s="21" t="n"/>
      <c r="Z286" s="21" t="n"/>
      <c r="AA286" s="21" t="n"/>
      <c r="AB286" s="21" t="n"/>
      <c r="AC286" s="21" t="n"/>
      <c r="AD286" s="21" t="n"/>
      <c r="AE286" s="21" t="n"/>
      <c r="AF286" s="21" t="n"/>
      <c r="AG286" s="21" t="n"/>
      <c r="AH286" s="21" t="n"/>
      <c r="AI286" s="21" t="n"/>
      <c r="AJ286" s="21" t="n"/>
      <c r="AL286" s="23">
        <f>AL26+AL156</f>
        <v/>
      </c>
      <c r="AM286" s="22">
        <f>AM26+AM156</f>
        <v/>
      </c>
      <c r="AN286" s="22">
        <f>AN26+AN156</f>
        <v/>
      </c>
      <c r="AO286" s="22">
        <f>AO26+AO156</f>
        <v/>
      </c>
      <c r="AP286" s="22">
        <f>AP26+AP156</f>
        <v/>
      </c>
      <c r="AQ286" s="22">
        <f>AQ26+AQ156</f>
        <v/>
      </c>
      <c r="AR286" s="22">
        <f>AR26+AR156</f>
        <v/>
      </c>
      <c r="AS286" s="22">
        <f>AS26+AS156</f>
        <v/>
      </c>
      <c r="AT286" s="22">
        <f>AT26+AT156</f>
        <v/>
      </c>
      <c r="AU286" s="22">
        <f>AU26+AU156</f>
        <v/>
      </c>
      <c r="AV286" s="22">
        <f>AV26+AV156</f>
        <v/>
      </c>
      <c r="AW286" s="22">
        <f>AW26+AW156</f>
        <v/>
      </c>
      <c r="AX286" s="22">
        <f>AX26+AX156</f>
        <v/>
      </c>
      <c r="AY286" s="22">
        <f>AY26+AY156</f>
        <v/>
      </c>
      <c r="BA286" s="23">
        <f>BA26+BA156</f>
        <v/>
      </c>
      <c r="BB286" s="22">
        <f>BB26+BB156</f>
        <v/>
      </c>
      <c r="BC286" s="22">
        <f>BC26+BC156</f>
        <v/>
      </c>
      <c r="BD286" s="22">
        <f>BD26+BD156</f>
        <v/>
      </c>
      <c r="BE286" s="22">
        <f>BE26+BE156</f>
        <v/>
      </c>
      <c r="BF286" s="22">
        <f>BF26+BF156</f>
        <v/>
      </c>
      <c r="BG286" s="22">
        <f>BG26+BG156</f>
        <v/>
      </c>
      <c r="BH286" s="22">
        <f>BH26+BH156</f>
        <v/>
      </c>
      <c r="BI286" s="22">
        <f>BI26+BI156</f>
        <v/>
      </c>
      <c r="BJ286" s="22">
        <f>BJ26+BJ156</f>
        <v/>
      </c>
      <c r="BK286" s="22">
        <f>BK26+BK156</f>
        <v/>
      </c>
      <c r="BL286" s="22">
        <f>BL26+BL156</f>
        <v/>
      </c>
      <c r="BM286" s="22">
        <f>BM26+BM156</f>
        <v/>
      </c>
      <c r="BN286" s="22">
        <f>BN26+BN156</f>
        <v/>
      </c>
    </row>
    <row r="287">
      <c r="B287" s="5" t="inlineStr">
        <is>
          <t>coa</t>
        </is>
      </c>
      <c r="C287" s="5" t="inlineStr">
        <is>
          <t>avi</t>
        </is>
      </c>
      <c r="D287" s="5" t="inlineStr">
        <is>
          <t>Post-tax price | Domestic aviation | Coal</t>
        </is>
      </c>
      <c r="E287" s="5" t="inlineStr">
        <is>
          <t>$/GJ</t>
        </is>
      </c>
      <c r="F287" s="5" t="inlineStr">
        <is>
          <t>Calculation</t>
        </is>
      </c>
      <c r="G287" s="19" t="inlineStr"/>
      <c r="H287" s="19" t="inlineStr">
        <is>
          <t>mit.ptp.coa.avi</t>
        </is>
      </c>
      <c r="J287" s="5">
        <f>INDEX(Mapping!$C$5:$C$20,MATCH($C287,Mapping!$A$5:$A$20,0))</f>
        <v/>
      </c>
      <c r="K287" s="5">
        <f>INDEX(Mapping!$D$5:$D$20,MATCH($C287,Mapping!$A$5:$A$20,0))</f>
        <v/>
      </c>
      <c r="L287" s="5">
        <f>INDEX(Mapping!$C$24:$C$31,MATCH($B287,Mapping!$A$24:$A$31,0))</f>
        <v/>
      </c>
      <c r="M287" s="5">
        <f>INDEX(Mapping!$D$24:$D$31,MATCH($B287,Mapping!$A$24:$A$31,0))</f>
        <v/>
      </c>
      <c r="N287" s="5">
        <f>$B287&amp;"."&amp;IF(INDEX(Mapping!$E$24:$E$31,MATCH($B287,Mapping!$A$24:$A$31,0))="sub",INDEX(Mapping!$F$5:$F$20,MATCH($C287,Mapping!$A$5:$A$20,0)),"all")</f>
        <v/>
      </c>
      <c r="O287" s="5">
        <f>INDEX(Mapping!$E$5:$E$20,MATCH($C287,Mapping!$A$5:$A$20,0))</f>
        <v/>
      </c>
      <c r="P287" s="5">
        <f>INDEX(Mapping!$G$24:$G$31,MATCH($B287,Mapping!$A$24:$A$31,0))</f>
        <v/>
      </c>
      <c r="Q287" s="21" t="n"/>
      <c r="R287" s="21" t="n"/>
      <c r="S287" s="21" t="n"/>
      <c r="T287" s="21" t="n"/>
      <c r="U287" s="21" t="n"/>
      <c r="V287" s="21" t="n"/>
      <c r="W287" s="21" t="n"/>
      <c r="X287" s="21" t="n"/>
      <c r="Y287" s="21" t="n"/>
      <c r="Z287" s="21" t="n"/>
      <c r="AA287" s="21" t="n"/>
      <c r="AB287" s="21" t="n"/>
      <c r="AC287" s="21" t="n"/>
      <c r="AD287" s="21" t="n"/>
      <c r="AE287" s="21" t="n"/>
      <c r="AF287" s="21" t="n"/>
      <c r="AG287" s="21" t="n"/>
      <c r="AH287" s="21" t="n"/>
      <c r="AI287" s="21" t="n"/>
      <c r="AJ287" s="21" t="n"/>
      <c r="AL287" s="23">
        <f>AL27+AL157</f>
        <v/>
      </c>
      <c r="AM287" s="22">
        <f>AM27+AM157</f>
        <v/>
      </c>
      <c r="AN287" s="22">
        <f>AN27+AN157</f>
        <v/>
      </c>
      <c r="AO287" s="22">
        <f>AO27+AO157</f>
        <v/>
      </c>
      <c r="AP287" s="22">
        <f>AP27+AP157</f>
        <v/>
      </c>
      <c r="AQ287" s="22">
        <f>AQ27+AQ157</f>
        <v/>
      </c>
      <c r="AR287" s="22">
        <f>AR27+AR157</f>
        <v/>
      </c>
      <c r="AS287" s="22">
        <f>AS27+AS157</f>
        <v/>
      </c>
      <c r="AT287" s="22">
        <f>AT27+AT157</f>
        <v/>
      </c>
      <c r="AU287" s="22">
        <f>AU27+AU157</f>
        <v/>
      </c>
      <c r="AV287" s="22">
        <f>AV27+AV157</f>
        <v/>
      </c>
      <c r="AW287" s="22">
        <f>AW27+AW157</f>
        <v/>
      </c>
      <c r="AX287" s="22">
        <f>AX27+AX157</f>
        <v/>
      </c>
      <c r="AY287" s="22">
        <f>AY27+AY157</f>
        <v/>
      </c>
      <c r="BA287" s="23">
        <f>BA27+BA157</f>
        <v/>
      </c>
      <c r="BB287" s="22">
        <f>BB27+BB157</f>
        <v/>
      </c>
      <c r="BC287" s="22">
        <f>BC27+BC157</f>
        <v/>
      </c>
      <c r="BD287" s="22">
        <f>BD27+BD157</f>
        <v/>
      </c>
      <c r="BE287" s="22">
        <f>BE27+BE157</f>
        <v/>
      </c>
      <c r="BF287" s="22">
        <f>BF27+BF157</f>
        <v/>
      </c>
      <c r="BG287" s="22">
        <f>BG27+BG157</f>
        <v/>
      </c>
      <c r="BH287" s="22">
        <f>BH27+BH157</f>
        <v/>
      </c>
      <c r="BI287" s="22">
        <f>BI27+BI157</f>
        <v/>
      </c>
      <c r="BJ287" s="22">
        <f>BJ27+BJ157</f>
        <v/>
      </c>
      <c r="BK287" s="22">
        <f>BK27+BK157</f>
        <v/>
      </c>
      <c r="BL287" s="22">
        <f>BL27+BL157</f>
        <v/>
      </c>
      <c r="BM287" s="22">
        <f>BM27+BM157</f>
        <v/>
      </c>
      <c r="BN287" s="22">
        <f>BN27+BN157</f>
        <v/>
      </c>
    </row>
    <row r="288">
      <c r="B288" s="5" t="inlineStr">
        <is>
          <t>nga</t>
        </is>
      </c>
      <c r="C288" s="5" t="inlineStr">
        <is>
          <t>avi</t>
        </is>
      </c>
      <c r="D288" s="5" t="inlineStr">
        <is>
          <t>Post-tax price | Domestic aviation | Natural gas</t>
        </is>
      </c>
      <c r="E288" s="5" t="inlineStr">
        <is>
          <t>$/GJ</t>
        </is>
      </c>
      <c r="F288" s="5" t="inlineStr">
        <is>
          <t>Calculation</t>
        </is>
      </c>
      <c r="G288" s="19" t="inlineStr"/>
      <c r="H288" s="19" t="inlineStr">
        <is>
          <t>mit.ptp.nga.avi</t>
        </is>
      </c>
      <c r="J288" s="5">
        <f>INDEX(Mapping!$C$5:$C$20,MATCH($C288,Mapping!$A$5:$A$20,0))</f>
        <v/>
      </c>
      <c r="K288" s="5">
        <f>INDEX(Mapping!$D$5:$D$20,MATCH($C288,Mapping!$A$5:$A$20,0))</f>
        <v/>
      </c>
      <c r="L288" s="5">
        <f>INDEX(Mapping!$C$24:$C$31,MATCH($B288,Mapping!$A$24:$A$31,0))</f>
        <v/>
      </c>
      <c r="M288" s="5">
        <f>INDEX(Mapping!$D$24:$D$31,MATCH($B288,Mapping!$A$24:$A$31,0))</f>
        <v/>
      </c>
      <c r="N288" s="5">
        <f>$B288&amp;"."&amp;IF(INDEX(Mapping!$E$24:$E$31,MATCH($B288,Mapping!$A$24:$A$31,0))="sub",INDEX(Mapping!$F$5:$F$20,MATCH($C288,Mapping!$A$5:$A$20,0)),"all")</f>
        <v/>
      </c>
      <c r="O288" s="5">
        <f>INDEX(Mapping!$E$5:$E$20,MATCH($C288,Mapping!$A$5:$A$20,0))</f>
        <v/>
      </c>
      <c r="P288" s="5">
        <f>INDEX(Mapping!$G$24:$G$31,MATCH($B288,Mapping!$A$24:$A$31,0))</f>
        <v/>
      </c>
      <c r="Q288" s="21" t="n"/>
      <c r="R288" s="21" t="n"/>
      <c r="S288" s="21" t="n"/>
      <c r="T288" s="21" t="n"/>
      <c r="U288" s="21" t="n"/>
      <c r="V288" s="21" t="n"/>
      <c r="W288" s="21" t="n"/>
      <c r="X288" s="21" t="n"/>
      <c r="Y288" s="21" t="n"/>
      <c r="Z288" s="21" t="n"/>
      <c r="AA288" s="21" t="n"/>
      <c r="AB288" s="21" t="n"/>
      <c r="AC288" s="21" t="n"/>
      <c r="AD288" s="21" t="n"/>
      <c r="AE288" s="21" t="n"/>
      <c r="AF288" s="21" t="n"/>
      <c r="AG288" s="21" t="n"/>
      <c r="AH288" s="21" t="n"/>
      <c r="AI288" s="21" t="n"/>
      <c r="AJ288" s="21" t="n"/>
      <c r="AL288" s="23">
        <f>AL28+AL158</f>
        <v/>
      </c>
      <c r="AM288" s="22">
        <f>AM28+AM158</f>
        <v/>
      </c>
      <c r="AN288" s="22">
        <f>AN28+AN158</f>
        <v/>
      </c>
      <c r="AO288" s="22">
        <f>AO28+AO158</f>
        <v/>
      </c>
      <c r="AP288" s="22">
        <f>AP28+AP158</f>
        <v/>
      </c>
      <c r="AQ288" s="22">
        <f>AQ28+AQ158</f>
        <v/>
      </c>
      <c r="AR288" s="22">
        <f>AR28+AR158</f>
        <v/>
      </c>
      <c r="AS288" s="22">
        <f>AS28+AS158</f>
        <v/>
      </c>
      <c r="AT288" s="22">
        <f>AT28+AT158</f>
        <v/>
      </c>
      <c r="AU288" s="22">
        <f>AU28+AU158</f>
        <v/>
      </c>
      <c r="AV288" s="22">
        <f>AV28+AV158</f>
        <v/>
      </c>
      <c r="AW288" s="22">
        <f>AW28+AW158</f>
        <v/>
      </c>
      <c r="AX288" s="22">
        <f>AX28+AX158</f>
        <v/>
      </c>
      <c r="AY288" s="22">
        <f>AY28+AY158</f>
        <v/>
      </c>
      <c r="BA288" s="23">
        <f>BA28+BA158</f>
        <v/>
      </c>
      <c r="BB288" s="22">
        <f>BB28+BB158</f>
        <v/>
      </c>
      <c r="BC288" s="22">
        <f>BC28+BC158</f>
        <v/>
      </c>
      <c r="BD288" s="22">
        <f>BD28+BD158</f>
        <v/>
      </c>
      <c r="BE288" s="22">
        <f>BE28+BE158</f>
        <v/>
      </c>
      <c r="BF288" s="22">
        <f>BF28+BF158</f>
        <v/>
      </c>
      <c r="BG288" s="22">
        <f>BG28+BG158</f>
        <v/>
      </c>
      <c r="BH288" s="22">
        <f>BH28+BH158</f>
        <v/>
      </c>
      <c r="BI288" s="22">
        <f>BI28+BI158</f>
        <v/>
      </c>
      <c r="BJ288" s="22">
        <f>BJ28+BJ158</f>
        <v/>
      </c>
      <c r="BK288" s="22">
        <f>BK28+BK158</f>
        <v/>
      </c>
      <c r="BL288" s="22">
        <f>BL28+BL158</f>
        <v/>
      </c>
      <c r="BM288" s="22">
        <f>BM28+BM158</f>
        <v/>
      </c>
      <c r="BN288" s="22">
        <f>BN28+BN158</f>
        <v/>
      </c>
    </row>
    <row r="289">
      <c r="B289" s="5" t="inlineStr">
        <is>
          <t>gso</t>
        </is>
      </c>
      <c r="C289" s="5" t="inlineStr">
        <is>
          <t>avi</t>
        </is>
      </c>
      <c r="D289" s="5" t="inlineStr">
        <is>
          <t>Post-tax price | Domestic aviation | Gasoline</t>
        </is>
      </c>
      <c r="E289" s="5" t="inlineStr">
        <is>
          <t>$/GJ</t>
        </is>
      </c>
      <c r="F289" s="5" t="inlineStr">
        <is>
          <t>Calculation</t>
        </is>
      </c>
      <c r="G289" s="19" t="inlineStr"/>
      <c r="H289" s="19" t="inlineStr">
        <is>
          <t>mit.ptp.gso.avi</t>
        </is>
      </c>
      <c r="J289" s="5">
        <f>INDEX(Mapping!$C$5:$C$20,MATCH($C289,Mapping!$A$5:$A$20,0))</f>
        <v/>
      </c>
      <c r="K289" s="5">
        <f>INDEX(Mapping!$D$5:$D$20,MATCH($C289,Mapping!$A$5:$A$20,0))</f>
        <v/>
      </c>
      <c r="L289" s="5">
        <f>INDEX(Mapping!$C$24:$C$31,MATCH($B289,Mapping!$A$24:$A$31,0))</f>
        <v/>
      </c>
      <c r="M289" s="5">
        <f>INDEX(Mapping!$D$24:$D$31,MATCH($B289,Mapping!$A$24:$A$31,0))</f>
        <v/>
      </c>
      <c r="N289" s="5">
        <f>$B289&amp;"."&amp;IF(INDEX(Mapping!$E$24:$E$31,MATCH($B289,Mapping!$A$24:$A$31,0))="sub",INDEX(Mapping!$F$5:$F$20,MATCH($C289,Mapping!$A$5:$A$20,0)),"all")</f>
        <v/>
      </c>
      <c r="O289" s="5">
        <f>INDEX(Mapping!$E$5:$E$20,MATCH($C289,Mapping!$A$5:$A$20,0))</f>
        <v/>
      </c>
      <c r="P289" s="5">
        <f>INDEX(Mapping!$G$24:$G$31,MATCH($B289,Mapping!$A$24:$A$31,0))</f>
        <v/>
      </c>
      <c r="Q289" s="21" t="n"/>
      <c r="R289" s="21" t="n"/>
      <c r="S289" s="21" t="n"/>
      <c r="T289" s="21" t="n"/>
      <c r="U289" s="21" t="n"/>
      <c r="V289" s="21" t="n"/>
      <c r="W289" s="21" t="n"/>
      <c r="X289" s="21" t="n"/>
      <c r="Y289" s="21" t="n"/>
      <c r="Z289" s="21" t="n"/>
      <c r="AA289" s="21" t="n"/>
      <c r="AB289" s="21" t="n"/>
      <c r="AC289" s="21" t="n"/>
      <c r="AD289" s="21" t="n"/>
      <c r="AE289" s="21" t="n"/>
      <c r="AF289" s="21" t="n"/>
      <c r="AG289" s="21" t="n"/>
      <c r="AH289" s="21" t="n"/>
      <c r="AI289" s="21" t="n"/>
      <c r="AJ289" s="21" t="n"/>
      <c r="AL289" s="23">
        <f>AL29+AL159</f>
        <v/>
      </c>
      <c r="AM289" s="22">
        <f>AM29+AM159</f>
        <v/>
      </c>
      <c r="AN289" s="22">
        <f>AN29+AN159</f>
        <v/>
      </c>
      <c r="AO289" s="22">
        <f>AO29+AO159</f>
        <v/>
      </c>
      <c r="AP289" s="22">
        <f>AP29+AP159</f>
        <v/>
      </c>
      <c r="AQ289" s="22">
        <f>AQ29+AQ159</f>
        <v/>
      </c>
      <c r="AR289" s="22">
        <f>AR29+AR159</f>
        <v/>
      </c>
      <c r="AS289" s="22">
        <f>AS29+AS159</f>
        <v/>
      </c>
      <c r="AT289" s="22">
        <f>AT29+AT159</f>
        <v/>
      </c>
      <c r="AU289" s="22">
        <f>AU29+AU159</f>
        <v/>
      </c>
      <c r="AV289" s="22">
        <f>AV29+AV159</f>
        <v/>
      </c>
      <c r="AW289" s="22">
        <f>AW29+AW159</f>
        <v/>
      </c>
      <c r="AX289" s="22">
        <f>AX29+AX159</f>
        <v/>
      </c>
      <c r="AY289" s="22">
        <f>AY29+AY159</f>
        <v/>
      </c>
      <c r="BA289" s="23">
        <f>BA29+BA159</f>
        <v/>
      </c>
      <c r="BB289" s="22">
        <f>BB29+BB159</f>
        <v/>
      </c>
      <c r="BC289" s="22">
        <f>BC29+BC159</f>
        <v/>
      </c>
      <c r="BD289" s="22">
        <f>BD29+BD159</f>
        <v/>
      </c>
      <c r="BE289" s="22">
        <f>BE29+BE159</f>
        <v/>
      </c>
      <c r="BF289" s="22">
        <f>BF29+BF159</f>
        <v/>
      </c>
      <c r="BG289" s="22">
        <f>BG29+BG159</f>
        <v/>
      </c>
      <c r="BH289" s="22">
        <f>BH29+BH159</f>
        <v/>
      </c>
      <c r="BI289" s="22">
        <f>BI29+BI159</f>
        <v/>
      </c>
      <c r="BJ289" s="22">
        <f>BJ29+BJ159</f>
        <v/>
      </c>
      <c r="BK289" s="22">
        <f>BK29+BK159</f>
        <v/>
      </c>
      <c r="BL289" s="22">
        <f>BL29+BL159</f>
        <v/>
      </c>
      <c r="BM289" s="22">
        <f>BM29+BM159</f>
        <v/>
      </c>
      <c r="BN289" s="22">
        <f>BN29+BN159</f>
        <v/>
      </c>
    </row>
    <row r="290">
      <c r="B290" s="5" t="inlineStr">
        <is>
          <t>die</t>
        </is>
      </c>
      <c r="C290" s="5" t="inlineStr">
        <is>
          <t>avi</t>
        </is>
      </c>
      <c r="D290" s="5" t="inlineStr">
        <is>
          <t>Post-tax price | Domestic aviation | Diesel</t>
        </is>
      </c>
      <c r="E290" s="5" t="inlineStr">
        <is>
          <t>$/GJ</t>
        </is>
      </c>
      <c r="F290" s="5" t="inlineStr">
        <is>
          <t>Calculation</t>
        </is>
      </c>
      <c r="G290" s="19" t="inlineStr"/>
      <c r="H290" s="19" t="inlineStr">
        <is>
          <t>mit.ptp.die.avi</t>
        </is>
      </c>
      <c r="J290" s="5">
        <f>INDEX(Mapping!$C$5:$C$20,MATCH($C290,Mapping!$A$5:$A$20,0))</f>
        <v/>
      </c>
      <c r="K290" s="5">
        <f>INDEX(Mapping!$D$5:$D$20,MATCH($C290,Mapping!$A$5:$A$20,0))</f>
        <v/>
      </c>
      <c r="L290" s="5">
        <f>INDEX(Mapping!$C$24:$C$31,MATCH($B290,Mapping!$A$24:$A$31,0))</f>
        <v/>
      </c>
      <c r="M290" s="5">
        <f>INDEX(Mapping!$D$24:$D$31,MATCH($B290,Mapping!$A$24:$A$31,0))</f>
        <v/>
      </c>
      <c r="N290" s="5">
        <f>$B290&amp;"."&amp;IF(INDEX(Mapping!$E$24:$E$31,MATCH($B290,Mapping!$A$24:$A$31,0))="sub",INDEX(Mapping!$F$5:$F$20,MATCH($C290,Mapping!$A$5:$A$20,0)),"all")</f>
        <v/>
      </c>
      <c r="O290" s="5">
        <f>INDEX(Mapping!$E$5:$E$20,MATCH($C290,Mapping!$A$5:$A$20,0))</f>
        <v/>
      </c>
      <c r="P290" s="5">
        <f>INDEX(Mapping!$G$24:$G$31,MATCH($B290,Mapping!$A$24:$A$31,0))</f>
        <v/>
      </c>
      <c r="Q290" s="21" t="n"/>
      <c r="R290" s="21" t="n"/>
      <c r="S290" s="21" t="n"/>
      <c r="T290" s="21" t="n"/>
      <c r="U290" s="21" t="n"/>
      <c r="V290" s="21" t="n"/>
      <c r="W290" s="21" t="n"/>
      <c r="X290" s="21" t="n"/>
      <c r="Y290" s="21" t="n"/>
      <c r="Z290" s="21" t="n"/>
      <c r="AA290" s="21" t="n"/>
      <c r="AB290" s="21" t="n"/>
      <c r="AC290" s="21" t="n"/>
      <c r="AD290" s="21" t="n"/>
      <c r="AE290" s="21" t="n"/>
      <c r="AF290" s="21" t="n"/>
      <c r="AG290" s="21" t="n"/>
      <c r="AH290" s="21" t="n"/>
      <c r="AI290" s="21" t="n"/>
      <c r="AJ290" s="21" t="n"/>
      <c r="AL290" s="23">
        <f>AL30+AL160</f>
        <v/>
      </c>
      <c r="AM290" s="22">
        <f>AM30+AM160</f>
        <v/>
      </c>
      <c r="AN290" s="22">
        <f>AN30+AN160</f>
        <v/>
      </c>
      <c r="AO290" s="22">
        <f>AO30+AO160</f>
        <v/>
      </c>
      <c r="AP290" s="22">
        <f>AP30+AP160</f>
        <v/>
      </c>
      <c r="AQ290" s="22">
        <f>AQ30+AQ160</f>
        <v/>
      </c>
      <c r="AR290" s="22">
        <f>AR30+AR160</f>
        <v/>
      </c>
      <c r="AS290" s="22">
        <f>AS30+AS160</f>
        <v/>
      </c>
      <c r="AT290" s="22">
        <f>AT30+AT160</f>
        <v/>
      </c>
      <c r="AU290" s="22">
        <f>AU30+AU160</f>
        <v/>
      </c>
      <c r="AV290" s="22">
        <f>AV30+AV160</f>
        <v/>
      </c>
      <c r="AW290" s="22">
        <f>AW30+AW160</f>
        <v/>
      </c>
      <c r="AX290" s="22">
        <f>AX30+AX160</f>
        <v/>
      </c>
      <c r="AY290" s="22">
        <f>AY30+AY160</f>
        <v/>
      </c>
      <c r="BA290" s="23">
        <f>BA30+BA160</f>
        <v/>
      </c>
      <c r="BB290" s="22">
        <f>BB30+BB160</f>
        <v/>
      </c>
      <c r="BC290" s="22">
        <f>BC30+BC160</f>
        <v/>
      </c>
      <c r="BD290" s="22">
        <f>BD30+BD160</f>
        <v/>
      </c>
      <c r="BE290" s="22">
        <f>BE30+BE160</f>
        <v/>
      </c>
      <c r="BF290" s="22">
        <f>BF30+BF160</f>
        <v/>
      </c>
      <c r="BG290" s="22">
        <f>BG30+BG160</f>
        <v/>
      </c>
      <c r="BH290" s="22">
        <f>BH30+BH160</f>
        <v/>
      </c>
      <c r="BI290" s="22">
        <f>BI30+BI160</f>
        <v/>
      </c>
      <c r="BJ290" s="22">
        <f>BJ30+BJ160</f>
        <v/>
      </c>
      <c r="BK290" s="22">
        <f>BK30+BK160</f>
        <v/>
      </c>
      <c r="BL290" s="22">
        <f>BL30+BL160</f>
        <v/>
      </c>
      <c r="BM290" s="22">
        <f>BM30+BM160</f>
        <v/>
      </c>
      <c r="BN290" s="22">
        <f>BN30+BN160</f>
        <v/>
      </c>
    </row>
    <row r="291">
      <c r="B291" s="5" t="inlineStr">
        <is>
          <t>lpg</t>
        </is>
      </c>
      <c r="C291" s="5" t="inlineStr">
        <is>
          <t>avi</t>
        </is>
      </c>
      <c r="D291" s="5" t="inlineStr">
        <is>
          <t>Post-tax price | Domestic aviation | LPG</t>
        </is>
      </c>
      <c r="E291" s="5" t="inlineStr">
        <is>
          <t>$/GJ</t>
        </is>
      </c>
      <c r="F291" s="5" t="inlineStr">
        <is>
          <t>Calculation</t>
        </is>
      </c>
      <c r="G291" s="19" t="inlineStr"/>
      <c r="H291" s="19" t="inlineStr">
        <is>
          <t>mit.ptp.lpg.avi</t>
        </is>
      </c>
      <c r="J291" s="5">
        <f>INDEX(Mapping!$C$5:$C$20,MATCH($C291,Mapping!$A$5:$A$20,0))</f>
        <v/>
      </c>
      <c r="K291" s="5">
        <f>INDEX(Mapping!$D$5:$D$20,MATCH($C291,Mapping!$A$5:$A$20,0))</f>
        <v/>
      </c>
      <c r="L291" s="5">
        <f>INDEX(Mapping!$C$24:$C$31,MATCH($B291,Mapping!$A$24:$A$31,0))</f>
        <v/>
      </c>
      <c r="M291" s="5">
        <f>INDEX(Mapping!$D$24:$D$31,MATCH($B291,Mapping!$A$24:$A$31,0))</f>
        <v/>
      </c>
      <c r="N291" s="5">
        <f>$B291&amp;"."&amp;IF(INDEX(Mapping!$E$24:$E$31,MATCH($B291,Mapping!$A$24:$A$31,0))="sub",INDEX(Mapping!$F$5:$F$20,MATCH($C291,Mapping!$A$5:$A$20,0)),"all")</f>
        <v/>
      </c>
      <c r="O291" s="5">
        <f>INDEX(Mapping!$E$5:$E$20,MATCH($C291,Mapping!$A$5:$A$20,0))</f>
        <v/>
      </c>
      <c r="P291" s="5">
        <f>INDEX(Mapping!$G$24:$G$31,MATCH($B291,Mapping!$A$24:$A$31,0))</f>
        <v/>
      </c>
      <c r="Q291" s="21" t="n"/>
      <c r="R291" s="21" t="n"/>
      <c r="S291" s="21" t="n"/>
      <c r="T291" s="21" t="n"/>
      <c r="U291" s="21" t="n"/>
      <c r="V291" s="21" t="n"/>
      <c r="W291" s="21" t="n"/>
      <c r="X291" s="21" t="n"/>
      <c r="Y291" s="21" t="n"/>
      <c r="Z291" s="21" t="n"/>
      <c r="AA291" s="21" t="n"/>
      <c r="AB291" s="21" t="n"/>
      <c r="AC291" s="21" t="n"/>
      <c r="AD291" s="21" t="n"/>
      <c r="AE291" s="21" t="n"/>
      <c r="AF291" s="21" t="n"/>
      <c r="AG291" s="21" t="n"/>
      <c r="AH291" s="21" t="n"/>
      <c r="AI291" s="21" t="n"/>
      <c r="AJ291" s="21" t="n"/>
      <c r="AL291" s="23">
        <f>AL31+AL161</f>
        <v/>
      </c>
      <c r="AM291" s="22">
        <f>AM31+AM161</f>
        <v/>
      </c>
      <c r="AN291" s="22">
        <f>AN31+AN161</f>
        <v/>
      </c>
      <c r="AO291" s="22">
        <f>AO31+AO161</f>
        <v/>
      </c>
      <c r="AP291" s="22">
        <f>AP31+AP161</f>
        <v/>
      </c>
      <c r="AQ291" s="22">
        <f>AQ31+AQ161</f>
        <v/>
      </c>
      <c r="AR291" s="22">
        <f>AR31+AR161</f>
        <v/>
      </c>
      <c r="AS291" s="22">
        <f>AS31+AS161</f>
        <v/>
      </c>
      <c r="AT291" s="22">
        <f>AT31+AT161</f>
        <v/>
      </c>
      <c r="AU291" s="22">
        <f>AU31+AU161</f>
        <v/>
      </c>
      <c r="AV291" s="22">
        <f>AV31+AV161</f>
        <v/>
      </c>
      <c r="AW291" s="22">
        <f>AW31+AW161</f>
        <v/>
      </c>
      <c r="AX291" s="22">
        <f>AX31+AX161</f>
        <v/>
      </c>
      <c r="AY291" s="22">
        <f>AY31+AY161</f>
        <v/>
      </c>
      <c r="BA291" s="23">
        <f>BA31+BA161</f>
        <v/>
      </c>
      <c r="BB291" s="22">
        <f>BB31+BB161</f>
        <v/>
      </c>
      <c r="BC291" s="22">
        <f>BC31+BC161</f>
        <v/>
      </c>
      <c r="BD291" s="22">
        <f>BD31+BD161</f>
        <v/>
      </c>
      <c r="BE291" s="22">
        <f>BE31+BE161</f>
        <v/>
      </c>
      <c r="BF291" s="22">
        <f>BF31+BF161</f>
        <v/>
      </c>
      <c r="BG291" s="22">
        <f>BG31+BG161</f>
        <v/>
      </c>
      <c r="BH291" s="22">
        <f>BH31+BH161</f>
        <v/>
      </c>
      <c r="BI291" s="22">
        <f>BI31+BI161</f>
        <v/>
      </c>
      <c r="BJ291" s="22">
        <f>BJ31+BJ161</f>
        <v/>
      </c>
      <c r="BK291" s="22">
        <f>BK31+BK161</f>
        <v/>
      </c>
      <c r="BL291" s="22">
        <f>BL31+BL161</f>
        <v/>
      </c>
      <c r="BM291" s="22">
        <f>BM31+BM161</f>
        <v/>
      </c>
      <c r="BN291" s="22">
        <f>BN31+BN161</f>
        <v/>
      </c>
    </row>
    <row r="292">
      <c r="B292" s="5" t="inlineStr">
        <is>
          <t>ker</t>
        </is>
      </c>
      <c r="C292" s="5" t="inlineStr">
        <is>
          <t>avi</t>
        </is>
      </c>
      <c r="D292" s="5" t="inlineStr">
        <is>
          <t>Post-tax price | Domestic aviation | Kerosene</t>
        </is>
      </c>
      <c r="E292" s="5" t="inlineStr">
        <is>
          <t>$/GJ</t>
        </is>
      </c>
      <c r="F292" s="5" t="inlineStr">
        <is>
          <t>Calculation</t>
        </is>
      </c>
      <c r="G292" s="19" t="inlineStr"/>
      <c r="H292" s="19" t="inlineStr">
        <is>
          <t>mit.ptp.ker.avi</t>
        </is>
      </c>
      <c r="J292" s="5">
        <f>INDEX(Mapping!$C$5:$C$20,MATCH($C292,Mapping!$A$5:$A$20,0))</f>
        <v/>
      </c>
      <c r="K292" s="5">
        <f>INDEX(Mapping!$D$5:$D$20,MATCH($C292,Mapping!$A$5:$A$20,0))</f>
        <v/>
      </c>
      <c r="L292" s="5">
        <f>INDEX(Mapping!$C$24:$C$31,MATCH($B292,Mapping!$A$24:$A$31,0))</f>
        <v/>
      </c>
      <c r="M292" s="5">
        <f>INDEX(Mapping!$D$24:$D$31,MATCH($B292,Mapping!$A$24:$A$31,0))</f>
        <v/>
      </c>
      <c r="N292" s="5">
        <f>$B292&amp;"."&amp;IF(INDEX(Mapping!$E$24:$E$31,MATCH($B292,Mapping!$A$24:$A$31,0))="sub",INDEX(Mapping!$F$5:$F$20,MATCH($C292,Mapping!$A$5:$A$20,0)),"all")</f>
        <v/>
      </c>
      <c r="O292" s="5">
        <f>INDEX(Mapping!$E$5:$E$20,MATCH($C292,Mapping!$A$5:$A$20,0))</f>
        <v/>
      </c>
      <c r="P292" s="5">
        <f>INDEX(Mapping!$G$24:$G$31,MATCH($B292,Mapping!$A$24:$A$31,0))</f>
        <v/>
      </c>
      <c r="Q292" s="21" t="n"/>
      <c r="R292" s="21" t="n"/>
      <c r="S292" s="21" t="n"/>
      <c r="T292" s="21" t="n"/>
      <c r="U292" s="21" t="n"/>
      <c r="V292" s="21" t="n"/>
      <c r="W292" s="21" t="n"/>
      <c r="X292" s="21" t="n"/>
      <c r="Y292" s="21" t="n"/>
      <c r="Z292" s="21" t="n"/>
      <c r="AA292" s="21" t="n"/>
      <c r="AB292" s="21" t="n"/>
      <c r="AC292" s="21" t="n"/>
      <c r="AD292" s="21" t="n"/>
      <c r="AE292" s="21" t="n"/>
      <c r="AF292" s="21" t="n"/>
      <c r="AG292" s="21" t="n"/>
      <c r="AH292" s="21" t="n"/>
      <c r="AI292" s="21" t="n"/>
      <c r="AJ292" s="21" t="n"/>
      <c r="AL292" s="23">
        <f>AL32+AL162</f>
        <v/>
      </c>
      <c r="AM292" s="22">
        <f>AM32+AM162</f>
        <v/>
      </c>
      <c r="AN292" s="22">
        <f>AN32+AN162</f>
        <v/>
      </c>
      <c r="AO292" s="22">
        <f>AO32+AO162</f>
        <v/>
      </c>
      <c r="AP292" s="22">
        <f>AP32+AP162</f>
        <v/>
      </c>
      <c r="AQ292" s="22">
        <f>AQ32+AQ162</f>
        <v/>
      </c>
      <c r="AR292" s="22">
        <f>AR32+AR162</f>
        <v/>
      </c>
      <c r="AS292" s="22">
        <f>AS32+AS162</f>
        <v/>
      </c>
      <c r="AT292" s="22">
        <f>AT32+AT162</f>
        <v/>
      </c>
      <c r="AU292" s="22">
        <f>AU32+AU162</f>
        <v/>
      </c>
      <c r="AV292" s="22">
        <f>AV32+AV162</f>
        <v/>
      </c>
      <c r="AW292" s="22">
        <f>AW32+AW162</f>
        <v/>
      </c>
      <c r="AX292" s="22">
        <f>AX32+AX162</f>
        <v/>
      </c>
      <c r="AY292" s="22">
        <f>AY32+AY162</f>
        <v/>
      </c>
      <c r="BA292" s="23">
        <f>BA32+BA162</f>
        <v/>
      </c>
      <c r="BB292" s="22">
        <f>BB32+BB162</f>
        <v/>
      </c>
      <c r="BC292" s="22">
        <f>BC32+BC162</f>
        <v/>
      </c>
      <c r="BD292" s="22">
        <f>BD32+BD162</f>
        <v/>
      </c>
      <c r="BE292" s="22">
        <f>BE32+BE162</f>
        <v/>
      </c>
      <c r="BF292" s="22">
        <f>BF32+BF162</f>
        <v/>
      </c>
      <c r="BG292" s="22">
        <f>BG32+BG162</f>
        <v/>
      </c>
      <c r="BH292" s="22">
        <f>BH32+BH162</f>
        <v/>
      </c>
      <c r="BI292" s="22">
        <f>BI32+BI162</f>
        <v/>
      </c>
      <c r="BJ292" s="22">
        <f>BJ32+BJ162</f>
        <v/>
      </c>
      <c r="BK292" s="22">
        <f>BK32+BK162</f>
        <v/>
      </c>
      <c r="BL292" s="22">
        <f>BL32+BL162</f>
        <v/>
      </c>
      <c r="BM292" s="22">
        <f>BM32+BM162</f>
        <v/>
      </c>
      <c r="BN292" s="22">
        <f>BN32+BN162</f>
        <v/>
      </c>
    </row>
    <row r="293">
      <c r="B293" s="5" t="inlineStr">
        <is>
          <t>oop</t>
        </is>
      </c>
      <c r="C293" s="5" t="inlineStr">
        <is>
          <t>avi</t>
        </is>
      </c>
      <c r="D293" s="5" t="inlineStr">
        <is>
          <t>Post-tax price | Domestic aviation | Other oil products</t>
        </is>
      </c>
      <c r="E293" s="5" t="inlineStr">
        <is>
          <t>$/GJ</t>
        </is>
      </c>
      <c r="F293" s="5" t="inlineStr">
        <is>
          <t>Calculation</t>
        </is>
      </c>
      <c r="G293" s="19" t="inlineStr"/>
      <c r="H293" s="19" t="inlineStr">
        <is>
          <t>mit.ptp.oop.avi</t>
        </is>
      </c>
      <c r="J293" s="5">
        <f>INDEX(Mapping!$C$5:$C$20,MATCH($C293,Mapping!$A$5:$A$20,0))</f>
        <v/>
      </c>
      <c r="K293" s="5">
        <f>INDEX(Mapping!$D$5:$D$20,MATCH($C293,Mapping!$A$5:$A$20,0))</f>
        <v/>
      </c>
      <c r="L293" s="5">
        <f>INDEX(Mapping!$C$24:$C$31,MATCH($B293,Mapping!$A$24:$A$31,0))</f>
        <v/>
      </c>
      <c r="M293" s="5">
        <f>INDEX(Mapping!$D$24:$D$31,MATCH($B293,Mapping!$A$24:$A$31,0))</f>
        <v/>
      </c>
      <c r="N293" s="5">
        <f>$B293&amp;"."&amp;IF(INDEX(Mapping!$E$24:$E$31,MATCH($B293,Mapping!$A$24:$A$31,0))="sub",INDEX(Mapping!$F$5:$F$20,MATCH($C293,Mapping!$A$5:$A$20,0)),"all")</f>
        <v/>
      </c>
      <c r="O293" s="5">
        <f>INDEX(Mapping!$E$5:$E$20,MATCH($C293,Mapping!$A$5:$A$20,0))</f>
        <v/>
      </c>
      <c r="P293" s="5">
        <f>INDEX(Mapping!$G$24:$G$31,MATCH($B293,Mapping!$A$24:$A$31,0))</f>
        <v/>
      </c>
      <c r="Q293" s="21" t="n"/>
      <c r="R293" s="21" t="n"/>
      <c r="S293" s="21" t="n"/>
      <c r="T293" s="21" t="n"/>
      <c r="U293" s="21" t="n"/>
      <c r="V293" s="21" t="n"/>
      <c r="W293" s="21" t="n"/>
      <c r="X293" s="21" t="n"/>
      <c r="Y293" s="21" t="n"/>
      <c r="Z293" s="21" t="n"/>
      <c r="AA293" s="21" t="n"/>
      <c r="AB293" s="21" t="n"/>
      <c r="AC293" s="21" t="n"/>
      <c r="AD293" s="21" t="n"/>
      <c r="AE293" s="21" t="n"/>
      <c r="AF293" s="21" t="n"/>
      <c r="AG293" s="21" t="n"/>
      <c r="AH293" s="21" t="n"/>
      <c r="AI293" s="21" t="n"/>
      <c r="AJ293" s="21" t="n"/>
      <c r="AL293" s="23">
        <f>AL33+AL163</f>
        <v/>
      </c>
      <c r="AM293" s="22">
        <f>AM33+AM163</f>
        <v/>
      </c>
      <c r="AN293" s="22">
        <f>AN33+AN163</f>
        <v/>
      </c>
      <c r="AO293" s="22">
        <f>AO33+AO163</f>
        <v/>
      </c>
      <c r="AP293" s="22">
        <f>AP33+AP163</f>
        <v/>
      </c>
      <c r="AQ293" s="22">
        <f>AQ33+AQ163</f>
        <v/>
      </c>
      <c r="AR293" s="22">
        <f>AR33+AR163</f>
        <v/>
      </c>
      <c r="AS293" s="22">
        <f>AS33+AS163</f>
        <v/>
      </c>
      <c r="AT293" s="22">
        <f>AT33+AT163</f>
        <v/>
      </c>
      <c r="AU293" s="22">
        <f>AU33+AU163</f>
        <v/>
      </c>
      <c r="AV293" s="22">
        <f>AV33+AV163</f>
        <v/>
      </c>
      <c r="AW293" s="22">
        <f>AW33+AW163</f>
        <v/>
      </c>
      <c r="AX293" s="22">
        <f>AX33+AX163</f>
        <v/>
      </c>
      <c r="AY293" s="22">
        <f>AY33+AY163</f>
        <v/>
      </c>
      <c r="BA293" s="23">
        <f>BA33+BA163</f>
        <v/>
      </c>
      <c r="BB293" s="22">
        <f>BB33+BB163</f>
        <v/>
      </c>
      <c r="BC293" s="22">
        <f>BC33+BC163</f>
        <v/>
      </c>
      <c r="BD293" s="22">
        <f>BD33+BD163</f>
        <v/>
      </c>
      <c r="BE293" s="22">
        <f>BE33+BE163</f>
        <v/>
      </c>
      <c r="BF293" s="22">
        <f>BF33+BF163</f>
        <v/>
      </c>
      <c r="BG293" s="22">
        <f>BG33+BG163</f>
        <v/>
      </c>
      <c r="BH293" s="22">
        <f>BH33+BH163</f>
        <v/>
      </c>
      <c r="BI293" s="22">
        <f>BI33+BI163</f>
        <v/>
      </c>
      <c r="BJ293" s="22">
        <f>BJ33+BJ163</f>
        <v/>
      </c>
      <c r="BK293" s="22">
        <f>BK33+BK163</f>
        <v/>
      </c>
      <c r="BL293" s="22">
        <f>BL33+BL163</f>
        <v/>
      </c>
      <c r="BM293" s="22">
        <f>BM33+BM163</f>
        <v/>
      </c>
      <c r="BN293" s="22">
        <f>BN33+BN163</f>
        <v/>
      </c>
    </row>
    <row r="294">
      <c r="B294" s="5" t="inlineStr">
        <is>
          <t>bio</t>
        </is>
      </c>
      <c r="C294" s="5" t="inlineStr">
        <is>
          <t>avi</t>
        </is>
      </c>
      <c r="D294" s="5" t="inlineStr">
        <is>
          <t>Post-tax price | Domestic aviation | Biomass</t>
        </is>
      </c>
      <c r="E294" s="5" t="inlineStr">
        <is>
          <t>$/GJ</t>
        </is>
      </c>
      <c r="F294" s="5" t="inlineStr">
        <is>
          <t>Calculation</t>
        </is>
      </c>
      <c r="G294" s="19" t="inlineStr"/>
      <c r="H294" s="19" t="inlineStr">
        <is>
          <t>mit.ptp.bio.avi</t>
        </is>
      </c>
      <c r="J294" s="5">
        <f>INDEX(Mapping!$C$5:$C$20,MATCH($C294,Mapping!$A$5:$A$20,0))</f>
        <v/>
      </c>
      <c r="K294" s="5">
        <f>INDEX(Mapping!$D$5:$D$20,MATCH($C294,Mapping!$A$5:$A$20,0))</f>
        <v/>
      </c>
      <c r="L294" s="5">
        <f>INDEX(Mapping!$C$24:$C$31,MATCH($B294,Mapping!$A$24:$A$31,0))</f>
        <v/>
      </c>
      <c r="M294" s="5">
        <f>INDEX(Mapping!$D$24:$D$31,MATCH($B294,Mapping!$A$24:$A$31,0))</f>
        <v/>
      </c>
      <c r="N294" s="5">
        <f>$B294&amp;"."&amp;IF(INDEX(Mapping!$E$24:$E$31,MATCH($B294,Mapping!$A$24:$A$31,0))="sub",INDEX(Mapping!$F$5:$F$20,MATCH($C294,Mapping!$A$5:$A$20,0)),"all")</f>
        <v/>
      </c>
      <c r="O294" s="5">
        <f>INDEX(Mapping!$E$5:$E$20,MATCH($C294,Mapping!$A$5:$A$20,0))</f>
        <v/>
      </c>
      <c r="P294" s="5">
        <f>INDEX(Mapping!$G$24:$G$31,MATCH($B294,Mapping!$A$24:$A$31,0))</f>
        <v/>
      </c>
      <c r="Q294" s="21" t="n"/>
      <c r="R294" s="21" t="n"/>
      <c r="S294" s="21" t="n"/>
      <c r="T294" s="21" t="n"/>
      <c r="U294" s="21" t="n"/>
      <c r="V294" s="21" t="n"/>
      <c r="W294" s="21" t="n"/>
      <c r="X294" s="21" t="n"/>
      <c r="Y294" s="21" t="n"/>
      <c r="Z294" s="21" t="n"/>
      <c r="AA294" s="21" t="n"/>
      <c r="AB294" s="21" t="n"/>
      <c r="AC294" s="21" t="n"/>
      <c r="AD294" s="21" t="n"/>
      <c r="AE294" s="21" t="n"/>
      <c r="AF294" s="21" t="n"/>
      <c r="AG294" s="21" t="n"/>
      <c r="AH294" s="21" t="n"/>
      <c r="AI294" s="21" t="n"/>
      <c r="AJ294" s="21" t="n"/>
      <c r="AL294" s="23">
        <f>AL34+AL164</f>
        <v/>
      </c>
      <c r="AM294" s="22">
        <f>AM34+AM164</f>
        <v/>
      </c>
      <c r="AN294" s="22">
        <f>AN34+AN164</f>
        <v/>
      </c>
      <c r="AO294" s="22">
        <f>AO34+AO164</f>
        <v/>
      </c>
      <c r="AP294" s="22">
        <f>AP34+AP164</f>
        <v/>
      </c>
      <c r="AQ294" s="22">
        <f>AQ34+AQ164</f>
        <v/>
      </c>
      <c r="AR294" s="22">
        <f>AR34+AR164</f>
        <v/>
      </c>
      <c r="AS294" s="22">
        <f>AS34+AS164</f>
        <v/>
      </c>
      <c r="AT294" s="22">
        <f>AT34+AT164</f>
        <v/>
      </c>
      <c r="AU294" s="22">
        <f>AU34+AU164</f>
        <v/>
      </c>
      <c r="AV294" s="22">
        <f>AV34+AV164</f>
        <v/>
      </c>
      <c r="AW294" s="22">
        <f>AW34+AW164</f>
        <v/>
      </c>
      <c r="AX294" s="22">
        <f>AX34+AX164</f>
        <v/>
      </c>
      <c r="AY294" s="22">
        <f>AY34+AY164</f>
        <v/>
      </c>
      <c r="BA294" s="23">
        <f>BA34+BA164</f>
        <v/>
      </c>
      <c r="BB294" s="22">
        <f>BB34+BB164</f>
        <v/>
      </c>
      <c r="BC294" s="22">
        <f>BC34+BC164</f>
        <v/>
      </c>
      <c r="BD294" s="22">
        <f>BD34+BD164</f>
        <v/>
      </c>
      <c r="BE294" s="22">
        <f>BE34+BE164</f>
        <v/>
      </c>
      <c r="BF294" s="22">
        <f>BF34+BF164</f>
        <v/>
      </c>
      <c r="BG294" s="22">
        <f>BG34+BG164</f>
        <v/>
      </c>
      <c r="BH294" s="22">
        <f>BH34+BH164</f>
        <v/>
      </c>
      <c r="BI294" s="22">
        <f>BI34+BI164</f>
        <v/>
      </c>
      <c r="BJ294" s="22">
        <f>BJ34+BJ164</f>
        <v/>
      </c>
      <c r="BK294" s="22">
        <f>BK34+BK164</f>
        <v/>
      </c>
      <c r="BL294" s="22">
        <f>BL34+BL164</f>
        <v/>
      </c>
      <c r="BM294" s="22">
        <f>BM34+BM164</f>
        <v/>
      </c>
      <c r="BN294" s="22">
        <f>BN34+BN164</f>
        <v/>
      </c>
    </row>
    <row r="295">
      <c r="B295" s="5" t="inlineStr">
        <is>
          <t>coa</t>
        </is>
      </c>
      <c r="C295" s="5" t="inlineStr">
        <is>
          <t>nav</t>
        </is>
      </c>
      <c r="D295" s="5" t="inlineStr">
        <is>
          <t>Post-tax price | Domestic navigation | Coal</t>
        </is>
      </c>
      <c r="E295" s="5" t="inlineStr">
        <is>
          <t>$/GJ</t>
        </is>
      </c>
      <c r="F295" s="5" t="inlineStr">
        <is>
          <t>Calculation</t>
        </is>
      </c>
      <c r="G295" s="19" t="inlineStr"/>
      <c r="H295" s="19" t="inlineStr">
        <is>
          <t>mit.ptp.coa.nav</t>
        </is>
      </c>
      <c r="J295" s="5">
        <f>INDEX(Mapping!$C$5:$C$20,MATCH($C295,Mapping!$A$5:$A$20,0))</f>
        <v/>
      </c>
      <c r="K295" s="5">
        <f>INDEX(Mapping!$D$5:$D$20,MATCH($C295,Mapping!$A$5:$A$20,0))</f>
        <v/>
      </c>
      <c r="L295" s="5">
        <f>INDEX(Mapping!$C$24:$C$31,MATCH($B295,Mapping!$A$24:$A$31,0))</f>
        <v/>
      </c>
      <c r="M295" s="5">
        <f>INDEX(Mapping!$D$24:$D$31,MATCH($B295,Mapping!$A$24:$A$31,0))</f>
        <v/>
      </c>
      <c r="N295" s="5">
        <f>$B295&amp;"."&amp;IF(INDEX(Mapping!$E$24:$E$31,MATCH($B295,Mapping!$A$24:$A$31,0))="sub",INDEX(Mapping!$F$5:$F$20,MATCH($C295,Mapping!$A$5:$A$20,0)),"all")</f>
        <v/>
      </c>
      <c r="O295" s="5">
        <f>INDEX(Mapping!$E$5:$E$20,MATCH($C295,Mapping!$A$5:$A$20,0))</f>
        <v/>
      </c>
      <c r="P295" s="5">
        <f>INDEX(Mapping!$G$24:$G$31,MATCH($B295,Mapping!$A$24:$A$31,0))</f>
        <v/>
      </c>
      <c r="Q295" s="21" t="n"/>
      <c r="R295" s="21" t="n"/>
      <c r="S295" s="21" t="n"/>
      <c r="T295" s="21" t="n"/>
      <c r="U295" s="21" t="n"/>
      <c r="V295" s="21" t="n"/>
      <c r="W295" s="21" t="n"/>
      <c r="X295" s="21" t="n"/>
      <c r="Y295" s="21" t="n"/>
      <c r="Z295" s="21" t="n"/>
      <c r="AA295" s="21" t="n"/>
      <c r="AB295" s="21" t="n"/>
      <c r="AC295" s="21" t="n"/>
      <c r="AD295" s="21" t="n"/>
      <c r="AE295" s="21" t="n"/>
      <c r="AF295" s="21" t="n"/>
      <c r="AG295" s="21" t="n"/>
      <c r="AH295" s="21" t="n"/>
      <c r="AI295" s="21" t="n"/>
      <c r="AJ295" s="21" t="n"/>
      <c r="AL295" s="23">
        <f>AL35+AL165</f>
        <v/>
      </c>
      <c r="AM295" s="22">
        <f>AM35+AM165</f>
        <v/>
      </c>
      <c r="AN295" s="22">
        <f>AN35+AN165</f>
        <v/>
      </c>
      <c r="AO295" s="22">
        <f>AO35+AO165</f>
        <v/>
      </c>
      <c r="AP295" s="22">
        <f>AP35+AP165</f>
        <v/>
      </c>
      <c r="AQ295" s="22">
        <f>AQ35+AQ165</f>
        <v/>
      </c>
      <c r="AR295" s="22">
        <f>AR35+AR165</f>
        <v/>
      </c>
      <c r="AS295" s="22">
        <f>AS35+AS165</f>
        <v/>
      </c>
      <c r="AT295" s="22">
        <f>AT35+AT165</f>
        <v/>
      </c>
      <c r="AU295" s="22">
        <f>AU35+AU165</f>
        <v/>
      </c>
      <c r="AV295" s="22">
        <f>AV35+AV165</f>
        <v/>
      </c>
      <c r="AW295" s="22">
        <f>AW35+AW165</f>
        <v/>
      </c>
      <c r="AX295" s="22">
        <f>AX35+AX165</f>
        <v/>
      </c>
      <c r="AY295" s="22">
        <f>AY35+AY165</f>
        <v/>
      </c>
      <c r="BA295" s="23">
        <f>BA35+BA165</f>
        <v/>
      </c>
      <c r="BB295" s="22">
        <f>BB35+BB165</f>
        <v/>
      </c>
      <c r="BC295" s="22">
        <f>BC35+BC165</f>
        <v/>
      </c>
      <c r="BD295" s="22">
        <f>BD35+BD165</f>
        <v/>
      </c>
      <c r="BE295" s="22">
        <f>BE35+BE165</f>
        <v/>
      </c>
      <c r="BF295" s="22">
        <f>BF35+BF165</f>
        <v/>
      </c>
      <c r="BG295" s="22">
        <f>BG35+BG165</f>
        <v/>
      </c>
      <c r="BH295" s="22">
        <f>BH35+BH165</f>
        <v/>
      </c>
      <c r="BI295" s="22">
        <f>BI35+BI165</f>
        <v/>
      </c>
      <c r="BJ295" s="22">
        <f>BJ35+BJ165</f>
        <v/>
      </c>
      <c r="BK295" s="22">
        <f>BK35+BK165</f>
        <v/>
      </c>
      <c r="BL295" s="22">
        <f>BL35+BL165</f>
        <v/>
      </c>
      <c r="BM295" s="22">
        <f>BM35+BM165</f>
        <v/>
      </c>
      <c r="BN295" s="22">
        <f>BN35+BN165</f>
        <v/>
      </c>
    </row>
    <row r="296">
      <c r="B296" s="5" t="inlineStr">
        <is>
          <t>nga</t>
        </is>
      </c>
      <c r="C296" s="5" t="inlineStr">
        <is>
          <t>nav</t>
        </is>
      </c>
      <c r="D296" s="5" t="inlineStr">
        <is>
          <t>Post-tax price | Domestic navigation | Natural gas</t>
        </is>
      </c>
      <c r="E296" s="5" t="inlineStr">
        <is>
          <t>$/GJ</t>
        </is>
      </c>
      <c r="F296" s="5" t="inlineStr">
        <is>
          <t>Calculation</t>
        </is>
      </c>
      <c r="G296" s="19" t="inlineStr"/>
      <c r="H296" s="19" t="inlineStr">
        <is>
          <t>mit.ptp.nga.nav</t>
        </is>
      </c>
      <c r="J296" s="5">
        <f>INDEX(Mapping!$C$5:$C$20,MATCH($C296,Mapping!$A$5:$A$20,0))</f>
        <v/>
      </c>
      <c r="K296" s="5">
        <f>INDEX(Mapping!$D$5:$D$20,MATCH($C296,Mapping!$A$5:$A$20,0))</f>
        <v/>
      </c>
      <c r="L296" s="5">
        <f>INDEX(Mapping!$C$24:$C$31,MATCH($B296,Mapping!$A$24:$A$31,0))</f>
        <v/>
      </c>
      <c r="M296" s="5">
        <f>INDEX(Mapping!$D$24:$D$31,MATCH($B296,Mapping!$A$24:$A$31,0))</f>
        <v/>
      </c>
      <c r="N296" s="5">
        <f>$B296&amp;"."&amp;IF(INDEX(Mapping!$E$24:$E$31,MATCH($B296,Mapping!$A$24:$A$31,0))="sub",INDEX(Mapping!$F$5:$F$20,MATCH($C296,Mapping!$A$5:$A$20,0)),"all")</f>
        <v/>
      </c>
      <c r="O296" s="5">
        <f>INDEX(Mapping!$E$5:$E$20,MATCH($C296,Mapping!$A$5:$A$20,0))</f>
        <v/>
      </c>
      <c r="P296" s="5">
        <f>INDEX(Mapping!$G$24:$G$31,MATCH($B296,Mapping!$A$24:$A$31,0))</f>
        <v/>
      </c>
      <c r="Q296" s="21" t="n"/>
      <c r="R296" s="21" t="n"/>
      <c r="S296" s="21" t="n"/>
      <c r="T296" s="21" t="n"/>
      <c r="U296" s="21" t="n"/>
      <c r="V296" s="21" t="n"/>
      <c r="W296" s="21" t="n"/>
      <c r="X296" s="21" t="n"/>
      <c r="Y296" s="21" t="n"/>
      <c r="Z296" s="21" t="n"/>
      <c r="AA296" s="21" t="n"/>
      <c r="AB296" s="21" t="n"/>
      <c r="AC296" s="21" t="n"/>
      <c r="AD296" s="21" t="n"/>
      <c r="AE296" s="21" t="n"/>
      <c r="AF296" s="21" t="n"/>
      <c r="AG296" s="21" t="n"/>
      <c r="AH296" s="21" t="n"/>
      <c r="AI296" s="21" t="n"/>
      <c r="AJ296" s="21" t="n"/>
      <c r="AL296" s="23">
        <f>AL36+AL166</f>
        <v/>
      </c>
      <c r="AM296" s="22">
        <f>AM36+AM166</f>
        <v/>
      </c>
      <c r="AN296" s="22">
        <f>AN36+AN166</f>
        <v/>
      </c>
      <c r="AO296" s="22">
        <f>AO36+AO166</f>
        <v/>
      </c>
      <c r="AP296" s="22">
        <f>AP36+AP166</f>
        <v/>
      </c>
      <c r="AQ296" s="22">
        <f>AQ36+AQ166</f>
        <v/>
      </c>
      <c r="AR296" s="22">
        <f>AR36+AR166</f>
        <v/>
      </c>
      <c r="AS296" s="22">
        <f>AS36+AS166</f>
        <v/>
      </c>
      <c r="AT296" s="22">
        <f>AT36+AT166</f>
        <v/>
      </c>
      <c r="AU296" s="22">
        <f>AU36+AU166</f>
        <v/>
      </c>
      <c r="AV296" s="22">
        <f>AV36+AV166</f>
        <v/>
      </c>
      <c r="AW296" s="22">
        <f>AW36+AW166</f>
        <v/>
      </c>
      <c r="AX296" s="22">
        <f>AX36+AX166</f>
        <v/>
      </c>
      <c r="AY296" s="22">
        <f>AY36+AY166</f>
        <v/>
      </c>
      <c r="BA296" s="23">
        <f>BA36+BA166</f>
        <v/>
      </c>
      <c r="BB296" s="22">
        <f>BB36+BB166</f>
        <v/>
      </c>
      <c r="BC296" s="22">
        <f>BC36+BC166</f>
        <v/>
      </c>
      <c r="BD296" s="22">
        <f>BD36+BD166</f>
        <v/>
      </c>
      <c r="BE296" s="22">
        <f>BE36+BE166</f>
        <v/>
      </c>
      <c r="BF296" s="22">
        <f>BF36+BF166</f>
        <v/>
      </c>
      <c r="BG296" s="22">
        <f>BG36+BG166</f>
        <v/>
      </c>
      <c r="BH296" s="22">
        <f>BH36+BH166</f>
        <v/>
      </c>
      <c r="BI296" s="22">
        <f>BI36+BI166</f>
        <v/>
      </c>
      <c r="BJ296" s="22">
        <f>BJ36+BJ166</f>
        <v/>
      </c>
      <c r="BK296" s="22">
        <f>BK36+BK166</f>
        <v/>
      </c>
      <c r="BL296" s="22">
        <f>BL36+BL166</f>
        <v/>
      </c>
      <c r="BM296" s="22">
        <f>BM36+BM166</f>
        <v/>
      </c>
      <c r="BN296" s="22">
        <f>BN36+BN166</f>
        <v/>
      </c>
    </row>
    <row r="297">
      <c r="B297" s="5" t="inlineStr">
        <is>
          <t>gso</t>
        </is>
      </c>
      <c r="C297" s="5" t="inlineStr">
        <is>
          <t>nav</t>
        </is>
      </c>
      <c r="D297" s="5" t="inlineStr">
        <is>
          <t>Post-tax price | Domestic navigation | Gasoline</t>
        </is>
      </c>
      <c r="E297" s="5" t="inlineStr">
        <is>
          <t>$/GJ</t>
        </is>
      </c>
      <c r="F297" s="5" t="inlineStr">
        <is>
          <t>Calculation</t>
        </is>
      </c>
      <c r="G297" s="19" t="inlineStr"/>
      <c r="H297" s="19" t="inlineStr">
        <is>
          <t>mit.ptp.gso.nav</t>
        </is>
      </c>
      <c r="J297" s="5">
        <f>INDEX(Mapping!$C$5:$C$20,MATCH($C297,Mapping!$A$5:$A$20,0))</f>
        <v/>
      </c>
      <c r="K297" s="5">
        <f>INDEX(Mapping!$D$5:$D$20,MATCH($C297,Mapping!$A$5:$A$20,0))</f>
        <v/>
      </c>
      <c r="L297" s="5">
        <f>INDEX(Mapping!$C$24:$C$31,MATCH($B297,Mapping!$A$24:$A$31,0))</f>
        <v/>
      </c>
      <c r="M297" s="5">
        <f>INDEX(Mapping!$D$24:$D$31,MATCH($B297,Mapping!$A$24:$A$31,0))</f>
        <v/>
      </c>
      <c r="N297" s="5">
        <f>$B297&amp;"."&amp;IF(INDEX(Mapping!$E$24:$E$31,MATCH($B297,Mapping!$A$24:$A$31,0))="sub",INDEX(Mapping!$F$5:$F$20,MATCH($C297,Mapping!$A$5:$A$20,0)),"all")</f>
        <v/>
      </c>
      <c r="O297" s="5">
        <f>INDEX(Mapping!$E$5:$E$20,MATCH($C297,Mapping!$A$5:$A$20,0))</f>
        <v/>
      </c>
      <c r="P297" s="5">
        <f>INDEX(Mapping!$G$24:$G$31,MATCH($B297,Mapping!$A$24:$A$31,0))</f>
        <v/>
      </c>
      <c r="Q297" s="21" t="n"/>
      <c r="R297" s="21" t="n"/>
      <c r="S297" s="21" t="n"/>
      <c r="T297" s="21" t="n"/>
      <c r="U297" s="21" t="n"/>
      <c r="V297" s="21" t="n"/>
      <c r="W297" s="21" t="n"/>
      <c r="X297" s="21" t="n"/>
      <c r="Y297" s="21" t="n"/>
      <c r="Z297" s="21" t="n"/>
      <c r="AA297" s="21" t="n"/>
      <c r="AB297" s="21" t="n"/>
      <c r="AC297" s="21" t="n"/>
      <c r="AD297" s="21" t="n"/>
      <c r="AE297" s="21" t="n"/>
      <c r="AF297" s="21" t="n"/>
      <c r="AG297" s="21" t="n"/>
      <c r="AH297" s="21" t="n"/>
      <c r="AI297" s="21" t="n"/>
      <c r="AJ297" s="21" t="n"/>
      <c r="AL297" s="23">
        <f>AL37+AL167</f>
        <v/>
      </c>
      <c r="AM297" s="22">
        <f>AM37+AM167</f>
        <v/>
      </c>
      <c r="AN297" s="22">
        <f>AN37+AN167</f>
        <v/>
      </c>
      <c r="AO297" s="22">
        <f>AO37+AO167</f>
        <v/>
      </c>
      <c r="AP297" s="22">
        <f>AP37+AP167</f>
        <v/>
      </c>
      <c r="AQ297" s="22">
        <f>AQ37+AQ167</f>
        <v/>
      </c>
      <c r="AR297" s="22">
        <f>AR37+AR167</f>
        <v/>
      </c>
      <c r="AS297" s="22">
        <f>AS37+AS167</f>
        <v/>
      </c>
      <c r="AT297" s="22">
        <f>AT37+AT167</f>
        <v/>
      </c>
      <c r="AU297" s="22">
        <f>AU37+AU167</f>
        <v/>
      </c>
      <c r="AV297" s="22">
        <f>AV37+AV167</f>
        <v/>
      </c>
      <c r="AW297" s="22">
        <f>AW37+AW167</f>
        <v/>
      </c>
      <c r="AX297" s="22">
        <f>AX37+AX167</f>
        <v/>
      </c>
      <c r="AY297" s="22">
        <f>AY37+AY167</f>
        <v/>
      </c>
      <c r="BA297" s="23">
        <f>BA37+BA167</f>
        <v/>
      </c>
      <c r="BB297" s="22">
        <f>BB37+BB167</f>
        <v/>
      </c>
      <c r="BC297" s="22">
        <f>BC37+BC167</f>
        <v/>
      </c>
      <c r="BD297" s="22">
        <f>BD37+BD167</f>
        <v/>
      </c>
      <c r="BE297" s="22">
        <f>BE37+BE167</f>
        <v/>
      </c>
      <c r="BF297" s="22">
        <f>BF37+BF167</f>
        <v/>
      </c>
      <c r="BG297" s="22">
        <f>BG37+BG167</f>
        <v/>
      </c>
      <c r="BH297" s="22">
        <f>BH37+BH167</f>
        <v/>
      </c>
      <c r="BI297" s="22">
        <f>BI37+BI167</f>
        <v/>
      </c>
      <c r="BJ297" s="22">
        <f>BJ37+BJ167</f>
        <v/>
      </c>
      <c r="BK297" s="22">
        <f>BK37+BK167</f>
        <v/>
      </c>
      <c r="BL297" s="22">
        <f>BL37+BL167</f>
        <v/>
      </c>
      <c r="BM297" s="22">
        <f>BM37+BM167</f>
        <v/>
      </c>
      <c r="BN297" s="22">
        <f>BN37+BN167</f>
        <v/>
      </c>
    </row>
    <row r="298">
      <c r="B298" s="5" t="inlineStr">
        <is>
          <t>die</t>
        </is>
      </c>
      <c r="C298" s="5" t="inlineStr">
        <is>
          <t>nav</t>
        </is>
      </c>
      <c r="D298" s="5" t="inlineStr">
        <is>
          <t>Post-tax price | Domestic navigation | Diesel</t>
        </is>
      </c>
      <c r="E298" s="5" t="inlineStr">
        <is>
          <t>$/GJ</t>
        </is>
      </c>
      <c r="F298" s="5" t="inlineStr">
        <is>
          <t>Calculation</t>
        </is>
      </c>
      <c r="G298" s="19" t="inlineStr"/>
      <c r="H298" s="19" t="inlineStr">
        <is>
          <t>mit.ptp.die.nav</t>
        </is>
      </c>
      <c r="J298" s="5">
        <f>INDEX(Mapping!$C$5:$C$20,MATCH($C298,Mapping!$A$5:$A$20,0))</f>
        <v/>
      </c>
      <c r="K298" s="5">
        <f>INDEX(Mapping!$D$5:$D$20,MATCH($C298,Mapping!$A$5:$A$20,0))</f>
        <v/>
      </c>
      <c r="L298" s="5">
        <f>INDEX(Mapping!$C$24:$C$31,MATCH($B298,Mapping!$A$24:$A$31,0))</f>
        <v/>
      </c>
      <c r="M298" s="5">
        <f>INDEX(Mapping!$D$24:$D$31,MATCH($B298,Mapping!$A$24:$A$31,0))</f>
        <v/>
      </c>
      <c r="N298" s="5">
        <f>$B298&amp;"."&amp;IF(INDEX(Mapping!$E$24:$E$31,MATCH($B298,Mapping!$A$24:$A$31,0))="sub",INDEX(Mapping!$F$5:$F$20,MATCH($C298,Mapping!$A$5:$A$20,0)),"all")</f>
        <v/>
      </c>
      <c r="O298" s="5">
        <f>INDEX(Mapping!$E$5:$E$20,MATCH($C298,Mapping!$A$5:$A$20,0))</f>
        <v/>
      </c>
      <c r="P298" s="5">
        <f>INDEX(Mapping!$G$24:$G$31,MATCH($B298,Mapping!$A$24:$A$31,0))</f>
        <v/>
      </c>
      <c r="Q298" s="21" t="n"/>
      <c r="R298" s="21" t="n"/>
      <c r="S298" s="21" t="n"/>
      <c r="T298" s="21" t="n"/>
      <c r="U298" s="21" t="n"/>
      <c r="V298" s="21" t="n"/>
      <c r="W298" s="21" t="n"/>
      <c r="X298" s="21" t="n"/>
      <c r="Y298" s="21" t="n"/>
      <c r="Z298" s="21" t="n"/>
      <c r="AA298" s="21" t="n"/>
      <c r="AB298" s="21" t="n"/>
      <c r="AC298" s="21" t="n"/>
      <c r="AD298" s="21" t="n"/>
      <c r="AE298" s="21" t="n"/>
      <c r="AF298" s="21" t="n"/>
      <c r="AG298" s="21" t="n"/>
      <c r="AH298" s="21" t="n"/>
      <c r="AI298" s="21" t="n"/>
      <c r="AJ298" s="21" t="n"/>
      <c r="AL298" s="23">
        <f>AL38+AL168</f>
        <v/>
      </c>
      <c r="AM298" s="22">
        <f>AM38+AM168</f>
        <v/>
      </c>
      <c r="AN298" s="22">
        <f>AN38+AN168</f>
        <v/>
      </c>
      <c r="AO298" s="22">
        <f>AO38+AO168</f>
        <v/>
      </c>
      <c r="AP298" s="22">
        <f>AP38+AP168</f>
        <v/>
      </c>
      <c r="AQ298" s="22">
        <f>AQ38+AQ168</f>
        <v/>
      </c>
      <c r="AR298" s="22">
        <f>AR38+AR168</f>
        <v/>
      </c>
      <c r="AS298" s="22">
        <f>AS38+AS168</f>
        <v/>
      </c>
      <c r="AT298" s="22">
        <f>AT38+AT168</f>
        <v/>
      </c>
      <c r="AU298" s="22">
        <f>AU38+AU168</f>
        <v/>
      </c>
      <c r="AV298" s="22">
        <f>AV38+AV168</f>
        <v/>
      </c>
      <c r="AW298" s="22">
        <f>AW38+AW168</f>
        <v/>
      </c>
      <c r="AX298" s="22">
        <f>AX38+AX168</f>
        <v/>
      </c>
      <c r="AY298" s="22">
        <f>AY38+AY168</f>
        <v/>
      </c>
      <c r="BA298" s="23">
        <f>BA38+BA168</f>
        <v/>
      </c>
      <c r="BB298" s="22">
        <f>BB38+BB168</f>
        <v/>
      </c>
      <c r="BC298" s="22">
        <f>BC38+BC168</f>
        <v/>
      </c>
      <c r="BD298" s="22">
        <f>BD38+BD168</f>
        <v/>
      </c>
      <c r="BE298" s="22">
        <f>BE38+BE168</f>
        <v/>
      </c>
      <c r="BF298" s="22">
        <f>BF38+BF168</f>
        <v/>
      </c>
      <c r="BG298" s="22">
        <f>BG38+BG168</f>
        <v/>
      </c>
      <c r="BH298" s="22">
        <f>BH38+BH168</f>
        <v/>
      </c>
      <c r="BI298" s="22">
        <f>BI38+BI168</f>
        <v/>
      </c>
      <c r="BJ298" s="22">
        <f>BJ38+BJ168</f>
        <v/>
      </c>
      <c r="BK298" s="22">
        <f>BK38+BK168</f>
        <v/>
      </c>
      <c r="BL298" s="22">
        <f>BL38+BL168</f>
        <v/>
      </c>
      <c r="BM298" s="22">
        <f>BM38+BM168</f>
        <v/>
      </c>
      <c r="BN298" s="22">
        <f>BN38+BN168</f>
        <v/>
      </c>
    </row>
    <row r="299">
      <c r="B299" s="5" t="inlineStr">
        <is>
          <t>lpg</t>
        </is>
      </c>
      <c r="C299" s="5" t="inlineStr">
        <is>
          <t>nav</t>
        </is>
      </c>
      <c r="D299" s="5" t="inlineStr">
        <is>
          <t>Post-tax price | Domestic navigation | LPG</t>
        </is>
      </c>
      <c r="E299" s="5" t="inlineStr">
        <is>
          <t>$/GJ</t>
        </is>
      </c>
      <c r="F299" s="5" t="inlineStr">
        <is>
          <t>Calculation</t>
        </is>
      </c>
      <c r="G299" s="19" t="inlineStr"/>
      <c r="H299" s="19" t="inlineStr">
        <is>
          <t>mit.ptp.lpg.nav</t>
        </is>
      </c>
      <c r="J299" s="5">
        <f>INDEX(Mapping!$C$5:$C$20,MATCH($C299,Mapping!$A$5:$A$20,0))</f>
        <v/>
      </c>
      <c r="K299" s="5">
        <f>INDEX(Mapping!$D$5:$D$20,MATCH($C299,Mapping!$A$5:$A$20,0))</f>
        <v/>
      </c>
      <c r="L299" s="5">
        <f>INDEX(Mapping!$C$24:$C$31,MATCH($B299,Mapping!$A$24:$A$31,0))</f>
        <v/>
      </c>
      <c r="M299" s="5">
        <f>INDEX(Mapping!$D$24:$D$31,MATCH($B299,Mapping!$A$24:$A$31,0))</f>
        <v/>
      </c>
      <c r="N299" s="5">
        <f>$B299&amp;"."&amp;IF(INDEX(Mapping!$E$24:$E$31,MATCH($B299,Mapping!$A$24:$A$31,0))="sub",INDEX(Mapping!$F$5:$F$20,MATCH($C299,Mapping!$A$5:$A$20,0)),"all")</f>
        <v/>
      </c>
      <c r="O299" s="5">
        <f>INDEX(Mapping!$E$5:$E$20,MATCH($C299,Mapping!$A$5:$A$20,0))</f>
        <v/>
      </c>
      <c r="P299" s="5">
        <f>INDEX(Mapping!$G$24:$G$31,MATCH($B299,Mapping!$A$24:$A$31,0))</f>
        <v/>
      </c>
      <c r="Q299" s="21" t="n"/>
      <c r="R299" s="21" t="n"/>
      <c r="S299" s="21" t="n"/>
      <c r="T299" s="21" t="n"/>
      <c r="U299" s="21" t="n"/>
      <c r="V299" s="21" t="n"/>
      <c r="W299" s="21" t="n"/>
      <c r="X299" s="21" t="n"/>
      <c r="Y299" s="21" t="n"/>
      <c r="Z299" s="21" t="n"/>
      <c r="AA299" s="21" t="n"/>
      <c r="AB299" s="21" t="n"/>
      <c r="AC299" s="21" t="n"/>
      <c r="AD299" s="21" t="n"/>
      <c r="AE299" s="21" t="n"/>
      <c r="AF299" s="21" t="n"/>
      <c r="AG299" s="21" t="n"/>
      <c r="AH299" s="21" t="n"/>
      <c r="AI299" s="21" t="n"/>
      <c r="AJ299" s="21" t="n"/>
      <c r="AL299" s="23">
        <f>AL39+AL169</f>
        <v/>
      </c>
      <c r="AM299" s="22">
        <f>AM39+AM169</f>
        <v/>
      </c>
      <c r="AN299" s="22">
        <f>AN39+AN169</f>
        <v/>
      </c>
      <c r="AO299" s="22">
        <f>AO39+AO169</f>
        <v/>
      </c>
      <c r="AP299" s="22">
        <f>AP39+AP169</f>
        <v/>
      </c>
      <c r="AQ299" s="22">
        <f>AQ39+AQ169</f>
        <v/>
      </c>
      <c r="AR299" s="22">
        <f>AR39+AR169</f>
        <v/>
      </c>
      <c r="AS299" s="22">
        <f>AS39+AS169</f>
        <v/>
      </c>
      <c r="AT299" s="22">
        <f>AT39+AT169</f>
        <v/>
      </c>
      <c r="AU299" s="22">
        <f>AU39+AU169</f>
        <v/>
      </c>
      <c r="AV299" s="22">
        <f>AV39+AV169</f>
        <v/>
      </c>
      <c r="AW299" s="22">
        <f>AW39+AW169</f>
        <v/>
      </c>
      <c r="AX299" s="22">
        <f>AX39+AX169</f>
        <v/>
      </c>
      <c r="AY299" s="22">
        <f>AY39+AY169</f>
        <v/>
      </c>
      <c r="BA299" s="23">
        <f>BA39+BA169</f>
        <v/>
      </c>
      <c r="BB299" s="22">
        <f>BB39+BB169</f>
        <v/>
      </c>
      <c r="BC299" s="22">
        <f>BC39+BC169</f>
        <v/>
      </c>
      <c r="BD299" s="22">
        <f>BD39+BD169</f>
        <v/>
      </c>
      <c r="BE299" s="22">
        <f>BE39+BE169</f>
        <v/>
      </c>
      <c r="BF299" s="22">
        <f>BF39+BF169</f>
        <v/>
      </c>
      <c r="BG299" s="22">
        <f>BG39+BG169</f>
        <v/>
      </c>
      <c r="BH299" s="22">
        <f>BH39+BH169</f>
        <v/>
      </c>
      <c r="BI299" s="22">
        <f>BI39+BI169</f>
        <v/>
      </c>
      <c r="BJ299" s="22">
        <f>BJ39+BJ169</f>
        <v/>
      </c>
      <c r="BK299" s="22">
        <f>BK39+BK169</f>
        <v/>
      </c>
      <c r="BL299" s="22">
        <f>BL39+BL169</f>
        <v/>
      </c>
      <c r="BM299" s="22">
        <f>BM39+BM169</f>
        <v/>
      </c>
      <c r="BN299" s="22">
        <f>BN39+BN169</f>
        <v/>
      </c>
    </row>
    <row r="300">
      <c r="B300" s="5" t="inlineStr">
        <is>
          <t>ker</t>
        </is>
      </c>
      <c r="C300" s="5" t="inlineStr">
        <is>
          <t>nav</t>
        </is>
      </c>
      <c r="D300" s="5" t="inlineStr">
        <is>
          <t>Post-tax price | Domestic navigation | Kerosene</t>
        </is>
      </c>
      <c r="E300" s="5" t="inlineStr">
        <is>
          <t>$/GJ</t>
        </is>
      </c>
      <c r="F300" s="5" t="inlineStr">
        <is>
          <t>Calculation</t>
        </is>
      </c>
      <c r="G300" s="19" t="inlineStr"/>
      <c r="H300" s="19" t="inlineStr">
        <is>
          <t>mit.ptp.ker.nav</t>
        </is>
      </c>
      <c r="J300" s="5">
        <f>INDEX(Mapping!$C$5:$C$20,MATCH($C300,Mapping!$A$5:$A$20,0))</f>
        <v/>
      </c>
      <c r="K300" s="5">
        <f>INDEX(Mapping!$D$5:$D$20,MATCH($C300,Mapping!$A$5:$A$20,0))</f>
        <v/>
      </c>
      <c r="L300" s="5">
        <f>INDEX(Mapping!$C$24:$C$31,MATCH($B300,Mapping!$A$24:$A$31,0))</f>
        <v/>
      </c>
      <c r="M300" s="5">
        <f>INDEX(Mapping!$D$24:$D$31,MATCH($B300,Mapping!$A$24:$A$31,0))</f>
        <v/>
      </c>
      <c r="N300" s="5">
        <f>$B300&amp;"."&amp;IF(INDEX(Mapping!$E$24:$E$31,MATCH($B300,Mapping!$A$24:$A$31,0))="sub",INDEX(Mapping!$F$5:$F$20,MATCH($C300,Mapping!$A$5:$A$20,0)),"all")</f>
        <v/>
      </c>
      <c r="O300" s="5">
        <f>INDEX(Mapping!$E$5:$E$20,MATCH($C300,Mapping!$A$5:$A$20,0))</f>
        <v/>
      </c>
      <c r="P300" s="5">
        <f>INDEX(Mapping!$G$24:$G$31,MATCH($B300,Mapping!$A$24:$A$31,0))</f>
        <v/>
      </c>
      <c r="Q300" s="21" t="n"/>
      <c r="R300" s="21" t="n"/>
      <c r="S300" s="21" t="n"/>
      <c r="T300" s="21" t="n"/>
      <c r="U300" s="21" t="n"/>
      <c r="V300" s="21" t="n"/>
      <c r="W300" s="21" t="n"/>
      <c r="X300" s="21" t="n"/>
      <c r="Y300" s="21" t="n"/>
      <c r="Z300" s="21" t="n"/>
      <c r="AA300" s="21" t="n"/>
      <c r="AB300" s="21" t="n"/>
      <c r="AC300" s="21" t="n"/>
      <c r="AD300" s="21" t="n"/>
      <c r="AE300" s="21" t="n"/>
      <c r="AF300" s="21" t="n"/>
      <c r="AG300" s="21" t="n"/>
      <c r="AH300" s="21" t="n"/>
      <c r="AI300" s="21" t="n"/>
      <c r="AJ300" s="21" t="n"/>
      <c r="AL300" s="23">
        <f>AL40+AL170</f>
        <v/>
      </c>
      <c r="AM300" s="22">
        <f>AM40+AM170</f>
        <v/>
      </c>
      <c r="AN300" s="22">
        <f>AN40+AN170</f>
        <v/>
      </c>
      <c r="AO300" s="22">
        <f>AO40+AO170</f>
        <v/>
      </c>
      <c r="AP300" s="22">
        <f>AP40+AP170</f>
        <v/>
      </c>
      <c r="AQ300" s="22">
        <f>AQ40+AQ170</f>
        <v/>
      </c>
      <c r="AR300" s="22">
        <f>AR40+AR170</f>
        <v/>
      </c>
      <c r="AS300" s="22">
        <f>AS40+AS170</f>
        <v/>
      </c>
      <c r="AT300" s="22">
        <f>AT40+AT170</f>
        <v/>
      </c>
      <c r="AU300" s="22">
        <f>AU40+AU170</f>
        <v/>
      </c>
      <c r="AV300" s="22">
        <f>AV40+AV170</f>
        <v/>
      </c>
      <c r="AW300" s="22">
        <f>AW40+AW170</f>
        <v/>
      </c>
      <c r="AX300" s="22">
        <f>AX40+AX170</f>
        <v/>
      </c>
      <c r="AY300" s="22">
        <f>AY40+AY170</f>
        <v/>
      </c>
      <c r="BA300" s="23">
        <f>BA40+BA170</f>
        <v/>
      </c>
      <c r="BB300" s="22">
        <f>BB40+BB170</f>
        <v/>
      </c>
      <c r="BC300" s="22">
        <f>BC40+BC170</f>
        <v/>
      </c>
      <c r="BD300" s="22">
        <f>BD40+BD170</f>
        <v/>
      </c>
      <c r="BE300" s="22">
        <f>BE40+BE170</f>
        <v/>
      </c>
      <c r="BF300" s="22">
        <f>BF40+BF170</f>
        <v/>
      </c>
      <c r="BG300" s="22">
        <f>BG40+BG170</f>
        <v/>
      </c>
      <c r="BH300" s="22">
        <f>BH40+BH170</f>
        <v/>
      </c>
      <c r="BI300" s="22">
        <f>BI40+BI170</f>
        <v/>
      </c>
      <c r="BJ300" s="22">
        <f>BJ40+BJ170</f>
        <v/>
      </c>
      <c r="BK300" s="22">
        <f>BK40+BK170</f>
        <v/>
      </c>
      <c r="BL300" s="22">
        <f>BL40+BL170</f>
        <v/>
      </c>
      <c r="BM300" s="22">
        <f>BM40+BM170</f>
        <v/>
      </c>
      <c r="BN300" s="22">
        <f>BN40+BN170</f>
        <v/>
      </c>
    </row>
    <row r="301">
      <c r="B301" s="5" t="inlineStr">
        <is>
          <t>oop</t>
        </is>
      </c>
      <c r="C301" s="5" t="inlineStr">
        <is>
          <t>nav</t>
        </is>
      </c>
      <c r="D301" s="5" t="inlineStr">
        <is>
          <t>Post-tax price | Domestic navigation | Other oil products</t>
        </is>
      </c>
      <c r="E301" s="5" t="inlineStr">
        <is>
          <t>$/GJ</t>
        </is>
      </c>
      <c r="F301" s="5" t="inlineStr">
        <is>
          <t>Calculation</t>
        </is>
      </c>
      <c r="G301" s="19" t="inlineStr"/>
      <c r="H301" s="19" t="inlineStr">
        <is>
          <t>mit.ptp.oop.nav</t>
        </is>
      </c>
      <c r="J301" s="5">
        <f>INDEX(Mapping!$C$5:$C$20,MATCH($C301,Mapping!$A$5:$A$20,0))</f>
        <v/>
      </c>
      <c r="K301" s="5">
        <f>INDEX(Mapping!$D$5:$D$20,MATCH($C301,Mapping!$A$5:$A$20,0))</f>
        <v/>
      </c>
      <c r="L301" s="5">
        <f>INDEX(Mapping!$C$24:$C$31,MATCH($B301,Mapping!$A$24:$A$31,0))</f>
        <v/>
      </c>
      <c r="M301" s="5">
        <f>INDEX(Mapping!$D$24:$D$31,MATCH($B301,Mapping!$A$24:$A$31,0))</f>
        <v/>
      </c>
      <c r="N301" s="5">
        <f>$B301&amp;"."&amp;IF(INDEX(Mapping!$E$24:$E$31,MATCH($B301,Mapping!$A$24:$A$31,0))="sub",INDEX(Mapping!$F$5:$F$20,MATCH($C301,Mapping!$A$5:$A$20,0)),"all")</f>
        <v/>
      </c>
      <c r="O301" s="5">
        <f>INDEX(Mapping!$E$5:$E$20,MATCH($C301,Mapping!$A$5:$A$20,0))</f>
        <v/>
      </c>
      <c r="P301" s="5">
        <f>INDEX(Mapping!$G$24:$G$31,MATCH($B301,Mapping!$A$24:$A$31,0))</f>
        <v/>
      </c>
      <c r="Q301" s="21" t="n"/>
      <c r="R301" s="21" t="n"/>
      <c r="S301" s="21" t="n"/>
      <c r="T301" s="21" t="n"/>
      <c r="U301" s="21" t="n"/>
      <c r="V301" s="21" t="n"/>
      <c r="W301" s="21" t="n"/>
      <c r="X301" s="21" t="n"/>
      <c r="Y301" s="21" t="n"/>
      <c r="Z301" s="21" t="n"/>
      <c r="AA301" s="21" t="n"/>
      <c r="AB301" s="21" t="n"/>
      <c r="AC301" s="21" t="n"/>
      <c r="AD301" s="21" t="n"/>
      <c r="AE301" s="21" t="n"/>
      <c r="AF301" s="21" t="n"/>
      <c r="AG301" s="21" t="n"/>
      <c r="AH301" s="21" t="n"/>
      <c r="AI301" s="21" t="n"/>
      <c r="AJ301" s="21" t="n"/>
      <c r="AL301" s="23">
        <f>AL41+AL171</f>
        <v/>
      </c>
      <c r="AM301" s="22">
        <f>AM41+AM171</f>
        <v/>
      </c>
      <c r="AN301" s="22">
        <f>AN41+AN171</f>
        <v/>
      </c>
      <c r="AO301" s="22">
        <f>AO41+AO171</f>
        <v/>
      </c>
      <c r="AP301" s="22">
        <f>AP41+AP171</f>
        <v/>
      </c>
      <c r="AQ301" s="22">
        <f>AQ41+AQ171</f>
        <v/>
      </c>
      <c r="AR301" s="22">
        <f>AR41+AR171</f>
        <v/>
      </c>
      <c r="AS301" s="22">
        <f>AS41+AS171</f>
        <v/>
      </c>
      <c r="AT301" s="22">
        <f>AT41+AT171</f>
        <v/>
      </c>
      <c r="AU301" s="22">
        <f>AU41+AU171</f>
        <v/>
      </c>
      <c r="AV301" s="22">
        <f>AV41+AV171</f>
        <v/>
      </c>
      <c r="AW301" s="22">
        <f>AW41+AW171</f>
        <v/>
      </c>
      <c r="AX301" s="22">
        <f>AX41+AX171</f>
        <v/>
      </c>
      <c r="AY301" s="22">
        <f>AY41+AY171</f>
        <v/>
      </c>
      <c r="BA301" s="23">
        <f>BA41+BA171</f>
        <v/>
      </c>
      <c r="BB301" s="22">
        <f>BB41+BB171</f>
        <v/>
      </c>
      <c r="BC301" s="22">
        <f>BC41+BC171</f>
        <v/>
      </c>
      <c r="BD301" s="22">
        <f>BD41+BD171</f>
        <v/>
      </c>
      <c r="BE301" s="22">
        <f>BE41+BE171</f>
        <v/>
      </c>
      <c r="BF301" s="22">
        <f>BF41+BF171</f>
        <v/>
      </c>
      <c r="BG301" s="22">
        <f>BG41+BG171</f>
        <v/>
      </c>
      <c r="BH301" s="22">
        <f>BH41+BH171</f>
        <v/>
      </c>
      <c r="BI301" s="22">
        <f>BI41+BI171</f>
        <v/>
      </c>
      <c r="BJ301" s="22">
        <f>BJ41+BJ171</f>
        <v/>
      </c>
      <c r="BK301" s="22">
        <f>BK41+BK171</f>
        <v/>
      </c>
      <c r="BL301" s="22">
        <f>BL41+BL171</f>
        <v/>
      </c>
      <c r="BM301" s="22">
        <f>BM41+BM171</f>
        <v/>
      </c>
      <c r="BN301" s="22">
        <f>BN41+BN171</f>
        <v/>
      </c>
    </row>
    <row r="302">
      <c r="B302" s="5" t="inlineStr">
        <is>
          <t>bio</t>
        </is>
      </c>
      <c r="C302" s="5" t="inlineStr">
        <is>
          <t>nav</t>
        </is>
      </c>
      <c r="D302" s="5" t="inlineStr">
        <is>
          <t>Post-tax price | Domestic navigation | Biomass</t>
        </is>
      </c>
      <c r="E302" s="5" t="inlineStr">
        <is>
          <t>$/GJ</t>
        </is>
      </c>
      <c r="F302" s="5" t="inlineStr">
        <is>
          <t>Calculation</t>
        </is>
      </c>
      <c r="G302" s="19" t="inlineStr"/>
      <c r="H302" s="19" t="inlineStr">
        <is>
          <t>mit.ptp.bio.nav</t>
        </is>
      </c>
      <c r="J302" s="5">
        <f>INDEX(Mapping!$C$5:$C$20,MATCH($C302,Mapping!$A$5:$A$20,0))</f>
        <v/>
      </c>
      <c r="K302" s="5">
        <f>INDEX(Mapping!$D$5:$D$20,MATCH($C302,Mapping!$A$5:$A$20,0))</f>
        <v/>
      </c>
      <c r="L302" s="5">
        <f>INDEX(Mapping!$C$24:$C$31,MATCH($B302,Mapping!$A$24:$A$31,0))</f>
        <v/>
      </c>
      <c r="M302" s="5">
        <f>INDEX(Mapping!$D$24:$D$31,MATCH($B302,Mapping!$A$24:$A$31,0))</f>
        <v/>
      </c>
      <c r="N302" s="5">
        <f>$B302&amp;"."&amp;IF(INDEX(Mapping!$E$24:$E$31,MATCH($B302,Mapping!$A$24:$A$31,0))="sub",INDEX(Mapping!$F$5:$F$20,MATCH($C302,Mapping!$A$5:$A$20,0)),"all")</f>
        <v/>
      </c>
      <c r="O302" s="5">
        <f>INDEX(Mapping!$E$5:$E$20,MATCH($C302,Mapping!$A$5:$A$20,0))</f>
        <v/>
      </c>
      <c r="P302" s="5">
        <f>INDEX(Mapping!$G$24:$G$31,MATCH($B302,Mapping!$A$24:$A$31,0))</f>
        <v/>
      </c>
      <c r="Q302" s="21" t="n"/>
      <c r="R302" s="21" t="n"/>
      <c r="S302" s="21" t="n"/>
      <c r="T302" s="21" t="n"/>
      <c r="U302" s="21" t="n"/>
      <c r="V302" s="21" t="n"/>
      <c r="W302" s="21" t="n"/>
      <c r="X302" s="21" t="n"/>
      <c r="Y302" s="21" t="n"/>
      <c r="Z302" s="21" t="n"/>
      <c r="AA302" s="21" t="n"/>
      <c r="AB302" s="21" t="n"/>
      <c r="AC302" s="21" t="n"/>
      <c r="AD302" s="21" t="n"/>
      <c r="AE302" s="21" t="n"/>
      <c r="AF302" s="21" t="n"/>
      <c r="AG302" s="21" t="n"/>
      <c r="AH302" s="21" t="n"/>
      <c r="AI302" s="21" t="n"/>
      <c r="AJ302" s="21" t="n"/>
      <c r="AL302" s="23">
        <f>AL42+AL172</f>
        <v/>
      </c>
      <c r="AM302" s="22">
        <f>AM42+AM172</f>
        <v/>
      </c>
      <c r="AN302" s="22">
        <f>AN42+AN172</f>
        <v/>
      </c>
      <c r="AO302" s="22">
        <f>AO42+AO172</f>
        <v/>
      </c>
      <c r="AP302" s="22">
        <f>AP42+AP172</f>
        <v/>
      </c>
      <c r="AQ302" s="22">
        <f>AQ42+AQ172</f>
        <v/>
      </c>
      <c r="AR302" s="22">
        <f>AR42+AR172</f>
        <v/>
      </c>
      <c r="AS302" s="22">
        <f>AS42+AS172</f>
        <v/>
      </c>
      <c r="AT302" s="22">
        <f>AT42+AT172</f>
        <v/>
      </c>
      <c r="AU302" s="22">
        <f>AU42+AU172</f>
        <v/>
      </c>
      <c r="AV302" s="22">
        <f>AV42+AV172</f>
        <v/>
      </c>
      <c r="AW302" s="22">
        <f>AW42+AW172</f>
        <v/>
      </c>
      <c r="AX302" s="22">
        <f>AX42+AX172</f>
        <v/>
      </c>
      <c r="AY302" s="22">
        <f>AY42+AY172</f>
        <v/>
      </c>
      <c r="BA302" s="23">
        <f>BA42+BA172</f>
        <v/>
      </c>
      <c r="BB302" s="22">
        <f>BB42+BB172</f>
        <v/>
      </c>
      <c r="BC302" s="22">
        <f>BC42+BC172</f>
        <v/>
      </c>
      <c r="BD302" s="22">
        <f>BD42+BD172</f>
        <v/>
      </c>
      <c r="BE302" s="22">
        <f>BE42+BE172</f>
        <v/>
      </c>
      <c r="BF302" s="22">
        <f>BF42+BF172</f>
        <v/>
      </c>
      <c r="BG302" s="22">
        <f>BG42+BG172</f>
        <v/>
      </c>
      <c r="BH302" s="22">
        <f>BH42+BH172</f>
        <v/>
      </c>
      <c r="BI302" s="22">
        <f>BI42+BI172</f>
        <v/>
      </c>
      <c r="BJ302" s="22">
        <f>BJ42+BJ172</f>
        <v/>
      </c>
      <c r="BK302" s="22">
        <f>BK42+BK172</f>
        <v/>
      </c>
      <c r="BL302" s="22">
        <f>BL42+BL172</f>
        <v/>
      </c>
      <c r="BM302" s="22">
        <f>BM42+BM172</f>
        <v/>
      </c>
      <c r="BN302" s="22">
        <f>BN42+BN172</f>
        <v/>
      </c>
    </row>
    <row r="303">
      <c r="B303" s="5" t="inlineStr">
        <is>
          <t>coa</t>
        </is>
      </c>
      <c r="C303" s="5" t="inlineStr">
        <is>
          <t>res</t>
        </is>
      </c>
      <c r="D303" s="5" t="inlineStr">
        <is>
          <t>Post-tax price | Residential | Coal</t>
        </is>
      </c>
      <c r="E303" s="5" t="inlineStr">
        <is>
          <t>$/GJ</t>
        </is>
      </c>
      <c r="F303" s="5" t="inlineStr">
        <is>
          <t>Calculation</t>
        </is>
      </c>
      <c r="G303" s="19" t="inlineStr"/>
      <c r="H303" s="19" t="inlineStr">
        <is>
          <t>mit.ptp.coa.res</t>
        </is>
      </c>
      <c r="J303" s="5">
        <f>INDEX(Mapping!$C$5:$C$20,MATCH($C303,Mapping!$A$5:$A$20,0))</f>
        <v/>
      </c>
      <c r="K303" s="5">
        <f>INDEX(Mapping!$D$5:$D$20,MATCH($C303,Mapping!$A$5:$A$20,0))</f>
        <v/>
      </c>
      <c r="L303" s="5">
        <f>INDEX(Mapping!$C$24:$C$31,MATCH($B303,Mapping!$A$24:$A$31,0))</f>
        <v/>
      </c>
      <c r="M303" s="5">
        <f>INDEX(Mapping!$D$24:$D$31,MATCH($B303,Mapping!$A$24:$A$31,0))</f>
        <v/>
      </c>
      <c r="N303" s="5">
        <f>$B303&amp;"."&amp;IF(INDEX(Mapping!$E$24:$E$31,MATCH($B303,Mapping!$A$24:$A$31,0))="sub",INDEX(Mapping!$F$5:$F$20,MATCH($C303,Mapping!$A$5:$A$20,0)),"all")</f>
        <v/>
      </c>
      <c r="O303" s="5">
        <f>INDEX(Mapping!$E$5:$E$20,MATCH($C303,Mapping!$A$5:$A$20,0))</f>
        <v/>
      </c>
      <c r="P303" s="5">
        <f>INDEX(Mapping!$G$24:$G$31,MATCH($B303,Mapping!$A$24:$A$31,0))</f>
        <v/>
      </c>
      <c r="Q303" s="21" t="n"/>
      <c r="R303" s="21" t="n"/>
      <c r="S303" s="21" t="n"/>
      <c r="T303" s="21" t="n"/>
      <c r="U303" s="21" t="n"/>
      <c r="V303" s="21" t="n"/>
      <c r="W303" s="21" t="n"/>
      <c r="X303" s="21" t="n"/>
      <c r="Y303" s="21" t="n"/>
      <c r="Z303" s="21" t="n"/>
      <c r="AA303" s="21" t="n"/>
      <c r="AB303" s="21" t="n"/>
      <c r="AC303" s="21" t="n"/>
      <c r="AD303" s="21" t="n"/>
      <c r="AE303" s="21" t="n"/>
      <c r="AF303" s="21" t="n"/>
      <c r="AG303" s="21" t="n"/>
      <c r="AH303" s="21" t="n"/>
      <c r="AI303" s="21" t="n"/>
      <c r="AJ303" s="21" t="n"/>
      <c r="AL303" s="23">
        <f>AL43+AL173</f>
        <v/>
      </c>
      <c r="AM303" s="22">
        <f>AM43+AM173</f>
        <v/>
      </c>
      <c r="AN303" s="22">
        <f>AN43+AN173</f>
        <v/>
      </c>
      <c r="AO303" s="22">
        <f>AO43+AO173</f>
        <v/>
      </c>
      <c r="AP303" s="22">
        <f>AP43+AP173</f>
        <v/>
      </c>
      <c r="AQ303" s="22">
        <f>AQ43+AQ173</f>
        <v/>
      </c>
      <c r="AR303" s="22">
        <f>AR43+AR173</f>
        <v/>
      </c>
      <c r="AS303" s="22">
        <f>AS43+AS173</f>
        <v/>
      </c>
      <c r="AT303" s="22">
        <f>AT43+AT173</f>
        <v/>
      </c>
      <c r="AU303" s="22">
        <f>AU43+AU173</f>
        <v/>
      </c>
      <c r="AV303" s="22">
        <f>AV43+AV173</f>
        <v/>
      </c>
      <c r="AW303" s="22">
        <f>AW43+AW173</f>
        <v/>
      </c>
      <c r="AX303" s="22">
        <f>AX43+AX173</f>
        <v/>
      </c>
      <c r="AY303" s="22">
        <f>AY43+AY173</f>
        <v/>
      </c>
      <c r="BA303" s="23">
        <f>BA43+BA173</f>
        <v/>
      </c>
      <c r="BB303" s="22">
        <f>BB43+BB173</f>
        <v/>
      </c>
      <c r="BC303" s="22">
        <f>BC43+BC173</f>
        <v/>
      </c>
      <c r="BD303" s="22">
        <f>BD43+BD173</f>
        <v/>
      </c>
      <c r="BE303" s="22">
        <f>BE43+BE173</f>
        <v/>
      </c>
      <c r="BF303" s="22">
        <f>BF43+BF173</f>
        <v/>
      </c>
      <c r="BG303" s="22">
        <f>BG43+BG173</f>
        <v/>
      </c>
      <c r="BH303" s="22">
        <f>BH43+BH173</f>
        <v/>
      </c>
      <c r="BI303" s="22">
        <f>BI43+BI173</f>
        <v/>
      </c>
      <c r="BJ303" s="22">
        <f>BJ43+BJ173</f>
        <v/>
      </c>
      <c r="BK303" s="22">
        <f>BK43+BK173</f>
        <v/>
      </c>
      <c r="BL303" s="22">
        <f>BL43+BL173</f>
        <v/>
      </c>
      <c r="BM303" s="22">
        <f>BM43+BM173</f>
        <v/>
      </c>
      <c r="BN303" s="22">
        <f>BN43+BN173</f>
        <v/>
      </c>
    </row>
    <row r="304">
      <c r="B304" s="5" t="inlineStr">
        <is>
          <t>nga</t>
        </is>
      </c>
      <c r="C304" s="5" t="inlineStr">
        <is>
          <t>res</t>
        </is>
      </c>
      <c r="D304" s="5" t="inlineStr">
        <is>
          <t>Post-tax price | Residential | Natural gas</t>
        </is>
      </c>
      <c r="E304" s="5" t="inlineStr">
        <is>
          <t>$/GJ</t>
        </is>
      </c>
      <c r="F304" s="5" t="inlineStr">
        <is>
          <t>Calculation</t>
        </is>
      </c>
      <c r="G304" s="19" t="inlineStr"/>
      <c r="H304" s="19" t="inlineStr">
        <is>
          <t>mit.ptp.nga.res</t>
        </is>
      </c>
      <c r="J304" s="5">
        <f>INDEX(Mapping!$C$5:$C$20,MATCH($C304,Mapping!$A$5:$A$20,0))</f>
        <v/>
      </c>
      <c r="K304" s="5">
        <f>INDEX(Mapping!$D$5:$D$20,MATCH($C304,Mapping!$A$5:$A$20,0))</f>
        <v/>
      </c>
      <c r="L304" s="5">
        <f>INDEX(Mapping!$C$24:$C$31,MATCH($B304,Mapping!$A$24:$A$31,0))</f>
        <v/>
      </c>
      <c r="M304" s="5">
        <f>INDEX(Mapping!$D$24:$D$31,MATCH($B304,Mapping!$A$24:$A$31,0))</f>
        <v/>
      </c>
      <c r="N304" s="5">
        <f>$B304&amp;"."&amp;IF(INDEX(Mapping!$E$24:$E$31,MATCH($B304,Mapping!$A$24:$A$31,0))="sub",INDEX(Mapping!$F$5:$F$20,MATCH($C304,Mapping!$A$5:$A$20,0)),"all")</f>
        <v/>
      </c>
      <c r="O304" s="5">
        <f>INDEX(Mapping!$E$5:$E$20,MATCH($C304,Mapping!$A$5:$A$20,0))</f>
        <v/>
      </c>
      <c r="P304" s="5">
        <f>INDEX(Mapping!$G$24:$G$31,MATCH($B304,Mapping!$A$24:$A$31,0))</f>
        <v/>
      </c>
      <c r="Q304" s="21" t="n"/>
      <c r="R304" s="21" t="n"/>
      <c r="S304" s="21" t="n"/>
      <c r="T304" s="21" t="n"/>
      <c r="U304" s="21" t="n"/>
      <c r="V304" s="21" t="n"/>
      <c r="W304" s="21" t="n"/>
      <c r="X304" s="21" t="n"/>
      <c r="Y304" s="21" t="n"/>
      <c r="Z304" s="21" t="n"/>
      <c r="AA304" s="21" t="n"/>
      <c r="AB304" s="21" t="n"/>
      <c r="AC304" s="21" t="n"/>
      <c r="AD304" s="21" t="n"/>
      <c r="AE304" s="21" t="n"/>
      <c r="AF304" s="21" t="n"/>
      <c r="AG304" s="21" t="n"/>
      <c r="AH304" s="21" t="n"/>
      <c r="AI304" s="21" t="n"/>
      <c r="AJ304" s="21" t="n"/>
      <c r="AL304" s="23">
        <f>AL44+AL174</f>
        <v/>
      </c>
      <c r="AM304" s="22">
        <f>AM44+AM174</f>
        <v/>
      </c>
      <c r="AN304" s="22">
        <f>AN44+AN174</f>
        <v/>
      </c>
      <c r="AO304" s="22">
        <f>AO44+AO174</f>
        <v/>
      </c>
      <c r="AP304" s="22">
        <f>AP44+AP174</f>
        <v/>
      </c>
      <c r="AQ304" s="22">
        <f>AQ44+AQ174</f>
        <v/>
      </c>
      <c r="AR304" s="22">
        <f>AR44+AR174</f>
        <v/>
      </c>
      <c r="AS304" s="22">
        <f>AS44+AS174</f>
        <v/>
      </c>
      <c r="AT304" s="22">
        <f>AT44+AT174</f>
        <v/>
      </c>
      <c r="AU304" s="22">
        <f>AU44+AU174</f>
        <v/>
      </c>
      <c r="AV304" s="22">
        <f>AV44+AV174</f>
        <v/>
      </c>
      <c r="AW304" s="22">
        <f>AW44+AW174</f>
        <v/>
      </c>
      <c r="AX304" s="22">
        <f>AX44+AX174</f>
        <v/>
      </c>
      <c r="AY304" s="22">
        <f>AY44+AY174</f>
        <v/>
      </c>
      <c r="BA304" s="23">
        <f>BA44+BA174</f>
        <v/>
      </c>
      <c r="BB304" s="22">
        <f>BB44+BB174</f>
        <v/>
      </c>
      <c r="BC304" s="22">
        <f>BC44+BC174</f>
        <v/>
      </c>
      <c r="BD304" s="22">
        <f>BD44+BD174</f>
        <v/>
      </c>
      <c r="BE304" s="22">
        <f>BE44+BE174</f>
        <v/>
      </c>
      <c r="BF304" s="22">
        <f>BF44+BF174</f>
        <v/>
      </c>
      <c r="BG304" s="22">
        <f>BG44+BG174</f>
        <v/>
      </c>
      <c r="BH304" s="22">
        <f>BH44+BH174</f>
        <v/>
      </c>
      <c r="BI304" s="22">
        <f>BI44+BI174</f>
        <v/>
      </c>
      <c r="BJ304" s="22">
        <f>BJ44+BJ174</f>
        <v/>
      </c>
      <c r="BK304" s="22">
        <f>BK44+BK174</f>
        <v/>
      </c>
      <c r="BL304" s="22">
        <f>BL44+BL174</f>
        <v/>
      </c>
      <c r="BM304" s="22">
        <f>BM44+BM174</f>
        <v/>
      </c>
      <c r="BN304" s="22">
        <f>BN44+BN174</f>
        <v/>
      </c>
    </row>
    <row r="305">
      <c r="B305" s="5" t="inlineStr">
        <is>
          <t>gso</t>
        </is>
      </c>
      <c r="C305" s="5" t="inlineStr">
        <is>
          <t>res</t>
        </is>
      </c>
      <c r="D305" s="5" t="inlineStr">
        <is>
          <t>Post-tax price | Residential | Gasoline</t>
        </is>
      </c>
      <c r="E305" s="5" t="inlineStr">
        <is>
          <t>$/GJ</t>
        </is>
      </c>
      <c r="F305" s="5" t="inlineStr">
        <is>
          <t>Calculation</t>
        </is>
      </c>
      <c r="G305" s="19" t="inlineStr"/>
      <c r="H305" s="19" t="inlineStr">
        <is>
          <t>mit.ptp.gso.res</t>
        </is>
      </c>
      <c r="J305" s="5">
        <f>INDEX(Mapping!$C$5:$C$20,MATCH($C305,Mapping!$A$5:$A$20,0))</f>
        <v/>
      </c>
      <c r="K305" s="5">
        <f>INDEX(Mapping!$D$5:$D$20,MATCH($C305,Mapping!$A$5:$A$20,0))</f>
        <v/>
      </c>
      <c r="L305" s="5">
        <f>INDEX(Mapping!$C$24:$C$31,MATCH($B305,Mapping!$A$24:$A$31,0))</f>
        <v/>
      </c>
      <c r="M305" s="5">
        <f>INDEX(Mapping!$D$24:$D$31,MATCH($B305,Mapping!$A$24:$A$31,0))</f>
        <v/>
      </c>
      <c r="N305" s="5">
        <f>$B305&amp;"."&amp;IF(INDEX(Mapping!$E$24:$E$31,MATCH($B305,Mapping!$A$24:$A$31,0))="sub",INDEX(Mapping!$F$5:$F$20,MATCH($C305,Mapping!$A$5:$A$20,0)),"all")</f>
        <v/>
      </c>
      <c r="O305" s="5">
        <f>INDEX(Mapping!$E$5:$E$20,MATCH($C305,Mapping!$A$5:$A$20,0))</f>
        <v/>
      </c>
      <c r="P305" s="5">
        <f>INDEX(Mapping!$G$24:$G$31,MATCH($B305,Mapping!$A$24:$A$31,0))</f>
        <v/>
      </c>
      <c r="Q305" s="21" t="n"/>
      <c r="R305" s="21" t="n"/>
      <c r="S305" s="21" t="n"/>
      <c r="T305" s="21" t="n"/>
      <c r="U305" s="21" t="n"/>
      <c r="V305" s="21" t="n"/>
      <c r="W305" s="21" t="n"/>
      <c r="X305" s="21" t="n"/>
      <c r="Y305" s="21" t="n"/>
      <c r="Z305" s="21" t="n"/>
      <c r="AA305" s="21" t="n"/>
      <c r="AB305" s="21" t="n"/>
      <c r="AC305" s="21" t="n"/>
      <c r="AD305" s="21" t="n"/>
      <c r="AE305" s="21" t="n"/>
      <c r="AF305" s="21" t="n"/>
      <c r="AG305" s="21" t="n"/>
      <c r="AH305" s="21" t="n"/>
      <c r="AI305" s="21" t="n"/>
      <c r="AJ305" s="21" t="n"/>
      <c r="AL305" s="23">
        <f>AL45+AL175</f>
        <v/>
      </c>
      <c r="AM305" s="22">
        <f>AM45+AM175</f>
        <v/>
      </c>
      <c r="AN305" s="22">
        <f>AN45+AN175</f>
        <v/>
      </c>
      <c r="AO305" s="22">
        <f>AO45+AO175</f>
        <v/>
      </c>
      <c r="AP305" s="22">
        <f>AP45+AP175</f>
        <v/>
      </c>
      <c r="AQ305" s="22">
        <f>AQ45+AQ175</f>
        <v/>
      </c>
      <c r="AR305" s="22">
        <f>AR45+AR175</f>
        <v/>
      </c>
      <c r="AS305" s="22">
        <f>AS45+AS175</f>
        <v/>
      </c>
      <c r="AT305" s="22">
        <f>AT45+AT175</f>
        <v/>
      </c>
      <c r="AU305" s="22">
        <f>AU45+AU175</f>
        <v/>
      </c>
      <c r="AV305" s="22">
        <f>AV45+AV175</f>
        <v/>
      </c>
      <c r="AW305" s="22">
        <f>AW45+AW175</f>
        <v/>
      </c>
      <c r="AX305" s="22">
        <f>AX45+AX175</f>
        <v/>
      </c>
      <c r="AY305" s="22">
        <f>AY45+AY175</f>
        <v/>
      </c>
      <c r="BA305" s="23">
        <f>BA45+BA175</f>
        <v/>
      </c>
      <c r="BB305" s="22">
        <f>BB45+BB175</f>
        <v/>
      </c>
      <c r="BC305" s="22">
        <f>BC45+BC175</f>
        <v/>
      </c>
      <c r="BD305" s="22">
        <f>BD45+BD175</f>
        <v/>
      </c>
      <c r="BE305" s="22">
        <f>BE45+BE175</f>
        <v/>
      </c>
      <c r="BF305" s="22">
        <f>BF45+BF175</f>
        <v/>
      </c>
      <c r="BG305" s="22">
        <f>BG45+BG175</f>
        <v/>
      </c>
      <c r="BH305" s="22">
        <f>BH45+BH175</f>
        <v/>
      </c>
      <c r="BI305" s="22">
        <f>BI45+BI175</f>
        <v/>
      </c>
      <c r="BJ305" s="22">
        <f>BJ45+BJ175</f>
        <v/>
      </c>
      <c r="BK305" s="22">
        <f>BK45+BK175</f>
        <v/>
      </c>
      <c r="BL305" s="22">
        <f>BL45+BL175</f>
        <v/>
      </c>
      <c r="BM305" s="22">
        <f>BM45+BM175</f>
        <v/>
      </c>
      <c r="BN305" s="22">
        <f>BN45+BN175</f>
        <v/>
      </c>
    </row>
    <row r="306">
      <c r="B306" s="5" t="inlineStr">
        <is>
          <t>die</t>
        </is>
      </c>
      <c r="C306" s="5" t="inlineStr">
        <is>
          <t>res</t>
        </is>
      </c>
      <c r="D306" s="5" t="inlineStr">
        <is>
          <t>Post-tax price | Residential | Diesel</t>
        </is>
      </c>
      <c r="E306" s="5" t="inlineStr">
        <is>
          <t>$/GJ</t>
        </is>
      </c>
      <c r="F306" s="5" t="inlineStr">
        <is>
          <t>Calculation</t>
        </is>
      </c>
      <c r="G306" s="19" t="inlineStr"/>
      <c r="H306" s="19" t="inlineStr">
        <is>
          <t>mit.ptp.die.res</t>
        </is>
      </c>
      <c r="J306" s="5">
        <f>INDEX(Mapping!$C$5:$C$20,MATCH($C306,Mapping!$A$5:$A$20,0))</f>
        <v/>
      </c>
      <c r="K306" s="5">
        <f>INDEX(Mapping!$D$5:$D$20,MATCH($C306,Mapping!$A$5:$A$20,0))</f>
        <v/>
      </c>
      <c r="L306" s="5">
        <f>INDEX(Mapping!$C$24:$C$31,MATCH($B306,Mapping!$A$24:$A$31,0))</f>
        <v/>
      </c>
      <c r="M306" s="5">
        <f>INDEX(Mapping!$D$24:$D$31,MATCH($B306,Mapping!$A$24:$A$31,0))</f>
        <v/>
      </c>
      <c r="N306" s="5">
        <f>$B306&amp;"."&amp;IF(INDEX(Mapping!$E$24:$E$31,MATCH($B306,Mapping!$A$24:$A$31,0))="sub",INDEX(Mapping!$F$5:$F$20,MATCH($C306,Mapping!$A$5:$A$20,0)),"all")</f>
        <v/>
      </c>
      <c r="O306" s="5">
        <f>INDEX(Mapping!$E$5:$E$20,MATCH($C306,Mapping!$A$5:$A$20,0))</f>
        <v/>
      </c>
      <c r="P306" s="5">
        <f>INDEX(Mapping!$G$24:$G$31,MATCH($B306,Mapping!$A$24:$A$31,0))</f>
        <v/>
      </c>
      <c r="Q306" s="21" t="n"/>
      <c r="R306" s="21" t="n"/>
      <c r="S306" s="21" t="n"/>
      <c r="T306" s="21" t="n"/>
      <c r="U306" s="21" t="n"/>
      <c r="V306" s="21" t="n"/>
      <c r="W306" s="21" t="n"/>
      <c r="X306" s="21" t="n"/>
      <c r="Y306" s="21" t="n"/>
      <c r="Z306" s="21" t="n"/>
      <c r="AA306" s="21" t="n"/>
      <c r="AB306" s="21" t="n"/>
      <c r="AC306" s="21" t="n"/>
      <c r="AD306" s="21" t="n"/>
      <c r="AE306" s="21" t="n"/>
      <c r="AF306" s="21" t="n"/>
      <c r="AG306" s="21" t="n"/>
      <c r="AH306" s="21" t="n"/>
      <c r="AI306" s="21" t="n"/>
      <c r="AJ306" s="21" t="n"/>
      <c r="AL306" s="23">
        <f>AL46+AL176</f>
        <v/>
      </c>
      <c r="AM306" s="22">
        <f>AM46+AM176</f>
        <v/>
      </c>
      <c r="AN306" s="22">
        <f>AN46+AN176</f>
        <v/>
      </c>
      <c r="AO306" s="22">
        <f>AO46+AO176</f>
        <v/>
      </c>
      <c r="AP306" s="22">
        <f>AP46+AP176</f>
        <v/>
      </c>
      <c r="AQ306" s="22">
        <f>AQ46+AQ176</f>
        <v/>
      </c>
      <c r="AR306" s="22">
        <f>AR46+AR176</f>
        <v/>
      </c>
      <c r="AS306" s="22">
        <f>AS46+AS176</f>
        <v/>
      </c>
      <c r="AT306" s="22">
        <f>AT46+AT176</f>
        <v/>
      </c>
      <c r="AU306" s="22">
        <f>AU46+AU176</f>
        <v/>
      </c>
      <c r="AV306" s="22">
        <f>AV46+AV176</f>
        <v/>
      </c>
      <c r="AW306" s="22">
        <f>AW46+AW176</f>
        <v/>
      </c>
      <c r="AX306" s="22">
        <f>AX46+AX176</f>
        <v/>
      </c>
      <c r="AY306" s="22">
        <f>AY46+AY176</f>
        <v/>
      </c>
      <c r="BA306" s="23">
        <f>BA46+BA176</f>
        <v/>
      </c>
      <c r="BB306" s="22">
        <f>BB46+BB176</f>
        <v/>
      </c>
      <c r="BC306" s="22">
        <f>BC46+BC176</f>
        <v/>
      </c>
      <c r="BD306" s="22">
        <f>BD46+BD176</f>
        <v/>
      </c>
      <c r="BE306" s="22">
        <f>BE46+BE176</f>
        <v/>
      </c>
      <c r="BF306" s="22">
        <f>BF46+BF176</f>
        <v/>
      </c>
      <c r="BG306" s="22">
        <f>BG46+BG176</f>
        <v/>
      </c>
      <c r="BH306" s="22">
        <f>BH46+BH176</f>
        <v/>
      </c>
      <c r="BI306" s="22">
        <f>BI46+BI176</f>
        <v/>
      </c>
      <c r="BJ306" s="22">
        <f>BJ46+BJ176</f>
        <v/>
      </c>
      <c r="BK306" s="22">
        <f>BK46+BK176</f>
        <v/>
      </c>
      <c r="BL306" s="22">
        <f>BL46+BL176</f>
        <v/>
      </c>
      <c r="BM306" s="22">
        <f>BM46+BM176</f>
        <v/>
      </c>
      <c r="BN306" s="22">
        <f>BN46+BN176</f>
        <v/>
      </c>
    </row>
    <row r="307">
      <c r="B307" s="5" t="inlineStr">
        <is>
          <t>lpg</t>
        </is>
      </c>
      <c r="C307" s="5" t="inlineStr">
        <is>
          <t>res</t>
        </is>
      </c>
      <c r="D307" s="5" t="inlineStr">
        <is>
          <t>Post-tax price | Residential | LPG</t>
        </is>
      </c>
      <c r="E307" s="5" t="inlineStr">
        <is>
          <t>$/GJ</t>
        </is>
      </c>
      <c r="F307" s="5" t="inlineStr">
        <is>
          <t>Calculation</t>
        </is>
      </c>
      <c r="G307" s="19" t="inlineStr"/>
      <c r="H307" s="19" t="inlineStr">
        <is>
          <t>mit.ptp.lpg.res</t>
        </is>
      </c>
      <c r="J307" s="5">
        <f>INDEX(Mapping!$C$5:$C$20,MATCH($C307,Mapping!$A$5:$A$20,0))</f>
        <v/>
      </c>
      <c r="K307" s="5">
        <f>INDEX(Mapping!$D$5:$D$20,MATCH($C307,Mapping!$A$5:$A$20,0))</f>
        <v/>
      </c>
      <c r="L307" s="5">
        <f>INDEX(Mapping!$C$24:$C$31,MATCH($B307,Mapping!$A$24:$A$31,0))</f>
        <v/>
      </c>
      <c r="M307" s="5">
        <f>INDEX(Mapping!$D$24:$D$31,MATCH($B307,Mapping!$A$24:$A$31,0))</f>
        <v/>
      </c>
      <c r="N307" s="5">
        <f>$B307&amp;"."&amp;IF(INDEX(Mapping!$E$24:$E$31,MATCH($B307,Mapping!$A$24:$A$31,0))="sub",INDEX(Mapping!$F$5:$F$20,MATCH($C307,Mapping!$A$5:$A$20,0)),"all")</f>
        <v/>
      </c>
      <c r="O307" s="5">
        <f>INDEX(Mapping!$E$5:$E$20,MATCH($C307,Mapping!$A$5:$A$20,0))</f>
        <v/>
      </c>
      <c r="P307" s="5">
        <f>INDEX(Mapping!$G$24:$G$31,MATCH($B307,Mapping!$A$24:$A$31,0))</f>
        <v/>
      </c>
      <c r="Q307" s="21" t="n"/>
      <c r="R307" s="21" t="n"/>
      <c r="S307" s="21" t="n"/>
      <c r="T307" s="21" t="n"/>
      <c r="U307" s="21" t="n"/>
      <c r="V307" s="21" t="n"/>
      <c r="W307" s="21" t="n"/>
      <c r="X307" s="21" t="n"/>
      <c r="Y307" s="21" t="n"/>
      <c r="Z307" s="21" t="n"/>
      <c r="AA307" s="21" t="n"/>
      <c r="AB307" s="21" t="n"/>
      <c r="AC307" s="21" t="n"/>
      <c r="AD307" s="21" t="n"/>
      <c r="AE307" s="21" t="n"/>
      <c r="AF307" s="21" t="n"/>
      <c r="AG307" s="21" t="n"/>
      <c r="AH307" s="21" t="n"/>
      <c r="AI307" s="21" t="n"/>
      <c r="AJ307" s="21" t="n"/>
      <c r="AL307" s="23">
        <f>AL47+AL177</f>
        <v/>
      </c>
      <c r="AM307" s="22">
        <f>AM47+AM177</f>
        <v/>
      </c>
      <c r="AN307" s="22">
        <f>AN47+AN177</f>
        <v/>
      </c>
      <c r="AO307" s="22">
        <f>AO47+AO177</f>
        <v/>
      </c>
      <c r="AP307" s="22">
        <f>AP47+AP177</f>
        <v/>
      </c>
      <c r="AQ307" s="22">
        <f>AQ47+AQ177</f>
        <v/>
      </c>
      <c r="AR307" s="22">
        <f>AR47+AR177</f>
        <v/>
      </c>
      <c r="AS307" s="22">
        <f>AS47+AS177</f>
        <v/>
      </c>
      <c r="AT307" s="22">
        <f>AT47+AT177</f>
        <v/>
      </c>
      <c r="AU307" s="22">
        <f>AU47+AU177</f>
        <v/>
      </c>
      <c r="AV307" s="22">
        <f>AV47+AV177</f>
        <v/>
      </c>
      <c r="AW307" s="22">
        <f>AW47+AW177</f>
        <v/>
      </c>
      <c r="AX307" s="22">
        <f>AX47+AX177</f>
        <v/>
      </c>
      <c r="AY307" s="22">
        <f>AY47+AY177</f>
        <v/>
      </c>
      <c r="BA307" s="23">
        <f>BA47+BA177</f>
        <v/>
      </c>
      <c r="BB307" s="22">
        <f>BB47+BB177</f>
        <v/>
      </c>
      <c r="BC307" s="22">
        <f>BC47+BC177</f>
        <v/>
      </c>
      <c r="BD307" s="22">
        <f>BD47+BD177</f>
        <v/>
      </c>
      <c r="BE307" s="22">
        <f>BE47+BE177</f>
        <v/>
      </c>
      <c r="BF307" s="22">
        <f>BF47+BF177</f>
        <v/>
      </c>
      <c r="BG307" s="22">
        <f>BG47+BG177</f>
        <v/>
      </c>
      <c r="BH307" s="22">
        <f>BH47+BH177</f>
        <v/>
      </c>
      <c r="BI307" s="22">
        <f>BI47+BI177</f>
        <v/>
      </c>
      <c r="BJ307" s="22">
        <f>BJ47+BJ177</f>
        <v/>
      </c>
      <c r="BK307" s="22">
        <f>BK47+BK177</f>
        <v/>
      </c>
      <c r="BL307" s="22">
        <f>BL47+BL177</f>
        <v/>
      </c>
      <c r="BM307" s="22">
        <f>BM47+BM177</f>
        <v/>
      </c>
      <c r="BN307" s="22">
        <f>BN47+BN177</f>
        <v/>
      </c>
    </row>
    <row r="308">
      <c r="B308" s="5" t="inlineStr">
        <is>
          <t>ker</t>
        </is>
      </c>
      <c r="C308" s="5" t="inlineStr">
        <is>
          <t>res</t>
        </is>
      </c>
      <c r="D308" s="5" t="inlineStr">
        <is>
          <t>Post-tax price | Residential | Kerosene</t>
        </is>
      </c>
      <c r="E308" s="5" t="inlineStr">
        <is>
          <t>$/GJ</t>
        </is>
      </c>
      <c r="F308" s="5" t="inlineStr">
        <is>
          <t>Calculation</t>
        </is>
      </c>
      <c r="G308" s="19" t="inlineStr"/>
      <c r="H308" s="19" t="inlineStr">
        <is>
          <t>mit.ptp.ker.res</t>
        </is>
      </c>
      <c r="J308" s="5">
        <f>INDEX(Mapping!$C$5:$C$20,MATCH($C308,Mapping!$A$5:$A$20,0))</f>
        <v/>
      </c>
      <c r="K308" s="5">
        <f>INDEX(Mapping!$D$5:$D$20,MATCH($C308,Mapping!$A$5:$A$20,0))</f>
        <v/>
      </c>
      <c r="L308" s="5">
        <f>INDEX(Mapping!$C$24:$C$31,MATCH($B308,Mapping!$A$24:$A$31,0))</f>
        <v/>
      </c>
      <c r="M308" s="5">
        <f>INDEX(Mapping!$D$24:$D$31,MATCH($B308,Mapping!$A$24:$A$31,0))</f>
        <v/>
      </c>
      <c r="N308" s="5">
        <f>$B308&amp;"."&amp;IF(INDEX(Mapping!$E$24:$E$31,MATCH($B308,Mapping!$A$24:$A$31,0))="sub",INDEX(Mapping!$F$5:$F$20,MATCH($C308,Mapping!$A$5:$A$20,0)),"all")</f>
        <v/>
      </c>
      <c r="O308" s="5">
        <f>INDEX(Mapping!$E$5:$E$20,MATCH($C308,Mapping!$A$5:$A$20,0))</f>
        <v/>
      </c>
      <c r="P308" s="5">
        <f>INDEX(Mapping!$G$24:$G$31,MATCH($B308,Mapping!$A$24:$A$31,0))</f>
        <v/>
      </c>
      <c r="Q308" s="21" t="n"/>
      <c r="R308" s="21" t="n"/>
      <c r="S308" s="21" t="n"/>
      <c r="T308" s="21" t="n"/>
      <c r="U308" s="21" t="n"/>
      <c r="V308" s="21" t="n"/>
      <c r="W308" s="21" t="n"/>
      <c r="X308" s="21" t="n"/>
      <c r="Y308" s="21" t="n"/>
      <c r="Z308" s="21" t="n"/>
      <c r="AA308" s="21" t="n"/>
      <c r="AB308" s="21" t="n"/>
      <c r="AC308" s="21" t="n"/>
      <c r="AD308" s="21" t="n"/>
      <c r="AE308" s="21" t="n"/>
      <c r="AF308" s="21" t="n"/>
      <c r="AG308" s="21" t="n"/>
      <c r="AH308" s="21" t="n"/>
      <c r="AI308" s="21" t="n"/>
      <c r="AJ308" s="21" t="n"/>
      <c r="AL308" s="23">
        <f>AL48+AL178</f>
        <v/>
      </c>
      <c r="AM308" s="22">
        <f>AM48+AM178</f>
        <v/>
      </c>
      <c r="AN308" s="22">
        <f>AN48+AN178</f>
        <v/>
      </c>
      <c r="AO308" s="22">
        <f>AO48+AO178</f>
        <v/>
      </c>
      <c r="AP308" s="22">
        <f>AP48+AP178</f>
        <v/>
      </c>
      <c r="AQ308" s="22">
        <f>AQ48+AQ178</f>
        <v/>
      </c>
      <c r="AR308" s="22">
        <f>AR48+AR178</f>
        <v/>
      </c>
      <c r="AS308" s="22">
        <f>AS48+AS178</f>
        <v/>
      </c>
      <c r="AT308" s="22">
        <f>AT48+AT178</f>
        <v/>
      </c>
      <c r="AU308" s="22">
        <f>AU48+AU178</f>
        <v/>
      </c>
      <c r="AV308" s="22">
        <f>AV48+AV178</f>
        <v/>
      </c>
      <c r="AW308" s="22">
        <f>AW48+AW178</f>
        <v/>
      </c>
      <c r="AX308" s="22">
        <f>AX48+AX178</f>
        <v/>
      </c>
      <c r="AY308" s="22">
        <f>AY48+AY178</f>
        <v/>
      </c>
      <c r="BA308" s="23">
        <f>BA48+BA178</f>
        <v/>
      </c>
      <c r="BB308" s="22">
        <f>BB48+BB178</f>
        <v/>
      </c>
      <c r="BC308" s="22">
        <f>BC48+BC178</f>
        <v/>
      </c>
      <c r="BD308" s="22">
        <f>BD48+BD178</f>
        <v/>
      </c>
      <c r="BE308" s="22">
        <f>BE48+BE178</f>
        <v/>
      </c>
      <c r="BF308" s="22">
        <f>BF48+BF178</f>
        <v/>
      </c>
      <c r="BG308" s="22">
        <f>BG48+BG178</f>
        <v/>
      </c>
      <c r="BH308" s="22">
        <f>BH48+BH178</f>
        <v/>
      </c>
      <c r="BI308" s="22">
        <f>BI48+BI178</f>
        <v/>
      </c>
      <c r="BJ308" s="22">
        <f>BJ48+BJ178</f>
        <v/>
      </c>
      <c r="BK308" s="22">
        <f>BK48+BK178</f>
        <v/>
      </c>
      <c r="BL308" s="22">
        <f>BL48+BL178</f>
        <v/>
      </c>
      <c r="BM308" s="22">
        <f>BM48+BM178</f>
        <v/>
      </c>
      <c r="BN308" s="22">
        <f>BN48+BN178</f>
        <v/>
      </c>
    </row>
    <row r="309">
      <c r="B309" s="5" t="inlineStr">
        <is>
          <t>oop</t>
        </is>
      </c>
      <c r="C309" s="5" t="inlineStr">
        <is>
          <t>res</t>
        </is>
      </c>
      <c r="D309" s="5" t="inlineStr">
        <is>
          <t>Post-tax price | Residential | Other oil products</t>
        </is>
      </c>
      <c r="E309" s="5" t="inlineStr">
        <is>
          <t>$/GJ</t>
        </is>
      </c>
      <c r="F309" s="5" t="inlineStr">
        <is>
          <t>Calculation</t>
        </is>
      </c>
      <c r="G309" s="19" t="inlineStr"/>
      <c r="H309" s="19" t="inlineStr">
        <is>
          <t>mit.ptp.oop.res</t>
        </is>
      </c>
      <c r="J309" s="5">
        <f>INDEX(Mapping!$C$5:$C$20,MATCH($C309,Mapping!$A$5:$A$20,0))</f>
        <v/>
      </c>
      <c r="K309" s="5">
        <f>INDEX(Mapping!$D$5:$D$20,MATCH($C309,Mapping!$A$5:$A$20,0))</f>
        <v/>
      </c>
      <c r="L309" s="5">
        <f>INDEX(Mapping!$C$24:$C$31,MATCH($B309,Mapping!$A$24:$A$31,0))</f>
        <v/>
      </c>
      <c r="M309" s="5">
        <f>INDEX(Mapping!$D$24:$D$31,MATCH($B309,Mapping!$A$24:$A$31,0))</f>
        <v/>
      </c>
      <c r="N309" s="5">
        <f>$B309&amp;"."&amp;IF(INDEX(Mapping!$E$24:$E$31,MATCH($B309,Mapping!$A$24:$A$31,0))="sub",INDEX(Mapping!$F$5:$F$20,MATCH($C309,Mapping!$A$5:$A$20,0)),"all")</f>
        <v/>
      </c>
      <c r="O309" s="5">
        <f>INDEX(Mapping!$E$5:$E$20,MATCH($C309,Mapping!$A$5:$A$20,0))</f>
        <v/>
      </c>
      <c r="P309" s="5">
        <f>INDEX(Mapping!$G$24:$G$31,MATCH($B309,Mapping!$A$24:$A$31,0))</f>
        <v/>
      </c>
      <c r="Q309" s="21" t="n"/>
      <c r="R309" s="21" t="n"/>
      <c r="S309" s="21" t="n"/>
      <c r="T309" s="21" t="n"/>
      <c r="U309" s="21" t="n"/>
      <c r="V309" s="21" t="n"/>
      <c r="W309" s="21" t="n"/>
      <c r="X309" s="21" t="n"/>
      <c r="Y309" s="21" t="n"/>
      <c r="Z309" s="21" t="n"/>
      <c r="AA309" s="21" t="n"/>
      <c r="AB309" s="21" t="n"/>
      <c r="AC309" s="21" t="n"/>
      <c r="AD309" s="21" t="n"/>
      <c r="AE309" s="21" t="n"/>
      <c r="AF309" s="21" t="n"/>
      <c r="AG309" s="21" t="n"/>
      <c r="AH309" s="21" t="n"/>
      <c r="AI309" s="21" t="n"/>
      <c r="AJ309" s="21" t="n"/>
      <c r="AL309" s="23">
        <f>AL49+AL179</f>
        <v/>
      </c>
      <c r="AM309" s="22">
        <f>AM49+AM179</f>
        <v/>
      </c>
      <c r="AN309" s="22">
        <f>AN49+AN179</f>
        <v/>
      </c>
      <c r="AO309" s="22">
        <f>AO49+AO179</f>
        <v/>
      </c>
      <c r="AP309" s="22">
        <f>AP49+AP179</f>
        <v/>
      </c>
      <c r="AQ309" s="22">
        <f>AQ49+AQ179</f>
        <v/>
      </c>
      <c r="AR309" s="22">
        <f>AR49+AR179</f>
        <v/>
      </c>
      <c r="AS309" s="22">
        <f>AS49+AS179</f>
        <v/>
      </c>
      <c r="AT309" s="22">
        <f>AT49+AT179</f>
        <v/>
      </c>
      <c r="AU309" s="22">
        <f>AU49+AU179</f>
        <v/>
      </c>
      <c r="AV309" s="22">
        <f>AV49+AV179</f>
        <v/>
      </c>
      <c r="AW309" s="22">
        <f>AW49+AW179</f>
        <v/>
      </c>
      <c r="AX309" s="22">
        <f>AX49+AX179</f>
        <v/>
      </c>
      <c r="AY309" s="22">
        <f>AY49+AY179</f>
        <v/>
      </c>
      <c r="BA309" s="23">
        <f>BA49+BA179</f>
        <v/>
      </c>
      <c r="BB309" s="22">
        <f>BB49+BB179</f>
        <v/>
      </c>
      <c r="BC309" s="22">
        <f>BC49+BC179</f>
        <v/>
      </c>
      <c r="BD309" s="22">
        <f>BD49+BD179</f>
        <v/>
      </c>
      <c r="BE309" s="22">
        <f>BE49+BE179</f>
        <v/>
      </c>
      <c r="BF309" s="22">
        <f>BF49+BF179</f>
        <v/>
      </c>
      <c r="BG309" s="22">
        <f>BG49+BG179</f>
        <v/>
      </c>
      <c r="BH309" s="22">
        <f>BH49+BH179</f>
        <v/>
      </c>
      <c r="BI309" s="22">
        <f>BI49+BI179</f>
        <v/>
      </c>
      <c r="BJ309" s="22">
        <f>BJ49+BJ179</f>
        <v/>
      </c>
      <c r="BK309" s="22">
        <f>BK49+BK179</f>
        <v/>
      </c>
      <c r="BL309" s="22">
        <f>BL49+BL179</f>
        <v/>
      </c>
      <c r="BM309" s="22">
        <f>BM49+BM179</f>
        <v/>
      </c>
      <c r="BN309" s="22">
        <f>BN49+BN179</f>
        <v/>
      </c>
    </row>
    <row r="310">
      <c r="B310" s="5" t="inlineStr">
        <is>
          <t>bio</t>
        </is>
      </c>
      <c r="C310" s="5" t="inlineStr">
        <is>
          <t>res</t>
        </is>
      </c>
      <c r="D310" s="5" t="inlineStr">
        <is>
          <t>Post-tax price | Residential | Biomass</t>
        </is>
      </c>
      <c r="E310" s="5" t="inlineStr">
        <is>
          <t>$/GJ</t>
        </is>
      </c>
      <c r="F310" s="5" t="inlineStr">
        <is>
          <t>Calculation</t>
        </is>
      </c>
      <c r="G310" s="19" t="inlineStr"/>
      <c r="H310" s="19" t="inlineStr">
        <is>
          <t>mit.ptp.bio.res</t>
        </is>
      </c>
      <c r="J310" s="5">
        <f>INDEX(Mapping!$C$5:$C$20,MATCH($C310,Mapping!$A$5:$A$20,0))</f>
        <v/>
      </c>
      <c r="K310" s="5">
        <f>INDEX(Mapping!$D$5:$D$20,MATCH($C310,Mapping!$A$5:$A$20,0))</f>
        <v/>
      </c>
      <c r="L310" s="5">
        <f>INDEX(Mapping!$C$24:$C$31,MATCH($B310,Mapping!$A$24:$A$31,0))</f>
        <v/>
      </c>
      <c r="M310" s="5">
        <f>INDEX(Mapping!$D$24:$D$31,MATCH($B310,Mapping!$A$24:$A$31,0))</f>
        <v/>
      </c>
      <c r="N310" s="5">
        <f>$B310&amp;"."&amp;IF(INDEX(Mapping!$E$24:$E$31,MATCH($B310,Mapping!$A$24:$A$31,0))="sub",INDEX(Mapping!$F$5:$F$20,MATCH($C310,Mapping!$A$5:$A$20,0)),"all")</f>
        <v/>
      </c>
      <c r="O310" s="5">
        <f>INDEX(Mapping!$E$5:$E$20,MATCH($C310,Mapping!$A$5:$A$20,0))</f>
        <v/>
      </c>
      <c r="P310" s="5">
        <f>INDEX(Mapping!$G$24:$G$31,MATCH($B310,Mapping!$A$24:$A$31,0))</f>
        <v/>
      </c>
      <c r="Q310" s="21" t="n"/>
      <c r="R310" s="21" t="n"/>
      <c r="S310" s="21" t="n"/>
      <c r="T310" s="21" t="n"/>
      <c r="U310" s="21" t="n"/>
      <c r="V310" s="21" t="n"/>
      <c r="W310" s="21" t="n"/>
      <c r="X310" s="21" t="n"/>
      <c r="Y310" s="21" t="n"/>
      <c r="Z310" s="21" t="n"/>
      <c r="AA310" s="21" t="n"/>
      <c r="AB310" s="21" t="n"/>
      <c r="AC310" s="21" t="n"/>
      <c r="AD310" s="21" t="n"/>
      <c r="AE310" s="21" t="n"/>
      <c r="AF310" s="21" t="n"/>
      <c r="AG310" s="21" t="n"/>
      <c r="AH310" s="21" t="n"/>
      <c r="AI310" s="21" t="n"/>
      <c r="AJ310" s="21" t="n"/>
      <c r="AL310" s="23">
        <f>AL50+AL180</f>
        <v/>
      </c>
      <c r="AM310" s="22">
        <f>AM50+AM180</f>
        <v/>
      </c>
      <c r="AN310" s="22">
        <f>AN50+AN180</f>
        <v/>
      </c>
      <c r="AO310" s="22">
        <f>AO50+AO180</f>
        <v/>
      </c>
      <c r="AP310" s="22">
        <f>AP50+AP180</f>
        <v/>
      </c>
      <c r="AQ310" s="22">
        <f>AQ50+AQ180</f>
        <v/>
      </c>
      <c r="AR310" s="22">
        <f>AR50+AR180</f>
        <v/>
      </c>
      <c r="AS310" s="22">
        <f>AS50+AS180</f>
        <v/>
      </c>
      <c r="AT310" s="22">
        <f>AT50+AT180</f>
        <v/>
      </c>
      <c r="AU310" s="22">
        <f>AU50+AU180</f>
        <v/>
      </c>
      <c r="AV310" s="22">
        <f>AV50+AV180</f>
        <v/>
      </c>
      <c r="AW310" s="22">
        <f>AW50+AW180</f>
        <v/>
      </c>
      <c r="AX310" s="22">
        <f>AX50+AX180</f>
        <v/>
      </c>
      <c r="AY310" s="22">
        <f>AY50+AY180</f>
        <v/>
      </c>
      <c r="BA310" s="23">
        <f>BA50+BA180</f>
        <v/>
      </c>
      <c r="BB310" s="22">
        <f>BB50+BB180</f>
        <v/>
      </c>
      <c r="BC310" s="22">
        <f>BC50+BC180</f>
        <v/>
      </c>
      <c r="BD310" s="22">
        <f>BD50+BD180</f>
        <v/>
      </c>
      <c r="BE310" s="22">
        <f>BE50+BE180</f>
        <v/>
      </c>
      <c r="BF310" s="22">
        <f>BF50+BF180</f>
        <v/>
      </c>
      <c r="BG310" s="22">
        <f>BG50+BG180</f>
        <v/>
      </c>
      <c r="BH310" s="22">
        <f>BH50+BH180</f>
        <v/>
      </c>
      <c r="BI310" s="22">
        <f>BI50+BI180</f>
        <v/>
      </c>
      <c r="BJ310" s="22">
        <f>BJ50+BJ180</f>
        <v/>
      </c>
      <c r="BK310" s="22">
        <f>BK50+BK180</f>
        <v/>
      </c>
      <c r="BL310" s="22">
        <f>BL50+BL180</f>
        <v/>
      </c>
      <c r="BM310" s="22">
        <f>BM50+BM180</f>
        <v/>
      </c>
      <c r="BN310" s="22">
        <f>BN50+BN180</f>
        <v/>
      </c>
    </row>
    <row r="311">
      <c r="B311" s="5" t="inlineStr">
        <is>
          <t>coa</t>
        </is>
      </c>
      <c r="C311" s="5" t="inlineStr">
        <is>
          <t>foo</t>
        </is>
      </c>
      <c r="D311" s="5" t="inlineStr">
        <is>
          <t>Post-tax price | Food &amp; forestry | Coal</t>
        </is>
      </c>
      <c r="E311" s="5" t="inlineStr">
        <is>
          <t>$/GJ</t>
        </is>
      </c>
      <c r="F311" s="5" t="inlineStr">
        <is>
          <t>Calculation</t>
        </is>
      </c>
      <c r="G311" s="19" t="inlineStr"/>
      <c r="H311" s="19" t="inlineStr">
        <is>
          <t>mit.ptp.coa.foo</t>
        </is>
      </c>
      <c r="J311" s="5">
        <f>INDEX(Mapping!$C$5:$C$20,MATCH($C311,Mapping!$A$5:$A$20,0))</f>
        <v/>
      </c>
      <c r="K311" s="5">
        <f>INDEX(Mapping!$D$5:$D$20,MATCH($C311,Mapping!$A$5:$A$20,0))</f>
        <v/>
      </c>
      <c r="L311" s="5">
        <f>INDEX(Mapping!$C$24:$C$31,MATCH($B311,Mapping!$A$24:$A$31,0))</f>
        <v/>
      </c>
      <c r="M311" s="5">
        <f>INDEX(Mapping!$D$24:$D$31,MATCH($B311,Mapping!$A$24:$A$31,0))</f>
        <v/>
      </c>
      <c r="N311" s="5">
        <f>$B311&amp;"."&amp;IF(INDEX(Mapping!$E$24:$E$31,MATCH($B311,Mapping!$A$24:$A$31,0))="sub",INDEX(Mapping!$F$5:$F$20,MATCH($C311,Mapping!$A$5:$A$20,0)),"all")</f>
        <v/>
      </c>
      <c r="O311" s="5">
        <f>INDEX(Mapping!$E$5:$E$20,MATCH($C311,Mapping!$A$5:$A$20,0))</f>
        <v/>
      </c>
      <c r="P311" s="5">
        <f>INDEX(Mapping!$G$24:$G$31,MATCH($B311,Mapping!$A$24:$A$31,0))</f>
        <v/>
      </c>
      <c r="Q311" s="21" t="n"/>
      <c r="R311" s="21" t="n"/>
      <c r="S311" s="21" t="n"/>
      <c r="T311" s="21" t="n"/>
      <c r="U311" s="21" t="n"/>
      <c r="V311" s="21" t="n"/>
      <c r="W311" s="21" t="n"/>
      <c r="X311" s="21" t="n"/>
      <c r="Y311" s="21" t="n"/>
      <c r="Z311" s="21" t="n"/>
      <c r="AA311" s="21" t="n"/>
      <c r="AB311" s="21" t="n"/>
      <c r="AC311" s="21" t="n"/>
      <c r="AD311" s="21" t="n"/>
      <c r="AE311" s="21" t="n"/>
      <c r="AF311" s="21" t="n"/>
      <c r="AG311" s="21" t="n"/>
      <c r="AH311" s="21" t="n"/>
      <c r="AI311" s="21" t="n"/>
      <c r="AJ311" s="21" t="n"/>
      <c r="AL311" s="23">
        <f>AL51+AL181</f>
        <v/>
      </c>
      <c r="AM311" s="22">
        <f>AM51+AM181</f>
        <v/>
      </c>
      <c r="AN311" s="22">
        <f>AN51+AN181</f>
        <v/>
      </c>
      <c r="AO311" s="22">
        <f>AO51+AO181</f>
        <v/>
      </c>
      <c r="AP311" s="22">
        <f>AP51+AP181</f>
        <v/>
      </c>
      <c r="AQ311" s="22">
        <f>AQ51+AQ181</f>
        <v/>
      </c>
      <c r="AR311" s="22">
        <f>AR51+AR181</f>
        <v/>
      </c>
      <c r="AS311" s="22">
        <f>AS51+AS181</f>
        <v/>
      </c>
      <c r="AT311" s="22">
        <f>AT51+AT181</f>
        <v/>
      </c>
      <c r="AU311" s="22">
        <f>AU51+AU181</f>
        <v/>
      </c>
      <c r="AV311" s="22">
        <f>AV51+AV181</f>
        <v/>
      </c>
      <c r="AW311" s="22">
        <f>AW51+AW181</f>
        <v/>
      </c>
      <c r="AX311" s="22">
        <f>AX51+AX181</f>
        <v/>
      </c>
      <c r="AY311" s="22">
        <f>AY51+AY181</f>
        <v/>
      </c>
      <c r="BA311" s="23">
        <f>BA51+BA181</f>
        <v/>
      </c>
      <c r="BB311" s="22">
        <f>BB51+BB181</f>
        <v/>
      </c>
      <c r="BC311" s="22">
        <f>BC51+BC181</f>
        <v/>
      </c>
      <c r="BD311" s="22">
        <f>BD51+BD181</f>
        <v/>
      </c>
      <c r="BE311" s="22">
        <f>BE51+BE181</f>
        <v/>
      </c>
      <c r="BF311" s="22">
        <f>BF51+BF181</f>
        <v/>
      </c>
      <c r="BG311" s="22">
        <f>BG51+BG181</f>
        <v/>
      </c>
      <c r="BH311" s="22">
        <f>BH51+BH181</f>
        <v/>
      </c>
      <c r="BI311" s="22">
        <f>BI51+BI181</f>
        <v/>
      </c>
      <c r="BJ311" s="22">
        <f>BJ51+BJ181</f>
        <v/>
      </c>
      <c r="BK311" s="22">
        <f>BK51+BK181</f>
        <v/>
      </c>
      <c r="BL311" s="22">
        <f>BL51+BL181</f>
        <v/>
      </c>
      <c r="BM311" s="22">
        <f>BM51+BM181</f>
        <v/>
      </c>
      <c r="BN311" s="22">
        <f>BN51+BN181</f>
        <v/>
      </c>
    </row>
    <row r="312">
      <c r="B312" s="5" t="inlineStr">
        <is>
          <t>nga</t>
        </is>
      </c>
      <c r="C312" s="5" t="inlineStr">
        <is>
          <t>foo</t>
        </is>
      </c>
      <c r="D312" s="5" t="inlineStr">
        <is>
          <t>Post-tax price | Food &amp; forestry | Natural gas</t>
        </is>
      </c>
      <c r="E312" s="5" t="inlineStr">
        <is>
          <t>$/GJ</t>
        </is>
      </c>
      <c r="F312" s="5" t="inlineStr">
        <is>
          <t>Calculation</t>
        </is>
      </c>
      <c r="G312" s="19" t="inlineStr"/>
      <c r="H312" s="19" t="inlineStr">
        <is>
          <t>mit.ptp.nga.foo</t>
        </is>
      </c>
      <c r="J312" s="5">
        <f>INDEX(Mapping!$C$5:$C$20,MATCH($C312,Mapping!$A$5:$A$20,0))</f>
        <v/>
      </c>
      <c r="K312" s="5">
        <f>INDEX(Mapping!$D$5:$D$20,MATCH($C312,Mapping!$A$5:$A$20,0))</f>
        <v/>
      </c>
      <c r="L312" s="5">
        <f>INDEX(Mapping!$C$24:$C$31,MATCH($B312,Mapping!$A$24:$A$31,0))</f>
        <v/>
      </c>
      <c r="M312" s="5">
        <f>INDEX(Mapping!$D$24:$D$31,MATCH($B312,Mapping!$A$24:$A$31,0))</f>
        <v/>
      </c>
      <c r="N312" s="5">
        <f>$B312&amp;"."&amp;IF(INDEX(Mapping!$E$24:$E$31,MATCH($B312,Mapping!$A$24:$A$31,0))="sub",INDEX(Mapping!$F$5:$F$20,MATCH($C312,Mapping!$A$5:$A$20,0)),"all")</f>
        <v/>
      </c>
      <c r="O312" s="5">
        <f>INDEX(Mapping!$E$5:$E$20,MATCH($C312,Mapping!$A$5:$A$20,0))</f>
        <v/>
      </c>
      <c r="P312" s="5">
        <f>INDEX(Mapping!$G$24:$G$31,MATCH($B312,Mapping!$A$24:$A$31,0))</f>
        <v/>
      </c>
      <c r="Q312" s="21" t="n"/>
      <c r="R312" s="21" t="n"/>
      <c r="S312" s="21" t="n"/>
      <c r="T312" s="21" t="n"/>
      <c r="U312" s="21" t="n"/>
      <c r="V312" s="21" t="n"/>
      <c r="W312" s="21" t="n"/>
      <c r="X312" s="21" t="n"/>
      <c r="Y312" s="21" t="n"/>
      <c r="Z312" s="21" t="n"/>
      <c r="AA312" s="21" t="n"/>
      <c r="AB312" s="21" t="n"/>
      <c r="AC312" s="21" t="n"/>
      <c r="AD312" s="21" t="n"/>
      <c r="AE312" s="21" t="n"/>
      <c r="AF312" s="21" t="n"/>
      <c r="AG312" s="21" t="n"/>
      <c r="AH312" s="21" t="n"/>
      <c r="AI312" s="21" t="n"/>
      <c r="AJ312" s="21" t="n"/>
      <c r="AL312" s="23">
        <f>AL52+AL182</f>
        <v/>
      </c>
      <c r="AM312" s="22">
        <f>AM52+AM182</f>
        <v/>
      </c>
      <c r="AN312" s="22">
        <f>AN52+AN182</f>
        <v/>
      </c>
      <c r="AO312" s="22">
        <f>AO52+AO182</f>
        <v/>
      </c>
      <c r="AP312" s="22">
        <f>AP52+AP182</f>
        <v/>
      </c>
      <c r="AQ312" s="22">
        <f>AQ52+AQ182</f>
        <v/>
      </c>
      <c r="AR312" s="22">
        <f>AR52+AR182</f>
        <v/>
      </c>
      <c r="AS312" s="22">
        <f>AS52+AS182</f>
        <v/>
      </c>
      <c r="AT312" s="22">
        <f>AT52+AT182</f>
        <v/>
      </c>
      <c r="AU312" s="22">
        <f>AU52+AU182</f>
        <v/>
      </c>
      <c r="AV312" s="22">
        <f>AV52+AV182</f>
        <v/>
      </c>
      <c r="AW312" s="22">
        <f>AW52+AW182</f>
        <v/>
      </c>
      <c r="AX312" s="22">
        <f>AX52+AX182</f>
        <v/>
      </c>
      <c r="AY312" s="22">
        <f>AY52+AY182</f>
        <v/>
      </c>
      <c r="BA312" s="23">
        <f>BA52+BA182</f>
        <v/>
      </c>
      <c r="BB312" s="22">
        <f>BB52+BB182</f>
        <v/>
      </c>
      <c r="BC312" s="22">
        <f>BC52+BC182</f>
        <v/>
      </c>
      <c r="BD312" s="22">
        <f>BD52+BD182</f>
        <v/>
      </c>
      <c r="BE312" s="22">
        <f>BE52+BE182</f>
        <v/>
      </c>
      <c r="BF312" s="22">
        <f>BF52+BF182</f>
        <v/>
      </c>
      <c r="BG312" s="22">
        <f>BG52+BG182</f>
        <v/>
      </c>
      <c r="BH312" s="22">
        <f>BH52+BH182</f>
        <v/>
      </c>
      <c r="BI312" s="22">
        <f>BI52+BI182</f>
        <v/>
      </c>
      <c r="BJ312" s="22">
        <f>BJ52+BJ182</f>
        <v/>
      </c>
      <c r="BK312" s="22">
        <f>BK52+BK182</f>
        <v/>
      </c>
      <c r="BL312" s="22">
        <f>BL52+BL182</f>
        <v/>
      </c>
      <c r="BM312" s="22">
        <f>BM52+BM182</f>
        <v/>
      </c>
      <c r="BN312" s="22">
        <f>BN52+BN182</f>
        <v/>
      </c>
    </row>
    <row r="313">
      <c r="B313" s="5" t="inlineStr">
        <is>
          <t>gso</t>
        </is>
      </c>
      <c r="C313" s="5" t="inlineStr">
        <is>
          <t>foo</t>
        </is>
      </c>
      <c r="D313" s="5" t="inlineStr">
        <is>
          <t>Post-tax price | Food &amp; forestry | Gasoline</t>
        </is>
      </c>
      <c r="E313" s="5" t="inlineStr">
        <is>
          <t>$/GJ</t>
        </is>
      </c>
      <c r="F313" s="5" t="inlineStr">
        <is>
          <t>Calculation</t>
        </is>
      </c>
      <c r="G313" s="19" t="inlineStr"/>
      <c r="H313" s="19" t="inlineStr">
        <is>
          <t>mit.ptp.gso.foo</t>
        </is>
      </c>
      <c r="J313" s="5">
        <f>INDEX(Mapping!$C$5:$C$20,MATCH($C313,Mapping!$A$5:$A$20,0))</f>
        <v/>
      </c>
      <c r="K313" s="5">
        <f>INDEX(Mapping!$D$5:$D$20,MATCH($C313,Mapping!$A$5:$A$20,0))</f>
        <v/>
      </c>
      <c r="L313" s="5">
        <f>INDEX(Mapping!$C$24:$C$31,MATCH($B313,Mapping!$A$24:$A$31,0))</f>
        <v/>
      </c>
      <c r="M313" s="5">
        <f>INDEX(Mapping!$D$24:$D$31,MATCH($B313,Mapping!$A$24:$A$31,0))</f>
        <v/>
      </c>
      <c r="N313" s="5">
        <f>$B313&amp;"."&amp;IF(INDEX(Mapping!$E$24:$E$31,MATCH($B313,Mapping!$A$24:$A$31,0))="sub",INDEX(Mapping!$F$5:$F$20,MATCH($C313,Mapping!$A$5:$A$20,0)),"all")</f>
        <v/>
      </c>
      <c r="O313" s="5">
        <f>INDEX(Mapping!$E$5:$E$20,MATCH($C313,Mapping!$A$5:$A$20,0))</f>
        <v/>
      </c>
      <c r="P313" s="5">
        <f>INDEX(Mapping!$G$24:$G$31,MATCH($B313,Mapping!$A$24:$A$31,0))</f>
        <v/>
      </c>
      <c r="Q313" s="21" t="n"/>
      <c r="R313" s="21" t="n"/>
      <c r="S313" s="21" t="n"/>
      <c r="T313" s="21" t="n"/>
      <c r="U313" s="21" t="n"/>
      <c r="V313" s="21" t="n"/>
      <c r="W313" s="21" t="n"/>
      <c r="X313" s="21" t="n"/>
      <c r="Y313" s="21" t="n"/>
      <c r="Z313" s="21" t="n"/>
      <c r="AA313" s="21" t="n"/>
      <c r="AB313" s="21" t="n"/>
      <c r="AC313" s="21" t="n"/>
      <c r="AD313" s="21" t="n"/>
      <c r="AE313" s="21" t="n"/>
      <c r="AF313" s="21" t="n"/>
      <c r="AG313" s="21" t="n"/>
      <c r="AH313" s="21" t="n"/>
      <c r="AI313" s="21" t="n"/>
      <c r="AJ313" s="21" t="n"/>
      <c r="AL313" s="23">
        <f>AL53+AL183</f>
        <v/>
      </c>
      <c r="AM313" s="22">
        <f>AM53+AM183</f>
        <v/>
      </c>
      <c r="AN313" s="22">
        <f>AN53+AN183</f>
        <v/>
      </c>
      <c r="AO313" s="22">
        <f>AO53+AO183</f>
        <v/>
      </c>
      <c r="AP313" s="22">
        <f>AP53+AP183</f>
        <v/>
      </c>
      <c r="AQ313" s="22">
        <f>AQ53+AQ183</f>
        <v/>
      </c>
      <c r="AR313" s="22">
        <f>AR53+AR183</f>
        <v/>
      </c>
      <c r="AS313" s="22">
        <f>AS53+AS183</f>
        <v/>
      </c>
      <c r="AT313" s="22">
        <f>AT53+AT183</f>
        <v/>
      </c>
      <c r="AU313" s="22">
        <f>AU53+AU183</f>
        <v/>
      </c>
      <c r="AV313" s="22">
        <f>AV53+AV183</f>
        <v/>
      </c>
      <c r="AW313" s="22">
        <f>AW53+AW183</f>
        <v/>
      </c>
      <c r="AX313" s="22">
        <f>AX53+AX183</f>
        <v/>
      </c>
      <c r="AY313" s="22">
        <f>AY53+AY183</f>
        <v/>
      </c>
      <c r="BA313" s="23">
        <f>BA53+BA183</f>
        <v/>
      </c>
      <c r="BB313" s="22">
        <f>BB53+BB183</f>
        <v/>
      </c>
      <c r="BC313" s="22">
        <f>BC53+BC183</f>
        <v/>
      </c>
      <c r="BD313" s="22">
        <f>BD53+BD183</f>
        <v/>
      </c>
      <c r="BE313" s="22">
        <f>BE53+BE183</f>
        <v/>
      </c>
      <c r="BF313" s="22">
        <f>BF53+BF183</f>
        <v/>
      </c>
      <c r="BG313" s="22">
        <f>BG53+BG183</f>
        <v/>
      </c>
      <c r="BH313" s="22">
        <f>BH53+BH183</f>
        <v/>
      </c>
      <c r="BI313" s="22">
        <f>BI53+BI183</f>
        <v/>
      </c>
      <c r="BJ313" s="22">
        <f>BJ53+BJ183</f>
        <v/>
      </c>
      <c r="BK313" s="22">
        <f>BK53+BK183</f>
        <v/>
      </c>
      <c r="BL313" s="22">
        <f>BL53+BL183</f>
        <v/>
      </c>
      <c r="BM313" s="22">
        <f>BM53+BM183</f>
        <v/>
      </c>
      <c r="BN313" s="22">
        <f>BN53+BN183</f>
        <v/>
      </c>
    </row>
    <row r="314">
      <c r="B314" s="5" t="inlineStr">
        <is>
          <t>die</t>
        </is>
      </c>
      <c r="C314" s="5" t="inlineStr">
        <is>
          <t>foo</t>
        </is>
      </c>
      <c r="D314" s="5" t="inlineStr">
        <is>
          <t>Post-tax price | Food &amp; forestry | Diesel</t>
        </is>
      </c>
      <c r="E314" s="5" t="inlineStr">
        <is>
          <t>$/GJ</t>
        </is>
      </c>
      <c r="F314" s="5" t="inlineStr">
        <is>
          <t>Calculation</t>
        </is>
      </c>
      <c r="G314" s="19" t="inlineStr"/>
      <c r="H314" s="19" t="inlineStr">
        <is>
          <t>mit.ptp.die.foo</t>
        </is>
      </c>
      <c r="J314" s="5">
        <f>INDEX(Mapping!$C$5:$C$20,MATCH($C314,Mapping!$A$5:$A$20,0))</f>
        <v/>
      </c>
      <c r="K314" s="5">
        <f>INDEX(Mapping!$D$5:$D$20,MATCH($C314,Mapping!$A$5:$A$20,0))</f>
        <v/>
      </c>
      <c r="L314" s="5">
        <f>INDEX(Mapping!$C$24:$C$31,MATCH($B314,Mapping!$A$24:$A$31,0))</f>
        <v/>
      </c>
      <c r="M314" s="5">
        <f>INDEX(Mapping!$D$24:$D$31,MATCH($B314,Mapping!$A$24:$A$31,0))</f>
        <v/>
      </c>
      <c r="N314" s="5">
        <f>$B314&amp;"."&amp;IF(INDEX(Mapping!$E$24:$E$31,MATCH($B314,Mapping!$A$24:$A$31,0))="sub",INDEX(Mapping!$F$5:$F$20,MATCH($C314,Mapping!$A$5:$A$20,0)),"all")</f>
        <v/>
      </c>
      <c r="O314" s="5">
        <f>INDEX(Mapping!$E$5:$E$20,MATCH($C314,Mapping!$A$5:$A$20,0))</f>
        <v/>
      </c>
      <c r="P314" s="5">
        <f>INDEX(Mapping!$G$24:$G$31,MATCH($B314,Mapping!$A$24:$A$31,0))</f>
        <v/>
      </c>
      <c r="Q314" s="21" t="n"/>
      <c r="R314" s="21" t="n"/>
      <c r="S314" s="21" t="n"/>
      <c r="T314" s="21" t="n"/>
      <c r="U314" s="21" t="n"/>
      <c r="V314" s="21" t="n"/>
      <c r="W314" s="21" t="n"/>
      <c r="X314" s="21" t="n"/>
      <c r="Y314" s="21" t="n"/>
      <c r="Z314" s="21" t="n"/>
      <c r="AA314" s="21" t="n"/>
      <c r="AB314" s="21" t="n"/>
      <c r="AC314" s="21" t="n"/>
      <c r="AD314" s="21" t="n"/>
      <c r="AE314" s="21" t="n"/>
      <c r="AF314" s="21" t="n"/>
      <c r="AG314" s="21" t="n"/>
      <c r="AH314" s="21" t="n"/>
      <c r="AI314" s="21" t="n"/>
      <c r="AJ314" s="21" t="n"/>
      <c r="AL314" s="23">
        <f>AL54+AL184</f>
        <v/>
      </c>
      <c r="AM314" s="22">
        <f>AM54+AM184</f>
        <v/>
      </c>
      <c r="AN314" s="22">
        <f>AN54+AN184</f>
        <v/>
      </c>
      <c r="AO314" s="22">
        <f>AO54+AO184</f>
        <v/>
      </c>
      <c r="AP314" s="22">
        <f>AP54+AP184</f>
        <v/>
      </c>
      <c r="AQ314" s="22">
        <f>AQ54+AQ184</f>
        <v/>
      </c>
      <c r="AR314" s="22">
        <f>AR54+AR184</f>
        <v/>
      </c>
      <c r="AS314" s="22">
        <f>AS54+AS184</f>
        <v/>
      </c>
      <c r="AT314" s="22">
        <f>AT54+AT184</f>
        <v/>
      </c>
      <c r="AU314" s="22">
        <f>AU54+AU184</f>
        <v/>
      </c>
      <c r="AV314" s="22">
        <f>AV54+AV184</f>
        <v/>
      </c>
      <c r="AW314" s="22">
        <f>AW54+AW184</f>
        <v/>
      </c>
      <c r="AX314" s="22">
        <f>AX54+AX184</f>
        <v/>
      </c>
      <c r="AY314" s="22">
        <f>AY54+AY184</f>
        <v/>
      </c>
      <c r="BA314" s="23">
        <f>BA54+BA184</f>
        <v/>
      </c>
      <c r="BB314" s="22">
        <f>BB54+BB184</f>
        <v/>
      </c>
      <c r="BC314" s="22">
        <f>BC54+BC184</f>
        <v/>
      </c>
      <c r="BD314" s="22">
        <f>BD54+BD184</f>
        <v/>
      </c>
      <c r="BE314" s="22">
        <f>BE54+BE184</f>
        <v/>
      </c>
      <c r="BF314" s="22">
        <f>BF54+BF184</f>
        <v/>
      </c>
      <c r="BG314" s="22">
        <f>BG54+BG184</f>
        <v/>
      </c>
      <c r="BH314" s="22">
        <f>BH54+BH184</f>
        <v/>
      </c>
      <c r="BI314" s="22">
        <f>BI54+BI184</f>
        <v/>
      </c>
      <c r="BJ314" s="22">
        <f>BJ54+BJ184</f>
        <v/>
      </c>
      <c r="BK314" s="22">
        <f>BK54+BK184</f>
        <v/>
      </c>
      <c r="BL314" s="22">
        <f>BL54+BL184</f>
        <v/>
      </c>
      <c r="BM314" s="22">
        <f>BM54+BM184</f>
        <v/>
      </c>
      <c r="BN314" s="22">
        <f>BN54+BN184</f>
        <v/>
      </c>
    </row>
    <row r="315">
      <c r="B315" s="5" t="inlineStr">
        <is>
          <t>lpg</t>
        </is>
      </c>
      <c r="C315" s="5" t="inlineStr">
        <is>
          <t>foo</t>
        </is>
      </c>
      <c r="D315" s="5" t="inlineStr">
        <is>
          <t>Post-tax price | Food &amp; forestry | LPG</t>
        </is>
      </c>
      <c r="E315" s="5" t="inlineStr">
        <is>
          <t>$/GJ</t>
        </is>
      </c>
      <c r="F315" s="5" t="inlineStr">
        <is>
          <t>Calculation</t>
        </is>
      </c>
      <c r="G315" s="19" t="inlineStr"/>
      <c r="H315" s="19" t="inlineStr">
        <is>
          <t>mit.ptp.lpg.foo</t>
        </is>
      </c>
      <c r="J315" s="5">
        <f>INDEX(Mapping!$C$5:$C$20,MATCH($C315,Mapping!$A$5:$A$20,0))</f>
        <v/>
      </c>
      <c r="K315" s="5">
        <f>INDEX(Mapping!$D$5:$D$20,MATCH($C315,Mapping!$A$5:$A$20,0))</f>
        <v/>
      </c>
      <c r="L315" s="5">
        <f>INDEX(Mapping!$C$24:$C$31,MATCH($B315,Mapping!$A$24:$A$31,0))</f>
        <v/>
      </c>
      <c r="M315" s="5">
        <f>INDEX(Mapping!$D$24:$D$31,MATCH($B315,Mapping!$A$24:$A$31,0))</f>
        <v/>
      </c>
      <c r="N315" s="5">
        <f>$B315&amp;"."&amp;IF(INDEX(Mapping!$E$24:$E$31,MATCH($B315,Mapping!$A$24:$A$31,0))="sub",INDEX(Mapping!$F$5:$F$20,MATCH($C315,Mapping!$A$5:$A$20,0)),"all")</f>
        <v/>
      </c>
      <c r="O315" s="5">
        <f>INDEX(Mapping!$E$5:$E$20,MATCH($C315,Mapping!$A$5:$A$20,0))</f>
        <v/>
      </c>
      <c r="P315" s="5">
        <f>INDEX(Mapping!$G$24:$G$31,MATCH($B315,Mapping!$A$24:$A$31,0))</f>
        <v/>
      </c>
      <c r="Q315" s="21" t="n"/>
      <c r="R315" s="21" t="n"/>
      <c r="S315" s="21" t="n"/>
      <c r="T315" s="21" t="n"/>
      <c r="U315" s="21" t="n"/>
      <c r="V315" s="21" t="n"/>
      <c r="W315" s="21" t="n"/>
      <c r="X315" s="21" t="n"/>
      <c r="Y315" s="21" t="n"/>
      <c r="Z315" s="21" t="n"/>
      <c r="AA315" s="21" t="n"/>
      <c r="AB315" s="21" t="n"/>
      <c r="AC315" s="21" t="n"/>
      <c r="AD315" s="21" t="n"/>
      <c r="AE315" s="21" t="n"/>
      <c r="AF315" s="21" t="n"/>
      <c r="AG315" s="21" t="n"/>
      <c r="AH315" s="21" t="n"/>
      <c r="AI315" s="21" t="n"/>
      <c r="AJ315" s="21" t="n"/>
      <c r="AL315" s="23">
        <f>AL55+AL185</f>
        <v/>
      </c>
      <c r="AM315" s="22">
        <f>AM55+AM185</f>
        <v/>
      </c>
      <c r="AN315" s="22">
        <f>AN55+AN185</f>
        <v/>
      </c>
      <c r="AO315" s="22">
        <f>AO55+AO185</f>
        <v/>
      </c>
      <c r="AP315" s="22">
        <f>AP55+AP185</f>
        <v/>
      </c>
      <c r="AQ315" s="22">
        <f>AQ55+AQ185</f>
        <v/>
      </c>
      <c r="AR315" s="22">
        <f>AR55+AR185</f>
        <v/>
      </c>
      <c r="AS315" s="22">
        <f>AS55+AS185</f>
        <v/>
      </c>
      <c r="AT315" s="22">
        <f>AT55+AT185</f>
        <v/>
      </c>
      <c r="AU315" s="22">
        <f>AU55+AU185</f>
        <v/>
      </c>
      <c r="AV315" s="22">
        <f>AV55+AV185</f>
        <v/>
      </c>
      <c r="AW315" s="22">
        <f>AW55+AW185</f>
        <v/>
      </c>
      <c r="AX315" s="22">
        <f>AX55+AX185</f>
        <v/>
      </c>
      <c r="AY315" s="22">
        <f>AY55+AY185</f>
        <v/>
      </c>
      <c r="BA315" s="23">
        <f>BA55+BA185</f>
        <v/>
      </c>
      <c r="BB315" s="22">
        <f>BB55+BB185</f>
        <v/>
      </c>
      <c r="BC315" s="22">
        <f>BC55+BC185</f>
        <v/>
      </c>
      <c r="BD315" s="22">
        <f>BD55+BD185</f>
        <v/>
      </c>
      <c r="BE315" s="22">
        <f>BE55+BE185</f>
        <v/>
      </c>
      <c r="BF315" s="22">
        <f>BF55+BF185</f>
        <v/>
      </c>
      <c r="BG315" s="22">
        <f>BG55+BG185</f>
        <v/>
      </c>
      <c r="BH315" s="22">
        <f>BH55+BH185</f>
        <v/>
      </c>
      <c r="BI315" s="22">
        <f>BI55+BI185</f>
        <v/>
      </c>
      <c r="BJ315" s="22">
        <f>BJ55+BJ185</f>
        <v/>
      </c>
      <c r="BK315" s="22">
        <f>BK55+BK185</f>
        <v/>
      </c>
      <c r="BL315" s="22">
        <f>BL55+BL185</f>
        <v/>
      </c>
      <c r="BM315" s="22">
        <f>BM55+BM185</f>
        <v/>
      </c>
      <c r="BN315" s="22">
        <f>BN55+BN185</f>
        <v/>
      </c>
    </row>
    <row r="316">
      <c r="B316" s="5" t="inlineStr">
        <is>
          <t>ker</t>
        </is>
      </c>
      <c r="C316" s="5" t="inlineStr">
        <is>
          <t>foo</t>
        </is>
      </c>
      <c r="D316" s="5" t="inlineStr">
        <is>
          <t>Post-tax price | Food &amp; forestry | Kerosene</t>
        </is>
      </c>
      <c r="E316" s="5" t="inlineStr">
        <is>
          <t>$/GJ</t>
        </is>
      </c>
      <c r="F316" s="5" t="inlineStr">
        <is>
          <t>Calculation</t>
        </is>
      </c>
      <c r="G316" s="19" t="inlineStr"/>
      <c r="H316" s="19" t="inlineStr">
        <is>
          <t>mit.ptp.ker.foo</t>
        </is>
      </c>
      <c r="J316" s="5">
        <f>INDEX(Mapping!$C$5:$C$20,MATCH($C316,Mapping!$A$5:$A$20,0))</f>
        <v/>
      </c>
      <c r="K316" s="5">
        <f>INDEX(Mapping!$D$5:$D$20,MATCH($C316,Mapping!$A$5:$A$20,0))</f>
        <v/>
      </c>
      <c r="L316" s="5">
        <f>INDEX(Mapping!$C$24:$C$31,MATCH($B316,Mapping!$A$24:$A$31,0))</f>
        <v/>
      </c>
      <c r="M316" s="5">
        <f>INDEX(Mapping!$D$24:$D$31,MATCH($B316,Mapping!$A$24:$A$31,0))</f>
        <v/>
      </c>
      <c r="N316" s="5">
        <f>$B316&amp;"."&amp;IF(INDEX(Mapping!$E$24:$E$31,MATCH($B316,Mapping!$A$24:$A$31,0))="sub",INDEX(Mapping!$F$5:$F$20,MATCH($C316,Mapping!$A$5:$A$20,0)),"all")</f>
        <v/>
      </c>
      <c r="O316" s="5">
        <f>INDEX(Mapping!$E$5:$E$20,MATCH($C316,Mapping!$A$5:$A$20,0))</f>
        <v/>
      </c>
      <c r="P316" s="5">
        <f>INDEX(Mapping!$G$24:$G$31,MATCH($B316,Mapping!$A$24:$A$31,0))</f>
        <v/>
      </c>
      <c r="Q316" s="21" t="n"/>
      <c r="R316" s="21" t="n"/>
      <c r="S316" s="21" t="n"/>
      <c r="T316" s="21" t="n"/>
      <c r="U316" s="21" t="n"/>
      <c r="V316" s="21" t="n"/>
      <c r="W316" s="21" t="n"/>
      <c r="X316" s="21" t="n"/>
      <c r="Y316" s="21" t="n"/>
      <c r="Z316" s="21" t="n"/>
      <c r="AA316" s="21" t="n"/>
      <c r="AB316" s="21" t="n"/>
      <c r="AC316" s="21" t="n"/>
      <c r="AD316" s="21" t="n"/>
      <c r="AE316" s="21" t="n"/>
      <c r="AF316" s="21" t="n"/>
      <c r="AG316" s="21" t="n"/>
      <c r="AH316" s="21" t="n"/>
      <c r="AI316" s="21" t="n"/>
      <c r="AJ316" s="21" t="n"/>
      <c r="AL316" s="23">
        <f>AL56+AL186</f>
        <v/>
      </c>
      <c r="AM316" s="22">
        <f>AM56+AM186</f>
        <v/>
      </c>
      <c r="AN316" s="22">
        <f>AN56+AN186</f>
        <v/>
      </c>
      <c r="AO316" s="22">
        <f>AO56+AO186</f>
        <v/>
      </c>
      <c r="AP316" s="22">
        <f>AP56+AP186</f>
        <v/>
      </c>
      <c r="AQ316" s="22">
        <f>AQ56+AQ186</f>
        <v/>
      </c>
      <c r="AR316" s="22">
        <f>AR56+AR186</f>
        <v/>
      </c>
      <c r="AS316" s="22">
        <f>AS56+AS186</f>
        <v/>
      </c>
      <c r="AT316" s="22">
        <f>AT56+AT186</f>
        <v/>
      </c>
      <c r="AU316" s="22">
        <f>AU56+AU186</f>
        <v/>
      </c>
      <c r="AV316" s="22">
        <f>AV56+AV186</f>
        <v/>
      </c>
      <c r="AW316" s="22">
        <f>AW56+AW186</f>
        <v/>
      </c>
      <c r="AX316" s="22">
        <f>AX56+AX186</f>
        <v/>
      </c>
      <c r="AY316" s="22">
        <f>AY56+AY186</f>
        <v/>
      </c>
      <c r="BA316" s="23">
        <f>BA56+BA186</f>
        <v/>
      </c>
      <c r="BB316" s="22">
        <f>BB56+BB186</f>
        <v/>
      </c>
      <c r="BC316" s="22">
        <f>BC56+BC186</f>
        <v/>
      </c>
      <c r="BD316" s="22">
        <f>BD56+BD186</f>
        <v/>
      </c>
      <c r="BE316" s="22">
        <f>BE56+BE186</f>
        <v/>
      </c>
      <c r="BF316" s="22">
        <f>BF56+BF186</f>
        <v/>
      </c>
      <c r="BG316" s="22">
        <f>BG56+BG186</f>
        <v/>
      </c>
      <c r="BH316" s="22">
        <f>BH56+BH186</f>
        <v/>
      </c>
      <c r="BI316" s="22">
        <f>BI56+BI186</f>
        <v/>
      </c>
      <c r="BJ316" s="22">
        <f>BJ56+BJ186</f>
        <v/>
      </c>
      <c r="BK316" s="22">
        <f>BK56+BK186</f>
        <v/>
      </c>
      <c r="BL316" s="22">
        <f>BL56+BL186</f>
        <v/>
      </c>
      <c r="BM316" s="22">
        <f>BM56+BM186</f>
        <v/>
      </c>
      <c r="BN316" s="22">
        <f>BN56+BN186</f>
        <v/>
      </c>
    </row>
    <row r="317">
      <c r="B317" s="5" t="inlineStr">
        <is>
          <t>oop</t>
        </is>
      </c>
      <c r="C317" s="5" t="inlineStr">
        <is>
          <t>foo</t>
        </is>
      </c>
      <c r="D317" s="5" t="inlineStr">
        <is>
          <t>Post-tax price | Food &amp; forestry | Other oil products</t>
        </is>
      </c>
      <c r="E317" s="5" t="inlineStr">
        <is>
          <t>$/GJ</t>
        </is>
      </c>
      <c r="F317" s="5" t="inlineStr">
        <is>
          <t>Calculation</t>
        </is>
      </c>
      <c r="G317" s="19" t="inlineStr"/>
      <c r="H317" s="19" t="inlineStr">
        <is>
          <t>mit.ptp.oop.foo</t>
        </is>
      </c>
      <c r="J317" s="5">
        <f>INDEX(Mapping!$C$5:$C$20,MATCH($C317,Mapping!$A$5:$A$20,0))</f>
        <v/>
      </c>
      <c r="K317" s="5">
        <f>INDEX(Mapping!$D$5:$D$20,MATCH($C317,Mapping!$A$5:$A$20,0))</f>
        <v/>
      </c>
      <c r="L317" s="5">
        <f>INDEX(Mapping!$C$24:$C$31,MATCH($B317,Mapping!$A$24:$A$31,0))</f>
        <v/>
      </c>
      <c r="M317" s="5">
        <f>INDEX(Mapping!$D$24:$D$31,MATCH($B317,Mapping!$A$24:$A$31,0))</f>
        <v/>
      </c>
      <c r="N317" s="5">
        <f>$B317&amp;"."&amp;IF(INDEX(Mapping!$E$24:$E$31,MATCH($B317,Mapping!$A$24:$A$31,0))="sub",INDEX(Mapping!$F$5:$F$20,MATCH($C317,Mapping!$A$5:$A$20,0)),"all")</f>
        <v/>
      </c>
      <c r="O317" s="5">
        <f>INDEX(Mapping!$E$5:$E$20,MATCH($C317,Mapping!$A$5:$A$20,0))</f>
        <v/>
      </c>
      <c r="P317" s="5">
        <f>INDEX(Mapping!$G$24:$G$31,MATCH($B317,Mapping!$A$24:$A$31,0))</f>
        <v/>
      </c>
      <c r="Q317" s="21" t="n"/>
      <c r="R317" s="21" t="n"/>
      <c r="S317" s="21" t="n"/>
      <c r="T317" s="21" t="n"/>
      <c r="U317" s="21" t="n"/>
      <c r="V317" s="21" t="n"/>
      <c r="W317" s="21" t="n"/>
      <c r="X317" s="21" t="n"/>
      <c r="Y317" s="21" t="n"/>
      <c r="Z317" s="21" t="n"/>
      <c r="AA317" s="21" t="n"/>
      <c r="AB317" s="21" t="n"/>
      <c r="AC317" s="21" t="n"/>
      <c r="AD317" s="21" t="n"/>
      <c r="AE317" s="21" t="n"/>
      <c r="AF317" s="21" t="n"/>
      <c r="AG317" s="21" t="n"/>
      <c r="AH317" s="21" t="n"/>
      <c r="AI317" s="21" t="n"/>
      <c r="AJ317" s="21" t="n"/>
      <c r="AL317" s="23">
        <f>AL57+AL187</f>
        <v/>
      </c>
      <c r="AM317" s="22">
        <f>AM57+AM187</f>
        <v/>
      </c>
      <c r="AN317" s="22">
        <f>AN57+AN187</f>
        <v/>
      </c>
      <c r="AO317" s="22">
        <f>AO57+AO187</f>
        <v/>
      </c>
      <c r="AP317" s="22">
        <f>AP57+AP187</f>
        <v/>
      </c>
      <c r="AQ317" s="22">
        <f>AQ57+AQ187</f>
        <v/>
      </c>
      <c r="AR317" s="22">
        <f>AR57+AR187</f>
        <v/>
      </c>
      <c r="AS317" s="22">
        <f>AS57+AS187</f>
        <v/>
      </c>
      <c r="AT317" s="22">
        <f>AT57+AT187</f>
        <v/>
      </c>
      <c r="AU317" s="22">
        <f>AU57+AU187</f>
        <v/>
      </c>
      <c r="AV317" s="22">
        <f>AV57+AV187</f>
        <v/>
      </c>
      <c r="AW317" s="22">
        <f>AW57+AW187</f>
        <v/>
      </c>
      <c r="AX317" s="22">
        <f>AX57+AX187</f>
        <v/>
      </c>
      <c r="AY317" s="22">
        <f>AY57+AY187</f>
        <v/>
      </c>
      <c r="BA317" s="23">
        <f>BA57+BA187</f>
        <v/>
      </c>
      <c r="BB317" s="22">
        <f>BB57+BB187</f>
        <v/>
      </c>
      <c r="BC317" s="22">
        <f>BC57+BC187</f>
        <v/>
      </c>
      <c r="BD317" s="22">
        <f>BD57+BD187</f>
        <v/>
      </c>
      <c r="BE317" s="22">
        <f>BE57+BE187</f>
        <v/>
      </c>
      <c r="BF317" s="22">
        <f>BF57+BF187</f>
        <v/>
      </c>
      <c r="BG317" s="22">
        <f>BG57+BG187</f>
        <v/>
      </c>
      <c r="BH317" s="22">
        <f>BH57+BH187</f>
        <v/>
      </c>
      <c r="BI317" s="22">
        <f>BI57+BI187</f>
        <v/>
      </c>
      <c r="BJ317" s="22">
        <f>BJ57+BJ187</f>
        <v/>
      </c>
      <c r="BK317" s="22">
        <f>BK57+BK187</f>
        <v/>
      </c>
      <c r="BL317" s="22">
        <f>BL57+BL187</f>
        <v/>
      </c>
      <c r="BM317" s="22">
        <f>BM57+BM187</f>
        <v/>
      </c>
      <c r="BN317" s="22">
        <f>BN57+BN187</f>
        <v/>
      </c>
    </row>
    <row r="318">
      <c r="B318" s="5" t="inlineStr">
        <is>
          <t>bio</t>
        </is>
      </c>
      <c r="C318" s="5" t="inlineStr">
        <is>
          <t>foo</t>
        </is>
      </c>
      <c r="D318" s="5" t="inlineStr">
        <is>
          <t>Post-tax price | Food &amp; forestry | Biomass</t>
        </is>
      </c>
      <c r="E318" s="5" t="inlineStr">
        <is>
          <t>$/GJ</t>
        </is>
      </c>
      <c r="F318" s="5" t="inlineStr">
        <is>
          <t>Calculation</t>
        </is>
      </c>
      <c r="G318" s="19" t="inlineStr"/>
      <c r="H318" s="19" t="inlineStr">
        <is>
          <t>mit.ptp.bio.foo</t>
        </is>
      </c>
      <c r="J318" s="5">
        <f>INDEX(Mapping!$C$5:$C$20,MATCH($C318,Mapping!$A$5:$A$20,0))</f>
        <v/>
      </c>
      <c r="K318" s="5">
        <f>INDEX(Mapping!$D$5:$D$20,MATCH($C318,Mapping!$A$5:$A$20,0))</f>
        <v/>
      </c>
      <c r="L318" s="5">
        <f>INDEX(Mapping!$C$24:$C$31,MATCH($B318,Mapping!$A$24:$A$31,0))</f>
        <v/>
      </c>
      <c r="M318" s="5">
        <f>INDEX(Mapping!$D$24:$D$31,MATCH($B318,Mapping!$A$24:$A$31,0))</f>
        <v/>
      </c>
      <c r="N318" s="5">
        <f>$B318&amp;"."&amp;IF(INDEX(Mapping!$E$24:$E$31,MATCH($B318,Mapping!$A$24:$A$31,0))="sub",INDEX(Mapping!$F$5:$F$20,MATCH($C318,Mapping!$A$5:$A$20,0)),"all")</f>
        <v/>
      </c>
      <c r="O318" s="5">
        <f>INDEX(Mapping!$E$5:$E$20,MATCH($C318,Mapping!$A$5:$A$20,0))</f>
        <v/>
      </c>
      <c r="P318" s="5">
        <f>INDEX(Mapping!$G$24:$G$31,MATCH($B318,Mapping!$A$24:$A$31,0))</f>
        <v/>
      </c>
      <c r="Q318" s="21" t="n"/>
      <c r="R318" s="21" t="n"/>
      <c r="S318" s="21" t="n"/>
      <c r="T318" s="21" t="n"/>
      <c r="U318" s="21" t="n"/>
      <c r="V318" s="21" t="n"/>
      <c r="W318" s="21" t="n"/>
      <c r="X318" s="21" t="n"/>
      <c r="Y318" s="21" t="n"/>
      <c r="Z318" s="21" t="n"/>
      <c r="AA318" s="21" t="n"/>
      <c r="AB318" s="21" t="n"/>
      <c r="AC318" s="21" t="n"/>
      <c r="AD318" s="21" t="n"/>
      <c r="AE318" s="21" t="n"/>
      <c r="AF318" s="21" t="n"/>
      <c r="AG318" s="21" t="n"/>
      <c r="AH318" s="21" t="n"/>
      <c r="AI318" s="21" t="n"/>
      <c r="AJ318" s="21" t="n"/>
      <c r="AL318" s="23">
        <f>AL58+AL188</f>
        <v/>
      </c>
      <c r="AM318" s="22">
        <f>AM58+AM188</f>
        <v/>
      </c>
      <c r="AN318" s="22">
        <f>AN58+AN188</f>
        <v/>
      </c>
      <c r="AO318" s="22">
        <f>AO58+AO188</f>
        <v/>
      </c>
      <c r="AP318" s="22">
        <f>AP58+AP188</f>
        <v/>
      </c>
      <c r="AQ318" s="22">
        <f>AQ58+AQ188</f>
        <v/>
      </c>
      <c r="AR318" s="22">
        <f>AR58+AR188</f>
        <v/>
      </c>
      <c r="AS318" s="22">
        <f>AS58+AS188</f>
        <v/>
      </c>
      <c r="AT318" s="22">
        <f>AT58+AT188</f>
        <v/>
      </c>
      <c r="AU318" s="22">
        <f>AU58+AU188</f>
        <v/>
      </c>
      <c r="AV318" s="22">
        <f>AV58+AV188</f>
        <v/>
      </c>
      <c r="AW318" s="22">
        <f>AW58+AW188</f>
        <v/>
      </c>
      <c r="AX318" s="22">
        <f>AX58+AX188</f>
        <v/>
      </c>
      <c r="AY318" s="22">
        <f>AY58+AY188</f>
        <v/>
      </c>
      <c r="BA318" s="23">
        <f>BA58+BA188</f>
        <v/>
      </c>
      <c r="BB318" s="22">
        <f>BB58+BB188</f>
        <v/>
      </c>
      <c r="BC318" s="22">
        <f>BC58+BC188</f>
        <v/>
      </c>
      <c r="BD318" s="22">
        <f>BD58+BD188</f>
        <v/>
      </c>
      <c r="BE318" s="22">
        <f>BE58+BE188</f>
        <v/>
      </c>
      <c r="BF318" s="22">
        <f>BF58+BF188</f>
        <v/>
      </c>
      <c r="BG318" s="22">
        <f>BG58+BG188</f>
        <v/>
      </c>
      <c r="BH318" s="22">
        <f>BH58+BH188</f>
        <v/>
      </c>
      <c r="BI318" s="22">
        <f>BI58+BI188</f>
        <v/>
      </c>
      <c r="BJ318" s="22">
        <f>BJ58+BJ188</f>
        <v/>
      </c>
      <c r="BK318" s="22">
        <f>BK58+BK188</f>
        <v/>
      </c>
      <c r="BL318" s="22">
        <f>BL58+BL188</f>
        <v/>
      </c>
      <c r="BM318" s="22">
        <f>BM58+BM188</f>
        <v/>
      </c>
      <c r="BN318" s="22">
        <f>BN58+BN188</f>
        <v/>
      </c>
    </row>
    <row r="319">
      <c r="B319" s="5" t="inlineStr">
        <is>
          <t>coa</t>
        </is>
      </c>
      <c r="C319" s="5" t="inlineStr">
        <is>
          <t>srv</t>
        </is>
      </c>
      <c r="D319" s="5" t="inlineStr">
        <is>
          <t>Post-tax price | Services (public &amp; private) | Coal</t>
        </is>
      </c>
      <c r="E319" s="5" t="inlineStr">
        <is>
          <t>$/GJ</t>
        </is>
      </c>
      <c r="F319" s="5" t="inlineStr">
        <is>
          <t>Calculation</t>
        </is>
      </c>
      <c r="G319" s="19" t="inlineStr"/>
      <c r="H319" s="19" t="inlineStr">
        <is>
          <t>mit.ptp.coa.srv</t>
        </is>
      </c>
      <c r="J319" s="5">
        <f>INDEX(Mapping!$C$5:$C$20,MATCH($C319,Mapping!$A$5:$A$20,0))</f>
        <v/>
      </c>
      <c r="K319" s="5">
        <f>INDEX(Mapping!$D$5:$D$20,MATCH($C319,Mapping!$A$5:$A$20,0))</f>
        <v/>
      </c>
      <c r="L319" s="5">
        <f>INDEX(Mapping!$C$24:$C$31,MATCH($B319,Mapping!$A$24:$A$31,0))</f>
        <v/>
      </c>
      <c r="M319" s="5">
        <f>INDEX(Mapping!$D$24:$D$31,MATCH($B319,Mapping!$A$24:$A$31,0))</f>
        <v/>
      </c>
      <c r="N319" s="5">
        <f>$B319&amp;"."&amp;IF(INDEX(Mapping!$E$24:$E$31,MATCH($B319,Mapping!$A$24:$A$31,0))="sub",INDEX(Mapping!$F$5:$F$20,MATCH($C319,Mapping!$A$5:$A$20,0)),"all")</f>
        <v/>
      </c>
      <c r="O319" s="5">
        <f>INDEX(Mapping!$E$5:$E$20,MATCH($C319,Mapping!$A$5:$A$20,0))</f>
        <v/>
      </c>
      <c r="P319" s="5">
        <f>INDEX(Mapping!$G$24:$G$31,MATCH($B319,Mapping!$A$24:$A$31,0))</f>
        <v/>
      </c>
      <c r="Q319" s="21" t="n"/>
      <c r="R319" s="21" t="n"/>
      <c r="S319" s="21" t="n"/>
      <c r="T319" s="21" t="n"/>
      <c r="U319" s="21" t="n"/>
      <c r="V319" s="21" t="n"/>
      <c r="W319" s="21" t="n"/>
      <c r="X319" s="21" t="n"/>
      <c r="Y319" s="21" t="n"/>
      <c r="Z319" s="21" t="n"/>
      <c r="AA319" s="21" t="n"/>
      <c r="AB319" s="21" t="n"/>
      <c r="AC319" s="21" t="n"/>
      <c r="AD319" s="21" t="n"/>
      <c r="AE319" s="21" t="n"/>
      <c r="AF319" s="21" t="n"/>
      <c r="AG319" s="21" t="n"/>
      <c r="AH319" s="21" t="n"/>
      <c r="AI319" s="21" t="n"/>
      <c r="AJ319" s="21" t="n"/>
      <c r="AL319" s="23">
        <f>AL59+AL189</f>
        <v/>
      </c>
      <c r="AM319" s="22">
        <f>AM59+AM189</f>
        <v/>
      </c>
      <c r="AN319" s="22">
        <f>AN59+AN189</f>
        <v/>
      </c>
      <c r="AO319" s="22">
        <f>AO59+AO189</f>
        <v/>
      </c>
      <c r="AP319" s="22">
        <f>AP59+AP189</f>
        <v/>
      </c>
      <c r="AQ319" s="22">
        <f>AQ59+AQ189</f>
        <v/>
      </c>
      <c r="AR319" s="22">
        <f>AR59+AR189</f>
        <v/>
      </c>
      <c r="AS319" s="22">
        <f>AS59+AS189</f>
        <v/>
      </c>
      <c r="AT319" s="22">
        <f>AT59+AT189</f>
        <v/>
      </c>
      <c r="AU319" s="22">
        <f>AU59+AU189</f>
        <v/>
      </c>
      <c r="AV319" s="22">
        <f>AV59+AV189</f>
        <v/>
      </c>
      <c r="AW319" s="22">
        <f>AW59+AW189</f>
        <v/>
      </c>
      <c r="AX319" s="22">
        <f>AX59+AX189</f>
        <v/>
      </c>
      <c r="AY319" s="22">
        <f>AY59+AY189</f>
        <v/>
      </c>
      <c r="BA319" s="23">
        <f>BA59+BA189</f>
        <v/>
      </c>
      <c r="BB319" s="22">
        <f>BB59+BB189</f>
        <v/>
      </c>
      <c r="BC319" s="22">
        <f>BC59+BC189</f>
        <v/>
      </c>
      <c r="BD319" s="22">
        <f>BD59+BD189</f>
        <v/>
      </c>
      <c r="BE319" s="22">
        <f>BE59+BE189</f>
        <v/>
      </c>
      <c r="BF319" s="22">
        <f>BF59+BF189</f>
        <v/>
      </c>
      <c r="BG319" s="22">
        <f>BG59+BG189</f>
        <v/>
      </c>
      <c r="BH319" s="22">
        <f>BH59+BH189</f>
        <v/>
      </c>
      <c r="BI319" s="22">
        <f>BI59+BI189</f>
        <v/>
      </c>
      <c r="BJ319" s="22">
        <f>BJ59+BJ189</f>
        <v/>
      </c>
      <c r="BK319" s="22">
        <f>BK59+BK189</f>
        <v/>
      </c>
      <c r="BL319" s="22">
        <f>BL59+BL189</f>
        <v/>
      </c>
      <c r="BM319" s="22">
        <f>BM59+BM189</f>
        <v/>
      </c>
      <c r="BN319" s="22">
        <f>BN59+BN189</f>
        <v/>
      </c>
    </row>
    <row r="320">
      <c r="B320" s="5" t="inlineStr">
        <is>
          <t>nga</t>
        </is>
      </c>
      <c r="C320" s="5" t="inlineStr">
        <is>
          <t>srv</t>
        </is>
      </c>
      <c r="D320" s="5" t="inlineStr">
        <is>
          <t>Post-tax price | Services (public &amp; private) | Natural gas</t>
        </is>
      </c>
      <c r="E320" s="5" t="inlineStr">
        <is>
          <t>$/GJ</t>
        </is>
      </c>
      <c r="F320" s="5" t="inlineStr">
        <is>
          <t>Calculation</t>
        </is>
      </c>
      <c r="G320" s="19" t="inlineStr"/>
      <c r="H320" s="19" t="inlineStr">
        <is>
          <t>mit.ptp.nga.srv</t>
        </is>
      </c>
      <c r="J320" s="5">
        <f>INDEX(Mapping!$C$5:$C$20,MATCH($C320,Mapping!$A$5:$A$20,0))</f>
        <v/>
      </c>
      <c r="K320" s="5">
        <f>INDEX(Mapping!$D$5:$D$20,MATCH($C320,Mapping!$A$5:$A$20,0))</f>
        <v/>
      </c>
      <c r="L320" s="5">
        <f>INDEX(Mapping!$C$24:$C$31,MATCH($B320,Mapping!$A$24:$A$31,0))</f>
        <v/>
      </c>
      <c r="M320" s="5">
        <f>INDEX(Mapping!$D$24:$D$31,MATCH($B320,Mapping!$A$24:$A$31,0))</f>
        <v/>
      </c>
      <c r="N320" s="5">
        <f>$B320&amp;"."&amp;IF(INDEX(Mapping!$E$24:$E$31,MATCH($B320,Mapping!$A$24:$A$31,0))="sub",INDEX(Mapping!$F$5:$F$20,MATCH($C320,Mapping!$A$5:$A$20,0)),"all")</f>
        <v/>
      </c>
      <c r="O320" s="5">
        <f>INDEX(Mapping!$E$5:$E$20,MATCH($C320,Mapping!$A$5:$A$20,0))</f>
        <v/>
      </c>
      <c r="P320" s="5">
        <f>INDEX(Mapping!$G$24:$G$31,MATCH($B320,Mapping!$A$24:$A$31,0))</f>
        <v/>
      </c>
      <c r="Q320" s="21" t="n"/>
      <c r="R320" s="21" t="n"/>
      <c r="S320" s="21" t="n"/>
      <c r="T320" s="21" t="n"/>
      <c r="U320" s="21" t="n"/>
      <c r="V320" s="21" t="n"/>
      <c r="W320" s="21" t="n"/>
      <c r="X320" s="21" t="n"/>
      <c r="Y320" s="21" t="n"/>
      <c r="Z320" s="21" t="n"/>
      <c r="AA320" s="21" t="n"/>
      <c r="AB320" s="21" t="n"/>
      <c r="AC320" s="21" t="n"/>
      <c r="AD320" s="21" t="n"/>
      <c r="AE320" s="21" t="n"/>
      <c r="AF320" s="21" t="n"/>
      <c r="AG320" s="21" t="n"/>
      <c r="AH320" s="21" t="n"/>
      <c r="AI320" s="21" t="n"/>
      <c r="AJ320" s="21" t="n"/>
      <c r="AL320" s="23">
        <f>AL60+AL190</f>
        <v/>
      </c>
      <c r="AM320" s="22">
        <f>AM60+AM190</f>
        <v/>
      </c>
      <c r="AN320" s="22">
        <f>AN60+AN190</f>
        <v/>
      </c>
      <c r="AO320" s="22">
        <f>AO60+AO190</f>
        <v/>
      </c>
      <c r="AP320" s="22">
        <f>AP60+AP190</f>
        <v/>
      </c>
      <c r="AQ320" s="22">
        <f>AQ60+AQ190</f>
        <v/>
      </c>
      <c r="AR320" s="22">
        <f>AR60+AR190</f>
        <v/>
      </c>
      <c r="AS320" s="22">
        <f>AS60+AS190</f>
        <v/>
      </c>
      <c r="AT320" s="22">
        <f>AT60+AT190</f>
        <v/>
      </c>
      <c r="AU320" s="22">
        <f>AU60+AU190</f>
        <v/>
      </c>
      <c r="AV320" s="22">
        <f>AV60+AV190</f>
        <v/>
      </c>
      <c r="AW320" s="22">
        <f>AW60+AW190</f>
        <v/>
      </c>
      <c r="AX320" s="22">
        <f>AX60+AX190</f>
        <v/>
      </c>
      <c r="AY320" s="22">
        <f>AY60+AY190</f>
        <v/>
      </c>
      <c r="BA320" s="23">
        <f>BA60+BA190</f>
        <v/>
      </c>
      <c r="BB320" s="22">
        <f>BB60+BB190</f>
        <v/>
      </c>
      <c r="BC320" s="22">
        <f>BC60+BC190</f>
        <v/>
      </c>
      <c r="BD320" s="22">
        <f>BD60+BD190</f>
        <v/>
      </c>
      <c r="BE320" s="22">
        <f>BE60+BE190</f>
        <v/>
      </c>
      <c r="BF320" s="22">
        <f>BF60+BF190</f>
        <v/>
      </c>
      <c r="BG320" s="22">
        <f>BG60+BG190</f>
        <v/>
      </c>
      <c r="BH320" s="22">
        <f>BH60+BH190</f>
        <v/>
      </c>
      <c r="BI320" s="22">
        <f>BI60+BI190</f>
        <v/>
      </c>
      <c r="BJ320" s="22">
        <f>BJ60+BJ190</f>
        <v/>
      </c>
      <c r="BK320" s="22">
        <f>BK60+BK190</f>
        <v/>
      </c>
      <c r="BL320" s="22">
        <f>BL60+BL190</f>
        <v/>
      </c>
      <c r="BM320" s="22">
        <f>BM60+BM190</f>
        <v/>
      </c>
      <c r="BN320" s="22">
        <f>BN60+BN190</f>
        <v/>
      </c>
    </row>
    <row r="321">
      <c r="B321" s="5" t="inlineStr">
        <is>
          <t>gso</t>
        </is>
      </c>
      <c r="C321" s="5" t="inlineStr">
        <is>
          <t>srv</t>
        </is>
      </c>
      <c r="D321" s="5" t="inlineStr">
        <is>
          <t>Post-tax price | Services (public &amp; private) | Gasoline</t>
        </is>
      </c>
      <c r="E321" s="5" t="inlineStr">
        <is>
          <t>$/GJ</t>
        </is>
      </c>
      <c r="F321" s="5" t="inlineStr">
        <is>
          <t>Calculation</t>
        </is>
      </c>
      <c r="G321" s="19" t="inlineStr"/>
      <c r="H321" s="19" t="inlineStr">
        <is>
          <t>mit.ptp.gso.srv</t>
        </is>
      </c>
      <c r="J321" s="5">
        <f>INDEX(Mapping!$C$5:$C$20,MATCH($C321,Mapping!$A$5:$A$20,0))</f>
        <v/>
      </c>
      <c r="K321" s="5">
        <f>INDEX(Mapping!$D$5:$D$20,MATCH($C321,Mapping!$A$5:$A$20,0))</f>
        <v/>
      </c>
      <c r="L321" s="5">
        <f>INDEX(Mapping!$C$24:$C$31,MATCH($B321,Mapping!$A$24:$A$31,0))</f>
        <v/>
      </c>
      <c r="M321" s="5">
        <f>INDEX(Mapping!$D$24:$D$31,MATCH($B321,Mapping!$A$24:$A$31,0))</f>
        <v/>
      </c>
      <c r="N321" s="5">
        <f>$B321&amp;"."&amp;IF(INDEX(Mapping!$E$24:$E$31,MATCH($B321,Mapping!$A$24:$A$31,0))="sub",INDEX(Mapping!$F$5:$F$20,MATCH($C321,Mapping!$A$5:$A$20,0)),"all")</f>
        <v/>
      </c>
      <c r="O321" s="5">
        <f>INDEX(Mapping!$E$5:$E$20,MATCH($C321,Mapping!$A$5:$A$20,0))</f>
        <v/>
      </c>
      <c r="P321" s="5">
        <f>INDEX(Mapping!$G$24:$G$31,MATCH($B321,Mapping!$A$24:$A$31,0))</f>
        <v/>
      </c>
      <c r="Q321" s="21" t="n"/>
      <c r="R321" s="21" t="n"/>
      <c r="S321" s="21" t="n"/>
      <c r="T321" s="21" t="n"/>
      <c r="U321" s="21" t="n"/>
      <c r="V321" s="21" t="n"/>
      <c r="W321" s="21" t="n"/>
      <c r="X321" s="21" t="n"/>
      <c r="Y321" s="21" t="n"/>
      <c r="Z321" s="21" t="n"/>
      <c r="AA321" s="21" t="n"/>
      <c r="AB321" s="21" t="n"/>
      <c r="AC321" s="21" t="n"/>
      <c r="AD321" s="21" t="n"/>
      <c r="AE321" s="21" t="n"/>
      <c r="AF321" s="21" t="n"/>
      <c r="AG321" s="21" t="n"/>
      <c r="AH321" s="21" t="n"/>
      <c r="AI321" s="21" t="n"/>
      <c r="AJ321" s="21" t="n"/>
      <c r="AL321" s="23">
        <f>AL61+AL191</f>
        <v/>
      </c>
      <c r="AM321" s="22">
        <f>AM61+AM191</f>
        <v/>
      </c>
      <c r="AN321" s="22">
        <f>AN61+AN191</f>
        <v/>
      </c>
      <c r="AO321" s="22">
        <f>AO61+AO191</f>
        <v/>
      </c>
      <c r="AP321" s="22">
        <f>AP61+AP191</f>
        <v/>
      </c>
      <c r="AQ321" s="22">
        <f>AQ61+AQ191</f>
        <v/>
      </c>
      <c r="AR321" s="22">
        <f>AR61+AR191</f>
        <v/>
      </c>
      <c r="AS321" s="22">
        <f>AS61+AS191</f>
        <v/>
      </c>
      <c r="AT321" s="22">
        <f>AT61+AT191</f>
        <v/>
      </c>
      <c r="AU321" s="22">
        <f>AU61+AU191</f>
        <v/>
      </c>
      <c r="AV321" s="22">
        <f>AV61+AV191</f>
        <v/>
      </c>
      <c r="AW321" s="22">
        <f>AW61+AW191</f>
        <v/>
      </c>
      <c r="AX321" s="22">
        <f>AX61+AX191</f>
        <v/>
      </c>
      <c r="AY321" s="22">
        <f>AY61+AY191</f>
        <v/>
      </c>
      <c r="BA321" s="23">
        <f>BA61+BA191</f>
        <v/>
      </c>
      <c r="BB321" s="22">
        <f>BB61+BB191</f>
        <v/>
      </c>
      <c r="BC321" s="22">
        <f>BC61+BC191</f>
        <v/>
      </c>
      <c r="BD321" s="22">
        <f>BD61+BD191</f>
        <v/>
      </c>
      <c r="BE321" s="22">
        <f>BE61+BE191</f>
        <v/>
      </c>
      <c r="BF321" s="22">
        <f>BF61+BF191</f>
        <v/>
      </c>
      <c r="BG321" s="22">
        <f>BG61+BG191</f>
        <v/>
      </c>
      <c r="BH321" s="22">
        <f>BH61+BH191</f>
        <v/>
      </c>
      <c r="BI321" s="22">
        <f>BI61+BI191</f>
        <v/>
      </c>
      <c r="BJ321" s="22">
        <f>BJ61+BJ191</f>
        <v/>
      </c>
      <c r="BK321" s="22">
        <f>BK61+BK191</f>
        <v/>
      </c>
      <c r="BL321" s="22">
        <f>BL61+BL191</f>
        <v/>
      </c>
      <c r="BM321" s="22">
        <f>BM61+BM191</f>
        <v/>
      </c>
      <c r="BN321" s="22">
        <f>BN61+BN191</f>
        <v/>
      </c>
    </row>
    <row r="322">
      <c r="B322" s="5" t="inlineStr">
        <is>
          <t>die</t>
        </is>
      </c>
      <c r="C322" s="5" t="inlineStr">
        <is>
          <t>srv</t>
        </is>
      </c>
      <c r="D322" s="5" t="inlineStr">
        <is>
          <t>Post-tax price | Services (public &amp; private) | Diesel</t>
        </is>
      </c>
      <c r="E322" s="5" t="inlineStr">
        <is>
          <t>$/GJ</t>
        </is>
      </c>
      <c r="F322" s="5" t="inlineStr">
        <is>
          <t>Calculation</t>
        </is>
      </c>
      <c r="G322" s="19" t="inlineStr"/>
      <c r="H322" s="19" t="inlineStr">
        <is>
          <t>mit.ptp.die.srv</t>
        </is>
      </c>
      <c r="J322" s="5">
        <f>INDEX(Mapping!$C$5:$C$20,MATCH($C322,Mapping!$A$5:$A$20,0))</f>
        <v/>
      </c>
      <c r="K322" s="5">
        <f>INDEX(Mapping!$D$5:$D$20,MATCH($C322,Mapping!$A$5:$A$20,0))</f>
        <v/>
      </c>
      <c r="L322" s="5">
        <f>INDEX(Mapping!$C$24:$C$31,MATCH($B322,Mapping!$A$24:$A$31,0))</f>
        <v/>
      </c>
      <c r="M322" s="5">
        <f>INDEX(Mapping!$D$24:$D$31,MATCH($B322,Mapping!$A$24:$A$31,0))</f>
        <v/>
      </c>
      <c r="N322" s="5">
        <f>$B322&amp;"."&amp;IF(INDEX(Mapping!$E$24:$E$31,MATCH($B322,Mapping!$A$24:$A$31,0))="sub",INDEX(Mapping!$F$5:$F$20,MATCH($C322,Mapping!$A$5:$A$20,0)),"all")</f>
        <v/>
      </c>
      <c r="O322" s="5">
        <f>INDEX(Mapping!$E$5:$E$20,MATCH($C322,Mapping!$A$5:$A$20,0))</f>
        <v/>
      </c>
      <c r="P322" s="5">
        <f>INDEX(Mapping!$G$24:$G$31,MATCH($B322,Mapping!$A$24:$A$31,0))</f>
        <v/>
      </c>
      <c r="Q322" s="21" t="n"/>
      <c r="R322" s="21" t="n"/>
      <c r="S322" s="21" t="n"/>
      <c r="T322" s="21" t="n"/>
      <c r="U322" s="21" t="n"/>
      <c r="V322" s="21" t="n"/>
      <c r="W322" s="21" t="n"/>
      <c r="X322" s="21" t="n"/>
      <c r="Y322" s="21" t="n"/>
      <c r="Z322" s="21" t="n"/>
      <c r="AA322" s="21" t="n"/>
      <c r="AB322" s="21" t="n"/>
      <c r="AC322" s="21" t="n"/>
      <c r="AD322" s="21" t="n"/>
      <c r="AE322" s="21" t="n"/>
      <c r="AF322" s="21" t="n"/>
      <c r="AG322" s="21" t="n"/>
      <c r="AH322" s="21" t="n"/>
      <c r="AI322" s="21" t="n"/>
      <c r="AJ322" s="21" t="n"/>
      <c r="AL322" s="23">
        <f>AL62+AL192</f>
        <v/>
      </c>
      <c r="AM322" s="22">
        <f>AM62+AM192</f>
        <v/>
      </c>
      <c r="AN322" s="22">
        <f>AN62+AN192</f>
        <v/>
      </c>
      <c r="AO322" s="22">
        <f>AO62+AO192</f>
        <v/>
      </c>
      <c r="AP322" s="22">
        <f>AP62+AP192</f>
        <v/>
      </c>
      <c r="AQ322" s="22">
        <f>AQ62+AQ192</f>
        <v/>
      </c>
      <c r="AR322" s="22">
        <f>AR62+AR192</f>
        <v/>
      </c>
      <c r="AS322" s="22">
        <f>AS62+AS192</f>
        <v/>
      </c>
      <c r="AT322" s="22">
        <f>AT62+AT192</f>
        <v/>
      </c>
      <c r="AU322" s="22">
        <f>AU62+AU192</f>
        <v/>
      </c>
      <c r="AV322" s="22">
        <f>AV62+AV192</f>
        <v/>
      </c>
      <c r="AW322" s="22">
        <f>AW62+AW192</f>
        <v/>
      </c>
      <c r="AX322" s="22">
        <f>AX62+AX192</f>
        <v/>
      </c>
      <c r="AY322" s="22">
        <f>AY62+AY192</f>
        <v/>
      </c>
      <c r="BA322" s="23">
        <f>BA62+BA192</f>
        <v/>
      </c>
      <c r="BB322" s="22">
        <f>BB62+BB192</f>
        <v/>
      </c>
      <c r="BC322" s="22">
        <f>BC62+BC192</f>
        <v/>
      </c>
      <c r="BD322" s="22">
        <f>BD62+BD192</f>
        <v/>
      </c>
      <c r="BE322" s="22">
        <f>BE62+BE192</f>
        <v/>
      </c>
      <c r="BF322" s="22">
        <f>BF62+BF192</f>
        <v/>
      </c>
      <c r="BG322" s="22">
        <f>BG62+BG192</f>
        <v/>
      </c>
      <c r="BH322" s="22">
        <f>BH62+BH192</f>
        <v/>
      </c>
      <c r="BI322" s="22">
        <f>BI62+BI192</f>
        <v/>
      </c>
      <c r="BJ322" s="22">
        <f>BJ62+BJ192</f>
        <v/>
      </c>
      <c r="BK322" s="22">
        <f>BK62+BK192</f>
        <v/>
      </c>
      <c r="BL322" s="22">
        <f>BL62+BL192</f>
        <v/>
      </c>
      <c r="BM322" s="22">
        <f>BM62+BM192</f>
        <v/>
      </c>
      <c r="BN322" s="22">
        <f>BN62+BN192</f>
        <v/>
      </c>
    </row>
    <row r="323">
      <c r="B323" s="5" t="inlineStr">
        <is>
          <t>lpg</t>
        </is>
      </c>
      <c r="C323" s="5" t="inlineStr">
        <is>
          <t>srv</t>
        </is>
      </c>
      <c r="D323" s="5" t="inlineStr">
        <is>
          <t>Post-tax price | Services (public &amp; private) | LPG</t>
        </is>
      </c>
      <c r="E323" s="5" t="inlineStr">
        <is>
          <t>$/GJ</t>
        </is>
      </c>
      <c r="F323" s="5" t="inlineStr">
        <is>
          <t>Calculation</t>
        </is>
      </c>
      <c r="G323" s="19" t="inlineStr"/>
      <c r="H323" s="19" t="inlineStr">
        <is>
          <t>mit.ptp.lpg.srv</t>
        </is>
      </c>
      <c r="J323" s="5">
        <f>INDEX(Mapping!$C$5:$C$20,MATCH($C323,Mapping!$A$5:$A$20,0))</f>
        <v/>
      </c>
      <c r="K323" s="5">
        <f>INDEX(Mapping!$D$5:$D$20,MATCH($C323,Mapping!$A$5:$A$20,0))</f>
        <v/>
      </c>
      <c r="L323" s="5">
        <f>INDEX(Mapping!$C$24:$C$31,MATCH($B323,Mapping!$A$24:$A$31,0))</f>
        <v/>
      </c>
      <c r="M323" s="5">
        <f>INDEX(Mapping!$D$24:$D$31,MATCH($B323,Mapping!$A$24:$A$31,0))</f>
        <v/>
      </c>
      <c r="N323" s="5">
        <f>$B323&amp;"."&amp;IF(INDEX(Mapping!$E$24:$E$31,MATCH($B323,Mapping!$A$24:$A$31,0))="sub",INDEX(Mapping!$F$5:$F$20,MATCH($C323,Mapping!$A$5:$A$20,0)),"all")</f>
        <v/>
      </c>
      <c r="O323" s="5">
        <f>INDEX(Mapping!$E$5:$E$20,MATCH($C323,Mapping!$A$5:$A$20,0))</f>
        <v/>
      </c>
      <c r="P323" s="5">
        <f>INDEX(Mapping!$G$24:$G$31,MATCH($B323,Mapping!$A$24:$A$31,0))</f>
        <v/>
      </c>
      <c r="Q323" s="21" t="n"/>
      <c r="R323" s="21" t="n"/>
      <c r="S323" s="21" t="n"/>
      <c r="T323" s="21" t="n"/>
      <c r="U323" s="21" t="n"/>
      <c r="V323" s="21" t="n"/>
      <c r="W323" s="21" t="n"/>
      <c r="X323" s="21" t="n"/>
      <c r="Y323" s="21" t="n"/>
      <c r="Z323" s="21" t="n"/>
      <c r="AA323" s="21" t="n"/>
      <c r="AB323" s="21" t="n"/>
      <c r="AC323" s="21" t="n"/>
      <c r="AD323" s="21" t="n"/>
      <c r="AE323" s="21" t="n"/>
      <c r="AF323" s="21" t="n"/>
      <c r="AG323" s="21" t="n"/>
      <c r="AH323" s="21" t="n"/>
      <c r="AI323" s="21" t="n"/>
      <c r="AJ323" s="21" t="n"/>
      <c r="AL323" s="23">
        <f>AL63+AL193</f>
        <v/>
      </c>
      <c r="AM323" s="22">
        <f>AM63+AM193</f>
        <v/>
      </c>
      <c r="AN323" s="22">
        <f>AN63+AN193</f>
        <v/>
      </c>
      <c r="AO323" s="22">
        <f>AO63+AO193</f>
        <v/>
      </c>
      <c r="AP323" s="22">
        <f>AP63+AP193</f>
        <v/>
      </c>
      <c r="AQ323" s="22">
        <f>AQ63+AQ193</f>
        <v/>
      </c>
      <c r="AR323" s="22">
        <f>AR63+AR193</f>
        <v/>
      </c>
      <c r="AS323" s="22">
        <f>AS63+AS193</f>
        <v/>
      </c>
      <c r="AT323" s="22">
        <f>AT63+AT193</f>
        <v/>
      </c>
      <c r="AU323" s="22">
        <f>AU63+AU193</f>
        <v/>
      </c>
      <c r="AV323" s="22">
        <f>AV63+AV193</f>
        <v/>
      </c>
      <c r="AW323" s="22">
        <f>AW63+AW193</f>
        <v/>
      </c>
      <c r="AX323" s="22">
        <f>AX63+AX193</f>
        <v/>
      </c>
      <c r="AY323" s="22">
        <f>AY63+AY193</f>
        <v/>
      </c>
      <c r="BA323" s="23">
        <f>BA63+BA193</f>
        <v/>
      </c>
      <c r="BB323" s="22">
        <f>BB63+BB193</f>
        <v/>
      </c>
      <c r="BC323" s="22">
        <f>BC63+BC193</f>
        <v/>
      </c>
      <c r="BD323" s="22">
        <f>BD63+BD193</f>
        <v/>
      </c>
      <c r="BE323" s="22">
        <f>BE63+BE193</f>
        <v/>
      </c>
      <c r="BF323" s="22">
        <f>BF63+BF193</f>
        <v/>
      </c>
      <c r="BG323" s="22">
        <f>BG63+BG193</f>
        <v/>
      </c>
      <c r="BH323" s="22">
        <f>BH63+BH193</f>
        <v/>
      </c>
      <c r="BI323" s="22">
        <f>BI63+BI193</f>
        <v/>
      </c>
      <c r="BJ323" s="22">
        <f>BJ63+BJ193</f>
        <v/>
      </c>
      <c r="BK323" s="22">
        <f>BK63+BK193</f>
        <v/>
      </c>
      <c r="BL323" s="22">
        <f>BL63+BL193</f>
        <v/>
      </c>
      <c r="BM323" s="22">
        <f>BM63+BM193</f>
        <v/>
      </c>
      <c r="BN323" s="22">
        <f>BN63+BN193</f>
        <v/>
      </c>
    </row>
    <row r="324">
      <c r="B324" s="5" t="inlineStr">
        <is>
          <t>ker</t>
        </is>
      </c>
      <c r="C324" s="5" t="inlineStr">
        <is>
          <t>srv</t>
        </is>
      </c>
      <c r="D324" s="5" t="inlineStr">
        <is>
          <t>Post-tax price | Services (public &amp; private) | Kerosene</t>
        </is>
      </c>
      <c r="E324" s="5" t="inlineStr">
        <is>
          <t>$/GJ</t>
        </is>
      </c>
      <c r="F324" s="5" t="inlineStr">
        <is>
          <t>Calculation</t>
        </is>
      </c>
      <c r="G324" s="19" t="inlineStr"/>
      <c r="H324" s="19" t="inlineStr">
        <is>
          <t>mit.ptp.ker.srv</t>
        </is>
      </c>
      <c r="J324" s="5">
        <f>INDEX(Mapping!$C$5:$C$20,MATCH($C324,Mapping!$A$5:$A$20,0))</f>
        <v/>
      </c>
      <c r="K324" s="5">
        <f>INDEX(Mapping!$D$5:$D$20,MATCH($C324,Mapping!$A$5:$A$20,0))</f>
        <v/>
      </c>
      <c r="L324" s="5">
        <f>INDEX(Mapping!$C$24:$C$31,MATCH($B324,Mapping!$A$24:$A$31,0))</f>
        <v/>
      </c>
      <c r="M324" s="5">
        <f>INDEX(Mapping!$D$24:$D$31,MATCH($B324,Mapping!$A$24:$A$31,0))</f>
        <v/>
      </c>
      <c r="N324" s="5">
        <f>$B324&amp;"."&amp;IF(INDEX(Mapping!$E$24:$E$31,MATCH($B324,Mapping!$A$24:$A$31,0))="sub",INDEX(Mapping!$F$5:$F$20,MATCH($C324,Mapping!$A$5:$A$20,0)),"all")</f>
        <v/>
      </c>
      <c r="O324" s="5">
        <f>INDEX(Mapping!$E$5:$E$20,MATCH($C324,Mapping!$A$5:$A$20,0))</f>
        <v/>
      </c>
      <c r="P324" s="5">
        <f>INDEX(Mapping!$G$24:$G$31,MATCH($B324,Mapping!$A$24:$A$31,0))</f>
        <v/>
      </c>
      <c r="Q324" s="21" t="n"/>
      <c r="R324" s="21" t="n"/>
      <c r="S324" s="21" t="n"/>
      <c r="T324" s="21" t="n"/>
      <c r="U324" s="21" t="n"/>
      <c r="V324" s="21" t="n"/>
      <c r="W324" s="21" t="n"/>
      <c r="X324" s="21" t="n"/>
      <c r="Y324" s="21" t="n"/>
      <c r="Z324" s="21" t="n"/>
      <c r="AA324" s="21" t="n"/>
      <c r="AB324" s="21" t="n"/>
      <c r="AC324" s="21" t="n"/>
      <c r="AD324" s="21" t="n"/>
      <c r="AE324" s="21" t="n"/>
      <c r="AF324" s="21" t="n"/>
      <c r="AG324" s="21" t="n"/>
      <c r="AH324" s="21" t="n"/>
      <c r="AI324" s="21" t="n"/>
      <c r="AJ324" s="21" t="n"/>
      <c r="AL324" s="23">
        <f>AL64+AL194</f>
        <v/>
      </c>
      <c r="AM324" s="22">
        <f>AM64+AM194</f>
        <v/>
      </c>
      <c r="AN324" s="22">
        <f>AN64+AN194</f>
        <v/>
      </c>
      <c r="AO324" s="22">
        <f>AO64+AO194</f>
        <v/>
      </c>
      <c r="AP324" s="22">
        <f>AP64+AP194</f>
        <v/>
      </c>
      <c r="AQ324" s="22">
        <f>AQ64+AQ194</f>
        <v/>
      </c>
      <c r="AR324" s="22">
        <f>AR64+AR194</f>
        <v/>
      </c>
      <c r="AS324" s="22">
        <f>AS64+AS194</f>
        <v/>
      </c>
      <c r="AT324" s="22">
        <f>AT64+AT194</f>
        <v/>
      </c>
      <c r="AU324" s="22">
        <f>AU64+AU194</f>
        <v/>
      </c>
      <c r="AV324" s="22">
        <f>AV64+AV194</f>
        <v/>
      </c>
      <c r="AW324" s="22">
        <f>AW64+AW194</f>
        <v/>
      </c>
      <c r="AX324" s="22">
        <f>AX64+AX194</f>
        <v/>
      </c>
      <c r="AY324" s="22">
        <f>AY64+AY194</f>
        <v/>
      </c>
      <c r="BA324" s="23">
        <f>BA64+BA194</f>
        <v/>
      </c>
      <c r="BB324" s="22">
        <f>BB64+BB194</f>
        <v/>
      </c>
      <c r="BC324" s="22">
        <f>BC64+BC194</f>
        <v/>
      </c>
      <c r="BD324" s="22">
        <f>BD64+BD194</f>
        <v/>
      </c>
      <c r="BE324" s="22">
        <f>BE64+BE194</f>
        <v/>
      </c>
      <c r="BF324" s="22">
        <f>BF64+BF194</f>
        <v/>
      </c>
      <c r="BG324" s="22">
        <f>BG64+BG194</f>
        <v/>
      </c>
      <c r="BH324" s="22">
        <f>BH64+BH194</f>
        <v/>
      </c>
      <c r="BI324" s="22">
        <f>BI64+BI194</f>
        <v/>
      </c>
      <c r="BJ324" s="22">
        <f>BJ64+BJ194</f>
        <v/>
      </c>
      <c r="BK324" s="22">
        <f>BK64+BK194</f>
        <v/>
      </c>
      <c r="BL324" s="22">
        <f>BL64+BL194</f>
        <v/>
      </c>
      <c r="BM324" s="22">
        <f>BM64+BM194</f>
        <v/>
      </c>
      <c r="BN324" s="22">
        <f>BN64+BN194</f>
        <v/>
      </c>
    </row>
    <row r="325">
      <c r="B325" s="5" t="inlineStr">
        <is>
          <t>oop</t>
        </is>
      </c>
      <c r="C325" s="5" t="inlineStr">
        <is>
          <t>srv</t>
        </is>
      </c>
      <c r="D325" s="5" t="inlineStr">
        <is>
          <t>Post-tax price | Services (public &amp; private) | Other oil products</t>
        </is>
      </c>
      <c r="E325" s="5" t="inlineStr">
        <is>
          <t>$/GJ</t>
        </is>
      </c>
      <c r="F325" s="5" t="inlineStr">
        <is>
          <t>Calculation</t>
        </is>
      </c>
      <c r="G325" s="19" t="inlineStr"/>
      <c r="H325" s="19" t="inlineStr">
        <is>
          <t>mit.ptp.oop.srv</t>
        </is>
      </c>
      <c r="J325" s="5">
        <f>INDEX(Mapping!$C$5:$C$20,MATCH($C325,Mapping!$A$5:$A$20,0))</f>
        <v/>
      </c>
      <c r="K325" s="5">
        <f>INDEX(Mapping!$D$5:$D$20,MATCH($C325,Mapping!$A$5:$A$20,0))</f>
        <v/>
      </c>
      <c r="L325" s="5">
        <f>INDEX(Mapping!$C$24:$C$31,MATCH($B325,Mapping!$A$24:$A$31,0))</f>
        <v/>
      </c>
      <c r="M325" s="5">
        <f>INDEX(Mapping!$D$24:$D$31,MATCH($B325,Mapping!$A$24:$A$31,0))</f>
        <v/>
      </c>
      <c r="N325" s="5">
        <f>$B325&amp;"."&amp;IF(INDEX(Mapping!$E$24:$E$31,MATCH($B325,Mapping!$A$24:$A$31,0))="sub",INDEX(Mapping!$F$5:$F$20,MATCH($C325,Mapping!$A$5:$A$20,0)),"all")</f>
        <v/>
      </c>
      <c r="O325" s="5">
        <f>INDEX(Mapping!$E$5:$E$20,MATCH($C325,Mapping!$A$5:$A$20,0))</f>
        <v/>
      </c>
      <c r="P325" s="5">
        <f>INDEX(Mapping!$G$24:$G$31,MATCH($B325,Mapping!$A$24:$A$31,0))</f>
        <v/>
      </c>
      <c r="Q325" s="21" t="n"/>
      <c r="R325" s="21" t="n"/>
      <c r="S325" s="21" t="n"/>
      <c r="T325" s="21" t="n"/>
      <c r="U325" s="21" t="n"/>
      <c r="V325" s="21" t="n"/>
      <c r="W325" s="21" t="n"/>
      <c r="X325" s="21" t="n"/>
      <c r="Y325" s="21" t="n"/>
      <c r="Z325" s="21" t="n"/>
      <c r="AA325" s="21" t="n"/>
      <c r="AB325" s="21" t="n"/>
      <c r="AC325" s="21" t="n"/>
      <c r="AD325" s="21" t="n"/>
      <c r="AE325" s="21" t="n"/>
      <c r="AF325" s="21" t="n"/>
      <c r="AG325" s="21" t="n"/>
      <c r="AH325" s="21" t="n"/>
      <c r="AI325" s="21" t="n"/>
      <c r="AJ325" s="21" t="n"/>
      <c r="AL325" s="23">
        <f>AL65+AL195</f>
        <v/>
      </c>
      <c r="AM325" s="22">
        <f>AM65+AM195</f>
        <v/>
      </c>
      <c r="AN325" s="22">
        <f>AN65+AN195</f>
        <v/>
      </c>
      <c r="AO325" s="22">
        <f>AO65+AO195</f>
        <v/>
      </c>
      <c r="AP325" s="22">
        <f>AP65+AP195</f>
        <v/>
      </c>
      <c r="AQ325" s="22">
        <f>AQ65+AQ195</f>
        <v/>
      </c>
      <c r="AR325" s="22">
        <f>AR65+AR195</f>
        <v/>
      </c>
      <c r="AS325" s="22">
        <f>AS65+AS195</f>
        <v/>
      </c>
      <c r="AT325" s="22">
        <f>AT65+AT195</f>
        <v/>
      </c>
      <c r="AU325" s="22">
        <f>AU65+AU195</f>
        <v/>
      </c>
      <c r="AV325" s="22">
        <f>AV65+AV195</f>
        <v/>
      </c>
      <c r="AW325" s="22">
        <f>AW65+AW195</f>
        <v/>
      </c>
      <c r="AX325" s="22">
        <f>AX65+AX195</f>
        <v/>
      </c>
      <c r="AY325" s="22">
        <f>AY65+AY195</f>
        <v/>
      </c>
      <c r="BA325" s="23">
        <f>BA65+BA195</f>
        <v/>
      </c>
      <c r="BB325" s="22">
        <f>BB65+BB195</f>
        <v/>
      </c>
      <c r="BC325" s="22">
        <f>BC65+BC195</f>
        <v/>
      </c>
      <c r="BD325" s="22">
        <f>BD65+BD195</f>
        <v/>
      </c>
      <c r="BE325" s="22">
        <f>BE65+BE195</f>
        <v/>
      </c>
      <c r="BF325" s="22">
        <f>BF65+BF195</f>
        <v/>
      </c>
      <c r="BG325" s="22">
        <f>BG65+BG195</f>
        <v/>
      </c>
      <c r="BH325" s="22">
        <f>BH65+BH195</f>
        <v/>
      </c>
      <c r="BI325" s="22">
        <f>BI65+BI195</f>
        <v/>
      </c>
      <c r="BJ325" s="22">
        <f>BJ65+BJ195</f>
        <v/>
      </c>
      <c r="BK325" s="22">
        <f>BK65+BK195</f>
        <v/>
      </c>
      <c r="BL325" s="22">
        <f>BL65+BL195</f>
        <v/>
      </c>
      <c r="BM325" s="22">
        <f>BM65+BM195</f>
        <v/>
      </c>
      <c r="BN325" s="22">
        <f>BN65+BN195</f>
        <v/>
      </c>
    </row>
    <row r="326">
      <c r="B326" s="5" t="inlineStr">
        <is>
          <t>bio</t>
        </is>
      </c>
      <c r="C326" s="5" t="inlineStr">
        <is>
          <t>srv</t>
        </is>
      </c>
      <c r="D326" s="5" t="inlineStr">
        <is>
          <t>Post-tax price | Services (public &amp; private) | Biomass</t>
        </is>
      </c>
      <c r="E326" s="5" t="inlineStr">
        <is>
          <t>$/GJ</t>
        </is>
      </c>
      <c r="F326" s="5" t="inlineStr">
        <is>
          <t>Calculation</t>
        </is>
      </c>
      <c r="G326" s="19" t="inlineStr"/>
      <c r="H326" s="19" t="inlineStr">
        <is>
          <t>mit.ptp.bio.srv</t>
        </is>
      </c>
      <c r="J326" s="5">
        <f>INDEX(Mapping!$C$5:$C$20,MATCH($C326,Mapping!$A$5:$A$20,0))</f>
        <v/>
      </c>
      <c r="K326" s="5">
        <f>INDEX(Mapping!$D$5:$D$20,MATCH($C326,Mapping!$A$5:$A$20,0))</f>
        <v/>
      </c>
      <c r="L326" s="5">
        <f>INDEX(Mapping!$C$24:$C$31,MATCH($B326,Mapping!$A$24:$A$31,0))</f>
        <v/>
      </c>
      <c r="M326" s="5">
        <f>INDEX(Mapping!$D$24:$D$31,MATCH($B326,Mapping!$A$24:$A$31,0))</f>
        <v/>
      </c>
      <c r="N326" s="5">
        <f>$B326&amp;"."&amp;IF(INDEX(Mapping!$E$24:$E$31,MATCH($B326,Mapping!$A$24:$A$31,0))="sub",INDEX(Mapping!$F$5:$F$20,MATCH($C326,Mapping!$A$5:$A$20,0)),"all")</f>
        <v/>
      </c>
      <c r="O326" s="5">
        <f>INDEX(Mapping!$E$5:$E$20,MATCH($C326,Mapping!$A$5:$A$20,0))</f>
        <v/>
      </c>
      <c r="P326" s="5">
        <f>INDEX(Mapping!$G$24:$G$31,MATCH($B326,Mapping!$A$24:$A$31,0))</f>
        <v/>
      </c>
      <c r="Q326" s="21" t="n"/>
      <c r="R326" s="21" t="n"/>
      <c r="S326" s="21" t="n"/>
      <c r="T326" s="21" t="n"/>
      <c r="U326" s="21" t="n"/>
      <c r="V326" s="21" t="n"/>
      <c r="W326" s="21" t="n"/>
      <c r="X326" s="21" t="n"/>
      <c r="Y326" s="21" t="n"/>
      <c r="Z326" s="21" t="n"/>
      <c r="AA326" s="21" t="n"/>
      <c r="AB326" s="21" t="n"/>
      <c r="AC326" s="21" t="n"/>
      <c r="AD326" s="21" t="n"/>
      <c r="AE326" s="21" t="n"/>
      <c r="AF326" s="21" t="n"/>
      <c r="AG326" s="21" t="n"/>
      <c r="AH326" s="21" t="n"/>
      <c r="AI326" s="21" t="n"/>
      <c r="AJ326" s="21" t="n"/>
      <c r="AL326" s="23">
        <f>AL66+AL196</f>
        <v/>
      </c>
      <c r="AM326" s="22">
        <f>AM66+AM196</f>
        <v/>
      </c>
      <c r="AN326" s="22">
        <f>AN66+AN196</f>
        <v/>
      </c>
      <c r="AO326" s="22">
        <f>AO66+AO196</f>
        <v/>
      </c>
      <c r="AP326" s="22">
        <f>AP66+AP196</f>
        <v/>
      </c>
      <c r="AQ326" s="22">
        <f>AQ66+AQ196</f>
        <v/>
      </c>
      <c r="AR326" s="22">
        <f>AR66+AR196</f>
        <v/>
      </c>
      <c r="AS326" s="22">
        <f>AS66+AS196</f>
        <v/>
      </c>
      <c r="AT326" s="22">
        <f>AT66+AT196</f>
        <v/>
      </c>
      <c r="AU326" s="22">
        <f>AU66+AU196</f>
        <v/>
      </c>
      <c r="AV326" s="22">
        <f>AV66+AV196</f>
        <v/>
      </c>
      <c r="AW326" s="22">
        <f>AW66+AW196</f>
        <v/>
      </c>
      <c r="AX326" s="22">
        <f>AX66+AX196</f>
        <v/>
      </c>
      <c r="AY326" s="22">
        <f>AY66+AY196</f>
        <v/>
      </c>
      <c r="BA326" s="23">
        <f>BA66+BA196</f>
        <v/>
      </c>
      <c r="BB326" s="22">
        <f>BB66+BB196</f>
        <v/>
      </c>
      <c r="BC326" s="22">
        <f>BC66+BC196</f>
        <v/>
      </c>
      <c r="BD326" s="22">
        <f>BD66+BD196</f>
        <v/>
      </c>
      <c r="BE326" s="22">
        <f>BE66+BE196</f>
        <v/>
      </c>
      <c r="BF326" s="22">
        <f>BF66+BF196</f>
        <v/>
      </c>
      <c r="BG326" s="22">
        <f>BG66+BG196</f>
        <v/>
      </c>
      <c r="BH326" s="22">
        <f>BH66+BH196</f>
        <v/>
      </c>
      <c r="BI326" s="22">
        <f>BI66+BI196</f>
        <v/>
      </c>
      <c r="BJ326" s="22">
        <f>BJ66+BJ196</f>
        <v/>
      </c>
      <c r="BK326" s="22">
        <f>BK66+BK196</f>
        <v/>
      </c>
      <c r="BL326" s="22">
        <f>BL66+BL196</f>
        <v/>
      </c>
      <c r="BM326" s="22">
        <f>BM66+BM196</f>
        <v/>
      </c>
      <c r="BN326" s="22">
        <f>BN66+BN196</f>
        <v/>
      </c>
    </row>
    <row r="327">
      <c r="B327" s="5" t="inlineStr">
        <is>
          <t>coa</t>
        </is>
      </c>
      <c r="C327" s="5" t="inlineStr">
        <is>
          <t>mch</t>
        </is>
      </c>
      <c r="D327" s="5" t="inlineStr">
        <is>
          <t>Post-tax price | Mining &amp; chemicals | Coal</t>
        </is>
      </c>
      <c r="E327" s="5" t="inlineStr">
        <is>
          <t>$/GJ</t>
        </is>
      </c>
      <c r="F327" s="5" t="inlineStr">
        <is>
          <t>Calculation</t>
        </is>
      </c>
      <c r="G327" s="19" t="inlineStr"/>
      <c r="H327" s="19" t="inlineStr">
        <is>
          <t>mit.ptp.coa.mch</t>
        </is>
      </c>
      <c r="J327" s="5">
        <f>INDEX(Mapping!$C$5:$C$20,MATCH($C327,Mapping!$A$5:$A$20,0))</f>
        <v/>
      </c>
      <c r="K327" s="5">
        <f>INDEX(Mapping!$D$5:$D$20,MATCH($C327,Mapping!$A$5:$A$20,0))</f>
        <v/>
      </c>
      <c r="L327" s="5">
        <f>INDEX(Mapping!$C$24:$C$31,MATCH($B327,Mapping!$A$24:$A$31,0))</f>
        <v/>
      </c>
      <c r="M327" s="5">
        <f>INDEX(Mapping!$D$24:$D$31,MATCH($B327,Mapping!$A$24:$A$31,0))</f>
        <v/>
      </c>
      <c r="N327" s="5">
        <f>$B327&amp;"."&amp;IF(INDEX(Mapping!$E$24:$E$31,MATCH($B327,Mapping!$A$24:$A$31,0))="sub",INDEX(Mapping!$F$5:$F$20,MATCH($C327,Mapping!$A$5:$A$20,0)),"all")</f>
        <v/>
      </c>
      <c r="O327" s="5">
        <f>INDEX(Mapping!$E$5:$E$20,MATCH($C327,Mapping!$A$5:$A$20,0))</f>
        <v/>
      </c>
      <c r="P327" s="5">
        <f>INDEX(Mapping!$G$24:$G$31,MATCH($B327,Mapping!$A$24:$A$31,0))</f>
        <v/>
      </c>
      <c r="Q327" s="21" t="n"/>
      <c r="R327" s="21" t="n"/>
      <c r="S327" s="21" t="n"/>
      <c r="T327" s="21" t="n"/>
      <c r="U327" s="21" t="n"/>
      <c r="V327" s="21" t="n"/>
      <c r="W327" s="21" t="n"/>
      <c r="X327" s="21" t="n"/>
      <c r="Y327" s="21" t="n"/>
      <c r="Z327" s="21" t="n"/>
      <c r="AA327" s="21" t="n"/>
      <c r="AB327" s="21" t="n"/>
      <c r="AC327" s="21" t="n"/>
      <c r="AD327" s="21" t="n"/>
      <c r="AE327" s="21" t="n"/>
      <c r="AF327" s="21" t="n"/>
      <c r="AG327" s="21" t="n"/>
      <c r="AH327" s="21" t="n"/>
      <c r="AI327" s="21" t="n"/>
      <c r="AJ327" s="21" t="n"/>
      <c r="AL327" s="23">
        <f>AL67+AL197</f>
        <v/>
      </c>
      <c r="AM327" s="22">
        <f>AM67+AM197</f>
        <v/>
      </c>
      <c r="AN327" s="22">
        <f>AN67+AN197</f>
        <v/>
      </c>
      <c r="AO327" s="22">
        <f>AO67+AO197</f>
        <v/>
      </c>
      <c r="AP327" s="22">
        <f>AP67+AP197</f>
        <v/>
      </c>
      <c r="AQ327" s="22">
        <f>AQ67+AQ197</f>
        <v/>
      </c>
      <c r="AR327" s="22">
        <f>AR67+AR197</f>
        <v/>
      </c>
      <c r="AS327" s="22">
        <f>AS67+AS197</f>
        <v/>
      </c>
      <c r="AT327" s="22">
        <f>AT67+AT197</f>
        <v/>
      </c>
      <c r="AU327" s="22">
        <f>AU67+AU197</f>
        <v/>
      </c>
      <c r="AV327" s="22">
        <f>AV67+AV197</f>
        <v/>
      </c>
      <c r="AW327" s="22">
        <f>AW67+AW197</f>
        <v/>
      </c>
      <c r="AX327" s="22">
        <f>AX67+AX197</f>
        <v/>
      </c>
      <c r="AY327" s="22">
        <f>AY67+AY197</f>
        <v/>
      </c>
      <c r="BA327" s="23">
        <f>BA67+BA197</f>
        <v/>
      </c>
      <c r="BB327" s="22">
        <f>BB67+BB197</f>
        <v/>
      </c>
      <c r="BC327" s="22">
        <f>BC67+BC197</f>
        <v/>
      </c>
      <c r="BD327" s="22">
        <f>BD67+BD197</f>
        <v/>
      </c>
      <c r="BE327" s="22">
        <f>BE67+BE197</f>
        <v/>
      </c>
      <c r="BF327" s="22">
        <f>BF67+BF197</f>
        <v/>
      </c>
      <c r="BG327" s="22">
        <f>BG67+BG197</f>
        <v/>
      </c>
      <c r="BH327" s="22">
        <f>BH67+BH197</f>
        <v/>
      </c>
      <c r="BI327" s="22">
        <f>BI67+BI197</f>
        <v/>
      </c>
      <c r="BJ327" s="22">
        <f>BJ67+BJ197</f>
        <v/>
      </c>
      <c r="BK327" s="22">
        <f>BK67+BK197</f>
        <v/>
      </c>
      <c r="BL327" s="22">
        <f>BL67+BL197</f>
        <v/>
      </c>
      <c r="BM327" s="22">
        <f>BM67+BM197</f>
        <v/>
      </c>
      <c r="BN327" s="22">
        <f>BN67+BN197</f>
        <v/>
      </c>
    </row>
    <row r="328">
      <c r="B328" s="5" t="inlineStr">
        <is>
          <t>nga</t>
        </is>
      </c>
      <c r="C328" s="5" t="inlineStr">
        <is>
          <t>mch</t>
        </is>
      </c>
      <c r="D328" s="5" t="inlineStr">
        <is>
          <t>Post-tax price | Mining &amp; chemicals | Natural gas</t>
        </is>
      </c>
      <c r="E328" s="5" t="inlineStr">
        <is>
          <t>$/GJ</t>
        </is>
      </c>
      <c r="F328" s="5" t="inlineStr">
        <is>
          <t>Calculation</t>
        </is>
      </c>
      <c r="G328" s="19" t="inlineStr"/>
      <c r="H328" s="19" t="inlineStr">
        <is>
          <t>mit.ptp.nga.mch</t>
        </is>
      </c>
      <c r="J328" s="5">
        <f>INDEX(Mapping!$C$5:$C$20,MATCH($C328,Mapping!$A$5:$A$20,0))</f>
        <v/>
      </c>
      <c r="K328" s="5">
        <f>INDEX(Mapping!$D$5:$D$20,MATCH($C328,Mapping!$A$5:$A$20,0))</f>
        <v/>
      </c>
      <c r="L328" s="5">
        <f>INDEX(Mapping!$C$24:$C$31,MATCH($B328,Mapping!$A$24:$A$31,0))</f>
        <v/>
      </c>
      <c r="M328" s="5">
        <f>INDEX(Mapping!$D$24:$D$31,MATCH($B328,Mapping!$A$24:$A$31,0))</f>
        <v/>
      </c>
      <c r="N328" s="5">
        <f>$B328&amp;"."&amp;IF(INDEX(Mapping!$E$24:$E$31,MATCH($B328,Mapping!$A$24:$A$31,0))="sub",INDEX(Mapping!$F$5:$F$20,MATCH($C328,Mapping!$A$5:$A$20,0)),"all")</f>
        <v/>
      </c>
      <c r="O328" s="5">
        <f>INDEX(Mapping!$E$5:$E$20,MATCH($C328,Mapping!$A$5:$A$20,0))</f>
        <v/>
      </c>
      <c r="P328" s="5">
        <f>INDEX(Mapping!$G$24:$G$31,MATCH($B328,Mapping!$A$24:$A$31,0))</f>
        <v/>
      </c>
      <c r="Q328" s="21" t="n"/>
      <c r="R328" s="21" t="n"/>
      <c r="S328" s="21" t="n"/>
      <c r="T328" s="21" t="n"/>
      <c r="U328" s="21" t="n"/>
      <c r="V328" s="21" t="n"/>
      <c r="W328" s="21" t="n"/>
      <c r="X328" s="21" t="n"/>
      <c r="Y328" s="21" t="n"/>
      <c r="Z328" s="21" t="n"/>
      <c r="AA328" s="21" t="n"/>
      <c r="AB328" s="21" t="n"/>
      <c r="AC328" s="21" t="n"/>
      <c r="AD328" s="21" t="n"/>
      <c r="AE328" s="21" t="n"/>
      <c r="AF328" s="21" t="n"/>
      <c r="AG328" s="21" t="n"/>
      <c r="AH328" s="21" t="n"/>
      <c r="AI328" s="21" t="n"/>
      <c r="AJ328" s="21" t="n"/>
      <c r="AL328" s="23">
        <f>AL68+AL198</f>
        <v/>
      </c>
      <c r="AM328" s="22">
        <f>AM68+AM198</f>
        <v/>
      </c>
      <c r="AN328" s="22">
        <f>AN68+AN198</f>
        <v/>
      </c>
      <c r="AO328" s="22">
        <f>AO68+AO198</f>
        <v/>
      </c>
      <c r="AP328" s="22">
        <f>AP68+AP198</f>
        <v/>
      </c>
      <c r="AQ328" s="22">
        <f>AQ68+AQ198</f>
        <v/>
      </c>
      <c r="AR328" s="22">
        <f>AR68+AR198</f>
        <v/>
      </c>
      <c r="AS328" s="22">
        <f>AS68+AS198</f>
        <v/>
      </c>
      <c r="AT328" s="22">
        <f>AT68+AT198</f>
        <v/>
      </c>
      <c r="AU328" s="22">
        <f>AU68+AU198</f>
        <v/>
      </c>
      <c r="AV328" s="22">
        <f>AV68+AV198</f>
        <v/>
      </c>
      <c r="AW328" s="22">
        <f>AW68+AW198</f>
        <v/>
      </c>
      <c r="AX328" s="22">
        <f>AX68+AX198</f>
        <v/>
      </c>
      <c r="AY328" s="22">
        <f>AY68+AY198</f>
        <v/>
      </c>
      <c r="BA328" s="23">
        <f>BA68+BA198</f>
        <v/>
      </c>
      <c r="BB328" s="22">
        <f>BB68+BB198</f>
        <v/>
      </c>
      <c r="BC328" s="22">
        <f>BC68+BC198</f>
        <v/>
      </c>
      <c r="BD328" s="22">
        <f>BD68+BD198</f>
        <v/>
      </c>
      <c r="BE328" s="22">
        <f>BE68+BE198</f>
        <v/>
      </c>
      <c r="BF328" s="22">
        <f>BF68+BF198</f>
        <v/>
      </c>
      <c r="BG328" s="22">
        <f>BG68+BG198</f>
        <v/>
      </c>
      <c r="BH328" s="22">
        <f>BH68+BH198</f>
        <v/>
      </c>
      <c r="BI328" s="22">
        <f>BI68+BI198</f>
        <v/>
      </c>
      <c r="BJ328" s="22">
        <f>BJ68+BJ198</f>
        <v/>
      </c>
      <c r="BK328" s="22">
        <f>BK68+BK198</f>
        <v/>
      </c>
      <c r="BL328" s="22">
        <f>BL68+BL198</f>
        <v/>
      </c>
      <c r="BM328" s="22">
        <f>BM68+BM198</f>
        <v/>
      </c>
      <c r="BN328" s="22">
        <f>BN68+BN198</f>
        <v/>
      </c>
    </row>
    <row r="329">
      <c r="B329" s="5" t="inlineStr">
        <is>
          <t>gso</t>
        </is>
      </c>
      <c r="C329" s="5" t="inlineStr">
        <is>
          <t>mch</t>
        </is>
      </c>
      <c r="D329" s="5" t="inlineStr">
        <is>
          <t>Post-tax price | Mining &amp; chemicals | Gasoline</t>
        </is>
      </c>
      <c r="E329" s="5" t="inlineStr">
        <is>
          <t>$/GJ</t>
        </is>
      </c>
      <c r="F329" s="5" t="inlineStr">
        <is>
          <t>Calculation</t>
        </is>
      </c>
      <c r="G329" s="19" t="inlineStr"/>
      <c r="H329" s="19" t="inlineStr">
        <is>
          <t>mit.ptp.gso.mch</t>
        </is>
      </c>
      <c r="J329" s="5">
        <f>INDEX(Mapping!$C$5:$C$20,MATCH($C329,Mapping!$A$5:$A$20,0))</f>
        <v/>
      </c>
      <c r="K329" s="5">
        <f>INDEX(Mapping!$D$5:$D$20,MATCH($C329,Mapping!$A$5:$A$20,0))</f>
        <v/>
      </c>
      <c r="L329" s="5">
        <f>INDEX(Mapping!$C$24:$C$31,MATCH($B329,Mapping!$A$24:$A$31,0))</f>
        <v/>
      </c>
      <c r="M329" s="5">
        <f>INDEX(Mapping!$D$24:$D$31,MATCH($B329,Mapping!$A$24:$A$31,0))</f>
        <v/>
      </c>
      <c r="N329" s="5">
        <f>$B329&amp;"."&amp;IF(INDEX(Mapping!$E$24:$E$31,MATCH($B329,Mapping!$A$24:$A$31,0))="sub",INDEX(Mapping!$F$5:$F$20,MATCH($C329,Mapping!$A$5:$A$20,0)),"all")</f>
        <v/>
      </c>
      <c r="O329" s="5">
        <f>INDEX(Mapping!$E$5:$E$20,MATCH($C329,Mapping!$A$5:$A$20,0))</f>
        <v/>
      </c>
      <c r="P329" s="5">
        <f>INDEX(Mapping!$G$24:$G$31,MATCH($B329,Mapping!$A$24:$A$31,0))</f>
        <v/>
      </c>
      <c r="Q329" s="21" t="n"/>
      <c r="R329" s="21" t="n"/>
      <c r="S329" s="21" t="n"/>
      <c r="T329" s="21" t="n"/>
      <c r="U329" s="21" t="n"/>
      <c r="V329" s="21" t="n"/>
      <c r="W329" s="21" t="n"/>
      <c r="X329" s="21" t="n"/>
      <c r="Y329" s="21" t="n"/>
      <c r="Z329" s="21" t="n"/>
      <c r="AA329" s="21" t="n"/>
      <c r="AB329" s="21" t="n"/>
      <c r="AC329" s="21" t="n"/>
      <c r="AD329" s="21" t="n"/>
      <c r="AE329" s="21" t="n"/>
      <c r="AF329" s="21" t="n"/>
      <c r="AG329" s="21" t="n"/>
      <c r="AH329" s="21" t="n"/>
      <c r="AI329" s="21" t="n"/>
      <c r="AJ329" s="21" t="n"/>
      <c r="AL329" s="23">
        <f>AL69+AL199</f>
        <v/>
      </c>
      <c r="AM329" s="22">
        <f>AM69+AM199</f>
        <v/>
      </c>
      <c r="AN329" s="22">
        <f>AN69+AN199</f>
        <v/>
      </c>
      <c r="AO329" s="22">
        <f>AO69+AO199</f>
        <v/>
      </c>
      <c r="AP329" s="22">
        <f>AP69+AP199</f>
        <v/>
      </c>
      <c r="AQ329" s="22">
        <f>AQ69+AQ199</f>
        <v/>
      </c>
      <c r="AR329" s="22">
        <f>AR69+AR199</f>
        <v/>
      </c>
      <c r="AS329" s="22">
        <f>AS69+AS199</f>
        <v/>
      </c>
      <c r="AT329" s="22">
        <f>AT69+AT199</f>
        <v/>
      </c>
      <c r="AU329" s="22">
        <f>AU69+AU199</f>
        <v/>
      </c>
      <c r="AV329" s="22">
        <f>AV69+AV199</f>
        <v/>
      </c>
      <c r="AW329" s="22">
        <f>AW69+AW199</f>
        <v/>
      </c>
      <c r="AX329" s="22">
        <f>AX69+AX199</f>
        <v/>
      </c>
      <c r="AY329" s="22">
        <f>AY69+AY199</f>
        <v/>
      </c>
      <c r="BA329" s="23">
        <f>BA69+BA199</f>
        <v/>
      </c>
      <c r="BB329" s="22">
        <f>BB69+BB199</f>
        <v/>
      </c>
      <c r="BC329" s="22">
        <f>BC69+BC199</f>
        <v/>
      </c>
      <c r="BD329" s="22">
        <f>BD69+BD199</f>
        <v/>
      </c>
      <c r="BE329" s="22">
        <f>BE69+BE199</f>
        <v/>
      </c>
      <c r="BF329" s="22">
        <f>BF69+BF199</f>
        <v/>
      </c>
      <c r="BG329" s="22">
        <f>BG69+BG199</f>
        <v/>
      </c>
      <c r="BH329" s="22">
        <f>BH69+BH199</f>
        <v/>
      </c>
      <c r="BI329" s="22">
        <f>BI69+BI199</f>
        <v/>
      </c>
      <c r="BJ329" s="22">
        <f>BJ69+BJ199</f>
        <v/>
      </c>
      <c r="BK329" s="22">
        <f>BK69+BK199</f>
        <v/>
      </c>
      <c r="BL329" s="22">
        <f>BL69+BL199</f>
        <v/>
      </c>
      <c r="BM329" s="22">
        <f>BM69+BM199</f>
        <v/>
      </c>
      <c r="BN329" s="22">
        <f>BN69+BN199</f>
        <v/>
      </c>
    </row>
    <row r="330">
      <c r="B330" s="5" t="inlineStr">
        <is>
          <t>die</t>
        </is>
      </c>
      <c r="C330" s="5" t="inlineStr">
        <is>
          <t>mch</t>
        </is>
      </c>
      <c r="D330" s="5" t="inlineStr">
        <is>
          <t>Post-tax price | Mining &amp; chemicals | Diesel</t>
        </is>
      </c>
      <c r="E330" s="5" t="inlineStr">
        <is>
          <t>$/GJ</t>
        </is>
      </c>
      <c r="F330" s="5" t="inlineStr">
        <is>
          <t>Calculation</t>
        </is>
      </c>
      <c r="G330" s="19" t="inlineStr"/>
      <c r="H330" s="19" t="inlineStr">
        <is>
          <t>mit.ptp.die.mch</t>
        </is>
      </c>
      <c r="J330" s="5">
        <f>INDEX(Mapping!$C$5:$C$20,MATCH($C330,Mapping!$A$5:$A$20,0))</f>
        <v/>
      </c>
      <c r="K330" s="5">
        <f>INDEX(Mapping!$D$5:$D$20,MATCH($C330,Mapping!$A$5:$A$20,0))</f>
        <v/>
      </c>
      <c r="L330" s="5">
        <f>INDEX(Mapping!$C$24:$C$31,MATCH($B330,Mapping!$A$24:$A$31,0))</f>
        <v/>
      </c>
      <c r="M330" s="5">
        <f>INDEX(Mapping!$D$24:$D$31,MATCH($B330,Mapping!$A$24:$A$31,0))</f>
        <v/>
      </c>
      <c r="N330" s="5">
        <f>$B330&amp;"."&amp;IF(INDEX(Mapping!$E$24:$E$31,MATCH($B330,Mapping!$A$24:$A$31,0))="sub",INDEX(Mapping!$F$5:$F$20,MATCH($C330,Mapping!$A$5:$A$20,0)),"all")</f>
        <v/>
      </c>
      <c r="O330" s="5">
        <f>INDEX(Mapping!$E$5:$E$20,MATCH($C330,Mapping!$A$5:$A$20,0))</f>
        <v/>
      </c>
      <c r="P330" s="5">
        <f>INDEX(Mapping!$G$24:$G$31,MATCH($B330,Mapping!$A$24:$A$31,0))</f>
        <v/>
      </c>
      <c r="Q330" s="21" t="n"/>
      <c r="R330" s="21" t="n"/>
      <c r="S330" s="21" t="n"/>
      <c r="T330" s="21" t="n"/>
      <c r="U330" s="21" t="n"/>
      <c r="V330" s="21" t="n"/>
      <c r="W330" s="21" t="n"/>
      <c r="X330" s="21" t="n"/>
      <c r="Y330" s="21" t="n"/>
      <c r="Z330" s="21" t="n"/>
      <c r="AA330" s="21" t="n"/>
      <c r="AB330" s="21" t="n"/>
      <c r="AC330" s="21" t="n"/>
      <c r="AD330" s="21" t="n"/>
      <c r="AE330" s="21" t="n"/>
      <c r="AF330" s="21" t="n"/>
      <c r="AG330" s="21" t="n"/>
      <c r="AH330" s="21" t="n"/>
      <c r="AI330" s="21" t="n"/>
      <c r="AJ330" s="21" t="n"/>
      <c r="AL330" s="23">
        <f>AL70+AL200</f>
        <v/>
      </c>
      <c r="AM330" s="22">
        <f>AM70+AM200</f>
        <v/>
      </c>
      <c r="AN330" s="22">
        <f>AN70+AN200</f>
        <v/>
      </c>
      <c r="AO330" s="22">
        <f>AO70+AO200</f>
        <v/>
      </c>
      <c r="AP330" s="22">
        <f>AP70+AP200</f>
        <v/>
      </c>
      <c r="AQ330" s="22">
        <f>AQ70+AQ200</f>
        <v/>
      </c>
      <c r="AR330" s="22">
        <f>AR70+AR200</f>
        <v/>
      </c>
      <c r="AS330" s="22">
        <f>AS70+AS200</f>
        <v/>
      </c>
      <c r="AT330" s="22">
        <f>AT70+AT200</f>
        <v/>
      </c>
      <c r="AU330" s="22">
        <f>AU70+AU200</f>
        <v/>
      </c>
      <c r="AV330" s="22">
        <f>AV70+AV200</f>
        <v/>
      </c>
      <c r="AW330" s="22">
        <f>AW70+AW200</f>
        <v/>
      </c>
      <c r="AX330" s="22">
        <f>AX70+AX200</f>
        <v/>
      </c>
      <c r="AY330" s="22">
        <f>AY70+AY200</f>
        <v/>
      </c>
      <c r="BA330" s="23">
        <f>BA70+BA200</f>
        <v/>
      </c>
      <c r="BB330" s="22">
        <f>BB70+BB200</f>
        <v/>
      </c>
      <c r="BC330" s="22">
        <f>BC70+BC200</f>
        <v/>
      </c>
      <c r="BD330" s="22">
        <f>BD70+BD200</f>
        <v/>
      </c>
      <c r="BE330" s="22">
        <f>BE70+BE200</f>
        <v/>
      </c>
      <c r="BF330" s="22">
        <f>BF70+BF200</f>
        <v/>
      </c>
      <c r="BG330" s="22">
        <f>BG70+BG200</f>
        <v/>
      </c>
      <c r="BH330" s="22">
        <f>BH70+BH200</f>
        <v/>
      </c>
      <c r="BI330" s="22">
        <f>BI70+BI200</f>
        <v/>
      </c>
      <c r="BJ330" s="22">
        <f>BJ70+BJ200</f>
        <v/>
      </c>
      <c r="BK330" s="22">
        <f>BK70+BK200</f>
        <v/>
      </c>
      <c r="BL330" s="22">
        <f>BL70+BL200</f>
        <v/>
      </c>
      <c r="BM330" s="22">
        <f>BM70+BM200</f>
        <v/>
      </c>
      <c r="BN330" s="22">
        <f>BN70+BN200</f>
        <v/>
      </c>
    </row>
    <row r="331">
      <c r="B331" s="5" t="inlineStr">
        <is>
          <t>lpg</t>
        </is>
      </c>
      <c r="C331" s="5" t="inlineStr">
        <is>
          <t>mch</t>
        </is>
      </c>
      <c r="D331" s="5" t="inlineStr">
        <is>
          <t>Post-tax price | Mining &amp; chemicals | LPG</t>
        </is>
      </c>
      <c r="E331" s="5" t="inlineStr">
        <is>
          <t>$/GJ</t>
        </is>
      </c>
      <c r="F331" s="5" t="inlineStr">
        <is>
          <t>Calculation</t>
        </is>
      </c>
      <c r="G331" s="19" t="inlineStr"/>
      <c r="H331" s="19" t="inlineStr">
        <is>
          <t>mit.ptp.lpg.mch</t>
        </is>
      </c>
      <c r="J331" s="5">
        <f>INDEX(Mapping!$C$5:$C$20,MATCH($C331,Mapping!$A$5:$A$20,0))</f>
        <v/>
      </c>
      <c r="K331" s="5">
        <f>INDEX(Mapping!$D$5:$D$20,MATCH($C331,Mapping!$A$5:$A$20,0))</f>
        <v/>
      </c>
      <c r="L331" s="5">
        <f>INDEX(Mapping!$C$24:$C$31,MATCH($B331,Mapping!$A$24:$A$31,0))</f>
        <v/>
      </c>
      <c r="M331" s="5">
        <f>INDEX(Mapping!$D$24:$D$31,MATCH($B331,Mapping!$A$24:$A$31,0))</f>
        <v/>
      </c>
      <c r="N331" s="5">
        <f>$B331&amp;"."&amp;IF(INDEX(Mapping!$E$24:$E$31,MATCH($B331,Mapping!$A$24:$A$31,0))="sub",INDEX(Mapping!$F$5:$F$20,MATCH($C331,Mapping!$A$5:$A$20,0)),"all")</f>
        <v/>
      </c>
      <c r="O331" s="5">
        <f>INDEX(Mapping!$E$5:$E$20,MATCH($C331,Mapping!$A$5:$A$20,0))</f>
        <v/>
      </c>
      <c r="P331" s="5">
        <f>INDEX(Mapping!$G$24:$G$31,MATCH($B331,Mapping!$A$24:$A$31,0))</f>
        <v/>
      </c>
      <c r="Q331" s="21" t="n"/>
      <c r="R331" s="21" t="n"/>
      <c r="S331" s="21" t="n"/>
      <c r="T331" s="21" t="n"/>
      <c r="U331" s="21" t="n"/>
      <c r="V331" s="21" t="n"/>
      <c r="W331" s="21" t="n"/>
      <c r="X331" s="21" t="n"/>
      <c r="Y331" s="21" t="n"/>
      <c r="Z331" s="21" t="n"/>
      <c r="AA331" s="21" t="n"/>
      <c r="AB331" s="21" t="n"/>
      <c r="AC331" s="21" t="n"/>
      <c r="AD331" s="21" t="n"/>
      <c r="AE331" s="21" t="n"/>
      <c r="AF331" s="21" t="n"/>
      <c r="AG331" s="21" t="n"/>
      <c r="AH331" s="21" t="n"/>
      <c r="AI331" s="21" t="n"/>
      <c r="AJ331" s="21" t="n"/>
      <c r="AL331" s="23">
        <f>AL71+AL201</f>
        <v/>
      </c>
      <c r="AM331" s="22">
        <f>AM71+AM201</f>
        <v/>
      </c>
      <c r="AN331" s="22">
        <f>AN71+AN201</f>
        <v/>
      </c>
      <c r="AO331" s="22">
        <f>AO71+AO201</f>
        <v/>
      </c>
      <c r="AP331" s="22">
        <f>AP71+AP201</f>
        <v/>
      </c>
      <c r="AQ331" s="22">
        <f>AQ71+AQ201</f>
        <v/>
      </c>
      <c r="AR331" s="22">
        <f>AR71+AR201</f>
        <v/>
      </c>
      <c r="AS331" s="22">
        <f>AS71+AS201</f>
        <v/>
      </c>
      <c r="AT331" s="22">
        <f>AT71+AT201</f>
        <v/>
      </c>
      <c r="AU331" s="22">
        <f>AU71+AU201</f>
        <v/>
      </c>
      <c r="AV331" s="22">
        <f>AV71+AV201</f>
        <v/>
      </c>
      <c r="AW331" s="22">
        <f>AW71+AW201</f>
        <v/>
      </c>
      <c r="AX331" s="22">
        <f>AX71+AX201</f>
        <v/>
      </c>
      <c r="AY331" s="22">
        <f>AY71+AY201</f>
        <v/>
      </c>
      <c r="BA331" s="23">
        <f>BA71+BA201</f>
        <v/>
      </c>
      <c r="BB331" s="22">
        <f>BB71+BB201</f>
        <v/>
      </c>
      <c r="BC331" s="22">
        <f>BC71+BC201</f>
        <v/>
      </c>
      <c r="BD331" s="22">
        <f>BD71+BD201</f>
        <v/>
      </c>
      <c r="BE331" s="22">
        <f>BE71+BE201</f>
        <v/>
      </c>
      <c r="BF331" s="22">
        <f>BF71+BF201</f>
        <v/>
      </c>
      <c r="BG331" s="22">
        <f>BG71+BG201</f>
        <v/>
      </c>
      <c r="BH331" s="22">
        <f>BH71+BH201</f>
        <v/>
      </c>
      <c r="BI331" s="22">
        <f>BI71+BI201</f>
        <v/>
      </c>
      <c r="BJ331" s="22">
        <f>BJ71+BJ201</f>
        <v/>
      </c>
      <c r="BK331" s="22">
        <f>BK71+BK201</f>
        <v/>
      </c>
      <c r="BL331" s="22">
        <f>BL71+BL201</f>
        <v/>
      </c>
      <c r="BM331" s="22">
        <f>BM71+BM201</f>
        <v/>
      </c>
      <c r="BN331" s="22">
        <f>BN71+BN201</f>
        <v/>
      </c>
    </row>
    <row r="332">
      <c r="B332" s="5" t="inlineStr">
        <is>
          <t>ker</t>
        </is>
      </c>
      <c r="C332" s="5" t="inlineStr">
        <is>
          <t>mch</t>
        </is>
      </c>
      <c r="D332" s="5" t="inlineStr">
        <is>
          <t>Post-tax price | Mining &amp; chemicals | Kerosene</t>
        </is>
      </c>
      <c r="E332" s="5" t="inlineStr">
        <is>
          <t>$/GJ</t>
        </is>
      </c>
      <c r="F332" s="5" t="inlineStr">
        <is>
          <t>Calculation</t>
        </is>
      </c>
      <c r="G332" s="19" t="inlineStr"/>
      <c r="H332" s="19" t="inlineStr">
        <is>
          <t>mit.ptp.ker.mch</t>
        </is>
      </c>
      <c r="J332" s="5">
        <f>INDEX(Mapping!$C$5:$C$20,MATCH($C332,Mapping!$A$5:$A$20,0))</f>
        <v/>
      </c>
      <c r="K332" s="5">
        <f>INDEX(Mapping!$D$5:$D$20,MATCH($C332,Mapping!$A$5:$A$20,0))</f>
        <v/>
      </c>
      <c r="L332" s="5">
        <f>INDEX(Mapping!$C$24:$C$31,MATCH($B332,Mapping!$A$24:$A$31,0))</f>
        <v/>
      </c>
      <c r="M332" s="5">
        <f>INDEX(Mapping!$D$24:$D$31,MATCH($B332,Mapping!$A$24:$A$31,0))</f>
        <v/>
      </c>
      <c r="N332" s="5">
        <f>$B332&amp;"."&amp;IF(INDEX(Mapping!$E$24:$E$31,MATCH($B332,Mapping!$A$24:$A$31,0))="sub",INDEX(Mapping!$F$5:$F$20,MATCH($C332,Mapping!$A$5:$A$20,0)),"all")</f>
        <v/>
      </c>
      <c r="O332" s="5">
        <f>INDEX(Mapping!$E$5:$E$20,MATCH($C332,Mapping!$A$5:$A$20,0))</f>
        <v/>
      </c>
      <c r="P332" s="5">
        <f>INDEX(Mapping!$G$24:$G$31,MATCH($B332,Mapping!$A$24:$A$31,0))</f>
        <v/>
      </c>
      <c r="Q332" s="21" t="n"/>
      <c r="R332" s="21" t="n"/>
      <c r="S332" s="21" t="n"/>
      <c r="T332" s="21" t="n"/>
      <c r="U332" s="21" t="n"/>
      <c r="V332" s="21" t="n"/>
      <c r="W332" s="21" t="n"/>
      <c r="X332" s="21" t="n"/>
      <c r="Y332" s="21" t="n"/>
      <c r="Z332" s="21" t="n"/>
      <c r="AA332" s="21" t="n"/>
      <c r="AB332" s="21" t="n"/>
      <c r="AC332" s="21" t="n"/>
      <c r="AD332" s="21" t="n"/>
      <c r="AE332" s="21" t="n"/>
      <c r="AF332" s="21" t="n"/>
      <c r="AG332" s="21" t="n"/>
      <c r="AH332" s="21" t="n"/>
      <c r="AI332" s="21" t="n"/>
      <c r="AJ332" s="21" t="n"/>
      <c r="AL332" s="23">
        <f>AL72+AL202</f>
        <v/>
      </c>
      <c r="AM332" s="22">
        <f>AM72+AM202</f>
        <v/>
      </c>
      <c r="AN332" s="22">
        <f>AN72+AN202</f>
        <v/>
      </c>
      <c r="AO332" s="22">
        <f>AO72+AO202</f>
        <v/>
      </c>
      <c r="AP332" s="22">
        <f>AP72+AP202</f>
        <v/>
      </c>
      <c r="AQ332" s="22">
        <f>AQ72+AQ202</f>
        <v/>
      </c>
      <c r="AR332" s="22">
        <f>AR72+AR202</f>
        <v/>
      </c>
      <c r="AS332" s="22">
        <f>AS72+AS202</f>
        <v/>
      </c>
      <c r="AT332" s="22">
        <f>AT72+AT202</f>
        <v/>
      </c>
      <c r="AU332" s="22">
        <f>AU72+AU202</f>
        <v/>
      </c>
      <c r="AV332" s="22">
        <f>AV72+AV202</f>
        <v/>
      </c>
      <c r="AW332" s="22">
        <f>AW72+AW202</f>
        <v/>
      </c>
      <c r="AX332" s="22">
        <f>AX72+AX202</f>
        <v/>
      </c>
      <c r="AY332" s="22">
        <f>AY72+AY202</f>
        <v/>
      </c>
      <c r="BA332" s="23">
        <f>BA72+BA202</f>
        <v/>
      </c>
      <c r="BB332" s="22">
        <f>BB72+BB202</f>
        <v/>
      </c>
      <c r="BC332" s="22">
        <f>BC72+BC202</f>
        <v/>
      </c>
      <c r="BD332" s="22">
        <f>BD72+BD202</f>
        <v/>
      </c>
      <c r="BE332" s="22">
        <f>BE72+BE202</f>
        <v/>
      </c>
      <c r="BF332" s="22">
        <f>BF72+BF202</f>
        <v/>
      </c>
      <c r="BG332" s="22">
        <f>BG72+BG202</f>
        <v/>
      </c>
      <c r="BH332" s="22">
        <f>BH72+BH202</f>
        <v/>
      </c>
      <c r="BI332" s="22">
        <f>BI72+BI202</f>
        <v/>
      </c>
      <c r="BJ332" s="22">
        <f>BJ72+BJ202</f>
        <v/>
      </c>
      <c r="BK332" s="22">
        <f>BK72+BK202</f>
        <v/>
      </c>
      <c r="BL332" s="22">
        <f>BL72+BL202</f>
        <v/>
      </c>
      <c r="BM332" s="22">
        <f>BM72+BM202</f>
        <v/>
      </c>
      <c r="BN332" s="22">
        <f>BN72+BN202</f>
        <v/>
      </c>
    </row>
    <row r="333">
      <c r="B333" s="5" t="inlineStr">
        <is>
          <t>oop</t>
        </is>
      </c>
      <c r="C333" s="5" t="inlineStr">
        <is>
          <t>mch</t>
        </is>
      </c>
      <c r="D333" s="5" t="inlineStr">
        <is>
          <t>Post-tax price | Mining &amp; chemicals | Other oil products</t>
        </is>
      </c>
      <c r="E333" s="5" t="inlineStr">
        <is>
          <t>$/GJ</t>
        </is>
      </c>
      <c r="F333" s="5" t="inlineStr">
        <is>
          <t>Calculation</t>
        </is>
      </c>
      <c r="G333" s="19" t="inlineStr"/>
      <c r="H333" s="19" t="inlineStr">
        <is>
          <t>mit.ptp.oop.mch</t>
        </is>
      </c>
      <c r="J333" s="5">
        <f>INDEX(Mapping!$C$5:$C$20,MATCH($C333,Mapping!$A$5:$A$20,0))</f>
        <v/>
      </c>
      <c r="K333" s="5">
        <f>INDEX(Mapping!$D$5:$D$20,MATCH($C333,Mapping!$A$5:$A$20,0))</f>
        <v/>
      </c>
      <c r="L333" s="5">
        <f>INDEX(Mapping!$C$24:$C$31,MATCH($B333,Mapping!$A$24:$A$31,0))</f>
        <v/>
      </c>
      <c r="M333" s="5">
        <f>INDEX(Mapping!$D$24:$D$31,MATCH($B333,Mapping!$A$24:$A$31,0))</f>
        <v/>
      </c>
      <c r="N333" s="5">
        <f>$B333&amp;"."&amp;IF(INDEX(Mapping!$E$24:$E$31,MATCH($B333,Mapping!$A$24:$A$31,0))="sub",INDEX(Mapping!$F$5:$F$20,MATCH($C333,Mapping!$A$5:$A$20,0)),"all")</f>
        <v/>
      </c>
      <c r="O333" s="5">
        <f>INDEX(Mapping!$E$5:$E$20,MATCH($C333,Mapping!$A$5:$A$20,0))</f>
        <v/>
      </c>
      <c r="P333" s="5">
        <f>INDEX(Mapping!$G$24:$G$31,MATCH($B333,Mapping!$A$24:$A$31,0))</f>
        <v/>
      </c>
      <c r="Q333" s="21" t="n"/>
      <c r="R333" s="21" t="n"/>
      <c r="S333" s="21" t="n"/>
      <c r="T333" s="21" t="n"/>
      <c r="U333" s="21" t="n"/>
      <c r="V333" s="21" t="n"/>
      <c r="W333" s="21" t="n"/>
      <c r="X333" s="21" t="n"/>
      <c r="Y333" s="21" t="n"/>
      <c r="Z333" s="21" t="n"/>
      <c r="AA333" s="21" t="n"/>
      <c r="AB333" s="21" t="n"/>
      <c r="AC333" s="21" t="n"/>
      <c r="AD333" s="21" t="n"/>
      <c r="AE333" s="21" t="n"/>
      <c r="AF333" s="21" t="n"/>
      <c r="AG333" s="21" t="n"/>
      <c r="AH333" s="21" t="n"/>
      <c r="AI333" s="21" t="n"/>
      <c r="AJ333" s="21" t="n"/>
      <c r="AL333" s="23">
        <f>AL73+AL203</f>
        <v/>
      </c>
      <c r="AM333" s="22">
        <f>AM73+AM203</f>
        <v/>
      </c>
      <c r="AN333" s="22">
        <f>AN73+AN203</f>
        <v/>
      </c>
      <c r="AO333" s="22">
        <f>AO73+AO203</f>
        <v/>
      </c>
      <c r="AP333" s="22">
        <f>AP73+AP203</f>
        <v/>
      </c>
      <c r="AQ333" s="22">
        <f>AQ73+AQ203</f>
        <v/>
      </c>
      <c r="AR333" s="22">
        <f>AR73+AR203</f>
        <v/>
      </c>
      <c r="AS333" s="22">
        <f>AS73+AS203</f>
        <v/>
      </c>
      <c r="AT333" s="22">
        <f>AT73+AT203</f>
        <v/>
      </c>
      <c r="AU333" s="22">
        <f>AU73+AU203</f>
        <v/>
      </c>
      <c r="AV333" s="22">
        <f>AV73+AV203</f>
        <v/>
      </c>
      <c r="AW333" s="22">
        <f>AW73+AW203</f>
        <v/>
      </c>
      <c r="AX333" s="22">
        <f>AX73+AX203</f>
        <v/>
      </c>
      <c r="AY333" s="22">
        <f>AY73+AY203</f>
        <v/>
      </c>
      <c r="BA333" s="23">
        <f>BA73+BA203</f>
        <v/>
      </c>
      <c r="BB333" s="22">
        <f>BB73+BB203</f>
        <v/>
      </c>
      <c r="BC333" s="22">
        <f>BC73+BC203</f>
        <v/>
      </c>
      <c r="BD333" s="22">
        <f>BD73+BD203</f>
        <v/>
      </c>
      <c r="BE333" s="22">
        <f>BE73+BE203</f>
        <v/>
      </c>
      <c r="BF333" s="22">
        <f>BF73+BF203</f>
        <v/>
      </c>
      <c r="BG333" s="22">
        <f>BG73+BG203</f>
        <v/>
      </c>
      <c r="BH333" s="22">
        <f>BH73+BH203</f>
        <v/>
      </c>
      <c r="BI333" s="22">
        <f>BI73+BI203</f>
        <v/>
      </c>
      <c r="BJ333" s="22">
        <f>BJ73+BJ203</f>
        <v/>
      </c>
      <c r="BK333" s="22">
        <f>BK73+BK203</f>
        <v/>
      </c>
      <c r="BL333" s="22">
        <f>BL73+BL203</f>
        <v/>
      </c>
      <c r="BM333" s="22">
        <f>BM73+BM203</f>
        <v/>
      </c>
      <c r="BN333" s="22">
        <f>BN73+BN203</f>
        <v/>
      </c>
    </row>
    <row r="334">
      <c r="B334" s="5" t="inlineStr">
        <is>
          <t>bio</t>
        </is>
      </c>
      <c r="C334" s="5" t="inlineStr">
        <is>
          <t>mch</t>
        </is>
      </c>
      <c r="D334" s="5" t="inlineStr">
        <is>
          <t>Post-tax price | Mining &amp; chemicals | Biomass</t>
        </is>
      </c>
      <c r="E334" s="5" t="inlineStr">
        <is>
          <t>$/GJ</t>
        </is>
      </c>
      <c r="F334" s="5" t="inlineStr">
        <is>
          <t>Calculation</t>
        </is>
      </c>
      <c r="G334" s="19" t="inlineStr"/>
      <c r="H334" s="19" t="inlineStr">
        <is>
          <t>mit.ptp.bio.mch</t>
        </is>
      </c>
      <c r="J334" s="5">
        <f>INDEX(Mapping!$C$5:$C$20,MATCH($C334,Mapping!$A$5:$A$20,0))</f>
        <v/>
      </c>
      <c r="K334" s="5">
        <f>INDEX(Mapping!$D$5:$D$20,MATCH($C334,Mapping!$A$5:$A$20,0))</f>
        <v/>
      </c>
      <c r="L334" s="5">
        <f>INDEX(Mapping!$C$24:$C$31,MATCH($B334,Mapping!$A$24:$A$31,0))</f>
        <v/>
      </c>
      <c r="M334" s="5">
        <f>INDEX(Mapping!$D$24:$D$31,MATCH($B334,Mapping!$A$24:$A$31,0))</f>
        <v/>
      </c>
      <c r="N334" s="5">
        <f>$B334&amp;"."&amp;IF(INDEX(Mapping!$E$24:$E$31,MATCH($B334,Mapping!$A$24:$A$31,0))="sub",INDEX(Mapping!$F$5:$F$20,MATCH($C334,Mapping!$A$5:$A$20,0)),"all")</f>
        <v/>
      </c>
      <c r="O334" s="5">
        <f>INDEX(Mapping!$E$5:$E$20,MATCH($C334,Mapping!$A$5:$A$20,0))</f>
        <v/>
      </c>
      <c r="P334" s="5">
        <f>INDEX(Mapping!$G$24:$G$31,MATCH($B334,Mapping!$A$24:$A$31,0))</f>
        <v/>
      </c>
      <c r="Q334" s="21" t="n"/>
      <c r="R334" s="21" t="n"/>
      <c r="S334" s="21" t="n"/>
      <c r="T334" s="21" t="n"/>
      <c r="U334" s="21" t="n"/>
      <c r="V334" s="21" t="n"/>
      <c r="W334" s="21" t="n"/>
      <c r="X334" s="21" t="n"/>
      <c r="Y334" s="21" t="n"/>
      <c r="Z334" s="21" t="n"/>
      <c r="AA334" s="21" t="n"/>
      <c r="AB334" s="21" t="n"/>
      <c r="AC334" s="21" t="n"/>
      <c r="AD334" s="21" t="n"/>
      <c r="AE334" s="21" t="n"/>
      <c r="AF334" s="21" t="n"/>
      <c r="AG334" s="21" t="n"/>
      <c r="AH334" s="21" t="n"/>
      <c r="AI334" s="21" t="n"/>
      <c r="AJ334" s="21" t="n"/>
      <c r="AL334" s="23">
        <f>AL74+AL204</f>
        <v/>
      </c>
      <c r="AM334" s="22">
        <f>AM74+AM204</f>
        <v/>
      </c>
      <c r="AN334" s="22">
        <f>AN74+AN204</f>
        <v/>
      </c>
      <c r="AO334" s="22">
        <f>AO74+AO204</f>
        <v/>
      </c>
      <c r="AP334" s="22">
        <f>AP74+AP204</f>
        <v/>
      </c>
      <c r="AQ334" s="22">
        <f>AQ74+AQ204</f>
        <v/>
      </c>
      <c r="AR334" s="22">
        <f>AR74+AR204</f>
        <v/>
      </c>
      <c r="AS334" s="22">
        <f>AS74+AS204</f>
        <v/>
      </c>
      <c r="AT334" s="22">
        <f>AT74+AT204</f>
        <v/>
      </c>
      <c r="AU334" s="22">
        <f>AU74+AU204</f>
        <v/>
      </c>
      <c r="AV334" s="22">
        <f>AV74+AV204</f>
        <v/>
      </c>
      <c r="AW334" s="22">
        <f>AW74+AW204</f>
        <v/>
      </c>
      <c r="AX334" s="22">
        <f>AX74+AX204</f>
        <v/>
      </c>
      <c r="AY334" s="22">
        <f>AY74+AY204</f>
        <v/>
      </c>
      <c r="BA334" s="23">
        <f>BA74+BA204</f>
        <v/>
      </c>
      <c r="BB334" s="22">
        <f>BB74+BB204</f>
        <v/>
      </c>
      <c r="BC334" s="22">
        <f>BC74+BC204</f>
        <v/>
      </c>
      <c r="BD334" s="22">
        <f>BD74+BD204</f>
        <v/>
      </c>
      <c r="BE334" s="22">
        <f>BE74+BE204</f>
        <v/>
      </c>
      <c r="BF334" s="22">
        <f>BF74+BF204</f>
        <v/>
      </c>
      <c r="BG334" s="22">
        <f>BG74+BG204</f>
        <v/>
      </c>
      <c r="BH334" s="22">
        <f>BH74+BH204</f>
        <v/>
      </c>
      <c r="BI334" s="22">
        <f>BI74+BI204</f>
        <v/>
      </c>
      <c r="BJ334" s="22">
        <f>BJ74+BJ204</f>
        <v/>
      </c>
      <c r="BK334" s="22">
        <f>BK74+BK204</f>
        <v/>
      </c>
      <c r="BL334" s="22">
        <f>BL74+BL204</f>
        <v/>
      </c>
      <c r="BM334" s="22">
        <f>BM74+BM204</f>
        <v/>
      </c>
      <c r="BN334" s="22">
        <f>BN74+BN204</f>
        <v/>
      </c>
    </row>
    <row r="335">
      <c r="B335" s="5" t="inlineStr">
        <is>
          <t>coa</t>
        </is>
      </c>
      <c r="C335" s="5" t="inlineStr">
        <is>
          <t>irn</t>
        </is>
      </c>
      <c r="D335" s="5" t="inlineStr">
        <is>
          <t>Post-tax price | Iron &amp; steel | Coal</t>
        </is>
      </c>
      <c r="E335" s="5" t="inlineStr">
        <is>
          <t>$/GJ</t>
        </is>
      </c>
      <c r="F335" s="5" t="inlineStr">
        <is>
          <t>Calculation</t>
        </is>
      </c>
      <c r="G335" s="19" t="inlineStr"/>
      <c r="H335" s="19" t="inlineStr">
        <is>
          <t>mit.ptp.coa.irn</t>
        </is>
      </c>
      <c r="J335" s="5">
        <f>INDEX(Mapping!$C$5:$C$20,MATCH($C335,Mapping!$A$5:$A$20,0))</f>
        <v/>
      </c>
      <c r="K335" s="5">
        <f>INDEX(Mapping!$D$5:$D$20,MATCH($C335,Mapping!$A$5:$A$20,0))</f>
        <v/>
      </c>
      <c r="L335" s="5">
        <f>INDEX(Mapping!$C$24:$C$31,MATCH($B335,Mapping!$A$24:$A$31,0))</f>
        <v/>
      </c>
      <c r="M335" s="5">
        <f>INDEX(Mapping!$D$24:$D$31,MATCH($B335,Mapping!$A$24:$A$31,0))</f>
        <v/>
      </c>
      <c r="N335" s="5">
        <f>$B335&amp;"."&amp;IF(INDEX(Mapping!$E$24:$E$31,MATCH($B335,Mapping!$A$24:$A$31,0))="sub",INDEX(Mapping!$F$5:$F$20,MATCH($C335,Mapping!$A$5:$A$20,0)),"all")</f>
        <v/>
      </c>
      <c r="O335" s="5">
        <f>INDEX(Mapping!$E$5:$E$20,MATCH($C335,Mapping!$A$5:$A$20,0))</f>
        <v/>
      </c>
      <c r="P335" s="5">
        <f>INDEX(Mapping!$G$24:$G$31,MATCH($B335,Mapping!$A$24:$A$31,0))</f>
        <v/>
      </c>
      <c r="Q335" s="21" t="n"/>
      <c r="R335" s="21" t="n"/>
      <c r="S335" s="21" t="n"/>
      <c r="T335" s="21" t="n"/>
      <c r="U335" s="21" t="n"/>
      <c r="V335" s="21" t="n"/>
      <c r="W335" s="21" t="n"/>
      <c r="X335" s="21" t="n"/>
      <c r="Y335" s="21" t="n"/>
      <c r="Z335" s="21" t="n"/>
      <c r="AA335" s="21" t="n"/>
      <c r="AB335" s="21" t="n"/>
      <c r="AC335" s="21" t="n"/>
      <c r="AD335" s="21" t="n"/>
      <c r="AE335" s="21" t="n"/>
      <c r="AF335" s="21" t="n"/>
      <c r="AG335" s="21" t="n"/>
      <c r="AH335" s="21" t="n"/>
      <c r="AI335" s="21" t="n"/>
      <c r="AJ335" s="21" t="n"/>
      <c r="AL335" s="23">
        <f>AL75+AL205</f>
        <v/>
      </c>
      <c r="AM335" s="22">
        <f>AM75+AM205</f>
        <v/>
      </c>
      <c r="AN335" s="22">
        <f>AN75+AN205</f>
        <v/>
      </c>
      <c r="AO335" s="22">
        <f>AO75+AO205</f>
        <v/>
      </c>
      <c r="AP335" s="22">
        <f>AP75+AP205</f>
        <v/>
      </c>
      <c r="AQ335" s="22">
        <f>AQ75+AQ205</f>
        <v/>
      </c>
      <c r="AR335" s="22">
        <f>AR75+AR205</f>
        <v/>
      </c>
      <c r="AS335" s="22">
        <f>AS75+AS205</f>
        <v/>
      </c>
      <c r="AT335" s="22">
        <f>AT75+AT205</f>
        <v/>
      </c>
      <c r="AU335" s="22">
        <f>AU75+AU205</f>
        <v/>
      </c>
      <c r="AV335" s="22">
        <f>AV75+AV205</f>
        <v/>
      </c>
      <c r="AW335" s="22">
        <f>AW75+AW205</f>
        <v/>
      </c>
      <c r="AX335" s="22">
        <f>AX75+AX205</f>
        <v/>
      </c>
      <c r="AY335" s="22">
        <f>AY75+AY205</f>
        <v/>
      </c>
      <c r="BA335" s="23">
        <f>BA75+BA205</f>
        <v/>
      </c>
      <c r="BB335" s="22">
        <f>BB75+BB205</f>
        <v/>
      </c>
      <c r="BC335" s="22">
        <f>BC75+BC205</f>
        <v/>
      </c>
      <c r="BD335" s="22">
        <f>BD75+BD205</f>
        <v/>
      </c>
      <c r="BE335" s="22">
        <f>BE75+BE205</f>
        <v/>
      </c>
      <c r="BF335" s="22">
        <f>BF75+BF205</f>
        <v/>
      </c>
      <c r="BG335" s="22">
        <f>BG75+BG205</f>
        <v/>
      </c>
      <c r="BH335" s="22">
        <f>BH75+BH205</f>
        <v/>
      </c>
      <c r="BI335" s="22">
        <f>BI75+BI205</f>
        <v/>
      </c>
      <c r="BJ335" s="22">
        <f>BJ75+BJ205</f>
        <v/>
      </c>
      <c r="BK335" s="22">
        <f>BK75+BK205</f>
        <v/>
      </c>
      <c r="BL335" s="22">
        <f>BL75+BL205</f>
        <v/>
      </c>
      <c r="BM335" s="22">
        <f>BM75+BM205</f>
        <v/>
      </c>
      <c r="BN335" s="22">
        <f>BN75+BN205</f>
        <v/>
      </c>
    </row>
    <row r="336">
      <c r="B336" s="5" t="inlineStr">
        <is>
          <t>nga</t>
        </is>
      </c>
      <c r="C336" s="5" t="inlineStr">
        <is>
          <t>irn</t>
        </is>
      </c>
      <c r="D336" s="5" t="inlineStr">
        <is>
          <t>Post-tax price | Iron &amp; steel | Natural gas</t>
        </is>
      </c>
      <c r="E336" s="5" t="inlineStr">
        <is>
          <t>$/GJ</t>
        </is>
      </c>
      <c r="F336" s="5" t="inlineStr">
        <is>
          <t>Calculation</t>
        </is>
      </c>
      <c r="G336" s="19" t="inlineStr"/>
      <c r="H336" s="19" t="inlineStr">
        <is>
          <t>mit.ptp.nga.irn</t>
        </is>
      </c>
      <c r="J336" s="5">
        <f>INDEX(Mapping!$C$5:$C$20,MATCH($C336,Mapping!$A$5:$A$20,0))</f>
        <v/>
      </c>
      <c r="K336" s="5">
        <f>INDEX(Mapping!$D$5:$D$20,MATCH($C336,Mapping!$A$5:$A$20,0))</f>
        <v/>
      </c>
      <c r="L336" s="5">
        <f>INDEX(Mapping!$C$24:$C$31,MATCH($B336,Mapping!$A$24:$A$31,0))</f>
        <v/>
      </c>
      <c r="M336" s="5">
        <f>INDEX(Mapping!$D$24:$D$31,MATCH($B336,Mapping!$A$24:$A$31,0))</f>
        <v/>
      </c>
      <c r="N336" s="5">
        <f>$B336&amp;"."&amp;IF(INDEX(Mapping!$E$24:$E$31,MATCH($B336,Mapping!$A$24:$A$31,0))="sub",INDEX(Mapping!$F$5:$F$20,MATCH($C336,Mapping!$A$5:$A$20,0)),"all")</f>
        <v/>
      </c>
      <c r="O336" s="5">
        <f>INDEX(Mapping!$E$5:$E$20,MATCH($C336,Mapping!$A$5:$A$20,0))</f>
        <v/>
      </c>
      <c r="P336" s="5">
        <f>INDEX(Mapping!$G$24:$G$31,MATCH($B336,Mapping!$A$24:$A$31,0))</f>
        <v/>
      </c>
      <c r="Q336" s="21" t="n"/>
      <c r="R336" s="21" t="n"/>
      <c r="S336" s="21" t="n"/>
      <c r="T336" s="21" t="n"/>
      <c r="U336" s="21" t="n"/>
      <c r="V336" s="21" t="n"/>
      <c r="W336" s="21" t="n"/>
      <c r="X336" s="21" t="n"/>
      <c r="Y336" s="21" t="n"/>
      <c r="Z336" s="21" t="n"/>
      <c r="AA336" s="21" t="n"/>
      <c r="AB336" s="21" t="n"/>
      <c r="AC336" s="21" t="n"/>
      <c r="AD336" s="21" t="n"/>
      <c r="AE336" s="21" t="n"/>
      <c r="AF336" s="21" t="n"/>
      <c r="AG336" s="21" t="n"/>
      <c r="AH336" s="21" t="n"/>
      <c r="AI336" s="21" t="n"/>
      <c r="AJ336" s="21" t="n"/>
      <c r="AL336" s="23">
        <f>AL76+AL206</f>
        <v/>
      </c>
      <c r="AM336" s="22">
        <f>AM76+AM206</f>
        <v/>
      </c>
      <c r="AN336" s="22">
        <f>AN76+AN206</f>
        <v/>
      </c>
      <c r="AO336" s="22">
        <f>AO76+AO206</f>
        <v/>
      </c>
      <c r="AP336" s="22">
        <f>AP76+AP206</f>
        <v/>
      </c>
      <c r="AQ336" s="22">
        <f>AQ76+AQ206</f>
        <v/>
      </c>
      <c r="AR336" s="22">
        <f>AR76+AR206</f>
        <v/>
      </c>
      <c r="AS336" s="22">
        <f>AS76+AS206</f>
        <v/>
      </c>
      <c r="AT336" s="22">
        <f>AT76+AT206</f>
        <v/>
      </c>
      <c r="AU336" s="22">
        <f>AU76+AU206</f>
        <v/>
      </c>
      <c r="AV336" s="22">
        <f>AV76+AV206</f>
        <v/>
      </c>
      <c r="AW336" s="22">
        <f>AW76+AW206</f>
        <v/>
      </c>
      <c r="AX336" s="22">
        <f>AX76+AX206</f>
        <v/>
      </c>
      <c r="AY336" s="22">
        <f>AY76+AY206</f>
        <v/>
      </c>
      <c r="BA336" s="23">
        <f>BA76+BA206</f>
        <v/>
      </c>
      <c r="BB336" s="22">
        <f>BB76+BB206</f>
        <v/>
      </c>
      <c r="BC336" s="22">
        <f>BC76+BC206</f>
        <v/>
      </c>
      <c r="BD336" s="22">
        <f>BD76+BD206</f>
        <v/>
      </c>
      <c r="BE336" s="22">
        <f>BE76+BE206</f>
        <v/>
      </c>
      <c r="BF336" s="22">
        <f>BF76+BF206</f>
        <v/>
      </c>
      <c r="BG336" s="22">
        <f>BG76+BG206</f>
        <v/>
      </c>
      <c r="BH336" s="22">
        <f>BH76+BH206</f>
        <v/>
      </c>
      <c r="BI336" s="22">
        <f>BI76+BI206</f>
        <v/>
      </c>
      <c r="BJ336" s="22">
        <f>BJ76+BJ206</f>
        <v/>
      </c>
      <c r="BK336" s="22">
        <f>BK76+BK206</f>
        <v/>
      </c>
      <c r="BL336" s="22">
        <f>BL76+BL206</f>
        <v/>
      </c>
      <c r="BM336" s="22">
        <f>BM76+BM206</f>
        <v/>
      </c>
      <c r="BN336" s="22">
        <f>BN76+BN206</f>
        <v/>
      </c>
    </row>
    <row r="337">
      <c r="B337" s="5" t="inlineStr">
        <is>
          <t>gso</t>
        </is>
      </c>
      <c r="C337" s="5" t="inlineStr">
        <is>
          <t>irn</t>
        </is>
      </c>
      <c r="D337" s="5" t="inlineStr">
        <is>
          <t>Post-tax price | Iron &amp; steel | Gasoline</t>
        </is>
      </c>
      <c r="E337" s="5" t="inlineStr">
        <is>
          <t>$/GJ</t>
        </is>
      </c>
      <c r="F337" s="5" t="inlineStr">
        <is>
          <t>Calculation</t>
        </is>
      </c>
      <c r="G337" s="19" t="inlineStr"/>
      <c r="H337" s="19" t="inlineStr">
        <is>
          <t>mit.ptp.gso.irn</t>
        </is>
      </c>
      <c r="J337" s="5">
        <f>INDEX(Mapping!$C$5:$C$20,MATCH($C337,Mapping!$A$5:$A$20,0))</f>
        <v/>
      </c>
      <c r="K337" s="5">
        <f>INDEX(Mapping!$D$5:$D$20,MATCH($C337,Mapping!$A$5:$A$20,0))</f>
        <v/>
      </c>
      <c r="L337" s="5">
        <f>INDEX(Mapping!$C$24:$C$31,MATCH($B337,Mapping!$A$24:$A$31,0))</f>
        <v/>
      </c>
      <c r="M337" s="5">
        <f>INDEX(Mapping!$D$24:$D$31,MATCH($B337,Mapping!$A$24:$A$31,0))</f>
        <v/>
      </c>
      <c r="N337" s="5">
        <f>$B337&amp;"."&amp;IF(INDEX(Mapping!$E$24:$E$31,MATCH($B337,Mapping!$A$24:$A$31,0))="sub",INDEX(Mapping!$F$5:$F$20,MATCH($C337,Mapping!$A$5:$A$20,0)),"all")</f>
        <v/>
      </c>
      <c r="O337" s="5">
        <f>INDEX(Mapping!$E$5:$E$20,MATCH($C337,Mapping!$A$5:$A$20,0))</f>
        <v/>
      </c>
      <c r="P337" s="5">
        <f>INDEX(Mapping!$G$24:$G$31,MATCH($B337,Mapping!$A$24:$A$31,0))</f>
        <v/>
      </c>
      <c r="Q337" s="21" t="n"/>
      <c r="R337" s="21" t="n"/>
      <c r="S337" s="21" t="n"/>
      <c r="T337" s="21" t="n"/>
      <c r="U337" s="21" t="n"/>
      <c r="V337" s="21" t="n"/>
      <c r="W337" s="21" t="n"/>
      <c r="X337" s="21" t="n"/>
      <c r="Y337" s="21" t="n"/>
      <c r="Z337" s="21" t="n"/>
      <c r="AA337" s="21" t="n"/>
      <c r="AB337" s="21" t="n"/>
      <c r="AC337" s="21" t="n"/>
      <c r="AD337" s="21" t="n"/>
      <c r="AE337" s="21" t="n"/>
      <c r="AF337" s="21" t="n"/>
      <c r="AG337" s="21" t="n"/>
      <c r="AH337" s="21" t="n"/>
      <c r="AI337" s="21" t="n"/>
      <c r="AJ337" s="21" t="n"/>
      <c r="AL337" s="23">
        <f>AL77+AL207</f>
        <v/>
      </c>
      <c r="AM337" s="22">
        <f>AM77+AM207</f>
        <v/>
      </c>
      <c r="AN337" s="22">
        <f>AN77+AN207</f>
        <v/>
      </c>
      <c r="AO337" s="22">
        <f>AO77+AO207</f>
        <v/>
      </c>
      <c r="AP337" s="22">
        <f>AP77+AP207</f>
        <v/>
      </c>
      <c r="AQ337" s="22">
        <f>AQ77+AQ207</f>
        <v/>
      </c>
      <c r="AR337" s="22">
        <f>AR77+AR207</f>
        <v/>
      </c>
      <c r="AS337" s="22">
        <f>AS77+AS207</f>
        <v/>
      </c>
      <c r="AT337" s="22">
        <f>AT77+AT207</f>
        <v/>
      </c>
      <c r="AU337" s="22">
        <f>AU77+AU207</f>
        <v/>
      </c>
      <c r="AV337" s="22">
        <f>AV77+AV207</f>
        <v/>
      </c>
      <c r="AW337" s="22">
        <f>AW77+AW207</f>
        <v/>
      </c>
      <c r="AX337" s="22">
        <f>AX77+AX207</f>
        <v/>
      </c>
      <c r="AY337" s="22">
        <f>AY77+AY207</f>
        <v/>
      </c>
      <c r="BA337" s="23">
        <f>BA77+BA207</f>
        <v/>
      </c>
      <c r="BB337" s="22">
        <f>BB77+BB207</f>
        <v/>
      </c>
      <c r="BC337" s="22">
        <f>BC77+BC207</f>
        <v/>
      </c>
      <c r="BD337" s="22">
        <f>BD77+BD207</f>
        <v/>
      </c>
      <c r="BE337" s="22">
        <f>BE77+BE207</f>
        <v/>
      </c>
      <c r="BF337" s="22">
        <f>BF77+BF207</f>
        <v/>
      </c>
      <c r="BG337" s="22">
        <f>BG77+BG207</f>
        <v/>
      </c>
      <c r="BH337" s="22">
        <f>BH77+BH207</f>
        <v/>
      </c>
      <c r="BI337" s="22">
        <f>BI77+BI207</f>
        <v/>
      </c>
      <c r="BJ337" s="22">
        <f>BJ77+BJ207</f>
        <v/>
      </c>
      <c r="BK337" s="22">
        <f>BK77+BK207</f>
        <v/>
      </c>
      <c r="BL337" s="22">
        <f>BL77+BL207</f>
        <v/>
      </c>
      <c r="BM337" s="22">
        <f>BM77+BM207</f>
        <v/>
      </c>
      <c r="BN337" s="22">
        <f>BN77+BN207</f>
        <v/>
      </c>
    </row>
    <row r="338">
      <c r="B338" s="5" t="inlineStr">
        <is>
          <t>die</t>
        </is>
      </c>
      <c r="C338" s="5" t="inlineStr">
        <is>
          <t>irn</t>
        </is>
      </c>
      <c r="D338" s="5" t="inlineStr">
        <is>
          <t>Post-tax price | Iron &amp; steel | Diesel</t>
        </is>
      </c>
      <c r="E338" s="5" t="inlineStr">
        <is>
          <t>$/GJ</t>
        </is>
      </c>
      <c r="F338" s="5" t="inlineStr">
        <is>
          <t>Calculation</t>
        </is>
      </c>
      <c r="G338" s="19" t="inlineStr"/>
      <c r="H338" s="19" t="inlineStr">
        <is>
          <t>mit.ptp.die.irn</t>
        </is>
      </c>
      <c r="J338" s="5">
        <f>INDEX(Mapping!$C$5:$C$20,MATCH($C338,Mapping!$A$5:$A$20,0))</f>
        <v/>
      </c>
      <c r="K338" s="5">
        <f>INDEX(Mapping!$D$5:$D$20,MATCH($C338,Mapping!$A$5:$A$20,0))</f>
        <v/>
      </c>
      <c r="L338" s="5">
        <f>INDEX(Mapping!$C$24:$C$31,MATCH($B338,Mapping!$A$24:$A$31,0))</f>
        <v/>
      </c>
      <c r="M338" s="5">
        <f>INDEX(Mapping!$D$24:$D$31,MATCH($B338,Mapping!$A$24:$A$31,0))</f>
        <v/>
      </c>
      <c r="N338" s="5">
        <f>$B338&amp;"."&amp;IF(INDEX(Mapping!$E$24:$E$31,MATCH($B338,Mapping!$A$24:$A$31,0))="sub",INDEX(Mapping!$F$5:$F$20,MATCH($C338,Mapping!$A$5:$A$20,0)),"all")</f>
        <v/>
      </c>
      <c r="O338" s="5">
        <f>INDEX(Mapping!$E$5:$E$20,MATCH($C338,Mapping!$A$5:$A$20,0))</f>
        <v/>
      </c>
      <c r="P338" s="5">
        <f>INDEX(Mapping!$G$24:$G$31,MATCH($B338,Mapping!$A$24:$A$31,0))</f>
        <v/>
      </c>
      <c r="Q338" s="21" t="n"/>
      <c r="R338" s="21" t="n"/>
      <c r="S338" s="21" t="n"/>
      <c r="T338" s="21" t="n"/>
      <c r="U338" s="21" t="n"/>
      <c r="V338" s="21" t="n"/>
      <c r="W338" s="21" t="n"/>
      <c r="X338" s="21" t="n"/>
      <c r="Y338" s="21" t="n"/>
      <c r="Z338" s="21" t="n"/>
      <c r="AA338" s="21" t="n"/>
      <c r="AB338" s="21" t="n"/>
      <c r="AC338" s="21" t="n"/>
      <c r="AD338" s="21" t="n"/>
      <c r="AE338" s="21" t="n"/>
      <c r="AF338" s="21" t="n"/>
      <c r="AG338" s="21" t="n"/>
      <c r="AH338" s="21" t="n"/>
      <c r="AI338" s="21" t="n"/>
      <c r="AJ338" s="21" t="n"/>
      <c r="AL338" s="23">
        <f>AL78+AL208</f>
        <v/>
      </c>
      <c r="AM338" s="22">
        <f>AM78+AM208</f>
        <v/>
      </c>
      <c r="AN338" s="22">
        <f>AN78+AN208</f>
        <v/>
      </c>
      <c r="AO338" s="22">
        <f>AO78+AO208</f>
        <v/>
      </c>
      <c r="AP338" s="22">
        <f>AP78+AP208</f>
        <v/>
      </c>
      <c r="AQ338" s="22">
        <f>AQ78+AQ208</f>
        <v/>
      </c>
      <c r="AR338" s="22">
        <f>AR78+AR208</f>
        <v/>
      </c>
      <c r="AS338" s="22">
        <f>AS78+AS208</f>
        <v/>
      </c>
      <c r="AT338" s="22">
        <f>AT78+AT208</f>
        <v/>
      </c>
      <c r="AU338" s="22">
        <f>AU78+AU208</f>
        <v/>
      </c>
      <c r="AV338" s="22">
        <f>AV78+AV208</f>
        <v/>
      </c>
      <c r="AW338" s="22">
        <f>AW78+AW208</f>
        <v/>
      </c>
      <c r="AX338" s="22">
        <f>AX78+AX208</f>
        <v/>
      </c>
      <c r="AY338" s="22">
        <f>AY78+AY208</f>
        <v/>
      </c>
      <c r="BA338" s="23">
        <f>BA78+BA208</f>
        <v/>
      </c>
      <c r="BB338" s="22">
        <f>BB78+BB208</f>
        <v/>
      </c>
      <c r="BC338" s="22">
        <f>BC78+BC208</f>
        <v/>
      </c>
      <c r="BD338" s="22">
        <f>BD78+BD208</f>
        <v/>
      </c>
      <c r="BE338" s="22">
        <f>BE78+BE208</f>
        <v/>
      </c>
      <c r="BF338" s="22">
        <f>BF78+BF208</f>
        <v/>
      </c>
      <c r="BG338" s="22">
        <f>BG78+BG208</f>
        <v/>
      </c>
      <c r="BH338" s="22">
        <f>BH78+BH208</f>
        <v/>
      </c>
      <c r="BI338" s="22">
        <f>BI78+BI208</f>
        <v/>
      </c>
      <c r="BJ338" s="22">
        <f>BJ78+BJ208</f>
        <v/>
      </c>
      <c r="BK338" s="22">
        <f>BK78+BK208</f>
        <v/>
      </c>
      <c r="BL338" s="22">
        <f>BL78+BL208</f>
        <v/>
      </c>
      <c r="BM338" s="22">
        <f>BM78+BM208</f>
        <v/>
      </c>
      <c r="BN338" s="22">
        <f>BN78+BN208</f>
        <v/>
      </c>
    </row>
    <row r="339">
      <c r="B339" s="5" t="inlineStr">
        <is>
          <t>lpg</t>
        </is>
      </c>
      <c r="C339" s="5" t="inlineStr">
        <is>
          <t>irn</t>
        </is>
      </c>
      <c r="D339" s="5" t="inlineStr">
        <is>
          <t>Post-tax price | Iron &amp; steel | LPG</t>
        </is>
      </c>
      <c r="E339" s="5" t="inlineStr">
        <is>
          <t>$/GJ</t>
        </is>
      </c>
      <c r="F339" s="5" t="inlineStr">
        <is>
          <t>Calculation</t>
        </is>
      </c>
      <c r="G339" s="19" t="inlineStr"/>
      <c r="H339" s="19" t="inlineStr">
        <is>
          <t>mit.ptp.lpg.irn</t>
        </is>
      </c>
      <c r="J339" s="5">
        <f>INDEX(Mapping!$C$5:$C$20,MATCH($C339,Mapping!$A$5:$A$20,0))</f>
        <v/>
      </c>
      <c r="K339" s="5">
        <f>INDEX(Mapping!$D$5:$D$20,MATCH($C339,Mapping!$A$5:$A$20,0))</f>
        <v/>
      </c>
      <c r="L339" s="5">
        <f>INDEX(Mapping!$C$24:$C$31,MATCH($B339,Mapping!$A$24:$A$31,0))</f>
        <v/>
      </c>
      <c r="M339" s="5">
        <f>INDEX(Mapping!$D$24:$D$31,MATCH($B339,Mapping!$A$24:$A$31,0))</f>
        <v/>
      </c>
      <c r="N339" s="5">
        <f>$B339&amp;"."&amp;IF(INDEX(Mapping!$E$24:$E$31,MATCH($B339,Mapping!$A$24:$A$31,0))="sub",INDEX(Mapping!$F$5:$F$20,MATCH($C339,Mapping!$A$5:$A$20,0)),"all")</f>
        <v/>
      </c>
      <c r="O339" s="5">
        <f>INDEX(Mapping!$E$5:$E$20,MATCH($C339,Mapping!$A$5:$A$20,0))</f>
        <v/>
      </c>
      <c r="P339" s="5">
        <f>INDEX(Mapping!$G$24:$G$31,MATCH($B339,Mapping!$A$24:$A$31,0))</f>
        <v/>
      </c>
      <c r="Q339" s="21" t="n"/>
      <c r="R339" s="21" t="n"/>
      <c r="S339" s="21" t="n"/>
      <c r="T339" s="21" t="n"/>
      <c r="U339" s="21" t="n"/>
      <c r="V339" s="21" t="n"/>
      <c r="W339" s="21" t="n"/>
      <c r="X339" s="21" t="n"/>
      <c r="Y339" s="21" t="n"/>
      <c r="Z339" s="21" t="n"/>
      <c r="AA339" s="21" t="n"/>
      <c r="AB339" s="21" t="n"/>
      <c r="AC339" s="21" t="n"/>
      <c r="AD339" s="21" t="n"/>
      <c r="AE339" s="21" t="n"/>
      <c r="AF339" s="21" t="n"/>
      <c r="AG339" s="21" t="n"/>
      <c r="AH339" s="21" t="n"/>
      <c r="AI339" s="21" t="n"/>
      <c r="AJ339" s="21" t="n"/>
      <c r="AL339" s="23">
        <f>AL79+AL209</f>
        <v/>
      </c>
      <c r="AM339" s="22">
        <f>AM79+AM209</f>
        <v/>
      </c>
      <c r="AN339" s="22">
        <f>AN79+AN209</f>
        <v/>
      </c>
      <c r="AO339" s="22">
        <f>AO79+AO209</f>
        <v/>
      </c>
      <c r="AP339" s="22">
        <f>AP79+AP209</f>
        <v/>
      </c>
      <c r="AQ339" s="22">
        <f>AQ79+AQ209</f>
        <v/>
      </c>
      <c r="AR339" s="22">
        <f>AR79+AR209</f>
        <v/>
      </c>
      <c r="AS339" s="22">
        <f>AS79+AS209</f>
        <v/>
      </c>
      <c r="AT339" s="22">
        <f>AT79+AT209</f>
        <v/>
      </c>
      <c r="AU339" s="22">
        <f>AU79+AU209</f>
        <v/>
      </c>
      <c r="AV339" s="22">
        <f>AV79+AV209</f>
        <v/>
      </c>
      <c r="AW339" s="22">
        <f>AW79+AW209</f>
        <v/>
      </c>
      <c r="AX339" s="22">
        <f>AX79+AX209</f>
        <v/>
      </c>
      <c r="AY339" s="22">
        <f>AY79+AY209</f>
        <v/>
      </c>
      <c r="BA339" s="23">
        <f>BA79+BA209</f>
        <v/>
      </c>
      <c r="BB339" s="22">
        <f>BB79+BB209</f>
        <v/>
      </c>
      <c r="BC339" s="22">
        <f>BC79+BC209</f>
        <v/>
      </c>
      <c r="BD339" s="22">
        <f>BD79+BD209</f>
        <v/>
      </c>
      <c r="BE339" s="22">
        <f>BE79+BE209</f>
        <v/>
      </c>
      <c r="BF339" s="22">
        <f>BF79+BF209</f>
        <v/>
      </c>
      <c r="BG339" s="22">
        <f>BG79+BG209</f>
        <v/>
      </c>
      <c r="BH339" s="22">
        <f>BH79+BH209</f>
        <v/>
      </c>
      <c r="BI339" s="22">
        <f>BI79+BI209</f>
        <v/>
      </c>
      <c r="BJ339" s="22">
        <f>BJ79+BJ209</f>
        <v/>
      </c>
      <c r="BK339" s="22">
        <f>BK79+BK209</f>
        <v/>
      </c>
      <c r="BL339" s="22">
        <f>BL79+BL209</f>
        <v/>
      </c>
      <c r="BM339" s="22">
        <f>BM79+BM209</f>
        <v/>
      </c>
      <c r="BN339" s="22">
        <f>BN79+BN209</f>
        <v/>
      </c>
    </row>
    <row r="340">
      <c r="B340" s="5" t="inlineStr">
        <is>
          <t>ker</t>
        </is>
      </c>
      <c r="C340" s="5" t="inlineStr">
        <is>
          <t>irn</t>
        </is>
      </c>
      <c r="D340" s="5" t="inlineStr">
        <is>
          <t>Post-tax price | Iron &amp; steel | Kerosene</t>
        </is>
      </c>
      <c r="E340" s="5" t="inlineStr">
        <is>
          <t>$/GJ</t>
        </is>
      </c>
      <c r="F340" s="5" t="inlineStr">
        <is>
          <t>Calculation</t>
        </is>
      </c>
      <c r="G340" s="19" t="inlineStr"/>
      <c r="H340" s="19" t="inlineStr">
        <is>
          <t>mit.ptp.ker.irn</t>
        </is>
      </c>
      <c r="J340" s="5">
        <f>INDEX(Mapping!$C$5:$C$20,MATCH($C340,Mapping!$A$5:$A$20,0))</f>
        <v/>
      </c>
      <c r="K340" s="5">
        <f>INDEX(Mapping!$D$5:$D$20,MATCH($C340,Mapping!$A$5:$A$20,0))</f>
        <v/>
      </c>
      <c r="L340" s="5">
        <f>INDEX(Mapping!$C$24:$C$31,MATCH($B340,Mapping!$A$24:$A$31,0))</f>
        <v/>
      </c>
      <c r="M340" s="5">
        <f>INDEX(Mapping!$D$24:$D$31,MATCH($B340,Mapping!$A$24:$A$31,0))</f>
        <v/>
      </c>
      <c r="N340" s="5">
        <f>$B340&amp;"."&amp;IF(INDEX(Mapping!$E$24:$E$31,MATCH($B340,Mapping!$A$24:$A$31,0))="sub",INDEX(Mapping!$F$5:$F$20,MATCH($C340,Mapping!$A$5:$A$20,0)),"all")</f>
        <v/>
      </c>
      <c r="O340" s="5">
        <f>INDEX(Mapping!$E$5:$E$20,MATCH($C340,Mapping!$A$5:$A$20,0))</f>
        <v/>
      </c>
      <c r="P340" s="5">
        <f>INDEX(Mapping!$G$24:$G$31,MATCH($B340,Mapping!$A$24:$A$31,0))</f>
        <v/>
      </c>
      <c r="Q340" s="21" t="n"/>
      <c r="R340" s="21" t="n"/>
      <c r="S340" s="21" t="n"/>
      <c r="T340" s="21" t="n"/>
      <c r="U340" s="21" t="n"/>
      <c r="V340" s="21" t="n"/>
      <c r="W340" s="21" t="n"/>
      <c r="X340" s="21" t="n"/>
      <c r="Y340" s="21" t="n"/>
      <c r="Z340" s="21" t="n"/>
      <c r="AA340" s="21" t="n"/>
      <c r="AB340" s="21" t="n"/>
      <c r="AC340" s="21" t="n"/>
      <c r="AD340" s="21" t="n"/>
      <c r="AE340" s="21" t="n"/>
      <c r="AF340" s="21" t="n"/>
      <c r="AG340" s="21" t="n"/>
      <c r="AH340" s="21" t="n"/>
      <c r="AI340" s="21" t="n"/>
      <c r="AJ340" s="21" t="n"/>
      <c r="AL340" s="23">
        <f>AL80+AL210</f>
        <v/>
      </c>
      <c r="AM340" s="22">
        <f>AM80+AM210</f>
        <v/>
      </c>
      <c r="AN340" s="22">
        <f>AN80+AN210</f>
        <v/>
      </c>
      <c r="AO340" s="22">
        <f>AO80+AO210</f>
        <v/>
      </c>
      <c r="AP340" s="22">
        <f>AP80+AP210</f>
        <v/>
      </c>
      <c r="AQ340" s="22">
        <f>AQ80+AQ210</f>
        <v/>
      </c>
      <c r="AR340" s="22">
        <f>AR80+AR210</f>
        <v/>
      </c>
      <c r="AS340" s="22">
        <f>AS80+AS210</f>
        <v/>
      </c>
      <c r="AT340" s="22">
        <f>AT80+AT210</f>
        <v/>
      </c>
      <c r="AU340" s="22">
        <f>AU80+AU210</f>
        <v/>
      </c>
      <c r="AV340" s="22">
        <f>AV80+AV210</f>
        <v/>
      </c>
      <c r="AW340" s="22">
        <f>AW80+AW210</f>
        <v/>
      </c>
      <c r="AX340" s="22">
        <f>AX80+AX210</f>
        <v/>
      </c>
      <c r="AY340" s="22">
        <f>AY80+AY210</f>
        <v/>
      </c>
      <c r="BA340" s="23">
        <f>BA80+BA210</f>
        <v/>
      </c>
      <c r="BB340" s="22">
        <f>BB80+BB210</f>
        <v/>
      </c>
      <c r="BC340" s="22">
        <f>BC80+BC210</f>
        <v/>
      </c>
      <c r="BD340" s="22">
        <f>BD80+BD210</f>
        <v/>
      </c>
      <c r="BE340" s="22">
        <f>BE80+BE210</f>
        <v/>
      </c>
      <c r="BF340" s="22">
        <f>BF80+BF210</f>
        <v/>
      </c>
      <c r="BG340" s="22">
        <f>BG80+BG210</f>
        <v/>
      </c>
      <c r="BH340" s="22">
        <f>BH80+BH210</f>
        <v/>
      </c>
      <c r="BI340" s="22">
        <f>BI80+BI210</f>
        <v/>
      </c>
      <c r="BJ340" s="22">
        <f>BJ80+BJ210</f>
        <v/>
      </c>
      <c r="BK340" s="22">
        <f>BK80+BK210</f>
        <v/>
      </c>
      <c r="BL340" s="22">
        <f>BL80+BL210</f>
        <v/>
      </c>
      <c r="BM340" s="22">
        <f>BM80+BM210</f>
        <v/>
      </c>
      <c r="BN340" s="22">
        <f>BN80+BN210</f>
        <v/>
      </c>
    </row>
    <row r="341">
      <c r="B341" s="5" t="inlineStr">
        <is>
          <t>oop</t>
        </is>
      </c>
      <c r="C341" s="5" t="inlineStr">
        <is>
          <t>irn</t>
        </is>
      </c>
      <c r="D341" s="5" t="inlineStr">
        <is>
          <t>Post-tax price | Iron &amp; steel | Other oil products</t>
        </is>
      </c>
      <c r="E341" s="5" t="inlineStr">
        <is>
          <t>$/GJ</t>
        </is>
      </c>
      <c r="F341" s="5" t="inlineStr">
        <is>
          <t>Calculation</t>
        </is>
      </c>
      <c r="G341" s="19" t="inlineStr"/>
      <c r="H341" s="19" t="inlineStr">
        <is>
          <t>mit.ptp.oop.irn</t>
        </is>
      </c>
      <c r="J341" s="5">
        <f>INDEX(Mapping!$C$5:$C$20,MATCH($C341,Mapping!$A$5:$A$20,0))</f>
        <v/>
      </c>
      <c r="K341" s="5">
        <f>INDEX(Mapping!$D$5:$D$20,MATCH($C341,Mapping!$A$5:$A$20,0))</f>
        <v/>
      </c>
      <c r="L341" s="5">
        <f>INDEX(Mapping!$C$24:$C$31,MATCH($B341,Mapping!$A$24:$A$31,0))</f>
        <v/>
      </c>
      <c r="M341" s="5">
        <f>INDEX(Mapping!$D$24:$D$31,MATCH($B341,Mapping!$A$24:$A$31,0))</f>
        <v/>
      </c>
      <c r="N341" s="5">
        <f>$B341&amp;"."&amp;IF(INDEX(Mapping!$E$24:$E$31,MATCH($B341,Mapping!$A$24:$A$31,0))="sub",INDEX(Mapping!$F$5:$F$20,MATCH($C341,Mapping!$A$5:$A$20,0)),"all")</f>
        <v/>
      </c>
      <c r="O341" s="5">
        <f>INDEX(Mapping!$E$5:$E$20,MATCH($C341,Mapping!$A$5:$A$20,0))</f>
        <v/>
      </c>
      <c r="P341" s="5">
        <f>INDEX(Mapping!$G$24:$G$31,MATCH($B341,Mapping!$A$24:$A$31,0))</f>
        <v/>
      </c>
      <c r="Q341" s="21" t="n"/>
      <c r="R341" s="21" t="n"/>
      <c r="S341" s="21" t="n"/>
      <c r="T341" s="21" t="n"/>
      <c r="U341" s="21" t="n"/>
      <c r="V341" s="21" t="n"/>
      <c r="W341" s="21" t="n"/>
      <c r="X341" s="21" t="n"/>
      <c r="Y341" s="21" t="n"/>
      <c r="Z341" s="21" t="n"/>
      <c r="AA341" s="21" t="n"/>
      <c r="AB341" s="21" t="n"/>
      <c r="AC341" s="21" t="n"/>
      <c r="AD341" s="21" t="n"/>
      <c r="AE341" s="21" t="n"/>
      <c r="AF341" s="21" t="n"/>
      <c r="AG341" s="21" t="n"/>
      <c r="AH341" s="21" t="n"/>
      <c r="AI341" s="21" t="n"/>
      <c r="AJ341" s="21" t="n"/>
      <c r="AL341" s="23">
        <f>AL81+AL211</f>
        <v/>
      </c>
      <c r="AM341" s="22">
        <f>AM81+AM211</f>
        <v/>
      </c>
      <c r="AN341" s="22">
        <f>AN81+AN211</f>
        <v/>
      </c>
      <c r="AO341" s="22">
        <f>AO81+AO211</f>
        <v/>
      </c>
      <c r="AP341" s="22">
        <f>AP81+AP211</f>
        <v/>
      </c>
      <c r="AQ341" s="22">
        <f>AQ81+AQ211</f>
        <v/>
      </c>
      <c r="AR341" s="22">
        <f>AR81+AR211</f>
        <v/>
      </c>
      <c r="AS341" s="22">
        <f>AS81+AS211</f>
        <v/>
      </c>
      <c r="AT341" s="22">
        <f>AT81+AT211</f>
        <v/>
      </c>
      <c r="AU341" s="22">
        <f>AU81+AU211</f>
        <v/>
      </c>
      <c r="AV341" s="22">
        <f>AV81+AV211</f>
        <v/>
      </c>
      <c r="AW341" s="22">
        <f>AW81+AW211</f>
        <v/>
      </c>
      <c r="AX341" s="22">
        <f>AX81+AX211</f>
        <v/>
      </c>
      <c r="AY341" s="22">
        <f>AY81+AY211</f>
        <v/>
      </c>
      <c r="BA341" s="23">
        <f>BA81+BA211</f>
        <v/>
      </c>
      <c r="BB341" s="22">
        <f>BB81+BB211</f>
        <v/>
      </c>
      <c r="BC341" s="22">
        <f>BC81+BC211</f>
        <v/>
      </c>
      <c r="BD341" s="22">
        <f>BD81+BD211</f>
        <v/>
      </c>
      <c r="BE341" s="22">
        <f>BE81+BE211</f>
        <v/>
      </c>
      <c r="BF341" s="22">
        <f>BF81+BF211</f>
        <v/>
      </c>
      <c r="BG341" s="22">
        <f>BG81+BG211</f>
        <v/>
      </c>
      <c r="BH341" s="22">
        <f>BH81+BH211</f>
        <v/>
      </c>
      <c r="BI341" s="22">
        <f>BI81+BI211</f>
        <v/>
      </c>
      <c r="BJ341" s="22">
        <f>BJ81+BJ211</f>
        <v/>
      </c>
      <c r="BK341" s="22">
        <f>BK81+BK211</f>
        <v/>
      </c>
      <c r="BL341" s="22">
        <f>BL81+BL211</f>
        <v/>
      </c>
      <c r="BM341" s="22">
        <f>BM81+BM211</f>
        <v/>
      </c>
      <c r="BN341" s="22">
        <f>BN81+BN211</f>
        <v/>
      </c>
    </row>
    <row r="342">
      <c r="B342" s="5" t="inlineStr">
        <is>
          <t>bio</t>
        </is>
      </c>
      <c r="C342" s="5" t="inlineStr">
        <is>
          <t>irn</t>
        </is>
      </c>
      <c r="D342" s="5" t="inlineStr">
        <is>
          <t>Post-tax price | Iron &amp; steel | Biomass</t>
        </is>
      </c>
      <c r="E342" s="5" t="inlineStr">
        <is>
          <t>$/GJ</t>
        </is>
      </c>
      <c r="F342" s="5" t="inlineStr">
        <is>
          <t>Calculation</t>
        </is>
      </c>
      <c r="G342" s="19" t="inlineStr"/>
      <c r="H342" s="19" t="inlineStr">
        <is>
          <t>mit.ptp.bio.irn</t>
        </is>
      </c>
      <c r="J342" s="5">
        <f>INDEX(Mapping!$C$5:$C$20,MATCH($C342,Mapping!$A$5:$A$20,0))</f>
        <v/>
      </c>
      <c r="K342" s="5">
        <f>INDEX(Mapping!$D$5:$D$20,MATCH($C342,Mapping!$A$5:$A$20,0))</f>
        <v/>
      </c>
      <c r="L342" s="5">
        <f>INDEX(Mapping!$C$24:$C$31,MATCH($B342,Mapping!$A$24:$A$31,0))</f>
        <v/>
      </c>
      <c r="M342" s="5">
        <f>INDEX(Mapping!$D$24:$D$31,MATCH($B342,Mapping!$A$24:$A$31,0))</f>
        <v/>
      </c>
      <c r="N342" s="5">
        <f>$B342&amp;"."&amp;IF(INDEX(Mapping!$E$24:$E$31,MATCH($B342,Mapping!$A$24:$A$31,0))="sub",INDEX(Mapping!$F$5:$F$20,MATCH($C342,Mapping!$A$5:$A$20,0)),"all")</f>
        <v/>
      </c>
      <c r="O342" s="5">
        <f>INDEX(Mapping!$E$5:$E$20,MATCH($C342,Mapping!$A$5:$A$20,0))</f>
        <v/>
      </c>
      <c r="P342" s="5">
        <f>INDEX(Mapping!$G$24:$G$31,MATCH($B342,Mapping!$A$24:$A$31,0))</f>
        <v/>
      </c>
      <c r="Q342" s="21" t="n"/>
      <c r="R342" s="21" t="n"/>
      <c r="S342" s="21" t="n"/>
      <c r="T342" s="21" t="n"/>
      <c r="U342" s="21" t="n"/>
      <c r="V342" s="21" t="n"/>
      <c r="W342" s="21" t="n"/>
      <c r="X342" s="21" t="n"/>
      <c r="Y342" s="21" t="n"/>
      <c r="Z342" s="21" t="n"/>
      <c r="AA342" s="21" t="n"/>
      <c r="AB342" s="21" t="n"/>
      <c r="AC342" s="21" t="n"/>
      <c r="AD342" s="21" t="n"/>
      <c r="AE342" s="21" t="n"/>
      <c r="AF342" s="21" t="n"/>
      <c r="AG342" s="21" t="n"/>
      <c r="AH342" s="21" t="n"/>
      <c r="AI342" s="21" t="n"/>
      <c r="AJ342" s="21" t="n"/>
      <c r="AL342" s="23">
        <f>AL82+AL212</f>
        <v/>
      </c>
      <c r="AM342" s="22">
        <f>AM82+AM212</f>
        <v/>
      </c>
      <c r="AN342" s="22">
        <f>AN82+AN212</f>
        <v/>
      </c>
      <c r="AO342" s="22">
        <f>AO82+AO212</f>
        <v/>
      </c>
      <c r="AP342" s="22">
        <f>AP82+AP212</f>
        <v/>
      </c>
      <c r="AQ342" s="22">
        <f>AQ82+AQ212</f>
        <v/>
      </c>
      <c r="AR342" s="22">
        <f>AR82+AR212</f>
        <v/>
      </c>
      <c r="AS342" s="22">
        <f>AS82+AS212</f>
        <v/>
      </c>
      <c r="AT342" s="22">
        <f>AT82+AT212</f>
        <v/>
      </c>
      <c r="AU342" s="22">
        <f>AU82+AU212</f>
        <v/>
      </c>
      <c r="AV342" s="22">
        <f>AV82+AV212</f>
        <v/>
      </c>
      <c r="AW342" s="22">
        <f>AW82+AW212</f>
        <v/>
      </c>
      <c r="AX342" s="22">
        <f>AX82+AX212</f>
        <v/>
      </c>
      <c r="AY342" s="22">
        <f>AY82+AY212</f>
        <v/>
      </c>
      <c r="BA342" s="23">
        <f>BA82+BA212</f>
        <v/>
      </c>
      <c r="BB342" s="22">
        <f>BB82+BB212</f>
        <v/>
      </c>
      <c r="BC342" s="22">
        <f>BC82+BC212</f>
        <v/>
      </c>
      <c r="BD342" s="22">
        <f>BD82+BD212</f>
        <v/>
      </c>
      <c r="BE342" s="22">
        <f>BE82+BE212</f>
        <v/>
      </c>
      <c r="BF342" s="22">
        <f>BF82+BF212</f>
        <v/>
      </c>
      <c r="BG342" s="22">
        <f>BG82+BG212</f>
        <v/>
      </c>
      <c r="BH342" s="22">
        <f>BH82+BH212</f>
        <v/>
      </c>
      <c r="BI342" s="22">
        <f>BI82+BI212</f>
        <v/>
      </c>
      <c r="BJ342" s="22">
        <f>BJ82+BJ212</f>
        <v/>
      </c>
      <c r="BK342" s="22">
        <f>BK82+BK212</f>
        <v/>
      </c>
      <c r="BL342" s="22">
        <f>BL82+BL212</f>
        <v/>
      </c>
      <c r="BM342" s="22">
        <f>BM82+BM212</f>
        <v/>
      </c>
      <c r="BN342" s="22">
        <f>BN82+BN212</f>
        <v/>
      </c>
    </row>
    <row r="343">
      <c r="B343" s="5" t="inlineStr">
        <is>
          <t>coa</t>
        </is>
      </c>
      <c r="C343" s="5" t="inlineStr">
        <is>
          <t>nfm</t>
        </is>
      </c>
      <c r="D343" s="5" t="inlineStr">
        <is>
          <t>Post-tax price | Other metals | Coal</t>
        </is>
      </c>
      <c r="E343" s="5" t="inlineStr">
        <is>
          <t>$/GJ</t>
        </is>
      </c>
      <c r="F343" s="5" t="inlineStr">
        <is>
          <t>Calculation</t>
        </is>
      </c>
      <c r="G343" s="19" t="inlineStr"/>
      <c r="H343" s="19" t="inlineStr">
        <is>
          <t>mit.ptp.coa.nfm</t>
        </is>
      </c>
      <c r="J343" s="5">
        <f>INDEX(Mapping!$C$5:$C$20,MATCH($C343,Mapping!$A$5:$A$20,0))</f>
        <v/>
      </c>
      <c r="K343" s="5">
        <f>INDEX(Mapping!$D$5:$D$20,MATCH($C343,Mapping!$A$5:$A$20,0))</f>
        <v/>
      </c>
      <c r="L343" s="5">
        <f>INDEX(Mapping!$C$24:$C$31,MATCH($B343,Mapping!$A$24:$A$31,0))</f>
        <v/>
      </c>
      <c r="M343" s="5">
        <f>INDEX(Mapping!$D$24:$D$31,MATCH($B343,Mapping!$A$24:$A$31,0))</f>
        <v/>
      </c>
      <c r="N343" s="5">
        <f>$B343&amp;"."&amp;IF(INDEX(Mapping!$E$24:$E$31,MATCH($B343,Mapping!$A$24:$A$31,0))="sub",INDEX(Mapping!$F$5:$F$20,MATCH($C343,Mapping!$A$5:$A$20,0)),"all")</f>
        <v/>
      </c>
      <c r="O343" s="5">
        <f>INDEX(Mapping!$E$5:$E$20,MATCH($C343,Mapping!$A$5:$A$20,0))</f>
        <v/>
      </c>
      <c r="P343" s="5">
        <f>INDEX(Mapping!$G$24:$G$31,MATCH($B343,Mapping!$A$24:$A$31,0))</f>
        <v/>
      </c>
      <c r="Q343" s="21" t="n"/>
      <c r="R343" s="21" t="n"/>
      <c r="S343" s="21" t="n"/>
      <c r="T343" s="21" t="n"/>
      <c r="U343" s="21" t="n"/>
      <c r="V343" s="21" t="n"/>
      <c r="W343" s="21" t="n"/>
      <c r="X343" s="21" t="n"/>
      <c r="Y343" s="21" t="n"/>
      <c r="Z343" s="21" t="n"/>
      <c r="AA343" s="21" t="n"/>
      <c r="AB343" s="21" t="n"/>
      <c r="AC343" s="21" t="n"/>
      <c r="AD343" s="21" t="n"/>
      <c r="AE343" s="21" t="n"/>
      <c r="AF343" s="21" t="n"/>
      <c r="AG343" s="21" t="n"/>
      <c r="AH343" s="21" t="n"/>
      <c r="AI343" s="21" t="n"/>
      <c r="AJ343" s="21" t="n"/>
      <c r="AL343" s="23">
        <f>AL83+AL213</f>
        <v/>
      </c>
      <c r="AM343" s="22">
        <f>AM83+AM213</f>
        <v/>
      </c>
      <c r="AN343" s="22">
        <f>AN83+AN213</f>
        <v/>
      </c>
      <c r="AO343" s="22">
        <f>AO83+AO213</f>
        <v/>
      </c>
      <c r="AP343" s="22">
        <f>AP83+AP213</f>
        <v/>
      </c>
      <c r="AQ343" s="22">
        <f>AQ83+AQ213</f>
        <v/>
      </c>
      <c r="AR343" s="22">
        <f>AR83+AR213</f>
        <v/>
      </c>
      <c r="AS343" s="22">
        <f>AS83+AS213</f>
        <v/>
      </c>
      <c r="AT343" s="22">
        <f>AT83+AT213</f>
        <v/>
      </c>
      <c r="AU343" s="22">
        <f>AU83+AU213</f>
        <v/>
      </c>
      <c r="AV343" s="22">
        <f>AV83+AV213</f>
        <v/>
      </c>
      <c r="AW343" s="22">
        <f>AW83+AW213</f>
        <v/>
      </c>
      <c r="AX343" s="22">
        <f>AX83+AX213</f>
        <v/>
      </c>
      <c r="AY343" s="22">
        <f>AY83+AY213</f>
        <v/>
      </c>
      <c r="BA343" s="23">
        <f>BA83+BA213</f>
        <v/>
      </c>
      <c r="BB343" s="22">
        <f>BB83+BB213</f>
        <v/>
      </c>
      <c r="BC343" s="22">
        <f>BC83+BC213</f>
        <v/>
      </c>
      <c r="BD343" s="22">
        <f>BD83+BD213</f>
        <v/>
      </c>
      <c r="BE343" s="22">
        <f>BE83+BE213</f>
        <v/>
      </c>
      <c r="BF343" s="22">
        <f>BF83+BF213</f>
        <v/>
      </c>
      <c r="BG343" s="22">
        <f>BG83+BG213</f>
        <v/>
      </c>
      <c r="BH343" s="22">
        <f>BH83+BH213</f>
        <v/>
      </c>
      <c r="BI343" s="22">
        <f>BI83+BI213</f>
        <v/>
      </c>
      <c r="BJ343" s="22">
        <f>BJ83+BJ213</f>
        <v/>
      </c>
      <c r="BK343" s="22">
        <f>BK83+BK213</f>
        <v/>
      </c>
      <c r="BL343" s="22">
        <f>BL83+BL213</f>
        <v/>
      </c>
      <c r="BM343" s="22">
        <f>BM83+BM213</f>
        <v/>
      </c>
      <c r="BN343" s="22">
        <f>BN83+BN213</f>
        <v/>
      </c>
    </row>
    <row r="344">
      <c r="B344" s="5" t="inlineStr">
        <is>
          <t>nga</t>
        </is>
      </c>
      <c r="C344" s="5" t="inlineStr">
        <is>
          <t>nfm</t>
        </is>
      </c>
      <c r="D344" s="5" t="inlineStr">
        <is>
          <t>Post-tax price | Other metals | Natural gas</t>
        </is>
      </c>
      <c r="E344" s="5" t="inlineStr">
        <is>
          <t>$/GJ</t>
        </is>
      </c>
      <c r="F344" s="5" t="inlineStr">
        <is>
          <t>Calculation</t>
        </is>
      </c>
      <c r="G344" s="19" t="inlineStr"/>
      <c r="H344" s="19" t="inlineStr">
        <is>
          <t>mit.ptp.nga.nfm</t>
        </is>
      </c>
      <c r="J344" s="5">
        <f>INDEX(Mapping!$C$5:$C$20,MATCH($C344,Mapping!$A$5:$A$20,0))</f>
        <v/>
      </c>
      <c r="K344" s="5">
        <f>INDEX(Mapping!$D$5:$D$20,MATCH($C344,Mapping!$A$5:$A$20,0))</f>
        <v/>
      </c>
      <c r="L344" s="5">
        <f>INDEX(Mapping!$C$24:$C$31,MATCH($B344,Mapping!$A$24:$A$31,0))</f>
        <v/>
      </c>
      <c r="M344" s="5">
        <f>INDEX(Mapping!$D$24:$D$31,MATCH($B344,Mapping!$A$24:$A$31,0))</f>
        <v/>
      </c>
      <c r="N344" s="5">
        <f>$B344&amp;"."&amp;IF(INDEX(Mapping!$E$24:$E$31,MATCH($B344,Mapping!$A$24:$A$31,0))="sub",INDEX(Mapping!$F$5:$F$20,MATCH($C344,Mapping!$A$5:$A$20,0)),"all")</f>
        <v/>
      </c>
      <c r="O344" s="5">
        <f>INDEX(Mapping!$E$5:$E$20,MATCH($C344,Mapping!$A$5:$A$20,0))</f>
        <v/>
      </c>
      <c r="P344" s="5">
        <f>INDEX(Mapping!$G$24:$G$31,MATCH($B344,Mapping!$A$24:$A$31,0))</f>
        <v/>
      </c>
      <c r="Q344" s="21" t="n"/>
      <c r="R344" s="21" t="n"/>
      <c r="S344" s="21" t="n"/>
      <c r="T344" s="21" t="n"/>
      <c r="U344" s="21" t="n"/>
      <c r="V344" s="21" t="n"/>
      <c r="W344" s="21" t="n"/>
      <c r="X344" s="21" t="n"/>
      <c r="Y344" s="21" t="n"/>
      <c r="Z344" s="21" t="n"/>
      <c r="AA344" s="21" t="n"/>
      <c r="AB344" s="21" t="n"/>
      <c r="AC344" s="21" t="n"/>
      <c r="AD344" s="21" t="n"/>
      <c r="AE344" s="21" t="n"/>
      <c r="AF344" s="21" t="n"/>
      <c r="AG344" s="21" t="n"/>
      <c r="AH344" s="21" t="n"/>
      <c r="AI344" s="21" t="n"/>
      <c r="AJ344" s="21" t="n"/>
      <c r="AL344" s="23">
        <f>AL84+AL214</f>
        <v/>
      </c>
      <c r="AM344" s="22">
        <f>AM84+AM214</f>
        <v/>
      </c>
      <c r="AN344" s="22">
        <f>AN84+AN214</f>
        <v/>
      </c>
      <c r="AO344" s="22">
        <f>AO84+AO214</f>
        <v/>
      </c>
      <c r="AP344" s="22">
        <f>AP84+AP214</f>
        <v/>
      </c>
      <c r="AQ344" s="22">
        <f>AQ84+AQ214</f>
        <v/>
      </c>
      <c r="AR344" s="22">
        <f>AR84+AR214</f>
        <v/>
      </c>
      <c r="AS344" s="22">
        <f>AS84+AS214</f>
        <v/>
      </c>
      <c r="AT344" s="22">
        <f>AT84+AT214</f>
        <v/>
      </c>
      <c r="AU344" s="22">
        <f>AU84+AU214</f>
        <v/>
      </c>
      <c r="AV344" s="22">
        <f>AV84+AV214</f>
        <v/>
      </c>
      <c r="AW344" s="22">
        <f>AW84+AW214</f>
        <v/>
      </c>
      <c r="AX344" s="22">
        <f>AX84+AX214</f>
        <v/>
      </c>
      <c r="AY344" s="22">
        <f>AY84+AY214</f>
        <v/>
      </c>
      <c r="BA344" s="23">
        <f>BA84+BA214</f>
        <v/>
      </c>
      <c r="BB344" s="22">
        <f>BB84+BB214</f>
        <v/>
      </c>
      <c r="BC344" s="22">
        <f>BC84+BC214</f>
        <v/>
      </c>
      <c r="BD344" s="22">
        <f>BD84+BD214</f>
        <v/>
      </c>
      <c r="BE344" s="22">
        <f>BE84+BE214</f>
        <v/>
      </c>
      <c r="BF344" s="22">
        <f>BF84+BF214</f>
        <v/>
      </c>
      <c r="BG344" s="22">
        <f>BG84+BG214</f>
        <v/>
      </c>
      <c r="BH344" s="22">
        <f>BH84+BH214</f>
        <v/>
      </c>
      <c r="BI344" s="22">
        <f>BI84+BI214</f>
        <v/>
      </c>
      <c r="BJ344" s="22">
        <f>BJ84+BJ214</f>
        <v/>
      </c>
      <c r="BK344" s="22">
        <f>BK84+BK214</f>
        <v/>
      </c>
      <c r="BL344" s="22">
        <f>BL84+BL214</f>
        <v/>
      </c>
      <c r="BM344" s="22">
        <f>BM84+BM214</f>
        <v/>
      </c>
      <c r="BN344" s="22">
        <f>BN84+BN214</f>
        <v/>
      </c>
    </row>
    <row r="345">
      <c r="B345" s="5" t="inlineStr">
        <is>
          <t>gso</t>
        </is>
      </c>
      <c r="C345" s="5" t="inlineStr">
        <is>
          <t>nfm</t>
        </is>
      </c>
      <c r="D345" s="5" t="inlineStr">
        <is>
          <t>Post-tax price | Other metals | Gasoline</t>
        </is>
      </c>
      <c r="E345" s="5" t="inlineStr">
        <is>
          <t>$/GJ</t>
        </is>
      </c>
      <c r="F345" s="5" t="inlineStr">
        <is>
          <t>Calculation</t>
        </is>
      </c>
      <c r="G345" s="19" t="inlineStr"/>
      <c r="H345" s="19" t="inlineStr">
        <is>
          <t>mit.ptp.gso.nfm</t>
        </is>
      </c>
      <c r="J345" s="5">
        <f>INDEX(Mapping!$C$5:$C$20,MATCH($C345,Mapping!$A$5:$A$20,0))</f>
        <v/>
      </c>
      <c r="K345" s="5">
        <f>INDEX(Mapping!$D$5:$D$20,MATCH($C345,Mapping!$A$5:$A$20,0))</f>
        <v/>
      </c>
      <c r="L345" s="5">
        <f>INDEX(Mapping!$C$24:$C$31,MATCH($B345,Mapping!$A$24:$A$31,0))</f>
        <v/>
      </c>
      <c r="M345" s="5">
        <f>INDEX(Mapping!$D$24:$D$31,MATCH($B345,Mapping!$A$24:$A$31,0))</f>
        <v/>
      </c>
      <c r="N345" s="5">
        <f>$B345&amp;"."&amp;IF(INDEX(Mapping!$E$24:$E$31,MATCH($B345,Mapping!$A$24:$A$31,0))="sub",INDEX(Mapping!$F$5:$F$20,MATCH($C345,Mapping!$A$5:$A$20,0)),"all")</f>
        <v/>
      </c>
      <c r="O345" s="5">
        <f>INDEX(Mapping!$E$5:$E$20,MATCH($C345,Mapping!$A$5:$A$20,0))</f>
        <v/>
      </c>
      <c r="P345" s="5">
        <f>INDEX(Mapping!$G$24:$G$31,MATCH($B345,Mapping!$A$24:$A$31,0))</f>
        <v/>
      </c>
      <c r="Q345" s="21" t="n"/>
      <c r="R345" s="21" t="n"/>
      <c r="S345" s="21" t="n"/>
      <c r="T345" s="21" t="n"/>
      <c r="U345" s="21" t="n"/>
      <c r="V345" s="21" t="n"/>
      <c r="W345" s="21" t="n"/>
      <c r="X345" s="21" t="n"/>
      <c r="Y345" s="21" t="n"/>
      <c r="Z345" s="21" t="n"/>
      <c r="AA345" s="21" t="n"/>
      <c r="AB345" s="21" t="n"/>
      <c r="AC345" s="21" t="n"/>
      <c r="AD345" s="21" t="n"/>
      <c r="AE345" s="21" t="n"/>
      <c r="AF345" s="21" t="n"/>
      <c r="AG345" s="21" t="n"/>
      <c r="AH345" s="21" t="n"/>
      <c r="AI345" s="21" t="n"/>
      <c r="AJ345" s="21" t="n"/>
      <c r="AL345" s="23">
        <f>AL85+AL215</f>
        <v/>
      </c>
      <c r="AM345" s="22">
        <f>AM85+AM215</f>
        <v/>
      </c>
      <c r="AN345" s="22">
        <f>AN85+AN215</f>
        <v/>
      </c>
      <c r="AO345" s="22">
        <f>AO85+AO215</f>
        <v/>
      </c>
      <c r="AP345" s="22">
        <f>AP85+AP215</f>
        <v/>
      </c>
      <c r="AQ345" s="22">
        <f>AQ85+AQ215</f>
        <v/>
      </c>
      <c r="AR345" s="22">
        <f>AR85+AR215</f>
        <v/>
      </c>
      <c r="AS345" s="22">
        <f>AS85+AS215</f>
        <v/>
      </c>
      <c r="AT345" s="22">
        <f>AT85+AT215</f>
        <v/>
      </c>
      <c r="AU345" s="22">
        <f>AU85+AU215</f>
        <v/>
      </c>
      <c r="AV345" s="22">
        <f>AV85+AV215</f>
        <v/>
      </c>
      <c r="AW345" s="22">
        <f>AW85+AW215</f>
        <v/>
      </c>
      <c r="AX345" s="22">
        <f>AX85+AX215</f>
        <v/>
      </c>
      <c r="AY345" s="22">
        <f>AY85+AY215</f>
        <v/>
      </c>
      <c r="BA345" s="23">
        <f>BA85+BA215</f>
        <v/>
      </c>
      <c r="BB345" s="22">
        <f>BB85+BB215</f>
        <v/>
      </c>
      <c r="BC345" s="22">
        <f>BC85+BC215</f>
        <v/>
      </c>
      <c r="BD345" s="22">
        <f>BD85+BD215</f>
        <v/>
      </c>
      <c r="BE345" s="22">
        <f>BE85+BE215</f>
        <v/>
      </c>
      <c r="BF345" s="22">
        <f>BF85+BF215</f>
        <v/>
      </c>
      <c r="BG345" s="22">
        <f>BG85+BG215</f>
        <v/>
      </c>
      <c r="BH345" s="22">
        <f>BH85+BH215</f>
        <v/>
      </c>
      <c r="BI345" s="22">
        <f>BI85+BI215</f>
        <v/>
      </c>
      <c r="BJ345" s="22">
        <f>BJ85+BJ215</f>
        <v/>
      </c>
      <c r="BK345" s="22">
        <f>BK85+BK215</f>
        <v/>
      </c>
      <c r="BL345" s="22">
        <f>BL85+BL215</f>
        <v/>
      </c>
      <c r="BM345" s="22">
        <f>BM85+BM215</f>
        <v/>
      </c>
      <c r="BN345" s="22">
        <f>BN85+BN215</f>
        <v/>
      </c>
    </row>
    <row r="346">
      <c r="B346" s="5" t="inlineStr">
        <is>
          <t>die</t>
        </is>
      </c>
      <c r="C346" s="5" t="inlineStr">
        <is>
          <t>nfm</t>
        </is>
      </c>
      <c r="D346" s="5" t="inlineStr">
        <is>
          <t>Post-tax price | Other metals | Diesel</t>
        </is>
      </c>
      <c r="E346" s="5" t="inlineStr">
        <is>
          <t>$/GJ</t>
        </is>
      </c>
      <c r="F346" s="5" t="inlineStr">
        <is>
          <t>Calculation</t>
        </is>
      </c>
      <c r="G346" s="19" t="inlineStr"/>
      <c r="H346" s="19" t="inlineStr">
        <is>
          <t>mit.ptp.die.nfm</t>
        </is>
      </c>
      <c r="J346" s="5">
        <f>INDEX(Mapping!$C$5:$C$20,MATCH($C346,Mapping!$A$5:$A$20,0))</f>
        <v/>
      </c>
      <c r="K346" s="5">
        <f>INDEX(Mapping!$D$5:$D$20,MATCH($C346,Mapping!$A$5:$A$20,0))</f>
        <v/>
      </c>
      <c r="L346" s="5">
        <f>INDEX(Mapping!$C$24:$C$31,MATCH($B346,Mapping!$A$24:$A$31,0))</f>
        <v/>
      </c>
      <c r="M346" s="5">
        <f>INDEX(Mapping!$D$24:$D$31,MATCH($B346,Mapping!$A$24:$A$31,0))</f>
        <v/>
      </c>
      <c r="N346" s="5">
        <f>$B346&amp;"."&amp;IF(INDEX(Mapping!$E$24:$E$31,MATCH($B346,Mapping!$A$24:$A$31,0))="sub",INDEX(Mapping!$F$5:$F$20,MATCH($C346,Mapping!$A$5:$A$20,0)),"all")</f>
        <v/>
      </c>
      <c r="O346" s="5">
        <f>INDEX(Mapping!$E$5:$E$20,MATCH($C346,Mapping!$A$5:$A$20,0))</f>
        <v/>
      </c>
      <c r="P346" s="5">
        <f>INDEX(Mapping!$G$24:$G$31,MATCH($B346,Mapping!$A$24:$A$31,0))</f>
        <v/>
      </c>
      <c r="Q346" s="21" t="n"/>
      <c r="R346" s="21" t="n"/>
      <c r="S346" s="21" t="n"/>
      <c r="T346" s="21" t="n"/>
      <c r="U346" s="21" t="n"/>
      <c r="V346" s="21" t="n"/>
      <c r="W346" s="21" t="n"/>
      <c r="X346" s="21" t="n"/>
      <c r="Y346" s="21" t="n"/>
      <c r="Z346" s="21" t="n"/>
      <c r="AA346" s="21" t="n"/>
      <c r="AB346" s="21" t="n"/>
      <c r="AC346" s="21" t="n"/>
      <c r="AD346" s="21" t="n"/>
      <c r="AE346" s="21" t="n"/>
      <c r="AF346" s="21" t="n"/>
      <c r="AG346" s="21" t="n"/>
      <c r="AH346" s="21" t="n"/>
      <c r="AI346" s="21" t="n"/>
      <c r="AJ346" s="21" t="n"/>
      <c r="AL346" s="23">
        <f>AL86+AL216</f>
        <v/>
      </c>
      <c r="AM346" s="22">
        <f>AM86+AM216</f>
        <v/>
      </c>
      <c r="AN346" s="22">
        <f>AN86+AN216</f>
        <v/>
      </c>
      <c r="AO346" s="22">
        <f>AO86+AO216</f>
        <v/>
      </c>
      <c r="AP346" s="22">
        <f>AP86+AP216</f>
        <v/>
      </c>
      <c r="AQ346" s="22">
        <f>AQ86+AQ216</f>
        <v/>
      </c>
      <c r="AR346" s="22">
        <f>AR86+AR216</f>
        <v/>
      </c>
      <c r="AS346" s="22">
        <f>AS86+AS216</f>
        <v/>
      </c>
      <c r="AT346" s="22">
        <f>AT86+AT216</f>
        <v/>
      </c>
      <c r="AU346" s="22">
        <f>AU86+AU216</f>
        <v/>
      </c>
      <c r="AV346" s="22">
        <f>AV86+AV216</f>
        <v/>
      </c>
      <c r="AW346" s="22">
        <f>AW86+AW216</f>
        <v/>
      </c>
      <c r="AX346" s="22">
        <f>AX86+AX216</f>
        <v/>
      </c>
      <c r="AY346" s="22">
        <f>AY86+AY216</f>
        <v/>
      </c>
      <c r="BA346" s="23">
        <f>BA86+BA216</f>
        <v/>
      </c>
      <c r="BB346" s="22">
        <f>BB86+BB216</f>
        <v/>
      </c>
      <c r="BC346" s="22">
        <f>BC86+BC216</f>
        <v/>
      </c>
      <c r="BD346" s="22">
        <f>BD86+BD216</f>
        <v/>
      </c>
      <c r="BE346" s="22">
        <f>BE86+BE216</f>
        <v/>
      </c>
      <c r="BF346" s="22">
        <f>BF86+BF216</f>
        <v/>
      </c>
      <c r="BG346" s="22">
        <f>BG86+BG216</f>
        <v/>
      </c>
      <c r="BH346" s="22">
        <f>BH86+BH216</f>
        <v/>
      </c>
      <c r="BI346" s="22">
        <f>BI86+BI216</f>
        <v/>
      </c>
      <c r="BJ346" s="22">
        <f>BJ86+BJ216</f>
        <v/>
      </c>
      <c r="BK346" s="22">
        <f>BK86+BK216</f>
        <v/>
      </c>
      <c r="BL346" s="22">
        <f>BL86+BL216</f>
        <v/>
      </c>
      <c r="BM346" s="22">
        <f>BM86+BM216</f>
        <v/>
      </c>
      <c r="BN346" s="22">
        <f>BN86+BN216</f>
        <v/>
      </c>
    </row>
    <row r="347">
      <c r="B347" s="5" t="inlineStr">
        <is>
          <t>lpg</t>
        </is>
      </c>
      <c r="C347" s="5" t="inlineStr">
        <is>
          <t>nfm</t>
        </is>
      </c>
      <c r="D347" s="5" t="inlineStr">
        <is>
          <t>Post-tax price | Other metals | LPG</t>
        </is>
      </c>
      <c r="E347" s="5" t="inlineStr">
        <is>
          <t>$/GJ</t>
        </is>
      </c>
      <c r="F347" s="5" t="inlineStr">
        <is>
          <t>Calculation</t>
        </is>
      </c>
      <c r="G347" s="19" t="inlineStr"/>
      <c r="H347" s="19" t="inlineStr">
        <is>
          <t>mit.ptp.lpg.nfm</t>
        </is>
      </c>
      <c r="J347" s="5">
        <f>INDEX(Mapping!$C$5:$C$20,MATCH($C347,Mapping!$A$5:$A$20,0))</f>
        <v/>
      </c>
      <c r="K347" s="5">
        <f>INDEX(Mapping!$D$5:$D$20,MATCH($C347,Mapping!$A$5:$A$20,0))</f>
        <v/>
      </c>
      <c r="L347" s="5">
        <f>INDEX(Mapping!$C$24:$C$31,MATCH($B347,Mapping!$A$24:$A$31,0))</f>
        <v/>
      </c>
      <c r="M347" s="5">
        <f>INDEX(Mapping!$D$24:$D$31,MATCH($B347,Mapping!$A$24:$A$31,0))</f>
        <v/>
      </c>
      <c r="N347" s="5">
        <f>$B347&amp;"."&amp;IF(INDEX(Mapping!$E$24:$E$31,MATCH($B347,Mapping!$A$24:$A$31,0))="sub",INDEX(Mapping!$F$5:$F$20,MATCH($C347,Mapping!$A$5:$A$20,0)),"all")</f>
        <v/>
      </c>
      <c r="O347" s="5">
        <f>INDEX(Mapping!$E$5:$E$20,MATCH($C347,Mapping!$A$5:$A$20,0))</f>
        <v/>
      </c>
      <c r="P347" s="5">
        <f>INDEX(Mapping!$G$24:$G$31,MATCH($B347,Mapping!$A$24:$A$31,0))</f>
        <v/>
      </c>
      <c r="Q347" s="21" t="n"/>
      <c r="R347" s="21" t="n"/>
      <c r="S347" s="21" t="n"/>
      <c r="T347" s="21" t="n"/>
      <c r="U347" s="21" t="n"/>
      <c r="V347" s="21" t="n"/>
      <c r="W347" s="21" t="n"/>
      <c r="X347" s="21" t="n"/>
      <c r="Y347" s="21" t="n"/>
      <c r="Z347" s="21" t="n"/>
      <c r="AA347" s="21" t="n"/>
      <c r="AB347" s="21" t="n"/>
      <c r="AC347" s="21" t="n"/>
      <c r="AD347" s="21" t="n"/>
      <c r="AE347" s="21" t="n"/>
      <c r="AF347" s="21" t="n"/>
      <c r="AG347" s="21" t="n"/>
      <c r="AH347" s="21" t="n"/>
      <c r="AI347" s="21" t="n"/>
      <c r="AJ347" s="21" t="n"/>
      <c r="AL347" s="23">
        <f>AL87+AL217</f>
        <v/>
      </c>
      <c r="AM347" s="22">
        <f>AM87+AM217</f>
        <v/>
      </c>
      <c r="AN347" s="22">
        <f>AN87+AN217</f>
        <v/>
      </c>
      <c r="AO347" s="22">
        <f>AO87+AO217</f>
        <v/>
      </c>
      <c r="AP347" s="22">
        <f>AP87+AP217</f>
        <v/>
      </c>
      <c r="AQ347" s="22">
        <f>AQ87+AQ217</f>
        <v/>
      </c>
      <c r="AR347" s="22">
        <f>AR87+AR217</f>
        <v/>
      </c>
      <c r="AS347" s="22">
        <f>AS87+AS217</f>
        <v/>
      </c>
      <c r="AT347" s="22">
        <f>AT87+AT217</f>
        <v/>
      </c>
      <c r="AU347" s="22">
        <f>AU87+AU217</f>
        <v/>
      </c>
      <c r="AV347" s="22">
        <f>AV87+AV217</f>
        <v/>
      </c>
      <c r="AW347" s="22">
        <f>AW87+AW217</f>
        <v/>
      </c>
      <c r="AX347" s="22">
        <f>AX87+AX217</f>
        <v/>
      </c>
      <c r="AY347" s="22">
        <f>AY87+AY217</f>
        <v/>
      </c>
      <c r="BA347" s="23">
        <f>BA87+BA217</f>
        <v/>
      </c>
      <c r="BB347" s="22">
        <f>BB87+BB217</f>
        <v/>
      </c>
      <c r="BC347" s="22">
        <f>BC87+BC217</f>
        <v/>
      </c>
      <c r="BD347" s="22">
        <f>BD87+BD217</f>
        <v/>
      </c>
      <c r="BE347" s="22">
        <f>BE87+BE217</f>
        <v/>
      </c>
      <c r="BF347" s="22">
        <f>BF87+BF217</f>
        <v/>
      </c>
      <c r="BG347" s="22">
        <f>BG87+BG217</f>
        <v/>
      </c>
      <c r="BH347" s="22">
        <f>BH87+BH217</f>
        <v/>
      </c>
      <c r="BI347" s="22">
        <f>BI87+BI217</f>
        <v/>
      </c>
      <c r="BJ347" s="22">
        <f>BJ87+BJ217</f>
        <v/>
      </c>
      <c r="BK347" s="22">
        <f>BK87+BK217</f>
        <v/>
      </c>
      <c r="BL347" s="22">
        <f>BL87+BL217</f>
        <v/>
      </c>
      <c r="BM347" s="22">
        <f>BM87+BM217</f>
        <v/>
      </c>
      <c r="BN347" s="22">
        <f>BN87+BN217</f>
        <v/>
      </c>
    </row>
    <row r="348">
      <c r="B348" s="5" t="inlineStr">
        <is>
          <t>ker</t>
        </is>
      </c>
      <c r="C348" s="5" t="inlineStr">
        <is>
          <t>nfm</t>
        </is>
      </c>
      <c r="D348" s="5" t="inlineStr">
        <is>
          <t>Post-tax price | Other metals | Kerosene</t>
        </is>
      </c>
      <c r="E348" s="5" t="inlineStr">
        <is>
          <t>$/GJ</t>
        </is>
      </c>
      <c r="F348" s="5" t="inlineStr">
        <is>
          <t>Calculation</t>
        </is>
      </c>
      <c r="G348" s="19" t="inlineStr"/>
      <c r="H348" s="19" t="inlineStr">
        <is>
          <t>mit.ptp.ker.nfm</t>
        </is>
      </c>
      <c r="J348" s="5">
        <f>INDEX(Mapping!$C$5:$C$20,MATCH($C348,Mapping!$A$5:$A$20,0))</f>
        <v/>
      </c>
      <c r="K348" s="5">
        <f>INDEX(Mapping!$D$5:$D$20,MATCH($C348,Mapping!$A$5:$A$20,0))</f>
        <v/>
      </c>
      <c r="L348" s="5">
        <f>INDEX(Mapping!$C$24:$C$31,MATCH($B348,Mapping!$A$24:$A$31,0))</f>
        <v/>
      </c>
      <c r="M348" s="5">
        <f>INDEX(Mapping!$D$24:$D$31,MATCH($B348,Mapping!$A$24:$A$31,0))</f>
        <v/>
      </c>
      <c r="N348" s="5">
        <f>$B348&amp;"."&amp;IF(INDEX(Mapping!$E$24:$E$31,MATCH($B348,Mapping!$A$24:$A$31,0))="sub",INDEX(Mapping!$F$5:$F$20,MATCH($C348,Mapping!$A$5:$A$20,0)),"all")</f>
        <v/>
      </c>
      <c r="O348" s="5">
        <f>INDEX(Mapping!$E$5:$E$20,MATCH($C348,Mapping!$A$5:$A$20,0))</f>
        <v/>
      </c>
      <c r="P348" s="5">
        <f>INDEX(Mapping!$G$24:$G$31,MATCH($B348,Mapping!$A$24:$A$31,0))</f>
        <v/>
      </c>
      <c r="Q348" s="21" t="n"/>
      <c r="R348" s="21" t="n"/>
      <c r="S348" s="21" t="n"/>
      <c r="T348" s="21" t="n"/>
      <c r="U348" s="21" t="n"/>
      <c r="V348" s="21" t="n"/>
      <c r="W348" s="21" t="n"/>
      <c r="X348" s="21" t="n"/>
      <c r="Y348" s="21" t="n"/>
      <c r="Z348" s="21" t="n"/>
      <c r="AA348" s="21" t="n"/>
      <c r="AB348" s="21" t="n"/>
      <c r="AC348" s="21" t="n"/>
      <c r="AD348" s="21" t="n"/>
      <c r="AE348" s="21" t="n"/>
      <c r="AF348" s="21" t="n"/>
      <c r="AG348" s="21" t="n"/>
      <c r="AH348" s="21" t="n"/>
      <c r="AI348" s="21" t="n"/>
      <c r="AJ348" s="21" t="n"/>
      <c r="AL348" s="23">
        <f>AL88+AL218</f>
        <v/>
      </c>
      <c r="AM348" s="22">
        <f>AM88+AM218</f>
        <v/>
      </c>
      <c r="AN348" s="22">
        <f>AN88+AN218</f>
        <v/>
      </c>
      <c r="AO348" s="22">
        <f>AO88+AO218</f>
        <v/>
      </c>
      <c r="AP348" s="22">
        <f>AP88+AP218</f>
        <v/>
      </c>
      <c r="AQ348" s="22">
        <f>AQ88+AQ218</f>
        <v/>
      </c>
      <c r="AR348" s="22">
        <f>AR88+AR218</f>
        <v/>
      </c>
      <c r="AS348" s="22">
        <f>AS88+AS218</f>
        <v/>
      </c>
      <c r="AT348" s="22">
        <f>AT88+AT218</f>
        <v/>
      </c>
      <c r="AU348" s="22">
        <f>AU88+AU218</f>
        <v/>
      </c>
      <c r="AV348" s="22">
        <f>AV88+AV218</f>
        <v/>
      </c>
      <c r="AW348" s="22">
        <f>AW88+AW218</f>
        <v/>
      </c>
      <c r="AX348" s="22">
        <f>AX88+AX218</f>
        <v/>
      </c>
      <c r="AY348" s="22">
        <f>AY88+AY218</f>
        <v/>
      </c>
      <c r="BA348" s="23">
        <f>BA88+BA218</f>
        <v/>
      </c>
      <c r="BB348" s="22">
        <f>BB88+BB218</f>
        <v/>
      </c>
      <c r="BC348" s="22">
        <f>BC88+BC218</f>
        <v/>
      </c>
      <c r="BD348" s="22">
        <f>BD88+BD218</f>
        <v/>
      </c>
      <c r="BE348" s="22">
        <f>BE88+BE218</f>
        <v/>
      </c>
      <c r="BF348" s="22">
        <f>BF88+BF218</f>
        <v/>
      </c>
      <c r="BG348" s="22">
        <f>BG88+BG218</f>
        <v/>
      </c>
      <c r="BH348" s="22">
        <f>BH88+BH218</f>
        <v/>
      </c>
      <c r="BI348" s="22">
        <f>BI88+BI218</f>
        <v/>
      </c>
      <c r="BJ348" s="22">
        <f>BJ88+BJ218</f>
        <v/>
      </c>
      <c r="BK348" s="22">
        <f>BK88+BK218</f>
        <v/>
      </c>
      <c r="BL348" s="22">
        <f>BL88+BL218</f>
        <v/>
      </c>
      <c r="BM348" s="22">
        <f>BM88+BM218</f>
        <v/>
      </c>
      <c r="BN348" s="22">
        <f>BN88+BN218</f>
        <v/>
      </c>
    </row>
    <row r="349">
      <c r="B349" s="5" t="inlineStr">
        <is>
          <t>oop</t>
        </is>
      </c>
      <c r="C349" s="5" t="inlineStr">
        <is>
          <t>nfm</t>
        </is>
      </c>
      <c r="D349" s="5" t="inlineStr">
        <is>
          <t>Post-tax price | Other metals | Other oil products</t>
        </is>
      </c>
      <c r="E349" s="5" t="inlineStr">
        <is>
          <t>$/GJ</t>
        </is>
      </c>
      <c r="F349" s="5" t="inlineStr">
        <is>
          <t>Calculation</t>
        </is>
      </c>
      <c r="G349" s="19" t="inlineStr"/>
      <c r="H349" s="19" t="inlineStr">
        <is>
          <t>mit.ptp.oop.nfm</t>
        </is>
      </c>
      <c r="J349" s="5">
        <f>INDEX(Mapping!$C$5:$C$20,MATCH($C349,Mapping!$A$5:$A$20,0))</f>
        <v/>
      </c>
      <c r="K349" s="5">
        <f>INDEX(Mapping!$D$5:$D$20,MATCH($C349,Mapping!$A$5:$A$20,0))</f>
        <v/>
      </c>
      <c r="L349" s="5">
        <f>INDEX(Mapping!$C$24:$C$31,MATCH($B349,Mapping!$A$24:$A$31,0))</f>
        <v/>
      </c>
      <c r="M349" s="5">
        <f>INDEX(Mapping!$D$24:$D$31,MATCH($B349,Mapping!$A$24:$A$31,0))</f>
        <v/>
      </c>
      <c r="N349" s="5">
        <f>$B349&amp;"."&amp;IF(INDEX(Mapping!$E$24:$E$31,MATCH($B349,Mapping!$A$24:$A$31,0))="sub",INDEX(Mapping!$F$5:$F$20,MATCH($C349,Mapping!$A$5:$A$20,0)),"all")</f>
        <v/>
      </c>
      <c r="O349" s="5">
        <f>INDEX(Mapping!$E$5:$E$20,MATCH($C349,Mapping!$A$5:$A$20,0))</f>
        <v/>
      </c>
      <c r="P349" s="5">
        <f>INDEX(Mapping!$G$24:$G$31,MATCH($B349,Mapping!$A$24:$A$31,0))</f>
        <v/>
      </c>
      <c r="Q349" s="21" t="n"/>
      <c r="R349" s="21" t="n"/>
      <c r="S349" s="21" t="n"/>
      <c r="T349" s="21" t="n"/>
      <c r="U349" s="21" t="n"/>
      <c r="V349" s="21" t="n"/>
      <c r="W349" s="21" t="n"/>
      <c r="X349" s="21" t="n"/>
      <c r="Y349" s="21" t="n"/>
      <c r="Z349" s="21" t="n"/>
      <c r="AA349" s="21" t="n"/>
      <c r="AB349" s="21" t="n"/>
      <c r="AC349" s="21" t="n"/>
      <c r="AD349" s="21" t="n"/>
      <c r="AE349" s="21" t="n"/>
      <c r="AF349" s="21" t="n"/>
      <c r="AG349" s="21" t="n"/>
      <c r="AH349" s="21" t="n"/>
      <c r="AI349" s="21" t="n"/>
      <c r="AJ349" s="21" t="n"/>
      <c r="AL349" s="23">
        <f>AL89+AL219</f>
        <v/>
      </c>
      <c r="AM349" s="22">
        <f>AM89+AM219</f>
        <v/>
      </c>
      <c r="AN349" s="22">
        <f>AN89+AN219</f>
        <v/>
      </c>
      <c r="AO349" s="22">
        <f>AO89+AO219</f>
        <v/>
      </c>
      <c r="AP349" s="22">
        <f>AP89+AP219</f>
        <v/>
      </c>
      <c r="AQ349" s="22">
        <f>AQ89+AQ219</f>
        <v/>
      </c>
      <c r="AR349" s="22">
        <f>AR89+AR219</f>
        <v/>
      </c>
      <c r="AS349" s="22">
        <f>AS89+AS219</f>
        <v/>
      </c>
      <c r="AT349" s="22">
        <f>AT89+AT219</f>
        <v/>
      </c>
      <c r="AU349" s="22">
        <f>AU89+AU219</f>
        <v/>
      </c>
      <c r="AV349" s="22">
        <f>AV89+AV219</f>
        <v/>
      </c>
      <c r="AW349" s="22">
        <f>AW89+AW219</f>
        <v/>
      </c>
      <c r="AX349" s="22">
        <f>AX89+AX219</f>
        <v/>
      </c>
      <c r="AY349" s="22">
        <f>AY89+AY219</f>
        <v/>
      </c>
      <c r="BA349" s="23">
        <f>BA89+BA219</f>
        <v/>
      </c>
      <c r="BB349" s="22">
        <f>BB89+BB219</f>
        <v/>
      </c>
      <c r="BC349" s="22">
        <f>BC89+BC219</f>
        <v/>
      </c>
      <c r="BD349" s="22">
        <f>BD89+BD219</f>
        <v/>
      </c>
      <c r="BE349" s="22">
        <f>BE89+BE219</f>
        <v/>
      </c>
      <c r="BF349" s="22">
        <f>BF89+BF219</f>
        <v/>
      </c>
      <c r="BG349" s="22">
        <f>BG89+BG219</f>
        <v/>
      </c>
      <c r="BH349" s="22">
        <f>BH89+BH219</f>
        <v/>
      </c>
      <c r="BI349" s="22">
        <f>BI89+BI219</f>
        <v/>
      </c>
      <c r="BJ349" s="22">
        <f>BJ89+BJ219</f>
        <v/>
      </c>
      <c r="BK349" s="22">
        <f>BK89+BK219</f>
        <v/>
      </c>
      <c r="BL349" s="22">
        <f>BL89+BL219</f>
        <v/>
      </c>
      <c r="BM349" s="22">
        <f>BM89+BM219</f>
        <v/>
      </c>
      <c r="BN349" s="22">
        <f>BN89+BN219</f>
        <v/>
      </c>
    </row>
    <row r="350">
      <c r="B350" s="5" t="inlineStr">
        <is>
          <t>bio</t>
        </is>
      </c>
      <c r="C350" s="5" t="inlineStr">
        <is>
          <t>nfm</t>
        </is>
      </c>
      <c r="D350" s="5" t="inlineStr">
        <is>
          <t>Post-tax price | Other metals | Biomass</t>
        </is>
      </c>
      <c r="E350" s="5" t="inlineStr">
        <is>
          <t>$/GJ</t>
        </is>
      </c>
      <c r="F350" s="5" t="inlineStr">
        <is>
          <t>Calculation</t>
        </is>
      </c>
      <c r="G350" s="19" t="inlineStr"/>
      <c r="H350" s="19" t="inlineStr">
        <is>
          <t>mit.ptp.bio.nfm</t>
        </is>
      </c>
      <c r="J350" s="5">
        <f>INDEX(Mapping!$C$5:$C$20,MATCH($C350,Mapping!$A$5:$A$20,0))</f>
        <v/>
      </c>
      <c r="K350" s="5">
        <f>INDEX(Mapping!$D$5:$D$20,MATCH($C350,Mapping!$A$5:$A$20,0))</f>
        <v/>
      </c>
      <c r="L350" s="5">
        <f>INDEX(Mapping!$C$24:$C$31,MATCH($B350,Mapping!$A$24:$A$31,0))</f>
        <v/>
      </c>
      <c r="M350" s="5">
        <f>INDEX(Mapping!$D$24:$D$31,MATCH($B350,Mapping!$A$24:$A$31,0))</f>
        <v/>
      </c>
      <c r="N350" s="5">
        <f>$B350&amp;"."&amp;IF(INDEX(Mapping!$E$24:$E$31,MATCH($B350,Mapping!$A$24:$A$31,0))="sub",INDEX(Mapping!$F$5:$F$20,MATCH($C350,Mapping!$A$5:$A$20,0)),"all")</f>
        <v/>
      </c>
      <c r="O350" s="5">
        <f>INDEX(Mapping!$E$5:$E$20,MATCH($C350,Mapping!$A$5:$A$20,0))</f>
        <v/>
      </c>
      <c r="P350" s="5">
        <f>INDEX(Mapping!$G$24:$G$31,MATCH($B350,Mapping!$A$24:$A$31,0))</f>
        <v/>
      </c>
      <c r="Q350" s="21" t="n"/>
      <c r="R350" s="21" t="n"/>
      <c r="S350" s="21" t="n"/>
      <c r="T350" s="21" t="n"/>
      <c r="U350" s="21" t="n"/>
      <c r="V350" s="21" t="n"/>
      <c r="W350" s="21" t="n"/>
      <c r="X350" s="21" t="n"/>
      <c r="Y350" s="21" t="n"/>
      <c r="Z350" s="21" t="n"/>
      <c r="AA350" s="21" t="n"/>
      <c r="AB350" s="21" t="n"/>
      <c r="AC350" s="21" t="n"/>
      <c r="AD350" s="21" t="n"/>
      <c r="AE350" s="21" t="n"/>
      <c r="AF350" s="21" t="n"/>
      <c r="AG350" s="21" t="n"/>
      <c r="AH350" s="21" t="n"/>
      <c r="AI350" s="21" t="n"/>
      <c r="AJ350" s="21" t="n"/>
      <c r="AL350" s="23">
        <f>AL90+AL220</f>
        <v/>
      </c>
      <c r="AM350" s="22">
        <f>AM90+AM220</f>
        <v/>
      </c>
      <c r="AN350" s="22">
        <f>AN90+AN220</f>
        <v/>
      </c>
      <c r="AO350" s="22">
        <f>AO90+AO220</f>
        <v/>
      </c>
      <c r="AP350" s="22">
        <f>AP90+AP220</f>
        <v/>
      </c>
      <c r="AQ350" s="22">
        <f>AQ90+AQ220</f>
        <v/>
      </c>
      <c r="AR350" s="22">
        <f>AR90+AR220</f>
        <v/>
      </c>
      <c r="AS350" s="22">
        <f>AS90+AS220</f>
        <v/>
      </c>
      <c r="AT350" s="22">
        <f>AT90+AT220</f>
        <v/>
      </c>
      <c r="AU350" s="22">
        <f>AU90+AU220</f>
        <v/>
      </c>
      <c r="AV350" s="22">
        <f>AV90+AV220</f>
        <v/>
      </c>
      <c r="AW350" s="22">
        <f>AW90+AW220</f>
        <v/>
      </c>
      <c r="AX350" s="22">
        <f>AX90+AX220</f>
        <v/>
      </c>
      <c r="AY350" s="22">
        <f>AY90+AY220</f>
        <v/>
      </c>
      <c r="BA350" s="23">
        <f>BA90+BA220</f>
        <v/>
      </c>
      <c r="BB350" s="22">
        <f>BB90+BB220</f>
        <v/>
      </c>
      <c r="BC350" s="22">
        <f>BC90+BC220</f>
        <v/>
      </c>
      <c r="BD350" s="22">
        <f>BD90+BD220</f>
        <v/>
      </c>
      <c r="BE350" s="22">
        <f>BE90+BE220</f>
        <v/>
      </c>
      <c r="BF350" s="22">
        <f>BF90+BF220</f>
        <v/>
      </c>
      <c r="BG350" s="22">
        <f>BG90+BG220</f>
        <v/>
      </c>
      <c r="BH350" s="22">
        <f>BH90+BH220</f>
        <v/>
      </c>
      <c r="BI350" s="22">
        <f>BI90+BI220</f>
        <v/>
      </c>
      <c r="BJ350" s="22">
        <f>BJ90+BJ220</f>
        <v/>
      </c>
      <c r="BK350" s="22">
        <f>BK90+BK220</f>
        <v/>
      </c>
      <c r="BL350" s="22">
        <f>BL90+BL220</f>
        <v/>
      </c>
      <c r="BM350" s="22">
        <f>BM90+BM220</f>
        <v/>
      </c>
      <c r="BN350" s="22">
        <f>BN90+BN220</f>
        <v/>
      </c>
    </row>
    <row r="351">
      <c r="B351" s="5" t="inlineStr">
        <is>
          <t>coa</t>
        </is>
      </c>
      <c r="C351" s="5" t="inlineStr">
        <is>
          <t>mac</t>
        </is>
      </c>
      <c r="D351" s="5" t="inlineStr">
        <is>
          <t>Post-tax price | Machinery | Coal</t>
        </is>
      </c>
      <c r="E351" s="5" t="inlineStr">
        <is>
          <t>$/GJ</t>
        </is>
      </c>
      <c r="F351" s="5" t="inlineStr">
        <is>
          <t>Calculation</t>
        </is>
      </c>
      <c r="G351" s="19" t="inlineStr"/>
      <c r="H351" s="19" t="inlineStr">
        <is>
          <t>mit.ptp.coa.mac</t>
        </is>
      </c>
      <c r="J351" s="5">
        <f>INDEX(Mapping!$C$5:$C$20,MATCH($C351,Mapping!$A$5:$A$20,0))</f>
        <v/>
      </c>
      <c r="K351" s="5">
        <f>INDEX(Mapping!$D$5:$D$20,MATCH($C351,Mapping!$A$5:$A$20,0))</f>
        <v/>
      </c>
      <c r="L351" s="5">
        <f>INDEX(Mapping!$C$24:$C$31,MATCH($B351,Mapping!$A$24:$A$31,0))</f>
        <v/>
      </c>
      <c r="M351" s="5">
        <f>INDEX(Mapping!$D$24:$D$31,MATCH($B351,Mapping!$A$24:$A$31,0))</f>
        <v/>
      </c>
      <c r="N351" s="5">
        <f>$B351&amp;"."&amp;IF(INDEX(Mapping!$E$24:$E$31,MATCH($B351,Mapping!$A$24:$A$31,0))="sub",INDEX(Mapping!$F$5:$F$20,MATCH($C351,Mapping!$A$5:$A$20,0)),"all")</f>
        <v/>
      </c>
      <c r="O351" s="5">
        <f>INDEX(Mapping!$E$5:$E$20,MATCH($C351,Mapping!$A$5:$A$20,0))</f>
        <v/>
      </c>
      <c r="P351" s="5">
        <f>INDEX(Mapping!$G$24:$G$31,MATCH($B351,Mapping!$A$24:$A$31,0))</f>
        <v/>
      </c>
      <c r="Q351" s="21" t="n"/>
      <c r="R351" s="21" t="n"/>
      <c r="S351" s="21" t="n"/>
      <c r="T351" s="21" t="n"/>
      <c r="U351" s="21" t="n"/>
      <c r="V351" s="21" t="n"/>
      <c r="W351" s="21" t="n"/>
      <c r="X351" s="21" t="n"/>
      <c r="Y351" s="21" t="n"/>
      <c r="Z351" s="21" t="n"/>
      <c r="AA351" s="21" t="n"/>
      <c r="AB351" s="21" t="n"/>
      <c r="AC351" s="21" t="n"/>
      <c r="AD351" s="21" t="n"/>
      <c r="AE351" s="21" t="n"/>
      <c r="AF351" s="21" t="n"/>
      <c r="AG351" s="21" t="n"/>
      <c r="AH351" s="21" t="n"/>
      <c r="AI351" s="21" t="n"/>
      <c r="AJ351" s="21" t="n"/>
      <c r="AL351" s="23">
        <f>AL91+AL221</f>
        <v/>
      </c>
      <c r="AM351" s="22">
        <f>AM91+AM221</f>
        <v/>
      </c>
      <c r="AN351" s="22">
        <f>AN91+AN221</f>
        <v/>
      </c>
      <c r="AO351" s="22">
        <f>AO91+AO221</f>
        <v/>
      </c>
      <c r="AP351" s="22">
        <f>AP91+AP221</f>
        <v/>
      </c>
      <c r="AQ351" s="22">
        <f>AQ91+AQ221</f>
        <v/>
      </c>
      <c r="AR351" s="22">
        <f>AR91+AR221</f>
        <v/>
      </c>
      <c r="AS351" s="22">
        <f>AS91+AS221</f>
        <v/>
      </c>
      <c r="AT351" s="22">
        <f>AT91+AT221</f>
        <v/>
      </c>
      <c r="AU351" s="22">
        <f>AU91+AU221</f>
        <v/>
      </c>
      <c r="AV351" s="22">
        <f>AV91+AV221</f>
        <v/>
      </c>
      <c r="AW351" s="22">
        <f>AW91+AW221</f>
        <v/>
      </c>
      <c r="AX351" s="22">
        <f>AX91+AX221</f>
        <v/>
      </c>
      <c r="AY351" s="22">
        <f>AY91+AY221</f>
        <v/>
      </c>
      <c r="BA351" s="23">
        <f>BA91+BA221</f>
        <v/>
      </c>
      <c r="BB351" s="22">
        <f>BB91+BB221</f>
        <v/>
      </c>
      <c r="BC351" s="22">
        <f>BC91+BC221</f>
        <v/>
      </c>
      <c r="BD351" s="22">
        <f>BD91+BD221</f>
        <v/>
      </c>
      <c r="BE351" s="22">
        <f>BE91+BE221</f>
        <v/>
      </c>
      <c r="BF351" s="22">
        <f>BF91+BF221</f>
        <v/>
      </c>
      <c r="BG351" s="22">
        <f>BG91+BG221</f>
        <v/>
      </c>
      <c r="BH351" s="22">
        <f>BH91+BH221</f>
        <v/>
      </c>
      <c r="BI351" s="22">
        <f>BI91+BI221</f>
        <v/>
      </c>
      <c r="BJ351" s="22">
        <f>BJ91+BJ221</f>
        <v/>
      </c>
      <c r="BK351" s="22">
        <f>BK91+BK221</f>
        <v/>
      </c>
      <c r="BL351" s="22">
        <f>BL91+BL221</f>
        <v/>
      </c>
      <c r="BM351" s="22">
        <f>BM91+BM221</f>
        <v/>
      </c>
      <c r="BN351" s="22">
        <f>BN91+BN221</f>
        <v/>
      </c>
    </row>
    <row r="352">
      <c r="B352" s="5" t="inlineStr">
        <is>
          <t>nga</t>
        </is>
      </c>
      <c r="C352" s="5" t="inlineStr">
        <is>
          <t>mac</t>
        </is>
      </c>
      <c r="D352" s="5" t="inlineStr">
        <is>
          <t>Post-tax price | Machinery | Natural gas</t>
        </is>
      </c>
      <c r="E352" s="5" t="inlineStr">
        <is>
          <t>$/GJ</t>
        </is>
      </c>
      <c r="F352" s="5" t="inlineStr">
        <is>
          <t>Calculation</t>
        </is>
      </c>
      <c r="G352" s="19" t="inlineStr"/>
      <c r="H352" s="19" t="inlineStr">
        <is>
          <t>mit.ptp.nga.mac</t>
        </is>
      </c>
      <c r="J352" s="5">
        <f>INDEX(Mapping!$C$5:$C$20,MATCH($C352,Mapping!$A$5:$A$20,0))</f>
        <v/>
      </c>
      <c r="K352" s="5">
        <f>INDEX(Mapping!$D$5:$D$20,MATCH($C352,Mapping!$A$5:$A$20,0))</f>
        <v/>
      </c>
      <c r="L352" s="5">
        <f>INDEX(Mapping!$C$24:$C$31,MATCH($B352,Mapping!$A$24:$A$31,0))</f>
        <v/>
      </c>
      <c r="M352" s="5">
        <f>INDEX(Mapping!$D$24:$D$31,MATCH($B352,Mapping!$A$24:$A$31,0))</f>
        <v/>
      </c>
      <c r="N352" s="5">
        <f>$B352&amp;"."&amp;IF(INDEX(Mapping!$E$24:$E$31,MATCH($B352,Mapping!$A$24:$A$31,0))="sub",INDEX(Mapping!$F$5:$F$20,MATCH($C352,Mapping!$A$5:$A$20,0)),"all")</f>
        <v/>
      </c>
      <c r="O352" s="5">
        <f>INDEX(Mapping!$E$5:$E$20,MATCH($C352,Mapping!$A$5:$A$20,0))</f>
        <v/>
      </c>
      <c r="P352" s="5">
        <f>INDEX(Mapping!$G$24:$G$31,MATCH($B352,Mapping!$A$24:$A$31,0))</f>
        <v/>
      </c>
      <c r="Q352" s="21" t="n"/>
      <c r="R352" s="21" t="n"/>
      <c r="S352" s="21" t="n"/>
      <c r="T352" s="21" t="n"/>
      <c r="U352" s="21" t="n"/>
      <c r="V352" s="21" t="n"/>
      <c r="W352" s="21" t="n"/>
      <c r="X352" s="21" t="n"/>
      <c r="Y352" s="21" t="n"/>
      <c r="Z352" s="21" t="n"/>
      <c r="AA352" s="21" t="n"/>
      <c r="AB352" s="21" t="n"/>
      <c r="AC352" s="21" t="n"/>
      <c r="AD352" s="21" t="n"/>
      <c r="AE352" s="21" t="n"/>
      <c r="AF352" s="21" t="n"/>
      <c r="AG352" s="21" t="n"/>
      <c r="AH352" s="21" t="n"/>
      <c r="AI352" s="21" t="n"/>
      <c r="AJ352" s="21" t="n"/>
      <c r="AL352" s="23">
        <f>AL92+AL222</f>
        <v/>
      </c>
      <c r="AM352" s="22">
        <f>AM92+AM222</f>
        <v/>
      </c>
      <c r="AN352" s="22">
        <f>AN92+AN222</f>
        <v/>
      </c>
      <c r="AO352" s="22">
        <f>AO92+AO222</f>
        <v/>
      </c>
      <c r="AP352" s="22">
        <f>AP92+AP222</f>
        <v/>
      </c>
      <c r="AQ352" s="22">
        <f>AQ92+AQ222</f>
        <v/>
      </c>
      <c r="AR352" s="22">
        <f>AR92+AR222</f>
        <v/>
      </c>
      <c r="AS352" s="22">
        <f>AS92+AS222</f>
        <v/>
      </c>
      <c r="AT352" s="22">
        <f>AT92+AT222</f>
        <v/>
      </c>
      <c r="AU352" s="22">
        <f>AU92+AU222</f>
        <v/>
      </c>
      <c r="AV352" s="22">
        <f>AV92+AV222</f>
        <v/>
      </c>
      <c r="AW352" s="22">
        <f>AW92+AW222</f>
        <v/>
      </c>
      <c r="AX352" s="22">
        <f>AX92+AX222</f>
        <v/>
      </c>
      <c r="AY352" s="22">
        <f>AY92+AY222</f>
        <v/>
      </c>
      <c r="BA352" s="23">
        <f>BA92+BA222</f>
        <v/>
      </c>
      <c r="BB352" s="22">
        <f>BB92+BB222</f>
        <v/>
      </c>
      <c r="BC352" s="22">
        <f>BC92+BC222</f>
        <v/>
      </c>
      <c r="BD352" s="22">
        <f>BD92+BD222</f>
        <v/>
      </c>
      <c r="BE352" s="22">
        <f>BE92+BE222</f>
        <v/>
      </c>
      <c r="BF352" s="22">
        <f>BF92+BF222</f>
        <v/>
      </c>
      <c r="BG352" s="22">
        <f>BG92+BG222</f>
        <v/>
      </c>
      <c r="BH352" s="22">
        <f>BH92+BH222</f>
        <v/>
      </c>
      <c r="BI352" s="22">
        <f>BI92+BI222</f>
        <v/>
      </c>
      <c r="BJ352" s="22">
        <f>BJ92+BJ222</f>
        <v/>
      </c>
      <c r="BK352" s="22">
        <f>BK92+BK222</f>
        <v/>
      </c>
      <c r="BL352" s="22">
        <f>BL92+BL222</f>
        <v/>
      </c>
      <c r="BM352" s="22">
        <f>BM92+BM222</f>
        <v/>
      </c>
      <c r="BN352" s="22">
        <f>BN92+BN222</f>
        <v/>
      </c>
    </row>
    <row r="353">
      <c r="B353" s="5" t="inlineStr">
        <is>
          <t>gso</t>
        </is>
      </c>
      <c r="C353" s="5" t="inlineStr">
        <is>
          <t>mac</t>
        </is>
      </c>
      <c r="D353" s="5" t="inlineStr">
        <is>
          <t>Post-tax price | Machinery | Gasoline</t>
        </is>
      </c>
      <c r="E353" s="5" t="inlineStr">
        <is>
          <t>$/GJ</t>
        </is>
      </c>
      <c r="F353" s="5" t="inlineStr">
        <is>
          <t>Calculation</t>
        </is>
      </c>
      <c r="G353" s="19" t="inlineStr"/>
      <c r="H353" s="19" t="inlineStr">
        <is>
          <t>mit.ptp.gso.mac</t>
        </is>
      </c>
      <c r="J353" s="5">
        <f>INDEX(Mapping!$C$5:$C$20,MATCH($C353,Mapping!$A$5:$A$20,0))</f>
        <v/>
      </c>
      <c r="K353" s="5">
        <f>INDEX(Mapping!$D$5:$D$20,MATCH($C353,Mapping!$A$5:$A$20,0))</f>
        <v/>
      </c>
      <c r="L353" s="5">
        <f>INDEX(Mapping!$C$24:$C$31,MATCH($B353,Mapping!$A$24:$A$31,0))</f>
        <v/>
      </c>
      <c r="M353" s="5">
        <f>INDEX(Mapping!$D$24:$D$31,MATCH($B353,Mapping!$A$24:$A$31,0))</f>
        <v/>
      </c>
      <c r="N353" s="5">
        <f>$B353&amp;"."&amp;IF(INDEX(Mapping!$E$24:$E$31,MATCH($B353,Mapping!$A$24:$A$31,0))="sub",INDEX(Mapping!$F$5:$F$20,MATCH($C353,Mapping!$A$5:$A$20,0)),"all")</f>
        <v/>
      </c>
      <c r="O353" s="5">
        <f>INDEX(Mapping!$E$5:$E$20,MATCH($C353,Mapping!$A$5:$A$20,0))</f>
        <v/>
      </c>
      <c r="P353" s="5">
        <f>INDEX(Mapping!$G$24:$G$31,MATCH($B353,Mapping!$A$24:$A$31,0))</f>
        <v/>
      </c>
      <c r="Q353" s="21" t="n"/>
      <c r="R353" s="21" t="n"/>
      <c r="S353" s="21" t="n"/>
      <c r="T353" s="21" t="n"/>
      <c r="U353" s="21" t="n"/>
      <c r="V353" s="21" t="n"/>
      <c r="W353" s="21" t="n"/>
      <c r="X353" s="21" t="n"/>
      <c r="Y353" s="21" t="n"/>
      <c r="Z353" s="21" t="n"/>
      <c r="AA353" s="21" t="n"/>
      <c r="AB353" s="21" t="n"/>
      <c r="AC353" s="21" t="n"/>
      <c r="AD353" s="21" t="n"/>
      <c r="AE353" s="21" t="n"/>
      <c r="AF353" s="21" t="n"/>
      <c r="AG353" s="21" t="n"/>
      <c r="AH353" s="21" t="n"/>
      <c r="AI353" s="21" t="n"/>
      <c r="AJ353" s="21" t="n"/>
      <c r="AL353" s="23">
        <f>AL93+AL223</f>
        <v/>
      </c>
      <c r="AM353" s="22">
        <f>AM93+AM223</f>
        <v/>
      </c>
      <c r="AN353" s="22">
        <f>AN93+AN223</f>
        <v/>
      </c>
      <c r="AO353" s="22">
        <f>AO93+AO223</f>
        <v/>
      </c>
      <c r="AP353" s="22">
        <f>AP93+AP223</f>
        <v/>
      </c>
      <c r="AQ353" s="22">
        <f>AQ93+AQ223</f>
        <v/>
      </c>
      <c r="AR353" s="22">
        <f>AR93+AR223</f>
        <v/>
      </c>
      <c r="AS353" s="22">
        <f>AS93+AS223</f>
        <v/>
      </c>
      <c r="AT353" s="22">
        <f>AT93+AT223</f>
        <v/>
      </c>
      <c r="AU353" s="22">
        <f>AU93+AU223</f>
        <v/>
      </c>
      <c r="AV353" s="22">
        <f>AV93+AV223</f>
        <v/>
      </c>
      <c r="AW353" s="22">
        <f>AW93+AW223</f>
        <v/>
      </c>
      <c r="AX353" s="22">
        <f>AX93+AX223</f>
        <v/>
      </c>
      <c r="AY353" s="22">
        <f>AY93+AY223</f>
        <v/>
      </c>
      <c r="BA353" s="23">
        <f>BA93+BA223</f>
        <v/>
      </c>
      <c r="BB353" s="22">
        <f>BB93+BB223</f>
        <v/>
      </c>
      <c r="BC353" s="22">
        <f>BC93+BC223</f>
        <v/>
      </c>
      <c r="BD353" s="22">
        <f>BD93+BD223</f>
        <v/>
      </c>
      <c r="BE353" s="22">
        <f>BE93+BE223</f>
        <v/>
      </c>
      <c r="BF353" s="22">
        <f>BF93+BF223</f>
        <v/>
      </c>
      <c r="BG353" s="22">
        <f>BG93+BG223</f>
        <v/>
      </c>
      <c r="BH353" s="22">
        <f>BH93+BH223</f>
        <v/>
      </c>
      <c r="BI353" s="22">
        <f>BI93+BI223</f>
        <v/>
      </c>
      <c r="BJ353" s="22">
        <f>BJ93+BJ223</f>
        <v/>
      </c>
      <c r="BK353" s="22">
        <f>BK93+BK223</f>
        <v/>
      </c>
      <c r="BL353" s="22">
        <f>BL93+BL223</f>
        <v/>
      </c>
      <c r="BM353" s="22">
        <f>BM93+BM223</f>
        <v/>
      </c>
      <c r="BN353" s="22">
        <f>BN93+BN223</f>
        <v/>
      </c>
    </row>
    <row r="354">
      <c r="B354" s="5" t="inlineStr">
        <is>
          <t>die</t>
        </is>
      </c>
      <c r="C354" s="5" t="inlineStr">
        <is>
          <t>mac</t>
        </is>
      </c>
      <c r="D354" s="5" t="inlineStr">
        <is>
          <t>Post-tax price | Machinery | Diesel</t>
        </is>
      </c>
      <c r="E354" s="5" t="inlineStr">
        <is>
          <t>$/GJ</t>
        </is>
      </c>
      <c r="F354" s="5" t="inlineStr">
        <is>
          <t>Calculation</t>
        </is>
      </c>
      <c r="G354" s="19" t="inlineStr"/>
      <c r="H354" s="19" t="inlineStr">
        <is>
          <t>mit.ptp.die.mac</t>
        </is>
      </c>
      <c r="J354" s="5">
        <f>INDEX(Mapping!$C$5:$C$20,MATCH($C354,Mapping!$A$5:$A$20,0))</f>
        <v/>
      </c>
      <c r="K354" s="5">
        <f>INDEX(Mapping!$D$5:$D$20,MATCH($C354,Mapping!$A$5:$A$20,0))</f>
        <v/>
      </c>
      <c r="L354" s="5">
        <f>INDEX(Mapping!$C$24:$C$31,MATCH($B354,Mapping!$A$24:$A$31,0))</f>
        <v/>
      </c>
      <c r="M354" s="5">
        <f>INDEX(Mapping!$D$24:$D$31,MATCH($B354,Mapping!$A$24:$A$31,0))</f>
        <v/>
      </c>
      <c r="N354" s="5">
        <f>$B354&amp;"."&amp;IF(INDEX(Mapping!$E$24:$E$31,MATCH($B354,Mapping!$A$24:$A$31,0))="sub",INDEX(Mapping!$F$5:$F$20,MATCH($C354,Mapping!$A$5:$A$20,0)),"all")</f>
        <v/>
      </c>
      <c r="O354" s="5">
        <f>INDEX(Mapping!$E$5:$E$20,MATCH($C354,Mapping!$A$5:$A$20,0))</f>
        <v/>
      </c>
      <c r="P354" s="5">
        <f>INDEX(Mapping!$G$24:$G$31,MATCH($B354,Mapping!$A$24:$A$31,0))</f>
        <v/>
      </c>
      <c r="Q354" s="21" t="n"/>
      <c r="R354" s="21" t="n"/>
      <c r="S354" s="21" t="n"/>
      <c r="T354" s="21" t="n"/>
      <c r="U354" s="21" t="n"/>
      <c r="V354" s="21" t="n"/>
      <c r="W354" s="21" t="n"/>
      <c r="X354" s="21" t="n"/>
      <c r="Y354" s="21" t="n"/>
      <c r="Z354" s="21" t="n"/>
      <c r="AA354" s="21" t="n"/>
      <c r="AB354" s="21" t="n"/>
      <c r="AC354" s="21" t="n"/>
      <c r="AD354" s="21" t="n"/>
      <c r="AE354" s="21" t="n"/>
      <c r="AF354" s="21" t="n"/>
      <c r="AG354" s="21" t="n"/>
      <c r="AH354" s="21" t="n"/>
      <c r="AI354" s="21" t="n"/>
      <c r="AJ354" s="21" t="n"/>
      <c r="AL354" s="23">
        <f>AL94+AL224</f>
        <v/>
      </c>
      <c r="AM354" s="22">
        <f>AM94+AM224</f>
        <v/>
      </c>
      <c r="AN354" s="22">
        <f>AN94+AN224</f>
        <v/>
      </c>
      <c r="AO354" s="22">
        <f>AO94+AO224</f>
        <v/>
      </c>
      <c r="AP354" s="22">
        <f>AP94+AP224</f>
        <v/>
      </c>
      <c r="AQ354" s="22">
        <f>AQ94+AQ224</f>
        <v/>
      </c>
      <c r="AR354" s="22">
        <f>AR94+AR224</f>
        <v/>
      </c>
      <c r="AS354" s="22">
        <f>AS94+AS224</f>
        <v/>
      </c>
      <c r="AT354" s="22">
        <f>AT94+AT224</f>
        <v/>
      </c>
      <c r="AU354" s="22">
        <f>AU94+AU224</f>
        <v/>
      </c>
      <c r="AV354" s="22">
        <f>AV94+AV224</f>
        <v/>
      </c>
      <c r="AW354" s="22">
        <f>AW94+AW224</f>
        <v/>
      </c>
      <c r="AX354" s="22">
        <f>AX94+AX224</f>
        <v/>
      </c>
      <c r="AY354" s="22">
        <f>AY94+AY224</f>
        <v/>
      </c>
      <c r="BA354" s="23">
        <f>BA94+BA224</f>
        <v/>
      </c>
      <c r="BB354" s="22">
        <f>BB94+BB224</f>
        <v/>
      </c>
      <c r="BC354" s="22">
        <f>BC94+BC224</f>
        <v/>
      </c>
      <c r="BD354" s="22">
        <f>BD94+BD224</f>
        <v/>
      </c>
      <c r="BE354" s="22">
        <f>BE94+BE224</f>
        <v/>
      </c>
      <c r="BF354" s="22">
        <f>BF94+BF224</f>
        <v/>
      </c>
      <c r="BG354" s="22">
        <f>BG94+BG224</f>
        <v/>
      </c>
      <c r="BH354" s="22">
        <f>BH94+BH224</f>
        <v/>
      </c>
      <c r="BI354" s="22">
        <f>BI94+BI224</f>
        <v/>
      </c>
      <c r="BJ354" s="22">
        <f>BJ94+BJ224</f>
        <v/>
      </c>
      <c r="BK354" s="22">
        <f>BK94+BK224</f>
        <v/>
      </c>
      <c r="BL354" s="22">
        <f>BL94+BL224</f>
        <v/>
      </c>
      <c r="BM354" s="22">
        <f>BM94+BM224</f>
        <v/>
      </c>
      <c r="BN354" s="22">
        <f>BN94+BN224</f>
        <v/>
      </c>
    </row>
    <row r="355">
      <c r="B355" s="5" t="inlineStr">
        <is>
          <t>lpg</t>
        </is>
      </c>
      <c r="C355" s="5" t="inlineStr">
        <is>
          <t>mac</t>
        </is>
      </c>
      <c r="D355" s="5" t="inlineStr">
        <is>
          <t>Post-tax price | Machinery | LPG</t>
        </is>
      </c>
      <c r="E355" s="5" t="inlineStr">
        <is>
          <t>$/GJ</t>
        </is>
      </c>
      <c r="F355" s="5" t="inlineStr">
        <is>
          <t>Calculation</t>
        </is>
      </c>
      <c r="G355" s="19" t="inlineStr"/>
      <c r="H355" s="19" t="inlineStr">
        <is>
          <t>mit.ptp.lpg.mac</t>
        </is>
      </c>
      <c r="J355" s="5">
        <f>INDEX(Mapping!$C$5:$C$20,MATCH($C355,Mapping!$A$5:$A$20,0))</f>
        <v/>
      </c>
      <c r="K355" s="5">
        <f>INDEX(Mapping!$D$5:$D$20,MATCH($C355,Mapping!$A$5:$A$20,0))</f>
        <v/>
      </c>
      <c r="L355" s="5">
        <f>INDEX(Mapping!$C$24:$C$31,MATCH($B355,Mapping!$A$24:$A$31,0))</f>
        <v/>
      </c>
      <c r="M355" s="5">
        <f>INDEX(Mapping!$D$24:$D$31,MATCH($B355,Mapping!$A$24:$A$31,0))</f>
        <v/>
      </c>
      <c r="N355" s="5">
        <f>$B355&amp;"."&amp;IF(INDEX(Mapping!$E$24:$E$31,MATCH($B355,Mapping!$A$24:$A$31,0))="sub",INDEX(Mapping!$F$5:$F$20,MATCH($C355,Mapping!$A$5:$A$20,0)),"all")</f>
        <v/>
      </c>
      <c r="O355" s="5">
        <f>INDEX(Mapping!$E$5:$E$20,MATCH($C355,Mapping!$A$5:$A$20,0))</f>
        <v/>
      </c>
      <c r="P355" s="5">
        <f>INDEX(Mapping!$G$24:$G$31,MATCH($B355,Mapping!$A$24:$A$31,0))</f>
        <v/>
      </c>
      <c r="Q355" s="21" t="n"/>
      <c r="R355" s="21" t="n"/>
      <c r="S355" s="21" t="n"/>
      <c r="T355" s="21" t="n"/>
      <c r="U355" s="21" t="n"/>
      <c r="V355" s="21" t="n"/>
      <c r="W355" s="21" t="n"/>
      <c r="X355" s="21" t="n"/>
      <c r="Y355" s="21" t="n"/>
      <c r="Z355" s="21" t="n"/>
      <c r="AA355" s="21" t="n"/>
      <c r="AB355" s="21" t="n"/>
      <c r="AC355" s="21" t="n"/>
      <c r="AD355" s="21" t="n"/>
      <c r="AE355" s="21" t="n"/>
      <c r="AF355" s="21" t="n"/>
      <c r="AG355" s="21" t="n"/>
      <c r="AH355" s="21" t="n"/>
      <c r="AI355" s="21" t="n"/>
      <c r="AJ355" s="21" t="n"/>
      <c r="AL355" s="23">
        <f>AL95+AL225</f>
        <v/>
      </c>
      <c r="AM355" s="22">
        <f>AM95+AM225</f>
        <v/>
      </c>
      <c r="AN355" s="22">
        <f>AN95+AN225</f>
        <v/>
      </c>
      <c r="AO355" s="22">
        <f>AO95+AO225</f>
        <v/>
      </c>
      <c r="AP355" s="22">
        <f>AP95+AP225</f>
        <v/>
      </c>
      <c r="AQ355" s="22">
        <f>AQ95+AQ225</f>
        <v/>
      </c>
      <c r="AR355" s="22">
        <f>AR95+AR225</f>
        <v/>
      </c>
      <c r="AS355" s="22">
        <f>AS95+AS225</f>
        <v/>
      </c>
      <c r="AT355" s="22">
        <f>AT95+AT225</f>
        <v/>
      </c>
      <c r="AU355" s="22">
        <f>AU95+AU225</f>
        <v/>
      </c>
      <c r="AV355" s="22">
        <f>AV95+AV225</f>
        <v/>
      </c>
      <c r="AW355" s="22">
        <f>AW95+AW225</f>
        <v/>
      </c>
      <c r="AX355" s="22">
        <f>AX95+AX225</f>
        <v/>
      </c>
      <c r="AY355" s="22">
        <f>AY95+AY225</f>
        <v/>
      </c>
      <c r="BA355" s="23">
        <f>BA95+BA225</f>
        <v/>
      </c>
      <c r="BB355" s="22">
        <f>BB95+BB225</f>
        <v/>
      </c>
      <c r="BC355" s="22">
        <f>BC95+BC225</f>
        <v/>
      </c>
      <c r="BD355" s="22">
        <f>BD95+BD225</f>
        <v/>
      </c>
      <c r="BE355" s="22">
        <f>BE95+BE225</f>
        <v/>
      </c>
      <c r="BF355" s="22">
        <f>BF95+BF225</f>
        <v/>
      </c>
      <c r="BG355" s="22">
        <f>BG95+BG225</f>
        <v/>
      </c>
      <c r="BH355" s="22">
        <f>BH95+BH225</f>
        <v/>
      </c>
      <c r="BI355" s="22">
        <f>BI95+BI225</f>
        <v/>
      </c>
      <c r="BJ355" s="22">
        <f>BJ95+BJ225</f>
        <v/>
      </c>
      <c r="BK355" s="22">
        <f>BK95+BK225</f>
        <v/>
      </c>
      <c r="BL355" s="22">
        <f>BL95+BL225</f>
        <v/>
      </c>
      <c r="BM355" s="22">
        <f>BM95+BM225</f>
        <v/>
      </c>
      <c r="BN355" s="22">
        <f>BN95+BN225</f>
        <v/>
      </c>
    </row>
    <row r="356">
      <c r="B356" s="5" t="inlineStr">
        <is>
          <t>ker</t>
        </is>
      </c>
      <c r="C356" s="5" t="inlineStr">
        <is>
          <t>mac</t>
        </is>
      </c>
      <c r="D356" s="5" t="inlineStr">
        <is>
          <t>Post-tax price | Machinery | Kerosene</t>
        </is>
      </c>
      <c r="E356" s="5" t="inlineStr">
        <is>
          <t>$/GJ</t>
        </is>
      </c>
      <c r="F356" s="5" t="inlineStr">
        <is>
          <t>Calculation</t>
        </is>
      </c>
      <c r="G356" s="19" t="inlineStr"/>
      <c r="H356" s="19" t="inlineStr">
        <is>
          <t>mit.ptp.ker.mac</t>
        </is>
      </c>
      <c r="J356" s="5">
        <f>INDEX(Mapping!$C$5:$C$20,MATCH($C356,Mapping!$A$5:$A$20,0))</f>
        <v/>
      </c>
      <c r="K356" s="5">
        <f>INDEX(Mapping!$D$5:$D$20,MATCH($C356,Mapping!$A$5:$A$20,0))</f>
        <v/>
      </c>
      <c r="L356" s="5">
        <f>INDEX(Mapping!$C$24:$C$31,MATCH($B356,Mapping!$A$24:$A$31,0))</f>
        <v/>
      </c>
      <c r="M356" s="5">
        <f>INDEX(Mapping!$D$24:$D$31,MATCH($B356,Mapping!$A$24:$A$31,0))</f>
        <v/>
      </c>
      <c r="N356" s="5">
        <f>$B356&amp;"."&amp;IF(INDEX(Mapping!$E$24:$E$31,MATCH($B356,Mapping!$A$24:$A$31,0))="sub",INDEX(Mapping!$F$5:$F$20,MATCH($C356,Mapping!$A$5:$A$20,0)),"all")</f>
        <v/>
      </c>
      <c r="O356" s="5">
        <f>INDEX(Mapping!$E$5:$E$20,MATCH($C356,Mapping!$A$5:$A$20,0))</f>
        <v/>
      </c>
      <c r="P356" s="5">
        <f>INDEX(Mapping!$G$24:$G$31,MATCH($B356,Mapping!$A$24:$A$31,0))</f>
        <v/>
      </c>
      <c r="Q356" s="21" t="n"/>
      <c r="R356" s="21" t="n"/>
      <c r="S356" s="21" t="n"/>
      <c r="T356" s="21" t="n"/>
      <c r="U356" s="21" t="n"/>
      <c r="V356" s="21" t="n"/>
      <c r="W356" s="21" t="n"/>
      <c r="X356" s="21" t="n"/>
      <c r="Y356" s="21" t="n"/>
      <c r="Z356" s="21" t="n"/>
      <c r="AA356" s="21" t="n"/>
      <c r="AB356" s="21" t="n"/>
      <c r="AC356" s="21" t="n"/>
      <c r="AD356" s="21" t="n"/>
      <c r="AE356" s="21" t="n"/>
      <c r="AF356" s="21" t="n"/>
      <c r="AG356" s="21" t="n"/>
      <c r="AH356" s="21" t="n"/>
      <c r="AI356" s="21" t="n"/>
      <c r="AJ356" s="21" t="n"/>
      <c r="AL356" s="23">
        <f>AL96+AL226</f>
        <v/>
      </c>
      <c r="AM356" s="22">
        <f>AM96+AM226</f>
        <v/>
      </c>
      <c r="AN356" s="22">
        <f>AN96+AN226</f>
        <v/>
      </c>
      <c r="AO356" s="22">
        <f>AO96+AO226</f>
        <v/>
      </c>
      <c r="AP356" s="22">
        <f>AP96+AP226</f>
        <v/>
      </c>
      <c r="AQ356" s="22">
        <f>AQ96+AQ226</f>
        <v/>
      </c>
      <c r="AR356" s="22">
        <f>AR96+AR226</f>
        <v/>
      </c>
      <c r="AS356" s="22">
        <f>AS96+AS226</f>
        <v/>
      </c>
      <c r="AT356" s="22">
        <f>AT96+AT226</f>
        <v/>
      </c>
      <c r="AU356" s="22">
        <f>AU96+AU226</f>
        <v/>
      </c>
      <c r="AV356" s="22">
        <f>AV96+AV226</f>
        <v/>
      </c>
      <c r="AW356" s="22">
        <f>AW96+AW226</f>
        <v/>
      </c>
      <c r="AX356" s="22">
        <f>AX96+AX226</f>
        <v/>
      </c>
      <c r="AY356" s="22">
        <f>AY96+AY226</f>
        <v/>
      </c>
      <c r="BA356" s="23">
        <f>BA96+BA226</f>
        <v/>
      </c>
      <c r="BB356" s="22">
        <f>BB96+BB226</f>
        <v/>
      </c>
      <c r="BC356" s="22">
        <f>BC96+BC226</f>
        <v/>
      </c>
      <c r="BD356" s="22">
        <f>BD96+BD226</f>
        <v/>
      </c>
      <c r="BE356" s="22">
        <f>BE96+BE226</f>
        <v/>
      </c>
      <c r="BF356" s="22">
        <f>BF96+BF226</f>
        <v/>
      </c>
      <c r="BG356" s="22">
        <f>BG96+BG226</f>
        <v/>
      </c>
      <c r="BH356" s="22">
        <f>BH96+BH226</f>
        <v/>
      </c>
      <c r="BI356" s="22">
        <f>BI96+BI226</f>
        <v/>
      </c>
      <c r="BJ356" s="22">
        <f>BJ96+BJ226</f>
        <v/>
      </c>
      <c r="BK356" s="22">
        <f>BK96+BK226</f>
        <v/>
      </c>
      <c r="BL356" s="22">
        <f>BL96+BL226</f>
        <v/>
      </c>
      <c r="BM356" s="22">
        <f>BM96+BM226</f>
        <v/>
      </c>
      <c r="BN356" s="22">
        <f>BN96+BN226</f>
        <v/>
      </c>
    </row>
    <row r="357">
      <c r="B357" s="5" t="inlineStr">
        <is>
          <t>oop</t>
        </is>
      </c>
      <c r="C357" s="5" t="inlineStr">
        <is>
          <t>mac</t>
        </is>
      </c>
      <c r="D357" s="5" t="inlineStr">
        <is>
          <t>Post-tax price | Machinery | Other oil products</t>
        </is>
      </c>
      <c r="E357" s="5" t="inlineStr">
        <is>
          <t>$/GJ</t>
        </is>
      </c>
      <c r="F357" s="5" t="inlineStr">
        <is>
          <t>Calculation</t>
        </is>
      </c>
      <c r="G357" s="19" t="inlineStr"/>
      <c r="H357" s="19" t="inlineStr">
        <is>
          <t>mit.ptp.oop.mac</t>
        </is>
      </c>
      <c r="J357" s="5">
        <f>INDEX(Mapping!$C$5:$C$20,MATCH($C357,Mapping!$A$5:$A$20,0))</f>
        <v/>
      </c>
      <c r="K357" s="5">
        <f>INDEX(Mapping!$D$5:$D$20,MATCH($C357,Mapping!$A$5:$A$20,0))</f>
        <v/>
      </c>
      <c r="L357" s="5">
        <f>INDEX(Mapping!$C$24:$C$31,MATCH($B357,Mapping!$A$24:$A$31,0))</f>
        <v/>
      </c>
      <c r="M357" s="5">
        <f>INDEX(Mapping!$D$24:$D$31,MATCH($B357,Mapping!$A$24:$A$31,0))</f>
        <v/>
      </c>
      <c r="N357" s="5">
        <f>$B357&amp;"."&amp;IF(INDEX(Mapping!$E$24:$E$31,MATCH($B357,Mapping!$A$24:$A$31,0))="sub",INDEX(Mapping!$F$5:$F$20,MATCH($C357,Mapping!$A$5:$A$20,0)),"all")</f>
        <v/>
      </c>
      <c r="O357" s="5">
        <f>INDEX(Mapping!$E$5:$E$20,MATCH($C357,Mapping!$A$5:$A$20,0))</f>
        <v/>
      </c>
      <c r="P357" s="5">
        <f>INDEX(Mapping!$G$24:$G$31,MATCH($B357,Mapping!$A$24:$A$31,0))</f>
        <v/>
      </c>
      <c r="Q357" s="21" t="n"/>
      <c r="R357" s="21" t="n"/>
      <c r="S357" s="21" t="n"/>
      <c r="T357" s="21" t="n"/>
      <c r="U357" s="21" t="n"/>
      <c r="V357" s="21" t="n"/>
      <c r="W357" s="21" t="n"/>
      <c r="X357" s="21" t="n"/>
      <c r="Y357" s="21" t="n"/>
      <c r="Z357" s="21" t="n"/>
      <c r="AA357" s="21" t="n"/>
      <c r="AB357" s="21" t="n"/>
      <c r="AC357" s="21" t="n"/>
      <c r="AD357" s="21" t="n"/>
      <c r="AE357" s="21" t="n"/>
      <c r="AF357" s="21" t="n"/>
      <c r="AG357" s="21" t="n"/>
      <c r="AH357" s="21" t="n"/>
      <c r="AI357" s="21" t="n"/>
      <c r="AJ357" s="21" t="n"/>
      <c r="AL357" s="23">
        <f>AL97+AL227</f>
        <v/>
      </c>
      <c r="AM357" s="22">
        <f>AM97+AM227</f>
        <v/>
      </c>
      <c r="AN357" s="22">
        <f>AN97+AN227</f>
        <v/>
      </c>
      <c r="AO357" s="22">
        <f>AO97+AO227</f>
        <v/>
      </c>
      <c r="AP357" s="22">
        <f>AP97+AP227</f>
        <v/>
      </c>
      <c r="AQ357" s="22">
        <f>AQ97+AQ227</f>
        <v/>
      </c>
      <c r="AR357" s="22">
        <f>AR97+AR227</f>
        <v/>
      </c>
      <c r="AS357" s="22">
        <f>AS97+AS227</f>
        <v/>
      </c>
      <c r="AT357" s="22">
        <f>AT97+AT227</f>
        <v/>
      </c>
      <c r="AU357" s="22">
        <f>AU97+AU227</f>
        <v/>
      </c>
      <c r="AV357" s="22">
        <f>AV97+AV227</f>
        <v/>
      </c>
      <c r="AW357" s="22">
        <f>AW97+AW227</f>
        <v/>
      </c>
      <c r="AX357" s="22">
        <f>AX97+AX227</f>
        <v/>
      </c>
      <c r="AY357" s="22">
        <f>AY97+AY227</f>
        <v/>
      </c>
      <c r="BA357" s="23">
        <f>BA97+BA227</f>
        <v/>
      </c>
      <c r="BB357" s="22">
        <f>BB97+BB227</f>
        <v/>
      </c>
      <c r="BC357" s="22">
        <f>BC97+BC227</f>
        <v/>
      </c>
      <c r="BD357" s="22">
        <f>BD97+BD227</f>
        <v/>
      </c>
      <c r="BE357" s="22">
        <f>BE97+BE227</f>
        <v/>
      </c>
      <c r="BF357" s="22">
        <f>BF97+BF227</f>
        <v/>
      </c>
      <c r="BG357" s="22">
        <f>BG97+BG227</f>
        <v/>
      </c>
      <c r="BH357" s="22">
        <f>BH97+BH227</f>
        <v/>
      </c>
      <c r="BI357" s="22">
        <f>BI97+BI227</f>
        <v/>
      </c>
      <c r="BJ357" s="22">
        <f>BJ97+BJ227</f>
        <v/>
      </c>
      <c r="BK357" s="22">
        <f>BK97+BK227</f>
        <v/>
      </c>
      <c r="BL357" s="22">
        <f>BL97+BL227</f>
        <v/>
      </c>
      <c r="BM357" s="22">
        <f>BM97+BM227</f>
        <v/>
      </c>
      <c r="BN357" s="22">
        <f>BN97+BN227</f>
        <v/>
      </c>
    </row>
    <row r="358">
      <c r="B358" s="5" t="inlineStr">
        <is>
          <t>bio</t>
        </is>
      </c>
      <c r="C358" s="5" t="inlineStr">
        <is>
          <t>mac</t>
        </is>
      </c>
      <c r="D358" s="5" t="inlineStr">
        <is>
          <t>Post-tax price | Machinery | Biomass</t>
        </is>
      </c>
      <c r="E358" s="5" t="inlineStr">
        <is>
          <t>$/GJ</t>
        </is>
      </c>
      <c r="F358" s="5" t="inlineStr">
        <is>
          <t>Calculation</t>
        </is>
      </c>
      <c r="G358" s="19" t="inlineStr"/>
      <c r="H358" s="19" t="inlineStr">
        <is>
          <t>mit.ptp.bio.mac</t>
        </is>
      </c>
      <c r="J358" s="5">
        <f>INDEX(Mapping!$C$5:$C$20,MATCH($C358,Mapping!$A$5:$A$20,0))</f>
        <v/>
      </c>
      <c r="K358" s="5">
        <f>INDEX(Mapping!$D$5:$D$20,MATCH($C358,Mapping!$A$5:$A$20,0))</f>
        <v/>
      </c>
      <c r="L358" s="5">
        <f>INDEX(Mapping!$C$24:$C$31,MATCH($B358,Mapping!$A$24:$A$31,0))</f>
        <v/>
      </c>
      <c r="M358" s="5">
        <f>INDEX(Mapping!$D$24:$D$31,MATCH($B358,Mapping!$A$24:$A$31,0))</f>
        <v/>
      </c>
      <c r="N358" s="5">
        <f>$B358&amp;"."&amp;IF(INDEX(Mapping!$E$24:$E$31,MATCH($B358,Mapping!$A$24:$A$31,0))="sub",INDEX(Mapping!$F$5:$F$20,MATCH($C358,Mapping!$A$5:$A$20,0)),"all")</f>
        <v/>
      </c>
      <c r="O358" s="5">
        <f>INDEX(Mapping!$E$5:$E$20,MATCH($C358,Mapping!$A$5:$A$20,0))</f>
        <v/>
      </c>
      <c r="P358" s="5">
        <f>INDEX(Mapping!$G$24:$G$31,MATCH($B358,Mapping!$A$24:$A$31,0))</f>
        <v/>
      </c>
      <c r="Q358" s="21" t="n"/>
      <c r="R358" s="21" t="n"/>
      <c r="S358" s="21" t="n"/>
      <c r="T358" s="21" t="n"/>
      <c r="U358" s="21" t="n"/>
      <c r="V358" s="21" t="n"/>
      <c r="W358" s="21" t="n"/>
      <c r="X358" s="21" t="n"/>
      <c r="Y358" s="21" t="n"/>
      <c r="Z358" s="21" t="n"/>
      <c r="AA358" s="21" t="n"/>
      <c r="AB358" s="21" t="n"/>
      <c r="AC358" s="21" t="n"/>
      <c r="AD358" s="21" t="n"/>
      <c r="AE358" s="21" t="n"/>
      <c r="AF358" s="21" t="n"/>
      <c r="AG358" s="21" t="n"/>
      <c r="AH358" s="21" t="n"/>
      <c r="AI358" s="21" t="n"/>
      <c r="AJ358" s="21" t="n"/>
      <c r="AL358" s="23">
        <f>AL98+AL228</f>
        <v/>
      </c>
      <c r="AM358" s="22">
        <f>AM98+AM228</f>
        <v/>
      </c>
      <c r="AN358" s="22">
        <f>AN98+AN228</f>
        <v/>
      </c>
      <c r="AO358" s="22">
        <f>AO98+AO228</f>
        <v/>
      </c>
      <c r="AP358" s="22">
        <f>AP98+AP228</f>
        <v/>
      </c>
      <c r="AQ358" s="22">
        <f>AQ98+AQ228</f>
        <v/>
      </c>
      <c r="AR358" s="22">
        <f>AR98+AR228</f>
        <v/>
      </c>
      <c r="AS358" s="22">
        <f>AS98+AS228</f>
        <v/>
      </c>
      <c r="AT358" s="22">
        <f>AT98+AT228</f>
        <v/>
      </c>
      <c r="AU358" s="22">
        <f>AU98+AU228</f>
        <v/>
      </c>
      <c r="AV358" s="22">
        <f>AV98+AV228</f>
        <v/>
      </c>
      <c r="AW358" s="22">
        <f>AW98+AW228</f>
        <v/>
      </c>
      <c r="AX358" s="22">
        <f>AX98+AX228</f>
        <v/>
      </c>
      <c r="AY358" s="22">
        <f>AY98+AY228</f>
        <v/>
      </c>
      <c r="BA358" s="23">
        <f>BA98+BA228</f>
        <v/>
      </c>
      <c r="BB358" s="22">
        <f>BB98+BB228</f>
        <v/>
      </c>
      <c r="BC358" s="22">
        <f>BC98+BC228</f>
        <v/>
      </c>
      <c r="BD358" s="22">
        <f>BD98+BD228</f>
        <v/>
      </c>
      <c r="BE358" s="22">
        <f>BE98+BE228</f>
        <v/>
      </c>
      <c r="BF358" s="22">
        <f>BF98+BF228</f>
        <v/>
      </c>
      <c r="BG358" s="22">
        <f>BG98+BG228</f>
        <v/>
      </c>
      <c r="BH358" s="22">
        <f>BH98+BH228</f>
        <v/>
      </c>
      <c r="BI358" s="22">
        <f>BI98+BI228</f>
        <v/>
      </c>
      <c r="BJ358" s="22">
        <f>BJ98+BJ228</f>
        <v/>
      </c>
      <c r="BK358" s="22">
        <f>BK98+BK228</f>
        <v/>
      </c>
      <c r="BL358" s="22">
        <f>BL98+BL228</f>
        <v/>
      </c>
      <c r="BM358" s="22">
        <f>BM98+BM228</f>
        <v/>
      </c>
      <c r="BN358" s="22">
        <f>BN98+BN228</f>
        <v/>
      </c>
    </row>
    <row r="359">
      <c r="B359" s="5" t="inlineStr">
        <is>
          <t>coa</t>
        </is>
      </c>
      <c r="C359" s="5" t="inlineStr">
        <is>
          <t>cem</t>
        </is>
      </c>
      <c r="D359" s="5" t="inlineStr">
        <is>
          <t>Post-tax price | Cement | Coal</t>
        </is>
      </c>
      <c r="E359" s="5" t="inlineStr">
        <is>
          <t>$/GJ</t>
        </is>
      </c>
      <c r="F359" s="5" t="inlineStr">
        <is>
          <t>Calculation</t>
        </is>
      </c>
      <c r="G359" s="19" t="inlineStr"/>
      <c r="H359" s="19" t="inlineStr">
        <is>
          <t>mit.ptp.coa.cem</t>
        </is>
      </c>
      <c r="J359" s="5">
        <f>INDEX(Mapping!$C$5:$C$20,MATCH($C359,Mapping!$A$5:$A$20,0))</f>
        <v/>
      </c>
      <c r="K359" s="5">
        <f>INDEX(Mapping!$D$5:$D$20,MATCH($C359,Mapping!$A$5:$A$20,0))</f>
        <v/>
      </c>
      <c r="L359" s="5">
        <f>INDEX(Mapping!$C$24:$C$31,MATCH($B359,Mapping!$A$24:$A$31,0))</f>
        <v/>
      </c>
      <c r="M359" s="5">
        <f>INDEX(Mapping!$D$24:$D$31,MATCH($B359,Mapping!$A$24:$A$31,0))</f>
        <v/>
      </c>
      <c r="N359" s="5">
        <f>$B359&amp;"."&amp;IF(INDEX(Mapping!$E$24:$E$31,MATCH($B359,Mapping!$A$24:$A$31,0))="sub",INDEX(Mapping!$F$5:$F$20,MATCH($C359,Mapping!$A$5:$A$20,0)),"all")</f>
        <v/>
      </c>
      <c r="O359" s="5">
        <f>INDEX(Mapping!$E$5:$E$20,MATCH($C359,Mapping!$A$5:$A$20,0))</f>
        <v/>
      </c>
      <c r="P359" s="5">
        <f>INDEX(Mapping!$G$24:$G$31,MATCH($B359,Mapping!$A$24:$A$31,0))</f>
        <v/>
      </c>
      <c r="Q359" s="21" t="n"/>
      <c r="R359" s="21" t="n"/>
      <c r="S359" s="21" t="n"/>
      <c r="T359" s="21" t="n"/>
      <c r="U359" s="21" t="n"/>
      <c r="V359" s="21" t="n"/>
      <c r="W359" s="21" t="n"/>
      <c r="X359" s="21" t="n"/>
      <c r="Y359" s="21" t="n"/>
      <c r="Z359" s="21" t="n"/>
      <c r="AA359" s="21" t="n"/>
      <c r="AB359" s="21" t="n"/>
      <c r="AC359" s="21" t="n"/>
      <c r="AD359" s="21" t="n"/>
      <c r="AE359" s="21" t="n"/>
      <c r="AF359" s="21" t="n"/>
      <c r="AG359" s="21" t="n"/>
      <c r="AH359" s="21" t="n"/>
      <c r="AI359" s="21" t="n"/>
      <c r="AJ359" s="21" t="n"/>
      <c r="AL359" s="23">
        <f>AL99+AL229</f>
        <v/>
      </c>
      <c r="AM359" s="22">
        <f>AM99+AM229</f>
        <v/>
      </c>
      <c r="AN359" s="22">
        <f>AN99+AN229</f>
        <v/>
      </c>
      <c r="AO359" s="22">
        <f>AO99+AO229</f>
        <v/>
      </c>
      <c r="AP359" s="22">
        <f>AP99+AP229</f>
        <v/>
      </c>
      <c r="AQ359" s="22">
        <f>AQ99+AQ229</f>
        <v/>
      </c>
      <c r="AR359" s="22">
        <f>AR99+AR229</f>
        <v/>
      </c>
      <c r="AS359" s="22">
        <f>AS99+AS229</f>
        <v/>
      </c>
      <c r="AT359" s="22">
        <f>AT99+AT229</f>
        <v/>
      </c>
      <c r="AU359" s="22">
        <f>AU99+AU229</f>
        <v/>
      </c>
      <c r="AV359" s="22">
        <f>AV99+AV229</f>
        <v/>
      </c>
      <c r="AW359" s="22">
        <f>AW99+AW229</f>
        <v/>
      </c>
      <c r="AX359" s="22">
        <f>AX99+AX229</f>
        <v/>
      </c>
      <c r="AY359" s="22">
        <f>AY99+AY229</f>
        <v/>
      </c>
      <c r="BA359" s="23">
        <f>BA99+BA229</f>
        <v/>
      </c>
      <c r="BB359" s="22">
        <f>BB99+BB229</f>
        <v/>
      </c>
      <c r="BC359" s="22">
        <f>BC99+BC229</f>
        <v/>
      </c>
      <c r="BD359" s="22">
        <f>BD99+BD229</f>
        <v/>
      </c>
      <c r="BE359" s="22">
        <f>BE99+BE229</f>
        <v/>
      </c>
      <c r="BF359" s="22">
        <f>BF99+BF229</f>
        <v/>
      </c>
      <c r="BG359" s="22">
        <f>BG99+BG229</f>
        <v/>
      </c>
      <c r="BH359" s="22">
        <f>BH99+BH229</f>
        <v/>
      </c>
      <c r="BI359" s="22">
        <f>BI99+BI229</f>
        <v/>
      </c>
      <c r="BJ359" s="22">
        <f>BJ99+BJ229</f>
        <v/>
      </c>
      <c r="BK359" s="22">
        <f>BK99+BK229</f>
        <v/>
      </c>
      <c r="BL359" s="22">
        <f>BL99+BL229</f>
        <v/>
      </c>
      <c r="BM359" s="22">
        <f>BM99+BM229</f>
        <v/>
      </c>
      <c r="BN359" s="22">
        <f>BN99+BN229</f>
        <v/>
      </c>
    </row>
    <row r="360">
      <c r="B360" s="5" t="inlineStr">
        <is>
          <t>nga</t>
        </is>
      </c>
      <c r="C360" s="5" t="inlineStr">
        <is>
          <t>cem</t>
        </is>
      </c>
      <c r="D360" s="5" t="inlineStr">
        <is>
          <t>Post-tax price | Cement | Natural gas</t>
        </is>
      </c>
      <c r="E360" s="5" t="inlineStr">
        <is>
          <t>$/GJ</t>
        </is>
      </c>
      <c r="F360" s="5" t="inlineStr">
        <is>
          <t>Calculation</t>
        </is>
      </c>
      <c r="G360" s="19" t="inlineStr"/>
      <c r="H360" s="19" t="inlineStr">
        <is>
          <t>mit.ptp.nga.cem</t>
        </is>
      </c>
      <c r="J360" s="5">
        <f>INDEX(Mapping!$C$5:$C$20,MATCH($C360,Mapping!$A$5:$A$20,0))</f>
        <v/>
      </c>
      <c r="K360" s="5">
        <f>INDEX(Mapping!$D$5:$D$20,MATCH($C360,Mapping!$A$5:$A$20,0))</f>
        <v/>
      </c>
      <c r="L360" s="5">
        <f>INDEX(Mapping!$C$24:$C$31,MATCH($B360,Mapping!$A$24:$A$31,0))</f>
        <v/>
      </c>
      <c r="M360" s="5">
        <f>INDEX(Mapping!$D$24:$D$31,MATCH($B360,Mapping!$A$24:$A$31,0))</f>
        <v/>
      </c>
      <c r="N360" s="5">
        <f>$B360&amp;"."&amp;IF(INDEX(Mapping!$E$24:$E$31,MATCH($B360,Mapping!$A$24:$A$31,0))="sub",INDEX(Mapping!$F$5:$F$20,MATCH($C360,Mapping!$A$5:$A$20,0)),"all")</f>
        <v/>
      </c>
      <c r="O360" s="5">
        <f>INDEX(Mapping!$E$5:$E$20,MATCH($C360,Mapping!$A$5:$A$20,0))</f>
        <v/>
      </c>
      <c r="P360" s="5">
        <f>INDEX(Mapping!$G$24:$G$31,MATCH($B360,Mapping!$A$24:$A$31,0))</f>
        <v/>
      </c>
      <c r="Q360" s="21" t="n"/>
      <c r="R360" s="21" t="n"/>
      <c r="S360" s="21" t="n"/>
      <c r="T360" s="21" t="n"/>
      <c r="U360" s="21" t="n"/>
      <c r="V360" s="21" t="n"/>
      <c r="W360" s="21" t="n"/>
      <c r="X360" s="21" t="n"/>
      <c r="Y360" s="21" t="n"/>
      <c r="Z360" s="21" t="n"/>
      <c r="AA360" s="21" t="n"/>
      <c r="AB360" s="21" t="n"/>
      <c r="AC360" s="21" t="n"/>
      <c r="AD360" s="21" t="n"/>
      <c r="AE360" s="21" t="n"/>
      <c r="AF360" s="21" t="n"/>
      <c r="AG360" s="21" t="n"/>
      <c r="AH360" s="21" t="n"/>
      <c r="AI360" s="21" t="n"/>
      <c r="AJ360" s="21" t="n"/>
      <c r="AL360" s="23">
        <f>AL100+AL230</f>
        <v/>
      </c>
      <c r="AM360" s="22">
        <f>AM100+AM230</f>
        <v/>
      </c>
      <c r="AN360" s="22">
        <f>AN100+AN230</f>
        <v/>
      </c>
      <c r="AO360" s="22">
        <f>AO100+AO230</f>
        <v/>
      </c>
      <c r="AP360" s="22">
        <f>AP100+AP230</f>
        <v/>
      </c>
      <c r="AQ360" s="22">
        <f>AQ100+AQ230</f>
        <v/>
      </c>
      <c r="AR360" s="22">
        <f>AR100+AR230</f>
        <v/>
      </c>
      <c r="AS360" s="22">
        <f>AS100+AS230</f>
        <v/>
      </c>
      <c r="AT360" s="22">
        <f>AT100+AT230</f>
        <v/>
      </c>
      <c r="AU360" s="22">
        <f>AU100+AU230</f>
        <v/>
      </c>
      <c r="AV360" s="22">
        <f>AV100+AV230</f>
        <v/>
      </c>
      <c r="AW360" s="22">
        <f>AW100+AW230</f>
        <v/>
      </c>
      <c r="AX360" s="22">
        <f>AX100+AX230</f>
        <v/>
      </c>
      <c r="AY360" s="22">
        <f>AY100+AY230</f>
        <v/>
      </c>
      <c r="BA360" s="23">
        <f>BA100+BA230</f>
        <v/>
      </c>
      <c r="BB360" s="22">
        <f>BB100+BB230</f>
        <v/>
      </c>
      <c r="BC360" s="22">
        <f>BC100+BC230</f>
        <v/>
      </c>
      <c r="BD360" s="22">
        <f>BD100+BD230</f>
        <v/>
      </c>
      <c r="BE360" s="22">
        <f>BE100+BE230</f>
        <v/>
      </c>
      <c r="BF360" s="22">
        <f>BF100+BF230</f>
        <v/>
      </c>
      <c r="BG360" s="22">
        <f>BG100+BG230</f>
        <v/>
      </c>
      <c r="BH360" s="22">
        <f>BH100+BH230</f>
        <v/>
      </c>
      <c r="BI360" s="22">
        <f>BI100+BI230</f>
        <v/>
      </c>
      <c r="BJ360" s="22">
        <f>BJ100+BJ230</f>
        <v/>
      </c>
      <c r="BK360" s="22">
        <f>BK100+BK230</f>
        <v/>
      </c>
      <c r="BL360" s="22">
        <f>BL100+BL230</f>
        <v/>
      </c>
      <c r="BM360" s="22">
        <f>BM100+BM230</f>
        <v/>
      </c>
      <c r="BN360" s="22">
        <f>BN100+BN230</f>
        <v/>
      </c>
    </row>
    <row r="361">
      <c r="B361" s="5" t="inlineStr">
        <is>
          <t>gso</t>
        </is>
      </c>
      <c r="C361" s="5" t="inlineStr">
        <is>
          <t>cem</t>
        </is>
      </c>
      <c r="D361" s="5" t="inlineStr">
        <is>
          <t>Post-tax price | Cement | Gasoline</t>
        </is>
      </c>
      <c r="E361" s="5" t="inlineStr">
        <is>
          <t>$/GJ</t>
        </is>
      </c>
      <c r="F361" s="5" t="inlineStr">
        <is>
          <t>Calculation</t>
        </is>
      </c>
      <c r="G361" s="19" t="inlineStr"/>
      <c r="H361" s="19" t="inlineStr">
        <is>
          <t>mit.ptp.gso.cem</t>
        </is>
      </c>
      <c r="J361" s="5">
        <f>INDEX(Mapping!$C$5:$C$20,MATCH($C361,Mapping!$A$5:$A$20,0))</f>
        <v/>
      </c>
      <c r="K361" s="5">
        <f>INDEX(Mapping!$D$5:$D$20,MATCH($C361,Mapping!$A$5:$A$20,0))</f>
        <v/>
      </c>
      <c r="L361" s="5">
        <f>INDEX(Mapping!$C$24:$C$31,MATCH($B361,Mapping!$A$24:$A$31,0))</f>
        <v/>
      </c>
      <c r="M361" s="5">
        <f>INDEX(Mapping!$D$24:$D$31,MATCH($B361,Mapping!$A$24:$A$31,0))</f>
        <v/>
      </c>
      <c r="N361" s="5">
        <f>$B361&amp;"."&amp;IF(INDEX(Mapping!$E$24:$E$31,MATCH($B361,Mapping!$A$24:$A$31,0))="sub",INDEX(Mapping!$F$5:$F$20,MATCH($C361,Mapping!$A$5:$A$20,0)),"all")</f>
        <v/>
      </c>
      <c r="O361" s="5">
        <f>INDEX(Mapping!$E$5:$E$20,MATCH($C361,Mapping!$A$5:$A$20,0))</f>
        <v/>
      </c>
      <c r="P361" s="5">
        <f>INDEX(Mapping!$G$24:$G$31,MATCH($B361,Mapping!$A$24:$A$31,0))</f>
        <v/>
      </c>
      <c r="Q361" s="21" t="n"/>
      <c r="R361" s="21" t="n"/>
      <c r="S361" s="21" t="n"/>
      <c r="T361" s="21" t="n"/>
      <c r="U361" s="21" t="n"/>
      <c r="V361" s="21" t="n"/>
      <c r="W361" s="21" t="n"/>
      <c r="X361" s="21" t="n"/>
      <c r="Y361" s="21" t="n"/>
      <c r="Z361" s="21" t="n"/>
      <c r="AA361" s="21" t="n"/>
      <c r="AB361" s="21" t="n"/>
      <c r="AC361" s="21" t="n"/>
      <c r="AD361" s="21" t="n"/>
      <c r="AE361" s="21" t="n"/>
      <c r="AF361" s="21" t="n"/>
      <c r="AG361" s="21" t="n"/>
      <c r="AH361" s="21" t="n"/>
      <c r="AI361" s="21" t="n"/>
      <c r="AJ361" s="21" t="n"/>
      <c r="AL361" s="23">
        <f>AL101+AL231</f>
        <v/>
      </c>
      <c r="AM361" s="22">
        <f>AM101+AM231</f>
        <v/>
      </c>
      <c r="AN361" s="22">
        <f>AN101+AN231</f>
        <v/>
      </c>
      <c r="AO361" s="22">
        <f>AO101+AO231</f>
        <v/>
      </c>
      <c r="AP361" s="22">
        <f>AP101+AP231</f>
        <v/>
      </c>
      <c r="AQ361" s="22">
        <f>AQ101+AQ231</f>
        <v/>
      </c>
      <c r="AR361" s="22">
        <f>AR101+AR231</f>
        <v/>
      </c>
      <c r="AS361" s="22">
        <f>AS101+AS231</f>
        <v/>
      </c>
      <c r="AT361" s="22">
        <f>AT101+AT231</f>
        <v/>
      </c>
      <c r="AU361" s="22">
        <f>AU101+AU231</f>
        <v/>
      </c>
      <c r="AV361" s="22">
        <f>AV101+AV231</f>
        <v/>
      </c>
      <c r="AW361" s="22">
        <f>AW101+AW231</f>
        <v/>
      </c>
      <c r="AX361" s="22">
        <f>AX101+AX231</f>
        <v/>
      </c>
      <c r="AY361" s="22">
        <f>AY101+AY231</f>
        <v/>
      </c>
      <c r="BA361" s="23">
        <f>BA101+BA231</f>
        <v/>
      </c>
      <c r="BB361" s="22">
        <f>BB101+BB231</f>
        <v/>
      </c>
      <c r="BC361" s="22">
        <f>BC101+BC231</f>
        <v/>
      </c>
      <c r="BD361" s="22">
        <f>BD101+BD231</f>
        <v/>
      </c>
      <c r="BE361" s="22">
        <f>BE101+BE231</f>
        <v/>
      </c>
      <c r="BF361" s="22">
        <f>BF101+BF231</f>
        <v/>
      </c>
      <c r="BG361" s="22">
        <f>BG101+BG231</f>
        <v/>
      </c>
      <c r="BH361" s="22">
        <f>BH101+BH231</f>
        <v/>
      </c>
      <c r="BI361" s="22">
        <f>BI101+BI231</f>
        <v/>
      </c>
      <c r="BJ361" s="22">
        <f>BJ101+BJ231</f>
        <v/>
      </c>
      <c r="BK361" s="22">
        <f>BK101+BK231</f>
        <v/>
      </c>
      <c r="BL361" s="22">
        <f>BL101+BL231</f>
        <v/>
      </c>
      <c r="BM361" s="22">
        <f>BM101+BM231</f>
        <v/>
      </c>
      <c r="BN361" s="22">
        <f>BN101+BN231</f>
        <v/>
      </c>
    </row>
    <row r="362">
      <c r="B362" s="5" t="inlineStr">
        <is>
          <t>die</t>
        </is>
      </c>
      <c r="C362" s="5" t="inlineStr">
        <is>
          <t>cem</t>
        </is>
      </c>
      <c r="D362" s="5" t="inlineStr">
        <is>
          <t>Post-tax price | Cement | Diesel</t>
        </is>
      </c>
      <c r="E362" s="5" t="inlineStr">
        <is>
          <t>$/GJ</t>
        </is>
      </c>
      <c r="F362" s="5" t="inlineStr">
        <is>
          <t>Calculation</t>
        </is>
      </c>
      <c r="G362" s="19" t="inlineStr"/>
      <c r="H362" s="19" t="inlineStr">
        <is>
          <t>mit.ptp.die.cem</t>
        </is>
      </c>
      <c r="J362" s="5">
        <f>INDEX(Mapping!$C$5:$C$20,MATCH($C362,Mapping!$A$5:$A$20,0))</f>
        <v/>
      </c>
      <c r="K362" s="5">
        <f>INDEX(Mapping!$D$5:$D$20,MATCH($C362,Mapping!$A$5:$A$20,0))</f>
        <v/>
      </c>
      <c r="L362" s="5">
        <f>INDEX(Mapping!$C$24:$C$31,MATCH($B362,Mapping!$A$24:$A$31,0))</f>
        <v/>
      </c>
      <c r="M362" s="5">
        <f>INDEX(Mapping!$D$24:$D$31,MATCH($B362,Mapping!$A$24:$A$31,0))</f>
        <v/>
      </c>
      <c r="N362" s="5">
        <f>$B362&amp;"."&amp;IF(INDEX(Mapping!$E$24:$E$31,MATCH($B362,Mapping!$A$24:$A$31,0))="sub",INDEX(Mapping!$F$5:$F$20,MATCH($C362,Mapping!$A$5:$A$20,0)),"all")</f>
        <v/>
      </c>
      <c r="O362" s="5">
        <f>INDEX(Mapping!$E$5:$E$20,MATCH($C362,Mapping!$A$5:$A$20,0))</f>
        <v/>
      </c>
      <c r="P362" s="5">
        <f>INDEX(Mapping!$G$24:$G$31,MATCH($B362,Mapping!$A$24:$A$31,0))</f>
        <v/>
      </c>
      <c r="Q362" s="21" t="n"/>
      <c r="R362" s="21" t="n"/>
      <c r="S362" s="21" t="n"/>
      <c r="T362" s="21" t="n"/>
      <c r="U362" s="21" t="n"/>
      <c r="V362" s="21" t="n"/>
      <c r="W362" s="21" t="n"/>
      <c r="X362" s="21" t="n"/>
      <c r="Y362" s="21" t="n"/>
      <c r="Z362" s="21" t="n"/>
      <c r="AA362" s="21" t="n"/>
      <c r="AB362" s="21" t="n"/>
      <c r="AC362" s="21" t="n"/>
      <c r="AD362" s="21" t="n"/>
      <c r="AE362" s="21" t="n"/>
      <c r="AF362" s="21" t="n"/>
      <c r="AG362" s="21" t="n"/>
      <c r="AH362" s="21" t="n"/>
      <c r="AI362" s="21" t="n"/>
      <c r="AJ362" s="21" t="n"/>
      <c r="AL362" s="23">
        <f>AL102+AL232</f>
        <v/>
      </c>
      <c r="AM362" s="22">
        <f>AM102+AM232</f>
        <v/>
      </c>
      <c r="AN362" s="22">
        <f>AN102+AN232</f>
        <v/>
      </c>
      <c r="AO362" s="22">
        <f>AO102+AO232</f>
        <v/>
      </c>
      <c r="AP362" s="22">
        <f>AP102+AP232</f>
        <v/>
      </c>
      <c r="AQ362" s="22">
        <f>AQ102+AQ232</f>
        <v/>
      </c>
      <c r="AR362" s="22">
        <f>AR102+AR232</f>
        <v/>
      </c>
      <c r="AS362" s="22">
        <f>AS102+AS232</f>
        <v/>
      </c>
      <c r="AT362" s="22">
        <f>AT102+AT232</f>
        <v/>
      </c>
      <c r="AU362" s="22">
        <f>AU102+AU232</f>
        <v/>
      </c>
      <c r="AV362" s="22">
        <f>AV102+AV232</f>
        <v/>
      </c>
      <c r="AW362" s="22">
        <f>AW102+AW232</f>
        <v/>
      </c>
      <c r="AX362" s="22">
        <f>AX102+AX232</f>
        <v/>
      </c>
      <c r="AY362" s="22">
        <f>AY102+AY232</f>
        <v/>
      </c>
      <c r="BA362" s="23">
        <f>BA102+BA232</f>
        <v/>
      </c>
      <c r="BB362" s="22">
        <f>BB102+BB232</f>
        <v/>
      </c>
      <c r="BC362" s="22">
        <f>BC102+BC232</f>
        <v/>
      </c>
      <c r="BD362" s="22">
        <f>BD102+BD232</f>
        <v/>
      </c>
      <c r="BE362" s="22">
        <f>BE102+BE232</f>
        <v/>
      </c>
      <c r="BF362" s="22">
        <f>BF102+BF232</f>
        <v/>
      </c>
      <c r="BG362" s="22">
        <f>BG102+BG232</f>
        <v/>
      </c>
      <c r="BH362" s="22">
        <f>BH102+BH232</f>
        <v/>
      </c>
      <c r="BI362" s="22">
        <f>BI102+BI232</f>
        <v/>
      </c>
      <c r="BJ362" s="22">
        <f>BJ102+BJ232</f>
        <v/>
      </c>
      <c r="BK362" s="22">
        <f>BK102+BK232</f>
        <v/>
      </c>
      <c r="BL362" s="22">
        <f>BL102+BL232</f>
        <v/>
      </c>
      <c r="BM362" s="22">
        <f>BM102+BM232</f>
        <v/>
      </c>
      <c r="BN362" s="22">
        <f>BN102+BN232</f>
        <v/>
      </c>
    </row>
    <row r="363">
      <c r="B363" s="5" t="inlineStr">
        <is>
          <t>lpg</t>
        </is>
      </c>
      <c r="C363" s="5" t="inlineStr">
        <is>
          <t>cem</t>
        </is>
      </c>
      <c r="D363" s="5" t="inlineStr">
        <is>
          <t>Post-tax price | Cement | LPG</t>
        </is>
      </c>
      <c r="E363" s="5" t="inlineStr">
        <is>
          <t>$/GJ</t>
        </is>
      </c>
      <c r="F363" s="5" t="inlineStr">
        <is>
          <t>Calculation</t>
        </is>
      </c>
      <c r="G363" s="19" t="inlineStr"/>
      <c r="H363" s="19" t="inlineStr">
        <is>
          <t>mit.ptp.lpg.cem</t>
        </is>
      </c>
      <c r="J363" s="5">
        <f>INDEX(Mapping!$C$5:$C$20,MATCH($C363,Mapping!$A$5:$A$20,0))</f>
        <v/>
      </c>
      <c r="K363" s="5">
        <f>INDEX(Mapping!$D$5:$D$20,MATCH($C363,Mapping!$A$5:$A$20,0))</f>
        <v/>
      </c>
      <c r="L363" s="5">
        <f>INDEX(Mapping!$C$24:$C$31,MATCH($B363,Mapping!$A$24:$A$31,0))</f>
        <v/>
      </c>
      <c r="M363" s="5">
        <f>INDEX(Mapping!$D$24:$D$31,MATCH($B363,Mapping!$A$24:$A$31,0))</f>
        <v/>
      </c>
      <c r="N363" s="5">
        <f>$B363&amp;"."&amp;IF(INDEX(Mapping!$E$24:$E$31,MATCH($B363,Mapping!$A$24:$A$31,0))="sub",INDEX(Mapping!$F$5:$F$20,MATCH($C363,Mapping!$A$5:$A$20,0)),"all")</f>
        <v/>
      </c>
      <c r="O363" s="5">
        <f>INDEX(Mapping!$E$5:$E$20,MATCH($C363,Mapping!$A$5:$A$20,0))</f>
        <v/>
      </c>
      <c r="P363" s="5">
        <f>INDEX(Mapping!$G$24:$G$31,MATCH($B363,Mapping!$A$24:$A$31,0))</f>
        <v/>
      </c>
      <c r="Q363" s="21" t="n"/>
      <c r="R363" s="21" t="n"/>
      <c r="S363" s="21" t="n"/>
      <c r="T363" s="21" t="n"/>
      <c r="U363" s="21" t="n"/>
      <c r="V363" s="21" t="n"/>
      <c r="W363" s="21" t="n"/>
      <c r="X363" s="21" t="n"/>
      <c r="Y363" s="21" t="n"/>
      <c r="Z363" s="21" t="n"/>
      <c r="AA363" s="21" t="n"/>
      <c r="AB363" s="21" t="n"/>
      <c r="AC363" s="21" t="n"/>
      <c r="AD363" s="21" t="n"/>
      <c r="AE363" s="21" t="n"/>
      <c r="AF363" s="21" t="n"/>
      <c r="AG363" s="21" t="n"/>
      <c r="AH363" s="21" t="n"/>
      <c r="AI363" s="21" t="n"/>
      <c r="AJ363" s="21" t="n"/>
      <c r="AL363" s="23">
        <f>AL103+AL233</f>
        <v/>
      </c>
      <c r="AM363" s="22">
        <f>AM103+AM233</f>
        <v/>
      </c>
      <c r="AN363" s="22">
        <f>AN103+AN233</f>
        <v/>
      </c>
      <c r="AO363" s="22">
        <f>AO103+AO233</f>
        <v/>
      </c>
      <c r="AP363" s="22">
        <f>AP103+AP233</f>
        <v/>
      </c>
      <c r="AQ363" s="22">
        <f>AQ103+AQ233</f>
        <v/>
      </c>
      <c r="AR363" s="22">
        <f>AR103+AR233</f>
        <v/>
      </c>
      <c r="AS363" s="22">
        <f>AS103+AS233</f>
        <v/>
      </c>
      <c r="AT363" s="22">
        <f>AT103+AT233</f>
        <v/>
      </c>
      <c r="AU363" s="22">
        <f>AU103+AU233</f>
        <v/>
      </c>
      <c r="AV363" s="22">
        <f>AV103+AV233</f>
        <v/>
      </c>
      <c r="AW363" s="22">
        <f>AW103+AW233</f>
        <v/>
      </c>
      <c r="AX363" s="22">
        <f>AX103+AX233</f>
        <v/>
      </c>
      <c r="AY363" s="22">
        <f>AY103+AY233</f>
        <v/>
      </c>
      <c r="BA363" s="23">
        <f>BA103+BA233</f>
        <v/>
      </c>
      <c r="BB363" s="22">
        <f>BB103+BB233</f>
        <v/>
      </c>
      <c r="BC363" s="22">
        <f>BC103+BC233</f>
        <v/>
      </c>
      <c r="BD363" s="22">
        <f>BD103+BD233</f>
        <v/>
      </c>
      <c r="BE363" s="22">
        <f>BE103+BE233</f>
        <v/>
      </c>
      <c r="BF363" s="22">
        <f>BF103+BF233</f>
        <v/>
      </c>
      <c r="BG363" s="22">
        <f>BG103+BG233</f>
        <v/>
      </c>
      <c r="BH363" s="22">
        <f>BH103+BH233</f>
        <v/>
      </c>
      <c r="BI363" s="22">
        <f>BI103+BI233</f>
        <v/>
      </c>
      <c r="BJ363" s="22">
        <f>BJ103+BJ233</f>
        <v/>
      </c>
      <c r="BK363" s="22">
        <f>BK103+BK233</f>
        <v/>
      </c>
      <c r="BL363" s="22">
        <f>BL103+BL233</f>
        <v/>
      </c>
      <c r="BM363" s="22">
        <f>BM103+BM233</f>
        <v/>
      </c>
      <c r="BN363" s="22">
        <f>BN103+BN233</f>
        <v/>
      </c>
    </row>
    <row r="364">
      <c r="B364" s="5" t="inlineStr">
        <is>
          <t>ker</t>
        </is>
      </c>
      <c r="C364" s="5" t="inlineStr">
        <is>
          <t>cem</t>
        </is>
      </c>
      <c r="D364" s="5" t="inlineStr">
        <is>
          <t>Post-tax price | Cement | Kerosene</t>
        </is>
      </c>
      <c r="E364" s="5" t="inlineStr">
        <is>
          <t>$/GJ</t>
        </is>
      </c>
      <c r="F364" s="5" t="inlineStr">
        <is>
          <t>Calculation</t>
        </is>
      </c>
      <c r="G364" s="19" t="inlineStr"/>
      <c r="H364" s="19" t="inlineStr">
        <is>
          <t>mit.ptp.ker.cem</t>
        </is>
      </c>
      <c r="J364" s="5">
        <f>INDEX(Mapping!$C$5:$C$20,MATCH($C364,Mapping!$A$5:$A$20,0))</f>
        <v/>
      </c>
      <c r="K364" s="5">
        <f>INDEX(Mapping!$D$5:$D$20,MATCH($C364,Mapping!$A$5:$A$20,0))</f>
        <v/>
      </c>
      <c r="L364" s="5">
        <f>INDEX(Mapping!$C$24:$C$31,MATCH($B364,Mapping!$A$24:$A$31,0))</f>
        <v/>
      </c>
      <c r="M364" s="5">
        <f>INDEX(Mapping!$D$24:$D$31,MATCH($B364,Mapping!$A$24:$A$31,0))</f>
        <v/>
      </c>
      <c r="N364" s="5">
        <f>$B364&amp;"."&amp;IF(INDEX(Mapping!$E$24:$E$31,MATCH($B364,Mapping!$A$24:$A$31,0))="sub",INDEX(Mapping!$F$5:$F$20,MATCH($C364,Mapping!$A$5:$A$20,0)),"all")</f>
        <v/>
      </c>
      <c r="O364" s="5">
        <f>INDEX(Mapping!$E$5:$E$20,MATCH($C364,Mapping!$A$5:$A$20,0))</f>
        <v/>
      </c>
      <c r="P364" s="5">
        <f>INDEX(Mapping!$G$24:$G$31,MATCH($B364,Mapping!$A$24:$A$31,0))</f>
        <v/>
      </c>
      <c r="Q364" s="21" t="n"/>
      <c r="R364" s="21" t="n"/>
      <c r="S364" s="21" t="n"/>
      <c r="T364" s="21" t="n"/>
      <c r="U364" s="21" t="n"/>
      <c r="V364" s="21" t="n"/>
      <c r="W364" s="21" t="n"/>
      <c r="X364" s="21" t="n"/>
      <c r="Y364" s="21" t="n"/>
      <c r="Z364" s="21" t="n"/>
      <c r="AA364" s="21" t="n"/>
      <c r="AB364" s="21" t="n"/>
      <c r="AC364" s="21" t="n"/>
      <c r="AD364" s="21" t="n"/>
      <c r="AE364" s="21" t="n"/>
      <c r="AF364" s="21" t="n"/>
      <c r="AG364" s="21" t="n"/>
      <c r="AH364" s="21" t="n"/>
      <c r="AI364" s="21" t="n"/>
      <c r="AJ364" s="21" t="n"/>
      <c r="AL364" s="23">
        <f>AL104+AL234</f>
        <v/>
      </c>
      <c r="AM364" s="22">
        <f>AM104+AM234</f>
        <v/>
      </c>
      <c r="AN364" s="22">
        <f>AN104+AN234</f>
        <v/>
      </c>
      <c r="AO364" s="22">
        <f>AO104+AO234</f>
        <v/>
      </c>
      <c r="AP364" s="22">
        <f>AP104+AP234</f>
        <v/>
      </c>
      <c r="AQ364" s="22">
        <f>AQ104+AQ234</f>
        <v/>
      </c>
      <c r="AR364" s="22">
        <f>AR104+AR234</f>
        <v/>
      </c>
      <c r="AS364" s="22">
        <f>AS104+AS234</f>
        <v/>
      </c>
      <c r="AT364" s="22">
        <f>AT104+AT234</f>
        <v/>
      </c>
      <c r="AU364" s="22">
        <f>AU104+AU234</f>
        <v/>
      </c>
      <c r="AV364" s="22">
        <f>AV104+AV234</f>
        <v/>
      </c>
      <c r="AW364" s="22">
        <f>AW104+AW234</f>
        <v/>
      </c>
      <c r="AX364" s="22">
        <f>AX104+AX234</f>
        <v/>
      </c>
      <c r="AY364" s="22">
        <f>AY104+AY234</f>
        <v/>
      </c>
      <c r="BA364" s="23">
        <f>BA104+BA234</f>
        <v/>
      </c>
      <c r="BB364" s="22">
        <f>BB104+BB234</f>
        <v/>
      </c>
      <c r="BC364" s="22">
        <f>BC104+BC234</f>
        <v/>
      </c>
      <c r="BD364" s="22">
        <f>BD104+BD234</f>
        <v/>
      </c>
      <c r="BE364" s="22">
        <f>BE104+BE234</f>
        <v/>
      </c>
      <c r="BF364" s="22">
        <f>BF104+BF234</f>
        <v/>
      </c>
      <c r="BG364" s="22">
        <f>BG104+BG234</f>
        <v/>
      </c>
      <c r="BH364" s="22">
        <f>BH104+BH234</f>
        <v/>
      </c>
      <c r="BI364" s="22">
        <f>BI104+BI234</f>
        <v/>
      </c>
      <c r="BJ364" s="22">
        <f>BJ104+BJ234</f>
        <v/>
      </c>
      <c r="BK364" s="22">
        <f>BK104+BK234</f>
        <v/>
      </c>
      <c r="BL364" s="22">
        <f>BL104+BL234</f>
        <v/>
      </c>
      <c r="BM364" s="22">
        <f>BM104+BM234</f>
        <v/>
      </c>
      <c r="BN364" s="22">
        <f>BN104+BN234</f>
        <v/>
      </c>
    </row>
    <row r="365">
      <c r="B365" s="5" t="inlineStr">
        <is>
          <t>oop</t>
        </is>
      </c>
      <c r="C365" s="5" t="inlineStr">
        <is>
          <t>cem</t>
        </is>
      </c>
      <c r="D365" s="5" t="inlineStr">
        <is>
          <t>Post-tax price | Cement | Other oil products</t>
        </is>
      </c>
      <c r="E365" s="5" t="inlineStr">
        <is>
          <t>$/GJ</t>
        </is>
      </c>
      <c r="F365" s="5" t="inlineStr">
        <is>
          <t>Calculation</t>
        </is>
      </c>
      <c r="G365" s="19" t="inlineStr"/>
      <c r="H365" s="19" t="inlineStr">
        <is>
          <t>mit.ptp.oop.cem</t>
        </is>
      </c>
      <c r="J365" s="5">
        <f>INDEX(Mapping!$C$5:$C$20,MATCH($C365,Mapping!$A$5:$A$20,0))</f>
        <v/>
      </c>
      <c r="K365" s="5">
        <f>INDEX(Mapping!$D$5:$D$20,MATCH($C365,Mapping!$A$5:$A$20,0))</f>
        <v/>
      </c>
      <c r="L365" s="5">
        <f>INDEX(Mapping!$C$24:$C$31,MATCH($B365,Mapping!$A$24:$A$31,0))</f>
        <v/>
      </c>
      <c r="M365" s="5">
        <f>INDEX(Mapping!$D$24:$D$31,MATCH($B365,Mapping!$A$24:$A$31,0))</f>
        <v/>
      </c>
      <c r="N365" s="5">
        <f>$B365&amp;"."&amp;IF(INDEX(Mapping!$E$24:$E$31,MATCH($B365,Mapping!$A$24:$A$31,0))="sub",INDEX(Mapping!$F$5:$F$20,MATCH($C365,Mapping!$A$5:$A$20,0)),"all")</f>
        <v/>
      </c>
      <c r="O365" s="5">
        <f>INDEX(Mapping!$E$5:$E$20,MATCH($C365,Mapping!$A$5:$A$20,0))</f>
        <v/>
      </c>
      <c r="P365" s="5">
        <f>INDEX(Mapping!$G$24:$G$31,MATCH($B365,Mapping!$A$24:$A$31,0))</f>
        <v/>
      </c>
      <c r="Q365" s="21" t="n"/>
      <c r="R365" s="21" t="n"/>
      <c r="S365" s="21" t="n"/>
      <c r="T365" s="21" t="n"/>
      <c r="U365" s="21" t="n"/>
      <c r="V365" s="21" t="n"/>
      <c r="W365" s="21" t="n"/>
      <c r="X365" s="21" t="n"/>
      <c r="Y365" s="21" t="n"/>
      <c r="Z365" s="21" t="n"/>
      <c r="AA365" s="21" t="n"/>
      <c r="AB365" s="21" t="n"/>
      <c r="AC365" s="21" t="n"/>
      <c r="AD365" s="21" t="n"/>
      <c r="AE365" s="21" t="n"/>
      <c r="AF365" s="21" t="n"/>
      <c r="AG365" s="21" t="n"/>
      <c r="AH365" s="21" t="n"/>
      <c r="AI365" s="21" t="n"/>
      <c r="AJ365" s="21" t="n"/>
      <c r="AL365" s="23">
        <f>AL105+AL235</f>
        <v/>
      </c>
      <c r="AM365" s="22">
        <f>AM105+AM235</f>
        <v/>
      </c>
      <c r="AN365" s="22">
        <f>AN105+AN235</f>
        <v/>
      </c>
      <c r="AO365" s="22">
        <f>AO105+AO235</f>
        <v/>
      </c>
      <c r="AP365" s="22">
        <f>AP105+AP235</f>
        <v/>
      </c>
      <c r="AQ365" s="22">
        <f>AQ105+AQ235</f>
        <v/>
      </c>
      <c r="AR365" s="22">
        <f>AR105+AR235</f>
        <v/>
      </c>
      <c r="AS365" s="22">
        <f>AS105+AS235</f>
        <v/>
      </c>
      <c r="AT365" s="22">
        <f>AT105+AT235</f>
        <v/>
      </c>
      <c r="AU365" s="22">
        <f>AU105+AU235</f>
        <v/>
      </c>
      <c r="AV365" s="22">
        <f>AV105+AV235</f>
        <v/>
      </c>
      <c r="AW365" s="22">
        <f>AW105+AW235</f>
        <v/>
      </c>
      <c r="AX365" s="22">
        <f>AX105+AX235</f>
        <v/>
      </c>
      <c r="AY365" s="22">
        <f>AY105+AY235</f>
        <v/>
      </c>
      <c r="BA365" s="23">
        <f>BA105+BA235</f>
        <v/>
      </c>
      <c r="BB365" s="22">
        <f>BB105+BB235</f>
        <v/>
      </c>
      <c r="BC365" s="22">
        <f>BC105+BC235</f>
        <v/>
      </c>
      <c r="BD365" s="22">
        <f>BD105+BD235</f>
        <v/>
      </c>
      <c r="BE365" s="22">
        <f>BE105+BE235</f>
        <v/>
      </c>
      <c r="BF365" s="22">
        <f>BF105+BF235</f>
        <v/>
      </c>
      <c r="BG365" s="22">
        <f>BG105+BG235</f>
        <v/>
      </c>
      <c r="BH365" s="22">
        <f>BH105+BH235</f>
        <v/>
      </c>
      <c r="BI365" s="22">
        <f>BI105+BI235</f>
        <v/>
      </c>
      <c r="BJ365" s="22">
        <f>BJ105+BJ235</f>
        <v/>
      </c>
      <c r="BK365" s="22">
        <f>BK105+BK235</f>
        <v/>
      </c>
      <c r="BL365" s="22">
        <f>BL105+BL235</f>
        <v/>
      </c>
      <c r="BM365" s="22">
        <f>BM105+BM235</f>
        <v/>
      </c>
      <c r="BN365" s="22">
        <f>BN105+BN235</f>
        <v/>
      </c>
    </row>
    <row r="366">
      <c r="B366" s="5" t="inlineStr">
        <is>
          <t>bio</t>
        </is>
      </c>
      <c r="C366" s="5" t="inlineStr">
        <is>
          <t>cem</t>
        </is>
      </c>
      <c r="D366" s="5" t="inlineStr">
        <is>
          <t>Post-tax price | Cement | Biomass</t>
        </is>
      </c>
      <c r="E366" s="5" t="inlineStr">
        <is>
          <t>$/GJ</t>
        </is>
      </c>
      <c r="F366" s="5" t="inlineStr">
        <is>
          <t>Calculation</t>
        </is>
      </c>
      <c r="G366" s="19" t="inlineStr"/>
      <c r="H366" s="19" t="inlineStr">
        <is>
          <t>mit.ptp.bio.cem</t>
        </is>
      </c>
      <c r="J366" s="5">
        <f>INDEX(Mapping!$C$5:$C$20,MATCH($C366,Mapping!$A$5:$A$20,0))</f>
        <v/>
      </c>
      <c r="K366" s="5">
        <f>INDEX(Mapping!$D$5:$D$20,MATCH($C366,Mapping!$A$5:$A$20,0))</f>
        <v/>
      </c>
      <c r="L366" s="5">
        <f>INDEX(Mapping!$C$24:$C$31,MATCH($B366,Mapping!$A$24:$A$31,0))</f>
        <v/>
      </c>
      <c r="M366" s="5">
        <f>INDEX(Mapping!$D$24:$D$31,MATCH($B366,Mapping!$A$24:$A$31,0))</f>
        <v/>
      </c>
      <c r="N366" s="5">
        <f>$B366&amp;"."&amp;IF(INDEX(Mapping!$E$24:$E$31,MATCH($B366,Mapping!$A$24:$A$31,0))="sub",INDEX(Mapping!$F$5:$F$20,MATCH($C366,Mapping!$A$5:$A$20,0)),"all")</f>
        <v/>
      </c>
      <c r="O366" s="5">
        <f>INDEX(Mapping!$E$5:$E$20,MATCH($C366,Mapping!$A$5:$A$20,0))</f>
        <v/>
      </c>
      <c r="P366" s="5">
        <f>INDEX(Mapping!$G$24:$G$31,MATCH($B366,Mapping!$A$24:$A$31,0))</f>
        <v/>
      </c>
      <c r="Q366" s="21" t="n"/>
      <c r="R366" s="21" t="n"/>
      <c r="S366" s="21" t="n"/>
      <c r="T366" s="21" t="n"/>
      <c r="U366" s="21" t="n"/>
      <c r="V366" s="21" t="n"/>
      <c r="W366" s="21" t="n"/>
      <c r="X366" s="21" t="n"/>
      <c r="Y366" s="21" t="n"/>
      <c r="Z366" s="21" t="n"/>
      <c r="AA366" s="21" t="n"/>
      <c r="AB366" s="21" t="n"/>
      <c r="AC366" s="21" t="n"/>
      <c r="AD366" s="21" t="n"/>
      <c r="AE366" s="21" t="n"/>
      <c r="AF366" s="21" t="n"/>
      <c r="AG366" s="21" t="n"/>
      <c r="AH366" s="21" t="n"/>
      <c r="AI366" s="21" t="n"/>
      <c r="AJ366" s="21" t="n"/>
      <c r="AL366" s="23">
        <f>AL106+AL236</f>
        <v/>
      </c>
      <c r="AM366" s="22">
        <f>AM106+AM236</f>
        <v/>
      </c>
      <c r="AN366" s="22">
        <f>AN106+AN236</f>
        <v/>
      </c>
      <c r="AO366" s="22">
        <f>AO106+AO236</f>
        <v/>
      </c>
      <c r="AP366" s="22">
        <f>AP106+AP236</f>
        <v/>
      </c>
      <c r="AQ366" s="22">
        <f>AQ106+AQ236</f>
        <v/>
      </c>
      <c r="AR366" s="22">
        <f>AR106+AR236</f>
        <v/>
      </c>
      <c r="AS366" s="22">
        <f>AS106+AS236</f>
        <v/>
      </c>
      <c r="AT366" s="22">
        <f>AT106+AT236</f>
        <v/>
      </c>
      <c r="AU366" s="22">
        <f>AU106+AU236</f>
        <v/>
      </c>
      <c r="AV366" s="22">
        <f>AV106+AV236</f>
        <v/>
      </c>
      <c r="AW366" s="22">
        <f>AW106+AW236</f>
        <v/>
      </c>
      <c r="AX366" s="22">
        <f>AX106+AX236</f>
        <v/>
      </c>
      <c r="AY366" s="22">
        <f>AY106+AY236</f>
        <v/>
      </c>
      <c r="BA366" s="23">
        <f>BA106+BA236</f>
        <v/>
      </c>
      <c r="BB366" s="22">
        <f>BB106+BB236</f>
        <v/>
      </c>
      <c r="BC366" s="22">
        <f>BC106+BC236</f>
        <v/>
      </c>
      <c r="BD366" s="22">
        <f>BD106+BD236</f>
        <v/>
      </c>
      <c r="BE366" s="22">
        <f>BE106+BE236</f>
        <v/>
      </c>
      <c r="BF366" s="22">
        <f>BF106+BF236</f>
        <v/>
      </c>
      <c r="BG366" s="22">
        <f>BG106+BG236</f>
        <v/>
      </c>
      <c r="BH366" s="22">
        <f>BH106+BH236</f>
        <v/>
      </c>
      <c r="BI366" s="22">
        <f>BI106+BI236</f>
        <v/>
      </c>
      <c r="BJ366" s="22">
        <f>BJ106+BJ236</f>
        <v/>
      </c>
      <c r="BK366" s="22">
        <f>BK106+BK236</f>
        <v/>
      </c>
      <c r="BL366" s="22">
        <f>BL106+BL236</f>
        <v/>
      </c>
      <c r="BM366" s="22">
        <f>BM106+BM236</f>
        <v/>
      </c>
      <c r="BN366" s="22">
        <f>BN106+BN236</f>
        <v/>
      </c>
    </row>
    <row r="367">
      <c r="B367" s="5" t="inlineStr">
        <is>
          <t>coa</t>
        </is>
      </c>
      <c r="C367" s="5" t="inlineStr">
        <is>
          <t>omn</t>
        </is>
      </c>
      <c r="D367" s="5" t="inlineStr">
        <is>
          <t>Post-tax price | Other manufacturing | Coal</t>
        </is>
      </c>
      <c r="E367" s="5" t="inlineStr">
        <is>
          <t>$/GJ</t>
        </is>
      </c>
      <c r="F367" s="5" t="inlineStr">
        <is>
          <t>Calculation</t>
        </is>
      </c>
      <c r="G367" s="19" t="inlineStr"/>
      <c r="H367" s="19" t="inlineStr">
        <is>
          <t>mit.ptp.coa.omn</t>
        </is>
      </c>
      <c r="J367" s="5">
        <f>INDEX(Mapping!$C$5:$C$20,MATCH($C367,Mapping!$A$5:$A$20,0))</f>
        <v/>
      </c>
      <c r="K367" s="5">
        <f>INDEX(Mapping!$D$5:$D$20,MATCH($C367,Mapping!$A$5:$A$20,0))</f>
        <v/>
      </c>
      <c r="L367" s="5">
        <f>INDEX(Mapping!$C$24:$C$31,MATCH($B367,Mapping!$A$24:$A$31,0))</f>
        <v/>
      </c>
      <c r="M367" s="5">
        <f>INDEX(Mapping!$D$24:$D$31,MATCH($B367,Mapping!$A$24:$A$31,0))</f>
        <v/>
      </c>
      <c r="N367" s="5">
        <f>$B367&amp;"."&amp;IF(INDEX(Mapping!$E$24:$E$31,MATCH($B367,Mapping!$A$24:$A$31,0))="sub",INDEX(Mapping!$F$5:$F$20,MATCH($C367,Mapping!$A$5:$A$20,0)),"all")</f>
        <v/>
      </c>
      <c r="O367" s="5">
        <f>INDEX(Mapping!$E$5:$E$20,MATCH($C367,Mapping!$A$5:$A$20,0))</f>
        <v/>
      </c>
      <c r="P367" s="5">
        <f>INDEX(Mapping!$G$24:$G$31,MATCH($B367,Mapping!$A$24:$A$31,0))</f>
        <v/>
      </c>
      <c r="Q367" s="21" t="n"/>
      <c r="R367" s="21" t="n"/>
      <c r="S367" s="21" t="n"/>
      <c r="T367" s="21" t="n"/>
      <c r="U367" s="21" t="n"/>
      <c r="V367" s="21" t="n"/>
      <c r="W367" s="21" t="n"/>
      <c r="X367" s="21" t="n"/>
      <c r="Y367" s="21" t="n"/>
      <c r="Z367" s="21" t="n"/>
      <c r="AA367" s="21" t="n"/>
      <c r="AB367" s="21" t="n"/>
      <c r="AC367" s="21" t="n"/>
      <c r="AD367" s="21" t="n"/>
      <c r="AE367" s="21" t="n"/>
      <c r="AF367" s="21" t="n"/>
      <c r="AG367" s="21" t="n"/>
      <c r="AH367" s="21" t="n"/>
      <c r="AI367" s="21" t="n"/>
      <c r="AJ367" s="21" t="n"/>
      <c r="AL367" s="23">
        <f>AL107+AL237</f>
        <v/>
      </c>
      <c r="AM367" s="22">
        <f>AM107+AM237</f>
        <v/>
      </c>
      <c r="AN367" s="22">
        <f>AN107+AN237</f>
        <v/>
      </c>
      <c r="AO367" s="22">
        <f>AO107+AO237</f>
        <v/>
      </c>
      <c r="AP367" s="22">
        <f>AP107+AP237</f>
        <v/>
      </c>
      <c r="AQ367" s="22">
        <f>AQ107+AQ237</f>
        <v/>
      </c>
      <c r="AR367" s="22">
        <f>AR107+AR237</f>
        <v/>
      </c>
      <c r="AS367" s="22">
        <f>AS107+AS237</f>
        <v/>
      </c>
      <c r="AT367" s="22">
        <f>AT107+AT237</f>
        <v/>
      </c>
      <c r="AU367" s="22">
        <f>AU107+AU237</f>
        <v/>
      </c>
      <c r="AV367" s="22">
        <f>AV107+AV237</f>
        <v/>
      </c>
      <c r="AW367" s="22">
        <f>AW107+AW237</f>
        <v/>
      </c>
      <c r="AX367" s="22">
        <f>AX107+AX237</f>
        <v/>
      </c>
      <c r="AY367" s="22">
        <f>AY107+AY237</f>
        <v/>
      </c>
      <c r="BA367" s="23">
        <f>BA107+BA237</f>
        <v/>
      </c>
      <c r="BB367" s="22">
        <f>BB107+BB237</f>
        <v/>
      </c>
      <c r="BC367" s="22">
        <f>BC107+BC237</f>
        <v/>
      </c>
      <c r="BD367" s="22">
        <f>BD107+BD237</f>
        <v/>
      </c>
      <c r="BE367" s="22">
        <f>BE107+BE237</f>
        <v/>
      </c>
      <c r="BF367" s="22">
        <f>BF107+BF237</f>
        <v/>
      </c>
      <c r="BG367" s="22">
        <f>BG107+BG237</f>
        <v/>
      </c>
      <c r="BH367" s="22">
        <f>BH107+BH237</f>
        <v/>
      </c>
      <c r="BI367" s="22">
        <f>BI107+BI237</f>
        <v/>
      </c>
      <c r="BJ367" s="22">
        <f>BJ107+BJ237</f>
        <v/>
      </c>
      <c r="BK367" s="22">
        <f>BK107+BK237</f>
        <v/>
      </c>
      <c r="BL367" s="22">
        <f>BL107+BL237</f>
        <v/>
      </c>
      <c r="BM367" s="22">
        <f>BM107+BM237</f>
        <v/>
      </c>
      <c r="BN367" s="22">
        <f>BN107+BN237</f>
        <v/>
      </c>
    </row>
    <row r="368">
      <c r="B368" s="5" t="inlineStr">
        <is>
          <t>nga</t>
        </is>
      </c>
      <c r="C368" s="5" t="inlineStr">
        <is>
          <t>omn</t>
        </is>
      </c>
      <c r="D368" s="5" t="inlineStr">
        <is>
          <t>Post-tax price | Other manufacturing | Natural gas</t>
        </is>
      </c>
      <c r="E368" s="5" t="inlineStr">
        <is>
          <t>$/GJ</t>
        </is>
      </c>
      <c r="F368" s="5" t="inlineStr">
        <is>
          <t>Calculation</t>
        </is>
      </c>
      <c r="G368" s="19" t="inlineStr"/>
      <c r="H368" s="19" t="inlineStr">
        <is>
          <t>mit.ptp.nga.omn</t>
        </is>
      </c>
      <c r="J368" s="5">
        <f>INDEX(Mapping!$C$5:$C$20,MATCH($C368,Mapping!$A$5:$A$20,0))</f>
        <v/>
      </c>
      <c r="K368" s="5">
        <f>INDEX(Mapping!$D$5:$D$20,MATCH($C368,Mapping!$A$5:$A$20,0))</f>
        <v/>
      </c>
      <c r="L368" s="5">
        <f>INDEX(Mapping!$C$24:$C$31,MATCH($B368,Mapping!$A$24:$A$31,0))</f>
        <v/>
      </c>
      <c r="M368" s="5">
        <f>INDEX(Mapping!$D$24:$D$31,MATCH($B368,Mapping!$A$24:$A$31,0))</f>
        <v/>
      </c>
      <c r="N368" s="5">
        <f>$B368&amp;"."&amp;IF(INDEX(Mapping!$E$24:$E$31,MATCH($B368,Mapping!$A$24:$A$31,0))="sub",INDEX(Mapping!$F$5:$F$20,MATCH($C368,Mapping!$A$5:$A$20,0)),"all")</f>
        <v/>
      </c>
      <c r="O368" s="5">
        <f>INDEX(Mapping!$E$5:$E$20,MATCH($C368,Mapping!$A$5:$A$20,0))</f>
        <v/>
      </c>
      <c r="P368" s="5">
        <f>INDEX(Mapping!$G$24:$G$31,MATCH($B368,Mapping!$A$24:$A$31,0))</f>
        <v/>
      </c>
      <c r="Q368" s="21" t="n"/>
      <c r="R368" s="21" t="n"/>
      <c r="S368" s="21" t="n"/>
      <c r="T368" s="21" t="n"/>
      <c r="U368" s="21" t="n"/>
      <c r="V368" s="21" t="n"/>
      <c r="W368" s="21" t="n"/>
      <c r="X368" s="21" t="n"/>
      <c r="Y368" s="21" t="n"/>
      <c r="Z368" s="21" t="n"/>
      <c r="AA368" s="21" t="n"/>
      <c r="AB368" s="21" t="n"/>
      <c r="AC368" s="21" t="n"/>
      <c r="AD368" s="21" t="n"/>
      <c r="AE368" s="21" t="n"/>
      <c r="AF368" s="21" t="n"/>
      <c r="AG368" s="21" t="n"/>
      <c r="AH368" s="21" t="n"/>
      <c r="AI368" s="21" t="n"/>
      <c r="AJ368" s="21" t="n"/>
      <c r="AL368" s="23">
        <f>AL108+AL238</f>
        <v/>
      </c>
      <c r="AM368" s="22">
        <f>AM108+AM238</f>
        <v/>
      </c>
      <c r="AN368" s="22">
        <f>AN108+AN238</f>
        <v/>
      </c>
      <c r="AO368" s="22">
        <f>AO108+AO238</f>
        <v/>
      </c>
      <c r="AP368" s="22">
        <f>AP108+AP238</f>
        <v/>
      </c>
      <c r="AQ368" s="22">
        <f>AQ108+AQ238</f>
        <v/>
      </c>
      <c r="AR368" s="22">
        <f>AR108+AR238</f>
        <v/>
      </c>
      <c r="AS368" s="22">
        <f>AS108+AS238</f>
        <v/>
      </c>
      <c r="AT368" s="22">
        <f>AT108+AT238</f>
        <v/>
      </c>
      <c r="AU368" s="22">
        <f>AU108+AU238</f>
        <v/>
      </c>
      <c r="AV368" s="22">
        <f>AV108+AV238</f>
        <v/>
      </c>
      <c r="AW368" s="22">
        <f>AW108+AW238</f>
        <v/>
      </c>
      <c r="AX368" s="22">
        <f>AX108+AX238</f>
        <v/>
      </c>
      <c r="AY368" s="22">
        <f>AY108+AY238</f>
        <v/>
      </c>
      <c r="BA368" s="23">
        <f>BA108+BA238</f>
        <v/>
      </c>
      <c r="BB368" s="22">
        <f>BB108+BB238</f>
        <v/>
      </c>
      <c r="BC368" s="22">
        <f>BC108+BC238</f>
        <v/>
      </c>
      <c r="BD368" s="22">
        <f>BD108+BD238</f>
        <v/>
      </c>
      <c r="BE368" s="22">
        <f>BE108+BE238</f>
        <v/>
      </c>
      <c r="BF368" s="22">
        <f>BF108+BF238</f>
        <v/>
      </c>
      <c r="BG368" s="22">
        <f>BG108+BG238</f>
        <v/>
      </c>
      <c r="BH368" s="22">
        <f>BH108+BH238</f>
        <v/>
      </c>
      <c r="BI368" s="22">
        <f>BI108+BI238</f>
        <v/>
      </c>
      <c r="BJ368" s="22">
        <f>BJ108+BJ238</f>
        <v/>
      </c>
      <c r="BK368" s="22">
        <f>BK108+BK238</f>
        <v/>
      </c>
      <c r="BL368" s="22">
        <f>BL108+BL238</f>
        <v/>
      </c>
      <c r="BM368" s="22">
        <f>BM108+BM238</f>
        <v/>
      </c>
      <c r="BN368" s="22">
        <f>BN108+BN238</f>
        <v/>
      </c>
    </row>
    <row r="369">
      <c r="B369" s="5" t="inlineStr">
        <is>
          <t>gso</t>
        </is>
      </c>
      <c r="C369" s="5" t="inlineStr">
        <is>
          <t>omn</t>
        </is>
      </c>
      <c r="D369" s="5" t="inlineStr">
        <is>
          <t>Post-tax price | Other manufacturing | Gasoline</t>
        </is>
      </c>
      <c r="E369" s="5" t="inlineStr">
        <is>
          <t>$/GJ</t>
        </is>
      </c>
      <c r="F369" s="5" t="inlineStr">
        <is>
          <t>Calculation</t>
        </is>
      </c>
      <c r="G369" s="19" t="inlineStr"/>
      <c r="H369" s="19" t="inlineStr">
        <is>
          <t>mit.ptp.gso.omn</t>
        </is>
      </c>
      <c r="J369" s="5">
        <f>INDEX(Mapping!$C$5:$C$20,MATCH($C369,Mapping!$A$5:$A$20,0))</f>
        <v/>
      </c>
      <c r="K369" s="5">
        <f>INDEX(Mapping!$D$5:$D$20,MATCH($C369,Mapping!$A$5:$A$20,0))</f>
        <v/>
      </c>
      <c r="L369" s="5">
        <f>INDEX(Mapping!$C$24:$C$31,MATCH($B369,Mapping!$A$24:$A$31,0))</f>
        <v/>
      </c>
      <c r="M369" s="5">
        <f>INDEX(Mapping!$D$24:$D$31,MATCH($B369,Mapping!$A$24:$A$31,0))</f>
        <v/>
      </c>
      <c r="N369" s="5">
        <f>$B369&amp;"."&amp;IF(INDEX(Mapping!$E$24:$E$31,MATCH($B369,Mapping!$A$24:$A$31,0))="sub",INDEX(Mapping!$F$5:$F$20,MATCH($C369,Mapping!$A$5:$A$20,0)),"all")</f>
        <v/>
      </c>
      <c r="O369" s="5">
        <f>INDEX(Mapping!$E$5:$E$20,MATCH($C369,Mapping!$A$5:$A$20,0))</f>
        <v/>
      </c>
      <c r="P369" s="5">
        <f>INDEX(Mapping!$G$24:$G$31,MATCH($B369,Mapping!$A$24:$A$31,0))</f>
        <v/>
      </c>
      <c r="Q369" s="21" t="n"/>
      <c r="R369" s="21" t="n"/>
      <c r="S369" s="21" t="n"/>
      <c r="T369" s="21" t="n"/>
      <c r="U369" s="21" t="n"/>
      <c r="V369" s="21" t="n"/>
      <c r="W369" s="21" t="n"/>
      <c r="X369" s="21" t="n"/>
      <c r="Y369" s="21" t="n"/>
      <c r="Z369" s="21" t="n"/>
      <c r="AA369" s="21" t="n"/>
      <c r="AB369" s="21" t="n"/>
      <c r="AC369" s="21" t="n"/>
      <c r="AD369" s="21" t="n"/>
      <c r="AE369" s="21" t="n"/>
      <c r="AF369" s="21" t="n"/>
      <c r="AG369" s="21" t="n"/>
      <c r="AH369" s="21" t="n"/>
      <c r="AI369" s="21" t="n"/>
      <c r="AJ369" s="21" t="n"/>
      <c r="AL369" s="23">
        <f>AL109+AL239</f>
        <v/>
      </c>
      <c r="AM369" s="22">
        <f>AM109+AM239</f>
        <v/>
      </c>
      <c r="AN369" s="22">
        <f>AN109+AN239</f>
        <v/>
      </c>
      <c r="AO369" s="22">
        <f>AO109+AO239</f>
        <v/>
      </c>
      <c r="AP369" s="22">
        <f>AP109+AP239</f>
        <v/>
      </c>
      <c r="AQ369" s="22">
        <f>AQ109+AQ239</f>
        <v/>
      </c>
      <c r="AR369" s="22">
        <f>AR109+AR239</f>
        <v/>
      </c>
      <c r="AS369" s="22">
        <f>AS109+AS239</f>
        <v/>
      </c>
      <c r="AT369" s="22">
        <f>AT109+AT239</f>
        <v/>
      </c>
      <c r="AU369" s="22">
        <f>AU109+AU239</f>
        <v/>
      </c>
      <c r="AV369" s="22">
        <f>AV109+AV239</f>
        <v/>
      </c>
      <c r="AW369" s="22">
        <f>AW109+AW239</f>
        <v/>
      </c>
      <c r="AX369" s="22">
        <f>AX109+AX239</f>
        <v/>
      </c>
      <c r="AY369" s="22">
        <f>AY109+AY239</f>
        <v/>
      </c>
      <c r="BA369" s="23">
        <f>BA109+BA239</f>
        <v/>
      </c>
      <c r="BB369" s="22">
        <f>BB109+BB239</f>
        <v/>
      </c>
      <c r="BC369" s="22">
        <f>BC109+BC239</f>
        <v/>
      </c>
      <c r="BD369" s="22">
        <f>BD109+BD239</f>
        <v/>
      </c>
      <c r="BE369" s="22">
        <f>BE109+BE239</f>
        <v/>
      </c>
      <c r="BF369" s="22">
        <f>BF109+BF239</f>
        <v/>
      </c>
      <c r="BG369" s="22">
        <f>BG109+BG239</f>
        <v/>
      </c>
      <c r="BH369" s="22">
        <f>BH109+BH239</f>
        <v/>
      </c>
      <c r="BI369" s="22">
        <f>BI109+BI239</f>
        <v/>
      </c>
      <c r="BJ369" s="22">
        <f>BJ109+BJ239</f>
        <v/>
      </c>
      <c r="BK369" s="22">
        <f>BK109+BK239</f>
        <v/>
      </c>
      <c r="BL369" s="22">
        <f>BL109+BL239</f>
        <v/>
      </c>
      <c r="BM369" s="22">
        <f>BM109+BM239</f>
        <v/>
      </c>
      <c r="BN369" s="22">
        <f>BN109+BN239</f>
        <v/>
      </c>
    </row>
    <row r="370">
      <c r="B370" s="5" t="inlineStr">
        <is>
          <t>die</t>
        </is>
      </c>
      <c r="C370" s="5" t="inlineStr">
        <is>
          <t>omn</t>
        </is>
      </c>
      <c r="D370" s="5" t="inlineStr">
        <is>
          <t>Post-tax price | Other manufacturing | Diesel</t>
        </is>
      </c>
      <c r="E370" s="5" t="inlineStr">
        <is>
          <t>$/GJ</t>
        </is>
      </c>
      <c r="F370" s="5" t="inlineStr">
        <is>
          <t>Calculation</t>
        </is>
      </c>
      <c r="G370" s="19" t="inlineStr"/>
      <c r="H370" s="19" t="inlineStr">
        <is>
          <t>mit.ptp.die.omn</t>
        </is>
      </c>
      <c r="J370" s="5">
        <f>INDEX(Mapping!$C$5:$C$20,MATCH($C370,Mapping!$A$5:$A$20,0))</f>
        <v/>
      </c>
      <c r="K370" s="5">
        <f>INDEX(Mapping!$D$5:$D$20,MATCH($C370,Mapping!$A$5:$A$20,0))</f>
        <v/>
      </c>
      <c r="L370" s="5">
        <f>INDEX(Mapping!$C$24:$C$31,MATCH($B370,Mapping!$A$24:$A$31,0))</f>
        <v/>
      </c>
      <c r="M370" s="5">
        <f>INDEX(Mapping!$D$24:$D$31,MATCH($B370,Mapping!$A$24:$A$31,0))</f>
        <v/>
      </c>
      <c r="N370" s="5">
        <f>$B370&amp;"."&amp;IF(INDEX(Mapping!$E$24:$E$31,MATCH($B370,Mapping!$A$24:$A$31,0))="sub",INDEX(Mapping!$F$5:$F$20,MATCH($C370,Mapping!$A$5:$A$20,0)),"all")</f>
        <v/>
      </c>
      <c r="O370" s="5">
        <f>INDEX(Mapping!$E$5:$E$20,MATCH($C370,Mapping!$A$5:$A$20,0))</f>
        <v/>
      </c>
      <c r="P370" s="5">
        <f>INDEX(Mapping!$G$24:$G$31,MATCH($B370,Mapping!$A$24:$A$31,0))</f>
        <v/>
      </c>
      <c r="Q370" s="21" t="n"/>
      <c r="R370" s="21" t="n"/>
      <c r="S370" s="21" t="n"/>
      <c r="T370" s="21" t="n"/>
      <c r="U370" s="21" t="n"/>
      <c r="V370" s="21" t="n"/>
      <c r="W370" s="21" t="n"/>
      <c r="X370" s="21" t="n"/>
      <c r="Y370" s="21" t="n"/>
      <c r="Z370" s="21" t="n"/>
      <c r="AA370" s="21" t="n"/>
      <c r="AB370" s="21" t="n"/>
      <c r="AC370" s="21" t="n"/>
      <c r="AD370" s="21" t="n"/>
      <c r="AE370" s="21" t="n"/>
      <c r="AF370" s="21" t="n"/>
      <c r="AG370" s="21" t="n"/>
      <c r="AH370" s="21" t="n"/>
      <c r="AI370" s="21" t="n"/>
      <c r="AJ370" s="21" t="n"/>
      <c r="AL370" s="23">
        <f>AL110+AL240</f>
        <v/>
      </c>
      <c r="AM370" s="22">
        <f>AM110+AM240</f>
        <v/>
      </c>
      <c r="AN370" s="22">
        <f>AN110+AN240</f>
        <v/>
      </c>
      <c r="AO370" s="22">
        <f>AO110+AO240</f>
        <v/>
      </c>
      <c r="AP370" s="22">
        <f>AP110+AP240</f>
        <v/>
      </c>
      <c r="AQ370" s="22">
        <f>AQ110+AQ240</f>
        <v/>
      </c>
      <c r="AR370" s="22">
        <f>AR110+AR240</f>
        <v/>
      </c>
      <c r="AS370" s="22">
        <f>AS110+AS240</f>
        <v/>
      </c>
      <c r="AT370" s="22">
        <f>AT110+AT240</f>
        <v/>
      </c>
      <c r="AU370" s="22">
        <f>AU110+AU240</f>
        <v/>
      </c>
      <c r="AV370" s="22">
        <f>AV110+AV240</f>
        <v/>
      </c>
      <c r="AW370" s="22">
        <f>AW110+AW240</f>
        <v/>
      </c>
      <c r="AX370" s="22">
        <f>AX110+AX240</f>
        <v/>
      </c>
      <c r="AY370" s="22">
        <f>AY110+AY240</f>
        <v/>
      </c>
      <c r="BA370" s="23">
        <f>BA110+BA240</f>
        <v/>
      </c>
      <c r="BB370" s="22">
        <f>BB110+BB240</f>
        <v/>
      </c>
      <c r="BC370" s="22">
        <f>BC110+BC240</f>
        <v/>
      </c>
      <c r="BD370" s="22">
        <f>BD110+BD240</f>
        <v/>
      </c>
      <c r="BE370" s="22">
        <f>BE110+BE240</f>
        <v/>
      </c>
      <c r="BF370" s="22">
        <f>BF110+BF240</f>
        <v/>
      </c>
      <c r="BG370" s="22">
        <f>BG110+BG240</f>
        <v/>
      </c>
      <c r="BH370" s="22">
        <f>BH110+BH240</f>
        <v/>
      </c>
      <c r="BI370" s="22">
        <f>BI110+BI240</f>
        <v/>
      </c>
      <c r="BJ370" s="22">
        <f>BJ110+BJ240</f>
        <v/>
      </c>
      <c r="BK370" s="22">
        <f>BK110+BK240</f>
        <v/>
      </c>
      <c r="BL370" s="22">
        <f>BL110+BL240</f>
        <v/>
      </c>
      <c r="BM370" s="22">
        <f>BM110+BM240</f>
        <v/>
      </c>
      <c r="BN370" s="22">
        <f>BN110+BN240</f>
        <v/>
      </c>
    </row>
    <row r="371">
      <c r="B371" s="5" t="inlineStr">
        <is>
          <t>lpg</t>
        </is>
      </c>
      <c r="C371" s="5" t="inlineStr">
        <is>
          <t>omn</t>
        </is>
      </c>
      <c r="D371" s="5" t="inlineStr">
        <is>
          <t>Post-tax price | Other manufacturing | LPG</t>
        </is>
      </c>
      <c r="E371" s="5" t="inlineStr">
        <is>
          <t>$/GJ</t>
        </is>
      </c>
      <c r="F371" s="5" t="inlineStr">
        <is>
          <t>Calculation</t>
        </is>
      </c>
      <c r="G371" s="19" t="inlineStr"/>
      <c r="H371" s="19" t="inlineStr">
        <is>
          <t>mit.ptp.lpg.omn</t>
        </is>
      </c>
      <c r="J371" s="5">
        <f>INDEX(Mapping!$C$5:$C$20,MATCH($C371,Mapping!$A$5:$A$20,0))</f>
        <v/>
      </c>
      <c r="K371" s="5">
        <f>INDEX(Mapping!$D$5:$D$20,MATCH($C371,Mapping!$A$5:$A$20,0))</f>
        <v/>
      </c>
      <c r="L371" s="5">
        <f>INDEX(Mapping!$C$24:$C$31,MATCH($B371,Mapping!$A$24:$A$31,0))</f>
        <v/>
      </c>
      <c r="M371" s="5">
        <f>INDEX(Mapping!$D$24:$D$31,MATCH($B371,Mapping!$A$24:$A$31,0))</f>
        <v/>
      </c>
      <c r="N371" s="5">
        <f>$B371&amp;"."&amp;IF(INDEX(Mapping!$E$24:$E$31,MATCH($B371,Mapping!$A$24:$A$31,0))="sub",INDEX(Mapping!$F$5:$F$20,MATCH($C371,Mapping!$A$5:$A$20,0)),"all")</f>
        <v/>
      </c>
      <c r="O371" s="5">
        <f>INDEX(Mapping!$E$5:$E$20,MATCH($C371,Mapping!$A$5:$A$20,0))</f>
        <v/>
      </c>
      <c r="P371" s="5">
        <f>INDEX(Mapping!$G$24:$G$31,MATCH($B371,Mapping!$A$24:$A$31,0))</f>
        <v/>
      </c>
      <c r="Q371" s="21" t="n"/>
      <c r="R371" s="21" t="n"/>
      <c r="S371" s="21" t="n"/>
      <c r="T371" s="21" t="n"/>
      <c r="U371" s="21" t="n"/>
      <c r="V371" s="21" t="n"/>
      <c r="W371" s="21" t="n"/>
      <c r="X371" s="21" t="n"/>
      <c r="Y371" s="21" t="n"/>
      <c r="Z371" s="21" t="n"/>
      <c r="AA371" s="21" t="n"/>
      <c r="AB371" s="21" t="n"/>
      <c r="AC371" s="21" t="n"/>
      <c r="AD371" s="21" t="n"/>
      <c r="AE371" s="21" t="n"/>
      <c r="AF371" s="21" t="n"/>
      <c r="AG371" s="21" t="n"/>
      <c r="AH371" s="21" t="n"/>
      <c r="AI371" s="21" t="n"/>
      <c r="AJ371" s="21" t="n"/>
      <c r="AL371" s="23">
        <f>AL111+AL241</f>
        <v/>
      </c>
      <c r="AM371" s="22">
        <f>AM111+AM241</f>
        <v/>
      </c>
      <c r="AN371" s="22">
        <f>AN111+AN241</f>
        <v/>
      </c>
      <c r="AO371" s="22">
        <f>AO111+AO241</f>
        <v/>
      </c>
      <c r="AP371" s="22">
        <f>AP111+AP241</f>
        <v/>
      </c>
      <c r="AQ371" s="22">
        <f>AQ111+AQ241</f>
        <v/>
      </c>
      <c r="AR371" s="22">
        <f>AR111+AR241</f>
        <v/>
      </c>
      <c r="AS371" s="22">
        <f>AS111+AS241</f>
        <v/>
      </c>
      <c r="AT371" s="22">
        <f>AT111+AT241</f>
        <v/>
      </c>
      <c r="AU371" s="22">
        <f>AU111+AU241</f>
        <v/>
      </c>
      <c r="AV371" s="22">
        <f>AV111+AV241</f>
        <v/>
      </c>
      <c r="AW371" s="22">
        <f>AW111+AW241</f>
        <v/>
      </c>
      <c r="AX371" s="22">
        <f>AX111+AX241</f>
        <v/>
      </c>
      <c r="AY371" s="22">
        <f>AY111+AY241</f>
        <v/>
      </c>
      <c r="BA371" s="23">
        <f>BA111+BA241</f>
        <v/>
      </c>
      <c r="BB371" s="22">
        <f>BB111+BB241</f>
        <v/>
      </c>
      <c r="BC371" s="22">
        <f>BC111+BC241</f>
        <v/>
      </c>
      <c r="BD371" s="22">
        <f>BD111+BD241</f>
        <v/>
      </c>
      <c r="BE371" s="22">
        <f>BE111+BE241</f>
        <v/>
      </c>
      <c r="BF371" s="22">
        <f>BF111+BF241</f>
        <v/>
      </c>
      <c r="BG371" s="22">
        <f>BG111+BG241</f>
        <v/>
      </c>
      <c r="BH371" s="22">
        <f>BH111+BH241</f>
        <v/>
      </c>
      <c r="BI371" s="22">
        <f>BI111+BI241</f>
        <v/>
      </c>
      <c r="BJ371" s="22">
        <f>BJ111+BJ241</f>
        <v/>
      </c>
      <c r="BK371" s="22">
        <f>BK111+BK241</f>
        <v/>
      </c>
      <c r="BL371" s="22">
        <f>BL111+BL241</f>
        <v/>
      </c>
      <c r="BM371" s="22">
        <f>BM111+BM241</f>
        <v/>
      </c>
      <c r="BN371" s="22">
        <f>BN111+BN241</f>
        <v/>
      </c>
    </row>
    <row r="372">
      <c r="B372" s="5" t="inlineStr">
        <is>
          <t>ker</t>
        </is>
      </c>
      <c r="C372" s="5" t="inlineStr">
        <is>
          <t>omn</t>
        </is>
      </c>
      <c r="D372" s="5" t="inlineStr">
        <is>
          <t>Post-tax price | Other manufacturing | Kerosene</t>
        </is>
      </c>
      <c r="E372" s="5" t="inlineStr">
        <is>
          <t>$/GJ</t>
        </is>
      </c>
      <c r="F372" s="5" t="inlineStr">
        <is>
          <t>Calculation</t>
        </is>
      </c>
      <c r="G372" s="19" t="inlineStr"/>
      <c r="H372" s="19" t="inlineStr">
        <is>
          <t>mit.ptp.ker.omn</t>
        </is>
      </c>
      <c r="J372" s="5">
        <f>INDEX(Mapping!$C$5:$C$20,MATCH($C372,Mapping!$A$5:$A$20,0))</f>
        <v/>
      </c>
      <c r="K372" s="5">
        <f>INDEX(Mapping!$D$5:$D$20,MATCH($C372,Mapping!$A$5:$A$20,0))</f>
        <v/>
      </c>
      <c r="L372" s="5">
        <f>INDEX(Mapping!$C$24:$C$31,MATCH($B372,Mapping!$A$24:$A$31,0))</f>
        <v/>
      </c>
      <c r="M372" s="5">
        <f>INDEX(Mapping!$D$24:$D$31,MATCH($B372,Mapping!$A$24:$A$31,0))</f>
        <v/>
      </c>
      <c r="N372" s="5">
        <f>$B372&amp;"."&amp;IF(INDEX(Mapping!$E$24:$E$31,MATCH($B372,Mapping!$A$24:$A$31,0))="sub",INDEX(Mapping!$F$5:$F$20,MATCH($C372,Mapping!$A$5:$A$20,0)),"all")</f>
        <v/>
      </c>
      <c r="O372" s="5">
        <f>INDEX(Mapping!$E$5:$E$20,MATCH($C372,Mapping!$A$5:$A$20,0))</f>
        <v/>
      </c>
      <c r="P372" s="5">
        <f>INDEX(Mapping!$G$24:$G$31,MATCH($B372,Mapping!$A$24:$A$31,0))</f>
        <v/>
      </c>
      <c r="Q372" s="21" t="n"/>
      <c r="R372" s="21" t="n"/>
      <c r="S372" s="21" t="n"/>
      <c r="T372" s="21" t="n"/>
      <c r="U372" s="21" t="n"/>
      <c r="V372" s="21" t="n"/>
      <c r="W372" s="21" t="n"/>
      <c r="X372" s="21" t="n"/>
      <c r="Y372" s="21" t="n"/>
      <c r="Z372" s="21" t="n"/>
      <c r="AA372" s="21" t="n"/>
      <c r="AB372" s="21" t="n"/>
      <c r="AC372" s="21" t="n"/>
      <c r="AD372" s="21" t="n"/>
      <c r="AE372" s="21" t="n"/>
      <c r="AF372" s="21" t="n"/>
      <c r="AG372" s="21" t="n"/>
      <c r="AH372" s="21" t="n"/>
      <c r="AI372" s="21" t="n"/>
      <c r="AJ372" s="21" t="n"/>
      <c r="AL372" s="23">
        <f>AL112+AL242</f>
        <v/>
      </c>
      <c r="AM372" s="22">
        <f>AM112+AM242</f>
        <v/>
      </c>
      <c r="AN372" s="22">
        <f>AN112+AN242</f>
        <v/>
      </c>
      <c r="AO372" s="22">
        <f>AO112+AO242</f>
        <v/>
      </c>
      <c r="AP372" s="22">
        <f>AP112+AP242</f>
        <v/>
      </c>
      <c r="AQ372" s="22">
        <f>AQ112+AQ242</f>
        <v/>
      </c>
      <c r="AR372" s="22">
        <f>AR112+AR242</f>
        <v/>
      </c>
      <c r="AS372" s="22">
        <f>AS112+AS242</f>
        <v/>
      </c>
      <c r="AT372" s="22">
        <f>AT112+AT242</f>
        <v/>
      </c>
      <c r="AU372" s="22">
        <f>AU112+AU242</f>
        <v/>
      </c>
      <c r="AV372" s="22">
        <f>AV112+AV242</f>
        <v/>
      </c>
      <c r="AW372" s="22">
        <f>AW112+AW242</f>
        <v/>
      </c>
      <c r="AX372" s="22">
        <f>AX112+AX242</f>
        <v/>
      </c>
      <c r="AY372" s="22">
        <f>AY112+AY242</f>
        <v/>
      </c>
      <c r="BA372" s="23">
        <f>BA112+BA242</f>
        <v/>
      </c>
      <c r="BB372" s="22">
        <f>BB112+BB242</f>
        <v/>
      </c>
      <c r="BC372" s="22">
        <f>BC112+BC242</f>
        <v/>
      </c>
      <c r="BD372" s="22">
        <f>BD112+BD242</f>
        <v/>
      </c>
      <c r="BE372" s="22">
        <f>BE112+BE242</f>
        <v/>
      </c>
      <c r="BF372" s="22">
        <f>BF112+BF242</f>
        <v/>
      </c>
      <c r="BG372" s="22">
        <f>BG112+BG242</f>
        <v/>
      </c>
      <c r="BH372" s="22">
        <f>BH112+BH242</f>
        <v/>
      </c>
      <c r="BI372" s="22">
        <f>BI112+BI242</f>
        <v/>
      </c>
      <c r="BJ372" s="22">
        <f>BJ112+BJ242</f>
        <v/>
      </c>
      <c r="BK372" s="22">
        <f>BK112+BK242</f>
        <v/>
      </c>
      <c r="BL372" s="22">
        <f>BL112+BL242</f>
        <v/>
      </c>
      <c r="BM372" s="22">
        <f>BM112+BM242</f>
        <v/>
      </c>
      <c r="BN372" s="22">
        <f>BN112+BN242</f>
        <v/>
      </c>
    </row>
    <row r="373">
      <c r="B373" s="5" t="inlineStr">
        <is>
          <t>oop</t>
        </is>
      </c>
      <c r="C373" s="5" t="inlineStr">
        <is>
          <t>omn</t>
        </is>
      </c>
      <c r="D373" s="5" t="inlineStr">
        <is>
          <t>Post-tax price | Other manufacturing | Other oil products</t>
        </is>
      </c>
      <c r="E373" s="5" t="inlineStr">
        <is>
          <t>$/GJ</t>
        </is>
      </c>
      <c r="F373" s="5" t="inlineStr">
        <is>
          <t>Calculation</t>
        </is>
      </c>
      <c r="G373" s="19" t="inlineStr"/>
      <c r="H373" s="19" t="inlineStr">
        <is>
          <t>mit.ptp.oop.omn</t>
        </is>
      </c>
      <c r="J373" s="5">
        <f>INDEX(Mapping!$C$5:$C$20,MATCH($C373,Mapping!$A$5:$A$20,0))</f>
        <v/>
      </c>
      <c r="K373" s="5">
        <f>INDEX(Mapping!$D$5:$D$20,MATCH($C373,Mapping!$A$5:$A$20,0))</f>
        <v/>
      </c>
      <c r="L373" s="5">
        <f>INDEX(Mapping!$C$24:$C$31,MATCH($B373,Mapping!$A$24:$A$31,0))</f>
        <v/>
      </c>
      <c r="M373" s="5">
        <f>INDEX(Mapping!$D$24:$D$31,MATCH($B373,Mapping!$A$24:$A$31,0))</f>
        <v/>
      </c>
      <c r="N373" s="5">
        <f>$B373&amp;"."&amp;IF(INDEX(Mapping!$E$24:$E$31,MATCH($B373,Mapping!$A$24:$A$31,0))="sub",INDEX(Mapping!$F$5:$F$20,MATCH($C373,Mapping!$A$5:$A$20,0)),"all")</f>
        <v/>
      </c>
      <c r="O373" s="5">
        <f>INDEX(Mapping!$E$5:$E$20,MATCH($C373,Mapping!$A$5:$A$20,0))</f>
        <v/>
      </c>
      <c r="P373" s="5">
        <f>INDEX(Mapping!$G$24:$G$31,MATCH($B373,Mapping!$A$24:$A$31,0))</f>
        <v/>
      </c>
      <c r="Q373" s="21" t="n"/>
      <c r="R373" s="21" t="n"/>
      <c r="S373" s="21" t="n"/>
      <c r="T373" s="21" t="n"/>
      <c r="U373" s="21" t="n"/>
      <c r="V373" s="21" t="n"/>
      <c r="W373" s="21" t="n"/>
      <c r="X373" s="21" t="n"/>
      <c r="Y373" s="21" t="n"/>
      <c r="Z373" s="21" t="n"/>
      <c r="AA373" s="21" t="n"/>
      <c r="AB373" s="21" t="n"/>
      <c r="AC373" s="21" t="n"/>
      <c r="AD373" s="21" t="n"/>
      <c r="AE373" s="21" t="n"/>
      <c r="AF373" s="21" t="n"/>
      <c r="AG373" s="21" t="n"/>
      <c r="AH373" s="21" t="n"/>
      <c r="AI373" s="21" t="n"/>
      <c r="AJ373" s="21" t="n"/>
      <c r="AL373" s="23">
        <f>AL113+AL243</f>
        <v/>
      </c>
      <c r="AM373" s="22">
        <f>AM113+AM243</f>
        <v/>
      </c>
      <c r="AN373" s="22">
        <f>AN113+AN243</f>
        <v/>
      </c>
      <c r="AO373" s="22">
        <f>AO113+AO243</f>
        <v/>
      </c>
      <c r="AP373" s="22">
        <f>AP113+AP243</f>
        <v/>
      </c>
      <c r="AQ373" s="22">
        <f>AQ113+AQ243</f>
        <v/>
      </c>
      <c r="AR373" s="22">
        <f>AR113+AR243</f>
        <v/>
      </c>
      <c r="AS373" s="22">
        <f>AS113+AS243</f>
        <v/>
      </c>
      <c r="AT373" s="22">
        <f>AT113+AT243</f>
        <v/>
      </c>
      <c r="AU373" s="22">
        <f>AU113+AU243</f>
        <v/>
      </c>
      <c r="AV373" s="22">
        <f>AV113+AV243</f>
        <v/>
      </c>
      <c r="AW373" s="22">
        <f>AW113+AW243</f>
        <v/>
      </c>
      <c r="AX373" s="22">
        <f>AX113+AX243</f>
        <v/>
      </c>
      <c r="AY373" s="22">
        <f>AY113+AY243</f>
        <v/>
      </c>
      <c r="BA373" s="23">
        <f>BA113+BA243</f>
        <v/>
      </c>
      <c r="BB373" s="22">
        <f>BB113+BB243</f>
        <v/>
      </c>
      <c r="BC373" s="22">
        <f>BC113+BC243</f>
        <v/>
      </c>
      <c r="BD373" s="22">
        <f>BD113+BD243</f>
        <v/>
      </c>
      <c r="BE373" s="22">
        <f>BE113+BE243</f>
        <v/>
      </c>
      <c r="BF373" s="22">
        <f>BF113+BF243</f>
        <v/>
      </c>
      <c r="BG373" s="22">
        <f>BG113+BG243</f>
        <v/>
      </c>
      <c r="BH373" s="22">
        <f>BH113+BH243</f>
        <v/>
      </c>
      <c r="BI373" s="22">
        <f>BI113+BI243</f>
        <v/>
      </c>
      <c r="BJ373" s="22">
        <f>BJ113+BJ243</f>
        <v/>
      </c>
      <c r="BK373" s="22">
        <f>BK113+BK243</f>
        <v/>
      </c>
      <c r="BL373" s="22">
        <f>BL113+BL243</f>
        <v/>
      </c>
      <c r="BM373" s="22">
        <f>BM113+BM243</f>
        <v/>
      </c>
      <c r="BN373" s="22">
        <f>BN113+BN243</f>
        <v/>
      </c>
    </row>
    <row r="374">
      <c r="B374" s="5" t="inlineStr">
        <is>
          <t>bio</t>
        </is>
      </c>
      <c r="C374" s="5" t="inlineStr">
        <is>
          <t>omn</t>
        </is>
      </c>
      <c r="D374" s="5" t="inlineStr">
        <is>
          <t>Post-tax price | Other manufacturing | Biomass</t>
        </is>
      </c>
      <c r="E374" s="5" t="inlineStr">
        <is>
          <t>$/GJ</t>
        </is>
      </c>
      <c r="F374" s="5" t="inlineStr">
        <is>
          <t>Calculation</t>
        </is>
      </c>
      <c r="G374" s="19" t="inlineStr"/>
      <c r="H374" s="19" t="inlineStr">
        <is>
          <t>mit.ptp.bio.omn</t>
        </is>
      </c>
      <c r="J374" s="5">
        <f>INDEX(Mapping!$C$5:$C$20,MATCH($C374,Mapping!$A$5:$A$20,0))</f>
        <v/>
      </c>
      <c r="K374" s="5">
        <f>INDEX(Mapping!$D$5:$D$20,MATCH($C374,Mapping!$A$5:$A$20,0))</f>
        <v/>
      </c>
      <c r="L374" s="5">
        <f>INDEX(Mapping!$C$24:$C$31,MATCH($B374,Mapping!$A$24:$A$31,0))</f>
        <v/>
      </c>
      <c r="M374" s="5">
        <f>INDEX(Mapping!$D$24:$D$31,MATCH($B374,Mapping!$A$24:$A$31,0))</f>
        <v/>
      </c>
      <c r="N374" s="5">
        <f>$B374&amp;"."&amp;IF(INDEX(Mapping!$E$24:$E$31,MATCH($B374,Mapping!$A$24:$A$31,0))="sub",INDEX(Mapping!$F$5:$F$20,MATCH($C374,Mapping!$A$5:$A$20,0)),"all")</f>
        <v/>
      </c>
      <c r="O374" s="5">
        <f>INDEX(Mapping!$E$5:$E$20,MATCH($C374,Mapping!$A$5:$A$20,0))</f>
        <v/>
      </c>
      <c r="P374" s="5">
        <f>INDEX(Mapping!$G$24:$G$31,MATCH($B374,Mapping!$A$24:$A$31,0))</f>
        <v/>
      </c>
      <c r="Q374" s="21" t="n"/>
      <c r="R374" s="21" t="n"/>
      <c r="S374" s="21" t="n"/>
      <c r="T374" s="21" t="n"/>
      <c r="U374" s="21" t="n"/>
      <c r="V374" s="21" t="n"/>
      <c r="W374" s="21" t="n"/>
      <c r="X374" s="21" t="n"/>
      <c r="Y374" s="21" t="n"/>
      <c r="Z374" s="21" t="n"/>
      <c r="AA374" s="21" t="n"/>
      <c r="AB374" s="21" t="n"/>
      <c r="AC374" s="21" t="n"/>
      <c r="AD374" s="21" t="n"/>
      <c r="AE374" s="21" t="n"/>
      <c r="AF374" s="21" t="n"/>
      <c r="AG374" s="21" t="n"/>
      <c r="AH374" s="21" t="n"/>
      <c r="AI374" s="21" t="n"/>
      <c r="AJ374" s="21" t="n"/>
      <c r="AL374" s="23">
        <f>AL114+AL244</f>
        <v/>
      </c>
      <c r="AM374" s="22">
        <f>AM114+AM244</f>
        <v/>
      </c>
      <c r="AN374" s="22">
        <f>AN114+AN244</f>
        <v/>
      </c>
      <c r="AO374" s="22">
        <f>AO114+AO244</f>
        <v/>
      </c>
      <c r="AP374" s="22">
        <f>AP114+AP244</f>
        <v/>
      </c>
      <c r="AQ374" s="22">
        <f>AQ114+AQ244</f>
        <v/>
      </c>
      <c r="AR374" s="22">
        <f>AR114+AR244</f>
        <v/>
      </c>
      <c r="AS374" s="22">
        <f>AS114+AS244</f>
        <v/>
      </c>
      <c r="AT374" s="22">
        <f>AT114+AT244</f>
        <v/>
      </c>
      <c r="AU374" s="22">
        <f>AU114+AU244</f>
        <v/>
      </c>
      <c r="AV374" s="22">
        <f>AV114+AV244</f>
        <v/>
      </c>
      <c r="AW374" s="22">
        <f>AW114+AW244</f>
        <v/>
      </c>
      <c r="AX374" s="22">
        <f>AX114+AX244</f>
        <v/>
      </c>
      <c r="AY374" s="22">
        <f>AY114+AY244</f>
        <v/>
      </c>
      <c r="BA374" s="23">
        <f>BA114+BA244</f>
        <v/>
      </c>
      <c r="BB374" s="22">
        <f>BB114+BB244</f>
        <v/>
      </c>
      <c r="BC374" s="22">
        <f>BC114+BC244</f>
        <v/>
      </c>
      <c r="BD374" s="22">
        <f>BD114+BD244</f>
        <v/>
      </c>
      <c r="BE374" s="22">
        <f>BE114+BE244</f>
        <v/>
      </c>
      <c r="BF374" s="22">
        <f>BF114+BF244</f>
        <v/>
      </c>
      <c r="BG374" s="22">
        <f>BG114+BG244</f>
        <v/>
      </c>
      <c r="BH374" s="22">
        <f>BH114+BH244</f>
        <v/>
      </c>
      <c r="BI374" s="22">
        <f>BI114+BI244</f>
        <v/>
      </c>
      <c r="BJ374" s="22">
        <f>BJ114+BJ244</f>
        <v/>
      </c>
      <c r="BK374" s="22">
        <f>BK114+BK244</f>
        <v/>
      </c>
      <c r="BL374" s="22">
        <f>BL114+BL244</f>
        <v/>
      </c>
      <c r="BM374" s="22">
        <f>BM114+BM244</f>
        <v/>
      </c>
      <c r="BN374" s="22">
        <f>BN114+BN244</f>
        <v/>
      </c>
    </row>
    <row r="375">
      <c r="B375" s="5" t="inlineStr">
        <is>
          <t>coa</t>
        </is>
      </c>
      <c r="C375" s="5" t="inlineStr">
        <is>
          <t>cst</t>
        </is>
      </c>
      <c r="D375" s="5" t="inlineStr">
        <is>
          <t>Post-tax price | Construction | Coal</t>
        </is>
      </c>
      <c r="E375" s="5" t="inlineStr">
        <is>
          <t>$/GJ</t>
        </is>
      </c>
      <c r="F375" s="5" t="inlineStr">
        <is>
          <t>Calculation</t>
        </is>
      </c>
      <c r="G375" s="19" t="inlineStr"/>
      <c r="H375" s="19" t="inlineStr">
        <is>
          <t>mit.ptp.coa.cst</t>
        </is>
      </c>
      <c r="J375" s="5">
        <f>INDEX(Mapping!$C$5:$C$20,MATCH($C375,Mapping!$A$5:$A$20,0))</f>
        <v/>
      </c>
      <c r="K375" s="5">
        <f>INDEX(Mapping!$D$5:$D$20,MATCH($C375,Mapping!$A$5:$A$20,0))</f>
        <v/>
      </c>
      <c r="L375" s="5">
        <f>INDEX(Mapping!$C$24:$C$31,MATCH($B375,Mapping!$A$24:$A$31,0))</f>
        <v/>
      </c>
      <c r="M375" s="5">
        <f>INDEX(Mapping!$D$24:$D$31,MATCH($B375,Mapping!$A$24:$A$31,0))</f>
        <v/>
      </c>
      <c r="N375" s="5">
        <f>$B375&amp;"."&amp;IF(INDEX(Mapping!$E$24:$E$31,MATCH($B375,Mapping!$A$24:$A$31,0))="sub",INDEX(Mapping!$F$5:$F$20,MATCH($C375,Mapping!$A$5:$A$20,0)),"all")</f>
        <v/>
      </c>
      <c r="O375" s="5">
        <f>INDEX(Mapping!$E$5:$E$20,MATCH($C375,Mapping!$A$5:$A$20,0))</f>
        <v/>
      </c>
      <c r="P375" s="5">
        <f>INDEX(Mapping!$G$24:$G$31,MATCH($B375,Mapping!$A$24:$A$31,0))</f>
        <v/>
      </c>
      <c r="Q375" s="21" t="n"/>
      <c r="R375" s="21" t="n"/>
      <c r="S375" s="21" t="n"/>
      <c r="T375" s="21" t="n"/>
      <c r="U375" s="21" t="n"/>
      <c r="V375" s="21" t="n"/>
      <c r="W375" s="21" t="n"/>
      <c r="X375" s="21" t="n"/>
      <c r="Y375" s="21" t="n"/>
      <c r="Z375" s="21" t="n"/>
      <c r="AA375" s="21" t="n"/>
      <c r="AB375" s="21" t="n"/>
      <c r="AC375" s="21" t="n"/>
      <c r="AD375" s="21" t="n"/>
      <c r="AE375" s="21" t="n"/>
      <c r="AF375" s="21" t="n"/>
      <c r="AG375" s="21" t="n"/>
      <c r="AH375" s="21" t="n"/>
      <c r="AI375" s="21" t="n"/>
      <c r="AJ375" s="21" t="n"/>
      <c r="AL375" s="23">
        <f>AL115+AL245</f>
        <v/>
      </c>
      <c r="AM375" s="22">
        <f>AM115+AM245</f>
        <v/>
      </c>
      <c r="AN375" s="22">
        <f>AN115+AN245</f>
        <v/>
      </c>
      <c r="AO375" s="22">
        <f>AO115+AO245</f>
        <v/>
      </c>
      <c r="AP375" s="22">
        <f>AP115+AP245</f>
        <v/>
      </c>
      <c r="AQ375" s="22">
        <f>AQ115+AQ245</f>
        <v/>
      </c>
      <c r="AR375" s="22">
        <f>AR115+AR245</f>
        <v/>
      </c>
      <c r="AS375" s="22">
        <f>AS115+AS245</f>
        <v/>
      </c>
      <c r="AT375" s="22">
        <f>AT115+AT245</f>
        <v/>
      </c>
      <c r="AU375" s="22">
        <f>AU115+AU245</f>
        <v/>
      </c>
      <c r="AV375" s="22">
        <f>AV115+AV245</f>
        <v/>
      </c>
      <c r="AW375" s="22">
        <f>AW115+AW245</f>
        <v/>
      </c>
      <c r="AX375" s="22">
        <f>AX115+AX245</f>
        <v/>
      </c>
      <c r="AY375" s="22">
        <f>AY115+AY245</f>
        <v/>
      </c>
      <c r="BA375" s="23">
        <f>BA115+BA245</f>
        <v/>
      </c>
      <c r="BB375" s="22">
        <f>BB115+BB245</f>
        <v/>
      </c>
      <c r="BC375" s="22">
        <f>BC115+BC245</f>
        <v/>
      </c>
      <c r="BD375" s="22">
        <f>BD115+BD245</f>
        <v/>
      </c>
      <c r="BE375" s="22">
        <f>BE115+BE245</f>
        <v/>
      </c>
      <c r="BF375" s="22">
        <f>BF115+BF245</f>
        <v/>
      </c>
      <c r="BG375" s="22">
        <f>BG115+BG245</f>
        <v/>
      </c>
      <c r="BH375" s="22">
        <f>BH115+BH245</f>
        <v/>
      </c>
      <c r="BI375" s="22">
        <f>BI115+BI245</f>
        <v/>
      </c>
      <c r="BJ375" s="22">
        <f>BJ115+BJ245</f>
        <v/>
      </c>
      <c r="BK375" s="22">
        <f>BK115+BK245</f>
        <v/>
      </c>
      <c r="BL375" s="22">
        <f>BL115+BL245</f>
        <v/>
      </c>
      <c r="BM375" s="22">
        <f>BM115+BM245</f>
        <v/>
      </c>
      <c r="BN375" s="22">
        <f>BN115+BN245</f>
        <v/>
      </c>
    </row>
    <row r="376">
      <c r="B376" s="5" t="inlineStr">
        <is>
          <t>nga</t>
        </is>
      </c>
      <c r="C376" s="5" t="inlineStr">
        <is>
          <t>cst</t>
        </is>
      </c>
      <c r="D376" s="5" t="inlineStr">
        <is>
          <t>Post-tax price | Construction | Natural gas</t>
        </is>
      </c>
      <c r="E376" s="5" t="inlineStr">
        <is>
          <t>$/GJ</t>
        </is>
      </c>
      <c r="F376" s="5" t="inlineStr">
        <is>
          <t>Calculation</t>
        </is>
      </c>
      <c r="G376" s="19" t="inlineStr"/>
      <c r="H376" s="19" t="inlineStr">
        <is>
          <t>mit.ptp.nga.cst</t>
        </is>
      </c>
      <c r="J376" s="5">
        <f>INDEX(Mapping!$C$5:$C$20,MATCH($C376,Mapping!$A$5:$A$20,0))</f>
        <v/>
      </c>
      <c r="K376" s="5">
        <f>INDEX(Mapping!$D$5:$D$20,MATCH($C376,Mapping!$A$5:$A$20,0))</f>
        <v/>
      </c>
      <c r="L376" s="5">
        <f>INDEX(Mapping!$C$24:$C$31,MATCH($B376,Mapping!$A$24:$A$31,0))</f>
        <v/>
      </c>
      <c r="M376" s="5">
        <f>INDEX(Mapping!$D$24:$D$31,MATCH($B376,Mapping!$A$24:$A$31,0))</f>
        <v/>
      </c>
      <c r="N376" s="5">
        <f>$B376&amp;"."&amp;IF(INDEX(Mapping!$E$24:$E$31,MATCH($B376,Mapping!$A$24:$A$31,0))="sub",INDEX(Mapping!$F$5:$F$20,MATCH($C376,Mapping!$A$5:$A$20,0)),"all")</f>
        <v/>
      </c>
      <c r="O376" s="5">
        <f>INDEX(Mapping!$E$5:$E$20,MATCH($C376,Mapping!$A$5:$A$20,0))</f>
        <v/>
      </c>
      <c r="P376" s="5">
        <f>INDEX(Mapping!$G$24:$G$31,MATCH($B376,Mapping!$A$24:$A$31,0))</f>
        <v/>
      </c>
      <c r="Q376" s="21" t="n"/>
      <c r="R376" s="21" t="n"/>
      <c r="S376" s="21" t="n"/>
      <c r="T376" s="21" t="n"/>
      <c r="U376" s="21" t="n"/>
      <c r="V376" s="21" t="n"/>
      <c r="W376" s="21" t="n"/>
      <c r="X376" s="21" t="n"/>
      <c r="Y376" s="21" t="n"/>
      <c r="Z376" s="21" t="n"/>
      <c r="AA376" s="21" t="n"/>
      <c r="AB376" s="21" t="n"/>
      <c r="AC376" s="21" t="n"/>
      <c r="AD376" s="21" t="n"/>
      <c r="AE376" s="21" t="n"/>
      <c r="AF376" s="21" t="n"/>
      <c r="AG376" s="21" t="n"/>
      <c r="AH376" s="21" t="n"/>
      <c r="AI376" s="21" t="n"/>
      <c r="AJ376" s="21" t="n"/>
      <c r="AL376" s="23">
        <f>AL116+AL246</f>
        <v/>
      </c>
      <c r="AM376" s="22">
        <f>AM116+AM246</f>
        <v/>
      </c>
      <c r="AN376" s="22">
        <f>AN116+AN246</f>
        <v/>
      </c>
      <c r="AO376" s="22">
        <f>AO116+AO246</f>
        <v/>
      </c>
      <c r="AP376" s="22">
        <f>AP116+AP246</f>
        <v/>
      </c>
      <c r="AQ376" s="22">
        <f>AQ116+AQ246</f>
        <v/>
      </c>
      <c r="AR376" s="22">
        <f>AR116+AR246</f>
        <v/>
      </c>
      <c r="AS376" s="22">
        <f>AS116+AS246</f>
        <v/>
      </c>
      <c r="AT376" s="22">
        <f>AT116+AT246</f>
        <v/>
      </c>
      <c r="AU376" s="22">
        <f>AU116+AU246</f>
        <v/>
      </c>
      <c r="AV376" s="22">
        <f>AV116+AV246</f>
        <v/>
      </c>
      <c r="AW376" s="22">
        <f>AW116+AW246</f>
        <v/>
      </c>
      <c r="AX376" s="22">
        <f>AX116+AX246</f>
        <v/>
      </c>
      <c r="AY376" s="22">
        <f>AY116+AY246</f>
        <v/>
      </c>
      <c r="BA376" s="23">
        <f>BA116+BA246</f>
        <v/>
      </c>
      <c r="BB376" s="22">
        <f>BB116+BB246</f>
        <v/>
      </c>
      <c r="BC376" s="22">
        <f>BC116+BC246</f>
        <v/>
      </c>
      <c r="BD376" s="22">
        <f>BD116+BD246</f>
        <v/>
      </c>
      <c r="BE376" s="22">
        <f>BE116+BE246</f>
        <v/>
      </c>
      <c r="BF376" s="22">
        <f>BF116+BF246</f>
        <v/>
      </c>
      <c r="BG376" s="22">
        <f>BG116+BG246</f>
        <v/>
      </c>
      <c r="BH376" s="22">
        <f>BH116+BH246</f>
        <v/>
      </c>
      <c r="BI376" s="22">
        <f>BI116+BI246</f>
        <v/>
      </c>
      <c r="BJ376" s="22">
        <f>BJ116+BJ246</f>
        <v/>
      </c>
      <c r="BK376" s="22">
        <f>BK116+BK246</f>
        <v/>
      </c>
      <c r="BL376" s="22">
        <f>BL116+BL246</f>
        <v/>
      </c>
      <c r="BM376" s="22">
        <f>BM116+BM246</f>
        <v/>
      </c>
      <c r="BN376" s="22">
        <f>BN116+BN246</f>
        <v/>
      </c>
    </row>
    <row r="377">
      <c r="B377" s="5" t="inlineStr">
        <is>
          <t>gso</t>
        </is>
      </c>
      <c r="C377" s="5" t="inlineStr">
        <is>
          <t>cst</t>
        </is>
      </c>
      <c r="D377" s="5" t="inlineStr">
        <is>
          <t>Post-tax price | Construction | Gasoline</t>
        </is>
      </c>
      <c r="E377" s="5" t="inlineStr">
        <is>
          <t>$/GJ</t>
        </is>
      </c>
      <c r="F377" s="5" t="inlineStr">
        <is>
          <t>Calculation</t>
        </is>
      </c>
      <c r="G377" s="19" t="inlineStr"/>
      <c r="H377" s="19" t="inlineStr">
        <is>
          <t>mit.ptp.gso.cst</t>
        </is>
      </c>
      <c r="J377" s="5">
        <f>INDEX(Mapping!$C$5:$C$20,MATCH($C377,Mapping!$A$5:$A$20,0))</f>
        <v/>
      </c>
      <c r="K377" s="5">
        <f>INDEX(Mapping!$D$5:$D$20,MATCH($C377,Mapping!$A$5:$A$20,0))</f>
        <v/>
      </c>
      <c r="L377" s="5">
        <f>INDEX(Mapping!$C$24:$C$31,MATCH($B377,Mapping!$A$24:$A$31,0))</f>
        <v/>
      </c>
      <c r="M377" s="5">
        <f>INDEX(Mapping!$D$24:$D$31,MATCH($B377,Mapping!$A$24:$A$31,0))</f>
        <v/>
      </c>
      <c r="N377" s="5">
        <f>$B377&amp;"."&amp;IF(INDEX(Mapping!$E$24:$E$31,MATCH($B377,Mapping!$A$24:$A$31,0))="sub",INDEX(Mapping!$F$5:$F$20,MATCH($C377,Mapping!$A$5:$A$20,0)),"all")</f>
        <v/>
      </c>
      <c r="O377" s="5">
        <f>INDEX(Mapping!$E$5:$E$20,MATCH($C377,Mapping!$A$5:$A$20,0))</f>
        <v/>
      </c>
      <c r="P377" s="5">
        <f>INDEX(Mapping!$G$24:$G$31,MATCH($B377,Mapping!$A$24:$A$31,0))</f>
        <v/>
      </c>
      <c r="Q377" s="21" t="n"/>
      <c r="R377" s="21" t="n"/>
      <c r="S377" s="21" t="n"/>
      <c r="T377" s="21" t="n"/>
      <c r="U377" s="21" t="n"/>
      <c r="V377" s="21" t="n"/>
      <c r="W377" s="21" t="n"/>
      <c r="X377" s="21" t="n"/>
      <c r="Y377" s="21" t="n"/>
      <c r="Z377" s="21" t="n"/>
      <c r="AA377" s="21" t="n"/>
      <c r="AB377" s="21" t="n"/>
      <c r="AC377" s="21" t="n"/>
      <c r="AD377" s="21" t="n"/>
      <c r="AE377" s="21" t="n"/>
      <c r="AF377" s="21" t="n"/>
      <c r="AG377" s="21" t="n"/>
      <c r="AH377" s="21" t="n"/>
      <c r="AI377" s="21" t="n"/>
      <c r="AJ377" s="21" t="n"/>
      <c r="AL377" s="23">
        <f>AL117+AL247</f>
        <v/>
      </c>
      <c r="AM377" s="22">
        <f>AM117+AM247</f>
        <v/>
      </c>
      <c r="AN377" s="22">
        <f>AN117+AN247</f>
        <v/>
      </c>
      <c r="AO377" s="22">
        <f>AO117+AO247</f>
        <v/>
      </c>
      <c r="AP377" s="22">
        <f>AP117+AP247</f>
        <v/>
      </c>
      <c r="AQ377" s="22">
        <f>AQ117+AQ247</f>
        <v/>
      </c>
      <c r="AR377" s="22">
        <f>AR117+AR247</f>
        <v/>
      </c>
      <c r="AS377" s="22">
        <f>AS117+AS247</f>
        <v/>
      </c>
      <c r="AT377" s="22">
        <f>AT117+AT247</f>
        <v/>
      </c>
      <c r="AU377" s="22">
        <f>AU117+AU247</f>
        <v/>
      </c>
      <c r="AV377" s="22">
        <f>AV117+AV247</f>
        <v/>
      </c>
      <c r="AW377" s="22">
        <f>AW117+AW247</f>
        <v/>
      </c>
      <c r="AX377" s="22">
        <f>AX117+AX247</f>
        <v/>
      </c>
      <c r="AY377" s="22">
        <f>AY117+AY247</f>
        <v/>
      </c>
      <c r="BA377" s="23">
        <f>BA117+BA247</f>
        <v/>
      </c>
      <c r="BB377" s="22">
        <f>BB117+BB247</f>
        <v/>
      </c>
      <c r="BC377" s="22">
        <f>BC117+BC247</f>
        <v/>
      </c>
      <c r="BD377" s="22">
        <f>BD117+BD247</f>
        <v/>
      </c>
      <c r="BE377" s="22">
        <f>BE117+BE247</f>
        <v/>
      </c>
      <c r="BF377" s="22">
        <f>BF117+BF247</f>
        <v/>
      </c>
      <c r="BG377" s="22">
        <f>BG117+BG247</f>
        <v/>
      </c>
      <c r="BH377" s="22">
        <f>BH117+BH247</f>
        <v/>
      </c>
      <c r="BI377" s="22">
        <f>BI117+BI247</f>
        <v/>
      </c>
      <c r="BJ377" s="22">
        <f>BJ117+BJ247</f>
        <v/>
      </c>
      <c r="BK377" s="22">
        <f>BK117+BK247</f>
        <v/>
      </c>
      <c r="BL377" s="22">
        <f>BL117+BL247</f>
        <v/>
      </c>
      <c r="BM377" s="22">
        <f>BM117+BM247</f>
        <v/>
      </c>
      <c r="BN377" s="22">
        <f>BN117+BN247</f>
        <v/>
      </c>
    </row>
    <row r="378">
      <c r="B378" s="5" t="inlineStr">
        <is>
          <t>die</t>
        </is>
      </c>
      <c r="C378" s="5" t="inlineStr">
        <is>
          <t>cst</t>
        </is>
      </c>
      <c r="D378" s="5" t="inlineStr">
        <is>
          <t>Post-tax price | Construction | Diesel</t>
        </is>
      </c>
      <c r="E378" s="5" t="inlineStr">
        <is>
          <t>$/GJ</t>
        </is>
      </c>
      <c r="F378" s="5" t="inlineStr">
        <is>
          <t>Calculation</t>
        </is>
      </c>
      <c r="G378" s="19" t="inlineStr"/>
      <c r="H378" s="19" t="inlineStr">
        <is>
          <t>mit.ptp.die.cst</t>
        </is>
      </c>
      <c r="J378" s="5">
        <f>INDEX(Mapping!$C$5:$C$20,MATCH($C378,Mapping!$A$5:$A$20,0))</f>
        <v/>
      </c>
      <c r="K378" s="5">
        <f>INDEX(Mapping!$D$5:$D$20,MATCH($C378,Mapping!$A$5:$A$20,0))</f>
        <v/>
      </c>
      <c r="L378" s="5">
        <f>INDEX(Mapping!$C$24:$C$31,MATCH($B378,Mapping!$A$24:$A$31,0))</f>
        <v/>
      </c>
      <c r="M378" s="5">
        <f>INDEX(Mapping!$D$24:$D$31,MATCH($B378,Mapping!$A$24:$A$31,0))</f>
        <v/>
      </c>
      <c r="N378" s="5">
        <f>$B378&amp;"."&amp;IF(INDEX(Mapping!$E$24:$E$31,MATCH($B378,Mapping!$A$24:$A$31,0))="sub",INDEX(Mapping!$F$5:$F$20,MATCH($C378,Mapping!$A$5:$A$20,0)),"all")</f>
        <v/>
      </c>
      <c r="O378" s="5">
        <f>INDEX(Mapping!$E$5:$E$20,MATCH($C378,Mapping!$A$5:$A$20,0))</f>
        <v/>
      </c>
      <c r="P378" s="5">
        <f>INDEX(Mapping!$G$24:$G$31,MATCH($B378,Mapping!$A$24:$A$31,0))</f>
        <v/>
      </c>
      <c r="Q378" s="21" t="n"/>
      <c r="R378" s="21" t="n"/>
      <c r="S378" s="21" t="n"/>
      <c r="T378" s="21" t="n"/>
      <c r="U378" s="21" t="n"/>
      <c r="V378" s="21" t="n"/>
      <c r="W378" s="21" t="n"/>
      <c r="X378" s="21" t="n"/>
      <c r="Y378" s="21" t="n"/>
      <c r="Z378" s="21" t="n"/>
      <c r="AA378" s="21" t="n"/>
      <c r="AB378" s="21" t="n"/>
      <c r="AC378" s="21" t="n"/>
      <c r="AD378" s="21" t="n"/>
      <c r="AE378" s="21" t="n"/>
      <c r="AF378" s="21" t="n"/>
      <c r="AG378" s="21" t="n"/>
      <c r="AH378" s="21" t="n"/>
      <c r="AI378" s="21" t="n"/>
      <c r="AJ378" s="21" t="n"/>
      <c r="AL378" s="23">
        <f>AL118+AL248</f>
        <v/>
      </c>
      <c r="AM378" s="22">
        <f>AM118+AM248</f>
        <v/>
      </c>
      <c r="AN378" s="22">
        <f>AN118+AN248</f>
        <v/>
      </c>
      <c r="AO378" s="22">
        <f>AO118+AO248</f>
        <v/>
      </c>
      <c r="AP378" s="22">
        <f>AP118+AP248</f>
        <v/>
      </c>
      <c r="AQ378" s="22">
        <f>AQ118+AQ248</f>
        <v/>
      </c>
      <c r="AR378" s="22">
        <f>AR118+AR248</f>
        <v/>
      </c>
      <c r="AS378" s="22">
        <f>AS118+AS248</f>
        <v/>
      </c>
      <c r="AT378" s="22">
        <f>AT118+AT248</f>
        <v/>
      </c>
      <c r="AU378" s="22">
        <f>AU118+AU248</f>
        <v/>
      </c>
      <c r="AV378" s="22">
        <f>AV118+AV248</f>
        <v/>
      </c>
      <c r="AW378" s="22">
        <f>AW118+AW248</f>
        <v/>
      </c>
      <c r="AX378" s="22">
        <f>AX118+AX248</f>
        <v/>
      </c>
      <c r="AY378" s="22">
        <f>AY118+AY248</f>
        <v/>
      </c>
      <c r="BA378" s="23">
        <f>BA118+BA248</f>
        <v/>
      </c>
      <c r="BB378" s="22">
        <f>BB118+BB248</f>
        <v/>
      </c>
      <c r="BC378" s="22">
        <f>BC118+BC248</f>
        <v/>
      </c>
      <c r="BD378" s="22">
        <f>BD118+BD248</f>
        <v/>
      </c>
      <c r="BE378" s="22">
        <f>BE118+BE248</f>
        <v/>
      </c>
      <c r="BF378" s="22">
        <f>BF118+BF248</f>
        <v/>
      </c>
      <c r="BG378" s="22">
        <f>BG118+BG248</f>
        <v/>
      </c>
      <c r="BH378" s="22">
        <f>BH118+BH248</f>
        <v/>
      </c>
      <c r="BI378" s="22">
        <f>BI118+BI248</f>
        <v/>
      </c>
      <c r="BJ378" s="22">
        <f>BJ118+BJ248</f>
        <v/>
      </c>
      <c r="BK378" s="22">
        <f>BK118+BK248</f>
        <v/>
      </c>
      <c r="BL378" s="22">
        <f>BL118+BL248</f>
        <v/>
      </c>
      <c r="BM378" s="22">
        <f>BM118+BM248</f>
        <v/>
      </c>
      <c r="BN378" s="22">
        <f>BN118+BN248</f>
        <v/>
      </c>
    </row>
    <row r="379">
      <c r="B379" s="5" t="inlineStr">
        <is>
          <t>lpg</t>
        </is>
      </c>
      <c r="C379" s="5" t="inlineStr">
        <is>
          <t>cst</t>
        </is>
      </c>
      <c r="D379" s="5" t="inlineStr">
        <is>
          <t>Post-tax price | Construction | LPG</t>
        </is>
      </c>
      <c r="E379" s="5" t="inlineStr">
        <is>
          <t>$/GJ</t>
        </is>
      </c>
      <c r="F379" s="5" t="inlineStr">
        <is>
          <t>Calculation</t>
        </is>
      </c>
      <c r="G379" s="19" t="inlineStr"/>
      <c r="H379" s="19" t="inlineStr">
        <is>
          <t>mit.ptp.lpg.cst</t>
        </is>
      </c>
      <c r="J379" s="5">
        <f>INDEX(Mapping!$C$5:$C$20,MATCH($C379,Mapping!$A$5:$A$20,0))</f>
        <v/>
      </c>
      <c r="K379" s="5">
        <f>INDEX(Mapping!$D$5:$D$20,MATCH($C379,Mapping!$A$5:$A$20,0))</f>
        <v/>
      </c>
      <c r="L379" s="5">
        <f>INDEX(Mapping!$C$24:$C$31,MATCH($B379,Mapping!$A$24:$A$31,0))</f>
        <v/>
      </c>
      <c r="M379" s="5">
        <f>INDEX(Mapping!$D$24:$D$31,MATCH($B379,Mapping!$A$24:$A$31,0))</f>
        <v/>
      </c>
      <c r="N379" s="5">
        <f>$B379&amp;"."&amp;IF(INDEX(Mapping!$E$24:$E$31,MATCH($B379,Mapping!$A$24:$A$31,0))="sub",INDEX(Mapping!$F$5:$F$20,MATCH($C379,Mapping!$A$5:$A$20,0)),"all")</f>
        <v/>
      </c>
      <c r="O379" s="5">
        <f>INDEX(Mapping!$E$5:$E$20,MATCH($C379,Mapping!$A$5:$A$20,0))</f>
        <v/>
      </c>
      <c r="P379" s="5">
        <f>INDEX(Mapping!$G$24:$G$31,MATCH($B379,Mapping!$A$24:$A$31,0))</f>
        <v/>
      </c>
      <c r="Q379" s="21" t="n"/>
      <c r="R379" s="21" t="n"/>
      <c r="S379" s="21" t="n"/>
      <c r="T379" s="21" t="n"/>
      <c r="U379" s="21" t="n"/>
      <c r="V379" s="21" t="n"/>
      <c r="W379" s="21" t="n"/>
      <c r="X379" s="21" t="n"/>
      <c r="Y379" s="21" t="n"/>
      <c r="Z379" s="21" t="n"/>
      <c r="AA379" s="21" t="n"/>
      <c r="AB379" s="21" t="n"/>
      <c r="AC379" s="21" t="n"/>
      <c r="AD379" s="21" t="n"/>
      <c r="AE379" s="21" t="n"/>
      <c r="AF379" s="21" t="n"/>
      <c r="AG379" s="21" t="n"/>
      <c r="AH379" s="21" t="n"/>
      <c r="AI379" s="21" t="n"/>
      <c r="AJ379" s="21" t="n"/>
      <c r="AL379" s="23">
        <f>AL119+AL249</f>
        <v/>
      </c>
      <c r="AM379" s="22">
        <f>AM119+AM249</f>
        <v/>
      </c>
      <c r="AN379" s="22">
        <f>AN119+AN249</f>
        <v/>
      </c>
      <c r="AO379" s="22">
        <f>AO119+AO249</f>
        <v/>
      </c>
      <c r="AP379" s="22">
        <f>AP119+AP249</f>
        <v/>
      </c>
      <c r="AQ379" s="22">
        <f>AQ119+AQ249</f>
        <v/>
      </c>
      <c r="AR379" s="22">
        <f>AR119+AR249</f>
        <v/>
      </c>
      <c r="AS379" s="22">
        <f>AS119+AS249</f>
        <v/>
      </c>
      <c r="AT379" s="22">
        <f>AT119+AT249</f>
        <v/>
      </c>
      <c r="AU379" s="22">
        <f>AU119+AU249</f>
        <v/>
      </c>
      <c r="AV379" s="22">
        <f>AV119+AV249</f>
        <v/>
      </c>
      <c r="AW379" s="22">
        <f>AW119+AW249</f>
        <v/>
      </c>
      <c r="AX379" s="22">
        <f>AX119+AX249</f>
        <v/>
      </c>
      <c r="AY379" s="22">
        <f>AY119+AY249</f>
        <v/>
      </c>
      <c r="BA379" s="23">
        <f>BA119+BA249</f>
        <v/>
      </c>
      <c r="BB379" s="22">
        <f>BB119+BB249</f>
        <v/>
      </c>
      <c r="BC379" s="22">
        <f>BC119+BC249</f>
        <v/>
      </c>
      <c r="BD379" s="22">
        <f>BD119+BD249</f>
        <v/>
      </c>
      <c r="BE379" s="22">
        <f>BE119+BE249</f>
        <v/>
      </c>
      <c r="BF379" s="22">
        <f>BF119+BF249</f>
        <v/>
      </c>
      <c r="BG379" s="22">
        <f>BG119+BG249</f>
        <v/>
      </c>
      <c r="BH379" s="22">
        <f>BH119+BH249</f>
        <v/>
      </c>
      <c r="BI379" s="22">
        <f>BI119+BI249</f>
        <v/>
      </c>
      <c r="BJ379" s="22">
        <f>BJ119+BJ249</f>
        <v/>
      </c>
      <c r="BK379" s="22">
        <f>BK119+BK249</f>
        <v/>
      </c>
      <c r="BL379" s="22">
        <f>BL119+BL249</f>
        <v/>
      </c>
      <c r="BM379" s="22">
        <f>BM119+BM249</f>
        <v/>
      </c>
      <c r="BN379" s="22">
        <f>BN119+BN249</f>
        <v/>
      </c>
    </row>
    <row r="380">
      <c r="B380" s="5" t="inlineStr">
        <is>
          <t>ker</t>
        </is>
      </c>
      <c r="C380" s="5" t="inlineStr">
        <is>
          <t>cst</t>
        </is>
      </c>
      <c r="D380" s="5" t="inlineStr">
        <is>
          <t>Post-tax price | Construction | Kerosene</t>
        </is>
      </c>
      <c r="E380" s="5" t="inlineStr">
        <is>
          <t>$/GJ</t>
        </is>
      </c>
      <c r="F380" s="5" t="inlineStr">
        <is>
          <t>Calculation</t>
        </is>
      </c>
      <c r="G380" s="19" t="inlineStr"/>
      <c r="H380" s="19" t="inlineStr">
        <is>
          <t>mit.ptp.ker.cst</t>
        </is>
      </c>
      <c r="J380" s="5">
        <f>INDEX(Mapping!$C$5:$C$20,MATCH($C380,Mapping!$A$5:$A$20,0))</f>
        <v/>
      </c>
      <c r="K380" s="5">
        <f>INDEX(Mapping!$D$5:$D$20,MATCH($C380,Mapping!$A$5:$A$20,0))</f>
        <v/>
      </c>
      <c r="L380" s="5">
        <f>INDEX(Mapping!$C$24:$C$31,MATCH($B380,Mapping!$A$24:$A$31,0))</f>
        <v/>
      </c>
      <c r="M380" s="5">
        <f>INDEX(Mapping!$D$24:$D$31,MATCH($B380,Mapping!$A$24:$A$31,0))</f>
        <v/>
      </c>
      <c r="N380" s="5">
        <f>$B380&amp;"."&amp;IF(INDEX(Mapping!$E$24:$E$31,MATCH($B380,Mapping!$A$24:$A$31,0))="sub",INDEX(Mapping!$F$5:$F$20,MATCH($C380,Mapping!$A$5:$A$20,0)),"all")</f>
        <v/>
      </c>
      <c r="O380" s="5">
        <f>INDEX(Mapping!$E$5:$E$20,MATCH($C380,Mapping!$A$5:$A$20,0))</f>
        <v/>
      </c>
      <c r="P380" s="5">
        <f>INDEX(Mapping!$G$24:$G$31,MATCH($B380,Mapping!$A$24:$A$31,0))</f>
        <v/>
      </c>
      <c r="Q380" s="21" t="n"/>
      <c r="R380" s="21" t="n"/>
      <c r="S380" s="21" t="n"/>
      <c r="T380" s="21" t="n"/>
      <c r="U380" s="21" t="n"/>
      <c r="V380" s="21" t="n"/>
      <c r="W380" s="21" t="n"/>
      <c r="X380" s="21" t="n"/>
      <c r="Y380" s="21" t="n"/>
      <c r="Z380" s="21" t="n"/>
      <c r="AA380" s="21" t="n"/>
      <c r="AB380" s="21" t="n"/>
      <c r="AC380" s="21" t="n"/>
      <c r="AD380" s="21" t="n"/>
      <c r="AE380" s="21" t="n"/>
      <c r="AF380" s="21" t="n"/>
      <c r="AG380" s="21" t="n"/>
      <c r="AH380" s="21" t="n"/>
      <c r="AI380" s="21" t="n"/>
      <c r="AJ380" s="21" t="n"/>
      <c r="AL380" s="23">
        <f>AL120+AL250</f>
        <v/>
      </c>
      <c r="AM380" s="22">
        <f>AM120+AM250</f>
        <v/>
      </c>
      <c r="AN380" s="22">
        <f>AN120+AN250</f>
        <v/>
      </c>
      <c r="AO380" s="22">
        <f>AO120+AO250</f>
        <v/>
      </c>
      <c r="AP380" s="22">
        <f>AP120+AP250</f>
        <v/>
      </c>
      <c r="AQ380" s="22">
        <f>AQ120+AQ250</f>
        <v/>
      </c>
      <c r="AR380" s="22">
        <f>AR120+AR250</f>
        <v/>
      </c>
      <c r="AS380" s="22">
        <f>AS120+AS250</f>
        <v/>
      </c>
      <c r="AT380" s="22">
        <f>AT120+AT250</f>
        <v/>
      </c>
      <c r="AU380" s="22">
        <f>AU120+AU250</f>
        <v/>
      </c>
      <c r="AV380" s="22">
        <f>AV120+AV250</f>
        <v/>
      </c>
      <c r="AW380" s="22">
        <f>AW120+AW250</f>
        <v/>
      </c>
      <c r="AX380" s="22">
        <f>AX120+AX250</f>
        <v/>
      </c>
      <c r="AY380" s="22">
        <f>AY120+AY250</f>
        <v/>
      </c>
      <c r="BA380" s="23">
        <f>BA120+BA250</f>
        <v/>
      </c>
      <c r="BB380" s="22">
        <f>BB120+BB250</f>
        <v/>
      </c>
      <c r="BC380" s="22">
        <f>BC120+BC250</f>
        <v/>
      </c>
      <c r="BD380" s="22">
        <f>BD120+BD250</f>
        <v/>
      </c>
      <c r="BE380" s="22">
        <f>BE120+BE250</f>
        <v/>
      </c>
      <c r="BF380" s="22">
        <f>BF120+BF250</f>
        <v/>
      </c>
      <c r="BG380" s="22">
        <f>BG120+BG250</f>
        <v/>
      </c>
      <c r="BH380" s="22">
        <f>BH120+BH250</f>
        <v/>
      </c>
      <c r="BI380" s="22">
        <f>BI120+BI250</f>
        <v/>
      </c>
      <c r="BJ380" s="22">
        <f>BJ120+BJ250</f>
        <v/>
      </c>
      <c r="BK380" s="22">
        <f>BK120+BK250</f>
        <v/>
      </c>
      <c r="BL380" s="22">
        <f>BL120+BL250</f>
        <v/>
      </c>
      <c r="BM380" s="22">
        <f>BM120+BM250</f>
        <v/>
      </c>
      <c r="BN380" s="22">
        <f>BN120+BN250</f>
        <v/>
      </c>
    </row>
    <row r="381">
      <c r="B381" s="5" t="inlineStr">
        <is>
          <t>oop</t>
        </is>
      </c>
      <c r="C381" s="5" t="inlineStr">
        <is>
          <t>cst</t>
        </is>
      </c>
      <c r="D381" s="5" t="inlineStr">
        <is>
          <t>Post-tax price | Construction | Other oil products</t>
        </is>
      </c>
      <c r="E381" s="5" t="inlineStr">
        <is>
          <t>$/GJ</t>
        </is>
      </c>
      <c r="F381" s="5" t="inlineStr">
        <is>
          <t>Calculation</t>
        </is>
      </c>
      <c r="G381" s="19" t="inlineStr"/>
      <c r="H381" s="19" t="inlineStr">
        <is>
          <t>mit.ptp.oop.cst</t>
        </is>
      </c>
      <c r="J381" s="5">
        <f>INDEX(Mapping!$C$5:$C$20,MATCH($C381,Mapping!$A$5:$A$20,0))</f>
        <v/>
      </c>
      <c r="K381" s="5">
        <f>INDEX(Mapping!$D$5:$D$20,MATCH($C381,Mapping!$A$5:$A$20,0))</f>
        <v/>
      </c>
      <c r="L381" s="5">
        <f>INDEX(Mapping!$C$24:$C$31,MATCH($B381,Mapping!$A$24:$A$31,0))</f>
        <v/>
      </c>
      <c r="M381" s="5">
        <f>INDEX(Mapping!$D$24:$D$31,MATCH($B381,Mapping!$A$24:$A$31,0))</f>
        <v/>
      </c>
      <c r="N381" s="5">
        <f>$B381&amp;"."&amp;IF(INDEX(Mapping!$E$24:$E$31,MATCH($B381,Mapping!$A$24:$A$31,0))="sub",INDEX(Mapping!$F$5:$F$20,MATCH($C381,Mapping!$A$5:$A$20,0)),"all")</f>
        <v/>
      </c>
      <c r="O381" s="5">
        <f>INDEX(Mapping!$E$5:$E$20,MATCH($C381,Mapping!$A$5:$A$20,0))</f>
        <v/>
      </c>
      <c r="P381" s="5">
        <f>INDEX(Mapping!$G$24:$G$31,MATCH($B381,Mapping!$A$24:$A$31,0))</f>
        <v/>
      </c>
      <c r="Q381" s="21" t="n"/>
      <c r="R381" s="21" t="n"/>
      <c r="S381" s="21" t="n"/>
      <c r="T381" s="21" t="n"/>
      <c r="U381" s="21" t="n"/>
      <c r="V381" s="21" t="n"/>
      <c r="W381" s="21" t="n"/>
      <c r="X381" s="21" t="n"/>
      <c r="Y381" s="21" t="n"/>
      <c r="Z381" s="21" t="n"/>
      <c r="AA381" s="21" t="n"/>
      <c r="AB381" s="21" t="n"/>
      <c r="AC381" s="21" t="n"/>
      <c r="AD381" s="21" t="n"/>
      <c r="AE381" s="21" t="n"/>
      <c r="AF381" s="21" t="n"/>
      <c r="AG381" s="21" t="n"/>
      <c r="AH381" s="21" t="n"/>
      <c r="AI381" s="21" t="n"/>
      <c r="AJ381" s="21" t="n"/>
      <c r="AL381" s="23">
        <f>AL121+AL251</f>
        <v/>
      </c>
      <c r="AM381" s="22">
        <f>AM121+AM251</f>
        <v/>
      </c>
      <c r="AN381" s="22">
        <f>AN121+AN251</f>
        <v/>
      </c>
      <c r="AO381" s="22">
        <f>AO121+AO251</f>
        <v/>
      </c>
      <c r="AP381" s="22">
        <f>AP121+AP251</f>
        <v/>
      </c>
      <c r="AQ381" s="22">
        <f>AQ121+AQ251</f>
        <v/>
      </c>
      <c r="AR381" s="22">
        <f>AR121+AR251</f>
        <v/>
      </c>
      <c r="AS381" s="22">
        <f>AS121+AS251</f>
        <v/>
      </c>
      <c r="AT381" s="22">
        <f>AT121+AT251</f>
        <v/>
      </c>
      <c r="AU381" s="22">
        <f>AU121+AU251</f>
        <v/>
      </c>
      <c r="AV381" s="22">
        <f>AV121+AV251</f>
        <v/>
      </c>
      <c r="AW381" s="22">
        <f>AW121+AW251</f>
        <v/>
      </c>
      <c r="AX381" s="22">
        <f>AX121+AX251</f>
        <v/>
      </c>
      <c r="AY381" s="22">
        <f>AY121+AY251</f>
        <v/>
      </c>
      <c r="BA381" s="23">
        <f>BA121+BA251</f>
        <v/>
      </c>
      <c r="BB381" s="22">
        <f>BB121+BB251</f>
        <v/>
      </c>
      <c r="BC381" s="22">
        <f>BC121+BC251</f>
        <v/>
      </c>
      <c r="BD381" s="22">
        <f>BD121+BD251</f>
        <v/>
      </c>
      <c r="BE381" s="22">
        <f>BE121+BE251</f>
        <v/>
      </c>
      <c r="BF381" s="22">
        <f>BF121+BF251</f>
        <v/>
      </c>
      <c r="BG381" s="22">
        <f>BG121+BG251</f>
        <v/>
      </c>
      <c r="BH381" s="22">
        <f>BH121+BH251</f>
        <v/>
      </c>
      <c r="BI381" s="22">
        <f>BI121+BI251</f>
        <v/>
      </c>
      <c r="BJ381" s="22">
        <f>BJ121+BJ251</f>
        <v/>
      </c>
      <c r="BK381" s="22">
        <f>BK121+BK251</f>
        <v/>
      </c>
      <c r="BL381" s="22">
        <f>BL121+BL251</f>
        <v/>
      </c>
      <c r="BM381" s="22">
        <f>BM121+BM251</f>
        <v/>
      </c>
      <c r="BN381" s="22">
        <f>BN121+BN251</f>
        <v/>
      </c>
    </row>
    <row r="382">
      <c r="B382" s="5" t="inlineStr">
        <is>
          <t>bio</t>
        </is>
      </c>
      <c r="C382" s="5" t="inlineStr">
        <is>
          <t>cst</t>
        </is>
      </c>
      <c r="D382" s="5" t="inlineStr">
        <is>
          <t>Post-tax price | Construction | Biomass</t>
        </is>
      </c>
      <c r="E382" s="5" t="inlineStr">
        <is>
          <t>$/GJ</t>
        </is>
      </c>
      <c r="F382" s="5" t="inlineStr">
        <is>
          <t>Calculation</t>
        </is>
      </c>
      <c r="G382" s="19" t="inlineStr"/>
      <c r="H382" s="19" t="inlineStr">
        <is>
          <t>mit.ptp.bio.cst</t>
        </is>
      </c>
      <c r="J382" s="5">
        <f>INDEX(Mapping!$C$5:$C$20,MATCH($C382,Mapping!$A$5:$A$20,0))</f>
        <v/>
      </c>
      <c r="K382" s="5">
        <f>INDEX(Mapping!$D$5:$D$20,MATCH($C382,Mapping!$A$5:$A$20,0))</f>
        <v/>
      </c>
      <c r="L382" s="5">
        <f>INDEX(Mapping!$C$24:$C$31,MATCH($B382,Mapping!$A$24:$A$31,0))</f>
        <v/>
      </c>
      <c r="M382" s="5">
        <f>INDEX(Mapping!$D$24:$D$31,MATCH($B382,Mapping!$A$24:$A$31,0))</f>
        <v/>
      </c>
      <c r="N382" s="5">
        <f>$B382&amp;"."&amp;IF(INDEX(Mapping!$E$24:$E$31,MATCH($B382,Mapping!$A$24:$A$31,0))="sub",INDEX(Mapping!$F$5:$F$20,MATCH($C382,Mapping!$A$5:$A$20,0)),"all")</f>
        <v/>
      </c>
      <c r="O382" s="5">
        <f>INDEX(Mapping!$E$5:$E$20,MATCH($C382,Mapping!$A$5:$A$20,0))</f>
        <v/>
      </c>
      <c r="P382" s="5">
        <f>INDEX(Mapping!$G$24:$G$31,MATCH($B382,Mapping!$A$24:$A$31,0))</f>
        <v/>
      </c>
      <c r="Q382" s="21" t="n"/>
      <c r="R382" s="21" t="n"/>
      <c r="S382" s="21" t="n"/>
      <c r="T382" s="21" t="n"/>
      <c r="U382" s="21" t="n"/>
      <c r="V382" s="21" t="n"/>
      <c r="W382" s="21" t="n"/>
      <c r="X382" s="21" t="n"/>
      <c r="Y382" s="21" t="n"/>
      <c r="Z382" s="21" t="n"/>
      <c r="AA382" s="21" t="n"/>
      <c r="AB382" s="21" t="n"/>
      <c r="AC382" s="21" t="n"/>
      <c r="AD382" s="21" t="n"/>
      <c r="AE382" s="21" t="n"/>
      <c r="AF382" s="21" t="n"/>
      <c r="AG382" s="21" t="n"/>
      <c r="AH382" s="21" t="n"/>
      <c r="AI382" s="21" t="n"/>
      <c r="AJ382" s="21" t="n"/>
      <c r="AL382" s="23">
        <f>AL122+AL252</f>
        <v/>
      </c>
      <c r="AM382" s="22">
        <f>AM122+AM252</f>
        <v/>
      </c>
      <c r="AN382" s="22">
        <f>AN122+AN252</f>
        <v/>
      </c>
      <c r="AO382" s="22">
        <f>AO122+AO252</f>
        <v/>
      </c>
      <c r="AP382" s="22">
        <f>AP122+AP252</f>
        <v/>
      </c>
      <c r="AQ382" s="22">
        <f>AQ122+AQ252</f>
        <v/>
      </c>
      <c r="AR382" s="22">
        <f>AR122+AR252</f>
        <v/>
      </c>
      <c r="AS382" s="22">
        <f>AS122+AS252</f>
        <v/>
      </c>
      <c r="AT382" s="22">
        <f>AT122+AT252</f>
        <v/>
      </c>
      <c r="AU382" s="22">
        <f>AU122+AU252</f>
        <v/>
      </c>
      <c r="AV382" s="22">
        <f>AV122+AV252</f>
        <v/>
      </c>
      <c r="AW382" s="22">
        <f>AW122+AW252</f>
        <v/>
      </c>
      <c r="AX382" s="22">
        <f>AX122+AX252</f>
        <v/>
      </c>
      <c r="AY382" s="22">
        <f>AY122+AY252</f>
        <v/>
      </c>
      <c r="BA382" s="23">
        <f>BA122+BA252</f>
        <v/>
      </c>
      <c r="BB382" s="22">
        <f>BB122+BB252</f>
        <v/>
      </c>
      <c r="BC382" s="22">
        <f>BC122+BC252</f>
        <v/>
      </c>
      <c r="BD382" s="22">
        <f>BD122+BD252</f>
        <v/>
      </c>
      <c r="BE382" s="22">
        <f>BE122+BE252</f>
        <v/>
      </c>
      <c r="BF382" s="22">
        <f>BF122+BF252</f>
        <v/>
      </c>
      <c r="BG382" s="22">
        <f>BG122+BG252</f>
        <v/>
      </c>
      <c r="BH382" s="22">
        <f>BH122+BH252</f>
        <v/>
      </c>
      <c r="BI382" s="22">
        <f>BI122+BI252</f>
        <v/>
      </c>
      <c r="BJ382" s="22">
        <f>BJ122+BJ252</f>
        <v/>
      </c>
      <c r="BK382" s="22">
        <f>BK122+BK252</f>
        <v/>
      </c>
      <c r="BL382" s="22">
        <f>BL122+BL252</f>
        <v/>
      </c>
      <c r="BM382" s="22">
        <f>BM122+BM252</f>
        <v/>
      </c>
      <c r="BN382" s="22">
        <f>BN122+BN252</f>
        <v/>
      </c>
    </row>
    <row r="383">
      <c r="B383" s="5" t="inlineStr">
        <is>
          <t>coa</t>
        </is>
      </c>
      <c r="C383" s="5" t="inlineStr">
        <is>
          <t>ftr</t>
        </is>
      </c>
      <c r="D383" s="5" t="inlineStr">
        <is>
          <t>Post-tax price | Fuel transformation | Coal</t>
        </is>
      </c>
      <c r="E383" s="5" t="inlineStr">
        <is>
          <t>$/GJ</t>
        </is>
      </c>
      <c r="F383" s="5" t="inlineStr">
        <is>
          <t>Calculation</t>
        </is>
      </c>
      <c r="G383" s="19" t="inlineStr"/>
      <c r="H383" s="19" t="inlineStr">
        <is>
          <t>mit.ptp.coa.ftr</t>
        </is>
      </c>
      <c r="J383" s="5">
        <f>INDEX(Mapping!$C$5:$C$20,MATCH($C383,Mapping!$A$5:$A$20,0))</f>
        <v/>
      </c>
      <c r="K383" s="5">
        <f>INDEX(Mapping!$D$5:$D$20,MATCH($C383,Mapping!$A$5:$A$20,0))</f>
        <v/>
      </c>
      <c r="L383" s="5">
        <f>INDEX(Mapping!$C$24:$C$31,MATCH($B383,Mapping!$A$24:$A$31,0))</f>
        <v/>
      </c>
      <c r="M383" s="5">
        <f>INDEX(Mapping!$D$24:$D$31,MATCH($B383,Mapping!$A$24:$A$31,0))</f>
        <v/>
      </c>
      <c r="N383" s="5">
        <f>$B383&amp;"."&amp;IF(INDEX(Mapping!$E$24:$E$31,MATCH($B383,Mapping!$A$24:$A$31,0))="sub",INDEX(Mapping!$F$5:$F$20,MATCH($C383,Mapping!$A$5:$A$20,0)),"all")</f>
        <v/>
      </c>
      <c r="O383" s="5">
        <f>INDEX(Mapping!$E$5:$E$20,MATCH($C383,Mapping!$A$5:$A$20,0))</f>
        <v/>
      </c>
      <c r="P383" s="5">
        <f>INDEX(Mapping!$G$24:$G$31,MATCH($B383,Mapping!$A$24:$A$31,0))</f>
        <v/>
      </c>
      <c r="Q383" s="21" t="n"/>
      <c r="R383" s="21" t="n"/>
      <c r="S383" s="21" t="n"/>
      <c r="T383" s="21" t="n"/>
      <c r="U383" s="21" t="n"/>
      <c r="V383" s="21" t="n"/>
      <c r="W383" s="21" t="n"/>
      <c r="X383" s="21" t="n"/>
      <c r="Y383" s="21" t="n"/>
      <c r="Z383" s="21" t="n"/>
      <c r="AA383" s="21" t="n"/>
      <c r="AB383" s="21" t="n"/>
      <c r="AC383" s="21" t="n"/>
      <c r="AD383" s="21" t="n"/>
      <c r="AE383" s="21" t="n"/>
      <c r="AF383" s="21" t="n"/>
      <c r="AG383" s="21" t="n"/>
      <c r="AH383" s="21" t="n"/>
      <c r="AI383" s="21" t="n"/>
      <c r="AJ383" s="21" t="n"/>
      <c r="AL383" s="23">
        <f>AL123+AL253</f>
        <v/>
      </c>
      <c r="AM383" s="22">
        <f>AM123+AM253</f>
        <v/>
      </c>
      <c r="AN383" s="22">
        <f>AN123+AN253</f>
        <v/>
      </c>
      <c r="AO383" s="22">
        <f>AO123+AO253</f>
        <v/>
      </c>
      <c r="AP383" s="22">
        <f>AP123+AP253</f>
        <v/>
      </c>
      <c r="AQ383" s="22">
        <f>AQ123+AQ253</f>
        <v/>
      </c>
      <c r="AR383" s="22">
        <f>AR123+AR253</f>
        <v/>
      </c>
      <c r="AS383" s="22">
        <f>AS123+AS253</f>
        <v/>
      </c>
      <c r="AT383" s="22">
        <f>AT123+AT253</f>
        <v/>
      </c>
      <c r="AU383" s="22">
        <f>AU123+AU253</f>
        <v/>
      </c>
      <c r="AV383" s="22">
        <f>AV123+AV253</f>
        <v/>
      </c>
      <c r="AW383" s="22">
        <f>AW123+AW253</f>
        <v/>
      </c>
      <c r="AX383" s="22">
        <f>AX123+AX253</f>
        <v/>
      </c>
      <c r="AY383" s="22">
        <f>AY123+AY253</f>
        <v/>
      </c>
      <c r="BA383" s="23">
        <f>BA123+BA253</f>
        <v/>
      </c>
      <c r="BB383" s="22">
        <f>BB123+BB253</f>
        <v/>
      </c>
      <c r="BC383" s="22">
        <f>BC123+BC253</f>
        <v/>
      </c>
      <c r="BD383" s="22">
        <f>BD123+BD253</f>
        <v/>
      </c>
      <c r="BE383" s="22">
        <f>BE123+BE253</f>
        <v/>
      </c>
      <c r="BF383" s="22">
        <f>BF123+BF253</f>
        <v/>
      </c>
      <c r="BG383" s="22">
        <f>BG123+BG253</f>
        <v/>
      </c>
      <c r="BH383" s="22">
        <f>BH123+BH253</f>
        <v/>
      </c>
      <c r="BI383" s="22">
        <f>BI123+BI253</f>
        <v/>
      </c>
      <c r="BJ383" s="22">
        <f>BJ123+BJ253</f>
        <v/>
      </c>
      <c r="BK383" s="22">
        <f>BK123+BK253</f>
        <v/>
      </c>
      <c r="BL383" s="22">
        <f>BL123+BL253</f>
        <v/>
      </c>
      <c r="BM383" s="22">
        <f>BM123+BM253</f>
        <v/>
      </c>
      <c r="BN383" s="22">
        <f>BN123+BN253</f>
        <v/>
      </c>
    </row>
    <row r="384">
      <c r="B384" s="5" t="inlineStr">
        <is>
          <t>nga</t>
        </is>
      </c>
      <c r="C384" s="5" t="inlineStr">
        <is>
          <t>ftr</t>
        </is>
      </c>
      <c r="D384" s="5" t="inlineStr">
        <is>
          <t>Post-tax price | Fuel transformation | Natural gas</t>
        </is>
      </c>
      <c r="E384" s="5" t="inlineStr">
        <is>
          <t>$/GJ</t>
        </is>
      </c>
      <c r="F384" s="5" t="inlineStr">
        <is>
          <t>Calculation</t>
        </is>
      </c>
      <c r="G384" s="19" t="inlineStr"/>
      <c r="H384" s="19" t="inlineStr">
        <is>
          <t>mit.ptp.nga.ftr</t>
        </is>
      </c>
      <c r="J384" s="5">
        <f>INDEX(Mapping!$C$5:$C$20,MATCH($C384,Mapping!$A$5:$A$20,0))</f>
        <v/>
      </c>
      <c r="K384" s="5">
        <f>INDEX(Mapping!$D$5:$D$20,MATCH($C384,Mapping!$A$5:$A$20,0))</f>
        <v/>
      </c>
      <c r="L384" s="5">
        <f>INDEX(Mapping!$C$24:$C$31,MATCH($B384,Mapping!$A$24:$A$31,0))</f>
        <v/>
      </c>
      <c r="M384" s="5">
        <f>INDEX(Mapping!$D$24:$D$31,MATCH($B384,Mapping!$A$24:$A$31,0))</f>
        <v/>
      </c>
      <c r="N384" s="5">
        <f>$B384&amp;"."&amp;IF(INDEX(Mapping!$E$24:$E$31,MATCH($B384,Mapping!$A$24:$A$31,0))="sub",INDEX(Mapping!$F$5:$F$20,MATCH($C384,Mapping!$A$5:$A$20,0)),"all")</f>
        <v/>
      </c>
      <c r="O384" s="5">
        <f>INDEX(Mapping!$E$5:$E$20,MATCH($C384,Mapping!$A$5:$A$20,0))</f>
        <v/>
      </c>
      <c r="P384" s="5">
        <f>INDEX(Mapping!$G$24:$G$31,MATCH($B384,Mapping!$A$24:$A$31,0))</f>
        <v/>
      </c>
      <c r="Q384" s="21" t="n"/>
      <c r="R384" s="21" t="n"/>
      <c r="S384" s="21" t="n"/>
      <c r="T384" s="21" t="n"/>
      <c r="U384" s="21" t="n"/>
      <c r="V384" s="21" t="n"/>
      <c r="W384" s="21" t="n"/>
      <c r="X384" s="21" t="n"/>
      <c r="Y384" s="21" t="n"/>
      <c r="Z384" s="21" t="n"/>
      <c r="AA384" s="21" t="n"/>
      <c r="AB384" s="21" t="n"/>
      <c r="AC384" s="21" t="n"/>
      <c r="AD384" s="21" t="n"/>
      <c r="AE384" s="21" t="n"/>
      <c r="AF384" s="21" t="n"/>
      <c r="AG384" s="21" t="n"/>
      <c r="AH384" s="21" t="n"/>
      <c r="AI384" s="21" t="n"/>
      <c r="AJ384" s="21" t="n"/>
      <c r="AL384" s="23">
        <f>AL124+AL254</f>
        <v/>
      </c>
      <c r="AM384" s="22">
        <f>AM124+AM254</f>
        <v/>
      </c>
      <c r="AN384" s="22">
        <f>AN124+AN254</f>
        <v/>
      </c>
      <c r="AO384" s="22">
        <f>AO124+AO254</f>
        <v/>
      </c>
      <c r="AP384" s="22">
        <f>AP124+AP254</f>
        <v/>
      </c>
      <c r="AQ384" s="22">
        <f>AQ124+AQ254</f>
        <v/>
      </c>
      <c r="AR384" s="22">
        <f>AR124+AR254</f>
        <v/>
      </c>
      <c r="AS384" s="22">
        <f>AS124+AS254</f>
        <v/>
      </c>
      <c r="AT384" s="22">
        <f>AT124+AT254</f>
        <v/>
      </c>
      <c r="AU384" s="22">
        <f>AU124+AU254</f>
        <v/>
      </c>
      <c r="AV384" s="22">
        <f>AV124+AV254</f>
        <v/>
      </c>
      <c r="AW384" s="22">
        <f>AW124+AW254</f>
        <v/>
      </c>
      <c r="AX384" s="22">
        <f>AX124+AX254</f>
        <v/>
      </c>
      <c r="AY384" s="22">
        <f>AY124+AY254</f>
        <v/>
      </c>
      <c r="BA384" s="23">
        <f>BA124+BA254</f>
        <v/>
      </c>
      <c r="BB384" s="22">
        <f>BB124+BB254</f>
        <v/>
      </c>
      <c r="BC384" s="22">
        <f>BC124+BC254</f>
        <v/>
      </c>
      <c r="BD384" s="22">
        <f>BD124+BD254</f>
        <v/>
      </c>
      <c r="BE384" s="22">
        <f>BE124+BE254</f>
        <v/>
      </c>
      <c r="BF384" s="22">
        <f>BF124+BF254</f>
        <v/>
      </c>
      <c r="BG384" s="22">
        <f>BG124+BG254</f>
        <v/>
      </c>
      <c r="BH384" s="22">
        <f>BH124+BH254</f>
        <v/>
      </c>
      <c r="BI384" s="22">
        <f>BI124+BI254</f>
        <v/>
      </c>
      <c r="BJ384" s="22">
        <f>BJ124+BJ254</f>
        <v/>
      </c>
      <c r="BK384" s="22">
        <f>BK124+BK254</f>
        <v/>
      </c>
      <c r="BL384" s="22">
        <f>BL124+BL254</f>
        <v/>
      </c>
      <c r="BM384" s="22">
        <f>BM124+BM254</f>
        <v/>
      </c>
      <c r="BN384" s="22">
        <f>BN124+BN254</f>
        <v/>
      </c>
    </row>
    <row r="385">
      <c r="B385" s="5" t="inlineStr">
        <is>
          <t>gso</t>
        </is>
      </c>
      <c r="C385" s="5" t="inlineStr">
        <is>
          <t>ftr</t>
        </is>
      </c>
      <c r="D385" s="5" t="inlineStr">
        <is>
          <t>Post-tax price | Fuel transformation | Gasoline</t>
        </is>
      </c>
      <c r="E385" s="5" t="inlineStr">
        <is>
          <t>$/GJ</t>
        </is>
      </c>
      <c r="F385" s="5" t="inlineStr">
        <is>
          <t>Calculation</t>
        </is>
      </c>
      <c r="G385" s="19" t="inlineStr"/>
      <c r="H385" s="19" t="inlineStr">
        <is>
          <t>mit.ptp.gso.ftr</t>
        </is>
      </c>
      <c r="J385" s="5">
        <f>INDEX(Mapping!$C$5:$C$20,MATCH($C385,Mapping!$A$5:$A$20,0))</f>
        <v/>
      </c>
      <c r="K385" s="5">
        <f>INDEX(Mapping!$D$5:$D$20,MATCH($C385,Mapping!$A$5:$A$20,0))</f>
        <v/>
      </c>
      <c r="L385" s="5">
        <f>INDEX(Mapping!$C$24:$C$31,MATCH($B385,Mapping!$A$24:$A$31,0))</f>
        <v/>
      </c>
      <c r="M385" s="5">
        <f>INDEX(Mapping!$D$24:$D$31,MATCH($B385,Mapping!$A$24:$A$31,0))</f>
        <v/>
      </c>
      <c r="N385" s="5">
        <f>$B385&amp;"."&amp;IF(INDEX(Mapping!$E$24:$E$31,MATCH($B385,Mapping!$A$24:$A$31,0))="sub",INDEX(Mapping!$F$5:$F$20,MATCH($C385,Mapping!$A$5:$A$20,0)),"all")</f>
        <v/>
      </c>
      <c r="O385" s="5">
        <f>INDEX(Mapping!$E$5:$E$20,MATCH($C385,Mapping!$A$5:$A$20,0))</f>
        <v/>
      </c>
      <c r="P385" s="5">
        <f>INDEX(Mapping!$G$24:$G$31,MATCH($B385,Mapping!$A$24:$A$31,0))</f>
        <v/>
      </c>
      <c r="Q385" s="21" t="n"/>
      <c r="R385" s="21" t="n"/>
      <c r="S385" s="21" t="n"/>
      <c r="T385" s="21" t="n"/>
      <c r="U385" s="21" t="n"/>
      <c r="V385" s="21" t="n"/>
      <c r="W385" s="21" t="n"/>
      <c r="X385" s="21" t="n"/>
      <c r="Y385" s="21" t="n"/>
      <c r="Z385" s="21" t="n"/>
      <c r="AA385" s="21" t="n"/>
      <c r="AB385" s="21" t="n"/>
      <c r="AC385" s="21" t="n"/>
      <c r="AD385" s="21" t="n"/>
      <c r="AE385" s="21" t="n"/>
      <c r="AF385" s="21" t="n"/>
      <c r="AG385" s="21" t="n"/>
      <c r="AH385" s="21" t="n"/>
      <c r="AI385" s="21" t="n"/>
      <c r="AJ385" s="21" t="n"/>
      <c r="AL385" s="23">
        <f>AL125+AL255</f>
        <v/>
      </c>
      <c r="AM385" s="22">
        <f>AM125+AM255</f>
        <v/>
      </c>
      <c r="AN385" s="22">
        <f>AN125+AN255</f>
        <v/>
      </c>
      <c r="AO385" s="22">
        <f>AO125+AO255</f>
        <v/>
      </c>
      <c r="AP385" s="22">
        <f>AP125+AP255</f>
        <v/>
      </c>
      <c r="AQ385" s="22">
        <f>AQ125+AQ255</f>
        <v/>
      </c>
      <c r="AR385" s="22">
        <f>AR125+AR255</f>
        <v/>
      </c>
      <c r="AS385" s="22">
        <f>AS125+AS255</f>
        <v/>
      </c>
      <c r="AT385" s="22">
        <f>AT125+AT255</f>
        <v/>
      </c>
      <c r="AU385" s="22">
        <f>AU125+AU255</f>
        <v/>
      </c>
      <c r="AV385" s="22">
        <f>AV125+AV255</f>
        <v/>
      </c>
      <c r="AW385" s="22">
        <f>AW125+AW255</f>
        <v/>
      </c>
      <c r="AX385" s="22">
        <f>AX125+AX255</f>
        <v/>
      </c>
      <c r="AY385" s="22">
        <f>AY125+AY255</f>
        <v/>
      </c>
      <c r="BA385" s="23">
        <f>BA125+BA255</f>
        <v/>
      </c>
      <c r="BB385" s="22">
        <f>BB125+BB255</f>
        <v/>
      </c>
      <c r="BC385" s="22">
        <f>BC125+BC255</f>
        <v/>
      </c>
      <c r="BD385" s="22">
        <f>BD125+BD255</f>
        <v/>
      </c>
      <c r="BE385" s="22">
        <f>BE125+BE255</f>
        <v/>
      </c>
      <c r="BF385" s="22">
        <f>BF125+BF255</f>
        <v/>
      </c>
      <c r="BG385" s="22">
        <f>BG125+BG255</f>
        <v/>
      </c>
      <c r="BH385" s="22">
        <f>BH125+BH255</f>
        <v/>
      </c>
      <c r="BI385" s="22">
        <f>BI125+BI255</f>
        <v/>
      </c>
      <c r="BJ385" s="22">
        <f>BJ125+BJ255</f>
        <v/>
      </c>
      <c r="BK385" s="22">
        <f>BK125+BK255</f>
        <v/>
      </c>
      <c r="BL385" s="22">
        <f>BL125+BL255</f>
        <v/>
      </c>
      <c r="BM385" s="22">
        <f>BM125+BM255</f>
        <v/>
      </c>
      <c r="BN385" s="22">
        <f>BN125+BN255</f>
        <v/>
      </c>
    </row>
    <row r="386">
      <c r="B386" s="5" t="inlineStr">
        <is>
          <t>die</t>
        </is>
      </c>
      <c r="C386" s="5" t="inlineStr">
        <is>
          <t>ftr</t>
        </is>
      </c>
      <c r="D386" s="5" t="inlineStr">
        <is>
          <t>Post-tax price | Fuel transformation | Diesel</t>
        </is>
      </c>
      <c r="E386" s="5" t="inlineStr">
        <is>
          <t>$/GJ</t>
        </is>
      </c>
      <c r="F386" s="5" t="inlineStr">
        <is>
          <t>Calculation</t>
        </is>
      </c>
      <c r="G386" s="19" t="inlineStr"/>
      <c r="H386" s="19" t="inlineStr">
        <is>
          <t>mit.ptp.die.ftr</t>
        </is>
      </c>
      <c r="J386" s="5">
        <f>INDEX(Mapping!$C$5:$C$20,MATCH($C386,Mapping!$A$5:$A$20,0))</f>
        <v/>
      </c>
      <c r="K386" s="5">
        <f>INDEX(Mapping!$D$5:$D$20,MATCH($C386,Mapping!$A$5:$A$20,0))</f>
        <v/>
      </c>
      <c r="L386" s="5">
        <f>INDEX(Mapping!$C$24:$C$31,MATCH($B386,Mapping!$A$24:$A$31,0))</f>
        <v/>
      </c>
      <c r="M386" s="5">
        <f>INDEX(Mapping!$D$24:$D$31,MATCH($B386,Mapping!$A$24:$A$31,0))</f>
        <v/>
      </c>
      <c r="N386" s="5">
        <f>$B386&amp;"."&amp;IF(INDEX(Mapping!$E$24:$E$31,MATCH($B386,Mapping!$A$24:$A$31,0))="sub",INDEX(Mapping!$F$5:$F$20,MATCH($C386,Mapping!$A$5:$A$20,0)),"all")</f>
        <v/>
      </c>
      <c r="O386" s="5">
        <f>INDEX(Mapping!$E$5:$E$20,MATCH($C386,Mapping!$A$5:$A$20,0))</f>
        <v/>
      </c>
      <c r="P386" s="5">
        <f>INDEX(Mapping!$G$24:$G$31,MATCH($B386,Mapping!$A$24:$A$31,0))</f>
        <v/>
      </c>
      <c r="Q386" s="21" t="n"/>
      <c r="R386" s="21" t="n"/>
      <c r="S386" s="21" t="n"/>
      <c r="T386" s="21" t="n"/>
      <c r="U386" s="21" t="n"/>
      <c r="V386" s="21" t="n"/>
      <c r="W386" s="21" t="n"/>
      <c r="X386" s="21" t="n"/>
      <c r="Y386" s="21" t="n"/>
      <c r="Z386" s="21" t="n"/>
      <c r="AA386" s="21" t="n"/>
      <c r="AB386" s="21" t="n"/>
      <c r="AC386" s="21" t="n"/>
      <c r="AD386" s="21" t="n"/>
      <c r="AE386" s="21" t="n"/>
      <c r="AF386" s="21" t="n"/>
      <c r="AG386" s="21" t="n"/>
      <c r="AH386" s="21" t="n"/>
      <c r="AI386" s="21" t="n"/>
      <c r="AJ386" s="21" t="n"/>
      <c r="AL386" s="23">
        <f>AL126+AL256</f>
        <v/>
      </c>
      <c r="AM386" s="22">
        <f>AM126+AM256</f>
        <v/>
      </c>
      <c r="AN386" s="22">
        <f>AN126+AN256</f>
        <v/>
      </c>
      <c r="AO386" s="22">
        <f>AO126+AO256</f>
        <v/>
      </c>
      <c r="AP386" s="22">
        <f>AP126+AP256</f>
        <v/>
      </c>
      <c r="AQ386" s="22">
        <f>AQ126+AQ256</f>
        <v/>
      </c>
      <c r="AR386" s="22">
        <f>AR126+AR256</f>
        <v/>
      </c>
      <c r="AS386" s="22">
        <f>AS126+AS256</f>
        <v/>
      </c>
      <c r="AT386" s="22">
        <f>AT126+AT256</f>
        <v/>
      </c>
      <c r="AU386" s="22">
        <f>AU126+AU256</f>
        <v/>
      </c>
      <c r="AV386" s="22">
        <f>AV126+AV256</f>
        <v/>
      </c>
      <c r="AW386" s="22">
        <f>AW126+AW256</f>
        <v/>
      </c>
      <c r="AX386" s="22">
        <f>AX126+AX256</f>
        <v/>
      </c>
      <c r="AY386" s="22">
        <f>AY126+AY256</f>
        <v/>
      </c>
      <c r="BA386" s="23">
        <f>BA126+BA256</f>
        <v/>
      </c>
      <c r="BB386" s="22">
        <f>BB126+BB256</f>
        <v/>
      </c>
      <c r="BC386" s="22">
        <f>BC126+BC256</f>
        <v/>
      </c>
      <c r="BD386" s="22">
        <f>BD126+BD256</f>
        <v/>
      </c>
      <c r="BE386" s="22">
        <f>BE126+BE256</f>
        <v/>
      </c>
      <c r="BF386" s="22">
        <f>BF126+BF256</f>
        <v/>
      </c>
      <c r="BG386" s="22">
        <f>BG126+BG256</f>
        <v/>
      </c>
      <c r="BH386" s="22">
        <f>BH126+BH256</f>
        <v/>
      </c>
      <c r="BI386" s="22">
        <f>BI126+BI256</f>
        <v/>
      </c>
      <c r="BJ386" s="22">
        <f>BJ126+BJ256</f>
        <v/>
      </c>
      <c r="BK386" s="22">
        <f>BK126+BK256</f>
        <v/>
      </c>
      <c r="BL386" s="22">
        <f>BL126+BL256</f>
        <v/>
      </c>
      <c r="BM386" s="22">
        <f>BM126+BM256</f>
        <v/>
      </c>
      <c r="BN386" s="22">
        <f>BN126+BN256</f>
        <v/>
      </c>
    </row>
    <row r="387">
      <c r="B387" s="5" t="inlineStr">
        <is>
          <t>lpg</t>
        </is>
      </c>
      <c r="C387" s="5" t="inlineStr">
        <is>
          <t>ftr</t>
        </is>
      </c>
      <c r="D387" s="5" t="inlineStr">
        <is>
          <t>Post-tax price | Fuel transformation | LPG</t>
        </is>
      </c>
      <c r="E387" s="5" t="inlineStr">
        <is>
          <t>$/GJ</t>
        </is>
      </c>
      <c r="F387" s="5" t="inlineStr">
        <is>
          <t>Calculation</t>
        </is>
      </c>
      <c r="G387" s="19" t="inlineStr"/>
      <c r="H387" s="19" t="inlineStr">
        <is>
          <t>mit.ptp.lpg.ftr</t>
        </is>
      </c>
      <c r="J387" s="5">
        <f>INDEX(Mapping!$C$5:$C$20,MATCH($C387,Mapping!$A$5:$A$20,0))</f>
        <v/>
      </c>
      <c r="K387" s="5">
        <f>INDEX(Mapping!$D$5:$D$20,MATCH($C387,Mapping!$A$5:$A$20,0))</f>
        <v/>
      </c>
      <c r="L387" s="5">
        <f>INDEX(Mapping!$C$24:$C$31,MATCH($B387,Mapping!$A$24:$A$31,0))</f>
        <v/>
      </c>
      <c r="M387" s="5">
        <f>INDEX(Mapping!$D$24:$D$31,MATCH($B387,Mapping!$A$24:$A$31,0))</f>
        <v/>
      </c>
      <c r="N387" s="5">
        <f>$B387&amp;"."&amp;IF(INDEX(Mapping!$E$24:$E$31,MATCH($B387,Mapping!$A$24:$A$31,0))="sub",INDEX(Mapping!$F$5:$F$20,MATCH($C387,Mapping!$A$5:$A$20,0)),"all")</f>
        <v/>
      </c>
      <c r="O387" s="5">
        <f>INDEX(Mapping!$E$5:$E$20,MATCH($C387,Mapping!$A$5:$A$20,0))</f>
        <v/>
      </c>
      <c r="P387" s="5">
        <f>INDEX(Mapping!$G$24:$G$31,MATCH($B387,Mapping!$A$24:$A$31,0))</f>
        <v/>
      </c>
      <c r="Q387" s="21" t="n"/>
      <c r="R387" s="21" t="n"/>
      <c r="S387" s="21" t="n"/>
      <c r="T387" s="21" t="n"/>
      <c r="U387" s="21" t="n"/>
      <c r="V387" s="21" t="n"/>
      <c r="W387" s="21" t="n"/>
      <c r="X387" s="21" t="n"/>
      <c r="Y387" s="21" t="n"/>
      <c r="Z387" s="21" t="n"/>
      <c r="AA387" s="21" t="n"/>
      <c r="AB387" s="21" t="n"/>
      <c r="AC387" s="21" t="n"/>
      <c r="AD387" s="21" t="n"/>
      <c r="AE387" s="21" t="n"/>
      <c r="AF387" s="21" t="n"/>
      <c r="AG387" s="21" t="n"/>
      <c r="AH387" s="21" t="n"/>
      <c r="AI387" s="21" t="n"/>
      <c r="AJ387" s="21" t="n"/>
      <c r="AL387" s="23">
        <f>AL127+AL257</f>
        <v/>
      </c>
      <c r="AM387" s="22">
        <f>AM127+AM257</f>
        <v/>
      </c>
      <c r="AN387" s="22">
        <f>AN127+AN257</f>
        <v/>
      </c>
      <c r="AO387" s="22">
        <f>AO127+AO257</f>
        <v/>
      </c>
      <c r="AP387" s="22">
        <f>AP127+AP257</f>
        <v/>
      </c>
      <c r="AQ387" s="22">
        <f>AQ127+AQ257</f>
        <v/>
      </c>
      <c r="AR387" s="22">
        <f>AR127+AR257</f>
        <v/>
      </c>
      <c r="AS387" s="22">
        <f>AS127+AS257</f>
        <v/>
      </c>
      <c r="AT387" s="22">
        <f>AT127+AT257</f>
        <v/>
      </c>
      <c r="AU387" s="22">
        <f>AU127+AU257</f>
        <v/>
      </c>
      <c r="AV387" s="22">
        <f>AV127+AV257</f>
        <v/>
      </c>
      <c r="AW387" s="22">
        <f>AW127+AW257</f>
        <v/>
      </c>
      <c r="AX387" s="22">
        <f>AX127+AX257</f>
        <v/>
      </c>
      <c r="AY387" s="22">
        <f>AY127+AY257</f>
        <v/>
      </c>
      <c r="BA387" s="23">
        <f>BA127+BA257</f>
        <v/>
      </c>
      <c r="BB387" s="22">
        <f>BB127+BB257</f>
        <v/>
      </c>
      <c r="BC387" s="22">
        <f>BC127+BC257</f>
        <v/>
      </c>
      <c r="BD387" s="22">
        <f>BD127+BD257</f>
        <v/>
      </c>
      <c r="BE387" s="22">
        <f>BE127+BE257</f>
        <v/>
      </c>
      <c r="BF387" s="22">
        <f>BF127+BF257</f>
        <v/>
      </c>
      <c r="BG387" s="22">
        <f>BG127+BG257</f>
        <v/>
      </c>
      <c r="BH387" s="22">
        <f>BH127+BH257</f>
        <v/>
      </c>
      <c r="BI387" s="22">
        <f>BI127+BI257</f>
        <v/>
      </c>
      <c r="BJ387" s="22">
        <f>BJ127+BJ257</f>
        <v/>
      </c>
      <c r="BK387" s="22">
        <f>BK127+BK257</f>
        <v/>
      </c>
      <c r="BL387" s="22">
        <f>BL127+BL257</f>
        <v/>
      </c>
      <c r="BM387" s="22">
        <f>BM127+BM257</f>
        <v/>
      </c>
      <c r="BN387" s="22">
        <f>BN127+BN257</f>
        <v/>
      </c>
    </row>
    <row r="388">
      <c r="B388" s="5" t="inlineStr">
        <is>
          <t>ker</t>
        </is>
      </c>
      <c r="C388" s="5" t="inlineStr">
        <is>
          <t>ftr</t>
        </is>
      </c>
      <c r="D388" s="5" t="inlineStr">
        <is>
          <t>Post-tax price | Fuel transformation | Kerosene</t>
        </is>
      </c>
      <c r="E388" s="5" t="inlineStr">
        <is>
          <t>$/GJ</t>
        </is>
      </c>
      <c r="F388" s="5" t="inlineStr">
        <is>
          <t>Calculation</t>
        </is>
      </c>
      <c r="G388" s="19" t="inlineStr"/>
      <c r="H388" s="19" t="inlineStr">
        <is>
          <t>mit.ptp.ker.ftr</t>
        </is>
      </c>
      <c r="J388" s="5">
        <f>INDEX(Mapping!$C$5:$C$20,MATCH($C388,Mapping!$A$5:$A$20,0))</f>
        <v/>
      </c>
      <c r="K388" s="5">
        <f>INDEX(Mapping!$D$5:$D$20,MATCH($C388,Mapping!$A$5:$A$20,0))</f>
        <v/>
      </c>
      <c r="L388" s="5">
        <f>INDEX(Mapping!$C$24:$C$31,MATCH($B388,Mapping!$A$24:$A$31,0))</f>
        <v/>
      </c>
      <c r="M388" s="5">
        <f>INDEX(Mapping!$D$24:$D$31,MATCH($B388,Mapping!$A$24:$A$31,0))</f>
        <v/>
      </c>
      <c r="N388" s="5">
        <f>$B388&amp;"."&amp;IF(INDEX(Mapping!$E$24:$E$31,MATCH($B388,Mapping!$A$24:$A$31,0))="sub",INDEX(Mapping!$F$5:$F$20,MATCH($C388,Mapping!$A$5:$A$20,0)),"all")</f>
        <v/>
      </c>
      <c r="O388" s="5">
        <f>INDEX(Mapping!$E$5:$E$20,MATCH($C388,Mapping!$A$5:$A$20,0))</f>
        <v/>
      </c>
      <c r="P388" s="5">
        <f>INDEX(Mapping!$G$24:$G$31,MATCH($B388,Mapping!$A$24:$A$31,0))</f>
        <v/>
      </c>
      <c r="Q388" s="21" t="n"/>
      <c r="R388" s="21" t="n"/>
      <c r="S388" s="21" t="n"/>
      <c r="T388" s="21" t="n"/>
      <c r="U388" s="21" t="n"/>
      <c r="V388" s="21" t="n"/>
      <c r="W388" s="21" t="n"/>
      <c r="X388" s="21" t="n"/>
      <c r="Y388" s="21" t="n"/>
      <c r="Z388" s="21" t="n"/>
      <c r="AA388" s="21" t="n"/>
      <c r="AB388" s="21" t="n"/>
      <c r="AC388" s="21" t="n"/>
      <c r="AD388" s="21" t="n"/>
      <c r="AE388" s="21" t="n"/>
      <c r="AF388" s="21" t="n"/>
      <c r="AG388" s="21" t="n"/>
      <c r="AH388" s="21" t="n"/>
      <c r="AI388" s="21" t="n"/>
      <c r="AJ388" s="21" t="n"/>
      <c r="AL388" s="23">
        <f>AL128+AL258</f>
        <v/>
      </c>
      <c r="AM388" s="22">
        <f>AM128+AM258</f>
        <v/>
      </c>
      <c r="AN388" s="22">
        <f>AN128+AN258</f>
        <v/>
      </c>
      <c r="AO388" s="22">
        <f>AO128+AO258</f>
        <v/>
      </c>
      <c r="AP388" s="22">
        <f>AP128+AP258</f>
        <v/>
      </c>
      <c r="AQ388" s="22">
        <f>AQ128+AQ258</f>
        <v/>
      </c>
      <c r="AR388" s="22">
        <f>AR128+AR258</f>
        <v/>
      </c>
      <c r="AS388" s="22">
        <f>AS128+AS258</f>
        <v/>
      </c>
      <c r="AT388" s="22">
        <f>AT128+AT258</f>
        <v/>
      </c>
      <c r="AU388" s="22">
        <f>AU128+AU258</f>
        <v/>
      </c>
      <c r="AV388" s="22">
        <f>AV128+AV258</f>
        <v/>
      </c>
      <c r="AW388" s="22">
        <f>AW128+AW258</f>
        <v/>
      </c>
      <c r="AX388" s="22">
        <f>AX128+AX258</f>
        <v/>
      </c>
      <c r="AY388" s="22">
        <f>AY128+AY258</f>
        <v/>
      </c>
      <c r="BA388" s="23">
        <f>BA128+BA258</f>
        <v/>
      </c>
      <c r="BB388" s="22">
        <f>BB128+BB258</f>
        <v/>
      </c>
      <c r="BC388" s="22">
        <f>BC128+BC258</f>
        <v/>
      </c>
      <c r="BD388" s="22">
        <f>BD128+BD258</f>
        <v/>
      </c>
      <c r="BE388" s="22">
        <f>BE128+BE258</f>
        <v/>
      </c>
      <c r="BF388" s="22">
        <f>BF128+BF258</f>
        <v/>
      </c>
      <c r="BG388" s="22">
        <f>BG128+BG258</f>
        <v/>
      </c>
      <c r="BH388" s="22">
        <f>BH128+BH258</f>
        <v/>
      </c>
      <c r="BI388" s="22">
        <f>BI128+BI258</f>
        <v/>
      </c>
      <c r="BJ388" s="22">
        <f>BJ128+BJ258</f>
        <v/>
      </c>
      <c r="BK388" s="22">
        <f>BK128+BK258</f>
        <v/>
      </c>
      <c r="BL388" s="22">
        <f>BL128+BL258</f>
        <v/>
      </c>
      <c r="BM388" s="22">
        <f>BM128+BM258</f>
        <v/>
      </c>
      <c r="BN388" s="22">
        <f>BN128+BN258</f>
        <v/>
      </c>
    </row>
    <row r="389">
      <c r="B389" s="5" t="inlineStr">
        <is>
          <t>oop</t>
        </is>
      </c>
      <c r="C389" s="5" t="inlineStr">
        <is>
          <t>ftr</t>
        </is>
      </c>
      <c r="D389" s="5" t="inlineStr">
        <is>
          <t>Post-tax price | Fuel transformation | Other oil products</t>
        </is>
      </c>
      <c r="E389" s="5" t="inlineStr">
        <is>
          <t>$/GJ</t>
        </is>
      </c>
      <c r="F389" s="5" t="inlineStr">
        <is>
          <t>Calculation</t>
        </is>
      </c>
      <c r="G389" s="19" t="inlineStr"/>
      <c r="H389" s="19" t="inlineStr">
        <is>
          <t>mit.ptp.oop.ftr</t>
        </is>
      </c>
      <c r="J389" s="5">
        <f>INDEX(Mapping!$C$5:$C$20,MATCH($C389,Mapping!$A$5:$A$20,0))</f>
        <v/>
      </c>
      <c r="K389" s="5">
        <f>INDEX(Mapping!$D$5:$D$20,MATCH($C389,Mapping!$A$5:$A$20,0))</f>
        <v/>
      </c>
      <c r="L389" s="5">
        <f>INDEX(Mapping!$C$24:$C$31,MATCH($B389,Mapping!$A$24:$A$31,0))</f>
        <v/>
      </c>
      <c r="M389" s="5">
        <f>INDEX(Mapping!$D$24:$D$31,MATCH($B389,Mapping!$A$24:$A$31,0))</f>
        <v/>
      </c>
      <c r="N389" s="5">
        <f>$B389&amp;"."&amp;IF(INDEX(Mapping!$E$24:$E$31,MATCH($B389,Mapping!$A$24:$A$31,0))="sub",INDEX(Mapping!$F$5:$F$20,MATCH($C389,Mapping!$A$5:$A$20,0)),"all")</f>
        <v/>
      </c>
      <c r="O389" s="5">
        <f>INDEX(Mapping!$E$5:$E$20,MATCH($C389,Mapping!$A$5:$A$20,0))</f>
        <v/>
      </c>
      <c r="P389" s="5">
        <f>INDEX(Mapping!$G$24:$G$31,MATCH($B389,Mapping!$A$24:$A$31,0))</f>
        <v/>
      </c>
      <c r="Q389" s="21" t="n"/>
      <c r="R389" s="21" t="n"/>
      <c r="S389" s="21" t="n"/>
      <c r="T389" s="21" t="n"/>
      <c r="U389" s="21" t="n"/>
      <c r="V389" s="21" t="n"/>
      <c r="W389" s="21" t="n"/>
      <c r="X389" s="21" t="n"/>
      <c r="Y389" s="21" t="n"/>
      <c r="Z389" s="21" t="n"/>
      <c r="AA389" s="21" t="n"/>
      <c r="AB389" s="21" t="n"/>
      <c r="AC389" s="21" t="n"/>
      <c r="AD389" s="21" t="n"/>
      <c r="AE389" s="21" t="n"/>
      <c r="AF389" s="21" t="n"/>
      <c r="AG389" s="21" t="n"/>
      <c r="AH389" s="21" t="n"/>
      <c r="AI389" s="21" t="n"/>
      <c r="AJ389" s="21" t="n"/>
      <c r="AL389" s="23">
        <f>AL129+AL259</f>
        <v/>
      </c>
      <c r="AM389" s="22">
        <f>AM129+AM259</f>
        <v/>
      </c>
      <c r="AN389" s="22">
        <f>AN129+AN259</f>
        <v/>
      </c>
      <c r="AO389" s="22">
        <f>AO129+AO259</f>
        <v/>
      </c>
      <c r="AP389" s="22">
        <f>AP129+AP259</f>
        <v/>
      </c>
      <c r="AQ389" s="22">
        <f>AQ129+AQ259</f>
        <v/>
      </c>
      <c r="AR389" s="22">
        <f>AR129+AR259</f>
        <v/>
      </c>
      <c r="AS389" s="22">
        <f>AS129+AS259</f>
        <v/>
      </c>
      <c r="AT389" s="22">
        <f>AT129+AT259</f>
        <v/>
      </c>
      <c r="AU389" s="22">
        <f>AU129+AU259</f>
        <v/>
      </c>
      <c r="AV389" s="22">
        <f>AV129+AV259</f>
        <v/>
      </c>
      <c r="AW389" s="22">
        <f>AW129+AW259</f>
        <v/>
      </c>
      <c r="AX389" s="22">
        <f>AX129+AX259</f>
        <v/>
      </c>
      <c r="AY389" s="22">
        <f>AY129+AY259</f>
        <v/>
      </c>
      <c r="BA389" s="23">
        <f>BA129+BA259</f>
        <v/>
      </c>
      <c r="BB389" s="22">
        <f>BB129+BB259</f>
        <v/>
      </c>
      <c r="BC389" s="22">
        <f>BC129+BC259</f>
        <v/>
      </c>
      <c r="BD389" s="22">
        <f>BD129+BD259</f>
        <v/>
      </c>
      <c r="BE389" s="22">
        <f>BE129+BE259</f>
        <v/>
      </c>
      <c r="BF389" s="22">
        <f>BF129+BF259</f>
        <v/>
      </c>
      <c r="BG389" s="22">
        <f>BG129+BG259</f>
        <v/>
      </c>
      <c r="BH389" s="22">
        <f>BH129+BH259</f>
        <v/>
      </c>
      <c r="BI389" s="22">
        <f>BI129+BI259</f>
        <v/>
      </c>
      <c r="BJ389" s="22">
        <f>BJ129+BJ259</f>
        <v/>
      </c>
      <c r="BK389" s="22">
        <f>BK129+BK259</f>
        <v/>
      </c>
      <c r="BL389" s="22">
        <f>BL129+BL259</f>
        <v/>
      </c>
      <c r="BM389" s="22">
        <f>BM129+BM259</f>
        <v/>
      </c>
      <c r="BN389" s="22">
        <f>BN129+BN259</f>
        <v/>
      </c>
    </row>
    <row r="390">
      <c r="B390" s="5" t="inlineStr">
        <is>
          <t>bio</t>
        </is>
      </c>
      <c r="C390" s="5" t="inlineStr">
        <is>
          <t>ftr</t>
        </is>
      </c>
      <c r="D390" s="5" t="inlineStr">
        <is>
          <t>Post-tax price | Fuel transformation | Biomass</t>
        </is>
      </c>
      <c r="E390" s="5" t="inlineStr">
        <is>
          <t>$/GJ</t>
        </is>
      </c>
      <c r="F390" s="5" t="inlineStr">
        <is>
          <t>Calculation</t>
        </is>
      </c>
      <c r="G390" s="19" t="inlineStr"/>
      <c r="H390" s="19" t="inlineStr">
        <is>
          <t>mit.ptp.bio.ftr</t>
        </is>
      </c>
      <c r="J390" s="5">
        <f>INDEX(Mapping!$C$5:$C$20,MATCH($C390,Mapping!$A$5:$A$20,0))</f>
        <v/>
      </c>
      <c r="K390" s="5">
        <f>INDEX(Mapping!$D$5:$D$20,MATCH($C390,Mapping!$A$5:$A$20,0))</f>
        <v/>
      </c>
      <c r="L390" s="5">
        <f>INDEX(Mapping!$C$24:$C$31,MATCH($B390,Mapping!$A$24:$A$31,0))</f>
        <v/>
      </c>
      <c r="M390" s="5">
        <f>INDEX(Mapping!$D$24:$D$31,MATCH($B390,Mapping!$A$24:$A$31,0))</f>
        <v/>
      </c>
      <c r="N390" s="5">
        <f>$B390&amp;"."&amp;IF(INDEX(Mapping!$E$24:$E$31,MATCH($B390,Mapping!$A$24:$A$31,0))="sub",INDEX(Mapping!$F$5:$F$20,MATCH($C390,Mapping!$A$5:$A$20,0)),"all")</f>
        <v/>
      </c>
      <c r="O390" s="5">
        <f>INDEX(Mapping!$E$5:$E$20,MATCH($C390,Mapping!$A$5:$A$20,0))</f>
        <v/>
      </c>
      <c r="P390" s="5">
        <f>INDEX(Mapping!$G$24:$G$31,MATCH($B390,Mapping!$A$24:$A$31,0))</f>
        <v/>
      </c>
      <c r="Q390" s="21" t="n"/>
      <c r="R390" s="21" t="n"/>
      <c r="S390" s="21" t="n"/>
      <c r="T390" s="21" t="n"/>
      <c r="U390" s="21" t="n"/>
      <c r="V390" s="21" t="n"/>
      <c r="W390" s="21" t="n"/>
      <c r="X390" s="21" t="n"/>
      <c r="Y390" s="21" t="n"/>
      <c r="Z390" s="21" t="n"/>
      <c r="AA390" s="21" t="n"/>
      <c r="AB390" s="21" t="n"/>
      <c r="AC390" s="21" t="n"/>
      <c r="AD390" s="21" t="n"/>
      <c r="AE390" s="21" t="n"/>
      <c r="AF390" s="21" t="n"/>
      <c r="AG390" s="21" t="n"/>
      <c r="AH390" s="21" t="n"/>
      <c r="AI390" s="21" t="n"/>
      <c r="AJ390" s="21" t="n"/>
      <c r="AL390" s="23">
        <f>AL130+AL260</f>
        <v/>
      </c>
      <c r="AM390" s="22">
        <f>AM130+AM260</f>
        <v/>
      </c>
      <c r="AN390" s="22">
        <f>AN130+AN260</f>
        <v/>
      </c>
      <c r="AO390" s="22">
        <f>AO130+AO260</f>
        <v/>
      </c>
      <c r="AP390" s="22">
        <f>AP130+AP260</f>
        <v/>
      </c>
      <c r="AQ390" s="22">
        <f>AQ130+AQ260</f>
        <v/>
      </c>
      <c r="AR390" s="22">
        <f>AR130+AR260</f>
        <v/>
      </c>
      <c r="AS390" s="22">
        <f>AS130+AS260</f>
        <v/>
      </c>
      <c r="AT390" s="22">
        <f>AT130+AT260</f>
        <v/>
      </c>
      <c r="AU390" s="22">
        <f>AU130+AU260</f>
        <v/>
      </c>
      <c r="AV390" s="22">
        <f>AV130+AV260</f>
        <v/>
      </c>
      <c r="AW390" s="22">
        <f>AW130+AW260</f>
        <v/>
      </c>
      <c r="AX390" s="22">
        <f>AX130+AX260</f>
        <v/>
      </c>
      <c r="AY390" s="22">
        <f>AY130+AY260</f>
        <v/>
      </c>
      <c r="BA390" s="23">
        <f>BA130+BA260</f>
        <v/>
      </c>
      <c r="BB390" s="22">
        <f>BB130+BB260</f>
        <v/>
      </c>
      <c r="BC390" s="22">
        <f>BC130+BC260</f>
        <v/>
      </c>
      <c r="BD390" s="22">
        <f>BD130+BD260</f>
        <v/>
      </c>
      <c r="BE390" s="22">
        <f>BE130+BE260</f>
        <v/>
      </c>
      <c r="BF390" s="22">
        <f>BF130+BF260</f>
        <v/>
      </c>
      <c r="BG390" s="22">
        <f>BG130+BG260</f>
        <v/>
      </c>
      <c r="BH390" s="22">
        <f>BH130+BH260</f>
        <v/>
      </c>
      <c r="BI390" s="22">
        <f>BI130+BI260</f>
        <v/>
      </c>
      <c r="BJ390" s="22">
        <f>BJ130+BJ260</f>
        <v/>
      </c>
      <c r="BK390" s="22">
        <f>BK130+BK260</f>
        <v/>
      </c>
      <c r="BL390" s="22">
        <f>BL130+BL260</f>
        <v/>
      </c>
      <c r="BM390" s="22">
        <f>BM130+BM260</f>
        <v/>
      </c>
      <c r="BN390" s="22">
        <f>BN130+BN260</f>
        <v/>
      </c>
    </row>
    <row r="391">
      <c r="B391" s="5" t="inlineStr">
        <is>
          <t>coa</t>
        </is>
      </c>
      <c r="C391" s="5" t="inlineStr">
        <is>
          <t>oen</t>
        </is>
      </c>
      <c r="D391" s="5" t="inlineStr">
        <is>
          <t>Post-tax price | Other energy use | Coal</t>
        </is>
      </c>
      <c r="E391" s="5" t="inlineStr">
        <is>
          <t>$/GJ</t>
        </is>
      </c>
      <c r="F391" s="5" t="inlineStr">
        <is>
          <t>Calculation</t>
        </is>
      </c>
      <c r="G391" s="19" t="inlineStr"/>
      <c r="H391" s="19" t="inlineStr">
        <is>
          <t>mit.ptp.coa.oen</t>
        </is>
      </c>
      <c r="J391" s="5">
        <f>INDEX(Mapping!$C$5:$C$20,MATCH($C391,Mapping!$A$5:$A$20,0))</f>
        <v/>
      </c>
      <c r="K391" s="5">
        <f>INDEX(Mapping!$D$5:$D$20,MATCH($C391,Mapping!$A$5:$A$20,0))</f>
        <v/>
      </c>
      <c r="L391" s="5">
        <f>INDEX(Mapping!$C$24:$C$31,MATCH($B391,Mapping!$A$24:$A$31,0))</f>
        <v/>
      </c>
      <c r="M391" s="5">
        <f>INDEX(Mapping!$D$24:$D$31,MATCH($B391,Mapping!$A$24:$A$31,0))</f>
        <v/>
      </c>
      <c r="N391" s="5">
        <f>$B391&amp;"."&amp;IF(INDEX(Mapping!$E$24:$E$31,MATCH($B391,Mapping!$A$24:$A$31,0))="sub",INDEX(Mapping!$F$5:$F$20,MATCH($C391,Mapping!$A$5:$A$20,0)),"all")</f>
        <v/>
      </c>
      <c r="O391" s="5">
        <f>INDEX(Mapping!$E$5:$E$20,MATCH($C391,Mapping!$A$5:$A$20,0))</f>
        <v/>
      </c>
      <c r="P391" s="5">
        <f>INDEX(Mapping!$G$24:$G$31,MATCH($B391,Mapping!$A$24:$A$31,0))</f>
        <v/>
      </c>
      <c r="Q391" s="21" t="n"/>
      <c r="R391" s="21" t="n"/>
      <c r="S391" s="21" t="n"/>
      <c r="T391" s="21" t="n"/>
      <c r="U391" s="21" t="n"/>
      <c r="V391" s="21" t="n"/>
      <c r="W391" s="21" t="n"/>
      <c r="X391" s="21" t="n"/>
      <c r="Y391" s="21" t="n"/>
      <c r="Z391" s="21" t="n"/>
      <c r="AA391" s="21" t="n"/>
      <c r="AB391" s="21" t="n"/>
      <c r="AC391" s="21" t="n"/>
      <c r="AD391" s="21" t="n"/>
      <c r="AE391" s="21" t="n"/>
      <c r="AF391" s="21" t="n"/>
      <c r="AG391" s="21" t="n"/>
      <c r="AH391" s="21" t="n"/>
      <c r="AI391" s="21" t="n"/>
      <c r="AJ391" s="21" t="n"/>
      <c r="AL391" s="23">
        <f>AL131+AL261</f>
        <v/>
      </c>
      <c r="AM391" s="22">
        <f>AM131+AM261</f>
        <v/>
      </c>
      <c r="AN391" s="22">
        <f>AN131+AN261</f>
        <v/>
      </c>
      <c r="AO391" s="22">
        <f>AO131+AO261</f>
        <v/>
      </c>
      <c r="AP391" s="22">
        <f>AP131+AP261</f>
        <v/>
      </c>
      <c r="AQ391" s="22">
        <f>AQ131+AQ261</f>
        <v/>
      </c>
      <c r="AR391" s="22">
        <f>AR131+AR261</f>
        <v/>
      </c>
      <c r="AS391" s="22">
        <f>AS131+AS261</f>
        <v/>
      </c>
      <c r="AT391" s="22">
        <f>AT131+AT261</f>
        <v/>
      </c>
      <c r="AU391" s="22">
        <f>AU131+AU261</f>
        <v/>
      </c>
      <c r="AV391" s="22">
        <f>AV131+AV261</f>
        <v/>
      </c>
      <c r="AW391" s="22">
        <f>AW131+AW261</f>
        <v/>
      </c>
      <c r="AX391" s="22">
        <f>AX131+AX261</f>
        <v/>
      </c>
      <c r="AY391" s="22">
        <f>AY131+AY261</f>
        <v/>
      </c>
      <c r="BA391" s="23">
        <f>BA131+BA261</f>
        <v/>
      </c>
      <c r="BB391" s="22">
        <f>BB131+BB261</f>
        <v/>
      </c>
      <c r="BC391" s="22">
        <f>BC131+BC261</f>
        <v/>
      </c>
      <c r="BD391" s="22">
        <f>BD131+BD261</f>
        <v/>
      </c>
      <c r="BE391" s="22">
        <f>BE131+BE261</f>
        <v/>
      </c>
      <c r="BF391" s="22">
        <f>BF131+BF261</f>
        <v/>
      </c>
      <c r="BG391" s="22">
        <f>BG131+BG261</f>
        <v/>
      </c>
      <c r="BH391" s="22">
        <f>BH131+BH261</f>
        <v/>
      </c>
      <c r="BI391" s="22">
        <f>BI131+BI261</f>
        <v/>
      </c>
      <c r="BJ391" s="22">
        <f>BJ131+BJ261</f>
        <v/>
      </c>
      <c r="BK391" s="22">
        <f>BK131+BK261</f>
        <v/>
      </c>
      <c r="BL391" s="22">
        <f>BL131+BL261</f>
        <v/>
      </c>
      <c r="BM391" s="22">
        <f>BM131+BM261</f>
        <v/>
      </c>
      <c r="BN391" s="22">
        <f>BN131+BN261</f>
        <v/>
      </c>
    </row>
    <row r="392">
      <c r="B392" s="5" t="inlineStr">
        <is>
          <t>nga</t>
        </is>
      </c>
      <c r="C392" s="5" t="inlineStr">
        <is>
          <t>oen</t>
        </is>
      </c>
      <c r="D392" s="5" t="inlineStr">
        <is>
          <t>Post-tax price | Other energy use | Natural gas</t>
        </is>
      </c>
      <c r="E392" s="5" t="inlineStr">
        <is>
          <t>$/GJ</t>
        </is>
      </c>
      <c r="F392" s="5" t="inlineStr">
        <is>
          <t>Calculation</t>
        </is>
      </c>
      <c r="G392" s="19" t="inlineStr"/>
      <c r="H392" s="19" t="inlineStr">
        <is>
          <t>mit.ptp.nga.oen</t>
        </is>
      </c>
      <c r="J392" s="5">
        <f>INDEX(Mapping!$C$5:$C$20,MATCH($C392,Mapping!$A$5:$A$20,0))</f>
        <v/>
      </c>
      <c r="K392" s="5">
        <f>INDEX(Mapping!$D$5:$D$20,MATCH($C392,Mapping!$A$5:$A$20,0))</f>
        <v/>
      </c>
      <c r="L392" s="5">
        <f>INDEX(Mapping!$C$24:$C$31,MATCH($B392,Mapping!$A$24:$A$31,0))</f>
        <v/>
      </c>
      <c r="M392" s="5">
        <f>INDEX(Mapping!$D$24:$D$31,MATCH($B392,Mapping!$A$24:$A$31,0))</f>
        <v/>
      </c>
      <c r="N392" s="5">
        <f>$B392&amp;"."&amp;IF(INDEX(Mapping!$E$24:$E$31,MATCH($B392,Mapping!$A$24:$A$31,0))="sub",INDEX(Mapping!$F$5:$F$20,MATCH($C392,Mapping!$A$5:$A$20,0)),"all")</f>
        <v/>
      </c>
      <c r="O392" s="5">
        <f>INDEX(Mapping!$E$5:$E$20,MATCH($C392,Mapping!$A$5:$A$20,0))</f>
        <v/>
      </c>
      <c r="P392" s="5">
        <f>INDEX(Mapping!$G$24:$G$31,MATCH($B392,Mapping!$A$24:$A$31,0))</f>
        <v/>
      </c>
      <c r="Q392" s="21" t="n"/>
      <c r="R392" s="21" t="n"/>
      <c r="S392" s="21" t="n"/>
      <c r="T392" s="21" t="n"/>
      <c r="U392" s="21" t="n"/>
      <c r="V392" s="21" t="n"/>
      <c r="W392" s="21" t="n"/>
      <c r="X392" s="21" t="n"/>
      <c r="Y392" s="21" t="n"/>
      <c r="Z392" s="21" t="n"/>
      <c r="AA392" s="21" t="n"/>
      <c r="AB392" s="21" t="n"/>
      <c r="AC392" s="21" t="n"/>
      <c r="AD392" s="21" t="n"/>
      <c r="AE392" s="21" t="n"/>
      <c r="AF392" s="21" t="n"/>
      <c r="AG392" s="21" t="n"/>
      <c r="AH392" s="21" t="n"/>
      <c r="AI392" s="21" t="n"/>
      <c r="AJ392" s="21" t="n"/>
      <c r="AL392" s="23">
        <f>AL132+AL262</f>
        <v/>
      </c>
      <c r="AM392" s="22">
        <f>AM132+AM262</f>
        <v/>
      </c>
      <c r="AN392" s="22">
        <f>AN132+AN262</f>
        <v/>
      </c>
      <c r="AO392" s="22">
        <f>AO132+AO262</f>
        <v/>
      </c>
      <c r="AP392" s="22">
        <f>AP132+AP262</f>
        <v/>
      </c>
      <c r="AQ392" s="22">
        <f>AQ132+AQ262</f>
        <v/>
      </c>
      <c r="AR392" s="22">
        <f>AR132+AR262</f>
        <v/>
      </c>
      <c r="AS392" s="22">
        <f>AS132+AS262</f>
        <v/>
      </c>
      <c r="AT392" s="22">
        <f>AT132+AT262</f>
        <v/>
      </c>
      <c r="AU392" s="22">
        <f>AU132+AU262</f>
        <v/>
      </c>
      <c r="AV392" s="22">
        <f>AV132+AV262</f>
        <v/>
      </c>
      <c r="AW392" s="22">
        <f>AW132+AW262</f>
        <v/>
      </c>
      <c r="AX392" s="22">
        <f>AX132+AX262</f>
        <v/>
      </c>
      <c r="AY392" s="22">
        <f>AY132+AY262</f>
        <v/>
      </c>
      <c r="BA392" s="23">
        <f>BA132+BA262</f>
        <v/>
      </c>
      <c r="BB392" s="22">
        <f>BB132+BB262</f>
        <v/>
      </c>
      <c r="BC392" s="22">
        <f>BC132+BC262</f>
        <v/>
      </c>
      <c r="BD392" s="22">
        <f>BD132+BD262</f>
        <v/>
      </c>
      <c r="BE392" s="22">
        <f>BE132+BE262</f>
        <v/>
      </c>
      <c r="BF392" s="22">
        <f>BF132+BF262</f>
        <v/>
      </c>
      <c r="BG392" s="22">
        <f>BG132+BG262</f>
        <v/>
      </c>
      <c r="BH392" s="22">
        <f>BH132+BH262</f>
        <v/>
      </c>
      <c r="BI392" s="22">
        <f>BI132+BI262</f>
        <v/>
      </c>
      <c r="BJ392" s="22">
        <f>BJ132+BJ262</f>
        <v/>
      </c>
      <c r="BK392" s="22">
        <f>BK132+BK262</f>
        <v/>
      </c>
      <c r="BL392" s="22">
        <f>BL132+BL262</f>
        <v/>
      </c>
      <c r="BM392" s="22">
        <f>BM132+BM262</f>
        <v/>
      </c>
      <c r="BN392" s="22">
        <f>BN132+BN262</f>
        <v/>
      </c>
    </row>
    <row r="393">
      <c r="B393" s="5" t="inlineStr">
        <is>
          <t>gso</t>
        </is>
      </c>
      <c r="C393" s="5" t="inlineStr">
        <is>
          <t>oen</t>
        </is>
      </c>
      <c r="D393" s="5" t="inlineStr">
        <is>
          <t>Post-tax price | Other energy use | Gasoline</t>
        </is>
      </c>
      <c r="E393" s="5" t="inlineStr">
        <is>
          <t>$/GJ</t>
        </is>
      </c>
      <c r="F393" s="5" t="inlineStr">
        <is>
          <t>Calculation</t>
        </is>
      </c>
      <c r="G393" s="19" t="inlineStr"/>
      <c r="H393" s="19" t="inlineStr">
        <is>
          <t>mit.ptp.gso.oen</t>
        </is>
      </c>
      <c r="J393" s="5">
        <f>INDEX(Mapping!$C$5:$C$20,MATCH($C393,Mapping!$A$5:$A$20,0))</f>
        <v/>
      </c>
      <c r="K393" s="5">
        <f>INDEX(Mapping!$D$5:$D$20,MATCH($C393,Mapping!$A$5:$A$20,0))</f>
        <v/>
      </c>
      <c r="L393" s="5">
        <f>INDEX(Mapping!$C$24:$C$31,MATCH($B393,Mapping!$A$24:$A$31,0))</f>
        <v/>
      </c>
      <c r="M393" s="5">
        <f>INDEX(Mapping!$D$24:$D$31,MATCH($B393,Mapping!$A$24:$A$31,0))</f>
        <v/>
      </c>
      <c r="N393" s="5">
        <f>$B393&amp;"."&amp;IF(INDEX(Mapping!$E$24:$E$31,MATCH($B393,Mapping!$A$24:$A$31,0))="sub",INDEX(Mapping!$F$5:$F$20,MATCH($C393,Mapping!$A$5:$A$20,0)),"all")</f>
        <v/>
      </c>
      <c r="O393" s="5">
        <f>INDEX(Mapping!$E$5:$E$20,MATCH($C393,Mapping!$A$5:$A$20,0))</f>
        <v/>
      </c>
      <c r="P393" s="5">
        <f>INDEX(Mapping!$G$24:$G$31,MATCH($B393,Mapping!$A$24:$A$31,0))</f>
        <v/>
      </c>
      <c r="Q393" s="21" t="n"/>
      <c r="R393" s="21" t="n"/>
      <c r="S393" s="21" t="n"/>
      <c r="T393" s="21" t="n"/>
      <c r="U393" s="21" t="n"/>
      <c r="V393" s="21" t="n"/>
      <c r="W393" s="21" t="n"/>
      <c r="X393" s="21" t="n"/>
      <c r="Y393" s="21" t="n"/>
      <c r="Z393" s="21" t="n"/>
      <c r="AA393" s="21" t="n"/>
      <c r="AB393" s="21" t="n"/>
      <c r="AC393" s="21" t="n"/>
      <c r="AD393" s="21" t="n"/>
      <c r="AE393" s="21" t="n"/>
      <c r="AF393" s="21" t="n"/>
      <c r="AG393" s="21" t="n"/>
      <c r="AH393" s="21" t="n"/>
      <c r="AI393" s="21" t="n"/>
      <c r="AJ393" s="21" t="n"/>
      <c r="AL393" s="23">
        <f>AL133+AL263</f>
        <v/>
      </c>
      <c r="AM393" s="22">
        <f>AM133+AM263</f>
        <v/>
      </c>
      <c r="AN393" s="22">
        <f>AN133+AN263</f>
        <v/>
      </c>
      <c r="AO393" s="22">
        <f>AO133+AO263</f>
        <v/>
      </c>
      <c r="AP393" s="22">
        <f>AP133+AP263</f>
        <v/>
      </c>
      <c r="AQ393" s="22">
        <f>AQ133+AQ263</f>
        <v/>
      </c>
      <c r="AR393" s="22">
        <f>AR133+AR263</f>
        <v/>
      </c>
      <c r="AS393" s="22">
        <f>AS133+AS263</f>
        <v/>
      </c>
      <c r="AT393" s="22">
        <f>AT133+AT263</f>
        <v/>
      </c>
      <c r="AU393" s="22">
        <f>AU133+AU263</f>
        <v/>
      </c>
      <c r="AV393" s="22">
        <f>AV133+AV263</f>
        <v/>
      </c>
      <c r="AW393" s="22">
        <f>AW133+AW263</f>
        <v/>
      </c>
      <c r="AX393" s="22">
        <f>AX133+AX263</f>
        <v/>
      </c>
      <c r="AY393" s="22">
        <f>AY133+AY263</f>
        <v/>
      </c>
      <c r="BA393" s="23">
        <f>BA133+BA263</f>
        <v/>
      </c>
      <c r="BB393" s="22">
        <f>BB133+BB263</f>
        <v/>
      </c>
      <c r="BC393" s="22">
        <f>BC133+BC263</f>
        <v/>
      </c>
      <c r="BD393" s="22">
        <f>BD133+BD263</f>
        <v/>
      </c>
      <c r="BE393" s="22">
        <f>BE133+BE263</f>
        <v/>
      </c>
      <c r="BF393" s="22">
        <f>BF133+BF263</f>
        <v/>
      </c>
      <c r="BG393" s="22">
        <f>BG133+BG263</f>
        <v/>
      </c>
      <c r="BH393" s="22">
        <f>BH133+BH263</f>
        <v/>
      </c>
      <c r="BI393" s="22">
        <f>BI133+BI263</f>
        <v/>
      </c>
      <c r="BJ393" s="22">
        <f>BJ133+BJ263</f>
        <v/>
      </c>
      <c r="BK393" s="22">
        <f>BK133+BK263</f>
        <v/>
      </c>
      <c r="BL393" s="22">
        <f>BL133+BL263</f>
        <v/>
      </c>
      <c r="BM393" s="22">
        <f>BM133+BM263</f>
        <v/>
      </c>
      <c r="BN393" s="22">
        <f>BN133+BN263</f>
        <v/>
      </c>
    </row>
    <row r="394">
      <c r="B394" s="5" t="inlineStr">
        <is>
          <t>die</t>
        </is>
      </c>
      <c r="C394" s="5" t="inlineStr">
        <is>
          <t>oen</t>
        </is>
      </c>
      <c r="D394" s="5" t="inlineStr">
        <is>
          <t>Post-tax price | Other energy use | Diesel</t>
        </is>
      </c>
      <c r="E394" s="5" t="inlineStr">
        <is>
          <t>$/GJ</t>
        </is>
      </c>
      <c r="F394" s="5" t="inlineStr">
        <is>
          <t>Calculation</t>
        </is>
      </c>
      <c r="G394" s="19" t="inlineStr"/>
      <c r="H394" s="19" t="inlineStr">
        <is>
          <t>mit.ptp.die.oen</t>
        </is>
      </c>
      <c r="J394" s="5">
        <f>INDEX(Mapping!$C$5:$C$20,MATCH($C394,Mapping!$A$5:$A$20,0))</f>
        <v/>
      </c>
      <c r="K394" s="5">
        <f>INDEX(Mapping!$D$5:$D$20,MATCH($C394,Mapping!$A$5:$A$20,0))</f>
        <v/>
      </c>
      <c r="L394" s="5">
        <f>INDEX(Mapping!$C$24:$C$31,MATCH($B394,Mapping!$A$24:$A$31,0))</f>
        <v/>
      </c>
      <c r="M394" s="5">
        <f>INDEX(Mapping!$D$24:$D$31,MATCH($B394,Mapping!$A$24:$A$31,0))</f>
        <v/>
      </c>
      <c r="N394" s="5">
        <f>$B394&amp;"."&amp;IF(INDEX(Mapping!$E$24:$E$31,MATCH($B394,Mapping!$A$24:$A$31,0))="sub",INDEX(Mapping!$F$5:$F$20,MATCH($C394,Mapping!$A$5:$A$20,0)),"all")</f>
        <v/>
      </c>
      <c r="O394" s="5">
        <f>INDEX(Mapping!$E$5:$E$20,MATCH($C394,Mapping!$A$5:$A$20,0))</f>
        <v/>
      </c>
      <c r="P394" s="5">
        <f>INDEX(Mapping!$G$24:$G$31,MATCH($B394,Mapping!$A$24:$A$31,0))</f>
        <v/>
      </c>
      <c r="Q394" s="21" t="n"/>
      <c r="R394" s="21" t="n"/>
      <c r="S394" s="21" t="n"/>
      <c r="T394" s="21" t="n"/>
      <c r="U394" s="21" t="n"/>
      <c r="V394" s="21" t="n"/>
      <c r="W394" s="21" t="n"/>
      <c r="X394" s="21" t="n"/>
      <c r="Y394" s="21" t="n"/>
      <c r="Z394" s="21" t="n"/>
      <c r="AA394" s="21" t="n"/>
      <c r="AB394" s="21" t="n"/>
      <c r="AC394" s="21" t="n"/>
      <c r="AD394" s="21" t="n"/>
      <c r="AE394" s="21" t="n"/>
      <c r="AF394" s="21" t="n"/>
      <c r="AG394" s="21" t="n"/>
      <c r="AH394" s="21" t="n"/>
      <c r="AI394" s="21" t="n"/>
      <c r="AJ394" s="21" t="n"/>
      <c r="AL394" s="23">
        <f>AL134+AL264</f>
        <v/>
      </c>
      <c r="AM394" s="22">
        <f>AM134+AM264</f>
        <v/>
      </c>
      <c r="AN394" s="22">
        <f>AN134+AN264</f>
        <v/>
      </c>
      <c r="AO394" s="22">
        <f>AO134+AO264</f>
        <v/>
      </c>
      <c r="AP394" s="22">
        <f>AP134+AP264</f>
        <v/>
      </c>
      <c r="AQ394" s="22">
        <f>AQ134+AQ264</f>
        <v/>
      </c>
      <c r="AR394" s="22">
        <f>AR134+AR264</f>
        <v/>
      </c>
      <c r="AS394" s="22">
        <f>AS134+AS264</f>
        <v/>
      </c>
      <c r="AT394" s="22">
        <f>AT134+AT264</f>
        <v/>
      </c>
      <c r="AU394" s="22">
        <f>AU134+AU264</f>
        <v/>
      </c>
      <c r="AV394" s="22">
        <f>AV134+AV264</f>
        <v/>
      </c>
      <c r="AW394" s="22">
        <f>AW134+AW264</f>
        <v/>
      </c>
      <c r="AX394" s="22">
        <f>AX134+AX264</f>
        <v/>
      </c>
      <c r="AY394" s="22">
        <f>AY134+AY264</f>
        <v/>
      </c>
      <c r="BA394" s="23">
        <f>BA134+BA264</f>
        <v/>
      </c>
      <c r="BB394" s="22">
        <f>BB134+BB264</f>
        <v/>
      </c>
      <c r="BC394" s="22">
        <f>BC134+BC264</f>
        <v/>
      </c>
      <c r="BD394" s="22">
        <f>BD134+BD264</f>
        <v/>
      </c>
      <c r="BE394" s="22">
        <f>BE134+BE264</f>
        <v/>
      </c>
      <c r="BF394" s="22">
        <f>BF134+BF264</f>
        <v/>
      </c>
      <c r="BG394" s="22">
        <f>BG134+BG264</f>
        <v/>
      </c>
      <c r="BH394" s="22">
        <f>BH134+BH264</f>
        <v/>
      </c>
      <c r="BI394" s="22">
        <f>BI134+BI264</f>
        <v/>
      </c>
      <c r="BJ394" s="22">
        <f>BJ134+BJ264</f>
        <v/>
      </c>
      <c r="BK394" s="22">
        <f>BK134+BK264</f>
        <v/>
      </c>
      <c r="BL394" s="22">
        <f>BL134+BL264</f>
        <v/>
      </c>
      <c r="BM394" s="22">
        <f>BM134+BM264</f>
        <v/>
      </c>
      <c r="BN394" s="22">
        <f>BN134+BN264</f>
        <v/>
      </c>
    </row>
    <row r="395">
      <c r="B395" s="5" t="inlineStr">
        <is>
          <t>lpg</t>
        </is>
      </c>
      <c r="C395" s="5" t="inlineStr">
        <is>
          <t>oen</t>
        </is>
      </c>
      <c r="D395" s="5" t="inlineStr">
        <is>
          <t>Post-tax price | Other energy use | LPG</t>
        </is>
      </c>
      <c r="E395" s="5" t="inlineStr">
        <is>
          <t>$/GJ</t>
        </is>
      </c>
      <c r="F395" s="5" t="inlineStr">
        <is>
          <t>Calculation</t>
        </is>
      </c>
      <c r="G395" s="19" t="inlineStr"/>
      <c r="H395" s="19" t="inlineStr">
        <is>
          <t>mit.ptp.lpg.oen</t>
        </is>
      </c>
      <c r="J395" s="5">
        <f>INDEX(Mapping!$C$5:$C$20,MATCH($C395,Mapping!$A$5:$A$20,0))</f>
        <v/>
      </c>
      <c r="K395" s="5">
        <f>INDEX(Mapping!$D$5:$D$20,MATCH($C395,Mapping!$A$5:$A$20,0))</f>
        <v/>
      </c>
      <c r="L395" s="5">
        <f>INDEX(Mapping!$C$24:$C$31,MATCH($B395,Mapping!$A$24:$A$31,0))</f>
        <v/>
      </c>
      <c r="M395" s="5">
        <f>INDEX(Mapping!$D$24:$D$31,MATCH($B395,Mapping!$A$24:$A$31,0))</f>
        <v/>
      </c>
      <c r="N395" s="5">
        <f>$B395&amp;"."&amp;IF(INDEX(Mapping!$E$24:$E$31,MATCH($B395,Mapping!$A$24:$A$31,0))="sub",INDEX(Mapping!$F$5:$F$20,MATCH($C395,Mapping!$A$5:$A$20,0)),"all")</f>
        <v/>
      </c>
      <c r="O395" s="5">
        <f>INDEX(Mapping!$E$5:$E$20,MATCH($C395,Mapping!$A$5:$A$20,0))</f>
        <v/>
      </c>
      <c r="P395" s="5">
        <f>INDEX(Mapping!$G$24:$G$31,MATCH($B395,Mapping!$A$24:$A$31,0))</f>
        <v/>
      </c>
      <c r="Q395" s="21" t="n"/>
      <c r="R395" s="21" t="n"/>
      <c r="S395" s="21" t="n"/>
      <c r="T395" s="21" t="n"/>
      <c r="U395" s="21" t="n"/>
      <c r="V395" s="21" t="n"/>
      <c r="W395" s="21" t="n"/>
      <c r="X395" s="21" t="n"/>
      <c r="Y395" s="21" t="n"/>
      <c r="Z395" s="21" t="n"/>
      <c r="AA395" s="21" t="n"/>
      <c r="AB395" s="21" t="n"/>
      <c r="AC395" s="21" t="n"/>
      <c r="AD395" s="21" t="n"/>
      <c r="AE395" s="21" t="n"/>
      <c r="AF395" s="21" t="n"/>
      <c r="AG395" s="21" t="n"/>
      <c r="AH395" s="21" t="n"/>
      <c r="AI395" s="21" t="n"/>
      <c r="AJ395" s="21" t="n"/>
      <c r="AL395" s="23">
        <f>AL135+AL265</f>
        <v/>
      </c>
      <c r="AM395" s="22">
        <f>AM135+AM265</f>
        <v/>
      </c>
      <c r="AN395" s="22">
        <f>AN135+AN265</f>
        <v/>
      </c>
      <c r="AO395" s="22">
        <f>AO135+AO265</f>
        <v/>
      </c>
      <c r="AP395" s="22">
        <f>AP135+AP265</f>
        <v/>
      </c>
      <c r="AQ395" s="22">
        <f>AQ135+AQ265</f>
        <v/>
      </c>
      <c r="AR395" s="22">
        <f>AR135+AR265</f>
        <v/>
      </c>
      <c r="AS395" s="22">
        <f>AS135+AS265</f>
        <v/>
      </c>
      <c r="AT395" s="22">
        <f>AT135+AT265</f>
        <v/>
      </c>
      <c r="AU395" s="22">
        <f>AU135+AU265</f>
        <v/>
      </c>
      <c r="AV395" s="22">
        <f>AV135+AV265</f>
        <v/>
      </c>
      <c r="AW395" s="22">
        <f>AW135+AW265</f>
        <v/>
      </c>
      <c r="AX395" s="22">
        <f>AX135+AX265</f>
        <v/>
      </c>
      <c r="AY395" s="22">
        <f>AY135+AY265</f>
        <v/>
      </c>
      <c r="BA395" s="23">
        <f>BA135+BA265</f>
        <v/>
      </c>
      <c r="BB395" s="22">
        <f>BB135+BB265</f>
        <v/>
      </c>
      <c r="BC395" s="22">
        <f>BC135+BC265</f>
        <v/>
      </c>
      <c r="BD395" s="22">
        <f>BD135+BD265</f>
        <v/>
      </c>
      <c r="BE395" s="22">
        <f>BE135+BE265</f>
        <v/>
      </c>
      <c r="BF395" s="22">
        <f>BF135+BF265</f>
        <v/>
      </c>
      <c r="BG395" s="22">
        <f>BG135+BG265</f>
        <v/>
      </c>
      <c r="BH395" s="22">
        <f>BH135+BH265</f>
        <v/>
      </c>
      <c r="BI395" s="22">
        <f>BI135+BI265</f>
        <v/>
      </c>
      <c r="BJ395" s="22">
        <f>BJ135+BJ265</f>
        <v/>
      </c>
      <c r="BK395" s="22">
        <f>BK135+BK265</f>
        <v/>
      </c>
      <c r="BL395" s="22">
        <f>BL135+BL265</f>
        <v/>
      </c>
      <c r="BM395" s="22">
        <f>BM135+BM265</f>
        <v/>
      </c>
      <c r="BN395" s="22">
        <f>BN135+BN265</f>
        <v/>
      </c>
    </row>
    <row r="396">
      <c r="B396" s="5" t="inlineStr">
        <is>
          <t>ker</t>
        </is>
      </c>
      <c r="C396" s="5" t="inlineStr">
        <is>
          <t>oen</t>
        </is>
      </c>
      <c r="D396" s="5" t="inlineStr">
        <is>
          <t>Post-tax price | Other energy use | Kerosene</t>
        </is>
      </c>
      <c r="E396" s="5" t="inlineStr">
        <is>
          <t>$/GJ</t>
        </is>
      </c>
      <c r="F396" s="5" t="inlineStr">
        <is>
          <t>Calculation</t>
        </is>
      </c>
      <c r="G396" s="19" t="inlineStr"/>
      <c r="H396" s="19" t="inlineStr">
        <is>
          <t>mit.ptp.ker.oen</t>
        </is>
      </c>
      <c r="J396" s="5">
        <f>INDEX(Mapping!$C$5:$C$20,MATCH($C396,Mapping!$A$5:$A$20,0))</f>
        <v/>
      </c>
      <c r="K396" s="5">
        <f>INDEX(Mapping!$D$5:$D$20,MATCH($C396,Mapping!$A$5:$A$20,0))</f>
        <v/>
      </c>
      <c r="L396" s="5">
        <f>INDEX(Mapping!$C$24:$C$31,MATCH($B396,Mapping!$A$24:$A$31,0))</f>
        <v/>
      </c>
      <c r="M396" s="5">
        <f>INDEX(Mapping!$D$24:$D$31,MATCH($B396,Mapping!$A$24:$A$31,0))</f>
        <v/>
      </c>
      <c r="N396" s="5">
        <f>$B396&amp;"."&amp;IF(INDEX(Mapping!$E$24:$E$31,MATCH($B396,Mapping!$A$24:$A$31,0))="sub",INDEX(Mapping!$F$5:$F$20,MATCH($C396,Mapping!$A$5:$A$20,0)),"all")</f>
        <v/>
      </c>
      <c r="O396" s="5">
        <f>INDEX(Mapping!$E$5:$E$20,MATCH($C396,Mapping!$A$5:$A$20,0))</f>
        <v/>
      </c>
      <c r="P396" s="5">
        <f>INDEX(Mapping!$G$24:$G$31,MATCH($B396,Mapping!$A$24:$A$31,0))</f>
        <v/>
      </c>
      <c r="Q396" s="21" t="n"/>
      <c r="R396" s="21" t="n"/>
      <c r="S396" s="21" t="n"/>
      <c r="T396" s="21" t="n"/>
      <c r="U396" s="21" t="n"/>
      <c r="V396" s="21" t="n"/>
      <c r="W396" s="21" t="n"/>
      <c r="X396" s="21" t="n"/>
      <c r="Y396" s="21" t="n"/>
      <c r="Z396" s="21" t="n"/>
      <c r="AA396" s="21" t="n"/>
      <c r="AB396" s="21" t="n"/>
      <c r="AC396" s="21" t="n"/>
      <c r="AD396" s="21" t="n"/>
      <c r="AE396" s="21" t="n"/>
      <c r="AF396" s="21" t="n"/>
      <c r="AG396" s="21" t="n"/>
      <c r="AH396" s="21" t="n"/>
      <c r="AI396" s="21" t="n"/>
      <c r="AJ396" s="21" t="n"/>
      <c r="AL396" s="23">
        <f>AL136+AL266</f>
        <v/>
      </c>
      <c r="AM396" s="22">
        <f>AM136+AM266</f>
        <v/>
      </c>
      <c r="AN396" s="22">
        <f>AN136+AN266</f>
        <v/>
      </c>
      <c r="AO396" s="22">
        <f>AO136+AO266</f>
        <v/>
      </c>
      <c r="AP396" s="22">
        <f>AP136+AP266</f>
        <v/>
      </c>
      <c r="AQ396" s="22">
        <f>AQ136+AQ266</f>
        <v/>
      </c>
      <c r="AR396" s="22">
        <f>AR136+AR266</f>
        <v/>
      </c>
      <c r="AS396" s="22">
        <f>AS136+AS266</f>
        <v/>
      </c>
      <c r="AT396" s="22">
        <f>AT136+AT266</f>
        <v/>
      </c>
      <c r="AU396" s="22">
        <f>AU136+AU266</f>
        <v/>
      </c>
      <c r="AV396" s="22">
        <f>AV136+AV266</f>
        <v/>
      </c>
      <c r="AW396" s="22">
        <f>AW136+AW266</f>
        <v/>
      </c>
      <c r="AX396" s="22">
        <f>AX136+AX266</f>
        <v/>
      </c>
      <c r="AY396" s="22">
        <f>AY136+AY266</f>
        <v/>
      </c>
      <c r="BA396" s="23">
        <f>BA136+BA266</f>
        <v/>
      </c>
      <c r="BB396" s="22">
        <f>BB136+BB266</f>
        <v/>
      </c>
      <c r="BC396" s="22">
        <f>BC136+BC266</f>
        <v/>
      </c>
      <c r="BD396" s="22">
        <f>BD136+BD266</f>
        <v/>
      </c>
      <c r="BE396" s="22">
        <f>BE136+BE266</f>
        <v/>
      </c>
      <c r="BF396" s="22">
        <f>BF136+BF266</f>
        <v/>
      </c>
      <c r="BG396" s="22">
        <f>BG136+BG266</f>
        <v/>
      </c>
      <c r="BH396" s="22">
        <f>BH136+BH266</f>
        <v/>
      </c>
      <c r="BI396" s="22">
        <f>BI136+BI266</f>
        <v/>
      </c>
      <c r="BJ396" s="22">
        <f>BJ136+BJ266</f>
        <v/>
      </c>
      <c r="BK396" s="22">
        <f>BK136+BK266</f>
        <v/>
      </c>
      <c r="BL396" s="22">
        <f>BL136+BL266</f>
        <v/>
      </c>
      <c r="BM396" s="22">
        <f>BM136+BM266</f>
        <v/>
      </c>
      <c r="BN396" s="22">
        <f>BN136+BN266</f>
        <v/>
      </c>
    </row>
    <row r="397">
      <c r="B397" s="5" t="inlineStr">
        <is>
          <t>oop</t>
        </is>
      </c>
      <c r="C397" s="5" t="inlineStr">
        <is>
          <t>oen</t>
        </is>
      </c>
      <c r="D397" s="5" t="inlineStr">
        <is>
          <t>Post-tax price | Other energy use | Other oil products</t>
        </is>
      </c>
      <c r="E397" s="5" t="inlineStr">
        <is>
          <t>$/GJ</t>
        </is>
      </c>
      <c r="F397" s="5" t="inlineStr">
        <is>
          <t>Calculation</t>
        </is>
      </c>
      <c r="G397" s="19" t="inlineStr"/>
      <c r="H397" s="19" t="inlineStr">
        <is>
          <t>mit.ptp.oop.oen</t>
        </is>
      </c>
      <c r="J397" s="5">
        <f>INDEX(Mapping!$C$5:$C$20,MATCH($C397,Mapping!$A$5:$A$20,0))</f>
        <v/>
      </c>
      <c r="K397" s="5">
        <f>INDEX(Mapping!$D$5:$D$20,MATCH($C397,Mapping!$A$5:$A$20,0))</f>
        <v/>
      </c>
      <c r="L397" s="5">
        <f>INDEX(Mapping!$C$24:$C$31,MATCH($B397,Mapping!$A$24:$A$31,0))</f>
        <v/>
      </c>
      <c r="M397" s="5">
        <f>INDEX(Mapping!$D$24:$D$31,MATCH($B397,Mapping!$A$24:$A$31,0))</f>
        <v/>
      </c>
      <c r="N397" s="5">
        <f>$B397&amp;"."&amp;IF(INDEX(Mapping!$E$24:$E$31,MATCH($B397,Mapping!$A$24:$A$31,0))="sub",INDEX(Mapping!$F$5:$F$20,MATCH($C397,Mapping!$A$5:$A$20,0)),"all")</f>
        <v/>
      </c>
      <c r="O397" s="5">
        <f>INDEX(Mapping!$E$5:$E$20,MATCH($C397,Mapping!$A$5:$A$20,0))</f>
        <v/>
      </c>
      <c r="P397" s="5">
        <f>INDEX(Mapping!$G$24:$G$31,MATCH($B397,Mapping!$A$24:$A$31,0))</f>
        <v/>
      </c>
      <c r="Q397" s="21" t="n"/>
      <c r="R397" s="21" t="n"/>
      <c r="S397" s="21" t="n"/>
      <c r="T397" s="21" t="n"/>
      <c r="U397" s="21" t="n"/>
      <c r="V397" s="21" t="n"/>
      <c r="W397" s="21" t="n"/>
      <c r="X397" s="21" t="n"/>
      <c r="Y397" s="21" t="n"/>
      <c r="Z397" s="21" t="n"/>
      <c r="AA397" s="21" t="n"/>
      <c r="AB397" s="21" t="n"/>
      <c r="AC397" s="21" t="n"/>
      <c r="AD397" s="21" t="n"/>
      <c r="AE397" s="21" t="n"/>
      <c r="AF397" s="21" t="n"/>
      <c r="AG397" s="21" t="n"/>
      <c r="AH397" s="21" t="n"/>
      <c r="AI397" s="21" t="n"/>
      <c r="AJ397" s="21" t="n"/>
      <c r="AL397" s="23">
        <f>AL137+AL267</f>
        <v/>
      </c>
      <c r="AM397" s="22">
        <f>AM137+AM267</f>
        <v/>
      </c>
      <c r="AN397" s="22">
        <f>AN137+AN267</f>
        <v/>
      </c>
      <c r="AO397" s="22">
        <f>AO137+AO267</f>
        <v/>
      </c>
      <c r="AP397" s="22">
        <f>AP137+AP267</f>
        <v/>
      </c>
      <c r="AQ397" s="22">
        <f>AQ137+AQ267</f>
        <v/>
      </c>
      <c r="AR397" s="22">
        <f>AR137+AR267</f>
        <v/>
      </c>
      <c r="AS397" s="22">
        <f>AS137+AS267</f>
        <v/>
      </c>
      <c r="AT397" s="22">
        <f>AT137+AT267</f>
        <v/>
      </c>
      <c r="AU397" s="22">
        <f>AU137+AU267</f>
        <v/>
      </c>
      <c r="AV397" s="22">
        <f>AV137+AV267</f>
        <v/>
      </c>
      <c r="AW397" s="22">
        <f>AW137+AW267</f>
        <v/>
      </c>
      <c r="AX397" s="22">
        <f>AX137+AX267</f>
        <v/>
      </c>
      <c r="AY397" s="22">
        <f>AY137+AY267</f>
        <v/>
      </c>
      <c r="BA397" s="23">
        <f>BA137+BA267</f>
        <v/>
      </c>
      <c r="BB397" s="22">
        <f>BB137+BB267</f>
        <v/>
      </c>
      <c r="BC397" s="22">
        <f>BC137+BC267</f>
        <v/>
      </c>
      <c r="BD397" s="22">
        <f>BD137+BD267</f>
        <v/>
      </c>
      <c r="BE397" s="22">
        <f>BE137+BE267</f>
        <v/>
      </c>
      <c r="BF397" s="22">
        <f>BF137+BF267</f>
        <v/>
      </c>
      <c r="BG397" s="22">
        <f>BG137+BG267</f>
        <v/>
      </c>
      <c r="BH397" s="22">
        <f>BH137+BH267</f>
        <v/>
      </c>
      <c r="BI397" s="22">
        <f>BI137+BI267</f>
        <v/>
      </c>
      <c r="BJ397" s="22">
        <f>BJ137+BJ267</f>
        <v/>
      </c>
      <c r="BK397" s="22">
        <f>BK137+BK267</f>
        <v/>
      </c>
      <c r="BL397" s="22">
        <f>BL137+BL267</f>
        <v/>
      </c>
      <c r="BM397" s="22">
        <f>BM137+BM267</f>
        <v/>
      </c>
      <c r="BN397" s="22">
        <f>BN137+BN267</f>
        <v/>
      </c>
    </row>
    <row r="398">
      <c r="B398" s="5" t="inlineStr">
        <is>
          <t>bio</t>
        </is>
      </c>
      <c r="C398" s="5" t="inlineStr">
        <is>
          <t>oen</t>
        </is>
      </c>
      <c r="D398" s="5" t="inlineStr">
        <is>
          <t>Post-tax price | Other energy use | Biomass</t>
        </is>
      </c>
      <c r="E398" s="5" t="inlineStr">
        <is>
          <t>$/GJ</t>
        </is>
      </c>
      <c r="F398" s="5" t="inlineStr">
        <is>
          <t>Calculation</t>
        </is>
      </c>
      <c r="G398" s="19" t="inlineStr"/>
      <c r="H398" s="19" t="inlineStr">
        <is>
          <t>mit.ptp.bio.oen</t>
        </is>
      </c>
      <c r="J398" s="5">
        <f>INDEX(Mapping!$C$5:$C$20,MATCH($C398,Mapping!$A$5:$A$20,0))</f>
        <v/>
      </c>
      <c r="K398" s="5">
        <f>INDEX(Mapping!$D$5:$D$20,MATCH($C398,Mapping!$A$5:$A$20,0))</f>
        <v/>
      </c>
      <c r="L398" s="5">
        <f>INDEX(Mapping!$C$24:$C$31,MATCH($B398,Mapping!$A$24:$A$31,0))</f>
        <v/>
      </c>
      <c r="M398" s="5">
        <f>INDEX(Mapping!$D$24:$D$31,MATCH($B398,Mapping!$A$24:$A$31,0))</f>
        <v/>
      </c>
      <c r="N398" s="5">
        <f>$B398&amp;"."&amp;IF(INDEX(Mapping!$E$24:$E$31,MATCH($B398,Mapping!$A$24:$A$31,0))="sub",INDEX(Mapping!$F$5:$F$20,MATCH($C398,Mapping!$A$5:$A$20,0)),"all")</f>
        <v/>
      </c>
      <c r="O398" s="5">
        <f>INDEX(Mapping!$E$5:$E$20,MATCH($C398,Mapping!$A$5:$A$20,0))</f>
        <v/>
      </c>
      <c r="P398" s="5">
        <f>INDEX(Mapping!$G$24:$G$31,MATCH($B398,Mapping!$A$24:$A$31,0))</f>
        <v/>
      </c>
      <c r="Q398" s="21" t="n"/>
      <c r="R398" s="21" t="n"/>
      <c r="S398" s="21" t="n"/>
      <c r="T398" s="21" t="n"/>
      <c r="U398" s="21" t="n"/>
      <c r="V398" s="21" t="n"/>
      <c r="W398" s="21" t="n"/>
      <c r="X398" s="21" t="n"/>
      <c r="Y398" s="21" t="n"/>
      <c r="Z398" s="21" t="n"/>
      <c r="AA398" s="21" t="n"/>
      <c r="AB398" s="21" t="n"/>
      <c r="AC398" s="21" t="n"/>
      <c r="AD398" s="21" t="n"/>
      <c r="AE398" s="21" t="n"/>
      <c r="AF398" s="21" t="n"/>
      <c r="AG398" s="21" t="n"/>
      <c r="AH398" s="21" t="n"/>
      <c r="AI398" s="21" t="n"/>
      <c r="AJ398" s="21" t="n"/>
      <c r="AL398" s="23">
        <f>AL138+AL268</f>
        <v/>
      </c>
      <c r="AM398" s="22">
        <f>AM138+AM268</f>
        <v/>
      </c>
      <c r="AN398" s="22">
        <f>AN138+AN268</f>
        <v/>
      </c>
      <c r="AO398" s="22">
        <f>AO138+AO268</f>
        <v/>
      </c>
      <c r="AP398" s="22">
        <f>AP138+AP268</f>
        <v/>
      </c>
      <c r="AQ398" s="22">
        <f>AQ138+AQ268</f>
        <v/>
      </c>
      <c r="AR398" s="22">
        <f>AR138+AR268</f>
        <v/>
      </c>
      <c r="AS398" s="22">
        <f>AS138+AS268</f>
        <v/>
      </c>
      <c r="AT398" s="22">
        <f>AT138+AT268</f>
        <v/>
      </c>
      <c r="AU398" s="22">
        <f>AU138+AU268</f>
        <v/>
      </c>
      <c r="AV398" s="22">
        <f>AV138+AV268</f>
        <v/>
      </c>
      <c r="AW398" s="22">
        <f>AW138+AW268</f>
        <v/>
      </c>
      <c r="AX398" s="22">
        <f>AX138+AX268</f>
        <v/>
      </c>
      <c r="AY398" s="22">
        <f>AY138+AY268</f>
        <v/>
      </c>
      <c r="BA398" s="23">
        <f>BA138+BA268</f>
        <v/>
      </c>
      <c r="BB398" s="22">
        <f>BB138+BB268</f>
        <v/>
      </c>
      <c r="BC398" s="22">
        <f>BC138+BC268</f>
        <v/>
      </c>
      <c r="BD398" s="22">
        <f>BD138+BD268</f>
        <v/>
      </c>
      <c r="BE398" s="22">
        <f>BE138+BE268</f>
        <v/>
      </c>
      <c r="BF398" s="22">
        <f>BF138+BF268</f>
        <v/>
      </c>
      <c r="BG398" s="22">
        <f>BG138+BG268</f>
        <v/>
      </c>
      <c r="BH398" s="22">
        <f>BH138+BH268</f>
        <v/>
      </c>
      <c r="BI398" s="22">
        <f>BI138+BI268</f>
        <v/>
      </c>
      <c r="BJ398" s="22">
        <f>BJ138+BJ268</f>
        <v/>
      </c>
      <c r="BK398" s="22">
        <f>BK138+BK268</f>
        <v/>
      </c>
      <c r="BL398" s="22">
        <f>BL138+BL268</f>
        <v/>
      </c>
      <c r="BM398" s="22">
        <f>BM138+BM268</f>
        <v/>
      </c>
      <c r="BN398" s="22">
        <f>BN138+BN268</f>
        <v/>
      </c>
    </row>
    <row r="400">
      <c r="A400" s="9" t="inlineStr">
        <is>
          <t>Fuel use (CPAT docs 3.3.3)</t>
        </is>
      </c>
      <c r="B400" s="10" t="n"/>
      <c r="C400" s="10" t="n"/>
      <c r="D400" s="10" t="n"/>
      <c r="E400" s="10" t="n"/>
      <c r="F400" s="10" t="n"/>
      <c r="G400" s="10" t="n"/>
      <c r="H400" s="10" t="n"/>
      <c r="I400" s="10" t="n"/>
      <c r="J400" s="10" t="n"/>
      <c r="K400" s="10" t="n"/>
      <c r="L400" s="10" t="n"/>
      <c r="M400" s="10" t="n"/>
      <c r="N400" s="10" t="n"/>
      <c r="O400" s="10" t="n"/>
      <c r="P400" s="10" t="n"/>
      <c r="Q400" s="9" t="inlineStr">
        <is>
          <t>eps_Y GDP</t>
        </is>
      </c>
      <c r="R400" s="9" t="inlineStr">
        <is>
          <t>eps_U usage</t>
        </is>
      </c>
      <c r="S400" s="9" t="inlineStr">
        <is>
          <t>eps_F efficiency</t>
        </is>
      </c>
      <c r="T400" s="9" t="inlineStr">
        <is>
          <t>alpha AEEI</t>
        </is>
      </c>
      <c r="U400" s="9" t="inlineStr">
        <is>
          <t>buffer</t>
        </is>
      </c>
      <c r="V400" s="9" t="inlineStr">
        <is>
          <t>eps_Y GDP</t>
        </is>
      </c>
      <c r="W400" s="9" t="inlineStr">
        <is>
          <t>eps_U usage</t>
        </is>
      </c>
      <c r="X400" s="9" t="inlineStr">
        <is>
          <t>eps_F efficiency</t>
        </is>
      </c>
      <c r="Y400" s="9" t="inlineStr">
        <is>
          <t>alpha AEEI</t>
        </is>
      </c>
      <c r="Z400" s="9" t="inlineStr">
        <is>
          <t>buffer</t>
        </is>
      </c>
      <c r="AA400" s="9" t="inlineStr">
        <is>
          <t>eps_Y GDP</t>
        </is>
      </c>
      <c r="AB400" s="9" t="inlineStr">
        <is>
          <t>eps_U usage</t>
        </is>
      </c>
      <c r="AC400" s="9" t="inlineStr">
        <is>
          <t>eps_F efficiency</t>
        </is>
      </c>
      <c r="AD400" s="9" t="inlineStr">
        <is>
          <t>alpha AEEI</t>
        </is>
      </c>
      <c r="AE400" s="9" t="inlineStr">
        <is>
          <t>buffer</t>
        </is>
      </c>
      <c r="AF400" s="9" t="inlineStr">
        <is>
          <t>eps_Y GDP</t>
        </is>
      </c>
      <c r="AG400" s="9" t="inlineStr">
        <is>
          <t>eps_U usage</t>
        </is>
      </c>
      <c r="AH400" s="9" t="inlineStr">
        <is>
          <t>eps_F efficiency</t>
        </is>
      </c>
      <c r="AI400" s="9" t="inlineStr">
        <is>
          <t>alpha AEEI</t>
        </is>
      </c>
      <c r="AJ400" s="9" t="inlineStr">
        <is>
          <t>buffer</t>
        </is>
      </c>
      <c r="AK400" s="10" t="n"/>
      <c r="AL400" s="10" t="n"/>
      <c r="AM400" s="10" t="n"/>
      <c r="AN400" s="10" t="n"/>
      <c r="AO400" s="10" t="n"/>
      <c r="AP400" s="10" t="n"/>
      <c r="AQ400" s="10" t="n"/>
      <c r="AR400" s="10" t="n"/>
      <c r="AS400" s="10" t="n"/>
      <c r="AT400" s="10" t="n"/>
      <c r="AU400" s="10" t="n"/>
      <c r="AV400" s="10" t="n"/>
      <c r="AW400" s="10" t="n"/>
      <c r="AX400" s="10" t="n"/>
      <c r="AY400" s="10" t="n"/>
      <c r="AZ400" s="10" t="n"/>
      <c r="BA400" s="10" t="n"/>
      <c r="BB400" s="10" t="n"/>
      <c r="BC400" s="10" t="n"/>
      <c r="BD400" s="10" t="n"/>
      <c r="BE400" s="10" t="n"/>
      <c r="BF400" s="10" t="n"/>
      <c r="BG400" s="10" t="n"/>
      <c r="BH400" s="10" t="n"/>
      <c r="BI400" s="10" t="n"/>
      <c r="BJ400" s="10" t="n"/>
      <c r="BK400" s="10" t="n"/>
      <c r="BL400" s="10" t="n"/>
      <c r="BM400" s="10" t="n"/>
      <c r="BN400" s="10" t="n"/>
    </row>
    <row r="401">
      <c r="B401" s="5" t="inlineStr">
        <is>
          <t>coa</t>
        </is>
      </c>
      <c r="C401" s="5" t="inlineStr">
        <is>
          <t>rod</t>
        </is>
      </c>
      <c r="D401" s="5" t="inlineStr">
        <is>
          <t>Fuel use | Road | Coal</t>
        </is>
      </c>
      <c r="E401" s="5" t="inlineStr">
        <is>
          <t>ktoe</t>
        </is>
      </c>
      <c r="F401" s="5" t="inlineStr">
        <is>
          <t>EnergyCons (base year), Elasticities</t>
        </is>
      </c>
      <c r="G401" s="19" t="inlineStr">
        <is>
          <t>mit.enc.coa.rod</t>
        </is>
      </c>
      <c r="H401" s="19" t="inlineStr">
        <is>
          <t>mit.enc.coa.rod</t>
        </is>
      </c>
      <c r="J401" s="5">
        <f>INDEX(Mapping!$C$5:$C$20,MATCH($C401,Mapping!$A$5:$A$20,0))</f>
        <v/>
      </c>
      <c r="K401" s="5">
        <f>INDEX(Mapping!$D$5:$D$20,MATCH($C401,Mapping!$A$5:$A$20,0))</f>
        <v/>
      </c>
      <c r="L401" s="5">
        <f>INDEX(Mapping!$C$24:$C$31,MATCH($B401,Mapping!$A$24:$A$31,0))</f>
        <v/>
      </c>
      <c r="M401" s="5">
        <f>INDEX(Mapping!$D$24:$D$31,MATCH($B401,Mapping!$A$24:$A$31,0))</f>
        <v/>
      </c>
      <c r="N401" s="5">
        <f>$B401&amp;"."&amp;IF(INDEX(Mapping!$E$24:$E$31,MATCH($B401,Mapping!$A$24:$A$31,0))="sub",INDEX(Mapping!$F$5:$F$20,MATCH($C401,Mapping!$A$5:$A$20,0)),"all")</f>
        <v/>
      </c>
      <c r="O401" s="5">
        <f>INDEX(Mapping!$E$5:$E$20,MATCH($C401,Mapping!$A$5:$A$20,0))</f>
        <v/>
      </c>
      <c r="P401" s="5">
        <f>INDEX(Mapping!$G$24:$G$31,MATCH($B401,Mapping!$A$24:$A$31,0))</f>
        <v/>
      </c>
      <c r="Q401" s="22">
        <f>INDEX(Elasticities!$F$4:$I$200,MATCH("inc|"&amp;$L401&amp;"|"&amp;$K401,Elasticities!$A$4:$A$200,0),MATCH(Settings!$C$6,Elasticities!$F$3:$I$3,0))</f>
        <v/>
      </c>
      <c r="R401" s="22">
        <f>INDEX(Elasticities!$F$4:$I$200,MATCH("usg|"&amp;$L401&amp;"|"&amp;$K401,Elasticities!$A$4:$A$200,0),MATCH(Settings!$C$6,Elasticities!$F$3:$I$3,0))</f>
        <v/>
      </c>
      <c r="S401" s="22">
        <f>INDEX(Elasticities!$F$4:$I$200,MATCH("eff|"&amp;$L401&amp;"|"&amp;$K401,Elasticities!$A$4:$A$200,0),MATCH(Settings!$C$6,Elasticities!$F$3:$I$3,0))</f>
        <v/>
      </c>
      <c r="T401" s="22">
        <f>INDEX(Elasticities!$F$4:$I$200,MATCH("aei|"&amp;$M401&amp;"|"&amp;$K401,Elasticities!$A$4:$A$200,0),MATCH(Settings!$C$6,Elasticities!$F$3:$I$3,0))</f>
        <v/>
      </c>
      <c r="U401" s="21" t="n"/>
      <c r="V401" s="22">
        <f>Q401</f>
        <v/>
      </c>
      <c r="W401" s="22">
        <f>R401</f>
        <v/>
      </c>
      <c r="X401" s="22">
        <f>S401</f>
        <v/>
      </c>
      <c r="Y401" s="22">
        <f>T401</f>
        <v/>
      </c>
      <c r="Z401" s="21" t="n"/>
      <c r="AA401" s="22">
        <f>Q401</f>
        <v/>
      </c>
      <c r="AB401" s="22">
        <f>R401</f>
        <v/>
      </c>
      <c r="AC401" s="22">
        <f>S401</f>
        <v/>
      </c>
      <c r="AD401" s="22">
        <f>T401</f>
        <v/>
      </c>
      <c r="AE401" s="21" t="n"/>
      <c r="AF401" s="22">
        <f>Q401</f>
        <v/>
      </c>
      <c r="AG401" s="22">
        <f>R401</f>
        <v/>
      </c>
      <c r="AH401" s="22">
        <f>S401</f>
        <v/>
      </c>
      <c r="AI401" s="22">
        <f>T401</f>
        <v/>
      </c>
      <c r="AJ401" s="21" t="n"/>
      <c r="AL401" s="24">
        <f>INDEX(EnergyCons!$F$4:$F$5000,MATCH(Settings!$C$4&amp;"|"&amp;AL$5&amp;"|"&amp;$C401&amp;"|"&amp;$B401,EnergyCons!$A$4:$A$5000,0))</f>
        <v/>
      </c>
      <c r="AM401" s="25">
        <f>AL401*(1/(1+INDEX($Q401:$AJ401,1,(AM$4-1)*5+4)))^(1+INDEX($Q401:$AJ401,1,(AM$4-1)*5+2))*(1+AM$7)^INDEX($Q401:$AJ401,1,(AM$4-1)*5+1)*(AM271/AL271)^INDEX($Q401:$AJ401,1,(AM$4-1)*5+2)*(AM271/AL271)^(INDEX($Q401:$AJ401,1,(AM$4-1)*5+3)*(1+INDEX($Q401:$AJ401,1,(AM$4-1)*5+2)))</f>
        <v/>
      </c>
      <c r="AN401" s="25">
        <f>AM401*(1/(1+INDEX($Q401:$AJ401,1,(AN$4-1)*5+4)))^(1+INDEX($Q401:$AJ401,1,(AN$4-1)*5+2))*(1+AN$7)^INDEX($Q401:$AJ401,1,(AN$4-1)*5+1)*(AN271/AM271)^INDEX($Q401:$AJ401,1,(AN$4-1)*5+2)*(AN271/AM271)^(INDEX($Q401:$AJ401,1,(AN$4-1)*5+3)*(1+INDEX($Q401:$AJ401,1,(AN$4-1)*5+2)))</f>
        <v/>
      </c>
      <c r="AO401" s="25">
        <f>AN401*(1/(1+INDEX($Q401:$AJ401,1,(AO$4-1)*5+4)))^(1+INDEX($Q401:$AJ401,1,(AO$4-1)*5+2))*(1+AO$7)^INDEX($Q401:$AJ401,1,(AO$4-1)*5+1)*(AO271/AN271)^INDEX($Q401:$AJ401,1,(AO$4-1)*5+2)*(AO271/AN271)^(INDEX($Q401:$AJ401,1,(AO$4-1)*5+3)*(1+INDEX($Q401:$AJ401,1,(AO$4-1)*5+2)))</f>
        <v/>
      </c>
      <c r="AP401" s="25">
        <f>AO401*(1/(1+INDEX($Q401:$AJ401,1,(AP$4-1)*5+4)))^(1+INDEX($Q401:$AJ401,1,(AP$4-1)*5+2))*(1+AP$7)^INDEX($Q401:$AJ401,1,(AP$4-1)*5+1)*(AP271/AO271)^INDEX($Q401:$AJ401,1,(AP$4-1)*5+2)*(AP271/AO271)^(INDEX($Q401:$AJ401,1,(AP$4-1)*5+3)*(1+INDEX($Q401:$AJ401,1,(AP$4-1)*5+2)))</f>
        <v/>
      </c>
      <c r="AQ401" s="25">
        <f>AP401*(1/(1+INDEX($Q401:$AJ401,1,(AQ$4-1)*5+4)))^(1+INDEX($Q401:$AJ401,1,(AQ$4-1)*5+2))*(1+AQ$7)^INDEX($Q401:$AJ401,1,(AQ$4-1)*5+1)*(AQ271/AP271)^INDEX($Q401:$AJ401,1,(AQ$4-1)*5+2)*(AQ271/AP271)^(INDEX($Q401:$AJ401,1,(AQ$4-1)*5+3)*(1+INDEX($Q401:$AJ401,1,(AQ$4-1)*5+2)))</f>
        <v/>
      </c>
      <c r="AR401" s="25">
        <f>AQ401*(1/(1+INDEX($Q401:$AJ401,1,(AR$4-1)*5+4)))^(1+INDEX($Q401:$AJ401,1,(AR$4-1)*5+2))*(1+AR$7)^INDEX($Q401:$AJ401,1,(AR$4-1)*5+1)*(AR271/AQ271)^INDEX($Q401:$AJ401,1,(AR$4-1)*5+2)*(AR271/AQ271)^(INDEX($Q401:$AJ401,1,(AR$4-1)*5+3)*(1+INDEX($Q401:$AJ401,1,(AR$4-1)*5+2)))</f>
        <v/>
      </c>
      <c r="AS401" s="25">
        <f>AR401*(1/(1+INDEX($Q401:$AJ401,1,(AS$4-1)*5+4)))^(1+INDEX($Q401:$AJ401,1,(AS$4-1)*5+2))*(1+AS$7)^INDEX($Q401:$AJ401,1,(AS$4-1)*5+1)*(AS271/AR271)^INDEX($Q401:$AJ401,1,(AS$4-1)*5+2)*(AS271/AR271)^(INDEX($Q401:$AJ401,1,(AS$4-1)*5+3)*(1+INDEX($Q401:$AJ401,1,(AS$4-1)*5+2)))</f>
        <v/>
      </c>
      <c r="AT401" s="25">
        <f>AS401*(1/(1+INDEX($Q401:$AJ401,1,(AT$4-1)*5+4)))^(1+INDEX($Q401:$AJ401,1,(AT$4-1)*5+2))*(1+AT$7)^INDEX($Q401:$AJ401,1,(AT$4-1)*5+1)*(AT271/AS271)^INDEX($Q401:$AJ401,1,(AT$4-1)*5+2)*(AT271/AS271)^(INDEX($Q401:$AJ401,1,(AT$4-1)*5+3)*(1+INDEX($Q401:$AJ401,1,(AT$4-1)*5+2)))</f>
        <v/>
      </c>
      <c r="AU401" s="25">
        <f>AT401*(1/(1+INDEX($Q401:$AJ401,1,(AU$4-1)*5+4)))^(1+INDEX($Q401:$AJ401,1,(AU$4-1)*5+2))*(1+AU$7)^INDEX($Q401:$AJ401,1,(AU$4-1)*5+1)*(AU271/AT271)^INDEX($Q401:$AJ401,1,(AU$4-1)*5+2)*(AU271/AT271)^(INDEX($Q401:$AJ401,1,(AU$4-1)*5+3)*(1+INDEX($Q401:$AJ401,1,(AU$4-1)*5+2)))</f>
        <v/>
      </c>
      <c r="AV401" s="25">
        <f>AU401*(1/(1+INDEX($Q401:$AJ401,1,(AV$4-1)*5+4)))^(1+INDEX($Q401:$AJ401,1,(AV$4-1)*5+2))*(1+AV$7)^INDEX($Q401:$AJ401,1,(AV$4-1)*5+1)*(AV271/AU271)^INDEX($Q401:$AJ401,1,(AV$4-1)*5+2)*(AV271/AU271)^(INDEX($Q401:$AJ401,1,(AV$4-1)*5+3)*(1+INDEX($Q401:$AJ401,1,(AV$4-1)*5+2)))</f>
        <v/>
      </c>
      <c r="AW401" s="25">
        <f>AV401*(1/(1+INDEX($Q401:$AJ401,1,(AW$4-1)*5+4)))^(1+INDEX($Q401:$AJ401,1,(AW$4-1)*5+2))*(1+AW$7)^INDEX($Q401:$AJ401,1,(AW$4-1)*5+1)*(AW271/AV271)^INDEX($Q401:$AJ401,1,(AW$4-1)*5+2)*(AW271/AV271)^(INDEX($Q401:$AJ401,1,(AW$4-1)*5+3)*(1+INDEX($Q401:$AJ401,1,(AW$4-1)*5+2)))</f>
        <v/>
      </c>
      <c r="AX401" s="25">
        <f>AW401*(1/(1+INDEX($Q401:$AJ401,1,(AX$4-1)*5+4)))^(1+INDEX($Q401:$AJ401,1,(AX$4-1)*5+2))*(1+AX$7)^INDEX($Q401:$AJ401,1,(AX$4-1)*5+1)*(AX271/AW271)^INDEX($Q401:$AJ401,1,(AX$4-1)*5+2)*(AX271/AW271)^(INDEX($Q401:$AJ401,1,(AX$4-1)*5+3)*(1+INDEX($Q401:$AJ401,1,(AX$4-1)*5+2)))</f>
        <v/>
      </c>
      <c r="AY401" s="25">
        <f>AX401*(1/(1+INDEX($Q401:$AJ401,1,(AY$4-1)*5+4)))^(1+INDEX($Q401:$AJ401,1,(AY$4-1)*5+2))*(1+AY$7)^INDEX($Q401:$AJ401,1,(AY$4-1)*5+1)*(AY271/AX271)^INDEX($Q401:$AJ401,1,(AY$4-1)*5+2)*(AY271/AX271)^(INDEX($Q401:$AJ401,1,(AY$4-1)*5+3)*(1+INDEX($Q401:$AJ401,1,(AY$4-1)*5+2)))</f>
        <v/>
      </c>
      <c r="BA401" s="24">
        <f>INDEX(EnergyCons!$F$4:$F$5000,MATCH(Settings!$C$4&amp;"|"&amp;BA$5&amp;"|"&amp;$C401&amp;"|"&amp;$B401,EnergyCons!$A$4:$A$5000,0))</f>
        <v/>
      </c>
      <c r="BB401" s="25">
        <f>BA401*(1/(1+INDEX($Q401:$AJ401,1,(BB$4-1)*5+4)))^(1+INDEX($Q401:$AJ401,1,(BB$4-1)*5+2))*(1+BB$7)^INDEX($Q401:$AJ401,1,(BB$4-1)*5+1)*(BB271/BA271)^INDEX($Q401:$AJ401,1,(BB$4-1)*5+2)*(BB271/BA271)^(INDEX($Q401:$AJ401,1,(BB$4-1)*5+3)*(1+INDEX($Q401:$AJ401,1,(BB$4-1)*5+2)))</f>
        <v/>
      </c>
      <c r="BC401" s="25">
        <f>BB401*(1/(1+INDEX($Q401:$AJ401,1,(BC$4-1)*5+4)))^(1+INDEX($Q401:$AJ401,1,(BC$4-1)*5+2))*(1+BC$7)^INDEX($Q401:$AJ401,1,(BC$4-1)*5+1)*(BC271/BB271)^INDEX($Q401:$AJ401,1,(BC$4-1)*5+2)*(BC271/BB271)^(INDEX($Q401:$AJ401,1,(BC$4-1)*5+3)*(1+INDEX($Q401:$AJ401,1,(BC$4-1)*5+2)))</f>
        <v/>
      </c>
      <c r="BD401" s="25">
        <f>BC401*(1/(1+INDEX($Q401:$AJ401,1,(BD$4-1)*5+4)))^(1+INDEX($Q401:$AJ401,1,(BD$4-1)*5+2))*(1+BD$7)^INDEX($Q401:$AJ401,1,(BD$4-1)*5+1)*(BD271/BC271)^INDEX($Q401:$AJ401,1,(BD$4-1)*5+2)*(BD271/BC271)^(INDEX($Q401:$AJ401,1,(BD$4-1)*5+3)*(1+INDEX($Q401:$AJ401,1,(BD$4-1)*5+2)))</f>
        <v/>
      </c>
      <c r="BE401" s="25">
        <f>BD401*(1/(1+INDEX($Q401:$AJ401,1,(BE$4-1)*5+4)))^(1+INDEX($Q401:$AJ401,1,(BE$4-1)*5+2))*(1+BE$7)^INDEX($Q401:$AJ401,1,(BE$4-1)*5+1)*(BE271/BD271)^INDEX($Q401:$AJ401,1,(BE$4-1)*5+2)*(BE271/BD271)^(INDEX($Q401:$AJ401,1,(BE$4-1)*5+3)*(1+INDEX($Q401:$AJ401,1,(BE$4-1)*5+2)))</f>
        <v/>
      </c>
      <c r="BF401" s="25">
        <f>BE401*(1/(1+INDEX($Q401:$AJ401,1,(BF$4-1)*5+4)))^(1+INDEX($Q401:$AJ401,1,(BF$4-1)*5+2))*(1+BF$7)^INDEX($Q401:$AJ401,1,(BF$4-1)*5+1)*(BF271/BE271)^INDEX($Q401:$AJ401,1,(BF$4-1)*5+2)*(BF271/BE271)^(INDEX($Q401:$AJ401,1,(BF$4-1)*5+3)*(1+INDEX($Q401:$AJ401,1,(BF$4-1)*5+2)))</f>
        <v/>
      </c>
      <c r="BG401" s="25">
        <f>BF401*(1/(1+INDEX($Q401:$AJ401,1,(BG$4-1)*5+4)))^(1+INDEX($Q401:$AJ401,1,(BG$4-1)*5+2))*(1+BG$7)^INDEX($Q401:$AJ401,1,(BG$4-1)*5+1)*(BG271/BF271)^INDEX($Q401:$AJ401,1,(BG$4-1)*5+2)*(BG271/BF271)^(INDEX($Q401:$AJ401,1,(BG$4-1)*5+3)*(1+INDEX($Q401:$AJ401,1,(BG$4-1)*5+2)))</f>
        <v/>
      </c>
      <c r="BH401" s="25">
        <f>BG401*(1/(1+INDEX($Q401:$AJ401,1,(BH$4-1)*5+4)))^(1+INDEX($Q401:$AJ401,1,(BH$4-1)*5+2))*(1+BH$7)^INDEX($Q401:$AJ401,1,(BH$4-1)*5+1)*(BH271/BG271)^INDEX($Q401:$AJ401,1,(BH$4-1)*5+2)*(BH271/BG271)^(INDEX($Q401:$AJ401,1,(BH$4-1)*5+3)*(1+INDEX($Q401:$AJ401,1,(BH$4-1)*5+2)))</f>
        <v/>
      </c>
      <c r="BI401" s="25">
        <f>BH401*(1/(1+INDEX($Q401:$AJ401,1,(BI$4-1)*5+4)))^(1+INDEX($Q401:$AJ401,1,(BI$4-1)*5+2))*(1+BI$7)^INDEX($Q401:$AJ401,1,(BI$4-1)*5+1)*(BI271/BH271)^INDEX($Q401:$AJ401,1,(BI$4-1)*5+2)*(BI271/BH271)^(INDEX($Q401:$AJ401,1,(BI$4-1)*5+3)*(1+INDEX($Q401:$AJ401,1,(BI$4-1)*5+2)))</f>
        <v/>
      </c>
      <c r="BJ401" s="25">
        <f>BI401*(1/(1+INDEX($Q401:$AJ401,1,(BJ$4-1)*5+4)))^(1+INDEX($Q401:$AJ401,1,(BJ$4-1)*5+2))*(1+BJ$7)^INDEX($Q401:$AJ401,1,(BJ$4-1)*5+1)*(BJ271/BI271)^INDEX($Q401:$AJ401,1,(BJ$4-1)*5+2)*(BJ271/BI271)^(INDEX($Q401:$AJ401,1,(BJ$4-1)*5+3)*(1+INDEX($Q401:$AJ401,1,(BJ$4-1)*5+2)))</f>
        <v/>
      </c>
      <c r="BK401" s="25">
        <f>BJ401*(1/(1+INDEX($Q401:$AJ401,1,(BK$4-1)*5+4)))^(1+INDEX($Q401:$AJ401,1,(BK$4-1)*5+2))*(1+BK$7)^INDEX($Q401:$AJ401,1,(BK$4-1)*5+1)*(BK271/BJ271)^INDEX($Q401:$AJ401,1,(BK$4-1)*5+2)*(BK271/BJ271)^(INDEX($Q401:$AJ401,1,(BK$4-1)*5+3)*(1+INDEX($Q401:$AJ401,1,(BK$4-1)*5+2)))</f>
        <v/>
      </c>
      <c r="BL401" s="25">
        <f>BK401*(1/(1+INDEX($Q401:$AJ401,1,(BL$4-1)*5+4)))^(1+INDEX($Q401:$AJ401,1,(BL$4-1)*5+2))*(1+BL$7)^INDEX($Q401:$AJ401,1,(BL$4-1)*5+1)*(BL271/BK271)^INDEX($Q401:$AJ401,1,(BL$4-1)*5+2)*(BL271/BK271)^(INDEX($Q401:$AJ401,1,(BL$4-1)*5+3)*(1+INDEX($Q401:$AJ401,1,(BL$4-1)*5+2)))</f>
        <v/>
      </c>
      <c r="BM401" s="25">
        <f>BL401*(1/(1+INDEX($Q401:$AJ401,1,(BM$4-1)*5+4)))^(1+INDEX($Q401:$AJ401,1,(BM$4-1)*5+2))*(1+BM$7)^INDEX($Q401:$AJ401,1,(BM$4-1)*5+1)*(BM271/BL271)^INDEX($Q401:$AJ401,1,(BM$4-1)*5+2)*(BM271/BL271)^(INDEX($Q401:$AJ401,1,(BM$4-1)*5+3)*(1+INDEX($Q401:$AJ401,1,(BM$4-1)*5+2)))</f>
        <v/>
      </c>
      <c r="BN401" s="25">
        <f>BM401*(1/(1+INDEX($Q401:$AJ401,1,(BN$4-1)*5+4)))^(1+INDEX($Q401:$AJ401,1,(BN$4-1)*5+2))*(1+BN$7)^INDEX($Q401:$AJ401,1,(BN$4-1)*5+1)*(BN271/BM271)^INDEX($Q401:$AJ401,1,(BN$4-1)*5+2)*(BN271/BM271)^(INDEX($Q401:$AJ401,1,(BN$4-1)*5+3)*(1+INDEX($Q401:$AJ401,1,(BN$4-1)*5+2)))</f>
        <v/>
      </c>
    </row>
    <row r="402">
      <c r="B402" s="5" t="inlineStr">
        <is>
          <t>nga</t>
        </is>
      </c>
      <c r="C402" s="5" t="inlineStr">
        <is>
          <t>rod</t>
        </is>
      </c>
      <c r="D402" s="5" t="inlineStr">
        <is>
          <t>Fuel use | Road | Natural gas</t>
        </is>
      </c>
      <c r="E402" s="5" t="inlineStr">
        <is>
          <t>ktoe</t>
        </is>
      </c>
      <c r="F402" s="5" t="inlineStr">
        <is>
          <t>EnergyCons (base year), Elasticities</t>
        </is>
      </c>
      <c r="G402" s="19" t="inlineStr">
        <is>
          <t>mit.enc.nga.rod</t>
        </is>
      </c>
      <c r="H402" s="19" t="inlineStr">
        <is>
          <t>mit.enc.nga.rod</t>
        </is>
      </c>
      <c r="J402" s="5">
        <f>INDEX(Mapping!$C$5:$C$20,MATCH($C402,Mapping!$A$5:$A$20,0))</f>
        <v/>
      </c>
      <c r="K402" s="5">
        <f>INDEX(Mapping!$D$5:$D$20,MATCH($C402,Mapping!$A$5:$A$20,0))</f>
        <v/>
      </c>
      <c r="L402" s="5">
        <f>INDEX(Mapping!$C$24:$C$31,MATCH($B402,Mapping!$A$24:$A$31,0))</f>
        <v/>
      </c>
      <c r="M402" s="5">
        <f>INDEX(Mapping!$D$24:$D$31,MATCH($B402,Mapping!$A$24:$A$31,0))</f>
        <v/>
      </c>
      <c r="N402" s="5">
        <f>$B402&amp;"."&amp;IF(INDEX(Mapping!$E$24:$E$31,MATCH($B402,Mapping!$A$24:$A$31,0))="sub",INDEX(Mapping!$F$5:$F$20,MATCH($C402,Mapping!$A$5:$A$20,0)),"all")</f>
        <v/>
      </c>
      <c r="O402" s="5">
        <f>INDEX(Mapping!$E$5:$E$20,MATCH($C402,Mapping!$A$5:$A$20,0))</f>
        <v/>
      </c>
      <c r="P402" s="5">
        <f>INDEX(Mapping!$G$24:$G$31,MATCH($B402,Mapping!$A$24:$A$31,0))</f>
        <v/>
      </c>
      <c r="Q402" s="22">
        <f>INDEX(Elasticities!$F$4:$I$200,MATCH("inc|"&amp;$L402&amp;"|"&amp;$K402,Elasticities!$A$4:$A$200,0),MATCH(Settings!$C$6,Elasticities!$F$3:$I$3,0))</f>
        <v/>
      </c>
      <c r="R402" s="22">
        <f>INDEX(Elasticities!$F$4:$I$200,MATCH("usg|"&amp;$L402&amp;"|"&amp;$K402,Elasticities!$A$4:$A$200,0),MATCH(Settings!$C$6,Elasticities!$F$3:$I$3,0))</f>
        <v/>
      </c>
      <c r="S402" s="22">
        <f>INDEX(Elasticities!$F$4:$I$200,MATCH("eff|"&amp;$L402&amp;"|"&amp;$K402,Elasticities!$A$4:$A$200,0),MATCH(Settings!$C$6,Elasticities!$F$3:$I$3,0))</f>
        <v/>
      </c>
      <c r="T402" s="22">
        <f>INDEX(Elasticities!$F$4:$I$200,MATCH("aei|"&amp;$M402&amp;"|"&amp;$K402,Elasticities!$A$4:$A$200,0),MATCH(Settings!$C$6,Elasticities!$F$3:$I$3,0))</f>
        <v/>
      </c>
      <c r="U402" s="21" t="n"/>
      <c r="V402" s="22">
        <f>Q402</f>
        <v/>
      </c>
      <c r="W402" s="22">
        <f>R402</f>
        <v/>
      </c>
      <c r="X402" s="22">
        <f>S402</f>
        <v/>
      </c>
      <c r="Y402" s="22">
        <f>T402</f>
        <v/>
      </c>
      <c r="Z402" s="21" t="n"/>
      <c r="AA402" s="22">
        <f>Q402</f>
        <v/>
      </c>
      <c r="AB402" s="22">
        <f>R402</f>
        <v/>
      </c>
      <c r="AC402" s="22">
        <f>S402</f>
        <v/>
      </c>
      <c r="AD402" s="22">
        <f>T402</f>
        <v/>
      </c>
      <c r="AE402" s="21" t="n"/>
      <c r="AF402" s="22">
        <f>Q402</f>
        <v/>
      </c>
      <c r="AG402" s="22">
        <f>R402</f>
        <v/>
      </c>
      <c r="AH402" s="22">
        <f>S402</f>
        <v/>
      </c>
      <c r="AI402" s="22">
        <f>T402</f>
        <v/>
      </c>
      <c r="AJ402" s="21" t="n"/>
      <c r="AL402" s="24">
        <f>INDEX(EnergyCons!$F$4:$F$5000,MATCH(Settings!$C$4&amp;"|"&amp;AL$5&amp;"|"&amp;$C402&amp;"|"&amp;$B402,EnergyCons!$A$4:$A$5000,0))</f>
        <v/>
      </c>
      <c r="AM402" s="25">
        <f>AL402*(1/(1+INDEX($Q402:$AJ402,1,(AM$4-1)*5+4)))^(1+INDEX($Q402:$AJ402,1,(AM$4-1)*5+2))*(1+AM$7)^INDEX($Q402:$AJ402,1,(AM$4-1)*5+1)*(AM272/AL272)^INDEX($Q402:$AJ402,1,(AM$4-1)*5+2)*(AM272/AL272)^(INDEX($Q402:$AJ402,1,(AM$4-1)*5+3)*(1+INDEX($Q402:$AJ402,1,(AM$4-1)*5+2)))</f>
        <v/>
      </c>
      <c r="AN402" s="25">
        <f>AM402*(1/(1+INDEX($Q402:$AJ402,1,(AN$4-1)*5+4)))^(1+INDEX($Q402:$AJ402,1,(AN$4-1)*5+2))*(1+AN$7)^INDEX($Q402:$AJ402,1,(AN$4-1)*5+1)*(AN272/AM272)^INDEX($Q402:$AJ402,1,(AN$4-1)*5+2)*(AN272/AM272)^(INDEX($Q402:$AJ402,1,(AN$4-1)*5+3)*(1+INDEX($Q402:$AJ402,1,(AN$4-1)*5+2)))</f>
        <v/>
      </c>
      <c r="AO402" s="25">
        <f>AN402*(1/(1+INDEX($Q402:$AJ402,1,(AO$4-1)*5+4)))^(1+INDEX($Q402:$AJ402,1,(AO$4-1)*5+2))*(1+AO$7)^INDEX($Q402:$AJ402,1,(AO$4-1)*5+1)*(AO272/AN272)^INDEX($Q402:$AJ402,1,(AO$4-1)*5+2)*(AO272/AN272)^(INDEX($Q402:$AJ402,1,(AO$4-1)*5+3)*(1+INDEX($Q402:$AJ402,1,(AO$4-1)*5+2)))</f>
        <v/>
      </c>
      <c r="AP402" s="25">
        <f>AO402*(1/(1+INDEX($Q402:$AJ402,1,(AP$4-1)*5+4)))^(1+INDEX($Q402:$AJ402,1,(AP$4-1)*5+2))*(1+AP$7)^INDEX($Q402:$AJ402,1,(AP$4-1)*5+1)*(AP272/AO272)^INDEX($Q402:$AJ402,1,(AP$4-1)*5+2)*(AP272/AO272)^(INDEX($Q402:$AJ402,1,(AP$4-1)*5+3)*(1+INDEX($Q402:$AJ402,1,(AP$4-1)*5+2)))</f>
        <v/>
      </c>
      <c r="AQ402" s="25">
        <f>AP402*(1/(1+INDEX($Q402:$AJ402,1,(AQ$4-1)*5+4)))^(1+INDEX($Q402:$AJ402,1,(AQ$4-1)*5+2))*(1+AQ$7)^INDEX($Q402:$AJ402,1,(AQ$4-1)*5+1)*(AQ272/AP272)^INDEX($Q402:$AJ402,1,(AQ$4-1)*5+2)*(AQ272/AP272)^(INDEX($Q402:$AJ402,1,(AQ$4-1)*5+3)*(1+INDEX($Q402:$AJ402,1,(AQ$4-1)*5+2)))</f>
        <v/>
      </c>
      <c r="AR402" s="25">
        <f>AQ402*(1/(1+INDEX($Q402:$AJ402,1,(AR$4-1)*5+4)))^(1+INDEX($Q402:$AJ402,1,(AR$4-1)*5+2))*(1+AR$7)^INDEX($Q402:$AJ402,1,(AR$4-1)*5+1)*(AR272/AQ272)^INDEX($Q402:$AJ402,1,(AR$4-1)*5+2)*(AR272/AQ272)^(INDEX($Q402:$AJ402,1,(AR$4-1)*5+3)*(1+INDEX($Q402:$AJ402,1,(AR$4-1)*5+2)))</f>
        <v/>
      </c>
      <c r="AS402" s="25">
        <f>AR402*(1/(1+INDEX($Q402:$AJ402,1,(AS$4-1)*5+4)))^(1+INDEX($Q402:$AJ402,1,(AS$4-1)*5+2))*(1+AS$7)^INDEX($Q402:$AJ402,1,(AS$4-1)*5+1)*(AS272/AR272)^INDEX($Q402:$AJ402,1,(AS$4-1)*5+2)*(AS272/AR272)^(INDEX($Q402:$AJ402,1,(AS$4-1)*5+3)*(1+INDEX($Q402:$AJ402,1,(AS$4-1)*5+2)))</f>
        <v/>
      </c>
      <c r="AT402" s="25">
        <f>AS402*(1/(1+INDEX($Q402:$AJ402,1,(AT$4-1)*5+4)))^(1+INDEX($Q402:$AJ402,1,(AT$4-1)*5+2))*(1+AT$7)^INDEX($Q402:$AJ402,1,(AT$4-1)*5+1)*(AT272/AS272)^INDEX($Q402:$AJ402,1,(AT$4-1)*5+2)*(AT272/AS272)^(INDEX($Q402:$AJ402,1,(AT$4-1)*5+3)*(1+INDEX($Q402:$AJ402,1,(AT$4-1)*5+2)))</f>
        <v/>
      </c>
      <c r="AU402" s="25">
        <f>AT402*(1/(1+INDEX($Q402:$AJ402,1,(AU$4-1)*5+4)))^(1+INDEX($Q402:$AJ402,1,(AU$4-1)*5+2))*(1+AU$7)^INDEX($Q402:$AJ402,1,(AU$4-1)*5+1)*(AU272/AT272)^INDEX($Q402:$AJ402,1,(AU$4-1)*5+2)*(AU272/AT272)^(INDEX($Q402:$AJ402,1,(AU$4-1)*5+3)*(1+INDEX($Q402:$AJ402,1,(AU$4-1)*5+2)))</f>
        <v/>
      </c>
      <c r="AV402" s="25">
        <f>AU402*(1/(1+INDEX($Q402:$AJ402,1,(AV$4-1)*5+4)))^(1+INDEX($Q402:$AJ402,1,(AV$4-1)*5+2))*(1+AV$7)^INDEX($Q402:$AJ402,1,(AV$4-1)*5+1)*(AV272/AU272)^INDEX($Q402:$AJ402,1,(AV$4-1)*5+2)*(AV272/AU272)^(INDEX($Q402:$AJ402,1,(AV$4-1)*5+3)*(1+INDEX($Q402:$AJ402,1,(AV$4-1)*5+2)))</f>
        <v/>
      </c>
      <c r="AW402" s="25">
        <f>AV402*(1/(1+INDEX($Q402:$AJ402,1,(AW$4-1)*5+4)))^(1+INDEX($Q402:$AJ402,1,(AW$4-1)*5+2))*(1+AW$7)^INDEX($Q402:$AJ402,1,(AW$4-1)*5+1)*(AW272/AV272)^INDEX($Q402:$AJ402,1,(AW$4-1)*5+2)*(AW272/AV272)^(INDEX($Q402:$AJ402,1,(AW$4-1)*5+3)*(1+INDEX($Q402:$AJ402,1,(AW$4-1)*5+2)))</f>
        <v/>
      </c>
      <c r="AX402" s="25">
        <f>AW402*(1/(1+INDEX($Q402:$AJ402,1,(AX$4-1)*5+4)))^(1+INDEX($Q402:$AJ402,1,(AX$4-1)*5+2))*(1+AX$7)^INDEX($Q402:$AJ402,1,(AX$4-1)*5+1)*(AX272/AW272)^INDEX($Q402:$AJ402,1,(AX$4-1)*5+2)*(AX272/AW272)^(INDEX($Q402:$AJ402,1,(AX$4-1)*5+3)*(1+INDEX($Q402:$AJ402,1,(AX$4-1)*5+2)))</f>
        <v/>
      </c>
      <c r="AY402" s="25">
        <f>AX402*(1/(1+INDEX($Q402:$AJ402,1,(AY$4-1)*5+4)))^(1+INDEX($Q402:$AJ402,1,(AY$4-1)*5+2))*(1+AY$7)^INDEX($Q402:$AJ402,1,(AY$4-1)*5+1)*(AY272/AX272)^INDEX($Q402:$AJ402,1,(AY$4-1)*5+2)*(AY272/AX272)^(INDEX($Q402:$AJ402,1,(AY$4-1)*5+3)*(1+INDEX($Q402:$AJ402,1,(AY$4-1)*5+2)))</f>
        <v/>
      </c>
      <c r="BA402" s="24">
        <f>INDEX(EnergyCons!$F$4:$F$5000,MATCH(Settings!$C$4&amp;"|"&amp;BA$5&amp;"|"&amp;$C402&amp;"|"&amp;$B402,EnergyCons!$A$4:$A$5000,0))</f>
        <v/>
      </c>
      <c r="BB402" s="25">
        <f>BA402*(1/(1+INDEX($Q402:$AJ402,1,(BB$4-1)*5+4)))^(1+INDEX($Q402:$AJ402,1,(BB$4-1)*5+2))*(1+BB$7)^INDEX($Q402:$AJ402,1,(BB$4-1)*5+1)*(BB272/BA272)^INDEX($Q402:$AJ402,1,(BB$4-1)*5+2)*(BB272/BA272)^(INDEX($Q402:$AJ402,1,(BB$4-1)*5+3)*(1+INDEX($Q402:$AJ402,1,(BB$4-1)*5+2)))</f>
        <v/>
      </c>
      <c r="BC402" s="25">
        <f>BB402*(1/(1+INDEX($Q402:$AJ402,1,(BC$4-1)*5+4)))^(1+INDEX($Q402:$AJ402,1,(BC$4-1)*5+2))*(1+BC$7)^INDEX($Q402:$AJ402,1,(BC$4-1)*5+1)*(BC272/BB272)^INDEX($Q402:$AJ402,1,(BC$4-1)*5+2)*(BC272/BB272)^(INDEX($Q402:$AJ402,1,(BC$4-1)*5+3)*(1+INDEX($Q402:$AJ402,1,(BC$4-1)*5+2)))</f>
        <v/>
      </c>
      <c r="BD402" s="25">
        <f>BC402*(1/(1+INDEX($Q402:$AJ402,1,(BD$4-1)*5+4)))^(1+INDEX($Q402:$AJ402,1,(BD$4-1)*5+2))*(1+BD$7)^INDEX($Q402:$AJ402,1,(BD$4-1)*5+1)*(BD272/BC272)^INDEX($Q402:$AJ402,1,(BD$4-1)*5+2)*(BD272/BC272)^(INDEX($Q402:$AJ402,1,(BD$4-1)*5+3)*(1+INDEX($Q402:$AJ402,1,(BD$4-1)*5+2)))</f>
        <v/>
      </c>
      <c r="BE402" s="25">
        <f>BD402*(1/(1+INDEX($Q402:$AJ402,1,(BE$4-1)*5+4)))^(1+INDEX($Q402:$AJ402,1,(BE$4-1)*5+2))*(1+BE$7)^INDEX($Q402:$AJ402,1,(BE$4-1)*5+1)*(BE272/BD272)^INDEX($Q402:$AJ402,1,(BE$4-1)*5+2)*(BE272/BD272)^(INDEX($Q402:$AJ402,1,(BE$4-1)*5+3)*(1+INDEX($Q402:$AJ402,1,(BE$4-1)*5+2)))</f>
        <v/>
      </c>
      <c r="BF402" s="25">
        <f>BE402*(1/(1+INDEX($Q402:$AJ402,1,(BF$4-1)*5+4)))^(1+INDEX($Q402:$AJ402,1,(BF$4-1)*5+2))*(1+BF$7)^INDEX($Q402:$AJ402,1,(BF$4-1)*5+1)*(BF272/BE272)^INDEX($Q402:$AJ402,1,(BF$4-1)*5+2)*(BF272/BE272)^(INDEX($Q402:$AJ402,1,(BF$4-1)*5+3)*(1+INDEX($Q402:$AJ402,1,(BF$4-1)*5+2)))</f>
        <v/>
      </c>
      <c r="BG402" s="25">
        <f>BF402*(1/(1+INDEX($Q402:$AJ402,1,(BG$4-1)*5+4)))^(1+INDEX($Q402:$AJ402,1,(BG$4-1)*5+2))*(1+BG$7)^INDEX($Q402:$AJ402,1,(BG$4-1)*5+1)*(BG272/BF272)^INDEX($Q402:$AJ402,1,(BG$4-1)*5+2)*(BG272/BF272)^(INDEX($Q402:$AJ402,1,(BG$4-1)*5+3)*(1+INDEX($Q402:$AJ402,1,(BG$4-1)*5+2)))</f>
        <v/>
      </c>
      <c r="BH402" s="25">
        <f>BG402*(1/(1+INDEX($Q402:$AJ402,1,(BH$4-1)*5+4)))^(1+INDEX($Q402:$AJ402,1,(BH$4-1)*5+2))*(1+BH$7)^INDEX($Q402:$AJ402,1,(BH$4-1)*5+1)*(BH272/BG272)^INDEX($Q402:$AJ402,1,(BH$4-1)*5+2)*(BH272/BG272)^(INDEX($Q402:$AJ402,1,(BH$4-1)*5+3)*(1+INDEX($Q402:$AJ402,1,(BH$4-1)*5+2)))</f>
        <v/>
      </c>
      <c r="BI402" s="25">
        <f>BH402*(1/(1+INDEX($Q402:$AJ402,1,(BI$4-1)*5+4)))^(1+INDEX($Q402:$AJ402,1,(BI$4-1)*5+2))*(1+BI$7)^INDEX($Q402:$AJ402,1,(BI$4-1)*5+1)*(BI272/BH272)^INDEX($Q402:$AJ402,1,(BI$4-1)*5+2)*(BI272/BH272)^(INDEX($Q402:$AJ402,1,(BI$4-1)*5+3)*(1+INDEX($Q402:$AJ402,1,(BI$4-1)*5+2)))</f>
        <v/>
      </c>
      <c r="BJ402" s="25">
        <f>BI402*(1/(1+INDEX($Q402:$AJ402,1,(BJ$4-1)*5+4)))^(1+INDEX($Q402:$AJ402,1,(BJ$4-1)*5+2))*(1+BJ$7)^INDEX($Q402:$AJ402,1,(BJ$4-1)*5+1)*(BJ272/BI272)^INDEX($Q402:$AJ402,1,(BJ$4-1)*5+2)*(BJ272/BI272)^(INDEX($Q402:$AJ402,1,(BJ$4-1)*5+3)*(1+INDEX($Q402:$AJ402,1,(BJ$4-1)*5+2)))</f>
        <v/>
      </c>
      <c r="BK402" s="25">
        <f>BJ402*(1/(1+INDEX($Q402:$AJ402,1,(BK$4-1)*5+4)))^(1+INDEX($Q402:$AJ402,1,(BK$4-1)*5+2))*(1+BK$7)^INDEX($Q402:$AJ402,1,(BK$4-1)*5+1)*(BK272/BJ272)^INDEX($Q402:$AJ402,1,(BK$4-1)*5+2)*(BK272/BJ272)^(INDEX($Q402:$AJ402,1,(BK$4-1)*5+3)*(1+INDEX($Q402:$AJ402,1,(BK$4-1)*5+2)))</f>
        <v/>
      </c>
      <c r="BL402" s="25">
        <f>BK402*(1/(1+INDEX($Q402:$AJ402,1,(BL$4-1)*5+4)))^(1+INDEX($Q402:$AJ402,1,(BL$4-1)*5+2))*(1+BL$7)^INDEX($Q402:$AJ402,1,(BL$4-1)*5+1)*(BL272/BK272)^INDEX($Q402:$AJ402,1,(BL$4-1)*5+2)*(BL272/BK272)^(INDEX($Q402:$AJ402,1,(BL$4-1)*5+3)*(1+INDEX($Q402:$AJ402,1,(BL$4-1)*5+2)))</f>
        <v/>
      </c>
      <c r="BM402" s="25">
        <f>BL402*(1/(1+INDEX($Q402:$AJ402,1,(BM$4-1)*5+4)))^(1+INDEX($Q402:$AJ402,1,(BM$4-1)*5+2))*(1+BM$7)^INDEX($Q402:$AJ402,1,(BM$4-1)*5+1)*(BM272/BL272)^INDEX($Q402:$AJ402,1,(BM$4-1)*5+2)*(BM272/BL272)^(INDEX($Q402:$AJ402,1,(BM$4-1)*5+3)*(1+INDEX($Q402:$AJ402,1,(BM$4-1)*5+2)))</f>
        <v/>
      </c>
      <c r="BN402" s="25">
        <f>BM402*(1/(1+INDEX($Q402:$AJ402,1,(BN$4-1)*5+4)))^(1+INDEX($Q402:$AJ402,1,(BN$4-1)*5+2))*(1+BN$7)^INDEX($Q402:$AJ402,1,(BN$4-1)*5+1)*(BN272/BM272)^INDEX($Q402:$AJ402,1,(BN$4-1)*5+2)*(BN272/BM272)^(INDEX($Q402:$AJ402,1,(BN$4-1)*5+3)*(1+INDEX($Q402:$AJ402,1,(BN$4-1)*5+2)))</f>
        <v/>
      </c>
    </row>
    <row r="403">
      <c r="B403" s="5" t="inlineStr">
        <is>
          <t>gso</t>
        </is>
      </c>
      <c r="C403" s="5" t="inlineStr">
        <is>
          <t>rod</t>
        </is>
      </c>
      <c r="D403" s="5" t="inlineStr">
        <is>
          <t>Fuel use | Road | Gasoline</t>
        </is>
      </c>
      <c r="E403" s="5" t="inlineStr">
        <is>
          <t>ktoe</t>
        </is>
      </c>
      <c r="F403" s="5" t="inlineStr">
        <is>
          <t>EnergyCons (base year), Elasticities</t>
        </is>
      </c>
      <c r="G403" s="19" t="inlineStr">
        <is>
          <t>mit.enc.gso.rod</t>
        </is>
      </c>
      <c r="H403" s="19" t="inlineStr">
        <is>
          <t>mit.enc.gso.rod</t>
        </is>
      </c>
      <c r="J403" s="5">
        <f>INDEX(Mapping!$C$5:$C$20,MATCH($C403,Mapping!$A$5:$A$20,0))</f>
        <v/>
      </c>
      <c r="K403" s="5">
        <f>INDEX(Mapping!$D$5:$D$20,MATCH($C403,Mapping!$A$5:$A$20,0))</f>
        <v/>
      </c>
      <c r="L403" s="5">
        <f>INDEX(Mapping!$C$24:$C$31,MATCH($B403,Mapping!$A$24:$A$31,0))</f>
        <v/>
      </c>
      <c r="M403" s="5">
        <f>INDEX(Mapping!$D$24:$D$31,MATCH($B403,Mapping!$A$24:$A$31,0))</f>
        <v/>
      </c>
      <c r="N403" s="5">
        <f>$B403&amp;"."&amp;IF(INDEX(Mapping!$E$24:$E$31,MATCH($B403,Mapping!$A$24:$A$31,0))="sub",INDEX(Mapping!$F$5:$F$20,MATCH($C403,Mapping!$A$5:$A$20,0)),"all")</f>
        <v/>
      </c>
      <c r="O403" s="5">
        <f>INDEX(Mapping!$E$5:$E$20,MATCH($C403,Mapping!$A$5:$A$20,0))</f>
        <v/>
      </c>
      <c r="P403" s="5">
        <f>INDEX(Mapping!$G$24:$G$31,MATCH($B403,Mapping!$A$24:$A$31,0))</f>
        <v/>
      </c>
      <c r="Q403" s="22">
        <f>INDEX(Elasticities!$F$4:$I$200,MATCH("inc|"&amp;$L403&amp;"|"&amp;$K403,Elasticities!$A$4:$A$200,0),MATCH(Settings!$C$6,Elasticities!$F$3:$I$3,0))</f>
        <v/>
      </c>
      <c r="R403" s="22">
        <f>INDEX(Elasticities!$F$4:$I$200,MATCH("usg|"&amp;$L403&amp;"|"&amp;$K403,Elasticities!$A$4:$A$200,0),MATCH(Settings!$C$6,Elasticities!$F$3:$I$3,0))</f>
        <v/>
      </c>
      <c r="S403" s="22">
        <f>INDEX(Elasticities!$F$4:$I$200,MATCH("eff|"&amp;$L403&amp;"|"&amp;$K403,Elasticities!$A$4:$A$200,0),MATCH(Settings!$C$6,Elasticities!$F$3:$I$3,0))</f>
        <v/>
      </c>
      <c r="T403" s="22">
        <f>INDEX(Elasticities!$F$4:$I$200,MATCH("aei|"&amp;$M403&amp;"|"&amp;$K403,Elasticities!$A$4:$A$200,0),MATCH(Settings!$C$6,Elasticities!$F$3:$I$3,0))</f>
        <v/>
      </c>
      <c r="U403" s="21" t="n"/>
      <c r="V403" s="22">
        <f>Q403</f>
        <v/>
      </c>
      <c r="W403" s="22">
        <f>R403</f>
        <v/>
      </c>
      <c r="X403" s="22">
        <f>S403</f>
        <v/>
      </c>
      <c r="Y403" s="22">
        <f>T403</f>
        <v/>
      </c>
      <c r="Z403" s="21" t="n"/>
      <c r="AA403" s="22">
        <f>Q403</f>
        <v/>
      </c>
      <c r="AB403" s="22">
        <f>R403</f>
        <v/>
      </c>
      <c r="AC403" s="22">
        <f>S403</f>
        <v/>
      </c>
      <c r="AD403" s="22">
        <f>T403</f>
        <v/>
      </c>
      <c r="AE403" s="21" t="n"/>
      <c r="AF403" s="22">
        <f>Q403</f>
        <v/>
      </c>
      <c r="AG403" s="22">
        <f>R403</f>
        <v/>
      </c>
      <c r="AH403" s="22">
        <f>S403</f>
        <v/>
      </c>
      <c r="AI403" s="22">
        <f>T403</f>
        <v/>
      </c>
      <c r="AJ403" s="21" t="n"/>
      <c r="AL403" s="24">
        <f>INDEX(EnergyCons!$F$4:$F$5000,MATCH(Settings!$C$4&amp;"|"&amp;AL$5&amp;"|"&amp;$C403&amp;"|"&amp;$B403,EnergyCons!$A$4:$A$5000,0))</f>
        <v/>
      </c>
      <c r="AM403" s="25">
        <f>AL403*(1/(1+INDEX($Q403:$AJ403,1,(AM$4-1)*5+4)))^(1+INDEX($Q403:$AJ403,1,(AM$4-1)*5+2))*(1+AM$7)^INDEX($Q403:$AJ403,1,(AM$4-1)*5+1)*(AM273/AL273)^INDEX($Q403:$AJ403,1,(AM$4-1)*5+2)*(AM273/AL273)^(INDEX($Q403:$AJ403,1,(AM$4-1)*5+3)*(1+INDEX($Q403:$AJ403,1,(AM$4-1)*5+2)))</f>
        <v/>
      </c>
      <c r="AN403" s="25">
        <f>AM403*(1/(1+INDEX($Q403:$AJ403,1,(AN$4-1)*5+4)))^(1+INDEX($Q403:$AJ403,1,(AN$4-1)*5+2))*(1+AN$7)^INDEX($Q403:$AJ403,1,(AN$4-1)*5+1)*(AN273/AM273)^INDEX($Q403:$AJ403,1,(AN$4-1)*5+2)*(AN273/AM273)^(INDEX($Q403:$AJ403,1,(AN$4-1)*5+3)*(1+INDEX($Q403:$AJ403,1,(AN$4-1)*5+2)))</f>
        <v/>
      </c>
      <c r="AO403" s="25">
        <f>AN403*(1/(1+INDEX($Q403:$AJ403,1,(AO$4-1)*5+4)))^(1+INDEX($Q403:$AJ403,1,(AO$4-1)*5+2))*(1+AO$7)^INDEX($Q403:$AJ403,1,(AO$4-1)*5+1)*(AO273/AN273)^INDEX($Q403:$AJ403,1,(AO$4-1)*5+2)*(AO273/AN273)^(INDEX($Q403:$AJ403,1,(AO$4-1)*5+3)*(1+INDEX($Q403:$AJ403,1,(AO$4-1)*5+2)))</f>
        <v/>
      </c>
      <c r="AP403" s="25">
        <f>AO403*(1/(1+INDEX($Q403:$AJ403,1,(AP$4-1)*5+4)))^(1+INDEX($Q403:$AJ403,1,(AP$4-1)*5+2))*(1+AP$7)^INDEX($Q403:$AJ403,1,(AP$4-1)*5+1)*(AP273/AO273)^INDEX($Q403:$AJ403,1,(AP$4-1)*5+2)*(AP273/AO273)^(INDEX($Q403:$AJ403,1,(AP$4-1)*5+3)*(1+INDEX($Q403:$AJ403,1,(AP$4-1)*5+2)))</f>
        <v/>
      </c>
      <c r="AQ403" s="25">
        <f>AP403*(1/(1+INDEX($Q403:$AJ403,1,(AQ$4-1)*5+4)))^(1+INDEX($Q403:$AJ403,1,(AQ$4-1)*5+2))*(1+AQ$7)^INDEX($Q403:$AJ403,1,(AQ$4-1)*5+1)*(AQ273/AP273)^INDEX($Q403:$AJ403,1,(AQ$4-1)*5+2)*(AQ273/AP273)^(INDEX($Q403:$AJ403,1,(AQ$4-1)*5+3)*(1+INDEX($Q403:$AJ403,1,(AQ$4-1)*5+2)))</f>
        <v/>
      </c>
      <c r="AR403" s="25">
        <f>AQ403*(1/(1+INDEX($Q403:$AJ403,1,(AR$4-1)*5+4)))^(1+INDEX($Q403:$AJ403,1,(AR$4-1)*5+2))*(1+AR$7)^INDEX($Q403:$AJ403,1,(AR$4-1)*5+1)*(AR273/AQ273)^INDEX($Q403:$AJ403,1,(AR$4-1)*5+2)*(AR273/AQ273)^(INDEX($Q403:$AJ403,1,(AR$4-1)*5+3)*(1+INDEX($Q403:$AJ403,1,(AR$4-1)*5+2)))</f>
        <v/>
      </c>
      <c r="AS403" s="25">
        <f>AR403*(1/(1+INDEX($Q403:$AJ403,1,(AS$4-1)*5+4)))^(1+INDEX($Q403:$AJ403,1,(AS$4-1)*5+2))*(1+AS$7)^INDEX($Q403:$AJ403,1,(AS$4-1)*5+1)*(AS273/AR273)^INDEX($Q403:$AJ403,1,(AS$4-1)*5+2)*(AS273/AR273)^(INDEX($Q403:$AJ403,1,(AS$4-1)*5+3)*(1+INDEX($Q403:$AJ403,1,(AS$4-1)*5+2)))</f>
        <v/>
      </c>
      <c r="AT403" s="25">
        <f>AS403*(1/(1+INDEX($Q403:$AJ403,1,(AT$4-1)*5+4)))^(1+INDEX($Q403:$AJ403,1,(AT$4-1)*5+2))*(1+AT$7)^INDEX($Q403:$AJ403,1,(AT$4-1)*5+1)*(AT273/AS273)^INDEX($Q403:$AJ403,1,(AT$4-1)*5+2)*(AT273/AS273)^(INDEX($Q403:$AJ403,1,(AT$4-1)*5+3)*(1+INDEX($Q403:$AJ403,1,(AT$4-1)*5+2)))</f>
        <v/>
      </c>
      <c r="AU403" s="25">
        <f>AT403*(1/(1+INDEX($Q403:$AJ403,1,(AU$4-1)*5+4)))^(1+INDEX($Q403:$AJ403,1,(AU$4-1)*5+2))*(1+AU$7)^INDEX($Q403:$AJ403,1,(AU$4-1)*5+1)*(AU273/AT273)^INDEX($Q403:$AJ403,1,(AU$4-1)*5+2)*(AU273/AT273)^(INDEX($Q403:$AJ403,1,(AU$4-1)*5+3)*(1+INDEX($Q403:$AJ403,1,(AU$4-1)*5+2)))</f>
        <v/>
      </c>
      <c r="AV403" s="25">
        <f>AU403*(1/(1+INDEX($Q403:$AJ403,1,(AV$4-1)*5+4)))^(1+INDEX($Q403:$AJ403,1,(AV$4-1)*5+2))*(1+AV$7)^INDEX($Q403:$AJ403,1,(AV$4-1)*5+1)*(AV273/AU273)^INDEX($Q403:$AJ403,1,(AV$4-1)*5+2)*(AV273/AU273)^(INDEX($Q403:$AJ403,1,(AV$4-1)*5+3)*(1+INDEX($Q403:$AJ403,1,(AV$4-1)*5+2)))</f>
        <v/>
      </c>
      <c r="AW403" s="25">
        <f>AV403*(1/(1+INDEX($Q403:$AJ403,1,(AW$4-1)*5+4)))^(1+INDEX($Q403:$AJ403,1,(AW$4-1)*5+2))*(1+AW$7)^INDEX($Q403:$AJ403,1,(AW$4-1)*5+1)*(AW273/AV273)^INDEX($Q403:$AJ403,1,(AW$4-1)*5+2)*(AW273/AV273)^(INDEX($Q403:$AJ403,1,(AW$4-1)*5+3)*(1+INDEX($Q403:$AJ403,1,(AW$4-1)*5+2)))</f>
        <v/>
      </c>
      <c r="AX403" s="25">
        <f>AW403*(1/(1+INDEX($Q403:$AJ403,1,(AX$4-1)*5+4)))^(1+INDEX($Q403:$AJ403,1,(AX$4-1)*5+2))*(1+AX$7)^INDEX($Q403:$AJ403,1,(AX$4-1)*5+1)*(AX273/AW273)^INDEX($Q403:$AJ403,1,(AX$4-1)*5+2)*(AX273/AW273)^(INDEX($Q403:$AJ403,1,(AX$4-1)*5+3)*(1+INDEX($Q403:$AJ403,1,(AX$4-1)*5+2)))</f>
        <v/>
      </c>
      <c r="AY403" s="25">
        <f>AX403*(1/(1+INDEX($Q403:$AJ403,1,(AY$4-1)*5+4)))^(1+INDEX($Q403:$AJ403,1,(AY$4-1)*5+2))*(1+AY$7)^INDEX($Q403:$AJ403,1,(AY$4-1)*5+1)*(AY273/AX273)^INDEX($Q403:$AJ403,1,(AY$4-1)*5+2)*(AY273/AX273)^(INDEX($Q403:$AJ403,1,(AY$4-1)*5+3)*(1+INDEX($Q403:$AJ403,1,(AY$4-1)*5+2)))</f>
        <v/>
      </c>
      <c r="BA403" s="24">
        <f>INDEX(EnergyCons!$F$4:$F$5000,MATCH(Settings!$C$4&amp;"|"&amp;BA$5&amp;"|"&amp;$C403&amp;"|"&amp;$B403,EnergyCons!$A$4:$A$5000,0))</f>
        <v/>
      </c>
      <c r="BB403" s="25">
        <f>BA403*(1/(1+INDEX($Q403:$AJ403,1,(BB$4-1)*5+4)))^(1+INDEX($Q403:$AJ403,1,(BB$4-1)*5+2))*(1+BB$7)^INDEX($Q403:$AJ403,1,(BB$4-1)*5+1)*(BB273/BA273)^INDEX($Q403:$AJ403,1,(BB$4-1)*5+2)*(BB273/BA273)^(INDEX($Q403:$AJ403,1,(BB$4-1)*5+3)*(1+INDEX($Q403:$AJ403,1,(BB$4-1)*5+2)))</f>
        <v/>
      </c>
      <c r="BC403" s="25">
        <f>BB403*(1/(1+INDEX($Q403:$AJ403,1,(BC$4-1)*5+4)))^(1+INDEX($Q403:$AJ403,1,(BC$4-1)*5+2))*(1+BC$7)^INDEX($Q403:$AJ403,1,(BC$4-1)*5+1)*(BC273/BB273)^INDEX($Q403:$AJ403,1,(BC$4-1)*5+2)*(BC273/BB273)^(INDEX($Q403:$AJ403,1,(BC$4-1)*5+3)*(1+INDEX($Q403:$AJ403,1,(BC$4-1)*5+2)))</f>
        <v/>
      </c>
      <c r="BD403" s="25">
        <f>BC403*(1/(1+INDEX($Q403:$AJ403,1,(BD$4-1)*5+4)))^(1+INDEX($Q403:$AJ403,1,(BD$4-1)*5+2))*(1+BD$7)^INDEX($Q403:$AJ403,1,(BD$4-1)*5+1)*(BD273/BC273)^INDEX($Q403:$AJ403,1,(BD$4-1)*5+2)*(BD273/BC273)^(INDEX($Q403:$AJ403,1,(BD$4-1)*5+3)*(1+INDEX($Q403:$AJ403,1,(BD$4-1)*5+2)))</f>
        <v/>
      </c>
      <c r="BE403" s="25">
        <f>BD403*(1/(1+INDEX($Q403:$AJ403,1,(BE$4-1)*5+4)))^(1+INDEX($Q403:$AJ403,1,(BE$4-1)*5+2))*(1+BE$7)^INDEX($Q403:$AJ403,1,(BE$4-1)*5+1)*(BE273/BD273)^INDEX($Q403:$AJ403,1,(BE$4-1)*5+2)*(BE273/BD273)^(INDEX($Q403:$AJ403,1,(BE$4-1)*5+3)*(1+INDEX($Q403:$AJ403,1,(BE$4-1)*5+2)))</f>
        <v/>
      </c>
      <c r="BF403" s="25">
        <f>BE403*(1/(1+INDEX($Q403:$AJ403,1,(BF$4-1)*5+4)))^(1+INDEX($Q403:$AJ403,1,(BF$4-1)*5+2))*(1+BF$7)^INDEX($Q403:$AJ403,1,(BF$4-1)*5+1)*(BF273/BE273)^INDEX($Q403:$AJ403,1,(BF$4-1)*5+2)*(BF273/BE273)^(INDEX($Q403:$AJ403,1,(BF$4-1)*5+3)*(1+INDEX($Q403:$AJ403,1,(BF$4-1)*5+2)))</f>
        <v/>
      </c>
      <c r="BG403" s="25">
        <f>BF403*(1/(1+INDEX($Q403:$AJ403,1,(BG$4-1)*5+4)))^(1+INDEX($Q403:$AJ403,1,(BG$4-1)*5+2))*(1+BG$7)^INDEX($Q403:$AJ403,1,(BG$4-1)*5+1)*(BG273/BF273)^INDEX($Q403:$AJ403,1,(BG$4-1)*5+2)*(BG273/BF273)^(INDEX($Q403:$AJ403,1,(BG$4-1)*5+3)*(1+INDEX($Q403:$AJ403,1,(BG$4-1)*5+2)))</f>
        <v/>
      </c>
      <c r="BH403" s="25">
        <f>BG403*(1/(1+INDEX($Q403:$AJ403,1,(BH$4-1)*5+4)))^(1+INDEX($Q403:$AJ403,1,(BH$4-1)*5+2))*(1+BH$7)^INDEX($Q403:$AJ403,1,(BH$4-1)*5+1)*(BH273/BG273)^INDEX($Q403:$AJ403,1,(BH$4-1)*5+2)*(BH273/BG273)^(INDEX($Q403:$AJ403,1,(BH$4-1)*5+3)*(1+INDEX($Q403:$AJ403,1,(BH$4-1)*5+2)))</f>
        <v/>
      </c>
      <c r="BI403" s="25">
        <f>BH403*(1/(1+INDEX($Q403:$AJ403,1,(BI$4-1)*5+4)))^(1+INDEX($Q403:$AJ403,1,(BI$4-1)*5+2))*(1+BI$7)^INDEX($Q403:$AJ403,1,(BI$4-1)*5+1)*(BI273/BH273)^INDEX($Q403:$AJ403,1,(BI$4-1)*5+2)*(BI273/BH273)^(INDEX($Q403:$AJ403,1,(BI$4-1)*5+3)*(1+INDEX($Q403:$AJ403,1,(BI$4-1)*5+2)))</f>
        <v/>
      </c>
      <c r="BJ403" s="25">
        <f>BI403*(1/(1+INDEX($Q403:$AJ403,1,(BJ$4-1)*5+4)))^(1+INDEX($Q403:$AJ403,1,(BJ$4-1)*5+2))*(1+BJ$7)^INDEX($Q403:$AJ403,1,(BJ$4-1)*5+1)*(BJ273/BI273)^INDEX($Q403:$AJ403,1,(BJ$4-1)*5+2)*(BJ273/BI273)^(INDEX($Q403:$AJ403,1,(BJ$4-1)*5+3)*(1+INDEX($Q403:$AJ403,1,(BJ$4-1)*5+2)))</f>
        <v/>
      </c>
      <c r="BK403" s="25">
        <f>BJ403*(1/(1+INDEX($Q403:$AJ403,1,(BK$4-1)*5+4)))^(1+INDEX($Q403:$AJ403,1,(BK$4-1)*5+2))*(1+BK$7)^INDEX($Q403:$AJ403,1,(BK$4-1)*5+1)*(BK273/BJ273)^INDEX($Q403:$AJ403,1,(BK$4-1)*5+2)*(BK273/BJ273)^(INDEX($Q403:$AJ403,1,(BK$4-1)*5+3)*(1+INDEX($Q403:$AJ403,1,(BK$4-1)*5+2)))</f>
        <v/>
      </c>
      <c r="BL403" s="25">
        <f>BK403*(1/(1+INDEX($Q403:$AJ403,1,(BL$4-1)*5+4)))^(1+INDEX($Q403:$AJ403,1,(BL$4-1)*5+2))*(1+BL$7)^INDEX($Q403:$AJ403,1,(BL$4-1)*5+1)*(BL273/BK273)^INDEX($Q403:$AJ403,1,(BL$4-1)*5+2)*(BL273/BK273)^(INDEX($Q403:$AJ403,1,(BL$4-1)*5+3)*(1+INDEX($Q403:$AJ403,1,(BL$4-1)*5+2)))</f>
        <v/>
      </c>
      <c r="BM403" s="25">
        <f>BL403*(1/(1+INDEX($Q403:$AJ403,1,(BM$4-1)*5+4)))^(1+INDEX($Q403:$AJ403,1,(BM$4-1)*5+2))*(1+BM$7)^INDEX($Q403:$AJ403,1,(BM$4-1)*5+1)*(BM273/BL273)^INDEX($Q403:$AJ403,1,(BM$4-1)*5+2)*(BM273/BL273)^(INDEX($Q403:$AJ403,1,(BM$4-1)*5+3)*(1+INDEX($Q403:$AJ403,1,(BM$4-1)*5+2)))</f>
        <v/>
      </c>
      <c r="BN403" s="25">
        <f>BM403*(1/(1+INDEX($Q403:$AJ403,1,(BN$4-1)*5+4)))^(1+INDEX($Q403:$AJ403,1,(BN$4-1)*5+2))*(1+BN$7)^INDEX($Q403:$AJ403,1,(BN$4-1)*5+1)*(BN273/BM273)^INDEX($Q403:$AJ403,1,(BN$4-1)*5+2)*(BN273/BM273)^(INDEX($Q403:$AJ403,1,(BN$4-1)*5+3)*(1+INDEX($Q403:$AJ403,1,(BN$4-1)*5+2)))</f>
        <v/>
      </c>
    </row>
    <row r="404">
      <c r="B404" s="5" t="inlineStr">
        <is>
          <t>die</t>
        </is>
      </c>
      <c r="C404" s="5" t="inlineStr">
        <is>
          <t>rod</t>
        </is>
      </c>
      <c r="D404" s="5" t="inlineStr">
        <is>
          <t>Fuel use | Road | Diesel</t>
        </is>
      </c>
      <c r="E404" s="5" t="inlineStr">
        <is>
          <t>ktoe</t>
        </is>
      </c>
      <c r="F404" s="5" t="inlineStr">
        <is>
          <t>EnergyCons (base year), Elasticities</t>
        </is>
      </c>
      <c r="G404" s="19" t="inlineStr">
        <is>
          <t>mit.enc.die.rod</t>
        </is>
      </c>
      <c r="H404" s="19" t="inlineStr">
        <is>
          <t>mit.enc.die.rod</t>
        </is>
      </c>
      <c r="J404" s="5">
        <f>INDEX(Mapping!$C$5:$C$20,MATCH($C404,Mapping!$A$5:$A$20,0))</f>
        <v/>
      </c>
      <c r="K404" s="5">
        <f>INDEX(Mapping!$D$5:$D$20,MATCH($C404,Mapping!$A$5:$A$20,0))</f>
        <v/>
      </c>
      <c r="L404" s="5">
        <f>INDEX(Mapping!$C$24:$C$31,MATCH($B404,Mapping!$A$24:$A$31,0))</f>
        <v/>
      </c>
      <c r="M404" s="5">
        <f>INDEX(Mapping!$D$24:$D$31,MATCH($B404,Mapping!$A$24:$A$31,0))</f>
        <v/>
      </c>
      <c r="N404" s="5">
        <f>$B404&amp;"."&amp;IF(INDEX(Mapping!$E$24:$E$31,MATCH($B404,Mapping!$A$24:$A$31,0))="sub",INDEX(Mapping!$F$5:$F$20,MATCH($C404,Mapping!$A$5:$A$20,0)),"all")</f>
        <v/>
      </c>
      <c r="O404" s="5">
        <f>INDEX(Mapping!$E$5:$E$20,MATCH($C404,Mapping!$A$5:$A$20,0))</f>
        <v/>
      </c>
      <c r="P404" s="5">
        <f>INDEX(Mapping!$G$24:$G$31,MATCH($B404,Mapping!$A$24:$A$31,0))</f>
        <v/>
      </c>
      <c r="Q404" s="22">
        <f>INDEX(Elasticities!$F$4:$I$200,MATCH("inc|"&amp;$L404&amp;"|"&amp;$K404,Elasticities!$A$4:$A$200,0),MATCH(Settings!$C$6,Elasticities!$F$3:$I$3,0))</f>
        <v/>
      </c>
      <c r="R404" s="22">
        <f>INDEX(Elasticities!$F$4:$I$200,MATCH("usg|"&amp;$L404&amp;"|"&amp;$K404,Elasticities!$A$4:$A$200,0),MATCH(Settings!$C$6,Elasticities!$F$3:$I$3,0))</f>
        <v/>
      </c>
      <c r="S404" s="22">
        <f>INDEX(Elasticities!$F$4:$I$200,MATCH("eff|"&amp;$L404&amp;"|"&amp;$K404,Elasticities!$A$4:$A$200,0),MATCH(Settings!$C$6,Elasticities!$F$3:$I$3,0))</f>
        <v/>
      </c>
      <c r="T404" s="22">
        <f>INDEX(Elasticities!$F$4:$I$200,MATCH("aei|"&amp;$M404&amp;"|"&amp;$K404,Elasticities!$A$4:$A$200,0),MATCH(Settings!$C$6,Elasticities!$F$3:$I$3,0))</f>
        <v/>
      </c>
      <c r="U404" s="21" t="n"/>
      <c r="V404" s="22">
        <f>Q404</f>
        <v/>
      </c>
      <c r="W404" s="22">
        <f>R404</f>
        <v/>
      </c>
      <c r="X404" s="22">
        <f>S404</f>
        <v/>
      </c>
      <c r="Y404" s="22">
        <f>T404</f>
        <v/>
      </c>
      <c r="Z404" s="21" t="n"/>
      <c r="AA404" s="22">
        <f>Q404</f>
        <v/>
      </c>
      <c r="AB404" s="22">
        <f>R404</f>
        <v/>
      </c>
      <c r="AC404" s="22">
        <f>S404</f>
        <v/>
      </c>
      <c r="AD404" s="22">
        <f>T404</f>
        <v/>
      </c>
      <c r="AE404" s="21" t="n"/>
      <c r="AF404" s="22">
        <f>Q404</f>
        <v/>
      </c>
      <c r="AG404" s="22">
        <f>R404</f>
        <v/>
      </c>
      <c r="AH404" s="22">
        <f>S404</f>
        <v/>
      </c>
      <c r="AI404" s="22">
        <f>T404</f>
        <v/>
      </c>
      <c r="AJ404" s="21" t="n"/>
      <c r="AL404" s="24">
        <f>INDEX(EnergyCons!$F$4:$F$5000,MATCH(Settings!$C$4&amp;"|"&amp;AL$5&amp;"|"&amp;$C404&amp;"|"&amp;$B404,EnergyCons!$A$4:$A$5000,0))</f>
        <v/>
      </c>
      <c r="AM404" s="25">
        <f>AL404*(1/(1+INDEX($Q404:$AJ404,1,(AM$4-1)*5+4)))^(1+INDEX($Q404:$AJ404,1,(AM$4-1)*5+2))*(1+AM$7)^INDEX($Q404:$AJ404,1,(AM$4-1)*5+1)*(AM274/AL274)^INDEX($Q404:$AJ404,1,(AM$4-1)*5+2)*(AM274/AL274)^(INDEX($Q404:$AJ404,1,(AM$4-1)*5+3)*(1+INDEX($Q404:$AJ404,1,(AM$4-1)*5+2)))</f>
        <v/>
      </c>
      <c r="AN404" s="25">
        <f>AM404*(1/(1+INDEX($Q404:$AJ404,1,(AN$4-1)*5+4)))^(1+INDEX($Q404:$AJ404,1,(AN$4-1)*5+2))*(1+AN$7)^INDEX($Q404:$AJ404,1,(AN$4-1)*5+1)*(AN274/AM274)^INDEX($Q404:$AJ404,1,(AN$4-1)*5+2)*(AN274/AM274)^(INDEX($Q404:$AJ404,1,(AN$4-1)*5+3)*(1+INDEX($Q404:$AJ404,1,(AN$4-1)*5+2)))</f>
        <v/>
      </c>
      <c r="AO404" s="25">
        <f>AN404*(1/(1+INDEX($Q404:$AJ404,1,(AO$4-1)*5+4)))^(1+INDEX($Q404:$AJ404,1,(AO$4-1)*5+2))*(1+AO$7)^INDEX($Q404:$AJ404,1,(AO$4-1)*5+1)*(AO274/AN274)^INDEX($Q404:$AJ404,1,(AO$4-1)*5+2)*(AO274/AN274)^(INDEX($Q404:$AJ404,1,(AO$4-1)*5+3)*(1+INDEX($Q404:$AJ404,1,(AO$4-1)*5+2)))</f>
        <v/>
      </c>
      <c r="AP404" s="25">
        <f>AO404*(1/(1+INDEX($Q404:$AJ404,1,(AP$4-1)*5+4)))^(1+INDEX($Q404:$AJ404,1,(AP$4-1)*5+2))*(1+AP$7)^INDEX($Q404:$AJ404,1,(AP$4-1)*5+1)*(AP274/AO274)^INDEX($Q404:$AJ404,1,(AP$4-1)*5+2)*(AP274/AO274)^(INDEX($Q404:$AJ404,1,(AP$4-1)*5+3)*(1+INDEX($Q404:$AJ404,1,(AP$4-1)*5+2)))</f>
        <v/>
      </c>
      <c r="AQ404" s="25">
        <f>AP404*(1/(1+INDEX($Q404:$AJ404,1,(AQ$4-1)*5+4)))^(1+INDEX($Q404:$AJ404,1,(AQ$4-1)*5+2))*(1+AQ$7)^INDEX($Q404:$AJ404,1,(AQ$4-1)*5+1)*(AQ274/AP274)^INDEX($Q404:$AJ404,1,(AQ$4-1)*5+2)*(AQ274/AP274)^(INDEX($Q404:$AJ404,1,(AQ$4-1)*5+3)*(1+INDEX($Q404:$AJ404,1,(AQ$4-1)*5+2)))</f>
        <v/>
      </c>
      <c r="AR404" s="25">
        <f>AQ404*(1/(1+INDEX($Q404:$AJ404,1,(AR$4-1)*5+4)))^(1+INDEX($Q404:$AJ404,1,(AR$4-1)*5+2))*(1+AR$7)^INDEX($Q404:$AJ404,1,(AR$4-1)*5+1)*(AR274/AQ274)^INDEX($Q404:$AJ404,1,(AR$4-1)*5+2)*(AR274/AQ274)^(INDEX($Q404:$AJ404,1,(AR$4-1)*5+3)*(1+INDEX($Q404:$AJ404,1,(AR$4-1)*5+2)))</f>
        <v/>
      </c>
      <c r="AS404" s="25">
        <f>AR404*(1/(1+INDEX($Q404:$AJ404,1,(AS$4-1)*5+4)))^(1+INDEX($Q404:$AJ404,1,(AS$4-1)*5+2))*(1+AS$7)^INDEX($Q404:$AJ404,1,(AS$4-1)*5+1)*(AS274/AR274)^INDEX($Q404:$AJ404,1,(AS$4-1)*5+2)*(AS274/AR274)^(INDEX($Q404:$AJ404,1,(AS$4-1)*5+3)*(1+INDEX($Q404:$AJ404,1,(AS$4-1)*5+2)))</f>
        <v/>
      </c>
      <c r="AT404" s="25">
        <f>AS404*(1/(1+INDEX($Q404:$AJ404,1,(AT$4-1)*5+4)))^(1+INDEX($Q404:$AJ404,1,(AT$4-1)*5+2))*(1+AT$7)^INDEX($Q404:$AJ404,1,(AT$4-1)*5+1)*(AT274/AS274)^INDEX($Q404:$AJ404,1,(AT$4-1)*5+2)*(AT274/AS274)^(INDEX($Q404:$AJ404,1,(AT$4-1)*5+3)*(1+INDEX($Q404:$AJ404,1,(AT$4-1)*5+2)))</f>
        <v/>
      </c>
      <c r="AU404" s="25">
        <f>AT404*(1/(1+INDEX($Q404:$AJ404,1,(AU$4-1)*5+4)))^(1+INDEX($Q404:$AJ404,1,(AU$4-1)*5+2))*(1+AU$7)^INDEX($Q404:$AJ404,1,(AU$4-1)*5+1)*(AU274/AT274)^INDEX($Q404:$AJ404,1,(AU$4-1)*5+2)*(AU274/AT274)^(INDEX($Q404:$AJ404,1,(AU$4-1)*5+3)*(1+INDEX($Q404:$AJ404,1,(AU$4-1)*5+2)))</f>
        <v/>
      </c>
      <c r="AV404" s="25">
        <f>AU404*(1/(1+INDEX($Q404:$AJ404,1,(AV$4-1)*5+4)))^(1+INDEX($Q404:$AJ404,1,(AV$4-1)*5+2))*(1+AV$7)^INDEX($Q404:$AJ404,1,(AV$4-1)*5+1)*(AV274/AU274)^INDEX($Q404:$AJ404,1,(AV$4-1)*5+2)*(AV274/AU274)^(INDEX($Q404:$AJ404,1,(AV$4-1)*5+3)*(1+INDEX($Q404:$AJ404,1,(AV$4-1)*5+2)))</f>
        <v/>
      </c>
      <c r="AW404" s="25">
        <f>AV404*(1/(1+INDEX($Q404:$AJ404,1,(AW$4-1)*5+4)))^(1+INDEX($Q404:$AJ404,1,(AW$4-1)*5+2))*(1+AW$7)^INDEX($Q404:$AJ404,1,(AW$4-1)*5+1)*(AW274/AV274)^INDEX($Q404:$AJ404,1,(AW$4-1)*5+2)*(AW274/AV274)^(INDEX($Q404:$AJ404,1,(AW$4-1)*5+3)*(1+INDEX($Q404:$AJ404,1,(AW$4-1)*5+2)))</f>
        <v/>
      </c>
      <c r="AX404" s="25">
        <f>AW404*(1/(1+INDEX($Q404:$AJ404,1,(AX$4-1)*5+4)))^(1+INDEX($Q404:$AJ404,1,(AX$4-1)*5+2))*(1+AX$7)^INDEX($Q404:$AJ404,1,(AX$4-1)*5+1)*(AX274/AW274)^INDEX($Q404:$AJ404,1,(AX$4-1)*5+2)*(AX274/AW274)^(INDEX($Q404:$AJ404,1,(AX$4-1)*5+3)*(1+INDEX($Q404:$AJ404,1,(AX$4-1)*5+2)))</f>
        <v/>
      </c>
      <c r="AY404" s="25">
        <f>AX404*(1/(1+INDEX($Q404:$AJ404,1,(AY$4-1)*5+4)))^(1+INDEX($Q404:$AJ404,1,(AY$4-1)*5+2))*(1+AY$7)^INDEX($Q404:$AJ404,1,(AY$4-1)*5+1)*(AY274/AX274)^INDEX($Q404:$AJ404,1,(AY$4-1)*5+2)*(AY274/AX274)^(INDEX($Q404:$AJ404,1,(AY$4-1)*5+3)*(1+INDEX($Q404:$AJ404,1,(AY$4-1)*5+2)))</f>
        <v/>
      </c>
      <c r="BA404" s="24">
        <f>INDEX(EnergyCons!$F$4:$F$5000,MATCH(Settings!$C$4&amp;"|"&amp;BA$5&amp;"|"&amp;$C404&amp;"|"&amp;$B404,EnergyCons!$A$4:$A$5000,0))</f>
        <v/>
      </c>
      <c r="BB404" s="25">
        <f>BA404*(1/(1+INDEX($Q404:$AJ404,1,(BB$4-1)*5+4)))^(1+INDEX($Q404:$AJ404,1,(BB$4-1)*5+2))*(1+BB$7)^INDEX($Q404:$AJ404,1,(BB$4-1)*5+1)*(BB274/BA274)^INDEX($Q404:$AJ404,1,(BB$4-1)*5+2)*(BB274/BA274)^(INDEX($Q404:$AJ404,1,(BB$4-1)*5+3)*(1+INDEX($Q404:$AJ404,1,(BB$4-1)*5+2)))</f>
        <v/>
      </c>
      <c r="BC404" s="25">
        <f>BB404*(1/(1+INDEX($Q404:$AJ404,1,(BC$4-1)*5+4)))^(1+INDEX($Q404:$AJ404,1,(BC$4-1)*5+2))*(1+BC$7)^INDEX($Q404:$AJ404,1,(BC$4-1)*5+1)*(BC274/BB274)^INDEX($Q404:$AJ404,1,(BC$4-1)*5+2)*(BC274/BB274)^(INDEX($Q404:$AJ404,1,(BC$4-1)*5+3)*(1+INDEX($Q404:$AJ404,1,(BC$4-1)*5+2)))</f>
        <v/>
      </c>
      <c r="BD404" s="25">
        <f>BC404*(1/(1+INDEX($Q404:$AJ404,1,(BD$4-1)*5+4)))^(1+INDEX($Q404:$AJ404,1,(BD$4-1)*5+2))*(1+BD$7)^INDEX($Q404:$AJ404,1,(BD$4-1)*5+1)*(BD274/BC274)^INDEX($Q404:$AJ404,1,(BD$4-1)*5+2)*(BD274/BC274)^(INDEX($Q404:$AJ404,1,(BD$4-1)*5+3)*(1+INDEX($Q404:$AJ404,1,(BD$4-1)*5+2)))</f>
        <v/>
      </c>
      <c r="BE404" s="25">
        <f>BD404*(1/(1+INDEX($Q404:$AJ404,1,(BE$4-1)*5+4)))^(1+INDEX($Q404:$AJ404,1,(BE$4-1)*5+2))*(1+BE$7)^INDEX($Q404:$AJ404,1,(BE$4-1)*5+1)*(BE274/BD274)^INDEX($Q404:$AJ404,1,(BE$4-1)*5+2)*(BE274/BD274)^(INDEX($Q404:$AJ404,1,(BE$4-1)*5+3)*(1+INDEX($Q404:$AJ404,1,(BE$4-1)*5+2)))</f>
        <v/>
      </c>
      <c r="BF404" s="25">
        <f>BE404*(1/(1+INDEX($Q404:$AJ404,1,(BF$4-1)*5+4)))^(1+INDEX($Q404:$AJ404,1,(BF$4-1)*5+2))*(1+BF$7)^INDEX($Q404:$AJ404,1,(BF$4-1)*5+1)*(BF274/BE274)^INDEX($Q404:$AJ404,1,(BF$4-1)*5+2)*(BF274/BE274)^(INDEX($Q404:$AJ404,1,(BF$4-1)*5+3)*(1+INDEX($Q404:$AJ404,1,(BF$4-1)*5+2)))</f>
        <v/>
      </c>
      <c r="BG404" s="25">
        <f>BF404*(1/(1+INDEX($Q404:$AJ404,1,(BG$4-1)*5+4)))^(1+INDEX($Q404:$AJ404,1,(BG$4-1)*5+2))*(1+BG$7)^INDEX($Q404:$AJ404,1,(BG$4-1)*5+1)*(BG274/BF274)^INDEX($Q404:$AJ404,1,(BG$4-1)*5+2)*(BG274/BF274)^(INDEX($Q404:$AJ404,1,(BG$4-1)*5+3)*(1+INDEX($Q404:$AJ404,1,(BG$4-1)*5+2)))</f>
        <v/>
      </c>
      <c r="BH404" s="25">
        <f>BG404*(1/(1+INDEX($Q404:$AJ404,1,(BH$4-1)*5+4)))^(1+INDEX($Q404:$AJ404,1,(BH$4-1)*5+2))*(1+BH$7)^INDEX($Q404:$AJ404,1,(BH$4-1)*5+1)*(BH274/BG274)^INDEX($Q404:$AJ404,1,(BH$4-1)*5+2)*(BH274/BG274)^(INDEX($Q404:$AJ404,1,(BH$4-1)*5+3)*(1+INDEX($Q404:$AJ404,1,(BH$4-1)*5+2)))</f>
        <v/>
      </c>
      <c r="BI404" s="25">
        <f>BH404*(1/(1+INDEX($Q404:$AJ404,1,(BI$4-1)*5+4)))^(1+INDEX($Q404:$AJ404,1,(BI$4-1)*5+2))*(1+BI$7)^INDEX($Q404:$AJ404,1,(BI$4-1)*5+1)*(BI274/BH274)^INDEX($Q404:$AJ404,1,(BI$4-1)*5+2)*(BI274/BH274)^(INDEX($Q404:$AJ404,1,(BI$4-1)*5+3)*(1+INDEX($Q404:$AJ404,1,(BI$4-1)*5+2)))</f>
        <v/>
      </c>
      <c r="BJ404" s="25">
        <f>BI404*(1/(1+INDEX($Q404:$AJ404,1,(BJ$4-1)*5+4)))^(1+INDEX($Q404:$AJ404,1,(BJ$4-1)*5+2))*(1+BJ$7)^INDEX($Q404:$AJ404,1,(BJ$4-1)*5+1)*(BJ274/BI274)^INDEX($Q404:$AJ404,1,(BJ$4-1)*5+2)*(BJ274/BI274)^(INDEX($Q404:$AJ404,1,(BJ$4-1)*5+3)*(1+INDEX($Q404:$AJ404,1,(BJ$4-1)*5+2)))</f>
        <v/>
      </c>
      <c r="BK404" s="25">
        <f>BJ404*(1/(1+INDEX($Q404:$AJ404,1,(BK$4-1)*5+4)))^(1+INDEX($Q404:$AJ404,1,(BK$4-1)*5+2))*(1+BK$7)^INDEX($Q404:$AJ404,1,(BK$4-1)*5+1)*(BK274/BJ274)^INDEX($Q404:$AJ404,1,(BK$4-1)*5+2)*(BK274/BJ274)^(INDEX($Q404:$AJ404,1,(BK$4-1)*5+3)*(1+INDEX($Q404:$AJ404,1,(BK$4-1)*5+2)))</f>
        <v/>
      </c>
      <c r="BL404" s="25">
        <f>BK404*(1/(1+INDEX($Q404:$AJ404,1,(BL$4-1)*5+4)))^(1+INDEX($Q404:$AJ404,1,(BL$4-1)*5+2))*(1+BL$7)^INDEX($Q404:$AJ404,1,(BL$4-1)*5+1)*(BL274/BK274)^INDEX($Q404:$AJ404,1,(BL$4-1)*5+2)*(BL274/BK274)^(INDEX($Q404:$AJ404,1,(BL$4-1)*5+3)*(1+INDEX($Q404:$AJ404,1,(BL$4-1)*5+2)))</f>
        <v/>
      </c>
      <c r="BM404" s="25">
        <f>BL404*(1/(1+INDEX($Q404:$AJ404,1,(BM$4-1)*5+4)))^(1+INDEX($Q404:$AJ404,1,(BM$4-1)*5+2))*(1+BM$7)^INDEX($Q404:$AJ404,1,(BM$4-1)*5+1)*(BM274/BL274)^INDEX($Q404:$AJ404,1,(BM$4-1)*5+2)*(BM274/BL274)^(INDEX($Q404:$AJ404,1,(BM$4-1)*5+3)*(1+INDEX($Q404:$AJ404,1,(BM$4-1)*5+2)))</f>
        <v/>
      </c>
      <c r="BN404" s="25">
        <f>BM404*(1/(1+INDEX($Q404:$AJ404,1,(BN$4-1)*5+4)))^(1+INDEX($Q404:$AJ404,1,(BN$4-1)*5+2))*(1+BN$7)^INDEX($Q404:$AJ404,1,(BN$4-1)*5+1)*(BN274/BM274)^INDEX($Q404:$AJ404,1,(BN$4-1)*5+2)*(BN274/BM274)^(INDEX($Q404:$AJ404,1,(BN$4-1)*5+3)*(1+INDEX($Q404:$AJ404,1,(BN$4-1)*5+2)))</f>
        <v/>
      </c>
    </row>
    <row r="405">
      <c r="B405" s="5" t="inlineStr">
        <is>
          <t>lpg</t>
        </is>
      </c>
      <c r="C405" s="5" t="inlineStr">
        <is>
          <t>rod</t>
        </is>
      </c>
      <c r="D405" s="5" t="inlineStr">
        <is>
          <t>Fuel use | Road | LPG</t>
        </is>
      </c>
      <c r="E405" s="5" t="inlineStr">
        <is>
          <t>ktoe</t>
        </is>
      </c>
      <c r="F405" s="5" t="inlineStr">
        <is>
          <t>EnergyCons (base year), Elasticities</t>
        </is>
      </c>
      <c r="G405" s="19" t="inlineStr">
        <is>
          <t>mit.enc.lpg.rod</t>
        </is>
      </c>
      <c r="H405" s="19" t="inlineStr">
        <is>
          <t>mit.enc.lpg.rod</t>
        </is>
      </c>
      <c r="J405" s="5">
        <f>INDEX(Mapping!$C$5:$C$20,MATCH($C405,Mapping!$A$5:$A$20,0))</f>
        <v/>
      </c>
      <c r="K405" s="5">
        <f>INDEX(Mapping!$D$5:$D$20,MATCH($C405,Mapping!$A$5:$A$20,0))</f>
        <v/>
      </c>
      <c r="L405" s="5">
        <f>INDEX(Mapping!$C$24:$C$31,MATCH($B405,Mapping!$A$24:$A$31,0))</f>
        <v/>
      </c>
      <c r="M405" s="5">
        <f>INDEX(Mapping!$D$24:$D$31,MATCH($B405,Mapping!$A$24:$A$31,0))</f>
        <v/>
      </c>
      <c r="N405" s="5">
        <f>$B405&amp;"."&amp;IF(INDEX(Mapping!$E$24:$E$31,MATCH($B405,Mapping!$A$24:$A$31,0))="sub",INDEX(Mapping!$F$5:$F$20,MATCH($C405,Mapping!$A$5:$A$20,0)),"all")</f>
        <v/>
      </c>
      <c r="O405" s="5">
        <f>INDEX(Mapping!$E$5:$E$20,MATCH($C405,Mapping!$A$5:$A$20,0))</f>
        <v/>
      </c>
      <c r="P405" s="5">
        <f>INDEX(Mapping!$G$24:$G$31,MATCH($B405,Mapping!$A$24:$A$31,0))</f>
        <v/>
      </c>
      <c r="Q405" s="22">
        <f>INDEX(Elasticities!$F$4:$I$200,MATCH("inc|"&amp;$L405&amp;"|"&amp;$K405,Elasticities!$A$4:$A$200,0),MATCH(Settings!$C$6,Elasticities!$F$3:$I$3,0))</f>
        <v/>
      </c>
      <c r="R405" s="22">
        <f>INDEX(Elasticities!$F$4:$I$200,MATCH("usg|"&amp;$L405&amp;"|"&amp;$K405,Elasticities!$A$4:$A$200,0),MATCH(Settings!$C$6,Elasticities!$F$3:$I$3,0))</f>
        <v/>
      </c>
      <c r="S405" s="22">
        <f>INDEX(Elasticities!$F$4:$I$200,MATCH("eff|"&amp;$L405&amp;"|"&amp;$K405,Elasticities!$A$4:$A$200,0),MATCH(Settings!$C$6,Elasticities!$F$3:$I$3,0))</f>
        <v/>
      </c>
      <c r="T405" s="22">
        <f>INDEX(Elasticities!$F$4:$I$200,MATCH("aei|"&amp;$M405&amp;"|"&amp;$K405,Elasticities!$A$4:$A$200,0),MATCH(Settings!$C$6,Elasticities!$F$3:$I$3,0))</f>
        <v/>
      </c>
      <c r="U405" s="21" t="n"/>
      <c r="V405" s="22">
        <f>Q405</f>
        <v/>
      </c>
      <c r="W405" s="22">
        <f>R405</f>
        <v/>
      </c>
      <c r="X405" s="22">
        <f>S405</f>
        <v/>
      </c>
      <c r="Y405" s="22">
        <f>T405</f>
        <v/>
      </c>
      <c r="Z405" s="21" t="n"/>
      <c r="AA405" s="22">
        <f>Q405</f>
        <v/>
      </c>
      <c r="AB405" s="22">
        <f>R405</f>
        <v/>
      </c>
      <c r="AC405" s="22">
        <f>S405</f>
        <v/>
      </c>
      <c r="AD405" s="22">
        <f>T405</f>
        <v/>
      </c>
      <c r="AE405" s="21" t="n"/>
      <c r="AF405" s="22">
        <f>Q405</f>
        <v/>
      </c>
      <c r="AG405" s="22">
        <f>R405</f>
        <v/>
      </c>
      <c r="AH405" s="22">
        <f>S405</f>
        <v/>
      </c>
      <c r="AI405" s="22">
        <f>T405</f>
        <v/>
      </c>
      <c r="AJ405" s="21" t="n"/>
      <c r="AL405" s="24">
        <f>INDEX(EnergyCons!$F$4:$F$5000,MATCH(Settings!$C$4&amp;"|"&amp;AL$5&amp;"|"&amp;$C405&amp;"|"&amp;$B405,EnergyCons!$A$4:$A$5000,0))</f>
        <v/>
      </c>
      <c r="AM405" s="25">
        <f>AL405*(1/(1+INDEX($Q405:$AJ405,1,(AM$4-1)*5+4)))^(1+INDEX($Q405:$AJ405,1,(AM$4-1)*5+2))*(1+AM$7)^INDEX($Q405:$AJ405,1,(AM$4-1)*5+1)*(AM275/AL275)^INDEX($Q405:$AJ405,1,(AM$4-1)*5+2)*(AM275/AL275)^(INDEX($Q405:$AJ405,1,(AM$4-1)*5+3)*(1+INDEX($Q405:$AJ405,1,(AM$4-1)*5+2)))</f>
        <v/>
      </c>
      <c r="AN405" s="25">
        <f>AM405*(1/(1+INDEX($Q405:$AJ405,1,(AN$4-1)*5+4)))^(1+INDEX($Q405:$AJ405,1,(AN$4-1)*5+2))*(1+AN$7)^INDEX($Q405:$AJ405,1,(AN$4-1)*5+1)*(AN275/AM275)^INDEX($Q405:$AJ405,1,(AN$4-1)*5+2)*(AN275/AM275)^(INDEX($Q405:$AJ405,1,(AN$4-1)*5+3)*(1+INDEX($Q405:$AJ405,1,(AN$4-1)*5+2)))</f>
        <v/>
      </c>
      <c r="AO405" s="25">
        <f>AN405*(1/(1+INDEX($Q405:$AJ405,1,(AO$4-1)*5+4)))^(1+INDEX($Q405:$AJ405,1,(AO$4-1)*5+2))*(1+AO$7)^INDEX($Q405:$AJ405,1,(AO$4-1)*5+1)*(AO275/AN275)^INDEX($Q405:$AJ405,1,(AO$4-1)*5+2)*(AO275/AN275)^(INDEX($Q405:$AJ405,1,(AO$4-1)*5+3)*(1+INDEX($Q405:$AJ405,1,(AO$4-1)*5+2)))</f>
        <v/>
      </c>
      <c r="AP405" s="25">
        <f>AO405*(1/(1+INDEX($Q405:$AJ405,1,(AP$4-1)*5+4)))^(1+INDEX($Q405:$AJ405,1,(AP$4-1)*5+2))*(1+AP$7)^INDEX($Q405:$AJ405,1,(AP$4-1)*5+1)*(AP275/AO275)^INDEX($Q405:$AJ405,1,(AP$4-1)*5+2)*(AP275/AO275)^(INDEX($Q405:$AJ405,1,(AP$4-1)*5+3)*(1+INDEX($Q405:$AJ405,1,(AP$4-1)*5+2)))</f>
        <v/>
      </c>
      <c r="AQ405" s="25">
        <f>AP405*(1/(1+INDEX($Q405:$AJ405,1,(AQ$4-1)*5+4)))^(1+INDEX($Q405:$AJ405,1,(AQ$4-1)*5+2))*(1+AQ$7)^INDEX($Q405:$AJ405,1,(AQ$4-1)*5+1)*(AQ275/AP275)^INDEX($Q405:$AJ405,1,(AQ$4-1)*5+2)*(AQ275/AP275)^(INDEX($Q405:$AJ405,1,(AQ$4-1)*5+3)*(1+INDEX($Q405:$AJ405,1,(AQ$4-1)*5+2)))</f>
        <v/>
      </c>
      <c r="AR405" s="25">
        <f>AQ405*(1/(1+INDEX($Q405:$AJ405,1,(AR$4-1)*5+4)))^(1+INDEX($Q405:$AJ405,1,(AR$4-1)*5+2))*(1+AR$7)^INDEX($Q405:$AJ405,1,(AR$4-1)*5+1)*(AR275/AQ275)^INDEX($Q405:$AJ405,1,(AR$4-1)*5+2)*(AR275/AQ275)^(INDEX($Q405:$AJ405,1,(AR$4-1)*5+3)*(1+INDEX($Q405:$AJ405,1,(AR$4-1)*5+2)))</f>
        <v/>
      </c>
      <c r="AS405" s="25">
        <f>AR405*(1/(1+INDEX($Q405:$AJ405,1,(AS$4-1)*5+4)))^(1+INDEX($Q405:$AJ405,1,(AS$4-1)*5+2))*(1+AS$7)^INDEX($Q405:$AJ405,1,(AS$4-1)*5+1)*(AS275/AR275)^INDEX($Q405:$AJ405,1,(AS$4-1)*5+2)*(AS275/AR275)^(INDEX($Q405:$AJ405,1,(AS$4-1)*5+3)*(1+INDEX($Q405:$AJ405,1,(AS$4-1)*5+2)))</f>
        <v/>
      </c>
      <c r="AT405" s="25">
        <f>AS405*(1/(1+INDEX($Q405:$AJ405,1,(AT$4-1)*5+4)))^(1+INDEX($Q405:$AJ405,1,(AT$4-1)*5+2))*(1+AT$7)^INDEX($Q405:$AJ405,1,(AT$4-1)*5+1)*(AT275/AS275)^INDEX($Q405:$AJ405,1,(AT$4-1)*5+2)*(AT275/AS275)^(INDEX($Q405:$AJ405,1,(AT$4-1)*5+3)*(1+INDEX($Q405:$AJ405,1,(AT$4-1)*5+2)))</f>
        <v/>
      </c>
      <c r="AU405" s="25">
        <f>AT405*(1/(1+INDEX($Q405:$AJ405,1,(AU$4-1)*5+4)))^(1+INDEX($Q405:$AJ405,1,(AU$4-1)*5+2))*(1+AU$7)^INDEX($Q405:$AJ405,1,(AU$4-1)*5+1)*(AU275/AT275)^INDEX($Q405:$AJ405,1,(AU$4-1)*5+2)*(AU275/AT275)^(INDEX($Q405:$AJ405,1,(AU$4-1)*5+3)*(1+INDEX($Q405:$AJ405,1,(AU$4-1)*5+2)))</f>
        <v/>
      </c>
      <c r="AV405" s="25">
        <f>AU405*(1/(1+INDEX($Q405:$AJ405,1,(AV$4-1)*5+4)))^(1+INDEX($Q405:$AJ405,1,(AV$4-1)*5+2))*(1+AV$7)^INDEX($Q405:$AJ405,1,(AV$4-1)*5+1)*(AV275/AU275)^INDEX($Q405:$AJ405,1,(AV$4-1)*5+2)*(AV275/AU275)^(INDEX($Q405:$AJ405,1,(AV$4-1)*5+3)*(1+INDEX($Q405:$AJ405,1,(AV$4-1)*5+2)))</f>
        <v/>
      </c>
      <c r="AW405" s="25">
        <f>AV405*(1/(1+INDEX($Q405:$AJ405,1,(AW$4-1)*5+4)))^(1+INDEX($Q405:$AJ405,1,(AW$4-1)*5+2))*(1+AW$7)^INDEX($Q405:$AJ405,1,(AW$4-1)*5+1)*(AW275/AV275)^INDEX($Q405:$AJ405,1,(AW$4-1)*5+2)*(AW275/AV275)^(INDEX($Q405:$AJ405,1,(AW$4-1)*5+3)*(1+INDEX($Q405:$AJ405,1,(AW$4-1)*5+2)))</f>
        <v/>
      </c>
      <c r="AX405" s="25">
        <f>AW405*(1/(1+INDEX($Q405:$AJ405,1,(AX$4-1)*5+4)))^(1+INDEX($Q405:$AJ405,1,(AX$4-1)*5+2))*(1+AX$7)^INDEX($Q405:$AJ405,1,(AX$4-1)*5+1)*(AX275/AW275)^INDEX($Q405:$AJ405,1,(AX$4-1)*5+2)*(AX275/AW275)^(INDEX($Q405:$AJ405,1,(AX$4-1)*5+3)*(1+INDEX($Q405:$AJ405,1,(AX$4-1)*5+2)))</f>
        <v/>
      </c>
      <c r="AY405" s="25">
        <f>AX405*(1/(1+INDEX($Q405:$AJ405,1,(AY$4-1)*5+4)))^(1+INDEX($Q405:$AJ405,1,(AY$4-1)*5+2))*(1+AY$7)^INDEX($Q405:$AJ405,1,(AY$4-1)*5+1)*(AY275/AX275)^INDEX($Q405:$AJ405,1,(AY$4-1)*5+2)*(AY275/AX275)^(INDEX($Q405:$AJ405,1,(AY$4-1)*5+3)*(1+INDEX($Q405:$AJ405,1,(AY$4-1)*5+2)))</f>
        <v/>
      </c>
      <c r="BA405" s="24">
        <f>INDEX(EnergyCons!$F$4:$F$5000,MATCH(Settings!$C$4&amp;"|"&amp;BA$5&amp;"|"&amp;$C405&amp;"|"&amp;$B405,EnergyCons!$A$4:$A$5000,0))</f>
        <v/>
      </c>
      <c r="BB405" s="25">
        <f>BA405*(1/(1+INDEX($Q405:$AJ405,1,(BB$4-1)*5+4)))^(1+INDEX($Q405:$AJ405,1,(BB$4-1)*5+2))*(1+BB$7)^INDEX($Q405:$AJ405,1,(BB$4-1)*5+1)*(BB275/BA275)^INDEX($Q405:$AJ405,1,(BB$4-1)*5+2)*(BB275/BA275)^(INDEX($Q405:$AJ405,1,(BB$4-1)*5+3)*(1+INDEX($Q405:$AJ405,1,(BB$4-1)*5+2)))</f>
        <v/>
      </c>
      <c r="BC405" s="25">
        <f>BB405*(1/(1+INDEX($Q405:$AJ405,1,(BC$4-1)*5+4)))^(1+INDEX($Q405:$AJ405,1,(BC$4-1)*5+2))*(1+BC$7)^INDEX($Q405:$AJ405,1,(BC$4-1)*5+1)*(BC275/BB275)^INDEX($Q405:$AJ405,1,(BC$4-1)*5+2)*(BC275/BB275)^(INDEX($Q405:$AJ405,1,(BC$4-1)*5+3)*(1+INDEX($Q405:$AJ405,1,(BC$4-1)*5+2)))</f>
        <v/>
      </c>
      <c r="BD405" s="25">
        <f>BC405*(1/(1+INDEX($Q405:$AJ405,1,(BD$4-1)*5+4)))^(1+INDEX($Q405:$AJ405,1,(BD$4-1)*5+2))*(1+BD$7)^INDEX($Q405:$AJ405,1,(BD$4-1)*5+1)*(BD275/BC275)^INDEX($Q405:$AJ405,1,(BD$4-1)*5+2)*(BD275/BC275)^(INDEX($Q405:$AJ405,1,(BD$4-1)*5+3)*(1+INDEX($Q405:$AJ405,1,(BD$4-1)*5+2)))</f>
        <v/>
      </c>
      <c r="BE405" s="25">
        <f>BD405*(1/(1+INDEX($Q405:$AJ405,1,(BE$4-1)*5+4)))^(1+INDEX($Q405:$AJ405,1,(BE$4-1)*5+2))*(1+BE$7)^INDEX($Q405:$AJ405,1,(BE$4-1)*5+1)*(BE275/BD275)^INDEX($Q405:$AJ405,1,(BE$4-1)*5+2)*(BE275/BD275)^(INDEX($Q405:$AJ405,1,(BE$4-1)*5+3)*(1+INDEX($Q405:$AJ405,1,(BE$4-1)*5+2)))</f>
        <v/>
      </c>
      <c r="BF405" s="25">
        <f>BE405*(1/(1+INDEX($Q405:$AJ405,1,(BF$4-1)*5+4)))^(1+INDEX($Q405:$AJ405,1,(BF$4-1)*5+2))*(1+BF$7)^INDEX($Q405:$AJ405,1,(BF$4-1)*5+1)*(BF275/BE275)^INDEX($Q405:$AJ405,1,(BF$4-1)*5+2)*(BF275/BE275)^(INDEX($Q405:$AJ405,1,(BF$4-1)*5+3)*(1+INDEX($Q405:$AJ405,1,(BF$4-1)*5+2)))</f>
        <v/>
      </c>
      <c r="BG405" s="25">
        <f>BF405*(1/(1+INDEX($Q405:$AJ405,1,(BG$4-1)*5+4)))^(1+INDEX($Q405:$AJ405,1,(BG$4-1)*5+2))*(1+BG$7)^INDEX($Q405:$AJ405,1,(BG$4-1)*5+1)*(BG275/BF275)^INDEX($Q405:$AJ405,1,(BG$4-1)*5+2)*(BG275/BF275)^(INDEX($Q405:$AJ405,1,(BG$4-1)*5+3)*(1+INDEX($Q405:$AJ405,1,(BG$4-1)*5+2)))</f>
        <v/>
      </c>
      <c r="BH405" s="25">
        <f>BG405*(1/(1+INDEX($Q405:$AJ405,1,(BH$4-1)*5+4)))^(1+INDEX($Q405:$AJ405,1,(BH$4-1)*5+2))*(1+BH$7)^INDEX($Q405:$AJ405,1,(BH$4-1)*5+1)*(BH275/BG275)^INDEX($Q405:$AJ405,1,(BH$4-1)*5+2)*(BH275/BG275)^(INDEX($Q405:$AJ405,1,(BH$4-1)*5+3)*(1+INDEX($Q405:$AJ405,1,(BH$4-1)*5+2)))</f>
        <v/>
      </c>
      <c r="BI405" s="25">
        <f>BH405*(1/(1+INDEX($Q405:$AJ405,1,(BI$4-1)*5+4)))^(1+INDEX($Q405:$AJ405,1,(BI$4-1)*5+2))*(1+BI$7)^INDEX($Q405:$AJ405,1,(BI$4-1)*5+1)*(BI275/BH275)^INDEX($Q405:$AJ405,1,(BI$4-1)*5+2)*(BI275/BH275)^(INDEX($Q405:$AJ405,1,(BI$4-1)*5+3)*(1+INDEX($Q405:$AJ405,1,(BI$4-1)*5+2)))</f>
        <v/>
      </c>
      <c r="BJ405" s="25">
        <f>BI405*(1/(1+INDEX($Q405:$AJ405,1,(BJ$4-1)*5+4)))^(1+INDEX($Q405:$AJ405,1,(BJ$4-1)*5+2))*(1+BJ$7)^INDEX($Q405:$AJ405,1,(BJ$4-1)*5+1)*(BJ275/BI275)^INDEX($Q405:$AJ405,1,(BJ$4-1)*5+2)*(BJ275/BI275)^(INDEX($Q405:$AJ405,1,(BJ$4-1)*5+3)*(1+INDEX($Q405:$AJ405,1,(BJ$4-1)*5+2)))</f>
        <v/>
      </c>
      <c r="BK405" s="25">
        <f>BJ405*(1/(1+INDEX($Q405:$AJ405,1,(BK$4-1)*5+4)))^(1+INDEX($Q405:$AJ405,1,(BK$4-1)*5+2))*(1+BK$7)^INDEX($Q405:$AJ405,1,(BK$4-1)*5+1)*(BK275/BJ275)^INDEX($Q405:$AJ405,1,(BK$4-1)*5+2)*(BK275/BJ275)^(INDEX($Q405:$AJ405,1,(BK$4-1)*5+3)*(1+INDEX($Q405:$AJ405,1,(BK$4-1)*5+2)))</f>
        <v/>
      </c>
      <c r="BL405" s="25">
        <f>BK405*(1/(1+INDEX($Q405:$AJ405,1,(BL$4-1)*5+4)))^(1+INDEX($Q405:$AJ405,1,(BL$4-1)*5+2))*(1+BL$7)^INDEX($Q405:$AJ405,1,(BL$4-1)*5+1)*(BL275/BK275)^INDEX($Q405:$AJ405,1,(BL$4-1)*5+2)*(BL275/BK275)^(INDEX($Q405:$AJ405,1,(BL$4-1)*5+3)*(1+INDEX($Q405:$AJ405,1,(BL$4-1)*5+2)))</f>
        <v/>
      </c>
      <c r="BM405" s="25">
        <f>BL405*(1/(1+INDEX($Q405:$AJ405,1,(BM$4-1)*5+4)))^(1+INDEX($Q405:$AJ405,1,(BM$4-1)*5+2))*(1+BM$7)^INDEX($Q405:$AJ405,1,(BM$4-1)*5+1)*(BM275/BL275)^INDEX($Q405:$AJ405,1,(BM$4-1)*5+2)*(BM275/BL275)^(INDEX($Q405:$AJ405,1,(BM$4-1)*5+3)*(1+INDEX($Q405:$AJ405,1,(BM$4-1)*5+2)))</f>
        <v/>
      </c>
      <c r="BN405" s="25">
        <f>BM405*(1/(1+INDEX($Q405:$AJ405,1,(BN$4-1)*5+4)))^(1+INDEX($Q405:$AJ405,1,(BN$4-1)*5+2))*(1+BN$7)^INDEX($Q405:$AJ405,1,(BN$4-1)*5+1)*(BN275/BM275)^INDEX($Q405:$AJ405,1,(BN$4-1)*5+2)*(BN275/BM275)^(INDEX($Q405:$AJ405,1,(BN$4-1)*5+3)*(1+INDEX($Q405:$AJ405,1,(BN$4-1)*5+2)))</f>
        <v/>
      </c>
    </row>
    <row r="406">
      <c r="B406" s="5" t="inlineStr">
        <is>
          <t>ker</t>
        </is>
      </c>
      <c r="C406" s="5" t="inlineStr">
        <is>
          <t>rod</t>
        </is>
      </c>
      <c r="D406" s="5" t="inlineStr">
        <is>
          <t>Fuel use | Road | Kerosene</t>
        </is>
      </c>
      <c r="E406" s="5" t="inlineStr">
        <is>
          <t>ktoe</t>
        </is>
      </c>
      <c r="F406" s="5" t="inlineStr">
        <is>
          <t>EnergyCons (base year), Elasticities</t>
        </is>
      </c>
      <c r="G406" s="19" t="inlineStr">
        <is>
          <t>mit.enc.ker.rod</t>
        </is>
      </c>
      <c r="H406" s="19" t="inlineStr">
        <is>
          <t>mit.enc.ker.rod</t>
        </is>
      </c>
      <c r="J406" s="5">
        <f>INDEX(Mapping!$C$5:$C$20,MATCH($C406,Mapping!$A$5:$A$20,0))</f>
        <v/>
      </c>
      <c r="K406" s="5">
        <f>INDEX(Mapping!$D$5:$D$20,MATCH($C406,Mapping!$A$5:$A$20,0))</f>
        <v/>
      </c>
      <c r="L406" s="5">
        <f>INDEX(Mapping!$C$24:$C$31,MATCH($B406,Mapping!$A$24:$A$31,0))</f>
        <v/>
      </c>
      <c r="M406" s="5">
        <f>INDEX(Mapping!$D$24:$D$31,MATCH($B406,Mapping!$A$24:$A$31,0))</f>
        <v/>
      </c>
      <c r="N406" s="5">
        <f>$B406&amp;"."&amp;IF(INDEX(Mapping!$E$24:$E$31,MATCH($B406,Mapping!$A$24:$A$31,0))="sub",INDEX(Mapping!$F$5:$F$20,MATCH($C406,Mapping!$A$5:$A$20,0)),"all")</f>
        <v/>
      </c>
      <c r="O406" s="5">
        <f>INDEX(Mapping!$E$5:$E$20,MATCH($C406,Mapping!$A$5:$A$20,0))</f>
        <v/>
      </c>
      <c r="P406" s="5">
        <f>INDEX(Mapping!$G$24:$G$31,MATCH($B406,Mapping!$A$24:$A$31,0))</f>
        <v/>
      </c>
      <c r="Q406" s="22">
        <f>INDEX(Elasticities!$F$4:$I$200,MATCH("inc|"&amp;$L406&amp;"|"&amp;$K406,Elasticities!$A$4:$A$200,0),MATCH(Settings!$C$6,Elasticities!$F$3:$I$3,0))</f>
        <v/>
      </c>
      <c r="R406" s="22">
        <f>INDEX(Elasticities!$F$4:$I$200,MATCH("usg|"&amp;$L406&amp;"|"&amp;$K406,Elasticities!$A$4:$A$200,0),MATCH(Settings!$C$6,Elasticities!$F$3:$I$3,0))</f>
        <v/>
      </c>
      <c r="S406" s="22">
        <f>INDEX(Elasticities!$F$4:$I$200,MATCH("eff|"&amp;$L406&amp;"|"&amp;$K406,Elasticities!$A$4:$A$200,0),MATCH(Settings!$C$6,Elasticities!$F$3:$I$3,0))</f>
        <v/>
      </c>
      <c r="T406" s="22">
        <f>INDEX(Elasticities!$F$4:$I$200,MATCH("aei|"&amp;$M406&amp;"|"&amp;$K406,Elasticities!$A$4:$A$200,0),MATCH(Settings!$C$6,Elasticities!$F$3:$I$3,0))</f>
        <v/>
      </c>
      <c r="U406" s="21" t="n"/>
      <c r="V406" s="22">
        <f>Q406</f>
        <v/>
      </c>
      <c r="W406" s="22">
        <f>R406</f>
        <v/>
      </c>
      <c r="X406" s="22">
        <f>S406</f>
        <v/>
      </c>
      <c r="Y406" s="22">
        <f>T406</f>
        <v/>
      </c>
      <c r="Z406" s="21" t="n"/>
      <c r="AA406" s="22">
        <f>Q406</f>
        <v/>
      </c>
      <c r="AB406" s="22">
        <f>R406</f>
        <v/>
      </c>
      <c r="AC406" s="22">
        <f>S406</f>
        <v/>
      </c>
      <c r="AD406" s="22">
        <f>T406</f>
        <v/>
      </c>
      <c r="AE406" s="21" t="n"/>
      <c r="AF406" s="22">
        <f>Q406</f>
        <v/>
      </c>
      <c r="AG406" s="22">
        <f>R406</f>
        <v/>
      </c>
      <c r="AH406" s="22">
        <f>S406</f>
        <v/>
      </c>
      <c r="AI406" s="22">
        <f>T406</f>
        <v/>
      </c>
      <c r="AJ406" s="21" t="n"/>
      <c r="AL406" s="24">
        <f>INDEX(EnergyCons!$F$4:$F$5000,MATCH(Settings!$C$4&amp;"|"&amp;AL$5&amp;"|"&amp;$C406&amp;"|"&amp;$B406,EnergyCons!$A$4:$A$5000,0))</f>
        <v/>
      </c>
      <c r="AM406" s="25">
        <f>AL406*(1/(1+INDEX($Q406:$AJ406,1,(AM$4-1)*5+4)))^(1+INDEX($Q406:$AJ406,1,(AM$4-1)*5+2))*(1+AM$7)^INDEX($Q406:$AJ406,1,(AM$4-1)*5+1)*(AM276/AL276)^INDEX($Q406:$AJ406,1,(AM$4-1)*5+2)*(AM276/AL276)^(INDEX($Q406:$AJ406,1,(AM$4-1)*5+3)*(1+INDEX($Q406:$AJ406,1,(AM$4-1)*5+2)))</f>
        <v/>
      </c>
      <c r="AN406" s="25">
        <f>AM406*(1/(1+INDEX($Q406:$AJ406,1,(AN$4-1)*5+4)))^(1+INDEX($Q406:$AJ406,1,(AN$4-1)*5+2))*(1+AN$7)^INDEX($Q406:$AJ406,1,(AN$4-1)*5+1)*(AN276/AM276)^INDEX($Q406:$AJ406,1,(AN$4-1)*5+2)*(AN276/AM276)^(INDEX($Q406:$AJ406,1,(AN$4-1)*5+3)*(1+INDEX($Q406:$AJ406,1,(AN$4-1)*5+2)))</f>
        <v/>
      </c>
      <c r="AO406" s="25">
        <f>AN406*(1/(1+INDEX($Q406:$AJ406,1,(AO$4-1)*5+4)))^(1+INDEX($Q406:$AJ406,1,(AO$4-1)*5+2))*(1+AO$7)^INDEX($Q406:$AJ406,1,(AO$4-1)*5+1)*(AO276/AN276)^INDEX($Q406:$AJ406,1,(AO$4-1)*5+2)*(AO276/AN276)^(INDEX($Q406:$AJ406,1,(AO$4-1)*5+3)*(1+INDEX($Q406:$AJ406,1,(AO$4-1)*5+2)))</f>
        <v/>
      </c>
      <c r="AP406" s="25">
        <f>AO406*(1/(1+INDEX($Q406:$AJ406,1,(AP$4-1)*5+4)))^(1+INDEX($Q406:$AJ406,1,(AP$4-1)*5+2))*(1+AP$7)^INDEX($Q406:$AJ406,1,(AP$4-1)*5+1)*(AP276/AO276)^INDEX($Q406:$AJ406,1,(AP$4-1)*5+2)*(AP276/AO276)^(INDEX($Q406:$AJ406,1,(AP$4-1)*5+3)*(1+INDEX($Q406:$AJ406,1,(AP$4-1)*5+2)))</f>
        <v/>
      </c>
      <c r="AQ406" s="25">
        <f>AP406*(1/(1+INDEX($Q406:$AJ406,1,(AQ$4-1)*5+4)))^(1+INDEX($Q406:$AJ406,1,(AQ$4-1)*5+2))*(1+AQ$7)^INDEX($Q406:$AJ406,1,(AQ$4-1)*5+1)*(AQ276/AP276)^INDEX($Q406:$AJ406,1,(AQ$4-1)*5+2)*(AQ276/AP276)^(INDEX($Q406:$AJ406,1,(AQ$4-1)*5+3)*(1+INDEX($Q406:$AJ406,1,(AQ$4-1)*5+2)))</f>
        <v/>
      </c>
      <c r="AR406" s="25">
        <f>AQ406*(1/(1+INDEX($Q406:$AJ406,1,(AR$4-1)*5+4)))^(1+INDEX($Q406:$AJ406,1,(AR$4-1)*5+2))*(1+AR$7)^INDEX($Q406:$AJ406,1,(AR$4-1)*5+1)*(AR276/AQ276)^INDEX($Q406:$AJ406,1,(AR$4-1)*5+2)*(AR276/AQ276)^(INDEX($Q406:$AJ406,1,(AR$4-1)*5+3)*(1+INDEX($Q406:$AJ406,1,(AR$4-1)*5+2)))</f>
        <v/>
      </c>
      <c r="AS406" s="25">
        <f>AR406*(1/(1+INDEX($Q406:$AJ406,1,(AS$4-1)*5+4)))^(1+INDEX($Q406:$AJ406,1,(AS$4-1)*5+2))*(1+AS$7)^INDEX($Q406:$AJ406,1,(AS$4-1)*5+1)*(AS276/AR276)^INDEX($Q406:$AJ406,1,(AS$4-1)*5+2)*(AS276/AR276)^(INDEX($Q406:$AJ406,1,(AS$4-1)*5+3)*(1+INDEX($Q406:$AJ406,1,(AS$4-1)*5+2)))</f>
        <v/>
      </c>
      <c r="AT406" s="25">
        <f>AS406*(1/(1+INDEX($Q406:$AJ406,1,(AT$4-1)*5+4)))^(1+INDEX($Q406:$AJ406,1,(AT$4-1)*5+2))*(1+AT$7)^INDEX($Q406:$AJ406,1,(AT$4-1)*5+1)*(AT276/AS276)^INDEX($Q406:$AJ406,1,(AT$4-1)*5+2)*(AT276/AS276)^(INDEX($Q406:$AJ406,1,(AT$4-1)*5+3)*(1+INDEX($Q406:$AJ406,1,(AT$4-1)*5+2)))</f>
        <v/>
      </c>
      <c r="AU406" s="25">
        <f>AT406*(1/(1+INDEX($Q406:$AJ406,1,(AU$4-1)*5+4)))^(1+INDEX($Q406:$AJ406,1,(AU$4-1)*5+2))*(1+AU$7)^INDEX($Q406:$AJ406,1,(AU$4-1)*5+1)*(AU276/AT276)^INDEX($Q406:$AJ406,1,(AU$4-1)*5+2)*(AU276/AT276)^(INDEX($Q406:$AJ406,1,(AU$4-1)*5+3)*(1+INDEX($Q406:$AJ406,1,(AU$4-1)*5+2)))</f>
        <v/>
      </c>
      <c r="AV406" s="25">
        <f>AU406*(1/(1+INDEX($Q406:$AJ406,1,(AV$4-1)*5+4)))^(1+INDEX($Q406:$AJ406,1,(AV$4-1)*5+2))*(1+AV$7)^INDEX($Q406:$AJ406,1,(AV$4-1)*5+1)*(AV276/AU276)^INDEX($Q406:$AJ406,1,(AV$4-1)*5+2)*(AV276/AU276)^(INDEX($Q406:$AJ406,1,(AV$4-1)*5+3)*(1+INDEX($Q406:$AJ406,1,(AV$4-1)*5+2)))</f>
        <v/>
      </c>
      <c r="AW406" s="25">
        <f>AV406*(1/(1+INDEX($Q406:$AJ406,1,(AW$4-1)*5+4)))^(1+INDEX($Q406:$AJ406,1,(AW$4-1)*5+2))*(1+AW$7)^INDEX($Q406:$AJ406,1,(AW$4-1)*5+1)*(AW276/AV276)^INDEX($Q406:$AJ406,1,(AW$4-1)*5+2)*(AW276/AV276)^(INDEX($Q406:$AJ406,1,(AW$4-1)*5+3)*(1+INDEX($Q406:$AJ406,1,(AW$4-1)*5+2)))</f>
        <v/>
      </c>
      <c r="AX406" s="25">
        <f>AW406*(1/(1+INDEX($Q406:$AJ406,1,(AX$4-1)*5+4)))^(1+INDEX($Q406:$AJ406,1,(AX$4-1)*5+2))*(1+AX$7)^INDEX($Q406:$AJ406,1,(AX$4-1)*5+1)*(AX276/AW276)^INDEX($Q406:$AJ406,1,(AX$4-1)*5+2)*(AX276/AW276)^(INDEX($Q406:$AJ406,1,(AX$4-1)*5+3)*(1+INDEX($Q406:$AJ406,1,(AX$4-1)*5+2)))</f>
        <v/>
      </c>
      <c r="AY406" s="25">
        <f>AX406*(1/(1+INDEX($Q406:$AJ406,1,(AY$4-1)*5+4)))^(1+INDEX($Q406:$AJ406,1,(AY$4-1)*5+2))*(1+AY$7)^INDEX($Q406:$AJ406,1,(AY$4-1)*5+1)*(AY276/AX276)^INDEX($Q406:$AJ406,1,(AY$4-1)*5+2)*(AY276/AX276)^(INDEX($Q406:$AJ406,1,(AY$4-1)*5+3)*(1+INDEX($Q406:$AJ406,1,(AY$4-1)*5+2)))</f>
        <v/>
      </c>
      <c r="BA406" s="24">
        <f>INDEX(EnergyCons!$F$4:$F$5000,MATCH(Settings!$C$4&amp;"|"&amp;BA$5&amp;"|"&amp;$C406&amp;"|"&amp;$B406,EnergyCons!$A$4:$A$5000,0))</f>
        <v/>
      </c>
      <c r="BB406" s="25">
        <f>BA406*(1/(1+INDEX($Q406:$AJ406,1,(BB$4-1)*5+4)))^(1+INDEX($Q406:$AJ406,1,(BB$4-1)*5+2))*(1+BB$7)^INDEX($Q406:$AJ406,1,(BB$4-1)*5+1)*(BB276/BA276)^INDEX($Q406:$AJ406,1,(BB$4-1)*5+2)*(BB276/BA276)^(INDEX($Q406:$AJ406,1,(BB$4-1)*5+3)*(1+INDEX($Q406:$AJ406,1,(BB$4-1)*5+2)))</f>
        <v/>
      </c>
      <c r="BC406" s="25">
        <f>BB406*(1/(1+INDEX($Q406:$AJ406,1,(BC$4-1)*5+4)))^(1+INDEX($Q406:$AJ406,1,(BC$4-1)*5+2))*(1+BC$7)^INDEX($Q406:$AJ406,1,(BC$4-1)*5+1)*(BC276/BB276)^INDEX($Q406:$AJ406,1,(BC$4-1)*5+2)*(BC276/BB276)^(INDEX($Q406:$AJ406,1,(BC$4-1)*5+3)*(1+INDEX($Q406:$AJ406,1,(BC$4-1)*5+2)))</f>
        <v/>
      </c>
      <c r="BD406" s="25">
        <f>BC406*(1/(1+INDEX($Q406:$AJ406,1,(BD$4-1)*5+4)))^(1+INDEX($Q406:$AJ406,1,(BD$4-1)*5+2))*(1+BD$7)^INDEX($Q406:$AJ406,1,(BD$4-1)*5+1)*(BD276/BC276)^INDEX($Q406:$AJ406,1,(BD$4-1)*5+2)*(BD276/BC276)^(INDEX($Q406:$AJ406,1,(BD$4-1)*5+3)*(1+INDEX($Q406:$AJ406,1,(BD$4-1)*5+2)))</f>
        <v/>
      </c>
      <c r="BE406" s="25">
        <f>BD406*(1/(1+INDEX($Q406:$AJ406,1,(BE$4-1)*5+4)))^(1+INDEX($Q406:$AJ406,1,(BE$4-1)*5+2))*(1+BE$7)^INDEX($Q406:$AJ406,1,(BE$4-1)*5+1)*(BE276/BD276)^INDEX($Q406:$AJ406,1,(BE$4-1)*5+2)*(BE276/BD276)^(INDEX($Q406:$AJ406,1,(BE$4-1)*5+3)*(1+INDEX($Q406:$AJ406,1,(BE$4-1)*5+2)))</f>
        <v/>
      </c>
      <c r="BF406" s="25">
        <f>BE406*(1/(1+INDEX($Q406:$AJ406,1,(BF$4-1)*5+4)))^(1+INDEX($Q406:$AJ406,1,(BF$4-1)*5+2))*(1+BF$7)^INDEX($Q406:$AJ406,1,(BF$4-1)*5+1)*(BF276/BE276)^INDEX($Q406:$AJ406,1,(BF$4-1)*5+2)*(BF276/BE276)^(INDEX($Q406:$AJ406,1,(BF$4-1)*5+3)*(1+INDEX($Q406:$AJ406,1,(BF$4-1)*5+2)))</f>
        <v/>
      </c>
      <c r="BG406" s="25">
        <f>BF406*(1/(1+INDEX($Q406:$AJ406,1,(BG$4-1)*5+4)))^(1+INDEX($Q406:$AJ406,1,(BG$4-1)*5+2))*(1+BG$7)^INDEX($Q406:$AJ406,1,(BG$4-1)*5+1)*(BG276/BF276)^INDEX($Q406:$AJ406,1,(BG$4-1)*5+2)*(BG276/BF276)^(INDEX($Q406:$AJ406,1,(BG$4-1)*5+3)*(1+INDEX($Q406:$AJ406,1,(BG$4-1)*5+2)))</f>
        <v/>
      </c>
      <c r="BH406" s="25">
        <f>BG406*(1/(1+INDEX($Q406:$AJ406,1,(BH$4-1)*5+4)))^(1+INDEX($Q406:$AJ406,1,(BH$4-1)*5+2))*(1+BH$7)^INDEX($Q406:$AJ406,1,(BH$4-1)*5+1)*(BH276/BG276)^INDEX($Q406:$AJ406,1,(BH$4-1)*5+2)*(BH276/BG276)^(INDEX($Q406:$AJ406,1,(BH$4-1)*5+3)*(1+INDEX($Q406:$AJ406,1,(BH$4-1)*5+2)))</f>
        <v/>
      </c>
      <c r="BI406" s="25">
        <f>BH406*(1/(1+INDEX($Q406:$AJ406,1,(BI$4-1)*5+4)))^(1+INDEX($Q406:$AJ406,1,(BI$4-1)*5+2))*(1+BI$7)^INDEX($Q406:$AJ406,1,(BI$4-1)*5+1)*(BI276/BH276)^INDEX($Q406:$AJ406,1,(BI$4-1)*5+2)*(BI276/BH276)^(INDEX($Q406:$AJ406,1,(BI$4-1)*5+3)*(1+INDEX($Q406:$AJ406,1,(BI$4-1)*5+2)))</f>
        <v/>
      </c>
      <c r="BJ406" s="25">
        <f>BI406*(1/(1+INDEX($Q406:$AJ406,1,(BJ$4-1)*5+4)))^(1+INDEX($Q406:$AJ406,1,(BJ$4-1)*5+2))*(1+BJ$7)^INDEX($Q406:$AJ406,1,(BJ$4-1)*5+1)*(BJ276/BI276)^INDEX($Q406:$AJ406,1,(BJ$4-1)*5+2)*(BJ276/BI276)^(INDEX($Q406:$AJ406,1,(BJ$4-1)*5+3)*(1+INDEX($Q406:$AJ406,1,(BJ$4-1)*5+2)))</f>
        <v/>
      </c>
      <c r="BK406" s="25">
        <f>BJ406*(1/(1+INDEX($Q406:$AJ406,1,(BK$4-1)*5+4)))^(1+INDEX($Q406:$AJ406,1,(BK$4-1)*5+2))*(1+BK$7)^INDEX($Q406:$AJ406,1,(BK$4-1)*5+1)*(BK276/BJ276)^INDEX($Q406:$AJ406,1,(BK$4-1)*5+2)*(BK276/BJ276)^(INDEX($Q406:$AJ406,1,(BK$4-1)*5+3)*(1+INDEX($Q406:$AJ406,1,(BK$4-1)*5+2)))</f>
        <v/>
      </c>
      <c r="BL406" s="25">
        <f>BK406*(1/(1+INDEX($Q406:$AJ406,1,(BL$4-1)*5+4)))^(1+INDEX($Q406:$AJ406,1,(BL$4-1)*5+2))*(1+BL$7)^INDEX($Q406:$AJ406,1,(BL$4-1)*5+1)*(BL276/BK276)^INDEX($Q406:$AJ406,1,(BL$4-1)*5+2)*(BL276/BK276)^(INDEX($Q406:$AJ406,1,(BL$4-1)*5+3)*(1+INDEX($Q406:$AJ406,1,(BL$4-1)*5+2)))</f>
        <v/>
      </c>
      <c r="BM406" s="25">
        <f>BL406*(1/(1+INDEX($Q406:$AJ406,1,(BM$4-1)*5+4)))^(1+INDEX($Q406:$AJ406,1,(BM$4-1)*5+2))*(1+BM$7)^INDEX($Q406:$AJ406,1,(BM$4-1)*5+1)*(BM276/BL276)^INDEX($Q406:$AJ406,1,(BM$4-1)*5+2)*(BM276/BL276)^(INDEX($Q406:$AJ406,1,(BM$4-1)*5+3)*(1+INDEX($Q406:$AJ406,1,(BM$4-1)*5+2)))</f>
        <v/>
      </c>
      <c r="BN406" s="25">
        <f>BM406*(1/(1+INDEX($Q406:$AJ406,1,(BN$4-1)*5+4)))^(1+INDEX($Q406:$AJ406,1,(BN$4-1)*5+2))*(1+BN$7)^INDEX($Q406:$AJ406,1,(BN$4-1)*5+1)*(BN276/BM276)^INDEX($Q406:$AJ406,1,(BN$4-1)*5+2)*(BN276/BM276)^(INDEX($Q406:$AJ406,1,(BN$4-1)*5+3)*(1+INDEX($Q406:$AJ406,1,(BN$4-1)*5+2)))</f>
        <v/>
      </c>
    </row>
    <row r="407">
      <c r="B407" s="5" t="inlineStr">
        <is>
          <t>oop</t>
        </is>
      </c>
      <c r="C407" s="5" t="inlineStr">
        <is>
          <t>rod</t>
        </is>
      </c>
      <c r="D407" s="5" t="inlineStr">
        <is>
          <t>Fuel use | Road | Other oil products</t>
        </is>
      </c>
      <c r="E407" s="5" t="inlineStr">
        <is>
          <t>ktoe</t>
        </is>
      </c>
      <c r="F407" s="5" t="inlineStr">
        <is>
          <t>EnergyCons (base year), Elasticities</t>
        </is>
      </c>
      <c r="G407" s="19" t="inlineStr">
        <is>
          <t>mit.enc.oop.rod</t>
        </is>
      </c>
      <c r="H407" s="19" t="inlineStr">
        <is>
          <t>mit.enc.oop.rod</t>
        </is>
      </c>
      <c r="J407" s="5">
        <f>INDEX(Mapping!$C$5:$C$20,MATCH($C407,Mapping!$A$5:$A$20,0))</f>
        <v/>
      </c>
      <c r="K407" s="5">
        <f>INDEX(Mapping!$D$5:$D$20,MATCH($C407,Mapping!$A$5:$A$20,0))</f>
        <v/>
      </c>
      <c r="L407" s="5">
        <f>INDEX(Mapping!$C$24:$C$31,MATCH($B407,Mapping!$A$24:$A$31,0))</f>
        <v/>
      </c>
      <c r="M407" s="5">
        <f>INDEX(Mapping!$D$24:$D$31,MATCH($B407,Mapping!$A$24:$A$31,0))</f>
        <v/>
      </c>
      <c r="N407" s="5">
        <f>$B407&amp;"."&amp;IF(INDEX(Mapping!$E$24:$E$31,MATCH($B407,Mapping!$A$24:$A$31,0))="sub",INDEX(Mapping!$F$5:$F$20,MATCH($C407,Mapping!$A$5:$A$20,0)),"all")</f>
        <v/>
      </c>
      <c r="O407" s="5">
        <f>INDEX(Mapping!$E$5:$E$20,MATCH($C407,Mapping!$A$5:$A$20,0))</f>
        <v/>
      </c>
      <c r="P407" s="5">
        <f>INDEX(Mapping!$G$24:$G$31,MATCH($B407,Mapping!$A$24:$A$31,0))</f>
        <v/>
      </c>
      <c r="Q407" s="22">
        <f>INDEX(Elasticities!$F$4:$I$200,MATCH("inc|"&amp;$L407&amp;"|"&amp;$K407,Elasticities!$A$4:$A$200,0),MATCH(Settings!$C$6,Elasticities!$F$3:$I$3,0))</f>
        <v/>
      </c>
      <c r="R407" s="22">
        <f>INDEX(Elasticities!$F$4:$I$200,MATCH("usg|"&amp;$L407&amp;"|"&amp;$K407,Elasticities!$A$4:$A$200,0),MATCH(Settings!$C$6,Elasticities!$F$3:$I$3,0))</f>
        <v/>
      </c>
      <c r="S407" s="22">
        <f>INDEX(Elasticities!$F$4:$I$200,MATCH("eff|"&amp;$L407&amp;"|"&amp;$K407,Elasticities!$A$4:$A$200,0),MATCH(Settings!$C$6,Elasticities!$F$3:$I$3,0))</f>
        <v/>
      </c>
      <c r="T407" s="22">
        <f>INDEX(Elasticities!$F$4:$I$200,MATCH("aei|"&amp;$M407&amp;"|"&amp;$K407,Elasticities!$A$4:$A$200,0),MATCH(Settings!$C$6,Elasticities!$F$3:$I$3,0))</f>
        <v/>
      </c>
      <c r="U407" s="21" t="n"/>
      <c r="V407" s="22">
        <f>Q407</f>
        <v/>
      </c>
      <c r="W407" s="22">
        <f>R407</f>
        <v/>
      </c>
      <c r="X407" s="22">
        <f>S407</f>
        <v/>
      </c>
      <c r="Y407" s="22">
        <f>T407</f>
        <v/>
      </c>
      <c r="Z407" s="21" t="n"/>
      <c r="AA407" s="22">
        <f>Q407</f>
        <v/>
      </c>
      <c r="AB407" s="22">
        <f>R407</f>
        <v/>
      </c>
      <c r="AC407" s="22">
        <f>S407</f>
        <v/>
      </c>
      <c r="AD407" s="22">
        <f>T407</f>
        <v/>
      </c>
      <c r="AE407" s="21" t="n"/>
      <c r="AF407" s="22">
        <f>Q407</f>
        <v/>
      </c>
      <c r="AG407" s="22">
        <f>R407</f>
        <v/>
      </c>
      <c r="AH407" s="22">
        <f>S407</f>
        <v/>
      </c>
      <c r="AI407" s="22">
        <f>T407</f>
        <v/>
      </c>
      <c r="AJ407" s="21" t="n"/>
      <c r="AL407" s="24">
        <f>INDEX(EnergyCons!$F$4:$F$5000,MATCH(Settings!$C$4&amp;"|"&amp;AL$5&amp;"|"&amp;$C407&amp;"|"&amp;$B407,EnergyCons!$A$4:$A$5000,0))</f>
        <v/>
      </c>
      <c r="AM407" s="25">
        <f>AL407*(1/(1+INDEX($Q407:$AJ407,1,(AM$4-1)*5+4)))^(1+INDEX($Q407:$AJ407,1,(AM$4-1)*5+2))*(1+AM$7)^INDEX($Q407:$AJ407,1,(AM$4-1)*5+1)*(AM277/AL277)^INDEX($Q407:$AJ407,1,(AM$4-1)*5+2)*(AM277/AL277)^(INDEX($Q407:$AJ407,1,(AM$4-1)*5+3)*(1+INDEX($Q407:$AJ407,1,(AM$4-1)*5+2)))</f>
        <v/>
      </c>
      <c r="AN407" s="25">
        <f>AM407*(1/(1+INDEX($Q407:$AJ407,1,(AN$4-1)*5+4)))^(1+INDEX($Q407:$AJ407,1,(AN$4-1)*5+2))*(1+AN$7)^INDEX($Q407:$AJ407,1,(AN$4-1)*5+1)*(AN277/AM277)^INDEX($Q407:$AJ407,1,(AN$4-1)*5+2)*(AN277/AM277)^(INDEX($Q407:$AJ407,1,(AN$4-1)*5+3)*(1+INDEX($Q407:$AJ407,1,(AN$4-1)*5+2)))</f>
        <v/>
      </c>
      <c r="AO407" s="25">
        <f>AN407*(1/(1+INDEX($Q407:$AJ407,1,(AO$4-1)*5+4)))^(1+INDEX($Q407:$AJ407,1,(AO$4-1)*5+2))*(1+AO$7)^INDEX($Q407:$AJ407,1,(AO$4-1)*5+1)*(AO277/AN277)^INDEX($Q407:$AJ407,1,(AO$4-1)*5+2)*(AO277/AN277)^(INDEX($Q407:$AJ407,1,(AO$4-1)*5+3)*(1+INDEX($Q407:$AJ407,1,(AO$4-1)*5+2)))</f>
        <v/>
      </c>
      <c r="AP407" s="25">
        <f>AO407*(1/(1+INDEX($Q407:$AJ407,1,(AP$4-1)*5+4)))^(1+INDEX($Q407:$AJ407,1,(AP$4-1)*5+2))*(1+AP$7)^INDEX($Q407:$AJ407,1,(AP$4-1)*5+1)*(AP277/AO277)^INDEX($Q407:$AJ407,1,(AP$4-1)*5+2)*(AP277/AO277)^(INDEX($Q407:$AJ407,1,(AP$4-1)*5+3)*(1+INDEX($Q407:$AJ407,1,(AP$4-1)*5+2)))</f>
        <v/>
      </c>
      <c r="AQ407" s="25">
        <f>AP407*(1/(1+INDEX($Q407:$AJ407,1,(AQ$4-1)*5+4)))^(1+INDEX($Q407:$AJ407,1,(AQ$4-1)*5+2))*(1+AQ$7)^INDEX($Q407:$AJ407,1,(AQ$4-1)*5+1)*(AQ277/AP277)^INDEX($Q407:$AJ407,1,(AQ$4-1)*5+2)*(AQ277/AP277)^(INDEX($Q407:$AJ407,1,(AQ$4-1)*5+3)*(1+INDEX($Q407:$AJ407,1,(AQ$4-1)*5+2)))</f>
        <v/>
      </c>
      <c r="AR407" s="25">
        <f>AQ407*(1/(1+INDEX($Q407:$AJ407,1,(AR$4-1)*5+4)))^(1+INDEX($Q407:$AJ407,1,(AR$4-1)*5+2))*(1+AR$7)^INDEX($Q407:$AJ407,1,(AR$4-1)*5+1)*(AR277/AQ277)^INDEX($Q407:$AJ407,1,(AR$4-1)*5+2)*(AR277/AQ277)^(INDEX($Q407:$AJ407,1,(AR$4-1)*5+3)*(1+INDEX($Q407:$AJ407,1,(AR$4-1)*5+2)))</f>
        <v/>
      </c>
      <c r="AS407" s="25">
        <f>AR407*(1/(1+INDEX($Q407:$AJ407,1,(AS$4-1)*5+4)))^(1+INDEX($Q407:$AJ407,1,(AS$4-1)*5+2))*(1+AS$7)^INDEX($Q407:$AJ407,1,(AS$4-1)*5+1)*(AS277/AR277)^INDEX($Q407:$AJ407,1,(AS$4-1)*5+2)*(AS277/AR277)^(INDEX($Q407:$AJ407,1,(AS$4-1)*5+3)*(1+INDEX($Q407:$AJ407,1,(AS$4-1)*5+2)))</f>
        <v/>
      </c>
      <c r="AT407" s="25">
        <f>AS407*(1/(1+INDEX($Q407:$AJ407,1,(AT$4-1)*5+4)))^(1+INDEX($Q407:$AJ407,1,(AT$4-1)*5+2))*(1+AT$7)^INDEX($Q407:$AJ407,1,(AT$4-1)*5+1)*(AT277/AS277)^INDEX($Q407:$AJ407,1,(AT$4-1)*5+2)*(AT277/AS277)^(INDEX($Q407:$AJ407,1,(AT$4-1)*5+3)*(1+INDEX($Q407:$AJ407,1,(AT$4-1)*5+2)))</f>
        <v/>
      </c>
      <c r="AU407" s="25">
        <f>AT407*(1/(1+INDEX($Q407:$AJ407,1,(AU$4-1)*5+4)))^(1+INDEX($Q407:$AJ407,1,(AU$4-1)*5+2))*(1+AU$7)^INDEX($Q407:$AJ407,1,(AU$4-1)*5+1)*(AU277/AT277)^INDEX($Q407:$AJ407,1,(AU$4-1)*5+2)*(AU277/AT277)^(INDEX($Q407:$AJ407,1,(AU$4-1)*5+3)*(1+INDEX($Q407:$AJ407,1,(AU$4-1)*5+2)))</f>
        <v/>
      </c>
      <c r="AV407" s="25">
        <f>AU407*(1/(1+INDEX($Q407:$AJ407,1,(AV$4-1)*5+4)))^(1+INDEX($Q407:$AJ407,1,(AV$4-1)*5+2))*(1+AV$7)^INDEX($Q407:$AJ407,1,(AV$4-1)*5+1)*(AV277/AU277)^INDEX($Q407:$AJ407,1,(AV$4-1)*5+2)*(AV277/AU277)^(INDEX($Q407:$AJ407,1,(AV$4-1)*5+3)*(1+INDEX($Q407:$AJ407,1,(AV$4-1)*5+2)))</f>
        <v/>
      </c>
      <c r="AW407" s="25">
        <f>AV407*(1/(1+INDEX($Q407:$AJ407,1,(AW$4-1)*5+4)))^(1+INDEX($Q407:$AJ407,1,(AW$4-1)*5+2))*(1+AW$7)^INDEX($Q407:$AJ407,1,(AW$4-1)*5+1)*(AW277/AV277)^INDEX($Q407:$AJ407,1,(AW$4-1)*5+2)*(AW277/AV277)^(INDEX($Q407:$AJ407,1,(AW$4-1)*5+3)*(1+INDEX($Q407:$AJ407,1,(AW$4-1)*5+2)))</f>
        <v/>
      </c>
      <c r="AX407" s="25">
        <f>AW407*(1/(1+INDEX($Q407:$AJ407,1,(AX$4-1)*5+4)))^(1+INDEX($Q407:$AJ407,1,(AX$4-1)*5+2))*(1+AX$7)^INDEX($Q407:$AJ407,1,(AX$4-1)*5+1)*(AX277/AW277)^INDEX($Q407:$AJ407,1,(AX$4-1)*5+2)*(AX277/AW277)^(INDEX($Q407:$AJ407,1,(AX$4-1)*5+3)*(1+INDEX($Q407:$AJ407,1,(AX$4-1)*5+2)))</f>
        <v/>
      </c>
      <c r="AY407" s="25">
        <f>AX407*(1/(1+INDEX($Q407:$AJ407,1,(AY$4-1)*5+4)))^(1+INDEX($Q407:$AJ407,1,(AY$4-1)*5+2))*(1+AY$7)^INDEX($Q407:$AJ407,1,(AY$4-1)*5+1)*(AY277/AX277)^INDEX($Q407:$AJ407,1,(AY$4-1)*5+2)*(AY277/AX277)^(INDEX($Q407:$AJ407,1,(AY$4-1)*5+3)*(1+INDEX($Q407:$AJ407,1,(AY$4-1)*5+2)))</f>
        <v/>
      </c>
      <c r="BA407" s="24">
        <f>INDEX(EnergyCons!$F$4:$F$5000,MATCH(Settings!$C$4&amp;"|"&amp;BA$5&amp;"|"&amp;$C407&amp;"|"&amp;$B407,EnergyCons!$A$4:$A$5000,0))</f>
        <v/>
      </c>
      <c r="BB407" s="25">
        <f>BA407*(1/(1+INDEX($Q407:$AJ407,1,(BB$4-1)*5+4)))^(1+INDEX($Q407:$AJ407,1,(BB$4-1)*5+2))*(1+BB$7)^INDEX($Q407:$AJ407,1,(BB$4-1)*5+1)*(BB277/BA277)^INDEX($Q407:$AJ407,1,(BB$4-1)*5+2)*(BB277/BA277)^(INDEX($Q407:$AJ407,1,(BB$4-1)*5+3)*(1+INDEX($Q407:$AJ407,1,(BB$4-1)*5+2)))</f>
        <v/>
      </c>
      <c r="BC407" s="25">
        <f>BB407*(1/(1+INDEX($Q407:$AJ407,1,(BC$4-1)*5+4)))^(1+INDEX($Q407:$AJ407,1,(BC$4-1)*5+2))*(1+BC$7)^INDEX($Q407:$AJ407,1,(BC$4-1)*5+1)*(BC277/BB277)^INDEX($Q407:$AJ407,1,(BC$4-1)*5+2)*(BC277/BB277)^(INDEX($Q407:$AJ407,1,(BC$4-1)*5+3)*(1+INDEX($Q407:$AJ407,1,(BC$4-1)*5+2)))</f>
        <v/>
      </c>
      <c r="BD407" s="25">
        <f>BC407*(1/(1+INDEX($Q407:$AJ407,1,(BD$4-1)*5+4)))^(1+INDEX($Q407:$AJ407,1,(BD$4-1)*5+2))*(1+BD$7)^INDEX($Q407:$AJ407,1,(BD$4-1)*5+1)*(BD277/BC277)^INDEX($Q407:$AJ407,1,(BD$4-1)*5+2)*(BD277/BC277)^(INDEX($Q407:$AJ407,1,(BD$4-1)*5+3)*(1+INDEX($Q407:$AJ407,1,(BD$4-1)*5+2)))</f>
        <v/>
      </c>
      <c r="BE407" s="25">
        <f>BD407*(1/(1+INDEX($Q407:$AJ407,1,(BE$4-1)*5+4)))^(1+INDEX($Q407:$AJ407,1,(BE$4-1)*5+2))*(1+BE$7)^INDEX($Q407:$AJ407,1,(BE$4-1)*5+1)*(BE277/BD277)^INDEX($Q407:$AJ407,1,(BE$4-1)*5+2)*(BE277/BD277)^(INDEX($Q407:$AJ407,1,(BE$4-1)*5+3)*(1+INDEX($Q407:$AJ407,1,(BE$4-1)*5+2)))</f>
        <v/>
      </c>
      <c r="BF407" s="25">
        <f>BE407*(1/(1+INDEX($Q407:$AJ407,1,(BF$4-1)*5+4)))^(1+INDEX($Q407:$AJ407,1,(BF$4-1)*5+2))*(1+BF$7)^INDEX($Q407:$AJ407,1,(BF$4-1)*5+1)*(BF277/BE277)^INDEX($Q407:$AJ407,1,(BF$4-1)*5+2)*(BF277/BE277)^(INDEX($Q407:$AJ407,1,(BF$4-1)*5+3)*(1+INDEX($Q407:$AJ407,1,(BF$4-1)*5+2)))</f>
        <v/>
      </c>
      <c r="BG407" s="25">
        <f>BF407*(1/(1+INDEX($Q407:$AJ407,1,(BG$4-1)*5+4)))^(1+INDEX($Q407:$AJ407,1,(BG$4-1)*5+2))*(1+BG$7)^INDEX($Q407:$AJ407,1,(BG$4-1)*5+1)*(BG277/BF277)^INDEX($Q407:$AJ407,1,(BG$4-1)*5+2)*(BG277/BF277)^(INDEX($Q407:$AJ407,1,(BG$4-1)*5+3)*(1+INDEX($Q407:$AJ407,1,(BG$4-1)*5+2)))</f>
        <v/>
      </c>
      <c r="BH407" s="25">
        <f>BG407*(1/(1+INDEX($Q407:$AJ407,1,(BH$4-1)*5+4)))^(1+INDEX($Q407:$AJ407,1,(BH$4-1)*5+2))*(1+BH$7)^INDEX($Q407:$AJ407,1,(BH$4-1)*5+1)*(BH277/BG277)^INDEX($Q407:$AJ407,1,(BH$4-1)*5+2)*(BH277/BG277)^(INDEX($Q407:$AJ407,1,(BH$4-1)*5+3)*(1+INDEX($Q407:$AJ407,1,(BH$4-1)*5+2)))</f>
        <v/>
      </c>
      <c r="BI407" s="25">
        <f>BH407*(1/(1+INDEX($Q407:$AJ407,1,(BI$4-1)*5+4)))^(1+INDEX($Q407:$AJ407,1,(BI$4-1)*5+2))*(1+BI$7)^INDEX($Q407:$AJ407,1,(BI$4-1)*5+1)*(BI277/BH277)^INDEX($Q407:$AJ407,1,(BI$4-1)*5+2)*(BI277/BH277)^(INDEX($Q407:$AJ407,1,(BI$4-1)*5+3)*(1+INDEX($Q407:$AJ407,1,(BI$4-1)*5+2)))</f>
        <v/>
      </c>
      <c r="BJ407" s="25">
        <f>BI407*(1/(1+INDEX($Q407:$AJ407,1,(BJ$4-1)*5+4)))^(1+INDEX($Q407:$AJ407,1,(BJ$4-1)*5+2))*(1+BJ$7)^INDEX($Q407:$AJ407,1,(BJ$4-1)*5+1)*(BJ277/BI277)^INDEX($Q407:$AJ407,1,(BJ$4-1)*5+2)*(BJ277/BI277)^(INDEX($Q407:$AJ407,1,(BJ$4-1)*5+3)*(1+INDEX($Q407:$AJ407,1,(BJ$4-1)*5+2)))</f>
        <v/>
      </c>
      <c r="BK407" s="25">
        <f>BJ407*(1/(1+INDEX($Q407:$AJ407,1,(BK$4-1)*5+4)))^(1+INDEX($Q407:$AJ407,1,(BK$4-1)*5+2))*(1+BK$7)^INDEX($Q407:$AJ407,1,(BK$4-1)*5+1)*(BK277/BJ277)^INDEX($Q407:$AJ407,1,(BK$4-1)*5+2)*(BK277/BJ277)^(INDEX($Q407:$AJ407,1,(BK$4-1)*5+3)*(1+INDEX($Q407:$AJ407,1,(BK$4-1)*5+2)))</f>
        <v/>
      </c>
      <c r="BL407" s="25">
        <f>BK407*(1/(1+INDEX($Q407:$AJ407,1,(BL$4-1)*5+4)))^(1+INDEX($Q407:$AJ407,1,(BL$4-1)*5+2))*(1+BL$7)^INDEX($Q407:$AJ407,1,(BL$4-1)*5+1)*(BL277/BK277)^INDEX($Q407:$AJ407,1,(BL$4-1)*5+2)*(BL277/BK277)^(INDEX($Q407:$AJ407,1,(BL$4-1)*5+3)*(1+INDEX($Q407:$AJ407,1,(BL$4-1)*5+2)))</f>
        <v/>
      </c>
      <c r="BM407" s="25">
        <f>BL407*(1/(1+INDEX($Q407:$AJ407,1,(BM$4-1)*5+4)))^(1+INDEX($Q407:$AJ407,1,(BM$4-1)*5+2))*(1+BM$7)^INDEX($Q407:$AJ407,1,(BM$4-1)*5+1)*(BM277/BL277)^INDEX($Q407:$AJ407,1,(BM$4-1)*5+2)*(BM277/BL277)^(INDEX($Q407:$AJ407,1,(BM$4-1)*5+3)*(1+INDEX($Q407:$AJ407,1,(BM$4-1)*5+2)))</f>
        <v/>
      </c>
      <c r="BN407" s="25">
        <f>BM407*(1/(1+INDEX($Q407:$AJ407,1,(BN$4-1)*5+4)))^(1+INDEX($Q407:$AJ407,1,(BN$4-1)*5+2))*(1+BN$7)^INDEX($Q407:$AJ407,1,(BN$4-1)*5+1)*(BN277/BM277)^INDEX($Q407:$AJ407,1,(BN$4-1)*5+2)*(BN277/BM277)^(INDEX($Q407:$AJ407,1,(BN$4-1)*5+3)*(1+INDEX($Q407:$AJ407,1,(BN$4-1)*5+2)))</f>
        <v/>
      </c>
    </row>
    <row r="408">
      <c r="B408" s="5" t="inlineStr">
        <is>
          <t>bio</t>
        </is>
      </c>
      <c r="C408" s="5" t="inlineStr">
        <is>
          <t>rod</t>
        </is>
      </c>
      <c r="D408" s="5" t="inlineStr">
        <is>
          <t>Fuel use | Road | Biomass</t>
        </is>
      </c>
      <c r="E408" s="5" t="inlineStr">
        <is>
          <t>ktoe</t>
        </is>
      </c>
      <c r="F408" s="5" t="inlineStr">
        <is>
          <t>EnergyCons (base year), Elasticities</t>
        </is>
      </c>
      <c r="G408" s="19" t="inlineStr">
        <is>
          <t>mit.enc.bio.rod</t>
        </is>
      </c>
      <c r="H408" s="19" t="inlineStr">
        <is>
          <t>mit.enc.bio.rod</t>
        </is>
      </c>
      <c r="J408" s="5">
        <f>INDEX(Mapping!$C$5:$C$20,MATCH($C408,Mapping!$A$5:$A$20,0))</f>
        <v/>
      </c>
      <c r="K408" s="5">
        <f>INDEX(Mapping!$D$5:$D$20,MATCH($C408,Mapping!$A$5:$A$20,0))</f>
        <v/>
      </c>
      <c r="L408" s="5">
        <f>INDEX(Mapping!$C$24:$C$31,MATCH($B408,Mapping!$A$24:$A$31,0))</f>
        <v/>
      </c>
      <c r="M408" s="5">
        <f>INDEX(Mapping!$D$24:$D$31,MATCH($B408,Mapping!$A$24:$A$31,0))</f>
        <v/>
      </c>
      <c r="N408" s="5">
        <f>$B408&amp;"."&amp;IF(INDEX(Mapping!$E$24:$E$31,MATCH($B408,Mapping!$A$24:$A$31,0))="sub",INDEX(Mapping!$F$5:$F$20,MATCH($C408,Mapping!$A$5:$A$20,0)),"all")</f>
        <v/>
      </c>
      <c r="O408" s="5">
        <f>INDEX(Mapping!$E$5:$E$20,MATCH($C408,Mapping!$A$5:$A$20,0))</f>
        <v/>
      </c>
      <c r="P408" s="5">
        <f>INDEX(Mapping!$G$24:$G$31,MATCH($B408,Mapping!$A$24:$A$31,0))</f>
        <v/>
      </c>
      <c r="Q408" s="22">
        <f>INDEX(Elasticities!$F$4:$I$200,MATCH("inc|"&amp;$L408&amp;"|"&amp;$K408,Elasticities!$A$4:$A$200,0),MATCH(Settings!$C$6,Elasticities!$F$3:$I$3,0))</f>
        <v/>
      </c>
      <c r="R408" s="22">
        <f>INDEX(Elasticities!$F$4:$I$200,MATCH("usg|"&amp;$L408&amp;"|"&amp;$K408,Elasticities!$A$4:$A$200,0),MATCH(Settings!$C$6,Elasticities!$F$3:$I$3,0))</f>
        <v/>
      </c>
      <c r="S408" s="22">
        <f>INDEX(Elasticities!$F$4:$I$200,MATCH("eff|"&amp;$L408&amp;"|"&amp;$K408,Elasticities!$A$4:$A$200,0),MATCH(Settings!$C$6,Elasticities!$F$3:$I$3,0))</f>
        <v/>
      </c>
      <c r="T408" s="22">
        <f>INDEX(Elasticities!$F$4:$I$200,MATCH("aei|"&amp;$M408&amp;"|"&amp;$K408,Elasticities!$A$4:$A$200,0),MATCH(Settings!$C$6,Elasticities!$F$3:$I$3,0))</f>
        <v/>
      </c>
      <c r="U408" s="21" t="n"/>
      <c r="V408" s="22">
        <f>Q408</f>
        <v/>
      </c>
      <c r="W408" s="22">
        <f>R408</f>
        <v/>
      </c>
      <c r="X408" s="22">
        <f>S408</f>
        <v/>
      </c>
      <c r="Y408" s="22">
        <f>T408</f>
        <v/>
      </c>
      <c r="Z408" s="21" t="n"/>
      <c r="AA408" s="22">
        <f>Q408</f>
        <v/>
      </c>
      <c r="AB408" s="22">
        <f>R408</f>
        <v/>
      </c>
      <c r="AC408" s="22">
        <f>S408</f>
        <v/>
      </c>
      <c r="AD408" s="22">
        <f>T408</f>
        <v/>
      </c>
      <c r="AE408" s="21" t="n"/>
      <c r="AF408" s="22">
        <f>Q408</f>
        <v/>
      </c>
      <c r="AG408" s="22">
        <f>R408</f>
        <v/>
      </c>
      <c r="AH408" s="22">
        <f>S408</f>
        <v/>
      </c>
      <c r="AI408" s="22">
        <f>T408</f>
        <v/>
      </c>
      <c r="AJ408" s="21" t="n"/>
      <c r="AL408" s="24">
        <f>INDEX(EnergyCons!$F$4:$F$5000,MATCH(Settings!$C$4&amp;"|"&amp;AL$5&amp;"|"&amp;$C408&amp;"|"&amp;$B408,EnergyCons!$A$4:$A$5000,0))</f>
        <v/>
      </c>
      <c r="AM408" s="25">
        <f>AL408*(1/(1+INDEX($Q408:$AJ408,1,(AM$4-1)*5+4)))^(1+INDEX($Q408:$AJ408,1,(AM$4-1)*5+2))*(1+AM$7)^INDEX($Q408:$AJ408,1,(AM$4-1)*5+1)*(AM278/AL278)^INDEX($Q408:$AJ408,1,(AM$4-1)*5+2)*(AM278/AL278)^(INDEX($Q408:$AJ408,1,(AM$4-1)*5+3)*(1+INDEX($Q408:$AJ408,1,(AM$4-1)*5+2)))</f>
        <v/>
      </c>
      <c r="AN408" s="25">
        <f>AM408*(1/(1+INDEX($Q408:$AJ408,1,(AN$4-1)*5+4)))^(1+INDEX($Q408:$AJ408,1,(AN$4-1)*5+2))*(1+AN$7)^INDEX($Q408:$AJ408,1,(AN$4-1)*5+1)*(AN278/AM278)^INDEX($Q408:$AJ408,1,(AN$4-1)*5+2)*(AN278/AM278)^(INDEX($Q408:$AJ408,1,(AN$4-1)*5+3)*(1+INDEX($Q408:$AJ408,1,(AN$4-1)*5+2)))</f>
        <v/>
      </c>
      <c r="AO408" s="25">
        <f>AN408*(1/(1+INDEX($Q408:$AJ408,1,(AO$4-1)*5+4)))^(1+INDEX($Q408:$AJ408,1,(AO$4-1)*5+2))*(1+AO$7)^INDEX($Q408:$AJ408,1,(AO$4-1)*5+1)*(AO278/AN278)^INDEX($Q408:$AJ408,1,(AO$4-1)*5+2)*(AO278/AN278)^(INDEX($Q408:$AJ408,1,(AO$4-1)*5+3)*(1+INDEX($Q408:$AJ408,1,(AO$4-1)*5+2)))</f>
        <v/>
      </c>
      <c r="AP408" s="25">
        <f>AO408*(1/(1+INDEX($Q408:$AJ408,1,(AP$4-1)*5+4)))^(1+INDEX($Q408:$AJ408,1,(AP$4-1)*5+2))*(1+AP$7)^INDEX($Q408:$AJ408,1,(AP$4-1)*5+1)*(AP278/AO278)^INDEX($Q408:$AJ408,1,(AP$4-1)*5+2)*(AP278/AO278)^(INDEX($Q408:$AJ408,1,(AP$4-1)*5+3)*(1+INDEX($Q408:$AJ408,1,(AP$4-1)*5+2)))</f>
        <v/>
      </c>
      <c r="AQ408" s="25">
        <f>AP408*(1/(1+INDEX($Q408:$AJ408,1,(AQ$4-1)*5+4)))^(1+INDEX($Q408:$AJ408,1,(AQ$4-1)*5+2))*(1+AQ$7)^INDEX($Q408:$AJ408,1,(AQ$4-1)*5+1)*(AQ278/AP278)^INDEX($Q408:$AJ408,1,(AQ$4-1)*5+2)*(AQ278/AP278)^(INDEX($Q408:$AJ408,1,(AQ$4-1)*5+3)*(1+INDEX($Q408:$AJ408,1,(AQ$4-1)*5+2)))</f>
        <v/>
      </c>
      <c r="AR408" s="25">
        <f>AQ408*(1/(1+INDEX($Q408:$AJ408,1,(AR$4-1)*5+4)))^(1+INDEX($Q408:$AJ408,1,(AR$4-1)*5+2))*(1+AR$7)^INDEX($Q408:$AJ408,1,(AR$4-1)*5+1)*(AR278/AQ278)^INDEX($Q408:$AJ408,1,(AR$4-1)*5+2)*(AR278/AQ278)^(INDEX($Q408:$AJ408,1,(AR$4-1)*5+3)*(1+INDEX($Q408:$AJ408,1,(AR$4-1)*5+2)))</f>
        <v/>
      </c>
      <c r="AS408" s="25">
        <f>AR408*(1/(1+INDEX($Q408:$AJ408,1,(AS$4-1)*5+4)))^(1+INDEX($Q408:$AJ408,1,(AS$4-1)*5+2))*(1+AS$7)^INDEX($Q408:$AJ408,1,(AS$4-1)*5+1)*(AS278/AR278)^INDEX($Q408:$AJ408,1,(AS$4-1)*5+2)*(AS278/AR278)^(INDEX($Q408:$AJ408,1,(AS$4-1)*5+3)*(1+INDEX($Q408:$AJ408,1,(AS$4-1)*5+2)))</f>
        <v/>
      </c>
      <c r="AT408" s="25">
        <f>AS408*(1/(1+INDEX($Q408:$AJ408,1,(AT$4-1)*5+4)))^(1+INDEX($Q408:$AJ408,1,(AT$4-1)*5+2))*(1+AT$7)^INDEX($Q408:$AJ408,1,(AT$4-1)*5+1)*(AT278/AS278)^INDEX($Q408:$AJ408,1,(AT$4-1)*5+2)*(AT278/AS278)^(INDEX($Q408:$AJ408,1,(AT$4-1)*5+3)*(1+INDEX($Q408:$AJ408,1,(AT$4-1)*5+2)))</f>
        <v/>
      </c>
      <c r="AU408" s="25">
        <f>AT408*(1/(1+INDEX($Q408:$AJ408,1,(AU$4-1)*5+4)))^(1+INDEX($Q408:$AJ408,1,(AU$4-1)*5+2))*(1+AU$7)^INDEX($Q408:$AJ408,1,(AU$4-1)*5+1)*(AU278/AT278)^INDEX($Q408:$AJ408,1,(AU$4-1)*5+2)*(AU278/AT278)^(INDEX($Q408:$AJ408,1,(AU$4-1)*5+3)*(1+INDEX($Q408:$AJ408,1,(AU$4-1)*5+2)))</f>
        <v/>
      </c>
      <c r="AV408" s="25">
        <f>AU408*(1/(1+INDEX($Q408:$AJ408,1,(AV$4-1)*5+4)))^(1+INDEX($Q408:$AJ408,1,(AV$4-1)*5+2))*(1+AV$7)^INDEX($Q408:$AJ408,1,(AV$4-1)*5+1)*(AV278/AU278)^INDEX($Q408:$AJ408,1,(AV$4-1)*5+2)*(AV278/AU278)^(INDEX($Q408:$AJ408,1,(AV$4-1)*5+3)*(1+INDEX($Q408:$AJ408,1,(AV$4-1)*5+2)))</f>
        <v/>
      </c>
      <c r="AW408" s="25">
        <f>AV408*(1/(1+INDEX($Q408:$AJ408,1,(AW$4-1)*5+4)))^(1+INDEX($Q408:$AJ408,1,(AW$4-1)*5+2))*(1+AW$7)^INDEX($Q408:$AJ408,1,(AW$4-1)*5+1)*(AW278/AV278)^INDEX($Q408:$AJ408,1,(AW$4-1)*5+2)*(AW278/AV278)^(INDEX($Q408:$AJ408,1,(AW$4-1)*5+3)*(1+INDEX($Q408:$AJ408,1,(AW$4-1)*5+2)))</f>
        <v/>
      </c>
      <c r="AX408" s="25">
        <f>AW408*(1/(1+INDEX($Q408:$AJ408,1,(AX$4-1)*5+4)))^(1+INDEX($Q408:$AJ408,1,(AX$4-1)*5+2))*(1+AX$7)^INDEX($Q408:$AJ408,1,(AX$4-1)*5+1)*(AX278/AW278)^INDEX($Q408:$AJ408,1,(AX$4-1)*5+2)*(AX278/AW278)^(INDEX($Q408:$AJ408,1,(AX$4-1)*5+3)*(1+INDEX($Q408:$AJ408,1,(AX$4-1)*5+2)))</f>
        <v/>
      </c>
      <c r="AY408" s="25">
        <f>AX408*(1/(1+INDEX($Q408:$AJ408,1,(AY$4-1)*5+4)))^(1+INDEX($Q408:$AJ408,1,(AY$4-1)*5+2))*(1+AY$7)^INDEX($Q408:$AJ408,1,(AY$4-1)*5+1)*(AY278/AX278)^INDEX($Q408:$AJ408,1,(AY$4-1)*5+2)*(AY278/AX278)^(INDEX($Q408:$AJ408,1,(AY$4-1)*5+3)*(1+INDEX($Q408:$AJ408,1,(AY$4-1)*5+2)))</f>
        <v/>
      </c>
      <c r="BA408" s="24">
        <f>INDEX(EnergyCons!$F$4:$F$5000,MATCH(Settings!$C$4&amp;"|"&amp;BA$5&amp;"|"&amp;$C408&amp;"|"&amp;$B408,EnergyCons!$A$4:$A$5000,0))</f>
        <v/>
      </c>
      <c r="BB408" s="25">
        <f>BA408*(1/(1+INDEX($Q408:$AJ408,1,(BB$4-1)*5+4)))^(1+INDEX($Q408:$AJ408,1,(BB$4-1)*5+2))*(1+BB$7)^INDEX($Q408:$AJ408,1,(BB$4-1)*5+1)*(BB278/BA278)^INDEX($Q408:$AJ408,1,(BB$4-1)*5+2)*(BB278/BA278)^(INDEX($Q408:$AJ408,1,(BB$4-1)*5+3)*(1+INDEX($Q408:$AJ408,1,(BB$4-1)*5+2)))</f>
        <v/>
      </c>
      <c r="BC408" s="25">
        <f>BB408*(1/(1+INDEX($Q408:$AJ408,1,(BC$4-1)*5+4)))^(1+INDEX($Q408:$AJ408,1,(BC$4-1)*5+2))*(1+BC$7)^INDEX($Q408:$AJ408,1,(BC$4-1)*5+1)*(BC278/BB278)^INDEX($Q408:$AJ408,1,(BC$4-1)*5+2)*(BC278/BB278)^(INDEX($Q408:$AJ408,1,(BC$4-1)*5+3)*(1+INDEX($Q408:$AJ408,1,(BC$4-1)*5+2)))</f>
        <v/>
      </c>
      <c r="BD408" s="25">
        <f>BC408*(1/(1+INDEX($Q408:$AJ408,1,(BD$4-1)*5+4)))^(1+INDEX($Q408:$AJ408,1,(BD$4-1)*5+2))*(1+BD$7)^INDEX($Q408:$AJ408,1,(BD$4-1)*5+1)*(BD278/BC278)^INDEX($Q408:$AJ408,1,(BD$4-1)*5+2)*(BD278/BC278)^(INDEX($Q408:$AJ408,1,(BD$4-1)*5+3)*(1+INDEX($Q408:$AJ408,1,(BD$4-1)*5+2)))</f>
        <v/>
      </c>
      <c r="BE408" s="25">
        <f>BD408*(1/(1+INDEX($Q408:$AJ408,1,(BE$4-1)*5+4)))^(1+INDEX($Q408:$AJ408,1,(BE$4-1)*5+2))*(1+BE$7)^INDEX($Q408:$AJ408,1,(BE$4-1)*5+1)*(BE278/BD278)^INDEX($Q408:$AJ408,1,(BE$4-1)*5+2)*(BE278/BD278)^(INDEX($Q408:$AJ408,1,(BE$4-1)*5+3)*(1+INDEX($Q408:$AJ408,1,(BE$4-1)*5+2)))</f>
        <v/>
      </c>
      <c r="BF408" s="25">
        <f>BE408*(1/(1+INDEX($Q408:$AJ408,1,(BF$4-1)*5+4)))^(1+INDEX($Q408:$AJ408,1,(BF$4-1)*5+2))*(1+BF$7)^INDEX($Q408:$AJ408,1,(BF$4-1)*5+1)*(BF278/BE278)^INDEX($Q408:$AJ408,1,(BF$4-1)*5+2)*(BF278/BE278)^(INDEX($Q408:$AJ408,1,(BF$4-1)*5+3)*(1+INDEX($Q408:$AJ408,1,(BF$4-1)*5+2)))</f>
        <v/>
      </c>
      <c r="BG408" s="25">
        <f>BF408*(1/(1+INDEX($Q408:$AJ408,1,(BG$4-1)*5+4)))^(1+INDEX($Q408:$AJ408,1,(BG$4-1)*5+2))*(1+BG$7)^INDEX($Q408:$AJ408,1,(BG$4-1)*5+1)*(BG278/BF278)^INDEX($Q408:$AJ408,1,(BG$4-1)*5+2)*(BG278/BF278)^(INDEX($Q408:$AJ408,1,(BG$4-1)*5+3)*(1+INDEX($Q408:$AJ408,1,(BG$4-1)*5+2)))</f>
        <v/>
      </c>
      <c r="BH408" s="25">
        <f>BG408*(1/(1+INDEX($Q408:$AJ408,1,(BH$4-1)*5+4)))^(1+INDEX($Q408:$AJ408,1,(BH$4-1)*5+2))*(1+BH$7)^INDEX($Q408:$AJ408,1,(BH$4-1)*5+1)*(BH278/BG278)^INDEX($Q408:$AJ408,1,(BH$4-1)*5+2)*(BH278/BG278)^(INDEX($Q408:$AJ408,1,(BH$4-1)*5+3)*(1+INDEX($Q408:$AJ408,1,(BH$4-1)*5+2)))</f>
        <v/>
      </c>
      <c r="BI408" s="25">
        <f>BH408*(1/(1+INDEX($Q408:$AJ408,1,(BI$4-1)*5+4)))^(1+INDEX($Q408:$AJ408,1,(BI$4-1)*5+2))*(1+BI$7)^INDEX($Q408:$AJ408,1,(BI$4-1)*5+1)*(BI278/BH278)^INDEX($Q408:$AJ408,1,(BI$4-1)*5+2)*(BI278/BH278)^(INDEX($Q408:$AJ408,1,(BI$4-1)*5+3)*(1+INDEX($Q408:$AJ408,1,(BI$4-1)*5+2)))</f>
        <v/>
      </c>
      <c r="BJ408" s="25">
        <f>BI408*(1/(1+INDEX($Q408:$AJ408,1,(BJ$4-1)*5+4)))^(1+INDEX($Q408:$AJ408,1,(BJ$4-1)*5+2))*(1+BJ$7)^INDEX($Q408:$AJ408,1,(BJ$4-1)*5+1)*(BJ278/BI278)^INDEX($Q408:$AJ408,1,(BJ$4-1)*5+2)*(BJ278/BI278)^(INDEX($Q408:$AJ408,1,(BJ$4-1)*5+3)*(1+INDEX($Q408:$AJ408,1,(BJ$4-1)*5+2)))</f>
        <v/>
      </c>
      <c r="BK408" s="25">
        <f>BJ408*(1/(1+INDEX($Q408:$AJ408,1,(BK$4-1)*5+4)))^(1+INDEX($Q408:$AJ408,1,(BK$4-1)*5+2))*(1+BK$7)^INDEX($Q408:$AJ408,1,(BK$4-1)*5+1)*(BK278/BJ278)^INDEX($Q408:$AJ408,1,(BK$4-1)*5+2)*(BK278/BJ278)^(INDEX($Q408:$AJ408,1,(BK$4-1)*5+3)*(1+INDEX($Q408:$AJ408,1,(BK$4-1)*5+2)))</f>
        <v/>
      </c>
      <c r="BL408" s="25">
        <f>BK408*(1/(1+INDEX($Q408:$AJ408,1,(BL$4-1)*5+4)))^(1+INDEX($Q408:$AJ408,1,(BL$4-1)*5+2))*(1+BL$7)^INDEX($Q408:$AJ408,1,(BL$4-1)*5+1)*(BL278/BK278)^INDEX($Q408:$AJ408,1,(BL$4-1)*5+2)*(BL278/BK278)^(INDEX($Q408:$AJ408,1,(BL$4-1)*5+3)*(1+INDEX($Q408:$AJ408,1,(BL$4-1)*5+2)))</f>
        <v/>
      </c>
      <c r="BM408" s="25">
        <f>BL408*(1/(1+INDEX($Q408:$AJ408,1,(BM$4-1)*5+4)))^(1+INDEX($Q408:$AJ408,1,(BM$4-1)*5+2))*(1+BM$7)^INDEX($Q408:$AJ408,1,(BM$4-1)*5+1)*(BM278/BL278)^INDEX($Q408:$AJ408,1,(BM$4-1)*5+2)*(BM278/BL278)^(INDEX($Q408:$AJ408,1,(BM$4-1)*5+3)*(1+INDEX($Q408:$AJ408,1,(BM$4-1)*5+2)))</f>
        <v/>
      </c>
      <c r="BN408" s="25">
        <f>BM408*(1/(1+INDEX($Q408:$AJ408,1,(BN$4-1)*5+4)))^(1+INDEX($Q408:$AJ408,1,(BN$4-1)*5+2))*(1+BN$7)^INDEX($Q408:$AJ408,1,(BN$4-1)*5+1)*(BN278/BM278)^INDEX($Q408:$AJ408,1,(BN$4-1)*5+2)*(BN278/BM278)^(INDEX($Q408:$AJ408,1,(BN$4-1)*5+3)*(1+INDEX($Q408:$AJ408,1,(BN$4-1)*5+2)))</f>
        <v/>
      </c>
    </row>
    <row r="409">
      <c r="B409" s="5" t="inlineStr">
        <is>
          <t>coa</t>
        </is>
      </c>
      <c r="C409" s="5" t="inlineStr">
        <is>
          <t>ral</t>
        </is>
      </c>
      <c r="D409" s="5" t="inlineStr">
        <is>
          <t>Fuel use | Rail | Coal</t>
        </is>
      </c>
      <c r="E409" s="5" t="inlineStr">
        <is>
          <t>ktoe</t>
        </is>
      </c>
      <c r="F409" s="5" t="inlineStr">
        <is>
          <t>EnergyCons (base year), Elasticities</t>
        </is>
      </c>
      <c r="G409" s="19" t="inlineStr">
        <is>
          <t>mit.enc.coa.ral</t>
        </is>
      </c>
      <c r="H409" s="19" t="inlineStr">
        <is>
          <t>mit.enc.coa.ral</t>
        </is>
      </c>
      <c r="J409" s="5">
        <f>INDEX(Mapping!$C$5:$C$20,MATCH($C409,Mapping!$A$5:$A$20,0))</f>
        <v/>
      </c>
      <c r="K409" s="5">
        <f>INDEX(Mapping!$D$5:$D$20,MATCH($C409,Mapping!$A$5:$A$20,0))</f>
        <v/>
      </c>
      <c r="L409" s="5">
        <f>INDEX(Mapping!$C$24:$C$31,MATCH($B409,Mapping!$A$24:$A$31,0))</f>
        <v/>
      </c>
      <c r="M409" s="5">
        <f>INDEX(Mapping!$D$24:$D$31,MATCH($B409,Mapping!$A$24:$A$31,0))</f>
        <v/>
      </c>
      <c r="N409" s="5">
        <f>$B409&amp;"."&amp;IF(INDEX(Mapping!$E$24:$E$31,MATCH($B409,Mapping!$A$24:$A$31,0))="sub",INDEX(Mapping!$F$5:$F$20,MATCH($C409,Mapping!$A$5:$A$20,0)),"all")</f>
        <v/>
      </c>
      <c r="O409" s="5">
        <f>INDEX(Mapping!$E$5:$E$20,MATCH($C409,Mapping!$A$5:$A$20,0))</f>
        <v/>
      </c>
      <c r="P409" s="5">
        <f>INDEX(Mapping!$G$24:$G$31,MATCH($B409,Mapping!$A$24:$A$31,0))</f>
        <v/>
      </c>
      <c r="Q409" s="22">
        <f>INDEX(Elasticities!$F$4:$I$200,MATCH("inc|"&amp;$L409&amp;"|"&amp;$K409,Elasticities!$A$4:$A$200,0),MATCH(Settings!$C$6,Elasticities!$F$3:$I$3,0))</f>
        <v/>
      </c>
      <c r="R409" s="22">
        <f>INDEX(Elasticities!$F$4:$I$200,MATCH("usg|"&amp;$L409&amp;"|"&amp;$K409,Elasticities!$A$4:$A$200,0),MATCH(Settings!$C$6,Elasticities!$F$3:$I$3,0))</f>
        <v/>
      </c>
      <c r="S409" s="22">
        <f>INDEX(Elasticities!$F$4:$I$200,MATCH("eff|"&amp;$L409&amp;"|"&amp;$K409,Elasticities!$A$4:$A$200,0),MATCH(Settings!$C$6,Elasticities!$F$3:$I$3,0))</f>
        <v/>
      </c>
      <c r="T409" s="22">
        <f>INDEX(Elasticities!$F$4:$I$200,MATCH("aei|"&amp;$M409&amp;"|"&amp;$K409,Elasticities!$A$4:$A$200,0),MATCH(Settings!$C$6,Elasticities!$F$3:$I$3,0))</f>
        <v/>
      </c>
      <c r="U409" s="21" t="n"/>
      <c r="V409" s="22">
        <f>Q409</f>
        <v/>
      </c>
      <c r="W409" s="22">
        <f>R409</f>
        <v/>
      </c>
      <c r="X409" s="22">
        <f>S409</f>
        <v/>
      </c>
      <c r="Y409" s="22">
        <f>T409</f>
        <v/>
      </c>
      <c r="Z409" s="21" t="n"/>
      <c r="AA409" s="22">
        <f>Q409</f>
        <v/>
      </c>
      <c r="AB409" s="22">
        <f>R409</f>
        <v/>
      </c>
      <c r="AC409" s="22">
        <f>S409</f>
        <v/>
      </c>
      <c r="AD409" s="22">
        <f>T409</f>
        <v/>
      </c>
      <c r="AE409" s="21" t="n"/>
      <c r="AF409" s="22">
        <f>Q409</f>
        <v/>
      </c>
      <c r="AG409" s="22">
        <f>R409</f>
        <v/>
      </c>
      <c r="AH409" s="22">
        <f>S409</f>
        <v/>
      </c>
      <c r="AI409" s="22">
        <f>T409</f>
        <v/>
      </c>
      <c r="AJ409" s="21" t="n"/>
      <c r="AL409" s="24">
        <f>INDEX(EnergyCons!$F$4:$F$5000,MATCH(Settings!$C$4&amp;"|"&amp;AL$5&amp;"|"&amp;$C409&amp;"|"&amp;$B409,EnergyCons!$A$4:$A$5000,0))</f>
        <v/>
      </c>
      <c r="AM409" s="25">
        <f>AL409*(1/(1+INDEX($Q409:$AJ409,1,(AM$4-1)*5+4)))^(1+INDEX($Q409:$AJ409,1,(AM$4-1)*5+2))*(1+AM$7)^INDEX($Q409:$AJ409,1,(AM$4-1)*5+1)*(AM279/AL279)^INDEX($Q409:$AJ409,1,(AM$4-1)*5+2)*(AM279/AL279)^(INDEX($Q409:$AJ409,1,(AM$4-1)*5+3)*(1+INDEX($Q409:$AJ409,1,(AM$4-1)*5+2)))</f>
        <v/>
      </c>
      <c r="AN409" s="25">
        <f>AM409*(1/(1+INDEX($Q409:$AJ409,1,(AN$4-1)*5+4)))^(1+INDEX($Q409:$AJ409,1,(AN$4-1)*5+2))*(1+AN$7)^INDEX($Q409:$AJ409,1,(AN$4-1)*5+1)*(AN279/AM279)^INDEX($Q409:$AJ409,1,(AN$4-1)*5+2)*(AN279/AM279)^(INDEX($Q409:$AJ409,1,(AN$4-1)*5+3)*(1+INDEX($Q409:$AJ409,1,(AN$4-1)*5+2)))</f>
        <v/>
      </c>
      <c r="AO409" s="25">
        <f>AN409*(1/(1+INDEX($Q409:$AJ409,1,(AO$4-1)*5+4)))^(1+INDEX($Q409:$AJ409,1,(AO$4-1)*5+2))*(1+AO$7)^INDEX($Q409:$AJ409,1,(AO$4-1)*5+1)*(AO279/AN279)^INDEX($Q409:$AJ409,1,(AO$4-1)*5+2)*(AO279/AN279)^(INDEX($Q409:$AJ409,1,(AO$4-1)*5+3)*(1+INDEX($Q409:$AJ409,1,(AO$4-1)*5+2)))</f>
        <v/>
      </c>
      <c r="AP409" s="25">
        <f>AO409*(1/(1+INDEX($Q409:$AJ409,1,(AP$4-1)*5+4)))^(1+INDEX($Q409:$AJ409,1,(AP$4-1)*5+2))*(1+AP$7)^INDEX($Q409:$AJ409,1,(AP$4-1)*5+1)*(AP279/AO279)^INDEX($Q409:$AJ409,1,(AP$4-1)*5+2)*(AP279/AO279)^(INDEX($Q409:$AJ409,1,(AP$4-1)*5+3)*(1+INDEX($Q409:$AJ409,1,(AP$4-1)*5+2)))</f>
        <v/>
      </c>
      <c r="AQ409" s="25">
        <f>AP409*(1/(1+INDEX($Q409:$AJ409,1,(AQ$4-1)*5+4)))^(1+INDEX($Q409:$AJ409,1,(AQ$4-1)*5+2))*(1+AQ$7)^INDEX($Q409:$AJ409,1,(AQ$4-1)*5+1)*(AQ279/AP279)^INDEX($Q409:$AJ409,1,(AQ$4-1)*5+2)*(AQ279/AP279)^(INDEX($Q409:$AJ409,1,(AQ$4-1)*5+3)*(1+INDEX($Q409:$AJ409,1,(AQ$4-1)*5+2)))</f>
        <v/>
      </c>
      <c r="AR409" s="25">
        <f>AQ409*(1/(1+INDEX($Q409:$AJ409,1,(AR$4-1)*5+4)))^(1+INDEX($Q409:$AJ409,1,(AR$4-1)*5+2))*(1+AR$7)^INDEX($Q409:$AJ409,1,(AR$4-1)*5+1)*(AR279/AQ279)^INDEX($Q409:$AJ409,1,(AR$4-1)*5+2)*(AR279/AQ279)^(INDEX($Q409:$AJ409,1,(AR$4-1)*5+3)*(1+INDEX($Q409:$AJ409,1,(AR$4-1)*5+2)))</f>
        <v/>
      </c>
      <c r="AS409" s="25">
        <f>AR409*(1/(1+INDEX($Q409:$AJ409,1,(AS$4-1)*5+4)))^(1+INDEX($Q409:$AJ409,1,(AS$4-1)*5+2))*(1+AS$7)^INDEX($Q409:$AJ409,1,(AS$4-1)*5+1)*(AS279/AR279)^INDEX($Q409:$AJ409,1,(AS$4-1)*5+2)*(AS279/AR279)^(INDEX($Q409:$AJ409,1,(AS$4-1)*5+3)*(1+INDEX($Q409:$AJ409,1,(AS$4-1)*5+2)))</f>
        <v/>
      </c>
      <c r="AT409" s="25">
        <f>AS409*(1/(1+INDEX($Q409:$AJ409,1,(AT$4-1)*5+4)))^(1+INDEX($Q409:$AJ409,1,(AT$4-1)*5+2))*(1+AT$7)^INDEX($Q409:$AJ409,1,(AT$4-1)*5+1)*(AT279/AS279)^INDEX($Q409:$AJ409,1,(AT$4-1)*5+2)*(AT279/AS279)^(INDEX($Q409:$AJ409,1,(AT$4-1)*5+3)*(1+INDEX($Q409:$AJ409,1,(AT$4-1)*5+2)))</f>
        <v/>
      </c>
      <c r="AU409" s="25">
        <f>AT409*(1/(1+INDEX($Q409:$AJ409,1,(AU$4-1)*5+4)))^(1+INDEX($Q409:$AJ409,1,(AU$4-1)*5+2))*(1+AU$7)^INDEX($Q409:$AJ409,1,(AU$4-1)*5+1)*(AU279/AT279)^INDEX($Q409:$AJ409,1,(AU$4-1)*5+2)*(AU279/AT279)^(INDEX($Q409:$AJ409,1,(AU$4-1)*5+3)*(1+INDEX($Q409:$AJ409,1,(AU$4-1)*5+2)))</f>
        <v/>
      </c>
      <c r="AV409" s="25">
        <f>AU409*(1/(1+INDEX($Q409:$AJ409,1,(AV$4-1)*5+4)))^(1+INDEX($Q409:$AJ409,1,(AV$4-1)*5+2))*(1+AV$7)^INDEX($Q409:$AJ409,1,(AV$4-1)*5+1)*(AV279/AU279)^INDEX($Q409:$AJ409,1,(AV$4-1)*5+2)*(AV279/AU279)^(INDEX($Q409:$AJ409,1,(AV$4-1)*5+3)*(1+INDEX($Q409:$AJ409,1,(AV$4-1)*5+2)))</f>
        <v/>
      </c>
      <c r="AW409" s="25">
        <f>AV409*(1/(1+INDEX($Q409:$AJ409,1,(AW$4-1)*5+4)))^(1+INDEX($Q409:$AJ409,1,(AW$4-1)*5+2))*(1+AW$7)^INDEX($Q409:$AJ409,1,(AW$4-1)*5+1)*(AW279/AV279)^INDEX($Q409:$AJ409,1,(AW$4-1)*5+2)*(AW279/AV279)^(INDEX($Q409:$AJ409,1,(AW$4-1)*5+3)*(1+INDEX($Q409:$AJ409,1,(AW$4-1)*5+2)))</f>
        <v/>
      </c>
      <c r="AX409" s="25">
        <f>AW409*(1/(1+INDEX($Q409:$AJ409,1,(AX$4-1)*5+4)))^(1+INDEX($Q409:$AJ409,1,(AX$4-1)*5+2))*(1+AX$7)^INDEX($Q409:$AJ409,1,(AX$4-1)*5+1)*(AX279/AW279)^INDEX($Q409:$AJ409,1,(AX$4-1)*5+2)*(AX279/AW279)^(INDEX($Q409:$AJ409,1,(AX$4-1)*5+3)*(1+INDEX($Q409:$AJ409,1,(AX$4-1)*5+2)))</f>
        <v/>
      </c>
      <c r="AY409" s="25">
        <f>AX409*(1/(1+INDEX($Q409:$AJ409,1,(AY$4-1)*5+4)))^(1+INDEX($Q409:$AJ409,1,(AY$4-1)*5+2))*(1+AY$7)^INDEX($Q409:$AJ409,1,(AY$4-1)*5+1)*(AY279/AX279)^INDEX($Q409:$AJ409,1,(AY$4-1)*5+2)*(AY279/AX279)^(INDEX($Q409:$AJ409,1,(AY$4-1)*5+3)*(1+INDEX($Q409:$AJ409,1,(AY$4-1)*5+2)))</f>
        <v/>
      </c>
      <c r="BA409" s="24">
        <f>INDEX(EnergyCons!$F$4:$F$5000,MATCH(Settings!$C$4&amp;"|"&amp;BA$5&amp;"|"&amp;$C409&amp;"|"&amp;$B409,EnergyCons!$A$4:$A$5000,0))</f>
        <v/>
      </c>
      <c r="BB409" s="25">
        <f>BA409*(1/(1+INDEX($Q409:$AJ409,1,(BB$4-1)*5+4)))^(1+INDEX($Q409:$AJ409,1,(BB$4-1)*5+2))*(1+BB$7)^INDEX($Q409:$AJ409,1,(BB$4-1)*5+1)*(BB279/BA279)^INDEX($Q409:$AJ409,1,(BB$4-1)*5+2)*(BB279/BA279)^(INDEX($Q409:$AJ409,1,(BB$4-1)*5+3)*(1+INDEX($Q409:$AJ409,1,(BB$4-1)*5+2)))</f>
        <v/>
      </c>
      <c r="BC409" s="25">
        <f>BB409*(1/(1+INDEX($Q409:$AJ409,1,(BC$4-1)*5+4)))^(1+INDEX($Q409:$AJ409,1,(BC$4-1)*5+2))*(1+BC$7)^INDEX($Q409:$AJ409,1,(BC$4-1)*5+1)*(BC279/BB279)^INDEX($Q409:$AJ409,1,(BC$4-1)*5+2)*(BC279/BB279)^(INDEX($Q409:$AJ409,1,(BC$4-1)*5+3)*(1+INDEX($Q409:$AJ409,1,(BC$4-1)*5+2)))</f>
        <v/>
      </c>
      <c r="BD409" s="25">
        <f>BC409*(1/(1+INDEX($Q409:$AJ409,1,(BD$4-1)*5+4)))^(1+INDEX($Q409:$AJ409,1,(BD$4-1)*5+2))*(1+BD$7)^INDEX($Q409:$AJ409,1,(BD$4-1)*5+1)*(BD279/BC279)^INDEX($Q409:$AJ409,1,(BD$4-1)*5+2)*(BD279/BC279)^(INDEX($Q409:$AJ409,1,(BD$4-1)*5+3)*(1+INDEX($Q409:$AJ409,1,(BD$4-1)*5+2)))</f>
        <v/>
      </c>
      <c r="BE409" s="25">
        <f>BD409*(1/(1+INDEX($Q409:$AJ409,1,(BE$4-1)*5+4)))^(1+INDEX($Q409:$AJ409,1,(BE$4-1)*5+2))*(1+BE$7)^INDEX($Q409:$AJ409,1,(BE$4-1)*5+1)*(BE279/BD279)^INDEX($Q409:$AJ409,1,(BE$4-1)*5+2)*(BE279/BD279)^(INDEX($Q409:$AJ409,1,(BE$4-1)*5+3)*(1+INDEX($Q409:$AJ409,1,(BE$4-1)*5+2)))</f>
        <v/>
      </c>
      <c r="BF409" s="25">
        <f>BE409*(1/(1+INDEX($Q409:$AJ409,1,(BF$4-1)*5+4)))^(1+INDEX($Q409:$AJ409,1,(BF$4-1)*5+2))*(1+BF$7)^INDEX($Q409:$AJ409,1,(BF$4-1)*5+1)*(BF279/BE279)^INDEX($Q409:$AJ409,1,(BF$4-1)*5+2)*(BF279/BE279)^(INDEX($Q409:$AJ409,1,(BF$4-1)*5+3)*(1+INDEX($Q409:$AJ409,1,(BF$4-1)*5+2)))</f>
        <v/>
      </c>
      <c r="BG409" s="25">
        <f>BF409*(1/(1+INDEX($Q409:$AJ409,1,(BG$4-1)*5+4)))^(1+INDEX($Q409:$AJ409,1,(BG$4-1)*5+2))*(1+BG$7)^INDEX($Q409:$AJ409,1,(BG$4-1)*5+1)*(BG279/BF279)^INDEX($Q409:$AJ409,1,(BG$4-1)*5+2)*(BG279/BF279)^(INDEX($Q409:$AJ409,1,(BG$4-1)*5+3)*(1+INDEX($Q409:$AJ409,1,(BG$4-1)*5+2)))</f>
        <v/>
      </c>
      <c r="BH409" s="25">
        <f>BG409*(1/(1+INDEX($Q409:$AJ409,1,(BH$4-1)*5+4)))^(1+INDEX($Q409:$AJ409,1,(BH$4-1)*5+2))*(1+BH$7)^INDEX($Q409:$AJ409,1,(BH$4-1)*5+1)*(BH279/BG279)^INDEX($Q409:$AJ409,1,(BH$4-1)*5+2)*(BH279/BG279)^(INDEX($Q409:$AJ409,1,(BH$4-1)*5+3)*(1+INDEX($Q409:$AJ409,1,(BH$4-1)*5+2)))</f>
        <v/>
      </c>
      <c r="BI409" s="25">
        <f>BH409*(1/(1+INDEX($Q409:$AJ409,1,(BI$4-1)*5+4)))^(1+INDEX($Q409:$AJ409,1,(BI$4-1)*5+2))*(1+BI$7)^INDEX($Q409:$AJ409,1,(BI$4-1)*5+1)*(BI279/BH279)^INDEX($Q409:$AJ409,1,(BI$4-1)*5+2)*(BI279/BH279)^(INDEX($Q409:$AJ409,1,(BI$4-1)*5+3)*(1+INDEX($Q409:$AJ409,1,(BI$4-1)*5+2)))</f>
        <v/>
      </c>
      <c r="BJ409" s="25">
        <f>BI409*(1/(1+INDEX($Q409:$AJ409,1,(BJ$4-1)*5+4)))^(1+INDEX($Q409:$AJ409,1,(BJ$4-1)*5+2))*(1+BJ$7)^INDEX($Q409:$AJ409,1,(BJ$4-1)*5+1)*(BJ279/BI279)^INDEX($Q409:$AJ409,1,(BJ$4-1)*5+2)*(BJ279/BI279)^(INDEX($Q409:$AJ409,1,(BJ$4-1)*5+3)*(1+INDEX($Q409:$AJ409,1,(BJ$4-1)*5+2)))</f>
        <v/>
      </c>
      <c r="BK409" s="25">
        <f>BJ409*(1/(1+INDEX($Q409:$AJ409,1,(BK$4-1)*5+4)))^(1+INDEX($Q409:$AJ409,1,(BK$4-1)*5+2))*(1+BK$7)^INDEX($Q409:$AJ409,1,(BK$4-1)*5+1)*(BK279/BJ279)^INDEX($Q409:$AJ409,1,(BK$4-1)*5+2)*(BK279/BJ279)^(INDEX($Q409:$AJ409,1,(BK$4-1)*5+3)*(1+INDEX($Q409:$AJ409,1,(BK$4-1)*5+2)))</f>
        <v/>
      </c>
      <c r="BL409" s="25">
        <f>BK409*(1/(1+INDEX($Q409:$AJ409,1,(BL$4-1)*5+4)))^(1+INDEX($Q409:$AJ409,1,(BL$4-1)*5+2))*(1+BL$7)^INDEX($Q409:$AJ409,1,(BL$4-1)*5+1)*(BL279/BK279)^INDEX($Q409:$AJ409,1,(BL$4-1)*5+2)*(BL279/BK279)^(INDEX($Q409:$AJ409,1,(BL$4-1)*5+3)*(1+INDEX($Q409:$AJ409,1,(BL$4-1)*5+2)))</f>
        <v/>
      </c>
      <c r="BM409" s="25">
        <f>BL409*(1/(1+INDEX($Q409:$AJ409,1,(BM$4-1)*5+4)))^(1+INDEX($Q409:$AJ409,1,(BM$4-1)*5+2))*(1+BM$7)^INDEX($Q409:$AJ409,1,(BM$4-1)*5+1)*(BM279/BL279)^INDEX($Q409:$AJ409,1,(BM$4-1)*5+2)*(BM279/BL279)^(INDEX($Q409:$AJ409,1,(BM$4-1)*5+3)*(1+INDEX($Q409:$AJ409,1,(BM$4-1)*5+2)))</f>
        <v/>
      </c>
      <c r="BN409" s="25">
        <f>BM409*(1/(1+INDEX($Q409:$AJ409,1,(BN$4-1)*5+4)))^(1+INDEX($Q409:$AJ409,1,(BN$4-1)*5+2))*(1+BN$7)^INDEX($Q409:$AJ409,1,(BN$4-1)*5+1)*(BN279/BM279)^INDEX($Q409:$AJ409,1,(BN$4-1)*5+2)*(BN279/BM279)^(INDEX($Q409:$AJ409,1,(BN$4-1)*5+3)*(1+INDEX($Q409:$AJ409,1,(BN$4-1)*5+2)))</f>
        <v/>
      </c>
    </row>
    <row r="410">
      <c r="B410" s="5" t="inlineStr">
        <is>
          <t>nga</t>
        </is>
      </c>
      <c r="C410" s="5" t="inlineStr">
        <is>
          <t>ral</t>
        </is>
      </c>
      <c r="D410" s="5" t="inlineStr">
        <is>
          <t>Fuel use | Rail | Natural gas</t>
        </is>
      </c>
      <c r="E410" s="5" t="inlineStr">
        <is>
          <t>ktoe</t>
        </is>
      </c>
      <c r="F410" s="5" t="inlineStr">
        <is>
          <t>EnergyCons (base year), Elasticities</t>
        </is>
      </c>
      <c r="G410" s="19" t="inlineStr">
        <is>
          <t>mit.enc.nga.ral</t>
        </is>
      </c>
      <c r="H410" s="19" t="inlineStr">
        <is>
          <t>mit.enc.nga.ral</t>
        </is>
      </c>
      <c r="J410" s="5">
        <f>INDEX(Mapping!$C$5:$C$20,MATCH($C410,Mapping!$A$5:$A$20,0))</f>
        <v/>
      </c>
      <c r="K410" s="5">
        <f>INDEX(Mapping!$D$5:$D$20,MATCH($C410,Mapping!$A$5:$A$20,0))</f>
        <v/>
      </c>
      <c r="L410" s="5">
        <f>INDEX(Mapping!$C$24:$C$31,MATCH($B410,Mapping!$A$24:$A$31,0))</f>
        <v/>
      </c>
      <c r="M410" s="5">
        <f>INDEX(Mapping!$D$24:$D$31,MATCH($B410,Mapping!$A$24:$A$31,0))</f>
        <v/>
      </c>
      <c r="N410" s="5">
        <f>$B410&amp;"."&amp;IF(INDEX(Mapping!$E$24:$E$31,MATCH($B410,Mapping!$A$24:$A$31,0))="sub",INDEX(Mapping!$F$5:$F$20,MATCH($C410,Mapping!$A$5:$A$20,0)),"all")</f>
        <v/>
      </c>
      <c r="O410" s="5">
        <f>INDEX(Mapping!$E$5:$E$20,MATCH($C410,Mapping!$A$5:$A$20,0))</f>
        <v/>
      </c>
      <c r="P410" s="5">
        <f>INDEX(Mapping!$G$24:$G$31,MATCH($B410,Mapping!$A$24:$A$31,0))</f>
        <v/>
      </c>
      <c r="Q410" s="22">
        <f>INDEX(Elasticities!$F$4:$I$200,MATCH("inc|"&amp;$L410&amp;"|"&amp;$K410,Elasticities!$A$4:$A$200,0),MATCH(Settings!$C$6,Elasticities!$F$3:$I$3,0))</f>
        <v/>
      </c>
      <c r="R410" s="22">
        <f>INDEX(Elasticities!$F$4:$I$200,MATCH("usg|"&amp;$L410&amp;"|"&amp;$K410,Elasticities!$A$4:$A$200,0),MATCH(Settings!$C$6,Elasticities!$F$3:$I$3,0))</f>
        <v/>
      </c>
      <c r="S410" s="22">
        <f>INDEX(Elasticities!$F$4:$I$200,MATCH("eff|"&amp;$L410&amp;"|"&amp;$K410,Elasticities!$A$4:$A$200,0),MATCH(Settings!$C$6,Elasticities!$F$3:$I$3,0))</f>
        <v/>
      </c>
      <c r="T410" s="22">
        <f>INDEX(Elasticities!$F$4:$I$200,MATCH("aei|"&amp;$M410&amp;"|"&amp;$K410,Elasticities!$A$4:$A$200,0),MATCH(Settings!$C$6,Elasticities!$F$3:$I$3,0))</f>
        <v/>
      </c>
      <c r="U410" s="21" t="n"/>
      <c r="V410" s="22">
        <f>Q410</f>
        <v/>
      </c>
      <c r="W410" s="22">
        <f>R410</f>
        <v/>
      </c>
      <c r="X410" s="22">
        <f>S410</f>
        <v/>
      </c>
      <c r="Y410" s="22">
        <f>T410</f>
        <v/>
      </c>
      <c r="Z410" s="21" t="n"/>
      <c r="AA410" s="22">
        <f>Q410</f>
        <v/>
      </c>
      <c r="AB410" s="22">
        <f>R410</f>
        <v/>
      </c>
      <c r="AC410" s="22">
        <f>S410</f>
        <v/>
      </c>
      <c r="AD410" s="22">
        <f>T410</f>
        <v/>
      </c>
      <c r="AE410" s="21" t="n"/>
      <c r="AF410" s="22">
        <f>Q410</f>
        <v/>
      </c>
      <c r="AG410" s="22">
        <f>R410</f>
        <v/>
      </c>
      <c r="AH410" s="22">
        <f>S410</f>
        <v/>
      </c>
      <c r="AI410" s="22">
        <f>T410</f>
        <v/>
      </c>
      <c r="AJ410" s="21" t="n"/>
      <c r="AL410" s="24">
        <f>INDEX(EnergyCons!$F$4:$F$5000,MATCH(Settings!$C$4&amp;"|"&amp;AL$5&amp;"|"&amp;$C410&amp;"|"&amp;$B410,EnergyCons!$A$4:$A$5000,0))</f>
        <v/>
      </c>
      <c r="AM410" s="25">
        <f>AL410*(1/(1+INDEX($Q410:$AJ410,1,(AM$4-1)*5+4)))^(1+INDEX($Q410:$AJ410,1,(AM$4-1)*5+2))*(1+AM$7)^INDEX($Q410:$AJ410,1,(AM$4-1)*5+1)*(AM280/AL280)^INDEX($Q410:$AJ410,1,(AM$4-1)*5+2)*(AM280/AL280)^(INDEX($Q410:$AJ410,1,(AM$4-1)*5+3)*(1+INDEX($Q410:$AJ410,1,(AM$4-1)*5+2)))</f>
        <v/>
      </c>
      <c r="AN410" s="25">
        <f>AM410*(1/(1+INDEX($Q410:$AJ410,1,(AN$4-1)*5+4)))^(1+INDEX($Q410:$AJ410,1,(AN$4-1)*5+2))*(1+AN$7)^INDEX($Q410:$AJ410,1,(AN$4-1)*5+1)*(AN280/AM280)^INDEX($Q410:$AJ410,1,(AN$4-1)*5+2)*(AN280/AM280)^(INDEX($Q410:$AJ410,1,(AN$4-1)*5+3)*(1+INDEX($Q410:$AJ410,1,(AN$4-1)*5+2)))</f>
        <v/>
      </c>
      <c r="AO410" s="25">
        <f>AN410*(1/(1+INDEX($Q410:$AJ410,1,(AO$4-1)*5+4)))^(1+INDEX($Q410:$AJ410,1,(AO$4-1)*5+2))*(1+AO$7)^INDEX($Q410:$AJ410,1,(AO$4-1)*5+1)*(AO280/AN280)^INDEX($Q410:$AJ410,1,(AO$4-1)*5+2)*(AO280/AN280)^(INDEX($Q410:$AJ410,1,(AO$4-1)*5+3)*(1+INDEX($Q410:$AJ410,1,(AO$4-1)*5+2)))</f>
        <v/>
      </c>
      <c r="AP410" s="25">
        <f>AO410*(1/(1+INDEX($Q410:$AJ410,1,(AP$4-1)*5+4)))^(1+INDEX($Q410:$AJ410,1,(AP$4-1)*5+2))*(1+AP$7)^INDEX($Q410:$AJ410,1,(AP$4-1)*5+1)*(AP280/AO280)^INDEX($Q410:$AJ410,1,(AP$4-1)*5+2)*(AP280/AO280)^(INDEX($Q410:$AJ410,1,(AP$4-1)*5+3)*(1+INDEX($Q410:$AJ410,1,(AP$4-1)*5+2)))</f>
        <v/>
      </c>
      <c r="AQ410" s="25">
        <f>AP410*(1/(1+INDEX($Q410:$AJ410,1,(AQ$4-1)*5+4)))^(1+INDEX($Q410:$AJ410,1,(AQ$4-1)*5+2))*(1+AQ$7)^INDEX($Q410:$AJ410,1,(AQ$4-1)*5+1)*(AQ280/AP280)^INDEX($Q410:$AJ410,1,(AQ$4-1)*5+2)*(AQ280/AP280)^(INDEX($Q410:$AJ410,1,(AQ$4-1)*5+3)*(1+INDEX($Q410:$AJ410,1,(AQ$4-1)*5+2)))</f>
        <v/>
      </c>
      <c r="AR410" s="25">
        <f>AQ410*(1/(1+INDEX($Q410:$AJ410,1,(AR$4-1)*5+4)))^(1+INDEX($Q410:$AJ410,1,(AR$4-1)*5+2))*(1+AR$7)^INDEX($Q410:$AJ410,1,(AR$4-1)*5+1)*(AR280/AQ280)^INDEX($Q410:$AJ410,1,(AR$4-1)*5+2)*(AR280/AQ280)^(INDEX($Q410:$AJ410,1,(AR$4-1)*5+3)*(1+INDEX($Q410:$AJ410,1,(AR$4-1)*5+2)))</f>
        <v/>
      </c>
      <c r="AS410" s="25">
        <f>AR410*(1/(1+INDEX($Q410:$AJ410,1,(AS$4-1)*5+4)))^(1+INDEX($Q410:$AJ410,1,(AS$4-1)*5+2))*(1+AS$7)^INDEX($Q410:$AJ410,1,(AS$4-1)*5+1)*(AS280/AR280)^INDEX($Q410:$AJ410,1,(AS$4-1)*5+2)*(AS280/AR280)^(INDEX($Q410:$AJ410,1,(AS$4-1)*5+3)*(1+INDEX($Q410:$AJ410,1,(AS$4-1)*5+2)))</f>
        <v/>
      </c>
      <c r="AT410" s="25">
        <f>AS410*(1/(1+INDEX($Q410:$AJ410,1,(AT$4-1)*5+4)))^(1+INDEX($Q410:$AJ410,1,(AT$4-1)*5+2))*(1+AT$7)^INDEX($Q410:$AJ410,1,(AT$4-1)*5+1)*(AT280/AS280)^INDEX($Q410:$AJ410,1,(AT$4-1)*5+2)*(AT280/AS280)^(INDEX($Q410:$AJ410,1,(AT$4-1)*5+3)*(1+INDEX($Q410:$AJ410,1,(AT$4-1)*5+2)))</f>
        <v/>
      </c>
      <c r="AU410" s="25">
        <f>AT410*(1/(1+INDEX($Q410:$AJ410,1,(AU$4-1)*5+4)))^(1+INDEX($Q410:$AJ410,1,(AU$4-1)*5+2))*(1+AU$7)^INDEX($Q410:$AJ410,1,(AU$4-1)*5+1)*(AU280/AT280)^INDEX($Q410:$AJ410,1,(AU$4-1)*5+2)*(AU280/AT280)^(INDEX($Q410:$AJ410,1,(AU$4-1)*5+3)*(1+INDEX($Q410:$AJ410,1,(AU$4-1)*5+2)))</f>
        <v/>
      </c>
      <c r="AV410" s="25">
        <f>AU410*(1/(1+INDEX($Q410:$AJ410,1,(AV$4-1)*5+4)))^(1+INDEX($Q410:$AJ410,1,(AV$4-1)*5+2))*(1+AV$7)^INDEX($Q410:$AJ410,1,(AV$4-1)*5+1)*(AV280/AU280)^INDEX($Q410:$AJ410,1,(AV$4-1)*5+2)*(AV280/AU280)^(INDEX($Q410:$AJ410,1,(AV$4-1)*5+3)*(1+INDEX($Q410:$AJ410,1,(AV$4-1)*5+2)))</f>
        <v/>
      </c>
      <c r="AW410" s="25">
        <f>AV410*(1/(1+INDEX($Q410:$AJ410,1,(AW$4-1)*5+4)))^(1+INDEX($Q410:$AJ410,1,(AW$4-1)*5+2))*(1+AW$7)^INDEX($Q410:$AJ410,1,(AW$4-1)*5+1)*(AW280/AV280)^INDEX($Q410:$AJ410,1,(AW$4-1)*5+2)*(AW280/AV280)^(INDEX($Q410:$AJ410,1,(AW$4-1)*5+3)*(1+INDEX($Q410:$AJ410,1,(AW$4-1)*5+2)))</f>
        <v/>
      </c>
      <c r="AX410" s="25">
        <f>AW410*(1/(1+INDEX($Q410:$AJ410,1,(AX$4-1)*5+4)))^(1+INDEX($Q410:$AJ410,1,(AX$4-1)*5+2))*(1+AX$7)^INDEX($Q410:$AJ410,1,(AX$4-1)*5+1)*(AX280/AW280)^INDEX($Q410:$AJ410,1,(AX$4-1)*5+2)*(AX280/AW280)^(INDEX($Q410:$AJ410,1,(AX$4-1)*5+3)*(1+INDEX($Q410:$AJ410,1,(AX$4-1)*5+2)))</f>
        <v/>
      </c>
      <c r="AY410" s="25">
        <f>AX410*(1/(1+INDEX($Q410:$AJ410,1,(AY$4-1)*5+4)))^(1+INDEX($Q410:$AJ410,1,(AY$4-1)*5+2))*(1+AY$7)^INDEX($Q410:$AJ410,1,(AY$4-1)*5+1)*(AY280/AX280)^INDEX($Q410:$AJ410,1,(AY$4-1)*5+2)*(AY280/AX280)^(INDEX($Q410:$AJ410,1,(AY$4-1)*5+3)*(1+INDEX($Q410:$AJ410,1,(AY$4-1)*5+2)))</f>
        <v/>
      </c>
      <c r="BA410" s="24">
        <f>INDEX(EnergyCons!$F$4:$F$5000,MATCH(Settings!$C$4&amp;"|"&amp;BA$5&amp;"|"&amp;$C410&amp;"|"&amp;$B410,EnergyCons!$A$4:$A$5000,0))</f>
        <v/>
      </c>
      <c r="BB410" s="25">
        <f>BA410*(1/(1+INDEX($Q410:$AJ410,1,(BB$4-1)*5+4)))^(1+INDEX($Q410:$AJ410,1,(BB$4-1)*5+2))*(1+BB$7)^INDEX($Q410:$AJ410,1,(BB$4-1)*5+1)*(BB280/BA280)^INDEX($Q410:$AJ410,1,(BB$4-1)*5+2)*(BB280/BA280)^(INDEX($Q410:$AJ410,1,(BB$4-1)*5+3)*(1+INDEX($Q410:$AJ410,1,(BB$4-1)*5+2)))</f>
        <v/>
      </c>
      <c r="BC410" s="25">
        <f>BB410*(1/(1+INDEX($Q410:$AJ410,1,(BC$4-1)*5+4)))^(1+INDEX($Q410:$AJ410,1,(BC$4-1)*5+2))*(1+BC$7)^INDEX($Q410:$AJ410,1,(BC$4-1)*5+1)*(BC280/BB280)^INDEX($Q410:$AJ410,1,(BC$4-1)*5+2)*(BC280/BB280)^(INDEX($Q410:$AJ410,1,(BC$4-1)*5+3)*(1+INDEX($Q410:$AJ410,1,(BC$4-1)*5+2)))</f>
        <v/>
      </c>
      <c r="BD410" s="25">
        <f>BC410*(1/(1+INDEX($Q410:$AJ410,1,(BD$4-1)*5+4)))^(1+INDEX($Q410:$AJ410,1,(BD$4-1)*5+2))*(1+BD$7)^INDEX($Q410:$AJ410,1,(BD$4-1)*5+1)*(BD280/BC280)^INDEX($Q410:$AJ410,1,(BD$4-1)*5+2)*(BD280/BC280)^(INDEX($Q410:$AJ410,1,(BD$4-1)*5+3)*(1+INDEX($Q410:$AJ410,1,(BD$4-1)*5+2)))</f>
        <v/>
      </c>
      <c r="BE410" s="25">
        <f>BD410*(1/(1+INDEX($Q410:$AJ410,1,(BE$4-1)*5+4)))^(1+INDEX($Q410:$AJ410,1,(BE$4-1)*5+2))*(1+BE$7)^INDEX($Q410:$AJ410,1,(BE$4-1)*5+1)*(BE280/BD280)^INDEX($Q410:$AJ410,1,(BE$4-1)*5+2)*(BE280/BD280)^(INDEX($Q410:$AJ410,1,(BE$4-1)*5+3)*(1+INDEX($Q410:$AJ410,1,(BE$4-1)*5+2)))</f>
        <v/>
      </c>
      <c r="BF410" s="25">
        <f>BE410*(1/(1+INDEX($Q410:$AJ410,1,(BF$4-1)*5+4)))^(1+INDEX($Q410:$AJ410,1,(BF$4-1)*5+2))*(1+BF$7)^INDEX($Q410:$AJ410,1,(BF$4-1)*5+1)*(BF280/BE280)^INDEX($Q410:$AJ410,1,(BF$4-1)*5+2)*(BF280/BE280)^(INDEX($Q410:$AJ410,1,(BF$4-1)*5+3)*(1+INDEX($Q410:$AJ410,1,(BF$4-1)*5+2)))</f>
        <v/>
      </c>
      <c r="BG410" s="25">
        <f>BF410*(1/(1+INDEX($Q410:$AJ410,1,(BG$4-1)*5+4)))^(1+INDEX($Q410:$AJ410,1,(BG$4-1)*5+2))*(1+BG$7)^INDEX($Q410:$AJ410,1,(BG$4-1)*5+1)*(BG280/BF280)^INDEX($Q410:$AJ410,1,(BG$4-1)*5+2)*(BG280/BF280)^(INDEX($Q410:$AJ410,1,(BG$4-1)*5+3)*(1+INDEX($Q410:$AJ410,1,(BG$4-1)*5+2)))</f>
        <v/>
      </c>
      <c r="BH410" s="25">
        <f>BG410*(1/(1+INDEX($Q410:$AJ410,1,(BH$4-1)*5+4)))^(1+INDEX($Q410:$AJ410,1,(BH$4-1)*5+2))*(1+BH$7)^INDEX($Q410:$AJ410,1,(BH$4-1)*5+1)*(BH280/BG280)^INDEX($Q410:$AJ410,1,(BH$4-1)*5+2)*(BH280/BG280)^(INDEX($Q410:$AJ410,1,(BH$4-1)*5+3)*(1+INDEX($Q410:$AJ410,1,(BH$4-1)*5+2)))</f>
        <v/>
      </c>
      <c r="BI410" s="25">
        <f>BH410*(1/(1+INDEX($Q410:$AJ410,1,(BI$4-1)*5+4)))^(1+INDEX($Q410:$AJ410,1,(BI$4-1)*5+2))*(1+BI$7)^INDEX($Q410:$AJ410,1,(BI$4-1)*5+1)*(BI280/BH280)^INDEX($Q410:$AJ410,1,(BI$4-1)*5+2)*(BI280/BH280)^(INDEX($Q410:$AJ410,1,(BI$4-1)*5+3)*(1+INDEX($Q410:$AJ410,1,(BI$4-1)*5+2)))</f>
        <v/>
      </c>
      <c r="BJ410" s="25">
        <f>BI410*(1/(1+INDEX($Q410:$AJ410,1,(BJ$4-1)*5+4)))^(1+INDEX($Q410:$AJ410,1,(BJ$4-1)*5+2))*(1+BJ$7)^INDEX($Q410:$AJ410,1,(BJ$4-1)*5+1)*(BJ280/BI280)^INDEX($Q410:$AJ410,1,(BJ$4-1)*5+2)*(BJ280/BI280)^(INDEX($Q410:$AJ410,1,(BJ$4-1)*5+3)*(1+INDEX($Q410:$AJ410,1,(BJ$4-1)*5+2)))</f>
        <v/>
      </c>
      <c r="BK410" s="25">
        <f>BJ410*(1/(1+INDEX($Q410:$AJ410,1,(BK$4-1)*5+4)))^(1+INDEX($Q410:$AJ410,1,(BK$4-1)*5+2))*(1+BK$7)^INDEX($Q410:$AJ410,1,(BK$4-1)*5+1)*(BK280/BJ280)^INDEX($Q410:$AJ410,1,(BK$4-1)*5+2)*(BK280/BJ280)^(INDEX($Q410:$AJ410,1,(BK$4-1)*5+3)*(1+INDEX($Q410:$AJ410,1,(BK$4-1)*5+2)))</f>
        <v/>
      </c>
      <c r="BL410" s="25">
        <f>BK410*(1/(1+INDEX($Q410:$AJ410,1,(BL$4-1)*5+4)))^(1+INDEX($Q410:$AJ410,1,(BL$4-1)*5+2))*(1+BL$7)^INDEX($Q410:$AJ410,1,(BL$4-1)*5+1)*(BL280/BK280)^INDEX($Q410:$AJ410,1,(BL$4-1)*5+2)*(BL280/BK280)^(INDEX($Q410:$AJ410,1,(BL$4-1)*5+3)*(1+INDEX($Q410:$AJ410,1,(BL$4-1)*5+2)))</f>
        <v/>
      </c>
      <c r="BM410" s="25">
        <f>BL410*(1/(1+INDEX($Q410:$AJ410,1,(BM$4-1)*5+4)))^(1+INDEX($Q410:$AJ410,1,(BM$4-1)*5+2))*(1+BM$7)^INDEX($Q410:$AJ410,1,(BM$4-1)*5+1)*(BM280/BL280)^INDEX($Q410:$AJ410,1,(BM$4-1)*5+2)*(BM280/BL280)^(INDEX($Q410:$AJ410,1,(BM$4-1)*5+3)*(1+INDEX($Q410:$AJ410,1,(BM$4-1)*5+2)))</f>
        <v/>
      </c>
      <c r="BN410" s="25">
        <f>BM410*(1/(1+INDEX($Q410:$AJ410,1,(BN$4-1)*5+4)))^(1+INDEX($Q410:$AJ410,1,(BN$4-1)*5+2))*(1+BN$7)^INDEX($Q410:$AJ410,1,(BN$4-1)*5+1)*(BN280/BM280)^INDEX($Q410:$AJ410,1,(BN$4-1)*5+2)*(BN280/BM280)^(INDEX($Q410:$AJ410,1,(BN$4-1)*5+3)*(1+INDEX($Q410:$AJ410,1,(BN$4-1)*5+2)))</f>
        <v/>
      </c>
    </row>
    <row r="411">
      <c r="B411" s="5" t="inlineStr">
        <is>
          <t>gso</t>
        </is>
      </c>
      <c r="C411" s="5" t="inlineStr">
        <is>
          <t>ral</t>
        </is>
      </c>
      <c r="D411" s="5" t="inlineStr">
        <is>
          <t>Fuel use | Rail | Gasoline</t>
        </is>
      </c>
      <c r="E411" s="5" t="inlineStr">
        <is>
          <t>ktoe</t>
        </is>
      </c>
      <c r="F411" s="5" t="inlineStr">
        <is>
          <t>EnergyCons (base year), Elasticities</t>
        </is>
      </c>
      <c r="G411" s="19" t="inlineStr">
        <is>
          <t>mit.enc.gso.ral</t>
        </is>
      </c>
      <c r="H411" s="19" t="inlineStr">
        <is>
          <t>mit.enc.gso.ral</t>
        </is>
      </c>
      <c r="J411" s="5">
        <f>INDEX(Mapping!$C$5:$C$20,MATCH($C411,Mapping!$A$5:$A$20,0))</f>
        <v/>
      </c>
      <c r="K411" s="5">
        <f>INDEX(Mapping!$D$5:$D$20,MATCH($C411,Mapping!$A$5:$A$20,0))</f>
        <v/>
      </c>
      <c r="L411" s="5">
        <f>INDEX(Mapping!$C$24:$C$31,MATCH($B411,Mapping!$A$24:$A$31,0))</f>
        <v/>
      </c>
      <c r="M411" s="5">
        <f>INDEX(Mapping!$D$24:$D$31,MATCH($B411,Mapping!$A$24:$A$31,0))</f>
        <v/>
      </c>
      <c r="N411" s="5">
        <f>$B411&amp;"."&amp;IF(INDEX(Mapping!$E$24:$E$31,MATCH($B411,Mapping!$A$24:$A$31,0))="sub",INDEX(Mapping!$F$5:$F$20,MATCH($C411,Mapping!$A$5:$A$20,0)),"all")</f>
        <v/>
      </c>
      <c r="O411" s="5">
        <f>INDEX(Mapping!$E$5:$E$20,MATCH($C411,Mapping!$A$5:$A$20,0))</f>
        <v/>
      </c>
      <c r="P411" s="5">
        <f>INDEX(Mapping!$G$24:$G$31,MATCH($B411,Mapping!$A$24:$A$31,0))</f>
        <v/>
      </c>
      <c r="Q411" s="22">
        <f>INDEX(Elasticities!$F$4:$I$200,MATCH("inc|"&amp;$L411&amp;"|"&amp;$K411,Elasticities!$A$4:$A$200,0),MATCH(Settings!$C$6,Elasticities!$F$3:$I$3,0))</f>
        <v/>
      </c>
      <c r="R411" s="22">
        <f>INDEX(Elasticities!$F$4:$I$200,MATCH("usg|"&amp;$L411&amp;"|"&amp;$K411,Elasticities!$A$4:$A$200,0),MATCH(Settings!$C$6,Elasticities!$F$3:$I$3,0))</f>
        <v/>
      </c>
      <c r="S411" s="22">
        <f>INDEX(Elasticities!$F$4:$I$200,MATCH("eff|"&amp;$L411&amp;"|"&amp;$K411,Elasticities!$A$4:$A$200,0),MATCH(Settings!$C$6,Elasticities!$F$3:$I$3,0))</f>
        <v/>
      </c>
      <c r="T411" s="22">
        <f>INDEX(Elasticities!$F$4:$I$200,MATCH("aei|"&amp;$M411&amp;"|"&amp;$K411,Elasticities!$A$4:$A$200,0),MATCH(Settings!$C$6,Elasticities!$F$3:$I$3,0))</f>
        <v/>
      </c>
      <c r="U411" s="21" t="n"/>
      <c r="V411" s="22">
        <f>Q411</f>
        <v/>
      </c>
      <c r="W411" s="22">
        <f>R411</f>
        <v/>
      </c>
      <c r="X411" s="22">
        <f>S411</f>
        <v/>
      </c>
      <c r="Y411" s="22">
        <f>T411</f>
        <v/>
      </c>
      <c r="Z411" s="21" t="n"/>
      <c r="AA411" s="22">
        <f>Q411</f>
        <v/>
      </c>
      <c r="AB411" s="22">
        <f>R411</f>
        <v/>
      </c>
      <c r="AC411" s="22">
        <f>S411</f>
        <v/>
      </c>
      <c r="AD411" s="22">
        <f>T411</f>
        <v/>
      </c>
      <c r="AE411" s="21" t="n"/>
      <c r="AF411" s="22">
        <f>Q411</f>
        <v/>
      </c>
      <c r="AG411" s="22">
        <f>R411</f>
        <v/>
      </c>
      <c r="AH411" s="22">
        <f>S411</f>
        <v/>
      </c>
      <c r="AI411" s="22">
        <f>T411</f>
        <v/>
      </c>
      <c r="AJ411" s="21" t="n"/>
      <c r="AL411" s="24">
        <f>INDEX(EnergyCons!$F$4:$F$5000,MATCH(Settings!$C$4&amp;"|"&amp;AL$5&amp;"|"&amp;$C411&amp;"|"&amp;$B411,EnergyCons!$A$4:$A$5000,0))</f>
        <v/>
      </c>
      <c r="AM411" s="25">
        <f>AL411*(1/(1+INDEX($Q411:$AJ411,1,(AM$4-1)*5+4)))^(1+INDEX($Q411:$AJ411,1,(AM$4-1)*5+2))*(1+AM$7)^INDEX($Q411:$AJ411,1,(AM$4-1)*5+1)*(AM281/AL281)^INDEX($Q411:$AJ411,1,(AM$4-1)*5+2)*(AM281/AL281)^(INDEX($Q411:$AJ411,1,(AM$4-1)*5+3)*(1+INDEX($Q411:$AJ411,1,(AM$4-1)*5+2)))</f>
        <v/>
      </c>
      <c r="AN411" s="25">
        <f>AM411*(1/(1+INDEX($Q411:$AJ411,1,(AN$4-1)*5+4)))^(1+INDEX($Q411:$AJ411,1,(AN$4-1)*5+2))*(1+AN$7)^INDEX($Q411:$AJ411,1,(AN$4-1)*5+1)*(AN281/AM281)^INDEX($Q411:$AJ411,1,(AN$4-1)*5+2)*(AN281/AM281)^(INDEX($Q411:$AJ411,1,(AN$4-1)*5+3)*(1+INDEX($Q411:$AJ411,1,(AN$4-1)*5+2)))</f>
        <v/>
      </c>
      <c r="AO411" s="25">
        <f>AN411*(1/(1+INDEX($Q411:$AJ411,1,(AO$4-1)*5+4)))^(1+INDEX($Q411:$AJ411,1,(AO$4-1)*5+2))*(1+AO$7)^INDEX($Q411:$AJ411,1,(AO$4-1)*5+1)*(AO281/AN281)^INDEX($Q411:$AJ411,1,(AO$4-1)*5+2)*(AO281/AN281)^(INDEX($Q411:$AJ411,1,(AO$4-1)*5+3)*(1+INDEX($Q411:$AJ411,1,(AO$4-1)*5+2)))</f>
        <v/>
      </c>
      <c r="AP411" s="25">
        <f>AO411*(1/(1+INDEX($Q411:$AJ411,1,(AP$4-1)*5+4)))^(1+INDEX($Q411:$AJ411,1,(AP$4-1)*5+2))*(1+AP$7)^INDEX($Q411:$AJ411,1,(AP$4-1)*5+1)*(AP281/AO281)^INDEX($Q411:$AJ411,1,(AP$4-1)*5+2)*(AP281/AO281)^(INDEX($Q411:$AJ411,1,(AP$4-1)*5+3)*(1+INDEX($Q411:$AJ411,1,(AP$4-1)*5+2)))</f>
        <v/>
      </c>
      <c r="AQ411" s="25">
        <f>AP411*(1/(1+INDEX($Q411:$AJ411,1,(AQ$4-1)*5+4)))^(1+INDEX($Q411:$AJ411,1,(AQ$4-1)*5+2))*(1+AQ$7)^INDEX($Q411:$AJ411,1,(AQ$4-1)*5+1)*(AQ281/AP281)^INDEX($Q411:$AJ411,1,(AQ$4-1)*5+2)*(AQ281/AP281)^(INDEX($Q411:$AJ411,1,(AQ$4-1)*5+3)*(1+INDEX($Q411:$AJ411,1,(AQ$4-1)*5+2)))</f>
        <v/>
      </c>
      <c r="AR411" s="25">
        <f>AQ411*(1/(1+INDEX($Q411:$AJ411,1,(AR$4-1)*5+4)))^(1+INDEX($Q411:$AJ411,1,(AR$4-1)*5+2))*(1+AR$7)^INDEX($Q411:$AJ411,1,(AR$4-1)*5+1)*(AR281/AQ281)^INDEX($Q411:$AJ411,1,(AR$4-1)*5+2)*(AR281/AQ281)^(INDEX($Q411:$AJ411,1,(AR$4-1)*5+3)*(1+INDEX($Q411:$AJ411,1,(AR$4-1)*5+2)))</f>
        <v/>
      </c>
      <c r="AS411" s="25">
        <f>AR411*(1/(1+INDEX($Q411:$AJ411,1,(AS$4-1)*5+4)))^(1+INDEX($Q411:$AJ411,1,(AS$4-1)*5+2))*(1+AS$7)^INDEX($Q411:$AJ411,1,(AS$4-1)*5+1)*(AS281/AR281)^INDEX($Q411:$AJ411,1,(AS$4-1)*5+2)*(AS281/AR281)^(INDEX($Q411:$AJ411,1,(AS$4-1)*5+3)*(1+INDEX($Q411:$AJ411,1,(AS$4-1)*5+2)))</f>
        <v/>
      </c>
      <c r="AT411" s="25">
        <f>AS411*(1/(1+INDEX($Q411:$AJ411,1,(AT$4-1)*5+4)))^(1+INDEX($Q411:$AJ411,1,(AT$4-1)*5+2))*(1+AT$7)^INDEX($Q411:$AJ411,1,(AT$4-1)*5+1)*(AT281/AS281)^INDEX($Q411:$AJ411,1,(AT$4-1)*5+2)*(AT281/AS281)^(INDEX($Q411:$AJ411,1,(AT$4-1)*5+3)*(1+INDEX($Q411:$AJ411,1,(AT$4-1)*5+2)))</f>
        <v/>
      </c>
      <c r="AU411" s="25">
        <f>AT411*(1/(1+INDEX($Q411:$AJ411,1,(AU$4-1)*5+4)))^(1+INDEX($Q411:$AJ411,1,(AU$4-1)*5+2))*(1+AU$7)^INDEX($Q411:$AJ411,1,(AU$4-1)*5+1)*(AU281/AT281)^INDEX($Q411:$AJ411,1,(AU$4-1)*5+2)*(AU281/AT281)^(INDEX($Q411:$AJ411,1,(AU$4-1)*5+3)*(1+INDEX($Q411:$AJ411,1,(AU$4-1)*5+2)))</f>
        <v/>
      </c>
      <c r="AV411" s="25">
        <f>AU411*(1/(1+INDEX($Q411:$AJ411,1,(AV$4-1)*5+4)))^(1+INDEX($Q411:$AJ411,1,(AV$4-1)*5+2))*(1+AV$7)^INDEX($Q411:$AJ411,1,(AV$4-1)*5+1)*(AV281/AU281)^INDEX($Q411:$AJ411,1,(AV$4-1)*5+2)*(AV281/AU281)^(INDEX($Q411:$AJ411,1,(AV$4-1)*5+3)*(1+INDEX($Q411:$AJ411,1,(AV$4-1)*5+2)))</f>
        <v/>
      </c>
      <c r="AW411" s="25">
        <f>AV411*(1/(1+INDEX($Q411:$AJ411,1,(AW$4-1)*5+4)))^(1+INDEX($Q411:$AJ411,1,(AW$4-1)*5+2))*(1+AW$7)^INDEX($Q411:$AJ411,1,(AW$4-1)*5+1)*(AW281/AV281)^INDEX($Q411:$AJ411,1,(AW$4-1)*5+2)*(AW281/AV281)^(INDEX($Q411:$AJ411,1,(AW$4-1)*5+3)*(1+INDEX($Q411:$AJ411,1,(AW$4-1)*5+2)))</f>
        <v/>
      </c>
      <c r="AX411" s="25">
        <f>AW411*(1/(1+INDEX($Q411:$AJ411,1,(AX$4-1)*5+4)))^(1+INDEX($Q411:$AJ411,1,(AX$4-1)*5+2))*(1+AX$7)^INDEX($Q411:$AJ411,1,(AX$4-1)*5+1)*(AX281/AW281)^INDEX($Q411:$AJ411,1,(AX$4-1)*5+2)*(AX281/AW281)^(INDEX($Q411:$AJ411,1,(AX$4-1)*5+3)*(1+INDEX($Q411:$AJ411,1,(AX$4-1)*5+2)))</f>
        <v/>
      </c>
      <c r="AY411" s="25">
        <f>AX411*(1/(1+INDEX($Q411:$AJ411,1,(AY$4-1)*5+4)))^(1+INDEX($Q411:$AJ411,1,(AY$4-1)*5+2))*(1+AY$7)^INDEX($Q411:$AJ411,1,(AY$4-1)*5+1)*(AY281/AX281)^INDEX($Q411:$AJ411,1,(AY$4-1)*5+2)*(AY281/AX281)^(INDEX($Q411:$AJ411,1,(AY$4-1)*5+3)*(1+INDEX($Q411:$AJ411,1,(AY$4-1)*5+2)))</f>
        <v/>
      </c>
      <c r="BA411" s="24">
        <f>INDEX(EnergyCons!$F$4:$F$5000,MATCH(Settings!$C$4&amp;"|"&amp;BA$5&amp;"|"&amp;$C411&amp;"|"&amp;$B411,EnergyCons!$A$4:$A$5000,0))</f>
        <v/>
      </c>
      <c r="BB411" s="25">
        <f>BA411*(1/(1+INDEX($Q411:$AJ411,1,(BB$4-1)*5+4)))^(1+INDEX($Q411:$AJ411,1,(BB$4-1)*5+2))*(1+BB$7)^INDEX($Q411:$AJ411,1,(BB$4-1)*5+1)*(BB281/BA281)^INDEX($Q411:$AJ411,1,(BB$4-1)*5+2)*(BB281/BA281)^(INDEX($Q411:$AJ411,1,(BB$4-1)*5+3)*(1+INDEX($Q411:$AJ411,1,(BB$4-1)*5+2)))</f>
        <v/>
      </c>
      <c r="BC411" s="25">
        <f>BB411*(1/(1+INDEX($Q411:$AJ411,1,(BC$4-1)*5+4)))^(1+INDEX($Q411:$AJ411,1,(BC$4-1)*5+2))*(1+BC$7)^INDEX($Q411:$AJ411,1,(BC$4-1)*5+1)*(BC281/BB281)^INDEX($Q411:$AJ411,1,(BC$4-1)*5+2)*(BC281/BB281)^(INDEX($Q411:$AJ411,1,(BC$4-1)*5+3)*(1+INDEX($Q411:$AJ411,1,(BC$4-1)*5+2)))</f>
        <v/>
      </c>
      <c r="BD411" s="25">
        <f>BC411*(1/(1+INDEX($Q411:$AJ411,1,(BD$4-1)*5+4)))^(1+INDEX($Q411:$AJ411,1,(BD$4-1)*5+2))*(1+BD$7)^INDEX($Q411:$AJ411,1,(BD$4-1)*5+1)*(BD281/BC281)^INDEX($Q411:$AJ411,1,(BD$4-1)*5+2)*(BD281/BC281)^(INDEX($Q411:$AJ411,1,(BD$4-1)*5+3)*(1+INDEX($Q411:$AJ411,1,(BD$4-1)*5+2)))</f>
        <v/>
      </c>
      <c r="BE411" s="25">
        <f>BD411*(1/(1+INDEX($Q411:$AJ411,1,(BE$4-1)*5+4)))^(1+INDEX($Q411:$AJ411,1,(BE$4-1)*5+2))*(1+BE$7)^INDEX($Q411:$AJ411,1,(BE$4-1)*5+1)*(BE281/BD281)^INDEX($Q411:$AJ411,1,(BE$4-1)*5+2)*(BE281/BD281)^(INDEX($Q411:$AJ411,1,(BE$4-1)*5+3)*(1+INDEX($Q411:$AJ411,1,(BE$4-1)*5+2)))</f>
        <v/>
      </c>
      <c r="BF411" s="25">
        <f>BE411*(1/(1+INDEX($Q411:$AJ411,1,(BF$4-1)*5+4)))^(1+INDEX($Q411:$AJ411,1,(BF$4-1)*5+2))*(1+BF$7)^INDEX($Q411:$AJ411,1,(BF$4-1)*5+1)*(BF281/BE281)^INDEX($Q411:$AJ411,1,(BF$4-1)*5+2)*(BF281/BE281)^(INDEX($Q411:$AJ411,1,(BF$4-1)*5+3)*(1+INDEX($Q411:$AJ411,1,(BF$4-1)*5+2)))</f>
        <v/>
      </c>
      <c r="BG411" s="25">
        <f>BF411*(1/(1+INDEX($Q411:$AJ411,1,(BG$4-1)*5+4)))^(1+INDEX($Q411:$AJ411,1,(BG$4-1)*5+2))*(1+BG$7)^INDEX($Q411:$AJ411,1,(BG$4-1)*5+1)*(BG281/BF281)^INDEX($Q411:$AJ411,1,(BG$4-1)*5+2)*(BG281/BF281)^(INDEX($Q411:$AJ411,1,(BG$4-1)*5+3)*(1+INDEX($Q411:$AJ411,1,(BG$4-1)*5+2)))</f>
        <v/>
      </c>
      <c r="BH411" s="25">
        <f>BG411*(1/(1+INDEX($Q411:$AJ411,1,(BH$4-1)*5+4)))^(1+INDEX($Q411:$AJ411,1,(BH$4-1)*5+2))*(1+BH$7)^INDEX($Q411:$AJ411,1,(BH$4-1)*5+1)*(BH281/BG281)^INDEX($Q411:$AJ411,1,(BH$4-1)*5+2)*(BH281/BG281)^(INDEX($Q411:$AJ411,1,(BH$4-1)*5+3)*(1+INDEX($Q411:$AJ411,1,(BH$4-1)*5+2)))</f>
        <v/>
      </c>
      <c r="BI411" s="25">
        <f>BH411*(1/(1+INDEX($Q411:$AJ411,1,(BI$4-1)*5+4)))^(1+INDEX($Q411:$AJ411,1,(BI$4-1)*5+2))*(1+BI$7)^INDEX($Q411:$AJ411,1,(BI$4-1)*5+1)*(BI281/BH281)^INDEX($Q411:$AJ411,1,(BI$4-1)*5+2)*(BI281/BH281)^(INDEX($Q411:$AJ411,1,(BI$4-1)*5+3)*(1+INDEX($Q411:$AJ411,1,(BI$4-1)*5+2)))</f>
        <v/>
      </c>
      <c r="BJ411" s="25">
        <f>BI411*(1/(1+INDEX($Q411:$AJ411,1,(BJ$4-1)*5+4)))^(1+INDEX($Q411:$AJ411,1,(BJ$4-1)*5+2))*(1+BJ$7)^INDEX($Q411:$AJ411,1,(BJ$4-1)*5+1)*(BJ281/BI281)^INDEX($Q411:$AJ411,1,(BJ$4-1)*5+2)*(BJ281/BI281)^(INDEX($Q411:$AJ411,1,(BJ$4-1)*5+3)*(1+INDEX($Q411:$AJ411,1,(BJ$4-1)*5+2)))</f>
        <v/>
      </c>
      <c r="BK411" s="25">
        <f>BJ411*(1/(1+INDEX($Q411:$AJ411,1,(BK$4-1)*5+4)))^(1+INDEX($Q411:$AJ411,1,(BK$4-1)*5+2))*(1+BK$7)^INDEX($Q411:$AJ411,1,(BK$4-1)*5+1)*(BK281/BJ281)^INDEX($Q411:$AJ411,1,(BK$4-1)*5+2)*(BK281/BJ281)^(INDEX($Q411:$AJ411,1,(BK$4-1)*5+3)*(1+INDEX($Q411:$AJ411,1,(BK$4-1)*5+2)))</f>
        <v/>
      </c>
      <c r="BL411" s="25">
        <f>BK411*(1/(1+INDEX($Q411:$AJ411,1,(BL$4-1)*5+4)))^(1+INDEX($Q411:$AJ411,1,(BL$4-1)*5+2))*(1+BL$7)^INDEX($Q411:$AJ411,1,(BL$4-1)*5+1)*(BL281/BK281)^INDEX($Q411:$AJ411,1,(BL$4-1)*5+2)*(BL281/BK281)^(INDEX($Q411:$AJ411,1,(BL$4-1)*5+3)*(1+INDEX($Q411:$AJ411,1,(BL$4-1)*5+2)))</f>
        <v/>
      </c>
      <c r="BM411" s="25">
        <f>BL411*(1/(1+INDEX($Q411:$AJ411,1,(BM$4-1)*5+4)))^(1+INDEX($Q411:$AJ411,1,(BM$4-1)*5+2))*(1+BM$7)^INDEX($Q411:$AJ411,1,(BM$4-1)*5+1)*(BM281/BL281)^INDEX($Q411:$AJ411,1,(BM$4-1)*5+2)*(BM281/BL281)^(INDEX($Q411:$AJ411,1,(BM$4-1)*5+3)*(1+INDEX($Q411:$AJ411,1,(BM$4-1)*5+2)))</f>
        <v/>
      </c>
      <c r="BN411" s="25">
        <f>BM411*(1/(1+INDEX($Q411:$AJ411,1,(BN$4-1)*5+4)))^(1+INDEX($Q411:$AJ411,1,(BN$4-1)*5+2))*(1+BN$7)^INDEX($Q411:$AJ411,1,(BN$4-1)*5+1)*(BN281/BM281)^INDEX($Q411:$AJ411,1,(BN$4-1)*5+2)*(BN281/BM281)^(INDEX($Q411:$AJ411,1,(BN$4-1)*5+3)*(1+INDEX($Q411:$AJ411,1,(BN$4-1)*5+2)))</f>
        <v/>
      </c>
    </row>
    <row r="412">
      <c r="B412" s="5" t="inlineStr">
        <is>
          <t>die</t>
        </is>
      </c>
      <c r="C412" s="5" t="inlineStr">
        <is>
          <t>ral</t>
        </is>
      </c>
      <c r="D412" s="5" t="inlineStr">
        <is>
          <t>Fuel use | Rail | Diesel</t>
        </is>
      </c>
      <c r="E412" s="5" t="inlineStr">
        <is>
          <t>ktoe</t>
        </is>
      </c>
      <c r="F412" s="5" t="inlineStr">
        <is>
          <t>EnergyCons (base year), Elasticities</t>
        </is>
      </c>
      <c r="G412" s="19" t="inlineStr">
        <is>
          <t>mit.enc.die.ral</t>
        </is>
      </c>
      <c r="H412" s="19" t="inlineStr">
        <is>
          <t>mit.enc.die.ral</t>
        </is>
      </c>
      <c r="J412" s="5">
        <f>INDEX(Mapping!$C$5:$C$20,MATCH($C412,Mapping!$A$5:$A$20,0))</f>
        <v/>
      </c>
      <c r="K412" s="5">
        <f>INDEX(Mapping!$D$5:$D$20,MATCH($C412,Mapping!$A$5:$A$20,0))</f>
        <v/>
      </c>
      <c r="L412" s="5">
        <f>INDEX(Mapping!$C$24:$C$31,MATCH($B412,Mapping!$A$24:$A$31,0))</f>
        <v/>
      </c>
      <c r="M412" s="5">
        <f>INDEX(Mapping!$D$24:$D$31,MATCH($B412,Mapping!$A$24:$A$31,0))</f>
        <v/>
      </c>
      <c r="N412" s="5">
        <f>$B412&amp;"."&amp;IF(INDEX(Mapping!$E$24:$E$31,MATCH($B412,Mapping!$A$24:$A$31,0))="sub",INDEX(Mapping!$F$5:$F$20,MATCH($C412,Mapping!$A$5:$A$20,0)),"all")</f>
        <v/>
      </c>
      <c r="O412" s="5">
        <f>INDEX(Mapping!$E$5:$E$20,MATCH($C412,Mapping!$A$5:$A$20,0))</f>
        <v/>
      </c>
      <c r="P412" s="5">
        <f>INDEX(Mapping!$G$24:$G$31,MATCH($B412,Mapping!$A$24:$A$31,0))</f>
        <v/>
      </c>
      <c r="Q412" s="22">
        <f>INDEX(Elasticities!$F$4:$I$200,MATCH("inc|"&amp;$L412&amp;"|"&amp;$K412,Elasticities!$A$4:$A$200,0),MATCH(Settings!$C$6,Elasticities!$F$3:$I$3,0))</f>
        <v/>
      </c>
      <c r="R412" s="22">
        <f>INDEX(Elasticities!$F$4:$I$200,MATCH("usg|"&amp;$L412&amp;"|"&amp;$K412,Elasticities!$A$4:$A$200,0),MATCH(Settings!$C$6,Elasticities!$F$3:$I$3,0))</f>
        <v/>
      </c>
      <c r="S412" s="22">
        <f>INDEX(Elasticities!$F$4:$I$200,MATCH("eff|"&amp;$L412&amp;"|"&amp;$K412,Elasticities!$A$4:$A$200,0),MATCH(Settings!$C$6,Elasticities!$F$3:$I$3,0))</f>
        <v/>
      </c>
      <c r="T412" s="22">
        <f>INDEX(Elasticities!$F$4:$I$200,MATCH("aei|"&amp;$M412&amp;"|"&amp;$K412,Elasticities!$A$4:$A$200,0),MATCH(Settings!$C$6,Elasticities!$F$3:$I$3,0))</f>
        <v/>
      </c>
      <c r="U412" s="21" t="n"/>
      <c r="V412" s="22">
        <f>Q412</f>
        <v/>
      </c>
      <c r="W412" s="22">
        <f>R412</f>
        <v/>
      </c>
      <c r="X412" s="22">
        <f>S412</f>
        <v/>
      </c>
      <c r="Y412" s="22">
        <f>T412</f>
        <v/>
      </c>
      <c r="Z412" s="21" t="n"/>
      <c r="AA412" s="22">
        <f>Q412</f>
        <v/>
      </c>
      <c r="AB412" s="22">
        <f>R412</f>
        <v/>
      </c>
      <c r="AC412" s="22">
        <f>S412</f>
        <v/>
      </c>
      <c r="AD412" s="22">
        <f>T412</f>
        <v/>
      </c>
      <c r="AE412" s="21" t="n"/>
      <c r="AF412" s="22">
        <f>Q412</f>
        <v/>
      </c>
      <c r="AG412" s="22">
        <f>R412</f>
        <v/>
      </c>
      <c r="AH412" s="22">
        <f>S412</f>
        <v/>
      </c>
      <c r="AI412" s="22">
        <f>T412</f>
        <v/>
      </c>
      <c r="AJ412" s="21" t="n"/>
      <c r="AL412" s="24">
        <f>INDEX(EnergyCons!$F$4:$F$5000,MATCH(Settings!$C$4&amp;"|"&amp;AL$5&amp;"|"&amp;$C412&amp;"|"&amp;$B412,EnergyCons!$A$4:$A$5000,0))</f>
        <v/>
      </c>
      <c r="AM412" s="25">
        <f>AL412*(1/(1+INDEX($Q412:$AJ412,1,(AM$4-1)*5+4)))^(1+INDEX($Q412:$AJ412,1,(AM$4-1)*5+2))*(1+AM$7)^INDEX($Q412:$AJ412,1,(AM$4-1)*5+1)*(AM282/AL282)^INDEX($Q412:$AJ412,1,(AM$4-1)*5+2)*(AM282/AL282)^(INDEX($Q412:$AJ412,1,(AM$4-1)*5+3)*(1+INDEX($Q412:$AJ412,1,(AM$4-1)*5+2)))</f>
        <v/>
      </c>
      <c r="AN412" s="25">
        <f>AM412*(1/(1+INDEX($Q412:$AJ412,1,(AN$4-1)*5+4)))^(1+INDEX($Q412:$AJ412,1,(AN$4-1)*5+2))*(1+AN$7)^INDEX($Q412:$AJ412,1,(AN$4-1)*5+1)*(AN282/AM282)^INDEX($Q412:$AJ412,1,(AN$4-1)*5+2)*(AN282/AM282)^(INDEX($Q412:$AJ412,1,(AN$4-1)*5+3)*(1+INDEX($Q412:$AJ412,1,(AN$4-1)*5+2)))</f>
        <v/>
      </c>
      <c r="AO412" s="25">
        <f>AN412*(1/(1+INDEX($Q412:$AJ412,1,(AO$4-1)*5+4)))^(1+INDEX($Q412:$AJ412,1,(AO$4-1)*5+2))*(1+AO$7)^INDEX($Q412:$AJ412,1,(AO$4-1)*5+1)*(AO282/AN282)^INDEX($Q412:$AJ412,1,(AO$4-1)*5+2)*(AO282/AN282)^(INDEX($Q412:$AJ412,1,(AO$4-1)*5+3)*(1+INDEX($Q412:$AJ412,1,(AO$4-1)*5+2)))</f>
        <v/>
      </c>
      <c r="AP412" s="25">
        <f>AO412*(1/(1+INDEX($Q412:$AJ412,1,(AP$4-1)*5+4)))^(1+INDEX($Q412:$AJ412,1,(AP$4-1)*5+2))*(1+AP$7)^INDEX($Q412:$AJ412,1,(AP$4-1)*5+1)*(AP282/AO282)^INDEX($Q412:$AJ412,1,(AP$4-1)*5+2)*(AP282/AO282)^(INDEX($Q412:$AJ412,1,(AP$4-1)*5+3)*(1+INDEX($Q412:$AJ412,1,(AP$4-1)*5+2)))</f>
        <v/>
      </c>
      <c r="AQ412" s="25">
        <f>AP412*(1/(1+INDEX($Q412:$AJ412,1,(AQ$4-1)*5+4)))^(1+INDEX($Q412:$AJ412,1,(AQ$4-1)*5+2))*(1+AQ$7)^INDEX($Q412:$AJ412,1,(AQ$4-1)*5+1)*(AQ282/AP282)^INDEX($Q412:$AJ412,1,(AQ$4-1)*5+2)*(AQ282/AP282)^(INDEX($Q412:$AJ412,1,(AQ$4-1)*5+3)*(1+INDEX($Q412:$AJ412,1,(AQ$4-1)*5+2)))</f>
        <v/>
      </c>
      <c r="AR412" s="25">
        <f>AQ412*(1/(1+INDEX($Q412:$AJ412,1,(AR$4-1)*5+4)))^(1+INDEX($Q412:$AJ412,1,(AR$4-1)*5+2))*(1+AR$7)^INDEX($Q412:$AJ412,1,(AR$4-1)*5+1)*(AR282/AQ282)^INDEX($Q412:$AJ412,1,(AR$4-1)*5+2)*(AR282/AQ282)^(INDEX($Q412:$AJ412,1,(AR$4-1)*5+3)*(1+INDEX($Q412:$AJ412,1,(AR$4-1)*5+2)))</f>
        <v/>
      </c>
      <c r="AS412" s="25">
        <f>AR412*(1/(1+INDEX($Q412:$AJ412,1,(AS$4-1)*5+4)))^(1+INDEX($Q412:$AJ412,1,(AS$4-1)*5+2))*(1+AS$7)^INDEX($Q412:$AJ412,1,(AS$4-1)*5+1)*(AS282/AR282)^INDEX($Q412:$AJ412,1,(AS$4-1)*5+2)*(AS282/AR282)^(INDEX($Q412:$AJ412,1,(AS$4-1)*5+3)*(1+INDEX($Q412:$AJ412,1,(AS$4-1)*5+2)))</f>
        <v/>
      </c>
      <c r="AT412" s="25">
        <f>AS412*(1/(1+INDEX($Q412:$AJ412,1,(AT$4-1)*5+4)))^(1+INDEX($Q412:$AJ412,1,(AT$4-1)*5+2))*(1+AT$7)^INDEX($Q412:$AJ412,1,(AT$4-1)*5+1)*(AT282/AS282)^INDEX($Q412:$AJ412,1,(AT$4-1)*5+2)*(AT282/AS282)^(INDEX($Q412:$AJ412,1,(AT$4-1)*5+3)*(1+INDEX($Q412:$AJ412,1,(AT$4-1)*5+2)))</f>
        <v/>
      </c>
      <c r="AU412" s="25">
        <f>AT412*(1/(1+INDEX($Q412:$AJ412,1,(AU$4-1)*5+4)))^(1+INDEX($Q412:$AJ412,1,(AU$4-1)*5+2))*(1+AU$7)^INDEX($Q412:$AJ412,1,(AU$4-1)*5+1)*(AU282/AT282)^INDEX($Q412:$AJ412,1,(AU$4-1)*5+2)*(AU282/AT282)^(INDEX($Q412:$AJ412,1,(AU$4-1)*5+3)*(1+INDEX($Q412:$AJ412,1,(AU$4-1)*5+2)))</f>
        <v/>
      </c>
      <c r="AV412" s="25">
        <f>AU412*(1/(1+INDEX($Q412:$AJ412,1,(AV$4-1)*5+4)))^(1+INDEX($Q412:$AJ412,1,(AV$4-1)*5+2))*(1+AV$7)^INDEX($Q412:$AJ412,1,(AV$4-1)*5+1)*(AV282/AU282)^INDEX($Q412:$AJ412,1,(AV$4-1)*5+2)*(AV282/AU282)^(INDEX($Q412:$AJ412,1,(AV$4-1)*5+3)*(1+INDEX($Q412:$AJ412,1,(AV$4-1)*5+2)))</f>
        <v/>
      </c>
      <c r="AW412" s="25">
        <f>AV412*(1/(1+INDEX($Q412:$AJ412,1,(AW$4-1)*5+4)))^(1+INDEX($Q412:$AJ412,1,(AW$4-1)*5+2))*(1+AW$7)^INDEX($Q412:$AJ412,1,(AW$4-1)*5+1)*(AW282/AV282)^INDEX($Q412:$AJ412,1,(AW$4-1)*5+2)*(AW282/AV282)^(INDEX($Q412:$AJ412,1,(AW$4-1)*5+3)*(1+INDEX($Q412:$AJ412,1,(AW$4-1)*5+2)))</f>
        <v/>
      </c>
      <c r="AX412" s="25">
        <f>AW412*(1/(1+INDEX($Q412:$AJ412,1,(AX$4-1)*5+4)))^(1+INDEX($Q412:$AJ412,1,(AX$4-1)*5+2))*(1+AX$7)^INDEX($Q412:$AJ412,1,(AX$4-1)*5+1)*(AX282/AW282)^INDEX($Q412:$AJ412,1,(AX$4-1)*5+2)*(AX282/AW282)^(INDEX($Q412:$AJ412,1,(AX$4-1)*5+3)*(1+INDEX($Q412:$AJ412,1,(AX$4-1)*5+2)))</f>
        <v/>
      </c>
      <c r="AY412" s="25">
        <f>AX412*(1/(1+INDEX($Q412:$AJ412,1,(AY$4-1)*5+4)))^(1+INDEX($Q412:$AJ412,1,(AY$4-1)*5+2))*(1+AY$7)^INDEX($Q412:$AJ412,1,(AY$4-1)*5+1)*(AY282/AX282)^INDEX($Q412:$AJ412,1,(AY$4-1)*5+2)*(AY282/AX282)^(INDEX($Q412:$AJ412,1,(AY$4-1)*5+3)*(1+INDEX($Q412:$AJ412,1,(AY$4-1)*5+2)))</f>
        <v/>
      </c>
      <c r="BA412" s="24">
        <f>INDEX(EnergyCons!$F$4:$F$5000,MATCH(Settings!$C$4&amp;"|"&amp;BA$5&amp;"|"&amp;$C412&amp;"|"&amp;$B412,EnergyCons!$A$4:$A$5000,0))</f>
        <v/>
      </c>
      <c r="BB412" s="25">
        <f>BA412*(1/(1+INDEX($Q412:$AJ412,1,(BB$4-1)*5+4)))^(1+INDEX($Q412:$AJ412,1,(BB$4-1)*5+2))*(1+BB$7)^INDEX($Q412:$AJ412,1,(BB$4-1)*5+1)*(BB282/BA282)^INDEX($Q412:$AJ412,1,(BB$4-1)*5+2)*(BB282/BA282)^(INDEX($Q412:$AJ412,1,(BB$4-1)*5+3)*(1+INDEX($Q412:$AJ412,1,(BB$4-1)*5+2)))</f>
        <v/>
      </c>
      <c r="BC412" s="25">
        <f>BB412*(1/(1+INDEX($Q412:$AJ412,1,(BC$4-1)*5+4)))^(1+INDEX($Q412:$AJ412,1,(BC$4-1)*5+2))*(1+BC$7)^INDEX($Q412:$AJ412,1,(BC$4-1)*5+1)*(BC282/BB282)^INDEX($Q412:$AJ412,1,(BC$4-1)*5+2)*(BC282/BB282)^(INDEX($Q412:$AJ412,1,(BC$4-1)*5+3)*(1+INDEX($Q412:$AJ412,1,(BC$4-1)*5+2)))</f>
        <v/>
      </c>
      <c r="BD412" s="25">
        <f>BC412*(1/(1+INDEX($Q412:$AJ412,1,(BD$4-1)*5+4)))^(1+INDEX($Q412:$AJ412,1,(BD$4-1)*5+2))*(1+BD$7)^INDEX($Q412:$AJ412,1,(BD$4-1)*5+1)*(BD282/BC282)^INDEX($Q412:$AJ412,1,(BD$4-1)*5+2)*(BD282/BC282)^(INDEX($Q412:$AJ412,1,(BD$4-1)*5+3)*(1+INDEX($Q412:$AJ412,1,(BD$4-1)*5+2)))</f>
        <v/>
      </c>
      <c r="BE412" s="25">
        <f>BD412*(1/(1+INDEX($Q412:$AJ412,1,(BE$4-1)*5+4)))^(1+INDEX($Q412:$AJ412,1,(BE$4-1)*5+2))*(1+BE$7)^INDEX($Q412:$AJ412,1,(BE$4-1)*5+1)*(BE282/BD282)^INDEX($Q412:$AJ412,1,(BE$4-1)*5+2)*(BE282/BD282)^(INDEX($Q412:$AJ412,1,(BE$4-1)*5+3)*(1+INDEX($Q412:$AJ412,1,(BE$4-1)*5+2)))</f>
        <v/>
      </c>
      <c r="BF412" s="25">
        <f>BE412*(1/(1+INDEX($Q412:$AJ412,1,(BF$4-1)*5+4)))^(1+INDEX($Q412:$AJ412,1,(BF$4-1)*5+2))*(1+BF$7)^INDEX($Q412:$AJ412,1,(BF$4-1)*5+1)*(BF282/BE282)^INDEX($Q412:$AJ412,1,(BF$4-1)*5+2)*(BF282/BE282)^(INDEX($Q412:$AJ412,1,(BF$4-1)*5+3)*(1+INDEX($Q412:$AJ412,1,(BF$4-1)*5+2)))</f>
        <v/>
      </c>
      <c r="BG412" s="25">
        <f>BF412*(1/(1+INDEX($Q412:$AJ412,1,(BG$4-1)*5+4)))^(1+INDEX($Q412:$AJ412,1,(BG$4-1)*5+2))*(1+BG$7)^INDEX($Q412:$AJ412,1,(BG$4-1)*5+1)*(BG282/BF282)^INDEX($Q412:$AJ412,1,(BG$4-1)*5+2)*(BG282/BF282)^(INDEX($Q412:$AJ412,1,(BG$4-1)*5+3)*(1+INDEX($Q412:$AJ412,1,(BG$4-1)*5+2)))</f>
        <v/>
      </c>
      <c r="BH412" s="25">
        <f>BG412*(1/(1+INDEX($Q412:$AJ412,1,(BH$4-1)*5+4)))^(1+INDEX($Q412:$AJ412,1,(BH$4-1)*5+2))*(1+BH$7)^INDEX($Q412:$AJ412,1,(BH$4-1)*5+1)*(BH282/BG282)^INDEX($Q412:$AJ412,1,(BH$4-1)*5+2)*(BH282/BG282)^(INDEX($Q412:$AJ412,1,(BH$4-1)*5+3)*(1+INDEX($Q412:$AJ412,1,(BH$4-1)*5+2)))</f>
        <v/>
      </c>
      <c r="BI412" s="25">
        <f>BH412*(1/(1+INDEX($Q412:$AJ412,1,(BI$4-1)*5+4)))^(1+INDEX($Q412:$AJ412,1,(BI$4-1)*5+2))*(1+BI$7)^INDEX($Q412:$AJ412,1,(BI$4-1)*5+1)*(BI282/BH282)^INDEX($Q412:$AJ412,1,(BI$4-1)*5+2)*(BI282/BH282)^(INDEX($Q412:$AJ412,1,(BI$4-1)*5+3)*(1+INDEX($Q412:$AJ412,1,(BI$4-1)*5+2)))</f>
        <v/>
      </c>
      <c r="BJ412" s="25">
        <f>BI412*(1/(1+INDEX($Q412:$AJ412,1,(BJ$4-1)*5+4)))^(1+INDEX($Q412:$AJ412,1,(BJ$4-1)*5+2))*(1+BJ$7)^INDEX($Q412:$AJ412,1,(BJ$4-1)*5+1)*(BJ282/BI282)^INDEX($Q412:$AJ412,1,(BJ$4-1)*5+2)*(BJ282/BI282)^(INDEX($Q412:$AJ412,1,(BJ$4-1)*5+3)*(1+INDEX($Q412:$AJ412,1,(BJ$4-1)*5+2)))</f>
        <v/>
      </c>
      <c r="BK412" s="25">
        <f>BJ412*(1/(1+INDEX($Q412:$AJ412,1,(BK$4-1)*5+4)))^(1+INDEX($Q412:$AJ412,1,(BK$4-1)*5+2))*(1+BK$7)^INDEX($Q412:$AJ412,1,(BK$4-1)*5+1)*(BK282/BJ282)^INDEX($Q412:$AJ412,1,(BK$4-1)*5+2)*(BK282/BJ282)^(INDEX($Q412:$AJ412,1,(BK$4-1)*5+3)*(1+INDEX($Q412:$AJ412,1,(BK$4-1)*5+2)))</f>
        <v/>
      </c>
      <c r="BL412" s="25">
        <f>BK412*(1/(1+INDEX($Q412:$AJ412,1,(BL$4-1)*5+4)))^(1+INDEX($Q412:$AJ412,1,(BL$4-1)*5+2))*(1+BL$7)^INDEX($Q412:$AJ412,1,(BL$4-1)*5+1)*(BL282/BK282)^INDEX($Q412:$AJ412,1,(BL$4-1)*5+2)*(BL282/BK282)^(INDEX($Q412:$AJ412,1,(BL$4-1)*5+3)*(1+INDEX($Q412:$AJ412,1,(BL$4-1)*5+2)))</f>
        <v/>
      </c>
      <c r="BM412" s="25">
        <f>BL412*(1/(1+INDEX($Q412:$AJ412,1,(BM$4-1)*5+4)))^(1+INDEX($Q412:$AJ412,1,(BM$4-1)*5+2))*(1+BM$7)^INDEX($Q412:$AJ412,1,(BM$4-1)*5+1)*(BM282/BL282)^INDEX($Q412:$AJ412,1,(BM$4-1)*5+2)*(BM282/BL282)^(INDEX($Q412:$AJ412,1,(BM$4-1)*5+3)*(1+INDEX($Q412:$AJ412,1,(BM$4-1)*5+2)))</f>
        <v/>
      </c>
      <c r="BN412" s="25">
        <f>BM412*(1/(1+INDEX($Q412:$AJ412,1,(BN$4-1)*5+4)))^(1+INDEX($Q412:$AJ412,1,(BN$4-1)*5+2))*(1+BN$7)^INDEX($Q412:$AJ412,1,(BN$4-1)*5+1)*(BN282/BM282)^INDEX($Q412:$AJ412,1,(BN$4-1)*5+2)*(BN282/BM282)^(INDEX($Q412:$AJ412,1,(BN$4-1)*5+3)*(1+INDEX($Q412:$AJ412,1,(BN$4-1)*5+2)))</f>
        <v/>
      </c>
    </row>
    <row r="413">
      <c r="B413" s="5" t="inlineStr">
        <is>
          <t>lpg</t>
        </is>
      </c>
      <c r="C413" s="5" t="inlineStr">
        <is>
          <t>ral</t>
        </is>
      </c>
      <c r="D413" s="5" t="inlineStr">
        <is>
          <t>Fuel use | Rail | LPG</t>
        </is>
      </c>
      <c r="E413" s="5" t="inlineStr">
        <is>
          <t>ktoe</t>
        </is>
      </c>
      <c r="F413" s="5" t="inlineStr">
        <is>
          <t>EnergyCons (base year), Elasticities</t>
        </is>
      </c>
      <c r="G413" s="19" t="inlineStr">
        <is>
          <t>mit.enc.lpg.ral</t>
        </is>
      </c>
      <c r="H413" s="19" t="inlineStr">
        <is>
          <t>mit.enc.lpg.ral</t>
        </is>
      </c>
      <c r="J413" s="5">
        <f>INDEX(Mapping!$C$5:$C$20,MATCH($C413,Mapping!$A$5:$A$20,0))</f>
        <v/>
      </c>
      <c r="K413" s="5">
        <f>INDEX(Mapping!$D$5:$D$20,MATCH($C413,Mapping!$A$5:$A$20,0))</f>
        <v/>
      </c>
      <c r="L413" s="5">
        <f>INDEX(Mapping!$C$24:$C$31,MATCH($B413,Mapping!$A$24:$A$31,0))</f>
        <v/>
      </c>
      <c r="M413" s="5">
        <f>INDEX(Mapping!$D$24:$D$31,MATCH($B413,Mapping!$A$24:$A$31,0))</f>
        <v/>
      </c>
      <c r="N413" s="5">
        <f>$B413&amp;"."&amp;IF(INDEX(Mapping!$E$24:$E$31,MATCH($B413,Mapping!$A$24:$A$31,0))="sub",INDEX(Mapping!$F$5:$F$20,MATCH($C413,Mapping!$A$5:$A$20,0)),"all")</f>
        <v/>
      </c>
      <c r="O413" s="5">
        <f>INDEX(Mapping!$E$5:$E$20,MATCH($C413,Mapping!$A$5:$A$20,0))</f>
        <v/>
      </c>
      <c r="P413" s="5">
        <f>INDEX(Mapping!$G$24:$G$31,MATCH($B413,Mapping!$A$24:$A$31,0))</f>
        <v/>
      </c>
      <c r="Q413" s="22">
        <f>INDEX(Elasticities!$F$4:$I$200,MATCH("inc|"&amp;$L413&amp;"|"&amp;$K413,Elasticities!$A$4:$A$200,0),MATCH(Settings!$C$6,Elasticities!$F$3:$I$3,0))</f>
        <v/>
      </c>
      <c r="R413" s="22">
        <f>INDEX(Elasticities!$F$4:$I$200,MATCH("usg|"&amp;$L413&amp;"|"&amp;$K413,Elasticities!$A$4:$A$200,0),MATCH(Settings!$C$6,Elasticities!$F$3:$I$3,0))</f>
        <v/>
      </c>
      <c r="S413" s="22">
        <f>INDEX(Elasticities!$F$4:$I$200,MATCH("eff|"&amp;$L413&amp;"|"&amp;$K413,Elasticities!$A$4:$A$200,0),MATCH(Settings!$C$6,Elasticities!$F$3:$I$3,0))</f>
        <v/>
      </c>
      <c r="T413" s="22">
        <f>INDEX(Elasticities!$F$4:$I$200,MATCH("aei|"&amp;$M413&amp;"|"&amp;$K413,Elasticities!$A$4:$A$200,0),MATCH(Settings!$C$6,Elasticities!$F$3:$I$3,0))</f>
        <v/>
      </c>
      <c r="U413" s="21" t="n"/>
      <c r="V413" s="22">
        <f>Q413</f>
        <v/>
      </c>
      <c r="W413" s="22">
        <f>R413</f>
        <v/>
      </c>
      <c r="X413" s="22">
        <f>S413</f>
        <v/>
      </c>
      <c r="Y413" s="22">
        <f>T413</f>
        <v/>
      </c>
      <c r="Z413" s="21" t="n"/>
      <c r="AA413" s="22">
        <f>Q413</f>
        <v/>
      </c>
      <c r="AB413" s="22">
        <f>R413</f>
        <v/>
      </c>
      <c r="AC413" s="22">
        <f>S413</f>
        <v/>
      </c>
      <c r="AD413" s="22">
        <f>T413</f>
        <v/>
      </c>
      <c r="AE413" s="21" t="n"/>
      <c r="AF413" s="22">
        <f>Q413</f>
        <v/>
      </c>
      <c r="AG413" s="22">
        <f>R413</f>
        <v/>
      </c>
      <c r="AH413" s="22">
        <f>S413</f>
        <v/>
      </c>
      <c r="AI413" s="22">
        <f>T413</f>
        <v/>
      </c>
      <c r="AJ413" s="21" t="n"/>
      <c r="AL413" s="24">
        <f>INDEX(EnergyCons!$F$4:$F$5000,MATCH(Settings!$C$4&amp;"|"&amp;AL$5&amp;"|"&amp;$C413&amp;"|"&amp;$B413,EnergyCons!$A$4:$A$5000,0))</f>
        <v/>
      </c>
      <c r="AM413" s="25">
        <f>AL413*(1/(1+INDEX($Q413:$AJ413,1,(AM$4-1)*5+4)))^(1+INDEX($Q413:$AJ413,1,(AM$4-1)*5+2))*(1+AM$7)^INDEX($Q413:$AJ413,1,(AM$4-1)*5+1)*(AM283/AL283)^INDEX($Q413:$AJ413,1,(AM$4-1)*5+2)*(AM283/AL283)^(INDEX($Q413:$AJ413,1,(AM$4-1)*5+3)*(1+INDEX($Q413:$AJ413,1,(AM$4-1)*5+2)))</f>
        <v/>
      </c>
      <c r="AN413" s="25">
        <f>AM413*(1/(1+INDEX($Q413:$AJ413,1,(AN$4-1)*5+4)))^(1+INDEX($Q413:$AJ413,1,(AN$4-1)*5+2))*(1+AN$7)^INDEX($Q413:$AJ413,1,(AN$4-1)*5+1)*(AN283/AM283)^INDEX($Q413:$AJ413,1,(AN$4-1)*5+2)*(AN283/AM283)^(INDEX($Q413:$AJ413,1,(AN$4-1)*5+3)*(1+INDEX($Q413:$AJ413,1,(AN$4-1)*5+2)))</f>
        <v/>
      </c>
      <c r="AO413" s="25">
        <f>AN413*(1/(1+INDEX($Q413:$AJ413,1,(AO$4-1)*5+4)))^(1+INDEX($Q413:$AJ413,1,(AO$4-1)*5+2))*(1+AO$7)^INDEX($Q413:$AJ413,1,(AO$4-1)*5+1)*(AO283/AN283)^INDEX($Q413:$AJ413,1,(AO$4-1)*5+2)*(AO283/AN283)^(INDEX($Q413:$AJ413,1,(AO$4-1)*5+3)*(1+INDEX($Q413:$AJ413,1,(AO$4-1)*5+2)))</f>
        <v/>
      </c>
      <c r="AP413" s="25">
        <f>AO413*(1/(1+INDEX($Q413:$AJ413,1,(AP$4-1)*5+4)))^(1+INDEX($Q413:$AJ413,1,(AP$4-1)*5+2))*(1+AP$7)^INDEX($Q413:$AJ413,1,(AP$4-1)*5+1)*(AP283/AO283)^INDEX($Q413:$AJ413,1,(AP$4-1)*5+2)*(AP283/AO283)^(INDEX($Q413:$AJ413,1,(AP$4-1)*5+3)*(1+INDEX($Q413:$AJ413,1,(AP$4-1)*5+2)))</f>
        <v/>
      </c>
      <c r="AQ413" s="25">
        <f>AP413*(1/(1+INDEX($Q413:$AJ413,1,(AQ$4-1)*5+4)))^(1+INDEX($Q413:$AJ413,1,(AQ$4-1)*5+2))*(1+AQ$7)^INDEX($Q413:$AJ413,1,(AQ$4-1)*5+1)*(AQ283/AP283)^INDEX($Q413:$AJ413,1,(AQ$4-1)*5+2)*(AQ283/AP283)^(INDEX($Q413:$AJ413,1,(AQ$4-1)*5+3)*(1+INDEX($Q413:$AJ413,1,(AQ$4-1)*5+2)))</f>
        <v/>
      </c>
      <c r="AR413" s="25">
        <f>AQ413*(1/(1+INDEX($Q413:$AJ413,1,(AR$4-1)*5+4)))^(1+INDEX($Q413:$AJ413,1,(AR$4-1)*5+2))*(1+AR$7)^INDEX($Q413:$AJ413,1,(AR$4-1)*5+1)*(AR283/AQ283)^INDEX($Q413:$AJ413,1,(AR$4-1)*5+2)*(AR283/AQ283)^(INDEX($Q413:$AJ413,1,(AR$4-1)*5+3)*(1+INDEX($Q413:$AJ413,1,(AR$4-1)*5+2)))</f>
        <v/>
      </c>
      <c r="AS413" s="25">
        <f>AR413*(1/(1+INDEX($Q413:$AJ413,1,(AS$4-1)*5+4)))^(1+INDEX($Q413:$AJ413,1,(AS$4-1)*5+2))*(1+AS$7)^INDEX($Q413:$AJ413,1,(AS$4-1)*5+1)*(AS283/AR283)^INDEX($Q413:$AJ413,1,(AS$4-1)*5+2)*(AS283/AR283)^(INDEX($Q413:$AJ413,1,(AS$4-1)*5+3)*(1+INDEX($Q413:$AJ413,1,(AS$4-1)*5+2)))</f>
        <v/>
      </c>
      <c r="AT413" s="25">
        <f>AS413*(1/(1+INDEX($Q413:$AJ413,1,(AT$4-1)*5+4)))^(1+INDEX($Q413:$AJ413,1,(AT$4-1)*5+2))*(1+AT$7)^INDEX($Q413:$AJ413,1,(AT$4-1)*5+1)*(AT283/AS283)^INDEX($Q413:$AJ413,1,(AT$4-1)*5+2)*(AT283/AS283)^(INDEX($Q413:$AJ413,1,(AT$4-1)*5+3)*(1+INDEX($Q413:$AJ413,1,(AT$4-1)*5+2)))</f>
        <v/>
      </c>
      <c r="AU413" s="25">
        <f>AT413*(1/(1+INDEX($Q413:$AJ413,1,(AU$4-1)*5+4)))^(1+INDEX($Q413:$AJ413,1,(AU$4-1)*5+2))*(1+AU$7)^INDEX($Q413:$AJ413,1,(AU$4-1)*5+1)*(AU283/AT283)^INDEX($Q413:$AJ413,1,(AU$4-1)*5+2)*(AU283/AT283)^(INDEX($Q413:$AJ413,1,(AU$4-1)*5+3)*(1+INDEX($Q413:$AJ413,1,(AU$4-1)*5+2)))</f>
        <v/>
      </c>
      <c r="AV413" s="25">
        <f>AU413*(1/(1+INDEX($Q413:$AJ413,1,(AV$4-1)*5+4)))^(1+INDEX($Q413:$AJ413,1,(AV$4-1)*5+2))*(1+AV$7)^INDEX($Q413:$AJ413,1,(AV$4-1)*5+1)*(AV283/AU283)^INDEX($Q413:$AJ413,1,(AV$4-1)*5+2)*(AV283/AU283)^(INDEX($Q413:$AJ413,1,(AV$4-1)*5+3)*(1+INDEX($Q413:$AJ413,1,(AV$4-1)*5+2)))</f>
        <v/>
      </c>
      <c r="AW413" s="25">
        <f>AV413*(1/(1+INDEX($Q413:$AJ413,1,(AW$4-1)*5+4)))^(1+INDEX($Q413:$AJ413,1,(AW$4-1)*5+2))*(1+AW$7)^INDEX($Q413:$AJ413,1,(AW$4-1)*5+1)*(AW283/AV283)^INDEX($Q413:$AJ413,1,(AW$4-1)*5+2)*(AW283/AV283)^(INDEX($Q413:$AJ413,1,(AW$4-1)*5+3)*(1+INDEX($Q413:$AJ413,1,(AW$4-1)*5+2)))</f>
        <v/>
      </c>
      <c r="AX413" s="25">
        <f>AW413*(1/(1+INDEX($Q413:$AJ413,1,(AX$4-1)*5+4)))^(1+INDEX($Q413:$AJ413,1,(AX$4-1)*5+2))*(1+AX$7)^INDEX($Q413:$AJ413,1,(AX$4-1)*5+1)*(AX283/AW283)^INDEX($Q413:$AJ413,1,(AX$4-1)*5+2)*(AX283/AW283)^(INDEX($Q413:$AJ413,1,(AX$4-1)*5+3)*(1+INDEX($Q413:$AJ413,1,(AX$4-1)*5+2)))</f>
        <v/>
      </c>
      <c r="AY413" s="25">
        <f>AX413*(1/(1+INDEX($Q413:$AJ413,1,(AY$4-1)*5+4)))^(1+INDEX($Q413:$AJ413,1,(AY$4-1)*5+2))*(1+AY$7)^INDEX($Q413:$AJ413,1,(AY$4-1)*5+1)*(AY283/AX283)^INDEX($Q413:$AJ413,1,(AY$4-1)*5+2)*(AY283/AX283)^(INDEX($Q413:$AJ413,1,(AY$4-1)*5+3)*(1+INDEX($Q413:$AJ413,1,(AY$4-1)*5+2)))</f>
        <v/>
      </c>
      <c r="BA413" s="24">
        <f>INDEX(EnergyCons!$F$4:$F$5000,MATCH(Settings!$C$4&amp;"|"&amp;BA$5&amp;"|"&amp;$C413&amp;"|"&amp;$B413,EnergyCons!$A$4:$A$5000,0))</f>
        <v/>
      </c>
      <c r="BB413" s="25">
        <f>BA413*(1/(1+INDEX($Q413:$AJ413,1,(BB$4-1)*5+4)))^(1+INDEX($Q413:$AJ413,1,(BB$4-1)*5+2))*(1+BB$7)^INDEX($Q413:$AJ413,1,(BB$4-1)*5+1)*(BB283/BA283)^INDEX($Q413:$AJ413,1,(BB$4-1)*5+2)*(BB283/BA283)^(INDEX($Q413:$AJ413,1,(BB$4-1)*5+3)*(1+INDEX($Q413:$AJ413,1,(BB$4-1)*5+2)))</f>
        <v/>
      </c>
      <c r="BC413" s="25">
        <f>BB413*(1/(1+INDEX($Q413:$AJ413,1,(BC$4-1)*5+4)))^(1+INDEX($Q413:$AJ413,1,(BC$4-1)*5+2))*(1+BC$7)^INDEX($Q413:$AJ413,1,(BC$4-1)*5+1)*(BC283/BB283)^INDEX($Q413:$AJ413,1,(BC$4-1)*5+2)*(BC283/BB283)^(INDEX($Q413:$AJ413,1,(BC$4-1)*5+3)*(1+INDEX($Q413:$AJ413,1,(BC$4-1)*5+2)))</f>
        <v/>
      </c>
      <c r="BD413" s="25">
        <f>BC413*(1/(1+INDEX($Q413:$AJ413,1,(BD$4-1)*5+4)))^(1+INDEX($Q413:$AJ413,1,(BD$4-1)*5+2))*(1+BD$7)^INDEX($Q413:$AJ413,1,(BD$4-1)*5+1)*(BD283/BC283)^INDEX($Q413:$AJ413,1,(BD$4-1)*5+2)*(BD283/BC283)^(INDEX($Q413:$AJ413,1,(BD$4-1)*5+3)*(1+INDEX($Q413:$AJ413,1,(BD$4-1)*5+2)))</f>
        <v/>
      </c>
      <c r="BE413" s="25">
        <f>BD413*(1/(1+INDEX($Q413:$AJ413,1,(BE$4-1)*5+4)))^(1+INDEX($Q413:$AJ413,1,(BE$4-1)*5+2))*(1+BE$7)^INDEX($Q413:$AJ413,1,(BE$4-1)*5+1)*(BE283/BD283)^INDEX($Q413:$AJ413,1,(BE$4-1)*5+2)*(BE283/BD283)^(INDEX($Q413:$AJ413,1,(BE$4-1)*5+3)*(1+INDEX($Q413:$AJ413,1,(BE$4-1)*5+2)))</f>
        <v/>
      </c>
      <c r="BF413" s="25">
        <f>BE413*(1/(1+INDEX($Q413:$AJ413,1,(BF$4-1)*5+4)))^(1+INDEX($Q413:$AJ413,1,(BF$4-1)*5+2))*(1+BF$7)^INDEX($Q413:$AJ413,1,(BF$4-1)*5+1)*(BF283/BE283)^INDEX($Q413:$AJ413,1,(BF$4-1)*5+2)*(BF283/BE283)^(INDEX($Q413:$AJ413,1,(BF$4-1)*5+3)*(1+INDEX($Q413:$AJ413,1,(BF$4-1)*5+2)))</f>
        <v/>
      </c>
      <c r="BG413" s="25">
        <f>BF413*(1/(1+INDEX($Q413:$AJ413,1,(BG$4-1)*5+4)))^(1+INDEX($Q413:$AJ413,1,(BG$4-1)*5+2))*(1+BG$7)^INDEX($Q413:$AJ413,1,(BG$4-1)*5+1)*(BG283/BF283)^INDEX($Q413:$AJ413,1,(BG$4-1)*5+2)*(BG283/BF283)^(INDEX($Q413:$AJ413,1,(BG$4-1)*5+3)*(1+INDEX($Q413:$AJ413,1,(BG$4-1)*5+2)))</f>
        <v/>
      </c>
      <c r="BH413" s="25">
        <f>BG413*(1/(1+INDEX($Q413:$AJ413,1,(BH$4-1)*5+4)))^(1+INDEX($Q413:$AJ413,1,(BH$4-1)*5+2))*(1+BH$7)^INDEX($Q413:$AJ413,1,(BH$4-1)*5+1)*(BH283/BG283)^INDEX($Q413:$AJ413,1,(BH$4-1)*5+2)*(BH283/BG283)^(INDEX($Q413:$AJ413,1,(BH$4-1)*5+3)*(1+INDEX($Q413:$AJ413,1,(BH$4-1)*5+2)))</f>
        <v/>
      </c>
      <c r="BI413" s="25">
        <f>BH413*(1/(1+INDEX($Q413:$AJ413,1,(BI$4-1)*5+4)))^(1+INDEX($Q413:$AJ413,1,(BI$4-1)*5+2))*(1+BI$7)^INDEX($Q413:$AJ413,1,(BI$4-1)*5+1)*(BI283/BH283)^INDEX($Q413:$AJ413,1,(BI$4-1)*5+2)*(BI283/BH283)^(INDEX($Q413:$AJ413,1,(BI$4-1)*5+3)*(1+INDEX($Q413:$AJ413,1,(BI$4-1)*5+2)))</f>
        <v/>
      </c>
      <c r="BJ413" s="25">
        <f>BI413*(1/(1+INDEX($Q413:$AJ413,1,(BJ$4-1)*5+4)))^(1+INDEX($Q413:$AJ413,1,(BJ$4-1)*5+2))*(1+BJ$7)^INDEX($Q413:$AJ413,1,(BJ$4-1)*5+1)*(BJ283/BI283)^INDEX($Q413:$AJ413,1,(BJ$4-1)*5+2)*(BJ283/BI283)^(INDEX($Q413:$AJ413,1,(BJ$4-1)*5+3)*(1+INDEX($Q413:$AJ413,1,(BJ$4-1)*5+2)))</f>
        <v/>
      </c>
      <c r="BK413" s="25">
        <f>BJ413*(1/(1+INDEX($Q413:$AJ413,1,(BK$4-1)*5+4)))^(1+INDEX($Q413:$AJ413,1,(BK$4-1)*5+2))*(1+BK$7)^INDEX($Q413:$AJ413,1,(BK$4-1)*5+1)*(BK283/BJ283)^INDEX($Q413:$AJ413,1,(BK$4-1)*5+2)*(BK283/BJ283)^(INDEX($Q413:$AJ413,1,(BK$4-1)*5+3)*(1+INDEX($Q413:$AJ413,1,(BK$4-1)*5+2)))</f>
        <v/>
      </c>
      <c r="BL413" s="25">
        <f>BK413*(1/(1+INDEX($Q413:$AJ413,1,(BL$4-1)*5+4)))^(1+INDEX($Q413:$AJ413,1,(BL$4-1)*5+2))*(1+BL$7)^INDEX($Q413:$AJ413,1,(BL$4-1)*5+1)*(BL283/BK283)^INDEX($Q413:$AJ413,1,(BL$4-1)*5+2)*(BL283/BK283)^(INDEX($Q413:$AJ413,1,(BL$4-1)*5+3)*(1+INDEX($Q413:$AJ413,1,(BL$4-1)*5+2)))</f>
        <v/>
      </c>
      <c r="BM413" s="25">
        <f>BL413*(1/(1+INDEX($Q413:$AJ413,1,(BM$4-1)*5+4)))^(1+INDEX($Q413:$AJ413,1,(BM$4-1)*5+2))*(1+BM$7)^INDEX($Q413:$AJ413,1,(BM$4-1)*5+1)*(BM283/BL283)^INDEX($Q413:$AJ413,1,(BM$4-1)*5+2)*(BM283/BL283)^(INDEX($Q413:$AJ413,1,(BM$4-1)*5+3)*(1+INDEX($Q413:$AJ413,1,(BM$4-1)*5+2)))</f>
        <v/>
      </c>
      <c r="BN413" s="25">
        <f>BM413*(1/(1+INDEX($Q413:$AJ413,1,(BN$4-1)*5+4)))^(1+INDEX($Q413:$AJ413,1,(BN$4-1)*5+2))*(1+BN$7)^INDEX($Q413:$AJ413,1,(BN$4-1)*5+1)*(BN283/BM283)^INDEX($Q413:$AJ413,1,(BN$4-1)*5+2)*(BN283/BM283)^(INDEX($Q413:$AJ413,1,(BN$4-1)*5+3)*(1+INDEX($Q413:$AJ413,1,(BN$4-1)*5+2)))</f>
        <v/>
      </c>
    </row>
    <row r="414">
      <c r="B414" s="5" t="inlineStr">
        <is>
          <t>ker</t>
        </is>
      </c>
      <c r="C414" s="5" t="inlineStr">
        <is>
          <t>ral</t>
        </is>
      </c>
      <c r="D414" s="5" t="inlineStr">
        <is>
          <t>Fuel use | Rail | Kerosene</t>
        </is>
      </c>
      <c r="E414" s="5" t="inlineStr">
        <is>
          <t>ktoe</t>
        </is>
      </c>
      <c r="F414" s="5" t="inlineStr">
        <is>
          <t>EnergyCons (base year), Elasticities</t>
        </is>
      </c>
      <c r="G414" s="19" t="inlineStr">
        <is>
          <t>mit.enc.ker.ral</t>
        </is>
      </c>
      <c r="H414" s="19" t="inlineStr">
        <is>
          <t>mit.enc.ker.ral</t>
        </is>
      </c>
      <c r="J414" s="5">
        <f>INDEX(Mapping!$C$5:$C$20,MATCH($C414,Mapping!$A$5:$A$20,0))</f>
        <v/>
      </c>
      <c r="K414" s="5">
        <f>INDEX(Mapping!$D$5:$D$20,MATCH($C414,Mapping!$A$5:$A$20,0))</f>
        <v/>
      </c>
      <c r="L414" s="5">
        <f>INDEX(Mapping!$C$24:$C$31,MATCH($B414,Mapping!$A$24:$A$31,0))</f>
        <v/>
      </c>
      <c r="M414" s="5">
        <f>INDEX(Mapping!$D$24:$D$31,MATCH($B414,Mapping!$A$24:$A$31,0))</f>
        <v/>
      </c>
      <c r="N414" s="5">
        <f>$B414&amp;"."&amp;IF(INDEX(Mapping!$E$24:$E$31,MATCH($B414,Mapping!$A$24:$A$31,0))="sub",INDEX(Mapping!$F$5:$F$20,MATCH($C414,Mapping!$A$5:$A$20,0)),"all")</f>
        <v/>
      </c>
      <c r="O414" s="5">
        <f>INDEX(Mapping!$E$5:$E$20,MATCH($C414,Mapping!$A$5:$A$20,0))</f>
        <v/>
      </c>
      <c r="P414" s="5">
        <f>INDEX(Mapping!$G$24:$G$31,MATCH($B414,Mapping!$A$24:$A$31,0))</f>
        <v/>
      </c>
      <c r="Q414" s="22">
        <f>INDEX(Elasticities!$F$4:$I$200,MATCH("inc|"&amp;$L414&amp;"|"&amp;$K414,Elasticities!$A$4:$A$200,0),MATCH(Settings!$C$6,Elasticities!$F$3:$I$3,0))</f>
        <v/>
      </c>
      <c r="R414" s="22">
        <f>INDEX(Elasticities!$F$4:$I$200,MATCH("usg|"&amp;$L414&amp;"|"&amp;$K414,Elasticities!$A$4:$A$200,0),MATCH(Settings!$C$6,Elasticities!$F$3:$I$3,0))</f>
        <v/>
      </c>
      <c r="S414" s="22">
        <f>INDEX(Elasticities!$F$4:$I$200,MATCH("eff|"&amp;$L414&amp;"|"&amp;$K414,Elasticities!$A$4:$A$200,0),MATCH(Settings!$C$6,Elasticities!$F$3:$I$3,0))</f>
        <v/>
      </c>
      <c r="T414" s="22">
        <f>INDEX(Elasticities!$F$4:$I$200,MATCH("aei|"&amp;$M414&amp;"|"&amp;$K414,Elasticities!$A$4:$A$200,0),MATCH(Settings!$C$6,Elasticities!$F$3:$I$3,0))</f>
        <v/>
      </c>
      <c r="U414" s="21" t="n"/>
      <c r="V414" s="22">
        <f>Q414</f>
        <v/>
      </c>
      <c r="W414" s="22">
        <f>R414</f>
        <v/>
      </c>
      <c r="X414" s="22">
        <f>S414</f>
        <v/>
      </c>
      <c r="Y414" s="22">
        <f>T414</f>
        <v/>
      </c>
      <c r="Z414" s="21" t="n"/>
      <c r="AA414" s="22">
        <f>Q414</f>
        <v/>
      </c>
      <c r="AB414" s="22">
        <f>R414</f>
        <v/>
      </c>
      <c r="AC414" s="22">
        <f>S414</f>
        <v/>
      </c>
      <c r="AD414" s="22">
        <f>T414</f>
        <v/>
      </c>
      <c r="AE414" s="21" t="n"/>
      <c r="AF414" s="22">
        <f>Q414</f>
        <v/>
      </c>
      <c r="AG414" s="22">
        <f>R414</f>
        <v/>
      </c>
      <c r="AH414" s="22">
        <f>S414</f>
        <v/>
      </c>
      <c r="AI414" s="22">
        <f>T414</f>
        <v/>
      </c>
      <c r="AJ414" s="21" t="n"/>
      <c r="AL414" s="24">
        <f>INDEX(EnergyCons!$F$4:$F$5000,MATCH(Settings!$C$4&amp;"|"&amp;AL$5&amp;"|"&amp;$C414&amp;"|"&amp;$B414,EnergyCons!$A$4:$A$5000,0))</f>
        <v/>
      </c>
      <c r="AM414" s="25">
        <f>AL414*(1/(1+INDEX($Q414:$AJ414,1,(AM$4-1)*5+4)))^(1+INDEX($Q414:$AJ414,1,(AM$4-1)*5+2))*(1+AM$7)^INDEX($Q414:$AJ414,1,(AM$4-1)*5+1)*(AM284/AL284)^INDEX($Q414:$AJ414,1,(AM$4-1)*5+2)*(AM284/AL284)^(INDEX($Q414:$AJ414,1,(AM$4-1)*5+3)*(1+INDEX($Q414:$AJ414,1,(AM$4-1)*5+2)))</f>
        <v/>
      </c>
      <c r="AN414" s="25">
        <f>AM414*(1/(1+INDEX($Q414:$AJ414,1,(AN$4-1)*5+4)))^(1+INDEX($Q414:$AJ414,1,(AN$4-1)*5+2))*(1+AN$7)^INDEX($Q414:$AJ414,1,(AN$4-1)*5+1)*(AN284/AM284)^INDEX($Q414:$AJ414,1,(AN$4-1)*5+2)*(AN284/AM284)^(INDEX($Q414:$AJ414,1,(AN$4-1)*5+3)*(1+INDEX($Q414:$AJ414,1,(AN$4-1)*5+2)))</f>
        <v/>
      </c>
      <c r="AO414" s="25">
        <f>AN414*(1/(1+INDEX($Q414:$AJ414,1,(AO$4-1)*5+4)))^(1+INDEX($Q414:$AJ414,1,(AO$4-1)*5+2))*(1+AO$7)^INDEX($Q414:$AJ414,1,(AO$4-1)*5+1)*(AO284/AN284)^INDEX($Q414:$AJ414,1,(AO$4-1)*5+2)*(AO284/AN284)^(INDEX($Q414:$AJ414,1,(AO$4-1)*5+3)*(1+INDEX($Q414:$AJ414,1,(AO$4-1)*5+2)))</f>
        <v/>
      </c>
      <c r="AP414" s="25">
        <f>AO414*(1/(1+INDEX($Q414:$AJ414,1,(AP$4-1)*5+4)))^(1+INDEX($Q414:$AJ414,1,(AP$4-1)*5+2))*(1+AP$7)^INDEX($Q414:$AJ414,1,(AP$4-1)*5+1)*(AP284/AO284)^INDEX($Q414:$AJ414,1,(AP$4-1)*5+2)*(AP284/AO284)^(INDEX($Q414:$AJ414,1,(AP$4-1)*5+3)*(1+INDEX($Q414:$AJ414,1,(AP$4-1)*5+2)))</f>
        <v/>
      </c>
      <c r="AQ414" s="25">
        <f>AP414*(1/(1+INDEX($Q414:$AJ414,1,(AQ$4-1)*5+4)))^(1+INDEX($Q414:$AJ414,1,(AQ$4-1)*5+2))*(1+AQ$7)^INDEX($Q414:$AJ414,1,(AQ$4-1)*5+1)*(AQ284/AP284)^INDEX($Q414:$AJ414,1,(AQ$4-1)*5+2)*(AQ284/AP284)^(INDEX($Q414:$AJ414,1,(AQ$4-1)*5+3)*(1+INDEX($Q414:$AJ414,1,(AQ$4-1)*5+2)))</f>
        <v/>
      </c>
      <c r="AR414" s="25">
        <f>AQ414*(1/(1+INDEX($Q414:$AJ414,1,(AR$4-1)*5+4)))^(1+INDEX($Q414:$AJ414,1,(AR$4-1)*5+2))*(1+AR$7)^INDEX($Q414:$AJ414,1,(AR$4-1)*5+1)*(AR284/AQ284)^INDEX($Q414:$AJ414,1,(AR$4-1)*5+2)*(AR284/AQ284)^(INDEX($Q414:$AJ414,1,(AR$4-1)*5+3)*(1+INDEX($Q414:$AJ414,1,(AR$4-1)*5+2)))</f>
        <v/>
      </c>
      <c r="AS414" s="25">
        <f>AR414*(1/(1+INDEX($Q414:$AJ414,1,(AS$4-1)*5+4)))^(1+INDEX($Q414:$AJ414,1,(AS$4-1)*5+2))*(1+AS$7)^INDEX($Q414:$AJ414,1,(AS$4-1)*5+1)*(AS284/AR284)^INDEX($Q414:$AJ414,1,(AS$4-1)*5+2)*(AS284/AR284)^(INDEX($Q414:$AJ414,1,(AS$4-1)*5+3)*(1+INDEX($Q414:$AJ414,1,(AS$4-1)*5+2)))</f>
        <v/>
      </c>
      <c r="AT414" s="25">
        <f>AS414*(1/(1+INDEX($Q414:$AJ414,1,(AT$4-1)*5+4)))^(1+INDEX($Q414:$AJ414,1,(AT$4-1)*5+2))*(1+AT$7)^INDEX($Q414:$AJ414,1,(AT$4-1)*5+1)*(AT284/AS284)^INDEX($Q414:$AJ414,1,(AT$4-1)*5+2)*(AT284/AS284)^(INDEX($Q414:$AJ414,1,(AT$4-1)*5+3)*(1+INDEX($Q414:$AJ414,1,(AT$4-1)*5+2)))</f>
        <v/>
      </c>
      <c r="AU414" s="25">
        <f>AT414*(1/(1+INDEX($Q414:$AJ414,1,(AU$4-1)*5+4)))^(1+INDEX($Q414:$AJ414,1,(AU$4-1)*5+2))*(1+AU$7)^INDEX($Q414:$AJ414,1,(AU$4-1)*5+1)*(AU284/AT284)^INDEX($Q414:$AJ414,1,(AU$4-1)*5+2)*(AU284/AT284)^(INDEX($Q414:$AJ414,1,(AU$4-1)*5+3)*(1+INDEX($Q414:$AJ414,1,(AU$4-1)*5+2)))</f>
        <v/>
      </c>
      <c r="AV414" s="25">
        <f>AU414*(1/(1+INDEX($Q414:$AJ414,1,(AV$4-1)*5+4)))^(1+INDEX($Q414:$AJ414,1,(AV$4-1)*5+2))*(1+AV$7)^INDEX($Q414:$AJ414,1,(AV$4-1)*5+1)*(AV284/AU284)^INDEX($Q414:$AJ414,1,(AV$4-1)*5+2)*(AV284/AU284)^(INDEX($Q414:$AJ414,1,(AV$4-1)*5+3)*(1+INDEX($Q414:$AJ414,1,(AV$4-1)*5+2)))</f>
        <v/>
      </c>
      <c r="AW414" s="25">
        <f>AV414*(1/(1+INDEX($Q414:$AJ414,1,(AW$4-1)*5+4)))^(1+INDEX($Q414:$AJ414,1,(AW$4-1)*5+2))*(1+AW$7)^INDEX($Q414:$AJ414,1,(AW$4-1)*5+1)*(AW284/AV284)^INDEX($Q414:$AJ414,1,(AW$4-1)*5+2)*(AW284/AV284)^(INDEX($Q414:$AJ414,1,(AW$4-1)*5+3)*(1+INDEX($Q414:$AJ414,1,(AW$4-1)*5+2)))</f>
        <v/>
      </c>
      <c r="AX414" s="25">
        <f>AW414*(1/(1+INDEX($Q414:$AJ414,1,(AX$4-1)*5+4)))^(1+INDEX($Q414:$AJ414,1,(AX$4-1)*5+2))*(1+AX$7)^INDEX($Q414:$AJ414,1,(AX$4-1)*5+1)*(AX284/AW284)^INDEX($Q414:$AJ414,1,(AX$4-1)*5+2)*(AX284/AW284)^(INDEX($Q414:$AJ414,1,(AX$4-1)*5+3)*(1+INDEX($Q414:$AJ414,1,(AX$4-1)*5+2)))</f>
        <v/>
      </c>
      <c r="AY414" s="25">
        <f>AX414*(1/(1+INDEX($Q414:$AJ414,1,(AY$4-1)*5+4)))^(1+INDEX($Q414:$AJ414,1,(AY$4-1)*5+2))*(1+AY$7)^INDEX($Q414:$AJ414,1,(AY$4-1)*5+1)*(AY284/AX284)^INDEX($Q414:$AJ414,1,(AY$4-1)*5+2)*(AY284/AX284)^(INDEX($Q414:$AJ414,1,(AY$4-1)*5+3)*(1+INDEX($Q414:$AJ414,1,(AY$4-1)*5+2)))</f>
        <v/>
      </c>
      <c r="BA414" s="24">
        <f>INDEX(EnergyCons!$F$4:$F$5000,MATCH(Settings!$C$4&amp;"|"&amp;BA$5&amp;"|"&amp;$C414&amp;"|"&amp;$B414,EnergyCons!$A$4:$A$5000,0))</f>
        <v/>
      </c>
      <c r="BB414" s="25">
        <f>BA414*(1/(1+INDEX($Q414:$AJ414,1,(BB$4-1)*5+4)))^(1+INDEX($Q414:$AJ414,1,(BB$4-1)*5+2))*(1+BB$7)^INDEX($Q414:$AJ414,1,(BB$4-1)*5+1)*(BB284/BA284)^INDEX($Q414:$AJ414,1,(BB$4-1)*5+2)*(BB284/BA284)^(INDEX($Q414:$AJ414,1,(BB$4-1)*5+3)*(1+INDEX($Q414:$AJ414,1,(BB$4-1)*5+2)))</f>
        <v/>
      </c>
      <c r="BC414" s="25">
        <f>BB414*(1/(1+INDEX($Q414:$AJ414,1,(BC$4-1)*5+4)))^(1+INDEX($Q414:$AJ414,1,(BC$4-1)*5+2))*(1+BC$7)^INDEX($Q414:$AJ414,1,(BC$4-1)*5+1)*(BC284/BB284)^INDEX($Q414:$AJ414,1,(BC$4-1)*5+2)*(BC284/BB284)^(INDEX($Q414:$AJ414,1,(BC$4-1)*5+3)*(1+INDEX($Q414:$AJ414,1,(BC$4-1)*5+2)))</f>
        <v/>
      </c>
      <c r="BD414" s="25">
        <f>BC414*(1/(1+INDEX($Q414:$AJ414,1,(BD$4-1)*5+4)))^(1+INDEX($Q414:$AJ414,1,(BD$4-1)*5+2))*(1+BD$7)^INDEX($Q414:$AJ414,1,(BD$4-1)*5+1)*(BD284/BC284)^INDEX($Q414:$AJ414,1,(BD$4-1)*5+2)*(BD284/BC284)^(INDEX($Q414:$AJ414,1,(BD$4-1)*5+3)*(1+INDEX($Q414:$AJ414,1,(BD$4-1)*5+2)))</f>
        <v/>
      </c>
      <c r="BE414" s="25">
        <f>BD414*(1/(1+INDEX($Q414:$AJ414,1,(BE$4-1)*5+4)))^(1+INDEX($Q414:$AJ414,1,(BE$4-1)*5+2))*(1+BE$7)^INDEX($Q414:$AJ414,1,(BE$4-1)*5+1)*(BE284/BD284)^INDEX($Q414:$AJ414,1,(BE$4-1)*5+2)*(BE284/BD284)^(INDEX($Q414:$AJ414,1,(BE$4-1)*5+3)*(1+INDEX($Q414:$AJ414,1,(BE$4-1)*5+2)))</f>
        <v/>
      </c>
      <c r="BF414" s="25">
        <f>BE414*(1/(1+INDEX($Q414:$AJ414,1,(BF$4-1)*5+4)))^(1+INDEX($Q414:$AJ414,1,(BF$4-1)*5+2))*(1+BF$7)^INDEX($Q414:$AJ414,1,(BF$4-1)*5+1)*(BF284/BE284)^INDEX($Q414:$AJ414,1,(BF$4-1)*5+2)*(BF284/BE284)^(INDEX($Q414:$AJ414,1,(BF$4-1)*5+3)*(1+INDEX($Q414:$AJ414,1,(BF$4-1)*5+2)))</f>
        <v/>
      </c>
      <c r="BG414" s="25">
        <f>BF414*(1/(1+INDEX($Q414:$AJ414,1,(BG$4-1)*5+4)))^(1+INDEX($Q414:$AJ414,1,(BG$4-1)*5+2))*(1+BG$7)^INDEX($Q414:$AJ414,1,(BG$4-1)*5+1)*(BG284/BF284)^INDEX($Q414:$AJ414,1,(BG$4-1)*5+2)*(BG284/BF284)^(INDEX($Q414:$AJ414,1,(BG$4-1)*5+3)*(1+INDEX($Q414:$AJ414,1,(BG$4-1)*5+2)))</f>
        <v/>
      </c>
      <c r="BH414" s="25">
        <f>BG414*(1/(1+INDEX($Q414:$AJ414,1,(BH$4-1)*5+4)))^(1+INDEX($Q414:$AJ414,1,(BH$4-1)*5+2))*(1+BH$7)^INDEX($Q414:$AJ414,1,(BH$4-1)*5+1)*(BH284/BG284)^INDEX($Q414:$AJ414,1,(BH$4-1)*5+2)*(BH284/BG284)^(INDEX($Q414:$AJ414,1,(BH$4-1)*5+3)*(1+INDEX($Q414:$AJ414,1,(BH$4-1)*5+2)))</f>
        <v/>
      </c>
      <c r="BI414" s="25">
        <f>BH414*(1/(1+INDEX($Q414:$AJ414,1,(BI$4-1)*5+4)))^(1+INDEX($Q414:$AJ414,1,(BI$4-1)*5+2))*(1+BI$7)^INDEX($Q414:$AJ414,1,(BI$4-1)*5+1)*(BI284/BH284)^INDEX($Q414:$AJ414,1,(BI$4-1)*5+2)*(BI284/BH284)^(INDEX($Q414:$AJ414,1,(BI$4-1)*5+3)*(1+INDEX($Q414:$AJ414,1,(BI$4-1)*5+2)))</f>
        <v/>
      </c>
      <c r="BJ414" s="25">
        <f>BI414*(1/(1+INDEX($Q414:$AJ414,1,(BJ$4-1)*5+4)))^(1+INDEX($Q414:$AJ414,1,(BJ$4-1)*5+2))*(1+BJ$7)^INDEX($Q414:$AJ414,1,(BJ$4-1)*5+1)*(BJ284/BI284)^INDEX($Q414:$AJ414,1,(BJ$4-1)*5+2)*(BJ284/BI284)^(INDEX($Q414:$AJ414,1,(BJ$4-1)*5+3)*(1+INDEX($Q414:$AJ414,1,(BJ$4-1)*5+2)))</f>
        <v/>
      </c>
      <c r="BK414" s="25">
        <f>BJ414*(1/(1+INDEX($Q414:$AJ414,1,(BK$4-1)*5+4)))^(1+INDEX($Q414:$AJ414,1,(BK$4-1)*5+2))*(1+BK$7)^INDEX($Q414:$AJ414,1,(BK$4-1)*5+1)*(BK284/BJ284)^INDEX($Q414:$AJ414,1,(BK$4-1)*5+2)*(BK284/BJ284)^(INDEX($Q414:$AJ414,1,(BK$4-1)*5+3)*(1+INDEX($Q414:$AJ414,1,(BK$4-1)*5+2)))</f>
        <v/>
      </c>
      <c r="BL414" s="25">
        <f>BK414*(1/(1+INDEX($Q414:$AJ414,1,(BL$4-1)*5+4)))^(1+INDEX($Q414:$AJ414,1,(BL$4-1)*5+2))*(1+BL$7)^INDEX($Q414:$AJ414,1,(BL$4-1)*5+1)*(BL284/BK284)^INDEX($Q414:$AJ414,1,(BL$4-1)*5+2)*(BL284/BK284)^(INDEX($Q414:$AJ414,1,(BL$4-1)*5+3)*(1+INDEX($Q414:$AJ414,1,(BL$4-1)*5+2)))</f>
        <v/>
      </c>
      <c r="BM414" s="25">
        <f>BL414*(1/(1+INDEX($Q414:$AJ414,1,(BM$4-1)*5+4)))^(1+INDEX($Q414:$AJ414,1,(BM$4-1)*5+2))*(1+BM$7)^INDEX($Q414:$AJ414,1,(BM$4-1)*5+1)*(BM284/BL284)^INDEX($Q414:$AJ414,1,(BM$4-1)*5+2)*(BM284/BL284)^(INDEX($Q414:$AJ414,1,(BM$4-1)*5+3)*(1+INDEX($Q414:$AJ414,1,(BM$4-1)*5+2)))</f>
        <v/>
      </c>
      <c r="BN414" s="25">
        <f>BM414*(1/(1+INDEX($Q414:$AJ414,1,(BN$4-1)*5+4)))^(1+INDEX($Q414:$AJ414,1,(BN$4-1)*5+2))*(1+BN$7)^INDEX($Q414:$AJ414,1,(BN$4-1)*5+1)*(BN284/BM284)^INDEX($Q414:$AJ414,1,(BN$4-1)*5+2)*(BN284/BM284)^(INDEX($Q414:$AJ414,1,(BN$4-1)*5+3)*(1+INDEX($Q414:$AJ414,1,(BN$4-1)*5+2)))</f>
        <v/>
      </c>
    </row>
    <row r="415">
      <c r="B415" s="5" t="inlineStr">
        <is>
          <t>oop</t>
        </is>
      </c>
      <c r="C415" s="5" t="inlineStr">
        <is>
          <t>ral</t>
        </is>
      </c>
      <c r="D415" s="5" t="inlineStr">
        <is>
          <t>Fuel use | Rail | Other oil products</t>
        </is>
      </c>
      <c r="E415" s="5" t="inlineStr">
        <is>
          <t>ktoe</t>
        </is>
      </c>
      <c r="F415" s="5" t="inlineStr">
        <is>
          <t>EnergyCons (base year), Elasticities</t>
        </is>
      </c>
      <c r="G415" s="19" t="inlineStr">
        <is>
          <t>mit.enc.oop.ral</t>
        </is>
      </c>
      <c r="H415" s="19" t="inlineStr">
        <is>
          <t>mit.enc.oop.ral</t>
        </is>
      </c>
      <c r="J415" s="5">
        <f>INDEX(Mapping!$C$5:$C$20,MATCH($C415,Mapping!$A$5:$A$20,0))</f>
        <v/>
      </c>
      <c r="K415" s="5">
        <f>INDEX(Mapping!$D$5:$D$20,MATCH($C415,Mapping!$A$5:$A$20,0))</f>
        <v/>
      </c>
      <c r="L415" s="5">
        <f>INDEX(Mapping!$C$24:$C$31,MATCH($B415,Mapping!$A$24:$A$31,0))</f>
        <v/>
      </c>
      <c r="M415" s="5">
        <f>INDEX(Mapping!$D$24:$D$31,MATCH($B415,Mapping!$A$24:$A$31,0))</f>
        <v/>
      </c>
      <c r="N415" s="5">
        <f>$B415&amp;"."&amp;IF(INDEX(Mapping!$E$24:$E$31,MATCH($B415,Mapping!$A$24:$A$31,0))="sub",INDEX(Mapping!$F$5:$F$20,MATCH($C415,Mapping!$A$5:$A$20,0)),"all")</f>
        <v/>
      </c>
      <c r="O415" s="5">
        <f>INDEX(Mapping!$E$5:$E$20,MATCH($C415,Mapping!$A$5:$A$20,0))</f>
        <v/>
      </c>
      <c r="P415" s="5">
        <f>INDEX(Mapping!$G$24:$G$31,MATCH($B415,Mapping!$A$24:$A$31,0))</f>
        <v/>
      </c>
      <c r="Q415" s="22">
        <f>INDEX(Elasticities!$F$4:$I$200,MATCH("inc|"&amp;$L415&amp;"|"&amp;$K415,Elasticities!$A$4:$A$200,0),MATCH(Settings!$C$6,Elasticities!$F$3:$I$3,0))</f>
        <v/>
      </c>
      <c r="R415" s="22">
        <f>INDEX(Elasticities!$F$4:$I$200,MATCH("usg|"&amp;$L415&amp;"|"&amp;$K415,Elasticities!$A$4:$A$200,0),MATCH(Settings!$C$6,Elasticities!$F$3:$I$3,0))</f>
        <v/>
      </c>
      <c r="S415" s="22">
        <f>INDEX(Elasticities!$F$4:$I$200,MATCH("eff|"&amp;$L415&amp;"|"&amp;$K415,Elasticities!$A$4:$A$200,0),MATCH(Settings!$C$6,Elasticities!$F$3:$I$3,0))</f>
        <v/>
      </c>
      <c r="T415" s="22">
        <f>INDEX(Elasticities!$F$4:$I$200,MATCH("aei|"&amp;$M415&amp;"|"&amp;$K415,Elasticities!$A$4:$A$200,0),MATCH(Settings!$C$6,Elasticities!$F$3:$I$3,0))</f>
        <v/>
      </c>
      <c r="U415" s="21" t="n"/>
      <c r="V415" s="22">
        <f>Q415</f>
        <v/>
      </c>
      <c r="W415" s="22">
        <f>R415</f>
        <v/>
      </c>
      <c r="X415" s="22">
        <f>S415</f>
        <v/>
      </c>
      <c r="Y415" s="22">
        <f>T415</f>
        <v/>
      </c>
      <c r="Z415" s="21" t="n"/>
      <c r="AA415" s="22">
        <f>Q415</f>
        <v/>
      </c>
      <c r="AB415" s="22">
        <f>R415</f>
        <v/>
      </c>
      <c r="AC415" s="22">
        <f>S415</f>
        <v/>
      </c>
      <c r="AD415" s="22">
        <f>T415</f>
        <v/>
      </c>
      <c r="AE415" s="21" t="n"/>
      <c r="AF415" s="22">
        <f>Q415</f>
        <v/>
      </c>
      <c r="AG415" s="22">
        <f>R415</f>
        <v/>
      </c>
      <c r="AH415" s="22">
        <f>S415</f>
        <v/>
      </c>
      <c r="AI415" s="22">
        <f>T415</f>
        <v/>
      </c>
      <c r="AJ415" s="21" t="n"/>
      <c r="AL415" s="24">
        <f>INDEX(EnergyCons!$F$4:$F$5000,MATCH(Settings!$C$4&amp;"|"&amp;AL$5&amp;"|"&amp;$C415&amp;"|"&amp;$B415,EnergyCons!$A$4:$A$5000,0))</f>
        <v/>
      </c>
      <c r="AM415" s="25">
        <f>AL415*(1/(1+INDEX($Q415:$AJ415,1,(AM$4-1)*5+4)))^(1+INDEX($Q415:$AJ415,1,(AM$4-1)*5+2))*(1+AM$7)^INDEX($Q415:$AJ415,1,(AM$4-1)*5+1)*(AM285/AL285)^INDEX($Q415:$AJ415,1,(AM$4-1)*5+2)*(AM285/AL285)^(INDEX($Q415:$AJ415,1,(AM$4-1)*5+3)*(1+INDEX($Q415:$AJ415,1,(AM$4-1)*5+2)))</f>
        <v/>
      </c>
      <c r="AN415" s="25">
        <f>AM415*(1/(1+INDEX($Q415:$AJ415,1,(AN$4-1)*5+4)))^(1+INDEX($Q415:$AJ415,1,(AN$4-1)*5+2))*(1+AN$7)^INDEX($Q415:$AJ415,1,(AN$4-1)*5+1)*(AN285/AM285)^INDEX($Q415:$AJ415,1,(AN$4-1)*5+2)*(AN285/AM285)^(INDEX($Q415:$AJ415,1,(AN$4-1)*5+3)*(1+INDEX($Q415:$AJ415,1,(AN$4-1)*5+2)))</f>
        <v/>
      </c>
      <c r="AO415" s="25">
        <f>AN415*(1/(1+INDEX($Q415:$AJ415,1,(AO$4-1)*5+4)))^(1+INDEX($Q415:$AJ415,1,(AO$4-1)*5+2))*(1+AO$7)^INDEX($Q415:$AJ415,1,(AO$4-1)*5+1)*(AO285/AN285)^INDEX($Q415:$AJ415,1,(AO$4-1)*5+2)*(AO285/AN285)^(INDEX($Q415:$AJ415,1,(AO$4-1)*5+3)*(1+INDEX($Q415:$AJ415,1,(AO$4-1)*5+2)))</f>
        <v/>
      </c>
      <c r="AP415" s="25">
        <f>AO415*(1/(1+INDEX($Q415:$AJ415,1,(AP$4-1)*5+4)))^(1+INDEX($Q415:$AJ415,1,(AP$4-1)*5+2))*(1+AP$7)^INDEX($Q415:$AJ415,1,(AP$4-1)*5+1)*(AP285/AO285)^INDEX($Q415:$AJ415,1,(AP$4-1)*5+2)*(AP285/AO285)^(INDEX($Q415:$AJ415,1,(AP$4-1)*5+3)*(1+INDEX($Q415:$AJ415,1,(AP$4-1)*5+2)))</f>
        <v/>
      </c>
      <c r="AQ415" s="25">
        <f>AP415*(1/(1+INDEX($Q415:$AJ415,1,(AQ$4-1)*5+4)))^(1+INDEX($Q415:$AJ415,1,(AQ$4-1)*5+2))*(1+AQ$7)^INDEX($Q415:$AJ415,1,(AQ$4-1)*5+1)*(AQ285/AP285)^INDEX($Q415:$AJ415,1,(AQ$4-1)*5+2)*(AQ285/AP285)^(INDEX($Q415:$AJ415,1,(AQ$4-1)*5+3)*(1+INDEX($Q415:$AJ415,1,(AQ$4-1)*5+2)))</f>
        <v/>
      </c>
      <c r="AR415" s="25">
        <f>AQ415*(1/(1+INDEX($Q415:$AJ415,1,(AR$4-1)*5+4)))^(1+INDEX($Q415:$AJ415,1,(AR$4-1)*5+2))*(1+AR$7)^INDEX($Q415:$AJ415,1,(AR$4-1)*5+1)*(AR285/AQ285)^INDEX($Q415:$AJ415,1,(AR$4-1)*5+2)*(AR285/AQ285)^(INDEX($Q415:$AJ415,1,(AR$4-1)*5+3)*(1+INDEX($Q415:$AJ415,1,(AR$4-1)*5+2)))</f>
        <v/>
      </c>
      <c r="AS415" s="25">
        <f>AR415*(1/(1+INDEX($Q415:$AJ415,1,(AS$4-1)*5+4)))^(1+INDEX($Q415:$AJ415,1,(AS$4-1)*5+2))*(1+AS$7)^INDEX($Q415:$AJ415,1,(AS$4-1)*5+1)*(AS285/AR285)^INDEX($Q415:$AJ415,1,(AS$4-1)*5+2)*(AS285/AR285)^(INDEX($Q415:$AJ415,1,(AS$4-1)*5+3)*(1+INDEX($Q415:$AJ415,1,(AS$4-1)*5+2)))</f>
        <v/>
      </c>
      <c r="AT415" s="25">
        <f>AS415*(1/(1+INDEX($Q415:$AJ415,1,(AT$4-1)*5+4)))^(1+INDEX($Q415:$AJ415,1,(AT$4-1)*5+2))*(1+AT$7)^INDEX($Q415:$AJ415,1,(AT$4-1)*5+1)*(AT285/AS285)^INDEX($Q415:$AJ415,1,(AT$4-1)*5+2)*(AT285/AS285)^(INDEX($Q415:$AJ415,1,(AT$4-1)*5+3)*(1+INDEX($Q415:$AJ415,1,(AT$4-1)*5+2)))</f>
        <v/>
      </c>
      <c r="AU415" s="25">
        <f>AT415*(1/(1+INDEX($Q415:$AJ415,1,(AU$4-1)*5+4)))^(1+INDEX($Q415:$AJ415,1,(AU$4-1)*5+2))*(1+AU$7)^INDEX($Q415:$AJ415,1,(AU$4-1)*5+1)*(AU285/AT285)^INDEX($Q415:$AJ415,1,(AU$4-1)*5+2)*(AU285/AT285)^(INDEX($Q415:$AJ415,1,(AU$4-1)*5+3)*(1+INDEX($Q415:$AJ415,1,(AU$4-1)*5+2)))</f>
        <v/>
      </c>
      <c r="AV415" s="25">
        <f>AU415*(1/(1+INDEX($Q415:$AJ415,1,(AV$4-1)*5+4)))^(1+INDEX($Q415:$AJ415,1,(AV$4-1)*5+2))*(1+AV$7)^INDEX($Q415:$AJ415,1,(AV$4-1)*5+1)*(AV285/AU285)^INDEX($Q415:$AJ415,1,(AV$4-1)*5+2)*(AV285/AU285)^(INDEX($Q415:$AJ415,1,(AV$4-1)*5+3)*(1+INDEX($Q415:$AJ415,1,(AV$4-1)*5+2)))</f>
        <v/>
      </c>
      <c r="AW415" s="25">
        <f>AV415*(1/(1+INDEX($Q415:$AJ415,1,(AW$4-1)*5+4)))^(1+INDEX($Q415:$AJ415,1,(AW$4-1)*5+2))*(1+AW$7)^INDEX($Q415:$AJ415,1,(AW$4-1)*5+1)*(AW285/AV285)^INDEX($Q415:$AJ415,1,(AW$4-1)*5+2)*(AW285/AV285)^(INDEX($Q415:$AJ415,1,(AW$4-1)*5+3)*(1+INDEX($Q415:$AJ415,1,(AW$4-1)*5+2)))</f>
        <v/>
      </c>
      <c r="AX415" s="25">
        <f>AW415*(1/(1+INDEX($Q415:$AJ415,1,(AX$4-1)*5+4)))^(1+INDEX($Q415:$AJ415,1,(AX$4-1)*5+2))*(1+AX$7)^INDEX($Q415:$AJ415,1,(AX$4-1)*5+1)*(AX285/AW285)^INDEX($Q415:$AJ415,1,(AX$4-1)*5+2)*(AX285/AW285)^(INDEX($Q415:$AJ415,1,(AX$4-1)*5+3)*(1+INDEX($Q415:$AJ415,1,(AX$4-1)*5+2)))</f>
        <v/>
      </c>
      <c r="AY415" s="25">
        <f>AX415*(1/(1+INDEX($Q415:$AJ415,1,(AY$4-1)*5+4)))^(1+INDEX($Q415:$AJ415,1,(AY$4-1)*5+2))*(1+AY$7)^INDEX($Q415:$AJ415,1,(AY$4-1)*5+1)*(AY285/AX285)^INDEX($Q415:$AJ415,1,(AY$4-1)*5+2)*(AY285/AX285)^(INDEX($Q415:$AJ415,1,(AY$4-1)*5+3)*(1+INDEX($Q415:$AJ415,1,(AY$4-1)*5+2)))</f>
        <v/>
      </c>
      <c r="BA415" s="24">
        <f>INDEX(EnergyCons!$F$4:$F$5000,MATCH(Settings!$C$4&amp;"|"&amp;BA$5&amp;"|"&amp;$C415&amp;"|"&amp;$B415,EnergyCons!$A$4:$A$5000,0))</f>
        <v/>
      </c>
      <c r="BB415" s="25">
        <f>BA415*(1/(1+INDEX($Q415:$AJ415,1,(BB$4-1)*5+4)))^(1+INDEX($Q415:$AJ415,1,(BB$4-1)*5+2))*(1+BB$7)^INDEX($Q415:$AJ415,1,(BB$4-1)*5+1)*(BB285/BA285)^INDEX($Q415:$AJ415,1,(BB$4-1)*5+2)*(BB285/BA285)^(INDEX($Q415:$AJ415,1,(BB$4-1)*5+3)*(1+INDEX($Q415:$AJ415,1,(BB$4-1)*5+2)))</f>
        <v/>
      </c>
      <c r="BC415" s="25">
        <f>BB415*(1/(1+INDEX($Q415:$AJ415,1,(BC$4-1)*5+4)))^(1+INDEX($Q415:$AJ415,1,(BC$4-1)*5+2))*(1+BC$7)^INDEX($Q415:$AJ415,1,(BC$4-1)*5+1)*(BC285/BB285)^INDEX($Q415:$AJ415,1,(BC$4-1)*5+2)*(BC285/BB285)^(INDEX($Q415:$AJ415,1,(BC$4-1)*5+3)*(1+INDEX($Q415:$AJ415,1,(BC$4-1)*5+2)))</f>
        <v/>
      </c>
      <c r="BD415" s="25">
        <f>BC415*(1/(1+INDEX($Q415:$AJ415,1,(BD$4-1)*5+4)))^(1+INDEX($Q415:$AJ415,1,(BD$4-1)*5+2))*(1+BD$7)^INDEX($Q415:$AJ415,1,(BD$4-1)*5+1)*(BD285/BC285)^INDEX($Q415:$AJ415,1,(BD$4-1)*5+2)*(BD285/BC285)^(INDEX($Q415:$AJ415,1,(BD$4-1)*5+3)*(1+INDEX($Q415:$AJ415,1,(BD$4-1)*5+2)))</f>
        <v/>
      </c>
      <c r="BE415" s="25">
        <f>BD415*(1/(1+INDEX($Q415:$AJ415,1,(BE$4-1)*5+4)))^(1+INDEX($Q415:$AJ415,1,(BE$4-1)*5+2))*(1+BE$7)^INDEX($Q415:$AJ415,1,(BE$4-1)*5+1)*(BE285/BD285)^INDEX($Q415:$AJ415,1,(BE$4-1)*5+2)*(BE285/BD285)^(INDEX($Q415:$AJ415,1,(BE$4-1)*5+3)*(1+INDEX($Q415:$AJ415,1,(BE$4-1)*5+2)))</f>
        <v/>
      </c>
      <c r="BF415" s="25">
        <f>BE415*(1/(1+INDEX($Q415:$AJ415,1,(BF$4-1)*5+4)))^(1+INDEX($Q415:$AJ415,1,(BF$4-1)*5+2))*(1+BF$7)^INDEX($Q415:$AJ415,1,(BF$4-1)*5+1)*(BF285/BE285)^INDEX($Q415:$AJ415,1,(BF$4-1)*5+2)*(BF285/BE285)^(INDEX($Q415:$AJ415,1,(BF$4-1)*5+3)*(1+INDEX($Q415:$AJ415,1,(BF$4-1)*5+2)))</f>
        <v/>
      </c>
      <c r="BG415" s="25">
        <f>BF415*(1/(1+INDEX($Q415:$AJ415,1,(BG$4-1)*5+4)))^(1+INDEX($Q415:$AJ415,1,(BG$4-1)*5+2))*(1+BG$7)^INDEX($Q415:$AJ415,1,(BG$4-1)*5+1)*(BG285/BF285)^INDEX($Q415:$AJ415,1,(BG$4-1)*5+2)*(BG285/BF285)^(INDEX($Q415:$AJ415,1,(BG$4-1)*5+3)*(1+INDEX($Q415:$AJ415,1,(BG$4-1)*5+2)))</f>
        <v/>
      </c>
      <c r="BH415" s="25">
        <f>BG415*(1/(1+INDEX($Q415:$AJ415,1,(BH$4-1)*5+4)))^(1+INDEX($Q415:$AJ415,1,(BH$4-1)*5+2))*(1+BH$7)^INDEX($Q415:$AJ415,1,(BH$4-1)*5+1)*(BH285/BG285)^INDEX($Q415:$AJ415,1,(BH$4-1)*5+2)*(BH285/BG285)^(INDEX($Q415:$AJ415,1,(BH$4-1)*5+3)*(1+INDEX($Q415:$AJ415,1,(BH$4-1)*5+2)))</f>
        <v/>
      </c>
      <c r="BI415" s="25">
        <f>BH415*(1/(1+INDEX($Q415:$AJ415,1,(BI$4-1)*5+4)))^(1+INDEX($Q415:$AJ415,1,(BI$4-1)*5+2))*(1+BI$7)^INDEX($Q415:$AJ415,1,(BI$4-1)*5+1)*(BI285/BH285)^INDEX($Q415:$AJ415,1,(BI$4-1)*5+2)*(BI285/BH285)^(INDEX($Q415:$AJ415,1,(BI$4-1)*5+3)*(1+INDEX($Q415:$AJ415,1,(BI$4-1)*5+2)))</f>
        <v/>
      </c>
      <c r="BJ415" s="25">
        <f>BI415*(1/(1+INDEX($Q415:$AJ415,1,(BJ$4-1)*5+4)))^(1+INDEX($Q415:$AJ415,1,(BJ$4-1)*5+2))*(1+BJ$7)^INDEX($Q415:$AJ415,1,(BJ$4-1)*5+1)*(BJ285/BI285)^INDEX($Q415:$AJ415,1,(BJ$4-1)*5+2)*(BJ285/BI285)^(INDEX($Q415:$AJ415,1,(BJ$4-1)*5+3)*(1+INDEX($Q415:$AJ415,1,(BJ$4-1)*5+2)))</f>
        <v/>
      </c>
      <c r="BK415" s="25">
        <f>BJ415*(1/(1+INDEX($Q415:$AJ415,1,(BK$4-1)*5+4)))^(1+INDEX($Q415:$AJ415,1,(BK$4-1)*5+2))*(1+BK$7)^INDEX($Q415:$AJ415,1,(BK$4-1)*5+1)*(BK285/BJ285)^INDEX($Q415:$AJ415,1,(BK$4-1)*5+2)*(BK285/BJ285)^(INDEX($Q415:$AJ415,1,(BK$4-1)*5+3)*(1+INDEX($Q415:$AJ415,1,(BK$4-1)*5+2)))</f>
        <v/>
      </c>
      <c r="BL415" s="25">
        <f>BK415*(1/(1+INDEX($Q415:$AJ415,1,(BL$4-1)*5+4)))^(1+INDEX($Q415:$AJ415,1,(BL$4-1)*5+2))*(1+BL$7)^INDEX($Q415:$AJ415,1,(BL$4-1)*5+1)*(BL285/BK285)^INDEX($Q415:$AJ415,1,(BL$4-1)*5+2)*(BL285/BK285)^(INDEX($Q415:$AJ415,1,(BL$4-1)*5+3)*(1+INDEX($Q415:$AJ415,1,(BL$4-1)*5+2)))</f>
        <v/>
      </c>
      <c r="BM415" s="25">
        <f>BL415*(1/(1+INDEX($Q415:$AJ415,1,(BM$4-1)*5+4)))^(1+INDEX($Q415:$AJ415,1,(BM$4-1)*5+2))*(1+BM$7)^INDEX($Q415:$AJ415,1,(BM$4-1)*5+1)*(BM285/BL285)^INDEX($Q415:$AJ415,1,(BM$4-1)*5+2)*(BM285/BL285)^(INDEX($Q415:$AJ415,1,(BM$4-1)*5+3)*(1+INDEX($Q415:$AJ415,1,(BM$4-1)*5+2)))</f>
        <v/>
      </c>
      <c r="BN415" s="25">
        <f>BM415*(1/(1+INDEX($Q415:$AJ415,1,(BN$4-1)*5+4)))^(1+INDEX($Q415:$AJ415,1,(BN$4-1)*5+2))*(1+BN$7)^INDEX($Q415:$AJ415,1,(BN$4-1)*5+1)*(BN285/BM285)^INDEX($Q415:$AJ415,1,(BN$4-1)*5+2)*(BN285/BM285)^(INDEX($Q415:$AJ415,1,(BN$4-1)*5+3)*(1+INDEX($Q415:$AJ415,1,(BN$4-1)*5+2)))</f>
        <v/>
      </c>
    </row>
    <row r="416">
      <c r="B416" s="5" t="inlineStr">
        <is>
          <t>bio</t>
        </is>
      </c>
      <c r="C416" s="5" t="inlineStr">
        <is>
          <t>ral</t>
        </is>
      </c>
      <c r="D416" s="5" t="inlineStr">
        <is>
          <t>Fuel use | Rail | Biomass</t>
        </is>
      </c>
      <c r="E416" s="5" t="inlineStr">
        <is>
          <t>ktoe</t>
        </is>
      </c>
      <c r="F416" s="5" t="inlineStr">
        <is>
          <t>EnergyCons (base year), Elasticities</t>
        </is>
      </c>
      <c r="G416" s="19" t="inlineStr">
        <is>
          <t>mit.enc.bio.ral</t>
        </is>
      </c>
      <c r="H416" s="19" t="inlineStr">
        <is>
          <t>mit.enc.bio.ral</t>
        </is>
      </c>
      <c r="J416" s="5">
        <f>INDEX(Mapping!$C$5:$C$20,MATCH($C416,Mapping!$A$5:$A$20,0))</f>
        <v/>
      </c>
      <c r="K416" s="5">
        <f>INDEX(Mapping!$D$5:$D$20,MATCH($C416,Mapping!$A$5:$A$20,0))</f>
        <v/>
      </c>
      <c r="L416" s="5">
        <f>INDEX(Mapping!$C$24:$C$31,MATCH($B416,Mapping!$A$24:$A$31,0))</f>
        <v/>
      </c>
      <c r="M416" s="5">
        <f>INDEX(Mapping!$D$24:$D$31,MATCH($B416,Mapping!$A$24:$A$31,0))</f>
        <v/>
      </c>
      <c r="N416" s="5">
        <f>$B416&amp;"."&amp;IF(INDEX(Mapping!$E$24:$E$31,MATCH($B416,Mapping!$A$24:$A$31,0))="sub",INDEX(Mapping!$F$5:$F$20,MATCH($C416,Mapping!$A$5:$A$20,0)),"all")</f>
        <v/>
      </c>
      <c r="O416" s="5">
        <f>INDEX(Mapping!$E$5:$E$20,MATCH($C416,Mapping!$A$5:$A$20,0))</f>
        <v/>
      </c>
      <c r="P416" s="5">
        <f>INDEX(Mapping!$G$24:$G$31,MATCH($B416,Mapping!$A$24:$A$31,0))</f>
        <v/>
      </c>
      <c r="Q416" s="22">
        <f>INDEX(Elasticities!$F$4:$I$200,MATCH("inc|"&amp;$L416&amp;"|"&amp;$K416,Elasticities!$A$4:$A$200,0),MATCH(Settings!$C$6,Elasticities!$F$3:$I$3,0))</f>
        <v/>
      </c>
      <c r="R416" s="22">
        <f>INDEX(Elasticities!$F$4:$I$200,MATCH("usg|"&amp;$L416&amp;"|"&amp;$K416,Elasticities!$A$4:$A$200,0),MATCH(Settings!$C$6,Elasticities!$F$3:$I$3,0))</f>
        <v/>
      </c>
      <c r="S416" s="22">
        <f>INDEX(Elasticities!$F$4:$I$200,MATCH("eff|"&amp;$L416&amp;"|"&amp;$K416,Elasticities!$A$4:$A$200,0),MATCH(Settings!$C$6,Elasticities!$F$3:$I$3,0))</f>
        <v/>
      </c>
      <c r="T416" s="22">
        <f>INDEX(Elasticities!$F$4:$I$200,MATCH("aei|"&amp;$M416&amp;"|"&amp;$K416,Elasticities!$A$4:$A$200,0),MATCH(Settings!$C$6,Elasticities!$F$3:$I$3,0))</f>
        <v/>
      </c>
      <c r="U416" s="21" t="n"/>
      <c r="V416" s="22">
        <f>Q416</f>
        <v/>
      </c>
      <c r="W416" s="22">
        <f>R416</f>
        <v/>
      </c>
      <c r="X416" s="22">
        <f>S416</f>
        <v/>
      </c>
      <c r="Y416" s="22">
        <f>T416</f>
        <v/>
      </c>
      <c r="Z416" s="21" t="n"/>
      <c r="AA416" s="22">
        <f>Q416</f>
        <v/>
      </c>
      <c r="AB416" s="22">
        <f>R416</f>
        <v/>
      </c>
      <c r="AC416" s="22">
        <f>S416</f>
        <v/>
      </c>
      <c r="AD416" s="22">
        <f>T416</f>
        <v/>
      </c>
      <c r="AE416" s="21" t="n"/>
      <c r="AF416" s="22">
        <f>Q416</f>
        <v/>
      </c>
      <c r="AG416" s="22">
        <f>R416</f>
        <v/>
      </c>
      <c r="AH416" s="22">
        <f>S416</f>
        <v/>
      </c>
      <c r="AI416" s="22">
        <f>T416</f>
        <v/>
      </c>
      <c r="AJ416" s="21" t="n"/>
      <c r="AL416" s="24">
        <f>INDEX(EnergyCons!$F$4:$F$5000,MATCH(Settings!$C$4&amp;"|"&amp;AL$5&amp;"|"&amp;$C416&amp;"|"&amp;$B416,EnergyCons!$A$4:$A$5000,0))</f>
        <v/>
      </c>
      <c r="AM416" s="25">
        <f>AL416*(1/(1+INDEX($Q416:$AJ416,1,(AM$4-1)*5+4)))^(1+INDEX($Q416:$AJ416,1,(AM$4-1)*5+2))*(1+AM$7)^INDEX($Q416:$AJ416,1,(AM$4-1)*5+1)*(AM286/AL286)^INDEX($Q416:$AJ416,1,(AM$4-1)*5+2)*(AM286/AL286)^(INDEX($Q416:$AJ416,1,(AM$4-1)*5+3)*(1+INDEX($Q416:$AJ416,1,(AM$4-1)*5+2)))</f>
        <v/>
      </c>
      <c r="AN416" s="25">
        <f>AM416*(1/(1+INDEX($Q416:$AJ416,1,(AN$4-1)*5+4)))^(1+INDEX($Q416:$AJ416,1,(AN$4-1)*5+2))*(1+AN$7)^INDEX($Q416:$AJ416,1,(AN$4-1)*5+1)*(AN286/AM286)^INDEX($Q416:$AJ416,1,(AN$4-1)*5+2)*(AN286/AM286)^(INDEX($Q416:$AJ416,1,(AN$4-1)*5+3)*(1+INDEX($Q416:$AJ416,1,(AN$4-1)*5+2)))</f>
        <v/>
      </c>
      <c r="AO416" s="25">
        <f>AN416*(1/(1+INDEX($Q416:$AJ416,1,(AO$4-1)*5+4)))^(1+INDEX($Q416:$AJ416,1,(AO$4-1)*5+2))*(1+AO$7)^INDEX($Q416:$AJ416,1,(AO$4-1)*5+1)*(AO286/AN286)^INDEX($Q416:$AJ416,1,(AO$4-1)*5+2)*(AO286/AN286)^(INDEX($Q416:$AJ416,1,(AO$4-1)*5+3)*(1+INDEX($Q416:$AJ416,1,(AO$4-1)*5+2)))</f>
        <v/>
      </c>
      <c r="AP416" s="25">
        <f>AO416*(1/(1+INDEX($Q416:$AJ416,1,(AP$4-1)*5+4)))^(1+INDEX($Q416:$AJ416,1,(AP$4-1)*5+2))*(1+AP$7)^INDEX($Q416:$AJ416,1,(AP$4-1)*5+1)*(AP286/AO286)^INDEX($Q416:$AJ416,1,(AP$4-1)*5+2)*(AP286/AO286)^(INDEX($Q416:$AJ416,1,(AP$4-1)*5+3)*(1+INDEX($Q416:$AJ416,1,(AP$4-1)*5+2)))</f>
        <v/>
      </c>
      <c r="AQ416" s="25">
        <f>AP416*(1/(1+INDEX($Q416:$AJ416,1,(AQ$4-1)*5+4)))^(1+INDEX($Q416:$AJ416,1,(AQ$4-1)*5+2))*(1+AQ$7)^INDEX($Q416:$AJ416,1,(AQ$4-1)*5+1)*(AQ286/AP286)^INDEX($Q416:$AJ416,1,(AQ$4-1)*5+2)*(AQ286/AP286)^(INDEX($Q416:$AJ416,1,(AQ$4-1)*5+3)*(1+INDEX($Q416:$AJ416,1,(AQ$4-1)*5+2)))</f>
        <v/>
      </c>
      <c r="AR416" s="25">
        <f>AQ416*(1/(1+INDEX($Q416:$AJ416,1,(AR$4-1)*5+4)))^(1+INDEX($Q416:$AJ416,1,(AR$4-1)*5+2))*(1+AR$7)^INDEX($Q416:$AJ416,1,(AR$4-1)*5+1)*(AR286/AQ286)^INDEX($Q416:$AJ416,1,(AR$4-1)*5+2)*(AR286/AQ286)^(INDEX($Q416:$AJ416,1,(AR$4-1)*5+3)*(1+INDEX($Q416:$AJ416,1,(AR$4-1)*5+2)))</f>
        <v/>
      </c>
      <c r="AS416" s="25">
        <f>AR416*(1/(1+INDEX($Q416:$AJ416,1,(AS$4-1)*5+4)))^(1+INDEX($Q416:$AJ416,1,(AS$4-1)*5+2))*(1+AS$7)^INDEX($Q416:$AJ416,1,(AS$4-1)*5+1)*(AS286/AR286)^INDEX($Q416:$AJ416,1,(AS$4-1)*5+2)*(AS286/AR286)^(INDEX($Q416:$AJ416,1,(AS$4-1)*5+3)*(1+INDEX($Q416:$AJ416,1,(AS$4-1)*5+2)))</f>
        <v/>
      </c>
      <c r="AT416" s="25">
        <f>AS416*(1/(1+INDEX($Q416:$AJ416,1,(AT$4-1)*5+4)))^(1+INDEX($Q416:$AJ416,1,(AT$4-1)*5+2))*(1+AT$7)^INDEX($Q416:$AJ416,1,(AT$4-1)*5+1)*(AT286/AS286)^INDEX($Q416:$AJ416,1,(AT$4-1)*5+2)*(AT286/AS286)^(INDEX($Q416:$AJ416,1,(AT$4-1)*5+3)*(1+INDEX($Q416:$AJ416,1,(AT$4-1)*5+2)))</f>
        <v/>
      </c>
      <c r="AU416" s="25">
        <f>AT416*(1/(1+INDEX($Q416:$AJ416,1,(AU$4-1)*5+4)))^(1+INDEX($Q416:$AJ416,1,(AU$4-1)*5+2))*(1+AU$7)^INDEX($Q416:$AJ416,1,(AU$4-1)*5+1)*(AU286/AT286)^INDEX($Q416:$AJ416,1,(AU$4-1)*5+2)*(AU286/AT286)^(INDEX($Q416:$AJ416,1,(AU$4-1)*5+3)*(1+INDEX($Q416:$AJ416,1,(AU$4-1)*5+2)))</f>
        <v/>
      </c>
      <c r="AV416" s="25">
        <f>AU416*(1/(1+INDEX($Q416:$AJ416,1,(AV$4-1)*5+4)))^(1+INDEX($Q416:$AJ416,1,(AV$4-1)*5+2))*(1+AV$7)^INDEX($Q416:$AJ416,1,(AV$4-1)*5+1)*(AV286/AU286)^INDEX($Q416:$AJ416,1,(AV$4-1)*5+2)*(AV286/AU286)^(INDEX($Q416:$AJ416,1,(AV$4-1)*5+3)*(1+INDEX($Q416:$AJ416,1,(AV$4-1)*5+2)))</f>
        <v/>
      </c>
      <c r="AW416" s="25">
        <f>AV416*(1/(1+INDEX($Q416:$AJ416,1,(AW$4-1)*5+4)))^(1+INDEX($Q416:$AJ416,1,(AW$4-1)*5+2))*(1+AW$7)^INDEX($Q416:$AJ416,1,(AW$4-1)*5+1)*(AW286/AV286)^INDEX($Q416:$AJ416,1,(AW$4-1)*5+2)*(AW286/AV286)^(INDEX($Q416:$AJ416,1,(AW$4-1)*5+3)*(1+INDEX($Q416:$AJ416,1,(AW$4-1)*5+2)))</f>
        <v/>
      </c>
      <c r="AX416" s="25">
        <f>AW416*(1/(1+INDEX($Q416:$AJ416,1,(AX$4-1)*5+4)))^(1+INDEX($Q416:$AJ416,1,(AX$4-1)*5+2))*(1+AX$7)^INDEX($Q416:$AJ416,1,(AX$4-1)*5+1)*(AX286/AW286)^INDEX($Q416:$AJ416,1,(AX$4-1)*5+2)*(AX286/AW286)^(INDEX($Q416:$AJ416,1,(AX$4-1)*5+3)*(1+INDEX($Q416:$AJ416,1,(AX$4-1)*5+2)))</f>
        <v/>
      </c>
      <c r="AY416" s="25">
        <f>AX416*(1/(1+INDEX($Q416:$AJ416,1,(AY$4-1)*5+4)))^(1+INDEX($Q416:$AJ416,1,(AY$4-1)*5+2))*(1+AY$7)^INDEX($Q416:$AJ416,1,(AY$4-1)*5+1)*(AY286/AX286)^INDEX($Q416:$AJ416,1,(AY$4-1)*5+2)*(AY286/AX286)^(INDEX($Q416:$AJ416,1,(AY$4-1)*5+3)*(1+INDEX($Q416:$AJ416,1,(AY$4-1)*5+2)))</f>
        <v/>
      </c>
      <c r="BA416" s="24">
        <f>INDEX(EnergyCons!$F$4:$F$5000,MATCH(Settings!$C$4&amp;"|"&amp;BA$5&amp;"|"&amp;$C416&amp;"|"&amp;$B416,EnergyCons!$A$4:$A$5000,0))</f>
        <v/>
      </c>
      <c r="BB416" s="25">
        <f>BA416*(1/(1+INDEX($Q416:$AJ416,1,(BB$4-1)*5+4)))^(1+INDEX($Q416:$AJ416,1,(BB$4-1)*5+2))*(1+BB$7)^INDEX($Q416:$AJ416,1,(BB$4-1)*5+1)*(BB286/BA286)^INDEX($Q416:$AJ416,1,(BB$4-1)*5+2)*(BB286/BA286)^(INDEX($Q416:$AJ416,1,(BB$4-1)*5+3)*(1+INDEX($Q416:$AJ416,1,(BB$4-1)*5+2)))</f>
        <v/>
      </c>
      <c r="BC416" s="25">
        <f>BB416*(1/(1+INDEX($Q416:$AJ416,1,(BC$4-1)*5+4)))^(1+INDEX($Q416:$AJ416,1,(BC$4-1)*5+2))*(1+BC$7)^INDEX($Q416:$AJ416,1,(BC$4-1)*5+1)*(BC286/BB286)^INDEX($Q416:$AJ416,1,(BC$4-1)*5+2)*(BC286/BB286)^(INDEX($Q416:$AJ416,1,(BC$4-1)*5+3)*(1+INDEX($Q416:$AJ416,1,(BC$4-1)*5+2)))</f>
        <v/>
      </c>
      <c r="BD416" s="25">
        <f>BC416*(1/(1+INDEX($Q416:$AJ416,1,(BD$4-1)*5+4)))^(1+INDEX($Q416:$AJ416,1,(BD$4-1)*5+2))*(1+BD$7)^INDEX($Q416:$AJ416,1,(BD$4-1)*5+1)*(BD286/BC286)^INDEX($Q416:$AJ416,1,(BD$4-1)*5+2)*(BD286/BC286)^(INDEX($Q416:$AJ416,1,(BD$4-1)*5+3)*(1+INDEX($Q416:$AJ416,1,(BD$4-1)*5+2)))</f>
        <v/>
      </c>
      <c r="BE416" s="25">
        <f>BD416*(1/(1+INDEX($Q416:$AJ416,1,(BE$4-1)*5+4)))^(1+INDEX($Q416:$AJ416,1,(BE$4-1)*5+2))*(1+BE$7)^INDEX($Q416:$AJ416,1,(BE$4-1)*5+1)*(BE286/BD286)^INDEX($Q416:$AJ416,1,(BE$4-1)*5+2)*(BE286/BD286)^(INDEX($Q416:$AJ416,1,(BE$4-1)*5+3)*(1+INDEX($Q416:$AJ416,1,(BE$4-1)*5+2)))</f>
        <v/>
      </c>
      <c r="BF416" s="25">
        <f>BE416*(1/(1+INDEX($Q416:$AJ416,1,(BF$4-1)*5+4)))^(1+INDEX($Q416:$AJ416,1,(BF$4-1)*5+2))*(1+BF$7)^INDEX($Q416:$AJ416,1,(BF$4-1)*5+1)*(BF286/BE286)^INDEX($Q416:$AJ416,1,(BF$4-1)*5+2)*(BF286/BE286)^(INDEX($Q416:$AJ416,1,(BF$4-1)*5+3)*(1+INDEX($Q416:$AJ416,1,(BF$4-1)*5+2)))</f>
        <v/>
      </c>
      <c r="BG416" s="25">
        <f>BF416*(1/(1+INDEX($Q416:$AJ416,1,(BG$4-1)*5+4)))^(1+INDEX($Q416:$AJ416,1,(BG$4-1)*5+2))*(1+BG$7)^INDEX($Q416:$AJ416,1,(BG$4-1)*5+1)*(BG286/BF286)^INDEX($Q416:$AJ416,1,(BG$4-1)*5+2)*(BG286/BF286)^(INDEX($Q416:$AJ416,1,(BG$4-1)*5+3)*(1+INDEX($Q416:$AJ416,1,(BG$4-1)*5+2)))</f>
        <v/>
      </c>
      <c r="BH416" s="25">
        <f>BG416*(1/(1+INDEX($Q416:$AJ416,1,(BH$4-1)*5+4)))^(1+INDEX($Q416:$AJ416,1,(BH$4-1)*5+2))*(1+BH$7)^INDEX($Q416:$AJ416,1,(BH$4-1)*5+1)*(BH286/BG286)^INDEX($Q416:$AJ416,1,(BH$4-1)*5+2)*(BH286/BG286)^(INDEX($Q416:$AJ416,1,(BH$4-1)*5+3)*(1+INDEX($Q416:$AJ416,1,(BH$4-1)*5+2)))</f>
        <v/>
      </c>
      <c r="BI416" s="25">
        <f>BH416*(1/(1+INDEX($Q416:$AJ416,1,(BI$4-1)*5+4)))^(1+INDEX($Q416:$AJ416,1,(BI$4-1)*5+2))*(1+BI$7)^INDEX($Q416:$AJ416,1,(BI$4-1)*5+1)*(BI286/BH286)^INDEX($Q416:$AJ416,1,(BI$4-1)*5+2)*(BI286/BH286)^(INDEX($Q416:$AJ416,1,(BI$4-1)*5+3)*(1+INDEX($Q416:$AJ416,1,(BI$4-1)*5+2)))</f>
        <v/>
      </c>
      <c r="BJ416" s="25">
        <f>BI416*(1/(1+INDEX($Q416:$AJ416,1,(BJ$4-1)*5+4)))^(1+INDEX($Q416:$AJ416,1,(BJ$4-1)*5+2))*(1+BJ$7)^INDEX($Q416:$AJ416,1,(BJ$4-1)*5+1)*(BJ286/BI286)^INDEX($Q416:$AJ416,1,(BJ$4-1)*5+2)*(BJ286/BI286)^(INDEX($Q416:$AJ416,1,(BJ$4-1)*5+3)*(1+INDEX($Q416:$AJ416,1,(BJ$4-1)*5+2)))</f>
        <v/>
      </c>
      <c r="BK416" s="25">
        <f>BJ416*(1/(1+INDEX($Q416:$AJ416,1,(BK$4-1)*5+4)))^(1+INDEX($Q416:$AJ416,1,(BK$4-1)*5+2))*(1+BK$7)^INDEX($Q416:$AJ416,1,(BK$4-1)*5+1)*(BK286/BJ286)^INDEX($Q416:$AJ416,1,(BK$4-1)*5+2)*(BK286/BJ286)^(INDEX($Q416:$AJ416,1,(BK$4-1)*5+3)*(1+INDEX($Q416:$AJ416,1,(BK$4-1)*5+2)))</f>
        <v/>
      </c>
      <c r="BL416" s="25">
        <f>BK416*(1/(1+INDEX($Q416:$AJ416,1,(BL$4-1)*5+4)))^(1+INDEX($Q416:$AJ416,1,(BL$4-1)*5+2))*(1+BL$7)^INDEX($Q416:$AJ416,1,(BL$4-1)*5+1)*(BL286/BK286)^INDEX($Q416:$AJ416,1,(BL$4-1)*5+2)*(BL286/BK286)^(INDEX($Q416:$AJ416,1,(BL$4-1)*5+3)*(1+INDEX($Q416:$AJ416,1,(BL$4-1)*5+2)))</f>
        <v/>
      </c>
      <c r="BM416" s="25">
        <f>BL416*(1/(1+INDEX($Q416:$AJ416,1,(BM$4-1)*5+4)))^(1+INDEX($Q416:$AJ416,1,(BM$4-1)*5+2))*(1+BM$7)^INDEX($Q416:$AJ416,1,(BM$4-1)*5+1)*(BM286/BL286)^INDEX($Q416:$AJ416,1,(BM$4-1)*5+2)*(BM286/BL286)^(INDEX($Q416:$AJ416,1,(BM$4-1)*5+3)*(1+INDEX($Q416:$AJ416,1,(BM$4-1)*5+2)))</f>
        <v/>
      </c>
      <c r="BN416" s="25">
        <f>BM416*(1/(1+INDEX($Q416:$AJ416,1,(BN$4-1)*5+4)))^(1+INDEX($Q416:$AJ416,1,(BN$4-1)*5+2))*(1+BN$7)^INDEX($Q416:$AJ416,1,(BN$4-1)*5+1)*(BN286/BM286)^INDEX($Q416:$AJ416,1,(BN$4-1)*5+2)*(BN286/BM286)^(INDEX($Q416:$AJ416,1,(BN$4-1)*5+3)*(1+INDEX($Q416:$AJ416,1,(BN$4-1)*5+2)))</f>
        <v/>
      </c>
    </row>
    <row r="417">
      <c r="B417" s="5" t="inlineStr">
        <is>
          <t>coa</t>
        </is>
      </c>
      <c r="C417" s="5" t="inlineStr">
        <is>
          <t>avi</t>
        </is>
      </c>
      <c r="D417" s="5" t="inlineStr">
        <is>
          <t>Fuel use | Domestic aviation | Coal</t>
        </is>
      </c>
      <c r="E417" s="5" t="inlineStr">
        <is>
          <t>ktoe</t>
        </is>
      </c>
      <c r="F417" s="5" t="inlineStr">
        <is>
          <t>EnergyCons (base year), Elasticities</t>
        </is>
      </c>
      <c r="G417" s="19" t="inlineStr">
        <is>
          <t>mit.enc.coa.avi</t>
        </is>
      </c>
      <c r="H417" s="19" t="inlineStr">
        <is>
          <t>mit.enc.coa.avi</t>
        </is>
      </c>
      <c r="J417" s="5">
        <f>INDEX(Mapping!$C$5:$C$20,MATCH($C417,Mapping!$A$5:$A$20,0))</f>
        <v/>
      </c>
      <c r="K417" s="5">
        <f>INDEX(Mapping!$D$5:$D$20,MATCH($C417,Mapping!$A$5:$A$20,0))</f>
        <v/>
      </c>
      <c r="L417" s="5">
        <f>INDEX(Mapping!$C$24:$C$31,MATCH($B417,Mapping!$A$24:$A$31,0))</f>
        <v/>
      </c>
      <c r="M417" s="5">
        <f>INDEX(Mapping!$D$24:$D$31,MATCH($B417,Mapping!$A$24:$A$31,0))</f>
        <v/>
      </c>
      <c r="N417" s="5">
        <f>$B417&amp;"."&amp;IF(INDEX(Mapping!$E$24:$E$31,MATCH($B417,Mapping!$A$24:$A$31,0))="sub",INDEX(Mapping!$F$5:$F$20,MATCH($C417,Mapping!$A$5:$A$20,0)),"all")</f>
        <v/>
      </c>
      <c r="O417" s="5">
        <f>INDEX(Mapping!$E$5:$E$20,MATCH($C417,Mapping!$A$5:$A$20,0))</f>
        <v/>
      </c>
      <c r="P417" s="5">
        <f>INDEX(Mapping!$G$24:$G$31,MATCH($B417,Mapping!$A$24:$A$31,0))</f>
        <v/>
      </c>
      <c r="Q417" s="22">
        <f>INDEX(Elasticities!$F$4:$I$200,MATCH("inc|"&amp;$L417&amp;"|"&amp;$K417,Elasticities!$A$4:$A$200,0),MATCH(Settings!$C$6,Elasticities!$F$3:$I$3,0))</f>
        <v/>
      </c>
      <c r="R417" s="22">
        <f>INDEX(Elasticities!$F$4:$I$200,MATCH("usg|"&amp;$L417&amp;"|"&amp;$K417,Elasticities!$A$4:$A$200,0),MATCH(Settings!$C$6,Elasticities!$F$3:$I$3,0))</f>
        <v/>
      </c>
      <c r="S417" s="22">
        <f>INDEX(Elasticities!$F$4:$I$200,MATCH("eff|"&amp;$L417&amp;"|"&amp;$K417,Elasticities!$A$4:$A$200,0),MATCH(Settings!$C$6,Elasticities!$F$3:$I$3,0))</f>
        <v/>
      </c>
      <c r="T417" s="22">
        <f>INDEX(Elasticities!$F$4:$I$200,MATCH("aei|"&amp;$M417&amp;"|"&amp;$K417,Elasticities!$A$4:$A$200,0),MATCH(Settings!$C$6,Elasticities!$F$3:$I$3,0))</f>
        <v/>
      </c>
      <c r="U417" s="21" t="n"/>
      <c r="V417" s="22">
        <f>Q417</f>
        <v/>
      </c>
      <c r="W417" s="22">
        <f>R417</f>
        <v/>
      </c>
      <c r="X417" s="22">
        <f>S417</f>
        <v/>
      </c>
      <c r="Y417" s="22">
        <f>T417</f>
        <v/>
      </c>
      <c r="Z417" s="21" t="n"/>
      <c r="AA417" s="22">
        <f>Q417</f>
        <v/>
      </c>
      <c r="AB417" s="22">
        <f>R417</f>
        <v/>
      </c>
      <c r="AC417" s="22">
        <f>S417</f>
        <v/>
      </c>
      <c r="AD417" s="22">
        <f>T417</f>
        <v/>
      </c>
      <c r="AE417" s="21" t="n"/>
      <c r="AF417" s="22">
        <f>Q417</f>
        <v/>
      </c>
      <c r="AG417" s="22">
        <f>R417</f>
        <v/>
      </c>
      <c r="AH417" s="22">
        <f>S417</f>
        <v/>
      </c>
      <c r="AI417" s="22">
        <f>T417</f>
        <v/>
      </c>
      <c r="AJ417" s="21" t="n"/>
      <c r="AL417" s="24">
        <f>INDEX(EnergyCons!$F$4:$F$5000,MATCH(Settings!$C$4&amp;"|"&amp;AL$5&amp;"|"&amp;$C417&amp;"|"&amp;$B417,EnergyCons!$A$4:$A$5000,0))</f>
        <v/>
      </c>
      <c r="AM417" s="25">
        <f>AL417*(1/(1+INDEX($Q417:$AJ417,1,(AM$4-1)*5+4)))^(1+INDEX($Q417:$AJ417,1,(AM$4-1)*5+2))*(1+AM$7)^INDEX($Q417:$AJ417,1,(AM$4-1)*5+1)*(AM287/AL287)^INDEX($Q417:$AJ417,1,(AM$4-1)*5+2)*(AM287/AL287)^(INDEX($Q417:$AJ417,1,(AM$4-1)*5+3)*(1+INDEX($Q417:$AJ417,1,(AM$4-1)*5+2)))</f>
        <v/>
      </c>
      <c r="AN417" s="25">
        <f>AM417*(1/(1+INDEX($Q417:$AJ417,1,(AN$4-1)*5+4)))^(1+INDEX($Q417:$AJ417,1,(AN$4-1)*5+2))*(1+AN$7)^INDEX($Q417:$AJ417,1,(AN$4-1)*5+1)*(AN287/AM287)^INDEX($Q417:$AJ417,1,(AN$4-1)*5+2)*(AN287/AM287)^(INDEX($Q417:$AJ417,1,(AN$4-1)*5+3)*(1+INDEX($Q417:$AJ417,1,(AN$4-1)*5+2)))</f>
        <v/>
      </c>
      <c r="AO417" s="25">
        <f>AN417*(1/(1+INDEX($Q417:$AJ417,1,(AO$4-1)*5+4)))^(1+INDEX($Q417:$AJ417,1,(AO$4-1)*5+2))*(1+AO$7)^INDEX($Q417:$AJ417,1,(AO$4-1)*5+1)*(AO287/AN287)^INDEX($Q417:$AJ417,1,(AO$4-1)*5+2)*(AO287/AN287)^(INDEX($Q417:$AJ417,1,(AO$4-1)*5+3)*(1+INDEX($Q417:$AJ417,1,(AO$4-1)*5+2)))</f>
        <v/>
      </c>
      <c r="AP417" s="25">
        <f>AO417*(1/(1+INDEX($Q417:$AJ417,1,(AP$4-1)*5+4)))^(1+INDEX($Q417:$AJ417,1,(AP$4-1)*5+2))*(1+AP$7)^INDEX($Q417:$AJ417,1,(AP$4-1)*5+1)*(AP287/AO287)^INDEX($Q417:$AJ417,1,(AP$4-1)*5+2)*(AP287/AO287)^(INDEX($Q417:$AJ417,1,(AP$4-1)*5+3)*(1+INDEX($Q417:$AJ417,1,(AP$4-1)*5+2)))</f>
        <v/>
      </c>
      <c r="AQ417" s="25">
        <f>AP417*(1/(1+INDEX($Q417:$AJ417,1,(AQ$4-1)*5+4)))^(1+INDEX($Q417:$AJ417,1,(AQ$4-1)*5+2))*(1+AQ$7)^INDEX($Q417:$AJ417,1,(AQ$4-1)*5+1)*(AQ287/AP287)^INDEX($Q417:$AJ417,1,(AQ$4-1)*5+2)*(AQ287/AP287)^(INDEX($Q417:$AJ417,1,(AQ$4-1)*5+3)*(1+INDEX($Q417:$AJ417,1,(AQ$4-1)*5+2)))</f>
        <v/>
      </c>
      <c r="AR417" s="25">
        <f>AQ417*(1/(1+INDEX($Q417:$AJ417,1,(AR$4-1)*5+4)))^(1+INDEX($Q417:$AJ417,1,(AR$4-1)*5+2))*(1+AR$7)^INDEX($Q417:$AJ417,1,(AR$4-1)*5+1)*(AR287/AQ287)^INDEX($Q417:$AJ417,1,(AR$4-1)*5+2)*(AR287/AQ287)^(INDEX($Q417:$AJ417,1,(AR$4-1)*5+3)*(1+INDEX($Q417:$AJ417,1,(AR$4-1)*5+2)))</f>
        <v/>
      </c>
      <c r="AS417" s="25">
        <f>AR417*(1/(1+INDEX($Q417:$AJ417,1,(AS$4-1)*5+4)))^(1+INDEX($Q417:$AJ417,1,(AS$4-1)*5+2))*(1+AS$7)^INDEX($Q417:$AJ417,1,(AS$4-1)*5+1)*(AS287/AR287)^INDEX($Q417:$AJ417,1,(AS$4-1)*5+2)*(AS287/AR287)^(INDEX($Q417:$AJ417,1,(AS$4-1)*5+3)*(1+INDEX($Q417:$AJ417,1,(AS$4-1)*5+2)))</f>
        <v/>
      </c>
      <c r="AT417" s="25">
        <f>AS417*(1/(1+INDEX($Q417:$AJ417,1,(AT$4-1)*5+4)))^(1+INDEX($Q417:$AJ417,1,(AT$4-1)*5+2))*(1+AT$7)^INDEX($Q417:$AJ417,1,(AT$4-1)*5+1)*(AT287/AS287)^INDEX($Q417:$AJ417,1,(AT$4-1)*5+2)*(AT287/AS287)^(INDEX($Q417:$AJ417,1,(AT$4-1)*5+3)*(1+INDEX($Q417:$AJ417,1,(AT$4-1)*5+2)))</f>
        <v/>
      </c>
      <c r="AU417" s="25">
        <f>AT417*(1/(1+INDEX($Q417:$AJ417,1,(AU$4-1)*5+4)))^(1+INDEX($Q417:$AJ417,1,(AU$4-1)*5+2))*(1+AU$7)^INDEX($Q417:$AJ417,1,(AU$4-1)*5+1)*(AU287/AT287)^INDEX($Q417:$AJ417,1,(AU$4-1)*5+2)*(AU287/AT287)^(INDEX($Q417:$AJ417,1,(AU$4-1)*5+3)*(1+INDEX($Q417:$AJ417,1,(AU$4-1)*5+2)))</f>
        <v/>
      </c>
      <c r="AV417" s="25">
        <f>AU417*(1/(1+INDEX($Q417:$AJ417,1,(AV$4-1)*5+4)))^(1+INDEX($Q417:$AJ417,1,(AV$4-1)*5+2))*(1+AV$7)^INDEX($Q417:$AJ417,1,(AV$4-1)*5+1)*(AV287/AU287)^INDEX($Q417:$AJ417,1,(AV$4-1)*5+2)*(AV287/AU287)^(INDEX($Q417:$AJ417,1,(AV$4-1)*5+3)*(1+INDEX($Q417:$AJ417,1,(AV$4-1)*5+2)))</f>
        <v/>
      </c>
      <c r="AW417" s="25">
        <f>AV417*(1/(1+INDEX($Q417:$AJ417,1,(AW$4-1)*5+4)))^(1+INDEX($Q417:$AJ417,1,(AW$4-1)*5+2))*(1+AW$7)^INDEX($Q417:$AJ417,1,(AW$4-1)*5+1)*(AW287/AV287)^INDEX($Q417:$AJ417,1,(AW$4-1)*5+2)*(AW287/AV287)^(INDEX($Q417:$AJ417,1,(AW$4-1)*5+3)*(1+INDEX($Q417:$AJ417,1,(AW$4-1)*5+2)))</f>
        <v/>
      </c>
      <c r="AX417" s="25">
        <f>AW417*(1/(1+INDEX($Q417:$AJ417,1,(AX$4-1)*5+4)))^(1+INDEX($Q417:$AJ417,1,(AX$4-1)*5+2))*(1+AX$7)^INDEX($Q417:$AJ417,1,(AX$4-1)*5+1)*(AX287/AW287)^INDEX($Q417:$AJ417,1,(AX$4-1)*5+2)*(AX287/AW287)^(INDEX($Q417:$AJ417,1,(AX$4-1)*5+3)*(1+INDEX($Q417:$AJ417,1,(AX$4-1)*5+2)))</f>
        <v/>
      </c>
      <c r="AY417" s="25">
        <f>AX417*(1/(1+INDEX($Q417:$AJ417,1,(AY$4-1)*5+4)))^(1+INDEX($Q417:$AJ417,1,(AY$4-1)*5+2))*(1+AY$7)^INDEX($Q417:$AJ417,1,(AY$4-1)*5+1)*(AY287/AX287)^INDEX($Q417:$AJ417,1,(AY$4-1)*5+2)*(AY287/AX287)^(INDEX($Q417:$AJ417,1,(AY$4-1)*5+3)*(1+INDEX($Q417:$AJ417,1,(AY$4-1)*5+2)))</f>
        <v/>
      </c>
      <c r="BA417" s="24">
        <f>INDEX(EnergyCons!$F$4:$F$5000,MATCH(Settings!$C$4&amp;"|"&amp;BA$5&amp;"|"&amp;$C417&amp;"|"&amp;$B417,EnergyCons!$A$4:$A$5000,0))</f>
        <v/>
      </c>
      <c r="BB417" s="25">
        <f>BA417*(1/(1+INDEX($Q417:$AJ417,1,(BB$4-1)*5+4)))^(1+INDEX($Q417:$AJ417,1,(BB$4-1)*5+2))*(1+BB$7)^INDEX($Q417:$AJ417,1,(BB$4-1)*5+1)*(BB287/BA287)^INDEX($Q417:$AJ417,1,(BB$4-1)*5+2)*(BB287/BA287)^(INDEX($Q417:$AJ417,1,(BB$4-1)*5+3)*(1+INDEX($Q417:$AJ417,1,(BB$4-1)*5+2)))</f>
        <v/>
      </c>
      <c r="BC417" s="25">
        <f>BB417*(1/(1+INDEX($Q417:$AJ417,1,(BC$4-1)*5+4)))^(1+INDEX($Q417:$AJ417,1,(BC$4-1)*5+2))*(1+BC$7)^INDEX($Q417:$AJ417,1,(BC$4-1)*5+1)*(BC287/BB287)^INDEX($Q417:$AJ417,1,(BC$4-1)*5+2)*(BC287/BB287)^(INDEX($Q417:$AJ417,1,(BC$4-1)*5+3)*(1+INDEX($Q417:$AJ417,1,(BC$4-1)*5+2)))</f>
        <v/>
      </c>
      <c r="BD417" s="25">
        <f>BC417*(1/(1+INDEX($Q417:$AJ417,1,(BD$4-1)*5+4)))^(1+INDEX($Q417:$AJ417,1,(BD$4-1)*5+2))*(1+BD$7)^INDEX($Q417:$AJ417,1,(BD$4-1)*5+1)*(BD287/BC287)^INDEX($Q417:$AJ417,1,(BD$4-1)*5+2)*(BD287/BC287)^(INDEX($Q417:$AJ417,1,(BD$4-1)*5+3)*(1+INDEX($Q417:$AJ417,1,(BD$4-1)*5+2)))</f>
        <v/>
      </c>
      <c r="BE417" s="25">
        <f>BD417*(1/(1+INDEX($Q417:$AJ417,1,(BE$4-1)*5+4)))^(1+INDEX($Q417:$AJ417,1,(BE$4-1)*5+2))*(1+BE$7)^INDEX($Q417:$AJ417,1,(BE$4-1)*5+1)*(BE287/BD287)^INDEX($Q417:$AJ417,1,(BE$4-1)*5+2)*(BE287/BD287)^(INDEX($Q417:$AJ417,1,(BE$4-1)*5+3)*(1+INDEX($Q417:$AJ417,1,(BE$4-1)*5+2)))</f>
        <v/>
      </c>
      <c r="BF417" s="25">
        <f>BE417*(1/(1+INDEX($Q417:$AJ417,1,(BF$4-1)*5+4)))^(1+INDEX($Q417:$AJ417,1,(BF$4-1)*5+2))*(1+BF$7)^INDEX($Q417:$AJ417,1,(BF$4-1)*5+1)*(BF287/BE287)^INDEX($Q417:$AJ417,1,(BF$4-1)*5+2)*(BF287/BE287)^(INDEX($Q417:$AJ417,1,(BF$4-1)*5+3)*(1+INDEX($Q417:$AJ417,1,(BF$4-1)*5+2)))</f>
        <v/>
      </c>
      <c r="BG417" s="25">
        <f>BF417*(1/(1+INDEX($Q417:$AJ417,1,(BG$4-1)*5+4)))^(1+INDEX($Q417:$AJ417,1,(BG$4-1)*5+2))*(1+BG$7)^INDEX($Q417:$AJ417,1,(BG$4-1)*5+1)*(BG287/BF287)^INDEX($Q417:$AJ417,1,(BG$4-1)*5+2)*(BG287/BF287)^(INDEX($Q417:$AJ417,1,(BG$4-1)*5+3)*(1+INDEX($Q417:$AJ417,1,(BG$4-1)*5+2)))</f>
        <v/>
      </c>
      <c r="BH417" s="25">
        <f>BG417*(1/(1+INDEX($Q417:$AJ417,1,(BH$4-1)*5+4)))^(1+INDEX($Q417:$AJ417,1,(BH$4-1)*5+2))*(1+BH$7)^INDEX($Q417:$AJ417,1,(BH$4-1)*5+1)*(BH287/BG287)^INDEX($Q417:$AJ417,1,(BH$4-1)*5+2)*(BH287/BG287)^(INDEX($Q417:$AJ417,1,(BH$4-1)*5+3)*(1+INDEX($Q417:$AJ417,1,(BH$4-1)*5+2)))</f>
        <v/>
      </c>
      <c r="BI417" s="25">
        <f>BH417*(1/(1+INDEX($Q417:$AJ417,1,(BI$4-1)*5+4)))^(1+INDEX($Q417:$AJ417,1,(BI$4-1)*5+2))*(1+BI$7)^INDEX($Q417:$AJ417,1,(BI$4-1)*5+1)*(BI287/BH287)^INDEX($Q417:$AJ417,1,(BI$4-1)*5+2)*(BI287/BH287)^(INDEX($Q417:$AJ417,1,(BI$4-1)*5+3)*(1+INDEX($Q417:$AJ417,1,(BI$4-1)*5+2)))</f>
        <v/>
      </c>
      <c r="BJ417" s="25">
        <f>BI417*(1/(1+INDEX($Q417:$AJ417,1,(BJ$4-1)*5+4)))^(1+INDEX($Q417:$AJ417,1,(BJ$4-1)*5+2))*(1+BJ$7)^INDEX($Q417:$AJ417,1,(BJ$4-1)*5+1)*(BJ287/BI287)^INDEX($Q417:$AJ417,1,(BJ$4-1)*5+2)*(BJ287/BI287)^(INDEX($Q417:$AJ417,1,(BJ$4-1)*5+3)*(1+INDEX($Q417:$AJ417,1,(BJ$4-1)*5+2)))</f>
        <v/>
      </c>
      <c r="BK417" s="25">
        <f>BJ417*(1/(1+INDEX($Q417:$AJ417,1,(BK$4-1)*5+4)))^(1+INDEX($Q417:$AJ417,1,(BK$4-1)*5+2))*(1+BK$7)^INDEX($Q417:$AJ417,1,(BK$4-1)*5+1)*(BK287/BJ287)^INDEX($Q417:$AJ417,1,(BK$4-1)*5+2)*(BK287/BJ287)^(INDEX($Q417:$AJ417,1,(BK$4-1)*5+3)*(1+INDEX($Q417:$AJ417,1,(BK$4-1)*5+2)))</f>
        <v/>
      </c>
      <c r="BL417" s="25">
        <f>BK417*(1/(1+INDEX($Q417:$AJ417,1,(BL$4-1)*5+4)))^(1+INDEX($Q417:$AJ417,1,(BL$4-1)*5+2))*(1+BL$7)^INDEX($Q417:$AJ417,1,(BL$4-1)*5+1)*(BL287/BK287)^INDEX($Q417:$AJ417,1,(BL$4-1)*5+2)*(BL287/BK287)^(INDEX($Q417:$AJ417,1,(BL$4-1)*5+3)*(1+INDEX($Q417:$AJ417,1,(BL$4-1)*5+2)))</f>
        <v/>
      </c>
      <c r="BM417" s="25">
        <f>BL417*(1/(1+INDEX($Q417:$AJ417,1,(BM$4-1)*5+4)))^(1+INDEX($Q417:$AJ417,1,(BM$4-1)*5+2))*(1+BM$7)^INDEX($Q417:$AJ417,1,(BM$4-1)*5+1)*(BM287/BL287)^INDEX($Q417:$AJ417,1,(BM$4-1)*5+2)*(BM287/BL287)^(INDEX($Q417:$AJ417,1,(BM$4-1)*5+3)*(1+INDEX($Q417:$AJ417,1,(BM$4-1)*5+2)))</f>
        <v/>
      </c>
      <c r="BN417" s="25">
        <f>BM417*(1/(1+INDEX($Q417:$AJ417,1,(BN$4-1)*5+4)))^(1+INDEX($Q417:$AJ417,1,(BN$4-1)*5+2))*(1+BN$7)^INDEX($Q417:$AJ417,1,(BN$4-1)*5+1)*(BN287/BM287)^INDEX($Q417:$AJ417,1,(BN$4-1)*5+2)*(BN287/BM287)^(INDEX($Q417:$AJ417,1,(BN$4-1)*5+3)*(1+INDEX($Q417:$AJ417,1,(BN$4-1)*5+2)))</f>
        <v/>
      </c>
    </row>
    <row r="418">
      <c r="B418" s="5" t="inlineStr">
        <is>
          <t>nga</t>
        </is>
      </c>
      <c r="C418" s="5" t="inlineStr">
        <is>
          <t>avi</t>
        </is>
      </c>
      <c r="D418" s="5" t="inlineStr">
        <is>
          <t>Fuel use | Domestic aviation | Natural gas</t>
        </is>
      </c>
      <c r="E418" s="5" t="inlineStr">
        <is>
          <t>ktoe</t>
        </is>
      </c>
      <c r="F418" s="5" t="inlineStr">
        <is>
          <t>EnergyCons (base year), Elasticities</t>
        </is>
      </c>
      <c r="G418" s="19" t="inlineStr">
        <is>
          <t>mit.enc.nga.avi</t>
        </is>
      </c>
      <c r="H418" s="19" t="inlineStr">
        <is>
          <t>mit.enc.nga.avi</t>
        </is>
      </c>
      <c r="J418" s="5">
        <f>INDEX(Mapping!$C$5:$C$20,MATCH($C418,Mapping!$A$5:$A$20,0))</f>
        <v/>
      </c>
      <c r="K418" s="5">
        <f>INDEX(Mapping!$D$5:$D$20,MATCH($C418,Mapping!$A$5:$A$20,0))</f>
        <v/>
      </c>
      <c r="L418" s="5">
        <f>INDEX(Mapping!$C$24:$C$31,MATCH($B418,Mapping!$A$24:$A$31,0))</f>
        <v/>
      </c>
      <c r="M418" s="5">
        <f>INDEX(Mapping!$D$24:$D$31,MATCH($B418,Mapping!$A$24:$A$31,0))</f>
        <v/>
      </c>
      <c r="N418" s="5">
        <f>$B418&amp;"."&amp;IF(INDEX(Mapping!$E$24:$E$31,MATCH($B418,Mapping!$A$24:$A$31,0))="sub",INDEX(Mapping!$F$5:$F$20,MATCH($C418,Mapping!$A$5:$A$20,0)),"all")</f>
        <v/>
      </c>
      <c r="O418" s="5">
        <f>INDEX(Mapping!$E$5:$E$20,MATCH($C418,Mapping!$A$5:$A$20,0))</f>
        <v/>
      </c>
      <c r="P418" s="5">
        <f>INDEX(Mapping!$G$24:$G$31,MATCH($B418,Mapping!$A$24:$A$31,0))</f>
        <v/>
      </c>
      <c r="Q418" s="22">
        <f>INDEX(Elasticities!$F$4:$I$200,MATCH("inc|"&amp;$L418&amp;"|"&amp;$K418,Elasticities!$A$4:$A$200,0),MATCH(Settings!$C$6,Elasticities!$F$3:$I$3,0))</f>
        <v/>
      </c>
      <c r="R418" s="22">
        <f>INDEX(Elasticities!$F$4:$I$200,MATCH("usg|"&amp;$L418&amp;"|"&amp;$K418,Elasticities!$A$4:$A$200,0),MATCH(Settings!$C$6,Elasticities!$F$3:$I$3,0))</f>
        <v/>
      </c>
      <c r="S418" s="22">
        <f>INDEX(Elasticities!$F$4:$I$200,MATCH("eff|"&amp;$L418&amp;"|"&amp;$K418,Elasticities!$A$4:$A$200,0),MATCH(Settings!$C$6,Elasticities!$F$3:$I$3,0))</f>
        <v/>
      </c>
      <c r="T418" s="22">
        <f>INDEX(Elasticities!$F$4:$I$200,MATCH("aei|"&amp;$M418&amp;"|"&amp;$K418,Elasticities!$A$4:$A$200,0),MATCH(Settings!$C$6,Elasticities!$F$3:$I$3,0))</f>
        <v/>
      </c>
      <c r="U418" s="21" t="n"/>
      <c r="V418" s="22">
        <f>Q418</f>
        <v/>
      </c>
      <c r="W418" s="22">
        <f>R418</f>
        <v/>
      </c>
      <c r="X418" s="22">
        <f>S418</f>
        <v/>
      </c>
      <c r="Y418" s="22">
        <f>T418</f>
        <v/>
      </c>
      <c r="Z418" s="21" t="n"/>
      <c r="AA418" s="22">
        <f>Q418</f>
        <v/>
      </c>
      <c r="AB418" s="22">
        <f>R418</f>
        <v/>
      </c>
      <c r="AC418" s="22">
        <f>S418</f>
        <v/>
      </c>
      <c r="AD418" s="22">
        <f>T418</f>
        <v/>
      </c>
      <c r="AE418" s="21" t="n"/>
      <c r="AF418" s="22">
        <f>Q418</f>
        <v/>
      </c>
      <c r="AG418" s="22">
        <f>R418</f>
        <v/>
      </c>
      <c r="AH418" s="22">
        <f>S418</f>
        <v/>
      </c>
      <c r="AI418" s="22">
        <f>T418</f>
        <v/>
      </c>
      <c r="AJ418" s="21" t="n"/>
      <c r="AL418" s="24">
        <f>INDEX(EnergyCons!$F$4:$F$5000,MATCH(Settings!$C$4&amp;"|"&amp;AL$5&amp;"|"&amp;$C418&amp;"|"&amp;$B418,EnergyCons!$A$4:$A$5000,0))</f>
        <v/>
      </c>
      <c r="AM418" s="25">
        <f>AL418*(1/(1+INDEX($Q418:$AJ418,1,(AM$4-1)*5+4)))^(1+INDEX($Q418:$AJ418,1,(AM$4-1)*5+2))*(1+AM$7)^INDEX($Q418:$AJ418,1,(AM$4-1)*5+1)*(AM288/AL288)^INDEX($Q418:$AJ418,1,(AM$4-1)*5+2)*(AM288/AL288)^(INDEX($Q418:$AJ418,1,(AM$4-1)*5+3)*(1+INDEX($Q418:$AJ418,1,(AM$4-1)*5+2)))</f>
        <v/>
      </c>
      <c r="AN418" s="25">
        <f>AM418*(1/(1+INDEX($Q418:$AJ418,1,(AN$4-1)*5+4)))^(1+INDEX($Q418:$AJ418,1,(AN$4-1)*5+2))*(1+AN$7)^INDEX($Q418:$AJ418,1,(AN$4-1)*5+1)*(AN288/AM288)^INDEX($Q418:$AJ418,1,(AN$4-1)*5+2)*(AN288/AM288)^(INDEX($Q418:$AJ418,1,(AN$4-1)*5+3)*(1+INDEX($Q418:$AJ418,1,(AN$4-1)*5+2)))</f>
        <v/>
      </c>
      <c r="AO418" s="25">
        <f>AN418*(1/(1+INDEX($Q418:$AJ418,1,(AO$4-1)*5+4)))^(1+INDEX($Q418:$AJ418,1,(AO$4-1)*5+2))*(1+AO$7)^INDEX($Q418:$AJ418,1,(AO$4-1)*5+1)*(AO288/AN288)^INDEX($Q418:$AJ418,1,(AO$4-1)*5+2)*(AO288/AN288)^(INDEX($Q418:$AJ418,1,(AO$4-1)*5+3)*(1+INDEX($Q418:$AJ418,1,(AO$4-1)*5+2)))</f>
        <v/>
      </c>
      <c r="AP418" s="25">
        <f>AO418*(1/(1+INDEX($Q418:$AJ418,1,(AP$4-1)*5+4)))^(1+INDEX($Q418:$AJ418,1,(AP$4-1)*5+2))*(1+AP$7)^INDEX($Q418:$AJ418,1,(AP$4-1)*5+1)*(AP288/AO288)^INDEX($Q418:$AJ418,1,(AP$4-1)*5+2)*(AP288/AO288)^(INDEX($Q418:$AJ418,1,(AP$4-1)*5+3)*(1+INDEX($Q418:$AJ418,1,(AP$4-1)*5+2)))</f>
        <v/>
      </c>
      <c r="AQ418" s="25">
        <f>AP418*(1/(1+INDEX($Q418:$AJ418,1,(AQ$4-1)*5+4)))^(1+INDEX($Q418:$AJ418,1,(AQ$4-1)*5+2))*(1+AQ$7)^INDEX($Q418:$AJ418,1,(AQ$4-1)*5+1)*(AQ288/AP288)^INDEX($Q418:$AJ418,1,(AQ$4-1)*5+2)*(AQ288/AP288)^(INDEX($Q418:$AJ418,1,(AQ$4-1)*5+3)*(1+INDEX($Q418:$AJ418,1,(AQ$4-1)*5+2)))</f>
        <v/>
      </c>
      <c r="AR418" s="25">
        <f>AQ418*(1/(1+INDEX($Q418:$AJ418,1,(AR$4-1)*5+4)))^(1+INDEX($Q418:$AJ418,1,(AR$4-1)*5+2))*(1+AR$7)^INDEX($Q418:$AJ418,1,(AR$4-1)*5+1)*(AR288/AQ288)^INDEX($Q418:$AJ418,1,(AR$4-1)*5+2)*(AR288/AQ288)^(INDEX($Q418:$AJ418,1,(AR$4-1)*5+3)*(1+INDEX($Q418:$AJ418,1,(AR$4-1)*5+2)))</f>
        <v/>
      </c>
      <c r="AS418" s="25">
        <f>AR418*(1/(1+INDEX($Q418:$AJ418,1,(AS$4-1)*5+4)))^(1+INDEX($Q418:$AJ418,1,(AS$4-1)*5+2))*(1+AS$7)^INDEX($Q418:$AJ418,1,(AS$4-1)*5+1)*(AS288/AR288)^INDEX($Q418:$AJ418,1,(AS$4-1)*5+2)*(AS288/AR288)^(INDEX($Q418:$AJ418,1,(AS$4-1)*5+3)*(1+INDEX($Q418:$AJ418,1,(AS$4-1)*5+2)))</f>
        <v/>
      </c>
      <c r="AT418" s="25">
        <f>AS418*(1/(1+INDEX($Q418:$AJ418,1,(AT$4-1)*5+4)))^(1+INDEX($Q418:$AJ418,1,(AT$4-1)*5+2))*(1+AT$7)^INDEX($Q418:$AJ418,1,(AT$4-1)*5+1)*(AT288/AS288)^INDEX($Q418:$AJ418,1,(AT$4-1)*5+2)*(AT288/AS288)^(INDEX($Q418:$AJ418,1,(AT$4-1)*5+3)*(1+INDEX($Q418:$AJ418,1,(AT$4-1)*5+2)))</f>
        <v/>
      </c>
      <c r="AU418" s="25">
        <f>AT418*(1/(1+INDEX($Q418:$AJ418,1,(AU$4-1)*5+4)))^(1+INDEX($Q418:$AJ418,1,(AU$4-1)*5+2))*(1+AU$7)^INDEX($Q418:$AJ418,1,(AU$4-1)*5+1)*(AU288/AT288)^INDEX($Q418:$AJ418,1,(AU$4-1)*5+2)*(AU288/AT288)^(INDEX($Q418:$AJ418,1,(AU$4-1)*5+3)*(1+INDEX($Q418:$AJ418,1,(AU$4-1)*5+2)))</f>
        <v/>
      </c>
      <c r="AV418" s="25">
        <f>AU418*(1/(1+INDEX($Q418:$AJ418,1,(AV$4-1)*5+4)))^(1+INDEX($Q418:$AJ418,1,(AV$4-1)*5+2))*(1+AV$7)^INDEX($Q418:$AJ418,1,(AV$4-1)*5+1)*(AV288/AU288)^INDEX($Q418:$AJ418,1,(AV$4-1)*5+2)*(AV288/AU288)^(INDEX($Q418:$AJ418,1,(AV$4-1)*5+3)*(1+INDEX($Q418:$AJ418,1,(AV$4-1)*5+2)))</f>
        <v/>
      </c>
      <c r="AW418" s="25">
        <f>AV418*(1/(1+INDEX($Q418:$AJ418,1,(AW$4-1)*5+4)))^(1+INDEX($Q418:$AJ418,1,(AW$4-1)*5+2))*(1+AW$7)^INDEX($Q418:$AJ418,1,(AW$4-1)*5+1)*(AW288/AV288)^INDEX($Q418:$AJ418,1,(AW$4-1)*5+2)*(AW288/AV288)^(INDEX($Q418:$AJ418,1,(AW$4-1)*5+3)*(1+INDEX($Q418:$AJ418,1,(AW$4-1)*5+2)))</f>
        <v/>
      </c>
      <c r="AX418" s="25">
        <f>AW418*(1/(1+INDEX($Q418:$AJ418,1,(AX$4-1)*5+4)))^(1+INDEX($Q418:$AJ418,1,(AX$4-1)*5+2))*(1+AX$7)^INDEX($Q418:$AJ418,1,(AX$4-1)*5+1)*(AX288/AW288)^INDEX($Q418:$AJ418,1,(AX$4-1)*5+2)*(AX288/AW288)^(INDEX($Q418:$AJ418,1,(AX$4-1)*5+3)*(1+INDEX($Q418:$AJ418,1,(AX$4-1)*5+2)))</f>
        <v/>
      </c>
      <c r="AY418" s="25">
        <f>AX418*(1/(1+INDEX($Q418:$AJ418,1,(AY$4-1)*5+4)))^(1+INDEX($Q418:$AJ418,1,(AY$4-1)*5+2))*(1+AY$7)^INDEX($Q418:$AJ418,1,(AY$4-1)*5+1)*(AY288/AX288)^INDEX($Q418:$AJ418,1,(AY$4-1)*5+2)*(AY288/AX288)^(INDEX($Q418:$AJ418,1,(AY$4-1)*5+3)*(1+INDEX($Q418:$AJ418,1,(AY$4-1)*5+2)))</f>
        <v/>
      </c>
      <c r="BA418" s="24">
        <f>INDEX(EnergyCons!$F$4:$F$5000,MATCH(Settings!$C$4&amp;"|"&amp;BA$5&amp;"|"&amp;$C418&amp;"|"&amp;$B418,EnergyCons!$A$4:$A$5000,0))</f>
        <v/>
      </c>
      <c r="BB418" s="25">
        <f>BA418*(1/(1+INDEX($Q418:$AJ418,1,(BB$4-1)*5+4)))^(1+INDEX($Q418:$AJ418,1,(BB$4-1)*5+2))*(1+BB$7)^INDEX($Q418:$AJ418,1,(BB$4-1)*5+1)*(BB288/BA288)^INDEX($Q418:$AJ418,1,(BB$4-1)*5+2)*(BB288/BA288)^(INDEX($Q418:$AJ418,1,(BB$4-1)*5+3)*(1+INDEX($Q418:$AJ418,1,(BB$4-1)*5+2)))</f>
        <v/>
      </c>
      <c r="BC418" s="25">
        <f>BB418*(1/(1+INDEX($Q418:$AJ418,1,(BC$4-1)*5+4)))^(1+INDEX($Q418:$AJ418,1,(BC$4-1)*5+2))*(1+BC$7)^INDEX($Q418:$AJ418,1,(BC$4-1)*5+1)*(BC288/BB288)^INDEX($Q418:$AJ418,1,(BC$4-1)*5+2)*(BC288/BB288)^(INDEX($Q418:$AJ418,1,(BC$4-1)*5+3)*(1+INDEX($Q418:$AJ418,1,(BC$4-1)*5+2)))</f>
        <v/>
      </c>
      <c r="BD418" s="25">
        <f>BC418*(1/(1+INDEX($Q418:$AJ418,1,(BD$4-1)*5+4)))^(1+INDEX($Q418:$AJ418,1,(BD$4-1)*5+2))*(1+BD$7)^INDEX($Q418:$AJ418,1,(BD$4-1)*5+1)*(BD288/BC288)^INDEX($Q418:$AJ418,1,(BD$4-1)*5+2)*(BD288/BC288)^(INDEX($Q418:$AJ418,1,(BD$4-1)*5+3)*(1+INDEX($Q418:$AJ418,1,(BD$4-1)*5+2)))</f>
        <v/>
      </c>
      <c r="BE418" s="25">
        <f>BD418*(1/(1+INDEX($Q418:$AJ418,1,(BE$4-1)*5+4)))^(1+INDEX($Q418:$AJ418,1,(BE$4-1)*5+2))*(1+BE$7)^INDEX($Q418:$AJ418,1,(BE$4-1)*5+1)*(BE288/BD288)^INDEX($Q418:$AJ418,1,(BE$4-1)*5+2)*(BE288/BD288)^(INDEX($Q418:$AJ418,1,(BE$4-1)*5+3)*(1+INDEX($Q418:$AJ418,1,(BE$4-1)*5+2)))</f>
        <v/>
      </c>
      <c r="BF418" s="25">
        <f>BE418*(1/(1+INDEX($Q418:$AJ418,1,(BF$4-1)*5+4)))^(1+INDEX($Q418:$AJ418,1,(BF$4-1)*5+2))*(1+BF$7)^INDEX($Q418:$AJ418,1,(BF$4-1)*5+1)*(BF288/BE288)^INDEX($Q418:$AJ418,1,(BF$4-1)*5+2)*(BF288/BE288)^(INDEX($Q418:$AJ418,1,(BF$4-1)*5+3)*(1+INDEX($Q418:$AJ418,1,(BF$4-1)*5+2)))</f>
        <v/>
      </c>
      <c r="BG418" s="25">
        <f>BF418*(1/(1+INDEX($Q418:$AJ418,1,(BG$4-1)*5+4)))^(1+INDEX($Q418:$AJ418,1,(BG$4-1)*5+2))*(1+BG$7)^INDEX($Q418:$AJ418,1,(BG$4-1)*5+1)*(BG288/BF288)^INDEX($Q418:$AJ418,1,(BG$4-1)*5+2)*(BG288/BF288)^(INDEX($Q418:$AJ418,1,(BG$4-1)*5+3)*(1+INDEX($Q418:$AJ418,1,(BG$4-1)*5+2)))</f>
        <v/>
      </c>
      <c r="BH418" s="25">
        <f>BG418*(1/(1+INDEX($Q418:$AJ418,1,(BH$4-1)*5+4)))^(1+INDEX($Q418:$AJ418,1,(BH$4-1)*5+2))*(1+BH$7)^INDEX($Q418:$AJ418,1,(BH$4-1)*5+1)*(BH288/BG288)^INDEX($Q418:$AJ418,1,(BH$4-1)*5+2)*(BH288/BG288)^(INDEX($Q418:$AJ418,1,(BH$4-1)*5+3)*(1+INDEX($Q418:$AJ418,1,(BH$4-1)*5+2)))</f>
        <v/>
      </c>
      <c r="BI418" s="25">
        <f>BH418*(1/(1+INDEX($Q418:$AJ418,1,(BI$4-1)*5+4)))^(1+INDEX($Q418:$AJ418,1,(BI$4-1)*5+2))*(1+BI$7)^INDEX($Q418:$AJ418,1,(BI$4-1)*5+1)*(BI288/BH288)^INDEX($Q418:$AJ418,1,(BI$4-1)*5+2)*(BI288/BH288)^(INDEX($Q418:$AJ418,1,(BI$4-1)*5+3)*(1+INDEX($Q418:$AJ418,1,(BI$4-1)*5+2)))</f>
        <v/>
      </c>
      <c r="BJ418" s="25">
        <f>BI418*(1/(1+INDEX($Q418:$AJ418,1,(BJ$4-1)*5+4)))^(1+INDEX($Q418:$AJ418,1,(BJ$4-1)*5+2))*(1+BJ$7)^INDEX($Q418:$AJ418,1,(BJ$4-1)*5+1)*(BJ288/BI288)^INDEX($Q418:$AJ418,1,(BJ$4-1)*5+2)*(BJ288/BI288)^(INDEX($Q418:$AJ418,1,(BJ$4-1)*5+3)*(1+INDEX($Q418:$AJ418,1,(BJ$4-1)*5+2)))</f>
        <v/>
      </c>
      <c r="BK418" s="25">
        <f>BJ418*(1/(1+INDEX($Q418:$AJ418,1,(BK$4-1)*5+4)))^(1+INDEX($Q418:$AJ418,1,(BK$4-1)*5+2))*(1+BK$7)^INDEX($Q418:$AJ418,1,(BK$4-1)*5+1)*(BK288/BJ288)^INDEX($Q418:$AJ418,1,(BK$4-1)*5+2)*(BK288/BJ288)^(INDEX($Q418:$AJ418,1,(BK$4-1)*5+3)*(1+INDEX($Q418:$AJ418,1,(BK$4-1)*5+2)))</f>
        <v/>
      </c>
      <c r="BL418" s="25">
        <f>BK418*(1/(1+INDEX($Q418:$AJ418,1,(BL$4-1)*5+4)))^(1+INDEX($Q418:$AJ418,1,(BL$4-1)*5+2))*(1+BL$7)^INDEX($Q418:$AJ418,1,(BL$4-1)*5+1)*(BL288/BK288)^INDEX($Q418:$AJ418,1,(BL$4-1)*5+2)*(BL288/BK288)^(INDEX($Q418:$AJ418,1,(BL$4-1)*5+3)*(1+INDEX($Q418:$AJ418,1,(BL$4-1)*5+2)))</f>
        <v/>
      </c>
      <c r="BM418" s="25">
        <f>BL418*(1/(1+INDEX($Q418:$AJ418,1,(BM$4-1)*5+4)))^(1+INDEX($Q418:$AJ418,1,(BM$4-1)*5+2))*(1+BM$7)^INDEX($Q418:$AJ418,1,(BM$4-1)*5+1)*(BM288/BL288)^INDEX($Q418:$AJ418,1,(BM$4-1)*5+2)*(BM288/BL288)^(INDEX($Q418:$AJ418,1,(BM$4-1)*5+3)*(1+INDEX($Q418:$AJ418,1,(BM$4-1)*5+2)))</f>
        <v/>
      </c>
      <c r="BN418" s="25">
        <f>BM418*(1/(1+INDEX($Q418:$AJ418,1,(BN$4-1)*5+4)))^(1+INDEX($Q418:$AJ418,1,(BN$4-1)*5+2))*(1+BN$7)^INDEX($Q418:$AJ418,1,(BN$4-1)*5+1)*(BN288/BM288)^INDEX($Q418:$AJ418,1,(BN$4-1)*5+2)*(BN288/BM288)^(INDEX($Q418:$AJ418,1,(BN$4-1)*5+3)*(1+INDEX($Q418:$AJ418,1,(BN$4-1)*5+2)))</f>
        <v/>
      </c>
    </row>
    <row r="419">
      <c r="B419" s="5" t="inlineStr">
        <is>
          <t>gso</t>
        </is>
      </c>
      <c r="C419" s="5" t="inlineStr">
        <is>
          <t>avi</t>
        </is>
      </c>
      <c r="D419" s="5" t="inlineStr">
        <is>
          <t>Fuel use | Domestic aviation | Gasoline</t>
        </is>
      </c>
      <c r="E419" s="5" t="inlineStr">
        <is>
          <t>ktoe</t>
        </is>
      </c>
      <c r="F419" s="5" t="inlineStr">
        <is>
          <t>EnergyCons (base year), Elasticities</t>
        </is>
      </c>
      <c r="G419" s="19" t="inlineStr">
        <is>
          <t>mit.enc.gso.avi</t>
        </is>
      </c>
      <c r="H419" s="19" t="inlineStr">
        <is>
          <t>mit.enc.gso.avi</t>
        </is>
      </c>
      <c r="J419" s="5">
        <f>INDEX(Mapping!$C$5:$C$20,MATCH($C419,Mapping!$A$5:$A$20,0))</f>
        <v/>
      </c>
      <c r="K419" s="5">
        <f>INDEX(Mapping!$D$5:$D$20,MATCH($C419,Mapping!$A$5:$A$20,0))</f>
        <v/>
      </c>
      <c r="L419" s="5">
        <f>INDEX(Mapping!$C$24:$C$31,MATCH($B419,Mapping!$A$24:$A$31,0))</f>
        <v/>
      </c>
      <c r="M419" s="5">
        <f>INDEX(Mapping!$D$24:$D$31,MATCH($B419,Mapping!$A$24:$A$31,0))</f>
        <v/>
      </c>
      <c r="N419" s="5">
        <f>$B419&amp;"."&amp;IF(INDEX(Mapping!$E$24:$E$31,MATCH($B419,Mapping!$A$24:$A$31,0))="sub",INDEX(Mapping!$F$5:$F$20,MATCH($C419,Mapping!$A$5:$A$20,0)),"all")</f>
        <v/>
      </c>
      <c r="O419" s="5">
        <f>INDEX(Mapping!$E$5:$E$20,MATCH($C419,Mapping!$A$5:$A$20,0))</f>
        <v/>
      </c>
      <c r="P419" s="5">
        <f>INDEX(Mapping!$G$24:$G$31,MATCH($B419,Mapping!$A$24:$A$31,0))</f>
        <v/>
      </c>
      <c r="Q419" s="22">
        <f>INDEX(Elasticities!$F$4:$I$200,MATCH("inc|"&amp;$L419&amp;"|"&amp;$K419,Elasticities!$A$4:$A$200,0),MATCH(Settings!$C$6,Elasticities!$F$3:$I$3,0))</f>
        <v/>
      </c>
      <c r="R419" s="22">
        <f>INDEX(Elasticities!$F$4:$I$200,MATCH("usg|"&amp;$L419&amp;"|"&amp;$K419,Elasticities!$A$4:$A$200,0),MATCH(Settings!$C$6,Elasticities!$F$3:$I$3,0))</f>
        <v/>
      </c>
      <c r="S419" s="22">
        <f>INDEX(Elasticities!$F$4:$I$200,MATCH("eff|"&amp;$L419&amp;"|"&amp;$K419,Elasticities!$A$4:$A$200,0),MATCH(Settings!$C$6,Elasticities!$F$3:$I$3,0))</f>
        <v/>
      </c>
      <c r="T419" s="22">
        <f>INDEX(Elasticities!$F$4:$I$200,MATCH("aei|"&amp;$M419&amp;"|"&amp;$K419,Elasticities!$A$4:$A$200,0),MATCH(Settings!$C$6,Elasticities!$F$3:$I$3,0))</f>
        <v/>
      </c>
      <c r="U419" s="21" t="n"/>
      <c r="V419" s="22">
        <f>Q419</f>
        <v/>
      </c>
      <c r="W419" s="22">
        <f>R419</f>
        <v/>
      </c>
      <c r="X419" s="22">
        <f>S419</f>
        <v/>
      </c>
      <c r="Y419" s="22">
        <f>T419</f>
        <v/>
      </c>
      <c r="Z419" s="21" t="n"/>
      <c r="AA419" s="22">
        <f>Q419</f>
        <v/>
      </c>
      <c r="AB419" s="22">
        <f>R419</f>
        <v/>
      </c>
      <c r="AC419" s="22">
        <f>S419</f>
        <v/>
      </c>
      <c r="AD419" s="22">
        <f>T419</f>
        <v/>
      </c>
      <c r="AE419" s="21" t="n"/>
      <c r="AF419" s="22">
        <f>Q419</f>
        <v/>
      </c>
      <c r="AG419" s="22">
        <f>R419</f>
        <v/>
      </c>
      <c r="AH419" s="22">
        <f>S419</f>
        <v/>
      </c>
      <c r="AI419" s="22">
        <f>T419</f>
        <v/>
      </c>
      <c r="AJ419" s="21" t="n"/>
      <c r="AL419" s="24">
        <f>INDEX(EnergyCons!$F$4:$F$5000,MATCH(Settings!$C$4&amp;"|"&amp;AL$5&amp;"|"&amp;$C419&amp;"|"&amp;$B419,EnergyCons!$A$4:$A$5000,0))</f>
        <v/>
      </c>
      <c r="AM419" s="25">
        <f>AL419*(1/(1+INDEX($Q419:$AJ419,1,(AM$4-1)*5+4)))^(1+INDEX($Q419:$AJ419,1,(AM$4-1)*5+2))*(1+AM$7)^INDEX($Q419:$AJ419,1,(AM$4-1)*5+1)*(AM289/AL289)^INDEX($Q419:$AJ419,1,(AM$4-1)*5+2)*(AM289/AL289)^(INDEX($Q419:$AJ419,1,(AM$4-1)*5+3)*(1+INDEX($Q419:$AJ419,1,(AM$4-1)*5+2)))</f>
        <v/>
      </c>
      <c r="AN419" s="25">
        <f>AM419*(1/(1+INDEX($Q419:$AJ419,1,(AN$4-1)*5+4)))^(1+INDEX($Q419:$AJ419,1,(AN$4-1)*5+2))*(1+AN$7)^INDEX($Q419:$AJ419,1,(AN$4-1)*5+1)*(AN289/AM289)^INDEX($Q419:$AJ419,1,(AN$4-1)*5+2)*(AN289/AM289)^(INDEX($Q419:$AJ419,1,(AN$4-1)*5+3)*(1+INDEX($Q419:$AJ419,1,(AN$4-1)*5+2)))</f>
        <v/>
      </c>
      <c r="AO419" s="25">
        <f>AN419*(1/(1+INDEX($Q419:$AJ419,1,(AO$4-1)*5+4)))^(1+INDEX($Q419:$AJ419,1,(AO$4-1)*5+2))*(1+AO$7)^INDEX($Q419:$AJ419,1,(AO$4-1)*5+1)*(AO289/AN289)^INDEX($Q419:$AJ419,1,(AO$4-1)*5+2)*(AO289/AN289)^(INDEX($Q419:$AJ419,1,(AO$4-1)*5+3)*(1+INDEX($Q419:$AJ419,1,(AO$4-1)*5+2)))</f>
        <v/>
      </c>
      <c r="AP419" s="25">
        <f>AO419*(1/(1+INDEX($Q419:$AJ419,1,(AP$4-1)*5+4)))^(1+INDEX($Q419:$AJ419,1,(AP$4-1)*5+2))*(1+AP$7)^INDEX($Q419:$AJ419,1,(AP$4-1)*5+1)*(AP289/AO289)^INDEX($Q419:$AJ419,1,(AP$4-1)*5+2)*(AP289/AO289)^(INDEX($Q419:$AJ419,1,(AP$4-1)*5+3)*(1+INDEX($Q419:$AJ419,1,(AP$4-1)*5+2)))</f>
        <v/>
      </c>
      <c r="AQ419" s="25">
        <f>AP419*(1/(1+INDEX($Q419:$AJ419,1,(AQ$4-1)*5+4)))^(1+INDEX($Q419:$AJ419,1,(AQ$4-1)*5+2))*(1+AQ$7)^INDEX($Q419:$AJ419,1,(AQ$4-1)*5+1)*(AQ289/AP289)^INDEX($Q419:$AJ419,1,(AQ$4-1)*5+2)*(AQ289/AP289)^(INDEX($Q419:$AJ419,1,(AQ$4-1)*5+3)*(1+INDEX($Q419:$AJ419,1,(AQ$4-1)*5+2)))</f>
        <v/>
      </c>
      <c r="AR419" s="25">
        <f>AQ419*(1/(1+INDEX($Q419:$AJ419,1,(AR$4-1)*5+4)))^(1+INDEX($Q419:$AJ419,1,(AR$4-1)*5+2))*(1+AR$7)^INDEX($Q419:$AJ419,1,(AR$4-1)*5+1)*(AR289/AQ289)^INDEX($Q419:$AJ419,1,(AR$4-1)*5+2)*(AR289/AQ289)^(INDEX($Q419:$AJ419,1,(AR$4-1)*5+3)*(1+INDEX($Q419:$AJ419,1,(AR$4-1)*5+2)))</f>
        <v/>
      </c>
      <c r="AS419" s="25">
        <f>AR419*(1/(1+INDEX($Q419:$AJ419,1,(AS$4-1)*5+4)))^(1+INDEX($Q419:$AJ419,1,(AS$4-1)*5+2))*(1+AS$7)^INDEX($Q419:$AJ419,1,(AS$4-1)*5+1)*(AS289/AR289)^INDEX($Q419:$AJ419,1,(AS$4-1)*5+2)*(AS289/AR289)^(INDEX($Q419:$AJ419,1,(AS$4-1)*5+3)*(1+INDEX($Q419:$AJ419,1,(AS$4-1)*5+2)))</f>
        <v/>
      </c>
      <c r="AT419" s="25">
        <f>AS419*(1/(1+INDEX($Q419:$AJ419,1,(AT$4-1)*5+4)))^(1+INDEX($Q419:$AJ419,1,(AT$4-1)*5+2))*(1+AT$7)^INDEX($Q419:$AJ419,1,(AT$4-1)*5+1)*(AT289/AS289)^INDEX($Q419:$AJ419,1,(AT$4-1)*5+2)*(AT289/AS289)^(INDEX($Q419:$AJ419,1,(AT$4-1)*5+3)*(1+INDEX($Q419:$AJ419,1,(AT$4-1)*5+2)))</f>
        <v/>
      </c>
      <c r="AU419" s="25">
        <f>AT419*(1/(1+INDEX($Q419:$AJ419,1,(AU$4-1)*5+4)))^(1+INDEX($Q419:$AJ419,1,(AU$4-1)*5+2))*(1+AU$7)^INDEX($Q419:$AJ419,1,(AU$4-1)*5+1)*(AU289/AT289)^INDEX($Q419:$AJ419,1,(AU$4-1)*5+2)*(AU289/AT289)^(INDEX($Q419:$AJ419,1,(AU$4-1)*5+3)*(1+INDEX($Q419:$AJ419,1,(AU$4-1)*5+2)))</f>
        <v/>
      </c>
      <c r="AV419" s="25">
        <f>AU419*(1/(1+INDEX($Q419:$AJ419,1,(AV$4-1)*5+4)))^(1+INDEX($Q419:$AJ419,1,(AV$4-1)*5+2))*(1+AV$7)^INDEX($Q419:$AJ419,1,(AV$4-1)*5+1)*(AV289/AU289)^INDEX($Q419:$AJ419,1,(AV$4-1)*5+2)*(AV289/AU289)^(INDEX($Q419:$AJ419,1,(AV$4-1)*5+3)*(1+INDEX($Q419:$AJ419,1,(AV$4-1)*5+2)))</f>
        <v/>
      </c>
      <c r="AW419" s="25">
        <f>AV419*(1/(1+INDEX($Q419:$AJ419,1,(AW$4-1)*5+4)))^(1+INDEX($Q419:$AJ419,1,(AW$4-1)*5+2))*(1+AW$7)^INDEX($Q419:$AJ419,1,(AW$4-1)*5+1)*(AW289/AV289)^INDEX($Q419:$AJ419,1,(AW$4-1)*5+2)*(AW289/AV289)^(INDEX($Q419:$AJ419,1,(AW$4-1)*5+3)*(1+INDEX($Q419:$AJ419,1,(AW$4-1)*5+2)))</f>
        <v/>
      </c>
      <c r="AX419" s="25">
        <f>AW419*(1/(1+INDEX($Q419:$AJ419,1,(AX$4-1)*5+4)))^(1+INDEX($Q419:$AJ419,1,(AX$4-1)*5+2))*(1+AX$7)^INDEX($Q419:$AJ419,1,(AX$4-1)*5+1)*(AX289/AW289)^INDEX($Q419:$AJ419,1,(AX$4-1)*5+2)*(AX289/AW289)^(INDEX($Q419:$AJ419,1,(AX$4-1)*5+3)*(1+INDEX($Q419:$AJ419,1,(AX$4-1)*5+2)))</f>
        <v/>
      </c>
      <c r="AY419" s="25">
        <f>AX419*(1/(1+INDEX($Q419:$AJ419,1,(AY$4-1)*5+4)))^(1+INDEX($Q419:$AJ419,1,(AY$4-1)*5+2))*(1+AY$7)^INDEX($Q419:$AJ419,1,(AY$4-1)*5+1)*(AY289/AX289)^INDEX($Q419:$AJ419,1,(AY$4-1)*5+2)*(AY289/AX289)^(INDEX($Q419:$AJ419,1,(AY$4-1)*5+3)*(1+INDEX($Q419:$AJ419,1,(AY$4-1)*5+2)))</f>
        <v/>
      </c>
      <c r="BA419" s="24">
        <f>INDEX(EnergyCons!$F$4:$F$5000,MATCH(Settings!$C$4&amp;"|"&amp;BA$5&amp;"|"&amp;$C419&amp;"|"&amp;$B419,EnergyCons!$A$4:$A$5000,0))</f>
        <v/>
      </c>
      <c r="BB419" s="25">
        <f>BA419*(1/(1+INDEX($Q419:$AJ419,1,(BB$4-1)*5+4)))^(1+INDEX($Q419:$AJ419,1,(BB$4-1)*5+2))*(1+BB$7)^INDEX($Q419:$AJ419,1,(BB$4-1)*5+1)*(BB289/BA289)^INDEX($Q419:$AJ419,1,(BB$4-1)*5+2)*(BB289/BA289)^(INDEX($Q419:$AJ419,1,(BB$4-1)*5+3)*(1+INDEX($Q419:$AJ419,1,(BB$4-1)*5+2)))</f>
        <v/>
      </c>
      <c r="BC419" s="25">
        <f>BB419*(1/(1+INDEX($Q419:$AJ419,1,(BC$4-1)*5+4)))^(1+INDEX($Q419:$AJ419,1,(BC$4-1)*5+2))*(1+BC$7)^INDEX($Q419:$AJ419,1,(BC$4-1)*5+1)*(BC289/BB289)^INDEX($Q419:$AJ419,1,(BC$4-1)*5+2)*(BC289/BB289)^(INDEX($Q419:$AJ419,1,(BC$4-1)*5+3)*(1+INDEX($Q419:$AJ419,1,(BC$4-1)*5+2)))</f>
        <v/>
      </c>
      <c r="BD419" s="25">
        <f>BC419*(1/(1+INDEX($Q419:$AJ419,1,(BD$4-1)*5+4)))^(1+INDEX($Q419:$AJ419,1,(BD$4-1)*5+2))*(1+BD$7)^INDEX($Q419:$AJ419,1,(BD$4-1)*5+1)*(BD289/BC289)^INDEX($Q419:$AJ419,1,(BD$4-1)*5+2)*(BD289/BC289)^(INDEX($Q419:$AJ419,1,(BD$4-1)*5+3)*(1+INDEX($Q419:$AJ419,1,(BD$4-1)*5+2)))</f>
        <v/>
      </c>
      <c r="BE419" s="25">
        <f>BD419*(1/(1+INDEX($Q419:$AJ419,1,(BE$4-1)*5+4)))^(1+INDEX($Q419:$AJ419,1,(BE$4-1)*5+2))*(1+BE$7)^INDEX($Q419:$AJ419,1,(BE$4-1)*5+1)*(BE289/BD289)^INDEX($Q419:$AJ419,1,(BE$4-1)*5+2)*(BE289/BD289)^(INDEX($Q419:$AJ419,1,(BE$4-1)*5+3)*(1+INDEX($Q419:$AJ419,1,(BE$4-1)*5+2)))</f>
        <v/>
      </c>
      <c r="BF419" s="25">
        <f>BE419*(1/(1+INDEX($Q419:$AJ419,1,(BF$4-1)*5+4)))^(1+INDEX($Q419:$AJ419,1,(BF$4-1)*5+2))*(1+BF$7)^INDEX($Q419:$AJ419,1,(BF$4-1)*5+1)*(BF289/BE289)^INDEX($Q419:$AJ419,1,(BF$4-1)*5+2)*(BF289/BE289)^(INDEX($Q419:$AJ419,1,(BF$4-1)*5+3)*(1+INDEX($Q419:$AJ419,1,(BF$4-1)*5+2)))</f>
        <v/>
      </c>
      <c r="BG419" s="25">
        <f>BF419*(1/(1+INDEX($Q419:$AJ419,1,(BG$4-1)*5+4)))^(1+INDEX($Q419:$AJ419,1,(BG$4-1)*5+2))*(1+BG$7)^INDEX($Q419:$AJ419,1,(BG$4-1)*5+1)*(BG289/BF289)^INDEX($Q419:$AJ419,1,(BG$4-1)*5+2)*(BG289/BF289)^(INDEX($Q419:$AJ419,1,(BG$4-1)*5+3)*(1+INDEX($Q419:$AJ419,1,(BG$4-1)*5+2)))</f>
        <v/>
      </c>
      <c r="BH419" s="25">
        <f>BG419*(1/(1+INDEX($Q419:$AJ419,1,(BH$4-1)*5+4)))^(1+INDEX($Q419:$AJ419,1,(BH$4-1)*5+2))*(1+BH$7)^INDEX($Q419:$AJ419,1,(BH$4-1)*5+1)*(BH289/BG289)^INDEX($Q419:$AJ419,1,(BH$4-1)*5+2)*(BH289/BG289)^(INDEX($Q419:$AJ419,1,(BH$4-1)*5+3)*(1+INDEX($Q419:$AJ419,1,(BH$4-1)*5+2)))</f>
        <v/>
      </c>
      <c r="BI419" s="25">
        <f>BH419*(1/(1+INDEX($Q419:$AJ419,1,(BI$4-1)*5+4)))^(1+INDEX($Q419:$AJ419,1,(BI$4-1)*5+2))*(1+BI$7)^INDEX($Q419:$AJ419,1,(BI$4-1)*5+1)*(BI289/BH289)^INDEX($Q419:$AJ419,1,(BI$4-1)*5+2)*(BI289/BH289)^(INDEX($Q419:$AJ419,1,(BI$4-1)*5+3)*(1+INDEX($Q419:$AJ419,1,(BI$4-1)*5+2)))</f>
        <v/>
      </c>
      <c r="BJ419" s="25">
        <f>BI419*(1/(1+INDEX($Q419:$AJ419,1,(BJ$4-1)*5+4)))^(1+INDEX($Q419:$AJ419,1,(BJ$4-1)*5+2))*(1+BJ$7)^INDEX($Q419:$AJ419,1,(BJ$4-1)*5+1)*(BJ289/BI289)^INDEX($Q419:$AJ419,1,(BJ$4-1)*5+2)*(BJ289/BI289)^(INDEX($Q419:$AJ419,1,(BJ$4-1)*5+3)*(1+INDEX($Q419:$AJ419,1,(BJ$4-1)*5+2)))</f>
        <v/>
      </c>
      <c r="BK419" s="25">
        <f>BJ419*(1/(1+INDEX($Q419:$AJ419,1,(BK$4-1)*5+4)))^(1+INDEX($Q419:$AJ419,1,(BK$4-1)*5+2))*(1+BK$7)^INDEX($Q419:$AJ419,1,(BK$4-1)*5+1)*(BK289/BJ289)^INDEX($Q419:$AJ419,1,(BK$4-1)*5+2)*(BK289/BJ289)^(INDEX($Q419:$AJ419,1,(BK$4-1)*5+3)*(1+INDEX($Q419:$AJ419,1,(BK$4-1)*5+2)))</f>
        <v/>
      </c>
      <c r="BL419" s="25">
        <f>BK419*(1/(1+INDEX($Q419:$AJ419,1,(BL$4-1)*5+4)))^(1+INDEX($Q419:$AJ419,1,(BL$4-1)*5+2))*(1+BL$7)^INDEX($Q419:$AJ419,1,(BL$4-1)*5+1)*(BL289/BK289)^INDEX($Q419:$AJ419,1,(BL$4-1)*5+2)*(BL289/BK289)^(INDEX($Q419:$AJ419,1,(BL$4-1)*5+3)*(1+INDEX($Q419:$AJ419,1,(BL$4-1)*5+2)))</f>
        <v/>
      </c>
      <c r="BM419" s="25">
        <f>BL419*(1/(1+INDEX($Q419:$AJ419,1,(BM$4-1)*5+4)))^(1+INDEX($Q419:$AJ419,1,(BM$4-1)*5+2))*(1+BM$7)^INDEX($Q419:$AJ419,1,(BM$4-1)*5+1)*(BM289/BL289)^INDEX($Q419:$AJ419,1,(BM$4-1)*5+2)*(BM289/BL289)^(INDEX($Q419:$AJ419,1,(BM$4-1)*5+3)*(1+INDEX($Q419:$AJ419,1,(BM$4-1)*5+2)))</f>
        <v/>
      </c>
      <c r="BN419" s="25">
        <f>BM419*(1/(1+INDEX($Q419:$AJ419,1,(BN$4-1)*5+4)))^(1+INDEX($Q419:$AJ419,1,(BN$4-1)*5+2))*(1+BN$7)^INDEX($Q419:$AJ419,1,(BN$4-1)*5+1)*(BN289/BM289)^INDEX($Q419:$AJ419,1,(BN$4-1)*5+2)*(BN289/BM289)^(INDEX($Q419:$AJ419,1,(BN$4-1)*5+3)*(1+INDEX($Q419:$AJ419,1,(BN$4-1)*5+2)))</f>
        <v/>
      </c>
    </row>
    <row r="420">
      <c r="B420" s="5" t="inlineStr">
        <is>
          <t>die</t>
        </is>
      </c>
      <c r="C420" s="5" t="inlineStr">
        <is>
          <t>avi</t>
        </is>
      </c>
      <c r="D420" s="5" t="inlineStr">
        <is>
          <t>Fuel use | Domestic aviation | Diesel</t>
        </is>
      </c>
      <c r="E420" s="5" t="inlineStr">
        <is>
          <t>ktoe</t>
        </is>
      </c>
      <c r="F420" s="5" t="inlineStr">
        <is>
          <t>EnergyCons (base year), Elasticities</t>
        </is>
      </c>
      <c r="G420" s="19" t="inlineStr">
        <is>
          <t>mit.enc.die.avi</t>
        </is>
      </c>
      <c r="H420" s="19" t="inlineStr">
        <is>
          <t>mit.enc.die.avi</t>
        </is>
      </c>
      <c r="J420" s="5">
        <f>INDEX(Mapping!$C$5:$C$20,MATCH($C420,Mapping!$A$5:$A$20,0))</f>
        <v/>
      </c>
      <c r="K420" s="5">
        <f>INDEX(Mapping!$D$5:$D$20,MATCH($C420,Mapping!$A$5:$A$20,0))</f>
        <v/>
      </c>
      <c r="L420" s="5">
        <f>INDEX(Mapping!$C$24:$C$31,MATCH($B420,Mapping!$A$24:$A$31,0))</f>
        <v/>
      </c>
      <c r="M420" s="5">
        <f>INDEX(Mapping!$D$24:$D$31,MATCH($B420,Mapping!$A$24:$A$31,0))</f>
        <v/>
      </c>
      <c r="N420" s="5">
        <f>$B420&amp;"."&amp;IF(INDEX(Mapping!$E$24:$E$31,MATCH($B420,Mapping!$A$24:$A$31,0))="sub",INDEX(Mapping!$F$5:$F$20,MATCH($C420,Mapping!$A$5:$A$20,0)),"all")</f>
        <v/>
      </c>
      <c r="O420" s="5">
        <f>INDEX(Mapping!$E$5:$E$20,MATCH($C420,Mapping!$A$5:$A$20,0))</f>
        <v/>
      </c>
      <c r="P420" s="5">
        <f>INDEX(Mapping!$G$24:$G$31,MATCH($B420,Mapping!$A$24:$A$31,0))</f>
        <v/>
      </c>
      <c r="Q420" s="22">
        <f>INDEX(Elasticities!$F$4:$I$200,MATCH("inc|"&amp;$L420&amp;"|"&amp;$K420,Elasticities!$A$4:$A$200,0),MATCH(Settings!$C$6,Elasticities!$F$3:$I$3,0))</f>
        <v/>
      </c>
      <c r="R420" s="22">
        <f>INDEX(Elasticities!$F$4:$I$200,MATCH("usg|"&amp;$L420&amp;"|"&amp;$K420,Elasticities!$A$4:$A$200,0),MATCH(Settings!$C$6,Elasticities!$F$3:$I$3,0))</f>
        <v/>
      </c>
      <c r="S420" s="22">
        <f>INDEX(Elasticities!$F$4:$I$200,MATCH("eff|"&amp;$L420&amp;"|"&amp;$K420,Elasticities!$A$4:$A$200,0),MATCH(Settings!$C$6,Elasticities!$F$3:$I$3,0))</f>
        <v/>
      </c>
      <c r="T420" s="22">
        <f>INDEX(Elasticities!$F$4:$I$200,MATCH("aei|"&amp;$M420&amp;"|"&amp;$K420,Elasticities!$A$4:$A$200,0),MATCH(Settings!$C$6,Elasticities!$F$3:$I$3,0))</f>
        <v/>
      </c>
      <c r="U420" s="21" t="n"/>
      <c r="V420" s="22">
        <f>Q420</f>
        <v/>
      </c>
      <c r="W420" s="22">
        <f>R420</f>
        <v/>
      </c>
      <c r="X420" s="22">
        <f>S420</f>
        <v/>
      </c>
      <c r="Y420" s="22">
        <f>T420</f>
        <v/>
      </c>
      <c r="Z420" s="21" t="n"/>
      <c r="AA420" s="22">
        <f>Q420</f>
        <v/>
      </c>
      <c r="AB420" s="22">
        <f>R420</f>
        <v/>
      </c>
      <c r="AC420" s="22">
        <f>S420</f>
        <v/>
      </c>
      <c r="AD420" s="22">
        <f>T420</f>
        <v/>
      </c>
      <c r="AE420" s="21" t="n"/>
      <c r="AF420" s="22">
        <f>Q420</f>
        <v/>
      </c>
      <c r="AG420" s="22">
        <f>R420</f>
        <v/>
      </c>
      <c r="AH420" s="22">
        <f>S420</f>
        <v/>
      </c>
      <c r="AI420" s="22">
        <f>T420</f>
        <v/>
      </c>
      <c r="AJ420" s="21" t="n"/>
      <c r="AL420" s="24">
        <f>INDEX(EnergyCons!$F$4:$F$5000,MATCH(Settings!$C$4&amp;"|"&amp;AL$5&amp;"|"&amp;$C420&amp;"|"&amp;$B420,EnergyCons!$A$4:$A$5000,0))</f>
        <v/>
      </c>
      <c r="AM420" s="25">
        <f>AL420*(1/(1+INDEX($Q420:$AJ420,1,(AM$4-1)*5+4)))^(1+INDEX($Q420:$AJ420,1,(AM$4-1)*5+2))*(1+AM$7)^INDEX($Q420:$AJ420,1,(AM$4-1)*5+1)*(AM290/AL290)^INDEX($Q420:$AJ420,1,(AM$4-1)*5+2)*(AM290/AL290)^(INDEX($Q420:$AJ420,1,(AM$4-1)*5+3)*(1+INDEX($Q420:$AJ420,1,(AM$4-1)*5+2)))</f>
        <v/>
      </c>
      <c r="AN420" s="25">
        <f>AM420*(1/(1+INDEX($Q420:$AJ420,1,(AN$4-1)*5+4)))^(1+INDEX($Q420:$AJ420,1,(AN$4-1)*5+2))*(1+AN$7)^INDEX($Q420:$AJ420,1,(AN$4-1)*5+1)*(AN290/AM290)^INDEX($Q420:$AJ420,1,(AN$4-1)*5+2)*(AN290/AM290)^(INDEX($Q420:$AJ420,1,(AN$4-1)*5+3)*(1+INDEX($Q420:$AJ420,1,(AN$4-1)*5+2)))</f>
        <v/>
      </c>
      <c r="AO420" s="25">
        <f>AN420*(1/(1+INDEX($Q420:$AJ420,1,(AO$4-1)*5+4)))^(1+INDEX($Q420:$AJ420,1,(AO$4-1)*5+2))*(1+AO$7)^INDEX($Q420:$AJ420,1,(AO$4-1)*5+1)*(AO290/AN290)^INDEX($Q420:$AJ420,1,(AO$4-1)*5+2)*(AO290/AN290)^(INDEX($Q420:$AJ420,1,(AO$4-1)*5+3)*(1+INDEX($Q420:$AJ420,1,(AO$4-1)*5+2)))</f>
        <v/>
      </c>
      <c r="AP420" s="25">
        <f>AO420*(1/(1+INDEX($Q420:$AJ420,1,(AP$4-1)*5+4)))^(1+INDEX($Q420:$AJ420,1,(AP$4-1)*5+2))*(1+AP$7)^INDEX($Q420:$AJ420,1,(AP$4-1)*5+1)*(AP290/AO290)^INDEX($Q420:$AJ420,1,(AP$4-1)*5+2)*(AP290/AO290)^(INDEX($Q420:$AJ420,1,(AP$4-1)*5+3)*(1+INDEX($Q420:$AJ420,1,(AP$4-1)*5+2)))</f>
        <v/>
      </c>
      <c r="AQ420" s="25">
        <f>AP420*(1/(1+INDEX($Q420:$AJ420,1,(AQ$4-1)*5+4)))^(1+INDEX($Q420:$AJ420,1,(AQ$4-1)*5+2))*(1+AQ$7)^INDEX($Q420:$AJ420,1,(AQ$4-1)*5+1)*(AQ290/AP290)^INDEX($Q420:$AJ420,1,(AQ$4-1)*5+2)*(AQ290/AP290)^(INDEX($Q420:$AJ420,1,(AQ$4-1)*5+3)*(1+INDEX($Q420:$AJ420,1,(AQ$4-1)*5+2)))</f>
        <v/>
      </c>
      <c r="AR420" s="25">
        <f>AQ420*(1/(1+INDEX($Q420:$AJ420,1,(AR$4-1)*5+4)))^(1+INDEX($Q420:$AJ420,1,(AR$4-1)*5+2))*(1+AR$7)^INDEX($Q420:$AJ420,1,(AR$4-1)*5+1)*(AR290/AQ290)^INDEX($Q420:$AJ420,1,(AR$4-1)*5+2)*(AR290/AQ290)^(INDEX($Q420:$AJ420,1,(AR$4-1)*5+3)*(1+INDEX($Q420:$AJ420,1,(AR$4-1)*5+2)))</f>
        <v/>
      </c>
      <c r="AS420" s="25">
        <f>AR420*(1/(1+INDEX($Q420:$AJ420,1,(AS$4-1)*5+4)))^(1+INDEX($Q420:$AJ420,1,(AS$4-1)*5+2))*(1+AS$7)^INDEX($Q420:$AJ420,1,(AS$4-1)*5+1)*(AS290/AR290)^INDEX($Q420:$AJ420,1,(AS$4-1)*5+2)*(AS290/AR290)^(INDEX($Q420:$AJ420,1,(AS$4-1)*5+3)*(1+INDEX($Q420:$AJ420,1,(AS$4-1)*5+2)))</f>
        <v/>
      </c>
      <c r="AT420" s="25">
        <f>AS420*(1/(1+INDEX($Q420:$AJ420,1,(AT$4-1)*5+4)))^(1+INDEX($Q420:$AJ420,1,(AT$4-1)*5+2))*(1+AT$7)^INDEX($Q420:$AJ420,1,(AT$4-1)*5+1)*(AT290/AS290)^INDEX($Q420:$AJ420,1,(AT$4-1)*5+2)*(AT290/AS290)^(INDEX($Q420:$AJ420,1,(AT$4-1)*5+3)*(1+INDEX($Q420:$AJ420,1,(AT$4-1)*5+2)))</f>
        <v/>
      </c>
      <c r="AU420" s="25">
        <f>AT420*(1/(1+INDEX($Q420:$AJ420,1,(AU$4-1)*5+4)))^(1+INDEX($Q420:$AJ420,1,(AU$4-1)*5+2))*(1+AU$7)^INDEX($Q420:$AJ420,1,(AU$4-1)*5+1)*(AU290/AT290)^INDEX($Q420:$AJ420,1,(AU$4-1)*5+2)*(AU290/AT290)^(INDEX($Q420:$AJ420,1,(AU$4-1)*5+3)*(1+INDEX($Q420:$AJ420,1,(AU$4-1)*5+2)))</f>
        <v/>
      </c>
      <c r="AV420" s="25">
        <f>AU420*(1/(1+INDEX($Q420:$AJ420,1,(AV$4-1)*5+4)))^(1+INDEX($Q420:$AJ420,1,(AV$4-1)*5+2))*(1+AV$7)^INDEX($Q420:$AJ420,1,(AV$4-1)*5+1)*(AV290/AU290)^INDEX($Q420:$AJ420,1,(AV$4-1)*5+2)*(AV290/AU290)^(INDEX($Q420:$AJ420,1,(AV$4-1)*5+3)*(1+INDEX($Q420:$AJ420,1,(AV$4-1)*5+2)))</f>
        <v/>
      </c>
      <c r="AW420" s="25">
        <f>AV420*(1/(1+INDEX($Q420:$AJ420,1,(AW$4-1)*5+4)))^(1+INDEX($Q420:$AJ420,1,(AW$4-1)*5+2))*(1+AW$7)^INDEX($Q420:$AJ420,1,(AW$4-1)*5+1)*(AW290/AV290)^INDEX($Q420:$AJ420,1,(AW$4-1)*5+2)*(AW290/AV290)^(INDEX($Q420:$AJ420,1,(AW$4-1)*5+3)*(1+INDEX($Q420:$AJ420,1,(AW$4-1)*5+2)))</f>
        <v/>
      </c>
      <c r="AX420" s="25">
        <f>AW420*(1/(1+INDEX($Q420:$AJ420,1,(AX$4-1)*5+4)))^(1+INDEX($Q420:$AJ420,1,(AX$4-1)*5+2))*(1+AX$7)^INDEX($Q420:$AJ420,1,(AX$4-1)*5+1)*(AX290/AW290)^INDEX($Q420:$AJ420,1,(AX$4-1)*5+2)*(AX290/AW290)^(INDEX($Q420:$AJ420,1,(AX$4-1)*5+3)*(1+INDEX($Q420:$AJ420,1,(AX$4-1)*5+2)))</f>
        <v/>
      </c>
      <c r="AY420" s="25">
        <f>AX420*(1/(1+INDEX($Q420:$AJ420,1,(AY$4-1)*5+4)))^(1+INDEX($Q420:$AJ420,1,(AY$4-1)*5+2))*(1+AY$7)^INDEX($Q420:$AJ420,1,(AY$4-1)*5+1)*(AY290/AX290)^INDEX($Q420:$AJ420,1,(AY$4-1)*5+2)*(AY290/AX290)^(INDEX($Q420:$AJ420,1,(AY$4-1)*5+3)*(1+INDEX($Q420:$AJ420,1,(AY$4-1)*5+2)))</f>
        <v/>
      </c>
      <c r="BA420" s="24">
        <f>INDEX(EnergyCons!$F$4:$F$5000,MATCH(Settings!$C$4&amp;"|"&amp;BA$5&amp;"|"&amp;$C420&amp;"|"&amp;$B420,EnergyCons!$A$4:$A$5000,0))</f>
        <v/>
      </c>
      <c r="BB420" s="25">
        <f>BA420*(1/(1+INDEX($Q420:$AJ420,1,(BB$4-1)*5+4)))^(1+INDEX($Q420:$AJ420,1,(BB$4-1)*5+2))*(1+BB$7)^INDEX($Q420:$AJ420,1,(BB$4-1)*5+1)*(BB290/BA290)^INDEX($Q420:$AJ420,1,(BB$4-1)*5+2)*(BB290/BA290)^(INDEX($Q420:$AJ420,1,(BB$4-1)*5+3)*(1+INDEX($Q420:$AJ420,1,(BB$4-1)*5+2)))</f>
        <v/>
      </c>
      <c r="BC420" s="25">
        <f>BB420*(1/(1+INDEX($Q420:$AJ420,1,(BC$4-1)*5+4)))^(1+INDEX($Q420:$AJ420,1,(BC$4-1)*5+2))*(1+BC$7)^INDEX($Q420:$AJ420,1,(BC$4-1)*5+1)*(BC290/BB290)^INDEX($Q420:$AJ420,1,(BC$4-1)*5+2)*(BC290/BB290)^(INDEX($Q420:$AJ420,1,(BC$4-1)*5+3)*(1+INDEX($Q420:$AJ420,1,(BC$4-1)*5+2)))</f>
        <v/>
      </c>
      <c r="BD420" s="25">
        <f>BC420*(1/(1+INDEX($Q420:$AJ420,1,(BD$4-1)*5+4)))^(1+INDEX($Q420:$AJ420,1,(BD$4-1)*5+2))*(1+BD$7)^INDEX($Q420:$AJ420,1,(BD$4-1)*5+1)*(BD290/BC290)^INDEX($Q420:$AJ420,1,(BD$4-1)*5+2)*(BD290/BC290)^(INDEX($Q420:$AJ420,1,(BD$4-1)*5+3)*(1+INDEX($Q420:$AJ420,1,(BD$4-1)*5+2)))</f>
        <v/>
      </c>
      <c r="BE420" s="25">
        <f>BD420*(1/(1+INDEX($Q420:$AJ420,1,(BE$4-1)*5+4)))^(1+INDEX($Q420:$AJ420,1,(BE$4-1)*5+2))*(1+BE$7)^INDEX($Q420:$AJ420,1,(BE$4-1)*5+1)*(BE290/BD290)^INDEX($Q420:$AJ420,1,(BE$4-1)*5+2)*(BE290/BD290)^(INDEX($Q420:$AJ420,1,(BE$4-1)*5+3)*(1+INDEX($Q420:$AJ420,1,(BE$4-1)*5+2)))</f>
        <v/>
      </c>
      <c r="BF420" s="25">
        <f>BE420*(1/(1+INDEX($Q420:$AJ420,1,(BF$4-1)*5+4)))^(1+INDEX($Q420:$AJ420,1,(BF$4-1)*5+2))*(1+BF$7)^INDEX($Q420:$AJ420,1,(BF$4-1)*5+1)*(BF290/BE290)^INDEX($Q420:$AJ420,1,(BF$4-1)*5+2)*(BF290/BE290)^(INDEX($Q420:$AJ420,1,(BF$4-1)*5+3)*(1+INDEX($Q420:$AJ420,1,(BF$4-1)*5+2)))</f>
        <v/>
      </c>
      <c r="BG420" s="25">
        <f>BF420*(1/(1+INDEX($Q420:$AJ420,1,(BG$4-1)*5+4)))^(1+INDEX($Q420:$AJ420,1,(BG$4-1)*5+2))*(1+BG$7)^INDEX($Q420:$AJ420,1,(BG$4-1)*5+1)*(BG290/BF290)^INDEX($Q420:$AJ420,1,(BG$4-1)*5+2)*(BG290/BF290)^(INDEX($Q420:$AJ420,1,(BG$4-1)*5+3)*(1+INDEX($Q420:$AJ420,1,(BG$4-1)*5+2)))</f>
        <v/>
      </c>
      <c r="BH420" s="25">
        <f>BG420*(1/(1+INDEX($Q420:$AJ420,1,(BH$4-1)*5+4)))^(1+INDEX($Q420:$AJ420,1,(BH$4-1)*5+2))*(1+BH$7)^INDEX($Q420:$AJ420,1,(BH$4-1)*5+1)*(BH290/BG290)^INDEX($Q420:$AJ420,1,(BH$4-1)*5+2)*(BH290/BG290)^(INDEX($Q420:$AJ420,1,(BH$4-1)*5+3)*(1+INDEX($Q420:$AJ420,1,(BH$4-1)*5+2)))</f>
        <v/>
      </c>
      <c r="BI420" s="25">
        <f>BH420*(1/(1+INDEX($Q420:$AJ420,1,(BI$4-1)*5+4)))^(1+INDEX($Q420:$AJ420,1,(BI$4-1)*5+2))*(1+BI$7)^INDEX($Q420:$AJ420,1,(BI$4-1)*5+1)*(BI290/BH290)^INDEX($Q420:$AJ420,1,(BI$4-1)*5+2)*(BI290/BH290)^(INDEX($Q420:$AJ420,1,(BI$4-1)*5+3)*(1+INDEX($Q420:$AJ420,1,(BI$4-1)*5+2)))</f>
        <v/>
      </c>
      <c r="BJ420" s="25">
        <f>BI420*(1/(1+INDEX($Q420:$AJ420,1,(BJ$4-1)*5+4)))^(1+INDEX($Q420:$AJ420,1,(BJ$4-1)*5+2))*(1+BJ$7)^INDEX($Q420:$AJ420,1,(BJ$4-1)*5+1)*(BJ290/BI290)^INDEX($Q420:$AJ420,1,(BJ$4-1)*5+2)*(BJ290/BI290)^(INDEX($Q420:$AJ420,1,(BJ$4-1)*5+3)*(1+INDEX($Q420:$AJ420,1,(BJ$4-1)*5+2)))</f>
        <v/>
      </c>
      <c r="BK420" s="25">
        <f>BJ420*(1/(1+INDEX($Q420:$AJ420,1,(BK$4-1)*5+4)))^(1+INDEX($Q420:$AJ420,1,(BK$4-1)*5+2))*(1+BK$7)^INDEX($Q420:$AJ420,1,(BK$4-1)*5+1)*(BK290/BJ290)^INDEX($Q420:$AJ420,1,(BK$4-1)*5+2)*(BK290/BJ290)^(INDEX($Q420:$AJ420,1,(BK$4-1)*5+3)*(1+INDEX($Q420:$AJ420,1,(BK$4-1)*5+2)))</f>
        <v/>
      </c>
      <c r="BL420" s="25">
        <f>BK420*(1/(1+INDEX($Q420:$AJ420,1,(BL$4-1)*5+4)))^(1+INDEX($Q420:$AJ420,1,(BL$4-1)*5+2))*(1+BL$7)^INDEX($Q420:$AJ420,1,(BL$4-1)*5+1)*(BL290/BK290)^INDEX($Q420:$AJ420,1,(BL$4-1)*5+2)*(BL290/BK290)^(INDEX($Q420:$AJ420,1,(BL$4-1)*5+3)*(1+INDEX($Q420:$AJ420,1,(BL$4-1)*5+2)))</f>
        <v/>
      </c>
      <c r="BM420" s="25">
        <f>BL420*(1/(1+INDEX($Q420:$AJ420,1,(BM$4-1)*5+4)))^(1+INDEX($Q420:$AJ420,1,(BM$4-1)*5+2))*(1+BM$7)^INDEX($Q420:$AJ420,1,(BM$4-1)*5+1)*(BM290/BL290)^INDEX($Q420:$AJ420,1,(BM$4-1)*5+2)*(BM290/BL290)^(INDEX($Q420:$AJ420,1,(BM$4-1)*5+3)*(1+INDEX($Q420:$AJ420,1,(BM$4-1)*5+2)))</f>
        <v/>
      </c>
      <c r="BN420" s="25">
        <f>BM420*(1/(1+INDEX($Q420:$AJ420,1,(BN$4-1)*5+4)))^(1+INDEX($Q420:$AJ420,1,(BN$4-1)*5+2))*(1+BN$7)^INDEX($Q420:$AJ420,1,(BN$4-1)*5+1)*(BN290/BM290)^INDEX($Q420:$AJ420,1,(BN$4-1)*5+2)*(BN290/BM290)^(INDEX($Q420:$AJ420,1,(BN$4-1)*5+3)*(1+INDEX($Q420:$AJ420,1,(BN$4-1)*5+2)))</f>
        <v/>
      </c>
    </row>
    <row r="421">
      <c r="B421" s="5" t="inlineStr">
        <is>
          <t>lpg</t>
        </is>
      </c>
      <c r="C421" s="5" t="inlineStr">
        <is>
          <t>avi</t>
        </is>
      </c>
      <c r="D421" s="5" t="inlineStr">
        <is>
          <t>Fuel use | Domestic aviation | LPG</t>
        </is>
      </c>
      <c r="E421" s="5" t="inlineStr">
        <is>
          <t>ktoe</t>
        </is>
      </c>
      <c r="F421" s="5" t="inlineStr">
        <is>
          <t>EnergyCons (base year), Elasticities</t>
        </is>
      </c>
      <c r="G421" s="19" t="inlineStr">
        <is>
          <t>mit.enc.lpg.avi</t>
        </is>
      </c>
      <c r="H421" s="19" t="inlineStr">
        <is>
          <t>mit.enc.lpg.avi</t>
        </is>
      </c>
      <c r="J421" s="5">
        <f>INDEX(Mapping!$C$5:$C$20,MATCH($C421,Mapping!$A$5:$A$20,0))</f>
        <v/>
      </c>
      <c r="K421" s="5">
        <f>INDEX(Mapping!$D$5:$D$20,MATCH($C421,Mapping!$A$5:$A$20,0))</f>
        <v/>
      </c>
      <c r="L421" s="5">
        <f>INDEX(Mapping!$C$24:$C$31,MATCH($B421,Mapping!$A$24:$A$31,0))</f>
        <v/>
      </c>
      <c r="M421" s="5">
        <f>INDEX(Mapping!$D$24:$D$31,MATCH($B421,Mapping!$A$24:$A$31,0))</f>
        <v/>
      </c>
      <c r="N421" s="5">
        <f>$B421&amp;"."&amp;IF(INDEX(Mapping!$E$24:$E$31,MATCH($B421,Mapping!$A$24:$A$31,0))="sub",INDEX(Mapping!$F$5:$F$20,MATCH($C421,Mapping!$A$5:$A$20,0)),"all")</f>
        <v/>
      </c>
      <c r="O421" s="5">
        <f>INDEX(Mapping!$E$5:$E$20,MATCH($C421,Mapping!$A$5:$A$20,0))</f>
        <v/>
      </c>
      <c r="P421" s="5">
        <f>INDEX(Mapping!$G$24:$G$31,MATCH($B421,Mapping!$A$24:$A$31,0))</f>
        <v/>
      </c>
      <c r="Q421" s="22">
        <f>INDEX(Elasticities!$F$4:$I$200,MATCH("inc|"&amp;$L421&amp;"|"&amp;$K421,Elasticities!$A$4:$A$200,0),MATCH(Settings!$C$6,Elasticities!$F$3:$I$3,0))</f>
        <v/>
      </c>
      <c r="R421" s="22">
        <f>INDEX(Elasticities!$F$4:$I$200,MATCH("usg|"&amp;$L421&amp;"|"&amp;$K421,Elasticities!$A$4:$A$200,0),MATCH(Settings!$C$6,Elasticities!$F$3:$I$3,0))</f>
        <v/>
      </c>
      <c r="S421" s="22">
        <f>INDEX(Elasticities!$F$4:$I$200,MATCH("eff|"&amp;$L421&amp;"|"&amp;$K421,Elasticities!$A$4:$A$200,0),MATCH(Settings!$C$6,Elasticities!$F$3:$I$3,0))</f>
        <v/>
      </c>
      <c r="T421" s="22">
        <f>INDEX(Elasticities!$F$4:$I$200,MATCH("aei|"&amp;$M421&amp;"|"&amp;$K421,Elasticities!$A$4:$A$200,0),MATCH(Settings!$C$6,Elasticities!$F$3:$I$3,0))</f>
        <v/>
      </c>
      <c r="U421" s="21" t="n"/>
      <c r="V421" s="22">
        <f>Q421</f>
        <v/>
      </c>
      <c r="W421" s="22">
        <f>R421</f>
        <v/>
      </c>
      <c r="X421" s="22">
        <f>S421</f>
        <v/>
      </c>
      <c r="Y421" s="22">
        <f>T421</f>
        <v/>
      </c>
      <c r="Z421" s="21" t="n"/>
      <c r="AA421" s="22">
        <f>Q421</f>
        <v/>
      </c>
      <c r="AB421" s="22">
        <f>R421</f>
        <v/>
      </c>
      <c r="AC421" s="22">
        <f>S421</f>
        <v/>
      </c>
      <c r="AD421" s="22">
        <f>T421</f>
        <v/>
      </c>
      <c r="AE421" s="21" t="n"/>
      <c r="AF421" s="22">
        <f>Q421</f>
        <v/>
      </c>
      <c r="AG421" s="22">
        <f>R421</f>
        <v/>
      </c>
      <c r="AH421" s="22">
        <f>S421</f>
        <v/>
      </c>
      <c r="AI421" s="22">
        <f>T421</f>
        <v/>
      </c>
      <c r="AJ421" s="21" t="n"/>
      <c r="AL421" s="24">
        <f>INDEX(EnergyCons!$F$4:$F$5000,MATCH(Settings!$C$4&amp;"|"&amp;AL$5&amp;"|"&amp;$C421&amp;"|"&amp;$B421,EnergyCons!$A$4:$A$5000,0))</f>
        <v/>
      </c>
      <c r="AM421" s="25">
        <f>AL421*(1/(1+INDEX($Q421:$AJ421,1,(AM$4-1)*5+4)))^(1+INDEX($Q421:$AJ421,1,(AM$4-1)*5+2))*(1+AM$7)^INDEX($Q421:$AJ421,1,(AM$4-1)*5+1)*(AM291/AL291)^INDEX($Q421:$AJ421,1,(AM$4-1)*5+2)*(AM291/AL291)^(INDEX($Q421:$AJ421,1,(AM$4-1)*5+3)*(1+INDEX($Q421:$AJ421,1,(AM$4-1)*5+2)))</f>
        <v/>
      </c>
      <c r="AN421" s="25">
        <f>AM421*(1/(1+INDEX($Q421:$AJ421,1,(AN$4-1)*5+4)))^(1+INDEX($Q421:$AJ421,1,(AN$4-1)*5+2))*(1+AN$7)^INDEX($Q421:$AJ421,1,(AN$4-1)*5+1)*(AN291/AM291)^INDEX($Q421:$AJ421,1,(AN$4-1)*5+2)*(AN291/AM291)^(INDEX($Q421:$AJ421,1,(AN$4-1)*5+3)*(1+INDEX($Q421:$AJ421,1,(AN$4-1)*5+2)))</f>
        <v/>
      </c>
      <c r="AO421" s="25">
        <f>AN421*(1/(1+INDEX($Q421:$AJ421,1,(AO$4-1)*5+4)))^(1+INDEX($Q421:$AJ421,1,(AO$4-1)*5+2))*(1+AO$7)^INDEX($Q421:$AJ421,1,(AO$4-1)*5+1)*(AO291/AN291)^INDEX($Q421:$AJ421,1,(AO$4-1)*5+2)*(AO291/AN291)^(INDEX($Q421:$AJ421,1,(AO$4-1)*5+3)*(1+INDEX($Q421:$AJ421,1,(AO$4-1)*5+2)))</f>
        <v/>
      </c>
      <c r="AP421" s="25">
        <f>AO421*(1/(1+INDEX($Q421:$AJ421,1,(AP$4-1)*5+4)))^(1+INDEX($Q421:$AJ421,1,(AP$4-1)*5+2))*(1+AP$7)^INDEX($Q421:$AJ421,1,(AP$4-1)*5+1)*(AP291/AO291)^INDEX($Q421:$AJ421,1,(AP$4-1)*5+2)*(AP291/AO291)^(INDEX($Q421:$AJ421,1,(AP$4-1)*5+3)*(1+INDEX($Q421:$AJ421,1,(AP$4-1)*5+2)))</f>
        <v/>
      </c>
      <c r="AQ421" s="25">
        <f>AP421*(1/(1+INDEX($Q421:$AJ421,1,(AQ$4-1)*5+4)))^(1+INDEX($Q421:$AJ421,1,(AQ$4-1)*5+2))*(1+AQ$7)^INDEX($Q421:$AJ421,1,(AQ$4-1)*5+1)*(AQ291/AP291)^INDEX($Q421:$AJ421,1,(AQ$4-1)*5+2)*(AQ291/AP291)^(INDEX($Q421:$AJ421,1,(AQ$4-1)*5+3)*(1+INDEX($Q421:$AJ421,1,(AQ$4-1)*5+2)))</f>
        <v/>
      </c>
      <c r="AR421" s="25">
        <f>AQ421*(1/(1+INDEX($Q421:$AJ421,1,(AR$4-1)*5+4)))^(1+INDEX($Q421:$AJ421,1,(AR$4-1)*5+2))*(1+AR$7)^INDEX($Q421:$AJ421,1,(AR$4-1)*5+1)*(AR291/AQ291)^INDEX($Q421:$AJ421,1,(AR$4-1)*5+2)*(AR291/AQ291)^(INDEX($Q421:$AJ421,1,(AR$4-1)*5+3)*(1+INDEX($Q421:$AJ421,1,(AR$4-1)*5+2)))</f>
        <v/>
      </c>
      <c r="AS421" s="25">
        <f>AR421*(1/(1+INDEX($Q421:$AJ421,1,(AS$4-1)*5+4)))^(1+INDEX($Q421:$AJ421,1,(AS$4-1)*5+2))*(1+AS$7)^INDEX($Q421:$AJ421,1,(AS$4-1)*5+1)*(AS291/AR291)^INDEX($Q421:$AJ421,1,(AS$4-1)*5+2)*(AS291/AR291)^(INDEX($Q421:$AJ421,1,(AS$4-1)*5+3)*(1+INDEX($Q421:$AJ421,1,(AS$4-1)*5+2)))</f>
        <v/>
      </c>
      <c r="AT421" s="25">
        <f>AS421*(1/(1+INDEX($Q421:$AJ421,1,(AT$4-1)*5+4)))^(1+INDEX($Q421:$AJ421,1,(AT$4-1)*5+2))*(1+AT$7)^INDEX($Q421:$AJ421,1,(AT$4-1)*5+1)*(AT291/AS291)^INDEX($Q421:$AJ421,1,(AT$4-1)*5+2)*(AT291/AS291)^(INDEX($Q421:$AJ421,1,(AT$4-1)*5+3)*(1+INDEX($Q421:$AJ421,1,(AT$4-1)*5+2)))</f>
        <v/>
      </c>
      <c r="AU421" s="25">
        <f>AT421*(1/(1+INDEX($Q421:$AJ421,1,(AU$4-1)*5+4)))^(1+INDEX($Q421:$AJ421,1,(AU$4-1)*5+2))*(1+AU$7)^INDEX($Q421:$AJ421,1,(AU$4-1)*5+1)*(AU291/AT291)^INDEX($Q421:$AJ421,1,(AU$4-1)*5+2)*(AU291/AT291)^(INDEX($Q421:$AJ421,1,(AU$4-1)*5+3)*(1+INDEX($Q421:$AJ421,1,(AU$4-1)*5+2)))</f>
        <v/>
      </c>
      <c r="AV421" s="25">
        <f>AU421*(1/(1+INDEX($Q421:$AJ421,1,(AV$4-1)*5+4)))^(1+INDEX($Q421:$AJ421,1,(AV$4-1)*5+2))*(1+AV$7)^INDEX($Q421:$AJ421,1,(AV$4-1)*5+1)*(AV291/AU291)^INDEX($Q421:$AJ421,1,(AV$4-1)*5+2)*(AV291/AU291)^(INDEX($Q421:$AJ421,1,(AV$4-1)*5+3)*(1+INDEX($Q421:$AJ421,1,(AV$4-1)*5+2)))</f>
        <v/>
      </c>
      <c r="AW421" s="25">
        <f>AV421*(1/(1+INDEX($Q421:$AJ421,1,(AW$4-1)*5+4)))^(1+INDEX($Q421:$AJ421,1,(AW$4-1)*5+2))*(1+AW$7)^INDEX($Q421:$AJ421,1,(AW$4-1)*5+1)*(AW291/AV291)^INDEX($Q421:$AJ421,1,(AW$4-1)*5+2)*(AW291/AV291)^(INDEX($Q421:$AJ421,1,(AW$4-1)*5+3)*(1+INDEX($Q421:$AJ421,1,(AW$4-1)*5+2)))</f>
        <v/>
      </c>
      <c r="AX421" s="25">
        <f>AW421*(1/(1+INDEX($Q421:$AJ421,1,(AX$4-1)*5+4)))^(1+INDEX($Q421:$AJ421,1,(AX$4-1)*5+2))*(1+AX$7)^INDEX($Q421:$AJ421,1,(AX$4-1)*5+1)*(AX291/AW291)^INDEX($Q421:$AJ421,1,(AX$4-1)*5+2)*(AX291/AW291)^(INDEX($Q421:$AJ421,1,(AX$4-1)*5+3)*(1+INDEX($Q421:$AJ421,1,(AX$4-1)*5+2)))</f>
        <v/>
      </c>
      <c r="AY421" s="25">
        <f>AX421*(1/(1+INDEX($Q421:$AJ421,1,(AY$4-1)*5+4)))^(1+INDEX($Q421:$AJ421,1,(AY$4-1)*5+2))*(1+AY$7)^INDEX($Q421:$AJ421,1,(AY$4-1)*5+1)*(AY291/AX291)^INDEX($Q421:$AJ421,1,(AY$4-1)*5+2)*(AY291/AX291)^(INDEX($Q421:$AJ421,1,(AY$4-1)*5+3)*(1+INDEX($Q421:$AJ421,1,(AY$4-1)*5+2)))</f>
        <v/>
      </c>
      <c r="BA421" s="24">
        <f>INDEX(EnergyCons!$F$4:$F$5000,MATCH(Settings!$C$4&amp;"|"&amp;BA$5&amp;"|"&amp;$C421&amp;"|"&amp;$B421,EnergyCons!$A$4:$A$5000,0))</f>
        <v/>
      </c>
      <c r="BB421" s="25">
        <f>BA421*(1/(1+INDEX($Q421:$AJ421,1,(BB$4-1)*5+4)))^(1+INDEX($Q421:$AJ421,1,(BB$4-1)*5+2))*(1+BB$7)^INDEX($Q421:$AJ421,1,(BB$4-1)*5+1)*(BB291/BA291)^INDEX($Q421:$AJ421,1,(BB$4-1)*5+2)*(BB291/BA291)^(INDEX($Q421:$AJ421,1,(BB$4-1)*5+3)*(1+INDEX($Q421:$AJ421,1,(BB$4-1)*5+2)))</f>
        <v/>
      </c>
      <c r="BC421" s="25">
        <f>BB421*(1/(1+INDEX($Q421:$AJ421,1,(BC$4-1)*5+4)))^(1+INDEX($Q421:$AJ421,1,(BC$4-1)*5+2))*(1+BC$7)^INDEX($Q421:$AJ421,1,(BC$4-1)*5+1)*(BC291/BB291)^INDEX($Q421:$AJ421,1,(BC$4-1)*5+2)*(BC291/BB291)^(INDEX($Q421:$AJ421,1,(BC$4-1)*5+3)*(1+INDEX($Q421:$AJ421,1,(BC$4-1)*5+2)))</f>
        <v/>
      </c>
      <c r="BD421" s="25">
        <f>BC421*(1/(1+INDEX($Q421:$AJ421,1,(BD$4-1)*5+4)))^(1+INDEX($Q421:$AJ421,1,(BD$4-1)*5+2))*(1+BD$7)^INDEX($Q421:$AJ421,1,(BD$4-1)*5+1)*(BD291/BC291)^INDEX($Q421:$AJ421,1,(BD$4-1)*5+2)*(BD291/BC291)^(INDEX($Q421:$AJ421,1,(BD$4-1)*5+3)*(1+INDEX($Q421:$AJ421,1,(BD$4-1)*5+2)))</f>
        <v/>
      </c>
      <c r="BE421" s="25">
        <f>BD421*(1/(1+INDEX($Q421:$AJ421,1,(BE$4-1)*5+4)))^(1+INDEX($Q421:$AJ421,1,(BE$4-1)*5+2))*(1+BE$7)^INDEX($Q421:$AJ421,1,(BE$4-1)*5+1)*(BE291/BD291)^INDEX($Q421:$AJ421,1,(BE$4-1)*5+2)*(BE291/BD291)^(INDEX($Q421:$AJ421,1,(BE$4-1)*5+3)*(1+INDEX($Q421:$AJ421,1,(BE$4-1)*5+2)))</f>
        <v/>
      </c>
      <c r="BF421" s="25">
        <f>BE421*(1/(1+INDEX($Q421:$AJ421,1,(BF$4-1)*5+4)))^(1+INDEX($Q421:$AJ421,1,(BF$4-1)*5+2))*(1+BF$7)^INDEX($Q421:$AJ421,1,(BF$4-1)*5+1)*(BF291/BE291)^INDEX($Q421:$AJ421,1,(BF$4-1)*5+2)*(BF291/BE291)^(INDEX($Q421:$AJ421,1,(BF$4-1)*5+3)*(1+INDEX($Q421:$AJ421,1,(BF$4-1)*5+2)))</f>
        <v/>
      </c>
      <c r="BG421" s="25">
        <f>BF421*(1/(1+INDEX($Q421:$AJ421,1,(BG$4-1)*5+4)))^(1+INDEX($Q421:$AJ421,1,(BG$4-1)*5+2))*(1+BG$7)^INDEX($Q421:$AJ421,1,(BG$4-1)*5+1)*(BG291/BF291)^INDEX($Q421:$AJ421,1,(BG$4-1)*5+2)*(BG291/BF291)^(INDEX($Q421:$AJ421,1,(BG$4-1)*5+3)*(1+INDEX($Q421:$AJ421,1,(BG$4-1)*5+2)))</f>
        <v/>
      </c>
      <c r="BH421" s="25">
        <f>BG421*(1/(1+INDEX($Q421:$AJ421,1,(BH$4-1)*5+4)))^(1+INDEX($Q421:$AJ421,1,(BH$4-1)*5+2))*(1+BH$7)^INDEX($Q421:$AJ421,1,(BH$4-1)*5+1)*(BH291/BG291)^INDEX($Q421:$AJ421,1,(BH$4-1)*5+2)*(BH291/BG291)^(INDEX($Q421:$AJ421,1,(BH$4-1)*5+3)*(1+INDEX($Q421:$AJ421,1,(BH$4-1)*5+2)))</f>
        <v/>
      </c>
      <c r="BI421" s="25">
        <f>BH421*(1/(1+INDEX($Q421:$AJ421,1,(BI$4-1)*5+4)))^(1+INDEX($Q421:$AJ421,1,(BI$4-1)*5+2))*(1+BI$7)^INDEX($Q421:$AJ421,1,(BI$4-1)*5+1)*(BI291/BH291)^INDEX($Q421:$AJ421,1,(BI$4-1)*5+2)*(BI291/BH291)^(INDEX($Q421:$AJ421,1,(BI$4-1)*5+3)*(1+INDEX($Q421:$AJ421,1,(BI$4-1)*5+2)))</f>
        <v/>
      </c>
      <c r="BJ421" s="25">
        <f>BI421*(1/(1+INDEX($Q421:$AJ421,1,(BJ$4-1)*5+4)))^(1+INDEX($Q421:$AJ421,1,(BJ$4-1)*5+2))*(1+BJ$7)^INDEX($Q421:$AJ421,1,(BJ$4-1)*5+1)*(BJ291/BI291)^INDEX($Q421:$AJ421,1,(BJ$4-1)*5+2)*(BJ291/BI291)^(INDEX($Q421:$AJ421,1,(BJ$4-1)*5+3)*(1+INDEX($Q421:$AJ421,1,(BJ$4-1)*5+2)))</f>
        <v/>
      </c>
      <c r="BK421" s="25">
        <f>BJ421*(1/(1+INDEX($Q421:$AJ421,1,(BK$4-1)*5+4)))^(1+INDEX($Q421:$AJ421,1,(BK$4-1)*5+2))*(1+BK$7)^INDEX($Q421:$AJ421,1,(BK$4-1)*5+1)*(BK291/BJ291)^INDEX($Q421:$AJ421,1,(BK$4-1)*5+2)*(BK291/BJ291)^(INDEX($Q421:$AJ421,1,(BK$4-1)*5+3)*(1+INDEX($Q421:$AJ421,1,(BK$4-1)*5+2)))</f>
        <v/>
      </c>
      <c r="BL421" s="25">
        <f>BK421*(1/(1+INDEX($Q421:$AJ421,1,(BL$4-1)*5+4)))^(1+INDEX($Q421:$AJ421,1,(BL$4-1)*5+2))*(1+BL$7)^INDEX($Q421:$AJ421,1,(BL$4-1)*5+1)*(BL291/BK291)^INDEX($Q421:$AJ421,1,(BL$4-1)*5+2)*(BL291/BK291)^(INDEX($Q421:$AJ421,1,(BL$4-1)*5+3)*(1+INDEX($Q421:$AJ421,1,(BL$4-1)*5+2)))</f>
        <v/>
      </c>
      <c r="BM421" s="25">
        <f>BL421*(1/(1+INDEX($Q421:$AJ421,1,(BM$4-1)*5+4)))^(1+INDEX($Q421:$AJ421,1,(BM$4-1)*5+2))*(1+BM$7)^INDEX($Q421:$AJ421,1,(BM$4-1)*5+1)*(BM291/BL291)^INDEX($Q421:$AJ421,1,(BM$4-1)*5+2)*(BM291/BL291)^(INDEX($Q421:$AJ421,1,(BM$4-1)*5+3)*(1+INDEX($Q421:$AJ421,1,(BM$4-1)*5+2)))</f>
        <v/>
      </c>
      <c r="BN421" s="25">
        <f>BM421*(1/(1+INDEX($Q421:$AJ421,1,(BN$4-1)*5+4)))^(1+INDEX($Q421:$AJ421,1,(BN$4-1)*5+2))*(1+BN$7)^INDEX($Q421:$AJ421,1,(BN$4-1)*5+1)*(BN291/BM291)^INDEX($Q421:$AJ421,1,(BN$4-1)*5+2)*(BN291/BM291)^(INDEX($Q421:$AJ421,1,(BN$4-1)*5+3)*(1+INDEX($Q421:$AJ421,1,(BN$4-1)*5+2)))</f>
        <v/>
      </c>
    </row>
    <row r="422">
      <c r="B422" s="5" t="inlineStr">
        <is>
          <t>ker</t>
        </is>
      </c>
      <c r="C422" s="5" t="inlineStr">
        <is>
          <t>avi</t>
        </is>
      </c>
      <c r="D422" s="5" t="inlineStr">
        <is>
          <t>Fuel use | Domestic aviation | Kerosene</t>
        </is>
      </c>
      <c r="E422" s="5" t="inlineStr">
        <is>
          <t>ktoe</t>
        </is>
      </c>
      <c r="F422" s="5" t="inlineStr">
        <is>
          <t>EnergyCons (base year), Elasticities</t>
        </is>
      </c>
      <c r="G422" s="19" t="inlineStr">
        <is>
          <t>mit.enc.ker.avi</t>
        </is>
      </c>
      <c r="H422" s="19" t="inlineStr">
        <is>
          <t>mit.enc.ker.avi</t>
        </is>
      </c>
      <c r="J422" s="5">
        <f>INDEX(Mapping!$C$5:$C$20,MATCH($C422,Mapping!$A$5:$A$20,0))</f>
        <v/>
      </c>
      <c r="K422" s="5">
        <f>INDEX(Mapping!$D$5:$D$20,MATCH($C422,Mapping!$A$5:$A$20,0))</f>
        <v/>
      </c>
      <c r="L422" s="5">
        <f>INDEX(Mapping!$C$24:$C$31,MATCH($B422,Mapping!$A$24:$A$31,0))</f>
        <v/>
      </c>
      <c r="M422" s="5">
        <f>INDEX(Mapping!$D$24:$D$31,MATCH($B422,Mapping!$A$24:$A$31,0))</f>
        <v/>
      </c>
      <c r="N422" s="5">
        <f>$B422&amp;"."&amp;IF(INDEX(Mapping!$E$24:$E$31,MATCH($B422,Mapping!$A$24:$A$31,0))="sub",INDEX(Mapping!$F$5:$F$20,MATCH($C422,Mapping!$A$5:$A$20,0)),"all")</f>
        <v/>
      </c>
      <c r="O422" s="5">
        <f>INDEX(Mapping!$E$5:$E$20,MATCH($C422,Mapping!$A$5:$A$20,0))</f>
        <v/>
      </c>
      <c r="P422" s="5">
        <f>INDEX(Mapping!$G$24:$G$31,MATCH($B422,Mapping!$A$24:$A$31,0))</f>
        <v/>
      </c>
      <c r="Q422" s="22">
        <f>INDEX(Elasticities!$F$4:$I$200,MATCH("inc|"&amp;$L422&amp;"|"&amp;$K422,Elasticities!$A$4:$A$200,0),MATCH(Settings!$C$6,Elasticities!$F$3:$I$3,0))</f>
        <v/>
      </c>
      <c r="R422" s="22">
        <f>INDEX(Elasticities!$F$4:$I$200,MATCH("usg|"&amp;$L422&amp;"|"&amp;$K422,Elasticities!$A$4:$A$200,0),MATCH(Settings!$C$6,Elasticities!$F$3:$I$3,0))</f>
        <v/>
      </c>
      <c r="S422" s="22">
        <f>INDEX(Elasticities!$F$4:$I$200,MATCH("eff|"&amp;$L422&amp;"|"&amp;$K422,Elasticities!$A$4:$A$200,0),MATCH(Settings!$C$6,Elasticities!$F$3:$I$3,0))</f>
        <v/>
      </c>
      <c r="T422" s="22">
        <f>INDEX(Elasticities!$F$4:$I$200,MATCH("aei|"&amp;$M422&amp;"|"&amp;$K422,Elasticities!$A$4:$A$200,0),MATCH(Settings!$C$6,Elasticities!$F$3:$I$3,0))</f>
        <v/>
      </c>
      <c r="U422" s="21" t="n"/>
      <c r="V422" s="22">
        <f>Q422</f>
        <v/>
      </c>
      <c r="W422" s="22">
        <f>R422</f>
        <v/>
      </c>
      <c r="X422" s="22">
        <f>S422</f>
        <v/>
      </c>
      <c r="Y422" s="22">
        <f>T422</f>
        <v/>
      </c>
      <c r="Z422" s="21" t="n"/>
      <c r="AA422" s="22">
        <f>Q422</f>
        <v/>
      </c>
      <c r="AB422" s="22">
        <f>R422</f>
        <v/>
      </c>
      <c r="AC422" s="22">
        <f>S422</f>
        <v/>
      </c>
      <c r="AD422" s="22">
        <f>T422</f>
        <v/>
      </c>
      <c r="AE422" s="21" t="n"/>
      <c r="AF422" s="22">
        <f>Q422</f>
        <v/>
      </c>
      <c r="AG422" s="22">
        <f>R422</f>
        <v/>
      </c>
      <c r="AH422" s="22">
        <f>S422</f>
        <v/>
      </c>
      <c r="AI422" s="22">
        <f>T422</f>
        <v/>
      </c>
      <c r="AJ422" s="21" t="n"/>
      <c r="AL422" s="24">
        <f>INDEX(EnergyCons!$F$4:$F$5000,MATCH(Settings!$C$4&amp;"|"&amp;AL$5&amp;"|"&amp;$C422&amp;"|"&amp;$B422,EnergyCons!$A$4:$A$5000,0))</f>
        <v/>
      </c>
      <c r="AM422" s="25">
        <f>AL422*(1/(1+INDEX($Q422:$AJ422,1,(AM$4-1)*5+4)))^(1+INDEX($Q422:$AJ422,1,(AM$4-1)*5+2))*(1+AM$7)^INDEX($Q422:$AJ422,1,(AM$4-1)*5+1)*(AM292/AL292)^INDEX($Q422:$AJ422,1,(AM$4-1)*5+2)*(AM292/AL292)^(INDEX($Q422:$AJ422,1,(AM$4-1)*5+3)*(1+INDEX($Q422:$AJ422,1,(AM$4-1)*5+2)))</f>
        <v/>
      </c>
      <c r="AN422" s="25">
        <f>AM422*(1/(1+INDEX($Q422:$AJ422,1,(AN$4-1)*5+4)))^(1+INDEX($Q422:$AJ422,1,(AN$4-1)*5+2))*(1+AN$7)^INDEX($Q422:$AJ422,1,(AN$4-1)*5+1)*(AN292/AM292)^INDEX($Q422:$AJ422,1,(AN$4-1)*5+2)*(AN292/AM292)^(INDEX($Q422:$AJ422,1,(AN$4-1)*5+3)*(1+INDEX($Q422:$AJ422,1,(AN$4-1)*5+2)))</f>
        <v/>
      </c>
      <c r="AO422" s="25">
        <f>AN422*(1/(1+INDEX($Q422:$AJ422,1,(AO$4-1)*5+4)))^(1+INDEX($Q422:$AJ422,1,(AO$4-1)*5+2))*(1+AO$7)^INDEX($Q422:$AJ422,1,(AO$4-1)*5+1)*(AO292/AN292)^INDEX($Q422:$AJ422,1,(AO$4-1)*5+2)*(AO292/AN292)^(INDEX($Q422:$AJ422,1,(AO$4-1)*5+3)*(1+INDEX($Q422:$AJ422,1,(AO$4-1)*5+2)))</f>
        <v/>
      </c>
      <c r="AP422" s="25">
        <f>AO422*(1/(1+INDEX($Q422:$AJ422,1,(AP$4-1)*5+4)))^(1+INDEX($Q422:$AJ422,1,(AP$4-1)*5+2))*(1+AP$7)^INDEX($Q422:$AJ422,1,(AP$4-1)*5+1)*(AP292/AO292)^INDEX($Q422:$AJ422,1,(AP$4-1)*5+2)*(AP292/AO292)^(INDEX($Q422:$AJ422,1,(AP$4-1)*5+3)*(1+INDEX($Q422:$AJ422,1,(AP$4-1)*5+2)))</f>
        <v/>
      </c>
      <c r="AQ422" s="25">
        <f>AP422*(1/(1+INDEX($Q422:$AJ422,1,(AQ$4-1)*5+4)))^(1+INDEX($Q422:$AJ422,1,(AQ$4-1)*5+2))*(1+AQ$7)^INDEX($Q422:$AJ422,1,(AQ$4-1)*5+1)*(AQ292/AP292)^INDEX($Q422:$AJ422,1,(AQ$4-1)*5+2)*(AQ292/AP292)^(INDEX($Q422:$AJ422,1,(AQ$4-1)*5+3)*(1+INDEX($Q422:$AJ422,1,(AQ$4-1)*5+2)))</f>
        <v/>
      </c>
      <c r="AR422" s="25">
        <f>AQ422*(1/(1+INDEX($Q422:$AJ422,1,(AR$4-1)*5+4)))^(1+INDEX($Q422:$AJ422,1,(AR$4-1)*5+2))*(1+AR$7)^INDEX($Q422:$AJ422,1,(AR$4-1)*5+1)*(AR292/AQ292)^INDEX($Q422:$AJ422,1,(AR$4-1)*5+2)*(AR292/AQ292)^(INDEX($Q422:$AJ422,1,(AR$4-1)*5+3)*(1+INDEX($Q422:$AJ422,1,(AR$4-1)*5+2)))</f>
        <v/>
      </c>
      <c r="AS422" s="25">
        <f>AR422*(1/(1+INDEX($Q422:$AJ422,1,(AS$4-1)*5+4)))^(1+INDEX($Q422:$AJ422,1,(AS$4-1)*5+2))*(1+AS$7)^INDEX($Q422:$AJ422,1,(AS$4-1)*5+1)*(AS292/AR292)^INDEX($Q422:$AJ422,1,(AS$4-1)*5+2)*(AS292/AR292)^(INDEX($Q422:$AJ422,1,(AS$4-1)*5+3)*(1+INDEX($Q422:$AJ422,1,(AS$4-1)*5+2)))</f>
        <v/>
      </c>
      <c r="AT422" s="25">
        <f>AS422*(1/(1+INDEX($Q422:$AJ422,1,(AT$4-1)*5+4)))^(1+INDEX($Q422:$AJ422,1,(AT$4-1)*5+2))*(1+AT$7)^INDEX($Q422:$AJ422,1,(AT$4-1)*5+1)*(AT292/AS292)^INDEX($Q422:$AJ422,1,(AT$4-1)*5+2)*(AT292/AS292)^(INDEX($Q422:$AJ422,1,(AT$4-1)*5+3)*(1+INDEX($Q422:$AJ422,1,(AT$4-1)*5+2)))</f>
        <v/>
      </c>
      <c r="AU422" s="25">
        <f>AT422*(1/(1+INDEX($Q422:$AJ422,1,(AU$4-1)*5+4)))^(1+INDEX($Q422:$AJ422,1,(AU$4-1)*5+2))*(1+AU$7)^INDEX($Q422:$AJ422,1,(AU$4-1)*5+1)*(AU292/AT292)^INDEX($Q422:$AJ422,1,(AU$4-1)*5+2)*(AU292/AT292)^(INDEX($Q422:$AJ422,1,(AU$4-1)*5+3)*(1+INDEX($Q422:$AJ422,1,(AU$4-1)*5+2)))</f>
        <v/>
      </c>
      <c r="AV422" s="25">
        <f>AU422*(1/(1+INDEX($Q422:$AJ422,1,(AV$4-1)*5+4)))^(1+INDEX($Q422:$AJ422,1,(AV$4-1)*5+2))*(1+AV$7)^INDEX($Q422:$AJ422,1,(AV$4-1)*5+1)*(AV292/AU292)^INDEX($Q422:$AJ422,1,(AV$4-1)*5+2)*(AV292/AU292)^(INDEX($Q422:$AJ422,1,(AV$4-1)*5+3)*(1+INDEX($Q422:$AJ422,1,(AV$4-1)*5+2)))</f>
        <v/>
      </c>
      <c r="AW422" s="25">
        <f>AV422*(1/(1+INDEX($Q422:$AJ422,1,(AW$4-1)*5+4)))^(1+INDEX($Q422:$AJ422,1,(AW$4-1)*5+2))*(1+AW$7)^INDEX($Q422:$AJ422,1,(AW$4-1)*5+1)*(AW292/AV292)^INDEX($Q422:$AJ422,1,(AW$4-1)*5+2)*(AW292/AV292)^(INDEX($Q422:$AJ422,1,(AW$4-1)*5+3)*(1+INDEX($Q422:$AJ422,1,(AW$4-1)*5+2)))</f>
        <v/>
      </c>
      <c r="AX422" s="25">
        <f>AW422*(1/(1+INDEX($Q422:$AJ422,1,(AX$4-1)*5+4)))^(1+INDEX($Q422:$AJ422,1,(AX$4-1)*5+2))*(1+AX$7)^INDEX($Q422:$AJ422,1,(AX$4-1)*5+1)*(AX292/AW292)^INDEX($Q422:$AJ422,1,(AX$4-1)*5+2)*(AX292/AW292)^(INDEX($Q422:$AJ422,1,(AX$4-1)*5+3)*(1+INDEX($Q422:$AJ422,1,(AX$4-1)*5+2)))</f>
        <v/>
      </c>
      <c r="AY422" s="25">
        <f>AX422*(1/(1+INDEX($Q422:$AJ422,1,(AY$4-1)*5+4)))^(1+INDEX($Q422:$AJ422,1,(AY$4-1)*5+2))*(1+AY$7)^INDEX($Q422:$AJ422,1,(AY$4-1)*5+1)*(AY292/AX292)^INDEX($Q422:$AJ422,1,(AY$4-1)*5+2)*(AY292/AX292)^(INDEX($Q422:$AJ422,1,(AY$4-1)*5+3)*(1+INDEX($Q422:$AJ422,1,(AY$4-1)*5+2)))</f>
        <v/>
      </c>
      <c r="BA422" s="24">
        <f>INDEX(EnergyCons!$F$4:$F$5000,MATCH(Settings!$C$4&amp;"|"&amp;BA$5&amp;"|"&amp;$C422&amp;"|"&amp;$B422,EnergyCons!$A$4:$A$5000,0))</f>
        <v/>
      </c>
      <c r="BB422" s="25">
        <f>BA422*(1/(1+INDEX($Q422:$AJ422,1,(BB$4-1)*5+4)))^(1+INDEX($Q422:$AJ422,1,(BB$4-1)*5+2))*(1+BB$7)^INDEX($Q422:$AJ422,1,(BB$4-1)*5+1)*(BB292/BA292)^INDEX($Q422:$AJ422,1,(BB$4-1)*5+2)*(BB292/BA292)^(INDEX($Q422:$AJ422,1,(BB$4-1)*5+3)*(1+INDEX($Q422:$AJ422,1,(BB$4-1)*5+2)))</f>
        <v/>
      </c>
      <c r="BC422" s="25">
        <f>BB422*(1/(1+INDEX($Q422:$AJ422,1,(BC$4-1)*5+4)))^(1+INDEX($Q422:$AJ422,1,(BC$4-1)*5+2))*(1+BC$7)^INDEX($Q422:$AJ422,1,(BC$4-1)*5+1)*(BC292/BB292)^INDEX($Q422:$AJ422,1,(BC$4-1)*5+2)*(BC292/BB292)^(INDEX($Q422:$AJ422,1,(BC$4-1)*5+3)*(1+INDEX($Q422:$AJ422,1,(BC$4-1)*5+2)))</f>
        <v/>
      </c>
      <c r="BD422" s="25">
        <f>BC422*(1/(1+INDEX($Q422:$AJ422,1,(BD$4-1)*5+4)))^(1+INDEX($Q422:$AJ422,1,(BD$4-1)*5+2))*(1+BD$7)^INDEX($Q422:$AJ422,1,(BD$4-1)*5+1)*(BD292/BC292)^INDEX($Q422:$AJ422,1,(BD$4-1)*5+2)*(BD292/BC292)^(INDEX($Q422:$AJ422,1,(BD$4-1)*5+3)*(1+INDEX($Q422:$AJ422,1,(BD$4-1)*5+2)))</f>
        <v/>
      </c>
      <c r="BE422" s="25">
        <f>BD422*(1/(1+INDEX($Q422:$AJ422,1,(BE$4-1)*5+4)))^(1+INDEX($Q422:$AJ422,1,(BE$4-1)*5+2))*(1+BE$7)^INDEX($Q422:$AJ422,1,(BE$4-1)*5+1)*(BE292/BD292)^INDEX($Q422:$AJ422,1,(BE$4-1)*5+2)*(BE292/BD292)^(INDEX($Q422:$AJ422,1,(BE$4-1)*5+3)*(1+INDEX($Q422:$AJ422,1,(BE$4-1)*5+2)))</f>
        <v/>
      </c>
      <c r="BF422" s="25">
        <f>BE422*(1/(1+INDEX($Q422:$AJ422,1,(BF$4-1)*5+4)))^(1+INDEX($Q422:$AJ422,1,(BF$4-1)*5+2))*(1+BF$7)^INDEX($Q422:$AJ422,1,(BF$4-1)*5+1)*(BF292/BE292)^INDEX($Q422:$AJ422,1,(BF$4-1)*5+2)*(BF292/BE292)^(INDEX($Q422:$AJ422,1,(BF$4-1)*5+3)*(1+INDEX($Q422:$AJ422,1,(BF$4-1)*5+2)))</f>
        <v/>
      </c>
      <c r="BG422" s="25">
        <f>BF422*(1/(1+INDEX($Q422:$AJ422,1,(BG$4-1)*5+4)))^(1+INDEX($Q422:$AJ422,1,(BG$4-1)*5+2))*(1+BG$7)^INDEX($Q422:$AJ422,1,(BG$4-1)*5+1)*(BG292/BF292)^INDEX($Q422:$AJ422,1,(BG$4-1)*5+2)*(BG292/BF292)^(INDEX($Q422:$AJ422,1,(BG$4-1)*5+3)*(1+INDEX($Q422:$AJ422,1,(BG$4-1)*5+2)))</f>
        <v/>
      </c>
      <c r="BH422" s="25">
        <f>BG422*(1/(1+INDEX($Q422:$AJ422,1,(BH$4-1)*5+4)))^(1+INDEX($Q422:$AJ422,1,(BH$4-1)*5+2))*(1+BH$7)^INDEX($Q422:$AJ422,1,(BH$4-1)*5+1)*(BH292/BG292)^INDEX($Q422:$AJ422,1,(BH$4-1)*5+2)*(BH292/BG292)^(INDEX($Q422:$AJ422,1,(BH$4-1)*5+3)*(1+INDEX($Q422:$AJ422,1,(BH$4-1)*5+2)))</f>
        <v/>
      </c>
      <c r="BI422" s="25">
        <f>BH422*(1/(1+INDEX($Q422:$AJ422,1,(BI$4-1)*5+4)))^(1+INDEX($Q422:$AJ422,1,(BI$4-1)*5+2))*(1+BI$7)^INDEX($Q422:$AJ422,1,(BI$4-1)*5+1)*(BI292/BH292)^INDEX($Q422:$AJ422,1,(BI$4-1)*5+2)*(BI292/BH292)^(INDEX($Q422:$AJ422,1,(BI$4-1)*5+3)*(1+INDEX($Q422:$AJ422,1,(BI$4-1)*5+2)))</f>
        <v/>
      </c>
      <c r="BJ422" s="25">
        <f>BI422*(1/(1+INDEX($Q422:$AJ422,1,(BJ$4-1)*5+4)))^(1+INDEX($Q422:$AJ422,1,(BJ$4-1)*5+2))*(1+BJ$7)^INDEX($Q422:$AJ422,1,(BJ$4-1)*5+1)*(BJ292/BI292)^INDEX($Q422:$AJ422,1,(BJ$4-1)*5+2)*(BJ292/BI292)^(INDEX($Q422:$AJ422,1,(BJ$4-1)*5+3)*(1+INDEX($Q422:$AJ422,1,(BJ$4-1)*5+2)))</f>
        <v/>
      </c>
      <c r="BK422" s="25">
        <f>BJ422*(1/(1+INDEX($Q422:$AJ422,1,(BK$4-1)*5+4)))^(1+INDEX($Q422:$AJ422,1,(BK$4-1)*5+2))*(1+BK$7)^INDEX($Q422:$AJ422,1,(BK$4-1)*5+1)*(BK292/BJ292)^INDEX($Q422:$AJ422,1,(BK$4-1)*5+2)*(BK292/BJ292)^(INDEX($Q422:$AJ422,1,(BK$4-1)*5+3)*(1+INDEX($Q422:$AJ422,1,(BK$4-1)*5+2)))</f>
        <v/>
      </c>
      <c r="BL422" s="25">
        <f>BK422*(1/(1+INDEX($Q422:$AJ422,1,(BL$4-1)*5+4)))^(1+INDEX($Q422:$AJ422,1,(BL$4-1)*5+2))*(1+BL$7)^INDEX($Q422:$AJ422,1,(BL$4-1)*5+1)*(BL292/BK292)^INDEX($Q422:$AJ422,1,(BL$4-1)*5+2)*(BL292/BK292)^(INDEX($Q422:$AJ422,1,(BL$4-1)*5+3)*(1+INDEX($Q422:$AJ422,1,(BL$4-1)*5+2)))</f>
        <v/>
      </c>
      <c r="BM422" s="25">
        <f>BL422*(1/(1+INDEX($Q422:$AJ422,1,(BM$4-1)*5+4)))^(1+INDEX($Q422:$AJ422,1,(BM$4-1)*5+2))*(1+BM$7)^INDEX($Q422:$AJ422,1,(BM$4-1)*5+1)*(BM292/BL292)^INDEX($Q422:$AJ422,1,(BM$4-1)*5+2)*(BM292/BL292)^(INDEX($Q422:$AJ422,1,(BM$4-1)*5+3)*(1+INDEX($Q422:$AJ422,1,(BM$4-1)*5+2)))</f>
        <v/>
      </c>
      <c r="BN422" s="25">
        <f>BM422*(1/(1+INDEX($Q422:$AJ422,1,(BN$4-1)*5+4)))^(1+INDEX($Q422:$AJ422,1,(BN$4-1)*5+2))*(1+BN$7)^INDEX($Q422:$AJ422,1,(BN$4-1)*5+1)*(BN292/BM292)^INDEX($Q422:$AJ422,1,(BN$4-1)*5+2)*(BN292/BM292)^(INDEX($Q422:$AJ422,1,(BN$4-1)*5+3)*(1+INDEX($Q422:$AJ422,1,(BN$4-1)*5+2)))</f>
        <v/>
      </c>
    </row>
    <row r="423">
      <c r="B423" s="5" t="inlineStr">
        <is>
          <t>oop</t>
        </is>
      </c>
      <c r="C423" s="5" t="inlineStr">
        <is>
          <t>avi</t>
        </is>
      </c>
      <c r="D423" s="5" t="inlineStr">
        <is>
          <t>Fuel use | Domestic aviation | Other oil products</t>
        </is>
      </c>
      <c r="E423" s="5" t="inlineStr">
        <is>
          <t>ktoe</t>
        </is>
      </c>
      <c r="F423" s="5" t="inlineStr">
        <is>
          <t>EnergyCons (base year), Elasticities</t>
        </is>
      </c>
      <c r="G423" s="19" t="inlineStr">
        <is>
          <t>mit.enc.oop.avi</t>
        </is>
      </c>
      <c r="H423" s="19" t="inlineStr">
        <is>
          <t>mit.enc.oop.avi</t>
        </is>
      </c>
      <c r="J423" s="5">
        <f>INDEX(Mapping!$C$5:$C$20,MATCH($C423,Mapping!$A$5:$A$20,0))</f>
        <v/>
      </c>
      <c r="K423" s="5">
        <f>INDEX(Mapping!$D$5:$D$20,MATCH($C423,Mapping!$A$5:$A$20,0))</f>
        <v/>
      </c>
      <c r="L423" s="5">
        <f>INDEX(Mapping!$C$24:$C$31,MATCH($B423,Mapping!$A$24:$A$31,0))</f>
        <v/>
      </c>
      <c r="M423" s="5">
        <f>INDEX(Mapping!$D$24:$D$31,MATCH($B423,Mapping!$A$24:$A$31,0))</f>
        <v/>
      </c>
      <c r="N423" s="5">
        <f>$B423&amp;"."&amp;IF(INDEX(Mapping!$E$24:$E$31,MATCH($B423,Mapping!$A$24:$A$31,0))="sub",INDEX(Mapping!$F$5:$F$20,MATCH($C423,Mapping!$A$5:$A$20,0)),"all")</f>
        <v/>
      </c>
      <c r="O423" s="5">
        <f>INDEX(Mapping!$E$5:$E$20,MATCH($C423,Mapping!$A$5:$A$20,0))</f>
        <v/>
      </c>
      <c r="P423" s="5">
        <f>INDEX(Mapping!$G$24:$G$31,MATCH($B423,Mapping!$A$24:$A$31,0))</f>
        <v/>
      </c>
      <c r="Q423" s="22">
        <f>INDEX(Elasticities!$F$4:$I$200,MATCH("inc|"&amp;$L423&amp;"|"&amp;$K423,Elasticities!$A$4:$A$200,0),MATCH(Settings!$C$6,Elasticities!$F$3:$I$3,0))</f>
        <v/>
      </c>
      <c r="R423" s="22">
        <f>INDEX(Elasticities!$F$4:$I$200,MATCH("usg|"&amp;$L423&amp;"|"&amp;$K423,Elasticities!$A$4:$A$200,0),MATCH(Settings!$C$6,Elasticities!$F$3:$I$3,0))</f>
        <v/>
      </c>
      <c r="S423" s="22">
        <f>INDEX(Elasticities!$F$4:$I$200,MATCH("eff|"&amp;$L423&amp;"|"&amp;$K423,Elasticities!$A$4:$A$200,0),MATCH(Settings!$C$6,Elasticities!$F$3:$I$3,0))</f>
        <v/>
      </c>
      <c r="T423" s="22">
        <f>INDEX(Elasticities!$F$4:$I$200,MATCH("aei|"&amp;$M423&amp;"|"&amp;$K423,Elasticities!$A$4:$A$200,0),MATCH(Settings!$C$6,Elasticities!$F$3:$I$3,0))</f>
        <v/>
      </c>
      <c r="U423" s="21" t="n"/>
      <c r="V423" s="22">
        <f>Q423</f>
        <v/>
      </c>
      <c r="W423" s="22">
        <f>R423</f>
        <v/>
      </c>
      <c r="X423" s="22">
        <f>S423</f>
        <v/>
      </c>
      <c r="Y423" s="22">
        <f>T423</f>
        <v/>
      </c>
      <c r="Z423" s="21" t="n"/>
      <c r="AA423" s="22">
        <f>Q423</f>
        <v/>
      </c>
      <c r="AB423" s="22">
        <f>R423</f>
        <v/>
      </c>
      <c r="AC423" s="22">
        <f>S423</f>
        <v/>
      </c>
      <c r="AD423" s="22">
        <f>T423</f>
        <v/>
      </c>
      <c r="AE423" s="21" t="n"/>
      <c r="AF423" s="22">
        <f>Q423</f>
        <v/>
      </c>
      <c r="AG423" s="22">
        <f>R423</f>
        <v/>
      </c>
      <c r="AH423" s="22">
        <f>S423</f>
        <v/>
      </c>
      <c r="AI423" s="22">
        <f>T423</f>
        <v/>
      </c>
      <c r="AJ423" s="21" t="n"/>
      <c r="AL423" s="24">
        <f>INDEX(EnergyCons!$F$4:$F$5000,MATCH(Settings!$C$4&amp;"|"&amp;AL$5&amp;"|"&amp;$C423&amp;"|"&amp;$B423,EnergyCons!$A$4:$A$5000,0))</f>
        <v/>
      </c>
      <c r="AM423" s="25">
        <f>AL423*(1/(1+INDEX($Q423:$AJ423,1,(AM$4-1)*5+4)))^(1+INDEX($Q423:$AJ423,1,(AM$4-1)*5+2))*(1+AM$7)^INDEX($Q423:$AJ423,1,(AM$4-1)*5+1)*(AM293/AL293)^INDEX($Q423:$AJ423,1,(AM$4-1)*5+2)*(AM293/AL293)^(INDEX($Q423:$AJ423,1,(AM$4-1)*5+3)*(1+INDEX($Q423:$AJ423,1,(AM$4-1)*5+2)))</f>
        <v/>
      </c>
      <c r="AN423" s="25">
        <f>AM423*(1/(1+INDEX($Q423:$AJ423,1,(AN$4-1)*5+4)))^(1+INDEX($Q423:$AJ423,1,(AN$4-1)*5+2))*(1+AN$7)^INDEX($Q423:$AJ423,1,(AN$4-1)*5+1)*(AN293/AM293)^INDEX($Q423:$AJ423,1,(AN$4-1)*5+2)*(AN293/AM293)^(INDEX($Q423:$AJ423,1,(AN$4-1)*5+3)*(1+INDEX($Q423:$AJ423,1,(AN$4-1)*5+2)))</f>
        <v/>
      </c>
      <c r="AO423" s="25">
        <f>AN423*(1/(1+INDEX($Q423:$AJ423,1,(AO$4-1)*5+4)))^(1+INDEX($Q423:$AJ423,1,(AO$4-1)*5+2))*(1+AO$7)^INDEX($Q423:$AJ423,1,(AO$4-1)*5+1)*(AO293/AN293)^INDEX($Q423:$AJ423,1,(AO$4-1)*5+2)*(AO293/AN293)^(INDEX($Q423:$AJ423,1,(AO$4-1)*5+3)*(1+INDEX($Q423:$AJ423,1,(AO$4-1)*5+2)))</f>
        <v/>
      </c>
      <c r="AP423" s="25">
        <f>AO423*(1/(1+INDEX($Q423:$AJ423,1,(AP$4-1)*5+4)))^(1+INDEX($Q423:$AJ423,1,(AP$4-1)*5+2))*(1+AP$7)^INDEX($Q423:$AJ423,1,(AP$4-1)*5+1)*(AP293/AO293)^INDEX($Q423:$AJ423,1,(AP$4-1)*5+2)*(AP293/AO293)^(INDEX($Q423:$AJ423,1,(AP$4-1)*5+3)*(1+INDEX($Q423:$AJ423,1,(AP$4-1)*5+2)))</f>
        <v/>
      </c>
      <c r="AQ423" s="25">
        <f>AP423*(1/(1+INDEX($Q423:$AJ423,1,(AQ$4-1)*5+4)))^(1+INDEX($Q423:$AJ423,1,(AQ$4-1)*5+2))*(1+AQ$7)^INDEX($Q423:$AJ423,1,(AQ$4-1)*5+1)*(AQ293/AP293)^INDEX($Q423:$AJ423,1,(AQ$4-1)*5+2)*(AQ293/AP293)^(INDEX($Q423:$AJ423,1,(AQ$4-1)*5+3)*(1+INDEX($Q423:$AJ423,1,(AQ$4-1)*5+2)))</f>
        <v/>
      </c>
      <c r="AR423" s="25">
        <f>AQ423*(1/(1+INDEX($Q423:$AJ423,1,(AR$4-1)*5+4)))^(1+INDEX($Q423:$AJ423,1,(AR$4-1)*5+2))*(1+AR$7)^INDEX($Q423:$AJ423,1,(AR$4-1)*5+1)*(AR293/AQ293)^INDEX($Q423:$AJ423,1,(AR$4-1)*5+2)*(AR293/AQ293)^(INDEX($Q423:$AJ423,1,(AR$4-1)*5+3)*(1+INDEX($Q423:$AJ423,1,(AR$4-1)*5+2)))</f>
        <v/>
      </c>
      <c r="AS423" s="25">
        <f>AR423*(1/(1+INDEX($Q423:$AJ423,1,(AS$4-1)*5+4)))^(1+INDEX($Q423:$AJ423,1,(AS$4-1)*5+2))*(1+AS$7)^INDEX($Q423:$AJ423,1,(AS$4-1)*5+1)*(AS293/AR293)^INDEX($Q423:$AJ423,1,(AS$4-1)*5+2)*(AS293/AR293)^(INDEX($Q423:$AJ423,1,(AS$4-1)*5+3)*(1+INDEX($Q423:$AJ423,1,(AS$4-1)*5+2)))</f>
        <v/>
      </c>
      <c r="AT423" s="25">
        <f>AS423*(1/(1+INDEX($Q423:$AJ423,1,(AT$4-1)*5+4)))^(1+INDEX($Q423:$AJ423,1,(AT$4-1)*5+2))*(1+AT$7)^INDEX($Q423:$AJ423,1,(AT$4-1)*5+1)*(AT293/AS293)^INDEX($Q423:$AJ423,1,(AT$4-1)*5+2)*(AT293/AS293)^(INDEX($Q423:$AJ423,1,(AT$4-1)*5+3)*(1+INDEX($Q423:$AJ423,1,(AT$4-1)*5+2)))</f>
        <v/>
      </c>
      <c r="AU423" s="25">
        <f>AT423*(1/(1+INDEX($Q423:$AJ423,1,(AU$4-1)*5+4)))^(1+INDEX($Q423:$AJ423,1,(AU$4-1)*5+2))*(1+AU$7)^INDEX($Q423:$AJ423,1,(AU$4-1)*5+1)*(AU293/AT293)^INDEX($Q423:$AJ423,1,(AU$4-1)*5+2)*(AU293/AT293)^(INDEX($Q423:$AJ423,1,(AU$4-1)*5+3)*(1+INDEX($Q423:$AJ423,1,(AU$4-1)*5+2)))</f>
        <v/>
      </c>
      <c r="AV423" s="25">
        <f>AU423*(1/(1+INDEX($Q423:$AJ423,1,(AV$4-1)*5+4)))^(1+INDEX($Q423:$AJ423,1,(AV$4-1)*5+2))*(1+AV$7)^INDEX($Q423:$AJ423,1,(AV$4-1)*5+1)*(AV293/AU293)^INDEX($Q423:$AJ423,1,(AV$4-1)*5+2)*(AV293/AU293)^(INDEX($Q423:$AJ423,1,(AV$4-1)*5+3)*(1+INDEX($Q423:$AJ423,1,(AV$4-1)*5+2)))</f>
        <v/>
      </c>
      <c r="AW423" s="25">
        <f>AV423*(1/(1+INDEX($Q423:$AJ423,1,(AW$4-1)*5+4)))^(1+INDEX($Q423:$AJ423,1,(AW$4-1)*5+2))*(1+AW$7)^INDEX($Q423:$AJ423,1,(AW$4-1)*5+1)*(AW293/AV293)^INDEX($Q423:$AJ423,1,(AW$4-1)*5+2)*(AW293/AV293)^(INDEX($Q423:$AJ423,1,(AW$4-1)*5+3)*(1+INDEX($Q423:$AJ423,1,(AW$4-1)*5+2)))</f>
        <v/>
      </c>
      <c r="AX423" s="25">
        <f>AW423*(1/(1+INDEX($Q423:$AJ423,1,(AX$4-1)*5+4)))^(1+INDEX($Q423:$AJ423,1,(AX$4-1)*5+2))*(1+AX$7)^INDEX($Q423:$AJ423,1,(AX$4-1)*5+1)*(AX293/AW293)^INDEX($Q423:$AJ423,1,(AX$4-1)*5+2)*(AX293/AW293)^(INDEX($Q423:$AJ423,1,(AX$4-1)*5+3)*(1+INDEX($Q423:$AJ423,1,(AX$4-1)*5+2)))</f>
        <v/>
      </c>
      <c r="AY423" s="25">
        <f>AX423*(1/(1+INDEX($Q423:$AJ423,1,(AY$4-1)*5+4)))^(1+INDEX($Q423:$AJ423,1,(AY$4-1)*5+2))*(1+AY$7)^INDEX($Q423:$AJ423,1,(AY$4-1)*5+1)*(AY293/AX293)^INDEX($Q423:$AJ423,1,(AY$4-1)*5+2)*(AY293/AX293)^(INDEX($Q423:$AJ423,1,(AY$4-1)*5+3)*(1+INDEX($Q423:$AJ423,1,(AY$4-1)*5+2)))</f>
        <v/>
      </c>
      <c r="BA423" s="24">
        <f>INDEX(EnergyCons!$F$4:$F$5000,MATCH(Settings!$C$4&amp;"|"&amp;BA$5&amp;"|"&amp;$C423&amp;"|"&amp;$B423,EnergyCons!$A$4:$A$5000,0))</f>
        <v/>
      </c>
      <c r="BB423" s="25">
        <f>BA423*(1/(1+INDEX($Q423:$AJ423,1,(BB$4-1)*5+4)))^(1+INDEX($Q423:$AJ423,1,(BB$4-1)*5+2))*(1+BB$7)^INDEX($Q423:$AJ423,1,(BB$4-1)*5+1)*(BB293/BA293)^INDEX($Q423:$AJ423,1,(BB$4-1)*5+2)*(BB293/BA293)^(INDEX($Q423:$AJ423,1,(BB$4-1)*5+3)*(1+INDEX($Q423:$AJ423,1,(BB$4-1)*5+2)))</f>
        <v/>
      </c>
      <c r="BC423" s="25">
        <f>BB423*(1/(1+INDEX($Q423:$AJ423,1,(BC$4-1)*5+4)))^(1+INDEX($Q423:$AJ423,1,(BC$4-1)*5+2))*(1+BC$7)^INDEX($Q423:$AJ423,1,(BC$4-1)*5+1)*(BC293/BB293)^INDEX($Q423:$AJ423,1,(BC$4-1)*5+2)*(BC293/BB293)^(INDEX($Q423:$AJ423,1,(BC$4-1)*5+3)*(1+INDEX($Q423:$AJ423,1,(BC$4-1)*5+2)))</f>
        <v/>
      </c>
      <c r="BD423" s="25">
        <f>BC423*(1/(1+INDEX($Q423:$AJ423,1,(BD$4-1)*5+4)))^(1+INDEX($Q423:$AJ423,1,(BD$4-1)*5+2))*(1+BD$7)^INDEX($Q423:$AJ423,1,(BD$4-1)*5+1)*(BD293/BC293)^INDEX($Q423:$AJ423,1,(BD$4-1)*5+2)*(BD293/BC293)^(INDEX($Q423:$AJ423,1,(BD$4-1)*5+3)*(1+INDEX($Q423:$AJ423,1,(BD$4-1)*5+2)))</f>
        <v/>
      </c>
      <c r="BE423" s="25">
        <f>BD423*(1/(1+INDEX($Q423:$AJ423,1,(BE$4-1)*5+4)))^(1+INDEX($Q423:$AJ423,1,(BE$4-1)*5+2))*(1+BE$7)^INDEX($Q423:$AJ423,1,(BE$4-1)*5+1)*(BE293/BD293)^INDEX($Q423:$AJ423,1,(BE$4-1)*5+2)*(BE293/BD293)^(INDEX($Q423:$AJ423,1,(BE$4-1)*5+3)*(1+INDEX($Q423:$AJ423,1,(BE$4-1)*5+2)))</f>
        <v/>
      </c>
      <c r="BF423" s="25">
        <f>BE423*(1/(1+INDEX($Q423:$AJ423,1,(BF$4-1)*5+4)))^(1+INDEX($Q423:$AJ423,1,(BF$4-1)*5+2))*(1+BF$7)^INDEX($Q423:$AJ423,1,(BF$4-1)*5+1)*(BF293/BE293)^INDEX($Q423:$AJ423,1,(BF$4-1)*5+2)*(BF293/BE293)^(INDEX($Q423:$AJ423,1,(BF$4-1)*5+3)*(1+INDEX($Q423:$AJ423,1,(BF$4-1)*5+2)))</f>
        <v/>
      </c>
      <c r="BG423" s="25">
        <f>BF423*(1/(1+INDEX($Q423:$AJ423,1,(BG$4-1)*5+4)))^(1+INDEX($Q423:$AJ423,1,(BG$4-1)*5+2))*(1+BG$7)^INDEX($Q423:$AJ423,1,(BG$4-1)*5+1)*(BG293/BF293)^INDEX($Q423:$AJ423,1,(BG$4-1)*5+2)*(BG293/BF293)^(INDEX($Q423:$AJ423,1,(BG$4-1)*5+3)*(1+INDEX($Q423:$AJ423,1,(BG$4-1)*5+2)))</f>
        <v/>
      </c>
      <c r="BH423" s="25">
        <f>BG423*(1/(1+INDEX($Q423:$AJ423,1,(BH$4-1)*5+4)))^(1+INDEX($Q423:$AJ423,1,(BH$4-1)*5+2))*(1+BH$7)^INDEX($Q423:$AJ423,1,(BH$4-1)*5+1)*(BH293/BG293)^INDEX($Q423:$AJ423,1,(BH$4-1)*5+2)*(BH293/BG293)^(INDEX($Q423:$AJ423,1,(BH$4-1)*5+3)*(1+INDEX($Q423:$AJ423,1,(BH$4-1)*5+2)))</f>
        <v/>
      </c>
      <c r="BI423" s="25">
        <f>BH423*(1/(1+INDEX($Q423:$AJ423,1,(BI$4-1)*5+4)))^(1+INDEX($Q423:$AJ423,1,(BI$4-1)*5+2))*(1+BI$7)^INDEX($Q423:$AJ423,1,(BI$4-1)*5+1)*(BI293/BH293)^INDEX($Q423:$AJ423,1,(BI$4-1)*5+2)*(BI293/BH293)^(INDEX($Q423:$AJ423,1,(BI$4-1)*5+3)*(1+INDEX($Q423:$AJ423,1,(BI$4-1)*5+2)))</f>
        <v/>
      </c>
      <c r="BJ423" s="25">
        <f>BI423*(1/(1+INDEX($Q423:$AJ423,1,(BJ$4-1)*5+4)))^(1+INDEX($Q423:$AJ423,1,(BJ$4-1)*5+2))*(1+BJ$7)^INDEX($Q423:$AJ423,1,(BJ$4-1)*5+1)*(BJ293/BI293)^INDEX($Q423:$AJ423,1,(BJ$4-1)*5+2)*(BJ293/BI293)^(INDEX($Q423:$AJ423,1,(BJ$4-1)*5+3)*(1+INDEX($Q423:$AJ423,1,(BJ$4-1)*5+2)))</f>
        <v/>
      </c>
      <c r="BK423" s="25">
        <f>BJ423*(1/(1+INDEX($Q423:$AJ423,1,(BK$4-1)*5+4)))^(1+INDEX($Q423:$AJ423,1,(BK$4-1)*5+2))*(1+BK$7)^INDEX($Q423:$AJ423,1,(BK$4-1)*5+1)*(BK293/BJ293)^INDEX($Q423:$AJ423,1,(BK$4-1)*5+2)*(BK293/BJ293)^(INDEX($Q423:$AJ423,1,(BK$4-1)*5+3)*(1+INDEX($Q423:$AJ423,1,(BK$4-1)*5+2)))</f>
        <v/>
      </c>
      <c r="BL423" s="25">
        <f>BK423*(1/(1+INDEX($Q423:$AJ423,1,(BL$4-1)*5+4)))^(1+INDEX($Q423:$AJ423,1,(BL$4-1)*5+2))*(1+BL$7)^INDEX($Q423:$AJ423,1,(BL$4-1)*5+1)*(BL293/BK293)^INDEX($Q423:$AJ423,1,(BL$4-1)*5+2)*(BL293/BK293)^(INDEX($Q423:$AJ423,1,(BL$4-1)*5+3)*(1+INDEX($Q423:$AJ423,1,(BL$4-1)*5+2)))</f>
        <v/>
      </c>
      <c r="BM423" s="25">
        <f>BL423*(1/(1+INDEX($Q423:$AJ423,1,(BM$4-1)*5+4)))^(1+INDEX($Q423:$AJ423,1,(BM$4-1)*5+2))*(1+BM$7)^INDEX($Q423:$AJ423,1,(BM$4-1)*5+1)*(BM293/BL293)^INDEX($Q423:$AJ423,1,(BM$4-1)*5+2)*(BM293/BL293)^(INDEX($Q423:$AJ423,1,(BM$4-1)*5+3)*(1+INDEX($Q423:$AJ423,1,(BM$4-1)*5+2)))</f>
        <v/>
      </c>
      <c r="BN423" s="25">
        <f>BM423*(1/(1+INDEX($Q423:$AJ423,1,(BN$4-1)*5+4)))^(1+INDEX($Q423:$AJ423,1,(BN$4-1)*5+2))*(1+BN$7)^INDEX($Q423:$AJ423,1,(BN$4-1)*5+1)*(BN293/BM293)^INDEX($Q423:$AJ423,1,(BN$4-1)*5+2)*(BN293/BM293)^(INDEX($Q423:$AJ423,1,(BN$4-1)*5+3)*(1+INDEX($Q423:$AJ423,1,(BN$4-1)*5+2)))</f>
        <v/>
      </c>
    </row>
    <row r="424">
      <c r="B424" s="5" t="inlineStr">
        <is>
          <t>bio</t>
        </is>
      </c>
      <c r="C424" s="5" t="inlineStr">
        <is>
          <t>avi</t>
        </is>
      </c>
      <c r="D424" s="5" t="inlineStr">
        <is>
          <t>Fuel use | Domestic aviation | Biomass</t>
        </is>
      </c>
      <c r="E424" s="5" t="inlineStr">
        <is>
          <t>ktoe</t>
        </is>
      </c>
      <c r="F424" s="5" t="inlineStr">
        <is>
          <t>EnergyCons (base year), Elasticities</t>
        </is>
      </c>
      <c r="G424" s="19" t="inlineStr">
        <is>
          <t>mit.enc.bio.avi</t>
        </is>
      </c>
      <c r="H424" s="19" t="inlineStr">
        <is>
          <t>mit.enc.bio.avi</t>
        </is>
      </c>
      <c r="J424" s="5">
        <f>INDEX(Mapping!$C$5:$C$20,MATCH($C424,Mapping!$A$5:$A$20,0))</f>
        <v/>
      </c>
      <c r="K424" s="5">
        <f>INDEX(Mapping!$D$5:$D$20,MATCH($C424,Mapping!$A$5:$A$20,0))</f>
        <v/>
      </c>
      <c r="L424" s="5">
        <f>INDEX(Mapping!$C$24:$C$31,MATCH($B424,Mapping!$A$24:$A$31,0))</f>
        <v/>
      </c>
      <c r="M424" s="5">
        <f>INDEX(Mapping!$D$24:$D$31,MATCH($B424,Mapping!$A$24:$A$31,0))</f>
        <v/>
      </c>
      <c r="N424" s="5">
        <f>$B424&amp;"."&amp;IF(INDEX(Mapping!$E$24:$E$31,MATCH($B424,Mapping!$A$24:$A$31,0))="sub",INDEX(Mapping!$F$5:$F$20,MATCH($C424,Mapping!$A$5:$A$20,0)),"all")</f>
        <v/>
      </c>
      <c r="O424" s="5">
        <f>INDEX(Mapping!$E$5:$E$20,MATCH($C424,Mapping!$A$5:$A$20,0))</f>
        <v/>
      </c>
      <c r="P424" s="5">
        <f>INDEX(Mapping!$G$24:$G$31,MATCH($B424,Mapping!$A$24:$A$31,0))</f>
        <v/>
      </c>
      <c r="Q424" s="22">
        <f>INDEX(Elasticities!$F$4:$I$200,MATCH("inc|"&amp;$L424&amp;"|"&amp;$K424,Elasticities!$A$4:$A$200,0),MATCH(Settings!$C$6,Elasticities!$F$3:$I$3,0))</f>
        <v/>
      </c>
      <c r="R424" s="22">
        <f>INDEX(Elasticities!$F$4:$I$200,MATCH("usg|"&amp;$L424&amp;"|"&amp;$K424,Elasticities!$A$4:$A$200,0),MATCH(Settings!$C$6,Elasticities!$F$3:$I$3,0))</f>
        <v/>
      </c>
      <c r="S424" s="22">
        <f>INDEX(Elasticities!$F$4:$I$200,MATCH("eff|"&amp;$L424&amp;"|"&amp;$K424,Elasticities!$A$4:$A$200,0),MATCH(Settings!$C$6,Elasticities!$F$3:$I$3,0))</f>
        <v/>
      </c>
      <c r="T424" s="22">
        <f>INDEX(Elasticities!$F$4:$I$200,MATCH("aei|"&amp;$M424&amp;"|"&amp;$K424,Elasticities!$A$4:$A$200,0),MATCH(Settings!$C$6,Elasticities!$F$3:$I$3,0))</f>
        <v/>
      </c>
      <c r="U424" s="21" t="n"/>
      <c r="V424" s="22">
        <f>Q424</f>
        <v/>
      </c>
      <c r="W424" s="22">
        <f>R424</f>
        <v/>
      </c>
      <c r="X424" s="22">
        <f>S424</f>
        <v/>
      </c>
      <c r="Y424" s="22">
        <f>T424</f>
        <v/>
      </c>
      <c r="Z424" s="21" t="n"/>
      <c r="AA424" s="22">
        <f>Q424</f>
        <v/>
      </c>
      <c r="AB424" s="22">
        <f>R424</f>
        <v/>
      </c>
      <c r="AC424" s="22">
        <f>S424</f>
        <v/>
      </c>
      <c r="AD424" s="22">
        <f>T424</f>
        <v/>
      </c>
      <c r="AE424" s="21" t="n"/>
      <c r="AF424" s="22">
        <f>Q424</f>
        <v/>
      </c>
      <c r="AG424" s="22">
        <f>R424</f>
        <v/>
      </c>
      <c r="AH424" s="22">
        <f>S424</f>
        <v/>
      </c>
      <c r="AI424" s="22">
        <f>T424</f>
        <v/>
      </c>
      <c r="AJ424" s="21" t="n"/>
      <c r="AL424" s="24">
        <f>INDEX(EnergyCons!$F$4:$F$5000,MATCH(Settings!$C$4&amp;"|"&amp;AL$5&amp;"|"&amp;$C424&amp;"|"&amp;$B424,EnergyCons!$A$4:$A$5000,0))</f>
        <v/>
      </c>
      <c r="AM424" s="25">
        <f>AL424*(1/(1+INDEX($Q424:$AJ424,1,(AM$4-1)*5+4)))^(1+INDEX($Q424:$AJ424,1,(AM$4-1)*5+2))*(1+AM$7)^INDEX($Q424:$AJ424,1,(AM$4-1)*5+1)*(AM294/AL294)^INDEX($Q424:$AJ424,1,(AM$4-1)*5+2)*(AM294/AL294)^(INDEX($Q424:$AJ424,1,(AM$4-1)*5+3)*(1+INDEX($Q424:$AJ424,1,(AM$4-1)*5+2)))</f>
        <v/>
      </c>
      <c r="AN424" s="25">
        <f>AM424*(1/(1+INDEX($Q424:$AJ424,1,(AN$4-1)*5+4)))^(1+INDEX($Q424:$AJ424,1,(AN$4-1)*5+2))*(1+AN$7)^INDEX($Q424:$AJ424,1,(AN$4-1)*5+1)*(AN294/AM294)^INDEX($Q424:$AJ424,1,(AN$4-1)*5+2)*(AN294/AM294)^(INDEX($Q424:$AJ424,1,(AN$4-1)*5+3)*(1+INDEX($Q424:$AJ424,1,(AN$4-1)*5+2)))</f>
        <v/>
      </c>
      <c r="AO424" s="25">
        <f>AN424*(1/(1+INDEX($Q424:$AJ424,1,(AO$4-1)*5+4)))^(1+INDEX($Q424:$AJ424,1,(AO$4-1)*5+2))*(1+AO$7)^INDEX($Q424:$AJ424,1,(AO$4-1)*5+1)*(AO294/AN294)^INDEX($Q424:$AJ424,1,(AO$4-1)*5+2)*(AO294/AN294)^(INDEX($Q424:$AJ424,1,(AO$4-1)*5+3)*(1+INDEX($Q424:$AJ424,1,(AO$4-1)*5+2)))</f>
        <v/>
      </c>
      <c r="AP424" s="25">
        <f>AO424*(1/(1+INDEX($Q424:$AJ424,1,(AP$4-1)*5+4)))^(1+INDEX($Q424:$AJ424,1,(AP$4-1)*5+2))*(1+AP$7)^INDEX($Q424:$AJ424,1,(AP$4-1)*5+1)*(AP294/AO294)^INDEX($Q424:$AJ424,1,(AP$4-1)*5+2)*(AP294/AO294)^(INDEX($Q424:$AJ424,1,(AP$4-1)*5+3)*(1+INDEX($Q424:$AJ424,1,(AP$4-1)*5+2)))</f>
        <v/>
      </c>
      <c r="AQ424" s="25">
        <f>AP424*(1/(1+INDEX($Q424:$AJ424,1,(AQ$4-1)*5+4)))^(1+INDEX($Q424:$AJ424,1,(AQ$4-1)*5+2))*(1+AQ$7)^INDEX($Q424:$AJ424,1,(AQ$4-1)*5+1)*(AQ294/AP294)^INDEX($Q424:$AJ424,1,(AQ$4-1)*5+2)*(AQ294/AP294)^(INDEX($Q424:$AJ424,1,(AQ$4-1)*5+3)*(1+INDEX($Q424:$AJ424,1,(AQ$4-1)*5+2)))</f>
        <v/>
      </c>
      <c r="AR424" s="25">
        <f>AQ424*(1/(1+INDEX($Q424:$AJ424,1,(AR$4-1)*5+4)))^(1+INDEX($Q424:$AJ424,1,(AR$4-1)*5+2))*(1+AR$7)^INDEX($Q424:$AJ424,1,(AR$4-1)*5+1)*(AR294/AQ294)^INDEX($Q424:$AJ424,1,(AR$4-1)*5+2)*(AR294/AQ294)^(INDEX($Q424:$AJ424,1,(AR$4-1)*5+3)*(1+INDEX($Q424:$AJ424,1,(AR$4-1)*5+2)))</f>
        <v/>
      </c>
      <c r="AS424" s="25">
        <f>AR424*(1/(1+INDEX($Q424:$AJ424,1,(AS$4-1)*5+4)))^(1+INDEX($Q424:$AJ424,1,(AS$4-1)*5+2))*(1+AS$7)^INDEX($Q424:$AJ424,1,(AS$4-1)*5+1)*(AS294/AR294)^INDEX($Q424:$AJ424,1,(AS$4-1)*5+2)*(AS294/AR294)^(INDEX($Q424:$AJ424,1,(AS$4-1)*5+3)*(1+INDEX($Q424:$AJ424,1,(AS$4-1)*5+2)))</f>
        <v/>
      </c>
      <c r="AT424" s="25">
        <f>AS424*(1/(1+INDEX($Q424:$AJ424,1,(AT$4-1)*5+4)))^(1+INDEX($Q424:$AJ424,1,(AT$4-1)*5+2))*(1+AT$7)^INDEX($Q424:$AJ424,1,(AT$4-1)*5+1)*(AT294/AS294)^INDEX($Q424:$AJ424,1,(AT$4-1)*5+2)*(AT294/AS294)^(INDEX($Q424:$AJ424,1,(AT$4-1)*5+3)*(1+INDEX($Q424:$AJ424,1,(AT$4-1)*5+2)))</f>
        <v/>
      </c>
      <c r="AU424" s="25">
        <f>AT424*(1/(1+INDEX($Q424:$AJ424,1,(AU$4-1)*5+4)))^(1+INDEX($Q424:$AJ424,1,(AU$4-1)*5+2))*(1+AU$7)^INDEX($Q424:$AJ424,1,(AU$4-1)*5+1)*(AU294/AT294)^INDEX($Q424:$AJ424,1,(AU$4-1)*5+2)*(AU294/AT294)^(INDEX($Q424:$AJ424,1,(AU$4-1)*5+3)*(1+INDEX($Q424:$AJ424,1,(AU$4-1)*5+2)))</f>
        <v/>
      </c>
      <c r="AV424" s="25">
        <f>AU424*(1/(1+INDEX($Q424:$AJ424,1,(AV$4-1)*5+4)))^(1+INDEX($Q424:$AJ424,1,(AV$4-1)*5+2))*(1+AV$7)^INDEX($Q424:$AJ424,1,(AV$4-1)*5+1)*(AV294/AU294)^INDEX($Q424:$AJ424,1,(AV$4-1)*5+2)*(AV294/AU294)^(INDEX($Q424:$AJ424,1,(AV$4-1)*5+3)*(1+INDEX($Q424:$AJ424,1,(AV$4-1)*5+2)))</f>
        <v/>
      </c>
      <c r="AW424" s="25">
        <f>AV424*(1/(1+INDEX($Q424:$AJ424,1,(AW$4-1)*5+4)))^(1+INDEX($Q424:$AJ424,1,(AW$4-1)*5+2))*(1+AW$7)^INDEX($Q424:$AJ424,1,(AW$4-1)*5+1)*(AW294/AV294)^INDEX($Q424:$AJ424,1,(AW$4-1)*5+2)*(AW294/AV294)^(INDEX($Q424:$AJ424,1,(AW$4-1)*5+3)*(1+INDEX($Q424:$AJ424,1,(AW$4-1)*5+2)))</f>
        <v/>
      </c>
      <c r="AX424" s="25">
        <f>AW424*(1/(1+INDEX($Q424:$AJ424,1,(AX$4-1)*5+4)))^(1+INDEX($Q424:$AJ424,1,(AX$4-1)*5+2))*(1+AX$7)^INDEX($Q424:$AJ424,1,(AX$4-1)*5+1)*(AX294/AW294)^INDEX($Q424:$AJ424,1,(AX$4-1)*5+2)*(AX294/AW294)^(INDEX($Q424:$AJ424,1,(AX$4-1)*5+3)*(1+INDEX($Q424:$AJ424,1,(AX$4-1)*5+2)))</f>
        <v/>
      </c>
      <c r="AY424" s="25">
        <f>AX424*(1/(1+INDEX($Q424:$AJ424,1,(AY$4-1)*5+4)))^(1+INDEX($Q424:$AJ424,1,(AY$4-1)*5+2))*(1+AY$7)^INDEX($Q424:$AJ424,1,(AY$4-1)*5+1)*(AY294/AX294)^INDEX($Q424:$AJ424,1,(AY$4-1)*5+2)*(AY294/AX294)^(INDEX($Q424:$AJ424,1,(AY$4-1)*5+3)*(1+INDEX($Q424:$AJ424,1,(AY$4-1)*5+2)))</f>
        <v/>
      </c>
      <c r="BA424" s="24">
        <f>INDEX(EnergyCons!$F$4:$F$5000,MATCH(Settings!$C$4&amp;"|"&amp;BA$5&amp;"|"&amp;$C424&amp;"|"&amp;$B424,EnergyCons!$A$4:$A$5000,0))</f>
        <v/>
      </c>
      <c r="BB424" s="25">
        <f>BA424*(1/(1+INDEX($Q424:$AJ424,1,(BB$4-1)*5+4)))^(1+INDEX($Q424:$AJ424,1,(BB$4-1)*5+2))*(1+BB$7)^INDEX($Q424:$AJ424,1,(BB$4-1)*5+1)*(BB294/BA294)^INDEX($Q424:$AJ424,1,(BB$4-1)*5+2)*(BB294/BA294)^(INDEX($Q424:$AJ424,1,(BB$4-1)*5+3)*(1+INDEX($Q424:$AJ424,1,(BB$4-1)*5+2)))</f>
        <v/>
      </c>
      <c r="BC424" s="25">
        <f>BB424*(1/(1+INDEX($Q424:$AJ424,1,(BC$4-1)*5+4)))^(1+INDEX($Q424:$AJ424,1,(BC$4-1)*5+2))*(1+BC$7)^INDEX($Q424:$AJ424,1,(BC$4-1)*5+1)*(BC294/BB294)^INDEX($Q424:$AJ424,1,(BC$4-1)*5+2)*(BC294/BB294)^(INDEX($Q424:$AJ424,1,(BC$4-1)*5+3)*(1+INDEX($Q424:$AJ424,1,(BC$4-1)*5+2)))</f>
        <v/>
      </c>
      <c r="BD424" s="25">
        <f>BC424*(1/(1+INDEX($Q424:$AJ424,1,(BD$4-1)*5+4)))^(1+INDEX($Q424:$AJ424,1,(BD$4-1)*5+2))*(1+BD$7)^INDEX($Q424:$AJ424,1,(BD$4-1)*5+1)*(BD294/BC294)^INDEX($Q424:$AJ424,1,(BD$4-1)*5+2)*(BD294/BC294)^(INDEX($Q424:$AJ424,1,(BD$4-1)*5+3)*(1+INDEX($Q424:$AJ424,1,(BD$4-1)*5+2)))</f>
        <v/>
      </c>
      <c r="BE424" s="25">
        <f>BD424*(1/(1+INDEX($Q424:$AJ424,1,(BE$4-1)*5+4)))^(1+INDEX($Q424:$AJ424,1,(BE$4-1)*5+2))*(1+BE$7)^INDEX($Q424:$AJ424,1,(BE$4-1)*5+1)*(BE294/BD294)^INDEX($Q424:$AJ424,1,(BE$4-1)*5+2)*(BE294/BD294)^(INDEX($Q424:$AJ424,1,(BE$4-1)*5+3)*(1+INDEX($Q424:$AJ424,1,(BE$4-1)*5+2)))</f>
        <v/>
      </c>
      <c r="BF424" s="25">
        <f>BE424*(1/(1+INDEX($Q424:$AJ424,1,(BF$4-1)*5+4)))^(1+INDEX($Q424:$AJ424,1,(BF$4-1)*5+2))*(1+BF$7)^INDEX($Q424:$AJ424,1,(BF$4-1)*5+1)*(BF294/BE294)^INDEX($Q424:$AJ424,1,(BF$4-1)*5+2)*(BF294/BE294)^(INDEX($Q424:$AJ424,1,(BF$4-1)*5+3)*(1+INDEX($Q424:$AJ424,1,(BF$4-1)*5+2)))</f>
        <v/>
      </c>
      <c r="BG424" s="25">
        <f>BF424*(1/(1+INDEX($Q424:$AJ424,1,(BG$4-1)*5+4)))^(1+INDEX($Q424:$AJ424,1,(BG$4-1)*5+2))*(1+BG$7)^INDEX($Q424:$AJ424,1,(BG$4-1)*5+1)*(BG294/BF294)^INDEX($Q424:$AJ424,1,(BG$4-1)*5+2)*(BG294/BF294)^(INDEX($Q424:$AJ424,1,(BG$4-1)*5+3)*(1+INDEX($Q424:$AJ424,1,(BG$4-1)*5+2)))</f>
        <v/>
      </c>
      <c r="BH424" s="25">
        <f>BG424*(1/(1+INDEX($Q424:$AJ424,1,(BH$4-1)*5+4)))^(1+INDEX($Q424:$AJ424,1,(BH$4-1)*5+2))*(1+BH$7)^INDEX($Q424:$AJ424,1,(BH$4-1)*5+1)*(BH294/BG294)^INDEX($Q424:$AJ424,1,(BH$4-1)*5+2)*(BH294/BG294)^(INDEX($Q424:$AJ424,1,(BH$4-1)*5+3)*(1+INDEX($Q424:$AJ424,1,(BH$4-1)*5+2)))</f>
        <v/>
      </c>
      <c r="BI424" s="25">
        <f>BH424*(1/(1+INDEX($Q424:$AJ424,1,(BI$4-1)*5+4)))^(1+INDEX($Q424:$AJ424,1,(BI$4-1)*5+2))*(1+BI$7)^INDEX($Q424:$AJ424,1,(BI$4-1)*5+1)*(BI294/BH294)^INDEX($Q424:$AJ424,1,(BI$4-1)*5+2)*(BI294/BH294)^(INDEX($Q424:$AJ424,1,(BI$4-1)*5+3)*(1+INDEX($Q424:$AJ424,1,(BI$4-1)*5+2)))</f>
        <v/>
      </c>
      <c r="BJ424" s="25">
        <f>BI424*(1/(1+INDEX($Q424:$AJ424,1,(BJ$4-1)*5+4)))^(1+INDEX($Q424:$AJ424,1,(BJ$4-1)*5+2))*(1+BJ$7)^INDEX($Q424:$AJ424,1,(BJ$4-1)*5+1)*(BJ294/BI294)^INDEX($Q424:$AJ424,1,(BJ$4-1)*5+2)*(BJ294/BI294)^(INDEX($Q424:$AJ424,1,(BJ$4-1)*5+3)*(1+INDEX($Q424:$AJ424,1,(BJ$4-1)*5+2)))</f>
        <v/>
      </c>
      <c r="BK424" s="25">
        <f>BJ424*(1/(1+INDEX($Q424:$AJ424,1,(BK$4-1)*5+4)))^(1+INDEX($Q424:$AJ424,1,(BK$4-1)*5+2))*(1+BK$7)^INDEX($Q424:$AJ424,1,(BK$4-1)*5+1)*(BK294/BJ294)^INDEX($Q424:$AJ424,1,(BK$4-1)*5+2)*(BK294/BJ294)^(INDEX($Q424:$AJ424,1,(BK$4-1)*5+3)*(1+INDEX($Q424:$AJ424,1,(BK$4-1)*5+2)))</f>
        <v/>
      </c>
      <c r="BL424" s="25">
        <f>BK424*(1/(1+INDEX($Q424:$AJ424,1,(BL$4-1)*5+4)))^(1+INDEX($Q424:$AJ424,1,(BL$4-1)*5+2))*(1+BL$7)^INDEX($Q424:$AJ424,1,(BL$4-1)*5+1)*(BL294/BK294)^INDEX($Q424:$AJ424,1,(BL$4-1)*5+2)*(BL294/BK294)^(INDEX($Q424:$AJ424,1,(BL$4-1)*5+3)*(1+INDEX($Q424:$AJ424,1,(BL$4-1)*5+2)))</f>
        <v/>
      </c>
      <c r="BM424" s="25">
        <f>BL424*(1/(1+INDEX($Q424:$AJ424,1,(BM$4-1)*5+4)))^(1+INDEX($Q424:$AJ424,1,(BM$4-1)*5+2))*(1+BM$7)^INDEX($Q424:$AJ424,1,(BM$4-1)*5+1)*(BM294/BL294)^INDEX($Q424:$AJ424,1,(BM$4-1)*5+2)*(BM294/BL294)^(INDEX($Q424:$AJ424,1,(BM$4-1)*5+3)*(1+INDEX($Q424:$AJ424,1,(BM$4-1)*5+2)))</f>
        <v/>
      </c>
      <c r="BN424" s="25">
        <f>BM424*(1/(1+INDEX($Q424:$AJ424,1,(BN$4-1)*5+4)))^(1+INDEX($Q424:$AJ424,1,(BN$4-1)*5+2))*(1+BN$7)^INDEX($Q424:$AJ424,1,(BN$4-1)*5+1)*(BN294/BM294)^INDEX($Q424:$AJ424,1,(BN$4-1)*5+2)*(BN294/BM294)^(INDEX($Q424:$AJ424,1,(BN$4-1)*5+3)*(1+INDEX($Q424:$AJ424,1,(BN$4-1)*5+2)))</f>
        <v/>
      </c>
    </row>
    <row r="425">
      <c r="B425" s="5" t="inlineStr">
        <is>
          <t>coa</t>
        </is>
      </c>
      <c r="C425" s="5" t="inlineStr">
        <is>
          <t>nav</t>
        </is>
      </c>
      <c r="D425" s="5" t="inlineStr">
        <is>
          <t>Fuel use | Domestic navigation | Coal</t>
        </is>
      </c>
      <c r="E425" s="5" t="inlineStr">
        <is>
          <t>ktoe</t>
        </is>
      </c>
      <c r="F425" s="5" t="inlineStr">
        <is>
          <t>EnergyCons (base year), Elasticities</t>
        </is>
      </c>
      <c r="G425" s="19" t="inlineStr">
        <is>
          <t>mit.enc.coa.nav</t>
        </is>
      </c>
      <c r="H425" s="19" t="inlineStr">
        <is>
          <t>mit.enc.coa.nav</t>
        </is>
      </c>
      <c r="J425" s="5">
        <f>INDEX(Mapping!$C$5:$C$20,MATCH($C425,Mapping!$A$5:$A$20,0))</f>
        <v/>
      </c>
      <c r="K425" s="5">
        <f>INDEX(Mapping!$D$5:$D$20,MATCH($C425,Mapping!$A$5:$A$20,0))</f>
        <v/>
      </c>
      <c r="L425" s="5">
        <f>INDEX(Mapping!$C$24:$C$31,MATCH($B425,Mapping!$A$24:$A$31,0))</f>
        <v/>
      </c>
      <c r="M425" s="5">
        <f>INDEX(Mapping!$D$24:$D$31,MATCH($B425,Mapping!$A$24:$A$31,0))</f>
        <v/>
      </c>
      <c r="N425" s="5">
        <f>$B425&amp;"."&amp;IF(INDEX(Mapping!$E$24:$E$31,MATCH($B425,Mapping!$A$24:$A$31,0))="sub",INDEX(Mapping!$F$5:$F$20,MATCH($C425,Mapping!$A$5:$A$20,0)),"all")</f>
        <v/>
      </c>
      <c r="O425" s="5">
        <f>INDEX(Mapping!$E$5:$E$20,MATCH($C425,Mapping!$A$5:$A$20,0))</f>
        <v/>
      </c>
      <c r="P425" s="5">
        <f>INDEX(Mapping!$G$24:$G$31,MATCH($B425,Mapping!$A$24:$A$31,0))</f>
        <v/>
      </c>
      <c r="Q425" s="22">
        <f>INDEX(Elasticities!$F$4:$I$200,MATCH("inc|"&amp;$L425&amp;"|"&amp;$K425,Elasticities!$A$4:$A$200,0),MATCH(Settings!$C$6,Elasticities!$F$3:$I$3,0))</f>
        <v/>
      </c>
      <c r="R425" s="22">
        <f>INDEX(Elasticities!$F$4:$I$200,MATCH("usg|"&amp;$L425&amp;"|"&amp;$K425,Elasticities!$A$4:$A$200,0),MATCH(Settings!$C$6,Elasticities!$F$3:$I$3,0))</f>
        <v/>
      </c>
      <c r="S425" s="22">
        <f>INDEX(Elasticities!$F$4:$I$200,MATCH("eff|"&amp;$L425&amp;"|"&amp;$K425,Elasticities!$A$4:$A$200,0),MATCH(Settings!$C$6,Elasticities!$F$3:$I$3,0))</f>
        <v/>
      </c>
      <c r="T425" s="22">
        <f>INDEX(Elasticities!$F$4:$I$200,MATCH("aei|"&amp;$M425&amp;"|"&amp;$K425,Elasticities!$A$4:$A$200,0),MATCH(Settings!$C$6,Elasticities!$F$3:$I$3,0))</f>
        <v/>
      </c>
      <c r="U425" s="21" t="n"/>
      <c r="V425" s="22">
        <f>Q425</f>
        <v/>
      </c>
      <c r="W425" s="22">
        <f>R425</f>
        <v/>
      </c>
      <c r="X425" s="22">
        <f>S425</f>
        <v/>
      </c>
      <c r="Y425" s="22">
        <f>T425</f>
        <v/>
      </c>
      <c r="Z425" s="21" t="n"/>
      <c r="AA425" s="22">
        <f>Q425</f>
        <v/>
      </c>
      <c r="AB425" s="22">
        <f>R425</f>
        <v/>
      </c>
      <c r="AC425" s="22">
        <f>S425</f>
        <v/>
      </c>
      <c r="AD425" s="22">
        <f>T425</f>
        <v/>
      </c>
      <c r="AE425" s="21" t="n"/>
      <c r="AF425" s="22">
        <f>Q425</f>
        <v/>
      </c>
      <c r="AG425" s="22">
        <f>R425</f>
        <v/>
      </c>
      <c r="AH425" s="22">
        <f>S425</f>
        <v/>
      </c>
      <c r="AI425" s="22">
        <f>T425</f>
        <v/>
      </c>
      <c r="AJ425" s="21" t="n"/>
      <c r="AL425" s="24">
        <f>INDEX(EnergyCons!$F$4:$F$5000,MATCH(Settings!$C$4&amp;"|"&amp;AL$5&amp;"|"&amp;$C425&amp;"|"&amp;$B425,EnergyCons!$A$4:$A$5000,0))</f>
        <v/>
      </c>
      <c r="AM425" s="25">
        <f>AL425*(1/(1+INDEX($Q425:$AJ425,1,(AM$4-1)*5+4)))^(1+INDEX($Q425:$AJ425,1,(AM$4-1)*5+2))*(1+AM$7)^INDEX($Q425:$AJ425,1,(AM$4-1)*5+1)*(AM295/AL295)^INDEX($Q425:$AJ425,1,(AM$4-1)*5+2)*(AM295/AL295)^(INDEX($Q425:$AJ425,1,(AM$4-1)*5+3)*(1+INDEX($Q425:$AJ425,1,(AM$4-1)*5+2)))</f>
        <v/>
      </c>
      <c r="AN425" s="25">
        <f>AM425*(1/(1+INDEX($Q425:$AJ425,1,(AN$4-1)*5+4)))^(1+INDEX($Q425:$AJ425,1,(AN$4-1)*5+2))*(1+AN$7)^INDEX($Q425:$AJ425,1,(AN$4-1)*5+1)*(AN295/AM295)^INDEX($Q425:$AJ425,1,(AN$4-1)*5+2)*(AN295/AM295)^(INDEX($Q425:$AJ425,1,(AN$4-1)*5+3)*(1+INDEX($Q425:$AJ425,1,(AN$4-1)*5+2)))</f>
        <v/>
      </c>
      <c r="AO425" s="25">
        <f>AN425*(1/(1+INDEX($Q425:$AJ425,1,(AO$4-1)*5+4)))^(1+INDEX($Q425:$AJ425,1,(AO$4-1)*5+2))*(1+AO$7)^INDEX($Q425:$AJ425,1,(AO$4-1)*5+1)*(AO295/AN295)^INDEX($Q425:$AJ425,1,(AO$4-1)*5+2)*(AO295/AN295)^(INDEX($Q425:$AJ425,1,(AO$4-1)*5+3)*(1+INDEX($Q425:$AJ425,1,(AO$4-1)*5+2)))</f>
        <v/>
      </c>
      <c r="AP425" s="25">
        <f>AO425*(1/(1+INDEX($Q425:$AJ425,1,(AP$4-1)*5+4)))^(1+INDEX($Q425:$AJ425,1,(AP$4-1)*5+2))*(1+AP$7)^INDEX($Q425:$AJ425,1,(AP$4-1)*5+1)*(AP295/AO295)^INDEX($Q425:$AJ425,1,(AP$4-1)*5+2)*(AP295/AO295)^(INDEX($Q425:$AJ425,1,(AP$4-1)*5+3)*(1+INDEX($Q425:$AJ425,1,(AP$4-1)*5+2)))</f>
        <v/>
      </c>
      <c r="AQ425" s="25">
        <f>AP425*(1/(1+INDEX($Q425:$AJ425,1,(AQ$4-1)*5+4)))^(1+INDEX($Q425:$AJ425,1,(AQ$4-1)*5+2))*(1+AQ$7)^INDEX($Q425:$AJ425,1,(AQ$4-1)*5+1)*(AQ295/AP295)^INDEX($Q425:$AJ425,1,(AQ$4-1)*5+2)*(AQ295/AP295)^(INDEX($Q425:$AJ425,1,(AQ$4-1)*5+3)*(1+INDEX($Q425:$AJ425,1,(AQ$4-1)*5+2)))</f>
        <v/>
      </c>
      <c r="AR425" s="25">
        <f>AQ425*(1/(1+INDEX($Q425:$AJ425,1,(AR$4-1)*5+4)))^(1+INDEX($Q425:$AJ425,1,(AR$4-1)*5+2))*(1+AR$7)^INDEX($Q425:$AJ425,1,(AR$4-1)*5+1)*(AR295/AQ295)^INDEX($Q425:$AJ425,1,(AR$4-1)*5+2)*(AR295/AQ295)^(INDEX($Q425:$AJ425,1,(AR$4-1)*5+3)*(1+INDEX($Q425:$AJ425,1,(AR$4-1)*5+2)))</f>
        <v/>
      </c>
      <c r="AS425" s="25">
        <f>AR425*(1/(1+INDEX($Q425:$AJ425,1,(AS$4-1)*5+4)))^(1+INDEX($Q425:$AJ425,1,(AS$4-1)*5+2))*(1+AS$7)^INDEX($Q425:$AJ425,1,(AS$4-1)*5+1)*(AS295/AR295)^INDEX($Q425:$AJ425,1,(AS$4-1)*5+2)*(AS295/AR295)^(INDEX($Q425:$AJ425,1,(AS$4-1)*5+3)*(1+INDEX($Q425:$AJ425,1,(AS$4-1)*5+2)))</f>
        <v/>
      </c>
      <c r="AT425" s="25">
        <f>AS425*(1/(1+INDEX($Q425:$AJ425,1,(AT$4-1)*5+4)))^(1+INDEX($Q425:$AJ425,1,(AT$4-1)*5+2))*(1+AT$7)^INDEX($Q425:$AJ425,1,(AT$4-1)*5+1)*(AT295/AS295)^INDEX($Q425:$AJ425,1,(AT$4-1)*5+2)*(AT295/AS295)^(INDEX($Q425:$AJ425,1,(AT$4-1)*5+3)*(1+INDEX($Q425:$AJ425,1,(AT$4-1)*5+2)))</f>
        <v/>
      </c>
      <c r="AU425" s="25">
        <f>AT425*(1/(1+INDEX($Q425:$AJ425,1,(AU$4-1)*5+4)))^(1+INDEX($Q425:$AJ425,1,(AU$4-1)*5+2))*(1+AU$7)^INDEX($Q425:$AJ425,1,(AU$4-1)*5+1)*(AU295/AT295)^INDEX($Q425:$AJ425,1,(AU$4-1)*5+2)*(AU295/AT295)^(INDEX($Q425:$AJ425,1,(AU$4-1)*5+3)*(1+INDEX($Q425:$AJ425,1,(AU$4-1)*5+2)))</f>
        <v/>
      </c>
      <c r="AV425" s="25">
        <f>AU425*(1/(1+INDEX($Q425:$AJ425,1,(AV$4-1)*5+4)))^(1+INDEX($Q425:$AJ425,1,(AV$4-1)*5+2))*(1+AV$7)^INDEX($Q425:$AJ425,1,(AV$4-1)*5+1)*(AV295/AU295)^INDEX($Q425:$AJ425,1,(AV$4-1)*5+2)*(AV295/AU295)^(INDEX($Q425:$AJ425,1,(AV$4-1)*5+3)*(1+INDEX($Q425:$AJ425,1,(AV$4-1)*5+2)))</f>
        <v/>
      </c>
      <c r="AW425" s="25">
        <f>AV425*(1/(1+INDEX($Q425:$AJ425,1,(AW$4-1)*5+4)))^(1+INDEX($Q425:$AJ425,1,(AW$4-1)*5+2))*(1+AW$7)^INDEX($Q425:$AJ425,1,(AW$4-1)*5+1)*(AW295/AV295)^INDEX($Q425:$AJ425,1,(AW$4-1)*5+2)*(AW295/AV295)^(INDEX($Q425:$AJ425,1,(AW$4-1)*5+3)*(1+INDEX($Q425:$AJ425,1,(AW$4-1)*5+2)))</f>
        <v/>
      </c>
      <c r="AX425" s="25">
        <f>AW425*(1/(1+INDEX($Q425:$AJ425,1,(AX$4-1)*5+4)))^(1+INDEX($Q425:$AJ425,1,(AX$4-1)*5+2))*(1+AX$7)^INDEX($Q425:$AJ425,1,(AX$4-1)*5+1)*(AX295/AW295)^INDEX($Q425:$AJ425,1,(AX$4-1)*5+2)*(AX295/AW295)^(INDEX($Q425:$AJ425,1,(AX$4-1)*5+3)*(1+INDEX($Q425:$AJ425,1,(AX$4-1)*5+2)))</f>
        <v/>
      </c>
      <c r="AY425" s="25">
        <f>AX425*(1/(1+INDEX($Q425:$AJ425,1,(AY$4-1)*5+4)))^(1+INDEX($Q425:$AJ425,1,(AY$4-1)*5+2))*(1+AY$7)^INDEX($Q425:$AJ425,1,(AY$4-1)*5+1)*(AY295/AX295)^INDEX($Q425:$AJ425,1,(AY$4-1)*5+2)*(AY295/AX295)^(INDEX($Q425:$AJ425,1,(AY$4-1)*5+3)*(1+INDEX($Q425:$AJ425,1,(AY$4-1)*5+2)))</f>
        <v/>
      </c>
      <c r="BA425" s="24">
        <f>INDEX(EnergyCons!$F$4:$F$5000,MATCH(Settings!$C$4&amp;"|"&amp;BA$5&amp;"|"&amp;$C425&amp;"|"&amp;$B425,EnergyCons!$A$4:$A$5000,0))</f>
        <v/>
      </c>
      <c r="BB425" s="25">
        <f>BA425*(1/(1+INDEX($Q425:$AJ425,1,(BB$4-1)*5+4)))^(1+INDEX($Q425:$AJ425,1,(BB$4-1)*5+2))*(1+BB$7)^INDEX($Q425:$AJ425,1,(BB$4-1)*5+1)*(BB295/BA295)^INDEX($Q425:$AJ425,1,(BB$4-1)*5+2)*(BB295/BA295)^(INDEX($Q425:$AJ425,1,(BB$4-1)*5+3)*(1+INDEX($Q425:$AJ425,1,(BB$4-1)*5+2)))</f>
        <v/>
      </c>
      <c r="BC425" s="25">
        <f>BB425*(1/(1+INDEX($Q425:$AJ425,1,(BC$4-1)*5+4)))^(1+INDEX($Q425:$AJ425,1,(BC$4-1)*5+2))*(1+BC$7)^INDEX($Q425:$AJ425,1,(BC$4-1)*5+1)*(BC295/BB295)^INDEX($Q425:$AJ425,1,(BC$4-1)*5+2)*(BC295/BB295)^(INDEX($Q425:$AJ425,1,(BC$4-1)*5+3)*(1+INDEX($Q425:$AJ425,1,(BC$4-1)*5+2)))</f>
        <v/>
      </c>
      <c r="BD425" s="25">
        <f>BC425*(1/(1+INDEX($Q425:$AJ425,1,(BD$4-1)*5+4)))^(1+INDEX($Q425:$AJ425,1,(BD$4-1)*5+2))*(1+BD$7)^INDEX($Q425:$AJ425,1,(BD$4-1)*5+1)*(BD295/BC295)^INDEX($Q425:$AJ425,1,(BD$4-1)*5+2)*(BD295/BC295)^(INDEX($Q425:$AJ425,1,(BD$4-1)*5+3)*(1+INDEX($Q425:$AJ425,1,(BD$4-1)*5+2)))</f>
        <v/>
      </c>
      <c r="BE425" s="25">
        <f>BD425*(1/(1+INDEX($Q425:$AJ425,1,(BE$4-1)*5+4)))^(1+INDEX($Q425:$AJ425,1,(BE$4-1)*5+2))*(1+BE$7)^INDEX($Q425:$AJ425,1,(BE$4-1)*5+1)*(BE295/BD295)^INDEX($Q425:$AJ425,1,(BE$4-1)*5+2)*(BE295/BD295)^(INDEX($Q425:$AJ425,1,(BE$4-1)*5+3)*(1+INDEX($Q425:$AJ425,1,(BE$4-1)*5+2)))</f>
        <v/>
      </c>
      <c r="BF425" s="25">
        <f>BE425*(1/(1+INDEX($Q425:$AJ425,1,(BF$4-1)*5+4)))^(1+INDEX($Q425:$AJ425,1,(BF$4-1)*5+2))*(1+BF$7)^INDEX($Q425:$AJ425,1,(BF$4-1)*5+1)*(BF295/BE295)^INDEX($Q425:$AJ425,1,(BF$4-1)*5+2)*(BF295/BE295)^(INDEX($Q425:$AJ425,1,(BF$4-1)*5+3)*(1+INDEX($Q425:$AJ425,1,(BF$4-1)*5+2)))</f>
        <v/>
      </c>
      <c r="BG425" s="25">
        <f>BF425*(1/(1+INDEX($Q425:$AJ425,1,(BG$4-1)*5+4)))^(1+INDEX($Q425:$AJ425,1,(BG$4-1)*5+2))*(1+BG$7)^INDEX($Q425:$AJ425,1,(BG$4-1)*5+1)*(BG295/BF295)^INDEX($Q425:$AJ425,1,(BG$4-1)*5+2)*(BG295/BF295)^(INDEX($Q425:$AJ425,1,(BG$4-1)*5+3)*(1+INDEX($Q425:$AJ425,1,(BG$4-1)*5+2)))</f>
        <v/>
      </c>
      <c r="BH425" s="25">
        <f>BG425*(1/(1+INDEX($Q425:$AJ425,1,(BH$4-1)*5+4)))^(1+INDEX($Q425:$AJ425,1,(BH$4-1)*5+2))*(1+BH$7)^INDEX($Q425:$AJ425,1,(BH$4-1)*5+1)*(BH295/BG295)^INDEX($Q425:$AJ425,1,(BH$4-1)*5+2)*(BH295/BG295)^(INDEX($Q425:$AJ425,1,(BH$4-1)*5+3)*(1+INDEX($Q425:$AJ425,1,(BH$4-1)*5+2)))</f>
        <v/>
      </c>
      <c r="BI425" s="25">
        <f>BH425*(1/(1+INDEX($Q425:$AJ425,1,(BI$4-1)*5+4)))^(1+INDEX($Q425:$AJ425,1,(BI$4-1)*5+2))*(1+BI$7)^INDEX($Q425:$AJ425,1,(BI$4-1)*5+1)*(BI295/BH295)^INDEX($Q425:$AJ425,1,(BI$4-1)*5+2)*(BI295/BH295)^(INDEX($Q425:$AJ425,1,(BI$4-1)*5+3)*(1+INDEX($Q425:$AJ425,1,(BI$4-1)*5+2)))</f>
        <v/>
      </c>
      <c r="BJ425" s="25">
        <f>BI425*(1/(1+INDEX($Q425:$AJ425,1,(BJ$4-1)*5+4)))^(1+INDEX($Q425:$AJ425,1,(BJ$4-1)*5+2))*(1+BJ$7)^INDEX($Q425:$AJ425,1,(BJ$4-1)*5+1)*(BJ295/BI295)^INDEX($Q425:$AJ425,1,(BJ$4-1)*5+2)*(BJ295/BI295)^(INDEX($Q425:$AJ425,1,(BJ$4-1)*5+3)*(1+INDEX($Q425:$AJ425,1,(BJ$4-1)*5+2)))</f>
        <v/>
      </c>
      <c r="BK425" s="25">
        <f>BJ425*(1/(1+INDEX($Q425:$AJ425,1,(BK$4-1)*5+4)))^(1+INDEX($Q425:$AJ425,1,(BK$4-1)*5+2))*(1+BK$7)^INDEX($Q425:$AJ425,1,(BK$4-1)*5+1)*(BK295/BJ295)^INDEX($Q425:$AJ425,1,(BK$4-1)*5+2)*(BK295/BJ295)^(INDEX($Q425:$AJ425,1,(BK$4-1)*5+3)*(1+INDEX($Q425:$AJ425,1,(BK$4-1)*5+2)))</f>
        <v/>
      </c>
      <c r="BL425" s="25">
        <f>BK425*(1/(1+INDEX($Q425:$AJ425,1,(BL$4-1)*5+4)))^(1+INDEX($Q425:$AJ425,1,(BL$4-1)*5+2))*(1+BL$7)^INDEX($Q425:$AJ425,1,(BL$4-1)*5+1)*(BL295/BK295)^INDEX($Q425:$AJ425,1,(BL$4-1)*5+2)*(BL295/BK295)^(INDEX($Q425:$AJ425,1,(BL$4-1)*5+3)*(1+INDEX($Q425:$AJ425,1,(BL$4-1)*5+2)))</f>
        <v/>
      </c>
      <c r="BM425" s="25">
        <f>BL425*(1/(1+INDEX($Q425:$AJ425,1,(BM$4-1)*5+4)))^(1+INDEX($Q425:$AJ425,1,(BM$4-1)*5+2))*(1+BM$7)^INDEX($Q425:$AJ425,1,(BM$4-1)*5+1)*(BM295/BL295)^INDEX($Q425:$AJ425,1,(BM$4-1)*5+2)*(BM295/BL295)^(INDEX($Q425:$AJ425,1,(BM$4-1)*5+3)*(1+INDEX($Q425:$AJ425,1,(BM$4-1)*5+2)))</f>
        <v/>
      </c>
      <c r="BN425" s="25">
        <f>BM425*(1/(1+INDEX($Q425:$AJ425,1,(BN$4-1)*5+4)))^(1+INDEX($Q425:$AJ425,1,(BN$4-1)*5+2))*(1+BN$7)^INDEX($Q425:$AJ425,1,(BN$4-1)*5+1)*(BN295/BM295)^INDEX($Q425:$AJ425,1,(BN$4-1)*5+2)*(BN295/BM295)^(INDEX($Q425:$AJ425,1,(BN$4-1)*5+3)*(1+INDEX($Q425:$AJ425,1,(BN$4-1)*5+2)))</f>
        <v/>
      </c>
    </row>
    <row r="426">
      <c r="B426" s="5" t="inlineStr">
        <is>
          <t>nga</t>
        </is>
      </c>
      <c r="C426" s="5" t="inlineStr">
        <is>
          <t>nav</t>
        </is>
      </c>
      <c r="D426" s="5" t="inlineStr">
        <is>
          <t>Fuel use | Domestic navigation | Natural gas</t>
        </is>
      </c>
      <c r="E426" s="5" t="inlineStr">
        <is>
          <t>ktoe</t>
        </is>
      </c>
      <c r="F426" s="5" t="inlineStr">
        <is>
          <t>EnergyCons (base year), Elasticities</t>
        </is>
      </c>
      <c r="G426" s="19" t="inlineStr">
        <is>
          <t>mit.enc.nga.nav</t>
        </is>
      </c>
      <c r="H426" s="19" t="inlineStr">
        <is>
          <t>mit.enc.nga.nav</t>
        </is>
      </c>
      <c r="J426" s="5">
        <f>INDEX(Mapping!$C$5:$C$20,MATCH($C426,Mapping!$A$5:$A$20,0))</f>
        <v/>
      </c>
      <c r="K426" s="5">
        <f>INDEX(Mapping!$D$5:$D$20,MATCH($C426,Mapping!$A$5:$A$20,0))</f>
        <v/>
      </c>
      <c r="L426" s="5">
        <f>INDEX(Mapping!$C$24:$C$31,MATCH($B426,Mapping!$A$24:$A$31,0))</f>
        <v/>
      </c>
      <c r="M426" s="5">
        <f>INDEX(Mapping!$D$24:$D$31,MATCH($B426,Mapping!$A$24:$A$31,0))</f>
        <v/>
      </c>
      <c r="N426" s="5">
        <f>$B426&amp;"."&amp;IF(INDEX(Mapping!$E$24:$E$31,MATCH($B426,Mapping!$A$24:$A$31,0))="sub",INDEX(Mapping!$F$5:$F$20,MATCH($C426,Mapping!$A$5:$A$20,0)),"all")</f>
        <v/>
      </c>
      <c r="O426" s="5">
        <f>INDEX(Mapping!$E$5:$E$20,MATCH($C426,Mapping!$A$5:$A$20,0))</f>
        <v/>
      </c>
      <c r="P426" s="5">
        <f>INDEX(Mapping!$G$24:$G$31,MATCH($B426,Mapping!$A$24:$A$31,0))</f>
        <v/>
      </c>
      <c r="Q426" s="22">
        <f>INDEX(Elasticities!$F$4:$I$200,MATCH("inc|"&amp;$L426&amp;"|"&amp;$K426,Elasticities!$A$4:$A$200,0),MATCH(Settings!$C$6,Elasticities!$F$3:$I$3,0))</f>
        <v/>
      </c>
      <c r="R426" s="22">
        <f>INDEX(Elasticities!$F$4:$I$200,MATCH("usg|"&amp;$L426&amp;"|"&amp;$K426,Elasticities!$A$4:$A$200,0),MATCH(Settings!$C$6,Elasticities!$F$3:$I$3,0))</f>
        <v/>
      </c>
      <c r="S426" s="22">
        <f>INDEX(Elasticities!$F$4:$I$200,MATCH("eff|"&amp;$L426&amp;"|"&amp;$K426,Elasticities!$A$4:$A$200,0),MATCH(Settings!$C$6,Elasticities!$F$3:$I$3,0))</f>
        <v/>
      </c>
      <c r="T426" s="22">
        <f>INDEX(Elasticities!$F$4:$I$200,MATCH("aei|"&amp;$M426&amp;"|"&amp;$K426,Elasticities!$A$4:$A$200,0),MATCH(Settings!$C$6,Elasticities!$F$3:$I$3,0))</f>
        <v/>
      </c>
      <c r="U426" s="21" t="n"/>
      <c r="V426" s="22">
        <f>Q426</f>
        <v/>
      </c>
      <c r="W426" s="22">
        <f>R426</f>
        <v/>
      </c>
      <c r="X426" s="22">
        <f>S426</f>
        <v/>
      </c>
      <c r="Y426" s="22">
        <f>T426</f>
        <v/>
      </c>
      <c r="Z426" s="21" t="n"/>
      <c r="AA426" s="22">
        <f>Q426</f>
        <v/>
      </c>
      <c r="AB426" s="22">
        <f>R426</f>
        <v/>
      </c>
      <c r="AC426" s="22">
        <f>S426</f>
        <v/>
      </c>
      <c r="AD426" s="22">
        <f>T426</f>
        <v/>
      </c>
      <c r="AE426" s="21" t="n"/>
      <c r="AF426" s="22">
        <f>Q426</f>
        <v/>
      </c>
      <c r="AG426" s="22">
        <f>R426</f>
        <v/>
      </c>
      <c r="AH426" s="22">
        <f>S426</f>
        <v/>
      </c>
      <c r="AI426" s="22">
        <f>T426</f>
        <v/>
      </c>
      <c r="AJ426" s="21" t="n"/>
      <c r="AL426" s="24">
        <f>INDEX(EnergyCons!$F$4:$F$5000,MATCH(Settings!$C$4&amp;"|"&amp;AL$5&amp;"|"&amp;$C426&amp;"|"&amp;$B426,EnergyCons!$A$4:$A$5000,0))</f>
        <v/>
      </c>
      <c r="AM426" s="25">
        <f>AL426*(1/(1+INDEX($Q426:$AJ426,1,(AM$4-1)*5+4)))^(1+INDEX($Q426:$AJ426,1,(AM$4-1)*5+2))*(1+AM$7)^INDEX($Q426:$AJ426,1,(AM$4-1)*5+1)*(AM296/AL296)^INDEX($Q426:$AJ426,1,(AM$4-1)*5+2)*(AM296/AL296)^(INDEX($Q426:$AJ426,1,(AM$4-1)*5+3)*(1+INDEX($Q426:$AJ426,1,(AM$4-1)*5+2)))</f>
        <v/>
      </c>
      <c r="AN426" s="25">
        <f>AM426*(1/(1+INDEX($Q426:$AJ426,1,(AN$4-1)*5+4)))^(1+INDEX($Q426:$AJ426,1,(AN$4-1)*5+2))*(1+AN$7)^INDEX($Q426:$AJ426,1,(AN$4-1)*5+1)*(AN296/AM296)^INDEX($Q426:$AJ426,1,(AN$4-1)*5+2)*(AN296/AM296)^(INDEX($Q426:$AJ426,1,(AN$4-1)*5+3)*(1+INDEX($Q426:$AJ426,1,(AN$4-1)*5+2)))</f>
        <v/>
      </c>
      <c r="AO426" s="25">
        <f>AN426*(1/(1+INDEX($Q426:$AJ426,1,(AO$4-1)*5+4)))^(1+INDEX($Q426:$AJ426,1,(AO$4-1)*5+2))*(1+AO$7)^INDEX($Q426:$AJ426,1,(AO$4-1)*5+1)*(AO296/AN296)^INDEX($Q426:$AJ426,1,(AO$4-1)*5+2)*(AO296/AN296)^(INDEX($Q426:$AJ426,1,(AO$4-1)*5+3)*(1+INDEX($Q426:$AJ426,1,(AO$4-1)*5+2)))</f>
        <v/>
      </c>
      <c r="AP426" s="25">
        <f>AO426*(1/(1+INDEX($Q426:$AJ426,1,(AP$4-1)*5+4)))^(1+INDEX($Q426:$AJ426,1,(AP$4-1)*5+2))*(1+AP$7)^INDEX($Q426:$AJ426,1,(AP$4-1)*5+1)*(AP296/AO296)^INDEX($Q426:$AJ426,1,(AP$4-1)*5+2)*(AP296/AO296)^(INDEX($Q426:$AJ426,1,(AP$4-1)*5+3)*(1+INDEX($Q426:$AJ426,1,(AP$4-1)*5+2)))</f>
        <v/>
      </c>
      <c r="AQ426" s="25">
        <f>AP426*(1/(1+INDEX($Q426:$AJ426,1,(AQ$4-1)*5+4)))^(1+INDEX($Q426:$AJ426,1,(AQ$4-1)*5+2))*(1+AQ$7)^INDEX($Q426:$AJ426,1,(AQ$4-1)*5+1)*(AQ296/AP296)^INDEX($Q426:$AJ426,1,(AQ$4-1)*5+2)*(AQ296/AP296)^(INDEX($Q426:$AJ426,1,(AQ$4-1)*5+3)*(1+INDEX($Q426:$AJ426,1,(AQ$4-1)*5+2)))</f>
        <v/>
      </c>
      <c r="AR426" s="25">
        <f>AQ426*(1/(1+INDEX($Q426:$AJ426,1,(AR$4-1)*5+4)))^(1+INDEX($Q426:$AJ426,1,(AR$4-1)*5+2))*(1+AR$7)^INDEX($Q426:$AJ426,1,(AR$4-1)*5+1)*(AR296/AQ296)^INDEX($Q426:$AJ426,1,(AR$4-1)*5+2)*(AR296/AQ296)^(INDEX($Q426:$AJ426,1,(AR$4-1)*5+3)*(1+INDEX($Q426:$AJ426,1,(AR$4-1)*5+2)))</f>
        <v/>
      </c>
      <c r="AS426" s="25">
        <f>AR426*(1/(1+INDEX($Q426:$AJ426,1,(AS$4-1)*5+4)))^(1+INDEX($Q426:$AJ426,1,(AS$4-1)*5+2))*(1+AS$7)^INDEX($Q426:$AJ426,1,(AS$4-1)*5+1)*(AS296/AR296)^INDEX($Q426:$AJ426,1,(AS$4-1)*5+2)*(AS296/AR296)^(INDEX($Q426:$AJ426,1,(AS$4-1)*5+3)*(1+INDEX($Q426:$AJ426,1,(AS$4-1)*5+2)))</f>
        <v/>
      </c>
      <c r="AT426" s="25">
        <f>AS426*(1/(1+INDEX($Q426:$AJ426,1,(AT$4-1)*5+4)))^(1+INDEX($Q426:$AJ426,1,(AT$4-1)*5+2))*(1+AT$7)^INDEX($Q426:$AJ426,1,(AT$4-1)*5+1)*(AT296/AS296)^INDEX($Q426:$AJ426,1,(AT$4-1)*5+2)*(AT296/AS296)^(INDEX($Q426:$AJ426,1,(AT$4-1)*5+3)*(1+INDEX($Q426:$AJ426,1,(AT$4-1)*5+2)))</f>
        <v/>
      </c>
      <c r="AU426" s="25">
        <f>AT426*(1/(1+INDEX($Q426:$AJ426,1,(AU$4-1)*5+4)))^(1+INDEX($Q426:$AJ426,1,(AU$4-1)*5+2))*(1+AU$7)^INDEX($Q426:$AJ426,1,(AU$4-1)*5+1)*(AU296/AT296)^INDEX($Q426:$AJ426,1,(AU$4-1)*5+2)*(AU296/AT296)^(INDEX($Q426:$AJ426,1,(AU$4-1)*5+3)*(1+INDEX($Q426:$AJ426,1,(AU$4-1)*5+2)))</f>
        <v/>
      </c>
      <c r="AV426" s="25">
        <f>AU426*(1/(1+INDEX($Q426:$AJ426,1,(AV$4-1)*5+4)))^(1+INDEX($Q426:$AJ426,1,(AV$4-1)*5+2))*(1+AV$7)^INDEX($Q426:$AJ426,1,(AV$4-1)*5+1)*(AV296/AU296)^INDEX($Q426:$AJ426,1,(AV$4-1)*5+2)*(AV296/AU296)^(INDEX($Q426:$AJ426,1,(AV$4-1)*5+3)*(1+INDEX($Q426:$AJ426,1,(AV$4-1)*5+2)))</f>
        <v/>
      </c>
      <c r="AW426" s="25">
        <f>AV426*(1/(1+INDEX($Q426:$AJ426,1,(AW$4-1)*5+4)))^(1+INDEX($Q426:$AJ426,1,(AW$4-1)*5+2))*(1+AW$7)^INDEX($Q426:$AJ426,1,(AW$4-1)*5+1)*(AW296/AV296)^INDEX($Q426:$AJ426,1,(AW$4-1)*5+2)*(AW296/AV296)^(INDEX($Q426:$AJ426,1,(AW$4-1)*5+3)*(1+INDEX($Q426:$AJ426,1,(AW$4-1)*5+2)))</f>
        <v/>
      </c>
      <c r="AX426" s="25">
        <f>AW426*(1/(1+INDEX($Q426:$AJ426,1,(AX$4-1)*5+4)))^(1+INDEX($Q426:$AJ426,1,(AX$4-1)*5+2))*(1+AX$7)^INDEX($Q426:$AJ426,1,(AX$4-1)*5+1)*(AX296/AW296)^INDEX($Q426:$AJ426,1,(AX$4-1)*5+2)*(AX296/AW296)^(INDEX($Q426:$AJ426,1,(AX$4-1)*5+3)*(1+INDEX($Q426:$AJ426,1,(AX$4-1)*5+2)))</f>
        <v/>
      </c>
      <c r="AY426" s="25">
        <f>AX426*(1/(1+INDEX($Q426:$AJ426,1,(AY$4-1)*5+4)))^(1+INDEX($Q426:$AJ426,1,(AY$4-1)*5+2))*(1+AY$7)^INDEX($Q426:$AJ426,1,(AY$4-1)*5+1)*(AY296/AX296)^INDEX($Q426:$AJ426,1,(AY$4-1)*5+2)*(AY296/AX296)^(INDEX($Q426:$AJ426,1,(AY$4-1)*5+3)*(1+INDEX($Q426:$AJ426,1,(AY$4-1)*5+2)))</f>
        <v/>
      </c>
      <c r="BA426" s="24">
        <f>INDEX(EnergyCons!$F$4:$F$5000,MATCH(Settings!$C$4&amp;"|"&amp;BA$5&amp;"|"&amp;$C426&amp;"|"&amp;$B426,EnergyCons!$A$4:$A$5000,0))</f>
        <v/>
      </c>
      <c r="BB426" s="25">
        <f>BA426*(1/(1+INDEX($Q426:$AJ426,1,(BB$4-1)*5+4)))^(1+INDEX($Q426:$AJ426,1,(BB$4-1)*5+2))*(1+BB$7)^INDEX($Q426:$AJ426,1,(BB$4-1)*5+1)*(BB296/BA296)^INDEX($Q426:$AJ426,1,(BB$4-1)*5+2)*(BB296/BA296)^(INDEX($Q426:$AJ426,1,(BB$4-1)*5+3)*(1+INDEX($Q426:$AJ426,1,(BB$4-1)*5+2)))</f>
        <v/>
      </c>
      <c r="BC426" s="25">
        <f>BB426*(1/(1+INDEX($Q426:$AJ426,1,(BC$4-1)*5+4)))^(1+INDEX($Q426:$AJ426,1,(BC$4-1)*5+2))*(1+BC$7)^INDEX($Q426:$AJ426,1,(BC$4-1)*5+1)*(BC296/BB296)^INDEX($Q426:$AJ426,1,(BC$4-1)*5+2)*(BC296/BB296)^(INDEX($Q426:$AJ426,1,(BC$4-1)*5+3)*(1+INDEX($Q426:$AJ426,1,(BC$4-1)*5+2)))</f>
        <v/>
      </c>
      <c r="BD426" s="25">
        <f>BC426*(1/(1+INDEX($Q426:$AJ426,1,(BD$4-1)*5+4)))^(1+INDEX($Q426:$AJ426,1,(BD$4-1)*5+2))*(1+BD$7)^INDEX($Q426:$AJ426,1,(BD$4-1)*5+1)*(BD296/BC296)^INDEX($Q426:$AJ426,1,(BD$4-1)*5+2)*(BD296/BC296)^(INDEX($Q426:$AJ426,1,(BD$4-1)*5+3)*(1+INDEX($Q426:$AJ426,1,(BD$4-1)*5+2)))</f>
        <v/>
      </c>
      <c r="BE426" s="25">
        <f>BD426*(1/(1+INDEX($Q426:$AJ426,1,(BE$4-1)*5+4)))^(1+INDEX($Q426:$AJ426,1,(BE$4-1)*5+2))*(1+BE$7)^INDEX($Q426:$AJ426,1,(BE$4-1)*5+1)*(BE296/BD296)^INDEX($Q426:$AJ426,1,(BE$4-1)*5+2)*(BE296/BD296)^(INDEX($Q426:$AJ426,1,(BE$4-1)*5+3)*(1+INDEX($Q426:$AJ426,1,(BE$4-1)*5+2)))</f>
        <v/>
      </c>
      <c r="BF426" s="25">
        <f>BE426*(1/(1+INDEX($Q426:$AJ426,1,(BF$4-1)*5+4)))^(1+INDEX($Q426:$AJ426,1,(BF$4-1)*5+2))*(1+BF$7)^INDEX($Q426:$AJ426,1,(BF$4-1)*5+1)*(BF296/BE296)^INDEX($Q426:$AJ426,1,(BF$4-1)*5+2)*(BF296/BE296)^(INDEX($Q426:$AJ426,1,(BF$4-1)*5+3)*(1+INDEX($Q426:$AJ426,1,(BF$4-1)*5+2)))</f>
        <v/>
      </c>
      <c r="BG426" s="25">
        <f>BF426*(1/(1+INDEX($Q426:$AJ426,1,(BG$4-1)*5+4)))^(1+INDEX($Q426:$AJ426,1,(BG$4-1)*5+2))*(1+BG$7)^INDEX($Q426:$AJ426,1,(BG$4-1)*5+1)*(BG296/BF296)^INDEX($Q426:$AJ426,1,(BG$4-1)*5+2)*(BG296/BF296)^(INDEX($Q426:$AJ426,1,(BG$4-1)*5+3)*(1+INDEX($Q426:$AJ426,1,(BG$4-1)*5+2)))</f>
        <v/>
      </c>
      <c r="BH426" s="25">
        <f>BG426*(1/(1+INDEX($Q426:$AJ426,1,(BH$4-1)*5+4)))^(1+INDEX($Q426:$AJ426,1,(BH$4-1)*5+2))*(1+BH$7)^INDEX($Q426:$AJ426,1,(BH$4-1)*5+1)*(BH296/BG296)^INDEX($Q426:$AJ426,1,(BH$4-1)*5+2)*(BH296/BG296)^(INDEX($Q426:$AJ426,1,(BH$4-1)*5+3)*(1+INDEX($Q426:$AJ426,1,(BH$4-1)*5+2)))</f>
        <v/>
      </c>
      <c r="BI426" s="25">
        <f>BH426*(1/(1+INDEX($Q426:$AJ426,1,(BI$4-1)*5+4)))^(1+INDEX($Q426:$AJ426,1,(BI$4-1)*5+2))*(1+BI$7)^INDEX($Q426:$AJ426,1,(BI$4-1)*5+1)*(BI296/BH296)^INDEX($Q426:$AJ426,1,(BI$4-1)*5+2)*(BI296/BH296)^(INDEX($Q426:$AJ426,1,(BI$4-1)*5+3)*(1+INDEX($Q426:$AJ426,1,(BI$4-1)*5+2)))</f>
        <v/>
      </c>
      <c r="BJ426" s="25">
        <f>BI426*(1/(1+INDEX($Q426:$AJ426,1,(BJ$4-1)*5+4)))^(1+INDEX($Q426:$AJ426,1,(BJ$4-1)*5+2))*(1+BJ$7)^INDEX($Q426:$AJ426,1,(BJ$4-1)*5+1)*(BJ296/BI296)^INDEX($Q426:$AJ426,1,(BJ$4-1)*5+2)*(BJ296/BI296)^(INDEX($Q426:$AJ426,1,(BJ$4-1)*5+3)*(1+INDEX($Q426:$AJ426,1,(BJ$4-1)*5+2)))</f>
        <v/>
      </c>
      <c r="BK426" s="25">
        <f>BJ426*(1/(1+INDEX($Q426:$AJ426,1,(BK$4-1)*5+4)))^(1+INDEX($Q426:$AJ426,1,(BK$4-1)*5+2))*(1+BK$7)^INDEX($Q426:$AJ426,1,(BK$4-1)*5+1)*(BK296/BJ296)^INDEX($Q426:$AJ426,1,(BK$4-1)*5+2)*(BK296/BJ296)^(INDEX($Q426:$AJ426,1,(BK$4-1)*5+3)*(1+INDEX($Q426:$AJ426,1,(BK$4-1)*5+2)))</f>
        <v/>
      </c>
      <c r="BL426" s="25">
        <f>BK426*(1/(1+INDEX($Q426:$AJ426,1,(BL$4-1)*5+4)))^(1+INDEX($Q426:$AJ426,1,(BL$4-1)*5+2))*(1+BL$7)^INDEX($Q426:$AJ426,1,(BL$4-1)*5+1)*(BL296/BK296)^INDEX($Q426:$AJ426,1,(BL$4-1)*5+2)*(BL296/BK296)^(INDEX($Q426:$AJ426,1,(BL$4-1)*5+3)*(1+INDEX($Q426:$AJ426,1,(BL$4-1)*5+2)))</f>
        <v/>
      </c>
      <c r="BM426" s="25">
        <f>BL426*(1/(1+INDEX($Q426:$AJ426,1,(BM$4-1)*5+4)))^(1+INDEX($Q426:$AJ426,1,(BM$4-1)*5+2))*(1+BM$7)^INDEX($Q426:$AJ426,1,(BM$4-1)*5+1)*(BM296/BL296)^INDEX($Q426:$AJ426,1,(BM$4-1)*5+2)*(BM296/BL296)^(INDEX($Q426:$AJ426,1,(BM$4-1)*5+3)*(1+INDEX($Q426:$AJ426,1,(BM$4-1)*5+2)))</f>
        <v/>
      </c>
      <c r="BN426" s="25">
        <f>BM426*(1/(1+INDEX($Q426:$AJ426,1,(BN$4-1)*5+4)))^(1+INDEX($Q426:$AJ426,1,(BN$4-1)*5+2))*(1+BN$7)^INDEX($Q426:$AJ426,1,(BN$4-1)*5+1)*(BN296/BM296)^INDEX($Q426:$AJ426,1,(BN$4-1)*5+2)*(BN296/BM296)^(INDEX($Q426:$AJ426,1,(BN$4-1)*5+3)*(1+INDEX($Q426:$AJ426,1,(BN$4-1)*5+2)))</f>
        <v/>
      </c>
    </row>
    <row r="427">
      <c r="B427" s="5" t="inlineStr">
        <is>
          <t>gso</t>
        </is>
      </c>
      <c r="C427" s="5" t="inlineStr">
        <is>
          <t>nav</t>
        </is>
      </c>
      <c r="D427" s="5" t="inlineStr">
        <is>
          <t>Fuel use | Domestic navigation | Gasoline</t>
        </is>
      </c>
      <c r="E427" s="5" t="inlineStr">
        <is>
          <t>ktoe</t>
        </is>
      </c>
      <c r="F427" s="5" t="inlineStr">
        <is>
          <t>EnergyCons (base year), Elasticities</t>
        </is>
      </c>
      <c r="G427" s="19" t="inlineStr">
        <is>
          <t>mit.enc.gso.nav</t>
        </is>
      </c>
      <c r="H427" s="19" t="inlineStr">
        <is>
          <t>mit.enc.gso.nav</t>
        </is>
      </c>
      <c r="J427" s="5">
        <f>INDEX(Mapping!$C$5:$C$20,MATCH($C427,Mapping!$A$5:$A$20,0))</f>
        <v/>
      </c>
      <c r="K427" s="5">
        <f>INDEX(Mapping!$D$5:$D$20,MATCH($C427,Mapping!$A$5:$A$20,0))</f>
        <v/>
      </c>
      <c r="L427" s="5">
        <f>INDEX(Mapping!$C$24:$C$31,MATCH($B427,Mapping!$A$24:$A$31,0))</f>
        <v/>
      </c>
      <c r="M427" s="5">
        <f>INDEX(Mapping!$D$24:$D$31,MATCH($B427,Mapping!$A$24:$A$31,0))</f>
        <v/>
      </c>
      <c r="N427" s="5">
        <f>$B427&amp;"."&amp;IF(INDEX(Mapping!$E$24:$E$31,MATCH($B427,Mapping!$A$24:$A$31,0))="sub",INDEX(Mapping!$F$5:$F$20,MATCH($C427,Mapping!$A$5:$A$20,0)),"all")</f>
        <v/>
      </c>
      <c r="O427" s="5">
        <f>INDEX(Mapping!$E$5:$E$20,MATCH($C427,Mapping!$A$5:$A$20,0))</f>
        <v/>
      </c>
      <c r="P427" s="5">
        <f>INDEX(Mapping!$G$24:$G$31,MATCH($B427,Mapping!$A$24:$A$31,0))</f>
        <v/>
      </c>
      <c r="Q427" s="22">
        <f>INDEX(Elasticities!$F$4:$I$200,MATCH("inc|"&amp;$L427&amp;"|"&amp;$K427,Elasticities!$A$4:$A$200,0),MATCH(Settings!$C$6,Elasticities!$F$3:$I$3,0))</f>
        <v/>
      </c>
      <c r="R427" s="22">
        <f>INDEX(Elasticities!$F$4:$I$200,MATCH("usg|"&amp;$L427&amp;"|"&amp;$K427,Elasticities!$A$4:$A$200,0),MATCH(Settings!$C$6,Elasticities!$F$3:$I$3,0))</f>
        <v/>
      </c>
      <c r="S427" s="22">
        <f>INDEX(Elasticities!$F$4:$I$200,MATCH("eff|"&amp;$L427&amp;"|"&amp;$K427,Elasticities!$A$4:$A$200,0),MATCH(Settings!$C$6,Elasticities!$F$3:$I$3,0))</f>
        <v/>
      </c>
      <c r="T427" s="22">
        <f>INDEX(Elasticities!$F$4:$I$200,MATCH("aei|"&amp;$M427&amp;"|"&amp;$K427,Elasticities!$A$4:$A$200,0),MATCH(Settings!$C$6,Elasticities!$F$3:$I$3,0))</f>
        <v/>
      </c>
      <c r="U427" s="21" t="n"/>
      <c r="V427" s="22">
        <f>Q427</f>
        <v/>
      </c>
      <c r="W427" s="22">
        <f>R427</f>
        <v/>
      </c>
      <c r="X427" s="22">
        <f>S427</f>
        <v/>
      </c>
      <c r="Y427" s="22">
        <f>T427</f>
        <v/>
      </c>
      <c r="Z427" s="21" t="n"/>
      <c r="AA427" s="22">
        <f>Q427</f>
        <v/>
      </c>
      <c r="AB427" s="22">
        <f>R427</f>
        <v/>
      </c>
      <c r="AC427" s="22">
        <f>S427</f>
        <v/>
      </c>
      <c r="AD427" s="22">
        <f>T427</f>
        <v/>
      </c>
      <c r="AE427" s="21" t="n"/>
      <c r="AF427" s="22">
        <f>Q427</f>
        <v/>
      </c>
      <c r="AG427" s="22">
        <f>R427</f>
        <v/>
      </c>
      <c r="AH427" s="22">
        <f>S427</f>
        <v/>
      </c>
      <c r="AI427" s="22">
        <f>T427</f>
        <v/>
      </c>
      <c r="AJ427" s="21" t="n"/>
      <c r="AL427" s="24">
        <f>INDEX(EnergyCons!$F$4:$F$5000,MATCH(Settings!$C$4&amp;"|"&amp;AL$5&amp;"|"&amp;$C427&amp;"|"&amp;$B427,EnergyCons!$A$4:$A$5000,0))</f>
        <v/>
      </c>
      <c r="AM427" s="25">
        <f>AL427*(1/(1+INDEX($Q427:$AJ427,1,(AM$4-1)*5+4)))^(1+INDEX($Q427:$AJ427,1,(AM$4-1)*5+2))*(1+AM$7)^INDEX($Q427:$AJ427,1,(AM$4-1)*5+1)*(AM297/AL297)^INDEX($Q427:$AJ427,1,(AM$4-1)*5+2)*(AM297/AL297)^(INDEX($Q427:$AJ427,1,(AM$4-1)*5+3)*(1+INDEX($Q427:$AJ427,1,(AM$4-1)*5+2)))</f>
        <v/>
      </c>
      <c r="AN427" s="25">
        <f>AM427*(1/(1+INDEX($Q427:$AJ427,1,(AN$4-1)*5+4)))^(1+INDEX($Q427:$AJ427,1,(AN$4-1)*5+2))*(1+AN$7)^INDEX($Q427:$AJ427,1,(AN$4-1)*5+1)*(AN297/AM297)^INDEX($Q427:$AJ427,1,(AN$4-1)*5+2)*(AN297/AM297)^(INDEX($Q427:$AJ427,1,(AN$4-1)*5+3)*(1+INDEX($Q427:$AJ427,1,(AN$4-1)*5+2)))</f>
        <v/>
      </c>
      <c r="AO427" s="25">
        <f>AN427*(1/(1+INDEX($Q427:$AJ427,1,(AO$4-1)*5+4)))^(1+INDEX($Q427:$AJ427,1,(AO$4-1)*5+2))*(1+AO$7)^INDEX($Q427:$AJ427,1,(AO$4-1)*5+1)*(AO297/AN297)^INDEX($Q427:$AJ427,1,(AO$4-1)*5+2)*(AO297/AN297)^(INDEX($Q427:$AJ427,1,(AO$4-1)*5+3)*(1+INDEX($Q427:$AJ427,1,(AO$4-1)*5+2)))</f>
        <v/>
      </c>
      <c r="AP427" s="25">
        <f>AO427*(1/(1+INDEX($Q427:$AJ427,1,(AP$4-1)*5+4)))^(1+INDEX($Q427:$AJ427,1,(AP$4-1)*5+2))*(1+AP$7)^INDEX($Q427:$AJ427,1,(AP$4-1)*5+1)*(AP297/AO297)^INDEX($Q427:$AJ427,1,(AP$4-1)*5+2)*(AP297/AO297)^(INDEX($Q427:$AJ427,1,(AP$4-1)*5+3)*(1+INDEX($Q427:$AJ427,1,(AP$4-1)*5+2)))</f>
        <v/>
      </c>
      <c r="AQ427" s="25">
        <f>AP427*(1/(1+INDEX($Q427:$AJ427,1,(AQ$4-1)*5+4)))^(1+INDEX($Q427:$AJ427,1,(AQ$4-1)*5+2))*(1+AQ$7)^INDEX($Q427:$AJ427,1,(AQ$4-1)*5+1)*(AQ297/AP297)^INDEX($Q427:$AJ427,1,(AQ$4-1)*5+2)*(AQ297/AP297)^(INDEX($Q427:$AJ427,1,(AQ$4-1)*5+3)*(1+INDEX($Q427:$AJ427,1,(AQ$4-1)*5+2)))</f>
        <v/>
      </c>
      <c r="AR427" s="25">
        <f>AQ427*(1/(1+INDEX($Q427:$AJ427,1,(AR$4-1)*5+4)))^(1+INDEX($Q427:$AJ427,1,(AR$4-1)*5+2))*(1+AR$7)^INDEX($Q427:$AJ427,1,(AR$4-1)*5+1)*(AR297/AQ297)^INDEX($Q427:$AJ427,1,(AR$4-1)*5+2)*(AR297/AQ297)^(INDEX($Q427:$AJ427,1,(AR$4-1)*5+3)*(1+INDEX($Q427:$AJ427,1,(AR$4-1)*5+2)))</f>
        <v/>
      </c>
      <c r="AS427" s="25">
        <f>AR427*(1/(1+INDEX($Q427:$AJ427,1,(AS$4-1)*5+4)))^(1+INDEX($Q427:$AJ427,1,(AS$4-1)*5+2))*(1+AS$7)^INDEX($Q427:$AJ427,1,(AS$4-1)*5+1)*(AS297/AR297)^INDEX($Q427:$AJ427,1,(AS$4-1)*5+2)*(AS297/AR297)^(INDEX($Q427:$AJ427,1,(AS$4-1)*5+3)*(1+INDEX($Q427:$AJ427,1,(AS$4-1)*5+2)))</f>
        <v/>
      </c>
      <c r="AT427" s="25">
        <f>AS427*(1/(1+INDEX($Q427:$AJ427,1,(AT$4-1)*5+4)))^(1+INDEX($Q427:$AJ427,1,(AT$4-1)*5+2))*(1+AT$7)^INDEX($Q427:$AJ427,1,(AT$4-1)*5+1)*(AT297/AS297)^INDEX($Q427:$AJ427,1,(AT$4-1)*5+2)*(AT297/AS297)^(INDEX($Q427:$AJ427,1,(AT$4-1)*5+3)*(1+INDEX($Q427:$AJ427,1,(AT$4-1)*5+2)))</f>
        <v/>
      </c>
      <c r="AU427" s="25">
        <f>AT427*(1/(1+INDEX($Q427:$AJ427,1,(AU$4-1)*5+4)))^(1+INDEX($Q427:$AJ427,1,(AU$4-1)*5+2))*(1+AU$7)^INDEX($Q427:$AJ427,1,(AU$4-1)*5+1)*(AU297/AT297)^INDEX($Q427:$AJ427,1,(AU$4-1)*5+2)*(AU297/AT297)^(INDEX($Q427:$AJ427,1,(AU$4-1)*5+3)*(1+INDEX($Q427:$AJ427,1,(AU$4-1)*5+2)))</f>
        <v/>
      </c>
      <c r="AV427" s="25">
        <f>AU427*(1/(1+INDEX($Q427:$AJ427,1,(AV$4-1)*5+4)))^(1+INDEX($Q427:$AJ427,1,(AV$4-1)*5+2))*(1+AV$7)^INDEX($Q427:$AJ427,1,(AV$4-1)*5+1)*(AV297/AU297)^INDEX($Q427:$AJ427,1,(AV$4-1)*5+2)*(AV297/AU297)^(INDEX($Q427:$AJ427,1,(AV$4-1)*5+3)*(1+INDEX($Q427:$AJ427,1,(AV$4-1)*5+2)))</f>
        <v/>
      </c>
      <c r="AW427" s="25">
        <f>AV427*(1/(1+INDEX($Q427:$AJ427,1,(AW$4-1)*5+4)))^(1+INDEX($Q427:$AJ427,1,(AW$4-1)*5+2))*(1+AW$7)^INDEX($Q427:$AJ427,1,(AW$4-1)*5+1)*(AW297/AV297)^INDEX($Q427:$AJ427,1,(AW$4-1)*5+2)*(AW297/AV297)^(INDEX($Q427:$AJ427,1,(AW$4-1)*5+3)*(1+INDEX($Q427:$AJ427,1,(AW$4-1)*5+2)))</f>
        <v/>
      </c>
      <c r="AX427" s="25">
        <f>AW427*(1/(1+INDEX($Q427:$AJ427,1,(AX$4-1)*5+4)))^(1+INDEX($Q427:$AJ427,1,(AX$4-1)*5+2))*(1+AX$7)^INDEX($Q427:$AJ427,1,(AX$4-1)*5+1)*(AX297/AW297)^INDEX($Q427:$AJ427,1,(AX$4-1)*5+2)*(AX297/AW297)^(INDEX($Q427:$AJ427,1,(AX$4-1)*5+3)*(1+INDEX($Q427:$AJ427,1,(AX$4-1)*5+2)))</f>
        <v/>
      </c>
      <c r="AY427" s="25">
        <f>AX427*(1/(1+INDEX($Q427:$AJ427,1,(AY$4-1)*5+4)))^(1+INDEX($Q427:$AJ427,1,(AY$4-1)*5+2))*(1+AY$7)^INDEX($Q427:$AJ427,1,(AY$4-1)*5+1)*(AY297/AX297)^INDEX($Q427:$AJ427,1,(AY$4-1)*5+2)*(AY297/AX297)^(INDEX($Q427:$AJ427,1,(AY$4-1)*5+3)*(1+INDEX($Q427:$AJ427,1,(AY$4-1)*5+2)))</f>
        <v/>
      </c>
      <c r="BA427" s="24">
        <f>INDEX(EnergyCons!$F$4:$F$5000,MATCH(Settings!$C$4&amp;"|"&amp;BA$5&amp;"|"&amp;$C427&amp;"|"&amp;$B427,EnergyCons!$A$4:$A$5000,0))</f>
        <v/>
      </c>
      <c r="BB427" s="25">
        <f>BA427*(1/(1+INDEX($Q427:$AJ427,1,(BB$4-1)*5+4)))^(1+INDEX($Q427:$AJ427,1,(BB$4-1)*5+2))*(1+BB$7)^INDEX($Q427:$AJ427,1,(BB$4-1)*5+1)*(BB297/BA297)^INDEX($Q427:$AJ427,1,(BB$4-1)*5+2)*(BB297/BA297)^(INDEX($Q427:$AJ427,1,(BB$4-1)*5+3)*(1+INDEX($Q427:$AJ427,1,(BB$4-1)*5+2)))</f>
        <v/>
      </c>
      <c r="BC427" s="25">
        <f>BB427*(1/(1+INDEX($Q427:$AJ427,1,(BC$4-1)*5+4)))^(1+INDEX($Q427:$AJ427,1,(BC$4-1)*5+2))*(1+BC$7)^INDEX($Q427:$AJ427,1,(BC$4-1)*5+1)*(BC297/BB297)^INDEX($Q427:$AJ427,1,(BC$4-1)*5+2)*(BC297/BB297)^(INDEX($Q427:$AJ427,1,(BC$4-1)*5+3)*(1+INDEX($Q427:$AJ427,1,(BC$4-1)*5+2)))</f>
        <v/>
      </c>
      <c r="BD427" s="25">
        <f>BC427*(1/(1+INDEX($Q427:$AJ427,1,(BD$4-1)*5+4)))^(1+INDEX($Q427:$AJ427,1,(BD$4-1)*5+2))*(1+BD$7)^INDEX($Q427:$AJ427,1,(BD$4-1)*5+1)*(BD297/BC297)^INDEX($Q427:$AJ427,1,(BD$4-1)*5+2)*(BD297/BC297)^(INDEX($Q427:$AJ427,1,(BD$4-1)*5+3)*(1+INDEX($Q427:$AJ427,1,(BD$4-1)*5+2)))</f>
        <v/>
      </c>
      <c r="BE427" s="25">
        <f>BD427*(1/(1+INDEX($Q427:$AJ427,1,(BE$4-1)*5+4)))^(1+INDEX($Q427:$AJ427,1,(BE$4-1)*5+2))*(1+BE$7)^INDEX($Q427:$AJ427,1,(BE$4-1)*5+1)*(BE297/BD297)^INDEX($Q427:$AJ427,1,(BE$4-1)*5+2)*(BE297/BD297)^(INDEX($Q427:$AJ427,1,(BE$4-1)*5+3)*(1+INDEX($Q427:$AJ427,1,(BE$4-1)*5+2)))</f>
        <v/>
      </c>
      <c r="BF427" s="25">
        <f>BE427*(1/(1+INDEX($Q427:$AJ427,1,(BF$4-1)*5+4)))^(1+INDEX($Q427:$AJ427,1,(BF$4-1)*5+2))*(1+BF$7)^INDEX($Q427:$AJ427,1,(BF$4-1)*5+1)*(BF297/BE297)^INDEX($Q427:$AJ427,1,(BF$4-1)*5+2)*(BF297/BE297)^(INDEX($Q427:$AJ427,1,(BF$4-1)*5+3)*(1+INDEX($Q427:$AJ427,1,(BF$4-1)*5+2)))</f>
        <v/>
      </c>
      <c r="BG427" s="25">
        <f>BF427*(1/(1+INDEX($Q427:$AJ427,1,(BG$4-1)*5+4)))^(1+INDEX($Q427:$AJ427,1,(BG$4-1)*5+2))*(1+BG$7)^INDEX($Q427:$AJ427,1,(BG$4-1)*5+1)*(BG297/BF297)^INDEX($Q427:$AJ427,1,(BG$4-1)*5+2)*(BG297/BF297)^(INDEX($Q427:$AJ427,1,(BG$4-1)*5+3)*(1+INDEX($Q427:$AJ427,1,(BG$4-1)*5+2)))</f>
        <v/>
      </c>
      <c r="BH427" s="25">
        <f>BG427*(1/(1+INDEX($Q427:$AJ427,1,(BH$4-1)*5+4)))^(1+INDEX($Q427:$AJ427,1,(BH$4-1)*5+2))*(1+BH$7)^INDEX($Q427:$AJ427,1,(BH$4-1)*5+1)*(BH297/BG297)^INDEX($Q427:$AJ427,1,(BH$4-1)*5+2)*(BH297/BG297)^(INDEX($Q427:$AJ427,1,(BH$4-1)*5+3)*(1+INDEX($Q427:$AJ427,1,(BH$4-1)*5+2)))</f>
        <v/>
      </c>
      <c r="BI427" s="25">
        <f>BH427*(1/(1+INDEX($Q427:$AJ427,1,(BI$4-1)*5+4)))^(1+INDEX($Q427:$AJ427,1,(BI$4-1)*5+2))*(1+BI$7)^INDEX($Q427:$AJ427,1,(BI$4-1)*5+1)*(BI297/BH297)^INDEX($Q427:$AJ427,1,(BI$4-1)*5+2)*(BI297/BH297)^(INDEX($Q427:$AJ427,1,(BI$4-1)*5+3)*(1+INDEX($Q427:$AJ427,1,(BI$4-1)*5+2)))</f>
        <v/>
      </c>
      <c r="BJ427" s="25">
        <f>BI427*(1/(1+INDEX($Q427:$AJ427,1,(BJ$4-1)*5+4)))^(1+INDEX($Q427:$AJ427,1,(BJ$4-1)*5+2))*(1+BJ$7)^INDEX($Q427:$AJ427,1,(BJ$4-1)*5+1)*(BJ297/BI297)^INDEX($Q427:$AJ427,1,(BJ$4-1)*5+2)*(BJ297/BI297)^(INDEX($Q427:$AJ427,1,(BJ$4-1)*5+3)*(1+INDEX($Q427:$AJ427,1,(BJ$4-1)*5+2)))</f>
        <v/>
      </c>
      <c r="BK427" s="25">
        <f>BJ427*(1/(1+INDEX($Q427:$AJ427,1,(BK$4-1)*5+4)))^(1+INDEX($Q427:$AJ427,1,(BK$4-1)*5+2))*(1+BK$7)^INDEX($Q427:$AJ427,1,(BK$4-1)*5+1)*(BK297/BJ297)^INDEX($Q427:$AJ427,1,(BK$4-1)*5+2)*(BK297/BJ297)^(INDEX($Q427:$AJ427,1,(BK$4-1)*5+3)*(1+INDEX($Q427:$AJ427,1,(BK$4-1)*5+2)))</f>
        <v/>
      </c>
      <c r="BL427" s="25">
        <f>BK427*(1/(1+INDEX($Q427:$AJ427,1,(BL$4-1)*5+4)))^(1+INDEX($Q427:$AJ427,1,(BL$4-1)*5+2))*(1+BL$7)^INDEX($Q427:$AJ427,1,(BL$4-1)*5+1)*(BL297/BK297)^INDEX($Q427:$AJ427,1,(BL$4-1)*5+2)*(BL297/BK297)^(INDEX($Q427:$AJ427,1,(BL$4-1)*5+3)*(1+INDEX($Q427:$AJ427,1,(BL$4-1)*5+2)))</f>
        <v/>
      </c>
      <c r="BM427" s="25">
        <f>BL427*(1/(1+INDEX($Q427:$AJ427,1,(BM$4-1)*5+4)))^(1+INDEX($Q427:$AJ427,1,(BM$4-1)*5+2))*(1+BM$7)^INDEX($Q427:$AJ427,1,(BM$4-1)*5+1)*(BM297/BL297)^INDEX($Q427:$AJ427,1,(BM$4-1)*5+2)*(BM297/BL297)^(INDEX($Q427:$AJ427,1,(BM$4-1)*5+3)*(1+INDEX($Q427:$AJ427,1,(BM$4-1)*5+2)))</f>
        <v/>
      </c>
      <c r="BN427" s="25">
        <f>BM427*(1/(1+INDEX($Q427:$AJ427,1,(BN$4-1)*5+4)))^(1+INDEX($Q427:$AJ427,1,(BN$4-1)*5+2))*(1+BN$7)^INDEX($Q427:$AJ427,1,(BN$4-1)*5+1)*(BN297/BM297)^INDEX($Q427:$AJ427,1,(BN$4-1)*5+2)*(BN297/BM297)^(INDEX($Q427:$AJ427,1,(BN$4-1)*5+3)*(1+INDEX($Q427:$AJ427,1,(BN$4-1)*5+2)))</f>
        <v/>
      </c>
    </row>
    <row r="428">
      <c r="B428" s="5" t="inlineStr">
        <is>
          <t>die</t>
        </is>
      </c>
      <c r="C428" s="5" t="inlineStr">
        <is>
          <t>nav</t>
        </is>
      </c>
      <c r="D428" s="5" t="inlineStr">
        <is>
          <t>Fuel use | Domestic navigation | Diesel</t>
        </is>
      </c>
      <c r="E428" s="5" t="inlineStr">
        <is>
          <t>ktoe</t>
        </is>
      </c>
      <c r="F428" s="5" t="inlineStr">
        <is>
          <t>EnergyCons (base year), Elasticities</t>
        </is>
      </c>
      <c r="G428" s="19" t="inlineStr">
        <is>
          <t>mit.enc.die.nav</t>
        </is>
      </c>
      <c r="H428" s="19" t="inlineStr">
        <is>
          <t>mit.enc.die.nav</t>
        </is>
      </c>
      <c r="J428" s="5">
        <f>INDEX(Mapping!$C$5:$C$20,MATCH($C428,Mapping!$A$5:$A$20,0))</f>
        <v/>
      </c>
      <c r="K428" s="5">
        <f>INDEX(Mapping!$D$5:$D$20,MATCH($C428,Mapping!$A$5:$A$20,0))</f>
        <v/>
      </c>
      <c r="L428" s="5">
        <f>INDEX(Mapping!$C$24:$C$31,MATCH($B428,Mapping!$A$24:$A$31,0))</f>
        <v/>
      </c>
      <c r="M428" s="5">
        <f>INDEX(Mapping!$D$24:$D$31,MATCH($B428,Mapping!$A$24:$A$31,0))</f>
        <v/>
      </c>
      <c r="N428" s="5">
        <f>$B428&amp;"."&amp;IF(INDEX(Mapping!$E$24:$E$31,MATCH($B428,Mapping!$A$24:$A$31,0))="sub",INDEX(Mapping!$F$5:$F$20,MATCH($C428,Mapping!$A$5:$A$20,0)),"all")</f>
        <v/>
      </c>
      <c r="O428" s="5">
        <f>INDEX(Mapping!$E$5:$E$20,MATCH($C428,Mapping!$A$5:$A$20,0))</f>
        <v/>
      </c>
      <c r="P428" s="5">
        <f>INDEX(Mapping!$G$24:$G$31,MATCH($B428,Mapping!$A$24:$A$31,0))</f>
        <v/>
      </c>
      <c r="Q428" s="22">
        <f>INDEX(Elasticities!$F$4:$I$200,MATCH("inc|"&amp;$L428&amp;"|"&amp;$K428,Elasticities!$A$4:$A$200,0),MATCH(Settings!$C$6,Elasticities!$F$3:$I$3,0))</f>
        <v/>
      </c>
      <c r="R428" s="22">
        <f>INDEX(Elasticities!$F$4:$I$200,MATCH("usg|"&amp;$L428&amp;"|"&amp;$K428,Elasticities!$A$4:$A$200,0),MATCH(Settings!$C$6,Elasticities!$F$3:$I$3,0))</f>
        <v/>
      </c>
      <c r="S428" s="22">
        <f>INDEX(Elasticities!$F$4:$I$200,MATCH("eff|"&amp;$L428&amp;"|"&amp;$K428,Elasticities!$A$4:$A$200,0),MATCH(Settings!$C$6,Elasticities!$F$3:$I$3,0))</f>
        <v/>
      </c>
      <c r="T428" s="22">
        <f>INDEX(Elasticities!$F$4:$I$200,MATCH("aei|"&amp;$M428&amp;"|"&amp;$K428,Elasticities!$A$4:$A$200,0),MATCH(Settings!$C$6,Elasticities!$F$3:$I$3,0))</f>
        <v/>
      </c>
      <c r="U428" s="21" t="n"/>
      <c r="V428" s="22">
        <f>Q428</f>
        <v/>
      </c>
      <c r="W428" s="22">
        <f>R428</f>
        <v/>
      </c>
      <c r="X428" s="22">
        <f>S428</f>
        <v/>
      </c>
      <c r="Y428" s="22">
        <f>T428</f>
        <v/>
      </c>
      <c r="Z428" s="21" t="n"/>
      <c r="AA428" s="22">
        <f>Q428</f>
        <v/>
      </c>
      <c r="AB428" s="22">
        <f>R428</f>
        <v/>
      </c>
      <c r="AC428" s="22">
        <f>S428</f>
        <v/>
      </c>
      <c r="AD428" s="22">
        <f>T428</f>
        <v/>
      </c>
      <c r="AE428" s="21" t="n"/>
      <c r="AF428" s="22">
        <f>Q428</f>
        <v/>
      </c>
      <c r="AG428" s="22">
        <f>R428</f>
        <v/>
      </c>
      <c r="AH428" s="22">
        <f>S428</f>
        <v/>
      </c>
      <c r="AI428" s="22">
        <f>T428</f>
        <v/>
      </c>
      <c r="AJ428" s="21" t="n"/>
      <c r="AL428" s="24">
        <f>INDEX(EnergyCons!$F$4:$F$5000,MATCH(Settings!$C$4&amp;"|"&amp;AL$5&amp;"|"&amp;$C428&amp;"|"&amp;$B428,EnergyCons!$A$4:$A$5000,0))</f>
        <v/>
      </c>
      <c r="AM428" s="25">
        <f>AL428*(1/(1+INDEX($Q428:$AJ428,1,(AM$4-1)*5+4)))^(1+INDEX($Q428:$AJ428,1,(AM$4-1)*5+2))*(1+AM$7)^INDEX($Q428:$AJ428,1,(AM$4-1)*5+1)*(AM298/AL298)^INDEX($Q428:$AJ428,1,(AM$4-1)*5+2)*(AM298/AL298)^(INDEX($Q428:$AJ428,1,(AM$4-1)*5+3)*(1+INDEX($Q428:$AJ428,1,(AM$4-1)*5+2)))</f>
        <v/>
      </c>
      <c r="AN428" s="25">
        <f>AM428*(1/(1+INDEX($Q428:$AJ428,1,(AN$4-1)*5+4)))^(1+INDEX($Q428:$AJ428,1,(AN$4-1)*5+2))*(1+AN$7)^INDEX($Q428:$AJ428,1,(AN$4-1)*5+1)*(AN298/AM298)^INDEX($Q428:$AJ428,1,(AN$4-1)*5+2)*(AN298/AM298)^(INDEX($Q428:$AJ428,1,(AN$4-1)*5+3)*(1+INDEX($Q428:$AJ428,1,(AN$4-1)*5+2)))</f>
        <v/>
      </c>
      <c r="AO428" s="25">
        <f>AN428*(1/(1+INDEX($Q428:$AJ428,1,(AO$4-1)*5+4)))^(1+INDEX($Q428:$AJ428,1,(AO$4-1)*5+2))*(1+AO$7)^INDEX($Q428:$AJ428,1,(AO$4-1)*5+1)*(AO298/AN298)^INDEX($Q428:$AJ428,1,(AO$4-1)*5+2)*(AO298/AN298)^(INDEX($Q428:$AJ428,1,(AO$4-1)*5+3)*(1+INDEX($Q428:$AJ428,1,(AO$4-1)*5+2)))</f>
        <v/>
      </c>
      <c r="AP428" s="25">
        <f>AO428*(1/(1+INDEX($Q428:$AJ428,1,(AP$4-1)*5+4)))^(1+INDEX($Q428:$AJ428,1,(AP$4-1)*5+2))*(1+AP$7)^INDEX($Q428:$AJ428,1,(AP$4-1)*5+1)*(AP298/AO298)^INDEX($Q428:$AJ428,1,(AP$4-1)*5+2)*(AP298/AO298)^(INDEX($Q428:$AJ428,1,(AP$4-1)*5+3)*(1+INDEX($Q428:$AJ428,1,(AP$4-1)*5+2)))</f>
        <v/>
      </c>
      <c r="AQ428" s="25">
        <f>AP428*(1/(1+INDEX($Q428:$AJ428,1,(AQ$4-1)*5+4)))^(1+INDEX($Q428:$AJ428,1,(AQ$4-1)*5+2))*(1+AQ$7)^INDEX($Q428:$AJ428,1,(AQ$4-1)*5+1)*(AQ298/AP298)^INDEX($Q428:$AJ428,1,(AQ$4-1)*5+2)*(AQ298/AP298)^(INDEX($Q428:$AJ428,1,(AQ$4-1)*5+3)*(1+INDEX($Q428:$AJ428,1,(AQ$4-1)*5+2)))</f>
        <v/>
      </c>
      <c r="AR428" s="25">
        <f>AQ428*(1/(1+INDEX($Q428:$AJ428,1,(AR$4-1)*5+4)))^(1+INDEX($Q428:$AJ428,1,(AR$4-1)*5+2))*(1+AR$7)^INDEX($Q428:$AJ428,1,(AR$4-1)*5+1)*(AR298/AQ298)^INDEX($Q428:$AJ428,1,(AR$4-1)*5+2)*(AR298/AQ298)^(INDEX($Q428:$AJ428,1,(AR$4-1)*5+3)*(1+INDEX($Q428:$AJ428,1,(AR$4-1)*5+2)))</f>
        <v/>
      </c>
      <c r="AS428" s="25">
        <f>AR428*(1/(1+INDEX($Q428:$AJ428,1,(AS$4-1)*5+4)))^(1+INDEX($Q428:$AJ428,1,(AS$4-1)*5+2))*(1+AS$7)^INDEX($Q428:$AJ428,1,(AS$4-1)*5+1)*(AS298/AR298)^INDEX($Q428:$AJ428,1,(AS$4-1)*5+2)*(AS298/AR298)^(INDEX($Q428:$AJ428,1,(AS$4-1)*5+3)*(1+INDEX($Q428:$AJ428,1,(AS$4-1)*5+2)))</f>
        <v/>
      </c>
      <c r="AT428" s="25">
        <f>AS428*(1/(1+INDEX($Q428:$AJ428,1,(AT$4-1)*5+4)))^(1+INDEX($Q428:$AJ428,1,(AT$4-1)*5+2))*(1+AT$7)^INDEX($Q428:$AJ428,1,(AT$4-1)*5+1)*(AT298/AS298)^INDEX($Q428:$AJ428,1,(AT$4-1)*5+2)*(AT298/AS298)^(INDEX($Q428:$AJ428,1,(AT$4-1)*5+3)*(1+INDEX($Q428:$AJ428,1,(AT$4-1)*5+2)))</f>
        <v/>
      </c>
      <c r="AU428" s="25">
        <f>AT428*(1/(1+INDEX($Q428:$AJ428,1,(AU$4-1)*5+4)))^(1+INDEX($Q428:$AJ428,1,(AU$4-1)*5+2))*(1+AU$7)^INDEX($Q428:$AJ428,1,(AU$4-1)*5+1)*(AU298/AT298)^INDEX($Q428:$AJ428,1,(AU$4-1)*5+2)*(AU298/AT298)^(INDEX($Q428:$AJ428,1,(AU$4-1)*5+3)*(1+INDEX($Q428:$AJ428,1,(AU$4-1)*5+2)))</f>
        <v/>
      </c>
      <c r="AV428" s="25">
        <f>AU428*(1/(1+INDEX($Q428:$AJ428,1,(AV$4-1)*5+4)))^(1+INDEX($Q428:$AJ428,1,(AV$4-1)*5+2))*(1+AV$7)^INDEX($Q428:$AJ428,1,(AV$4-1)*5+1)*(AV298/AU298)^INDEX($Q428:$AJ428,1,(AV$4-1)*5+2)*(AV298/AU298)^(INDEX($Q428:$AJ428,1,(AV$4-1)*5+3)*(1+INDEX($Q428:$AJ428,1,(AV$4-1)*5+2)))</f>
        <v/>
      </c>
      <c r="AW428" s="25">
        <f>AV428*(1/(1+INDEX($Q428:$AJ428,1,(AW$4-1)*5+4)))^(1+INDEX($Q428:$AJ428,1,(AW$4-1)*5+2))*(1+AW$7)^INDEX($Q428:$AJ428,1,(AW$4-1)*5+1)*(AW298/AV298)^INDEX($Q428:$AJ428,1,(AW$4-1)*5+2)*(AW298/AV298)^(INDEX($Q428:$AJ428,1,(AW$4-1)*5+3)*(1+INDEX($Q428:$AJ428,1,(AW$4-1)*5+2)))</f>
        <v/>
      </c>
      <c r="AX428" s="25">
        <f>AW428*(1/(1+INDEX($Q428:$AJ428,1,(AX$4-1)*5+4)))^(1+INDEX($Q428:$AJ428,1,(AX$4-1)*5+2))*(1+AX$7)^INDEX($Q428:$AJ428,1,(AX$4-1)*5+1)*(AX298/AW298)^INDEX($Q428:$AJ428,1,(AX$4-1)*5+2)*(AX298/AW298)^(INDEX($Q428:$AJ428,1,(AX$4-1)*5+3)*(1+INDEX($Q428:$AJ428,1,(AX$4-1)*5+2)))</f>
        <v/>
      </c>
      <c r="AY428" s="25">
        <f>AX428*(1/(1+INDEX($Q428:$AJ428,1,(AY$4-1)*5+4)))^(1+INDEX($Q428:$AJ428,1,(AY$4-1)*5+2))*(1+AY$7)^INDEX($Q428:$AJ428,1,(AY$4-1)*5+1)*(AY298/AX298)^INDEX($Q428:$AJ428,1,(AY$4-1)*5+2)*(AY298/AX298)^(INDEX($Q428:$AJ428,1,(AY$4-1)*5+3)*(1+INDEX($Q428:$AJ428,1,(AY$4-1)*5+2)))</f>
        <v/>
      </c>
      <c r="BA428" s="24">
        <f>INDEX(EnergyCons!$F$4:$F$5000,MATCH(Settings!$C$4&amp;"|"&amp;BA$5&amp;"|"&amp;$C428&amp;"|"&amp;$B428,EnergyCons!$A$4:$A$5000,0))</f>
        <v/>
      </c>
      <c r="BB428" s="25">
        <f>BA428*(1/(1+INDEX($Q428:$AJ428,1,(BB$4-1)*5+4)))^(1+INDEX($Q428:$AJ428,1,(BB$4-1)*5+2))*(1+BB$7)^INDEX($Q428:$AJ428,1,(BB$4-1)*5+1)*(BB298/BA298)^INDEX($Q428:$AJ428,1,(BB$4-1)*5+2)*(BB298/BA298)^(INDEX($Q428:$AJ428,1,(BB$4-1)*5+3)*(1+INDEX($Q428:$AJ428,1,(BB$4-1)*5+2)))</f>
        <v/>
      </c>
      <c r="BC428" s="25">
        <f>BB428*(1/(1+INDEX($Q428:$AJ428,1,(BC$4-1)*5+4)))^(1+INDEX($Q428:$AJ428,1,(BC$4-1)*5+2))*(1+BC$7)^INDEX($Q428:$AJ428,1,(BC$4-1)*5+1)*(BC298/BB298)^INDEX($Q428:$AJ428,1,(BC$4-1)*5+2)*(BC298/BB298)^(INDEX($Q428:$AJ428,1,(BC$4-1)*5+3)*(1+INDEX($Q428:$AJ428,1,(BC$4-1)*5+2)))</f>
        <v/>
      </c>
      <c r="BD428" s="25">
        <f>BC428*(1/(1+INDEX($Q428:$AJ428,1,(BD$4-1)*5+4)))^(1+INDEX($Q428:$AJ428,1,(BD$4-1)*5+2))*(1+BD$7)^INDEX($Q428:$AJ428,1,(BD$4-1)*5+1)*(BD298/BC298)^INDEX($Q428:$AJ428,1,(BD$4-1)*5+2)*(BD298/BC298)^(INDEX($Q428:$AJ428,1,(BD$4-1)*5+3)*(1+INDEX($Q428:$AJ428,1,(BD$4-1)*5+2)))</f>
        <v/>
      </c>
      <c r="BE428" s="25">
        <f>BD428*(1/(1+INDEX($Q428:$AJ428,1,(BE$4-1)*5+4)))^(1+INDEX($Q428:$AJ428,1,(BE$4-1)*5+2))*(1+BE$7)^INDEX($Q428:$AJ428,1,(BE$4-1)*5+1)*(BE298/BD298)^INDEX($Q428:$AJ428,1,(BE$4-1)*5+2)*(BE298/BD298)^(INDEX($Q428:$AJ428,1,(BE$4-1)*5+3)*(1+INDEX($Q428:$AJ428,1,(BE$4-1)*5+2)))</f>
        <v/>
      </c>
      <c r="BF428" s="25">
        <f>BE428*(1/(1+INDEX($Q428:$AJ428,1,(BF$4-1)*5+4)))^(1+INDEX($Q428:$AJ428,1,(BF$4-1)*5+2))*(1+BF$7)^INDEX($Q428:$AJ428,1,(BF$4-1)*5+1)*(BF298/BE298)^INDEX($Q428:$AJ428,1,(BF$4-1)*5+2)*(BF298/BE298)^(INDEX($Q428:$AJ428,1,(BF$4-1)*5+3)*(1+INDEX($Q428:$AJ428,1,(BF$4-1)*5+2)))</f>
        <v/>
      </c>
      <c r="BG428" s="25">
        <f>BF428*(1/(1+INDEX($Q428:$AJ428,1,(BG$4-1)*5+4)))^(1+INDEX($Q428:$AJ428,1,(BG$4-1)*5+2))*(1+BG$7)^INDEX($Q428:$AJ428,1,(BG$4-1)*5+1)*(BG298/BF298)^INDEX($Q428:$AJ428,1,(BG$4-1)*5+2)*(BG298/BF298)^(INDEX($Q428:$AJ428,1,(BG$4-1)*5+3)*(1+INDEX($Q428:$AJ428,1,(BG$4-1)*5+2)))</f>
        <v/>
      </c>
      <c r="BH428" s="25">
        <f>BG428*(1/(1+INDEX($Q428:$AJ428,1,(BH$4-1)*5+4)))^(1+INDEX($Q428:$AJ428,1,(BH$4-1)*5+2))*(1+BH$7)^INDEX($Q428:$AJ428,1,(BH$4-1)*5+1)*(BH298/BG298)^INDEX($Q428:$AJ428,1,(BH$4-1)*5+2)*(BH298/BG298)^(INDEX($Q428:$AJ428,1,(BH$4-1)*5+3)*(1+INDEX($Q428:$AJ428,1,(BH$4-1)*5+2)))</f>
        <v/>
      </c>
      <c r="BI428" s="25">
        <f>BH428*(1/(1+INDEX($Q428:$AJ428,1,(BI$4-1)*5+4)))^(1+INDEX($Q428:$AJ428,1,(BI$4-1)*5+2))*(1+BI$7)^INDEX($Q428:$AJ428,1,(BI$4-1)*5+1)*(BI298/BH298)^INDEX($Q428:$AJ428,1,(BI$4-1)*5+2)*(BI298/BH298)^(INDEX($Q428:$AJ428,1,(BI$4-1)*5+3)*(1+INDEX($Q428:$AJ428,1,(BI$4-1)*5+2)))</f>
        <v/>
      </c>
      <c r="BJ428" s="25">
        <f>BI428*(1/(1+INDEX($Q428:$AJ428,1,(BJ$4-1)*5+4)))^(1+INDEX($Q428:$AJ428,1,(BJ$4-1)*5+2))*(1+BJ$7)^INDEX($Q428:$AJ428,1,(BJ$4-1)*5+1)*(BJ298/BI298)^INDEX($Q428:$AJ428,1,(BJ$4-1)*5+2)*(BJ298/BI298)^(INDEX($Q428:$AJ428,1,(BJ$4-1)*5+3)*(1+INDEX($Q428:$AJ428,1,(BJ$4-1)*5+2)))</f>
        <v/>
      </c>
      <c r="BK428" s="25">
        <f>BJ428*(1/(1+INDEX($Q428:$AJ428,1,(BK$4-1)*5+4)))^(1+INDEX($Q428:$AJ428,1,(BK$4-1)*5+2))*(1+BK$7)^INDEX($Q428:$AJ428,1,(BK$4-1)*5+1)*(BK298/BJ298)^INDEX($Q428:$AJ428,1,(BK$4-1)*5+2)*(BK298/BJ298)^(INDEX($Q428:$AJ428,1,(BK$4-1)*5+3)*(1+INDEX($Q428:$AJ428,1,(BK$4-1)*5+2)))</f>
        <v/>
      </c>
      <c r="BL428" s="25">
        <f>BK428*(1/(1+INDEX($Q428:$AJ428,1,(BL$4-1)*5+4)))^(1+INDEX($Q428:$AJ428,1,(BL$4-1)*5+2))*(1+BL$7)^INDEX($Q428:$AJ428,1,(BL$4-1)*5+1)*(BL298/BK298)^INDEX($Q428:$AJ428,1,(BL$4-1)*5+2)*(BL298/BK298)^(INDEX($Q428:$AJ428,1,(BL$4-1)*5+3)*(1+INDEX($Q428:$AJ428,1,(BL$4-1)*5+2)))</f>
        <v/>
      </c>
      <c r="BM428" s="25">
        <f>BL428*(1/(1+INDEX($Q428:$AJ428,1,(BM$4-1)*5+4)))^(1+INDEX($Q428:$AJ428,1,(BM$4-1)*5+2))*(1+BM$7)^INDEX($Q428:$AJ428,1,(BM$4-1)*5+1)*(BM298/BL298)^INDEX($Q428:$AJ428,1,(BM$4-1)*5+2)*(BM298/BL298)^(INDEX($Q428:$AJ428,1,(BM$4-1)*5+3)*(1+INDEX($Q428:$AJ428,1,(BM$4-1)*5+2)))</f>
        <v/>
      </c>
      <c r="BN428" s="25">
        <f>BM428*(1/(1+INDEX($Q428:$AJ428,1,(BN$4-1)*5+4)))^(1+INDEX($Q428:$AJ428,1,(BN$4-1)*5+2))*(1+BN$7)^INDEX($Q428:$AJ428,1,(BN$4-1)*5+1)*(BN298/BM298)^INDEX($Q428:$AJ428,1,(BN$4-1)*5+2)*(BN298/BM298)^(INDEX($Q428:$AJ428,1,(BN$4-1)*5+3)*(1+INDEX($Q428:$AJ428,1,(BN$4-1)*5+2)))</f>
        <v/>
      </c>
    </row>
    <row r="429">
      <c r="B429" s="5" t="inlineStr">
        <is>
          <t>lpg</t>
        </is>
      </c>
      <c r="C429" s="5" t="inlineStr">
        <is>
          <t>nav</t>
        </is>
      </c>
      <c r="D429" s="5" t="inlineStr">
        <is>
          <t>Fuel use | Domestic navigation | LPG</t>
        </is>
      </c>
      <c r="E429" s="5" t="inlineStr">
        <is>
          <t>ktoe</t>
        </is>
      </c>
      <c r="F429" s="5" t="inlineStr">
        <is>
          <t>EnergyCons (base year), Elasticities</t>
        </is>
      </c>
      <c r="G429" s="19" t="inlineStr">
        <is>
          <t>mit.enc.lpg.nav</t>
        </is>
      </c>
      <c r="H429" s="19" t="inlineStr">
        <is>
          <t>mit.enc.lpg.nav</t>
        </is>
      </c>
      <c r="J429" s="5">
        <f>INDEX(Mapping!$C$5:$C$20,MATCH($C429,Mapping!$A$5:$A$20,0))</f>
        <v/>
      </c>
      <c r="K429" s="5">
        <f>INDEX(Mapping!$D$5:$D$20,MATCH($C429,Mapping!$A$5:$A$20,0))</f>
        <v/>
      </c>
      <c r="L429" s="5">
        <f>INDEX(Mapping!$C$24:$C$31,MATCH($B429,Mapping!$A$24:$A$31,0))</f>
        <v/>
      </c>
      <c r="M429" s="5">
        <f>INDEX(Mapping!$D$24:$D$31,MATCH($B429,Mapping!$A$24:$A$31,0))</f>
        <v/>
      </c>
      <c r="N429" s="5">
        <f>$B429&amp;"."&amp;IF(INDEX(Mapping!$E$24:$E$31,MATCH($B429,Mapping!$A$24:$A$31,0))="sub",INDEX(Mapping!$F$5:$F$20,MATCH($C429,Mapping!$A$5:$A$20,0)),"all")</f>
        <v/>
      </c>
      <c r="O429" s="5">
        <f>INDEX(Mapping!$E$5:$E$20,MATCH($C429,Mapping!$A$5:$A$20,0))</f>
        <v/>
      </c>
      <c r="P429" s="5">
        <f>INDEX(Mapping!$G$24:$G$31,MATCH($B429,Mapping!$A$24:$A$31,0))</f>
        <v/>
      </c>
      <c r="Q429" s="22">
        <f>INDEX(Elasticities!$F$4:$I$200,MATCH("inc|"&amp;$L429&amp;"|"&amp;$K429,Elasticities!$A$4:$A$200,0),MATCH(Settings!$C$6,Elasticities!$F$3:$I$3,0))</f>
        <v/>
      </c>
      <c r="R429" s="22">
        <f>INDEX(Elasticities!$F$4:$I$200,MATCH("usg|"&amp;$L429&amp;"|"&amp;$K429,Elasticities!$A$4:$A$200,0),MATCH(Settings!$C$6,Elasticities!$F$3:$I$3,0))</f>
        <v/>
      </c>
      <c r="S429" s="22">
        <f>INDEX(Elasticities!$F$4:$I$200,MATCH("eff|"&amp;$L429&amp;"|"&amp;$K429,Elasticities!$A$4:$A$200,0),MATCH(Settings!$C$6,Elasticities!$F$3:$I$3,0))</f>
        <v/>
      </c>
      <c r="T429" s="22">
        <f>INDEX(Elasticities!$F$4:$I$200,MATCH("aei|"&amp;$M429&amp;"|"&amp;$K429,Elasticities!$A$4:$A$200,0),MATCH(Settings!$C$6,Elasticities!$F$3:$I$3,0))</f>
        <v/>
      </c>
      <c r="U429" s="21" t="n"/>
      <c r="V429" s="22">
        <f>Q429</f>
        <v/>
      </c>
      <c r="W429" s="22">
        <f>R429</f>
        <v/>
      </c>
      <c r="X429" s="22">
        <f>S429</f>
        <v/>
      </c>
      <c r="Y429" s="22">
        <f>T429</f>
        <v/>
      </c>
      <c r="Z429" s="21" t="n"/>
      <c r="AA429" s="22">
        <f>Q429</f>
        <v/>
      </c>
      <c r="AB429" s="22">
        <f>R429</f>
        <v/>
      </c>
      <c r="AC429" s="22">
        <f>S429</f>
        <v/>
      </c>
      <c r="AD429" s="22">
        <f>T429</f>
        <v/>
      </c>
      <c r="AE429" s="21" t="n"/>
      <c r="AF429" s="22">
        <f>Q429</f>
        <v/>
      </c>
      <c r="AG429" s="22">
        <f>R429</f>
        <v/>
      </c>
      <c r="AH429" s="22">
        <f>S429</f>
        <v/>
      </c>
      <c r="AI429" s="22">
        <f>T429</f>
        <v/>
      </c>
      <c r="AJ429" s="21" t="n"/>
      <c r="AL429" s="24">
        <f>INDEX(EnergyCons!$F$4:$F$5000,MATCH(Settings!$C$4&amp;"|"&amp;AL$5&amp;"|"&amp;$C429&amp;"|"&amp;$B429,EnergyCons!$A$4:$A$5000,0))</f>
        <v/>
      </c>
      <c r="AM429" s="25">
        <f>AL429*(1/(1+INDEX($Q429:$AJ429,1,(AM$4-1)*5+4)))^(1+INDEX($Q429:$AJ429,1,(AM$4-1)*5+2))*(1+AM$7)^INDEX($Q429:$AJ429,1,(AM$4-1)*5+1)*(AM299/AL299)^INDEX($Q429:$AJ429,1,(AM$4-1)*5+2)*(AM299/AL299)^(INDEX($Q429:$AJ429,1,(AM$4-1)*5+3)*(1+INDEX($Q429:$AJ429,1,(AM$4-1)*5+2)))</f>
        <v/>
      </c>
      <c r="AN429" s="25">
        <f>AM429*(1/(1+INDEX($Q429:$AJ429,1,(AN$4-1)*5+4)))^(1+INDEX($Q429:$AJ429,1,(AN$4-1)*5+2))*(1+AN$7)^INDEX($Q429:$AJ429,1,(AN$4-1)*5+1)*(AN299/AM299)^INDEX($Q429:$AJ429,1,(AN$4-1)*5+2)*(AN299/AM299)^(INDEX($Q429:$AJ429,1,(AN$4-1)*5+3)*(1+INDEX($Q429:$AJ429,1,(AN$4-1)*5+2)))</f>
        <v/>
      </c>
      <c r="AO429" s="25">
        <f>AN429*(1/(1+INDEX($Q429:$AJ429,1,(AO$4-1)*5+4)))^(1+INDEX($Q429:$AJ429,1,(AO$4-1)*5+2))*(1+AO$7)^INDEX($Q429:$AJ429,1,(AO$4-1)*5+1)*(AO299/AN299)^INDEX($Q429:$AJ429,1,(AO$4-1)*5+2)*(AO299/AN299)^(INDEX($Q429:$AJ429,1,(AO$4-1)*5+3)*(1+INDEX($Q429:$AJ429,1,(AO$4-1)*5+2)))</f>
        <v/>
      </c>
      <c r="AP429" s="25">
        <f>AO429*(1/(1+INDEX($Q429:$AJ429,1,(AP$4-1)*5+4)))^(1+INDEX($Q429:$AJ429,1,(AP$4-1)*5+2))*(1+AP$7)^INDEX($Q429:$AJ429,1,(AP$4-1)*5+1)*(AP299/AO299)^INDEX($Q429:$AJ429,1,(AP$4-1)*5+2)*(AP299/AO299)^(INDEX($Q429:$AJ429,1,(AP$4-1)*5+3)*(1+INDEX($Q429:$AJ429,1,(AP$4-1)*5+2)))</f>
        <v/>
      </c>
      <c r="AQ429" s="25">
        <f>AP429*(1/(1+INDEX($Q429:$AJ429,1,(AQ$4-1)*5+4)))^(1+INDEX($Q429:$AJ429,1,(AQ$4-1)*5+2))*(1+AQ$7)^INDEX($Q429:$AJ429,1,(AQ$4-1)*5+1)*(AQ299/AP299)^INDEX($Q429:$AJ429,1,(AQ$4-1)*5+2)*(AQ299/AP299)^(INDEX($Q429:$AJ429,1,(AQ$4-1)*5+3)*(1+INDEX($Q429:$AJ429,1,(AQ$4-1)*5+2)))</f>
        <v/>
      </c>
      <c r="AR429" s="25">
        <f>AQ429*(1/(1+INDEX($Q429:$AJ429,1,(AR$4-1)*5+4)))^(1+INDEX($Q429:$AJ429,1,(AR$4-1)*5+2))*(1+AR$7)^INDEX($Q429:$AJ429,1,(AR$4-1)*5+1)*(AR299/AQ299)^INDEX($Q429:$AJ429,1,(AR$4-1)*5+2)*(AR299/AQ299)^(INDEX($Q429:$AJ429,1,(AR$4-1)*5+3)*(1+INDEX($Q429:$AJ429,1,(AR$4-1)*5+2)))</f>
        <v/>
      </c>
      <c r="AS429" s="25">
        <f>AR429*(1/(1+INDEX($Q429:$AJ429,1,(AS$4-1)*5+4)))^(1+INDEX($Q429:$AJ429,1,(AS$4-1)*5+2))*(1+AS$7)^INDEX($Q429:$AJ429,1,(AS$4-1)*5+1)*(AS299/AR299)^INDEX($Q429:$AJ429,1,(AS$4-1)*5+2)*(AS299/AR299)^(INDEX($Q429:$AJ429,1,(AS$4-1)*5+3)*(1+INDEX($Q429:$AJ429,1,(AS$4-1)*5+2)))</f>
        <v/>
      </c>
      <c r="AT429" s="25">
        <f>AS429*(1/(1+INDEX($Q429:$AJ429,1,(AT$4-1)*5+4)))^(1+INDEX($Q429:$AJ429,1,(AT$4-1)*5+2))*(1+AT$7)^INDEX($Q429:$AJ429,1,(AT$4-1)*5+1)*(AT299/AS299)^INDEX($Q429:$AJ429,1,(AT$4-1)*5+2)*(AT299/AS299)^(INDEX($Q429:$AJ429,1,(AT$4-1)*5+3)*(1+INDEX($Q429:$AJ429,1,(AT$4-1)*5+2)))</f>
        <v/>
      </c>
      <c r="AU429" s="25">
        <f>AT429*(1/(1+INDEX($Q429:$AJ429,1,(AU$4-1)*5+4)))^(1+INDEX($Q429:$AJ429,1,(AU$4-1)*5+2))*(1+AU$7)^INDEX($Q429:$AJ429,1,(AU$4-1)*5+1)*(AU299/AT299)^INDEX($Q429:$AJ429,1,(AU$4-1)*5+2)*(AU299/AT299)^(INDEX($Q429:$AJ429,1,(AU$4-1)*5+3)*(1+INDEX($Q429:$AJ429,1,(AU$4-1)*5+2)))</f>
        <v/>
      </c>
      <c r="AV429" s="25">
        <f>AU429*(1/(1+INDEX($Q429:$AJ429,1,(AV$4-1)*5+4)))^(1+INDEX($Q429:$AJ429,1,(AV$4-1)*5+2))*(1+AV$7)^INDEX($Q429:$AJ429,1,(AV$4-1)*5+1)*(AV299/AU299)^INDEX($Q429:$AJ429,1,(AV$4-1)*5+2)*(AV299/AU299)^(INDEX($Q429:$AJ429,1,(AV$4-1)*5+3)*(1+INDEX($Q429:$AJ429,1,(AV$4-1)*5+2)))</f>
        <v/>
      </c>
      <c r="AW429" s="25">
        <f>AV429*(1/(1+INDEX($Q429:$AJ429,1,(AW$4-1)*5+4)))^(1+INDEX($Q429:$AJ429,1,(AW$4-1)*5+2))*(1+AW$7)^INDEX($Q429:$AJ429,1,(AW$4-1)*5+1)*(AW299/AV299)^INDEX($Q429:$AJ429,1,(AW$4-1)*5+2)*(AW299/AV299)^(INDEX($Q429:$AJ429,1,(AW$4-1)*5+3)*(1+INDEX($Q429:$AJ429,1,(AW$4-1)*5+2)))</f>
        <v/>
      </c>
      <c r="AX429" s="25">
        <f>AW429*(1/(1+INDEX($Q429:$AJ429,1,(AX$4-1)*5+4)))^(1+INDEX($Q429:$AJ429,1,(AX$4-1)*5+2))*(1+AX$7)^INDEX($Q429:$AJ429,1,(AX$4-1)*5+1)*(AX299/AW299)^INDEX($Q429:$AJ429,1,(AX$4-1)*5+2)*(AX299/AW299)^(INDEX($Q429:$AJ429,1,(AX$4-1)*5+3)*(1+INDEX($Q429:$AJ429,1,(AX$4-1)*5+2)))</f>
        <v/>
      </c>
      <c r="AY429" s="25">
        <f>AX429*(1/(1+INDEX($Q429:$AJ429,1,(AY$4-1)*5+4)))^(1+INDEX($Q429:$AJ429,1,(AY$4-1)*5+2))*(1+AY$7)^INDEX($Q429:$AJ429,1,(AY$4-1)*5+1)*(AY299/AX299)^INDEX($Q429:$AJ429,1,(AY$4-1)*5+2)*(AY299/AX299)^(INDEX($Q429:$AJ429,1,(AY$4-1)*5+3)*(1+INDEX($Q429:$AJ429,1,(AY$4-1)*5+2)))</f>
        <v/>
      </c>
      <c r="BA429" s="24">
        <f>INDEX(EnergyCons!$F$4:$F$5000,MATCH(Settings!$C$4&amp;"|"&amp;BA$5&amp;"|"&amp;$C429&amp;"|"&amp;$B429,EnergyCons!$A$4:$A$5000,0))</f>
        <v/>
      </c>
      <c r="BB429" s="25">
        <f>BA429*(1/(1+INDEX($Q429:$AJ429,1,(BB$4-1)*5+4)))^(1+INDEX($Q429:$AJ429,1,(BB$4-1)*5+2))*(1+BB$7)^INDEX($Q429:$AJ429,1,(BB$4-1)*5+1)*(BB299/BA299)^INDEX($Q429:$AJ429,1,(BB$4-1)*5+2)*(BB299/BA299)^(INDEX($Q429:$AJ429,1,(BB$4-1)*5+3)*(1+INDEX($Q429:$AJ429,1,(BB$4-1)*5+2)))</f>
        <v/>
      </c>
      <c r="BC429" s="25">
        <f>BB429*(1/(1+INDEX($Q429:$AJ429,1,(BC$4-1)*5+4)))^(1+INDEX($Q429:$AJ429,1,(BC$4-1)*5+2))*(1+BC$7)^INDEX($Q429:$AJ429,1,(BC$4-1)*5+1)*(BC299/BB299)^INDEX($Q429:$AJ429,1,(BC$4-1)*5+2)*(BC299/BB299)^(INDEX($Q429:$AJ429,1,(BC$4-1)*5+3)*(1+INDEX($Q429:$AJ429,1,(BC$4-1)*5+2)))</f>
        <v/>
      </c>
      <c r="BD429" s="25">
        <f>BC429*(1/(1+INDEX($Q429:$AJ429,1,(BD$4-1)*5+4)))^(1+INDEX($Q429:$AJ429,1,(BD$4-1)*5+2))*(1+BD$7)^INDEX($Q429:$AJ429,1,(BD$4-1)*5+1)*(BD299/BC299)^INDEX($Q429:$AJ429,1,(BD$4-1)*5+2)*(BD299/BC299)^(INDEX($Q429:$AJ429,1,(BD$4-1)*5+3)*(1+INDEX($Q429:$AJ429,1,(BD$4-1)*5+2)))</f>
        <v/>
      </c>
      <c r="BE429" s="25">
        <f>BD429*(1/(1+INDEX($Q429:$AJ429,1,(BE$4-1)*5+4)))^(1+INDEX($Q429:$AJ429,1,(BE$4-1)*5+2))*(1+BE$7)^INDEX($Q429:$AJ429,1,(BE$4-1)*5+1)*(BE299/BD299)^INDEX($Q429:$AJ429,1,(BE$4-1)*5+2)*(BE299/BD299)^(INDEX($Q429:$AJ429,1,(BE$4-1)*5+3)*(1+INDEX($Q429:$AJ429,1,(BE$4-1)*5+2)))</f>
        <v/>
      </c>
      <c r="BF429" s="25">
        <f>BE429*(1/(1+INDEX($Q429:$AJ429,1,(BF$4-1)*5+4)))^(1+INDEX($Q429:$AJ429,1,(BF$4-1)*5+2))*(1+BF$7)^INDEX($Q429:$AJ429,1,(BF$4-1)*5+1)*(BF299/BE299)^INDEX($Q429:$AJ429,1,(BF$4-1)*5+2)*(BF299/BE299)^(INDEX($Q429:$AJ429,1,(BF$4-1)*5+3)*(1+INDEX($Q429:$AJ429,1,(BF$4-1)*5+2)))</f>
        <v/>
      </c>
      <c r="BG429" s="25">
        <f>BF429*(1/(1+INDEX($Q429:$AJ429,1,(BG$4-1)*5+4)))^(1+INDEX($Q429:$AJ429,1,(BG$4-1)*5+2))*(1+BG$7)^INDEX($Q429:$AJ429,1,(BG$4-1)*5+1)*(BG299/BF299)^INDEX($Q429:$AJ429,1,(BG$4-1)*5+2)*(BG299/BF299)^(INDEX($Q429:$AJ429,1,(BG$4-1)*5+3)*(1+INDEX($Q429:$AJ429,1,(BG$4-1)*5+2)))</f>
        <v/>
      </c>
      <c r="BH429" s="25">
        <f>BG429*(1/(1+INDEX($Q429:$AJ429,1,(BH$4-1)*5+4)))^(1+INDEX($Q429:$AJ429,1,(BH$4-1)*5+2))*(1+BH$7)^INDEX($Q429:$AJ429,1,(BH$4-1)*5+1)*(BH299/BG299)^INDEX($Q429:$AJ429,1,(BH$4-1)*5+2)*(BH299/BG299)^(INDEX($Q429:$AJ429,1,(BH$4-1)*5+3)*(1+INDEX($Q429:$AJ429,1,(BH$4-1)*5+2)))</f>
        <v/>
      </c>
      <c r="BI429" s="25">
        <f>BH429*(1/(1+INDEX($Q429:$AJ429,1,(BI$4-1)*5+4)))^(1+INDEX($Q429:$AJ429,1,(BI$4-1)*5+2))*(1+BI$7)^INDEX($Q429:$AJ429,1,(BI$4-1)*5+1)*(BI299/BH299)^INDEX($Q429:$AJ429,1,(BI$4-1)*5+2)*(BI299/BH299)^(INDEX($Q429:$AJ429,1,(BI$4-1)*5+3)*(1+INDEX($Q429:$AJ429,1,(BI$4-1)*5+2)))</f>
        <v/>
      </c>
      <c r="BJ429" s="25">
        <f>BI429*(1/(1+INDEX($Q429:$AJ429,1,(BJ$4-1)*5+4)))^(1+INDEX($Q429:$AJ429,1,(BJ$4-1)*5+2))*(1+BJ$7)^INDEX($Q429:$AJ429,1,(BJ$4-1)*5+1)*(BJ299/BI299)^INDEX($Q429:$AJ429,1,(BJ$4-1)*5+2)*(BJ299/BI299)^(INDEX($Q429:$AJ429,1,(BJ$4-1)*5+3)*(1+INDEX($Q429:$AJ429,1,(BJ$4-1)*5+2)))</f>
        <v/>
      </c>
      <c r="BK429" s="25">
        <f>BJ429*(1/(1+INDEX($Q429:$AJ429,1,(BK$4-1)*5+4)))^(1+INDEX($Q429:$AJ429,1,(BK$4-1)*5+2))*(1+BK$7)^INDEX($Q429:$AJ429,1,(BK$4-1)*5+1)*(BK299/BJ299)^INDEX($Q429:$AJ429,1,(BK$4-1)*5+2)*(BK299/BJ299)^(INDEX($Q429:$AJ429,1,(BK$4-1)*5+3)*(1+INDEX($Q429:$AJ429,1,(BK$4-1)*5+2)))</f>
        <v/>
      </c>
      <c r="BL429" s="25">
        <f>BK429*(1/(1+INDEX($Q429:$AJ429,1,(BL$4-1)*5+4)))^(1+INDEX($Q429:$AJ429,1,(BL$4-1)*5+2))*(1+BL$7)^INDEX($Q429:$AJ429,1,(BL$4-1)*5+1)*(BL299/BK299)^INDEX($Q429:$AJ429,1,(BL$4-1)*5+2)*(BL299/BK299)^(INDEX($Q429:$AJ429,1,(BL$4-1)*5+3)*(1+INDEX($Q429:$AJ429,1,(BL$4-1)*5+2)))</f>
        <v/>
      </c>
      <c r="BM429" s="25">
        <f>BL429*(1/(1+INDEX($Q429:$AJ429,1,(BM$4-1)*5+4)))^(1+INDEX($Q429:$AJ429,1,(BM$4-1)*5+2))*(1+BM$7)^INDEX($Q429:$AJ429,1,(BM$4-1)*5+1)*(BM299/BL299)^INDEX($Q429:$AJ429,1,(BM$4-1)*5+2)*(BM299/BL299)^(INDEX($Q429:$AJ429,1,(BM$4-1)*5+3)*(1+INDEX($Q429:$AJ429,1,(BM$4-1)*5+2)))</f>
        <v/>
      </c>
      <c r="BN429" s="25">
        <f>BM429*(1/(1+INDEX($Q429:$AJ429,1,(BN$4-1)*5+4)))^(1+INDEX($Q429:$AJ429,1,(BN$4-1)*5+2))*(1+BN$7)^INDEX($Q429:$AJ429,1,(BN$4-1)*5+1)*(BN299/BM299)^INDEX($Q429:$AJ429,1,(BN$4-1)*5+2)*(BN299/BM299)^(INDEX($Q429:$AJ429,1,(BN$4-1)*5+3)*(1+INDEX($Q429:$AJ429,1,(BN$4-1)*5+2)))</f>
        <v/>
      </c>
    </row>
    <row r="430">
      <c r="B430" s="5" t="inlineStr">
        <is>
          <t>ker</t>
        </is>
      </c>
      <c r="C430" s="5" t="inlineStr">
        <is>
          <t>nav</t>
        </is>
      </c>
      <c r="D430" s="5" t="inlineStr">
        <is>
          <t>Fuel use | Domestic navigation | Kerosene</t>
        </is>
      </c>
      <c r="E430" s="5" t="inlineStr">
        <is>
          <t>ktoe</t>
        </is>
      </c>
      <c r="F430" s="5" t="inlineStr">
        <is>
          <t>EnergyCons (base year), Elasticities</t>
        </is>
      </c>
      <c r="G430" s="19" t="inlineStr">
        <is>
          <t>mit.enc.ker.nav</t>
        </is>
      </c>
      <c r="H430" s="19" t="inlineStr">
        <is>
          <t>mit.enc.ker.nav</t>
        </is>
      </c>
      <c r="J430" s="5">
        <f>INDEX(Mapping!$C$5:$C$20,MATCH($C430,Mapping!$A$5:$A$20,0))</f>
        <v/>
      </c>
      <c r="K430" s="5">
        <f>INDEX(Mapping!$D$5:$D$20,MATCH($C430,Mapping!$A$5:$A$20,0))</f>
        <v/>
      </c>
      <c r="L430" s="5">
        <f>INDEX(Mapping!$C$24:$C$31,MATCH($B430,Mapping!$A$24:$A$31,0))</f>
        <v/>
      </c>
      <c r="M430" s="5">
        <f>INDEX(Mapping!$D$24:$D$31,MATCH($B430,Mapping!$A$24:$A$31,0))</f>
        <v/>
      </c>
      <c r="N430" s="5">
        <f>$B430&amp;"."&amp;IF(INDEX(Mapping!$E$24:$E$31,MATCH($B430,Mapping!$A$24:$A$31,0))="sub",INDEX(Mapping!$F$5:$F$20,MATCH($C430,Mapping!$A$5:$A$20,0)),"all")</f>
        <v/>
      </c>
      <c r="O430" s="5">
        <f>INDEX(Mapping!$E$5:$E$20,MATCH($C430,Mapping!$A$5:$A$20,0))</f>
        <v/>
      </c>
      <c r="P430" s="5">
        <f>INDEX(Mapping!$G$24:$G$31,MATCH($B430,Mapping!$A$24:$A$31,0))</f>
        <v/>
      </c>
      <c r="Q430" s="22">
        <f>INDEX(Elasticities!$F$4:$I$200,MATCH("inc|"&amp;$L430&amp;"|"&amp;$K430,Elasticities!$A$4:$A$200,0),MATCH(Settings!$C$6,Elasticities!$F$3:$I$3,0))</f>
        <v/>
      </c>
      <c r="R430" s="22">
        <f>INDEX(Elasticities!$F$4:$I$200,MATCH("usg|"&amp;$L430&amp;"|"&amp;$K430,Elasticities!$A$4:$A$200,0),MATCH(Settings!$C$6,Elasticities!$F$3:$I$3,0))</f>
        <v/>
      </c>
      <c r="S430" s="22">
        <f>INDEX(Elasticities!$F$4:$I$200,MATCH("eff|"&amp;$L430&amp;"|"&amp;$K430,Elasticities!$A$4:$A$200,0),MATCH(Settings!$C$6,Elasticities!$F$3:$I$3,0))</f>
        <v/>
      </c>
      <c r="T430" s="22">
        <f>INDEX(Elasticities!$F$4:$I$200,MATCH("aei|"&amp;$M430&amp;"|"&amp;$K430,Elasticities!$A$4:$A$200,0),MATCH(Settings!$C$6,Elasticities!$F$3:$I$3,0))</f>
        <v/>
      </c>
      <c r="U430" s="21" t="n"/>
      <c r="V430" s="22">
        <f>Q430</f>
        <v/>
      </c>
      <c r="W430" s="22">
        <f>R430</f>
        <v/>
      </c>
      <c r="X430" s="22">
        <f>S430</f>
        <v/>
      </c>
      <c r="Y430" s="22">
        <f>T430</f>
        <v/>
      </c>
      <c r="Z430" s="21" t="n"/>
      <c r="AA430" s="22">
        <f>Q430</f>
        <v/>
      </c>
      <c r="AB430" s="22">
        <f>R430</f>
        <v/>
      </c>
      <c r="AC430" s="22">
        <f>S430</f>
        <v/>
      </c>
      <c r="AD430" s="22">
        <f>T430</f>
        <v/>
      </c>
      <c r="AE430" s="21" t="n"/>
      <c r="AF430" s="22">
        <f>Q430</f>
        <v/>
      </c>
      <c r="AG430" s="22">
        <f>R430</f>
        <v/>
      </c>
      <c r="AH430" s="22">
        <f>S430</f>
        <v/>
      </c>
      <c r="AI430" s="22">
        <f>T430</f>
        <v/>
      </c>
      <c r="AJ430" s="21" t="n"/>
      <c r="AL430" s="24">
        <f>INDEX(EnergyCons!$F$4:$F$5000,MATCH(Settings!$C$4&amp;"|"&amp;AL$5&amp;"|"&amp;$C430&amp;"|"&amp;$B430,EnergyCons!$A$4:$A$5000,0))</f>
        <v/>
      </c>
      <c r="AM430" s="25">
        <f>AL430*(1/(1+INDEX($Q430:$AJ430,1,(AM$4-1)*5+4)))^(1+INDEX($Q430:$AJ430,1,(AM$4-1)*5+2))*(1+AM$7)^INDEX($Q430:$AJ430,1,(AM$4-1)*5+1)*(AM300/AL300)^INDEX($Q430:$AJ430,1,(AM$4-1)*5+2)*(AM300/AL300)^(INDEX($Q430:$AJ430,1,(AM$4-1)*5+3)*(1+INDEX($Q430:$AJ430,1,(AM$4-1)*5+2)))</f>
        <v/>
      </c>
      <c r="AN430" s="25">
        <f>AM430*(1/(1+INDEX($Q430:$AJ430,1,(AN$4-1)*5+4)))^(1+INDEX($Q430:$AJ430,1,(AN$4-1)*5+2))*(1+AN$7)^INDEX($Q430:$AJ430,1,(AN$4-1)*5+1)*(AN300/AM300)^INDEX($Q430:$AJ430,1,(AN$4-1)*5+2)*(AN300/AM300)^(INDEX($Q430:$AJ430,1,(AN$4-1)*5+3)*(1+INDEX($Q430:$AJ430,1,(AN$4-1)*5+2)))</f>
        <v/>
      </c>
      <c r="AO430" s="25">
        <f>AN430*(1/(1+INDEX($Q430:$AJ430,1,(AO$4-1)*5+4)))^(1+INDEX($Q430:$AJ430,1,(AO$4-1)*5+2))*(1+AO$7)^INDEX($Q430:$AJ430,1,(AO$4-1)*5+1)*(AO300/AN300)^INDEX($Q430:$AJ430,1,(AO$4-1)*5+2)*(AO300/AN300)^(INDEX($Q430:$AJ430,1,(AO$4-1)*5+3)*(1+INDEX($Q430:$AJ430,1,(AO$4-1)*5+2)))</f>
        <v/>
      </c>
      <c r="AP430" s="25">
        <f>AO430*(1/(1+INDEX($Q430:$AJ430,1,(AP$4-1)*5+4)))^(1+INDEX($Q430:$AJ430,1,(AP$4-1)*5+2))*(1+AP$7)^INDEX($Q430:$AJ430,1,(AP$4-1)*5+1)*(AP300/AO300)^INDEX($Q430:$AJ430,1,(AP$4-1)*5+2)*(AP300/AO300)^(INDEX($Q430:$AJ430,1,(AP$4-1)*5+3)*(1+INDEX($Q430:$AJ430,1,(AP$4-1)*5+2)))</f>
        <v/>
      </c>
      <c r="AQ430" s="25">
        <f>AP430*(1/(1+INDEX($Q430:$AJ430,1,(AQ$4-1)*5+4)))^(1+INDEX($Q430:$AJ430,1,(AQ$4-1)*5+2))*(1+AQ$7)^INDEX($Q430:$AJ430,1,(AQ$4-1)*5+1)*(AQ300/AP300)^INDEX($Q430:$AJ430,1,(AQ$4-1)*5+2)*(AQ300/AP300)^(INDEX($Q430:$AJ430,1,(AQ$4-1)*5+3)*(1+INDEX($Q430:$AJ430,1,(AQ$4-1)*5+2)))</f>
        <v/>
      </c>
      <c r="AR430" s="25">
        <f>AQ430*(1/(1+INDEX($Q430:$AJ430,1,(AR$4-1)*5+4)))^(1+INDEX($Q430:$AJ430,1,(AR$4-1)*5+2))*(1+AR$7)^INDEX($Q430:$AJ430,1,(AR$4-1)*5+1)*(AR300/AQ300)^INDEX($Q430:$AJ430,1,(AR$4-1)*5+2)*(AR300/AQ300)^(INDEX($Q430:$AJ430,1,(AR$4-1)*5+3)*(1+INDEX($Q430:$AJ430,1,(AR$4-1)*5+2)))</f>
        <v/>
      </c>
      <c r="AS430" s="25">
        <f>AR430*(1/(1+INDEX($Q430:$AJ430,1,(AS$4-1)*5+4)))^(1+INDEX($Q430:$AJ430,1,(AS$4-1)*5+2))*(1+AS$7)^INDEX($Q430:$AJ430,1,(AS$4-1)*5+1)*(AS300/AR300)^INDEX($Q430:$AJ430,1,(AS$4-1)*5+2)*(AS300/AR300)^(INDEX($Q430:$AJ430,1,(AS$4-1)*5+3)*(1+INDEX($Q430:$AJ430,1,(AS$4-1)*5+2)))</f>
        <v/>
      </c>
      <c r="AT430" s="25">
        <f>AS430*(1/(1+INDEX($Q430:$AJ430,1,(AT$4-1)*5+4)))^(1+INDEX($Q430:$AJ430,1,(AT$4-1)*5+2))*(1+AT$7)^INDEX($Q430:$AJ430,1,(AT$4-1)*5+1)*(AT300/AS300)^INDEX($Q430:$AJ430,1,(AT$4-1)*5+2)*(AT300/AS300)^(INDEX($Q430:$AJ430,1,(AT$4-1)*5+3)*(1+INDEX($Q430:$AJ430,1,(AT$4-1)*5+2)))</f>
        <v/>
      </c>
      <c r="AU430" s="25">
        <f>AT430*(1/(1+INDEX($Q430:$AJ430,1,(AU$4-1)*5+4)))^(1+INDEX($Q430:$AJ430,1,(AU$4-1)*5+2))*(1+AU$7)^INDEX($Q430:$AJ430,1,(AU$4-1)*5+1)*(AU300/AT300)^INDEX($Q430:$AJ430,1,(AU$4-1)*5+2)*(AU300/AT300)^(INDEX($Q430:$AJ430,1,(AU$4-1)*5+3)*(1+INDEX($Q430:$AJ430,1,(AU$4-1)*5+2)))</f>
        <v/>
      </c>
      <c r="AV430" s="25">
        <f>AU430*(1/(1+INDEX($Q430:$AJ430,1,(AV$4-1)*5+4)))^(1+INDEX($Q430:$AJ430,1,(AV$4-1)*5+2))*(1+AV$7)^INDEX($Q430:$AJ430,1,(AV$4-1)*5+1)*(AV300/AU300)^INDEX($Q430:$AJ430,1,(AV$4-1)*5+2)*(AV300/AU300)^(INDEX($Q430:$AJ430,1,(AV$4-1)*5+3)*(1+INDEX($Q430:$AJ430,1,(AV$4-1)*5+2)))</f>
        <v/>
      </c>
      <c r="AW430" s="25">
        <f>AV430*(1/(1+INDEX($Q430:$AJ430,1,(AW$4-1)*5+4)))^(1+INDEX($Q430:$AJ430,1,(AW$4-1)*5+2))*(1+AW$7)^INDEX($Q430:$AJ430,1,(AW$4-1)*5+1)*(AW300/AV300)^INDEX($Q430:$AJ430,1,(AW$4-1)*5+2)*(AW300/AV300)^(INDEX($Q430:$AJ430,1,(AW$4-1)*5+3)*(1+INDEX($Q430:$AJ430,1,(AW$4-1)*5+2)))</f>
        <v/>
      </c>
      <c r="AX430" s="25">
        <f>AW430*(1/(1+INDEX($Q430:$AJ430,1,(AX$4-1)*5+4)))^(1+INDEX($Q430:$AJ430,1,(AX$4-1)*5+2))*(1+AX$7)^INDEX($Q430:$AJ430,1,(AX$4-1)*5+1)*(AX300/AW300)^INDEX($Q430:$AJ430,1,(AX$4-1)*5+2)*(AX300/AW300)^(INDEX($Q430:$AJ430,1,(AX$4-1)*5+3)*(1+INDEX($Q430:$AJ430,1,(AX$4-1)*5+2)))</f>
        <v/>
      </c>
      <c r="AY430" s="25">
        <f>AX430*(1/(1+INDEX($Q430:$AJ430,1,(AY$4-1)*5+4)))^(1+INDEX($Q430:$AJ430,1,(AY$4-1)*5+2))*(1+AY$7)^INDEX($Q430:$AJ430,1,(AY$4-1)*5+1)*(AY300/AX300)^INDEX($Q430:$AJ430,1,(AY$4-1)*5+2)*(AY300/AX300)^(INDEX($Q430:$AJ430,1,(AY$4-1)*5+3)*(1+INDEX($Q430:$AJ430,1,(AY$4-1)*5+2)))</f>
        <v/>
      </c>
      <c r="BA430" s="24">
        <f>INDEX(EnergyCons!$F$4:$F$5000,MATCH(Settings!$C$4&amp;"|"&amp;BA$5&amp;"|"&amp;$C430&amp;"|"&amp;$B430,EnergyCons!$A$4:$A$5000,0))</f>
        <v/>
      </c>
      <c r="BB430" s="25">
        <f>BA430*(1/(1+INDEX($Q430:$AJ430,1,(BB$4-1)*5+4)))^(1+INDEX($Q430:$AJ430,1,(BB$4-1)*5+2))*(1+BB$7)^INDEX($Q430:$AJ430,1,(BB$4-1)*5+1)*(BB300/BA300)^INDEX($Q430:$AJ430,1,(BB$4-1)*5+2)*(BB300/BA300)^(INDEX($Q430:$AJ430,1,(BB$4-1)*5+3)*(1+INDEX($Q430:$AJ430,1,(BB$4-1)*5+2)))</f>
        <v/>
      </c>
      <c r="BC430" s="25">
        <f>BB430*(1/(1+INDEX($Q430:$AJ430,1,(BC$4-1)*5+4)))^(1+INDEX($Q430:$AJ430,1,(BC$4-1)*5+2))*(1+BC$7)^INDEX($Q430:$AJ430,1,(BC$4-1)*5+1)*(BC300/BB300)^INDEX($Q430:$AJ430,1,(BC$4-1)*5+2)*(BC300/BB300)^(INDEX($Q430:$AJ430,1,(BC$4-1)*5+3)*(1+INDEX($Q430:$AJ430,1,(BC$4-1)*5+2)))</f>
        <v/>
      </c>
      <c r="BD430" s="25">
        <f>BC430*(1/(1+INDEX($Q430:$AJ430,1,(BD$4-1)*5+4)))^(1+INDEX($Q430:$AJ430,1,(BD$4-1)*5+2))*(1+BD$7)^INDEX($Q430:$AJ430,1,(BD$4-1)*5+1)*(BD300/BC300)^INDEX($Q430:$AJ430,1,(BD$4-1)*5+2)*(BD300/BC300)^(INDEX($Q430:$AJ430,1,(BD$4-1)*5+3)*(1+INDEX($Q430:$AJ430,1,(BD$4-1)*5+2)))</f>
        <v/>
      </c>
      <c r="BE430" s="25">
        <f>BD430*(1/(1+INDEX($Q430:$AJ430,1,(BE$4-1)*5+4)))^(1+INDEX($Q430:$AJ430,1,(BE$4-1)*5+2))*(1+BE$7)^INDEX($Q430:$AJ430,1,(BE$4-1)*5+1)*(BE300/BD300)^INDEX($Q430:$AJ430,1,(BE$4-1)*5+2)*(BE300/BD300)^(INDEX($Q430:$AJ430,1,(BE$4-1)*5+3)*(1+INDEX($Q430:$AJ430,1,(BE$4-1)*5+2)))</f>
        <v/>
      </c>
      <c r="BF430" s="25">
        <f>BE430*(1/(1+INDEX($Q430:$AJ430,1,(BF$4-1)*5+4)))^(1+INDEX($Q430:$AJ430,1,(BF$4-1)*5+2))*(1+BF$7)^INDEX($Q430:$AJ430,1,(BF$4-1)*5+1)*(BF300/BE300)^INDEX($Q430:$AJ430,1,(BF$4-1)*5+2)*(BF300/BE300)^(INDEX($Q430:$AJ430,1,(BF$4-1)*5+3)*(1+INDEX($Q430:$AJ430,1,(BF$4-1)*5+2)))</f>
        <v/>
      </c>
      <c r="BG430" s="25">
        <f>BF430*(1/(1+INDEX($Q430:$AJ430,1,(BG$4-1)*5+4)))^(1+INDEX($Q430:$AJ430,1,(BG$4-1)*5+2))*(1+BG$7)^INDEX($Q430:$AJ430,1,(BG$4-1)*5+1)*(BG300/BF300)^INDEX($Q430:$AJ430,1,(BG$4-1)*5+2)*(BG300/BF300)^(INDEX($Q430:$AJ430,1,(BG$4-1)*5+3)*(1+INDEX($Q430:$AJ430,1,(BG$4-1)*5+2)))</f>
        <v/>
      </c>
      <c r="BH430" s="25">
        <f>BG430*(1/(1+INDEX($Q430:$AJ430,1,(BH$4-1)*5+4)))^(1+INDEX($Q430:$AJ430,1,(BH$4-1)*5+2))*(1+BH$7)^INDEX($Q430:$AJ430,1,(BH$4-1)*5+1)*(BH300/BG300)^INDEX($Q430:$AJ430,1,(BH$4-1)*5+2)*(BH300/BG300)^(INDEX($Q430:$AJ430,1,(BH$4-1)*5+3)*(1+INDEX($Q430:$AJ430,1,(BH$4-1)*5+2)))</f>
        <v/>
      </c>
      <c r="BI430" s="25">
        <f>BH430*(1/(1+INDEX($Q430:$AJ430,1,(BI$4-1)*5+4)))^(1+INDEX($Q430:$AJ430,1,(BI$4-1)*5+2))*(1+BI$7)^INDEX($Q430:$AJ430,1,(BI$4-1)*5+1)*(BI300/BH300)^INDEX($Q430:$AJ430,1,(BI$4-1)*5+2)*(BI300/BH300)^(INDEX($Q430:$AJ430,1,(BI$4-1)*5+3)*(1+INDEX($Q430:$AJ430,1,(BI$4-1)*5+2)))</f>
        <v/>
      </c>
      <c r="BJ430" s="25">
        <f>BI430*(1/(1+INDEX($Q430:$AJ430,1,(BJ$4-1)*5+4)))^(1+INDEX($Q430:$AJ430,1,(BJ$4-1)*5+2))*(1+BJ$7)^INDEX($Q430:$AJ430,1,(BJ$4-1)*5+1)*(BJ300/BI300)^INDEX($Q430:$AJ430,1,(BJ$4-1)*5+2)*(BJ300/BI300)^(INDEX($Q430:$AJ430,1,(BJ$4-1)*5+3)*(1+INDEX($Q430:$AJ430,1,(BJ$4-1)*5+2)))</f>
        <v/>
      </c>
      <c r="BK430" s="25">
        <f>BJ430*(1/(1+INDEX($Q430:$AJ430,1,(BK$4-1)*5+4)))^(1+INDEX($Q430:$AJ430,1,(BK$4-1)*5+2))*(1+BK$7)^INDEX($Q430:$AJ430,1,(BK$4-1)*5+1)*(BK300/BJ300)^INDEX($Q430:$AJ430,1,(BK$4-1)*5+2)*(BK300/BJ300)^(INDEX($Q430:$AJ430,1,(BK$4-1)*5+3)*(1+INDEX($Q430:$AJ430,1,(BK$4-1)*5+2)))</f>
        <v/>
      </c>
      <c r="BL430" s="25">
        <f>BK430*(1/(1+INDEX($Q430:$AJ430,1,(BL$4-1)*5+4)))^(1+INDEX($Q430:$AJ430,1,(BL$4-1)*5+2))*(1+BL$7)^INDEX($Q430:$AJ430,1,(BL$4-1)*5+1)*(BL300/BK300)^INDEX($Q430:$AJ430,1,(BL$4-1)*5+2)*(BL300/BK300)^(INDEX($Q430:$AJ430,1,(BL$4-1)*5+3)*(1+INDEX($Q430:$AJ430,1,(BL$4-1)*5+2)))</f>
        <v/>
      </c>
      <c r="BM430" s="25">
        <f>BL430*(1/(1+INDEX($Q430:$AJ430,1,(BM$4-1)*5+4)))^(1+INDEX($Q430:$AJ430,1,(BM$4-1)*5+2))*(1+BM$7)^INDEX($Q430:$AJ430,1,(BM$4-1)*5+1)*(BM300/BL300)^INDEX($Q430:$AJ430,1,(BM$4-1)*5+2)*(BM300/BL300)^(INDEX($Q430:$AJ430,1,(BM$4-1)*5+3)*(1+INDEX($Q430:$AJ430,1,(BM$4-1)*5+2)))</f>
        <v/>
      </c>
      <c r="BN430" s="25">
        <f>BM430*(1/(1+INDEX($Q430:$AJ430,1,(BN$4-1)*5+4)))^(1+INDEX($Q430:$AJ430,1,(BN$4-1)*5+2))*(1+BN$7)^INDEX($Q430:$AJ430,1,(BN$4-1)*5+1)*(BN300/BM300)^INDEX($Q430:$AJ430,1,(BN$4-1)*5+2)*(BN300/BM300)^(INDEX($Q430:$AJ430,1,(BN$4-1)*5+3)*(1+INDEX($Q430:$AJ430,1,(BN$4-1)*5+2)))</f>
        <v/>
      </c>
    </row>
    <row r="431">
      <c r="B431" s="5" t="inlineStr">
        <is>
          <t>oop</t>
        </is>
      </c>
      <c r="C431" s="5" t="inlineStr">
        <is>
          <t>nav</t>
        </is>
      </c>
      <c r="D431" s="5" t="inlineStr">
        <is>
          <t>Fuel use | Domestic navigation | Other oil products</t>
        </is>
      </c>
      <c r="E431" s="5" t="inlineStr">
        <is>
          <t>ktoe</t>
        </is>
      </c>
      <c r="F431" s="5" t="inlineStr">
        <is>
          <t>EnergyCons (base year), Elasticities</t>
        </is>
      </c>
      <c r="G431" s="19" t="inlineStr">
        <is>
          <t>mit.enc.oop.nav</t>
        </is>
      </c>
      <c r="H431" s="19" t="inlineStr">
        <is>
          <t>mit.enc.oop.nav</t>
        </is>
      </c>
      <c r="J431" s="5">
        <f>INDEX(Mapping!$C$5:$C$20,MATCH($C431,Mapping!$A$5:$A$20,0))</f>
        <v/>
      </c>
      <c r="K431" s="5">
        <f>INDEX(Mapping!$D$5:$D$20,MATCH($C431,Mapping!$A$5:$A$20,0))</f>
        <v/>
      </c>
      <c r="L431" s="5">
        <f>INDEX(Mapping!$C$24:$C$31,MATCH($B431,Mapping!$A$24:$A$31,0))</f>
        <v/>
      </c>
      <c r="M431" s="5">
        <f>INDEX(Mapping!$D$24:$D$31,MATCH($B431,Mapping!$A$24:$A$31,0))</f>
        <v/>
      </c>
      <c r="N431" s="5">
        <f>$B431&amp;"."&amp;IF(INDEX(Mapping!$E$24:$E$31,MATCH($B431,Mapping!$A$24:$A$31,0))="sub",INDEX(Mapping!$F$5:$F$20,MATCH($C431,Mapping!$A$5:$A$20,0)),"all")</f>
        <v/>
      </c>
      <c r="O431" s="5">
        <f>INDEX(Mapping!$E$5:$E$20,MATCH($C431,Mapping!$A$5:$A$20,0))</f>
        <v/>
      </c>
      <c r="P431" s="5">
        <f>INDEX(Mapping!$G$24:$G$31,MATCH($B431,Mapping!$A$24:$A$31,0))</f>
        <v/>
      </c>
      <c r="Q431" s="22">
        <f>INDEX(Elasticities!$F$4:$I$200,MATCH("inc|"&amp;$L431&amp;"|"&amp;$K431,Elasticities!$A$4:$A$200,0),MATCH(Settings!$C$6,Elasticities!$F$3:$I$3,0))</f>
        <v/>
      </c>
      <c r="R431" s="22">
        <f>INDEX(Elasticities!$F$4:$I$200,MATCH("usg|"&amp;$L431&amp;"|"&amp;$K431,Elasticities!$A$4:$A$200,0),MATCH(Settings!$C$6,Elasticities!$F$3:$I$3,0))</f>
        <v/>
      </c>
      <c r="S431" s="22">
        <f>INDEX(Elasticities!$F$4:$I$200,MATCH("eff|"&amp;$L431&amp;"|"&amp;$K431,Elasticities!$A$4:$A$200,0),MATCH(Settings!$C$6,Elasticities!$F$3:$I$3,0))</f>
        <v/>
      </c>
      <c r="T431" s="22">
        <f>INDEX(Elasticities!$F$4:$I$200,MATCH("aei|"&amp;$M431&amp;"|"&amp;$K431,Elasticities!$A$4:$A$200,0),MATCH(Settings!$C$6,Elasticities!$F$3:$I$3,0))</f>
        <v/>
      </c>
      <c r="U431" s="21" t="n"/>
      <c r="V431" s="22">
        <f>Q431</f>
        <v/>
      </c>
      <c r="W431" s="22">
        <f>R431</f>
        <v/>
      </c>
      <c r="X431" s="22">
        <f>S431</f>
        <v/>
      </c>
      <c r="Y431" s="22">
        <f>T431</f>
        <v/>
      </c>
      <c r="Z431" s="21" t="n"/>
      <c r="AA431" s="22">
        <f>Q431</f>
        <v/>
      </c>
      <c r="AB431" s="22">
        <f>R431</f>
        <v/>
      </c>
      <c r="AC431" s="22">
        <f>S431</f>
        <v/>
      </c>
      <c r="AD431" s="22">
        <f>T431</f>
        <v/>
      </c>
      <c r="AE431" s="21" t="n"/>
      <c r="AF431" s="22">
        <f>Q431</f>
        <v/>
      </c>
      <c r="AG431" s="22">
        <f>R431</f>
        <v/>
      </c>
      <c r="AH431" s="22">
        <f>S431</f>
        <v/>
      </c>
      <c r="AI431" s="22">
        <f>T431</f>
        <v/>
      </c>
      <c r="AJ431" s="21" t="n"/>
      <c r="AL431" s="24">
        <f>INDEX(EnergyCons!$F$4:$F$5000,MATCH(Settings!$C$4&amp;"|"&amp;AL$5&amp;"|"&amp;$C431&amp;"|"&amp;$B431,EnergyCons!$A$4:$A$5000,0))</f>
        <v/>
      </c>
      <c r="AM431" s="25">
        <f>AL431*(1/(1+INDEX($Q431:$AJ431,1,(AM$4-1)*5+4)))^(1+INDEX($Q431:$AJ431,1,(AM$4-1)*5+2))*(1+AM$7)^INDEX($Q431:$AJ431,1,(AM$4-1)*5+1)*(AM301/AL301)^INDEX($Q431:$AJ431,1,(AM$4-1)*5+2)*(AM301/AL301)^(INDEX($Q431:$AJ431,1,(AM$4-1)*5+3)*(1+INDEX($Q431:$AJ431,1,(AM$4-1)*5+2)))</f>
        <v/>
      </c>
      <c r="AN431" s="25">
        <f>AM431*(1/(1+INDEX($Q431:$AJ431,1,(AN$4-1)*5+4)))^(1+INDEX($Q431:$AJ431,1,(AN$4-1)*5+2))*(1+AN$7)^INDEX($Q431:$AJ431,1,(AN$4-1)*5+1)*(AN301/AM301)^INDEX($Q431:$AJ431,1,(AN$4-1)*5+2)*(AN301/AM301)^(INDEX($Q431:$AJ431,1,(AN$4-1)*5+3)*(1+INDEX($Q431:$AJ431,1,(AN$4-1)*5+2)))</f>
        <v/>
      </c>
      <c r="AO431" s="25">
        <f>AN431*(1/(1+INDEX($Q431:$AJ431,1,(AO$4-1)*5+4)))^(1+INDEX($Q431:$AJ431,1,(AO$4-1)*5+2))*(1+AO$7)^INDEX($Q431:$AJ431,1,(AO$4-1)*5+1)*(AO301/AN301)^INDEX($Q431:$AJ431,1,(AO$4-1)*5+2)*(AO301/AN301)^(INDEX($Q431:$AJ431,1,(AO$4-1)*5+3)*(1+INDEX($Q431:$AJ431,1,(AO$4-1)*5+2)))</f>
        <v/>
      </c>
      <c r="AP431" s="25">
        <f>AO431*(1/(1+INDEX($Q431:$AJ431,1,(AP$4-1)*5+4)))^(1+INDEX($Q431:$AJ431,1,(AP$4-1)*5+2))*(1+AP$7)^INDEX($Q431:$AJ431,1,(AP$4-1)*5+1)*(AP301/AO301)^INDEX($Q431:$AJ431,1,(AP$4-1)*5+2)*(AP301/AO301)^(INDEX($Q431:$AJ431,1,(AP$4-1)*5+3)*(1+INDEX($Q431:$AJ431,1,(AP$4-1)*5+2)))</f>
        <v/>
      </c>
      <c r="AQ431" s="25">
        <f>AP431*(1/(1+INDEX($Q431:$AJ431,1,(AQ$4-1)*5+4)))^(1+INDEX($Q431:$AJ431,1,(AQ$4-1)*5+2))*(1+AQ$7)^INDEX($Q431:$AJ431,1,(AQ$4-1)*5+1)*(AQ301/AP301)^INDEX($Q431:$AJ431,1,(AQ$4-1)*5+2)*(AQ301/AP301)^(INDEX($Q431:$AJ431,1,(AQ$4-1)*5+3)*(1+INDEX($Q431:$AJ431,1,(AQ$4-1)*5+2)))</f>
        <v/>
      </c>
      <c r="AR431" s="25">
        <f>AQ431*(1/(1+INDEX($Q431:$AJ431,1,(AR$4-1)*5+4)))^(1+INDEX($Q431:$AJ431,1,(AR$4-1)*5+2))*(1+AR$7)^INDEX($Q431:$AJ431,1,(AR$4-1)*5+1)*(AR301/AQ301)^INDEX($Q431:$AJ431,1,(AR$4-1)*5+2)*(AR301/AQ301)^(INDEX($Q431:$AJ431,1,(AR$4-1)*5+3)*(1+INDEX($Q431:$AJ431,1,(AR$4-1)*5+2)))</f>
        <v/>
      </c>
      <c r="AS431" s="25">
        <f>AR431*(1/(1+INDEX($Q431:$AJ431,1,(AS$4-1)*5+4)))^(1+INDEX($Q431:$AJ431,1,(AS$4-1)*5+2))*(1+AS$7)^INDEX($Q431:$AJ431,1,(AS$4-1)*5+1)*(AS301/AR301)^INDEX($Q431:$AJ431,1,(AS$4-1)*5+2)*(AS301/AR301)^(INDEX($Q431:$AJ431,1,(AS$4-1)*5+3)*(1+INDEX($Q431:$AJ431,1,(AS$4-1)*5+2)))</f>
        <v/>
      </c>
      <c r="AT431" s="25">
        <f>AS431*(1/(1+INDEX($Q431:$AJ431,1,(AT$4-1)*5+4)))^(1+INDEX($Q431:$AJ431,1,(AT$4-1)*5+2))*(1+AT$7)^INDEX($Q431:$AJ431,1,(AT$4-1)*5+1)*(AT301/AS301)^INDEX($Q431:$AJ431,1,(AT$4-1)*5+2)*(AT301/AS301)^(INDEX($Q431:$AJ431,1,(AT$4-1)*5+3)*(1+INDEX($Q431:$AJ431,1,(AT$4-1)*5+2)))</f>
        <v/>
      </c>
      <c r="AU431" s="25">
        <f>AT431*(1/(1+INDEX($Q431:$AJ431,1,(AU$4-1)*5+4)))^(1+INDEX($Q431:$AJ431,1,(AU$4-1)*5+2))*(1+AU$7)^INDEX($Q431:$AJ431,1,(AU$4-1)*5+1)*(AU301/AT301)^INDEX($Q431:$AJ431,1,(AU$4-1)*5+2)*(AU301/AT301)^(INDEX($Q431:$AJ431,1,(AU$4-1)*5+3)*(1+INDEX($Q431:$AJ431,1,(AU$4-1)*5+2)))</f>
        <v/>
      </c>
      <c r="AV431" s="25">
        <f>AU431*(1/(1+INDEX($Q431:$AJ431,1,(AV$4-1)*5+4)))^(1+INDEX($Q431:$AJ431,1,(AV$4-1)*5+2))*(1+AV$7)^INDEX($Q431:$AJ431,1,(AV$4-1)*5+1)*(AV301/AU301)^INDEX($Q431:$AJ431,1,(AV$4-1)*5+2)*(AV301/AU301)^(INDEX($Q431:$AJ431,1,(AV$4-1)*5+3)*(1+INDEX($Q431:$AJ431,1,(AV$4-1)*5+2)))</f>
        <v/>
      </c>
      <c r="AW431" s="25">
        <f>AV431*(1/(1+INDEX($Q431:$AJ431,1,(AW$4-1)*5+4)))^(1+INDEX($Q431:$AJ431,1,(AW$4-1)*5+2))*(1+AW$7)^INDEX($Q431:$AJ431,1,(AW$4-1)*5+1)*(AW301/AV301)^INDEX($Q431:$AJ431,1,(AW$4-1)*5+2)*(AW301/AV301)^(INDEX($Q431:$AJ431,1,(AW$4-1)*5+3)*(1+INDEX($Q431:$AJ431,1,(AW$4-1)*5+2)))</f>
        <v/>
      </c>
      <c r="AX431" s="25">
        <f>AW431*(1/(1+INDEX($Q431:$AJ431,1,(AX$4-1)*5+4)))^(1+INDEX($Q431:$AJ431,1,(AX$4-1)*5+2))*(1+AX$7)^INDEX($Q431:$AJ431,1,(AX$4-1)*5+1)*(AX301/AW301)^INDEX($Q431:$AJ431,1,(AX$4-1)*5+2)*(AX301/AW301)^(INDEX($Q431:$AJ431,1,(AX$4-1)*5+3)*(1+INDEX($Q431:$AJ431,1,(AX$4-1)*5+2)))</f>
        <v/>
      </c>
      <c r="AY431" s="25">
        <f>AX431*(1/(1+INDEX($Q431:$AJ431,1,(AY$4-1)*5+4)))^(1+INDEX($Q431:$AJ431,1,(AY$4-1)*5+2))*(1+AY$7)^INDEX($Q431:$AJ431,1,(AY$4-1)*5+1)*(AY301/AX301)^INDEX($Q431:$AJ431,1,(AY$4-1)*5+2)*(AY301/AX301)^(INDEX($Q431:$AJ431,1,(AY$4-1)*5+3)*(1+INDEX($Q431:$AJ431,1,(AY$4-1)*5+2)))</f>
        <v/>
      </c>
      <c r="BA431" s="24">
        <f>INDEX(EnergyCons!$F$4:$F$5000,MATCH(Settings!$C$4&amp;"|"&amp;BA$5&amp;"|"&amp;$C431&amp;"|"&amp;$B431,EnergyCons!$A$4:$A$5000,0))</f>
        <v/>
      </c>
      <c r="BB431" s="25">
        <f>BA431*(1/(1+INDEX($Q431:$AJ431,1,(BB$4-1)*5+4)))^(1+INDEX($Q431:$AJ431,1,(BB$4-1)*5+2))*(1+BB$7)^INDEX($Q431:$AJ431,1,(BB$4-1)*5+1)*(BB301/BA301)^INDEX($Q431:$AJ431,1,(BB$4-1)*5+2)*(BB301/BA301)^(INDEX($Q431:$AJ431,1,(BB$4-1)*5+3)*(1+INDEX($Q431:$AJ431,1,(BB$4-1)*5+2)))</f>
        <v/>
      </c>
      <c r="BC431" s="25">
        <f>BB431*(1/(1+INDEX($Q431:$AJ431,1,(BC$4-1)*5+4)))^(1+INDEX($Q431:$AJ431,1,(BC$4-1)*5+2))*(1+BC$7)^INDEX($Q431:$AJ431,1,(BC$4-1)*5+1)*(BC301/BB301)^INDEX($Q431:$AJ431,1,(BC$4-1)*5+2)*(BC301/BB301)^(INDEX($Q431:$AJ431,1,(BC$4-1)*5+3)*(1+INDEX($Q431:$AJ431,1,(BC$4-1)*5+2)))</f>
        <v/>
      </c>
      <c r="BD431" s="25">
        <f>BC431*(1/(1+INDEX($Q431:$AJ431,1,(BD$4-1)*5+4)))^(1+INDEX($Q431:$AJ431,1,(BD$4-1)*5+2))*(1+BD$7)^INDEX($Q431:$AJ431,1,(BD$4-1)*5+1)*(BD301/BC301)^INDEX($Q431:$AJ431,1,(BD$4-1)*5+2)*(BD301/BC301)^(INDEX($Q431:$AJ431,1,(BD$4-1)*5+3)*(1+INDEX($Q431:$AJ431,1,(BD$4-1)*5+2)))</f>
        <v/>
      </c>
      <c r="BE431" s="25">
        <f>BD431*(1/(1+INDEX($Q431:$AJ431,1,(BE$4-1)*5+4)))^(1+INDEX($Q431:$AJ431,1,(BE$4-1)*5+2))*(1+BE$7)^INDEX($Q431:$AJ431,1,(BE$4-1)*5+1)*(BE301/BD301)^INDEX($Q431:$AJ431,1,(BE$4-1)*5+2)*(BE301/BD301)^(INDEX($Q431:$AJ431,1,(BE$4-1)*5+3)*(1+INDEX($Q431:$AJ431,1,(BE$4-1)*5+2)))</f>
        <v/>
      </c>
      <c r="BF431" s="25">
        <f>BE431*(1/(1+INDEX($Q431:$AJ431,1,(BF$4-1)*5+4)))^(1+INDEX($Q431:$AJ431,1,(BF$4-1)*5+2))*(1+BF$7)^INDEX($Q431:$AJ431,1,(BF$4-1)*5+1)*(BF301/BE301)^INDEX($Q431:$AJ431,1,(BF$4-1)*5+2)*(BF301/BE301)^(INDEX($Q431:$AJ431,1,(BF$4-1)*5+3)*(1+INDEX($Q431:$AJ431,1,(BF$4-1)*5+2)))</f>
        <v/>
      </c>
      <c r="BG431" s="25">
        <f>BF431*(1/(1+INDEX($Q431:$AJ431,1,(BG$4-1)*5+4)))^(1+INDEX($Q431:$AJ431,1,(BG$4-1)*5+2))*(1+BG$7)^INDEX($Q431:$AJ431,1,(BG$4-1)*5+1)*(BG301/BF301)^INDEX($Q431:$AJ431,1,(BG$4-1)*5+2)*(BG301/BF301)^(INDEX($Q431:$AJ431,1,(BG$4-1)*5+3)*(1+INDEX($Q431:$AJ431,1,(BG$4-1)*5+2)))</f>
        <v/>
      </c>
      <c r="BH431" s="25">
        <f>BG431*(1/(1+INDEX($Q431:$AJ431,1,(BH$4-1)*5+4)))^(1+INDEX($Q431:$AJ431,1,(BH$4-1)*5+2))*(1+BH$7)^INDEX($Q431:$AJ431,1,(BH$4-1)*5+1)*(BH301/BG301)^INDEX($Q431:$AJ431,1,(BH$4-1)*5+2)*(BH301/BG301)^(INDEX($Q431:$AJ431,1,(BH$4-1)*5+3)*(1+INDEX($Q431:$AJ431,1,(BH$4-1)*5+2)))</f>
        <v/>
      </c>
      <c r="BI431" s="25">
        <f>BH431*(1/(1+INDEX($Q431:$AJ431,1,(BI$4-1)*5+4)))^(1+INDEX($Q431:$AJ431,1,(BI$4-1)*5+2))*(1+BI$7)^INDEX($Q431:$AJ431,1,(BI$4-1)*5+1)*(BI301/BH301)^INDEX($Q431:$AJ431,1,(BI$4-1)*5+2)*(BI301/BH301)^(INDEX($Q431:$AJ431,1,(BI$4-1)*5+3)*(1+INDEX($Q431:$AJ431,1,(BI$4-1)*5+2)))</f>
        <v/>
      </c>
      <c r="BJ431" s="25">
        <f>BI431*(1/(1+INDEX($Q431:$AJ431,1,(BJ$4-1)*5+4)))^(1+INDEX($Q431:$AJ431,1,(BJ$4-1)*5+2))*(1+BJ$7)^INDEX($Q431:$AJ431,1,(BJ$4-1)*5+1)*(BJ301/BI301)^INDEX($Q431:$AJ431,1,(BJ$4-1)*5+2)*(BJ301/BI301)^(INDEX($Q431:$AJ431,1,(BJ$4-1)*5+3)*(1+INDEX($Q431:$AJ431,1,(BJ$4-1)*5+2)))</f>
        <v/>
      </c>
      <c r="BK431" s="25">
        <f>BJ431*(1/(1+INDEX($Q431:$AJ431,1,(BK$4-1)*5+4)))^(1+INDEX($Q431:$AJ431,1,(BK$4-1)*5+2))*(1+BK$7)^INDEX($Q431:$AJ431,1,(BK$4-1)*5+1)*(BK301/BJ301)^INDEX($Q431:$AJ431,1,(BK$4-1)*5+2)*(BK301/BJ301)^(INDEX($Q431:$AJ431,1,(BK$4-1)*5+3)*(1+INDEX($Q431:$AJ431,1,(BK$4-1)*5+2)))</f>
        <v/>
      </c>
      <c r="BL431" s="25">
        <f>BK431*(1/(1+INDEX($Q431:$AJ431,1,(BL$4-1)*5+4)))^(1+INDEX($Q431:$AJ431,1,(BL$4-1)*5+2))*(1+BL$7)^INDEX($Q431:$AJ431,1,(BL$4-1)*5+1)*(BL301/BK301)^INDEX($Q431:$AJ431,1,(BL$4-1)*5+2)*(BL301/BK301)^(INDEX($Q431:$AJ431,1,(BL$4-1)*5+3)*(1+INDEX($Q431:$AJ431,1,(BL$4-1)*5+2)))</f>
        <v/>
      </c>
      <c r="BM431" s="25">
        <f>BL431*(1/(1+INDEX($Q431:$AJ431,1,(BM$4-1)*5+4)))^(1+INDEX($Q431:$AJ431,1,(BM$4-1)*5+2))*(1+BM$7)^INDEX($Q431:$AJ431,1,(BM$4-1)*5+1)*(BM301/BL301)^INDEX($Q431:$AJ431,1,(BM$4-1)*5+2)*(BM301/BL301)^(INDEX($Q431:$AJ431,1,(BM$4-1)*5+3)*(1+INDEX($Q431:$AJ431,1,(BM$4-1)*5+2)))</f>
        <v/>
      </c>
      <c r="BN431" s="25">
        <f>BM431*(1/(1+INDEX($Q431:$AJ431,1,(BN$4-1)*5+4)))^(1+INDEX($Q431:$AJ431,1,(BN$4-1)*5+2))*(1+BN$7)^INDEX($Q431:$AJ431,1,(BN$4-1)*5+1)*(BN301/BM301)^INDEX($Q431:$AJ431,1,(BN$4-1)*5+2)*(BN301/BM301)^(INDEX($Q431:$AJ431,1,(BN$4-1)*5+3)*(1+INDEX($Q431:$AJ431,1,(BN$4-1)*5+2)))</f>
        <v/>
      </c>
    </row>
    <row r="432">
      <c r="B432" s="5" t="inlineStr">
        <is>
          <t>bio</t>
        </is>
      </c>
      <c r="C432" s="5" t="inlineStr">
        <is>
          <t>nav</t>
        </is>
      </c>
      <c r="D432" s="5" t="inlineStr">
        <is>
          <t>Fuel use | Domestic navigation | Biomass</t>
        </is>
      </c>
      <c r="E432" s="5" t="inlineStr">
        <is>
          <t>ktoe</t>
        </is>
      </c>
      <c r="F432" s="5" t="inlineStr">
        <is>
          <t>EnergyCons (base year), Elasticities</t>
        </is>
      </c>
      <c r="G432" s="19" t="inlineStr">
        <is>
          <t>mit.enc.bio.nav</t>
        </is>
      </c>
      <c r="H432" s="19" t="inlineStr">
        <is>
          <t>mit.enc.bio.nav</t>
        </is>
      </c>
      <c r="J432" s="5">
        <f>INDEX(Mapping!$C$5:$C$20,MATCH($C432,Mapping!$A$5:$A$20,0))</f>
        <v/>
      </c>
      <c r="K432" s="5">
        <f>INDEX(Mapping!$D$5:$D$20,MATCH($C432,Mapping!$A$5:$A$20,0))</f>
        <v/>
      </c>
      <c r="L432" s="5">
        <f>INDEX(Mapping!$C$24:$C$31,MATCH($B432,Mapping!$A$24:$A$31,0))</f>
        <v/>
      </c>
      <c r="M432" s="5">
        <f>INDEX(Mapping!$D$24:$D$31,MATCH($B432,Mapping!$A$24:$A$31,0))</f>
        <v/>
      </c>
      <c r="N432" s="5">
        <f>$B432&amp;"."&amp;IF(INDEX(Mapping!$E$24:$E$31,MATCH($B432,Mapping!$A$24:$A$31,0))="sub",INDEX(Mapping!$F$5:$F$20,MATCH($C432,Mapping!$A$5:$A$20,0)),"all")</f>
        <v/>
      </c>
      <c r="O432" s="5">
        <f>INDEX(Mapping!$E$5:$E$20,MATCH($C432,Mapping!$A$5:$A$20,0))</f>
        <v/>
      </c>
      <c r="P432" s="5">
        <f>INDEX(Mapping!$G$24:$G$31,MATCH($B432,Mapping!$A$24:$A$31,0))</f>
        <v/>
      </c>
      <c r="Q432" s="22">
        <f>INDEX(Elasticities!$F$4:$I$200,MATCH("inc|"&amp;$L432&amp;"|"&amp;$K432,Elasticities!$A$4:$A$200,0),MATCH(Settings!$C$6,Elasticities!$F$3:$I$3,0))</f>
        <v/>
      </c>
      <c r="R432" s="22">
        <f>INDEX(Elasticities!$F$4:$I$200,MATCH("usg|"&amp;$L432&amp;"|"&amp;$K432,Elasticities!$A$4:$A$200,0),MATCH(Settings!$C$6,Elasticities!$F$3:$I$3,0))</f>
        <v/>
      </c>
      <c r="S432" s="22">
        <f>INDEX(Elasticities!$F$4:$I$200,MATCH("eff|"&amp;$L432&amp;"|"&amp;$K432,Elasticities!$A$4:$A$200,0),MATCH(Settings!$C$6,Elasticities!$F$3:$I$3,0))</f>
        <v/>
      </c>
      <c r="T432" s="22">
        <f>INDEX(Elasticities!$F$4:$I$200,MATCH("aei|"&amp;$M432&amp;"|"&amp;$K432,Elasticities!$A$4:$A$200,0),MATCH(Settings!$C$6,Elasticities!$F$3:$I$3,0))</f>
        <v/>
      </c>
      <c r="U432" s="21" t="n"/>
      <c r="V432" s="22">
        <f>Q432</f>
        <v/>
      </c>
      <c r="W432" s="22">
        <f>R432</f>
        <v/>
      </c>
      <c r="X432" s="22">
        <f>S432</f>
        <v/>
      </c>
      <c r="Y432" s="22">
        <f>T432</f>
        <v/>
      </c>
      <c r="Z432" s="21" t="n"/>
      <c r="AA432" s="22">
        <f>Q432</f>
        <v/>
      </c>
      <c r="AB432" s="22">
        <f>R432</f>
        <v/>
      </c>
      <c r="AC432" s="22">
        <f>S432</f>
        <v/>
      </c>
      <c r="AD432" s="22">
        <f>T432</f>
        <v/>
      </c>
      <c r="AE432" s="21" t="n"/>
      <c r="AF432" s="22">
        <f>Q432</f>
        <v/>
      </c>
      <c r="AG432" s="22">
        <f>R432</f>
        <v/>
      </c>
      <c r="AH432" s="22">
        <f>S432</f>
        <v/>
      </c>
      <c r="AI432" s="22">
        <f>T432</f>
        <v/>
      </c>
      <c r="AJ432" s="21" t="n"/>
      <c r="AL432" s="24">
        <f>INDEX(EnergyCons!$F$4:$F$5000,MATCH(Settings!$C$4&amp;"|"&amp;AL$5&amp;"|"&amp;$C432&amp;"|"&amp;$B432,EnergyCons!$A$4:$A$5000,0))</f>
        <v/>
      </c>
      <c r="AM432" s="25">
        <f>AL432*(1/(1+INDEX($Q432:$AJ432,1,(AM$4-1)*5+4)))^(1+INDEX($Q432:$AJ432,1,(AM$4-1)*5+2))*(1+AM$7)^INDEX($Q432:$AJ432,1,(AM$4-1)*5+1)*(AM302/AL302)^INDEX($Q432:$AJ432,1,(AM$4-1)*5+2)*(AM302/AL302)^(INDEX($Q432:$AJ432,1,(AM$4-1)*5+3)*(1+INDEX($Q432:$AJ432,1,(AM$4-1)*5+2)))</f>
        <v/>
      </c>
      <c r="AN432" s="25">
        <f>AM432*(1/(1+INDEX($Q432:$AJ432,1,(AN$4-1)*5+4)))^(1+INDEX($Q432:$AJ432,1,(AN$4-1)*5+2))*(1+AN$7)^INDEX($Q432:$AJ432,1,(AN$4-1)*5+1)*(AN302/AM302)^INDEX($Q432:$AJ432,1,(AN$4-1)*5+2)*(AN302/AM302)^(INDEX($Q432:$AJ432,1,(AN$4-1)*5+3)*(1+INDEX($Q432:$AJ432,1,(AN$4-1)*5+2)))</f>
        <v/>
      </c>
      <c r="AO432" s="25">
        <f>AN432*(1/(1+INDEX($Q432:$AJ432,1,(AO$4-1)*5+4)))^(1+INDEX($Q432:$AJ432,1,(AO$4-1)*5+2))*(1+AO$7)^INDEX($Q432:$AJ432,1,(AO$4-1)*5+1)*(AO302/AN302)^INDEX($Q432:$AJ432,1,(AO$4-1)*5+2)*(AO302/AN302)^(INDEX($Q432:$AJ432,1,(AO$4-1)*5+3)*(1+INDEX($Q432:$AJ432,1,(AO$4-1)*5+2)))</f>
        <v/>
      </c>
      <c r="AP432" s="25">
        <f>AO432*(1/(1+INDEX($Q432:$AJ432,1,(AP$4-1)*5+4)))^(1+INDEX($Q432:$AJ432,1,(AP$4-1)*5+2))*(1+AP$7)^INDEX($Q432:$AJ432,1,(AP$4-1)*5+1)*(AP302/AO302)^INDEX($Q432:$AJ432,1,(AP$4-1)*5+2)*(AP302/AO302)^(INDEX($Q432:$AJ432,1,(AP$4-1)*5+3)*(1+INDEX($Q432:$AJ432,1,(AP$4-1)*5+2)))</f>
        <v/>
      </c>
      <c r="AQ432" s="25">
        <f>AP432*(1/(1+INDEX($Q432:$AJ432,1,(AQ$4-1)*5+4)))^(1+INDEX($Q432:$AJ432,1,(AQ$4-1)*5+2))*(1+AQ$7)^INDEX($Q432:$AJ432,1,(AQ$4-1)*5+1)*(AQ302/AP302)^INDEX($Q432:$AJ432,1,(AQ$4-1)*5+2)*(AQ302/AP302)^(INDEX($Q432:$AJ432,1,(AQ$4-1)*5+3)*(1+INDEX($Q432:$AJ432,1,(AQ$4-1)*5+2)))</f>
        <v/>
      </c>
      <c r="AR432" s="25">
        <f>AQ432*(1/(1+INDEX($Q432:$AJ432,1,(AR$4-1)*5+4)))^(1+INDEX($Q432:$AJ432,1,(AR$4-1)*5+2))*(1+AR$7)^INDEX($Q432:$AJ432,1,(AR$4-1)*5+1)*(AR302/AQ302)^INDEX($Q432:$AJ432,1,(AR$4-1)*5+2)*(AR302/AQ302)^(INDEX($Q432:$AJ432,1,(AR$4-1)*5+3)*(1+INDEX($Q432:$AJ432,1,(AR$4-1)*5+2)))</f>
        <v/>
      </c>
      <c r="AS432" s="25">
        <f>AR432*(1/(1+INDEX($Q432:$AJ432,1,(AS$4-1)*5+4)))^(1+INDEX($Q432:$AJ432,1,(AS$4-1)*5+2))*(1+AS$7)^INDEX($Q432:$AJ432,1,(AS$4-1)*5+1)*(AS302/AR302)^INDEX($Q432:$AJ432,1,(AS$4-1)*5+2)*(AS302/AR302)^(INDEX($Q432:$AJ432,1,(AS$4-1)*5+3)*(1+INDEX($Q432:$AJ432,1,(AS$4-1)*5+2)))</f>
        <v/>
      </c>
      <c r="AT432" s="25">
        <f>AS432*(1/(1+INDEX($Q432:$AJ432,1,(AT$4-1)*5+4)))^(1+INDEX($Q432:$AJ432,1,(AT$4-1)*5+2))*(1+AT$7)^INDEX($Q432:$AJ432,1,(AT$4-1)*5+1)*(AT302/AS302)^INDEX($Q432:$AJ432,1,(AT$4-1)*5+2)*(AT302/AS302)^(INDEX($Q432:$AJ432,1,(AT$4-1)*5+3)*(1+INDEX($Q432:$AJ432,1,(AT$4-1)*5+2)))</f>
        <v/>
      </c>
      <c r="AU432" s="25">
        <f>AT432*(1/(1+INDEX($Q432:$AJ432,1,(AU$4-1)*5+4)))^(1+INDEX($Q432:$AJ432,1,(AU$4-1)*5+2))*(1+AU$7)^INDEX($Q432:$AJ432,1,(AU$4-1)*5+1)*(AU302/AT302)^INDEX($Q432:$AJ432,1,(AU$4-1)*5+2)*(AU302/AT302)^(INDEX($Q432:$AJ432,1,(AU$4-1)*5+3)*(1+INDEX($Q432:$AJ432,1,(AU$4-1)*5+2)))</f>
        <v/>
      </c>
      <c r="AV432" s="25">
        <f>AU432*(1/(1+INDEX($Q432:$AJ432,1,(AV$4-1)*5+4)))^(1+INDEX($Q432:$AJ432,1,(AV$4-1)*5+2))*(1+AV$7)^INDEX($Q432:$AJ432,1,(AV$4-1)*5+1)*(AV302/AU302)^INDEX($Q432:$AJ432,1,(AV$4-1)*5+2)*(AV302/AU302)^(INDEX($Q432:$AJ432,1,(AV$4-1)*5+3)*(1+INDEX($Q432:$AJ432,1,(AV$4-1)*5+2)))</f>
        <v/>
      </c>
      <c r="AW432" s="25">
        <f>AV432*(1/(1+INDEX($Q432:$AJ432,1,(AW$4-1)*5+4)))^(1+INDEX($Q432:$AJ432,1,(AW$4-1)*5+2))*(1+AW$7)^INDEX($Q432:$AJ432,1,(AW$4-1)*5+1)*(AW302/AV302)^INDEX($Q432:$AJ432,1,(AW$4-1)*5+2)*(AW302/AV302)^(INDEX($Q432:$AJ432,1,(AW$4-1)*5+3)*(1+INDEX($Q432:$AJ432,1,(AW$4-1)*5+2)))</f>
        <v/>
      </c>
      <c r="AX432" s="25">
        <f>AW432*(1/(1+INDEX($Q432:$AJ432,1,(AX$4-1)*5+4)))^(1+INDEX($Q432:$AJ432,1,(AX$4-1)*5+2))*(1+AX$7)^INDEX($Q432:$AJ432,1,(AX$4-1)*5+1)*(AX302/AW302)^INDEX($Q432:$AJ432,1,(AX$4-1)*5+2)*(AX302/AW302)^(INDEX($Q432:$AJ432,1,(AX$4-1)*5+3)*(1+INDEX($Q432:$AJ432,1,(AX$4-1)*5+2)))</f>
        <v/>
      </c>
      <c r="AY432" s="25">
        <f>AX432*(1/(1+INDEX($Q432:$AJ432,1,(AY$4-1)*5+4)))^(1+INDEX($Q432:$AJ432,1,(AY$4-1)*5+2))*(1+AY$7)^INDEX($Q432:$AJ432,1,(AY$4-1)*5+1)*(AY302/AX302)^INDEX($Q432:$AJ432,1,(AY$4-1)*5+2)*(AY302/AX302)^(INDEX($Q432:$AJ432,1,(AY$4-1)*5+3)*(1+INDEX($Q432:$AJ432,1,(AY$4-1)*5+2)))</f>
        <v/>
      </c>
      <c r="BA432" s="24">
        <f>INDEX(EnergyCons!$F$4:$F$5000,MATCH(Settings!$C$4&amp;"|"&amp;BA$5&amp;"|"&amp;$C432&amp;"|"&amp;$B432,EnergyCons!$A$4:$A$5000,0))</f>
        <v/>
      </c>
      <c r="BB432" s="25">
        <f>BA432*(1/(1+INDEX($Q432:$AJ432,1,(BB$4-1)*5+4)))^(1+INDEX($Q432:$AJ432,1,(BB$4-1)*5+2))*(1+BB$7)^INDEX($Q432:$AJ432,1,(BB$4-1)*5+1)*(BB302/BA302)^INDEX($Q432:$AJ432,1,(BB$4-1)*5+2)*(BB302/BA302)^(INDEX($Q432:$AJ432,1,(BB$4-1)*5+3)*(1+INDEX($Q432:$AJ432,1,(BB$4-1)*5+2)))</f>
        <v/>
      </c>
      <c r="BC432" s="25">
        <f>BB432*(1/(1+INDEX($Q432:$AJ432,1,(BC$4-1)*5+4)))^(1+INDEX($Q432:$AJ432,1,(BC$4-1)*5+2))*(1+BC$7)^INDEX($Q432:$AJ432,1,(BC$4-1)*5+1)*(BC302/BB302)^INDEX($Q432:$AJ432,1,(BC$4-1)*5+2)*(BC302/BB302)^(INDEX($Q432:$AJ432,1,(BC$4-1)*5+3)*(1+INDEX($Q432:$AJ432,1,(BC$4-1)*5+2)))</f>
        <v/>
      </c>
      <c r="BD432" s="25">
        <f>BC432*(1/(1+INDEX($Q432:$AJ432,1,(BD$4-1)*5+4)))^(1+INDEX($Q432:$AJ432,1,(BD$4-1)*5+2))*(1+BD$7)^INDEX($Q432:$AJ432,1,(BD$4-1)*5+1)*(BD302/BC302)^INDEX($Q432:$AJ432,1,(BD$4-1)*5+2)*(BD302/BC302)^(INDEX($Q432:$AJ432,1,(BD$4-1)*5+3)*(1+INDEX($Q432:$AJ432,1,(BD$4-1)*5+2)))</f>
        <v/>
      </c>
      <c r="BE432" s="25">
        <f>BD432*(1/(1+INDEX($Q432:$AJ432,1,(BE$4-1)*5+4)))^(1+INDEX($Q432:$AJ432,1,(BE$4-1)*5+2))*(1+BE$7)^INDEX($Q432:$AJ432,1,(BE$4-1)*5+1)*(BE302/BD302)^INDEX($Q432:$AJ432,1,(BE$4-1)*5+2)*(BE302/BD302)^(INDEX($Q432:$AJ432,1,(BE$4-1)*5+3)*(1+INDEX($Q432:$AJ432,1,(BE$4-1)*5+2)))</f>
        <v/>
      </c>
      <c r="BF432" s="25">
        <f>BE432*(1/(1+INDEX($Q432:$AJ432,1,(BF$4-1)*5+4)))^(1+INDEX($Q432:$AJ432,1,(BF$4-1)*5+2))*(1+BF$7)^INDEX($Q432:$AJ432,1,(BF$4-1)*5+1)*(BF302/BE302)^INDEX($Q432:$AJ432,1,(BF$4-1)*5+2)*(BF302/BE302)^(INDEX($Q432:$AJ432,1,(BF$4-1)*5+3)*(1+INDEX($Q432:$AJ432,1,(BF$4-1)*5+2)))</f>
        <v/>
      </c>
      <c r="BG432" s="25">
        <f>BF432*(1/(1+INDEX($Q432:$AJ432,1,(BG$4-1)*5+4)))^(1+INDEX($Q432:$AJ432,1,(BG$4-1)*5+2))*(1+BG$7)^INDEX($Q432:$AJ432,1,(BG$4-1)*5+1)*(BG302/BF302)^INDEX($Q432:$AJ432,1,(BG$4-1)*5+2)*(BG302/BF302)^(INDEX($Q432:$AJ432,1,(BG$4-1)*5+3)*(1+INDEX($Q432:$AJ432,1,(BG$4-1)*5+2)))</f>
        <v/>
      </c>
      <c r="BH432" s="25">
        <f>BG432*(1/(1+INDEX($Q432:$AJ432,1,(BH$4-1)*5+4)))^(1+INDEX($Q432:$AJ432,1,(BH$4-1)*5+2))*(1+BH$7)^INDEX($Q432:$AJ432,1,(BH$4-1)*5+1)*(BH302/BG302)^INDEX($Q432:$AJ432,1,(BH$4-1)*5+2)*(BH302/BG302)^(INDEX($Q432:$AJ432,1,(BH$4-1)*5+3)*(1+INDEX($Q432:$AJ432,1,(BH$4-1)*5+2)))</f>
        <v/>
      </c>
      <c r="BI432" s="25">
        <f>BH432*(1/(1+INDEX($Q432:$AJ432,1,(BI$4-1)*5+4)))^(1+INDEX($Q432:$AJ432,1,(BI$4-1)*5+2))*(1+BI$7)^INDEX($Q432:$AJ432,1,(BI$4-1)*5+1)*(BI302/BH302)^INDEX($Q432:$AJ432,1,(BI$4-1)*5+2)*(BI302/BH302)^(INDEX($Q432:$AJ432,1,(BI$4-1)*5+3)*(1+INDEX($Q432:$AJ432,1,(BI$4-1)*5+2)))</f>
        <v/>
      </c>
      <c r="BJ432" s="25">
        <f>BI432*(1/(1+INDEX($Q432:$AJ432,1,(BJ$4-1)*5+4)))^(1+INDEX($Q432:$AJ432,1,(BJ$4-1)*5+2))*(1+BJ$7)^INDEX($Q432:$AJ432,1,(BJ$4-1)*5+1)*(BJ302/BI302)^INDEX($Q432:$AJ432,1,(BJ$4-1)*5+2)*(BJ302/BI302)^(INDEX($Q432:$AJ432,1,(BJ$4-1)*5+3)*(1+INDEX($Q432:$AJ432,1,(BJ$4-1)*5+2)))</f>
        <v/>
      </c>
      <c r="BK432" s="25">
        <f>BJ432*(1/(1+INDEX($Q432:$AJ432,1,(BK$4-1)*5+4)))^(1+INDEX($Q432:$AJ432,1,(BK$4-1)*5+2))*(1+BK$7)^INDEX($Q432:$AJ432,1,(BK$4-1)*5+1)*(BK302/BJ302)^INDEX($Q432:$AJ432,1,(BK$4-1)*5+2)*(BK302/BJ302)^(INDEX($Q432:$AJ432,1,(BK$4-1)*5+3)*(1+INDEX($Q432:$AJ432,1,(BK$4-1)*5+2)))</f>
        <v/>
      </c>
      <c r="BL432" s="25">
        <f>BK432*(1/(1+INDEX($Q432:$AJ432,1,(BL$4-1)*5+4)))^(1+INDEX($Q432:$AJ432,1,(BL$4-1)*5+2))*(1+BL$7)^INDEX($Q432:$AJ432,1,(BL$4-1)*5+1)*(BL302/BK302)^INDEX($Q432:$AJ432,1,(BL$4-1)*5+2)*(BL302/BK302)^(INDEX($Q432:$AJ432,1,(BL$4-1)*5+3)*(1+INDEX($Q432:$AJ432,1,(BL$4-1)*5+2)))</f>
        <v/>
      </c>
      <c r="BM432" s="25">
        <f>BL432*(1/(1+INDEX($Q432:$AJ432,1,(BM$4-1)*5+4)))^(1+INDEX($Q432:$AJ432,1,(BM$4-1)*5+2))*(1+BM$7)^INDEX($Q432:$AJ432,1,(BM$4-1)*5+1)*(BM302/BL302)^INDEX($Q432:$AJ432,1,(BM$4-1)*5+2)*(BM302/BL302)^(INDEX($Q432:$AJ432,1,(BM$4-1)*5+3)*(1+INDEX($Q432:$AJ432,1,(BM$4-1)*5+2)))</f>
        <v/>
      </c>
      <c r="BN432" s="25">
        <f>BM432*(1/(1+INDEX($Q432:$AJ432,1,(BN$4-1)*5+4)))^(1+INDEX($Q432:$AJ432,1,(BN$4-1)*5+2))*(1+BN$7)^INDEX($Q432:$AJ432,1,(BN$4-1)*5+1)*(BN302/BM302)^INDEX($Q432:$AJ432,1,(BN$4-1)*5+2)*(BN302/BM302)^(INDEX($Q432:$AJ432,1,(BN$4-1)*5+3)*(1+INDEX($Q432:$AJ432,1,(BN$4-1)*5+2)))</f>
        <v/>
      </c>
    </row>
    <row r="433">
      <c r="B433" s="5" t="inlineStr">
        <is>
          <t>coa</t>
        </is>
      </c>
      <c r="C433" s="5" t="inlineStr">
        <is>
          <t>res</t>
        </is>
      </c>
      <c r="D433" s="5" t="inlineStr">
        <is>
          <t>Fuel use | Residential | Coal</t>
        </is>
      </c>
      <c r="E433" s="5" t="inlineStr">
        <is>
          <t>ktoe</t>
        </is>
      </c>
      <c r="F433" s="5" t="inlineStr">
        <is>
          <t>EnergyCons (base year), Elasticities</t>
        </is>
      </c>
      <c r="G433" s="19" t="inlineStr">
        <is>
          <t>mit.enc.coa.res</t>
        </is>
      </c>
      <c r="H433" s="19" t="inlineStr">
        <is>
          <t>mit.enc.coa.res</t>
        </is>
      </c>
      <c r="J433" s="5">
        <f>INDEX(Mapping!$C$5:$C$20,MATCH($C433,Mapping!$A$5:$A$20,0))</f>
        <v/>
      </c>
      <c r="K433" s="5">
        <f>INDEX(Mapping!$D$5:$D$20,MATCH($C433,Mapping!$A$5:$A$20,0))</f>
        <v/>
      </c>
      <c r="L433" s="5">
        <f>INDEX(Mapping!$C$24:$C$31,MATCH($B433,Mapping!$A$24:$A$31,0))</f>
        <v/>
      </c>
      <c r="M433" s="5">
        <f>INDEX(Mapping!$D$24:$D$31,MATCH($B433,Mapping!$A$24:$A$31,0))</f>
        <v/>
      </c>
      <c r="N433" s="5">
        <f>$B433&amp;"."&amp;IF(INDEX(Mapping!$E$24:$E$31,MATCH($B433,Mapping!$A$24:$A$31,0))="sub",INDEX(Mapping!$F$5:$F$20,MATCH($C433,Mapping!$A$5:$A$20,0)),"all")</f>
        <v/>
      </c>
      <c r="O433" s="5">
        <f>INDEX(Mapping!$E$5:$E$20,MATCH($C433,Mapping!$A$5:$A$20,0))</f>
        <v/>
      </c>
      <c r="P433" s="5">
        <f>INDEX(Mapping!$G$24:$G$31,MATCH($B433,Mapping!$A$24:$A$31,0))</f>
        <v/>
      </c>
      <c r="Q433" s="22">
        <f>INDEX(Elasticities!$F$4:$I$200,MATCH("inc|"&amp;$L433&amp;"|"&amp;$K433,Elasticities!$A$4:$A$200,0),MATCH(Settings!$C$6,Elasticities!$F$3:$I$3,0))</f>
        <v/>
      </c>
      <c r="R433" s="22">
        <f>INDEX(Elasticities!$F$4:$I$200,MATCH("usg|"&amp;$L433&amp;"|"&amp;$K433,Elasticities!$A$4:$A$200,0),MATCH(Settings!$C$6,Elasticities!$F$3:$I$3,0))</f>
        <v/>
      </c>
      <c r="S433" s="22">
        <f>INDEX(Elasticities!$F$4:$I$200,MATCH("eff|"&amp;$L433&amp;"|"&amp;$K433,Elasticities!$A$4:$A$200,0),MATCH(Settings!$C$6,Elasticities!$F$3:$I$3,0))</f>
        <v/>
      </c>
      <c r="T433" s="22">
        <f>INDEX(Elasticities!$F$4:$I$200,MATCH("aei|"&amp;$M433&amp;"|"&amp;$K433,Elasticities!$A$4:$A$200,0),MATCH(Settings!$C$6,Elasticities!$F$3:$I$3,0))</f>
        <v/>
      </c>
      <c r="U433" s="21" t="n"/>
      <c r="V433" s="22">
        <f>Q433</f>
        <v/>
      </c>
      <c r="W433" s="22">
        <f>R433</f>
        <v/>
      </c>
      <c r="X433" s="22">
        <f>S433</f>
        <v/>
      </c>
      <c r="Y433" s="22">
        <f>T433</f>
        <v/>
      </c>
      <c r="Z433" s="21" t="n"/>
      <c r="AA433" s="22">
        <f>Q433</f>
        <v/>
      </c>
      <c r="AB433" s="22">
        <f>R433</f>
        <v/>
      </c>
      <c r="AC433" s="22">
        <f>S433</f>
        <v/>
      </c>
      <c r="AD433" s="22">
        <f>T433</f>
        <v/>
      </c>
      <c r="AE433" s="21" t="n"/>
      <c r="AF433" s="22">
        <f>Q433</f>
        <v/>
      </c>
      <c r="AG433" s="22">
        <f>R433</f>
        <v/>
      </c>
      <c r="AH433" s="22">
        <f>S433</f>
        <v/>
      </c>
      <c r="AI433" s="22">
        <f>T433</f>
        <v/>
      </c>
      <c r="AJ433" s="21" t="n"/>
      <c r="AL433" s="24">
        <f>INDEX(EnergyCons!$F$4:$F$5000,MATCH(Settings!$C$4&amp;"|"&amp;AL$5&amp;"|"&amp;$C433&amp;"|"&amp;$B433,EnergyCons!$A$4:$A$5000,0))</f>
        <v/>
      </c>
      <c r="AM433" s="25">
        <f>AL433*(1/(1+INDEX($Q433:$AJ433,1,(AM$4-1)*5+4)))^(1+INDEX($Q433:$AJ433,1,(AM$4-1)*5+2))*(1+AM$7)^INDEX($Q433:$AJ433,1,(AM$4-1)*5+1)*(AM303/AL303)^INDEX($Q433:$AJ433,1,(AM$4-1)*5+2)*(AM303/AL303)^(INDEX($Q433:$AJ433,1,(AM$4-1)*5+3)*(1+INDEX($Q433:$AJ433,1,(AM$4-1)*5+2)))</f>
        <v/>
      </c>
      <c r="AN433" s="25">
        <f>AM433*(1/(1+INDEX($Q433:$AJ433,1,(AN$4-1)*5+4)))^(1+INDEX($Q433:$AJ433,1,(AN$4-1)*5+2))*(1+AN$7)^INDEX($Q433:$AJ433,1,(AN$4-1)*5+1)*(AN303/AM303)^INDEX($Q433:$AJ433,1,(AN$4-1)*5+2)*(AN303/AM303)^(INDEX($Q433:$AJ433,1,(AN$4-1)*5+3)*(1+INDEX($Q433:$AJ433,1,(AN$4-1)*5+2)))</f>
        <v/>
      </c>
      <c r="AO433" s="25">
        <f>AN433*(1/(1+INDEX($Q433:$AJ433,1,(AO$4-1)*5+4)))^(1+INDEX($Q433:$AJ433,1,(AO$4-1)*5+2))*(1+AO$7)^INDEX($Q433:$AJ433,1,(AO$4-1)*5+1)*(AO303/AN303)^INDEX($Q433:$AJ433,1,(AO$4-1)*5+2)*(AO303/AN303)^(INDEX($Q433:$AJ433,1,(AO$4-1)*5+3)*(1+INDEX($Q433:$AJ433,1,(AO$4-1)*5+2)))</f>
        <v/>
      </c>
      <c r="AP433" s="25">
        <f>AO433*(1/(1+INDEX($Q433:$AJ433,1,(AP$4-1)*5+4)))^(1+INDEX($Q433:$AJ433,1,(AP$4-1)*5+2))*(1+AP$7)^INDEX($Q433:$AJ433,1,(AP$4-1)*5+1)*(AP303/AO303)^INDEX($Q433:$AJ433,1,(AP$4-1)*5+2)*(AP303/AO303)^(INDEX($Q433:$AJ433,1,(AP$4-1)*5+3)*(1+INDEX($Q433:$AJ433,1,(AP$4-1)*5+2)))</f>
        <v/>
      </c>
      <c r="AQ433" s="25">
        <f>AP433*(1/(1+INDEX($Q433:$AJ433,1,(AQ$4-1)*5+4)))^(1+INDEX($Q433:$AJ433,1,(AQ$4-1)*5+2))*(1+AQ$7)^INDEX($Q433:$AJ433,1,(AQ$4-1)*5+1)*(AQ303/AP303)^INDEX($Q433:$AJ433,1,(AQ$4-1)*5+2)*(AQ303/AP303)^(INDEX($Q433:$AJ433,1,(AQ$4-1)*5+3)*(1+INDEX($Q433:$AJ433,1,(AQ$4-1)*5+2)))</f>
        <v/>
      </c>
      <c r="AR433" s="25">
        <f>AQ433*(1/(1+INDEX($Q433:$AJ433,1,(AR$4-1)*5+4)))^(1+INDEX($Q433:$AJ433,1,(AR$4-1)*5+2))*(1+AR$7)^INDEX($Q433:$AJ433,1,(AR$4-1)*5+1)*(AR303/AQ303)^INDEX($Q433:$AJ433,1,(AR$4-1)*5+2)*(AR303/AQ303)^(INDEX($Q433:$AJ433,1,(AR$4-1)*5+3)*(1+INDEX($Q433:$AJ433,1,(AR$4-1)*5+2)))</f>
        <v/>
      </c>
      <c r="AS433" s="25">
        <f>AR433*(1/(1+INDEX($Q433:$AJ433,1,(AS$4-1)*5+4)))^(1+INDEX($Q433:$AJ433,1,(AS$4-1)*5+2))*(1+AS$7)^INDEX($Q433:$AJ433,1,(AS$4-1)*5+1)*(AS303/AR303)^INDEX($Q433:$AJ433,1,(AS$4-1)*5+2)*(AS303/AR303)^(INDEX($Q433:$AJ433,1,(AS$4-1)*5+3)*(1+INDEX($Q433:$AJ433,1,(AS$4-1)*5+2)))</f>
        <v/>
      </c>
      <c r="AT433" s="25">
        <f>AS433*(1/(1+INDEX($Q433:$AJ433,1,(AT$4-1)*5+4)))^(1+INDEX($Q433:$AJ433,1,(AT$4-1)*5+2))*(1+AT$7)^INDEX($Q433:$AJ433,1,(AT$4-1)*5+1)*(AT303/AS303)^INDEX($Q433:$AJ433,1,(AT$4-1)*5+2)*(AT303/AS303)^(INDEX($Q433:$AJ433,1,(AT$4-1)*5+3)*(1+INDEX($Q433:$AJ433,1,(AT$4-1)*5+2)))</f>
        <v/>
      </c>
      <c r="AU433" s="25">
        <f>AT433*(1/(1+INDEX($Q433:$AJ433,1,(AU$4-1)*5+4)))^(1+INDEX($Q433:$AJ433,1,(AU$4-1)*5+2))*(1+AU$7)^INDEX($Q433:$AJ433,1,(AU$4-1)*5+1)*(AU303/AT303)^INDEX($Q433:$AJ433,1,(AU$4-1)*5+2)*(AU303/AT303)^(INDEX($Q433:$AJ433,1,(AU$4-1)*5+3)*(1+INDEX($Q433:$AJ433,1,(AU$4-1)*5+2)))</f>
        <v/>
      </c>
      <c r="AV433" s="25">
        <f>AU433*(1/(1+INDEX($Q433:$AJ433,1,(AV$4-1)*5+4)))^(1+INDEX($Q433:$AJ433,1,(AV$4-1)*5+2))*(1+AV$7)^INDEX($Q433:$AJ433,1,(AV$4-1)*5+1)*(AV303/AU303)^INDEX($Q433:$AJ433,1,(AV$4-1)*5+2)*(AV303/AU303)^(INDEX($Q433:$AJ433,1,(AV$4-1)*5+3)*(1+INDEX($Q433:$AJ433,1,(AV$4-1)*5+2)))</f>
        <v/>
      </c>
      <c r="AW433" s="25">
        <f>AV433*(1/(1+INDEX($Q433:$AJ433,1,(AW$4-1)*5+4)))^(1+INDEX($Q433:$AJ433,1,(AW$4-1)*5+2))*(1+AW$7)^INDEX($Q433:$AJ433,1,(AW$4-1)*5+1)*(AW303/AV303)^INDEX($Q433:$AJ433,1,(AW$4-1)*5+2)*(AW303/AV303)^(INDEX($Q433:$AJ433,1,(AW$4-1)*5+3)*(1+INDEX($Q433:$AJ433,1,(AW$4-1)*5+2)))</f>
        <v/>
      </c>
      <c r="AX433" s="25">
        <f>AW433*(1/(1+INDEX($Q433:$AJ433,1,(AX$4-1)*5+4)))^(1+INDEX($Q433:$AJ433,1,(AX$4-1)*5+2))*(1+AX$7)^INDEX($Q433:$AJ433,1,(AX$4-1)*5+1)*(AX303/AW303)^INDEX($Q433:$AJ433,1,(AX$4-1)*5+2)*(AX303/AW303)^(INDEX($Q433:$AJ433,1,(AX$4-1)*5+3)*(1+INDEX($Q433:$AJ433,1,(AX$4-1)*5+2)))</f>
        <v/>
      </c>
      <c r="AY433" s="25">
        <f>AX433*(1/(1+INDEX($Q433:$AJ433,1,(AY$4-1)*5+4)))^(1+INDEX($Q433:$AJ433,1,(AY$4-1)*5+2))*(1+AY$7)^INDEX($Q433:$AJ433,1,(AY$4-1)*5+1)*(AY303/AX303)^INDEX($Q433:$AJ433,1,(AY$4-1)*5+2)*(AY303/AX303)^(INDEX($Q433:$AJ433,1,(AY$4-1)*5+3)*(1+INDEX($Q433:$AJ433,1,(AY$4-1)*5+2)))</f>
        <v/>
      </c>
      <c r="BA433" s="24">
        <f>INDEX(EnergyCons!$F$4:$F$5000,MATCH(Settings!$C$4&amp;"|"&amp;BA$5&amp;"|"&amp;$C433&amp;"|"&amp;$B433,EnergyCons!$A$4:$A$5000,0))</f>
        <v/>
      </c>
      <c r="BB433" s="25">
        <f>BA433*(1/(1+INDEX($Q433:$AJ433,1,(BB$4-1)*5+4)))^(1+INDEX($Q433:$AJ433,1,(BB$4-1)*5+2))*(1+BB$7)^INDEX($Q433:$AJ433,1,(BB$4-1)*5+1)*(BB303/BA303)^INDEX($Q433:$AJ433,1,(BB$4-1)*5+2)*(BB303/BA303)^(INDEX($Q433:$AJ433,1,(BB$4-1)*5+3)*(1+INDEX($Q433:$AJ433,1,(BB$4-1)*5+2)))</f>
        <v/>
      </c>
      <c r="BC433" s="25">
        <f>BB433*(1/(1+INDEX($Q433:$AJ433,1,(BC$4-1)*5+4)))^(1+INDEX($Q433:$AJ433,1,(BC$4-1)*5+2))*(1+BC$7)^INDEX($Q433:$AJ433,1,(BC$4-1)*5+1)*(BC303/BB303)^INDEX($Q433:$AJ433,1,(BC$4-1)*5+2)*(BC303/BB303)^(INDEX($Q433:$AJ433,1,(BC$4-1)*5+3)*(1+INDEX($Q433:$AJ433,1,(BC$4-1)*5+2)))</f>
        <v/>
      </c>
      <c r="BD433" s="25">
        <f>BC433*(1/(1+INDEX($Q433:$AJ433,1,(BD$4-1)*5+4)))^(1+INDEX($Q433:$AJ433,1,(BD$4-1)*5+2))*(1+BD$7)^INDEX($Q433:$AJ433,1,(BD$4-1)*5+1)*(BD303/BC303)^INDEX($Q433:$AJ433,1,(BD$4-1)*5+2)*(BD303/BC303)^(INDEX($Q433:$AJ433,1,(BD$4-1)*5+3)*(1+INDEX($Q433:$AJ433,1,(BD$4-1)*5+2)))</f>
        <v/>
      </c>
      <c r="BE433" s="25">
        <f>BD433*(1/(1+INDEX($Q433:$AJ433,1,(BE$4-1)*5+4)))^(1+INDEX($Q433:$AJ433,1,(BE$4-1)*5+2))*(1+BE$7)^INDEX($Q433:$AJ433,1,(BE$4-1)*5+1)*(BE303/BD303)^INDEX($Q433:$AJ433,1,(BE$4-1)*5+2)*(BE303/BD303)^(INDEX($Q433:$AJ433,1,(BE$4-1)*5+3)*(1+INDEX($Q433:$AJ433,1,(BE$4-1)*5+2)))</f>
        <v/>
      </c>
      <c r="BF433" s="25">
        <f>BE433*(1/(1+INDEX($Q433:$AJ433,1,(BF$4-1)*5+4)))^(1+INDEX($Q433:$AJ433,1,(BF$4-1)*5+2))*(1+BF$7)^INDEX($Q433:$AJ433,1,(BF$4-1)*5+1)*(BF303/BE303)^INDEX($Q433:$AJ433,1,(BF$4-1)*5+2)*(BF303/BE303)^(INDEX($Q433:$AJ433,1,(BF$4-1)*5+3)*(1+INDEX($Q433:$AJ433,1,(BF$4-1)*5+2)))</f>
        <v/>
      </c>
      <c r="BG433" s="25">
        <f>BF433*(1/(1+INDEX($Q433:$AJ433,1,(BG$4-1)*5+4)))^(1+INDEX($Q433:$AJ433,1,(BG$4-1)*5+2))*(1+BG$7)^INDEX($Q433:$AJ433,1,(BG$4-1)*5+1)*(BG303/BF303)^INDEX($Q433:$AJ433,1,(BG$4-1)*5+2)*(BG303/BF303)^(INDEX($Q433:$AJ433,1,(BG$4-1)*5+3)*(1+INDEX($Q433:$AJ433,1,(BG$4-1)*5+2)))</f>
        <v/>
      </c>
      <c r="BH433" s="25">
        <f>BG433*(1/(1+INDEX($Q433:$AJ433,1,(BH$4-1)*5+4)))^(1+INDEX($Q433:$AJ433,1,(BH$4-1)*5+2))*(1+BH$7)^INDEX($Q433:$AJ433,1,(BH$4-1)*5+1)*(BH303/BG303)^INDEX($Q433:$AJ433,1,(BH$4-1)*5+2)*(BH303/BG303)^(INDEX($Q433:$AJ433,1,(BH$4-1)*5+3)*(1+INDEX($Q433:$AJ433,1,(BH$4-1)*5+2)))</f>
        <v/>
      </c>
      <c r="BI433" s="25">
        <f>BH433*(1/(1+INDEX($Q433:$AJ433,1,(BI$4-1)*5+4)))^(1+INDEX($Q433:$AJ433,1,(BI$4-1)*5+2))*(1+BI$7)^INDEX($Q433:$AJ433,1,(BI$4-1)*5+1)*(BI303/BH303)^INDEX($Q433:$AJ433,1,(BI$4-1)*5+2)*(BI303/BH303)^(INDEX($Q433:$AJ433,1,(BI$4-1)*5+3)*(1+INDEX($Q433:$AJ433,1,(BI$4-1)*5+2)))</f>
        <v/>
      </c>
      <c r="BJ433" s="25">
        <f>BI433*(1/(1+INDEX($Q433:$AJ433,1,(BJ$4-1)*5+4)))^(1+INDEX($Q433:$AJ433,1,(BJ$4-1)*5+2))*(1+BJ$7)^INDEX($Q433:$AJ433,1,(BJ$4-1)*5+1)*(BJ303/BI303)^INDEX($Q433:$AJ433,1,(BJ$4-1)*5+2)*(BJ303/BI303)^(INDEX($Q433:$AJ433,1,(BJ$4-1)*5+3)*(1+INDEX($Q433:$AJ433,1,(BJ$4-1)*5+2)))</f>
        <v/>
      </c>
      <c r="BK433" s="25">
        <f>BJ433*(1/(1+INDEX($Q433:$AJ433,1,(BK$4-1)*5+4)))^(1+INDEX($Q433:$AJ433,1,(BK$4-1)*5+2))*(1+BK$7)^INDEX($Q433:$AJ433,1,(BK$4-1)*5+1)*(BK303/BJ303)^INDEX($Q433:$AJ433,1,(BK$4-1)*5+2)*(BK303/BJ303)^(INDEX($Q433:$AJ433,1,(BK$4-1)*5+3)*(1+INDEX($Q433:$AJ433,1,(BK$4-1)*5+2)))</f>
        <v/>
      </c>
      <c r="BL433" s="25">
        <f>BK433*(1/(1+INDEX($Q433:$AJ433,1,(BL$4-1)*5+4)))^(1+INDEX($Q433:$AJ433,1,(BL$4-1)*5+2))*(1+BL$7)^INDEX($Q433:$AJ433,1,(BL$4-1)*5+1)*(BL303/BK303)^INDEX($Q433:$AJ433,1,(BL$4-1)*5+2)*(BL303/BK303)^(INDEX($Q433:$AJ433,1,(BL$4-1)*5+3)*(1+INDEX($Q433:$AJ433,1,(BL$4-1)*5+2)))</f>
        <v/>
      </c>
      <c r="BM433" s="25">
        <f>BL433*(1/(1+INDEX($Q433:$AJ433,1,(BM$4-1)*5+4)))^(1+INDEX($Q433:$AJ433,1,(BM$4-1)*5+2))*(1+BM$7)^INDEX($Q433:$AJ433,1,(BM$4-1)*5+1)*(BM303/BL303)^INDEX($Q433:$AJ433,1,(BM$4-1)*5+2)*(BM303/BL303)^(INDEX($Q433:$AJ433,1,(BM$4-1)*5+3)*(1+INDEX($Q433:$AJ433,1,(BM$4-1)*5+2)))</f>
        <v/>
      </c>
      <c r="BN433" s="25">
        <f>BM433*(1/(1+INDEX($Q433:$AJ433,1,(BN$4-1)*5+4)))^(1+INDEX($Q433:$AJ433,1,(BN$4-1)*5+2))*(1+BN$7)^INDEX($Q433:$AJ433,1,(BN$4-1)*5+1)*(BN303/BM303)^INDEX($Q433:$AJ433,1,(BN$4-1)*5+2)*(BN303/BM303)^(INDEX($Q433:$AJ433,1,(BN$4-1)*5+3)*(1+INDEX($Q433:$AJ433,1,(BN$4-1)*5+2)))</f>
        <v/>
      </c>
    </row>
    <row r="434">
      <c r="B434" s="5" t="inlineStr">
        <is>
          <t>nga</t>
        </is>
      </c>
      <c r="C434" s="5" t="inlineStr">
        <is>
          <t>res</t>
        </is>
      </c>
      <c r="D434" s="5" t="inlineStr">
        <is>
          <t>Fuel use | Residential | Natural gas</t>
        </is>
      </c>
      <c r="E434" s="5" t="inlineStr">
        <is>
          <t>ktoe</t>
        </is>
      </c>
      <c r="F434" s="5" t="inlineStr">
        <is>
          <t>EnergyCons (base year), Elasticities</t>
        </is>
      </c>
      <c r="G434" s="19" t="inlineStr">
        <is>
          <t>mit.enc.nga.res</t>
        </is>
      </c>
      <c r="H434" s="19" t="inlineStr">
        <is>
          <t>mit.enc.nga.res</t>
        </is>
      </c>
      <c r="J434" s="5">
        <f>INDEX(Mapping!$C$5:$C$20,MATCH($C434,Mapping!$A$5:$A$20,0))</f>
        <v/>
      </c>
      <c r="K434" s="5">
        <f>INDEX(Mapping!$D$5:$D$20,MATCH($C434,Mapping!$A$5:$A$20,0))</f>
        <v/>
      </c>
      <c r="L434" s="5">
        <f>INDEX(Mapping!$C$24:$C$31,MATCH($B434,Mapping!$A$24:$A$31,0))</f>
        <v/>
      </c>
      <c r="M434" s="5">
        <f>INDEX(Mapping!$D$24:$D$31,MATCH($B434,Mapping!$A$24:$A$31,0))</f>
        <v/>
      </c>
      <c r="N434" s="5">
        <f>$B434&amp;"."&amp;IF(INDEX(Mapping!$E$24:$E$31,MATCH($B434,Mapping!$A$24:$A$31,0))="sub",INDEX(Mapping!$F$5:$F$20,MATCH($C434,Mapping!$A$5:$A$20,0)),"all")</f>
        <v/>
      </c>
      <c r="O434" s="5">
        <f>INDEX(Mapping!$E$5:$E$20,MATCH($C434,Mapping!$A$5:$A$20,0))</f>
        <v/>
      </c>
      <c r="P434" s="5">
        <f>INDEX(Mapping!$G$24:$G$31,MATCH($B434,Mapping!$A$24:$A$31,0))</f>
        <v/>
      </c>
      <c r="Q434" s="22">
        <f>INDEX(Elasticities!$F$4:$I$200,MATCH("inc|"&amp;$L434&amp;"|"&amp;$K434,Elasticities!$A$4:$A$200,0),MATCH(Settings!$C$6,Elasticities!$F$3:$I$3,0))</f>
        <v/>
      </c>
      <c r="R434" s="22">
        <f>INDEX(Elasticities!$F$4:$I$200,MATCH("usg|"&amp;$L434&amp;"|"&amp;$K434,Elasticities!$A$4:$A$200,0),MATCH(Settings!$C$6,Elasticities!$F$3:$I$3,0))</f>
        <v/>
      </c>
      <c r="S434" s="22">
        <f>INDEX(Elasticities!$F$4:$I$200,MATCH("eff|"&amp;$L434&amp;"|"&amp;$K434,Elasticities!$A$4:$A$200,0),MATCH(Settings!$C$6,Elasticities!$F$3:$I$3,0))</f>
        <v/>
      </c>
      <c r="T434" s="22">
        <f>INDEX(Elasticities!$F$4:$I$200,MATCH("aei|"&amp;$M434&amp;"|"&amp;$K434,Elasticities!$A$4:$A$200,0),MATCH(Settings!$C$6,Elasticities!$F$3:$I$3,0))</f>
        <v/>
      </c>
      <c r="U434" s="21" t="n"/>
      <c r="V434" s="22">
        <f>Q434</f>
        <v/>
      </c>
      <c r="W434" s="22">
        <f>R434</f>
        <v/>
      </c>
      <c r="X434" s="22">
        <f>S434</f>
        <v/>
      </c>
      <c r="Y434" s="22">
        <f>T434</f>
        <v/>
      </c>
      <c r="Z434" s="21" t="n"/>
      <c r="AA434" s="22">
        <f>Q434</f>
        <v/>
      </c>
      <c r="AB434" s="22">
        <f>R434</f>
        <v/>
      </c>
      <c r="AC434" s="22">
        <f>S434</f>
        <v/>
      </c>
      <c r="AD434" s="22">
        <f>T434</f>
        <v/>
      </c>
      <c r="AE434" s="21" t="n"/>
      <c r="AF434" s="22">
        <f>Q434</f>
        <v/>
      </c>
      <c r="AG434" s="22">
        <f>R434</f>
        <v/>
      </c>
      <c r="AH434" s="22">
        <f>S434</f>
        <v/>
      </c>
      <c r="AI434" s="22">
        <f>T434</f>
        <v/>
      </c>
      <c r="AJ434" s="21" t="n"/>
      <c r="AL434" s="24">
        <f>INDEX(EnergyCons!$F$4:$F$5000,MATCH(Settings!$C$4&amp;"|"&amp;AL$5&amp;"|"&amp;$C434&amp;"|"&amp;$B434,EnergyCons!$A$4:$A$5000,0))</f>
        <v/>
      </c>
      <c r="AM434" s="25">
        <f>AL434*(1/(1+INDEX($Q434:$AJ434,1,(AM$4-1)*5+4)))^(1+INDEX($Q434:$AJ434,1,(AM$4-1)*5+2))*(1+AM$7)^INDEX($Q434:$AJ434,1,(AM$4-1)*5+1)*(AM304/AL304)^INDEX($Q434:$AJ434,1,(AM$4-1)*5+2)*(AM304/AL304)^(INDEX($Q434:$AJ434,1,(AM$4-1)*5+3)*(1+INDEX($Q434:$AJ434,1,(AM$4-1)*5+2)))</f>
        <v/>
      </c>
      <c r="AN434" s="25">
        <f>AM434*(1/(1+INDEX($Q434:$AJ434,1,(AN$4-1)*5+4)))^(1+INDEX($Q434:$AJ434,1,(AN$4-1)*5+2))*(1+AN$7)^INDEX($Q434:$AJ434,1,(AN$4-1)*5+1)*(AN304/AM304)^INDEX($Q434:$AJ434,1,(AN$4-1)*5+2)*(AN304/AM304)^(INDEX($Q434:$AJ434,1,(AN$4-1)*5+3)*(1+INDEX($Q434:$AJ434,1,(AN$4-1)*5+2)))</f>
        <v/>
      </c>
      <c r="AO434" s="25">
        <f>AN434*(1/(1+INDEX($Q434:$AJ434,1,(AO$4-1)*5+4)))^(1+INDEX($Q434:$AJ434,1,(AO$4-1)*5+2))*(1+AO$7)^INDEX($Q434:$AJ434,1,(AO$4-1)*5+1)*(AO304/AN304)^INDEX($Q434:$AJ434,1,(AO$4-1)*5+2)*(AO304/AN304)^(INDEX($Q434:$AJ434,1,(AO$4-1)*5+3)*(1+INDEX($Q434:$AJ434,1,(AO$4-1)*5+2)))</f>
        <v/>
      </c>
      <c r="AP434" s="25">
        <f>AO434*(1/(1+INDEX($Q434:$AJ434,1,(AP$4-1)*5+4)))^(1+INDEX($Q434:$AJ434,1,(AP$4-1)*5+2))*(1+AP$7)^INDEX($Q434:$AJ434,1,(AP$4-1)*5+1)*(AP304/AO304)^INDEX($Q434:$AJ434,1,(AP$4-1)*5+2)*(AP304/AO304)^(INDEX($Q434:$AJ434,1,(AP$4-1)*5+3)*(1+INDEX($Q434:$AJ434,1,(AP$4-1)*5+2)))</f>
        <v/>
      </c>
      <c r="AQ434" s="25">
        <f>AP434*(1/(1+INDEX($Q434:$AJ434,1,(AQ$4-1)*5+4)))^(1+INDEX($Q434:$AJ434,1,(AQ$4-1)*5+2))*(1+AQ$7)^INDEX($Q434:$AJ434,1,(AQ$4-1)*5+1)*(AQ304/AP304)^INDEX($Q434:$AJ434,1,(AQ$4-1)*5+2)*(AQ304/AP304)^(INDEX($Q434:$AJ434,1,(AQ$4-1)*5+3)*(1+INDEX($Q434:$AJ434,1,(AQ$4-1)*5+2)))</f>
        <v/>
      </c>
      <c r="AR434" s="25">
        <f>AQ434*(1/(1+INDEX($Q434:$AJ434,1,(AR$4-1)*5+4)))^(1+INDEX($Q434:$AJ434,1,(AR$4-1)*5+2))*(1+AR$7)^INDEX($Q434:$AJ434,1,(AR$4-1)*5+1)*(AR304/AQ304)^INDEX($Q434:$AJ434,1,(AR$4-1)*5+2)*(AR304/AQ304)^(INDEX($Q434:$AJ434,1,(AR$4-1)*5+3)*(1+INDEX($Q434:$AJ434,1,(AR$4-1)*5+2)))</f>
        <v/>
      </c>
      <c r="AS434" s="25">
        <f>AR434*(1/(1+INDEX($Q434:$AJ434,1,(AS$4-1)*5+4)))^(1+INDEX($Q434:$AJ434,1,(AS$4-1)*5+2))*(1+AS$7)^INDEX($Q434:$AJ434,1,(AS$4-1)*5+1)*(AS304/AR304)^INDEX($Q434:$AJ434,1,(AS$4-1)*5+2)*(AS304/AR304)^(INDEX($Q434:$AJ434,1,(AS$4-1)*5+3)*(1+INDEX($Q434:$AJ434,1,(AS$4-1)*5+2)))</f>
        <v/>
      </c>
      <c r="AT434" s="25">
        <f>AS434*(1/(1+INDEX($Q434:$AJ434,1,(AT$4-1)*5+4)))^(1+INDEX($Q434:$AJ434,1,(AT$4-1)*5+2))*(1+AT$7)^INDEX($Q434:$AJ434,1,(AT$4-1)*5+1)*(AT304/AS304)^INDEX($Q434:$AJ434,1,(AT$4-1)*5+2)*(AT304/AS304)^(INDEX($Q434:$AJ434,1,(AT$4-1)*5+3)*(1+INDEX($Q434:$AJ434,1,(AT$4-1)*5+2)))</f>
        <v/>
      </c>
      <c r="AU434" s="25">
        <f>AT434*(1/(1+INDEX($Q434:$AJ434,1,(AU$4-1)*5+4)))^(1+INDEX($Q434:$AJ434,1,(AU$4-1)*5+2))*(1+AU$7)^INDEX($Q434:$AJ434,1,(AU$4-1)*5+1)*(AU304/AT304)^INDEX($Q434:$AJ434,1,(AU$4-1)*5+2)*(AU304/AT304)^(INDEX($Q434:$AJ434,1,(AU$4-1)*5+3)*(1+INDEX($Q434:$AJ434,1,(AU$4-1)*5+2)))</f>
        <v/>
      </c>
      <c r="AV434" s="25">
        <f>AU434*(1/(1+INDEX($Q434:$AJ434,1,(AV$4-1)*5+4)))^(1+INDEX($Q434:$AJ434,1,(AV$4-1)*5+2))*(1+AV$7)^INDEX($Q434:$AJ434,1,(AV$4-1)*5+1)*(AV304/AU304)^INDEX($Q434:$AJ434,1,(AV$4-1)*5+2)*(AV304/AU304)^(INDEX($Q434:$AJ434,1,(AV$4-1)*5+3)*(1+INDEX($Q434:$AJ434,1,(AV$4-1)*5+2)))</f>
        <v/>
      </c>
      <c r="AW434" s="25">
        <f>AV434*(1/(1+INDEX($Q434:$AJ434,1,(AW$4-1)*5+4)))^(1+INDEX($Q434:$AJ434,1,(AW$4-1)*5+2))*(1+AW$7)^INDEX($Q434:$AJ434,1,(AW$4-1)*5+1)*(AW304/AV304)^INDEX($Q434:$AJ434,1,(AW$4-1)*5+2)*(AW304/AV304)^(INDEX($Q434:$AJ434,1,(AW$4-1)*5+3)*(1+INDEX($Q434:$AJ434,1,(AW$4-1)*5+2)))</f>
        <v/>
      </c>
      <c r="AX434" s="25">
        <f>AW434*(1/(1+INDEX($Q434:$AJ434,1,(AX$4-1)*5+4)))^(1+INDEX($Q434:$AJ434,1,(AX$4-1)*5+2))*(1+AX$7)^INDEX($Q434:$AJ434,1,(AX$4-1)*5+1)*(AX304/AW304)^INDEX($Q434:$AJ434,1,(AX$4-1)*5+2)*(AX304/AW304)^(INDEX($Q434:$AJ434,1,(AX$4-1)*5+3)*(1+INDEX($Q434:$AJ434,1,(AX$4-1)*5+2)))</f>
        <v/>
      </c>
      <c r="AY434" s="25">
        <f>AX434*(1/(1+INDEX($Q434:$AJ434,1,(AY$4-1)*5+4)))^(1+INDEX($Q434:$AJ434,1,(AY$4-1)*5+2))*(1+AY$7)^INDEX($Q434:$AJ434,1,(AY$4-1)*5+1)*(AY304/AX304)^INDEX($Q434:$AJ434,1,(AY$4-1)*5+2)*(AY304/AX304)^(INDEX($Q434:$AJ434,1,(AY$4-1)*5+3)*(1+INDEX($Q434:$AJ434,1,(AY$4-1)*5+2)))</f>
        <v/>
      </c>
      <c r="BA434" s="24">
        <f>INDEX(EnergyCons!$F$4:$F$5000,MATCH(Settings!$C$4&amp;"|"&amp;BA$5&amp;"|"&amp;$C434&amp;"|"&amp;$B434,EnergyCons!$A$4:$A$5000,0))</f>
        <v/>
      </c>
      <c r="BB434" s="25">
        <f>BA434*(1/(1+INDEX($Q434:$AJ434,1,(BB$4-1)*5+4)))^(1+INDEX($Q434:$AJ434,1,(BB$4-1)*5+2))*(1+BB$7)^INDEX($Q434:$AJ434,1,(BB$4-1)*5+1)*(BB304/BA304)^INDEX($Q434:$AJ434,1,(BB$4-1)*5+2)*(BB304/BA304)^(INDEX($Q434:$AJ434,1,(BB$4-1)*5+3)*(1+INDEX($Q434:$AJ434,1,(BB$4-1)*5+2)))</f>
        <v/>
      </c>
      <c r="BC434" s="25">
        <f>BB434*(1/(1+INDEX($Q434:$AJ434,1,(BC$4-1)*5+4)))^(1+INDEX($Q434:$AJ434,1,(BC$4-1)*5+2))*(1+BC$7)^INDEX($Q434:$AJ434,1,(BC$4-1)*5+1)*(BC304/BB304)^INDEX($Q434:$AJ434,1,(BC$4-1)*5+2)*(BC304/BB304)^(INDEX($Q434:$AJ434,1,(BC$4-1)*5+3)*(1+INDEX($Q434:$AJ434,1,(BC$4-1)*5+2)))</f>
        <v/>
      </c>
      <c r="BD434" s="25">
        <f>BC434*(1/(1+INDEX($Q434:$AJ434,1,(BD$4-1)*5+4)))^(1+INDEX($Q434:$AJ434,1,(BD$4-1)*5+2))*(1+BD$7)^INDEX($Q434:$AJ434,1,(BD$4-1)*5+1)*(BD304/BC304)^INDEX($Q434:$AJ434,1,(BD$4-1)*5+2)*(BD304/BC304)^(INDEX($Q434:$AJ434,1,(BD$4-1)*5+3)*(1+INDEX($Q434:$AJ434,1,(BD$4-1)*5+2)))</f>
        <v/>
      </c>
      <c r="BE434" s="25">
        <f>BD434*(1/(1+INDEX($Q434:$AJ434,1,(BE$4-1)*5+4)))^(1+INDEX($Q434:$AJ434,1,(BE$4-1)*5+2))*(1+BE$7)^INDEX($Q434:$AJ434,1,(BE$4-1)*5+1)*(BE304/BD304)^INDEX($Q434:$AJ434,1,(BE$4-1)*5+2)*(BE304/BD304)^(INDEX($Q434:$AJ434,1,(BE$4-1)*5+3)*(1+INDEX($Q434:$AJ434,1,(BE$4-1)*5+2)))</f>
        <v/>
      </c>
      <c r="BF434" s="25">
        <f>BE434*(1/(1+INDEX($Q434:$AJ434,1,(BF$4-1)*5+4)))^(1+INDEX($Q434:$AJ434,1,(BF$4-1)*5+2))*(1+BF$7)^INDEX($Q434:$AJ434,1,(BF$4-1)*5+1)*(BF304/BE304)^INDEX($Q434:$AJ434,1,(BF$4-1)*5+2)*(BF304/BE304)^(INDEX($Q434:$AJ434,1,(BF$4-1)*5+3)*(1+INDEX($Q434:$AJ434,1,(BF$4-1)*5+2)))</f>
        <v/>
      </c>
      <c r="BG434" s="25">
        <f>BF434*(1/(1+INDEX($Q434:$AJ434,1,(BG$4-1)*5+4)))^(1+INDEX($Q434:$AJ434,1,(BG$4-1)*5+2))*(1+BG$7)^INDEX($Q434:$AJ434,1,(BG$4-1)*5+1)*(BG304/BF304)^INDEX($Q434:$AJ434,1,(BG$4-1)*5+2)*(BG304/BF304)^(INDEX($Q434:$AJ434,1,(BG$4-1)*5+3)*(1+INDEX($Q434:$AJ434,1,(BG$4-1)*5+2)))</f>
        <v/>
      </c>
      <c r="BH434" s="25">
        <f>BG434*(1/(1+INDEX($Q434:$AJ434,1,(BH$4-1)*5+4)))^(1+INDEX($Q434:$AJ434,1,(BH$4-1)*5+2))*(1+BH$7)^INDEX($Q434:$AJ434,1,(BH$4-1)*5+1)*(BH304/BG304)^INDEX($Q434:$AJ434,1,(BH$4-1)*5+2)*(BH304/BG304)^(INDEX($Q434:$AJ434,1,(BH$4-1)*5+3)*(1+INDEX($Q434:$AJ434,1,(BH$4-1)*5+2)))</f>
        <v/>
      </c>
      <c r="BI434" s="25">
        <f>BH434*(1/(1+INDEX($Q434:$AJ434,1,(BI$4-1)*5+4)))^(1+INDEX($Q434:$AJ434,1,(BI$4-1)*5+2))*(1+BI$7)^INDEX($Q434:$AJ434,1,(BI$4-1)*5+1)*(BI304/BH304)^INDEX($Q434:$AJ434,1,(BI$4-1)*5+2)*(BI304/BH304)^(INDEX($Q434:$AJ434,1,(BI$4-1)*5+3)*(1+INDEX($Q434:$AJ434,1,(BI$4-1)*5+2)))</f>
        <v/>
      </c>
      <c r="BJ434" s="25">
        <f>BI434*(1/(1+INDEX($Q434:$AJ434,1,(BJ$4-1)*5+4)))^(1+INDEX($Q434:$AJ434,1,(BJ$4-1)*5+2))*(1+BJ$7)^INDEX($Q434:$AJ434,1,(BJ$4-1)*5+1)*(BJ304/BI304)^INDEX($Q434:$AJ434,1,(BJ$4-1)*5+2)*(BJ304/BI304)^(INDEX($Q434:$AJ434,1,(BJ$4-1)*5+3)*(1+INDEX($Q434:$AJ434,1,(BJ$4-1)*5+2)))</f>
        <v/>
      </c>
      <c r="BK434" s="25">
        <f>BJ434*(1/(1+INDEX($Q434:$AJ434,1,(BK$4-1)*5+4)))^(1+INDEX($Q434:$AJ434,1,(BK$4-1)*5+2))*(1+BK$7)^INDEX($Q434:$AJ434,1,(BK$4-1)*5+1)*(BK304/BJ304)^INDEX($Q434:$AJ434,1,(BK$4-1)*5+2)*(BK304/BJ304)^(INDEX($Q434:$AJ434,1,(BK$4-1)*5+3)*(1+INDEX($Q434:$AJ434,1,(BK$4-1)*5+2)))</f>
        <v/>
      </c>
      <c r="BL434" s="25">
        <f>BK434*(1/(1+INDEX($Q434:$AJ434,1,(BL$4-1)*5+4)))^(1+INDEX($Q434:$AJ434,1,(BL$4-1)*5+2))*(1+BL$7)^INDEX($Q434:$AJ434,1,(BL$4-1)*5+1)*(BL304/BK304)^INDEX($Q434:$AJ434,1,(BL$4-1)*5+2)*(BL304/BK304)^(INDEX($Q434:$AJ434,1,(BL$4-1)*5+3)*(1+INDEX($Q434:$AJ434,1,(BL$4-1)*5+2)))</f>
        <v/>
      </c>
      <c r="BM434" s="25">
        <f>BL434*(1/(1+INDEX($Q434:$AJ434,1,(BM$4-1)*5+4)))^(1+INDEX($Q434:$AJ434,1,(BM$4-1)*5+2))*(1+BM$7)^INDEX($Q434:$AJ434,1,(BM$4-1)*5+1)*(BM304/BL304)^INDEX($Q434:$AJ434,1,(BM$4-1)*5+2)*(BM304/BL304)^(INDEX($Q434:$AJ434,1,(BM$4-1)*5+3)*(1+INDEX($Q434:$AJ434,1,(BM$4-1)*5+2)))</f>
        <v/>
      </c>
      <c r="BN434" s="25">
        <f>BM434*(1/(1+INDEX($Q434:$AJ434,1,(BN$4-1)*5+4)))^(1+INDEX($Q434:$AJ434,1,(BN$4-1)*5+2))*(1+BN$7)^INDEX($Q434:$AJ434,1,(BN$4-1)*5+1)*(BN304/BM304)^INDEX($Q434:$AJ434,1,(BN$4-1)*5+2)*(BN304/BM304)^(INDEX($Q434:$AJ434,1,(BN$4-1)*5+3)*(1+INDEX($Q434:$AJ434,1,(BN$4-1)*5+2)))</f>
        <v/>
      </c>
    </row>
    <row r="435">
      <c r="B435" s="5" t="inlineStr">
        <is>
          <t>gso</t>
        </is>
      </c>
      <c r="C435" s="5" t="inlineStr">
        <is>
          <t>res</t>
        </is>
      </c>
      <c r="D435" s="5" t="inlineStr">
        <is>
          <t>Fuel use | Residential | Gasoline</t>
        </is>
      </c>
      <c r="E435" s="5" t="inlineStr">
        <is>
          <t>ktoe</t>
        </is>
      </c>
      <c r="F435" s="5" t="inlineStr">
        <is>
          <t>EnergyCons (base year), Elasticities</t>
        </is>
      </c>
      <c r="G435" s="19" t="inlineStr">
        <is>
          <t>mit.enc.gso.res</t>
        </is>
      </c>
      <c r="H435" s="19" t="inlineStr">
        <is>
          <t>mit.enc.gso.res</t>
        </is>
      </c>
      <c r="J435" s="5">
        <f>INDEX(Mapping!$C$5:$C$20,MATCH($C435,Mapping!$A$5:$A$20,0))</f>
        <v/>
      </c>
      <c r="K435" s="5">
        <f>INDEX(Mapping!$D$5:$D$20,MATCH($C435,Mapping!$A$5:$A$20,0))</f>
        <v/>
      </c>
      <c r="L435" s="5">
        <f>INDEX(Mapping!$C$24:$C$31,MATCH($B435,Mapping!$A$24:$A$31,0))</f>
        <v/>
      </c>
      <c r="M435" s="5">
        <f>INDEX(Mapping!$D$24:$D$31,MATCH($B435,Mapping!$A$24:$A$31,0))</f>
        <v/>
      </c>
      <c r="N435" s="5">
        <f>$B435&amp;"."&amp;IF(INDEX(Mapping!$E$24:$E$31,MATCH($B435,Mapping!$A$24:$A$31,0))="sub",INDEX(Mapping!$F$5:$F$20,MATCH($C435,Mapping!$A$5:$A$20,0)),"all")</f>
        <v/>
      </c>
      <c r="O435" s="5">
        <f>INDEX(Mapping!$E$5:$E$20,MATCH($C435,Mapping!$A$5:$A$20,0))</f>
        <v/>
      </c>
      <c r="P435" s="5">
        <f>INDEX(Mapping!$G$24:$G$31,MATCH($B435,Mapping!$A$24:$A$31,0))</f>
        <v/>
      </c>
      <c r="Q435" s="22">
        <f>INDEX(Elasticities!$F$4:$I$200,MATCH("inc|"&amp;$L435&amp;"|"&amp;$K435,Elasticities!$A$4:$A$200,0),MATCH(Settings!$C$6,Elasticities!$F$3:$I$3,0))</f>
        <v/>
      </c>
      <c r="R435" s="22">
        <f>INDEX(Elasticities!$F$4:$I$200,MATCH("usg|"&amp;$L435&amp;"|"&amp;$K435,Elasticities!$A$4:$A$200,0),MATCH(Settings!$C$6,Elasticities!$F$3:$I$3,0))</f>
        <v/>
      </c>
      <c r="S435" s="22">
        <f>INDEX(Elasticities!$F$4:$I$200,MATCH("eff|"&amp;$L435&amp;"|"&amp;$K435,Elasticities!$A$4:$A$200,0),MATCH(Settings!$C$6,Elasticities!$F$3:$I$3,0))</f>
        <v/>
      </c>
      <c r="T435" s="22">
        <f>INDEX(Elasticities!$F$4:$I$200,MATCH("aei|"&amp;$M435&amp;"|"&amp;$K435,Elasticities!$A$4:$A$200,0),MATCH(Settings!$C$6,Elasticities!$F$3:$I$3,0))</f>
        <v/>
      </c>
      <c r="U435" s="21" t="n"/>
      <c r="V435" s="22">
        <f>Q435</f>
        <v/>
      </c>
      <c r="W435" s="22">
        <f>R435</f>
        <v/>
      </c>
      <c r="X435" s="22">
        <f>S435</f>
        <v/>
      </c>
      <c r="Y435" s="22">
        <f>T435</f>
        <v/>
      </c>
      <c r="Z435" s="21" t="n"/>
      <c r="AA435" s="22">
        <f>Q435</f>
        <v/>
      </c>
      <c r="AB435" s="22">
        <f>R435</f>
        <v/>
      </c>
      <c r="AC435" s="22">
        <f>S435</f>
        <v/>
      </c>
      <c r="AD435" s="22">
        <f>T435</f>
        <v/>
      </c>
      <c r="AE435" s="21" t="n"/>
      <c r="AF435" s="22">
        <f>Q435</f>
        <v/>
      </c>
      <c r="AG435" s="22">
        <f>R435</f>
        <v/>
      </c>
      <c r="AH435" s="22">
        <f>S435</f>
        <v/>
      </c>
      <c r="AI435" s="22">
        <f>T435</f>
        <v/>
      </c>
      <c r="AJ435" s="21" t="n"/>
      <c r="AL435" s="24">
        <f>INDEX(EnergyCons!$F$4:$F$5000,MATCH(Settings!$C$4&amp;"|"&amp;AL$5&amp;"|"&amp;$C435&amp;"|"&amp;$B435,EnergyCons!$A$4:$A$5000,0))</f>
        <v/>
      </c>
      <c r="AM435" s="25">
        <f>AL435*(1/(1+INDEX($Q435:$AJ435,1,(AM$4-1)*5+4)))^(1+INDEX($Q435:$AJ435,1,(AM$4-1)*5+2))*(1+AM$7)^INDEX($Q435:$AJ435,1,(AM$4-1)*5+1)*(AM305/AL305)^INDEX($Q435:$AJ435,1,(AM$4-1)*5+2)*(AM305/AL305)^(INDEX($Q435:$AJ435,1,(AM$4-1)*5+3)*(1+INDEX($Q435:$AJ435,1,(AM$4-1)*5+2)))</f>
        <v/>
      </c>
      <c r="AN435" s="25">
        <f>AM435*(1/(1+INDEX($Q435:$AJ435,1,(AN$4-1)*5+4)))^(1+INDEX($Q435:$AJ435,1,(AN$4-1)*5+2))*(1+AN$7)^INDEX($Q435:$AJ435,1,(AN$4-1)*5+1)*(AN305/AM305)^INDEX($Q435:$AJ435,1,(AN$4-1)*5+2)*(AN305/AM305)^(INDEX($Q435:$AJ435,1,(AN$4-1)*5+3)*(1+INDEX($Q435:$AJ435,1,(AN$4-1)*5+2)))</f>
        <v/>
      </c>
      <c r="AO435" s="25">
        <f>AN435*(1/(1+INDEX($Q435:$AJ435,1,(AO$4-1)*5+4)))^(1+INDEX($Q435:$AJ435,1,(AO$4-1)*5+2))*(1+AO$7)^INDEX($Q435:$AJ435,1,(AO$4-1)*5+1)*(AO305/AN305)^INDEX($Q435:$AJ435,1,(AO$4-1)*5+2)*(AO305/AN305)^(INDEX($Q435:$AJ435,1,(AO$4-1)*5+3)*(1+INDEX($Q435:$AJ435,1,(AO$4-1)*5+2)))</f>
        <v/>
      </c>
      <c r="AP435" s="25">
        <f>AO435*(1/(1+INDEX($Q435:$AJ435,1,(AP$4-1)*5+4)))^(1+INDEX($Q435:$AJ435,1,(AP$4-1)*5+2))*(1+AP$7)^INDEX($Q435:$AJ435,1,(AP$4-1)*5+1)*(AP305/AO305)^INDEX($Q435:$AJ435,1,(AP$4-1)*5+2)*(AP305/AO305)^(INDEX($Q435:$AJ435,1,(AP$4-1)*5+3)*(1+INDEX($Q435:$AJ435,1,(AP$4-1)*5+2)))</f>
        <v/>
      </c>
      <c r="AQ435" s="25">
        <f>AP435*(1/(1+INDEX($Q435:$AJ435,1,(AQ$4-1)*5+4)))^(1+INDEX($Q435:$AJ435,1,(AQ$4-1)*5+2))*(1+AQ$7)^INDEX($Q435:$AJ435,1,(AQ$4-1)*5+1)*(AQ305/AP305)^INDEX($Q435:$AJ435,1,(AQ$4-1)*5+2)*(AQ305/AP305)^(INDEX($Q435:$AJ435,1,(AQ$4-1)*5+3)*(1+INDEX($Q435:$AJ435,1,(AQ$4-1)*5+2)))</f>
        <v/>
      </c>
      <c r="AR435" s="25">
        <f>AQ435*(1/(1+INDEX($Q435:$AJ435,1,(AR$4-1)*5+4)))^(1+INDEX($Q435:$AJ435,1,(AR$4-1)*5+2))*(1+AR$7)^INDEX($Q435:$AJ435,1,(AR$4-1)*5+1)*(AR305/AQ305)^INDEX($Q435:$AJ435,1,(AR$4-1)*5+2)*(AR305/AQ305)^(INDEX($Q435:$AJ435,1,(AR$4-1)*5+3)*(1+INDEX($Q435:$AJ435,1,(AR$4-1)*5+2)))</f>
        <v/>
      </c>
      <c r="AS435" s="25">
        <f>AR435*(1/(1+INDEX($Q435:$AJ435,1,(AS$4-1)*5+4)))^(1+INDEX($Q435:$AJ435,1,(AS$4-1)*5+2))*(1+AS$7)^INDEX($Q435:$AJ435,1,(AS$4-1)*5+1)*(AS305/AR305)^INDEX($Q435:$AJ435,1,(AS$4-1)*5+2)*(AS305/AR305)^(INDEX($Q435:$AJ435,1,(AS$4-1)*5+3)*(1+INDEX($Q435:$AJ435,1,(AS$4-1)*5+2)))</f>
        <v/>
      </c>
      <c r="AT435" s="25">
        <f>AS435*(1/(1+INDEX($Q435:$AJ435,1,(AT$4-1)*5+4)))^(1+INDEX($Q435:$AJ435,1,(AT$4-1)*5+2))*(1+AT$7)^INDEX($Q435:$AJ435,1,(AT$4-1)*5+1)*(AT305/AS305)^INDEX($Q435:$AJ435,1,(AT$4-1)*5+2)*(AT305/AS305)^(INDEX($Q435:$AJ435,1,(AT$4-1)*5+3)*(1+INDEX($Q435:$AJ435,1,(AT$4-1)*5+2)))</f>
        <v/>
      </c>
      <c r="AU435" s="25">
        <f>AT435*(1/(1+INDEX($Q435:$AJ435,1,(AU$4-1)*5+4)))^(1+INDEX($Q435:$AJ435,1,(AU$4-1)*5+2))*(1+AU$7)^INDEX($Q435:$AJ435,1,(AU$4-1)*5+1)*(AU305/AT305)^INDEX($Q435:$AJ435,1,(AU$4-1)*5+2)*(AU305/AT305)^(INDEX($Q435:$AJ435,1,(AU$4-1)*5+3)*(1+INDEX($Q435:$AJ435,1,(AU$4-1)*5+2)))</f>
        <v/>
      </c>
      <c r="AV435" s="25">
        <f>AU435*(1/(1+INDEX($Q435:$AJ435,1,(AV$4-1)*5+4)))^(1+INDEX($Q435:$AJ435,1,(AV$4-1)*5+2))*(1+AV$7)^INDEX($Q435:$AJ435,1,(AV$4-1)*5+1)*(AV305/AU305)^INDEX($Q435:$AJ435,1,(AV$4-1)*5+2)*(AV305/AU305)^(INDEX($Q435:$AJ435,1,(AV$4-1)*5+3)*(1+INDEX($Q435:$AJ435,1,(AV$4-1)*5+2)))</f>
        <v/>
      </c>
      <c r="AW435" s="25">
        <f>AV435*(1/(1+INDEX($Q435:$AJ435,1,(AW$4-1)*5+4)))^(1+INDEX($Q435:$AJ435,1,(AW$4-1)*5+2))*(1+AW$7)^INDEX($Q435:$AJ435,1,(AW$4-1)*5+1)*(AW305/AV305)^INDEX($Q435:$AJ435,1,(AW$4-1)*5+2)*(AW305/AV305)^(INDEX($Q435:$AJ435,1,(AW$4-1)*5+3)*(1+INDEX($Q435:$AJ435,1,(AW$4-1)*5+2)))</f>
        <v/>
      </c>
      <c r="AX435" s="25">
        <f>AW435*(1/(1+INDEX($Q435:$AJ435,1,(AX$4-1)*5+4)))^(1+INDEX($Q435:$AJ435,1,(AX$4-1)*5+2))*(1+AX$7)^INDEX($Q435:$AJ435,1,(AX$4-1)*5+1)*(AX305/AW305)^INDEX($Q435:$AJ435,1,(AX$4-1)*5+2)*(AX305/AW305)^(INDEX($Q435:$AJ435,1,(AX$4-1)*5+3)*(1+INDEX($Q435:$AJ435,1,(AX$4-1)*5+2)))</f>
        <v/>
      </c>
      <c r="AY435" s="25">
        <f>AX435*(1/(1+INDEX($Q435:$AJ435,1,(AY$4-1)*5+4)))^(1+INDEX($Q435:$AJ435,1,(AY$4-1)*5+2))*(1+AY$7)^INDEX($Q435:$AJ435,1,(AY$4-1)*5+1)*(AY305/AX305)^INDEX($Q435:$AJ435,1,(AY$4-1)*5+2)*(AY305/AX305)^(INDEX($Q435:$AJ435,1,(AY$4-1)*5+3)*(1+INDEX($Q435:$AJ435,1,(AY$4-1)*5+2)))</f>
        <v/>
      </c>
      <c r="BA435" s="24">
        <f>INDEX(EnergyCons!$F$4:$F$5000,MATCH(Settings!$C$4&amp;"|"&amp;BA$5&amp;"|"&amp;$C435&amp;"|"&amp;$B435,EnergyCons!$A$4:$A$5000,0))</f>
        <v/>
      </c>
      <c r="BB435" s="25">
        <f>BA435*(1/(1+INDEX($Q435:$AJ435,1,(BB$4-1)*5+4)))^(1+INDEX($Q435:$AJ435,1,(BB$4-1)*5+2))*(1+BB$7)^INDEX($Q435:$AJ435,1,(BB$4-1)*5+1)*(BB305/BA305)^INDEX($Q435:$AJ435,1,(BB$4-1)*5+2)*(BB305/BA305)^(INDEX($Q435:$AJ435,1,(BB$4-1)*5+3)*(1+INDEX($Q435:$AJ435,1,(BB$4-1)*5+2)))</f>
        <v/>
      </c>
      <c r="BC435" s="25">
        <f>BB435*(1/(1+INDEX($Q435:$AJ435,1,(BC$4-1)*5+4)))^(1+INDEX($Q435:$AJ435,1,(BC$4-1)*5+2))*(1+BC$7)^INDEX($Q435:$AJ435,1,(BC$4-1)*5+1)*(BC305/BB305)^INDEX($Q435:$AJ435,1,(BC$4-1)*5+2)*(BC305/BB305)^(INDEX($Q435:$AJ435,1,(BC$4-1)*5+3)*(1+INDEX($Q435:$AJ435,1,(BC$4-1)*5+2)))</f>
        <v/>
      </c>
      <c r="BD435" s="25">
        <f>BC435*(1/(1+INDEX($Q435:$AJ435,1,(BD$4-1)*5+4)))^(1+INDEX($Q435:$AJ435,1,(BD$4-1)*5+2))*(1+BD$7)^INDEX($Q435:$AJ435,1,(BD$4-1)*5+1)*(BD305/BC305)^INDEX($Q435:$AJ435,1,(BD$4-1)*5+2)*(BD305/BC305)^(INDEX($Q435:$AJ435,1,(BD$4-1)*5+3)*(1+INDEX($Q435:$AJ435,1,(BD$4-1)*5+2)))</f>
        <v/>
      </c>
      <c r="BE435" s="25">
        <f>BD435*(1/(1+INDEX($Q435:$AJ435,1,(BE$4-1)*5+4)))^(1+INDEX($Q435:$AJ435,1,(BE$4-1)*5+2))*(1+BE$7)^INDEX($Q435:$AJ435,1,(BE$4-1)*5+1)*(BE305/BD305)^INDEX($Q435:$AJ435,1,(BE$4-1)*5+2)*(BE305/BD305)^(INDEX($Q435:$AJ435,1,(BE$4-1)*5+3)*(1+INDEX($Q435:$AJ435,1,(BE$4-1)*5+2)))</f>
        <v/>
      </c>
      <c r="BF435" s="25">
        <f>BE435*(1/(1+INDEX($Q435:$AJ435,1,(BF$4-1)*5+4)))^(1+INDEX($Q435:$AJ435,1,(BF$4-1)*5+2))*(1+BF$7)^INDEX($Q435:$AJ435,1,(BF$4-1)*5+1)*(BF305/BE305)^INDEX($Q435:$AJ435,1,(BF$4-1)*5+2)*(BF305/BE305)^(INDEX($Q435:$AJ435,1,(BF$4-1)*5+3)*(1+INDEX($Q435:$AJ435,1,(BF$4-1)*5+2)))</f>
        <v/>
      </c>
      <c r="BG435" s="25">
        <f>BF435*(1/(1+INDEX($Q435:$AJ435,1,(BG$4-1)*5+4)))^(1+INDEX($Q435:$AJ435,1,(BG$4-1)*5+2))*(1+BG$7)^INDEX($Q435:$AJ435,1,(BG$4-1)*5+1)*(BG305/BF305)^INDEX($Q435:$AJ435,1,(BG$4-1)*5+2)*(BG305/BF305)^(INDEX($Q435:$AJ435,1,(BG$4-1)*5+3)*(1+INDEX($Q435:$AJ435,1,(BG$4-1)*5+2)))</f>
        <v/>
      </c>
      <c r="BH435" s="25">
        <f>BG435*(1/(1+INDEX($Q435:$AJ435,1,(BH$4-1)*5+4)))^(1+INDEX($Q435:$AJ435,1,(BH$4-1)*5+2))*(1+BH$7)^INDEX($Q435:$AJ435,1,(BH$4-1)*5+1)*(BH305/BG305)^INDEX($Q435:$AJ435,1,(BH$4-1)*5+2)*(BH305/BG305)^(INDEX($Q435:$AJ435,1,(BH$4-1)*5+3)*(1+INDEX($Q435:$AJ435,1,(BH$4-1)*5+2)))</f>
        <v/>
      </c>
      <c r="BI435" s="25">
        <f>BH435*(1/(1+INDEX($Q435:$AJ435,1,(BI$4-1)*5+4)))^(1+INDEX($Q435:$AJ435,1,(BI$4-1)*5+2))*(1+BI$7)^INDEX($Q435:$AJ435,1,(BI$4-1)*5+1)*(BI305/BH305)^INDEX($Q435:$AJ435,1,(BI$4-1)*5+2)*(BI305/BH305)^(INDEX($Q435:$AJ435,1,(BI$4-1)*5+3)*(1+INDEX($Q435:$AJ435,1,(BI$4-1)*5+2)))</f>
        <v/>
      </c>
      <c r="BJ435" s="25">
        <f>BI435*(1/(1+INDEX($Q435:$AJ435,1,(BJ$4-1)*5+4)))^(1+INDEX($Q435:$AJ435,1,(BJ$4-1)*5+2))*(1+BJ$7)^INDEX($Q435:$AJ435,1,(BJ$4-1)*5+1)*(BJ305/BI305)^INDEX($Q435:$AJ435,1,(BJ$4-1)*5+2)*(BJ305/BI305)^(INDEX($Q435:$AJ435,1,(BJ$4-1)*5+3)*(1+INDEX($Q435:$AJ435,1,(BJ$4-1)*5+2)))</f>
        <v/>
      </c>
      <c r="BK435" s="25">
        <f>BJ435*(1/(1+INDEX($Q435:$AJ435,1,(BK$4-1)*5+4)))^(1+INDEX($Q435:$AJ435,1,(BK$4-1)*5+2))*(1+BK$7)^INDEX($Q435:$AJ435,1,(BK$4-1)*5+1)*(BK305/BJ305)^INDEX($Q435:$AJ435,1,(BK$4-1)*5+2)*(BK305/BJ305)^(INDEX($Q435:$AJ435,1,(BK$4-1)*5+3)*(1+INDEX($Q435:$AJ435,1,(BK$4-1)*5+2)))</f>
        <v/>
      </c>
      <c r="BL435" s="25">
        <f>BK435*(1/(1+INDEX($Q435:$AJ435,1,(BL$4-1)*5+4)))^(1+INDEX($Q435:$AJ435,1,(BL$4-1)*5+2))*(1+BL$7)^INDEX($Q435:$AJ435,1,(BL$4-1)*5+1)*(BL305/BK305)^INDEX($Q435:$AJ435,1,(BL$4-1)*5+2)*(BL305/BK305)^(INDEX($Q435:$AJ435,1,(BL$4-1)*5+3)*(1+INDEX($Q435:$AJ435,1,(BL$4-1)*5+2)))</f>
        <v/>
      </c>
      <c r="BM435" s="25">
        <f>BL435*(1/(1+INDEX($Q435:$AJ435,1,(BM$4-1)*5+4)))^(1+INDEX($Q435:$AJ435,1,(BM$4-1)*5+2))*(1+BM$7)^INDEX($Q435:$AJ435,1,(BM$4-1)*5+1)*(BM305/BL305)^INDEX($Q435:$AJ435,1,(BM$4-1)*5+2)*(BM305/BL305)^(INDEX($Q435:$AJ435,1,(BM$4-1)*5+3)*(1+INDEX($Q435:$AJ435,1,(BM$4-1)*5+2)))</f>
        <v/>
      </c>
      <c r="BN435" s="25">
        <f>BM435*(1/(1+INDEX($Q435:$AJ435,1,(BN$4-1)*5+4)))^(1+INDEX($Q435:$AJ435,1,(BN$4-1)*5+2))*(1+BN$7)^INDEX($Q435:$AJ435,1,(BN$4-1)*5+1)*(BN305/BM305)^INDEX($Q435:$AJ435,1,(BN$4-1)*5+2)*(BN305/BM305)^(INDEX($Q435:$AJ435,1,(BN$4-1)*5+3)*(1+INDEX($Q435:$AJ435,1,(BN$4-1)*5+2)))</f>
        <v/>
      </c>
    </row>
    <row r="436">
      <c r="B436" s="5" t="inlineStr">
        <is>
          <t>die</t>
        </is>
      </c>
      <c r="C436" s="5" t="inlineStr">
        <is>
          <t>res</t>
        </is>
      </c>
      <c r="D436" s="5" t="inlineStr">
        <is>
          <t>Fuel use | Residential | Diesel</t>
        </is>
      </c>
      <c r="E436" s="5" t="inlineStr">
        <is>
          <t>ktoe</t>
        </is>
      </c>
      <c r="F436" s="5" t="inlineStr">
        <is>
          <t>EnergyCons (base year), Elasticities</t>
        </is>
      </c>
      <c r="G436" s="19" t="inlineStr">
        <is>
          <t>mit.enc.die.res</t>
        </is>
      </c>
      <c r="H436" s="19" t="inlineStr">
        <is>
          <t>mit.enc.die.res</t>
        </is>
      </c>
      <c r="J436" s="5">
        <f>INDEX(Mapping!$C$5:$C$20,MATCH($C436,Mapping!$A$5:$A$20,0))</f>
        <v/>
      </c>
      <c r="K436" s="5">
        <f>INDEX(Mapping!$D$5:$D$20,MATCH($C436,Mapping!$A$5:$A$20,0))</f>
        <v/>
      </c>
      <c r="L436" s="5">
        <f>INDEX(Mapping!$C$24:$C$31,MATCH($B436,Mapping!$A$24:$A$31,0))</f>
        <v/>
      </c>
      <c r="M436" s="5">
        <f>INDEX(Mapping!$D$24:$D$31,MATCH($B436,Mapping!$A$24:$A$31,0))</f>
        <v/>
      </c>
      <c r="N436" s="5">
        <f>$B436&amp;"."&amp;IF(INDEX(Mapping!$E$24:$E$31,MATCH($B436,Mapping!$A$24:$A$31,0))="sub",INDEX(Mapping!$F$5:$F$20,MATCH($C436,Mapping!$A$5:$A$20,0)),"all")</f>
        <v/>
      </c>
      <c r="O436" s="5">
        <f>INDEX(Mapping!$E$5:$E$20,MATCH($C436,Mapping!$A$5:$A$20,0))</f>
        <v/>
      </c>
      <c r="P436" s="5">
        <f>INDEX(Mapping!$G$24:$G$31,MATCH($B436,Mapping!$A$24:$A$31,0))</f>
        <v/>
      </c>
      <c r="Q436" s="22">
        <f>INDEX(Elasticities!$F$4:$I$200,MATCH("inc|"&amp;$L436&amp;"|"&amp;$K436,Elasticities!$A$4:$A$200,0),MATCH(Settings!$C$6,Elasticities!$F$3:$I$3,0))</f>
        <v/>
      </c>
      <c r="R436" s="22">
        <f>INDEX(Elasticities!$F$4:$I$200,MATCH("usg|"&amp;$L436&amp;"|"&amp;$K436,Elasticities!$A$4:$A$200,0),MATCH(Settings!$C$6,Elasticities!$F$3:$I$3,0))</f>
        <v/>
      </c>
      <c r="S436" s="22">
        <f>INDEX(Elasticities!$F$4:$I$200,MATCH("eff|"&amp;$L436&amp;"|"&amp;$K436,Elasticities!$A$4:$A$200,0),MATCH(Settings!$C$6,Elasticities!$F$3:$I$3,0))</f>
        <v/>
      </c>
      <c r="T436" s="22">
        <f>INDEX(Elasticities!$F$4:$I$200,MATCH("aei|"&amp;$M436&amp;"|"&amp;$K436,Elasticities!$A$4:$A$200,0),MATCH(Settings!$C$6,Elasticities!$F$3:$I$3,0))</f>
        <v/>
      </c>
      <c r="U436" s="21" t="n"/>
      <c r="V436" s="22">
        <f>Q436</f>
        <v/>
      </c>
      <c r="W436" s="22">
        <f>R436</f>
        <v/>
      </c>
      <c r="X436" s="22">
        <f>S436</f>
        <v/>
      </c>
      <c r="Y436" s="22">
        <f>T436</f>
        <v/>
      </c>
      <c r="Z436" s="21" t="n"/>
      <c r="AA436" s="22">
        <f>Q436</f>
        <v/>
      </c>
      <c r="AB436" s="22">
        <f>R436</f>
        <v/>
      </c>
      <c r="AC436" s="22">
        <f>S436</f>
        <v/>
      </c>
      <c r="AD436" s="22">
        <f>T436</f>
        <v/>
      </c>
      <c r="AE436" s="21" t="n"/>
      <c r="AF436" s="22">
        <f>Q436</f>
        <v/>
      </c>
      <c r="AG436" s="22">
        <f>R436</f>
        <v/>
      </c>
      <c r="AH436" s="22">
        <f>S436</f>
        <v/>
      </c>
      <c r="AI436" s="22">
        <f>T436</f>
        <v/>
      </c>
      <c r="AJ436" s="21" t="n"/>
      <c r="AL436" s="24">
        <f>INDEX(EnergyCons!$F$4:$F$5000,MATCH(Settings!$C$4&amp;"|"&amp;AL$5&amp;"|"&amp;$C436&amp;"|"&amp;$B436,EnergyCons!$A$4:$A$5000,0))</f>
        <v/>
      </c>
      <c r="AM436" s="25">
        <f>AL436*(1/(1+INDEX($Q436:$AJ436,1,(AM$4-1)*5+4)))^(1+INDEX($Q436:$AJ436,1,(AM$4-1)*5+2))*(1+AM$7)^INDEX($Q436:$AJ436,1,(AM$4-1)*5+1)*(AM306/AL306)^INDEX($Q436:$AJ436,1,(AM$4-1)*5+2)*(AM306/AL306)^(INDEX($Q436:$AJ436,1,(AM$4-1)*5+3)*(1+INDEX($Q436:$AJ436,1,(AM$4-1)*5+2)))</f>
        <v/>
      </c>
      <c r="AN436" s="25">
        <f>AM436*(1/(1+INDEX($Q436:$AJ436,1,(AN$4-1)*5+4)))^(1+INDEX($Q436:$AJ436,1,(AN$4-1)*5+2))*(1+AN$7)^INDEX($Q436:$AJ436,1,(AN$4-1)*5+1)*(AN306/AM306)^INDEX($Q436:$AJ436,1,(AN$4-1)*5+2)*(AN306/AM306)^(INDEX($Q436:$AJ436,1,(AN$4-1)*5+3)*(1+INDEX($Q436:$AJ436,1,(AN$4-1)*5+2)))</f>
        <v/>
      </c>
      <c r="AO436" s="25">
        <f>AN436*(1/(1+INDEX($Q436:$AJ436,1,(AO$4-1)*5+4)))^(1+INDEX($Q436:$AJ436,1,(AO$4-1)*5+2))*(1+AO$7)^INDEX($Q436:$AJ436,1,(AO$4-1)*5+1)*(AO306/AN306)^INDEX($Q436:$AJ436,1,(AO$4-1)*5+2)*(AO306/AN306)^(INDEX($Q436:$AJ436,1,(AO$4-1)*5+3)*(1+INDEX($Q436:$AJ436,1,(AO$4-1)*5+2)))</f>
        <v/>
      </c>
      <c r="AP436" s="25">
        <f>AO436*(1/(1+INDEX($Q436:$AJ436,1,(AP$4-1)*5+4)))^(1+INDEX($Q436:$AJ436,1,(AP$4-1)*5+2))*(1+AP$7)^INDEX($Q436:$AJ436,1,(AP$4-1)*5+1)*(AP306/AO306)^INDEX($Q436:$AJ436,1,(AP$4-1)*5+2)*(AP306/AO306)^(INDEX($Q436:$AJ436,1,(AP$4-1)*5+3)*(1+INDEX($Q436:$AJ436,1,(AP$4-1)*5+2)))</f>
        <v/>
      </c>
      <c r="AQ436" s="25">
        <f>AP436*(1/(1+INDEX($Q436:$AJ436,1,(AQ$4-1)*5+4)))^(1+INDEX($Q436:$AJ436,1,(AQ$4-1)*5+2))*(1+AQ$7)^INDEX($Q436:$AJ436,1,(AQ$4-1)*5+1)*(AQ306/AP306)^INDEX($Q436:$AJ436,1,(AQ$4-1)*5+2)*(AQ306/AP306)^(INDEX($Q436:$AJ436,1,(AQ$4-1)*5+3)*(1+INDEX($Q436:$AJ436,1,(AQ$4-1)*5+2)))</f>
        <v/>
      </c>
      <c r="AR436" s="25">
        <f>AQ436*(1/(1+INDEX($Q436:$AJ436,1,(AR$4-1)*5+4)))^(1+INDEX($Q436:$AJ436,1,(AR$4-1)*5+2))*(1+AR$7)^INDEX($Q436:$AJ436,1,(AR$4-1)*5+1)*(AR306/AQ306)^INDEX($Q436:$AJ436,1,(AR$4-1)*5+2)*(AR306/AQ306)^(INDEX($Q436:$AJ436,1,(AR$4-1)*5+3)*(1+INDEX($Q436:$AJ436,1,(AR$4-1)*5+2)))</f>
        <v/>
      </c>
      <c r="AS436" s="25">
        <f>AR436*(1/(1+INDEX($Q436:$AJ436,1,(AS$4-1)*5+4)))^(1+INDEX($Q436:$AJ436,1,(AS$4-1)*5+2))*(1+AS$7)^INDEX($Q436:$AJ436,1,(AS$4-1)*5+1)*(AS306/AR306)^INDEX($Q436:$AJ436,1,(AS$4-1)*5+2)*(AS306/AR306)^(INDEX($Q436:$AJ436,1,(AS$4-1)*5+3)*(1+INDEX($Q436:$AJ436,1,(AS$4-1)*5+2)))</f>
        <v/>
      </c>
      <c r="AT436" s="25">
        <f>AS436*(1/(1+INDEX($Q436:$AJ436,1,(AT$4-1)*5+4)))^(1+INDEX($Q436:$AJ436,1,(AT$4-1)*5+2))*(1+AT$7)^INDEX($Q436:$AJ436,1,(AT$4-1)*5+1)*(AT306/AS306)^INDEX($Q436:$AJ436,1,(AT$4-1)*5+2)*(AT306/AS306)^(INDEX($Q436:$AJ436,1,(AT$4-1)*5+3)*(1+INDEX($Q436:$AJ436,1,(AT$4-1)*5+2)))</f>
        <v/>
      </c>
      <c r="AU436" s="25">
        <f>AT436*(1/(1+INDEX($Q436:$AJ436,1,(AU$4-1)*5+4)))^(1+INDEX($Q436:$AJ436,1,(AU$4-1)*5+2))*(1+AU$7)^INDEX($Q436:$AJ436,1,(AU$4-1)*5+1)*(AU306/AT306)^INDEX($Q436:$AJ436,1,(AU$4-1)*5+2)*(AU306/AT306)^(INDEX($Q436:$AJ436,1,(AU$4-1)*5+3)*(1+INDEX($Q436:$AJ436,1,(AU$4-1)*5+2)))</f>
        <v/>
      </c>
      <c r="AV436" s="25">
        <f>AU436*(1/(1+INDEX($Q436:$AJ436,1,(AV$4-1)*5+4)))^(1+INDEX($Q436:$AJ436,1,(AV$4-1)*5+2))*(1+AV$7)^INDEX($Q436:$AJ436,1,(AV$4-1)*5+1)*(AV306/AU306)^INDEX($Q436:$AJ436,1,(AV$4-1)*5+2)*(AV306/AU306)^(INDEX($Q436:$AJ436,1,(AV$4-1)*5+3)*(1+INDEX($Q436:$AJ436,1,(AV$4-1)*5+2)))</f>
        <v/>
      </c>
      <c r="AW436" s="25">
        <f>AV436*(1/(1+INDEX($Q436:$AJ436,1,(AW$4-1)*5+4)))^(1+INDEX($Q436:$AJ436,1,(AW$4-1)*5+2))*(1+AW$7)^INDEX($Q436:$AJ436,1,(AW$4-1)*5+1)*(AW306/AV306)^INDEX($Q436:$AJ436,1,(AW$4-1)*5+2)*(AW306/AV306)^(INDEX($Q436:$AJ436,1,(AW$4-1)*5+3)*(1+INDEX($Q436:$AJ436,1,(AW$4-1)*5+2)))</f>
        <v/>
      </c>
      <c r="AX436" s="25">
        <f>AW436*(1/(1+INDEX($Q436:$AJ436,1,(AX$4-1)*5+4)))^(1+INDEX($Q436:$AJ436,1,(AX$4-1)*5+2))*(1+AX$7)^INDEX($Q436:$AJ436,1,(AX$4-1)*5+1)*(AX306/AW306)^INDEX($Q436:$AJ436,1,(AX$4-1)*5+2)*(AX306/AW306)^(INDEX($Q436:$AJ436,1,(AX$4-1)*5+3)*(1+INDEX($Q436:$AJ436,1,(AX$4-1)*5+2)))</f>
        <v/>
      </c>
      <c r="AY436" s="25">
        <f>AX436*(1/(1+INDEX($Q436:$AJ436,1,(AY$4-1)*5+4)))^(1+INDEX($Q436:$AJ436,1,(AY$4-1)*5+2))*(1+AY$7)^INDEX($Q436:$AJ436,1,(AY$4-1)*5+1)*(AY306/AX306)^INDEX($Q436:$AJ436,1,(AY$4-1)*5+2)*(AY306/AX306)^(INDEX($Q436:$AJ436,1,(AY$4-1)*5+3)*(1+INDEX($Q436:$AJ436,1,(AY$4-1)*5+2)))</f>
        <v/>
      </c>
      <c r="BA436" s="24">
        <f>INDEX(EnergyCons!$F$4:$F$5000,MATCH(Settings!$C$4&amp;"|"&amp;BA$5&amp;"|"&amp;$C436&amp;"|"&amp;$B436,EnergyCons!$A$4:$A$5000,0))</f>
        <v/>
      </c>
      <c r="BB436" s="25">
        <f>BA436*(1/(1+INDEX($Q436:$AJ436,1,(BB$4-1)*5+4)))^(1+INDEX($Q436:$AJ436,1,(BB$4-1)*5+2))*(1+BB$7)^INDEX($Q436:$AJ436,1,(BB$4-1)*5+1)*(BB306/BA306)^INDEX($Q436:$AJ436,1,(BB$4-1)*5+2)*(BB306/BA306)^(INDEX($Q436:$AJ436,1,(BB$4-1)*5+3)*(1+INDEX($Q436:$AJ436,1,(BB$4-1)*5+2)))</f>
        <v/>
      </c>
      <c r="BC436" s="25">
        <f>BB436*(1/(1+INDEX($Q436:$AJ436,1,(BC$4-1)*5+4)))^(1+INDEX($Q436:$AJ436,1,(BC$4-1)*5+2))*(1+BC$7)^INDEX($Q436:$AJ436,1,(BC$4-1)*5+1)*(BC306/BB306)^INDEX($Q436:$AJ436,1,(BC$4-1)*5+2)*(BC306/BB306)^(INDEX($Q436:$AJ436,1,(BC$4-1)*5+3)*(1+INDEX($Q436:$AJ436,1,(BC$4-1)*5+2)))</f>
        <v/>
      </c>
      <c r="BD436" s="25">
        <f>BC436*(1/(1+INDEX($Q436:$AJ436,1,(BD$4-1)*5+4)))^(1+INDEX($Q436:$AJ436,1,(BD$4-1)*5+2))*(1+BD$7)^INDEX($Q436:$AJ436,1,(BD$4-1)*5+1)*(BD306/BC306)^INDEX($Q436:$AJ436,1,(BD$4-1)*5+2)*(BD306/BC306)^(INDEX($Q436:$AJ436,1,(BD$4-1)*5+3)*(1+INDEX($Q436:$AJ436,1,(BD$4-1)*5+2)))</f>
        <v/>
      </c>
      <c r="BE436" s="25">
        <f>BD436*(1/(1+INDEX($Q436:$AJ436,1,(BE$4-1)*5+4)))^(1+INDEX($Q436:$AJ436,1,(BE$4-1)*5+2))*(1+BE$7)^INDEX($Q436:$AJ436,1,(BE$4-1)*5+1)*(BE306/BD306)^INDEX($Q436:$AJ436,1,(BE$4-1)*5+2)*(BE306/BD306)^(INDEX($Q436:$AJ436,1,(BE$4-1)*5+3)*(1+INDEX($Q436:$AJ436,1,(BE$4-1)*5+2)))</f>
        <v/>
      </c>
      <c r="BF436" s="25">
        <f>BE436*(1/(1+INDEX($Q436:$AJ436,1,(BF$4-1)*5+4)))^(1+INDEX($Q436:$AJ436,1,(BF$4-1)*5+2))*(1+BF$7)^INDEX($Q436:$AJ436,1,(BF$4-1)*5+1)*(BF306/BE306)^INDEX($Q436:$AJ436,1,(BF$4-1)*5+2)*(BF306/BE306)^(INDEX($Q436:$AJ436,1,(BF$4-1)*5+3)*(1+INDEX($Q436:$AJ436,1,(BF$4-1)*5+2)))</f>
        <v/>
      </c>
      <c r="BG436" s="25">
        <f>BF436*(1/(1+INDEX($Q436:$AJ436,1,(BG$4-1)*5+4)))^(1+INDEX($Q436:$AJ436,1,(BG$4-1)*5+2))*(1+BG$7)^INDEX($Q436:$AJ436,1,(BG$4-1)*5+1)*(BG306/BF306)^INDEX($Q436:$AJ436,1,(BG$4-1)*5+2)*(BG306/BF306)^(INDEX($Q436:$AJ436,1,(BG$4-1)*5+3)*(1+INDEX($Q436:$AJ436,1,(BG$4-1)*5+2)))</f>
        <v/>
      </c>
      <c r="BH436" s="25">
        <f>BG436*(1/(1+INDEX($Q436:$AJ436,1,(BH$4-1)*5+4)))^(1+INDEX($Q436:$AJ436,1,(BH$4-1)*5+2))*(1+BH$7)^INDEX($Q436:$AJ436,1,(BH$4-1)*5+1)*(BH306/BG306)^INDEX($Q436:$AJ436,1,(BH$4-1)*5+2)*(BH306/BG306)^(INDEX($Q436:$AJ436,1,(BH$4-1)*5+3)*(1+INDEX($Q436:$AJ436,1,(BH$4-1)*5+2)))</f>
        <v/>
      </c>
      <c r="BI436" s="25">
        <f>BH436*(1/(1+INDEX($Q436:$AJ436,1,(BI$4-1)*5+4)))^(1+INDEX($Q436:$AJ436,1,(BI$4-1)*5+2))*(1+BI$7)^INDEX($Q436:$AJ436,1,(BI$4-1)*5+1)*(BI306/BH306)^INDEX($Q436:$AJ436,1,(BI$4-1)*5+2)*(BI306/BH306)^(INDEX($Q436:$AJ436,1,(BI$4-1)*5+3)*(1+INDEX($Q436:$AJ436,1,(BI$4-1)*5+2)))</f>
        <v/>
      </c>
      <c r="BJ436" s="25">
        <f>BI436*(1/(1+INDEX($Q436:$AJ436,1,(BJ$4-1)*5+4)))^(1+INDEX($Q436:$AJ436,1,(BJ$4-1)*5+2))*(1+BJ$7)^INDEX($Q436:$AJ436,1,(BJ$4-1)*5+1)*(BJ306/BI306)^INDEX($Q436:$AJ436,1,(BJ$4-1)*5+2)*(BJ306/BI306)^(INDEX($Q436:$AJ436,1,(BJ$4-1)*5+3)*(1+INDEX($Q436:$AJ436,1,(BJ$4-1)*5+2)))</f>
        <v/>
      </c>
      <c r="BK436" s="25">
        <f>BJ436*(1/(1+INDEX($Q436:$AJ436,1,(BK$4-1)*5+4)))^(1+INDEX($Q436:$AJ436,1,(BK$4-1)*5+2))*(1+BK$7)^INDEX($Q436:$AJ436,1,(BK$4-1)*5+1)*(BK306/BJ306)^INDEX($Q436:$AJ436,1,(BK$4-1)*5+2)*(BK306/BJ306)^(INDEX($Q436:$AJ436,1,(BK$4-1)*5+3)*(1+INDEX($Q436:$AJ436,1,(BK$4-1)*5+2)))</f>
        <v/>
      </c>
      <c r="BL436" s="25">
        <f>BK436*(1/(1+INDEX($Q436:$AJ436,1,(BL$4-1)*5+4)))^(1+INDEX($Q436:$AJ436,1,(BL$4-1)*5+2))*(1+BL$7)^INDEX($Q436:$AJ436,1,(BL$4-1)*5+1)*(BL306/BK306)^INDEX($Q436:$AJ436,1,(BL$4-1)*5+2)*(BL306/BK306)^(INDEX($Q436:$AJ436,1,(BL$4-1)*5+3)*(1+INDEX($Q436:$AJ436,1,(BL$4-1)*5+2)))</f>
        <v/>
      </c>
      <c r="BM436" s="25">
        <f>BL436*(1/(1+INDEX($Q436:$AJ436,1,(BM$4-1)*5+4)))^(1+INDEX($Q436:$AJ436,1,(BM$4-1)*5+2))*(1+BM$7)^INDEX($Q436:$AJ436,1,(BM$4-1)*5+1)*(BM306/BL306)^INDEX($Q436:$AJ436,1,(BM$4-1)*5+2)*(BM306/BL306)^(INDEX($Q436:$AJ436,1,(BM$4-1)*5+3)*(1+INDEX($Q436:$AJ436,1,(BM$4-1)*5+2)))</f>
        <v/>
      </c>
      <c r="BN436" s="25">
        <f>BM436*(1/(1+INDEX($Q436:$AJ436,1,(BN$4-1)*5+4)))^(1+INDEX($Q436:$AJ436,1,(BN$4-1)*5+2))*(1+BN$7)^INDEX($Q436:$AJ436,1,(BN$4-1)*5+1)*(BN306/BM306)^INDEX($Q436:$AJ436,1,(BN$4-1)*5+2)*(BN306/BM306)^(INDEX($Q436:$AJ436,1,(BN$4-1)*5+3)*(1+INDEX($Q436:$AJ436,1,(BN$4-1)*5+2)))</f>
        <v/>
      </c>
    </row>
    <row r="437">
      <c r="B437" s="5" t="inlineStr">
        <is>
          <t>lpg</t>
        </is>
      </c>
      <c r="C437" s="5" t="inlineStr">
        <is>
          <t>res</t>
        </is>
      </c>
      <c r="D437" s="5" t="inlineStr">
        <is>
          <t>Fuel use | Residential | LPG</t>
        </is>
      </c>
      <c r="E437" s="5" t="inlineStr">
        <is>
          <t>ktoe</t>
        </is>
      </c>
      <c r="F437" s="5" t="inlineStr">
        <is>
          <t>EnergyCons (base year), Elasticities</t>
        </is>
      </c>
      <c r="G437" s="19" t="inlineStr">
        <is>
          <t>mit.enc.lpg.res</t>
        </is>
      </c>
      <c r="H437" s="19" t="inlineStr">
        <is>
          <t>mit.enc.lpg.res</t>
        </is>
      </c>
      <c r="J437" s="5">
        <f>INDEX(Mapping!$C$5:$C$20,MATCH($C437,Mapping!$A$5:$A$20,0))</f>
        <v/>
      </c>
      <c r="K437" s="5">
        <f>INDEX(Mapping!$D$5:$D$20,MATCH($C437,Mapping!$A$5:$A$20,0))</f>
        <v/>
      </c>
      <c r="L437" s="5">
        <f>INDEX(Mapping!$C$24:$C$31,MATCH($B437,Mapping!$A$24:$A$31,0))</f>
        <v/>
      </c>
      <c r="M437" s="5">
        <f>INDEX(Mapping!$D$24:$D$31,MATCH($B437,Mapping!$A$24:$A$31,0))</f>
        <v/>
      </c>
      <c r="N437" s="5">
        <f>$B437&amp;"."&amp;IF(INDEX(Mapping!$E$24:$E$31,MATCH($B437,Mapping!$A$24:$A$31,0))="sub",INDEX(Mapping!$F$5:$F$20,MATCH($C437,Mapping!$A$5:$A$20,0)),"all")</f>
        <v/>
      </c>
      <c r="O437" s="5">
        <f>INDEX(Mapping!$E$5:$E$20,MATCH($C437,Mapping!$A$5:$A$20,0))</f>
        <v/>
      </c>
      <c r="P437" s="5">
        <f>INDEX(Mapping!$G$24:$G$31,MATCH($B437,Mapping!$A$24:$A$31,0))</f>
        <v/>
      </c>
      <c r="Q437" s="22">
        <f>INDEX(Elasticities!$F$4:$I$200,MATCH("inc|"&amp;$L437&amp;"|"&amp;$K437,Elasticities!$A$4:$A$200,0),MATCH(Settings!$C$6,Elasticities!$F$3:$I$3,0))</f>
        <v/>
      </c>
      <c r="R437" s="22">
        <f>INDEX(Elasticities!$F$4:$I$200,MATCH("usg|"&amp;$L437&amp;"|"&amp;$K437,Elasticities!$A$4:$A$200,0),MATCH(Settings!$C$6,Elasticities!$F$3:$I$3,0))</f>
        <v/>
      </c>
      <c r="S437" s="22">
        <f>INDEX(Elasticities!$F$4:$I$200,MATCH("eff|"&amp;$L437&amp;"|"&amp;$K437,Elasticities!$A$4:$A$200,0),MATCH(Settings!$C$6,Elasticities!$F$3:$I$3,0))</f>
        <v/>
      </c>
      <c r="T437" s="22">
        <f>INDEX(Elasticities!$F$4:$I$200,MATCH("aei|"&amp;$M437&amp;"|"&amp;$K437,Elasticities!$A$4:$A$200,0),MATCH(Settings!$C$6,Elasticities!$F$3:$I$3,0))</f>
        <v/>
      </c>
      <c r="U437" s="21" t="n"/>
      <c r="V437" s="22">
        <f>Q437</f>
        <v/>
      </c>
      <c r="W437" s="22">
        <f>R437</f>
        <v/>
      </c>
      <c r="X437" s="22">
        <f>S437</f>
        <v/>
      </c>
      <c r="Y437" s="22">
        <f>T437</f>
        <v/>
      </c>
      <c r="Z437" s="21" t="n"/>
      <c r="AA437" s="22">
        <f>Q437</f>
        <v/>
      </c>
      <c r="AB437" s="22">
        <f>R437</f>
        <v/>
      </c>
      <c r="AC437" s="22">
        <f>S437</f>
        <v/>
      </c>
      <c r="AD437" s="22">
        <f>T437</f>
        <v/>
      </c>
      <c r="AE437" s="21" t="n"/>
      <c r="AF437" s="22">
        <f>Q437</f>
        <v/>
      </c>
      <c r="AG437" s="22">
        <f>R437</f>
        <v/>
      </c>
      <c r="AH437" s="22">
        <f>S437</f>
        <v/>
      </c>
      <c r="AI437" s="22">
        <f>T437</f>
        <v/>
      </c>
      <c r="AJ437" s="21" t="n"/>
      <c r="AL437" s="24">
        <f>INDEX(EnergyCons!$F$4:$F$5000,MATCH(Settings!$C$4&amp;"|"&amp;AL$5&amp;"|"&amp;$C437&amp;"|"&amp;$B437,EnergyCons!$A$4:$A$5000,0))</f>
        <v/>
      </c>
      <c r="AM437" s="25">
        <f>AL437*(1/(1+INDEX($Q437:$AJ437,1,(AM$4-1)*5+4)))^(1+INDEX($Q437:$AJ437,1,(AM$4-1)*5+2))*(1+AM$7)^INDEX($Q437:$AJ437,1,(AM$4-1)*5+1)*(AM307/AL307)^INDEX($Q437:$AJ437,1,(AM$4-1)*5+2)*(AM307/AL307)^(INDEX($Q437:$AJ437,1,(AM$4-1)*5+3)*(1+INDEX($Q437:$AJ437,1,(AM$4-1)*5+2)))</f>
        <v/>
      </c>
      <c r="AN437" s="25">
        <f>AM437*(1/(1+INDEX($Q437:$AJ437,1,(AN$4-1)*5+4)))^(1+INDEX($Q437:$AJ437,1,(AN$4-1)*5+2))*(1+AN$7)^INDEX($Q437:$AJ437,1,(AN$4-1)*5+1)*(AN307/AM307)^INDEX($Q437:$AJ437,1,(AN$4-1)*5+2)*(AN307/AM307)^(INDEX($Q437:$AJ437,1,(AN$4-1)*5+3)*(1+INDEX($Q437:$AJ437,1,(AN$4-1)*5+2)))</f>
        <v/>
      </c>
      <c r="AO437" s="25">
        <f>AN437*(1/(1+INDEX($Q437:$AJ437,1,(AO$4-1)*5+4)))^(1+INDEX($Q437:$AJ437,1,(AO$4-1)*5+2))*(1+AO$7)^INDEX($Q437:$AJ437,1,(AO$4-1)*5+1)*(AO307/AN307)^INDEX($Q437:$AJ437,1,(AO$4-1)*5+2)*(AO307/AN307)^(INDEX($Q437:$AJ437,1,(AO$4-1)*5+3)*(1+INDEX($Q437:$AJ437,1,(AO$4-1)*5+2)))</f>
        <v/>
      </c>
      <c r="AP437" s="25">
        <f>AO437*(1/(1+INDEX($Q437:$AJ437,1,(AP$4-1)*5+4)))^(1+INDEX($Q437:$AJ437,1,(AP$4-1)*5+2))*(1+AP$7)^INDEX($Q437:$AJ437,1,(AP$4-1)*5+1)*(AP307/AO307)^INDEX($Q437:$AJ437,1,(AP$4-1)*5+2)*(AP307/AO307)^(INDEX($Q437:$AJ437,1,(AP$4-1)*5+3)*(1+INDEX($Q437:$AJ437,1,(AP$4-1)*5+2)))</f>
        <v/>
      </c>
      <c r="AQ437" s="25">
        <f>AP437*(1/(1+INDEX($Q437:$AJ437,1,(AQ$4-1)*5+4)))^(1+INDEX($Q437:$AJ437,1,(AQ$4-1)*5+2))*(1+AQ$7)^INDEX($Q437:$AJ437,1,(AQ$4-1)*5+1)*(AQ307/AP307)^INDEX($Q437:$AJ437,1,(AQ$4-1)*5+2)*(AQ307/AP307)^(INDEX($Q437:$AJ437,1,(AQ$4-1)*5+3)*(1+INDEX($Q437:$AJ437,1,(AQ$4-1)*5+2)))</f>
        <v/>
      </c>
      <c r="AR437" s="25">
        <f>AQ437*(1/(1+INDEX($Q437:$AJ437,1,(AR$4-1)*5+4)))^(1+INDEX($Q437:$AJ437,1,(AR$4-1)*5+2))*(1+AR$7)^INDEX($Q437:$AJ437,1,(AR$4-1)*5+1)*(AR307/AQ307)^INDEX($Q437:$AJ437,1,(AR$4-1)*5+2)*(AR307/AQ307)^(INDEX($Q437:$AJ437,1,(AR$4-1)*5+3)*(1+INDEX($Q437:$AJ437,1,(AR$4-1)*5+2)))</f>
        <v/>
      </c>
      <c r="AS437" s="25">
        <f>AR437*(1/(1+INDEX($Q437:$AJ437,1,(AS$4-1)*5+4)))^(1+INDEX($Q437:$AJ437,1,(AS$4-1)*5+2))*(1+AS$7)^INDEX($Q437:$AJ437,1,(AS$4-1)*5+1)*(AS307/AR307)^INDEX($Q437:$AJ437,1,(AS$4-1)*5+2)*(AS307/AR307)^(INDEX($Q437:$AJ437,1,(AS$4-1)*5+3)*(1+INDEX($Q437:$AJ437,1,(AS$4-1)*5+2)))</f>
        <v/>
      </c>
      <c r="AT437" s="25">
        <f>AS437*(1/(1+INDEX($Q437:$AJ437,1,(AT$4-1)*5+4)))^(1+INDEX($Q437:$AJ437,1,(AT$4-1)*5+2))*(1+AT$7)^INDEX($Q437:$AJ437,1,(AT$4-1)*5+1)*(AT307/AS307)^INDEX($Q437:$AJ437,1,(AT$4-1)*5+2)*(AT307/AS307)^(INDEX($Q437:$AJ437,1,(AT$4-1)*5+3)*(1+INDEX($Q437:$AJ437,1,(AT$4-1)*5+2)))</f>
        <v/>
      </c>
      <c r="AU437" s="25">
        <f>AT437*(1/(1+INDEX($Q437:$AJ437,1,(AU$4-1)*5+4)))^(1+INDEX($Q437:$AJ437,1,(AU$4-1)*5+2))*(1+AU$7)^INDEX($Q437:$AJ437,1,(AU$4-1)*5+1)*(AU307/AT307)^INDEX($Q437:$AJ437,1,(AU$4-1)*5+2)*(AU307/AT307)^(INDEX($Q437:$AJ437,1,(AU$4-1)*5+3)*(1+INDEX($Q437:$AJ437,1,(AU$4-1)*5+2)))</f>
        <v/>
      </c>
      <c r="AV437" s="25">
        <f>AU437*(1/(1+INDEX($Q437:$AJ437,1,(AV$4-1)*5+4)))^(1+INDEX($Q437:$AJ437,1,(AV$4-1)*5+2))*(1+AV$7)^INDEX($Q437:$AJ437,1,(AV$4-1)*5+1)*(AV307/AU307)^INDEX($Q437:$AJ437,1,(AV$4-1)*5+2)*(AV307/AU307)^(INDEX($Q437:$AJ437,1,(AV$4-1)*5+3)*(1+INDEX($Q437:$AJ437,1,(AV$4-1)*5+2)))</f>
        <v/>
      </c>
      <c r="AW437" s="25">
        <f>AV437*(1/(1+INDEX($Q437:$AJ437,1,(AW$4-1)*5+4)))^(1+INDEX($Q437:$AJ437,1,(AW$4-1)*5+2))*(1+AW$7)^INDEX($Q437:$AJ437,1,(AW$4-1)*5+1)*(AW307/AV307)^INDEX($Q437:$AJ437,1,(AW$4-1)*5+2)*(AW307/AV307)^(INDEX($Q437:$AJ437,1,(AW$4-1)*5+3)*(1+INDEX($Q437:$AJ437,1,(AW$4-1)*5+2)))</f>
        <v/>
      </c>
      <c r="AX437" s="25">
        <f>AW437*(1/(1+INDEX($Q437:$AJ437,1,(AX$4-1)*5+4)))^(1+INDEX($Q437:$AJ437,1,(AX$4-1)*5+2))*(1+AX$7)^INDEX($Q437:$AJ437,1,(AX$4-1)*5+1)*(AX307/AW307)^INDEX($Q437:$AJ437,1,(AX$4-1)*5+2)*(AX307/AW307)^(INDEX($Q437:$AJ437,1,(AX$4-1)*5+3)*(1+INDEX($Q437:$AJ437,1,(AX$4-1)*5+2)))</f>
        <v/>
      </c>
      <c r="AY437" s="25">
        <f>AX437*(1/(1+INDEX($Q437:$AJ437,1,(AY$4-1)*5+4)))^(1+INDEX($Q437:$AJ437,1,(AY$4-1)*5+2))*(1+AY$7)^INDEX($Q437:$AJ437,1,(AY$4-1)*5+1)*(AY307/AX307)^INDEX($Q437:$AJ437,1,(AY$4-1)*5+2)*(AY307/AX307)^(INDEX($Q437:$AJ437,1,(AY$4-1)*5+3)*(1+INDEX($Q437:$AJ437,1,(AY$4-1)*5+2)))</f>
        <v/>
      </c>
      <c r="BA437" s="24">
        <f>INDEX(EnergyCons!$F$4:$F$5000,MATCH(Settings!$C$4&amp;"|"&amp;BA$5&amp;"|"&amp;$C437&amp;"|"&amp;$B437,EnergyCons!$A$4:$A$5000,0))</f>
        <v/>
      </c>
      <c r="BB437" s="25">
        <f>BA437*(1/(1+INDEX($Q437:$AJ437,1,(BB$4-1)*5+4)))^(1+INDEX($Q437:$AJ437,1,(BB$4-1)*5+2))*(1+BB$7)^INDEX($Q437:$AJ437,1,(BB$4-1)*5+1)*(BB307/BA307)^INDEX($Q437:$AJ437,1,(BB$4-1)*5+2)*(BB307/BA307)^(INDEX($Q437:$AJ437,1,(BB$4-1)*5+3)*(1+INDEX($Q437:$AJ437,1,(BB$4-1)*5+2)))</f>
        <v/>
      </c>
      <c r="BC437" s="25">
        <f>BB437*(1/(1+INDEX($Q437:$AJ437,1,(BC$4-1)*5+4)))^(1+INDEX($Q437:$AJ437,1,(BC$4-1)*5+2))*(1+BC$7)^INDEX($Q437:$AJ437,1,(BC$4-1)*5+1)*(BC307/BB307)^INDEX($Q437:$AJ437,1,(BC$4-1)*5+2)*(BC307/BB307)^(INDEX($Q437:$AJ437,1,(BC$4-1)*5+3)*(1+INDEX($Q437:$AJ437,1,(BC$4-1)*5+2)))</f>
        <v/>
      </c>
      <c r="BD437" s="25">
        <f>BC437*(1/(1+INDEX($Q437:$AJ437,1,(BD$4-1)*5+4)))^(1+INDEX($Q437:$AJ437,1,(BD$4-1)*5+2))*(1+BD$7)^INDEX($Q437:$AJ437,1,(BD$4-1)*5+1)*(BD307/BC307)^INDEX($Q437:$AJ437,1,(BD$4-1)*5+2)*(BD307/BC307)^(INDEX($Q437:$AJ437,1,(BD$4-1)*5+3)*(1+INDEX($Q437:$AJ437,1,(BD$4-1)*5+2)))</f>
        <v/>
      </c>
      <c r="BE437" s="25">
        <f>BD437*(1/(1+INDEX($Q437:$AJ437,1,(BE$4-1)*5+4)))^(1+INDEX($Q437:$AJ437,1,(BE$4-1)*5+2))*(1+BE$7)^INDEX($Q437:$AJ437,1,(BE$4-1)*5+1)*(BE307/BD307)^INDEX($Q437:$AJ437,1,(BE$4-1)*5+2)*(BE307/BD307)^(INDEX($Q437:$AJ437,1,(BE$4-1)*5+3)*(1+INDEX($Q437:$AJ437,1,(BE$4-1)*5+2)))</f>
        <v/>
      </c>
      <c r="BF437" s="25">
        <f>BE437*(1/(1+INDEX($Q437:$AJ437,1,(BF$4-1)*5+4)))^(1+INDEX($Q437:$AJ437,1,(BF$4-1)*5+2))*(1+BF$7)^INDEX($Q437:$AJ437,1,(BF$4-1)*5+1)*(BF307/BE307)^INDEX($Q437:$AJ437,1,(BF$4-1)*5+2)*(BF307/BE307)^(INDEX($Q437:$AJ437,1,(BF$4-1)*5+3)*(1+INDEX($Q437:$AJ437,1,(BF$4-1)*5+2)))</f>
        <v/>
      </c>
      <c r="BG437" s="25">
        <f>BF437*(1/(1+INDEX($Q437:$AJ437,1,(BG$4-1)*5+4)))^(1+INDEX($Q437:$AJ437,1,(BG$4-1)*5+2))*(1+BG$7)^INDEX($Q437:$AJ437,1,(BG$4-1)*5+1)*(BG307/BF307)^INDEX($Q437:$AJ437,1,(BG$4-1)*5+2)*(BG307/BF307)^(INDEX($Q437:$AJ437,1,(BG$4-1)*5+3)*(1+INDEX($Q437:$AJ437,1,(BG$4-1)*5+2)))</f>
        <v/>
      </c>
      <c r="BH437" s="25">
        <f>BG437*(1/(1+INDEX($Q437:$AJ437,1,(BH$4-1)*5+4)))^(1+INDEX($Q437:$AJ437,1,(BH$4-1)*5+2))*(1+BH$7)^INDEX($Q437:$AJ437,1,(BH$4-1)*5+1)*(BH307/BG307)^INDEX($Q437:$AJ437,1,(BH$4-1)*5+2)*(BH307/BG307)^(INDEX($Q437:$AJ437,1,(BH$4-1)*5+3)*(1+INDEX($Q437:$AJ437,1,(BH$4-1)*5+2)))</f>
        <v/>
      </c>
      <c r="BI437" s="25">
        <f>BH437*(1/(1+INDEX($Q437:$AJ437,1,(BI$4-1)*5+4)))^(1+INDEX($Q437:$AJ437,1,(BI$4-1)*5+2))*(1+BI$7)^INDEX($Q437:$AJ437,1,(BI$4-1)*5+1)*(BI307/BH307)^INDEX($Q437:$AJ437,1,(BI$4-1)*5+2)*(BI307/BH307)^(INDEX($Q437:$AJ437,1,(BI$4-1)*5+3)*(1+INDEX($Q437:$AJ437,1,(BI$4-1)*5+2)))</f>
        <v/>
      </c>
      <c r="BJ437" s="25">
        <f>BI437*(1/(1+INDEX($Q437:$AJ437,1,(BJ$4-1)*5+4)))^(1+INDEX($Q437:$AJ437,1,(BJ$4-1)*5+2))*(1+BJ$7)^INDEX($Q437:$AJ437,1,(BJ$4-1)*5+1)*(BJ307/BI307)^INDEX($Q437:$AJ437,1,(BJ$4-1)*5+2)*(BJ307/BI307)^(INDEX($Q437:$AJ437,1,(BJ$4-1)*5+3)*(1+INDEX($Q437:$AJ437,1,(BJ$4-1)*5+2)))</f>
        <v/>
      </c>
      <c r="BK437" s="25">
        <f>BJ437*(1/(1+INDEX($Q437:$AJ437,1,(BK$4-1)*5+4)))^(1+INDEX($Q437:$AJ437,1,(BK$4-1)*5+2))*(1+BK$7)^INDEX($Q437:$AJ437,1,(BK$4-1)*5+1)*(BK307/BJ307)^INDEX($Q437:$AJ437,1,(BK$4-1)*5+2)*(BK307/BJ307)^(INDEX($Q437:$AJ437,1,(BK$4-1)*5+3)*(1+INDEX($Q437:$AJ437,1,(BK$4-1)*5+2)))</f>
        <v/>
      </c>
      <c r="BL437" s="25">
        <f>BK437*(1/(1+INDEX($Q437:$AJ437,1,(BL$4-1)*5+4)))^(1+INDEX($Q437:$AJ437,1,(BL$4-1)*5+2))*(1+BL$7)^INDEX($Q437:$AJ437,1,(BL$4-1)*5+1)*(BL307/BK307)^INDEX($Q437:$AJ437,1,(BL$4-1)*5+2)*(BL307/BK307)^(INDEX($Q437:$AJ437,1,(BL$4-1)*5+3)*(1+INDEX($Q437:$AJ437,1,(BL$4-1)*5+2)))</f>
        <v/>
      </c>
      <c r="BM437" s="25">
        <f>BL437*(1/(1+INDEX($Q437:$AJ437,1,(BM$4-1)*5+4)))^(1+INDEX($Q437:$AJ437,1,(BM$4-1)*5+2))*(1+BM$7)^INDEX($Q437:$AJ437,1,(BM$4-1)*5+1)*(BM307/BL307)^INDEX($Q437:$AJ437,1,(BM$4-1)*5+2)*(BM307/BL307)^(INDEX($Q437:$AJ437,1,(BM$4-1)*5+3)*(1+INDEX($Q437:$AJ437,1,(BM$4-1)*5+2)))</f>
        <v/>
      </c>
      <c r="BN437" s="25">
        <f>BM437*(1/(1+INDEX($Q437:$AJ437,1,(BN$4-1)*5+4)))^(1+INDEX($Q437:$AJ437,1,(BN$4-1)*5+2))*(1+BN$7)^INDEX($Q437:$AJ437,1,(BN$4-1)*5+1)*(BN307/BM307)^INDEX($Q437:$AJ437,1,(BN$4-1)*5+2)*(BN307/BM307)^(INDEX($Q437:$AJ437,1,(BN$4-1)*5+3)*(1+INDEX($Q437:$AJ437,1,(BN$4-1)*5+2)))</f>
        <v/>
      </c>
    </row>
    <row r="438">
      <c r="B438" s="5" t="inlineStr">
        <is>
          <t>ker</t>
        </is>
      </c>
      <c r="C438" s="5" t="inlineStr">
        <is>
          <t>res</t>
        </is>
      </c>
      <c r="D438" s="5" t="inlineStr">
        <is>
          <t>Fuel use | Residential | Kerosene</t>
        </is>
      </c>
      <c r="E438" s="5" t="inlineStr">
        <is>
          <t>ktoe</t>
        </is>
      </c>
      <c r="F438" s="5" t="inlineStr">
        <is>
          <t>EnergyCons (base year), Elasticities</t>
        </is>
      </c>
      <c r="G438" s="19" t="inlineStr">
        <is>
          <t>mit.enc.ker.res</t>
        </is>
      </c>
      <c r="H438" s="19" t="inlineStr">
        <is>
          <t>mit.enc.ker.res</t>
        </is>
      </c>
      <c r="J438" s="5">
        <f>INDEX(Mapping!$C$5:$C$20,MATCH($C438,Mapping!$A$5:$A$20,0))</f>
        <v/>
      </c>
      <c r="K438" s="5">
        <f>INDEX(Mapping!$D$5:$D$20,MATCH($C438,Mapping!$A$5:$A$20,0))</f>
        <v/>
      </c>
      <c r="L438" s="5">
        <f>INDEX(Mapping!$C$24:$C$31,MATCH($B438,Mapping!$A$24:$A$31,0))</f>
        <v/>
      </c>
      <c r="M438" s="5">
        <f>INDEX(Mapping!$D$24:$D$31,MATCH($B438,Mapping!$A$24:$A$31,0))</f>
        <v/>
      </c>
      <c r="N438" s="5">
        <f>$B438&amp;"."&amp;IF(INDEX(Mapping!$E$24:$E$31,MATCH($B438,Mapping!$A$24:$A$31,0))="sub",INDEX(Mapping!$F$5:$F$20,MATCH($C438,Mapping!$A$5:$A$20,0)),"all")</f>
        <v/>
      </c>
      <c r="O438" s="5">
        <f>INDEX(Mapping!$E$5:$E$20,MATCH($C438,Mapping!$A$5:$A$20,0))</f>
        <v/>
      </c>
      <c r="P438" s="5">
        <f>INDEX(Mapping!$G$24:$G$31,MATCH($B438,Mapping!$A$24:$A$31,0))</f>
        <v/>
      </c>
      <c r="Q438" s="22">
        <f>INDEX(Elasticities!$F$4:$I$200,MATCH("inc|"&amp;$L438&amp;"|"&amp;$K438,Elasticities!$A$4:$A$200,0),MATCH(Settings!$C$6,Elasticities!$F$3:$I$3,0))</f>
        <v/>
      </c>
      <c r="R438" s="22">
        <f>INDEX(Elasticities!$F$4:$I$200,MATCH("usg|"&amp;$L438&amp;"|"&amp;$K438,Elasticities!$A$4:$A$200,0),MATCH(Settings!$C$6,Elasticities!$F$3:$I$3,0))</f>
        <v/>
      </c>
      <c r="S438" s="22">
        <f>INDEX(Elasticities!$F$4:$I$200,MATCH("eff|"&amp;$L438&amp;"|"&amp;$K438,Elasticities!$A$4:$A$200,0),MATCH(Settings!$C$6,Elasticities!$F$3:$I$3,0))</f>
        <v/>
      </c>
      <c r="T438" s="22">
        <f>INDEX(Elasticities!$F$4:$I$200,MATCH("aei|"&amp;$M438&amp;"|"&amp;$K438,Elasticities!$A$4:$A$200,0),MATCH(Settings!$C$6,Elasticities!$F$3:$I$3,0))</f>
        <v/>
      </c>
      <c r="U438" s="21" t="n"/>
      <c r="V438" s="22">
        <f>Q438</f>
        <v/>
      </c>
      <c r="W438" s="22">
        <f>R438</f>
        <v/>
      </c>
      <c r="X438" s="22">
        <f>S438</f>
        <v/>
      </c>
      <c r="Y438" s="22">
        <f>T438</f>
        <v/>
      </c>
      <c r="Z438" s="21" t="n"/>
      <c r="AA438" s="22">
        <f>Q438</f>
        <v/>
      </c>
      <c r="AB438" s="22">
        <f>R438</f>
        <v/>
      </c>
      <c r="AC438" s="22">
        <f>S438</f>
        <v/>
      </c>
      <c r="AD438" s="22">
        <f>T438</f>
        <v/>
      </c>
      <c r="AE438" s="21" t="n"/>
      <c r="AF438" s="22">
        <f>Q438</f>
        <v/>
      </c>
      <c r="AG438" s="22">
        <f>R438</f>
        <v/>
      </c>
      <c r="AH438" s="22">
        <f>S438</f>
        <v/>
      </c>
      <c r="AI438" s="22">
        <f>T438</f>
        <v/>
      </c>
      <c r="AJ438" s="21" t="n"/>
      <c r="AL438" s="24">
        <f>INDEX(EnergyCons!$F$4:$F$5000,MATCH(Settings!$C$4&amp;"|"&amp;AL$5&amp;"|"&amp;$C438&amp;"|"&amp;$B438,EnergyCons!$A$4:$A$5000,0))</f>
        <v/>
      </c>
      <c r="AM438" s="25">
        <f>AL438*(1/(1+INDEX($Q438:$AJ438,1,(AM$4-1)*5+4)))^(1+INDEX($Q438:$AJ438,1,(AM$4-1)*5+2))*(1+AM$7)^INDEX($Q438:$AJ438,1,(AM$4-1)*5+1)*(AM308/AL308)^INDEX($Q438:$AJ438,1,(AM$4-1)*5+2)*(AM308/AL308)^(INDEX($Q438:$AJ438,1,(AM$4-1)*5+3)*(1+INDEX($Q438:$AJ438,1,(AM$4-1)*5+2)))</f>
        <v/>
      </c>
      <c r="AN438" s="25">
        <f>AM438*(1/(1+INDEX($Q438:$AJ438,1,(AN$4-1)*5+4)))^(1+INDEX($Q438:$AJ438,1,(AN$4-1)*5+2))*(1+AN$7)^INDEX($Q438:$AJ438,1,(AN$4-1)*5+1)*(AN308/AM308)^INDEX($Q438:$AJ438,1,(AN$4-1)*5+2)*(AN308/AM308)^(INDEX($Q438:$AJ438,1,(AN$4-1)*5+3)*(1+INDEX($Q438:$AJ438,1,(AN$4-1)*5+2)))</f>
        <v/>
      </c>
      <c r="AO438" s="25">
        <f>AN438*(1/(1+INDEX($Q438:$AJ438,1,(AO$4-1)*5+4)))^(1+INDEX($Q438:$AJ438,1,(AO$4-1)*5+2))*(1+AO$7)^INDEX($Q438:$AJ438,1,(AO$4-1)*5+1)*(AO308/AN308)^INDEX($Q438:$AJ438,1,(AO$4-1)*5+2)*(AO308/AN308)^(INDEX($Q438:$AJ438,1,(AO$4-1)*5+3)*(1+INDEX($Q438:$AJ438,1,(AO$4-1)*5+2)))</f>
        <v/>
      </c>
      <c r="AP438" s="25">
        <f>AO438*(1/(1+INDEX($Q438:$AJ438,1,(AP$4-1)*5+4)))^(1+INDEX($Q438:$AJ438,1,(AP$4-1)*5+2))*(1+AP$7)^INDEX($Q438:$AJ438,1,(AP$4-1)*5+1)*(AP308/AO308)^INDEX($Q438:$AJ438,1,(AP$4-1)*5+2)*(AP308/AO308)^(INDEX($Q438:$AJ438,1,(AP$4-1)*5+3)*(1+INDEX($Q438:$AJ438,1,(AP$4-1)*5+2)))</f>
        <v/>
      </c>
      <c r="AQ438" s="25">
        <f>AP438*(1/(1+INDEX($Q438:$AJ438,1,(AQ$4-1)*5+4)))^(1+INDEX($Q438:$AJ438,1,(AQ$4-1)*5+2))*(1+AQ$7)^INDEX($Q438:$AJ438,1,(AQ$4-1)*5+1)*(AQ308/AP308)^INDEX($Q438:$AJ438,1,(AQ$4-1)*5+2)*(AQ308/AP308)^(INDEX($Q438:$AJ438,1,(AQ$4-1)*5+3)*(1+INDEX($Q438:$AJ438,1,(AQ$4-1)*5+2)))</f>
        <v/>
      </c>
      <c r="AR438" s="25">
        <f>AQ438*(1/(1+INDEX($Q438:$AJ438,1,(AR$4-1)*5+4)))^(1+INDEX($Q438:$AJ438,1,(AR$4-1)*5+2))*(1+AR$7)^INDEX($Q438:$AJ438,1,(AR$4-1)*5+1)*(AR308/AQ308)^INDEX($Q438:$AJ438,1,(AR$4-1)*5+2)*(AR308/AQ308)^(INDEX($Q438:$AJ438,1,(AR$4-1)*5+3)*(1+INDEX($Q438:$AJ438,1,(AR$4-1)*5+2)))</f>
        <v/>
      </c>
      <c r="AS438" s="25">
        <f>AR438*(1/(1+INDEX($Q438:$AJ438,1,(AS$4-1)*5+4)))^(1+INDEX($Q438:$AJ438,1,(AS$4-1)*5+2))*(1+AS$7)^INDEX($Q438:$AJ438,1,(AS$4-1)*5+1)*(AS308/AR308)^INDEX($Q438:$AJ438,1,(AS$4-1)*5+2)*(AS308/AR308)^(INDEX($Q438:$AJ438,1,(AS$4-1)*5+3)*(1+INDEX($Q438:$AJ438,1,(AS$4-1)*5+2)))</f>
        <v/>
      </c>
      <c r="AT438" s="25">
        <f>AS438*(1/(1+INDEX($Q438:$AJ438,1,(AT$4-1)*5+4)))^(1+INDEX($Q438:$AJ438,1,(AT$4-1)*5+2))*(1+AT$7)^INDEX($Q438:$AJ438,1,(AT$4-1)*5+1)*(AT308/AS308)^INDEX($Q438:$AJ438,1,(AT$4-1)*5+2)*(AT308/AS308)^(INDEX($Q438:$AJ438,1,(AT$4-1)*5+3)*(1+INDEX($Q438:$AJ438,1,(AT$4-1)*5+2)))</f>
        <v/>
      </c>
      <c r="AU438" s="25">
        <f>AT438*(1/(1+INDEX($Q438:$AJ438,1,(AU$4-1)*5+4)))^(1+INDEX($Q438:$AJ438,1,(AU$4-1)*5+2))*(1+AU$7)^INDEX($Q438:$AJ438,1,(AU$4-1)*5+1)*(AU308/AT308)^INDEX($Q438:$AJ438,1,(AU$4-1)*5+2)*(AU308/AT308)^(INDEX($Q438:$AJ438,1,(AU$4-1)*5+3)*(1+INDEX($Q438:$AJ438,1,(AU$4-1)*5+2)))</f>
        <v/>
      </c>
      <c r="AV438" s="25">
        <f>AU438*(1/(1+INDEX($Q438:$AJ438,1,(AV$4-1)*5+4)))^(1+INDEX($Q438:$AJ438,1,(AV$4-1)*5+2))*(1+AV$7)^INDEX($Q438:$AJ438,1,(AV$4-1)*5+1)*(AV308/AU308)^INDEX($Q438:$AJ438,1,(AV$4-1)*5+2)*(AV308/AU308)^(INDEX($Q438:$AJ438,1,(AV$4-1)*5+3)*(1+INDEX($Q438:$AJ438,1,(AV$4-1)*5+2)))</f>
        <v/>
      </c>
      <c r="AW438" s="25">
        <f>AV438*(1/(1+INDEX($Q438:$AJ438,1,(AW$4-1)*5+4)))^(1+INDEX($Q438:$AJ438,1,(AW$4-1)*5+2))*(1+AW$7)^INDEX($Q438:$AJ438,1,(AW$4-1)*5+1)*(AW308/AV308)^INDEX($Q438:$AJ438,1,(AW$4-1)*5+2)*(AW308/AV308)^(INDEX($Q438:$AJ438,1,(AW$4-1)*5+3)*(1+INDEX($Q438:$AJ438,1,(AW$4-1)*5+2)))</f>
        <v/>
      </c>
      <c r="AX438" s="25">
        <f>AW438*(1/(1+INDEX($Q438:$AJ438,1,(AX$4-1)*5+4)))^(1+INDEX($Q438:$AJ438,1,(AX$4-1)*5+2))*(1+AX$7)^INDEX($Q438:$AJ438,1,(AX$4-1)*5+1)*(AX308/AW308)^INDEX($Q438:$AJ438,1,(AX$4-1)*5+2)*(AX308/AW308)^(INDEX($Q438:$AJ438,1,(AX$4-1)*5+3)*(1+INDEX($Q438:$AJ438,1,(AX$4-1)*5+2)))</f>
        <v/>
      </c>
      <c r="AY438" s="25">
        <f>AX438*(1/(1+INDEX($Q438:$AJ438,1,(AY$4-1)*5+4)))^(1+INDEX($Q438:$AJ438,1,(AY$4-1)*5+2))*(1+AY$7)^INDEX($Q438:$AJ438,1,(AY$4-1)*5+1)*(AY308/AX308)^INDEX($Q438:$AJ438,1,(AY$4-1)*5+2)*(AY308/AX308)^(INDEX($Q438:$AJ438,1,(AY$4-1)*5+3)*(1+INDEX($Q438:$AJ438,1,(AY$4-1)*5+2)))</f>
        <v/>
      </c>
      <c r="BA438" s="24">
        <f>INDEX(EnergyCons!$F$4:$F$5000,MATCH(Settings!$C$4&amp;"|"&amp;BA$5&amp;"|"&amp;$C438&amp;"|"&amp;$B438,EnergyCons!$A$4:$A$5000,0))</f>
        <v/>
      </c>
      <c r="BB438" s="25">
        <f>BA438*(1/(1+INDEX($Q438:$AJ438,1,(BB$4-1)*5+4)))^(1+INDEX($Q438:$AJ438,1,(BB$4-1)*5+2))*(1+BB$7)^INDEX($Q438:$AJ438,1,(BB$4-1)*5+1)*(BB308/BA308)^INDEX($Q438:$AJ438,1,(BB$4-1)*5+2)*(BB308/BA308)^(INDEX($Q438:$AJ438,1,(BB$4-1)*5+3)*(1+INDEX($Q438:$AJ438,1,(BB$4-1)*5+2)))</f>
        <v/>
      </c>
      <c r="BC438" s="25">
        <f>BB438*(1/(1+INDEX($Q438:$AJ438,1,(BC$4-1)*5+4)))^(1+INDEX($Q438:$AJ438,1,(BC$4-1)*5+2))*(1+BC$7)^INDEX($Q438:$AJ438,1,(BC$4-1)*5+1)*(BC308/BB308)^INDEX($Q438:$AJ438,1,(BC$4-1)*5+2)*(BC308/BB308)^(INDEX($Q438:$AJ438,1,(BC$4-1)*5+3)*(1+INDEX($Q438:$AJ438,1,(BC$4-1)*5+2)))</f>
        <v/>
      </c>
      <c r="BD438" s="25">
        <f>BC438*(1/(1+INDEX($Q438:$AJ438,1,(BD$4-1)*5+4)))^(1+INDEX($Q438:$AJ438,1,(BD$4-1)*5+2))*(1+BD$7)^INDEX($Q438:$AJ438,1,(BD$4-1)*5+1)*(BD308/BC308)^INDEX($Q438:$AJ438,1,(BD$4-1)*5+2)*(BD308/BC308)^(INDEX($Q438:$AJ438,1,(BD$4-1)*5+3)*(1+INDEX($Q438:$AJ438,1,(BD$4-1)*5+2)))</f>
        <v/>
      </c>
      <c r="BE438" s="25">
        <f>BD438*(1/(1+INDEX($Q438:$AJ438,1,(BE$4-1)*5+4)))^(1+INDEX($Q438:$AJ438,1,(BE$4-1)*5+2))*(1+BE$7)^INDEX($Q438:$AJ438,1,(BE$4-1)*5+1)*(BE308/BD308)^INDEX($Q438:$AJ438,1,(BE$4-1)*5+2)*(BE308/BD308)^(INDEX($Q438:$AJ438,1,(BE$4-1)*5+3)*(1+INDEX($Q438:$AJ438,1,(BE$4-1)*5+2)))</f>
        <v/>
      </c>
      <c r="BF438" s="25">
        <f>BE438*(1/(1+INDEX($Q438:$AJ438,1,(BF$4-1)*5+4)))^(1+INDEX($Q438:$AJ438,1,(BF$4-1)*5+2))*(1+BF$7)^INDEX($Q438:$AJ438,1,(BF$4-1)*5+1)*(BF308/BE308)^INDEX($Q438:$AJ438,1,(BF$4-1)*5+2)*(BF308/BE308)^(INDEX($Q438:$AJ438,1,(BF$4-1)*5+3)*(1+INDEX($Q438:$AJ438,1,(BF$4-1)*5+2)))</f>
        <v/>
      </c>
      <c r="BG438" s="25">
        <f>BF438*(1/(1+INDEX($Q438:$AJ438,1,(BG$4-1)*5+4)))^(1+INDEX($Q438:$AJ438,1,(BG$4-1)*5+2))*(1+BG$7)^INDEX($Q438:$AJ438,1,(BG$4-1)*5+1)*(BG308/BF308)^INDEX($Q438:$AJ438,1,(BG$4-1)*5+2)*(BG308/BF308)^(INDEX($Q438:$AJ438,1,(BG$4-1)*5+3)*(1+INDEX($Q438:$AJ438,1,(BG$4-1)*5+2)))</f>
        <v/>
      </c>
      <c r="BH438" s="25">
        <f>BG438*(1/(1+INDEX($Q438:$AJ438,1,(BH$4-1)*5+4)))^(1+INDEX($Q438:$AJ438,1,(BH$4-1)*5+2))*(1+BH$7)^INDEX($Q438:$AJ438,1,(BH$4-1)*5+1)*(BH308/BG308)^INDEX($Q438:$AJ438,1,(BH$4-1)*5+2)*(BH308/BG308)^(INDEX($Q438:$AJ438,1,(BH$4-1)*5+3)*(1+INDEX($Q438:$AJ438,1,(BH$4-1)*5+2)))</f>
        <v/>
      </c>
      <c r="BI438" s="25">
        <f>BH438*(1/(1+INDEX($Q438:$AJ438,1,(BI$4-1)*5+4)))^(1+INDEX($Q438:$AJ438,1,(BI$4-1)*5+2))*(1+BI$7)^INDEX($Q438:$AJ438,1,(BI$4-1)*5+1)*(BI308/BH308)^INDEX($Q438:$AJ438,1,(BI$4-1)*5+2)*(BI308/BH308)^(INDEX($Q438:$AJ438,1,(BI$4-1)*5+3)*(1+INDEX($Q438:$AJ438,1,(BI$4-1)*5+2)))</f>
        <v/>
      </c>
      <c r="BJ438" s="25">
        <f>BI438*(1/(1+INDEX($Q438:$AJ438,1,(BJ$4-1)*5+4)))^(1+INDEX($Q438:$AJ438,1,(BJ$4-1)*5+2))*(1+BJ$7)^INDEX($Q438:$AJ438,1,(BJ$4-1)*5+1)*(BJ308/BI308)^INDEX($Q438:$AJ438,1,(BJ$4-1)*5+2)*(BJ308/BI308)^(INDEX($Q438:$AJ438,1,(BJ$4-1)*5+3)*(1+INDEX($Q438:$AJ438,1,(BJ$4-1)*5+2)))</f>
        <v/>
      </c>
      <c r="BK438" s="25">
        <f>BJ438*(1/(1+INDEX($Q438:$AJ438,1,(BK$4-1)*5+4)))^(1+INDEX($Q438:$AJ438,1,(BK$4-1)*5+2))*(1+BK$7)^INDEX($Q438:$AJ438,1,(BK$4-1)*5+1)*(BK308/BJ308)^INDEX($Q438:$AJ438,1,(BK$4-1)*5+2)*(BK308/BJ308)^(INDEX($Q438:$AJ438,1,(BK$4-1)*5+3)*(1+INDEX($Q438:$AJ438,1,(BK$4-1)*5+2)))</f>
        <v/>
      </c>
      <c r="BL438" s="25">
        <f>BK438*(1/(1+INDEX($Q438:$AJ438,1,(BL$4-1)*5+4)))^(1+INDEX($Q438:$AJ438,1,(BL$4-1)*5+2))*(1+BL$7)^INDEX($Q438:$AJ438,1,(BL$4-1)*5+1)*(BL308/BK308)^INDEX($Q438:$AJ438,1,(BL$4-1)*5+2)*(BL308/BK308)^(INDEX($Q438:$AJ438,1,(BL$4-1)*5+3)*(1+INDEX($Q438:$AJ438,1,(BL$4-1)*5+2)))</f>
        <v/>
      </c>
      <c r="BM438" s="25">
        <f>BL438*(1/(1+INDEX($Q438:$AJ438,1,(BM$4-1)*5+4)))^(1+INDEX($Q438:$AJ438,1,(BM$4-1)*5+2))*(1+BM$7)^INDEX($Q438:$AJ438,1,(BM$4-1)*5+1)*(BM308/BL308)^INDEX($Q438:$AJ438,1,(BM$4-1)*5+2)*(BM308/BL308)^(INDEX($Q438:$AJ438,1,(BM$4-1)*5+3)*(1+INDEX($Q438:$AJ438,1,(BM$4-1)*5+2)))</f>
        <v/>
      </c>
      <c r="BN438" s="25">
        <f>BM438*(1/(1+INDEX($Q438:$AJ438,1,(BN$4-1)*5+4)))^(1+INDEX($Q438:$AJ438,1,(BN$4-1)*5+2))*(1+BN$7)^INDEX($Q438:$AJ438,1,(BN$4-1)*5+1)*(BN308/BM308)^INDEX($Q438:$AJ438,1,(BN$4-1)*5+2)*(BN308/BM308)^(INDEX($Q438:$AJ438,1,(BN$4-1)*5+3)*(1+INDEX($Q438:$AJ438,1,(BN$4-1)*5+2)))</f>
        <v/>
      </c>
    </row>
    <row r="439">
      <c r="B439" s="5" t="inlineStr">
        <is>
          <t>oop</t>
        </is>
      </c>
      <c r="C439" s="5" t="inlineStr">
        <is>
          <t>res</t>
        </is>
      </c>
      <c r="D439" s="5" t="inlineStr">
        <is>
          <t>Fuel use | Residential | Other oil products</t>
        </is>
      </c>
      <c r="E439" s="5" t="inlineStr">
        <is>
          <t>ktoe</t>
        </is>
      </c>
      <c r="F439" s="5" t="inlineStr">
        <is>
          <t>EnergyCons (base year), Elasticities</t>
        </is>
      </c>
      <c r="G439" s="19" t="inlineStr">
        <is>
          <t>mit.enc.oop.res</t>
        </is>
      </c>
      <c r="H439" s="19" t="inlineStr">
        <is>
          <t>mit.enc.oop.res</t>
        </is>
      </c>
      <c r="J439" s="5">
        <f>INDEX(Mapping!$C$5:$C$20,MATCH($C439,Mapping!$A$5:$A$20,0))</f>
        <v/>
      </c>
      <c r="K439" s="5">
        <f>INDEX(Mapping!$D$5:$D$20,MATCH($C439,Mapping!$A$5:$A$20,0))</f>
        <v/>
      </c>
      <c r="L439" s="5">
        <f>INDEX(Mapping!$C$24:$C$31,MATCH($B439,Mapping!$A$24:$A$31,0))</f>
        <v/>
      </c>
      <c r="M439" s="5">
        <f>INDEX(Mapping!$D$24:$D$31,MATCH($B439,Mapping!$A$24:$A$31,0))</f>
        <v/>
      </c>
      <c r="N439" s="5">
        <f>$B439&amp;"."&amp;IF(INDEX(Mapping!$E$24:$E$31,MATCH($B439,Mapping!$A$24:$A$31,0))="sub",INDEX(Mapping!$F$5:$F$20,MATCH($C439,Mapping!$A$5:$A$20,0)),"all")</f>
        <v/>
      </c>
      <c r="O439" s="5">
        <f>INDEX(Mapping!$E$5:$E$20,MATCH($C439,Mapping!$A$5:$A$20,0))</f>
        <v/>
      </c>
      <c r="P439" s="5">
        <f>INDEX(Mapping!$G$24:$G$31,MATCH($B439,Mapping!$A$24:$A$31,0))</f>
        <v/>
      </c>
      <c r="Q439" s="22">
        <f>INDEX(Elasticities!$F$4:$I$200,MATCH("inc|"&amp;$L439&amp;"|"&amp;$K439,Elasticities!$A$4:$A$200,0),MATCH(Settings!$C$6,Elasticities!$F$3:$I$3,0))</f>
        <v/>
      </c>
      <c r="R439" s="22">
        <f>INDEX(Elasticities!$F$4:$I$200,MATCH("usg|"&amp;$L439&amp;"|"&amp;$K439,Elasticities!$A$4:$A$200,0),MATCH(Settings!$C$6,Elasticities!$F$3:$I$3,0))</f>
        <v/>
      </c>
      <c r="S439" s="22">
        <f>INDEX(Elasticities!$F$4:$I$200,MATCH("eff|"&amp;$L439&amp;"|"&amp;$K439,Elasticities!$A$4:$A$200,0),MATCH(Settings!$C$6,Elasticities!$F$3:$I$3,0))</f>
        <v/>
      </c>
      <c r="T439" s="22">
        <f>INDEX(Elasticities!$F$4:$I$200,MATCH("aei|"&amp;$M439&amp;"|"&amp;$K439,Elasticities!$A$4:$A$200,0),MATCH(Settings!$C$6,Elasticities!$F$3:$I$3,0))</f>
        <v/>
      </c>
      <c r="U439" s="21" t="n"/>
      <c r="V439" s="22">
        <f>Q439</f>
        <v/>
      </c>
      <c r="W439" s="22">
        <f>R439</f>
        <v/>
      </c>
      <c r="X439" s="22">
        <f>S439</f>
        <v/>
      </c>
      <c r="Y439" s="22">
        <f>T439</f>
        <v/>
      </c>
      <c r="Z439" s="21" t="n"/>
      <c r="AA439" s="22">
        <f>Q439</f>
        <v/>
      </c>
      <c r="AB439" s="22">
        <f>R439</f>
        <v/>
      </c>
      <c r="AC439" s="22">
        <f>S439</f>
        <v/>
      </c>
      <c r="AD439" s="22">
        <f>T439</f>
        <v/>
      </c>
      <c r="AE439" s="21" t="n"/>
      <c r="AF439" s="22">
        <f>Q439</f>
        <v/>
      </c>
      <c r="AG439" s="22">
        <f>R439</f>
        <v/>
      </c>
      <c r="AH439" s="22">
        <f>S439</f>
        <v/>
      </c>
      <c r="AI439" s="22">
        <f>T439</f>
        <v/>
      </c>
      <c r="AJ439" s="21" t="n"/>
      <c r="AL439" s="24">
        <f>INDEX(EnergyCons!$F$4:$F$5000,MATCH(Settings!$C$4&amp;"|"&amp;AL$5&amp;"|"&amp;$C439&amp;"|"&amp;$B439,EnergyCons!$A$4:$A$5000,0))</f>
        <v/>
      </c>
      <c r="AM439" s="25">
        <f>AL439*(1/(1+INDEX($Q439:$AJ439,1,(AM$4-1)*5+4)))^(1+INDEX($Q439:$AJ439,1,(AM$4-1)*5+2))*(1+AM$7)^INDEX($Q439:$AJ439,1,(AM$4-1)*5+1)*(AM309/AL309)^INDEX($Q439:$AJ439,1,(AM$4-1)*5+2)*(AM309/AL309)^(INDEX($Q439:$AJ439,1,(AM$4-1)*5+3)*(1+INDEX($Q439:$AJ439,1,(AM$4-1)*5+2)))</f>
        <v/>
      </c>
      <c r="AN439" s="25">
        <f>AM439*(1/(1+INDEX($Q439:$AJ439,1,(AN$4-1)*5+4)))^(1+INDEX($Q439:$AJ439,1,(AN$4-1)*5+2))*(1+AN$7)^INDEX($Q439:$AJ439,1,(AN$4-1)*5+1)*(AN309/AM309)^INDEX($Q439:$AJ439,1,(AN$4-1)*5+2)*(AN309/AM309)^(INDEX($Q439:$AJ439,1,(AN$4-1)*5+3)*(1+INDEX($Q439:$AJ439,1,(AN$4-1)*5+2)))</f>
        <v/>
      </c>
      <c r="AO439" s="25">
        <f>AN439*(1/(1+INDEX($Q439:$AJ439,1,(AO$4-1)*5+4)))^(1+INDEX($Q439:$AJ439,1,(AO$4-1)*5+2))*(1+AO$7)^INDEX($Q439:$AJ439,1,(AO$4-1)*5+1)*(AO309/AN309)^INDEX($Q439:$AJ439,1,(AO$4-1)*5+2)*(AO309/AN309)^(INDEX($Q439:$AJ439,1,(AO$4-1)*5+3)*(1+INDEX($Q439:$AJ439,1,(AO$4-1)*5+2)))</f>
        <v/>
      </c>
      <c r="AP439" s="25">
        <f>AO439*(1/(1+INDEX($Q439:$AJ439,1,(AP$4-1)*5+4)))^(1+INDEX($Q439:$AJ439,1,(AP$4-1)*5+2))*(1+AP$7)^INDEX($Q439:$AJ439,1,(AP$4-1)*5+1)*(AP309/AO309)^INDEX($Q439:$AJ439,1,(AP$4-1)*5+2)*(AP309/AO309)^(INDEX($Q439:$AJ439,1,(AP$4-1)*5+3)*(1+INDEX($Q439:$AJ439,1,(AP$4-1)*5+2)))</f>
        <v/>
      </c>
      <c r="AQ439" s="25">
        <f>AP439*(1/(1+INDEX($Q439:$AJ439,1,(AQ$4-1)*5+4)))^(1+INDEX($Q439:$AJ439,1,(AQ$4-1)*5+2))*(1+AQ$7)^INDEX($Q439:$AJ439,1,(AQ$4-1)*5+1)*(AQ309/AP309)^INDEX($Q439:$AJ439,1,(AQ$4-1)*5+2)*(AQ309/AP309)^(INDEX($Q439:$AJ439,1,(AQ$4-1)*5+3)*(1+INDEX($Q439:$AJ439,1,(AQ$4-1)*5+2)))</f>
        <v/>
      </c>
      <c r="AR439" s="25">
        <f>AQ439*(1/(1+INDEX($Q439:$AJ439,1,(AR$4-1)*5+4)))^(1+INDEX($Q439:$AJ439,1,(AR$4-1)*5+2))*(1+AR$7)^INDEX($Q439:$AJ439,1,(AR$4-1)*5+1)*(AR309/AQ309)^INDEX($Q439:$AJ439,1,(AR$4-1)*5+2)*(AR309/AQ309)^(INDEX($Q439:$AJ439,1,(AR$4-1)*5+3)*(1+INDEX($Q439:$AJ439,1,(AR$4-1)*5+2)))</f>
        <v/>
      </c>
      <c r="AS439" s="25">
        <f>AR439*(1/(1+INDEX($Q439:$AJ439,1,(AS$4-1)*5+4)))^(1+INDEX($Q439:$AJ439,1,(AS$4-1)*5+2))*(1+AS$7)^INDEX($Q439:$AJ439,1,(AS$4-1)*5+1)*(AS309/AR309)^INDEX($Q439:$AJ439,1,(AS$4-1)*5+2)*(AS309/AR309)^(INDEX($Q439:$AJ439,1,(AS$4-1)*5+3)*(1+INDEX($Q439:$AJ439,1,(AS$4-1)*5+2)))</f>
        <v/>
      </c>
      <c r="AT439" s="25">
        <f>AS439*(1/(1+INDEX($Q439:$AJ439,1,(AT$4-1)*5+4)))^(1+INDEX($Q439:$AJ439,1,(AT$4-1)*5+2))*(1+AT$7)^INDEX($Q439:$AJ439,1,(AT$4-1)*5+1)*(AT309/AS309)^INDEX($Q439:$AJ439,1,(AT$4-1)*5+2)*(AT309/AS309)^(INDEX($Q439:$AJ439,1,(AT$4-1)*5+3)*(1+INDEX($Q439:$AJ439,1,(AT$4-1)*5+2)))</f>
        <v/>
      </c>
      <c r="AU439" s="25">
        <f>AT439*(1/(1+INDEX($Q439:$AJ439,1,(AU$4-1)*5+4)))^(1+INDEX($Q439:$AJ439,1,(AU$4-1)*5+2))*(1+AU$7)^INDEX($Q439:$AJ439,1,(AU$4-1)*5+1)*(AU309/AT309)^INDEX($Q439:$AJ439,1,(AU$4-1)*5+2)*(AU309/AT309)^(INDEX($Q439:$AJ439,1,(AU$4-1)*5+3)*(1+INDEX($Q439:$AJ439,1,(AU$4-1)*5+2)))</f>
        <v/>
      </c>
      <c r="AV439" s="25">
        <f>AU439*(1/(1+INDEX($Q439:$AJ439,1,(AV$4-1)*5+4)))^(1+INDEX($Q439:$AJ439,1,(AV$4-1)*5+2))*(1+AV$7)^INDEX($Q439:$AJ439,1,(AV$4-1)*5+1)*(AV309/AU309)^INDEX($Q439:$AJ439,1,(AV$4-1)*5+2)*(AV309/AU309)^(INDEX($Q439:$AJ439,1,(AV$4-1)*5+3)*(1+INDEX($Q439:$AJ439,1,(AV$4-1)*5+2)))</f>
        <v/>
      </c>
      <c r="AW439" s="25">
        <f>AV439*(1/(1+INDEX($Q439:$AJ439,1,(AW$4-1)*5+4)))^(1+INDEX($Q439:$AJ439,1,(AW$4-1)*5+2))*(1+AW$7)^INDEX($Q439:$AJ439,1,(AW$4-1)*5+1)*(AW309/AV309)^INDEX($Q439:$AJ439,1,(AW$4-1)*5+2)*(AW309/AV309)^(INDEX($Q439:$AJ439,1,(AW$4-1)*5+3)*(1+INDEX($Q439:$AJ439,1,(AW$4-1)*5+2)))</f>
        <v/>
      </c>
      <c r="AX439" s="25">
        <f>AW439*(1/(1+INDEX($Q439:$AJ439,1,(AX$4-1)*5+4)))^(1+INDEX($Q439:$AJ439,1,(AX$4-1)*5+2))*(1+AX$7)^INDEX($Q439:$AJ439,1,(AX$4-1)*5+1)*(AX309/AW309)^INDEX($Q439:$AJ439,1,(AX$4-1)*5+2)*(AX309/AW309)^(INDEX($Q439:$AJ439,1,(AX$4-1)*5+3)*(1+INDEX($Q439:$AJ439,1,(AX$4-1)*5+2)))</f>
        <v/>
      </c>
      <c r="AY439" s="25">
        <f>AX439*(1/(1+INDEX($Q439:$AJ439,1,(AY$4-1)*5+4)))^(1+INDEX($Q439:$AJ439,1,(AY$4-1)*5+2))*(1+AY$7)^INDEX($Q439:$AJ439,1,(AY$4-1)*5+1)*(AY309/AX309)^INDEX($Q439:$AJ439,1,(AY$4-1)*5+2)*(AY309/AX309)^(INDEX($Q439:$AJ439,1,(AY$4-1)*5+3)*(1+INDEX($Q439:$AJ439,1,(AY$4-1)*5+2)))</f>
        <v/>
      </c>
      <c r="BA439" s="24">
        <f>INDEX(EnergyCons!$F$4:$F$5000,MATCH(Settings!$C$4&amp;"|"&amp;BA$5&amp;"|"&amp;$C439&amp;"|"&amp;$B439,EnergyCons!$A$4:$A$5000,0))</f>
        <v/>
      </c>
      <c r="BB439" s="25">
        <f>BA439*(1/(1+INDEX($Q439:$AJ439,1,(BB$4-1)*5+4)))^(1+INDEX($Q439:$AJ439,1,(BB$4-1)*5+2))*(1+BB$7)^INDEX($Q439:$AJ439,1,(BB$4-1)*5+1)*(BB309/BA309)^INDEX($Q439:$AJ439,1,(BB$4-1)*5+2)*(BB309/BA309)^(INDEX($Q439:$AJ439,1,(BB$4-1)*5+3)*(1+INDEX($Q439:$AJ439,1,(BB$4-1)*5+2)))</f>
        <v/>
      </c>
      <c r="BC439" s="25">
        <f>BB439*(1/(1+INDEX($Q439:$AJ439,1,(BC$4-1)*5+4)))^(1+INDEX($Q439:$AJ439,1,(BC$4-1)*5+2))*(1+BC$7)^INDEX($Q439:$AJ439,1,(BC$4-1)*5+1)*(BC309/BB309)^INDEX($Q439:$AJ439,1,(BC$4-1)*5+2)*(BC309/BB309)^(INDEX($Q439:$AJ439,1,(BC$4-1)*5+3)*(1+INDEX($Q439:$AJ439,1,(BC$4-1)*5+2)))</f>
        <v/>
      </c>
      <c r="BD439" s="25">
        <f>BC439*(1/(1+INDEX($Q439:$AJ439,1,(BD$4-1)*5+4)))^(1+INDEX($Q439:$AJ439,1,(BD$4-1)*5+2))*(1+BD$7)^INDEX($Q439:$AJ439,1,(BD$4-1)*5+1)*(BD309/BC309)^INDEX($Q439:$AJ439,1,(BD$4-1)*5+2)*(BD309/BC309)^(INDEX($Q439:$AJ439,1,(BD$4-1)*5+3)*(1+INDEX($Q439:$AJ439,1,(BD$4-1)*5+2)))</f>
        <v/>
      </c>
      <c r="BE439" s="25">
        <f>BD439*(1/(1+INDEX($Q439:$AJ439,1,(BE$4-1)*5+4)))^(1+INDEX($Q439:$AJ439,1,(BE$4-1)*5+2))*(1+BE$7)^INDEX($Q439:$AJ439,1,(BE$4-1)*5+1)*(BE309/BD309)^INDEX($Q439:$AJ439,1,(BE$4-1)*5+2)*(BE309/BD309)^(INDEX($Q439:$AJ439,1,(BE$4-1)*5+3)*(1+INDEX($Q439:$AJ439,1,(BE$4-1)*5+2)))</f>
        <v/>
      </c>
      <c r="BF439" s="25">
        <f>BE439*(1/(1+INDEX($Q439:$AJ439,1,(BF$4-1)*5+4)))^(1+INDEX($Q439:$AJ439,1,(BF$4-1)*5+2))*(1+BF$7)^INDEX($Q439:$AJ439,1,(BF$4-1)*5+1)*(BF309/BE309)^INDEX($Q439:$AJ439,1,(BF$4-1)*5+2)*(BF309/BE309)^(INDEX($Q439:$AJ439,1,(BF$4-1)*5+3)*(1+INDEX($Q439:$AJ439,1,(BF$4-1)*5+2)))</f>
        <v/>
      </c>
      <c r="BG439" s="25">
        <f>BF439*(1/(1+INDEX($Q439:$AJ439,1,(BG$4-1)*5+4)))^(1+INDEX($Q439:$AJ439,1,(BG$4-1)*5+2))*(1+BG$7)^INDEX($Q439:$AJ439,1,(BG$4-1)*5+1)*(BG309/BF309)^INDEX($Q439:$AJ439,1,(BG$4-1)*5+2)*(BG309/BF309)^(INDEX($Q439:$AJ439,1,(BG$4-1)*5+3)*(1+INDEX($Q439:$AJ439,1,(BG$4-1)*5+2)))</f>
        <v/>
      </c>
      <c r="BH439" s="25">
        <f>BG439*(1/(1+INDEX($Q439:$AJ439,1,(BH$4-1)*5+4)))^(1+INDEX($Q439:$AJ439,1,(BH$4-1)*5+2))*(1+BH$7)^INDEX($Q439:$AJ439,1,(BH$4-1)*5+1)*(BH309/BG309)^INDEX($Q439:$AJ439,1,(BH$4-1)*5+2)*(BH309/BG309)^(INDEX($Q439:$AJ439,1,(BH$4-1)*5+3)*(1+INDEX($Q439:$AJ439,1,(BH$4-1)*5+2)))</f>
        <v/>
      </c>
      <c r="BI439" s="25">
        <f>BH439*(1/(1+INDEX($Q439:$AJ439,1,(BI$4-1)*5+4)))^(1+INDEX($Q439:$AJ439,1,(BI$4-1)*5+2))*(1+BI$7)^INDEX($Q439:$AJ439,1,(BI$4-1)*5+1)*(BI309/BH309)^INDEX($Q439:$AJ439,1,(BI$4-1)*5+2)*(BI309/BH309)^(INDEX($Q439:$AJ439,1,(BI$4-1)*5+3)*(1+INDEX($Q439:$AJ439,1,(BI$4-1)*5+2)))</f>
        <v/>
      </c>
      <c r="BJ439" s="25">
        <f>BI439*(1/(1+INDEX($Q439:$AJ439,1,(BJ$4-1)*5+4)))^(1+INDEX($Q439:$AJ439,1,(BJ$4-1)*5+2))*(1+BJ$7)^INDEX($Q439:$AJ439,1,(BJ$4-1)*5+1)*(BJ309/BI309)^INDEX($Q439:$AJ439,1,(BJ$4-1)*5+2)*(BJ309/BI309)^(INDEX($Q439:$AJ439,1,(BJ$4-1)*5+3)*(1+INDEX($Q439:$AJ439,1,(BJ$4-1)*5+2)))</f>
        <v/>
      </c>
      <c r="BK439" s="25">
        <f>BJ439*(1/(1+INDEX($Q439:$AJ439,1,(BK$4-1)*5+4)))^(1+INDEX($Q439:$AJ439,1,(BK$4-1)*5+2))*(1+BK$7)^INDEX($Q439:$AJ439,1,(BK$4-1)*5+1)*(BK309/BJ309)^INDEX($Q439:$AJ439,1,(BK$4-1)*5+2)*(BK309/BJ309)^(INDEX($Q439:$AJ439,1,(BK$4-1)*5+3)*(1+INDEX($Q439:$AJ439,1,(BK$4-1)*5+2)))</f>
        <v/>
      </c>
      <c r="BL439" s="25">
        <f>BK439*(1/(1+INDEX($Q439:$AJ439,1,(BL$4-1)*5+4)))^(1+INDEX($Q439:$AJ439,1,(BL$4-1)*5+2))*(1+BL$7)^INDEX($Q439:$AJ439,1,(BL$4-1)*5+1)*(BL309/BK309)^INDEX($Q439:$AJ439,1,(BL$4-1)*5+2)*(BL309/BK309)^(INDEX($Q439:$AJ439,1,(BL$4-1)*5+3)*(1+INDEX($Q439:$AJ439,1,(BL$4-1)*5+2)))</f>
        <v/>
      </c>
      <c r="BM439" s="25">
        <f>BL439*(1/(1+INDEX($Q439:$AJ439,1,(BM$4-1)*5+4)))^(1+INDEX($Q439:$AJ439,1,(BM$4-1)*5+2))*(1+BM$7)^INDEX($Q439:$AJ439,1,(BM$4-1)*5+1)*(BM309/BL309)^INDEX($Q439:$AJ439,1,(BM$4-1)*5+2)*(BM309/BL309)^(INDEX($Q439:$AJ439,1,(BM$4-1)*5+3)*(1+INDEX($Q439:$AJ439,1,(BM$4-1)*5+2)))</f>
        <v/>
      </c>
      <c r="BN439" s="25">
        <f>BM439*(1/(1+INDEX($Q439:$AJ439,1,(BN$4-1)*5+4)))^(1+INDEX($Q439:$AJ439,1,(BN$4-1)*5+2))*(1+BN$7)^INDEX($Q439:$AJ439,1,(BN$4-1)*5+1)*(BN309/BM309)^INDEX($Q439:$AJ439,1,(BN$4-1)*5+2)*(BN309/BM309)^(INDEX($Q439:$AJ439,1,(BN$4-1)*5+3)*(1+INDEX($Q439:$AJ439,1,(BN$4-1)*5+2)))</f>
        <v/>
      </c>
    </row>
    <row r="440">
      <c r="B440" s="5" t="inlineStr">
        <is>
          <t>bio</t>
        </is>
      </c>
      <c r="C440" s="5" t="inlineStr">
        <is>
          <t>res</t>
        </is>
      </c>
      <c r="D440" s="5" t="inlineStr">
        <is>
          <t>Fuel use | Residential | Biomass</t>
        </is>
      </c>
      <c r="E440" s="5" t="inlineStr">
        <is>
          <t>ktoe</t>
        </is>
      </c>
      <c r="F440" s="5" t="inlineStr">
        <is>
          <t>EnergyCons (base year), Elasticities</t>
        </is>
      </c>
      <c r="G440" s="19" t="inlineStr">
        <is>
          <t>mit.enc.bio.res</t>
        </is>
      </c>
      <c r="H440" s="19" t="inlineStr">
        <is>
          <t>mit.enc.bio.res</t>
        </is>
      </c>
      <c r="J440" s="5">
        <f>INDEX(Mapping!$C$5:$C$20,MATCH($C440,Mapping!$A$5:$A$20,0))</f>
        <v/>
      </c>
      <c r="K440" s="5">
        <f>INDEX(Mapping!$D$5:$D$20,MATCH($C440,Mapping!$A$5:$A$20,0))</f>
        <v/>
      </c>
      <c r="L440" s="5">
        <f>INDEX(Mapping!$C$24:$C$31,MATCH($B440,Mapping!$A$24:$A$31,0))</f>
        <v/>
      </c>
      <c r="M440" s="5">
        <f>INDEX(Mapping!$D$24:$D$31,MATCH($B440,Mapping!$A$24:$A$31,0))</f>
        <v/>
      </c>
      <c r="N440" s="5">
        <f>$B440&amp;"."&amp;IF(INDEX(Mapping!$E$24:$E$31,MATCH($B440,Mapping!$A$24:$A$31,0))="sub",INDEX(Mapping!$F$5:$F$20,MATCH($C440,Mapping!$A$5:$A$20,0)),"all")</f>
        <v/>
      </c>
      <c r="O440" s="5">
        <f>INDEX(Mapping!$E$5:$E$20,MATCH($C440,Mapping!$A$5:$A$20,0))</f>
        <v/>
      </c>
      <c r="P440" s="5">
        <f>INDEX(Mapping!$G$24:$G$31,MATCH($B440,Mapping!$A$24:$A$31,0))</f>
        <v/>
      </c>
      <c r="Q440" s="22">
        <f>INDEX(Elasticities!$F$4:$I$200,MATCH("inc|"&amp;$L440&amp;"|"&amp;$K440,Elasticities!$A$4:$A$200,0),MATCH(Settings!$C$6,Elasticities!$F$3:$I$3,0))</f>
        <v/>
      </c>
      <c r="R440" s="22">
        <f>INDEX(Elasticities!$F$4:$I$200,MATCH("usg|"&amp;$L440&amp;"|"&amp;$K440,Elasticities!$A$4:$A$200,0),MATCH(Settings!$C$6,Elasticities!$F$3:$I$3,0))</f>
        <v/>
      </c>
      <c r="S440" s="22">
        <f>INDEX(Elasticities!$F$4:$I$200,MATCH("eff|"&amp;$L440&amp;"|"&amp;$K440,Elasticities!$A$4:$A$200,0),MATCH(Settings!$C$6,Elasticities!$F$3:$I$3,0))</f>
        <v/>
      </c>
      <c r="T440" s="22">
        <f>INDEX(Elasticities!$F$4:$I$200,MATCH("aei|"&amp;$M440&amp;"|"&amp;$K440,Elasticities!$A$4:$A$200,0),MATCH(Settings!$C$6,Elasticities!$F$3:$I$3,0))</f>
        <v/>
      </c>
      <c r="U440" s="21" t="n"/>
      <c r="V440" s="22">
        <f>Q440</f>
        <v/>
      </c>
      <c r="W440" s="22">
        <f>R440</f>
        <v/>
      </c>
      <c r="X440" s="22">
        <f>S440</f>
        <v/>
      </c>
      <c r="Y440" s="22">
        <f>T440</f>
        <v/>
      </c>
      <c r="Z440" s="21" t="n"/>
      <c r="AA440" s="22">
        <f>Q440</f>
        <v/>
      </c>
      <c r="AB440" s="22">
        <f>R440</f>
        <v/>
      </c>
      <c r="AC440" s="22">
        <f>S440</f>
        <v/>
      </c>
      <c r="AD440" s="22">
        <f>T440</f>
        <v/>
      </c>
      <c r="AE440" s="21" t="n"/>
      <c r="AF440" s="22">
        <f>Q440</f>
        <v/>
      </c>
      <c r="AG440" s="22">
        <f>R440</f>
        <v/>
      </c>
      <c r="AH440" s="22">
        <f>S440</f>
        <v/>
      </c>
      <c r="AI440" s="22">
        <f>T440</f>
        <v/>
      </c>
      <c r="AJ440" s="21" t="n"/>
      <c r="AL440" s="24">
        <f>INDEX(EnergyCons!$F$4:$F$5000,MATCH(Settings!$C$4&amp;"|"&amp;AL$5&amp;"|"&amp;$C440&amp;"|"&amp;$B440,EnergyCons!$A$4:$A$5000,0))</f>
        <v/>
      </c>
      <c r="AM440" s="25">
        <f>AL440*(1/(1+INDEX($Q440:$AJ440,1,(AM$4-1)*5+4)))^(1+INDEX($Q440:$AJ440,1,(AM$4-1)*5+2))*(1+AM$7)^INDEX($Q440:$AJ440,1,(AM$4-1)*5+1)*(AM310/AL310)^INDEX($Q440:$AJ440,1,(AM$4-1)*5+2)*(AM310/AL310)^(INDEX($Q440:$AJ440,1,(AM$4-1)*5+3)*(1+INDEX($Q440:$AJ440,1,(AM$4-1)*5+2)))</f>
        <v/>
      </c>
      <c r="AN440" s="25">
        <f>AM440*(1/(1+INDEX($Q440:$AJ440,1,(AN$4-1)*5+4)))^(1+INDEX($Q440:$AJ440,1,(AN$4-1)*5+2))*(1+AN$7)^INDEX($Q440:$AJ440,1,(AN$4-1)*5+1)*(AN310/AM310)^INDEX($Q440:$AJ440,1,(AN$4-1)*5+2)*(AN310/AM310)^(INDEX($Q440:$AJ440,1,(AN$4-1)*5+3)*(1+INDEX($Q440:$AJ440,1,(AN$4-1)*5+2)))</f>
        <v/>
      </c>
      <c r="AO440" s="25">
        <f>AN440*(1/(1+INDEX($Q440:$AJ440,1,(AO$4-1)*5+4)))^(1+INDEX($Q440:$AJ440,1,(AO$4-1)*5+2))*(1+AO$7)^INDEX($Q440:$AJ440,1,(AO$4-1)*5+1)*(AO310/AN310)^INDEX($Q440:$AJ440,1,(AO$4-1)*5+2)*(AO310/AN310)^(INDEX($Q440:$AJ440,1,(AO$4-1)*5+3)*(1+INDEX($Q440:$AJ440,1,(AO$4-1)*5+2)))</f>
        <v/>
      </c>
      <c r="AP440" s="25">
        <f>AO440*(1/(1+INDEX($Q440:$AJ440,1,(AP$4-1)*5+4)))^(1+INDEX($Q440:$AJ440,1,(AP$4-1)*5+2))*(1+AP$7)^INDEX($Q440:$AJ440,1,(AP$4-1)*5+1)*(AP310/AO310)^INDEX($Q440:$AJ440,1,(AP$4-1)*5+2)*(AP310/AO310)^(INDEX($Q440:$AJ440,1,(AP$4-1)*5+3)*(1+INDEX($Q440:$AJ440,1,(AP$4-1)*5+2)))</f>
        <v/>
      </c>
      <c r="AQ440" s="25">
        <f>AP440*(1/(1+INDEX($Q440:$AJ440,1,(AQ$4-1)*5+4)))^(1+INDEX($Q440:$AJ440,1,(AQ$4-1)*5+2))*(1+AQ$7)^INDEX($Q440:$AJ440,1,(AQ$4-1)*5+1)*(AQ310/AP310)^INDEX($Q440:$AJ440,1,(AQ$4-1)*5+2)*(AQ310/AP310)^(INDEX($Q440:$AJ440,1,(AQ$4-1)*5+3)*(1+INDEX($Q440:$AJ440,1,(AQ$4-1)*5+2)))</f>
        <v/>
      </c>
      <c r="AR440" s="25">
        <f>AQ440*(1/(1+INDEX($Q440:$AJ440,1,(AR$4-1)*5+4)))^(1+INDEX($Q440:$AJ440,1,(AR$4-1)*5+2))*(1+AR$7)^INDEX($Q440:$AJ440,1,(AR$4-1)*5+1)*(AR310/AQ310)^INDEX($Q440:$AJ440,1,(AR$4-1)*5+2)*(AR310/AQ310)^(INDEX($Q440:$AJ440,1,(AR$4-1)*5+3)*(1+INDEX($Q440:$AJ440,1,(AR$4-1)*5+2)))</f>
        <v/>
      </c>
      <c r="AS440" s="25">
        <f>AR440*(1/(1+INDEX($Q440:$AJ440,1,(AS$4-1)*5+4)))^(1+INDEX($Q440:$AJ440,1,(AS$4-1)*5+2))*(1+AS$7)^INDEX($Q440:$AJ440,1,(AS$4-1)*5+1)*(AS310/AR310)^INDEX($Q440:$AJ440,1,(AS$4-1)*5+2)*(AS310/AR310)^(INDEX($Q440:$AJ440,1,(AS$4-1)*5+3)*(1+INDEX($Q440:$AJ440,1,(AS$4-1)*5+2)))</f>
        <v/>
      </c>
      <c r="AT440" s="25">
        <f>AS440*(1/(1+INDEX($Q440:$AJ440,1,(AT$4-1)*5+4)))^(1+INDEX($Q440:$AJ440,1,(AT$4-1)*5+2))*(1+AT$7)^INDEX($Q440:$AJ440,1,(AT$4-1)*5+1)*(AT310/AS310)^INDEX($Q440:$AJ440,1,(AT$4-1)*5+2)*(AT310/AS310)^(INDEX($Q440:$AJ440,1,(AT$4-1)*5+3)*(1+INDEX($Q440:$AJ440,1,(AT$4-1)*5+2)))</f>
        <v/>
      </c>
      <c r="AU440" s="25">
        <f>AT440*(1/(1+INDEX($Q440:$AJ440,1,(AU$4-1)*5+4)))^(1+INDEX($Q440:$AJ440,1,(AU$4-1)*5+2))*(1+AU$7)^INDEX($Q440:$AJ440,1,(AU$4-1)*5+1)*(AU310/AT310)^INDEX($Q440:$AJ440,1,(AU$4-1)*5+2)*(AU310/AT310)^(INDEX($Q440:$AJ440,1,(AU$4-1)*5+3)*(1+INDEX($Q440:$AJ440,1,(AU$4-1)*5+2)))</f>
        <v/>
      </c>
      <c r="AV440" s="25">
        <f>AU440*(1/(1+INDEX($Q440:$AJ440,1,(AV$4-1)*5+4)))^(1+INDEX($Q440:$AJ440,1,(AV$4-1)*5+2))*(1+AV$7)^INDEX($Q440:$AJ440,1,(AV$4-1)*5+1)*(AV310/AU310)^INDEX($Q440:$AJ440,1,(AV$4-1)*5+2)*(AV310/AU310)^(INDEX($Q440:$AJ440,1,(AV$4-1)*5+3)*(1+INDEX($Q440:$AJ440,1,(AV$4-1)*5+2)))</f>
        <v/>
      </c>
      <c r="AW440" s="25">
        <f>AV440*(1/(1+INDEX($Q440:$AJ440,1,(AW$4-1)*5+4)))^(1+INDEX($Q440:$AJ440,1,(AW$4-1)*5+2))*(1+AW$7)^INDEX($Q440:$AJ440,1,(AW$4-1)*5+1)*(AW310/AV310)^INDEX($Q440:$AJ440,1,(AW$4-1)*5+2)*(AW310/AV310)^(INDEX($Q440:$AJ440,1,(AW$4-1)*5+3)*(1+INDEX($Q440:$AJ440,1,(AW$4-1)*5+2)))</f>
        <v/>
      </c>
      <c r="AX440" s="25">
        <f>AW440*(1/(1+INDEX($Q440:$AJ440,1,(AX$4-1)*5+4)))^(1+INDEX($Q440:$AJ440,1,(AX$4-1)*5+2))*(1+AX$7)^INDEX($Q440:$AJ440,1,(AX$4-1)*5+1)*(AX310/AW310)^INDEX($Q440:$AJ440,1,(AX$4-1)*5+2)*(AX310/AW310)^(INDEX($Q440:$AJ440,1,(AX$4-1)*5+3)*(1+INDEX($Q440:$AJ440,1,(AX$4-1)*5+2)))</f>
        <v/>
      </c>
      <c r="AY440" s="25">
        <f>AX440*(1/(1+INDEX($Q440:$AJ440,1,(AY$4-1)*5+4)))^(1+INDEX($Q440:$AJ440,1,(AY$4-1)*5+2))*(1+AY$7)^INDEX($Q440:$AJ440,1,(AY$4-1)*5+1)*(AY310/AX310)^INDEX($Q440:$AJ440,1,(AY$4-1)*5+2)*(AY310/AX310)^(INDEX($Q440:$AJ440,1,(AY$4-1)*5+3)*(1+INDEX($Q440:$AJ440,1,(AY$4-1)*5+2)))</f>
        <v/>
      </c>
      <c r="BA440" s="24">
        <f>INDEX(EnergyCons!$F$4:$F$5000,MATCH(Settings!$C$4&amp;"|"&amp;BA$5&amp;"|"&amp;$C440&amp;"|"&amp;$B440,EnergyCons!$A$4:$A$5000,0))</f>
        <v/>
      </c>
      <c r="BB440" s="25">
        <f>BA440*(1/(1+INDEX($Q440:$AJ440,1,(BB$4-1)*5+4)))^(1+INDEX($Q440:$AJ440,1,(BB$4-1)*5+2))*(1+BB$7)^INDEX($Q440:$AJ440,1,(BB$4-1)*5+1)*(BB310/BA310)^INDEX($Q440:$AJ440,1,(BB$4-1)*5+2)*(BB310/BA310)^(INDEX($Q440:$AJ440,1,(BB$4-1)*5+3)*(1+INDEX($Q440:$AJ440,1,(BB$4-1)*5+2)))</f>
        <v/>
      </c>
      <c r="BC440" s="25">
        <f>BB440*(1/(1+INDEX($Q440:$AJ440,1,(BC$4-1)*5+4)))^(1+INDEX($Q440:$AJ440,1,(BC$4-1)*5+2))*(1+BC$7)^INDEX($Q440:$AJ440,1,(BC$4-1)*5+1)*(BC310/BB310)^INDEX($Q440:$AJ440,1,(BC$4-1)*5+2)*(BC310/BB310)^(INDEX($Q440:$AJ440,1,(BC$4-1)*5+3)*(1+INDEX($Q440:$AJ440,1,(BC$4-1)*5+2)))</f>
        <v/>
      </c>
      <c r="BD440" s="25">
        <f>BC440*(1/(1+INDEX($Q440:$AJ440,1,(BD$4-1)*5+4)))^(1+INDEX($Q440:$AJ440,1,(BD$4-1)*5+2))*(1+BD$7)^INDEX($Q440:$AJ440,1,(BD$4-1)*5+1)*(BD310/BC310)^INDEX($Q440:$AJ440,1,(BD$4-1)*5+2)*(BD310/BC310)^(INDEX($Q440:$AJ440,1,(BD$4-1)*5+3)*(1+INDEX($Q440:$AJ440,1,(BD$4-1)*5+2)))</f>
        <v/>
      </c>
      <c r="BE440" s="25">
        <f>BD440*(1/(1+INDEX($Q440:$AJ440,1,(BE$4-1)*5+4)))^(1+INDEX($Q440:$AJ440,1,(BE$4-1)*5+2))*(1+BE$7)^INDEX($Q440:$AJ440,1,(BE$4-1)*5+1)*(BE310/BD310)^INDEX($Q440:$AJ440,1,(BE$4-1)*5+2)*(BE310/BD310)^(INDEX($Q440:$AJ440,1,(BE$4-1)*5+3)*(1+INDEX($Q440:$AJ440,1,(BE$4-1)*5+2)))</f>
        <v/>
      </c>
      <c r="BF440" s="25">
        <f>BE440*(1/(1+INDEX($Q440:$AJ440,1,(BF$4-1)*5+4)))^(1+INDEX($Q440:$AJ440,1,(BF$4-1)*5+2))*(1+BF$7)^INDEX($Q440:$AJ440,1,(BF$4-1)*5+1)*(BF310/BE310)^INDEX($Q440:$AJ440,1,(BF$4-1)*5+2)*(BF310/BE310)^(INDEX($Q440:$AJ440,1,(BF$4-1)*5+3)*(1+INDEX($Q440:$AJ440,1,(BF$4-1)*5+2)))</f>
        <v/>
      </c>
      <c r="BG440" s="25">
        <f>BF440*(1/(1+INDEX($Q440:$AJ440,1,(BG$4-1)*5+4)))^(1+INDEX($Q440:$AJ440,1,(BG$4-1)*5+2))*(1+BG$7)^INDEX($Q440:$AJ440,1,(BG$4-1)*5+1)*(BG310/BF310)^INDEX($Q440:$AJ440,1,(BG$4-1)*5+2)*(BG310/BF310)^(INDEX($Q440:$AJ440,1,(BG$4-1)*5+3)*(1+INDEX($Q440:$AJ440,1,(BG$4-1)*5+2)))</f>
        <v/>
      </c>
      <c r="BH440" s="25">
        <f>BG440*(1/(1+INDEX($Q440:$AJ440,1,(BH$4-1)*5+4)))^(1+INDEX($Q440:$AJ440,1,(BH$4-1)*5+2))*(1+BH$7)^INDEX($Q440:$AJ440,1,(BH$4-1)*5+1)*(BH310/BG310)^INDEX($Q440:$AJ440,1,(BH$4-1)*5+2)*(BH310/BG310)^(INDEX($Q440:$AJ440,1,(BH$4-1)*5+3)*(1+INDEX($Q440:$AJ440,1,(BH$4-1)*5+2)))</f>
        <v/>
      </c>
      <c r="BI440" s="25">
        <f>BH440*(1/(1+INDEX($Q440:$AJ440,1,(BI$4-1)*5+4)))^(1+INDEX($Q440:$AJ440,1,(BI$4-1)*5+2))*(1+BI$7)^INDEX($Q440:$AJ440,1,(BI$4-1)*5+1)*(BI310/BH310)^INDEX($Q440:$AJ440,1,(BI$4-1)*5+2)*(BI310/BH310)^(INDEX($Q440:$AJ440,1,(BI$4-1)*5+3)*(1+INDEX($Q440:$AJ440,1,(BI$4-1)*5+2)))</f>
        <v/>
      </c>
      <c r="BJ440" s="25">
        <f>BI440*(1/(1+INDEX($Q440:$AJ440,1,(BJ$4-1)*5+4)))^(1+INDEX($Q440:$AJ440,1,(BJ$4-1)*5+2))*(1+BJ$7)^INDEX($Q440:$AJ440,1,(BJ$4-1)*5+1)*(BJ310/BI310)^INDEX($Q440:$AJ440,1,(BJ$4-1)*5+2)*(BJ310/BI310)^(INDEX($Q440:$AJ440,1,(BJ$4-1)*5+3)*(1+INDEX($Q440:$AJ440,1,(BJ$4-1)*5+2)))</f>
        <v/>
      </c>
      <c r="BK440" s="25">
        <f>BJ440*(1/(1+INDEX($Q440:$AJ440,1,(BK$4-1)*5+4)))^(1+INDEX($Q440:$AJ440,1,(BK$4-1)*5+2))*(1+BK$7)^INDEX($Q440:$AJ440,1,(BK$4-1)*5+1)*(BK310/BJ310)^INDEX($Q440:$AJ440,1,(BK$4-1)*5+2)*(BK310/BJ310)^(INDEX($Q440:$AJ440,1,(BK$4-1)*5+3)*(1+INDEX($Q440:$AJ440,1,(BK$4-1)*5+2)))</f>
        <v/>
      </c>
      <c r="BL440" s="25">
        <f>BK440*(1/(1+INDEX($Q440:$AJ440,1,(BL$4-1)*5+4)))^(1+INDEX($Q440:$AJ440,1,(BL$4-1)*5+2))*(1+BL$7)^INDEX($Q440:$AJ440,1,(BL$4-1)*5+1)*(BL310/BK310)^INDEX($Q440:$AJ440,1,(BL$4-1)*5+2)*(BL310/BK310)^(INDEX($Q440:$AJ440,1,(BL$4-1)*5+3)*(1+INDEX($Q440:$AJ440,1,(BL$4-1)*5+2)))</f>
        <v/>
      </c>
      <c r="BM440" s="25">
        <f>BL440*(1/(1+INDEX($Q440:$AJ440,1,(BM$4-1)*5+4)))^(1+INDEX($Q440:$AJ440,1,(BM$4-1)*5+2))*(1+BM$7)^INDEX($Q440:$AJ440,1,(BM$4-1)*5+1)*(BM310/BL310)^INDEX($Q440:$AJ440,1,(BM$4-1)*5+2)*(BM310/BL310)^(INDEX($Q440:$AJ440,1,(BM$4-1)*5+3)*(1+INDEX($Q440:$AJ440,1,(BM$4-1)*5+2)))</f>
        <v/>
      </c>
      <c r="BN440" s="25">
        <f>BM440*(1/(1+INDEX($Q440:$AJ440,1,(BN$4-1)*5+4)))^(1+INDEX($Q440:$AJ440,1,(BN$4-1)*5+2))*(1+BN$7)^INDEX($Q440:$AJ440,1,(BN$4-1)*5+1)*(BN310/BM310)^INDEX($Q440:$AJ440,1,(BN$4-1)*5+2)*(BN310/BM310)^(INDEX($Q440:$AJ440,1,(BN$4-1)*5+3)*(1+INDEX($Q440:$AJ440,1,(BN$4-1)*5+2)))</f>
        <v/>
      </c>
    </row>
    <row r="441">
      <c r="B441" s="5" t="inlineStr">
        <is>
          <t>coa</t>
        </is>
      </c>
      <c r="C441" s="5" t="inlineStr">
        <is>
          <t>foo</t>
        </is>
      </c>
      <c r="D441" s="5" t="inlineStr">
        <is>
          <t>Fuel use | Food &amp; forestry | Coal</t>
        </is>
      </c>
      <c r="E441" s="5" t="inlineStr">
        <is>
          <t>ktoe</t>
        </is>
      </c>
      <c r="F441" s="5" t="inlineStr">
        <is>
          <t>EnergyCons (base year), Elasticities</t>
        </is>
      </c>
      <c r="G441" s="19" t="inlineStr">
        <is>
          <t>mit.enc.coa.foo</t>
        </is>
      </c>
      <c r="H441" s="19" t="inlineStr">
        <is>
          <t>mit.enc.coa.foo</t>
        </is>
      </c>
      <c r="J441" s="5">
        <f>INDEX(Mapping!$C$5:$C$20,MATCH($C441,Mapping!$A$5:$A$20,0))</f>
        <v/>
      </c>
      <c r="K441" s="5">
        <f>INDEX(Mapping!$D$5:$D$20,MATCH($C441,Mapping!$A$5:$A$20,0))</f>
        <v/>
      </c>
      <c r="L441" s="5">
        <f>INDEX(Mapping!$C$24:$C$31,MATCH($B441,Mapping!$A$24:$A$31,0))</f>
        <v/>
      </c>
      <c r="M441" s="5">
        <f>INDEX(Mapping!$D$24:$D$31,MATCH($B441,Mapping!$A$24:$A$31,0))</f>
        <v/>
      </c>
      <c r="N441" s="5">
        <f>$B441&amp;"."&amp;IF(INDEX(Mapping!$E$24:$E$31,MATCH($B441,Mapping!$A$24:$A$31,0))="sub",INDEX(Mapping!$F$5:$F$20,MATCH($C441,Mapping!$A$5:$A$20,0)),"all")</f>
        <v/>
      </c>
      <c r="O441" s="5">
        <f>INDEX(Mapping!$E$5:$E$20,MATCH($C441,Mapping!$A$5:$A$20,0))</f>
        <v/>
      </c>
      <c r="P441" s="5">
        <f>INDEX(Mapping!$G$24:$G$31,MATCH($B441,Mapping!$A$24:$A$31,0))</f>
        <v/>
      </c>
      <c r="Q441" s="22">
        <f>INDEX(Elasticities!$F$4:$I$200,MATCH("inc|"&amp;$L441&amp;"|"&amp;$K441,Elasticities!$A$4:$A$200,0),MATCH(Settings!$C$6,Elasticities!$F$3:$I$3,0))</f>
        <v/>
      </c>
      <c r="R441" s="22">
        <f>INDEX(Elasticities!$F$4:$I$200,MATCH("usg|"&amp;$L441&amp;"|"&amp;$K441,Elasticities!$A$4:$A$200,0),MATCH(Settings!$C$6,Elasticities!$F$3:$I$3,0))</f>
        <v/>
      </c>
      <c r="S441" s="22">
        <f>INDEX(Elasticities!$F$4:$I$200,MATCH("eff|"&amp;$L441&amp;"|"&amp;$K441,Elasticities!$A$4:$A$200,0),MATCH(Settings!$C$6,Elasticities!$F$3:$I$3,0))</f>
        <v/>
      </c>
      <c r="T441" s="22">
        <f>INDEX(Elasticities!$F$4:$I$200,MATCH("aei|"&amp;$M441&amp;"|"&amp;$K441,Elasticities!$A$4:$A$200,0),MATCH(Settings!$C$6,Elasticities!$F$3:$I$3,0))</f>
        <v/>
      </c>
      <c r="U441" s="21" t="n"/>
      <c r="V441" s="22">
        <f>Q441</f>
        <v/>
      </c>
      <c r="W441" s="22">
        <f>R441</f>
        <v/>
      </c>
      <c r="X441" s="22">
        <f>S441</f>
        <v/>
      </c>
      <c r="Y441" s="22">
        <f>T441</f>
        <v/>
      </c>
      <c r="Z441" s="21" t="n"/>
      <c r="AA441" s="22">
        <f>Q441</f>
        <v/>
      </c>
      <c r="AB441" s="22">
        <f>R441</f>
        <v/>
      </c>
      <c r="AC441" s="22">
        <f>S441</f>
        <v/>
      </c>
      <c r="AD441" s="22">
        <f>T441</f>
        <v/>
      </c>
      <c r="AE441" s="21" t="n"/>
      <c r="AF441" s="22">
        <f>Q441</f>
        <v/>
      </c>
      <c r="AG441" s="22">
        <f>R441</f>
        <v/>
      </c>
      <c r="AH441" s="22">
        <f>S441</f>
        <v/>
      </c>
      <c r="AI441" s="22">
        <f>T441</f>
        <v/>
      </c>
      <c r="AJ441" s="21" t="n"/>
      <c r="AL441" s="24">
        <f>INDEX(EnergyCons!$F$4:$F$5000,MATCH(Settings!$C$4&amp;"|"&amp;AL$5&amp;"|"&amp;$C441&amp;"|"&amp;$B441,EnergyCons!$A$4:$A$5000,0))</f>
        <v/>
      </c>
      <c r="AM441" s="25">
        <f>AL441*(1/(1+INDEX($Q441:$AJ441,1,(AM$4-1)*5+4)))^(1+INDEX($Q441:$AJ441,1,(AM$4-1)*5+2))*(1+AM$7)^INDEX($Q441:$AJ441,1,(AM$4-1)*5+1)*(AM311/AL311)^INDEX($Q441:$AJ441,1,(AM$4-1)*5+2)*(AM311/AL311)^(INDEX($Q441:$AJ441,1,(AM$4-1)*5+3)*(1+INDEX($Q441:$AJ441,1,(AM$4-1)*5+2)))</f>
        <v/>
      </c>
      <c r="AN441" s="25">
        <f>AM441*(1/(1+INDEX($Q441:$AJ441,1,(AN$4-1)*5+4)))^(1+INDEX($Q441:$AJ441,1,(AN$4-1)*5+2))*(1+AN$7)^INDEX($Q441:$AJ441,1,(AN$4-1)*5+1)*(AN311/AM311)^INDEX($Q441:$AJ441,1,(AN$4-1)*5+2)*(AN311/AM311)^(INDEX($Q441:$AJ441,1,(AN$4-1)*5+3)*(1+INDEX($Q441:$AJ441,1,(AN$4-1)*5+2)))</f>
        <v/>
      </c>
      <c r="AO441" s="25">
        <f>AN441*(1/(1+INDEX($Q441:$AJ441,1,(AO$4-1)*5+4)))^(1+INDEX($Q441:$AJ441,1,(AO$4-1)*5+2))*(1+AO$7)^INDEX($Q441:$AJ441,1,(AO$4-1)*5+1)*(AO311/AN311)^INDEX($Q441:$AJ441,1,(AO$4-1)*5+2)*(AO311/AN311)^(INDEX($Q441:$AJ441,1,(AO$4-1)*5+3)*(1+INDEX($Q441:$AJ441,1,(AO$4-1)*5+2)))</f>
        <v/>
      </c>
      <c r="AP441" s="25">
        <f>AO441*(1/(1+INDEX($Q441:$AJ441,1,(AP$4-1)*5+4)))^(1+INDEX($Q441:$AJ441,1,(AP$4-1)*5+2))*(1+AP$7)^INDEX($Q441:$AJ441,1,(AP$4-1)*5+1)*(AP311/AO311)^INDEX($Q441:$AJ441,1,(AP$4-1)*5+2)*(AP311/AO311)^(INDEX($Q441:$AJ441,1,(AP$4-1)*5+3)*(1+INDEX($Q441:$AJ441,1,(AP$4-1)*5+2)))</f>
        <v/>
      </c>
      <c r="AQ441" s="25">
        <f>AP441*(1/(1+INDEX($Q441:$AJ441,1,(AQ$4-1)*5+4)))^(1+INDEX($Q441:$AJ441,1,(AQ$4-1)*5+2))*(1+AQ$7)^INDEX($Q441:$AJ441,1,(AQ$4-1)*5+1)*(AQ311/AP311)^INDEX($Q441:$AJ441,1,(AQ$4-1)*5+2)*(AQ311/AP311)^(INDEX($Q441:$AJ441,1,(AQ$4-1)*5+3)*(1+INDEX($Q441:$AJ441,1,(AQ$4-1)*5+2)))</f>
        <v/>
      </c>
      <c r="AR441" s="25">
        <f>AQ441*(1/(1+INDEX($Q441:$AJ441,1,(AR$4-1)*5+4)))^(1+INDEX($Q441:$AJ441,1,(AR$4-1)*5+2))*(1+AR$7)^INDEX($Q441:$AJ441,1,(AR$4-1)*5+1)*(AR311/AQ311)^INDEX($Q441:$AJ441,1,(AR$4-1)*5+2)*(AR311/AQ311)^(INDEX($Q441:$AJ441,1,(AR$4-1)*5+3)*(1+INDEX($Q441:$AJ441,1,(AR$4-1)*5+2)))</f>
        <v/>
      </c>
      <c r="AS441" s="25">
        <f>AR441*(1/(1+INDEX($Q441:$AJ441,1,(AS$4-1)*5+4)))^(1+INDEX($Q441:$AJ441,1,(AS$4-1)*5+2))*(1+AS$7)^INDEX($Q441:$AJ441,1,(AS$4-1)*5+1)*(AS311/AR311)^INDEX($Q441:$AJ441,1,(AS$4-1)*5+2)*(AS311/AR311)^(INDEX($Q441:$AJ441,1,(AS$4-1)*5+3)*(1+INDEX($Q441:$AJ441,1,(AS$4-1)*5+2)))</f>
        <v/>
      </c>
      <c r="AT441" s="25">
        <f>AS441*(1/(1+INDEX($Q441:$AJ441,1,(AT$4-1)*5+4)))^(1+INDEX($Q441:$AJ441,1,(AT$4-1)*5+2))*(1+AT$7)^INDEX($Q441:$AJ441,1,(AT$4-1)*5+1)*(AT311/AS311)^INDEX($Q441:$AJ441,1,(AT$4-1)*5+2)*(AT311/AS311)^(INDEX($Q441:$AJ441,1,(AT$4-1)*5+3)*(1+INDEX($Q441:$AJ441,1,(AT$4-1)*5+2)))</f>
        <v/>
      </c>
      <c r="AU441" s="25">
        <f>AT441*(1/(1+INDEX($Q441:$AJ441,1,(AU$4-1)*5+4)))^(1+INDEX($Q441:$AJ441,1,(AU$4-1)*5+2))*(1+AU$7)^INDEX($Q441:$AJ441,1,(AU$4-1)*5+1)*(AU311/AT311)^INDEX($Q441:$AJ441,1,(AU$4-1)*5+2)*(AU311/AT311)^(INDEX($Q441:$AJ441,1,(AU$4-1)*5+3)*(1+INDEX($Q441:$AJ441,1,(AU$4-1)*5+2)))</f>
        <v/>
      </c>
      <c r="AV441" s="25">
        <f>AU441*(1/(1+INDEX($Q441:$AJ441,1,(AV$4-1)*5+4)))^(1+INDEX($Q441:$AJ441,1,(AV$4-1)*5+2))*(1+AV$7)^INDEX($Q441:$AJ441,1,(AV$4-1)*5+1)*(AV311/AU311)^INDEX($Q441:$AJ441,1,(AV$4-1)*5+2)*(AV311/AU311)^(INDEX($Q441:$AJ441,1,(AV$4-1)*5+3)*(1+INDEX($Q441:$AJ441,1,(AV$4-1)*5+2)))</f>
        <v/>
      </c>
      <c r="AW441" s="25">
        <f>AV441*(1/(1+INDEX($Q441:$AJ441,1,(AW$4-1)*5+4)))^(1+INDEX($Q441:$AJ441,1,(AW$4-1)*5+2))*(1+AW$7)^INDEX($Q441:$AJ441,1,(AW$4-1)*5+1)*(AW311/AV311)^INDEX($Q441:$AJ441,1,(AW$4-1)*5+2)*(AW311/AV311)^(INDEX($Q441:$AJ441,1,(AW$4-1)*5+3)*(1+INDEX($Q441:$AJ441,1,(AW$4-1)*5+2)))</f>
        <v/>
      </c>
      <c r="AX441" s="25">
        <f>AW441*(1/(1+INDEX($Q441:$AJ441,1,(AX$4-1)*5+4)))^(1+INDEX($Q441:$AJ441,1,(AX$4-1)*5+2))*(1+AX$7)^INDEX($Q441:$AJ441,1,(AX$4-1)*5+1)*(AX311/AW311)^INDEX($Q441:$AJ441,1,(AX$4-1)*5+2)*(AX311/AW311)^(INDEX($Q441:$AJ441,1,(AX$4-1)*5+3)*(1+INDEX($Q441:$AJ441,1,(AX$4-1)*5+2)))</f>
        <v/>
      </c>
      <c r="AY441" s="25">
        <f>AX441*(1/(1+INDEX($Q441:$AJ441,1,(AY$4-1)*5+4)))^(1+INDEX($Q441:$AJ441,1,(AY$4-1)*5+2))*(1+AY$7)^INDEX($Q441:$AJ441,1,(AY$4-1)*5+1)*(AY311/AX311)^INDEX($Q441:$AJ441,1,(AY$4-1)*5+2)*(AY311/AX311)^(INDEX($Q441:$AJ441,1,(AY$4-1)*5+3)*(1+INDEX($Q441:$AJ441,1,(AY$4-1)*5+2)))</f>
        <v/>
      </c>
      <c r="BA441" s="24">
        <f>INDEX(EnergyCons!$F$4:$F$5000,MATCH(Settings!$C$4&amp;"|"&amp;BA$5&amp;"|"&amp;$C441&amp;"|"&amp;$B441,EnergyCons!$A$4:$A$5000,0))</f>
        <v/>
      </c>
      <c r="BB441" s="25">
        <f>BA441*(1/(1+INDEX($Q441:$AJ441,1,(BB$4-1)*5+4)))^(1+INDEX($Q441:$AJ441,1,(BB$4-1)*5+2))*(1+BB$7)^INDEX($Q441:$AJ441,1,(BB$4-1)*5+1)*(BB311/BA311)^INDEX($Q441:$AJ441,1,(BB$4-1)*5+2)*(BB311/BA311)^(INDEX($Q441:$AJ441,1,(BB$4-1)*5+3)*(1+INDEX($Q441:$AJ441,1,(BB$4-1)*5+2)))</f>
        <v/>
      </c>
      <c r="BC441" s="25">
        <f>BB441*(1/(1+INDEX($Q441:$AJ441,1,(BC$4-1)*5+4)))^(1+INDEX($Q441:$AJ441,1,(BC$4-1)*5+2))*(1+BC$7)^INDEX($Q441:$AJ441,1,(BC$4-1)*5+1)*(BC311/BB311)^INDEX($Q441:$AJ441,1,(BC$4-1)*5+2)*(BC311/BB311)^(INDEX($Q441:$AJ441,1,(BC$4-1)*5+3)*(1+INDEX($Q441:$AJ441,1,(BC$4-1)*5+2)))</f>
        <v/>
      </c>
      <c r="BD441" s="25">
        <f>BC441*(1/(1+INDEX($Q441:$AJ441,1,(BD$4-1)*5+4)))^(1+INDEX($Q441:$AJ441,1,(BD$4-1)*5+2))*(1+BD$7)^INDEX($Q441:$AJ441,1,(BD$4-1)*5+1)*(BD311/BC311)^INDEX($Q441:$AJ441,1,(BD$4-1)*5+2)*(BD311/BC311)^(INDEX($Q441:$AJ441,1,(BD$4-1)*5+3)*(1+INDEX($Q441:$AJ441,1,(BD$4-1)*5+2)))</f>
        <v/>
      </c>
      <c r="BE441" s="25">
        <f>BD441*(1/(1+INDEX($Q441:$AJ441,1,(BE$4-1)*5+4)))^(1+INDEX($Q441:$AJ441,1,(BE$4-1)*5+2))*(1+BE$7)^INDEX($Q441:$AJ441,1,(BE$4-1)*5+1)*(BE311/BD311)^INDEX($Q441:$AJ441,1,(BE$4-1)*5+2)*(BE311/BD311)^(INDEX($Q441:$AJ441,1,(BE$4-1)*5+3)*(1+INDEX($Q441:$AJ441,1,(BE$4-1)*5+2)))</f>
        <v/>
      </c>
      <c r="BF441" s="25">
        <f>BE441*(1/(1+INDEX($Q441:$AJ441,1,(BF$4-1)*5+4)))^(1+INDEX($Q441:$AJ441,1,(BF$4-1)*5+2))*(1+BF$7)^INDEX($Q441:$AJ441,1,(BF$4-1)*5+1)*(BF311/BE311)^INDEX($Q441:$AJ441,1,(BF$4-1)*5+2)*(BF311/BE311)^(INDEX($Q441:$AJ441,1,(BF$4-1)*5+3)*(1+INDEX($Q441:$AJ441,1,(BF$4-1)*5+2)))</f>
        <v/>
      </c>
      <c r="BG441" s="25">
        <f>BF441*(1/(1+INDEX($Q441:$AJ441,1,(BG$4-1)*5+4)))^(1+INDEX($Q441:$AJ441,1,(BG$4-1)*5+2))*(1+BG$7)^INDEX($Q441:$AJ441,1,(BG$4-1)*5+1)*(BG311/BF311)^INDEX($Q441:$AJ441,1,(BG$4-1)*5+2)*(BG311/BF311)^(INDEX($Q441:$AJ441,1,(BG$4-1)*5+3)*(1+INDEX($Q441:$AJ441,1,(BG$4-1)*5+2)))</f>
        <v/>
      </c>
      <c r="BH441" s="25">
        <f>BG441*(1/(1+INDEX($Q441:$AJ441,1,(BH$4-1)*5+4)))^(1+INDEX($Q441:$AJ441,1,(BH$4-1)*5+2))*(1+BH$7)^INDEX($Q441:$AJ441,1,(BH$4-1)*5+1)*(BH311/BG311)^INDEX($Q441:$AJ441,1,(BH$4-1)*5+2)*(BH311/BG311)^(INDEX($Q441:$AJ441,1,(BH$4-1)*5+3)*(1+INDEX($Q441:$AJ441,1,(BH$4-1)*5+2)))</f>
        <v/>
      </c>
      <c r="BI441" s="25">
        <f>BH441*(1/(1+INDEX($Q441:$AJ441,1,(BI$4-1)*5+4)))^(1+INDEX($Q441:$AJ441,1,(BI$4-1)*5+2))*(1+BI$7)^INDEX($Q441:$AJ441,1,(BI$4-1)*5+1)*(BI311/BH311)^INDEX($Q441:$AJ441,1,(BI$4-1)*5+2)*(BI311/BH311)^(INDEX($Q441:$AJ441,1,(BI$4-1)*5+3)*(1+INDEX($Q441:$AJ441,1,(BI$4-1)*5+2)))</f>
        <v/>
      </c>
      <c r="BJ441" s="25">
        <f>BI441*(1/(1+INDEX($Q441:$AJ441,1,(BJ$4-1)*5+4)))^(1+INDEX($Q441:$AJ441,1,(BJ$4-1)*5+2))*(1+BJ$7)^INDEX($Q441:$AJ441,1,(BJ$4-1)*5+1)*(BJ311/BI311)^INDEX($Q441:$AJ441,1,(BJ$4-1)*5+2)*(BJ311/BI311)^(INDEX($Q441:$AJ441,1,(BJ$4-1)*5+3)*(1+INDEX($Q441:$AJ441,1,(BJ$4-1)*5+2)))</f>
        <v/>
      </c>
      <c r="BK441" s="25">
        <f>BJ441*(1/(1+INDEX($Q441:$AJ441,1,(BK$4-1)*5+4)))^(1+INDEX($Q441:$AJ441,1,(BK$4-1)*5+2))*(1+BK$7)^INDEX($Q441:$AJ441,1,(BK$4-1)*5+1)*(BK311/BJ311)^INDEX($Q441:$AJ441,1,(BK$4-1)*5+2)*(BK311/BJ311)^(INDEX($Q441:$AJ441,1,(BK$4-1)*5+3)*(1+INDEX($Q441:$AJ441,1,(BK$4-1)*5+2)))</f>
        <v/>
      </c>
      <c r="BL441" s="25">
        <f>BK441*(1/(1+INDEX($Q441:$AJ441,1,(BL$4-1)*5+4)))^(1+INDEX($Q441:$AJ441,1,(BL$4-1)*5+2))*(1+BL$7)^INDEX($Q441:$AJ441,1,(BL$4-1)*5+1)*(BL311/BK311)^INDEX($Q441:$AJ441,1,(BL$4-1)*5+2)*(BL311/BK311)^(INDEX($Q441:$AJ441,1,(BL$4-1)*5+3)*(1+INDEX($Q441:$AJ441,1,(BL$4-1)*5+2)))</f>
        <v/>
      </c>
      <c r="BM441" s="25">
        <f>BL441*(1/(1+INDEX($Q441:$AJ441,1,(BM$4-1)*5+4)))^(1+INDEX($Q441:$AJ441,1,(BM$4-1)*5+2))*(1+BM$7)^INDEX($Q441:$AJ441,1,(BM$4-1)*5+1)*(BM311/BL311)^INDEX($Q441:$AJ441,1,(BM$4-1)*5+2)*(BM311/BL311)^(INDEX($Q441:$AJ441,1,(BM$4-1)*5+3)*(1+INDEX($Q441:$AJ441,1,(BM$4-1)*5+2)))</f>
        <v/>
      </c>
      <c r="BN441" s="25">
        <f>BM441*(1/(1+INDEX($Q441:$AJ441,1,(BN$4-1)*5+4)))^(1+INDEX($Q441:$AJ441,1,(BN$4-1)*5+2))*(1+BN$7)^INDEX($Q441:$AJ441,1,(BN$4-1)*5+1)*(BN311/BM311)^INDEX($Q441:$AJ441,1,(BN$4-1)*5+2)*(BN311/BM311)^(INDEX($Q441:$AJ441,1,(BN$4-1)*5+3)*(1+INDEX($Q441:$AJ441,1,(BN$4-1)*5+2)))</f>
        <v/>
      </c>
    </row>
    <row r="442">
      <c r="B442" s="5" t="inlineStr">
        <is>
          <t>nga</t>
        </is>
      </c>
      <c r="C442" s="5" t="inlineStr">
        <is>
          <t>foo</t>
        </is>
      </c>
      <c r="D442" s="5" t="inlineStr">
        <is>
          <t>Fuel use | Food &amp; forestry | Natural gas</t>
        </is>
      </c>
      <c r="E442" s="5" t="inlineStr">
        <is>
          <t>ktoe</t>
        </is>
      </c>
      <c r="F442" s="5" t="inlineStr">
        <is>
          <t>EnergyCons (base year), Elasticities</t>
        </is>
      </c>
      <c r="G442" s="19" t="inlineStr">
        <is>
          <t>mit.enc.nga.foo</t>
        </is>
      </c>
      <c r="H442" s="19" t="inlineStr">
        <is>
          <t>mit.enc.nga.foo</t>
        </is>
      </c>
      <c r="J442" s="5">
        <f>INDEX(Mapping!$C$5:$C$20,MATCH($C442,Mapping!$A$5:$A$20,0))</f>
        <v/>
      </c>
      <c r="K442" s="5">
        <f>INDEX(Mapping!$D$5:$D$20,MATCH($C442,Mapping!$A$5:$A$20,0))</f>
        <v/>
      </c>
      <c r="L442" s="5">
        <f>INDEX(Mapping!$C$24:$C$31,MATCH($B442,Mapping!$A$24:$A$31,0))</f>
        <v/>
      </c>
      <c r="M442" s="5">
        <f>INDEX(Mapping!$D$24:$D$31,MATCH($B442,Mapping!$A$24:$A$31,0))</f>
        <v/>
      </c>
      <c r="N442" s="5">
        <f>$B442&amp;"."&amp;IF(INDEX(Mapping!$E$24:$E$31,MATCH($B442,Mapping!$A$24:$A$31,0))="sub",INDEX(Mapping!$F$5:$F$20,MATCH($C442,Mapping!$A$5:$A$20,0)),"all")</f>
        <v/>
      </c>
      <c r="O442" s="5">
        <f>INDEX(Mapping!$E$5:$E$20,MATCH($C442,Mapping!$A$5:$A$20,0))</f>
        <v/>
      </c>
      <c r="P442" s="5">
        <f>INDEX(Mapping!$G$24:$G$31,MATCH($B442,Mapping!$A$24:$A$31,0))</f>
        <v/>
      </c>
      <c r="Q442" s="22">
        <f>INDEX(Elasticities!$F$4:$I$200,MATCH("inc|"&amp;$L442&amp;"|"&amp;$K442,Elasticities!$A$4:$A$200,0),MATCH(Settings!$C$6,Elasticities!$F$3:$I$3,0))</f>
        <v/>
      </c>
      <c r="R442" s="22">
        <f>INDEX(Elasticities!$F$4:$I$200,MATCH("usg|"&amp;$L442&amp;"|"&amp;$K442,Elasticities!$A$4:$A$200,0),MATCH(Settings!$C$6,Elasticities!$F$3:$I$3,0))</f>
        <v/>
      </c>
      <c r="S442" s="22">
        <f>INDEX(Elasticities!$F$4:$I$200,MATCH("eff|"&amp;$L442&amp;"|"&amp;$K442,Elasticities!$A$4:$A$200,0),MATCH(Settings!$C$6,Elasticities!$F$3:$I$3,0))</f>
        <v/>
      </c>
      <c r="T442" s="22">
        <f>INDEX(Elasticities!$F$4:$I$200,MATCH("aei|"&amp;$M442&amp;"|"&amp;$K442,Elasticities!$A$4:$A$200,0),MATCH(Settings!$C$6,Elasticities!$F$3:$I$3,0))</f>
        <v/>
      </c>
      <c r="U442" s="21" t="n"/>
      <c r="V442" s="22">
        <f>Q442</f>
        <v/>
      </c>
      <c r="W442" s="22">
        <f>R442</f>
        <v/>
      </c>
      <c r="X442" s="22">
        <f>S442</f>
        <v/>
      </c>
      <c r="Y442" s="22">
        <f>T442</f>
        <v/>
      </c>
      <c r="Z442" s="21" t="n"/>
      <c r="AA442" s="22">
        <f>Q442</f>
        <v/>
      </c>
      <c r="AB442" s="22">
        <f>R442</f>
        <v/>
      </c>
      <c r="AC442" s="22">
        <f>S442</f>
        <v/>
      </c>
      <c r="AD442" s="22">
        <f>T442</f>
        <v/>
      </c>
      <c r="AE442" s="21" t="n"/>
      <c r="AF442" s="22">
        <f>Q442</f>
        <v/>
      </c>
      <c r="AG442" s="22">
        <f>R442</f>
        <v/>
      </c>
      <c r="AH442" s="22">
        <f>S442</f>
        <v/>
      </c>
      <c r="AI442" s="22">
        <f>T442</f>
        <v/>
      </c>
      <c r="AJ442" s="21" t="n"/>
      <c r="AL442" s="24">
        <f>INDEX(EnergyCons!$F$4:$F$5000,MATCH(Settings!$C$4&amp;"|"&amp;AL$5&amp;"|"&amp;$C442&amp;"|"&amp;$B442,EnergyCons!$A$4:$A$5000,0))</f>
        <v/>
      </c>
      <c r="AM442" s="25">
        <f>AL442*(1/(1+INDEX($Q442:$AJ442,1,(AM$4-1)*5+4)))^(1+INDEX($Q442:$AJ442,1,(AM$4-1)*5+2))*(1+AM$7)^INDEX($Q442:$AJ442,1,(AM$4-1)*5+1)*(AM312/AL312)^INDEX($Q442:$AJ442,1,(AM$4-1)*5+2)*(AM312/AL312)^(INDEX($Q442:$AJ442,1,(AM$4-1)*5+3)*(1+INDEX($Q442:$AJ442,1,(AM$4-1)*5+2)))</f>
        <v/>
      </c>
      <c r="AN442" s="25">
        <f>AM442*(1/(1+INDEX($Q442:$AJ442,1,(AN$4-1)*5+4)))^(1+INDEX($Q442:$AJ442,1,(AN$4-1)*5+2))*(1+AN$7)^INDEX($Q442:$AJ442,1,(AN$4-1)*5+1)*(AN312/AM312)^INDEX($Q442:$AJ442,1,(AN$4-1)*5+2)*(AN312/AM312)^(INDEX($Q442:$AJ442,1,(AN$4-1)*5+3)*(1+INDEX($Q442:$AJ442,1,(AN$4-1)*5+2)))</f>
        <v/>
      </c>
      <c r="AO442" s="25">
        <f>AN442*(1/(1+INDEX($Q442:$AJ442,1,(AO$4-1)*5+4)))^(1+INDEX($Q442:$AJ442,1,(AO$4-1)*5+2))*(1+AO$7)^INDEX($Q442:$AJ442,1,(AO$4-1)*5+1)*(AO312/AN312)^INDEX($Q442:$AJ442,1,(AO$4-1)*5+2)*(AO312/AN312)^(INDEX($Q442:$AJ442,1,(AO$4-1)*5+3)*(1+INDEX($Q442:$AJ442,1,(AO$4-1)*5+2)))</f>
        <v/>
      </c>
      <c r="AP442" s="25">
        <f>AO442*(1/(1+INDEX($Q442:$AJ442,1,(AP$4-1)*5+4)))^(1+INDEX($Q442:$AJ442,1,(AP$4-1)*5+2))*(1+AP$7)^INDEX($Q442:$AJ442,1,(AP$4-1)*5+1)*(AP312/AO312)^INDEX($Q442:$AJ442,1,(AP$4-1)*5+2)*(AP312/AO312)^(INDEX($Q442:$AJ442,1,(AP$4-1)*5+3)*(1+INDEX($Q442:$AJ442,1,(AP$4-1)*5+2)))</f>
        <v/>
      </c>
      <c r="AQ442" s="25">
        <f>AP442*(1/(1+INDEX($Q442:$AJ442,1,(AQ$4-1)*5+4)))^(1+INDEX($Q442:$AJ442,1,(AQ$4-1)*5+2))*(1+AQ$7)^INDEX($Q442:$AJ442,1,(AQ$4-1)*5+1)*(AQ312/AP312)^INDEX($Q442:$AJ442,1,(AQ$4-1)*5+2)*(AQ312/AP312)^(INDEX($Q442:$AJ442,1,(AQ$4-1)*5+3)*(1+INDEX($Q442:$AJ442,1,(AQ$4-1)*5+2)))</f>
        <v/>
      </c>
      <c r="AR442" s="25">
        <f>AQ442*(1/(1+INDEX($Q442:$AJ442,1,(AR$4-1)*5+4)))^(1+INDEX($Q442:$AJ442,1,(AR$4-1)*5+2))*(1+AR$7)^INDEX($Q442:$AJ442,1,(AR$4-1)*5+1)*(AR312/AQ312)^INDEX($Q442:$AJ442,1,(AR$4-1)*5+2)*(AR312/AQ312)^(INDEX($Q442:$AJ442,1,(AR$4-1)*5+3)*(1+INDEX($Q442:$AJ442,1,(AR$4-1)*5+2)))</f>
        <v/>
      </c>
      <c r="AS442" s="25">
        <f>AR442*(1/(1+INDEX($Q442:$AJ442,1,(AS$4-1)*5+4)))^(1+INDEX($Q442:$AJ442,1,(AS$4-1)*5+2))*(1+AS$7)^INDEX($Q442:$AJ442,1,(AS$4-1)*5+1)*(AS312/AR312)^INDEX($Q442:$AJ442,1,(AS$4-1)*5+2)*(AS312/AR312)^(INDEX($Q442:$AJ442,1,(AS$4-1)*5+3)*(1+INDEX($Q442:$AJ442,1,(AS$4-1)*5+2)))</f>
        <v/>
      </c>
      <c r="AT442" s="25">
        <f>AS442*(1/(1+INDEX($Q442:$AJ442,1,(AT$4-1)*5+4)))^(1+INDEX($Q442:$AJ442,1,(AT$4-1)*5+2))*(1+AT$7)^INDEX($Q442:$AJ442,1,(AT$4-1)*5+1)*(AT312/AS312)^INDEX($Q442:$AJ442,1,(AT$4-1)*5+2)*(AT312/AS312)^(INDEX($Q442:$AJ442,1,(AT$4-1)*5+3)*(1+INDEX($Q442:$AJ442,1,(AT$4-1)*5+2)))</f>
        <v/>
      </c>
      <c r="AU442" s="25">
        <f>AT442*(1/(1+INDEX($Q442:$AJ442,1,(AU$4-1)*5+4)))^(1+INDEX($Q442:$AJ442,1,(AU$4-1)*5+2))*(1+AU$7)^INDEX($Q442:$AJ442,1,(AU$4-1)*5+1)*(AU312/AT312)^INDEX($Q442:$AJ442,1,(AU$4-1)*5+2)*(AU312/AT312)^(INDEX($Q442:$AJ442,1,(AU$4-1)*5+3)*(1+INDEX($Q442:$AJ442,1,(AU$4-1)*5+2)))</f>
        <v/>
      </c>
      <c r="AV442" s="25">
        <f>AU442*(1/(1+INDEX($Q442:$AJ442,1,(AV$4-1)*5+4)))^(1+INDEX($Q442:$AJ442,1,(AV$4-1)*5+2))*(1+AV$7)^INDEX($Q442:$AJ442,1,(AV$4-1)*5+1)*(AV312/AU312)^INDEX($Q442:$AJ442,1,(AV$4-1)*5+2)*(AV312/AU312)^(INDEX($Q442:$AJ442,1,(AV$4-1)*5+3)*(1+INDEX($Q442:$AJ442,1,(AV$4-1)*5+2)))</f>
        <v/>
      </c>
      <c r="AW442" s="25">
        <f>AV442*(1/(1+INDEX($Q442:$AJ442,1,(AW$4-1)*5+4)))^(1+INDEX($Q442:$AJ442,1,(AW$4-1)*5+2))*(1+AW$7)^INDEX($Q442:$AJ442,1,(AW$4-1)*5+1)*(AW312/AV312)^INDEX($Q442:$AJ442,1,(AW$4-1)*5+2)*(AW312/AV312)^(INDEX($Q442:$AJ442,1,(AW$4-1)*5+3)*(1+INDEX($Q442:$AJ442,1,(AW$4-1)*5+2)))</f>
        <v/>
      </c>
      <c r="AX442" s="25">
        <f>AW442*(1/(1+INDEX($Q442:$AJ442,1,(AX$4-1)*5+4)))^(1+INDEX($Q442:$AJ442,1,(AX$4-1)*5+2))*(1+AX$7)^INDEX($Q442:$AJ442,1,(AX$4-1)*5+1)*(AX312/AW312)^INDEX($Q442:$AJ442,1,(AX$4-1)*5+2)*(AX312/AW312)^(INDEX($Q442:$AJ442,1,(AX$4-1)*5+3)*(1+INDEX($Q442:$AJ442,1,(AX$4-1)*5+2)))</f>
        <v/>
      </c>
      <c r="AY442" s="25">
        <f>AX442*(1/(1+INDEX($Q442:$AJ442,1,(AY$4-1)*5+4)))^(1+INDEX($Q442:$AJ442,1,(AY$4-1)*5+2))*(1+AY$7)^INDEX($Q442:$AJ442,1,(AY$4-1)*5+1)*(AY312/AX312)^INDEX($Q442:$AJ442,1,(AY$4-1)*5+2)*(AY312/AX312)^(INDEX($Q442:$AJ442,1,(AY$4-1)*5+3)*(1+INDEX($Q442:$AJ442,1,(AY$4-1)*5+2)))</f>
        <v/>
      </c>
      <c r="BA442" s="24">
        <f>INDEX(EnergyCons!$F$4:$F$5000,MATCH(Settings!$C$4&amp;"|"&amp;BA$5&amp;"|"&amp;$C442&amp;"|"&amp;$B442,EnergyCons!$A$4:$A$5000,0))</f>
        <v/>
      </c>
      <c r="BB442" s="25">
        <f>BA442*(1/(1+INDEX($Q442:$AJ442,1,(BB$4-1)*5+4)))^(1+INDEX($Q442:$AJ442,1,(BB$4-1)*5+2))*(1+BB$7)^INDEX($Q442:$AJ442,1,(BB$4-1)*5+1)*(BB312/BA312)^INDEX($Q442:$AJ442,1,(BB$4-1)*5+2)*(BB312/BA312)^(INDEX($Q442:$AJ442,1,(BB$4-1)*5+3)*(1+INDEX($Q442:$AJ442,1,(BB$4-1)*5+2)))</f>
        <v/>
      </c>
      <c r="BC442" s="25">
        <f>BB442*(1/(1+INDEX($Q442:$AJ442,1,(BC$4-1)*5+4)))^(1+INDEX($Q442:$AJ442,1,(BC$4-1)*5+2))*(1+BC$7)^INDEX($Q442:$AJ442,1,(BC$4-1)*5+1)*(BC312/BB312)^INDEX($Q442:$AJ442,1,(BC$4-1)*5+2)*(BC312/BB312)^(INDEX($Q442:$AJ442,1,(BC$4-1)*5+3)*(1+INDEX($Q442:$AJ442,1,(BC$4-1)*5+2)))</f>
        <v/>
      </c>
      <c r="BD442" s="25">
        <f>BC442*(1/(1+INDEX($Q442:$AJ442,1,(BD$4-1)*5+4)))^(1+INDEX($Q442:$AJ442,1,(BD$4-1)*5+2))*(1+BD$7)^INDEX($Q442:$AJ442,1,(BD$4-1)*5+1)*(BD312/BC312)^INDEX($Q442:$AJ442,1,(BD$4-1)*5+2)*(BD312/BC312)^(INDEX($Q442:$AJ442,1,(BD$4-1)*5+3)*(1+INDEX($Q442:$AJ442,1,(BD$4-1)*5+2)))</f>
        <v/>
      </c>
      <c r="BE442" s="25">
        <f>BD442*(1/(1+INDEX($Q442:$AJ442,1,(BE$4-1)*5+4)))^(1+INDEX($Q442:$AJ442,1,(BE$4-1)*5+2))*(1+BE$7)^INDEX($Q442:$AJ442,1,(BE$4-1)*5+1)*(BE312/BD312)^INDEX($Q442:$AJ442,1,(BE$4-1)*5+2)*(BE312/BD312)^(INDEX($Q442:$AJ442,1,(BE$4-1)*5+3)*(1+INDEX($Q442:$AJ442,1,(BE$4-1)*5+2)))</f>
        <v/>
      </c>
      <c r="BF442" s="25">
        <f>BE442*(1/(1+INDEX($Q442:$AJ442,1,(BF$4-1)*5+4)))^(1+INDEX($Q442:$AJ442,1,(BF$4-1)*5+2))*(1+BF$7)^INDEX($Q442:$AJ442,1,(BF$4-1)*5+1)*(BF312/BE312)^INDEX($Q442:$AJ442,1,(BF$4-1)*5+2)*(BF312/BE312)^(INDEX($Q442:$AJ442,1,(BF$4-1)*5+3)*(1+INDEX($Q442:$AJ442,1,(BF$4-1)*5+2)))</f>
        <v/>
      </c>
      <c r="BG442" s="25">
        <f>BF442*(1/(1+INDEX($Q442:$AJ442,1,(BG$4-1)*5+4)))^(1+INDEX($Q442:$AJ442,1,(BG$4-1)*5+2))*(1+BG$7)^INDEX($Q442:$AJ442,1,(BG$4-1)*5+1)*(BG312/BF312)^INDEX($Q442:$AJ442,1,(BG$4-1)*5+2)*(BG312/BF312)^(INDEX($Q442:$AJ442,1,(BG$4-1)*5+3)*(1+INDEX($Q442:$AJ442,1,(BG$4-1)*5+2)))</f>
        <v/>
      </c>
      <c r="BH442" s="25">
        <f>BG442*(1/(1+INDEX($Q442:$AJ442,1,(BH$4-1)*5+4)))^(1+INDEX($Q442:$AJ442,1,(BH$4-1)*5+2))*(1+BH$7)^INDEX($Q442:$AJ442,1,(BH$4-1)*5+1)*(BH312/BG312)^INDEX($Q442:$AJ442,1,(BH$4-1)*5+2)*(BH312/BG312)^(INDEX($Q442:$AJ442,1,(BH$4-1)*5+3)*(1+INDEX($Q442:$AJ442,1,(BH$4-1)*5+2)))</f>
        <v/>
      </c>
      <c r="BI442" s="25">
        <f>BH442*(1/(1+INDEX($Q442:$AJ442,1,(BI$4-1)*5+4)))^(1+INDEX($Q442:$AJ442,1,(BI$4-1)*5+2))*(1+BI$7)^INDEX($Q442:$AJ442,1,(BI$4-1)*5+1)*(BI312/BH312)^INDEX($Q442:$AJ442,1,(BI$4-1)*5+2)*(BI312/BH312)^(INDEX($Q442:$AJ442,1,(BI$4-1)*5+3)*(1+INDEX($Q442:$AJ442,1,(BI$4-1)*5+2)))</f>
        <v/>
      </c>
      <c r="BJ442" s="25">
        <f>BI442*(1/(1+INDEX($Q442:$AJ442,1,(BJ$4-1)*5+4)))^(1+INDEX($Q442:$AJ442,1,(BJ$4-1)*5+2))*(1+BJ$7)^INDEX($Q442:$AJ442,1,(BJ$4-1)*5+1)*(BJ312/BI312)^INDEX($Q442:$AJ442,1,(BJ$4-1)*5+2)*(BJ312/BI312)^(INDEX($Q442:$AJ442,1,(BJ$4-1)*5+3)*(1+INDEX($Q442:$AJ442,1,(BJ$4-1)*5+2)))</f>
        <v/>
      </c>
      <c r="BK442" s="25">
        <f>BJ442*(1/(1+INDEX($Q442:$AJ442,1,(BK$4-1)*5+4)))^(1+INDEX($Q442:$AJ442,1,(BK$4-1)*5+2))*(1+BK$7)^INDEX($Q442:$AJ442,1,(BK$4-1)*5+1)*(BK312/BJ312)^INDEX($Q442:$AJ442,1,(BK$4-1)*5+2)*(BK312/BJ312)^(INDEX($Q442:$AJ442,1,(BK$4-1)*5+3)*(1+INDEX($Q442:$AJ442,1,(BK$4-1)*5+2)))</f>
        <v/>
      </c>
      <c r="BL442" s="25">
        <f>BK442*(1/(1+INDEX($Q442:$AJ442,1,(BL$4-1)*5+4)))^(1+INDEX($Q442:$AJ442,1,(BL$4-1)*5+2))*(1+BL$7)^INDEX($Q442:$AJ442,1,(BL$4-1)*5+1)*(BL312/BK312)^INDEX($Q442:$AJ442,1,(BL$4-1)*5+2)*(BL312/BK312)^(INDEX($Q442:$AJ442,1,(BL$4-1)*5+3)*(1+INDEX($Q442:$AJ442,1,(BL$4-1)*5+2)))</f>
        <v/>
      </c>
      <c r="BM442" s="25">
        <f>BL442*(1/(1+INDEX($Q442:$AJ442,1,(BM$4-1)*5+4)))^(1+INDEX($Q442:$AJ442,1,(BM$4-1)*5+2))*(1+BM$7)^INDEX($Q442:$AJ442,1,(BM$4-1)*5+1)*(BM312/BL312)^INDEX($Q442:$AJ442,1,(BM$4-1)*5+2)*(BM312/BL312)^(INDEX($Q442:$AJ442,1,(BM$4-1)*5+3)*(1+INDEX($Q442:$AJ442,1,(BM$4-1)*5+2)))</f>
        <v/>
      </c>
      <c r="BN442" s="25">
        <f>BM442*(1/(1+INDEX($Q442:$AJ442,1,(BN$4-1)*5+4)))^(1+INDEX($Q442:$AJ442,1,(BN$4-1)*5+2))*(1+BN$7)^INDEX($Q442:$AJ442,1,(BN$4-1)*5+1)*(BN312/BM312)^INDEX($Q442:$AJ442,1,(BN$4-1)*5+2)*(BN312/BM312)^(INDEX($Q442:$AJ442,1,(BN$4-1)*5+3)*(1+INDEX($Q442:$AJ442,1,(BN$4-1)*5+2)))</f>
        <v/>
      </c>
    </row>
    <row r="443">
      <c r="B443" s="5" t="inlineStr">
        <is>
          <t>gso</t>
        </is>
      </c>
      <c r="C443" s="5" t="inlineStr">
        <is>
          <t>foo</t>
        </is>
      </c>
      <c r="D443" s="5" t="inlineStr">
        <is>
          <t>Fuel use | Food &amp; forestry | Gasoline</t>
        </is>
      </c>
      <c r="E443" s="5" t="inlineStr">
        <is>
          <t>ktoe</t>
        </is>
      </c>
      <c r="F443" s="5" t="inlineStr">
        <is>
          <t>EnergyCons (base year), Elasticities</t>
        </is>
      </c>
      <c r="G443" s="19" t="inlineStr">
        <is>
          <t>mit.enc.gso.foo</t>
        </is>
      </c>
      <c r="H443" s="19" t="inlineStr">
        <is>
          <t>mit.enc.gso.foo</t>
        </is>
      </c>
      <c r="J443" s="5">
        <f>INDEX(Mapping!$C$5:$C$20,MATCH($C443,Mapping!$A$5:$A$20,0))</f>
        <v/>
      </c>
      <c r="K443" s="5">
        <f>INDEX(Mapping!$D$5:$D$20,MATCH($C443,Mapping!$A$5:$A$20,0))</f>
        <v/>
      </c>
      <c r="L443" s="5">
        <f>INDEX(Mapping!$C$24:$C$31,MATCH($B443,Mapping!$A$24:$A$31,0))</f>
        <v/>
      </c>
      <c r="M443" s="5">
        <f>INDEX(Mapping!$D$24:$D$31,MATCH($B443,Mapping!$A$24:$A$31,0))</f>
        <v/>
      </c>
      <c r="N443" s="5">
        <f>$B443&amp;"."&amp;IF(INDEX(Mapping!$E$24:$E$31,MATCH($B443,Mapping!$A$24:$A$31,0))="sub",INDEX(Mapping!$F$5:$F$20,MATCH($C443,Mapping!$A$5:$A$20,0)),"all")</f>
        <v/>
      </c>
      <c r="O443" s="5">
        <f>INDEX(Mapping!$E$5:$E$20,MATCH($C443,Mapping!$A$5:$A$20,0))</f>
        <v/>
      </c>
      <c r="P443" s="5">
        <f>INDEX(Mapping!$G$24:$G$31,MATCH($B443,Mapping!$A$24:$A$31,0))</f>
        <v/>
      </c>
      <c r="Q443" s="22">
        <f>INDEX(Elasticities!$F$4:$I$200,MATCH("inc|"&amp;$L443&amp;"|"&amp;$K443,Elasticities!$A$4:$A$200,0),MATCH(Settings!$C$6,Elasticities!$F$3:$I$3,0))</f>
        <v/>
      </c>
      <c r="R443" s="22">
        <f>INDEX(Elasticities!$F$4:$I$200,MATCH("usg|"&amp;$L443&amp;"|"&amp;$K443,Elasticities!$A$4:$A$200,0),MATCH(Settings!$C$6,Elasticities!$F$3:$I$3,0))</f>
        <v/>
      </c>
      <c r="S443" s="22">
        <f>INDEX(Elasticities!$F$4:$I$200,MATCH("eff|"&amp;$L443&amp;"|"&amp;$K443,Elasticities!$A$4:$A$200,0),MATCH(Settings!$C$6,Elasticities!$F$3:$I$3,0))</f>
        <v/>
      </c>
      <c r="T443" s="22">
        <f>INDEX(Elasticities!$F$4:$I$200,MATCH("aei|"&amp;$M443&amp;"|"&amp;$K443,Elasticities!$A$4:$A$200,0),MATCH(Settings!$C$6,Elasticities!$F$3:$I$3,0))</f>
        <v/>
      </c>
      <c r="U443" s="21" t="n"/>
      <c r="V443" s="22">
        <f>Q443</f>
        <v/>
      </c>
      <c r="W443" s="22">
        <f>R443</f>
        <v/>
      </c>
      <c r="X443" s="22">
        <f>S443</f>
        <v/>
      </c>
      <c r="Y443" s="22">
        <f>T443</f>
        <v/>
      </c>
      <c r="Z443" s="21" t="n"/>
      <c r="AA443" s="22">
        <f>Q443</f>
        <v/>
      </c>
      <c r="AB443" s="22">
        <f>R443</f>
        <v/>
      </c>
      <c r="AC443" s="22">
        <f>S443</f>
        <v/>
      </c>
      <c r="AD443" s="22">
        <f>T443</f>
        <v/>
      </c>
      <c r="AE443" s="21" t="n"/>
      <c r="AF443" s="22">
        <f>Q443</f>
        <v/>
      </c>
      <c r="AG443" s="22">
        <f>R443</f>
        <v/>
      </c>
      <c r="AH443" s="22">
        <f>S443</f>
        <v/>
      </c>
      <c r="AI443" s="22">
        <f>T443</f>
        <v/>
      </c>
      <c r="AJ443" s="21" t="n"/>
      <c r="AL443" s="24">
        <f>INDEX(EnergyCons!$F$4:$F$5000,MATCH(Settings!$C$4&amp;"|"&amp;AL$5&amp;"|"&amp;$C443&amp;"|"&amp;$B443,EnergyCons!$A$4:$A$5000,0))</f>
        <v/>
      </c>
      <c r="AM443" s="25">
        <f>AL443*(1/(1+INDEX($Q443:$AJ443,1,(AM$4-1)*5+4)))^(1+INDEX($Q443:$AJ443,1,(AM$4-1)*5+2))*(1+AM$7)^INDEX($Q443:$AJ443,1,(AM$4-1)*5+1)*(AM313/AL313)^INDEX($Q443:$AJ443,1,(AM$4-1)*5+2)*(AM313/AL313)^(INDEX($Q443:$AJ443,1,(AM$4-1)*5+3)*(1+INDEX($Q443:$AJ443,1,(AM$4-1)*5+2)))</f>
        <v/>
      </c>
      <c r="AN443" s="25">
        <f>AM443*(1/(1+INDEX($Q443:$AJ443,1,(AN$4-1)*5+4)))^(1+INDEX($Q443:$AJ443,1,(AN$4-1)*5+2))*(1+AN$7)^INDEX($Q443:$AJ443,1,(AN$4-1)*5+1)*(AN313/AM313)^INDEX($Q443:$AJ443,1,(AN$4-1)*5+2)*(AN313/AM313)^(INDEX($Q443:$AJ443,1,(AN$4-1)*5+3)*(1+INDEX($Q443:$AJ443,1,(AN$4-1)*5+2)))</f>
        <v/>
      </c>
      <c r="AO443" s="25">
        <f>AN443*(1/(1+INDEX($Q443:$AJ443,1,(AO$4-1)*5+4)))^(1+INDEX($Q443:$AJ443,1,(AO$4-1)*5+2))*(1+AO$7)^INDEX($Q443:$AJ443,1,(AO$4-1)*5+1)*(AO313/AN313)^INDEX($Q443:$AJ443,1,(AO$4-1)*5+2)*(AO313/AN313)^(INDEX($Q443:$AJ443,1,(AO$4-1)*5+3)*(1+INDEX($Q443:$AJ443,1,(AO$4-1)*5+2)))</f>
        <v/>
      </c>
      <c r="AP443" s="25">
        <f>AO443*(1/(1+INDEX($Q443:$AJ443,1,(AP$4-1)*5+4)))^(1+INDEX($Q443:$AJ443,1,(AP$4-1)*5+2))*(1+AP$7)^INDEX($Q443:$AJ443,1,(AP$4-1)*5+1)*(AP313/AO313)^INDEX($Q443:$AJ443,1,(AP$4-1)*5+2)*(AP313/AO313)^(INDEX($Q443:$AJ443,1,(AP$4-1)*5+3)*(1+INDEX($Q443:$AJ443,1,(AP$4-1)*5+2)))</f>
        <v/>
      </c>
      <c r="AQ443" s="25">
        <f>AP443*(1/(1+INDEX($Q443:$AJ443,1,(AQ$4-1)*5+4)))^(1+INDEX($Q443:$AJ443,1,(AQ$4-1)*5+2))*(1+AQ$7)^INDEX($Q443:$AJ443,1,(AQ$4-1)*5+1)*(AQ313/AP313)^INDEX($Q443:$AJ443,1,(AQ$4-1)*5+2)*(AQ313/AP313)^(INDEX($Q443:$AJ443,1,(AQ$4-1)*5+3)*(1+INDEX($Q443:$AJ443,1,(AQ$4-1)*5+2)))</f>
        <v/>
      </c>
      <c r="AR443" s="25">
        <f>AQ443*(1/(1+INDEX($Q443:$AJ443,1,(AR$4-1)*5+4)))^(1+INDEX($Q443:$AJ443,1,(AR$4-1)*5+2))*(1+AR$7)^INDEX($Q443:$AJ443,1,(AR$4-1)*5+1)*(AR313/AQ313)^INDEX($Q443:$AJ443,1,(AR$4-1)*5+2)*(AR313/AQ313)^(INDEX($Q443:$AJ443,1,(AR$4-1)*5+3)*(1+INDEX($Q443:$AJ443,1,(AR$4-1)*5+2)))</f>
        <v/>
      </c>
      <c r="AS443" s="25">
        <f>AR443*(1/(1+INDEX($Q443:$AJ443,1,(AS$4-1)*5+4)))^(1+INDEX($Q443:$AJ443,1,(AS$4-1)*5+2))*(1+AS$7)^INDEX($Q443:$AJ443,1,(AS$4-1)*5+1)*(AS313/AR313)^INDEX($Q443:$AJ443,1,(AS$4-1)*5+2)*(AS313/AR313)^(INDEX($Q443:$AJ443,1,(AS$4-1)*5+3)*(1+INDEX($Q443:$AJ443,1,(AS$4-1)*5+2)))</f>
        <v/>
      </c>
      <c r="AT443" s="25">
        <f>AS443*(1/(1+INDEX($Q443:$AJ443,1,(AT$4-1)*5+4)))^(1+INDEX($Q443:$AJ443,1,(AT$4-1)*5+2))*(1+AT$7)^INDEX($Q443:$AJ443,1,(AT$4-1)*5+1)*(AT313/AS313)^INDEX($Q443:$AJ443,1,(AT$4-1)*5+2)*(AT313/AS313)^(INDEX($Q443:$AJ443,1,(AT$4-1)*5+3)*(1+INDEX($Q443:$AJ443,1,(AT$4-1)*5+2)))</f>
        <v/>
      </c>
      <c r="AU443" s="25">
        <f>AT443*(1/(1+INDEX($Q443:$AJ443,1,(AU$4-1)*5+4)))^(1+INDEX($Q443:$AJ443,1,(AU$4-1)*5+2))*(1+AU$7)^INDEX($Q443:$AJ443,1,(AU$4-1)*5+1)*(AU313/AT313)^INDEX($Q443:$AJ443,1,(AU$4-1)*5+2)*(AU313/AT313)^(INDEX($Q443:$AJ443,1,(AU$4-1)*5+3)*(1+INDEX($Q443:$AJ443,1,(AU$4-1)*5+2)))</f>
        <v/>
      </c>
      <c r="AV443" s="25">
        <f>AU443*(1/(1+INDEX($Q443:$AJ443,1,(AV$4-1)*5+4)))^(1+INDEX($Q443:$AJ443,1,(AV$4-1)*5+2))*(1+AV$7)^INDEX($Q443:$AJ443,1,(AV$4-1)*5+1)*(AV313/AU313)^INDEX($Q443:$AJ443,1,(AV$4-1)*5+2)*(AV313/AU313)^(INDEX($Q443:$AJ443,1,(AV$4-1)*5+3)*(1+INDEX($Q443:$AJ443,1,(AV$4-1)*5+2)))</f>
        <v/>
      </c>
      <c r="AW443" s="25">
        <f>AV443*(1/(1+INDEX($Q443:$AJ443,1,(AW$4-1)*5+4)))^(1+INDEX($Q443:$AJ443,1,(AW$4-1)*5+2))*(1+AW$7)^INDEX($Q443:$AJ443,1,(AW$4-1)*5+1)*(AW313/AV313)^INDEX($Q443:$AJ443,1,(AW$4-1)*5+2)*(AW313/AV313)^(INDEX($Q443:$AJ443,1,(AW$4-1)*5+3)*(1+INDEX($Q443:$AJ443,1,(AW$4-1)*5+2)))</f>
        <v/>
      </c>
      <c r="AX443" s="25">
        <f>AW443*(1/(1+INDEX($Q443:$AJ443,1,(AX$4-1)*5+4)))^(1+INDEX($Q443:$AJ443,1,(AX$4-1)*5+2))*(1+AX$7)^INDEX($Q443:$AJ443,1,(AX$4-1)*5+1)*(AX313/AW313)^INDEX($Q443:$AJ443,1,(AX$4-1)*5+2)*(AX313/AW313)^(INDEX($Q443:$AJ443,1,(AX$4-1)*5+3)*(1+INDEX($Q443:$AJ443,1,(AX$4-1)*5+2)))</f>
        <v/>
      </c>
      <c r="AY443" s="25">
        <f>AX443*(1/(1+INDEX($Q443:$AJ443,1,(AY$4-1)*5+4)))^(1+INDEX($Q443:$AJ443,1,(AY$4-1)*5+2))*(1+AY$7)^INDEX($Q443:$AJ443,1,(AY$4-1)*5+1)*(AY313/AX313)^INDEX($Q443:$AJ443,1,(AY$4-1)*5+2)*(AY313/AX313)^(INDEX($Q443:$AJ443,1,(AY$4-1)*5+3)*(1+INDEX($Q443:$AJ443,1,(AY$4-1)*5+2)))</f>
        <v/>
      </c>
      <c r="BA443" s="24">
        <f>INDEX(EnergyCons!$F$4:$F$5000,MATCH(Settings!$C$4&amp;"|"&amp;BA$5&amp;"|"&amp;$C443&amp;"|"&amp;$B443,EnergyCons!$A$4:$A$5000,0))</f>
        <v/>
      </c>
      <c r="BB443" s="25">
        <f>BA443*(1/(1+INDEX($Q443:$AJ443,1,(BB$4-1)*5+4)))^(1+INDEX($Q443:$AJ443,1,(BB$4-1)*5+2))*(1+BB$7)^INDEX($Q443:$AJ443,1,(BB$4-1)*5+1)*(BB313/BA313)^INDEX($Q443:$AJ443,1,(BB$4-1)*5+2)*(BB313/BA313)^(INDEX($Q443:$AJ443,1,(BB$4-1)*5+3)*(1+INDEX($Q443:$AJ443,1,(BB$4-1)*5+2)))</f>
        <v/>
      </c>
      <c r="BC443" s="25">
        <f>BB443*(1/(1+INDEX($Q443:$AJ443,1,(BC$4-1)*5+4)))^(1+INDEX($Q443:$AJ443,1,(BC$4-1)*5+2))*(1+BC$7)^INDEX($Q443:$AJ443,1,(BC$4-1)*5+1)*(BC313/BB313)^INDEX($Q443:$AJ443,1,(BC$4-1)*5+2)*(BC313/BB313)^(INDEX($Q443:$AJ443,1,(BC$4-1)*5+3)*(1+INDEX($Q443:$AJ443,1,(BC$4-1)*5+2)))</f>
        <v/>
      </c>
      <c r="BD443" s="25">
        <f>BC443*(1/(1+INDEX($Q443:$AJ443,1,(BD$4-1)*5+4)))^(1+INDEX($Q443:$AJ443,1,(BD$4-1)*5+2))*(1+BD$7)^INDEX($Q443:$AJ443,1,(BD$4-1)*5+1)*(BD313/BC313)^INDEX($Q443:$AJ443,1,(BD$4-1)*5+2)*(BD313/BC313)^(INDEX($Q443:$AJ443,1,(BD$4-1)*5+3)*(1+INDEX($Q443:$AJ443,1,(BD$4-1)*5+2)))</f>
        <v/>
      </c>
      <c r="BE443" s="25">
        <f>BD443*(1/(1+INDEX($Q443:$AJ443,1,(BE$4-1)*5+4)))^(1+INDEX($Q443:$AJ443,1,(BE$4-1)*5+2))*(1+BE$7)^INDEX($Q443:$AJ443,1,(BE$4-1)*5+1)*(BE313/BD313)^INDEX($Q443:$AJ443,1,(BE$4-1)*5+2)*(BE313/BD313)^(INDEX($Q443:$AJ443,1,(BE$4-1)*5+3)*(1+INDEX($Q443:$AJ443,1,(BE$4-1)*5+2)))</f>
        <v/>
      </c>
      <c r="BF443" s="25">
        <f>BE443*(1/(1+INDEX($Q443:$AJ443,1,(BF$4-1)*5+4)))^(1+INDEX($Q443:$AJ443,1,(BF$4-1)*5+2))*(1+BF$7)^INDEX($Q443:$AJ443,1,(BF$4-1)*5+1)*(BF313/BE313)^INDEX($Q443:$AJ443,1,(BF$4-1)*5+2)*(BF313/BE313)^(INDEX($Q443:$AJ443,1,(BF$4-1)*5+3)*(1+INDEX($Q443:$AJ443,1,(BF$4-1)*5+2)))</f>
        <v/>
      </c>
      <c r="BG443" s="25">
        <f>BF443*(1/(1+INDEX($Q443:$AJ443,1,(BG$4-1)*5+4)))^(1+INDEX($Q443:$AJ443,1,(BG$4-1)*5+2))*(1+BG$7)^INDEX($Q443:$AJ443,1,(BG$4-1)*5+1)*(BG313/BF313)^INDEX($Q443:$AJ443,1,(BG$4-1)*5+2)*(BG313/BF313)^(INDEX($Q443:$AJ443,1,(BG$4-1)*5+3)*(1+INDEX($Q443:$AJ443,1,(BG$4-1)*5+2)))</f>
        <v/>
      </c>
      <c r="BH443" s="25">
        <f>BG443*(1/(1+INDEX($Q443:$AJ443,1,(BH$4-1)*5+4)))^(1+INDEX($Q443:$AJ443,1,(BH$4-1)*5+2))*(1+BH$7)^INDEX($Q443:$AJ443,1,(BH$4-1)*5+1)*(BH313/BG313)^INDEX($Q443:$AJ443,1,(BH$4-1)*5+2)*(BH313/BG313)^(INDEX($Q443:$AJ443,1,(BH$4-1)*5+3)*(1+INDEX($Q443:$AJ443,1,(BH$4-1)*5+2)))</f>
        <v/>
      </c>
      <c r="BI443" s="25">
        <f>BH443*(1/(1+INDEX($Q443:$AJ443,1,(BI$4-1)*5+4)))^(1+INDEX($Q443:$AJ443,1,(BI$4-1)*5+2))*(1+BI$7)^INDEX($Q443:$AJ443,1,(BI$4-1)*5+1)*(BI313/BH313)^INDEX($Q443:$AJ443,1,(BI$4-1)*5+2)*(BI313/BH313)^(INDEX($Q443:$AJ443,1,(BI$4-1)*5+3)*(1+INDEX($Q443:$AJ443,1,(BI$4-1)*5+2)))</f>
        <v/>
      </c>
      <c r="BJ443" s="25">
        <f>BI443*(1/(1+INDEX($Q443:$AJ443,1,(BJ$4-1)*5+4)))^(1+INDEX($Q443:$AJ443,1,(BJ$4-1)*5+2))*(1+BJ$7)^INDEX($Q443:$AJ443,1,(BJ$4-1)*5+1)*(BJ313/BI313)^INDEX($Q443:$AJ443,1,(BJ$4-1)*5+2)*(BJ313/BI313)^(INDEX($Q443:$AJ443,1,(BJ$4-1)*5+3)*(1+INDEX($Q443:$AJ443,1,(BJ$4-1)*5+2)))</f>
        <v/>
      </c>
      <c r="BK443" s="25">
        <f>BJ443*(1/(1+INDEX($Q443:$AJ443,1,(BK$4-1)*5+4)))^(1+INDEX($Q443:$AJ443,1,(BK$4-1)*5+2))*(1+BK$7)^INDEX($Q443:$AJ443,1,(BK$4-1)*5+1)*(BK313/BJ313)^INDEX($Q443:$AJ443,1,(BK$4-1)*5+2)*(BK313/BJ313)^(INDEX($Q443:$AJ443,1,(BK$4-1)*5+3)*(1+INDEX($Q443:$AJ443,1,(BK$4-1)*5+2)))</f>
        <v/>
      </c>
      <c r="BL443" s="25">
        <f>BK443*(1/(1+INDEX($Q443:$AJ443,1,(BL$4-1)*5+4)))^(1+INDEX($Q443:$AJ443,1,(BL$4-1)*5+2))*(1+BL$7)^INDEX($Q443:$AJ443,1,(BL$4-1)*5+1)*(BL313/BK313)^INDEX($Q443:$AJ443,1,(BL$4-1)*5+2)*(BL313/BK313)^(INDEX($Q443:$AJ443,1,(BL$4-1)*5+3)*(1+INDEX($Q443:$AJ443,1,(BL$4-1)*5+2)))</f>
        <v/>
      </c>
      <c r="BM443" s="25">
        <f>BL443*(1/(1+INDEX($Q443:$AJ443,1,(BM$4-1)*5+4)))^(1+INDEX($Q443:$AJ443,1,(BM$4-1)*5+2))*(1+BM$7)^INDEX($Q443:$AJ443,1,(BM$4-1)*5+1)*(BM313/BL313)^INDEX($Q443:$AJ443,1,(BM$4-1)*5+2)*(BM313/BL313)^(INDEX($Q443:$AJ443,1,(BM$4-1)*5+3)*(1+INDEX($Q443:$AJ443,1,(BM$4-1)*5+2)))</f>
        <v/>
      </c>
      <c r="BN443" s="25">
        <f>BM443*(1/(1+INDEX($Q443:$AJ443,1,(BN$4-1)*5+4)))^(1+INDEX($Q443:$AJ443,1,(BN$4-1)*5+2))*(1+BN$7)^INDEX($Q443:$AJ443,1,(BN$4-1)*5+1)*(BN313/BM313)^INDEX($Q443:$AJ443,1,(BN$4-1)*5+2)*(BN313/BM313)^(INDEX($Q443:$AJ443,1,(BN$4-1)*5+3)*(1+INDEX($Q443:$AJ443,1,(BN$4-1)*5+2)))</f>
        <v/>
      </c>
    </row>
    <row r="444">
      <c r="B444" s="5" t="inlineStr">
        <is>
          <t>die</t>
        </is>
      </c>
      <c r="C444" s="5" t="inlineStr">
        <is>
          <t>foo</t>
        </is>
      </c>
      <c r="D444" s="5" t="inlineStr">
        <is>
          <t>Fuel use | Food &amp; forestry | Diesel</t>
        </is>
      </c>
      <c r="E444" s="5" t="inlineStr">
        <is>
          <t>ktoe</t>
        </is>
      </c>
      <c r="F444" s="5" t="inlineStr">
        <is>
          <t>EnergyCons (base year), Elasticities</t>
        </is>
      </c>
      <c r="G444" s="19" t="inlineStr">
        <is>
          <t>mit.enc.die.foo</t>
        </is>
      </c>
      <c r="H444" s="19" t="inlineStr">
        <is>
          <t>mit.enc.die.foo</t>
        </is>
      </c>
      <c r="J444" s="5">
        <f>INDEX(Mapping!$C$5:$C$20,MATCH($C444,Mapping!$A$5:$A$20,0))</f>
        <v/>
      </c>
      <c r="K444" s="5">
        <f>INDEX(Mapping!$D$5:$D$20,MATCH($C444,Mapping!$A$5:$A$20,0))</f>
        <v/>
      </c>
      <c r="L444" s="5">
        <f>INDEX(Mapping!$C$24:$C$31,MATCH($B444,Mapping!$A$24:$A$31,0))</f>
        <v/>
      </c>
      <c r="M444" s="5">
        <f>INDEX(Mapping!$D$24:$D$31,MATCH($B444,Mapping!$A$24:$A$31,0))</f>
        <v/>
      </c>
      <c r="N444" s="5">
        <f>$B444&amp;"."&amp;IF(INDEX(Mapping!$E$24:$E$31,MATCH($B444,Mapping!$A$24:$A$31,0))="sub",INDEX(Mapping!$F$5:$F$20,MATCH($C444,Mapping!$A$5:$A$20,0)),"all")</f>
        <v/>
      </c>
      <c r="O444" s="5">
        <f>INDEX(Mapping!$E$5:$E$20,MATCH($C444,Mapping!$A$5:$A$20,0))</f>
        <v/>
      </c>
      <c r="P444" s="5">
        <f>INDEX(Mapping!$G$24:$G$31,MATCH($B444,Mapping!$A$24:$A$31,0))</f>
        <v/>
      </c>
      <c r="Q444" s="22">
        <f>INDEX(Elasticities!$F$4:$I$200,MATCH("inc|"&amp;$L444&amp;"|"&amp;$K444,Elasticities!$A$4:$A$200,0),MATCH(Settings!$C$6,Elasticities!$F$3:$I$3,0))</f>
        <v/>
      </c>
      <c r="R444" s="22">
        <f>INDEX(Elasticities!$F$4:$I$200,MATCH("usg|"&amp;$L444&amp;"|"&amp;$K444,Elasticities!$A$4:$A$200,0),MATCH(Settings!$C$6,Elasticities!$F$3:$I$3,0))</f>
        <v/>
      </c>
      <c r="S444" s="22">
        <f>INDEX(Elasticities!$F$4:$I$200,MATCH("eff|"&amp;$L444&amp;"|"&amp;$K444,Elasticities!$A$4:$A$200,0),MATCH(Settings!$C$6,Elasticities!$F$3:$I$3,0))</f>
        <v/>
      </c>
      <c r="T444" s="22">
        <f>INDEX(Elasticities!$F$4:$I$200,MATCH("aei|"&amp;$M444&amp;"|"&amp;$K444,Elasticities!$A$4:$A$200,0),MATCH(Settings!$C$6,Elasticities!$F$3:$I$3,0))</f>
        <v/>
      </c>
      <c r="U444" s="21" t="n"/>
      <c r="V444" s="22">
        <f>Q444</f>
        <v/>
      </c>
      <c r="W444" s="22">
        <f>R444</f>
        <v/>
      </c>
      <c r="X444" s="22">
        <f>S444</f>
        <v/>
      </c>
      <c r="Y444" s="22">
        <f>T444</f>
        <v/>
      </c>
      <c r="Z444" s="21" t="n"/>
      <c r="AA444" s="22">
        <f>Q444</f>
        <v/>
      </c>
      <c r="AB444" s="22">
        <f>R444</f>
        <v/>
      </c>
      <c r="AC444" s="22">
        <f>S444</f>
        <v/>
      </c>
      <c r="AD444" s="22">
        <f>T444</f>
        <v/>
      </c>
      <c r="AE444" s="21" t="n"/>
      <c r="AF444" s="22">
        <f>Q444</f>
        <v/>
      </c>
      <c r="AG444" s="22">
        <f>R444</f>
        <v/>
      </c>
      <c r="AH444" s="22">
        <f>S444</f>
        <v/>
      </c>
      <c r="AI444" s="22">
        <f>T444</f>
        <v/>
      </c>
      <c r="AJ444" s="21" t="n"/>
      <c r="AL444" s="24">
        <f>INDEX(EnergyCons!$F$4:$F$5000,MATCH(Settings!$C$4&amp;"|"&amp;AL$5&amp;"|"&amp;$C444&amp;"|"&amp;$B444,EnergyCons!$A$4:$A$5000,0))</f>
        <v/>
      </c>
      <c r="AM444" s="25">
        <f>AL444*(1/(1+INDEX($Q444:$AJ444,1,(AM$4-1)*5+4)))^(1+INDEX($Q444:$AJ444,1,(AM$4-1)*5+2))*(1+AM$7)^INDEX($Q444:$AJ444,1,(AM$4-1)*5+1)*(AM314/AL314)^INDEX($Q444:$AJ444,1,(AM$4-1)*5+2)*(AM314/AL314)^(INDEX($Q444:$AJ444,1,(AM$4-1)*5+3)*(1+INDEX($Q444:$AJ444,1,(AM$4-1)*5+2)))</f>
        <v/>
      </c>
      <c r="AN444" s="25">
        <f>AM444*(1/(1+INDEX($Q444:$AJ444,1,(AN$4-1)*5+4)))^(1+INDEX($Q444:$AJ444,1,(AN$4-1)*5+2))*(1+AN$7)^INDEX($Q444:$AJ444,1,(AN$4-1)*5+1)*(AN314/AM314)^INDEX($Q444:$AJ444,1,(AN$4-1)*5+2)*(AN314/AM314)^(INDEX($Q444:$AJ444,1,(AN$4-1)*5+3)*(1+INDEX($Q444:$AJ444,1,(AN$4-1)*5+2)))</f>
        <v/>
      </c>
      <c r="AO444" s="25">
        <f>AN444*(1/(1+INDEX($Q444:$AJ444,1,(AO$4-1)*5+4)))^(1+INDEX($Q444:$AJ444,1,(AO$4-1)*5+2))*(1+AO$7)^INDEX($Q444:$AJ444,1,(AO$4-1)*5+1)*(AO314/AN314)^INDEX($Q444:$AJ444,1,(AO$4-1)*5+2)*(AO314/AN314)^(INDEX($Q444:$AJ444,1,(AO$4-1)*5+3)*(1+INDEX($Q444:$AJ444,1,(AO$4-1)*5+2)))</f>
        <v/>
      </c>
      <c r="AP444" s="25">
        <f>AO444*(1/(1+INDEX($Q444:$AJ444,1,(AP$4-1)*5+4)))^(1+INDEX($Q444:$AJ444,1,(AP$4-1)*5+2))*(1+AP$7)^INDEX($Q444:$AJ444,1,(AP$4-1)*5+1)*(AP314/AO314)^INDEX($Q444:$AJ444,1,(AP$4-1)*5+2)*(AP314/AO314)^(INDEX($Q444:$AJ444,1,(AP$4-1)*5+3)*(1+INDEX($Q444:$AJ444,1,(AP$4-1)*5+2)))</f>
        <v/>
      </c>
      <c r="AQ444" s="25">
        <f>AP444*(1/(1+INDEX($Q444:$AJ444,1,(AQ$4-1)*5+4)))^(1+INDEX($Q444:$AJ444,1,(AQ$4-1)*5+2))*(1+AQ$7)^INDEX($Q444:$AJ444,1,(AQ$4-1)*5+1)*(AQ314/AP314)^INDEX($Q444:$AJ444,1,(AQ$4-1)*5+2)*(AQ314/AP314)^(INDEX($Q444:$AJ444,1,(AQ$4-1)*5+3)*(1+INDEX($Q444:$AJ444,1,(AQ$4-1)*5+2)))</f>
        <v/>
      </c>
      <c r="AR444" s="25">
        <f>AQ444*(1/(1+INDEX($Q444:$AJ444,1,(AR$4-1)*5+4)))^(1+INDEX($Q444:$AJ444,1,(AR$4-1)*5+2))*(1+AR$7)^INDEX($Q444:$AJ444,1,(AR$4-1)*5+1)*(AR314/AQ314)^INDEX($Q444:$AJ444,1,(AR$4-1)*5+2)*(AR314/AQ314)^(INDEX($Q444:$AJ444,1,(AR$4-1)*5+3)*(1+INDEX($Q444:$AJ444,1,(AR$4-1)*5+2)))</f>
        <v/>
      </c>
      <c r="AS444" s="25">
        <f>AR444*(1/(1+INDEX($Q444:$AJ444,1,(AS$4-1)*5+4)))^(1+INDEX($Q444:$AJ444,1,(AS$4-1)*5+2))*(1+AS$7)^INDEX($Q444:$AJ444,1,(AS$4-1)*5+1)*(AS314/AR314)^INDEX($Q444:$AJ444,1,(AS$4-1)*5+2)*(AS314/AR314)^(INDEX($Q444:$AJ444,1,(AS$4-1)*5+3)*(1+INDEX($Q444:$AJ444,1,(AS$4-1)*5+2)))</f>
        <v/>
      </c>
      <c r="AT444" s="25">
        <f>AS444*(1/(1+INDEX($Q444:$AJ444,1,(AT$4-1)*5+4)))^(1+INDEX($Q444:$AJ444,1,(AT$4-1)*5+2))*(1+AT$7)^INDEX($Q444:$AJ444,1,(AT$4-1)*5+1)*(AT314/AS314)^INDEX($Q444:$AJ444,1,(AT$4-1)*5+2)*(AT314/AS314)^(INDEX($Q444:$AJ444,1,(AT$4-1)*5+3)*(1+INDEX($Q444:$AJ444,1,(AT$4-1)*5+2)))</f>
        <v/>
      </c>
      <c r="AU444" s="25">
        <f>AT444*(1/(1+INDEX($Q444:$AJ444,1,(AU$4-1)*5+4)))^(1+INDEX($Q444:$AJ444,1,(AU$4-1)*5+2))*(1+AU$7)^INDEX($Q444:$AJ444,1,(AU$4-1)*5+1)*(AU314/AT314)^INDEX($Q444:$AJ444,1,(AU$4-1)*5+2)*(AU314/AT314)^(INDEX($Q444:$AJ444,1,(AU$4-1)*5+3)*(1+INDEX($Q444:$AJ444,1,(AU$4-1)*5+2)))</f>
        <v/>
      </c>
      <c r="AV444" s="25">
        <f>AU444*(1/(1+INDEX($Q444:$AJ444,1,(AV$4-1)*5+4)))^(1+INDEX($Q444:$AJ444,1,(AV$4-1)*5+2))*(1+AV$7)^INDEX($Q444:$AJ444,1,(AV$4-1)*5+1)*(AV314/AU314)^INDEX($Q444:$AJ444,1,(AV$4-1)*5+2)*(AV314/AU314)^(INDEX($Q444:$AJ444,1,(AV$4-1)*5+3)*(1+INDEX($Q444:$AJ444,1,(AV$4-1)*5+2)))</f>
        <v/>
      </c>
      <c r="AW444" s="25">
        <f>AV444*(1/(1+INDEX($Q444:$AJ444,1,(AW$4-1)*5+4)))^(1+INDEX($Q444:$AJ444,1,(AW$4-1)*5+2))*(1+AW$7)^INDEX($Q444:$AJ444,1,(AW$4-1)*5+1)*(AW314/AV314)^INDEX($Q444:$AJ444,1,(AW$4-1)*5+2)*(AW314/AV314)^(INDEX($Q444:$AJ444,1,(AW$4-1)*5+3)*(1+INDEX($Q444:$AJ444,1,(AW$4-1)*5+2)))</f>
        <v/>
      </c>
      <c r="AX444" s="25">
        <f>AW444*(1/(1+INDEX($Q444:$AJ444,1,(AX$4-1)*5+4)))^(1+INDEX($Q444:$AJ444,1,(AX$4-1)*5+2))*(1+AX$7)^INDEX($Q444:$AJ444,1,(AX$4-1)*5+1)*(AX314/AW314)^INDEX($Q444:$AJ444,1,(AX$4-1)*5+2)*(AX314/AW314)^(INDEX($Q444:$AJ444,1,(AX$4-1)*5+3)*(1+INDEX($Q444:$AJ444,1,(AX$4-1)*5+2)))</f>
        <v/>
      </c>
      <c r="AY444" s="25">
        <f>AX444*(1/(1+INDEX($Q444:$AJ444,1,(AY$4-1)*5+4)))^(1+INDEX($Q444:$AJ444,1,(AY$4-1)*5+2))*(1+AY$7)^INDEX($Q444:$AJ444,1,(AY$4-1)*5+1)*(AY314/AX314)^INDEX($Q444:$AJ444,1,(AY$4-1)*5+2)*(AY314/AX314)^(INDEX($Q444:$AJ444,1,(AY$4-1)*5+3)*(1+INDEX($Q444:$AJ444,1,(AY$4-1)*5+2)))</f>
        <v/>
      </c>
      <c r="BA444" s="24">
        <f>INDEX(EnergyCons!$F$4:$F$5000,MATCH(Settings!$C$4&amp;"|"&amp;BA$5&amp;"|"&amp;$C444&amp;"|"&amp;$B444,EnergyCons!$A$4:$A$5000,0))</f>
        <v/>
      </c>
      <c r="BB444" s="25">
        <f>BA444*(1/(1+INDEX($Q444:$AJ444,1,(BB$4-1)*5+4)))^(1+INDEX($Q444:$AJ444,1,(BB$4-1)*5+2))*(1+BB$7)^INDEX($Q444:$AJ444,1,(BB$4-1)*5+1)*(BB314/BA314)^INDEX($Q444:$AJ444,1,(BB$4-1)*5+2)*(BB314/BA314)^(INDEX($Q444:$AJ444,1,(BB$4-1)*5+3)*(1+INDEX($Q444:$AJ444,1,(BB$4-1)*5+2)))</f>
        <v/>
      </c>
      <c r="BC444" s="25">
        <f>BB444*(1/(1+INDEX($Q444:$AJ444,1,(BC$4-1)*5+4)))^(1+INDEX($Q444:$AJ444,1,(BC$4-1)*5+2))*(1+BC$7)^INDEX($Q444:$AJ444,1,(BC$4-1)*5+1)*(BC314/BB314)^INDEX($Q444:$AJ444,1,(BC$4-1)*5+2)*(BC314/BB314)^(INDEX($Q444:$AJ444,1,(BC$4-1)*5+3)*(1+INDEX($Q444:$AJ444,1,(BC$4-1)*5+2)))</f>
        <v/>
      </c>
      <c r="BD444" s="25">
        <f>BC444*(1/(1+INDEX($Q444:$AJ444,1,(BD$4-1)*5+4)))^(1+INDEX($Q444:$AJ444,1,(BD$4-1)*5+2))*(1+BD$7)^INDEX($Q444:$AJ444,1,(BD$4-1)*5+1)*(BD314/BC314)^INDEX($Q444:$AJ444,1,(BD$4-1)*5+2)*(BD314/BC314)^(INDEX($Q444:$AJ444,1,(BD$4-1)*5+3)*(1+INDEX($Q444:$AJ444,1,(BD$4-1)*5+2)))</f>
        <v/>
      </c>
      <c r="BE444" s="25">
        <f>BD444*(1/(1+INDEX($Q444:$AJ444,1,(BE$4-1)*5+4)))^(1+INDEX($Q444:$AJ444,1,(BE$4-1)*5+2))*(1+BE$7)^INDEX($Q444:$AJ444,1,(BE$4-1)*5+1)*(BE314/BD314)^INDEX($Q444:$AJ444,1,(BE$4-1)*5+2)*(BE314/BD314)^(INDEX($Q444:$AJ444,1,(BE$4-1)*5+3)*(1+INDEX($Q444:$AJ444,1,(BE$4-1)*5+2)))</f>
        <v/>
      </c>
      <c r="BF444" s="25">
        <f>BE444*(1/(1+INDEX($Q444:$AJ444,1,(BF$4-1)*5+4)))^(1+INDEX($Q444:$AJ444,1,(BF$4-1)*5+2))*(1+BF$7)^INDEX($Q444:$AJ444,1,(BF$4-1)*5+1)*(BF314/BE314)^INDEX($Q444:$AJ444,1,(BF$4-1)*5+2)*(BF314/BE314)^(INDEX($Q444:$AJ444,1,(BF$4-1)*5+3)*(1+INDEX($Q444:$AJ444,1,(BF$4-1)*5+2)))</f>
        <v/>
      </c>
      <c r="BG444" s="25">
        <f>BF444*(1/(1+INDEX($Q444:$AJ444,1,(BG$4-1)*5+4)))^(1+INDEX($Q444:$AJ444,1,(BG$4-1)*5+2))*(1+BG$7)^INDEX($Q444:$AJ444,1,(BG$4-1)*5+1)*(BG314/BF314)^INDEX($Q444:$AJ444,1,(BG$4-1)*5+2)*(BG314/BF314)^(INDEX($Q444:$AJ444,1,(BG$4-1)*5+3)*(1+INDEX($Q444:$AJ444,1,(BG$4-1)*5+2)))</f>
        <v/>
      </c>
      <c r="BH444" s="25">
        <f>BG444*(1/(1+INDEX($Q444:$AJ444,1,(BH$4-1)*5+4)))^(1+INDEX($Q444:$AJ444,1,(BH$4-1)*5+2))*(1+BH$7)^INDEX($Q444:$AJ444,1,(BH$4-1)*5+1)*(BH314/BG314)^INDEX($Q444:$AJ444,1,(BH$4-1)*5+2)*(BH314/BG314)^(INDEX($Q444:$AJ444,1,(BH$4-1)*5+3)*(1+INDEX($Q444:$AJ444,1,(BH$4-1)*5+2)))</f>
        <v/>
      </c>
      <c r="BI444" s="25">
        <f>BH444*(1/(1+INDEX($Q444:$AJ444,1,(BI$4-1)*5+4)))^(1+INDEX($Q444:$AJ444,1,(BI$4-1)*5+2))*(1+BI$7)^INDEX($Q444:$AJ444,1,(BI$4-1)*5+1)*(BI314/BH314)^INDEX($Q444:$AJ444,1,(BI$4-1)*5+2)*(BI314/BH314)^(INDEX($Q444:$AJ444,1,(BI$4-1)*5+3)*(1+INDEX($Q444:$AJ444,1,(BI$4-1)*5+2)))</f>
        <v/>
      </c>
      <c r="BJ444" s="25">
        <f>BI444*(1/(1+INDEX($Q444:$AJ444,1,(BJ$4-1)*5+4)))^(1+INDEX($Q444:$AJ444,1,(BJ$4-1)*5+2))*(1+BJ$7)^INDEX($Q444:$AJ444,1,(BJ$4-1)*5+1)*(BJ314/BI314)^INDEX($Q444:$AJ444,1,(BJ$4-1)*5+2)*(BJ314/BI314)^(INDEX($Q444:$AJ444,1,(BJ$4-1)*5+3)*(1+INDEX($Q444:$AJ444,1,(BJ$4-1)*5+2)))</f>
        <v/>
      </c>
      <c r="BK444" s="25">
        <f>BJ444*(1/(1+INDEX($Q444:$AJ444,1,(BK$4-1)*5+4)))^(1+INDEX($Q444:$AJ444,1,(BK$4-1)*5+2))*(1+BK$7)^INDEX($Q444:$AJ444,1,(BK$4-1)*5+1)*(BK314/BJ314)^INDEX($Q444:$AJ444,1,(BK$4-1)*5+2)*(BK314/BJ314)^(INDEX($Q444:$AJ444,1,(BK$4-1)*5+3)*(1+INDEX($Q444:$AJ444,1,(BK$4-1)*5+2)))</f>
        <v/>
      </c>
      <c r="BL444" s="25">
        <f>BK444*(1/(1+INDEX($Q444:$AJ444,1,(BL$4-1)*5+4)))^(1+INDEX($Q444:$AJ444,1,(BL$4-1)*5+2))*(1+BL$7)^INDEX($Q444:$AJ444,1,(BL$4-1)*5+1)*(BL314/BK314)^INDEX($Q444:$AJ444,1,(BL$4-1)*5+2)*(BL314/BK314)^(INDEX($Q444:$AJ444,1,(BL$4-1)*5+3)*(1+INDEX($Q444:$AJ444,1,(BL$4-1)*5+2)))</f>
        <v/>
      </c>
      <c r="BM444" s="25">
        <f>BL444*(1/(1+INDEX($Q444:$AJ444,1,(BM$4-1)*5+4)))^(1+INDEX($Q444:$AJ444,1,(BM$4-1)*5+2))*(1+BM$7)^INDEX($Q444:$AJ444,1,(BM$4-1)*5+1)*(BM314/BL314)^INDEX($Q444:$AJ444,1,(BM$4-1)*5+2)*(BM314/BL314)^(INDEX($Q444:$AJ444,1,(BM$4-1)*5+3)*(1+INDEX($Q444:$AJ444,1,(BM$4-1)*5+2)))</f>
        <v/>
      </c>
      <c r="BN444" s="25">
        <f>BM444*(1/(1+INDEX($Q444:$AJ444,1,(BN$4-1)*5+4)))^(1+INDEX($Q444:$AJ444,1,(BN$4-1)*5+2))*(1+BN$7)^INDEX($Q444:$AJ444,1,(BN$4-1)*5+1)*(BN314/BM314)^INDEX($Q444:$AJ444,1,(BN$4-1)*5+2)*(BN314/BM314)^(INDEX($Q444:$AJ444,1,(BN$4-1)*5+3)*(1+INDEX($Q444:$AJ444,1,(BN$4-1)*5+2)))</f>
        <v/>
      </c>
    </row>
    <row r="445">
      <c r="B445" s="5" t="inlineStr">
        <is>
          <t>lpg</t>
        </is>
      </c>
      <c r="C445" s="5" t="inlineStr">
        <is>
          <t>foo</t>
        </is>
      </c>
      <c r="D445" s="5" t="inlineStr">
        <is>
          <t>Fuel use | Food &amp; forestry | LPG</t>
        </is>
      </c>
      <c r="E445" s="5" t="inlineStr">
        <is>
          <t>ktoe</t>
        </is>
      </c>
      <c r="F445" s="5" t="inlineStr">
        <is>
          <t>EnergyCons (base year), Elasticities</t>
        </is>
      </c>
      <c r="G445" s="19" t="inlineStr">
        <is>
          <t>mit.enc.lpg.foo</t>
        </is>
      </c>
      <c r="H445" s="19" t="inlineStr">
        <is>
          <t>mit.enc.lpg.foo</t>
        </is>
      </c>
      <c r="J445" s="5">
        <f>INDEX(Mapping!$C$5:$C$20,MATCH($C445,Mapping!$A$5:$A$20,0))</f>
        <v/>
      </c>
      <c r="K445" s="5">
        <f>INDEX(Mapping!$D$5:$D$20,MATCH($C445,Mapping!$A$5:$A$20,0))</f>
        <v/>
      </c>
      <c r="L445" s="5">
        <f>INDEX(Mapping!$C$24:$C$31,MATCH($B445,Mapping!$A$24:$A$31,0))</f>
        <v/>
      </c>
      <c r="M445" s="5">
        <f>INDEX(Mapping!$D$24:$D$31,MATCH($B445,Mapping!$A$24:$A$31,0))</f>
        <v/>
      </c>
      <c r="N445" s="5">
        <f>$B445&amp;"."&amp;IF(INDEX(Mapping!$E$24:$E$31,MATCH($B445,Mapping!$A$24:$A$31,0))="sub",INDEX(Mapping!$F$5:$F$20,MATCH($C445,Mapping!$A$5:$A$20,0)),"all")</f>
        <v/>
      </c>
      <c r="O445" s="5">
        <f>INDEX(Mapping!$E$5:$E$20,MATCH($C445,Mapping!$A$5:$A$20,0))</f>
        <v/>
      </c>
      <c r="P445" s="5">
        <f>INDEX(Mapping!$G$24:$G$31,MATCH($B445,Mapping!$A$24:$A$31,0))</f>
        <v/>
      </c>
      <c r="Q445" s="22">
        <f>INDEX(Elasticities!$F$4:$I$200,MATCH("inc|"&amp;$L445&amp;"|"&amp;$K445,Elasticities!$A$4:$A$200,0),MATCH(Settings!$C$6,Elasticities!$F$3:$I$3,0))</f>
        <v/>
      </c>
      <c r="R445" s="22">
        <f>INDEX(Elasticities!$F$4:$I$200,MATCH("usg|"&amp;$L445&amp;"|"&amp;$K445,Elasticities!$A$4:$A$200,0),MATCH(Settings!$C$6,Elasticities!$F$3:$I$3,0))</f>
        <v/>
      </c>
      <c r="S445" s="22">
        <f>INDEX(Elasticities!$F$4:$I$200,MATCH("eff|"&amp;$L445&amp;"|"&amp;$K445,Elasticities!$A$4:$A$200,0),MATCH(Settings!$C$6,Elasticities!$F$3:$I$3,0))</f>
        <v/>
      </c>
      <c r="T445" s="22">
        <f>INDEX(Elasticities!$F$4:$I$200,MATCH("aei|"&amp;$M445&amp;"|"&amp;$K445,Elasticities!$A$4:$A$200,0),MATCH(Settings!$C$6,Elasticities!$F$3:$I$3,0))</f>
        <v/>
      </c>
      <c r="U445" s="21" t="n"/>
      <c r="V445" s="22">
        <f>Q445</f>
        <v/>
      </c>
      <c r="W445" s="22">
        <f>R445</f>
        <v/>
      </c>
      <c r="X445" s="22">
        <f>S445</f>
        <v/>
      </c>
      <c r="Y445" s="22">
        <f>T445</f>
        <v/>
      </c>
      <c r="Z445" s="21" t="n"/>
      <c r="AA445" s="22">
        <f>Q445</f>
        <v/>
      </c>
      <c r="AB445" s="22">
        <f>R445</f>
        <v/>
      </c>
      <c r="AC445" s="22">
        <f>S445</f>
        <v/>
      </c>
      <c r="AD445" s="22">
        <f>T445</f>
        <v/>
      </c>
      <c r="AE445" s="21" t="n"/>
      <c r="AF445" s="22">
        <f>Q445</f>
        <v/>
      </c>
      <c r="AG445" s="22">
        <f>R445</f>
        <v/>
      </c>
      <c r="AH445" s="22">
        <f>S445</f>
        <v/>
      </c>
      <c r="AI445" s="22">
        <f>T445</f>
        <v/>
      </c>
      <c r="AJ445" s="21" t="n"/>
      <c r="AL445" s="24">
        <f>INDEX(EnergyCons!$F$4:$F$5000,MATCH(Settings!$C$4&amp;"|"&amp;AL$5&amp;"|"&amp;$C445&amp;"|"&amp;$B445,EnergyCons!$A$4:$A$5000,0))</f>
        <v/>
      </c>
      <c r="AM445" s="25">
        <f>AL445*(1/(1+INDEX($Q445:$AJ445,1,(AM$4-1)*5+4)))^(1+INDEX($Q445:$AJ445,1,(AM$4-1)*5+2))*(1+AM$7)^INDEX($Q445:$AJ445,1,(AM$4-1)*5+1)*(AM315/AL315)^INDEX($Q445:$AJ445,1,(AM$4-1)*5+2)*(AM315/AL315)^(INDEX($Q445:$AJ445,1,(AM$4-1)*5+3)*(1+INDEX($Q445:$AJ445,1,(AM$4-1)*5+2)))</f>
        <v/>
      </c>
      <c r="AN445" s="25">
        <f>AM445*(1/(1+INDEX($Q445:$AJ445,1,(AN$4-1)*5+4)))^(1+INDEX($Q445:$AJ445,1,(AN$4-1)*5+2))*(1+AN$7)^INDEX($Q445:$AJ445,1,(AN$4-1)*5+1)*(AN315/AM315)^INDEX($Q445:$AJ445,1,(AN$4-1)*5+2)*(AN315/AM315)^(INDEX($Q445:$AJ445,1,(AN$4-1)*5+3)*(1+INDEX($Q445:$AJ445,1,(AN$4-1)*5+2)))</f>
        <v/>
      </c>
      <c r="AO445" s="25">
        <f>AN445*(1/(1+INDEX($Q445:$AJ445,1,(AO$4-1)*5+4)))^(1+INDEX($Q445:$AJ445,1,(AO$4-1)*5+2))*(1+AO$7)^INDEX($Q445:$AJ445,1,(AO$4-1)*5+1)*(AO315/AN315)^INDEX($Q445:$AJ445,1,(AO$4-1)*5+2)*(AO315/AN315)^(INDEX($Q445:$AJ445,1,(AO$4-1)*5+3)*(1+INDEX($Q445:$AJ445,1,(AO$4-1)*5+2)))</f>
        <v/>
      </c>
      <c r="AP445" s="25">
        <f>AO445*(1/(1+INDEX($Q445:$AJ445,1,(AP$4-1)*5+4)))^(1+INDEX($Q445:$AJ445,1,(AP$4-1)*5+2))*(1+AP$7)^INDEX($Q445:$AJ445,1,(AP$4-1)*5+1)*(AP315/AO315)^INDEX($Q445:$AJ445,1,(AP$4-1)*5+2)*(AP315/AO315)^(INDEX($Q445:$AJ445,1,(AP$4-1)*5+3)*(1+INDEX($Q445:$AJ445,1,(AP$4-1)*5+2)))</f>
        <v/>
      </c>
      <c r="AQ445" s="25">
        <f>AP445*(1/(1+INDEX($Q445:$AJ445,1,(AQ$4-1)*5+4)))^(1+INDEX($Q445:$AJ445,1,(AQ$4-1)*5+2))*(1+AQ$7)^INDEX($Q445:$AJ445,1,(AQ$4-1)*5+1)*(AQ315/AP315)^INDEX($Q445:$AJ445,1,(AQ$4-1)*5+2)*(AQ315/AP315)^(INDEX($Q445:$AJ445,1,(AQ$4-1)*5+3)*(1+INDEX($Q445:$AJ445,1,(AQ$4-1)*5+2)))</f>
        <v/>
      </c>
      <c r="AR445" s="25">
        <f>AQ445*(1/(1+INDEX($Q445:$AJ445,1,(AR$4-1)*5+4)))^(1+INDEX($Q445:$AJ445,1,(AR$4-1)*5+2))*(1+AR$7)^INDEX($Q445:$AJ445,1,(AR$4-1)*5+1)*(AR315/AQ315)^INDEX($Q445:$AJ445,1,(AR$4-1)*5+2)*(AR315/AQ315)^(INDEX($Q445:$AJ445,1,(AR$4-1)*5+3)*(1+INDEX($Q445:$AJ445,1,(AR$4-1)*5+2)))</f>
        <v/>
      </c>
      <c r="AS445" s="25">
        <f>AR445*(1/(1+INDEX($Q445:$AJ445,1,(AS$4-1)*5+4)))^(1+INDEX($Q445:$AJ445,1,(AS$4-1)*5+2))*(1+AS$7)^INDEX($Q445:$AJ445,1,(AS$4-1)*5+1)*(AS315/AR315)^INDEX($Q445:$AJ445,1,(AS$4-1)*5+2)*(AS315/AR315)^(INDEX($Q445:$AJ445,1,(AS$4-1)*5+3)*(1+INDEX($Q445:$AJ445,1,(AS$4-1)*5+2)))</f>
        <v/>
      </c>
      <c r="AT445" s="25">
        <f>AS445*(1/(1+INDEX($Q445:$AJ445,1,(AT$4-1)*5+4)))^(1+INDEX($Q445:$AJ445,1,(AT$4-1)*5+2))*(1+AT$7)^INDEX($Q445:$AJ445,1,(AT$4-1)*5+1)*(AT315/AS315)^INDEX($Q445:$AJ445,1,(AT$4-1)*5+2)*(AT315/AS315)^(INDEX($Q445:$AJ445,1,(AT$4-1)*5+3)*(1+INDEX($Q445:$AJ445,1,(AT$4-1)*5+2)))</f>
        <v/>
      </c>
      <c r="AU445" s="25">
        <f>AT445*(1/(1+INDEX($Q445:$AJ445,1,(AU$4-1)*5+4)))^(1+INDEX($Q445:$AJ445,1,(AU$4-1)*5+2))*(1+AU$7)^INDEX($Q445:$AJ445,1,(AU$4-1)*5+1)*(AU315/AT315)^INDEX($Q445:$AJ445,1,(AU$4-1)*5+2)*(AU315/AT315)^(INDEX($Q445:$AJ445,1,(AU$4-1)*5+3)*(1+INDEX($Q445:$AJ445,1,(AU$4-1)*5+2)))</f>
        <v/>
      </c>
      <c r="AV445" s="25">
        <f>AU445*(1/(1+INDEX($Q445:$AJ445,1,(AV$4-1)*5+4)))^(1+INDEX($Q445:$AJ445,1,(AV$4-1)*5+2))*(1+AV$7)^INDEX($Q445:$AJ445,1,(AV$4-1)*5+1)*(AV315/AU315)^INDEX($Q445:$AJ445,1,(AV$4-1)*5+2)*(AV315/AU315)^(INDEX($Q445:$AJ445,1,(AV$4-1)*5+3)*(1+INDEX($Q445:$AJ445,1,(AV$4-1)*5+2)))</f>
        <v/>
      </c>
      <c r="AW445" s="25">
        <f>AV445*(1/(1+INDEX($Q445:$AJ445,1,(AW$4-1)*5+4)))^(1+INDEX($Q445:$AJ445,1,(AW$4-1)*5+2))*(1+AW$7)^INDEX($Q445:$AJ445,1,(AW$4-1)*5+1)*(AW315/AV315)^INDEX($Q445:$AJ445,1,(AW$4-1)*5+2)*(AW315/AV315)^(INDEX($Q445:$AJ445,1,(AW$4-1)*5+3)*(1+INDEX($Q445:$AJ445,1,(AW$4-1)*5+2)))</f>
        <v/>
      </c>
      <c r="AX445" s="25">
        <f>AW445*(1/(1+INDEX($Q445:$AJ445,1,(AX$4-1)*5+4)))^(1+INDEX($Q445:$AJ445,1,(AX$4-1)*5+2))*(1+AX$7)^INDEX($Q445:$AJ445,1,(AX$4-1)*5+1)*(AX315/AW315)^INDEX($Q445:$AJ445,1,(AX$4-1)*5+2)*(AX315/AW315)^(INDEX($Q445:$AJ445,1,(AX$4-1)*5+3)*(1+INDEX($Q445:$AJ445,1,(AX$4-1)*5+2)))</f>
        <v/>
      </c>
      <c r="AY445" s="25">
        <f>AX445*(1/(1+INDEX($Q445:$AJ445,1,(AY$4-1)*5+4)))^(1+INDEX($Q445:$AJ445,1,(AY$4-1)*5+2))*(1+AY$7)^INDEX($Q445:$AJ445,1,(AY$4-1)*5+1)*(AY315/AX315)^INDEX($Q445:$AJ445,1,(AY$4-1)*5+2)*(AY315/AX315)^(INDEX($Q445:$AJ445,1,(AY$4-1)*5+3)*(1+INDEX($Q445:$AJ445,1,(AY$4-1)*5+2)))</f>
        <v/>
      </c>
      <c r="BA445" s="24">
        <f>INDEX(EnergyCons!$F$4:$F$5000,MATCH(Settings!$C$4&amp;"|"&amp;BA$5&amp;"|"&amp;$C445&amp;"|"&amp;$B445,EnergyCons!$A$4:$A$5000,0))</f>
        <v/>
      </c>
      <c r="BB445" s="25">
        <f>BA445*(1/(1+INDEX($Q445:$AJ445,1,(BB$4-1)*5+4)))^(1+INDEX($Q445:$AJ445,1,(BB$4-1)*5+2))*(1+BB$7)^INDEX($Q445:$AJ445,1,(BB$4-1)*5+1)*(BB315/BA315)^INDEX($Q445:$AJ445,1,(BB$4-1)*5+2)*(BB315/BA315)^(INDEX($Q445:$AJ445,1,(BB$4-1)*5+3)*(1+INDEX($Q445:$AJ445,1,(BB$4-1)*5+2)))</f>
        <v/>
      </c>
      <c r="BC445" s="25">
        <f>BB445*(1/(1+INDEX($Q445:$AJ445,1,(BC$4-1)*5+4)))^(1+INDEX($Q445:$AJ445,1,(BC$4-1)*5+2))*(1+BC$7)^INDEX($Q445:$AJ445,1,(BC$4-1)*5+1)*(BC315/BB315)^INDEX($Q445:$AJ445,1,(BC$4-1)*5+2)*(BC315/BB315)^(INDEX($Q445:$AJ445,1,(BC$4-1)*5+3)*(1+INDEX($Q445:$AJ445,1,(BC$4-1)*5+2)))</f>
        <v/>
      </c>
      <c r="BD445" s="25">
        <f>BC445*(1/(1+INDEX($Q445:$AJ445,1,(BD$4-1)*5+4)))^(1+INDEX($Q445:$AJ445,1,(BD$4-1)*5+2))*(1+BD$7)^INDEX($Q445:$AJ445,1,(BD$4-1)*5+1)*(BD315/BC315)^INDEX($Q445:$AJ445,1,(BD$4-1)*5+2)*(BD315/BC315)^(INDEX($Q445:$AJ445,1,(BD$4-1)*5+3)*(1+INDEX($Q445:$AJ445,1,(BD$4-1)*5+2)))</f>
        <v/>
      </c>
      <c r="BE445" s="25">
        <f>BD445*(1/(1+INDEX($Q445:$AJ445,1,(BE$4-1)*5+4)))^(1+INDEX($Q445:$AJ445,1,(BE$4-1)*5+2))*(1+BE$7)^INDEX($Q445:$AJ445,1,(BE$4-1)*5+1)*(BE315/BD315)^INDEX($Q445:$AJ445,1,(BE$4-1)*5+2)*(BE315/BD315)^(INDEX($Q445:$AJ445,1,(BE$4-1)*5+3)*(1+INDEX($Q445:$AJ445,1,(BE$4-1)*5+2)))</f>
        <v/>
      </c>
      <c r="BF445" s="25">
        <f>BE445*(1/(1+INDEX($Q445:$AJ445,1,(BF$4-1)*5+4)))^(1+INDEX($Q445:$AJ445,1,(BF$4-1)*5+2))*(1+BF$7)^INDEX($Q445:$AJ445,1,(BF$4-1)*5+1)*(BF315/BE315)^INDEX($Q445:$AJ445,1,(BF$4-1)*5+2)*(BF315/BE315)^(INDEX($Q445:$AJ445,1,(BF$4-1)*5+3)*(1+INDEX($Q445:$AJ445,1,(BF$4-1)*5+2)))</f>
        <v/>
      </c>
      <c r="BG445" s="25">
        <f>BF445*(1/(1+INDEX($Q445:$AJ445,1,(BG$4-1)*5+4)))^(1+INDEX($Q445:$AJ445,1,(BG$4-1)*5+2))*(1+BG$7)^INDEX($Q445:$AJ445,1,(BG$4-1)*5+1)*(BG315/BF315)^INDEX($Q445:$AJ445,1,(BG$4-1)*5+2)*(BG315/BF315)^(INDEX($Q445:$AJ445,1,(BG$4-1)*5+3)*(1+INDEX($Q445:$AJ445,1,(BG$4-1)*5+2)))</f>
        <v/>
      </c>
      <c r="BH445" s="25">
        <f>BG445*(1/(1+INDEX($Q445:$AJ445,1,(BH$4-1)*5+4)))^(1+INDEX($Q445:$AJ445,1,(BH$4-1)*5+2))*(1+BH$7)^INDEX($Q445:$AJ445,1,(BH$4-1)*5+1)*(BH315/BG315)^INDEX($Q445:$AJ445,1,(BH$4-1)*5+2)*(BH315/BG315)^(INDEX($Q445:$AJ445,1,(BH$4-1)*5+3)*(1+INDEX($Q445:$AJ445,1,(BH$4-1)*5+2)))</f>
        <v/>
      </c>
      <c r="BI445" s="25">
        <f>BH445*(1/(1+INDEX($Q445:$AJ445,1,(BI$4-1)*5+4)))^(1+INDEX($Q445:$AJ445,1,(BI$4-1)*5+2))*(1+BI$7)^INDEX($Q445:$AJ445,1,(BI$4-1)*5+1)*(BI315/BH315)^INDEX($Q445:$AJ445,1,(BI$4-1)*5+2)*(BI315/BH315)^(INDEX($Q445:$AJ445,1,(BI$4-1)*5+3)*(1+INDEX($Q445:$AJ445,1,(BI$4-1)*5+2)))</f>
        <v/>
      </c>
      <c r="BJ445" s="25">
        <f>BI445*(1/(1+INDEX($Q445:$AJ445,1,(BJ$4-1)*5+4)))^(1+INDEX($Q445:$AJ445,1,(BJ$4-1)*5+2))*(1+BJ$7)^INDEX($Q445:$AJ445,1,(BJ$4-1)*5+1)*(BJ315/BI315)^INDEX($Q445:$AJ445,1,(BJ$4-1)*5+2)*(BJ315/BI315)^(INDEX($Q445:$AJ445,1,(BJ$4-1)*5+3)*(1+INDEX($Q445:$AJ445,1,(BJ$4-1)*5+2)))</f>
        <v/>
      </c>
      <c r="BK445" s="25">
        <f>BJ445*(1/(1+INDEX($Q445:$AJ445,1,(BK$4-1)*5+4)))^(1+INDEX($Q445:$AJ445,1,(BK$4-1)*5+2))*(1+BK$7)^INDEX($Q445:$AJ445,1,(BK$4-1)*5+1)*(BK315/BJ315)^INDEX($Q445:$AJ445,1,(BK$4-1)*5+2)*(BK315/BJ315)^(INDEX($Q445:$AJ445,1,(BK$4-1)*5+3)*(1+INDEX($Q445:$AJ445,1,(BK$4-1)*5+2)))</f>
        <v/>
      </c>
      <c r="BL445" s="25">
        <f>BK445*(1/(1+INDEX($Q445:$AJ445,1,(BL$4-1)*5+4)))^(1+INDEX($Q445:$AJ445,1,(BL$4-1)*5+2))*(1+BL$7)^INDEX($Q445:$AJ445,1,(BL$4-1)*5+1)*(BL315/BK315)^INDEX($Q445:$AJ445,1,(BL$4-1)*5+2)*(BL315/BK315)^(INDEX($Q445:$AJ445,1,(BL$4-1)*5+3)*(1+INDEX($Q445:$AJ445,1,(BL$4-1)*5+2)))</f>
        <v/>
      </c>
      <c r="BM445" s="25">
        <f>BL445*(1/(1+INDEX($Q445:$AJ445,1,(BM$4-1)*5+4)))^(1+INDEX($Q445:$AJ445,1,(BM$4-1)*5+2))*(1+BM$7)^INDEX($Q445:$AJ445,1,(BM$4-1)*5+1)*(BM315/BL315)^INDEX($Q445:$AJ445,1,(BM$4-1)*5+2)*(BM315/BL315)^(INDEX($Q445:$AJ445,1,(BM$4-1)*5+3)*(1+INDEX($Q445:$AJ445,1,(BM$4-1)*5+2)))</f>
        <v/>
      </c>
      <c r="BN445" s="25">
        <f>BM445*(1/(1+INDEX($Q445:$AJ445,1,(BN$4-1)*5+4)))^(1+INDEX($Q445:$AJ445,1,(BN$4-1)*5+2))*(1+BN$7)^INDEX($Q445:$AJ445,1,(BN$4-1)*5+1)*(BN315/BM315)^INDEX($Q445:$AJ445,1,(BN$4-1)*5+2)*(BN315/BM315)^(INDEX($Q445:$AJ445,1,(BN$4-1)*5+3)*(1+INDEX($Q445:$AJ445,1,(BN$4-1)*5+2)))</f>
        <v/>
      </c>
    </row>
    <row r="446">
      <c r="B446" s="5" t="inlineStr">
        <is>
          <t>ker</t>
        </is>
      </c>
      <c r="C446" s="5" t="inlineStr">
        <is>
          <t>foo</t>
        </is>
      </c>
      <c r="D446" s="5" t="inlineStr">
        <is>
          <t>Fuel use | Food &amp; forestry | Kerosene</t>
        </is>
      </c>
      <c r="E446" s="5" t="inlineStr">
        <is>
          <t>ktoe</t>
        </is>
      </c>
      <c r="F446" s="5" t="inlineStr">
        <is>
          <t>EnergyCons (base year), Elasticities</t>
        </is>
      </c>
      <c r="G446" s="19" t="inlineStr">
        <is>
          <t>mit.enc.ker.foo</t>
        </is>
      </c>
      <c r="H446" s="19" t="inlineStr">
        <is>
          <t>mit.enc.ker.foo</t>
        </is>
      </c>
      <c r="J446" s="5">
        <f>INDEX(Mapping!$C$5:$C$20,MATCH($C446,Mapping!$A$5:$A$20,0))</f>
        <v/>
      </c>
      <c r="K446" s="5">
        <f>INDEX(Mapping!$D$5:$D$20,MATCH($C446,Mapping!$A$5:$A$20,0))</f>
        <v/>
      </c>
      <c r="L446" s="5">
        <f>INDEX(Mapping!$C$24:$C$31,MATCH($B446,Mapping!$A$24:$A$31,0))</f>
        <v/>
      </c>
      <c r="M446" s="5">
        <f>INDEX(Mapping!$D$24:$D$31,MATCH($B446,Mapping!$A$24:$A$31,0))</f>
        <v/>
      </c>
      <c r="N446" s="5">
        <f>$B446&amp;"."&amp;IF(INDEX(Mapping!$E$24:$E$31,MATCH($B446,Mapping!$A$24:$A$31,0))="sub",INDEX(Mapping!$F$5:$F$20,MATCH($C446,Mapping!$A$5:$A$20,0)),"all")</f>
        <v/>
      </c>
      <c r="O446" s="5">
        <f>INDEX(Mapping!$E$5:$E$20,MATCH($C446,Mapping!$A$5:$A$20,0))</f>
        <v/>
      </c>
      <c r="P446" s="5">
        <f>INDEX(Mapping!$G$24:$G$31,MATCH($B446,Mapping!$A$24:$A$31,0))</f>
        <v/>
      </c>
      <c r="Q446" s="22">
        <f>INDEX(Elasticities!$F$4:$I$200,MATCH("inc|"&amp;$L446&amp;"|"&amp;$K446,Elasticities!$A$4:$A$200,0),MATCH(Settings!$C$6,Elasticities!$F$3:$I$3,0))</f>
        <v/>
      </c>
      <c r="R446" s="22">
        <f>INDEX(Elasticities!$F$4:$I$200,MATCH("usg|"&amp;$L446&amp;"|"&amp;$K446,Elasticities!$A$4:$A$200,0),MATCH(Settings!$C$6,Elasticities!$F$3:$I$3,0))</f>
        <v/>
      </c>
      <c r="S446" s="22">
        <f>INDEX(Elasticities!$F$4:$I$200,MATCH("eff|"&amp;$L446&amp;"|"&amp;$K446,Elasticities!$A$4:$A$200,0),MATCH(Settings!$C$6,Elasticities!$F$3:$I$3,0))</f>
        <v/>
      </c>
      <c r="T446" s="22">
        <f>INDEX(Elasticities!$F$4:$I$200,MATCH("aei|"&amp;$M446&amp;"|"&amp;$K446,Elasticities!$A$4:$A$200,0),MATCH(Settings!$C$6,Elasticities!$F$3:$I$3,0))</f>
        <v/>
      </c>
      <c r="U446" s="21" t="n"/>
      <c r="V446" s="22">
        <f>Q446</f>
        <v/>
      </c>
      <c r="W446" s="22">
        <f>R446</f>
        <v/>
      </c>
      <c r="X446" s="22">
        <f>S446</f>
        <v/>
      </c>
      <c r="Y446" s="22">
        <f>T446</f>
        <v/>
      </c>
      <c r="Z446" s="21" t="n"/>
      <c r="AA446" s="22">
        <f>Q446</f>
        <v/>
      </c>
      <c r="AB446" s="22">
        <f>R446</f>
        <v/>
      </c>
      <c r="AC446" s="22">
        <f>S446</f>
        <v/>
      </c>
      <c r="AD446" s="22">
        <f>T446</f>
        <v/>
      </c>
      <c r="AE446" s="21" t="n"/>
      <c r="AF446" s="22">
        <f>Q446</f>
        <v/>
      </c>
      <c r="AG446" s="22">
        <f>R446</f>
        <v/>
      </c>
      <c r="AH446" s="22">
        <f>S446</f>
        <v/>
      </c>
      <c r="AI446" s="22">
        <f>T446</f>
        <v/>
      </c>
      <c r="AJ446" s="21" t="n"/>
      <c r="AL446" s="24">
        <f>INDEX(EnergyCons!$F$4:$F$5000,MATCH(Settings!$C$4&amp;"|"&amp;AL$5&amp;"|"&amp;$C446&amp;"|"&amp;$B446,EnergyCons!$A$4:$A$5000,0))</f>
        <v/>
      </c>
      <c r="AM446" s="25">
        <f>AL446*(1/(1+INDEX($Q446:$AJ446,1,(AM$4-1)*5+4)))^(1+INDEX($Q446:$AJ446,1,(AM$4-1)*5+2))*(1+AM$7)^INDEX($Q446:$AJ446,1,(AM$4-1)*5+1)*(AM316/AL316)^INDEX($Q446:$AJ446,1,(AM$4-1)*5+2)*(AM316/AL316)^(INDEX($Q446:$AJ446,1,(AM$4-1)*5+3)*(1+INDEX($Q446:$AJ446,1,(AM$4-1)*5+2)))</f>
        <v/>
      </c>
      <c r="AN446" s="25">
        <f>AM446*(1/(1+INDEX($Q446:$AJ446,1,(AN$4-1)*5+4)))^(1+INDEX($Q446:$AJ446,1,(AN$4-1)*5+2))*(1+AN$7)^INDEX($Q446:$AJ446,1,(AN$4-1)*5+1)*(AN316/AM316)^INDEX($Q446:$AJ446,1,(AN$4-1)*5+2)*(AN316/AM316)^(INDEX($Q446:$AJ446,1,(AN$4-1)*5+3)*(1+INDEX($Q446:$AJ446,1,(AN$4-1)*5+2)))</f>
        <v/>
      </c>
      <c r="AO446" s="25">
        <f>AN446*(1/(1+INDEX($Q446:$AJ446,1,(AO$4-1)*5+4)))^(1+INDEX($Q446:$AJ446,1,(AO$4-1)*5+2))*(1+AO$7)^INDEX($Q446:$AJ446,1,(AO$4-1)*5+1)*(AO316/AN316)^INDEX($Q446:$AJ446,1,(AO$4-1)*5+2)*(AO316/AN316)^(INDEX($Q446:$AJ446,1,(AO$4-1)*5+3)*(1+INDEX($Q446:$AJ446,1,(AO$4-1)*5+2)))</f>
        <v/>
      </c>
      <c r="AP446" s="25">
        <f>AO446*(1/(1+INDEX($Q446:$AJ446,1,(AP$4-1)*5+4)))^(1+INDEX($Q446:$AJ446,1,(AP$4-1)*5+2))*(1+AP$7)^INDEX($Q446:$AJ446,1,(AP$4-1)*5+1)*(AP316/AO316)^INDEX($Q446:$AJ446,1,(AP$4-1)*5+2)*(AP316/AO316)^(INDEX($Q446:$AJ446,1,(AP$4-1)*5+3)*(1+INDEX($Q446:$AJ446,1,(AP$4-1)*5+2)))</f>
        <v/>
      </c>
      <c r="AQ446" s="25">
        <f>AP446*(1/(1+INDEX($Q446:$AJ446,1,(AQ$4-1)*5+4)))^(1+INDEX($Q446:$AJ446,1,(AQ$4-1)*5+2))*(1+AQ$7)^INDEX($Q446:$AJ446,1,(AQ$4-1)*5+1)*(AQ316/AP316)^INDEX($Q446:$AJ446,1,(AQ$4-1)*5+2)*(AQ316/AP316)^(INDEX($Q446:$AJ446,1,(AQ$4-1)*5+3)*(1+INDEX($Q446:$AJ446,1,(AQ$4-1)*5+2)))</f>
        <v/>
      </c>
      <c r="AR446" s="25">
        <f>AQ446*(1/(1+INDEX($Q446:$AJ446,1,(AR$4-1)*5+4)))^(1+INDEX($Q446:$AJ446,1,(AR$4-1)*5+2))*(1+AR$7)^INDEX($Q446:$AJ446,1,(AR$4-1)*5+1)*(AR316/AQ316)^INDEX($Q446:$AJ446,1,(AR$4-1)*5+2)*(AR316/AQ316)^(INDEX($Q446:$AJ446,1,(AR$4-1)*5+3)*(1+INDEX($Q446:$AJ446,1,(AR$4-1)*5+2)))</f>
        <v/>
      </c>
      <c r="AS446" s="25">
        <f>AR446*(1/(1+INDEX($Q446:$AJ446,1,(AS$4-1)*5+4)))^(1+INDEX($Q446:$AJ446,1,(AS$4-1)*5+2))*(1+AS$7)^INDEX($Q446:$AJ446,1,(AS$4-1)*5+1)*(AS316/AR316)^INDEX($Q446:$AJ446,1,(AS$4-1)*5+2)*(AS316/AR316)^(INDEX($Q446:$AJ446,1,(AS$4-1)*5+3)*(1+INDEX($Q446:$AJ446,1,(AS$4-1)*5+2)))</f>
        <v/>
      </c>
      <c r="AT446" s="25">
        <f>AS446*(1/(1+INDEX($Q446:$AJ446,1,(AT$4-1)*5+4)))^(1+INDEX($Q446:$AJ446,1,(AT$4-1)*5+2))*(1+AT$7)^INDEX($Q446:$AJ446,1,(AT$4-1)*5+1)*(AT316/AS316)^INDEX($Q446:$AJ446,1,(AT$4-1)*5+2)*(AT316/AS316)^(INDEX($Q446:$AJ446,1,(AT$4-1)*5+3)*(1+INDEX($Q446:$AJ446,1,(AT$4-1)*5+2)))</f>
        <v/>
      </c>
      <c r="AU446" s="25">
        <f>AT446*(1/(1+INDEX($Q446:$AJ446,1,(AU$4-1)*5+4)))^(1+INDEX($Q446:$AJ446,1,(AU$4-1)*5+2))*(1+AU$7)^INDEX($Q446:$AJ446,1,(AU$4-1)*5+1)*(AU316/AT316)^INDEX($Q446:$AJ446,1,(AU$4-1)*5+2)*(AU316/AT316)^(INDEX($Q446:$AJ446,1,(AU$4-1)*5+3)*(1+INDEX($Q446:$AJ446,1,(AU$4-1)*5+2)))</f>
        <v/>
      </c>
      <c r="AV446" s="25">
        <f>AU446*(1/(1+INDEX($Q446:$AJ446,1,(AV$4-1)*5+4)))^(1+INDEX($Q446:$AJ446,1,(AV$4-1)*5+2))*(1+AV$7)^INDEX($Q446:$AJ446,1,(AV$4-1)*5+1)*(AV316/AU316)^INDEX($Q446:$AJ446,1,(AV$4-1)*5+2)*(AV316/AU316)^(INDEX($Q446:$AJ446,1,(AV$4-1)*5+3)*(1+INDEX($Q446:$AJ446,1,(AV$4-1)*5+2)))</f>
        <v/>
      </c>
      <c r="AW446" s="25">
        <f>AV446*(1/(1+INDEX($Q446:$AJ446,1,(AW$4-1)*5+4)))^(1+INDEX($Q446:$AJ446,1,(AW$4-1)*5+2))*(1+AW$7)^INDEX($Q446:$AJ446,1,(AW$4-1)*5+1)*(AW316/AV316)^INDEX($Q446:$AJ446,1,(AW$4-1)*5+2)*(AW316/AV316)^(INDEX($Q446:$AJ446,1,(AW$4-1)*5+3)*(1+INDEX($Q446:$AJ446,1,(AW$4-1)*5+2)))</f>
        <v/>
      </c>
      <c r="AX446" s="25">
        <f>AW446*(1/(1+INDEX($Q446:$AJ446,1,(AX$4-1)*5+4)))^(1+INDEX($Q446:$AJ446,1,(AX$4-1)*5+2))*(1+AX$7)^INDEX($Q446:$AJ446,1,(AX$4-1)*5+1)*(AX316/AW316)^INDEX($Q446:$AJ446,1,(AX$4-1)*5+2)*(AX316/AW316)^(INDEX($Q446:$AJ446,1,(AX$4-1)*5+3)*(1+INDEX($Q446:$AJ446,1,(AX$4-1)*5+2)))</f>
        <v/>
      </c>
      <c r="AY446" s="25">
        <f>AX446*(1/(1+INDEX($Q446:$AJ446,1,(AY$4-1)*5+4)))^(1+INDEX($Q446:$AJ446,1,(AY$4-1)*5+2))*(1+AY$7)^INDEX($Q446:$AJ446,1,(AY$4-1)*5+1)*(AY316/AX316)^INDEX($Q446:$AJ446,1,(AY$4-1)*5+2)*(AY316/AX316)^(INDEX($Q446:$AJ446,1,(AY$4-1)*5+3)*(1+INDEX($Q446:$AJ446,1,(AY$4-1)*5+2)))</f>
        <v/>
      </c>
      <c r="BA446" s="24">
        <f>INDEX(EnergyCons!$F$4:$F$5000,MATCH(Settings!$C$4&amp;"|"&amp;BA$5&amp;"|"&amp;$C446&amp;"|"&amp;$B446,EnergyCons!$A$4:$A$5000,0))</f>
        <v/>
      </c>
      <c r="BB446" s="25">
        <f>BA446*(1/(1+INDEX($Q446:$AJ446,1,(BB$4-1)*5+4)))^(1+INDEX($Q446:$AJ446,1,(BB$4-1)*5+2))*(1+BB$7)^INDEX($Q446:$AJ446,1,(BB$4-1)*5+1)*(BB316/BA316)^INDEX($Q446:$AJ446,1,(BB$4-1)*5+2)*(BB316/BA316)^(INDEX($Q446:$AJ446,1,(BB$4-1)*5+3)*(1+INDEX($Q446:$AJ446,1,(BB$4-1)*5+2)))</f>
        <v/>
      </c>
      <c r="BC446" s="25">
        <f>BB446*(1/(1+INDEX($Q446:$AJ446,1,(BC$4-1)*5+4)))^(1+INDEX($Q446:$AJ446,1,(BC$4-1)*5+2))*(1+BC$7)^INDEX($Q446:$AJ446,1,(BC$4-1)*5+1)*(BC316/BB316)^INDEX($Q446:$AJ446,1,(BC$4-1)*5+2)*(BC316/BB316)^(INDEX($Q446:$AJ446,1,(BC$4-1)*5+3)*(1+INDEX($Q446:$AJ446,1,(BC$4-1)*5+2)))</f>
        <v/>
      </c>
      <c r="BD446" s="25">
        <f>BC446*(1/(1+INDEX($Q446:$AJ446,1,(BD$4-1)*5+4)))^(1+INDEX($Q446:$AJ446,1,(BD$4-1)*5+2))*(1+BD$7)^INDEX($Q446:$AJ446,1,(BD$4-1)*5+1)*(BD316/BC316)^INDEX($Q446:$AJ446,1,(BD$4-1)*5+2)*(BD316/BC316)^(INDEX($Q446:$AJ446,1,(BD$4-1)*5+3)*(1+INDEX($Q446:$AJ446,1,(BD$4-1)*5+2)))</f>
        <v/>
      </c>
      <c r="BE446" s="25">
        <f>BD446*(1/(1+INDEX($Q446:$AJ446,1,(BE$4-1)*5+4)))^(1+INDEX($Q446:$AJ446,1,(BE$4-1)*5+2))*(1+BE$7)^INDEX($Q446:$AJ446,1,(BE$4-1)*5+1)*(BE316/BD316)^INDEX($Q446:$AJ446,1,(BE$4-1)*5+2)*(BE316/BD316)^(INDEX($Q446:$AJ446,1,(BE$4-1)*5+3)*(1+INDEX($Q446:$AJ446,1,(BE$4-1)*5+2)))</f>
        <v/>
      </c>
      <c r="BF446" s="25">
        <f>BE446*(1/(1+INDEX($Q446:$AJ446,1,(BF$4-1)*5+4)))^(1+INDEX($Q446:$AJ446,1,(BF$4-1)*5+2))*(1+BF$7)^INDEX($Q446:$AJ446,1,(BF$4-1)*5+1)*(BF316/BE316)^INDEX($Q446:$AJ446,1,(BF$4-1)*5+2)*(BF316/BE316)^(INDEX($Q446:$AJ446,1,(BF$4-1)*5+3)*(1+INDEX($Q446:$AJ446,1,(BF$4-1)*5+2)))</f>
        <v/>
      </c>
      <c r="BG446" s="25">
        <f>BF446*(1/(1+INDEX($Q446:$AJ446,1,(BG$4-1)*5+4)))^(1+INDEX($Q446:$AJ446,1,(BG$4-1)*5+2))*(1+BG$7)^INDEX($Q446:$AJ446,1,(BG$4-1)*5+1)*(BG316/BF316)^INDEX($Q446:$AJ446,1,(BG$4-1)*5+2)*(BG316/BF316)^(INDEX($Q446:$AJ446,1,(BG$4-1)*5+3)*(1+INDEX($Q446:$AJ446,1,(BG$4-1)*5+2)))</f>
        <v/>
      </c>
      <c r="BH446" s="25">
        <f>BG446*(1/(1+INDEX($Q446:$AJ446,1,(BH$4-1)*5+4)))^(1+INDEX($Q446:$AJ446,1,(BH$4-1)*5+2))*(1+BH$7)^INDEX($Q446:$AJ446,1,(BH$4-1)*5+1)*(BH316/BG316)^INDEX($Q446:$AJ446,1,(BH$4-1)*5+2)*(BH316/BG316)^(INDEX($Q446:$AJ446,1,(BH$4-1)*5+3)*(1+INDEX($Q446:$AJ446,1,(BH$4-1)*5+2)))</f>
        <v/>
      </c>
      <c r="BI446" s="25">
        <f>BH446*(1/(1+INDEX($Q446:$AJ446,1,(BI$4-1)*5+4)))^(1+INDEX($Q446:$AJ446,1,(BI$4-1)*5+2))*(1+BI$7)^INDEX($Q446:$AJ446,1,(BI$4-1)*5+1)*(BI316/BH316)^INDEX($Q446:$AJ446,1,(BI$4-1)*5+2)*(BI316/BH316)^(INDEX($Q446:$AJ446,1,(BI$4-1)*5+3)*(1+INDEX($Q446:$AJ446,1,(BI$4-1)*5+2)))</f>
        <v/>
      </c>
      <c r="BJ446" s="25">
        <f>BI446*(1/(1+INDEX($Q446:$AJ446,1,(BJ$4-1)*5+4)))^(1+INDEX($Q446:$AJ446,1,(BJ$4-1)*5+2))*(1+BJ$7)^INDEX($Q446:$AJ446,1,(BJ$4-1)*5+1)*(BJ316/BI316)^INDEX($Q446:$AJ446,1,(BJ$4-1)*5+2)*(BJ316/BI316)^(INDEX($Q446:$AJ446,1,(BJ$4-1)*5+3)*(1+INDEX($Q446:$AJ446,1,(BJ$4-1)*5+2)))</f>
        <v/>
      </c>
      <c r="BK446" s="25">
        <f>BJ446*(1/(1+INDEX($Q446:$AJ446,1,(BK$4-1)*5+4)))^(1+INDEX($Q446:$AJ446,1,(BK$4-1)*5+2))*(1+BK$7)^INDEX($Q446:$AJ446,1,(BK$4-1)*5+1)*(BK316/BJ316)^INDEX($Q446:$AJ446,1,(BK$4-1)*5+2)*(BK316/BJ316)^(INDEX($Q446:$AJ446,1,(BK$4-1)*5+3)*(1+INDEX($Q446:$AJ446,1,(BK$4-1)*5+2)))</f>
        <v/>
      </c>
      <c r="BL446" s="25">
        <f>BK446*(1/(1+INDEX($Q446:$AJ446,1,(BL$4-1)*5+4)))^(1+INDEX($Q446:$AJ446,1,(BL$4-1)*5+2))*(1+BL$7)^INDEX($Q446:$AJ446,1,(BL$4-1)*5+1)*(BL316/BK316)^INDEX($Q446:$AJ446,1,(BL$4-1)*5+2)*(BL316/BK316)^(INDEX($Q446:$AJ446,1,(BL$4-1)*5+3)*(1+INDEX($Q446:$AJ446,1,(BL$4-1)*5+2)))</f>
        <v/>
      </c>
      <c r="BM446" s="25">
        <f>BL446*(1/(1+INDEX($Q446:$AJ446,1,(BM$4-1)*5+4)))^(1+INDEX($Q446:$AJ446,1,(BM$4-1)*5+2))*(1+BM$7)^INDEX($Q446:$AJ446,1,(BM$4-1)*5+1)*(BM316/BL316)^INDEX($Q446:$AJ446,1,(BM$4-1)*5+2)*(BM316/BL316)^(INDEX($Q446:$AJ446,1,(BM$4-1)*5+3)*(1+INDEX($Q446:$AJ446,1,(BM$4-1)*5+2)))</f>
        <v/>
      </c>
      <c r="BN446" s="25">
        <f>BM446*(1/(1+INDEX($Q446:$AJ446,1,(BN$4-1)*5+4)))^(1+INDEX($Q446:$AJ446,1,(BN$4-1)*5+2))*(1+BN$7)^INDEX($Q446:$AJ446,1,(BN$4-1)*5+1)*(BN316/BM316)^INDEX($Q446:$AJ446,1,(BN$4-1)*5+2)*(BN316/BM316)^(INDEX($Q446:$AJ446,1,(BN$4-1)*5+3)*(1+INDEX($Q446:$AJ446,1,(BN$4-1)*5+2)))</f>
        <v/>
      </c>
    </row>
    <row r="447">
      <c r="B447" s="5" t="inlineStr">
        <is>
          <t>oop</t>
        </is>
      </c>
      <c r="C447" s="5" t="inlineStr">
        <is>
          <t>foo</t>
        </is>
      </c>
      <c r="D447" s="5" t="inlineStr">
        <is>
          <t>Fuel use | Food &amp; forestry | Other oil products</t>
        </is>
      </c>
      <c r="E447" s="5" t="inlineStr">
        <is>
          <t>ktoe</t>
        </is>
      </c>
      <c r="F447" s="5" t="inlineStr">
        <is>
          <t>EnergyCons (base year), Elasticities</t>
        </is>
      </c>
      <c r="G447" s="19" t="inlineStr">
        <is>
          <t>mit.enc.oop.foo</t>
        </is>
      </c>
      <c r="H447" s="19" t="inlineStr">
        <is>
          <t>mit.enc.oop.foo</t>
        </is>
      </c>
      <c r="J447" s="5">
        <f>INDEX(Mapping!$C$5:$C$20,MATCH($C447,Mapping!$A$5:$A$20,0))</f>
        <v/>
      </c>
      <c r="K447" s="5">
        <f>INDEX(Mapping!$D$5:$D$20,MATCH($C447,Mapping!$A$5:$A$20,0))</f>
        <v/>
      </c>
      <c r="L447" s="5">
        <f>INDEX(Mapping!$C$24:$C$31,MATCH($B447,Mapping!$A$24:$A$31,0))</f>
        <v/>
      </c>
      <c r="M447" s="5">
        <f>INDEX(Mapping!$D$24:$D$31,MATCH($B447,Mapping!$A$24:$A$31,0))</f>
        <v/>
      </c>
      <c r="N447" s="5">
        <f>$B447&amp;"."&amp;IF(INDEX(Mapping!$E$24:$E$31,MATCH($B447,Mapping!$A$24:$A$31,0))="sub",INDEX(Mapping!$F$5:$F$20,MATCH($C447,Mapping!$A$5:$A$20,0)),"all")</f>
        <v/>
      </c>
      <c r="O447" s="5">
        <f>INDEX(Mapping!$E$5:$E$20,MATCH($C447,Mapping!$A$5:$A$20,0))</f>
        <v/>
      </c>
      <c r="P447" s="5">
        <f>INDEX(Mapping!$G$24:$G$31,MATCH($B447,Mapping!$A$24:$A$31,0))</f>
        <v/>
      </c>
      <c r="Q447" s="22">
        <f>INDEX(Elasticities!$F$4:$I$200,MATCH("inc|"&amp;$L447&amp;"|"&amp;$K447,Elasticities!$A$4:$A$200,0),MATCH(Settings!$C$6,Elasticities!$F$3:$I$3,0))</f>
        <v/>
      </c>
      <c r="R447" s="22">
        <f>INDEX(Elasticities!$F$4:$I$200,MATCH("usg|"&amp;$L447&amp;"|"&amp;$K447,Elasticities!$A$4:$A$200,0),MATCH(Settings!$C$6,Elasticities!$F$3:$I$3,0))</f>
        <v/>
      </c>
      <c r="S447" s="22">
        <f>INDEX(Elasticities!$F$4:$I$200,MATCH("eff|"&amp;$L447&amp;"|"&amp;$K447,Elasticities!$A$4:$A$200,0),MATCH(Settings!$C$6,Elasticities!$F$3:$I$3,0))</f>
        <v/>
      </c>
      <c r="T447" s="22">
        <f>INDEX(Elasticities!$F$4:$I$200,MATCH("aei|"&amp;$M447&amp;"|"&amp;$K447,Elasticities!$A$4:$A$200,0),MATCH(Settings!$C$6,Elasticities!$F$3:$I$3,0))</f>
        <v/>
      </c>
      <c r="U447" s="21" t="n"/>
      <c r="V447" s="22">
        <f>Q447</f>
        <v/>
      </c>
      <c r="W447" s="22">
        <f>R447</f>
        <v/>
      </c>
      <c r="X447" s="22">
        <f>S447</f>
        <v/>
      </c>
      <c r="Y447" s="22">
        <f>T447</f>
        <v/>
      </c>
      <c r="Z447" s="21" t="n"/>
      <c r="AA447" s="22">
        <f>Q447</f>
        <v/>
      </c>
      <c r="AB447" s="22">
        <f>R447</f>
        <v/>
      </c>
      <c r="AC447" s="22">
        <f>S447</f>
        <v/>
      </c>
      <c r="AD447" s="22">
        <f>T447</f>
        <v/>
      </c>
      <c r="AE447" s="21" t="n"/>
      <c r="AF447" s="22">
        <f>Q447</f>
        <v/>
      </c>
      <c r="AG447" s="22">
        <f>R447</f>
        <v/>
      </c>
      <c r="AH447" s="22">
        <f>S447</f>
        <v/>
      </c>
      <c r="AI447" s="22">
        <f>T447</f>
        <v/>
      </c>
      <c r="AJ447" s="21" t="n"/>
      <c r="AL447" s="24">
        <f>INDEX(EnergyCons!$F$4:$F$5000,MATCH(Settings!$C$4&amp;"|"&amp;AL$5&amp;"|"&amp;$C447&amp;"|"&amp;$B447,EnergyCons!$A$4:$A$5000,0))</f>
        <v/>
      </c>
      <c r="AM447" s="25">
        <f>AL447*(1/(1+INDEX($Q447:$AJ447,1,(AM$4-1)*5+4)))^(1+INDEX($Q447:$AJ447,1,(AM$4-1)*5+2))*(1+AM$7)^INDEX($Q447:$AJ447,1,(AM$4-1)*5+1)*(AM317/AL317)^INDEX($Q447:$AJ447,1,(AM$4-1)*5+2)*(AM317/AL317)^(INDEX($Q447:$AJ447,1,(AM$4-1)*5+3)*(1+INDEX($Q447:$AJ447,1,(AM$4-1)*5+2)))</f>
        <v/>
      </c>
      <c r="AN447" s="25">
        <f>AM447*(1/(1+INDEX($Q447:$AJ447,1,(AN$4-1)*5+4)))^(1+INDEX($Q447:$AJ447,1,(AN$4-1)*5+2))*(1+AN$7)^INDEX($Q447:$AJ447,1,(AN$4-1)*5+1)*(AN317/AM317)^INDEX($Q447:$AJ447,1,(AN$4-1)*5+2)*(AN317/AM317)^(INDEX($Q447:$AJ447,1,(AN$4-1)*5+3)*(1+INDEX($Q447:$AJ447,1,(AN$4-1)*5+2)))</f>
        <v/>
      </c>
      <c r="AO447" s="25">
        <f>AN447*(1/(1+INDEX($Q447:$AJ447,1,(AO$4-1)*5+4)))^(1+INDEX($Q447:$AJ447,1,(AO$4-1)*5+2))*(1+AO$7)^INDEX($Q447:$AJ447,1,(AO$4-1)*5+1)*(AO317/AN317)^INDEX($Q447:$AJ447,1,(AO$4-1)*5+2)*(AO317/AN317)^(INDEX($Q447:$AJ447,1,(AO$4-1)*5+3)*(1+INDEX($Q447:$AJ447,1,(AO$4-1)*5+2)))</f>
        <v/>
      </c>
      <c r="AP447" s="25">
        <f>AO447*(1/(1+INDEX($Q447:$AJ447,1,(AP$4-1)*5+4)))^(1+INDEX($Q447:$AJ447,1,(AP$4-1)*5+2))*(1+AP$7)^INDEX($Q447:$AJ447,1,(AP$4-1)*5+1)*(AP317/AO317)^INDEX($Q447:$AJ447,1,(AP$4-1)*5+2)*(AP317/AO317)^(INDEX($Q447:$AJ447,1,(AP$4-1)*5+3)*(1+INDEX($Q447:$AJ447,1,(AP$4-1)*5+2)))</f>
        <v/>
      </c>
      <c r="AQ447" s="25">
        <f>AP447*(1/(1+INDEX($Q447:$AJ447,1,(AQ$4-1)*5+4)))^(1+INDEX($Q447:$AJ447,1,(AQ$4-1)*5+2))*(1+AQ$7)^INDEX($Q447:$AJ447,1,(AQ$4-1)*5+1)*(AQ317/AP317)^INDEX($Q447:$AJ447,1,(AQ$4-1)*5+2)*(AQ317/AP317)^(INDEX($Q447:$AJ447,1,(AQ$4-1)*5+3)*(1+INDEX($Q447:$AJ447,1,(AQ$4-1)*5+2)))</f>
        <v/>
      </c>
      <c r="AR447" s="25">
        <f>AQ447*(1/(1+INDEX($Q447:$AJ447,1,(AR$4-1)*5+4)))^(1+INDEX($Q447:$AJ447,1,(AR$4-1)*5+2))*(1+AR$7)^INDEX($Q447:$AJ447,1,(AR$4-1)*5+1)*(AR317/AQ317)^INDEX($Q447:$AJ447,1,(AR$4-1)*5+2)*(AR317/AQ317)^(INDEX($Q447:$AJ447,1,(AR$4-1)*5+3)*(1+INDEX($Q447:$AJ447,1,(AR$4-1)*5+2)))</f>
        <v/>
      </c>
      <c r="AS447" s="25">
        <f>AR447*(1/(1+INDEX($Q447:$AJ447,1,(AS$4-1)*5+4)))^(1+INDEX($Q447:$AJ447,1,(AS$4-1)*5+2))*(1+AS$7)^INDEX($Q447:$AJ447,1,(AS$4-1)*5+1)*(AS317/AR317)^INDEX($Q447:$AJ447,1,(AS$4-1)*5+2)*(AS317/AR317)^(INDEX($Q447:$AJ447,1,(AS$4-1)*5+3)*(1+INDEX($Q447:$AJ447,1,(AS$4-1)*5+2)))</f>
        <v/>
      </c>
      <c r="AT447" s="25">
        <f>AS447*(1/(1+INDEX($Q447:$AJ447,1,(AT$4-1)*5+4)))^(1+INDEX($Q447:$AJ447,1,(AT$4-1)*5+2))*(1+AT$7)^INDEX($Q447:$AJ447,1,(AT$4-1)*5+1)*(AT317/AS317)^INDEX($Q447:$AJ447,1,(AT$4-1)*5+2)*(AT317/AS317)^(INDEX($Q447:$AJ447,1,(AT$4-1)*5+3)*(1+INDEX($Q447:$AJ447,1,(AT$4-1)*5+2)))</f>
        <v/>
      </c>
      <c r="AU447" s="25">
        <f>AT447*(1/(1+INDEX($Q447:$AJ447,1,(AU$4-1)*5+4)))^(1+INDEX($Q447:$AJ447,1,(AU$4-1)*5+2))*(1+AU$7)^INDEX($Q447:$AJ447,1,(AU$4-1)*5+1)*(AU317/AT317)^INDEX($Q447:$AJ447,1,(AU$4-1)*5+2)*(AU317/AT317)^(INDEX($Q447:$AJ447,1,(AU$4-1)*5+3)*(1+INDEX($Q447:$AJ447,1,(AU$4-1)*5+2)))</f>
        <v/>
      </c>
      <c r="AV447" s="25">
        <f>AU447*(1/(1+INDEX($Q447:$AJ447,1,(AV$4-1)*5+4)))^(1+INDEX($Q447:$AJ447,1,(AV$4-1)*5+2))*(1+AV$7)^INDEX($Q447:$AJ447,1,(AV$4-1)*5+1)*(AV317/AU317)^INDEX($Q447:$AJ447,1,(AV$4-1)*5+2)*(AV317/AU317)^(INDEX($Q447:$AJ447,1,(AV$4-1)*5+3)*(1+INDEX($Q447:$AJ447,1,(AV$4-1)*5+2)))</f>
        <v/>
      </c>
      <c r="AW447" s="25">
        <f>AV447*(1/(1+INDEX($Q447:$AJ447,1,(AW$4-1)*5+4)))^(1+INDEX($Q447:$AJ447,1,(AW$4-1)*5+2))*(1+AW$7)^INDEX($Q447:$AJ447,1,(AW$4-1)*5+1)*(AW317/AV317)^INDEX($Q447:$AJ447,1,(AW$4-1)*5+2)*(AW317/AV317)^(INDEX($Q447:$AJ447,1,(AW$4-1)*5+3)*(1+INDEX($Q447:$AJ447,1,(AW$4-1)*5+2)))</f>
        <v/>
      </c>
      <c r="AX447" s="25">
        <f>AW447*(1/(1+INDEX($Q447:$AJ447,1,(AX$4-1)*5+4)))^(1+INDEX($Q447:$AJ447,1,(AX$4-1)*5+2))*(1+AX$7)^INDEX($Q447:$AJ447,1,(AX$4-1)*5+1)*(AX317/AW317)^INDEX($Q447:$AJ447,1,(AX$4-1)*5+2)*(AX317/AW317)^(INDEX($Q447:$AJ447,1,(AX$4-1)*5+3)*(1+INDEX($Q447:$AJ447,1,(AX$4-1)*5+2)))</f>
        <v/>
      </c>
      <c r="AY447" s="25">
        <f>AX447*(1/(1+INDEX($Q447:$AJ447,1,(AY$4-1)*5+4)))^(1+INDEX($Q447:$AJ447,1,(AY$4-1)*5+2))*(1+AY$7)^INDEX($Q447:$AJ447,1,(AY$4-1)*5+1)*(AY317/AX317)^INDEX($Q447:$AJ447,1,(AY$4-1)*5+2)*(AY317/AX317)^(INDEX($Q447:$AJ447,1,(AY$4-1)*5+3)*(1+INDEX($Q447:$AJ447,1,(AY$4-1)*5+2)))</f>
        <v/>
      </c>
      <c r="BA447" s="24">
        <f>INDEX(EnergyCons!$F$4:$F$5000,MATCH(Settings!$C$4&amp;"|"&amp;BA$5&amp;"|"&amp;$C447&amp;"|"&amp;$B447,EnergyCons!$A$4:$A$5000,0))</f>
        <v/>
      </c>
      <c r="BB447" s="25">
        <f>BA447*(1/(1+INDEX($Q447:$AJ447,1,(BB$4-1)*5+4)))^(1+INDEX($Q447:$AJ447,1,(BB$4-1)*5+2))*(1+BB$7)^INDEX($Q447:$AJ447,1,(BB$4-1)*5+1)*(BB317/BA317)^INDEX($Q447:$AJ447,1,(BB$4-1)*5+2)*(BB317/BA317)^(INDEX($Q447:$AJ447,1,(BB$4-1)*5+3)*(1+INDEX($Q447:$AJ447,1,(BB$4-1)*5+2)))</f>
        <v/>
      </c>
      <c r="BC447" s="25">
        <f>BB447*(1/(1+INDEX($Q447:$AJ447,1,(BC$4-1)*5+4)))^(1+INDEX($Q447:$AJ447,1,(BC$4-1)*5+2))*(1+BC$7)^INDEX($Q447:$AJ447,1,(BC$4-1)*5+1)*(BC317/BB317)^INDEX($Q447:$AJ447,1,(BC$4-1)*5+2)*(BC317/BB317)^(INDEX($Q447:$AJ447,1,(BC$4-1)*5+3)*(1+INDEX($Q447:$AJ447,1,(BC$4-1)*5+2)))</f>
        <v/>
      </c>
      <c r="BD447" s="25">
        <f>BC447*(1/(1+INDEX($Q447:$AJ447,1,(BD$4-1)*5+4)))^(1+INDEX($Q447:$AJ447,1,(BD$4-1)*5+2))*(1+BD$7)^INDEX($Q447:$AJ447,1,(BD$4-1)*5+1)*(BD317/BC317)^INDEX($Q447:$AJ447,1,(BD$4-1)*5+2)*(BD317/BC317)^(INDEX($Q447:$AJ447,1,(BD$4-1)*5+3)*(1+INDEX($Q447:$AJ447,1,(BD$4-1)*5+2)))</f>
        <v/>
      </c>
      <c r="BE447" s="25">
        <f>BD447*(1/(1+INDEX($Q447:$AJ447,1,(BE$4-1)*5+4)))^(1+INDEX($Q447:$AJ447,1,(BE$4-1)*5+2))*(1+BE$7)^INDEX($Q447:$AJ447,1,(BE$4-1)*5+1)*(BE317/BD317)^INDEX($Q447:$AJ447,1,(BE$4-1)*5+2)*(BE317/BD317)^(INDEX($Q447:$AJ447,1,(BE$4-1)*5+3)*(1+INDEX($Q447:$AJ447,1,(BE$4-1)*5+2)))</f>
        <v/>
      </c>
      <c r="BF447" s="25">
        <f>BE447*(1/(1+INDEX($Q447:$AJ447,1,(BF$4-1)*5+4)))^(1+INDEX($Q447:$AJ447,1,(BF$4-1)*5+2))*(1+BF$7)^INDEX($Q447:$AJ447,1,(BF$4-1)*5+1)*(BF317/BE317)^INDEX($Q447:$AJ447,1,(BF$4-1)*5+2)*(BF317/BE317)^(INDEX($Q447:$AJ447,1,(BF$4-1)*5+3)*(1+INDEX($Q447:$AJ447,1,(BF$4-1)*5+2)))</f>
        <v/>
      </c>
      <c r="BG447" s="25">
        <f>BF447*(1/(1+INDEX($Q447:$AJ447,1,(BG$4-1)*5+4)))^(1+INDEX($Q447:$AJ447,1,(BG$4-1)*5+2))*(1+BG$7)^INDEX($Q447:$AJ447,1,(BG$4-1)*5+1)*(BG317/BF317)^INDEX($Q447:$AJ447,1,(BG$4-1)*5+2)*(BG317/BF317)^(INDEX($Q447:$AJ447,1,(BG$4-1)*5+3)*(1+INDEX($Q447:$AJ447,1,(BG$4-1)*5+2)))</f>
        <v/>
      </c>
      <c r="BH447" s="25">
        <f>BG447*(1/(1+INDEX($Q447:$AJ447,1,(BH$4-1)*5+4)))^(1+INDEX($Q447:$AJ447,1,(BH$4-1)*5+2))*(1+BH$7)^INDEX($Q447:$AJ447,1,(BH$4-1)*5+1)*(BH317/BG317)^INDEX($Q447:$AJ447,1,(BH$4-1)*5+2)*(BH317/BG317)^(INDEX($Q447:$AJ447,1,(BH$4-1)*5+3)*(1+INDEX($Q447:$AJ447,1,(BH$4-1)*5+2)))</f>
        <v/>
      </c>
      <c r="BI447" s="25">
        <f>BH447*(1/(1+INDEX($Q447:$AJ447,1,(BI$4-1)*5+4)))^(1+INDEX($Q447:$AJ447,1,(BI$4-1)*5+2))*(1+BI$7)^INDEX($Q447:$AJ447,1,(BI$4-1)*5+1)*(BI317/BH317)^INDEX($Q447:$AJ447,1,(BI$4-1)*5+2)*(BI317/BH317)^(INDEX($Q447:$AJ447,1,(BI$4-1)*5+3)*(1+INDEX($Q447:$AJ447,1,(BI$4-1)*5+2)))</f>
        <v/>
      </c>
      <c r="BJ447" s="25">
        <f>BI447*(1/(1+INDEX($Q447:$AJ447,1,(BJ$4-1)*5+4)))^(1+INDEX($Q447:$AJ447,1,(BJ$4-1)*5+2))*(1+BJ$7)^INDEX($Q447:$AJ447,1,(BJ$4-1)*5+1)*(BJ317/BI317)^INDEX($Q447:$AJ447,1,(BJ$4-1)*5+2)*(BJ317/BI317)^(INDEX($Q447:$AJ447,1,(BJ$4-1)*5+3)*(1+INDEX($Q447:$AJ447,1,(BJ$4-1)*5+2)))</f>
        <v/>
      </c>
      <c r="BK447" s="25">
        <f>BJ447*(1/(1+INDEX($Q447:$AJ447,1,(BK$4-1)*5+4)))^(1+INDEX($Q447:$AJ447,1,(BK$4-1)*5+2))*(1+BK$7)^INDEX($Q447:$AJ447,1,(BK$4-1)*5+1)*(BK317/BJ317)^INDEX($Q447:$AJ447,1,(BK$4-1)*5+2)*(BK317/BJ317)^(INDEX($Q447:$AJ447,1,(BK$4-1)*5+3)*(1+INDEX($Q447:$AJ447,1,(BK$4-1)*5+2)))</f>
        <v/>
      </c>
      <c r="BL447" s="25">
        <f>BK447*(1/(1+INDEX($Q447:$AJ447,1,(BL$4-1)*5+4)))^(1+INDEX($Q447:$AJ447,1,(BL$4-1)*5+2))*(1+BL$7)^INDEX($Q447:$AJ447,1,(BL$4-1)*5+1)*(BL317/BK317)^INDEX($Q447:$AJ447,1,(BL$4-1)*5+2)*(BL317/BK317)^(INDEX($Q447:$AJ447,1,(BL$4-1)*5+3)*(1+INDEX($Q447:$AJ447,1,(BL$4-1)*5+2)))</f>
        <v/>
      </c>
      <c r="BM447" s="25">
        <f>BL447*(1/(1+INDEX($Q447:$AJ447,1,(BM$4-1)*5+4)))^(1+INDEX($Q447:$AJ447,1,(BM$4-1)*5+2))*(1+BM$7)^INDEX($Q447:$AJ447,1,(BM$4-1)*5+1)*(BM317/BL317)^INDEX($Q447:$AJ447,1,(BM$4-1)*5+2)*(BM317/BL317)^(INDEX($Q447:$AJ447,1,(BM$4-1)*5+3)*(1+INDEX($Q447:$AJ447,1,(BM$4-1)*5+2)))</f>
        <v/>
      </c>
      <c r="BN447" s="25">
        <f>BM447*(1/(1+INDEX($Q447:$AJ447,1,(BN$4-1)*5+4)))^(1+INDEX($Q447:$AJ447,1,(BN$4-1)*5+2))*(1+BN$7)^INDEX($Q447:$AJ447,1,(BN$4-1)*5+1)*(BN317/BM317)^INDEX($Q447:$AJ447,1,(BN$4-1)*5+2)*(BN317/BM317)^(INDEX($Q447:$AJ447,1,(BN$4-1)*5+3)*(1+INDEX($Q447:$AJ447,1,(BN$4-1)*5+2)))</f>
        <v/>
      </c>
    </row>
    <row r="448">
      <c r="B448" s="5" t="inlineStr">
        <is>
          <t>bio</t>
        </is>
      </c>
      <c r="C448" s="5" t="inlineStr">
        <is>
          <t>foo</t>
        </is>
      </c>
      <c r="D448" s="5" t="inlineStr">
        <is>
          <t>Fuel use | Food &amp; forestry | Biomass</t>
        </is>
      </c>
      <c r="E448" s="5" t="inlineStr">
        <is>
          <t>ktoe</t>
        </is>
      </c>
      <c r="F448" s="5" t="inlineStr">
        <is>
          <t>EnergyCons (base year), Elasticities</t>
        </is>
      </c>
      <c r="G448" s="19" t="inlineStr">
        <is>
          <t>mit.enc.bio.foo</t>
        </is>
      </c>
      <c r="H448" s="19" t="inlineStr">
        <is>
          <t>mit.enc.bio.foo</t>
        </is>
      </c>
      <c r="J448" s="5">
        <f>INDEX(Mapping!$C$5:$C$20,MATCH($C448,Mapping!$A$5:$A$20,0))</f>
        <v/>
      </c>
      <c r="K448" s="5">
        <f>INDEX(Mapping!$D$5:$D$20,MATCH($C448,Mapping!$A$5:$A$20,0))</f>
        <v/>
      </c>
      <c r="L448" s="5">
        <f>INDEX(Mapping!$C$24:$C$31,MATCH($B448,Mapping!$A$24:$A$31,0))</f>
        <v/>
      </c>
      <c r="M448" s="5">
        <f>INDEX(Mapping!$D$24:$D$31,MATCH($B448,Mapping!$A$24:$A$31,0))</f>
        <v/>
      </c>
      <c r="N448" s="5">
        <f>$B448&amp;"."&amp;IF(INDEX(Mapping!$E$24:$E$31,MATCH($B448,Mapping!$A$24:$A$31,0))="sub",INDEX(Mapping!$F$5:$F$20,MATCH($C448,Mapping!$A$5:$A$20,0)),"all")</f>
        <v/>
      </c>
      <c r="O448" s="5">
        <f>INDEX(Mapping!$E$5:$E$20,MATCH($C448,Mapping!$A$5:$A$20,0))</f>
        <v/>
      </c>
      <c r="P448" s="5">
        <f>INDEX(Mapping!$G$24:$G$31,MATCH($B448,Mapping!$A$24:$A$31,0))</f>
        <v/>
      </c>
      <c r="Q448" s="22">
        <f>INDEX(Elasticities!$F$4:$I$200,MATCH("inc|"&amp;$L448&amp;"|"&amp;$K448,Elasticities!$A$4:$A$200,0),MATCH(Settings!$C$6,Elasticities!$F$3:$I$3,0))</f>
        <v/>
      </c>
      <c r="R448" s="22">
        <f>INDEX(Elasticities!$F$4:$I$200,MATCH("usg|"&amp;$L448&amp;"|"&amp;$K448,Elasticities!$A$4:$A$200,0),MATCH(Settings!$C$6,Elasticities!$F$3:$I$3,0))</f>
        <v/>
      </c>
      <c r="S448" s="22">
        <f>INDEX(Elasticities!$F$4:$I$200,MATCH("eff|"&amp;$L448&amp;"|"&amp;$K448,Elasticities!$A$4:$A$200,0),MATCH(Settings!$C$6,Elasticities!$F$3:$I$3,0))</f>
        <v/>
      </c>
      <c r="T448" s="22">
        <f>INDEX(Elasticities!$F$4:$I$200,MATCH("aei|"&amp;$M448&amp;"|"&amp;$K448,Elasticities!$A$4:$A$200,0),MATCH(Settings!$C$6,Elasticities!$F$3:$I$3,0))</f>
        <v/>
      </c>
      <c r="U448" s="21" t="n"/>
      <c r="V448" s="22">
        <f>Q448</f>
        <v/>
      </c>
      <c r="W448" s="22">
        <f>R448</f>
        <v/>
      </c>
      <c r="X448" s="22">
        <f>S448</f>
        <v/>
      </c>
      <c r="Y448" s="22">
        <f>T448</f>
        <v/>
      </c>
      <c r="Z448" s="21" t="n"/>
      <c r="AA448" s="22">
        <f>Q448</f>
        <v/>
      </c>
      <c r="AB448" s="22">
        <f>R448</f>
        <v/>
      </c>
      <c r="AC448" s="22">
        <f>S448</f>
        <v/>
      </c>
      <c r="AD448" s="22">
        <f>T448</f>
        <v/>
      </c>
      <c r="AE448" s="21" t="n"/>
      <c r="AF448" s="22">
        <f>Q448</f>
        <v/>
      </c>
      <c r="AG448" s="22">
        <f>R448</f>
        <v/>
      </c>
      <c r="AH448" s="22">
        <f>S448</f>
        <v/>
      </c>
      <c r="AI448" s="22">
        <f>T448</f>
        <v/>
      </c>
      <c r="AJ448" s="21" t="n"/>
      <c r="AL448" s="24">
        <f>INDEX(EnergyCons!$F$4:$F$5000,MATCH(Settings!$C$4&amp;"|"&amp;AL$5&amp;"|"&amp;$C448&amp;"|"&amp;$B448,EnergyCons!$A$4:$A$5000,0))</f>
        <v/>
      </c>
      <c r="AM448" s="25">
        <f>AL448*(1/(1+INDEX($Q448:$AJ448,1,(AM$4-1)*5+4)))^(1+INDEX($Q448:$AJ448,1,(AM$4-1)*5+2))*(1+AM$7)^INDEX($Q448:$AJ448,1,(AM$4-1)*5+1)*(AM318/AL318)^INDEX($Q448:$AJ448,1,(AM$4-1)*5+2)*(AM318/AL318)^(INDEX($Q448:$AJ448,1,(AM$4-1)*5+3)*(1+INDEX($Q448:$AJ448,1,(AM$4-1)*5+2)))</f>
        <v/>
      </c>
      <c r="AN448" s="25">
        <f>AM448*(1/(1+INDEX($Q448:$AJ448,1,(AN$4-1)*5+4)))^(1+INDEX($Q448:$AJ448,1,(AN$4-1)*5+2))*(1+AN$7)^INDEX($Q448:$AJ448,1,(AN$4-1)*5+1)*(AN318/AM318)^INDEX($Q448:$AJ448,1,(AN$4-1)*5+2)*(AN318/AM318)^(INDEX($Q448:$AJ448,1,(AN$4-1)*5+3)*(1+INDEX($Q448:$AJ448,1,(AN$4-1)*5+2)))</f>
        <v/>
      </c>
      <c r="AO448" s="25">
        <f>AN448*(1/(1+INDEX($Q448:$AJ448,1,(AO$4-1)*5+4)))^(1+INDEX($Q448:$AJ448,1,(AO$4-1)*5+2))*(1+AO$7)^INDEX($Q448:$AJ448,1,(AO$4-1)*5+1)*(AO318/AN318)^INDEX($Q448:$AJ448,1,(AO$4-1)*5+2)*(AO318/AN318)^(INDEX($Q448:$AJ448,1,(AO$4-1)*5+3)*(1+INDEX($Q448:$AJ448,1,(AO$4-1)*5+2)))</f>
        <v/>
      </c>
      <c r="AP448" s="25">
        <f>AO448*(1/(1+INDEX($Q448:$AJ448,1,(AP$4-1)*5+4)))^(1+INDEX($Q448:$AJ448,1,(AP$4-1)*5+2))*(1+AP$7)^INDEX($Q448:$AJ448,1,(AP$4-1)*5+1)*(AP318/AO318)^INDEX($Q448:$AJ448,1,(AP$4-1)*5+2)*(AP318/AO318)^(INDEX($Q448:$AJ448,1,(AP$4-1)*5+3)*(1+INDEX($Q448:$AJ448,1,(AP$4-1)*5+2)))</f>
        <v/>
      </c>
      <c r="AQ448" s="25">
        <f>AP448*(1/(1+INDEX($Q448:$AJ448,1,(AQ$4-1)*5+4)))^(1+INDEX($Q448:$AJ448,1,(AQ$4-1)*5+2))*(1+AQ$7)^INDEX($Q448:$AJ448,1,(AQ$4-1)*5+1)*(AQ318/AP318)^INDEX($Q448:$AJ448,1,(AQ$4-1)*5+2)*(AQ318/AP318)^(INDEX($Q448:$AJ448,1,(AQ$4-1)*5+3)*(1+INDEX($Q448:$AJ448,1,(AQ$4-1)*5+2)))</f>
        <v/>
      </c>
      <c r="AR448" s="25">
        <f>AQ448*(1/(1+INDEX($Q448:$AJ448,1,(AR$4-1)*5+4)))^(1+INDEX($Q448:$AJ448,1,(AR$4-1)*5+2))*(1+AR$7)^INDEX($Q448:$AJ448,1,(AR$4-1)*5+1)*(AR318/AQ318)^INDEX($Q448:$AJ448,1,(AR$4-1)*5+2)*(AR318/AQ318)^(INDEX($Q448:$AJ448,1,(AR$4-1)*5+3)*(1+INDEX($Q448:$AJ448,1,(AR$4-1)*5+2)))</f>
        <v/>
      </c>
      <c r="AS448" s="25">
        <f>AR448*(1/(1+INDEX($Q448:$AJ448,1,(AS$4-1)*5+4)))^(1+INDEX($Q448:$AJ448,1,(AS$4-1)*5+2))*(1+AS$7)^INDEX($Q448:$AJ448,1,(AS$4-1)*5+1)*(AS318/AR318)^INDEX($Q448:$AJ448,1,(AS$4-1)*5+2)*(AS318/AR318)^(INDEX($Q448:$AJ448,1,(AS$4-1)*5+3)*(1+INDEX($Q448:$AJ448,1,(AS$4-1)*5+2)))</f>
        <v/>
      </c>
      <c r="AT448" s="25">
        <f>AS448*(1/(1+INDEX($Q448:$AJ448,1,(AT$4-1)*5+4)))^(1+INDEX($Q448:$AJ448,1,(AT$4-1)*5+2))*(1+AT$7)^INDEX($Q448:$AJ448,1,(AT$4-1)*5+1)*(AT318/AS318)^INDEX($Q448:$AJ448,1,(AT$4-1)*5+2)*(AT318/AS318)^(INDEX($Q448:$AJ448,1,(AT$4-1)*5+3)*(1+INDEX($Q448:$AJ448,1,(AT$4-1)*5+2)))</f>
        <v/>
      </c>
      <c r="AU448" s="25">
        <f>AT448*(1/(1+INDEX($Q448:$AJ448,1,(AU$4-1)*5+4)))^(1+INDEX($Q448:$AJ448,1,(AU$4-1)*5+2))*(1+AU$7)^INDEX($Q448:$AJ448,1,(AU$4-1)*5+1)*(AU318/AT318)^INDEX($Q448:$AJ448,1,(AU$4-1)*5+2)*(AU318/AT318)^(INDEX($Q448:$AJ448,1,(AU$4-1)*5+3)*(1+INDEX($Q448:$AJ448,1,(AU$4-1)*5+2)))</f>
        <v/>
      </c>
      <c r="AV448" s="25">
        <f>AU448*(1/(1+INDEX($Q448:$AJ448,1,(AV$4-1)*5+4)))^(1+INDEX($Q448:$AJ448,1,(AV$4-1)*5+2))*(1+AV$7)^INDEX($Q448:$AJ448,1,(AV$4-1)*5+1)*(AV318/AU318)^INDEX($Q448:$AJ448,1,(AV$4-1)*5+2)*(AV318/AU318)^(INDEX($Q448:$AJ448,1,(AV$4-1)*5+3)*(1+INDEX($Q448:$AJ448,1,(AV$4-1)*5+2)))</f>
        <v/>
      </c>
      <c r="AW448" s="25">
        <f>AV448*(1/(1+INDEX($Q448:$AJ448,1,(AW$4-1)*5+4)))^(1+INDEX($Q448:$AJ448,1,(AW$4-1)*5+2))*(1+AW$7)^INDEX($Q448:$AJ448,1,(AW$4-1)*5+1)*(AW318/AV318)^INDEX($Q448:$AJ448,1,(AW$4-1)*5+2)*(AW318/AV318)^(INDEX($Q448:$AJ448,1,(AW$4-1)*5+3)*(1+INDEX($Q448:$AJ448,1,(AW$4-1)*5+2)))</f>
        <v/>
      </c>
      <c r="AX448" s="25">
        <f>AW448*(1/(1+INDEX($Q448:$AJ448,1,(AX$4-1)*5+4)))^(1+INDEX($Q448:$AJ448,1,(AX$4-1)*5+2))*(1+AX$7)^INDEX($Q448:$AJ448,1,(AX$4-1)*5+1)*(AX318/AW318)^INDEX($Q448:$AJ448,1,(AX$4-1)*5+2)*(AX318/AW318)^(INDEX($Q448:$AJ448,1,(AX$4-1)*5+3)*(1+INDEX($Q448:$AJ448,1,(AX$4-1)*5+2)))</f>
        <v/>
      </c>
      <c r="AY448" s="25">
        <f>AX448*(1/(1+INDEX($Q448:$AJ448,1,(AY$4-1)*5+4)))^(1+INDEX($Q448:$AJ448,1,(AY$4-1)*5+2))*(1+AY$7)^INDEX($Q448:$AJ448,1,(AY$4-1)*5+1)*(AY318/AX318)^INDEX($Q448:$AJ448,1,(AY$4-1)*5+2)*(AY318/AX318)^(INDEX($Q448:$AJ448,1,(AY$4-1)*5+3)*(1+INDEX($Q448:$AJ448,1,(AY$4-1)*5+2)))</f>
        <v/>
      </c>
      <c r="BA448" s="24">
        <f>INDEX(EnergyCons!$F$4:$F$5000,MATCH(Settings!$C$4&amp;"|"&amp;BA$5&amp;"|"&amp;$C448&amp;"|"&amp;$B448,EnergyCons!$A$4:$A$5000,0))</f>
        <v/>
      </c>
      <c r="BB448" s="25">
        <f>BA448*(1/(1+INDEX($Q448:$AJ448,1,(BB$4-1)*5+4)))^(1+INDEX($Q448:$AJ448,1,(BB$4-1)*5+2))*(1+BB$7)^INDEX($Q448:$AJ448,1,(BB$4-1)*5+1)*(BB318/BA318)^INDEX($Q448:$AJ448,1,(BB$4-1)*5+2)*(BB318/BA318)^(INDEX($Q448:$AJ448,1,(BB$4-1)*5+3)*(1+INDEX($Q448:$AJ448,1,(BB$4-1)*5+2)))</f>
        <v/>
      </c>
      <c r="BC448" s="25">
        <f>BB448*(1/(1+INDEX($Q448:$AJ448,1,(BC$4-1)*5+4)))^(1+INDEX($Q448:$AJ448,1,(BC$4-1)*5+2))*(1+BC$7)^INDEX($Q448:$AJ448,1,(BC$4-1)*5+1)*(BC318/BB318)^INDEX($Q448:$AJ448,1,(BC$4-1)*5+2)*(BC318/BB318)^(INDEX($Q448:$AJ448,1,(BC$4-1)*5+3)*(1+INDEX($Q448:$AJ448,1,(BC$4-1)*5+2)))</f>
        <v/>
      </c>
      <c r="BD448" s="25">
        <f>BC448*(1/(1+INDEX($Q448:$AJ448,1,(BD$4-1)*5+4)))^(1+INDEX($Q448:$AJ448,1,(BD$4-1)*5+2))*(1+BD$7)^INDEX($Q448:$AJ448,1,(BD$4-1)*5+1)*(BD318/BC318)^INDEX($Q448:$AJ448,1,(BD$4-1)*5+2)*(BD318/BC318)^(INDEX($Q448:$AJ448,1,(BD$4-1)*5+3)*(1+INDEX($Q448:$AJ448,1,(BD$4-1)*5+2)))</f>
        <v/>
      </c>
      <c r="BE448" s="25">
        <f>BD448*(1/(1+INDEX($Q448:$AJ448,1,(BE$4-1)*5+4)))^(1+INDEX($Q448:$AJ448,1,(BE$4-1)*5+2))*(1+BE$7)^INDEX($Q448:$AJ448,1,(BE$4-1)*5+1)*(BE318/BD318)^INDEX($Q448:$AJ448,1,(BE$4-1)*5+2)*(BE318/BD318)^(INDEX($Q448:$AJ448,1,(BE$4-1)*5+3)*(1+INDEX($Q448:$AJ448,1,(BE$4-1)*5+2)))</f>
        <v/>
      </c>
      <c r="BF448" s="25">
        <f>BE448*(1/(1+INDEX($Q448:$AJ448,1,(BF$4-1)*5+4)))^(1+INDEX($Q448:$AJ448,1,(BF$4-1)*5+2))*(1+BF$7)^INDEX($Q448:$AJ448,1,(BF$4-1)*5+1)*(BF318/BE318)^INDEX($Q448:$AJ448,1,(BF$4-1)*5+2)*(BF318/BE318)^(INDEX($Q448:$AJ448,1,(BF$4-1)*5+3)*(1+INDEX($Q448:$AJ448,1,(BF$4-1)*5+2)))</f>
        <v/>
      </c>
      <c r="BG448" s="25">
        <f>BF448*(1/(1+INDEX($Q448:$AJ448,1,(BG$4-1)*5+4)))^(1+INDEX($Q448:$AJ448,1,(BG$4-1)*5+2))*(1+BG$7)^INDEX($Q448:$AJ448,1,(BG$4-1)*5+1)*(BG318/BF318)^INDEX($Q448:$AJ448,1,(BG$4-1)*5+2)*(BG318/BF318)^(INDEX($Q448:$AJ448,1,(BG$4-1)*5+3)*(1+INDEX($Q448:$AJ448,1,(BG$4-1)*5+2)))</f>
        <v/>
      </c>
      <c r="BH448" s="25">
        <f>BG448*(1/(1+INDEX($Q448:$AJ448,1,(BH$4-1)*5+4)))^(1+INDEX($Q448:$AJ448,1,(BH$4-1)*5+2))*(1+BH$7)^INDEX($Q448:$AJ448,1,(BH$4-1)*5+1)*(BH318/BG318)^INDEX($Q448:$AJ448,1,(BH$4-1)*5+2)*(BH318/BG318)^(INDEX($Q448:$AJ448,1,(BH$4-1)*5+3)*(1+INDEX($Q448:$AJ448,1,(BH$4-1)*5+2)))</f>
        <v/>
      </c>
      <c r="BI448" s="25">
        <f>BH448*(1/(1+INDEX($Q448:$AJ448,1,(BI$4-1)*5+4)))^(1+INDEX($Q448:$AJ448,1,(BI$4-1)*5+2))*(1+BI$7)^INDEX($Q448:$AJ448,1,(BI$4-1)*5+1)*(BI318/BH318)^INDEX($Q448:$AJ448,1,(BI$4-1)*5+2)*(BI318/BH318)^(INDEX($Q448:$AJ448,1,(BI$4-1)*5+3)*(1+INDEX($Q448:$AJ448,1,(BI$4-1)*5+2)))</f>
        <v/>
      </c>
      <c r="BJ448" s="25">
        <f>BI448*(1/(1+INDEX($Q448:$AJ448,1,(BJ$4-1)*5+4)))^(1+INDEX($Q448:$AJ448,1,(BJ$4-1)*5+2))*(1+BJ$7)^INDEX($Q448:$AJ448,1,(BJ$4-1)*5+1)*(BJ318/BI318)^INDEX($Q448:$AJ448,1,(BJ$4-1)*5+2)*(BJ318/BI318)^(INDEX($Q448:$AJ448,1,(BJ$4-1)*5+3)*(1+INDEX($Q448:$AJ448,1,(BJ$4-1)*5+2)))</f>
        <v/>
      </c>
      <c r="BK448" s="25">
        <f>BJ448*(1/(1+INDEX($Q448:$AJ448,1,(BK$4-1)*5+4)))^(1+INDEX($Q448:$AJ448,1,(BK$4-1)*5+2))*(1+BK$7)^INDEX($Q448:$AJ448,1,(BK$4-1)*5+1)*(BK318/BJ318)^INDEX($Q448:$AJ448,1,(BK$4-1)*5+2)*(BK318/BJ318)^(INDEX($Q448:$AJ448,1,(BK$4-1)*5+3)*(1+INDEX($Q448:$AJ448,1,(BK$4-1)*5+2)))</f>
        <v/>
      </c>
      <c r="BL448" s="25">
        <f>BK448*(1/(1+INDEX($Q448:$AJ448,1,(BL$4-1)*5+4)))^(1+INDEX($Q448:$AJ448,1,(BL$4-1)*5+2))*(1+BL$7)^INDEX($Q448:$AJ448,1,(BL$4-1)*5+1)*(BL318/BK318)^INDEX($Q448:$AJ448,1,(BL$4-1)*5+2)*(BL318/BK318)^(INDEX($Q448:$AJ448,1,(BL$4-1)*5+3)*(1+INDEX($Q448:$AJ448,1,(BL$4-1)*5+2)))</f>
        <v/>
      </c>
      <c r="BM448" s="25">
        <f>BL448*(1/(1+INDEX($Q448:$AJ448,1,(BM$4-1)*5+4)))^(1+INDEX($Q448:$AJ448,1,(BM$4-1)*5+2))*(1+BM$7)^INDEX($Q448:$AJ448,1,(BM$4-1)*5+1)*(BM318/BL318)^INDEX($Q448:$AJ448,1,(BM$4-1)*5+2)*(BM318/BL318)^(INDEX($Q448:$AJ448,1,(BM$4-1)*5+3)*(1+INDEX($Q448:$AJ448,1,(BM$4-1)*5+2)))</f>
        <v/>
      </c>
      <c r="BN448" s="25">
        <f>BM448*(1/(1+INDEX($Q448:$AJ448,1,(BN$4-1)*5+4)))^(1+INDEX($Q448:$AJ448,1,(BN$4-1)*5+2))*(1+BN$7)^INDEX($Q448:$AJ448,1,(BN$4-1)*5+1)*(BN318/BM318)^INDEX($Q448:$AJ448,1,(BN$4-1)*5+2)*(BN318/BM318)^(INDEX($Q448:$AJ448,1,(BN$4-1)*5+3)*(1+INDEX($Q448:$AJ448,1,(BN$4-1)*5+2)))</f>
        <v/>
      </c>
    </row>
    <row r="449">
      <c r="B449" s="5" t="inlineStr">
        <is>
          <t>coa</t>
        </is>
      </c>
      <c r="C449" s="5" t="inlineStr">
        <is>
          <t>srv</t>
        </is>
      </c>
      <c r="D449" s="5" t="inlineStr">
        <is>
          <t>Fuel use | Services (public &amp; private) | Coal</t>
        </is>
      </c>
      <c r="E449" s="5" t="inlineStr">
        <is>
          <t>ktoe</t>
        </is>
      </c>
      <c r="F449" s="5" t="inlineStr">
        <is>
          <t>EnergyCons (base year), Elasticities</t>
        </is>
      </c>
      <c r="G449" s="19" t="inlineStr">
        <is>
          <t>mit.enc.coa.srv</t>
        </is>
      </c>
      <c r="H449" s="19" t="inlineStr">
        <is>
          <t>mit.enc.coa.srv</t>
        </is>
      </c>
      <c r="J449" s="5">
        <f>INDEX(Mapping!$C$5:$C$20,MATCH($C449,Mapping!$A$5:$A$20,0))</f>
        <v/>
      </c>
      <c r="K449" s="5">
        <f>INDEX(Mapping!$D$5:$D$20,MATCH($C449,Mapping!$A$5:$A$20,0))</f>
        <v/>
      </c>
      <c r="L449" s="5">
        <f>INDEX(Mapping!$C$24:$C$31,MATCH($B449,Mapping!$A$24:$A$31,0))</f>
        <v/>
      </c>
      <c r="M449" s="5">
        <f>INDEX(Mapping!$D$24:$D$31,MATCH($B449,Mapping!$A$24:$A$31,0))</f>
        <v/>
      </c>
      <c r="N449" s="5">
        <f>$B449&amp;"."&amp;IF(INDEX(Mapping!$E$24:$E$31,MATCH($B449,Mapping!$A$24:$A$31,0))="sub",INDEX(Mapping!$F$5:$F$20,MATCH($C449,Mapping!$A$5:$A$20,0)),"all")</f>
        <v/>
      </c>
      <c r="O449" s="5">
        <f>INDEX(Mapping!$E$5:$E$20,MATCH($C449,Mapping!$A$5:$A$20,0))</f>
        <v/>
      </c>
      <c r="P449" s="5">
        <f>INDEX(Mapping!$G$24:$G$31,MATCH($B449,Mapping!$A$24:$A$31,0))</f>
        <v/>
      </c>
      <c r="Q449" s="22">
        <f>INDEX(Elasticities!$F$4:$I$200,MATCH("inc|"&amp;$L449&amp;"|"&amp;$K449,Elasticities!$A$4:$A$200,0),MATCH(Settings!$C$6,Elasticities!$F$3:$I$3,0))</f>
        <v/>
      </c>
      <c r="R449" s="22">
        <f>INDEX(Elasticities!$F$4:$I$200,MATCH("usg|"&amp;$L449&amp;"|"&amp;$K449,Elasticities!$A$4:$A$200,0),MATCH(Settings!$C$6,Elasticities!$F$3:$I$3,0))</f>
        <v/>
      </c>
      <c r="S449" s="22">
        <f>INDEX(Elasticities!$F$4:$I$200,MATCH("eff|"&amp;$L449&amp;"|"&amp;$K449,Elasticities!$A$4:$A$200,0),MATCH(Settings!$C$6,Elasticities!$F$3:$I$3,0))</f>
        <v/>
      </c>
      <c r="T449" s="22">
        <f>INDEX(Elasticities!$F$4:$I$200,MATCH("aei|"&amp;$M449&amp;"|"&amp;$K449,Elasticities!$A$4:$A$200,0),MATCH(Settings!$C$6,Elasticities!$F$3:$I$3,0))</f>
        <v/>
      </c>
      <c r="U449" s="21" t="n"/>
      <c r="V449" s="22">
        <f>Q449</f>
        <v/>
      </c>
      <c r="W449" s="22">
        <f>R449</f>
        <v/>
      </c>
      <c r="X449" s="22">
        <f>S449</f>
        <v/>
      </c>
      <c r="Y449" s="22">
        <f>T449</f>
        <v/>
      </c>
      <c r="Z449" s="21" t="n"/>
      <c r="AA449" s="22">
        <f>Q449</f>
        <v/>
      </c>
      <c r="AB449" s="22">
        <f>R449</f>
        <v/>
      </c>
      <c r="AC449" s="22">
        <f>S449</f>
        <v/>
      </c>
      <c r="AD449" s="22">
        <f>T449</f>
        <v/>
      </c>
      <c r="AE449" s="21" t="n"/>
      <c r="AF449" s="22">
        <f>Q449</f>
        <v/>
      </c>
      <c r="AG449" s="22">
        <f>R449</f>
        <v/>
      </c>
      <c r="AH449" s="22">
        <f>S449</f>
        <v/>
      </c>
      <c r="AI449" s="22">
        <f>T449</f>
        <v/>
      </c>
      <c r="AJ449" s="21" t="n"/>
      <c r="AL449" s="24">
        <f>INDEX(EnergyCons!$F$4:$F$5000,MATCH(Settings!$C$4&amp;"|"&amp;AL$5&amp;"|"&amp;$C449&amp;"|"&amp;$B449,EnergyCons!$A$4:$A$5000,0))</f>
        <v/>
      </c>
      <c r="AM449" s="25">
        <f>AL449*(1/(1+INDEX($Q449:$AJ449,1,(AM$4-1)*5+4)))^(1+INDEX($Q449:$AJ449,1,(AM$4-1)*5+2))*(1+AM$7)^INDEX($Q449:$AJ449,1,(AM$4-1)*5+1)*(AM319/AL319)^INDEX($Q449:$AJ449,1,(AM$4-1)*5+2)*(AM319/AL319)^(INDEX($Q449:$AJ449,1,(AM$4-1)*5+3)*(1+INDEX($Q449:$AJ449,1,(AM$4-1)*5+2)))</f>
        <v/>
      </c>
      <c r="AN449" s="25">
        <f>AM449*(1/(1+INDEX($Q449:$AJ449,1,(AN$4-1)*5+4)))^(1+INDEX($Q449:$AJ449,1,(AN$4-1)*5+2))*(1+AN$7)^INDEX($Q449:$AJ449,1,(AN$4-1)*5+1)*(AN319/AM319)^INDEX($Q449:$AJ449,1,(AN$4-1)*5+2)*(AN319/AM319)^(INDEX($Q449:$AJ449,1,(AN$4-1)*5+3)*(1+INDEX($Q449:$AJ449,1,(AN$4-1)*5+2)))</f>
        <v/>
      </c>
      <c r="AO449" s="25">
        <f>AN449*(1/(1+INDEX($Q449:$AJ449,1,(AO$4-1)*5+4)))^(1+INDEX($Q449:$AJ449,1,(AO$4-1)*5+2))*(1+AO$7)^INDEX($Q449:$AJ449,1,(AO$4-1)*5+1)*(AO319/AN319)^INDEX($Q449:$AJ449,1,(AO$4-1)*5+2)*(AO319/AN319)^(INDEX($Q449:$AJ449,1,(AO$4-1)*5+3)*(1+INDEX($Q449:$AJ449,1,(AO$4-1)*5+2)))</f>
        <v/>
      </c>
      <c r="AP449" s="25">
        <f>AO449*(1/(1+INDEX($Q449:$AJ449,1,(AP$4-1)*5+4)))^(1+INDEX($Q449:$AJ449,1,(AP$4-1)*5+2))*(1+AP$7)^INDEX($Q449:$AJ449,1,(AP$4-1)*5+1)*(AP319/AO319)^INDEX($Q449:$AJ449,1,(AP$4-1)*5+2)*(AP319/AO319)^(INDEX($Q449:$AJ449,1,(AP$4-1)*5+3)*(1+INDEX($Q449:$AJ449,1,(AP$4-1)*5+2)))</f>
        <v/>
      </c>
      <c r="AQ449" s="25">
        <f>AP449*(1/(1+INDEX($Q449:$AJ449,1,(AQ$4-1)*5+4)))^(1+INDEX($Q449:$AJ449,1,(AQ$4-1)*5+2))*(1+AQ$7)^INDEX($Q449:$AJ449,1,(AQ$4-1)*5+1)*(AQ319/AP319)^INDEX($Q449:$AJ449,1,(AQ$4-1)*5+2)*(AQ319/AP319)^(INDEX($Q449:$AJ449,1,(AQ$4-1)*5+3)*(1+INDEX($Q449:$AJ449,1,(AQ$4-1)*5+2)))</f>
        <v/>
      </c>
      <c r="AR449" s="25">
        <f>AQ449*(1/(1+INDEX($Q449:$AJ449,1,(AR$4-1)*5+4)))^(1+INDEX($Q449:$AJ449,1,(AR$4-1)*5+2))*(1+AR$7)^INDEX($Q449:$AJ449,1,(AR$4-1)*5+1)*(AR319/AQ319)^INDEX($Q449:$AJ449,1,(AR$4-1)*5+2)*(AR319/AQ319)^(INDEX($Q449:$AJ449,1,(AR$4-1)*5+3)*(1+INDEX($Q449:$AJ449,1,(AR$4-1)*5+2)))</f>
        <v/>
      </c>
      <c r="AS449" s="25">
        <f>AR449*(1/(1+INDEX($Q449:$AJ449,1,(AS$4-1)*5+4)))^(1+INDEX($Q449:$AJ449,1,(AS$4-1)*5+2))*(1+AS$7)^INDEX($Q449:$AJ449,1,(AS$4-1)*5+1)*(AS319/AR319)^INDEX($Q449:$AJ449,1,(AS$4-1)*5+2)*(AS319/AR319)^(INDEX($Q449:$AJ449,1,(AS$4-1)*5+3)*(1+INDEX($Q449:$AJ449,1,(AS$4-1)*5+2)))</f>
        <v/>
      </c>
      <c r="AT449" s="25">
        <f>AS449*(1/(1+INDEX($Q449:$AJ449,1,(AT$4-1)*5+4)))^(1+INDEX($Q449:$AJ449,1,(AT$4-1)*5+2))*(1+AT$7)^INDEX($Q449:$AJ449,1,(AT$4-1)*5+1)*(AT319/AS319)^INDEX($Q449:$AJ449,1,(AT$4-1)*5+2)*(AT319/AS319)^(INDEX($Q449:$AJ449,1,(AT$4-1)*5+3)*(1+INDEX($Q449:$AJ449,1,(AT$4-1)*5+2)))</f>
        <v/>
      </c>
      <c r="AU449" s="25">
        <f>AT449*(1/(1+INDEX($Q449:$AJ449,1,(AU$4-1)*5+4)))^(1+INDEX($Q449:$AJ449,1,(AU$4-1)*5+2))*(1+AU$7)^INDEX($Q449:$AJ449,1,(AU$4-1)*5+1)*(AU319/AT319)^INDEX($Q449:$AJ449,1,(AU$4-1)*5+2)*(AU319/AT319)^(INDEX($Q449:$AJ449,1,(AU$4-1)*5+3)*(1+INDEX($Q449:$AJ449,1,(AU$4-1)*5+2)))</f>
        <v/>
      </c>
      <c r="AV449" s="25">
        <f>AU449*(1/(1+INDEX($Q449:$AJ449,1,(AV$4-1)*5+4)))^(1+INDEX($Q449:$AJ449,1,(AV$4-1)*5+2))*(1+AV$7)^INDEX($Q449:$AJ449,1,(AV$4-1)*5+1)*(AV319/AU319)^INDEX($Q449:$AJ449,1,(AV$4-1)*5+2)*(AV319/AU319)^(INDEX($Q449:$AJ449,1,(AV$4-1)*5+3)*(1+INDEX($Q449:$AJ449,1,(AV$4-1)*5+2)))</f>
        <v/>
      </c>
      <c r="AW449" s="25">
        <f>AV449*(1/(1+INDEX($Q449:$AJ449,1,(AW$4-1)*5+4)))^(1+INDEX($Q449:$AJ449,1,(AW$4-1)*5+2))*(1+AW$7)^INDEX($Q449:$AJ449,1,(AW$4-1)*5+1)*(AW319/AV319)^INDEX($Q449:$AJ449,1,(AW$4-1)*5+2)*(AW319/AV319)^(INDEX($Q449:$AJ449,1,(AW$4-1)*5+3)*(1+INDEX($Q449:$AJ449,1,(AW$4-1)*5+2)))</f>
        <v/>
      </c>
      <c r="AX449" s="25">
        <f>AW449*(1/(1+INDEX($Q449:$AJ449,1,(AX$4-1)*5+4)))^(1+INDEX($Q449:$AJ449,1,(AX$4-1)*5+2))*(1+AX$7)^INDEX($Q449:$AJ449,1,(AX$4-1)*5+1)*(AX319/AW319)^INDEX($Q449:$AJ449,1,(AX$4-1)*5+2)*(AX319/AW319)^(INDEX($Q449:$AJ449,1,(AX$4-1)*5+3)*(1+INDEX($Q449:$AJ449,1,(AX$4-1)*5+2)))</f>
        <v/>
      </c>
      <c r="AY449" s="25">
        <f>AX449*(1/(1+INDEX($Q449:$AJ449,1,(AY$4-1)*5+4)))^(1+INDEX($Q449:$AJ449,1,(AY$4-1)*5+2))*(1+AY$7)^INDEX($Q449:$AJ449,1,(AY$4-1)*5+1)*(AY319/AX319)^INDEX($Q449:$AJ449,1,(AY$4-1)*5+2)*(AY319/AX319)^(INDEX($Q449:$AJ449,1,(AY$4-1)*5+3)*(1+INDEX($Q449:$AJ449,1,(AY$4-1)*5+2)))</f>
        <v/>
      </c>
      <c r="BA449" s="24">
        <f>INDEX(EnergyCons!$F$4:$F$5000,MATCH(Settings!$C$4&amp;"|"&amp;BA$5&amp;"|"&amp;$C449&amp;"|"&amp;$B449,EnergyCons!$A$4:$A$5000,0))</f>
        <v/>
      </c>
      <c r="BB449" s="25">
        <f>BA449*(1/(1+INDEX($Q449:$AJ449,1,(BB$4-1)*5+4)))^(1+INDEX($Q449:$AJ449,1,(BB$4-1)*5+2))*(1+BB$7)^INDEX($Q449:$AJ449,1,(BB$4-1)*5+1)*(BB319/BA319)^INDEX($Q449:$AJ449,1,(BB$4-1)*5+2)*(BB319/BA319)^(INDEX($Q449:$AJ449,1,(BB$4-1)*5+3)*(1+INDEX($Q449:$AJ449,1,(BB$4-1)*5+2)))</f>
        <v/>
      </c>
      <c r="BC449" s="25">
        <f>BB449*(1/(1+INDEX($Q449:$AJ449,1,(BC$4-1)*5+4)))^(1+INDEX($Q449:$AJ449,1,(BC$4-1)*5+2))*(1+BC$7)^INDEX($Q449:$AJ449,1,(BC$4-1)*5+1)*(BC319/BB319)^INDEX($Q449:$AJ449,1,(BC$4-1)*5+2)*(BC319/BB319)^(INDEX($Q449:$AJ449,1,(BC$4-1)*5+3)*(1+INDEX($Q449:$AJ449,1,(BC$4-1)*5+2)))</f>
        <v/>
      </c>
      <c r="BD449" s="25">
        <f>BC449*(1/(1+INDEX($Q449:$AJ449,1,(BD$4-1)*5+4)))^(1+INDEX($Q449:$AJ449,1,(BD$4-1)*5+2))*(1+BD$7)^INDEX($Q449:$AJ449,1,(BD$4-1)*5+1)*(BD319/BC319)^INDEX($Q449:$AJ449,1,(BD$4-1)*5+2)*(BD319/BC319)^(INDEX($Q449:$AJ449,1,(BD$4-1)*5+3)*(1+INDEX($Q449:$AJ449,1,(BD$4-1)*5+2)))</f>
        <v/>
      </c>
      <c r="BE449" s="25">
        <f>BD449*(1/(1+INDEX($Q449:$AJ449,1,(BE$4-1)*5+4)))^(1+INDEX($Q449:$AJ449,1,(BE$4-1)*5+2))*(1+BE$7)^INDEX($Q449:$AJ449,1,(BE$4-1)*5+1)*(BE319/BD319)^INDEX($Q449:$AJ449,1,(BE$4-1)*5+2)*(BE319/BD319)^(INDEX($Q449:$AJ449,1,(BE$4-1)*5+3)*(1+INDEX($Q449:$AJ449,1,(BE$4-1)*5+2)))</f>
        <v/>
      </c>
      <c r="BF449" s="25">
        <f>BE449*(1/(1+INDEX($Q449:$AJ449,1,(BF$4-1)*5+4)))^(1+INDEX($Q449:$AJ449,1,(BF$4-1)*5+2))*(1+BF$7)^INDEX($Q449:$AJ449,1,(BF$4-1)*5+1)*(BF319/BE319)^INDEX($Q449:$AJ449,1,(BF$4-1)*5+2)*(BF319/BE319)^(INDEX($Q449:$AJ449,1,(BF$4-1)*5+3)*(1+INDEX($Q449:$AJ449,1,(BF$4-1)*5+2)))</f>
        <v/>
      </c>
      <c r="BG449" s="25">
        <f>BF449*(1/(1+INDEX($Q449:$AJ449,1,(BG$4-1)*5+4)))^(1+INDEX($Q449:$AJ449,1,(BG$4-1)*5+2))*(1+BG$7)^INDEX($Q449:$AJ449,1,(BG$4-1)*5+1)*(BG319/BF319)^INDEX($Q449:$AJ449,1,(BG$4-1)*5+2)*(BG319/BF319)^(INDEX($Q449:$AJ449,1,(BG$4-1)*5+3)*(1+INDEX($Q449:$AJ449,1,(BG$4-1)*5+2)))</f>
        <v/>
      </c>
      <c r="BH449" s="25">
        <f>BG449*(1/(1+INDEX($Q449:$AJ449,1,(BH$4-1)*5+4)))^(1+INDEX($Q449:$AJ449,1,(BH$4-1)*5+2))*(1+BH$7)^INDEX($Q449:$AJ449,1,(BH$4-1)*5+1)*(BH319/BG319)^INDEX($Q449:$AJ449,1,(BH$4-1)*5+2)*(BH319/BG319)^(INDEX($Q449:$AJ449,1,(BH$4-1)*5+3)*(1+INDEX($Q449:$AJ449,1,(BH$4-1)*5+2)))</f>
        <v/>
      </c>
      <c r="BI449" s="25">
        <f>BH449*(1/(1+INDEX($Q449:$AJ449,1,(BI$4-1)*5+4)))^(1+INDEX($Q449:$AJ449,1,(BI$4-1)*5+2))*(1+BI$7)^INDEX($Q449:$AJ449,1,(BI$4-1)*5+1)*(BI319/BH319)^INDEX($Q449:$AJ449,1,(BI$4-1)*5+2)*(BI319/BH319)^(INDEX($Q449:$AJ449,1,(BI$4-1)*5+3)*(1+INDEX($Q449:$AJ449,1,(BI$4-1)*5+2)))</f>
        <v/>
      </c>
      <c r="BJ449" s="25">
        <f>BI449*(1/(1+INDEX($Q449:$AJ449,1,(BJ$4-1)*5+4)))^(1+INDEX($Q449:$AJ449,1,(BJ$4-1)*5+2))*(1+BJ$7)^INDEX($Q449:$AJ449,1,(BJ$4-1)*5+1)*(BJ319/BI319)^INDEX($Q449:$AJ449,1,(BJ$4-1)*5+2)*(BJ319/BI319)^(INDEX($Q449:$AJ449,1,(BJ$4-1)*5+3)*(1+INDEX($Q449:$AJ449,1,(BJ$4-1)*5+2)))</f>
        <v/>
      </c>
      <c r="BK449" s="25">
        <f>BJ449*(1/(1+INDEX($Q449:$AJ449,1,(BK$4-1)*5+4)))^(1+INDEX($Q449:$AJ449,1,(BK$4-1)*5+2))*(1+BK$7)^INDEX($Q449:$AJ449,1,(BK$4-1)*5+1)*(BK319/BJ319)^INDEX($Q449:$AJ449,1,(BK$4-1)*5+2)*(BK319/BJ319)^(INDEX($Q449:$AJ449,1,(BK$4-1)*5+3)*(1+INDEX($Q449:$AJ449,1,(BK$4-1)*5+2)))</f>
        <v/>
      </c>
      <c r="BL449" s="25">
        <f>BK449*(1/(1+INDEX($Q449:$AJ449,1,(BL$4-1)*5+4)))^(1+INDEX($Q449:$AJ449,1,(BL$4-1)*5+2))*(1+BL$7)^INDEX($Q449:$AJ449,1,(BL$4-1)*5+1)*(BL319/BK319)^INDEX($Q449:$AJ449,1,(BL$4-1)*5+2)*(BL319/BK319)^(INDEX($Q449:$AJ449,1,(BL$4-1)*5+3)*(1+INDEX($Q449:$AJ449,1,(BL$4-1)*5+2)))</f>
        <v/>
      </c>
      <c r="BM449" s="25">
        <f>BL449*(1/(1+INDEX($Q449:$AJ449,1,(BM$4-1)*5+4)))^(1+INDEX($Q449:$AJ449,1,(BM$4-1)*5+2))*(1+BM$7)^INDEX($Q449:$AJ449,1,(BM$4-1)*5+1)*(BM319/BL319)^INDEX($Q449:$AJ449,1,(BM$4-1)*5+2)*(BM319/BL319)^(INDEX($Q449:$AJ449,1,(BM$4-1)*5+3)*(1+INDEX($Q449:$AJ449,1,(BM$4-1)*5+2)))</f>
        <v/>
      </c>
      <c r="BN449" s="25">
        <f>BM449*(1/(1+INDEX($Q449:$AJ449,1,(BN$4-1)*5+4)))^(1+INDEX($Q449:$AJ449,1,(BN$4-1)*5+2))*(1+BN$7)^INDEX($Q449:$AJ449,1,(BN$4-1)*5+1)*(BN319/BM319)^INDEX($Q449:$AJ449,1,(BN$4-1)*5+2)*(BN319/BM319)^(INDEX($Q449:$AJ449,1,(BN$4-1)*5+3)*(1+INDEX($Q449:$AJ449,1,(BN$4-1)*5+2)))</f>
        <v/>
      </c>
    </row>
    <row r="450">
      <c r="B450" s="5" t="inlineStr">
        <is>
          <t>nga</t>
        </is>
      </c>
      <c r="C450" s="5" t="inlineStr">
        <is>
          <t>srv</t>
        </is>
      </c>
      <c r="D450" s="5" t="inlineStr">
        <is>
          <t>Fuel use | Services (public &amp; private) | Natural gas</t>
        </is>
      </c>
      <c r="E450" s="5" t="inlineStr">
        <is>
          <t>ktoe</t>
        </is>
      </c>
      <c r="F450" s="5" t="inlineStr">
        <is>
          <t>EnergyCons (base year), Elasticities</t>
        </is>
      </c>
      <c r="G450" s="19" t="inlineStr">
        <is>
          <t>mit.enc.nga.srv</t>
        </is>
      </c>
      <c r="H450" s="19" t="inlineStr">
        <is>
          <t>mit.enc.nga.srv</t>
        </is>
      </c>
      <c r="J450" s="5">
        <f>INDEX(Mapping!$C$5:$C$20,MATCH($C450,Mapping!$A$5:$A$20,0))</f>
        <v/>
      </c>
      <c r="K450" s="5">
        <f>INDEX(Mapping!$D$5:$D$20,MATCH($C450,Mapping!$A$5:$A$20,0))</f>
        <v/>
      </c>
      <c r="L450" s="5">
        <f>INDEX(Mapping!$C$24:$C$31,MATCH($B450,Mapping!$A$24:$A$31,0))</f>
        <v/>
      </c>
      <c r="M450" s="5">
        <f>INDEX(Mapping!$D$24:$D$31,MATCH($B450,Mapping!$A$24:$A$31,0))</f>
        <v/>
      </c>
      <c r="N450" s="5">
        <f>$B450&amp;"."&amp;IF(INDEX(Mapping!$E$24:$E$31,MATCH($B450,Mapping!$A$24:$A$31,0))="sub",INDEX(Mapping!$F$5:$F$20,MATCH($C450,Mapping!$A$5:$A$20,0)),"all")</f>
        <v/>
      </c>
      <c r="O450" s="5">
        <f>INDEX(Mapping!$E$5:$E$20,MATCH($C450,Mapping!$A$5:$A$20,0))</f>
        <v/>
      </c>
      <c r="P450" s="5">
        <f>INDEX(Mapping!$G$24:$G$31,MATCH($B450,Mapping!$A$24:$A$31,0))</f>
        <v/>
      </c>
      <c r="Q450" s="22">
        <f>INDEX(Elasticities!$F$4:$I$200,MATCH("inc|"&amp;$L450&amp;"|"&amp;$K450,Elasticities!$A$4:$A$200,0),MATCH(Settings!$C$6,Elasticities!$F$3:$I$3,0))</f>
        <v/>
      </c>
      <c r="R450" s="22">
        <f>INDEX(Elasticities!$F$4:$I$200,MATCH("usg|"&amp;$L450&amp;"|"&amp;$K450,Elasticities!$A$4:$A$200,0),MATCH(Settings!$C$6,Elasticities!$F$3:$I$3,0))</f>
        <v/>
      </c>
      <c r="S450" s="22">
        <f>INDEX(Elasticities!$F$4:$I$200,MATCH("eff|"&amp;$L450&amp;"|"&amp;$K450,Elasticities!$A$4:$A$200,0),MATCH(Settings!$C$6,Elasticities!$F$3:$I$3,0))</f>
        <v/>
      </c>
      <c r="T450" s="22">
        <f>INDEX(Elasticities!$F$4:$I$200,MATCH("aei|"&amp;$M450&amp;"|"&amp;$K450,Elasticities!$A$4:$A$200,0),MATCH(Settings!$C$6,Elasticities!$F$3:$I$3,0))</f>
        <v/>
      </c>
      <c r="U450" s="21" t="n"/>
      <c r="V450" s="22">
        <f>Q450</f>
        <v/>
      </c>
      <c r="W450" s="22">
        <f>R450</f>
        <v/>
      </c>
      <c r="X450" s="22">
        <f>S450</f>
        <v/>
      </c>
      <c r="Y450" s="22">
        <f>T450</f>
        <v/>
      </c>
      <c r="Z450" s="21" t="n"/>
      <c r="AA450" s="22">
        <f>Q450</f>
        <v/>
      </c>
      <c r="AB450" s="22">
        <f>R450</f>
        <v/>
      </c>
      <c r="AC450" s="22">
        <f>S450</f>
        <v/>
      </c>
      <c r="AD450" s="22">
        <f>T450</f>
        <v/>
      </c>
      <c r="AE450" s="21" t="n"/>
      <c r="AF450" s="22">
        <f>Q450</f>
        <v/>
      </c>
      <c r="AG450" s="22">
        <f>R450</f>
        <v/>
      </c>
      <c r="AH450" s="22">
        <f>S450</f>
        <v/>
      </c>
      <c r="AI450" s="22">
        <f>T450</f>
        <v/>
      </c>
      <c r="AJ450" s="21" t="n"/>
      <c r="AL450" s="24">
        <f>INDEX(EnergyCons!$F$4:$F$5000,MATCH(Settings!$C$4&amp;"|"&amp;AL$5&amp;"|"&amp;$C450&amp;"|"&amp;$B450,EnergyCons!$A$4:$A$5000,0))</f>
        <v/>
      </c>
      <c r="AM450" s="25">
        <f>AL450*(1/(1+INDEX($Q450:$AJ450,1,(AM$4-1)*5+4)))^(1+INDEX($Q450:$AJ450,1,(AM$4-1)*5+2))*(1+AM$7)^INDEX($Q450:$AJ450,1,(AM$4-1)*5+1)*(AM320/AL320)^INDEX($Q450:$AJ450,1,(AM$4-1)*5+2)*(AM320/AL320)^(INDEX($Q450:$AJ450,1,(AM$4-1)*5+3)*(1+INDEX($Q450:$AJ450,1,(AM$4-1)*5+2)))</f>
        <v/>
      </c>
      <c r="AN450" s="25">
        <f>AM450*(1/(1+INDEX($Q450:$AJ450,1,(AN$4-1)*5+4)))^(1+INDEX($Q450:$AJ450,1,(AN$4-1)*5+2))*(1+AN$7)^INDEX($Q450:$AJ450,1,(AN$4-1)*5+1)*(AN320/AM320)^INDEX($Q450:$AJ450,1,(AN$4-1)*5+2)*(AN320/AM320)^(INDEX($Q450:$AJ450,1,(AN$4-1)*5+3)*(1+INDEX($Q450:$AJ450,1,(AN$4-1)*5+2)))</f>
        <v/>
      </c>
      <c r="AO450" s="25">
        <f>AN450*(1/(1+INDEX($Q450:$AJ450,1,(AO$4-1)*5+4)))^(1+INDEX($Q450:$AJ450,1,(AO$4-1)*5+2))*(1+AO$7)^INDEX($Q450:$AJ450,1,(AO$4-1)*5+1)*(AO320/AN320)^INDEX($Q450:$AJ450,1,(AO$4-1)*5+2)*(AO320/AN320)^(INDEX($Q450:$AJ450,1,(AO$4-1)*5+3)*(1+INDEX($Q450:$AJ450,1,(AO$4-1)*5+2)))</f>
        <v/>
      </c>
      <c r="AP450" s="25">
        <f>AO450*(1/(1+INDEX($Q450:$AJ450,1,(AP$4-1)*5+4)))^(1+INDEX($Q450:$AJ450,1,(AP$4-1)*5+2))*(1+AP$7)^INDEX($Q450:$AJ450,1,(AP$4-1)*5+1)*(AP320/AO320)^INDEX($Q450:$AJ450,1,(AP$4-1)*5+2)*(AP320/AO320)^(INDEX($Q450:$AJ450,1,(AP$4-1)*5+3)*(1+INDEX($Q450:$AJ450,1,(AP$4-1)*5+2)))</f>
        <v/>
      </c>
      <c r="AQ450" s="25">
        <f>AP450*(1/(1+INDEX($Q450:$AJ450,1,(AQ$4-1)*5+4)))^(1+INDEX($Q450:$AJ450,1,(AQ$4-1)*5+2))*(1+AQ$7)^INDEX($Q450:$AJ450,1,(AQ$4-1)*5+1)*(AQ320/AP320)^INDEX($Q450:$AJ450,1,(AQ$4-1)*5+2)*(AQ320/AP320)^(INDEX($Q450:$AJ450,1,(AQ$4-1)*5+3)*(1+INDEX($Q450:$AJ450,1,(AQ$4-1)*5+2)))</f>
        <v/>
      </c>
      <c r="AR450" s="25">
        <f>AQ450*(1/(1+INDEX($Q450:$AJ450,1,(AR$4-1)*5+4)))^(1+INDEX($Q450:$AJ450,1,(AR$4-1)*5+2))*(1+AR$7)^INDEX($Q450:$AJ450,1,(AR$4-1)*5+1)*(AR320/AQ320)^INDEX($Q450:$AJ450,1,(AR$4-1)*5+2)*(AR320/AQ320)^(INDEX($Q450:$AJ450,1,(AR$4-1)*5+3)*(1+INDEX($Q450:$AJ450,1,(AR$4-1)*5+2)))</f>
        <v/>
      </c>
      <c r="AS450" s="25">
        <f>AR450*(1/(1+INDEX($Q450:$AJ450,1,(AS$4-1)*5+4)))^(1+INDEX($Q450:$AJ450,1,(AS$4-1)*5+2))*(1+AS$7)^INDEX($Q450:$AJ450,1,(AS$4-1)*5+1)*(AS320/AR320)^INDEX($Q450:$AJ450,1,(AS$4-1)*5+2)*(AS320/AR320)^(INDEX($Q450:$AJ450,1,(AS$4-1)*5+3)*(1+INDEX($Q450:$AJ450,1,(AS$4-1)*5+2)))</f>
        <v/>
      </c>
      <c r="AT450" s="25">
        <f>AS450*(1/(1+INDEX($Q450:$AJ450,1,(AT$4-1)*5+4)))^(1+INDEX($Q450:$AJ450,1,(AT$4-1)*5+2))*(1+AT$7)^INDEX($Q450:$AJ450,1,(AT$4-1)*5+1)*(AT320/AS320)^INDEX($Q450:$AJ450,1,(AT$4-1)*5+2)*(AT320/AS320)^(INDEX($Q450:$AJ450,1,(AT$4-1)*5+3)*(1+INDEX($Q450:$AJ450,1,(AT$4-1)*5+2)))</f>
        <v/>
      </c>
      <c r="AU450" s="25">
        <f>AT450*(1/(1+INDEX($Q450:$AJ450,1,(AU$4-1)*5+4)))^(1+INDEX($Q450:$AJ450,1,(AU$4-1)*5+2))*(1+AU$7)^INDEX($Q450:$AJ450,1,(AU$4-1)*5+1)*(AU320/AT320)^INDEX($Q450:$AJ450,1,(AU$4-1)*5+2)*(AU320/AT320)^(INDEX($Q450:$AJ450,1,(AU$4-1)*5+3)*(1+INDEX($Q450:$AJ450,1,(AU$4-1)*5+2)))</f>
        <v/>
      </c>
      <c r="AV450" s="25">
        <f>AU450*(1/(1+INDEX($Q450:$AJ450,1,(AV$4-1)*5+4)))^(1+INDEX($Q450:$AJ450,1,(AV$4-1)*5+2))*(1+AV$7)^INDEX($Q450:$AJ450,1,(AV$4-1)*5+1)*(AV320/AU320)^INDEX($Q450:$AJ450,1,(AV$4-1)*5+2)*(AV320/AU320)^(INDEX($Q450:$AJ450,1,(AV$4-1)*5+3)*(1+INDEX($Q450:$AJ450,1,(AV$4-1)*5+2)))</f>
        <v/>
      </c>
      <c r="AW450" s="25">
        <f>AV450*(1/(1+INDEX($Q450:$AJ450,1,(AW$4-1)*5+4)))^(1+INDEX($Q450:$AJ450,1,(AW$4-1)*5+2))*(1+AW$7)^INDEX($Q450:$AJ450,1,(AW$4-1)*5+1)*(AW320/AV320)^INDEX($Q450:$AJ450,1,(AW$4-1)*5+2)*(AW320/AV320)^(INDEX($Q450:$AJ450,1,(AW$4-1)*5+3)*(1+INDEX($Q450:$AJ450,1,(AW$4-1)*5+2)))</f>
        <v/>
      </c>
      <c r="AX450" s="25">
        <f>AW450*(1/(1+INDEX($Q450:$AJ450,1,(AX$4-1)*5+4)))^(1+INDEX($Q450:$AJ450,1,(AX$4-1)*5+2))*(1+AX$7)^INDEX($Q450:$AJ450,1,(AX$4-1)*5+1)*(AX320/AW320)^INDEX($Q450:$AJ450,1,(AX$4-1)*5+2)*(AX320/AW320)^(INDEX($Q450:$AJ450,1,(AX$4-1)*5+3)*(1+INDEX($Q450:$AJ450,1,(AX$4-1)*5+2)))</f>
        <v/>
      </c>
      <c r="AY450" s="25">
        <f>AX450*(1/(1+INDEX($Q450:$AJ450,1,(AY$4-1)*5+4)))^(1+INDEX($Q450:$AJ450,1,(AY$4-1)*5+2))*(1+AY$7)^INDEX($Q450:$AJ450,1,(AY$4-1)*5+1)*(AY320/AX320)^INDEX($Q450:$AJ450,1,(AY$4-1)*5+2)*(AY320/AX320)^(INDEX($Q450:$AJ450,1,(AY$4-1)*5+3)*(1+INDEX($Q450:$AJ450,1,(AY$4-1)*5+2)))</f>
        <v/>
      </c>
      <c r="BA450" s="24">
        <f>INDEX(EnergyCons!$F$4:$F$5000,MATCH(Settings!$C$4&amp;"|"&amp;BA$5&amp;"|"&amp;$C450&amp;"|"&amp;$B450,EnergyCons!$A$4:$A$5000,0))</f>
        <v/>
      </c>
      <c r="BB450" s="25">
        <f>BA450*(1/(1+INDEX($Q450:$AJ450,1,(BB$4-1)*5+4)))^(1+INDEX($Q450:$AJ450,1,(BB$4-1)*5+2))*(1+BB$7)^INDEX($Q450:$AJ450,1,(BB$4-1)*5+1)*(BB320/BA320)^INDEX($Q450:$AJ450,1,(BB$4-1)*5+2)*(BB320/BA320)^(INDEX($Q450:$AJ450,1,(BB$4-1)*5+3)*(1+INDEX($Q450:$AJ450,1,(BB$4-1)*5+2)))</f>
        <v/>
      </c>
      <c r="BC450" s="25">
        <f>BB450*(1/(1+INDEX($Q450:$AJ450,1,(BC$4-1)*5+4)))^(1+INDEX($Q450:$AJ450,1,(BC$4-1)*5+2))*(1+BC$7)^INDEX($Q450:$AJ450,1,(BC$4-1)*5+1)*(BC320/BB320)^INDEX($Q450:$AJ450,1,(BC$4-1)*5+2)*(BC320/BB320)^(INDEX($Q450:$AJ450,1,(BC$4-1)*5+3)*(1+INDEX($Q450:$AJ450,1,(BC$4-1)*5+2)))</f>
        <v/>
      </c>
      <c r="BD450" s="25">
        <f>BC450*(1/(1+INDEX($Q450:$AJ450,1,(BD$4-1)*5+4)))^(1+INDEX($Q450:$AJ450,1,(BD$4-1)*5+2))*(1+BD$7)^INDEX($Q450:$AJ450,1,(BD$4-1)*5+1)*(BD320/BC320)^INDEX($Q450:$AJ450,1,(BD$4-1)*5+2)*(BD320/BC320)^(INDEX($Q450:$AJ450,1,(BD$4-1)*5+3)*(1+INDEX($Q450:$AJ450,1,(BD$4-1)*5+2)))</f>
        <v/>
      </c>
      <c r="BE450" s="25">
        <f>BD450*(1/(1+INDEX($Q450:$AJ450,1,(BE$4-1)*5+4)))^(1+INDEX($Q450:$AJ450,1,(BE$4-1)*5+2))*(1+BE$7)^INDEX($Q450:$AJ450,1,(BE$4-1)*5+1)*(BE320/BD320)^INDEX($Q450:$AJ450,1,(BE$4-1)*5+2)*(BE320/BD320)^(INDEX($Q450:$AJ450,1,(BE$4-1)*5+3)*(1+INDEX($Q450:$AJ450,1,(BE$4-1)*5+2)))</f>
        <v/>
      </c>
      <c r="BF450" s="25">
        <f>BE450*(1/(1+INDEX($Q450:$AJ450,1,(BF$4-1)*5+4)))^(1+INDEX($Q450:$AJ450,1,(BF$4-1)*5+2))*(1+BF$7)^INDEX($Q450:$AJ450,1,(BF$4-1)*5+1)*(BF320/BE320)^INDEX($Q450:$AJ450,1,(BF$4-1)*5+2)*(BF320/BE320)^(INDEX($Q450:$AJ450,1,(BF$4-1)*5+3)*(1+INDEX($Q450:$AJ450,1,(BF$4-1)*5+2)))</f>
        <v/>
      </c>
      <c r="BG450" s="25">
        <f>BF450*(1/(1+INDEX($Q450:$AJ450,1,(BG$4-1)*5+4)))^(1+INDEX($Q450:$AJ450,1,(BG$4-1)*5+2))*(1+BG$7)^INDEX($Q450:$AJ450,1,(BG$4-1)*5+1)*(BG320/BF320)^INDEX($Q450:$AJ450,1,(BG$4-1)*5+2)*(BG320/BF320)^(INDEX($Q450:$AJ450,1,(BG$4-1)*5+3)*(1+INDEX($Q450:$AJ450,1,(BG$4-1)*5+2)))</f>
        <v/>
      </c>
      <c r="BH450" s="25">
        <f>BG450*(1/(1+INDEX($Q450:$AJ450,1,(BH$4-1)*5+4)))^(1+INDEX($Q450:$AJ450,1,(BH$4-1)*5+2))*(1+BH$7)^INDEX($Q450:$AJ450,1,(BH$4-1)*5+1)*(BH320/BG320)^INDEX($Q450:$AJ450,1,(BH$4-1)*5+2)*(BH320/BG320)^(INDEX($Q450:$AJ450,1,(BH$4-1)*5+3)*(1+INDEX($Q450:$AJ450,1,(BH$4-1)*5+2)))</f>
        <v/>
      </c>
      <c r="BI450" s="25">
        <f>BH450*(1/(1+INDEX($Q450:$AJ450,1,(BI$4-1)*5+4)))^(1+INDEX($Q450:$AJ450,1,(BI$4-1)*5+2))*(1+BI$7)^INDEX($Q450:$AJ450,1,(BI$4-1)*5+1)*(BI320/BH320)^INDEX($Q450:$AJ450,1,(BI$4-1)*5+2)*(BI320/BH320)^(INDEX($Q450:$AJ450,1,(BI$4-1)*5+3)*(1+INDEX($Q450:$AJ450,1,(BI$4-1)*5+2)))</f>
        <v/>
      </c>
      <c r="BJ450" s="25">
        <f>BI450*(1/(1+INDEX($Q450:$AJ450,1,(BJ$4-1)*5+4)))^(1+INDEX($Q450:$AJ450,1,(BJ$4-1)*5+2))*(1+BJ$7)^INDEX($Q450:$AJ450,1,(BJ$4-1)*5+1)*(BJ320/BI320)^INDEX($Q450:$AJ450,1,(BJ$4-1)*5+2)*(BJ320/BI320)^(INDEX($Q450:$AJ450,1,(BJ$4-1)*5+3)*(1+INDEX($Q450:$AJ450,1,(BJ$4-1)*5+2)))</f>
        <v/>
      </c>
      <c r="BK450" s="25">
        <f>BJ450*(1/(1+INDEX($Q450:$AJ450,1,(BK$4-1)*5+4)))^(1+INDEX($Q450:$AJ450,1,(BK$4-1)*5+2))*(1+BK$7)^INDEX($Q450:$AJ450,1,(BK$4-1)*5+1)*(BK320/BJ320)^INDEX($Q450:$AJ450,1,(BK$4-1)*5+2)*(BK320/BJ320)^(INDEX($Q450:$AJ450,1,(BK$4-1)*5+3)*(1+INDEX($Q450:$AJ450,1,(BK$4-1)*5+2)))</f>
        <v/>
      </c>
      <c r="BL450" s="25">
        <f>BK450*(1/(1+INDEX($Q450:$AJ450,1,(BL$4-1)*5+4)))^(1+INDEX($Q450:$AJ450,1,(BL$4-1)*5+2))*(1+BL$7)^INDEX($Q450:$AJ450,1,(BL$4-1)*5+1)*(BL320/BK320)^INDEX($Q450:$AJ450,1,(BL$4-1)*5+2)*(BL320/BK320)^(INDEX($Q450:$AJ450,1,(BL$4-1)*5+3)*(1+INDEX($Q450:$AJ450,1,(BL$4-1)*5+2)))</f>
        <v/>
      </c>
      <c r="BM450" s="25">
        <f>BL450*(1/(1+INDEX($Q450:$AJ450,1,(BM$4-1)*5+4)))^(1+INDEX($Q450:$AJ450,1,(BM$4-1)*5+2))*(1+BM$7)^INDEX($Q450:$AJ450,1,(BM$4-1)*5+1)*(BM320/BL320)^INDEX($Q450:$AJ450,1,(BM$4-1)*5+2)*(BM320/BL320)^(INDEX($Q450:$AJ450,1,(BM$4-1)*5+3)*(1+INDEX($Q450:$AJ450,1,(BM$4-1)*5+2)))</f>
        <v/>
      </c>
      <c r="BN450" s="25">
        <f>BM450*(1/(1+INDEX($Q450:$AJ450,1,(BN$4-1)*5+4)))^(1+INDEX($Q450:$AJ450,1,(BN$4-1)*5+2))*(1+BN$7)^INDEX($Q450:$AJ450,1,(BN$4-1)*5+1)*(BN320/BM320)^INDEX($Q450:$AJ450,1,(BN$4-1)*5+2)*(BN320/BM320)^(INDEX($Q450:$AJ450,1,(BN$4-1)*5+3)*(1+INDEX($Q450:$AJ450,1,(BN$4-1)*5+2)))</f>
        <v/>
      </c>
    </row>
    <row r="451">
      <c r="B451" s="5" t="inlineStr">
        <is>
          <t>gso</t>
        </is>
      </c>
      <c r="C451" s="5" t="inlineStr">
        <is>
          <t>srv</t>
        </is>
      </c>
      <c r="D451" s="5" t="inlineStr">
        <is>
          <t>Fuel use | Services (public &amp; private) | Gasoline</t>
        </is>
      </c>
      <c r="E451" s="5" t="inlineStr">
        <is>
          <t>ktoe</t>
        </is>
      </c>
      <c r="F451" s="5" t="inlineStr">
        <is>
          <t>EnergyCons (base year), Elasticities</t>
        </is>
      </c>
      <c r="G451" s="19" t="inlineStr">
        <is>
          <t>mit.enc.gso.srv</t>
        </is>
      </c>
      <c r="H451" s="19" t="inlineStr">
        <is>
          <t>mit.enc.gso.srv</t>
        </is>
      </c>
      <c r="J451" s="5">
        <f>INDEX(Mapping!$C$5:$C$20,MATCH($C451,Mapping!$A$5:$A$20,0))</f>
        <v/>
      </c>
      <c r="K451" s="5">
        <f>INDEX(Mapping!$D$5:$D$20,MATCH($C451,Mapping!$A$5:$A$20,0))</f>
        <v/>
      </c>
      <c r="L451" s="5">
        <f>INDEX(Mapping!$C$24:$C$31,MATCH($B451,Mapping!$A$24:$A$31,0))</f>
        <v/>
      </c>
      <c r="M451" s="5">
        <f>INDEX(Mapping!$D$24:$D$31,MATCH($B451,Mapping!$A$24:$A$31,0))</f>
        <v/>
      </c>
      <c r="N451" s="5">
        <f>$B451&amp;"."&amp;IF(INDEX(Mapping!$E$24:$E$31,MATCH($B451,Mapping!$A$24:$A$31,0))="sub",INDEX(Mapping!$F$5:$F$20,MATCH($C451,Mapping!$A$5:$A$20,0)),"all")</f>
        <v/>
      </c>
      <c r="O451" s="5">
        <f>INDEX(Mapping!$E$5:$E$20,MATCH($C451,Mapping!$A$5:$A$20,0))</f>
        <v/>
      </c>
      <c r="P451" s="5">
        <f>INDEX(Mapping!$G$24:$G$31,MATCH($B451,Mapping!$A$24:$A$31,0))</f>
        <v/>
      </c>
      <c r="Q451" s="22">
        <f>INDEX(Elasticities!$F$4:$I$200,MATCH("inc|"&amp;$L451&amp;"|"&amp;$K451,Elasticities!$A$4:$A$200,0),MATCH(Settings!$C$6,Elasticities!$F$3:$I$3,0))</f>
        <v/>
      </c>
      <c r="R451" s="22">
        <f>INDEX(Elasticities!$F$4:$I$200,MATCH("usg|"&amp;$L451&amp;"|"&amp;$K451,Elasticities!$A$4:$A$200,0),MATCH(Settings!$C$6,Elasticities!$F$3:$I$3,0))</f>
        <v/>
      </c>
      <c r="S451" s="22">
        <f>INDEX(Elasticities!$F$4:$I$200,MATCH("eff|"&amp;$L451&amp;"|"&amp;$K451,Elasticities!$A$4:$A$200,0),MATCH(Settings!$C$6,Elasticities!$F$3:$I$3,0))</f>
        <v/>
      </c>
      <c r="T451" s="22">
        <f>INDEX(Elasticities!$F$4:$I$200,MATCH("aei|"&amp;$M451&amp;"|"&amp;$K451,Elasticities!$A$4:$A$200,0),MATCH(Settings!$C$6,Elasticities!$F$3:$I$3,0))</f>
        <v/>
      </c>
      <c r="U451" s="21" t="n"/>
      <c r="V451" s="22">
        <f>Q451</f>
        <v/>
      </c>
      <c r="W451" s="22">
        <f>R451</f>
        <v/>
      </c>
      <c r="X451" s="22">
        <f>S451</f>
        <v/>
      </c>
      <c r="Y451" s="22">
        <f>T451</f>
        <v/>
      </c>
      <c r="Z451" s="21" t="n"/>
      <c r="AA451" s="22">
        <f>Q451</f>
        <v/>
      </c>
      <c r="AB451" s="22">
        <f>R451</f>
        <v/>
      </c>
      <c r="AC451" s="22">
        <f>S451</f>
        <v/>
      </c>
      <c r="AD451" s="22">
        <f>T451</f>
        <v/>
      </c>
      <c r="AE451" s="21" t="n"/>
      <c r="AF451" s="22">
        <f>Q451</f>
        <v/>
      </c>
      <c r="AG451" s="22">
        <f>R451</f>
        <v/>
      </c>
      <c r="AH451" s="22">
        <f>S451</f>
        <v/>
      </c>
      <c r="AI451" s="22">
        <f>T451</f>
        <v/>
      </c>
      <c r="AJ451" s="21" t="n"/>
      <c r="AL451" s="24">
        <f>INDEX(EnergyCons!$F$4:$F$5000,MATCH(Settings!$C$4&amp;"|"&amp;AL$5&amp;"|"&amp;$C451&amp;"|"&amp;$B451,EnergyCons!$A$4:$A$5000,0))</f>
        <v/>
      </c>
      <c r="AM451" s="25">
        <f>AL451*(1/(1+INDEX($Q451:$AJ451,1,(AM$4-1)*5+4)))^(1+INDEX($Q451:$AJ451,1,(AM$4-1)*5+2))*(1+AM$7)^INDEX($Q451:$AJ451,1,(AM$4-1)*5+1)*(AM321/AL321)^INDEX($Q451:$AJ451,1,(AM$4-1)*5+2)*(AM321/AL321)^(INDEX($Q451:$AJ451,1,(AM$4-1)*5+3)*(1+INDEX($Q451:$AJ451,1,(AM$4-1)*5+2)))</f>
        <v/>
      </c>
      <c r="AN451" s="25">
        <f>AM451*(1/(1+INDEX($Q451:$AJ451,1,(AN$4-1)*5+4)))^(1+INDEX($Q451:$AJ451,1,(AN$4-1)*5+2))*(1+AN$7)^INDEX($Q451:$AJ451,1,(AN$4-1)*5+1)*(AN321/AM321)^INDEX($Q451:$AJ451,1,(AN$4-1)*5+2)*(AN321/AM321)^(INDEX($Q451:$AJ451,1,(AN$4-1)*5+3)*(1+INDEX($Q451:$AJ451,1,(AN$4-1)*5+2)))</f>
        <v/>
      </c>
      <c r="AO451" s="25">
        <f>AN451*(1/(1+INDEX($Q451:$AJ451,1,(AO$4-1)*5+4)))^(1+INDEX($Q451:$AJ451,1,(AO$4-1)*5+2))*(1+AO$7)^INDEX($Q451:$AJ451,1,(AO$4-1)*5+1)*(AO321/AN321)^INDEX($Q451:$AJ451,1,(AO$4-1)*5+2)*(AO321/AN321)^(INDEX($Q451:$AJ451,1,(AO$4-1)*5+3)*(1+INDEX($Q451:$AJ451,1,(AO$4-1)*5+2)))</f>
        <v/>
      </c>
      <c r="AP451" s="25">
        <f>AO451*(1/(1+INDEX($Q451:$AJ451,1,(AP$4-1)*5+4)))^(1+INDEX($Q451:$AJ451,1,(AP$4-1)*5+2))*(1+AP$7)^INDEX($Q451:$AJ451,1,(AP$4-1)*5+1)*(AP321/AO321)^INDEX($Q451:$AJ451,1,(AP$4-1)*5+2)*(AP321/AO321)^(INDEX($Q451:$AJ451,1,(AP$4-1)*5+3)*(1+INDEX($Q451:$AJ451,1,(AP$4-1)*5+2)))</f>
        <v/>
      </c>
      <c r="AQ451" s="25">
        <f>AP451*(1/(1+INDEX($Q451:$AJ451,1,(AQ$4-1)*5+4)))^(1+INDEX($Q451:$AJ451,1,(AQ$4-1)*5+2))*(1+AQ$7)^INDEX($Q451:$AJ451,1,(AQ$4-1)*5+1)*(AQ321/AP321)^INDEX($Q451:$AJ451,1,(AQ$4-1)*5+2)*(AQ321/AP321)^(INDEX($Q451:$AJ451,1,(AQ$4-1)*5+3)*(1+INDEX($Q451:$AJ451,1,(AQ$4-1)*5+2)))</f>
        <v/>
      </c>
      <c r="AR451" s="25">
        <f>AQ451*(1/(1+INDEX($Q451:$AJ451,1,(AR$4-1)*5+4)))^(1+INDEX($Q451:$AJ451,1,(AR$4-1)*5+2))*(1+AR$7)^INDEX($Q451:$AJ451,1,(AR$4-1)*5+1)*(AR321/AQ321)^INDEX($Q451:$AJ451,1,(AR$4-1)*5+2)*(AR321/AQ321)^(INDEX($Q451:$AJ451,1,(AR$4-1)*5+3)*(1+INDEX($Q451:$AJ451,1,(AR$4-1)*5+2)))</f>
        <v/>
      </c>
      <c r="AS451" s="25">
        <f>AR451*(1/(1+INDEX($Q451:$AJ451,1,(AS$4-1)*5+4)))^(1+INDEX($Q451:$AJ451,1,(AS$4-1)*5+2))*(1+AS$7)^INDEX($Q451:$AJ451,1,(AS$4-1)*5+1)*(AS321/AR321)^INDEX($Q451:$AJ451,1,(AS$4-1)*5+2)*(AS321/AR321)^(INDEX($Q451:$AJ451,1,(AS$4-1)*5+3)*(1+INDEX($Q451:$AJ451,1,(AS$4-1)*5+2)))</f>
        <v/>
      </c>
      <c r="AT451" s="25">
        <f>AS451*(1/(1+INDEX($Q451:$AJ451,1,(AT$4-1)*5+4)))^(1+INDEX($Q451:$AJ451,1,(AT$4-1)*5+2))*(1+AT$7)^INDEX($Q451:$AJ451,1,(AT$4-1)*5+1)*(AT321/AS321)^INDEX($Q451:$AJ451,1,(AT$4-1)*5+2)*(AT321/AS321)^(INDEX($Q451:$AJ451,1,(AT$4-1)*5+3)*(1+INDEX($Q451:$AJ451,1,(AT$4-1)*5+2)))</f>
        <v/>
      </c>
      <c r="AU451" s="25">
        <f>AT451*(1/(1+INDEX($Q451:$AJ451,1,(AU$4-1)*5+4)))^(1+INDEX($Q451:$AJ451,1,(AU$4-1)*5+2))*(1+AU$7)^INDEX($Q451:$AJ451,1,(AU$4-1)*5+1)*(AU321/AT321)^INDEX($Q451:$AJ451,1,(AU$4-1)*5+2)*(AU321/AT321)^(INDEX($Q451:$AJ451,1,(AU$4-1)*5+3)*(1+INDEX($Q451:$AJ451,1,(AU$4-1)*5+2)))</f>
        <v/>
      </c>
      <c r="AV451" s="25">
        <f>AU451*(1/(1+INDEX($Q451:$AJ451,1,(AV$4-1)*5+4)))^(1+INDEX($Q451:$AJ451,1,(AV$4-1)*5+2))*(1+AV$7)^INDEX($Q451:$AJ451,1,(AV$4-1)*5+1)*(AV321/AU321)^INDEX($Q451:$AJ451,1,(AV$4-1)*5+2)*(AV321/AU321)^(INDEX($Q451:$AJ451,1,(AV$4-1)*5+3)*(1+INDEX($Q451:$AJ451,1,(AV$4-1)*5+2)))</f>
        <v/>
      </c>
      <c r="AW451" s="25">
        <f>AV451*(1/(1+INDEX($Q451:$AJ451,1,(AW$4-1)*5+4)))^(1+INDEX($Q451:$AJ451,1,(AW$4-1)*5+2))*(1+AW$7)^INDEX($Q451:$AJ451,1,(AW$4-1)*5+1)*(AW321/AV321)^INDEX($Q451:$AJ451,1,(AW$4-1)*5+2)*(AW321/AV321)^(INDEX($Q451:$AJ451,1,(AW$4-1)*5+3)*(1+INDEX($Q451:$AJ451,1,(AW$4-1)*5+2)))</f>
        <v/>
      </c>
      <c r="AX451" s="25">
        <f>AW451*(1/(1+INDEX($Q451:$AJ451,1,(AX$4-1)*5+4)))^(1+INDEX($Q451:$AJ451,1,(AX$4-1)*5+2))*(1+AX$7)^INDEX($Q451:$AJ451,1,(AX$4-1)*5+1)*(AX321/AW321)^INDEX($Q451:$AJ451,1,(AX$4-1)*5+2)*(AX321/AW321)^(INDEX($Q451:$AJ451,1,(AX$4-1)*5+3)*(1+INDEX($Q451:$AJ451,1,(AX$4-1)*5+2)))</f>
        <v/>
      </c>
      <c r="AY451" s="25">
        <f>AX451*(1/(1+INDEX($Q451:$AJ451,1,(AY$4-1)*5+4)))^(1+INDEX($Q451:$AJ451,1,(AY$4-1)*5+2))*(1+AY$7)^INDEX($Q451:$AJ451,1,(AY$4-1)*5+1)*(AY321/AX321)^INDEX($Q451:$AJ451,1,(AY$4-1)*5+2)*(AY321/AX321)^(INDEX($Q451:$AJ451,1,(AY$4-1)*5+3)*(1+INDEX($Q451:$AJ451,1,(AY$4-1)*5+2)))</f>
        <v/>
      </c>
      <c r="BA451" s="24">
        <f>INDEX(EnergyCons!$F$4:$F$5000,MATCH(Settings!$C$4&amp;"|"&amp;BA$5&amp;"|"&amp;$C451&amp;"|"&amp;$B451,EnergyCons!$A$4:$A$5000,0))</f>
        <v/>
      </c>
      <c r="BB451" s="25">
        <f>BA451*(1/(1+INDEX($Q451:$AJ451,1,(BB$4-1)*5+4)))^(1+INDEX($Q451:$AJ451,1,(BB$4-1)*5+2))*(1+BB$7)^INDEX($Q451:$AJ451,1,(BB$4-1)*5+1)*(BB321/BA321)^INDEX($Q451:$AJ451,1,(BB$4-1)*5+2)*(BB321/BA321)^(INDEX($Q451:$AJ451,1,(BB$4-1)*5+3)*(1+INDEX($Q451:$AJ451,1,(BB$4-1)*5+2)))</f>
        <v/>
      </c>
      <c r="BC451" s="25">
        <f>BB451*(1/(1+INDEX($Q451:$AJ451,1,(BC$4-1)*5+4)))^(1+INDEX($Q451:$AJ451,1,(BC$4-1)*5+2))*(1+BC$7)^INDEX($Q451:$AJ451,1,(BC$4-1)*5+1)*(BC321/BB321)^INDEX($Q451:$AJ451,1,(BC$4-1)*5+2)*(BC321/BB321)^(INDEX($Q451:$AJ451,1,(BC$4-1)*5+3)*(1+INDEX($Q451:$AJ451,1,(BC$4-1)*5+2)))</f>
        <v/>
      </c>
      <c r="BD451" s="25">
        <f>BC451*(1/(1+INDEX($Q451:$AJ451,1,(BD$4-1)*5+4)))^(1+INDEX($Q451:$AJ451,1,(BD$4-1)*5+2))*(1+BD$7)^INDEX($Q451:$AJ451,1,(BD$4-1)*5+1)*(BD321/BC321)^INDEX($Q451:$AJ451,1,(BD$4-1)*5+2)*(BD321/BC321)^(INDEX($Q451:$AJ451,1,(BD$4-1)*5+3)*(1+INDEX($Q451:$AJ451,1,(BD$4-1)*5+2)))</f>
        <v/>
      </c>
      <c r="BE451" s="25">
        <f>BD451*(1/(1+INDEX($Q451:$AJ451,1,(BE$4-1)*5+4)))^(1+INDEX($Q451:$AJ451,1,(BE$4-1)*5+2))*(1+BE$7)^INDEX($Q451:$AJ451,1,(BE$4-1)*5+1)*(BE321/BD321)^INDEX($Q451:$AJ451,1,(BE$4-1)*5+2)*(BE321/BD321)^(INDEX($Q451:$AJ451,1,(BE$4-1)*5+3)*(1+INDEX($Q451:$AJ451,1,(BE$4-1)*5+2)))</f>
        <v/>
      </c>
      <c r="BF451" s="25">
        <f>BE451*(1/(1+INDEX($Q451:$AJ451,1,(BF$4-1)*5+4)))^(1+INDEX($Q451:$AJ451,1,(BF$4-1)*5+2))*(1+BF$7)^INDEX($Q451:$AJ451,1,(BF$4-1)*5+1)*(BF321/BE321)^INDEX($Q451:$AJ451,1,(BF$4-1)*5+2)*(BF321/BE321)^(INDEX($Q451:$AJ451,1,(BF$4-1)*5+3)*(1+INDEX($Q451:$AJ451,1,(BF$4-1)*5+2)))</f>
        <v/>
      </c>
      <c r="BG451" s="25">
        <f>BF451*(1/(1+INDEX($Q451:$AJ451,1,(BG$4-1)*5+4)))^(1+INDEX($Q451:$AJ451,1,(BG$4-1)*5+2))*(1+BG$7)^INDEX($Q451:$AJ451,1,(BG$4-1)*5+1)*(BG321/BF321)^INDEX($Q451:$AJ451,1,(BG$4-1)*5+2)*(BG321/BF321)^(INDEX($Q451:$AJ451,1,(BG$4-1)*5+3)*(1+INDEX($Q451:$AJ451,1,(BG$4-1)*5+2)))</f>
        <v/>
      </c>
      <c r="BH451" s="25">
        <f>BG451*(1/(1+INDEX($Q451:$AJ451,1,(BH$4-1)*5+4)))^(1+INDEX($Q451:$AJ451,1,(BH$4-1)*5+2))*(1+BH$7)^INDEX($Q451:$AJ451,1,(BH$4-1)*5+1)*(BH321/BG321)^INDEX($Q451:$AJ451,1,(BH$4-1)*5+2)*(BH321/BG321)^(INDEX($Q451:$AJ451,1,(BH$4-1)*5+3)*(1+INDEX($Q451:$AJ451,1,(BH$4-1)*5+2)))</f>
        <v/>
      </c>
      <c r="BI451" s="25">
        <f>BH451*(1/(1+INDEX($Q451:$AJ451,1,(BI$4-1)*5+4)))^(1+INDEX($Q451:$AJ451,1,(BI$4-1)*5+2))*(1+BI$7)^INDEX($Q451:$AJ451,1,(BI$4-1)*5+1)*(BI321/BH321)^INDEX($Q451:$AJ451,1,(BI$4-1)*5+2)*(BI321/BH321)^(INDEX($Q451:$AJ451,1,(BI$4-1)*5+3)*(1+INDEX($Q451:$AJ451,1,(BI$4-1)*5+2)))</f>
        <v/>
      </c>
      <c r="BJ451" s="25">
        <f>BI451*(1/(1+INDEX($Q451:$AJ451,1,(BJ$4-1)*5+4)))^(1+INDEX($Q451:$AJ451,1,(BJ$4-1)*5+2))*(1+BJ$7)^INDEX($Q451:$AJ451,1,(BJ$4-1)*5+1)*(BJ321/BI321)^INDEX($Q451:$AJ451,1,(BJ$4-1)*5+2)*(BJ321/BI321)^(INDEX($Q451:$AJ451,1,(BJ$4-1)*5+3)*(1+INDEX($Q451:$AJ451,1,(BJ$4-1)*5+2)))</f>
        <v/>
      </c>
      <c r="BK451" s="25">
        <f>BJ451*(1/(1+INDEX($Q451:$AJ451,1,(BK$4-1)*5+4)))^(1+INDEX($Q451:$AJ451,1,(BK$4-1)*5+2))*(1+BK$7)^INDEX($Q451:$AJ451,1,(BK$4-1)*5+1)*(BK321/BJ321)^INDEX($Q451:$AJ451,1,(BK$4-1)*5+2)*(BK321/BJ321)^(INDEX($Q451:$AJ451,1,(BK$4-1)*5+3)*(1+INDEX($Q451:$AJ451,1,(BK$4-1)*5+2)))</f>
        <v/>
      </c>
      <c r="BL451" s="25">
        <f>BK451*(1/(1+INDEX($Q451:$AJ451,1,(BL$4-1)*5+4)))^(1+INDEX($Q451:$AJ451,1,(BL$4-1)*5+2))*(1+BL$7)^INDEX($Q451:$AJ451,1,(BL$4-1)*5+1)*(BL321/BK321)^INDEX($Q451:$AJ451,1,(BL$4-1)*5+2)*(BL321/BK321)^(INDEX($Q451:$AJ451,1,(BL$4-1)*5+3)*(1+INDEX($Q451:$AJ451,1,(BL$4-1)*5+2)))</f>
        <v/>
      </c>
      <c r="BM451" s="25">
        <f>BL451*(1/(1+INDEX($Q451:$AJ451,1,(BM$4-1)*5+4)))^(1+INDEX($Q451:$AJ451,1,(BM$4-1)*5+2))*(1+BM$7)^INDEX($Q451:$AJ451,1,(BM$4-1)*5+1)*(BM321/BL321)^INDEX($Q451:$AJ451,1,(BM$4-1)*5+2)*(BM321/BL321)^(INDEX($Q451:$AJ451,1,(BM$4-1)*5+3)*(1+INDEX($Q451:$AJ451,1,(BM$4-1)*5+2)))</f>
        <v/>
      </c>
      <c r="BN451" s="25">
        <f>BM451*(1/(1+INDEX($Q451:$AJ451,1,(BN$4-1)*5+4)))^(1+INDEX($Q451:$AJ451,1,(BN$4-1)*5+2))*(1+BN$7)^INDEX($Q451:$AJ451,1,(BN$4-1)*5+1)*(BN321/BM321)^INDEX($Q451:$AJ451,1,(BN$4-1)*5+2)*(BN321/BM321)^(INDEX($Q451:$AJ451,1,(BN$4-1)*5+3)*(1+INDEX($Q451:$AJ451,1,(BN$4-1)*5+2)))</f>
        <v/>
      </c>
    </row>
    <row r="452">
      <c r="B452" s="5" t="inlineStr">
        <is>
          <t>die</t>
        </is>
      </c>
      <c r="C452" s="5" t="inlineStr">
        <is>
          <t>srv</t>
        </is>
      </c>
      <c r="D452" s="5" t="inlineStr">
        <is>
          <t>Fuel use | Services (public &amp; private) | Diesel</t>
        </is>
      </c>
      <c r="E452" s="5" t="inlineStr">
        <is>
          <t>ktoe</t>
        </is>
      </c>
      <c r="F452" s="5" t="inlineStr">
        <is>
          <t>EnergyCons (base year), Elasticities</t>
        </is>
      </c>
      <c r="G452" s="19" t="inlineStr">
        <is>
          <t>mit.enc.die.srv</t>
        </is>
      </c>
      <c r="H452" s="19" t="inlineStr">
        <is>
          <t>mit.enc.die.srv</t>
        </is>
      </c>
      <c r="J452" s="5">
        <f>INDEX(Mapping!$C$5:$C$20,MATCH($C452,Mapping!$A$5:$A$20,0))</f>
        <v/>
      </c>
      <c r="K452" s="5">
        <f>INDEX(Mapping!$D$5:$D$20,MATCH($C452,Mapping!$A$5:$A$20,0))</f>
        <v/>
      </c>
      <c r="L452" s="5">
        <f>INDEX(Mapping!$C$24:$C$31,MATCH($B452,Mapping!$A$24:$A$31,0))</f>
        <v/>
      </c>
      <c r="M452" s="5">
        <f>INDEX(Mapping!$D$24:$D$31,MATCH($B452,Mapping!$A$24:$A$31,0))</f>
        <v/>
      </c>
      <c r="N452" s="5">
        <f>$B452&amp;"."&amp;IF(INDEX(Mapping!$E$24:$E$31,MATCH($B452,Mapping!$A$24:$A$31,0))="sub",INDEX(Mapping!$F$5:$F$20,MATCH($C452,Mapping!$A$5:$A$20,0)),"all")</f>
        <v/>
      </c>
      <c r="O452" s="5">
        <f>INDEX(Mapping!$E$5:$E$20,MATCH($C452,Mapping!$A$5:$A$20,0))</f>
        <v/>
      </c>
      <c r="P452" s="5">
        <f>INDEX(Mapping!$G$24:$G$31,MATCH($B452,Mapping!$A$24:$A$31,0))</f>
        <v/>
      </c>
      <c r="Q452" s="22">
        <f>INDEX(Elasticities!$F$4:$I$200,MATCH("inc|"&amp;$L452&amp;"|"&amp;$K452,Elasticities!$A$4:$A$200,0),MATCH(Settings!$C$6,Elasticities!$F$3:$I$3,0))</f>
        <v/>
      </c>
      <c r="R452" s="22">
        <f>INDEX(Elasticities!$F$4:$I$200,MATCH("usg|"&amp;$L452&amp;"|"&amp;$K452,Elasticities!$A$4:$A$200,0),MATCH(Settings!$C$6,Elasticities!$F$3:$I$3,0))</f>
        <v/>
      </c>
      <c r="S452" s="22">
        <f>INDEX(Elasticities!$F$4:$I$200,MATCH("eff|"&amp;$L452&amp;"|"&amp;$K452,Elasticities!$A$4:$A$200,0),MATCH(Settings!$C$6,Elasticities!$F$3:$I$3,0))</f>
        <v/>
      </c>
      <c r="T452" s="22">
        <f>INDEX(Elasticities!$F$4:$I$200,MATCH("aei|"&amp;$M452&amp;"|"&amp;$K452,Elasticities!$A$4:$A$200,0),MATCH(Settings!$C$6,Elasticities!$F$3:$I$3,0))</f>
        <v/>
      </c>
      <c r="U452" s="21" t="n"/>
      <c r="V452" s="22">
        <f>Q452</f>
        <v/>
      </c>
      <c r="W452" s="22">
        <f>R452</f>
        <v/>
      </c>
      <c r="X452" s="22">
        <f>S452</f>
        <v/>
      </c>
      <c r="Y452" s="22">
        <f>T452</f>
        <v/>
      </c>
      <c r="Z452" s="21" t="n"/>
      <c r="AA452" s="22">
        <f>Q452</f>
        <v/>
      </c>
      <c r="AB452" s="22">
        <f>R452</f>
        <v/>
      </c>
      <c r="AC452" s="22">
        <f>S452</f>
        <v/>
      </c>
      <c r="AD452" s="22">
        <f>T452</f>
        <v/>
      </c>
      <c r="AE452" s="21" t="n"/>
      <c r="AF452" s="22">
        <f>Q452</f>
        <v/>
      </c>
      <c r="AG452" s="22">
        <f>R452</f>
        <v/>
      </c>
      <c r="AH452" s="22">
        <f>S452</f>
        <v/>
      </c>
      <c r="AI452" s="22">
        <f>T452</f>
        <v/>
      </c>
      <c r="AJ452" s="21" t="n"/>
      <c r="AL452" s="24">
        <f>INDEX(EnergyCons!$F$4:$F$5000,MATCH(Settings!$C$4&amp;"|"&amp;AL$5&amp;"|"&amp;$C452&amp;"|"&amp;$B452,EnergyCons!$A$4:$A$5000,0))</f>
        <v/>
      </c>
      <c r="AM452" s="25">
        <f>AL452*(1/(1+INDEX($Q452:$AJ452,1,(AM$4-1)*5+4)))^(1+INDEX($Q452:$AJ452,1,(AM$4-1)*5+2))*(1+AM$7)^INDEX($Q452:$AJ452,1,(AM$4-1)*5+1)*(AM322/AL322)^INDEX($Q452:$AJ452,1,(AM$4-1)*5+2)*(AM322/AL322)^(INDEX($Q452:$AJ452,1,(AM$4-1)*5+3)*(1+INDEX($Q452:$AJ452,1,(AM$4-1)*5+2)))</f>
        <v/>
      </c>
      <c r="AN452" s="25">
        <f>AM452*(1/(1+INDEX($Q452:$AJ452,1,(AN$4-1)*5+4)))^(1+INDEX($Q452:$AJ452,1,(AN$4-1)*5+2))*(1+AN$7)^INDEX($Q452:$AJ452,1,(AN$4-1)*5+1)*(AN322/AM322)^INDEX($Q452:$AJ452,1,(AN$4-1)*5+2)*(AN322/AM322)^(INDEX($Q452:$AJ452,1,(AN$4-1)*5+3)*(1+INDEX($Q452:$AJ452,1,(AN$4-1)*5+2)))</f>
        <v/>
      </c>
      <c r="AO452" s="25">
        <f>AN452*(1/(1+INDEX($Q452:$AJ452,1,(AO$4-1)*5+4)))^(1+INDEX($Q452:$AJ452,1,(AO$4-1)*5+2))*(1+AO$7)^INDEX($Q452:$AJ452,1,(AO$4-1)*5+1)*(AO322/AN322)^INDEX($Q452:$AJ452,1,(AO$4-1)*5+2)*(AO322/AN322)^(INDEX($Q452:$AJ452,1,(AO$4-1)*5+3)*(1+INDEX($Q452:$AJ452,1,(AO$4-1)*5+2)))</f>
        <v/>
      </c>
      <c r="AP452" s="25">
        <f>AO452*(1/(1+INDEX($Q452:$AJ452,1,(AP$4-1)*5+4)))^(1+INDEX($Q452:$AJ452,1,(AP$4-1)*5+2))*(1+AP$7)^INDEX($Q452:$AJ452,1,(AP$4-1)*5+1)*(AP322/AO322)^INDEX($Q452:$AJ452,1,(AP$4-1)*5+2)*(AP322/AO322)^(INDEX($Q452:$AJ452,1,(AP$4-1)*5+3)*(1+INDEX($Q452:$AJ452,1,(AP$4-1)*5+2)))</f>
        <v/>
      </c>
      <c r="AQ452" s="25">
        <f>AP452*(1/(1+INDEX($Q452:$AJ452,1,(AQ$4-1)*5+4)))^(1+INDEX($Q452:$AJ452,1,(AQ$4-1)*5+2))*(1+AQ$7)^INDEX($Q452:$AJ452,1,(AQ$4-1)*5+1)*(AQ322/AP322)^INDEX($Q452:$AJ452,1,(AQ$4-1)*5+2)*(AQ322/AP322)^(INDEX($Q452:$AJ452,1,(AQ$4-1)*5+3)*(1+INDEX($Q452:$AJ452,1,(AQ$4-1)*5+2)))</f>
        <v/>
      </c>
      <c r="AR452" s="25">
        <f>AQ452*(1/(1+INDEX($Q452:$AJ452,1,(AR$4-1)*5+4)))^(1+INDEX($Q452:$AJ452,1,(AR$4-1)*5+2))*(1+AR$7)^INDEX($Q452:$AJ452,1,(AR$4-1)*5+1)*(AR322/AQ322)^INDEX($Q452:$AJ452,1,(AR$4-1)*5+2)*(AR322/AQ322)^(INDEX($Q452:$AJ452,1,(AR$4-1)*5+3)*(1+INDEX($Q452:$AJ452,1,(AR$4-1)*5+2)))</f>
        <v/>
      </c>
      <c r="AS452" s="25">
        <f>AR452*(1/(1+INDEX($Q452:$AJ452,1,(AS$4-1)*5+4)))^(1+INDEX($Q452:$AJ452,1,(AS$4-1)*5+2))*(1+AS$7)^INDEX($Q452:$AJ452,1,(AS$4-1)*5+1)*(AS322/AR322)^INDEX($Q452:$AJ452,1,(AS$4-1)*5+2)*(AS322/AR322)^(INDEX($Q452:$AJ452,1,(AS$4-1)*5+3)*(1+INDEX($Q452:$AJ452,1,(AS$4-1)*5+2)))</f>
        <v/>
      </c>
      <c r="AT452" s="25">
        <f>AS452*(1/(1+INDEX($Q452:$AJ452,1,(AT$4-1)*5+4)))^(1+INDEX($Q452:$AJ452,1,(AT$4-1)*5+2))*(1+AT$7)^INDEX($Q452:$AJ452,1,(AT$4-1)*5+1)*(AT322/AS322)^INDEX($Q452:$AJ452,1,(AT$4-1)*5+2)*(AT322/AS322)^(INDEX($Q452:$AJ452,1,(AT$4-1)*5+3)*(1+INDEX($Q452:$AJ452,1,(AT$4-1)*5+2)))</f>
        <v/>
      </c>
      <c r="AU452" s="25">
        <f>AT452*(1/(1+INDEX($Q452:$AJ452,1,(AU$4-1)*5+4)))^(1+INDEX($Q452:$AJ452,1,(AU$4-1)*5+2))*(1+AU$7)^INDEX($Q452:$AJ452,1,(AU$4-1)*5+1)*(AU322/AT322)^INDEX($Q452:$AJ452,1,(AU$4-1)*5+2)*(AU322/AT322)^(INDEX($Q452:$AJ452,1,(AU$4-1)*5+3)*(1+INDEX($Q452:$AJ452,1,(AU$4-1)*5+2)))</f>
        <v/>
      </c>
      <c r="AV452" s="25">
        <f>AU452*(1/(1+INDEX($Q452:$AJ452,1,(AV$4-1)*5+4)))^(1+INDEX($Q452:$AJ452,1,(AV$4-1)*5+2))*(1+AV$7)^INDEX($Q452:$AJ452,1,(AV$4-1)*5+1)*(AV322/AU322)^INDEX($Q452:$AJ452,1,(AV$4-1)*5+2)*(AV322/AU322)^(INDEX($Q452:$AJ452,1,(AV$4-1)*5+3)*(1+INDEX($Q452:$AJ452,1,(AV$4-1)*5+2)))</f>
        <v/>
      </c>
      <c r="AW452" s="25">
        <f>AV452*(1/(1+INDEX($Q452:$AJ452,1,(AW$4-1)*5+4)))^(1+INDEX($Q452:$AJ452,1,(AW$4-1)*5+2))*(1+AW$7)^INDEX($Q452:$AJ452,1,(AW$4-1)*5+1)*(AW322/AV322)^INDEX($Q452:$AJ452,1,(AW$4-1)*5+2)*(AW322/AV322)^(INDEX($Q452:$AJ452,1,(AW$4-1)*5+3)*(1+INDEX($Q452:$AJ452,1,(AW$4-1)*5+2)))</f>
        <v/>
      </c>
      <c r="AX452" s="25">
        <f>AW452*(1/(1+INDEX($Q452:$AJ452,1,(AX$4-1)*5+4)))^(1+INDEX($Q452:$AJ452,1,(AX$4-1)*5+2))*(1+AX$7)^INDEX($Q452:$AJ452,1,(AX$4-1)*5+1)*(AX322/AW322)^INDEX($Q452:$AJ452,1,(AX$4-1)*5+2)*(AX322/AW322)^(INDEX($Q452:$AJ452,1,(AX$4-1)*5+3)*(1+INDEX($Q452:$AJ452,1,(AX$4-1)*5+2)))</f>
        <v/>
      </c>
      <c r="AY452" s="25">
        <f>AX452*(1/(1+INDEX($Q452:$AJ452,1,(AY$4-1)*5+4)))^(1+INDEX($Q452:$AJ452,1,(AY$4-1)*5+2))*(1+AY$7)^INDEX($Q452:$AJ452,1,(AY$4-1)*5+1)*(AY322/AX322)^INDEX($Q452:$AJ452,1,(AY$4-1)*5+2)*(AY322/AX322)^(INDEX($Q452:$AJ452,1,(AY$4-1)*5+3)*(1+INDEX($Q452:$AJ452,1,(AY$4-1)*5+2)))</f>
        <v/>
      </c>
      <c r="BA452" s="24">
        <f>INDEX(EnergyCons!$F$4:$F$5000,MATCH(Settings!$C$4&amp;"|"&amp;BA$5&amp;"|"&amp;$C452&amp;"|"&amp;$B452,EnergyCons!$A$4:$A$5000,0))</f>
        <v/>
      </c>
      <c r="BB452" s="25">
        <f>BA452*(1/(1+INDEX($Q452:$AJ452,1,(BB$4-1)*5+4)))^(1+INDEX($Q452:$AJ452,1,(BB$4-1)*5+2))*(1+BB$7)^INDEX($Q452:$AJ452,1,(BB$4-1)*5+1)*(BB322/BA322)^INDEX($Q452:$AJ452,1,(BB$4-1)*5+2)*(BB322/BA322)^(INDEX($Q452:$AJ452,1,(BB$4-1)*5+3)*(1+INDEX($Q452:$AJ452,1,(BB$4-1)*5+2)))</f>
        <v/>
      </c>
      <c r="BC452" s="25">
        <f>BB452*(1/(1+INDEX($Q452:$AJ452,1,(BC$4-1)*5+4)))^(1+INDEX($Q452:$AJ452,1,(BC$4-1)*5+2))*(1+BC$7)^INDEX($Q452:$AJ452,1,(BC$4-1)*5+1)*(BC322/BB322)^INDEX($Q452:$AJ452,1,(BC$4-1)*5+2)*(BC322/BB322)^(INDEX($Q452:$AJ452,1,(BC$4-1)*5+3)*(1+INDEX($Q452:$AJ452,1,(BC$4-1)*5+2)))</f>
        <v/>
      </c>
      <c r="BD452" s="25">
        <f>BC452*(1/(1+INDEX($Q452:$AJ452,1,(BD$4-1)*5+4)))^(1+INDEX($Q452:$AJ452,1,(BD$4-1)*5+2))*(1+BD$7)^INDEX($Q452:$AJ452,1,(BD$4-1)*5+1)*(BD322/BC322)^INDEX($Q452:$AJ452,1,(BD$4-1)*5+2)*(BD322/BC322)^(INDEX($Q452:$AJ452,1,(BD$4-1)*5+3)*(1+INDEX($Q452:$AJ452,1,(BD$4-1)*5+2)))</f>
        <v/>
      </c>
      <c r="BE452" s="25">
        <f>BD452*(1/(1+INDEX($Q452:$AJ452,1,(BE$4-1)*5+4)))^(1+INDEX($Q452:$AJ452,1,(BE$4-1)*5+2))*(1+BE$7)^INDEX($Q452:$AJ452,1,(BE$4-1)*5+1)*(BE322/BD322)^INDEX($Q452:$AJ452,1,(BE$4-1)*5+2)*(BE322/BD322)^(INDEX($Q452:$AJ452,1,(BE$4-1)*5+3)*(1+INDEX($Q452:$AJ452,1,(BE$4-1)*5+2)))</f>
        <v/>
      </c>
      <c r="BF452" s="25">
        <f>BE452*(1/(1+INDEX($Q452:$AJ452,1,(BF$4-1)*5+4)))^(1+INDEX($Q452:$AJ452,1,(BF$4-1)*5+2))*(1+BF$7)^INDEX($Q452:$AJ452,1,(BF$4-1)*5+1)*(BF322/BE322)^INDEX($Q452:$AJ452,1,(BF$4-1)*5+2)*(BF322/BE322)^(INDEX($Q452:$AJ452,1,(BF$4-1)*5+3)*(1+INDEX($Q452:$AJ452,1,(BF$4-1)*5+2)))</f>
        <v/>
      </c>
      <c r="BG452" s="25">
        <f>BF452*(1/(1+INDEX($Q452:$AJ452,1,(BG$4-1)*5+4)))^(1+INDEX($Q452:$AJ452,1,(BG$4-1)*5+2))*(1+BG$7)^INDEX($Q452:$AJ452,1,(BG$4-1)*5+1)*(BG322/BF322)^INDEX($Q452:$AJ452,1,(BG$4-1)*5+2)*(BG322/BF322)^(INDEX($Q452:$AJ452,1,(BG$4-1)*5+3)*(1+INDEX($Q452:$AJ452,1,(BG$4-1)*5+2)))</f>
        <v/>
      </c>
      <c r="BH452" s="25">
        <f>BG452*(1/(1+INDEX($Q452:$AJ452,1,(BH$4-1)*5+4)))^(1+INDEX($Q452:$AJ452,1,(BH$4-1)*5+2))*(1+BH$7)^INDEX($Q452:$AJ452,1,(BH$4-1)*5+1)*(BH322/BG322)^INDEX($Q452:$AJ452,1,(BH$4-1)*5+2)*(BH322/BG322)^(INDEX($Q452:$AJ452,1,(BH$4-1)*5+3)*(1+INDEX($Q452:$AJ452,1,(BH$4-1)*5+2)))</f>
        <v/>
      </c>
      <c r="BI452" s="25">
        <f>BH452*(1/(1+INDEX($Q452:$AJ452,1,(BI$4-1)*5+4)))^(1+INDEX($Q452:$AJ452,1,(BI$4-1)*5+2))*(1+BI$7)^INDEX($Q452:$AJ452,1,(BI$4-1)*5+1)*(BI322/BH322)^INDEX($Q452:$AJ452,1,(BI$4-1)*5+2)*(BI322/BH322)^(INDEX($Q452:$AJ452,1,(BI$4-1)*5+3)*(1+INDEX($Q452:$AJ452,1,(BI$4-1)*5+2)))</f>
        <v/>
      </c>
      <c r="BJ452" s="25">
        <f>BI452*(1/(1+INDEX($Q452:$AJ452,1,(BJ$4-1)*5+4)))^(1+INDEX($Q452:$AJ452,1,(BJ$4-1)*5+2))*(1+BJ$7)^INDEX($Q452:$AJ452,1,(BJ$4-1)*5+1)*(BJ322/BI322)^INDEX($Q452:$AJ452,1,(BJ$4-1)*5+2)*(BJ322/BI322)^(INDEX($Q452:$AJ452,1,(BJ$4-1)*5+3)*(1+INDEX($Q452:$AJ452,1,(BJ$4-1)*5+2)))</f>
        <v/>
      </c>
      <c r="BK452" s="25">
        <f>BJ452*(1/(1+INDEX($Q452:$AJ452,1,(BK$4-1)*5+4)))^(1+INDEX($Q452:$AJ452,1,(BK$4-1)*5+2))*(1+BK$7)^INDEX($Q452:$AJ452,1,(BK$4-1)*5+1)*(BK322/BJ322)^INDEX($Q452:$AJ452,1,(BK$4-1)*5+2)*(BK322/BJ322)^(INDEX($Q452:$AJ452,1,(BK$4-1)*5+3)*(1+INDEX($Q452:$AJ452,1,(BK$4-1)*5+2)))</f>
        <v/>
      </c>
      <c r="BL452" s="25">
        <f>BK452*(1/(1+INDEX($Q452:$AJ452,1,(BL$4-1)*5+4)))^(1+INDEX($Q452:$AJ452,1,(BL$4-1)*5+2))*(1+BL$7)^INDEX($Q452:$AJ452,1,(BL$4-1)*5+1)*(BL322/BK322)^INDEX($Q452:$AJ452,1,(BL$4-1)*5+2)*(BL322/BK322)^(INDEX($Q452:$AJ452,1,(BL$4-1)*5+3)*(1+INDEX($Q452:$AJ452,1,(BL$4-1)*5+2)))</f>
        <v/>
      </c>
      <c r="BM452" s="25">
        <f>BL452*(1/(1+INDEX($Q452:$AJ452,1,(BM$4-1)*5+4)))^(1+INDEX($Q452:$AJ452,1,(BM$4-1)*5+2))*(1+BM$7)^INDEX($Q452:$AJ452,1,(BM$4-1)*5+1)*(BM322/BL322)^INDEX($Q452:$AJ452,1,(BM$4-1)*5+2)*(BM322/BL322)^(INDEX($Q452:$AJ452,1,(BM$4-1)*5+3)*(1+INDEX($Q452:$AJ452,1,(BM$4-1)*5+2)))</f>
        <v/>
      </c>
      <c r="BN452" s="25">
        <f>BM452*(1/(1+INDEX($Q452:$AJ452,1,(BN$4-1)*5+4)))^(1+INDEX($Q452:$AJ452,1,(BN$4-1)*5+2))*(1+BN$7)^INDEX($Q452:$AJ452,1,(BN$4-1)*5+1)*(BN322/BM322)^INDEX($Q452:$AJ452,1,(BN$4-1)*5+2)*(BN322/BM322)^(INDEX($Q452:$AJ452,1,(BN$4-1)*5+3)*(1+INDEX($Q452:$AJ452,1,(BN$4-1)*5+2)))</f>
        <v/>
      </c>
    </row>
    <row r="453">
      <c r="B453" s="5" t="inlineStr">
        <is>
          <t>lpg</t>
        </is>
      </c>
      <c r="C453" s="5" t="inlineStr">
        <is>
          <t>srv</t>
        </is>
      </c>
      <c r="D453" s="5" t="inlineStr">
        <is>
          <t>Fuel use | Services (public &amp; private) | LPG</t>
        </is>
      </c>
      <c r="E453" s="5" t="inlineStr">
        <is>
          <t>ktoe</t>
        </is>
      </c>
      <c r="F453" s="5" t="inlineStr">
        <is>
          <t>EnergyCons (base year), Elasticities</t>
        </is>
      </c>
      <c r="G453" s="19" t="inlineStr">
        <is>
          <t>mit.enc.lpg.srv</t>
        </is>
      </c>
      <c r="H453" s="19" t="inlineStr">
        <is>
          <t>mit.enc.lpg.srv</t>
        </is>
      </c>
      <c r="J453" s="5">
        <f>INDEX(Mapping!$C$5:$C$20,MATCH($C453,Mapping!$A$5:$A$20,0))</f>
        <v/>
      </c>
      <c r="K453" s="5">
        <f>INDEX(Mapping!$D$5:$D$20,MATCH($C453,Mapping!$A$5:$A$20,0))</f>
        <v/>
      </c>
      <c r="L453" s="5">
        <f>INDEX(Mapping!$C$24:$C$31,MATCH($B453,Mapping!$A$24:$A$31,0))</f>
        <v/>
      </c>
      <c r="M453" s="5">
        <f>INDEX(Mapping!$D$24:$D$31,MATCH($B453,Mapping!$A$24:$A$31,0))</f>
        <v/>
      </c>
      <c r="N453" s="5">
        <f>$B453&amp;"."&amp;IF(INDEX(Mapping!$E$24:$E$31,MATCH($B453,Mapping!$A$24:$A$31,0))="sub",INDEX(Mapping!$F$5:$F$20,MATCH($C453,Mapping!$A$5:$A$20,0)),"all")</f>
        <v/>
      </c>
      <c r="O453" s="5">
        <f>INDEX(Mapping!$E$5:$E$20,MATCH($C453,Mapping!$A$5:$A$20,0))</f>
        <v/>
      </c>
      <c r="P453" s="5">
        <f>INDEX(Mapping!$G$24:$G$31,MATCH($B453,Mapping!$A$24:$A$31,0))</f>
        <v/>
      </c>
      <c r="Q453" s="22">
        <f>INDEX(Elasticities!$F$4:$I$200,MATCH("inc|"&amp;$L453&amp;"|"&amp;$K453,Elasticities!$A$4:$A$200,0),MATCH(Settings!$C$6,Elasticities!$F$3:$I$3,0))</f>
        <v/>
      </c>
      <c r="R453" s="22">
        <f>INDEX(Elasticities!$F$4:$I$200,MATCH("usg|"&amp;$L453&amp;"|"&amp;$K453,Elasticities!$A$4:$A$200,0),MATCH(Settings!$C$6,Elasticities!$F$3:$I$3,0))</f>
        <v/>
      </c>
      <c r="S453" s="22">
        <f>INDEX(Elasticities!$F$4:$I$200,MATCH("eff|"&amp;$L453&amp;"|"&amp;$K453,Elasticities!$A$4:$A$200,0),MATCH(Settings!$C$6,Elasticities!$F$3:$I$3,0))</f>
        <v/>
      </c>
      <c r="T453" s="22">
        <f>INDEX(Elasticities!$F$4:$I$200,MATCH("aei|"&amp;$M453&amp;"|"&amp;$K453,Elasticities!$A$4:$A$200,0),MATCH(Settings!$C$6,Elasticities!$F$3:$I$3,0))</f>
        <v/>
      </c>
      <c r="U453" s="21" t="n"/>
      <c r="V453" s="22">
        <f>Q453</f>
        <v/>
      </c>
      <c r="W453" s="22">
        <f>R453</f>
        <v/>
      </c>
      <c r="X453" s="22">
        <f>S453</f>
        <v/>
      </c>
      <c r="Y453" s="22">
        <f>T453</f>
        <v/>
      </c>
      <c r="Z453" s="21" t="n"/>
      <c r="AA453" s="22">
        <f>Q453</f>
        <v/>
      </c>
      <c r="AB453" s="22">
        <f>R453</f>
        <v/>
      </c>
      <c r="AC453" s="22">
        <f>S453</f>
        <v/>
      </c>
      <c r="AD453" s="22">
        <f>T453</f>
        <v/>
      </c>
      <c r="AE453" s="21" t="n"/>
      <c r="AF453" s="22">
        <f>Q453</f>
        <v/>
      </c>
      <c r="AG453" s="22">
        <f>R453</f>
        <v/>
      </c>
      <c r="AH453" s="22">
        <f>S453</f>
        <v/>
      </c>
      <c r="AI453" s="22">
        <f>T453</f>
        <v/>
      </c>
      <c r="AJ453" s="21" t="n"/>
      <c r="AL453" s="24">
        <f>INDEX(EnergyCons!$F$4:$F$5000,MATCH(Settings!$C$4&amp;"|"&amp;AL$5&amp;"|"&amp;$C453&amp;"|"&amp;$B453,EnergyCons!$A$4:$A$5000,0))</f>
        <v/>
      </c>
      <c r="AM453" s="25">
        <f>AL453*(1/(1+INDEX($Q453:$AJ453,1,(AM$4-1)*5+4)))^(1+INDEX($Q453:$AJ453,1,(AM$4-1)*5+2))*(1+AM$7)^INDEX($Q453:$AJ453,1,(AM$4-1)*5+1)*(AM323/AL323)^INDEX($Q453:$AJ453,1,(AM$4-1)*5+2)*(AM323/AL323)^(INDEX($Q453:$AJ453,1,(AM$4-1)*5+3)*(1+INDEX($Q453:$AJ453,1,(AM$4-1)*5+2)))</f>
        <v/>
      </c>
      <c r="AN453" s="25">
        <f>AM453*(1/(1+INDEX($Q453:$AJ453,1,(AN$4-1)*5+4)))^(1+INDEX($Q453:$AJ453,1,(AN$4-1)*5+2))*(1+AN$7)^INDEX($Q453:$AJ453,1,(AN$4-1)*5+1)*(AN323/AM323)^INDEX($Q453:$AJ453,1,(AN$4-1)*5+2)*(AN323/AM323)^(INDEX($Q453:$AJ453,1,(AN$4-1)*5+3)*(1+INDEX($Q453:$AJ453,1,(AN$4-1)*5+2)))</f>
        <v/>
      </c>
      <c r="AO453" s="25">
        <f>AN453*(1/(1+INDEX($Q453:$AJ453,1,(AO$4-1)*5+4)))^(1+INDEX($Q453:$AJ453,1,(AO$4-1)*5+2))*(1+AO$7)^INDEX($Q453:$AJ453,1,(AO$4-1)*5+1)*(AO323/AN323)^INDEX($Q453:$AJ453,1,(AO$4-1)*5+2)*(AO323/AN323)^(INDEX($Q453:$AJ453,1,(AO$4-1)*5+3)*(1+INDEX($Q453:$AJ453,1,(AO$4-1)*5+2)))</f>
        <v/>
      </c>
      <c r="AP453" s="25">
        <f>AO453*(1/(1+INDEX($Q453:$AJ453,1,(AP$4-1)*5+4)))^(1+INDEX($Q453:$AJ453,1,(AP$4-1)*5+2))*(1+AP$7)^INDEX($Q453:$AJ453,1,(AP$4-1)*5+1)*(AP323/AO323)^INDEX($Q453:$AJ453,1,(AP$4-1)*5+2)*(AP323/AO323)^(INDEX($Q453:$AJ453,1,(AP$4-1)*5+3)*(1+INDEX($Q453:$AJ453,1,(AP$4-1)*5+2)))</f>
        <v/>
      </c>
      <c r="AQ453" s="25">
        <f>AP453*(1/(1+INDEX($Q453:$AJ453,1,(AQ$4-1)*5+4)))^(1+INDEX($Q453:$AJ453,1,(AQ$4-1)*5+2))*(1+AQ$7)^INDEX($Q453:$AJ453,1,(AQ$4-1)*5+1)*(AQ323/AP323)^INDEX($Q453:$AJ453,1,(AQ$4-1)*5+2)*(AQ323/AP323)^(INDEX($Q453:$AJ453,1,(AQ$4-1)*5+3)*(1+INDEX($Q453:$AJ453,1,(AQ$4-1)*5+2)))</f>
        <v/>
      </c>
      <c r="AR453" s="25">
        <f>AQ453*(1/(1+INDEX($Q453:$AJ453,1,(AR$4-1)*5+4)))^(1+INDEX($Q453:$AJ453,1,(AR$4-1)*5+2))*(1+AR$7)^INDEX($Q453:$AJ453,1,(AR$4-1)*5+1)*(AR323/AQ323)^INDEX($Q453:$AJ453,1,(AR$4-1)*5+2)*(AR323/AQ323)^(INDEX($Q453:$AJ453,1,(AR$4-1)*5+3)*(1+INDEX($Q453:$AJ453,1,(AR$4-1)*5+2)))</f>
        <v/>
      </c>
      <c r="AS453" s="25">
        <f>AR453*(1/(1+INDEX($Q453:$AJ453,1,(AS$4-1)*5+4)))^(1+INDEX($Q453:$AJ453,1,(AS$4-1)*5+2))*(1+AS$7)^INDEX($Q453:$AJ453,1,(AS$4-1)*5+1)*(AS323/AR323)^INDEX($Q453:$AJ453,1,(AS$4-1)*5+2)*(AS323/AR323)^(INDEX($Q453:$AJ453,1,(AS$4-1)*5+3)*(1+INDEX($Q453:$AJ453,1,(AS$4-1)*5+2)))</f>
        <v/>
      </c>
      <c r="AT453" s="25">
        <f>AS453*(1/(1+INDEX($Q453:$AJ453,1,(AT$4-1)*5+4)))^(1+INDEX($Q453:$AJ453,1,(AT$4-1)*5+2))*(1+AT$7)^INDEX($Q453:$AJ453,1,(AT$4-1)*5+1)*(AT323/AS323)^INDEX($Q453:$AJ453,1,(AT$4-1)*5+2)*(AT323/AS323)^(INDEX($Q453:$AJ453,1,(AT$4-1)*5+3)*(1+INDEX($Q453:$AJ453,1,(AT$4-1)*5+2)))</f>
        <v/>
      </c>
      <c r="AU453" s="25">
        <f>AT453*(1/(1+INDEX($Q453:$AJ453,1,(AU$4-1)*5+4)))^(1+INDEX($Q453:$AJ453,1,(AU$4-1)*5+2))*(1+AU$7)^INDEX($Q453:$AJ453,1,(AU$4-1)*5+1)*(AU323/AT323)^INDEX($Q453:$AJ453,1,(AU$4-1)*5+2)*(AU323/AT323)^(INDEX($Q453:$AJ453,1,(AU$4-1)*5+3)*(1+INDEX($Q453:$AJ453,1,(AU$4-1)*5+2)))</f>
        <v/>
      </c>
      <c r="AV453" s="25">
        <f>AU453*(1/(1+INDEX($Q453:$AJ453,1,(AV$4-1)*5+4)))^(1+INDEX($Q453:$AJ453,1,(AV$4-1)*5+2))*(1+AV$7)^INDEX($Q453:$AJ453,1,(AV$4-1)*5+1)*(AV323/AU323)^INDEX($Q453:$AJ453,1,(AV$4-1)*5+2)*(AV323/AU323)^(INDEX($Q453:$AJ453,1,(AV$4-1)*5+3)*(1+INDEX($Q453:$AJ453,1,(AV$4-1)*5+2)))</f>
        <v/>
      </c>
      <c r="AW453" s="25">
        <f>AV453*(1/(1+INDEX($Q453:$AJ453,1,(AW$4-1)*5+4)))^(1+INDEX($Q453:$AJ453,1,(AW$4-1)*5+2))*(1+AW$7)^INDEX($Q453:$AJ453,1,(AW$4-1)*5+1)*(AW323/AV323)^INDEX($Q453:$AJ453,1,(AW$4-1)*5+2)*(AW323/AV323)^(INDEX($Q453:$AJ453,1,(AW$4-1)*5+3)*(1+INDEX($Q453:$AJ453,1,(AW$4-1)*5+2)))</f>
        <v/>
      </c>
      <c r="AX453" s="25">
        <f>AW453*(1/(1+INDEX($Q453:$AJ453,1,(AX$4-1)*5+4)))^(1+INDEX($Q453:$AJ453,1,(AX$4-1)*5+2))*(1+AX$7)^INDEX($Q453:$AJ453,1,(AX$4-1)*5+1)*(AX323/AW323)^INDEX($Q453:$AJ453,1,(AX$4-1)*5+2)*(AX323/AW323)^(INDEX($Q453:$AJ453,1,(AX$4-1)*5+3)*(1+INDEX($Q453:$AJ453,1,(AX$4-1)*5+2)))</f>
        <v/>
      </c>
      <c r="AY453" s="25">
        <f>AX453*(1/(1+INDEX($Q453:$AJ453,1,(AY$4-1)*5+4)))^(1+INDEX($Q453:$AJ453,1,(AY$4-1)*5+2))*(1+AY$7)^INDEX($Q453:$AJ453,1,(AY$4-1)*5+1)*(AY323/AX323)^INDEX($Q453:$AJ453,1,(AY$4-1)*5+2)*(AY323/AX323)^(INDEX($Q453:$AJ453,1,(AY$4-1)*5+3)*(1+INDEX($Q453:$AJ453,1,(AY$4-1)*5+2)))</f>
        <v/>
      </c>
      <c r="BA453" s="24">
        <f>INDEX(EnergyCons!$F$4:$F$5000,MATCH(Settings!$C$4&amp;"|"&amp;BA$5&amp;"|"&amp;$C453&amp;"|"&amp;$B453,EnergyCons!$A$4:$A$5000,0))</f>
        <v/>
      </c>
      <c r="BB453" s="25">
        <f>BA453*(1/(1+INDEX($Q453:$AJ453,1,(BB$4-1)*5+4)))^(1+INDEX($Q453:$AJ453,1,(BB$4-1)*5+2))*(1+BB$7)^INDEX($Q453:$AJ453,1,(BB$4-1)*5+1)*(BB323/BA323)^INDEX($Q453:$AJ453,1,(BB$4-1)*5+2)*(BB323/BA323)^(INDEX($Q453:$AJ453,1,(BB$4-1)*5+3)*(1+INDEX($Q453:$AJ453,1,(BB$4-1)*5+2)))</f>
        <v/>
      </c>
      <c r="BC453" s="25">
        <f>BB453*(1/(1+INDEX($Q453:$AJ453,1,(BC$4-1)*5+4)))^(1+INDEX($Q453:$AJ453,1,(BC$4-1)*5+2))*(1+BC$7)^INDEX($Q453:$AJ453,1,(BC$4-1)*5+1)*(BC323/BB323)^INDEX($Q453:$AJ453,1,(BC$4-1)*5+2)*(BC323/BB323)^(INDEX($Q453:$AJ453,1,(BC$4-1)*5+3)*(1+INDEX($Q453:$AJ453,1,(BC$4-1)*5+2)))</f>
        <v/>
      </c>
      <c r="BD453" s="25">
        <f>BC453*(1/(1+INDEX($Q453:$AJ453,1,(BD$4-1)*5+4)))^(1+INDEX($Q453:$AJ453,1,(BD$4-1)*5+2))*(1+BD$7)^INDEX($Q453:$AJ453,1,(BD$4-1)*5+1)*(BD323/BC323)^INDEX($Q453:$AJ453,1,(BD$4-1)*5+2)*(BD323/BC323)^(INDEX($Q453:$AJ453,1,(BD$4-1)*5+3)*(1+INDEX($Q453:$AJ453,1,(BD$4-1)*5+2)))</f>
        <v/>
      </c>
      <c r="BE453" s="25">
        <f>BD453*(1/(1+INDEX($Q453:$AJ453,1,(BE$4-1)*5+4)))^(1+INDEX($Q453:$AJ453,1,(BE$4-1)*5+2))*(1+BE$7)^INDEX($Q453:$AJ453,1,(BE$4-1)*5+1)*(BE323/BD323)^INDEX($Q453:$AJ453,1,(BE$4-1)*5+2)*(BE323/BD323)^(INDEX($Q453:$AJ453,1,(BE$4-1)*5+3)*(1+INDEX($Q453:$AJ453,1,(BE$4-1)*5+2)))</f>
        <v/>
      </c>
      <c r="BF453" s="25">
        <f>BE453*(1/(1+INDEX($Q453:$AJ453,1,(BF$4-1)*5+4)))^(1+INDEX($Q453:$AJ453,1,(BF$4-1)*5+2))*(1+BF$7)^INDEX($Q453:$AJ453,1,(BF$4-1)*5+1)*(BF323/BE323)^INDEX($Q453:$AJ453,1,(BF$4-1)*5+2)*(BF323/BE323)^(INDEX($Q453:$AJ453,1,(BF$4-1)*5+3)*(1+INDEX($Q453:$AJ453,1,(BF$4-1)*5+2)))</f>
        <v/>
      </c>
      <c r="BG453" s="25">
        <f>BF453*(1/(1+INDEX($Q453:$AJ453,1,(BG$4-1)*5+4)))^(1+INDEX($Q453:$AJ453,1,(BG$4-1)*5+2))*(1+BG$7)^INDEX($Q453:$AJ453,1,(BG$4-1)*5+1)*(BG323/BF323)^INDEX($Q453:$AJ453,1,(BG$4-1)*5+2)*(BG323/BF323)^(INDEX($Q453:$AJ453,1,(BG$4-1)*5+3)*(1+INDEX($Q453:$AJ453,1,(BG$4-1)*5+2)))</f>
        <v/>
      </c>
      <c r="BH453" s="25">
        <f>BG453*(1/(1+INDEX($Q453:$AJ453,1,(BH$4-1)*5+4)))^(1+INDEX($Q453:$AJ453,1,(BH$4-1)*5+2))*(1+BH$7)^INDEX($Q453:$AJ453,1,(BH$4-1)*5+1)*(BH323/BG323)^INDEX($Q453:$AJ453,1,(BH$4-1)*5+2)*(BH323/BG323)^(INDEX($Q453:$AJ453,1,(BH$4-1)*5+3)*(1+INDEX($Q453:$AJ453,1,(BH$4-1)*5+2)))</f>
        <v/>
      </c>
      <c r="BI453" s="25">
        <f>BH453*(1/(1+INDEX($Q453:$AJ453,1,(BI$4-1)*5+4)))^(1+INDEX($Q453:$AJ453,1,(BI$4-1)*5+2))*(1+BI$7)^INDEX($Q453:$AJ453,1,(BI$4-1)*5+1)*(BI323/BH323)^INDEX($Q453:$AJ453,1,(BI$4-1)*5+2)*(BI323/BH323)^(INDEX($Q453:$AJ453,1,(BI$4-1)*5+3)*(1+INDEX($Q453:$AJ453,1,(BI$4-1)*5+2)))</f>
        <v/>
      </c>
      <c r="BJ453" s="25">
        <f>BI453*(1/(1+INDEX($Q453:$AJ453,1,(BJ$4-1)*5+4)))^(1+INDEX($Q453:$AJ453,1,(BJ$4-1)*5+2))*(1+BJ$7)^INDEX($Q453:$AJ453,1,(BJ$4-1)*5+1)*(BJ323/BI323)^INDEX($Q453:$AJ453,1,(BJ$4-1)*5+2)*(BJ323/BI323)^(INDEX($Q453:$AJ453,1,(BJ$4-1)*5+3)*(1+INDEX($Q453:$AJ453,1,(BJ$4-1)*5+2)))</f>
        <v/>
      </c>
      <c r="BK453" s="25">
        <f>BJ453*(1/(1+INDEX($Q453:$AJ453,1,(BK$4-1)*5+4)))^(1+INDEX($Q453:$AJ453,1,(BK$4-1)*5+2))*(1+BK$7)^INDEX($Q453:$AJ453,1,(BK$4-1)*5+1)*(BK323/BJ323)^INDEX($Q453:$AJ453,1,(BK$4-1)*5+2)*(BK323/BJ323)^(INDEX($Q453:$AJ453,1,(BK$4-1)*5+3)*(1+INDEX($Q453:$AJ453,1,(BK$4-1)*5+2)))</f>
        <v/>
      </c>
      <c r="BL453" s="25">
        <f>BK453*(1/(1+INDEX($Q453:$AJ453,1,(BL$4-1)*5+4)))^(1+INDEX($Q453:$AJ453,1,(BL$4-1)*5+2))*(1+BL$7)^INDEX($Q453:$AJ453,1,(BL$4-1)*5+1)*(BL323/BK323)^INDEX($Q453:$AJ453,1,(BL$4-1)*5+2)*(BL323/BK323)^(INDEX($Q453:$AJ453,1,(BL$4-1)*5+3)*(1+INDEX($Q453:$AJ453,1,(BL$4-1)*5+2)))</f>
        <v/>
      </c>
      <c r="BM453" s="25">
        <f>BL453*(1/(1+INDEX($Q453:$AJ453,1,(BM$4-1)*5+4)))^(1+INDEX($Q453:$AJ453,1,(BM$4-1)*5+2))*(1+BM$7)^INDEX($Q453:$AJ453,1,(BM$4-1)*5+1)*(BM323/BL323)^INDEX($Q453:$AJ453,1,(BM$4-1)*5+2)*(BM323/BL323)^(INDEX($Q453:$AJ453,1,(BM$4-1)*5+3)*(1+INDEX($Q453:$AJ453,1,(BM$4-1)*5+2)))</f>
        <v/>
      </c>
      <c r="BN453" s="25">
        <f>BM453*(1/(1+INDEX($Q453:$AJ453,1,(BN$4-1)*5+4)))^(1+INDEX($Q453:$AJ453,1,(BN$4-1)*5+2))*(1+BN$7)^INDEX($Q453:$AJ453,1,(BN$4-1)*5+1)*(BN323/BM323)^INDEX($Q453:$AJ453,1,(BN$4-1)*5+2)*(BN323/BM323)^(INDEX($Q453:$AJ453,1,(BN$4-1)*5+3)*(1+INDEX($Q453:$AJ453,1,(BN$4-1)*5+2)))</f>
        <v/>
      </c>
    </row>
    <row r="454">
      <c r="B454" s="5" t="inlineStr">
        <is>
          <t>ker</t>
        </is>
      </c>
      <c r="C454" s="5" t="inlineStr">
        <is>
          <t>srv</t>
        </is>
      </c>
      <c r="D454" s="5" t="inlineStr">
        <is>
          <t>Fuel use | Services (public &amp; private) | Kerosene</t>
        </is>
      </c>
      <c r="E454" s="5" t="inlineStr">
        <is>
          <t>ktoe</t>
        </is>
      </c>
      <c r="F454" s="5" t="inlineStr">
        <is>
          <t>EnergyCons (base year), Elasticities</t>
        </is>
      </c>
      <c r="G454" s="19" t="inlineStr">
        <is>
          <t>mit.enc.ker.srv</t>
        </is>
      </c>
      <c r="H454" s="19" t="inlineStr">
        <is>
          <t>mit.enc.ker.srv</t>
        </is>
      </c>
      <c r="J454" s="5">
        <f>INDEX(Mapping!$C$5:$C$20,MATCH($C454,Mapping!$A$5:$A$20,0))</f>
        <v/>
      </c>
      <c r="K454" s="5">
        <f>INDEX(Mapping!$D$5:$D$20,MATCH($C454,Mapping!$A$5:$A$20,0))</f>
        <v/>
      </c>
      <c r="L454" s="5">
        <f>INDEX(Mapping!$C$24:$C$31,MATCH($B454,Mapping!$A$24:$A$31,0))</f>
        <v/>
      </c>
      <c r="M454" s="5">
        <f>INDEX(Mapping!$D$24:$D$31,MATCH($B454,Mapping!$A$24:$A$31,0))</f>
        <v/>
      </c>
      <c r="N454" s="5">
        <f>$B454&amp;"."&amp;IF(INDEX(Mapping!$E$24:$E$31,MATCH($B454,Mapping!$A$24:$A$31,0))="sub",INDEX(Mapping!$F$5:$F$20,MATCH($C454,Mapping!$A$5:$A$20,0)),"all")</f>
        <v/>
      </c>
      <c r="O454" s="5">
        <f>INDEX(Mapping!$E$5:$E$20,MATCH($C454,Mapping!$A$5:$A$20,0))</f>
        <v/>
      </c>
      <c r="P454" s="5">
        <f>INDEX(Mapping!$G$24:$G$31,MATCH($B454,Mapping!$A$24:$A$31,0))</f>
        <v/>
      </c>
      <c r="Q454" s="22">
        <f>INDEX(Elasticities!$F$4:$I$200,MATCH("inc|"&amp;$L454&amp;"|"&amp;$K454,Elasticities!$A$4:$A$200,0),MATCH(Settings!$C$6,Elasticities!$F$3:$I$3,0))</f>
        <v/>
      </c>
      <c r="R454" s="22">
        <f>INDEX(Elasticities!$F$4:$I$200,MATCH("usg|"&amp;$L454&amp;"|"&amp;$K454,Elasticities!$A$4:$A$200,0),MATCH(Settings!$C$6,Elasticities!$F$3:$I$3,0))</f>
        <v/>
      </c>
      <c r="S454" s="22">
        <f>INDEX(Elasticities!$F$4:$I$200,MATCH("eff|"&amp;$L454&amp;"|"&amp;$K454,Elasticities!$A$4:$A$200,0),MATCH(Settings!$C$6,Elasticities!$F$3:$I$3,0))</f>
        <v/>
      </c>
      <c r="T454" s="22">
        <f>INDEX(Elasticities!$F$4:$I$200,MATCH("aei|"&amp;$M454&amp;"|"&amp;$K454,Elasticities!$A$4:$A$200,0),MATCH(Settings!$C$6,Elasticities!$F$3:$I$3,0))</f>
        <v/>
      </c>
      <c r="U454" s="21" t="n"/>
      <c r="V454" s="22">
        <f>Q454</f>
        <v/>
      </c>
      <c r="W454" s="22">
        <f>R454</f>
        <v/>
      </c>
      <c r="X454" s="22">
        <f>S454</f>
        <v/>
      </c>
      <c r="Y454" s="22">
        <f>T454</f>
        <v/>
      </c>
      <c r="Z454" s="21" t="n"/>
      <c r="AA454" s="22">
        <f>Q454</f>
        <v/>
      </c>
      <c r="AB454" s="22">
        <f>R454</f>
        <v/>
      </c>
      <c r="AC454" s="22">
        <f>S454</f>
        <v/>
      </c>
      <c r="AD454" s="22">
        <f>T454</f>
        <v/>
      </c>
      <c r="AE454" s="21" t="n"/>
      <c r="AF454" s="22">
        <f>Q454</f>
        <v/>
      </c>
      <c r="AG454" s="22">
        <f>R454</f>
        <v/>
      </c>
      <c r="AH454" s="22">
        <f>S454</f>
        <v/>
      </c>
      <c r="AI454" s="22">
        <f>T454</f>
        <v/>
      </c>
      <c r="AJ454" s="21" t="n"/>
      <c r="AL454" s="24">
        <f>INDEX(EnergyCons!$F$4:$F$5000,MATCH(Settings!$C$4&amp;"|"&amp;AL$5&amp;"|"&amp;$C454&amp;"|"&amp;$B454,EnergyCons!$A$4:$A$5000,0))</f>
        <v/>
      </c>
      <c r="AM454" s="25">
        <f>AL454*(1/(1+INDEX($Q454:$AJ454,1,(AM$4-1)*5+4)))^(1+INDEX($Q454:$AJ454,1,(AM$4-1)*5+2))*(1+AM$7)^INDEX($Q454:$AJ454,1,(AM$4-1)*5+1)*(AM324/AL324)^INDEX($Q454:$AJ454,1,(AM$4-1)*5+2)*(AM324/AL324)^(INDEX($Q454:$AJ454,1,(AM$4-1)*5+3)*(1+INDEX($Q454:$AJ454,1,(AM$4-1)*5+2)))</f>
        <v/>
      </c>
      <c r="AN454" s="25">
        <f>AM454*(1/(1+INDEX($Q454:$AJ454,1,(AN$4-1)*5+4)))^(1+INDEX($Q454:$AJ454,1,(AN$4-1)*5+2))*(1+AN$7)^INDEX($Q454:$AJ454,1,(AN$4-1)*5+1)*(AN324/AM324)^INDEX($Q454:$AJ454,1,(AN$4-1)*5+2)*(AN324/AM324)^(INDEX($Q454:$AJ454,1,(AN$4-1)*5+3)*(1+INDEX($Q454:$AJ454,1,(AN$4-1)*5+2)))</f>
        <v/>
      </c>
      <c r="AO454" s="25">
        <f>AN454*(1/(1+INDEX($Q454:$AJ454,1,(AO$4-1)*5+4)))^(1+INDEX($Q454:$AJ454,1,(AO$4-1)*5+2))*(1+AO$7)^INDEX($Q454:$AJ454,1,(AO$4-1)*5+1)*(AO324/AN324)^INDEX($Q454:$AJ454,1,(AO$4-1)*5+2)*(AO324/AN324)^(INDEX($Q454:$AJ454,1,(AO$4-1)*5+3)*(1+INDEX($Q454:$AJ454,1,(AO$4-1)*5+2)))</f>
        <v/>
      </c>
      <c r="AP454" s="25">
        <f>AO454*(1/(1+INDEX($Q454:$AJ454,1,(AP$4-1)*5+4)))^(1+INDEX($Q454:$AJ454,1,(AP$4-1)*5+2))*(1+AP$7)^INDEX($Q454:$AJ454,1,(AP$4-1)*5+1)*(AP324/AO324)^INDEX($Q454:$AJ454,1,(AP$4-1)*5+2)*(AP324/AO324)^(INDEX($Q454:$AJ454,1,(AP$4-1)*5+3)*(1+INDEX($Q454:$AJ454,1,(AP$4-1)*5+2)))</f>
        <v/>
      </c>
      <c r="AQ454" s="25">
        <f>AP454*(1/(1+INDEX($Q454:$AJ454,1,(AQ$4-1)*5+4)))^(1+INDEX($Q454:$AJ454,1,(AQ$4-1)*5+2))*(1+AQ$7)^INDEX($Q454:$AJ454,1,(AQ$4-1)*5+1)*(AQ324/AP324)^INDEX($Q454:$AJ454,1,(AQ$4-1)*5+2)*(AQ324/AP324)^(INDEX($Q454:$AJ454,1,(AQ$4-1)*5+3)*(1+INDEX($Q454:$AJ454,1,(AQ$4-1)*5+2)))</f>
        <v/>
      </c>
      <c r="AR454" s="25">
        <f>AQ454*(1/(1+INDEX($Q454:$AJ454,1,(AR$4-1)*5+4)))^(1+INDEX($Q454:$AJ454,1,(AR$4-1)*5+2))*(1+AR$7)^INDEX($Q454:$AJ454,1,(AR$4-1)*5+1)*(AR324/AQ324)^INDEX($Q454:$AJ454,1,(AR$4-1)*5+2)*(AR324/AQ324)^(INDEX($Q454:$AJ454,1,(AR$4-1)*5+3)*(1+INDEX($Q454:$AJ454,1,(AR$4-1)*5+2)))</f>
        <v/>
      </c>
      <c r="AS454" s="25">
        <f>AR454*(1/(1+INDEX($Q454:$AJ454,1,(AS$4-1)*5+4)))^(1+INDEX($Q454:$AJ454,1,(AS$4-1)*5+2))*(1+AS$7)^INDEX($Q454:$AJ454,1,(AS$4-1)*5+1)*(AS324/AR324)^INDEX($Q454:$AJ454,1,(AS$4-1)*5+2)*(AS324/AR324)^(INDEX($Q454:$AJ454,1,(AS$4-1)*5+3)*(1+INDEX($Q454:$AJ454,1,(AS$4-1)*5+2)))</f>
        <v/>
      </c>
      <c r="AT454" s="25">
        <f>AS454*(1/(1+INDEX($Q454:$AJ454,1,(AT$4-1)*5+4)))^(1+INDEX($Q454:$AJ454,1,(AT$4-1)*5+2))*(1+AT$7)^INDEX($Q454:$AJ454,1,(AT$4-1)*5+1)*(AT324/AS324)^INDEX($Q454:$AJ454,1,(AT$4-1)*5+2)*(AT324/AS324)^(INDEX($Q454:$AJ454,1,(AT$4-1)*5+3)*(1+INDEX($Q454:$AJ454,1,(AT$4-1)*5+2)))</f>
        <v/>
      </c>
      <c r="AU454" s="25">
        <f>AT454*(1/(1+INDEX($Q454:$AJ454,1,(AU$4-1)*5+4)))^(1+INDEX($Q454:$AJ454,1,(AU$4-1)*5+2))*(1+AU$7)^INDEX($Q454:$AJ454,1,(AU$4-1)*5+1)*(AU324/AT324)^INDEX($Q454:$AJ454,1,(AU$4-1)*5+2)*(AU324/AT324)^(INDEX($Q454:$AJ454,1,(AU$4-1)*5+3)*(1+INDEX($Q454:$AJ454,1,(AU$4-1)*5+2)))</f>
        <v/>
      </c>
      <c r="AV454" s="25">
        <f>AU454*(1/(1+INDEX($Q454:$AJ454,1,(AV$4-1)*5+4)))^(1+INDEX($Q454:$AJ454,1,(AV$4-1)*5+2))*(1+AV$7)^INDEX($Q454:$AJ454,1,(AV$4-1)*5+1)*(AV324/AU324)^INDEX($Q454:$AJ454,1,(AV$4-1)*5+2)*(AV324/AU324)^(INDEX($Q454:$AJ454,1,(AV$4-1)*5+3)*(1+INDEX($Q454:$AJ454,1,(AV$4-1)*5+2)))</f>
        <v/>
      </c>
      <c r="AW454" s="25">
        <f>AV454*(1/(1+INDEX($Q454:$AJ454,1,(AW$4-1)*5+4)))^(1+INDEX($Q454:$AJ454,1,(AW$4-1)*5+2))*(1+AW$7)^INDEX($Q454:$AJ454,1,(AW$4-1)*5+1)*(AW324/AV324)^INDEX($Q454:$AJ454,1,(AW$4-1)*5+2)*(AW324/AV324)^(INDEX($Q454:$AJ454,1,(AW$4-1)*5+3)*(1+INDEX($Q454:$AJ454,1,(AW$4-1)*5+2)))</f>
        <v/>
      </c>
      <c r="AX454" s="25">
        <f>AW454*(1/(1+INDEX($Q454:$AJ454,1,(AX$4-1)*5+4)))^(1+INDEX($Q454:$AJ454,1,(AX$4-1)*5+2))*(1+AX$7)^INDEX($Q454:$AJ454,1,(AX$4-1)*5+1)*(AX324/AW324)^INDEX($Q454:$AJ454,1,(AX$4-1)*5+2)*(AX324/AW324)^(INDEX($Q454:$AJ454,1,(AX$4-1)*5+3)*(1+INDEX($Q454:$AJ454,1,(AX$4-1)*5+2)))</f>
        <v/>
      </c>
      <c r="AY454" s="25">
        <f>AX454*(1/(1+INDEX($Q454:$AJ454,1,(AY$4-1)*5+4)))^(1+INDEX($Q454:$AJ454,1,(AY$4-1)*5+2))*(1+AY$7)^INDEX($Q454:$AJ454,1,(AY$4-1)*5+1)*(AY324/AX324)^INDEX($Q454:$AJ454,1,(AY$4-1)*5+2)*(AY324/AX324)^(INDEX($Q454:$AJ454,1,(AY$4-1)*5+3)*(1+INDEX($Q454:$AJ454,1,(AY$4-1)*5+2)))</f>
        <v/>
      </c>
      <c r="BA454" s="24">
        <f>INDEX(EnergyCons!$F$4:$F$5000,MATCH(Settings!$C$4&amp;"|"&amp;BA$5&amp;"|"&amp;$C454&amp;"|"&amp;$B454,EnergyCons!$A$4:$A$5000,0))</f>
        <v/>
      </c>
      <c r="BB454" s="25">
        <f>BA454*(1/(1+INDEX($Q454:$AJ454,1,(BB$4-1)*5+4)))^(1+INDEX($Q454:$AJ454,1,(BB$4-1)*5+2))*(1+BB$7)^INDEX($Q454:$AJ454,1,(BB$4-1)*5+1)*(BB324/BA324)^INDEX($Q454:$AJ454,1,(BB$4-1)*5+2)*(BB324/BA324)^(INDEX($Q454:$AJ454,1,(BB$4-1)*5+3)*(1+INDEX($Q454:$AJ454,1,(BB$4-1)*5+2)))</f>
        <v/>
      </c>
      <c r="BC454" s="25">
        <f>BB454*(1/(1+INDEX($Q454:$AJ454,1,(BC$4-1)*5+4)))^(1+INDEX($Q454:$AJ454,1,(BC$4-1)*5+2))*(1+BC$7)^INDEX($Q454:$AJ454,1,(BC$4-1)*5+1)*(BC324/BB324)^INDEX($Q454:$AJ454,1,(BC$4-1)*5+2)*(BC324/BB324)^(INDEX($Q454:$AJ454,1,(BC$4-1)*5+3)*(1+INDEX($Q454:$AJ454,1,(BC$4-1)*5+2)))</f>
        <v/>
      </c>
      <c r="BD454" s="25">
        <f>BC454*(1/(1+INDEX($Q454:$AJ454,1,(BD$4-1)*5+4)))^(1+INDEX($Q454:$AJ454,1,(BD$4-1)*5+2))*(1+BD$7)^INDEX($Q454:$AJ454,1,(BD$4-1)*5+1)*(BD324/BC324)^INDEX($Q454:$AJ454,1,(BD$4-1)*5+2)*(BD324/BC324)^(INDEX($Q454:$AJ454,1,(BD$4-1)*5+3)*(1+INDEX($Q454:$AJ454,1,(BD$4-1)*5+2)))</f>
        <v/>
      </c>
      <c r="BE454" s="25">
        <f>BD454*(1/(1+INDEX($Q454:$AJ454,1,(BE$4-1)*5+4)))^(1+INDEX($Q454:$AJ454,1,(BE$4-1)*5+2))*(1+BE$7)^INDEX($Q454:$AJ454,1,(BE$4-1)*5+1)*(BE324/BD324)^INDEX($Q454:$AJ454,1,(BE$4-1)*5+2)*(BE324/BD324)^(INDEX($Q454:$AJ454,1,(BE$4-1)*5+3)*(1+INDEX($Q454:$AJ454,1,(BE$4-1)*5+2)))</f>
        <v/>
      </c>
      <c r="BF454" s="25">
        <f>BE454*(1/(1+INDEX($Q454:$AJ454,1,(BF$4-1)*5+4)))^(1+INDEX($Q454:$AJ454,1,(BF$4-1)*5+2))*(1+BF$7)^INDEX($Q454:$AJ454,1,(BF$4-1)*5+1)*(BF324/BE324)^INDEX($Q454:$AJ454,1,(BF$4-1)*5+2)*(BF324/BE324)^(INDEX($Q454:$AJ454,1,(BF$4-1)*5+3)*(1+INDEX($Q454:$AJ454,1,(BF$4-1)*5+2)))</f>
        <v/>
      </c>
      <c r="BG454" s="25">
        <f>BF454*(1/(1+INDEX($Q454:$AJ454,1,(BG$4-1)*5+4)))^(1+INDEX($Q454:$AJ454,1,(BG$4-1)*5+2))*(1+BG$7)^INDEX($Q454:$AJ454,1,(BG$4-1)*5+1)*(BG324/BF324)^INDEX($Q454:$AJ454,1,(BG$4-1)*5+2)*(BG324/BF324)^(INDEX($Q454:$AJ454,1,(BG$4-1)*5+3)*(1+INDEX($Q454:$AJ454,1,(BG$4-1)*5+2)))</f>
        <v/>
      </c>
      <c r="BH454" s="25">
        <f>BG454*(1/(1+INDEX($Q454:$AJ454,1,(BH$4-1)*5+4)))^(1+INDEX($Q454:$AJ454,1,(BH$4-1)*5+2))*(1+BH$7)^INDEX($Q454:$AJ454,1,(BH$4-1)*5+1)*(BH324/BG324)^INDEX($Q454:$AJ454,1,(BH$4-1)*5+2)*(BH324/BG324)^(INDEX($Q454:$AJ454,1,(BH$4-1)*5+3)*(1+INDEX($Q454:$AJ454,1,(BH$4-1)*5+2)))</f>
        <v/>
      </c>
      <c r="BI454" s="25">
        <f>BH454*(1/(1+INDEX($Q454:$AJ454,1,(BI$4-1)*5+4)))^(1+INDEX($Q454:$AJ454,1,(BI$4-1)*5+2))*(1+BI$7)^INDEX($Q454:$AJ454,1,(BI$4-1)*5+1)*(BI324/BH324)^INDEX($Q454:$AJ454,1,(BI$4-1)*5+2)*(BI324/BH324)^(INDEX($Q454:$AJ454,1,(BI$4-1)*5+3)*(1+INDEX($Q454:$AJ454,1,(BI$4-1)*5+2)))</f>
        <v/>
      </c>
      <c r="BJ454" s="25">
        <f>BI454*(1/(1+INDEX($Q454:$AJ454,1,(BJ$4-1)*5+4)))^(1+INDEX($Q454:$AJ454,1,(BJ$4-1)*5+2))*(1+BJ$7)^INDEX($Q454:$AJ454,1,(BJ$4-1)*5+1)*(BJ324/BI324)^INDEX($Q454:$AJ454,1,(BJ$4-1)*5+2)*(BJ324/BI324)^(INDEX($Q454:$AJ454,1,(BJ$4-1)*5+3)*(1+INDEX($Q454:$AJ454,1,(BJ$4-1)*5+2)))</f>
        <v/>
      </c>
      <c r="BK454" s="25">
        <f>BJ454*(1/(1+INDEX($Q454:$AJ454,1,(BK$4-1)*5+4)))^(1+INDEX($Q454:$AJ454,1,(BK$4-1)*5+2))*(1+BK$7)^INDEX($Q454:$AJ454,1,(BK$4-1)*5+1)*(BK324/BJ324)^INDEX($Q454:$AJ454,1,(BK$4-1)*5+2)*(BK324/BJ324)^(INDEX($Q454:$AJ454,1,(BK$4-1)*5+3)*(1+INDEX($Q454:$AJ454,1,(BK$4-1)*5+2)))</f>
        <v/>
      </c>
      <c r="BL454" s="25">
        <f>BK454*(1/(1+INDEX($Q454:$AJ454,1,(BL$4-1)*5+4)))^(1+INDEX($Q454:$AJ454,1,(BL$4-1)*5+2))*(1+BL$7)^INDEX($Q454:$AJ454,1,(BL$4-1)*5+1)*(BL324/BK324)^INDEX($Q454:$AJ454,1,(BL$4-1)*5+2)*(BL324/BK324)^(INDEX($Q454:$AJ454,1,(BL$4-1)*5+3)*(1+INDEX($Q454:$AJ454,1,(BL$4-1)*5+2)))</f>
        <v/>
      </c>
      <c r="BM454" s="25">
        <f>BL454*(1/(1+INDEX($Q454:$AJ454,1,(BM$4-1)*5+4)))^(1+INDEX($Q454:$AJ454,1,(BM$4-1)*5+2))*(1+BM$7)^INDEX($Q454:$AJ454,1,(BM$4-1)*5+1)*(BM324/BL324)^INDEX($Q454:$AJ454,1,(BM$4-1)*5+2)*(BM324/BL324)^(INDEX($Q454:$AJ454,1,(BM$4-1)*5+3)*(1+INDEX($Q454:$AJ454,1,(BM$4-1)*5+2)))</f>
        <v/>
      </c>
      <c r="BN454" s="25">
        <f>BM454*(1/(1+INDEX($Q454:$AJ454,1,(BN$4-1)*5+4)))^(1+INDEX($Q454:$AJ454,1,(BN$4-1)*5+2))*(1+BN$7)^INDEX($Q454:$AJ454,1,(BN$4-1)*5+1)*(BN324/BM324)^INDEX($Q454:$AJ454,1,(BN$4-1)*5+2)*(BN324/BM324)^(INDEX($Q454:$AJ454,1,(BN$4-1)*5+3)*(1+INDEX($Q454:$AJ454,1,(BN$4-1)*5+2)))</f>
        <v/>
      </c>
    </row>
    <row r="455">
      <c r="B455" s="5" t="inlineStr">
        <is>
          <t>oop</t>
        </is>
      </c>
      <c r="C455" s="5" t="inlineStr">
        <is>
          <t>srv</t>
        </is>
      </c>
      <c r="D455" s="5" t="inlineStr">
        <is>
          <t>Fuel use | Services (public &amp; private) | Other oil products</t>
        </is>
      </c>
      <c r="E455" s="5" t="inlineStr">
        <is>
          <t>ktoe</t>
        </is>
      </c>
      <c r="F455" s="5" t="inlineStr">
        <is>
          <t>EnergyCons (base year), Elasticities</t>
        </is>
      </c>
      <c r="G455" s="19" t="inlineStr">
        <is>
          <t>mit.enc.oop.srv</t>
        </is>
      </c>
      <c r="H455" s="19" t="inlineStr">
        <is>
          <t>mit.enc.oop.srv</t>
        </is>
      </c>
      <c r="J455" s="5">
        <f>INDEX(Mapping!$C$5:$C$20,MATCH($C455,Mapping!$A$5:$A$20,0))</f>
        <v/>
      </c>
      <c r="K455" s="5">
        <f>INDEX(Mapping!$D$5:$D$20,MATCH($C455,Mapping!$A$5:$A$20,0))</f>
        <v/>
      </c>
      <c r="L455" s="5">
        <f>INDEX(Mapping!$C$24:$C$31,MATCH($B455,Mapping!$A$24:$A$31,0))</f>
        <v/>
      </c>
      <c r="M455" s="5">
        <f>INDEX(Mapping!$D$24:$D$31,MATCH($B455,Mapping!$A$24:$A$31,0))</f>
        <v/>
      </c>
      <c r="N455" s="5">
        <f>$B455&amp;"."&amp;IF(INDEX(Mapping!$E$24:$E$31,MATCH($B455,Mapping!$A$24:$A$31,0))="sub",INDEX(Mapping!$F$5:$F$20,MATCH($C455,Mapping!$A$5:$A$20,0)),"all")</f>
        <v/>
      </c>
      <c r="O455" s="5">
        <f>INDEX(Mapping!$E$5:$E$20,MATCH($C455,Mapping!$A$5:$A$20,0))</f>
        <v/>
      </c>
      <c r="P455" s="5">
        <f>INDEX(Mapping!$G$24:$G$31,MATCH($B455,Mapping!$A$24:$A$31,0))</f>
        <v/>
      </c>
      <c r="Q455" s="22">
        <f>INDEX(Elasticities!$F$4:$I$200,MATCH("inc|"&amp;$L455&amp;"|"&amp;$K455,Elasticities!$A$4:$A$200,0),MATCH(Settings!$C$6,Elasticities!$F$3:$I$3,0))</f>
        <v/>
      </c>
      <c r="R455" s="22">
        <f>INDEX(Elasticities!$F$4:$I$200,MATCH("usg|"&amp;$L455&amp;"|"&amp;$K455,Elasticities!$A$4:$A$200,0),MATCH(Settings!$C$6,Elasticities!$F$3:$I$3,0))</f>
        <v/>
      </c>
      <c r="S455" s="22">
        <f>INDEX(Elasticities!$F$4:$I$200,MATCH("eff|"&amp;$L455&amp;"|"&amp;$K455,Elasticities!$A$4:$A$200,0),MATCH(Settings!$C$6,Elasticities!$F$3:$I$3,0))</f>
        <v/>
      </c>
      <c r="T455" s="22">
        <f>INDEX(Elasticities!$F$4:$I$200,MATCH("aei|"&amp;$M455&amp;"|"&amp;$K455,Elasticities!$A$4:$A$200,0),MATCH(Settings!$C$6,Elasticities!$F$3:$I$3,0))</f>
        <v/>
      </c>
      <c r="U455" s="21" t="n"/>
      <c r="V455" s="22">
        <f>Q455</f>
        <v/>
      </c>
      <c r="W455" s="22">
        <f>R455</f>
        <v/>
      </c>
      <c r="X455" s="22">
        <f>S455</f>
        <v/>
      </c>
      <c r="Y455" s="22">
        <f>T455</f>
        <v/>
      </c>
      <c r="Z455" s="21" t="n"/>
      <c r="AA455" s="22">
        <f>Q455</f>
        <v/>
      </c>
      <c r="AB455" s="22">
        <f>R455</f>
        <v/>
      </c>
      <c r="AC455" s="22">
        <f>S455</f>
        <v/>
      </c>
      <c r="AD455" s="22">
        <f>T455</f>
        <v/>
      </c>
      <c r="AE455" s="21" t="n"/>
      <c r="AF455" s="22">
        <f>Q455</f>
        <v/>
      </c>
      <c r="AG455" s="22">
        <f>R455</f>
        <v/>
      </c>
      <c r="AH455" s="22">
        <f>S455</f>
        <v/>
      </c>
      <c r="AI455" s="22">
        <f>T455</f>
        <v/>
      </c>
      <c r="AJ455" s="21" t="n"/>
      <c r="AL455" s="24">
        <f>INDEX(EnergyCons!$F$4:$F$5000,MATCH(Settings!$C$4&amp;"|"&amp;AL$5&amp;"|"&amp;$C455&amp;"|"&amp;$B455,EnergyCons!$A$4:$A$5000,0))</f>
        <v/>
      </c>
      <c r="AM455" s="25">
        <f>AL455*(1/(1+INDEX($Q455:$AJ455,1,(AM$4-1)*5+4)))^(1+INDEX($Q455:$AJ455,1,(AM$4-1)*5+2))*(1+AM$7)^INDEX($Q455:$AJ455,1,(AM$4-1)*5+1)*(AM325/AL325)^INDEX($Q455:$AJ455,1,(AM$4-1)*5+2)*(AM325/AL325)^(INDEX($Q455:$AJ455,1,(AM$4-1)*5+3)*(1+INDEX($Q455:$AJ455,1,(AM$4-1)*5+2)))</f>
        <v/>
      </c>
      <c r="AN455" s="25">
        <f>AM455*(1/(1+INDEX($Q455:$AJ455,1,(AN$4-1)*5+4)))^(1+INDEX($Q455:$AJ455,1,(AN$4-1)*5+2))*(1+AN$7)^INDEX($Q455:$AJ455,1,(AN$4-1)*5+1)*(AN325/AM325)^INDEX($Q455:$AJ455,1,(AN$4-1)*5+2)*(AN325/AM325)^(INDEX($Q455:$AJ455,1,(AN$4-1)*5+3)*(1+INDEX($Q455:$AJ455,1,(AN$4-1)*5+2)))</f>
        <v/>
      </c>
      <c r="AO455" s="25">
        <f>AN455*(1/(1+INDEX($Q455:$AJ455,1,(AO$4-1)*5+4)))^(1+INDEX($Q455:$AJ455,1,(AO$4-1)*5+2))*(1+AO$7)^INDEX($Q455:$AJ455,1,(AO$4-1)*5+1)*(AO325/AN325)^INDEX($Q455:$AJ455,1,(AO$4-1)*5+2)*(AO325/AN325)^(INDEX($Q455:$AJ455,1,(AO$4-1)*5+3)*(1+INDEX($Q455:$AJ455,1,(AO$4-1)*5+2)))</f>
        <v/>
      </c>
      <c r="AP455" s="25">
        <f>AO455*(1/(1+INDEX($Q455:$AJ455,1,(AP$4-1)*5+4)))^(1+INDEX($Q455:$AJ455,1,(AP$4-1)*5+2))*(1+AP$7)^INDEX($Q455:$AJ455,1,(AP$4-1)*5+1)*(AP325/AO325)^INDEX($Q455:$AJ455,1,(AP$4-1)*5+2)*(AP325/AO325)^(INDEX($Q455:$AJ455,1,(AP$4-1)*5+3)*(1+INDEX($Q455:$AJ455,1,(AP$4-1)*5+2)))</f>
        <v/>
      </c>
      <c r="AQ455" s="25">
        <f>AP455*(1/(1+INDEX($Q455:$AJ455,1,(AQ$4-1)*5+4)))^(1+INDEX($Q455:$AJ455,1,(AQ$4-1)*5+2))*(1+AQ$7)^INDEX($Q455:$AJ455,1,(AQ$4-1)*5+1)*(AQ325/AP325)^INDEX($Q455:$AJ455,1,(AQ$4-1)*5+2)*(AQ325/AP325)^(INDEX($Q455:$AJ455,1,(AQ$4-1)*5+3)*(1+INDEX($Q455:$AJ455,1,(AQ$4-1)*5+2)))</f>
        <v/>
      </c>
      <c r="AR455" s="25">
        <f>AQ455*(1/(1+INDEX($Q455:$AJ455,1,(AR$4-1)*5+4)))^(1+INDEX($Q455:$AJ455,1,(AR$4-1)*5+2))*(1+AR$7)^INDEX($Q455:$AJ455,1,(AR$4-1)*5+1)*(AR325/AQ325)^INDEX($Q455:$AJ455,1,(AR$4-1)*5+2)*(AR325/AQ325)^(INDEX($Q455:$AJ455,1,(AR$4-1)*5+3)*(1+INDEX($Q455:$AJ455,1,(AR$4-1)*5+2)))</f>
        <v/>
      </c>
      <c r="AS455" s="25">
        <f>AR455*(1/(1+INDEX($Q455:$AJ455,1,(AS$4-1)*5+4)))^(1+INDEX($Q455:$AJ455,1,(AS$4-1)*5+2))*(1+AS$7)^INDEX($Q455:$AJ455,1,(AS$4-1)*5+1)*(AS325/AR325)^INDEX($Q455:$AJ455,1,(AS$4-1)*5+2)*(AS325/AR325)^(INDEX($Q455:$AJ455,1,(AS$4-1)*5+3)*(1+INDEX($Q455:$AJ455,1,(AS$4-1)*5+2)))</f>
        <v/>
      </c>
      <c r="AT455" s="25">
        <f>AS455*(1/(1+INDEX($Q455:$AJ455,1,(AT$4-1)*5+4)))^(1+INDEX($Q455:$AJ455,1,(AT$4-1)*5+2))*(1+AT$7)^INDEX($Q455:$AJ455,1,(AT$4-1)*5+1)*(AT325/AS325)^INDEX($Q455:$AJ455,1,(AT$4-1)*5+2)*(AT325/AS325)^(INDEX($Q455:$AJ455,1,(AT$4-1)*5+3)*(1+INDEX($Q455:$AJ455,1,(AT$4-1)*5+2)))</f>
        <v/>
      </c>
      <c r="AU455" s="25">
        <f>AT455*(1/(1+INDEX($Q455:$AJ455,1,(AU$4-1)*5+4)))^(1+INDEX($Q455:$AJ455,1,(AU$4-1)*5+2))*(1+AU$7)^INDEX($Q455:$AJ455,1,(AU$4-1)*5+1)*(AU325/AT325)^INDEX($Q455:$AJ455,1,(AU$4-1)*5+2)*(AU325/AT325)^(INDEX($Q455:$AJ455,1,(AU$4-1)*5+3)*(1+INDEX($Q455:$AJ455,1,(AU$4-1)*5+2)))</f>
        <v/>
      </c>
      <c r="AV455" s="25">
        <f>AU455*(1/(1+INDEX($Q455:$AJ455,1,(AV$4-1)*5+4)))^(1+INDEX($Q455:$AJ455,1,(AV$4-1)*5+2))*(1+AV$7)^INDEX($Q455:$AJ455,1,(AV$4-1)*5+1)*(AV325/AU325)^INDEX($Q455:$AJ455,1,(AV$4-1)*5+2)*(AV325/AU325)^(INDEX($Q455:$AJ455,1,(AV$4-1)*5+3)*(1+INDEX($Q455:$AJ455,1,(AV$4-1)*5+2)))</f>
        <v/>
      </c>
      <c r="AW455" s="25">
        <f>AV455*(1/(1+INDEX($Q455:$AJ455,1,(AW$4-1)*5+4)))^(1+INDEX($Q455:$AJ455,1,(AW$4-1)*5+2))*(1+AW$7)^INDEX($Q455:$AJ455,1,(AW$4-1)*5+1)*(AW325/AV325)^INDEX($Q455:$AJ455,1,(AW$4-1)*5+2)*(AW325/AV325)^(INDEX($Q455:$AJ455,1,(AW$4-1)*5+3)*(1+INDEX($Q455:$AJ455,1,(AW$4-1)*5+2)))</f>
        <v/>
      </c>
      <c r="AX455" s="25">
        <f>AW455*(1/(1+INDEX($Q455:$AJ455,1,(AX$4-1)*5+4)))^(1+INDEX($Q455:$AJ455,1,(AX$4-1)*5+2))*(1+AX$7)^INDEX($Q455:$AJ455,1,(AX$4-1)*5+1)*(AX325/AW325)^INDEX($Q455:$AJ455,1,(AX$4-1)*5+2)*(AX325/AW325)^(INDEX($Q455:$AJ455,1,(AX$4-1)*5+3)*(1+INDEX($Q455:$AJ455,1,(AX$4-1)*5+2)))</f>
        <v/>
      </c>
      <c r="AY455" s="25">
        <f>AX455*(1/(1+INDEX($Q455:$AJ455,1,(AY$4-1)*5+4)))^(1+INDEX($Q455:$AJ455,1,(AY$4-1)*5+2))*(1+AY$7)^INDEX($Q455:$AJ455,1,(AY$4-1)*5+1)*(AY325/AX325)^INDEX($Q455:$AJ455,1,(AY$4-1)*5+2)*(AY325/AX325)^(INDEX($Q455:$AJ455,1,(AY$4-1)*5+3)*(1+INDEX($Q455:$AJ455,1,(AY$4-1)*5+2)))</f>
        <v/>
      </c>
      <c r="BA455" s="24">
        <f>INDEX(EnergyCons!$F$4:$F$5000,MATCH(Settings!$C$4&amp;"|"&amp;BA$5&amp;"|"&amp;$C455&amp;"|"&amp;$B455,EnergyCons!$A$4:$A$5000,0))</f>
        <v/>
      </c>
      <c r="BB455" s="25">
        <f>BA455*(1/(1+INDEX($Q455:$AJ455,1,(BB$4-1)*5+4)))^(1+INDEX($Q455:$AJ455,1,(BB$4-1)*5+2))*(1+BB$7)^INDEX($Q455:$AJ455,1,(BB$4-1)*5+1)*(BB325/BA325)^INDEX($Q455:$AJ455,1,(BB$4-1)*5+2)*(BB325/BA325)^(INDEX($Q455:$AJ455,1,(BB$4-1)*5+3)*(1+INDEX($Q455:$AJ455,1,(BB$4-1)*5+2)))</f>
        <v/>
      </c>
      <c r="BC455" s="25">
        <f>BB455*(1/(1+INDEX($Q455:$AJ455,1,(BC$4-1)*5+4)))^(1+INDEX($Q455:$AJ455,1,(BC$4-1)*5+2))*(1+BC$7)^INDEX($Q455:$AJ455,1,(BC$4-1)*5+1)*(BC325/BB325)^INDEX($Q455:$AJ455,1,(BC$4-1)*5+2)*(BC325/BB325)^(INDEX($Q455:$AJ455,1,(BC$4-1)*5+3)*(1+INDEX($Q455:$AJ455,1,(BC$4-1)*5+2)))</f>
        <v/>
      </c>
      <c r="BD455" s="25">
        <f>BC455*(1/(1+INDEX($Q455:$AJ455,1,(BD$4-1)*5+4)))^(1+INDEX($Q455:$AJ455,1,(BD$4-1)*5+2))*(1+BD$7)^INDEX($Q455:$AJ455,1,(BD$4-1)*5+1)*(BD325/BC325)^INDEX($Q455:$AJ455,1,(BD$4-1)*5+2)*(BD325/BC325)^(INDEX($Q455:$AJ455,1,(BD$4-1)*5+3)*(1+INDEX($Q455:$AJ455,1,(BD$4-1)*5+2)))</f>
        <v/>
      </c>
      <c r="BE455" s="25">
        <f>BD455*(1/(1+INDEX($Q455:$AJ455,1,(BE$4-1)*5+4)))^(1+INDEX($Q455:$AJ455,1,(BE$4-1)*5+2))*(1+BE$7)^INDEX($Q455:$AJ455,1,(BE$4-1)*5+1)*(BE325/BD325)^INDEX($Q455:$AJ455,1,(BE$4-1)*5+2)*(BE325/BD325)^(INDEX($Q455:$AJ455,1,(BE$4-1)*5+3)*(1+INDEX($Q455:$AJ455,1,(BE$4-1)*5+2)))</f>
        <v/>
      </c>
      <c r="BF455" s="25">
        <f>BE455*(1/(1+INDEX($Q455:$AJ455,1,(BF$4-1)*5+4)))^(1+INDEX($Q455:$AJ455,1,(BF$4-1)*5+2))*(1+BF$7)^INDEX($Q455:$AJ455,1,(BF$4-1)*5+1)*(BF325/BE325)^INDEX($Q455:$AJ455,1,(BF$4-1)*5+2)*(BF325/BE325)^(INDEX($Q455:$AJ455,1,(BF$4-1)*5+3)*(1+INDEX($Q455:$AJ455,1,(BF$4-1)*5+2)))</f>
        <v/>
      </c>
      <c r="BG455" s="25">
        <f>BF455*(1/(1+INDEX($Q455:$AJ455,1,(BG$4-1)*5+4)))^(1+INDEX($Q455:$AJ455,1,(BG$4-1)*5+2))*(1+BG$7)^INDEX($Q455:$AJ455,1,(BG$4-1)*5+1)*(BG325/BF325)^INDEX($Q455:$AJ455,1,(BG$4-1)*5+2)*(BG325/BF325)^(INDEX($Q455:$AJ455,1,(BG$4-1)*5+3)*(1+INDEX($Q455:$AJ455,1,(BG$4-1)*5+2)))</f>
        <v/>
      </c>
      <c r="BH455" s="25">
        <f>BG455*(1/(1+INDEX($Q455:$AJ455,1,(BH$4-1)*5+4)))^(1+INDEX($Q455:$AJ455,1,(BH$4-1)*5+2))*(1+BH$7)^INDEX($Q455:$AJ455,1,(BH$4-1)*5+1)*(BH325/BG325)^INDEX($Q455:$AJ455,1,(BH$4-1)*5+2)*(BH325/BG325)^(INDEX($Q455:$AJ455,1,(BH$4-1)*5+3)*(1+INDEX($Q455:$AJ455,1,(BH$4-1)*5+2)))</f>
        <v/>
      </c>
      <c r="BI455" s="25">
        <f>BH455*(1/(1+INDEX($Q455:$AJ455,1,(BI$4-1)*5+4)))^(1+INDEX($Q455:$AJ455,1,(BI$4-1)*5+2))*(1+BI$7)^INDEX($Q455:$AJ455,1,(BI$4-1)*5+1)*(BI325/BH325)^INDEX($Q455:$AJ455,1,(BI$4-1)*5+2)*(BI325/BH325)^(INDEX($Q455:$AJ455,1,(BI$4-1)*5+3)*(1+INDEX($Q455:$AJ455,1,(BI$4-1)*5+2)))</f>
        <v/>
      </c>
      <c r="BJ455" s="25">
        <f>BI455*(1/(1+INDEX($Q455:$AJ455,1,(BJ$4-1)*5+4)))^(1+INDEX($Q455:$AJ455,1,(BJ$4-1)*5+2))*(1+BJ$7)^INDEX($Q455:$AJ455,1,(BJ$4-1)*5+1)*(BJ325/BI325)^INDEX($Q455:$AJ455,1,(BJ$4-1)*5+2)*(BJ325/BI325)^(INDEX($Q455:$AJ455,1,(BJ$4-1)*5+3)*(1+INDEX($Q455:$AJ455,1,(BJ$4-1)*5+2)))</f>
        <v/>
      </c>
      <c r="BK455" s="25">
        <f>BJ455*(1/(1+INDEX($Q455:$AJ455,1,(BK$4-1)*5+4)))^(1+INDEX($Q455:$AJ455,1,(BK$4-1)*5+2))*(1+BK$7)^INDEX($Q455:$AJ455,1,(BK$4-1)*5+1)*(BK325/BJ325)^INDEX($Q455:$AJ455,1,(BK$4-1)*5+2)*(BK325/BJ325)^(INDEX($Q455:$AJ455,1,(BK$4-1)*5+3)*(1+INDEX($Q455:$AJ455,1,(BK$4-1)*5+2)))</f>
        <v/>
      </c>
      <c r="BL455" s="25">
        <f>BK455*(1/(1+INDEX($Q455:$AJ455,1,(BL$4-1)*5+4)))^(1+INDEX($Q455:$AJ455,1,(BL$4-1)*5+2))*(1+BL$7)^INDEX($Q455:$AJ455,1,(BL$4-1)*5+1)*(BL325/BK325)^INDEX($Q455:$AJ455,1,(BL$4-1)*5+2)*(BL325/BK325)^(INDEX($Q455:$AJ455,1,(BL$4-1)*5+3)*(1+INDEX($Q455:$AJ455,1,(BL$4-1)*5+2)))</f>
        <v/>
      </c>
      <c r="BM455" s="25">
        <f>BL455*(1/(1+INDEX($Q455:$AJ455,1,(BM$4-1)*5+4)))^(1+INDEX($Q455:$AJ455,1,(BM$4-1)*5+2))*(1+BM$7)^INDEX($Q455:$AJ455,1,(BM$4-1)*5+1)*(BM325/BL325)^INDEX($Q455:$AJ455,1,(BM$4-1)*5+2)*(BM325/BL325)^(INDEX($Q455:$AJ455,1,(BM$4-1)*5+3)*(1+INDEX($Q455:$AJ455,1,(BM$4-1)*5+2)))</f>
        <v/>
      </c>
      <c r="BN455" s="25">
        <f>BM455*(1/(1+INDEX($Q455:$AJ455,1,(BN$4-1)*5+4)))^(1+INDEX($Q455:$AJ455,1,(BN$4-1)*5+2))*(1+BN$7)^INDEX($Q455:$AJ455,1,(BN$4-1)*5+1)*(BN325/BM325)^INDEX($Q455:$AJ455,1,(BN$4-1)*5+2)*(BN325/BM325)^(INDEX($Q455:$AJ455,1,(BN$4-1)*5+3)*(1+INDEX($Q455:$AJ455,1,(BN$4-1)*5+2)))</f>
        <v/>
      </c>
    </row>
    <row r="456">
      <c r="B456" s="5" t="inlineStr">
        <is>
          <t>bio</t>
        </is>
      </c>
      <c r="C456" s="5" t="inlineStr">
        <is>
          <t>srv</t>
        </is>
      </c>
      <c r="D456" s="5" t="inlineStr">
        <is>
          <t>Fuel use | Services (public &amp; private) | Biomass</t>
        </is>
      </c>
      <c r="E456" s="5" t="inlineStr">
        <is>
          <t>ktoe</t>
        </is>
      </c>
      <c r="F456" s="5" t="inlineStr">
        <is>
          <t>EnergyCons (base year), Elasticities</t>
        </is>
      </c>
      <c r="G456" s="19" t="inlineStr">
        <is>
          <t>mit.enc.bio.srv</t>
        </is>
      </c>
      <c r="H456" s="19" t="inlineStr">
        <is>
          <t>mit.enc.bio.srv</t>
        </is>
      </c>
      <c r="J456" s="5">
        <f>INDEX(Mapping!$C$5:$C$20,MATCH($C456,Mapping!$A$5:$A$20,0))</f>
        <v/>
      </c>
      <c r="K456" s="5">
        <f>INDEX(Mapping!$D$5:$D$20,MATCH($C456,Mapping!$A$5:$A$20,0))</f>
        <v/>
      </c>
      <c r="L456" s="5">
        <f>INDEX(Mapping!$C$24:$C$31,MATCH($B456,Mapping!$A$24:$A$31,0))</f>
        <v/>
      </c>
      <c r="M456" s="5">
        <f>INDEX(Mapping!$D$24:$D$31,MATCH($B456,Mapping!$A$24:$A$31,0))</f>
        <v/>
      </c>
      <c r="N456" s="5">
        <f>$B456&amp;"."&amp;IF(INDEX(Mapping!$E$24:$E$31,MATCH($B456,Mapping!$A$24:$A$31,0))="sub",INDEX(Mapping!$F$5:$F$20,MATCH($C456,Mapping!$A$5:$A$20,0)),"all")</f>
        <v/>
      </c>
      <c r="O456" s="5">
        <f>INDEX(Mapping!$E$5:$E$20,MATCH($C456,Mapping!$A$5:$A$20,0))</f>
        <v/>
      </c>
      <c r="P456" s="5">
        <f>INDEX(Mapping!$G$24:$G$31,MATCH($B456,Mapping!$A$24:$A$31,0))</f>
        <v/>
      </c>
      <c r="Q456" s="22">
        <f>INDEX(Elasticities!$F$4:$I$200,MATCH("inc|"&amp;$L456&amp;"|"&amp;$K456,Elasticities!$A$4:$A$200,0),MATCH(Settings!$C$6,Elasticities!$F$3:$I$3,0))</f>
        <v/>
      </c>
      <c r="R456" s="22">
        <f>INDEX(Elasticities!$F$4:$I$200,MATCH("usg|"&amp;$L456&amp;"|"&amp;$K456,Elasticities!$A$4:$A$200,0),MATCH(Settings!$C$6,Elasticities!$F$3:$I$3,0))</f>
        <v/>
      </c>
      <c r="S456" s="22">
        <f>INDEX(Elasticities!$F$4:$I$200,MATCH("eff|"&amp;$L456&amp;"|"&amp;$K456,Elasticities!$A$4:$A$200,0),MATCH(Settings!$C$6,Elasticities!$F$3:$I$3,0))</f>
        <v/>
      </c>
      <c r="T456" s="22">
        <f>INDEX(Elasticities!$F$4:$I$200,MATCH("aei|"&amp;$M456&amp;"|"&amp;$K456,Elasticities!$A$4:$A$200,0),MATCH(Settings!$C$6,Elasticities!$F$3:$I$3,0))</f>
        <v/>
      </c>
      <c r="U456" s="21" t="n"/>
      <c r="V456" s="22">
        <f>Q456</f>
        <v/>
      </c>
      <c r="W456" s="22">
        <f>R456</f>
        <v/>
      </c>
      <c r="X456" s="22">
        <f>S456</f>
        <v/>
      </c>
      <c r="Y456" s="22">
        <f>T456</f>
        <v/>
      </c>
      <c r="Z456" s="21" t="n"/>
      <c r="AA456" s="22">
        <f>Q456</f>
        <v/>
      </c>
      <c r="AB456" s="22">
        <f>R456</f>
        <v/>
      </c>
      <c r="AC456" s="22">
        <f>S456</f>
        <v/>
      </c>
      <c r="AD456" s="22">
        <f>T456</f>
        <v/>
      </c>
      <c r="AE456" s="21" t="n"/>
      <c r="AF456" s="22">
        <f>Q456</f>
        <v/>
      </c>
      <c r="AG456" s="22">
        <f>R456</f>
        <v/>
      </c>
      <c r="AH456" s="22">
        <f>S456</f>
        <v/>
      </c>
      <c r="AI456" s="22">
        <f>T456</f>
        <v/>
      </c>
      <c r="AJ456" s="21" t="n"/>
      <c r="AL456" s="24">
        <f>INDEX(EnergyCons!$F$4:$F$5000,MATCH(Settings!$C$4&amp;"|"&amp;AL$5&amp;"|"&amp;$C456&amp;"|"&amp;$B456,EnergyCons!$A$4:$A$5000,0))</f>
        <v/>
      </c>
      <c r="AM456" s="25">
        <f>AL456*(1/(1+INDEX($Q456:$AJ456,1,(AM$4-1)*5+4)))^(1+INDEX($Q456:$AJ456,1,(AM$4-1)*5+2))*(1+AM$7)^INDEX($Q456:$AJ456,1,(AM$4-1)*5+1)*(AM326/AL326)^INDEX($Q456:$AJ456,1,(AM$4-1)*5+2)*(AM326/AL326)^(INDEX($Q456:$AJ456,1,(AM$4-1)*5+3)*(1+INDEX($Q456:$AJ456,1,(AM$4-1)*5+2)))</f>
        <v/>
      </c>
      <c r="AN456" s="25">
        <f>AM456*(1/(1+INDEX($Q456:$AJ456,1,(AN$4-1)*5+4)))^(1+INDEX($Q456:$AJ456,1,(AN$4-1)*5+2))*(1+AN$7)^INDEX($Q456:$AJ456,1,(AN$4-1)*5+1)*(AN326/AM326)^INDEX($Q456:$AJ456,1,(AN$4-1)*5+2)*(AN326/AM326)^(INDEX($Q456:$AJ456,1,(AN$4-1)*5+3)*(1+INDEX($Q456:$AJ456,1,(AN$4-1)*5+2)))</f>
        <v/>
      </c>
      <c r="AO456" s="25">
        <f>AN456*(1/(1+INDEX($Q456:$AJ456,1,(AO$4-1)*5+4)))^(1+INDEX($Q456:$AJ456,1,(AO$4-1)*5+2))*(1+AO$7)^INDEX($Q456:$AJ456,1,(AO$4-1)*5+1)*(AO326/AN326)^INDEX($Q456:$AJ456,1,(AO$4-1)*5+2)*(AO326/AN326)^(INDEX($Q456:$AJ456,1,(AO$4-1)*5+3)*(1+INDEX($Q456:$AJ456,1,(AO$4-1)*5+2)))</f>
        <v/>
      </c>
      <c r="AP456" s="25">
        <f>AO456*(1/(1+INDEX($Q456:$AJ456,1,(AP$4-1)*5+4)))^(1+INDEX($Q456:$AJ456,1,(AP$4-1)*5+2))*(1+AP$7)^INDEX($Q456:$AJ456,1,(AP$4-1)*5+1)*(AP326/AO326)^INDEX($Q456:$AJ456,1,(AP$4-1)*5+2)*(AP326/AO326)^(INDEX($Q456:$AJ456,1,(AP$4-1)*5+3)*(1+INDEX($Q456:$AJ456,1,(AP$4-1)*5+2)))</f>
        <v/>
      </c>
      <c r="AQ456" s="25">
        <f>AP456*(1/(1+INDEX($Q456:$AJ456,1,(AQ$4-1)*5+4)))^(1+INDEX($Q456:$AJ456,1,(AQ$4-1)*5+2))*(1+AQ$7)^INDEX($Q456:$AJ456,1,(AQ$4-1)*5+1)*(AQ326/AP326)^INDEX($Q456:$AJ456,1,(AQ$4-1)*5+2)*(AQ326/AP326)^(INDEX($Q456:$AJ456,1,(AQ$4-1)*5+3)*(1+INDEX($Q456:$AJ456,1,(AQ$4-1)*5+2)))</f>
        <v/>
      </c>
      <c r="AR456" s="25">
        <f>AQ456*(1/(1+INDEX($Q456:$AJ456,1,(AR$4-1)*5+4)))^(1+INDEX($Q456:$AJ456,1,(AR$4-1)*5+2))*(1+AR$7)^INDEX($Q456:$AJ456,1,(AR$4-1)*5+1)*(AR326/AQ326)^INDEX($Q456:$AJ456,1,(AR$4-1)*5+2)*(AR326/AQ326)^(INDEX($Q456:$AJ456,1,(AR$4-1)*5+3)*(1+INDEX($Q456:$AJ456,1,(AR$4-1)*5+2)))</f>
        <v/>
      </c>
      <c r="AS456" s="25">
        <f>AR456*(1/(1+INDEX($Q456:$AJ456,1,(AS$4-1)*5+4)))^(1+INDEX($Q456:$AJ456,1,(AS$4-1)*5+2))*(1+AS$7)^INDEX($Q456:$AJ456,1,(AS$4-1)*5+1)*(AS326/AR326)^INDEX($Q456:$AJ456,1,(AS$4-1)*5+2)*(AS326/AR326)^(INDEX($Q456:$AJ456,1,(AS$4-1)*5+3)*(1+INDEX($Q456:$AJ456,1,(AS$4-1)*5+2)))</f>
        <v/>
      </c>
      <c r="AT456" s="25">
        <f>AS456*(1/(1+INDEX($Q456:$AJ456,1,(AT$4-1)*5+4)))^(1+INDEX($Q456:$AJ456,1,(AT$4-1)*5+2))*(1+AT$7)^INDEX($Q456:$AJ456,1,(AT$4-1)*5+1)*(AT326/AS326)^INDEX($Q456:$AJ456,1,(AT$4-1)*5+2)*(AT326/AS326)^(INDEX($Q456:$AJ456,1,(AT$4-1)*5+3)*(1+INDEX($Q456:$AJ456,1,(AT$4-1)*5+2)))</f>
        <v/>
      </c>
      <c r="AU456" s="25">
        <f>AT456*(1/(1+INDEX($Q456:$AJ456,1,(AU$4-1)*5+4)))^(1+INDEX($Q456:$AJ456,1,(AU$4-1)*5+2))*(1+AU$7)^INDEX($Q456:$AJ456,1,(AU$4-1)*5+1)*(AU326/AT326)^INDEX($Q456:$AJ456,1,(AU$4-1)*5+2)*(AU326/AT326)^(INDEX($Q456:$AJ456,1,(AU$4-1)*5+3)*(1+INDEX($Q456:$AJ456,1,(AU$4-1)*5+2)))</f>
        <v/>
      </c>
      <c r="AV456" s="25">
        <f>AU456*(1/(1+INDEX($Q456:$AJ456,1,(AV$4-1)*5+4)))^(1+INDEX($Q456:$AJ456,1,(AV$4-1)*5+2))*(1+AV$7)^INDEX($Q456:$AJ456,1,(AV$4-1)*5+1)*(AV326/AU326)^INDEX($Q456:$AJ456,1,(AV$4-1)*5+2)*(AV326/AU326)^(INDEX($Q456:$AJ456,1,(AV$4-1)*5+3)*(1+INDEX($Q456:$AJ456,1,(AV$4-1)*5+2)))</f>
        <v/>
      </c>
      <c r="AW456" s="25">
        <f>AV456*(1/(1+INDEX($Q456:$AJ456,1,(AW$4-1)*5+4)))^(1+INDEX($Q456:$AJ456,1,(AW$4-1)*5+2))*(1+AW$7)^INDEX($Q456:$AJ456,1,(AW$4-1)*5+1)*(AW326/AV326)^INDEX($Q456:$AJ456,1,(AW$4-1)*5+2)*(AW326/AV326)^(INDEX($Q456:$AJ456,1,(AW$4-1)*5+3)*(1+INDEX($Q456:$AJ456,1,(AW$4-1)*5+2)))</f>
        <v/>
      </c>
      <c r="AX456" s="25">
        <f>AW456*(1/(1+INDEX($Q456:$AJ456,1,(AX$4-1)*5+4)))^(1+INDEX($Q456:$AJ456,1,(AX$4-1)*5+2))*(1+AX$7)^INDEX($Q456:$AJ456,1,(AX$4-1)*5+1)*(AX326/AW326)^INDEX($Q456:$AJ456,1,(AX$4-1)*5+2)*(AX326/AW326)^(INDEX($Q456:$AJ456,1,(AX$4-1)*5+3)*(1+INDEX($Q456:$AJ456,1,(AX$4-1)*5+2)))</f>
        <v/>
      </c>
      <c r="AY456" s="25">
        <f>AX456*(1/(1+INDEX($Q456:$AJ456,1,(AY$4-1)*5+4)))^(1+INDEX($Q456:$AJ456,1,(AY$4-1)*5+2))*(1+AY$7)^INDEX($Q456:$AJ456,1,(AY$4-1)*5+1)*(AY326/AX326)^INDEX($Q456:$AJ456,1,(AY$4-1)*5+2)*(AY326/AX326)^(INDEX($Q456:$AJ456,1,(AY$4-1)*5+3)*(1+INDEX($Q456:$AJ456,1,(AY$4-1)*5+2)))</f>
        <v/>
      </c>
      <c r="BA456" s="24">
        <f>INDEX(EnergyCons!$F$4:$F$5000,MATCH(Settings!$C$4&amp;"|"&amp;BA$5&amp;"|"&amp;$C456&amp;"|"&amp;$B456,EnergyCons!$A$4:$A$5000,0))</f>
        <v/>
      </c>
      <c r="BB456" s="25">
        <f>BA456*(1/(1+INDEX($Q456:$AJ456,1,(BB$4-1)*5+4)))^(1+INDEX($Q456:$AJ456,1,(BB$4-1)*5+2))*(1+BB$7)^INDEX($Q456:$AJ456,1,(BB$4-1)*5+1)*(BB326/BA326)^INDEX($Q456:$AJ456,1,(BB$4-1)*5+2)*(BB326/BA326)^(INDEX($Q456:$AJ456,1,(BB$4-1)*5+3)*(1+INDEX($Q456:$AJ456,1,(BB$4-1)*5+2)))</f>
        <v/>
      </c>
      <c r="BC456" s="25">
        <f>BB456*(1/(1+INDEX($Q456:$AJ456,1,(BC$4-1)*5+4)))^(1+INDEX($Q456:$AJ456,1,(BC$4-1)*5+2))*(1+BC$7)^INDEX($Q456:$AJ456,1,(BC$4-1)*5+1)*(BC326/BB326)^INDEX($Q456:$AJ456,1,(BC$4-1)*5+2)*(BC326/BB326)^(INDEX($Q456:$AJ456,1,(BC$4-1)*5+3)*(1+INDEX($Q456:$AJ456,1,(BC$4-1)*5+2)))</f>
        <v/>
      </c>
      <c r="BD456" s="25">
        <f>BC456*(1/(1+INDEX($Q456:$AJ456,1,(BD$4-1)*5+4)))^(1+INDEX($Q456:$AJ456,1,(BD$4-1)*5+2))*(1+BD$7)^INDEX($Q456:$AJ456,1,(BD$4-1)*5+1)*(BD326/BC326)^INDEX($Q456:$AJ456,1,(BD$4-1)*5+2)*(BD326/BC326)^(INDEX($Q456:$AJ456,1,(BD$4-1)*5+3)*(1+INDEX($Q456:$AJ456,1,(BD$4-1)*5+2)))</f>
        <v/>
      </c>
      <c r="BE456" s="25">
        <f>BD456*(1/(1+INDEX($Q456:$AJ456,1,(BE$4-1)*5+4)))^(1+INDEX($Q456:$AJ456,1,(BE$4-1)*5+2))*(1+BE$7)^INDEX($Q456:$AJ456,1,(BE$4-1)*5+1)*(BE326/BD326)^INDEX($Q456:$AJ456,1,(BE$4-1)*5+2)*(BE326/BD326)^(INDEX($Q456:$AJ456,1,(BE$4-1)*5+3)*(1+INDEX($Q456:$AJ456,1,(BE$4-1)*5+2)))</f>
        <v/>
      </c>
      <c r="BF456" s="25">
        <f>BE456*(1/(1+INDEX($Q456:$AJ456,1,(BF$4-1)*5+4)))^(1+INDEX($Q456:$AJ456,1,(BF$4-1)*5+2))*(1+BF$7)^INDEX($Q456:$AJ456,1,(BF$4-1)*5+1)*(BF326/BE326)^INDEX($Q456:$AJ456,1,(BF$4-1)*5+2)*(BF326/BE326)^(INDEX($Q456:$AJ456,1,(BF$4-1)*5+3)*(1+INDEX($Q456:$AJ456,1,(BF$4-1)*5+2)))</f>
        <v/>
      </c>
      <c r="BG456" s="25">
        <f>BF456*(1/(1+INDEX($Q456:$AJ456,1,(BG$4-1)*5+4)))^(1+INDEX($Q456:$AJ456,1,(BG$4-1)*5+2))*(1+BG$7)^INDEX($Q456:$AJ456,1,(BG$4-1)*5+1)*(BG326/BF326)^INDEX($Q456:$AJ456,1,(BG$4-1)*5+2)*(BG326/BF326)^(INDEX($Q456:$AJ456,1,(BG$4-1)*5+3)*(1+INDEX($Q456:$AJ456,1,(BG$4-1)*5+2)))</f>
        <v/>
      </c>
      <c r="BH456" s="25">
        <f>BG456*(1/(1+INDEX($Q456:$AJ456,1,(BH$4-1)*5+4)))^(1+INDEX($Q456:$AJ456,1,(BH$4-1)*5+2))*(1+BH$7)^INDEX($Q456:$AJ456,1,(BH$4-1)*5+1)*(BH326/BG326)^INDEX($Q456:$AJ456,1,(BH$4-1)*5+2)*(BH326/BG326)^(INDEX($Q456:$AJ456,1,(BH$4-1)*5+3)*(1+INDEX($Q456:$AJ456,1,(BH$4-1)*5+2)))</f>
        <v/>
      </c>
      <c r="BI456" s="25">
        <f>BH456*(1/(1+INDEX($Q456:$AJ456,1,(BI$4-1)*5+4)))^(1+INDEX($Q456:$AJ456,1,(BI$4-1)*5+2))*(1+BI$7)^INDEX($Q456:$AJ456,1,(BI$4-1)*5+1)*(BI326/BH326)^INDEX($Q456:$AJ456,1,(BI$4-1)*5+2)*(BI326/BH326)^(INDEX($Q456:$AJ456,1,(BI$4-1)*5+3)*(1+INDEX($Q456:$AJ456,1,(BI$4-1)*5+2)))</f>
        <v/>
      </c>
      <c r="BJ456" s="25">
        <f>BI456*(1/(1+INDEX($Q456:$AJ456,1,(BJ$4-1)*5+4)))^(1+INDEX($Q456:$AJ456,1,(BJ$4-1)*5+2))*(1+BJ$7)^INDEX($Q456:$AJ456,1,(BJ$4-1)*5+1)*(BJ326/BI326)^INDEX($Q456:$AJ456,1,(BJ$4-1)*5+2)*(BJ326/BI326)^(INDEX($Q456:$AJ456,1,(BJ$4-1)*5+3)*(1+INDEX($Q456:$AJ456,1,(BJ$4-1)*5+2)))</f>
        <v/>
      </c>
      <c r="BK456" s="25">
        <f>BJ456*(1/(1+INDEX($Q456:$AJ456,1,(BK$4-1)*5+4)))^(1+INDEX($Q456:$AJ456,1,(BK$4-1)*5+2))*(1+BK$7)^INDEX($Q456:$AJ456,1,(BK$4-1)*5+1)*(BK326/BJ326)^INDEX($Q456:$AJ456,1,(BK$4-1)*5+2)*(BK326/BJ326)^(INDEX($Q456:$AJ456,1,(BK$4-1)*5+3)*(1+INDEX($Q456:$AJ456,1,(BK$4-1)*5+2)))</f>
        <v/>
      </c>
      <c r="BL456" s="25">
        <f>BK456*(1/(1+INDEX($Q456:$AJ456,1,(BL$4-1)*5+4)))^(1+INDEX($Q456:$AJ456,1,(BL$4-1)*5+2))*(1+BL$7)^INDEX($Q456:$AJ456,1,(BL$4-1)*5+1)*(BL326/BK326)^INDEX($Q456:$AJ456,1,(BL$4-1)*5+2)*(BL326/BK326)^(INDEX($Q456:$AJ456,1,(BL$4-1)*5+3)*(1+INDEX($Q456:$AJ456,1,(BL$4-1)*5+2)))</f>
        <v/>
      </c>
      <c r="BM456" s="25">
        <f>BL456*(1/(1+INDEX($Q456:$AJ456,1,(BM$4-1)*5+4)))^(1+INDEX($Q456:$AJ456,1,(BM$4-1)*5+2))*(1+BM$7)^INDEX($Q456:$AJ456,1,(BM$4-1)*5+1)*(BM326/BL326)^INDEX($Q456:$AJ456,1,(BM$4-1)*5+2)*(BM326/BL326)^(INDEX($Q456:$AJ456,1,(BM$4-1)*5+3)*(1+INDEX($Q456:$AJ456,1,(BM$4-1)*5+2)))</f>
        <v/>
      </c>
      <c r="BN456" s="25">
        <f>BM456*(1/(1+INDEX($Q456:$AJ456,1,(BN$4-1)*5+4)))^(1+INDEX($Q456:$AJ456,1,(BN$4-1)*5+2))*(1+BN$7)^INDEX($Q456:$AJ456,1,(BN$4-1)*5+1)*(BN326/BM326)^INDEX($Q456:$AJ456,1,(BN$4-1)*5+2)*(BN326/BM326)^(INDEX($Q456:$AJ456,1,(BN$4-1)*5+3)*(1+INDEX($Q456:$AJ456,1,(BN$4-1)*5+2)))</f>
        <v/>
      </c>
    </row>
    <row r="457">
      <c r="B457" s="5" t="inlineStr">
        <is>
          <t>coa</t>
        </is>
      </c>
      <c r="C457" s="5" t="inlineStr">
        <is>
          <t>mch</t>
        </is>
      </c>
      <c r="D457" s="5" t="inlineStr">
        <is>
          <t>Fuel use | Mining &amp; chemicals | Coal</t>
        </is>
      </c>
      <c r="E457" s="5" t="inlineStr">
        <is>
          <t>ktoe</t>
        </is>
      </c>
      <c r="F457" s="5" t="inlineStr">
        <is>
          <t>EnergyCons (base year), Elasticities</t>
        </is>
      </c>
      <c r="G457" s="19" t="inlineStr">
        <is>
          <t>mit.enc.coa.mch</t>
        </is>
      </c>
      <c r="H457" s="19" t="inlineStr">
        <is>
          <t>mit.enc.coa.mch</t>
        </is>
      </c>
      <c r="J457" s="5">
        <f>INDEX(Mapping!$C$5:$C$20,MATCH($C457,Mapping!$A$5:$A$20,0))</f>
        <v/>
      </c>
      <c r="K457" s="5">
        <f>INDEX(Mapping!$D$5:$D$20,MATCH($C457,Mapping!$A$5:$A$20,0))</f>
        <v/>
      </c>
      <c r="L457" s="5">
        <f>INDEX(Mapping!$C$24:$C$31,MATCH($B457,Mapping!$A$24:$A$31,0))</f>
        <v/>
      </c>
      <c r="M457" s="5">
        <f>INDEX(Mapping!$D$24:$D$31,MATCH($B457,Mapping!$A$24:$A$31,0))</f>
        <v/>
      </c>
      <c r="N457" s="5">
        <f>$B457&amp;"."&amp;IF(INDEX(Mapping!$E$24:$E$31,MATCH($B457,Mapping!$A$24:$A$31,0))="sub",INDEX(Mapping!$F$5:$F$20,MATCH($C457,Mapping!$A$5:$A$20,0)),"all")</f>
        <v/>
      </c>
      <c r="O457" s="5">
        <f>INDEX(Mapping!$E$5:$E$20,MATCH($C457,Mapping!$A$5:$A$20,0))</f>
        <v/>
      </c>
      <c r="P457" s="5">
        <f>INDEX(Mapping!$G$24:$G$31,MATCH($B457,Mapping!$A$24:$A$31,0))</f>
        <v/>
      </c>
      <c r="Q457" s="22">
        <f>INDEX(Elasticities!$F$4:$I$200,MATCH("inc|"&amp;$L457&amp;"|"&amp;$K457,Elasticities!$A$4:$A$200,0),MATCH(Settings!$C$6,Elasticities!$F$3:$I$3,0))</f>
        <v/>
      </c>
      <c r="R457" s="22">
        <f>INDEX(Elasticities!$F$4:$I$200,MATCH("usg|"&amp;$L457&amp;"|"&amp;$K457,Elasticities!$A$4:$A$200,0),MATCH(Settings!$C$6,Elasticities!$F$3:$I$3,0))</f>
        <v/>
      </c>
      <c r="S457" s="22">
        <f>INDEX(Elasticities!$F$4:$I$200,MATCH("eff|"&amp;$L457&amp;"|"&amp;$K457,Elasticities!$A$4:$A$200,0),MATCH(Settings!$C$6,Elasticities!$F$3:$I$3,0))</f>
        <v/>
      </c>
      <c r="T457" s="22">
        <f>INDEX(Elasticities!$F$4:$I$200,MATCH("aei|"&amp;$M457&amp;"|"&amp;$K457,Elasticities!$A$4:$A$200,0),MATCH(Settings!$C$6,Elasticities!$F$3:$I$3,0))</f>
        <v/>
      </c>
      <c r="U457" s="21" t="n"/>
      <c r="V457" s="22">
        <f>Q457</f>
        <v/>
      </c>
      <c r="W457" s="22">
        <f>R457</f>
        <v/>
      </c>
      <c r="X457" s="22">
        <f>S457</f>
        <v/>
      </c>
      <c r="Y457" s="22">
        <f>T457</f>
        <v/>
      </c>
      <c r="Z457" s="21" t="n"/>
      <c r="AA457" s="22">
        <f>Q457</f>
        <v/>
      </c>
      <c r="AB457" s="22">
        <f>R457</f>
        <v/>
      </c>
      <c r="AC457" s="22">
        <f>S457</f>
        <v/>
      </c>
      <c r="AD457" s="22">
        <f>T457</f>
        <v/>
      </c>
      <c r="AE457" s="21" t="n"/>
      <c r="AF457" s="22">
        <f>Q457</f>
        <v/>
      </c>
      <c r="AG457" s="22">
        <f>R457</f>
        <v/>
      </c>
      <c r="AH457" s="22">
        <f>S457</f>
        <v/>
      </c>
      <c r="AI457" s="22">
        <f>T457</f>
        <v/>
      </c>
      <c r="AJ457" s="21" t="n"/>
      <c r="AL457" s="24">
        <f>INDEX(EnergyCons!$F$4:$F$5000,MATCH(Settings!$C$4&amp;"|"&amp;AL$5&amp;"|"&amp;$C457&amp;"|"&amp;$B457,EnergyCons!$A$4:$A$5000,0))</f>
        <v/>
      </c>
      <c r="AM457" s="25">
        <f>AL457*(1/(1+INDEX($Q457:$AJ457,1,(AM$4-1)*5+4)))^(1+INDEX($Q457:$AJ457,1,(AM$4-1)*5+2))*(1+AM$7)^INDEX($Q457:$AJ457,1,(AM$4-1)*5+1)*(AM327/AL327)^INDEX($Q457:$AJ457,1,(AM$4-1)*5+2)*(AM327/AL327)^(INDEX($Q457:$AJ457,1,(AM$4-1)*5+3)*(1+INDEX($Q457:$AJ457,1,(AM$4-1)*5+2)))</f>
        <v/>
      </c>
      <c r="AN457" s="25">
        <f>AM457*(1/(1+INDEX($Q457:$AJ457,1,(AN$4-1)*5+4)))^(1+INDEX($Q457:$AJ457,1,(AN$4-1)*5+2))*(1+AN$7)^INDEX($Q457:$AJ457,1,(AN$4-1)*5+1)*(AN327/AM327)^INDEX($Q457:$AJ457,1,(AN$4-1)*5+2)*(AN327/AM327)^(INDEX($Q457:$AJ457,1,(AN$4-1)*5+3)*(1+INDEX($Q457:$AJ457,1,(AN$4-1)*5+2)))</f>
        <v/>
      </c>
      <c r="AO457" s="25">
        <f>AN457*(1/(1+INDEX($Q457:$AJ457,1,(AO$4-1)*5+4)))^(1+INDEX($Q457:$AJ457,1,(AO$4-1)*5+2))*(1+AO$7)^INDEX($Q457:$AJ457,1,(AO$4-1)*5+1)*(AO327/AN327)^INDEX($Q457:$AJ457,1,(AO$4-1)*5+2)*(AO327/AN327)^(INDEX($Q457:$AJ457,1,(AO$4-1)*5+3)*(1+INDEX($Q457:$AJ457,1,(AO$4-1)*5+2)))</f>
        <v/>
      </c>
      <c r="AP457" s="25">
        <f>AO457*(1/(1+INDEX($Q457:$AJ457,1,(AP$4-1)*5+4)))^(1+INDEX($Q457:$AJ457,1,(AP$4-1)*5+2))*(1+AP$7)^INDEX($Q457:$AJ457,1,(AP$4-1)*5+1)*(AP327/AO327)^INDEX($Q457:$AJ457,1,(AP$4-1)*5+2)*(AP327/AO327)^(INDEX($Q457:$AJ457,1,(AP$4-1)*5+3)*(1+INDEX($Q457:$AJ457,1,(AP$4-1)*5+2)))</f>
        <v/>
      </c>
      <c r="AQ457" s="25">
        <f>AP457*(1/(1+INDEX($Q457:$AJ457,1,(AQ$4-1)*5+4)))^(1+INDEX($Q457:$AJ457,1,(AQ$4-1)*5+2))*(1+AQ$7)^INDEX($Q457:$AJ457,1,(AQ$4-1)*5+1)*(AQ327/AP327)^INDEX($Q457:$AJ457,1,(AQ$4-1)*5+2)*(AQ327/AP327)^(INDEX($Q457:$AJ457,1,(AQ$4-1)*5+3)*(1+INDEX($Q457:$AJ457,1,(AQ$4-1)*5+2)))</f>
        <v/>
      </c>
      <c r="AR457" s="25">
        <f>AQ457*(1/(1+INDEX($Q457:$AJ457,1,(AR$4-1)*5+4)))^(1+INDEX($Q457:$AJ457,1,(AR$4-1)*5+2))*(1+AR$7)^INDEX($Q457:$AJ457,1,(AR$4-1)*5+1)*(AR327/AQ327)^INDEX($Q457:$AJ457,1,(AR$4-1)*5+2)*(AR327/AQ327)^(INDEX($Q457:$AJ457,1,(AR$4-1)*5+3)*(1+INDEX($Q457:$AJ457,1,(AR$4-1)*5+2)))</f>
        <v/>
      </c>
      <c r="AS457" s="25">
        <f>AR457*(1/(1+INDEX($Q457:$AJ457,1,(AS$4-1)*5+4)))^(1+INDEX($Q457:$AJ457,1,(AS$4-1)*5+2))*(1+AS$7)^INDEX($Q457:$AJ457,1,(AS$4-1)*5+1)*(AS327/AR327)^INDEX($Q457:$AJ457,1,(AS$4-1)*5+2)*(AS327/AR327)^(INDEX($Q457:$AJ457,1,(AS$4-1)*5+3)*(1+INDEX($Q457:$AJ457,1,(AS$4-1)*5+2)))</f>
        <v/>
      </c>
      <c r="AT457" s="25">
        <f>AS457*(1/(1+INDEX($Q457:$AJ457,1,(AT$4-1)*5+4)))^(1+INDEX($Q457:$AJ457,1,(AT$4-1)*5+2))*(1+AT$7)^INDEX($Q457:$AJ457,1,(AT$4-1)*5+1)*(AT327/AS327)^INDEX($Q457:$AJ457,1,(AT$4-1)*5+2)*(AT327/AS327)^(INDEX($Q457:$AJ457,1,(AT$4-1)*5+3)*(1+INDEX($Q457:$AJ457,1,(AT$4-1)*5+2)))</f>
        <v/>
      </c>
      <c r="AU457" s="25">
        <f>AT457*(1/(1+INDEX($Q457:$AJ457,1,(AU$4-1)*5+4)))^(1+INDEX($Q457:$AJ457,1,(AU$4-1)*5+2))*(1+AU$7)^INDEX($Q457:$AJ457,1,(AU$4-1)*5+1)*(AU327/AT327)^INDEX($Q457:$AJ457,1,(AU$4-1)*5+2)*(AU327/AT327)^(INDEX($Q457:$AJ457,1,(AU$4-1)*5+3)*(1+INDEX($Q457:$AJ457,1,(AU$4-1)*5+2)))</f>
        <v/>
      </c>
      <c r="AV457" s="25">
        <f>AU457*(1/(1+INDEX($Q457:$AJ457,1,(AV$4-1)*5+4)))^(1+INDEX($Q457:$AJ457,1,(AV$4-1)*5+2))*(1+AV$7)^INDEX($Q457:$AJ457,1,(AV$4-1)*5+1)*(AV327/AU327)^INDEX($Q457:$AJ457,1,(AV$4-1)*5+2)*(AV327/AU327)^(INDEX($Q457:$AJ457,1,(AV$4-1)*5+3)*(1+INDEX($Q457:$AJ457,1,(AV$4-1)*5+2)))</f>
        <v/>
      </c>
      <c r="AW457" s="25">
        <f>AV457*(1/(1+INDEX($Q457:$AJ457,1,(AW$4-1)*5+4)))^(1+INDEX($Q457:$AJ457,1,(AW$4-1)*5+2))*(1+AW$7)^INDEX($Q457:$AJ457,1,(AW$4-1)*5+1)*(AW327/AV327)^INDEX($Q457:$AJ457,1,(AW$4-1)*5+2)*(AW327/AV327)^(INDEX($Q457:$AJ457,1,(AW$4-1)*5+3)*(1+INDEX($Q457:$AJ457,1,(AW$4-1)*5+2)))</f>
        <v/>
      </c>
      <c r="AX457" s="25">
        <f>AW457*(1/(1+INDEX($Q457:$AJ457,1,(AX$4-1)*5+4)))^(1+INDEX($Q457:$AJ457,1,(AX$4-1)*5+2))*(1+AX$7)^INDEX($Q457:$AJ457,1,(AX$4-1)*5+1)*(AX327/AW327)^INDEX($Q457:$AJ457,1,(AX$4-1)*5+2)*(AX327/AW327)^(INDEX($Q457:$AJ457,1,(AX$4-1)*5+3)*(1+INDEX($Q457:$AJ457,1,(AX$4-1)*5+2)))</f>
        <v/>
      </c>
      <c r="AY457" s="25">
        <f>AX457*(1/(1+INDEX($Q457:$AJ457,1,(AY$4-1)*5+4)))^(1+INDEX($Q457:$AJ457,1,(AY$4-1)*5+2))*(1+AY$7)^INDEX($Q457:$AJ457,1,(AY$4-1)*5+1)*(AY327/AX327)^INDEX($Q457:$AJ457,1,(AY$4-1)*5+2)*(AY327/AX327)^(INDEX($Q457:$AJ457,1,(AY$4-1)*5+3)*(1+INDEX($Q457:$AJ457,1,(AY$4-1)*5+2)))</f>
        <v/>
      </c>
      <c r="BA457" s="24">
        <f>INDEX(EnergyCons!$F$4:$F$5000,MATCH(Settings!$C$4&amp;"|"&amp;BA$5&amp;"|"&amp;$C457&amp;"|"&amp;$B457,EnergyCons!$A$4:$A$5000,0))</f>
        <v/>
      </c>
      <c r="BB457" s="25">
        <f>BA457*(1/(1+INDEX($Q457:$AJ457,1,(BB$4-1)*5+4)))^(1+INDEX($Q457:$AJ457,1,(BB$4-1)*5+2))*(1+BB$7)^INDEX($Q457:$AJ457,1,(BB$4-1)*5+1)*(BB327/BA327)^INDEX($Q457:$AJ457,1,(BB$4-1)*5+2)*(BB327/BA327)^(INDEX($Q457:$AJ457,1,(BB$4-1)*5+3)*(1+INDEX($Q457:$AJ457,1,(BB$4-1)*5+2)))</f>
        <v/>
      </c>
      <c r="BC457" s="25">
        <f>BB457*(1/(1+INDEX($Q457:$AJ457,1,(BC$4-1)*5+4)))^(1+INDEX($Q457:$AJ457,1,(BC$4-1)*5+2))*(1+BC$7)^INDEX($Q457:$AJ457,1,(BC$4-1)*5+1)*(BC327/BB327)^INDEX($Q457:$AJ457,1,(BC$4-1)*5+2)*(BC327/BB327)^(INDEX($Q457:$AJ457,1,(BC$4-1)*5+3)*(1+INDEX($Q457:$AJ457,1,(BC$4-1)*5+2)))</f>
        <v/>
      </c>
      <c r="BD457" s="25">
        <f>BC457*(1/(1+INDEX($Q457:$AJ457,1,(BD$4-1)*5+4)))^(1+INDEX($Q457:$AJ457,1,(BD$4-1)*5+2))*(1+BD$7)^INDEX($Q457:$AJ457,1,(BD$4-1)*5+1)*(BD327/BC327)^INDEX($Q457:$AJ457,1,(BD$4-1)*5+2)*(BD327/BC327)^(INDEX($Q457:$AJ457,1,(BD$4-1)*5+3)*(1+INDEX($Q457:$AJ457,1,(BD$4-1)*5+2)))</f>
        <v/>
      </c>
      <c r="BE457" s="25">
        <f>BD457*(1/(1+INDEX($Q457:$AJ457,1,(BE$4-1)*5+4)))^(1+INDEX($Q457:$AJ457,1,(BE$4-1)*5+2))*(1+BE$7)^INDEX($Q457:$AJ457,1,(BE$4-1)*5+1)*(BE327/BD327)^INDEX($Q457:$AJ457,1,(BE$4-1)*5+2)*(BE327/BD327)^(INDEX($Q457:$AJ457,1,(BE$4-1)*5+3)*(1+INDEX($Q457:$AJ457,1,(BE$4-1)*5+2)))</f>
        <v/>
      </c>
      <c r="BF457" s="25">
        <f>BE457*(1/(1+INDEX($Q457:$AJ457,1,(BF$4-1)*5+4)))^(1+INDEX($Q457:$AJ457,1,(BF$4-1)*5+2))*(1+BF$7)^INDEX($Q457:$AJ457,1,(BF$4-1)*5+1)*(BF327/BE327)^INDEX($Q457:$AJ457,1,(BF$4-1)*5+2)*(BF327/BE327)^(INDEX($Q457:$AJ457,1,(BF$4-1)*5+3)*(1+INDEX($Q457:$AJ457,1,(BF$4-1)*5+2)))</f>
        <v/>
      </c>
      <c r="BG457" s="25">
        <f>BF457*(1/(1+INDEX($Q457:$AJ457,1,(BG$4-1)*5+4)))^(1+INDEX($Q457:$AJ457,1,(BG$4-1)*5+2))*(1+BG$7)^INDEX($Q457:$AJ457,1,(BG$4-1)*5+1)*(BG327/BF327)^INDEX($Q457:$AJ457,1,(BG$4-1)*5+2)*(BG327/BF327)^(INDEX($Q457:$AJ457,1,(BG$4-1)*5+3)*(1+INDEX($Q457:$AJ457,1,(BG$4-1)*5+2)))</f>
        <v/>
      </c>
      <c r="BH457" s="25">
        <f>BG457*(1/(1+INDEX($Q457:$AJ457,1,(BH$4-1)*5+4)))^(1+INDEX($Q457:$AJ457,1,(BH$4-1)*5+2))*(1+BH$7)^INDEX($Q457:$AJ457,1,(BH$4-1)*5+1)*(BH327/BG327)^INDEX($Q457:$AJ457,1,(BH$4-1)*5+2)*(BH327/BG327)^(INDEX($Q457:$AJ457,1,(BH$4-1)*5+3)*(1+INDEX($Q457:$AJ457,1,(BH$4-1)*5+2)))</f>
        <v/>
      </c>
      <c r="BI457" s="25">
        <f>BH457*(1/(1+INDEX($Q457:$AJ457,1,(BI$4-1)*5+4)))^(1+INDEX($Q457:$AJ457,1,(BI$4-1)*5+2))*(1+BI$7)^INDEX($Q457:$AJ457,1,(BI$4-1)*5+1)*(BI327/BH327)^INDEX($Q457:$AJ457,1,(BI$4-1)*5+2)*(BI327/BH327)^(INDEX($Q457:$AJ457,1,(BI$4-1)*5+3)*(1+INDEX($Q457:$AJ457,1,(BI$4-1)*5+2)))</f>
        <v/>
      </c>
      <c r="BJ457" s="25">
        <f>BI457*(1/(1+INDEX($Q457:$AJ457,1,(BJ$4-1)*5+4)))^(1+INDEX($Q457:$AJ457,1,(BJ$4-1)*5+2))*(1+BJ$7)^INDEX($Q457:$AJ457,1,(BJ$4-1)*5+1)*(BJ327/BI327)^INDEX($Q457:$AJ457,1,(BJ$4-1)*5+2)*(BJ327/BI327)^(INDEX($Q457:$AJ457,1,(BJ$4-1)*5+3)*(1+INDEX($Q457:$AJ457,1,(BJ$4-1)*5+2)))</f>
        <v/>
      </c>
      <c r="BK457" s="25">
        <f>BJ457*(1/(1+INDEX($Q457:$AJ457,1,(BK$4-1)*5+4)))^(1+INDEX($Q457:$AJ457,1,(BK$4-1)*5+2))*(1+BK$7)^INDEX($Q457:$AJ457,1,(BK$4-1)*5+1)*(BK327/BJ327)^INDEX($Q457:$AJ457,1,(BK$4-1)*5+2)*(BK327/BJ327)^(INDEX($Q457:$AJ457,1,(BK$4-1)*5+3)*(1+INDEX($Q457:$AJ457,1,(BK$4-1)*5+2)))</f>
        <v/>
      </c>
      <c r="BL457" s="25">
        <f>BK457*(1/(1+INDEX($Q457:$AJ457,1,(BL$4-1)*5+4)))^(1+INDEX($Q457:$AJ457,1,(BL$4-1)*5+2))*(1+BL$7)^INDEX($Q457:$AJ457,1,(BL$4-1)*5+1)*(BL327/BK327)^INDEX($Q457:$AJ457,1,(BL$4-1)*5+2)*(BL327/BK327)^(INDEX($Q457:$AJ457,1,(BL$4-1)*5+3)*(1+INDEX($Q457:$AJ457,1,(BL$4-1)*5+2)))</f>
        <v/>
      </c>
      <c r="BM457" s="25">
        <f>BL457*(1/(1+INDEX($Q457:$AJ457,1,(BM$4-1)*5+4)))^(1+INDEX($Q457:$AJ457,1,(BM$4-1)*5+2))*(1+BM$7)^INDEX($Q457:$AJ457,1,(BM$4-1)*5+1)*(BM327/BL327)^INDEX($Q457:$AJ457,1,(BM$4-1)*5+2)*(BM327/BL327)^(INDEX($Q457:$AJ457,1,(BM$4-1)*5+3)*(1+INDEX($Q457:$AJ457,1,(BM$4-1)*5+2)))</f>
        <v/>
      </c>
      <c r="BN457" s="25">
        <f>BM457*(1/(1+INDEX($Q457:$AJ457,1,(BN$4-1)*5+4)))^(1+INDEX($Q457:$AJ457,1,(BN$4-1)*5+2))*(1+BN$7)^INDEX($Q457:$AJ457,1,(BN$4-1)*5+1)*(BN327/BM327)^INDEX($Q457:$AJ457,1,(BN$4-1)*5+2)*(BN327/BM327)^(INDEX($Q457:$AJ457,1,(BN$4-1)*5+3)*(1+INDEX($Q457:$AJ457,1,(BN$4-1)*5+2)))</f>
        <v/>
      </c>
    </row>
    <row r="458">
      <c r="B458" s="5" t="inlineStr">
        <is>
          <t>nga</t>
        </is>
      </c>
      <c r="C458" s="5" t="inlineStr">
        <is>
          <t>mch</t>
        </is>
      </c>
      <c r="D458" s="5" t="inlineStr">
        <is>
          <t>Fuel use | Mining &amp; chemicals | Natural gas</t>
        </is>
      </c>
      <c r="E458" s="5" t="inlineStr">
        <is>
          <t>ktoe</t>
        </is>
      </c>
      <c r="F458" s="5" t="inlineStr">
        <is>
          <t>EnergyCons (base year), Elasticities</t>
        </is>
      </c>
      <c r="G458" s="19" t="inlineStr">
        <is>
          <t>mit.enc.nga.mch</t>
        </is>
      </c>
      <c r="H458" s="19" t="inlineStr">
        <is>
          <t>mit.enc.nga.mch</t>
        </is>
      </c>
      <c r="J458" s="5">
        <f>INDEX(Mapping!$C$5:$C$20,MATCH($C458,Mapping!$A$5:$A$20,0))</f>
        <v/>
      </c>
      <c r="K458" s="5">
        <f>INDEX(Mapping!$D$5:$D$20,MATCH($C458,Mapping!$A$5:$A$20,0))</f>
        <v/>
      </c>
      <c r="L458" s="5">
        <f>INDEX(Mapping!$C$24:$C$31,MATCH($B458,Mapping!$A$24:$A$31,0))</f>
        <v/>
      </c>
      <c r="M458" s="5">
        <f>INDEX(Mapping!$D$24:$D$31,MATCH($B458,Mapping!$A$24:$A$31,0))</f>
        <v/>
      </c>
      <c r="N458" s="5">
        <f>$B458&amp;"."&amp;IF(INDEX(Mapping!$E$24:$E$31,MATCH($B458,Mapping!$A$24:$A$31,0))="sub",INDEX(Mapping!$F$5:$F$20,MATCH($C458,Mapping!$A$5:$A$20,0)),"all")</f>
        <v/>
      </c>
      <c r="O458" s="5">
        <f>INDEX(Mapping!$E$5:$E$20,MATCH($C458,Mapping!$A$5:$A$20,0))</f>
        <v/>
      </c>
      <c r="P458" s="5">
        <f>INDEX(Mapping!$G$24:$G$31,MATCH($B458,Mapping!$A$24:$A$31,0))</f>
        <v/>
      </c>
      <c r="Q458" s="22">
        <f>INDEX(Elasticities!$F$4:$I$200,MATCH("inc|"&amp;$L458&amp;"|"&amp;$K458,Elasticities!$A$4:$A$200,0),MATCH(Settings!$C$6,Elasticities!$F$3:$I$3,0))</f>
        <v/>
      </c>
      <c r="R458" s="22">
        <f>INDEX(Elasticities!$F$4:$I$200,MATCH("usg|"&amp;$L458&amp;"|"&amp;$K458,Elasticities!$A$4:$A$200,0),MATCH(Settings!$C$6,Elasticities!$F$3:$I$3,0))</f>
        <v/>
      </c>
      <c r="S458" s="22">
        <f>INDEX(Elasticities!$F$4:$I$200,MATCH("eff|"&amp;$L458&amp;"|"&amp;$K458,Elasticities!$A$4:$A$200,0),MATCH(Settings!$C$6,Elasticities!$F$3:$I$3,0))</f>
        <v/>
      </c>
      <c r="T458" s="22">
        <f>INDEX(Elasticities!$F$4:$I$200,MATCH("aei|"&amp;$M458&amp;"|"&amp;$K458,Elasticities!$A$4:$A$200,0),MATCH(Settings!$C$6,Elasticities!$F$3:$I$3,0))</f>
        <v/>
      </c>
      <c r="U458" s="21" t="n"/>
      <c r="V458" s="22">
        <f>Q458</f>
        <v/>
      </c>
      <c r="W458" s="22">
        <f>R458</f>
        <v/>
      </c>
      <c r="X458" s="22">
        <f>S458</f>
        <v/>
      </c>
      <c r="Y458" s="22">
        <f>T458</f>
        <v/>
      </c>
      <c r="Z458" s="21" t="n"/>
      <c r="AA458" s="22">
        <f>Q458</f>
        <v/>
      </c>
      <c r="AB458" s="22">
        <f>R458</f>
        <v/>
      </c>
      <c r="AC458" s="22">
        <f>S458</f>
        <v/>
      </c>
      <c r="AD458" s="22">
        <f>T458</f>
        <v/>
      </c>
      <c r="AE458" s="21" t="n"/>
      <c r="AF458" s="22">
        <f>Q458</f>
        <v/>
      </c>
      <c r="AG458" s="22">
        <f>R458</f>
        <v/>
      </c>
      <c r="AH458" s="22">
        <f>S458</f>
        <v/>
      </c>
      <c r="AI458" s="22">
        <f>T458</f>
        <v/>
      </c>
      <c r="AJ458" s="21" t="n"/>
      <c r="AL458" s="24">
        <f>INDEX(EnergyCons!$F$4:$F$5000,MATCH(Settings!$C$4&amp;"|"&amp;AL$5&amp;"|"&amp;$C458&amp;"|"&amp;$B458,EnergyCons!$A$4:$A$5000,0))</f>
        <v/>
      </c>
      <c r="AM458" s="25">
        <f>AL458*(1/(1+INDEX($Q458:$AJ458,1,(AM$4-1)*5+4)))^(1+INDEX($Q458:$AJ458,1,(AM$4-1)*5+2))*(1+AM$7)^INDEX($Q458:$AJ458,1,(AM$4-1)*5+1)*(AM328/AL328)^INDEX($Q458:$AJ458,1,(AM$4-1)*5+2)*(AM328/AL328)^(INDEX($Q458:$AJ458,1,(AM$4-1)*5+3)*(1+INDEX($Q458:$AJ458,1,(AM$4-1)*5+2)))</f>
        <v/>
      </c>
      <c r="AN458" s="25">
        <f>AM458*(1/(1+INDEX($Q458:$AJ458,1,(AN$4-1)*5+4)))^(1+INDEX($Q458:$AJ458,1,(AN$4-1)*5+2))*(1+AN$7)^INDEX($Q458:$AJ458,1,(AN$4-1)*5+1)*(AN328/AM328)^INDEX($Q458:$AJ458,1,(AN$4-1)*5+2)*(AN328/AM328)^(INDEX($Q458:$AJ458,1,(AN$4-1)*5+3)*(1+INDEX($Q458:$AJ458,1,(AN$4-1)*5+2)))</f>
        <v/>
      </c>
      <c r="AO458" s="25">
        <f>AN458*(1/(1+INDEX($Q458:$AJ458,1,(AO$4-1)*5+4)))^(1+INDEX($Q458:$AJ458,1,(AO$4-1)*5+2))*(1+AO$7)^INDEX($Q458:$AJ458,1,(AO$4-1)*5+1)*(AO328/AN328)^INDEX($Q458:$AJ458,1,(AO$4-1)*5+2)*(AO328/AN328)^(INDEX($Q458:$AJ458,1,(AO$4-1)*5+3)*(1+INDEX($Q458:$AJ458,1,(AO$4-1)*5+2)))</f>
        <v/>
      </c>
      <c r="AP458" s="25">
        <f>AO458*(1/(1+INDEX($Q458:$AJ458,1,(AP$4-1)*5+4)))^(1+INDEX($Q458:$AJ458,1,(AP$4-1)*5+2))*(1+AP$7)^INDEX($Q458:$AJ458,1,(AP$4-1)*5+1)*(AP328/AO328)^INDEX($Q458:$AJ458,1,(AP$4-1)*5+2)*(AP328/AO328)^(INDEX($Q458:$AJ458,1,(AP$4-1)*5+3)*(1+INDEX($Q458:$AJ458,1,(AP$4-1)*5+2)))</f>
        <v/>
      </c>
      <c r="AQ458" s="25">
        <f>AP458*(1/(1+INDEX($Q458:$AJ458,1,(AQ$4-1)*5+4)))^(1+INDEX($Q458:$AJ458,1,(AQ$4-1)*5+2))*(1+AQ$7)^INDEX($Q458:$AJ458,1,(AQ$4-1)*5+1)*(AQ328/AP328)^INDEX($Q458:$AJ458,1,(AQ$4-1)*5+2)*(AQ328/AP328)^(INDEX($Q458:$AJ458,1,(AQ$4-1)*5+3)*(1+INDEX($Q458:$AJ458,1,(AQ$4-1)*5+2)))</f>
        <v/>
      </c>
      <c r="AR458" s="25">
        <f>AQ458*(1/(1+INDEX($Q458:$AJ458,1,(AR$4-1)*5+4)))^(1+INDEX($Q458:$AJ458,1,(AR$4-1)*5+2))*(1+AR$7)^INDEX($Q458:$AJ458,1,(AR$4-1)*5+1)*(AR328/AQ328)^INDEX($Q458:$AJ458,1,(AR$4-1)*5+2)*(AR328/AQ328)^(INDEX($Q458:$AJ458,1,(AR$4-1)*5+3)*(1+INDEX($Q458:$AJ458,1,(AR$4-1)*5+2)))</f>
        <v/>
      </c>
      <c r="AS458" s="25">
        <f>AR458*(1/(1+INDEX($Q458:$AJ458,1,(AS$4-1)*5+4)))^(1+INDEX($Q458:$AJ458,1,(AS$4-1)*5+2))*(1+AS$7)^INDEX($Q458:$AJ458,1,(AS$4-1)*5+1)*(AS328/AR328)^INDEX($Q458:$AJ458,1,(AS$4-1)*5+2)*(AS328/AR328)^(INDEX($Q458:$AJ458,1,(AS$4-1)*5+3)*(1+INDEX($Q458:$AJ458,1,(AS$4-1)*5+2)))</f>
        <v/>
      </c>
      <c r="AT458" s="25">
        <f>AS458*(1/(1+INDEX($Q458:$AJ458,1,(AT$4-1)*5+4)))^(1+INDEX($Q458:$AJ458,1,(AT$4-1)*5+2))*(1+AT$7)^INDEX($Q458:$AJ458,1,(AT$4-1)*5+1)*(AT328/AS328)^INDEX($Q458:$AJ458,1,(AT$4-1)*5+2)*(AT328/AS328)^(INDEX($Q458:$AJ458,1,(AT$4-1)*5+3)*(1+INDEX($Q458:$AJ458,1,(AT$4-1)*5+2)))</f>
        <v/>
      </c>
      <c r="AU458" s="25">
        <f>AT458*(1/(1+INDEX($Q458:$AJ458,1,(AU$4-1)*5+4)))^(1+INDEX($Q458:$AJ458,1,(AU$4-1)*5+2))*(1+AU$7)^INDEX($Q458:$AJ458,1,(AU$4-1)*5+1)*(AU328/AT328)^INDEX($Q458:$AJ458,1,(AU$4-1)*5+2)*(AU328/AT328)^(INDEX($Q458:$AJ458,1,(AU$4-1)*5+3)*(1+INDEX($Q458:$AJ458,1,(AU$4-1)*5+2)))</f>
        <v/>
      </c>
      <c r="AV458" s="25">
        <f>AU458*(1/(1+INDEX($Q458:$AJ458,1,(AV$4-1)*5+4)))^(1+INDEX($Q458:$AJ458,1,(AV$4-1)*5+2))*(1+AV$7)^INDEX($Q458:$AJ458,1,(AV$4-1)*5+1)*(AV328/AU328)^INDEX($Q458:$AJ458,1,(AV$4-1)*5+2)*(AV328/AU328)^(INDEX($Q458:$AJ458,1,(AV$4-1)*5+3)*(1+INDEX($Q458:$AJ458,1,(AV$4-1)*5+2)))</f>
        <v/>
      </c>
      <c r="AW458" s="25">
        <f>AV458*(1/(1+INDEX($Q458:$AJ458,1,(AW$4-1)*5+4)))^(1+INDEX($Q458:$AJ458,1,(AW$4-1)*5+2))*(1+AW$7)^INDEX($Q458:$AJ458,1,(AW$4-1)*5+1)*(AW328/AV328)^INDEX($Q458:$AJ458,1,(AW$4-1)*5+2)*(AW328/AV328)^(INDEX($Q458:$AJ458,1,(AW$4-1)*5+3)*(1+INDEX($Q458:$AJ458,1,(AW$4-1)*5+2)))</f>
        <v/>
      </c>
      <c r="AX458" s="25">
        <f>AW458*(1/(1+INDEX($Q458:$AJ458,1,(AX$4-1)*5+4)))^(1+INDEX($Q458:$AJ458,1,(AX$4-1)*5+2))*(1+AX$7)^INDEX($Q458:$AJ458,1,(AX$4-1)*5+1)*(AX328/AW328)^INDEX($Q458:$AJ458,1,(AX$4-1)*5+2)*(AX328/AW328)^(INDEX($Q458:$AJ458,1,(AX$4-1)*5+3)*(1+INDEX($Q458:$AJ458,1,(AX$4-1)*5+2)))</f>
        <v/>
      </c>
      <c r="AY458" s="25">
        <f>AX458*(1/(1+INDEX($Q458:$AJ458,1,(AY$4-1)*5+4)))^(1+INDEX($Q458:$AJ458,1,(AY$4-1)*5+2))*(1+AY$7)^INDEX($Q458:$AJ458,1,(AY$4-1)*5+1)*(AY328/AX328)^INDEX($Q458:$AJ458,1,(AY$4-1)*5+2)*(AY328/AX328)^(INDEX($Q458:$AJ458,1,(AY$4-1)*5+3)*(1+INDEX($Q458:$AJ458,1,(AY$4-1)*5+2)))</f>
        <v/>
      </c>
      <c r="BA458" s="24">
        <f>INDEX(EnergyCons!$F$4:$F$5000,MATCH(Settings!$C$4&amp;"|"&amp;BA$5&amp;"|"&amp;$C458&amp;"|"&amp;$B458,EnergyCons!$A$4:$A$5000,0))</f>
        <v/>
      </c>
      <c r="BB458" s="25">
        <f>BA458*(1/(1+INDEX($Q458:$AJ458,1,(BB$4-1)*5+4)))^(1+INDEX($Q458:$AJ458,1,(BB$4-1)*5+2))*(1+BB$7)^INDEX($Q458:$AJ458,1,(BB$4-1)*5+1)*(BB328/BA328)^INDEX($Q458:$AJ458,1,(BB$4-1)*5+2)*(BB328/BA328)^(INDEX($Q458:$AJ458,1,(BB$4-1)*5+3)*(1+INDEX($Q458:$AJ458,1,(BB$4-1)*5+2)))</f>
        <v/>
      </c>
      <c r="BC458" s="25">
        <f>BB458*(1/(1+INDEX($Q458:$AJ458,1,(BC$4-1)*5+4)))^(1+INDEX($Q458:$AJ458,1,(BC$4-1)*5+2))*(1+BC$7)^INDEX($Q458:$AJ458,1,(BC$4-1)*5+1)*(BC328/BB328)^INDEX($Q458:$AJ458,1,(BC$4-1)*5+2)*(BC328/BB328)^(INDEX($Q458:$AJ458,1,(BC$4-1)*5+3)*(1+INDEX($Q458:$AJ458,1,(BC$4-1)*5+2)))</f>
        <v/>
      </c>
      <c r="BD458" s="25">
        <f>BC458*(1/(1+INDEX($Q458:$AJ458,1,(BD$4-1)*5+4)))^(1+INDEX($Q458:$AJ458,1,(BD$4-1)*5+2))*(1+BD$7)^INDEX($Q458:$AJ458,1,(BD$4-1)*5+1)*(BD328/BC328)^INDEX($Q458:$AJ458,1,(BD$4-1)*5+2)*(BD328/BC328)^(INDEX($Q458:$AJ458,1,(BD$4-1)*5+3)*(1+INDEX($Q458:$AJ458,1,(BD$4-1)*5+2)))</f>
        <v/>
      </c>
      <c r="BE458" s="25">
        <f>BD458*(1/(1+INDEX($Q458:$AJ458,1,(BE$4-1)*5+4)))^(1+INDEX($Q458:$AJ458,1,(BE$4-1)*5+2))*(1+BE$7)^INDEX($Q458:$AJ458,1,(BE$4-1)*5+1)*(BE328/BD328)^INDEX($Q458:$AJ458,1,(BE$4-1)*5+2)*(BE328/BD328)^(INDEX($Q458:$AJ458,1,(BE$4-1)*5+3)*(1+INDEX($Q458:$AJ458,1,(BE$4-1)*5+2)))</f>
        <v/>
      </c>
      <c r="BF458" s="25">
        <f>BE458*(1/(1+INDEX($Q458:$AJ458,1,(BF$4-1)*5+4)))^(1+INDEX($Q458:$AJ458,1,(BF$4-1)*5+2))*(1+BF$7)^INDEX($Q458:$AJ458,1,(BF$4-1)*5+1)*(BF328/BE328)^INDEX($Q458:$AJ458,1,(BF$4-1)*5+2)*(BF328/BE328)^(INDEX($Q458:$AJ458,1,(BF$4-1)*5+3)*(1+INDEX($Q458:$AJ458,1,(BF$4-1)*5+2)))</f>
        <v/>
      </c>
      <c r="BG458" s="25">
        <f>BF458*(1/(1+INDEX($Q458:$AJ458,1,(BG$4-1)*5+4)))^(1+INDEX($Q458:$AJ458,1,(BG$4-1)*5+2))*(1+BG$7)^INDEX($Q458:$AJ458,1,(BG$4-1)*5+1)*(BG328/BF328)^INDEX($Q458:$AJ458,1,(BG$4-1)*5+2)*(BG328/BF328)^(INDEX($Q458:$AJ458,1,(BG$4-1)*5+3)*(1+INDEX($Q458:$AJ458,1,(BG$4-1)*5+2)))</f>
        <v/>
      </c>
      <c r="BH458" s="25">
        <f>BG458*(1/(1+INDEX($Q458:$AJ458,1,(BH$4-1)*5+4)))^(1+INDEX($Q458:$AJ458,1,(BH$4-1)*5+2))*(1+BH$7)^INDEX($Q458:$AJ458,1,(BH$4-1)*5+1)*(BH328/BG328)^INDEX($Q458:$AJ458,1,(BH$4-1)*5+2)*(BH328/BG328)^(INDEX($Q458:$AJ458,1,(BH$4-1)*5+3)*(1+INDEX($Q458:$AJ458,1,(BH$4-1)*5+2)))</f>
        <v/>
      </c>
      <c r="BI458" s="25">
        <f>BH458*(1/(1+INDEX($Q458:$AJ458,1,(BI$4-1)*5+4)))^(1+INDEX($Q458:$AJ458,1,(BI$4-1)*5+2))*(1+BI$7)^INDEX($Q458:$AJ458,1,(BI$4-1)*5+1)*(BI328/BH328)^INDEX($Q458:$AJ458,1,(BI$4-1)*5+2)*(BI328/BH328)^(INDEX($Q458:$AJ458,1,(BI$4-1)*5+3)*(1+INDEX($Q458:$AJ458,1,(BI$4-1)*5+2)))</f>
        <v/>
      </c>
      <c r="BJ458" s="25">
        <f>BI458*(1/(1+INDEX($Q458:$AJ458,1,(BJ$4-1)*5+4)))^(1+INDEX($Q458:$AJ458,1,(BJ$4-1)*5+2))*(1+BJ$7)^INDEX($Q458:$AJ458,1,(BJ$4-1)*5+1)*(BJ328/BI328)^INDEX($Q458:$AJ458,1,(BJ$4-1)*5+2)*(BJ328/BI328)^(INDEX($Q458:$AJ458,1,(BJ$4-1)*5+3)*(1+INDEX($Q458:$AJ458,1,(BJ$4-1)*5+2)))</f>
        <v/>
      </c>
      <c r="BK458" s="25">
        <f>BJ458*(1/(1+INDEX($Q458:$AJ458,1,(BK$4-1)*5+4)))^(1+INDEX($Q458:$AJ458,1,(BK$4-1)*5+2))*(1+BK$7)^INDEX($Q458:$AJ458,1,(BK$4-1)*5+1)*(BK328/BJ328)^INDEX($Q458:$AJ458,1,(BK$4-1)*5+2)*(BK328/BJ328)^(INDEX($Q458:$AJ458,1,(BK$4-1)*5+3)*(1+INDEX($Q458:$AJ458,1,(BK$4-1)*5+2)))</f>
        <v/>
      </c>
      <c r="BL458" s="25">
        <f>BK458*(1/(1+INDEX($Q458:$AJ458,1,(BL$4-1)*5+4)))^(1+INDEX($Q458:$AJ458,1,(BL$4-1)*5+2))*(1+BL$7)^INDEX($Q458:$AJ458,1,(BL$4-1)*5+1)*(BL328/BK328)^INDEX($Q458:$AJ458,1,(BL$4-1)*5+2)*(BL328/BK328)^(INDEX($Q458:$AJ458,1,(BL$4-1)*5+3)*(1+INDEX($Q458:$AJ458,1,(BL$4-1)*5+2)))</f>
        <v/>
      </c>
      <c r="BM458" s="25">
        <f>BL458*(1/(1+INDEX($Q458:$AJ458,1,(BM$4-1)*5+4)))^(1+INDEX($Q458:$AJ458,1,(BM$4-1)*5+2))*(1+BM$7)^INDEX($Q458:$AJ458,1,(BM$4-1)*5+1)*(BM328/BL328)^INDEX($Q458:$AJ458,1,(BM$4-1)*5+2)*(BM328/BL328)^(INDEX($Q458:$AJ458,1,(BM$4-1)*5+3)*(1+INDEX($Q458:$AJ458,1,(BM$4-1)*5+2)))</f>
        <v/>
      </c>
      <c r="BN458" s="25">
        <f>BM458*(1/(1+INDEX($Q458:$AJ458,1,(BN$4-1)*5+4)))^(1+INDEX($Q458:$AJ458,1,(BN$4-1)*5+2))*(1+BN$7)^INDEX($Q458:$AJ458,1,(BN$4-1)*5+1)*(BN328/BM328)^INDEX($Q458:$AJ458,1,(BN$4-1)*5+2)*(BN328/BM328)^(INDEX($Q458:$AJ458,1,(BN$4-1)*5+3)*(1+INDEX($Q458:$AJ458,1,(BN$4-1)*5+2)))</f>
        <v/>
      </c>
    </row>
    <row r="459">
      <c r="B459" s="5" t="inlineStr">
        <is>
          <t>gso</t>
        </is>
      </c>
      <c r="C459" s="5" t="inlineStr">
        <is>
          <t>mch</t>
        </is>
      </c>
      <c r="D459" s="5" t="inlineStr">
        <is>
          <t>Fuel use | Mining &amp; chemicals | Gasoline</t>
        </is>
      </c>
      <c r="E459" s="5" t="inlineStr">
        <is>
          <t>ktoe</t>
        </is>
      </c>
      <c r="F459" s="5" t="inlineStr">
        <is>
          <t>EnergyCons (base year), Elasticities</t>
        </is>
      </c>
      <c r="G459" s="19" t="inlineStr">
        <is>
          <t>mit.enc.gso.mch</t>
        </is>
      </c>
      <c r="H459" s="19" t="inlineStr">
        <is>
          <t>mit.enc.gso.mch</t>
        </is>
      </c>
      <c r="J459" s="5">
        <f>INDEX(Mapping!$C$5:$C$20,MATCH($C459,Mapping!$A$5:$A$20,0))</f>
        <v/>
      </c>
      <c r="K459" s="5">
        <f>INDEX(Mapping!$D$5:$D$20,MATCH($C459,Mapping!$A$5:$A$20,0))</f>
        <v/>
      </c>
      <c r="L459" s="5">
        <f>INDEX(Mapping!$C$24:$C$31,MATCH($B459,Mapping!$A$24:$A$31,0))</f>
        <v/>
      </c>
      <c r="M459" s="5">
        <f>INDEX(Mapping!$D$24:$D$31,MATCH($B459,Mapping!$A$24:$A$31,0))</f>
        <v/>
      </c>
      <c r="N459" s="5">
        <f>$B459&amp;"."&amp;IF(INDEX(Mapping!$E$24:$E$31,MATCH($B459,Mapping!$A$24:$A$31,0))="sub",INDEX(Mapping!$F$5:$F$20,MATCH($C459,Mapping!$A$5:$A$20,0)),"all")</f>
        <v/>
      </c>
      <c r="O459" s="5">
        <f>INDEX(Mapping!$E$5:$E$20,MATCH($C459,Mapping!$A$5:$A$20,0))</f>
        <v/>
      </c>
      <c r="P459" s="5">
        <f>INDEX(Mapping!$G$24:$G$31,MATCH($B459,Mapping!$A$24:$A$31,0))</f>
        <v/>
      </c>
      <c r="Q459" s="22">
        <f>INDEX(Elasticities!$F$4:$I$200,MATCH("inc|"&amp;$L459&amp;"|"&amp;$K459,Elasticities!$A$4:$A$200,0),MATCH(Settings!$C$6,Elasticities!$F$3:$I$3,0))</f>
        <v/>
      </c>
      <c r="R459" s="22">
        <f>INDEX(Elasticities!$F$4:$I$200,MATCH("usg|"&amp;$L459&amp;"|"&amp;$K459,Elasticities!$A$4:$A$200,0),MATCH(Settings!$C$6,Elasticities!$F$3:$I$3,0))</f>
        <v/>
      </c>
      <c r="S459" s="22">
        <f>INDEX(Elasticities!$F$4:$I$200,MATCH("eff|"&amp;$L459&amp;"|"&amp;$K459,Elasticities!$A$4:$A$200,0),MATCH(Settings!$C$6,Elasticities!$F$3:$I$3,0))</f>
        <v/>
      </c>
      <c r="T459" s="22">
        <f>INDEX(Elasticities!$F$4:$I$200,MATCH("aei|"&amp;$M459&amp;"|"&amp;$K459,Elasticities!$A$4:$A$200,0),MATCH(Settings!$C$6,Elasticities!$F$3:$I$3,0))</f>
        <v/>
      </c>
      <c r="U459" s="21" t="n"/>
      <c r="V459" s="22">
        <f>Q459</f>
        <v/>
      </c>
      <c r="W459" s="22">
        <f>R459</f>
        <v/>
      </c>
      <c r="X459" s="22">
        <f>S459</f>
        <v/>
      </c>
      <c r="Y459" s="22">
        <f>T459</f>
        <v/>
      </c>
      <c r="Z459" s="21" t="n"/>
      <c r="AA459" s="22">
        <f>Q459</f>
        <v/>
      </c>
      <c r="AB459" s="22">
        <f>R459</f>
        <v/>
      </c>
      <c r="AC459" s="22">
        <f>S459</f>
        <v/>
      </c>
      <c r="AD459" s="22">
        <f>T459</f>
        <v/>
      </c>
      <c r="AE459" s="21" t="n"/>
      <c r="AF459" s="22">
        <f>Q459</f>
        <v/>
      </c>
      <c r="AG459" s="22">
        <f>R459</f>
        <v/>
      </c>
      <c r="AH459" s="22">
        <f>S459</f>
        <v/>
      </c>
      <c r="AI459" s="22">
        <f>T459</f>
        <v/>
      </c>
      <c r="AJ459" s="21" t="n"/>
      <c r="AL459" s="24">
        <f>INDEX(EnergyCons!$F$4:$F$5000,MATCH(Settings!$C$4&amp;"|"&amp;AL$5&amp;"|"&amp;$C459&amp;"|"&amp;$B459,EnergyCons!$A$4:$A$5000,0))</f>
        <v/>
      </c>
      <c r="AM459" s="25">
        <f>AL459*(1/(1+INDEX($Q459:$AJ459,1,(AM$4-1)*5+4)))^(1+INDEX($Q459:$AJ459,1,(AM$4-1)*5+2))*(1+AM$7)^INDEX($Q459:$AJ459,1,(AM$4-1)*5+1)*(AM329/AL329)^INDEX($Q459:$AJ459,1,(AM$4-1)*5+2)*(AM329/AL329)^(INDEX($Q459:$AJ459,1,(AM$4-1)*5+3)*(1+INDEX($Q459:$AJ459,1,(AM$4-1)*5+2)))</f>
        <v/>
      </c>
      <c r="AN459" s="25">
        <f>AM459*(1/(1+INDEX($Q459:$AJ459,1,(AN$4-1)*5+4)))^(1+INDEX($Q459:$AJ459,1,(AN$4-1)*5+2))*(1+AN$7)^INDEX($Q459:$AJ459,1,(AN$4-1)*5+1)*(AN329/AM329)^INDEX($Q459:$AJ459,1,(AN$4-1)*5+2)*(AN329/AM329)^(INDEX($Q459:$AJ459,1,(AN$4-1)*5+3)*(1+INDEX($Q459:$AJ459,1,(AN$4-1)*5+2)))</f>
        <v/>
      </c>
      <c r="AO459" s="25">
        <f>AN459*(1/(1+INDEX($Q459:$AJ459,1,(AO$4-1)*5+4)))^(1+INDEX($Q459:$AJ459,1,(AO$4-1)*5+2))*(1+AO$7)^INDEX($Q459:$AJ459,1,(AO$4-1)*5+1)*(AO329/AN329)^INDEX($Q459:$AJ459,1,(AO$4-1)*5+2)*(AO329/AN329)^(INDEX($Q459:$AJ459,1,(AO$4-1)*5+3)*(1+INDEX($Q459:$AJ459,1,(AO$4-1)*5+2)))</f>
        <v/>
      </c>
      <c r="AP459" s="25">
        <f>AO459*(1/(1+INDEX($Q459:$AJ459,1,(AP$4-1)*5+4)))^(1+INDEX($Q459:$AJ459,1,(AP$4-1)*5+2))*(1+AP$7)^INDEX($Q459:$AJ459,1,(AP$4-1)*5+1)*(AP329/AO329)^INDEX($Q459:$AJ459,1,(AP$4-1)*5+2)*(AP329/AO329)^(INDEX($Q459:$AJ459,1,(AP$4-1)*5+3)*(1+INDEX($Q459:$AJ459,1,(AP$4-1)*5+2)))</f>
        <v/>
      </c>
      <c r="AQ459" s="25">
        <f>AP459*(1/(1+INDEX($Q459:$AJ459,1,(AQ$4-1)*5+4)))^(1+INDEX($Q459:$AJ459,1,(AQ$4-1)*5+2))*(1+AQ$7)^INDEX($Q459:$AJ459,1,(AQ$4-1)*5+1)*(AQ329/AP329)^INDEX($Q459:$AJ459,1,(AQ$4-1)*5+2)*(AQ329/AP329)^(INDEX($Q459:$AJ459,1,(AQ$4-1)*5+3)*(1+INDEX($Q459:$AJ459,1,(AQ$4-1)*5+2)))</f>
        <v/>
      </c>
      <c r="AR459" s="25">
        <f>AQ459*(1/(1+INDEX($Q459:$AJ459,1,(AR$4-1)*5+4)))^(1+INDEX($Q459:$AJ459,1,(AR$4-1)*5+2))*(1+AR$7)^INDEX($Q459:$AJ459,1,(AR$4-1)*5+1)*(AR329/AQ329)^INDEX($Q459:$AJ459,1,(AR$4-1)*5+2)*(AR329/AQ329)^(INDEX($Q459:$AJ459,1,(AR$4-1)*5+3)*(1+INDEX($Q459:$AJ459,1,(AR$4-1)*5+2)))</f>
        <v/>
      </c>
      <c r="AS459" s="25">
        <f>AR459*(1/(1+INDEX($Q459:$AJ459,1,(AS$4-1)*5+4)))^(1+INDEX($Q459:$AJ459,1,(AS$4-1)*5+2))*(1+AS$7)^INDEX($Q459:$AJ459,1,(AS$4-1)*5+1)*(AS329/AR329)^INDEX($Q459:$AJ459,1,(AS$4-1)*5+2)*(AS329/AR329)^(INDEX($Q459:$AJ459,1,(AS$4-1)*5+3)*(1+INDEX($Q459:$AJ459,1,(AS$4-1)*5+2)))</f>
        <v/>
      </c>
      <c r="AT459" s="25">
        <f>AS459*(1/(1+INDEX($Q459:$AJ459,1,(AT$4-1)*5+4)))^(1+INDEX($Q459:$AJ459,1,(AT$4-1)*5+2))*(1+AT$7)^INDEX($Q459:$AJ459,1,(AT$4-1)*5+1)*(AT329/AS329)^INDEX($Q459:$AJ459,1,(AT$4-1)*5+2)*(AT329/AS329)^(INDEX($Q459:$AJ459,1,(AT$4-1)*5+3)*(1+INDEX($Q459:$AJ459,1,(AT$4-1)*5+2)))</f>
        <v/>
      </c>
      <c r="AU459" s="25">
        <f>AT459*(1/(1+INDEX($Q459:$AJ459,1,(AU$4-1)*5+4)))^(1+INDEX($Q459:$AJ459,1,(AU$4-1)*5+2))*(1+AU$7)^INDEX($Q459:$AJ459,1,(AU$4-1)*5+1)*(AU329/AT329)^INDEX($Q459:$AJ459,1,(AU$4-1)*5+2)*(AU329/AT329)^(INDEX($Q459:$AJ459,1,(AU$4-1)*5+3)*(1+INDEX($Q459:$AJ459,1,(AU$4-1)*5+2)))</f>
        <v/>
      </c>
      <c r="AV459" s="25">
        <f>AU459*(1/(1+INDEX($Q459:$AJ459,1,(AV$4-1)*5+4)))^(1+INDEX($Q459:$AJ459,1,(AV$4-1)*5+2))*(1+AV$7)^INDEX($Q459:$AJ459,1,(AV$4-1)*5+1)*(AV329/AU329)^INDEX($Q459:$AJ459,1,(AV$4-1)*5+2)*(AV329/AU329)^(INDEX($Q459:$AJ459,1,(AV$4-1)*5+3)*(1+INDEX($Q459:$AJ459,1,(AV$4-1)*5+2)))</f>
        <v/>
      </c>
      <c r="AW459" s="25">
        <f>AV459*(1/(1+INDEX($Q459:$AJ459,1,(AW$4-1)*5+4)))^(1+INDEX($Q459:$AJ459,1,(AW$4-1)*5+2))*(1+AW$7)^INDEX($Q459:$AJ459,1,(AW$4-1)*5+1)*(AW329/AV329)^INDEX($Q459:$AJ459,1,(AW$4-1)*5+2)*(AW329/AV329)^(INDEX($Q459:$AJ459,1,(AW$4-1)*5+3)*(1+INDEX($Q459:$AJ459,1,(AW$4-1)*5+2)))</f>
        <v/>
      </c>
      <c r="AX459" s="25">
        <f>AW459*(1/(1+INDEX($Q459:$AJ459,1,(AX$4-1)*5+4)))^(1+INDEX($Q459:$AJ459,1,(AX$4-1)*5+2))*(1+AX$7)^INDEX($Q459:$AJ459,1,(AX$4-1)*5+1)*(AX329/AW329)^INDEX($Q459:$AJ459,1,(AX$4-1)*5+2)*(AX329/AW329)^(INDEX($Q459:$AJ459,1,(AX$4-1)*5+3)*(1+INDEX($Q459:$AJ459,1,(AX$4-1)*5+2)))</f>
        <v/>
      </c>
      <c r="AY459" s="25">
        <f>AX459*(1/(1+INDEX($Q459:$AJ459,1,(AY$4-1)*5+4)))^(1+INDEX($Q459:$AJ459,1,(AY$4-1)*5+2))*(1+AY$7)^INDEX($Q459:$AJ459,1,(AY$4-1)*5+1)*(AY329/AX329)^INDEX($Q459:$AJ459,1,(AY$4-1)*5+2)*(AY329/AX329)^(INDEX($Q459:$AJ459,1,(AY$4-1)*5+3)*(1+INDEX($Q459:$AJ459,1,(AY$4-1)*5+2)))</f>
        <v/>
      </c>
      <c r="BA459" s="24">
        <f>INDEX(EnergyCons!$F$4:$F$5000,MATCH(Settings!$C$4&amp;"|"&amp;BA$5&amp;"|"&amp;$C459&amp;"|"&amp;$B459,EnergyCons!$A$4:$A$5000,0))</f>
        <v/>
      </c>
      <c r="BB459" s="25">
        <f>BA459*(1/(1+INDEX($Q459:$AJ459,1,(BB$4-1)*5+4)))^(1+INDEX($Q459:$AJ459,1,(BB$4-1)*5+2))*(1+BB$7)^INDEX($Q459:$AJ459,1,(BB$4-1)*5+1)*(BB329/BA329)^INDEX($Q459:$AJ459,1,(BB$4-1)*5+2)*(BB329/BA329)^(INDEX($Q459:$AJ459,1,(BB$4-1)*5+3)*(1+INDEX($Q459:$AJ459,1,(BB$4-1)*5+2)))</f>
        <v/>
      </c>
      <c r="BC459" s="25">
        <f>BB459*(1/(1+INDEX($Q459:$AJ459,1,(BC$4-1)*5+4)))^(1+INDEX($Q459:$AJ459,1,(BC$4-1)*5+2))*(1+BC$7)^INDEX($Q459:$AJ459,1,(BC$4-1)*5+1)*(BC329/BB329)^INDEX($Q459:$AJ459,1,(BC$4-1)*5+2)*(BC329/BB329)^(INDEX($Q459:$AJ459,1,(BC$4-1)*5+3)*(1+INDEX($Q459:$AJ459,1,(BC$4-1)*5+2)))</f>
        <v/>
      </c>
      <c r="BD459" s="25">
        <f>BC459*(1/(1+INDEX($Q459:$AJ459,1,(BD$4-1)*5+4)))^(1+INDEX($Q459:$AJ459,1,(BD$4-1)*5+2))*(1+BD$7)^INDEX($Q459:$AJ459,1,(BD$4-1)*5+1)*(BD329/BC329)^INDEX($Q459:$AJ459,1,(BD$4-1)*5+2)*(BD329/BC329)^(INDEX($Q459:$AJ459,1,(BD$4-1)*5+3)*(1+INDEX($Q459:$AJ459,1,(BD$4-1)*5+2)))</f>
        <v/>
      </c>
      <c r="BE459" s="25">
        <f>BD459*(1/(1+INDEX($Q459:$AJ459,1,(BE$4-1)*5+4)))^(1+INDEX($Q459:$AJ459,1,(BE$4-1)*5+2))*(1+BE$7)^INDEX($Q459:$AJ459,1,(BE$4-1)*5+1)*(BE329/BD329)^INDEX($Q459:$AJ459,1,(BE$4-1)*5+2)*(BE329/BD329)^(INDEX($Q459:$AJ459,1,(BE$4-1)*5+3)*(1+INDEX($Q459:$AJ459,1,(BE$4-1)*5+2)))</f>
        <v/>
      </c>
      <c r="BF459" s="25">
        <f>BE459*(1/(1+INDEX($Q459:$AJ459,1,(BF$4-1)*5+4)))^(1+INDEX($Q459:$AJ459,1,(BF$4-1)*5+2))*(1+BF$7)^INDEX($Q459:$AJ459,1,(BF$4-1)*5+1)*(BF329/BE329)^INDEX($Q459:$AJ459,1,(BF$4-1)*5+2)*(BF329/BE329)^(INDEX($Q459:$AJ459,1,(BF$4-1)*5+3)*(1+INDEX($Q459:$AJ459,1,(BF$4-1)*5+2)))</f>
        <v/>
      </c>
      <c r="BG459" s="25">
        <f>BF459*(1/(1+INDEX($Q459:$AJ459,1,(BG$4-1)*5+4)))^(1+INDEX($Q459:$AJ459,1,(BG$4-1)*5+2))*(1+BG$7)^INDEX($Q459:$AJ459,1,(BG$4-1)*5+1)*(BG329/BF329)^INDEX($Q459:$AJ459,1,(BG$4-1)*5+2)*(BG329/BF329)^(INDEX($Q459:$AJ459,1,(BG$4-1)*5+3)*(1+INDEX($Q459:$AJ459,1,(BG$4-1)*5+2)))</f>
        <v/>
      </c>
      <c r="BH459" s="25">
        <f>BG459*(1/(1+INDEX($Q459:$AJ459,1,(BH$4-1)*5+4)))^(1+INDEX($Q459:$AJ459,1,(BH$4-1)*5+2))*(1+BH$7)^INDEX($Q459:$AJ459,1,(BH$4-1)*5+1)*(BH329/BG329)^INDEX($Q459:$AJ459,1,(BH$4-1)*5+2)*(BH329/BG329)^(INDEX($Q459:$AJ459,1,(BH$4-1)*5+3)*(1+INDEX($Q459:$AJ459,1,(BH$4-1)*5+2)))</f>
        <v/>
      </c>
      <c r="BI459" s="25">
        <f>BH459*(1/(1+INDEX($Q459:$AJ459,1,(BI$4-1)*5+4)))^(1+INDEX($Q459:$AJ459,1,(BI$4-1)*5+2))*(1+BI$7)^INDEX($Q459:$AJ459,1,(BI$4-1)*5+1)*(BI329/BH329)^INDEX($Q459:$AJ459,1,(BI$4-1)*5+2)*(BI329/BH329)^(INDEX($Q459:$AJ459,1,(BI$4-1)*5+3)*(1+INDEX($Q459:$AJ459,1,(BI$4-1)*5+2)))</f>
        <v/>
      </c>
      <c r="BJ459" s="25">
        <f>BI459*(1/(1+INDEX($Q459:$AJ459,1,(BJ$4-1)*5+4)))^(1+INDEX($Q459:$AJ459,1,(BJ$4-1)*5+2))*(1+BJ$7)^INDEX($Q459:$AJ459,1,(BJ$4-1)*5+1)*(BJ329/BI329)^INDEX($Q459:$AJ459,1,(BJ$4-1)*5+2)*(BJ329/BI329)^(INDEX($Q459:$AJ459,1,(BJ$4-1)*5+3)*(1+INDEX($Q459:$AJ459,1,(BJ$4-1)*5+2)))</f>
        <v/>
      </c>
      <c r="BK459" s="25">
        <f>BJ459*(1/(1+INDEX($Q459:$AJ459,1,(BK$4-1)*5+4)))^(1+INDEX($Q459:$AJ459,1,(BK$4-1)*5+2))*(1+BK$7)^INDEX($Q459:$AJ459,1,(BK$4-1)*5+1)*(BK329/BJ329)^INDEX($Q459:$AJ459,1,(BK$4-1)*5+2)*(BK329/BJ329)^(INDEX($Q459:$AJ459,1,(BK$4-1)*5+3)*(1+INDEX($Q459:$AJ459,1,(BK$4-1)*5+2)))</f>
        <v/>
      </c>
      <c r="BL459" s="25">
        <f>BK459*(1/(1+INDEX($Q459:$AJ459,1,(BL$4-1)*5+4)))^(1+INDEX($Q459:$AJ459,1,(BL$4-1)*5+2))*(1+BL$7)^INDEX($Q459:$AJ459,1,(BL$4-1)*5+1)*(BL329/BK329)^INDEX($Q459:$AJ459,1,(BL$4-1)*5+2)*(BL329/BK329)^(INDEX($Q459:$AJ459,1,(BL$4-1)*5+3)*(1+INDEX($Q459:$AJ459,1,(BL$4-1)*5+2)))</f>
        <v/>
      </c>
      <c r="BM459" s="25">
        <f>BL459*(1/(1+INDEX($Q459:$AJ459,1,(BM$4-1)*5+4)))^(1+INDEX($Q459:$AJ459,1,(BM$4-1)*5+2))*(1+BM$7)^INDEX($Q459:$AJ459,1,(BM$4-1)*5+1)*(BM329/BL329)^INDEX($Q459:$AJ459,1,(BM$4-1)*5+2)*(BM329/BL329)^(INDEX($Q459:$AJ459,1,(BM$4-1)*5+3)*(1+INDEX($Q459:$AJ459,1,(BM$4-1)*5+2)))</f>
        <v/>
      </c>
      <c r="BN459" s="25">
        <f>BM459*(1/(1+INDEX($Q459:$AJ459,1,(BN$4-1)*5+4)))^(1+INDEX($Q459:$AJ459,1,(BN$4-1)*5+2))*(1+BN$7)^INDEX($Q459:$AJ459,1,(BN$4-1)*5+1)*(BN329/BM329)^INDEX($Q459:$AJ459,1,(BN$4-1)*5+2)*(BN329/BM329)^(INDEX($Q459:$AJ459,1,(BN$4-1)*5+3)*(1+INDEX($Q459:$AJ459,1,(BN$4-1)*5+2)))</f>
        <v/>
      </c>
    </row>
    <row r="460">
      <c r="B460" s="5" t="inlineStr">
        <is>
          <t>die</t>
        </is>
      </c>
      <c r="C460" s="5" t="inlineStr">
        <is>
          <t>mch</t>
        </is>
      </c>
      <c r="D460" s="5" t="inlineStr">
        <is>
          <t>Fuel use | Mining &amp; chemicals | Diesel</t>
        </is>
      </c>
      <c r="E460" s="5" t="inlineStr">
        <is>
          <t>ktoe</t>
        </is>
      </c>
      <c r="F460" s="5" t="inlineStr">
        <is>
          <t>EnergyCons (base year), Elasticities</t>
        </is>
      </c>
      <c r="G460" s="19" t="inlineStr">
        <is>
          <t>mit.enc.die.mch</t>
        </is>
      </c>
      <c r="H460" s="19" t="inlineStr">
        <is>
          <t>mit.enc.die.mch</t>
        </is>
      </c>
      <c r="J460" s="5">
        <f>INDEX(Mapping!$C$5:$C$20,MATCH($C460,Mapping!$A$5:$A$20,0))</f>
        <v/>
      </c>
      <c r="K460" s="5">
        <f>INDEX(Mapping!$D$5:$D$20,MATCH($C460,Mapping!$A$5:$A$20,0))</f>
        <v/>
      </c>
      <c r="L460" s="5">
        <f>INDEX(Mapping!$C$24:$C$31,MATCH($B460,Mapping!$A$24:$A$31,0))</f>
        <v/>
      </c>
      <c r="M460" s="5">
        <f>INDEX(Mapping!$D$24:$D$31,MATCH($B460,Mapping!$A$24:$A$31,0))</f>
        <v/>
      </c>
      <c r="N460" s="5">
        <f>$B460&amp;"."&amp;IF(INDEX(Mapping!$E$24:$E$31,MATCH($B460,Mapping!$A$24:$A$31,0))="sub",INDEX(Mapping!$F$5:$F$20,MATCH($C460,Mapping!$A$5:$A$20,0)),"all")</f>
        <v/>
      </c>
      <c r="O460" s="5">
        <f>INDEX(Mapping!$E$5:$E$20,MATCH($C460,Mapping!$A$5:$A$20,0))</f>
        <v/>
      </c>
      <c r="P460" s="5">
        <f>INDEX(Mapping!$G$24:$G$31,MATCH($B460,Mapping!$A$24:$A$31,0))</f>
        <v/>
      </c>
      <c r="Q460" s="22">
        <f>INDEX(Elasticities!$F$4:$I$200,MATCH("inc|"&amp;$L460&amp;"|"&amp;$K460,Elasticities!$A$4:$A$200,0),MATCH(Settings!$C$6,Elasticities!$F$3:$I$3,0))</f>
        <v/>
      </c>
      <c r="R460" s="22">
        <f>INDEX(Elasticities!$F$4:$I$200,MATCH("usg|"&amp;$L460&amp;"|"&amp;$K460,Elasticities!$A$4:$A$200,0),MATCH(Settings!$C$6,Elasticities!$F$3:$I$3,0))</f>
        <v/>
      </c>
      <c r="S460" s="22">
        <f>INDEX(Elasticities!$F$4:$I$200,MATCH("eff|"&amp;$L460&amp;"|"&amp;$K460,Elasticities!$A$4:$A$200,0),MATCH(Settings!$C$6,Elasticities!$F$3:$I$3,0))</f>
        <v/>
      </c>
      <c r="T460" s="22">
        <f>INDEX(Elasticities!$F$4:$I$200,MATCH("aei|"&amp;$M460&amp;"|"&amp;$K460,Elasticities!$A$4:$A$200,0),MATCH(Settings!$C$6,Elasticities!$F$3:$I$3,0))</f>
        <v/>
      </c>
      <c r="U460" s="21" t="n"/>
      <c r="V460" s="22">
        <f>Q460</f>
        <v/>
      </c>
      <c r="W460" s="22">
        <f>R460</f>
        <v/>
      </c>
      <c r="X460" s="22">
        <f>S460</f>
        <v/>
      </c>
      <c r="Y460" s="22">
        <f>T460</f>
        <v/>
      </c>
      <c r="Z460" s="21" t="n"/>
      <c r="AA460" s="22">
        <f>Q460</f>
        <v/>
      </c>
      <c r="AB460" s="22">
        <f>R460</f>
        <v/>
      </c>
      <c r="AC460" s="22">
        <f>S460</f>
        <v/>
      </c>
      <c r="AD460" s="22">
        <f>T460</f>
        <v/>
      </c>
      <c r="AE460" s="21" t="n"/>
      <c r="AF460" s="22">
        <f>Q460</f>
        <v/>
      </c>
      <c r="AG460" s="22">
        <f>R460</f>
        <v/>
      </c>
      <c r="AH460" s="22">
        <f>S460</f>
        <v/>
      </c>
      <c r="AI460" s="22">
        <f>T460</f>
        <v/>
      </c>
      <c r="AJ460" s="21" t="n"/>
      <c r="AL460" s="24">
        <f>INDEX(EnergyCons!$F$4:$F$5000,MATCH(Settings!$C$4&amp;"|"&amp;AL$5&amp;"|"&amp;$C460&amp;"|"&amp;$B460,EnergyCons!$A$4:$A$5000,0))</f>
        <v/>
      </c>
      <c r="AM460" s="25">
        <f>AL460*(1/(1+INDEX($Q460:$AJ460,1,(AM$4-1)*5+4)))^(1+INDEX($Q460:$AJ460,1,(AM$4-1)*5+2))*(1+AM$7)^INDEX($Q460:$AJ460,1,(AM$4-1)*5+1)*(AM330/AL330)^INDEX($Q460:$AJ460,1,(AM$4-1)*5+2)*(AM330/AL330)^(INDEX($Q460:$AJ460,1,(AM$4-1)*5+3)*(1+INDEX($Q460:$AJ460,1,(AM$4-1)*5+2)))</f>
        <v/>
      </c>
      <c r="AN460" s="25">
        <f>AM460*(1/(1+INDEX($Q460:$AJ460,1,(AN$4-1)*5+4)))^(1+INDEX($Q460:$AJ460,1,(AN$4-1)*5+2))*(1+AN$7)^INDEX($Q460:$AJ460,1,(AN$4-1)*5+1)*(AN330/AM330)^INDEX($Q460:$AJ460,1,(AN$4-1)*5+2)*(AN330/AM330)^(INDEX($Q460:$AJ460,1,(AN$4-1)*5+3)*(1+INDEX($Q460:$AJ460,1,(AN$4-1)*5+2)))</f>
        <v/>
      </c>
      <c r="AO460" s="25">
        <f>AN460*(1/(1+INDEX($Q460:$AJ460,1,(AO$4-1)*5+4)))^(1+INDEX($Q460:$AJ460,1,(AO$4-1)*5+2))*(1+AO$7)^INDEX($Q460:$AJ460,1,(AO$4-1)*5+1)*(AO330/AN330)^INDEX($Q460:$AJ460,1,(AO$4-1)*5+2)*(AO330/AN330)^(INDEX($Q460:$AJ460,1,(AO$4-1)*5+3)*(1+INDEX($Q460:$AJ460,1,(AO$4-1)*5+2)))</f>
        <v/>
      </c>
      <c r="AP460" s="25">
        <f>AO460*(1/(1+INDEX($Q460:$AJ460,1,(AP$4-1)*5+4)))^(1+INDEX($Q460:$AJ460,1,(AP$4-1)*5+2))*(1+AP$7)^INDEX($Q460:$AJ460,1,(AP$4-1)*5+1)*(AP330/AO330)^INDEX($Q460:$AJ460,1,(AP$4-1)*5+2)*(AP330/AO330)^(INDEX($Q460:$AJ460,1,(AP$4-1)*5+3)*(1+INDEX($Q460:$AJ460,1,(AP$4-1)*5+2)))</f>
        <v/>
      </c>
      <c r="AQ460" s="25">
        <f>AP460*(1/(1+INDEX($Q460:$AJ460,1,(AQ$4-1)*5+4)))^(1+INDEX($Q460:$AJ460,1,(AQ$4-1)*5+2))*(1+AQ$7)^INDEX($Q460:$AJ460,1,(AQ$4-1)*5+1)*(AQ330/AP330)^INDEX($Q460:$AJ460,1,(AQ$4-1)*5+2)*(AQ330/AP330)^(INDEX($Q460:$AJ460,1,(AQ$4-1)*5+3)*(1+INDEX($Q460:$AJ460,1,(AQ$4-1)*5+2)))</f>
        <v/>
      </c>
      <c r="AR460" s="25">
        <f>AQ460*(1/(1+INDEX($Q460:$AJ460,1,(AR$4-1)*5+4)))^(1+INDEX($Q460:$AJ460,1,(AR$4-1)*5+2))*(1+AR$7)^INDEX($Q460:$AJ460,1,(AR$4-1)*5+1)*(AR330/AQ330)^INDEX($Q460:$AJ460,1,(AR$4-1)*5+2)*(AR330/AQ330)^(INDEX($Q460:$AJ460,1,(AR$4-1)*5+3)*(1+INDEX($Q460:$AJ460,1,(AR$4-1)*5+2)))</f>
        <v/>
      </c>
      <c r="AS460" s="25">
        <f>AR460*(1/(1+INDEX($Q460:$AJ460,1,(AS$4-1)*5+4)))^(1+INDEX($Q460:$AJ460,1,(AS$4-1)*5+2))*(1+AS$7)^INDEX($Q460:$AJ460,1,(AS$4-1)*5+1)*(AS330/AR330)^INDEX($Q460:$AJ460,1,(AS$4-1)*5+2)*(AS330/AR330)^(INDEX($Q460:$AJ460,1,(AS$4-1)*5+3)*(1+INDEX($Q460:$AJ460,1,(AS$4-1)*5+2)))</f>
        <v/>
      </c>
      <c r="AT460" s="25">
        <f>AS460*(1/(1+INDEX($Q460:$AJ460,1,(AT$4-1)*5+4)))^(1+INDEX($Q460:$AJ460,1,(AT$4-1)*5+2))*(1+AT$7)^INDEX($Q460:$AJ460,1,(AT$4-1)*5+1)*(AT330/AS330)^INDEX($Q460:$AJ460,1,(AT$4-1)*5+2)*(AT330/AS330)^(INDEX($Q460:$AJ460,1,(AT$4-1)*5+3)*(1+INDEX($Q460:$AJ460,1,(AT$4-1)*5+2)))</f>
        <v/>
      </c>
      <c r="AU460" s="25">
        <f>AT460*(1/(1+INDEX($Q460:$AJ460,1,(AU$4-1)*5+4)))^(1+INDEX($Q460:$AJ460,1,(AU$4-1)*5+2))*(1+AU$7)^INDEX($Q460:$AJ460,1,(AU$4-1)*5+1)*(AU330/AT330)^INDEX($Q460:$AJ460,1,(AU$4-1)*5+2)*(AU330/AT330)^(INDEX($Q460:$AJ460,1,(AU$4-1)*5+3)*(1+INDEX($Q460:$AJ460,1,(AU$4-1)*5+2)))</f>
        <v/>
      </c>
      <c r="AV460" s="25">
        <f>AU460*(1/(1+INDEX($Q460:$AJ460,1,(AV$4-1)*5+4)))^(1+INDEX($Q460:$AJ460,1,(AV$4-1)*5+2))*(1+AV$7)^INDEX($Q460:$AJ460,1,(AV$4-1)*5+1)*(AV330/AU330)^INDEX($Q460:$AJ460,1,(AV$4-1)*5+2)*(AV330/AU330)^(INDEX($Q460:$AJ460,1,(AV$4-1)*5+3)*(1+INDEX($Q460:$AJ460,1,(AV$4-1)*5+2)))</f>
        <v/>
      </c>
      <c r="AW460" s="25">
        <f>AV460*(1/(1+INDEX($Q460:$AJ460,1,(AW$4-1)*5+4)))^(1+INDEX($Q460:$AJ460,1,(AW$4-1)*5+2))*(1+AW$7)^INDEX($Q460:$AJ460,1,(AW$4-1)*5+1)*(AW330/AV330)^INDEX($Q460:$AJ460,1,(AW$4-1)*5+2)*(AW330/AV330)^(INDEX($Q460:$AJ460,1,(AW$4-1)*5+3)*(1+INDEX($Q460:$AJ460,1,(AW$4-1)*5+2)))</f>
        <v/>
      </c>
      <c r="AX460" s="25">
        <f>AW460*(1/(1+INDEX($Q460:$AJ460,1,(AX$4-1)*5+4)))^(1+INDEX($Q460:$AJ460,1,(AX$4-1)*5+2))*(1+AX$7)^INDEX($Q460:$AJ460,1,(AX$4-1)*5+1)*(AX330/AW330)^INDEX($Q460:$AJ460,1,(AX$4-1)*5+2)*(AX330/AW330)^(INDEX($Q460:$AJ460,1,(AX$4-1)*5+3)*(1+INDEX($Q460:$AJ460,1,(AX$4-1)*5+2)))</f>
        <v/>
      </c>
      <c r="AY460" s="25">
        <f>AX460*(1/(1+INDEX($Q460:$AJ460,1,(AY$4-1)*5+4)))^(1+INDEX($Q460:$AJ460,1,(AY$4-1)*5+2))*(1+AY$7)^INDEX($Q460:$AJ460,1,(AY$4-1)*5+1)*(AY330/AX330)^INDEX($Q460:$AJ460,1,(AY$4-1)*5+2)*(AY330/AX330)^(INDEX($Q460:$AJ460,1,(AY$4-1)*5+3)*(1+INDEX($Q460:$AJ460,1,(AY$4-1)*5+2)))</f>
        <v/>
      </c>
      <c r="BA460" s="24">
        <f>INDEX(EnergyCons!$F$4:$F$5000,MATCH(Settings!$C$4&amp;"|"&amp;BA$5&amp;"|"&amp;$C460&amp;"|"&amp;$B460,EnergyCons!$A$4:$A$5000,0))</f>
        <v/>
      </c>
      <c r="BB460" s="25">
        <f>BA460*(1/(1+INDEX($Q460:$AJ460,1,(BB$4-1)*5+4)))^(1+INDEX($Q460:$AJ460,1,(BB$4-1)*5+2))*(1+BB$7)^INDEX($Q460:$AJ460,1,(BB$4-1)*5+1)*(BB330/BA330)^INDEX($Q460:$AJ460,1,(BB$4-1)*5+2)*(BB330/BA330)^(INDEX($Q460:$AJ460,1,(BB$4-1)*5+3)*(1+INDEX($Q460:$AJ460,1,(BB$4-1)*5+2)))</f>
        <v/>
      </c>
      <c r="BC460" s="25">
        <f>BB460*(1/(1+INDEX($Q460:$AJ460,1,(BC$4-1)*5+4)))^(1+INDEX($Q460:$AJ460,1,(BC$4-1)*5+2))*(1+BC$7)^INDEX($Q460:$AJ460,1,(BC$4-1)*5+1)*(BC330/BB330)^INDEX($Q460:$AJ460,1,(BC$4-1)*5+2)*(BC330/BB330)^(INDEX($Q460:$AJ460,1,(BC$4-1)*5+3)*(1+INDEX($Q460:$AJ460,1,(BC$4-1)*5+2)))</f>
        <v/>
      </c>
      <c r="BD460" s="25">
        <f>BC460*(1/(1+INDEX($Q460:$AJ460,1,(BD$4-1)*5+4)))^(1+INDEX($Q460:$AJ460,1,(BD$4-1)*5+2))*(1+BD$7)^INDEX($Q460:$AJ460,1,(BD$4-1)*5+1)*(BD330/BC330)^INDEX($Q460:$AJ460,1,(BD$4-1)*5+2)*(BD330/BC330)^(INDEX($Q460:$AJ460,1,(BD$4-1)*5+3)*(1+INDEX($Q460:$AJ460,1,(BD$4-1)*5+2)))</f>
        <v/>
      </c>
      <c r="BE460" s="25">
        <f>BD460*(1/(1+INDEX($Q460:$AJ460,1,(BE$4-1)*5+4)))^(1+INDEX($Q460:$AJ460,1,(BE$4-1)*5+2))*(1+BE$7)^INDEX($Q460:$AJ460,1,(BE$4-1)*5+1)*(BE330/BD330)^INDEX($Q460:$AJ460,1,(BE$4-1)*5+2)*(BE330/BD330)^(INDEX($Q460:$AJ460,1,(BE$4-1)*5+3)*(1+INDEX($Q460:$AJ460,1,(BE$4-1)*5+2)))</f>
        <v/>
      </c>
      <c r="BF460" s="25">
        <f>BE460*(1/(1+INDEX($Q460:$AJ460,1,(BF$4-1)*5+4)))^(1+INDEX($Q460:$AJ460,1,(BF$4-1)*5+2))*(1+BF$7)^INDEX($Q460:$AJ460,1,(BF$4-1)*5+1)*(BF330/BE330)^INDEX($Q460:$AJ460,1,(BF$4-1)*5+2)*(BF330/BE330)^(INDEX($Q460:$AJ460,1,(BF$4-1)*5+3)*(1+INDEX($Q460:$AJ460,1,(BF$4-1)*5+2)))</f>
        <v/>
      </c>
      <c r="BG460" s="25">
        <f>BF460*(1/(1+INDEX($Q460:$AJ460,1,(BG$4-1)*5+4)))^(1+INDEX($Q460:$AJ460,1,(BG$4-1)*5+2))*(1+BG$7)^INDEX($Q460:$AJ460,1,(BG$4-1)*5+1)*(BG330/BF330)^INDEX($Q460:$AJ460,1,(BG$4-1)*5+2)*(BG330/BF330)^(INDEX($Q460:$AJ460,1,(BG$4-1)*5+3)*(1+INDEX($Q460:$AJ460,1,(BG$4-1)*5+2)))</f>
        <v/>
      </c>
      <c r="BH460" s="25">
        <f>BG460*(1/(1+INDEX($Q460:$AJ460,1,(BH$4-1)*5+4)))^(1+INDEX($Q460:$AJ460,1,(BH$4-1)*5+2))*(1+BH$7)^INDEX($Q460:$AJ460,1,(BH$4-1)*5+1)*(BH330/BG330)^INDEX($Q460:$AJ460,1,(BH$4-1)*5+2)*(BH330/BG330)^(INDEX($Q460:$AJ460,1,(BH$4-1)*5+3)*(1+INDEX($Q460:$AJ460,1,(BH$4-1)*5+2)))</f>
        <v/>
      </c>
      <c r="BI460" s="25">
        <f>BH460*(1/(1+INDEX($Q460:$AJ460,1,(BI$4-1)*5+4)))^(1+INDEX($Q460:$AJ460,1,(BI$4-1)*5+2))*(1+BI$7)^INDEX($Q460:$AJ460,1,(BI$4-1)*5+1)*(BI330/BH330)^INDEX($Q460:$AJ460,1,(BI$4-1)*5+2)*(BI330/BH330)^(INDEX($Q460:$AJ460,1,(BI$4-1)*5+3)*(1+INDEX($Q460:$AJ460,1,(BI$4-1)*5+2)))</f>
        <v/>
      </c>
      <c r="BJ460" s="25">
        <f>BI460*(1/(1+INDEX($Q460:$AJ460,1,(BJ$4-1)*5+4)))^(1+INDEX($Q460:$AJ460,1,(BJ$4-1)*5+2))*(1+BJ$7)^INDEX($Q460:$AJ460,1,(BJ$4-1)*5+1)*(BJ330/BI330)^INDEX($Q460:$AJ460,1,(BJ$4-1)*5+2)*(BJ330/BI330)^(INDEX($Q460:$AJ460,1,(BJ$4-1)*5+3)*(1+INDEX($Q460:$AJ460,1,(BJ$4-1)*5+2)))</f>
        <v/>
      </c>
      <c r="BK460" s="25">
        <f>BJ460*(1/(1+INDEX($Q460:$AJ460,1,(BK$4-1)*5+4)))^(1+INDEX($Q460:$AJ460,1,(BK$4-1)*5+2))*(1+BK$7)^INDEX($Q460:$AJ460,1,(BK$4-1)*5+1)*(BK330/BJ330)^INDEX($Q460:$AJ460,1,(BK$4-1)*5+2)*(BK330/BJ330)^(INDEX($Q460:$AJ460,1,(BK$4-1)*5+3)*(1+INDEX($Q460:$AJ460,1,(BK$4-1)*5+2)))</f>
        <v/>
      </c>
      <c r="BL460" s="25">
        <f>BK460*(1/(1+INDEX($Q460:$AJ460,1,(BL$4-1)*5+4)))^(1+INDEX($Q460:$AJ460,1,(BL$4-1)*5+2))*(1+BL$7)^INDEX($Q460:$AJ460,1,(BL$4-1)*5+1)*(BL330/BK330)^INDEX($Q460:$AJ460,1,(BL$4-1)*5+2)*(BL330/BK330)^(INDEX($Q460:$AJ460,1,(BL$4-1)*5+3)*(1+INDEX($Q460:$AJ460,1,(BL$4-1)*5+2)))</f>
        <v/>
      </c>
      <c r="BM460" s="25">
        <f>BL460*(1/(1+INDEX($Q460:$AJ460,1,(BM$4-1)*5+4)))^(1+INDEX($Q460:$AJ460,1,(BM$4-1)*5+2))*(1+BM$7)^INDEX($Q460:$AJ460,1,(BM$4-1)*5+1)*(BM330/BL330)^INDEX($Q460:$AJ460,1,(BM$4-1)*5+2)*(BM330/BL330)^(INDEX($Q460:$AJ460,1,(BM$4-1)*5+3)*(1+INDEX($Q460:$AJ460,1,(BM$4-1)*5+2)))</f>
        <v/>
      </c>
      <c r="BN460" s="25">
        <f>BM460*(1/(1+INDEX($Q460:$AJ460,1,(BN$4-1)*5+4)))^(1+INDEX($Q460:$AJ460,1,(BN$4-1)*5+2))*(1+BN$7)^INDEX($Q460:$AJ460,1,(BN$4-1)*5+1)*(BN330/BM330)^INDEX($Q460:$AJ460,1,(BN$4-1)*5+2)*(BN330/BM330)^(INDEX($Q460:$AJ460,1,(BN$4-1)*5+3)*(1+INDEX($Q460:$AJ460,1,(BN$4-1)*5+2)))</f>
        <v/>
      </c>
    </row>
    <row r="461">
      <c r="B461" s="5" t="inlineStr">
        <is>
          <t>lpg</t>
        </is>
      </c>
      <c r="C461" s="5" t="inlineStr">
        <is>
          <t>mch</t>
        </is>
      </c>
      <c r="D461" s="5" t="inlineStr">
        <is>
          <t>Fuel use | Mining &amp; chemicals | LPG</t>
        </is>
      </c>
      <c r="E461" s="5" t="inlineStr">
        <is>
          <t>ktoe</t>
        </is>
      </c>
      <c r="F461" s="5" t="inlineStr">
        <is>
          <t>EnergyCons (base year), Elasticities</t>
        </is>
      </c>
      <c r="G461" s="19" t="inlineStr">
        <is>
          <t>mit.enc.lpg.mch</t>
        </is>
      </c>
      <c r="H461" s="19" t="inlineStr">
        <is>
          <t>mit.enc.lpg.mch</t>
        </is>
      </c>
      <c r="J461" s="5">
        <f>INDEX(Mapping!$C$5:$C$20,MATCH($C461,Mapping!$A$5:$A$20,0))</f>
        <v/>
      </c>
      <c r="K461" s="5">
        <f>INDEX(Mapping!$D$5:$D$20,MATCH($C461,Mapping!$A$5:$A$20,0))</f>
        <v/>
      </c>
      <c r="L461" s="5">
        <f>INDEX(Mapping!$C$24:$C$31,MATCH($B461,Mapping!$A$24:$A$31,0))</f>
        <v/>
      </c>
      <c r="M461" s="5">
        <f>INDEX(Mapping!$D$24:$D$31,MATCH($B461,Mapping!$A$24:$A$31,0))</f>
        <v/>
      </c>
      <c r="N461" s="5">
        <f>$B461&amp;"."&amp;IF(INDEX(Mapping!$E$24:$E$31,MATCH($B461,Mapping!$A$24:$A$31,0))="sub",INDEX(Mapping!$F$5:$F$20,MATCH($C461,Mapping!$A$5:$A$20,0)),"all")</f>
        <v/>
      </c>
      <c r="O461" s="5">
        <f>INDEX(Mapping!$E$5:$E$20,MATCH($C461,Mapping!$A$5:$A$20,0))</f>
        <v/>
      </c>
      <c r="P461" s="5">
        <f>INDEX(Mapping!$G$24:$G$31,MATCH($B461,Mapping!$A$24:$A$31,0))</f>
        <v/>
      </c>
      <c r="Q461" s="22">
        <f>INDEX(Elasticities!$F$4:$I$200,MATCH("inc|"&amp;$L461&amp;"|"&amp;$K461,Elasticities!$A$4:$A$200,0),MATCH(Settings!$C$6,Elasticities!$F$3:$I$3,0))</f>
        <v/>
      </c>
      <c r="R461" s="22">
        <f>INDEX(Elasticities!$F$4:$I$200,MATCH("usg|"&amp;$L461&amp;"|"&amp;$K461,Elasticities!$A$4:$A$200,0),MATCH(Settings!$C$6,Elasticities!$F$3:$I$3,0))</f>
        <v/>
      </c>
      <c r="S461" s="22">
        <f>INDEX(Elasticities!$F$4:$I$200,MATCH("eff|"&amp;$L461&amp;"|"&amp;$K461,Elasticities!$A$4:$A$200,0),MATCH(Settings!$C$6,Elasticities!$F$3:$I$3,0))</f>
        <v/>
      </c>
      <c r="T461" s="22">
        <f>INDEX(Elasticities!$F$4:$I$200,MATCH("aei|"&amp;$M461&amp;"|"&amp;$K461,Elasticities!$A$4:$A$200,0),MATCH(Settings!$C$6,Elasticities!$F$3:$I$3,0))</f>
        <v/>
      </c>
      <c r="U461" s="21" t="n"/>
      <c r="V461" s="22">
        <f>Q461</f>
        <v/>
      </c>
      <c r="W461" s="22">
        <f>R461</f>
        <v/>
      </c>
      <c r="X461" s="22">
        <f>S461</f>
        <v/>
      </c>
      <c r="Y461" s="22">
        <f>T461</f>
        <v/>
      </c>
      <c r="Z461" s="21" t="n"/>
      <c r="AA461" s="22">
        <f>Q461</f>
        <v/>
      </c>
      <c r="AB461" s="22">
        <f>R461</f>
        <v/>
      </c>
      <c r="AC461" s="22">
        <f>S461</f>
        <v/>
      </c>
      <c r="AD461" s="22">
        <f>T461</f>
        <v/>
      </c>
      <c r="AE461" s="21" t="n"/>
      <c r="AF461" s="22">
        <f>Q461</f>
        <v/>
      </c>
      <c r="AG461" s="22">
        <f>R461</f>
        <v/>
      </c>
      <c r="AH461" s="22">
        <f>S461</f>
        <v/>
      </c>
      <c r="AI461" s="22">
        <f>T461</f>
        <v/>
      </c>
      <c r="AJ461" s="21" t="n"/>
      <c r="AL461" s="24">
        <f>INDEX(EnergyCons!$F$4:$F$5000,MATCH(Settings!$C$4&amp;"|"&amp;AL$5&amp;"|"&amp;$C461&amp;"|"&amp;$B461,EnergyCons!$A$4:$A$5000,0))</f>
        <v/>
      </c>
      <c r="AM461" s="25">
        <f>AL461*(1/(1+INDEX($Q461:$AJ461,1,(AM$4-1)*5+4)))^(1+INDEX($Q461:$AJ461,1,(AM$4-1)*5+2))*(1+AM$7)^INDEX($Q461:$AJ461,1,(AM$4-1)*5+1)*(AM331/AL331)^INDEX($Q461:$AJ461,1,(AM$4-1)*5+2)*(AM331/AL331)^(INDEX($Q461:$AJ461,1,(AM$4-1)*5+3)*(1+INDEX($Q461:$AJ461,1,(AM$4-1)*5+2)))</f>
        <v/>
      </c>
      <c r="AN461" s="25">
        <f>AM461*(1/(1+INDEX($Q461:$AJ461,1,(AN$4-1)*5+4)))^(1+INDEX($Q461:$AJ461,1,(AN$4-1)*5+2))*(1+AN$7)^INDEX($Q461:$AJ461,1,(AN$4-1)*5+1)*(AN331/AM331)^INDEX($Q461:$AJ461,1,(AN$4-1)*5+2)*(AN331/AM331)^(INDEX($Q461:$AJ461,1,(AN$4-1)*5+3)*(1+INDEX($Q461:$AJ461,1,(AN$4-1)*5+2)))</f>
        <v/>
      </c>
      <c r="AO461" s="25">
        <f>AN461*(1/(1+INDEX($Q461:$AJ461,1,(AO$4-1)*5+4)))^(1+INDEX($Q461:$AJ461,1,(AO$4-1)*5+2))*(1+AO$7)^INDEX($Q461:$AJ461,1,(AO$4-1)*5+1)*(AO331/AN331)^INDEX($Q461:$AJ461,1,(AO$4-1)*5+2)*(AO331/AN331)^(INDEX($Q461:$AJ461,1,(AO$4-1)*5+3)*(1+INDEX($Q461:$AJ461,1,(AO$4-1)*5+2)))</f>
        <v/>
      </c>
      <c r="AP461" s="25">
        <f>AO461*(1/(1+INDEX($Q461:$AJ461,1,(AP$4-1)*5+4)))^(1+INDEX($Q461:$AJ461,1,(AP$4-1)*5+2))*(1+AP$7)^INDEX($Q461:$AJ461,1,(AP$4-1)*5+1)*(AP331/AO331)^INDEX($Q461:$AJ461,1,(AP$4-1)*5+2)*(AP331/AO331)^(INDEX($Q461:$AJ461,1,(AP$4-1)*5+3)*(1+INDEX($Q461:$AJ461,1,(AP$4-1)*5+2)))</f>
        <v/>
      </c>
      <c r="AQ461" s="25">
        <f>AP461*(1/(1+INDEX($Q461:$AJ461,1,(AQ$4-1)*5+4)))^(1+INDEX($Q461:$AJ461,1,(AQ$4-1)*5+2))*(1+AQ$7)^INDEX($Q461:$AJ461,1,(AQ$4-1)*5+1)*(AQ331/AP331)^INDEX($Q461:$AJ461,1,(AQ$4-1)*5+2)*(AQ331/AP331)^(INDEX($Q461:$AJ461,1,(AQ$4-1)*5+3)*(1+INDEX($Q461:$AJ461,1,(AQ$4-1)*5+2)))</f>
        <v/>
      </c>
      <c r="AR461" s="25">
        <f>AQ461*(1/(1+INDEX($Q461:$AJ461,1,(AR$4-1)*5+4)))^(1+INDEX($Q461:$AJ461,1,(AR$4-1)*5+2))*(1+AR$7)^INDEX($Q461:$AJ461,1,(AR$4-1)*5+1)*(AR331/AQ331)^INDEX($Q461:$AJ461,1,(AR$4-1)*5+2)*(AR331/AQ331)^(INDEX($Q461:$AJ461,1,(AR$4-1)*5+3)*(1+INDEX($Q461:$AJ461,1,(AR$4-1)*5+2)))</f>
        <v/>
      </c>
      <c r="AS461" s="25">
        <f>AR461*(1/(1+INDEX($Q461:$AJ461,1,(AS$4-1)*5+4)))^(1+INDEX($Q461:$AJ461,1,(AS$4-1)*5+2))*(1+AS$7)^INDEX($Q461:$AJ461,1,(AS$4-1)*5+1)*(AS331/AR331)^INDEX($Q461:$AJ461,1,(AS$4-1)*5+2)*(AS331/AR331)^(INDEX($Q461:$AJ461,1,(AS$4-1)*5+3)*(1+INDEX($Q461:$AJ461,1,(AS$4-1)*5+2)))</f>
        <v/>
      </c>
      <c r="AT461" s="25">
        <f>AS461*(1/(1+INDEX($Q461:$AJ461,1,(AT$4-1)*5+4)))^(1+INDEX($Q461:$AJ461,1,(AT$4-1)*5+2))*(1+AT$7)^INDEX($Q461:$AJ461,1,(AT$4-1)*5+1)*(AT331/AS331)^INDEX($Q461:$AJ461,1,(AT$4-1)*5+2)*(AT331/AS331)^(INDEX($Q461:$AJ461,1,(AT$4-1)*5+3)*(1+INDEX($Q461:$AJ461,1,(AT$4-1)*5+2)))</f>
        <v/>
      </c>
      <c r="AU461" s="25">
        <f>AT461*(1/(1+INDEX($Q461:$AJ461,1,(AU$4-1)*5+4)))^(1+INDEX($Q461:$AJ461,1,(AU$4-1)*5+2))*(1+AU$7)^INDEX($Q461:$AJ461,1,(AU$4-1)*5+1)*(AU331/AT331)^INDEX($Q461:$AJ461,1,(AU$4-1)*5+2)*(AU331/AT331)^(INDEX($Q461:$AJ461,1,(AU$4-1)*5+3)*(1+INDEX($Q461:$AJ461,1,(AU$4-1)*5+2)))</f>
        <v/>
      </c>
      <c r="AV461" s="25">
        <f>AU461*(1/(1+INDEX($Q461:$AJ461,1,(AV$4-1)*5+4)))^(1+INDEX($Q461:$AJ461,1,(AV$4-1)*5+2))*(1+AV$7)^INDEX($Q461:$AJ461,1,(AV$4-1)*5+1)*(AV331/AU331)^INDEX($Q461:$AJ461,1,(AV$4-1)*5+2)*(AV331/AU331)^(INDEX($Q461:$AJ461,1,(AV$4-1)*5+3)*(1+INDEX($Q461:$AJ461,1,(AV$4-1)*5+2)))</f>
        <v/>
      </c>
      <c r="AW461" s="25">
        <f>AV461*(1/(1+INDEX($Q461:$AJ461,1,(AW$4-1)*5+4)))^(1+INDEX($Q461:$AJ461,1,(AW$4-1)*5+2))*(1+AW$7)^INDEX($Q461:$AJ461,1,(AW$4-1)*5+1)*(AW331/AV331)^INDEX($Q461:$AJ461,1,(AW$4-1)*5+2)*(AW331/AV331)^(INDEX($Q461:$AJ461,1,(AW$4-1)*5+3)*(1+INDEX($Q461:$AJ461,1,(AW$4-1)*5+2)))</f>
        <v/>
      </c>
      <c r="AX461" s="25">
        <f>AW461*(1/(1+INDEX($Q461:$AJ461,1,(AX$4-1)*5+4)))^(1+INDEX($Q461:$AJ461,1,(AX$4-1)*5+2))*(1+AX$7)^INDEX($Q461:$AJ461,1,(AX$4-1)*5+1)*(AX331/AW331)^INDEX($Q461:$AJ461,1,(AX$4-1)*5+2)*(AX331/AW331)^(INDEX($Q461:$AJ461,1,(AX$4-1)*5+3)*(1+INDEX($Q461:$AJ461,1,(AX$4-1)*5+2)))</f>
        <v/>
      </c>
      <c r="AY461" s="25">
        <f>AX461*(1/(1+INDEX($Q461:$AJ461,1,(AY$4-1)*5+4)))^(1+INDEX($Q461:$AJ461,1,(AY$4-1)*5+2))*(1+AY$7)^INDEX($Q461:$AJ461,1,(AY$4-1)*5+1)*(AY331/AX331)^INDEX($Q461:$AJ461,1,(AY$4-1)*5+2)*(AY331/AX331)^(INDEX($Q461:$AJ461,1,(AY$4-1)*5+3)*(1+INDEX($Q461:$AJ461,1,(AY$4-1)*5+2)))</f>
        <v/>
      </c>
      <c r="BA461" s="24">
        <f>INDEX(EnergyCons!$F$4:$F$5000,MATCH(Settings!$C$4&amp;"|"&amp;BA$5&amp;"|"&amp;$C461&amp;"|"&amp;$B461,EnergyCons!$A$4:$A$5000,0))</f>
        <v/>
      </c>
      <c r="BB461" s="25">
        <f>BA461*(1/(1+INDEX($Q461:$AJ461,1,(BB$4-1)*5+4)))^(1+INDEX($Q461:$AJ461,1,(BB$4-1)*5+2))*(1+BB$7)^INDEX($Q461:$AJ461,1,(BB$4-1)*5+1)*(BB331/BA331)^INDEX($Q461:$AJ461,1,(BB$4-1)*5+2)*(BB331/BA331)^(INDEX($Q461:$AJ461,1,(BB$4-1)*5+3)*(1+INDEX($Q461:$AJ461,1,(BB$4-1)*5+2)))</f>
        <v/>
      </c>
      <c r="BC461" s="25">
        <f>BB461*(1/(1+INDEX($Q461:$AJ461,1,(BC$4-1)*5+4)))^(1+INDEX($Q461:$AJ461,1,(BC$4-1)*5+2))*(1+BC$7)^INDEX($Q461:$AJ461,1,(BC$4-1)*5+1)*(BC331/BB331)^INDEX($Q461:$AJ461,1,(BC$4-1)*5+2)*(BC331/BB331)^(INDEX($Q461:$AJ461,1,(BC$4-1)*5+3)*(1+INDEX($Q461:$AJ461,1,(BC$4-1)*5+2)))</f>
        <v/>
      </c>
      <c r="BD461" s="25">
        <f>BC461*(1/(1+INDEX($Q461:$AJ461,1,(BD$4-1)*5+4)))^(1+INDEX($Q461:$AJ461,1,(BD$4-1)*5+2))*(1+BD$7)^INDEX($Q461:$AJ461,1,(BD$4-1)*5+1)*(BD331/BC331)^INDEX($Q461:$AJ461,1,(BD$4-1)*5+2)*(BD331/BC331)^(INDEX($Q461:$AJ461,1,(BD$4-1)*5+3)*(1+INDEX($Q461:$AJ461,1,(BD$4-1)*5+2)))</f>
        <v/>
      </c>
      <c r="BE461" s="25">
        <f>BD461*(1/(1+INDEX($Q461:$AJ461,1,(BE$4-1)*5+4)))^(1+INDEX($Q461:$AJ461,1,(BE$4-1)*5+2))*(1+BE$7)^INDEX($Q461:$AJ461,1,(BE$4-1)*5+1)*(BE331/BD331)^INDEX($Q461:$AJ461,1,(BE$4-1)*5+2)*(BE331/BD331)^(INDEX($Q461:$AJ461,1,(BE$4-1)*5+3)*(1+INDEX($Q461:$AJ461,1,(BE$4-1)*5+2)))</f>
        <v/>
      </c>
      <c r="BF461" s="25">
        <f>BE461*(1/(1+INDEX($Q461:$AJ461,1,(BF$4-1)*5+4)))^(1+INDEX($Q461:$AJ461,1,(BF$4-1)*5+2))*(1+BF$7)^INDEX($Q461:$AJ461,1,(BF$4-1)*5+1)*(BF331/BE331)^INDEX($Q461:$AJ461,1,(BF$4-1)*5+2)*(BF331/BE331)^(INDEX($Q461:$AJ461,1,(BF$4-1)*5+3)*(1+INDEX($Q461:$AJ461,1,(BF$4-1)*5+2)))</f>
        <v/>
      </c>
      <c r="BG461" s="25">
        <f>BF461*(1/(1+INDEX($Q461:$AJ461,1,(BG$4-1)*5+4)))^(1+INDEX($Q461:$AJ461,1,(BG$4-1)*5+2))*(1+BG$7)^INDEX($Q461:$AJ461,1,(BG$4-1)*5+1)*(BG331/BF331)^INDEX($Q461:$AJ461,1,(BG$4-1)*5+2)*(BG331/BF331)^(INDEX($Q461:$AJ461,1,(BG$4-1)*5+3)*(1+INDEX($Q461:$AJ461,1,(BG$4-1)*5+2)))</f>
        <v/>
      </c>
      <c r="BH461" s="25">
        <f>BG461*(1/(1+INDEX($Q461:$AJ461,1,(BH$4-1)*5+4)))^(1+INDEX($Q461:$AJ461,1,(BH$4-1)*5+2))*(1+BH$7)^INDEX($Q461:$AJ461,1,(BH$4-1)*5+1)*(BH331/BG331)^INDEX($Q461:$AJ461,1,(BH$4-1)*5+2)*(BH331/BG331)^(INDEX($Q461:$AJ461,1,(BH$4-1)*5+3)*(1+INDEX($Q461:$AJ461,1,(BH$4-1)*5+2)))</f>
        <v/>
      </c>
      <c r="BI461" s="25">
        <f>BH461*(1/(1+INDEX($Q461:$AJ461,1,(BI$4-1)*5+4)))^(1+INDEX($Q461:$AJ461,1,(BI$4-1)*5+2))*(1+BI$7)^INDEX($Q461:$AJ461,1,(BI$4-1)*5+1)*(BI331/BH331)^INDEX($Q461:$AJ461,1,(BI$4-1)*5+2)*(BI331/BH331)^(INDEX($Q461:$AJ461,1,(BI$4-1)*5+3)*(1+INDEX($Q461:$AJ461,1,(BI$4-1)*5+2)))</f>
        <v/>
      </c>
      <c r="BJ461" s="25">
        <f>BI461*(1/(1+INDEX($Q461:$AJ461,1,(BJ$4-1)*5+4)))^(1+INDEX($Q461:$AJ461,1,(BJ$4-1)*5+2))*(1+BJ$7)^INDEX($Q461:$AJ461,1,(BJ$4-1)*5+1)*(BJ331/BI331)^INDEX($Q461:$AJ461,1,(BJ$4-1)*5+2)*(BJ331/BI331)^(INDEX($Q461:$AJ461,1,(BJ$4-1)*5+3)*(1+INDEX($Q461:$AJ461,1,(BJ$4-1)*5+2)))</f>
        <v/>
      </c>
      <c r="BK461" s="25">
        <f>BJ461*(1/(1+INDEX($Q461:$AJ461,1,(BK$4-1)*5+4)))^(1+INDEX($Q461:$AJ461,1,(BK$4-1)*5+2))*(1+BK$7)^INDEX($Q461:$AJ461,1,(BK$4-1)*5+1)*(BK331/BJ331)^INDEX($Q461:$AJ461,1,(BK$4-1)*5+2)*(BK331/BJ331)^(INDEX($Q461:$AJ461,1,(BK$4-1)*5+3)*(1+INDEX($Q461:$AJ461,1,(BK$4-1)*5+2)))</f>
        <v/>
      </c>
      <c r="BL461" s="25">
        <f>BK461*(1/(1+INDEX($Q461:$AJ461,1,(BL$4-1)*5+4)))^(1+INDEX($Q461:$AJ461,1,(BL$4-1)*5+2))*(1+BL$7)^INDEX($Q461:$AJ461,1,(BL$4-1)*5+1)*(BL331/BK331)^INDEX($Q461:$AJ461,1,(BL$4-1)*5+2)*(BL331/BK331)^(INDEX($Q461:$AJ461,1,(BL$4-1)*5+3)*(1+INDEX($Q461:$AJ461,1,(BL$4-1)*5+2)))</f>
        <v/>
      </c>
      <c r="BM461" s="25">
        <f>BL461*(1/(1+INDEX($Q461:$AJ461,1,(BM$4-1)*5+4)))^(1+INDEX($Q461:$AJ461,1,(BM$4-1)*5+2))*(1+BM$7)^INDEX($Q461:$AJ461,1,(BM$4-1)*5+1)*(BM331/BL331)^INDEX($Q461:$AJ461,1,(BM$4-1)*5+2)*(BM331/BL331)^(INDEX($Q461:$AJ461,1,(BM$4-1)*5+3)*(1+INDEX($Q461:$AJ461,1,(BM$4-1)*5+2)))</f>
        <v/>
      </c>
      <c r="BN461" s="25">
        <f>BM461*(1/(1+INDEX($Q461:$AJ461,1,(BN$4-1)*5+4)))^(1+INDEX($Q461:$AJ461,1,(BN$4-1)*5+2))*(1+BN$7)^INDEX($Q461:$AJ461,1,(BN$4-1)*5+1)*(BN331/BM331)^INDEX($Q461:$AJ461,1,(BN$4-1)*5+2)*(BN331/BM331)^(INDEX($Q461:$AJ461,1,(BN$4-1)*5+3)*(1+INDEX($Q461:$AJ461,1,(BN$4-1)*5+2)))</f>
        <v/>
      </c>
    </row>
    <row r="462">
      <c r="B462" s="5" t="inlineStr">
        <is>
          <t>ker</t>
        </is>
      </c>
      <c r="C462" s="5" t="inlineStr">
        <is>
          <t>mch</t>
        </is>
      </c>
      <c r="D462" s="5" t="inlineStr">
        <is>
          <t>Fuel use | Mining &amp; chemicals | Kerosene</t>
        </is>
      </c>
      <c r="E462" s="5" t="inlineStr">
        <is>
          <t>ktoe</t>
        </is>
      </c>
      <c r="F462" s="5" t="inlineStr">
        <is>
          <t>EnergyCons (base year), Elasticities</t>
        </is>
      </c>
      <c r="G462" s="19" t="inlineStr">
        <is>
          <t>mit.enc.ker.mch</t>
        </is>
      </c>
      <c r="H462" s="19" t="inlineStr">
        <is>
          <t>mit.enc.ker.mch</t>
        </is>
      </c>
      <c r="J462" s="5">
        <f>INDEX(Mapping!$C$5:$C$20,MATCH($C462,Mapping!$A$5:$A$20,0))</f>
        <v/>
      </c>
      <c r="K462" s="5">
        <f>INDEX(Mapping!$D$5:$D$20,MATCH($C462,Mapping!$A$5:$A$20,0))</f>
        <v/>
      </c>
      <c r="L462" s="5">
        <f>INDEX(Mapping!$C$24:$C$31,MATCH($B462,Mapping!$A$24:$A$31,0))</f>
        <v/>
      </c>
      <c r="M462" s="5">
        <f>INDEX(Mapping!$D$24:$D$31,MATCH($B462,Mapping!$A$24:$A$31,0))</f>
        <v/>
      </c>
      <c r="N462" s="5">
        <f>$B462&amp;"."&amp;IF(INDEX(Mapping!$E$24:$E$31,MATCH($B462,Mapping!$A$24:$A$31,0))="sub",INDEX(Mapping!$F$5:$F$20,MATCH($C462,Mapping!$A$5:$A$20,0)),"all")</f>
        <v/>
      </c>
      <c r="O462" s="5">
        <f>INDEX(Mapping!$E$5:$E$20,MATCH($C462,Mapping!$A$5:$A$20,0))</f>
        <v/>
      </c>
      <c r="P462" s="5">
        <f>INDEX(Mapping!$G$24:$G$31,MATCH($B462,Mapping!$A$24:$A$31,0))</f>
        <v/>
      </c>
      <c r="Q462" s="22">
        <f>INDEX(Elasticities!$F$4:$I$200,MATCH("inc|"&amp;$L462&amp;"|"&amp;$K462,Elasticities!$A$4:$A$200,0),MATCH(Settings!$C$6,Elasticities!$F$3:$I$3,0))</f>
        <v/>
      </c>
      <c r="R462" s="22">
        <f>INDEX(Elasticities!$F$4:$I$200,MATCH("usg|"&amp;$L462&amp;"|"&amp;$K462,Elasticities!$A$4:$A$200,0),MATCH(Settings!$C$6,Elasticities!$F$3:$I$3,0))</f>
        <v/>
      </c>
      <c r="S462" s="22">
        <f>INDEX(Elasticities!$F$4:$I$200,MATCH("eff|"&amp;$L462&amp;"|"&amp;$K462,Elasticities!$A$4:$A$200,0),MATCH(Settings!$C$6,Elasticities!$F$3:$I$3,0))</f>
        <v/>
      </c>
      <c r="T462" s="22">
        <f>INDEX(Elasticities!$F$4:$I$200,MATCH("aei|"&amp;$M462&amp;"|"&amp;$K462,Elasticities!$A$4:$A$200,0),MATCH(Settings!$C$6,Elasticities!$F$3:$I$3,0))</f>
        <v/>
      </c>
      <c r="U462" s="21" t="n"/>
      <c r="V462" s="22">
        <f>Q462</f>
        <v/>
      </c>
      <c r="W462" s="22">
        <f>R462</f>
        <v/>
      </c>
      <c r="X462" s="22">
        <f>S462</f>
        <v/>
      </c>
      <c r="Y462" s="22">
        <f>T462</f>
        <v/>
      </c>
      <c r="Z462" s="21" t="n"/>
      <c r="AA462" s="22">
        <f>Q462</f>
        <v/>
      </c>
      <c r="AB462" s="22">
        <f>R462</f>
        <v/>
      </c>
      <c r="AC462" s="22">
        <f>S462</f>
        <v/>
      </c>
      <c r="AD462" s="22">
        <f>T462</f>
        <v/>
      </c>
      <c r="AE462" s="21" t="n"/>
      <c r="AF462" s="22">
        <f>Q462</f>
        <v/>
      </c>
      <c r="AG462" s="22">
        <f>R462</f>
        <v/>
      </c>
      <c r="AH462" s="22">
        <f>S462</f>
        <v/>
      </c>
      <c r="AI462" s="22">
        <f>T462</f>
        <v/>
      </c>
      <c r="AJ462" s="21" t="n"/>
      <c r="AL462" s="24">
        <f>INDEX(EnergyCons!$F$4:$F$5000,MATCH(Settings!$C$4&amp;"|"&amp;AL$5&amp;"|"&amp;$C462&amp;"|"&amp;$B462,EnergyCons!$A$4:$A$5000,0))</f>
        <v/>
      </c>
      <c r="AM462" s="25">
        <f>AL462*(1/(1+INDEX($Q462:$AJ462,1,(AM$4-1)*5+4)))^(1+INDEX($Q462:$AJ462,1,(AM$4-1)*5+2))*(1+AM$7)^INDEX($Q462:$AJ462,1,(AM$4-1)*5+1)*(AM332/AL332)^INDEX($Q462:$AJ462,1,(AM$4-1)*5+2)*(AM332/AL332)^(INDEX($Q462:$AJ462,1,(AM$4-1)*5+3)*(1+INDEX($Q462:$AJ462,1,(AM$4-1)*5+2)))</f>
        <v/>
      </c>
      <c r="AN462" s="25">
        <f>AM462*(1/(1+INDEX($Q462:$AJ462,1,(AN$4-1)*5+4)))^(1+INDEX($Q462:$AJ462,1,(AN$4-1)*5+2))*(1+AN$7)^INDEX($Q462:$AJ462,1,(AN$4-1)*5+1)*(AN332/AM332)^INDEX($Q462:$AJ462,1,(AN$4-1)*5+2)*(AN332/AM332)^(INDEX($Q462:$AJ462,1,(AN$4-1)*5+3)*(1+INDEX($Q462:$AJ462,1,(AN$4-1)*5+2)))</f>
        <v/>
      </c>
      <c r="AO462" s="25">
        <f>AN462*(1/(1+INDEX($Q462:$AJ462,1,(AO$4-1)*5+4)))^(1+INDEX($Q462:$AJ462,1,(AO$4-1)*5+2))*(1+AO$7)^INDEX($Q462:$AJ462,1,(AO$4-1)*5+1)*(AO332/AN332)^INDEX($Q462:$AJ462,1,(AO$4-1)*5+2)*(AO332/AN332)^(INDEX($Q462:$AJ462,1,(AO$4-1)*5+3)*(1+INDEX($Q462:$AJ462,1,(AO$4-1)*5+2)))</f>
        <v/>
      </c>
      <c r="AP462" s="25">
        <f>AO462*(1/(1+INDEX($Q462:$AJ462,1,(AP$4-1)*5+4)))^(1+INDEX($Q462:$AJ462,1,(AP$4-1)*5+2))*(1+AP$7)^INDEX($Q462:$AJ462,1,(AP$4-1)*5+1)*(AP332/AO332)^INDEX($Q462:$AJ462,1,(AP$4-1)*5+2)*(AP332/AO332)^(INDEX($Q462:$AJ462,1,(AP$4-1)*5+3)*(1+INDEX($Q462:$AJ462,1,(AP$4-1)*5+2)))</f>
        <v/>
      </c>
      <c r="AQ462" s="25">
        <f>AP462*(1/(1+INDEX($Q462:$AJ462,1,(AQ$4-1)*5+4)))^(1+INDEX($Q462:$AJ462,1,(AQ$4-1)*5+2))*(1+AQ$7)^INDEX($Q462:$AJ462,1,(AQ$4-1)*5+1)*(AQ332/AP332)^INDEX($Q462:$AJ462,1,(AQ$4-1)*5+2)*(AQ332/AP332)^(INDEX($Q462:$AJ462,1,(AQ$4-1)*5+3)*(1+INDEX($Q462:$AJ462,1,(AQ$4-1)*5+2)))</f>
        <v/>
      </c>
      <c r="AR462" s="25">
        <f>AQ462*(1/(1+INDEX($Q462:$AJ462,1,(AR$4-1)*5+4)))^(1+INDEX($Q462:$AJ462,1,(AR$4-1)*5+2))*(1+AR$7)^INDEX($Q462:$AJ462,1,(AR$4-1)*5+1)*(AR332/AQ332)^INDEX($Q462:$AJ462,1,(AR$4-1)*5+2)*(AR332/AQ332)^(INDEX($Q462:$AJ462,1,(AR$4-1)*5+3)*(1+INDEX($Q462:$AJ462,1,(AR$4-1)*5+2)))</f>
        <v/>
      </c>
      <c r="AS462" s="25">
        <f>AR462*(1/(1+INDEX($Q462:$AJ462,1,(AS$4-1)*5+4)))^(1+INDEX($Q462:$AJ462,1,(AS$4-1)*5+2))*(1+AS$7)^INDEX($Q462:$AJ462,1,(AS$4-1)*5+1)*(AS332/AR332)^INDEX($Q462:$AJ462,1,(AS$4-1)*5+2)*(AS332/AR332)^(INDEX($Q462:$AJ462,1,(AS$4-1)*5+3)*(1+INDEX($Q462:$AJ462,1,(AS$4-1)*5+2)))</f>
        <v/>
      </c>
      <c r="AT462" s="25">
        <f>AS462*(1/(1+INDEX($Q462:$AJ462,1,(AT$4-1)*5+4)))^(1+INDEX($Q462:$AJ462,1,(AT$4-1)*5+2))*(1+AT$7)^INDEX($Q462:$AJ462,1,(AT$4-1)*5+1)*(AT332/AS332)^INDEX($Q462:$AJ462,1,(AT$4-1)*5+2)*(AT332/AS332)^(INDEX($Q462:$AJ462,1,(AT$4-1)*5+3)*(1+INDEX($Q462:$AJ462,1,(AT$4-1)*5+2)))</f>
        <v/>
      </c>
      <c r="AU462" s="25">
        <f>AT462*(1/(1+INDEX($Q462:$AJ462,1,(AU$4-1)*5+4)))^(1+INDEX($Q462:$AJ462,1,(AU$4-1)*5+2))*(1+AU$7)^INDEX($Q462:$AJ462,1,(AU$4-1)*5+1)*(AU332/AT332)^INDEX($Q462:$AJ462,1,(AU$4-1)*5+2)*(AU332/AT332)^(INDEX($Q462:$AJ462,1,(AU$4-1)*5+3)*(1+INDEX($Q462:$AJ462,1,(AU$4-1)*5+2)))</f>
        <v/>
      </c>
      <c r="AV462" s="25">
        <f>AU462*(1/(1+INDEX($Q462:$AJ462,1,(AV$4-1)*5+4)))^(1+INDEX($Q462:$AJ462,1,(AV$4-1)*5+2))*(1+AV$7)^INDEX($Q462:$AJ462,1,(AV$4-1)*5+1)*(AV332/AU332)^INDEX($Q462:$AJ462,1,(AV$4-1)*5+2)*(AV332/AU332)^(INDEX($Q462:$AJ462,1,(AV$4-1)*5+3)*(1+INDEX($Q462:$AJ462,1,(AV$4-1)*5+2)))</f>
        <v/>
      </c>
      <c r="AW462" s="25">
        <f>AV462*(1/(1+INDEX($Q462:$AJ462,1,(AW$4-1)*5+4)))^(1+INDEX($Q462:$AJ462,1,(AW$4-1)*5+2))*(1+AW$7)^INDEX($Q462:$AJ462,1,(AW$4-1)*5+1)*(AW332/AV332)^INDEX($Q462:$AJ462,1,(AW$4-1)*5+2)*(AW332/AV332)^(INDEX($Q462:$AJ462,1,(AW$4-1)*5+3)*(1+INDEX($Q462:$AJ462,1,(AW$4-1)*5+2)))</f>
        <v/>
      </c>
      <c r="AX462" s="25">
        <f>AW462*(1/(1+INDEX($Q462:$AJ462,1,(AX$4-1)*5+4)))^(1+INDEX($Q462:$AJ462,1,(AX$4-1)*5+2))*(1+AX$7)^INDEX($Q462:$AJ462,1,(AX$4-1)*5+1)*(AX332/AW332)^INDEX($Q462:$AJ462,1,(AX$4-1)*5+2)*(AX332/AW332)^(INDEX($Q462:$AJ462,1,(AX$4-1)*5+3)*(1+INDEX($Q462:$AJ462,1,(AX$4-1)*5+2)))</f>
        <v/>
      </c>
      <c r="AY462" s="25">
        <f>AX462*(1/(1+INDEX($Q462:$AJ462,1,(AY$4-1)*5+4)))^(1+INDEX($Q462:$AJ462,1,(AY$4-1)*5+2))*(1+AY$7)^INDEX($Q462:$AJ462,1,(AY$4-1)*5+1)*(AY332/AX332)^INDEX($Q462:$AJ462,1,(AY$4-1)*5+2)*(AY332/AX332)^(INDEX($Q462:$AJ462,1,(AY$4-1)*5+3)*(1+INDEX($Q462:$AJ462,1,(AY$4-1)*5+2)))</f>
        <v/>
      </c>
      <c r="BA462" s="24">
        <f>INDEX(EnergyCons!$F$4:$F$5000,MATCH(Settings!$C$4&amp;"|"&amp;BA$5&amp;"|"&amp;$C462&amp;"|"&amp;$B462,EnergyCons!$A$4:$A$5000,0))</f>
        <v/>
      </c>
      <c r="BB462" s="25">
        <f>BA462*(1/(1+INDEX($Q462:$AJ462,1,(BB$4-1)*5+4)))^(1+INDEX($Q462:$AJ462,1,(BB$4-1)*5+2))*(1+BB$7)^INDEX($Q462:$AJ462,1,(BB$4-1)*5+1)*(BB332/BA332)^INDEX($Q462:$AJ462,1,(BB$4-1)*5+2)*(BB332/BA332)^(INDEX($Q462:$AJ462,1,(BB$4-1)*5+3)*(1+INDEX($Q462:$AJ462,1,(BB$4-1)*5+2)))</f>
        <v/>
      </c>
      <c r="BC462" s="25">
        <f>BB462*(1/(1+INDEX($Q462:$AJ462,1,(BC$4-1)*5+4)))^(1+INDEX($Q462:$AJ462,1,(BC$4-1)*5+2))*(1+BC$7)^INDEX($Q462:$AJ462,1,(BC$4-1)*5+1)*(BC332/BB332)^INDEX($Q462:$AJ462,1,(BC$4-1)*5+2)*(BC332/BB332)^(INDEX($Q462:$AJ462,1,(BC$4-1)*5+3)*(1+INDEX($Q462:$AJ462,1,(BC$4-1)*5+2)))</f>
        <v/>
      </c>
      <c r="BD462" s="25">
        <f>BC462*(1/(1+INDEX($Q462:$AJ462,1,(BD$4-1)*5+4)))^(1+INDEX($Q462:$AJ462,1,(BD$4-1)*5+2))*(1+BD$7)^INDEX($Q462:$AJ462,1,(BD$4-1)*5+1)*(BD332/BC332)^INDEX($Q462:$AJ462,1,(BD$4-1)*5+2)*(BD332/BC332)^(INDEX($Q462:$AJ462,1,(BD$4-1)*5+3)*(1+INDEX($Q462:$AJ462,1,(BD$4-1)*5+2)))</f>
        <v/>
      </c>
      <c r="BE462" s="25">
        <f>BD462*(1/(1+INDEX($Q462:$AJ462,1,(BE$4-1)*5+4)))^(1+INDEX($Q462:$AJ462,1,(BE$4-1)*5+2))*(1+BE$7)^INDEX($Q462:$AJ462,1,(BE$4-1)*5+1)*(BE332/BD332)^INDEX($Q462:$AJ462,1,(BE$4-1)*5+2)*(BE332/BD332)^(INDEX($Q462:$AJ462,1,(BE$4-1)*5+3)*(1+INDEX($Q462:$AJ462,1,(BE$4-1)*5+2)))</f>
        <v/>
      </c>
      <c r="BF462" s="25">
        <f>BE462*(1/(1+INDEX($Q462:$AJ462,1,(BF$4-1)*5+4)))^(1+INDEX($Q462:$AJ462,1,(BF$4-1)*5+2))*(1+BF$7)^INDEX($Q462:$AJ462,1,(BF$4-1)*5+1)*(BF332/BE332)^INDEX($Q462:$AJ462,1,(BF$4-1)*5+2)*(BF332/BE332)^(INDEX($Q462:$AJ462,1,(BF$4-1)*5+3)*(1+INDEX($Q462:$AJ462,1,(BF$4-1)*5+2)))</f>
        <v/>
      </c>
      <c r="BG462" s="25">
        <f>BF462*(1/(1+INDEX($Q462:$AJ462,1,(BG$4-1)*5+4)))^(1+INDEX($Q462:$AJ462,1,(BG$4-1)*5+2))*(1+BG$7)^INDEX($Q462:$AJ462,1,(BG$4-1)*5+1)*(BG332/BF332)^INDEX($Q462:$AJ462,1,(BG$4-1)*5+2)*(BG332/BF332)^(INDEX($Q462:$AJ462,1,(BG$4-1)*5+3)*(1+INDEX($Q462:$AJ462,1,(BG$4-1)*5+2)))</f>
        <v/>
      </c>
      <c r="BH462" s="25">
        <f>BG462*(1/(1+INDEX($Q462:$AJ462,1,(BH$4-1)*5+4)))^(1+INDEX($Q462:$AJ462,1,(BH$4-1)*5+2))*(1+BH$7)^INDEX($Q462:$AJ462,1,(BH$4-1)*5+1)*(BH332/BG332)^INDEX($Q462:$AJ462,1,(BH$4-1)*5+2)*(BH332/BG332)^(INDEX($Q462:$AJ462,1,(BH$4-1)*5+3)*(1+INDEX($Q462:$AJ462,1,(BH$4-1)*5+2)))</f>
        <v/>
      </c>
      <c r="BI462" s="25">
        <f>BH462*(1/(1+INDEX($Q462:$AJ462,1,(BI$4-1)*5+4)))^(1+INDEX($Q462:$AJ462,1,(BI$4-1)*5+2))*(1+BI$7)^INDEX($Q462:$AJ462,1,(BI$4-1)*5+1)*(BI332/BH332)^INDEX($Q462:$AJ462,1,(BI$4-1)*5+2)*(BI332/BH332)^(INDEX($Q462:$AJ462,1,(BI$4-1)*5+3)*(1+INDEX($Q462:$AJ462,1,(BI$4-1)*5+2)))</f>
        <v/>
      </c>
      <c r="BJ462" s="25">
        <f>BI462*(1/(1+INDEX($Q462:$AJ462,1,(BJ$4-1)*5+4)))^(1+INDEX($Q462:$AJ462,1,(BJ$4-1)*5+2))*(1+BJ$7)^INDEX($Q462:$AJ462,1,(BJ$4-1)*5+1)*(BJ332/BI332)^INDEX($Q462:$AJ462,1,(BJ$4-1)*5+2)*(BJ332/BI332)^(INDEX($Q462:$AJ462,1,(BJ$4-1)*5+3)*(1+INDEX($Q462:$AJ462,1,(BJ$4-1)*5+2)))</f>
        <v/>
      </c>
      <c r="BK462" s="25">
        <f>BJ462*(1/(1+INDEX($Q462:$AJ462,1,(BK$4-1)*5+4)))^(1+INDEX($Q462:$AJ462,1,(BK$4-1)*5+2))*(1+BK$7)^INDEX($Q462:$AJ462,1,(BK$4-1)*5+1)*(BK332/BJ332)^INDEX($Q462:$AJ462,1,(BK$4-1)*5+2)*(BK332/BJ332)^(INDEX($Q462:$AJ462,1,(BK$4-1)*5+3)*(1+INDEX($Q462:$AJ462,1,(BK$4-1)*5+2)))</f>
        <v/>
      </c>
      <c r="BL462" s="25">
        <f>BK462*(1/(1+INDEX($Q462:$AJ462,1,(BL$4-1)*5+4)))^(1+INDEX($Q462:$AJ462,1,(BL$4-1)*5+2))*(1+BL$7)^INDEX($Q462:$AJ462,1,(BL$4-1)*5+1)*(BL332/BK332)^INDEX($Q462:$AJ462,1,(BL$4-1)*5+2)*(BL332/BK332)^(INDEX($Q462:$AJ462,1,(BL$4-1)*5+3)*(1+INDEX($Q462:$AJ462,1,(BL$4-1)*5+2)))</f>
        <v/>
      </c>
      <c r="BM462" s="25">
        <f>BL462*(1/(1+INDEX($Q462:$AJ462,1,(BM$4-1)*5+4)))^(1+INDEX($Q462:$AJ462,1,(BM$4-1)*5+2))*(1+BM$7)^INDEX($Q462:$AJ462,1,(BM$4-1)*5+1)*(BM332/BL332)^INDEX($Q462:$AJ462,1,(BM$4-1)*5+2)*(BM332/BL332)^(INDEX($Q462:$AJ462,1,(BM$4-1)*5+3)*(1+INDEX($Q462:$AJ462,1,(BM$4-1)*5+2)))</f>
        <v/>
      </c>
      <c r="BN462" s="25">
        <f>BM462*(1/(1+INDEX($Q462:$AJ462,1,(BN$4-1)*5+4)))^(1+INDEX($Q462:$AJ462,1,(BN$4-1)*5+2))*(1+BN$7)^INDEX($Q462:$AJ462,1,(BN$4-1)*5+1)*(BN332/BM332)^INDEX($Q462:$AJ462,1,(BN$4-1)*5+2)*(BN332/BM332)^(INDEX($Q462:$AJ462,1,(BN$4-1)*5+3)*(1+INDEX($Q462:$AJ462,1,(BN$4-1)*5+2)))</f>
        <v/>
      </c>
    </row>
    <row r="463">
      <c r="B463" s="5" t="inlineStr">
        <is>
          <t>oop</t>
        </is>
      </c>
      <c r="C463" s="5" t="inlineStr">
        <is>
          <t>mch</t>
        </is>
      </c>
      <c r="D463" s="5" t="inlineStr">
        <is>
          <t>Fuel use | Mining &amp; chemicals | Other oil products</t>
        </is>
      </c>
      <c r="E463" s="5" t="inlineStr">
        <is>
          <t>ktoe</t>
        </is>
      </c>
      <c r="F463" s="5" t="inlineStr">
        <is>
          <t>EnergyCons (base year), Elasticities</t>
        </is>
      </c>
      <c r="G463" s="19" t="inlineStr">
        <is>
          <t>mit.enc.oop.mch</t>
        </is>
      </c>
      <c r="H463" s="19" t="inlineStr">
        <is>
          <t>mit.enc.oop.mch</t>
        </is>
      </c>
      <c r="J463" s="5">
        <f>INDEX(Mapping!$C$5:$C$20,MATCH($C463,Mapping!$A$5:$A$20,0))</f>
        <v/>
      </c>
      <c r="K463" s="5">
        <f>INDEX(Mapping!$D$5:$D$20,MATCH($C463,Mapping!$A$5:$A$20,0))</f>
        <v/>
      </c>
      <c r="L463" s="5">
        <f>INDEX(Mapping!$C$24:$C$31,MATCH($B463,Mapping!$A$24:$A$31,0))</f>
        <v/>
      </c>
      <c r="M463" s="5">
        <f>INDEX(Mapping!$D$24:$D$31,MATCH($B463,Mapping!$A$24:$A$31,0))</f>
        <v/>
      </c>
      <c r="N463" s="5">
        <f>$B463&amp;"."&amp;IF(INDEX(Mapping!$E$24:$E$31,MATCH($B463,Mapping!$A$24:$A$31,0))="sub",INDEX(Mapping!$F$5:$F$20,MATCH($C463,Mapping!$A$5:$A$20,0)),"all")</f>
        <v/>
      </c>
      <c r="O463" s="5">
        <f>INDEX(Mapping!$E$5:$E$20,MATCH($C463,Mapping!$A$5:$A$20,0))</f>
        <v/>
      </c>
      <c r="P463" s="5">
        <f>INDEX(Mapping!$G$24:$G$31,MATCH($B463,Mapping!$A$24:$A$31,0))</f>
        <v/>
      </c>
      <c r="Q463" s="22">
        <f>INDEX(Elasticities!$F$4:$I$200,MATCH("inc|"&amp;$L463&amp;"|"&amp;$K463,Elasticities!$A$4:$A$200,0),MATCH(Settings!$C$6,Elasticities!$F$3:$I$3,0))</f>
        <v/>
      </c>
      <c r="R463" s="22">
        <f>INDEX(Elasticities!$F$4:$I$200,MATCH("usg|"&amp;$L463&amp;"|"&amp;$K463,Elasticities!$A$4:$A$200,0),MATCH(Settings!$C$6,Elasticities!$F$3:$I$3,0))</f>
        <v/>
      </c>
      <c r="S463" s="22">
        <f>INDEX(Elasticities!$F$4:$I$200,MATCH("eff|"&amp;$L463&amp;"|"&amp;$K463,Elasticities!$A$4:$A$200,0),MATCH(Settings!$C$6,Elasticities!$F$3:$I$3,0))</f>
        <v/>
      </c>
      <c r="T463" s="22">
        <f>INDEX(Elasticities!$F$4:$I$200,MATCH("aei|"&amp;$M463&amp;"|"&amp;$K463,Elasticities!$A$4:$A$200,0),MATCH(Settings!$C$6,Elasticities!$F$3:$I$3,0))</f>
        <v/>
      </c>
      <c r="U463" s="21" t="n"/>
      <c r="V463" s="22">
        <f>Q463</f>
        <v/>
      </c>
      <c r="W463" s="22">
        <f>R463</f>
        <v/>
      </c>
      <c r="X463" s="22">
        <f>S463</f>
        <v/>
      </c>
      <c r="Y463" s="22">
        <f>T463</f>
        <v/>
      </c>
      <c r="Z463" s="21" t="n"/>
      <c r="AA463" s="22">
        <f>Q463</f>
        <v/>
      </c>
      <c r="AB463" s="22">
        <f>R463</f>
        <v/>
      </c>
      <c r="AC463" s="22">
        <f>S463</f>
        <v/>
      </c>
      <c r="AD463" s="22">
        <f>T463</f>
        <v/>
      </c>
      <c r="AE463" s="21" t="n"/>
      <c r="AF463" s="22">
        <f>Q463</f>
        <v/>
      </c>
      <c r="AG463" s="22">
        <f>R463</f>
        <v/>
      </c>
      <c r="AH463" s="22">
        <f>S463</f>
        <v/>
      </c>
      <c r="AI463" s="22">
        <f>T463</f>
        <v/>
      </c>
      <c r="AJ463" s="21" t="n"/>
      <c r="AL463" s="24">
        <f>INDEX(EnergyCons!$F$4:$F$5000,MATCH(Settings!$C$4&amp;"|"&amp;AL$5&amp;"|"&amp;$C463&amp;"|"&amp;$B463,EnergyCons!$A$4:$A$5000,0))</f>
        <v/>
      </c>
      <c r="AM463" s="25">
        <f>AL463*(1/(1+INDEX($Q463:$AJ463,1,(AM$4-1)*5+4)))^(1+INDEX($Q463:$AJ463,1,(AM$4-1)*5+2))*(1+AM$7)^INDEX($Q463:$AJ463,1,(AM$4-1)*5+1)*(AM333/AL333)^INDEX($Q463:$AJ463,1,(AM$4-1)*5+2)*(AM333/AL333)^(INDEX($Q463:$AJ463,1,(AM$4-1)*5+3)*(1+INDEX($Q463:$AJ463,1,(AM$4-1)*5+2)))</f>
        <v/>
      </c>
      <c r="AN463" s="25">
        <f>AM463*(1/(1+INDEX($Q463:$AJ463,1,(AN$4-1)*5+4)))^(1+INDEX($Q463:$AJ463,1,(AN$4-1)*5+2))*(1+AN$7)^INDEX($Q463:$AJ463,1,(AN$4-1)*5+1)*(AN333/AM333)^INDEX($Q463:$AJ463,1,(AN$4-1)*5+2)*(AN333/AM333)^(INDEX($Q463:$AJ463,1,(AN$4-1)*5+3)*(1+INDEX($Q463:$AJ463,1,(AN$4-1)*5+2)))</f>
        <v/>
      </c>
      <c r="AO463" s="25">
        <f>AN463*(1/(1+INDEX($Q463:$AJ463,1,(AO$4-1)*5+4)))^(1+INDEX($Q463:$AJ463,1,(AO$4-1)*5+2))*(1+AO$7)^INDEX($Q463:$AJ463,1,(AO$4-1)*5+1)*(AO333/AN333)^INDEX($Q463:$AJ463,1,(AO$4-1)*5+2)*(AO333/AN333)^(INDEX($Q463:$AJ463,1,(AO$4-1)*5+3)*(1+INDEX($Q463:$AJ463,1,(AO$4-1)*5+2)))</f>
        <v/>
      </c>
      <c r="AP463" s="25">
        <f>AO463*(1/(1+INDEX($Q463:$AJ463,1,(AP$4-1)*5+4)))^(1+INDEX($Q463:$AJ463,1,(AP$4-1)*5+2))*(1+AP$7)^INDEX($Q463:$AJ463,1,(AP$4-1)*5+1)*(AP333/AO333)^INDEX($Q463:$AJ463,1,(AP$4-1)*5+2)*(AP333/AO333)^(INDEX($Q463:$AJ463,1,(AP$4-1)*5+3)*(1+INDEX($Q463:$AJ463,1,(AP$4-1)*5+2)))</f>
        <v/>
      </c>
      <c r="AQ463" s="25">
        <f>AP463*(1/(1+INDEX($Q463:$AJ463,1,(AQ$4-1)*5+4)))^(1+INDEX($Q463:$AJ463,1,(AQ$4-1)*5+2))*(1+AQ$7)^INDEX($Q463:$AJ463,1,(AQ$4-1)*5+1)*(AQ333/AP333)^INDEX($Q463:$AJ463,1,(AQ$4-1)*5+2)*(AQ333/AP333)^(INDEX($Q463:$AJ463,1,(AQ$4-1)*5+3)*(1+INDEX($Q463:$AJ463,1,(AQ$4-1)*5+2)))</f>
        <v/>
      </c>
      <c r="AR463" s="25">
        <f>AQ463*(1/(1+INDEX($Q463:$AJ463,1,(AR$4-1)*5+4)))^(1+INDEX($Q463:$AJ463,1,(AR$4-1)*5+2))*(1+AR$7)^INDEX($Q463:$AJ463,1,(AR$4-1)*5+1)*(AR333/AQ333)^INDEX($Q463:$AJ463,1,(AR$4-1)*5+2)*(AR333/AQ333)^(INDEX($Q463:$AJ463,1,(AR$4-1)*5+3)*(1+INDEX($Q463:$AJ463,1,(AR$4-1)*5+2)))</f>
        <v/>
      </c>
      <c r="AS463" s="25">
        <f>AR463*(1/(1+INDEX($Q463:$AJ463,1,(AS$4-1)*5+4)))^(1+INDEX($Q463:$AJ463,1,(AS$4-1)*5+2))*(1+AS$7)^INDEX($Q463:$AJ463,1,(AS$4-1)*5+1)*(AS333/AR333)^INDEX($Q463:$AJ463,1,(AS$4-1)*5+2)*(AS333/AR333)^(INDEX($Q463:$AJ463,1,(AS$4-1)*5+3)*(1+INDEX($Q463:$AJ463,1,(AS$4-1)*5+2)))</f>
        <v/>
      </c>
      <c r="AT463" s="25">
        <f>AS463*(1/(1+INDEX($Q463:$AJ463,1,(AT$4-1)*5+4)))^(1+INDEX($Q463:$AJ463,1,(AT$4-1)*5+2))*(1+AT$7)^INDEX($Q463:$AJ463,1,(AT$4-1)*5+1)*(AT333/AS333)^INDEX($Q463:$AJ463,1,(AT$4-1)*5+2)*(AT333/AS333)^(INDEX($Q463:$AJ463,1,(AT$4-1)*5+3)*(1+INDEX($Q463:$AJ463,1,(AT$4-1)*5+2)))</f>
        <v/>
      </c>
      <c r="AU463" s="25">
        <f>AT463*(1/(1+INDEX($Q463:$AJ463,1,(AU$4-1)*5+4)))^(1+INDEX($Q463:$AJ463,1,(AU$4-1)*5+2))*(1+AU$7)^INDEX($Q463:$AJ463,1,(AU$4-1)*5+1)*(AU333/AT333)^INDEX($Q463:$AJ463,1,(AU$4-1)*5+2)*(AU333/AT333)^(INDEX($Q463:$AJ463,1,(AU$4-1)*5+3)*(1+INDEX($Q463:$AJ463,1,(AU$4-1)*5+2)))</f>
        <v/>
      </c>
      <c r="AV463" s="25">
        <f>AU463*(1/(1+INDEX($Q463:$AJ463,1,(AV$4-1)*5+4)))^(1+INDEX($Q463:$AJ463,1,(AV$4-1)*5+2))*(1+AV$7)^INDEX($Q463:$AJ463,1,(AV$4-1)*5+1)*(AV333/AU333)^INDEX($Q463:$AJ463,1,(AV$4-1)*5+2)*(AV333/AU333)^(INDEX($Q463:$AJ463,1,(AV$4-1)*5+3)*(1+INDEX($Q463:$AJ463,1,(AV$4-1)*5+2)))</f>
        <v/>
      </c>
      <c r="AW463" s="25">
        <f>AV463*(1/(1+INDEX($Q463:$AJ463,1,(AW$4-1)*5+4)))^(1+INDEX($Q463:$AJ463,1,(AW$4-1)*5+2))*(1+AW$7)^INDEX($Q463:$AJ463,1,(AW$4-1)*5+1)*(AW333/AV333)^INDEX($Q463:$AJ463,1,(AW$4-1)*5+2)*(AW333/AV333)^(INDEX($Q463:$AJ463,1,(AW$4-1)*5+3)*(1+INDEX($Q463:$AJ463,1,(AW$4-1)*5+2)))</f>
        <v/>
      </c>
      <c r="AX463" s="25">
        <f>AW463*(1/(1+INDEX($Q463:$AJ463,1,(AX$4-1)*5+4)))^(1+INDEX($Q463:$AJ463,1,(AX$4-1)*5+2))*(1+AX$7)^INDEX($Q463:$AJ463,1,(AX$4-1)*5+1)*(AX333/AW333)^INDEX($Q463:$AJ463,1,(AX$4-1)*5+2)*(AX333/AW333)^(INDEX($Q463:$AJ463,1,(AX$4-1)*5+3)*(1+INDEX($Q463:$AJ463,1,(AX$4-1)*5+2)))</f>
        <v/>
      </c>
      <c r="AY463" s="25">
        <f>AX463*(1/(1+INDEX($Q463:$AJ463,1,(AY$4-1)*5+4)))^(1+INDEX($Q463:$AJ463,1,(AY$4-1)*5+2))*(1+AY$7)^INDEX($Q463:$AJ463,1,(AY$4-1)*5+1)*(AY333/AX333)^INDEX($Q463:$AJ463,1,(AY$4-1)*5+2)*(AY333/AX333)^(INDEX($Q463:$AJ463,1,(AY$4-1)*5+3)*(1+INDEX($Q463:$AJ463,1,(AY$4-1)*5+2)))</f>
        <v/>
      </c>
      <c r="BA463" s="24">
        <f>INDEX(EnergyCons!$F$4:$F$5000,MATCH(Settings!$C$4&amp;"|"&amp;BA$5&amp;"|"&amp;$C463&amp;"|"&amp;$B463,EnergyCons!$A$4:$A$5000,0))</f>
        <v/>
      </c>
      <c r="BB463" s="25">
        <f>BA463*(1/(1+INDEX($Q463:$AJ463,1,(BB$4-1)*5+4)))^(1+INDEX($Q463:$AJ463,1,(BB$4-1)*5+2))*(1+BB$7)^INDEX($Q463:$AJ463,1,(BB$4-1)*5+1)*(BB333/BA333)^INDEX($Q463:$AJ463,1,(BB$4-1)*5+2)*(BB333/BA333)^(INDEX($Q463:$AJ463,1,(BB$4-1)*5+3)*(1+INDEX($Q463:$AJ463,1,(BB$4-1)*5+2)))</f>
        <v/>
      </c>
      <c r="BC463" s="25">
        <f>BB463*(1/(1+INDEX($Q463:$AJ463,1,(BC$4-1)*5+4)))^(1+INDEX($Q463:$AJ463,1,(BC$4-1)*5+2))*(1+BC$7)^INDEX($Q463:$AJ463,1,(BC$4-1)*5+1)*(BC333/BB333)^INDEX($Q463:$AJ463,1,(BC$4-1)*5+2)*(BC333/BB333)^(INDEX($Q463:$AJ463,1,(BC$4-1)*5+3)*(1+INDEX($Q463:$AJ463,1,(BC$4-1)*5+2)))</f>
        <v/>
      </c>
      <c r="BD463" s="25">
        <f>BC463*(1/(1+INDEX($Q463:$AJ463,1,(BD$4-1)*5+4)))^(1+INDEX($Q463:$AJ463,1,(BD$4-1)*5+2))*(1+BD$7)^INDEX($Q463:$AJ463,1,(BD$4-1)*5+1)*(BD333/BC333)^INDEX($Q463:$AJ463,1,(BD$4-1)*5+2)*(BD333/BC333)^(INDEX($Q463:$AJ463,1,(BD$4-1)*5+3)*(1+INDEX($Q463:$AJ463,1,(BD$4-1)*5+2)))</f>
        <v/>
      </c>
      <c r="BE463" s="25">
        <f>BD463*(1/(1+INDEX($Q463:$AJ463,1,(BE$4-1)*5+4)))^(1+INDEX($Q463:$AJ463,1,(BE$4-1)*5+2))*(1+BE$7)^INDEX($Q463:$AJ463,1,(BE$4-1)*5+1)*(BE333/BD333)^INDEX($Q463:$AJ463,1,(BE$4-1)*5+2)*(BE333/BD333)^(INDEX($Q463:$AJ463,1,(BE$4-1)*5+3)*(1+INDEX($Q463:$AJ463,1,(BE$4-1)*5+2)))</f>
        <v/>
      </c>
      <c r="BF463" s="25">
        <f>BE463*(1/(1+INDEX($Q463:$AJ463,1,(BF$4-1)*5+4)))^(1+INDEX($Q463:$AJ463,1,(BF$4-1)*5+2))*(1+BF$7)^INDEX($Q463:$AJ463,1,(BF$4-1)*5+1)*(BF333/BE333)^INDEX($Q463:$AJ463,1,(BF$4-1)*5+2)*(BF333/BE333)^(INDEX($Q463:$AJ463,1,(BF$4-1)*5+3)*(1+INDEX($Q463:$AJ463,1,(BF$4-1)*5+2)))</f>
        <v/>
      </c>
      <c r="BG463" s="25">
        <f>BF463*(1/(1+INDEX($Q463:$AJ463,1,(BG$4-1)*5+4)))^(1+INDEX($Q463:$AJ463,1,(BG$4-1)*5+2))*(1+BG$7)^INDEX($Q463:$AJ463,1,(BG$4-1)*5+1)*(BG333/BF333)^INDEX($Q463:$AJ463,1,(BG$4-1)*5+2)*(BG333/BF333)^(INDEX($Q463:$AJ463,1,(BG$4-1)*5+3)*(1+INDEX($Q463:$AJ463,1,(BG$4-1)*5+2)))</f>
        <v/>
      </c>
      <c r="BH463" s="25">
        <f>BG463*(1/(1+INDEX($Q463:$AJ463,1,(BH$4-1)*5+4)))^(1+INDEX($Q463:$AJ463,1,(BH$4-1)*5+2))*(1+BH$7)^INDEX($Q463:$AJ463,1,(BH$4-1)*5+1)*(BH333/BG333)^INDEX($Q463:$AJ463,1,(BH$4-1)*5+2)*(BH333/BG333)^(INDEX($Q463:$AJ463,1,(BH$4-1)*5+3)*(1+INDEX($Q463:$AJ463,1,(BH$4-1)*5+2)))</f>
        <v/>
      </c>
      <c r="BI463" s="25">
        <f>BH463*(1/(1+INDEX($Q463:$AJ463,1,(BI$4-1)*5+4)))^(1+INDEX($Q463:$AJ463,1,(BI$4-1)*5+2))*(1+BI$7)^INDEX($Q463:$AJ463,1,(BI$4-1)*5+1)*(BI333/BH333)^INDEX($Q463:$AJ463,1,(BI$4-1)*5+2)*(BI333/BH333)^(INDEX($Q463:$AJ463,1,(BI$4-1)*5+3)*(1+INDEX($Q463:$AJ463,1,(BI$4-1)*5+2)))</f>
        <v/>
      </c>
      <c r="BJ463" s="25">
        <f>BI463*(1/(1+INDEX($Q463:$AJ463,1,(BJ$4-1)*5+4)))^(1+INDEX($Q463:$AJ463,1,(BJ$4-1)*5+2))*(1+BJ$7)^INDEX($Q463:$AJ463,1,(BJ$4-1)*5+1)*(BJ333/BI333)^INDEX($Q463:$AJ463,1,(BJ$4-1)*5+2)*(BJ333/BI333)^(INDEX($Q463:$AJ463,1,(BJ$4-1)*5+3)*(1+INDEX($Q463:$AJ463,1,(BJ$4-1)*5+2)))</f>
        <v/>
      </c>
      <c r="BK463" s="25">
        <f>BJ463*(1/(1+INDEX($Q463:$AJ463,1,(BK$4-1)*5+4)))^(1+INDEX($Q463:$AJ463,1,(BK$4-1)*5+2))*(1+BK$7)^INDEX($Q463:$AJ463,1,(BK$4-1)*5+1)*(BK333/BJ333)^INDEX($Q463:$AJ463,1,(BK$4-1)*5+2)*(BK333/BJ333)^(INDEX($Q463:$AJ463,1,(BK$4-1)*5+3)*(1+INDEX($Q463:$AJ463,1,(BK$4-1)*5+2)))</f>
        <v/>
      </c>
      <c r="BL463" s="25">
        <f>BK463*(1/(1+INDEX($Q463:$AJ463,1,(BL$4-1)*5+4)))^(1+INDEX($Q463:$AJ463,1,(BL$4-1)*5+2))*(1+BL$7)^INDEX($Q463:$AJ463,1,(BL$4-1)*5+1)*(BL333/BK333)^INDEX($Q463:$AJ463,1,(BL$4-1)*5+2)*(BL333/BK333)^(INDEX($Q463:$AJ463,1,(BL$4-1)*5+3)*(1+INDEX($Q463:$AJ463,1,(BL$4-1)*5+2)))</f>
        <v/>
      </c>
      <c r="BM463" s="25">
        <f>BL463*(1/(1+INDEX($Q463:$AJ463,1,(BM$4-1)*5+4)))^(1+INDEX($Q463:$AJ463,1,(BM$4-1)*5+2))*(1+BM$7)^INDEX($Q463:$AJ463,1,(BM$4-1)*5+1)*(BM333/BL333)^INDEX($Q463:$AJ463,1,(BM$4-1)*5+2)*(BM333/BL333)^(INDEX($Q463:$AJ463,1,(BM$4-1)*5+3)*(1+INDEX($Q463:$AJ463,1,(BM$4-1)*5+2)))</f>
        <v/>
      </c>
      <c r="BN463" s="25">
        <f>BM463*(1/(1+INDEX($Q463:$AJ463,1,(BN$4-1)*5+4)))^(1+INDEX($Q463:$AJ463,1,(BN$4-1)*5+2))*(1+BN$7)^INDEX($Q463:$AJ463,1,(BN$4-1)*5+1)*(BN333/BM333)^INDEX($Q463:$AJ463,1,(BN$4-1)*5+2)*(BN333/BM333)^(INDEX($Q463:$AJ463,1,(BN$4-1)*5+3)*(1+INDEX($Q463:$AJ463,1,(BN$4-1)*5+2)))</f>
        <v/>
      </c>
    </row>
    <row r="464">
      <c r="B464" s="5" t="inlineStr">
        <is>
          <t>bio</t>
        </is>
      </c>
      <c r="C464" s="5" t="inlineStr">
        <is>
          <t>mch</t>
        </is>
      </c>
      <c r="D464" s="5" t="inlineStr">
        <is>
          <t>Fuel use | Mining &amp; chemicals | Biomass</t>
        </is>
      </c>
      <c r="E464" s="5" t="inlineStr">
        <is>
          <t>ktoe</t>
        </is>
      </c>
      <c r="F464" s="5" t="inlineStr">
        <is>
          <t>EnergyCons (base year), Elasticities</t>
        </is>
      </c>
      <c r="G464" s="19" t="inlineStr">
        <is>
          <t>mit.enc.bio.mch</t>
        </is>
      </c>
      <c r="H464" s="19" t="inlineStr">
        <is>
          <t>mit.enc.bio.mch</t>
        </is>
      </c>
      <c r="J464" s="5">
        <f>INDEX(Mapping!$C$5:$C$20,MATCH($C464,Mapping!$A$5:$A$20,0))</f>
        <v/>
      </c>
      <c r="K464" s="5">
        <f>INDEX(Mapping!$D$5:$D$20,MATCH($C464,Mapping!$A$5:$A$20,0))</f>
        <v/>
      </c>
      <c r="L464" s="5">
        <f>INDEX(Mapping!$C$24:$C$31,MATCH($B464,Mapping!$A$24:$A$31,0))</f>
        <v/>
      </c>
      <c r="M464" s="5">
        <f>INDEX(Mapping!$D$24:$D$31,MATCH($B464,Mapping!$A$24:$A$31,0))</f>
        <v/>
      </c>
      <c r="N464" s="5">
        <f>$B464&amp;"."&amp;IF(INDEX(Mapping!$E$24:$E$31,MATCH($B464,Mapping!$A$24:$A$31,0))="sub",INDEX(Mapping!$F$5:$F$20,MATCH($C464,Mapping!$A$5:$A$20,0)),"all")</f>
        <v/>
      </c>
      <c r="O464" s="5">
        <f>INDEX(Mapping!$E$5:$E$20,MATCH($C464,Mapping!$A$5:$A$20,0))</f>
        <v/>
      </c>
      <c r="P464" s="5">
        <f>INDEX(Mapping!$G$24:$G$31,MATCH($B464,Mapping!$A$24:$A$31,0))</f>
        <v/>
      </c>
      <c r="Q464" s="22">
        <f>INDEX(Elasticities!$F$4:$I$200,MATCH("inc|"&amp;$L464&amp;"|"&amp;$K464,Elasticities!$A$4:$A$200,0),MATCH(Settings!$C$6,Elasticities!$F$3:$I$3,0))</f>
        <v/>
      </c>
      <c r="R464" s="22">
        <f>INDEX(Elasticities!$F$4:$I$200,MATCH("usg|"&amp;$L464&amp;"|"&amp;$K464,Elasticities!$A$4:$A$200,0),MATCH(Settings!$C$6,Elasticities!$F$3:$I$3,0))</f>
        <v/>
      </c>
      <c r="S464" s="22">
        <f>INDEX(Elasticities!$F$4:$I$200,MATCH("eff|"&amp;$L464&amp;"|"&amp;$K464,Elasticities!$A$4:$A$200,0),MATCH(Settings!$C$6,Elasticities!$F$3:$I$3,0))</f>
        <v/>
      </c>
      <c r="T464" s="22">
        <f>INDEX(Elasticities!$F$4:$I$200,MATCH("aei|"&amp;$M464&amp;"|"&amp;$K464,Elasticities!$A$4:$A$200,0),MATCH(Settings!$C$6,Elasticities!$F$3:$I$3,0))</f>
        <v/>
      </c>
      <c r="U464" s="21" t="n"/>
      <c r="V464" s="22">
        <f>Q464</f>
        <v/>
      </c>
      <c r="W464" s="22">
        <f>R464</f>
        <v/>
      </c>
      <c r="X464" s="22">
        <f>S464</f>
        <v/>
      </c>
      <c r="Y464" s="22">
        <f>T464</f>
        <v/>
      </c>
      <c r="Z464" s="21" t="n"/>
      <c r="AA464" s="22">
        <f>Q464</f>
        <v/>
      </c>
      <c r="AB464" s="22">
        <f>R464</f>
        <v/>
      </c>
      <c r="AC464" s="22">
        <f>S464</f>
        <v/>
      </c>
      <c r="AD464" s="22">
        <f>T464</f>
        <v/>
      </c>
      <c r="AE464" s="21" t="n"/>
      <c r="AF464" s="22">
        <f>Q464</f>
        <v/>
      </c>
      <c r="AG464" s="22">
        <f>R464</f>
        <v/>
      </c>
      <c r="AH464" s="22">
        <f>S464</f>
        <v/>
      </c>
      <c r="AI464" s="22">
        <f>T464</f>
        <v/>
      </c>
      <c r="AJ464" s="21" t="n"/>
      <c r="AL464" s="24">
        <f>INDEX(EnergyCons!$F$4:$F$5000,MATCH(Settings!$C$4&amp;"|"&amp;AL$5&amp;"|"&amp;$C464&amp;"|"&amp;$B464,EnergyCons!$A$4:$A$5000,0))</f>
        <v/>
      </c>
      <c r="AM464" s="25">
        <f>AL464*(1/(1+INDEX($Q464:$AJ464,1,(AM$4-1)*5+4)))^(1+INDEX($Q464:$AJ464,1,(AM$4-1)*5+2))*(1+AM$7)^INDEX($Q464:$AJ464,1,(AM$4-1)*5+1)*(AM334/AL334)^INDEX($Q464:$AJ464,1,(AM$4-1)*5+2)*(AM334/AL334)^(INDEX($Q464:$AJ464,1,(AM$4-1)*5+3)*(1+INDEX($Q464:$AJ464,1,(AM$4-1)*5+2)))</f>
        <v/>
      </c>
      <c r="AN464" s="25">
        <f>AM464*(1/(1+INDEX($Q464:$AJ464,1,(AN$4-1)*5+4)))^(1+INDEX($Q464:$AJ464,1,(AN$4-1)*5+2))*(1+AN$7)^INDEX($Q464:$AJ464,1,(AN$4-1)*5+1)*(AN334/AM334)^INDEX($Q464:$AJ464,1,(AN$4-1)*5+2)*(AN334/AM334)^(INDEX($Q464:$AJ464,1,(AN$4-1)*5+3)*(1+INDEX($Q464:$AJ464,1,(AN$4-1)*5+2)))</f>
        <v/>
      </c>
      <c r="AO464" s="25">
        <f>AN464*(1/(1+INDEX($Q464:$AJ464,1,(AO$4-1)*5+4)))^(1+INDEX($Q464:$AJ464,1,(AO$4-1)*5+2))*(1+AO$7)^INDEX($Q464:$AJ464,1,(AO$4-1)*5+1)*(AO334/AN334)^INDEX($Q464:$AJ464,1,(AO$4-1)*5+2)*(AO334/AN334)^(INDEX($Q464:$AJ464,1,(AO$4-1)*5+3)*(1+INDEX($Q464:$AJ464,1,(AO$4-1)*5+2)))</f>
        <v/>
      </c>
      <c r="AP464" s="25">
        <f>AO464*(1/(1+INDEX($Q464:$AJ464,1,(AP$4-1)*5+4)))^(1+INDEX($Q464:$AJ464,1,(AP$4-1)*5+2))*(1+AP$7)^INDEX($Q464:$AJ464,1,(AP$4-1)*5+1)*(AP334/AO334)^INDEX($Q464:$AJ464,1,(AP$4-1)*5+2)*(AP334/AO334)^(INDEX($Q464:$AJ464,1,(AP$4-1)*5+3)*(1+INDEX($Q464:$AJ464,1,(AP$4-1)*5+2)))</f>
        <v/>
      </c>
      <c r="AQ464" s="25">
        <f>AP464*(1/(1+INDEX($Q464:$AJ464,1,(AQ$4-1)*5+4)))^(1+INDEX($Q464:$AJ464,1,(AQ$4-1)*5+2))*(1+AQ$7)^INDEX($Q464:$AJ464,1,(AQ$4-1)*5+1)*(AQ334/AP334)^INDEX($Q464:$AJ464,1,(AQ$4-1)*5+2)*(AQ334/AP334)^(INDEX($Q464:$AJ464,1,(AQ$4-1)*5+3)*(1+INDEX($Q464:$AJ464,1,(AQ$4-1)*5+2)))</f>
        <v/>
      </c>
      <c r="AR464" s="25">
        <f>AQ464*(1/(1+INDEX($Q464:$AJ464,1,(AR$4-1)*5+4)))^(1+INDEX($Q464:$AJ464,1,(AR$4-1)*5+2))*(1+AR$7)^INDEX($Q464:$AJ464,1,(AR$4-1)*5+1)*(AR334/AQ334)^INDEX($Q464:$AJ464,1,(AR$4-1)*5+2)*(AR334/AQ334)^(INDEX($Q464:$AJ464,1,(AR$4-1)*5+3)*(1+INDEX($Q464:$AJ464,1,(AR$4-1)*5+2)))</f>
        <v/>
      </c>
      <c r="AS464" s="25">
        <f>AR464*(1/(1+INDEX($Q464:$AJ464,1,(AS$4-1)*5+4)))^(1+INDEX($Q464:$AJ464,1,(AS$4-1)*5+2))*(1+AS$7)^INDEX($Q464:$AJ464,1,(AS$4-1)*5+1)*(AS334/AR334)^INDEX($Q464:$AJ464,1,(AS$4-1)*5+2)*(AS334/AR334)^(INDEX($Q464:$AJ464,1,(AS$4-1)*5+3)*(1+INDEX($Q464:$AJ464,1,(AS$4-1)*5+2)))</f>
        <v/>
      </c>
      <c r="AT464" s="25">
        <f>AS464*(1/(1+INDEX($Q464:$AJ464,1,(AT$4-1)*5+4)))^(1+INDEX($Q464:$AJ464,1,(AT$4-1)*5+2))*(1+AT$7)^INDEX($Q464:$AJ464,1,(AT$4-1)*5+1)*(AT334/AS334)^INDEX($Q464:$AJ464,1,(AT$4-1)*5+2)*(AT334/AS334)^(INDEX($Q464:$AJ464,1,(AT$4-1)*5+3)*(1+INDEX($Q464:$AJ464,1,(AT$4-1)*5+2)))</f>
        <v/>
      </c>
      <c r="AU464" s="25">
        <f>AT464*(1/(1+INDEX($Q464:$AJ464,1,(AU$4-1)*5+4)))^(1+INDEX($Q464:$AJ464,1,(AU$4-1)*5+2))*(1+AU$7)^INDEX($Q464:$AJ464,1,(AU$4-1)*5+1)*(AU334/AT334)^INDEX($Q464:$AJ464,1,(AU$4-1)*5+2)*(AU334/AT334)^(INDEX($Q464:$AJ464,1,(AU$4-1)*5+3)*(1+INDEX($Q464:$AJ464,1,(AU$4-1)*5+2)))</f>
        <v/>
      </c>
      <c r="AV464" s="25">
        <f>AU464*(1/(1+INDEX($Q464:$AJ464,1,(AV$4-1)*5+4)))^(1+INDEX($Q464:$AJ464,1,(AV$4-1)*5+2))*(1+AV$7)^INDEX($Q464:$AJ464,1,(AV$4-1)*5+1)*(AV334/AU334)^INDEX($Q464:$AJ464,1,(AV$4-1)*5+2)*(AV334/AU334)^(INDEX($Q464:$AJ464,1,(AV$4-1)*5+3)*(1+INDEX($Q464:$AJ464,1,(AV$4-1)*5+2)))</f>
        <v/>
      </c>
      <c r="AW464" s="25">
        <f>AV464*(1/(1+INDEX($Q464:$AJ464,1,(AW$4-1)*5+4)))^(1+INDEX($Q464:$AJ464,1,(AW$4-1)*5+2))*(1+AW$7)^INDEX($Q464:$AJ464,1,(AW$4-1)*5+1)*(AW334/AV334)^INDEX($Q464:$AJ464,1,(AW$4-1)*5+2)*(AW334/AV334)^(INDEX($Q464:$AJ464,1,(AW$4-1)*5+3)*(1+INDEX($Q464:$AJ464,1,(AW$4-1)*5+2)))</f>
        <v/>
      </c>
      <c r="AX464" s="25">
        <f>AW464*(1/(1+INDEX($Q464:$AJ464,1,(AX$4-1)*5+4)))^(1+INDEX($Q464:$AJ464,1,(AX$4-1)*5+2))*(1+AX$7)^INDEX($Q464:$AJ464,1,(AX$4-1)*5+1)*(AX334/AW334)^INDEX($Q464:$AJ464,1,(AX$4-1)*5+2)*(AX334/AW334)^(INDEX($Q464:$AJ464,1,(AX$4-1)*5+3)*(1+INDEX($Q464:$AJ464,1,(AX$4-1)*5+2)))</f>
        <v/>
      </c>
      <c r="AY464" s="25">
        <f>AX464*(1/(1+INDEX($Q464:$AJ464,1,(AY$4-1)*5+4)))^(1+INDEX($Q464:$AJ464,1,(AY$4-1)*5+2))*(1+AY$7)^INDEX($Q464:$AJ464,1,(AY$4-1)*5+1)*(AY334/AX334)^INDEX($Q464:$AJ464,1,(AY$4-1)*5+2)*(AY334/AX334)^(INDEX($Q464:$AJ464,1,(AY$4-1)*5+3)*(1+INDEX($Q464:$AJ464,1,(AY$4-1)*5+2)))</f>
        <v/>
      </c>
      <c r="BA464" s="24">
        <f>INDEX(EnergyCons!$F$4:$F$5000,MATCH(Settings!$C$4&amp;"|"&amp;BA$5&amp;"|"&amp;$C464&amp;"|"&amp;$B464,EnergyCons!$A$4:$A$5000,0))</f>
        <v/>
      </c>
      <c r="BB464" s="25">
        <f>BA464*(1/(1+INDEX($Q464:$AJ464,1,(BB$4-1)*5+4)))^(1+INDEX($Q464:$AJ464,1,(BB$4-1)*5+2))*(1+BB$7)^INDEX($Q464:$AJ464,1,(BB$4-1)*5+1)*(BB334/BA334)^INDEX($Q464:$AJ464,1,(BB$4-1)*5+2)*(BB334/BA334)^(INDEX($Q464:$AJ464,1,(BB$4-1)*5+3)*(1+INDEX($Q464:$AJ464,1,(BB$4-1)*5+2)))</f>
        <v/>
      </c>
      <c r="BC464" s="25">
        <f>BB464*(1/(1+INDEX($Q464:$AJ464,1,(BC$4-1)*5+4)))^(1+INDEX($Q464:$AJ464,1,(BC$4-1)*5+2))*(1+BC$7)^INDEX($Q464:$AJ464,1,(BC$4-1)*5+1)*(BC334/BB334)^INDEX($Q464:$AJ464,1,(BC$4-1)*5+2)*(BC334/BB334)^(INDEX($Q464:$AJ464,1,(BC$4-1)*5+3)*(1+INDEX($Q464:$AJ464,1,(BC$4-1)*5+2)))</f>
        <v/>
      </c>
      <c r="BD464" s="25">
        <f>BC464*(1/(1+INDEX($Q464:$AJ464,1,(BD$4-1)*5+4)))^(1+INDEX($Q464:$AJ464,1,(BD$4-1)*5+2))*(1+BD$7)^INDEX($Q464:$AJ464,1,(BD$4-1)*5+1)*(BD334/BC334)^INDEX($Q464:$AJ464,1,(BD$4-1)*5+2)*(BD334/BC334)^(INDEX($Q464:$AJ464,1,(BD$4-1)*5+3)*(1+INDEX($Q464:$AJ464,1,(BD$4-1)*5+2)))</f>
        <v/>
      </c>
      <c r="BE464" s="25">
        <f>BD464*(1/(1+INDEX($Q464:$AJ464,1,(BE$4-1)*5+4)))^(1+INDEX($Q464:$AJ464,1,(BE$4-1)*5+2))*(1+BE$7)^INDEX($Q464:$AJ464,1,(BE$4-1)*5+1)*(BE334/BD334)^INDEX($Q464:$AJ464,1,(BE$4-1)*5+2)*(BE334/BD334)^(INDEX($Q464:$AJ464,1,(BE$4-1)*5+3)*(1+INDEX($Q464:$AJ464,1,(BE$4-1)*5+2)))</f>
        <v/>
      </c>
      <c r="BF464" s="25">
        <f>BE464*(1/(1+INDEX($Q464:$AJ464,1,(BF$4-1)*5+4)))^(1+INDEX($Q464:$AJ464,1,(BF$4-1)*5+2))*(1+BF$7)^INDEX($Q464:$AJ464,1,(BF$4-1)*5+1)*(BF334/BE334)^INDEX($Q464:$AJ464,1,(BF$4-1)*5+2)*(BF334/BE334)^(INDEX($Q464:$AJ464,1,(BF$4-1)*5+3)*(1+INDEX($Q464:$AJ464,1,(BF$4-1)*5+2)))</f>
        <v/>
      </c>
      <c r="BG464" s="25">
        <f>BF464*(1/(1+INDEX($Q464:$AJ464,1,(BG$4-1)*5+4)))^(1+INDEX($Q464:$AJ464,1,(BG$4-1)*5+2))*(1+BG$7)^INDEX($Q464:$AJ464,1,(BG$4-1)*5+1)*(BG334/BF334)^INDEX($Q464:$AJ464,1,(BG$4-1)*5+2)*(BG334/BF334)^(INDEX($Q464:$AJ464,1,(BG$4-1)*5+3)*(1+INDEX($Q464:$AJ464,1,(BG$4-1)*5+2)))</f>
        <v/>
      </c>
      <c r="BH464" s="25">
        <f>BG464*(1/(1+INDEX($Q464:$AJ464,1,(BH$4-1)*5+4)))^(1+INDEX($Q464:$AJ464,1,(BH$4-1)*5+2))*(1+BH$7)^INDEX($Q464:$AJ464,1,(BH$4-1)*5+1)*(BH334/BG334)^INDEX($Q464:$AJ464,1,(BH$4-1)*5+2)*(BH334/BG334)^(INDEX($Q464:$AJ464,1,(BH$4-1)*5+3)*(1+INDEX($Q464:$AJ464,1,(BH$4-1)*5+2)))</f>
        <v/>
      </c>
      <c r="BI464" s="25">
        <f>BH464*(1/(1+INDEX($Q464:$AJ464,1,(BI$4-1)*5+4)))^(1+INDEX($Q464:$AJ464,1,(BI$4-1)*5+2))*(1+BI$7)^INDEX($Q464:$AJ464,1,(BI$4-1)*5+1)*(BI334/BH334)^INDEX($Q464:$AJ464,1,(BI$4-1)*5+2)*(BI334/BH334)^(INDEX($Q464:$AJ464,1,(BI$4-1)*5+3)*(1+INDEX($Q464:$AJ464,1,(BI$4-1)*5+2)))</f>
        <v/>
      </c>
      <c r="BJ464" s="25">
        <f>BI464*(1/(1+INDEX($Q464:$AJ464,1,(BJ$4-1)*5+4)))^(1+INDEX($Q464:$AJ464,1,(BJ$4-1)*5+2))*(1+BJ$7)^INDEX($Q464:$AJ464,1,(BJ$4-1)*5+1)*(BJ334/BI334)^INDEX($Q464:$AJ464,1,(BJ$4-1)*5+2)*(BJ334/BI334)^(INDEX($Q464:$AJ464,1,(BJ$4-1)*5+3)*(1+INDEX($Q464:$AJ464,1,(BJ$4-1)*5+2)))</f>
        <v/>
      </c>
      <c r="BK464" s="25">
        <f>BJ464*(1/(1+INDEX($Q464:$AJ464,1,(BK$4-1)*5+4)))^(1+INDEX($Q464:$AJ464,1,(BK$4-1)*5+2))*(1+BK$7)^INDEX($Q464:$AJ464,1,(BK$4-1)*5+1)*(BK334/BJ334)^INDEX($Q464:$AJ464,1,(BK$4-1)*5+2)*(BK334/BJ334)^(INDEX($Q464:$AJ464,1,(BK$4-1)*5+3)*(1+INDEX($Q464:$AJ464,1,(BK$4-1)*5+2)))</f>
        <v/>
      </c>
      <c r="BL464" s="25">
        <f>BK464*(1/(1+INDEX($Q464:$AJ464,1,(BL$4-1)*5+4)))^(1+INDEX($Q464:$AJ464,1,(BL$4-1)*5+2))*(1+BL$7)^INDEX($Q464:$AJ464,1,(BL$4-1)*5+1)*(BL334/BK334)^INDEX($Q464:$AJ464,1,(BL$4-1)*5+2)*(BL334/BK334)^(INDEX($Q464:$AJ464,1,(BL$4-1)*5+3)*(1+INDEX($Q464:$AJ464,1,(BL$4-1)*5+2)))</f>
        <v/>
      </c>
      <c r="BM464" s="25">
        <f>BL464*(1/(1+INDEX($Q464:$AJ464,1,(BM$4-1)*5+4)))^(1+INDEX($Q464:$AJ464,1,(BM$4-1)*5+2))*(1+BM$7)^INDEX($Q464:$AJ464,1,(BM$4-1)*5+1)*(BM334/BL334)^INDEX($Q464:$AJ464,1,(BM$4-1)*5+2)*(BM334/BL334)^(INDEX($Q464:$AJ464,1,(BM$4-1)*5+3)*(1+INDEX($Q464:$AJ464,1,(BM$4-1)*5+2)))</f>
        <v/>
      </c>
      <c r="BN464" s="25">
        <f>BM464*(1/(1+INDEX($Q464:$AJ464,1,(BN$4-1)*5+4)))^(1+INDEX($Q464:$AJ464,1,(BN$4-1)*5+2))*(1+BN$7)^INDEX($Q464:$AJ464,1,(BN$4-1)*5+1)*(BN334/BM334)^INDEX($Q464:$AJ464,1,(BN$4-1)*5+2)*(BN334/BM334)^(INDEX($Q464:$AJ464,1,(BN$4-1)*5+3)*(1+INDEX($Q464:$AJ464,1,(BN$4-1)*5+2)))</f>
        <v/>
      </c>
    </row>
    <row r="465">
      <c r="B465" s="5" t="inlineStr">
        <is>
          <t>coa</t>
        </is>
      </c>
      <c r="C465" s="5" t="inlineStr">
        <is>
          <t>irn</t>
        </is>
      </c>
      <c r="D465" s="5" t="inlineStr">
        <is>
          <t>Fuel use | Iron &amp; steel | Coal</t>
        </is>
      </c>
      <c r="E465" s="5" t="inlineStr">
        <is>
          <t>ktoe</t>
        </is>
      </c>
      <c r="F465" s="5" t="inlineStr">
        <is>
          <t>EnergyCons (base year), Elasticities</t>
        </is>
      </c>
      <c r="G465" s="19" t="inlineStr">
        <is>
          <t>mit.enc.coa.irn</t>
        </is>
      </c>
      <c r="H465" s="19" t="inlineStr">
        <is>
          <t>mit.enc.coa.irn</t>
        </is>
      </c>
      <c r="J465" s="5">
        <f>INDEX(Mapping!$C$5:$C$20,MATCH($C465,Mapping!$A$5:$A$20,0))</f>
        <v/>
      </c>
      <c r="K465" s="5">
        <f>INDEX(Mapping!$D$5:$D$20,MATCH($C465,Mapping!$A$5:$A$20,0))</f>
        <v/>
      </c>
      <c r="L465" s="5">
        <f>INDEX(Mapping!$C$24:$C$31,MATCH($B465,Mapping!$A$24:$A$31,0))</f>
        <v/>
      </c>
      <c r="M465" s="5">
        <f>INDEX(Mapping!$D$24:$D$31,MATCH($B465,Mapping!$A$24:$A$31,0))</f>
        <v/>
      </c>
      <c r="N465" s="5">
        <f>$B465&amp;"."&amp;IF(INDEX(Mapping!$E$24:$E$31,MATCH($B465,Mapping!$A$24:$A$31,0))="sub",INDEX(Mapping!$F$5:$F$20,MATCH($C465,Mapping!$A$5:$A$20,0)),"all")</f>
        <v/>
      </c>
      <c r="O465" s="5">
        <f>INDEX(Mapping!$E$5:$E$20,MATCH($C465,Mapping!$A$5:$A$20,0))</f>
        <v/>
      </c>
      <c r="P465" s="5">
        <f>INDEX(Mapping!$G$24:$G$31,MATCH($B465,Mapping!$A$24:$A$31,0))</f>
        <v/>
      </c>
      <c r="Q465" s="22">
        <f>INDEX(Elasticities!$F$4:$I$200,MATCH("inc|"&amp;$L465&amp;"|"&amp;$K465,Elasticities!$A$4:$A$200,0),MATCH(Settings!$C$6,Elasticities!$F$3:$I$3,0))</f>
        <v/>
      </c>
      <c r="R465" s="22">
        <f>INDEX(Elasticities!$F$4:$I$200,MATCH("usg|"&amp;$L465&amp;"|"&amp;$K465,Elasticities!$A$4:$A$200,0),MATCH(Settings!$C$6,Elasticities!$F$3:$I$3,0))</f>
        <v/>
      </c>
      <c r="S465" s="22">
        <f>INDEX(Elasticities!$F$4:$I$200,MATCH("eff|"&amp;$L465&amp;"|"&amp;$K465,Elasticities!$A$4:$A$200,0),MATCH(Settings!$C$6,Elasticities!$F$3:$I$3,0))</f>
        <v/>
      </c>
      <c r="T465" s="22">
        <f>INDEX(Elasticities!$F$4:$I$200,MATCH("aei|"&amp;$M465&amp;"|"&amp;$K465,Elasticities!$A$4:$A$200,0),MATCH(Settings!$C$6,Elasticities!$F$3:$I$3,0))</f>
        <v/>
      </c>
      <c r="U465" s="21" t="n"/>
      <c r="V465" s="22">
        <f>Q465</f>
        <v/>
      </c>
      <c r="W465" s="22">
        <f>R465</f>
        <v/>
      </c>
      <c r="X465" s="22">
        <f>S465</f>
        <v/>
      </c>
      <c r="Y465" s="22">
        <f>T465</f>
        <v/>
      </c>
      <c r="Z465" s="21" t="n"/>
      <c r="AA465" s="22">
        <f>Q465</f>
        <v/>
      </c>
      <c r="AB465" s="22">
        <f>R465</f>
        <v/>
      </c>
      <c r="AC465" s="22">
        <f>S465</f>
        <v/>
      </c>
      <c r="AD465" s="22">
        <f>T465</f>
        <v/>
      </c>
      <c r="AE465" s="21" t="n"/>
      <c r="AF465" s="22">
        <f>Q465</f>
        <v/>
      </c>
      <c r="AG465" s="22">
        <f>R465</f>
        <v/>
      </c>
      <c r="AH465" s="22">
        <f>S465</f>
        <v/>
      </c>
      <c r="AI465" s="22">
        <f>T465</f>
        <v/>
      </c>
      <c r="AJ465" s="21" t="n"/>
      <c r="AL465" s="24">
        <f>INDEX(EnergyCons!$F$4:$F$5000,MATCH(Settings!$C$4&amp;"|"&amp;AL$5&amp;"|"&amp;$C465&amp;"|"&amp;$B465,EnergyCons!$A$4:$A$5000,0))</f>
        <v/>
      </c>
      <c r="AM465" s="25">
        <f>AL465*(1/(1+INDEX($Q465:$AJ465,1,(AM$4-1)*5+4)))^(1+INDEX($Q465:$AJ465,1,(AM$4-1)*5+2))*(1+AM$7)^INDEX($Q465:$AJ465,1,(AM$4-1)*5+1)*(AM335/AL335)^INDEX($Q465:$AJ465,1,(AM$4-1)*5+2)*(AM335/AL335)^(INDEX($Q465:$AJ465,1,(AM$4-1)*5+3)*(1+INDEX($Q465:$AJ465,1,(AM$4-1)*5+2)))</f>
        <v/>
      </c>
      <c r="AN465" s="25">
        <f>AM465*(1/(1+INDEX($Q465:$AJ465,1,(AN$4-1)*5+4)))^(1+INDEX($Q465:$AJ465,1,(AN$4-1)*5+2))*(1+AN$7)^INDEX($Q465:$AJ465,1,(AN$4-1)*5+1)*(AN335/AM335)^INDEX($Q465:$AJ465,1,(AN$4-1)*5+2)*(AN335/AM335)^(INDEX($Q465:$AJ465,1,(AN$4-1)*5+3)*(1+INDEX($Q465:$AJ465,1,(AN$4-1)*5+2)))</f>
        <v/>
      </c>
      <c r="AO465" s="25">
        <f>AN465*(1/(1+INDEX($Q465:$AJ465,1,(AO$4-1)*5+4)))^(1+INDEX($Q465:$AJ465,1,(AO$4-1)*5+2))*(1+AO$7)^INDEX($Q465:$AJ465,1,(AO$4-1)*5+1)*(AO335/AN335)^INDEX($Q465:$AJ465,1,(AO$4-1)*5+2)*(AO335/AN335)^(INDEX($Q465:$AJ465,1,(AO$4-1)*5+3)*(1+INDEX($Q465:$AJ465,1,(AO$4-1)*5+2)))</f>
        <v/>
      </c>
      <c r="AP465" s="25">
        <f>AO465*(1/(1+INDEX($Q465:$AJ465,1,(AP$4-1)*5+4)))^(1+INDEX($Q465:$AJ465,1,(AP$4-1)*5+2))*(1+AP$7)^INDEX($Q465:$AJ465,1,(AP$4-1)*5+1)*(AP335/AO335)^INDEX($Q465:$AJ465,1,(AP$4-1)*5+2)*(AP335/AO335)^(INDEX($Q465:$AJ465,1,(AP$4-1)*5+3)*(1+INDEX($Q465:$AJ465,1,(AP$4-1)*5+2)))</f>
        <v/>
      </c>
      <c r="AQ465" s="25">
        <f>AP465*(1/(1+INDEX($Q465:$AJ465,1,(AQ$4-1)*5+4)))^(1+INDEX($Q465:$AJ465,1,(AQ$4-1)*5+2))*(1+AQ$7)^INDEX($Q465:$AJ465,1,(AQ$4-1)*5+1)*(AQ335/AP335)^INDEX($Q465:$AJ465,1,(AQ$4-1)*5+2)*(AQ335/AP335)^(INDEX($Q465:$AJ465,1,(AQ$4-1)*5+3)*(1+INDEX($Q465:$AJ465,1,(AQ$4-1)*5+2)))</f>
        <v/>
      </c>
      <c r="AR465" s="25">
        <f>AQ465*(1/(1+INDEX($Q465:$AJ465,1,(AR$4-1)*5+4)))^(1+INDEX($Q465:$AJ465,1,(AR$4-1)*5+2))*(1+AR$7)^INDEX($Q465:$AJ465,1,(AR$4-1)*5+1)*(AR335/AQ335)^INDEX($Q465:$AJ465,1,(AR$4-1)*5+2)*(AR335/AQ335)^(INDEX($Q465:$AJ465,1,(AR$4-1)*5+3)*(1+INDEX($Q465:$AJ465,1,(AR$4-1)*5+2)))</f>
        <v/>
      </c>
      <c r="AS465" s="25">
        <f>AR465*(1/(1+INDEX($Q465:$AJ465,1,(AS$4-1)*5+4)))^(1+INDEX($Q465:$AJ465,1,(AS$4-1)*5+2))*(1+AS$7)^INDEX($Q465:$AJ465,1,(AS$4-1)*5+1)*(AS335/AR335)^INDEX($Q465:$AJ465,1,(AS$4-1)*5+2)*(AS335/AR335)^(INDEX($Q465:$AJ465,1,(AS$4-1)*5+3)*(1+INDEX($Q465:$AJ465,1,(AS$4-1)*5+2)))</f>
        <v/>
      </c>
      <c r="AT465" s="25">
        <f>AS465*(1/(1+INDEX($Q465:$AJ465,1,(AT$4-1)*5+4)))^(1+INDEX($Q465:$AJ465,1,(AT$4-1)*5+2))*(1+AT$7)^INDEX($Q465:$AJ465,1,(AT$4-1)*5+1)*(AT335/AS335)^INDEX($Q465:$AJ465,1,(AT$4-1)*5+2)*(AT335/AS335)^(INDEX($Q465:$AJ465,1,(AT$4-1)*5+3)*(1+INDEX($Q465:$AJ465,1,(AT$4-1)*5+2)))</f>
        <v/>
      </c>
      <c r="AU465" s="25">
        <f>AT465*(1/(1+INDEX($Q465:$AJ465,1,(AU$4-1)*5+4)))^(1+INDEX($Q465:$AJ465,1,(AU$4-1)*5+2))*(1+AU$7)^INDEX($Q465:$AJ465,1,(AU$4-1)*5+1)*(AU335/AT335)^INDEX($Q465:$AJ465,1,(AU$4-1)*5+2)*(AU335/AT335)^(INDEX($Q465:$AJ465,1,(AU$4-1)*5+3)*(1+INDEX($Q465:$AJ465,1,(AU$4-1)*5+2)))</f>
        <v/>
      </c>
      <c r="AV465" s="25">
        <f>AU465*(1/(1+INDEX($Q465:$AJ465,1,(AV$4-1)*5+4)))^(1+INDEX($Q465:$AJ465,1,(AV$4-1)*5+2))*(1+AV$7)^INDEX($Q465:$AJ465,1,(AV$4-1)*5+1)*(AV335/AU335)^INDEX($Q465:$AJ465,1,(AV$4-1)*5+2)*(AV335/AU335)^(INDEX($Q465:$AJ465,1,(AV$4-1)*5+3)*(1+INDEX($Q465:$AJ465,1,(AV$4-1)*5+2)))</f>
        <v/>
      </c>
      <c r="AW465" s="25">
        <f>AV465*(1/(1+INDEX($Q465:$AJ465,1,(AW$4-1)*5+4)))^(1+INDEX($Q465:$AJ465,1,(AW$4-1)*5+2))*(1+AW$7)^INDEX($Q465:$AJ465,1,(AW$4-1)*5+1)*(AW335/AV335)^INDEX($Q465:$AJ465,1,(AW$4-1)*5+2)*(AW335/AV335)^(INDEX($Q465:$AJ465,1,(AW$4-1)*5+3)*(1+INDEX($Q465:$AJ465,1,(AW$4-1)*5+2)))</f>
        <v/>
      </c>
      <c r="AX465" s="25">
        <f>AW465*(1/(1+INDEX($Q465:$AJ465,1,(AX$4-1)*5+4)))^(1+INDEX($Q465:$AJ465,1,(AX$4-1)*5+2))*(1+AX$7)^INDEX($Q465:$AJ465,1,(AX$4-1)*5+1)*(AX335/AW335)^INDEX($Q465:$AJ465,1,(AX$4-1)*5+2)*(AX335/AW335)^(INDEX($Q465:$AJ465,1,(AX$4-1)*5+3)*(1+INDEX($Q465:$AJ465,1,(AX$4-1)*5+2)))</f>
        <v/>
      </c>
      <c r="AY465" s="25">
        <f>AX465*(1/(1+INDEX($Q465:$AJ465,1,(AY$4-1)*5+4)))^(1+INDEX($Q465:$AJ465,1,(AY$4-1)*5+2))*(1+AY$7)^INDEX($Q465:$AJ465,1,(AY$4-1)*5+1)*(AY335/AX335)^INDEX($Q465:$AJ465,1,(AY$4-1)*5+2)*(AY335/AX335)^(INDEX($Q465:$AJ465,1,(AY$4-1)*5+3)*(1+INDEX($Q465:$AJ465,1,(AY$4-1)*5+2)))</f>
        <v/>
      </c>
      <c r="BA465" s="24">
        <f>INDEX(EnergyCons!$F$4:$F$5000,MATCH(Settings!$C$4&amp;"|"&amp;BA$5&amp;"|"&amp;$C465&amp;"|"&amp;$B465,EnergyCons!$A$4:$A$5000,0))</f>
        <v/>
      </c>
      <c r="BB465" s="25">
        <f>BA465*(1/(1+INDEX($Q465:$AJ465,1,(BB$4-1)*5+4)))^(1+INDEX($Q465:$AJ465,1,(BB$4-1)*5+2))*(1+BB$7)^INDEX($Q465:$AJ465,1,(BB$4-1)*5+1)*(BB335/BA335)^INDEX($Q465:$AJ465,1,(BB$4-1)*5+2)*(BB335/BA335)^(INDEX($Q465:$AJ465,1,(BB$4-1)*5+3)*(1+INDEX($Q465:$AJ465,1,(BB$4-1)*5+2)))</f>
        <v/>
      </c>
      <c r="BC465" s="25">
        <f>BB465*(1/(1+INDEX($Q465:$AJ465,1,(BC$4-1)*5+4)))^(1+INDEX($Q465:$AJ465,1,(BC$4-1)*5+2))*(1+BC$7)^INDEX($Q465:$AJ465,1,(BC$4-1)*5+1)*(BC335/BB335)^INDEX($Q465:$AJ465,1,(BC$4-1)*5+2)*(BC335/BB335)^(INDEX($Q465:$AJ465,1,(BC$4-1)*5+3)*(1+INDEX($Q465:$AJ465,1,(BC$4-1)*5+2)))</f>
        <v/>
      </c>
      <c r="BD465" s="25">
        <f>BC465*(1/(1+INDEX($Q465:$AJ465,1,(BD$4-1)*5+4)))^(1+INDEX($Q465:$AJ465,1,(BD$4-1)*5+2))*(1+BD$7)^INDEX($Q465:$AJ465,1,(BD$4-1)*5+1)*(BD335/BC335)^INDEX($Q465:$AJ465,1,(BD$4-1)*5+2)*(BD335/BC335)^(INDEX($Q465:$AJ465,1,(BD$4-1)*5+3)*(1+INDEX($Q465:$AJ465,1,(BD$4-1)*5+2)))</f>
        <v/>
      </c>
      <c r="BE465" s="25">
        <f>BD465*(1/(1+INDEX($Q465:$AJ465,1,(BE$4-1)*5+4)))^(1+INDEX($Q465:$AJ465,1,(BE$4-1)*5+2))*(1+BE$7)^INDEX($Q465:$AJ465,1,(BE$4-1)*5+1)*(BE335/BD335)^INDEX($Q465:$AJ465,1,(BE$4-1)*5+2)*(BE335/BD335)^(INDEX($Q465:$AJ465,1,(BE$4-1)*5+3)*(1+INDEX($Q465:$AJ465,1,(BE$4-1)*5+2)))</f>
        <v/>
      </c>
      <c r="BF465" s="25">
        <f>BE465*(1/(1+INDEX($Q465:$AJ465,1,(BF$4-1)*5+4)))^(1+INDEX($Q465:$AJ465,1,(BF$4-1)*5+2))*(1+BF$7)^INDEX($Q465:$AJ465,1,(BF$4-1)*5+1)*(BF335/BE335)^INDEX($Q465:$AJ465,1,(BF$4-1)*5+2)*(BF335/BE335)^(INDEX($Q465:$AJ465,1,(BF$4-1)*5+3)*(1+INDEX($Q465:$AJ465,1,(BF$4-1)*5+2)))</f>
        <v/>
      </c>
      <c r="BG465" s="25">
        <f>BF465*(1/(1+INDEX($Q465:$AJ465,1,(BG$4-1)*5+4)))^(1+INDEX($Q465:$AJ465,1,(BG$4-1)*5+2))*(1+BG$7)^INDEX($Q465:$AJ465,1,(BG$4-1)*5+1)*(BG335/BF335)^INDEX($Q465:$AJ465,1,(BG$4-1)*5+2)*(BG335/BF335)^(INDEX($Q465:$AJ465,1,(BG$4-1)*5+3)*(1+INDEX($Q465:$AJ465,1,(BG$4-1)*5+2)))</f>
        <v/>
      </c>
      <c r="BH465" s="25">
        <f>BG465*(1/(1+INDEX($Q465:$AJ465,1,(BH$4-1)*5+4)))^(1+INDEX($Q465:$AJ465,1,(BH$4-1)*5+2))*(1+BH$7)^INDEX($Q465:$AJ465,1,(BH$4-1)*5+1)*(BH335/BG335)^INDEX($Q465:$AJ465,1,(BH$4-1)*5+2)*(BH335/BG335)^(INDEX($Q465:$AJ465,1,(BH$4-1)*5+3)*(1+INDEX($Q465:$AJ465,1,(BH$4-1)*5+2)))</f>
        <v/>
      </c>
      <c r="BI465" s="25">
        <f>BH465*(1/(1+INDEX($Q465:$AJ465,1,(BI$4-1)*5+4)))^(1+INDEX($Q465:$AJ465,1,(BI$4-1)*5+2))*(1+BI$7)^INDEX($Q465:$AJ465,1,(BI$4-1)*5+1)*(BI335/BH335)^INDEX($Q465:$AJ465,1,(BI$4-1)*5+2)*(BI335/BH335)^(INDEX($Q465:$AJ465,1,(BI$4-1)*5+3)*(1+INDEX($Q465:$AJ465,1,(BI$4-1)*5+2)))</f>
        <v/>
      </c>
      <c r="BJ465" s="25">
        <f>BI465*(1/(1+INDEX($Q465:$AJ465,1,(BJ$4-1)*5+4)))^(1+INDEX($Q465:$AJ465,1,(BJ$4-1)*5+2))*(1+BJ$7)^INDEX($Q465:$AJ465,1,(BJ$4-1)*5+1)*(BJ335/BI335)^INDEX($Q465:$AJ465,1,(BJ$4-1)*5+2)*(BJ335/BI335)^(INDEX($Q465:$AJ465,1,(BJ$4-1)*5+3)*(1+INDEX($Q465:$AJ465,1,(BJ$4-1)*5+2)))</f>
        <v/>
      </c>
      <c r="BK465" s="25">
        <f>BJ465*(1/(1+INDEX($Q465:$AJ465,1,(BK$4-1)*5+4)))^(1+INDEX($Q465:$AJ465,1,(BK$4-1)*5+2))*(1+BK$7)^INDEX($Q465:$AJ465,1,(BK$4-1)*5+1)*(BK335/BJ335)^INDEX($Q465:$AJ465,1,(BK$4-1)*5+2)*(BK335/BJ335)^(INDEX($Q465:$AJ465,1,(BK$4-1)*5+3)*(1+INDEX($Q465:$AJ465,1,(BK$4-1)*5+2)))</f>
        <v/>
      </c>
      <c r="BL465" s="25">
        <f>BK465*(1/(1+INDEX($Q465:$AJ465,1,(BL$4-1)*5+4)))^(1+INDEX($Q465:$AJ465,1,(BL$4-1)*5+2))*(1+BL$7)^INDEX($Q465:$AJ465,1,(BL$4-1)*5+1)*(BL335/BK335)^INDEX($Q465:$AJ465,1,(BL$4-1)*5+2)*(BL335/BK335)^(INDEX($Q465:$AJ465,1,(BL$4-1)*5+3)*(1+INDEX($Q465:$AJ465,1,(BL$4-1)*5+2)))</f>
        <v/>
      </c>
      <c r="BM465" s="25">
        <f>BL465*(1/(1+INDEX($Q465:$AJ465,1,(BM$4-1)*5+4)))^(1+INDEX($Q465:$AJ465,1,(BM$4-1)*5+2))*(1+BM$7)^INDEX($Q465:$AJ465,1,(BM$4-1)*5+1)*(BM335/BL335)^INDEX($Q465:$AJ465,1,(BM$4-1)*5+2)*(BM335/BL335)^(INDEX($Q465:$AJ465,1,(BM$4-1)*5+3)*(1+INDEX($Q465:$AJ465,1,(BM$4-1)*5+2)))</f>
        <v/>
      </c>
      <c r="BN465" s="25">
        <f>BM465*(1/(1+INDEX($Q465:$AJ465,1,(BN$4-1)*5+4)))^(1+INDEX($Q465:$AJ465,1,(BN$4-1)*5+2))*(1+BN$7)^INDEX($Q465:$AJ465,1,(BN$4-1)*5+1)*(BN335/BM335)^INDEX($Q465:$AJ465,1,(BN$4-1)*5+2)*(BN335/BM335)^(INDEX($Q465:$AJ465,1,(BN$4-1)*5+3)*(1+INDEX($Q465:$AJ465,1,(BN$4-1)*5+2)))</f>
        <v/>
      </c>
    </row>
    <row r="466">
      <c r="B466" s="5" t="inlineStr">
        <is>
          <t>nga</t>
        </is>
      </c>
      <c r="C466" s="5" t="inlineStr">
        <is>
          <t>irn</t>
        </is>
      </c>
      <c r="D466" s="5" t="inlineStr">
        <is>
          <t>Fuel use | Iron &amp; steel | Natural gas</t>
        </is>
      </c>
      <c r="E466" s="5" t="inlineStr">
        <is>
          <t>ktoe</t>
        </is>
      </c>
      <c r="F466" s="5" t="inlineStr">
        <is>
          <t>EnergyCons (base year), Elasticities</t>
        </is>
      </c>
      <c r="G466" s="19" t="inlineStr">
        <is>
          <t>mit.enc.nga.irn</t>
        </is>
      </c>
      <c r="H466" s="19" t="inlineStr">
        <is>
          <t>mit.enc.nga.irn</t>
        </is>
      </c>
      <c r="J466" s="5">
        <f>INDEX(Mapping!$C$5:$C$20,MATCH($C466,Mapping!$A$5:$A$20,0))</f>
        <v/>
      </c>
      <c r="K466" s="5">
        <f>INDEX(Mapping!$D$5:$D$20,MATCH($C466,Mapping!$A$5:$A$20,0))</f>
        <v/>
      </c>
      <c r="L466" s="5">
        <f>INDEX(Mapping!$C$24:$C$31,MATCH($B466,Mapping!$A$24:$A$31,0))</f>
        <v/>
      </c>
      <c r="M466" s="5">
        <f>INDEX(Mapping!$D$24:$D$31,MATCH($B466,Mapping!$A$24:$A$31,0))</f>
        <v/>
      </c>
      <c r="N466" s="5">
        <f>$B466&amp;"."&amp;IF(INDEX(Mapping!$E$24:$E$31,MATCH($B466,Mapping!$A$24:$A$31,0))="sub",INDEX(Mapping!$F$5:$F$20,MATCH($C466,Mapping!$A$5:$A$20,0)),"all")</f>
        <v/>
      </c>
      <c r="O466" s="5">
        <f>INDEX(Mapping!$E$5:$E$20,MATCH($C466,Mapping!$A$5:$A$20,0))</f>
        <v/>
      </c>
      <c r="P466" s="5">
        <f>INDEX(Mapping!$G$24:$G$31,MATCH($B466,Mapping!$A$24:$A$31,0))</f>
        <v/>
      </c>
      <c r="Q466" s="22">
        <f>INDEX(Elasticities!$F$4:$I$200,MATCH("inc|"&amp;$L466&amp;"|"&amp;$K466,Elasticities!$A$4:$A$200,0),MATCH(Settings!$C$6,Elasticities!$F$3:$I$3,0))</f>
        <v/>
      </c>
      <c r="R466" s="22">
        <f>INDEX(Elasticities!$F$4:$I$200,MATCH("usg|"&amp;$L466&amp;"|"&amp;$K466,Elasticities!$A$4:$A$200,0),MATCH(Settings!$C$6,Elasticities!$F$3:$I$3,0))</f>
        <v/>
      </c>
      <c r="S466" s="22">
        <f>INDEX(Elasticities!$F$4:$I$200,MATCH("eff|"&amp;$L466&amp;"|"&amp;$K466,Elasticities!$A$4:$A$200,0),MATCH(Settings!$C$6,Elasticities!$F$3:$I$3,0))</f>
        <v/>
      </c>
      <c r="T466" s="22">
        <f>INDEX(Elasticities!$F$4:$I$200,MATCH("aei|"&amp;$M466&amp;"|"&amp;$K466,Elasticities!$A$4:$A$200,0),MATCH(Settings!$C$6,Elasticities!$F$3:$I$3,0))</f>
        <v/>
      </c>
      <c r="U466" s="21" t="n"/>
      <c r="V466" s="22">
        <f>Q466</f>
        <v/>
      </c>
      <c r="W466" s="22">
        <f>R466</f>
        <v/>
      </c>
      <c r="X466" s="22">
        <f>S466</f>
        <v/>
      </c>
      <c r="Y466" s="22">
        <f>T466</f>
        <v/>
      </c>
      <c r="Z466" s="21" t="n"/>
      <c r="AA466" s="22">
        <f>Q466</f>
        <v/>
      </c>
      <c r="AB466" s="22">
        <f>R466</f>
        <v/>
      </c>
      <c r="AC466" s="22">
        <f>S466</f>
        <v/>
      </c>
      <c r="AD466" s="22">
        <f>T466</f>
        <v/>
      </c>
      <c r="AE466" s="21" t="n"/>
      <c r="AF466" s="22">
        <f>Q466</f>
        <v/>
      </c>
      <c r="AG466" s="22">
        <f>R466</f>
        <v/>
      </c>
      <c r="AH466" s="22">
        <f>S466</f>
        <v/>
      </c>
      <c r="AI466" s="22">
        <f>T466</f>
        <v/>
      </c>
      <c r="AJ466" s="21" t="n"/>
      <c r="AL466" s="24">
        <f>INDEX(EnergyCons!$F$4:$F$5000,MATCH(Settings!$C$4&amp;"|"&amp;AL$5&amp;"|"&amp;$C466&amp;"|"&amp;$B466,EnergyCons!$A$4:$A$5000,0))</f>
        <v/>
      </c>
      <c r="AM466" s="25">
        <f>AL466*(1/(1+INDEX($Q466:$AJ466,1,(AM$4-1)*5+4)))^(1+INDEX($Q466:$AJ466,1,(AM$4-1)*5+2))*(1+AM$7)^INDEX($Q466:$AJ466,1,(AM$4-1)*5+1)*(AM336/AL336)^INDEX($Q466:$AJ466,1,(AM$4-1)*5+2)*(AM336/AL336)^(INDEX($Q466:$AJ466,1,(AM$4-1)*5+3)*(1+INDEX($Q466:$AJ466,1,(AM$4-1)*5+2)))</f>
        <v/>
      </c>
      <c r="AN466" s="25">
        <f>AM466*(1/(1+INDEX($Q466:$AJ466,1,(AN$4-1)*5+4)))^(1+INDEX($Q466:$AJ466,1,(AN$4-1)*5+2))*(1+AN$7)^INDEX($Q466:$AJ466,1,(AN$4-1)*5+1)*(AN336/AM336)^INDEX($Q466:$AJ466,1,(AN$4-1)*5+2)*(AN336/AM336)^(INDEX($Q466:$AJ466,1,(AN$4-1)*5+3)*(1+INDEX($Q466:$AJ466,1,(AN$4-1)*5+2)))</f>
        <v/>
      </c>
      <c r="AO466" s="25">
        <f>AN466*(1/(1+INDEX($Q466:$AJ466,1,(AO$4-1)*5+4)))^(1+INDEX($Q466:$AJ466,1,(AO$4-1)*5+2))*(1+AO$7)^INDEX($Q466:$AJ466,1,(AO$4-1)*5+1)*(AO336/AN336)^INDEX($Q466:$AJ466,1,(AO$4-1)*5+2)*(AO336/AN336)^(INDEX($Q466:$AJ466,1,(AO$4-1)*5+3)*(1+INDEX($Q466:$AJ466,1,(AO$4-1)*5+2)))</f>
        <v/>
      </c>
      <c r="AP466" s="25">
        <f>AO466*(1/(1+INDEX($Q466:$AJ466,1,(AP$4-1)*5+4)))^(1+INDEX($Q466:$AJ466,1,(AP$4-1)*5+2))*(1+AP$7)^INDEX($Q466:$AJ466,1,(AP$4-1)*5+1)*(AP336/AO336)^INDEX($Q466:$AJ466,1,(AP$4-1)*5+2)*(AP336/AO336)^(INDEX($Q466:$AJ466,1,(AP$4-1)*5+3)*(1+INDEX($Q466:$AJ466,1,(AP$4-1)*5+2)))</f>
        <v/>
      </c>
      <c r="AQ466" s="25">
        <f>AP466*(1/(1+INDEX($Q466:$AJ466,1,(AQ$4-1)*5+4)))^(1+INDEX($Q466:$AJ466,1,(AQ$4-1)*5+2))*(1+AQ$7)^INDEX($Q466:$AJ466,1,(AQ$4-1)*5+1)*(AQ336/AP336)^INDEX($Q466:$AJ466,1,(AQ$4-1)*5+2)*(AQ336/AP336)^(INDEX($Q466:$AJ466,1,(AQ$4-1)*5+3)*(1+INDEX($Q466:$AJ466,1,(AQ$4-1)*5+2)))</f>
        <v/>
      </c>
      <c r="AR466" s="25">
        <f>AQ466*(1/(1+INDEX($Q466:$AJ466,1,(AR$4-1)*5+4)))^(1+INDEX($Q466:$AJ466,1,(AR$4-1)*5+2))*(1+AR$7)^INDEX($Q466:$AJ466,1,(AR$4-1)*5+1)*(AR336/AQ336)^INDEX($Q466:$AJ466,1,(AR$4-1)*5+2)*(AR336/AQ336)^(INDEX($Q466:$AJ466,1,(AR$4-1)*5+3)*(1+INDEX($Q466:$AJ466,1,(AR$4-1)*5+2)))</f>
        <v/>
      </c>
      <c r="AS466" s="25">
        <f>AR466*(1/(1+INDEX($Q466:$AJ466,1,(AS$4-1)*5+4)))^(1+INDEX($Q466:$AJ466,1,(AS$4-1)*5+2))*(1+AS$7)^INDEX($Q466:$AJ466,1,(AS$4-1)*5+1)*(AS336/AR336)^INDEX($Q466:$AJ466,1,(AS$4-1)*5+2)*(AS336/AR336)^(INDEX($Q466:$AJ466,1,(AS$4-1)*5+3)*(1+INDEX($Q466:$AJ466,1,(AS$4-1)*5+2)))</f>
        <v/>
      </c>
      <c r="AT466" s="25">
        <f>AS466*(1/(1+INDEX($Q466:$AJ466,1,(AT$4-1)*5+4)))^(1+INDEX($Q466:$AJ466,1,(AT$4-1)*5+2))*(1+AT$7)^INDEX($Q466:$AJ466,1,(AT$4-1)*5+1)*(AT336/AS336)^INDEX($Q466:$AJ466,1,(AT$4-1)*5+2)*(AT336/AS336)^(INDEX($Q466:$AJ466,1,(AT$4-1)*5+3)*(1+INDEX($Q466:$AJ466,1,(AT$4-1)*5+2)))</f>
        <v/>
      </c>
      <c r="AU466" s="25">
        <f>AT466*(1/(1+INDEX($Q466:$AJ466,1,(AU$4-1)*5+4)))^(1+INDEX($Q466:$AJ466,1,(AU$4-1)*5+2))*(1+AU$7)^INDEX($Q466:$AJ466,1,(AU$4-1)*5+1)*(AU336/AT336)^INDEX($Q466:$AJ466,1,(AU$4-1)*5+2)*(AU336/AT336)^(INDEX($Q466:$AJ466,1,(AU$4-1)*5+3)*(1+INDEX($Q466:$AJ466,1,(AU$4-1)*5+2)))</f>
        <v/>
      </c>
      <c r="AV466" s="25">
        <f>AU466*(1/(1+INDEX($Q466:$AJ466,1,(AV$4-1)*5+4)))^(1+INDEX($Q466:$AJ466,1,(AV$4-1)*5+2))*(1+AV$7)^INDEX($Q466:$AJ466,1,(AV$4-1)*5+1)*(AV336/AU336)^INDEX($Q466:$AJ466,1,(AV$4-1)*5+2)*(AV336/AU336)^(INDEX($Q466:$AJ466,1,(AV$4-1)*5+3)*(1+INDEX($Q466:$AJ466,1,(AV$4-1)*5+2)))</f>
        <v/>
      </c>
      <c r="AW466" s="25">
        <f>AV466*(1/(1+INDEX($Q466:$AJ466,1,(AW$4-1)*5+4)))^(1+INDEX($Q466:$AJ466,1,(AW$4-1)*5+2))*(1+AW$7)^INDEX($Q466:$AJ466,1,(AW$4-1)*5+1)*(AW336/AV336)^INDEX($Q466:$AJ466,1,(AW$4-1)*5+2)*(AW336/AV336)^(INDEX($Q466:$AJ466,1,(AW$4-1)*5+3)*(1+INDEX($Q466:$AJ466,1,(AW$4-1)*5+2)))</f>
        <v/>
      </c>
      <c r="AX466" s="25">
        <f>AW466*(1/(1+INDEX($Q466:$AJ466,1,(AX$4-1)*5+4)))^(1+INDEX($Q466:$AJ466,1,(AX$4-1)*5+2))*(1+AX$7)^INDEX($Q466:$AJ466,1,(AX$4-1)*5+1)*(AX336/AW336)^INDEX($Q466:$AJ466,1,(AX$4-1)*5+2)*(AX336/AW336)^(INDEX($Q466:$AJ466,1,(AX$4-1)*5+3)*(1+INDEX($Q466:$AJ466,1,(AX$4-1)*5+2)))</f>
        <v/>
      </c>
      <c r="AY466" s="25">
        <f>AX466*(1/(1+INDEX($Q466:$AJ466,1,(AY$4-1)*5+4)))^(1+INDEX($Q466:$AJ466,1,(AY$4-1)*5+2))*(1+AY$7)^INDEX($Q466:$AJ466,1,(AY$4-1)*5+1)*(AY336/AX336)^INDEX($Q466:$AJ466,1,(AY$4-1)*5+2)*(AY336/AX336)^(INDEX($Q466:$AJ466,1,(AY$4-1)*5+3)*(1+INDEX($Q466:$AJ466,1,(AY$4-1)*5+2)))</f>
        <v/>
      </c>
      <c r="BA466" s="24">
        <f>INDEX(EnergyCons!$F$4:$F$5000,MATCH(Settings!$C$4&amp;"|"&amp;BA$5&amp;"|"&amp;$C466&amp;"|"&amp;$B466,EnergyCons!$A$4:$A$5000,0))</f>
        <v/>
      </c>
      <c r="BB466" s="25">
        <f>BA466*(1/(1+INDEX($Q466:$AJ466,1,(BB$4-1)*5+4)))^(1+INDEX($Q466:$AJ466,1,(BB$4-1)*5+2))*(1+BB$7)^INDEX($Q466:$AJ466,1,(BB$4-1)*5+1)*(BB336/BA336)^INDEX($Q466:$AJ466,1,(BB$4-1)*5+2)*(BB336/BA336)^(INDEX($Q466:$AJ466,1,(BB$4-1)*5+3)*(1+INDEX($Q466:$AJ466,1,(BB$4-1)*5+2)))</f>
        <v/>
      </c>
      <c r="BC466" s="25">
        <f>BB466*(1/(1+INDEX($Q466:$AJ466,1,(BC$4-1)*5+4)))^(1+INDEX($Q466:$AJ466,1,(BC$4-1)*5+2))*(1+BC$7)^INDEX($Q466:$AJ466,1,(BC$4-1)*5+1)*(BC336/BB336)^INDEX($Q466:$AJ466,1,(BC$4-1)*5+2)*(BC336/BB336)^(INDEX($Q466:$AJ466,1,(BC$4-1)*5+3)*(1+INDEX($Q466:$AJ466,1,(BC$4-1)*5+2)))</f>
        <v/>
      </c>
      <c r="BD466" s="25">
        <f>BC466*(1/(1+INDEX($Q466:$AJ466,1,(BD$4-1)*5+4)))^(1+INDEX($Q466:$AJ466,1,(BD$4-1)*5+2))*(1+BD$7)^INDEX($Q466:$AJ466,1,(BD$4-1)*5+1)*(BD336/BC336)^INDEX($Q466:$AJ466,1,(BD$4-1)*5+2)*(BD336/BC336)^(INDEX($Q466:$AJ466,1,(BD$4-1)*5+3)*(1+INDEX($Q466:$AJ466,1,(BD$4-1)*5+2)))</f>
        <v/>
      </c>
      <c r="BE466" s="25">
        <f>BD466*(1/(1+INDEX($Q466:$AJ466,1,(BE$4-1)*5+4)))^(1+INDEX($Q466:$AJ466,1,(BE$4-1)*5+2))*(1+BE$7)^INDEX($Q466:$AJ466,1,(BE$4-1)*5+1)*(BE336/BD336)^INDEX($Q466:$AJ466,1,(BE$4-1)*5+2)*(BE336/BD336)^(INDEX($Q466:$AJ466,1,(BE$4-1)*5+3)*(1+INDEX($Q466:$AJ466,1,(BE$4-1)*5+2)))</f>
        <v/>
      </c>
      <c r="BF466" s="25">
        <f>BE466*(1/(1+INDEX($Q466:$AJ466,1,(BF$4-1)*5+4)))^(1+INDEX($Q466:$AJ466,1,(BF$4-1)*5+2))*(1+BF$7)^INDEX($Q466:$AJ466,1,(BF$4-1)*5+1)*(BF336/BE336)^INDEX($Q466:$AJ466,1,(BF$4-1)*5+2)*(BF336/BE336)^(INDEX($Q466:$AJ466,1,(BF$4-1)*5+3)*(1+INDEX($Q466:$AJ466,1,(BF$4-1)*5+2)))</f>
        <v/>
      </c>
      <c r="BG466" s="25">
        <f>BF466*(1/(1+INDEX($Q466:$AJ466,1,(BG$4-1)*5+4)))^(1+INDEX($Q466:$AJ466,1,(BG$4-1)*5+2))*(1+BG$7)^INDEX($Q466:$AJ466,1,(BG$4-1)*5+1)*(BG336/BF336)^INDEX($Q466:$AJ466,1,(BG$4-1)*5+2)*(BG336/BF336)^(INDEX($Q466:$AJ466,1,(BG$4-1)*5+3)*(1+INDEX($Q466:$AJ466,1,(BG$4-1)*5+2)))</f>
        <v/>
      </c>
      <c r="BH466" s="25">
        <f>BG466*(1/(1+INDEX($Q466:$AJ466,1,(BH$4-1)*5+4)))^(1+INDEX($Q466:$AJ466,1,(BH$4-1)*5+2))*(1+BH$7)^INDEX($Q466:$AJ466,1,(BH$4-1)*5+1)*(BH336/BG336)^INDEX($Q466:$AJ466,1,(BH$4-1)*5+2)*(BH336/BG336)^(INDEX($Q466:$AJ466,1,(BH$4-1)*5+3)*(1+INDEX($Q466:$AJ466,1,(BH$4-1)*5+2)))</f>
        <v/>
      </c>
      <c r="BI466" s="25">
        <f>BH466*(1/(1+INDEX($Q466:$AJ466,1,(BI$4-1)*5+4)))^(1+INDEX($Q466:$AJ466,1,(BI$4-1)*5+2))*(1+BI$7)^INDEX($Q466:$AJ466,1,(BI$4-1)*5+1)*(BI336/BH336)^INDEX($Q466:$AJ466,1,(BI$4-1)*5+2)*(BI336/BH336)^(INDEX($Q466:$AJ466,1,(BI$4-1)*5+3)*(1+INDEX($Q466:$AJ466,1,(BI$4-1)*5+2)))</f>
        <v/>
      </c>
      <c r="BJ466" s="25">
        <f>BI466*(1/(1+INDEX($Q466:$AJ466,1,(BJ$4-1)*5+4)))^(1+INDEX($Q466:$AJ466,1,(BJ$4-1)*5+2))*(1+BJ$7)^INDEX($Q466:$AJ466,1,(BJ$4-1)*5+1)*(BJ336/BI336)^INDEX($Q466:$AJ466,1,(BJ$4-1)*5+2)*(BJ336/BI336)^(INDEX($Q466:$AJ466,1,(BJ$4-1)*5+3)*(1+INDEX($Q466:$AJ466,1,(BJ$4-1)*5+2)))</f>
        <v/>
      </c>
      <c r="BK466" s="25">
        <f>BJ466*(1/(1+INDEX($Q466:$AJ466,1,(BK$4-1)*5+4)))^(1+INDEX($Q466:$AJ466,1,(BK$4-1)*5+2))*(1+BK$7)^INDEX($Q466:$AJ466,1,(BK$4-1)*5+1)*(BK336/BJ336)^INDEX($Q466:$AJ466,1,(BK$4-1)*5+2)*(BK336/BJ336)^(INDEX($Q466:$AJ466,1,(BK$4-1)*5+3)*(1+INDEX($Q466:$AJ466,1,(BK$4-1)*5+2)))</f>
        <v/>
      </c>
      <c r="BL466" s="25">
        <f>BK466*(1/(1+INDEX($Q466:$AJ466,1,(BL$4-1)*5+4)))^(1+INDEX($Q466:$AJ466,1,(BL$4-1)*5+2))*(1+BL$7)^INDEX($Q466:$AJ466,1,(BL$4-1)*5+1)*(BL336/BK336)^INDEX($Q466:$AJ466,1,(BL$4-1)*5+2)*(BL336/BK336)^(INDEX($Q466:$AJ466,1,(BL$4-1)*5+3)*(1+INDEX($Q466:$AJ466,1,(BL$4-1)*5+2)))</f>
        <v/>
      </c>
      <c r="BM466" s="25">
        <f>BL466*(1/(1+INDEX($Q466:$AJ466,1,(BM$4-1)*5+4)))^(1+INDEX($Q466:$AJ466,1,(BM$4-1)*5+2))*(1+BM$7)^INDEX($Q466:$AJ466,1,(BM$4-1)*5+1)*(BM336/BL336)^INDEX($Q466:$AJ466,1,(BM$4-1)*5+2)*(BM336/BL336)^(INDEX($Q466:$AJ466,1,(BM$4-1)*5+3)*(1+INDEX($Q466:$AJ466,1,(BM$4-1)*5+2)))</f>
        <v/>
      </c>
      <c r="BN466" s="25">
        <f>BM466*(1/(1+INDEX($Q466:$AJ466,1,(BN$4-1)*5+4)))^(1+INDEX($Q466:$AJ466,1,(BN$4-1)*5+2))*(1+BN$7)^INDEX($Q466:$AJ466,1,(BN$4-1)*5+1)*(BN336/BM336)^INDEX($Q466:$AJ466,1,(BN$4-1)*5+2)*(BN336/BM336)^(INDEX($Q466:$AJ466,1,(BN$4-1)*5+3)*(1+INDEX($Q466:$AJ466,1,(BN$4-1)*5+2)))</f>
        <v/>
      </c>
    </row>
    <row r="467">
      <c r="B467" s="5" t="inlineStr">
        <is>
          <t>gso</t>
        </is>
      </c>
      <c r="C467" s="5" t="inlineStr">
        <is>
          <t>irn</t>
        </is>
      </c>
      <c r="D467" s="5" t="inlineStr">
        <is>
          <t>Fuel use | Iron &amp; steel | Gasoline</t>
        </is>
      </c>
      <c r="E467" s="5" t="inlineStr">
        <is>
          <t>ktoe</t>
        </is>
      </c>
      <c r="F467" s="5" t="inlineStr">
        <is>
          <t>EnergyCons (base year), Elasticities</t>
        </is>
      </c>
      <c r="G467" s="19" t="inlineStr">
        <is>
          <t>mit.enc.gso.irn</t>
        </is>
      </c>
      <c r="H467" s="19" t="inlineStr">
        <is>
          <t>mit.enc.gso.irn</t>
        </is>
      </c>
      <c r="J467" s="5">
        <f>INDEX(Mapping!$C$5:$C$20,MATCH($C467,Mapping!$A$5:$A$20,0))</f>
        <v/>
      </c>
      <c r="K467" s="5">
        <f>INDEX(Mapping!$D$5:$D$20,MATCH($C467,Mapping!$A$5:$A$20,0))</f>
        <v/>
      </c>
      <c r="L467" s="5">
        <f>INDEX(Mapping!$C$24:$C$31,MATCH($B467,Mapping!$A$24:$A$31,0))</f>
        <v/>
      </c>
      <c r="M467" s="5">
        <f>INDEX(Mapping!$D$24:$D$31,MATCH($B467,Mapping!$A$24:$A$31,0))</f>
        <v/>
      </c>
      <c r="N467" s="5">
        <f>$B467&amp;"."&amp;IF(INDEX(Mapping!$E$24:$E$31,MATCH($B467,Mapping!$A$24:$A$31,0))="sub",INDEX(Mapping!$F$5:$F$20,MATCH($C467,Mapping!$A$5:$A$20,0)),"all")</f>
        <v/>
      </c>
      <c r="O467" s="5">
        <f>INDEX(Mapping!$E$5:$E$20,MATCH($C467,Mapping!$A$5:$A$20,0))</f>
        <v/>
      </c>
      <c r="P467" s="5">
        <f>INDEX(Mapping!$G$24:$G$31,MATCH($B467,Mapping!$A$24:$A$31,0))</f>
        <v/>
      </c>
      <c r="Q467" s="22">
        <f>INDEX(Elasticities!$F$4:$I$200,MATCH("inc|"&amp;$L467&amp;"|"&amp;$K467,Elasticities!$A$4:$A$200,0),MATCH(Settings!$C$6,Elasticities!$F$3:$I$3,0))</f>
        <v/>
      </c>
      <c r="R467" s="22">
        <f>INDEX(Elasticities!$F$4:$I$200,MATCH("usg|"&amp;$L467&amp;"|"&amp;$K467,Elasticities!$A$4:$A$200,0),MATCH(Settings!$C$6,Elasticities!$F$3:$I$3,0))</f>
        <v/>
      </c>
      <c r="S467" s="22">
        <f>INDEX(Elasticities!$F$4:$I$200,MATCH("eff|"&amp;$L467&amp;"|"&amp;$K467,Elasticities!$A$4:$A$200,0),MATCH(Settings!$C$6,Elasticities!$F$3:$I$3,0))</f>
        <v/>
      </c>
      <c r="T467" s="22">
        <f>INDEX(Elasticities!$F$4:$I$200,MATCH("aei|"&amp;$M467&amp;"|"&amp;$K467,Elasticities!$A$4:$A$200,0),MATCH(Settings!$C$6,Elasticities!$F$3:$I$3,0))</f>
        <v/>
      </c>
      <c r="U467" s="21" t="n"/>
      <c r="V467" s="22">
        <f>Q467</f>
        <v/>
      </c>
      <c r="W467" s="22">
        <f>R467</f>
        <v/>
      </c>
      <c r="X467" s="22">
        <f>S467</f>
        <v/>
      </c>
      <c r="Y467" s="22">
        <f>T467</f>
        <v/>
      </c>
      <c r="Z467" s="21" t="n"/>
      <c r="AA467" s="22">
        <f>Q467</f>
        <v/>
      </c>
      <c r="AB467" s="22">
        <f>R467</f>
        <v/>
      </c>
      <c r="AC467" s="22">
        <f>S467</f>
        <v/>
      </c>
      <c r="AD467" s="22">
        <f>T467</f>
        <v/>
      </c>
      <c r="AE467" s="21" t="n"/>
      <c r="AF467" s="22">
        <f>Q467</f>
        <v/>
      </c>
      <c r="AG467" s="22">
        <f>R467</f>
        <v/>
      </c>
      <c r="AH467" s="22">
        <f>S467</f>
        <v/>
      </c>
      <c r="AI467" s="22">
        <f>T467</f>
        <v/>
      </c>
      <c r="AJ467" s="21" t="n"/>
      <c r="AL467" s="24">
        <f>INDEX(EnergyCons!$F$4:$F$5000,MATCH(Settings!$C$4&amp;"|"&amp;AL$5&amp;"|"&amp;$C467&amp;"|"&amp;$B467,EnergyCons!$A$4:$A$5000,0))</f>
        <v/>
      </c>
      <c r="AM467" s="25">
        <f>AL467*(1/(1+INDEX($Q467:$AJ467,1,(AM$4-1)*5+4)))^(1+INDEX($Q467:$AJ467,1,(AM$4-1)*5+2))*(1+AM$7)^INDEX($Q467:$AJ467,1,(AM$4-1)*5+1)*(AM337/AL337)^INDEX($Q467:$AJ467,1,(AM$4-1)*5+2)*(AM337/AL337)^(INDEX($Q467:$AJ467,1,(AM$4-1)*5+3)*(1+INDEX($Q467:$AJ467,1,(AM$4-1)*5+2)))</f>
        <v/>
      </c>
      <c r="AN467" s="25">
        <f>AM467*(1/(1+INDEX($Q467:$AJ467,1,(AN$4-1)*5+4)))^(1+INDEX($Q467:$AJ467,1,(AN$4-1)*5+2))*(1+AN$7)^INDEX($Q467:$AJ467,1,(AN$4-1)*5+1)*(AN337/AM337)^INDEX($Q467:$AJ467,1,(AN$4-1)*5+2)*(AN337/AM337)^(INDEX($Q467:$AJ467,1,(AN$4-1)*5+3)*(1+INDEX($Q467:$AJ467,1,(AN$4-1)*5+2)))</f>
        <v/>
      </c>
      <c r="AO467" s="25">
        <f>AN467*(1/(1+INDEX($Q467:$AJ467,1,(AO$4-1)*5+4)))^(1+INDEX($Q467:$AJ467,1,(AO$4-1)*5+2))*(1+AO$7)^INDEX($Q467:$AJ467,1,(AO$4-1)*5+1)*(AO337/AN337)^INDEX($Q467:$AJ467,1,(AO$4-1)*5+2)*(AO337/AN337)^(INDEX($Q467:$AJ467,1,(AO$4-1)*5+3)*(1+INDEX($Q467:$AJ467,1,(AO$4-1)*5+2)))</f>
        <v/>
      </c>
      <c r="AP467" s="25">
        <f>AO467*(1/(1+INDEX($Q467:$AJ467,1,(AP$4-1)*5+4)))^(1+INDEX($Q467:$AJ467,1,(AP$4-1)*5+2))*(1+AP$7)^INDEX($Q467:$AJ467,1,(AP$4-1)*5+1)*(AP337/AO337)^INDEX($Q467:$AJ467,1,(AP$4-1)*5+2)*(AP337/AO337)^(INDEX($Q467:$AJ467,1,(AP$4-1)*5+3)*(1+INDEX($Q467:$AJ467,1,(AP$4-1)*5+2)))</f>
        <v/>
      </c>
      <c r="AQ467" s="25">
        <f>AP467*(1/(1+INDEX($Q467:$AJ467,1,(AQ$4-1)*5+4)))^(1+INDEX($Q467:$AJ467,1,(AQ$4-1)*5+2))*(1+AQ$7)^INDEX($Q467:$AJ467,1,(AQ$4-1)*5+1)*(AQ337/AP337)^INDEX($Q467:$AJ467,1,(AQ$4-1)*5+2)*(AQ337/AP337)^(INDEX($Q467:$AJ467,1,(AQ$4-1)*5+3)*(1+INDEX($Q467:$AJ467,1,(AQ$4-1)*5+2)))</f>
        <v/>
      </c>
      <c r="AR467" s="25">
        <f>AQ467*(1/(1+INDEX($Q467:$AJ467,1,(AR$4-1)*5+4)))^(1+INDEX($Q467:$AJ467,1,(AR$4-1)*5+2))*(1+AR$7)^INDEX($Q467:$AJ467,1,(AR$4-1)*5+1)*(AR337/AQ337)^INDEX($Q467:$AJ467,1,(AR$4-1)*5+2)*(AR337/AQ337)^(INDEX($Q467:$AJ467,1,(AR$4-1)*5+3)*(1+INDEX($Q467:$AJ467,1,(AR$4-1)*5+2)))</f>
        <v/>
      </c>
      <c r="AS467" s="25">
        <f>AR467*(1/(1+INDEX($Q467:$AJ467,1,(AS$4-1)*5+4)))^(1+INDEX($Q467:$AJ467,1,(AS$4-1)*5+2))*(1+AS$7)^INDEX($Q467:$AJ467,1,(AS$4-1)*5+1)*(AS337/AR337)^INDEX($Q467:$AJ467,1,(AS$4-1)*5+2)*(AS337/AR337)^(INDEX($Q467:$AJ467,1,(AS$4-1)*5+3)*(1+INDEX($Q467:$AJ467,1,(AS$4-1)*5+2)))</f>
        <v/>
      </c>
      <c r="AT467" s="25">
        <f>AS467*(1/(1+INDEX($Q467:$AJ467,1,(AT$4-1)*5+4)))^(1+INDEX($Q467:$AJ467,1,(AT$4-1)*5+2))*(1+AT$7)^INDEX($Q467:$AJ467,1,(AT$4-1)*5+1)*(AT337/AS337)^INDEX($Q467:$AJ467,1,(AT$4-1)*5+2)*(AT337/AS337)^(INDEX($Q467:$AJ467,1,(AT$4-1)*5+3)*(1+INDEX($Q467:$AJ467,1,(AT$4-1)*5+2)))</f>
        <v/>
      </c>
      <c r="AU467" s="25">
        <f>AT467*(1/(1+INDEX($Q467:$AJ467,1,(AU$4-1)*5+4)))^(1+INDEX($Q467:$AJ467,1,(AU$4-1)*5+2))*(1+AU$7)^INDEX($Q467:$AJ467,1,(AU$4-1)*5+1)*(AU337/AT337)^INDEX($Q467:$AJ467,1,(AU$4-1)*5+2)*(AU337/AT337)^(INDEX($Q467:$AJ467,1,(AU$4-1)*5+3)*(1+INDEX($Q467:$AJ467,1,(AU$4-1)*5+2)))</f>
        <v/>
      </c>
      <c r="AV467" s="25">
        <f>AU467*(1/(1+INDEX($Q467:$AJ467,1,(AV$4-1)*5+4)))^(1+INDEX($Q467:$AJ467,1,(AV$4-1)*5+2))*(1+AV$7)^INDEX($Q467:$AJ467,1,(AV$4-1)*5+1)*(AV337/AU337)^INDEX($Q467:$AJ467,1,(AV$4-1)*5+2)*(AV337/AU337)^(INDEX($Q467:$AJ467,1,(AV$4-1)*5+3)*(1+INDEX($Q467:$AJ467,1,(AV$4-1)*5+2)))</f>
        <v/>
      </c>
      <c r="AW467" s="25">
        <f>AV467*(1/(1+INDEX($Q467:$AJ467,1,(AW$4-1)*5+4)))^(1+INDEX($Q467:$AJ467,1,(AW$4-1)*5+2))*(1+AW$7)^INDEX($Q467:$AJ467,1,(AW$4-1)*5+1)*(AW337/AV337)^INDEX($Q467:$AJ467,1,(AW$4-1)*5+2)*(AW337/AV337)^(INDEX($Q467:$AJ467,1,(AW$4-1)*5+3)*(1+INDEX($Q467:$AJ467,1,(AW$4-1)*5+2)))</f>
        <v/>
      </c>
      <c r="AX467" s="25">
        <f>AW467*(1/(1+INDEX($Q467:$AJ467,1,(AX$4-1)*5+4)))^(1+INDEX($Q467:$AJ467,1,(AX$4-1)*5+2))*(1+AX$7)^INDEX($Q467:$AJ467,1,(AX$4-1)*5+1)*(AX337/AW337)^INDEX($Q467:$AJ467,1,(AX$4-1)*5+2)*(AX337/AW337)^(INDEX($Q467:$AJ467,1,(AX$4-1)*5+3)*(1+INDEX($Q467:$AJ467,1,(AX$4-1)*5+2)))</f>
        <v/>
      </c>
      <c r="AY467" s="25">
        <f>AX467*(1/(1+INDEX($Q467:$AJ467,1,(AY$4-1)*5+4)))^(1+INDEX($Q467:$AJ467,1,(AY$4-1)*5+2))*(1+AY$7)^INDEX($Q467:$AJ467,1,(AY$4-1)*5+1)*(AY337/AX337)^INDEX($Q467:$AJ467,1,(AY$4-1)*5+2)*(AY337/AX337)^(INDEX($Q467:$AJ467,1,(AY$4-1)*5+3)*(1+INDEX($Q467:$AJ467,1,(AY$4-1)*5+2)))</f>
        <v/>
      </c>
      <c r="BA467" s="24">
        <f>INDEX(EnergyCons!$F$4:$F$5000,MATCH(Settings!$C$4&amp;"|"&amp;BA$5&amp;"|"&amp;$C467&amp;"|"&amp;$B467,EnergyCons!$A$4:$A$5000,0))</f>
        <v/>
      </c>
      <c r="BB467" s="25">
        <f>BA467*(1/(1+INDEX($Q467:$AJ467,1,(BB$4-1)*5+4)))^(1+INDEX($Q467:$AJ467,1,(BB$4-1)*5+2))*(1+BB$7)^INDEX($Q467:$AJ467,1,(BB$4-1)*5+1)*(BB337/BA337)^INDEX($Q467:$AJ467,1,(BB$4-1)*5+2)*(BB337/BA337)^(INDEX($Q467:$AJ467,1,(BB$4-1)*5+3)*(1+INDEX($Q467:$AJ467,1,(BB$4-1)*5+2)))</f>
        <v/>
      </c>
      <c r="BC467" s="25">
        <f>BB467*(1/(1+INDEX($Q467:$AJ467,1,(BC$4-1)*5+4)))^(1+INDEX($Q467:$AJ467,1,(BC$4-1)*5+2))*(1+BC$7)^INDEX($Q467:$AJ467,1,(BC$4-1)*5+1)*(BC337/BB337)^INDEX($Q467:$AJ467,1,(BC$4-1)*5+2)*(BC337/BB337)^(INDEX($Q467:$AJ467,1,(BC$4-1)*5+3)*(1+INDEX($Q467:$AJ467,1,(BC$4-1)*5+2)))</f>
        <v/>
      </c>
      <c r="BD467" s="25">
        <f>BC467*(1/(1+INDEX($Q467:$AJ467,1,(BD$4-1)*5+4)))^(1+INDEX($Q467:$AJ467,1,(BD$4-1)*5+2))*(1+BD$7)^INDEX($Q467:$AJ467,1,(BD$4-1)*5+1)*(BD337/BC337)^INDEX($Q467:$AJ467,1,(BD$4-1)*5+2)*(BD337/BC337)^(INDEX($Q467:$AJ467,1,(BD$4-1)*5+3)*(1+INDEX($Q467:$AJ467,1,(BD$4-1)*5+2)))</f>
        <v/>
      </c>
      <c r="BE467" s="25">
        <f>BD467*(1/(1+INDEX($Q467:$AJ467,1,(BE$4-1)*5+4)))^(1+INDEX($Q467:$AJ467,1,(BE$4-1)*5+2))*(1+BE$7)^INDEX($Q467:$AJ467,1,(BE$4-1)*5+1)*(BE337/BD337)^INDEX($Q467:$AJ467,1,(BE$4-1)*5+2)*(BE337/BD337)^(INDEX($Q467:$AJ467,1,(BE$4-1)*5+3)*(1+INDEX($Q467:$AJ467,1,(BE$4-1)*5+2)))</f>
        <v/>
      </c>
      <c r="BF467" s="25">
        <f>BE467*(1/(1+INDEX($Q467:$AJ467,1,(BF$4-1)*5+4)))^(1+INDEX($Q467:$AJ467,1,(BF$4-1)*5+2))*(1+BF$7)^INDEX($Q467:$AJ467,1,(BF$4-1)*5+1)*(BF337/BE337)^INDEX($Q467:$AJ467,1,(BF$4-1)*5+2)*(BF337/BE337)^(INDEX($Q467:$AJ467,1,(BF$4-1)*5+3)*(1+INDEX($Q467:$AJ467,1,(BF$4-1)*5+2)))</f>
        <v/>
      </c>
      <c r="BG467" s="25">
        <f>BF467*(1/(1+INDEX($Q467:$AJ467,1,(BG$4-1)*5+4)))^(1+INDEX($Q467:$AJ467,1,(BG$4-1)*5+2))*(1+BG$7)^INDEX($Q467:$AJ467,1,(BG$4-1)*5+1)*(BG337/BF337)^INDEX($Q467:$AJ467,1,(BG$4-1)*5+2)*(BG337/BF337)^(INDEX($Q467:$AJ467,1,(BG$4-1)*5+3)*(1+INDEX($Q467:$AJ467,1,(BG$4-1)*5+2)))</f>
        <v/>
      </c>
      <c r="BH467" s="25">
        <f>BG467*(1/(1+INDEX($Q467:$AJ467,1,(BH$4-1)*5+4)))^(1+INDEX($Q467:$AJ467,1,(BH$4-1)*5+2))*(1+BH$7)^INDEX($Q467:$AJ467,1,(BH$4-1)*5+1)*(BH337/BG337)^INDEX($Q467:$AJ467,1,(BH$4-1)*5+2)*(BH337/BG337)^(INDEX($Q467:$AJ467,1,(BH$4-1)*5+3)*(1+INDEX($Q467:$AJ467,1,(BH$4-1)*5+2)))</f>
        <v/>
      </c>
      <c r="BI467" s="25">
        <f>BH467*(1/(1+INDEX($Q467:$AJ467,1,(BI$4-1)*5+4)))^(1+INDEX($Q467:$AJ467,1,(BI$4-1)*5+2))*(1+BI$7)^INDEX($Q467:$AJ467,1,(BI$4-1)*5+1)*(BI337/BH337)^INDEX($Q467:$AJ467,1,(BI$4-1)*5+2)*(BI337/BH337)^(INDEX($Q467:$AJ467,1,(BI$4-1)*5+3)*(1+INDEX($Q467:$AJ467,1,(BI$4-1)*5+2)))</f>
        <v/>
      </c>
      <c r="BJ467" s="25">
        <f>BI467*(1/(1+INDEX($Q467:$AJ467,1,(BJ$4-1)*5+4)))^(1+INDEX($Q467:$AJ467,1,(BJ$4-1)*5+2))*(1+BJ$7)^INDEX($Q467:$AJ467,1,(BJ$4-1)*5+1)*(BJ337/BI337)^INDEX($Q467:$AJ467,1,(BJ$4-1)*5+2)*(BJ337/BI337)^(INDEX($Q467:$AJ467,1,(BJ$4-1)*5+3)*(1+INDEX($Q467:$AJ467,1,(BJ$4-1)*5+2)))</f>
        <v/>
      </c>
      <c r="BK467" s="25">
        <f>BJ467*(1/(1+INDEX($Q467:$AJ467,1,(BK$4-1)*5+4)))^(1+INDEX($Q467:$AJ467,1,(BK$4-1)*5+2))*(1+BK$7)^INDEX($Q467:$AJ467,1,(BK$4-1)*5+1)*(BK337/BJ337)^INDEX($Q467:$AJ467,1,(BK$4-1)*5+2)*(BK337/BJ337)^(INDEX($Q467:$AJ467,1,(BK$4-1)*5+3)*(1+INDEX($Q467:$AJ467,1,(BK$4-1)*5+2)))</f>
        <v/>
      </c>
      <c r="BL467" s="25">
        <f>BK467*(1/(1+INDEX($Q467:$AJ467,1,(BL$4-1)*5+4)))^(1+INDEX($Q467:$AJ467,1,(BL$4-1)*5+2))*(1+BL$7)^INDEX($Q467:$AJ467,1,(BL$4-1)*5+1)*(BL337/BK337)^INDEX($Q467:$AJ467,1,(BL$4-1)*5+2)*(BL337/BK337)^(INDEX($Q467:$AJ467,1,(BL$4-1)*5+3)*(1+INDEX($Q467:$AJ467,1,(BL$4-1)*5+2)))</f>
        <v/>
      </c>
      <c r="BM467" s="25">
        <f>BL467*(1/(1+INDEX($Q467:$AJ467,1,(BM$4-1)*5+4)))^(1+INDEX($Q467:$AJ467,1,(BM$4-1)*5+2))*(1+BM$7)^INDEX($Q467:$AJ467,1,(BM$4-1)*5+1)*(BM337/BL337)^INDEX($Q467:$AJ467,1,(BM$4-1)*5+2)*(BM337/BL337)^(INDEX($Q467:$AJ467,1,(BM$4-1)*5+3)*(1+INDEX($Q467:$AJ467,1,(BM$4-1)*5+2)))</f>
        <v/>
      </c>
      <c r="BN467" s="25">
        <f>BM467*(1/(1+INDEX($Q467:$AJ467,1,(BN$4-1)*5+4)))^(1+INDEX($Q467:$AJ467,1,(BN$4-1)*5+2))*(1+BN$7)^INDEX($Q467:$AJ467,1,(BN$4-1)*5+1)*(BN337/BM337)^INDEX($Q467:$AJ467,1,(BN$4-1)*5+2)*(BN337/BM337)^(INDEX($Q467:$AJ467,1,(BN$4-1)*5+3)*(1+INDEX($Q467:$AJ467,1,(BN$4-1)*5+2)))</f>
        <v/>
      </c>
    </row>
    <row r="468">
      <c r="B468" s="5" t="inlineStr">
        <is>
          <t>die</t>
        </is>
      </c>
      <c r="C468" s="5" t="inlineStr">
        <is>
          <t>irn</t>
        </is>
      </c>
      <c r="D468" s="5" t="inlineStr">
        <is>
          <t>Fuel use | Iron &amp; steel | Diesel</t>
        </is>
      </c>
      <c r="E468" s="5" t="inlineStr">
        <is>
          <t>ktoe</t>
        </is>
      </c>
      <c r="F468" s="5" t="inlineStr">
        <is>
          <t>EnergyCons (base year), Elasticities</t>
        </is>
      </c>
      <c r="G468" s="19" t="inlineStr">
        <is>
          <t>mit.enc.die.irn</t>
        </is>
      </c>
      <c r="H468" s="19" t="inlineStr">
        <is>
          <t>mit.enc.die.irn</t>
        </is>
      </c>
      <c r="J468" s="5">
        <f>INDEX(Mapping!$C$5:$C$20,MATCH($C468,Mapping!$A$5:$A$20,0))</f>
        <v/>
      </c>
      <c r="K468" s="5">
        <f>INDEX(Mapping!$D$5:$D$20,MATCH($C468,Mapping!$A$5:$A$20,0))</f>
        <v/>
      </c>
      <c r="L468" s="5">
        <f>INDEX(Mapping!$C$24:$C$31,MATCH($B468,Mapping!$A$24:$A$31,0))</f>
        <v/>
      </c>
      <c r="M468" s="5">
        <f>INDEX(Mapping!$D$24:$D$31,MATCH($B468,Mapping!$A$24:$A$31,0))</f>
        <v/>
      </c>
      <c r="N468" s="5">
        <f>$B468&amp;"."&amp;IF(INDEX(Mapping!$E$24:$E$31,MATCH($B468,Mapping!$A$24:$A$31,0))="sub",INDEX(Mapping!$F$5:$F$20,MATCH($C468,Mapping!$A$5:$A$20,0)),"all")</f>
        <v/>
      </c>
      <c r="O468" s="5">
        <f>INDEX(Mapping!$E$5:$E$20,MATCH($C468,Mapping!$A$5:$A$20,0))</f>
        <v/>
      </c>
      <c r="P468" s="5">
        <f>INDEX(Mapping!$G$24:$G$31,MATCH($B468,Mapping!$A$24:$A$31,0))</f>
        <v/>
      </c>
      <c r="Q468" s="22">
        <f>INDEX(Elasticities!$F$4:$I$200,MATCH("inc|"&amp;$L468&amp;"|"&amp;$K468,Elasticities!$A$4:$A$200,0),MATCH(Settings!$C$6,Elasticities!$F$3:$I$3,0))</f>
        <v/>
      </c>
      <c r="R468" s="22">
        <f>INDEX(Elasticities!$F$4:$I$200,MATCH("usg|"&amp;$L468&amp;"|"&amp;$K468,Elasticities!$A$4:$A$200,0),MATCH(Settings!$C$6,Elasticities!$F$3:$I$3,0))</f>
        <v/>
      </c>
      <c r="S468" s="22">
        <f>INDEX(Elasticities!$F$4:$I$200,MATCH("eff|"&amp;$L468&amp;"|"&amp;$K468,Elasticities!$A$4:$A$200,0),MATCH(Settings!$C$6,Elasticities!$F$3:$I$3,0))</f>
        <v/>
      </c>
      <c r="T468" s="22">
        <f>INDEX(Elasticities!$F$4:$I$200,MATCH("aei|"&amp;$M468&amp;"|"&amp;$K468,Elasticities!$A$4:$A$200,0),MATCH(Settings!$C$6,Elasticities!$F$3:$I$3,0))</f>
        <v/>
      </c>
      <c r="U468" s="21" t="n"/>
      <c r="V468" s="22">
        <f>Q468</f>
        <v/>
      </c>
      <c r="W468" s="22">
        <f>R468</f>
        <v/>
      </c>
      <c r="X468" s="22">
        <f>S468</f>
        <v/>
      </c>
      <c r="Y468" s="22">
        <f>T468</f>
        <v/>
      </c>
      <c r="Z468" s="21" t="n"/>
      <c r="AA468" s="22">
        <f>Q468</f>
        <v/>
      </c>
      <c r="AB468" s="22">
        <f>R468</f>
        <v/>
      </c>
      <c r="AC468" s="22">
        <f>S468</f>
        <v/>
      </c>
      <c r="AD468" s="22">
        <f>T468</f>
        <v/>
      </c>
      <c r="AE468" s="21" t="n"/>
      <c r="AF468" s="22">
        <f>Q468</f>
        <v/>
      </c>
      <c r="AG468" s="22">
        <f>R468</f>
        <v/>
      </c>
      <c r="AH468" s="22">
        <f>S468</f>
        <v/>
      </c>
      <c r="AI468" s="22">
        <f>T468</f>
        <v/>
      </c>
      <c r="AJ468" s="21" t="n"/>
      <c r="AL468" s="24">
        <f>INDEX(EnergyCons!$F$4:$F$5000,MATCH(Settings!$C$4&amp;"|"&amp;AL$5&amp;"|"&amp;$C468&amp;"|"&amp;$B468,EnergyCons!$A$4:$A$5000,0))</f>
        <v/>
      </c>
      <c r="AM468" s="25">
        <f>AL468*(1/(1+INDEX($Q468:$AJ468,1,(AM$4-1)*5+4)))^(1+INDEX($Q468:$AJ468,1,(AM$4-1)*5+2))*(1+AM$7)^INDEX($Q468:$AJ468,1,(AM$4-1)*5+1)*(AM338/AL338)^INDEX($Q468:$AJ468,1,(AM$4-1)*5+2)*(AM338/AL338)^(INDEX($Q468:$AJ468,1,(AM$4-1)*5+3)*(1+INDEX($Q468:$AJ468,1,(AM$4-1)*5+2)))</f>
        <v/>
      </c>
      <c r="AN468" s="25">
        <f>AM468*(1/(1+INDEX($Q468:$AJ468,1,(AN$4-1)*5+4)))^(1+INDEX($Q468:$AJ468,1,(AN$4-1)*5+2))*(1+AN$7)^INDEX($Q468:$AJ468,1,(AN$4-1)*5+1)*(AN338/AM338)^INDEX($Q468:$AJ468,1,(AN$4-1)*5+2)*(AN338/AM338)^(INDEX($Q468:$AJ468,1,(AN$4-1)*5+3)*(1+INDEX($Q468:$AJ468,1,(AN$4-1)*5+2)))</f>
        <v/>
      </c>
      <c r="AO468" s="25">
        <f>AN468*(1/(1+INDEX($Q468:$AJ468,1,(AO$4-1)*5+4)))^(1+INDEX($Q468:$AJ468,1,(AO$4-1)*5+2))*(1+AO$7)^INDEX($Q468:$AJ468,1,(AO$4-1)*5+1)*(AO338/AN338)^INDEX($Q468:$AJ468,1,(AO$4-1)*5+2)*(AO338/AN338)^(INDEX($Q468:$AJ468,1,(AO$4-1)*5+3)*(1+INDEX($Q468:$AJ468,1,(AO$4-1)*5+2)))</f>
        <v/>
      </c>
      <c r="AP468" s="25">
        <f>AO468*(1/(1+INDEX($Q468:$AJ468,1,(AP$4-1)*5+4)))^(1+INDEX($Q468:$AJ468,1,(AP$4-1)*5+2))*(1+AP$7)^INDEX($Q468:$AJ468,1,(AP$4-1)*5+1)*(AP338/AO338)^INDEX($Q468:$AJ468,1,(AP$4-1)*5+2)*(AP338/AO338)^(INDEX($Q468:$AJ468,1,(AP$4-1)*5+3)*(1+INDEX($Q468:$AJ468,1,(AP$4-1)*5+2)))</f>
        <v/>
      </c>
      <c r="AQ468" s="25">
        <f>AP468*(1/(1+INDEX($Q468:$AJ468,1,(AQ$4-1)*5+4)))^(1+INDEX($Q468:$AJ468,1,(AQ$4-1)*5+2))*(1+AQ$7)^INDEX($Q468:$AJ468,1,(AQ$4-1)*5+1)*(AQ338/AP338)^INDEX($Q468:$AJ468,1,(AQ$4-1)*5+2)*(AQ338/AP338)^(INDEX($Q468:$AJ468,1,(AQ$4-1)*5+3)*(1+INDEX($Q468:$AJ468,1,(AQ$4-1)*5+2)))</f>
        <v/>
      </c>
      <c r="AR468" s="25">
        <f>AQ468*(1/(1+INDEX($Q468:$AJ468,1,(AR$4-1)*5+4)))^(1+INDEX($Q468:$AJ468,1,(AR$4-1)*5+2))*(1+AR$7)^INDEX($Q468:$AJ468,1,(AR$4-1)*5+1)*(AR338/AQ338)^INDEX($Q468:$AJ468,1,(AR$4-1)*5+2)*(AR338/AQ338)^(INDEX($Q468:$AJ468,1,(AR$4-1)*5+3)*(1+INDEX($Q468:$AJ468,1,(AR$4-1)*5+2)))</f>
        <v/>
      </c>
      <c r="AS468" s="25">
        <f>AR468*(1/(1+INDEX($Q468:$AJ468,1,(AS$4-1)*5+4)))^(1+INDEX($Q468:$AJ468,1,(AS$4-1)*5+2))*(1+AS$7)^INDEX($Q468:$AJ468,1,(AS$4-1)*5+1)*(AS338/AR338)^INDEX($Q468:$AJ468,1,(AS$4-1)*5+2)*(AS338/AR338)^(INDEX($Q468:$AJ468,1,(AS$4-1)*5+3)*(1+INDEX($Q468:$AJ468,1,(AS$4-1)*5+2)))</f>
        <v/>
      </c>
      <c r="AT468" s="25">
        <f>AS468*(1/(1+INDEX($Q468:$AJ468,1,(AT$4-1)*5+4)))^(1+INDEX($Q468:$AJ468,1,(AT$4-1)*5+2))*(1+AT$7)^INDEX($Q468:$AJ468,1,(AT$4-1)*5+1)*(AT338/AS338)^INDEX($Q468:$AJ468,1,(AT$4-1)*5+2)*(AT338/AS338)^(INDEX($Q468:$AJ468,1,(AT$4-1)*5+3)*(1+INDEX($Q468:$AJ468,1,(AT$4-1)*5+2)))</f>
        <v/>
      </c>
      <c r="AU468" s="25">
        <f>AT468*(1/(1+INDEX($Q468:$AJ468,1,(AU$4-1)*5+4)))^(1+INDEX($Q468:$AJ468,1,(AU$4-1)*5+2))*(1+AU$7)^INDEX($Q468:$AJ468,1,(AU$4-1)*5+1)*(AU338/AT338)^INDEX($Q468:$AJ468,1,(AU$4-1)*5+2)*(AU338/AT338)^(INDEX($Q468:$AJ468,1,(AU$4-1)*5+3)*(1+INDEX($Q468:$AJ468,1,(AU$4-1)*5+2)))</f>
        <v/>
      </c>
      <c r="AV468" s="25">
        <f>AU468*(1/(1+INDEX($Q468:$AJ468,1,(AV$4-1)*5+4)))^(1+INDEX($Q468:$AJ468,1,(AV$4-1)*5+2))*(1+AV$7)^INDEX($Q468:$AJ468,1,(AV$4-1)*5+1)*(AV338/AU338)^INDEX($Q468:$AJ468,1,(AV$4-1)*5+2)*(AV338/AU338)^(INDEX($Q468:$AJ468,1,(AV$4-1)*5+3)*(1+INDEX($Q468:$AJ468,1,(AV$4-1)*5+2)))</f>
        <v/>
      </c>
      <c r="AW468" s="25">
        <f>AV468*(1/(1+INDEX($Q468:$AJ468,1,(AW$4-1)*5+4)))^(1+INDEX($Q468:$AJ468,1,(AW$4-1)*5+2))*(1+AW$7)^INDEX($Q468:$AJ468,1,(AW$4-1)*5+1)*(AW338/AV338)^INDEX($Q468:$AJ468,1,(AW$4-1)*5+2)*(AW338/AV338)^(INDEX($Q468:$AJ468,1,(AW$4-1)*5+3)*(1+INDEX($Q468:$AJ468,1,(AW$4-1)*5+2)))</f>
        <v/>
      </c>
      <c r="AX468" s="25">
        <f>AW468*(1/(1+INDEX($Q468:$AJ468,1,(AX$4-1)*5+4)))^(1+INDEX($Q468:$AJ468,1,(AX$4-1)*5+2))*(1+AX$7)^INDEX($Q468:$AJ468,1,(AX$4-1)*5+1)*(AX338/AW338)^INDEX($Q468:$AJ468,1,(AX$4-1)*5+2)*(AX338/AW338)^(INDEX($Q468:$AJ468,1,(AX$4-1)*5+3)*(1+INDEX($Q468:$AJ468,1,(AX$4-1)*5+2)))</f>
        <v/>
      </c>
      <c r="AY468" s="25">
        <f>AX468*(1/(1+INDEX($Q468:$AJ468,1,(AY$4-1)*5+4)))^(1+INDEX($Q468:$AJ468,1,(AY$4-1)*5+2))*(1+AY$7)^INDEX($Q468:$AJ468,1,(AY$4-1)*5+1)*(AY338/AX338)^INDEX($Q468:$AJ468,1,(AY$4-1)*5+2)*(AY338/AX338)^(INDEX($Q468:$AJ468,1,(AY$4-1)*5+3)*(1+INDEX($Q468:$AJ468,1,(AY$4-1)*5+2)))</f>
        <v/>
      </c>
      <c r="BA468" s="24">
        <f>INDEX(EnergyCons!$F$4:$F$5000,MATCH(Settings!$C$4&amp;"|"&amp;BA$5&amp;"|"&amp;$C468&amp;"|"&amp;$B468,EnergyCons!$A$4:$A$5000,0))</f>
        <v/>
      </c>
      <c r="BB468" s="25">
        <f>BA468*(1/(1+INDEX($Q468:$AJ468,1,(BB$4-1)*5+4)))^(1+INDEX($Q468:$AJ468,1,(BB$4-1)*5+2))*(1+BB$7)^INDEX($Q468:$AJ468,1,(BB$4-1)*5+1)*(BB338/BA338)^INDEX($Q468:$AJ468,1,(BB$4-1)*5+2)*(BB338/BA338)^(INDEX($Q468:$AJ468,1,(BB$4-1)*5+3)*(1+INDEX($Q468:$AJ468,1,(BB$4-1)*5+2)))</f>
        <v/>
      </c>
      <c r="BC468" s="25">
        <f>BB468*(1/(1+INDEX($Q468:$AJ468,1,(BC$4-1)*5+4)))^(1+INDEX($Q468:$AJ468,1,(BC$4-1)*5+2))*(1+BC$7)^INDEX($Q468:$AJ468,1,(BC$4-1)*5+1)*(BC338/BB338)^INDEX($Q468:$AJ468,1,(BC$4-1)*5+2)*(BC338/BB338)^(INDEX($Q468:$AJ468,1,(BC$4-1)*5+3)*(1+INDEX($Q468:$AJ468,1,(BC$4-1)*5+2)))</f>
        <v/>
      </c>
      <c r="BD468" s="25">
        <f>BC468*(1/(1+INDEX($Q468:$AJ468,1,(BD$4-1)*5+4)))^(1+INDEX($Q468:$AJ468,1,(BD$4-1)*5+2))*(1+BD$7)^INDEX($Q468:$AJ468,1,(BD$4-1)*5+1)*(BD338/BC338)^INDEX($Q468:$AJ468,1,(BD$4-1)*5+2)*(BD338/BC338)^(INDEX($Q468:$AJ468,1,(BD$4-1)*5+3)*(1+INDEX($Q468:$AJ468,1,(BD$4-1)*5+2)))</f>
        <v/>
      </c>
      <c r="BE468" s="25">
        <f>BD468*(1/(1+INDEX($Q468:$AJ468,1,(BE$4-1)*5+4)))^(1+INDEX($Q468:$AJ468,1,(BE$4-1)*5+2))*(1+BE$7)^INDEX($Q468:$AJ468,1,(BE$4-1)*5+1)*(BE338/BD338)^INDEX($Q468:$AJ468,1,(BE$4-1)*5+2)*(BE338/BD338)^(INDEX($Q468:$AJ468,1,(BE$4-1)*5+3)*(1+INDEX($Q468:$AJ468,1,(BE$4-1)*5+2)))</f>
        <v/>
      </c>
      <c r="BF468" s="25">
        <f>BE468*(1/(1+INDEX($Q468:$AJ468,1,(BF$4-1)*5+4)))^(1+INDEX($Q468:$AJ468,1,(BF$4-1)*5+2))*(1+BF$7)^INDEX($Q468:$AJ468,1,(BF$4-1)*5+1)*(BF338/BE338)^INDEX($Q468:$AJ468,1,(BF$4-1)*5+2)*(BF338/BE338)^(INDEX($Q468:$AJ468,1,(BF$4-1)*5+3)*(1+INDEX($Q468:$AJ468,1,(BF$4-1)*5+2)))</f>
        <v/>
      </c>
      <c r="BG468" s="25">
        <f>BF468*(1/(1+INDEX($Q468:$AJ468,1,(BG$4-1)*5+4)))^(1+INDEX($Q468:$AJ468,1,(BG$4-1)*5+2))*(1+BG$7)^INDEX($Q468:$AJ468,1,(BG$4-1)*5+1)*(BG338/BF338)^INDEX($Q468:$AJ468,1,(BG$4-1)*5+2)*(BG338/BF338)^(INDEX($Q468:$AJ468,1,(BG$4-1)*5+3)*(1+INDEX($Q468:$AJ468,1,(BG$4-1)*5+2)))</f>
        <v/>
      </c>
      <c r="BH468" s="25">
        <f>BG468*(1/(1+INDEX($Q468:$AJ468,1,(BH$4-1)*5+4)))^(1+INDEX($Q468:$AJ468,1,(BH$4-1)*5+2))*(1+BH$7)^INDEX($Q468:$AJ468,1,(BH$4-1)*5+1)*(BH338/BG338)^INDEX($Q468:$AJ468,1,(BH$4-1)*5+2)*(BH338/BG338)^(INDEX($Q468:$AJ468,1,(BH$4-1)*5+3)*(1+INDEX($Q468:$AJ468,1,(BH$4-1)*5+2)))</f>
        <v/>
      </c>
      <c r="BI468" s="25">
        <f>BH468*(1/(1+INDEX($Q468:$AJ468,1,(BI$4-1)*5+4)))^(1+INDEX($Q468:$AJ468,1,(BI$4-1)*5+2))*(1+BI$7)^INDEX($Q468:$AJ468,1,(BI$4-1)*5+1)*(BI338/BH338)^INDEX($Q468:$AJ468,1,(BI$4-1)*5+2)*(BI338/BH338)^(INDEX($Q468:$AJ468,1,(BI$4-1)*5+3)*(1+INDEX($Q468:$AJ468,1,(BI$4-1)*5+2)))</f>
        <v/>
      </c>
      <c r="BJ468" s="25">
        <f>BI468*(1/(1+INDEX($Q468:$AJ468,1,(BJ$4-1)*5+4)))^(1+INDEX($Q468:$AJ468,1,(BJ$4-1)*5+2))*(1+BJ$7)^INDEX($Q468:$AJ468,1,(BJ$4-1)*5+1)*(BJ338/BI338)^INDEX($Q468:$AJ468,1,(BJ$4-1)*5+2)*(BJ338/BI338)^(INDEX($Q468:$AJ468,1,(BJ$4-1)*5+3)*(1+INDEX($Q468:$AJ468,1,(BJ$4-1)*5+2)))</f>
        <v/>
      </c>
      <c r="BK468" s="25">
        <f>BJ468*(1/(1+INDEX($Q468:$AJ468,1,(BK$4-1)*5+4)))^(1+INDEX($Q468:$AJ468,1,(BK$4-1)*5+2))*(1+BK$7)^INDEX($Q468:$AJ468,1,(BK$4-1)*5+1)*(BK338/BJ338)^INDEX($Q468:$AJ468,1,(BK$4-1)*5+2)*(BK338/BJ338)^(INDEX($Q468:$AJ468,1,(BK$4-1)*5+3)*(1+INDEX($Q468:$AJ468,1,(BK$4-1)*5+2)))</f>
        <v/>
      </c>
      <c r="BL468" s="25">
        <f>BK468*(1/(1+INDEX($Q468:$AJ468,1,(BL$4-1)*5+4)))^(1+INDEX($Q468:$AJ468,1,(BL$4-1)*5+2))*(1+BL$7)^INDEX($Q468:$AJ468,1,(BL$4-1)*5+1)*(BL338/BK338)^INDEX($Q468:$AJ468,1,(BL$4-1)*5+2)*(BL338/BK338)^(INDEX($Q468:$AJ468,1,(BL$4-1)*5+3)*(1+INDEX($Q468:$AJ468,1,(BL$4-1)*5+2)))</f>
        <v/>
      </c>
      <c r="BM468" s="25">
        <f>BL468*(1/(1+INDEX($Q468:$AJ468,1,(BM$4-1)*5+4)))^(1+INDEX($Q468:$AJ468,1,(BM$4-1)*5+2))*(1+BM$7)^INDEX($Q468:$AJ468,1,(BM$4-1)*5+1)*(BM338/BL338)^INDEX($Q468:$AJ468,1,(BM$4-1)*5+2)*(BM338/BL338)^(INDEX($Q468:$AJ468,1,(BM$4-1)*5+3)*(1+INDEX($Q468:$AJ468,1,(BM$4-1)*5+2)))</f>
        <v/>
      </c>
      <c r="BN468" s="25">
        <f>BM468*(1/(1+INDEX($Q468:$AJ468,1,(BN$4-1)*5+4)))^(1+INDEX($Q468:$AJ468,1,(BN$4-1)*5+2))*(1+BN$7)^INDEX($Q468:$AJ468,1,(BN$4-1)*5+1)*(BN338/BM338)^INDEX($Q468:$AJ468,1,(BN$4-1)*5+2)*(BN338/BM338)^(INDEX($Q468:$AJ468,1,(BN$4-1)*5+3)*(1+INDEX($Q468:$AJ468,1,(BN$4-1)*5+2)))</f>
        <v/>
      </c>
    </row>
    <row r="469">
      <c r="B469" s="5" t="inlineStr">
        <is>
          <t>lpg</t>
        </is>
      </c>
      <c r="C469" s="5" t="inlineStr">
        <is>
          <t>irn</t>
        </is>
      </c>
      <c r="D469" s="5" t="inlineStr">
        <is>
          <t>Fuel use | Iron &amp; steel | LPG</t>
        </is>
      </c>
      <c r="E469" s="5" t="inlineStr">
        <is>
          <t>ktoe</t>
        </is>
      </c>
      <c r="F469" s="5" t="inlineStr">
        <is>
          <t>EnergyCons (base year), Elasticities</t>
        </is>
      </c>
      <c r="G469" s="19" t="inlineStr">
        <is>
          <t>mit.enc.lpg.irn</t>
        </is>
      </c>
      <c r="H469" s="19" t="inlineStr">
        <is>
          <t>mit.enc.lpg.irn</t>
        </is>
      </c>
      <c r="J469" s="5">
        <f>INDEX(Mapping!$C$5:$C$20,MATCH($C469,Mapping!$A$5:$A$20,0))</f>
        <v/>
      </c>
      <c r="K469" s="5">
        <f>INDEX(Mapping!$D$5:$D$20,MATCH($C469,Mapping!$A$5:$A$20,0))</f>
        <v/>
      </c>
      <c r="L469" s="5">
        <f>INDEX(Mapping!$C$24:$C$31,MATCH($B469,Mapping!$A$24:$A$31,0))</f>
        <v/>
      </c>
      <c r="M469" s="5">
        <f>INDEX(Mapping!$D$24:$D$31,MATCH($B469,Mapping!$A$24:$A$31,0))</f>
        <v/>
      </c>
      <c r="N469" s="5">
        <f>$B469&amp;"."&amp;IF(INDEX(Mapping!$E$24:$E$31,MATCH($B469,Mapping!$A$24:$A$31,0))="sub",INDEX(Mapping!$F$5:$F$20,MATCH($C469,Mapping!$A$5:$A$20,0)),"all")</f>
        <v/>
      </c>
      <c r="O469" s="5">
        <f>INDEX(Mapping!$E$5:$E$20,MATCH($C469,Mapping!$A$5:$A$20,0))</f>
        <v/>
      </c>
      <c r="P469" s="5">
        <f>INDEX(Mapping!$G$24:$G$31,MATCH($B469,Mapping!$A$24:$A$31,0))</f>
        <v/>
      </c>
      <c r="Q469" s="22">
        <f>INDEX(Elasticities!$F$4:$I$200,MATCH("inc|"&amp;$L469&amp;"|"&amp;$K469,Elasticities!$A$4:$A$200,0),MATCH(Settings!$C$6,Elasticities!$F$3:$I$3,0))</f>
        <v/>
      </c>
      <c r="R469" s="22">
        <f>INDEX(Elasticities!$F$4:$I$200,MATCH("usg|"&amp;$L469&amp;"|"&amp;$K469,Elasticities!$A$4:$A$200,0),MATCH(Settings!$C$6,Elasticities!$F$3:$I$3,0))</f>
        <v/>
      </c>
      <c r="S469" s="22">
        <f>INDEX(Elasticities!$F$4:$I$200,MATCH("eff|"&amp;$L469&amp;"|"&amp;$K469,Elasticities!$A$4:$A$200,0),MATCH(Settings!$C$6,Elasticities!$F$3:$I$3,0))</f>
        <v/>
      </c>
      <c r="T469" s="22">
        <f>INDEX(Elasticities!$F$4:$I$200,MATCH("aei|"&amp;$M469&amp;"|"&amp;$K469,Elasticities!$A$4:$A$200,0),MATCH(Settings!$C$6,Elasticities!$F$3:$I$3,0))</f>
        <v/>
      </c>
      <c r="U469" s="21" t="n"/>
      <c r="V469" s="22">
        <f>Q469</f>
        <v/>
      </c>
      <c r="W469" s="22">
        <f>R469</f>
        <v/>
      </c>
      <c r="X469" s="22">
        <f>S469</f>
        <v/>
      </c>
      <c r="Y469" s="22">
        <f>T469</f>
        <v/>
      </c>
      <c r="Z469" s="21" t="n"/>
      <c r="AA469" s="22">
        <f>Q469</f>
        <v/>
      </c>
      <c r="AB469" s="22">
        <f>R469</f>
        <v/>
      </c>
      <c r="AC469" s="22">
        <f>S469</f>
        <v/>
      </c>
      <c r="AD469" s="22">
        <f>T469</f>
        <v/>
      </c>
      <c r="AE469" s="21" t="n"/>
      <c r="AF469" s="22">
        <f>Q469</f>
        <v/>
      </c>
      <c r="AG469" s="22">
        <f>R469</f>
        <v/>
      </c>
      <c r="AH469" s="22">
        <f>S469</f>
        <v/>
      </c>
      <c r="AI469" s="22">
        <f>T469</f>
        <v/>
      </c>
      <c r="AJ469" s="21" t="n"/>
      <c r="AL469" s="24">
        <f>INDEX(EnergyCons!$F$4:$F$5000,MATCH(Settings!$C$4&amp;"|"&amp;AL$5&amp;"|"&amp;$C469&amp;"|"&amp;$B469,EnergyCons!$A$4:$A$5000,0))</f>
        <v/>
      </c>
      <c r="AM469" s="25">
        <f>AL469*(1/(1+INDEX($Q469:$AJ469,1,(AM$4-1)*5+4)))^(1+INDEX($Q469:$AJ469,1,(AM$4-1)*5+2))*(1+AM$7)^INDEX($Q469:$AJ469,1,(AM$4-1)*5+1)*(AM339/AL339)^INDEX($Q469:$AJ469,1,(AM$4-1)*5+2)*(AM339/AL339)^(INDEX($Q469:$AJ469,1,(AM$4-1)*5+3)*(1+INDEX($Q469:$AJ469,1,(AM$4-1)*5+2)))</f>
        <v/>
      </c>
      <c r="AN469" s="25">
        <f>AM469*(1/(1+INDEX($Q469:$AJ469,1,(AN$4-1)*5+4)))^(1+INDEX($Q469:$AJ469,1,(AN$4-1)*5+2))*(1+AN$7)^INDEX($Q469:$AJ469,1,(AN$4-1)*5+1)*(AN339/AM339)^INDEX($Q469:$AJ469,1,(AN$4-1)*5+2)*(AN339/AM339)^(INDEX($Q469:$AJ469,1,(AN$4-1)*5+3)*(1+INDEX($Q469:$AJ469,1,(AN$4-1)*5+2)))</f>
        <v/>
      </c>
      <c r="AO469" s="25">
        <f>AN469*(1/(1+INDEX($Q469:$AJ469,1,(AO$4-1)*5+4)))^(1+INDEX($Q469:$AJ469,1,(AO$4-1)*5+2))*(1+AO$7)^INDEX($Q469:$AJ469,1,(AO$4-1)*5+1)*(AO339/AN339)^INDEX($Q469:$AJ469,1,(AO$4-1)*5+2)*(AO339/AN339)^(INDEX($Q469:$AJ469,1,(AO$4-1)*5+3)*(1+INDEX($Q469:$AJ469,1,(AO$4-1)*5+2)))</f>
        <v/>
      </c>
      <c r="AP469" s="25">
        <f>AO469*(1/(1+INDEX($Q469:$AJ469,1,(AP$4-1)*5+4)))^(1+INDEX($Q469:$AJ469,1,(AP$4-1)*5+2))*(1+AP$7)^INDEX($Q469:$AJ469,1,(AP$4-1)*5+1)*(AP339/AO339)^INDEX($Q469:$AJ469,1,(AP$4-1)*5+2)*(AP339/AO339)^(INDEX($Q469:$AJ469,1,(AP$4-1)*5+3)*(1+INDEX($Q469:$AJ469,1,(AP$4-1)*5+2)))</f>
        <v/>
      </c>
      <c r="AQ469" s="25">
        <f>AP469*(1/(1+INDEX($Q469:$AJ469,1,(AQ$4-1)*5+4)))^(1+INDEX($Q469:$AJ469,1,(AQ$4-1)*5+2))*(1+AQ$7)^INDEX($Q469:$AJ469,1,(AQ$4-1)*5+1)*(AQ339/AP339)^INDEX($Q469:$AJ469,1,(AQ$4-1)*5+2)*(AQ339/AP339)^(INDEX($Q469:$AJ469,1,(AQ$4-1)*5+3)*(1+INDEX($Q469:$AJ469,1,(AQ$4-1)*5+2)))</f>
        <v/>
      </c>
      <c r="AR469" s="25">
        <f>AQ469*(1/(1+INDEX($Q469:$AJ469,1,(AR$4-1)*5+4)))^(1+INDEX($Q469:$AJ469,1,(AR$4-1)*5+2))*(1+AR$7)^INDEX($Q469:$AJ469,1,(AR$4-1)*5+1)*(AR339/AQ339)^INDEX($Q469:$AJ469,1,(AR$4-1)*5+2)*(AR339/AQ339)^(INDEX($Q469:$AJ469,1,(AR$4-1)*5+3)*(1+INDEX($Q469:$AJ469,1,(AR$4-1)*5+2)))</f>
        <v/>
      </c>
      <c r="AS469" s="25">
        <f>AR469*(1/(1+INDEX($Q469:$AJ469,1,(AS$4-1)*5+4)))^(1+INDEX($Q469:$AJ469,1,(AS$4-1)*5+2))*(1+AS$7)^INDEX($Q469:$AJ469,1,(AS$4-1)*5+1)*(AS339/AR339)^INDEX($Q469:$AJ469,1,(AS$4-1)*5+2)*(AS339/AR339)^(INDEX($Q469:$AJ469,1,(AS$4-1)*5+3)*(1+INDEX($Q469:$AJ469,1,(AS$4-1)*5+2)))</f>
        <v/>
      </c>
      <c r="AT469" s="25">
        <f>AS469*(1/(1+INDEX($Q469:$AJ469,1,(AT$4-1)*5+4)))^(1+INDEX($Q469:$AJ469,1,(AT$4-1)*5+2))*(1+AT$7)^INDEX($Q469:$AJ469,1,(AT$4-1)*5+1)*(AT339/AS339)^INDEX($Q469:$AJ469,1,(AT$4-1)*5+2)*(AT339/AS339)^(INDEX($Q469:$AJ469,1,(AT$4-1)*5+3)*(1+INDEX($Q469:$AJ469,1,(AT$4-1)*5+2)))</f>
        <v/>
      </c>
      <c r="AU469" s="25">
        <f>AT469*(1/(1+INDEX($Q469:$AJ469,1,(AU$4-1)*5+4)))^(1+INDEX($Q469:$AJ469,1,(AU$4-1)*5+2))*(1+AU$7)^INDEX($Q469:$AJ469,1,(AU$4-1)*5+1)*(AU339/AT339)^INDEX($Q469:$AJ469,1,(AU$4-1)*5+2)*(AU339/AT339)^(INDEX($Q469:$AJ469,1,(AU$4-1)*5+3)*(1+INDEX($Q469:$AJ469,1,(AU$4-1)*5+2)))</f>
        <v/>
      </c>
      <c r="AV469" s="25">
        <f>AU469*(1/(1+INDEX($Q469:$AJ469,1,(AV$4-1)*5+4)))^(1+INDEX($Q469:$AJ469,1,(AV$4-1)*5+2))*(1+AV$7)^INDEX($Q469:$AJ469,1,(AV$4-1)*5+1)*(AV339/AU339)^INDEX($Q469:$AJ469,1,(AV$4-1)*5+2)*(AV339/AU339)^(INDEX($Q469:$AJ469,1,(AV$4-1)*5+3)*(1+INDEX($Q469:$AJ469,1,(AV$4-1)*5+2)))</f>
        <v/>
      </c>
      <c r="AW469" s="25">
        <f>AV469*(1/(1+INDEX($Q469:$AJ469,1,(AW$4-1)*5+4)))^(1+INDEX($Q469:$AJ469,1,(AW$4-1)*5+2))*(1+AW$7)^INDEX($Q469:$AJ469,1,(AW$4-1)*5+1)*(AW339/AV339)^INDEX($Q469:$AJ469,1,(AW$4-1)*5+2)*(AW339/AV339)^(INDEX($Q469:$AJ469,1,(AW$4-1)*5+3)*(1+INDEX($Q469:$AJ469,1,(AW$4-1)*5+2)))</f>
        <v/>
      </c>
      <c r="AX469" s="25">
        <f>AW469*(1/(1+INDEX($Q469:$AJ469,1,(AX$4-1)*5+4)))^(1+INDEX($Q469:$AJ469,1,(AX$4-1)*5+2))*(1+AX$7)^INDEX($Q469:$AJ469,1,(AX$4-1)*5+1)*(AX339/AW339)^INDEX($Q469:$AJ469,1,(AX$4-1)*5+2)*(AX339/AW339)^(INDEX($Q469:$AJ469,1,(AX$4-1)*5+3)*(1+INDEX($Q469:$AJ469,1,(AX$4-1)*5+2)))</f>
        <v/>
      </c>
      <c r="AY469" s="25">
        <f>AX469*(1/(1+INDEX($Q469:$AJ469,1,(AY$4-1)*5+4)))^(1+INDEX($Q469:$AJ469,1,(AY$4-1)*5+2))*(1+AY$7)^INDEX($Q469:$AJ469,1,(AY$4-1)*5+1)*(AY339/AX339)^INDEX($Q469:$AJ469,1,(AY$4-1)*5+2)*(AY339/AX339)^(INDEX($Q469:$AJ469,1,(AY$4-1)*5+3)*(1+INDEX($Q469:$AJ469,1,(AY$4-1)*5+2)))</f>
        <v/>
      </c>
      <c r="BA469" s="24">
        <f>INDEX(EnergyCons!$F$4:$F$5000,MATCH(Settings!$C$4&amp;"|"&amp;BA$5&amp;"|"&amp;$C469&amp;"|"&amp;$B469,EnergyCons!$A$4:$A$5000,0))</f>
        <v/>
      </c>
      <c r="BB469" s="25">
        <f>BA469*(1/(1+INDEX($Q469:$AJ469,1,(BB$4-1)*5+4)))^(1+INDEX($Q469:$AJ469,1,(BB$4-1)*5+2))*(1+BB$7)^INDEX($Q469:$AJ469,1,(BB$4-1)*5+1)*(BB339/BA339)^INDEX($Q469:$AJ469,1,(BB$4-1)*5+2)*(BB339/BA339)^(INDEX($Q469:$AJ469,1,(BB$4-1)*5+3)*(1+INDEX($Q469:$AJ469,1,(BB$4-1)*5+2)))</f>
        <v/>
      </c>
      <c r="BC469" s="25">
        <f>BB469*(1/(1+INDEX($Q469:$AJ469,1,(BC$4-1)*5+4)))^(1+INDEX($Q469:$AJ469,1,(BC$4-1)*5+2))*(1+BC$7)^INDEX($Q469:$AJ469,1,(BC$4-1)*5+1)*(BC339/BB339)^INDEX($Q469:$AJ469,1,(BC$4-1)*5+2)*(BC339/BB339)^(INDEX($Q469:$AJ469,1,(BC$4-1)*5+3)*(1+INDEX($Q469:$AJ469,1,(BC$4-1)*5+2)))</f>
        <v/>
      </c>
      <c r="BD469" s="25">
        <f>BC469*(1/(1+INDEX($Q469:$AJ469,1,(BD$4-1)*5+4)))^(1+INDEX($Q469:$AJ469,1,(BD$4-1)*5+2))*(1+BD$7)^INDEX($Q469:$AJ469,1,(BD$4-1)*5+1)*(BD339/BC339)^INDEX($Q469:$AJ469,1,(BD$4-1)*5+2)*(BD339/BC339)^(INDEX($Q469:$AJ469,1,(BD$4-1)*5+3)*(1+INDEX($Q469:$AJ469,1,(BD$4-1)*5+2)))</f>
        <v/>
      </c>
      <c r="BE469" s="25">
        <f>BD469*(1/(1+INDEX($Q469:$AJ469,1,(BE$4-1)*5+4)))^(1+INDEX($Q469:$AJ469,1,(BE$4-1)*5+2))*(1+BE$7)^INDEX($Q469:$AJ469,1,(BE$4-1)*5+1)*(BE339/BD339)^INDEX($Q469:$AJ469,1,(BE$4-1)*5+2)*(BE339/BD339)^(INDEX($Q469:$AJ469,1,(BE$4-1)*5+3)*(1+INDEX($Q469:$AJ469,1,(BE$4-1)*5+2)))</f>
        <v/>
      </c>
      <c r="BF469" s="25">
        <f>BE469*(1/(1+INDEX($Q469:$AJ469,1,(BF$4-1)*5+4)))^(1+INDEX($Q469:$AJ469,1,(BF$4-1)*5+2))*(1+BF$7)^INDEX($Q469:$AJ469,1,(BF$4-1)*5+1)*(BF339/BE339)^INDEX($Q469:$AJ469,1,(BF$4-1)*5+2)*(BF339/BE339)^(INDEX($Q469:$AJ469,1,(BF$4-1)*5+3)*(1+INDEX($Q469:$AJ469,1,(BF$4-1)*5+2)))</f>
        <v/>
      </c>
      <c r="BG469" s="25">
        <f>BF469*(1/(1+INDEX($Q469:$AJ469,1,(BG$4-1)*5+4)))^(1+INDEX($Q469:$AJ469,1,(BG$4-1)*5+2))*(1+BG$7)^INDEX($Q469:$AJ469,1,(BG$4-1)*5+1)*(BG339/BF339)^INDEX($Q469:$AJ469,1,(BG$4-1)*5+2)*(BG339/BF339)^(INDEX($Q469:$AJ469,1,(BG$4-1)*5+3)*(1+INDEX($Q469:$AJ469,1,(BG$4-1)*5+2)))</f>
        <v/>
      </c>
      <c r="BH469" s="25">
        <f>BG469*(1/(1+INDEX($Q469:$AJ469,1,(BH$4-1)*5+4)))^(1+INDEX($Q469:$AJ469,1,(BH$4-1)*5+2))*(1+BH$7)^INDEX($Q469:$AJ469,1,(BH$4-1)*5+1)*(BH339/BG339)^INDEX($Q469:$AJ469,1,(BH$4-1)*5+2)*(BH339/BG339)^(INDEX($Q469:$AJ469,1,(BH$4-1)*5+3)*(1+INDEX($Q469:$AJ469,1,(BH$4-1)*5+2)))</f>
        <v/>
      </c>
      <c r="BI469" s="25">
        <f>BH469*(1/(1+INDEX($Q469:$AJ469,1,(BI$4-1)*5+4)))^(1+INDEX($Q469:$AJ469,1,(BI$4-1)*5+2))*(1+BI$7)^INDEX($Q469:$AJ469,1,(BI$4-1)*5+1)*(BI339/BH339)^INDEX($Q469:$AJ469,1,(BI$4-1)*5+2)*(BI339/BH339)^(INDEX($Q469:$AJ469,1,(BI$4-1)*5+3)*(1+INDEX($Q469:$AJ469,1,(BI$4-1)*5+2)))</f>
        <v/>
      </c>
      <c r="BJ469" s="25">
        <f>BI469*(1/(1+INDEX($Q469:$AJ469,1,(BJ$4-1)*5+4)))^(1+INDEX($Q469:$AJ469,1,(BJ$4-1)*5+2))*(1+BJ$7)^INDEX($Q469:$AJ469,1,(BJ$4-1)*5+1)*(BJ339/BI339)^INDEX($Q469:$AJ469,1,(BJ$4-1)*5+2)*(BJ339/BI339)^(INDEX($Q469:$AJ469,1,(BJ$4-1)*5+3)*(1+INDEX($Q469:$AJ469,1,(BJ$4-1)*5+2)))</f>
        <v/>
      </c>
      <c r="BK469" s="25">
        <f>BJ469*(1/(1+INDEX($Q469:$AJ469,1,(BK$4-1)*5+4)))^(1+INDEX($Q469:$AJ469,1,(BK$4-1)*5+2))*(1+BK$7)^INDEX($Q469:$AJ469,1,(BK$4-1)*5+1)*(BK339/BJ339)^INDEX($Q469:$AJ469,1,(BK$4-1)*5+2)*(BK339/BJ339)^(INDEX($Q469:$AJ469,1,(BK$4-1)*5+3)*(1+INDEX($Q469:$AJ469,1,(BK$4-1)*5+2)))</f>
        <v/>
      </c>
      <c r="BL469" s="25">
        <f>BK469*(1/(1+INDEX($Q469:$AJ469,1,(BL$4-1)*5+4)))^(1+INDEX($Q469:$AJ469,1,(BL$4-1)*5+2))*(1+BL$7)^INDEX($Q469:$AJ469,1,(BL$4-1)*5+1)*(BL339/BK339)^INDEX($Q469:$AJ469,1,(BL$4-1)*5+2)*(BL339/BK339)^(INDEX($Q469:$AJ469,1,(BL$4-1)*5+3)*(1+INDEX($Q469:$AJ469,1,(BL$4-1)*5+2)))</f>
        <v/>
      </c>
      <c r="BM469" s="25">
        <f>BL469*(1/(1+INDEX($Q469:$AJ469,1,(BM$4-1)*5+4)))^(1+INDEX($Q469:$AJ469,1,(BM$4-1)*5+2))*(1+BM$7)^INDEX($Q469:$AJ469,1,(BM$4-1)*5+1)*(BM339/BL339)^INDEX($Q469:$AJ469,1,(BM$4-1)*5+2)*(BM339/BL339)^(INDEX($Q469:$AJ469,1,(BM$4-1)*5+3)*(1+INDEX($Q469:$AJ469,1,(BM$4-1)*5+2)))</f>
        <v/>
      </c>
      <c r="BN469" s="25">
        <f>BM469*(1/(1+INDEX($Q469:$AJ469,1,(BN$4-1)*5+4)))^(1+INDEX($Q469:$AJ469,1,(BN$4-1)*5+2))*(1+BN$7)^INDEX($Q469:$AJ469,1,(BN$4-1)*5+1)*(BN339/BM339)^INDEX($Q469:$AJ469,1,(BN$4-1)*5+2)*(BN339/BM339)^(INDEX($Q469:$AJ469,1,(BN$4-1)*5+3)*(1+INDEX($Q469:$AJ469,1,(BN$4-1)*5+2)))</f>
        <v/>
      </c>
    </row>
    <row r="470">
      <c r="B470" s="5" t="inlineStr">
        <is>
          <t>ker</t>
        </is>
      </c>
      <c r="C470" s="5" t="inlineStr">
        <is>
          <t>irn</t>
        </is>
      </c>
      <c r="D470" s="5" t="inlineStr">
        <is>
          <t>Fuel use | Iron &amp; steel | Kerosene</t>
        </is>
      </c>
      <c r="E470" s="5" t="inlineStr">
        <is>
          <t>ktoe</t>
        </is>
      </c>
      <c r="F470" s="5" t="inlineStr">
        <is>
          <t>EnergyCons (base year), Elasticities</t>
        </is>
      </c>
      <c r="G470" s="19" t="inlineStr">
        <is>
          <t>mit.enc.ker.irn</t>
        </is>
      </c>
      <c r="H470" s="19" t="inlineStr">
        <is>
          <t>mit.enc.ker.irn</t>
        </is>
      </c>
      <c r="J470" s="5">
        <f>INDEX(Mapping!$C$5:$C$20,MATCH($C470,Mapping!$A$5:$A$20,0))</f>
        <v/>
      </c>
      <c r="K470" s="5">
        <f>INDEX(Mapping!$D$5:$D$20,MATCH($C470,Mapping!$A$5:$A$20,0))</f>
        <v/>
      </c>
      <c r="L470" s="5">
        <f>INDEX(Mapping!$C$24:$C$31,MATCH($B470,Mapping!$A$24:$A$31,0))</f>
        <v/>
      </c>
      <c r="M470" s="5">
        <f>INDEX(Mapping!$D$24:$D$31,MATCH($B470,Mapping!$A$24:$A$31,0))</f>
        <v/>
      </c>
      <c r="N470" s="5">
        <f>$B470&amp;"."&amp;IF(INDEX(Mapping!$E$24:$E$31,MATCH($B470,Mapping!$A$24:$A$31,0))="sub",INDEX(Mapping!$F$5:$F$20,MATCH($C470,Mapping!$A$5:$A$20,0)),"all")</f>
        <v/>
      </c>
      <c r="O470" s="5">
        <f>INDEX(Mapping!$E$5:$E$20,MATCH($C470,Mapping!$A$5:$A$20,0))</f>
        <v/>
      </c>
      <c r="P470" s="5">
        <f>INDEX(Mapping!$G$24:$G$31,MATCH($B470,Mapping!$A$24:$A$31,0))</f>
        <v/>
      </c>
      <c r="Q470" s="22">
        <f>INDEX(Elasticities!$F$4:$I$200,MATCH("inc|"&amp;$L470&amp;"|"&amp;$K470,Elasticities!$A$4:$A$200,0),MATCH(Settings!$C$6,Elasticities!$F$3:$I$3,0))</f>
        <v/>
      </c>
      <c r="R470" s="22">
        <f>INDEX(Elasticities!$F$4:$I$200,MATCH("usg|"&amp;$L470&amp;"|"&amp;$K470,Elasticities!$A$4:$A$200,0),MATCH(Settings!$C$6,Elasticities!$F$3:$I$3,0))</f>
        <v/>
      </c>
      <c r="S470" s="22">
        <f>INDEX(Elasticities!$F$4:$I$200,MATCH("eff|"&amp;$L470&amp;"|"&amp;$K470,Elasticities!$A$4:$A$200,0),MATCH(Settings!$C$6,Elasticities!$F$3:$I$3,0))</f>
        <v/>
      </c>
      <c r="T470" s="22">
        <f>INDEX(Elasticities!$F$4:$I$200,MATCH("aei|"&amp;$M470&amp;"|"&amp;$K470,Elasticities!$A$4:$A$200,0),MATCH(Settings!$C$6,Elasticities!$F$3:$I$3,0))</f>
        <v/>
      </c>
      <c r="U470" s="21" t="n"/>
      <c r="V470" s="22">
        <f>Q470</f>
        <v/>
      </c>
      <c r="W470" s="22">
        <f>R470</f>
        <v/>
      </c>
      <c r="X470" s="22">
        <f>S470</f>
        <v/>
      </c>
      <c r="Y470" s="22">
        <f>T470</f>
        <v/>
      </c>
      <c r="Z470" s="21" t="n"/>
      <c r="AA470" s="22">
        <f>Q470</f>
        <v/>
      </c>
      <c r="AB470" s="22">
        <f>R470</f>
        <v/>
      </c>
      <c r="AC470" s="22">
        <f>S470</f>
        <v/>
      </c>
      <c r="AD470" s="22">
        <f>T470</f>
        <v/>
      </c>
      <c r="AE470" s="21" t="n"/>
      <c r="AF470" s="22">
        <f>Q470</f>
        <v/>
      </c>
      <c r="AG470" s="22">
        <f>R470</f>
        <v/>
      </c>
      <c r="AH470" s="22">
        <f>S470</f>
        <v/>
      </c>
      <c r="AI470" s="22">
        <f>T470</f>
        <v/>
      </c>
      <c r="AJ470" s="21" t="n"/>
      <c r="AL470" s="24">
        <f>INDEX(EnergyCons!$F$4:$F$5000,MATCH(Settings!$C$4&amp;"|"&amp;AL$5&amp;"|"&amp;$C470&amp;"|"&amp;$B470,EnergyCons!$A$4:$A$5000,0))</f>
        <v/>
      </c>
      <c r="AM470" s="25">
        <f>AL470*(1/(1+INDEX($Q470:$AJ470,1,(AM$4-1)*5+4)))^(1+INDEX($Q470:$AJ470,1,(AM$4-1)*5+2))*(1+AM$7)^INDEX($Q470:$AJ470,1,(AM$4-1)*5+1)*(AM340/AL340)^INDEX($Q470:$AJ470,1,(AM$4-1)*5+2)*(AM340/AL340)^(INDEX($Q470:$AJ470,1,(AM$4-1)*5+3)*(1+INDEX($Q470:$AJ470,1,(AM$4-1)*5+2)))</f>
        <v/>
      </c>
      <c r="AN470" s="25">
        <f>AM470*(1/(1+INDEX($Q470:$AJ470,1,(AN$4-1)*5+4)))^(1+INDEX($Q470:$AJ470,1,(AN$4-1)*5+2))*(1+AN$7)^INDEX($Q470:$AJ470,1,(AN$4-1)*5+1)*(AN340/AM340)^INDEX($Q470:$AJ470,1,(AN$4-1)*5+2)*(AN340/AM340)^(INDEX($Q470:$AJ470,1,(AN$4-1)*5+3)*(1+INDEX($Q470:$AJ470,1,(AN$4-1)*5+2)))</f>
        <v/>
      </c>
      <c r="AO470" s="25">
        <f>AN470*(1/(1+INDEX($Q470:$AJ470,1,(AO$4-1)*5+4)))^(1+INDEX($Q470:$AJ470,1,(AO$4-1)*5+2))*(1+AO$7)^INDEX($Q470:$AJ470,1,(AO$4-1)*5+1)*(AO340/AN340)^INDEX($Q470:$AJ470,1,(AO$4-1)*5+2)*(AO340/AN340)^(INDEX($Q470:$AJ470,1,(AO$4-1)*5+3)*(1+INDEX($Q470:$AJ470,1,(AO$4-1)*5+2)))</f>
        <v/>
      </c>
      <c r="AP470" s="25">
        <f>AO470*(1/(1+INDEX($Q470:$AJ470,1,(AP$4-1)*5+4)))^(1+INDEX($Q470:$AJ470,1,(AP$4-1)*5+2))*(1+AP$7)^INDEX($Q470:$AJ470,1,(AP$4-1)*5+1)*(AP340/AO340)^INDEX($Q470:$AJ470,1,(AP$4-1)*5+2)*(AP340/AO340)^(INDEX($Q470:$AJ470,1,(AP$4-1)*5+3)*(1+INDEX($Q470:$AJ470,1,(AP$4-1)*5+2)))</f>
        <v/>
      </c>
      <c r="AQ470" s="25">
        <f>AP470*(1/(1+INDEX($Q470:$AJ470,1,(AQ$4-1)*5+4)))^(1+INDEX($Q470:$AJ470,1,(AQ$4-1)*5+2))*(1+AQ$7)^INDEX($Q470:$AJ470,1,(AQ$4-1)*5+1)*(AQ340/AP340)^INDEX($Q470:$AJ470,1,(AQ$4-1)*5+2)*(AQ340/AP340)^(INDEX($Q470:$AJ470,1,(AQ$4-1)*5+3)*(1+INDEX($Q470:$AJ470,1,(AQ$4-1)*5+2)))</f>
        <v/>
      </c>
      <c r="AR470" s="25">
        <f>AQ470*(1/(1+INDEX($Q470:$AJ470,1,(AR$4-1)*5+4)))^(1+INDEX($Q470:$AJ470,1,(AR$4-1)*5+2))*(1+AR$7)^INDEX($Q470:$AJ470,1,(AR$4-1)*5+1)*(AR340/AQ340)^INDEX($Q470:$AJ470,1,(AR$4-1)*5+2)*(AR340/AQ340)^(INDEX($Q470:$AJ470,1,(AR$4-1)*5+3)*(1+INDEX($Q470:$AJ470,1,(AR$4-1)*5+2)))</f>
        <v/>
      </c>
      <c r="AS470" s="25">
        <f>AR470*(1/(1+INDEX($Q470:$AJ470,1,(AS$4-1)*5+4)))^(1+INDEX($Q470:$AJ470,1,(AS$4-1)*5+2))*(1+AS$7)^INDEX($Q470:$AJ470,1,(AS$4-1)*5+1)*(AS340/AR340)^INDEX($Q470:$AJ470,1,(AS$4-1)*5+2)*(AS340/AR340)^(INDEX($Q470:$AJ470,1,(AS$4-1)*5+3)*(1+INDEX($Q470:$AJ470,1,(AS$4-1)*5+2)))</f>
        <v/>
      </c>
      <c r="AT470" s="25">
        <f>AS470*(1/(1+INDEX($Q470:$AJ470,1,(AT$4-1)*5+4)))^(1+INDEX($Q470:$AJ470,1,(AT$4-1)*5+2))*(1+AT$7)^INDEX($Q470:$AJ470,1,(AT$4-1)*5+1)*(AT340/AS340)^INDEX($Q470:$AJ470,1,(AT$4-1)*5+2)*(AT340/AS340)^(INDEX($Q470:$AJ470,1,(AT$4-1)*5+3)*(1+INDEX($Q470:$AJ470,1,(AT$4-1)*5+2)))</f>
        <v/>
      </c>
      <c r="AU470" s="25">
        <f>AT470*(1/(1+INDEX($Q470:$AJ470,1,(AU$4-1)*5+4)))^(1+INDEX($Q470:$AJ470,1,(AU$4-1)*5+2))*(1+AU$7)^INDEX($Q470:$AJ470,1,(AU$4-1)*5+1)*(AU340/AT340)^INDEX($Q470:$AJ470,1,(AU$4-1)*5+2)*(AU340/AT340)^(INDEX($Q470:$AJ470,1,(AU$4-1)*5+3)*(1+INDEX($Q470:$AJ470,1,(AU$4-1)*5+2)))</f>
        <v/>
      </c>
      <c r="AV470" s="25">
        <f>AU470*(1/(1+INDEX($Q470:$AJ470,1,(AV$4-1)*5+4)))^(1+INDEX($Q470:$AJ470,1,(AV$4-1)*5+2))*(1+AV$7)^INDEX($Q470:$AJ470,1,(AV$4-1)*5+1)*(AV340/AU340)^INDEX($Q470:$AJ470,1,(AV$4-1)*5+2)*(AV340/AU340)^(INDEX($Q470:$AJ470,1,(AV$4-1)*5+3)*(1+INDEX($Q470:$AJ470,1,(AV$4-1)*5+2)))</f>
        <v/>
      </c>
      <c r="AW470" s="25">
        <f>AV470*(1/(1+INDEX($Q470:$AJ470,1,(AW$4-1)*5+4)))^(1+INDEX($Q470:$AJ470,1,(AW$4-1)*5+2))*(1+AW$7)^INDEX($Q470:$AJ470,1,(AW$4-1)*5+1)*(AW340/AV340)^INDEX($Q470:$AJ470,1,(AW$4-1)*5+2)*(AW340/AV340)^(INDEX($Q470:$AJ470,1,(AW$4-1)*5+3)*(1+INDEX($Q470:$AJ470,1,(AW$4-1)*5+2)))</f>
        <v/>
      </c>
      <c r="AX470" s="25">
        <f>AW470*(1/(1+INDEX($Q470:$AJ470,1,(AX$4-1)*5+4)))^(1+INDEX($Q470:$AJ470,1,(AX$4-1)*5+2))*(1+AX$7)^INDEX($Q470:$AJ470,1,(AX$4-1)*5+1)*(AX340/AW340)^INDEX($Q470:$AJ470,1,(AX$4-1)*5+2)*(AX340/AW340)^(INDEX($Q470:$AJ470,1,(AX$4-1)*5+3)*(1+INDEX($Q470:$AJ470,1,(AX$4-1)*5+2)))</f>
        <v/>
      </c>
      <c r="AY470" s="25">
        <f>AX470*(1/(1+INDEX($Q470:$AJ470,1,(AY$4-1)*5+4)))^(1+INDEX($Q470:$AJ470,1,(AY$4-1)*5+2))*(1+AY$7)^INDEX($Q470:$AJ470,1,(AY$4-1)*5+1)*(AY340/AX340)^INDEX($Q470:$AJ470,1,(AY$4-1)*5+2)*(AY340/AX340)^(INDEX($Q470:$AJ470,1,(AY$4-1)*5+3)*(1+INDEX($Q470:$AJ470,1,(AY$4-1)*5+2)))</f>
        <v/>
      </c>
      <c r="BA470" s="24">
        <f>INDEX(EnergyCons!$F$4:$F$5000,MATCH(Settings!$C$4&amp;"|"&amp;BA$5&amp;"|"&amp;$C470&amp;"|"&amp;$B470,EnergyCons!$A$4:$A$5000,0))</f>
        <v/>
      </c>
      <c r="BB470" s="25">
        <f>BA470*(1/(1+INDEX($Q470:$AJ470,1,(BB$4-1)*5+4)))^(1+INDEX($Q470:$AJ470,1,(BB$4-1)*5+2))*(1+BB$7)^INDEX($Q470:$AJ470,1,(BB$4-1)*5+1)*(BB340/BA340)^INDEX($Q470:$AJ470,1,(BB$4-1)*5+2)*(BB340/BA340)^(INDEX($Q470:$AJ470,1,(BB$4-1)*5+3)*(1+INDEX($Q470:$AJ470,1,(BB$4-1)*5+2)))</f>
        <v/>
      </c>
      <c r="BC470" s="25">
        <f>BB470*(1/(1+INDEX($Q470:$AJ470,1,(BC$4-1)*5+4)))^(1+INDEX($Q470:$AJ470,1,(BC$4-1)*5+2))*(1+BC$7)^INDEX($Q470:$AJ470,1,(BC$4-1)*5+1)*(BC340/BB340)^INDEX($Q470:$AJ470,1,(BC$4-1)*5+2)*(BC340/BB340)^(INDEX($Q470:$AJ470,1,(BC$4-1)*5+3)*(1+INDEX($Q470:$AJ470,1,(BC$4-1)*5+2)))</f>
        <v/>
      </c>
      <c r="BD470" s="25">
        <f>BC470*(1/(1+INDEX($Q470:$AJ470,1,(BD$4-1)*5+4)))^(1+INDEX($Q470:$AJ470,1,(BD$4-1)*5+2))*(1+BD$7)^INDEX($Q470:$AJ470,1,(BD$4-1)*5+1)*(BD340/BC340)^INDEX($Q470:$AJ470,1,(BD$4-1)*5+2)*(BD340/BC340)^(INDEX($Q470:$AJ470,1,(BD$4-1)*5+3)*(1+INDEX($Q470:$AJ470,1,(BD$4-1)*5+2)))</f>
        <v/>
      </c>
      <c r="BE470" s="25">
        <f>BD470*(1/(1+INDEX($Q470:$AJ470,1,(BE$4-1)*5+4)))^(1+INDEX($Q470:$AJ470,1,(BE$4-1)*5+2))*(1+BE$7)^INDEX($Q470:$AJ470,1,(BE$4-1)*5+1)*(BE340/BD340)^INDEX($Q470:$AJ470,1,(BE$4-1)*5+2)*(BE340/BD340)^(INDEX($Q470:$AJ470,1,(BE$4-1)*5+3)*(1+INDEX($Q470:$AJ470,1,(BE$4-1)*5+2)))</f>
        <v/>
      </c>
      <c r="BF470" s="25">
        <f>BE470*(1/(1+INDEX($Q470:$AJ470,1,(BF$4-1)*5+4)))^(1+INDEX($Q470:$AJ470,1,(BF$4-1)*5+2))*(1+BF$7)^INDEX($Q470:$AJ470,1,(BF$4-1)*5+1)*(BF340/BE340)^INDEX($Q470:$AJ470,1,(BF$4-1)*5+2)*(BF340/BE340)^(INDEX($Q470:$AJ470,1,(BF$4-1)*5+3)*(1+INDEX($Q470:$AJ470,1,(BF$4-1)*5+2)))</f>
        <v/>
      </c>
      <c r="BG470" s="25">
        <f>BF470*(1/(1+INDEX($Q470:$AJ470,1,(BG$4-1)*5+4)))^(1+INDEX($Q470:$AJ470,1,(BG$4-1)*5+2))*(1+BG$7)^INDEX($Q470:$AJ470,1,(BG$4-1)*5+1)*(BG340/BF340)^INDEX($Q470:$AJ470,1,(BG$4-1)*5+2)*(BG340/BF340)^(INDEX($Q470:$AJ470,1,(BG$4-1)*5+3)*(1+INDEX($Q470:$AJ470,1,(BG$4-1)*5+2)))</f>
        <v/>
      </c>
      <c r="BH470" s="25">
        <f>BG470*(1/(1+INDEX($Q470:$AJ470,1,(BH$4-1)*5+4)))^(1+INDEX($Q470:$AJ470,1,(BH$4-1)*5+2))*(1+BH$7)^INDEX($Q470:$AJ470,1,(BH$4-1)*5+1)*(BH340/BG340)^INDEX($Q470:$AJ470,1,(BH$4-1)*5+2)*(BH340/BG340)^(INDEX($Q470:$AJ470,1,(BH$4-1)*5+3)*(1+INDEX($Q470:$AJ470,1,(BH$4-1)*5+2)))</f>
        <v/>
      </c>
      <c r="BI470" s="25">
        <f>BH470*(1/(1+INDEX($Q470:$AJ470,1,(BI$4-1)*5+4)))^(1+INDEX($Q470:$AJ470,1,(BI$4-1)*5+2))*(1+BI$7)^INDEX($Q470:$AJ470,1,(BI$4-1)*5+1)*(BI340/BH340)^INDEX($Q470:$AJ470,1,(BI$4-1)*5+2)*(BI340/BH340)^(INDEX($Q470:$AJ470,1,(BI$4-1)*5+3)*(1+INDEX($Q470:$AJ470,1,(BI$4-1)*5+2)))</f>
        <v/>
      </c>
      <c r="BJ470" s="25">
        <f>BI470*(1/(1+INDEX($Q470:$AJ470,1,(BJ$4-1)*5+4)))^(1+INDEX($Q470:$AJ470,1,(BJ$4-1)*5+2))*(1+BJ$7)^INDEX($Q470:$AJ470,1,(BJ$4-1)*5+1)*(BJ340/BI340)^INDEX($Q470:$AJ470,1,(BJ$4-1)*5+2)*(BJ340/BI340)^(INDEX($Q470:$AJ470,1,(BJ$4-1)*5+3)*(1+INDEX($Q470:$AJ470,1,(BJ$4-1)*5+2)))</f>
        <v/>
      </c>
      <c r="BK470" s="25">
        <f>BJ470*(1/(1+INDEX($Q470:$AJ470,1,(BK$4-1)*5+4)))^(1+INDEX($Q470:$AJ470,1,(BK$4-1)*5+2))*(1+BK$7)^INDEX($Q470:$AJ470,1,(BK$4-1)*5+1)*(BK340/BJ340)^INDEX($Q470:$AJ470,1,(BK$4-1)*5+2)*(BK340/BJ340)^(INDEX($Q470:$AJ470,1,(BK$4-1)*5+3)*(1+INDEX($Q470:$AJ470,1,(BK$4-1)*5+2)))</f>
        <v/>
      </c>
      <c r="BL470" s="25">
        <f>BK470*(1/(1+INDEX($Q470:$AJ470,1,(BL$4-1)*5+4)))^(1+INDEX($Q470:$AJ470,1,(BL$4-1)*5+2))*(1+BL$7)^INDEX($Q470:$AJ470,1,(BL$4-1)*5+1)*(BL340/BK340)^INDEX($Q470:$AJ470,1,(BL$4-1)*5+2)*(BL340/BK340)^(INDEX($Q470:$AJ470,1,(BL$4-1)*5+3)*(1+INDEX($Q470:$AJ470,1,(BL$4-1)*5+2)))</f>
        <v/>
      </c>
      <c r="BM470" s="25">
        <f>BL470*(1/(1+INDEX($Q470:$AJ470,1,(BM$4-1)*5+4)))^(1+INDEX($Q470:$AJ470,1,(BM$4-1)*5+2))*(1+BM$7)^INDEX($Q470:$AJ470,1,(BM$4-1)*5+1)*(BM340/BL340)^INDEX($Q470:$AJ470,1,(BM$4-1)*5+2)*(BM340/BL340)^(INDEX($Q470:$AJ470,1,(BM$4-1)*5+3)*(1+INDEX($Q470:$AJ470,1,(BM$4-1)*5+2)))</f>
        <v/>
      </c>
      <c r="BN470" s="25">
        <f>BM470*(1/(1+INDEX($Q470:$AJ470,1,(BN$4-1)*5+4)))^(1+INDEX($Q470:$AJ470,1,(BN$4-1)*5+2))*(1+BN$7)^INDEX($Q470:$AJ470,1,(BN$4-1)*5+1)*(BN340/BM340)^INDEX($Q470:$AJ470,1,(BN$4-1)*5+2)*(BN340/BM340)^(INDEX($Q470:$AJ470,1,(BN$4-1)*5+3)*(1+INDEX($Q470:$AJ470,1,(BN$4-1)*5+2)))</f>
        <v/>
      </c>
    </row>
    <row r="471">
      <c r="B471" s="5" t="inlineStr">
        <is>
          <t>oop</t>
        </is>
      </c>
      <c r="C471" s="5" t="inlineStr">
        <is>
          <t>irn</t>
        </is>
      </c>
      <c r="D471" s="5" t="inlineStr">
        <is>
          <t>Fuel use | Iron &amp; steel | Other oil products</t>
        </is>
      </c>
      <c r="E471" s="5" t="inlineStr">
        <is>
          <t>ktoe</t>
        </is>
      </c>
      <c r="F471" s="5" t="inlineStr">
        <is>
          <t>EnergyCons (base year), Elasticities</t>
        </is>
      </c>
      <c r="G471" s="19" t="inlineStr">
        <is>
          <t>mit.enc.oop.irn</t>
        </is>
      </c>
      <c r="H471" s="19" t="inlineStr">
        <is>
          <t>mit.enc.oop.irn</t>
        </is>
      </c>
      <c r="J471" s="5">
        <f>INDEX(Mapping!$C$5:$C$20,MATCH($C471,Mapping!$A$5:$A$20,0))</f>
        <v/>
      </c>
      <c r="K471" s="5">
        <f>INDEX(Mapping!$D$5:$D$20,MATCH($C471,Mapping!$A$5:$A$20,0))</f>
        <v/>
      </c>
      <c r="L471" s="5">
        <f>INDEX(Mapping!$C$24:$C$31,MATCH($B471,Mapping!$A$24:$A$31,0))</f>
        <v/>
      </c>
      <c r="M471" s="5">
        <f>INDEX(Mapping!$D$24:$D$31,MATCH($B471,Mapping!$A$24:$A$31,0))</f>
        <v/>
      </c>
      <c r="N471" s="5">
        <f>$B471&amp;"."&amp;IF(INDEX(Mapping!$E$24:$E$31,MATCH($B471,Mapping!$A$24:$A$31,0))="sub",INDEX(Mapping!$F$5:$F$20,MATCH($C471,Mapping!$A$5:$A$20,0)),"all")</f>
        <v/>
      </c>
      <c r="O471" s="5">
        <f>INDEX(Mapping!$E$5:$E$20,MATCH($C471,Mapping!$A$5:$A$20,0))</f>
        <v/>
      </c>
      <c r="P471" s="5">
        <f>INDEX(Mapping!$G$24:$G$31,MATCH($B471,Mapping!$A$24:$A$31,0))</f>
        <v/>
      </c>
      <c r="Q471" s="22">
        <f>INDEX(Elasticities!$F$4:$I$200,MATCH("inc|"&amp;$L471&amp;"|"&amp;$K471,Elasticities!$A$4:$A$200,0),MATCH(Settings!$C$6,Elasticities!$F$3:$I$3,0))</f>
        <v/>
      </c>
      <c r="R471" s="22">
        <f>INDEX(Elasticities!$F$4:$I$200,MATCH("usg|"&amp;$L471&amp;"|"&amp;$K471,Elasticities!$A$4:$A$200,0),MATCH(Settings!$C$6,Elasticities!$F$3:$I$3,0))</f>
        <v/>
      </c>
      <c r="S471" s="22">
        <f>INDEX(Elasticities!$F$4:$I$200,MATCH("eff|"&amp;$L471&amp;"|"&amp;$K471,Elasticities!$A$4:$A$200,0),MATCH(Settings!$C$6,Elasticities!$F$3:$I$3,0))</f>
        <v/>
      </c>
      <c r="T471" s="22">
        <f>INDEX(Elasticities!$F$4:$I$200,MATCH("aei|"&amp;$M471&amp;"|"&amp;$K471,Elasticities!$A$4:$A$200,0),MATCH(Settings!$C$6,Elasticities!$F$3:$I$3,0))</f>
        <v/>
      </c>
      <c r="U471" s="21" t="n"/>
      <c r="V471" s="22">
        <f>Q471</f>
        <v/>
      </c>
      <c r="W471" s="22">
        <f>R471</f>
        <v/>
      </c>
      <c r="X471" s="22">
        <f>S471</f>
        <v/>
      </c>
      <c r="Y471" s="22">
        <f>T471</f>
        <v/>
      </c>
      <c r="Z471" s="21" t="n"/>
      <c r="AA471" s="22">
        <f>Q471</f>
        <v/>
      </c>
      <c r="AB471" s="22">
        <f>R471</f>
        <v/>
      </c>
      <c r="AC471" s="22">
        <f>S471</f>
        <v/>
      </c>
      <c r="AD471" s="22">
        <f>T471</f>
        <v/>
      </c>
      <c r="AE471" s="21" t="n"/>
      <c r="AF471" s="22">
        <f>Q471</f>
        <v/>
      </c>
      <c r="AG471" s="22">
        <f>R471</f>
        <v/>
      </c>
      <c r="AH471" s="22">
        <f>S471</f>
        <v/>
      </c>
      <c r="AI471" s="22">
        <f>T471</f>
        <v/>
      </c>
      <c r="AJ471" s="21" t="n"/>
      <c r="AL471" s="24">
        <f>INDEX(EnergyCons!$F$4:$F$5000,MATCH(Settings!$C$4&amp;"|"&amp;AL$5&amp;"|"&amp;$C471&amp;"|"&amp;$B471,EnergyCons!$A$4:$A$5000,0))</f>
        <v/>
      </c>
      <c r="AM471" s="25">
        <f>AL471*(1/(1+INDEX($Q471:$AJ471,1,(AM$4-1)*5+4)))^(1+INDEX($Q471:$AJ471,1,(AM$4-1)*5+2))*(1+AM$7)^INDEX($Q471:$AJ471,1,(AM$4-1)*5+1)*(AM341/AL341)^INDEX($Q471:$AJ471,1,(AM$4-1)*5+2)*(AM341/AL341)^(INDEX($Q471:$AJ471,1,(AM$4-1)*5+3)*(1+INDEX($Q471:$AJ471,1,(AM$4-1)*5+2)))</f>
        <v/>
      </c>
      <c r="AN471" s="25">
        <f>AM471*(1/(1+INDEX($Q471:$AJ471,1,(AN$4-1)*5+4)))^(1+INDEX($Q471:$AJ471,1,(AN$4-1)*5+2))*(1+AN$7)^INDEX($Q471:$AJ471,1,(AN$4-1)*5+1)*(AN341/AM341)^INDEX($Q471:$AJ471,1,(AN$4-1)*5+2)*(AN341/AM341)^(INDEX($Q471:$AJ471,1,(AN$4-1)*5+3)*(1+INDEX($Q471:$AJ471,1,(AN$4-1)*5+2)))</f>
        <v/>
      </c>
      <c r="AO471" s="25">
        <f>AN471*(1/(1+INDEX($Q471:$AJ471,1,(AO$4-1)*5+4)))^(1+INDEX($Q471:$AJ471,1,(AO$4-1)*5+2))*(1+AO$7)^INDEX($Q471:$AJ471,1,(AO$4-1)*5+1)*(AO341/AN341)^INDEX($Q471:$AJ471,1,(AO$4-1)*5+2)*(AO341/AN341)^(INDEX($Q471:$AJ471,1,(AO$4-1)*5+3)*(1+INDEX($Q471:$AJ471,1,(AO$4-1)*5+2)))</f>
        <v/>
      </c>
      <c r="AP471" s="25">
        <f>AO471*(1/(1+INDEX($Q471:$AJ471,1,(AP$4-1)*5+4)))^(1+INDEX($Q471:$AJ471,1,(AP$4-1)*5+2))*(1+AP$7)^INDEX($Q471:$AJ471,1,(AP$4-1)*5+1)*(AP341/AO341)^INDEX($Q471:$AJ471,1,(AP$4-1)*5+2)*(AP341/AO341)^(INDEX($Q471:$AJ471,1,(AP$4-1)*5+3)*(1+INDEX($Q471:$AJ471,1,(AP$4-1)*5+2)))</f>
        <v/>
      </c>
      <c r="AQ471" s="25">
        <f>AP471*(1/(1+INDEX($Q471:$AJ471,1,(AQ$4-1)*5+4)))^(1+INDEX($Q471:$AJ471,1,(AQ$4-1)*5+2))*(1+AQ$7)^INDEX($Q471:$AJ471,1,(AQ$4-1)*5+1)*(AQ341/AP341)^INDEX($Q471:$AJ471,1,(AQ$4-1)*5+2)*(AQ341/AP341)^(INDEX($Q471:$AJ471,1,(AQ$4-1)*5+3)*(1+INDEX($Q471:$AJ471,1,(AQ$4-1)*5+2)))</f>
        <v/>
      </c>
      <c r="AR471" s="25">
        <f>AQ471*(1/(1+INDEX($Q471:$AJ471,1,(AR$4-1)*5+4)))^(1+INDEX($Q471:$AJ471,1,(AR$4-1)*5+2))*(1+AR$7)^INDEX($Q471:$AJ471,1,(AR$4-1)*5+1)*(AR341/AQ341)^INDEX($Q471:$AJ471,1,(AR$4-1)*5+2)*(AR341/AQ341)^(INDEX($Q471:$AJ471,1,(AR$4-1)*5+3)*(1+INDEX($Q471:$AJ471,1,(AR$4-1)*5+2)))</f>
        <v/>
      </c>
      <c r="AS471" s="25">
        <f>AR471*(1/(1+INDEX($Q471:$AJ471,1,(AS$4-1)*5+4)))^(1+INDEX($Q471:$AJ471,1,(AS$4-1)*5+2))*(1+AS$7)^INDEX($Q471:$AJ471,1,(AS$4-1)*5+1)*(AS341/AR341)^INDEX($Q471:$AJ471,1,(AS$4-1)*5+2)*(AS341/AR341)^(INDEX($Q471:$AJ471,1,(AS$4-1)*5+3)*(1+INDEX($Q471:$AJ471,1,(AS$4-1)*5+2)))</f>
        <v/>
      </c>
      <c r="AT471" s="25">
        <f>AS471*(1/(1+INDEX($Q471:$AJ471,1,(AT$4-1)*5+4)))^(1+INDEX($Q471:$AJ471,1,(AT$4-1)*5+2))*(1+AT$7)^INDEX($Q471:$AJ471,1,(AT$4-1)*5+1)*(AT341/AS341)^INDEX($Q471:$AJ471,1,(AT$4-1)*5+2)*(AT341/AS341)^(INDEX($Q471:$AJ471,1,(AT$4-1)*5+3)*(1+INDEX($Q471:$AJ471,1,(AT$4-1)*5+2)))</f>
        <v/>
      </c>
      <c r="AU471" s="25">
        <f>AT471*(1/(1+INDEX($Q471:$AJ471,1,(AU$4-1)*5+4)))^(1+INDEX($Q471:$AJ471,1,(AU$4-1)*5+2))*(1+AU$7)^INDEX($Q471:$AJ471,1,(AU$4-1)*5+1)*(AU341/AT341)^INDEX($Q471:$AJ471,1,(AU$4-1)*5+2)*(AU341/AT341)^(INDEX($Q471:$AJ471,1,(AU$4-1)*5+3)*(1+INDEX($Q471:$AJ471,1,(AU$4-1)*5+2)))</f>
        <v/>
      </c>
      <c r="AV471" s="25">
        <f>AU471*(1/(1+INDEX($Q471:$AJ471,1,(AV$4-1)*5+4)))^(1+INDEX($Q471:$AJ471,1,(AV$4-1)*5+2))*(1+AV$7)^INDEX($Q471:$AJ471,1,(AV$4-1)*5+1)*(AV341/AU341)^INDEX($Q471:$AJ471,1,(AV$4-1)*5+2)*(AV341/AU341)^(INDEX($Q471:$AJ471,1,(AV$4-1)*5+3)*(1+INDEX($Q471:$AJ471,1,(AV$4-1)*5+2)))</f>
        <v/>
      </c>
      <c r="AW471" s="25">
        <f>AV471*(1/(1+INDEX($Q471:$AJ471,1,(AW$4-1)*5+4)))^(1+INDEX($Q471:$AJ471,1,(AW$4-1)*5+2))*(1+AW$7)^INDEX($Q471:$AJ471,1,(AW$4-1)*5+1)*(AW341/AV341)^INDEX($Q471:$AJ471,1,(AW$4-1)*5+2)*(AW341/AV341)^(INDEX($Q471:$AJ471,1,(AW$4-1)*5+3)*(1+INDEX($Q471:$AJ471,1,(AW$4-1)*5+2)))</f>
        <v/>
      </c>
      <c r="AX471" s="25">
        <f>AW471*(1/(1+INDEX($Q471:$AJ471,1,(AX$4-1)*5+4)))^(1+INDEX($Q471:$AJ471,1,(AX$4-1)*5+2))*(1+AX$7)^INDEX($Q471:$AJ471,1,(AX$4-1)*5+1)*(AX341/AW341)^INDEX($Q471:$AJ471,1,(AX$4-1)*5+2)*(AX341/AW341)^(INDEX($Q471:$AJ471,1,(AX$4-1)*5+3)*(1+INDEX($Q471:$AJ471,1,(AX$4-1)*5+2)))</f>
        <v/>
      </c>
      <c r="AY471" s="25">
        <f>AX471*(1/(1+INDEX($Q471:$AJ471,1,(AY$4-1)*5+4)))^(1+INDEX($Q471:$AJ471,1,(AY$4-1)*5+2))*(1+AY$7)^INDEX($Q471:$AJ471,1,(AY$4-1)*5+1)*(AY341/AX341)^INDEX($Q471:$AJ471,1,(AY$4-1)*5+2)*(AY341/AX341)^(INDEX($Q471:$AJ471,1,(AY$4-1)*5+3)*(1+INDEX($Q471:$AJ471,1,(AY$4-1)*5+2)))</f>
        <v/>
      </c>
      <c r="BA471" s="24">
        <f>INDEX(EnergyCons!$F$4:$F$5000,MATCH(Settings!$C$4&amp;"|"&amp;BA$5&amp;"|"&amp;$C471&amp;"|"&amp;$B471,EnergyCons!$A$4:$A$5000,0))</f>
        <v/>
      </c>
      <c r="BB471" s="25">
        <f>BA471*(1/(1+INDEX($Q471:$AJ471,1,(BB$4-1)*5+4)))^(1+INDEX($Q471:$AJ471,1,(BB$4-1)*5+2))*(1+BB$7)^INDEX($Q471:$AJ471,1,(BB$4-1)*5+1)*(BB341/BA341)^INDEX($Q471:$AJ471,1,(BB$4-1)*5+2)*(BB341/BA341)^(INDEX($Q471:$AJ471,1,(BB$4-1)*5+3)*(1+INDEX($Q471:$AJ471,1,(BB$4-1)*5+2)))</f>
        <v/>
      </c>
      <c r="BC471" s="25">
        <f>BB471*(1/(1+INDEX($Q471:$AJ471,1,(BC$4-1)*5+4)))^(1+INDEX($Q471:$AJ471,1,(BC$4-1)*5+2))*(1+BC$7)^INDEX($Q471:$AJ471,1,(BC$4-1)*5+1)*(BC341/BB341)^INDEX($Q471:$AJ471,1,(BC$4-1)*5+2)*(BC341/BB341)^(INDEX($Q471:$AJ471,1,(BC$4-1)*5+3)*(1+INDEX($Q471:$AJ471,1,(BC$4-1)*5+2)))</f>
        <v/>
      </c>
      <c r="BD471" s="25">
        <f>BC471*(1/(1+INDEX($Q471:$AJ471,1,(BD$4-1)*5+4)))^(1+INDEX($Q471:$AJ471,1,(BD$4-1)*5+2))*(1+BD$7)^INDEX($Q471:$AJ471,1,(BD$4-1)*5+1)*(BD341/BC341)^INDEX($Q471:$AJ471,1,(BD$4-1)*5+2)*(BD341/BC341)^(INDEX($Q471:$AJ471,1,(BD$4-1)*5+3)*(1+INDEX($Q471:$AJ471,1,(BD$4-1)*5+2)))</f>
        <v/>
      </c>
      <c r="BE471" s="25">
        <f>BD471*(1/(1+INDEX($Q471:$AJ471,1,(BE$4-1)*5+4)))^(1+INDEX($Q471:$AJ471,1,(BE$4-1)*5+2))*(1+BE$7)^INDEX($Q471:$AJ471,1,(BE$4-1)*5+1)*(BE341/BD341)^INDEX($Q471:$AJ471,1,(BE$4-1)*5+2)*(BE341/BD341)^(INDEX($Q471:$AJ471,1,(BE$4-1)*5+3)*(1+INDEX($Q471:$AJ471,1,(BE$4-1)*5+2)))</f>
        <v/>
      </c>
      <c r="BF471" s="25">
        <f>BE471*(1/(1+INDEX($Q471:$AJ471,1,(BF$4-1)*5+4)))^(1+INDEX($Q471:$AJ471,1,(BF$4-1)*5+2))*(1+BF$7)^INDEX($Q471:$AJ471,1,(BF$4-1)*5+1)*(BF341/BE341)^INDEX($Q471:$AJ471,1,(BF$4-1)*5+2)*(BF341/BE341)^(INDEX($Q471:$AJ471,1,(BF$4-1)*5+3)*(1+INDEX($Q471:$AJ471,1,(BF$4-1)*5+2)))</f>
        <v/>
      </c>
      <c r="BG471" s="25">
        <f>BF471*(1/(1+INDEX($Q471:$AJ471,1,(BG$4-1)*5+4)))^(1+INDEX($Q471:$AJ471,1,(BG$4-1)*5+2))*(1+BG$7)^INDEX($Q471:$AJ471,1,(BG$4-1)*5+1)*(BG341/BF341)^INDEX($Q471:$AJ471,1,(BG$4-1)*5+2)*(BG341/BF341)^(INDEX($Q471:$AJ471,1,(BG$4-1)*5+3)*(1+INDEX($Q471:$AJ471,1,(BG$4-1)*5+2)))</f>
        <v/>
      </c>
      <c r="BH471" s="25">
        <f>BG471*(1/(1+INDEX($Q471:$AJ471,1,(BH$4-1)*5+4)))^(1+INDEX($Q471:$AJ471,1,(BH$4-1)*5+2))*(1+BH$7)^INDEX($Q471:$AJ471,1,(BH$4-1)*5+1)*(BH341/BG341)^INDEX($Q471:$AJ471,1,(BH$4-1)*5+2)*(BH341/BG341)^(INDEX($Q471:$AJ471,1,(BH$4-1)*5+3)*(1+INDEX($Q471:$AJ471,1,(BH$4-1)*5+2)))</f>
        <v/>
      </c>
      <c r="BI471" s="25">
        <f>BH471*(1/(1+INDEX($Q471:$AJ471,1,(BI$4-1)*5+4)))^(1+INDEX($Q471:$AJ471,1,(BI$4-1)*5+2))*(1+BI$7)^INDEX($Q471:$AJ471,1,(BI$4-1)*5+1)*(BI341/BH341)^INDEX($Q471:$AJ471,1,(BI$4-1)*5+2)*(BI341/BH341)^(INDEX($Q471:$AJ471,1,(BI$4-1)*5+3)*(1+INDEX($Q471:$AJ471,1,(BI$4-1)*5+2)))</f>
        <v/>
      </c>
      <c r="BJ471" s="25">
        <f>BI471*(1/(1+INDEX($Q471:$AJ471,1,(BJ$4-1)*5+4)))^(1+INDEX($Q471:$AJ471,1,(BJ$4-1)*5+2))*(1+BJ$7)^INDEX($Q471:$AJ471,1,(BJ$4-1)*5+1)*(BJ341/BI341)^INDEX($Q471:$AJ471,1,(BJ$4-1)*5+2)*(BJ341/BI341)^(INDEX($Q471:$AJ471,1,(BJ$4-1)*5+3)*(1+INDEX($Q471:$AJ471,1,(BJ$4-1)*5+2)))</f>
        <v/>
      </c>
      <c r="BK471" s="25">
        <f>BJ471*(1/(1+INDEX($Q471:$AJ471,1,(BK$4-1)*5+4)))^(1+INDEX($Q471:$AJ471,1,(BK$4-1)*5+2))*(1+BK$7)^INDEX($Q471:$AJ471,1,(BK$4-1)*5+1)*(BK341/BJ341)^INDEX($Q471:$AJ471,1,(BK$4-1)*5+2)*(BK341/BJ341)^(INDEX($Q471:$AJ471,1,(BK$4-1)*5+3)*(1+INDEX($Q471:$AJ471,1,(BK$4-1)*5+2)))</f>
        <v/>
      </c>
      <c r="BL471" s="25">
        <f>BK471*(1/(1+INDEX($Q471:$AJ471,1,(BL$4-1)*5+4)))^(1+INDEX($Q471:$AJ471,1,(BL$4-1)*5+2))*(1+BL$7)^INDEX($Q471:$AJ471,1,(BL$4-1)*5+1)*(BL341/BK341)^INDEX($Q471:$AJ471,1,(BL$4-1)*5+2)*(BL341/BK341)^(INDEX($Q471:$AJ471,1,(BL$4-1)*5+3)*(1+INDEX($Q471:$AJ471,1,(BL$4-1)*5+2)))</f>
        <v/>
      </c>
      <c r="BM471" s="25">
        <f>BL471*(1/(1+INDEX($Q471:$AJ471,1,(BM$4-1)*5+4)))^(1+INDEX($Q471:$AJ471,1,(BM$4-1)*5+2))*(1+BM$7)^INDEX($Q471:$AJ471,1,(BM$4-1)*5+1)*(BM341/BL341)^INDEX($Q471:$AJ471,1,(BM$4-1)*5+2)*(BM341/BL341)^(INDEX($Q471:$AJ471,1,(BM$4-1)*5+3)*(1+INDEX($Q471:$AJ471,1,(BM$4-1)*5+2)))</f>
        <v/>
      </c>
      <c r="BN471" s="25">
        <f>BM471*(1/(1+INDEX($Q471:$AJ471,1,(BN$4-1)*5+4)))^(1+INDEX($Q471:$AJ471,1,(BN$4-1)*5+2))*(1+BN$7)^INDEX($Q471:$AJ471,1,(BN$4-1)*5+1)*(BN341/BM341)^INDEX($Q471:$AJ471,1,(BN$4-1)*5+2)*(BN341/BM341)^(INDEX($Q471:$AJ471,1,(BN$4-1)*5+3)*(1+INDEX($Q471:$AJ471,1,(BN$4-1)*5+2)))</f>
        <v/>
      </c>
    </row>
    <row r="472">
      <c r="B472" s="5" t="inlineStr">
        <is>
          <t>bio</t>
        </is>
      </c>
      <c r="C472" s="5" t="inlineStr">
        <is>
          <t>irn</t>
        </is>
      </c>
      <c r="D472" s="5" t="inlineStr">
        <is>
          <t>Fuel use | Iron &amp; steel | Biomass</t>
        </is>
      </c>
      <c r="E472" s="5" t="inlineStr">
        <is>
          <t>ktoe</t>
        </is>
      </c>
      <c r="F472" s="5" t="inlineStr">
        <is>
          <t>EnergyCons (base year), Elasticities</t>
        </is>
      </c>
      <c r="G472" s="19" t="inlineStr">
        <is>
          <t>mit.enc.bio.irn</t>
        </is>
      </c>
      <c r="H472" s="19" t="inlineStr">
        <is>
          <t>mit.enc.bio.irn</t>
        </is>
      </c>
      <c r="J472" s="5">
        <f>INDEX(Mapping!$C$5:$C$20,MATCH($C472,Mapping!$A$5:$A$20,0))</f>
        <v/>
      </c>
      <c r="K472" s="5">
        <f>INDEX(Mapping!$D$5:$D$20,MATCH($C472,Mapping!$A$5:$A$20,0))</f>
        <v/>
      </c>
      <c r="L472" s="5">
        <f>INDEX(Mapping!$C$24:$C$31,MATCH($B472,Mapping!$A$24:$A$31,0))</f>
        <v/>
      </c>
      <c r="M472" s="5">
        <f>INDEX(Mapping!$D$24:$D$31,MATCH($B472,Mapping!$A$24:$A$31,0))</f>
        <v/>
      </c>
      <c r="N472" s="5">
        <f>$B472&amp;"."&amp;IF(INDEX(Mapping!$E$24:$E$31,MATCH($B472,Mapping!$A$24:$A$31,0))="sub",INDEX(Mapping!$F$5:$F$20,MATCH($C472,Mapping!$A$5:$A$20,0)),"all")</f>
        <v/>
      </c>
      <c r="O472" s="5">
        <f>INDEX(Mapping!$E$5:$E$20,MATCH($C472,Mapping!$A$5:$A$20,0))</f>
        <v/>
      </c>
      <c r="P472" s="5">
        <f>INDEX(Mapping!$G$24:$G$31,MATCH($B472,Mapping!$A$24:$A$31,0))</f>
        <v/>
      </c>
      <c r="Q472" s="22">
        <f>INDEX(Elasticities!$F$4:$I$200,MATCH("inc|"&amp;$L472&amp;"|"&amp;$K472,Elasticities!$A$4:$A$200,0),MATCH(Settings!$C$6,Elasticities!$F$3:$I$3,0))</f>
        <v/>
      </c>
      <c r="R472" s="22">
        <f>INDEX(Elasticities!$F$4:$I$200,MATCH("usg|"&amp;$L472&amp;"|"&amp;$K472,Elasticities!$A$4:$A$200,0),MATCH(Settings!$C$6,Elasticities!$F$3:$I$3,0))</f>
        <v/>
      </c>
      <c r="S472" s="22">
        <f>INDEX(Elasticities!$F$4:$I$200,MATCH("eff|"&amp;$L472&amp;"|"&amp;$K472,Elasticities!$A$4:$A$200,0),MATCH(Settings!$C$6,Elasticities!$F$3:$I$3,0))</f>
        <v/>
      </c>
      <c r="T472" s="22">
        <f>INDEX(Elasticities!$F$4:$I$200,MATCH("aei|"&amp;$M472&amp;"|"&amp;$K472,Elasticities!$A$4:$A$200,0),MATCH(Settings!$C$6,Elasticities!$F$3:$I$3,0))</f>
        <v/>
      </c>
      <c r="U472" s="21" t="n"/>
      <c r="V472" s="22">
        <f>Q472</f>
        <v/>
      </c>
      <c r="W472" s="22">
        <f>R472</f>
        <v/>
      </c>
      <c r="X472" s="22">
        <f>S472</f>
        <v/>
      </c>
      <c r="Y472" s="22">
        <f>T472</f>
        <v/>
      </c>
      <c r="Z472" s="21" t="n"/>
      <c r="AA472" s="22">
        <f>Q472</f>
        <v/>
      </c>
      <c r="AB472" s="22">
        <f>R472</f>
        <v/>
      </c>
      <c r="AC472" s="22">
        <f>S472</f>
        <v/>
      </c>
      <c r="AD472" s="22">
        <f>T472</f>
        <v/>
      </c>
      <c r="AE472" s="21" t="n"/>
      <c r="AF472" s="22">
        <f>Q472</f>
        <v/>
      </c>
      <c r="AG472" s="22">
        <f>R472</f>
        <v/>
      </c>
      <c r="AH472" s="22">
        <f>S472</f>
        <v/>
      </c>
      <c r="AI472" s="22">
        <f>T472</f>
        <v/>
      </c>
      <c r="AJ472" s="21" t="n"/>
      <c r="AL472" s="24">
        <f>INDEX(EnergyCons!$F$4:$F$5000,MATCH(Settings!$C$4&amp;"|"&amp;AL$5&amp;"|"&amp;$C472&amp;"|"&amp;$B472,EnergyCons!$A$4:$A$5000,0))</f>
        <v/>
      </c>
      <c r="AM472" s="25">
        <f>AL472*(1/(1+INDEX($Q472:$AJ472,1,(AM$4-1)*5+4)))^(1+INDEX($Q472:$AJ472,1,(AM$4-1)*5+2))*(1+AM$7)^INDEX($Q472:$AJ472,1,(AM$4-1)*5+1)*(AM342/AL342)^INDEX($Q472:$AJ472,1,(AM$4-1)*5+2)*(AM342/AL342)^(INDEX($Q472:$AJ472,1,(AM$4-1)*5+3)*(1+INDEX($Q472:$AJ472,1,(AM$4-1)*5+2)))</f>
        <v/>
      </c>
      <c r="AN472" s="25">
        <f>AM472*(1/(1+INDEX($Q472:$AJ472,1,(AN$4-1)*5+4)))^(1+INDEX($Q472:$AJ472,1,(AN$4-1)*5+2))*(1+AN$7)^INDEX($Q472:$AJ472,1,(AN$4-1)*5+1)*(AN342/AM342)^INDEX($Q472:$AJ472,1,(AN$4-1)*5+2)*(AN342/AM342)^(INDEX($Q472:$AJ472,1,(AN$4-1)*5+3)*(1+INDEX($Q472:$AJ472,1,(AN$4-1)*5+2)))</f>
        <v/>
      </c>
      <c r="AO472" s="25">
        <f>AN472*(1/(1+INDEX($Q472:$AJ472,1,(AO$4-1)*5+4)))^(1+INDEX($Q472:$AJ472,1,(AO$4-1)*5+2))*(1+AO$7)^INDEX($Q472:$AJ472,1,(AO$4-1)*5+1)*(AO342/AN342)^INDEX($Q472:$AJ472,1,(AO$4-1)*5+2)*(AO342/AN342)^(INDEX($Q472:$AJ472,1,(AO$4-1)*5+3)*(1+INDEX($Q472:$AJ472,1,(AO$4-1)*5+2)))</f>
        <v/>
      </c>
      <c r="AP472" s="25">
        <f>AO472*(1/(1+INDEX($Q472:$AJ472,1,(AP$4-1)*5+4)))^(1+INDEX($Q472:$AJ472,1,(AP$4-1)*5+2))*(1+AP$7)^INDEX($Q472:$AJ472,1,(AP$4-1)*5+1)*(AP342/AO342)^INDEX($Q472:$AJ472,1,(AP$4-1)*5+2)*(AP342/AO342)^(INDEX($Q472:$AJ472,1,(AP$4-1)*5+3)*(1+INDEX($Q472:$AJ472,1,(AP$4-1)*5+2)))</f>
        <v/>
      </c>
      <c r="AQ472" s="25">
        <f>AP472*(1/(1+INDEX($Q472:$AJ472,1,(AQ$4-1)*5+4)))^(1+INDEX($Q472:$AJ472,1,(AQ$4-1)*5+2))*(1+AQ$7)^INDEX($Q472:$AJ472,1,(AQ$4-1)*5+1)*(AQ342/AP342)^INDEX($Q472:$AJ472,1,(AQ$4-1)*5+2)*(AQ342/AP342)^(INDEX($Q472:$AJ472,1,(AQ$4-1)*5+3)*(1+INDEX($Q472:$AJ472,1,(AQ$4-1)*5+2)))</f>
        <v/>
      </c>
      <c r="AR472" s="25">
        <f>AQ472*(1/(1+INDEX($Q472:$AJ472,1,(AR$4-1)*5+4)))^(1+INDEX($Q472:$AJ472,1,(AR$4-1)*5+2))*(1+AR$7)^INDEX($Q472:$AJ472,1,(AR$4-1)*5+1)*(AR342/AQ342)^INDEX($Q472:$AJ472,1,(AR$4-1)*5+2)*(AR342/AQ342)^(INDEX($Q472:$AJ472,1,(AR$4-1)*5+3)*(1+INDEX($Q472:$AJ472,1,(AR$4-1)*5+2)))</f>
        <v/>
      </c>
      <c r="AS472" s="25">
        <f>AR472*(1/(1+INDEX($Q472:$AJ472,1,(AS$4-1)*5+4)))^(1+INDEX($Q472:$AJ472,1,(AS$4-1)*5+2))*(1+AS$7)^INDEX($Q472:$AJ472,1,(AS$4-1)*5+1)*(AS342/AR342)^INDEX($Q472:$AJ472,1,(AS$4-1)*5+2)*(AS342/AR342)^(INDEX($Q472:$AJ472,1,(AS$4-1)*5+3)*(1+INDEX($Q472:$AJ472,1,(AS$4-1)*5+2)))</f>
        <v/>
      </c>
      <c r="AT472" s="25">
        <f>AS472*(1/(1+INDEX($Q472:$AJ472,1,(AT$4-1)*5+4)))^(1+INDEX($Q472:$AJ472,1,(AT$4-1)*5+2))*(1+AT$7)^INDEX($Q472:$AJ472,1,(AT$4-1)*5+1)*(AT342/AS342)^INDEX($Q472:$AJ472,1,(AT$4-1)*5+2)*(AT342/AS342)^(INDEX($Q472:$AJ472,1,(AT$4-1)*5+3)*(1+INDEX($Q472:$AJ472,1,(AT$4-1)*5+2)))</f>
        <v/>
      </c>
      <c r="AU472" s="25">
        <f>AT472*(1/(1+INDEX($Q472:$AJ472,1,(AU$4-1)*5+4)))^(1+INDEX($Q472:$AJ472,1,(AU$4-1)*5+2))*(1+AU$7)^INDEX($Q472:$AJ472,1,(AU$4-1)*5+1)*(AU342/AT342)^INDEX($Q472:$AJ472,1,(AU$4-1)*5+2)*(AU342/AT342)^(INDEX($Q472:$AJ472,1,(AU$4-1)*5+3)*(1+INDEX($Q472:$AJ472,1,(AU$4-1)*5+2)))</f>
        <v/>
      </c>
      <c r="AV472" s="25">
        <f>AU472*(1/(1+INDEX($Q472:$AJ472,1,(AV$4-1)*5+4)))^(1+INDEX($Q472:$AJ472,1,(AV$4-1)*5+2))*(1+AV$7)^INDEX($Q472:$AJ472,1,(AV$4-1)*5+1)*(AV342/AU342)^INDEX($Q472:$AJ472,1,(AV$4-1)*5+2)*(AV342/AU342)^(INDEX($Q472:$AJ472,1,(AV$4-1)*5+3)*(1+INDEX($Q472:$AJ472,1,(AV$4-1)*5+2)))</f>
        <v/>
      </c>
      <c r="AW472" s="25">
        <f>AV472*(1/(1+INDEX($Q472:$AJ472,1,(AW$4-1)*5+4)))^(1+INDEX($Q472:$AJ472,1,(AW$4-1)*5+2))*(1+AW$7)^INDEX($Q472:$AJ472,1,(AW$4-1)*5+1)*(AW342/AV342)^INDEX($Q472:$AJ472,1,(AW$4-1)*5+2)*(AW342/AV342)^(INDEX($Q472:$AJ472,1,(AW$4-1)*5+3)*(1+INDEX($Q472:$AJ472,1,(AW$4-1)*5+2)))</f>
        <v/>
      </c>
      <c r="AX472" s="25">
        <f>AW472*(1/(1+INDEX($Q472:$AJ472,1,(AX$4-1)*5+4)))^(1+INDEX($Q472:$AJ472,1,(AX$4-1)*5+2))*(1+AX$7)^INDEX($Q472:$AJ472,1,(AX$4-1)*5+1)*(AX342/AW342)^INDEX($Q472:$AJ472,1,(AX$4-1)*5+2)*(AX342/AW342)^(INDEX($Q472:$AJ472,1,(AX$4-1)*5+3)*(1+INDEX($Q472:$AJ472,1,(AX$4-1)*5+2)))</f>
        <v/>
      </c>
      <c r="AY472" s="25">
        <f>AX472*(1/(1+INDEX($Q472:$AJ472,1,(AY$4-1)*5+4)))^(1+INDEX($Q472:$AJ472,1,(AY$4-1)*5+2))*(1+AY$7)^INDEX($Q472:$AJ472,1,(AY$4-1)*5+1)*(AY342/AX342)^INDEX($Q472:$AJ472,1,(AY$4-1)*5+2)*(AY342/AX342)^(INDEX($Q472:$AJ472,1,(AY$4-1)*5+3)*(1+INDEX($Q472:$AJ472,1,(AY$4-1)*5+2)))</f>
        <v/>
      </c>
      <c r="BA472" s="24">
        <f>INDEX(EnergyCons!$F$4:$F$5000,MATCH(Settings!$C$4&amp;"|"&amp;BA$5&amp;"|"&amp;$C472&amp;"|"&amp;$B472,EnergyCons!$A$4:$A$5000,0))</f>
        <v/>
      </c>
      <c r="BB472" s="25">
        <f>BA472*(1/(1+INDEX($Q472:$AJ472,1,(BB$4-1)*5+4)))^(1+INDEX($Q472:$AJ472,1,(BB$4-1)*5+2))*(1+BB$7)^INDEX($Q472:$AJ472,1,(BB$4-1)*5+1)*(BB342/BA342)^INDEX($Q472:$AJ472,1,(BB$4-1)*5+2)*(BB342/BA342)^(INDEX($Q472:$AJ472,1,(BB$4-1)*5+3)*(1+INDEX($Q472:$AJ472,1,(BB$4-1)*5+2)))</f>
        <v/>
      </c>
      <c r="BC472" s="25">
        <f>BB472*(1/(1+INDEX($Q472:$AJ472,1,(BC$4-1)*5+4)))^(1+INDEX($Q472:$AJ472,1,(BC$4-1)*5+2))*(1+BC$7)^INDEX($Q472:$AJ472,1,(BC$4-1)*5+1)*(BC342/BB342)^INDEX($Q472:$AJ472,1,(BC$4-1)*5+2)*(BC342/BB342)^(INDEX($Q472:$AJ472,1,(BC$4-1)*5+3)*(1+INDEX($Q472:$AJ472,1,(BC$4-1)*5+2)))</f>
        <v/>
      </c>
      <c r="BD472" s="25">
        <f>BC472*(1/(1+INDEX($Q472:$AJ472,1,(BD$4-1)*5+4)))^(1+INDEX($Q472:$AJ472,1,(BD$4-1)*5+2))*(1+BD$7)^INDEX($Q472:$AJ472,1,(BD$4-1)*5+1)*(BD342/BC342)^INDEX($Q472:$AJ472,1,(BD$4-1)*5+2)*(BD342/BC342)^(INDEX($Q472:$AJ472,1,(BD$4-1)*5+3)*(1+INDEX($Q472:$AJ472,1,(BD$4-1)*5+2)))</f>
        <v/>
      </c>
      <c r="BE472" s="25">
        <f>BD472*(1/(1+INDEX($Q472:$AJ472,1,(BE$4-1)*5+4)))^(1+INDEX($Q472:$AJ472,1,(BE$4-1)*5+2))*(1+BE$7)^INDEX($Q472:$AJ472,1,(BE$4-1)*5+1)*(BE342/BD342)^INDEX($Q472:$AJ472,1,(BE$4-1)*5+2)*(BE342/BD342)^(INDEX($Q472:$AJ472,1,(BE$4-1)*5+3)*(1+INDEX($Q472:$AJ472,1,(BE$4-1)*5+2)))</f>
        <v/>
      </c>
      <c r="BF472" s="25">
        <f>BE472*(1/(1+INDEX($Q472:$AJ472,1,(BF$4-1)*5+4)))^(1+INDEX($Q472:$AJ472,1,(BF$4-1)*5+2))*(1+BF$7)^INDEX($Q472:$AJ472,1,(BF$4-1)*5+1)*(BF342/BE342)^INDEX($Q472:$AJ472,1,(BF$4-1)*5+2)*(BF342/BE342)^(INDEX($Q472:$AJ472,1,(BF$4-1)*5+3)*(1+INDEX($Q472:$AJ472,1,(BF$4-1)*5+2)))</f>
        <v/>
      </c>
      <c r="BG472" s="25">
        <f>BF472*(1/(1+INDEX($Q472:$AJ472,1,(BG$4-1)*5+4)))^(1+INDEX($Q472:$AJ472,1,(BG$4-1)*5+2))*(1+BG$7)^INDEX($Q472:$AJ472,1,(BG$4-1)*5+1)*(BG342/BF342)^INDEX($Q472:$AJ472,1,(BG$4-1)*5+2)*(BG342/BF342)^(INDEX($Q472:$AJ472,1,(BG$4-1)*5+3)*(1+INDEX($Q472:$AJ472,1,(BG$4-1)*5+2)))</f>
        <v/>
      </c>
      <c r="BH472" s="25">
        <f>BG472*(1/(1+INDEX($Q472:$AJ472,1,(BH$4-1)*5+4)))^(1+INDEX($Q472:$AJ472,1,(BH$4-1)*5+2))*(1+BH$7)^INDEX($Q472:$AJ472,1,(BH$4-1)*5+1)*(BH342/BG342)^INDEX($Q472:$AJ472,1,(BH$4-1)*5+2)*(BH342/BG342)^(INDEX($Q472:$AJ472,1,(BH$4-1)*5+3)*(1+INDEX($Q472:$AJ472,1,(BH$4-1)*5+2)))</f>
        <v/>
      </c>
      <c r="BI472" s="25">
        <f>BH472*(1/(1+INDEX($Q472:$AJ472,1,(BI$4-1)*5+4)))^(1+INDEX($Q472:$AJ472,1,(BI$4-1)*5+2))*(1+BI$7)^INDEX($Q472:$AJ472,1,(BI$4-1)*5+1)*(BI342/BH342)^INDEX($Q472:$AJ472,1,(BI$4-1)*5+2)*(BI342/BH342)^(INDEX($Q472:$AJ472,1,(BI$4-1)*5+3)*(1+INDEX($Q472:$AJ472,1,(BI$4-1)*5+2)))</f>
        <v/>
      </c>
      <c r="BJ472" s="25">
        <f>BI472*(1/(1+INDEX($Q472:$AJ472,1,(BJ$4-1)*5+4)))^(1+INDEX($Q472:$AJ472,1,(BJ$4-1)*5+2))*(1+BJ$7)^INDEX($Q472:$AJ472,1,(BJ$4-1)*5+1)*(BJ342/BI342)^INDEX($Q472:$AJ472,1,(BJ$4-1)*5+2)*(BJ342/BI342)^(INDEX($Q472:$AJ472,1,(BJ$4-1)*5+3)*(1+INDEX($Q472:$AJ472,1,(BJ$4-1)*5+2)))</f>
        <v/>
      </c>
      <c r="BK472" s="25">
        <f>BJ472*(1/(1+INDEX($Q472:$AJ472,1,(BK$4-1)*5+4)))^(1+INDEX($Q472:$AJ472,1,(BK$4-1)*5+2))*(1+BK$7)^INDEX($Q472:$AJ472,1,(BK$4-1)*5+1)*(BK342/BJ342)^INDEX($Q472:$AJ472,1,(BK$4-1)*5+2)*(BK342/BJ342)^(INDEX($Q472:$AJ472,1,(BK$4-1)*5+3)*(1+INDEX($Q472:$AJ472,1,(BK$4-1)*5+2)))</f>
        <v/>
      </c>
      <c r="BL472" s="25">
        <f>BK472*(1/(1+INDEX($Q472:$AJ472,1,(BL$4-1)*5+4)))^(1+INDEX($Q472:$AJ472,1,(BL$4-1)*5+2))*(1+BL$7)^INDEX($Q472:$AJ472,1,(BL$4-1)*5+1)*(BL342/BK342)^INDEX($Q472:$AJ472,1,(BL$4-1)*5+2)*(BL342/BK342)^(INDEX($Q472:$AJ472,1,(BL$4-1)*5+3)*(1+INDEX($Q472:$AJ472,1,(BL$4-1)*5+2)))</f>
        <v/>
      </c>
      <c r="BM472" s="25">
        <f>BL472*(1/(1+INDEX($Q472:$AJ472,1,(BM$4-1)*5+4)))^(1+INDEX($Q472:$AJ472,1,(BM$4-1)*5+2))*(1+BM$7)^INDEX($Q472:$AJ472,1,(BM$4-1)*5+1)*(BM342/BL342)^INDEX($Q472:$AJ472,1,(BM$4-1)*5+2)*(BM342/BL342)^(INDEX($Q472:$AJ472,1,(BM$4-1)*5+3)*(1+INDEX($Q472:$AJ472,1,(BM$4-1)*5+2)))</f>
        <v/>
      </c>
      <c r="BN472" s="25">
        <f>BM472*(1/(1+INDEX($Q472:$AJ472,1,(BN$4-1)*5+4)))^(1+INDEX($Q472:$AJ472,1,(BN$4-1)*5+2))*(1+BN$7)^INDEX($Q472:$AJ472,1,(BN$4-1)*5+1)*(BN342/BM342)^INDEX($Q472:$AJ472,1,(BN$4-1)*5+2)*(BN342/BM342)^(INDEX($Q472:$AJ472,1,(BN$4-1)*5+3)*(1+INDEX($Q472:$AJ472,1,(BN$4-1)*5+2)))</f>
        <v/>
      </c>
    </row>
    <row r="473">
      <c r="B473" s="5" t="inlineStr">
        <is>
          <t>coa</t>
        </is>
      </c>
      <c r="C473" s="5" t="inlineStr">
        <is>
          <t>nfm</t>
        </is>
      </c>
      <c r="D473" s="5" t="inlineStr">
        <is>
          <t>Fuel use | Other metals | Coal</t>
        </is>
      </c>
      <c r="E473" s="5" t="inlineStr">
        <is>
          <t>ktoe</t>
        </is>
      </c>
      <c r="F473" s="5" t="inlineStr">
        <is>
          <t>EnergyCons (base year), Elasticities</t>
        </is>
      </c>
      <c r="G473" s="19" t="inlineStr">
        <is>
          <t>mit.enc.coa.nfm</t>
        </is>
      </c>
      <c r="H473" s="19" t="inlineStr">
        <is>
          <t>mit.enc.coa.nfm</t>
        </is>
      </c>
      <c r="J473" s="5">
        <f>INDEX(Mapping!$C$5:$C$20,MATCH($C473,Mapping!$A$5:$A$20,0))</f>
        <v/>
      </c>
      <c r="K473" s="5">
        <f>INDEX(Mapping!$D$5:$D$20,MATCH($C473,Mapping!$A$5:$A$20,0))</f>
        <v/>
      </c>
      <c r="L473" s="5">
        <f>INDEX(Mapping!$C$24:$C$31,MATCH($B473,Mapping!$A$24:$A$31,0))</f>
        <v/>
      </c>
      <c r="M473" s="5">
        <f>INDEX(Mapping!$D$24:$D$31,MATCH($B473,Mapping!$A$24:$A$31,0))</f>
        <v/>
      </c>
      <c r="N473" s="5">
        <f>$B473&amp;"."&amp;IF(INDEX(Mapping!$E$24:$E$31,MATCH($B473,Mapping!$A$24:$A$31,0))="sub",INDEX(Mapping!$F$5:$F$20,MATCH($C473,Mapping!$A$5:$A$20,0)),"all")</f>
        <v/>
      </c>
      <c r="O473" s="5">
        <f>INDEX(Mapping!$E$5:$E$20,MATCH($C473,Mapping!$A$5:$A$20,0))</f>
        <v/>
      </c>
      <c r="P473" s="5">
        <f>INDEX(Mapping!$G$24:$G$31,MATCH($B473,Mapping!$A$24:$A$31,0))</f>
        <v/>
      </c>
      <c r="Q473" s="22">
        <f>INDEX(Elasticities!$F$4:$I$200,MATCH("inc|"&amp;$L473&amp;"|"&amp;$K473,Elasticities!$A$4:$A$200,0),MATCH(Settings!$C$6,Elasticities!$F$3:$I$3,0))</f>
        <v/>
      </c>
      <c r="R473" s="22">
        <f>INDEX(Elasticities!$F$4:$I$200,MATCH("usg|"&amp;$L473&amp;"|"&amp;$K473,Elasticities!$A$4:$A$200,0),MATCH(Settings!$C$6,Elasticities!$F$3:$I$3,0))</f>
        <v/>
      </c>
      <c r="S473" s="22">
        <f>INDEX(Elasticities!$F$4:$I$200,MATCH("eff|"&amp;$L473&amp;"|"&amp;$K473,Elasticities!$A$4:$A$200,0),MATCH(Settings!$C$6,Elasticities!$F$3:$I$3,0))</f>
        <v/>
      </c>
      <c r="T473" s="22">
        <f>INDEX(Elasticities!$F$4:$I$200,MATCH("aei|"&amp;$M473&amp;"|"&amp;$K473,Elasticities!$A$4:$A$200,0),MATCH(Settings!$C$6,Elasticities!$F$3:$I$3,0))</f>
        <v/>
      </c>
      <c r="U473" s="21" t="n"/>
      <c r="V473" s="22">
        <f>Q473</f>
        <v/>
      </c>
      <c r="W473" s="22">
        <f>R473</f>
        <v/>
      </c>
      <c r="X473" s="22">
        <f>S473</f>
        <v/>
      </c>
      <c r="Y473" s="22">
        <f>T473</f>
        <v/>
      </c>
      <c r="Z473" s="21" t="n"/>
      <c r="AA473" s="22">
        <f>Q473</f>
        <v/>
      </c>
      <c r="AB473" s="22">
        <f>R473</f>
        <v/>
      </c>
      <c r="AC473" s="22">
        <f>S473</f>
        <v/>
      </c>
      <c r="AD473" s="22">
        <f>T473</f>
        <v/>
      </c>
      <c r="AE473" s="21" t="n"/>
      <c r="AF473" s="22">
        <f>Q473</f>
        <v/>
      </c>
      <c r="AG473" s="22">
        <f>R473</f>
        <v/>
      </c>
      <c r="AH473" s="22">
        <f>S473</f>
        <v/>
      </c>
      <c r="AI473" s="22">
        <f>T473</f>
        <v/>
      </c>
      <c r="AJ473" s="21" t="n"/>
      <c r="AL473" s="24">
        <f>INDEX(EnergyCons!$F$4:$F$5000,MATCH(Settings!$C$4&amp;"|"&amp;AL$5&amp;"|"&amp;$C473&amp;"|"&amp;$B473,EnergyCons!$A$4:$A$5000,0))</f>
        <v/>
      </c>
      <c r="AM473" s="25">
        <f>AL473*(1/(1+INDEX($Q473:$AJ473,1,(AM$4-1)*5+4)))^(1+INDEX($Q473:$AJ473,1,(AM$4-1)*5+2))*(1+AM$7)^INDEX($Q473:$AJ473,1,(AM$4-1)*5+1)*(AM343/AL343)^INDEX($Q473:$AJ473,1,(AM$4-1)*5+2)*(AM343/AL343)^(INDEX($Q473:$AJ473,1,(AM$4-1)*5+3)*(1+INDEX($Q473:$AJ473,1,(AM$4-1)*5+2)))</f>
        <v/>
      </c>
      <c r="AN473" s="25">
        <f>AM473*(1/(1+INDEX($Q473:$AJ473,1,(AN$4-1)*5+4)))^(1+INDEX($Q473:$AJ473,1,(AN$4-1)*5+2))*(1+AN$7)^INDEX($Q473:$AJ473,1,(AN$4-1)*5+1)*(AN343/AM343)^INDEX($Q473:$AJ473,1,(AN$4-1)*5+2)*(AN343/AM343)^(INDEX($Q473:$AJ473,1,(AN$4-1)*5+3)*(1+INDEX($Q473:$AJ473,1,(AN$4-1)*5+2)))</f>
        <v/>
      </c>
      <c r="AO473" s="25">
        <f>AN473*(1/(1+INDEX($Q473:$AJ473,1,(AO$4-1)*5+4)))^(1+INDEX($Q473:$AJ473,1,(AO$4-1)*5+2))*(1+AO$7)^INDEX($Q473:$AJ473,1,(AO$4-1)*5+1)*(AO343/AN343)^INDEX($Q473:$AJ473,1,(AO$4-1)*5+2)*(AO343/AN343)^(INDEX($Q473:$AJ473,1,(AO$4-1)*5+3)*(1+INDEX($Q473:$AJ473,1,(AO$4-1)*5+2)))</f>
        <v/>
      </c>
      <c r="AP473" s="25">
        <f>AO473*(1/(1+INDEX($Q473:$AJ473,1,(AP$4-1)*5+4)))^(1+INDEX($Q473:$AJ473,1,(AP$4-1)*5+2))*(1+AP$7)^INDEX($Q473:$AJ473,1,(AP$4-1)*5+1)*(AP343/AO343)^INDEX($Q473:$AJ473,1,(AP$4-1)*5+2)*(AP343/AO343)^(INDEX($Q473:$AJ473,1,(AP$4-1)*5+3)*(1+INDEX($Q473:$AJ473,1,(AP$4-1)*5+2)))</f>
        <v/>
      </c>
      <c r="AQ473" s="25">
        <f>AP473*(1/(1+INDEX($Q473:$AJ473,1,(AQ$4-1)*5+4)))^(1+INDEX($Q473:$AJ473,1,(AQ$4-1)*5+2))*(1+AQ$7)^INDEX($Q473:$AJ473,1,(AQ$4-1)*5+1)*(AQ343/AP343)^INDEX($Q473:$AJ473,1,(AQ$4-1)*5+2)*(AQ343/AP343)^(INDEX($Q473:$AJ473,1,(AQ$4-1)*5+3)*(1+INDEX($Q473:$AJ473,1,(AQ$4-1)*5+2)))</f>
        <v/>
      </c>
      <c r="AR473" s="25">
        <f>AQ473*(1/(1+INDEX($Q473:$AJ473,1,(AR$4-1)*5+4)))^(1+INDEX($Q473:$AJ473,1,(AR$4-1)*5+2))*(1+AR$7)^INDEX($Q473:$AJ473,1,(AR$4-1)*5+1)*(AR343/AQ343)^INDEX($Q473:$AJ473,1,(AR$4-1)*5+2)*(AR343/AQ343)^(INDEX($Q473:$AJ473,1,(AR$4-1)*5+3)*(1+INDEX($Q473:$AJ473,1,(AR$4-1)*5+2)))</f>
        <v/>
      </c>
      <c r="AS473" s="25">
        <f>AR473*(1/(1+INDEX($Q473:$AJ473,1,(AS$4-1)*5+4)))^(1+INDEX($Q473:$AJ473,1,(AS$4-1)*5+2))*(1+AS$7)^INDEX($Q473:$AJ473,1,(AS$4-1)*5+1)*(AS343/AR343)^INDEX($Q473:$AJ473,1,(AS$4-1)*5+2)*(AS343/AR343)^(INDEX($Q473:$AJ473,1,(AS$4-1)*5+3)*(1+INDEX($Q473:$AJ473,1,(AS$4-1)*5+2)))</f>
        <v/>
      </c>
      <c r="AT473" s="25">
        <f>AS473*(1/(1+INDEX($Q473:$AJ473,1,(AT$4-1)*5+4)))^(1+INDEX($Q473:$AJ473,1,(AT$4-1)*5+2))*(1+AT$7)^INDEX($Q473:$AJ473,1,(AT$4-1)*5+1)*(AT343/AS343)^INDEX($Q473:$AJ473,1,(AT$4-1)*5+2)*(AT343/AS343)^(INDEX($Q473:$AJ473,1,(AT$4-1)*5+3)*(1+INDEX($Q473:$AJ473,1,(AT$4-1)*5+2)))</f>
        <v/>
      </c>
      <c r="AU473" s="25">
        <f>AT473*(1/(1+INDEX($Q473:$AJ473,1,(AU$4-1)*5+4)))^(1+INDEX($Q473:$AJ473,1,(AU$4-1)*5+2))*(1+AU$7)^INDEX($Q473:$AJ473,1,(AU$4-1)*5+1)*(AU343/AT343)^INDEX($Q473:$AJ473,1,(AU$4-1)*5+2)*(AU343/AT343)^(INDEX($Q473:$AJ473,1,(AU$4-1)*5+3)*(1+INDEX($Q473:$AJ473,1,(AU$4-1)*5+2)))</f>
        <v/>
      </c>
      <c r="AV473" s="25">
        <f>AU473*(1/(1+INDEX($Q473:$AJ473,1,(AV$4-1)*5+4)))^(1+INDEX($Q473:$AJ473,1,(AV$4-1)*5+2))*(1+AV$7)^INDEX($Q473:$AJ473,1,(AV$4-1)*5+1)*(AV343/AU343)^INDEX($Q473:$AJ473,1,(AV$4-1)*5+2)*(AV343/AU343)^(INDEX($Q473:$AJ473,1,(AV$4-1)*5+3)*(1+INDEX($Q473:$AJ473,1,(AV$4-1)*5+2)))</f>
        <v/>
      </c>
      <c r="AW473" s="25">
        <f>AV473*(1/(1+INDEX($Q473:$AJ473,1,(AW$4-1)*5+4)))^(1+INDEX($Q473:$AJ473,1,(AW$4-1)*5+2))*(1+AW$7)^INDEX($Q473:$AJ473,1,(AW$4-1)*5+1)*(AW343/AV343)^INDEX($Q473:$AJ473,1,(AW$4-1)*5+2)*(AW343/AV343)^(INDEX($Q473:$AJ473,1,(AW$4-1)*5+3)*(1+INDEX($Q473:$AJ473,1,(AW$4-1)*5+2)))</f>
        <v/>
      </c>
      <c r="AX473" s="25">
        <f>AW473*(1/(1+INDEX($Q473:$AJ473,1,(AX$4-1)*5+4)))^(1+INDEX($Q473:$AJ473,1,(AX$4-1)*5+2))*(1+AX$7)^INDEX($Q473:$AJ473,1,(AX$4-1)*5+1)*(AX343/AW343)^INDEX($Q473:$AJ473,1,(AX$4-1)*5+2)*(AX343/AW343)^(INDEX($Q473:$AJ473,1,(AX$4-1)*5+3)*(1+INDEX($Q473:$AJ473,1,(AX$4-1)*5+2)))</f>
        <v/>
      </c>
      <c r="AY473" s="25">
        <f>AX473*(1/(1+INDEX($Q473:$AJ473,1,(AY$4-1)*5+4)))^(1+INDEX($Q473:$AJ473,1,(AY$4-1)*5+2))*(1+AY$7)^INDEX($Q473:$AJ473,1,(AY$4-1)*5+1)*(AY343/AX343)^INDEX($Q473:$AJ473,1,(AY$4-1)*5+2)*(AY343/AX343)^(INDEX($Q473:$AJ473,1,(AY$4-1)*5+3)*(1+INDEX($Q473:$AJ473,1,(AY$4-1)*5+2)))</f>
        <v/>
      </c>
      <c r="BA473" s="24">
        <f>INDEX(EnergyCons!$F$4:$F$5000,MATCH(Settings!$C$4&amp;"|"&amp;BA$5&amp;"|"&amp;$C473&amp;"|"&amp;$B473,EnergyCons!$A$4:$A$5000,0))</f>
        <v/>
      </c>
      <c r="BB473" s="25">
        <f>BA473*(1/(1+INDEX($Q473:$AJ473,1,(BB$4-1)*5+4)))^(1+INDEX($Q473:$AJ473,1,(BB$4-1)*5+2))*(1+BB$7)^INDEX($Q473:$AJ473,1,(BB$4-1)*5+1)*(BB343/BA343)^INDEX($Q473:$AJ473,1,(BB$4-1)*5+2)*(BB343/BA343)^(INDEX($Q473:$AJ473,1,(BB$4-1)*5+3)*(1+INDEX($Q473:$AJ473,1,(BB$4-1)*5+2)))</f>
        <v/>
      </c>
      <c r="BC473" s="25">
        <f>BB473*(1/(1+INDEX($Q473:$AJ473,1,(BC$4-1)*5+4)))^(1+INDEX($Q473:$AJ473,1,(BC$4-1)*5+2))*(1+BC$7)^INDEX($Q473:$AJ473,1,(BC$4-1)*5+1)*(BC343/BB343)^INDEX($Q473:$AJ473,1,(BC$4-1)*5+2)*(BC343/BB343)^(INDEX($Q473:$AJ473,1,(BC$4-1)*5+3)*(1+INDEX($Q473:$AJ473,1,(BC$4-1)*5+2)))</f>
        <v/>
      </c>
      <c r="BD473" s="25">
        <f>BC473*(1/(1+INDEX($Q473:$AJ473,1,(BD$4-1)*5+4)))^(1+INDEX($Q473:$AJ473,1,(BD$4-1)*5+2))*(1+BD$7)^INDEX($Q473:$AJ473,1,(BD$4-1)*5+1)*(BD343/BC343)^INDEX($Q473:$AJ473,1,(BD$4-1)*5+2)*(BD343/BC343)^(INDEX($Q473:$AJ473,1,(BD$4-1)*5+3)*(1+INDEX($Q473:$AJ473,1,(BD$4-1)*5+2)))</f>
        <v/>
      </c>
      <c r="BE473" s="25">
        <f>BD473*(1/(1+INDEX($Q473:$AJ473,1,(BE$4-1)*5+4)))^(1+INDEX($Q473:$AJ473,1,(BE$4-1)*5+2))*(1+BE$7)^INDEX($Q473:$AJ473,1,(BE$4-1)*5+1)*(BE343/BD343)^INDEX($Q473:$AJ473,1,(BE$4-1)*5+2)*(BE343/BD343)^(INDEX($Q473:$AJ473,1,(BE$4-1)*5+3)*(1+INDEX($Q473:$AJ473,1,(BE$4-1)*5+2)))</f>
        <v/>
      </c>
      <c r="BF473" s="25">
        <f>BE473*(1/(1+INDEX($Q473:$AJ473,1,(BF$4-1)*5+4)))^(1+INDEX($Q473:$AJ473,1,(BF$4-1)*5+2))*(1+BF$7)^INDEX($Q473:$AJ473,1,(BF$4-1)*5+1)*(BF343/BE343)^INDEX($Q473:$AJ473,1,(BF$4-1)*5+2)*(BF343/BE343)^(INDEX($Q473:$AJ473,1,(BF$4-1)*5+3)*(1+INDEX($Q473:$AJ473,1,(BF$4-1)*5+2)))</f>
        <v/>
      </c>
      <c r="BG473" s="25">
        <f>BF473*(1/(1+INDEX($Q473:$AJ473,1,(BG$4-1)*5+4)))^(1+INDEX($Q473:$AJ473,1,(BG$4-1)*5+2))*(1+BG$7)^INDEX($Q473:$AJ473,1,(BG$4-1)*5+1)*(BG343/BF343)^INDEX($Q473:$AJ473,1,(BG$4-1)*5+2)*(BG343/BF343)^(INDEX($Q473:$AJ473,1,(BG$4-1)*5+3)*(1+INDEX($Q473:$AJ473,1,(BG$4-1)*5+2)))</f>
        <v/>
      </c>
      <c r="BH473" s="25">
        <f>BG473*(1/(1+INDEX($Q473:$AJ473,1,(BH$4-1)*5+4)))^(1+INDEX($Q473:$AJ473,1,(BH$4-1)*5+2))*(1+BH$7)^INDEX($Q473:$AJ473,1,(BH$4-1)*5+1)*(BH343/BG343)^INDEX($Q473:$AJ473,1,(BH$4-1)*5+2)*(BH343/BG343)^(INDEX($Q473:$AJ473,1,(BH$4-1)*5+3)*(1+INDEX($Q473:$AJ473,1,(BH$4-1)*5+2)))</f>
        <v/>
      </c>
      <c r="BI473" s="25">
        <f>BH473*(1/(1+INDEX($Q473:$AJ473,1,(BI$4-1)*5+4)))^(1+INDEX($Q473:$AJ473,1,(BI$4-1)*5+2))*(1+BI$7)^INDEX($Q473:$AJ473,1,(BI$4-1)*5+1)*(BI343/BH343)^INDEX($Q473:$AJ473,1,(BI$4-1)*5+2)*(BI343/BH343)^(INDEX($Q473:$AJ473,1,(BI$4-1)*5+3)*(1+INDEX($Q473:$AJ473,1,(BI$4-1)*5+2)))</f>
        <v/>
      </c>
      <c r="BJ473" s="25">
        <f>BI473*(1/(1+INDEX($Q473:$AJ473,1,(BJ$4-1)*5+4)))^(1+INDEX($Q473:$AJ473,1,(BJ$4-1)*5+2))*(1+BJ$7)^INDEX($Q473:$AJ473,1,(BJ$4-1)*5+1)*(BJ343/BI343)^INDEX($Q473:$AJ473,1,(BJ$4-1)*5+2)*(BJ343/BI343)^(INDEX($Q473:$AJ473,1,(BJ$4-1)*5+3)*(1+INDEX($Q473:$AJ473,1,(BJ$4-1)*5+2)))</f>
        <v/>
      </c>
      <c r="BK473" s="25">
        <f>BJ473*(1/(1+INDEX($Q473:$AJ473,1,(BK$4-1)*5+4)))^(1+INDEX($Q473:$AJ473,1,(BK$4-1)*5+2))*(1+BK$7)^INDEX($Q473:$AJ473,1,(BK$4-1)*5+1)*(BK343/BJ343)^INDEX($Q473:$AJ473,1,(BK$4-1)*5+2)*(BK343/BJ343)^(INDEX($Q473:$AJ473,1,(BK$4-1)*5+3)*(1+INDEX($Q473:$AJ473,1,(BK$4-1)*5+2)))</f>
        <v/>
      </c>
      <c r="BL473" s="25">
        <f>BK473*(1/(1+INDEX($Q473:$AJ473,1,(BL$4-1)*5+4)))^(1+INDEX($Q473:$AJ473,1,(BL$4-1)*5+2))*(1+BL$7)^INDEX($Q473:$AJ473,1,(BL$4-1)*5+1)*(BL343/BK343)^INDEX($Q473:$AJ473,1,(BL$4-1)*5+2)*(BL343/BK343)^(INDEX($Q473:$AJ473,1,(BL$4-1)*5+3)*(1+INDEX($Q473:$AJ473,1,(BL$4-1)*5+2)))</f>
        <v/>
      </c>
      <c r="BM473" s="25">
        <f>BL473*(1/(1+INDEX($Q473:$AJ473,1,(BM$4-1)*5+4)))^(1+INDEX($Q473:$AJ473,1,(BM$4-1)*5+2))*(1+BM$7)^INDEX($Q473:$AJ473,1,(BM$4-1)*5+1)*(BM343/BL343)^INDEX($Q473:$AJ473,1,(BM$4-1)*5+2)*(BM343/BL343)^(INDEX($Q473:$AJ473,1,(BM$4-1)*5+3)*(1+INDEX($Q473:$AJ473,1,(BM$4-1)*5+2)))</f>
        <v/>
      </c>
      <c r="BN473" s="25">
        <f>BM473*(1/(1+INDEX($Q473:$AJ473,1,(BN$4-1)*5+4)))^(1+INDEX($Q473:$AJ473,1,(BN$4-1)*5+2))*(1+BN$7)^INDEX($Q473:$AJ473,1,(BN$4-1)*5+1)*(BN343/BM343)^INDEX($Q473:$AJ473,1,(BN$4-1)*5+2)*(BN343/BM343)^(INDEX($Q473:$AJ473,1,(BN$4-1)*5+3)*(1+INDEX($Q473:$AJ473,1,(BN$4-1)*5+2)))</f>
        <v/>
      </c>
    </row>
    <row r="474">
      <c r="B474" s="5" t="inlineStr">
        <is>
          <t>nga</t>
        </is>
      </c>
      <c r="C474" s="5" t="inlineStr">
        <is>
          <t>nfm</t>
        </is>
      </c>
      <c r="D474" s="5" t="inlineStr">
        <is>
          <t>Fuel use | Other metals | Natural gas</t>
        </is>
      </c>
      <c r="E474" s="5" t="inlineStr">
        <is>
          <t>ktoe</t>
        </is>
      </c>
      <c r="F474" s="5" t="inlineStr">
        <is>
          <t>EnergyCons (base year), Elasticities</t>
        </is>
      </c>
      <c r="G474" s="19" t="inlineStr">
        <is>
          <t>mit.enc.nga.nfm</t>
        </is>
      </c>
      <c r="H474" s="19" t="inlineStr">
        <is>
          <t>mit.enc.nga.nfm</t>
        </is>
      </c>
      <c r="J474" s="5">
        <f>INDEX(Mapping!$C$5:$C$20,MATCH($C474,Mapping!$A$5:$A$20,0))</f>
        <v/>
      </c>
      <c r="K474" s="5">
        <f>INDEX(Mapping!$D$5:$D$20,MATCH($C474,Mapping!$A$5:$A$20,0))</f>
        <v/>
      </c>
      <c r="L474" s="5">
        <f>INDEX(Mapping!$C$24:$C$31,MATCH($B474,Mapping!$A$24:$A$31,0))</f>
        <v/>
      </c>
      <c r="M474" s="5">
        <f>INDEX(Mapping!$D$24:$D$31,MATCH($B474,Mapping!$A$24:$A$31,0))</f>
        <v/>
      </c>
      <c r="N474" s="5">
        <f>$B474&amp;"."&amp;IF(INDEX(Mapping!$E$24:$E$31,MATCH($B474,Mapping!$A$24:$A$31,0))="sub",INDEX(Mapping!$F$5:$F$20,MATCH($C474,Mapping!$A$5:$A$20,0)),"all")</f>
        <v/>
      </c>
      <c r="O474" s="5">
        <f>INDEX(Mapping!$E$5:$E$20,MATCH($C474,Mapping!$A$5:$A$20,0))</f>
        <v/>
      </c>
      <c r="P474" s="5">
        <f>INDEX(Mapping!$G$24:$G$31,MATCH($B474,Mapping!$A$24:$A$31,0))</f>
        <v/>
      </c>
      <c r="Q474" s="22">
        <f>INDEX(Elasticities!$F$4:$I$200,MATCH("inc|"&amp;$L474&amp;"|"&amp;$K474,Elasticities!$A$4:$A$200,0),MATCH(Settings!$C$6,Elasticities!$F$3:$I$3,0))</f>
        <v/>
      </c>
      <c r="R474" s="22">
        <f>INDEX(Elasticities!$F$4:$I$200,MATCH("usg|"&amp;$L474&amp;"|"&amp;$K474,Elasticities!$A$4:$A$200,0),MATCH(Settings!$C$6,Elasticities!$F$3:$I$3,0))</f>
        <v/>
      </c>
      <c r="S474" s="22">
        <f>INDEX(Elasticities!$F$4:$I$200,MATCH("eff|"&amp;$L474&amp;"|"&amp;$K474,Elasticities!$A$4:$A$200,0),MATCH(Settings!$C$6,Elasticities!$F$3:$I$3,0))</f>
        <v/>
      </c>
      <c r="T474" s="22">
        <f>INDEX(Elasticities!$F$4:$I$200,MATCH("aei|"&amp;$M474&amp;"|"&amp;$K474,Elasticities!$A$4:$A$200,0),MATCH(Settings!$C$6,Elasticities!$F$3:$I$3,0))</f>
        <v/>
      </c>
      <c r="U474" s="21" t="n"/>
      <c r="V474" s="22">
        <f>Q474</f>
        <v/>
      </c>
      <c r="W474" s="22">
        <f>R474</f>
        <v/>
      </c>
      <c r="X474" s="22">
        <f>S474</f>
        <v/>
      </c>
      <c r="Y474" s="22">
        <f>T474</f>
        <v/>
      </c>
      <c r="Z474" s="21" t="n"/>
      <c r="AA474" s="22">
        <f>Q474</f>
        <v/>
      </c>
      <c r="AB474" s="22">
        <f>R474</f>
        <v/>
      </c>
      <c r="AC474" s="22">
        <f>S474</f>
        <v/>
      </c>
      <c r="AD474" s="22">
        <f>T474</f>
        <v/>
      </c>
      <c r="AE474" s="21" t="n"/>
      <c r="AF474" s="22">
        <f>Q474</f>
        <v/>
      </c>
      <c r="AG474" s="22">
        <f>R474</f>
        <v/>
      </c>
      <c r="AH474" s="22">
        <f>S474</f>
        <v/>
      </c>
      <c r="AI474" s="22">
        <f>T474</f>
        <v/>
      </c>
      <c r="AJ474" s="21" t="n"/>
      <c r="AL474" s="24">
        <f>INDEX(EnergyCons!$F$4:$F$5000,MATCH(Settings!$C$4&amp;"|"&amp;AL$5&amp;"|"&amp;$C474&amp;"|"&amp;$B474,EnergyCons!$A$4:$A$5000,0))</f>
        <v/>
      </c>
      <c r="AM474" s="25">
        <f>AL474*(1/(1+INDEX($Q474:$AJ474,1,(AM$4-1)*5+4)))^(1+INDEX($Q474:$AJ474,1,(AM$4-1)*5+2))*(1+AM$7)^INDEX($Q474:$AJ474,1,(AM$4-1)*5+1)*(AM344/AL344)^INDEX($Q474:$AJ474,1,(AM$4-1)*5+2)*(AM344/AL344)^(INDEX($Q474:$AJ474,1,(AM$4-1)*5+3)*(1+INDEX($Q474:$AJ474,1,(AM$4-1)*5+2)))</f>
        <v/>
      </c>
      <c r="AN474" s="25">
        <f>AM474*(1/(1+INDEX($Q474:$AJ474,1,(AN$4-1)*5+4)))^(1+INDEX($Q474:$AJ474,1,(AN$4-1)*5+2))*(1+AN$7)^INDEX($Q474:$AJ474,1,(AN$4-1)*5+1)*(AN344/AM344)^INDEX($Q474:$AJ474,1,(AN$4-1)*5+2)*(AN344/AM344)^(INDEX($Q474:$AJ474,1,(AN$4-1)*5+3)*(1+INDEX($Q474:$AJ474,1,(AN$4-1)*5+2)))</f>
        <v/>
      </c>
      <c r="AO474" s="25">
        <f>AN474*(1/(1+INDEX($Q474:$AJ474,1,(AO$4-1)*5+4)))^(1+INDEX($Q474:$AJ474,1,(AO$4-1)*5+2))*(1+AO$7)^INDEX($Q474:$AJ474,1,(AO$4-1)*5+1)*(AO344/AN344)^INDEX($Q474:$AJ474,1,(AO$4-1)*5+2)*(AO344/AN344)^(INDEX($Q474:$AJ474,1,(AO$4-1)*5+3)*(1+INDEX($Q474:$AJ474,1,(AO$4-1)*5+2)))</f>
        <v/>
      </c>
      <c r="AP474" s="25">
        <f>AO474*(1/(1+INDEX($Q474:$AJ474,1,(AP$4-1)*5+4)))^(1+INDEX($Q474:$AJ474,1,(AP$4-1)*5+2))*(1+AP$7)^INDEX($Q474:$AJ474,1,(AP$4-1)*5+1)*(AP344/AO344)^INDEX($Q474:$AJ474,1,(AP$4-1)*5+2)*(AP344/AO344)^(INDEX($Q474:$AJ474,1,(AP$4-1)*5+3)*(1+INDEX($Q474:$AJ474,1,(AP$4-1)*5+2)))</f>
        <v/>
      </c>
      <c r="AQ474" s="25">
        <f>AP474*(1/(1+INDEX($Q474:$AJ474,1,(AQ$4-1)*5+4)))^(1+INDEX($Q474:$AJ474,1,(AQ$4-1)*5+2))*(1+AQ$7)^INDEX($Q474:$AJ474,1,(AQ$4-1)*5+1)*(AQ344/AP344)^INDEX($Q474:$AJ474,1,(AQ$4-1)*5+2)*(AQ344/AP344)^(INDEX($Q474:$AJ474,1,(AQ$4-1)*5+3)*(1+INDEX($Q474:$AJ474,1,(AQ$4-1)*5+2)))</f>
        <v/>
      </c>
      <c r="AR474" s="25">
        <f>AQ474*(1/(1+INDEX($Q474:$AJ474,1,(AR$4-1)*5+4)))^(1+INDEX($Q474:$AJ474,1,(AR$4-1)*5+2))*(1+AR$7)^INDEX($Q474:$AJ474,1,(AR$4-1)*5+1)*(AR344/AQ344)^INDEX($Q474:$AJ474,1,(AR$4-1)*5+2)*(AR344/AQ344)^(INDEX($Q474:$AJ474,1,(AR$4-1)*5+3)*(1+INDEX($Q474:$AJ474,1,(AR$4-1)*5+2)))</f>
        <v/>
      </c>
      <c r="AS474" s="25">
        <f>AR474*(1/(1+INDEX($Q474:$AJ474,1,(AS$4-1)*5+4)))^(1+INDEX($Q474:$AJ474,1,(AS$4-1)*5+2))*(1+AS$7)^INDEX($Q474:$AJ474,1,(AS$4-1)*5+1)*(AS344/AR344)^INDEX($Q474:$AJ474,1,(AS$4-1)*5+2)*(AS344/AR344)^(INDEX($Q474:$AJ474,1,(AS$4-1)*5+3)*(1+INDEX($Q474:$AJ474,1,(AS$4-1)*5+2)))</f>
        <v/>
      </c>
      <c r="AT474" s="25">
        <f>AS474*(1/(1+INDEX($Q474:$AJ474,1,(AT$4-1)*5+4)))^(1+INDEX($Q474:$AJ474,1,(AT$4-1)*5+2))*(1+AT$7)^INDEX($Q474:$AJ474,1,(AT$4-1)*5+1)*(AT344/AS344)^INDEX($Q474:$AJ474,1,(AT$4-1)*5+2)*(AT344/AS344)^(INDEX($Q474:$AJ474,1,(AT$4-1)*5+3)*(1+INDEX($Q474:$AJ474,1,(AT$4-1)*5+2)))</f>
        <v/>
      </c>
      <c r="AU474" s="25">
        <f>AT474*(1/(1+INDEX($Q474:$AJ474,1,(AU$4-1)*5+4)))^(1+INDEX($Q474:$AJ474,1,(AU$4-1)*5+2))*(1+AU$7)^INDEX($Q474:$AJ474,1,(AU$4-1)*5+1)*(AU344/AT344)^INDEX($Q474:$AJ474,1,(AU$4-1)*5+2)*(AU344/AT344)^(INDEX($Q474:$AJ474,1,(AU$4-1)*5+3)*(1+INDEX($Q474:$AJ474,1,(AU$4-1)*5+2)))</f>
        <v/>
      </c>
      <c r="AV474" s="25">
        <f>AU474*(1/(1+INDEX($Q474:$AJ474,1,(AV$4-1)*5+4)))^(1+INDEX($Q474:$AJ474,1,(AV$4-1)*5+2))*(1+AV$7)^INDEX($Q474:$AJ474,1,(AV$4-1)*5+1)*(AV344/AU344)^INDEX($Q474:$AJ474,1,(AV$4-1)*5+2)*(AV344/AU344)^(INDEX($Q474:$AJ474,1,(AV$4-1)*5+3)*(1+INDEX($Q474:$AJ474,1,(AV$4-1)*5+2)))</f>
        <v/>
      </c>
      <c r="AW474" s="25">
        <f>AV474*(1/(1+INDEX($Q474:$AJ474,1,(AW$4-1)*5+4)))^(1+INDEX($Q474:$AJ474,1,(AW$4-1)*5+2))*(1+AW$7)^INDEX($Q474:$AJ474,1,(AW$4-1)*5+1)*(AW344/AV344)^INDEX($Q474:$AJ474,1,(AW$4-1)*5+2)*(AW344/AV344)^(INDEX($Q474:$AJ474,1,(AW$4-1)*5+3)*(1+INDEX($Q474:$AJ474,1,(AW$4-1)*5+2)))</f>
        <v/>
      </c>
      <c r="AX474" s="25">
        <f>AW474*(1/(1+INDEX($Q474:$AJ474,1,(AX$4-1)*5+4)))^(1+INDEX($Q474:$AJ474,1,(AX$4-1)*5+2))*(1+AX$7)^INDEX($Q474:$AJ474,1,(AX$4-1)*5+1)*(AX344/AW344)^INDEX($Q474:$AJ474,1,(AX$4-1)*5+2)*(AX344/AW344)^(INDEX($Q474:$AJ474,1,(AX$4-1)*5+3)*(1+INDEX($Q474:$AJ474,1,(AX$4-1)*5+2)))</f>
        <v/>
      </c>
      <c r="AY474" s="25">
        <f>AX474*(1/(1+INDEX($Q474:$AJ474,1,(AY$4-1)*5+4)))^(1+INDEX($Q474:$AJ474,1,(AY$4-1)*5+2))*(1+AY$7)^INDEX($Q474:$AJ474,1,(AY$4-1)*5+1)*(AY344/AX344)^INDEX($Q474:$AJ474,1,(AY$4-1)*5+2)*(AY344/AX344)^(INDEX($Q474:$AJ474,1,(AY$4-1)*5+3)*(1+INDEX($Q474:$AJ474,1,(AY$4-1)*5+2)))</f>
        <v/>
      </c>
      <c r="BA474" s="24">
        <f>INDEX(EnergyCons!$F$4:$F$5000,MATCH(Settings!$C$4&amp;"|"&amp;BA$5&amp;"|"&amp;$C474&amp;"|"&amp;$B474,EnergyCons!$A$4:$A$5000,0))</f>
        <v/>
      </c>
      <c r="BB474" s="25">
        <f>BA474*(1/(1+INDEX($Q474:$AJ474,1,(BB$4-1)*5+4)))^(1+INDEX($Q474:$AJ474,1,(BB$4-1)*5+2))*(1+BB$7)^INDEX($Q474:$AJ474,1,(BB$4-1)*5+1)*(BB344/BA344)^INDEX($Q474:$AJ474,1,(BB$4-1)*5+2)*(BB344/BA344)^(INDEX($Q474:$AJ474,1,(BB$4-1)*5+3)*(1+INDEX($Q474:$AJ474,1,(BB$4-1)*5+2)))</f>
        <v/>
      </c>
      <c r="BC474" s="25">
        <f>BB474*(1/(1+INDEX($Q474:$AJ474,1,(BC$4-1)*5+4)))^(1+INDEX($Q474:$AJ474,1,(BC$4-1)*5+2))*(1+BC$7)^INDEX($Q474:$AJ474,1,(BC$4-1)*5+1)*(BC344/BB344)^INDEX($Q474:$AJ474,1,(BC$4-1)*5+2)*(BC344/BB344)^(INDEX($Q474:$AJ474,1,(BC$4-1)*5+3)*(1+INDEX($Q474:$AJ474,1,(BC$4-1)*5+2)))</f>
        <v/>
      </c>
      <c r="BD474" s="25">
        <f>BC474*(1/(1+INDEX($Q474:$AJ474,1,(BD$4-1)*5+4)))^(1+INDEX($Q474:$AJ474,1,(BD$4-1)*5+2))*(1+BD$7)^INDEX($Q474:$AJ474,1,(BD$4-1)*5+1)*(BD344/BC344)^INDEX($Q474:$AJ474,1,(BD$4-1)*5+2)*(BD344/BC344)^(INDEX($Q474:$AJ474,1,(BD$4-1)*5+3)*(1+INDEX($Q474:$AJ474,1,(BD$4-1)*5+2)))</f>
        <v/>
      </c>
      <c r="BE474" s="25">
        <f>BD474*(1/(1+INDEX($Q474:$AJ474,1,(BE$4-1)*5+4)))^(1+INDEX($Q474:$AJ474,1,(BE$4-1)*5+2))*(1+BE$7)^INDEX($Q474:$AJ474,1,(BE$4-1)*5+1)*(BE344/BD344)^INDEX($Q474:$AJ474,1,(BE$4-1)*5+2)*(BE344/BD344)^(INDEX($Q474:$AJ474,1,(BE$4-1)*5+3)*(1+INDEX($Q474:$AJ474,1,(BE$4-1)*5+2)))</f>
        <v/>
      </c>
      <c r="BF474" s="25">
        <f>BE474*(1/(1+INDEX($Q474:$AJ474,1,(BF$4-1)*5+4)))^(1+INDEX($Q474:$AJ474,1,(BF$4-1)*5+2))*(1+BF$7)^INDEX($Q474:$AJ474,1,(BF$4-1)*5+1)*(BF344/BE344)^INDEX($Q474:$AJ474,1,(BF$4-1)*5+2)*(BF344/BE344)^(INDEX($Q474:$AJ474,1,(BF$4-1)*5+3)*(1+INDEX($Q474:$AJ474,1,(BF$4-1)*5+2)))</f>
        <v/>
      </c>
      <c r="BG474" s="25">
        <f>BF474*(1/(1+INDEX($Q474:$AJ474,1,(BG$4-1)*5+4)))^(1+INDEX($Q474:$AJ474,1,(BG$4-1)*5+2))*(1+BG$7)^INDEX($Q474:$AJ474,1,(BG$4-1)*5+1)*(BG344/BF344)^INDEX($Q474:$AJ474,1,(BG$4-1)*5+2)*(BG344/BF344)^(INDEX($Q474:$AJ474,1,(BG$4-1)*5+3)*(1+INDEX($Q474:$AJ474,1,(BG$4-1)*5+2)))</f>
        <v/>
      </c>
      <c r="BH474" s="25">
        <f>BG474*(1/(1+INDEX($Q474:$AJ474,1,(BH$4-1)*5+4)))^(1+INDEX($Q474:$AJ474,1,(BH$4-1)*5+2))*(1+BH$7)^INDEX($Q474:$AJ474,1,(BH$4-1)*5+1)*(BH344/BG344)^INDEX($Q474:$AJ474,1,(BH$4-1)*5+2)*(BH344/BG344)^(INDEX($Q474:$AJ474,1,(BH$4-1)*5+3)*(1+INDEX($Q474:$AJ474,1,(BH$4-1)*5+2)))</f>
        <v/>
      </c>
      <c r="BI474" s="25">
        <f>BH474*(1/(1+INDEX($Q474:$AJ474,1,(BI$4-1)*5+4)))^(1+INDEX($Q474:$AJ474,1,(BI$4-1)*5+2))*(1+BI$7)^INDEX($Q474:$AJ474,1,(BI$4-1)*5+1)*(BI344/BH344)^INDEX($Q474:$AJ474,1,(BI$4-1)*5+2)*(BI344/BH344)^(INDEX($Q474:$AJ474,1,(BI$4-1)*5+3)*(1+INDEX($Q474:$AJ474,1,(BI$4-1)*5+2)))</f>
        <v/>
      </c>
      <c r="BJ474" s="25">
        <f>BI474*(1/(1+INDEX($Q474:$AJ474,1,(BJ$4-1)*5+4)))^(1+INDEX($Q474:$AJ474,1,(BJ$4-1)*5+2))*(1+BJ$7)^INDEX($Q474:$AJ474,1,(BJ$4-1)*5+1)*(BJ344/BI344)^INDEX($Q474:$AJ474,1,(BJ$4-1)*5+2)*(BJ344/BI344)^(INDEX($Q474:$AJ474,1,(BJ$4-1)*5+3)*(1+INDEX($Q474:$AJ474,1,(BJ$4-1)*5+2)))</f>
        <v/>
      </c>
      <c r="BK474" s="25">
        <f>BJ474*(1/(1+INDEX($Q474:$AJ474,1,(BK$4-1)*5+4)))^(1+INDEX($Q474:$AJ474,1,(BK$4-1)*5+2))*(1+BK$7)^INDEX($Q474:$AJ474,1,(BK$4-1)*5+1)*(BK344/BJ344)^INDEX($Q474:$AJ474,1,(BK$4-1)*5+2)*(BK344/BJ344)^(INDEX($Q474:$AJ474,1,(BK$4-1)*5+3)*(1+INDEX($Q474:$AJ474,1,(BK$4-1)*5+2)))</f>
        <v/>
      </c>
      <c r="BL474" s="25">
        <f>BK474*(1/(1+INDEX($Q474:$AJ474,1,(BL$4-1)*5+4)))^(1+INDEX($Q474:$AJ474,1,(BL$4-1)*5+2))*(1+BL$7)^INDEX($Q474:$AJ474,1,(BL$4-1)*5+1)*(BL344/BK344)^INDEX($Q474:$AJ474,1,(BL$4-1)*5+2)*(BL344/BK344)^(INDEX($Q474:$AJ474,1,(BL$4-1)*5+3)*(1+INDEX($Q474:$AJ474,1,(BL$4-1)*5+2)))</f>
        <v/>
      </c>
      <c r="BM474" s="25">
        <f>BL474*(1/(1+INDEX($Q474:$AJ474,1,(BM$4-1)*5+4)))^(1+INDEX($Q474:$AJ474,1,(BM$4-1)*5+2))*(1+BM$7)^INDEX($Q474:$AJ474,1,(BM$4-1)*5+1)*(BM344/BL344)^INDEX($Q474:$AJ474,1,(BM$4-1)*5+2)*(BM344/BL344)^(INDEX($Q474:$AJ474,1,(BM$4-1)*5+3)*(1+INDEX($Q474:$AJ474,1,(BM$4-1)*5+2)))</f>
        <v/>
      </c>
      <c r="BN474" s="25">
        <f>BM474*(1/(1+INDEX($Q474:$AJ474,1,(BN$4-1)*5+4)))^(1+INDEX($Q474:$AJ474,1,(BN$4-1)*5+2))*(1+BN$7)^INDEX($Q474:$AJ474,1,(BN$4-1)*5+1)*(BN344/BM344)^INDEX($Q474:$AJ474,1,(BN$4-1)*5+2)*(BN344/BM344)^(INDEX($Q474:$AJ474,1,(BN$4-1)*5+3)*(1+INDEX($Q474:$AJ474,1,(BN$4-1)*5+2)))</f>
        <v/>
      </c>
    </row>
    <row r="475">
      <c r="B475" s="5" t="inlineStr">
        <is>
          <t>gso</t>
        </is>
      </c>
      <c r="C475" s="5" t="inlineStr">
        <is>
          <t>nfm</t>
        </is>
      </c>
      <c r="D475" s="5" t="inlineStr">
        <is>
          <t>Fuel use | Other metals | Gasoline</t>
        </is>
      </c>
      <c r="E475" s="5" t="inlineStr">
        <is>
          <t>ktoe</t>
        </is>
      </c>
      <c r="F475" s="5" t="inlineStr">
        <is>
          <t>EnergyCons (base year), Elasticities</t>
        </is>
      </c>
      <c r="G475" s="19" t="inlineStr">
        <is>
          <t>mit.enc.gso.nfm</t>
        </is>
      </c>
      <c r="H475" s="19" t="inlineStr">
        <is>
          <t>mit.enc.gso.nfm</t>
        </is>
      </c>
      <c r="J475" s="5">
        <f>INDEX(Mapping!$C$5:$C$20,MATCH($C475,Mapping!$A$5:$A$20,0))</f>
        <v/>
      </c>
      <c r="K475" s="5">
        <f>INDEX(Mapping!$D$5:$D$20,MATCH($C475,Mapping!$A$5:$A$20,0))</f>
        <v/>
      </c>
      <c r="L475" s="5">
        <f>INDEX(Mapping!$C$24:$C$31,MATCH($B475,Mapping!$A$24:$A$31,0))</f>
        <v/>
      </c>
      <c r="M475" s="5">
        <f>INDEX(Mapping!$D$24:$D$31,MATCH($B475,Mapping!$A$24:$A$31,0))</f>
        <v/>
      </c>
      <c r="N475" s="5">
        <f>$B475&amp;"."&amp;IF(INDEX(Mapping!$E$24:$E$31,MATCH($B475,Mapping!$A$24:$A$31,0))="sub",INDEX(Mapping!$F$5:$F$20,MATCH($C475,Mapping!$A$5:$A$20,0)),"all")</f>
        <v/>
      </c>
      <c r="O475" s="5">
        <f>INDEX(Mapping!$E$5:$E$20,MATCH($C475,Mapping!$A$5:$A$20,0))</f>
        <v/>
      </c>
      <c r="P475" s="5">
        <f>INDEX(Mapping!$G$24:$G$31,MATCH($B475,Mapping!$A$24:$A$31,0))</f>
        <v/>
      </c>
      <c r="Q475" s="22">
        <f>INDEX(Elasticities!$F$4:$I$200,MATCH("inc|"&amp;$L475&amp;"|"&amp;$K475,Elasticities!$A$4:$A$200,0),MATCH(Settings!$C$6,Elasticities!$F$3:$I$3,0))</f>
        <v/>
      </c>
      <c r="R475" s="22">
        <f>INDEX(Elasticities!$F$4:$I$200,MATCH("usg|"&amp;$L475&amp;"|"&amp;$K475,Elasticities!$A$4:$A$200,0),MATCH(Settings!$C$6,Elasticities!$F$3:$I$3,0))</f>
        <v/>
      </c>
      <c r="S475" s="22">
        <f>INDEX(Elasticities!$F$4:$I$200,MATCH("eff|"&amp;$L475&amp;"|"&amp;$K475,Elasticities!$A$4:$A$200,0),MATCH(Settings!$C$6,Elasticities!$F$3:$I$3,0))</f>
        <v/>
      </c>
      <c r="T475" s="22">
        <f>INDEX(Elasticities!$F$4:$I$200,MATCH("aei|"&amp;$M475&amp;"|"&amp;$K475,Elasticities!$A$4:$A$200,0),MATCH(Settings!$C$6,Elasticities!$F$3:$I$3,0))</f>
        <v/>
      </c>
      <c r="U475" s="21" t="n"/>
      <c r="V475" s="22">
        <f>Q475</f>
        <v/>
      </c>
      <c r="W475" s="22">
        <f>R475</f>
        <v/>
      </c>
      <c r="X475" s="22">
        <f>S475</f>
        <v/>
      </c>
      <c r="Y475" s="22">
        <f>T475</f>
        <v/>
      </c>
      <c r="Z475" s="21" t="n"/>
      <c r="AA475" s="22">
        <f>Q475</f>
        <v/>
      </c>
      <c r="AB475" s="22">
        <f>R475</f>
        <v/>
      </c>
      <c r="AC475" s="22">
        <f>S475</f>
        <v/>
      </c>
      <c r="AD475" s="22">
        <f>T475</f>
        <v/>
      </c>
      <c r="AE475" s="21" t="n"/>
      <c r="AF475" s="22">
        <f>Q475</f>
        <v/>
      </c>
      <c r="AG475" s="22">
        <f>R475</f>
        <v/>
      </c>
      <c r="AH475" s="22">
        <f>S475</f>
        <v/>
      </c>
      <c r="AI475" s="22">
        <f>T475</f>
        <v/>
      </c>
      <c r="AJ475" s="21" t="n"/>
      <c r="AL475" s="24">
        <f>INDEX(EnergyCons!$F$4:$F$5000,MATCH(Settings!$C$4&amp;"|"&amp;AL$5&amp;"|"&amp;$C475&amp;"|"&amp;$B475,EnergyCons!$A$4:$A$5000,0))</f>
        <v/>
      </c>
      <c r="AM475" s="25">
        <f>AL475*(1/(1+INDEX($Q475:$AJ475,1,(AM$4-1)*5+4)))^(1+INDEX($Q475:$AJ475,1,(AM$4-1)*5+2))*(1+AM$7)^INDEX($Q475:$AJ475,1,(AM$4-1)*5+1)*(AM345/AL345)^INDEX($Q475:$AJ475,1,(AM$4-1)*5+2)*(AM345/AL345)^(INDEX($Q475:$AJ475,1,(AM$4-1)*5+3)*(1+INDEX($Q475:$AJ475,1,(AM$4-1)*5+2)))</f>
        <v/>
      </c>
      <c r="AN475" s="25">
        <f>AM475*(1/(1+INDEX($Q475:$AJ475,1,(AN$4-1)*5+4)))^(1+INDEX($Q475:$AJ475,1,(AN$4-1)*5+2))*(1+AN$7)^INDEX($Q475:$AJ475,1,(AN$4-1)*5+1)*(AN345/AM345)^INDEX($Q475:$AJ475,1,(AN$4-1)*5+2)*(AN345/AM345)^(INDEX($Q475:$AJ475,1,(AN$4-1)*5+3)*(1+INDEX($Q475:$AJ475,1,(AN$4-1)*5+2)))</f>
        <v/>
      </c>
      <c r="AO475" s="25">
        <f>AN475*(1/(1+INDEX($Q475:$AJ475,1,(AO$4-1)*5+4)))^(1+INDEX($Q475:$AJ475,1,(AO$4-1)*5+2))*(1+AO$7)^INDEX($Q475:$AJ475,1,(AO$4-1)*5+1)*(AO345/AN345)^INDEX($Q475:$AJ475,1,(AO$4-1)*5+2)*(AO345/AN345)^(INDEX($Q475:$AJ475,1,(AO$4-1)*5+3)*(1+INDEX($Q475:$AJ475,1,(AO$4-1)*5+2)))</f>
        <v/>
      </c>
      <c r="AP475" s="25">
        <f>AO475*(1/(1+INDEX($Q475:$AJ475,1,(AP$4-1)*5+4)))^(1+INDEX($Q475:$AJ475,1,(AP$4-1)*5+2))*(1+AP$7)^INDEX($Q475:$AJ475,1,(AP$4-1)*5+1)*(AP345/AO345)^INDEX($Q475:$AJ475,1,(AP$4-1)*5+2)*(AP345/AO345)^(INDEX($Q475:$AJ475,1,(AP$4-1)*5+3)*(1+INDEX($Q475:$AJ475,1,(AP$4-1)*5+2)))</f>
        <v/>
      </c>
      <c r="AQ475" s="25">
        <f>AP475*(1/(1+INDEX($Q475:$AJ475,1,(AQ$4-1)*5+4)))^(1+INDEX($Q475:$AJ475,1,(AQ$4-1)*5+2))*(1+AQ$7)^INDEX($Q475:$AJ475,1,(AQ$4-1)*5+1)*(AQ345/AP345)^INDEX($Q475:$AJ475,1,(AQ$4-1)*5+2)*(AQ345/AP345)^(INDEX($Q475:$AJ475,1,(AQ$4-1)*5+3)*(1+INDEX($Q475:$AJ475,1,(AQ$4-1)*5+2)))</f>
        <v/>
      </c>
      <c r="AR475" s="25">
        <f>AQ475*(1/(1+INDEX($Q475:$AJ475,1,(AR$4-1)*5+4)))^(1+INDEX($Q475:$AJ475,1,(AR$4-1)*5+2))*(1+AR$7)^INDEX($Q475:$AJ475,1,(AR$4-1)*5+1)*(AR345/AQ345)^INDEX($Q475:$AJ475,1,(AR$4-1)*5+2)*(AR345/AQ345)^(INDEX($Q475:$AJ475,1,(AR$4-1)*5+3)*(1+INDEX($Q475:$AJ475,1,(AR$4-1)*5+2)))</f>
        <v/>
      </c>
      <c r="AS475" s="25">
        <f>AR475*(1/(1+INDEX($Q475:$AJ475,1,(AS$4-1)*5+4)))^(1+INDEX($Q475:$AJ475,1,(AS$4-1)*5+2))*(1+AS$7)^INDEX($Q475:$AJ475,1,(AS$4-1)*5+1)*(AS345/AR345)^INDEX($Q475:$AJ475,1,(AS$4-1)*5+2)*(AS345/AR345)^(INDEX($Q475:$AJ475,1,(AS$4-1)*5+3)*(1+INDEX($Q475:$AJ475,1,(AS$4-1)*5+2)))</f>
        <v/>
      </c>
      <c r="AT475" s="25">
        <f>AS475*(1/(1+INDEX($Q475:$AJ475,1,(AT$4-1)*5+4)))^(1+INDEX($Q475:$AJ475,1,(AT$4-1)*5+2))*(1+AT$7)^INDEX($Q475:$AJ475,1,(AT$4-1)*5+1)*(AT345/AS345)^INDEX($Q475:$AJ475,1,(AT$4-1)*5+2)*(AT345/AS345)^(INDEX($Q475:$AJ475,1,(AT$4-1)*5+3)*(1+INDEX($Q475:$AJ475,1,(AT$4-1)*5+2)))</f>
        <v/>
      </c>
      <c r="AU475" s="25">
        <f>AT475*(1/(1+INDEX($Q475:$AJ475,1,(AU$4-1)*5+4)))^(1+INDEX($Q475:$AJ475,1,(AU$4-1)*5+2))*(1+AU$7)^INDEX($Q475:$AJ475,1,(AU$4-1)*5+1)*(AU345/AT345)^INDEX($Q475:$AJ475,1,(AU$4-1)*5+2)*(AU345/AT345)^(INDEX($Q475:$AJ475,1,(AU$4-1)*5+3)*(1+INDEX($Q475:$AJ475,1,(AU$4-1)*5+2)))</f>
        <v/>
      </c>
      <c r="AV475" s="25">
        <f>AU475*(1/(1+INDEX($Q475:$AJ475,1,(AV$4-1)*5+4)))^(1+INDEX($Q475:$AJ475,1,(AV$4-1)*5+2))*(1+AV$7)^INDEX($Q475:$AJ475,1,(AV$4-1)*5+1)*(AV345/AU345)^INDEX($Q475:$AJ475,1,(AV$4-1)*5+2)*(AV345/AU345)^(INDEX($Q475:$AJ475,1,(AV$4-1)*5+3)*(1+INDEX($Q475:$AJ475,1,(AV$4-1)*5+2)))</f>
        <v/>
      </c>
      <c r="AW475" s="25">
        <f>AV475*(1/(1+INDEX($Q475:$AJ475,1,(AW$4-1)*5+4)))^(1+INDEX($Q475:$AJ475,1,(AW$4-1)*5+2))*(1+AW$7)^INDEX($Q475:$AJ475,1,(AW$4-1)*5+1)*(AW345/AV345)^INDEX($Q475:$AJ475,1,(AW$4-1)*5+2)*(AW345/AV345)^(INDEX($Q475:$AJ475,1,(AW$4-1)*5+3)*(1+INDEX($Q475:$AJ475,1,(AW$4-1)*5+2)))</f>
        <v/>
      </c>
      <c r="AX475" s="25">
        <f>AW475*(1/(1+INDEX($Q475:$AJ475,1,(AX$4-1)*5+4)))^(1+INDEX($Q475:$AJ475,1,(AX$4-1)*5+2))*(1+AX$7)^INDEX($Q475:$AJ475,1,(AX$4-1)*5+1)*(AX345/AW345)^INDEX($Q475:$AJ475,1,(AX$4-1)*5+2)*(AX345/AW345)^(INDEX($Q475:$AJ475,1,(AX$4-1)*5+3)*(1+INDEX($Q475:$AJ475,1,(AX$4-1)*5+2)))</f>
        <v/>
      </c>
      <c r="AY475" s="25">
        <f>AX475*(1/(1+INDEX($Q475:$AJ475,1,(AY$4-1)*5+4)))^(1+INDEX($Q475:$AJ475,1,(AY$4-1)*5+2))*(1+AY$7)^INDEX($Q475:$AJ475,1,(AY$4-1)*5+1)*(AY345/AX345)^INDEX($Q475:$AJ475,1,(AY$4-1)*5+2)*(AY345/AX345)^(INDEX($Q475:$AJ475,1,(AY$4-1)*5+3)*(1+INDEX($Q475:$AJ475,1,(AY$4-1)*5+2)))</f>
        <v/>
      </c>
      <c r="BA475" s="24">
        <f>INDEX(EnergyCons!$F$4:$F$5000,MATCH(Settings!$C$4&amp;"|"&amp;BA$5&amp;"|"&amp;$C475&amp;"|"&amp;$B475,EnergyCons!$A$4:$A$5000,0))</f>
        <v/>
      </c>
      <c r="BB475" s="25">
        <f>BA475*(1/(1+INDEX($Q475:$AJ475,1,(BB$4-1)*5+4)))^(1+INDEX($Q475:$AJ475,1,(BB$4-1)*5+2))*(1+BB$7)^INDEX($Q475:$AJ475,1,(BB$4-1)*5+1)*(BB345/BA345)^INDEX($Q475:$AJ475,1,(BB$4-1)*5+2)*(BB345/BA345)^(INDEX($Q475:$AJ475,1,(BB$4-1)*5+3)*(1+INDEX($Q475:$AJ475,1,(BB$4-1)*5+2)))</f>
        <v/>
      </c>
      <c r="BC475" s="25">
        <f>BB475*(1/(1+INDEX($Q475:$AJ475,1,(BC$4-1)*5+4)))^(1+INDEX($Q475:$AJ475,1,(BC$4-1)*5+2))*(1+BC$7)^INDEX($Q475:$AJ475,1,(BC$4-1)*5+1)*(BC345/BB345)^INDEX($Q475:$AJ475,1,(BC$4-1)*5+2)*(BC345/BB345)^(INDEX($Q475:$AJ475,1,(BC$4-1)*5+3)*(1+INDEX($Q475:$AJ475,1,(BC$4-1)*5+2)))</f>
        <v/>
      </c>
      <c r="BD475" s="25">
        <f>BC475*(1/(1+INDEX($Q475:$AJ475,1,(BD$4-1)*5+4)))^(1+INDEX($Q475:$AJ475,1,(BD$4-1)*5+2))*(1+BD$7)^INDEX($Q475:$AJ475,1,(BD$4-1)*5+1)*(BD345/BC345)^INDEX($Q475:$AJ475,1,(BD$4-1)*5+2)*(BD345/BC345)^(INDEX($Q475:$AJ475,1,(BD$4-1)*5+3)*(1+INDEX($Q475:$AJ475,1,(BD$4-1)*5+2)))</f>
        <v/>
      </c>
      <c r="BE475" s="25">
        <f>BD475*(1/(1+INDEX($Q475:$AJ475,1,(BE$4-1)*5+4)))^(1+INDEX($Q475:$AJ475,1,(BE$4-1)*5+2))*(1+BE$7)^INDEX($Q475:$AJ475,1,(BE$4-1)*5+1)*(BE345/BD345)^INDEX($Q475:$AJ475,1,(BE$4-1)*5+2)*(BE345/BD345)^(INDEX($Q475:$AJ475,1,(BE$4-1)*5+3)*(1+INDEX($Q475:$AJ475,1,(BE$4-1)*5+2)))</f>
        <v/>
      </c>
      <c r="BF475" s="25">
        <f>BE475*(1/(1+INDEX($Q475:$AJ475,1,(BF$4-1)*5+4)))^(1+INDEX($Q475:$AJ475,1,(BF$4-1)*5+2))*(1+BF$7)^INDEX($Q475:$AJ475,1,(BF$4-1)*5+1)*(BF345/BE345)^INDEX($Q475:$AJ475,1,(BF$4-1)*5+2)*(BF345/BE345)^(INDEX($Q475:$AJ475,1,(BF$4-1)*5+3)*(1+INDEX($Q475:$AJ475,1,(BF$4-1)*5+2)))</f>
        <v/>
      </c>
      <c r="BG475" s="25">
        <f>BF475*(1/(1+INDEX($Q475:$AJ475,1,(BG$4-1)*5+4)))^(1+INDEX($Q475:$AJ475,1,(BG$4-1)*5+2))*(1+BG$7)^INDEX($Q475:$AJ475,1,(BG$4-1)*5+1)*(BG345/BF345)^INDEX($Q475:$AJ475,1,(BG$4-1)*5+2)*(BG345/BF345)^(INDEX($Q475:$AJ475,1,(BG$4-1)*5+3)*(1+INDEX($Q475:$AJ475,1,(BG$4-1)*5+2)))</f>
        <v/>
      </c>
      <c r="BH475" s="25">
        <f>BG475*(1/(1+INDEX($Q475:$AJ475,1,(BH$4-1)*5+4)))^(1+INDEX($Q475:$AJ475,1,(BH$4-1)*5+2))*(1+BH$7)^INDEX($Q475:$AJ475,1,(BH$4-1)*5+1)*(BH345/BG345)^INDEX($Q475:$AJ475,1,(BH$4-1)*5+2)*(BH345/BG345)^(INDEX($Q475:$AJ475,1,(BH$4-1)*5+3)*(1+INDEX($Q475:$AJ475,1,(BH$4-1)*5+2)))</f>
        <v/>
      </c>
      <c r="BI475" s="25">
        <f>BH475*(1/(1+INDEX($Q475:$AJ475,1,(BI$4-1)*5+4)))^(1+INDEX($Q475:$AJ475,1,(BI$4-1)*5+2))*(1+BI$7)^INDEX($Q475:$AJ475,1,(BI$4-1)*5+1)*(BI345/BH345)^INDEX($Q475:$AJ475,1,(BI$4-1)*5+2)*(BI345/BH345)^(INDEX($Q475:$AJ475,1,(BI$4-1)*5+3)*(1+INDEX($Q475:$AJ475,1,(BI$4-1)*5+2)))</f>
        <v/>
      </c>
      <c r="BJ475" s="25">
        <f>BI475*(1/(1+INDEX($Q475:$AJ475,1,(BJ$4-1)*5+4)))^(1+INDEX($Q475:$AJ475,1,(BJ$4-1)*5+2))*(1+BJ$7)^INDEX($Q475:$AJ475,1,(BJ$4-1)*5+1)*(BJ345/BI345)^INDEX($Q475:$AJ475,1,(BJ$4-1)*5+2)*(BJ345/BI345)^(INDEX($Q475:$AJ475,1,(BJ$4-1)*5+3)*(1+INDEX($Q475:$AJ475,1,(BJ$4-1)*5+2)))</f>
        <v/>
      </c>
      <c r="BK475" s="25">
        <f>BJ475*(1/(1+INDEX($Q475:$AJ475,1,(BK$4-1)*5+4)))^(1+INDEX($Q475:$AJ475,1,(BK$4-1)*5+2))*(1+BK$7)^INDEX($Q475:$AJ475,1,(BK$4-1)*5+1)*(BK345/BJ345)^INDEX($Q475:$AJ475,1,(BK$4-1)*5+2)*(BK345/BJ345)^(INDEX($Q475:$AJ475,1,(BK$4-1)*5+3)*(1+INDEX($Q475:$AJ475,1,(BK$4-1)*5+2)))</f>
        <v/>
      </c>
      <c r="BL475" s="25">
        <f>BK475*(1/(1+INDEX($Q475:$AJ475,1,(BL$4-1)*5+4)))^(1+INDEX($Q475:$AJ475,1,(BL$4-1)*5+2))*(1+BL$7)^INDEX($Q475:$AJ475,1,(BL$4-1)*5+1)*(BL345/BK345)^INDEX($Q475:$AJ475,1,(BL$4-1)*5+2)*(BL345/BK345)^(INDEX($Q475:$AJ475,1,(BL$4-1)*5+3)*(1+INDEX($Q475:$AJ475,1,(BL$4-1)*5+2)))</f>
        <v/>
      </c>
      <c r="BM475" s="25">
        <f>BL475*(1/(1+INDEX($Q475:$AJ475,1,(BM$4-1)*5+4)))^(1+INDEX($Q475:$AJ475,1,(BM$4-1)*5+2))*(1+BM$7)^INDEX($Q475:$AJ475,1,(BM$4-1)*5+1)*(BM345/BL345)^INDEX($Q475:$AJ475,1,(BM$4-1)*5+2)*(BM345/BL345)^(INDEX($Q475:$AJ475,1,(BM$4-1)*5+3)*(1+INDEX($Q475:$AJ475,1,(BM$4-1)*5+2)))</f>
        <v/>
      </c>
      <c r="BN475" s="25">
        <f>BM475*(1/(1+INDEX($Q475:$AJ475,1,(BN$4-1)*5+4)))^(1+INDEX($Q475:$AJ475,1,(BN$4-1)*5+2))*(1+BN$7)^INDEX($Q475:$AJ475,1,(BN$4-1)*5+1)*(BN345/BM345)^INDEX($Q475:$AJ475,1,(BN$4-1)*5+2)*(BN345/BM345)^(INDEX($Q475:$AJ475,1,(BN$4-1)*5+3)*(1+INDEX($Q475:$AJ475,1,(BN$4-1)*5+2)))</f>
        <v/>
      </c>
    </row>
    <row r="476">
      <c r="B476" s="5" t="inlineStr">
        <is>
          <t>die</t>
        </is>
      </c>
      <c r="C476" s="5" t="inlineStr">
        <is>
          <t>nfm</t>
        </is>
      </c>
      <c r="D476" s="5" t="inlineStr">
        <is>
          <t>Fuel use | Other metals | Diesel</t>
        </is>
      </c>
      <c r="E476" s="5" t="inlineStr">
        <is>
          <t>ktoe</t>
        </is>
      </c>
      <c r="F476" s="5" t="inlineStr">
        <is>
          <t>EnergyCons (base year), Elasticities</t>
        </is>
      </c>
      <c r="G476" s="19" t="inlineStr">
        <is>
          <t>mit.enc.die.nfm</t>
        </is>
      </c>
      <c r="H476" s="19" t="inlineStr">
        <is>
          <t>mit.enc.die.nfm</t>
        </is>
      </c>
      <c r="J476" s="5">
        <f>INDEX(Mapping!$C$5:$C$20,MATCH($C476,Mapping!$A$5:$A$20,0))</f>
        <v/>
      </c>
      <c r="K476" s="5">
        <f>INDEX(Mapping!$D$5:$D$20,MATCH($C476,Mapping!$A$5:$A$20,0))</f>
        <v/>
      </c>
      <c r="L476" s="5">
        <f>INDEX(Mapping!$C$24:$C$31,MATCH($B476,Mapping!$A$24:$A$31,0))</f>
        <v/>
      </c>
      <c r="M476" s="5">
        <f>INDEX(Mapping!$D$24:$D$31,MATCH($B476,Mapping!$A$24:$A$31,0))</f>
        <v/>
      </c>
      <c r="N476" s="5">
        <f>$B476&amp;"."&amp;IF(INDEX(Mapping!$E$24:$E$31,MATCH($B476,Mapping!$A$24:$A$31,0))="sub",INDEX(Mapping!$F$5:$F$20,MATCH($C476,Mapping!$A$5:$A$20,0)),"all")</f>
        <v/>
      </c>
      <c r="O476" s="5">
        <f>INDEX(Mapping!$E$5:$E$20,MATCH($C476,Mapping!$A$5:$A$20,0))</f>
        <v/>
      </c>
      <c r="P476" s="5">
        <f>INDEX(Mapping!$G$24:$G$31,MATCH($B476,Mapping!$A$24:$A$31,0))</f>
        <v/>
      </c>
      <c r="Q476" s="22">
        <f>INDEX(Elasticities!$F$4:$I$200,MATCH("inc|"&amp;$L476&amp;"|"&amp;$K476,Elasticities!$A$4:$A$200,0),MATCH(Settings!$C$6,Elasticities!$F$3:$I$3,0))</f>
        <v/>
      </c>
      <c r="R476" s="22">
        <f>INDEX(Elasticities!$F$4:$I$200,MATCH("usg|"&amp;$L476&amp;"|"&amp;$K476,Elasticities!$A$4:$A$200,0),MATCH(Settings!$C$6,Elasticities!$F$3:$I$3,0))</f>
        <v/>
      </c>
      <c r="S476" s="22">
        <f>INDEX(Elasticities!$F$4:$I$200,MATCH("eff|"&amp;$L476&amp;"|"&amp;$K476,Elasticities!$A$4:$A$200,0),MATCH(Settings!$C$6,Elasticities!$F$3:$I$3,0))</f>
        <v/>
      </c>
      <c r="T476" s="22">
        <f>INDEX(Elasticities!$F$4:$I$200,MATCH("aei|"&amp;$M476&amp;"|"&amp;$K476,Elasticities!$A$4:$A$200,0),MATCH(Settings!$C$6,Elasticities!$F$3:$I$3,0))</f>
        <v/>
      </c>
      <c r="U476" s="21" t="n"/>
      <c r="V476" s="22">
        <f>Q476</f>
        <v/>
      </c>
      <c r="W476" s="22">
        <f>R476</f>
        <v/>
      </c>
      <c r="X476" s="22">
        <f>S476</f>
        <v/>
      </c>
      <c r="Y476" s="22">
        <f>T476</f>
        <v/>
      </c>
      <c r="Z476" s="21" t="n"/>
      <c r="AA476" s="22">
        <f>Q476</f>
        <v/>
      </c>
      <c r="AB476" s="22">
        <f>R476</f>
        <v/>
      </c>
      <c r="AC476" s="22">
        <f>S476</f>
        <v/>
      </c>
      <c r="AD476" s="22">
        <f>T476</f>
        <v/>
      </c>
      <c r="AE476" s="21" t="n"/>
      <c r="AF476" s="22">
        <f>Q476</f>
        <v/>
      </c>
      <c r="AG476" s="22">
        <f>R476</f>
        <v/>
      </c>
      <c r="AH476" s="22">
        <f>S476</f>
        <v/>
      </c>
      <c r="AI476" s="22">
        <f>T476</f>
        <v/>
      </c>
      <c r="AJ476" s="21" t="n"/>
      <c r="AL476" s="24">
        <f>INDEX(EnergyCons!$F$4:$F$5000,MATCH(Settings!$C$4&amp;"|"&amp;AL$5&amp;"|"&amp;$C476&amp;"|"&amp;$B476,EnergyCons!$A$4:$A$5000,0))</f>
        <v/>
      </c>
      <c r="AM476" s="25">
        <f>AL476*(1/(1+INDEX($Q476:$AJ476,1,(AM$4-1)*5+4)))^(1+INDEX($Q476:$AJ476,1,(AM$4-1)*5+2))*(1+AM$7)^INDEX($Q476:$AJ476,1,(AM$4-1)*5+1)*(AM346/AL346)^INDEX($Q476:$AJ476,1,(AM$4-1)*5+2)*(AM346/AL346)^(INDEX($Q476:$AJ476,1,(AM$4-1)*5+3)*(1+INDEX($Q476:$AJ476,1,(AM$4-1)*5+2)))</f>
        <v/>
      </c>
      <c r="AN476" s="25">
        <f>AM476*(1/(1+INDEX($Q476:$AJ476,1,(AN$4-1)*5+4)))^(1+INDEX($Q476:$AJ476,1,(AN$4-1)*5+2))*(1+AN$7)^INDEX($Q476:$AJ476,1,(AN$4-1)*5+1)*(AN346/AM346)^INDEX($Q476:$AJ476,1,(AN$4-1)*5+2)*(AN346/AM346)^(INDEX($Q476:$AJ476,1,(AN$4-1)*5+3)*(1+INDEX($Q476:$AJ476,1,(AN$4-1)*5+2)))</f>
        <v/>
      </c>
      <c r="AO476" s="25">
        <f>AN476*(1/(1+INDEX($Q476:$AJ476,1,(AO$4-1)*5+4)))^(1+INDEX($Q476:$AJ476,1,(AO$4-1)*5+2))*(1+AO$7)^INDEX($Q476:$AJ476,1,(AO$4-1)*5+1)*(AO346/AN346)^INDEX($Q476:$AJ476,1,(AO$4-1)*5+2)*(AO346/AN346)^(INDEX($Q476:$AJ476,1,(AO$4-1)*5+3)*(1+INDEX($Q476:$AJ476,1,(AO$4-1)*5+2)))</f>
        <v/>
      </c>
      <c r="AP476" s="25">
        <f>AO476*(1/(1+INDEX($Q476:$AJ476,1,(AP$4-1)*5+4)))^(1+INDEX($Q476:$AJ476,1,(AP$4-1)*5+2))*(1+AP$7)^INDEX($Q476:$AJ476,1,(AP$4-1)*5+1)*(AP346/AO346)^INDEX($Q476:$AJ476,1,(AP$4-1)*5+2)*(AP346/AO346)^(INDEX($Q476:$AJ476,1,(AP$4-1)*5+3)*(1+INDEX($Q476:$AJ476,1,(AP$4-1)*5+2)))</f>
        <v/>
      </c>
      <c r="AQ476" s="25">
        <f>AP476*(1/(1+INDEX($Q476:$AJ476,1,(AQ$4-1)*5+4)))^(1+INDEX($Q476:$AJ476,1,(AQ$4-1)*5+2))*(1+AQ$7)^INDEX($Q476:$AJ476,1,(AQ$4-1)*5+1)*(AQ346/AP346)^INDEX($Q476:$AJ476,1,(AQ$4-1)*5+2)*(AQ346/AP346)^(INDEX($Q476:$AJ476,1,(AQ$4-1)*5+3)*(1+INDEX($Q476:$AJ476,1,(AQ$4-1)*5+2)))</f>
        <v/>
      </c>
      <c r="AR476" s="25">
        <f>AQ476*(1/(1+INDEX($Q476:$AJ476,1,(AR$4-1)*5+4)))^(1+INDEX($Q476:$AJ476,1,(AR$4-1)*5+2))*(1+AR$7)^INDEX($Q476:$AJ476,1,(AR$4-1)*5+1)*(AR346/AQ346)^INDEX($Q476:$AJ476,1,(AR$4-1)*5+2)*(AR346/AQ346)^(INDEX($Q476:$AJ476,1,(AR$4-1)*5+3)*(1+INDEX($Q476:$AJ476,1,(AR$4-1)*5+2)))</f>
        <v/>
      </c>
      <c r="AS476" s="25">
        <f>AR476*(1/(1+INDEX($Q476:$AJ476,1,(AS$4-1)*5+4)))^(1+INDEX($Q476:$AJ476,1,(AS$4-1)*5+2))*(1+AS$7)^INDEX($Q476:$AJ476,1,(AS$4-1)*5+1)*(AS346/AR346)^INDEX($Q476:$AJ476,1,(AS$4-1)*5+2)*(AS346/AR346)^(INDEX($Q476:$AJ476,1,(AS$4-1)*5+3)*(1+INDEX($Q476:$AJ476,1,(AS$4-1)*5+2)))</f>
        <v/>
      </c>
      <c r="AT476" s="25">
        <f>AS476*(1/(1+INDEX($Q476:$AJ476,1,(AT$4-1)*5+4)))^(1+INDEX($Q476:$AJ476,1,(AT$4-1)*5+2))*(1+AT$7)^INDEX($Q476:$AJ476,1,(AT$4-1)*5+1)*(AT346/AS346)^INDEX($Q476:$AJ476,1,(AT$4-1)*5+2)*(AT346/AS346)^(INDEX($Q476:$AJ476,1,(AT$4-1)*5+3)*(1+INDEX($Q476:$AJ476,1,(AT$4-1)*5+2)))</f>
        <v/>
      </c>
      <c r="AU476" s="25">
        <f>AT476*(1/(1+INDEX($Q476:$AJ476,1,(AU$4-1)*5+4)))^(1+INDEX($Q476:$AJ476,1,(AU$4-1)*5+2))*(1+AU$7)^INDEX($Q476:$AJ476,1,(AU$4-1)*5+1)*(AU346/AT346)^INDEX($Q476:$AJ476,1,(AU$4-1)*5+2)*(AU346/AT346)^(INDEX($Q476:$AJ476,1,(AU$4-1)*5+3)*(1+INDEX($Q476:$AJ476,1,(AU$4-1)*5+2)))</f>
        <v/>
      </c>
      <c r="AV476" s="25">
        <f>AU476*(1/(1+INDEX($Q476:$AJ476,1,(AV$4-1)*5+4)))^(1+INDEX($Q476:$AJ476,1,(AV$4-1)*5+2))*(1+AV$7)^INDEX($Q476:$AJ476,1,(AV$4-1)*5+1)*(AV346/AU346)^INDEX($Q476:$AJ476,1,(AV$4-1)*5+2)*(AV346/AU346)^(INDEX($Q476:$AJ476,1,(AV$4-1)*5+3)*(1+INDEX($Q476:$AJ476,1,(AV$4-1)*5+2)))</f>
        <v/>
      </c>
      <c r="AW476" s="25">
        <f>AV476*(1/(1+INDEX($Q476:$AJ476,1,(AW$4-1)*5+4)))^(1+INDEX($Q476:$AJ476,1,(AW$4-1)*5+2))*(1+AW$7)^INDEX($Q476:$AJ476,1,(AW$4-1)*5+1)*(AW346/AV346)^INDEX($Q476:$AJ476,1,(AW$4-1)*5+2)*(AW346/AV346)^(INDEX($Q476:$AJ476,1,(AW$4-1)*5+3)*(1+INDEX($Q476:$AJ476,1,(AW$4-1)*5+2)))</f>
        <v/>
      </c>
      <c r="AX476" s="25">
        <f>AW476*(1/(1+INDEX($Q476:$AJ476,1,(AX$4-1)*5+4)))^(1+INDEX($Q476:$AJ476,1,(AX$4-1)*5+2))*(1+AX$7)^INDEX($Q476:$AJ476,1,(AX$4-1)*5+1)*(AX346/AW346)^INDEX($Q476:$AJ476,1,(AX$4-1)*5+2)*(AX346/AW346)^(INDEX($Q476:$AJ476,1,(AX$4-1)*5+3)*(1+INDEX($Q476:$AJ476,1,(AX$4-1)*5+2)))</f>
        <v/>
      </c>
      <c r="AY476" s="25">
        <f>AX476*(1/(1+INDEX($Q476:$AJ476,1,(AY$4-1)*5+4)))^(1+INDEX($Q476:$AJ476,1,(AY$4-1)*5+2))*(1+AY$7)^INDEX($Q476:$AJ476,1,(AY$4-1)*5+1)*(AY346/AX346)^INDEX($Q476:$AJ476,1,(AY$4-1)*5+2)*(AY346/AX346)^(INDEX($Q476:$AJ476,1,(AY$4-1)*5+3)*(1+INDEX($Q476:$AJ476,1,(AY$4-1)*5+2)))</f>
        <v/>
      </c>
      <c r="BA476" s="24">
        <f>INDEX(EnergyCons!$F$4:$F$5000,MATCH(Settings!$C$4&amp;"|"&amp;BA$5&amp;"|"&amp;$C476&amp;"|"&amp;$B476,EnergyCons!$A$4:$A$5000,0))</f>
        <v/>
      </c>
      <c r="BB476" s="25">
        <f>BA476*(1/(1+INDEX($Q476:$AJ476,1,(BB$4-1)*5+4)))^(1+INDEX($Q476:$AJ476,1,(BB$4-1)*5+2))*(1+BB$7)^INDEX($Q476:$AJ476,1,(BB$4-1)*5+1)*(BB346/BA346)^INDEX($Q476:$AJ476,1,(BB$4-1)*5+2)*(BB346/BA346)^(INDEX($Q476:$AJ476,1,(BB$4-1)*5+3)*(1+INDEX($Q476:$AJ476,1,(BB$4-1)*5+2)))</f>
        <v/>
      </c>
      <c r="BC476" s="25">
        <f>BB476*(1/(1+INDEX($Q476:$AJ476,1,(BC$4-1)*5+4)))^(1+INDEX($Q476:$AJ476,1,(BC$4-1)*5+2))*(1+BC$7)^INDEX($Q476:$AJ476,1,(BC$4-1)*5+1)*(BC346/BB346)^INDEX($Q476:$AJ476,1,(BC$4-1)*5+2)*(BC346/BB346)^(INDEX($Q476:$AJ476,1,(BC$4-1)*5+3)*(1+INDEX($Q476:$AJ476,1,(BC$4-1)*5+2)))</f>
        <v/>
      </c>
      <c r="BD476" s="25">
        <f>BC476*(1/(1+INDEX($Q476:$AJ476,1,(BD$4-1)*5+4)))^(1+INDEX($Q476:$AJ476,1,(BD$4-1)*5+2))*(1+BD$7)^INDEX($Q476:$AJ476,1,(BD$4-1)*5+1)*(BD346/BC346)^INDEX($Q476:$AJ476,1,(BD$4-1)*5+2)*(BD346/BC346)^(INDEX($Q476:$AJ476,1,(BD$4-1)*5+3)*(1+INDEX($Q476:$AJ476,1,(BD$4-1)*5+2)))</f>
        <v/>
      </c>
      <c r="BE476" s="25">
        <f>BD476*(1/(1+INDEX($Q476:$AJ476,1,(BE$4-1)*5+4)))^(1+INDEX($Q476:$AJ476,1,(BE$4-1)*5+2))*(1+BE$7)^INDEX($Q476:$AJ476,1,(BE$4-1)*5+1)*(BE346/BD346)^INDEX($Q476:$AJ476,1,(BE$4-1)*5+2)*(BE346/BD346)^(INDEX($Q476:$AJ476,1,(BE$4-1)*5+3)*(1+INDEX($Q476:$AJ476,1,(BE$4-1)*5+2)))</f>
        <v/>
      </c>
      <c r="BF476" s="25">
        <f>BE476*(1/(1+INDEX($Q476:$AJ476,1,(BF$4-1)*5+4)))^(1+INDEX($Q476:$AJ476,1,(BF$4-1)*5+2))*(1+BF$7)^INDEX($Q476:$AJ476,1,(BF$4-1)*5+1)*(BF346/BE346)^INDEX($Q476:$AJ476,1,(BF$4-1)*5+2)*(BF346/BE346)^(INDEX($Q476:$AJ476,1,(BF$4-1)*5+3)*(1+INDEX($Q476:$AJ476,1,(BF$4-1)*5+2)))</f>
        <v/>
      </c>
      <c r="BG476" s="25">
        <f>BF476*(1/(1+INDEX($Q476:$AJ476,1,(BG$4-1)*5+4)))^(1+INDEX($Q476:$AJ476,1,(BG$4-1)*5+2))*(1+BG$7)^INDEX($Q476:$AJ476,1,(BG$4-1)*5+1)*(BG346/BF346)^INDEX($Q476:$AJ476,1,(BG$4-1)*5+2)*(BG346/BF346)^(INDEX($Q476:$AJ476,1,(BG$4-1)*5+3)*(1+INDEX($Q476:$AJ476,1,(BG$4-1)*5+2)))</f>
        <v/>
      </c>
      <c r="BH476" s="25">
        <f>BG476*(1/(1+INDEX($Q476:$AJ476,1,(BH$4-1)*5+4)))^(1+INDEX($Q476:$AJ476,1,(BH$4-1)*5+2))*(1+BH$7)^INDEX($Q476:$AJ476,1,(BH$4-1)*5+1)*(BH346/BG346)^INDEX($Q476:$AJ476,1,(BH$4-1)*5+2)*(BH346/BG346)^(INDEX($Q476:$AJ476,1,(BH$4-1)*5+3)*(1+INDEX($Q476:$AJ476,1,(BH$4-1)*5+2)))</f>
        <v/>
      </c>
      <c r="BI476" s="25">
        <f>BH476*(1/(1+INDEX($Q476:$AJ476,1,(BI$4-1)*5+4)))^(1+INDEX($Q476:$AJ476,1,(BI$4-1)*5+2))*(1+BI$7)^INDEX($Q476:$AJ476,1,(BI$4-1)*5+1)*(BI346/BH346)^INDEX($Q476:$AJ476,1,(BI$4-1)*5+2)*(BI346/BH346)^(INDEX($Q476:$AJ476,1,(BI$4-1)*5+3)*(1+INDEX($Q476:$AJ476,1,(BI$4-1)*5+2)))</f>
        <v/>
      </c>
      <c r="BJ476" s="25">
        <f>BI476*(1/(1+INDEX($Q476:$AJ476,1,(BJ$4-1)*5+4)))^(1+INDEX($Q476:$AJ476,1,(BJ$4-1)*5+2))*(1+BJ$7)^INDEX($Q476:$AJ476,1,(BJ$4-1)*5+1)*(BJ346/BI346)^INDEX($Q476:$AJ476,1,(BJ$4-1)*5+2)*(BJ346/BI346)^(INDEX($Q476:$AJ476,1,(BJ$4-1)*5+3)*(1+INDEX($Q476:$AJ476,1,(BJ$4-1)*5+2)))</f>
        <v/>
      </c>
      <c r="BK476" s="25">
        <f>BJ476*(1/(1+INDEX($Q476:$AJ476,1,(BK$4-1)*5+4)))^(1+INDEX($Q476:$AJ476,1,(BK$4-1)*5+2))*(1+BK$7)^INDEX($Q476:$AJ476,1,(BK$4-1)*5+1)*(BK346/BJ346)^INDEX($Q476:$AJ476,1,(BK$4-1)*5+2)*(BK346/BJ346)^(INDEX($Q476:$AJ476,1,(BK$4-1)*5+3)*(1+INDEX($Q476:$AJ476,1,(BK$4-1)*5+2)))</f>
        <v/>
      </c>
      <c r="BL476" s="25">
        <f>BK476*(1/(1+INDEX($Q476:$AJ476,1,(BL$4-1)*5+4)))^(1+INDEX($Q476:$AJ476,1,(BL$4-1)*5+2))*(1+BL$7)^INDEX($Q476:$AJ476,1,(BL$4-1)*5+1)*(BL346/BK346)^INDEX($Q476:$AJ476,1,(BL$4-1)*5+2)*(BL346/BK346)^(INDEX($Q476:$AJ476,1,(BL$4-1)*5+3)*(1+INDEX($Q476:$AJ476,1,(BL$4-1)*5+2)))</f>
        <v/>
      </c>
      <c r="BM476" s="25">
        <f>BL476*(1/(1+INDEX($Q476:$AJ476,1,(BM$4-1)*5+4)))^(1+INDEX($Q476:$AJ476,1,(BM$4-1)*5+2))*(1+BM$7)^INDEX($Q476:$AJ476,1,(BM$4-1)*5+1)*(BM346/BL346)^INDEX($Q476:$AJ476,1,(BM$4-1)*5+2)*(BM346/BL346)^(INDEX($Q476:$AJ476,1,(BM$4-1)*5+3)*(1+INDEX($Q476:$AJ476,1,(BM$4-1)*5+2)))</f>
        <v/>
      </c>
      <c r="BN476" s="25">
        <f>BM476*(1/(1+INDEX($Q476:$AJ476,1,(BN$4-1)*5+4)))^(1+INDEX($Q476:$AJ476,1,(BN$4-1)*5+2))*(1+BN$7)^INDEX($Q476:$AJ476,1,(BN$4-1)*5+1)*(BN346/BM346)^INDEX($Q476:$AJ476,1,(BN$4-1)*5+2)*(BN346/BM346)^(INDEX($Q476:$AJ476,1,(BN$4-1)*5+3)*(1+INDEX($Q476:$AJ476,1,(BN$4-1)*5+2)))</f>
        <v/>
      </c>
    </row>
    <row r="477">
      <c r="B477" s="5" t="inlineStr">
        <is>
          <t>lpg</t>
        </is>
      </c>
      <c r="C477" s="5" t="inlineStr">
        <is>
          <t>nfm</t>
        </is>
      </c>
      <c r="D477" s="5" t="inlineStr">
        <is>
          <t>Fuel use | Other metals | LPG</t>
        </is>
      </c>
      <c r="E477" s="5" t="inlineStr">
        <is>
          <t>ktoe</t>
        </is>
      </c>
      <c r="F477" s="5" t="inlineStr">
        <is>
          <t>EnergyCons (base year), Elasticities</t>
        </is>
      </c>
      <c r="G477" s="19" t="inlineStr">
        <is>
          <t>mit.enc.lpg.nfm</t>
        </is>
      </c>
      <c r="H477" s="19" t="inlineStr">
        <is>
          <t>mit.enc.lpg.nfm</t>
        </is>
      </c>
      <c r="J477" s="5">
        <f>INDEX(Mapping!$C$5:$C$20,MATCH($C477,Mapping!$A$5:$A$20,0))</f>
        <v/>
      </c>
      <c r="K477" s="5">
        <f>INDEX(Mapping!$D$5:$D$20,MATCH($C477,Mapping!$A$5:$A$20,0))</f>
        <v/>
      </c>
      <c r="L477" s="5">
        <f>INDEX(Mapping!$C$24:$C$31,MATCH($B477,Mapping!$A$24:$A$31,0))</f>
        <v/>
      </c>
      <c r="M477" s="5">
        <f>INDEX(Mapping!$D$24:$D$31,MATCH($B477,Mapping!$A$24:$A$31,0))</f>
        <v/>
      </c>
      <c r="N477" s="5">
        <f>$B477&amp;"."&amp;IF(INDEX(Mapping!$E$24:$E$31,MATCH($B477,Mapping!$A$24:$A$31,0))="sub",INDEX(Mapping!$F$5:$F$20,MATCH($C477,Mapping!$A$5:$A$20,0)),"all")</f>
        <v/>
      </c>
      <c r="O477" s="5">
        <f>INDEX(Mapping!$E$5:$E$20,MATCH($C477,Mapping!$A$5:$A$20,0))</f>
        <v/>
      </c>
      <c r="P477" s="5">
        <f>INDEX(Mapping!$G$24:$G$31,MATCH($B477,Mapping!$A$24:$A$31,0))</f>
        <v/>
      </c>
      <c r="Q477" s="22">
        <f>INDEX(Elasticities!$F$4:$I$200,MATCH("inc|"&amp;$L477&amp;"|"&amp;$K477,Elasticities!$A$4:$A$200,0),MATCH(Settings!$C$6,Elasticities!$F$3:$I$3,0))</f>
        <v/>
      </c>
      <c r="R477" s="22">
        <f>INDEX(Elasticities!$F$4:$I$200,MATCH("usg|"&amp;$L477&amp;"|"&amp;$K477,Elasticities!$A$4:$A$200,0),MATCH(Settings!$C$6,Elasticities!$F$3:$I$3,0))</f>
        <v/>
      </c>
      <c r="S477" s="22">
        <f>INDEX(Elasticities!$F$4:$I$200,MATCH("eff|"&amp;$L477&amp;"|"&amp;$K477,Elasticities!$A$4:$A$200,0),MATCH(Settings!$C$6,Elasticities!$F$3:$I$3,0))</f>
        <v/>
      </c>
      <c r="T477" s="22">
        <f>INDEX(Elasticities!$F$4:$I$200,MATCH("aei|"&amp;$M477&amp;"|"&amp;$K477,Elasticities!$A$4:$A$200,0),MATCH(Settings!$C$6,Elasticities!$F$3:$I$3,0))</f>
        <v/>
      </c>
      <c r="U477" s="21" t="n"/>
      <c r="V477" s="22">
        <f>Q477</f>
        <v/>
      </c>
      <c r="W477" s="22">
        <f>R477</f>
        <v/>
      </c>
      <c r="X477" s="22">
        <f>S477</f>
        <v/>
      </c>
      <c r="Y477" s="22">
        <f>T477</f>
        <v/>
      </c>
      <c r="Z477" s="21" t="n"/>
      <c r="AA477" s="22">
        <f>Q477</f>
        <v/>
      </c>
      <c r="AB477" s="22">
        <f>R477</f>
        <v/>
      </c>
      <c r="AC477" s="22">
        <f>S477</f>
        <v/>
      </c>
      <c r="AD477" s="22">
        <f>T477</f>
        <v/>
      </c>
      <c r="AE477" s="21" t="n"/>
      <c r="AF477" s="22">
        <f>Q477</f>
        <v/>
      </c>
      <c r="AG477" s="22">
        <f>R477</f>
        <v/>
      </c>
      <c r="AH477" s="22">
        <f>S477</f>
        <v/>
      </c>
      <c r="AI477" s="22">
        <f>T477</f>
        <v/>
      </c>
      <c r="AJ477" s="21" t="n"/>
      <c r="AL477" s="24">
        <f>INDEX(EnergyCons!$F$4:$F$5000,MATCH(Settings!$C$4&amp;"|"&amp;AL$5&amp;"|"&amp;$C477&amp;"|"&amp;$B477,EnergyCons!$A$4:$A$5000,0))</f>
        <v/>
      </c>
      <c r="AM477" s="25">
        <f>AL477*(1/(1+INDEX($Q477:$AJ477,1,(AM$4-1)*5+4)))^(1+INDEX($Q477:$AJ477,1,(AM$4-1)*5+2))*(1+AM$7)^INDEX($Q477:$AJ477,1,(AM$4-1)*5+1)*(AM347/AL347)^INDEX($Q477:$AJ477,1,(AM$4-1)*5+2)*(AM347/AL347)^(INDEX($Q477:$AJ477,1,(AM$4-1)*5+3)*(1+INDEX($Q477:$AJ477,1,(AM$4-1)*5+2)))</f>
        <v/>
      </c>
      <c r="AN477" s="25">
        <f>AM477*(1/(1+INDEX($Q477:$AJ477,1,(AN$4-1)*5+4)))^(1+INDEX($Q477:$AJ477,1,(AN$4-1)*5+2))*(1+AN$7)^INDEX($Q477:$AJ477,1,(AN$4-1)*5+1)*(AN347/AM347)^INDEX($Q477:$AJ477,1,(AN$4-1)*5+2)*(AN347/AM347)^(INDEX($Q477:$AJ477,1,(AN$4-1)*5+3)*(1+INDEX($Q477:$AJ477,1,(AN$4-1)*5+2)))</f>
        <v/>
      </c>
      <c r="AO477" s="25">
        <f>AN477*(1/(1+INDEX($Q477:$AJ477,1,(AO$4-1)*5+4)))^(1+INDEX($Q477:$AJ477,1,(AO$4-1)*5+2))*(1+AO$7)^INDEX($Q477:$AJ477,1,(AO$4-1)*5+1)*(AO347/AN347)^INDEX($Q477:$AJ477,1,(AO$4-1)*5+2)*(AO347/AN347)^(INDEX($Q477:$AJ477,1,(AO$4-1)*5+3)*(1+INDEX($Q477:$AJ477,1,(AO$4-1)*5+2)))</f>
        <v/>
      </c>
      <c r="AP477" s="25">
        <f>AO477*(1/(1+INDEX($Q477:$AJ477,1,(AP$4-1)*5+4)))^(1+INDEX($Q477:$AJ477,1,(AP$4-1)*5+2))*(1+AP$7)^INDEX($Q477:$AJ477,1,(AP$4-1)*5+1)*(AP347/AO347)^INDEX($Q477:$AJ477,1,(AP$4-1)*5+2)*(AP347/AO347)^(INDEX($Q477:$AJ477,1,(AP$4-1)*5+3)*(1+INDEX($Q477:$AJ477,1,(AP$4-1)*5+2)))</f>
        <v/>
      </c>
      <c r="AQ477" s="25">
        <f>AP477*(1/(1+INDEX($Q477:$AJ477,1,(AQ$4-1)*5+4)))^(1+INDEX($Q477:$AJ477,1,(AQ$4-1)*5+2))*(1+AQ$7)^INDEX($Q477:$AJ477,1,(AQ$4-1)*5+1)*(AQ347/AP347)^INDEX($Q477:$AJ477,1,(AQ$4-1)*5+2)*(AQ347/AP347)^(INDEX($Q477:$AJ477,1,(AQ$4-1)*5+3)*(1+INDEX($Q477:$AJ477,1,(AQ$4-1)*5+2)))</f>
        <v/>
      </c>
      <c r="AR477" s="25">
        <f>AQ477*(1/(1+INDEX($Q477:$AJ477,1,(AR$4-1)*5+4)))^(1+INDEX($Q477:$AJ477,1,(AR$4-1)*5+2))*(1+AR$7)^INDEX($Q477:$AJ477,1,(AR$4-1)*5+1)*(AR347/AQ347)^INDEX($Q477:$AJ477,1,(AR$4-1)*5+2)*(AR347/AQ347)^(INDEX($Q477:$AJ477,1,(AR$4-1)*5+3)*(1+INDEX($Q477:$AJ477,1,(AR$4-1)*5+2)))</f>
        <v/>
      </c>
      <c r="AS477" s="25">
        <f>AR477*(1/(1+INDEX($Q477:$AJ477,1,(AS$4-1)*5+4)))^(1+INDEX($Q477:$AJ477,1,(AS$4-1)*5+2))*(1+AS$7)^INDEX($Q477:$AJ477,1,(AS$4-1)*5+1)*(AS347/AR347)^INDEX($Q477:$AJ477,1,(AS$4-1)*5+2)*(AS347/AR347)^(INDEX($Q477:$AJ477,1,(AS$4-1)*5+3)*(1+INDEX($Q477:$AJ477,1,(AS$4-1)*5+2)))</f>
        <v/>
      </c>
      <c r="AT477" s="25">
        <f>AS477*(1/(1+INDEX($Q477:$AJ477,1,(AT$4-1)*5+4)))^(1+INDEX($Q477:$AJ477,1,(AT$4-1)*5+2))*(1+AT$7)^INDEX($Q477:$AJ477,1,(AT$4-1)*5+1)*(AT347/AS347)^INDEX($Q477:$AJ477,1,(AT$4-1)*5+2)*(AT347/AS347)^(INDEX($Q477:$AJ477,1,(AT$4-1)*5+3)*(1+INDEX($Q477:$AJ477,1,(AT$4-1)*5+2)))</f>
        <v/>
      </c>
      <c r="AU477" s="25">
        <f>AT477*(1/(1+INDEX($Q477:$AJ477,1,(AU$4-1)*5+4)))^(1+INDEX($Q477:$AJ477,1,(AU$4-1)*5+2))*(1+AU$7)^INDEX($Q477:$AJ477,1,(AU$4-1)*5+1)*(AU347/AT347)^INDEX($Q477:$AJ477,1,(AU$4-1)*5+2)*(AU347/AT347)^(INDEX($Q477:$AJ477,1,(AU$4-1)*5+3)*(1+INDEX($Q477:$AJ477,1,(AU$4-1)*5+2)))</f>
        <v/>
      </c>
      <c r="AV477" s="25">
        <f>AU477*(1/(1+INDEX($Q477:$AJ477,1,(AV$4-1)*5+4)))^(1+INDEX($Q477:$AJ477,1,(AV$4-1)*5+2))*(1+AV$7)^INDEX($Q477:$AJ477,1,(AV$4-1)*5+1)*(AV347/AU347)^INDEX($Q477:$AJ477,1,(AV$4-1)*5+2)*(AV347/AU347)^(INDEX($Q477:$AJ477,1,(AV$4-1)*5+3)*(1+INDEX($Q477:$AJ477,1,(AV$4-1)*5+2)))</f>
        <v/>
      </c>
      <c r="AW477" s="25">
        <f>AV477*(1/(1+INDEX($Q477:$AJ477,1,(AW$4-1)*5+4)))^(1+INDEX($Q477:$AJ477,1,(AW$4-1)*5+2))*(1+AW$7)^INDEX($Q477:$AJ477,1,(AW$4-1)*5+1)*(AW347/AV347)^INDEX($Q477:$AJ477,1,(AW$4-1)*5+2)*(AW347/AV347)^(INDEX($Q477:$AJ477,1,(AW$4-1)*5+3)*(1+INDEX($Q477:$AJ477,1,(AW$4-1)*5+2)))</f>
        <v/>
      </c>
      <c r="AX477" s="25">
        <f>AW477*(1/(1+INDEX($Q477:$AJ477,1,(AX$4-1)*5+4)))^(1+INDEX($Q477:$AJ477,1,(AX$4-1)*5+2))*(1+AX$7)^INDEX($Q477:$AJ477,1,(AX$4-1)*5+1)*(AX347/AW347)^INDEX($Q477:$AJ477,1,(AX$4-1)*5+2)*(AX347/AW347)^(INDEX($Q477:$AJ477,1,(AX$4-1)*5+3)*(1+INDEX($Q477:$AJ477,1,(AX$4-1)*5+2)))</f>
        <v/>
      </c>
      <c r="AY477" s="25">
        <f>AX477*(1/(1+INDEX($Q477:$AJ477,1,(AY$4-1)*5+4)))^(1+INDEX($Q477:$AJ477,1,(AY$4-1)*5+2))*(1+AY$7)^INDEX($Q477:$AJ477,1,(AY$4-1)*5+1)*(AY347/AX347)^INDEX($Q477:$AJ477,1,(AY$4-1)*5+2)*(AY347/AX347)^(INDEX($Q477:$AJ477,1,(AY$4-1)*5+3)*(1+INDEX($Q477:$AJ477,1,(AY$4-1)*5+2)))</f>
        <v/>
      </c>
      <c r="BA477" s="24">
        <f>INDEX(EnergyCons!$F$4:$F$5000,MATCH(Settings!$C$4&amp;"|"&amp;BA$5&amp;"|"&amp;$C477&amp;"|"&amp;$B477,EnergyCons!$A$4:$A$5000,0))</f>
        <v/>
      </c>
      <c r="BB477" s="25">
        <f>BA477*(1/(1+INDEX($Q477:$AJ477,1,(BB$4-1)*5+4)))^(1+INDEX($Q477:$AJ477,1,(BB$4-1)*5+2))*(1+BB$7)^INDEX($Q477:$AJ477,1,(BB$4-1)*5+1)*(BB347/BA347)^INDEX($Q477:$AJ477,1,(BB$4-1)*5+2)*(BB347/BA347)^(INDEX($Q477:$AJ477,1,(BB$4-1)*5+3)*(1+INDEX($Q477:$AJ477,1,(BB$4-1)*5+2)))</f>
        <v/>
      </c>
      <c r="BC477" s="25">
        <f>BB477*(1/(1+INDEX($Q477:$AJ477,1,(BC$4-1)*5+4)))^(1+INDEX($Q477:$AJ477,1,(BC$4-1)*5+2))*(1+BC$7)^INDEX($Q477:$AJ477,1,(BC$4-1)*5+1)*(BC347/BB347)^INDEX($Q477:$AJ477,1,(BC$4-1)*5+2)*(BC347/BB347)^(INDEX($Q477:$AJ477,1,(BC$4-1)*5+3)*(1+INDEX($Q477:$AJ477,1,(BC$4-1)*5+2)))</f>
        <v/>
      </c>
      <c r="BD477" s="25">
        <f>BC477*(1/(1+INDEX($Q477:$AJ477,1,(BD$4-1)*5+4)))^(1+INDEX($Q477:$AJ477,1,(BD$4-1)*5+2))*(1+BD$7)^INDEX($Q477:$AJ477,1,(BD$4-1)*5+1)*(BD347/BC347)^INDEX($Q477:$AJ477,1,(BD$4-1)*5+2)*(BD347/BC347)^(INDEX($Q477:$AJ477,1,(BD$4-1)*5+3)*(1+INDEX($Q477:$AJ477,1,(BD$4-1)*5+2)))</f>
        <v/>
      </c>
      <c r="BE477" s="25">
        <f>BD477*(1/(1+INDEX($Q477:$AJ477,1,(BE$4-1)*5+4)))^(1+INDEX($Q477:$AJ477,1,(BE$4-1)*5+2))*(1+BE$7)^INDEX($Q477:$AJ477,1,(BE$4-1)*5+1)*(BE347/BD347)^INDEX($Q477:$AJ477,1,(BE$4-1)*5+2)*(BE347/BD347)^(INDEX($Q477:$AJ477,1,(BE$4-1)*5+3)*(1+INDEX($Q477:$AJ477,1,(BE$4-1)*5+2)))</f>
        <v/>
      </c>
      <c r="BF477" s="25">
        <f>BE477*(1/(1+INDEX($Q477:$AJ477,1,(BF$4-1)*5+4)))^(1+INDEX($Q477:$AJ477,1,(BF$4-1)*5+2))*(1+BF$7)^INDEX($Q477:$AJ477,1,(BF$4-1)*5+1)*(BF347/BE347)^INDEX($Q477:$AJ477,1,(BF$4-1)*5+2)*(BF347/BE347)^(INDEX($Q477:$AJ477,1,(BF$4-1)*5+3)*(1+INDEX($Q477:$AJ477,1,(BF$4-1)*5+2)))</f>
        <v/>
      </c>
      <c r="BG477" s="25">
        <f>BF477*(1/(1+INDEX($Q477:$AJ477,1,(BG$4-1)*5+4)))^(1+INDEX($Q477:$AJ477,1,(BG$4-1)*5+2))*(1+BG$7)^INDEX($Q477:$AJ477,1,(BG$4-1)*5+1)*(BG347/BF347)^INDEX($Q477:$AJ477,1,(BG$4-1)*5+2)*(BG347/BF347)^(INDEX($Q477:$AJ477,1,(BG$4-1)*5+3)*(1+INDEX($Q477:$AJ477,1,(BG$4-1)*5+2)))</f>
        <v/>
      </c>
      <c r="BH477" s="25">
        <f>BG477*(1/(1+INDEX($Q477:$AJ477,1,(BH$4-1)*5+4)))^(1+INDEX($Q477:$AJ477,1,(BH$4-1)*5+2))*(1+BH$7)^INDEX($Q477:$AJ477,1,(BH$4-1)*5+1)*(BH347/BG347)^INDEX($Q477:$AJ477,1,(BH$4-1)*5+2)*(BH347/BG347)^(INDEX($Q477:$AJ477,1,(BH$4-1)*5+3)*(1+INDEX($Q477:$AJ477,1,(BH$4-1)*5+2)))</f>
        <v/>
      </c>
      <c r="BI477" s="25">
        <f>BH477*(1/(1+INDEX($Q477:$AJ477,1,(BI$4-1)*5+4)))^(1+INDEX($Q477:$AJ477,1,(BI$4-1)*5+2))*(1+BI$7)^INDEX($Q477:$AJ477,1,(BI$4-1)*5+1)*(BI347/BH347)^INDEX($Q477:$AJ477,1,(BI$4-1)*5+2)*(BI347/BH347)^(INDEX($Q477:$AJ477,1,(BI$4-1)*5+3)*(1+INDEX($Q477:$AJ477,1,(BI$4-1)*5+2)))</f>
        <v/>
      </c>
      <c r="BJ477" s="25">
        <f>BI477*(1/(1+INDEX($Q477:$AJ477,1,(BJ$4-1)*5+4)))^(1+INDEX($Q477:$AJ477,1,(BJ$4-1)*5+2))*(1+BJ$7)^INDEX($Q477:$AJ477,1,(BJ$4-1)*5+1)*(BJ347/BI347)^INDEX($Q477:$AJ477,1,(BJ$4-1)*5+2)*(BJ347/BI347)^(INDEX($Q477:$AJ477,1,(BJ$4-1)*5+3)*(1+INDEX($Q477:$AJ477,1,(BJ$4-1)*5+2)))</f>
        <v/>
      </c>
      <c r="BK477" s="25">
        <f>BJ477*(1/(1+INDEX($Q477:$AJ477,1,(BK$4-1)*5+4)))^(1+INDEX($Q477:$AJ477,1,(BK$4-1)*5+2))*(1+BK$7)^INDEX($Q477:$AJ477,1,(BK$4-1)*5+1)*(BK347/BJ347)^INDEX($Q477:$AJ477,1,(BK$4-1)*5+2)*(BK347/BJ347)^(INDEX($Q477:$AJ477,1,(BK$4-1)*5+3)*(1+INDEX($Q477:$AJ477,1,(BK$4-1)*5+2)))</f>
        <v/>
      </c>
      <c r="BL477" s="25">
        <f>BK477*(1/(1+INDEX($Q477:$AJ477,1,(BL$4-1)*5+4)))^(1+INDEX($Q477:$AJ477,1,(BL$4-1)*5+2))*(1+BL$7)^INDEX($Q477:$AJ477,1,(BL$4-1)*5+1)*(BL347/BK347)^INDEX($Q477:$AJ477,1,(BL$4-1)*5+2)*(BL347/BK347)^(INDEX($Q477:$AJ477,1,(BL$4-1)*5+3)*(1+INDEX($Q477:$AJ477,1,(BL$4-1)*5+2)))</f>
        <v/>
      </c>
      <c r="BM477" s="25">
        <f>BL477*(1/(1+INDEX($Q477:$AJ477,1,(BM$4-1)*5+4)))^(1+INDEX($Q477:$AJ477,1,(BM$4-1)*5+2))*(1+BM$7)^INDEX($Q477:$AJ477,1,(BM$4-1)*5+1)*(BM347/BL347)^INDEX($Q477:$AJ477,1,(BM$4-1)*5+2)*(BM347/BL347)^(INDEX($Q477:$AJ477,1,(BM$4-1)*5+3)*(1+INDEX($Q477:$AJ477,1,(BM$4-1)*5+2)))</f>
        <v/>
      </c>
      <c r="BN477" s="25">
        <f>BM477*(1/(1+INDEX($Q477:$AJ477,1,(BN$4-1)*5+4)))^(1+INDEX($Q477:$AJ477,1,(BN$4-1)*5+2))*(1+BN$7)^INDEX($Q477:$AJ477,1,(BN$4-1)*5+1)*(BN347/BM347)^INDEX($Q477:$AJ477,1,(BN$4-1)*5+2)*(BN347/BM347)^(INDEX($Q477:$AJ477,1,(BN$4-1)*5+3)*(1+INDEX($Q477:$AJ477,1,(BN$4-1)*5+2)))</f>
        <v/>
      </c>
    </row>
    <row r="478">
      <c r="B478" s="5" t="inlineStr">
        <is>
          <t>ker</t>
        </is>
      </c>
      <c r="C478" s="5" t="inlineStr">
        <is>
          <t>nfm</t>
        </is>
      </c>
      <c r="D478" s="5" t="inlineStr">
        <is>
          <t>Fuel use | Other metals | Kerosene</t>
        </is>
      </c>
      <c r="E478" s="5" t="inlineStr">
        <is>
          <t>ktoe</t>
        </is>
      </c>
      <c r="F478" s="5" t="inlineStr">
        <is>
          <t>EnergyCons (base year), Elasticities</t>
        </is>
      </c>
      <c r="G478" s="19" t="inlineStr">
        <is>
          <t>mit.enc.ker.nfm</t>
        </is>
      </c>
      <c r="H478" s="19" t="inlineStr">
        <is>
          <t>mit.enc.ker.nfm</t>
        </is>
      </c>
      <c r="J478" s="5">
        <f>INDEX(Mapping!$C$5:$C$20,MATCH($C478,Mapping!$A$5:$A$20,0))</f>
        <v/>
      </c>
      <c r="K478" s="5">
        <f>INDEX(Mapping!$D$5:$D$20,MATCH($C478,Mapping!$A$5:$A$20,0))</f>
        <v/>
      </c>
      <c r="L478" s="5">
        <f>INDEX(Mapping!$C$24:$C$31,MATCH($B478,Mapping!$A$24:$A$31,0))</f>
        <v/>
      </c>
      <c r="M478" s="5">
        <f>INDEX(Mapping!$D$24:$D$31,MATCH($B478,Mapping!$A$24:$A$31,0))</f>
        <v/>
      </c>
      <c r="N478" s="5">
        <f>$B478&amp;"."&amp;IF(INDEX(Mapping!$E$24:$E$31,MATCH($B478,Mapping!$A$24:$A$31,0))="sub",INDEX(Mapping!$F$5:$F$20,MATCH($C478,Mapping!$A$5:$A$20,0)),"all")</f>
        <v/>
      </c>
      <c r="O478" s="5">
        <f>INDEX(Mapping!$E$5:$E$20,MATCH($C478,Mapping!$A$5:$A$20,0))</f>
        <v/>
      </c>
      <c r="P478" s="5">
        <f>INDEX(Mapping!$G$24:$G$31,MATCH($B478,Mapping!$A$24:$A$31,0))</f>
        <v/>
      </c>
      <c r="Q478" s="22">
        <f>INDEX(Elasticities!$F$4:$I$200,MATCH("inc|"&amp;$L478&amp;"|"&amp;$K478,Elasticities!$A$4:$A$200,0),MATCH(Settings!$C$6,Elasticities!$F$3:$I$3,0))</f>
        <v/>
      </c>
      <c r="R478" s="22">
        <f>INDEX(Elasticities!$F$4:$I$200,MATCH("usg|"&amp;$L478&amp;"|"&amp;$K478,Elasticities!$A$4:$A$200,0),MATCH(Settings!$C$6,Elasticities!$F$3:$I$3,0))</f>
        <v/>
      </c>
      <c r="S478" s="22">
        <f>INDEX(Elasticities!$F$4:$I$200,MATCH("eff|"&amp;$L478&amp;"|"&amp;$K478,Elasticities!$A$4:$A$200,0),MATCH(Settings!$C$6,Elasticities!$F$3:$I$3,0))</f>
        <v/>
      </c>
      <c r="T478" s="22">
        <f>INDEX(Elasticities!$F$4:$I$200,MATCH("aei|"&amp;$M478&amp;"|"&amp;$K478,Elasticities!$A$4:$A$200,0),MATCH(Settings!$C$6,Elasticities!$F$3:$I$3,0))</f>
        <v/>
      </c>
      <c r="U478" s="21" t="n"/>
      <c r="V478" s="22">
        <f>Q478</f>
        <v/>
      </c>
      <c r="W478" s="22">
        <f>R478</f>
        <v/>
      </c>
      <c r="X478" s="22">
        <f>S478</f>
        <v/>
      </c>
      <c r="Y478" s="22">
        <f>T478</f>
        <v/>
      </c>
      <c r="Z478" s="21" t="n"/>
      <c r="AA478" s="22">
        <f>Q478</f>
        <v/>
      </c>
      <c r="AB478" s="22">
        <f>R478</f>
        <v/>
      </c>
      <c r="AC478" s="22">
        <f>S478</f>
        <v/>
      </c>
      <c r="AD478" s="22">
        <f>T478</f>
        <v/>
      </c>
      <c r="AE478" s="21" t="n"/>
      <c r="AF478" s="22">
        <f>Q478</f>
        <v/>
      </c>
      <c r="AG478" s="22">
        <f>R478</f>
        <v/>
      </c>
      <c r="AH478" s="22">
        <f>S478</f>
        <v/>
      </c>
      <c r="AI478" s="22">
        <f>T478</f>
        <v/>
      </c>
      <c r="AJ478" s="21" t="n"/>
      <c r="AL478" s="24">
        <f>INDEX(EnergyCons!$F$4:$F$5000,MATCH(Settings!$C$4&amp;"|"&amp;AL$5&amp;"|"&amp;$C478&amp;"|"&amp;$B478,EnergyCons!$A$4:$A$5000,0))</f>
        <v/>
      </c>
      <c r="AM478" s="25">
        <f>AL478*(1/(1+INDEX($Q478:$AJ478,1,(AM$4-1)*5+4)))^(1+INDEX($Q478:$AJ478,1,(AM$4-1)*5+2))*(1+AM$7)^INDEX($Q478:$AJ478,1,(AM$4-1)*5+1)*(AM348/AL348)^INDEX($Q478:$AJ478,1,(AM$4-1)*5+2)*(AM348/AL348)^(INDEX($Q478:$AJ478,1,(AM$4-1)*5+3)*(1+INDEX($Q478:$AJ478,1,(AM$4-1)*5+2)))</f>
        <v/>
      </c>
      <c r="AN478" s="25">
        <f>AM478*(1/(1+INDEX($Q478:$AJ478,1,(AN$4-1)*5+4)))^(1+INDEX($Q478:$AJ478,1,(AN$4-1)*5+2))*(1+AN$7)^INDEX($Q478:$AJ478,1,(AN$4-1)*5+1)*(AN348/AM348)^INDEX($Q478:$AJ478,1,(AN$4-1)*5+2)*(AN348/AM348)^(INDEX($Q478:$AJ478,1,(AN$4-1)*5+3)*(1+INDEX($Q478:$AJ478,1,(AN$4-1)*5+2)))</f>
        <v/>
      </c>
      <c r="AO478" s="25">
        <f>AN478*(1/(1+INDEX($Q478:$AJ478,1,(AO$4-1)*5+4)))^(1+INDEX($Q478:$AJ478,1,(AO$4-1)*5+2))*(1+AO$7)^INDEX($Q478:$AJ478,1,(AO$4-1)*5+1)*(AO348/AN348)^INDEX($Q478:$AJ478,1,(AO$4-1)*5+2)*(AO348/AN348)^(INDEX($Q478:$AJ478,1,(AO$4-1)*5+3)*(1+INDEX($Q478:$AJ478,1,(AO$4-1)*5+2)))</f>
        <v/>
      </c>
      <c r="AP478" s="25">
        <f>AO478*(1/(1+INDEX($Q478:$AJ478,1,(AP$4-1)*5+4)))^(1+INDEX($Q478:$AJ478,1,(AP$4-1)*5+2))*(1+AP$7)^INDEX($Q478:$AJ478,1,(AP$4-1)*5+1)*(AP348/AO348)^INDEX($Q478:$AJ478,1,(AP$4-1)*5+2)*(AP348/AO348)^(INDEX($Q478:$AJ478,1,(AP$4-1)*5+3)*(1+INDEX($Q478:$AJ478,1,(AP$4-1)*5+2)))</f>
        <v/>
      </c>
      <c r="AQ478" s="25">
        <f>AP478*(1/(1+INDEX($Q478:$AJ478,1,(AQ$4-1)*5+4)))^(1+INDEX($Q478:$AJ478,1,(AQ$4-1)*5+2))*(1+AQ$7)^INDEX($Q478:$AJ478,1,(AQ$4-1)*5+1)*(AQ348/AP348)^INDEX($Q478:$AJ478,1,(AQ$4-1)*5+2)*(AQ348/AP348)^(INDEX($Q478:$AJ478,1,(AQ$4-1)*5+3)*(1+INDEX($Q478:$AJ478,1,(AQ$4-1)*5+2)))</f>
        <v/>
      </c>
      <c r="AR478" s="25">
        <f>AQ478*(1/(1+INDEX($Q478:$AJ478,1,(AR$4-1)*5+4)))^(1+INDEX($Q478:$AJ478,1,(AR$4-1)*5+2))*(1+AR$7)^INDEX($Q478:$AJ478,1,(AR$4-1)*5+1)*(AR348/AQ348)^INDEX($Q478:$AJ478,1,(AR$4-1)*5+2)*(AR348/AQ348)^(INDEX($Q478:$AJ478,1,(AR$4-1)*5+3)*(1+INDEX($Q478:$AJ478,1,(AR$4-1)*5+2)))</f>
        <v/>
      </c>
      <c r="AS478" s="25">
        <f>AR478*(1/(1+INDEX($Q478:$AJ478,1,(AS$4-1)*5+4)))^(1+INDEX($Q478:$AJ478,1,(AS$4-1)*5+2))*(1+AS$7)^INDEX($Q478:$AJ478,1,(AS$4-1)*5+1)*(AS348/AR348)^INDEX($Q478:$AJ478,1,(AS$4-1)*5+2)*(AS348/AR348)^(INDEX($Q478:$AJ478,1,(AS$4-1)*5+3)*(1+INDEX($Q478:$AJ478,1,(AS$4-1)*5+2)))</f>
        <v/>
      </c>
      <c r="AT478" s="25">
        <f>AS478*(1/(1+INDEX($Q478:$AJ478,1,(AT$4-1)*5+4)))^(1+INDEX($Q478:$AJ478,1,(AT$4-1)*5+2))*(1+AT$7)^INDEX($Q478:$AJ478,1,(AT$4-1)*5+1)*(AT348/AS348)^INDEX($Q478:$AJ478,1,(AT$4-1)*5+2)*(AT348/AS348)^(INDEX($Q478:$AJ478,1,(AT$4-1)*5+3)*(1+INDEX($Q478:$AJ478,1,(AT$4-1)*5+2)))</f>
        <v/>
      </c>
      <c r="AU478" s="25">
        <f>AT478*(1/(1+INDEX($Q478:$AJ478,1,(AU$4-1)*5+4)))^(1+INDEX($Q478:$AJ478,1,(AU$4-1)*5+2))*(1+AU$7)^INDEX($Q478:$AJ478,1,(AU$4-1)*5+1)*(AU348/AT348)^INDEX($Q478:$AJ478,1,(AU$4-1)*5+2)*(AU348/AT348)^(INDEX($Q478:$AJ478,1,(AU$4-1)*5+3)*(1+INDEX($Q478:$AJ478,1,(AU$4-1)*5+2)))</f>
        <v/>
      </c>
      <c r="AV478" s="25">
        <f>AU478*(1/(1+INDEX($Q478:$AJ478,1,(AV$4-1)*5+4)))^(1+INDEX($Q478:$AJ478,1,(AV$4-1)*5+2))*(1+AV$7)^INDEX($Q478:$AJ478,1,(AV$4-1)*5+1)*(AV348/AU348)^INDEX($Q478:$AJ478,1,(AV$4-1)*5+2)*(AV348/AU348)^(INDEX($Q478:$AJ478,1,(AV$4-1)*5+3)*(1+INDEX($Q478:$AJ478,1,(AV$4-1)*5+2)))</f>
        <v/>
      </c>
      <c r="AW478" s="25">
        <f>AV478*(1/(1+INDEX($Q478:$AJ478,1,(AW$4-1)*5+4)))^(1+INDEX($Q478:$AJ478,1,(AW$4-1)*5+2))*(1+AW$7)^INDEX($Q478:$AJ478,1,(AW$4-1)*5+1)*(AW348/AV348)^INDEX($Q478:$AJ478,1,(AW$4-1)*5+2)*(AW348/AV348)^(INDEX($Q478:$AJ478,1,(AW$4-1)*5+3)*(1+INDEX($Q478:$AJ478,1,(AW$4-1)*5+2)))</f>
        <v/>
      </c>
      <c r="AX478" s="25">
        <f>AW478*(1/(1+INDEX($Q478:$AJ478,1,(AX$4-1)*5+4)))^(1+INDEX($Q478:$AJ478,1,(AX$4-1)*5+2))*(1+AX$7)^INDEX($Q478:$AJ478,1,(AX$4-1)*5+1)*(AX348/AW348)^INDEX($Q478:$AJ478,1,(AX$4-1)*5+2)*(AX348/AW348)^(INDEX($Q478:$AJ478,1,(AX$4-1)*5+3)*(1+INDEX($Q478:$AJ478,1,(AX$4-1)*5+2)))</f>
        <v/>
      </c>
      <c r="AY478" s="25">
        <f>AX478*(1/(1+INDEX($Q478:$AJ478,1,(AY$4-1)*5+4)))^(1+INDEX($Q478:$AJ478,1,(AY$4-1)*5+2))*(1+AY$7)^INDEX($Q478:$AJ478,1,(AY$4-1)*5+1)*(AY348/AX348)^INDEX($Q478:$AJ478,1,(AY$4-1)*5+2)*(AY348/AX348)^(INDEX($Q478:$AJ478,1,(AY$4-1)*5+3)*(1+INDEX($Q478:$AJ478,1,(AY$4-1)*5+2)))</f>
        <v/>
      </c>
      <c r="BA478" s="24">
        <f>INDEX(EnergyCons!$F$4:$F$5000,MATCH(Settings!$C$4&amp;"|"&amp;BA$5&amp;"|"&amp;$C478&amp;"|"&amp;$B478,EnergyCons!$A$4:$A$5000,0))</f>
        <v/>
      </c>
      <c r="BB478" s="25">
        <f>BA478*(1/(1+INDEX($Q478:$AJ478,1,(BB$4-1)*5+4)))^(1+INDEX($Q478:$AJ478,1,(BB$4-1)*5+2))*(1+BB$7)^INDEX($Q478:$AJ478,1,(BB$4-1)*5+1)*(BB348/BA348)^INDEX($Q478:$AJ478,1,(BB$4-1)*5+2)*(BB348/BA348)^(INDEX($Q478:$AJ478,1,(BB$4-1)*5+3)*(1+INDEX($Q478:$AJ478,1,(BB$4-1)*5+2)))</f>
        <v/>
      </c>
      <c r="BC478" s="25">
        <f>BB478*(1/(1+INDEX($Q478:$AJ478,1,(BC$4-1)*5+4)))^(1+INDEX($Q478:$AJ478,1,(BC$4-1)*5+2))*(1+BC$7)^INDEX($Q478:$AJ478,1,(BC$4-1)*5+1)*(BC348/BB348)^INDEX($Q478:$AJ478,1,(BC$4-1)*5+2)*(BC348/BB348)^(INDEX($Q478:$AJ478,1,(BC$4-1)*5+3)*(1+INDEX($Q478:$AJ478,1,(BC$4-1)*5+2)))</f>
        <v/>
      </c>
      <c r="BD478" s="25">
        <f>BC478*(1/(1+INDEX($Q478:$AJ478,1,(BD$4-1)*5+4)))^(1+INDEX($Q478:$AJ478,1,(BD$4-1)*5+2))*(1+BD$7)^INDEX($Q478:$AJ478,1,(BD$4-1)*5+1)*(BD348/BC348)^INDEX($Q478:$AJ478,1,(BD$4-1)*5+2)*(BD348/BC348)^(INDEX($Q478:$AJ478,1,(BD$4-1)*5+3)*(1+INDEX($Q478:$AJ478,1,(BD$4-1)*5+2)))</f>
        <v/>
      </c>
      <c r="BE478" s="25">
        <f>BD478*(1/(1+INDEX($Q478:$AJ478,1,(BE$4-1)*5+4)))^(1+INDEX($Q478:$AJ478,1,(BE$4-1)*5+2))*(1+BE$7)^INDEX($Q478:$AJ478,1,(BE$4-1)*5+1)*(BE348/BD348)^INDEX($Q478:$AJ478,1,(BE$4-1)*5+2)*(BE348/BD348)^(INDEX($Q478:$AJ478,1,(BE$4-1)*5+3)*(1+INDEX($Q478:$AJ478,1,(BE$4-1)*5+2)))</f>
        <v/>
      </c>
      <c r="BF478" s="25">
        <f>BE478*(1/(1+INDEX($Q478:$AJ478,1,(BF$4-1)*5+4)))^(1+INDEX($Q478:$AJ478,1,(BF$4-1)*5+2))*(1+BF$7)^INDEX($Q478:$AJ478,1,(BF$4-1)*5+1)*(BF348/BE348)^INDEX($Q478:$AJ478,1,(BF$4-1)*5+2)*(BF348/BE348)^(INDEX($Q478:$AJ478,1,(BF$4-1)*5+3)*(1+INDEX($Q478:$AJ478,1,(BF$4-1)*5+2)))</f>
        <v/>
      </c>
      <c r="BG478" s="25">
        <f>BF478*(1/(1+INDEX($Q478:$AJ478,1,(BG$4-1)*5+4)))^(1+INDEX($Q478:$AJ478,1,(BG$4-1)*5+2))*(1+BG$7)^INDEX($Q478:$AJ478,1,(BG$4-1)*5+1)*(BG348/BF348)^INDEX($Q478:$AJ478,1,(BG$4-1)*5+2)*(BG348/BF348)^(INDEX($Q478:$AJ478,1,(BG$4-1)*5+3)*(1+INDEX($Q478:$AJ478,1,(BG$4-1)*5+2)))</f>
        <v/>
      </c>
      <c r="BH478" s="25">
        <f>BG478*(1/(1+INDEX($Q478:$AJ478,1,(BH$4-1)*5+4)))^(1+INDEX($Q478:$AJ478,1,(BH$4-1)*5+2))*(1+BH$7)^INDEX($Q478:$AJ478,1,(BH$4-1)*5+1)*(BH348/BG348)^INDEX($Q478:$AJ478,1,(BH$4-1)*5+2)*(BH348/BG348)^(INDEX($Q478:$AJ478,1,(BH$4-1)*5+3)*(1+INDEX($Q478:$AJ478,1,(BH$4-1)*5+2)))</f>
        <v/>
      </c>
      <c r="BI478" s="25">
        <f>BH478*(1/(1+INDEX($Q478:$AJ478,1,(BI$4-1)*5+4)))^(1+INDEX($Q478:$AJ478,1,(BI$4-1)*5+2))*(1+BI$7)^INDEX($Q478:$AJ478,1,(BI$4-1)*5+1)*(BI348/BH348)^INDEX($Q478:$AJ478,1,(BI$4-1)*5+2)*(BI348/BH348)^(INDEX($Q478:$AJ478,1,(BI$4-1)*5+3)*(1+INDEX($Q478:$AJ478,1,(BI$4-1)*5+2)))</f>
        <v/>
      </c>
      <c r="BJ478" s="25">
        <f>BI478*(1/(1+INDEX($Q478:$AJ478,1,(BJ$4-1)*5+4)))^(1+INDEX($Q478:$AJ478,1,(BJ$4-1)*5+2))*(1+BJ$7)^INDEX($Q478:$AJ478,1,(BJ$4-1)*5+1)*(BJ348/BI348)^INDEX($Q478:$AJ478,1,(BJ$4-1)*5+2)*(BJ348/BI348)^(INDEX($Q478:$AJ478,1,(BJ$4-1)*5+3)*(1+INDEX($Q478:$AJ478,1,(BJ$4-1)*5+2)))</f>
        <v/>
      </c>
      <c r="BK478" s="25">
        <f>BJ478*(1/(1+INDEX($Q478:$AJ478,1,(BK$4-1)*5+4)))^(1+INDEX($Q478:$AJ478,1,(BK$4-1)*5+2))*(1+BK$7)^INDEX($Q478:$AJ478,1,(BK$4-1)*5+1)*(BK348/BJ348)^INDEX($Q478:$AJ478,1,(BK$4-1)*5+2)*(BK348/BJ348)^(INDEX($Q478:$AJ478,1,(BK$4-1)*5+3)*(1+INDEX($Q478:$AJ478,1,(BK$4-1)*5+2)))</f>
        <v/>
      </c>
      <c r="BL478" s="25">
        <f>BK478*(1/(1+INDEX($Q478:$AJ478,1,(BL$4-1)*5+4)))^(1+INDEX($Q478:$AJ478,1,(BL$4-1)*5+2))*(1+BL$7)^INDEX($Q478:$AJ478,1,(BL$4-1)*5+1)*(BL348/BK348)^INDEX($Q478:$AJ478,1,(BL$4-1)*5+2)*(BL348/BK348)^(INDEX($Q478:$AJ478,1,(BL$4-1)*5+3)*(1+INDEX($Q478:$AJ478,1,(BL$4-1)*5+2)))</f>
        <v/>
      </c>
      <c r="BM478" s="25">
        <f>BL478*(1/(1+INDEX($Q478:$AJ478,1,(BM$4-1)*5+4)))^(1+INDEX($Q478:$AJ478,1,(BM$4-1)*5+2))*(1+BM$7)^INDEX($Q478:$AJ478,1,(BM$4-1)*5+1)*(BM348/BL348)^INDEX($Q478:$AJ478,1,(BM$4-1)*5+2)*(BM348/BL348)^(INDEX($Q478:$AJ478,1,(BM$4-1)*5+3)*(1+INDEX($Q478:$AJ478,1,(BM$4-1)*5+2)))</f>
        <v/>
      </c>
      <c r="BN478" s="25">
        <f>BM478*(1/(1+INDEX($Q478:$AJ478,1,(BN$4-1)*5+4)))^(1+INDEX($Q478:$AJ478,1,(BN$4-1)*5+2))*(1+BN$7)^INDEX($Q478:$AJ478,1,(BN$4-1)*5+1)*(BN348/BM348)^INDEX($Q478:$AJ478,1,(BN$4-1)*5+2)*(BN348/BM348)^(INDEX($Q478:$AJ478,1,(BN$4-1)*5+3)*(1+INDEX($Q478:$AJ478,1,(BN$4-1)*5+2)))</f>
        <v/>
      </c>
    </row>
    <row r="479">
      <c r="B479" s="5" t="inlineStr">
        <is>
          <t>oop</t>
        </is>
      </c>
      <c r="C479" s="5" t="inlineStr">
        <is>
          <t>nfm</t>
        </is>
      </c>
      <c r="D479" s="5" t="inlineStr">
        <is>
          <t>Fuel use | Other metals | Other oil products</t>
        </is>
      </c>
      <c r="E479" s="5" t="inlineStr">
        <is>
          <t>ktoe</t>
        </is>
      </c>
      <c r="F479" s="5" t="inlineStr">
        <is>
          <t>EnergyCons (base year), Elasticities</t>
        </is>
      </c>
      <c r="G479" s="19" t="inlineStr">
        <is>
          <t>mit.enc.oop.nfm</t>
        </is>
      </c>
      <c r="H479" s="19" t="inlineStr">
        <is>
          <t>mit.enc.oop.nfm</t>
        </is>
      </c>
      <c r="J479" s="5">
        <f>INDEX(Mapping!$C$5:$C$20,MATCH($C479,Mapping!$A$5:$A$20,0))</f>
        <v/>
      </c>
      <c r="K479" s="5">
        <f>INDEX(Mapping!$D$5:$D$20,MATCH($C479,Mapping!$A$5:$A$20,0))</f>
        <v/>
      </c>
      <c r="L479" s="5">
        <f>INDEX(Mapping!$C$24:$C$31,MATCH($B479,Mapping!$A$24:$A$31,0))</f>
        <v/>
      </c>
      <c r="M479" s="5">
        <f>INDEX(Mapping!$D$24:$D$31,MATCH($B479,Mapping!$A$24:$A$31,0))</f>
        <v/>
      </c>
      <c r="N479" s="5">
        <f>$B479&amp;"."&amp;IF(INDEX(Mapping!$E$24:$E$31,MATCH($B479,Mapping!$A$24:$A$31,0))="sub",INDEX(Mapping!$F$5:$F$20,MATCH($C479,Mapping!$A$5:$A$20,0)),"all")</f>
        <v/>
      </c>
      <c r="O479" s="5">
        <f>INDEX(Mapping!$E$5:$E$20,MATCH($C479,Mapping!$A$5:$A$20,0))</f>
        <v/>
      </c>
      <c r="P479" s="5">
        <f>INDEX(Mapping!$G$24:$G$31,MATCH($B479,Mapping!$A$24:$A$31,0))</f>
        <v/>
      </c>
      <c r="Q479" s="22">
        <f>INDEX(Elasticities!$F$4:$I$200,MATCH("inc|"&amp;$L479&amp;"|"&amp;$K479,Elasticities!$A$4:$A$200,0),MATCH(Settings!$C$6,Elasticities!$F$3:$I$3,0))</f>
        <v/>
      </c>
      <c r="R479" s="22">
        <f>INDEX(Elasticities!$F$4:$I$200,MATCH("usg|"&amp;$L479&amp;"|"&amp;$K479,Elasticities!$A$4:$A$200,0),MATCH(Settings!$C$6,Elasticities!$F$3:$I$3,0))</f>
        <v/>
      </c>
      <c r="S479" s="22">
        <f>INDEX(Elasticities!$F$4:$I$200,MATCH("eff|"&amp;$L479&amp;"|"&amp;$K479,Elasticities!$A$4:$A$200,0),MATCH(Settings!$C$6,Elasticities!$F$3:$I$3,0))</f>
        <v/>
      </c>
      <c r="T479" s="22">
        <f>INDEX(Elasticities!$F$4:$I$200,MATCH("aei|"&amp;$M479&amp;"|"&amp;$K479,Elasticities!$A$4:$A$200,0),MATCH(Settings!$C$6,Elasticities!$F$3:$I$3,0))</f>
        <v/>
      </c>
      <c r="U479" s="21" t="n"/>
      <c r="V479" s="22">
        <f>Q479</f>
        <v/>
      </c>
      <c r="W479" s="22">
        <f>R479</f>
        <v/>
      </c>
      <c r="X479" s="22">
        <f>S479</f>
        <v/>
      </c>
      <c r="Y479" s="22">
        <f>T479</f>
        <v/>
      </c>
      <c r="Z479" s="21" t="n"/>
      <c r="AA479" s="22">
        <f>Q479</f>
        <v/>
      </c>
      <c r="AB479" s="22">
        <f>R479</f>
        <v/>
      </c>
      <c r="AC479" s="22">
        <f>S479</f>
        <v/>
      </c>
      <c r="AD479" s="22">
        <f>T479</f>
        <v/>
      </c>
      <c r="AE479" s="21" t="n"/>
      <c r="AF479" s="22">
        <f>Q479</f>
        <v/>
      </c>
      <c r="AG479" s="22">
        <f>R479</f>
        <v/>
      </c>
      <c r="AH479" s="22">
        <f>S479</f>
        <v/>
      </c>
      <c r="AI479" s="22">
        <f>T479</f>
        <v/>
      </c>
      <c r="AJ479" s="21" t="n"/>
      <c r="AL479" s="24">
        <f>INDEX(EnergyCons!$F$4:$F$5000,MATCH(Settings!$C$4&amp;"|"&amp;AL$5&amp;"|"&amp;$C479&amp;"|"&amp;$B479,EnergyCons!$A$4:$A$5000,0))</f>
        <v/>
      </c>
      <c r="AM479" s="25">
        <f>AL479*(1/(1+INDEX($Q479:$AJ479,1,(AM$4-1)*5+4)))^(1+INDEX($Q479:$AJ479,1,(AM$4-1)*5+2))*(1+AM$7)^INDEX($Q479:$AJ479,1,(AM$4-1)*5+1)*(AM349/AL349)^INDEX($Q479:$AJ479,1,(AM$4-1)*5+2)*(AM349/AL349)^(INDEX($Q479:$AJ479,1,(AM$4-1)*5+3)*(1+INDEX($Q479:$AJ479,1,(AM$4-1)*5+2)))</f>
        <v/>
      </c>
      <c r="AN479" s="25">
        <f>AM479*(1/(1+INDEX($Q479:$AJ479,1,(AN$4-1)*5+4)))^(1+INDEX($Q479:$AJ479,1,(AN$4-1)*5+2))*(1+AN$7)^INDEX($Q479:$AJ479,1,(AN$4-1)*5+1)*(AN349/AM349)^INDEX($Q479:$AJ479,1,(AN$4-1)*5+2)*(AN349/AM349)^(INDEX($Q479:$AJ479,1,(AN$4-1)*5+3)*(1+INDEX($Q479:$AJ479,1,(AN$4-1)*5+2)))</f>
        <v/>
      </c>
      <c r="AO479" s="25">
        <f>AN479*(1/(1+INDEX($Q479:$AJ479,1,(AO$4-1)*5+4)))^(1+INDEX($Q479:$AJ479,1,(AO$4-1)*5+2))*(1+AO$7)^INDEX($Q479:$AJ479,1,(AO$4-1)*5+1)*(AO349/AN349)^INDEX($Q479:$AJ479,1,(AO$4-1)*5+2)*(AO349/AN349)^(INDEX($Q479:$AJ479,1,(AO$4-1)*5+3)*(1+INDEX($Q479:$AJ479,1,(AO$4-1)*5+2)))</f>
        <v/>
      </c>
      <c r="AP479" s="25">
        <f>AO479*(1/(1+INDEX($Q479:$AJ479,1,(AP$4-1)*5+4)))^(1+INDEX($Q479:$AJ479,1,(AP$4-1)*5+2))*(1+AP$7)^INDEX($Q479:$AJ479,1,(AP$4-1)*5+1)*(AP349/AO349)^INDEX($Q479:$AJ479,1,(AP$4-1)*5+2)*(AP349/AO349)^(INDEX($Q479:$AJ479,1,(AP$4-1)*5+3)*(1+INDEX($Q479:$AJ479,1,(AP$4-1)*5+2)))</f>
        <v/>
      </c>
      <c r="AQ479" s="25">
        <f>AP479*(1/(1+INDEX($Q479:$AJ479,1,(AQ$4-1)*5+4)))^(1+INDEX($Q479:$AJ479,1,(AQ$4-1)*5+2))*(1+AQ$7)^INDEX($Q479:$AJ479,1,(AQ$4-1)*5+1)*(AQ349/AP349)^INDEX($Q479:$AJ479,1,(AQ$4-1)*5+2)*(AQ349/AP349)^(INDEX($Q479:$AJ479,1,(AQ$4-1)*5+3)*(1+INDEX($Q479:$AJ479,1,(AQ$4-1)*5+2)))</f>
        <v/>
      </c>
      <c r="AR479" s="25">
        <f>AQ479*(1/(1+INDEX($Q479:$AJ479,1,(AR$4-1)*5+4)))^(1+INDEX($Q479:$AJ479,1,(AR$4-1)*5+2))*(1+AR$7)^INDEX($Q479:$AJ479,1,(AR$4-1)*5+1)*(AR349/AQ349)^INDEX($Q479:$AJ479,1,(AR$4-1)*5+2)*(AR349/AQ349)^(INDEX($Q479:$AJ479,1,(AR$4-1)*5+3)*(1+INDEX($Q479:$AJ479,1,(AR$4-1)*5+2)))</f>
        <v/>
      </c>
      <c r="AS479" s="25">
        <f>AR479*(1/(1+INDEX($Q479:$AJ479,1,(AS$4-1)*5+4)))^(1+INDEX($Q479:$AJ479,1,(AS$4-1)*5+2))*(1+AS$7)^INDEX($Q479:$AJ479,1,(AS$4-1)*5+1)*(AS349/AR349)^INDEX($Q479:$AJ479,1,(AS$4-1)*5+2)*(AS349/AR349)^(INDEX($Q479:$AJ479,1,(AS$4-1)*5+3)*(1+INDEX($Q479:$AJ479,1,(AS$4-1)*5+2)))</f>
        <v/>
      </c>
      <c r="AT479" s="25">
        <f>AS479*(1/(1+INDEX($Q479:$AJ479,1,(AT$4-1)*5+4)))^(1+INDEX($Q479:$AJ479,1,(AT$4-1)*5+2))*(1+AT$7)^INDEX($Q479:$AJ479,1,(AT$4-1)*5+1)*(AT349/AS349)^INDEX($Q479:$AJ479,1,(AT$4-1)*5+2)*(AT349/AS349)^(INDEX($Q479:$AJ479,1,(AT$4-1)*5+3)*(1+INDEX($Q479:$AJ479,1,(AT$4-1)*5+2)))</f>
        <v/>
      </c>
      <c r="AU479" s="25">
        <f>AT479*(1/(1+INDEX($Q479:$AJ479,1,(AU$4-1)*5+4)))^(1+INDEX($Q479:$AJ479,1,(AU$4-1)*5+2))*(1+AU$7)^INDEX($Q479:$AJ479,1,(AU$4-1)*5+1)*(AU349/AT349)^INDEX($Q479:$AJ479,1,(AU$4-1)*5+2)*(AU349/AT349)^(INDEX($Q479:$AJ479,1,(AU$4-1)*5+3)*(1+INDEX($Q479:$AJ479,1,(AU$4-1)*5+2)))</f>
        <v/>
      </c>
      <c r="AV479" s="25">
        <f>AU479*(1/(1+INDEX($Q479:$AJ479,1,(AV$4-1)*5+4)))^(1+INDEX($Q479:$AJ479,1,(AV$4-1)*5+2))*(1+AV$7)^INDEX($Q479:$AJ479,1,(AV$4-1)*5+1)*(AV349/AU349)^INDEX($Q479:$AJ479,1,(AV$4-1)*5+2)*(AV349/AU349)^(INDEX($Q479:$AJ479,1,(AV$4-1)*5+3)*(1+INDEX($Q479:$AJ479,1,(AV$4-1)*5+2)))</f>
        <v/>
      </c>
      <c r="AW479" s="25">
        <f>AV479*(1/(1+INDEX($Q479:$AJ479,1,(AW$4-1)*5+4)))^(1+INDEX($Q479:$AJ479,1,(AW$4-1)*5+2))*(1+AW$7)^INDEX($Q479:$AJ479,1,(AW$4-1)*5+1)*(AW349/AV349)^INDEX($Q479:$AJ479,1,(AW$4-1)*5+2)*(AW349/AV349)^(INDEX($Q479:$AJ479,1,(AW$4-1)*5+3)*(1+INDEX($Q479:$AJ479,1,(AW$4-1)*5+2)))</f>
        <v/>
      </c>
      <c r="AX479" s="25">
        <f>AW479*(1/(1+INDEX($Q479:$AJ479,1,(AX$4-1)*5+4)))^(1+INDEX($Q479:$AJ479,1,(AX$4-1)*5+2))*(1+AX$7)^INDEX($Q479:$AJ479,1,(AX$4-1)*5+1)*(AX349/AW349)^INDEX($Q479:$AJ479,1,(AX$4-1)*5+2)*(AX349/AW349)^(INDEX($Q479:$AJ479,1,(AX$4-1)*5+3)*(1+INDEX($Q479:$AJ479,1,(AX$4-1)*5+2)))</f>
        <v/>
      </c>
      <c r="AY479" s="25">
        <f>AX479*(1/(1+INDEX($Q479:$AJ479,1,(AY$4-1)*5+4)))^(1+INDEX($Q479:$AJ479,1,(AY$4-1)*5+2))*(1+AY$7)^INDEX($Q479:$AJ479,1,(AY$4-1)*5+1)*(AY349/AX349)^INDEX($Q479:$AJ479,1,(AY$4-1)*5+2)*(AY349/AX349)^(INDEX($Q479:$AJ479,1,(AY$4-1)*5+3)*(1+INDEX($Q479:$AJ479,1,(AY$4-1)*5+2)))</f>
        <v/>
      </c>
      <c r="BA479" s="24">
        <f>INDEX(EnergyCons!$F$4:$F$5000,MATCH(Settings!$C$4&amp;"|"&amp;BA$5&amp;"|"&amp;$C479&amp;"|"&amp;$B479,EnergyCons!$A$4:$A$5000,0))</f>
        <v/>
      </c>
      <c r="BB479" s="25">
        <f>BA479*(1/(1+INDEX($Q479:$AJ479,1,(BB$4-1)*5+4)))^(1+INDEX($Q479:$AJ479,1,(BB$4-1)*5+2))*(1+BB$7)^INDEX($Q479:$AJ479,1,(BB$4-1)*5+1)*(BB349/BA349)^INDEX($Q479:$AJ479,1,(BB$4-1)*5+2)*(BB349/BA349)^(INDEX($Q479:$AJ479,1,(BB$4-1)*5+3)*(1+INDEX($Q479:$AJ479,1,(BB$4-1)*5+2)))</f>
        <v/>
      </c>
      <c r="BC479" s="25">
        <f>BB479*(1/(1+INDEX($Q479:$AJ479,1,(BC$4-1)*5+4)))^(1+INDEX($Q479:$AJ479,1,(BC$4-1)*5+2))*(1+BC$7)^INDEX($Q479:$AJ479,1,(BC$4-1)*5+1)*(BC349/BB349)^INDEX($Q479:$AJ479,1,(BC$4-1)*5+2)*(BC349/BB349)^(INDEX($Q479:$AJ479,1,(BC$4-1)*5+3)*(1+INDEX($Q479:$AJ479,1,(BC$4-1)*5+2)))</f>
        <v/>
      </c>
      <c r="BD479" s="25">
        <f>BC479*(1/(1+INDEX($Q479:$AJ479,1,(BD$4-1)*5+4)))^(1+INDEX($Q479:$AJ479,1,(BD$4-1)*5+2))*(1+BD$7)^INDEX($Q479:$AJ479,1,(BD$4-1)*5+1)*(BD349/BC349)^INDEX($Q479:$AJ479,1,(BD$4-1)*5+2)*(BD349/BC349)^(INDEX($Q479:$AJ479,1,(BD$4-1)*5+3)*(1+INDEX($Q479:$AJ479,1,(BD$4-1)*5+2)))</f>
        <v/>
      </c>
      <c r="BE479" s="25">
        <f>BD479*(1/(1+INDEX($Q479:$AJ479,1,(BE$4-1)*5+4)))^(1+INDEX($Q479:$AJ479,1,(BE$4-1)*5+2))*(1+BE$7)^INDEX($Q479:$AJ479,1,(BE$4-1)*5+1)*(BE349/BD349)^INDEX($Q479:$AJ479,1,(BE$4-1)*5+2)*(BE349/BD349)^(INDEX($Q479:$AJ479,1,(BE$4-1)*5+3)*(1+INDEX($Q479:$AJ479,1,(BE$4-1)*5+2)))</f>
        <v/>
      </c>
      <c r="BF479" s="25">
        <f>BE479*(1/(1+INDEX($Q479:$AJ479,1,(BF$4-1)*5+4)))^(1+INDEX($Q479:$AJ479,1,(BF$4-1)*5+2))*(1+BF$7)^INDEX($Q479:$AJ479,1,(BF$4-1)*5+1)*(BF349/BE349)^INDEX($Q479:$AJ479,1,(BF$4-1)*5+2)*(BF349/BE349)^(INDEX($Q479:$AJ479,1,(BF$4-1)*5+3)*(1+INDEX($Q479:$AJ479,1,(BF$4-1)*5+2)))</f>
        <v/>
      </c>
      <c r="BG479" s="25">
        <f>BF479*(1/(1+INDEX($Q479:$AJ479,1,(BG$4-1)*5+4)))^(1+INDEX($Q479:$AJ479,1,(BG$4-1)*5+2))*(1+BG$7)^INDEX($Q479:$AJ479,1,(BG$4-1)*5+1)*(BG349/BF349)^INDEX($Q479:$AJ479,1,(BG$4-1)*5+2)*(BG349/BF349)^(INDEX($Q479:$AJ479,1,(BG$4-1)*5+3)*(1+INDEX($Q479:$AJ479,1,(BG$4-1)*5+2)))</f>
        <v/>
      </c>
      <c r="BH479" s="25">
        <f>BG479*(1/(1+INDEX($Q479:$AJ479,1,(BH$4-1)*5+4)))^(1+INDEX($Q479:$AJ479,1,(BH$4-1)*5+2))*(1+BH$7)^INDEX($Q479:$AJ479,1,(BH$4-1)*5+1)*(BH349/BG349)^INDEX($Q479:$AJ479,1,(BH$4-1)*5+2)*(BH349/BG349)^(INDEX($Q479:$AJ479,1,(BH$4-1)*5+3)*(1+INDEX($Q479:$AJ479,1,(BH$4-1)*5+2)))</f>
        <v/>
      </c>
      <c r="BI479" s="25">
        <f>BH479*(1/(1+INDEX($Q479:$AJ479,1,(BI$4-1)*5+4)))^(1+INDEX($Q479:$AJ479,1,(BI$4-1)*5+2))*(1+BI$7)^INDEX($Q479:$AJ479,1,(BI$4-1)*5+1)*(BI349/BH349)^INDEX($Q479:$AJ479,1,(BI$4-1)*5+2)*(BI349/BH349)^(INDEX($Q479:$AJ479,1,(BI$4-1)*5+3)*(1+INDEX($Q479:$AJ479,1,(BI$4-1)*5+2)))</f>
        <v/>
      </c>
      <c r="BJ479" s="25">
        <f>BI479*(1/(1+INDEX($Q479:$AJ479,1,(BJ$4-1)*5+4)))^(1+INDEX($Q479:$AJ479,1,(BJ$4-1)*5+2))*(1+BJ$7)^INDEX($Q479:$AJ479,1,(BJ$4-1)*5+1)*(BJ349/BI349)^INDEX($Q479:$AJ479,1,(BJ$4-1)*5+2)*(BJ349/BI349)^(INDEX($Q479:$AJ479,1,(BJ$4-1)*5+3)*(1+INDEX($Q479:$AJ479,1,(BJ$4-1)*5+2)))</f>
        <v/>
      </c>
      <c r="BK479" s="25">
        <f>BJ479*(1/(1+INDEX($Q479:$AJ479,1,(BK$4-1)*5+4)))^(1+INDEX($Q479:$AJ479,1,(BK$4-1)*5+2))*(1+BK$7)^INDEX($Q479:$AJ479,1,(BK$4-1)*5+1)*(BK349/BJ349)^INDEX($Q479:$AJ479,1,(BK$4-1)*5+2)*(BK349/BJ349)^(INDEX($Q479:$AJ479,1,(BK$4-1)*5+3)*(1+INDEX($Q479:$AJ479,1,(BK$4-1)*5+2)))</f>
        <v/>
      </c>
      <c r="BL479" s="25">
        <f>BK479*(1/(1+INDEX($Q479:$AJ479,1,(BL$4-1)*5+4)))^(1+INDEX($Q479:$AJ479,1,(BL$4-1)*5+2))*(1+BL$7)^INDEX($Q479:$AJ479,1,(BL$4-1)*5+1)*(BL349/BK349)^INDEX($Q479:$AJ479,1,(BL$4-1)*5+2)*(BL349/BK349)^(INDEX($Q479:$AJ479,1,(BL$4-1)*5+3)*(1+INDEX($Q479:$AJ479,1,(BL$4-1)*5+2)))</f>
        <v/>
      </c>
      <c r="BM479" s="25">
        <f>BL479*(1/(1+INDEX($Q479:$AJ479,1,(BM$4-1)*5+4)))^(1+INDEX($Q479:$AJ479,1,(BM$4-1)*5+2))*(1+BM$7)^INDEX($Q479:$AJ479,1,(BM$4-1)*5+1)*(BM349/BL349)^INDEX($Q479:$AJ479,1,(BM$4-1)*5+2)*(BM349/BL349)^(INDEX($Q479:$AJ479,1,(BM$4-1)*5+3)*(1+INDEX($Q479:$AJ479,1,(BM$4-1)*5+2)))</f>
        <v/>
      </c>
      <c r="BN479" s="25">
        <f>BM479*(1/(1+INDEX($Q479:$AJ479,1,(BN$4-1)*5+4)))^(1+INDEX($Q479:$AJ479,1,(BN$4-1)*5+2))*(1+BN$7)^INDEX($Q479:$AJ479,1,(BN$4-1)*5+1)*(BN349/BM349)^INDEX($Q479:$AJ479,1,(BN$4-1)*5+2)*(BN349/BM349)^(INDEX($Q479:$AJ479,1,(BN$4-1)*5+3)*(1+INDEX($Q479:$AJ479,1,(BN$4-1)*5+2)))</f>
        <v/>
      </c>
    </row>
    <row r="480">
      <c r="B480" s="5" t="inlineStr">
        <is>
          <t>bio</t>
        </is>
      </c>
      <c r="C480" s="5" t="inlineStr">
        <is>
          <t>nfm</t>
        </is>
      </c>
      <c r="D480" s="5" t="inlineStr">
        <is>
          <t>Fuel use | Other metals | Biomass</t>
        </is>
      </c>
      <c r="E480" s="5" t="inlineStr">
        <is>
          <t>ktoe</t>
        </is>
      </c>
      <c r="F480" s="5" t="inlineStr">
        <is>
          <t>EnergyCons (base year), Elasticities</t>
        </is>
      </c>
      <c r="G480" s="19" t="inlineStr">
        <is>
          <t>mit.enc.bio.nfm</t>
        </is>
      </c>
      <c r="H480" s="19" t="inlineStr">
        <is>
          <t>mit.enc.bio.nfm</t>
        </is>
      </c>
      <c r="J480" s="5">
        <f>INDEX(Mapping!$C$5:$C$20,MATCH($C480,Mapping!$A$5:$A$20,0))</f>
        <v/>
      </c>
      <c r="K480" s="5">
        <f>INDEX(Mapping!$D$5:$D$20,MATCH($C480,Mapping!$A$5:$A$20,0))</f>
        <v/>
      </c>
      <c r="L480" s="5">
        <f>INDEX(Mapping!$C$24:$C$31,MATCH($B480,Mapping!$A$24:$A$31,0))</f>
        <v/>
      </c>
      <c r="M480" s="5">
        <f>INDEX(Mapping!$D$24:$D$31,MATCH($B480,Mapping!$A$24:$A$31,0))</f>
        <v/>
      </c>
      <c r="N480" s="5">
        <f>$B480&amp;"."&amp;IF(INDEX(Mapping!$E$24:$E$31,MATCH($B480,Mapping!$A$24:$A$31,0))="sub",INDEX(Mapping!$F$5:$F$20,MATCH($C480,Mapping!$A$5:$A$20,0)),"all")</f>
        <v/>
      </c>
      <c r="O480" s="5">
        <f>INDEX(Mapping!$E$5:$E$20,MATCH($C480,Mapping!$A$5:$A$20,0))</f>
        <v/>
      </c>
      <c r="P480" s="5">
        <f>INDEX(Mapping!$G$24:$G$31,MATCH($B480,Mapping!$A$24:$A$31,0))</f>
        <v/>
      </c>
      <c r="Q480" s="22">
        <f>INDEX(Elasticities!$F$4:$I$200,MATCH("inc|"&amp;$L480&amp;"|"&amp;$K480,Elasticities!$A$4:$A$200,0),MATCH(Settings!$C$6,Elasticities!$F$3:$I$3,0))</f>
        <v/>
      </c>
      <c r="R480" s="22">
        <f>INDEX(Elasticities!$F$4:$I$200,MATCH("usg|"&amp;$L480&amp;"|"&amp;$K480,Elasticities!$A$4:$A$200,0),MATCH(Settings!$C$6,Elasticities!$F$3:$I$3,0))</f>
        <v/>
      </c>
      <c r="S480" s="22">
        <f>INDEX(Elasticities!$F$4:$I$200,MATCH("eff|"&amp;$L480&amp;"|"&amp;$K480,Elasticities!$A$4:$A$200,0),MATCH(Settings!$C$6,Elasticities!$F$3:$I$3,0))</f>
        <v/>
      </c>
      <c r="T480" s="22">
        <f>INDEX(Elasticities!$F$4:$I$200,MATCH("aei|"&amp;$M480&amp;"|"&amp;$K480,Elasticities!$A$4:$A$200,0),MATCH(Settings!$C$6,Elasticities!$F$3:$I$3,0))</f>
        <v/>
      </c>
      <c r="U480" s="21" t="n"/>
      <c r="V480" s="22">
        <f>Q480</f>
        <v/>
      </c>
      <c r="W480" s="22">
        <f>R480</f>
        <v/>
      </c>
      <c r="X480" s="22">
        <f>S480</f>
        <v/>
      </c>
      <c r="Y480" s="22">
        <f>T480</f>
        <v/>
      </c>
      <c r="Z480" s="21" t="n"/>
      <c r="AA480" s="22">
        <f>Q480</f>
        <v/>
      </c>
      <c r="AB480" s="22">
        <f>R480</f>
        <v/>
      </c>
      <c r="AC480" s="22">
        <f>S480</f>
        <v/>
      </c>
      <c r="AD480" s="22">
        <f>T480</f>
        <v/>
      </c>
      <c r="AE480" s="21" t="n"/>
      <c r="AF480" s="22">
        <f>Q480</f>
        <v/>
      </c>
      <c r="AG480" s="22">
        <f>R480</f>
        <v/>
      </c>
      <c r="AH480" s="22">
        <f>S480</f>
        <v/>
      </c>
      <c r="AI480" s="22">
        <f>T480</f>
        <v/>
      </c>
      <c r="AJ480" s="21" t="n"/>
      <c r="AL480" s="24">
        <f>INDEX(EnergyCons!$F$4:$F$5000,MATCH(Settings!$C$4&amp;"|"&amp;AL$5&amp;"|"&amp;$C480&amp;"|"&amp;$B480,EnergyCons!$A$4:$A$5000,0))</f>
        <v/>
      </c>
      <c r="AM480" s="25">
        <f>AL480*(1/(1+INDEX($Q480:$AJ480,1,(AM$4-1)*5+4)))^(1+INDEX($Q480:$AJ480,1,(AM$4-1)*5+2))*(1+AM$7)^INDEX($Q480:$AJ480,1,(AM$4-1)*5+1)*(AM350/AL350)^INDEX($Q480:$AJ480,1,(AM$4-1)*5+2)*(AM350/AL350)^(INDEX($Q480:$AJ480,1,(AM$4-1)*5+3)*(1+INDEX($Q480:$AJ480,1,(AM$4-1)*5+2)))</f>
        <v/>
      </c>
      <c r="AN480" s="25">
        <f>AM480*(1/(1+INDEX($Q480:$AJ480,1,(AN$4-1)*5+4)))^(1+INDEX($Q480:$AJ480,1,(AN$4-1)*5+2))*(1+AN$7)^INDEX($Q480:$AJ480,1,(AN$4-1)*5+1)*(AN350/AM350)^INDEX($Q480:$AJ480,1,(AN$4-1)*5+2)*(AN350/AM350)^(INDEX($Q480:$AJ480,1,(AN$4-1)*5+3)*(1+INDEX($Q480:$AJ480,1,(AN$4-1)*5+2)))</f>
        <v/>
      </c>
      <c r="AO480" s="25">
        <f>AN480*(1/(1+INDEX($Q480:$AJ480,1,(AO$4-1)*5+4)))^(1+INDEX($Q480:$AJ480,1,(AO$4-1)*5+2))*(1+AO$7)^INDEX($Q480:$AJ480,1,(AO$4-1)*5+1)*(AO350/AN350)^INDEX($Q480:$AJ480,1,(AO$4-1)*5+2)*(AO350/AN350)^(INDEX($Q480:$AJ480,1,(AO$4-1)*5+3)*(1+INDEX($Q480:$AJ480,1,(AO$4-1)*5+2)))</f>
        <v/>
      </c>
      <c r="AP480" s="25">
        <f>AO480*(1/(1+INDEX($Q480:$AJ480,1,(AP$4-1)*5+4)))^(1+INDEX($Q480:$AJ480,1,(AP$4-1)*5+2))*(1+AP$7)^INDEX($Q480:$AJ480,1,(AP$4-1)*5+1)*(AP350/AO350)^INDEX($Q480:$AJ480,1,(AP$4-1)*5+2)*(AP350/AO350)^(INDEX($Q480:$AJ480,1,(AP$4-1)*5+3)*(1+INDEX($Q480:$AJ480,1,(AP$4-1)*5+2)))</f>
        <v/>
      </c>
      <c r="AQ480" s="25">
        <f>AP480*(1/(1+INDEX($Q480:$AJ480,1,(AQ$4-1)*5+4)))^(1+INDEX($Q480:$AJ480,1,(AQ$4-1)*5+2))*(1+AQ$7)^INDEX($Q480:$AJ480,1,(AQ$4-1)*5+1)*(AQ350/AP350)^INDEX($Q480:$AJ480,1,(AQ$4-1)*5+2)*(AQ350/AP350)^(INDEX($Q480:$AJ480,1,(AQ$4-1)*5+3)*(1+INDEX($Q480:$AJ480,1,(AQ$4-1)*5+2)))</f>
        <v/>
      </c>
      <c r="AR480" s="25">
        <f>AQ480*(1/(1+INDEX($Q480:$AJ480,1,(AR$4-1)*5+4)))^(1+INDEX($Q480:$AJ480,1,(AR$4-1)*5+2))*(1+AR$7)^INDEX($Q480:$AJ480,1,(AR$4-1)*5+1)*(AR350/AQ350)^INDEX($Q480:$AJ480,1,(AR$4-1)*5+2)*(AR350/AQ350)^(INDEX($Q480:$AJ480,1,(AR$4-1)*5+3)*(1+INDEX($Q480:$AJ480,1,(AR$4-1)*5+2)))</f>
        <v/>
      </c>
      <c r="AS480" s="25">
        <f>AR480*(1/(1+INDEX($Q480:$AJ480,1,(AS$4-1)*5+4)))^(1+INDEX($Q480:$AJ480,1,(AS$4-1)*5+2))*(1+AS$7)^INDEX($Q480:$AJ480,1,(AS$4-1)*5+1)*(AS350/AR350)^INDEX($Q480:$AJ480,1,(AS$4-1)*5+2)*(AS350/AR350)^(INDEX($Q480:$AJ480,1,(AS$4-1)*5+3)*(1+INDEX($Q480:$AJ480,1,(AS$4-1)*5+2)))</f>
        <v/>
      </c>
      <c r="AT480" s="25">
        <f>AS480*(1/(1+INDEX($Q480:$AJ480,1,(AT$4-1)*5+4)))^(1+INDEX($Q480:$AJ480,1,(AT$4-1)*5+2))*(1+AT$7)^INDEX($Q480:$AJ480,1,(AT$4-1)*5+1)*(AT350/AS350)^INDEX($Q480:$AJ480,1,(AT$4-1)*5+2)*(AT350/AS350)^(INDEX($Q480:$AJ480,1,(AT$4-1)*5+3)*(1+INDEX($Q480:$AJ480,1,(AT$4-1)*5+2)))</f>
        <v/>
      </c>
      <c r="AU480" s="25">
        <f>AT480*(1/(1+INDEX($Q480:$AJ480,1,(AU$4-1)*5+4)))^(1+INDEX($Q480:$AJ480,1,(AU$4-1)*5+2))*(1+AU$7)^INDEX($Q480:$AJ480,1,(AU$4-1)*5+1)*(AU350/AT350)^INDEX($Q480:$AJ480,1,(AU$4-1)*5+2)*(AU350/AT350)^(INDEX($Q480:$AJ480,1,(AU$4-1)*5+3)*(1+INDEX($Q480:$AJ480,1,(AU$4-1)*5+2)))</f>
        <v/>
      </c>
      <c r="AV480" s="25">
        <f>AU480*(1/(1+INDEX($Q480:$AJ480,1,(AV$4-1)*5+4)))^(1+INDEX($Q480:$AJ480,1,(AV$4-1)*5+2))*(1+AV$7)^INDEX($Q480:$AJ480,1,(AV$4-1)*5+1)*(AV350/AU350)^INDEX($Q480:$AJ480,1,(AV$4-1)*5+2)*(AV350/AU350)^(INDEX($Q480:$AJ480,1,(AV$4-1)*5+3)*(1+INDEX($Q480:$AJ480,1,(AV$4-1)*5+2)))</f>
        <v/>
      </c>
      <c r="AW480" s="25">
        <f>AV480*(1/(1+INDEX($Q480:$AJ480,1,(AW$4-1)*5+4)))^(1+INDEX($Q480:$AJ480,1,(AW$4-1)*5+2))*(1+AW$7)^INDEX($Q480:$AJ480,1,(AW$4-1)*5+1)*(AW350/AV350)^INDEX($Q480:$AJ480,1,(AW$4-1)*5+2)*(AW350/AV350)^(INDEX($Q480:$AJ480,1,(AW$4-1)*5+3)*(1+INDEX($Q480:$AJ480,1,(AW$4-1)*5+2)))</f>
        <v/>
      </c>
      <c r="AX480" s="25">
        <f>AW480*(1/(1+INDEX($Q480:$AJ480,1,(AX$4-1)*5+4)))^(1+INDEX($Q480:$AJ480,1,(AX$4-1)*5+2))*(1+AX$7)^INDEX($Q480:$AJ480,1,(AX$4-1)*5+1)*(AX350/AW350)^INDEX($Q480:$AJ480,1,(AX$4-1)*5+2)*(AX350/AW350)^(INDEX($Q480:$AJ480,1,(AX$4-1)*5+3)*(1+INDEX($Q480:$AJ480,1,(AX$4-1)*5+2)))</f>
        <v/>
      </c>
      <c r="AY480" s="25">
        <f>AX480*(1/(1+INDEX($Q480:$AJ480,1,(AY$4-1)*5+4)))^(1+INDEX($Q480:$AJ480,1,(AY$4-1)*5+2))*(1+AY$7)^INDEX($Q480:$AJ480,1,(AY$4-1)*5+1)*(AY350/AX350)^INDEX($Q480:$AJ480,1,(AY$4-1)*5+2)*(AY350/AX350)^(INDEX($Q480:$AJ480,1,(AY$4-1)*5+3)*(1+INDEX($Q480:$AJ480,1,(AY$4-1)*5+2)))</f>
        <v/>
      </c>
      <c r="BA480" s="24">
        <f>INDEX(EnergyCons!$F$4:$F$5000,MATCH(Settings!$C$4&amp;"|"&amp;BA$5&amp;"|"&amp;$C480&amp;"|"&amp;$B480,EnergyCons!$A$4:$A$5000,0))</f>
        <v/>
      </c>
      <c r="BB480" s="25">
        <f>BA480*(1/(1+INDEX($Q480:$AJ480,1,(BB$4-1)*5+4)))^(1+INDEX($Q480:$AJ480,1,(BB$4-1)*5+2))*(1+BB$7)^INDEX($Q480:$AJ480,1,(BB$4-1)*5+1)*(BB350/BA350)^INDEX($Q480:$AJ480,1,(BB$4-1)*5+2)*(BB350/BA350)^(INDEX($Q480:$AJ480,1,(BB$4-1)*5+3)*(1+INDEX($Q480:$AJ480,1,(BB$4-1)*5+2)))</f>
        <v/>
      </c>
      <c r="BC480" s="25">
        <f>BB480*(1/(1+INDEX($Q480:$AJ480,1,(BC$4-1)*5+4)))^(1+INDEX($Q480:$AJ480,1,(BC$4-1)*5+2))*(1+BC$7)^INDEX($Q480:$AJ480,1,(BC$4-1)*5+1)*(BC350/BB350)^INDEX($Q480:$AJ480,1,(BC$4-1)*5+2)*(BC350/BB350)^(INDEX($Q480:$AJ480,1,(BC$4-1)*5+3)*(1+INDEX($Q480:$AJ480,1,(BC$4-1)*5+2)))</f>
        <v/>
      </c>
      <c r="BD480" s="25">
        <f>BC480*(1/(1+INDEX($Q480:$AJ480,1,(BD$4-1)*5+4)))^(1+INDEX($Q480:$AJ480,1,(BD$4-1)*5+2))*(1+BD$7)^INDEX($Q480:$AJ480,1,(BD$4-1)*5+1)*(BD350/BC350)^INDEX($Q480:$AJ480,1,(BD$4-1)*5+2)*(BD350/BC350)^(INDEX($Q480:$AJ480,1,(BD$4-1)*5+3)*(1+INDEX($Q480:$AJ480,1,(BD$4-1)*5+2)))</f>
        <v/>
      </c>
      <c r="BE480" s="25">
        <f>BD480*(1/(1+INDEX($Q480:$AJ480,1,(BE$4-1)*5+4)))^(1+INDEX($Q480:$AJ480,1,(BE$4-1)*5+2))*(1+BE$7)^INDEX($Q480:$AJ480,1,(BE$4-1)*5+1)*(BE350/BD350)^INDEX($Q480:$AJ480,1,(BE$4-1)*5+2)*(BE350/BD350)^(INDEX($Q480:$AJ480,1,(BE$4-1)*5+3)*(1+INDEX($Q480:$AJ480,1,(BE$4-1)*5+2)))</f>
        <v/>
      </c>
      <c r="BF480" s="25">
        <f>BE480*(1/(1+INDEX($Q480:$AJ480,1,(BF$4-1)*5+4)))^(1+INDEX($Q480:$AJ480,1,(BF$4-1)*5+2))*(1+BF$7)^INDEX($Q480:$AJ480,1,(BF$4-1)*5+1)*(BF350/BE350)^INDEX($Q480:$AJ480,1,(BF$4-1)*5+2)*(BF350/BE350)^(INDEX($Q480:$AJ480,1,(BF$4-1)*5+3)*(1+INDEX($Q480:$AJ480,1,(BF$4-1)*5+2)))</f>
        <v/>
      </c>
      <c r="BG480" s="25">
        <f>BF480*(1/(1+INDEX($Q480:$AJ480,1,(BG$4-1)*5+4)))^(1+INDEX($Q480:$AJ480,1,(BG$4-1)*5+2))*(1+BG$7)^INDEX($Q480:$AJ480,1,(BG$4-1)*5+1)*(BG350/BF350)^INDEX($Q480:$AJ480,1,(BG$4-1)*5+2)*(BG350/BF350)^(INDEX($Q480:$AJ480,1,(BG$4-1)*5+3)*(1+INDEX($Q480:$AJ480,1,(BG$4-1)*5+2)))</f>
        <v/>
      </c>
      <c r="BH480" s="25">
        <f>BG480*(1/(1+INDEX($Q480:$AJ480,1,(BH$4-1)*5+4)))^(1+INDEX($Q480:$AJ480,1,(BH$4-1)*5+2))*(1+BH$7)^INDEX($Q480:$AJ480,1,(BH$4-1)*5+1)*(BH350/BG350)^INDEX($Q480:$AJ480,1,(BH$4-1)*5+2)*(BH350/BG350)^(INDEX($Q480:$AJ480,1,(BH$4-1)*5+3)*(1+INDEX($Q480:$AJ480,1,(BH$4-1)*5+2)))</f>
        <v/>
      </c>
      <c r="BI480" s="25">
        <f>BH480*(1/(1+INDEX($Q480:$AJ480,1,(BI$4-1)*5+4)))^(1+INDEX($Q480:$AJ480,1,(BI$4-1)*5+2))*(1+BI$7)^INDEX($Q480:$AJ480,1,(BI$4-1)*5+1)*(BI350/BH350)^INDEX($Q480:$AJ480,1,(BI$4-1)*5+2)*(BI350/BH350)^(INDEX($Q480:$AJ480,1,(BI$4-1)*5+3)*(1+INDEX($Q480:$AJ480,1,(BI$4-1)*5+2)))</f>
        <v/>
      </c>
      <c r="BJ480" s="25">
        <f>BI480*(1/(1+INDEX($Q480:$AJ480,1,(BJ$4-1)*5+4)))^(1+INDEX($Q480:$AJ480,1,(BJ$4-1)*5+2))*(1+BJ$7)^INDEX($Q480:$AJ480,1,(BJ$4-1)*5+1)*(BJ350/BI350)^INDEX($Q480:$AJ480,1,(BJ$4-1)*5+2)*(BJ350/BI350)^(INDEX($Q480:$AJ480,1,(BJ$4-1)*5+3)*(1+INDEX($Q480:$AJ480,1,(BJ$4-1)*5+2)))</f>
        <v/>
      </c>
      <c r="BK480" s="25">
        <f>BJ480*(1/(1+INDEX($Q480:$AJ480,1,(BK$4-1)*5+4)))^(1+INDEX($Q480:$AJ480,1,(BK$4-1)*5+2))*(1+BK$7)^INDEX($Q480:$AJ480,1,(BK$4-1)*5+1)*(BK350/BJ350)^INDEX($Q480:$AJ480,1,(BK$4-1)*5+2)*(BK350/BJ350)^(INDEX($Q480:$AJ480,1,(BK$4-1)*5+3)*(1+INDEX($Q480:$AJ480,1,(BK$4-1)*5+2)))</f>
        <v/>
      </c>
      <c r="BL480" s="25">
        <f>BK480*(1/(1+INDEX($Q480:$AJ480,1,(BL$4-1)*5+4)))^(1+INDEX($Q480:$AJ480,1,(BL$4-1)*5+2))*(1+BL$7)^INDEX($Q480:$AJ480,1,(BL$4-1)*5+1)*(BL350/BK350)^INDEX($Q480:$AJ480,1,(BL$4-1)*5+2)*(BL350/BK350)^(INDEX($Q480:$AJ480,1,(BL$4-1)*5+3)*(1+INDEX($Q480:$AJ480,1,(BL$4-1)*5+2)))</f>
        <v/>
      </c>
      <c r="BM480" s="25">
        <f>BL480*(1/(1+INDEX($Q480:$AJ480,1,(BM$4-1)*5+4)))^(1+INDEX($Q480:$AJ480,1,(BM$4-1)*5+2))*(1+BM$7)^INDEX($Q480:$AJ480,1,(BM$4-1)*5+1)*(BM350/BL350)^INDEX($Q480:$AJ480,1,(BM$4-1)*5+2)*(BM350/BL350)^(INDEX($Q480:$AJ480,1,(BM$4-1)*5+3)*(1+INDEX($Q480:$AJ480,1,(BM$4-1)*5+2)))</f>
        <v/>
      </c>
      <c r="BN480" s="25">
        <f>BM480*(1/(1+INDEX($Q480:$AJ480,1,(BN$4-1)*5+4)))^(1+INDEX($Q480:$AJ480,1,(BN$4-1)*5+2))*(1+BN$7)^INDEX($Q480:$AJ480,1,(BN$4-1)*5+1)*(BN350/BM350)^INDEX($Q480:$AJ480,1,(BN$4-1)*5+2)*(BN350/BM350)^(INDEX($Q480:$AJ480,1,(BN$4-1)*5+3)*(1+INDEX($Q480:$AJ480,1,(BN$4-1)*5+2)))</f>
        <v/>
      </c>
    </row>
    <row r="481">
      <c r="B481" s="5" t="inlineStr">
        <is>
          <t>coa</t>
        </is>
      </c>
      <c r="C481" s="5" t="inlineStr">
        <is>
          <t>mac</t>
        </is>
      </c>
      <c r="D481" s="5" t="inlineStr">
        <is>
          <t>Fuel use | Machinery | Coal</t>
        </is>
      </c>
      <c r="E481" s="5" t="inlineStr">
        <is>
          <t>ktoe</t>
        </is>
      </c>
      <c r="F481" s="5" t="inlineStr">
        <is>
          <t>EnergyCons (base year), Elasticities</t>
        </is>
      </c>
      <c r="G481" s="19" t="inlineStr">
        <is>
          <t>mit.enc.coa.mac</t>
        </is>
      </c>
      <c r="H481" s="19" t="inlineStr">
        <is>
          <t>mit.enc.coa.mac</t>
        </is>
      </c>
      <c r="J481" s="5">
        <f>INDEX(Mapping!$C$5:$C$20,MATCH($C481,Mapping!$A$5:$A$20,0))</f>
        <v/>
      </c>
      <c r="K481" s="5">
        <f>INDEX(Mapping!$D$5:$D$20,MATCH($C481,Mapping!$A$5:$A$20,0))</f>
        <v/>
      </c>
      <c r="L481" s="5">
        <f>INDEX(Mapping!$C$24:$C$31,MATCH($B481,Mapping!$A$24:$A$31,0))</f>
        <v/>
      </c>
      <c r="M481" s="5">
        <f>INDEX(Mapping!$D$24:$D$31,MATCH($B481,Mapping!$A$24:$A$31,0))</f>
        <v/>
      </c>
      <c r="N481" s="5">
        <f>$B481&amp;"."&amp;IF(INDEX(Mapping!$E$24:$E$31,MATCH($B481,Mapping!$A$24:$A$31,0))="sub",INDEX(Mapping!$F$5:$F$20,MATCH($C481,Mapping!$A$5:$A$20,0)),"all")</f>
        <v/>
      </c>
      <c r="O481" s="5">
        <f>INDEX(Mapping!$E$5:$E$20,MATCH($C481,Mapping!$A$5:$A$20,0))</f>
        <v/>
      </c>
      <c r="P481" s="5">
        <f>INDEX(Mapping!$G$24:$G$31,MATCH($B481,Mapping!$A$24:$A$31,0))</f>
        <v/>
      </c>
      <c r="Q481" s="22">
        <f>INDEX(Elasticities!$F$4:$I$200,MATCH("inc|"&amp;$L481&amp;"|"&amp;$K481,Elasticities!$A$4:$A$200,0),MATCH(Settings!$C$6,Elasticities!$F$3:$I$3,0))</f>
        <v/>
      </c>
      <c r="R481" s="22">
        <f>INDEX(Elasticities!$F$4:$I$200,MATCH("usg|"&amp;$L481&amp;"|"&amp;$K481,Elasticities!$A$4:$A$200,0),MATCH(Settings!$C$6,Elasticities!$F$3:$I$3,0))</f>
        <v/>
      </c>
      <c r="S481" s="22">
        <f>INDEX(Elasticities!$F$4:$I$200,MATCH("eff|"&amp;$L481&amp;"|"&amp;$K481,Elasticities!$A$4:$A$200,0),MATCH(Settings!$C$6,Elasticities!$F$3:$I$3,0))</f>
        <v/>
      </c>
      <c r="T481" s="22">
        <f>INDEX(Elasticities!$F$4:$I$200,MATCH("aei|"&amp;$M481&amp;"|"&amp;$K481,Elasticities!$A$4:$A$200,0),MATCH(Settings!$C$6,Elasticities!$F$3:$I$3,0))</f>
        <v/>
      </c>
      <c r="U481" s="21" t="n"/>
      <c r="V481" s="22">
        <f>Q481</f>
        <v/>
      </c>
      <c r="W481" s="22">
        <f>R481</f>
        <v/>
      </c>
      <c r="X481" s="22">
        <f>S481</f>
        <v/>
      </c>
      <c r="Y481" s="22">
        <f>T481</f>
        <v/>
      </c>
      <c r="Z481" s="21" t="n"/>
      <c r="AA481" s="22">
        <f>Q481</f>
        <v/>
      </c>
      <c r="AB481" s="22">
        <f>R481</f>
        <v/>
      </c>
      <c r="AC481" s="22">
        <f>S481</f>
        <v/>
      </c>
      <c r="AD481" s="22">
        <f>T481</f>
        <v/>
      </c>
      <c r="AE481" s="21" t="n"/>
      <c r="AF481" s="22">
        <f>Q481</f>
        <v/>
      </c>
      <c r="AG481" s="22">
        <f>R481</f>
        <v/>
      </c>
      <c r="AH481" s="22">
        <f>S481</f>
        <v/>
      </c>
      <c r="AI481" s="22">
        <f>T481</f>
        <v/>
      </c>
      <c r="AJ481" s="21" t="n"/>
      <c r="AL481" s="24">
        <f>INDEX(EnergyCons!$F$4:$F$5000,MATCH(Settings!$C$4&amp;"|"&amp;AL$5&amp;"|"&amp;$C481&amp;"|"&amp;$B481,EnergyCons!$A$4:$A$5000,0))</f>
        <v/>
      </c>
      <c r="AM481" s="25">
        <f>AL481*(1/(1+INDEX($Q481:$AJ481,1,(AM$4-1)*5+4)))^(1+INDEX($Q481:$AJ481,1,(AM$4-1)*5+2))*(1+AM$7)^INDEX($Q481:$AJ481,1,(AM$4-1)*5+1)*(AM351/AL351)^INDEX($Q481:$AJ481,1,(AM$4-1)*5+2)*(AM351/AL351)^(INDEX($Q481:$AJ481,1,(AM$4-1)*5+3)*(1+INDEX($Q481:$AJ481,1,(AM$4-1)*5+2)))</f>
        <v/>
      </c>
      <c r="AN481" s="25">
        <f>AM481*(1/(1+INDEX($Q481:$AJ481,1,(AN$4-1)*5+4)))^(1+INDEX($Q481:$AJ481,1,(AN$4-1)*5+2))*(1+AN$7)^INDEX($Q481:$AJ481,1,(AN$4-1)*5+1)*(AN351/AM351)^INDEX($Q481:$AJ481,1,(AN$4-1)*5+2)*(AN351/AM351)^(INDEX($Q481:$AJ481,1,(AN$4-1)*5+3)*(1+INDEX($Q481:$AJ481,1,(AN$4-1)*5+2)))</f>
        <v/>
      </c>
      <c r="AO481" s="25">
        <f>AN481*(1/(1+INDEX($Q481:$AJ481,1,(AO$4-1)*5+4)))^(1+INDEX($Q481:$AJ481,1,(AO$4-1)*5+2))*(1+AO$7)^INDEX($Q481:$AJ481,1,(AO$4-1)*5+1)*(AO351/AN351)^INDEX($Q481:$AJ481,1,(AO$4-1)*5+2)*(AO351/AN351)^(INDEX($Q481:$AJ481,1,(AO$4-1)*5+3)*(1+INDEX($Q481:$AJ481,1,(AO$4-1)*5+2)))</f>
        <v/>
      </c>
      <c r="AP481" s="25">
        <f>AO481*(1/(1+INDEX($Q481:$AJ481,1,(AP$4-1)*5+4)))^(1+INDEX($Q481:$AJ481,1,(AP$4-1)*5+2))*(1+AP$7)^INDEX($Q481:$AJ481,1,(AP$4-1)*5+1)*(AP351/AO351)^INDEX($Q481:$AJ481,1,(AP$4-1)*5+2)*(AP351/AO351)^(INDEX($Q481:$AJ481,1,(AP$4-1)*5+3)*(1+INDEX($Q481:$AJ481,1,(AP$4-1)*5+2)))</f>
        <v/>
      </c>
      <c r="AQ481" s="25">
        <f>AP481*(1/(1+INDEX($Q481:$AJ481,1,(AQ$4-1)*5+4)))^(1+INDEX($Q481:$AJ481,1,(AQ$4-1)*5+2))*(1+AQ$7)^INDEX($Q481:$AJ481,1,(AQ$4-1)*5+1)*(AQ351/AP351)^INDEX($Q481:$AJ481,1,(AQ$4-1)*5+2)*(AQ351/AP351)^(INDEX($Q481:$AJ481,1,(AQ$4-1)*5+3)*(1+INDEX($Q481:$AJ481,1,(AQ$4-1)*5+2)))</f>
        <v/>
      </c>
      <c r="AR481" s="25">
        <f>AQ481*(1/(1+INDEX($Q481:$AJ481,1,(AR$4-1)*5+4)))^(1+INDEX($Q481:$AJ481,1,(AR$4-1)*5+2))*(1+AR$7)^INDEX($Q481:$AJ481,1,(AR$4-1)*5+1)*(AR351/AQ351)^INDEX($Q481:$AJ481,1,(AR$4-1)*5+2)*(AR351/AQ351)^(INDEX($Q481:$AJ481,1,(AR$4-1)*5+3)*(1+INDEX($Q481:$AJ481,1,(AR$4-1)*5+2)))</f>
        <v/>
      </c>
      <c r="AS481" s="25">
        <f>AR481*(1/(1+INDEX($Q481:$AJ481,1,(AS$4-1)*5+4)))^(1+INDEX($Q481:$AJ481,1,(AS$4-1)*5+2))*(1+AS$7)^INDEX($Q481:$AJ481,1,(AS$4-1)*5+1)*(AS351/AR351)^INDEX($Q481:$AJ481,1,(AS$4-1)*5+2)*(AS351/AR351)^(INDEX($Q481:$AJ481,1,(AS$4-1)*5+3)*(1+INDEX($Q481:$AJ481,1,(AS$4-1)*5+2)))</f>
        <v/>
      </c>
      <c r="AT481" s="25">
        <f>AS481*(1/(1+INDEX($Q481:$AJ481,1,(AT$4-1)*5+4)))^(1+INDEX($Q481:$AJ481,1,(AT$4-1)*5+2))*(1+AT$7)^INDEX($Q481:$AJ481,1,(AT$4-1)*5+1)*(AT351/AS351)^INDEX($Q481:$AJ481,1,(AT$4-1)*5+2)*(AT351/AS351)^(INDEX($Q481:$AJ481,1,(AT$4-1)*5+3)*(1+INDEX($Q481:$AJ481,1,(AT$4-1)*5+2)))</f>
        <v/>
      </c>
      <c r="AU481" s="25">
        <f>AT481*(1/(1+INDEX($Q481:$AJ481,1,(AU$4-1)*5+4)))^(1+INDEX($Q481:$AJ481,1,(AU$4-1)*5+2))*(1+AU$7)^INDEX($Q481:$AJ481,1,(AU$4-1)*5+1)*(AU351/AT351)^INDEX($Q481:$AJ481,1,(AU$4-1)*5+2)*(AU351/AT351)^(INDEX($Q481:$AJ481,1,(AU$4-1)*5+3)*(1+INDEX($Q481:$AJ481,1,(AU$4-1)*5+2)))</f>
        <v/>
      </c>
      <c r="AV481" s="25">
        <f>AU481*(1/(1+INDEX($Q481:$AJ481,1,(AV$4-1)*5+4)))^(1+INDEX($Q481:$AJ481,1,(AV$4-1)*5+2))*(1+AV$7)^INDEX($Q481:$AJ481,1,(AV$4-1)*5+1)*(AV351/AU351)^INDEX($Q481:$AJ481,1,(AV$4-1)*5+2)*(AV351/AU351)^(INDEX($Q481:$AJ481,1,(AV$4-1)*5+3)*(1+INDEX($Q481:$AJ481,1,(AV$4-1)*5+2)))</f>
        <v/>
      </c>
      <c r="AW481" s="25">
        <f>AV481*(1/(1+INDEX($Q481:$AJ481,1,(AW$4-1)*5+4)))^(1+INDEX($Q481:$AJ481,1,(AW$4-1)*5+2))*(1+AW$7)^INDEX($Q481:$AJ481,1,(AW$4-1)*5+1)*(AW351/AV351)^INDEX($Q481:$AJ481,1,(AW$4-1)*5+2)*(AW351/AV351)^(INDEX($Q481:$AJ481,1,(AW$4-1)*5+3)*(1+INDEX($Q481:$AJ481,1,(AW$4-1)*5+2)))</f>
        <v/>
      </c>
      <c r="AX481" s="25">
        <f>AW481*(1/(1+INDEX($Q481:$AJ481,1,(AX$4-1)*5+4)))^(1+INDEX($Q481:$AJ481,1,(AX$4-1)*5+2))*(1+AX$7)^INDEX($Q481:$AJ481,1,(AX$4-1)*5+1)*(AX351/AW351)^INDEX($Q481:$AJ481,1,(AX$4-1)*5+2)*(AX351/AW351)^(INDEX($Q481:$AJ481,1,(AX$4-1)*5+3)*(1+INDEX($Q481:$AJ481,1,(AX$4-1)*5+2)))</f>
        <v/>
      </c>
      <c r="AY481" s="25">
        <f>AX481*(1/(1+INDEX($Q481:$AJ481,1,(AY$4-1)*5+4)))^(1+INDEX($Q481:$AJ481,1,(AY$4-1)*5+2))*(1+AY$7)^INDEX($Q481:$AJ481,1,(AY$4-1)*5+1)*(AY351/AX351)^INDEX($Q481:$AJ481,1,(AY$4-1)*5+2)*(AY351/AX351)^(INDEX($Q481:$AJ481,1,(AY$4-1)*5+3)*(1+INDEX($Q481:$AJ481,1,(AY$4-1)*5+2)))</f>
        <v/>
      </c>
      <c r="BA481" s="24">
        <f>INDEX(EnergyCons!$F$4:$F$5000,MATCH(Settings!$C$4&amp;"|"&amp;BA$5&amp;"|"&amp;$C481&amp;"|"&amp;$B481,EnergyCons!$A$4:$A$5000,0))</f>
        <v/>
      </c>
      <c r="BB481" s="25">
        <f>BA481*(1/(1+INDEX($Q481:$AJ481,1,(BB$4-1)*5+4)))^(1+INDEX($Q481:$AJ481,1,(BB$4-1)*5+2))*(1+BB$7)^INDEX($Q481:$AJ481,1,(BB$4-1)*5+1)*(BB351/BA351)^INDEX($Q481:$AJ481,1,(BB$4-1)*5+2)*(BB351/BA351)^(INDEX($Q481:$AJ481,1,(BB$4-1)*5+3)*(1+INDEX($Q481:$AJ481,1,(BB$4-1)*5+2)))</f>
        <v/>
      </c>
      <c r="BC481" s="25">
        <f>BB481*(1/(1+INDEX($Q481:$AJ481,1,(BC$4-1)*5+4)))^(1+INDEX($Q481:$AJ481,1,(BC$4-1)*5+2))*(1+BC$7)^INDEX($Q481:$AJ481,1,(BC$4-1)*5+1)*(BC351/BB351)^INDEX($Q481:$AJ481,1,(BC$4-1)*5+2)*(BC351/BB351)^(INDEX($Q481:$AJ481,1,(BC$4-1)*5+3)*(1+INDEX($Q481:$AJ481,1,(BC$4-1)*5+2)))</f>
        <v/>
      </c>
      <c r="BD481" s="25">
        <f>BC481*(1/(1+INDEX($Q481:$AJ481,1,(BD$4-1)*5+4)))^(1+INDEX($Q481:$AJ481,1,(BD$4-1)*5+2))*(1+BD$7)^INDEX($Q481:$AJ481,1,(BD$4-1)*5+1)*(BD351/BC351)^INDEX($Q481:$AJ481,1,(BD$4-1)*5+2)*(BD351/BC351)^(INDEX($Q481:$AJ481,1,(BD$4-1)*5+3)*(1+INDEX($Q481:$AJ481,1,(BD$4-1)*5+2)))</f>
        <v/>
      </c>
      <c r="BE481" s="25">
        <f>BD481*(1/(1+INDEX($Q481:$AJ481,1,(BE$4-1)*5+4)))^(1+INDEX($Q481:$AJ481,1,(BE$4-1)*5+2))*(1+BE$7)^INDEX($Q481:$AJ481,1,(BE$4-1)*5+1)*(BE351/BD351)^INDEX($Q481:$AJ481,1,(BE$4-1)*5+2)*(BE351/BD351)^(INDEX($Q481:$AJ481,1,(BE$4-1)*5+3)*(1+INDEX($Q481:$AJ481,1,(BE$4-1)*5+2)))</f>
        <v/>
      </c>
      <c r="BF481" s="25">
        <f>BE481*(1/(1+INDEX($Q481:$AJ481,1,(BF$4-1)*5+4)))^(1+INDEX($Q481:$AJ481,1,(BF$4-1)*5+2))*(1+BF$7)^INDEX($Q481:$AJ481,1,(BF$4-1)*5+1)*(BF351/BE351)^INDEX($Q481:$AJ481,1,(BF$4-1)*5+2)*(BF351/BE351)^(INDEX($Q481:$AJ481,1,(BF$4-1)*5+3)*(1+INDEX($Q481:$AJ481,1,(BF$4-1)*5+2)))</f>
        <v/>
      </c>
      <c r="BG481" s="25">
        <f>BF481*(1/(1+INDEX($Q481:$AJ481,1,(BG$4-1)*5+4)))^(1+INDEX($Q481:$AJ481,1,(BG$4-1)*5+2))*(1+BG$7)^INDEX($Q481:$AJ481,1,(BG$4-1)*5+1)*(BG351/BF351)^INDEX($Q481:$AJ481,1,(BG$4-1)*5+2)*(BG351/BF351)^(INDEX($Q481:$AJ481,1,(BG$4-1)*5+3)*(1+INDEX($Q481:$AJ481,1,(BG$4-1)*5+2)))</f>
        <v/>
      </c>
      <c r="BH481" s="25">
        <f>BG481*(1/(1+INDEX($Q481:$AJ481,1,(BH$4-1)*5+4)))^(1+INDEX($Q481:$AJ481,1,(BH$4-1)*5+2))*(1+BH$7)^INDEX($Q481:$AJ481,1,(BH$4-1)*5+1)*(BH351/BG351)^INDEX($Q481:$AJ481,1,(BH$4-1)*5+2)*(BH351/BG351)^(INDEX($Q481:$AJ481,1,(BH$4-1)*5+3)*(1+INDEX($Q481:$AJ481,1,(BH$4-1)*5+2)))</f>
        <v/>
      </c>
      <c r="BI481" s="25">
        <f>BH481*(1/(1+INDEX($Q481:$AJ481,1,(BI$4-1)*5+4)))^(1+INDEX($Q481:$AJ481,1,(BI$4-1)*5+2))*(1+BI$7)^INDEX($Q481:$AJ481,1,(BI$4-1)*5+1)*(BI351/BH351)^INDEX($Q481:$AJ481,1,(BI$4-1)*5+2)*(BI351/BH351)^(INDEX($Q481:$AJ481,1,(BI$4-1)*5+3)*(1+INDEX($Q481:$AJ481,1,(BI$4-1)*5+2)))</f>
        <v/>
      </c>
      <c r="BJ481" s="25">
        <f>BI481*(1/(1+INDEX($Q481:$AJ481,1,(BJ$4-1)*5+4)))^(1+INDEX($Q481:$AJ481,1,(BJ$4-1)*5+2))*(1+BJ$7)^INDEX($Q481:$AJ481,1,(BJ$4-1)*5+1)*(BJ351/BI351)^INDEX($Q481:$AJ481,1,(BJ$4-1)*5+2)*(BJ351/BI351)^(INDEX($Q481:$AJ481,1,(BJ$4-1)*5+3)*(1+INDEX($Q481:$AJ481,1,(BJ$4-1)*5+2)))</f>
        <v/>
      </c>
      <c r="BK481" s="25">
        <f>BJ481*(1/(1+INDEX($Q481:$AJ481,1,(BK$4-1)*5+4)))^(1+INDEX($Q481:$AJ481,1,(BK$4-1)*5+2))*(1+BK$7)^INDEX($Q481:$AJ481,1,(BK$4-1)*5+1)*(BK351/BJ351)^INDEX($Q481:$AJ481,1,(BK$4-1)*5+2)*(BK351/BJ351)^(INDEX($Q481:$AJ481,1,(BK$4-1)*5+3)*(1+INDEX($Q481:$AJ481,1,(BK$4-1)*5+2)))</f>
        <v/>
      </c>
      <c r="BL481" s="25">
        <f>BK481*(1/(1+INDEX($Q481:$AJ481,1,(BL$4-1)*5+4)))^(1+INDEX($Q481:$AJ481,1,(BL$4-1)*5+2))*(1+BL$7)^INDEX($Q481:$AJ481,1,(BL$4-1)*5+1)*(BL351/BK351)^INDEX($Q481:$AJ481,1,(BL$4-1)*5+2)*(BL351/BK351)^(INDEX($Q481:$AJ481,1,(BL$4-1)*5+3)*(1+INDEX($Q481:$AJ481,1,(BL$4-1)*5+2)))</f>
        <v/>
      </c>
      <c r="BM481" s="25">
        <f>BL481*(1/(1+INDEX($Q481:$AJ481,1,(BM$4-1)*5+4)))^(1+INDEX($Q481:$AJ481,1,(BM$4-1)*5+2))*(1+BM$7)^INDEX($Q481:$AJ481,1,(BM$4-1)*5+1)*(BM351/BL351)^INDEX($Q481:$AJ481,1,(BM$4-1)*5+2)*(BM351/BL351)^(INDEX($Q481:$AJ481,1,(BM$4-1)*5+3)*(1+INDEX($Q481:$AJ481,1,(BM$4-1)*5+2)))</f>
        <v/>
      </c>
      <c r="BN481" s="25">
        <f>BM481*(1/(1+INDEX($Q481:$AJ481,1,(BN$4-1)*5+4)))^(1+INDEX($Q481:$AJ481,1,(BN$4-1)*5+2))*(1+BN$7)^INDEX($Q481:$AJ481,1,(BN$4-1)*5+1)*(BN351/BM351)^INDEX($Q481:$AJ481,1,(BN$4-1)*5+2)*(BN351/BM351)^(INDEX($Q481:$AJ481,1,(BN$4-1)*5+3)*(1+INDEX($Q481:$AJ481,1,(BN$4-1)*5+2)))</f>
        <v/>
      </c>
    </row>
    <row r="482">
      <c r="B482" s="5" t="inlineStr">
        <is>
          <t>nga</t>
        </is>
      </c>
      <c r="C482" s="5" t="inlineStr">
        <is>
          <t>mac</t>
        </is>
      </c>
      <c r="D482" s="5" t="inlineStr">
        <is>
          <t>Fuel use | Machinery | Natural gas</t>
        </is>
      </c>
      <c r="E482" s="5" t="inlineStr">
        <is>
          <t>ktoe</t>
        </is>
      </c>
      <c r="F482" s="5" t="inlineStr">
        <is>
          <t>EnergyCons (base year), Elasticities</t>
        </is>
      </c>
      <c r="G482" s="19" t="inlineStr">
        <is>
          <t>mit.enc.nga.mac</t>
        </is>
      </c>
      <c r="H482" s="19" t="inlineStr">
        <is>
          <t>mit.enc.nga.mac</t>
        </is>
      </c>
      <c r="J482" s="5">
        <f>INDEX(Mapping!$C$5:$C$20,MATCH($C482,Mapping!$A$5:$A$20,0))</f>
        <v/>
      </c>
      <c r="K482" s="5">
        <f>INDEX(Mapping!$D$5:$D$20,MATCH($C482,Mapping!$A$5:$A$20,0))</f>
        <v/>
      </c>
      <c r="L482" s="5">
        <f>INDEX(Mapping!$C$24:$C$31,MATCH($B482,Mapping!$A$24:$A$31,0))</f>
        <v/>
      </c>
      <c r="M482" s="5">
        <f>INDEX(Mapping!$D$24:$D$31,MATCH($B482,Mapping!$A$24:$A$31,0))</f>
        <v/>
      </c>
      <c r="N482" s="5">
        <f>$B482&amp;"."&amp;IF(INDEX(Mapping!$E$24:$E$31,MATCH($B482,Mapping!$A$24:$A$31,0))="sub",INDEX(Mapping!$F$5:$F$20,MATCH($C482,Mapping!$A$5:$A$20,0)),"all")</f>
        <v/>
      </c>
      <c r="O482" s="5">
        <f>INDEX(Mapping!$E$5:$E$20,MATCH($C482,Mapping!$A$5:$A$20,0))</f>
        <v/>
      </c>
      <c r="P482" s="5">
        <f>INDEX(Mapping!$G$24:$G$31,MATCH($B482,Mapping!$A$24:$A$31,0))</f>
        <v/>
      </c>
      <c r="Q482" s="22">
        <f>INDEX(Elasticities!$F$4:$I$200,MATCH("inc|"&amp;$L482&amp;"|"&amp;$K482,Elasticities!$A$4:$A$200,0),MATCH(Settings!$C$6,Elasticities!$F$3:$I$3,0))</f>
        <v/>
      </c>
      <c r="R482" s="22">
        <f>INDEX(Elasticities!$F$4:$I$200,MATCH("usg|"&amp;$L482&amp;"|"&amp;$K482,Elasticities!$A$4:$A$200,0),MATCH(Settings!$C$6,Elasticities!$F$3:$I$3,0))</f>
        <v/>
      </c>
      <c r="S482" s="22">
        <f>INDEX(Elasticities!$F$4:$I$200,MATCH("eff|"&amp;$L482&amp;"|"&amp;$K482,Elasticities!$A$4:$A$200,0),MATCH(Settings!$C$6,Elasticities!$F$3:$I$3,0))</f>
        <v/>
      </c>
      <c r="T482" s="22">
        <f>INDEX(Elasticities!$F$4:$I$200,MATCH("aei|"&amp;$M482&amp;"|"&amp;$K482,Elasticities!$A$4:$A$200,0),MATCH(Settings!$C$6,Elasticities!$F$3:$I$3,0))</f>
        <v/>
      </c>
      <c r="U482" s="21" t="n"/>
      <c r="V482" s="22">
        <f>Q482</f>
        <v/>
      </c>
      <c r="W482" s="22">
        <f>R482</f>
        <v/>
      </c>
      <c r="X482" s="22">
        <f>S482</f>
        <v/>
      </c>
      <c r="Y482" s="22">
        <f>T482</f>
        <v/>
      </c>
      <c r="Z482" s="21" t="n"/>
      <c r="AA482" s="22">
        <f>Q482</f>
        <v/>
      </c>
      <c r="AB482" s="22">
        <f>R482</f>
        <v/>
      </c>
      <c r="AC482" s="22">
        <f>S482</f>
        <v/>
      </c>
      <c r="AD482" s="22">
        <f>T482</f>
        <v/>
      </c>
      <c r="AE482" s="21" t="n"/>
      <c r="AF482" s="22">
        <f>Q482</f>
        <v/>
      </c>
      <c r="AG482" s="22">
        <f>R482</f>
        <v/>
      </c>
      <c r="AH482" s="22">
        <f>S482</f>
        <v/>
      </c>
      <c r="AI482" s="22">
        <f>T482</f>
        <v/>
      </c>
      <c r="AJ482" s="21" t="n"/>
      <c r="AL482" s="24">
        <f>INDEX(EnergyCons!$F$4:$F$5000,MATCH(Settings!$C$4&amp;"|"&amp;AL$5&amp;"|"&amp;$C482&amp;"|"&amp;$B482,EnergyCons!$A$4:$A$5000,0))</f>
        <v/>
      </c>
      <c r="AM482" s="25">
        <f>AL482*(1/(1+INDEX($Q482:$AJ482,1,(AM$4-1)*5+4)))^(1+INDEX($Q482:$AJ482,1,(AM$4-1)*5+2))*(1+AM$7)^INDEX($Q482:$AJ482,1,(AM$4-1)*5+1)*(AM352/AL352)^INDEX($Q482:$AJ482,1,(AM$4-1)*5+2)*(AM352/AL352)^(INDEX($Q482:$AJ482,1,(AM$4-1)*5+3)*(1+INDEX($Q482:$AJ482,1,(AM$4-1)*5+2)))</f>
        <v/>
      </c>
      <c r="AN482" s="25">
        <f>AM482*(1/(1+INDEX($Q482:$AJ482,1,(AN$4-1)*5+4)))^(1+INDEX($Q482:$AJ482,1,(AN$4-1)*5+2))*(1+AN$7)^INDEX($Q482:$AJ482,1,(AN$4-1)*5+1)*(AN352/AM352)^INDEX($Q482:$AJ482,1,(AN$4-1)*5+2)*(AN352/AM352)^(INDEX($Q482:$AJ482,1,(AN$4-1)*5+3)*(1+INDEX($Q482:$AJ482,1,(AN$4-1)*5+2)))</f>
        <v/>
      </c>
      <c r="AO482" s="25">
        <f>AN482*(1/(1+INDEX($Q482:$AJ482,1,(AO$4-1)*5+4)))^(1+INDEX($Q482:$AJ482,1,(AO$4-1)*5+2))*(1+AO$7)^INDEX($Q482:$AJ482,1,(AO$4-1)*5+1)*(AO352/AN352)^INDEX($Q482:$AJ482,1,(AO$4-1)*5+2)*(AO352/AN352)^(INDEX($Q482:$AJ482,1,(AO$4-1)*5+3)*(1+INDEX($Q482:$AJ482,1,(AO$4-1)*5+2)))</f>
        <v/>
      </c>
      <c r="AP482" s="25">
        <f>AO482*(1/(1+INDEX($Q482:$AJ482,1,(AP$4-1)*5+4)))^(1+INDEX($Q482:$AJ482,1,(AP$4-1)*5+2))*(1+AP$7)^INDEX($Q482:$AJ482,1,(AP$4-1)*5+1)*(AP352/AO352)^INDEX($Q482:$AJ482,1,(AP$4-1)*5+2)*(AP352/AO352)^(INDEX($Q482:$AJ482,1,(AP$4-1)*5+3)*(1+INDEX($Q482:$AJ482,1,(AP$4-1)*5+2)))</f>
        <v/>
      </c>
      <c r="AQ482" s="25">
        <f>AP482*(1/(1+INDEX($Q482:$AJ482,1,(AQ$4-1)*5+4)))^(1+INDEX($Q482:$AJ482,1,(AQ$4-1)*5+2))*(1+AQ$7)^INDEX($Q482:$AJ482,1,(AQ$4-1)*5+1)*(AQ352/AP352)^INDEX($Q482:$AJ482,1,(AQ$4-1)*5+2)*(AQ352/AP352)^(INDEX($Q482:$AJ482,1,(AQ$4-1)*5+3)*(1+INDEX($Q482:$AJ482,1,(AQ$4-1)*5+2)))</f>
        <v/>
      </c>
      <c r="AR482" s="25">
        <f>AQ482*(1/(1+INDEX($Q482:$AJ482,1,(AR$4-1)*5+4)))^(1+INDEX($Q482:$AJ482,1,(AR$4-1)*5+2))*(1+AR$7)^INDEX($Q482:$AJ482,1,(AR$4-1)*5+1)*(AR352/AQ352)^INDEX($Q482:$AJ482,1,(AR$4-1)*5+2)*(AR352/AQ352)^(INDEX($Q482:$AJ482,1,(AR$4-1)*5+3)*(1+INDEX($Q482:$AJ482,1,(AR$4-1)*5+2)))</f>
        <v/>
      </c>
      <c r="AS482" s="25">
        <f>AR482*(1/(1+INDEX($Q482:$AJ482,1,(AS$4-1)*5+4)))^(1+INDEX($Q482:$AJ482,1,(AS$4-1)*5+2))*(1+AS$7)^INDEX($Q482:$AJ482,1,(AS$4-1)*5+1)*(AS352/AR352)^INDEX($Q482:$AJ482,1,(AS$4-1)*5+2)*(AS352/AR352)^(INDEX($Q482:$AJ482,1,(AS$4-1)*5+3)*(1+INDEX($Q482:$AJ482,1,(AS$4-1)*5+2)))</f>
        <v/>
      </c>
      <c r="AT482" s="25">
        <f>AS482*(1/(1+INDEX($Q482:$AJ482,1,(AT$4-1)*5+4)))^(1+INDEX($Q482:$AJ482,1,(AT$4-1)*5+2))*(1+AT$7)^INDEX($Q482:$AJ482,1,(AT$4-1)*5+1)*(AT352/AS352)^INDEX($Q482:$AJ482,1,(AT$4-1)*5+2)*(AT352/AS352)^(INDEX($Q482:$AJ482,1,(AT$4-1)*5+3)*(1+INDEX($Q482:$AJ482,1,(AT$4-1)*5+2)))</f>
        <v/>
      </c>
      <c r="AU482" s="25">
        <f>AT482*(1/(1+INDEX($Q482:$AJ482,1,(AU$4-1)*5+4)))^(1+INDEX($Q482:$AJ482,1,(AU$4-1)*5+2))*(1+AU$7)^INDEX($Q482:$AJ482,1,(AU$4-1)*5+1)*(AU352/AT352)^INDEX($Q482:$AJ482,1,(AU$4-1)*5+2)*(AU352/AT352)^(INDEX($Q482:$AJ482,1,(AU$4-1)*5+3)*(1+INDEX($Q482:$AJ482,1,(AU$4-1)*5+2)))</f>
        <v/>
      </c>
      <c r="AV482" s="25">
        <f>AU482*(1/(1+INDEX($Q482:$AJ482,1,(AV$4-1)*5+4)))^(1+INDEX($Q482:$AJ482,1,(AV$4-1)*5+2))*(1+AV$7)^INDEX($Q482:$AJ482,1,(AV$4-1)*5+1)*(AV352/AU352)^INDEX($Q482:$AJ482,1,(AV$4-1)*5+2)*(AV352/AU352)^(INDEX($Q482:$AJ482,1,(AV$4-1)*5+3)*(1+INDEX($Q482:$AJ482,1,(AV$4-1)*5+2)))</f>
        <v/>
      </c>
      <c r="AW482" s="25">
        <f>AV482*(1/(1+INDEX($Q482:$AJ482,1,(AW$4-1)*5+4)))^(1+INDEX($Q482:$AJ482,1,(AW$4-1)*5+2))*(1+AW$7)^INDEX($Q482:$AJ482,1,(AW$4-1)*5+1)*(AW352/AV352)^INDEX($Q482:$AJ482,1,(AW$4-1)*5+2)*(AW352/AV352)^(INDEX($Q482:$AJ482,1,(AW$4-1)*5+3)*(1+INDEX($Q482:$AJ482,1,(AW$4-1)*5+2)))</f>
        <v/>
      </c>
      <c r="AX482" s="25">
        <f>AW482*(1/(1+INDEX($Q482:$AJ482,1,(AX$4-1)*5+4)))^(1+INDEX($Q482:$AJ482,1,(AX$4-1)*5+2))*(1+AX$7)^INDEX($Q482:$AJ482,1,(AX$4-1)*5+1)*(AX352/AW352)^INDEX($Q482:$AJ482,1,(AX$4-1)*5+2)*(AX352/AW352)^(INDEX($Q482:$AJ482,1,(AX$4-1)*5+3)*(1+INDEX($Q482:$AJ482,1,(AX$4-1)*5+2)))</f>
        <v/>
      </c>
      <c r="AY482" s="25">
        <f>AX482*(1/(1+INDEX($Q482:$AJ482,1,(AY$4-1)*5+4)))^(1+INDEX($Q482:$AJ482,1,(AY$4-1)*5+2))*(1+AY$7)^INDEX($Q482:$AJ482,1,(AY$4-1)*5+1)*(AY352/AX352)^INDEX($Q482:$AJ482,1,(AY$4-1)*5+2)*(AY352/AX352)^(INDEX($Q482:$AJ482,1,(AY$4-1)*5+3)*(1+INDEX($Q482:$AJ482,1,(AY$4-1)*5+2)))</f>
        <v/>
      </c>
      <c r="BA482" s="24">
        <f>INDEX(EnergyCons!$F$4:$F$5000,MATCH(Settings!$C$4&amp;"|"&amp;BA$5&amp;"|"&amp;$C482&amp;"|"&amp;$B482,EnergyCons!$A$4:$A$5000,0))</f>
        <v/>
      </c>
      <c r="BB482" s="25">
        <f>BA482*(1/(1+INDEX($Q482:$AJ482,1,(BB$4-1)*5+4)))^(1+INDEX($Q482:$AJ482,1,(BB$4-1)*5+2))*(1+BB$7)^INDEX($Q482:$AJ482,1,(BB$4-1)*5+1)*(BB352/BA352)^INDEX($Q482:$AJ482,1,(BB$4-1)*5+2)*(BB352/BA352)^(INDEX($Q482:$AJ482,1,(BB$4-1)*5+3)*(1+INDEX($Q482:$AJ482,1,(BB$4-1)*5+2)))</f>
        <v/>
      </c>
      <c r="BC482" s="25">
        <f>BB482*(1/(1+INDEX($Q482:$AJ482,1,(BC$4-1)*5+4)))^(1+INDEX($Q482:$AJ482,1,(BC$4-1)*5+2))*(1+BC$7)^INDEX($Q482:$AJ482,1,(BC$4-1)*5+1)*(BC352/BB352)^INDEX($Q482:$AJ482,1,(BC$4-1)*5+2)*(BC352/BB352)^(INDEX($Q482:$AJ482,1,(BC$4-1)*5+3)*(1+INDEX($Q482:$AJ482,1,(BC$4-1)*5+2)))</f>
        <v/>
      </c>
      <c r="BD482" s="25">
        <f>BC482*(1/(1+INDEX($Q482:$AJ482,1,(BD$4-1)*5+4)))^(1+INDEX($Q482:$AJ482,1,(BD$4-1)*5+2))*(1+BD$7)^INDEX($Q482:$AJ482,1,(BD$4-1)*5+1)*(BD352/BC352)^INDEX($Q482:$AJ482,1,(BD$4-1)*5+2)*(BD352/BC352)^(INDEX($Q482:$AJ482,1,(BD$4-1)*5+3)*(1+INDEX($Q482:$AJ482,1,(BD$4-1)*5+2)))</f>
        <v/>
      </c>
      <c r="BE482" s="25">
        <f>BD482*(1/(1+INDEX($Q482:$AJ482,1,(BE$4-1)*5+4)))^(1+INDEX($Q482:$AJ482,1,(BE$4-1)*5+2))*(1+BE$7)^INDEX($Q482:$AJ482,1,(BE$4-1)*5+1)*(BE352/BD352)^INDEX($Q482:$AJ482,1,(BE$4-1)*5+2)*(BE352/BD352)^(INDEX($Q482:$AJ482,1,(BE$4-1)*5+3)*(1+INDEX($Q482:$AJ482,1,(BE$4-1)*5+2)))</f>
        <v/>
      </c>
      <c r="BF482" s="25">
        <f>BE482*(1/(1+INDEX($Q482:$AJ482,1,(BF$4-1)*5+4)))^(1+INDEX($Q482:$AJ482,1,(BF$4-1)*5+2))*(1+BF$7)^INDEX($Q482:$AJ482,1,(BF$4-1)*5+1)*(BF352/BE352)^INDEX($Q482:$AJ482,1,(BF$4-1)*5+2)*(BF352/BE352)^(INDEX($Q482:$AJ482,1,(BF$4-1)*5+3)*(1+INDEX($Q482:$AJ482,1,(BF$4-1)*5+2)))</f>
        <v/>
      </c>
      <c r="BG482" s="25">
        <f>BF482*(1/(1+INDEX($Q482:$AJ482,1,(BG$4-1)*5+4)))^(1+INDEX($Q482:$AJ482,1,(BG$4-1)*5+2))*(1+BG$7)^INDEX($Q482:$AJ482,1,(BG$4-1)*5+1)*(BG352/BF352)^INDEX($Q482:$AJ482,1,(BG$4-1)*5+2)*(BG352/BF352)^(INDEX($Q482:$AJ482,1,(BG$4-1)*5+3)*(1+INDEX($Q482:$AJ482,1,(BG$4-1)*5+2)))</f>
        <v/>
      </c>
      <c r="BH482" s="25">
        <f>BG482*(1/(1+INDEX($Q482:$AJ482,1,(BH$4-1)*5+4)))^(1+INDEX($Q482:$AJ482,1,(BH$4-1)*5+2))*(1+BH$7)^INDEX($Q482:$AJ482,1,(BH$4-1)*5+1)*(BH352/BG352)^INDEX($Q482:$AJ482,1,(BH$4-1)*5+2)*(BH352/BG352)^(INDEX($Q482:$AJ482,1,(BH$4-1)*5+3)*(1+INDEX($Q482:$AJ482,1,(BH$4-1)*5+2)))</f>
        <v/>
      </c>
      <c r="BI482" s="25">
        <f>BH482*(1/(1+INDEX($Q482:$AJ482,1,(BI$4-1)*5+4)))^(1+INDEX($Q482:$AJ482,1,(BI$4-1)*5+2))*(1+BI$7)^INDEX($Q482:$AJ482,1,(BI$4-1)*5+1)*(BI352/BH352)^INDEX($Q482:$AJ482,1,(BI$4-1)*5+2)*(BI352/BH352)^(INDEX($Q482:$AJ482,1,(BI$4-1)*5+3)*(1+INDEX($Q482:$AJ482,1,(BI$4-1)*5+2)))</f>
        <v/>
      </c>
      <c r="BJ482" s="25">
        <f>BI482*(1/(1+INDEX($Q482:$AJ482,1,(BJ$4-1)*5+4)))^(1+INDEX($Q482:$AJ482,1,(BJ$4-1)*5+2))*(1+BJ$7)^INDEX($Q482:$AJ482,1,(BJ$4-1)*5+1)*(BJ352/BI352)^INDEX($Q482:$AJ482,1,(BJ$4-1)*5+2)*(BJ352/BI352)^(INDEX($Q482:$AJ482,1,(BJ$4-1)*5+3)*(1+INDEX($Q482:$AJ482,1,(BJ$4-1)*5+2)))</f>
        <v/>
      </c>
      <c r="BK482" s="25">
        <f>BJ482*(1/(1+INDEX($Q482:$AJ482,1,(BK$4-1)*5+4)))^(1+INDEX($Q482:$AJ482,1,(BK$4-1)*5+2))*(1+BK$7)^INDEX($Q482:$AJ482,1,(BK$4-1)*5+1)*(BK352/BJ352)^INDEX($Q482:$AJ482,1,(BK$4-1)*5+2)*(BK352/BJ352)^(INDEX($Q482:$AJ482,1,(BK$4-1)*5+3)*(1+INDEX($Q482:$AJ482,1,(BK$4-1)*5+2)))</f>
        <v/>
      </c>
      <c r="BL482" s="25">
        <f>BK482*(1/(1+INDEX($Q482:$AJ482,1,(BL$4-1)*5+4)))^(1+INDEX($Q482:$AJ482,1,(BL$4-1)*5+2))*(1+BL$7)^INDEX($Q482:$AJ482,1,(BL$4-1)*5+1)*(BL352/BK352)^INDEX($Q482:$AJ482,1,(BL$4-1)*5+2)*(BL352/BK352)^(INDEX($Q482:$AJ482,1,(BL$4-1)*5+3)*(1+INDEX($Q482:$AJ482,1,(BL$4-1)*5+2)))</f>
        <v/>
      </c>
      <c r="BM482" s="25">
        <f>BL482*(1/(1+INDEX($Q482:$AJ482,1,(BM$4-1)*5+4)))^(1+INDEX($Q482:$AJ482,1,(BM$4-1)*5+2))*(1+BM$7)^INDEX($Q482:$AJ482,1,(BM$4-1)*5+1)*(BM352/BL352)^INDEX($Q482:$AJ482,1,(BM$4-1)*5+2)*(BM352/BL352)^(INDEX($Q482:$AJ482,1,(BM$4-1)*5+3)*(1+INDEX($Q482:$AJ482,1,(BM$4-1)*5+2)))</f>
        <v/>
      </c>
      <c r="BN482" s="25">
        <f>BM482*(1/(1+INDEX($Q482:$AJ482,1,(BN$4-1)*5+4)))^(1+INDEX($Q482:$AJ482,1,(BN$4-1)*5+2))*(1+BN$7)^INDEX($Q482:$AJ482,1,(BN$4-1)*5+1)*(BN352/BM352)^INDEX($Q482:$AJ482,1,(BN$4-1)*5+2)*(BN352/BM352)^(INDEX($Q482:$AJ482,1,(BN$4-1)*5+3)*(1+INDEX($Q482:$AJ482,1,(BN$4-1)*5+2)))</f>
        <v/>
      </c>
    </row>
    <row r="483">
      <c r="B483" s="5" t="inlineStr">
        <is>
          <t>gso</t>
        </is>
      </c>
      <c r="C483" s="5" t="inlineStr">
        <is>
          <t>mac</t>
        </is>
      </c>
      <c r="D483" s="5" t="inlineStr">
        <is>
          <t>Fuel use | Machinery | Gasoline</t>
        </is>
      </c>
      <c r="E483" s="5" t="inlineStr">
        <is>
          <t>ktoe</t>
        </is>
      </c>
      <c r="F483" s="5" t="inlineStr">
        <is>
          <t>EnergyCons (base year), Elasticities</t>
        </is>
      </c>
      <c r="G483" s="19" t="inlineStr">
        <is>
          <t>mit.enc.gso.mac</t>
        </is>
      </c>
      <c r="H483" s="19" t="inlineStr">
        <is>
          <t>mit.enc.gso.mac</t>
        </is>
      </c>
      <c r="J483" s="5">
        <f>INDEX(Mapping!$C$5:$C$20,MATCH($C483,Mapping!$A$5:$A$20,0))</f>
        <v/>
      </c>
      <c r="K483" s="5">
        <f>INDEX(Mapping!$D$5:$D$20,MATCH($C483,Mapping!$A$5:$A$20,0))</f>
        <v/>
      </c>
      <c r="L483" s="5">
        <f>INDEX(Mapping!$C$24:$C$31,MATCH($B483,Mapping!$A$24:$A$31,0))</f>
        <v/>
      </c>
      <c r="M483" s="5">
        <f>INDEX(Mapping!$D$24:$D$31,MATCH($B483,Mapping!$A$24:$A$31,0))</f>
        <v/>
      </c>
      <c r="N483" s="5">
        <f>$B483&amp;"."&amp;IF(INDEX(Mapping!$E$24:$E$31,MATCH($B483,Mapping!$A$24:$A$31,0))="sub",INDEX(Mapping!$F$5:$F$20,MATCH($C483,Mapping!$A$5:$A$20,0)),"all")</f>
        <v/>
      </c>
      <c r="O483" s="5">
        <f>INDEX(Mapping!$E$5:$E$20,MATCH($C483,Mapping!$A$5:$A$20,0))</f>
        <v/>
      </c>
      <c r="P483" s="5">
        <f>INDEX(Mapping!$G$24:$G$31,MATCH($B483,Mapping!$A$24:$A$31,0))</f>
        <v/>
      </c>
      <c r="Q483" s="22">
        <f>INDEX(Elasticities!$F$4:$I$200,MATCH("inc|"&amp;$L483&amp;"|"&amp;$K483,Elasticities!$A$4:$A$200,0),MATCH(Settings!$C$6,Elasticities!$F$3:$I$3,0))</f>
        <v/>
      </c>
      <c r="R483" s="22">
        <f>INDEX(Elasticities!$F$4:$I$200,MATCH("usg|"&amp;$L483&amp;"|"&amp;$K483,Elasticities!$A$4:$A$200,0),MATCH(Settings!$C$6,Elasticities!$F$3:$I$3,0))</f>
        <v/>
      </c>
      <c r="S483" s="22">
        <f>INDEX(Elasticities!$F$4:$I$200,MATCH("eff|"&amp;$L483&amp;"|"&amp;$K483,Elasticities!$A$4:$A$200,0),MATCH(Settings!$C$6,Elasticities!$F$3:$I$3,0))</f>
        <v/>
      </c>
      <c r="T483" s="22">
        <f>INDEX(Elasticities!$F$4:$I$200,MATCH("aei|"&amp;$M483&amp;"|"&amp;$K483,Elasticities!$A$4:$A$200,0),MATCH(Settings!$C$6,Elasticities!$F$3:$I$3,0))</f>
        <v/>
      </c>
      <c r="U483" s="21" t="n"/>
      <c r="V483" s="22">
        <f>Q483</f>
        <v/>
      </c>
      <c r="W483" s="22">
        <f>R483</f>
        <v/>
      </c>
      <c r="X483" s="22">
        <f>S483</f>
        <v/>
      </c>
      <c r="Y483" s="22">
        <f>T483</f>
        <v/>
      </c>
      <c r="Z483" s="21" t="n"/>
      <c r="AA483" s="22">
        <f>Q483</f>
        <v/>
      </c>
      <c r="AB483" s="22">
        <f>R483</f>
        <v/>
      </c>
      <c r="AC483" s="22">
        <f>S483</f>
        <v/>
      </c>
      <c r="AD483" s="22">
        <f>T483</f>
        <v/>
      </c>
      <c r="AE483" s="21" t="n"/>
      <c r="AF483" s="22">
        <f>Q483</f>
        <v/>
      </c>
      <c r="AG483" s="22">
        <f>R483</f>
        <v/>
      </c>
      <c r="AH483" s="22">
        <f>S483</f>
        <v/>
      </c>
      <c r="AI483" s="22">
        <f>T483</f>
        <v/>
      </c>
      <c r="AJ483" s="21" t="n"/>
      <c r="AL483" s="24">
        <f>INDEX(EnergyCons!$F$4:$F$5000,MATCH(Settings!$C$4&amp;"|"&amp;AL$5&amp;"|"&amp;$C483&amp;"|"&amp;$B483,EnergyCons!$A$4:$A$5000,0))</f>
        <v/>
      </c>
      <c r="AM483" s="25">
        <f>AL483*(1/(1+INDEX($Q483:$AJ483,1,(AM$4-1)*5+4)))^(1+INDEX($Q483:$AJ483,1,(AM$4-1)*5+2))*(1+AM$7)^INDEX($Q483:$AJ483,1,(AM$4-1)*5+1)*(AM353/AL353)^INDEX($Q483:$AJ483,1,(AM$4-1)*5+2)*(AM353/AL353)^(INDEX($Q483:$AJ483,1,(AM$4-1)*5+3)*(1+INDEX($Q483:$AJ483,1,(AM$4-1)*5+2)))</f>
        <v/>
      </c>
      <c r="AN483" s="25">
        <f>AM483*(1/(1+INDEX($Q483:$AJ483,1,(AN$4-1)*5+4)))^(1+INDEX($Q483:$AJ483,1,(AN$4-1)*5+2))*(1+AN$7)^INDEX($Q483:$AJ483,1,(AN$4-1)*5+1)*(AN353/AM353)^INDEX($Q483:$AJ483,1,(AN$4-1)*5+2)*(AN353/AM353)^(INDEX($Q483:$AJ483,1,(AN$4-1)*5+3)*(1+INDEX($Q483:$AJ483,1,(AN$4-1)*5+2)))</f>
        <v/>
      </c>
      <c r="AO483" s="25">
        <f>AN483*(1/(1+INDEX($Q483:$AJ483,1,(AO$4-1)*5+4)))^(1+INDEX($Q483:$AJ483,1,(AO$4-1)*5+2))*(1+AO$7)^INDEX($Q483:$AJ483,1,(AO$4-1)*5+1)*(AO353/AN353)^INDEX($Q483:$AJ483,1,(AO$4-1)*5+2)*(AO353/AN353)^(INDEX($Q483:$AJ483,1,(AO$4-1)*5+3)*(1+INDEX($Q483:$AJ483,1,(AO$4-1)*5+2)))</f>
        <v/>
      </c>
      <c r="AP483" s="25">
        <f>AO483*(1/(1+INDEX($Q483:$AJ483,1,(AP$4-1)*5+4)))^(1+INDEX($Q483:$AJ483,1,(AP$4-1)*5+2))*(1+AP$7)^INDEX($Q483:$AJ483,1,(AP$4-1)*5+1)*(AP353/AO353)^INDEX($Q483:$AJ483,1,(AP$4-1)*5+2)*(AP353/AO353)^(INDEX($Q483:$AJ483,1,(AP$4-1)*5+3)*(1+INDEX($Q483:$AJ483,1,(AP$4-1)*5+2)))</f>
        <v/>
      </c>
      <c r="AQ483" s="25">
        <f>AP483*(1/(1+INDEX($Q483:$AJ483,1,(AQ$4-1)*5+4)))^(1+INDEX($Q483:$AJ483,1,(AQ$4-1)*5+2))*(1+AQ$7)^INDEX($Q483:$AJ483,1,(AQ$4-1)*5+1)*(AQ353/AP353)^INDEX($Q483:$AJ483,1,(AQ$4-1)*5+2)*(AQ353/AP353)^(INDEX($Q483:$AJ483,1,(AQ$4-1)*5+3)*(1+INDEX($Q483:$AJ483,1,(AQ$4-1)*5+2)))</f>
        <v/>
      </c>
      <c r="AR483" s="25">
        <f>AQ483*(1/(1+INDEX($Q483:$AJ483,1,(AR$4-1)*5+4)))^(1+INDEX($Q483:$AJ483,1,(AR$4-1)*5+2))*(1+AR$7)^INDEX($Q483:$AJ483,1,(AR$4-1)*5+1)*(AR353/AQ353)^INDEX($Q483:$AJ483,1,(AR$4-1)*5+2)*(AR353/AQ353)^(INDEX($Q483:$AJ483,1,(AR$4-1)*5+3)*(1+INDEX($Q483:$AJ483,1,(AR$4-1)*5+2)))</f>
        <v/>
      </c>
      <c r="AS483" s="25">
        <f>AR483*(1/(1+INDEX($Q483:$AJ483,1,(AS$4-1)*5+4)))^(1+INDEX($Q483:$AJ483,1,(AS$4-1)*5+2))*(1+AS$7)^INDEX($Q483:$AJ483,1,(AS$4-1)*5+1)*(AS353/AR353)^INDEX($Q483:$AJ483,1,(AS$4-1)*5+2)*(AS353/AR353)^(INDEX($Q483:$AJ483,1,(AS$4-1)*5+3)*(1+INDEX($Q483:$AJ483,1,(AS$4-1)*5+2)))</f>
        <v/>
      </c>
      <c r="AT483" s="25">
        <f>AS483*(1/(1+INDEX($Q483:$AJ483,1,(AT$4-1)*5+4)))^(1+INDEX($Q483:$AJ483,1,(AT$4-1)*5+2))*(1+AT$7)^INDEX($Q483:$AJ483,1,(AT$4-1)*5+1)*(AT353/AS353)^INDEX($Q483:$AJ483,1,(AT$4-1)*5+2)*(AT353/AS353)^(INDEX($Q483:$AJ483,1,(AT$4-1)*5+3)*(1+INDEX($Q483:$AJ483,1,(AT$4-1)*5+2)))</f>
        <v/>
      </c>
      <c r="AU483" s="25">
        <f>AT483*(1/(1+INDEX($Q483:$AJ483,1,(AU$4-1)*5+4)))^(1+INDEX($Q483:$AJ483,1,(AU$4-1)*5+2))*(1+AU$7)^INDEX($Q483:$AJ483,1,(AU$4-1)*5+1)*(AU353/AT353)^INDEX($Q483:$AJ483,1,(AU$4-1)*5+2)*(AU353/AT353)^(INDEX($Q483:$AJ483,1,(AU$4-1)*5+3)*(1+INDEX($Q483:$AJ483,1,(AU$4-1)*5+2)))</f>
        <v/>
      </c>
      <c r="AV483" s="25">
        <f>AU483*(1/(1+INDEX($Q483:$AJ483,1,(AV$4-1)*5+4)))^(1+INDEX($Q483:$AJ483,1,(AV$4-1)*5+2))*(1+AV$7)^INDEX($Q483:$AJ483,1,(AV$4-1)*5+1)*(AV353/AU353)^INDEX($Q483:$AJ483,1,(AV$4-1)*5+2)*(AV353/AU353)^(INDEX($Q483:$AJ483,1,(AV$4-1)*5+3)*(1+INDEX($Q483:$AJ483,1,(AV$4-1)*5+2)))</f>
        <v/>
      </c>
      <c r="AW483" s="25">
        <f>AV483*(1/(1+INDEX($Q483:$AJ483,1,(AW$4-1)*5+4)))^(1+INDEX($Q483:$AJ483,1,(AW$4-1)*5+2))*(1+AW$7)^INDEX($Q483:$AJ483,1,(AW$4-1)*5+1)*(AW353/AV353)^INDEX($Q483:$AJ483,1,(AW$4-1)*5+2)*(AW353/AV353)^(INDEX($Q483:$AJ483,1,(AW$4-1)*5+3)*(1+INDEX($Q483:$AJ483,1,(AW$4-1)*5+2)))</f>
        <v/>
      </c>
      <c r="AX483" s="25">
        <f>AW483*(1/(1+INDEX($Q483:$AJ483,1,(AX$4-1)*5+4)))^(1+INDEX($Q483:$AJ483,1,(AX$4-1)*5+2))*(1+AX$7)^INDEX($Q483:$AJ483,1,(AX$4-1)*5+1)*(AX353/AW353)^INDEX($Q483:$AJ483,1,(AX$4-1)*5+2)*(AX353/AW353)^(INDEX($Q483:$AJ483,1,(AX$4-1)*5+3)*(1+INDEX($Q483:$AJ483,1,(AX$4-1)*5+2)))</f>
        <v/>
      </c>
      <c r="AY483" s="25">
        <f>AX483*(1/(1+INDEX($Q483:$AJ483,1,(AY$4-1)*5+4)))^(1+INDEX($Q483:$AJ483,1,(AY$4-1)*5+2))*(1+AY$7)^INDEX($Q483:$AJ483,1,(AY$4-1)*5+1)*(AY353/AX353)^INDEX($Q483:$AJ483,1,(AY$4-1)*5+2)*(AY353/AX353)^(INDEX($Q483:$AJ483,1,(AY$4-1)*5+3)*(1+INDEX($Q483:$AJ483,1,(AY$4-1)*5+2)))</f>
        <v/>
      </c>
      <c r="BA483" s="24">
        <f>INDEX(EnergyCons!$F$4:$F$5000,MATCH(Settings!$C$4&amp;"|"&amp;BA$5&amp;"|"&amp;$C483&amp;"|"&amp;$B483,EnergyCons!$A$4:$A$5000,0))</f>
        <v/>
      </c>
      <c r="BB483" s="25">
        <f>BA483*(1/(1+INDEX($Q483:$AJ483,1,(BB$4-1)*5+4)))^(1+INDEX($Q483:$AJ483,1,(BB$4-1)*5+2))*(1+BB$7)^INDEX($Q483:$AJ483,1,(BB$4-1)*5+1)*(BB353/BA353)^INDEX($Q483:$AJ483,1,(BB$4-1)*5+2)*(BB353/BA353)^(INDEX($Q483:$AJ483,1,(BB$4-1)*5+3)*(1+INDEX($Q483:$AJ483,1,(BB$4-1)*5+2)))</f>
        <v/>
      </c>
      <c r="BC483" s="25">
        <f>BB483*(1/(1+INDEX($Q483:$AJ483,1,(BC$4-1)*5+4)))^(1+INDEX($Q483:$AJ483,1,(BC$4-1)*5+2))*(1+BC$7)^INDEX($Q483:$AJ483,1,(BC$4-1)*5+1)*(BC353/BB353)^INDEX($Q483:$AJ483,1,(BC$4-1)*5+2)*(BC353/BB353)^(INDEX($Q483:$AJ483,1,(BC$4-1)*5+3)*(1+INDEX($Q483:$AJ483,1,(BC$4-1)*5+2)))</f>
        <v/>
      </c>
      <c r="BD483" s="25">
        <f>BC483*(1/(1+INDEX($Q483:$AJ483,1,(BD$4-1)*5+4)))^(1+INDEX($Q483:$AJ483,1,(BD$4-1)*5+2))*(1+BD$7)^INDEX($Q483:$AJ483,1,(BD$4-1)*5+1)*(BD353/BC353)^INDEX($Q483:$AJ483,1,(BD$4-1)*5+2)*(BD353/BC353)^(INDEX($Q483:$AJ483,1,(BD$4-1)*5+3)*(1+INDEX($Q483:$AJ483,1,(BD$4-1)*5+2)))</f>
        <v/>
      </c>
      <c r="BE483" s="25">
        <f>BD483*(1/(1+INDEX($Q483:$AJ483,1,(BE$4-1)*5+4)))^(1+INDEX($Q483:$AJ483,1,(BE$4-1)*5+2))*(1+BE$7)^INDEX($Q483:$AJ483,1,(BE$4-1)*5+1)*(BE353/BD353)^INDEX($Q483:$AJ483,1,(BE$4-1)*5+2)*(BE353/BD353)^(INDEX($Q483:$AJ483,1,(BE$4-1)*5+3)*(1+INDEX($Q483:$AJ483,1,(BE$4-1)*5+2)))</f>
        <v/>
      </c>
      <c r="BF483" s="25">
        <f>BE483*(1/(1+INDEX($Q483:$AJ483,1,(BF$4-1)*5+4)))^(1+INDEX($Q483:$AJ483,1,(BF$4-1)*5+2))*(1+BF$7)^INDEX($Q483:$AJ483,1,(BF$4-1)*5+1)*(BF353/BE353)^INDEX($Q483:$AJ483,1,(BF$4-1)*5+2)*(BF353/BE353)^(INDEX($Q483:$AJ483,1,(BF$4-1)*5+3)*(1+INDEX($Q483:$AJ483,1,(BF$4-1)*5+2)))</f>
        <v/>
      </c>
      <c r="BG483" s="25">
        <f>BF483*(1/(1+INDEX($Q483:$AJ483,1,(BG$4-1)*5+4)))^(1+INDEX($Q483:$AJ483,1,(BG$4-1)*5+2))*(1+BG$7)^INDEX($Q483:$AJ483,1,(BG$4-1)*5+1)*(BG353/BF353)^INDEX($Q483:$AJ483,1,(BG$4-1)*5+2)*(BG353/BF353)^(INDEX($Q483:$AJ483,1,(BG$4-1)*5+3)*(1+INDEX($Q483:$AJ483,1,(BG$4-1)*5+2)))</f>
        <v/>
      </c>
      <c r="BH483" s="25">
        <f>BG483*(1/(1+INDEX($Q483:$AJ483,1,(BH$4-1)*5+4)))^(1+INDEX($Q483:$AJ483,1,(BH$4-1)*5+2))*(1+BH$7)^INDEX($Q483:$AJ483,1,(BH$4-1)*5+1)*(BH353/BG353)^INDEX($Q483:$AJ483,1,(BH$4-1)*5+2)*(BH353/BG353)^(INDEX($Q483:$AJ483,1,(BH$4-1)*5+3)*(1+INDEX($Q483:$AJ483,1,(BH$4-1)*5+2)))</f>
        <v/>
      </c>
      <c r="BI483" s="25">
        <f>BH483*(1/(1+INDEX($Q483:$AJ483,1,(BI$4-1)*5+4)))^(1+INDEX($Q483:$AJ483,1,(BI$4-1)*5+2))*(1+BI$7)^INDEX($Q483:$AJ483,1,(BI$4-1)*5+1)*(BI353/BH353)^INDEX($Q483:$AJ483,1,(BI$4-1)*5+2)*(BI353/BH353)^(INDEX($Q483:$AJ483,1,(BI$4-1)*5+3)*(1+INDEX($Q483:$AJ483,1,(BI$4-1)*5+2)))</f>
        <v/>
      </c>
      <c r="BJ483" s="25">
        <f>BI483*(1/(1+INDEX($Q483:$AJ483,1,(BJ$4-1)*5+4)))^(1+INDEX($Q483:$AJ483,1,(BJ$4-1)*5+2))*(1+BJ$7)^INDEX($Q483:$AJ483,1,(BJ$4-1)*5+1)*(BJ353/BI353)^INDEX($Q483:$AJ483,1,(BJ$4-1)*5+2)*(BJ353/BI353)^(INDEX($Q483:$AJ483,1,(BJ$4-1)*5+3)*(1+INDEX($Q483:$AJ483,1,(BJ$4-1)*5+2)))</f>
        <v/>
      </c>
      <c r="BK483" s="25">
        <f>BJ483*(1/(1+INDEX($Q483:$AJ483,1,(BK$4-1)*5+4)))^(1+INDEX($Q483:$AJ483,1,(BK$4-1)*5+2))*(1+BK$7)^INDEX($Q483:$AJ483,1,(BK$4-1)*5+1)*(BK353/BJ353)^INDEX($Q483:$AJ483,1,(BK$4-1)*5+2)*(BK353/BJ353)^(INDEX($Q483:$AJ483,1,(BK$4-1)*5+3)*(1+INDEX($Q483:$AJ483,1,(BK$4-1)*5+2)))</f>
        <v/>
      </c>
      <c r="BL483" s="25">
        <f>BK483*(1/(1+INDEX($Q483:$AJ483,1,(BL$4-1)*5+4)))^(1+INDEX($Q483:$AJ483,1,(BL$4-1)*5+2))*(1+BL$7)^INDEX($Q483:$AJ483,1,(BL$4-1)*5+1)*(BL353/BK353)^INDEX($Q483:$AJ483,1,(BL$4-1)*5+2)*(BL353/BK353)^(INDEX($Q483:$AJ483,1,(BL$4-1)*5+3)*(1+INDEX($Q483:$AJ483,1,(BL$4-1)*5+2)))</f>
        <v/>
      </c>
      <c r="BM483" s="25">
        <f>BL483*(1/(1+INDEX($Q483:$AJ483,1,(BM$4-1)*5+4)))^(1+INDEX($Q483:$AJ483,1,(BM$4-1)*5+2))*(1+BM$7)^INDEX($Q483:$AJ483,1,(BM$4-1)*5+1)*(BM353/BL353)^INDEX($Q483:$AJ483,1,(BM$4-1)*5+2)*(BM353/BL353)^(INDEX($Q483:$AJ483,1,(BM$4-1)*5+3)*(1+INDEX($Q483:$AJ483,1,(BM$4-1)*5+2)))</f>
        <v/>
      </c>
      <c r="BN483" s="25">
        <f>BM483*(1/(1+INDEX($Q483:$AJ483,1,(BN$4-1)*5+4)))^(1+INDEX($Q483:$AJ483,1,(BN$4-1)*5+2))*(1+BN$7)^INDEX($Q483:$AJ483,1,(BN$4-1)*5+1)*(BN353/BM353)^INDEX($Q483:$AJ483,1,(BN$4-1)*5+2)*(BN353/BM353)^(INDEX($Q483:$AJ483,1,(BN$4-1)*5+3)*(1+INDEX($Q483:$AJ483,1,(BN$4-1)*5+2)))</f>
        <v/>
      </c>
    </row>
    <row r="484">
      <c r="B484" s="5" t="inlineStr">
        <is>
          <t>die</t>
        </is>
      </c>
      <c r="C484" s="5" t="inlineStr">
        <is>
          <t>mac</t>
        </is>
      </c>
      <c r="D484" s="5" t="inlineStr">
        <is>
          <t>Fuel use | Machinery | Diesel</t>
        </is>
      </c>
      <c r="E484" s="5" t="inlineStr">
        <is>
          <t>ktoe</t>
        </is>
      </c>
      <c r="F484" s="5" t="inlineStr">
        <is>
          <t>EnergyCons (base year), Elasticities</t>
        </is>
      </c>
      <c r="G484" s="19" t="inlineStr">
        <is>
          <t>mit.enc.die.mac</t>
        </is>
      </c>
      <c r="H484" s="19" t="inlineStr">
        <is>
          <t>mit.enc.die.mac</t>
        </is>
      </c>
      <c r="J484" s="5">
        <f>INDEX(Mapping!$C$5:$C$20,MATCH($C484,Mapping!$A$5:$A$20,0))</f>
        <v/>
      </c>
      <c r="K484" s="5">
        <f>INDEX(Mapping!$D$5:$D$20,MATCH($C484,Mapping!$A$5:$A$20,0))</f>
        <v/>
      </c>
      <c r="L484" s="5">
        <f>INDEX(Mapping!$C$24:$C$31,MATCH($B484,Mapping!$A$24:$A$31,0))</f>
        <v/>
      </c>
      <c r="M484" s="5">
        <f>INDEX(Mapping!$D$24:$D$31,MATCH($B484,Mapping!$A$24:$A$31,0))</f>
        <v/>
      </c>
      <c r="N484" s="5">
        <f>$B484&amp;"."&amp;IF(INDEX(Mapping!$E$24:$E$31,MATCH($B484,Mapping!$A$24:$A$31,0))="sub",INDEX(Mapping!$F$5:$F$20,MATCH($C484,Mapping!$A$5:$A$20,0)),"all")</f>
        <v/>
      </c>
      <c r="O484" s="5">
        <f>INDEX(Mapping!$E$5:$E$20,MATCH($C484,Mapping!$A$5:$A$20,0))</f>
        <v/>
      </c>
      <c r="P484" s="5">
        <f>INDEX(Mapping!$G$24:$G$31,MATCH($B484,Mapping!$A$24:$A$31,0))</f>
        <v/>
      </c>
      <c r="Q484" s="22">
        <f>INDEX(Elasticities!$F$4:$I$200,MATCH("inc|"&amp;$L484&amp;"|"&amp;$K484,Elasticities!$A$4:$A$200,0),MATCH(Settings!$C$6,Elasticities!$F$3:$I$3,0))</f>
        <v/>
      </c>
      <c r="R484" s="22">
        <f>INDEX(Elasticities!$F$4:$I$200,MATCH("usg|"&amp;$L484&amp;"|"&amp;$K484,Elasticities!$A$4:$A$200,0),MATCH(Settings!$C$6,Elasticities!$F$3:$I$3,0))</f>
        <v/>
      </c>
      <c r="S484" s="22">
        <f>INDEX(Elasticities!$F$4:$I$200,MATCH("eff|"&amp;$L484&amp;"|"&amp;$K484,Elasticities!$A$4:$A$200,0),MATCH(Settings!$C$6,Elasticities!$F$3:$I$3,0))</f>
        <v/>
      </c>
      <c r="T484" s="22">
        <f>INDEX(Elasticities!$F$4:$I$200,MATCH("aei|"&amp;$M484&amp;"|"&amp;$K484,Elasticities!$A$4:$A$200,0),MATCH(Settings!$C$6,Elasticities!$F$3:$I$3,0))</f>
        <v/>
      </c>
      <c r="U484" s="21" t="n"/>
      <c r="V484" s="22">
        <f>Q484</f>
        <v/>
      </c>
      <c r="W484" s="22">
        <f>R484</f>
        <v/>
      </c>
      <c r="X484" s="22">
        <f>S484</f>
        <v/>
      </c>
      <c r="Y484" s="22">
        <f>T484</f>
        <v/>
      </c>
      <c r="Z484" s="21" t="n"/>
      <c r="AA484" s="22">
        <f>Q484</f>
        <v/>
      </c>
      <c r="AB484" s="22">
        <f>R484</f>
        <v/>
      </c>
      <c r="AC484" s="22">
        <f>S484</f>
        <v/>
      </c>
      <c r="AD484" s="22">
        <f>T484</f>
        <v/>
      </c>
      <c r="AE484" s="21" t="n"/>
      <c r="AF484" s="22">
        <f>Q484</f>
        <v/>
      </c>
      <c r="AG484" s="22">
        <f>R484</f>
        <v/>
      </c>
      <c r="AH484" s="22">
        <f>S484</f>
        <v/>
      </c>
      <c r="AI484" s="22">
        <f>T484</f>
        <v/>
      </c>
      <c r="AJ484" s="21" t="n"/>
      <c r="AL484" s="24">
        <f>INDEX(EnergyCons!$F$4:$F$5000,MATCH(Settings!$C$4&amp;"|"&amp;AL$5&amp;"|"&amp;$C484&amp;"|"&amp;$B484,EnergyCons!$A$4:$A$5000,0))</f>
        <v/>
      </c>
      <c r="AM484" s="25">
        <f>AL484*(1/(1+INDEX($Q484:$AJ484,1,(AM$4-1)*5+4)))^(1+INDEX($Q484:$AJ484,1,(AM$4-1)*5+2))*(1+AM$7)^INDEX($Q484:$AJ484,1,(AM$4-1)*5+1)*(AM354/AL354)^INDEX($Q484:$AJ484,1,(AM$4-1)*5+2)*(AM354/AL354)^(INDEX($Q484:$AJ484,1,(AM$4-1)*5+3)*(1+INDEX($Q484:$AJ484,1,(AM$4-1)*5+2)))</f>
        <v/>
      </c>
      <c r="AN484" s="25">
        <f>AM484*(1/(1+INDEX($Q484:$AJ484,1,(AN$4-1)*5+4)))^(1+INDEX($Q484:$AJ484,1,(AN$4-1)*5+2))*(1+AN$7)^INDEX($Q484:$AJ484,1,(AN$4-1)*5+1)*(AN354/AM354)^INDEX($Q484:$AJ484,1,(AN$4-1)*5+2)*(AN354/AM354)^(INDEX($Q484:$AJ484,1,(AN$4-1)*5+3)*(1+INDEX($Q484:$AJ484,1,(AN$4-1)*5+2)))</f>
        <v/>
      </c>
      <c r="AO484" s="25">
        <f>AN484*(1/(1+INDEX($Q484:$AJ484,1,(AO$4-1)*5+4)))^(1+INDEX($Q484:$AJ484,1,(AO$4-1)*5+2))*(1+AO$7)^INDEX($Q484:$AJ484,1,(AO$4-1)*5+1)*(AO354/AN354)^INDEX($Q484:$AJ484,1,(AO$4-1)*5+2)*(AO354/AN354)^(INDEX($Q484:$AJ484,1,(AO$4-1)*5+3)*(1+INDEX($Q484:$AJ484,1,(AO$4-1)*5+2)))</f>
        <v/>
      </c>
      <c r="AP484" s="25">
        <f>AO484*(1/(1+INDEX($Q484:$AJ484,1,(AP$4-1)*5+4)))^(1+INDEX($Q484:$AJ484,1,(AP$4-1)*5+2))*(1+AP$7)^INDEX($Q484:$AJ484,1,(AP$4-1)*5+1)*(AP354/AO354)^INDEX($Q484:$AJ484,1,(AP$4-1)*5+2)*(AP354/AO354)^(INDEX($Q484:$AJ484,1,(AP$4-1)*5+3)*(1+INDEX($Q484:$AJ484,1,(AP$4-1)*5+2)))</f>
        <v/>
      </c>
      <c r="AQ484" s="25">
        <f>AP484*(1/(1+INDEX($Q484:$AJ484,1,(AQ$4-1)*5+4)))^(1+INDEX($Q484:$AJ484,1,(AQ$4-1)*5+2))*(1+AQ$7)^INDEX($Q484:$AJ484,1,(AQ$4-1)*5+1)*(AQ354/AP354)^INDEX($Q484:$AJ484,1,(AQ$4-1)*5+2)*(AQ354/AP354)^(INDEX($Q484:$AJ484,1,(AQ$4-1)*5+3)*(1+INDEX($Q484:$AJ484,1,(AQ$4-1)*5+2)))</f>
        <v/>
      </c>
      <c r="AR484" s="25">
        <f>AQ484*(1/(1+INDEX($Q484:$AJ484,1,(AR$4-1)*5+4)))^(1+INDEX($Q484:$AJ484,1,(AR$4-1)*5+2))*(1+AR$7)^INDEX($Q484:$AJ484,1,(AR$4-1)*5+1)*(AR354/AQ354)^INDEX($Q484:$AJ484,1,(AR$4-1)*5+2)*(AR354/AQ354)^(INDEX($Q484:$AJ484,1,(AR$4-1)*5+3)*(1+INDEX($Q484:$AJ484,1,(AR$4-1)*5+2)))</f>
        <v/>
      </c>
      <c r="AS484" s="25">
        <f>AR484*(1/(1+INDEX($Q484:$AJ484,1,(AS$4-1)*5+4)))^(1+INDEX($Q484:$AJ484,1,(AS$4-1)*5+2))*(1+AS$7)^INDEX($Q484:$AJ484,1,(AS$4-1)*5+1)*(AS354/AR354)^INDEX($Q484:$AJ484,1,(AS$4-1)*5+2)*(AS354/AR354)^(INDEX($Q484:$AJ484,1,(AS$4-1)*5+3)*(1+INDEX($Q484:$AJ484,1,(AS$4-1)*5+2)))</f>
        <v/>
      </c>
      <c r="AT484" s="25">
        <f>AS484*(1/(1+INDEX($Q484:$AJ484,1,(AT$4-1)*5+4)))^(1+INDEX($Q484:$AJ484,1,(AT$4-1)*5+2))*(1+AT$7)^INDEX($Q484:$AJ484,1,(AT$4-1)*5+1)*(AT354/AS354)^INDEX($Q484:$AJ484,1,(AT$4-1)*5+2)*(AT354/AS354)^(INDEX($Q484:$AJ484,1,(AT$4-1)*5+3)*(1+INDEX($Q484:$AJ484,1,(AT$4-1)*5+2)))</f>
        <v/>
      </c>
      <c r="AU484" s="25">
        <f>AT484*(1/(1+INDEX($Q484:$AJ484,1,(AU$4-1)*5+4)))^(1+INDEX($Q484:$AJ484,1,(AU$4-1)*5+2))*(1+AU$7)^INDEX($Q484:$AJ484,1,(AU$4-1)*5+1)*(AU354/AT354)^INDEX($Q484:$AJ484,1,(AU$4-1)*5+2)*(AU354/AT354)^(INDEX($Q484:$AJ484,1,(AU$4-1)*5+3)*(1+INDEX($Q484:$AJ484,1,(AU$4-1)*5+2)))</f>
        <v/>
      </c>
      <c r="AV484" s="25">
        <f>AU484*(1/(1+INDEX($Q484:$AJ484,1,(AV$4-1)*5+4)))^(1+INDEX($Q484:$AJ484,1,(AV$4-1)*5+2))*(1+AV$7)^INDEX($Q484:$AJ484,1,(AV$4-1)*5+1)*(AV354/AU354)^INDEX($Q484:$AJ484,1,(AV$4-1)*5+2)*(AV354/AU354)^(INDEX($Q484:$AJ484,1,(AV$4-1)*5+3)*(1+INDEX($Q484:$AJ484,1,(AV$4-1)*5+2)))</f>
        <v/>
      </c>
      <c r="AW484" s="25">
        <f>AV484*(1/(1+INDEX($Q484:$AJ484,1,(AW$4-1)*5+4)))^(1+INDEX($Q484:$AJ484,1,(AW$4-1)*5+2))*(1+AW$7)^INDEX($Q484:$AJ484,1,(AW$4-1)*5+1)*(AW354/AV354)^INDEX($Q484:$AJ484,1,(AW$4-1)*5+2)*(AW354/AV354)^(INDEX($Q484:$AJ484,1,(AW$4-1)*5+3)*(1+INDEX($Q484:$AJ484,1,(AW$4-1)*5+2)))</f>
        <v/>
      </c>
      <c r="AX484" s="25">
        <f>AW484*(1/(1+INDEX($Q484:$AJ484,1,(AX$4-1)*5+4)))^(1+INDEX($Q484:$AJ484,1,(AX$4-1)*5+2))*(1+AX$7)^INDEX($Q484:$AJ484,1,(AX$4-1)*5+1)*(AX354/AW354)^INDEX($Q484:$AJ484,1,(AX$4-1)*5+2)*(AX354/AW354)^(INDEX($Q484:$AJ484,1,(AX$4-1)*5+3)*(1+INDEX($Q484:$AJ484,1,(AX$4-1)*5+2)))</f>
        <v/>
      </c>
      <c r="AY484" s="25">
        <f>AX484*(1/(1+INDEX($Q484:$AJ484,1,(AY$4-1)*5+4)))^(1+INDEX($Q484:$AJ484,1,(AY$4-1)*5+2))*(1+AY$7)^INDEX($Q484:$AJ484,1,(AY$4-1)*5+1)*(AY354/AX354)^INDEX($Q484:$AJ484,1,(AY$4-1)*5+2)*(AY354/AX354)^(INDEX($Q484:$AJ484,1,(AY$4-1)*5+3)*(1+INDEX($Q484:$AJ484,1,(AY$4-1)*5+2)))</f>
        <v/>
      </c>
      <c r="BA484" s="24">
        <f>INDEX(EnergyCons!$F$4:$F$5000,MATCH(Settings!$C$4&amp;"|"&amp;BA$5&amp;"|"&amp;$C484&amp;"|"&amp;$B484,EnergyCons!$A$4:$A$5000,0))</f>
        <v/>
      </c>
      <c r="BB484" s="25">
        <f>BA484*(1/(1+INDEX($Q484:$AJ484,1,(BB$4-1)*5+4)))^(1+INDEX($Q484:$AJ484,1,(BB$4-1)*5+2))*(1+BB$7)^INDEX($Q484:$AJ484,1,(BB$4-1)*5+1)*(BB354/BA354)^INDEX($Q484:$AJ484,1,(BB$4-1)*5+2)*(BB354/BA354)^(INDEX($Q484:$AJ484,1,(BB$4-1)*5+3)*(1+INDEX($Q484:$AJ484,1,(BB$4-1)*5+2)))</f>
        <v/>
      </c>
      <c r="BC484" s="25">
        <f>BB484*(1/(1+INDEX($Q484:$AJ484,1,(BC$4-1)*5+4)))^(1+INDEX($Q484:$AJ484,1,(BC$4-1)*5+2))*(1+BC$7)^INDEX($Q484:$AJ484,1,(BC$4-1)*5+1)*(BC354/BB354)^INDEX($Q484:$AJ484,1,(BC$4-1)*5+2)*(BC354/BB354)^(INDEX($Q484:$AJ484,1,(BC$4-1)*5+3)*(1+INDEX($Q484:$AJ484,1,(BC$4-1)*5+2)))</f>
        <v/>
      </c>
      <c r="BD484" s="25">
        <f>BC484*(1/(1+INDEX($Q484:$AJ484,1,(BD$4-1)*5+4)))^(1+INDEX($Q484:$AJ484,1,(BD$4-1)*5+2))*(1+BD$7)^INDEX($Q484:$AJ484,1,(BD$4-1)*5+1)*(BD354/BC354)^INDEX($Q484:$AJ484,1,(BD$4-1)*5+2)*(BD354/BC354)^(INDEX($Q484:$AJ484,1,(BD$4-1)*5+3)*(1+INDEX($Q484:$AJ484,1,(BD$4-1)*5+2)))</f>
        <v/>
      </c>
      <c r="BE484" s="25">
        <f>BD484*(1/(1+INDEX($Q484:$AJ484,1,(BE$4-1)*5+4)))^(1+INDEX($Q484:$AJ484,1,(BE$4-1)*5+2))*(1+BE$7)^INDEX($Q484:$AJ484,1,(BE$4-1)*5+1)*(BE354/BD354)^INDEX($Q484:$AJ484,1,(BE$4-1)*5+2)*(BE354/BD354)^(INDEX($Q484:$AJ484,1,(BE$4-1)*5+3)*(1+INDEX($Q484:$AJ484,1,(BE$4-1)*5+2)))</f>
        <v/>
      </c>
      <c r="BF484" s="25">
        <f>BE484*(1/(1+INDEX($Q484:$AJ484,1,(BF$4-1)*5+4)))^(1+INDEX($Q484:$AJ484,1,(BF$4-1)*5+2))*(1+BF$7)^INDEX($Q484:$AJ484,1,(BF$4-1)*5+1)*(BF354/BE354)^INDEX($Q484:$AJ484,1,(BF$4-1)*5+2)*(BF354/BE354)^(INDEX($Q484:$AJ484,1,(BF$4-1)*5+3)*(1+INDEX($Q484:$AJ484,1,(BF$4-1)*5+2)))</f>
        <v/>
      </c>
      <c r="BG484" s="25">
        <f>BF484*(1/(1+INDEX($Q484:$AJ484,1,(BG$4-1)*5+4)))^(1+INDEX($Q484:$AJ484,1,(BG$4-1)*5+2))*(1+BG$7)^INDEX($Q484:$AJ484,1,(BG$4-1)*5+1)*(BG354/BF354)^INDEX($Q484:$AJ484,1,(BG$4-1)*5+2)*(BG354/BF354)^(INDEX($Q484:$AJ484,1,(BG$4-1)*5+3)*(1+INDEX($Q484:$AJ484,1,(BG$4-1)*5+2)))</f>
        <v/>
      </c>
      <c r="BH484" s="25">
        <f>BG484*(1/(1+INDEX($Q484:$AJ484,1,(BH$4-1)*5+4)))^(1+INDEX($Q484:$AJ484,1,(BH$4-1)*5+2))*(1+BH$7)^INDEX($Q484:$AJ484,1,(BH$4-1)*5+1)*(BH354/BG354)^INDEX($Q484:$AJ484,1,(BH$4-1)*5+2)*(BH354/BG354)^(INDEX($Q484:$AJ484,1,(BH$4-1)*5+3)*(1+INDEX($Q484:$AJ484,1,(BH$4-1)*5+2)))</f>
        <v/>
      </c>
      <c r="BI484" s="25">
        <f>BH484*(1/(1+INDEX($Q484:$AJ484,1,(BI$4-1)*5+4)))^(1+INDEX($Q484:$AJ484,1,(BI$4-1)*5+2))*(1+BI$7)^INDEX($Q484:$AJ484,1,(BI$4-1)*5+1)*(BI354/BH354)^INDEX($Q484:$AJ484,1,(BI$4-1)*5+2)*(BI354/BH354)^(INDEX($Q484:$AJ484,1,(BI$4-1)*5+3)*(1+INDEX($Q484:$AJ484,1,(BI$4-1)*5+2)))</f>
        <v/>
      </c>
      <c r="BJ484" s="25">
        <f>BI484*(1/(1+INDEX($Q484:$AJ484,1,(BJ$4-1)*5+4)))^(1+INDEX($Q484:$AJ484,1,(BJ$4-1)*5+2))*(1+BJ$7)^INDEX($Q484:$AJ484,1,(BJ$4-1)*5+1)*(BJ354/BI354)^INDEX($Q484:$AJ484,1,(BJ$4-1)*5+2)*(BJ354/BI354)^(INDEX($Q484:$AJ484,1,(BJ$4-1)*5+3)*(1+INDEX($Q484:$AJ484,1,(BJ$4-1)*5+2)))</f>
        <v/>
      </c>
      <c r="BK484" s="25">
        <f>BJ484*(1/(1+INDEX($Q484:$AJ484,1,(BK$4-1)*5+4)))^(1+INDEX($Q484:$AJ484,1,(BK$4-1)*5+2))*(1+BK$7)^INDEX($Q484:$AJ484,1,(BK$4-1)*5+1)*(BK354/BJ354)^INDEX($Q484:$AJ484,1,(BK$4-1)*5+2)*(BK354/BJ354)^(INDEX($Q484:$AJ484,1,(BK$4-1)*5+3)*(1+INDEX($Q484:$AJ484,1,(BK$4-1)*5+2)))</f>
        <v/>
      </c>
      <c r="BL484" s="25">
        <f>BK484*(1/(1+INDEX($Q484:$AJ484,1,(BL$4-1)*5+4)))^(1+INDEX($Q484:$AJ484,1,(BL$4-1)*5+2))*(1+BL$7)^INDEX($Q484:$AJ484,1,(BL$4-1)*5+1)*(BL354/BK354)^INDEX($Q484:$AJ484,1,(BL$4-1)*5+2)*(BL354/BK354)^(INDEX($Q484:$AJ484,1,(BL$4-1)*5+3)*(1+INDEX($Q484:$AJ484,1,(BL$4-1)*5+2)))</f>
        <v/>
      </c>
      <c r="BM484" s="25">
        <f>BL484*(1/(1+INDEX($Q484:$AJ484,1,(BM$4-1)*5+4)))^(1+INDEX($Q484:$AJ484,1,(BM$4-1)*5+2))*(1+BM$7)^INDEX($Q484:$AJ484,1,(BM$4-1)*5+1)*(BM354/BL354)^INDEX($Q484:$AJ484,1,(BM$4-1)*5+2)*(BM354/BL354)^(INDEX($Q484:$AJ484,1,(BM$4-1)*5+3)*(1+INDEX($Q484:$AJ484,1,(BM$4-1)*5+2)))</f>
        <v/>
      </c>
      <c r="BN484" s="25">
        <f>BM484*(1/(1+INDEX($Q484:$AJ484,1,(BN$4-1)*5+4)))^(1+INDEX($Q484:$AJ484,1,(BN$4-1)*5+2))*(1+BN$7)^INDEX($Q484:$AJ484,1,(BN$4-1)*5+1)*(BN354/BM354)^INDEX($Q484:$AJ484,1,(BN$4-1)*5+2)*(BN354/BM354)^(INDEX($Q484:$AJ484,1,(BN$4-1)*5+3)*(1+INDEX($Q484:$AJ484,1,(BN$4-1)*5+2)))</f>
        <v/>
      </c>
    </row>
    <row r="485">
      <c r="B485" s="5" t="inlineStr">
        <is>
          <t>lpg</t>
        </is>
      </c>
      <c r="C485" s="5" t="inlineStr">
        <is>
          <t>mac</t>
        </is>
      </c>
      <c r="D485" s="5" t="inlineStr">
        <is>
          <t>Fuel use | Machinery | LPG</t>
        </is>
      </c>
      <c r="E485" s="5" t="inlineStr">
        <is>
          <t>ktoe</t>
        </is>
      </c>
      <c r="F485" s="5" t="inlineStr">
        <is>
          <t>EnergyCons (base year), Elasticities</t>
        </is>
      </c>
      <c r="G485" s="19" t="inlineStr">
        <is>
          <t>mit.enc.lpg.mac</t>
        </is>
      </c>
      <c r="H485" s="19" t="inlineStr">
        <is>
          <t>mit.enc.lpg.mac</t>
        </is>
      </c>
      <c r="J485" s="5">
        <f>INDEX(Mapping!$C$5:$C$20,MATCH($C485,Mapping!$A$5:$A$20,0))</f>
        <v/>
      </c>
      <c r="K485" s="5">
        <f>INDEX(Mapping!$D$5:$D$20,MATCH($C485,Mapping!$A$5:$A$20,0))</f>
        <v/>
      </c>
      <c r="L485" s="5">
        <f>INDEX(Mapping!$C$24:$C$31,MATCH($B485,Mapping!$A$24:$A$31,0))</f>
        <v/>
      </c>
      <c r="M485" s="5">
        <f>INDEX(Mapping!$D$24:$D$31,MATCH($B485,Mapping!$A$24:$A$31,0))</f>
        <v/>
      </c>
      <c r="N485" s="5">
        <f>$B485&amp;"."&amp;IF(INDEX(Mapping!$E$24:$E$31,MATCH($B485,Mapping!$A$24:$A$31,0))="sub",INDEX(Mapping!$F$5:$F$20,MATCH($C485,Mapping!$A$5:$A$20,0)),"all")</f>
        <v/>
      </c>
      <c r="O485" s="5">
        <f>INDEX(Mapping!$E$5:$E$20,MATCH($C485,Mapping!$A$5:$A$20,0))</f>
        <v/>
      </c>
      <c r="P485" s="5">
        <f>INDEX(Mapping!$G$24:$G$31,MATCH($B485,Mapping!$A$24:$A$31,0))</f>
        <v/>
      </c>
      <c r="Q485" s="22">
        <f>INDEX(Elasticities!$F$4:$I$200,MATCH("inc|"&amp;$L485&amp;"|"&amp;$K485,Elasticities!$A$4:$A$200,0),MATCH(Settings!$C$6,Elasticities!$F$3:$I$3,0))</f>
        <v/>
      </c>
      <c r="R485" s="22">
        <f>INDEX(Elasticities!$F$4:$I$200,MATCH("usg|"&amp;$L485&amp;"|"&amp;$K485,Elasticities!$A$4:$A$200,0),MATCH(Settings!$C$6,Elasticities!$F$3:$I$3,0))</f>
        <v/>
      </c>
      <c r="S485" s="22">
        <f>INDEX(Elasticities!$F$4:$I$200,MATCH("eff|"&amp;$L485&amp;"|"&amp;$K485,Elasticities!$A$4:$A$200,0),MATCH(Settings!$C$6,Elasticities!$F$3:$I$3,0))</f>
        <v/>
      </c>
      <c r="T485" s="22">
        <f>INDEX(Elasticities!$F$4:$I$200,MATCH("aei|"&amp;$M485&amp;"|"&amp;$K485,Elasticities!$A$4:$A$200,0),MATCH(Settings!$C$6,Elasticities!$F$3:$I$3,0))</f>
        <v/>
      </c>
      <c r="U485" s="21" t="n"/>
      <c r="V485" s="22">
        <f>Q485</f>
        <v/>
      </c>
      <c r="W485" s="22">
        <f>R485</f>
        <v/>
      </c>
      <c r="X485" s="22">
        <f>S485</f>
        <v/>
      </c>
      <c r="Y485" s="22">
        <f>T485</f>
        <v/>
      </c>
      <c r="Z485" s="21" t="n"/>
      <c r="AA485" s="22">
        <f>Q485</f>
        <v/>
      </c>
      <c r="AB485" s="22">
        <f>R485</f>
        <v/>
      </c>
      <c r="AC485" s="22">
        <f>S485</f>
        <v/>
      </c>
      <c r="AD485" s="22">
        <f>T485</f>
        <v/>
      </c>
      <c r="AE485" s="21" t="n"/>
      <c r="AF485" s="22">
        <f>Q485</f>
        <v/>
      </c>
      <c r="AG485" s="22">
        <f>R485</f>
        <v/>
      </c>
      <c r="AH485" s="22">
        <f>S485</f>
        <v/>
      </c>
      <c r="AI485" s="22">
        <f>T485</f>
        <v/>
      </c>
      <c r="AJ485" s="21" t="n"/>
      <c r="AL485" s="24">
        <f>INDEX(EnergyCons!$F$4:$F$5000,MATCH(Settings!$C$4&amp;"|"&amp;AL$5&amp;"|"&amp;$C485&amp;"|"&amp;$B485,EnergyCons!$A$4:$A$5000,0))</f>
        <v/>
      </c>
      <c r="AM485" s="25">
        <f>AL485*(1/(1+INDEX($Q485:$AJ485,1,(AM$4-1)*5+4)))^(1+INDEX($Q485:$AJ485,1,(AM$4-1)*5+2))*(1+AM$7)^INDEX($Q485:$AJ485,1,(AM$4-1)*5+1)*(AM355/AL355)^INDEX($Q485:$AJ485,1,(AM$4-1)*5+2)*(AM355/AL355)^(INDEX($Q485:$AJ485,1,(AM$4-1)*5+3)*(1+INDEX($Q485:$AJ485,1,(AM$4-1)*5+2)))</f>
        <v/>
      </c>
      <c r="AN485" s="25">
        <f>AM485*(1/(1+INDEX($Q485:$AJ485,1,(AN$4-1)*5+4)))^(1+INDEX($Q485:$AJ485,1,(AN$4-1)*5+2))*(1+AN$7)^INDEX($Q485:$AJ485,1,(AN$4-1)*5+1)*(AN355/AM355)^INDEX($Q485:$AJ485,1,(AN$4-1)*5+2)*(AN355/AM355)^(INDEX($Q485:$AJ485,1,(AN$4-1)*5+3)*(1+INDEX($Q485:$AJ485,1,(AN$4-1)*5+2)))</f>
        <v/>
      </c>
      <c r="AO485" s="25">
        <f>AN485*(1/(1+INDEX($Q485:$AJ485,1,(AO$4-1)*5+4)))^(1+INDEX($Q485:$AJ485,1,(AO$4-1)*5+2))*(1+AO$7)^INDEX($Q485:$AJ485,1,(AO$4-1)*5+1)*(AO355/AN355)^INDEX($Q485:$AJ485,1,(AO$4-1)*5+2)*(AO355/AN355)^(INDEX($Q485:$AJ485,1,(AO$4-1)*5+3)*(1+INDEX($Q485:$AJ485,1,(AO$4-1)*5+2)))</f>
        <v/>
      </c>
      <c r="AP485" s="25">
        <f>AO485*(1/(1+INDEX($Q485:$AJ485,1,(AP$4-1)*5+4)))^(1+INDEX($Q485:$AJ485,1,(AP$4-1)*5+2))*(1+AP$7)^INDEX($Q485:$AJ485,1,(AP$4-1)*5+1)*(AP355/AO355)^INDEX($Q485:$AJ485,1,(AP$4-1)*5+2)*(AP355/AO355)^(INDEX($Q485:$AJ485,1,(AP$4-1)*5+3)*(1+INDEX($Q485:$AJ485,1,(AP$4-1)*5+2)))</f>
        <v/>
      </c>
      <c r="AQ485" s="25">
        <f>AP485*(1/(1+INDEX($Q485:$AJ485,1,(AQ$4-1)*5+4)))^(1+INDEX($Q485:$AJ485,1,(AQ$4-1)*5+2))*(1+AQ$7)^INDEX($Q485:$AJ485,1,(AQ$4-1)*5+1)*(AQ355/AP355)^INDEX($Q485:$AJ485,1,(AQ$4-1)*5+2)*(AQ355/AP355)^(INDEX($Q485:$AJ485,1,(AQ$4-1)*5+3)*(1+INDEX($Q485:$AJ485,1,(AQ$4-1)*5+2)))</f>
        <v/>
      </c>
      <c r="AR485" s="25">
        <f>AQ485*(1/(1+INDEX($Q485:$AJ485,1,(AR$4-1)*5+4)))^(1+INDEX($Q485:$AJ485,1,(AR$4-1)*5+2))*(1+AR$7)^INDEX($Q485:$AJ485,1,(AR$4-1)*5+1)*(AR355/AQ355)^INDEX($Q485:$AJ485,1,(AR$4-1)*5+2)*(AR355/AQ355)^(INDEX($Q485:$AJ485,1,(AR$4-1)*5+3)*(1+INDEX($Q485:$AJ485,1,(AR$4-1)*5+2)))</f>
        <v/>
      </c>
      <c r="AS485" s="25">
        <f>AR485*(1/(1+INDEX($Q485:$AJ485,1,(AS$4-1)*5+4)))^(1+INDEX($Q485:$AJ485,1,(AS$4-1)*5+2))*(1+AS$7)^INDEX($Q485:$AJ485,1,(AS$4-1)*5+1)*(AS355/AR355)^INDEX($Q485:$AJ485,1,(AS$4-1)*5+2)*(AS355/AR355)^(INDEX($Q485:$AJ485,1,(AS$4-1)*5+3)*(1+INDEX($Q485:$AJ485,1,(AS$4-1)*5+2)))</f>
        <v/>
      </c>
      <c r="AT485" s="25">
        <f>AS485*(1/(1+INDEX($Q485:$AJ485,1,(AT$4-1)*5+4)))^(1+INDEX($Q485:$AJ485,1,(AT$4-1)*5+2))*(1+AT$7)^INDEX($Q485:$AJ485,1,(AT$4-1)*5+1)*(AT355/AS355)^INDEX($Q485:$AJ485,1,(AT$4-1)*5+2)*(AT355/AS355)^(INDEX($Q485:$AJ485,1,(AT$4-1)*5+3)*(1+INDEX($Q485:$AJ485,1,(AT$4-1)*5+2)))</f>
        <v/>
      </c>
      <c r="AU485" s="25">
        <f>AT485*(1/(1+INDEX($Q485:$AJ485,1,(AU$4-1)*5+4)))^(1+INDEX($Q485:$AJ485,1,(AU$4-1)*5+2))*(1+AU$7)^INDEX($Q485:$AJ485,1,(AU$4-1)*5+1)*(AU355/AT355)^INDEX($Q485:$AJ485,1,(AU$4-1)*5+2)*(AU355/AT355)^(INDEX($Q485:$AJ485,1,(AU$4-1)*5+3)*(1+INDEX($Q485:$AJ485,1,(AU$4-1)*5+2)))</f>
        <v/>
      </c>
      <c r="AV485" s="25">
        <f>AU485*(1/(1+INDEX($Q485:$AJ485,1,(AV$4-1)*5+4)))^(1+INDEX($Q485:$AJ485,1,(AV$4-1)*5+2))*(1+AV$7)^INDEX($Q485:$AJ485,1,(AV$4-1)*5+1)*(AV355/AU355)^INDEX($Q485:$AJ485,1,(AV$4-1)*5+2)*(AV355/AU355)^(INDEX($Q485:$AJ485,1,(AV$4-1)*5+3)*(1+INDEX($Q485:$AJ485,1,(AV$4-1)*5+2)))</f>
        <v/>
      </c>
      <c r="AW485" s="25">
        <f>AV485*(1/(1+INDEX($Q485:$AJ485,1,(AW$4-1)*5+4)))^(1+INDEX($Q485:$AJ485,1,(AW$4-1)*5+2))*(1+AW$7)^INDEX($Q485:$AJ485,1,(AW$4-1)*5+1)*(AW355/AV355)^INDEX($Q485:$AJ485,1,(AW$4-1)*5+2)*(AW355/AV355)^(INDEX($Q485:$AJ485,1,(AW$4-1)*5+3)*(1+INDEX($Q485:$AJ485,1,(AW$4-1)*5+2)))</f>
        <v/>
      </c>
      <c r="AX485" s="25">
        <f>AW485*(1/(1+INDEX($Q485:$AJ485,1,(AX$4-1)*5+4)))^(1+INDEX($Q485:$AJ485,1,(AX$4-1)*5+2))*(1+AX$7)^INDEX($Q485:$AJ485,1,(AX$4-1)*5+1)*(AX355/AW355)^INDEX($Q485:$AJ485,1,(AX$4-1)*5+2)*(AX355/AW355)^(INDEX($Q485:$AJ485,1,(AX$4-1)*5+3)*(1+INDEX($Q485:$AJ485,1,(AX$4-1)*5+2)))</f>
        <v/>
      </c>
      <c r="AY485" s="25">
        <f>AX485*(1/(1+INDEX($Q485:$AJ485,1,(AY$4-1)*5+4)))^(1+INDEX($Q485:$AJ485,1,(AY$4-1)*5+2))*(1+AY$7)^INDEX($Q485:$AJ485,1,(AY$4-1)*5+1)*(AY355/AX355)^INDEX($Q485:$AJ485,1,(AY$4-1)*5+2)*(AY355/AX355)^(INDEX($Q485:$AJ485,1,(AY$4-1)*5+3)*(1+INDEX($Q485:$AJ485,1,(AY$4-1)*5+2)))</f>
        <v/>
      </c>
      <c r="BA485" s="24">
        <f>INDEX(EnergyCons!$F$4:$F$5000,MATCH(Settings!$C$4&amp;"|"&amp;BA$5&amp;"|"&amp;$C485&amp;"|"&amp;$B485,EnergyCons!$A$4:$A$5000,0))</f>
        <v/>
      </c>
      <c r="BB485" s="25">
        <f>BA485*(1/(1+INDEX($Q485:$AJ485,1,(BB$4-1)*5+4)))^(1+INDEX($Q485:$AJ485,1,(BB$4-1)*5+2))*(1+BB$7)^INDEX($Q485:$AJ485,1,(BB$4-1)*5+1)*(BB355/BA355)^INDEX($Q485:$AJ485,1,(BB$4-1)*5+2)*(BB355/BA355)^(INDEX($Q485:$AJ485,1,(BB$4-1)*5+3)*(1+INDEX($Q485:$AJ485,1,(BB$4-1)*5+2)))</f>
        <v/>
      </c>
      <c r="BC485" s="25">
        <f>BB485*(1/(1+INDEX($Q485:$AJ485,1,(BC$4-1)*5+4)))^(1+INDEX($Q485:$AJ485,1,(BC$4-1)*5+2))*(1+BC$7)^INDEX($Q485:$AJ485,1,(BC$4-1)*5+1)*(BC355/BB355)^INDEX($Q485:$AJ485,1,(BC$4-1)*5+2)*(BC355/BB355)^(INDEX($Q485:$AJ485,1,(BC$4-1)*5+3)*(1+INDEX($Q485:$AJ485,1,(BC$4-1)*5+2)))</f>
        <v/>
      </c>
      <c r="BD485" s="25">
        <f>BC485*(1/(1+INDEX($Q485:$AJ485,1,(BD$4-1)*5+4)))^(1+INDEX($Q485:$AJ485,1,(BD$4-1)*5+2))*(1+BD$7)^INDEX($Q485:$AJ485,1,(BD$4-1)*5+1)*(BD355/BC355)^INDEX($Q485:$AJ485,1,(BD$4-1)*5+2)*(BD355/BC355)^(INDEX($Q485:$AJ485,1,(BD$4-1)*5+3)*(1+INDEX($Q485:$AJ485,1,(BD$4-1)*5+2)))</f>
        <v/>
      </c>
      <c r="BE485" s="25">
        <f>BD485*(1/(1+INDEX($Q485:$AJ485,1,(BE$4-1)*5+4)))^(1+INDEX($Q485:$AJ485,1,(BE$4-1)*5+2))*(1+BE$7)^INDEX($Q485:$AJ485,1,(BE$4-1)*5+1)*(BE355/BD355)^INDEX($Q485:$AJ485,1,(BE$4-1)*5+2)*(BE355/BD355)^(INDEX($Q485:$AJ485,1,(BE$4-1)*5+3)*(1+INDEX($Q485:$AJ485,1,(BE$4-1)*5+2)))</f>
        <v/>
      </c>
      <c r="BF485" s="25">
        <f>BE485*(1/(1+INDEX($Q485:$AJ485,1,(BF$4-1)*5+4)))^(1+INDEX($Q485:$AJ485,1,(BF$4-1)*5+2))*(1+BF$7)^INDEX($Q485:$AJ485,1,(BF$4-1)*5+1)*(BF355/BE355)^INDEX($Q485:$AJ485,1,(BF$4-1)*5+2)*(BF355/BE355)^(INDEX($Q485:$AJ485,1,(BF$4-1)*5+3)*(1+INDEX($Q485:$AJ485,1,(BF$4-1)*5+2)))</f>
        <v/>
      </c>
      <c r="BG485" s="25">
        <f>BF485*(1/(1+INDEX($Q485:$AJ485,1,(BG$4-1)*5+4)))^(1+INDEX($Q485:$AJ485,1,(BG$4-1)*5+2))*(1+BG$7)^INDEX($Q485:$AJ485,1,(BG$4-1)*5+1)*(BG355/BF355)^INDEX($Q485:$AJ485,1,(BG$4-1)*5+2)*(BG355/BF355)^(INDEX($Q485:$AJ485,1,(BG$4-1)*5+3)*(1+INDEX($Q485:$AJ485,1,(BG$4-1)*5+2)))</f>
        <v/>
      </c>
      <c r="BH485" s="25">
        <f>BG485*(1/(1+INDEX($Q485:$AJ485,1,(BH$4-1)*5+4)))^(1+INDEX($Q485:$AJ485,1,(BH$4-1)*5+2))*(1+BH$7)^INDEX($Q485:$AJ485,1,(BH$4-1)*5+1)*(BH355/BG355)^INDEX($Q485:$AJ485,1,(BH$4-1)*5+2)*(BH355/BG355)^(INDEX($Q485:$AJ485,1,(BH$4-1)*5+3)*(1+INDEX($Q485:$AJ485,1,(BH$4-1)*5+2)))</f>
        <v/>
      </c>
      <c r="BI485" s="25">
        <f>BH485*(1/(1+INDEX($Q485:$AJ485,1,(BI$4-1)*5+4)))^(1+INDEX($Q485:$AJ485,1,(BI$4-1)*5+2))*(1+BI$7)^INDEX($Q485:$AJ485,1,(BI$4-1)*5+1)*(BI355/BH355)^INDEX($Q485:$AJ485,1,(BI$4-1)*5+2)*(BI355/BH355)^(INDEX($Q485:$AJ485,1,(BI$4-1)*5+3)*(1+INDEX($Q485:$AJ485,1,(BI$4-1)*5+2)))</f>
        <v/>
      </c>
      <c r="BJ485" s="25">
        <f>BI485*(1/(1+INDEX($Q485:$AJ485,1,(BJ$4-1)*5+4)))^(1+INDEX($Q485:$AJ485,1,(BJ$4-1)*5+2))*(1+BJ$7)^INDEX($Q485:$AJ485,1,(BJ$4-1)*5+1)*(BJ355/BI355)^INDEX($Q485:$AJ485,1,(BJ$4-1)*5+2)*(BJ355/BI355)^(INDEX($Q485:$AJ485,1,(BJ$4-1)*5+3)*(1+INDEX($Q485:$AJ485,1,(BJ$4-1)*5+2)))</f>
        <v/>
      </c>
      <c r="BK485" s="25">
        <f>BJ485*(1/(1+INDEX($Q485:$AJ485,1,(BK$4-1)*5+4)))^(1+INDEX($Q485:$AJ485,1,(BK$4-1)*5+2))*(1+BK$7)^INDEX($Q485:$AJ485,1,(BK$4-1)*5+1)*(BK355/BJ355)^INDEX($Q485:$AJ485,1,(BK$4-1)*5+2)*(BK355/BJ355)^(INDEX($Q485:$AJ485,1,(BK$4-1)*5+3)*(1+INDEX($Q485:$AJ485,1,(BK$4-1)*5+2)))</f>
        <v/>
      </c>
      <c r="BL485" s="25">
        <f>BK485*(1/(1+INDEX($Q485:$AJ485,1,(BL$4-1)*5+4)))^(1+INDEX($Q485:$AJ485,1,(BL$4-1)*5+2))*(1+BL$7)^INDEX($Q485:$AJ485,1,(BL$4-1)*5+1)*(BL355/BK355)^INDEX($Q485:$AJ485,1,(BL$4-1)*5+2)*(BL355/BK355)^(INDEX($Q485:$AJ485,1,(BL$4-1)*5+3)*(1+INDEX($Q485:$AJ485,1,(BL$4-1)*5+2)))</f>
        <v/>
      </c>
      <c r="BM485" s="25">
        <f>BL485*(1/(1+INDEX($Q485:$AJ485,1,(BM$4-1)*5+4)))^(1+INDEX($Q485:$AJ485,1,(BM$4-1)*5+2))*(1+BM$7)^INDEX($Q485:$AJ485,1,(BM$4-1)*5+1)*(BM355/BL355)^INDEX($Q485:$AJ485,1,(BM$4-1)*5+2)*(BM355/BL355)^(INDEX($Q485:$AJ485,1,(BM$4-1)*5+3)*(1+INDEX($Q485:$AJ485,1,(BM$4-1)*5+2)))</f>
        <v/>
      </c>
      <c r="BN485" s="25">
        <f>BM485*(1/(1+INDEX($Q485:$AJ485,1,(BN$4-1)*5+4)))^(1+INDEX($Q485:$AJ485,1,(BN$4-1)*5+2))*(1+BN$7)^INDEX($Q485:$AJ485,1,(BN$4-1)*5+1)*(BN355/BM355)^INDEX($Q485:$AJ485,1,(BN$4-1)*5+2)*(BN355/BM355)^(INDEX($Q485:$AJ485,1,(BN$4-1)*5+3)*(1+INDEX($Q485:$AJ485,1,(BN$4-1)*5+2)))</f>
        <v/>
      </c>
    </row>
    <row r="486">
      <c r="B486" s="5" t="inlineStr">
        <is>
          <t>ker</t>
        </is>
      </c>
      <c r="C486" s="5" t="inlineStr">
        <is>
          <t>mac</t>
        </is>
      </c>
      <c r="D486" s="5" t="inlineStr">
        <is>
          <t>Fuel use | Machinery | Kerosene</t>
        </is>
      </c>
      <c r="E486" s="5" t="inlineStr">
        <is>
          <t>ktoe</t>
        </is>
      </c>
      <c r="F486" s="5" t="inlineStr">
        <is>
          <t>EnergyCons (base year), Elasticities</t>
        </is>
      </c>
      <c r="G486" s="19" t="inlineStr">
        <is>
          <t>mit.enc.ker.mac</t>
        </is>
      </c>
      <c r="H486" s="19" t="inlineStr">
        <is>
          <t>mit.enc.ker.mac</t>
        </is>
      </c>
      <c r="J486" s="5">
        <f>INDEX(Mapping!$C$5:$C$20,MATCH($C486,Mapping!$A$5:$A$20,0))</f>
        <v/>
      </c>
      <c r="K486" s="5">
        <f>INDEX(Mapping!$D$5:$D$20,MATCH($C486,Mapping!$A$5:$A$20,0))</f>
        <v/>
      </c>
      <c r="L486" s="5">
        <f>INDEX(Mapping!$C$24:$C$31,MATCH($B486,Mapping!$A$24:$A$31,0))</f>
        <v/>
      </c>
      <c r="M486" s="5">
        <f>INDEX(Mapping!$D$24:$D$31,MATCH($B486,Mapping!$A$24:$A$31,0))</f>
        <v/>
      </c>
      <c r="N486" s="5">
        <f>$B486&amp;"."&amp;IF(INDEX(Mapping!$E$24:$E$31,MATCH($B486,Mapping!$A$24:$A$31,0))="sub",INDEX(Mapping!$F$5:$F$20,MATCH($C486,Mapping!$A$5:$A$20,0)),"all")</f>
        <v/>
      </c>
      <c r="O486" s="5">
        <f>INDEX(Mapping!$E$5:$E$20,MATCH($C486,Mapping!$A$5:$A$20,0))</f>
        <v/>
      </c>
      <c r="P486" s="5">
        <f>INDEX(Mapping!$G$24:$G$31,MATCH($B486,Mapping!$A$24:$A$31,0))</f>
        <v/>
      </c>
      <c r="Q486" s="22">
        <f>INDEX(Elasticities!$F$4:$I$200,MATCH("inc|"&amp;$L486&amp;"|"&amp;$K486,Elasticities!$A$4:$A$200,0),MATCH(Settings!$C$6,Elasticities!$F$3:$I$3,0))</f>
        <v/>
      </c>
      <c r="R486" s="22">
        <f>INDEX(Elasticities!$F$4:$I$200,MATCH("usg|"&amp;$L486&amp;"|"&amp;$K486,Elasticities!$A$4:$A$200,0),MATCH(Settings!$C$6,Elasticities!$F$3:$I$3,0))</f>
        <v/>
      </c>
      <c r="S486" s="22">
        <f>INDEX(Elasticities!$F$4:$I$200,MATCH("eff|"&amp;$L486&amp;"|"&amp;$K486,Elasticities!$A$4:$A$200,0),MATCH(Settings!$C$6,Elasticities!$F$3:$I$3,0))</f>
        <v/>
      </c>
      <c r="T486" s="22">
        <f>INDEX(Elasticities!$F$4:$I$200,MATCH("aei|"&amp;$M486&amp;"|"&amp;$K486,Elasticities!$A$4:$A$200,0),MATCH(Settings!$C$6,Elasticities!$F$3:$I$3,0))</f>
        <v/>
      </c>
      <c r="U486" s="21" t="n"/>
      <c r="V486" s="22">
        <f>Q486</f>
        <v/>
      </c>
      <c r="W486" s="22">
        <f>R486</f>
        <v/>
      </c>
      <c r="X486" s="22">
        <f>S486</f>
        <v/>
      </c>
      <c r="Y486" s="22">
        <f>T486</f>
        <v/>
      </c>
      <c r="Z486" s="21" t="n"/>
      <c r="AA486" s="22">
        <f>Q486</f>
        <v/>
      </c>
      <c r="AB486" s="22">
        <f>R486</f>
        <v/>
      </c>
      <c r="AC486" s="22">
        <f>S486</f>
        <v/>
      </c>
      <c r="AD486" s="22">
        <f>T486</f>
        <v/>
      </c>
      <c r="AE486" s="21" t="n"/>
      <c r="AF486" s="22">
        <f>Q486</f>
        <v/>
      </c>
      <c r="AG486" s="22">
        <f>R486</f>
        <v/>
      </c>
      <c r="AH486" s="22">
        <f>S486</f>
        <v/>
      </c>
      <c r="AI486" s="22">
        <f>T486</f>
        <v/>
      </c>
      <c r="AJ486" s="21" t="n"/>
      <c r="AL486" s="24">
        <f>INDEX(EnergyCons!$F$4:$F$5000,MATCH(Settings!$C$4&amp;"|"&amp;AL$5&amp;"|"&amp;$C486&amp;"|"&amp;$B486,EnergyCons!$A$4:$A$5000,0))</f>
        <v/>
      </c>
      <c r="AM486" s="25">
        <f>AL486*(1/(1+INDEX($Q486:$AJ486,1,(AM$4-1)*5+4)))^(1+INDEX($Q486:$AJ486,1,(AM$4-1)*5+2))*(1+AM$7)^INDEX($Q486:$AJ486,1,(AM$4-1)*5+1)*(AM356/AL356)^INDEX($Q486:$AJ486,1,(AM$4-1)*5+2)*(AM356/AL356)^(INDEX($Q486:$AJ486,1,(AM$4-1)*5+3)*(1+INDEX($Q486:$AJ486,1,(AM$4-1)*5+2)))</f>
        <v/>
      </c>
      <c r="AN486" s="25">
        <f>AM486*(1/(1+INDEX($Q486:$AJ486,1,(AN$4-1)*5+4)))^(1+INDEX($Q486:$AJ486,1,(AN$4-1)*5+2))*(1+AN$7)^INDEX($Q486:$AJ486,1,(AN$4-1)*5+1)*(AN356/AM356)^INDEX($Q486:$AJ486,1,(AN$4-1)*5+2)*(AN356/AM356)^(INDEX($Q486:$AJ486,1,(AN$4-1)*5+3)*(1+INDEX($Q486:$AJ486,1,(AN$4-1)*5+2)))</f>
        <v/>
      </c>
      <c r="AO486" s="25">
        <f>AN486*(1/(1+INDEX($Q486:$AJ486,1,(AO$4-1)*5+4)))^(1+INDEX($Q486:$AJ486,1,(AO$4-1)*5+2))*(1+AO$7)^INDEX($Q486:$AJ486,1,(AO$4-1)*5+1)*(AO356/AN356)^INDEX($Q486:$AJ486,1,(AO$4-1)*5+2)*(AO356/AN356)^(INDEX($Q486:$AJ486,1,(AO$4-1)*5+3)*(1+INDEX($Q486:$AJ486,1,(AO$4-1)*5+2)))</f>
        <v/>
      </c>
      <c r="AP486" s="25">
        <f>AO486*(1/(1+INDEX($Q486:$AJ486,1,(AP$4-1)*5+4)))^(1+INDEX($Q486:$AJ486,1,(AP$4-1)*5+2))*(1+AP$7)^INDEX($Q486:$AJ486,1,(AP$4-1)*5+1)*(AP356/AO356)^INDEX($Q486:$AJ486,1,(AP$4-1)*5+2)*(AP356/AO356)^(INDEX($Q486:$AJ486,1,(AP$4-1)*5+3)*(1+INDEX($Q486:$AJ486,1,(AP$4-1)*5+2)))</f>
        <v/>
      </c>
      <c r="AQ486" s="25">
        <f>AP486*(1/(1+INDEX($Q486:$AJ486,1,(AQ$4-1)*5+4)))^(1+INDEX($Q486:$AJ486,1,(AQ$4-1)*5+2))*(1+AQ$7)^INDEX($Q486:$AJ486,1,(AQ$4-1)*5+1)*(AQ356/AP356)^INDEX($Q486:$AJ486,1,(AQ$4-1)*5+2)*(AQ356/AP356)^(INDEX($Q486:$AJ486,1,(AQ$4-1)*5+3)*(1+INDEX($Q486:$AJ486,1,(AQ$4-1)*5+2)))</f>
        <v/>
      </c>
      <c r="AR486" s="25">
        <f>AQ486*(1/(1+INDEX($Q486:$AJ486,1,(AR$4-1)*5+4)))^(1+INDEX($Q486:$AJ486,1,(AR$4-1)*5+2))*(1+AR$7)^INDEX($Q486:$AJ486,1,(AR$4-1)*5+1)*(AR356/AQ356)^INDEX($Q486:$AJ486,1,(AR$4-1)*5+2)*(AR356/AQ356)^(INDEX($Q486:$AJ486,1,(AR$4-1)*5+3)*(1+INDEX($Q486:$AJ486,1,(AR$4-1)*5+2)))</f>
        <v/>
      </c>
      <c r="AS486" s="25">
        <f>AR486*(1/(1+INDEX($Q486:$AJ486,1,(AS$4-1)*5+4)))^(1+INDEX($Q486:$AJ486,1,(AS$4-1)*5+2))*(1+AS$7)^INDEX($Q486:$AJ486,1,(AS$4-1)*5+1)*(AS356/AR356)^INDEX($Q486:$AJ486,1,(AS$4-1)*5+2)*(AS356/AR356)^(INDEX($Q486:$AJ486,1,(AS$4-1)*5+3)*(1+INDEX($Q486:$AJ486,1,(AS$4-1)*5+2)))</f>
        <v/>
      </c>
      <c r="AT486" s="25">
        <f>AS486*(1/(1+INDEX($Q486:$AJ486,1,(AT$4-1)*5+4)))^(1+INDEX($Q486:$AJ486,1,(AT$4-1)*5+2))*(1+AT$7)^INDEX($Q486:$AJ486,1,(AT$4-1)*5+1)*(AT356/AS356)^INDEX($Q486:$AJ486,1,(AT$4-1)*5+2)*(AT356/AS356)^(INDEX($Q486:$AJ486,1,(AT$4-1)*5+3)*(1+INDEX($Q486:$AJ486,1,(AT$4-1)*5+2)))</f>
        <v/>
      </c>
      <c r="AU486" s="25">
        <f>AT486*(1/(1+INDEX($Q486:$AJ486,1,(AU$4-1)*5+4)))^(1+INDEX($Q486:$AJ486,1,(AU$4-1)*5+2))*(1+AU$7)^INDEX($Q486:$AJ486,1,(AU$4-1)*5+1)*(AU356/AT356)^INDEX($Q486:$AJ486,1,(AU$4-1)*5+2)*(AU356/AT356)^(INDEX($Q486:$AJ486,1,(AU$4-1)*5+3)*(1+INDEX($Q486:$AJ486,1,(AU$4-1)*5+2)))</f>
        <v/>
      </c>
      <c r="AV486" s="25">
        <f>AU486*(1/(1+INDEX($Q486:$AJ486,1,(AV$4-1)*5+4)))^(1+INDEX($Q486:$AJ486,1,(AV$4-1)*5+2))*(1+AV$7)^INDEX($Q486:$AJ486,1,(AV$4-1)*5+1)*(AV356/AU356)^INDEX($Q486:$AJ486,1,(AV$4-1)*5+2)*(AV356/AU356)^(INDEX($Q486:$AJ486,1,(AV$4-1)*5+3)*(1+INDEX($Q486:$AJ486,1,(AV$4-1)*5+2)))</f>
        <v/>
      </c>
      <c r="AW486" s="25">
        <f>AV486*(1/(1+INDEX($Q486:$AJ486,1,(AW$4-1)*5+4)))^(1+INDEX($Q486:$AJ486,1,(AW$4-1)*5+2))*(1+AW$7)^INDEX($Q486:$AJ486,1,(AW$4-1)*5+1)*(AW356/AV356)^INDEX($Q486:$AJ486,1,(AW$4-1)*5+2)*(AW356/AV356)^(INDEX($Q486:$AJ486,1,(AW$4-1)*5+3)*(1+INDEX($Q486:$AJ486,1,(AW$4-1)*5+2)))</f>
        <v/>
      </c>
      <c r="AX486" s="25">
        <f>AW486*(1/(1+INDEX($Q486:$AJ486,1,(AX$4-1)*5+4)))^(1+INDEX($Q486:$AJ486,1,(AX$4-1)*5+2))*(1+AX$7)^INDEX($Q486:$AJ486,1,(AX$4-1)*5+1)*(AX356/AW356)^INDEX($Q486:$AJ486,1,(AX$4-1)*5+2)*(AX356/AW356)^(INDEX($Q486:$AJ486,1,(AX$4-1)*5+3)*(1+INDEX($Q486:$AJ486,1,(AX$4-1)*5+2)))</f>
        <v/>
      </c>
      <c r="AY486" s="25">
        <f>AX486*(1/(1+INDEX($Q486:$AJ486,1,(AY$4-1)*5+4)))^(1+INDEX($Q486:$AJ486,1,(AY$4-1)*5+2))*(1+AY$7)^INDEX($Q486:$AJ486,1,(AY$4-1)*5+1)*(AY356/AX356)^INDEX($Q486:$AJ486,1,(AY$4-1)*5+2)*(AY356/AX356)^(INDEX($Q486:$AJ486,1,(AY$4-1)*5+3)*(1+INDEX($Q486:$AJ486,1,(AY$4-1)*5+2)))</f>
        <v/>
      </c>
      <c r="BA486" s="24">
        <f>INDEX(EnergyCons!$F$4:$F$5000,MATCH(Settings!$C$4&amp;"|"&amp;BA$5&amp;"|"&amp;$C486&amp;"|"&amp;$B486,EnergyCons!$A$4:$A$5000,0))</f>
        <v/>
      </c>
      <c r="BB486" s="25">
        <f>BA486*(1/(1+INDEX($Q486:$AJ486,1,(BB$4-1)*5+4)))^(1+INDEX($Q486:$AJ486,1,(BB$4-1)*5+2))*(1+BB$7)^INDEX($Q486:$AJ486,1,(BB$4-1)*5+1)*(BB356/BA356)^INDEX($Q486:$AJ486,1,(BB$4-1)*5+2)*(BB356/BA356)^(INDEX($Q486:$AJ486,1,(BB$4-1)*5+3)*(1+INDEX($Q486:$AJ486,1,(BB$4-1)*5+2)))</f>
        <v/>
      </c>
      <c r="BC486" s="25">
        <f>BB486*(1/(1+INDEX($Q486:$AJ486,1,(BC$4-1)*5+4)))^(1+INDEX($Q486:$AJ486,1,(BC$4-1)*5+2))*(1+BC$7)^INDEX($Q486:$AJ486,1,(BC$4-1)*5+1)*(BC356/BB356)^INDEX($Q486:$AJ486,1,(BC$4-1)*5+2)*(BC356/BB356)^(INDEX($Q486:$AJ486,1,(BC$4-1)*5+3)*(1+INDEX($Q486:$AJ486,1,(BC$4-1)*5+2)))</f>
        <v/>
      </c>
      <c r="BD486" s="25">
        <f>BC486*(1/(1+INDEX($Q486:$AJ486,1,(BD$4-1)*5+4)))^(1+INDEX($Q486:$AJ486,1,(BD$4-1)*5+2))*(1+BD$7)^INDEX($Q486:$AJ486,1,(BD$4-1)*5+1)*(BD356/BC356)^INDEX($Q486:$AJ486,1,(BD$4-1)*5+2)*(BD356/BC356)^(INDEX($Q486:$AJ486,1,(BD$4-1)*5+3)*(1+INDEX($Q486:$AJ486,1,(BD$4-1)*5+2)))</f>
        <v/>
      </c>
      <c r="BE486" s="25">
        <f>BD486*(1/(1+INDEX($Q486:$AJ486,1,(BE$4-1)*5+4)))^(1+INDEX($Q486:$AJ486,1,(BE$4-1)*5+2))*(1+BE$7)^INDEX($Q486:$AJ486,1,(BE$4-1)*5+1)*(BE356/BD356)^INDEX($Q486:$AJ486,1,(BE$4-1)*5+2)*(BE356/BD356)^(INDEX($Q486:$AJ486,1,(BE$4-1)*5+3)*(1+INDEX($Q486:$AJ486,1,(BE$4-1)*5+2)))</f>
        <v/>
      </c>
      <c r="BF486" s="25">
        <f>BE486*(1/(1+INDEX($Q486:$AJ486,1,(BF$4-1)*5+4)))^(1+INDEX($Q486:$AJ486,1,(BF$4-1)*5+2))*(1+BF$7)^INDEX($Q486:$AJ486,1,(BF$4-1)*5+1)*(BF356/BE356)^INDEX($Q486:$AJ486,1,(BF$4-1)*5+2)*(BF356/BE356)^(INDEX($Q486:$AJ486,1,(BF$4-1)*5+3)*(1+INDEX($Q486:$AJ486,1,(BF$4-1)*5+2)))</f>
        <v/>
      </c>
      <c r="BG486" s="25">
        <f>BF486*(1/(1+INDEX($Q486:$AJ486,1,(BG$4-1)*5+4)))^(1+INDEX($Q486:$AJ486,1,(BG$4-1)*5+2))*(1+BG$7)^INDEX($Q486:$AJ486,1,(BG$4-1)*5+1)*(BG356/BF356)^INDEX($Q486:$AJ486,1,(BG$4-1)*5+2)*(BG356/BF356)^(INDEX($Q486:$AJ486,1,(BG$4-1)*5+3)*(1+INDEX($Q486:$AJ486,1,(BG$4-1)*5+2)))</f>
        <v/>
      </c>
      <c r="BH486" s="25">
        <f>BG486*(1/(1+INDEX($Q486:$AJ486,1,(BH$4-1)*5+4)))^(1+INDEX($Q486:$AJ486,1,(BH$4-1)*5+2))*(1+BH$7)^INDEX($Q486:$AJ486,1,(BH$4-1)*5+1)*(BH356/BG356)^INDEX($Q486:$AJ486,1,(BH$4-1)*5+2)*(BH356/BG356)^(INDEX($Q486:$AJ486,1,(BH$4-1)*5+3)*(1+INDEX($Q486:$AJ486,1,(BH$4-1)*5+2)))</f>
        <v/>
      </c>
      <c r="BI486" s="25">
        <f>BH486*(1/(1+INDEX($Q486:$AJ486,1,(BI$4-1)*5+4)))^(1+INDEX($Q486:$AJ486,1,(BI$4-1)*5+2))*(1+BI$7)^INDEX($Q486:$AJ486,1,(BI$4-1)*5+1)*(BI356/BH356)^INDEX($Q486:$AJ486,1,(BI$4-1)*5+2)*(BI356/BH356)^(INDEX($Q486:$AJ486,1,(BI$4-1)*5+3)*(1+INDEX($Q486:$AJ486,1,(BI$4-1)*5+2)))</f>
        <v/>
      </c>
      <c r="BJ486" s="25">
        <f>BI486*(1/(1+INDEX($Q486:$AJ486,1,(BJ$4-1)*5+4)))^(1+INDEX($Q486:$AJ486,1,(BJ$4-1)*5+2))*(1+BJ$7)^INDEX($Q486:$AJ486,1,(BJ$4-1)*5+1)*(BJ356/BI356)^INDEX($Q486:$AJ486,1,(BJ$4-1)*5+2)*(BJ356/BI356)^(INDEX($Q486:$AJ486,1,(BJ$4-1)*5+3)*(1+INDEX($Q486:$AJ486,1,(BJ$4-1)*5+2)))</f>
        <v/>
      </c>
      <c r="BK486" s="25">
        <f>BJ486*(1/(1+INDEX($Q486:$AJ486,1,(BK$4-1)*5+4)))^(1+INDEX($Q486:$AJ486,1,(BK$4-1)*5+2))*(1+BK$7)^INDEX($Q486:$AJ486,1,(BK$4-1)*5+1)*(BK356/BJ356)^INDEX($Q486:$AJ486,1,(BK$4-1)*5+2)*(BK356/BJ356)^(INDEX($Q486:$AJ486,1,(BK$4-1)*5+3)*(1+INDEX($Q486:$AJ486,1,(BK$4-1)*5+2)))</f>
        <v/>
      </c>
      <c r="BL486" s="25">
        <f>BK486*(1/(1+INDEX($Q486:$AJ486,1,(BL$4-1)*5+4)))^(1+INDEX($Q486:$AJ486,1,(BL$4-1)*5+2))*(1+BL$7)^INDEX($Q486:$AJ486,1,(BL$4-1)*5+1)*(BL356/BK356)^INDEX($Q486:$AJ486,1,(BL$4-1)*5+2)*(BL356/BK356)^(INDEX($Q486:$AJ486,1,(BL$4-1)*5+3)*(1+INDEX($Q486:$AJ486,1,(BL$4-1)*5+2)))</f>
        <v/>
      </c>
      <c r="BM486" s="25">
        <f>BL486*(1/(1+INDEX($Q486:$AJ486,1,(BM$4-1)*5+4)))^(1+INDEX($Q486:$AJ486,1,(BM$4-1)*5+2))*(1+BM$7)^INDEX($Q486:$AJ486,1,(BM$4-1)*5+1)*(BM356/BL356)^INDEX($Q486:$AJ486,1,(BM$4-1)*5+2)*(BM356/BL356)^(INDEX($Q486:$AJ486,1,(BM$4-1)*5+3)*(1+INDEX($Q486:$AJ486,1,(BM$4-1)*5+2)))</f>
        <v/>
      </c>
      <c r="BN486" s="25">
        <f>BM486*(1/(1+INDEX($Q486:$AJ486,1,(BN$4-1)*5+4)))^(1+INDEX($Q486:$AJ486,1,(BN$4-1)*5+2))*(1+BN$7)^INDEX($Q486:$AJ486,1,(BN$4-1)*5+1)*(BN356/BM356)^INDEX($Q486:$AJ486,1,(BN$4-1)*5+2)*(BN356/BM356)^(INDEX($Q486:$AJ486,1,(BN$4-1)*5+3)*(1+INDEX($Q486:$AJ486,1,(BN$4-1)*5+2)))</f>
        <v/>
      </c>
    </row>
    <row r="487">
      <c r="B487" s="5" t="inlineStr">
        <is>
          <t>oop</t>
        </is>
      </c>
      <c r="C487" s="5" t="inlineStr">
        <is>
          <t>mac</t>
        </is>
      </c>
      <c r="D487" s="5" t="inlineStr">
        <is>
          <t>Fuel use | Machinery | Other oil products</t>
        </is>
      </c>
      <c r="E487" s="5" t="inlineStr">
        <is>
          <t>ktoe</t>
        </is>
      </c>
      <c r="F487" s="5" t="inlineStr">
        <is>
          <t>EnergyCons (base year), Elasticities</t>
        </is>
      </c>
      <c r="G487" s="19" t="inlineStr">
        <is>
          <t>mit.enc.oop.mac</t>
        </is>
      </c>
      <c r="H487" s="19" t="inlineStr">
        <is>
          <t>mit.enc.oop.mac</t>
        </is>
      </c>
      <c r="J487" s="5">
        <f>INDEX(Mapping!$C$5:$C$20,MATCH($C487,Mapping!$A$5:$A$20,0))</f>
        <v/>
      </c>
      <c r="K487" s="5">
        <f>INDEX(Mapping!$D$5:$D$20,MATCH($C487,Mapping!$A$5:$A$20,0))</f>
        <v/>
      </c>
      <c r="L487" s="5">
        <f>INDEX(Mapping!$C$24:$C$31,MATCH($B487,Mapping!$A$24:$A$31,0))</f>
        <v/>
      </c>
      <c r="M487" s="5">
        <f>INDEX(Mapping!$D$24:$D$31,MATCH($B487,Mapping!$A$24:$A$31,0))</f>
        <v/>
      </c>
      <c r="N487" s="5">
        <f>$B487&amp;"."&amp;IF(INDEX(Mapping!$E$24:$E$31,MATCH($B487,Mapping!$A$24:$A$31,0))="sub",INDEX(Mapping!$F$5:$F$20,MATCH($C487,Mapping!$A$5:$A$20,0)),"all")</f>
        <v/>
      </c>
      <c r="O487" s="5">
        <f>INDEX(Mapping!$E$5:$E$20,MATCH($C487,Mapping!$A$5:$A$20,0))</f>
        <v/>
      </c>
      <c r="P487" s="5">
        <f>INDEX(Mapping!$G$24:$G$31,MATCH($B487,Mapping!$A$24:$A$31,0))</f>
        <v/>
      </c>
      <c r="Q487" s="22">
        <f>INDEX(Elasticities!$F$4:$I$200,MATCH("inc|"&amp;$L487&amp;"|"&amp;$K487,Elasticities!$A$4:$A$200,0),MATCH(Settings!$C$6,Elasticities!$F$3:$I$3,0))</f>
        <v/>
      </c>
      <c r="R487" s="22">
        <f>INDEX(Elasticities!$F$4:$I$200,MATCH("usg|"&amp;$L487&amp;"|"&amp;$K487,Elasticities!$A$4:$A$200,0),MATCH(Settings!$C$6,Elasticities!$F$3:$I$3,0))</f>
        <v/>
      </c>
      <c r="S487" s="22">
        <f>INDEX(Elasticities!$F$4:$I$200,MATCH("eff|"&amp;$L487&amp;"|"&amp;$K487,Elasticities!$A$4:$A$200,0),MATCH(Settings!$C$6,Elasticities!$F$3:$I$3,0))</f>
        <v/>
      </c>
      <c r="T487" s="22">
        <f>INDEX(Elasticities!$F$4:$I$200,MATCH("aei|"&amp;$M487&amp;"|"&amp;$K487,Elasticities!$A$4:$A$200,0),MATCH(Settings!$C$6,Elasticities!$F$3:$I$3,0))</f>
        <v/>
      </c>
      <c r="U487" s="21" t="n"/>
      <c r="V487" s="22">
        <f>Q487</f>
        <v/>
      </c>
      <c r="W487" s="22">
        <f>R487</f>
        <v/>
      </c>
      <c r="X487" s="22">
        <f>S487</f>
        <v/>
      </c>
      <c r="Y487" s="22">
        <f>T487</f>
        <v/>
      </c>
      <c r="Z487" s="21" t="n"/>
      <c r="AA487" s="22">
        <f>Q487</f>
        <v/>
      </c>
      <c r="AB487" s="22">
        <f>R487</f>
        <v/>
      </c>
      <c r="AC487" s="22">
        <f>S487</f>
        <v/>
      </c>
      <c r="AD487" s="22">
        <f>T487</f>
        <v/>
      </c>
      <c r="AE487" s="21" t="n"/>
      <c r="AF487" s="22">
        <f>Q487</f>
        <v/>
      </c>
      <c r="AG487" s="22">
        <f>R487</f>
        <v/>
      </c>
      <c r="AH487" s="22">
        <f>S487</f>
        <v/>
      </c>
      <c r="AI487" s="22">
        <f>T487</f>
        <v/>
      </c>
      <c r="AJ487" s="21" t="n"/>
      <c r="AL487" s="24">
        <f>INDEX(EnergyCons!$F$4:$F$5000,MATCH(Settings!$C$4&amp;"|"&amp;AL$5&amp;"|"&amp;$C487&amp;"|"&amp;$B487,EnergyCons!$A$4:$A$5000,0))</f>
        <v/>
      </c>
      <c r="AM487" s="25">
        <f>AL487*(1/(1+INDEX($Q487:$AJ487,1,(AM$4-1)*5+4)))^(1+INDEX($Q487:$AJ487,1,(AM$4-1)*5+2))*(1+AM$7)^INDEX($Q487:$AJ487,1,(AM$4-1)*5+1)*(AM357/AL357)^INDEX($Q487:$AJ487,1,(AM$4-1)*5+2)*(AM357/AL357)^(INDEX($Q487:$AJ487,1,(AM$4-1)*5+3)*(1+INDEX($Q487:$AJ487,1,(AM$4-1)*5+2)))</f>
        <v/>
      </c>
      <c r="AN487" s="25">
        <f>AM487*(1/(1+INDEX($Q487:$AJ487,1,(AN$4-1)*5+4)))^(1+INDEX($Q487:$AJ487,1,(AN$4-1)*5+2))*(1+AN$7)^INDEX($Q487:$AJ487,1,(AN$4-1)*5+1)*(AN357/AM357)^INDEX($Q487:$AJ487,1,(AN$4-1)*5+2)*(AN357/AM357)^(INDEX($Q487:$AJ487,1,(AN$4-1)*5+3)*(1+INDEX($Q487:$AJ487,1,(AN$4-1)*5+2)))</f>
        <v/>
      </c>
      <c r="AO487" s="25">
        <f>AN487*(1/(1+INDEX($Q487:$AJ487,1,(AO$4-1)*5+4)))^(1+INDEX($Q487:$AJ487,1,(AO$4-1)*5+2))*(1+AO$7)^INDEX($Q487:$AJ487,1,(AO$4-1)*5+1)*(AO357/AN357)^INDEX($Q487:$AJ487,1,(AO$4-1)*5+2)*(AO357/AN357)^(INDEX($Q487:$AJ487,1,(AO$4-1)*5+3)*(1+INDEX($Q487:$AJ487,1,(AO$4-1)*5+2)))</f>
        <v/>
      </c>
      <c r="AP487" s="25">
        <f>AO487*(1/(1+INDEX($Q487:$AJ487,1,(AP$4-1)*5+4)))^(1+INDEX($Q487:$AJ487,1,(AP$4-1)*5+2))*(1+AP$7)^INDEX($Q487:$AJ487,1,(AP$4-1)*5+1)*(AP357/AO357)^INDEX($Q487:$AJ487,1,(AP$4-1)*5+2)*(AP357/AO357)^(INDEX($Q487:$AJ487,1,(AP$4-1)*5+3)*(1+INDEX($Q487:$AJ487,1,(AP$4-1)*5+2)))</f>
        <v/>
      </c>
      <c r="AQ487" s="25">
        <f>AP487*(1/(1+INDEX($Q487:$AJ487,1,(AQ$4-1)*5+4)))^(1+INDEX($Q487:$AJ487,1,(AQ$4-1)*5+2))*(1+AQ$7)^INDEX($Q487:$AJ487,1,(AQ$4-1)*5+1)*(AQ357/AP357)^INDEX($Q487:$AJ487,1,(AQ$4-1)*5+2)*(AQ357/AP357)^(INDEX($Q487:$AJ487,1,(AQ$4-1)*5+3)*(1+INDEX($Q487:$AJ487,1,(AQ$4-1)*5+2)))</f>
        <v/>
      </c>
      <c r="AR487" s="25">
        <f>AQ487*(1/(1+INDEX($Q487:$AJ487,1,(AR$4-1)*5+4)))^(1+INDEX($Q487:$AJ487,1,(AR$4-1)*5+2))*(1+AR$7)^INDEX($Q487:$AJ487,1,(AR$4-1)*5+1)*(AR357/AQ357)^INDEX($Q487:$AJ487,1,(AR$4-1)*5+2)*(AR357/AQ357)^(INDEX($Q487:$AJ487,1,(AR$4-1)*5+3)*(1+INDEX($Q487:$AJ487,1,(AR$4-1)*5+2)))</f>
        <v/>
      </c>
      <c r="AS487" s="25">
        <f>AR487*(1/(1+INDEX($Q487:$AJ487,1,(AS$4-1)*5+4)))^(1+INDEX($Q487:$AJ487,1,(AS$4-1)*5+2))*(1+AS$7)^INDEX($Q487:$AJ487,1,(AS$4-1)*5+1)*(AS357/AR357)^INDEX($Q487:$AJ487,1,(AS$4-1)*5+2)*(AS357/AR357)^(INDEX($Q487:$AJ487,1,(AS$4-1)*5+3)*(1+INDEX($Q487:$AJ487,1,(AS$4-1)*5+2)))</f>
        <v/>
      </c>
      <c r="AT487" s="25">
        <f>AS487*(1/(1+INDEX($Q487:$AJ487,1,(AT$4-1)*5+4)))^(1+INDEX($Q487:$AJ487,1,(AT$4-1)*5+2))*(1+AT$7)^INDEX($Q487:$AJ487,1,(AT$4-1)*5+1)*(AT357/AS357)^INDEX($Q487:$AJ487,1,(AT$4-1)*5+2)*(AT357/AS357)^(INDEX($Q487:$AJ487,1,(AT$4-1)*5+3)*(1+INDEX($Q487:$AJ487,1,(AT$4-1)*5+2)))</f>
        <v/>
      </c>
      <c r="AU487" s="25">
        <f>AT487*(1/(1+INDEX($Q487:$AJ487,1,(AU$4-1)*5+4)))^(1+INDEX($Q487:$AJ487,1,(AU$4-1)*5+2))*(1+AU$7)^INDEX($Q487:$AJ487,1,(AU$4-1)*5+1)*(AU357/AT357)^INDEX($Q487:$AJ487,1,(AU$4-1)*5+2)*(AU357/AT357)^(INDEX($Q487:$AJ487,1,(AU$4-1)*5+3)*(1+INDEX($Q487:$AJ487,1,(AU$4-1)*5+2)))</f>
        <v/>
      </c>
      <c r="AV487" s="25">
        <f>AU487*(1/(1+INDEX($Q487:$AJ487,1,(AV$4-1)*5+4)))^(1+INDEX($Q487:$AJ487,1,(AV$4-1)*5+2))*(1+AV$7)^INDEX($Q487:$AJ487,1,(AV$4-1)*5+1)*(AV357/AU357)^INDEX($Q487:$AJ487,1,(AV$4-1)*5+2)*(AV357/AU357)^(INDEX($Q487:$AJ487,1,(AV$4-1)*5+3)*(1+INDEX($Q487:$AJ487,1,(AV$4-1)*5+2)))</f>
        <v/>
      </c>
      <c r="AW487" s="25">
        <f>AV487*(1/(1+INDEX($Q487:$AJ487,1,(AW$4-1)*5+4)))^(1+INDEX($Q487:$AJ487,1,(AW$4-1)*5+2))*(1+AW$7)^INDEX($Q487:$AJ487,1,(AW$4-1)*5+1)*(AW357/AV357)^INDEX($Q487:$AJ487,1,(AW$4-1)*5+2)*(AW357/AV357)^(INDEX($Q487:$AJ487,1,(AW$4-1)*5+3)*(1+INDEX($Q487:$AJ487,1,(AW$4-1)*5+2)))</f>
        <v/>
      </c>
      <c r="AX487" s="25">
        <f>AW487*(1/(1+INDEX($Q487:$AJ487,1,(AX$4-1)*5+4)))^(1+INDEX($Q487:$AJ487,1,(AX$4-1)*5+2))*(1+AX$7)^INDEX($Q487:$AJ487,1,(AX$4-1)*5+1)*(AX357/AW357)^INDEX($Q487:$AJ487,1,(AX$4-1)*5+2)*(AX357/AW357)^(INDEX($Q487:$AJ487,1,(AX$4-1)*5+3)*(1+INDEX($Q487:$AJ487,1,(AX$4-1)*5+2)))</f>
        <v/>
      </c>
      <c r="AY487" s="25">
        <f>AX487*(1/(1+INDEX($Q487:$AJ487,1,(AY$4-1)*5+4)))^(1+INDEX($Q487:$AJ487,1,(AY$4-1)*5+2))*(1+AY$7)^INDEX($Q487:$AJ487,1,(AY$4-1)*5+1)*(AY357/AX357)^INDEX($Q487:$AJ487,1,(AY$4-1)*5+2)*(AY357/AX357)^(INDEX($Q487:$AJ487,1,(AY$4-1)*5+3)*(1+INDEX($Q487:$AJ487,1,(AY$4-1)*5+2)))</f>
        <v/>
      </c>
      <c r="BA487" s="24">
        <f>INDEX(EnergyCons!$F$4:$F$5000,MATCH(Settings!$C$4&amp;"|"&amp;BA$5&amp;"|"&amp;$C487&amp;"|"&amp;$B487,EnergyCons!$A$4:$A$5000,0))</f>
        <v/>
      </c>
      <c r="BB487" s="25">
        <f>BA487*(1/(1+INDEX($Q487:$AJ487,1,(BB$4-1)*5+4)))^(1+INDEX($Q487:$AJ487,1,(BB$4-1)*5+2))*(1+BB$7)^INDEX($Q487:$AJ487,1,(BB$4-1)*5+1)*(BB357/BA357)^INDEX($Q487:$AJ487,1,(BB$4-1)*5+2)*(BB357/BA357)^(INDEX($Q487:$AJ487,1,(BB$4-1)*5+3)*(1+INDEX($Q487:$AJ487,1,(BB$4-1)*5+2)))</f>
        <v/>
      </c>
      <c r="BC487" s="25">
        <f>BB487*(1/(1+INDEX($Q487:$AJ487,1,(BC$4-1)*5+4)))^(1+INDEX($Q487:$AJ487,1,(BC$4-1)*5+2))*(1+BC$7)^INDEX($Q487:$AJ487,1,(BC$4-1)*5+1)*(BC357/BB357)^INDEX($Q487:$AJ487,1,(BC$4-1)*5+2)*(BC357/BB357)^(INDEX($Q487:$AJ487,1,(BC$4-1)*5+3)*(1+INDEX($Q487:$AJ487,1,(BC$4-1)*5+2)))</f>
        <v/>
      </c>
      <c r="BD487" s="25">
        <f>BC487*(1/(1+INDEX($Q487:$AJ487,1,(BD$4-1)*5+4)))^(1+INDEX($Q487:$AJ487,1,(BD$4-1)*5+2))*(1+BD$7)^INDEX($Q487:$AJ487,1,(BD$4-1)*5+1)*(BD357/BC357)^INDEX($Q487:$AJ487,1,(BD$4-1)*5+2)*(BD357/BC357)^(INDEX($Q487:$AJ487,1,(BD$4-1)*5+3)*(1+INDEX($Q487:$AJ487,1,(BD$4-1)*5+2)))</f>
        <v/>
      </c>
      <c r="BE487" s="25">
        <f>BD487*(1/(1+INDEX($Q487:$AJ487,1,(BE$4-1)*5+4)))^(1+INDEX($Q487:$AJ487,1,(BE$4-1)*5+2))*(1+BE$7)^INDEX($Q487:$AJ487,1,(BE$4-1)*5+1)*(BE357/BD357)^INDEX($Q487:$AJ487,1,(BE$4-1)*5+2)*(BE357/BD357)^(INDEX($Q487:$AJ487,1,(BE$4-1)*5+3)*(1+INDEX($Q487:$AJ487,1,(BE$4-1)*5+2)))</f>
        <v/>
      </c>
      <c r="BF487" s="25">
        <f>BE487*(1/(1+INDEX($Q487:$AJ487,1,(BF$4-1)*5+4)))^(1+INDEX($Q487:$AJ487,1,(BF$4-1)*5+2))*(1+BF$7)^INDEX($Q487:$AJ487,1,(BF$4-1)*5+1)*(BF357/BE357)^INDEX($Q487:$AJ487,1,(BF$4-1)*5+2)*(BF357/BE357)^(INDEX($Q487:$AJ487,1,(BF$4-1)*5+3)*(1+INDEX($Q487:$AJ487,1,(BF$4-1)*5+2)))</f>
        <v/>
      </c>
      <c r="BG487" s="25">
        <f>BF487*(1/(1+INDEX($Q487:$AJ487,1,(BG$4-1)*5+4)))^(1+INDEX($Q487:$AJ487,1,(BG$4-1)*5+2))*(1+BG$7)^INDEX($Q487:$AJ487,1,(BG$4-1)*5+1)*(BG357/BF357)^INDEX($Q487:$AJ487,1,(BG$4-1)*5+2)*(BG357/BF357)^(INDEX($Q487:$AJ487,1,(BG$4-1)*5+3)*(1+INDEX($Q487:$AJ487,1,(BG$4-1)*5+2)))</f>
        <v/>
      </c>
      <c r="BH487" s="25">
        <f>BG487*(1/(1+INDEX($Q487:$AJ487,1,(BH$4-1)*5+4)))^(1+INDEX($Q487:$AJ487,1,(BH$4-1)*5+2))*(1+BH$7)^INDEX($Q487:$AJ487,1,(BH$4-1)*5+1)*(BH357/BG357)^INDEX($Q487:$AJ487,1,(BH$4-1)*5+2)*(BH357/BG357)^(INDEX($Q487:$AJ487,1,(BH$4-1)*5+3)*(1+INDEX($Q487:$AJ487,1,(BH$4-1)*5+2)))</f>
        <v/>
      </c>
      <c r="BI487" s="25">
        <f>BH487*(1/(1+INDEX($Q487:$AJ487,1,(BI$4-1)*5+4)))^(1+INDEX($Q487:$AJ487,1,(BI$4-1)*5+2))*(1+BI$7)^INDEX($Q487:$AJ487,1,(BI$4-1)*5+1)*(BI357/BH357)^INDEX($Q487:$AJ487,1,(BI$4-1)*5+2)*(BI357/BH357)^(INDEX($Q487:$AJ487,1,(BI$4-1)*5+3)*(1+INDEX($Q487:$AJ487,1,(BI$4-1)*5+2)))</f>
        <v/>
      </c>
      <c r="BJ487" s="25">
        <f>BI487*(1/(1+INDEX($Q487:$AJ487,1,(BJ$4-1)*5+4)))^(1+INDEX($Q487:$AJ487,1,(BJ$4-1)*5+2))*(1+BJ$7)^INDEX($Q487:$AJ487,1,(BJ$4-1)*5+1)*(BJ357/BI357)^INDEX($Q487:$AJ487,1,(BJ$4-1)*5+2)*(BJ357/BI357)^(INDEX($Q487:$AJ487,1,(BJ$4-1)*5+3)*(1+INDEX($Q487:$AJ487,1,(BJ$4-1)*5+2)))</f>
        <v/>
      </c>
      <c r="BK487" s="25">
        <f>BJ487*(1/(1+INDEX($Q487:$AJ487,1,(BK$4-1)*5+4)))^(1+INDEX($Q487:$AJ487,1,(BK$4-1)*5+2))*(1+BK$7)^INDEX($Q487:$AJ487,1,(BK$4-1)*5+1)*(BK357/BJ357)^INDEX($Q487:$AJ487,1,(BK$4-1)*5+2)*(BK357/BJ357)^(INDEX($Q487:$AJ487,1,(BK$4-1)*5+3)*(1+INDEX($Q487:$AJ487,1,(BK$4-1)*5+2)))</f>
        <v/>
      </c>
      <c r="BL487" s="25">
        <f>BK487*(1/(1+INDEX($Q487:$AJ487,1,(BL$4-1)*5+4)))^(1+INDEX($Q487:$AJ487,1,(BL$4-1)*5+2))*(1+BL$7)^INDEX($Q487:$AJ487,1,(BL$4-1)*5+1)*(BL357/BK357)^INDEX($Q487:$AJ487,1,(BL$4-1)*5+2)*(BL357/BK357)^(INDEX($Q487:$AJ487,1,(BL$4-1)*5+3)*(1+INDEX($Q487:$AJ487,1,(BL$4-1)*5+2)))</f>
        <v/>
      </c>
      <c r="BM487" s="25">
        <f>BL487*(1/(1+INDEX($Q487:$AJ487,1,(BM$4-1)*5+4)))^(1+INDEX($Q487:$AJ487,1,(BM$4-1)*5+2))*(1+BM$7)^INDEX($Q487:$AJ487,1,(BM$4-1)*5+1)*(BM357/BL357)^INDEX($Q487:$AJ487,1,(BM$4-1)*5+2)*(BM357/BL357)^(INDEX($Q487:$AJ487,1,(BM$4-1)*5+3)*(1+INDEX($Q487:$AJ487,1,(BM$4-1)*5+2)))</f>
        <v/>
      </c>
      <c r="BN487" s="25">
        <f>BM487*(1/(1+INDEX($Q487:$AJ487,1,(BN$4-1)*5+4)))^(1+INDEX($Q487:$AJ487,1,(BN$4-1)*5+2))*(1+BN$7)^INDEX($Q487:$AJ487,1,(BN$4-1)*5+1)*(BN357/BM357)^INDEX($Q487:$AJ487,1,(BN$4-1)*5+2)*(BN357/BM357)^(INDEX($Q487:$AJ487,1,(BN$4-1)*5+3)*(1+INDEX($Q487:$AJ487,1,(BN$4-1)*5+2)))</f>
        <v/>
      </c>
    </row>
    <row r="488">
      <c r="B488" s="5" t="inlineStr">
        <is>
          <t>bio</t>
        </is>
      </c>
      <c r="C488" s="5" t="inlineStr">
        <is>
          <t>mac</t>
        </is>
      </c>
      <c r="D488" s="5" t="inlineStr">
        <is>
          <t>Fuel use | Machinery | Biomass</t>
        </is>
      </c>
      <c r="E488" s="5" t="inlineStr">
        <is>
          <t>ktoe</t>
        </is>
      </c>
      <c r="F488" s="5" t="inlineStr">
        <is>
          <t>EnergyCons (base year), Elasticities</t>
        </is>
      </c>
      <c r="G488" s="19" t="inlineStr">
        <is>
          <t>mit.enc.bio.mac</t>
        </is>
      </c>
      <c r="H488" s="19" t="inlineStr">
        <is>
          <t>mit.enc.bio.mac</t>
        </is>
      </c>
      <c r="J488" s="5">
        <f>INDEX(Mapping!$C$5:$C$20,MATCH($C488,Mapping!$A$5:$A$20,0))</f>
        <v/>
      </c>
      <c r="K488" s="5">
        <f>INDEX(Mapping!$D$5:$D$20,MATCH($C488,Mapping!$A$5:$A$20,0))</f>
        <v/>
      </c>
      <c r="L488" s="5">
        <f>INDEX(Mapping!$C$24:$C$31,MATCH($B488,Mapping!$A$24:$A$31,0))</f>
        <v/>
      </c>
      <c r="M488" s="5">
        <f>INDEX(Mapping!$D$24:$D$31,MATCH($B488,Mapping!$A$24:$A$31,0))</f>
        <v/>
      </c>
      <c r="N488" s="5">
        <f>$B488&amp;"."&amp;IF(INDEX(Mapping!$E$24:$E$31,MATCH($B488,Mapping!$A$24:$A$31,0))="sub",INDEX(Mapping!$F$5:$F$20,MATCH($C488,Mapping!$A$5:$A$20,0)),"all")</f>
        <v/>
      </c>
      <c r="O488" s="5">
        <f>INDEX(Mapping!$E$5:$E$20,MATCH($C488,Mapping!$A$5:$A$20,0))</f>
        <v/>
      </c>
      <c r="P488" s="5">
        <f>INDEX(Mapping!$G$24:$G$31,MATCH($B488,Mapping!$A$24:$A$31,0))</f>
        <v/>
      </c>
      <c r="Q488" s="22">
        <f>INDEX(Elasticities!$F$4:$I$200,MATCH("inc|"&amp;$L488&amp;"|"&amp;$K488,Elasticities!$A$4:$A$200,0),MATCH(Settings!$C$6,Elasticities!$F$3:$I$3,0))</f>
        <v/>
      </c>
      <c r="R488" s="22">
        <f>INDEX(Elasticities!$F$4:$I$200,MATCH("usg|"&amp;$L488&amp;"|"&amp;$K488,Elasticities!$A$4:$A$200,0),MATCH(Settings!$C$6,Elasticities!$F$3:$I$3,0))</f>
        <v/>
      </c>
      <c r="S488" s="22">
        <f>INDEX(Elasticities!$F$4:$I$200,MATCH("eff|"&amp;$L488&amp;"|"&amp;$K488,Elasticities!$A$4:$A$200,0),MATCH(Settings!$C$6,Elasticities!$F$3:$I$3,0))</f>
        <v/>
      </c>
      <c r="T488" s="22">
        <f>INDEX(Elasticities!$F$4:$I$200,MATCH("aei|"&amp;$M488&amp;"|"&amp;$K488,Elasticities!$A$4:$A$200,0),MATCH(Settings!$C$6,Elasticities!$F$3:$I$3,0))</f>
        <v/>
      </c>
      <c r="U488" s="21" t="n"/>
      <c r="V488" s="22">
        <f>Q488</f>
        <v/>
      </c>
      <c r="W488" s="22">
        <f>R488</f>
        <v/>
      </c>
      <c r="X488" s="22">
        <f>S488</f>
        <v/>
      </c>
      <c r="Y488" s="22">
        <f>T488</f>
        <v/>
      </c>
      <c r="Z488" s="21" t="n"/>
      <c r="AA488" s="22">
        <f>Q488</f>
        <v/>
      </c>
      <c r="AB488" s="22">
        <f>R488</f>
        <v/>
      </c>
      <c r="AC488" s="22">
        <f>S488</f>
        <v/>
      </c>
      <c r="AD488" s="22">
        <f>T488</f>
        <v/>
      </c>
      <c r="AE488" s="21" t="n"/>
      <c r="AF488" s="22">
        <f>Q488</f>
        <v/>
      </c>
      <c r="AG488" s="22">
        <f>R488</f>
        <v/>
      </c>
      <c r="AH488" s="22">
        <f>S488</f>
        <v/>
      </c>
      <c r="AI488" s="22">
        <f>T488</f>
        <v/>
      </c>
      <c r="AJ488" s="21" t="n"/>
      <c r="AL488" s="24">
        <f>INDEX(EnergyCons!$F$4:$F$5000,MATCH(Settings!$C$4&amp;"|"&amp;AL$5&amp;"|"&amp;$C488&amp;"|"&amp;$B488,EnergyCons!$A$4:$A$5000,0))</f>
        <v/>
      </c>
      <c r="AM488" s="25">
        <f>AL488*(1/(1+INDEX($Q488:$AJ488,1,(AM$4-1)*5+4)))^(1+INDEX($Q488:$AJ488,1,(AM$4-1)*5+2))*(1+AM$7)^INDEX($Q488:$AJ488,1,(AM$4-1)*5+1)*(AM358/AL358)^INDEX($Q488:$AJ488,1,(AM$4-1)*5+2)*(AM358/AL358)^(INDEX($Q488:$AJ488,1,(AM$4-1)*5+3)*(1+INDEX($Q488:$AJ488,1,(AM$4-1)*5+2)))</f>
        <v/>
      </c>
      <c r="AN488" s="25">
        <f>AM488*(1/(1+INDEX($Q488:$AJ488,1,(AN$4-1)*5+4)))^(1+INDEX($Q488:$AJ488,1,(AN$4-1)*5+2))*(1+AN$7)^INDEX($Q488:$AJ488,1,(AN$4-1)*5+1)*(AN358/AM358)^INDEX($Q488:$AJ488,1,(AN$4-1)*5+2)*(AN358/AM358)^(INDEX($Q488:$AJ488,1,(AN$4-1)*5+3)*(1+INDEX($Q488:$AJ488,1,(AN$4-1)*5+2)))</f>
        <v/>
      </c>
      <c r="AO488" s="25">
        <f>AN488*(1/(1+INDEX($Q488:$AJ488,1,(AO$4-1)*5+4)))^(1+INDEX($Q488:$AJ488,1,(AO$4-1)*5+2))*(1+AO$7)^INDEX($Q488:$AJ488,1,(AO$4-1)*5+1)*(AO358/AN358)^INDEX($Q488:$AJ488,1,(AO$4-1)*5+2)*(AO358/AN358)^(INDEX($Q488:$AJ488,1,(AO$4-1)*5+3)*(1+INDEX($Q488:$AJ488,1,(AO$4-1)*5+2)))</f>
        <v/>
      </c>
      <c r="AP488" s="25">
        <f>AO488*(1/(1+INDEX($Q488:$AJ488,1,(AP$4-1)*5+4)))^(1+INDEX($Q488:$AJ488,1,(AP$4-1)*5+2))*(1+AP$7)^INDEX($Q488:$AJ488,1,(AP$4-1)*5+1)*(AP358/AO358)^INDEX($Q488:$AJ488,1,(AP$4-1)*5+2)*(AP358/AO358)^(INDEX($Q488:$AJ488,1,(AP$4-1)*5+3)*(1+INDEX($Q488:$AJ488,1,(AP$4-1)*5+2)))</f>
        <v/>
      </c>
      <c r="AQ488" s="25">
        <f>AP488*(1/(1+INDEX($Q488:$AJ488,1,(AQ$4-1)*5+4)))^(1+INDEX($Q488:$AJ488,1,(AQ$4-1)*5+2))*(1+AQ$7)^INDEX($Q488:$AJ488,1,(AQ$4-1)*5+1)*(AQ358/AP358)^INDEX($Q488:$AJ488,1,(AQ$4-1)*5+2)*(AQ358/AP358)^(INDEX($Q488:$AJ488,1,(AQ$4-1)*5+3)*(1+INDEX($Q488:$AJ488,1,(AQ$4-1)*5+2)))</f>
        <v/>
      </c>
      <c r="AR488" s="25">
        <f>AQ488*(1/(1+INDEX($Q488:$AJ488,1,(AR$4-1)*5+4)))^(1+INDEX($Q488:$AJ488,1,(AR$4-1)*5+2))*(1+AR$7)^INDEX($Q488:$AJ488,1,(AR$4-1)*5+1)*(AR358/AQ358)^INDEX($Q488:$AJ488,1,(AR$4-1)*5+2)*(AR358/AQ358)^(INDEX($Q488:$AJ488,1,(AR$4-1)*5+3)*(1+INDEX($Q488:$AJ488,1,(AR$4-1)*5+2)))</f>
        <v/>
      </c>
      <c r="AS488" s="25">
        <f>AR488*(1/(1+INDEX($Q488:$AJ488,1,(AS$4-1)*5+4)))^(1+INDEX($Q488:$AJ488,1,(AS$4-1)*5+2))*(1+AS$7)^INDEX($Q488:$AJ488,1,(AS$4-1)*5+1)*(AS358/AR358)^INDEX($Q488:$AJ488,1,(AS$4-1)*5+2)*(AS358/AR358)^(INDEX($Q488:$AJ488,1,(AS$4-1)*5+3)*(1+INDEX($Q488:$AJ488,1,(AS$4-1)*5+2)))</f>
        <v/>
      </c>
      <c r="AT488" s="25">
        <f>AS488*(1/(1+INDEX($Q488:$AJ488,1,(AT$4-1)*5+4)))^(1+INDEX($Q488:$AJ488,1,(AT$4-1)*5+2))*(1+AT$7)^INDEX($Q488:$AJ488,1,(AT$4-1)*5+1)*(AT358/AS358)^INDEX($Q488:$AJ488,1,(AT$4-1)*5+2)*(AT358/AS358)^(INDEX($Q488:$AJ488,1,(AT$4-1)*5+3)*(1+INDEX($Q488:$AJ488,1,(AT$4-1)*5+2)))</f>
        <v/>
      </c>
      <c r="AU488" s="25">
        <f>AT488*(1/(1+INDEX($Q488:$AJ488,1,(AU$4-1)*5+4)))^(1+INDEX($Q488:$AJ488,1,(AU$4-1)*5+2))*(1+AU$7)^INDEX($Q488:$AJ488,1,(AU$4-1)*5+1)*(AU358/AT358)^INDEX($Q488:$AJ488,1,(AU$4-1)*5+2)*(AU358/AT358)^(INDEX($Q488:$AJ488,1,(AU$4-1)*5+3)*(1+INDEX($Q488:$AJ488,1,(AU$4-1)*5+2)))</f>
        <v/>
      </c>
      <c r="AV488" s="25">
        <f>AU488*(1/(1+INDEX($Q488:$AJ488,1,(AV$4-1)*5+4)))^(1+INDEX($Q488:$AJ488,1,(AV$4-1)*5+2))*(1+AV$7)^INDEX($Q488:$AJ488,1,(AV$4-1)*5+1)*(AV358/AU358)^INDEX($Q488:$AJ488,1,(AV$4-1)*5+2)*(AV358/AU358)^(INDEX($Q488:$AJ488,1,(AV$4-1)*5+3)*(1+INDEX($Q488:$AJ488,1,(AV$4-1)*5+2)))</f>
        <v/>
      </c>
      <c r="AW488" s="25">
        <f>AV488*(1/(1+INDEX($Q488:$AJ488,1,(AW$4-1)*5+4)))^(1+INDEX($Q488:$AJ488,1,(AW$4-1)*5+2))*(1+AW$7)^INDEX($Q488:$AJ488,1,(AW$4-1)*5+1)*(AW358/AV358)^INDEX($Q488:$AJ488,1,(AW$4-1)*5+2)*(AW358/AV358)^(INDEX($Q488:$AJ488,1,(AW$4-1)*5+3)*(1+INDEX($Q488:$AJ488,1,(AW$4-1)*5+2)))</f>
        <v/>
      </c>
      <c r="AX488" s="25">
        <f>AW488*(1/(1+INDEX($Q488:$AJ488,1,(AX$4-1)*5+4)))^(1+INDEX($Q488:$AJ488,1,(AX$4-1)*5+2))*(1+AX$7)^INDEX($Q488:$AJ488,1,(AX$4-1)*5+1)*(AX358/AW358)^INDEX($Q488:$AJ488,1,(AX$4-1)*5+2)*(AX358/AW358)^(INDEX($Q488:$AJ488,1,(AX$4-1)*5+3)*(1+INDEX($Q488:$AJ488,1,(AX$4-1)*5+2)))</f>
        <v/>
      </c>
      <c r="AY488" s="25">
        <f>AX488*(1/(1+INDEX($Q488:$AJ488,1,(AY$4-1)*5+4)))^(1+INDEX($Q488:$AJ488,1,(AY$4-1)*5+2))*(1+AY$7)^INDEX($Q488:$AJ488,1,(AY$4-1)*5+1)*(AY358/AX358)^INDEX($Q488:$AJ488,1,(AY$4-1)*5+2)*(AY358/AX358)^(INDEX($Q488:$AJ488,1,(AY$4-1)*5+3)*(1+INDEX($Q488:$AJ488,1,(AY$4-1)*5+2)))</f>
        <v/>
      </c>
      <c r="BA488" s="24">
        <f>INDEX(EnergyCons!$F$4:$F$5000,MATCH(Settings!$C$4&amp;"|"&amp;BA$5&amp;"|"&amp;$C488&amp;"|"&amp;$B488,EnergyCons!$A$4:$A$5000,0))</f>
        <v/>
      </c>
      <c r="BB488" s="25">
        <f>BA488*(1/(1+INDEX($Q488:$AJ488,1,(BB$4-1)*5+4)))^(1+INDEX($Q488:$AJ488,1,(BB$4-1)*5+2))*(1+BB$7)^INDEX($Q488:$AJ488,1,(BB$4-1)*5+1)*(BB358/BA358)^INDEX($Q488:$AJ488,1,(BB$4-1)*5+2)*(BB358/BA358)^(INDEX($Q488:$AJ488,1,(BB$4-1)*5+3)*(1+INDEX($Q488:$AJ488,1,(BB$4-1)*5+2)))</f>
        <v/>
      </c>
      <c r="BC488" s="25">
        <f>BB488*(1/(1+INDEX($Q488:$AJ488,1,(BC$4-1)*5+4)))^(1+INDEX($Q488:$AJ488,1,(BC$4-1)*5+2))*(1+BC$7)^INDEX($Q488:$AJ488,1,(BC$4-1)*5+1)*(BC358/BB358)^INDEX($Q488:$AJ488,1,(BC$4-1)*5+2)*(BC358/BB358)^(INDEX($Q488:$AJ488,1,(BC$4-1)*5+3)*(1+INDEX($Q488:$AJ488,1,(BC$4-1)*5+2)))</f>
        <v/>
      </c>
      <c r="BD488" s="25">
        <f>BC488*(1/(1+INDEX($Q488:$AJ488,1,(BD$4-1)*5+4)))^(1+INDEX($Q488:$AJ488,1,(BD$4-1)*5+2))*(1+BD$7)^INDEX($Q488:$AJ488,1,(BD$4-1)*5+1)*(BD358/BC358)^INDEX($Q488:$AJ488,1,(BD$4-1)*5+2)*(BD358/BC358)^(INDEX($Q488:$AJ488,1,(BD$4-1)*5+3)*(1+INDEX($Q488:$AJ488,1,(BD$4-1)*5+2)))</f>
        <v/>
      </c>
      <c r="BE488" s="25">
        <f>BD488*(1/(1+INDEX($Q488:$AJ488,1,(BE$4-1)*5+4)))^(1+INDEX($Q488:$AJ488,1,(BE$4-1)*5+2))*(1+BE$7)^INDEX($Q488:$AJ488,1,(BE$4-1)*5+1)*(BE358/BD358)^INDEX($Q488:$AJ488,1,(BE$4-1)*5+2)*(BE358/BD358)^(INDEX($Q488:$AJ488,1,(BE$4-1)*5+3)*(1+INDEX($Q488:$AJ488,1,(BE$4-1)*5+2)))</f>
        <v/>
      </c>
      <c r="BF488" s="25">
        <f>BE488*(1/(1+INDEX($Q488:$AJ488,1,(BF$4-1)*5+4)))^(1+INDEX($Q488:$AJ488,1,(BF$4-1)*5+2))*(1+BF$7)^INDEX($Q488:$AJ488,1,(BF$4-1)*5+1)*(BF358/BE358)^INDEX($Q488:$AJ488,1,(BF$4-1)*5+2)*(BF358/BE358)^(INDEX($Q488:$AJ488,1,(BF$4-1)*5+3)*(1+INDEX($Q488:$AJ488,1,(BF$4-1)*5+2)))</f>
        <v/>
      </c>
      <c r="BG488" s="25">
        <f>BF488*(1/(1+INDEX($Q488:$AJ488,1,(BG$4-1)*5+4)))^(1+INDEX($Q488:$AJ488,1,(BG$4-1)*5+2))*(1+BG$7)^INDEX($Q488:$AJ488,1,(BG$4-1)*5+1)*(BG358/BF358)^INDEX($Q488:$AJ488,1,(BG$4-1)*5+2)*(BG358/BF358)^(INDEX($Q488:$AJ488,1,(BG$4-1)*5+3)*(1+INDEX($Q488:$AJ488,1,(BG$4-1)*5+2)))</f>
        <v/>
      </c>
      <c r="BH488" s="25">
        <f>BG488*(1/(1+INDEX($Q488:$AJ488,1,(BH$4-1)*5+4)))^(1+INDEX($Q488:$AJ488,1,(BH$4-1)*5+2))*(1+BH$7)^INDEX($Q488:$AJ488,1,(BH$4-1)*5+1)*(BH358/BG358)^INDEX($Q488:$AJ488,1,(BH$4-1)*5+2)*(BH358/BG358)^(INDEX($Q488:$AJ488,1,(BH$4-1)*5+3)*(1+INDEX($Q488:$AJ488,1,(BH$4-1)*5+2)))</f>
        <v/>
      </c>
      <c r="BI488" s="25">
        <f>BH488*(1/(1+INDEX($Q488:$AJ488,1,(BI$4-1)*5+4)))^(1+INDEX($Q488:$AJ488,1,(BI$4-1)*5+2))*(1+BI$7)^INDEX($Q488:$AJ488,1,(BI$4-1)*5+1)*(BI358/BH358)^INDEX($Q488:$AJ488,1,(BI$4-1)*5+2)*(BI358/BH358)^(INDEX($Q488:$AJ488,1,(BI$4-1)*5+3)*(1+INDEX($Q488:$AJ488,1,(BI$4-1)*5+2)))</f>
        <v/>
      </c>
      <c r="BJ488" s="25">
        <f>BI488*(1/(1+INDEX($Q488:$AJ488,1,(BJ$4-1)*5+4)))^(1+INDEX($Q488:$AJ488,1,(BJ$4-1)*5+2))*(1+BJ$7)^INDEX($Q488:$AJ488,1,(BJ$4-1)*5+1)*(BJ358/BI358)^INDEX($Q488:$AJ488,1,(BJ$4-1)*5+2)*(BJ358/BI358)^(INDEX($Q488:$AJ488,1,(BJ$4-1)*5+3)*(1+INDEX($Q488:$AJ488,1,(BJ$4-1)*5+2)))</f>
        <v/>
      </c>
      <c r="BK488" s="25">
        <f>BJ488*(1/(1+INDEX($Q488:$AJ488,1,(BK$4-1)*5+4)))^(1+INDEX($Q488:$AJ488,1,(BK$4-1)*5+2))*(1+BK$7)^INDEX($Q488:$AJ488,1,(BK$4-1)*5+1)*(BK358/BJ358)^INDEX($Q488:$AJ488,1,(BK$4-1)*5+2)*(BK358/BJ358)^(INDEX($Q488:$AJ488,1,(BK$4-1)*5+3)*(1+INDEX($Q488:$AJ488,1,(BK$4-1)*5+2)))</f>
        <v/>
      </c>
      <c r="BL488" s="25">
        <f>BK488*(1/(1+INDEX($Q488:$AJ488,1,(BL$4-1)*5+4)))^(1+INDEX($Q488:$AJ488,1,(BL$4-1)*5+2))*(1+BL$7)^INDEX($Q488:$AJ488,1,(BL$4-1)*5+1)*(BL358/BK358)^INDEX($Q488:$AJ488,1,(BL$4-1)*5+2)*(BL358/BK358)^(INDEX($Q488:$AJ488,1,(BL$4-1)*5+3)*(1+INDEX($Q488:$AJ488,1,(BL$4-1)*5+2)))</f>
        <v/>
      </c>
      <c r="BM488" s="25">
        <f>BL488*(1/(1+INDEX($Q488:$AJ488,1,(BM$4-1)*5+4)))^(1+INDEX($Q488:$AJ488,1,(BM$4-1)*5+2))*(1+BM$7)^INDEX($Q488:$AJ488,1,(BM$4-1)*5+1)*(BM358/BL358)^INDEX($Q488:$AJ488,1,(BM$4-1)*5+2)*(BM358/BL358)^(INDEX($Q488:$AJ488,1,(BM$4-1)*5+3)*(1+INDEX($Q488:$AJ488,1,(BM$4-1)*5+2)))</f>
        <v/>
      </c>
      <c r="BN488" s="25">
        <f>BM488*(1/(1+INDEX($Q488:$AJ488,1,(BN$4-1)*5+4)))^(1+INDEX($Q488:$AJ488,1,(BN$4-1)*5+2))*(1+BN$7)^INDEX($Q488:$AJ488,1,(BN$4-1)*5+1)*(BN358/BM358)^INDEX($Q488:$AJ488,1,(BN$4-1)*5+2)*(BN358/BM358)^(INDEX($Q488:$AJ488,1,(BN$4-1)*5+3)*(1+INDEX($Q488:$AJ488,1,(BN$4-1)*5+2)))</f>
        <v/>
      </c>
    </row>
    <row r="489">
      <c r="B489" s="5" t="inlineStr">
        <is>
          <t>coa</t>
        </is>
      </c>
      <c r="C489" s="5" t="inlineStr">
        <is>
          <t>cem</t>
        </is>
      </c>
      <c r="D489" s="5" t="inlineStr">
        <is>
          <t>Fuel use | Cement | Coal</t>
        </is>
      </c>
      <c r="E489" s="5" t="inlineStr">
        <is>
          <t>ktoe</t>
        </is>
      </c>
      <c r="F489" s="5" t="inlineStr">
        <is>
          <t>EnergyCons (base year), Elasticities</t>
        </is>
      </c>
      <c r="G489" s="19" t="inlineStr">
        <is>
          <t>mit.enc.coa.cem</t>
        </is>
      </c>
      <c r="H489" s="19" t="inlineStr">
        <is>
          <t>mit.enc.coa.cem</t>
        </is>
      </c>
      <c r="J489" s="5">
        <f>INDEX(Mapping!$C$5:$C$20,MATCH($C489,Mapping!$A$5:$A$20,0))</f>
        <v/>
      </c>
      <c r="K489" s="5">
        <f>INDEX(Mapping!$D$5:$D$20,MATCH($C489,Mapping!$A$5:$A$20,0))</f>
        <v/>
      </c>
      <c r="L489" s="5">
        <f>INDEX(Mapping!$C$24:$C$31,MATCH($B489,Mapping!$A$24:$A$31,0))</f>
        <v/>
      </c>
      <c r="M489" s="5">
        <f>INDEX(Mapping!$D$24:$D$31,MATCH($B489,Mapping!$A$24:$A$31,0))</f>
        <v/>
      </c>
      <c r="N489" s="5">
        <f>$B489&amp;"."&amp;IF(INDEX(Mapping!$E$24:$E$31,MATCH($B489,Mapping!$A$24:$A$31,0))="sub",INDEX(Mapping!$F$5:$F$20,MATCH($C489,Mapping!$A$5:$A$20,0)),"all")</f>
        <v/>
      </c>
      <c r="O489" s="5">
        <f>INDEX(Mapping!$E$5:$E$20,MATCH($C489,Mapping!$A$5:$A$20,0))</f>
        <v/>
      </c>
      <c r="P489" s="5">
        <f>INDEX(Mapping!$G$24:$G$31,MATCH($B489,Mapping!$A$24:$A$31,0))</f>
        <v/>
      </c>
      <c r="Q489" s="22">
        <f>INDEX(Elasticities!$F$4:$I$200,MATCH("inc|"&amp;$L489&amp;"|"&amp;$K489,Elasticities!$A$4:$A$200,0),MATCH(Settings!$C$6,Elasticities!$F$3:$I$3,0))</f>
        <v/>
      </c>
      <c r="R489" s="22">
        <f>INDEX(Elasticities!$F$4:$I$200,MATCH("usg|"&amp;$L489&amp;"|"&amp;$K489,Elasticities!$A$4:$A$200,0),MATCH(Settings!$C$6,Elasticities!$F$3:$I$3,0))</f>
        <v/>
      </c>
      <c r="S489" s="22">
        <f>INDEX(Elasticities!$F$4:$I$200,MATCH("eff|"&amp;$L489&amp;"|"&amp;$K489,Elasticities!$A$4:$A$200,0),MATCH(Settings!$C$6,Elasticities!$F$3:$I$3,0))</f>
        <v/>
      </c>
      <c r="T489" s="22">
        <f>INDEX(Elasticities!$F$4:$I$200,MATCH("aei|"&amp;$M489&amp;"|"&amp;$K489,Elasticities!$A$4:$A$200,0),MATCH(Settings!$C$6,Elasticities!$F$3:$I$3,0))</f>
        <v/>
      </c>
      <c r="U489" s="21" t="n"/>
      <c r="V489" s="22">
        <f>Q489</f>
        <v/>
      </c>
      <c r="W489" s="22">
        <f>R489</f>
        <v/>
      </c>
      <c r="X489" s="22">
        <f>S489</f>
        <v/>
      </c>
      <c r="Y489" s="22">
        <f>T489</f>
        <v/>
      </c>
      <c r="Z489" s="21" t="n"/>
      <c r="AA489" s="22">
        <f>Q489</f>
        <v/>
      </c>
      <c r="AB489" s="22">
        <f>R489</f>
        <v/>
      </c>
      <c r="AC489" s="22">
        <f>S489</f>
        <v/>
      </c>
      <c r="AD489" s="22">
        <f>T489</f>
        <v/>
      </c>
      <c r="AE489" s="21" t="n"/>
      <c r="AF489" s="22">
        <f>Q489</f>
        <v/>
      </c>
      <c r="AG489" s="22">
        <f>R489</f>
        <v/>
      </c>
      <c r="AH489" s="22">
        <f>S489</f>
        <v/>
      </c>
      <c r="AI489" s="22">
        <f>T489</f>
        <v/>
      </c>
      <c r="AJ489" s="21" t="n"/>
      <c r="AL489" s="24">
        <f>INDEX(EnergyCons!$F$4:$F$5000,MATCH(Settings!$C$4&amp;"|"&amp;AL$5&amp;"|"&amp;$C489&amp;"|"&amp;$B489,EnergyCons!$A$4:$A$5000,0))</f>
        <v/>
      </c>
      <c r="AM489" s="25">
        <f>AL489*(1/(1+INDEX($Q489:$AJ489,1,(AM$4-1)*5+4)))^(1+INDEX($Q489:$AJ489,1,(AM$4-1)*5+2))*(1+AM$7)^INDEX($Q489:$AJ489,1,(AM$4-1)*5+1)*(AM359/AL359)^INDEX($Q489:$AJ489,1,(AM$4-1)*5+2)*(AM359/AL359)^(INDEX($Q489:$AJ489,1,(AM$4-1)*5+3)*(1+INDEX($Q489:$AJ489,1,(AM$4-1)*5+2)))</f>
        <v/>
      </c>
      <c r="AN489" s="25">
        <f>AM489*(1/(1+INDEX($Q489:$AJ489,1,(AN$4-1)*5+4)))^(1+INDEX($Q489:$AJ489,1,(AN$4-1)*5+2))*(1+AN$7)^INDEX($Q489:$AJ489,1,(AN$4-1)*5+1)*(AN359/AM359)^INDEX($Q489:$AJ489,1,(AN$4-1)*5+2)*(AN359/AM359)^(INDEX($Q489:$AJ489,1,(AN$4-1)*5+3)*(1+INDEX($Q489:$AJ489,1,(AN$4-1)*5+2)))</f>
        <v/>
      </c>
      <c r="AO489" s="25">
        <f>AN489*(1/(1+INDEX($Q489:$AJ489,1,(AO$4-1)*5+4)))^(1+INDEX($Q489:$AJ489,1,(AO$4-1)*5+2))*(1+AO$7)^INDEX($Q489:$AJ489,1,(AO$4-1)*5+1)*(AO359/AN359)^INDEX($Q489:$AJ489,1,(AO$4-1)*5+2)*(AO359/AN359)^(INDEX($Q489:$AJ489,1,(AO$4-1)*5+3)*(1+INDEX($Q489:$AJ489,1,(AO$4-1)*5+2)))</f>
        <v/>
      </c>
      <c r="AP489" s="25">
        <f>AO489*(1/(1+INDEX($Q489:$AJ489,1,(AP$4-1)*5+4)))^(1+INDEX($Q489:$AJ489,1,(AP$4-1)*5+2))*(1+AP$7)^INDEX($Q489:$AJ489,1,(AP$4-1)*5+1)*(AP359/AO359)^INDEX($Q489:$AJ489,1,(AP$4-1)*5+2)*(AP359/AO359)^(INDEX($Q489:$AJ489,1,(AP$4-1)*5+3)*(1+INDEX($Q489:$AJ489,1,(AP$4-1)*5+2)))</f>
        <v/>
      </c>
      <c r="AQ489" s="25">
        <f>AP489*(1/(1+INDEX($Q489:$AJ489,1,(AQ$4-1)*5+4)))^(1+INDEX($Q489:$AJ489,1,(AQ$4-1)*5+2))*(1+AQ$7)^INDEX($Q489:$AJ489,1,(AQ$4-1)*5+1)*(AQ359/AP359)^INDEX($Q489:$AJ489,1,(AQ$4-1)*5+2)*(AQ359/AP359)^(INDEX($Q489:$AJ489,1,(AQ$4-1)*5+3)*(1+INDEX($Q489:$AJ489,1,(AQ$4-1)*5+2)))</f>
        <v/>
      </c>
      <c r="AR489" s="25">
        <f>AQ489*(1/(1+INDEX($Q489:$AJ489,1,(AR$4-1)*5+4)))^(1+INDEX($Q489:$AJ489,1,(AR$4-1)*5+2))*(1+AR$7)^INDEX($Q489:$AJ489,1,(AR$4-1)*5+1)*(AR359/AQ359)^INDEX($Q489:$AJ489,1,(AR$4-1)*5+2)*(AR359/AQ359)^(INDEX($Q489:$AJ489,1,(AR$4-1)*5+3)*(1+INDEX($Q489:$AJ489,1,(AR$4-1)*5+2)))</f>
        <v/>
      </c>
      <c r="AS489" s="25">
        <f>AR489*(1/(1+INDEX($Q489:$AJ489,1,(AS$4-1)*5+4)))^(1+INDEX($Q489:$AJ489,1,(AS$4-1)*5+2))*(1+AS$7)^INDEX($Q489:$AJ489,1,(AS$4-1)*5+1)*(AS359/AR359)^INDEX($Q489:$AJ489,1,(AS$4-1)*5+2)*(AS359/AR359)^(INDEX($Q489:$AJ489,1,(AS$4-1)*5+3)*(1+INDEX($Q489:$AJ489,1,(AS$4-1)*5+2)))</f>
        <v/>
      </c>
      <c r="AT489" s="25">
        <f>AS489*(1/(1+INDEX($Q489:$AJ489,1,(AT$4-1)*5+4)))^(1+INDEX($Q489:$AJ489,1,(AT$4-1)*5+2))*(1+AT$7)^INDEX($Q489:$AJ489,1,(AT$4-1)*5+1)*(AT359/AS359)^INDEX($Q489:$AJ489,1,(AT$4-1)*5+2)*(AT359/AS359)^(INDEX($Q489:$AJ489,1,(AT$4-1)*5+3)*(1+INDEX($Q489:$AJ489,1,(AT$4-1)*5+2)))</f>
        <v/>
      </c>
      <c r="AU489" s="25">
        <f>AT489*(1/(1+INDEX($Q489:$AJ489,1,(AU$4-1)*5+4)))^(1+INDEX($Q489:$AJ489,1,(AU$4-1)*5+2))*(1+AU$7)^INDEX($Q489:$AJ489,1,(AU$4-1)*5+1)*(AU359/AT359)^INDEX($Q489:$AJ489,1,(AU$4-1)*5+2)*(AU359/AT359)^(INDEX($Q489:$AJ489,1,(AU$4-1)*5+3)*(1+INDEX($Q489:$AJ489,1,(AU$4-1)*5+2)))</f>
        <v/>
      </c>
      <c r="AV489" s="25">
        <f>AU489*(1/(1+INDEX($Q489:$AJ489,1,(AV$4-1)*5+4)))^(1+INDEX($Q489:$AJ489,1,(AV$4-1)*5+2))*(1+AV$7)^INDEX($Q489:$AJ489,1,(AV$4-1)*5+1)*(AV359/AU359)^INDEX($Q489:$AJ489,1,(AV$4-1)*5+2)*(AV359/AU359)^(INDEX($Q489:$AJ489,1,(AV$4-1)*5+3)*(1+INDEX($Q489:$AJ489,1,(AV$4-1)*5+2)))</f>
        <v/>
      </c>
      <c r="AW489" s="25">
        <f>AV489*(1/(1+INDEX($Q489:$AJ489,1,(AW$4-1)*5+4)))^(1+INDEX($Q489:$AJ489,1,(AW$4-1)*5+2))*(1+AW$7)^INDEX($Q489:$AJ489,1,(AW$4-1)*5+1)*(AW359/AV359)^INDEX($Q489:$AJ489,1,(AW$4-1)*5+2)*(AW359/AV359)^(INDEX($Q489:$AJ489,1,(AW$4-1)*5+3)*(1+INDEX($Q489:$AJ489,1,(AW$4-1)*5+2)))</f>
        <v/>
      </c>
      <c r="AX489" s="25">
        <f>AW489*(1/(1+INDEX($Q489:$AJ489,1,(AX$4-1)*5+4)))^(1+INDEX($Q489:$AJ489,1,(AX$4-1)*5+2))*(1+AX$7)^INDEX($Q489:$AJ489,1,(AX$4-1)*5+1)*(AX359/AW359)^INDEX($Q489:$AJ489,1,(AX$4-1)*5+2)*(AX359/AW359)^(INDEX($Q489:$AJ489,1,(AX$4-1)*5+3)*(1+INDEX($Q489:$AJ489,1,(AX$4-1)*5+2)))</f>
        <v/>
      </c>
      <c r="AY489" s="25">
        <f>AX489*(1/(1+INDEX($Q489:$AJ489,1,(AY$4-1)*5+4)))^(1+INDEX($Q489:$AJ489,1,(AY$4-1)*5+2))*(1+AY$7)^INDEX($Q489:$AJ489,1,(AY$4-1)*5+1)*(AY359/AX359)^INDEX($Q489:$AJ489,1,(AY$4-1)*5+2)*(AY359/AX359)^(INDEX($Q489:$AJ489,1,(AY$4-1)*5+3)*(1+INDEX($Q489:$AJ489,1,(AY$4-1)*5+2)))</f>
        <v/>
      </c>
      <c r="BA489" s="24">
        <f>INDEX(EnergyCons!$F$4:$F$5000,MATCH(Settings!$C$4&amp;"|"&amp;BA$5&amp;"|"&amp;$C489&amp;"|"&amp;$B489,EnergyCons!$A$4:$A$5000,0))</f>
        <v/>
      </c>
      <c r="BB489" s="25">
        <f>BA489*(1/(1+INDEX($Q489:$AJ489,1,(BB$4-1)*5+4)))^(1+INDEX($Q489:$AJ489,1,(BB$4-1)*5+2))*(1+BB$7)^INDEX($Q489:$AJ489,1,(BB$4-1)*5+1)*(BB359/BA359)^INDEX($Q489:$AJ489,1,(BB$4-1)*5+2)*(BB359/BA359)^(INDEX($Q489:$AJ489,1,(BB$4-1)*5+3)*(1+INDEX($Q489:$AJ489,1,(BB$4-1)*5+2)))</f>
        <v/>
      </c>
      <c r="BC489" s="25">
        <f>BB489*(1/(1+INDEX($Q489:$AJ489,1,(BC$4-1)*5+4)))^(1+INDEX($Q489:$AJ489,1,(BC$4-1)*5+2))*(1+BC$7)^INDEX($Q489:$AJ489,1,(BC$4-1)*5+1)*(BC359/BB359)^INDEX($Q489:$AJ489,1,(BC$4-1)*5+2)*(BC359/BB359)^(INDEX($Q489:$AJ489,1,(BC$4-1)*5+3)*(1+INDEX($Q489:$AJ489,1,(BC$4-1)*5+2)))</f>
        <v/>
      </c>
      <c r="BD489" s="25">
        <f>BC489*(1/(1+INDEX($Q489:$AJ489,1,(BD$4-1)*5+4)))^(1+INDEX($Q489:$AJ489,1,(BD$4-1)*5+2))*(1+BD$7)^INDEX($Q489:$AJ489,1,(BD$4-1)*5+1)*(BD359/BC359)^INDEX($Q489:$AJ489,1,(BD$4-1)*5+2)*(BD359/BC359)^(INDEX($Q489:$AJ489,1,(BD$4-1)*5+3)*(1+INDEX($Q489:$AJ489,1,(BD$4-1)*5+2)))</f>
        <v/>
      </c>
      <c r="BE489" s="25">
        <f>BD489*(1/(1+INDEX($Q489:$AJ489,1,(BE$4-1)*5+4)))^(1+INDEX($Q489:$AJ489,1,(BE$4-1)*5+2))*(1+BE$7)^INDEX($Q489:$AJ489,1,(BE$4-1)*5+1)*(BE359/BD359)^INDEX($Q489:$AJ489,1,(BE$4-1)*5+2)*(BE359/BD359)^(INDEX($Q489:$AJ489,1,(BE$4-1)*5+3)*(1+INDEX($Q489:$AJ489,1,(BE$4-1)*5+2)))</f>
        <v/>
      </c>
      <c r="BF489" s="25">
        <f>BE489*(1/(1+INDEX($Q489:$AJ489,1,(BF$4-1)*5+4)))^(1+INDEX($Q489:$AJ489,1,(BF$4-1)*5+2))*(1+BF$7)^INDEX($Q489:$AJ489,1,(BF$4-1)*5+1)*(BF359/BE359)^INDEX($Q489:$AJ489,1,(BF$4-1)*5+2)*(BF359/BE359)^(INDEX($Q489:$AJ489,1,(BF$4-1)*5+3)*(1+INDEX($Q489:$AJ489,1,(BF$4-1)*5+2)))</f>
        <v/>
      </c>
      <c r="BG489" s="25">
        <f>BF489*(1/(1+INDEX($Q489:$AJ489,1,(BG$4-1)*5+4)))^(1+INDEX($Q489:$AJ489,1,(BG$4-1)*5+2))*(1+BG$7)^INDEX($Q489:$AJ489,1,(BG$4-1)*5+1)*(BG359/BF359)^INDEX($Q489:$AJ489,1,(BG$4-1)*5+2)*(BG359/BF359)^(INDEX($Q489:$AJ489,1,(BG$4-1)*5+3)*(1+INDEX($Q489:$AJ489,1,(BG$4-1)*5+2)))</f>
        <v/>
      </c>
      <c r="BH489" s="25">
        <f>BG489*(1/(1+INDEX($Q489:$AJ489,1,(BH$4-1)*5+4)))^(1+INDEX($Q489:$AJ489,1,(BH$4-1)*5+2))*(1+BH$7)^INDEX($Q489:$AJ489,1,(BH$4-1)*5+1)*(BH359/BG359)^INDEX($Q489:$AJ489,1,(BH$4-1)*5+2)*(BH359/BG359)^(INDEX($Q489:$AJ489,1,(BH$4-1)*5+3)*(1+INDEX($Q489:$AJ489,1,(BH$4-1)*5+2)))</f>
        <v/>
      </c>
      <c r="BI489" s="25">
        <f>BH489*(1/(1+INDEX($Q489:$AJ489,1,(BI$4-1)*5+4)))^(1+INDEX($Q489:$AJ489,1,(BI$4-1)*5+2))*(1+BI$7)^INDEX($Q489:$AJ489,1,(BI$4-1)*5+1)*(BI359/BH359)^INDEX($Q489:$AJ489,1,(BI$4-1)*5+2)*(BI359/BH359)^(INDEX($Q489:$AJ489,1,(BI$4-1)*5+3)*(1+INDEX($Q489:$AJ489,1,(BI$4-1)*5+2)))</f>
        <v/>
      </c>
      <c r="BJ489" s="25">
        <f>BI489*(1/(1+INDEX($Q489:$AJ489,1,(BJ$4-1)*5+4)))^(1+INDEX($Q489:$AJ489,1,(BJ$4-1)*5+2))*(1+BJ$7)^INDEX($Q489:$AJ489,1,(BJ$4-1)*5+1)*(BJ359/BI359)^INDEX($Q489:$AJ489,1,(BJ$4-1)*5+2)*(BJ359/BI359)^(INDEX($Q489:$AJ489,1,(BJ$4-1)*5+3)*(1+INDEX($Q489:$AJ489,1,(BJ$4-1)*5+2)))</f>
        <v/>
      </c>
      <c r="BK489" s="25">
        <f>BJ489*(1/(1+INDEX($Q489:$AJ489,1,(BK$4-1)*5+4)))^(1+INDEX($Q489:$AJ489,1,(BK$4-1)*5+2))*(1+BK$7)^INDEX($Q489:$AJ489,1,(BK$4-1)*5+1)*(BK359/BJ359)^INDEX($Q489:$AJ489,1,(BK$4-1)*5+2)*(BK359/BJ359)^(INDEX($Q489:$AJ489,1,(BK$4-1)*5+3)*(1+INDEX($Q489:$AJ489,1,(BK$4-1)*5+2)))</f>
        <v/>
      </c>
      <c r="BL489" s="25">
        <f>BK489*(1/(1+INDEX($Q489:$AJ489,1,(BL$4-1)*5+4)))^(1+INDEX($Q489:$AJ489,1,(BL$4-1)*5+2))*(1+BL$7)^INDEX($Q489:$AJ489,1,(BL$4-1)*5+1)*(BL359/BK359)^INDEX($Q489:$AJ489,1,(BL$4-1)*5+2)*(BL359/BK359)^(INDEX($Q489:$AJ489,1,(BL$4-1)*5+3)*(1+INDEX($Q489:$AJ489,1,(BL$4-1)*5+2)))</f>
        <v/>
      </c>
      <c r="BM489" s="25">
        <f>BL489*(1/(1+INDEX($Q489:$AJ489,1,(BM$4-1)*5+4)))^(1+INDEX($Q489:$AJ489,1,(BM$4-1)*5+2))*(1+BM$7)^INDEX($Q489:$AJ489,1,(BM$4-1)*5+1)*(BM359/BL359)^INDEX($Q489:$AJ489,1,(BM$4-1)*5+2)*(BM359/BL359)^(INDEX($Q489:$AJ489,1,(BM$4-1)*5+3)*(1+INDEX($Q489:$AJ489,1,(BM$4-1)*5+2)))</f>
        <v/>
      </c>
      <c r="BN489" s="25">
        <f>BM489*(1/(1+INDEX($Q489:$AJ489,1,(BN$4-1)*5+4)))^(1+INDEX($Q489:$AJ489,1,(BN$4-1)*5+2))*(1+BN$7)^INDEX($Q489:$AJ489,1,(BN$4-1)*5+1)*(BN359/BM359)^INDEX($Q489:$AJ489,1,(BN$4-1)*5+2)*(BN359/BM359)^(INDEX($Q489:$AJ489,1,(BN$4-1)*5+3)*(1+INDEX($Q489:$AJ489,1,(BN$4-1)*5+2)))</f>
        <v/>
      </c>
    </row>
    <row r="490">
      <c r="B490" s="5" t="inlineStr">
        <is>
          <t>nga</t>
        </is>
      </c>
      <c r="C490" s="5" t="inlineStr">
        <is>
          <t>cem</t>
        </is>
      </c>
      <c r="D490" s="5" t="inlineStr">
        <is>
          <t>Fuel use | Cement | Natural gas</t>
        </is>
      </c>
      <c r="E490" s="5" t="inlineStr">
        <is>
          <t>ktoe</t>
        </is>
      </c>
      <c r="F490" s="5" t="inlineStr">
        <is>
          <t>EnergyCons (base year), Elasticities</t>
        </is>
      </c>
      <c r="G490" s="19" t="inlineStr">
        <is>
          <t>mit.enc.nga.cem</t>
        </is>
      </c>
      <c r="H490" s="19" t="inlineStr">
        <is>
          <t>mit.enc.nga.cem</t>
        </is>
      </c>
      <c r="J490" s="5">
        <f>INDEX(Mapping!$C$5:$C$20,MATCH($C490,Mapping!$A$5:$A$20,0))</f>
        <v/>
      </c>
      <c r="K490" s="5">
        <f>INDEX(Mapping!$D$5:$D$20,MATCH($C490,Mapping!$A$5:$A$20,0))</f>
        <v/>
      </c>
      <c r="L490" s="5">
        <f>INDEX(Mapping!$C$24:$C$31,MATCH($B490,Mapping!$A$24:$A$31,0))</f>
        <v/>
      </c>
      <c r="M490" s="5">
        <f>INDEX(Mapping!$D$24:$D$31,MATCH($B490,Mapping!$A$24:$A$31,0))</f>
        <v/>
      </c>
      <c r="N490" s="5">
        <f>$B490&amp;"."&amp;IF(INDEX(Mapping!$E$24:$E$31,MATCH($B490,Mapping!$A$24:$A$31,0))="sub",INDEX(Mapping!$F$5:$F$20,MATCH($C490,Mapping!$A$5:$A$20,0)),"all")</f>
        <v/>
      </c>
      <c r="O490" s="5">
        <f>INDEX(Mapping!$E$5:$E$20,MATCH($C490,Mapping!$A$5:$A$20,0))</f>
        <v/>
      </c>
      <c r="P490" s="5">
        <f>INDEX(Mapping!$G$24:$G$31,MATCH($B490,Mapping!$A$24:$A$31,0))</f>
        <v/>
      </c>
      <c r="Q490" s="22">
        <f>INDEX(Elasticities!$F$4:$I$200,MATCH("inc|"&amp;$L490&amp;"|"&amp;$K490,Elasticities!$A$4:$A$200,0),MATCH(Settings!$C$6,Elasticities!$F$3:$I$3,0))</f>
        <v/>
      </c>
      <c r="R490" s="22">
        <f>INDEX(Elasticities!$F$4:$I$200,MATCH("usg|"&amp;$L490&amp;"|"&amp;$K490,Elasticities!$A$4:$A$200,0),MATCH(Settings!$C$6,Elasticities!$F$3:$I$3,0))</f>
        <v/>
      </c>
      <c r="S490" s="22">
        <f>INDEX(Elasticities!$F$4:$I$200,MATCH("eff|"&amp;$L490&amp;"|"&amp;$K490,Elasticities!$A$4:$A$200,0),MATCH(Settings!$C$6,Elasticities!$F$3:$I$3,0))</f>
        <v/>
      </c>
      <c r="T490" s="22">
        <f>INDEX(Elasticities!$F$4:$I$200,MATCH("aei|"&amp;$M490&amp;"|"&amp;$K490,Elasticities!$A$4:$A$200,0),MATCH(Settings!$C$6,Elasticities!$F$3:$I$3,0))</f>
        <v/>
      </c>
      <c r="U490" s="21" t="n"/>
      <c r="V490" s="22">
        <f>Q490</f>
        <v/>
      </c>
      <c r="W490" s="22">
        <f>R490</f>
        <v/>
      </c>
      <c r="X490" s="22">
        <f>S490</f>
        <v/>
      </c>
      <c r="Y490" s="22">
        <f>T490</f>
        <v/>
      </c>
      <c r="Z490" s="21" t="n"/>
      <c r="AA490" s="22">
        <f>Q490</f>
        <v/>
      </c>
      <c r="AB490" s="22">
        <f>R490</f>
        <v/>
      </c>
      <c r="AC490" s="22">
        <f>S490</f>
        <v/>
      </c>
      <c r="AD490" s="22">
        <f>T490</f>
        <v/>
      </c>
      <c r="AE490" s="21" t="n"/>
      <c r="AF490" s="22">
        <f>Q490</f>
        <v/>
      </c>
      <c r="AG490" s="22">
        <f>R490</f>
        <v/>
      </c>
      <c r="AH490" s="22">
        <f>S490</f>
        <v/>
      </c>
      <c r="AI490" s="22">
        <f>T490</f>
        <v/>
      </c>
      <c r="AJ490" s="21" t="n"/>
      <c r="AL490" s="24">
        <f>INDEX(EnergyCons!$F$4:$F$5000,MATCH(Settings!$C$4&amp;"|"&amp;AL$5&amp;"|"&amp;$C490&amp;"|"&amp;$B490,EnergyCons!$A$4:$A$5000,0))</f>
        <v/>
      </c>
      <c r="AM490" s="25">
        <f>AL490*(1/(1+INDEX($Q490:$AJ490,1,(AM$4-1)*5+4)))^(1+INDEX($Q490:$AJ490,1,(AM$4-1)*5+2))*(1+AM$7)^INDEX($Q490:$AJ490,1,(AM$4-1)*5+1)*(AM360/AL360)^INDEX($Q490:$AJ490,1,(AM$4-1)*5+2)*(AM360/AL360)^(INDEX($Q490:$AJ490,1,(AM$4-1)*5+3)*(1+INDEX($Q490:$AJ490,1,(AM$4-1)*5+2)))</f>
        <v/>
      </c>
      <c r="AN490" s="25">
        <f>AM490*(1/(1+INDEX($Q490:$AJ490,1,(AN$4-1)*5+4)))^(1+INDEX($Q490:$AJ490,1,(AN$4-1)*5+2))*(1+AN$7)^INDEX($Q490:$AJ490,1,(AN$4-1)*5+1)*(AN360/AM360)^INDEX($Q490:$AJ490,1,(AN$4-1)*5+2)*(AN360/AM360)^(INDEX($Q490:$AJ490,1,(AN$4-1)*5+3)*(1+INDEX($Q490:$AJ490,1,(AN$4-1)*5+2)))</f>
        <v/>
      </c>
      <c r="AO490" s="25">
        <f>AN490*(1/(1+INDEX($Q490:$AJ490,1,(AO$4-1)*5+4)))^(1+INDEX($Q490:$AJ490,1,(AO$4-1)*5+2))*(1+AO$7)^INDEX($Q490:$AJ490,1,(AO$4-1)*5+1)*(AO360/AN360)^INDEX($Q490:$AJ490,1,(AO$4-1)*5+2)*(AO360/AN360)^(INDEX($Q490:$AJ490,1,(AO$4-1)*5+3)*(1+INDEX($Q490:$AJ490,1,(AO$4-1)*5+2)))</f>
        <v/>
      </c>
      <c r="AP490" s="25">
        <f>AO490*(1/(1+INDEX($Q490:$AJ490,1,(AP$4-1)*5+4)))^(1+INDEX($Q490:$AJ490,1,(AP$4-1)*5+2))*(1+AP$7)^INDEX($Q490:$AJ490,1,(AP$4-1)*5+1)*(AP360/AO360)^INDEX($Q490:$AJ490,1,(AP$4-1)*5+2)*(AP360/AO360)^(INDEX($Q490:$AJ490,1,(AP$4-1)*5+3)*(1+INDEX($Q490:$AJ490,1,(AP$4-1)*5+2)))</f>
        <v/>
      </c>
      <c r="AQ490" s="25">
        <f>AP490*(1/(1+INDEX($Q490:$AJ490,1,(AQ$4-1)*5+4)))^(1+INDEX($Q490:$AJ490,1,(AQ$4-1)*5+2))*(1+AQ$7)^INDEX($Q490:$AJ490,1,(AQ$4-1)*5+1)*(AQ360/AP360)^INDEX($Q490:$AJ490,1,(AQ$4-1)*5+2)*(AQ360/AP360)^(INDEX($Q490:$AJ490,1,(AQ$4-1)*5+3)*(1+INDEX($Q490:$AJ490,1,(AQ$4-1)*5+2)))</f>
        <v/>
      </c>
      <c r="AR490" s="25">
        <f>AQ490*(1/(1+INDEX($Q490:$AJ490,1,(AR$4-1)*5+4)))^(1+INDEX($Q490:$AJ490,1,(AR$4-1)*5+2))*(1+AR$7)^INDEX($Q490:$AJ490,1,(AR$4-1)*5+1)*(AR360/AQ360)^INDEX($Q490:$AJ490,1,(AR$4-1)*5+2)*(AR360/AQ360)^(INDEX($Q490:$AJ490,1,(AR$4-1)*5+3)*(1+INDEX($Q490:$AJ490,1,(AR$4-1)*5+2)))</f>
        <v/>
      </c>
      <c r="AS490" s="25">
        <f>AR490*(1/(1+INDEX($Q490:$AJ490,1,(AS$4-1)*5+4)))^(1+INDEX($Q490:$AJ490,1,(AS$4-1)*5+2))*(1+AS$7)^INDEX($Q490:$AJ490,1,(AS$4-1)*5+1)*(AS360/AR360)^INDEX($Q490:$AJ490,1,(AS$4-1)*5+2)*(AS360/AR360)^(INDEX($Q490:$AJ490,1,(AS$4-1)*5+3)*(1+INDEX($Q490:$AJ490,1,(AS$4-1)*5+2)))</f>
        <v/>
      </c>
      <c r="AT490" s="25">
        <f>AS490*(1/(1+INDEX($Q490:$AJ490,1,(AT$4-1)*5+4)))^(1+INDEX($Q490:$AJ490,1,(AT$4-1)*5+2))*(1+AT$7)^INDEX($Q490:$AJ490,1,(AT$4-1)*5+1)*(AT360/AS360)^INDEX($Q490:$AJ490,1,(AT$4-1)*5+2)*(AT360/AS360)^(INDEX($Q490:$AJ490,1,(AT$4-1)*5+3)*(1+INDEX($Q490:$AJ490,1,(AT$4-1)*5+2)))</f>
        <v/>
      </c>
      <c r="AU490" s="25">
        <f>AT490*(1/(1+INDEX($Q490:$AJ490,1,(AU$4-1)*5+4)))^(1+INDEX($Q490:$AJ490,1,(AU$4-1)*5+2))*(1+AU$7)^INDEX($Q490:$AJ490,1,(AU$4-1)*5+1)*(AU360/AT360)^INDEX($Q490:$AJ490,1,(AU$4-1)*5+2)*(AU360/AT360)^(INDEX($Q490:$AJ490,1,(AU$4-1)*5+3)*(1+INDEX($Q490:$AJ490,1,(AU$4-1)*5+2)))</f>
        <v/>
      </c>
      <c r="AV490" s="25">
        <f>AU490*(1/(1+INDEX($Q490:$AJ490,1,(AV$4-1)*5+4)))^(1+INDEX($Q490:$AJ490,1,(AV$4-1)*5+2))*(1+AV$7)^INDEX($Q490:$AJ490,1,(AV$4-1)*5+1)*(AV360/AU360)^INDEX($Q490:$AJ490,1,(AV$4-1)*5+2)*(AV360/AU360)^(INDEX($Q490:$AJ490,1,(AV$4-1)*5+3)*(1+INDEX($Q490:$AJ490,1,(AV$4-1)*5+2)))</f>
        <v/>
      </c>
      <c r="AW490" s="25">
        <f>AV490*(1/(1+INDEX($Q490:$AJ490,1,(AW$4-1)*5+4)))^(1+INDEX($Q490:$AJ490,1,(AW$4-1)*5+2))*(1+AW$7)^INDEX($Q490:$AJ490,1,(AW$4-1)*5+1)*(AW360/AV360)^INDEX($Q490:$AJ490,1,(AW$4-1)*5+2)*(AW360/AV360)^(INDEX($Q490:$AJ490,1,(AW$4-1)*5+3)*(1+INDEX($Q490:$AJ490,1,(AW$4-1)*5+2)))</f>
        <v/>
      </c>
      <c r="AX490" s="25">
        <f>AW490*(1/(1+INDEX($Q490:$AJ490,1,(AX$4-1)*5+4)))^(1+INDEX($Q490:$AJ490,1,(AX$4-1)*5+2))*(1+AX$7)^INDEX($Q490:$AJ490,1,(AX$4-1)*5+1)*(AX360/AW360)^INDEX($Q490:$AJ490,1,(AX$4-1)*5+2)*(AX360/AW360)^(INDEX($Q490:$AJ490,1,(AX$4-1)*5+3)*(1+INDEX($Q490:$AJ490,1,(AX$4-1)*5+2)))</f>
        <v/>
      </c>
      <c r="AY490" s="25">
        <f>AX490*(1/(1+INDEX($Q490:$AJ490,1,(AY$4-1)*5+4)))^(1+INDEX($Q490:$AJ490,1,(AY$4-1)*5+2))*(1+AY$7)^INDEX($Q490:$AJ490,1,(AY$4-1)*5+1)*(AY360/AX360)^INDEX($Q490:$AJ490,1,(AY$4-1)*5+2)*(AY360/AX360)^(INDEX($Q490:$AJ490,1,(AY$4-1)*5+3)*(1+INDEX($Q490:$AJ490,1,(AY$4-1)*5+2)))</f>
        <v/>
      </c>
      <c r="BA490" s="24">
        <f>INDEX(EnergyCons!$F$4:$F$5000,MATCH(Settings!$C$4&amp;"|"&amp;BA$5&amp;"|"&amp;$C490&amp;"|"&amp;$B490,EnergyCons!$A$4:$A$5000,0))</f>
        <v/>
      </c>
      <c r="BB490" s="25">
        <f>BA490*(1/(1+INDEX($Q490:$AJ490,1,(BB$4-1)*5+4)))^(1+INDEX($Q490:$AJ490,1,(BB$4-1)*5+2))*(1+BB$7)^INDEX($Q490:$AJ490,1,(BB$4-1)*5+1)*(BB360/BA360)^INDEX($Q490:$AJ490,1,(BB$4-1)*5+2)*(BB360/BA360)^(INDEX($Q490:$AJ490,1,(BB$4-1)*5+3)*(1+INDEX($Q490:$AJ490,1,(BB$4-1)*5+2)))</f>
        <v/>
      </c>
      <c r="BC490" s="25">
        <f>BB490*(1/(1+INDEX($Q490:$AJ490,1,(BC$4-1)*5+4)))^(1+INDEX($Q490:$AJ490,1,(BC$4-1)*5+2))*(1+BC$7)^INDEX($Q490:$AJ490,1,(BC$4-1)*5+1)*(BC360/BB360)^INDEX($Q490:$AJ490,1,(BC$4-1)*5+2)*(BC360/BB360)^(INDEX($Q490:$AJ490,1,(BC$4-1)*5+3)*(1+INDEX($Q490:$AJ490,1,(BC$4-1)*5+2)))</f>
        <v/>
      </c>
      <c r="BD490" s="25">
        <f>BC490*(1/(1+INDEX($Q490:$AJ490,1,(BD$4-1)*5+4)))^(1+INDEX($Q490:$AJ490,1,(BD$4-1)*5+2))*(1+BD$7)^INDEX($Q490:$AJ490,1,(BD$4-1)*5+1)*(BD360/BC360)^INDEX($Q490:$AJ490,1,(BD$4-1)*5+2)*(BD360/BC360)^(INDEX($Q490:$AJ490,1,(BD$4-1)*5+3)*(1+INDEX($Q490:$AJ490,1,(BD$4-1)*5+2)))</f>
        <v/>
      </c>
      <c r="BE490" s="25">
        <f>BD490*(1/(1+INDEX($Q490:$AJ490,1,(BE$4-1)*5+4)))^(1+INDEX($Q490:$AJ490,1,(BE$4-1)*5+2))*(1+BE$7)^INDEX($Q490:$AJ490,1,(BE$4-1)*5+1)*(BE360/BD360)^INDEX($Q490:$AJ490,1,(BE$4-1)*5+2)*(BE360/BD360)^(INDEX($Q490:$AJ490,1,(BE$4-1)*5+3)*(1+INDEX($Q490:$AJ490,1,(BE$4-1)*5+2)))</f>
        <v/>
      </c>
      <c r="BF490" s="25">
        <f>BE490*(1/(1+INDEX($Q490:$AJ490,1,(BF$4-1)*5+4)))^(1+INDEX($Q490:$AJ490,1,(BF$4-1)*5+2))*(1+BF$7)^INDEX($Q490:$AJ490,1,(BF$4-1)*5+1)*(BF360/BE360)^INDEX($Q490:$AJ490,1,(BF$4-1)*5+2)*(BF360/BE360)^(INDEX($Q490:$AJ490,1,(BF$4-1)*5+3)*(1+INDEX($Q490:$AJ490,1,(BF$4-1)*5+2)))</f>
        <v/>
      </c>
      <c r="BG490" s="25">
        <f>BF490*(1/(1+INDEX($Q490:$AJ490,1,(BG$4-1)*5+4)))^(1+INDEX($Q490:$AJ490,1,(BG$4-1)*5+2))*(1+BG$7)^INDEX($Q490:$AJ490,1,(BG$4-1)*5+1)*(BG360/BF360)^INDEX($Q490:$AJ490,1,(BG$4-1)*5+2)*(BG360/BF360)^(INDEX($Q490:$AJ490,1,(BG$4-1)*5+3)*(1+INDEX($Q490:$AJ490,1,(BG$4-1)*5+2)))</f>
        <v/>
      </c>
      <c r="BH490" s="25">
        <f>BG490*(1/(1+INDEX($Q490:$AJ490,1,(BH$4-1)*5+4)))^(1+INDEX($Q490:$AJ490,1,(BH$4-1)*5+2))*(1+BH$7)^INDEX($Q490:$AJ490,1,(BH$4-1)*5+1)*(BH360/BG360)^INDEX($Q490:$AJ490,1,(BH$4-1)*5+2)*(BH360/BG360)^(INDEX($Q490:$AJ490,1,(BH$4-1)*5+3)*(1+INDEX($Q490:$AJ490,1,(BH$4-1)*5+2)))</f>
        <v/>
      </c>
      <c r="BI490" s="25">
        <f>BH490*(1/(1+INDEX($Q490:$AJ490,1,(BI$4-1)*5+4)))^(1+INDEX($Q490:$AJ490,1,(BI$4-1)*5+2))*(1+BI$7)^INDEX($Q490:$AJ490,1,(BI$4-1)*5+1)*(BI360/BH360)^INDEX($Q490:$AJ490,1,(BI$4-1)*5+2)*(BI360/BH360)^(INDEX($Q490:$AJ490,1,(BI$4-1)*5+3)*(1+INDEX($Q490:$AJ490,1,(BI$4-1)*5+2)))</f>
        <v/>
      </c>
      <c r="BJ490" s="25">
        <f>BI490*(1/(1+INDEX($Q490:$AJ490,1,(BJ$4-1)*5+4)))^(1+INDEX($Q490:$AJ490,1,(BJ$4-1)*5+2))*(1+BJ$7)^INDEX($Q490:$AJ490,1,(BJ$4-1)*5+1)*(BJ360/BI360)^INDEX($Q490:$AJ490,1,(BJ$4-1)*5+2)*(BJ360/BI360)^(INDEX($Q490:$AJ490,1,(BJ$4-1)*5+3)*(1+INDEX($Q490:$AJ490,1,(BJ$4-1)*5+2)))</f>
        <v/>
      </c>
      <c r="BK490" s="25">
        <f>BJ490*(1/(1+INDEX($Q490:$AJ490,1,(BK$4-1)*5+4)))^(1+INDEX($Q490:$AJ490,1,(BK$4-1)*5+2))*(1+BK$7)^INDEX($Q490:$AJ490,1,(BK$4-1)*5+1)*(BK360/BJ360)^INDEX($Q490:$AJ490,1,(BK$4-1)*5+2)*(BK360/BJ360)^(INDEX($Q490:$AJ490,1,(BK$4-1)*5+3)*(1+INDEX($Q490:$AJ490,1,(BK$4-1)*5+2)))</f>
        <v/>
      </c>
      <c r="BL490" s="25">
        <f>BK490*(1/(1+INDEX($Q490:$AJ490,1,(BL$4-1)*5+4)))^(1+INDEX($Q490:$AJ490,1,(BL$4-1)*5+2))*(1+BL$7)^INDEX($Q490:$AJ490,1,(BL$4-1)*5+1)*(BL360/BK360)^INDEX($Q490:$AJ490,1,(BL$4-1)*5+2)*(BL360/BK360)^(INDEX($Q490:$AJ490,1,(BL$4-1)*5+3)*(1+INDEX($Q490:$AJ490,1,(BL$4-1)*5+2)))</f>
        <v/>
      </c>
      <c r="BM490" s="25">
        <f>BL490*(1/(1+INDEX($Q490:$AJ490,1,(BM$4-1)*5+4)))^(1+INDEX($Q490:$AJ490,1,(BM$4-1)*5+2))*(1+BM$7)^INDEX($Q490:$AJ490,1,(BM$4-1)*5+1)*(BM360/BL360)^INDEX($Q490:$AJ490,1,(BM$4-1)*5+2)*(BM360/BL360)^(INDEX($Q490:$AJ490,1,(BM$4-1)*5+3)*(1+INDEX($Q490:$AJ490,1,(BM$4-1)*5+2)))</f>
        <v/>
      </c>
      <c r="BN490" s="25">
        <f>BM490*(1/(1+INDEX($Q490:$AJ490,1,(BN$4-1)*5+4)))^(1+INDEX($Q490:$AJ490,1,(BN$4-1)*5+2))*(1+BN$7)^INDEX($Q490:$AJ490,1,(BN$4-1)*5+1)*(BN360/BM360)^INDEX($Q490:$AJ490,1,(BN$4-1)*5+2)*(BN360/BM360)^(INDEX($Q490:$AJ490,1,(BN$4-1)*5+3)*(1+INDEX($Q490:$AJ490,1,(BN$4-1)*5+2)))</f>
        <v/>
      </c>
    </row>
    <row r="491">
      <c r="B491" s="5" t="inlineStr">
        <is>
          <t>gso</t>
        </is>
      </c>
      <c r="C491" s="5" t="inlineStr">
        <is>
          <t>cem</t>
        </is>
      </c>
      <c r="D491" s="5" t="inlineStr">
        <is>
          <t>Fuel use | Cement | Gasoline</t>
        </is>
      </c>
      <c r="E491" s="5" t="inlineStr">
        <is>
          <t>ktoe</t>
        </is>
      </c>
      <c r="F491" s="5" t="inlineStr">
        <is>
          <t>EnergyCons (base year), Elasticities</t>
        </is>
      </c>
      <c r="G491" s="19" t="inlineStr">
        <is>
          <t>mit.enc.gso.cem</t>
        </is>
      </c>
      <c r="H491" s="19" t="inlineStr">
        <is>
          <t>mit.enc.gso.cem</t>
        </is>
      </c>
      <c r="J491" s="5">
        <f>INDEX(Mapping!$C$5:$C$20,MATCH($C491,Mapping!$A$5:$A$20,0))</f>
        <v/>
      </c>
      <c r="K491" s="5">
        <f>INDEX(Mapping!$D$5:$D$20,MATCH($C491,Mapping!$A$5:$A$20,0))</f>
        <v/>
      </c>
      <c r="L491" s="5">
        <f>INDEX(Mapping!$C$24:$C$31,MATCH($B491,Mapping!$A$24:$A$31,0))</f>
        <v/>
      </c>
      <c r="M491" s="5">
        <f>INDEX(Mapping!$D$24:$D$31,MATCH($B491,Mapping!$A$24:$A$31,0))</f>
        <v/>
      </c>
      <c r="N491" s="5">
        <f>$B491&amp;"."&amp;IF(INDEX(Mapping!$E$24:$E$31,MATCH($B491,Mapping!$A$24:$A$31,0))="sub",INDEX(Mapping!$F$5:$F$20,MATCH($C491,Mapping!$A$5:$A$20,0)),"all")</f>
        <v/>
      </c>
      <c r="O491" s="5">
        <f>INDEX(Mapping!$E$5:$E$20,MATCH($C491,Mapping!$A$5:$A$20,0))</f>
        <v/>
      </c>
      <c r="P491" s="5">
        <f>INDEX(Mapping!$G$24:$G$31,MATCH($B491,Mapping!$A$24:$A$31,0))</f>
        <v/>
      </c>
      <c r="Q491" s="22">
        <f>INDEX(Elasticities!$F$4:$I$200,MATCH("inc|"&amp;$L491&amp;"|"&amp;$K491,Elasticities!$A$4:$A$200,0),MATCH(Settings!$C$6,Elasticities!$F$3:$I$3,0))</f>
        <v/>
      </c>
      <c r="R491" s="22">
        <f>INDEX(Elasticities!$F$4:$I$200,MATCH("usg|"&amp;$L491&amp;"|"&amp;$K491,Elasticities!$A$4:$A$200,0),MATCH(Settings!$C$6,Elasticities!$F$3:$I$3,0))</f>
        <v/>
      </c>
      <c r="S491" s="22">
        <f>INDEX(Elasticities!$F$4:$I$200,MATCH("eff|"&amp;$L491&amp;"|"&amp;$K491,Elasticities!$A$4:$A$200,0),MATCH(Settings!$C$6,Elasticities!$F$3:$I$3,0))</f>
        <v/>
      </c>
      <c r="T491" s="22">
        <f>INDEX(Elasticities!$F$4:$I$200,MATCH("aei|"&amp;$M491&amp;"|"&amp;$K491,Elasticities!$A$4:$A$200,0),MATCH(Settings!$C$6,Elasticities!$F$3:$I$3,0))</f>
        <v/>
      </c>
      <c r="U491" s="21" t="n"/>
      <c r="V491" s="22">
        <f>Q491</f>
        <v/>
      </c>
      <c r="W491" s="22">
        <f>R491</f>
        <v/>
      </c>
      <c r="X491" s="22">
        <f>S491</f>
        <v/>
      </c>
      <c r="Y491" s="22">
        <f>T491</f>
        <v/>
      </c>
      <c r="Z491" s="21" t="n"/>
      <c r="AA491" s="22">
        <f>Q491</f>
        <v/>
      </c>
      <c r="AB491" s="22">
        <f>R491</f>
        <v/>
      </c>
      <c r="AC491" s="22">
        <f>S491</f>
        <v/>
      </c>
      <c r="AD491" s="22">
        <f>T491</f>
        <v/>
      </c>
      <c r="AE491" s="21" t="n"/>
      <c r="AF491" s="22">
        <f>Q491</f>
        <v/>
      </c>
      <c r="AG491" s="22">
        <f>R491</f>
        <v/>
      </c>
      <c r="AH491" s="22">
        <f>S491</f>
        <v/>
      </c>
      <c r="AI491" s="22">
        <f>T491</f>
        <v/>
      </c>
      <c r="AJ491" s="21" t="n"/>
      <c r="AL491" s="24">
        <f>INDEX(EnergyCons!$F$4:$F$5000,MATCH(Settings!$C$4&amp;"|"&amp;AL$5&amp;"|"&amp;$C491&amp;"|"&amp;$B491,EnergyCons!$A$4:$A$5000,0))</f>
        <v/>
      </c>
      <c r="AM491" s="25">
        <f>AL491*(1/(1+INDEX($Q491:$AJ491,1,(AM$4-1)*5+4)))^(1+INDEX($Q491:$AJ491,1,(AM$4-1)*5+2))*(1+AM$7)^INDEX($Q491:$AJ491,1,(AM$4-1)*5+1)*(AM361/AL361)^INDEX($Q491:$AJ491,1,(AM$4-1)*5+2)*(AM361/AL361)^(INDEX($Q491:$AJ491,1,(AM$4-1)*5+3)*(1+INDEX($Q491:$AJ491,1,(AM$4-1)*5+2)))</f>
        <v/>
      </c>
      <c r="AN491" s="25">
        <f>AM491*(1/(1+INDEX($Q491:$AJ491,1,(AN$4-1)*5+4)))^(1+INDEX($Q491:$AJ491,1,(AN$4-1)*5+2))*(1+AN$7)^INDEX($Q491:$AJ491,1,(AN$4-1)*5+1)*(AN361/AM361)^INDEX($Q491:$AJ491,1,(AN$4-1)*5+2)*(AN361/AM361)^(INDEX($Q491:$AJ491,1,(AN$4-1)*5+3)*(1+INDEX($Q491:$AJ491,1,(AN$4-1)*5+2)))</f>
        <v/>
      </c>
      <c r="AO491" s="25">
        <f>AN491*(1/(1+INDEX($Q491:$AJ491,1,(AO$4-1)*5+4)))^(1+INDEX($Q491:$AJ491,1,(AO$4-1)*5+2))*(1+AO$7)^INDEX($Q491:$AJ491,1,(AO$4-1)*5+1)*(AO361/AN361)^INDEX($Q491:$AJ491,1,(AO$4-1)*5+2)*(AO361/AN361)^(INDEX($Q491:$AJ491,1,(AO$4-1)*5+3)*(1+INDEX($Q491:$AJ491,1,(AO$4-1)*5+2)))</f>
        <v/>
      </c>
      <c r="AP491" s="25">
        <f>AO491*(1/(1+INDEX($Q491:$AJ491,1,(AP$4-1)*5+4)))^(1+INDEX($Q491:$AJ491,1,(AP$4-1)*5+2))*(1+AP$7)^INDEX($Q491:$AJ491,1,(AP$4-1)*5+1)*(AP361/AO361)^INDEX($Q491:$AJ491,1,(AP$4-1)*5+2)*(AP361/AO361)^(INDEX($Q491:$AJ491,1,(AP$4-1)*5+3)*(1+INDEX($Q491:$AJ491,1,(AP$4-1)*5+2)))</f>
        <v/>
      </c>
      <c r="AQ491" s="25">
        <f>AP491*(1/(1+INDEX($Q491:$AJ491,1,(AQ$4-1)*5+4)))^(1+INDEX($Q491:$AJ491,1,(AQ$4-1)*5+2))*(1+AQ$7)^INDEX($Q491:$AJ491,1,(AQ$4-1)*5+1)*(AQ361/AP361)^INDEX($Q491:$AJ491,1,(AQ$4-1)*5+2)*(AQ361/AP361)^(INDEX($Q491:$AJ491,1,(AQ$4-1)*5+3)*(1+INDEX($Q491:$AJ491,1,(AQ$4-1)*5+2)))</f>
        <v/>
      </c>
      <c r="AR491" s="25">
        <f>AQ491*(1/(1+INDEX($Q491:$AJ491,1,(AR$4-1)*5+4)))^(1+INDEX($Q491:$AJ491,1,(AR$4-1)*5+2))*(1+AR$7)^INDEX($Q491:$AJ491,1,(AR$4-1)*5+1)*(AR361/AQ361)^INDEX($Q491:$AJ491,1,(AR$4-1)*5+2)*(AR361/AQ361)^(INDEX($Q491:$AJ491,1,(AR$4-1)*5+3)*(1+INDEX($Q491:$AJ491,1,(AR$4-1)*5+2)))</f>
        <v/>
      </c>
      <c r="AS491" s="25">
        <f>AR491*(1/(1+INDEX($Q491:$AJ491,1,(AS$4-1)*5+4)))^(1+INDEX($Q491:$AJ491,1,(AS$4-1)*5+2))*(1+AS$7)^INDEX($Q491:$AJ491,1,(AS$4-1)*5+1)*(AS361/AR361)^INDEX($Q491:$AJ491,1,(AS$4-1)*5+2)*(AS361/AR361)^(INDEX($Q491:$AJ491,1,(AS$4-1)*5+3)*(1+INDEX($Q491:$AJ491,1,(AS$4-1)*5+2)))</f>
        <v/>
      </c>
      <c r="AT491" s="25">
        <f>AS491*(1/(1+INDEX($Q491:$AJ491,1,(AT$4-1)*5+4)))^(1+INDEX($Q491:$AJ491,1,(AT$4-1)*5+2))*(1+AT$7)^INDEX($Q491:$AJ491,1,(AT$4-1)*5+1)*(AT361/AS361)^INDEX($Q491:$AJ491,1,(AT$4-1)*5+2)*(AT361/AS361)^(INDEX($Q491:$AJ491,1,(AT$4-1)*5+3)*(1+INDEX($Q491:$AJ491,1,(AT$4-1)*5+2)))</f>
        <v/>
      </c>
      <c r="AU491" s="25">
        <f>AT491*(1/(1+INDEX($Q491:$AJ491,1,(AU$4-1)*5+4)))^(1+INDEX($Q491:$AJ491,1,(AU$4-1)*5+2))*(1+AU$7)^INDEX($Q491:$AJ491,1,(AU$4-1)*5+1)*(AU361/AT361)^INDEX($Q491:$AJ491,1,(AU$4-1)*5+2)*(AU361/AT361)^(INDEX($Q491:$AJ491,1,(AU$4-1)*5+3)*(1+INDEX($Q491:$AJ491,1,(AU$4-1)*5+2)))</f>
        <v/>
      </c>
      <c r="AV491" s="25">
        <f>AU491*(1/(1+INDEX($Q491:$AJ491,1,(AV$4-1)*5+4)))^(1+INDEX($Q491:$AJ491,1,(AV$4-1)*5+2))*(1+AV$7)^INDEX($Q491:$AJ491,1,(AV$4-1)*5+1)*(AV361/AU361)^INDEX($Q491:$AJ491,1,(AV$4-1)*5+2)*(AV361/AU361)^(INDEX($Q491:$AJ491,1,(AV$4-1)*5+3)*(1+INDEX($Q491:$AJ491,1,(AV$4-1)*5+2)))</f>
        <v/>
      </c>
      <c r="AW491" s="25">
        <f>AV491*(1/(1+INDEX($Q491:$AJ491,1,(AW$4-1)*5+4)))^(1+INDEX($Q491:$AJ491,1,(AW$4-1)*5+2))*(1+AW$7)^INDEX($Q491:$AJ491,1,(AW$4-1)*5+1)*(AW361/AV361)^INDEX($Q491:$AJ491,1,(AW$4-1)*5+2)*(AW361/AV361)^(INDEX($Q491:$AJ491,1,(AW$4-1)*5+3)*(1+INDEX($Q491:$AJ491,1,(AW$4-1)*5+2)))</f>
        <v/>
      </c>
      <c r="AX491" s="25">
        <f>AW491*(1/(1+INDEX($Q491:$AJ491,1,(AX$4-1)*5+4)))^(1+INDEX($Q491:$AJ491,1,(AX$4-1)*5+2))*(1+AX$7)^INDEX($Q491:$AJ491,1,(AX$4-1)*5+1)*(AX361/AW361)^INDEX($Q491:$AJ491,1,(AX$4-1)*5+2)*(AX361/AW361)^(INDEX($Q491:$AJ491,1,(AX$4-1)*5+3)*(1+INDEX($Q491:$AJ491,1,(AX$4-1)*5+2)))</f>
        <v/>
      </c>
      <c r="AY491" s="25">
        <f>AX491*(1/(1+INDEX($Q491:$AJ491,1,(AY$4-1)*5+4)))^(1+INDEX($Q491:$AJ491,1,(AY$4-1)*5+2))*(1+AY$7)^INDEX($Q491:$AJ491,1,(AY$4-1)*5+1)*(AY361/AX361)^INDEX($Q491:$AJ491,1,(AY$4-1)*5+2)*(AY361/AX361)^(INDEX($Q491:$AJ491,1,(AY$4-1)*5+3)*(1+INDEX($Q491:$AJ491,1,(AY$4-1)*5+2)))</f>
        <v/>
      </c>
      <c r="BA491" s="24">
        <f>INDEX(EnergyCons!$F$4:$F$5000,MATCH(Settings!$C$4&amp;"|"&amp;BA$5&amp;"|"&amp;$C491&amp;"|"&amp;$B491,EnergyCons!$A$4:$A$5000,0))</f>
        <v/>
      </c>
      <c r="BB491" s="25">
        <f>BA491*(1/(1+INDEX($Q491:$AJ491,1,(BB$4-1)*5+4)))^(1+INDEX($Q491:$AJ491,1,(BB$4-1)*5+2))*(1+BB$7)^INDEX($Q491:$AJ491,1,(BB$4-1)*5+1)*(BB361/BA361)^INDEX($Q491:$AJ491,1,(BB$4-1)*5+2)*(BB361/BA361)^(INDEX($Q491:$AJ491,1,(BB$4-1)*5+3)*(1+INDEX($Q491:$AJ491,1,(BB$4-1)*5+2)))</f>
        <v/>
      </c>
      <c r="BC491" s="25">
        <f>BB491*(1/(1+INDEX($Q491:$AJ491,1,(BC$4-1)*5+4)))^(1+INDEX($Q491:$AJ491,1,(BC$4-1)*5+2))*(1+BC$7)^INDEX($Q491:$AJ491,1,(BC$4-1)*5+1)*(BC361/BB361)^INDEX($Q491:$AJ491,1,(BC$4-1)*5+2)*(BC361/BB361)^(INDEX($Q491:$AJ491,1,(BC$4-1)*5+3)*(1+INDEX($Q491:$AJ491,1,(BC$4-1)*5+2)))</f>
        <v/>
      </c>
      <c r="BD491" s="25">
        <f>BC491*(1/(1+INDEX($Q491:$AJ491,1,(BD$4-1)*5+4)))^(1+INDEX($Q491:$AJ491,1,(BD$4-1)*5+2))*(1+BD$7)^INDEX($Q491:$AJ491,1,(BD$4-1)*5+1)*(BD361/BC361)^INDEX($Q491:$AJ491,1,(BD$4-1)*5+2)*(BD361/BC361)^(INDEX($Q491:$AJ491,1,(BD$4-1)*5+3)*(1+INDEX($Q491:$AJ491,1,(BD$4-1)*5+2)))</f>
        <v/>
      </c>
      <c r="BE491" s="25">
        <f>BD491*(1/(1+INDEX($Q491:$AJ491,1,(BE$4-1)*5+4)))^(1+INDEX($Q491:$AJ491,1,(BE$4-1)*5+2))*(1+BE$7)^INDEX($Q491:$AJ491,1,(BE$4-1)*5+1)*(BE361/BD361)^INDEX($Q491:$AJ491,1,(BE$4-1)*5+2)*(BE361/BD361)^(INDEX($Q491:$AJ491,1,(BE$4-1)*5+3)*(1+INDEX($Q491:$AJ491,1,(BE$4-1)*5+2)))</f>
        <v/>
      </c>
      <c r="BF491" s="25">
        <f>BE491*(1/(1+INDEX($Q491:$AJ491,1,(BF$4-1)*5+4)))^(1+INDEX($Q491:$AJ491,1,(BF$4-1)*5+2))*(1+BF$7)^INDEX($Q491:$AJ491,1,(BF$4-1)*5+1)*(BF361/BE361)^INDEX($Q491:$AJ491,1,(BF$4-1)*5+2)*(BF361/BE361)^(INDEX($Q491:$AJ491,1,(BF$4-1)*5+3)*(1+INDEX($Q491:$AJ491,1,(BF$4-1)*5+2)))</f>
        <v/>
      </c>
      <c r="BG491" s="25">
        <f>BF491*(1/(1+INDEX($Q491:$AJ491,1,(BG$4-1)*5+4)))^(1+INDEX($Q491:$AJ491,1,(BG$4-1)*5+2))*(1+BG$7)^INDEX($Q491:$AJ491,1,(BG$4-1)*5+1)*(BG361/BF361)^INDEX($Q491:$AJ491,1,(BG$4-1)*5+2)*(BG361/BF361)^(INDEX($Q491:$AJ491,1,(BG$4-1)*5+3)*(1+INDEX($Q491:$AJ491,1,(BG$4-1)*5+2)))</f>
        <v/>
      </c>
      <c r="BH491" s="25">
        <f>BG491*(1/(1+INDEX($Q491:$AJ491,1,(BH$4-1)*5+4)))^(1+INDEX($Q491:$AJ491,1,(BH$4-1)*5+2))*(1+BH$7)^INDEX($Q491:$AJ491,1,(BH$4-1)*5+1)*(BH361/BG361)^INDEX($Q491:$AJ491,1,(BH$4-1)*5+2)*(BH361/BG361)^(INDEX($Q491:$AJ491,1,(BH$4-1)*5+3)*(1+INDEX($Q491:$AJ491,1,(BH$4-1)*5+2)))</f>
        <v/>
      </c>
      <c r="BI491" s="25">
        <f>BH491*(1/(1+INDEX($Q491:$AJ491,1,(BI$4-1)*5+4)))^(1+INDEX($Q491:$AJ491,1,(BI$4-1)*5+2))*(1+BI$7)^INDEX($Q491:$AJ491,1,(BI$4-1)*5+1)*(BI361/BH361)^INDEX($Q491:$AJ491,1,(BI$4-1)*5+2)*(BI361/BH361)^(INDEX($Q491:$AJ491,1,(BI$4-1)*5+3)*(1+INDEX($Q491:$AJ491,1,(BI$4-1)*5+2)))</f>
        <v/>
      </c>
      <c r="BJ491" s="25">
        <f>BI491*(1/(1+INDEX($Q491:$AJ491,1,(BJ$4-1)*5+4)))^(1+INDEX($Q491:$AJ491,1,(BJ$4-1)*5+2))*(1+BJ$7)^INDEX($Q491:$AJ491,1,(BJ$4-1)*5+1)*(BJ361/BI361)^INDEX($Q491:$AJ491,1,(BJ$4-1)*5+2)*(BJ361/BI361)^(INDEX($Q491:$AJ491,1,(BJ$4-1)*5+3)*(1+INDEX($Q491:$AJ491,1,(BJ$4-1)*5+2)))</f>
        <v/>
      </c>
      <c r="BK491" s="25">
        <f>BJ491*(1/(1+INDEX($Q491:$AJ491,1,(BK$4-1)*5+4)))^(1+INDEX($Q491:$AJ491,1,(BK$4-1)*5+2))*(1+BK$7)^INDEX($Q491:$AJ491,1,(BK$4-1)*5+1)*(BK361/BJ361)^INDEX($Q491:$AJ491,1,(BK$4-1)*5+2)*(BK361/BJ361)^(INDEX($Q491:$AJ491,1,(BK$4-1)*5+3)*(1+INDEX($Q491:$AJ491,1,(BK$4-1)*5+2)))</f>
        <v/>
      </c>
      <c r="BL491" s="25">
        <f>BK491*(1/(1+INDEX($Q491:$AJ491,1,(BL$4-1)*5+4)))^(1+INDEX($Q491:$AJ491,1,(BL$4-1)*5+2))*(1+BL$7)^INDEX($Q491:$AJ491,1,(BL$4-1)*5+1)*(BL361/BK361)^INDEX($Q491:$AJ491,1,(BL$4-1)*5+2)*(BL361/BK361)^(INDEX($Q491:$AJ491,1,(BL$4-1)*5+3)*(1+INDEX($Q491:$AJ491,1,(BL$4-1)*5+2)))</f>
        <v/>
      </c>
      <c r="BM491" s="25">
        <f>BL491*(1/(1+INDEX($Q491:$AJ491,1,(BM$4-1)*5+4)))^(1+INDEX($Q491:$AJ491,1,(BM$4-1)*5+2))*(1+BM$7)^INDEX($Q491:$AJ491,1,(BM$4-1)*5+1)*(BM361/BL361)^INDEX($Q491:$AJ491,1,(BM$4-1)*5+2)*(BM361/BL361)^(INDEX($Q491:$AJ491,1,(BM$4-1)*5+3)*(1+INDEX($Q491:$AJ491,1,(BM$4-1)*5+2)))</f>
        <v/>
      </c>
      <c r="BN491" s="25">
        <f>BM491*(1/(1+INDEX($Q491:$AJ491,1,(BN$4-1)*5+4)))^(1+INDEX($Q491:$AJ491,1,(BN$4-1)*5+2))*(1+BN$7)^INDEX($Q491:$AJ491,1,(BN$4-1)*5+1)*(BN361/BM361)^INDEX($Q491:$AJ491,1,(BN$4-1)*5+2)*(BN361/BM361)^(INDEX($Q491:$AJ491,1,(BN$4-1)*5+3)*(1+INDEX($Q491:$AJ491,1,(BN$4-1)*5+2)))</f>
        <v/>
      </c>
    </row>
    <row r="492">
      <c r="B492" s="5" t="inlineStr">
        <is>
          <t>die</t>
        </is>
      </c>
      <c r="C492" s="5" t="inlineStr">
        <is>
          <t>cem</t>
        </is>
      </c>
      <c r="D492" s="5" t="inlineStr">
        <is>
          <t>Fuel use | Cement | Diesel</t>
        </is>
      </c>
      <c r="E492" s="5" t="inlineStr">
        <is>
          <t>ktoe</t>
        </is>
      </c>
      <c r="F492" s="5" t="inlineStr">
        <is>
          <t>EnergyCons (base year), Elasticities</t>
        </is>
      </c>
      <c r="G492" s="19" t="inlineStr">
        <is>
          <t>mit.enc.die.cem</t>
        </is>
      </c>
      <c r="H492" s="19" t="inlineStr">
        <is>
          <t>mit.enc.die.cem</t>
        </is>
      </c>
      <c r="J492" s="5">
        <f>INDEX(Mapping!$C$5:$C$20,MATCH($C492,Mapping!$A$5:$A$20,0))</f>
        <v/>
      </c>
      <c r="K492" s="5">
        <f>INDEX(Mapping!$D$5:$D$20,MATCH($C492,Mapping!$A$5:$A$20,0))</f>
        <v/>
      </c>
      <c r="L492" s="5">
        <f>INDEX(Mapping!$C$24:$C$31,MATCH($B492,Mapping!$A$24:$A$31,0))</f>
        <v/>
      </c>
      <c r="M492" s="5">
        <f>INDEX(Mapping!$D$24:$D$31,MATCH($B492,Mapping!$A$24:$A$31,0))</f>
        <v/>
      </c>
      <c r="N492" s="5">
        <f>$B492&amp;"."&amp;IF(INDEX(Mapping!$E$24:$E$31,MATCH($B492,Mapping!$A$24:$A$31,0))="sub",INDEX(Mapping!$F$5:$F$20,MATCH($C492,Mapping!$A$5:$A$20,0)),"all")</f>
        <v/>
      </c>
      <c r="O492" s="5">
        <f>INDEX(Mapping!$E$5:$E$20,MATCH($C492,Mapping!$A$5:$A$20,0))</f>
        <v/>
      </c>
      <c r="P492" s="5">
        <f>INDEX(Mapping!$G$24:$G$31,MATCH($B492,Mapping!$A$24:$A$31,0))</f>
        <v/>
      </c>
      <c r="Q492" s="22">
        <f>INDEX(Elasticities!$F$4:$I$200,MATCH("inc|"&amp;$L492&amp;"|"&amp;$K492,Elasticities!$A$4:$A$200,0),MATCH(Settings!$C$6,Elasticities!$F$3:$I$3,0))</f>
        <v/>
      </c>
      <c r="R492" s="22">
        <f>INDEX(Elasticities!$F$4:$I$200,MATCH("usg|"&amp;$L492&amp;"|"&amp;$K492,Elasticities!$A$4:$A$200,0),MATCH(Settings!$C$6,Elasticities!$F$3:$I$3,0))</f>
        <v/>
      </c>
      <c r="S492" s="22">
        <f>INDEX(Elasticities!$F$4:$I$200,MATCH("eff|"&amp;$L492&amp;"|"&amp;$K492,Elasticities!$A$4:$A$200,0),MATCH(Settings!$C$6,Elasticities!$F$3:$I$3,0))</f>
        <v/>
      </c>
      <c r="T492" s="22">
        <f>INDEX(Elasticities!$F$4:$I$200,MATCH("aei|"&amp;$M492&amp;"|"&amp;$K492,Elasticities!$A$4:$A$200,0),MATCH(Settings!$C$6,Elasticities!$F$3:$I$3,0))</f>
        <v/>
      </c>
      <c r="U492" s="21" t="n"/>
      <c r="V492" s="22">
        <f>Q492</f>
        <v/>
      </c>
      <c r="W492" s="22">
        <f>R492</f>
        <v/>
      </c>
      <c r="X492" s="22">
        <f>S492</f>
        <v/>
      </c>
      <c r="Y492" s="22">
        <f>T492</f>
        <v/>
      </c>
      <c r="Z492" s="21" t="n"/>
      <c r="AA492" s="22">
        <f>Q492</f>
        <v/>
      </c>
      <c r="AB492" s="22">
        <f>R492</f>
        <v/>
      </c>
      <c r="AC492" s="22">
        <f>S492</f>
        <v/>
      </c>
      <c r="AD492" s="22">
        <f>T492</f>
        <v/>
      </c>
      <c r="AE492" s="21" t="n"/>
      <c r="AF492" s="22">
        <f>Q492</f>
        <v/>
      </c>
      <c r="AG492" s="22">
        <f>R492</f>
        <v/>
      </c>
      <c r="AH492" s="22">
        <f>S492</f>
        <v/>
      </c>
      <c r="AI492" s="22">
        <f>T492</f>
        <v/>
      </c>
      <c r="AJ492" s="21" t="n"/>
      <c r="AL492" s="24">
        <f>INDEX(EnergyCons!$F$4:$F$5000,MATCH(Settings!$C$4&amp;"|"&amp;AL$5&amp;"|"&amp;$C492&amp;"|"&amp;$B492,EnergyCons!$A$4:$A$5000,0))</f>
        <v/>
      </c>
      <c r="AM492" s="25">
        <f>AL492*(1/(1+INDEX($Q492:$AJ492,1,(AM$4-1)*5+4)))^(1+INDEX($Q492:$AJ492,1,(AM$4-1)*5+2))*(1+AM$7)^INDEX($Q492:$AJ492,1,(AM$4-1)*5+1)*(AM362/AL362)^INDEX($Q492:$AJ492,1,(AM$4-1)*5+2)*(AM362/AL362)^(INDEX($Q492:$AJ492,1,(AM$4-1)*5+3)*(1+INDEX($Q492:$AJ492,1,(AM$4-1)*5+2)))</f>
        <v/>
      </c>
      <c r="AN492" s="25">
        <f>AM492*(1/(1+INDEX($Q492:$AJ492,1,(AN$4-1)*5+4)))^(1+INDEX($Q492:$AJ492,1,(AN$4-1)*5+2))*(1+AN$7)^INDEX($Q492:$AJ492,1,(AN$4-1)*5+1)*(AN362/AM362)^INDEX($Q492:$AJ492,1,(AN$4-1)*5+2)*(AN362/AM362)^(INDEX($Q492:$AJ492,1,(AN$4-1)*5+3)*(1+INDEX($Q492:$AJ492,1,(AN$4-1)*5+2)))</f>
        <v/>
      </c>
      <c r="AO492" s="25">
        <f>AN492*(1/(1+INDEX($Q492:$AJ492,1,(AO$4-1)*5+4)))^(1+INDEX($Q492:$AJ492,1,(AO$4-1)*5+2))*(1+AO$7)^INDEX($Q492:$AJ492,1,(AO$4-1)*5+1)*(AO362/AN362)^INDEX($Q492:$AJ492,1,(AO$4-1)*5+2)*(AO362/AN362)^(INDEX($Q492:$AJ492,1,(AO$4-1)*5+3)*(1+INDEX($Q492:$AJ492,1,(AO$4-1)*5+2)))</f>
        <v/>
      </c>
      <c r="AP492" s="25">
        <f>AO492*(1/(1+INDEX($Q492:$AJ492,1,(AP$4-1)*5+4)))^(1+INDEX($Q492:$AJ492,1,(AP$4-1)*5+2))*(1+AP$7)^INDEX($Q492:$AJ492,1,(AP$4-1)*5+1)*(AP362/AO362)^INDEX($Q492:$AJ492,1,(AP$4-1)*5+2)*(AP362/AO362)^(INDEX($Q492:$AJ492,1,(AP$4-1)*5+3)*(1+INDEX($Q492:$AJ492,1,(AP$4-1)*5+2)))</f>
        <v/>
      </c>
      <c r="AQ492" s="25">
        <f>AP492*(1/(1+INDEX($Q492:$AJ492,1,(AQ$4-1)*5+4)))^(1+INDEX($Q492:$AJ492,1,(AQ$4-1)*5+2))*(1+AQ$7)^INDEX($Q492:$AJ492,1,(AQ$4-1)*5+1)*(AQ362/AP362)^INDEX($Q492:$AJ492,1,(AQ$4-1)*5+2)*(AQ362/AP362)^(INDEX($Q492:$AJ492,1,(AQ$4-1)*5+3)*(1+INDEX($Q492:$AJ492,1,(AQ$4-1)*5+2)))</f>
        <v/>
      </c>
      <c r="AR492" s="25">
        <f>AQ492*(1/(1+INDEX($Q492:$AJ492,1,(AR$4-1)*5+4)))^(1+INDEX($Q492:$AJ492,1,(AR$4-1)*5+2))*(1+AR$7)^INDEX($Q492:$AJ492,1,(AR$4-1)*5+1)*(AR362/AQ362)^INDEX($Q492:$AJ492,1,(AR$4-1)*5+2)*(AR362/AQ362)^(INDEX($Q492:$AJ492,1,(AR$4-1)*5+3)*(1+INDEX($Q492:$AJ492,1,(AR$4-1)*5+2)))</f>
        <v/>
      </c>
      <c r="AS492" s="25">
        <f>AR492*(1/(1+INDEX($Q492:$AJ492,1,(AS$4-1)*5+4)))^(1+INDEX($Q492:$AJ492,1,(AS$4-1)*5+2))*(1+AS$7)^INDEX($Q492:$AJ492,1,(AS$4-1)*5+1)*(AS362/AR362)^INDEX($Q492:$AJ492,1,(AS$4-1)*5+2)*(AS362/AR362)^(INDEX($Q492:$AJ492,1,(AS$4-1)*5+3)*(1+INDEX($Q492:$AJ492,1,(AS$4-1)*5+2)))</f>
        <v/>
      </c>
      <c r="AT492" s="25">
        <f>AS492*(1/(1+INDEX($Q492:$AJ492,1,(AT$4-1)*5+4)))^(1+INDEX($Q492:$AJ492,1,(AT$4-1)*5+2))*(1+AT$7)^INDEX($Q492:$AJ492,1,(AT$4-1)*5+1)*(AT362/AS362)^INDEX($Q492:$AJ492,1,(AT$4-1)*5+2)*(AT362/AS362)^(INDEX($Q492:$AJ492,1,(AT$4-1)*5+3)*(1+INDEX($Q492:$AJ492,1,(AT$4-1)*5+2)))</f>
        <v/>
      </c>
      <c r="AU492" s="25">
        <f>AT492*(1/(1+INDEX($Q492:$AJ492,1,(AU$4-1)*5+4)))^(1+INDEX($Q492:$AJ492,1,(AU$4-1)*5+2))*(1+AU$7)^INDEX($Q492:$AJ492,1,(AU$4-1)*5+1)*(AU362/AT362)^INDEX($Q492:$AJ492,1,(AU$4-1)*5+2)*(AU362/AT362)^(INDEX($Q492:$AJ492,1,(AU$4-1)*5+3)*(1+INDEX($Q492:$AJ492,1,(AU$4-1)*5+2)))</f>
        <v/>
      </c>
      <c r="AV492" s="25">
        <f>AU492*(1/(1+INDEX($Q492:$AJ492,1,(AV$4-1)*5+4)))^(1+INDEX($Q492:$AJ492,1,(AV$4-1)*5+2))*(1+AV$7)^INDEX($Q492:$AJ492,1,(AV$4-1)*5+1)*(AV362/AU362)^INDEX($Q492:$AJ492,1,(AV$4-1)*5+2)*(AV362/AU362)^(INDEX($Q492:$AJ492,1,(AV$4-1)*5+3)*(1+INDEX($Q492:$AJ492,1,(AV$4-1)*5+2)))</f>
        <v/>
      </c>
      <c r="AW492" s="25">
        <f>AV492*(1/(1+INDEX($Q492:$AJ492,1,(AW$4-1)*5+4)))^(1+INDEX($Q492:$AJ492,1,(AW$4-1)*5+2))*(1+AW$7)^INDEX($Q492:$AJ492,1,(AW$4-1)*5+1)*(AW362/AV362)^INDEX($Q492:$AJ492,1,(AW$4-1)*5+2)*(AW362/AV362)^(INDEX($Q492:$AJ492,1,(AW$4-1)*5+3)*(1+INDEX($Q492:$AJ492,1,(AW$4-1)*5+2)))</f>
        <v/>
      </c>
      <c r="AX492" s="25">
        <f>AW492*(1/(1+INDEX($Q492:$AJ492,1,(AX$4-1)*5+4)))^(1+INDEX($Q492:$AJ492,1,(AX$4-1)*5+2))*(1+AX$7)^INDEX($Q492:$AJ492,1,(AX$4-1)*5+1)*(AX362/AW362)^INDEX($Q492:$AJ492,1,(AX$4-1)*5+2)*(AX362/AW362)^(INDEX($Q492:$AJ492,1,(AX$4-1)*5+3)*(1+INDEX($Q492:$AJ492,1,(AX$4-1)*5+2)))</f>
        <v/>
      </c>
      <c r="AY492" s="25">
        <f>AX492*(1/(1+INDEX($Q492:$AJ492,1,(AY$4-1)*5+4)))^(1+INDEX($Q492:$AJ492,1,(AY$4-1)*5+2))*(1+AY$7)^INDEX($Q492:$AJ492,1,(AY$4-1)*5+1)*(AY362/AX362)^INDEX($Q492:$AJ492,1,(AY$4-1)*5+2)*(AY362/AX362)^(INDEX($Q492:$AJ492,1,(AY$4-1)*5+3)*(1+INDEX($Q492:$AJ492,1,(AY$4-1)*5+2)))</f>
        <v/>
      </c>
      <c r="BA492" s="24">
        <f>INDEX(EnergyCons!$F$4:$F$5000,MATCH(Settings!$C$4&amp;"|"&amp;BA$5&amp;"|"&amp;$C492&amp;"|"&amp;$B492,EnergyCons!$A$4:$A$5000,0))</f>
        <v/>
      </c>
      <c r="BB492" s="25">
        <f>BA492*(1/(1+INDEX($Q492:$AJ492,1,(BB$4-1)*5+4)))^(1+INDEX($Q492:$AJ492,1,(BB$4-1)*5+2))*(1+BB$7)^INDEX($Q492:$AJ492,1,(BB$4-1)*5+1)*(BB362/BA362)^INDEX($Q492:$AJ492,1,(BB$4-1)*5+2)*(BB362/BA362)^(INDEX($Q492:$AJ492,1,(BB$4-1)*5+3)*(1+INDEX($Q492:$AJ492,1,(BB$4-1)*5+2)))</f>
        <v/>
      </c>
      <c r="BC492" s="25">
        <f>BB492*(1/(1+INDEX($Q492:$AJ492,1,(BC$4-1)*5+4)))^(1+INDEX($Q492:$AJ492,1,(BC$4-1)*5+2))*(1+BC$7)^INDEX($Q492:$AJ492,1,(BC$4-1)*5+1)*(BC362/BB362)^INDEX($Q492:$AJ492,1,(BC$4-1)*5+2)*(BC362/BB362)^(INDEX($Q492:$AJ492,1,(BC$4-1)*5+3)*(1+INDEX($Q492:$AJ492,1,(BC$4-1)*5+2)))</f>
        <v/>
      </c>
      <c r="BD492" s="25">
        <f>BC492*(1/(1+INDEX($Q492:$AJ492,1,(BD$4-1)*5+4)))^(1+INDEX($Q492:$AJ492,1,(BD$4-1)*5+2))*(1+BD$7)^INDEX($Q492:$AJ492,1,(BD$4-1)*5+1)*(BD362/BC362)^INDEX($Q492:$AJ492,1,(BD$4-1)*5+2)*(BD362/BC362)^(INDEX($Q492:$AJ492,1,(BD$4-1)*5+3)*(1+INDEX($Q492:$AJ492,1,(BD$4-1)*5+2)))</f>
        <v/>
      </c>
      <c r="BE492" s="25">
        <f>BD492*(1/(1+INDEX($Q492:$AJ492,1,(BE$4-1)*5+4)))^(1+INDEX($Q492:$AJ492,1,(BE$4-1)*5+2))*(1+BE$7)^INDEX($Q492:$AJ492,1,(BE$4-1)*5+1)*(BE362/BD362)^INDEX($Q492:$AJ492,1,(BE$4-1)*5+2)*(BE362/BD362)^(INDEX($Q492:$AJ492,1,(BE$4-1)*5+3)*(1+INDEX($Q492:$AJ492,1,(BE$4-1)*5+2)))</f>
        <v/>
      </c>
      <c r="BF492" s="25">
        <f>BE492*(1/(1+INDEX($Q492:$AJ492,1,(BF$4-1)*5+4)))^(1+INDEX($Q492:$AJ492,1,(BF$4-1)*5+2))*(1+BF$7)^INDEX($Q492:$AJ492,1,(BF$4-1)*5+1)*(BF362/BE362)^INDEX($Q492:$AJ492,1,(BF$4-1)*5+2)*(BF362/BE362)^(INDEX($Q492:$AJ492,1,(BF$4-1)*5+3)*(1+INDEX($Q492:$AJ492,1,(BF$4-1)*5+2)))</f>
        <v/>
      </c>
      <c r="BG492" s="25">
        <f>BF492*(1/(1+INDEX($Q492:$AJ492,1,(BG$4-1)*5+4)))^(1+INDEX($Q492:$AJ492,1,(BG$4-1)*5+2))*(1+BG$7)^INDEX($Q492:$AJ492,1,(BG$4-1)*5+1)*(BG362/BF362)^INDEX($Q492:$AJ492,1,(BG$4-1)*5+2)*(BG362/BF362)^(INDEX($Q492:$AJ492,1,(BG$4-1)*5+3)*(1+INDEX($Q492:$AJ492,1,(BG$4-1)*5+2)))</f>
        <v/>
      </c>
      <c r="BH492" s="25">
        <f>BG492*(1/(1+INDEX($Q492:$AJ492,1,(BH$4-1)*5+4)))^(1+INDEX($Q492:$AJ492,1,(BH$4-1)*5+2))*(1+BH$7)^INDEX($Q492:$AJ492,1,(BH$4-1)*5+1)*(BH362/BG362)^INDEX($Q492:$AJ492,1,(BH$4-1)*5+2)*(BH362/BG362)^(INDEX($Q492:$AJ492,1,(BH$4-1)*5+3)*(1+INDEX($Q492:$AJ492,1,(BH$4-1)*5+2)))</f>
        <v/>
      </c>
      <c r="BI492" s="25">
        <f>BH492*(1/(1+INDEX($Q492:$AJ492,1,(BI$4-1)*5+4)))^(1+INDEX($Q492:$AJ492,1,(BI$4-1)*5+2))*(1+BI$7)^INDEX($Q492:$AJ492,1,(BI$4-1)*5+1)*(BI362/BH362)^INDEX($Q492:$AJ492,1,(BI$4-1)*5+2)*(BI362/BH362)^(INDEX($Q492:$AJ492,1,(BI$4-1)*5+3)*(1+INDEX($Q492:$AJ492,1,(BI$4-1)*5+2)))</f>
        <v/>
      </c>
      <c r="BJ492" s="25">
        <f>BI492*(1/(1+INDEX($Q492:$AJ492,1,(BJ$4-1)*5+4)))^(1+INDEX($Q492:$AJ492,1,(BJ$4-1)*5+2))*(1+BJ$7)^INDEX($Q492:$AJ492,1,(BJ$4-1)*5+1)*(BJ362/BI362)^INDEX($Q492:$AJ492,1,(BJ$4-1)*5+2)*(BJ362/BI362)^(INDEX($Q492:$AJ492,1,(BJ$4-1)*5+3)*(1+INDEX($Q492:$AJ492,1,(BJ$4-1)*5+2)))</f>
        <v/>
      </c>
      <c r="BK492" s="25">
        <f>BJ492*(1/(1+INDEX($Q492:$AJ492,1,(BK$4-1)*5+4)))^(1+INDEX($Q492:$AJ492,1,(BK$4-1)*5+2))*(1+BK$7)^INDEX($Q492:$AJ492,1,(BK$4-1)*5+1)*(BK362/BJ362)^INDEX($Q492:$AJ492,1,(BK$4-1)*5+2)*(BK362/BJ362)^(INDEX($Q492:$AJ492,1,(BK$4-1)*5+3)*(1+INDEX($Q492:$AJ492,1,(BK$4-1)*5+2)))</f>
        <v/>
      </c>
      <c r="BL492" s="25">
        <f>BK492*(1/(1+INDEX($Q492:$AJ492,1,(BL$4-1)*5+4)))^(1+INDEX($Q492:$AJ492,1,(BL$4-1)*5+2))*(1+BL$7)^INDEX($Q492:$AJ492,1,(BL$4-1)*5+1)*(BL362/BK362)^INDEX($Q492:$AJ492,1,(BL$4-1)*5+2)*(BL362/BK362)^(INDEX($Q492:$AJ492,1,(BL$4-1)*5+3)*(1+INDEX($Q492:$AJ492,1,(BL$4-1)*5+2)))</f>
        <v/>
      </c>
      <c r="BM492" s="25">
        <f>BL492*(1/(1+INDEX($Q492:$AJ492,1,(BM$4-1)*5+4)))^(1+INDEX($Q492:$AJ492,1,(BM$4-1)*5+2))*(1+BM$7)^INDEX($Q492:$AJ492,1,(BM$4-1)*5+1)*(BM362/BL362)^INDEX($Q492:$AJ492,1,(BM$4-1)*5+2)*(BM362/BL362)^(INDEX($Q492:$AJ492,1,(BM$4-1)*5+3)*(1+INDEX($Q492:$AJ492,1,(BM$4-1)*5+2)))</f>
        <v/>
      </c>
      <c r="BN492" s="25">
        <f>BM492*(1/(1+INDEX($Q492:$AJ492,1,(BN$4-1)*5+4)))^(1+INDEX($Q492:$AJ492,1,(BN$4-1)*5+2))*(1+BN$7)^INDEX($Q492:$AJ492,1,(BN$4-1)*5+1)*(BN362/BM362)^INDEX($Q492:$AJ492,1,(BN$4-1)*5+2)*(BN362/BM362)^(INDEX($Q492:$AJ492,1,(BN$4-1)*5+3)*(1+INDEX($Q492:$AJ492,1,(BN$4-1)*5+2)))</f>
        <v/>
      </c>
    </row>
    <row r="493">
      <c r="B493" s="5" t="inlineStr">
        <is>
          <t>lpg</t>
        </is>
      </c>
      <c r="C493" s="5" t="inlineStr">
        <is>
          <t>cem</t>
        </is>
      </c>
      <c r="D493" s="5" t="inlineStr">
        <is>
          <t>Fuel use | Cement | LPG</t>
        </is>
      </c>
      <c r="E493" s="5" t="inlineStr">
        <is>
          <t>ktoe</t>
        </is>
      </c>
      <c r="F493" s="5" t="inlineStr">
        <is>
          <t>EnergyCons (base year), Elasticities</t>
        </is>
      </c>
      <c r="G493" s="19" t="inlineStr">
        <is>
          <t>mit.enc.lpg.cem</t>
        </is>
      </c>
      <c r="H493" s="19" t="inlineStr">
        <is>
          <t>mit.enc.lpg.cem</t>
        </is>
      </c>
      <c r="J493" s="5">
        <f>INDEX(Mapping!$C$5:$C$20,MATCH($C493,Mapping!$A$5:$A$20,0))</f>
        <v/>
      </c>
      <c r="K493" s="5">
        <f>INDEX(Mapping!$D$5:$D$20,MATCH($C493,Mapping!$A$5:$A$20,0))</f>
        <v/>
      </c>
      <c r="L493" s="5">
        <f>INDEX(Mapping!$C$24:$C$31,MATCH($B493,Mapping!$A$24:$A$31,0))</f>
        <v/>
      </c>
      <c r="M493" s="5">
        <f>INDEX(Mapping!$D$24:$D$31,MATCH($B493,Mapping!$A$24:$A$31,0))</f>
        <v/>
      </c>
      <c r="N493" s="5">
        <f>$B493&amp;"."&amp;IF(INDEX(Mapping!$E$24:$E$31,MATCH($B493,Mapping!$A$24:$A$31,0))="sub",INDEX(Mapping!$F$5:$F$20,MATCH($C493,Mapping!$A$5:$A$20,0)),"all")</f>
        <v/>
      </c>
      <c r="O493" s="5">
        <f>INDEX(Mapping!$E$5:$E$20,MATCH($C493,Mapping!$A$5:$A$20,0))</f>
        <v/>
      </c>
      <c r="P493" s="5">
        <f>INDEX(Mapping!$G$24:$G$31,MATCH($B493,Mapping!$A$24:$A$31,0))</f>
        <v/>
      </c>
      <c r="Q493" s="22">
        <f>INDEX(Elasticities!$F$4:$I$200,MATCH("inc|"&amp;$L493&amp;"|"&amp;$K493,Elasticities!$A$4:$A$200,0),MATCH(Settings!$C$6,Elasticities!$F$3:$I$3,0))</f>
        <v/>
      </c>
      <c r="R493" s="22">
        <f>INDEX(Elasticities!$F$4:$I$200,MATCH("usg|"&amp;$L493&amp;"|"&amp;$K493,Elasticities!$A$4:$A$200,0),MATCH(Settings!$C$6,Elasticities!$F$3:$I$3,0))</f>
        <v/>
      </c>
      <c r="S493" s="22">
        <f>INDEX(Elasticities!$F$4:$I$200,MATCH("eff|"&amp;$L493&amp;"|"&amp;$K493,Elasticities!$A$4:$A$200,0),MATCH(Settings!$C$6,Elasticities!$F$3:$I$3,0))</f>
        <v/>
      </c>
      <c r="T493" s="22">
        <f>INDEX(Elasticities!$F$4:$I$200,MATCH("aei|"&amp;$M493&amp;"|"&amp;$K493,Elasticities!$A$4:$A$200,0),MATCH(Settings!$C$6,Elasticities!$F$3:$I$3,0))</f>
        <v/>
      </c>
      <c r="U493" s="21" t="n"/>
      <c r="V493" s="22">
        <f>Q493</f>
        <v/>
      </c>
      <c r="W493" s="22">
        <f>R493</f>
        <v/>
      </c>
      <c r="X493" s="22">
        <f>S493</f>
        <v/>
      </c>
      <c r="Y493" s="22">
        <f>T493</f>
        <v/>
      </c>
      <c r="Z493" s="21" t="n"/>
      <c r="AA493" s="22">
        <f>Q493</f>
        <v/>
      </c>
      <c r="AB493" s="22">
        <f>R493</f>
        <v/>
      </c>
      <c r="AC493" s="22">
        <f>S493</f>
        <v/>
      </c>
      <c r="AD493" s="22">
        <f>T493</f>
        <v/>
      </c>
      <c r="AE493" s="21" t="n"/>
      <c r="AF493" s="22">
        <f>Q493</f>
        <v/>
      </c>
      <c r="AG493" s="22">
        <f>R493</f>
        <v/>
      </c>
      <c r="AH493" s="22">
        <f>S493</f>
        <v/>
      </c>
      <c r="AI493" s="22">
        <f>T493</f>
        <v/>
      </c>
      <c r="AJ493" s="21" t="n"/>
      <c r="AL493" s="24">
        <f>INDEX(EnergyCons!$F$4:$F$5000,MATCH(Settings!$C$4&amp;"|"&amp;AL$5&amp;"|"&amp;$C493&amp;"|"&amp;$B493,EnergyCons!$A$4:$A$5000,0))</f>
        <v/>
      </c>
      <c r="AM493" s="25">
        <f>AL493*(1/(1+INDEX($Q493:$AJ493,1,(AM$4-1)*5+4)))^(1+INDEX($Q493:$AJ493,1,(AM$4-1)*5+2))*(1+AM$7)^INDEX($Q493:$AJ493,1,(AM$4-1)*5+1)*(AM363/AL363)^INDEX($Q493:$AJ493,1,(AM$4-1)*5+2)*(AM363/AL363)^(INDEX($Q493:$AJ493,1,(AM$4-1)*5+3)*(1+INDEX($Q493:$AJ493,1,(AM$4-1)*5+2)))</f>
        <v/>
      </c>
      <c r="AN493" s="25">
        <f>AM493*(1/(1+INDEX($Q493:$AJ493,1,(AN$4-1)*5+4)))^(1+INDEX($Q493:$AJ493,1,(AN$4-1)*5+2))*(1+AN$7)^INDEX($Q493:$AJ493,1,(AN$4-1)*5+1)*(AN363/AM363)^INDEX($Q493:$AJ493,1,(AN$4-1)*5+2)*(AN363/AM363)^(INDEX($Q493:$AJ493,1,(AN$4-1)*5+3)*(1+INDEX($Q493:$AJ493,1,(AN$4-1)*5+2)))</f>
        <v/>
      </c>
      <c r="AO493" s="25">
        <f>AN493*(1/(1+INDEX($Q493:$AJ493,1,(AO$4-1)*5+4)))^(1+INDEX($Q493:$AJ493,1,(AO$4-1)*5+2))*(1+AO$7)^INDEX($Q493:$AJ493,1,(AO$4-1)*5+1)*(AO363/AN363)^INDEX($Q493:$AJ493,1,(AO$4-1)*5+2)*(AO363/AN363)^(INDEX($Q493:$AJ493,1,(AO$4-1)*5+3)*(1+INDEX($Q493:$AJ493,1,(AO$4-1)*5+2)))</f>
        <v/>
      </c>
      <c r="AP493" s="25">
        <f>AO493*(1/(1+INDEX($Q493:$AJ493,1,(AP$4-1)*5+4)))^(1+INDEX($Q493:$AJ493,1,(AP$4-1)*5+2))*(1+AP$7)^INDEX($Q493:$AJ493,1,(AP$4-1)*5+1)*(AP363/AO363)^INDEX($Q493:$AJ493,1,(AP$4-1)*5+2)*(AP363/AO363)^(INDEX($Q493:$AJ493,1,(AP$4-1)*5+3)*(1+INDEX($Q493:$AJ493,1,(AP$4-1)*5+2)))</f>
        <v/>
      </c>
      <c r="AQ493" s="25">
        <f>AP493*(1/(1+INDEX($Q493:$AJ493,1,(AQ$4-1)*5+4)))^(1+INDEX($Q493:$AJ493,1,(AQ$4-1)*5+2))*(1+AQ$7)^INDEX($Q493:$AJ493,1,(AQ$4-1)*5+1)*(AQ363/AP363)^INDEX($Q493:$AJ493,1,(AQ$4-1)*5+2)*(AQ363/AP363)^(INDEX($Q493:$AJ493,1,(AQ$4-1)*5+3)*(1+INDEX($Q493:$AJ493,1,(AQ$4-1)*5+2)))</f>
        <v/>
      </c>
      <c r="AR493" s="25">
        <f>AQ493*(1/(1+INDEX($Q493:$AJ493,1,(AR$4-1)*5+4)))^(1+INDEX($Q493:$AJ493,1,(AR$4-1)*5+2))*(1+AR$7)^INDEX($Q493:$AJ493,1,(AR$4-1)*5+1)*(AR363/AQ363)^INDEX($Q493:$AJ493,1,(AR$4-1)*5+2)*(AR363/AQ363)^(INDEX($Q493:$AJ493,1,(AR$4-1)*5+3)*(1+INDEX($Q493:$AJ493,1,(AR$4-1)*5+2)))</f>
        <v/>
      </c>
      <c r="AS493" s="25">
        <f>AR493*(1/(1+INDEX($Q493:$AJ493,1,(AS$4-1)*5+4)))^(1+INDEX($Q493:$AJ493,1,(AS$4-1)*5+2))*(1+AS$7)^INDEX($Q493:$AJ493,1,(AS$4-1)*5+1)*(AS363/AR363)^INDEX($Q493:$AJ493,1,(AS$4-1)*5+2)*(AS363/AR363)^(INDEX($Q493:$AJ493,1,(AS$4-1)*5+3)*(1+INDEX($Q493:$AJ493,1,(AS$4-1)*5+2)))</f>
        <v/>
      </c>
      <c r="AT493" s="25">
        <f>AS493*(1/(1+INDEX($Q493:$AJ493,1,(AT$4-1)*5+4)))^(1+INDEX($Q493:$AJ493,1,(AT$4-1)*5+2))*(1+AT$7)^INDEX($Q493:$AJ493,1,(AT$4-1)*5+1)*(AT363/AS363)^INDEX($Q493:$AJ493,1,(AT$4-1)*5+2)*(AT363/AS363)^(INDEX($Q493:$AJ493,1,(AT$4-1)*5+3)*(1+INDEX($Q493:$AJ493,1,(AT$4-1)*5+2)))</f>
        <v/>
      </c>
      <c r="AU493" s="25">
        <f>AT493*(1/(1+INDEX($Q493:$AJ493,1,(AU$4-1)*5+4)))^(1+INDEX($Q493:$AJ493,1,(AU$4-1)*5+2))*(1+AU$7)^INDEX($Q493:$AJ493,1,(AU$4-1)*5+1)*(AU363/AT363)^INDEX($Q493:$AJ493,1,(AU$4-1)*5+2)*(AU363/AT363)^(INDEX($Q493:$AJ493,1,(AU$4-1)*5+3)*(1+INDEX($Q493:$AJ493,1,(AU$4-1)*5+2)))</f>
        <v/>
      </c>
      <c r="AV493" s="25">
        <f>AU493*(1/(1+INDEX($Q493:$AJ493,1,(AV$4-1)*5+4)))^(1+INDEX($Q493:$AJ493,1,(AV$4-1)*5+2))*(1+AV$7)^INDEX($Q493:$AJ493,1,(AV$4-1)*5+1)*(AV363/AU363)^INDEX($Q493:$AJ493,1,(AV$4-1)*5+2)*(AV363/AU363)^(INDEX($Q493:$AJ493,1,(AV$4-1)*5+3)*(1+INDEX($Q493:$AJ493,1,(AV$4-1)*5+2)))</f>
        <v/>
      </c>
      <c r="AW493" s="25">
        <f>AV493*(1/(1+INDEX($Q493:$AJ493,1,(AW$4-1)*5+4)))^(1+INDEX($Q493:$AJ493,1,(AW$4-1)*5+2))*(1+AW$7)^INDEX($Q493:$AJ493,1,(AW$4-1)*5+1)*(AW363/AV363)^INDEX($Q493:$AJ493,1,(AW$4-1)*5+2)*(AW363/AV363)^(INDEX($Q493:$AJ493,1,(AW$4-1)*5+3)*(1+INDEX($Q493:$AJ493,1,(AW$4-1)*5+2)))</f>
        <v/>
      </c>
      <c r="AX493" s="25">
        <f>AW493*(1/(1+INDEX($Q493:$AJ493,1,(AX$4-1)*5+4)))^(1+INDEX($Q493:$AJ493,1,(AX$4-1)*5+2))*(1+AX$7)^INDEX($Q493:$AJ493,1,(AX$4-1)*5+1)*(AX363/AW363)^INDEX($Q493:$AJ493,1,(AX$4-1)*5+2)*(AX363/AW363)^(INDEX($Q493:$AJ493,1,(AX$4-1)*5+3)*(1+INDEX($Q493:$AJ493,1,(AX$4-1)*5+2)))</f>
        <v/>
      </c>
      <c r="AY493" s="25">
        <f>AX493*(1/(1+INDEX($Q493:$AJ493,1,(AY$4-1)*5+4)))^(1+INDEX($Q493:$AJ493,1,(AY$4-1)*5+2))*(1+AY$7)^INDEX($Q493:$AJ493,1,(AY$4-1)*5+1)*(AY363/AX363)^INDEX($Q493:$AJ493,1,(AY$4-1)*5+2)*(AY363/AX363)^(INDEX($Q493:$AJ493,1,(AY$4-1)*5+3)*(1+INDEX($Q493:$AJ493,1,(AY$4-1)*5+2)))</f>
        <v/>
      </c>
      <c r="BA493" s="24">
        <f>INDEX(EnergyCons!$F$4:$F$5000,MATCH(Settings!$C$4&amp;"|"&amp;BA$5&amp;"|"&amp;$C493&amp;"|"&amp;$B493,EnergyCons!$A$4:$A$5000,0))</f>
        <v/>
      </c>
      <c r="BB493" s="25">
        <f>BA493*(1/(1+INDEX($Q493:$AJ493,1,(BB$4-1)*5+4)))^(1+INDEX($Q493:$AJ493,1,(BB$4-1)*5+2))*(1+BB$7)^INDEX($Q493:$AJ493,1,(BB$4-1)*5+1)*(BB363/BA363)^INDEX($Q493:$AJ493,1,(BB$4-1)*5+2)*(BB363/BA363)^(INDEX($Q493:$AJ493,1,(BB$4-1)*5+3)*(1+INDEX($Q493:$AJ493,1,(BB$4-1)*5+2)))</f>
        <v/>
      </c>
      <c r="BC493" s="25">
        <f>BB493*(1/(1+INDEX($Q493:$AJ493,1,(BC$4-1)*5+4)))^(1+INDEX($Q493:$AJ493,1,(BC$4-1)*5+2))*(1+BC$7)^INDEX($Q493:$AJ493,1,(BC$4-1)*5+1)*(BC363/BB363)^INDEX($Q493:$AJ493,1,(BC$4-1)*5+2)*(BC363/BB363)^(INDEX($Q493:$AJ493,1,(BC$4-1)*5+3)*(1+INDEX($Q493:$AJ493,1,(BC$4-1)*5+2)))</f>
        <v/>
      </c>
      <c r="BD493" s="25">
        <f>BC493*(1/(1+INDEX($Q493:$AJ493,1,(BD$4-1)*5+4)))^(1+INDEX($Q493:$AJ493,1,(BD$4-1)*5+2))*(1+BD$7)^INDEX($Q493:$AJ493,1,(BD$4-1)*5+1)*(BD363/BC363)^INDEX($Q493:$AJ493,1,(BD$4-1)*5+2)*(BD363/BC363)^(INDEX($Q493:$AJ493,1,(BD$4-1)*5+3)*(1+INDEX($Q493:$AJ493,1,(BD$4-1)*5+2)))</f>
        <v/>
      </c>
      <c r="BE493" s="25">
        <f>BD493*(1/(1+INDEX($Q493:$AJ493,1,(BE$4-1)*5+4)))^(1+INDEX($Q493:$AJ493,1,(BE$4-1)*5+2))*(1+BE$7)^INDEX($Q493:$AJ493,1,(BE$4-1)*5+1)*(BE363/BD363)^INDEX($Q493:$AJ493,1,(BE$4-1)*5+2)*(BE363/BD363)^(INDEX($Q493:$AJ493,1,(BE$4-1)*5+3)*(1+INDEX($Q493:$AJ493,1,(BE$4-1)*5+2)))</f>
        <v/>
      </c>
      <c r="BF493" s="25">
        <f>BE493*(1/(1+INDEX($Q493:$AJ493,1,(BF$4-1)*5+4)))^(1+INDEX($Q493:$AJ493,1,(BF$4-1)*5+2))*(1+BF$7)^INDEX($Q493:$AJ493,1,(BF$4-1)*5+1)*(BF363/BE363)^INDEX($Q493:$AJ493,1,(BF$4-1)*5+2)*(BF363/BE363)^(INDEX($Q493:$AJ493,1,(BF$4-1)*5+3)*(1+INDEX($Q493:$AJ493,1,(BF$4-1)*5+2)))</f>
        <v/>
      </c>
      <c r="BG493" s="25">
        <f>BF493*(1/(1+INDEX($Q493:$AJ493,1,(BG$4-1)*5+4)))^(1+INDEX($Q493:$AJ493,1,(BG$4-1)*5+2))*(1+BG$7)^INDEX($Q493:$AJ493,1,(BG$4-1)*5+1)*(BG363/BF363)^INDEX($Q493:$AJ493,1,(BG$4-1)*5+2)*(BG363/BF363)^(INDEX($Q493:$AJ493,1,(BG$4-1)*5+3)*(1+INDEX($Q493:$AJ493,1,(BG$4-1)*5+2)))</f>
        <v/>
      </c>
      <c r="BH493" s="25">
        <f>BG493*(1/(1+INDEX($Q493:$AJ493,1,(BH$4-1)*5+4)))^(1+INDEX($Q493:$AJ493,1,(BH$4-1)*5+2))*(1+BH$7)^INDEX($Q493:$AJ493,1,(BH$4-1)*5+1)*(BH363/BG363)^INDEX($Q493:$AJ493,1,(BH$4-1)*5+2)*(BH363/BG363)^(INDEX($Q493:$AJ493,1,(BH$4-1)*5+3)*(1+INDEX($Q493:$AJ493,1,(BH$4-1)*5+2)))</f>
        <v/>
      </c>
      <c r="BI493" s="25">
        <f>BH493*(1/(1+INDEX($Q493:$AJ493,1,(BI$4-1)*5+4)))^(1+INDEX($Q493:$AJ493,1,(BI$4-1)*5+2))*(1+BI$7)^INDEX($Q493:$AJ493,1,(BI$4-1)*5+1)*(BI363/BH363)^INDEX($Q493:$AJ493,1,(BI$4-1)*5+2)*(BI363/BH363)^(INDEX($Q493:$AJ493,1,(BI$4-1)*5+3)*(1+INDEX($Q493:$AJ493,1,(BI$4-1)*5+2)))</f>
        <v/>
      </c>
      <c r="BJ493" s="25">
        <f>BI493*(1/(1+INDEX($Q493:$AJ493,1,(BJ$4-1)*5+4)))^(1+INDEX($Q493:$AJ493,1,(BJ$4-1)*5+2))*(1+BJ$7)^INDEX($Q493:$AJ493,1,(BJ$4-1)*5+1)*(BJ363/BI363)^INDEX($Q493:$AJ493,1,(BJ$4-1)*5+2)*(BJ363/BI363)^(INDEX($Q493:$AJ493,1,(BJ$4-1)*5+3)*(1+INDEX($Q493:$AJ493,1,(BJ$4-1)*5+2)))</f>
        <v/>
      </c>
      <c r="BK493" s="25">
        <f>BJ493*(1/(1+INDEX($Q493:$AJ493,1,(BK$4-1)*5+4)))^(1+INDEX($Q493:$AJ493,1,(BK$4-1)*5+2))*(1+BK$7)^INDEX($Q493:$AJ493,1,(BK$4-1)*5+1)*(BK363/BJ363)^INDEX($Q493:$AJ493,1,(BK$4-1)*5+2)*(BK363/BJ363)^(INDEX($Q493:$AJ493,1,(BK$4-1)*5+3)*(1+INDEX($Q493:$AJ493,1,(BK$4-1)*5+2)))</f>
        <v/>
      </c>
      <c r="BL493" s="25">
        <f>BK493*(1/(1+INDEX($Q493:$AJ493,1,(BL$4-1)*5+4)))^(1+INDEX($Q493:$AJ493,1,(BL$4-1)*5+2))*(1+BL$7)^INDEX($Q493:$AJ493,1,(BL$4-1)*5+1)*(BL363/BK363)^INDEX($Q493:$AJ493,1,(BL$4-1)*5+2)*(BL363/BK363)^(INDEX($Q493:$AJ493,1,(BL$4-1)*5+3)*(1+INDEX($Q493:$AJ493,1,(BL$4-1)*5+2)))</f>
        <v/>
      </c>
      <c r="BM493" s="25">
        <f>BL493*(1/(1+INDEX($Q493:$AJ493,1,(BM$4-1)*5+4)))^(1+INDEX($Q493:$AJ493,1,(BM$4-1)*5+2))*(1+BM$7)^INDEX($Q493:$AJ493,1,(BM$4-1)*5+1)*(BM363/BL363)^INDEX($Q493:$AJ493,1,(BM$4-1)*5+2)*(BM363/BL363)^(INDEX($Q493:$AJ493,1,(BM$4-1)*5+3)*(1+INDEX($Q493:$AJ493,1,(BM$4-1)*5+2)))</f>
        <v/>
      </c>
      <c r="BN493" s="25">
        <f>BM493*(1/(1+INDEX($Q493:$AJ493,1,(BN$4-1)*5+4)))^(1+INDEX($Q493:$AJ493,1,(BN$4-1)*5+2))*(1+BN$7)^INDEX($Q493:$AJ493,1,(BN$4-1)*5+1)*(BN363/BM363)^INDEX($Q493:$AJ493,1,(BN$4-1)*5+2)*(BN363/BM363)^(INDEX($Q493:$AJ493,1,(BN$4-1)*5+3)*(1+INDEX($Q493:$AJ493,1,(BN$4-1)*5+2)))</f>
        <v/>
      </c>
    </row>
    <row r="494">
      <c r="B494" s="5" t="inlineStr">
        <is>
          <t>ker</t>
        </is>
      </c>
      <c r="C494" s="5" t="inlineStr">
        <is>
          <t>cem</t>
        </is>
      </c>
      <c r="D494" s="5" t="inlineStr">
        <is>
          <t>Fuel use | Cement | Kerosene</t>
        </is>
      </c>
      <c r="E494" s="5" t="inlineStr">
        <is>
          <t>ktoe</t>
        </is>
      </c>
      <c r="F494" s="5" t="inlineStr">
        <is>
          <t>EnergyCons (base year), Elasticities</t>
        </is>
      </c>
      <c r="G494" s="19" t="inlineStr">
        <is>
          <t>mit.enc.ker.cem</t>
        </is>
      </c>
      <c r="H494" s="19" t="inlineStr">
        <is>
          <t>mit.enc.ker.cem</t>
        </is>
      </c>
      <c r="J494" s="5">
        <f>INDEX(Mapping!$C$5:$C$20,MATCH($C494,Mapping!$A$5:$A$20,0))</f>
        <v/>
      </c>
      <c r="K494" s="5">
        <f>INDEX(Mapping!$D$5:$D$20,MATCH($C494,Mapping!$A$5:$A$20,0))</f>
        <v/>
      </c>
      <c r="L494" s="5">
        <f>INDEX(Mapping!$C$24:$C$31,MATCH($B494,Mapping!$A$24:$A$31,0))</f>
        <v/>
      </c>
      <c r="M494" s="5">
        <f>INDEX(Mapping!$D$24:$D$31,MATCH($B494,Mapping!$A$24:$A$31,0))</f>
        <v/>
      </c>
      <c r="N494" s="5">
        <f>$B494&amp;"."&amp;IF(INDEX(Mapping!$E$24:$E$31,MATCH($B494,Mapping!$A$24:$A$31,0))="sub",INDEX(Mapping!$F$5:$F$20,MATCH($C494,Mapping!$A$5:$A$20,0)),"all")</f>
        <v/>
      </c>
      <c r="O494" s="5">
        <f>INDEX(Mapping!$E$5:$E$20,MATCH($C494,Mapping!$A$5:$A$20,0))</f>
        <v/>
      </c>
      <c r="P494" s="5">
        <f>INDEX(Mapping!$G$24:$G$31,MATCH($B494,Mapping!$A$24:$A$31,0))</f>
        <v/>
      </c>
      <c r="Q494" s="22">
        <f>INDEX(Elasticities!$F$4:$I$200,MATCH("inc|"&amp;$L494&amp;"|"&amp;$K494,Elasticities!$A$4:$A$200,0),MATCH(Settings!$C$6,Elasticities!$F$3:$I$3,0))</f>
        <v/>
      </c>
      <c r="R494" s="22">
        <f>INDEX(Elasticities!$F$4:$I$200,MATCH("usg|"&amp;$L494&amp;"|"&amp;$K494,Elasticities!$A$4:$A$200,0),MATCH(Settings!$C$6,Elasticities!$F$3:$I$3,0))</f>
        <v/>
      </c>
      <c r="S494" s="22">
        <f>INDEX(Elasticities!$F$4:$I$200,MATCH("eff|"&amp;$L494&amp;"|"&amp;$K494,Elasticities!$A$4:$A$200,0),MATCH(Settings!$C$6,Elasticities!$F$3:$I$3,0))</f>
        <v/>
      </c>
      <c r="T494" s="22">
        <f>INDEX(Elasticities!$F$4:$I$200,MATCH("aei|"&amp;$M494&amp;"|"&amp;$K494,Elasticities!$A$4:$A$200,0),MATCH(Settings!$C$6,Elasticities!$F$3:$I$3,0))</f>
        <v/>
      </c>
      <c r="U494" s="21" t="n"/>
      <c r="V494" s="22">
        <f>Q494</f>
        <v/>
      </c>
      <c r="W494" s="22">
        <f>R494</f>
        <v/>
      </c>
      <c r="X494" s="22">
        <f>S494</f>
        <v/>
      </c>
      <c r="Y494" s="22">
        <f>T494</f>
        <v/>
      </c>
      <c r="Z494" s="21" t="n"/>
      <c r="AA494" s="22">
        <f>Q494</f>
        <v/>
      </c>
      <c r="AB494" s="22">
        <f>R494</f>
        <v/>
      </c>
      <c r="AC494" s="22">
        <f>S494</f>
        <v/>
      </c>
      <c r="AD494" s="22">
        <f>T494</f>
        <v/>
      </c>
      <c r="AE494" s="21" t="n"/>
      <c r="AF494" s="22">
        <f>Q494</f>
        <v/>
      </c>
      <c r="AG494" s="22">
        <f>R494</f>
        <v/>
      </c>
      <c r="AH494" s="22">
        <f>S494</f>
        <v/>
      </c>
      <c r="AI494" s="22">
        <f>T494</f>
        <v/>
      </c>
      <c r="AJ494" s="21" t="n"/>
      <c r="AL494" s="24">
        <f>INDEX(EnergyCons!$F$4:$F$5000,MATCH(Settings!$C$4&amp;"|"&amp;AL$5&amp;"|"&amp;$C494&amp;"|"&amp;$B494,EnergyCons!$A$4:$A$5000,0))</f>
        <v/>
      </c>
      <c r="AM494" s="25">
        <f>AL494*(1/(1+INDEX($Q494:$AJ494,1,(AM$4-1)*5+4)))^(1+INDEX($Q494:$AJ494,1,(AM$4-1)*5+2))*(1+AM$7)^INDEX($Q494:$AJ494,1,(AM$4-1)*5+1)*(AM364/AL364)^INDEX($Q494:$AJ494,1,(AM$4-1)*5+2)*(AM364/AL364)^(INDEX($Q494:$AJ494,1,(AM$4-1)*5+3)*(1+INDEX($Q494:$AJ494,1,(AM$4-1)*5+2)))</f>
        <v/>
      </c>
      <c r="AN494" s="25">
        <f>AM494*(1/(1+INDEX($Q494:$AJ494,1,(AN$4-1)*5+4)))^(1+INDEX($Q494:$AJ494,1,(AN$4-1)*5+2))*(1+AN$7)^INDEX($Q494:$AJ494,1,(AN$4-1)*5+1)*(AN364/AM364)^INDEX($Q494:$AJ494,1,(AN$4-1)*5+2)*(AN364/AM364)^(INDEX($Q494:$AJ494,1,(AN$4-1)*5+3)*(1+INDEX($Q494:$AJ494,1,(AN$4-1)*5+2)))</f>
        <v/>
      </c>
      <c r="AO494" s="25">
        <f>AN494*(1/(1+INDEX($Q494:$AJ494,1,(AO$4-1)*5+4)))^(1+INDEX($Q494:$AJ494,1,(AO$4-1)*5+2))*(1+AO$7)^INDEX($Q494:$AJ494,1,(AO$4-1)*5+1)*(AO364/AN364)^INDEX($Q494:$AJ494,1,(AO$4-1)*5+2)*(AO364/AN364)^(INDEX($Q494:$AJ494,1,(AO$4-1)*5+3)*(1+INDEX($Q494:$AJ494,1,(AO$4-1)*5+2)))</f>
        <v/>
      </c>
      <c r="AP494" s="25">
        <f>AO494*(1/(1+INDEX($Q494:$AJ494,1,(AP$4-1)*5+4)))^(1+INDEX($Q494:$AJ494,1,(AP$4-1)*5+2))*(1+AP$7)^INDEX($Q494:$AJ494,1,(AP$4-1)*5+1)*(AP364/AO364)^INDEX($Q494:$AJ494,1,(AP$4-1)*5+2)*(AP364/AO364)^(INDEX($Q494:$AJ494,1,(AP$4-1)*5+3)*(1+INDEX($Q494:$AJ494,1,(AP$4-1)*5+2)))</f>
        <v/>
      </c>
      <c r="AQ494" s="25">
        <f>AP494*(1/(1+INDEX($Q494:$AJ494,1,(AQ$4-1)*5+4)))^(1+INDEX($Q494:$AJ494,1,(AQ$4-1)*5+2))*(1+AQ$7)^INDEX($Q494:$AJ494,1,(AQ$4-1)*5+1)*(AQ364/AP364)^INDEX($Q494:$AJ494,1,(AQ$4-1)*5+2)*(AQ364/AP364)^(INDEX($Q494:$AJ494,1,(AQ$4-1)*5+3)*(1+INDEX($Q494:$AJ494,1,(AQ$4-1)*5+2)))</f>
        <v/>
      </c>
      <c r="AR494" s="25">
        <f>AQ494*(1/(1+INDEX($Q494:$AJ494,1,(AR$4-1)*5+4)))^(1+INDEX($Q494:$AJ494,1,(AR$4-1)*5+2))*(1+AR$7)^INDEX($Q494:$AJ494,1,(AR$4-1)*5+1)*(AR364/AQ364)^INDEX($Q494:$AJ494,1,(AR$4-1)*5+2)*(AR364/AQ364)^(INDEX($Q494:$AJ494,1,(AR$4-1)*5+3)*(1+INDEX($Q494:$AJ494,1,(AR$4-1)*5+2)))</f>
        <v/>
      </c>
      <c r="AS494" s="25">
        <f>AR494*(1/(1+INDEX($Q494:$AJ494,1,(AS$4-1)*5+4)))^(1+INDEX($Q494:$AJ494,1,(AS$4-1)*5+2))*(1+AS$7)^INDEX($Q494:$AJ494,1,(AS$4-1)*5+1)*(AS364/AR364)^INDEX($Q494:$AJ494,1,(AS$4-1)*5+2)*(AS364/AR364)^(INDEX($Q494:$AJ494,1,(AS$4-1)*5+3)*(1+INDEX($Q494:$AJ494,1,(AS$4-1)*5+2)))</f>
        <v/>
      </c>
      <c r="AT494" s="25">
        <f>AS494*(1/(1+INDEX($Q494:$AJ494,1,(AT$4-1)*5+4)))^(1+INDEX($Q494:$AJ494,1,(AT$4-1)*5+2))*(1+AT$7)^INDEX($Q494:$AJ494,1,(AT$4-1)*5+1)*(AT364/AS364)^INDEX($Q494:$AJ494,1,(AT$4-1)*5+2)*(AT364/AS364)^(INDEX($Q494:$AJ494,1,(AT$4-1)*5+3)*(1+INDEX($Q494:$AJ494,1,(AT$4-1)*5+2)))</f>
        <v/>
      </c>
      <c r="AU494" s="25">
        <f>AT494*(1/(1+INDEX($Q494:$AJ494,1,(AU$4-1)*5+4)))^(1+INDEX($Q494:$AJ494,1,(AU$4-1)*5+2))*(1+AU$7)^INDEX($Q494:$AJ494,1,(AU$4-1)*5+1)*(AU364/AT364)^INDEX($Q494:$AJ494,1,(AU$4-1)*5+2)*(AU364/AT364)^(INDEX($Q494:$AJ494,1,(AU$4-1)*5+3)*(1+INDEX($Q494:$AJ494,1,(AU$4-1)*5+2)))</f>
        <v/>
      </c>
      <c r="AV494" s="25">
        <f>AU494*(1/(1+INDEX($Q494:$AJ494,1,(AV$4-1)*5+4)))^(1+INDEX($Q494:$AJ494,1,(AV$4-1)*5+2))*(1+AV$7)^INDEX($Q494:$AJ494,1,(AV$4-1)*5+1)*(AV364/AU364)^INDEX($Q494:$AJ494,1,(AV$4-1)*5+2)*(AV364/AU364)^(INDEX($Q494:$AJ494,1,(AV$4-1)*5+3)*(1+INDEX($Q494:$AJ494,1,(AV$4-1)*5+2)))</f>
        <v/>
      </c>
      <c r="AW494" s="25">
        <f>AV494*(1/(1+INDEX($Q494:$AJ494,1,(AW$4-1)*5+4)))^(1+INDEX($Q494:$AJ494,1,(AW$4-1)*5+2))*(1+AW$7)^INDEX($Q494:$AJ494,1,(AW$4-1)*5+1)*(AW364/AV364)^INDEX($Q494:$AJ494,1,(AW$4-1)*5+2)*(AW364/AV364)^(INDEX($Q494:$AJ494,1,(AW$4-1)*5+3)*(1+INDEX($Q494:$AJ494,1,(AW$4-1)*5+2)))</f>
        <v/>
      </c>
      <c r="AX494" s="25">
        <f>AW494*(1/(1+INDEX($Q494:$AJ494,1,(AX$4-1)*5+4)))^(1+INDEX($Q494:$AJ494,1,(AX$4-1)*5+2))*(1+AX$7)^INDEX($Q494:$AJ494,1,(AX$4-1)*5+1)*(AX364/AW364)^INDEX($Q494:$AJ494,1,(AX$4-1)*5+2)*(AX364/AW364)^(INDEX($Q494:$AJ494,1,(AX$4-1)*5+3)*(1+INDEX($Q494:$AJ494,1,(AX$4-1)*5+2)))</f>
        <v/>
      </c>
      <c r="AY494" s="25">
        <f>AX494*(1/(1+INDEX($Q494:$AJ494,1,(AY$4-1)*5+4)))^(1+INDEX($Q494:$AJ494,1,(AY$4-1)*5+2))*(1+AY$7)^INDEX($Q494:$AJ494,1,(AY$4-1)*5+1)*(AY364/AX364)^INDEX($Q494:$AJ494,1,(AY$4-1)*5+2)*(AY364/AX364)^(INDEX($Q494:$AJ494,1,(AY$4-1)*5+3)*(1+INDEX($Q494:$AJ494,1,(AY$4-1)*5+2)))</f>
        <v/>
      </c>
      <c r="BA494" s="24">
        <f>INDEX(EnergyCons!$F$4:$F$5000,MATCH(Settings!$C$4&amp;"|"&amp;BA$5&amp;"|"&amp;$C494&amp;"|"&amp;$B494,EnergyCons!$A$4:$A$5000,0))</f>
        <v/>
      </c>
      <c r="BB494" s="25">
        <f>BA494*(1/(1+INDEX($Q494:$AJ494,1,(BB$4-1)*5+4)))^(1+INDEX($Q494:$AJ494,1,(BB$4-1)*5+2))*(1+BB$7)^INDEX($Q494:$AJ494,1,(BB$4-1)*5+1)*(BB364/BA364)^INDEX($Q494:$AJ494,1,(BB$4-1)*5+2)*(BB364/BA364)^(INDEX($Q494:$AJ494,1,(BB$4-1)*5+3)*(1+INDEX($Q494:$AJ494,1,(BB$4-1)*5+2)))</f>
        <v/>
      </c>
      <c r="BC494" s="25">
        <f>BB494*(1/(1+INDEX($Q494:$AJ494,1,(BC$4-1)*5+4)))^(1+INDEX($Q494:$AJ494,1,(BC$4-1)*5+2))*(1+BC$7)^INDEX($Q494:$AJ494,1,(BC$4-1)*5+1)*(BC364/BB364)^INDEX($Q494:$AJ494,1,(BC$4-1)*5+2)*(BC364/BB364)^(INDEX($Q494:$AJ494,1,(BC$4-1)*5+3)*(1+INDEX($Q494:$AJ494,1,(BC$4-1)*5+2)))</f>
        <v/>
      </c>
      <c r="BD494" s="25">
        <f>BC494*(1/(1+INDEX($Q494:$AJ494,1,(BD$4-1)*5+4)))^(1+INDEX($Q494:$AJ494,1,(BD$4-1)*5+2))*(1+BD$7)^INDEX($Q494:$AJ494,1,(BD$4-1)*5+1)*(BD364/BC364)^INDEX($Q494:$AJ494,1,(BD$4-1)*5+2)*(BD364/BC364)^(INDEX($Q494:$AJ494,1,(BD$4-1)*5+3)*(1+INDEX($Q494:$AJ494,1,(BD$4-1)*5+2)))</f>
        <v/>
      </c>
      <c r="BE494" s="25">
        <f>BD494*(1/(1+INDEX($Q494:$AJ494,1,(BE$4-1)*5+4)))^(1+INDEX($Q494:$AJ494,1,(BE$4-1)*5+2))*(1+BE$7)^INDEX($Q494:$AJ494,1,(BE$4-1)*5+1)*(BE364/BD364)^INDEX($Q494:$AJ494,1,(BE$4-1)*5+2)*(BE364/BD364)^(INDEX($Q494:$AJ494,1,(BE$4-1)*5+3)*(1+INDEX($Q494:$AJ494,1,(BE$4-1)*5+2)))</f>
        <v/>
      </c>
      <c r="BF494" s="25">
        <f>BE494*(1/(1+INDEX($Q494:$AJ494,1,(BF$4-1)*5+4)))^(1+INDEX($Q494:$AJ494,1,(BF$4-1)*5+2))*(1+BF$7)^INDEX($Q494:$AJ494,1,(BF$4-1)*5+1)*(BF364/BE364)^INDEX($Q494:$AJ494,1,(BF$4-1)*5+2)*(BF364/BE364)^(INDEX($Q494:$AJ494,1,(BF$4-1)*5+3)*(1+INDEX($Q494:$AJ494,1,(BF$4-1)*5+2)))</f>
        <v/>
      </c>
      <c r="BG494" s="25">
        <f>BF494*(1/(1+INDEX($Q494:$AJ494,1,(BG$4-1)*5+4)))^(1+INDEX($Q494:$AJ494,1,(BG$4-1)*5+2))*(1+BG$7)^INDEX($Q494:$AJ494,1,(BG$4-1)*5+1)*(BG364/BF364)^INDEX($Q494:$AJ494,1,(BG$4-1)*5+2)*(BG364/BF364)^(INDEX($Q494:$AJ494,1,(BG$4-1)*5+3)*(1+INDEX($Q494:$AJ494,1,(BG$4-1)*5+2)))</f>
        <v/>
      </c>
      <c r="BH494" s="25">
        <f>BG494*(1/(1+INDEX($Q494:$AJ494,1,(BH$4-1)*5+4)))^(1+INDEX($Q494:$AJ494,1,(BH$4-1)*5+2))*(1+BH$7)^INDEX($Q494:$AJ494,1,(BH$4-1)*5+1)*(BH364/BG364)^INDEX($Q494:$AJ494,1,(BH$4-1)*5+2)*(BH364/BG364)^(INDEX($Q494:$AJ494,1,(BH$4-1)*5+3)*(1+INDEX($Q494:$AJ494,1,(BH$4-1)*5+2)))</f>
        <v/>
      </c>
      <c r="BI494" s="25">
        <f>BH494*(1/(1+INDEX($Q494:$AJ494,1,(BI$4-1)*5+4)))^(1+INDEX($Q494:$AJ494,1,(BI$4-1)*5+2))*(1+BI$7)^INDEX($Q494:$AJ494,1,(BI$4-1)*5+1)*(BI364/BH364)^INDEX($Q494:$AJ494,1,(BI$4-1)*5+2)*(BI364/BH364)^(INDEX($Q494:$AJ494,1,(BI$4-1)*5+3)*(1+INDEX($Q494:$AJ494,1,(BI$4-1)*5+2)))</f>
        <v/>
      </c>
      <c r="BJ494" s="25">
        <f>BI494*(1/(1+INDEX($Q494:$AJ494,1,(BJ$4-1)*5+4)))^(1+INDEX($Q494:$AJ494,1,(BJ$4-1)*5+2))*(1+BJ$7)^INDEX($Q494:$AJ494,1,(BJ$4-1)*5+1)*(BJ364/BI364)^INDEX($Q494:$AJ494,1,(BJ$4-1)*5+2)*(BJ364/BI364)^(INDEX($Q494:$AJ494,1,(BJ$4-1)*5+3)*(1+INDEX($Q494:$AJ494,1,(BJ$4-1)*5+2)))</f>
        <v/>
      </c>
      <c r="BK494" s="25">
        <f>BJ494*(1/(1+INDEX($Q494:$AJ494,1,(BK$4-1)*5+4)))^(1+INDEX($Q494:$AJ494,1,(BK$4-1)*5+2))*(1+BK$7)^INDEX($Q494:$AJ494,1,(BK$4-1)*5+1)*(BK364/BJ364)^INDEX($Q494:$AJ494,1,(BK$4-1)*5+2)*(BK364/BJ364)^(INDEX($Q494:$AJ494,1,(BK$4-1)*5+3)*(1+INDEX($Q494:$AJ494,1,(BK$4-1)*5+2)))</f>
        <v/>
      </c>
      <c r="BL494" s="25">
        <f>BK494*(1/(1+INDEX($Q494:$AJ494,1,(BL$4-1)*5+4)))^(1+INDEX($Q494:$AJ494,1,(BL$4-1)*5+2))*(1+BL$7)^INDEX($Q494:$AJ494,1,(BL$4-1)*5+1)*(BL364/BK364)^INDEX($Q494:$AJ494,1,(BL$4-1)*5+2)*(BL364/BK364)^(INDEX($Q494:$AJ494,1,(BL$4-1)*5+3)*(1+INDEX($Q494:$AJ494,1,(BL$4-1)*5+2)))</f>
        <v/>
      </c>
      <c r="BM494" s="25">
        <f>BL494*(1/(1+INDEX($Q494:$AJ494,1,(BM$4-1)*5+4)))^(1+INDEX($Q494:$AJ494,1,(BM$4-1)*5+2))*(1+BM$7)^INDEX($Q494:$AJ494,1,(BM$4-1)*5+1)*(BM364/BL364)^INDEX($Q494:$AJ494,1,(BM$4-1)*5+2)*(BM364/BL364)^(INDEX($Q494:$AJ494,1,(BM$4-1)*5+3)*(1+INDEX($Q494:$AJ494,1,(BM$4-1)*5+2)))</f>
        <v/>
      </c>
      <c r="BN494" s="25">
        <f>BM494*(1/(1+INDEX($Q494:$AJ494,1,(BN$4-1)*5+4)))^(1+INDEX($Q494:$AJ494,1,(BN$4-1)*5+2))*(1+BN$7)^INDEX($Q494:$AJ494,1,(BN$4-1)*5+1)*(BN364/BM364)^INDEX($Q494:$AJ494,1,(BN$4-1)*5+2)*(BN364/BM364)^(INDEX($Q494:$AJ494,1,(BN$4-1)*5+3)*(1+INDEX($Q494:$AJ494,1,(BN$4-1)*5+2)))</f>
        <v/>
      </c>
    </row>
    <row r="495">
      <c r="B495" s="5" t="inlineStr">
        <is>
          <t>oop</t>
        </is>
      </c>
      <c r="C495" s="5" t="inlineStr">
        <is>
          <t>cem</t>
        </is>
      </c>
      <c r="D495" s="5" t="inlineStr">
        <is>
          <t>Fuel use | Cement | Other oil products</t>
        </is>
      </c>
      <c r="E495" s="5" t="inlineStr">
        <is>
          <t>ktoe</t>
        </is>
      </c>
      <c r="F495" s="5" t="inlineStr">
        <is>
          <t>EnergyCons (base year), Elasticities</t>
        </is>
      </c>
      <c r="G495" s="19" t="inlineStr">
        <is>
          <t>mit.enc.oop.cem</t>
        </is>
      </c>
      <c r="H495" s="19" t="inlineStr">
        <is>
          <t>mit.enc.oop.cem</t>
        </is>
      </c>
      <c r="J495" s="5">
        <f>INDEX(Mapping!$C$5:$C$20,MATCH($C495,Mapping!$A$5:$A$20,0))</f>
        <v/>
      </c>
      <c r="K495" s="5">
        <f>INDEX(Mapping!$D$5:$D$20,MATCH($C495,Mapping!$A$5:$A$20,0))</f>
        <v/>
      </c>
      <c r="L495" s="5">
        <f>INDEX(Mapping!$C$24:$C$31,MATCH($B495,Mapping!$A$24:$A$31,0))</f>
        <v/>
      </c>
      <c r="M495" s="5">
        <f>INDEX(Mapping!$D$24:$D$31,MATCH($B495,Mapping!$A$24:$A$31,0))</f>
        <v/>
      </c>
      <c r="N495" s="5">
        <f>$B495&amp;"."&amp;IF(INDEX(Mapping!$E$24:$E$31,MATCH($B495,Mapping!$A$24:$A$31,0))="sub",INDEX(Mapping!$F$5:$F$20,MATCH($C495,Mapping!$A$5:$A$20,0)),"all")</f>
        <v/>
      </c>
      <c r="O495" s="5">
        <f>INDEX(Mapping!$E$5:$E$20,MATCH($C495,Mapping!$A$5:$A$20,0))</f>
        <v/>
      </c>
      <c r="P495" s="5">
        <f>INDEX(Mapping!$G$24:$G$31,MATCH($B495,Mapping!$A$24:$A$31,0))</f>
        <v/>
      </c>
      <c r="Q495" s="22">
        <f>INDEX(Elasticities!$F$4:$I$200,MATCH("inc|"&amp;$L495&amp;"|"&amp;$K495,Elasticities!$A$4:$A$200,0),MATCH(Settings!$C$6,Elasticities!$F$3:$I$3,0))</f>
        <v/>
      </c>
      <c r="R495" s="22">
        <f>INDEX(Elasticities!$F$4:$I$200,MATCH("usg|"&amp;$L495&amp;"|"&amp;$K495,Elasticities!$A$4:$A$200,0),MATCH(Settings!$C$6,Elasticities!$F$3:$I$3,0))</f>
        <v/>
      </c>
      <c r="S495" s="22">
        <f>INDEX(Elasticities!$F$4:$I$200,MATCH("eff|"&amp;$L495&amp;"|"&amp;$K495,Elasticities!$A$4:$A$200,0),MATCH(Settings!$C$6,Elasticities!$F$3:$I$3,0))</f>
        <v/>
      </c>
      <c r="T495" s="22">
        <f>INDEX(Elasticities!$F$4:$I$200,MATCH("aei|"&amp;$M495&amp;"|"&amp;$K495,Elasticities!$A$4:$A$200,0),MATCH(Settings!$C$6,Elasticities!$F$3:$I$3,0))</f>
        <v/>
      </c>
      <c r="U495" s="21" t="n"/>
      <c r="V495" s="22">
        <f>Q495</f>
        <v/>
      </c>
      <c r="W495" s="22">
        <f>R495</f>
        <v/>
      </c>
      <c r="X495" s="22">
        <f>S495</f>
        <v/>
      </c>
      <c r="Y495" s="22">
        <f>T495</f>
        <v/>
      </c>
      <c r="Z495" s="21" t="n"/>
      <c r="AA495" s="22">
        <f>Q495</f>
        <v/>
      </c>
      <c r="AB495" s="22">
        <f>R495</f>
        <v/>
      </c>
      <c r="AC495" s="22">
        <f>S495</f>
        <v/>
      </c>
      <c r="AD495" s="22">
        <f>T495</f>
        <v/>
      </c>
      <c r="AE495" s="21" t="n"/>
      <c r="AF495" s="22">
        <f>Q495</f>
        <v/>
      </c>
      <c r="AG495" s="22">
        <f>R495</f>
        <v/>
      </c>
      <c r="AH495" s="22">
        <f>S495</f>
        <v/>
      </c>
      <c r="AI495" s="22">
        <f>T495</f>
        <v/>
      </c>
      <c r="AJ495" s="21" t="n"/>
      <c r="AL495" s="24">
        <f>INDEX(EnergyCons!$F$4:$F$5000,MATCH(Settings!$C$4&amp;"|"&amp;AL$5&amp;"|"&amp;$C495&amp;"|"&amp;$B495,EnergyCons!$A$4:$A$5000,0))</f>
        <v/>
      </c>
      <c r="AM495" s="25">
        <f>AL495*(1/(1+INDEX($Q495:$AJ495,1,(AM$4-1)*5+4)))^(1+INDEX($Q495:$AJ495,1,(AM$4-1)*5+2))*(1+AM$7)^INDEX($Q495:$AJ495,1,(AM$4-1)*5+1)*(AM365/AL365)^INDEX($Q495:$AJ495,1,(AM$4-1)*5+2)*(AM365/AL365)^(INDEX($Q495:$AJ495,1,(AM$4-1)*5+3)*(1+INDEX($Q495:$AJ495,1,(AM$4-1)*5+2)))</f>
        <v/>
      </c>
      <c r="AN495" s="25">
        <f>AM495*(1/(1+INDEX($Q495:$AJ495,1,(AN$4-1)*5+4)))^(1+INDEX($Q495:$AJ495,1,(AN$4-1)*5+2))*(1+AN$7)^INDEX($Q495:$AJ495,1,(AN$4-1)*5+1)*(AN365/AM365)^INDEX($Q495:$AJ495,1,(AN$4-1)*5+2)*(AN365/AM365)^(INDEX($Q495:$AJ495,1,(AN$4-1)*5+3)*(1+INDEX($Q495:$AJ495,1,(AN$4-1)*5+2)))</f>
        <v/>
      </c>
      <c r="AO495" s="25">
        <f>AN495*(1/(1+INDEX($Q495:$AJ495,1,(AO$4-1)*5+4)))^(1+INDEX($Q495:$AJ495,1,(AO$4-1)*5+2))*(1+AO$7)^INDEX($Q495:$AJ495,1,(AO$4-1)*5+1)*(AO365/AN365)^INDEX($Q495:$AJ495,1,(AO$4-1)*5+2)*(AO365/AN365)^(INDEX($Q495:$AJ495,1,(AO$4-1)*5+3)*(1+INDEX($Q495:$AJ495,1,(AO$4-1)*5+2)))</f>
        <v/>
      </c>
      <c r="AP495" s="25">
        <f>AO495*(1/(1+INDEX($Q495:$AJ495,1,(AP$4-1)*5+4)))^(1+INDEX($Q495:$AJ495,1,(AP$4-1)*5+2))*(1+AP$7)^INDEX($Q495:$AJ495,1,(AP$4-1)*5+1)*(AP365/AO365)^INDEX($Q495:$AJ495,1,(AP$4-1)*5+2)*(AP365/AO365)^(INDEX($Q495:$AJ495,1,(AP$4-1)*5+3)*(1+INDEX($Q495:$AJ495,1,(AP$4-1)*5+2)))</f>
        <v/>
      </c>
      <c r="AQ495" s="25">
        <f>AP495*(1/(1+INDEX($Q495:$AJ495,1,(AQ$4-1)*5+4)))^(1+INDEX($Q495:$AJ495,1,(AQ$4-1)*5+2))*(1+AQ$7)^INDEX($Q495:$AJ495,1,(AQ$4-1)*5+1)*(AQ365/AP365)^INDEX($Q495:$AJ495,1,(AQ$4-1)*5+2)*(AQ365/AP365)^(INDEX($Q495:$AJ495,1,(AQ$4-1)*5+3)*(1+INDEX($Q495:$AJ495,1,(AQ$4-1)*5+2)))</f>
        <v/>
      </c>
      <c r="AR495" s="25">
        <f>AQ495*(1/(1+INDEX($Q495:$AJ495,1,(AR$4-1)*5+4)))^(1+INDEX($Q495:$AJ495,1,(AR$4-1)*5+2))*(1+AR$7)^INDEX($Q495:$AJ495,1,(AR$4-1)*5+1)*(AR365/AQ365)^INDEX($Q495:$AJ495,1,(AR$4-1)*5+2)*(AR365/AQ365)^(INDEX($Q495:$AJ495,1,(AR$4-1)*5+3)*(1+INDEX($Q495:$AJ495,1,(AR$4-1)*5+2)))</f>
        <v/>
      </c>
      <c r="AS495" s="25">
        <f>AR495*(1/(1+INDEX($Q495:$AJ495,1,(AS$4-1)*5+4)))^(1+INDEX($Q495:$AJ495,1,(AS$4-1)*5+2))*(1+AS$7)^INDEX($Q495:$AJ495,1,(AS$4-1)*5+1)*(AS365/AR365)^INDEX($Q495:$AJ495,1,(AS$4-1)*5+2)*(AS365/AR365)^(INDEX($Q495:$AJ495,1,(AS$4-1)*5+3)*(1+INDEX($Q495:$AJ495,1,(AS$4-1)*5+2)))</f>
        <v/>
      </c>
      <c r="AT495" s="25">
        <f>AS495*(1/(1+INDEX($Q495:$AJ495,1,(AT$4-1)*5+4)))^(1+INDEX($Q495:$AJ495,1,(AT$4-1)*5+2))*(1+AT$7)^INDEX($Q495:$AJ495,1,(AT$4-1)*5+1)*(AT365/AS365)^INDEX($Q495:$AJ495,1,(AT$4-1)*5+2)*(AT365/AS365)^(INDEX($Q495:$AJ495,1,(AT$4-1)*5+3)*(1+INDEX($Q495:$AJ495,1,(AT$4-1)*5+2)))</f>
        <v/>
      </c>
      <c r="AU495" s="25">
        <f>AT495*(1/(1+INDEX($Q495:$AJ495,1,(AU$4-1)*5+4)))^(1+INDEX($Q495:$AJ495,1,(AU$4-1)*5+2))*(1+AU$7)^INDEX($Q495:$AJ495,1,(AU$4-1)*5+1)*(AU365/AT365)^INDEX($Q495:$AJ495,1,(AU$4-1)*5+2)*(AU365/AT365)^(INDEX($Q495:$AJ495,1,(AU$4-1)*5+3)*(1+INDEX($Q495:$AJ495,1,(AU$4-1)*5+2)))</f>
        <v/>
      </c>
      <c r="AV495" s="25">
        <f>AU495*(1/(1+INDEX($Q495:$AJ495,1,(AV$4-1)*5+4)))^(1+INDEX($Q495:$AJ495,1,(AV$4-1)*5+2))*(1+AV$7)^INDEX($Q495:$AJ495,1,(AV$4-1)*5+1)*(AV365/AU365)^INDEX($Q495:$AJ495,1,(AV$4-1)*5+2)*(AV365/AU365)^(INDEX($Q495:$AJ495,1,(AV$4-1)*5+3)*(1+INDEX($Q495:$AJ495,1,(AV$4-1)*5+2)))</f>
        <v/>
      </c>
      <c r="AW495" s="25">
        <f>AV495*(1/(1+INDEX($Q495:$AJ495,1,(AW$4-1)*5+4)))^(1+INDEX($Q495:$AJ495,1,(AW$4-1)*5+2))*(1+AW$7)^INDEX($Q495:$AJ495,1,(AW$4-1)*5+1)*(AW365/AV365)^INDEX($Q495:$AJ495,1,(AW$4-1)*5+2)*(AW365/AV365)^(INDEX($Q495:$AJ495,1,(AW$4-1)*5+3)*(1+INDEX($Q495:$AJ495,1,(AW$4-1)*5+2)))</f>
        <v/>
      </c>
      <c r="AX495" s="25">
        <f>AW495*(1/(1+INDEX($Q495:$AJ495,1,(AX$4-1)*5+4)))^(1+INDEX($Q495:$AJ495,1,(AX$4-1)*5+2))*(1+AX$7)^INDEX($Q495:$AJ495,1,(AX$4-1)*5+1)*(AX365/AW365)^INDEX($Q495:$AJ495,1,(AX$4-1)*5+2)*(AX365/AW365)^(INDEX($Q495:$AJ495,1,(AX$4-1)*5+3)*(1+INDEX($Q495:$AJ495,1,(AX$4-1)*5+2)))</f>
        <v/>
      </c>
      <c r="AY495" s="25">
        <f>AX495*(1/(1+INDEX($Q495:$AJ495,1,(AY$4-1)*5+4)))^(1+INDEX($Q495:$AJ495,1,(AY$4-1)*5+2))*(1+AY$7)^INDEX($Q495:$AJ495,1,(AY$4-1)*5+1)*(AY365/AX365)^INDEX($Q495:$AJ495,1,(AY$4-1)*5+2)*(AY365/AX365)^(INDEX($Q495:$AJ495,1,(AY$4-1)*5+3)*(1+INDEX($Q495:$AJ495,1,(AY$4-1)*5+2)))</f>
        <v/>
      </c>
      <c r="BA495" s="24">
        <f>INDEX(EnergyCons!$F$4:$F$5000,MATCH(Settings!$C$4&amp;"|"&amp;BA$5&amp;"|"&amp;$C495&amp;"|"&amp;$B495,EnergyCons!$A$4:$A$5000,0))</f>
        <v/>
      </c>
      <c r="BB495" s="25">
        <f>BA495*(1/(1+INDEX($Q495:$AJ495,1,(BB$4-1)*5+4)))^(1+INDEX($Q495:$AJ495,1,(BB$4-1)*5+2))*(1+BB$7)^INDEX($Q495:$AJ495,1,(BB$4-1)*5+1)*(BB365/BA365)^INDEX($Q495:$AJ495,1,(BB$4-1)*5+2)*(BB365/BA365)^(INDEX($Q495:$AJ495,1,(BB$4-1)*5+3)*(1+INDEX($Q495:$AJ495,1,(BB$4-1)*5+2)))</f>
        <v/>
      </c>
      <c r="BC495" s="25">
        <f>BB495*(1/(1+INDEX($Q495:$AJ495,1,(BC$4-1)*5+4)))^(1+INDEX($Q495:$AJ495,1,(BC$4-1)*5+2))*(1+BC$7)^INDEX($Q495:$AJ495,1,(BC$4-1)*5+1)*(BC365/BB365)^INDEX($Q495:$AJ495,1,(BC$4-1)*5+2)*(BC365/BB365)^(INDEX($Q495:$AJ495,1,(BC$4-1)*5+3)*(1+INDEX($Q495:$AJ495,1,(BC$4-1)*5+2)))</f>
        <v/>
      </c>
      <c r="BD495" s="25">
        <f>BC495*(1/(1+INDEX($Q495:$AJ495,1,(BD$4-1)*5+4)))^(1+INDEX($Q495:$AJ495,1,(BD$4-1)*5+2))*(1+BD$7)^INDEX($Q495:$AJ495,1,(BD$4-1)*5+1)*(BD365/BC365)^INDEX($Q495:$AJ495,1,(BD$4-1)*5+2)*(BD365/BC365)^(INDEX($Q495:$AJ495,1,(BD$4-1)*5+3)*(1+INDEX($Q495:$AJ495,1,(BD$4-1)*5+2)))</f>
        <v/>
      </c>
      <c r="BE495" s="25">
        <f>BD495*(1/(1+INDEX($Q495:$AJ495,1,(BE$4-1)*5+4)))^(1+INDEX($Q495:$AJ495,1,(BE$4-1)*5+2))*(1+BE$7)^INDEX($Q495:$AJ495,1,(BE$4-1)*5+1)*(BE365/BD365)^INDEX($Q495:$AJ495,1,(BE$4-1)*5+2)*(BE365/BD365)^(INDEX($Q495:$AJ495,1,(BE$4-1)*5+3)*(1+INDEX($Q495:$AJ495,1,(BE$4-1)*5+2)))</f>
        <v/>
      </c>
      <c r="BF495" s="25">
        <f>BE495*(1/(1+INDEX($Q495:$AJ495,1,(BF$4-1)*5+4)))^(1+INDEX($Q495:$AJ495,1,(BF$4-1)*5+2))*(1+BF$7)^INDEX($Q495:$AJ495,1,(BF$4-1)*5+1)*(BF365/BE365)^INDEX($Q495:$AJ495,1,(BF$4-1)*5+2)*(BF365/BE365)^(INDEX($Q495:$AJ495,1,(BF$4-1)*5+3)*(1+INDEX($Q495:$AJ495,1,(BF$4-1)*5+2)))</f>
        <v/>
      </c>
      <c r="BG495" s="25">
        <f>BF495*(1/(1+INDEX($Q495:$AJ495,1,(BG$4-1)*5+4)))^(1+INDEX($Q495:$AJ495,1,(BG$4-1)*5+2))*(1+BG$7)^INDEX($Q495:$AJ495,1,(BG$4-1)*5+1)*(BG365/BF365)^INDEX($Q495:$AJ495,1,(BG$4-1)*5+2)*(BG365/BF365)^(INDEX($Q495:$AJ495,1,(BG$4-1)*5+3)*(1+INDEX($Q495:$AJ495,1,(BG$4-1)*5+2)))</f>
        <v/>
      </c>
      <c r="BH495" s="25">
        <f>BG495*(1/(1+INDEX($Q495:$AJ495,1,(BH$4-1)*5+4)))^(1+INDEX($Q495:$AJ495,1,(BH$4-1)*5+2))*(1+BH$7)^INDEX($Q495:$AJ495,1,(BH$4-1)*5+1)*(BH365/BG365)^INDEX($Q495:$AJ495,1,(BH$4-1)*5+2)*(BH365/BG365)^(INDEX($Q495:$AJ495,1,(BH$4-1)*5+3)*(1+INDEX($Q495:$AJ495,1,(BH$4-1)*5+2)))</f>
        <v/>
      </c>
      <c r="BI495" s="25">
        <f>BH495*(1/(1+INDEX($Q495:$AJ495,1,(BI$4-1)*5+4)))^(1+INDEX($Q495:$AJ495,1,(BI$4-1)*5+2))*(1+BI$7)^INDEX($Q495:$AJ495,1,(BI$4-1)*5+1)*(BI365/BH365)^INDEX($Q495:$AJ495,1,(BI$4-1)*5+2)*(BI365/BH365)^(INDEX($Q495:$AJ495,1,(BI$4-1)*5+3)*(1+INDEX($Q495:$AJ495,1,(BI$4-1)*5+2)))</f>
        <v/>
      </c>
      <c r="BJ495" s="25">
        <f>BI495*(1/(1+INDEX($Q495:$AJ495,1,(BJ$4-1)*5+4)))^(1+INDEX($Q495:$AJ495,1,(BJ$4-1)*5+2))*(1+BJ$7)^INDEX($Q495:$AJ495,1,(BJ$4-1)*5+1)*(BJ365/BI365)^INDEX($Q495:$AJ495,1,(BJ$4-1)*5+2)*(BJ365/BI365)^(INDEX($Q495:$AJ495,1,(BJ$4-1)*5+3)*(1+INDEX($Q495:$AJ495,1,(BJ$4-1)*5+2)))</f>
        <v/>
      </c>
      <c r="BK495" s="25">
        <f>BJ495*(1/(1+INDEX($Q495:$AJ495,1,(BK$4-1)*5+4)))^(1+INDEX($Q495:$AJ495,1,(BK$4-1)*5+2))*(1+BK$7)^INDEX($Q495:$AJ495,1,(BK$4-1)*5+1)*(BK365/BJ365)^INDEX($Q495:$AJ495,1,(BK$4-1)*5+2)*(BK365/BJ365)^(INDEX($Q495:$AJ495,1,(BK$4-1)*5+3)*(1+INDEX($Q495:$AJ495,1,(BK$4-1)*5+2)))</f>
        <v/>
      </c>
      <c r="BL495" s="25">
        <f>BK495*(1/(1+INDEX($Q495:$AJ495,1,(BL$4-1)*5+4)))^(1+INDEX($Q495:$AJ495,1,(BL$4-1)*5+2))*(1+BL$7)^INDEX($Q495:$AJ495,1,(BL$4-1)*5+1)*(BL365/BK365)^INDEX($Q495:$AJ495,1,(BL$4-1)*5+2)*(BL365/BK365)^(INDEX($Q495:$AJ495,1,(BL$4-1)*5+3)*(1+INDEX($Q495:$AJ495,1,(BL$4-1)*5+2)))</f>
        <v/>
      </c>
      <c r="BM495" s="25">
        <f>BL495*(1/(1+INDEX($Q495:$AJ495,1,(BM$4-1)*5+4)))^(1+INDEX($Q495:$AJ495,1,(BM$4-1)*5+2))*(1+BM$7)^INDEX($Q495:$AJ495,1,(BM$4-1)*5+1)*(BM365/BL365)^INDEX($Q495:$AJ495,1,(BM$4-1)*5+2)*(BM365/BL365)^(INDEX($Q495:$AJ495,1,(BM$4-1)*5+3)*(1+INDEX($Q495:$AJ495,1,(BM$4-1)*5+2)))</f>
        <v/>
      </c>
      <c r="BN495" s="25">
        <f>BM495*(1/(1+INDEX($Q495:$AJ495,1,(BN$4-1)*5+4)))^(1+INDEX($Q495:$AJ495,1,(BN$4-1)*5+2))*(1+BN$7)^INDEX($Q495:$AJ495,1,(BN$4-1)*5+1)*(BN365/BM365)^INDEX($Q495:$AJ495,1,(BN$4-1)*5+2)*(BN365/BM365)^(INDEX($Q495:$AJ495,1,(BN$4-1)*5+3)*(1+INDEX($Q495:$AJ495,1,(BN$4-1)*5+2)))</f>
        <v/>
      </c>
    </row>
    <row r="496">
      <c r="B496" s="5" t="inlineStr">
        <is>
          <t>bio</t>
        </is>
      </c>
      <c r="C496" s="5" t="inlineStr">
        <is>
          <t>cem</t>
        </is>
      </c>
      <c r="D496" s="5" t="inlineStr">
        <is>
          <t>Fuel use | Cement | Biomass</t>
        </is>
      </c>
      <c r="E496" s="5" t="inlineStr">
        <is>
          <t>ktoe</t>
        </is>
      </c>
      <c r="F496" s="5" t="inlineStr">
        <is>
          <t>EnergyCons (base year), Elasticities</t>
        </is>
      </c>
      <c r="G496" s="19" t="inlineStr">
        <is>
          <t>mit.enc.bio.cem</t>
        </is>
      </c>
      <c r="H496" s="19" t="inlineStr">
        <is>
          <t>mit.enc.bio.cem</t>
        </is>
      </c>
      <c r="J496" s="5">
        <f>INDEX(Mapping!$C$5:$C$20,MATCH($C496,Mapping!$A$5:$A$20,0))</f>
        <v/>
      </c>
      <c r="K496" s="5">
        <f>INDEX(Mapping!$D$5:$D$20,MATCH($C496,Mapping!$A$5:$A$20,0))</f>
        <v/>
      </c>
      <c r="L496" s="5">
        <f>INDEX(Mapping!$C$24:$C$31,MATCH($B496,Mapping!$A$24:$A$31,0))</f>
        <v/>
      </c>
      <c r="M496" s="5">
        <f>INDEX(Mapping!$D$24:$D$31,MATCH($B496,Mapping!$A$24:$A$31,0))</f>
        <v/>
      </c>
      <c r="N496" s="5">
        <f>$B496&amp;"."&amp;IF(INDEX(Mapping!$E$24:$E$31,MATCH($B496,Mapping!$A$24:$A$31,0))="sub",INDEX(Mapping!$F$5:$F$20,MATCH($C496,Mapping!$A$5:$A$20,0)),"all")</f>
        <v/>
      </c>
      <c r="O496" s="5">
        <f>INDEX(Mapping!$E$5:$E$20,MATCH($C496,Mapping!$A$5:$A$20,0))</f>
        <v/>
      </c>
      <c r="P496" s="5">
        <f>INDEX(Mapping!$G$24:$G$31,MATCH($B496,Mapping!$A$24:$A$31,0))</f>
        <v/>
      </c>
      <c r="Q496" s="22">
        <f>INDEX(Elasticities!$F$4:$I$200,MATCH("inc|"&amp;$L496&amp;"|"&amp;$K496,Elasticities!$A$4:$A$200,0),MATCH(Settings!$C$6,Elasticities!$F$3:$I$3,0))</f>
        <v/>
      </c>
      <c r="R496" s="22">
        <f>INDEX(Elasticities!$F$4:$I$200,MATCH("usg|"&amp;$L496&amp;"|"&amp;$K496,Elasticities!$A$4:$A$200,0),MATCH(Settings!$C$6,Elasticities!$F$3:$I$3,0))</f>
        <v/>
      </c>
      <c r="S496" s="22">
        <f>INDEX(Elasticities!$F$4:$I$200,MATCH("eff|"&amp;$L496&amp;"|"&amp;$K496,Elasticities!$A$4:$A$200,0),MATCH(Settings!$C$6,Elasticities!$F$3:$I$3,0))</f>
        <v/>
      </c>
      <c r="T496" s="22">
        <f>INDEX(Elasticities!$F$4:$I$200,MATCH("aei|"&amp;$M496&amp;"|"&amp;$K496,Elasticities!$A$4:$A$200,0),MATCH(Settings!$C$6,Elasticities!$F$3:$I$3,0))</f>
        <v/>
      </c>
      <c r="U496" s="21" t="n"/>
      <c r="V496" s="22">
        <f>Q496</f>
        <v/>
      </c>
      <c r="W496" s="22">
        <f>R496</f>
        <v/>
      </c>
      <c r="X496" s="22">
        <f>S496</f>
        <v/>
      </c>
      <c r="Y496" s="22">
        <f>T496</f>
        <v/>
      </c>
      <c r="Z496" s="21" t="n"/>
      <c r="AA496" s="22">
        <f>Q496</f>
        <v/>
      </c>
      <c r="AB496" s="22">
        <f>R496</f>
        <v/>
      </c>
      <c r="AC496" s="22">
        <f>S496</f>
        <v/>
      </c>
      <c r="AD496" s="22">
        <f>T496</f>
        <v/>
      </c>
      <c r="AE496" s="21" t="n"/>
      <c r="AF496" s="22">
        <f>Q496</f>
        <v/>
      </c>
      <c r="AG496" s="22">
        <f>R496</f>
        <v/>
      </c>
      <c r="AH496" s="22">
        <f>S496</f>
        <v/>
      </c>
      <c r="AI496" s="22">
        <f>T496</f>
        <v/>
      </c>
      <c r="AJ496" s="21" t="n"/>
      <c r="AL496" s="24">
        <f>INDEX(EnergyCons!$F$4:$F$5000,MATCH(Settings!$C$4&amp;"|"&amp;AL$5&amp;"|"&amp;$C496&amp;"|"&amp;$B496,EnergyCons!$A$4:$A$5000,0))</f>
        <v/>
      </c>
      <c r="AM496" s="25">
        <f>AL496*(1/(1+INDEX($Q496:$AJ496,1,(AM$4-1)*5+4)))^(1+INDEX($Q496:$AJ496,1,(AM$4-1)*5+2))*(1+AM$7)^INDEX($Q496:$AJ496,1,(AM$4-1)*5+1)*(AM366/AL366)^INDEX($Q496:$AJ496,1,(AM$4-1)*5+2)*(AM366/AL366)^(INDEX($Q496:$AJ496,1,(AM$4-1)*5+3)*(1+INDEX($Q496:$AJ496,1,(AM$4-1)*5+2)))</f>
        <v/>
      </c>
      <c r="AN496" s="25">
        <f>AM496*(1/(1+INDEX($Q496:$AJ496,1,(AN$4-1)*5+4)))^(1+INDEX($Q496:$AJ496,1,(AN$4-1)*5+2))*(1+AN$7)^INDEX($Q496:$AJ496,1,(AN$4-1)*5+1)*(AN366/AM366)^INDEX($Q496:$AJ496,1,(AN$4-1)*5+2)*(AN366/AM366)^(INDEX($Q496:$AJ496,1,(AN$4-1)*5+3)*(1+INDEX($Q496:$AJ496,1,(AN$4-1)*5+2)))</f>
        <v/>
      </c>
      <c r="AO496" s="25">
        <f>AN496*(1/(1+INDEX($Q496:$AJ496,1,(AO$4-1)*5+4)))^(1+INDEX($Q496:$AJ496,1,(AO$4-1)*5+2))*(1+AO$7)^INDEX($Q496:$AJ496,1,(AO$4-1)*5+1)*(AO366/AN366)^INDEX($Q496:$AJ496,1,(AO$4-1)*5+2)*(AO366/AN366)^(INDEX($Q496:$AJ496,1,(AO$4-1)*5+3)*(1+INDEX($Q496:$AJ496,1,(AO$4-1)*5+2)))</f>
        <v/>
      </c>
      <c r="AP496" s="25">
        <f>AO496*(1/(1+INDEX($Q496:$AJ496,1,(AP$4-1)*5+4)))^(1+INDEX($Q496:$AJ496,1,(AP$4-1)*5+2))*(1+AP$7)^INDEX($Q496:$AJ496,1,(AP$4-1)*5+1)*(AP366/AO366)^INDEX($Q496:$AJ496,1,(AP$4-1)*5+2)*(AP366/AO366)^(INDEX($Q496:$AJ496,1,(AP$4-1)*5+3)*(1+INDEX($Q496:$AJ496,1,(AP$4-1)*5+2)))</f>
        <v/>
      </c>
      <c r="AQ496" s="25">
        <f>AP496*(1/(1+INDEX($Q496:$AJ496,1,(AQ$4-1)*5+4)))^(1+INDEX($Q496:$AJ496,1,(AQ$4-1)*5+2))*(1+AQ$7)^INDEX($Q496:$AJ496,1,(AQ$4-1)*5+1)*(AQ366/AP366)^INDEX($Q496:$AJ496,1,(AQ$4-1)*5+2)*(AQ366/AP366)^(INDEX($Q496:$AJ496,1,(AQ$4-1)*5+3)*(1+INDEX($Q496:$AJ496,1,(AQ$4-1)*5+2)))</f>
        <v/>
      </c>
      <c r="AR496" s="25">
        <f>AQ496*(1/(1+INDEX($Q496:$AJ496,1,(AR$4-1)*5+4)))^(1+INDEX($Q496:$AJ496,1,(AR$4-1)*5+2))*(1+AR$7)^INDEX($Q496:$AJ496,1,(AR$4-1)*5+1)*(AR366/AQ366)^INDEX($Q496:$AJ496,1,(AR$4-1)*5+2)*(AR366/AQ366)^(INDEX($Q496:$AJ496,1,(AR$4-1)*5+3)*(1+INDEX($Q496:$AJ496,1,(AR$4-1)*5+2)))</f>
        <v/>
      </c>
      <c r="AS496" s="25">
        <f>AR496*(1/(1+INDEX($Q496:$AJ496,1,(AS$4-1)*5+4)))^(1+INDEX($Q496:$AJ496,1,(AS$4-1)*5+2))*(1+AS$7)^INDEX($Q496:$AJ496,1,(AS$4-1)*5+1)*(AS366/AR366)^INDEX($Q496:$AJ496,1,(AS$4-1)*5+2)*(AS366/AR366)^(INDEX($Q496:$AJ496,1,(AS$4-1)*5+3)*(1+INDEX($Q496:$AJ496,1,(AS$4-1)*5+2)))</f>
        <v/>
      </c>
      <c r="AT496" s="25">
        <f>AS496*(1/(1+INDEX($Q496:$AJ496,1,(AT$4-1)*5+4)))^(1+INDEX($Q496:$AJ496,1,(AT$4-1)*5+2))*(1+AT$7)^INDEX($Q496:$AJ496,1,(AT$4-1)*5+1)*(AT366/AS366)^INDEX($Q496:$AJ496,1,(AT$4-1)*5+2)*(AT366/AS366)^(INDEX($Q496:$AJ496,1,(AT$4-1)*5+3)*(1+INDEX($Q496:$AJ496,1,(AT$4-1)*5+2)))</f>
        <v/>
      </c>
      <c r="AU496" s="25">
        <f>AT496*(1/(1+INDEX($Q496:$AJ496,1,(AU$4-1)*5+4)))^(1+INDEX($Q496:$AJ496,1,(AU$4-1)*5+2))*(1+AU$7)^INDEX($Q496:$AJ496,1,(AU$4-1)*5+1)*(AU366/AT366)^INDEX($Q496:$AJ496,1,(AU$4-1)*5+2)*(AU366/AT366)^(INDEX($Q496:$AJ496,1,(AU$4-1)*5+3)*(1+INDEX($Q496:$AJ496,1,(AU$4-1)*5+2)))</f>
        <v/>
      </c>
      <c r="AV496" s="25">
        <f>AU496*(1/(1+INDEX($Q496:$AJ496,1,(AV$4-1)*5+4)))^(1+INDEX($Q496:$AJ496,1,(AV$4-1)*5+2))*(1+AV$7)^INDEX($Q496:$AJ496,1,(AV$4-1)*5+1)*(AV366/AU366)^INDEX($Q496:$AJ496,1,(AV$4-1)*5+2)*(AV366/AU366)^(INDEX($Q496:$AJ496,1,(AV$4-1)*5+3)*(1+INDEX($Q496:$AJ496,1,(AV$4-1)*5+2)))</f>
        <v/>
      </c>
      <c r="AW496" s="25">
        <f>AV496*(1/(1+INDEX($Q496:$AJ496,1,(AW$4-1)*5+4)))^(1+INDEX($Q496:$AJ496,1,(AW$4-1)*5+2))*(1+AW$7)^INDEX($Q496:$AJ496,1,(AW$4-1)*5+1)*(AW366/AV366)^INDEX($Q496:$AJ496,1,(AW$4-1)*5+2)*(AW366/AV366)^(INDEX($Q496:$AJ496,1,(AW$4-1)*5+3)*(1+INDEX($Q496:$AJ496,1,(AW$4-1)*5+2)))</f>
        <v/>
      </c>
      <c r="AX496" s="25">
        <f>AW496*(1/(1+INDEX($Q496:$AJ496,1,(AX$4-1)*5+4)))^(1+INDEX($Q496:$AJ496,1,(AX$4-1)*5+2))*(1+AX$7)^INDEX($Q496:$AJ496,1,(AX$4-1)*5+1)*(AX366/AW366)^INDEX($Q496:$AJ496,1,(AX$4-1)*5+2)*(AX366/AW366)^(INDEX($Q496:$AJ496,1,(AX$4-1)*5+3)*(1+INDEX($Q496:$AJ496,1,(AX$4-1)*5+2)))</f>
        <v/>
      </c>
      <c r="AY496" s="25">
        <f>AX496*(1/(1+INDEX($Q496:$AJ496,1,(AY$4-1)*5+4)))^(1+INDEX($Q496:$AJ496,1,(AY$4-1)*5+2))*(1+AY$7)^INDEX($Q496:$AJ496,1,(AY$4-1)*5+1)*(AY366/AX366)^INDEX($Q496:$AJ496,1,(AY$4-1)*5+2)*(AY366/AX366)^(INDEX($Q496:$AJ496,1,(AY$4-1)*5+3)*(1+INDEX($Q496:$AJ496,1,(AY$4-1)*5+2)))</f>
        <v/>
      </c>
      <c r="BA496" s="24">
        <f>INDEX(EnergyCons!$F$4:$F$5000,MATCH(Settings!$C$4&amp;"|"&amp;BA$5&amp;"|"&amp;$C496&amp;"|"&amp;$B496,EnergyCons!$A$4:$A$5000,0))</f>
        <v/>
      </c>
      <c r="BB496" s="25">
        <f>BA496*(1/(1+INDEX($Q496:$AJ496,1,(BB$4-1)*5+4)))^(1+INDEX($Q496:$AJ496,1,(BB$4-1)*5+2))*(1+BB$7)^INDEX($Q496:$AJ496,1,(BB$4-1)*5+1)*(BB366/BA366)^INDEX($Q496:$AJ496,1,(BB$4-1)*5+2)*(BB366/BA366)^(INDEX($Q496:$AJ496,1,(BB$4-1)*5+3)*(1+INDEX($Q496:$AJ496,1,(BB$4-1)*5+2)))</f>
        <v/>
      </c>
      <c r="BC496" s="25">
        <f>BB496*(1/(1+INDEX($Q496:$AJ496,1,(BC$4-1)*5+4)))^(1+INDEX($Q496:$AJ496,1,(BC$4-1)*5+2))*(1+BC$7)^INDEX($Q496:$AJ496,1,(BC$4-1)*5+1)*(BC366/BB366)^INDEX($Q496:$AJ496,1,(BC$4-1)*5+2)*(BC366/BB366)^(INDEX($Q496:$AJ496,1,(BC$4-1)*5+3)*(1+INDEX($Q496:$AJ496,1,(BC$4-1)*5+2)))</f>
        <v/>
      </c>
      <c r="BD496" s="25">
        <f>BC496*(1/(1+INDEX($Q496:$AJ496,1,(BD$4-1)*5+4)))^(1+INDEX($Q496:$AJ496,1,(BD$4-1)*5+2))*(1+BD$7)^INDEX($Q496:$AJ496,1,(BD$4-1)*5+1)*(BD366/BC366)^INDEX($Q496:$AJ496,1,(BD$4-1)*5+2)*(BD366/BC366)^(INDEX($Q496:$AJ496,1,(BD$4-1)*5+3)*(1+INDEX($Q496:$AJ496,1,(BD$4-1)*5+2)))</f>
        <v/>
      </c>
      <c r="BE496" s="25">
        <f>BD496*(1/(1+INDEX($Q496:$AJ496,1,(BE$4-1)*5+4)))^(1+INDEX($Q496:$AJ496,1,(BE$4-1)*5+2))*(1+BE$7)^INDEX($Q496:$AJ496,1,(BE$4-1)*5+1)*(BE366/BD366)^INDEX($Q496:$AJ496,1,(BE$4-1)*5+2)*(BE366/BD366)^(INDEX($Q496:$AJ496,1,(BE$4-1)*5+3)*(1+INDEX($Q496:$AJ496,1,(BE$4-1)*5+2)))</f>
        <v/>
      </c>
      <c r="BF496" s="25">
        <f>BE496*(1/(1+INDEX($Q496:$AJ496,1,(BF$4-1)*5+4)))^(1+INDEX($Q496:$AJ496,1,(BF$4-1)*5+2))*(1+BF$7)^INDEX($Q496:$AJ496,1,(BF$4-1)*5+1)*(BF366/BE366)^INDEX($Q496:$AJ496,1,(BF$4-1)*5+2)*(BF366/BE366)^(INDEX($Q496:$AJ496,1,(BF$4-1)*5+3)*(1+INDEX($Q496:$AJ496,1,(BF$4-1)*5+2)))</f>
        <v/>
      </c>
      <c r="BG496" s="25">
        <f>BF496*(1/(1+INDEX($Q496:$AJ496,1,(BG$4-1)*5+4)))^(1+INDEX($Q496:$AJ496,1,(BG$4-1)*5+2))*(1+BG$7)^INDEX($Q496:$AJ496,1,(BG$4-1)*5+1)*(BG366/BF366)^INDEX($Q496:$AJ496,1,(BG$4-1)*5+2)*(BG366/BF366)^(INDEX($Q496:$AJ496,1,(BG$4-1)*5+3)*(1+INDEX($Q496:$AJ496,1,(BG$4-1)*5+2)))</f>
        <v/>
      </c>
      <c r="BH496" s="25">
        <f>BG496*(1/(1+INDEX($Q496:$AJ496,1,(BH$4-1)*5+4)))^(1+INDEX($Q496:$AJ496,1,(BH$4-1)*5+2))*(1+BH$7)^INDEX($Q496:$AJ496,1,(BH$4-1)*5+1)*(BH366/BG366)^INDEX($Q496:$AJ496,1,(BH$4-1)*5+2)*(BH366/BG366)^(INDEX($Q496:$AJ496,1,(BH$4-1)*5+3)*(1+INDEX($Q496:$AJ496,1,(BH$4-1)*5+2)))</f>
        <v/>
      </c>
      <c r="BI496" s="25">
        <f>BH496*(1/(1+INDEX($Q496:$AJ496,1,(BI$4-1)*5+4)))^(1+INDEX($Q496:$AJ496,1,(BI$4-1)*5+2))*(1+BI$7)^INDEX($Q496:$AJ496,1,(BI$4-1)*5+1)*(BI366/BH366)^INDEX($Q496:$AJ496,1,(BI$4-1)*5+2)*(BI366/BH366)^(INDEX($Q496:$AJ496,1,(BI$4-1)*5+3)*(1+INDEX($Q496:$AJ496,1,(BI$4-1)*5+2)))</f>
        <v/>
      </c>
      <c r="BJ496" s="25">
        <f>BI496*(1/(1+INDEX($Q496:$AJ496,1,(BJ$4-1)*5+4)))^(1+INDEX($Q496:$AJ496,1,(BJ$4-1)*5+2))*(1+BJ$7)^INDEX($Q496:$AJ496,1,(BJ$4-1)*5+1)*(BJ366/BI366)^INDEX($Q496:$AJ496,1,(BJ$4-1)*5+2)*(BJ366/BI366)^(INDEX($Q496:$AJ496,1,(BJ$4-1)*5+3)*(1+INDEX($Q496:$AJ496,1,(BJ$4-1)*5+2)))</f>
        <v/>
      </c>
      <c r="BK496" s="25">
        <f>BJ496*(1/(1+INDEX($Q496:$AJ496,1,(BK$4-1)*5+4)))^(1+INDEX($Q496:$AJ496,1,(BK$4-1)*5+2))*(1+BK$7)^INDEX($Q496:$AJ496,1,(BK$4-1)*5+1)*(BK366/BJ366)^INDEX($Q496:$AJ496,1,(BK$4-1)*5+2)*(BK366/BJ366)^(INDEX($Q496:$AJ496,1,(BK$4-1)*5+3)*(1+INDEX($Q496:$AJ496,1,(BK$4-1)*5+2)))</f>
        <v/>
      </c>
      <c r="BL496" s="25">
        <f>BK496*(1/(1+INDEX($Q496:$AJ496,1,(BL$4-1)*5+4)))^(1+INDEX($Q496:$AJ496,1,(BL$4-1)*5+2))*(1+BL$7)^INDEX($Q496:$AJ496,1,(BL$4-1)*5+1)*(BL366/BK366)^INDEX($Q496:$AJ496,1,(BL$4-1)*5+2)*(BL366/BK366)^(INDEX($Q496:$AJ496,1,(BL$4-1)*5+3)*(1+INDEX($Q496:$AJ496,1,(BL$4-1)*5+2)))</f>
        <v/>
      </c>
      <c r="BM496" s="25">
        <f>BL496*(1/(1+INDEX($Q496:$AJ496,1,(BM$4-1)*5+4)))^(1+INDEX($Q496:$AJ496,1,(BM$4-1)*5+2))*(1+BM$7)^INDEX($Q496:$AJ496,1,(BM$4-1)*5+1)*(BM366/BL366)^INDEX($Q496:$AJ496,1,(BM$4-1)*5+2)*(BM366/BL366)^(INDEX($Q496:$AJ496,1,(BM$4-1)*5+3)*(1+INDEX($Q496:$AJ496,1,(BM$4-1)*5+2)))</f>
        <v/>
      </c>
      <c r="BN496" s="25">
        <f>BM496*(1/(1+INDEX($Q496:$AJ496,1,(BN$4-1)*5+4)))^(1+INDEX($Q496:$AJ496,1,(BN$4-1)*5+2))*(1+BN$7)^INDEX($Q496:$AJ496,1,(BN$4-1)*5+1)*(BN366/BM366)^INDEX($Q496:$AJ496,1,(BN$4-1)*5+2)*(BN366/BM366)^(INDEX($Q496:$AJ496,1,(BN$4-1)*5+3)*(1+INDEX($Q496:$AJ496,1,(BN$4-1)*5+2)))</f>
        <v/>
      </c>
    </row>
    <row r="497">
      <c r="B497" s="5" t="inlineStr">
        <is>
          <t>coa</t>
        </is>
      </c>
      <c r="C497" s="5" t="inlineStr">
        <is>
          <t>omn</t>
        </is>
      </c>
      <c r="D497" s="5" t="inlineStr">
        <is>
          <t>Fuel use | Other manufacturing | Coal</t>
        </is>
      </c>
      <c r="E497" s="5" t="inlineStr">
        <is>
          <t>ktoe</t>
        </is>
      </c>
      <c r="F497" s="5" t="inlineStr">
        <is>
          <t>EnergyCons (base year), Elasticities</t>
        </is>
      </c>
      <c r="G497" s="19" t="inlineStr">
        <is>
          <t>mit.enc.coa.omn</t>
        </is>
      </c>
      <c r="H497" s="19" t="inlineStr">
        <is>
          <t>mit.enc.coa.omn</t>
        </is>
      </c>
      <c r="J497" s="5">
        <f>INDEX(Mapping!$C$5:$C$20,MATCH($C497,Mapping!$A$5:$A$20,0))</f>
        <v/>
      </c>
      <c r="K497" s="5">
        <f>INDEX(Mapping!$D$5:$D$20,MATCH($C497,Mapping!$A$5:$A$20,0))</f>
        <v/>
      </c>
      <c r="L497" s="5">
        <f>INDEX(Mapping!$C$24:$C$31,MATCH($B497,Mapping!$A$24:$A$31,0))</f>
        <v/>
      </c>
      <c r="M497" s="5">
        <f>INDEX(Mapping!$D$24:$D$31,MATCH($B497,Mapping!$A$24:$A$31,0))</f>
        <v/>
      </c>
      <c r="N497" s="5">
        <f>$B497&amp;"."&amp;IF(INDEX(Mapping!$E$24:$E$31,MATCH($B497,Mapping!$A$24:$A$31,0))="sub",INDEX(Mapping!$F$5:$F$20,MATCH($C497,Mapping!$A$5:$A$20,0)),"all")</f>
        <v/>
      </c>
      <c r="O497" s="5">
        <f>INDEX(Mapping!$E$5:$E$20,MATCH($C497,Mapping!$A$5:$A$20,0))</f>
        <v/>
      </c>
      <c r="P497" s="5">
        <f>INDEX(Mapping!$G$24:$G$31,MATCH($B497,Mapping!$A$24:$A$31,0))</f>
        <v/>
      </c>
      <c r="Q497" s="22">
        <f>INDEX(Elasticities!$F$4:$I$200,MATCH("inc|"&amp;$L497&amp;"|"&amp;$K497,Elasticities!$A$4:$A$200,0),MATCH(Settings!$C$6,Elasticities!$F$3:$I$3,0))</f>
        <v/>
      </c>
      <c r="R497" s="22">
        <f>INDEX(Elasticities!$F$4:$I$200,MATCH("usg|"&amp;$L497&amp;"|"&amp;$K497,Elasticities!$A$4:$A$200,0),MATCH(Settings!$C$6,Elasticities!$F$3:$I$3,0))</f>
        <v/>
      </c>
      <c r="S497" s="22">
        <f>INDEX(Elasticities!$F$4:$I$200,MATCH("eff|"&amp;$L497&amp;"|"&amp;$K497,Elasticities!$A$4:$A$200,0),MATCH(Settings!$C$6,Elasticities!$F$3:$I$3,0))</f>
        <v/>
      </c>
      <c r="T497" s="22">
        <f>INDEX(Elasticities!$F$4:$I$200,MATCH("aei|"&amp;$M497&amp;"|"&amp;$K497,Elasticities!$A$4:$A$200,0),MATCH(Settings!$C$6,Elasticities!$F$3:$I$3,0))</f>
        <v/>
      </c>
      <c r="U497" s="21" t="n"/>
      <c r="V497" s="22">
        <f>Q497</f>
        <v/>
      </c>
      <c r="W497" s="22">
        <f>R497</f>
        <v/>
      </c>
      <c r="X497" s="22">
        <f>S497</f>
        <v/>
      </c>
      <c r="Y497" s="22">
        <f>T497</f>
        <v/>
      </c>
      <c r="Z497" s="21" t="n"/>
      <c r="AA497" s="22">
        <f>Q497</f>
        <v/>
      </c>
      <c r="AB497" s="22">
        <f>R497</f>
        <v/>
      </c>
      <c r="AC497" s="22">
        <f>S497</f>
        <v/>
      </c>
      <c r="AD497" s="22">
        <f>T497</f>
        <v/>
      </c>
      <c r="AE497" s="21" t="n"/>
      <c r="AF497" s="22">
        <f>Q497</f>
        <v/>
      </c>
      <c r="AG497" s="22">
        <f>R497</f>
        <v/>
      </c>
      <c r="AH497" s="22">
        <f>S497</f>
        <v/>
      </c>
      <c r="AI497" s="22">
        <f>T497</f>
        <v/>
      </c>
      <c r="AJ497" s="21" t="n"/>
      <c r="AL497" s="24">
        <f>INDEX(EnergyCons!$F$4:$F$5000,MATCH(Settings!$C$4&amp;"|"&amp;AL$5&amp;"|"&amp;$C497&amp;"|"&amp;$B497,EnergyCons!$A$4:$A$5000,0))</f>
        <v/>
      </c>
      <c r="AM497" s="25">
        <f>AL497*(1/(1+INDEX($Q497:$AJ497,1,(AM$4-1)*5+4)))^(1+INDEX($Q497:$AJ497,1,(AM$4-1)*5+2))*(1+AM$7)^INDEX($Q497:$AJ497,1,(AM$4-1)*5+1)*(AM367/AL367)^INDEX($Q497:$AJ497,1,(AM$4-1)*5+2)*(AM367/AL367)^(INDEX($Q497:$AJ497,1,(AM$4-1)*5+3)*(1+INDEX($Q497:$AJ497,1,(AM$4-1)*5+2)))</f>
        <v/>
      </c>
      <c r="AN497" s="25">
        <f>AM497*(1/(1+INDEX($Q497:$AJ497,1,(AN$4-1)*5+4)))^(1+INDEX($Q497:$AJ497,1,(AN$4-1)*5+2))*(1+AN$7)^INDEX($Q497:$AJ497,1,(AN$4-1)*5+1)*(AN367/AM367)^INDEX($Q497:$AJ497,1,(AN$4-1)*5+2)*(AN367/AM367)^(INDEX($Q497:$AJ497,1,(AN$4-1)*5+3)*(1+INDEX($Q497:$AJ497,1,(AN$4-1)*5+2)))</f>
        <v/>
      </c>
      <c r="AO497" s="25">
        <f>AN497*(1/(1+INDEX($Q497:$AJ497,1,(AO$4-1)*5+4)))^(1+INDEX($Q497:$AJ497,1,(AO$4-1)*5+2))*(1+AO$7)^INDEX($Q497:$AJ497,1,(AO$4-1)*5+1)*(AO367/AN367)^INDEX($Q497:$AJ497,1,(AO$4-1)*5+2)*(AO367/AN367)^(INDEX($Q497:$AJ497,1,(AO$4-1)*5+3)*(1+INDEX($Q497:$AJ497,1,(AO$4-1)*5+2)))</f>
        <v/>
      </c>
      <c r="AP497" s="25">
        <f>AO497*(1/(1+INDEX($Q497:$AJ497,1,(AP$4-1)*5+4)))^(1+INDEX($Q497:$AJ497,1,(AP$4-1)*5+2))*(1+AP$7)^INDEX($Q497:$AJ497,1,(AP$4-1)*5+1)*(AP367/AO367)^INDEX($Q497:$AJ497,1,(AP$4-1)*5+2)*(AP367/AO367)^(INDEX($Q497:$AJ497,1,(AP$4-1)*5+3)*(1+INDEX($Q497:$AJ497,1,(AP$4-1)*5+2)))</f>
        <v/>
      </c>
      <c r="AQ497" s="25">
        <f>AP497*(1/(1+INDEX($Q497:$AJ497,1,(AQ$4-1)*5+4)))^(1+INDEX($Q497:$AJ497,1,(AQ$4-1)*5+2))*(1+AQ$7)^INDEX($Q497:$AJ497,1,(AQ$4-1)*5+1)*(AQ367/AP367)^INDEX($Q497:$AJ497,1,(AQ$4-1)*5+2)*(AQ367/AP367)^(INDEX($Q497:$AJ497,1,(AQ$4-1)*5+3)*(1+INDEX($Q497:$AJ497,1,(AQ$4-1)*5+2)))</f>
        <v/>
      </c>
      <c r="AR497" s="25">
        <f>AQ497*(1/(1+INDEX($Q497:$AJ497,1,(AR$4-1)*5+4)))^(1+INDEX($Q497:$AJ497,1,(AR$4-1)*5+2))*(1+AR$7)^INDEX($Q497:$AJ497,1,(AR$4-1)*5+1)*(AR367/AQ367)^INDEX($Q497:$AJ497,1,(AR$4-1)*5+2)*(AR367/AQ367)^(INDEX($Q497:$AJ497,1,(AR$4-1)*5+3)*(1+INDEX($Q497:$AJ497,1,(AR$4-1)*5+2)))</f>
        <v/>
      </c>
      <c r="AS497" s="25">
        <f>AR497*(1/(1+INDEX($Q497:$AJ497,1,(AS$4-1)*5+4)))^(1+INDEX($Q497:$AJ497,1,(AS$4-1)*5+2))*(1+AS$7)^INDEX($Q497:$AJ497,1,(AS$4-1)*5+1)*(AS367/AR367)^INDEX($Q497:$AJ497,1,(AS$4-1)*5+2)*(AS367/AR367)^(INDEX($Q497:$AJ497,1,(AS$4-1)*5+3)*(1+INDEX($Q497:$AJ497,1,(AS$4-1)*5+2)))</f>
        <v/>
      </c>
      <c r="AT497" s="25">
        <f>AS497*(1/(1+INDEX($Q497:$AJ497,1,(AT$4-1)*5+4)))^(1+INDEX($Q497:$AJ497,1,(AT$4-1)*5+2))*(1+AT$7)^INDEX($Q497:$AJ497,1,(AT$4-1)*5+1)*(AT367/AS367)^INDEX($Q497:$AJ497,1,(AT$4-1)*5+2)*(AT367/AS367)^(INDEX($Q497:$AJ497,1,(AT$4-1)*5+3)*(1+INDEX($Q497:$AJ497,1,(AT$4-1)*5+2)))</f>
        <v/>
      </c>
      <c r="AU497" s="25">
        <f>AT497*(1/(1+INDEX($Q497:$AJ497,1,(AU$4-1)*5+4)))^(1+INDEX($Q497:$AJ497,1,(AU$4-1)*5+2))*(1+AU$7)^INDEX($Q497:$AJ497,1,(AU$4-1)*5+1)*(AU367/AT367)^INDEX($Q497:$AJ497,1,(AU$4-1)*5+2)*(AU367/AT367)^(INDEX($Q497:$AJ497,1,(AU$4-1)*5+3)*(1+INDEX($Q497:$AJ497,1,(AU$4-1)*5+2)))</f>
        <v/>
      </c>
      <c r="AV497" s="25">
        <f>AU497*(1/(1+INDEX($Q497:$AJ497,1,(AV$4-1)*5+4)))^(1+INDEX($Q497:$AJ497,1,(AV$4-1)*5+2))*(1+AV$7)^INDEX($Q497:$AJ497,1,(AV$4-1)*5+1)*(AV367/AU367)^INDEX($Q497:$AJ497,1,(AV$4-1)*5+2)*(AV367/AU367)^(INDEX($Q497:$AJ497,1,(AV$4-1)*5+3)*(1+INDEX($Q497:$AJ497,1,(AV$4-1)*5+2)))</f>
        <v/>
      </c>
      <c r="AW497" s="25">
        <f>AV497*(1/(1+INDEX($Q497:$AJ497,1,(AW$4-1)*5+4)))^(1+INDEX($Q497:$AJ497,1,(AW$4-1)*5+2))*(1+AW$7)^INDEX($Q497:$AJ497,1,(AW$4-1)*5+1)*(AW367/AV367)^INDEX($Q497:$AJ497,1,(AW$4-1)*5+2)*(AW367/AV367)^(INDEX($Q497:$AJ497,1,(AW$4-1)*5+3)*(1+INDEX($Q497:$AJ497,1,(AW$4-1)*5+2)))</f>
        <v/>
      </c>
      <c r="AX497" s="25">
        <f>AW497*(1/(1+INDEX($Q497:$AJ497,1,(AX$4-1)*5+4)))^(1+INDEX($Q497:$AJ497,1,(AX$4-1)*5+2))*(1+AX$7)^INDEX($Q497:$AJ497,1,(AX$4-1)*5+1)*(AX367/AW367)^INDEX($Q497:$AJ497,1,(AX$4-1)*5+2)*(AX367/AW367)^(INDEX($Q497:$AJ497,1,(AX$4-1)*5+3)*(1+INDEX($Q497:$AJ497,1,(AX$4-1)*5+2)))</f>
        <v/>
      </c>
      <c r="AY497" s="25">
        <f>AX497*(1/(1+INDEX($Q497:$AJ497,1,(AY$4-1)*5+4)))^(1+INDEX($Q497:$AJ497,1,(AY$4-1)*5+2))*(1+AY$7)^INDEX($Q497:$AJ497,1,(AY$4-1)*5+1)*(AY367/AX367)^INDEX($Q497:$AJ497,1,(AY$4-1)*5+2)*(AY367/AX367)^(INDEX($Q497:$AJ497,1,(AY$4-1)*5+3)*(1+INDEX($Q497:$AJ497,1,(AY$4-1)*5+2)))</f>
        <v/>
      </c>
      <c r="BA497" s="24">
        <f>INDEX(EnergyCons!$F$4:$F$5000,MATCH(Settings!$C$4&amp;"|"&amp;BA$5&amp;"|"&amp;$C497&amp;"|"&amp;$B497,EnergyCons!$A$4:$A$5000,0))</f>
        <v/>
      </c>
      <c r="BB497" s="25">
        <f>BA497*(1/(1+INDEX($Q497:$AJ497,1,(BB$4-1)*5+4)))^(1+INDEX($Q497:$AJ497,1,(BB$4-1)*5+2))*(1+BB$7)^INDEX($Q497:$AJ497,1,(BB$4-1)*5+1)*(BB367/BA367)^INDEX($Q497:$AJ497,1,(BB$4-1)*5+2)*(BB367/BA367)^(INDEX($Q497:$AJ497,1,(BB$4-1)*5+3)*(1+INDEX($Q497:$AJ497,1,(BB$4-1)*5+2)))</f>
        <v/>
      </c>
      <c r="BC497" s="25">
        <f>BB497*(1/(1+INDEX($Q497:$AJ497,1,(BC$4-1)*5+4)))^(1+INDEX($Q497:$AJ497,1,(BC$4-1)*5+2))*(1+BC$7)^INDEX($Q497:$AJ497,1,(BC$4-1)*5+1)*(BC367/BB367)^INDEX($Q497:$AJ497,1,(BC$4-1)*5+2)*(BC367/BB367)^(INDEX($Q497:$AJ497,1,(BC$4-1)*5+3)*(1+INDEX($Q497:$AJ497,1,(BC$4-1)*5+2)))</f>
        <v/>
      </c>
      <c r="BD497" s="25">
        <f>BC497*(1/(1+INDEX($Q497:$AJ497,1,(BD$4-1)*5+4)))^(1+INDEX($Q497:$AJ497,1,(BD$4-1)*5+2))*(1+BD$7)^INDEX($Q497:$AJ497,1,(BD$4-1)*5+1)*(BD367/BC367)^INDEX($Q497:$AJ497,1,(BD$4-1)*5+2)*(BD367/BC367)^(INDEX($Q497:$AJ497,1,(BD$4-1)*5+3)*(1+INDEX($Q497:$AJ497,1,(BD$4-1)*5+2)))</f>
        <v/>
      </c>
      <c r="BE497" s="25">
        <f>BD497*(1/(1+INDEX($Q497:$AJ497,1,(BE$4-1)*5+4)))^(1+INDEX($Q497:$AJ497,1,(BE$4-1)*5+2))*(1+BE$7)^INDEX($Q497:$AJ497,1,(BE$4-1)*5+1)*(BE367/BD367)^INDEX($Q497:$AJ497,1,(BE$4-1)*5+2)*(BE367/BD367)^(INDEX($Q497:$AJ497,1,(BE$4-1)*5+3)*(1+INDEX($Q497:$AJ497,1,(BE$4-1)*5+2)))</f>
        <v/>
      </c>
      <c r="BF497" s="25">
        <f>BE497*(1/(1+INDEX($Q497:$AJ497,1,(BF$4-1)*5+4)))^(1+INDEX($Q497:$AJ497,1,(BF$4-1)*5+2))*(1+BF$7)^INDEX($Q497:$AJ497,1,(BF$4-1)*5+1)*(BF367/BE367)^INDEX($Q497:$AJ497,1,(BF$4-1)*5+2)*(BF367/BE367)^(INDEX($Q497:$AJ497,1,(BF$4-1)*5+3)*(1+INDEX($Q497:$AJ497,1,(BF$4-1)*5+2)))</f>
        <v/>
      </c>
      <c r="BG497" s="25">
        <f>BF497*(1/(1+INDEX($Q497:$AJ497,1,(BG$4-1)*5+4)))^(1+INDEX($Q497:$AJ497,1,(BG$4-1)*5+2))*(1+BG$7)^INDEX($Q497:$AJ497,1,(BG$4-1)*5+1)*(BG367/BF367)^INDEX($Q497:$AJ497,1,(BG$4-1)*5+2)*(BG367/BF367)^(INDEX($Q497:$AJ497,1,(BG$4-1)*5+3)*(1+INDEX($Q497:$AJ497,1,(BG$4-1)*5+2)))</f>
        <v/>
      </c>
      <c r="BH497" s="25">
        <f>BG497*(1/(1+INDEX($Q497:$AJ497,1,(BH$4-1)*5+4)))^(1+INDEX($Q497:$AJ497,1,(BH$4-1)*5+2))*(1+BH$7)^INDEX($Q497:$AJ497,1,(BH$4-1)*5+1)*(BH367/BG367)^INDEX($Q497:$AJ497,1,(BH$4-1)*5+2)*(BH367/BG367)^(INDEX($Q497:$AJ497,1,(BH$4-1)*5+3)*(1+INDEX($Q497:$AJ497,1,(BH$4-1)*5+2)))</f>
        <v/>
      </c>
      <c r="BI497" s="25">
        <f>BH497*(1/(1+INDEX($Q497:$AJ497,1,(BI$4-1)*5+4)))^(1+INDEX($Q497:$AJ497,1,(BI$4-1)*5+2))*(1+BI$7)^INDEX($Q497:$AJ497,1,(BI$4-1)*5+1)*(BI367/BH367)^INDEX($Q497:$AJ497,1,(BI$4-1)*5+2)*(BI367/BH367)^(INDEX($Q497:$AJ497,1,(BI$4-1)*5+3)*(1+INDEX($Q497:$AJ497,1,(BI$4-1)*5+2)))</f>
        <v/>
      </c>
      <c r="BJ497" s="25">
        <f>BI497*(1/(1+INDEX($Q497:$AJ497,1,(BJ$4-1)*5+4)))^(1+INDEX($Q497:$AJ497,1,(BJ$4-1)*5+2))*(1+BJ$7)^INDEX($Q497:$AJ497,1,(BJ$4-1)*5+1)*(BJ367/BI367)^INDEX($Q497:$AJ497,1,(BJ$4-1)*5+2)*(BJ367/BI367)^(INDEX($Q497:$AJ497,1,(BJ$4-1)*5+3)*(1+INDEX($Q497:$AJ497,1,(BJ$4-1)*5+2)))</f>
        <v/>
      </c>
      <c r="BK497" s="25">
        <f>BJ497*(1/(1+INDEX($Q497:$AJ497,1,(BK$4-1)*5+4)))^(1+INDEX($Q497:$AJ497,1,(BK$4-1)*5+2))*(1+BK$7)^INDEX($Q497:$AJ497,1,(BK$4-1)*5+1)*(BK367/BJ367)^INDEX($Q497:$AJ497,1,(BK$4-1)*5+2)*(BK367/BJ367)^(INDEX($Q497:$AJ497,1,(BK$4-1)*5+3)*(1+INDEX($Q497:$AJ497,1,(BK$4-1)*5+2)))</f>
        <v/>
      </c>
      <c r="BL497" s="25">
        <f>BK497*(1/(1+INDEX($Q497:$AJ497,1,(BL$4-1)*5+4)))^(1+INDEX($Q497:$AJ497,1,(BL$4-1)*5+2))*(1+BL$7)^INDEX($Q497:$AJ497,1,(BL$4-1)*5+1)*(BL367/BK367)^INDEX($Q497:$AJ497,1,(BL$4-1)*5+2)*(BL367/BK367)^(INDEX($Q497:$AJ497,1,(BL$4-1)*5+3)*(1+INDEX($Q497:$AJ497,1,(BL$4-1)*5+2)))</f>
        <v/>
      </c>
      <c r="BM497" s="25">
        <f>BL497*(1/(1+INDEX($Q497:$AJ497,1,(BM$4-1)*5+4)))^(1+INDEX($Q497:$AJ497,1,(BM$4-1)*5+2))*(1+BM$7)^INDEX($Q497:$AJ497,1,(BM$4-1)*5+1)*(BM367/BL367)^INDEX($Q497:$AJ497,1,(BM$4-1)*5+2)*(BM367/BL367)^(INDEX($Q497:$AJ497,1,(BM$4-1)*5+3)*(1+INDEX($Q497:$AJ497,1,(BM$4-1)*5+2)))</f>
        <v/>
      </c>
      <c r="BN497" s="25">
        <f>BM497*(1/(1+INDEX($Q497:$AJ497,1,(BN$4-1)*5+4)))^(1+INDEX($Q497:$AJ497,1,(BN$4-1)*5+2))*(1+BN$7)^INDEX($Q497:$AJ497,1,(BN$4-1)*5+1)*(BN367/BM367)^INDEX($Q497:$AJ497,1,(BN$4-1)*5+2)*(BN367/BM367)^(INDEX($Q497:$AJ497,1,(BN$4-1)*5+3)*(1+INDEX($Q497:$AJ497,1,(BN$4-1)*5+2)))</f>
        <v/>
      </c>
    </row>
    <row r="498">
      <c r="B498" s="5" t="inlineStr">
        <is>
          <t>nga</t>
        </is>
      </c>
      <c r="C498" s="5" t="inlineStr">
        <is>
          <t>omn</t>
        </is>
      </c>
      <c r="D498" s="5" t="inlineStr">
        <is>
          <t>Fuel use | Other manufacturing | Natural gas</t>
        </is>
      </c>
      <c r="E498" s="5" t="inlineStr">
        <is>
          <t>ktoe</t>
        </is>
      </c>
      <c r="F498" s="5" t="inlineStr">
        <is>
          <t>EnergyCons (base year), Elasticities</t>
        </is>
      </c>
      <c r="G498" s="19" t="inlineStr">
        <is>
          <t>mit.enc.nga.omn</t>
        </is>
      </c>
      <c r="H498" s="19" t="inlineStr">
        <is>
          <t>mit.enc.nga.omn</t>
        </is>
      </c>
      <c r="J498" s="5">
        <f>INDEX(Mapping!$C$5:$C$20,MATCH($C498,Mapping!$A$5:$A$20,0))</f>
        <v/>
      </c>
      <c r="K498" s="5">
        <f>INDEX(Mapping!$D$5:$D$20,MATCH($C498,Mapping!$A$5:$A$20,0))</f>
        <v/>
      </c>
      <c r="L498" s="5">
        <f>INDEX(Mapping!$C$24:$C$31,MATCH($B498,Mapping!$A$24:$A$31,0))</f>
        <v/>
      </c>
      <c r="M498" s="5">
        <f>INDEX(Mapping!$D$24:$D$31,MATCH($B498,Mapping!$A$24:$A$31,0))</f>
        <v/>
      </c>
      <c r="N498" s="5">
        <f>$B498&amp;"."&amp;IF(INDEX(Mapping!$E$24:$E$31,MATCH($B498,Mapping!$A$24:$A$31,0))="sub",INDEX(Mapping!$F$5:$F$20,MATCH($C498,Mapping!$A$5:$A$20,0)),"all")</f>
        <v/>
      </c>
      <c r="O498" s="5">
        <f>INDEX(Mapping!$E$5:$E$20,MATCH($C498,Mapping!$A$5:$A$20,0))</f>
        <v/>
      </c>
      <c r="P498" s="5">
        <f>INDEX(Mapping!$G$24:$G$31,MATCH($B498,Mapping!$A$24:$A$31,0))</f>
        <v/>
      </c>
      <c r="Q498" s="22">
        <f>INDEX(Elasticities!$F$4:$I$200,MATCH("inc|"&amp;$L498&amp;"|"&amp;$K498,Elasticities!$A$4:$A$200,0),MATCH(Settings!$C$6,Elasticities!$F$3:$I$3,0))</f>
        <v/>
      </c>
      <c r="R498" s="22">
        <f>INDEX(Elasticities!$F$4:$I$200,MATCH("usg|"&amp;$L498&amp;"|"&amp;$K498,Elasticities!$A$4:$A$200,0),MATCH(Settings!$C$6,Elasticities!$F$3:$I$3,0))</f>
        <v/>
      </c>
      <c r="S498" s="22">
        <f>INDEX(Elasticities!$F$4:$I$200,MATCH("eff|"&amp;$L498&amp;"|"&amp;$K498,Elasticities!$A$4:$A$200,0),MATCH(Settings!$C$6,Elasticities!$F$3:$I$3,0))</f>
        <v/>
      </c>
      <c r="T498" s="22">
        <f>INDEX(Elasticities!$F$4:$I$200,MATCH("aei|"&amp;$M498&amp;"|"&amp;$K498,Elasticities!$A$4:$A$200,0),MATCH(Settings!$C$6,Elasticities!$F$3:$I$3,0))</f>
        <v/>
      </c>
      <c r="U498" s="21" t="n"/>
      <c r="V498" s="22">
        <f>Q498</f>
        <v/>
      </c>
      <c r="W498" s="22">
        <f>R498</f>
        <v/>
      </c>
      <c r="X498" s="22">
        <f>S498</f>
        <v/>
      </c>
      <c r="Y498" s="22">
        <f>T498</f>
        <v/>
      </c>
      <c r="Z498" s="21" t="n"/>
      <c r="AA498" s="22">
        <f>Q498</f>
        <v/>
      </c>
      <c r="AB498" s="22">
        <f>R498</f>
        <v/>
      </c>
      <c r="AC498" s="22">
        <f>S498</f>
        <v/>
      </c>
      <c r="AD498" s="22">
        <f>T498</f>
        <v/>
      </c>
      <c r="AE498" s="21" t="n"/>
      <c r="AF498" s="22">
        <f>Q498</f>
        <v/>
      </c>
      <c r="AG498" s="22">
        <f>R498</f>
        <v/>
      </c>
      <c r="AH498" s="22">
        <f>S498</f>
        <v/>
      </c>
      <c r="AI498" s="22">
        <f>T498</f>
        <v/>
      </c>
      <c r="AJ498" s="21" t="n"/>
      <c r="AL498" s="24">
        <f>INDEX(EnergyCons!$F$4:$F$5000,MATCH(Settings!$C$4&amp;"|"&amp;AL$5&amp;"|"&amp;$C498&amp;"|"&amp;$B498,EnergyCons!$A$4:$A$5000,0))</f>
        <v/>
      </c>
      <c r="AM498" s="25">
        <f>AL498*(1/(1+INDEX($Q498:$AJ498,1,(AM$4-1)*5+4)))^(1+INDEX($Q498:$AJ498,1,(AM$4-1)*5+2))*(1+AM$7)^INDEX($Q498:$AJ498,1,(AM$4-1)*5+1)*(AM368/AL368)^INDEX($Q498:$AJ498,1,(AM$4-1)*5+2)*(AM368/AL368)^(INDEX($Q498:$AJ498,1,(AM$4-1)*5+3)*(1+INDEX($Q498:$AJ498,1,(AM$4-1)*5+2)))</f>
        <v/>
      </c>
      <c r="AN498" s="25">
        <f>AM498*(1/(1+INDEX($Q498:$AJ498,1,(AN$4-1)*5+4)))^(1+INDEX($Q498:$AJ498,1,(AN$4-1)*5+2))*(1+AN$7)^INDEX($Q498:$AJ498,1,(AN$4-1)*5+1)*(AN368/AM368)^INDEX($Q498:$AJ498,1,(AN$4-1)*5+2)*(AN368/AM368)^(INDEX($Q498:$AJ498,1,(AN$4-1)*5+3)*(1+INDEX($Q498:$AJ498,1,(AN$4-1)*5+2)))</f>
        <v/>
      </c>
      <c r="AO498" s="25">
        <f>AN498*(1/(1+INDEX($Q498:$AJ498,1,(AO$4-1)*5+4)))^(1+INDEX($Q498:$AJ498,1,(AO$4-1)*5+2))*(1+AO$7)^INDEX($Q498:$AJ498,1,(AO$4-1)*5+1)*(AO368/AN368)^INDEX($Q498:$AJ498,1,(AO$4-1)*5+2)*(AO368/AN368)^(INDEX($Q498:$AJ498,1,(AO$4-1)*5+3)*(1+INDEX($Q498:$AJ498,1,(AO$4-1)*5+2)))</f>
        <v/>
      </c>
      <c r="AP498" s="25">
        <f>AO498*(1/(1+INDEX($Q498:$AJ498,1,(AP$4-1)*5+4)))^(1+INDEX($Q498:$AJ498,1,(AP$4-1)*5+2))*(1+AP$7)^INDEX($Q498:$AJ498,1,(AP$4-1)*5+1)*(AP368/AO368)^INDEX($Q498:$AJ498,1,(AP$4-1)*5+2)*(AP368/AO368)^(INDEX($Q498:$AJ498,1,(AP$4-1)*5+3)*(1+INDEX($Q498:$AJ498,1,(AP$4-1)*5+2)))</f>
        <v/>
      </c>
      <c r="AQ498" s="25">
        <f>AP498*(1/(1+INDEX($Q498:$AJ498,1,(AQ$4-1)*5+4)))^(1+INDEX($Q498:$AJ498,1,(AQ$4-1)*5+2))*(1+AQ$7)^INDEX($Q498:$AJ498,1,(AQ$4-1)*5+1)*(AQ368/AP368)^INDEX($Q498:$AJ498,1,(AQ$4-1)*5+2)*(AQ368/AP368)^(INDEX($Q498:$AJ498,1,(AQ$4-1)*5+3)*(1+INDEX($Q498:$AJ498,1,(AQ$4-1)*5+2)))</f>
        <v/>
      </c>
      <c r="AR498" s="25">
        <f>AQ498*(1/(1+INDEX($Q498:$AJ498,1,(AR$4-1)*5+4)))^(1+INDEX($Q498:$AJ498,1,(AR$4-1)*5+2))*(1+AR$7)^INDEX($Q498:$AJ498,1,(AR$4-1)*5+1)*(AR368/AQ368)^INDEX($Q498:$AJ498,1,(AR$4-1)*5+2)*(AR368/AQ368)^(INDEX($Q498:$AJ498,1,(AR$4-1)*5+3)*(1+INDEX($Q498:$AJ498,1,(AR$4-1)*5+2)))</f>
        <v/>
      </c>
      <c r="AS498" s="25">
        <f>AR498*(1/(1+INDEX($Q498:$AJ498,1,(AS$4-1)*5+4)))^(1+INDEX($Q498:$AJ498,1,(AS$4-1)*5+2))*(1+AS$7)^INDEX($Q498:$AJ498,1,(AS$4-1)*5+1)*(AS368/AR368)^INDEX($Q498:$AJ498,1,(AS$4-1)*5+2)*(AS368/AR368)^(INDEX($Q498:$AJ498,1,(AS$4-1)*5+3)*(1+INDEX($Q498:$AJ498,1,(AS$4-1)*5+2)))</f>
        <v/>
      </c>
      <c r="AT498" s="25">
        <f>AS498*(1/(1+INDEX($Q498:$AJ498,1,(AT$4-1)*5+4)))^(1+INDEX($Q498:$AJ498,1,(AT$4-1)*5+2))*(1+AT$7)^INDEX($Q498:$AJ498,1,(AT$4-1)*5+1)*(AT368/AS368)^INDEX($Q498:$AJ498,1,(AT$4-1)*5+2)*(AT368/AS368)^(INDEX($Q498:$AJ498,1,(AT$4-1)*5+3)*(1+INDEX($Q498:$AJ498,1,(AT$4-1)*5+2)))</f>
        <v/>
      </c>
      <c r="AU498" s="25">
        <f>AT498*(1/(1+INDEX($Q498:$AJ498,1,(AU$4-1)*5+4)))^(1+INDEX($Q498:$AJ498,1,(AU$4-1)*5+2))*(1+AU$7)^INDEX($Q498:$AJ498,1,(AU$4-1)*5+1)*(AU368/AT368)^INDEX($Q498:$AJ498,1,(AU$4-1)*5+2)*(AU368/AT368)^(INDEX($Q498:$AJ498,1,(AU$4-1)*5+3)*(1+INDEX($Q498:$AJ498,1,(AU$4-1)*5+2)))</f>
        <v/>
      </c>
      <c r="AV498" s="25">
        <f>AU498*(1/(1+INDEX($Q498:$AJ498,1,(AV$4-1)*5+4)))^(1+INDEX($Q498:$AJ498,1,(AV$4-1)*5+2))*(1+AV$7)^INDEX($Q498:$AJ498,1,(AV$4-1)*5+1)*(AV368/AU368)^INDEX($Q498:$AJ498,1,(AV$4-1)*5+2)*(AV368/AU368)^(INDEX($Q498:$AJ498,1,(AV$4-1)*5+3)*(1+INDEX($Q498:$AJ498,1,(AV$4-1)*5+2)))</f>
        <v/>
      </c>
      <c r="AW498" s="25">
        <f>AV498*(1/(1+INDEX($Q498:$AJ498,1,(AW$4-1)*5+4)))^(1+INDEX($Q498:$AJ498,1,(AW$4-1)*5+2))*(1+AW$7)^INDEX($Q498:$AJ498,1,(AW$4-1)*5+1)*(AW368/AV368)^INDEX($Q498:$AJ498,1,(AW$4-1)*5+2)*(AW368/AV368)^(INDEX($Q498:$AJ498,1,(AW$4-1)*5+3)*(1+INDEX($Q498:$AJ498,1,(AW$4-1)*5+2)))</f>
        <v/>
      </c>
      <c r="AX498" s="25">
        <f>AW498*(1/(1+INDEX($Q498:$AJ498,1,(AX$4-1)*5+4)))^(1+INDEX($Q498:$AJ498,1,(AX$4-1)*5+2))*(1+AX$7)^INDEX($Q498:$AJ498,1,(AX$4-1)*5+1)*(AX368/AW368)^INDEX($Q498:$AJ498,1,(AX$4-1)*5+2)*(AX368/AW368)^(INDEX($Q498:$AJ498,1,(AX$4-1)*5+3)*(1+INDEX($Q498:$AJ498,1,(AX$4-1)*5+2)))</f>
        <v/>
      </c>
      <c r="AY498" s="25">
        <f>AX498*(1/(1+INDEX($Q498:$AJ498,1,(AY$4-1)*5+4)))^(1+INDEX($Q498:$AJ498,1,(AY$4-1)*5+2))*(1+AY$7)^INDEX($Q498:$AJ498,1,(AY$4-1)*5+1)*(AY368/AX368)^INDEX($Q498:$AJ498,1,(AY$4-1)*5+2)*(AY368/AX368)^(INDEX($Q498:$AJ498,1,(AY$4-1)*5+3)*(1+INDEX($Q498:$AJ498,1,(AY$4-1)*5+2)))</f>
        <v/>
      </c>
      <c r="BA498" s="24">
        <f>INDEX(EnergyCons!$F$4:$F$5000,MATCH(Settings!$C$4&amp;"|"&amp;BA$5&amp;"|"&amp;$C498&amp;"|"&amp;$B498,EnergyCons!$A$4:$A$5000,0))</f>
        <v/>
      </c>
      <c r="BB498" s="25">
        <f>BA498*(1/(1+INDEX($Q498:$AJ498,1,(BB$4-1)*5+4)))^(1+INDEX($Q498:$AJ498,1,(BB$4-1)*5+2))*(1+BB$7)^INDEX($Q498:$AJ498,1,(BB$4-1)*5+1)*(BB368/BA368)^INDEX($Q498:$AJ498,1,(BB$4-1)*5+2)*(BB368/BA368)^(INDEX($Q498:$AJ498,1,(BB$4-1)*5+3)*(1+INDEX($Q498:$AJ498,1,(BB$4-1)*5+2)))</f>
        <v/>
      </c>
      <c r="BC498" s="25">
        <f>BB498*(1/(1+INDEX($Q498:$AJ498,1,(BC$4-1)*5+4)))^(1+INDEX($Q498:$AJ498,1,(BC$4-1)*5+2))*(1+BC$7)^INDEX($Q498:$AJ498,1,(BC$4-1)*5+1)*(BC368/BB368)^INDEX($Q498:$AJ498,1,(BC$4-1)*5+2)*(BC368/BB368)^(INDEX($Q498:$AJ498,1,(BC$4-1)*5+3)*(1+INDEX($Q498:$AJ498,1,(BC$4-1)*5+2)))</f>
        <v/>
      </c>
      <c r="BD498" s="25">
        <f>BC498*(1/(1+INDEX($Q498:$AJ498,1,(BD$4-1)*5+4)))^(1+INDEX($Q498:$AJ498,1,(BD$4-1)*5+2))*(1+BD$7)^INDEX($Q498:$AJ498,1,(BD$4-1)*5+1)*(BD368/BC368)^INDEX($Q498:$AJ498,1,(BD$4-1)*5+2)*(BD368/BC368)^(INDEX($Q498:$AJ498,1,(BD$4-1)*5+3)*(1+INDEX($Q498:$AJ498,1,(BD$4-1)*5+2)))</f>
        <v/>
      </c>
      <c r="BE498" s="25">
        <f>BD498*(1/(1+INDEX($Q498:$AJ498,1,(BE$4-1)*5+4)))^(1+INDEX($Q498:$AJ498,1,(BE$4-1)*5+2))*(1+BE$7)^INDEX($Q498:$AJ498,1,(BE$4-1)*5+1)*(BE368/BD368)^INDEX($Q498:$AJ498,1,(BE$4-1)*5+2)*(BE368/BD368)^(INDEX($Q498:$AJ498,1,(BE$4-1)*5+3)*(1+INDEX($Q498:$AJ498,1,(BE$4-1)*5+2)))</f>
        <v/>
      </c>
      <c r="BF498" s="25">
        <f>BE498*(1/(1+INDEX($Q498:$AJ498,1,(BF$4-1)*5+4)))^(1+INDEX($Q498:$AJ498,1,(BF$4-1)*5+2))*(1+BF$7)^INDEX($Q498:$AJ498,1,(BF$4-1)*5+1)*(BF368/BE368)^INDEX($Q498:$AJ498,1,(BF$4-1)*5+2)*(BF368/BE368)^(INDEX($Q498:$AJ498,1,(BF$4-1)*5+3)*(1+INDEX($Q498:$AJ498,1,(BF$4-1)*5+2)))</f>
        <v/>
      </c>
      <c r="BG498" s="25">
        <f>BF498*(1/(1+INDEX($Q498:$AJ498,1,(BG$4-1)*5+4)))^(1+INDEX($Q498:$AJ498,1,(BG$4-1)*5+2))*(1+BG$7)^INDEX($Q498:$AJ498,1,(BG$4-1)*5+1)*(BG368/BF368)^INDEX($Q498:$AJ498,1,(BG$4-1)*5+2)*(BG368/BF368)^(INDEX($Q498:$AJ498,1,(BG$4-1)*5+3)*(1+INDEX($Q498:$AJ498,1,(BG$4-1)*5+2)))</f>
        <v/>
      </c>
      <c r="BH498" s="25">
        <f>BG498*(1/(1+INDEX($Q498:$AJ498,1,(BH$4-1)*5+4)))^(1+INDEX($Q498:$AJ498,1,(BH$4-1)*5+2))*(1+BH$7)^INDEX($Q498:$AJ498,1,(BH$4-1)*5+1)*(BH368/BG368)^INDEX($Q498:$AJ498,1,(BH$4-1)*5+2)*(BH368/BG368)^(INDEX($Q498:$AJ498,1,(BH$4-1)*5+3)*(1+INDEX($Q498:$AJ498,1,(BH$4-1)*5+2)))</f>
        <v/>
      </c>
      <c r="BI498" s="25">
        <f>BH498*(1/(1+INDEX($Q498:$AJ498,1,(BI$4-1)*5+4)))^(1+INDEX($Q498:$AJ498,1,(BI$4-1)*5+2))*(1+BI$7)^INDEX($Q498:$AJ498,1,(BI$4-1)*5+1)*(BI368/BH368)^INDEX($Q498:$AJ498,1,(BI$4-1)*5+2)*(BI368/BH368)^(INDEX($Q498:$AJ498,1,(BI$4-1)*5+3)*(1+INDEX($Q498:$AJ498,1,(BI$4-1)*5+2)))</f>
        <v/>
      </c>
      <c r="BJ498" s="25">
        <f>BI498*(1/(1+INDEX($Q498:$AJ498,1,(BJ$4-1)*5+4)))^(1+INDEX($Q498:$AJ498,1,(BJ$4-1)*5+2))*(1+BJ$7)^INDEX($Q498:$AJ498,1,(BJ$4-1)*5+1)*(BJ368/BI368)^INDEX($Q498:$AJ498,1,(BJ$4-1)*5+2)*(BJ368/BI368)^(INDEX($Q498:$AJ498,1,(BJ$4-1)*5+3)*(1+INDEX($Q498:$AJ498,1,(BJ$4-1)*5+2)))</f>
        <v/>
      </c>
      <c r="BK498" s="25">
        <f>BJ498*(1/(1+INDEX($Q498:$AJ498,1,(BK$4-1)*5+4)))^(1+INDEX($Q498:$AJ498,1,(BK$4-1)*5+2))*(1+BK$7)^INDEX($Q498:$AJ498,1,(BK$4-1)*5+1)*(BK368/BJ368)^INDEX($Q498:$AJ498,1,(BK$4-1)*5+2)*(BK368/BJ368)^(INDEX($Q498:$AJ498,1,(BK$4-1)*5+3)*(1+INDEX($Q498:$AJ498,1,(BK$4-1)*5+2)))</f>
        <v/>
      </c>
      <c r="BL498" s="25">
        <f>BK498*(1/(1+INDEX($Q498:$AJ498,1,(BL$4-1)*5+4)))^(1+INDEX($Q498:$AJ498,1,(BL$4-1)*5+2))*(1+BL$7)^INDEX($Q498:$AJ498,1,(BL$4-1)*5+1)*(BL368/BK368)^INDEX($Q498:$AJ498,1,(BL$4-1)*5+2)*(BL368/BK368)^(INDEX($Q498:$AJ498,1,(BL$4-1)*5+3)*(1+INDEX($Q498:$AJ498,1,(BL$4-1)*5+2)))</f>
        <v/>
      </c>
      <c r="BM498" s="25">
        <f>BL498*(1/(1+INDEX($Q498:$AJ498,1,(BM$4-1)*5+4)))^(1+INDEX($Q498:$AJ498,1,(BM$4-1)*5+2))*(1+BM$7)^INDEX($Q498:$AJ498,1,(BM$4-1)*5+1)*(BM368/BL368)^INDEX($Q498:$AJ498,1,(BM$4-1)*5+2)*(BM368/BL368)^(INDEX($Q498:$AJ498,1,(BM$4-1)*5+3)*(1+INDEX($Q498:$AJ498,1,(BM$4-1)*5+2)))</f>
        <v/>
      </c>
      <c r="BN498" s="25">
        <f>BM498*(1/(1+INDEX($Q498:$AJ498,1,(BN$4-1)*5+4)))^(1+INDEX($Q498:$AJ498,1,(BN$4-1)*5+2))*(1+BN$7)^INDEX($Q498:$AJ498,1,(BN$4-1)*5+1)*(BN368/BM368)^INDEX($Q498:$AJ498,1,(BN$4-1)*5+2)*(BN368/BM368)^(INDEX($Q498:$AJ498,1,(BN$4-1)*5+3)*(1+INDEX($Q498:$AJ498,1,(BN$4-1)*5+2)))</f>
        <v/>
      </c>
    </row>
    <row r="499">
      <c r="B499" s="5" t="inlineStr">
        <is>
          <t>gso</t>
        </is>
      </c>
      <c r="C499" s="5" t="inlineStr">
        <is>
          <t>omn</t>
        </is>
      </c>
      <c r="D499" s="5" t="inlineStr">
        <is>
          <t>Fuel use | Other manufacturing | Gasoline</t>
        </is>
      </c>
      <c r="E499" s="5" t="inlineStr">
        <is>
          <t>ktoe</t>
        </is>
      </c>
      <c r="F499" s="5" t="inlineStr">
        <is>
          <t>EnergyCons (base year), Elasticities</t>
        </is>
      </c>
      <c r="G499" s="19" t="inlineStr">
        <is>
          <t>mit.enc.gso.omn</t>
        </is>
      </c>
      <c r="H499" s="19" t="inlineStr">
        <is>
          <t>mit.enc.gso.omn</t>
        </is>
      </c>
      <c r="J499" s="5">
        <f>INDEX(Mapping!$C$5:$C$20,MATCH($C499,Mapping!$A$5:$A$20,0))</f>
        <v/>
      </c>
      <c r="K499" s="5">
        <f>INDEX(Mapping!$D$5:$D$20,MATCH($C499,Mapping!$A$5:$A$20,0))</f>
        <v/>
      </c>
      <c r="L499" s="5">
        <f>INDEX(Mapping!$C$24:$C$31,MATCH($B499,Mapping!$A$24:$A$31,0))</f>
        <v/>
      </c>
      <c r="M499" s="5">
        <f>INDEX(Mapping!$D$24:$D$31,MATCH($B499,Mapping!$A$24:$A$31,0))</f>
        <v/>
      </c>
      <c r="N499" s="5">
        <f>$B499&amp;"."&amp;IF(INDEX(Mapping!$E$24:$E$31,MATCH($B499,Mapping!$A$24:$A$31,0))="sub",INDEX(Mapping!$F$5:$F$20,MATCH($C499,Mapping!$A$5:$A$20,0)),"all")</f>
        <v/>
      </c>
      <c r="O499" s="5">
        <f>INDEX(Mapping!$E$5:$E$20,MATCH($C499,Mapping!$A$5:$A$20,0))</f>
        <v/>
      </c>
      <c r="P499" s="5">
        <f>INDEX(Mapping!$G$24:$G$31,MATCH($B499,Mapping!$A$24:$A$31,0))</f>
        <v/>
      </c>
      <c r="Q499" s="22">
        <f>INDEX(Elasticities!$F$4:$I$200,MATCH("inc|"&amp;$L499&amp;"|"&amp;$K499,Elasticities!$A$4:$A$200,0),MATCH(Settings!$C$6,Elasticities!$F$3:$I$3,0))</f>
        <v/>
      </c>
      <c r="R499" s="22">
        <f>INDEX(Elasticities!$F$4:$I$200,MATCH("usg|"&amp;$L499&amp;"|"&amp;$K499,Elasticities!$A$4:$A$200,0),MATCH(Settings!$C$6,Elasticities!$F$3:$I$3,0))</f>
        <v/>
      </c>
      <c r="S499" s="22">
        <f>INDEX(Elasticities!$F$4:$I$200,MATCH("eff|"&amp;$L499&amp;"|"&amp;$K499,Elasticities!$A$4:$A$200,0),MATCH(Settings!$C$6,Elasticities!$F$3:$I$3,0))</f>
        <v/>
      </c>
      <c r="T499" s="22">
        <f>INDEX(Elasticities!$F$4:$I$200,MATCH("aei|"&amp;$M499&amp;"|"&amp;$K499,Elasticities!$A$4:$A$200,0),MATCH(Settings!$C$6,Elasticities!$F$3:$I$3,0))</f>
        <v/>
      </c>
      <c r="U499" s="21" t="n"/>
      <c r="V499" s="22">
        <f>Q499</f>
        <v/>
      </c>
      <c r="W499" s="22">
        <f>R499</f>
        <v/>
      </c>
      <c r="X499" s="22">
        <f>S499</f>
        <v/>
      </c>
      <c r="Y499" s="22">
        <f>T499</f>
        <v/>
      </c>
      <c r="Z499" s="21" t="n"/>
      <c r="AA499" s="22">
        <f>Q499</f>
        <v/>
      </c>
      <c r="AB499" s="22">
        <f>R499</f>
        <v/>
      </c>
      <c r="AC499" s="22">
        <f>S499</f>
        <v/>
      </c>
      <c r="AD499" s="22">
        <f>T499</f>
        <v/>
      </c>
      <c r="AE499" s="21" t="n"/>
      <c r="AF499" s="22">
        <f>Q499</f>
        <v/>
      </c>
      <c r="AG499" s="22">
        <f>R499</f>
        <v/>
      </c>
      <c r="AH499" s="22">
        <f>S499</f>
        <v/>
      </c>
      <c r="AI499" s="22">
        <f>T499</f>
        <v/>
      </c>
      <c r="AJ499" s="21" t="n"/>
      <c r="AL499" s="24">
        <f>INDEX(EnergyCons!$F$4:$F$5000,MATCH(Settings!$C$4&amp;"|"&amp;AL$5&amp;"|"&amp;$C499&amp;"|"&amp;$B499,EnergyCons!$A$4:$A$5000,0))</f>
        <v/>
      </c>
      <c r="AM499" s="25">
        <f>AL499*(1/(1+INDEX($Q499:$AJ499,1,(AM$4-1)*5+4)))^(1+INDEX($Q499:$AJ499,1,(AM$4-1)*5+2))*(1+AM$7)^INDEX($Q499:$AJ499,1,(AM$4-1)*5+1)*(AM369/AL369)^INDEX($Q499:$AJ499,1,(AM$4-1)*5+2)*(AM369/AL369)^(INDEX($Q499:$AJ499,1,(AM$4-1)*5+3)*(1+INDEX($Q499:$AJ499,1,(AM$4-1)*5+2)))</f>
        <v/>
      </c>
      <c r="AN499" s="25">
        <f>AM499*(1/(1+INDEX($Q499:$AJ499,1,(AN$4-1)*5+4)))^(1+INDEX($Q499:$AJ499,1,(AN$4-1)*5+2))*(1+AN$7)^INDEX($Q499:$AJ499,1,(AN$4-1)*5+1)*(AN369/AM369)^INDEX($Q499:$AJ499,1,(AN$4-1)*5+2)*(AN369/AM369)^(INDEX($Q499:$AJ499,1,(AN$4-1)*5+3)*(1+INDEX($Q499:$AJ499,1,(AN$4-1)*5+2)))</f>
        <v/>
      </c>
      <c r="AO499" s="25">
        <f>AN499*(1/(1+INDEX($Q499:$AJ499,1,(AO$4-1)*5+4)))^(1+INDEX($Q499:$AJ499,1,(AO$4-1)*5+2))*(1+AO$7)^INDEX($Q499:$AJ499,1,(AO$4-1)*5+1)*(AO369/AN369)^INDEX($Q499:$AJ499,1,(AO$4-1)*5+2)*(AO369/AN369)^(INDEX($Q499:$AJ499,1,(AO$4-1)*5+3)*(1+INDEX($Q499:$AJ499,1,(AO$4-1)*5+2)))</f>
        <v/>
      </c>
      <c r="AP499" s="25">
        <f>AO499*(1/(1+INDEX($Q499:$AJ499,1,(AP$4-1)*5+4)))^(1+INDEX($Q499:$AJ499,1,(AP$4-1)*5+2))*(1+AP$7)^INDEX($Q499:$AJ499,1,(AP$4-1)*5+1)*(AP369/AO369)^INDEX($Q499:$AJ499,1,(AP$4-1)*5+2)*(AP369/AO369)^(INDEX($Q499:$AJ499,1,(AP$4-1)*5+3)*(1+INDEX($Q499:$AJ499,1,(AP$4-1)*5+2)))</f>
        <v/>
      </c>
      <c r="AQ499" s="25">
        <f>AP499*(1/(1+INDEX($Q499:$AJ499,1,(AQ$4-1)*5+4)))^(1+INDEX($Q499:$AJ499,1,(AQ$4-1)*5+2))*(1+AQ$7)^INDEX($Q499:$AJ499,1,(AQ$4-1)*5+1)*(AQ369/AP369)^INDEX($Q499:$AJ499,1,(AQ$4-1)*5+2)*(AQ369/AP369)^(INDEX($Q499:$AJ499,1,(AQ$4-1)*5+3)*(1+INDEX($Q499:$AJ499,1,(AQ$4-1)*5+2)))</f>
        <v/>
      </c>
      <c r="AR499" s="25">
        <f>AQ499*(1/(1+INDEX($Q499:$AJ499,1,(AR$4-1)*5+4)))^(1+INDEX($Q499:$AJ499,1,(AR$4-1)*5+2))*(1+AR$7)^INDEX($Q499:$AJ499,1,(AR$4-1)*5+1)*(AR369/AQ369)^INDEX($Q499:$AJ499,1,(AR$4-1)*5+2)*(AR369/AQ369)^(INDEX($Q499:$AJ499,1,(AR$4-1)*5+3)*(1+INDEX($Q499:$AJ499,1,(AR$4-1)*5+2)))</f>
        <v/>
      </c>
      <c r="AS499" s="25">
        <f>AR499*(1/(1+INDEX($Q499:$AJ499,1,(AS$4-1)*5+4)))^(1+INDEX($Q499:$AJ499,1,(AS$4-1)*5+2))*(1+AS$7)^INDEX($Q499:$AJ499,1,(AS$4-1)*5+1)*(AS369/AR369)^INDEX($Q499:$AJ499,1,(AS$4-1)*5+2)*(AS369/AR369)^(INDEX($Q499:$AJ499,1,(AS$4-1)*5+3)*(1+INDEX($Q499:$AJ499,1,(AS$4-1)*5+2)))</f>
        <v/>
      </c>
      <c r="AT499" s="25">
        <f>AS499*(1/(1+INDEX($Q499:$AJ499,1,(AT$4-1)*5+4)))^(1+INDEX($Q499:$AJ499,1,(AT$4-1)*5+2))*(1+AT$7)^INDEX($Q499:$AJ499,1,(AT$4-1)*5+1)*(AT369/AS369)^INDEX($Q499:$AJ499,1,(AT$4-1)*5+2)*(AT369/AS369)^(INDEX($Q499:$AJ499,1,(AT$4-1)*5+3)*(1+INDEX($Q499:$AJ499,1,(AT$4-1)*5+2)))</f>
        <v/>
      </c>
      <c r="AU499" s="25">
        <f>AT499*(1/(1+INDEX($Q499:$AJ499,1,(AU$4-1)*5+4)))^(1+INDEX($Q499:$AJ499,1,(AU$4-1)*5+2))*(1+AU$7)^INDEX($Q499:$AJ499,1,(AU$4-1)*5+1)*(AU369/AT369)^INDEX($Q499:$AJ499,1,(AU$4-1)*5+2)*(AU369/AT369)^(INDEX($Q499:$AJ499,1,(AU$4-1)*5+3)*(1+INDEX($Q499:$AJ499,1,(AU$4-1)*5+2)))</f>
        <v/>
      </c>
      <c r="AV499" s="25">
        <f>AU499*(1/(1+INDEX($Q499:$AJ499,1,(AV$4-1)*5+4)))^(1+INDEX($Q499:$AJ499,1,(AV$4-1)*5+2))*(1+AV$7)^INDEX($Q499:$AJ499,1,(AV$4-1)*5+1)*(AV369/AU369)^INDEX($Q499:$AJ499,1,(AV$4-1)*5+2)*(AV369/AU369)^(INDEX($Q499:$AJ499,1,(AV$4-1)*5+3)*(1+INDEX($Q499:$AJ499,1,(AV$4-1)*5+2)))</f>
        <v/>
      </c>
      <c r="AW499" s="25">
        <f>AV499*(1/(1+INDEX($Q499:$AJ499,1,(AW$4-1)*5+4)))^(1+INDEX($Q499:$AJ499,1,(AW$4-1)*5+2))*(1+AW$7)^INDEX($Q499:$AJ499,1,(AW$4-1)*5+1)*(AW369/AV369)^INDEX($Q499:$AJ499,1,(AW$4-1)*5+2)*(AW369/AV369)^(INDEX($Q499:$AJ499,1,(AW$4-1)*5+3)*(1+INDEX($Q499:$AJ499,1,(AW$4-1)*5+2)))</f>
        <v/>
      </c>
      <c r="AX499" s="25">
        <f>AW499*(1/(1+INDEX($Q499:$AJ499,1,(AX$4-1)*5+4)))^(1+INDEX($Q499:$AJ499,1,(AX$4-1)*5+2))*(1+AX$7)^INDEX($Q499:$AJ499,1,(AX$4-1)*5+1)*(AX369/AW369)^INDEX($Q499:$AJ499,1,(AX$4-1)*5+2)*(AX369/AW369)^(INDEX($Q499:$AJ499,1,(AX$4-1)*5+3)*(1+INDEX($Q499:$AJ499,1,(AX$4-1)*5+2)))</f>
        <v/>
      </c>
      <c r="AY499" s="25">
        <f>AX499*(1/(1+INDEX($Q499:$AJ499,1,(AY$4-1)*5+4)))^(1+INDEX($Q499:$AJ499,1,(AY$4-1)*5+2))*(1+AY$7)^INDEX($Q499:$AJ499,1,(AY$4-1)*5+1)*(AY369/AX369)^INDEX($Q499:$AJ499,1,(AY$4-1)*5+2)*(AY369/AX369)^(INDEX($Q499:$AJ499,1,(AY$4-1)*5+3)*(1+INDEX($Q499:$AJ499,1,(AY$4-1)*5+2)))</f>
        <v/>
      </c>
      <c r="BA499" s="24">
        <f>INDEX(EnergyCons!$F$4:$F$5000,MATCH(Settings!$C$4&amp;"|"&amp;BA$5&amp;"|"&amp;$C499&amp;"|"&amp;$B499,EnergyCons!$A$4:$A$5000,0))</f>
        <v/>
      </c>
      <c r="BB499" s="25">
        <f>BA499*(1/(1+INDEX($Q499:$AJ499,1,(BB$4-1)*5+4)))^(1+INDEX($Q499:$AJ499,1,(BB$4-1)*5+2))*(1+BB$7)^INDEX($Q499:$AJ499,1,(BB$4-1)*5+1)*(BB369/BA369)^INDEX($Q499:$AJ499,1,(BB$4-1)*5+2)*(BB369/BA369)^(INDEX($Q499:$AJ499,1,(BB$4-1)*5+3)*(1+INDEX($Q499:$AJ499,1,(BB$4-1)*5+2)))</f>
        <v/>
      </c>
      <c r="BC499" s="25">
        <f>BB499*(1/(1+INDEX($Q499:$AJ499,1,(BC$4-1)*5+4)))^(1+INDEX($Q499:$AJ499,1,(BC$4-1)*5+2))*(1+BC$7)^INDEX($Q499:$AJ499,1,(BC$4-1)*5+1)*(BC369/BB369)^INDEX($Q499:$AJ499,1,(BC$4-1)*5+2)*(BC369/BB369)^(INDEX($Q499:$AJ499,1,(BC$4-1)*5+3)*(1+INDEX($Q499:$AJ499,1,(BC$4-1)*5+2)))</f>
        <v/>
      </c>
      <c r="BD499" s="25">
        <f>BC499*(1/(1+INDEX($Q499:$AJ499,1,(BD$4-1)*5+4)))^(1+INDEX($Q499:$AJ499,1,(BD$4-1)*5+2))*(1+BD$7)^INDEX($Q499:$AJ499,1,(BD$4-1)*5+1)*(BD369/BC369)^INDEX($Q499:$AJ499,1,(BD$4-1)*5+2)*(BD369/BC369)^(INDEX($Q499:$AJ499,1,(BD$4-1)*5+3)*(1+INDEX($Q499:$AJ499,1,(BD$4-1)*5+2)))</f>
        <v/>
      </c>
      <c r="BE499" s="25">
        <f>BD499*(1/(1+INDEX($Q499:$AJ499,1,(BE$4-1)*5+4)))^(1+INDEX($Q499:$AJ499,1,(BE$4-1)*5+2))*(1+BE$7)^INDEX($Q499:$AJ499,1,(BE$4-1)*5+1)*(BE369/BD369)^INDEX($Q499:$AJ499,1,(BE$4-1)*5+2)*(BE369/BD369)^(INDEX($Q499:$AJ499,1,(BE$4-1)*5+3)*(1+INDEX($Q499:$AJ499,1,(BE$4-1)*5+2)))</f>
        <v/>
      </c>
      <c r="BF499" s="25">
        <f>BE499*(1/(1+INDEX($Q499:$AJ499,1,(BF$4-1)*5+4)))^(1+INDEX($Q499:$AJ499,1,(BF$4-1)*5+2))*(1+BF$7)^INDEX($Q499:$AJ499,1,(BF$4-1)*5+1)*(BF369/BE369)^INDEX($Q499:$AJ499,1,(BF$4-1)*5+2)*(BF369/BE369)^(INDEX($Q499:$AJ499,1,(BF$4-1)*5+3)*(1+INDEX($Q499:$AJ499,1,(BF$4-1)*5+2)))</f>
        <v/>
      </c>
      <c r="BG499" s="25">
        <f>BF499*(1/(1+INDEX($Q499:$AJ499,1,(BG$4-1)*5+4)))^(1+INDEX($Q499:$AJ499,1,(BG$4-1)*5+2))*(1+BG$7)^INDEX($Q499:$AJ499,1,(BG$4-1)*5+1)*(BG369/BF369)^INDEX($Q499:$AJ499,1,(BG$4-1)*5+2)*(BG369/BF369)^(INDEX($Q499:$AJ499,1,(BG$4-1)*5+3)*(1+INDEX($Q499:$AJ499,1,(BG$4-1)*5+2)))</f>
        <v/>
      </c>
      <c r="BH499" s="25">
        <f>BG499*(1/(1+INDEX($Q499:$AJ499,1,(BH$4-1)*5+4)))^(1+INDEX($Q499:$AJ499,1,(BH$4-1)*5+2))*(1+BH$7)^INDEX($Q499:$AJ499,1,(BH$4-1)*5+1)*(BH369/BG369)^INDEX($Q499:$AJ499,1,(BH$4-1)*5+2)*(BH369/BG369)^(INDEX($Q499:$AJ499,1,(BH$4-1)*5+3)*(1+INDEX($Q499:$AJ499,1,(BH$4-1)*5+2)))</f>
        <v/>
      </c>
      <c r="BI499" s="25">
        <f>BH499*(1/(1+INDEX($Q499:$AJ499,1,(BI$4-1)*5+4)))^(1+INDEX($Q499:$AJ499,1,(BI$4-1)*5+2))*(1+BI$7)^INDEX($Q499:$AJ499,1,(BI$4-1)*5+1)*(BI369/BH369)^INDEX($Q499:$AJ499,1,(BI$4-1)*5+2)*(BI369/BH369)^(INDEX($Q499:$AJ499,1,(BI$4-1)*5+3)*(1+INDEX($Q499:$AJ499,1,(BI$4-1)*5+2)))</f>
        <v/>
      </c>
      <c r="BJ499" s="25">
        <f>BI499*(1/(1+INDEX($Q499:$AJ499,1,(BJ$4-1)*5+4)))^(1+INDEX($Q499:$AJ499,1,(BJ$4-1)*5+2))*(1+BJ$7)^INDEX($Q499:$AJ499,1,(BJ$4-1)*5+1)*(BJ369/BI369)^INDEX($Q499:$AJ499,1,(BJ$4-1)*5+2)*(BJ369/BI369)^(INDEX($Q499:$AJ499,1,(BJ$4-1)*5+3)*(1+INDEX($Q499:$AJ499,1,(BJ$4-1)*5+2)))</f>
        <v/>
      </c>
      <c r="BK499" s="25">
        <f>BJ499*(1/(1+INDEX($Q499:$AJ499,1,(BK$4-1)*5+4)))^(1+INDEX($Q499:$AJ499,1,(BK$4-1)*5+2))*(1+BK$7)^INDEX($Q499:$AJ499,1,(BK$4-1)*5+1)*(BK369/BJ369)^INDEX($Q499:$AJ499,1,(BK$4-1)*5+2)*(BK369/BJ369)^(INDEX($Q499:$AJ499,1,(BK$4-1)*5+3)*(1+INDEX($Q499:$AJ499,1,(BK$4-1)*5+2)))</f>
        <v/>
      </c>
      <c r="BL499" s="25">
        <f>BK499*(1/(1+INDEX($Q499:$AJ499,1,(BL$4-1)*5+4)))^(1+INDEX($Q499:$AJ499,1,(BL$4-1)*5+2))*(1+BL$7)^INDEX($Q499:$AJ499,1,(BL$4-1)*5+1)*(BL369/BK369)^INDEX($Q499:$AJ499,1,(BL$4-1)*5+2)*(BL369/BK369)^(INDEX($Q499:$AJ499,1,(BL$4-1)*5+3)*(1+INDEX($Q499:$AJ499,1,(BL$4-1)*5+2)))</f>
        <v/>
      </c>
      <c r="BM499" s="25">
        <f>BL499*(1/(1+INDEX($Q499:$AJ499,1,(BM$4-1)*5+4)))^(1+INDEX($Q499:$AJ499,1,(BM$4-1)*5+2))*(1+BM$7)^INDEX($Q499:$AJ499,1,(BM$4-1)*5+1)*(BM369/BL369)^INDEX($Q499:$AJ499,1,(BM$4-1)*5+2)*(BM369/BL369)^(INDEX($Q499:$AJ499,1,(BM$4-1)*5+3)*(1+INDEX($Q499:$AJ499,1,(BM$4-1)*5+2)))</f>
        <v/>
      </c>
      <c r="BN499" s="25">
        <f>BM499*(1/(1+INDEX($Q499:$AJ499,1,(BN$4-1)*5+4)))^(1+INDEX($Q499:$AJ499,1,(BN$4-1)*5+2))*(1+BN$7)^INDEX($Q499:$AJ499,1,(BN$4-1)*5+1)*(BN369/BM369)^INDEX($Q499:$AJ499,1,(BN$4-1)*5+2)*(BN369/BM369)^(INDEX($Q499:$AJ499,1,(BN$4-1)*5+3)*(1+INDEX($Q499:$AJ499,1,(BN$4-1)*5+2)))</f>
        <v/>
      </c>
    </row>
    <row r="500">
      <c r="B500" s="5" t="inlineStr">
        <is>
          <t>die</t>
        </is>
      </c>
      <c r="C500" s="5" t="inlineStr">
        <is>
          <t>omn</t>
        </is>
      </c>
      <c r="D500" s="5" t="inlineStr">
        <is>
          <t>Fuel use | Other manufacturing | Diesel</t>
        </is>
      </c>
      <c r="E500" s="5" t="inlineStr">
        <is>
          <t>ktoe</t>
        </is>
      </c>
      <c r="F500" s="5" t="inlineStr">
        <is>
          <t>EnergyCons (base year), Elasticities</t>
        </is>
      </c>
      <c r="G500" s="19" t="inlineStr">
        <is>
          <t>mit.enc.die.omn</t>
        </is>
      </c>
      <c r="H500" s="19" t="inlineStr">
        <is>
          <t>mit.enc.die.omn</t>
        </is>
      </c>
      <c r="J500" s="5">
        <f>INDEX(Mapping!$C$5:$C$20,MATCH($C500,Mapping!$A$5:$A$20,0))</f>
        <v/>
      </c>
      <c r="K500" s="5">
        <f>INDEX(Mapping!$D$5:$D$20,MATCH($C500,Mapping!$A$5:$A$20,0))</f>
        <v/>
      </c>
      <c r="L500" s="5">
        <f>INDEX(Mapping!$C$24:$C$31,MATCH($B500,Mapping!$A$24:$A$31,0))</f>
        <v/>
      </c>
      <c r="M500" s="5">
        <f>INDEX(Mapping!$D$24:$D$31,MATCH($B500,Mapping!$A$24:$A$31,0))</f>
        <v/>
      </c>
      <c r="N500" s="5">
        <f>$B500&amp;"."&amp;IF(INDEX(Mapping!$E$24:$E$31,MATCH($B500,Mapping!$A$24:$A$31,0))="sub",INDEX(Mapping!$F$5:$F$20,MATCH($C500,Mapping!$A$5:$A$20,0)),"all")</f>
        <v/>
      </c>
      <c r="O500" s="5">
        <f>INDEX(Mapping!$E$5:$E$20,MATCH($C500,Mapping!$A$5:$A$20,0))</f>
        <v/>
      </c>
      <c r="P500" s="5">
        <f>INDEX(Mapping!$G$24:$G$31,MATCH($B500,Mapping!$A$24:$A$31,0))</f>
        <v/>
      </c>
      <c r="Q500" s="22">
        <f>INDEX(Elasticities!$F$4:$I$200,MATCH("inc|"&amp;$L500&amp;"|"&amp;$K500,Elasticities!$A$4:$A$200,0),MATCH(Settings!$C$6,Elasticities!$F$3:$I$3,0))</f>
        <v/>
      </c>
      <c r="R500" s="22">
        <f>INDEX(Elasticities!$F$4:$I$200,MATCH("usg|"&amp;$L500&amp;"|"&amp;$K500,Elasticities!$A$4:$A$200,0),MATCH(Settings!$C$6,Elasticities!$F$3:$I$3,0))</f>
        <v/>
      </c>
      <c r="S500" s="22">
        <f>INDEX(Elasticities!$F$4:$I$200,MATCH("eff|"&amp;$L500&amp;"|"&amp;$K500,Elasticities!$A$4:$A$200,0),MATCH(Settings!$C$6,Elasticities!$F$3:$I$3,0))</f>
        <v/>
      </c>
      <c r="T500" s="22">
        <f>INDEX(Elasticities!$F$4:$I$200,MATCH("aei|"&amp;$M500&amp;"|"&amp;$K500,Elasticities!$A$4:$A$200,0),MATCH(Settings!$C$6,Elasticities!$F$3:$I$3,0))</f>
        <v/>
      </c>
      <c r="U500" s="21" t="n"/>
      <c r="V500" s="22">
        <f>Q500</f>
        <v/>
      </c>
      <c r="W500" s="22">
        <f>R500</f>
        <v/>
      </c>
      <c r="X500" s="22">
        <f>S500</f>
        <v/>
      </c>
      <c r="Y500" s="22">
        <f>T500</f>
        <v/>
      </c>
      <c r="Z500" s="21" t="n"/>
      <c r="AA500" s="22">
        <f>Q500</f>
        <v/>
      </c>
      <c r="AB500" s="22">
        <f>R500</f>
        <v/>
      </c>
      <c r="AC500" s="22">
        <f>S500</f>
        <v/>
      </c>
      <c r="AD500" s="22">
        <f>T500</f>
        <v/>
      </c>
      <c r="AE500" s="21" t="n"/>
      <c r="AF500" s="22">
        <f>Q500</f>
        <v/>
      </c>
      <c r="AG500" s="22">
        <f>R500</f>
        <v/>
      </c>
      <c r="AH500" s="22">
        <f>S500</f>
        <v/>
      </c>
      <c r="AI500" s="22">
        <f>T500</f>
        <v/>
      </c>
      <c r="AJ500" s="21" t="n"/>
      <c r="AL500" s="24">
        <f>INDEX(EnergyCons!$F$4:$F$5000,MATCH(Settings!$C$4&amp;"|"&amp;AL$5&amp;"|"&amp;$C500&amp;"|"&amp;$B500,EnergyCons!$A$4:$A$5000,0))</f>
        <v/>
      </c>
      <c r="AM500" s="25">
        <f>AL500*(1/(1+INDEX($Q500:$AJ500,1,(AM$4-1)*5+4)))^(1+INDEX($Q500:$AJ500,1,(AM$4-1)*5+2))*(1+AM$7)^INDEX($Q500:$AJ500,1,(AM$4-1)*5+1)*(AM370/AL370)^INDEX($Q500:$AJ500,1,(AM$4-1)*5+2)*(AM370/AL370)^(INDEX($Q500:$AJ500,1,(AM$4-1)*5+3)*(1+INDEX($Q500:$AJ500,1,(AM$4-1)*5+2)))</f>
        <v/>
      </c>
      <c r="AN500" s="25">
        <f>AM500*(1/(1+INDEX($Q500:$AJ500,1,(AN$4-1)*5+4)))^(1+INDEX($Q500:$AJ500,1,(AN$4-1)*5+2))*(1+AN$7)^INDEX($Q500:$AJ500,1,(AN$4-1)*5+1)*(AN370/AM370)^INDEX($Q500:$AJ500,1,(AN$4-1)*5+2)*(AN370/AM370)^(INDEX($Q500:$AJ500,1,(AN$4-1)*5+3)*(1+INDEX($Q500:$AJ500,1,(AN$4-1)*5+2)))</f>
        <v/>
      </c>
      <c r="AO500" s="25">
        <f>AN500*(1/(1+INDEX($Q500:$AJ500,1,(AO$4-1)*5+4)))^(1+INDEX($Q500:$AJ500,1,(AO$4-1)*5+2))*(1+AO$7)^INDEX($Q500:$AJ500,1,(AO$4-1)*5+1)*(AO370/AN370)^INDEX($Q500:$AJ500,1,(AO$4-1)*5+2)*(AO370/AN370)^(INDEX($Q500:$AJ500,1,(AO$4-1)*5+3)*(1+INDEX($Q500:$AJ500,1,(AO$4-1)*5+2)))</f>
        <v/>
      </c>
      <c r="AP500" s="25">
        <f>AO500*(1/(1+INDEX($Q500:$AJ500,1,(AP$4-1)*5+4)))^(1+INDEX($Q500:$AJ500,1,(AP$4-1)*5+2))*(1+AP$7)^INDEX($Q500:$AJ500,1,(AP$4-1)*5+1)*(AP370/AO370)^INDEX($Q500:$AJ500,1,(AP$4-1)*5+2)*(AP370/AO370)^(INDEX($Q500:$AJ500,1,(AP$4-1)*5+3)*(1+INDEX($Q500:$AJ500,1,(AP$4-1)*5+2)))</f>
        <v/>
      </c>
      <c r="AQ500" s="25">
        <f>AP500*(1/(1+INDEX($Q500:$AJ500,1,(AQ$4-1)*5+4)))^(1+INDEX($Q500:$AJ500,1,(AQ$4-1)*5+2))*(1+AQ$7)^INDEX($Q500:$AJ500,1,(AQ$4-1)*5+1)*(AQ370/AP370)^INDEX($Q500:$AJ500,1,(AQ$4-1)*5+2)*(AQ370/AP370)^(INDEX($Q500:$AJ500,1,(AQ$4-1)*5+3)*(1+INDEX($Q500:$AJ500,1,(AQ$4-1)*5+2)))</f>
        <v/>
      </c>
      <c r="AR500" s="25">
        <f>AQ500*(1/(1+INDEX($Q500:$AJ500,1,(AR$4-1)*5+4)))^(1+INDEX($Q500:$AJ500,1,(AR$4-1)*5+2))*(1+AR$7)^INDEX($Q500:$AJ500,1,(AR$4-1)*5+1)*(AR370/AQ370)^INDEX($Q500:$AJ500,1,(AR$4-1)*5+2)*(AR370/AQ370)^(INDEX($Q500:$AJ500,1,(AR$4-1)*5+3)*(1+INDEX($Q500:$AJ500,1,(AR$4-1)*5+2)))</f>
        <v/>
      </c>
      <c r="AS500" s="25">
        <f>AR500*(1/(1+INDEX($Q500:$AJ500,1,(AS$4-1)*5+4)))^(1+INDEX($Q500:$AJ500,1,(AS$4-1)*5+2))*(1+AS$7)^INDEX($Q500:$AJ500,1,(AS$4-1)*5+1)*(AS370/AR370)^INDEX($Q500:$AJ500,1,(AS$4-1)*5+2)*(AS370/AR370)^(INDEX($Q500:$AJ500,1,(AS$4-1)*5+3)*(1+INDEX($Q500:$AJ500,1,(AS$4-1)*5+2)))</f>
        <v/>
      </c>
      <c r="AT500" s="25">
        <f>AS500*(1/(1+INDEX($Q500:$AJ500,1,(AT$4-1)*5+4)))^(1+INDEX($Q500:$AJ500,1,(AT$4-1)*5+2))*(1+AT$7)^INDEX($Q500:$AJ500,1,(AT$4-1)*5+1)*(AT370/AS370)^INDEX($Q500:$AJ500,1,(AT$4-1)*5+2)*(AT370/AS370)^(INDEX($Q500:$AJ500,1,(AT$4-1)*5+3)*(1+INDEX($Q500:$AJ500,1,(AT$4-1)*5+2)))</f>
        <v/>
      </c>
      <c r="AU500" s="25">
        <f>AT500*(1/(1+INDEX($Q500:$AJ500,1,(AU$4-1)*5+4)))^(1+INDEX($Q500:$AJ500,1,(AU$4-1)*5+2))*(1+AU$7)^INDEX($Q500:$AJ500,1,(AU$4-1)*5+1)*(AU370/AT370)^INDEX($Q500:$AJ500,1,(AU$4-1)*5+2)*(AU370/AT370)^(INDEX($Q500:$AJ500,1,(AU$4-1)*5+3)*(1+INDEX($Q500:$AJ500,1,(AU$4-1)*5+2)))</f>
        <v/>
      </c>
      <c r="AV500" s="25">
        <f>AU500*(1/(1+INDEX($Q500:$AJ500,1,(AV$4-1)*5+4)))^(1+INDEX($Q500:$AJ500,1,(AV$4-1)*5+2))*(1+AV$7)^INDEX($Q500:$AJ500,1,(AV$4-1)*5+1)*(AV370/AU370)^INDEX($Q500:$AJ500,1,(AV$4-1)*5+2)*(AV370/AU370)^(INDEX($Q500:$AJ500,1,(AV$4-1)*5+3)*(1+INDEX($Q500:$AJ500,1,(AV$4-1)*5+2)))</f>
        <v/>
      </c>
      <c r="AW500" s="25">
        <f>AV500*(1/(1+INDEX($Q500:$AJ500,1,(AW$4-1)*5+4)))^(1+INDEX($Q500:$AJ500,1,(AW$4-1)*5+2))*(1+AW$7)^INDEX($Q500:$AJ500,1,(AW$4-1)*5+1)*(AW370/AV370)^INDEX($Q500:$AJ500,1,(AW$4-1)*5+2)*(AW370/AV370)^(INDEX($Q500:$AJ500,1,(AW$4-1)*5+3)*(1+INDEX($Q500:$AJ500,1,(AW$4-1)*5+2)))</f>
        <v/>
      </c>
      <c r="AX500" s="25">
        <f>AW500*(1/(1+INDEX($Q500:$AJ500,1,(AX$4-1)*5+4)))^(1+INDEX($Q500:$AJ500,1,(AX$4-1)*5+2))*(1+AX$7)^INDEX($Q500:$AJ500,1,(AX$4-1)*5+1)*(AX370/AW370)^INDEX($Q500:$AJ500,1,(AX$4-1)*5+2)*(AX370/AW370)^(INDEX($Q500:$AJ500,1,(AX$4-1)*5+3)*(1+INDEX($Q500:$AJ500,1,(AX$4-1)*5+2)))</f>
        <v/>
      </c>
      <c r="AY500" s="25">
        <f>AX500*(1/(1+INDEX($Q500:$AJ500,1,(AY$4-1)*5+4)))^(1+INDEX($Q500:$AJ500,1,(AY$4-1)*5+2))*(1+AY$7)^INDEX($Q500:$AJ500,1,(AY$4-1)*5+1)*(AY370/AX370)^INDEX($Q500:$AJ500,1,(AY$4-1)*5+2)*(AY370/AX370)^(INDEX($Q500:$AJ500,1,(AY$4-1)*5+3)*(1+INDEX($Q500:$AJ500,1,(AY$4-1)*5+2)))</f>
        <v/>
      </c>
      <c r="BA500" s="24">
        <f>INDEX(EnergyCons!$F$4:$F$5000,MATCH(Settings!$C$4&amp;"|"&amp;BA$5&amp;"|"&amp;$C500&amp;"|"&amp;$B500,EnergyCons!$A$4:$A$5000,0))</f>
        <v/>
      </c>
      <c r="BB500" s="25">
        <f>BA500*(1/(1+INDEX($Q500:$AJ500,1,(BB$4-1)*5+4)))^(1+INDEX($Q500:$AJ500,1,(BB$4-1)*5+2))*(1+BB$7)^INDEX($Q500:$AJ500,1,(BB$4-1)*5+1)*(BB370/BA370)^INDEX($Q500:$AJ500,1,(BB$4-1)*5+2)*(BB370/BA370)^(INDEX($Q500:$AJ500,1,(BB$4-1)*5+3)*(1+INDEX($Q500:$AJ500,1,(BB$4-1)*5+2)))</f>
        <v/>
      </c>
      <c r="BC500" s="25">
        <f>BB500*(1/(1+INDEX($Q500:$AJ500,1,(BC$4-1)*5+4)))^(1+INDEX($Q500:$AJ500,1,(BC$4-1)*5+2))*(1+BC$7)^INDEX($Q500:$AJ500,1,(BC$4-1)*5+1)*(BC370/BB370)^INDEX($Q500:$AJ500,1,(BC$4-1)*5+2)*(BC370/BB370)^(INDEX($Q500:$AJ500,1,(BC$4-1)*5+3)*(1+INDEX($Q500:$AJ500,1,(BC$4-1)*5+2)))</f>
        <v/>
      </c>
      <c r="BD500" s="25">
        <f>BC500*(1/(1+INDEX($Q500:$AJ500,1,(BD$4-1)*5+4)))^(1+INDEX($Q500:$AJ500,1,(BD$4-1)*5+2))*(1+BD$7)^INDEX($Q500:$AJ500,1,(BD$4-1)*5+1)*(BD370/BC370)^INDEX($Q500:$AJ500,1,(BD$4-1)*5+2)*(BD370/BC370)^(INDEX($Q500:$AJ500,1,(BD$4-1)*5+3)*(1+INDEX($Q500:$AJ500,1,(BD$4-1)*5+2)))</f>
        <v/>
      </c>
      <c r="BE500" s="25">
        <f>BD500*(1/(1+INDEX($Q500:$AJ500,1,(BE$4-1)*5+4)))^(1+INDEX($Q500:$AJ500,1,(BE$4-1)*5+2))*(1+BE$7)^INDEX($Q500:$AJ500,1,(BE$4-1)*5+1)*(BE370/BD370)^INDEX($Q500:$AJ500,1,(BE$4-1)*5+2)*(BE370/BD370)^(INDEX($Q500:$AJ500,1,(BE$4-1)*5+3)*(1+INDEX($Q500:$AJ500,1,(BE$4-1)*5+2)))</f>
        <v/>
      </c>
      <c r="BF500" s="25">
        <f>BE500*(1/(1+INDEX($Q500:$AJ500,1,(BF$4-1)*5+4)))^(1+INDEX($Q500:$AJ500,1,(BF$4-1)*5+2))*(1+BF$7)^INDEX($Q500:$AJ500,1,(BF$4-1)*5+1)*(BF370/BE370)^INDEX($Q500:$AJ500,1,(BF$4-1)*5+2)*(BF370/BE370)^(INDEX($Q500:$AJ500,1,(BF$4-1)*5+3)*(1+INDEX($Q500:$AJ500,1,(BF$4-1)*5+2)))</f>
        <v/>
      </c>
      <c r="BG500" s="25">
        <f>BF500*(1/(1+INDEX($Q500:$AJ500,1,(BG$4-1)*5+4)))^(1+INDEX($Q500:$AJ500,1,(BG$4-1)*5+2))*(1+BG$7)^INDEX($Q500:$AJ500,1,(BG$4-1)*5+1)*(BG370/BF370)^INDEX($Q500:$AJ500,1,(BG$4-1)*5+2)*(BG370/BF370)^(INDEX($Q500:$AJ500,1,(BG$4-1)*5+3)*(1+INDEX($Q500:$AJ500,1,(BG$4-1)*5+2)))</f>
        <v/>
      </c>
      <c r="BH500" s="25">
        <f>BG500*(1/(1+INDEX($Q500:$AJ500,1,(BH$4-1)*5+4)))^(1+INDEX($Q500:$AJ500,1,(BH$4-1)*5+2))*(1+BH$7)^INDEX($Q500:$AJ500,1,(BH$4-1)*5+1)*(BH370/BG370)^INDEX($Q500:$AJ500,1,(BH$4-1)*5+2)*(BH370/BG370)^(INDEX($Q500:$AJ500,1,(BH$4-1)*5+3)*(1+INDEX($Q500:$AJ500,1,(BH$4-1)*5+2)))</f>
        <v/>
      </c>
      <c r="BI500" s="25">
        <f>BH500*(1/(1+INDEX($Q500:$AJ500,1,(BI$4-1)*5+4)))^(1+INDEX($Q500:$AJ500,1,(BI$4-1)*5+2))*(1+BI$7)^INDEX($Q500:$AJ500,1,(BI$4-1)*5+1)*(BI370/BH370)^INDEX($Q500:$AJ500,1,(BI$4-1)*5+2)*(BI370/BH370)^(INDEX($Q500:$AJ500,1,(BI$4-1)*5+3)*(1+INDEX($Q500:$AJ500,1,(BI$4-1)*5+2)))</f>
        <v/>
      </c>
      <c r="BJ500" s="25">
        <f>BI500*(1/(1+INDEX($Q500:$AJ500,1,(BJ$4-1)*5+4)))^(1+INDEX($Q500:$AJ500,1,(BJ$4-1)*5+2))*(1+BJ$7)^INDEX($Q500:$AJ500,1,(BJ$4-1)*5+1)*(BJ370/BI370)^INDEX($Q500:$AJ500,1,(BJ$4-1)*5+2)*(BJ370/BI370)^(INDEX($Q500:$AJ500,1,(BJ$4-1)*5+3)*(1+INDEX($Q500:$AJ500,1,(BJ$4-1)*5+2)))</f>
        <v/>
      </c>
      <c r="BK500" s="25">
        <f>BJ500*(1/(1+INDEX($Q500:$AJ500,1,(BK$4-1)*5+4)))^(1+INDEX($Q500:$AJ500,1,(BK$4-1)*5+2))*(1+BK$7)^INDEX($Q500:$AJ500,1,(BK$4-1)*5+1)*(BK370/BJ370)^INDEX($Q500:$AJ500,1,(BK$4-1)*5+2)*(BK370/BJ370)^(INDEX($Q500:$AJ500,1,(BK$4-1)*5+3)*(1+INDEX($Q500:$AJ500,1,(BK$4-1)*5+2)))</f>
        <v/>
      </c>
      <c r="BL500" s="25">
        <f>BK500*(1/(1+INDEX($Q500:$AJ500,1,(BL$4-1)*5+4)))^(1+INDEX($Q500:$AJ500,1,(BL$4-1)*5+2))*(1+BL$7)^INDEX($Q500:$AJ500,1,(BL$4-1)*5+1)*(BL370/BK370)^INDEX($Q500:$AJ500,1,(BL$4-1)*5+2)*(BL370/BK370)^(INDEX($Q500:$AJ500,1,(BL$4-1)*5+3)*(1+INDEX($Q500:$AJ500,1,(BL$4-1)*5+2)))</f>
        <v/>
      </c>
      <c r="BM500" s="25">
        <f>BL500*(1/(1+INDEX($Q500:$AJ500,1,(BM$4-1)*5+4)))^(1+INDEX($Q500:$AJ500,1,(BM$4-1)*5+2))*(1+BM$7)^INDEX($Q500:$AJ500,1,(BM$4-1)*5+1)*(BM370/BL370)^INDEX($Q500:$AJ500,1,(BM$4-1)*5+2)*(BM370/BL370)^(INDEX($Q500:$AJ500,1,(BM$4-1)*5+3)*(1+INDEX($Q500:$AJ500,1,(BM$4-1)*5+2)))</f>
        <v/>
      </c>
      <c r="BN500" s="25">
        <f>BM500*(1/(1+INDEX($Q500:$AJ500,1,(BN$4-1)*5+4)))^(1+INDEX($Q500:$AJ500,1,(BN$4-1)*5+2))*(1+BN$7)^INDEX($Q500:$AJ500,1,(BN$4-1)*5+1)*(BN370/BM370)^INDEX($Q500:$AJ500,1,(BN$4-1)*5+2)*(BN370/BM370)^(INDEX($Q500:$AJ500,1,(BN$4-1)*5+3)*(1+INDEX($Q500:$AJ500,1,(BN$4-1)*5+2)))</f>
        <v/>
      </c>
    </row>
    <row r="501">
      <c r="B501" s="5" t="inlineStr">
        <is>
          <t>lpg</t>
        </is>
      </c>
      <c r="C501" s="5" t="inlineStr">
        <is>
          <t>omn</t>
        </is>
      </c>
      <c r="D501" s="5" t="inlineStr">
        <is>
          <t>Fuel use | Other manufacturing | LPG</t>
        </is>
      </c>
      <c r="E501" s="5" t="inlineStr">
        <is>
          <t>ktoe</t>
        </is>
      </c>
      <c r="F501" s="5" t="inlineStr">
        <is>
          <t>EnergyCons (base year), Elasticities</t>
        </is>
      </c>
      <c r="G501" s="19" t="inlineStr">
        <is>
          <t>mit.enc.lpg.omn</t>
        </is>
      </c>
      <c r="H501" s="19" t="inlineStr">
        <is>
          <t>mit.enc.lpg.omn</t>
        </is>
      </c>
      <c r="J501" s="5">
        <f>INDEX(Mapping!$C$5:$C$20,MATCH($C501,Mapping!$A$5:$A$20,0))</f>
        <v/>
      </c>
      <c r="K501" s="5">
        <f>INDEX(Mapping!$D$5:$D$20,MATCH($C501,Mapping!$A$5:$A$20,0))</f>
        <v/>
      </c>
      <c r="L501" s="5">
        <f>INDEX(Mapping!$C$24:$C$31,MATCH($B501,Mapping!$A$24:$A$31,0))</f>
        <v/>
      </c>
      <c r="M501" s="5">
        <f>INDEX(Mapping!$D$24:$D$31,MATCH($B501,Mapping!$A$24:$A$31,0))</f>
        <v/>
      </c>
      <c r="N501" s="5">
        <f>$B501&amp;"."&amp;IF(INDEX(Mapping!$E$24:$E$31,MATCH($B501,Mapping!$A$24:$A$31,0))="sub",INDEX(Mapping!$F$5:$F$20,MATCH($C501,Mapping!$A$5:$A$20,0)),"all")</f>
        <v/>
      </c>
      <c r="O501" s="5">
        <f>INDEX(Mapping!$E$5:$E$20,MATCH($C501,Mapping!$A$5:$A$20,0))</f>
        <v/>
      </c>
      <c r="P501" s="5">
        <f>INDEX(Mapping!$G$24:$G$31,MATCH($B501,Mapping!$A$24:$A$31,0))</f>
        <v/>
      </c>
      <c r="Q501" s="22">
        <f>INDEX(Elasticities!$F$4:$I$200,MATCH("inc|"&amp;$L501&amp;"|"&amp;$K501,Elasticities!$A$4:$A$200,0),MATCH(Settings!$C$6,Elasticities!$F$3:$I$3,0))</f>
        <v/>
      </c>
      <c r="R501" s="22">
        <f>INDEX(Elasticities!$F$4:$I$200,MATCH("usg|"&amp;$L501&amp;"|"&amp;$K501,Elasticities!$A$4:$A$200,0),MATCH(Settings!$C$6,Elasticities!$F$3:$I$3,0))</f>
        <v/>
      </c>
      <c r="S501" s="22">
        <f>INDEX(Elasticities!$F$4:$I$200,MATCH("eff|"&amp;$L501&amp;"|"&amp;$K501,Elasticities!$A$4:$A$200,0),MATCH(Settings!$C$6,Elasticities!$F$3:$I$3,0))</f>
        <v/>
      </c>
      <c r="T501" s="22">
        <f>INDEX(Elasticities!$F$4:$I$200,MATCH("aei|"&amp;$M501&amp;"|"&amp;$K501,Elasticities!$A$4:$A$200,0),MATCH(Settings!$C$6,Elasticities!$F$3:$I$3,0))</f>
        <v/>
      </c>
      <c r="U501" s="21" t="n"/>
      <c r="V501" s="22">
        <f>Q501</f>
        <v/>
      </c>
      <c r="W501" s="22">
        <f>R501</f>
        <v/>
      </c>
      <c r="X501" s="22">
        <f>S501</f>
        <v/>
      </c>
      <c r="Y501" s="22">
        <f>T501</f>
        <v/>
      </c>
      <c r="Z501" s="21" t="n"/>
      <c r="AA501" s="22">
        <f>Q501</f>
        <v/>
      </c>
      <c r="AB501" s="22">
        <f>R501</f>
        <v/>
      </c>
      <c r="AC501" s="22">
        <f>S501</f>
        <v/>
      </c>
      <c r="AD501" s="22">
        <f>T501</f>
        <v/>
      </c>
      <c r="AE501" s="21" t="n"/>
      <c r="AF501" s="22">
        <f>Q501</f>
        <v/>
      </c>
      <c r="AG501" s="22">
        <f>R501</f>
        <v/>
      </c>
      <c r="AH501" s="22">
        <f>S501</f>
        <v/>
      </c>
      <c r="AI501" s="22">
        <f>T501</f>
        <v/>
      </c>
      <c r="AJ501" s="21" t="n"/>
      <c r="AL501" s="24">
        <f>INDEX(EnergyCons!$F$4:$F$5000,MATCH(Settings!$C$4&amp;"|"&amp;AL$5&amp;"|"&amp;$C501&amp;"|"&amp;$B501,EnergyCons!$A$4:$A$5000,0))</f>
        <v/>
      </c>
      <c r="AM501" s="25">
        <f>AL501*(1/(1+INDEX($Q501:$AJ501,1,(AM$4-1)*5+4)))^(1+INDEX($Q501:$AJ501,1,(AM$4-1)*5+2))*(1+AM$7)^INDEX($Q501:$AJ501,1,(AM$4-1)*5+1)*(AM371/AL371)^INDEX($Q501:$AJ501,1,(AM$4-1)*5+2)*(AM371/AL371)^(INDEX($Q501:$AJ501,1,(AM$4-1)*5+3)*(1+INDEX($Q501:$AJ501,1,(AM$4-1)*5+2)))</f>
        <v/>
      </c>
      <c r="AN501" s="25">
        <f>AM501*(1/(1+INDEX($Q501:$AJ501,1,(AN$4-1)*5+4)))^(1+INDEX($Q501:$AJ501,1,(AN$4-1)*5+2))*(1+AN$7)^INDEX($Q501:$AJ501,1,(AN$4-1)*5+1)*(AN371/AM371)^INDEX($Q501:$AJ501,1,(AN$4-1)*5+2)*(AN371/AM371)^(INDEX($Q501:$AJ501,1,(AN$4-1)*5+3)*(1+INDEX($Q501:$AJ501,1,(AN$4-1)*5+2)))</f>
        <v/>
      </c>
      <c r="AO501" s="25">
        <f>AN501*(1/(1+INDEX($Q501:$AJ501,1,(AO$4-1)*5+4)))^(1+INDEX($Q501:$AJ501,1,(AO$4-1)*5+2))*(1+AO$7)^INDEX($Q501:$AJ501,1,(AO$4-1)*5+1)*(AO371/AN371)^INDEX($Q501:$AJ501,1,(AO$4-1)*5+2)*(AO371/AN371)^(INDEX($Q501:$AJ501,1,(AO$4-1)*5+3)*(1+INDEX($Q501:$AJ501,1,(AO$4-1)*5+2)))</f>
        <v/>
      </c>
      <c r="AP501" s="25">
        <f>AO501*(1/(1+INDEX($Q501:$AJ501,1,(AP$4-1)*5+4)))^(1+INDEX($Q501:$AJ501,1,(AP$4-1)*5+2))*(1+AP$7)^INDEX($Q501:$AJ501,1,(AP$4-1)*5+1)*(AP371/AO371)^INDEX($Q501:$AJ501,1,(AP$4-1)*5+2)*(AP371/AO371)^(INDEX($Q501:$AJ501,1,(AP$4-1)*5+3)*(1+INDEX($Q501:$AJ501,1,(AP$4-1)*5+2)))</f>
        <v/>
      </c>
      <c r="AQ501" s="25">
        <f>AP501*(1/(1+INDEX($Q501:$AJ501,1,(AQ$4-1)*5+4)))^(1+INDEX($Q501:$AJ501,1,(AQ$4-1)*5+2))*(1+AQ$7)^INDEX($Q501:$AJ501,1,(AQ$4-1)*5+1)*(AQ371/AP371)^INDEX($Q501:$AJ501,1,(AQ$4-1)*5+2)*(AQ371/AP371)^(INDEX($Q501:$AJ501,1,(AQ$4-1)*5+3)*(1+INDEX($Q501:$AJ501,1,(AQ$4-1)*5+2)))</f>
        <v/>
      </c>
      <c r="AR501" s="25">
        <f>AQ501*(1/(1+INDEX($Q501:$AJ501,1,(AR$4-1)*5+4)))^(1+INDEX($Q501:$AJ501,1,(AR$4-1)*5+2))*(1+AR$7)^INDEX($Q501:$AJ501,1,(AR$4-1)*5+1)*(AR371/AQ371)^INDEX($Q501:$AJ501,1,(AR$4-1)*5+2)*(AR371/AQ371)^(INDEX($Q501:$AJ501,1,(AR$4-1)*5+3)*(1+INDEX($Q501:$AJ501,1,(AR$4-1)*5+2)))</f>
        <v/>
      </c>
      <c r="AS501" s="25">
        <f>AR501*(1/(1+INDEX($Q501:$AJ501,1,(AS$4-1)*5+4)))^(1+INDEX($Q501:$AJ501,1,(AS$4-1)*5+2))*(1+AS$7)^INDEX($Q501:$AJ501,1,(AS$4-1)*5+1)*(AS371/AR371)^INDEX($Q501:$AJ501,1,(AS$4-1)*5+2)*(AS371/AR371)^(INDEX($Q501:$AJ501,1,(AS$4-1)*5+3)*(1+INDEX($Q501:$AJ501,1,(AS$4-1)*5+2)))</f>
        <v/>
      </c>
      <c r="AT501" s="25">
        <f>AS501*(1/(1+INDEX($Q501:$AJ501,1,(AT$4-1)*5+4)))^(1+INDEX($Q501:$AJ501,1,(AT$4-1)*5+2))*(1+AT$7)^INDEX($Q501:$AJ501,1,(AT$4-1)*5+1)*(AT371/AS371)^INDEX($Q501:$AJ501,1,(AT$4-1)*5+2)*(AT371/AS371)^(INDEX($Q501:$AJ501,1,(AT$4-1)*5+3)*(1+INDEX($Q501:$AJ501,1,(AT$4-1)*5+2)))</f>
        <v/>
      </c>
      <c r="AU501" s="25">
        <f>AT501*(1/(1+INDEX($Q501:$AJ501,1,(AU$4-1)*5+4)))^(1+INDEX($Q501:$AJ501,1,(AU$4-1)*5+2))*(1+AU$7)^INDEX($Q501:$AJ501,1,(AU$4-1)*5+1)*(AU371/AT371)^INDEX($Q501:$AJ501,1,(AU$4-1)*5+2)*(AU371/AT371)^(INDEX($Q501:$AJ501,1,(AU$4-1)*5+3)*(1+INDEX($Q501:$AJ501,1,(AU$4-1)*5+2)))</f>
        <v/>
      </c>
      <c r="AV501" s="25">
        <f>AU501*(1/(1+INDEX($Q501:$AJ501,1,(AV$4-1)*5+4)))^(1+INDEX($Q501:$AJ501,1,(AV$4-1)*5+2))*(1+AV$7)^INDEX($Q501:$AJ501,1,(AV$4-1)*5+1)*(AV371/AU371)^INDEX($Q501:$AJ501,1,(AV$4-1)*5+2)*(AV371/AU371)^(INDEX($Q501:$AJ501,1,(AV$4-1)*5+3)*(1+INDEX($Q501:$AJ501,1,(AV$4-1)*5+2)))</f>
        <v/>
      </c>
      <c r="AW501" s="25">
        <f>AV501*(1/(1+INDEX($Q501:$AJ501,1,(AW$4-1)*5+4)))^(1+INDEX($Q501:$AJ501,1,(AW$4-1)*5+2))*(1+AW$7)^INDEX($Q501:$AJ501,1,(AW$4-1)*5+1)*(AW371/AV371)^INDEX($Q501:$AJ501,1,(AW$4-1)*5+2)*(AW371/AV371)^(INDEX($Q501:$AJ501,1,(AW$4-1)*5+3)*(1+INDEX($Q501:$AJ501,1,(AW$4-1)*5+2)))</f>
        <v/>
      </c>
      <c r="AX501" s="25">
        <f>AW501*(1/(1+INDEX($Q501:$AJ501,1,(AX$4-1)*5+4)))^(1+INDEX($Q501:$AJ501,1,(AX$4-1)*5+2))*(1+AX$7)^INDEX($Q501:$AJ501,1,(AX$4-1)*5+1)*(AX371/AW371)^INDEX($Q501:$AJ501,1,(AX$4-1)*5+2)*(AX371/AW371)^(INDEX($Q501:$AJ501,1,(AX$4-1)*5+3)*(1+INDEX($Q501:$AJ501,1,(AX$4-1)*5+2)))</f>
        <v/>
      </c>
      <c r="AY501" s="25">
        <f>AX501*(1/(1+INDEX($Q501:$AJ501,1,(AY$4-1)*5+4)))^(1+INDEX($Q501:$AJ501,1,(AY$4-1)*5+2))*(1+AY$7)^INDEX($Q501:$AJ501,1,(AY$4-1)*5+1)*(AY371/AX371)^INDEX($Q501:$AJ501,1,(AY$4-1)*5+2)*(AY371/AX371)^(INDEX($Q501:$AJ501,1,(AY$4-1)*5+3)*(1+INDEX($Q501:$AJ501,1,(AY$4-1)*5+2)))</f>
        <v/>
      </c>
      <c r="BA501" s="24">
        <f>INDEX(EnergyCons!$F$4:$F$5000,MATCH(Settings!$C$4&amp;"|"&amp;BA$5&amp;"|"&amp;$C501&amp;"|"&amp;$B501,EnergyCons!$A$4:$A$5000,0))</f>
        <v/>
      </c>
      <c r="BB501" s="25">
        <f>BA501*(1/(1+INDEX($Q501:$AJ501,1,(BB$4-1)*5+4)))^(1+INDEX($Q501:$AJ501,1,(BB$4-1)*5+2))*(1+BB$7)^INDEX($Q501:$AJ501,1,(BB$4-1)*5+1)*(BB371/BA371)^INDEX($Q501:$AJ501,1,(BB$4-1)*5+2)*(BB371/BA371)^(INDEX($Q501:$AJ501,1,(BB$4-1)*5+3)*(1+INDEX($Q501:$AJ501,1,(BB$4-1)*5+2)))</f>
        <v/>
      </c>
      <c r="BC501" s="25">
        <f>BB501*(1/(1+INDEX($Q501:$AJ501,1,(BC$4-1)*5+4)))^(1+INDEX($Q501:$AJ501,1,(BC$4-1)*5+2))*(1+BC$7)^INDEX($Q501:$AJ501,1,(BC$4-1)*5+1)*(BC371/BB371)^INDEX($Q501:$AJ501,1,(BC$4-1)*5+2)*(BC371/BB371)^(INDEX($Q501:$AJ501,1,(BC$4-1)*5+3)*(1+INDEX($Q501:$AJ501,1,(BC$4-1)*5+2)))</f>
        <v/>
      </c>
      <c r="BD501" s="25">
        <f>BC501*(1/(1+INDEX($Q501:$AJ501,1,(BD$4-1)*5+4)))^(1+INDEX($Q501:$AJ501,1,(BD$4-1)*5+2))*(1+BD$7)^INDEX($Q501:$AJ501,1,(BD$4-1)*5+1)*(BD371/BC371)^INDEX($Q501:$AJ501,1,(BD$4-1)*5+2)*(BD371/BC371)^(INDEX($Q501:$AJ501,1,(BD$4-1)*5+3)*(1+INDEX($Q501:$AJ501,1,(BD$4-1)*5+2)))</f>
        <v/>
      </c>
      <c r="BE501" s="25">
        <f>BD501*(1/(1+INDEX($Q501:$AJ501,1,(BE$4-1)*5+4)))^(1+INDEX($Q501:$AJ501,1,(BE$4-1)*5+2))*(1+BE$7)^INDEX($Q501:$AJ501,1,(BE$4-1)*5+1)*(BE371/BD371)^INDEX($Q501:$AJ501,1,(BE$4-1)*5+2)*(BE371/BD371)^(INDEX($Q501:$AJ501,1,(BE$4-1)*5+3)*(1+INDEX($Q501:$AJ501,1,(BE$4-1)*5+2)))</f>
        <v/>
      </c>
      <c r="BF501" s="25">
        <f>BE501*(1/(1+INDEX($Q501:$AJ501,1,(BF$4-1)*5+4)))^(1+INDEX($Q501:$AJ501,1,(BF$4-1)*5+2))*(1+BF$7)^INDEX($Q501:$AJ501,1,(BF$4-1)*5+1)*(BF371/BE371)^INDEX($Q501:$AJ501,1,(BF$4-1)*5+2)*(BF371/BE371)^(INDEX($Q501:$AJ501,1,(BF$4-1)*5+3)*(1+INDEX($Q501:$AJ501,1,(BF$4-1)*5+2)))</f>
        <v/>
      </c>
      <c r="BG501" s="25">
        <f>BF501*(1/(1+INDEX($Q501:$AJ501,1,(BG$4-1)*5+4)))^(1+INDEX($Q501:$AJ501,1,(BG$4-1)*5+2))*(1+BG$7)^INDEX($Q501:$AJ501,1,(BG$4-1)*5+1)*(BG371/BF371)^INDEX($Q501:$AJ501,1,(BG$4-1)*5+2)*(BG371/BF371)^(INDEX($Q501:$AJ501,1,(BG$4-1)*5+3)*(1+INDEX($Q501:$AJ501,1,(BG$4-1)*5+2)))</f>
        <v/>
      </c>
      <c r="BH501" s="25">
        <f>BG501*(1/(1+INDEX($Q501:$AJ501,1,(BH$4-1)*5+4)))^(1+INDEX($Q501:$AJ501,1,(BH$4-1)*5+2))*(1+BH$7)^INDEX($Q501:$AJ501,1,(BH$4-1)*5+1)*(BH371/BG371)^INDEX($Q501:$AJ501,1,(BH$4-1)*5+2)*(BH371/BG371)^(INDEX($Q501:$AJ501,1,(BH$4-1)*5+3)*(1+INDEX($Q501:$AJ501,1,(BH$4-1)*5+2)))</f>
        <v/>
      </c>
      <c r="BI501" s="25">
        <f>BH501*(1/(1+INDEX($Q501:$AJ501,1,(BI$4-1)*5+4)))^(1+INDEX($Q501:$AJ501,1,(BI$4-1)*5+2))*(1+BI$7)^INDEX($Q501:$AJ501,1,(BI$4-1)*5+1)*(BI371/BH371)^INDEX($Q501:$AJ501,1,(BI$4-1)*5+2)*(BI371/BH371)^(INDEX($Q501:$AJ501,1,(BI$4-1)*5+3)*(1+INDEX($Q501:$AJ501,1,(BI$4-1)*5+2)))</f>
        <v/>
      </c>
      <c r="BJ501" s="25">
        <f>BI501*(1/(1+INDEX($Q501:$AJ501,1,(BJ$4-1)*5+4)))^(1+INDEX($Q501:$AJ501,1,(BJ$4-1)*5+2))*(1+BJ$7)^INDEX($Q501:$AJ501,1,(BJ$4-1)*5+1)*(BJ371/BI371)^INDEX($Q501:$AJ501,1,(BJ$4-1)*5+2)*(BJ371/BI371)^(INDEX($Q501:$AJ501,1,(BJ$4-1)*5+3)*(1+INDEX($Q501:$AJ501,1,(BJ$4-1)*5+2)))</f>
        <v/>
      </c>
      <c r="BK501" s="25">
        <f>BJ501*(1/(1+INDEX($Q501:$AJ501,1,(BK$4-1)*5+4)))^(1+INDEX($Q501:$AJ501,1,(BK$4-1)*5+2))*(1+BK$7)^INDEX($Q501:$AJ501,1,(BK$4-1)*5+1)*(BK371/BJ371)^INDEX($Q501:$AJ501,1,(BK$4-1)*5+2)*(BK371/BJ371)^(INDEX($Q501:$AJ501,1,(BK$4-1)*5+3)*(1+INDEX($Q501:$AJ501,1,(BK$4-1)*5+2)))</f>
        <v/>
      </c>
      <c r="BL501" s="25">
        <f>BK501*(1/(1+INDEX($Q501:$AJ501,1,(BL$4-1)*5+4)))^(1+INDEX($Q501:$AJ501,1,(BL$4-1)*5+2))*(1+BL$7)^INDEX($Q501:$AJ501,1,(BL$4-1)*5+1)*(BL371/BK371)^INDEX($Q501:$AJ501,1,(BL$4-1)*5+2)*(BL371/BK371)^(INDEX($Q501:$AJ501,1,(BL$4-1)*5+3)*(1+INDEX($Q501:$AJ501,1,(BL$4-1)*5+2)))</f>
        <v/>
      </c>
      <c r="BM501" s="25">
        <f>BL501*(1/(1+INDEX($Q501:$AJ501,1,(BM$4-1)*5+4)))^(1+INDEX($Q501:$AJ501,1,(BM$4-1)*5+2))*(1+BM$7)^INDEX($Q501:$AJ501,1,(BM$4-1)*5+1)*(BM371/BL371)^INDEX($Q501:$AJ501,1,(BM$4-1)*5+2)*(BM371/BL371)^(INDEX($Q501:$AJ501,1,(BM$4-1)*5+3)*(1+INDEX($Q501:$AJ501,1,(BM$4-1)*5+2)))</f>
        <v/>
      </c>
      <c r="BN501" s="25">
        <f>BM501*(1/(1+INDEX($Q501:$AJ501,1,(BN$4-1)*5+4)))^(1+INDEX($Q501:$AJ501,1,(BN$4-1)*5+2))*(1+BN$7)^INDEX($Q501:$AJ501,1,(BN$4-1)*5+1)*(BN371/BM371)^INDEX($Q501:$AJ501,1,(BN$4-1)*5+2)*(BN371/BM371)^(INDEX($Q501:$AJ501,1,(BN$4-1)*5+3)*(1+INDEX($Q501:$AJ501,1,(BN$4-1)*5+2)))</f>
        <v/>
      </c>
    </row>
    <row r="502">
      <c r="B502" s="5" t="inlineStr">
        <is>
          <t>ker</t>
        </is>
      </c>
      <c r="C502" s="5" t="inlineStr">
        <is>
          <t>omn</t>
        </is>
      </c>
      <c r="D502" s="5" t="inlineStr">
        <is>
          <t>Fuel use | Other manufacturing | Kerosene</t>
        </is>
      </c>
      <c r="E502" s="5" t="inlineStr">
        <is>
          <t>ktoe</t>
        </is>
      </c>
      <c r="F502" s="5" t="inlineStr">
        <is>
          <t>EnergyCons (base year), Elasticities</t>
        </is>
      </c>
      <c r="G502" s="19" t="inlineStr">
        <is>
          <t>mit.enc.ker.omn</t>
        </is>
      </c>
      <c r="H502" s="19" t="inlineStr">
        <is>
          <t>mit.enc.ker.omn</t>
        </is>
      </c>
      <c r="J502" s="5">
        <f>INDEX(Mapping!$C$5:$C$20,MATCH($C502,Mapping!$A$5:$A$20,0))</f>
        <v/>
      </c>
      <c r="K502" s="5">
        <f>INDEX(Mapping!$D$5:$D$20,MATCH($C502,Mapping!$A$5:$A$20,0))</f>
        <v/>
      </c>
      <c r="L502" s="5">
        <f>INDEX(Mapping!$C$24:$C$31,MATCH($B502,Mapping!$A$24:$A$31,0))</f>
        <v/>
      </c>
      <c r="M502" s="5">
        <f>INDEX(Mapping!$D$24:$D$31,MATCH($B502,Mapping!$A$24:$A$31,0))</f>
        <v/>
      </c>
      <c r="N502" s="5">
        <f>$B502&amp;"."&amp;IF(INDEX(Mapping!$E$24:$E$31,MATCH($B502,Mapping!$A$24:$A$31,0))="sub",INDEX(Mapping!$F$5:$F$20,MATCH($C502,Mapping!$A$5:$A$20,0)),"all")</f>
        <v/>
      </c>
      <c r="O502" s="5">
        <f>INDEX(Mapping!$E$5:$E$20,MATCH($C502,Mapping!$A$5:$A$20,0))</f>
        <v/>
      </c>
      <c r="P502" s="5">
        <f>INDEX(Mapping!$G$24:$G$31,MATCH($B502,Mapping!$A$24:$A$31,0))</f>
        <v/>
      </c>
      <c r="Q502" s="22">
        <f>INDEX(Elasticities!$F$4:$I$200,MATCH("inc|"&amp;$L502&amp;"|"&amp;$K502,Elasticities!$A$4:$A$200,0),MATCH(Settings!$C$6,Elasticities!$F$3:$I$3,0))</f>
        <v/>
      </c>
      <c r="R502" s="22">
        <f>INDEX(Elasticities!$F$4:$I$200,MATCH("usg|"&amp;$L502&amp;"|"&amp;$K502,Elasticities!$A$4:$A$200,0),MATCH(Settings!$C$6,Elasticities!$F$3:$I$3,0))</f>
        <v/>
      </c>
      <c r="S502" s="22">
        <f>INDEX(Elasticities!$F$4:$I$200,MATCH("eff|"&amp;$L502&amp;"|"&amp;$K502,Elasticities!$A$4:$A$200,0),MATCH(Settings!$C$6,Elasticities!$F$3:$I$3,0))</f>
        <v/>
      </c>
      <c r="T502" s="22">
        <f>INDEX(Elasticities!$F$4:$I$200,MATCH("aei|"&amp;$M502&amp;"|"&amp;$K502,Elasticities!$A$4:$A$200,0),MATCH(Settings!$C$6,Elasticities!$F$3:$I$3,0))</f>
        <v/>
      </c>
      <c r="U502" s="21" t="n"/>
      <c r="V502" s="22">
        <f>Q502</f>
        <v/>
      </c>
      <c r="W502" s="22">
        <f>R502</f>
        <v/>
      </c>
      <c r="X502" s="22">
        <f>S502</f>
        <v/>
      </c>
      <c r="Y502" s="22">
        <f>T502</f>
        <v/>
      </c>
      <c r="Z502" s="21" t="n"/>
      <c r="AA502" s="22">
        <f>Q502</f>
        <v/>
      </c>
      <c r="AB502" s="22">
        <f>R502</f>
        <v/>
      </c>
      <c r="AC502" s="22">
        <f>S502</f>
        <v/>
      </c>
      <c r="AD502" s="22">
        <f>T502</f>
        <v/>
      </c>
      <c r="AE502" s="21" t="n"/>
      <c r="AF502" s="22">
        <f>Q502</f>
        <v/>
      </c>
      <c r="AG502" s="22">
        <f>R502</f>
        <v/>
      </c>
      <c r="AH502" s="22">
        <f>S502</f>
        <v/>
      </c>
      <c r="AI502" s="22">
        <f>T502</f>
        <v/>
      </c>
      <c r="AJ502" s="21" t="n"/>
      <c r="AL502" s="24">
        <f>INDEX(EnergyCons!$F$4:$F$5000,MATCH(Settings!$C$4&amp;"|"&amp;AL$5&amp;"|"&amp;$C502&amp;"|"&amp;$B502,EnergyCons!$A$4:$A$5000,0))</f>
        <v/>
      </c>
      <c r="AM502" s="25">
        <f>AL502*(1/(1+INDEX($Q502:$AJ502,1,(AM$4-1)*5+4)))^(1+INDEX($Q502:$AJ502,1,(AM$4-1)*5+2))*(1+AM$7)^INDEX($Q502:$AJ502,1,(AM$4-1)*5+1)*(AM372/AL372)^INDEX($Q502:$AJ502,1,(AM$4-1)*5+2)*(AM372/AL372)^(INDEX($Q502:$AJ502,1,(AM$4-1)*5+3)*(1+INDEX($Q502:$AJ502,1,(AM$4-1)*5+2)))</f>
        <v/>
      </c>
      <c r="AN502" s="25">
        <f>AM502*(1/(1+INDEX($Q502:$AJ502,1,(AN$4-1)*5+4)))^(1+INDEX($Q502:$AJ502,1,(AN$4-1)*5+2))*(1+AN$7)^INDEX($Q502:$AJ502,1,(AN$4-1)*5+1)*(AN372/AM372)^INDEX($Q502:$AJ502,1,(AN$4-1)*5+2)*(AN372/AM372)^(INDEX($Q502:$AJ502,1,(AN$4-1)*5+3)*(1+INDEX($Q502:$AJ502,1,(AN$4-1)*5+2)))</f>
        <v/>
      </c>
      <c r="AO502" s="25">
        <f>AN502*(1/(1+INDEX($Q502:$AJ502,1,(AO$4-1)*5+4)))^(1+INDEX($Q502:$AJ502,1,(AO$4-1)*5+2))*(1+AO$7)^INDEX($Q502:$AJ502,1,(AO$4-1)*5+1)*(AO372/AN372)^INDEX($Q502:$AJ502,1,(AO$4-1)*5+2)*(AO372/AN372)^(INDEX($Q502:$AJ502,1,(AO$4-1)*5+3)*(1+INDEX($Q502:$AJ502,1,(AO$4-1)*5+2)))</f>
        <v/>
      </c>
      <c r="AP502" s="25">
        <f>AO502*(1/(1+INDEX($Q502:$AJ502,1,(AP$4-1)*5+4)))^(1+INDEX($Q502:$AJ502,1,(AP$4-1)*5+2))*(1+AP$7)^INDEX($Q502:$AJ502,1,(AP$4-1)*5+1)*(AP372/AO372)^INDEX($Q502:$AJ502,1,(AP$4-1)*5+2)*(AP372/AO372)^(INDEX($Q502:$AJ502,1,(AP$4-1)*5+3)*(1+INDEX($Q502:$AJ502,1,(AP$4-1)*5+2)))</f>
        <v/>
      </c>
      <c r="AQ502" s="25">
        <f>AP502*(1/(1+INDEX($Q502:$AJ502,1,(AQ$4-1)*5+4)))^(1+INDEX($Q502:$AJ502,1,(AQ$4-1)*5+2))*(1+AQ$7)^INDEX($Q502:$AJ502,1,(AQ$4-1)*5+1)*(AQ372/AP372)^INDEX($Q502:$AJ502,1,(AQ$4-1)*5+2)*(AQ372/AP372)^(INDEX($Q502:$AJ502,1,(AQ$4-1)*5+3)*(1+INDEX($Q502:$AJ502,1,(AQ$4-1)*5+2)))</f>
        <v/>
      </c>
      <c r="AR502" s="25">
        <f>AQ502*(1/(1+INDEX($Q502:$AJ502,1,(AR$4-1)*5+4)))^(1+INDEX($Q502:$AJ502,1,(AR$4-1)*5+2))*(1+AR$7)^INDEX($Q502:$AJ502,1,(AR$4-1)*5+1)*(AR372/AQ372)^INDEX($Q502:$AJ502,1,(AR$4-1)*5+2)*(AR372/AQ372)^(INDEX($Q502:$AJ502,1,(AR$4-1)*5+3)*(1+INDEX($Q502:$AJ502,1,(AR$4-1)*5+2)))</f>
        <v/>
      </c>
      <c r="AS502" s="25">
        <f>AR502*(1/(1+INDEX($Q502:$AJ502,1,(AS$4-1)*5+4)))^(1+INDEX($Q502:$AJ502,1,(AS$4-1)*5+2))*(1+AS$7)^INDEX($Q502:$AJ502,1,(AS$4-1)*5+1)*(AS372/AR372)^INDEX($Q502:$AJ502,1,(AS$4-1)*5+2)*(AS372/AR372)^(INDEX($Q502:$AJ502,1,(AS$4-1)*5+3)*(1+INDEX($Q502:$AJ502,1,(AS$4-1)*5+2)))</f>
        <v/>
      </c>
      <c r="AT502" s="25">
        <f>AS502*(1/(1+INDEX($Q502:$AJ502,1,(AT$4-1)*5+4)))^(1+INDEX($Q502:$AJ502,1,(AT$4-1)*5+2))*(1+AT$7)^INDEX($Q502:$AJ502,1,(AT$4-1)*5+1)*(AT372/AS372)^INDEX($Q502:$AJ502,1,(AT$4-1)*5+2)*(AT372/AS372)^(INDEX($Q502:$AJ502,1,(AT$4-1)*5+3)*(1+INDEX($Q502:$AJ502,1,(AT$4-1)*5+2)))</f>
        <v/>
      </c>
      <c r="AU502" s="25">
        <f>AT502*(1/(1+INDEX($Q502:$AJ502,1,(AU$4-1)*5+4)))^(1+INDEX($Q502:$AJ502,1,(AU$4-1)*5+2))*(1+AU$7)^INDEX($Q502:$AJ502,1,(AU$4-1)*5+1)*(AU372/AT372)^INDEX($Q502:$AJ502,1,(AU$4-1)*5+2)*(AU372/AT372)^(INDEX($Q502:$AJ502,1,(AU$4-1)*5+3)*(1+INDEX($Q502:$AJ502,1,(AU$4-1)*5+2)))</f>
        <v/>
      </c>
      <c r="AV502" s="25">
        <f>AU502*(1/(1+INDEX($Q502:$AJ502,1,(AV$4-1)*5+4)))^(1+INDEX($Q502:$AJ502,1,(AV$4-1)*5+2))*(1+AV$7)^INDEX($Q502:$AJ502,1,(AV$4-1)*5+1)*(AV372/AU372)^INDEX($Q502:$AJ502,1,(AV$4-1)*5+2)*(AV372/AU372)^(INDEX($Q502:$AJ502,1,(AV$4-1)*5+3)*(1+INDEX($Q502:$AJ502,1,(AV$4-1)*5+2)))</f>
        <v/>
      </c>
      <c r="AW502" s="25">
        <f>AV502*(1/(1+INDEX($Q502:$AJ502,1,(AW$4-1)*5+4)))^(1+INDEX($Q502:$AJ502,1,(AW$4-1)*5+2))*(1+AW$7)^INDEX($Q502:$AJ502,1,(AW$4-1)*5+1)*(AW372/AV372)^INDEX($Q502:$AJ502,1,(AW$4-1)*5+2)*(AW372/AV372)^(INDEX($Q502:$AJ502,1,(AW$4-1)*5+3)*(1+INDEX($Q502:$AJ502,1,(AW$4-1)*5+2)))</f>
        <v/>
      </c>
      <c r="AX502" s="25">
        <f>AW502*(1/(1+INDEX($Q502:$AJ502,1,(AX$4-1)*5+4)))^(1+INDEX($Q502:$AJ502,1,(AX$4-1)*5+2))*(1+AX$7)^INDEX($Q502:$AJ502,1,(AX$4-1)*5+1)*(AX372/AW372)^INDEX($Q502:$AJ502,1,(AX$4-1)*5+2)*(AX372/AW372)^(INDEX($Q502:$AJ502,1,(AX$4-1)*5+3)*(1+INDEX($Q502:$AJ502,1,(AX$4-1)*5+2)))</f>
        <v/>
      </c>
      <c r="AY502" s="25">
        <f>AX502*(1/(1+INDEX($Q502:$AJ502,1,(AY$4-1)*5+4)))^(1+INDEX($Q502:$AJ502,1,(AY$4-1)*5+2))*(1+AY$7)^INDEX($Q502:$AJ502,1,(AY$4-1)*5+1)*(AY372/AX372)^INDEX($Q502:$AJ502,1,(AY$4-1)*5+2)*(AY372/AX372)^(INDEX($Q502:$AJ502,1,(AY$4-1)*5+3)*(1+INDEX($Q502:$AJ502,1,(AY$4-1)*5+2)))</f>
        <v/>
      </c>
      <c r="BA502" s="24">
        <f>INDEX(EnergyCons!$F$4:$F$5000,MATCH(Settings!$C$4&amp;"|"&amp;BA$5&amp;"|"&amp;$C502&amp;"|"&amp;$B502,EnergyCons!$A$4:$A$5000,0))</f>
        <v/>
      </c>
      <c r="BB502" s="25">
        <f>BA502*(1/(1+INDEX($Q502:$AJ502,1,(BB$4-1)*5+4)))^(1+INDEX($Q502:$AJ502,1,(BB$4-1)*5+2))*(1+BB$7)^INDEX($Q502:$AJ502,1,(BB$4-1)*5+1)*(BB372/BA372)^INDEX($Q502:$AJ502,1,(BB$4-1)*5+2)*(BB372/BA372)^(INDEX($Q502:$AJ502,1,(BB$4-1)*5+3)*(1+INDEX($Q502:$AJ502,1,(BB$4-1)*5+2)))</f>
        <v/>
      </c>
      <c r="BC502" s="25">
        <f>BB502*(1/(1+INDEX($Q502:$AJ502,1,(BC$4-1)*5+4)))^(1+INDEX($Q502:$AJ502,1,(BC$4-1)*5+2))*(1+BC$7)^INDEX($Q502:$AJ502,1,(BC$4-1)*5+1)*(BC372/BB372)^INDEX($Q502:$AJ502,1,(BC$4-1)*5+2)*(BC372/BB372)^(INDEX($Q502:$AJ502,1,(BC$4-1)*5+3)*(1+INDEX($Q502:$AJ502,1,(BC$4-1)*5+2)))</f>
        <v/>
      </c>
      <c r="BD502" s="25">
        <f>BC502*(1/(1+INDEX($Q502:$AJ502,1,(BD$4-1)*5+4)))^(1+INDEX($Q502:$AJ502,1,(BD$4-1)*5+2))*(1+BD$7)^INDEX($Q502:$AJ502,1,(BD$4-1)*5+1)*(BD372/BC372)^INDEX($Q502:$AJ502,1,(BD$4-1)*5+2)*(BD372/BC372)^(INDEX($Q502:$AJ502,1,(BD$4-1)*5+3)*(1+INDEX($Q502:$AJ502,1,(BD$4-1)*5+2)))</f>
        <v/>
      </c>
      <c r="BE502" s="25">
        <f>BD502*(1/(1+INDEX($Q502:$AJ502,1,(BE$4-1)*5+4)))^(1+INDEX($Q502:$AJ502,1,(BE$4-1)*5+2))*(1+BE$7)^INDEX($Q502:$AJ502,1,(BE$4-1)*5+1)*(BE372/BD372)^INDEX($Q502:$AJ502,1,(BE$4-1)*5+2)*(BE372/BD372)^(INDEX($Q502:$AJ502,1,(BE$4-1)*5+3)*(1+INDEX($Q502:$AJ502,1,(BE$4-1)*5+2)))</f>
        <v/>
      </c>
      <c r="BF502" s="25">
        <f>BE502*(1/(1+INDEX($Q502:$AJ502,1,(BF$4-1)*5+4)))^(1+INDEX($Q502:$AJ502,1,(BF$4-1)*5+2))*(1+BF$7)^INDEX($Q502:$AJ502,1,(BF$4-1)*5+1)*(BF372/BE372)^INDEX($Q502:$AJ502,1,(BF$4-1)*5+2)*(BF372/BE372)^(INDEX($Q502:$AJ502,1,(BF$4-1)*5+3)*(1+INDEX($Q502:$AJ502,1,(BF$4-1)*5+2)))</f>
        <v/>
      </c>
      <c r="BG502" s="25">
        <f>BF502*(1/(1+INDEX($Q502:$AJ502,1,(BG$4-1)*5+4)))^(1+INDEX($Q502:$AJ502,1,(BG$4-1)*5+2))*(1+BG$7)^INDEX($Q502:$AJ502,1,(BG$4-1)*5+1)*(BG372/BF372)^INDEX($Q502:$AJ502,1,(BG$4-1)*5+2)*(BG372/BF372)^(INDEX($Q502:$AJ502,1,(BG$4-1)*5+3)*(1+INDEX($Q502:$AJ502,1,(BG$4-1)*5+2)))</f>
        <v/>
      </c>
      <c r="BH502" s="25">
        <f>BG502*(1/(1+INDEX($Q502:$AJ502,1,(BH$4-1)*5+4)))^(1+INDEX($Q502:$AJ502,1,(BH$4-1)*5+2))*(1+BH$7)^INDEX($Q502:$AJ502,1,(BH$4-1)*5+1)*(BH372/BG372)^INDEX($Q502:$AJ502,1,(BH$4-1)*5+2)*(BH372/BG372)^(INDEX($Q502:$AJ502,1,(BH$4-1)*5+3)*(1+INDEX($Q502:$AJ502,1,(BH$4-1)*5+2)))</f>
        <v/>
      </c>
      <c r="BI502" s="25">
        <f>BH502*(1/(1+INDEX($Q502:$AJ502,1,(BI$4-1)*5+4)))^(1+INDEX($Q502:$AJ502,1,(BI$4-1)*5+2))*(1+BI$7)^INDEX($Q502:$AJ502,1,(BI$4-1)*5+1)*(BI372/BH372)^INDEX($Q502:$AJ502,1,(BI$4-1)*5+2)*(BI372/BH372)^(INDEX($Q502:$AJ502,1,(BI$4-1)*5+3)*(1+INDEX($Q502:$AJ502,1,(BI$4-1)*5+2)))</f>
        <v/>
      </c>
      <c r="BJ502" s="25">
        <f>BI502*(1/(1+INDEX($Q502:$AJ502,1,(BJ$4-1)*5+4)))^(1+INDEX($Q502:$AJ502,1,(BJ$4-1)*5+2))*(1+BJ$7)^INDEX($Q502:$AJ502,1,(BJ$4-1)*5+1)*(BJ372/BI372)^INDEX($Q502:$AJ502,1,(BJ$4-1)*5+2)*(BJ372/BI372)^(INDEX($Q502:$AJ502,1,(BJ$4-1)*5+3)*(1+INDEX($Q502:$AJ502,1,(BJ$4-1)*5+2)))</f>
        <v/>
      </c>
      <c r="BK502" s="25">
        <f>BJ502*(1/(1+INDEX($Q502:$AJ502,1,(BK$4-1)*5+4)))^(1+INDEX($Q502:$AJ502,1,(BK$4-1)*5+2))*(1+BK$7)^INDEX($Q502:$AJ502,1,(BK$4-1)*5+1)*(BK372/BJ372)^INDEX($Q502:$AJ502,1,(BK$4-1)*5+2)*(BK372/BJ372)^(INDEX($Q502:$AJ502,1,(BK$4-1)*5+3)*(1+INDEX($Q502:$AJ502,1,(BK$4-1)*5+2)))</f>
        <v/>
      </c>
      <c r="BL502" s="25">
        <f>BK502*(1/(1+INDEX($Q502:$AJ502,1,(BL$4-1)*5+4)))^(1+INDEX($Q502:$AJ502,1,(BL$4-1)*5+2))*(1+BL$7)^INDEX($Q502:$AJ502,1,(BL$4-1)*5+1)*(BL372/BK372)^INDEX($Q502:$AJ502,1,(BL$4-1)*5+2)*(BL372/BK372)^(INDEX($Q502:$AJ502,1,(BL$4-1)*5+3)*(1+INDEX($Q502:$AJ502,1,(BL$4-1)*5+2)))</f>
        <v/>
      </c>
      <c r="BM502" s="25">
        <f>BL502*(1/(1+INDEX($Q502:$AJ502,1,(BM$4-1)*5+4)))^(1+INDEX($Q502:$AJ502,1,(BM$4-1)*5+2))*(1+BM$7)^INDEX($Q502:$AJ502,1,(BM$4-1)*5+1)*(BM372/BL372)^INDEX($Q502:$AJ502,1,(BM$4-1)*5+2)*(BM372/BL372)^(INDEX($Q502:$AJ502,1,(BM$4-1)*5+3)*(1+INDEX($Q502:$AJ502,1,(BM$4-1)*5+2)))</f>
        <v/>
      </c>
      <c r="BN502" s="25">
        <f>BM502*(1/(1+INDEX($Q502:$AJ502,1,(BN$4-1)*5+4)))^(1+INDEX($Q502:$AJ502,1,(BN$4-1)*5+2))*(1+BN$7)^INDEX($Q502:$AJ502,1,(BN$4-1)*5+1)*(BN372/BM372)^INDEX($Q502:$AJ502,1,(BN$4-1)*5+2)*(BN372/BM372)^(INDEX($Q502:$AJ502,1,(BN$4-1)*5+3)*(1+INDEX($Q502:$AJ502,1,(BN$4-1)*5+2)))</f>
        <v/>
      </c>
    </row>
    <row r="503">
      <c r="B503" s="5" t="inlineStr">
        <is>
          <t>oop</t>
        </is>
      </c>
      <c r="C503" s="5" t="inlineStr">
        <is>
          <t>omn</t>
        </is>
      </c>
      <c r="D503" s="5" t="inlineStr">
        <is>
          <t>Fuel use | Other manufacturing | Other oil products</t>
        </is>
      </c>
      <c r="E503" s="5" t="inlineStr">
        <is>
          <t>ktoe</t>
        </is>
      </c>
      <c r="F503" s="5" t="inlineStr">
        <is>
          <t>EnergyCons (base year), Elasticities</t>
        </is>
      </c>
      <c r="G503" s="19" t="inlineStr">
        <is>
          <t>mit.enc.oop.omn</t>
        </is>
      </c>
      <c r="H503" s="19" t="inlineStr">
        <is>
          <t>mit.enc.oop.omn</t>
        </is>
      </c>
      <c r="J503" s="5">
        <f>INDEX(Mapping!$C$5:$C$20,MATCH($C503,Mapping!$A$5:$A$20,0))</f>
        <v/>
      </c>
      <c r="K503" s="5">
        <f>INDEX(Mapping!$D$5:$D$20,MATCH($C503,Mapping!$A$5:$A$20,0))</f>
        <v/>
      </c>
      <c r="L503" s="5">
        <f>INDEX(Mapping!$C$24:$C$31,MATCH($B503,Mapping!$A$24:$A$31,0))</f>
        <v/>
      </c>
      <c r="M503" s="5">
        <f>INDEX(Mapping!$D$24:$D$31,MATCH($B503,Mapping!$A$24:$A$31,0))</f>
        <v/>
      </c>
      <c r="N503" s="5">
        <f>$B503&amp;"."&amp;IF(INDEX(Mapping!$E$24:$E$31,MATCH($B503,Mapping!$A$24:$A$31,0))="sub",INDEX(Mapping!$F$5:$F$20,MATCH($C503,Mapping!$A$5:$A$20,0)),"all")</f>
        <v/>
      </c>
      <c r="O503" s="5">
        <f>INDEX(Mapping!$E$5:$E$20,MATCH($C503,Mapping!$A$5:$A$20,0))</f>
        <v/>
      </c>
      <c r="P503" s="5">
        <f>INDEX(Mapping!$G$24:$G$31,MATCH($B503,Mapping!$A$24:$A$31,0))</f>
        <v/>
      </c>
      <c r="Q503" s="22">
        <f>INDEX(Elasticities!$F$4:$I$200,MATCH("inc|"&amp;$L503&amp;"|"&amp;$K503,Elasticities!$A$4:$A$200,0),MATCH(Settings!$C$6,Elasticities!$F$3:$I$3,0))</f>
        <v/>
      </c>
      <c r="R503" s="22">
        <f>INDEX(Elasticities!$F$4:$I$200,MATCH("usg|"&amp;$L503&amp;"|"&amp;$K503,Elasticities!$A$4:$A$200,0),MATCH(Settings!$C$6,Elasticities!$F$3:$I$3,0))</f>
        <v/>
      </c>
      <c r="S503" s="22">
        <f>INDEX(Elasticities!$F$4:$I$200,MATCH("eff|"&amp;$L503&amp;"|"&amp;$K503,Elasticities!$A$4:$A$200,0),MATCH(Settings!$C$6,Elasticities!$F$3:$I$3,0))</f>
        <v/>
      </c>
      <c r="T503" s="22">
        <f>INDEX(Elasticities!$F$4:$I$200,MATCH("aei|"&amp;$M503&amp;"|"&amp;$K503,Elasticities!$A$4:$A$200,0),MATCH(Settings!$C$6,Elasticities!$F$3:$I$3,0))</f>
        <v/>
      </c>
      <c r="U503" s="21" t="n"/>
      <c r="V503" s="22">
        <f>Q503</f>
        <v/>
      </c>
      <c r="W503" s="22">
        <f>R503</f>
        <v/>
      </c>
      <c r="X503" s="22">
        <f>S503</f>
        <v/>
      </c>
      <c r="Y503" s="22">
        <f>T503</f>
        <v/>
      </c>
      <c r="Z503" s="21" t="n"/>
      <c r="AA503" s="22">
        <f>Q503</f>
        <v/>
      </c>
      <c r="AB503" s="22">
        <f>R503</f>
        <v/>
      </c>
      <c r="AC503" s="22">
        <f>S503</f>
        <v/>
      </c>
      <c r="AD503" s="22">
        <f>T503</f>
        <v/>
      </c>
      <c r="AE503" s="21" t="n"/>
      <c r="AF503" s="22">
        <f>Q503</f>
        <v/>
      </c>
      <c r="AG503" s="22">
        <f>R503</f>
        <v/>
      </c>
      <c r="AH503" s="22">
        <f>S503</f>
        <v/>
      </c>
      <c r="AI503" s="22">
        <f>T503</f>
        <v/>
      </c>
      <c r="AJ503" s="21" t="n"/>
      <c r="AL503" s="24">
        <f>INDEX(EnergyCons!$F$4:$F$5000,MATCH(Settings!$C$4&amp;"|"&amp;AL$5&amp;"|"&amp;$C503&amp;"|"&amp;$B503,EnergyCons!$A$4:$A$5000,0))</f>
        <v/>
      </c>
      <c r="AM503" s="25">
        <f>AL503*(1/(1+INDEX($Q503:$AJ503,1,(AM$4-1)*5+4)))^(1+INDEX($Q503:$AJ503,1,(AM$4-1)*5+2))*(1+AM$7)^INDEX($Q503:$AJ503,1,(AM$4-1)*5+1)*(AM373/AL373)^INDEX($Q503:$AJ503,1,(AM$4-1)*5+2)*(AM373/AL373)^(INDEX($Q503:$AJ503,1,(AM$4-1)*5+3)*(1+INDEX($Q503:$AJ503,1,(AM$4-1)*5+2)))</f>
        <v/>
      </c>
      <c r="AN503" s="25">
        <f>AM503*(1/(1+INDEX($Q503:$AJ503,1,(AN$4-1)*5+4)))^(1+INDEX($Q503:$AJ503,1,(AN$4-1)*5+2))*(1+AN$7)^INDEX($Q503:$AJ503,1,(AN$4-1)*5+1)*(AN373/AM373)^INDEX($Q503:$AJ503,1,(AN$4-1)*5+2)*(AN373/AM373)^(INDEX($Q503:$AJ503,1,(AN$4-1)*5+3)*(1+INDEX($Q503:$AJ503,1,(AN$4-1)*5+2)))</f>
        <v/>
      </c>
      <c r="AO503" s="25">
        <f>AN503*(1/(1+INDEX($Q503:$AJ503,1,(AO$4-1)*5+4)))^(1+INDEX($Q503:$AJ503,1,(AO$4-1)*5+2))*(1+AO$7)^INDEX($Q503:$AJ503,1,(AO$4-1)*5+1)*(AO373/AN373)^INDEX($Q503:$AJ503,1,(AO$4-1)*5+2)*(AO373/AN373)^(INDEX($Q503:$AJ503,1,(AO$4-1)*5+3)*(1+INDEX($Q503:$AJ503,1,(AO$4-1)*5+2)))</f>
        <v/>
      </c>
      <c r="AP503" s="25">
        <f>AO503*(1/(1+INDEX($Q503:$AJ503,1,(AP$4-1)*5+4)))^(1+INDEX($Q503:$AJ503,1,(AP$4-1)*5+2))*(1+AP$7)^INDEX($Q503:$AJ503,1,(AP$4-1)*5+1)*(AP373/AO373)^INDEX($Q503:$AJ503,1,(AP$4-1)*5+2)*(AP373/AO373)^(INDEX($Q503:$AJ503,1,(AP$4-1)*5+3)*(1+INDEX($Q503:$AJ503,1,(AP$4-1)*5+2)))</f>
        <v/>
      </c>
      <c r="AQ503" s="25">
        <f>AP503*(1/(1+INDEX($Q503:$AJ503,1,(AQ$4-1)*5+4)))^(1+INDEX($Q503:$AJ503,1,(AQ$4-1)*5+2))*(1+AQ$7)^INDEX($Q503:$AJ503,1,(AQ$4-1)*5+1)*(AQ373/AP373)^INDEX($Q503:$AJ503,1,(AQ$4-1)*5+2)*(AQ373/AP373)^(INDEX($Q503:$AJ503,1,(AQ$4-1)*5+3)*(1+INDEX($Q503:$AJ503,1,(AQ$4-1)*5+2)))</f>
        <v/>
      </c>
      <c r="AR503" s="25">
        <f>AQ503*(1/(1+INDEX($Q503:$AJ503,1,(AR$4-1)*5+4)))^(1+INDEX($Q503:$AJ503,1,(AR$4-1)*5+2))*(1+AR$7)^INDEX($Q503:$AJ503,1,(AR$4-1)*5+1)*(AR373/AQ373)^INDEX($Q503:$AJ503,1,(AR$4-1)*5+2)*(AR373/AQ373)^(INDEX($Q503:$AJ503,1,(AR$4-1)*5+3)*(1+INDEX($Q503:$AJ503,1,(AR$4-1)*5+2)))</f>
        <v/>
      </c>
      <c r="AS503" s="25">
        <f>AR503*(1/(1+INDEX($Q503:$AJ503,1,(AS$4-1)*5+4)))^(1+INDEX($Q503:$AJ503,1,(AS$4-1)*5+2))*(1+AS$7)^INDEX($Q503:$AJ503,1,(AS$4-1)*5+1)*(AS373/AR373)^INDEX($Q503:$AJ503,1,(AS$4-1)*5+2)*(AS373/AR373)^(INDEX($Q503:$AJ503,1,(AS$4-1)*5+3)*(1+INDEX($Q503:$AJ503,1,(AS$4-1)*5+2)))</f>
        <v/>
      </c>
      <c r="AT503" s="25">
        <f>AS503*(1/(1+INDEX($Q503:$AJ503,1,(AT$4-1)*5+4)))^(1+INDEX($Q503:$AJ503,1,(AT$4-1)*5+2))*(1+AT$7)^INDEX($Q503:$AJ503,1,(AT$4-1)*5+1)*(AT373/AS373)^INDEX($Q503:$AJ503,1,(AT$4-1)*5+2)*(AT373/AS373)^(INDEX($Q503:$AJ503,1,(AT$4-1)*5+3)*(1+INDEX($Q503:$AJ503,1,(AT$4-1)*5+2)))</f>
        <v/>
      </c>
      <c r="AU503" s="25">
        <f>AT503*(1/(1+INDEX($Q503:$AJ503,1,(AU$4-1)*5+4)))^(1+INDEX($Q503:$AJ503,1,(AU$4-1)*5+2))*(1+AU$7)^INDEX($Q503:$AJ503,1,(AU$4-1)*5+1)*(AU373/AT373)^INDEX($Q503:$AJ503,1,(AU$4-1)*5+2)*(AU373/AT373)^(INDEX($Q503:$AJ503,1,(AU$4-1)*5+3)*(1+INDEX($Q503:$AJ503,1,(AU$4-1)*5+2)))</f>
        <v/>
      </c>
      <c r="AV503" s="25">
        <f>AU503*(1/(1+INDEX($Q503:$AJ503,1,(AV$4-1)*5+4)))^(1+INDEX($Q503:$AJ503,1,(AV$4-1)*5+2))*(1+AV$7)^INDEX($Q503:$AJ503,1,(AV$4-1)*5+1)*(AV373/AU373)^INDEX($Q503:$AJ503,1,(AV$4-1)*5+2)*(AV373/AU373)^(INDEX($Q503:$AJ503,1,(AV$4-1)*5+3)*(1+INDEX($Q503:$AJ503,1,(AV$4-1)*5+2)))</f>
        <v/>
      </c>
      <c r="AW503" s="25">
        <f>AV503*(1/(1+INDEX($Q503:$AJ503,1,(AW$4-1)*5+4)))^(1+INDEX($Q503:$AJ503,1,(AW$4-1)*5+2))*(1+AW$7)^INDEX($Q503:$AJ503,1,(AW$4-1)*5+1)*(AW373/AV373)^INDEX($Q503:$AJ503,1,(AW$4-1)*5+2)*(AW373/AV373)^(INDEX($Q503:$AJ503,1,(AW$4-1)*5+3)*(1+INDEX($Q503:$AJ503,1,(AW$4-1)*5+2)))</f>
        <v/>
      </c>
      <c r="AX503" s="25">
        <f>AW503*(1/(1+INDEX($Q503:$AJ503,1,(AX$4-1)*5+4)))^(1+INDEX($Q503:$AJ503,1,(AX$4-1)*5+2))*(1+AX$7)^INDEX($Q503:$AJ503,1,(AX$4-1)*5+1)*(AX373/AW373)^INDEX($Q503:$AJ503,1,(AX$4-1)*5+2)*(AX373/AW373)^(INDEX($Q503:$AJ503,1,(AX$4-1)*5+3)*(1+INDEX($Q503:$AJ503,1,(AX$4-1)*5+2)))</f>
        <v/>
      </c>
      <c r="AY503" s="25">
        <f>AX503*(1/(1+INDEX($Q503:$AJ503,1,(AY$4-1)*5+4)))^(1+INDEX($Q503:$AJ503,1,(AY$4-1)*5+2))*(1+AY$7)^INDEX($Q503:$AJ503,1,(AY$4-1)*5+1)*(AY373/AX373)^INDEX($Q503:$AJ503,1,(AY$4-1)*5+2)*(AY373/AX373)^(INDEX($Q503:$AJ503,1,(AY$4-1)*5+3)*(1+INDEX($Q503:$AJ503,1,(AY$4-1)*5+2)))</f>
        <v/>
      </c>
      <c r="BA503" s="24">
        <f>INDEX(EnergyCons!$F$4:$F$5000,MATCH(Settings!$C$4&amp;"|"&amp;BA$5&amp;"|"&amp;$C503&amp;"|"&amp;$B503,EnergyCons!$A$4:$A$5000,0))</f>
        <v/>
      </c>
      <c r="BB503" s="25">
        <f>BA503*(1/(1+INDEX($Q503:$AJ503,1,(BB$4-1)*5+4)))^(1+INDEX($Q503:$AJ503,1,(BB$4-1)*5+2))*(1+BB$7)^INDEX($Q503:$AJ503,1,(BB$4-1)*5+1)*(BB373/BA373)^INDEX($Q503:$AJ503,1,(BB$4-1)*5+2)*(BB373/BA373)^(INDEX($Q503:$AJ503,1,(BB$4-1)*5+3)*(1+INDEX($Q503:$AJ503,1,(BB$4-1)*5+2)))</f>
        <v/>
      </c>
      <c r="BC503" s="25">
        <f>BB503*(1/(1+INDEX($Q503:$AJ503,1,(BC$4-1)*5+4)))^(1+INDEX($Q503:$AJ503,1,(BC$4-1)*5+2))*(1+BC$7)^INDEX($Q503:$AJ503,1,(BC$4-1)*5+1)*(BC373/BB373)^INDEX($Q503:$AJ503,1,(BC$4-1)*5+2)*(BC373/BB373)^(INDEX($Q503:$AJ503,1,(BC$4-1)*5+3)*(1+INDEX($Q503:$AJ503,1,(BC$4-1)*5+2)))</f>
        <v/>
      </c>
      <c r="BD503" s="25">
        <f>BC503*(1/(1+INDEX($Q503:$AJ503,1,(BD$4-1)*5+4)))^(1+INDEX($Q503:$AJ503,1,(BD$4-1)*5+2))*(1+BD$7)^INDEX($Q503:$AJ503,1,(BD$4-1)*5+1)*(BD373/BC373)^INDEX($Q503:$AJ503,1,(BD$4-1)*5+2)*(BD373/BC373)^(INDEX($Q503:$AJ503,1,(BD$4-1)*5+3)*(1+INDEX($Q503:$AJ503,1,(BD$4-1)*5+2)))</f>
        <v/>
      </c>
      <c r="BE503" s="25">
        <f>BD503*(1/(1+INDEX($Q503:$AJ503,1,(BE$4-1)*5+4)))^(1+INDEX($Q503:$AJ503,1,(BE$4-1)*5+2))*(1+BE$7)^INDEX($Q503:$AJ503,1,(BE$4-1)*5+1)*(BE373/BD373)^INDEX($Q503:$AJ503,1,(BE$4-1)*5+2)*(BE373/BD373)^(INDEX($Q503:$AJ503,1,(BE$4-1)*5+3)*(1+INDEX($Q503:$AJ503,1,(BE$4-1)*5+2)))</f>
        <v/>
      </c>
      <c r="BF503" s="25">
        <f>BE503*(1/(1+INDEX($Q503:$AJ503,1,(BF$4-1)*5+4)))^(1+INDEX($Q503:$AJ503,1,(BF$4-1)*5+2))*(1+BF$7)^INDEX($Q503:$AJ503,1,(BF$4-1)*5+1)*(BF373/BE373)^INDEX($Q503:$AJ503,1,(BF$4-1)*5+2)*(BF373/BE373)^(INDEX($Q503:$AJ503,1,(BF$4-1)*5+3)*(1+INDEX($Q503:$AJ503,1,(BF$4-1)*5+2)))</f>
        <v/>
      </c>
      <c r="BG503" s="25">
        <f>BF503*(1/(1+INDEX($Q503:$AJ503,1,(BG$4-1)*5+4)))^(1+INDEX($Q503:$AJ503,1,(BG$4-1)*5+2))*(1+BG$7)^INDEX($Q503:$AJ503,1,(BG$4-1)*5+1)*(BG373/BF373)^INDEX($Q503:$AJ503,1,(BG$4-1)*5+2)*(BG373/BF373)^(INDEX($Q503:$AJ503,1,(BG$4-1)*5+3)*(1+INDEX($Q503:$AJ503,1,(BG$4-1)*5+2)))</f>
        <v/>
      </c>
      <c r="BH503" s="25">
        <f>BG503*(1/(1+INDEX($Q503:$AJ503,1,(BH$4-1)*5+4)))^(1+INDEX($Q503:$AJ503,1,(BH$4-1)*5+2))*(1+BH$7)^INDEX($Q503:$AJ503,1,(BH$4-1)*5+1)*(BH373/BG373)^INDEX($Q503:$AJ503,1,(BH$4-1)*5+2)*(BH373/BG373)^(INDEX($Q503:$AJ503,1,(BH$4-1)*5+3)*(1+INDEX($Q503:$AJ503,1,(BH$4-1)*5+2)))</f>
        <v/>
      </c>
      <c r="BI503" s="25">
        <f>BH503*(1/(1+INDEX($Q503:$AJ503,1,(BI$4-1)*5+4)))^(1+INDEX($Q503:$AJ503,1,(BI$4-1)*5+2))*(1+BI$7)^INDEX($Q503:$AJ503,1,(BI$4-1)*5+1)*(BI373/BH373)^INDEX($Q503:$AJ503,1,(BI$4-1)*5+2)*(BI373/BH373)^(INDEX($Q503:$AJ503,1,(BI$4-1)*5+3)*(1+INDEX($Q503:$AJ503,1,(BI$4-1)*5+2)))</f>
        <v/>
      </c>
      <c r="BJ503" s="25">
        <f>BI503*(1/(1+INDEX($Q503:$AJ503,1,(BJ$4-1)*5+4)))^(1+INDEX($Q503:$AJ503,1,(BJ$4-1)*5+2))*(1+BJ$7)^INDEX($Q503:$AJ503,1,(BJ$4-1)*5+1)*(BJ373/BI373)^INDEX($Q503:$AJ503,1,(BJ$4-1)*5+2)*(BJ373/BI373)^(INDEX($Q503:$AJ503,1,(BJ$4-1)*5+3)*(1+INDEX($Q503:$AJ503,1,(BJ$4-1)*5+2)))</f>
        <v/>
      </c>
      <c r="BK503" s="25">
        <f>BJ503*(1/(1+INDEX($Q503:$AJ503,1,(BK$4-1)*5+4)))^(1+INDEX($Q503:$AJ503,1,(BK$4-1)*5+2))*(1+BK$7)^INDEX($Q503:$AJ503,1,(BK$4-1)*5+1)*(BK373/BJ373)^INDEX($Q503:$AJ503,1,(BK$4-1)*5+2)*(BK373/BJ373)^(INDEX($Q503:$AJ503,1,(BK$4-1)*5+3)*(1+INDEX($Q503:$AJ503,1,(BK$4-1)*5+2)))</f>
        <v/>
      </c>
      <c r="BL503" s="25">
        <f>BK503*(1/(1+INDEX($Q503:$AJ503,1,(BL$4-1)*5+4)))^(1+INDEX($Q503:$AJ503,1,(BL$4-1)*5+2))*(1+BL$7)^INDEX($Q503:$AJ503,1,(BL$4-1)*5+1)*(BL373/BK373)^INDEX($Q503:$AJ503,1,(BL$4-1)*5+2)*(BL373/BK373)^(INDEX($Q503:$AJ503,1,(BL$4-1)*5+3)*(1+INDEX($Q503:$AJ503,1,(BL$4-1)*5+2)))</f>
        <v/>
      </c>
      <c r="BM503" s="25">
        <f>BL503*(1/(1+INDEX($Q503:$AJ503,1,(BM$4-1)*5+4)))^(1+INDEX($Q503:$AJ503,1,(BM$4-1)*5+2))*(1+BM$7)^INDEX($Q503:$AJ503,1,(BM$4-1)*5+1)*(BM373/BL373)^INDEX($Q503:$AJ503,1,(BM$4-1)*5+2)*(BM373/BL373)^(INDEX($Q503:$AJ503,1,(BM$4-1)*5+3)*(1+INDEX($Q503:$AJ503,1,(BM$4-1)*5+2)))</f>
        <v/>
      </c>
      <c r="BN503" s="25">
        <f>BM503*(1/(1+INDEX($Q503:$AJ503,1,(BN$4-1)*5+4)))^(1+INDEX($Q503:$AJ503,1,(BN$4-1)*5+2))*(1+BN$7)^INDEX($Q503:$AJ503,1,(BN$4-1)*5+1)*(BN373/BM373)^INDEX($Q503:$AJ503,1,(BN$4-1)*5+2)*(BN373/BM373)^(INDEX($Q503:$AJ503,1,(BN$4-1)*5+3)*(1+INDEX($Q503:$AJ503,1,(BN$4-1)*5+2)))</f>
        <v/>
      </c>
    </row>
    <row r="504">
      <c r="B504" s="5" t="inlineStr">
        <is>
          <t>bio</t>
        </is>
      </c>
      <c r="C504" s="5" t="inlineStr">
        <is>
          <t>omn</t>
        </is>
      </c>
      <c r="D504" s="5" t="inlineStr">
        <is>
          <t>Fuel use | Other manufacturing | Biomass</t>
        </is>
      </c>
      <c r="E504" s="5" t="inlineStr">
        <is>
          <t>ktoe</t>
        </is>
      </c>
      <c r="F504" s="5" t="inlineStr">
        <is>
          <t>EnergyCons (base year), Elasticities</t>
        </is>
      </c>
      <c r="G504" s="19" t="inlineStr">
        <is>
          <t>mit.enc.bio.omn</t>
        </is>
      </c>
      <c r="H504" s="19" t="inlineStr">
        <is>
          <t>mit.enc.bio.omn</t>
        </is>
      </c>
      <c r="J504" s="5">
        <f>INDEX(Mapping!$C$5:$C$20,MATCH($C504,Mapping!$A$5:$A$20,0))</f>
        <v/>
      </c>
      <c r="K504" s="5">
        <f>INDEX(Mapping!$D$5:$D$20,MATCH($C504,Mapping!$A$5:$A$20,0))</f>
        <v/>
      </c>
      <c r="L504" s="5">
        <f>INDEX(Mapping!$C$24:$C$31,MATCH($B504,Mapping!$A$24:$A$31,0))</f>
        <v/>
      </c>
      <c r="M504" s="5">
        <f>INDEX(Mapping!$D$24:$D$31,MATCH($B504,Mapping!$A$24:$A$31,0))</f>
        <v/>
      </c>
      <c r="N504" s="5">
        <f>$B504&amp;"."&amp;IF(INDEX(Mapping!$E$24:$E$31,MATCH($B504,Mapping!$A$24:$A$31,0))="sub",INDEX(Mapping!$F$5:$F$20,MATCH($C504,Mapping!$A$5:$A$20,0)),"all")</f>
        <v/>
      </c>
      <c r="O504" s="5">
        <f>INDEX(Mapping!$E$5:$E$20,MATCH($C504,Mapping!$A$5:$A$20,0))</f>
        <v/>
      </c>
      <c r="P504" s="5">
        <f>INDEX(Mapping!$G$24:$G$31,MATCH($B504,Mapping!$A$24:$A$31,0))</f>
        <v/>
      </c>
      <c r="Q504" s="22">
        <f>INDEX(Elasticities!$F$4:$I$200,MATCH("inc|"&amp;$L504&amp;"|"&amp;$K504,Elasticities!$A$4:$A$200,0),MATCH(Settings!$C$6,Elasticities!$F$3:$I$3,0))</f>
        <v/>
      </c>
      <c r="R504" s="22">
        <f>INDEX(Elasticities!$F$4:$I$200,MATCH("usg|"&amp;$L504&amp;"|"&amp;$K504,Elasticities!$A$4:$A$200,0),MATCH(Settings!$C$6,Elasticities!$F$3:$I$3,0))</f>
        <v/>
      </c>
      <c r="S504" s="22">
        <f>INDEX(Elasticities!$F$4:$I$200,MATCH("eff|"&amp;$L504&amp;"|"&amp;$K504,Elasticities!$A$4:$A$200,0),MATCH(Settings!$C$6,Elasticities!$F$3:$I$3,0))</f>
        <v/>
      </c>
      <c r="T504" s="22">
        <f>INDEX(Elasticities!$F$4:$I$200,MATCH("aei|"&amp;$M504&amp;"|"&amp;$K504,Elasticities!$A$4:$A$200,0),MATCH(Settings!$C$6,Elasticities!$F$3:$I$3,0))</f>
        <v/>
      </c>
      <c r="U504" s="21" t="n"/>
      <c r="V504" s="22">
        <f>Q504</f>
        <v/>
      </c>
      <c r="W504" s="22">
        <f>R504</f>
        <v/>
      </c>
      <c r="X504" s="22">
        <f>S504</f>
        <v/>
      </c>
      <c r="Y504" s="22">
        <f>T504</f>
        <v/>
      </c>
      <c r="Z504" s="21" t="n"/>
      <c r="AA504" s="22">
        <f>Q504</f>
        <v/>
      </c>
      <c r="AB504" s="22">
        <f>R504</f>
        <v/>
      </c>
      <c r="AC504" s="22">
        <f>S504</f>
        <v/>
      </c>
      <c r="AD504" s="22">
        <f>T504</f>
        <v/>
      </c>
      <c r="AE504" s="21" t="n"/>
      <c r="AF504" s="22">
        <f>Q504</f>
        <v/>
      </c>
      <c r="AG504" s="22">
        <f>R504</f>
        <v/>
      </c>
      <c r="AH504" s="22">
        <f>S504</f>
        <v/>
      </c>
      <c r="AI504" s="22">
        <f>T504</f>
        <v/>
      </c>
      <c r="AJ504" s="21" t="n"/>
      <c r="AL504" s="24">
        <f>INDEX(EnergyCons!$F$4:$F$5000,MATCH(Settings!$C$4&amp;"|"&amp;AL$5&amp;"|"&amp;$C504&amp;"|"&amp;$B504,EnergyCons!$A$4:$A$5000,0))</f>
        <v/>
      </c>
      <c r="AM504" s="25">
        <f>AL504*(1/(1+INDEX($Q504:$AJ504,1,(AM$4-1)*5+4)))^(1+INDEX($Q504:$AJ504,1,(AM$4-1)*5+2))*(1+AM$7)^INDEX($Q504:$AJ504,1,(AM$4-1)*5+1)*(AM374/AL374)^INDEX($Q504:$AJ504,1,(AM$4-1)*5+2)*(AM374/AL374)^(INDEX($Q504:$AJ504,1,(AM$4-1)*5+3)*(1+INDEX($Q504:$AJ504,1,(AM$4-1)*5+2)))</f>
        <v/>
      </c>
      <c r="AN504" s="25">
        <f>AM504*(1/(1+INDEX($Q504:$AJ504,1,(AN$4-1)*5+4)))^(1+INDEX($Q504:$AJ504,1,(AN$4-1)*5+2))*(1+AN$7)^INDEX($Q504:$AJ504,1,(AN$4-1)*5+1)*(AN374/AM374)^INDEX($Q504:$AJ504,1,(AN$4-1)*5+2)*(AN374/AM374)^(INDEX($Q504:$AJ504,1,(AN$4-1)*5+3)*(1+INDEX($Q504:$AJ504,1,(AN$4-1)*5+2)))</f>
        <v/>
      </c>
      <c r="AO504" s="25">
        <f>AN504*(1/(1+INDEX($Q504:$AJ504,1,(AO$4-1)*5+4)))^(1+INDEX($Q504:$AJ504,1,(AO$4-1)*5+2))*(1+AO$7)^INDEX($Q504:$AJ504,1,(AO$4-1)*5+1)*(AO374/AN374)^INDEX($Q504:$AJ504,1,(AO$4-1)*5+2)*(AO374/AN374)^(INDEX($Q504:$AJ504,1,(AO$4-1)*5+3)*(1+INDEX($Q504:$AJ504,1,(AO$4-1)*5+2)))</f>
        <v/>
      </c>
      <c r="AP504" s="25">
        <f>AO504*(1/(1+INDEX($Q504:$AJ504,1,(AP$4-1)*5+4)))^(1+INDEX($Q504:$AJ504,1,(AP$4-1)*5+2))*(1+AP$7)^INDEX($Q504:$AJ504,1,(AP$4-1)*5+1)*(AP374/AO374)^INDEX($Q504:$AJ504,1,(AP$4-1)*5+2)*(AP374/AO374)^(INDEX($Q504:$AJ504,1,(AP$4-1)*5+3)*(1+INDEX($Q504:$AJ504,1,(AP$4-1)*5+2)))</f>
        <v/>
      </c>
      <c r="AQ504" s="25">
        <f>AP504*(1/(1+INDEX($Q504:$AJ504,1,(AQ$4-1)*5+4)))^(1+INDEX($Q504:$AJ504,1,(AQ$4-1)*5+2))*(1+AQ$7)^INDEX($Q504:$AJ504,1,(AQ$4-1)*5+1)*(AQ374/AP374)^INDEX($Q504:$AJ504,1,(AQ$4-1)*5+2)*(AQ374/AP374)^(INDEX($Q504:$AJ504,1,(AQ$4-1)*5+3)*(1+INDEX($Q504:$AJ504,1,(AQ$4-1)*5+2)))</f>
        <v/>
      </c>
      <c r="AR504" s="25">
        <f>AQ504*(1/(1+INDEX($Q504:$AJ504,1,(AR$4-1)*5+4)))^(1+INDEX($Q504:$AJ504,1,(AR$4-1)*5+2))*(1+AR$7)^INDEX($Q504:$AJ504,1,(AR$4-1)*5+1)*(AR374/AQ374)^INDEX($Q504:$AJ504,1,(AR$4-1)*5+2)*(AR374/AQ374)^(INDEX($Q504:$AJ504,1,(AR$4-1)*5+3)*(1+INDEX($Q504:$AJ504,1,(AR$4-1)*5+2)))</f>
        <v/>
      </c>
      <c r="AS504" s="25">
        <f>AR504*(1/(1+INDEX($Q504:$AJ504,1,(AS$4-1)*5+4)))^(1+INDEX($Q504:$AJ504,1,(AS$4-1)*5+2))*(1+AS$7)^INDEX($Q504:$AJ504,1,(AS$4-1)*5+1)*(AS374/AR374)^INDEX($Q504:$AJ504,1,(AS$4-1)*5+2)*(AS374/AR374)^(INDEX($Q504:$AJ504,1,(AS$4-1)*5+3)*(1+INDEX($Q504:$AJ504,1,(AS$4-1)*5+2)))</f>
        <v/>
      </c>
      <c r="AT504" s="25">
        <f>AS504*(1/(1+INDEX($Q504:$AJ504,1,(AT$4-1)*5+4)))^(1+INDEX($Q504:$AJ504,1,(AT$4-1)*5+2))*(1+AT$7)^INDEX($Q504:$AJ504,1,(AT$4-1)*5+1)*(AT374/AS374)^INDEX($Q504:$AJ504,1,(AT$4-1)*5+2)*(AT374/AS374)^(INDEX($Q504:$AJ504,1,(AT$4-1)*5+3)*(1+INDEX($Q504:$AJ504,1,(AT$4-1)*5+2)))</f>
        <v/>
      </c>
      <c r="AU504" s="25">
        <f>AT504*(1/(1+INDEX($Q504:$AJ504,1,(AU$4-1)*5+4)))^(1+INDEX($Q504:$AJ504,1,(AU$4-1)*5+2))*(1+AU$7)^INDEX($Q504:$AJ504,1,(AU$4-1)*5+1)*(AU374/AT374)^INDEX($Q504:$AJ504,1,(AU$4-1)*5+2)*(AU374/AT374)^(INDEX($Q504:$AJ504,1,(AU$4-1)*5+3)*(1+INDEX($Q504:$AJ504,1,(AU$4-1)*5+2)))</f>
        <v/>
      </c>
      <c r="AV504" s="25">
        <f>AU504*(1/(1+INDEX($Q504:$AJ504,1,(AV$4-1)*5+4)))^(1+INDEX($Q504:$AJ504,1,(AV$4-1)*5+2))*(1+AV$7)^INDEX($Q504:$AJ504,1,(AV$4-1)*5+1)*(AV374/AU374)^INDEX($Q504:$AJ504,1,(AV$4-1)*5+2)*(AV374/AU374)^(INDEX($Q504:$AJ504,1,(AV$4-1)*5+3)*(1+INDEX($Q504:$AJ504,1,(AV$4-1)*5+2)))</f>
        <v/>
      </c>
      <c r="AW504" s="25">
        <f>AV504*(1/(1+INDEX($Q504:$AJ504,1,(AW$4-1)*5+4)))^(1+INDEX($Q504:$AJ504,1,(AW$4-1)*5+2))*(1+AW$7)^INDEX($Q504:$AJ504,1,(AW$4-1)*5+1)*(AW374/AV374)^INDEX($Q504:$AJ504,1,(AW$4-1)*5+2)*(AW374/AV374)^(INDEX($Q504:$AJ504,1,(AW$4-1)*5+3)*(1+INDEX($Q504:$AJ504,1,(AW$4-1)*5+2)))</f>
        <v/>
      </c>
      <c r="AX504" s="25">
        <f>AW504*(1/(1+INDEX($Q504:$AJ504,1,(AX$4-1)*5+4)))^(1+INDEX($Q504:$AJ504,1,(AX$4-1)*5+2))*(1+AX$7)^INDEX($Q504:$AJ504,1,(AX$4-1)*5+1)*(AX374/AW374)^INDEX($Q504:$AJ504,1,(AX$4-1)*5+2)*(AX374/AW374)^(INDEX($Q504:$AJ504,1,(AX$4-1)*5+3)*(1+INDEX($Q504:$AJ504,1,(AX$4-1)*5+2)))</f>
        <v/>
      </c>
      <c r="AY504" s="25">
        <f>AX504*(1/(1+INDEX($Q504:$AJ504,1,(AY$4-1)*5+4)))^(1+INDEX($Q504:$AJ504,1,(AY$4-1)*5+2))*(1+AY$7)^INDEX($Q504:$AJ504,1,(AY$4-1)*5+1)*(AY374/AX374)^INDEX($Q504:$AJ504,1,(AY$4-1)*5+2)*(AY374/AX374)^(INDEX($Q504:$AJ504,1,(AY$4-1)*5+3)*(1+INDEX($Q504:$AJ504,1,(AY$4-1)*5+2)))</f>
        <v/>
      </c>
      <c r="BA504" s="24">
        <f>INDEX(EnergyCons!$F$4:$F$5000,MATCH(Settings!$C$4&amp;"|"&amp;BA$5&amp;"|"&amp;$C504&amp;"|"&amp;$B504,EnergyCons!$A$4:$A$5000,0))</f>
        <v/>
      </c>
      <c r="BB504" s="25">
        <f>BA504*(1/(1+INDEX($Q504:$AJ504,1,(BB$4-1)*5+4)))^(1+INDEX($Q504:$AJ504,1,(BB$4-1)*5+2))*(1+BB$7)^INDEX($Q504:$AJ504,1,(BB$4-1)*5+1)*(BB374/BA374)^INDEX($Q504:$AJ504,1,(BB$4-1)*5+2)*(BB374/BA374)^(INDEX($Q504:$AJ504,1,(BB$4-1)*5+3)*(1+INDEX($Q504:$AJ504,1,(BB$4-1)*5+2)))</f>
        <v/>
      </c>
      <c r="BC504" s="25">
        <f>BB504*(1/(1+INDEX($Q504:$AJ504,1,(BC$4-1)*5+4)))^(1+INDEX($Q504:$AJ504,1,(BC$4-1)*5+2))*(1+BC$7)^INDEX($Q504:$AJ504,1,(BC$4-1)*5+1)*(BC374/BB374)^INDEX($Q504:$AJ504,1,(BC$4-1)*5+2)*(BC374/BB374)^(INDEX($Q504:$AJ504,1,(BC$4-1)*5+3)*(1+INDEX($Q504:$AJ504,1,(BC$4-1)*5+2)))</f>
        <v/>
      </c>
      <c r="BD504" s="25">
        <f>BC504*(1/(1+INDEX($Q504:$AJ504,1,(BD$4-1)*5+4)))^(1+INDEX($Q504:$AJ504,1,(BD$4-1)*5+2))*(1+BD$7)^INDEX($Q504:$AJ504,1,(BD$4-1)*5+1)*(BD374/BC374)^INDEX($Q504:$AJ504,1,(BD$4-1)*5+2)*(BD374/BC374)^(INDEX($Q504:$AJ504,1,(BD$4-1)*5+3)*(1+INDEX($Q504:$AJ504,1,(BD$4-1)*5+2)))</f>
        <v/>
      </c>
      <c r="BE504" s="25">
        <f>BD504*(1/(1+INDEX($Q504:$AJ504,1,(BE$4-1)*5+4)))^(1+INDEX($Q504:$AJ504,1,(BE$4-1)*5+2))*(1+BE$7)^INDEX($Q504:$AJ504,1,(BE$4-1)*5+1)*(BE374/BD374)^INDEX($Q504:$AJ504,1,(BE$4-1)*5+2)*(BE374/BD374)^(INDEX($Q504:$AJ504,1,(BE$4-1)*5+3)*(1+INDEX($Q504:$AJ504,1,(BE$4-1)*5+2)))</f>
        <v/>
      </c>
      <c r="BF504" s="25">
        <f>BE504*(1/(1+INDEX($Q504:$AJ504,1,(BF$4-1)*5+4)))^(1+INDEX($Q504:$AJ504,1,(BF$4-1)*5+2))*(1+BF$7)^INDEX($Q504:$AJ504,1,(BF$4-1)*5+1)*(BF374/BE374)^INDEX($Q504:$AJ504,1,(BF$4-1)*5+2)*(BF374/BE374)^(INDEX($Q504:$AJ504,1,(BF$4-1)*5+3)*(1+INDEX($Q504:$AJ504,1,(BF$4-1)*5+2)))</f>
        <v/>
      </c>
      <c r="BG504" s="25">
        <f>BF504*(1/(1+INDEX($Q504:$AJ504,1,(BG$4-1)*5+4)))^(1+INDEX($Q504:$AJ504,1,(BG$4-1)*5+2))*(1+BG$7)^INDEX($Q504:$AJ504,1,(BG$4-1)*5+1)*(BG374/BF374)^INDEX($Q504:$AJ504,1,(BG$4-1)*5+2)*(BG374/BF374)^(INDEX($Q504:$AJ504,1,(BG$4-1)*5+3)*(1+INDEX($Q504:$AJ504,1,(BG$4-1)*5+2)))</f>
        <v/>
      </c>
      <c r="BH504" s="25">
        <f>BG504*(1/(1+INDEX($Q504:$AJ504,1,(BH$4-1)*5+4)))^(1+INDEX($Q504:$AJ504,1,(BH$4-1)*5+2))*(1+BH$7)^INDEX($Q504:$AJ504,1,(BH$4-1)*5+1)*(BH374/BG374)^INDEX($Q504:$AJ504,1,(BH$4-1)*5+2)*(BH374/BG374)^(INDEX($Q504:$AJ504,1,(BH$4-1)*5+3)*(1+INDEX($Q504:$AJ504,1,(BH$4-1)*5+2)))</f>
        <v/>
      </c>
      <c r="BI504" s="25">
        <f>BH504*(1/(1+INDEX($Q504:$AJ504,1,(BI$4-1)*5+4)))^(1+INDEX($Q504:$AJ504,1,(BI$4-1)*5+2))*(1+BI$7)^INDEX($Q504:$AJ504,1,(BI$4-1)*5+1)*(BI374/BH374)^INDEX($Q504:$AJ504,1,(BI$4-1)*5+2)*(BI374/BH374)^(INDEX($Q504:$AJ504,1,(BI$4-1)*5+3)*(1+INDEX($Q504:$AJ504,1,(BI$4-1)*5+2)))</f>
        <v/>
      </c>
      <c r="BJ504" s="25">
        <f>BI504*(1/(1+INDEX($Q504:$AJ504,1,(BJ$4-1)*5+4)))^(1+INDEX($Q504:$AJ504,1,(BJ$4-1)*5+2))*(1+BJ$7)^INDEX($Q504:$AJ504,1,(BJ$4-1)*5+1)*(BJ374/BI374)^INDEX($Q504:$AJ504,1,(BJ$4-1)*5+2)*(BJ374/BI374)^(INDEX($Q504:$AJ504,1,(BJ$4-1)*5+3)*(1+INDEX($Q504:$AJ504,1,(BJ$4-1)*5+2)))</f>
        <v/>
      </c>
      <c r="BK504" s="25">
        <f>BJ504*(1/(1+INDEX($Q504:$AJ504,1,(BK$4-1)*5+4)))^(1+INDEX($Q504:$AJ504,1,(BK$4-1)*5+2))*(1+BK$7)^INDEX($Q504:$AJ504,1,(BK$4-1)*5+1)*(BK374/BJ374)^INDEX($Q504:$AJ504,1,(BK$4-1)*5+2)*(BK374/BJ374)^(INDEX($Q504:$AJ504,1,(BK$4-1)*5+3)*(1+INDEX($Q504:$AJ504,1,(BK$4-1)*5+2)))</f>
        <v/>
      </c>
      <c r="BL504" s="25">
        <f>BK504*(1/(1+INDEX($Q504:$AJ504,1,(BL$4-1)*5+4)))^(1+INDEX($Q504:$AJ504,1,(BL$4-1)*5+2))*(1+BL$7)^INDEX($Q504:$AJ504,1,(BL$4-1)*5+1)*(BL374/BK374)^INDEX($Q504:$AJ504,1,(BL$4-1)*5+2)*(BL374/BK374)^(INDEX($Q504:$AJ504,1,(BL$4-1)*5+3)*(1+INDEX($Q504:$AJ504,1,(BL$4-1)*5+2)))</f>
        <v/>
      </c>
      <c r="BM504" s="25">
        <f>BL504*(1/(1+INDEX($Q504:$AJ504,1,(BM$4-1)*5+4)))^(1+INDEX($Q504:$AJ504,1,(BM$4-1)*5+2))*(1+BM$7)^INDEX($Q504:$AJ504,1,(BM$4-1)*5+1)*(BM374/BL374)^INDEX($Q504:$AJ504,1,(BM$4-1)*5+2)*(BM374/BL374)^(INDEX($Q504:$AJ504,1,(BM$4-1)*5+3)*(1+INDEX($Q504:$AJ504,1,(BM$4-1)*5+2)))</f>
        <v/>
      </c>
      <c r="BN504" s="25">
        <f>BM504*(1/(1+INDEX($Q504:$AJ504,1,(BN$4-1)*5+4)))^(1+INDEX($Q504:$AJ504,1,(BN$4-1)*5+2))*(1+BN$7)^INDEX($Q504:$AJ504,1,(BN$4-1)*5+1)*(BN374/BM374)^INDEX($Q504:$AJ504,1,(BN$4-1)*5+2)*(BN374/BM374)^(INDEX($Q504:$AJ504,1,(BN$4-1)*5+3)*(1+INDEX($Q504:$AJ504,1,(BN$4-1)*5+2)))</f>
        <v/>
      </c>
    </row>
    <row r="505">
      <c r="B505" s="5" t="inlineStr">
        <is>
          <t>coa</t>
        </is>
      </c>
      <c r="C505" s="5" t="inlineStr">
        <is>
          <t>cst</t>
        </is>
      </c>
      <c r="D505" s="5" t="inlineStr">
        <is>
          <t>Fuel use | Construction | Coal</t>
        </is>
      </c>
      <c r="E505" s="5" t="inlineStr">
        <is>
          <t>ktoe</t>
        </is>
      </c>
      <c r="F505" s="5" t="inlineStr">
        <is>
          <t>EnergyCons (base year), Elasticities</t>
        </is>
      </c>
      <c r="G505" s="19" t="inlineStr">
        <is>
          <t>mit.enc.coa.cst</t>
        </is>
      </c>
      <c r="H505" s="19" t="inlineStr">
        <is>
          <t>mit.enc.coa.cst</t>
        </is>
      </c>
      <c r="J505" s="5">
        <f>INDEX(Mapping!$C$5:$C$20,MATCH($C505,Mapping!$A$5:$A$20,0))</f>
        <v/>
      </c>
      <c r="K505" s="5">
        <f>INDEX(Mapping!$D$5:$D$20,MATCH($C505,Mapping!$A$5:$A$20,0))</f>
        <v/>
      </c>
      <c r="L505" s="5">
        <f>INDEX(Mapping!$C$24:$C$31,MATCH($B505,Mapping!$A$24:$A$31,0))</f>
        <v/>
      </c>
      <c r="M505" s="5">
        <f>INDEX(Mapping!$D$24:$D$31,MATCH($B505,Mapping!$A$24:$A$31,0))</f>
        <v/>
      </c>
      <c r="N505" s="5">
        <f>$B505&amp;"."&amp;IF(INDEX(Mapping!$E$24:$E$31,MATCH($B505,Mapping!$A$24:$A$31,0))="sub",INDEX(Mapping!$F$5:$F$20,MATCH($C505,Mapping!$A$5:$A$20,0)),"all")</f>
        <v/>
      </c>
      <c r="O505" s="5">
        <f>INDEX(Mapping!$E$5:$E$20,MATCH($C505,Mapping!$A$5:$A$20,0))</f>
        <v/>
      </c>
      <c r="P505" s="5">
        <f>INDEX(Mapping!$G$24:$G$31,MATCH($B505,Mapping!$A$24:$A$31,0))</f>
        <v/>
      </c>
      <c r="Q505" s="22">
        <f>INDEX(Elasticities!$F$4:$I$200,MATCH("inc|"&amp;$L505&amp;"|"&amp;$K505,Elasticities!$A$4:$A$200,0),MATCH(Settings!$C$6,Elasticities!$F$3:$I$3,0))</f>
        <v/>
      </c>
      <c r="R505" s="22">
        <f>INDEX(Elasticities!$F$4:$I$200,MATCH("usg|"&amp;$L505&amp;"|"&amp;$K505,Elasticities!$A$4:$A$200,0),MATCH(Settings!$C$6,Elasticities!$F$3:$I$3,0))</f>
        <v/>
      </c>
      <c r="S505" s="22">
        <f>INDEX(Elasticities!$F$4:$I$200,MATCH("eff|"&amp;$L505&amp;"|"&amp;$K505,Elasticities!$A$4:$A$200,0),MATCH(Settings!$C$6,Elasticities!$F$3:$I$3,0))</f>
        <v/>
      </c>
      <c r="T505" s="22">
        <f>INDEX(Elasticities!$F$4:$I$200,MATCH("aei|"&amp;$M505&amp;"|"&amp;$K505,Elasticities!$A$4:$A$200,0),MATCH(Settings!$C$6,Elasticities!$F$3:$I$3,0))</f>
        <v/>
      </c>
      <c r="U505" s="21" t="n"/>
      <c r="V505" s="22">
        <f>Q505</f>
        <v/>
      </c>
      <c r="W505" s="22">
        <f>R505</f>
        <v/>
      </c>
      <c r="X505" s="22">
        <f>S505</f>
        <v/>
      </c>
      <c r="Y505" s="22">
        <f>T505</f>
        <v/>
      </c>
      <c r="Z505" s="21" t="n"/>
      <c r="AA505" s="22">
        <f>Q505</f>
        <v/>
      </c>
      <c r="AB505" s="22">
        <f>R505</f>
        <v/>
      </c>
      <c r="AC505" s="22">
        <f>S505</f>
        <v/>
      </c>
      <c r="AD505" s="22">
        <f>T505</f>
        <v/>
      </c>
      <c r="AE505" s="21" t="n"/>
      <c r="AF505" s="22">
        <f>Q505</f>
        <v/>
      </c>
      <c r="AG505" s="22">
        <f>R505</f>
        <v/>
      </c>
      <c r="AH505" s="22">
        <f>S505</f>
        <v/>
      </c>
      <c r="AI505" s="22">
        <f>T505</f>
        <v/>
      </c>
      <c r="AJ505" s="21" t="n"/>
      <c r="AL505" s="24">
        <f>INDEX(EnergyCons!$F$4:$F$5000,MATCH(Settings!$C$4&amp;"|"&amp;AL$5&amp;"|"&amp;$C505&amp;"|"&amp;$B505,EnergyCons!$A$4:$A$5000,0))</f>
        <v/>
      </c>
      <c r="AM505" s="25">
        <f>AL505*(1/(1+INDEX($Q505:$AJ505,1,(AM$4-1)*5+4)))^(1+INDEX($Q505:$AJ505,1,(AM$4-1)*5+2))*(1+AM$7)^INDEX($Q505:$AJ505,1,(AM$4-1)*5+1)*(AM375/AL375)^INDEX($Q505:$AJ505,1,(AM$4-1)*5+2)*(AM375/AL375)^(INDEX($Q505:$AJ505,1,(AM$4-1)*5+3)*(1+INDEX($Q505:$AJ505,1,(AM$4-1)*5+2)))</f>
        <v/>
      </c>
      <c r="AN505" s="25">
        <f>AM505*(1/(1+INDEX($Q505:$AJ505,1,(AN$4-1)*5+4)))^(1+INDEX($Q505:$AJ505,1,(AN$4-1)*5+2))*(1+AN$7)^INDEX($Q505:$AJ505,1,(AN$4-1)*5+1)*(AN375/AM375)^INDEX($Q505:$AJ505,1,(AN$4-1)*5+2)*(AN375/AM375)^(INDEX($Q505:$AJ505,1,(AN$4-1)*5+3)*(1+INDEX($Q505:$AJ505,1,(AN$4-1)*5+2)))</f>
        <v/>
      </c>
      <c r="AO505" s="25">
        <f>AN505*(1/(1+INDEX($Q505:$AJ505,1,(AO$4-1)*5+4)))^(1+INDEX($Q505:$AJ505,1,(AO$4-1)*5+2))*(1+AO$7)^INDEX($Q505:$AJ505,1,(AO$4-1)*5+1)*(AO375/AN375)^INDEX($Q505:$AJ505,1,(AO$4-1)*5+2)*(AO375/AN375)^(INDEX($Q505:$AJ505,1,(AO$4-1)*5+3)*(1+INDEX($Q505:$AJ505,1,(AO$4-1)*5+2)))</f>
        <v/>
      </c>
      <c r="AP505" s="25">
        <f>AO505*(1/(1+INDEX($Q505:$AJ505,1,(AP$4-1)*5+4)))^(1+INDEX($Q505:$AJ505,1,(AP$4-1)*5+2))*(1+AP$7)^INDEX($Q505:$AJ505,1,(AP$4-1)*5+1)*(AP375/AO375)^INDEX($Q505:$AJ505,1,(AP$4-1)*5+2)*(AP375/AO375)^(INDEX($Q505:$AJ505,1,(AP$4-1)*5+3)*(1+INDEX($Q505:$AJ505,1,(AP$4-1)*5+2)))</f>
        <v/>
      </c>
      <c r="AQ505" s="25">
        <f>AP505*(1/(1+INDEX($Q505:$AJ505,1,(AQ$4-1)*5+4)))^(1+INDEX($Q505:$AJ505,1,(AQ$4-1)*5+2))*(1+AQ$7)^INDEX($Q505:$AJ505,1,(AQ$4-1)*5+1)*(AQ375/AP375)^INDEX($Q505:$AJ505,1,(AQ$4-1)*5+2)*(AQ375/AP375)^(INDEX($Q505:$AJ505,1,(AQ$4-1)*5+3)*(1+INDEX($Q505:$AJ505,1,(AQ$4-1)*5+2)))</f>
        <v/>
      </c>
      <c r="AR505" s="25">
        <f>AQ505*(1/(1+INDEX($Q505:$AJ505,1,(AR$4-1)*5+4)))^(1+INDEX($Q505:$AJ505,1,(AR$4-1)*5+2))*(1+AR$7)^INDEX($Q505:$AJ505,1,(AR$4-1)*5+1)*(AR375/AQ375)^INDEX($Q505:$AJ505,1,(AR$4-1)*5+2)*(AR375/AQ375)^(INDEX($Q505:$AJ505,1,(AR$4-1)*5+3)*(1+INDEX($Q505:$AJ505,1,(AR$4-1)*5+2)))</f>
        <v/>
      </c>
      <c r="AS505" s="25">
        <f>AR505*(1/(1+INDEX($Q505:$AJ505,1,(AS$4-1)*5+4)))^(1+INDEX($Q505:$AJ505,1,(AS$4-1)*5+2))*(1+AS$7)^INDEX($Q505:$AJ505,1,(AS$4-1)*5+1)*(AS375/AR375)^INDEX($Q505:$AJ505,1,(AS$4-1)*5+2)*(AS375/AR375)^(INDEX($Q505:$AJ505,1,(AS$4-1)*5+3)*(1+INDEX($Q505:$AJ505,1,(AS$4-1)*5+2)))</f>
        <v/>
      </c>
      <c r="AT505" s="25">
        <f>AS505*(1/(1+INDEX($Q505:$AJ505,1,(AT$4-1)*5+4)))^(1+INDEX($Q505:$AJ505,1,(AT$4-1)*5+2))*(1+AT$7)^INDEX($Q505:$AJ505,1,(AT$4-1)*5+1)*(AT375/AS375)^INDEX($Q505:$AJ505,1,(AT$4-1)*5+2)*(AT375/AS375)^(INDEX($Q505:$AJ505,1,(AT$4-1)*5+3)*(1+INDEX($Q505:$AJ505,1,(AT$4-1)*5+2)))</f>
        <v/>
      </c>
      <c r="AU505" s="25">
        <f>AT505*(1/(1+INDEX($Q505:$AJ505,1,(AU$4-1)*5+4)))^(1+INDEX($Q505:$AJ505,1,(AU$4-1)*5+2))*(1+AU$7)^INDEX($Q505:$AJ505,1,(AU$4-1)*5+1)*(AU375/AT375)^INDEX($Q505:$AJ505,1,(AU$4-1)*5+2)*(AU375/AT375)^(INDEX($Q505:$AJ505,1,(AU$4-1)*5+3)*(1+INDEX($Q505:$AJ505,1,(AU$4-1)*5+2)))</f>
        <v/>
      </c>
      <c r="AV505" s="25">
        <f>AU505*(1/(1+INDEX($Q505:$AJ505,1,(AV$4-1)*5+4)))^(1+INDEX($Q505:$AJ505,1,(AV$4-1)*5+2))*(1+AV$7)^INDEX($Q505:$AJ505,1,(AV$4-1)*5+1)*(AV375/AU375)^INDEX($Q505:$AJ505,1,(AV$4-1)*5+2)*(AV375/AU375)^(INDEX($Q505:$AJ505,1,(AV$4-1)*5+3)*(1+INDEX($Q505:$AJ505,1,(AV$4-1)*5+2)))</f>
        <v/>
      </c>
      <c r="AW505" s="25">
        <f>AV505*(1/(1+INDEX($Q505:$AJ505,1,(AW$4-1)*5+4)))^(1+INDEX($Q505:$AJ505,1,(AW$4-1)*5+2))*(1+AW$7)^INDEX($Q505:$AJ505,1,(AW$4-1)*5+1)*(AW375/AV375)^INDEX($Q505:$AJ505,1,(AW$4-1)*5+2)*(AW375/AV375)^(INDEX($Q505:$AJ505,1,(AW$4-1)*5+3)*(1+INDEX($Q505:$AJ505,1,(AW$4-1)*5+2)))</f>
        <v/>
      </c>
      <c r="AX505" s="25">
        <f>AW505*(1/(1+INDEX($Q505:$AJ505,1,(AX$4-1)*5+4)))^(1+INDEX($Q505:$AJ505,1,(AX$4-1)*5+2))*(1+AX$7)^INDEX($Q505:$AJ505,1,(AX$4-1)*5+1)*(AX375/AW375)^INDEX($Q505:$AJ505,1,(AX$4-1)*5+2)*(AX375/AW375)^(INDEX($Q505:$AJ505,1,(AX$4-1)*5+3)*(1+INDEX($Q505:$AJ505,1,(AX$4-1)*5+2)))</f>
        <v/>
      </c>
      <c r="AY505" s="25">
        <f>AX505*(1/(1+INDEX($Q505:$AJ505,1,(AY$4-1)*5+4)))^(1+INDEX($Q505:$AJ505,1,(AY$4-1)*5+2))*(1+AY$7)^INDEX($Q505:$AJ505,1,(AY$4-1)*5+1)*(AY375/AX375)^INDEX($Q505:$AJ505,1,(AY$4-1)*5+2)*(AY375/AX375)^(INDEX($Q505:$AJ505,1,(AY$4-1)*5+3)*(1+INDEX($Q505:$AJ505,1,(AY$4-1)*5+2)))</f>
        <v/>
      </c>
      <c r="BA505" s="24">
        <f>INDEX(EnergyCons!$F$4:$F$5000,MATCH(Settings!$C$4&amp;"|"&amp;BA$5&amp;"|"&amp;$C505&amp;"|"&amp;$B505,EnergyCons!$A$4:$A$5000,0))</f>
        <v/>
      </c>
      <c r="BB505" s="25">
        <f>BA505*(1/(1+INDEX($Q505:$AJ505,1,(BB$4-1)*5+4)))^(1+INDEX($Q505:$AJ505,1,(BB$4-1)*5+2))*(1+BB$7)^INDEX($Q505:$AJ505,1,(BB$4-1)*5+1)*(BB375/BA375)^INDEX($Q505:$AJ505,1,(BB$4-1)*5+2)*(BB375/BA375)^(INDEX($Q505:$AJ505,1,(BB$4-1)*5+3)*(1+INDEX($Q505:$AJ505,1,(BB$4-1)*5+2)))</f>
        <v/>
      </c>
      <c r="BC505" s="25">
        <f>BB505*(1/(1+INDEX($Q505:$AJ505,1,(BC$4-1)*5+4)))^(1+INDEX($Q505:$AJ505,1,(BC$4-1)*5+2))*(1+BC$7)^INDEX($Q505:$AJ505,1,(BC$4-1)*5+1)*(BC375/BB375)^INDEX($Q505:$AJ505,1,(BC$4-1)*5+2)*(BC375/BB375)^(INDEX($Q505:$AJ505,1,(BC$4-1)*5+3)*(1+INDEX($Q505:$AJ505,1,(BC$4-1)*5+2)))</f>
        <v/>
      </c>
      <c r="BD505" s="25">
        <f>BC505*(1/(1+INDEX($Q505:$AJ505,1,(BD$4-1)*5+4)))^(1+INDEX($Q505:$AJ505,1,(BD$4-1)*5+2))*(1+BD$7)^INDEX($Q505:$AJ505,1,(BD$4-1)*5+1)*(BD375/BC375)^INDEX($Q505:$AJ505,1,(BD$4-1)*5+2)*(BD375/BC375)^(INDEX($Q505:$AJ505,1,(BD$4-1)*5+3)*(1+INDEX($Q505:$AJ505,1,(BD$4-1)*5+2)))</f>
        <v/>
      </c>
      <c r="BE505" s="25">
        <f>BD505*(1/(1+INDEX($Q505:$AJ505,1,(BE$4-1)*5+4)))^(1+INDEX($Q505:$AJ505,1,(BE$4-1)*5+2))*(1+BE$7)^INDEX($Q505:$AJ505,1,(BE$4-1)*5+1)*(BE375/BD375)^INDEX($Q505:$AJ505,1,(BE$4-1)*5+2)*(BE375/BD375)^(INDEX($Q505:$AJ505,1,(BE$4-1)*5+3)*(1+INDEX($Q505:$AJ505,1,(BE$4-1)*5+2)))</f>
        <v/>
      </c>
      <c r="BF505" s="25">
        <f>BE505*(1/(1+INDEX($Q505:$AJ505,1,(BF$4-1)*5+4)))^(1+INDEX($Q505:$AJ505,1,(BF$4-1)*5+2))*(1+BF$7)^INDEX($Q505:$AJ505,1,(BF$4-1)*5+1)*(BF375/BE375)^INDEX($Q505:$AJ505,1,(BF$4-1)*5+2)*(BF375/BE375)^(INDEX($Q505:$AJ505,1,(BF$4-1)*5+3)*(1+INDEX($Q505:$AJ505,1,(BF$4-1)*5+2)))</f>
        <v/>
      </c>
      <c r="BG505" s="25">
        <f>BF505*(1/(1+INDEX($Q505:$AJ505,1,(BG$4-1)*5+4)))^(1+INDEX($Q505:$AJ505,1,(BG$4-1)*5+2))*(1+BG$7)^INDEX($Q505:$AJ505,1,(BG$4-1)*5+1)*(BG375/BF375)^INDEX($Q505:$AJ505,1,(BG$4-1)*5+2)*(BG375/BF375)^(INDEX($Q505:$AJ505,1,(BG$4-1)*5+3)*(1+INDEX($Q505:$AJ505,1,(BG$4-1)*5+2)))</f>
        <v/>
      </c>
      <c r="BH505" s="25">
        <f>BG505*(1/(1+INDEX($Q505:$AJ505,1,(BH$4-1)*5+4)))^(1+INDEX($Q505:$AJ505,1,(BH$4-1)*5+2))*(1+BH$7)^INDEX($Q505:$AJ505,1,(BH$4-1)*5+1)*(BH375/BG375)^INDEX($Q505:$AJ505,1,(BH$4-1)*5+2)*(BH375/BG375)^(INDEX($Q505:$AJ505,1,(BH$4-1)*5+3)*(1+INDEX($Q505:$AJ505,1,(BH$4-1)*5+2)))</f>
        <v/>
      </c>
      <c r="BI505" s="25">
        <f>BH505*(1/(1+INDEX($Q505:$AJ505,1,(BI$4-1)*5+4)))^(1+INDEX($Q505:$AJ505,1,(BI$4-1)*5+2))*(1+BI$7)^INDEX($Q505:$AJ505,1,(BI$4-1)*5+1)*(BI375/BH375)^INDEX($Q505:$AJ505,1,(BI$4-1)*5+2)*(BI375/BH375)^(INDEX($Q505:$AJ505,1,(BI$4-1)*5+3)*(1+INDEX($Q505:$AJ505,1,(BI$4-1)*5+2)))</f>
        <v/>
      </c>
      <c r="BJ505" s="25">
        <f>BI505*(1/(1+INDEX($Q505:$AJ505,1,(BJ$4-1)*5+4)))^(1+INDEX($Q505:$AJ505,1,(BJ$4-1)*5+2))*(1+BJ$7)^INDEX($Q505:$AJ505,1,(BJ$4-1)*5+1)*(BJ375/BI375)^INDEX($Q505:$AJ505,1,(BJ$4-1)*5+2)*(BJ375/BI375)^(INDEX($Q505:$AJ505,1,(BJ$4-1)*5+3)*(1+INDEX($Q505:$AJ505,1,(BJ$4-1)*5+2)))</f>
        <v/>
      </c>
      <c r="BK505" s="25">
        <f>BJ505*(1/(1+INDEX($Q505:$AJ505,1,(BK$4-1)*5+4)))^(1+INDEX($Q505:$AJ505,1,(BK$4-1)*5+2))*(1+BK$7)^INDEX($Q505:$AJ505,1,(BK$4-1)*5+1)*(BK375/BJ375)^INDEX($Q505:$AJ505,1,(BK$4-1)*5+2)*(BK375/BJ375)^(INDEX($Q505:$AJ505,1,(BK$4-1)*5+3)*(1+INDEX($Q505:$AJ505,1,(BK$4-1)*5+2)))</f>
        <v/>
      </c>
      <c r="BL505" s="25">
        <f>BK505*(1/(1+INDEX($Q505:$AJ505,1,(BL$4-1)*5+4)))^(1+INDEX($Q505:$AJ505,1,(BL$4-1)*5+2))*(1+BL$7)^INDEX($Q505:$AJ505,1,(BL$4-1)*5+1)*(BL375/BK375)^INDEX($Q505:$AJ505,1,(BL$4-1)*5+2)*(BL375/BK375)^(INDEX($Q505:$AJ505,1,(BL$4-1)*5+3)*(1+INDEX($Q505:$AJ505,1,(BL$4-1)*5+2)))</f>
        <v/>
      </c>
      <c r="BM505" s="25">
        <f>BL505*(1/(1+INDEX($Q505:$AJ505,1,(BM$4-1)*5+4)))^(1+INDEX($Q505:$AJ505,1,(BM$4-1)*5+2))*(1+BM$7)^INDEX($Q505:$AJ505,1,(BM$4-1)*5+1)*(BM375/BL375)^INDEX($Q505:$AJ505,1,(BM$4-1)*5+2)*(BM375/BL375)^(INDEX($Q505:$AJ505,1,(BM$4-1)*5+3)*(1+INDEX($Q505:$AJ505,1,(BM$4-1)*5+2)))</f>
        <v/>
      </c>
      <c r="BN505" s="25">
        <f>BM505*(1/(1+INDEX($Q505:$AJ505,1,(BN$4-1)*5+4)))^(1+INDEX($Q505:$AJ505,1,(BN$4-1)*5+2))*(1+BN$7)^INDEX($Q505:$AJ505,1,(BN$4-1)*5+1)*(BN375/BM375)^INDEX($Q505:$AJ505,1,(BN$4-1)*5+2)*(BN375/BM375)^(INDEX($Q505:$AJ505,1,(BN$4-1)*5+3)*(1+INDEX($Q505:$AJ505,1,(BN$4-1)*5+2)))</f>
        <v/>
      </c>
    </row>
    <row r="506">
      <c r="B506" s="5" t="inlineStr">
        <is>
          <t>nga</t>
        </is>
      </c>
      <c r="C506" s="5" t="inlineStr">
        <is>
          <t>cst</t>
        </is>
      </c>
      <c r="D506" s="5" t="inlineStr">
        <is>
          <t>Fuel use | Construction | Natural gas</t>
        </is>
      </c>
      <c r="E506" s="5" t="inlineStr">
        <is>
          <t>ktoe</t>
        </is>
      </c>
      <c r="F506" s="5" t="inlineStr">
        <is>
          <t>EnergyCons (base year), Elasticities</t>
        </is>
      </c>
      <c r="G506" s="19" t="inlineStr">
        <is>
          <t>mit.enc.nga.cst</t>
        </is>
      </c>
      <c r="H506" s="19" t="inlineStr">
        <is>
          <t>mit.enc.nga.cst</t>
        </is>
      </c>
      <c r="J506" s="5">
        <f>INDEX(Mapping!$C$5:$C$20,MATCH($C506,Mapping!$A$5:$A$20,0))</f>
        <v/>
      </c>
      <c r="K506" s="5">
        <f>INDEX(Mapping!$D$5:$D$20,MATCH($C506,Mapping!$A$5:$A$20,0))</f>
        <v/>
      </c>
      <c r="L506" s="5">
        <f>INDEX(Mapping!$C$24:$C$31,MATCH($B506,Mapping!$A$24:$A$31,0))</f>
        <v/>
      </c>
      <c r="M506" s="5">
        <f>INDEX(Mapping!$D$24:$D$31,MATCH($B506,Mapping!$A$24:$A$31,0))</f>
        <v/>
      </c>
      <c r="N506" s="5">
        <f>$B506&amp;"."&amp;IF(INDEX(Mapping!$E$24:$E$31,MATCH($B506,Mapping!$A$24:$A$31,0))="sub",INDEX(Mapping!$F$5:$F$20,MATCH($C506,Mapping!$A$5:$A$20,0)),"all")</f>
        <v/>
      </c>
      <c r="O506" s="5">
        <f>INDEX(Mapping!$E$5:$E$20,MATCH($C506,Mapping!$A$5:$A$20,0))</f>
        <v/>
      </c>
      <c r="P506" s="5">
        <f>INDEX(Mapping!$G$24:$G$31,MATCH($B506,Mapping!$A$24:$A$31,0))</f>
        <v/>
      </c>
      <c r="Q506" s="22">
        <f>INDEX(Elasticities!$F$4:$I$200,MATCH("inc|"&amp;$L506&amp;"|"&amp;$K506,Elasticities!$A$4:$A$200,0),MATCH(Settings!$C$6,Elasticities!$F$3:$I$3,0))</f>
        <v/>
      </c>
      <c r="R506" s="22">
        <f>INDEX(Elasticities!$F$4:$I$200,MATCH("usg|"&amp;$L506&amp;"|"&amp;$K506,Elasticities!$A$4:$A$200,0),MATCH(Settings!$C$6,Elasticities!$F$3:$I$3,0))</f>
        <v/>
      </c>
      <c r="S506" s="22">
        <f>INDEX(Elasticities!$F$4:$I$200,MATCH("eff|"&amp;$L506&amp;"|"&amp;$K506,Elasticities!$A$4:$A$200,0),MATCH(Settings!$C$6,Elasticities!$F$3:$I$3,0))</f>
        <v/>
      </c>
      <c r="T506" s="22">
        <f>INDEX(Elasticities!$F$4:$I$200,MATCH("aei|"&amp;$M506&amp;"|"&amp;$K506,Elasticities!$A$4:$A$200,0),MATCH(Settings!$C$6,Elasticities!$F$3:$I$3,0))</f>
        <v/>
      </c>
      <c r="U506" s="21" t="n"/>
      <c r="V506" s="22">
        <f>Q506</f>
        <v/>
      </c>
      <c r="W506" s="22">
        <f>R506</f>
        <v/>
      </c>
      <c r="X506" s="22">
        <f>S506</f>
        <v/>
      </c>
      <c r="Y506" s="22">
        <f>T506</f>
        <v/>
      </c>
      <c r="Z506" s="21" t="n"/>
      <c r="AA506" s="22">
        <f>Q506</f>
        <v/>
      </c>
      <c r="AB506" s="22">
        <f>R506</f>
        <v/>
      </c>
      <c r="AC506" s="22">
        <f>S506</f>
        <v/>
      </c>
      <c r="AD506" s="22">
        <f>T506</f>
        <v/>
      </c>
      <c r="AE506" s="21" t="n"/>
      <c r="AF506" s="22">
        <f>Q506</f>
        <v/>
      </c>
      <c r="AG506" s="22">
        <f>R506</f>
        <v/>
      </c>
      <c r="AH506" s="22">
        <f>S506</f>
        <v/>
      </c>
      <c r="AI506" s="22">
        <f>T506</f>
        <v/>
      </c>
      <c r="AJ506" s="21" t="n"/>
      <c r="AL506" s="24">
        <f>INDEX(EnergyCons!$F$4:$F$5000,MATCH(Settings!$C$4&amp;"|"&amp;AL$5&amp;"|"&amp;$C506&amp;"|"&amp;$B506,EnergyCons!$A$4:$A$5000,0))</f>
        <v/>
      </c>
      <c r="AM506" s="25">
        <f>AL506*(1/(1+INDEX($Q506:$AJ506,1,(AM$4-1)*5+4)))^(1+INDEX($Q506:$AJ506,1,(AM$4-1)*5+2))*(1+AM$7)^INDEX($Q506:$AJ506,1,(AM$4-1)*5+1)*(AM376/AL376)^INDEX($Q506:$AJ506,1,(AM$4-1)*5+2)*(AM376/AL376)^(INDEX($Q506:$AJ506,1,(AM$4-1)*5+3)*(1+INDEX($Q506:$AJ506,1,(AM$4-1)*5+2)))</f>
        <v/>
      </c>
      <c r="AN506" s="25">
        <f>AM506*(1/(1+INDEX($Q506:$AJ506,1,(AN$4-1)*5+4)))^(1+INDEX($Q506:$AJ506,1,(AN$4-1)*5+2))*(1+AN$7)^INDEX($Q506:$AJ506,1,(AN$4-1)*5+1)*(AN376/AM376)^INDEX($Q506:$AJ506,1,(AN$4-1)*5+2)*(AN376/AM376)^(INDEX($Q506:$AJ506,1,(AN$4-1)*5+3)*(1+INDEX($Q506:$AJ506,1,(AN$4-1)*5+2)))</f>
        <v/>
      </c>
      <c r="AO506" s="25">
        <f>AN506*(1/(1+INDEX($Q506:$AJ506,1,(AO$4-1)*5+4)))^(1+INDEX($Q506:$AJ506,1,(AO$4-1)*5+2))*(1+AO$7)^INDEX($Q506:$AJ506,1,(AO$4-1)*5+1)*(AO376/AN376)^INDEX($Q506:$AJ506,1,(AO$4-1)*5+2)*(AO376/AN376)^(INDEX($Q506:$AJ506,1,(AO$4-1)*5+3)*(1+INDEX($Q506:$AJ506,1,(AO$4-1)*5+2)))</f>
        <v/>
      </c>
      <c r="AP506" s="25">
        <f>AO506*(1/(1+INDEX($Q506:$AJ506,1,(AP$4-1)*5+4)))^(1+INDEX($Q506:$AJ506,1,(AP$4-1)*5+2))*(1+AP$7)^INDEX($Q506:$AJ506,1,(AP$4-1)*5+1)*(AP376/AO376)^INDEX($Q506:$AJ506,1,(AP$4-1)*5+2)*(AP376/AO376)^(INDEX($Q506:$AJ506,1,(AP$4-1)*5+3)*(1+INDEX($Q506:$AJ506,1,(AP$4-1)*5+2)))</f>
        <v/>
      </c>
      <c r="AQ506" s="25">
        <f>AP506*(1/(1+INDEX($Q506:$AJ506,1,(AQ$4-1)*5+4)))^(1+INDEX($Q506:$AJ506,1,(AQ$4-1)*5+2))*(1+AQ$7)^INDEX($Q506:$AJ506,1,(AQ$4-1)*5+1)*(AQ376/AP376)^INDEX($Q506:$AJ506,1,(AQ$4-1)*5+2)*(AQ376/AP376)^(INDEX($Q506:$AJ506,1,(AQ$4-1)*5+3)*(1+INDEX($Q506:$AJ506,1,(AQ$4-1)*5+2)))</f>
        <v/>
      </c>
      <c r="AR506" s="25">
        <f>AQ506*(1/(1+INDEX($Q506:$AJ506,1,(AR$4-1)*5+4)))^(1+INDEX($Q506:$AJ506,1,(AR$4-1)*5+2))*(1+AR$7)^INDEX($Q506:$AJ506,1,(AR$4-1)*5+1)*(AR376/AQ376)^INDEX($Q506:$AJ506,1,(AR$4-1)*5+2)*(AR376/AQ376)^(INDEX($Q506:$AJ506,1,(AR$4-1)*5+3)*(1+INDEX($Q506:$AJ506,1,(AR$4-1)*5+2)))</f>
        <v/>
      </c>
      <c r="AS506" s="25">
        <f>AR506*(1/(1+INDEX($Q506:$AJ506,1,(AS$4-1)*5+4)))^(1+INDEX($Q506:$AJ506,1,(AS$4-1)*5+2))*(1+AS$7)^INDEX($Q506:$AJ506,1,(AS$4-1)*5+1)*(AS376/AR376)^INDEX($Q506:$AJ506,1,(AS$4-1)*5+2)*(AS376/AR376)^(INDEX($Q506:$AJ506,1,(AS$4-1)*5+3)*(1+INDEX($Q506:$AJ506,1,(AS$4-1)*5+2)))</f>
        <v/>
      </c>
      <c r="AT506" s="25">
        <f>AS506*(1/(1+INDEX($Q506:$AJ506,1,(AT$4-1)*5+4)))^(1+INDEX($Q506:$AJ506,1,(AT$4-1)*5+2))*(1+AT$7)^INDEX($Q506:$AJ506,1,(AT$4-1)*5+1)*(AT376/AS376)^INDEX($Q506:$AJ506,1,(AT$4-1)*5+2)*(AT376/AS376)^(INDEX($Q506:$AJ506,1,(AT$4-1)*5+3)*(1+INDEX($Q506:$AJ506,1,(AT$4-1)*5+2)))</f>
        <v/>
      </c>
      <c r="AU506" s="25">
        <f>AT506*(1/(1+INDEX($Q506:$AJ506,1,(AU$4-1)*5+4)))^(1+INDEX($Q506:$AJ506,1,(AU$4-1)*5+2))*(1+AU$7)^INDEX($Q506:$AJ506,1,(AU$4-1)*5+1)*(AU376/AT376)^INDEX($Q506:$AJ506,1,(AU$4-1)*5+2)*(AU376/AT376)^(INDEX($Q506:$AJ506,1,(AU$4-1)*5+3)*(1+INDEX($Q506:$AJ506,1,(AU$4-1)*5+2)))</f>
        <v/>
      </c>
      <c r="AV506" s="25">
        <f>AU506*(1/(1+INDEX($Q506:$AJ506,1,(AV$4-1)*5+4)))^(1+INDEX($Q506:$AJ506,1,(AV$4-1)*5+2))*(1+AV$7)^INDEX($Q506:$AJ506,1,(AV$4-1)*5+1)*(AV376/AU376)^INDEX($Q506:$AJ506,1,(AV$4-1)*5+2)*(AV376/AU376)^(INDEX($Q506:$AJ506,1,(AV$4-1)*5+3)*(1+INDEX($Q506:$AJ506,1,(AV$4-1)*5+2)))</f>
        <v/>
      </c>
      <c r="AW506" s="25">
        <f>AV506*(1/(1+INDEX($Q506:$AJ506,1,(AW$4-1)*5+4)))^(1+INDEX($Q506:$AJ506,1,(AW$4-1)*5+2))*(1+AW$7)^INDEX($Q506:$AJ506,1,(AW$4-1)*5+1)*(AW376/AV376)^INDEX($Q506:$AJ506,1,(AW$4-1)*5+2)*(AW376/AV376)^(INDEX($Q506:$AJ506,1,(AW$4-1)*5+3)*(1+INDEX($Q506:$AJ506,1,(AW$4-1)*5+2)))</f>
        <v/>
      </c>
      <c r="AX506" s="25">
        <f>AW506*(1/(1+INDEX($Q506:$AJ506,1,(AX$4-1)*5+4)))^(1+INDEX($Q506:$AJ506,1,(AX$4-1)*5+2))*(1+AX$7)^INDEX($Q506:$AJ506,1,(AX$4-1)*5+1)*(AX376/AW376)^INDEX($Q506:$AJ506,1,(AX$4-1)*5+2)*(AX376/AW376)^(INDEX($Q506:$AJ506,1,(AX$4-1)*5+3)*(1+INDEX($Q506:$AJ506,1,(AX$4-1)*5+2)))</f>
        <v/>
      </c>
      <c r="AY506" s="25">
        <f>AX506*(1/(1+INDEX($Q506:$AJ506,1,(AY$4-1)*5+4)))^(1+INDEX($Q506:$AJ506,1,(AY$4-1)*5+2))*(1+AY$7)^INDEX($Q506:$AJ506,1,(AY$4-1)*5+1)*(AY376/AX376)^INDEX($Q506:$AJ506,1,(AY$4-1)*5+2)*(AY376/AX376)^(INDEX($Q506:$AJ506,1,(AY$4-1)*5+3)*(1+INDEX($Q506:$AJ506,1,(AY$4-1)*5+2)))</f>
        <v/>
      </c>
      <c r="BA506" s="24">
        <f>INDEX(EnergyCons!$F$4:$F$5000,MATCH(Settings!$C$4&amp;"|"&amp;BA$5&amp;"|"&amp;$C506&amp;"|"&amp;$B506,EnergyCons!$A$4:$A$5000,0))</f>
        <v/>
      </c>
      <c r="BB506" s="25">
        <f>BA506*(1/(1+INDEX($Q506:$AJ506,1,(BB$4-1)*5+4)))^(1+INDEX($Q506:$AJ506,1,(BB$4-1)*5+2))*(1+BB$7)^INDEX($Q506:$AJ506,1,(BB$4-1)*5+1)*(BB376/BA376)^INDEX($Q506:$AJ506,1,(BB$4-1)*5+2)*(BB376/BA376)^(INDEX($Q506:$AJ506,1,(BB$4-1)*5+3)*(1+INDEX($Q506:$AJ506,1,(BB$4-1)*5+2)))</f>
        <v/>
      </c>
      <c r="BC506" s="25">
        <f>BB506*(1/(1+INDEX($Q506:$AJ506,1,(BC$4-1)*5+4)))^(1+INDEX($Q506:$AJ506,1,(BC$4-1)*5+2))*(1+BC$7)^INDEX($Q506:$AJ506,1,(BC$4-1)*5+1)*(BC376/BB376)^INDEX($Q506:$AJ506,1,(BC$4-1)*5+2)*(BC376/BB376)^(INDEX($Q506:$AJ506,1,(BC$4-1)*5+3)*(1+INDEX($Q506:$AJ506,1,(BC$4-1)*5+2)))</f>
        <v/>
      </c>
      <c r="BD506" s="25">
        <f>BC506*(1/(1+INDEX($Q506:$AJ506,1,(BD$4-1)*5+4)))^(1+INDEX($Q506:$AJ506,1,(BD$4-1)*5+2))*(1+BD$7)^INDEX($Q506:$AJ506,1,(BD$4-1)*5+1)*(BD376/BC376)^INDEX($Q506:$AJ506,1,(BD$4-1)*5+2)*(BD376/BC376)^(INDEX($Q506:$AJ506,1,(BD$4-1)*5+3)*(1+INDEX($Q506:$AJ506,1,(BD$4-1)*5+2)))</f>
        <v/>
      </c>
      <c r="BE506" s="25">
        <f>BD506*(1/(1+INDEX($Q506:$AJ506,1,(BE$4-1)*5+4)))^(1+INDEX($Q506:$AJ506,1,(BE$4-1)*5+2))*(1+BE$7)^INDEX($Q506:$AJ506,1,(BE$4-1)*5+1)*(BE376/BD376)^INDEX($Q506:$AJ506,1,(BE$4-1)*5+2)*(BE376/BD376)^(INDEX($Q506:$AJ506,1,(BE$4-1)*5+3)*(1+INDEX($Q506:$AJ506,1,(BE$4-1)*5+2)))</f>
        <v/>
      </c>
      <c r="BF506" s="25">
        <f>BE506*(1/(1+INDEX($Q506:$AJ506,1,(BF$4-1)*5+4)))^(1+INDEX($Q506:$AJ506,1,(BF$4-1)*5+2))*(1+BF$7)^INDEX($Q506:$AJ506,1,(BF$4-1)*5+1)*(BF376/BE376)^INDEX($Q506:$AJ506,1,(BF$4-1)*5+2)*(BF376/BE376)^(INDEX($Q506:$AJ506,1,(BF$4-1)*5+3)*(1+INDEX($Q506:$AJ506,1,(BF$4-1)*5+2)))</f>
        <v/>
      </c>
      <c r="BG506" s="25">
        <f>BF506*(1/(1+INDEX($Q506:$AJ506,1,(BG$4-1)*5+4)))^(1+INDEX($Q506:$AJ506,1,(BG$4-1)*5+2))*(1+BG$7)^INDEX($Q506:$AJ506,1,(BG$4-1)*5+1)*(BG376/BF376)^INDEX($Q506:$AJ506,1,(BG$4-1)*5+2)*(BG376/BF376)^(INDEX($Q506:$AJ506,1,(BG$4-1)*5+3)*(1+INDEX($Q506:$AJ506,1,(BG$4-1)*5+2)))</f>
        <v/>
      </c>
      <c r="BH506" s="25">
        <f>BG506*(1/(1+INDEX($Q506:$AJ506,1,(BH$4-1)*5+4)))^(1+INDEX($Q506:$AJ506,1,(BH$4-1)*5+2))*(1+BH$7)^INDEX($Q506:$AJ506,1,(BH$4-1)*5+1)*(BH376/BG376)^INDEX($Q506:$AJ506,1,(BH$4-1)*5+2)*(BH376/BG376)^(INDEX($Q506:$AJ506,1,(BH$4-1)*5+3)*(1+INDEX($Q506:$AJ506,1,(BH$4-1)*5+2)))</f>
        <v/>
      </c>
      <c r="BI506" s="25">
        <f>BH506*(1/(1+INDEX($Q506:$AJ506,1,(BI$4-1)*5+4)))^(1+INDEX($Q506:$AJ506,1,(BI$4-1)*5+2))*(1+BI$7)^INDEX($Q506:$AJ506,1,(BI$4-1)*5+1)*(BI376/BH376)^INDEX($Q506:$AJ506,1,(BI$4-1)*5+2)*(BI376/BH376)^(INDEX($Q506:$AJ506,1,(BI$4-1)*5+3)*(1+INDEX($Q506:$AJ506,1,(BI$4-1)*5+2)))</f>
        <v/>
      </c>
      <c r="BJ506" s="25">
        <f>BI506*(1/(1+INDEX($Q506:$AJ506,1,(BJ$4-1)*5+4)))^(1+INDEX($Q506:$AJ506,1,(BJ$4-1)*5+2))*(1+BJ$7)^INDEX($Q506:$AJ506,1,(BJ$4-1)*5+1)*(BJ376/BI376)^INDEX($Q506:$AJ506,1,(BJ$4-1)*5+2)*(BJ376/BI376)^(INDEX($Q506:$AJ506,1,(BJ$4-1)*5+3)*(1+INDEX($Q506:$AJ506,1,(BJ$4-1)*5+2)))</f>
        <v/>
      </c>
      <c r="BK506" s="25">
        <f>BJ506*(1/(1+INDEX($Q506:$AJ506,1,(BK$4-1)*5+4)))^(1+INDEX($Q506:$AJ506,1,(BK$4-1)*5+2))*(1+BK$7)^INDEX($Q506:$AJ506,1,(BK$4-1)*5+1)*(BK376/BJ376)^INDEX($Q506:$AJ506,1,(BK$4-1)*5+2)*(BK376/BJ376)^(INDEX($Q506:$AJ506,1,(BK$4-1)*5+3)*(1+INDEX($Q506:$AJ506,1,(BK$4-1)*5+2)))</f>
        <v/>
      </c>
      <c r="BL506" s="25">
        <f>BK506*(1/(1+INDEX($Q506:$AJ506,1,(BL$4-1)*5+4)))^(1+INDEX($Q506:$AJ506,1,(BL$4-1)*5+2))*(1+BL$7)^INDEX($Q506:$AJ506,1,(BL$4-1)*5+1)*(BL376/BK376)^INDEX($Q506:$AJ506,1,(BL$4-1)*5+2)*(BL376/BK376)^(INDEX($Q506:$AJ506,1,(BL$4-1)*5+3)*(1+INDEX($Q506:$AJ506,1,(BL$4-1)*5+2)))</f>
        <v/>
      </c>
      <c r="BM506" s="25">
        <f>BL506*(1/(1+INDEX($Q506:$AJ506,1,(BM$4-1)*5+4)))^(1+INDEX($Q506:$AJ506,1,(BM$4-1)*5+2))*(1+BM$7)^INDEX($Q506:$AJ506,1,(BM$4-1)*5+1)*(BM376/BL376)^INDEX($Q506:$AJ506,1,(BM$4-1)*5+2)*(BM376/BL376)^(INDEX($Q506:$AJ506,1,(BM$4-1)*5+3)*(1+INDEX($Q506:$AJ506,1,(BM$4-1)*5+2)))</f>
        <v/>
      </c>
      <c r="BN506" s="25">
        <f>BM506*(1/(1+INDEX($Q506:$AJ506,1,(BN$4-1)*5+4)))^(1+INDEX($Q506:$AJ506,1,(BN$4-1)*5+2))*(1+BN$7)^INDEX($Q506:$AJ506,1,(BN$4-1)*5+1)*(BN376/BM376)^INDEX($Q506:$AJ506,1,(BN$4-1)*5+2)*(BN376/BM376)^(INDEX($Q506:$AJ506,1,(BN$4-1)*5+3)*(1+INDEX($Q506:$AJ506,1,(BN$4-1)*5+2)))</f>
        <v/>
      </c>
    </row>
    <row r="507">
      <c r="B507" s="5" t="inlineStr">
        <is>
          <t>gso</t>
        </is>
      </c>
      <c r="C507" s="5" t="inlineStr">
        <is>
          <t>cst</t>
        </is>
      </c>
      <c r="D507" s="5" t="inlineStr">
        <is>
          <t>Fuel use | Construction | Gasoline</t>
        </is>
      </c>
      <c r="E507" s="5" t="inlineStr">
        <is>
          <t>ktoe</t>
        </is>
      </c>
      <c r="F507" s="5" t="inlineStr">
        <is>
          <t>EnergyCons (base year), Elasticities</t>
        </is>
      </c>
      <c r="G507" s="19" t="inlineStr">
        <is>
          <t>mit.enc.gso.cst</t>
        </is>
      </c>
      <c r="H507" s="19" t="inlineStr">
        <is>
          <t>mit.enc.gso.cst</t>
        </is>
      </c>
      <c r="J507" s="5">
        <f>INDEX(Mapping!$C$5:$C$20,MATCH($C507,Mapping!$A$5:$A$20,0))</f>
        <v/>
      </c>
      <c r="K507" s="5">
        <f>INDEX(Mapping!$D$5:$D$20,MATCH($C507,Mapping!$A$5:$A$20,0))</f>
        <v/>
      </c>
      <c r="L507" s="5">
        <f>INDEX(Mapping!$C$24:$C$31,MATCH($B507,Mapping!$A$24:$A$31,0))</f>
        <v/>
      </c>
      <c r="M507" s="5">
        <f>INDEX(Mapping!$D$24:$D$31,MATCH($B507,Mapping!$A$24:$A$31,0))</f>
        <v/>
      </c>
      <c r="N507" s="5">
        <f>$B507&amp;"."&amp;IF(INDEX(Mapping!$E$24:$E$31,MATCH($B507,Mapping!$A$24:$A$31,0))="sub",INDEX(Mapping!$F$5:$F$20,MATCH($C507,Mapping!$A$5:$A$20,0)),"all")</f>
        <v/>
      </c>
      <c r="O507" s="5">
        <f>INDEX(Mapping!$E$5:$E$20,MATCH($C507,Mapping!$A$5:$A$20,0))</f>
        <v/>
      </c>
      <c r="P507" s="5">
        <f>INDEX(Mapping!$G$24:$G$31,MATCH($B507,Mapping!$A$24:$A$31,0))</f>
        <v/>
      </c>
      <c r="Q507" s="22">
        <f>INDEX(Elasticities!$F$4:$I$200,MATCH("inc|"&amp;$L507&amp;"|"&amp;$K507,Elasticities!$A$4:$A$200,0),MATCH(Settings!$C$6,Elasticities!$F$3:$I$3,0))</f>
        <v/>
      </c>
      <c r="R507" s="22">
        <f>INDEX(Elasticities!$F$4:$I$200,MATCH("usg|"&amp;$L507&amp;"|"&amp;$K507,Elasticities!$A$4:$A$200,0),MATCH(Settings!$C$6,Elasticities!$F$3:$I$3,0))</f>
        <v/>
      </c>
      <c r="S507" s="22">
        <f>INDEX(Elasticities!$F$4:$I$200,MATCH("eff|"&amp;$L507&amp;"|"&amp;$K507,Elasticities!$A$4:$A$200,0),MATCH(Settings!$C$6,Elasticities!$F$3:$I$3,0))</f>
        <v/>
      </c>
      <c r="T507" s="22">
        <f>INDEX(Elasticities!$F$4:$I$200,MATCH("aei|"&amp;$M507&amp;"|"&amp;$K507,Elasticities!$A$4:$A$200,0),MATCH(Settings!$C$6,Elasticities!$F$3:$I$3,0))</f>
        <v/>
      </c>
      <c r="U507" s="21" t="n"/>
      <c r="V507" s="22">
        <f>Q507</f>
        <v/>
      </c>
      <c r="W507" s="22">
        <f>R507</f>
        <v/>
      </c>
      <c r="X507" s="22">
        <f>S507</f>
        <v/>
      </c>
      <c r="Y507" s="22">
        <f>T507</f>
        <v/>
      </c>
      <c r="Z507" s="21" t="n"/>
      <c r="AA507" s="22">
        <f>Q507</f>
        <v/>
      </c>
      <c r="AB507" s="22">
        <f>R507</f>
        <v/>
      </c>
      <c r="AC507" s="22">
        <f>S507</f>
        <v/>
      </c>
      <c r="AD507" s="22">
        <f>T507</f>
        <v/>
      </c>
      <c r="AE507" s="21" t="n"/>
      <c r="AF507" s="22">
        <f>Q507</f>
        <v/>
      </c>
      <c r="AG507" s="22">
        <f>R507</f>
        <v/>
      </c>
      <c r="AH507" s="22">
        <f>S507</f>
        <v/>
      </c>
      <c r="AI507" s="22">
        <f>T507</f>
        <v/>
      </c>
      <c r="AJ507" s="21" t="n"/>
      <c r="AL507" s="24">
        <f>INDEX(EnergyCons!$F$4:$F$5000,MATCH(Settings!$C$4&amp;"|"&amp;AL$5&amp;"|"&amp;$C507&amp;"|"&amp;$B507,EnergyCons!$A$4:$A$5000,0))</f>
        <v/>
      </c>
      <c r="AM507" s="25">
        <f>AL507*(1/(1+INDEX($Q507:$AJ507,1,(AM$4-1)*5+4)))^(1+INDEX($Q507:$AJ507,1,(AM$4-1)*5+2))*(1+AM$7)^INDEX($Q507:$AJ507,1,(AM$4-1)*5+1)*(AM377/AL377)^INDEX($Q507:$AJ507,1,(AM$4-1)*5+2)*(AM377/AL377)^(INDEX($Q507:$AJ507,1,(AM$4-1)*5+3)*(1+INDEX($Q507:$AJ507,1,(AM$4-1)*5+2)))</f>
        <v/>
      </c>
      <c r="AN507" s="25">
        <f>AM507*(1/(1+INDEX($Q507:$AJ507,1,(AN$4-1)*5+4)))^(1+INDEX($Q507:$AJ507,1,(AN$4-1)*5+2))*(1+AN$7)^INDEX($Q507:$AJ507,1,(AN$4-1)*5+1)*(AN377/AM377)^INDEX($Q507:$AJ507,1,(AN$4-1)*5+2)*(AN377/AM377)^(INDEX($Q507:$AJ507,1,(AN$4-1)*5+3)*(1+INDEX($Q507:$AJ507,1,(AN$4-1)*5+2)))</f>
        <v/>
      </c>
      <c r="AO507" s="25">
        <f>AN507*(1/(1+INDEX($Q507:$AJ507,1,(AO$4-1)*5+4)))^(1+INDEX($Q507:$AJ507,1,(AO$4-1)*5+2))*(1+AO$7)^INDEX($Q507:$AJ507,1,(AO$4-1)*5+1)*(AO377/AN377)^INDEX($Q507:$AJ507,1,(AO$4-1)*5+2)*(AO377/AN377)^(INDEX($Q507:$AJ507,1,(AO$4-1)*5+3)*(1+INDEX($Q507:$AJ507,1,(AO$4-1)*5+2)))</f>
        <v/>
      </c>
      <c r="AP507" s="25">
        <f>AO507*(1/(1+INDEX($Q507:$AJ507,1,(AP$4-1)*5+4)))^(1+INDEX($Q507:$AJ507,1,(AP$4-1)*5+2))*(1+AP$7)^INDEX($Q507:$AJ507,1,(AP$4-1)*5+1)*(AP377/AO377)^INDEX($Q507:$AJ507,1,(AP$4-1)*5+2)*(AP377/AO377)^(INDEX($Q507:$AJ507,1,(AP$4-1)*5+3)*(1+INDEX($Q507:$AJ507,1,(AP$4-1)*5+2)))</f>
        <v/>
      </c>
      <c r="AQ507" s="25">
        <f>AP507*(1/(1+INDEX($Q507:$AJ507,1,(AQ$4-1)*5+4)))^(1+INDEX($Q507:$AJ507,1,(AQ$4-1)*5+2))*(1+AQ$7)^INDEX($Q507:$AJ507,1,(AQ$4-1)*5+1)*(AQ377/AP377)^INDEX($Q507:$AJ507,1,(AQ$4-1)*5+2)*(AQ377/AP377)^(INDEX($Q507:$AJ507,1,(AQ$4-1)*5+3)*(1+INDEX($Q507:$AJ507,1,(AQ$4-1)*5+2)))</f>
        <v/>
      </c>
      <c r="AR507" s="25">
        <f>AQ507*(1/(1+INDEX($Q507:$AJ507,1,(AR$4-1)*5+4)))^(1+INDEX($Q507:$AJ507,1,(AR$4-1)*5+2))*(1+AR$7)^INDEX($Q507:$AJ507,1,(AR$4-1)*5+1)*(AR377/AQ377)^INDEX($Q507:$AJ507,1,(AR$4-1)*5+2)*(AR377/AQ377)^(INDEX($Q507:$AJ507,1,(AR$4-1)*5+3)*(1+INDEX($Q507:$AJ507,1,(AR$4-1)*5+2)))</f>
        <v/>
      </c>
      <c r="AS507" s="25">
        <f>AR507*(1/(1+INDEX($Q507:$AJ507,1,(AS$4-1)*5+4)))^(1+INDEX($Q507:$AJ507,1,(AS$4-1)*5+2))*(1+AS$7)^INDEX($Q507:$AJ507,1,(AS$4-1)*5+1)*(AS377/AR377)^INDEX($Q507:$AJ507,1,(AS$4-1)*5+2)*(AS377/AR377)^(INDEX($Q507:$AJ507,1,(AS$4-1)*5+3)*(1+INDEX($Q507:$AJ507,1,(AS$4-1)*5+2)))</f>
        <v/>
      </c>
      <c r="AT507" s="25">
        <f>AS507*(1/(1+INDEX($Q507:$AJ507,1,(AT$4-1)*5+4)))^(1+INDEX($Q507:$AJ507,1,(AT$4-1)*5+2))*(1+AT$7)^INDEX($Q507:$AJ507,1,(AT$4-1)*5+1)*(AT377/AS377)^INDEX($Q507:$AJ507,1,(AT$4-1)*5+2)*(AT377/AS377)^(INDEX($Q507:$AJ507,1,(AT$4-1)*5+3)*(1+INDEX($Q507:$AJ507,1,(AT$4-1)*5+2)))</f>
        <v/>
      </c>
      <c r="AU507" s="25">
        <f>AT507*(1/(1+INDEX($Q507:$AJ507,1,(AU$4-1)*5+4)))^(1+INDEX($Q507:$AJ507,1,(AU$4-1)*5+2))*(1+AU$7)^INDEX($Q507:$AJ507,1,(AU$4-1)*5+1)*(AU377/AT377)^INDEX($Q507:$AJ507,1,(AU$4-1)*5+2)*(AU377/AT377)^(INDEX($Q507:$AJ507,1,(AU$4-1)*5+3)*(1+INDEX($Q507:$AJ507,1,(AU$4-1)*5+2)))</f>
        <v/>
      </c>
      <c r="AV507" s="25">
        <f>AU507*(1/(1+INDEX($Q507:$AJ507,1,(AV$4-1)*5+4)))^(1+INDEX($Q507:$AJ507,1,(AV$4-1)*5+2))*(1+AV$7)^INDEX($Q507:$AJ507,1,(AV$4-1)*5+1)*(AV377/AU377)^INDEX($Q507:$AJ507,1,(AV$4-1)*5+2)*(AV377/AU377)^(INDEX($Q507:$AJ507,1,(AV$4-1)*5+3)*(1+INDEX($Q507:$AJ507,1,(AV$4-1)*5+2)))</f>
        <v/>
      </c>
      <c r="AW507" s="25">
        <f>AV507*(1/(1+INDEX($Q507:$AJ507,1,(AW$4-1)*5+4)))^(1+INDEX($Q507:$AJ507,1,(AW$4-1)*5+2))*(1+AW$7)^INDEX($Q507:$AJ507,1,(AW$4-1)*5+1)*(AW377/AV377)^INDEX($Q507:$AJ507,1,(AW$4-1)*5+2)*(AW377/AV377)^(INDEX($Q507:$AJ507,1,(AW$4-1)*5+3)*(1+INDEX($Q507:$AJ507,1,(AW$4-1)*5+2)))</f>
        <v/>
      </c>
      <c r="AX507" s="25">
        <f>AW507*(1/(1+INDEX($Q507:$AJ507,1,(AX$4-1)*5+4)))^(1+INDEX($Q507:$AJ507,1,(AX$4-1)*5+2))*(1+AX$7)^INDEX($Q507:$AJ507,1,(AX$4-1)*5+1)*(AX377/AW377)^INDEX($Q507:$AJ507,1,(AX$4-1)*5+2)*(AX377/AW377)^(INDEX($Q507:$AJ507,1,(AX$4-1)*5+3)*(1+INDEX($Q507:$AJ507,1,(AX$4-1)*5+2)))</f>
        <v/>
      </c>
      <c r="AY507" s="25">
        <f>AX507*(1/(1+INDEX($Q507:$AJ507,1,(AY$4-1)*5+4)))^(1+INDEX($Q507:$AJ507,1,(AY$4-1)*5+2))*(1+AY$7)^INDEX($Q507:$AJ507,1,(AY$4-1)*5+1)*(AY377/AX377)^INDEX($Q507:$AJ507,1,(AY$4-1)*5+2)*(AY377/AX377)^(INDEX($Q507:$AJ507,1,(AY$4-1)*5+3)*(1+INDEX($Q507:$AJ507,1,(AY$4-1)*5+2)))</f>
        <v/>
      </c>
      <c r="BA507" s="24">
        <f>INDEX(EnergyCons!$F$4:$F$5000,MATCH(Settings!$C$4&amp;"|"&amp;BA$5&amp;"|"&amp;$C507&amp;"|"&amp;$B507,EnergyCons!$A$4:$A$5000,0))</f>
        <v/>
      </c>
      <c r="BB507" s="25">
        <f>BA507*(1/(1+INDEX($Q507:$AJ507,1,(BB$4-1)*5+4)))^(1+INDEX($Q507:$AJ507,1,(BB$4-1)*5+2))*(1+BB$7)^INDEX($Q507:$AJ507,1,(BB$4-1)*5+1)*(BB377/BA377)^INDEX($Q507:$AJ507,1,(BB$4-1)*5+2)*(BB377/BA377)^(INDEX($Q507:$AJ507,1,(BB$4-1)*5+3)*(1+INDEX($Q507:$AJ507,1,(BB$4-1)*5+2)))</f>
        <v/>
      </c>
      <c r="BC507" s="25">
        <f>BB507*(1/(1+INDEX($Q507:$AJ507,1,(BC$4-1)*5+4)))^(1+INDEX($Q507:$AJ507,1,(BC$4-1)*5+2))*(1+BC$7)^INDEX($Q507:$AJ507,1,(BC$4-1)*5+1)*(BC377/BB377)^INDEX($Q507:$AJ507,1,(BC$4-1)*5+2)*(BC377/BB377)^(INDEX($Q507:$AJ507,1,(BC$4-1)*5+3)*(1+INDEX($Q507:$AJ507,1,(BC$4-1)*5+2)))</f>
        <v/>
      </c>
      <c r="BD507" s="25">
        <f>BC507*(1/(1+INDEX($Q507:$AJ507,1,(BD$4-1)*5+4)))^(1+INDEX($Q507:$AJ507,1,(BD$4-1)*5+2))*(1+BD$7)^INDEX($Q507:$AJ507,1,(BD$4-1)*5+1)*(BD377/BC377)^INDEX($Q507:$AJ507,1,(BD$4-1)*5+2)*(BD377/BC377)^(INDEX($Q507:$AJ507,1,(BD$4-1)*5+3)*(1+INDEX($Q507:$AJ507,1,(BD$4-1)*5+2)))</f>
        <v/>
      </c>
      <c r="BE507" s="25">
        <f>BD507*(1/(1+INDEX($Q507:$AJ507,1,(BE$4-1)*5+4)))^(1+INDEX($Q507:$AJ507,1,(BE$4-1)*5+2))*(1+BE$7)^INDEX($Q507:$AJ507,1,(BE$4-1)*5+1)*(BE377/BD377)^INDEX($Q507:$AJ507,1,(BE$4-1)*5+2)*(BE377/BD377)^(INDEX($Q507:$AJ507,1,(BE$4-1)*5+3)*(1+INDEX($Q507:$AJ507,1,(BE$4-1)*5+2)))</f>
        <v/>
      </c>
      <c r="BF507" s="25">
        <f>BE507*(1/(1+INDEX($Q507:$AJ507,1,(BF$4-1)*5+4)))^(1+INDEX($Q507:$AJ507,1,(BF$4-1)*5+2))*(1+BF$7)^INDEX($Q507:$AJ507,1,(BF$4-1)*5+1)*(BF377/BE377)^INDEX($Q507:$AJ507,1,(BF$4-1)*5+2)*(BF377/BE377)^(INDEX($Q507:$AJ507,1,(BF$4-1)*5+3)*(1+INDEX($Q507:$AJ507,1,(BF$4-1)*5+2)))</f>
        <v/>
      </c>
      <c r="BG507" s="25">
        <f>BF507*(1/(1+INDEX($Q507:$AJ507,1,(BG$4-1)*5+4)))^(1+INDEX($Q507:$AJ507,1,(BG$4-1)*5+2))*(1+BG$7)^INDEX($Q507:$AJ507,1,(BG$4-1)*5+1)*(BG377/BF377)^INDEX($Q507:$AJ507,1,(BG$4-1)*5+2)*(BG377/BF377)^(INDEX($Q507:$AJ507,1,(BG$4-1)*5+3)*(1+INDEX($Q507:$AJ507,1,(BG$4-1)*5+2)))</f>
        <v/>
      </c>
      <c r="BH507" s="25">
        <f>BG507*(1/(1+INDEX($Q507:$AJ507,1,(BH$4-1)*5+4)))^(1+INDEX($Q507:$AJ507,1,(BH$4-1)*5+2))*(1+BH$7)^INDEX($Q507:$AJ507,1,(BH$4-1)*5+1)*(BH377/BG377)^INDEX($Q507:$AJ507,1,(BH$4-1)*5+2)*(BH377/BG377)^(INDEX($Q507:$AJ507,1,(BH$4-1)*5+3)*(1+INDEX($Q507:$AJ507,1,(BH$4-1)*5+2)))</f>
        <v/>
      </c>
      <c r="BI507" s="25">
        <f>BH507*(1/(1+INDEX($Q507:$AJ507,1,(BI$4-1)*5+4)))^(1+INDEX($Q507:$AJ507,1,(BI$4-1)*5+2))*(1+BI$7)^INDEX($Q507:$AJ507,1,(BI$4-1)*5+1)*(BI377/BH377)^INDEX($Q507:$AJ507,1,(BI$4-1)*5+2)*(BI377/BH377)^(INDEX($Q507:$AJ507,1,(BI$4-1)*5+3)*(1+INDEX($Q507:$AJ507,1,(BI$4-1)*5+2)))</f>
        <v/>
      </c>
      <c r="BJ507" s="25">
        <f>BI507*(1/(1+INDEX($Q507:$AJ507,1,(BJ$4-1)*5+4)))^(1+INDEX($Q507:$AJ507,1,(BJ$4-1)*5+2))*(1+BJ$7)^INDEX($Q507:$AJ507,1,(BJ$4-1)*5+1)*(BJ377/BI377)^INDEX($Q507:$AJ507,1,(BJ$4-1)*5+2)*(BJ377/BI377)^(INDEX($Q507:$AJ507,1,(BJ$4-1)*5+3)*(1+INDEX($Q507:$AJ507,1,(BJ$4-1)*5+2)))</f>
        <v/>
      </c>
      <c r="BK507" s="25">
        <f>BJ507*(1/(1+INDEX($Q507:$AJ507,1,(BK$4-1)*5+4)))^(1+INDEX($Q507:$AJ507,1,(BK$4-1)*5+2))*(1+BK$7)^INDEX($Q507:$AJ507,1,(BK$4-1)*5+1)*(BK377/BJ377)^INDEX($Q507:$AJ507,1,(BK$4-1)*5+2)*(BK377/BJ377)^(INDEX($Q507:$AJ507,1,(BK$4-1)*5+3)*(1+INDEX($Q507:$AJ507,1,(BK$4-1)*5+2)))</f>
        <v/>
      </c>
      <c r="BL507" s="25">
        <f>BK507*(1/(1+INDEX($Q507:$AJ507,1,(BL$4-1)*5+4)))^(1+INDEX($Q507:$AJ507,1,(BL$4-1)*5+2))*(1+BL$7)^INDEX($Q507:$AJ507,1,(BL$4-1)*5+1)*(BL377/BK377)^INDEX($Q507:$AJ507,1,(BL$4-1)*5+2)*(BL377/BK377)^(INDEX($Q507:$AJ507,1,(BL$4-1)*5+3)*(1+INDEX($Q507:$AJ507,1,(BL$4-1)*5+2)))</f>
        <v/>
      </c>
      <c r="BM507" s="25">
        <f>BL507*(1/(1+INDEX($Q507:$AJ507,1,(BM$4-1)*5+4)))^(1+INDEX($Q507:$AJ507,1,(BM$4-1)*5+2))*(1+BM$7)^INDEX($Q507:$AJ507,1,(BM$4-1)*5+1)*(BM377/BL377)^INDEX($Q507:$AJ507,1,(BM$4-1)*5+2)*(BM377/BL377)^(INDEX($Q507:$AJ507,1,(BM$4-1)*5+3)*(1+INDEX($Q507:$AJ507,1,(BM$4-1)*5+2)))</f>
        <v/>
      </c>
      <c r="BN507" s="25">
        <f>BM507*(1/(1+INDEX($Q507:$AJ507,1,(BN$4-1)*5+4)))^(1+INDEX($Q507:$AJ507,1,(BN$4-1)*5+2))*(1+BN$7)^INDEX($Q507:$AJ507,1,(BN$4-1)*5+1)*(BN377/BM377)^INDEX($Q507:$AJ507,1,(BN$4-1)*5+2)*(BN377/BM377)^(INDEX($Q507:$AJ507,1,(BN$4-1)*5+3)*(1+INDEX($Q507:$AJ507,1,(BN$4-1)*5+2)))</f>
        <v/>
      </c>
    </row>
    <row r="508">
      <c r="B508" s="5" t="inlineStr">
        <is>
          <t>die</t>
        </is>
      </c>
      <c r="C508" s="5" t="inlineStr">
        <is>
          <t>cst</t>
        </is>
      </c>
      <c r="D508" s="5" t="inlineStr">
        <is>
          <t>Fuel use | Construction | Diesel</t>
        </is>
      </c>
      <c r="E508" s="5" t="inlineStr">
        <is>
          <t>ktoe</t>
        </is>
      </c>
      <c r="F508" s="5" t="inlineStr">
        <is>
          <t>EnergyCons (base year), Elasticities</t>
        </is>
      </c>
      <c r="G508" s="19" t="inlineStr">
        <is>
          <t>mit.enc.die.cst</t>
        </is>
      </c>
      <c r="H508" s="19" t="inlineStr">
        <is>
          <t>mit.enc.die.cst</t>
        </is>
      </c>
      <c r="J508" s="5">
        <f>INDEX(Mapping!$C$5:$C$20,MATCH($C508,Mapping!$A$5:$A$20,0))</f>
        <v/>
      </c>
      <c r="K508" s="5">
        <f>INDEX(Mapping!$D$5:$D$20,MATCH($C508,Mapping!$A$5:$A$20,0))</f>
        <v/>
      </c>
      <c r="L508" s="5">
        <f>INDEX(Mapping!$C$24:$C$31,MATCH($B508,Mapping!$A$24:$A$31,0))</f>
        <v/>
      </c>
      <c r="M508" s="5">
        <f>INDEX(Mapping!$D$24:$D$31,MATCH($B508,Mapping!$A$24:$A$31,0))</f>
        <v/>
      </c>
      <c r="N508" s="5">
        <f>$B508&amp;"."&amp;IF(INDEX(Mapping!$E$24:$E$31,MATCH($B508,Mapping!$A$24:$A$31,0))="sub",INDEX(Mapping!$F$5:$F$20,MATCH($C508,Mapping!$A$5:$A$20,0)),"all")</f>
        <v/>
      </c>
      <c r="O508" s="5">
        <f>INDEX(Mapping!$E$5:$E$20,MATCH($C508,Mapping!$A$5:$A$20,0))</f>
        <v/>
      </c>
      <c r="P508" s="5">
        <f>INDEX(Mapping!$G$24:$G$31,MATCH($B508,Mapping!$A$24:$A$31,0))</f>
        <v/>
      </c>
      <c r="Q508" s="22">
        <f>INDEX(Elasticities!$F$4:$I$200,MATCH("inc|"&amp;$L508&amp;"|"&amp;$K508,Elasticities!$A$4:$A$200,0),MATCH(Settings!$C$6,Elasticities!$F$3:$I$3,0))</f>
        <v/>
      </c>
      <c r="R508" s="22">
        <f>INDEX(Elasticities!$F$4:$I$200,MATCH("usg|"&amp;$L508&amp;"|"&amp;$K508,Elasticities!$A$4:$A$200,0),MATCH(Settings!$C$6,Elasticities!$F$3:$I$3,0))</f>
        <v/>
      </c>
      <c r="S508" s="22">
        <f>INDEX(Elasticities!$F$4:$I$200,MATCH("eff|"&amp;$L508&amp;"|"&amp;$K508,Elasticities!$A$4:$A$200,0),MATCH(Settings!$C$6,Elasticities!$F$3:$I$3,0))</f>
        <v/>
      </c>
      <c r="T508" s="22">
        <f>INDEX(Elasticities!$F$4:$I$200,MATCH("aei|"&amp;$M508&amp;"|"&amp;$K508,Elasticities!$A$4:$A$200,0),MATCH(Settings!$C$6,Elasticities!$F$3:$I$3,0))</f>
        <v/>
      </c>
      <c r="U508" s="21" t="n"/>
      <c r="V508" s="22">
        <f>Q508</f>
        <v/>
      </c>
      <c r="W508" s="22">
        <f>R508</f>
        <v/>
      </c>
      <c r="X508" s="22">
        <f>S508</f>
        <v/>
      </c>
      <c r="Y508" s="22">
        <f>T508</f>
        <v/>
      </c>
      <c r="Z508" s="21" t="n"/>
      <c r="AA508" s="22">
        <f>Q508</f>
        <v/>
      </c>
      <c r="AB508" s="22">
        <f>R508</f>
        <v/>
      </c>
      <c r="AC508" s="22">
        <f>S508</f>
        <v/>
      </c>
      <c r="AD508" s="22">
        <f>T508</f>
        <v/>
      </c>
      <c r="AE508" s="21" t="n"/>
      <c r="AF508" s="22">
        <f>Q508</f>
        <v/>
      </c>
      <c r="AG508" s="22">
        <f>R508</f>
        <v/>
      </c>
      <c r="AH508" s="22">
        <f>S508</f>
        <v/>
      </c>
      <c r="AI508" s="22">
        <f>T508</f>
        <v/>
      </c>
      <c r="AJ508" s="21" t="n"/>
      <c r="AL508" s="24">
        <f>INDEX(EnergyCons!$F$4:$F$5000,MATCH(Settings!$C$4&amp;"|"&amp;AL$5&amp;"|"&amp;$C508&amp;"|"&amp;$B508,EnergyCons!$A$4:$A$5000,0))</f>
        <v/>
      </c>
      <c r="AM508" s="25">
        <f>AL508*(1/(1+INDEX($Q508:$AJ508,1,(AM$4-1)*5+4)))^(1+INDEX($Q508:$AJ508,1,(AM$4-1)*5+2))*(1+AM$7)^INDEX($Q508:$AJ508,1,(AM$4-1)*5+1)*(AM378/AL378)^INDEX($Q508:$AJ508,1,(AM$4-1)*5+2)*(AM378/AL378)^(INDEX($Q508:$AJ508,1,(AM$4-1)*5+3)*(1+INDEX($Q508:$AJ508,1,(AM$4-1)*5+2)))</f>
        <v/>
      </c>
      <c r="AN508" s="25">
        <f>AM508*(1/(1+INDEX($Q508:$AJ508,1,(AN$4-1)*5+4)))^(1+INDEX($Q508:$AJ508,1,(AN$4-1)*5+2))*(1+AN$7)^INDEX($Q508:$AJ508,1,(AN$4-1)*5+1)*(AN378/AM378)^INDEX($Q508:$AJ508,1,(AN$4-1)*5+2)*(AN378/AM378)^(INDEX($Q508:$AJ508,1,(AN$4-1)*5+3)*(1+INDEX($Q508:$AJ508,1,(AN$4-1)*5+2)))</f>
        <v/>
      </c>
      <c r="AO508" s="25">
        <f>AN508*(1/(1+INDEX($Q508:$AJ508,1,(AO$4-1)*5+4)))^(1+INDEX($Q508:$AJ508,1,(AO$4-1)*5+2))*(1+AO$7)^INDEX($Q508:$AJ508,1,(AO$4-1)*5+1)*(AO378/AN378)^INDEX($Q508:$AJ508,1,(AO$4-1)*5+2)*(AO378/AN378)^(INDEX($Q508:$AJ508,1,(AO$4-1)*5+3)*(1+INDEX($Q508:$AJ508,1,(AO$4-1)*5+2)))</f>
        <v/>
      </c>
      <c r="AP508" s="25">
        <f>AO508*(1/(1+INDEX($Q508:$AJ508,1,(AP$4-1)*5+4)))^(1+INDEX($Q508:$AJ508,1,(AP$4-1)*5+2))*(1+AP$7)^INDEX($Q508:$AJ508,1,(AP$4-1)*5+1)*(AP378/AO378)^INDEX($Q508:$AJ508,1,(AP$4-1)*5+2)*(AP378/AO378)^(INDEX($Q508:$AJ508,1,(AP$4-1)*5+3)*(1+INDEX($Q508:$AJ508,1,(AP$4-1)*5+2)))</f>
        <v/>
      </c>
      <c r="AQ508" s="25">
        <f>AP508*(1/(1+INDEX($Q508:$AJ508,1,(AQ$4-1)*5+4)))^(1+INDEX($Q508:$AJ508,1,(AQ$4-1)*5+2))*(1+AQ$7)^INDEX($Q508:$AJ508,1,(AQ$4-1)*5+1)*(AQ378/AP378)^INDEX($Q508:$AJ508,1,(AQ$4-1)*5+2)*(AQ378/AP378)^(INDEX($Q508:$AJ508,1,(AQ$4-1)*5+3)*(1+INDEX($Q508:$AJ508,1,(AQ$4-1)*5+2)))</f>
        <v/>
      </c>
      <c r="AR508" s="25">
        <f>AQ508*(1/(1+INDEX($Q508:$AJ508,1,(AR$4-1)*5+4)))^(1+INDEX($Q508:$AJ508,1,(AR$4-1)*5+2))*(1+AR$7)^INDEX($Q508:$AJ508,1,(AR$4-1)*5+1)*(AR378/AQ378)^INDEX($Q508:$AJ508,1,(AR$4-1)*5+2)*(AR378/AQ378)^(INDEX($Q508:$AJ508,1,(AR$4-1)*5+3)*(1+INDEX($Q508:$AJ508,1,(AR$4-1)*5+2)))</f>
        <v/>
      </c>
      <c r="AS508" s="25">
        <f>AR508*(1/(1+INDEX($Q508:$AJ508,1,(AS$4-1)*5+4)))^(1+INDEX($Q508:$AJ508,1,(AS$4-1)*5+2))*(1+AS$7)^INDEX($Q508:$AJ508,1,(AS$4-1)*5+1)*(AS378/AR378)^INDEX($Q508:$AJ508,1,(AS$4-1)*5+2)*(AS378/AR378)^(INDEX($Q508:$AJ508,1,(AS$4-1)*5+3)*(1+INDEX($Q508:$AJ508,1,(AS$4-1)*5+2)))</f>
        <v/>
      </c>
      <c r="AT508" s="25">
        <f>AS508*(1/(1+INDEX($Q508:$AJ508,1,(AT$4-1)*5+4)))^(1+INDEX($Q508:$AJ508,1,(AT$4-1)*5+2))*(1+AT$7)^INDEX($Q508:$AJ508,1,(AT$4-1)*5+1)*(AT378/AS378)^INDEX($Q508:$AJ508,1,(AT$4-1)*5+2)*(AT378/AS378)^(INDEX($Q508:$AJ508,1,(AT$4-1)*5+3)*(1+INDEX($Q508:$AJ508,1,(AT$4-1)*5+2)))</f>
        <v/>
      </c>
      <c r="AU508" s="25">
        <f>AT508*(1/(1+INDEX($Q508:$AJ508,1,(AU$4-1)*5+4)))^(1+INDEX($Q508:$AJ508,1,(AU$4-1)*5+2))*(1+AU$7)^INDEX($Q508:$AJ508,1,(AU$4-1)*5+1)*(AU378/AT378)^INDEX($Q508:$AJ508,1,(AU$4-1)*5+2)*(AU378/AT378)^(INDEX($Q508:$AJ508,1,(AU$4-1)*5+3)*(1+INDEX($Q508:$AJ508,1,(AU$4-1)*5+2)))</f>
        <v/>
      </c>
      <c r="AV508" s="25">
        <f>AU508*(1/(1+INDEX($Q508:$AJ508,1,(AV$4-1)*5+4)))^(1+INDEX($Q508:$AJ508,1,(AV$4-1)*5+2))*(1+AV$7)^INDEX($Q508:$AJ508,1,(AV$4-1)*5+1)*(AV378/AU378)^INDEX($Q508:$AJ508,1,(AV$4-1)*5+2)*(AV378/AU378)^(INDEX($Q508:$AJ508,1,(AV$4-1)*5+3)*(1+INDEX($Q508:$AJ508,1,(AV$4-1)*5+2)))</f>
        <v/>
      </c>
      <c r="AW508" s="25">
        <f>AV508*(1/(1+INDEX($Q508:$AJ508,1,(AW$4-1)*5+4)))^(1+INDEX($Q508:$AJ508,1,(AW$4-1)*5+2))*(1+AW$7)^INDEX($Q508:$AJ508,1,(AW$4-1)*5+1)*(AW378/AV378)^INDEX($Q508:$AJ508,1,(AW$4-1)*5+2)*(AW378/AV378)^(INDEX($Q508:$AJ508,1,(AW$4-1)*5+3)*(1+INDEX($Q508:$AJ508,1,(AW$4-1)*5+2)))</f>
        <v/>
      </c>
      <c r="AX508" s="25">
        <f>AW508*(1/(1+INDEX($Q508:$AJ508,1,(AX$4-1)*5+4)))^(1+INDEX($Q508:$AJ508,1,(AX$4-1)*5+2))*(1+AX$7)^INDEX($Q508:$AJ508,1,(AX$4-1)*5+1)*(AX378/AW378)^INDEX($Q508:$AJ508,1,(AX$4-1)*5+2)*(AX378/AW378)^(INDEX($Q508:$AJ508,1,(AX$4-1)*5+3)*(1+INDEX($Q508:$AJ508,1,(AX$4-1)*5+2)))</f>
        <v/>
      </c>
      <c r="AY508" s="25">
        <f>AX508*(1/(1+INDEX($Q508:$AJ508,1,(AY$4-1)*5+4)))^(1+INDEX($Q508:$AJ508,1,(AY$4-1)*5+2))*(1+AY$7)^INDEX($Q508:$AJ508,1,(AY$4-1)*5+1)*(AY378/AX378)^INDEX($Q508:$AJ508,1,(AY$4-1)*5+2)*(AY378/AX378)^(INDEX($Q508:$AJ508,1,(AY$4-1)*5+3)*(1+INDEX($Q508:$AJ508,1,(AY$4-1)*5+2)))</f>
        <v/>
      </c>
      <c r="BA508" s="24">
        <f>INDEX(EnergyCons!$F$4:$F$5000,MATCH(Settings!$C$4&amp;"|"&amp;BA$5&amp;"|"&amp;$C508&amp;"|"&amp;$B508,EnergyCons!$A$4:$A$5000,0))</f>
        <v/>
      </c>
      <c r="BB508" s="25">
        <f>BA508*(1/(1+INDEX($Q508:$AJ508,1,(BB$4-1)*5+4)))^(1+INDEX($Q508:$AJ508,1,(BB$4-1)*5+2))*(1+BB$7)^INDEX($Q508:$AJ508,1,(BB$4-1)*5+1)*(BB378/BA378)^INDEX($Q508:$AJ508,1,(BB$4-1)*5+2)*(BB378/BA378)^(INDEX($Q508:$AJ508,1,(BB$4-1)*5+3)*(1+INDEX($Q508:$AJ508,1,(BB$4-1)*5+2)))</f>
        <v/>
      </c>
      <c r="BC508" s="25">
        <f>BB508*(1/(1+INDEX($Q508:$AJ508,1,(BC$4-1)*5+4)))^(1+INDEX($Q508:$AJ508,1,(BC$4-1)*5+2))*(1+BC$7)^INDEX($Q508:$AJ508,1,(BC$4-1)*5+1)*(BC378/BB378)^INDEX($Q508:$AJ508,1,(BC$4-1)*5+2)*(BC378/BB378)^(INDEX($Q508:$AJ508,1,(BC$4-1)*5+3)*(1+INDEX($Q508:$AJ508,1,(BC$4-1)*5+2)))</f>
        <v/>
      </c>
      <c r="BD508" s="25">
        <f>BC508*(1/(1+INDEX($Q508:$AJ508,1,(BD$4-1)*5+4)))^(1+INDEX($Q508:$AJ508,1,(BD$4-1)*5+2))*(1+BD$7)^INDEX($Q508:$AJ508,1,(BD$4-1)*5+1)*(BD378/BC378)^INDEX($Q508:$AJ508,1,(BD$4-1)*5+2)*(BD378/BC378)^(INDEX($Q508:$AJ508,1,(BD$4-1)*5+3)*(1+INDEX($Q508:$AJ508,1,(BD$4-1)*5+2)))</f>
        <v/>
      </c>
      <c r="BE508" s="25">
        <f>BD508*(1/(1+INDEX($Q508:$AJ508,1,(BE$4-1)*5+4)))^(1+INDEX($Q508:$AJ508,1,(BE$4-1)*5+2))*(1+BE$7)^INDEX($Q508:$AJ508,1,(BE$4-1)*5+1)*(BE378/BD378)^INDEX($Q508:$AJ508,1,(BE$4-1)*5+2)*(BE378/BD378)^(INDEX($Q508:$AJ508,1,(BE$4-1)*5+3)*(1+INDEX($Q508:$AJ508,1,(BE$4-1)*5+2)))</f>
        <v/>
      </c>
      <c r="BF508" s="25">
        <f>BE508*(1/(1+INDEX($Q508:$AJ508,1,(BF$4-1)*5+4)))^(1+INDEX($Q508:$AJ508,1,(BF$4-1)*5+2))*(1+BF$7)^INDEX($Q508:$AJ508,1,(BF$4-1)*5+1)*(BF378/BE378)^INDEX($Q508:$AJ508,1,(BF$4-1)*5+2)*(BF378/BE378)^(INDEX($Q508:$AJ508,1,(BF$4-1)*5+3)*(1+INDEX($Q508:$AJ508,1,(BF$4-1)*5+2)))</f>
        <v/>
      </c>
      <c r="BG508" s="25">
        <f>BF508*(1/(1+INDEX($Q508:$AJ508,1,(BG$4-1)*5+4)))^(1+INDEX($Q508:$AJ508,1,(BG$4-1)*5+2))*(1+BG$7)^INDEX($Q508:$AJ508,1,(BG$4-1)*5+1)*(BG378/BF378)^INDEX($Q508:$AJ508,1,(BG$4-1)*5+2)*(BG378/BF378)^(INDEX($Q508:$AJ508,1,(BG$4-1)*5+3)*(1+INDEX($Q508:$AJ508,1,(BG$4-1)*5+2)))</f>
        <v/>
      </c>
      <c r="BH508" s="25">
        <f>BG508*(1/(1+INDEX($Q508:$AJ508,1,(BH$4-1)*5+4)))^(1+INDEX($Q508:$AJ508,1,(BH$4-1)*5+2))*(1+BH$7)^INDEX($Q508:$AJ508,1,(BH$4-1)*5+1)*(BH378/BG378)^INDEX($Q508:$AJ508,1,(BH$4-1)*5+2)*(BH378/BG378)^(INDEX($Q508:$AJ508,1,(BH$4-1)*5+3)*(1+INDEX($Q508:$AJ508,1,(BH$4-1)*5+2)))</f>
        <v/>
      </c>
      <c r="BI508" s="25">
        <f>BH508*(1/(1+INDEX($Q508:$AJ508,1,(BI$4-1)*5+4)))^(1+INDEX($Q508:$AJ508,1,(BI$4-1)*5+2))*(1+BI$7)^INDEX($Q508:$AJ508,1,(BI$4-1)*5+1)*(BI378/BH378)^INDEX($Q508:$AJ508,1,(BI$4-1)*5+2)*(BI378/BH378)^(INDEX($Q508:$AJ508,1,(BI$4-1)*5+3)*(1+INDEX($Q508:$AJ508,1,(BI$4-1)*5+2)))</f>
        <v/>
      </c>
      <c r="BJ508" s="25">
        <f>BI508*(1/(1+INDEX($Q508:$AJ508,1,(BJ$4-1)*5+4)))^(1+INDEX($Q508:$AJ508,1,(BJ$4-1)*5+2))*(1+BJ$7)^INDEX($Q508:$AJ508,1,(BJ$4-1)*5+1)*(BJ378/BI378)^INDEX($Q508:$AJ508,1,(BJ$4-1)*5+2)*(BJ378/BI378)^(INDEX($Q508:$AJ508,1,(BJ$4-1)*5+3)*(1+INDEX($Q508:$AJ508,1,(BJ$4-1)*5+2)))</f>
        <v/>
      </c>
      <c r="BK508" s="25">
        <f>BJ508*(1/(1+INDEX($Q508:$AJ508,1,(BK$4-1)*5+4)))^(1+INDEX($Q508:$AJ508,1,(BK$4-1)*5+2))*(1+BK$7)^INDEX($Q508:$AJ508,1,(BK$4-1)*5+1)*(BK378/BJ378)^INDEX($Q508:$AJ508,1,(BK$4-1)*5+2)*(BK378/BJ378)^(INDEX($Q508:$AJ508,1,(BK$4-1)*5+3)*(1+INDEX($Q508:$AJ508,1,(BK$4-1)*5+2)))</f>
        <v/>
      </c>
      <c r="BL508" s="25">
        <f>BK508*(1/(1+INDEX($Q508:$AJ508,1,(BL$4-1)*5+4)))^(1+INDEX($Q508:$AJ508,1,(BL$4-1)*5+2))*(1+BL$7)^INDEX($Q508:$AJ508,1,(BL$4-1)*5+1)*(BL378/BK378)^INDEX($Q508:$AJ508,1,(BL$4-1)*5+2)*(BL378/BK378)^(INDEX($Q508:$AJ508,1,(BL$4-1)*5+3)*(1+INDEX($Q508:$AJ508,1,(BL$4-1)*5+2)))</f>
        <v/>
      </c>
      <c r="BM508" s="25">
        <f>BL508*(1/(1+INDEX($Q508:$AJ508,1,(BM$4-1)*5+4)))^(1+INDEX($Q508:$AJ508,1,(BM$4-1)*5+2))*(1+BM$7)^INDEX($Q508:$AJ508,1,(BM$4-1)*5+1)*(BM378/BL378)^INDEX($Q508:$AJ508,1,(BM$4-1)*5+2)*(BM378/BL378)^(INDEX($Q508:$AJ508,1,(BM$4-1)*5+3)*(1+INDEX($Q508:$AJ508,1,(BM$4-1)*5+2)))</f>
        <v/>
      </c>
      <c r="BN508" s="25">
        <f>BM508*(1/(1+INDEX($Q508:$AJ508,1,(BN$4-1)*5+4)))^(1+INDEX($Q508:$AJ508,1,(BN$4-1)*5+2))*(1+BN$7)^INDEX($Q508:$AJ508,1,(BN$4-1)*5+1)*(BN378/BM378)^INDEX($Q508:$AJ508,1,(BN$4-1)*5+2)*(BN378/BM378)^(INDEX($Q508:$AJ508,1,(BN$4-1)*5+3)*(1+INDEX($Q508:$AJ508,1,(BN$4-1)*5+2)))</f>
        <v/>
      </c>
    </row>
    <row r="509">
      <c r="B509" s="5" t="inlineStr">
        <is>
          <t>lpg</t>
        </is>
      </c>
      <c r="C509" s="5" t="inlineStr">
        <is>
          <t>cst</t>
        </is>
      </c>
      <c r="D509" s="5" t="inlineStr">
        <is>
          <t>Fuel use | Construction | LPG</t>
        </is>
      </c>
      <c r="E509" s="5" t="inlineStr">
        <is>
          <t>ktoe</t>
        </is>
      </c>
      <c r="F509" s="5" t="inlineStr">
        <is>
          <t>EnergyCons (base year), Elasticities</t>
        </is>
      </c>
      <c r="G509" s="19" t="inlineStr">
        <is>
          <t>mit.enc.lpg.cst</t>
        </is>
      </c>
      <c r="H509" s="19" t="inlineStr">
        <is>
          <t>mit.enc.lpg.cst</t>
        </is>
      </c>
      <c r="J509" s="5">
        <f>INDEX(Mapping!$C$5:$C$20,MATCH($C509,Mapping!$A$5:$A$20,0))</f>
        <v/>
      </c>
      <c r="K509" s="5">
        <f>INDEX(Mapping!$D$5:$D$20,MATCH($C509,Mapping!$A$5:$A$20,0))</f>
        <v/>
      </c>
      <c r="L509" s="5">
        <f>INDEX(Mapping!$C$24:$C$31,MATCH($B509,Mapping!$A$24:$A$31,0))</f>
        <v/>
      </c>
      <c r="M509" s="5">
        <f>INDEX(Mapping!$D$24:$D$31,MATCH($B509,Mapping!$A$24:$A$31,0))</f>
        <v/>
      </c>
      <c r="N509" s="5">
        <f>$B509&amp;"."&amp;IF(INDEX(Mapping!$E$24:$E$31,MATCH($B509,Mapping!$A$24:$A$31,0))="sub",INDEX(Mapping!$F$5:$F$20,MATCH($C509,Mapping!$A$5:$A$20,0)),"all")</f>
        <v/>
      </c>
      <c r="O509" s="5">
        <f>INDEX(Mapping!$E$5:$E$20,MATCH($C509,Mapping!$A$5:$A$20,0))</f>
        <v/>
      </c>
      <c r="P509" s="5">
        <f>INDEX(Mapping!$G$24:$G$31,MATCH($B509,Mapping!$A$24:$A$31,0))</f>
        <v/>
      </c>
      <c r="Q509" s="22">
        <f>INDEX(Elasticities!$F$4:$I$200,MATCH("inc|"&amp;$L509&amp;"|"&amp;$K509,Elasticities!$A$4:$A$200,0),MATCH(Settings!$C$6,Elasticities!$F$3:$I$3,0))</f>
        <v/>
      </c>
      <c r="R509" s="22">
        <f>INDEX(Elasticities!$F$4:$I$200,MATCH("usg|"&amp;$L509&amp;"|"&amp;$K509,Elasticities!$A$4:$A$200,0),MATCH(Settings!$C$6,Elasticities!$F$3:$I$3,0))</f>
        <v/>
      </c>
      <c r="S509" s="22">
        <f>INDEX(Elasticities!$F$4:$I$200,MATCH("eff|"&amp;$L509&amp;"|"&amp;$K509,Elasticities!$A$4:$A$200,0),MATCH(Settings!$C$6,Elasticities!$F$3:$I$3,0))</f>
        <v/>
      </c>
      <c r="T509" s="22">
        <f>INDEX(Elasticities!$F$4:$I$200,MATCH("aei|"&amp;$M509&amp;"|"&amp;$K509,Elasticities!$A$4:$A$200,0),MATCH(Settings!$C$6,Elasticities!$F$3:$I$3,0))</f>
        <v/>
      </c>
      <c r="U509" s="21" t="n"/>
      <c r="V509" s="22">
        <f>Q509</f>
        <v/>
      </c>
      <c r="W509" s="22">
        <f>R509</f>
        <v/>
      </c>
      <c r="X509" s="22">
        <f>S509</f>
        <v/>
      </c>
      <c r="Y509" s="22">
        <f>T509</f>
        <v/>
      </c>
      <c r="Z509" s="21" t="n"/>
      <c r="AA509" s="22">
        <f>Q509</f>
        <v/>
      </c>
      <c r="AB509" s="22">
        <f>R509</f>
        <v/>
      </c>
      <c r="AC509" s="22">
        <f>S509</f>
        <v/>
      </c>
      <c r="AD509" s="22">
        <f>T509</f>
        <v/>
      </c>
      <c r="AE509" s="21" t="n"/>
      <c r="AF509" s="22">
        <f>Q509</f>
        <v/>
      </c>
      <c r="AG509" s="22">
        <f>R509</f>
        <v/>
      </c>
      <c r="AH509" s="22">
        <f>S509</f>
        <v/>
      </c>
      <c r="AI509" s="22">
        <f>T509</f>
        <v/>
      </c>
      <c r="AJ509" s="21" t="n"/>
      <c r="AL509" s="24">
        <f>INDEX(EnergyCons!$F$4:$F$5000,MATCH(Settings!$C$4&amp;"|"&amp;AL$5&amp;"|"&amp;$C509&amp;"|"&amp;$B509,EnergyCons!$A$4:$A$5000,0))</f>
        <v/>
      </c>
      <c r="AM509" s="25">
        <f>AL509*(1/(1+INDEX($Q509:$AJ509,1,(AM$4-1)*5+4)))^(1+INDEX($Q509:$AJ509,1,(AM$4-1)*5+2))*(1+AM$7)^INDEX($Q509:$AJ509,1,(AM$4-1)*5+1)*(AM379/AL379)^INDEX($Q509:$AJ509,1,(AM$4-1)*5+2)*(AM379/AL379)^(INDEX($Q509:$AJ509,1,(AM$4-1)*5+3)*(1+INDEX($Q509:$AJ509,1,(AM$4-1)*5+2)))</f>
        <v/>
      </c>
      <c r="AN509" s="25">
        <f>AM509*(1/(1+INDEX($Q509:$AJ509,1,(AN$4-1)*5+4)))^(1+INDEX($Q509:$AJ509,1,(AN$4-1)*5+2))*(1+AN$7)^INDEX($Q509:$AJ509,1,(AN$4-1)*5+1)*(AN379/AM379)^INDEX($Q509:$AJ509,1,(AN$4-1)*5+2)*(AN379/AM379)^(INDEX($Q509:$AJ509,1,(AN$4-1)*5+3)*(1+INDEX($Q509:$AJ509,1,(AN$4-1)*5+2)))</f>
        <v/>
      </c>
      <c r="AO509" s="25">
        <f>AN509*(1/(1+INDEX($Q509:$AJ509,1,(AO$4-1)*5+4)))^(1+INDEX($Q509:$AJ509,1,(AO$4-1)*5+2))*(1+AO$7)^INDEX($Q509:$AJ509,1,(AO$4-1)*5+1)*(AO379/AN379)^INDEX($Q509:$AJ509,1,(AO$4-1)*5+2)*(AO379/AN379)^(INDEX($Q509:$AJ509,1,(AO$4-1)*5+3)*(1+INDEX($Q509:$AJ509,1,(AO$4-1)*5+2)))</f>
        <v/>
      </c>
      <c r="AP509" s="25">
        <f>AO509*(1/(1+INDEX($Q509:$AJ509,1,(AP$4-1)*5+4)))^(1+INDEX($Q509:$AJ509,1,(AP$4-1)*5+2))*(1+AP$7)^INDEX($Q509:$AJ509,1,(AP$4-1)*5+1)*(AP379/AO379)^INDEX($Q509:$AJ509,1,(AP$4-1)*5+2)*(AP379/AO379)^(INDEX($Q509:$AJ509,1,(AP$4-1)*5+3)*(1+INDEX($Q509:$AJ509,1,(AP$4-1)*5+2)))</f>
        <v/>
      </c>
      <c r="AQ509" s="25">
        <f>AP509*(1/(1+INDEX($Q509:$AJ509,1,(AQ$4-1)*5+4)))^(1+INDEX($Q509:$AJ509,1,(AQ$4-1)*5+2))*(1+AQ$7)^INDEX($Q509:$AJ509,1,(AQ$4-1)*5+1)*(AQ379/AP379)^INDEX($Q509:$AJ509,1,(AQ$4-1)*5+2)*(AQ379/AP379)^(INDEX($Q509:$AJ509,1,(AQ$4-1)*5+3)*(1+INDEX($Q509:$AJ509,1,(AQ$4-1)*5+2)))</f>
        <v/>
      </c>
      <c r="AR509" s="25">
        <f>AQ509*(1/(1+INDEX($Q509:$AJ509,1,(AR$4-1)*5+4)))^(1+INDEX($Q509:$AJ509,1,(AR$4-1)*5+2))*(1+AR$7)^INDEX($Q509:$AJ509,1,(AR$4-1)*5+1)*(AR379/AQ379)^INDEX($Q509:$AJ509,1,(AR$4-1)*5+2)*(AR379/AQ379)^(INDEX($Q509:$AJ509,1,(AR$4-1)*5+3)*(1+INDEX($Q509:$AJ509,1,(AR$4-1)*5+2)))</f>
        <v/>
      </c>
      <c r="AS509" s="25">
        <f>AR509*(1/(1+INDEX($Q509:$AJ509,1,(AS$4-1)*5+4)))^(1+INDEX($Q509:$AJ509,1,(AS$4-1)*5+2))*(1+AS$7)^INDEX($Q509:$AJ509,1,(AS$4-1)*5+1)*(AS379/AR379)^INDEX($Q509:$AJ509,1,(AS$4-1)*5+2)*(AS379/AR379)^(INDEX($Q509:$AJ509,1,(AS$4-1)*5+3)*(1+INDEX($Q509:$AJ509,1,(AS$4-1)*5+2)))</f>
        <v/>
      </c>
      <c r="AT509" s="25">
        <f>AS509*(1/(1+INDEX($Q509:$AJ509,1,(AT$4-1)*5+4)))^(1+INDEX($Q509:$AJ509,1,(AT$4-1)*5+2))*(1+AT$7)^INDEX($Q509:$AJ509,1,(AT$4-1)*5+1)*(AT379/AS379)^INDEX($Q509:$AJ509,1,(AT$4-1)*5+2)*(AT379/AS379)^(INDEX($Q509:$AJ509,1,(AT$4-1)*5+3)*(1+INDEX($Q509:$AJ509,1,(AT$4-1)*5+2)))</f>
        <v/>
      </c>
      <c r="AU509" s="25">
        <f>AT509*(1/(1+INDEX($Q509:$AJ509,1,(AU$4-1)*5+4)))^(1+INDEX($Q509:$AJ509,1,(AU$4-1)*5+2))*(1+AU$7)^INDEX($Q509:$AJ509,1,(AU$4-1)*5+1)*(AU379/AT379)^INDEX($Q509:$AJ509,1,(AU$4-1)*5+2)*(AU379/AT379)^(INDEX($Q509:$AJ509,1,(AU$4-1)*5+3)*(1+INDEX($Q509:$AJ509,1,(AU$4-1)*5+2)))</f>
        <v/>
      </c>
      <c r="AV509" s="25">
        <f>AU509*(1/(1+INDEX($Q509:$AJ509,1,(AV$4-1)*5+4)))^(1+INDEX($Q509:$AJ509,1,(AV$4-1)*5+2))*(1+AV$7)^INDEX($Q509:$AJ509,1,(AV$4-1)*5+1)*(AV379/AU379)^INDEX($Q509:$AJ509,1,(AV$4-1)*5+2)*(AV379/AU379)^(INDEX($Q509:$AJ509,1,(AV$4-1)*5+3)*(1+INDEX($Q509:$AJ509,1,(AV$4-1)*5+2)))</f>
        <v/>
      </c>
      <c r="AW509" s="25">
        <f>AV509*(1/(1+INDEX($Q509:$AJ509,1,(AW$4-1)*5+4)))^(1+INDEX($Q509:$AJ509,1,(AW$4-1)*5+2))*(1+AW$7)^INDEX($Q509:$AJ509,1,(AW$4-1)*5+1)*(AW379/AV379)^INDEX($Q509:$AJ509,1,(AW$4-1)*5+2)*(AW379/AV379)^(INDEX($Q509:$AJ509,1,(AW$4-1)*5+3)*(1+INDEX($Q509:$AJ509,1,(AW$4-1)*5+2)))</f>
        <v/>
      </c>
      <c r="AX509" s="25">
        <f>AW509*(1/(1+INDEX($Q509:$AJ509,1,(AX$4-1)*5+4)))^(1+INDEX($Q509:$AJ509,1,(AX$4-1)*5+2))*(1+AX$7)^INDEX($Q509:$AJ509,1,(AX$4-1)*5+1)*(AX379/AW379)^INDEX($Q509:$AJ509,1,(AX$4-1)*5+2)*(AX379/AW379)^(INDEX($Q509:$AJ509,1,(AX$4-1)*5+3)*(1+INDEX($Q509:$AJ509,1,(AX$4-1)*5+2)))</f>
        <v/>
      </c>
      <c r="AY509" s="25">
        <f>AX509*(1/(1+INDEX($Q509:$AJ509,1,(AY$4-1)*5+4)))^(1+INDEX($Q509:$AJ509,1,(AY$4-1)*5+2))*(1+AY$7)^INDEX($Q509:$AJ509,1,(AY$4-1)*5+1)*(AY379/AX379)^INDEX($Q509:$AJ509,1,(AY$4-1)*5+2)*(AY379/AX379)^(INDEX($Q509:$AJ509,1,(AY$4-1)*5+3)*(1+INDEX($Q509:$AJ509,1,(AY$4-1)*5+2)))</f>
        <v/>
      </c>
      <c r="BA509" s="24">
        <f>INDEX(EnergyCons!$F$4:$F$5000,MATCH(Settings!$C$4&amp;"|"&amp;BA$5&amp;"|"&amp;$C509&amp;"|"&amp;$B509,EnergyCons!$A$4:$A$5000,0))</f>
        <v/>
      </c>
      <c r="BB509" s="25">
        <f>BA509*(1/(1+INDEX($Q509:$AJ509,1,(BB$4-1)*5+4)))^(1+INDEX($Q509:$AJ509,1,(BB$4-1)*5+2))*(1+BB$7)^INDEX($Q509:$AJ509,1,(BB$4-1)*5+1)*(BB379/BA379)^INDEX($Q509:$AJ509,1,(BB$4-1)*5+2)*(BB379/BA379)^(INDEX($Q509:$AJ509,1,(BB$4-1)*5+3)*(1+INDEX($Q509:$AJ509,1,(BB$4-1)*5+2)))</f>
        <v/>
      </c>
      <c r="BC509" s="25">
        <f>BB509*(1/(1+INDEX($Q509:$AJ509,1,(BC$4-1)*5+4)))^(1+INDEX($Q509:$AJ509,1,(BC$4-1)*5+2))*(1+BC$7)^INDEX($Q509:$AJ509,1,(BC$4-1)*5+1)*(BC379/BB379)^INDEX($Q509:$AJ509,1,(BC$4-1)*5+2)*(BC379/BB379)^(INDEX($Q509:$AJ509,1,(BC$4-1)*5+3)*(1+INDEX($Q509:$AJ509,1,(BC$4-1)*5+2)))</f>
        <v/>
      </c>
      <c r="BD509" s="25">
        <f>BC509*(1/(1+INDEX($Q509:$AJ509,1,(BD$4-1)*5+4)))^(1+INDEX($Q509:$AJ509,1,(BD$4-1)*5+2))*(1+BD$7)^INDEX($Q509:$AJ509,1,(BD$4-1)*5+1)*(BD379/BC379)^INDEX($Q509:$AJ509,1,(BD$4-1)*5+2)*(BD379/BC379)^(INDEX($Q509:$AJ509,1,(BD$4-1)*5+3)*(1+INDEX($Q509:$AJ509,1,(BD$4-1)*5+2)))</f>
        <v/>
      </c>
      <c r="BE509" s="25">
        <f>BD509*(1/(1+INDEX($Q509:$AJ509,1,(BE$4-1)*5+4)))^(1+INDEX($Q509:$AJ509,1,(BE$4-1)*5+2))*(1+BE$7)^INDEX($Q509:$AJ509,1,(BE$4-1)*5+1)*(BE379/BD379)^INDEX($Q509:$AJ509,1,(BE$4-1)*5+2)*(BE379/BD379)^(INDEX($Q509:$AJ509,1,(BE$4-1)*5+3)*(1+INDEX($Q509:$AJ509,1,(BE$4-1)*5+2)))</f>
        <v/>
      </c>
      <c r="BF509" s="25">
        <f>BE509*(1/(1+INDEX($Q509:$AJ509,1,(BF$4-1)*5+4)))^(1+INDEX($Q509:$AJ509,1,(BF$4-1)*5+2))*(1+BF$7)^INDEX($Q509:$AJ509,1,(BF$4-1)*5+1)*(BF379/BE379)^INDEX($Q509:$AJ509,1,(BF$4-1)*5+2)*(BF379/BE379)^(INDEX($Q509:$AJ509,1,(BF$4-1)*5+3)*(1+INDEX($Q509:$AJ509,1,(BF$4-1)*5+2)))</f>
        <v/>
      </c>
      <c r="BG509" s="25">
        <f>BF509*(1/(1+INDEX($Q509:$AJ509,1,(BG$4-1)*5+4)))^(1+INDEX($Q509:$AJ509,1,(BG$4-1)*5+2))*(1+BG$7)^INDEX($Q509:$AJ509,1,(BG$4-1)*5+1)*(BG379/BF379)^INDEX($Q509:$AJ509,1,(BG$4-1)*5+2)*(BG379/BF379)^(INDEX($Q509:$AJ509,1,(BG$4-1)*5+3)*(1+INDEX($Q509:$AJ509,1,(BG$4-1)*5+2)))</f>
        <v/>
      </c>
      <c r="BH509" s="25">
        <f>BG509*(1/(1+INDEX($Q509:$AJ509,1,(BH$4-1)*5+4)))^(1+INDEX($Q509:$AJ509,1,(BH$4-1)*5+2))*(1+BH$7)^INDEX($Q509:$AJ509,1,(BH$4-1)*5+1)*(BH379/BG379)^INDEX($Q509:$AJ509,1,(BH$4-1)*5+2)*(BH379/BG379)^(INDEX($Q509:$AJ509,1,(BH$4-1)*5+3)*(1+INDEX($Q509:$AJ509,1,(BH$4-1)*5+2)))</f>
        <v/>
      </c>
      <c r="BI509" s="25">
        <f>BH509*(1/(1+INDEX($Q509:$AJ509,1,(BI$4-1)*5+4)))^(1+INDEX($Q509:$AJ509,1,(BI$4-1)*5+2))*(1+BI$7)^INDEX($Q509:$AJ509,1,(BI$4-1)*5+1)*(BI379/BH379)^INDEX($Q509:$AJ509,1,(BI$4-1)*5+2)*(BI379/BH379)^(INDEX($Q509:$AJ509,1,(BI$4-1)*5+3)*(1+INDEX($Q509:$AJ509,1,(BI$4-1)*5+2)))</f>
        <v/>
      </c>
      <c r="BJ509" s="25">
        <f>BI509*(1/(1+INDEX($Q509:$AJ509,1,(BJ$4-1)*5+4)))^(1+INDEX($Q509:$AJ509,1,(BJ$4-1)*5+2))*(1+BJ$7)^INDEX($Q509:$AJ509,1,(BJ$4-1)*5+1)*(BJ379/BI379)^INDEX($Q509:$AJ509,1,(BJ$4-1)*5+2)*(BJ379/BI379)^(INDEX($Q509:$AJ509,1,(BJ$4-1)*5+3)*(1+INDEX($Q509:$AJ509,1,(BJ$4-1)*5+2)))</f>
        <v/>
      </c>
      <c r="BK509" s="25">
        <f>BJ509*(1/(1+INDEX($Q509:$AJ509,1,(BK$4-1)*5+4)))^(1+INDEX($Q509:$AJ509,1,(BK$4-1)*5+2))*(1+BK$7)^INDEX($Q509:$AJ509,1,(BK$4-1)*5+1)*(BK379/BJ379)^INDEX($Q509:$AJ509,1,(BK$4-1)*5+2)*(BK379/BJ379)^(INDEX($Q509:$AJ509,1,(BK$4-1)*5+3)*(1+INDEX($Q509:$AJ509,1,(BK$4-1)*5+2)))</f>
        <v/>
      </c>
      <c r="BL509" s="25">
        <f>BK509*(1/(1+INDEX($Q509:$AJ509,1,(BL$4-1)*5+4)))^(1+INDEX($Q509:$AJ509,1,(BL$4-1)*5+2))*(1+BL$7)^INDEX($Q509:$AJ509,1,(BL$4-1)*5+1)*(BL379/BK379)^INDEX($Q509:$AJ509,1,(BL$4-1)*5+2)*(BL379/BK379)^(INDEX($Q509:$AJ509,1,(BL$4-1)*5+3)*(1+INDEX($Q509:$AJ509,1,(BL$4-1)*5+2)))</f>
        <v/>
      </c>
      <c r="BM509" s="25">
        <f>BL509*(1/(1+INDEX($Q509:$AJ509,1,(BM$4-1)*5+4)))^(1+INDEX($Q509:$AJ509,1,(BM$4-1)*5+2))*(1+BM$7)^INDEX($Q509:$AJ509,1,(BM$4-1)*5+1)*(BM379/BL379)^INDEX($Q509:$AJ509,1,(BM$4-1)*5+2)*(BM379/BL379)^(INDEX($Q509:$AJ509,1,(BM$4-1)*5+3)*(1+INDEX($Q509:$AJ509,1,(BM$4-1)*5+2)))</f>
        <v/>
      </c>
      <c r="BN509" s="25">
        <f>BM509*(1/(1+INDEX($Q509:$AJ509,1,(BN$4-1)*5+4)))^(1+INDEX($Q509:$AJ509,1,(BN$4-1)*5+2))*(1+BN$7)^INDEX($Q509:$AJ509,1,(BN$4-1)*5+1)*(BN379/BM379)^INDEX($Q509:$AJ509,1,(BN$4-1)*5+2)*(BN379/BM379)^(INDEX($Q509:$AJ509,1,(BN$4-1)*5+3)*(1+INDEX($Q509:$AJ509,1,(BN$4-1)*5+2)))</f>
        <v/>
      </c>
    </row>
    <row r="510">
      <c r="B510" s="5" t="inlineStr">
        <is>
          <t>ker</t>
        </is>
      </c>
      <c r="C510" s="5" t="inlineStr">
        <is>
          <t>cst</t>
        </is>
      </c>
      <c r="D510" s="5" t="inlineStr">
        <is>
          <t>Fuel use | Construction | Kerosene</t>
        </is>
      </c>
      <c r="E510" s="5" t="inlineStr">
        <is>
          <t>ktoe</t>
        </is>
      </c>
      <c r="F510" s="5" t="inlineStr">
        <is>
          <t>EnergyCons (base year), Elasticities</t>
        </is>
      </c>
      <c r="G510" s="19" t="inlineStr">
        <is>
          <t>mit.enc.ker.cst</t>
        </is>
      </c>
      <c r="H510" s="19" t="inlineStr">
        <is>
          <t>mit.enc.ker.cst</t>
        </is>
      </c>
      <c r="J510" s="5">
        <f>INDEX(Mapping!$C$5:$C$20,MATCH($C510,Mapping!$A$5:$A$20,0))</f>
        <v/>
      </c>
      <c r="K510" s="5">
        <f>INDEX(Mapping!$D$5:$D$20,MATCH($C510,Mapping!$A$5:$A$20,0))</f>
        <v/>
      </c>
      <c r="L510" s="5">
        <f>INDEX(Mapping!$C$24:$C$31,MATCH($B510,Mapping!$A$24:$A$31,0))</f>
        <v/>
      </c>
      <c r="M510" s="5">
        <f>INDEX(Mapping!$D$24:$D$31,MATCH($B510,Mapping!$A$24:$A$31,0))</f>
        <v/>
      </c>
      <c r="N510" s="5">
        <f>$B510&amp;"."&amp;IF(INDEX(Mapping!$E$24:$E$31,MATCH($B510,Mapping!$A$24:$A$31,0))="sub",INDEX(Mapping!$F$5:$F$20,MATCH($C510,Mapping!$A$5:$A$20,0)),"all")</f>
        <v/>
      </c>
      <c r="O510" s="5">
        <f>INDEX(Mapping!$E$5:$E$20,MATCH($C510,Mapping!$A$5:$A$20,0))</f>
        <v/>
      </c>
      <c r="P510" s="5">
        <f>INDEX(Mapping!$G$24:$G$31,MATCH($B510,Mapping!$A$24:$A$31,0))</f>
        <v/>
      </c>
      <c r="Q510" s="22">
        <f>INDEX(Elasticities!$F$4:$I$200,MATCH("inc|"&amp;$L510&amp;"|"&amp;$K510,Elasticities!$A$4:$A$200,0),MATCH(Settings!$C$6,Elasticities!$F$3:$I$3,0))</f>
        <v/>
      </c>
      <c r="R510" s="22">
        <f>INDEX(Elasticities!$F$4:$I$200,MATCH("usg|"&amp;$L510&amp;"|"&amp;$K510,Elasticities!$A$4:$A$200,0),MATCH(Settings!$C$6,Elasticities!$F$3:$I$3,0))</f>
        <v/>
      </c>
      <c r="S510" s="22">
        <f>INDEX(Elasticities!$F$4:$I$200,MATCH("eff|"&amp;$L510&amp;"|"&amp;$K510,Elasticities!$A$4:$A$200,0),MATCH(Settings!$C$6,Elasticities!$F$3:$I$3,0))</f>
        <v/>
      </c>
      <c r="T510" s="22">
        <f>INDEX(Elasticities!$F$4:$I$200,MATCH("aei|"&amp;$M510&amp;"|"&amp;$K510,Elasticities!$A$4:$A$200,0),MATCH(Settings!$C$6,Elasticities!$F$3:$I$3,0))</f>
        <v/>
      </c>
      <c r="U510" s="21" t="n"/>
      <c r="V510" s="22">
        <f>Q510</f>
        <v/>
      </c>
      <c r="W510" s="22">
        <f>R510</f>
        <v/>
      </c>
      <c r="X510" s="22">
        <f>S510</f>
        <v/>
      </c>
      <c r="Y510" s="22">
        <f>T510</f>
        <v/>
      </c>
      <c r="Z510" s="21" t="n"/>
      <c r="AA510" s="22">
        <f>Q510</f>
        <v/>
      </c>
      <c r="AB510" s="22">
        <f>R510</f>
        <v/>
      </c>
      <c r="AC510" s="22">
        <f>S510</f>
        <v/>
      </c>
      <c r="AD510" s="22">
        <f>T510</f>
        <v/>
      </c>
      <c r="AE510" s="21" t="n"/>
      <c r="AF510" s="22">
        <f>Q510</f>
        <v/>
      </c>
      <c r="AG510" s="22">
        <f>R510</f>
        <v/>
      </c>
      <c r="AH510" s="22">
        <f>S510</f>
        <v/>
      </c>
      <c r="AI510" s="22">
        <f>T510</f>
        <v/>
      </c>
      <c r="AJ510" s="21" t="n"/>
      <c r="AL510" s="24">
        <f>INDEX(EnergyCons!$F$4:$F$5000,MATCH(Settings!$C$4&amp;"|"&amp;AL$5&amp;"|"&amp;$C510&amp;"|"&amp;$B510,EnergyCons!$A$4:$A$5000,0))</f>
        <v/>
      </c>
      <c r="AM510" s="25">
        <f>AL510*(1/(1+INDEX($Q510:$AJ510,1,(AM$4-1)*5+4)))^(1+INDEX($Q510:$AJ510,1,(AM$4-1)*5+2))*(1+AM$7)^INDEX($Q510:$AJ510,1,(AM$4-1)*5+1)*(AM380/AL380)^INDEX($Q510:$AJ510,1,(AM$4-1)*5+2)*(AM380/AL380)^(INDEX($Q510:$AJ510,1,(AM$4-1)*5+3)*(1+INDEX($Q510:$AJ510,1,(AM$4-1)*5+2)))</f>
        <v/>
      </c>
      <c r="AN510" s="25">
        <f>AM510*(1/(1+INDEX($Q510:$AJ510,1,(AN$4-1)*5+4)))^(1+INDEX($Q510:$AJ510,1,(AN$4-1)*5+2))*(1+AN$7)^INDEX($Q510:$AJ510,1,(AN$4-1)*5+1)*(AN380/AM380)^INDEX($Q510:$AJ510,1,(AN$4-1)*5+2)*(AN380/AM380)^(INDEX($Q510:$AJ510,1,(AN$4-1)*5+3)*(1+INDEX($Q510:$AJ510,1,(AN$4-1)*5+2)))</f>
        <v/>
      </c>
      <c r="AO510" s="25">
        <f>AN510*(1/(1+INDEX($Q510:$AJ510,1,(AO$4-1)*5+4)))^(1+INDEX($Q510:$AJ510,1,(AO$4-1)*5+2))*(1+AO$7)^INDEX($Q510:$AJ510,1,(AO$4-1)*5+1)*(AO380/AN380)^INDEX($Q510:$AJ510,1,(AO$4-1)*5+2)*(AO380/AN380)^(INDEX($Q510:$AJ510,1,(AO$4-1)*5+3)*(1+INDEX($Q510:$AJ510,1,(AO$4-1)*5+2)))</f>
        <v/>
      </c>
      <c r="AP510" s="25">
        <f>AO510*(1/(1+INDEX($Q510:$AJ510,1,(AP$4-1)*5+4)))^(1+INDEX($Q510:$AJ510,1,(AP$4-1)*5+2))*(1+AP$7)^INDEX($Q510:$AJ510,1,(AP$4-1)*5+1)*(AP380/AO380)^INDEX($Q510:$AJ510,1,(AP$4-1)*5+2)*(AP380/AO380)^(INDEX($Q510:$AJ510,1,(AP$4-1)*5+3)*(1+INDEX($Q510:$AJ510,1,(AP$4-1)*5+2)))</f>
        <v/>
      </c>
      <c r="AQ510" s="25">
        <f>AP510*(1/(1+INDEX($Q510:$AJ510,1,(AQ$4-1)*5+4)))^(1+INDEX($Q510:$AJ510,1,(AQ$4-1)*5+2))*(1+AQ$7)^INDEX($Q510:$AJ510,1,(AQ$4-1)*5+1)*(AQ380/AP380)^INDEX($Q510:$AJ510,1,(AQ$4-1)*5+2)*(AQ380/AP380)^(INDEX($Q510:$AJ510,1,(AQ$4-1)*5+3)*(1+INDEX($Q510:$AJ510,1,(AQ$4-1)*5+2)))</f>
        <v/>
      </c>
      <c r="AR510" s="25">
        <f>AQ510*(1/(1+INDEX($Q510:$AJ510,1,(AR$4-1)*5+4)))^(1+INDEX($Q510:$AJ510,1,(AR$4-1)*5+2))*(1+AR$7)^INDEX($Q510:$AJ510,1,(AR$4-1)*5+1)*(AR380/AQ380)^INDEX($Q510:$AJ510,1,(AR$4-1)*5+2)*(AR380/AQ380)^(INDEX($Q510:$AJ510,1,(AR$4-1)*5+3)*(1+INDEX($Q510:$AJ510,1,(AR$4-1)*5+2)))</f>
        <v/>
      </c>
      <c r="AS510" s="25">
        <f>AR510*(1/(1+INDEX($Q510:$AJ510,1,(AS$4-1)*5+4)))^(1+INDEX($Q510:$AJ510,1,(AS$4-1)*5+2))*(1+AS$7)^INDEX($Q510:$AJ510,1,(AS$4-1)*5+1)*(AS380/AR380)^INDEX($Q510:$AJ510,1,(AS$4-1)*5+2)*(AS380/AR380)^(INDEX($Q510:$AJ510,1,(AS$4-1)*5+3)*(1+INDEX($Q510:$AJ510,1,(AS$4-1)*5+2)))</f>
        <v/>
      </c>
      <c r="AT510" s="25">
        <f>AS510*(1/(1+INDEX($Q510:$AJ510,1,(AT$4-1)*5+4)))^(1+INDEX($Q510:$AJ510,1,(AT$4-1)*5+2))*(1+AT$7)^INDEX($Q510:$AJ510,1,(AT$4-1)*5+1)*(AT380/AS380)^INDEX($Q510:$AJ510,1,(AT$4-1)*5+2)*(AT380/AS380)^(INDEX($Q510:$AJ510,1,(AT$4-1)*5+3)*(1+INDEX($Q510:$AJ510,1,(AT$4-1)*5+2)))</f>
        <v/>
      </c>
      <c r="AU510" s="25">
        <f>AT510*(1/(1+INDEX($Q510:$AJ510,1,(AU$4-1)*5+4)))^(1+INDEX($Q510:$AJ510,1,(AU$4-1)*5+2))*(1+AU$7)^INDEX($Q510:$AJ510,1,(AU$4-1)*5+1)*(AU380/AT380)^INDEX($Q510:$AJ510,1,(AU$4-1)*5+2)*(AU380/AT380)^(INDEX($Q510:$AJ510,1,(AU$4-1)*5+3)*(1+INDEX($Q510:$AJ510,1,(AU$4-1)*5+2)))</f>
        <v/>
      </c>
      <c r="AV510" s="25">
        <f>AU510*(1/(1+INDEX($Q510:$AJ510,1,(AV$4-1)*5+4)))^(1+INDEX($Q510:$AJ510,1,(AV$4-1)*5+2))*(1+AV$7)^INDEX($Q510:$AJ510,1,(AV$4-1)*5+1)*(AV380/AU380)^INDEX($Q510:$AJ510,1,(AV$4-1)*5+2)*(AV380/AU380)^(INDEX($Q510:$AJ510,1,(AV$4-1)*5+3)*(1+INDEX($Q510:$AJ510,1,(AV$4-1)*5+2)))</f>
        <v/>
      </c>
      <c r="AW510" s="25">
        <f>AV510*(1/(1+INDEX($Q510:$AJ510,1,(AW$4-1)*5+4)))^(1+INDEX($Q510:$AJ510,1,(AW$4-1)*5+2))*(1+AW$7)^INDEX($Q510:$AJ510,1,(AW$4-1)*5+1)*(AW380/AV380)^INDEX($Q510:$AJ510,1,(AW$4-1)*5+2)*(AW380/AV380)^(INDEX($Q510:$AJ510,1,(AW$4-1)*5+3)*(1+INDEX($Q510:$AJ510,1,(AW$4-1)*5+2)))</f>
        <v/>
      </c>
      <c r="AX510" s="25">
        <f>AW510*(1/(1+INDEX($Q510:$AJ510,1,(AX$4-1)*5+4)))^(1+INDEX($Q510:$AJ510,1,(AX$4-1)*5+2))*(1+AX$7)^INDEX($Q510:$AJ510,1,(AX$4-1)*5+1)*(AX380/AW380)^INDEX($Q510:$AJ510,1,(AX$4-1)*5+2)*(AX380/AW380)^(INDEX($Q510:$AJ510,1,(AX$4-1)*5+3)*(1+INDEX($Q510:$AJ510,1,(AX$4-1)*5+2)))</f>
        <v/>
      </c>
      <c r="AY510" s="25">
        <f>AX510*(1/(1+INDEX($Q510:$AJ510,1,(AY$4-1)*5+4)))^(1+INDEX($Q510:$AJ510,1,(AY$4-1)*5+2))*(1+AY$7)^INDEX($Q510:$AJ510,1,(AY$4-1)*5+1)*(AY380/AX380)^INDEX($Q510:$AJ510,1,(AY$4-1)*5+2)*(AY380/AX380)^(INDEX($Q510:$AJ510,1,(AY$4-1)*5+3)*(1+INDEX($Q510:$AJ510,1,(AY$4-1)*5+2)))</f>
        <v/>
      </c>
      <c r="BA510" s="24">
        <f>INDEX(EnergyCons!$F$4:$F$5000,MATCH(Settings!$C$4&amp;"|"&amp;BA$5&amp;"|"&amp;$C510&amp;"|"&amp;$B510,EnergyCons!$A$4:$A$5000,0))</f>
        <v/>
      </c>
      <c r="BB510" s="25">
        <f>BA510*(1/(1+INDEX($Q510:$AJ510,1,(BB$4-1)*5+4)))^(1+INDEX($Q510:$AJ510,1,(BB$4-1)*5+2))*(1+BB$7)^INDEX($Q510:$AJ510,1,(BB$4-1)*5+1)*(BB380/BA380)^INDEX($Q510:$AJ510,1,(BB$4-1)*5+2)*(BB380/BA380)^(INDEX($Q510:$AJ510,1,(BB$4-1)*5+3)*(1+INDEX($Q510:$AJ510,1,(BB$4-1)*5+2)))</f>
        <v/>
      </c>
      <c r="BC510" s="25">
        <f>BB510*(1/(1+INDEX($Q510:$AJ510,1,(BC$4-1)*5+4)))^(1+INDEX($Q510:$AJ510,1,(BC$4-1)*5+2))*(1+BC$7)^INDEX($Q510:$AJ510,1,(BC$4-1)*5+1)*(BC380/BB380)^INDEX($Q510:$AJ510,1,(BC$4-1)*5+2)*(BC380/BB380)^(INDEX($Q510:$AJ510,1,(BC$4-1)*5+3)*(1+INDEX($Q510:$AJ510,1,(BC$4-1)*5+2)))</f>
        <v/>
      </c>
      <c r="BD510" s="25">
        <f>BC510*(1/(1+INDEX($Q510:$AJ510,1,(BD$4-1)*5+4)))^(1+INDEX($Q510:$AJ510,1,(BD$4-1)*5+2))*(1+BD$7)^INDEX($Q510:$AJ510,1,(BD$4-1)*5+1)*(BD380/BC380)^INDEX($Q510:$AJ510,1,(BD$4-1)*5+2)*(BD380/BC380)^(INDEX($Q510:$AJ510,1,(BD$4-1)*5+3)*(1+INDEX($Q510:$AJ510,1,(BD$4-1)*5+2)))</f>
        <v/>
      </c>
      <c r="BE510" s="25">
        <f>BD510*(1/(1+INDEX($Q510:$AJ510,1,(BE$4-1)*5+4)))^(1+INDEX($Q510:$AJ510,1,(BE$4-1)*5+2))*(1+BE$7)^INDEX($Q510:$AJ510,1,(BE$4-1)*5+1)*(BE380/BD380)^INDEX($Q510:$AJ510,1,(BE$4-1)*5+2)*(BE380/BD380)^(INDEX($Q510:$AJ510,1,(BE$4-1)*5+3)*(1+INDEX($Q510:$AJ510,1,(BE$4-1)*5+2)))</f>
        <v/>
      </c>
      <c r="BF510" s="25">
        <f>BE510*(1/(1+INDEX($Q510:$AJ510,1,(BF$4-1)*5+4)))^(1+INDEX($Q510:$AJ510,1,(BF$4-1)*5+2))*(1+BF$7)^INDEX($Q510:$AJ510,1,(BF$4-1)*5+1)*(BF380/BE380)^INDEX($Q510:$AJ510,1,(BF$4-1)*5+2)*(BF380/BE380)^(INDEX($Q510:$AJ510,1,(BF$4-1)*5+3)*(1+INDEX($Q510:$AJ510,1,(BF$4-1)*5+2)))</f>
        <v/>
      </c>
      <c r="BG510" s="25">
        <f>BF510*(1/(1+INDEX($Q510:$AJ510,1,(BG$4-1)*5+4)))^(1+INDEX($Q510:$AJ510,1,(BG$4-1)*5+2))*(1+BG$7)^INDEX($Q510:$AJ510,1,(BG$4-1)*5+1)*(BG380/BF380)^INDEX($Q510:$AJ510,1,(BG$4-1)*5+2)*(BG380/BF380)^(INDEX($Q510:$AJ510,1,(BG$4-1)*5+3)*(1+INDEX($Q510:$AJ510,1,(BG$4-1)*5+2)))</f>
        <v/>
      </c>
      <c r="BH510" s="25">
        <f>BG510*(1/(1+INDEX($Q510:$AJ510,1,(BH$4-1)*5+4)))^(1+INDEX($Q510:$AJ510,1,(BH$4-1)*5+2))*(1+BH$7)^INDEX($Q510:$AJ510,1,(BH$4-1)*5+1)*(BH380/BG380)^INDEX($Q510:$AJ510,1,(BH$4-1)*5+2)*(BH380/BG380)^(INDEX($Q510:$AJ510,1,(BH$4-1)*5+3)*(1+INDEX($Q510:$AJ510,1,(BH$4-1)*5+2)))</f>
        <v/>
      </c>
      <c r="BI510" s="25">
        <f>BH510*(1/(1+INDEX($Q510:$AJ510,1,(BI$4-1)*5+4)))^(1+INDEX($Q510:$AJ510,1,(BI$4-1)*5+2))*(1+BI$7)^INDEX($Q510:$AJ510,1,(BI$4-1)*5+1)*(BI380/BH380)^INDEX($Q510:$AJ510,1,(BI$4-1)*5+2)*(BI380/BH380)^(INDEX($Q510:$AJ510,1,(BI$4-1)*5+3)*(1+INDEX($Q510:$AJ510,1,(BI$4-1)*5+2)))</f>
        <v/>
      </c>
      <c r="BJ510" s="25">
        <f>BI510*(1/(1+INDEX($Q510:$AJ510,1,(BJ$4-1)*5+4)))^(1+INDEX($Q510:$AJ510,1,(BJ$4-1)*5+2))*(1+BJ$7)^INDEX($Q510:$AJ510,1,(BJ$4-1)*5+1)*(BJ380/BI380)^INDEX($Q510:$AJ510,1,(BJ$4-1)*5+2)*(BJ380/BI380)^(INDEX($Q510:$AJ510,1,(BJ$4-1)*5+3)*(1+INDEX($Q510:$AJ510,1,(BJ$4-1)*5+2)))</f>
        <v/>
      </c>
      <c r="BK510" s="25">
        <f>BJ510*(1/(1+INDEX($Q510:$AJ510,1,(BK$4-1)*5+4)))^(1+INDEX($Q510:$AJ510,1,(BK$4-1)*5+2))*(1+BK$7)^INDEX($Q510:$AJ510,1,(BK$4-1)*5+1)*(BK380/BJ380)^INDEX($Q510:$AJ510,1,(BK$4-1)*5+2)*(BK380/BJ380)^(INDEX($Q510:$AJ510,1,(BK$4-1)*5+3)*(1+INDEX($Q510:$AJ510,1,(BK$4-1)*5+2)))</f>
        <v/>
      </c>
      <c r="BL510" s="25">
        <f>BK510*(1/(1+INDEX($Q510:$AJ510,1,(BL$4-1)*5+4)))^(1+INDEX($Q510:$AJ510,1,(BL$4-1)*5+2))*(1+BL$7)^INDEX($Q510:$AJ510,1,(BL$4-1)*5+1)*(BL380/BK380)^INDEX($Q510:$AJ510,1,(BL$4-1)*5+2)*(BL380/BK380)^(INDEX($Q510:$AJ510,1,(BL$4-1)*5+3)*(1+INDEX($Q510:$AJ510,1,(BL$4-1)*5+2)))</f>
        <v/>
      </c>
      <c r="BM510" s="25">
        <f>BL510*(1/(1+INDEX($Q510:$AJ510,1,(BM$4-1)*5+4)))^(1+INDEX($Q510:$AJ510,1,(BM$4-1)*5+2))*(1+BM$7)^INDEX($Q510:$AJ510,1,(BM$4-1)*5+1)*(BM380/BL380)^INDEX($Q510:$AJ510,1,(BM$4-1)*5+2)*(BM380/BL380)^(INDEX($Q510:$AJ510,1,(BM$4-1)*5+3)*(1+INDEX($Q510:$AJ510,1,(BM$4-1)*5+2)))</f>
        <v/>
      </c>
      <c r="BN510" s="25">
        <f>BM510*(1/(1+INDEX($Q510:$AJ510,1,(BN$4-1)*5+4)))^(1+INDEX($Q510:$AJ510,1,(BN$4-1)*5+2))*(1+BN$7)^INDEX($Q510:$AJ510,1,(BN$4-1)*5+1)*(BN380/BM380)^INDEX($Q510:$AJ510,1,(BN$4-1)*5+2)*(BN380/BM380)^(INDEX($Q510:$AJ510,1,(BN$4-1)*5+3)*(1+INDEX($Q510:$AJ510,1,(BN$4-1)*5+2)))</f>
        <v/>
      </c>
    </row>
    <row r="511">
      <c r="B511" s="5" t="inlineStr">
        <is>
          <t>oop</t>
        </is>
      </c>
      <c r="C511" s="5" t="inlineStr">
        <is>
          <t>cst</t>
        </is>
      </c>
      <c r="D511" s="5" t="inlineStr">
        <is>
          <t>Fuel use | Construction | Other oil products</t>
        </is>
      </c>
      <c r="E511" s="5" t="inlineStr">
        <is>
          <t>ktoe</t>
        </is>
      </c>
      <c r="F511" s="5" t="inlineStr">
        <is>
          <t>EnergyCons (base year), Elasticities</t>
        </is>
      </c>
      <c r="G511" s="19" t="inlineStr">
        <is>
          <t>mit.enc.oop.cst</t>
        </is>
      </c>
      <c r="H511" s="19" t="inlineStr">
        <is>
          <t>mit.enc.oop.cst</t>
        </is>
      </c>
      <c r="J511" s="5">
        <f>INDEX(Mapping!$C$5:$C$20,MATCH($C511,Mapping!$A$5:$A$20,0))</f>
        <v/>
      </c>
      <c r="K511" s="5">
        <f>INDEX(Mapping!$D$5:$D$20,MATCH($C511,Mapping!$A$5:$A$20,0))</f>
        <v/>
      </c>
      <c r="L511" s="5">
        <f>INDEX(Mapping!$C$24:$C$31,MATCH($B511,Mapping!$A$24:$A$31,0))</f>
        <v/>
      </c>
      <c r="M511" s="5">
        <f>INDEX(Mapping!$D$24:$D$31,MATCH($B511,Mapping!$A$24:$A$31,0))</f>
        <v/>
      </c>
      <c r="N511" s="5">
        <f>$B511&amp;"."&amp;IF(INDEX(Mapping!$E$24:$E$31,MATCH($B511,Mapping!$A$24:$A$31,0))="sub",INDEX(Mapping!$F$5:$F$20,MATCH($C511,Mapping!$A$5:$A$20,0)),"all")</f>
        <v/>
      </c>
      <c r="O511" s="5">
        <f>INDEX(Mapping!$E$5:$E$20,MATCH($C511,Mapping!$A$5:$A$20,0))</f>
        <v/>
      </c>
      <c r="P511" s="5">
        <f>INDEX(Mapping!$G$24:$G$31,MATCH($B511,Mapping!$A$24:$A$31,0))</f>
        <v/>
      </c>
      <c r="Q511" s="22">
        <f>INDEX(Elasticities!$F$4:$I$200,MATCH("inc|"&amp;$L511&amp;"|"&amp;$K511,Elasticities!$A$4:$A$200,0),MATCH(Settings!$C$6,Elasticities!$F$3:$I$3,0))</f>
        <v/>
      </c>
      <c r="R511" s="22">
        <f>INDEX(Elasticities!$F$4:$I$200,MATCH("usg|"&amp;$L511&amp;"|"&amp;$K511,Elasticities!$A$4:$A$200,0),MATCH(Settings!$C$6,Elasticities!$F$3:$I$3,0))</f>
        <v/>
      </c>
      <c r="S511" s="22">
        <f>INDEX(Elasticities!$F$4:$I$200,MATCH("eff|"&amp;$L511&amp;"|"&amp;$K511,Elasticities!$A$4:$A$200,0),MATCH(Settings!$C$6,Elasticities!$F$3:$I$3,0))</f>
        <v/>
      </c>
      <c r="T511" s="22">
        <f>INDEX(Elasticities!$F$4:$I$200,MATCH("aei|"&amp;$M511&amp;"|"&amp;$K511,Elasticities!$A$4:$A$200,0),MATCH(Settings!$C$6,Elasticities!$F$3:$I$3,0))</f>
        <v/>
      </c>
      <c r="U511" s="21" t="n"/>
      <c r="V511" s="22">
        <f>Q511</f>
        <v/>
      </c>
      <c r="W511" s="22">
        <f>R511</f>
        <v/>
      </c>
      <c r="X511" s="22">
        <f>S511</f>
        <v/>
      </c>
      <c r="Y511" s="22">
        <f>T511</f>
        <v/>
      </c>
      <c r="Z511" s="21" t="n"/>
      <c r="AA511" s="22">
        <f>Q511</f>
        <v/>
      </c>
      <c r="AB511" s="22">
        <f>R511</f>
        <v/>
      </c>
      <c r="AC511" s="22">
        <f>S511</f>
        <v/>
      </c>
      <c r="AD511" s="22">
        <f>T511</f>
        <v/>
      </c>
      <c r="AE511" s="21" t="n"/>
      <c r="AF511" s="22">
        <f>Q511</f>
        <v/>
      </c>
      <c r="AG511" s="22">
        <f>R511</f>
        <v/>
      </c>
      <c r="AH511" s="22">
        <f>S511</f>
        <v/>
      </c>
      <c r="AI511" s="22">
        <f>T511</f>
        <v/>
      </c>
      <c r="AJ511" s="21" t="n"/>
      <c r="AL511" s="24">
        <f>INDEX(EnergyCons!$F$4:$F$5000,MATCH(Settings!$C$4&amp;"|"&amp;AL$5&amp;"|"&amp;$C511&amp;"|"&amp;$B511,EnergyCons!$A$4:$A$5000,0))</f>
        <v/>
      </c>
      <c r="AM511" s="25">
        <f>AL511*(1/(1+INDEX($Q511:$AJ511,1,(AM$4-1)*5+4)))^(1+INDEX($Q511:$AJ511,1,(AM$4-1)*5+2))*(1+AM$7)^INDEX($Q511:$AJ511,1,(AM$4-1)*5+1)*(AM381/AL381)^INDEX($Q511:$AJ511,1,(AM$4-1)*5+2)*(AM381/AL381)^(INDEX($Q511:$AJ511,1,(AM$4-1)*5+3)*(1+INDEX($Q511:$AJ511,1,(AM$4-1)*5+2)))</f>
        <v/>
      </c>
      <c r="AN511" s="25">
        <f>AM511*(1/(1+INDEX($Q511:$AJ511,1,(AN$4-1)*5+4)))^(1+INDEX($Q511:$AJ511,1,(AN$4-1)*5+2))*(1+AN$7)^INDEX($Q511:$AJ511,1,(AN$4-1)*5+1)*(AN381/AM381)^INDEX($Q511:$AJ511,1,(AN$4-1)*5+2)*(AN381/AM381)^(INDEX($Q511:$AJ511,1,(AN$4-1)*5+3)*(1+INDEX($Q511:$AJ511,1,(AN$4-1)*5+2)))</f>
        <v/>
      </c>
      <c r="AO511" s="25">
        <f>AN511*(1/(1+INDEX($Q511:$AJ511,1,(AO$4-1)*5+4)))^(1+INDEX($Q511:$AJ511,1,(AO$4-1)*5+2))*(1+AO$7)^INDEX($Q511:$AJ511,1,(AO$4-1)*5+1)*(AO381/AN381)^INDEX($Q511:$AJ511,1,(AO$4-1)*5+2)*(AO381/AN381)^(INDEX($Q511:$AJ511,1,(AO$4-1)*5+3)*(1+INDEX($Q511:$AJ511,1,(AO$4-1)*5+2)))</f>
        <v/>
      </c>
      <c r="AP511" s="25">
        <f>AO511*(1/(1+INDEX($Q511:$AJ511,1,(AP$4-1)*5+4)))^(1+INDEX($Q511:$AJ511,1,(AP$4-1)*5+2))*(1+AP$7)^INDEX($Q511:$AJ511,1,(AP$4-1)*5+1)*(AP381/AO381)^INDEX($Q511:$AJ511,1,(AP$4-1)*5+2)*(AP381/AO381)^(INDEX($Q511:$AJ511,1,(AP$4-1)*5+3)*(1+INDEX($Q511:$AJ511,1,(AP$4-1)*5+2)))</f>
        <v/>
      </c>
      <c r="AQ511" s="25">
        <f>AP511*(1/(1+INDEX($Q511:$AJ511,1,(AQ$4-1)*5+4)))^(1+INDEX($Q511:$AJ511,1,(AQ$4-1)*5+2))*(1+AQ$7)^INDEX($Q511:$AJ511,1,(AQ$4-1)*5+1)*(AQ381/AP381)^INDEX($Q511:$AJ511,1,(AQ$4-1)*5+2)*(AQ381/AP381)^(INDEX($Q511:$AJ511,1,(AQ$4-1)*5+3)*(1+INDEX($Q511:$AJ511,1,(AQ$4-1)*5+2)))</f>
        <v/>
      </c>
      <c r="AR511" s="25">
        <f>AQ511*(1/(1+INDEX($Q511:$AJ511,1,(AR$4-1)*5+4)))^(1+INDEX($Q511:$AJ511,1,(AR$4-1)*5+2))*(1+AR$7)^INDEX($Q511:$AJ511,1,(AR$4-1)*5+1)*(AR381/AQ381)^INDEX($Q511:$AJ511,1,(AR$4-1)*5+2)*(AR381/AQ381)^(INDEX($Q511:$AJ511,1,(AR$4-1)*5+3)*(1+INDEX($Q511:$AJ511,1,(AR$4-1)*5+2)))</f>
        <v/>
      </c>
      <c r="AS511" s="25">
        <f>AR511*(1/(1+INDEX($Q511:$AJ511,1,(AS$4-1)*5+4)))^(1+INDEX($Q511:$AJ511,1,(AS$4-1)*5+2))*(1+AS$7)^INDEX($Q511:$AJ511,1,(AS$4-1)*5+1)*(AS381/AR381)^INDEX($Q511:$AJ511,1,(AS$4-1)*5+2)*(AS381/AR381)^(INDEX($Q511:$AJ511,1,(AS$4-1)*5+3)*(1+INDEX($Q511:$AJ511,1,(AS$4-1)*5+2)))</f>
        <v/>
      </c>
      <c r="AT511" s="25">
        <f>AS511*(1/(1+INDEX($Q511:$AJ511,1,(AT$4-1)*5+4)))^(1+INDEX($Q511:$AJ511,1,(AT$4-1)*5+2))*(1+AT$7)^INDEX($Q511:$AJ511,1,(AT$4-1)*5+1)*(AT381/AS381)^INDEX($Q511:$AJ511,1,(AT$4-1)*5+2)*(AT381/AS381)^(INDEX($Q511:$AJ511,1,(AT$4-1)*5+3)*(1+INDEX($Q511:$AJ511,1,(AT$4-1)*5+2)))</f>
        <v/>
      </c>
      <c r="AU511" s="25">
        <f>AT511*(1/(1+INDEX($Q511:$AJ511,1,(AU$4-1)*5+4)))^(1+INDEX($Q511:$AJ511,1,(AU$4-1)*5+2))*(1+AU$7)^INDEX($Q511:$AJ511,1,(AU$4-1)*5+1)*(AU381/AT381)^INDEX($Q511:$AJ511,1,(AU$4-1)*5+2)*(AU381/AT381)^(INDEX($Q511:$AJ511,1,(AU$4-1)*5+3)*(1+INDEX($Q511:$AJ511,1,(AU$4-1)*5+2)))</f>
        <v/>
      </c>
      <c r="AV511" s="25">
        <f>AU511*(1/(1+INDEX($Q511:$AJ511,1,(AV$4-1)*5+4)))^(1+INDEX($Q511:$AJ511,1,(AV$4-1)*5+2))*(1+AV$7)^INDEX($Q511:$AJ511,1,(AV$4-1)*5+1)*(AV381/AU381)^INDEX($Q511:$AJ511,1,(AV$4-1)*5+2)*(AV381/AU381)^(INDEX($Q511:$AJ511,1,(AV$4-1)*5+3)*(1+INDEX($Q511:$AJ511,1,(AV$4-1)*5+2)))</f>
        <v/>
      </c>
      <c r="AW511" s="25">
        <f>AV511*(1/(1+INDEX($Q511:$AJ511,1,(AW$4-1)*5+4)))^(1+INDEX($Q511:$AJ511,1,(AW$4-1)*5+2))*(1+AW$7)^INDEX($Q511:$AJ511,1,(AW$4-1)*5+1)*(AW381/AV381)^INDEX($Q511:$AJ511,1,(AW$4-1)*5+2)*(AW381/AV381)^(INDEX($Q511:$AJ511,1,(AW$4-1)*5+3)*(1+INDEX($Q511:$AJ511,1,(AW$4-1)*5+2)))</f>
        <v/>
      </c>
      <c r="AX511" s="25">
        <f>AW511*(1/(1+INDEX($Q511:$AJ511,1,(AX$4-1)*5+4)))^(1+INDEX($Q511:$AJ511,1,(AX$4-1)*5+2))*(1+AX$7)^INDEX($Q511:$AJ511,1,(AX$4-1)*5+1)*(AX381/AW381)^INDEX($Q511:$AJ511,1,(AX$4-1)*5+2)*(AX381/AW381)^(INDEX($Q511:$AJ511,1,(AX$4-1)*5+3)*(1+INDEX($Q511:$AJ511,1,(AX$4-1)*5+2)))</f>
        <v/>
      </c>
      <c r="AY511" s="25">
        <f>AX511*(1/(1+INDEX($Q511:$AJ511,1,(AY$4-1)*5+4)))^(1+INDEX($Q511:$AJ511,1,(AY$4-1)*5+2))*(1+AY$7)^INDEX($Q511:$AJ511,1,(AY$4-1)*5+1)*(AY381/AX381)^INDEX($Q511:$AJ511,1,(AY$4-1)*5+2)*(AY381/AX381)^(INDEX($Q511:$AJ511,1,(AY$4-1)*5+3)*(1+INDEX($Q511:$AJ511,1,(AY$4-1)*5+2)))</f>
        <v/>
      </c>
      <c r="BA511" s="24">
        <f>INDEX(EnergyCons!$F$4:$F$5000,MATCH(Settings!$C$4&amp;"|"&amp;BA$5&amp;"|"&amp;$C511&amp;"|"&amp;$B511,EnergyCons!$A$4:$A$5000,0))</f>
        <v/>
      </c>
      <c r="BB511" s="25">
        <f>BA511*(1/(1+INDEX($Q511:$AJ511,1,(BB$4-1)*5+4)))^(1+INDEX($Q511:$AJ511,1,(BB$4-1)*5+2))*(1+BB$7)^INDEX($Q511:$AJ511,1,(BB$4-1)*5+1)*(BB381/BA381)^INDEX($Q511:$AJ511,1,(BB$4-1)*5+2)*(BB381/BA381)^(INDEX($Q511:$AJ511,1,(BB$4-1)*5+3)*(1+INDEX($Q511:$AJ511,1,(BB$4-1)*5+2)))</f>
        <v/>
      </c>
      <c r="BC511" s="25">
        <f>BB511*(1/(1+INDEX($Q511:$AJ511,1,(BC$4-1)*5+4)))^(1+INDEX($Q511:$AJ511,1,(BC$4-1)*5+2))*(1+BC$7)^INDEX($Q511:$AJ511,1,(BC$4-1)*5+1)*(BC381/BB381)^INDEX($Q511:$AJ511,1,(BC$4-1)*5+2)*(BC381/BB381)^(INDEX($Q511:$AJ511,1,(BC$4-1)*5+3)*(1+INDEX($Q511:$AJ511,1,(BC$4-1)*5+2)))</f>
        <v/>
      </c>
      <c r="BD511" s="25">
        <f>BC511*(1/(1+INDEX($Q511:$AJ511,1,(BD$4-1)*5+4)))^(1+INDEX($Q511:$AJ511,1,(BD$4-1)*5+2))*(1+BD$7)^INDEX($Q511:$AJ511,1,(BD$4-1)*5+1)*(BD381/BC381)^INDEX($Q511:$AJ511,1,(BD$4-1)*5+2)*(BD381/BC381)^(INDEX($Q511:$AJ511,1,(BD$4-1)*5+3)*(1+INDEX($Q511:$AJ511,1,(BD$4-1)*5+2)))</f>
        <v/>
      </c>
      <c r="BE511" s="25">
        <f>BD511*(1/(1+INDEX($Q511:$AJ511,1,(BE$4-1)*5+4)))^(1+INDEX($Q511:$AJ511,1,(BE$4-1)*5+2))*(1+BE$7)^INDEX($Q511:$AJ511,1,(BE$4-1)*5+1)*(BE381/BD381)^INDEX($Q511:$AJ511,1,(BE$4-1)*5+2)*(BE381/BD381)^(INDEX($Q511:$AJ511,1,(BE$4-1)*5+3)*(1+INDEX($Q511:$AJ511,1,(BE$4-1)*5+2)))</f>
        <v/>
      </c>
      <c r="BF511" s="25">
        <f>BE511*(1/(1+INDEX($Q511:$AJ511,1,(BF$4-1)*5+4)))^(1+INDEX($Q511:$AJ511,1,(BF$4-1)*5+2))*(1+BF$7)^INDEX($Q511:$AJ511,1,(BF$4-1)*5+1)*(BF381/BE381)^INDEX($Q511:$AJ511,1,(BF$4-1)*5+2)*(BF381/BE381)^(INDEX($Q511:$AJ511,1,(BF$4-1)*5+3)*(1+INDEX($Q511:$AJ511,1,(BF$4-1)*5+2)))</f>
        <v/>
      </c>
      <c r="BG511" s="25">
        <f>BF511*(1/(1+INDEX($Q511:$AJ511,1,(BG$4-1)*5+4)))^(1+INDEX($Q511:$AJ511,1,(BG$4-1)*5+2))*(1+BG$7)^INDEX($Q511:$AJ511,1,(BG$4-1)*5+1)*(BG381/BF381)^INDEX($Q511:$AJ511,1,(BG$4-1)*5+2)*(BG381/BF381)^(INDEX($Q511:$AJ511,1,(BG$4-1)*5+3)*(1+INDEX($Q511:$AJ511,1,(BG$4-1)*5+2)))</f>
        <v/>
      </c>
      <c r="BH511" s="25">
        <f>BG511*(1/(1+INDEX($Q511:$AJ511,1,(BH$4-1)*5+4)))^(1+INDEX($Q511:$AJ511,1,(BH$4-1)*5+2))*(1+BH$7)^INDEX($Q511:$AJ511,1,(BH$4-1)*5+1)*(BH381/BG381)^INDEX($Q511:$AJ511,1,(BH$4-1)*5+2)*(BH381/BG381)^(INDEX($Q511:$AJ511,1,(BH$4-1)*5+3)*(1+INDEX($Q511:$AJ511,1,(BH$4-1)*5+2)))</f>
        <v/>
      </c>
      <c r="BI511" s="25">
        <f>BH511*(1/(1+INDEX($Q511:$AJ511,1,(BI$4-1)*5+4)))^(1+INDEX($Q511:$AJ511,1,(BI$4-1)*5+2))*(1+BI$7)^INDEX($Q511:$AJ511,1,(BI$4-1)*5+1)*(BI381/BH381)^INDEX($Q511:$AJ511,1,(BI$4-1)*5+2)*(BI381/BH381)^(INDEX($Q511:$AJ511,1,(BI$4-1)*5+3)*(1+INDEX($Q511:$AJ511,1,(BI$4-1)*5+2)))</f>
        <v/>
      </c>
      <c r="BJ511" s="25">
        <f>BI511*(1/(1+INDEX($Q511:$AJ511,1,(BJ$4-1)*5+4)))^(1+INDEX($Q511:$AJ511,1,(BJ$4-1)*5+2))*(1+BJ$7)^INDEX($Q511:$AJ511,1,(BJ$4-1)*5+1)*(BJ381/BI381)^INDEX($Q511:$AJ511,1,(BJ$4-1)*5+2)*(BJ381/BI381)^(INDEX($Q511:$AJ511,1,(BJ$4-1)*5+3)*(1+INDEX($Q511:$AJ511,1,(BJ$4-1)*5+2)))</f>
        <v/>
      </c>
      <c r="BK511" s="25">
        <f>BJ511*(1/(1+INDEX($Q511:$AJ511,1,(BK$4-1)*5+4)))^(1+INDEX($Q511:$AJ511,1,(BK$4-1)*5+2))*(1+BK$7)^INDEX($Q511:$AJ511,1,(BK$4-1)*5+1)*(BK381/BJ381)^INDEX($Q511:$AJ511,1,(BK$4-1)*5+2)*(BK381/BJ381)^(INDEX($Q511:$AJ511,1,(BK$4-1)*5+3)*(1+INDEX($Q511:$AJ511,1,(BK$4-1)*5+2)))</f>
        <v/>
      </c>
      <c r="BL511" s="25">
        <f>BK511*(1/(1+INDEX($Q511:$AJ511,1,(BL$4-1)*5+4)))^(1+INDEX($Q511:$AJ511,1,(BL$4-1)*5+2))*(1+BL$7)^INDEX($Q511:$AJ511,1,(BL$4-1)*5+1)*(BL381/BK381)^INDEX($Q511:$AJ511,1,(BL$4-1)*5+2)*(BL381/BK381)^(INDEX($Q511:$AJ511,1,(BL$4-1)*5+3)*(1+INDEX($Q511:$AJ511,1,(BL$4-1)*5+2)))</f>
        <v/>
      </c>
      <c r="BM511" s="25">
        <f>BL511*(1/(1+INDEX($Q511:$AJ511,1,(BM$4-1)*5+4)))^(1+INDEX($Q511:$AJ511,1,(BM$4-1)*5+2))*(1+BM$7)^INDEX($Q511:$AJ511,1,(BM$4-1)*5+1)*(BM381/BL381)^INDEX($Q511:$AJ511,1,(BM$4-1)*5+2)*(BM381/BL381)^(INDEX($Q511:$AJ511,1,(BM$4-1)*5+3)*(1+INDEX($Q511:$AJ511,1,(BM$4-1)*5+2)))</f>
        <v/>
      </c>
      <c r="BN511" s="25">
        <f>BM511*(1/(1+INDEX($Q511:$AJ511,1,(BN$4-1)*5+4)))^(1+INDEX($Q511:$AJ511,1,(BN$4-1)*5+2))*(1+BN$7)^INDEX($Q511:$AJ511,1,(BN$4-1)*5+1)*(BN381/BM381)^INDEX($Q511:$AJ511,1,(BN$4-1)*5+2)*(BN381/BM381)^(INDEX($Q511:$AJ511,1,(BN$4-1)*5+3)*(1+INDEX($Q511:$AJ511,1,(BN$4-1)*5+2)))</f>
        <v/>
      </c>
    </row>
    <row r="512">
      <c r="B512" s="5" t="inlineStr">
        <is>
          <t>bio</t>
        </is>
      </c>
      <c r="C512" s="5" t="inlineStr">
        <is>
          <t>cst</t>
        </is>
      </c>
      <c r="D512" s="5" t="inlineStr">
        <is>
          <t>Fuel use | Construction | Biomass</t>
        </is>
      </c>
      <c r="E512" s="5" t="inlineStr">
        <is>
          <t>ktoe</t>
        </is>
      </c>
      <c r="F512" s="5" t="inlineStr">
        <is>
          <t>EnergyCons (base year), Elasticities</t>
        </is>
      </c>
      <c r="G512" s="19" t="inlineStr">
        <is>
          <t>mit.enc.bio.cst</t>
        </is>
      </c>
      <c r="H512" s="19" t="inlineStr">
        <is>
          <t>mit.enc.bio.cst</t>
        </is>
      </c>
      <c r="J512" s="5">
        <f>INDEX(Mapping!$C$5:$C$20,MATCH($C512,Mapping!$A$5:$A$20,0))</f>
        <v/>
      </c>
      <c r="K512" s="5">
        <f>INDEX(Mapping!$D$5:$D$20,MATCH($C512,Mapping!$A$5:$A$20,0))</f>
        <v/>
      </c>
      <c r="L512" s="5">
        <f>INDEX(Mapping!$C$24:$C$31,MATCH($B512,Mapping!$A$24:$A$31,0))</f>
        <v/>
      </c>
      <c r="M512" s="5">
        <f>INDEX(Mapping!$D$24:$D$31,MATCH($B512,Mapping!$A$24:$A$31,0))</f>
        <v/>
      </c>
      <c r="N512" s="5">
        <f>$B512&amp;"."&amp;IF(INDEX(Mapping!$E$24:$E$31,MATCH($B512,Mapping!$A$24:$A$31,0))="sub",INDEX(Mapping!$F$5:$F$20,MATCH($C512,Mapping!$A$5:$A$20,0)),"all")</f>
        <v/>
      </c>
      <c r="O512" s="5">
        <f>INDEX(Mapping!$E$5:$E$20,MATCH($C512,Mapping!$A$5:$A$20,0))</f>
        <v/>
      </c>
      <c r="P512" s="5">
        <f>INDEX(Mapping!$G$24:$G$31,MATCH($B512,Mapping!$A$24:$A$31,0))</f>
        <v/>
      </c>
      <c r="Q512" s="22">
        <f>INDEX(Elasticities!$F$4:$I$200,MATCH("inc|"&amp;$L512&amp;"|"&amp;$K512,Elasticities!$A$4:$A$200,0),MATCH(Settings!$C$6,Elasticities!$F$3:$I$3,0))</f>
        <v/>
      </c>
      <c r="R512" s="22">
        <f>INDEX(Elasticities!$F$4:$I$200,MATCH("usg|"&amp;$L512&amp;"|"&amp;$K512,Elasticities!$A$4:$A$200,0),MATCH(Settings!$C$6,Elasticities!$F$3:$I$3,0))</f>
        <v/>
      </c>
      <c r="S512" s="22">
        <f>INDEX(Elasticities!$F$4:$I$200,MATCH("eff|"&amp;$L512&amp;"|"&amp;$K512,Elasticities!$A$4:$A$200,0),MATCH(Settings!$C$6,Elasticities!$F$3:$I$3,0))</f>
        <v/>
      </c>
      <c r="T512" s="22">
        <f>INDEX(Elasticities!$F$4:$I$200,MATCH("aei|"&amp;$M512&amp;"|"&amp;$K512,Elasticities!$A$4:$A$200,0),MATCH(Settings!$C$6,Elasticities!$F$3:$I$3,0))</f>
        <v/>
      </c>
      <c r="U512" s="21" t="n"/>
      <c r="V512" s="22">
        <f>Q512</f>
        <v/>
      </c>
      <c r="W512" s="22">
        <f>R512</f>
        <v/>
      </c>
      <c r="X512" s="22">
        <f>S512</f>
        <v/>
      </c>
      <c r="Y512" s="22">
        <f>T512</f>
        <v/>
      </c>
      <c r="Z512" s="21" t="n"/>
      <c r="AA512" s="22">
        <f>Q512</f>
        <v/>
      </c>
      <c r="AB512" s="22">
        <f>R512</f>
        <v/>
      </c>
      <c r="AC512" s="22">
        <f>S512</f>
        <v/>
      </c>
      <c r="AD512" s="22">
        <f>T512</f>
        <v/>
      </c>
      <c r="AE512" s="21" t="n"/>
      <c r="AF512" s="22">
        <f>Q512</f>
        <v/>
      </c>
      <c r="AG512" s="22">
        <f>R512</f>
        <v/>
      </c>
      <c r="AH512" s="22">
        <f>S512</f>
        <v/>
      </c>
      <c r="AI512" s="22">
        <f>T512</f>
        <v/>
      </c>
      <c r="AJ512" s="21" t="n"/>
      <c r="AL512" s="24">
        <f>INDEX(EnergyCons!$F$4:$F$5000,MATCH(Settings!$C$4&amp;"|"&amp;AL$5&amp;"|"&amp;$C512&amp;"|"&amp;$B512,EnergyCons!$A$4:$A$5000,0))</f>
        <v/>
      </c>
      <c r="AM512" s="25">
        <f>AL512*(1/(1+INDEX($Q512:$AJ512,1,(AM$4-1)*5+4)))^(1+INDEX($Q512:$AJ512,1,(AM$4-1)*5+2))*(1+AM$7)^INDEX($Q512:$AJ512,1,(AM$4-1)*5+1)*(AM382/AL382)^INDEX($Q512:$AJ512,1,(AM$4-1)*5+2)*(AM382/AL382)^(INDEX($Q512:$AJ512,1,(AM$4-1)*5+3)*(1+INDEX($Q512:$AJ512,1,(AM$4-1)*5+2)))</f>
        <v/>
      </c>
      <c r="AN512" s="25">
        <f>AM512*(1/(1+INDEX($Q512:$AJ512,1,(AN$4-1)*5+4)))^(1+INDEX($Q512:$AJ512,1,(AN$4-1)*5+2))*(1+AN$7)^INDEX($Q512:$AJ512,1,(AN$4-1)*5+1)*(AN382/AM382)^INDEX($Q512:$AJ512,1,(AN$4-1)*5+2)*(AN382/AM382)^(INDEX($Q512:$AJ512,1,(AN$4-1)*5+3)*(1+INDEX($Q512:$AJ512,1,(AN$4-1)*5+2)))</f>
        <v/>
      </c>
      <c r="AO512" s="25">
        <f>AN512*(1/(1+INDEX($Q512:$AJ512,1,(AO$4-1)*5+4)))^(1+INDEX($Q512:$AJ512,1,(AO$4-1)*5+2))*(1+AO$7)^INDEX($Q512:$AJ512,1,(AO$4-1)*5+1)*(AO382/AN382)^INDEX($Q512:$AJ512,1,(AO$4-1)*5+2)*(AO382/AN382)^(INDEX($Q512:$AJ512,1,(AO$4-1)*5+3)*(1+INDEX($Q512:$AJ512,1,(AO$4-1)*5+2)))</f>
        <v/>
      </c>
      <c r="AP512" s="25">
        <f>AO512*(1/(1+INDEX($Q512:$AJ512,1,(AP$4-1)*5+4)))^(1+INDEX($Q512:$AJ512,1,(AP$4-1)*5+2))*(1+AP$7)^INDEX($Q512:$AJ512,1,(AP$4-1)*5+1)*(AP382/AO382)^INDEX($Q512:$AJ512,1,(AP$4-1)*5+2)*(AP382/AO382)^(INDEX($Q512:$AJ512,1,(AP$4-1)*5+3)*(1+INDEX($Q512:$AJ512,1,(AP$4-1)*5+2)))</f>
        <v/>
      </c>
      <c r="AQ512" s="25">
        <f>AP512*(1/(1+INDEX($Q512:$AJ512,1,(AQ$4-1)*5+4)))^(1+INDEX($Q512:$AJ512,1,(AQ$4-1)*5+2))*(1+AQ$7)^INDEX($Q512:$AJ512,1,(AQ$4-1)*5+1)*(AQ382/AP382)^INDEX($Q512:$AJ512,1,(AQ$4-1)*5+2)*(AQ382/AP382)^(INDEX($Q512:$AJ512,1,(AQ$4-1)*5+3)*(1+INDEX($Q512:$AJ512,1,(AQ$4-1)*5+2)))</f>
        <v/>
      </c>
      <c r="AR512" s="25">
        <f>AQ512*(1/(1+INDEX($Q512:$AJ512,1,(AR$4-1)*5+4)))^(1+INDEX($Q512:$AJ512,1,(AR$4-1)*5+2))*(1+AR$7)^INDEX($Q512:$AJ512,1,(AR$4-1)*5+1)*(AR382/AQ382)^INDEX($Q512:$AJ512,1,(AR$4-1)*5+2)*(AR382/AQ382)^(INDEX($Q512:$AJ512,1,(AR$4-1)*5+3)*(1+INDEX($Q512:$AJ512,1,(AR$4-1)*5+2)))</f>
        <v/>
      </c>
      <c r="AS512" s="25">
        <f>AR512*(1/(1+INDEX($Q512:$AJ512,1,(AS$4-1)*5+4)))^(1+INDEX($Q512:$AJ512,1,(AS$4-1)*5+2))*(1+AS$7)^INDEX($Q512:$AJ512,1,(AS$4-1)*5+1)*(AS382/AR382)^INDEX($Q512:$AJ512,1,(AS$4-1)*5+2)*(AS382/AR382)^(INDEX($Q512:$AJ512,1,(AS$4-1)*5+3)*(1+INDEX($Q512:$AJ512,1,(AS$4-1)*5+2)))</f>
        <v/>
      </c>
      <c r="AT512" s="25">
        <f>AS512*(1/(1+INDEX($Q512:$AJ512,1,(AT$4-1)*5+4)))^(1+INDEX($Q512:$AJ512,1,(AT$4-1)*5+2))*(1+AT$7)^INDEX($Q512:$AJ512,1,(AT$4-1)*5+1)*(AT382/AS382)^INDEX($Q512:$AJ512,1,(AT$4-1)*5+2)*(AT382/AS382)^(INDEX($Q512:$AJ512,1,(AT$4-1)*5+3)*(1+INDEX($Q512:$AJ512,1,(AT$4-1)*5+2)))</f>
        <v/>
      </c>
      <c r="AU512" s="25">
        <f>AT512*(1/(1+INDEX($Q512:$AJ512,1,(AU$4-1)*5+4)))^(1+INDEX($Q512:$AJ512,1,(AU$4-1)*5+2))*(1+AU$7)^INDEX($Q512:$AJ512,1,(AU$4-1)*5+1)*(AU382/AT382)^INDEX($Q512:$AJ512,1,(AU$4-1)*5+2)*(AU382/AT382)^(INDEX($Q512:$AJ512,1,(AU$4-1)*5+3)*(1+INDEX($Q512:$AJ512,1,(AU$4-1)*5+2)))</f>
        <v/>
      </c>
      <c r="AV512" s="25">
        <f>AU512*(1/(1+INDEX($Q512:$AJ512,1,(AV$4-1)*5+4)))^(1+INDEX($Q512:$AJ512,1,(AV$4-1)*5+2))*(1+AV$7)^INDEX($Q512:$AJ512,1,(AV$4-1)*5+1)*(AV382/AU382)^INDEX($Q512:$AJ512,1,(AV$4-1)*5+2)*(AV382/AU382)^(INDEX($Q512:$AJ512,1,(AV$4-1)*5+3)*(1+INDEX($Q512:$AJ512,1,(AV$4-1)*5+2)))</f>
        <v/>
      </c>
      <c r="AW512" s="25">
        <f>AV512*(1/(1+INDEX($Q512:$AJ512,1,(AW$4-1)*5+4)))^(1+INDEX($Q512:$AJ512,1,(AW$4-1)*5+2))*(1+AW$7)^INDEX($Q512:$AJ512,1,(AW$4-1)*5+1)*(AW382/AV382)^INDEX($Q512:$AJ512,1,(AW$4-1)*5+2)*(AW382/AV382)^(INDEX($Q512:$AJ512,1,(AW$4-1)*5+3)*(1+INDEX($Q512:$AJ512,1,(AW$4-1)*5+2)))</f>
        <v/>
      </c>
      <c r="AX512" s="25">
        <f>AW512*(1/(1+INDEX($Q512:$AJ512,1,(AX$4-1)*5+4)))^(1+INDEX($Q512:$AJ512,1,(AX$4-1)*5+2))*(1+AX$7)^INDEX($Q512:$AJ512,1,(AX$4-1)*5+1)*(AX382/AW382)^INDEX($Q512:$AJ512,1,(AX$4-1)*5+2)*(AX382/AW382)^(INDEX($Q512:$AJ512,1,(AX$4-1)*5+3)*(1+INDEX($Q512:$AJ512,1,(AX$4-1)*5+2)))</f>
        <v/>
      </c>
      <c r="AY512" s="25">
        <f>AX512*(1/(1+INDEX($Q512:$AJ512,1,(AY$4-1)*5+4)))^(1+INDEX($Q512:$AJ512,1,(AY$4-1)*5+2))*(1+AY$7)^INDEX($Q512:$AJ512,1,(AY$4-1)*5+1)*(AY382/AX382)^INDEX($Q512:$AJ512,1,(AY$4-1)*5+2)*(AY382/AX382)^(INDEX($Q512:$AJ512,1,(AY$4-1)*5+3)*(1+INDEX($Q512:$AJ512,1,(AY$4-1)*5+2)))</f>
        <v/>
      </c>
      <c r="BA512" s="24">
        <f>INDEX(EnergyCons!$F$4:$F$5000,MATCH(Settings!$C$4&amp;"|"&amp;BA$5&amp;"|"&amp;$C512&amp;"|"&amp;$B512,EnergyCons!$A$4:$A$5000,0))</f>
        <v/>
      </c>
      <c r="BB512" s="25">
        <f>BA512*(1/(1+INDEX($Q512:$AJ512,1,(BB$4-1)*5+4)))^(1+INDEX($Q512:$AJ512,1,(BB$4-1)*5+2))*(1+BB$7)^INDEX($Q512:$AJ512,1,(BB$4-1)*5+1)*(BB382/BA382)^INDEX($Q512:$AJ512,1,(BB$4-1)*5+2)*(BB382/BA382)^(INDEX($Q512:$AJ512,1,(BB$4-1)*5+3)*(1+INDEX($Q512:$AJ512,1,(BB$4-1)*5+2)))</f>
        <v/>
      </c>
      <c r="BC512" s="25">
        <f>BB512*(1/(1+INDEX($Q512:$AJ512,1,(BC$4-1)*5+4)))^(1+INDEX($Q512:$AJ512,1,(BC$4-1)*5+2))*(1+BC$7)^INDEX($Q512:$AJ512,1,(BC$4-1)*5+1)*(BC382/BB382)^INDEX($Q512:$AJ512,1,(BC$4-1)*5+2)*(BC382/BB382)^(INDEX($Q512:$AJ512,1,(BC$4-1)*5+3)*(1+INDEX($Q512:$AJ512,1,(BC$4-1)*5+2)))</f>
        <v/>
      </c>
      <c r="BD512" s="25">
        <f>BC512*(1/(1+INDEX($Q512:$AJ512,1,(BD$4-1)*5+4)))^(1+INDEX($Q512:$AJ512,1,(BD$4-1)*5+2))*(1+BD$7)^INDEX($Q512:$AJ512,1,(BD$4-1)*5+1)*(BD382/BC382)^INDEX($Q512:$AJ512,1,(BD$4-1)*5+2)*(BD382/BC382)^(INDEX($Q512:$AJ512,1,(BD$4-1)*5+3)*(1+INDEX($Q512:$AJ512,1,(BD$4-1)*5+2)))</f>
        <v/>
      </c>
      <c r="BE512" s="25">
        <f>BD512*(1/(1+INDEX($Q512:$AJ512,1,(BE$4-1)*5+4)))^(1+INDEX($Q512:$AJ512,1,(BE$4-1)*5+2))*(1+BE$7)^INDEX($Q512:$AJ512,1,(BE$4-1)*5+1)*(BE382/BD382)^INDEX($Q512:$AJ512,1,(BE$4-1)*5+2)*(BE382/BD382)^(INDEX($Q512:$AJ512,1,(BE$4-1)*5+3)*(1+INDEX($Q512:$AJ512,1,(BE$4-1)*5+2)))</f>
        <v/>
      </c>
      <c r="BF512" s="25">
        <f>BE512*(1/(1+INDEX($Q512:$AJ512,1,(BF$4-1)*5+4)))^(1+INDEX($Q512:$AJ512,1,(BF$4-1)*5+2))*(1+BF$7)^INDEX($Q512:$AJ512,1,(BF$4-1)*5+1)*(BF382/BE382)^INDEX($Q512:$AJ512,1,(BF$4-1)*5+2)*(BF382/BE382)^(INDEX($Q512:$AJ512,1,(BF$4-1)*5+3)*(1+INDEX($Q512:$AJ512,1,(BF$4-1)*5+2)))</f>
        <v/>
      </c>
      <c r="BG512" s="25">
        <f>BF512*(1/(1+INDEX($Q512:$AJ512,1,(BG$4-1)*5+4)))^(1+INDEX($Q512:$AJ512,1,(BG$4-1)*5+2))*(1+BG$7)^INDEX($Q512:$AJ512,1,(BG$4-1)*5+1)*(BG382/BF382)^INDEX($Q512:$AJ512,1,(BG$4-1)*5+2)*(BG382/BF382)^(INDEX($Q512:$AJ512,1,(BG$4-1)*5+3)*(1+INDEX($Q512:$AJ512,1,(BG$4-1)*5+2)))</f>
        <v/>
      </c>
      <c r="BH512" s="25">
        <f>BG512*(1/(1+INDEX($Q512:$AJ512,1,(BH$4-1)*5+4)))^(1+INDEX($Q512:$AJ512,1,(BH$4-1)*5+2))*(1+BH$7)^INDEX($Q512:$AJ512,1,(BH$4-1)*5+1)*(BH382/BG382)^INDEX($Q512:$AJ512,1,(BH$4-1)*5+2)*(BH382/BG382)^(INDEX($Q512:$AJ512,1,(BH$4-1)*5+3)*(1+INDEX($Q512:$AJ512,1,(BH$4-1)*5+2)))</f>
        <v/>
      </c>
      <c r="BI512" s="25">
        <f>BH512*(1/(1+INDEX($Q512:$AJ512,1,(BI$4-1)*5+4)))^(1+INDEX($Q512:$AJ512,1,(BI$4-1)*5+2))*(1+BI$7)^INDEX($Q512:$AJ512,1,(BI$4-1)*5+1)*(BI382/BH382)^INDEX($Q512:$AJ512,1,(BI$4-1)*5+2)*(BI382/BH382)^(INDEX($Q512:$AJ512,1,(BI$4-1)*5+3)*(1+INDEX($Q512:$AJ512,1,(BI$4-1)*5+2)))</f>
        <v/>
      </c>
      <c r="BJ512" s="25">
        <f>BI512*(1/(1+INDEX($Q512:$AJ512,1,(BJ$4-1)*5+4)))^(1+INDEX($Q512:$AJ512,1,(BJ$4-1)*5+2))*(1+BJ$7)^INDEX($Q512:$AJ512,1,(BJ$4-1)*5+1)*(BJ382/BI382)^INDEX($Q512:$AJ512,1,(BJ$4-1)*5+2)*(BJ382/BI382)^(INDEX($Q512:$AJ512,1,(BJ$4-1)*5+3)*(1+INDEX($Q512:$AJ512,1,(BJ$4-1)*5+2)))</f>
        <v/>
      </c>
      <c r="BK512" s="25">
        <f>BJ512*(1/(1+INDEX($Q512:$AJ512,1,(BK$4-1)*5+4)))^(1+INDEX($Q512:$AJ512,1,(BK$4-1)*5+2))*(1+BK$7)^INDEX($Q512:$AJ512,1,(BK$4-1)*5+1)*(BK382/BJ382)^INDEX($Q512:$AJ512,1,(BK$4-1)*5+2)*(BK382/BJ382)^(INDEX($Q512:$AJ512,1,(BK$4-1)*5+3)*(1+INDEX($Q512:$AJ512,1,(BK$4-1)*5+2)))</f>
        <v/>
      </c>
      <c r="BL512" s="25">
        <f>BK512*(1/(1+INDEX($Q512:$AJ512,1,(BL$4-1)*5+4)))^(1+INDEX($Q512:$AJ512,1,(BL$4-1)*5+2))*(1+BL$7)^INDEX($Q512:$AJ512,1,(BL$4-1)*5+1)*(BL382/BK382)^INDEX($Q512:$AJ512,1,(BL$4-1)*5+2)*(BL382/BK382)^(INDEX($Q512:$AJ512,1,(BL$4-1)*5+3)*(1+INDEX($Q512:$AJ512,1,(BL$4-1)*5+2)))</f>
        <v/>
      </c>
      <c r="BM512" s="25">
        <f>BL512*(1/(1+INDEX($Q512:$AJ512,1,(BM$4-1)*5+4)))^(1+INDEX($Q512:$AJ512,1,(BM$4-1)*5+2))*(1+BM$7)^INDEX($Q512:$AJ512,1,(BM$4-1)*5+1)*(BM382/BL382)^INDEX($Q512:$AJ512,1,(BM$4-1)*5+2)*(BM382/BL382)^(INDEX($Q512:$AJ512,1,(BM$4-1)*5+3)*(1+INDEX($Q512:$AJ512,1,(BM$4-1)*5+2)))</f>
        <v/>
      </c>
      <c r="BN512" s="25">
        <f>BM512*(1/(1+INDEX($Q512:$AJ512,1,(BN$4-1)*5+4)))^(1+INDEX($Q512:$AJ512,1,(BN$4-1)*5+2))*(1+BN$7)^INDEX($Q512:$AJ512,1,(BN$4-1)*5+1)*(BN382/BM382)^INDEX($Q512:$AJ512,1,(BN$4-1)*5+2)*(BN382/BM382)^(INDEX($Q512:$AJ512,1,(BN$4-1)*5+3)*(1+INDEX($Q512:$AJ512,1,(BN$4-1)*5+2)))</f>
        <v/>
      </c>
    </row>
    <row r="513">
      <c r="B513" s="5" t="inlineStr">
        <is>
          <t>coa</t>
        </is>
      </c>
      <c r="C513" s="5" t="inlineStr">
        <is>
          <t>ftr</t>
        </is>
      </c>
      <c r="D513" s="5" t="inlineStr">
        <is>
          <t>Fuel use | Fuel transformation | Coal</t>
        </is>
      </c>
      <c r="E513" s="5" t="inlineStr">
        <is>
          <t>ktoe</t>
        </is>
      </c>
      <c r="F513" s="5" t="inlineStr">
        <is>
          <t>EnergyCons (base year), Elasticities</t>
        </is>
      </c>
      <c r="G513" s="19" t="inlineStr">
        <is>
          <t>mit.enc.coa.ftr</t>
        </is>
      </c>
      <c r="H513" s="19" t="inlineStr">
        <is>
          <t>mit.enc.coa.ftr</t>
        </is>
      </c>
      <c r="J513" s="5">
        <f>INDEX(Mapping!$C$5:$C$20,MATCH($C513,Mapping!$A$5:$A$20,0))</f>
        <v/>
      </c>
      <c r="K513" s="5">
        <f>INDEX(Mapping!$D$5:$D$20,MATCH($C513,Mapping!$A$5:$A$20,0))</f>
        <v/>
      </c>
      <c r="L513" s="5">
        <f>INDEX(Mapping!$C$24:$C$31,MATCH($B513,Mapping!$A$24:$A$31,0))</f>
        <v/>
      </c>
      <c r="M513" s="5">
        <f>INDEX(Mapping!$D$24:$D$31,MATCH($B513,Mapping!$A$24:$A$31,0))</f>
        <v/>
      </c>
      <c r="N513" s="5">
        <f>$B513&amp;"."&amp;IF(INDEX(Mapping!$E$24:$E$31,MATCH($B513,Mapping!$A$24:$A$31,0))="sub",INDEX(Mapping!$F$5:$F$20,MATCH($C513,Mapping!$A$5:$A$20,0)),"all")</f>
        <v/>
      </c>
      <c r="O513" s="5">
        <f>INDEX(Mapping!$E$5:$E$20,MATCH($C513,Mapping!$A$5:$A$20,0))</f>
        <v/>
      </c>
      <c r="P513" s="5">
        <f>INDEX(Mapping!$G$24:$G$31,MATCH($B513,Mapping!$A$24:$A$31,0))</f>
        <v/>
      </c>
      <c r="Q513" s="22">
        <f>INDEX(Elasticities!$F$4:$I$200,MATCH("inc|"&amp;$L513&amp;"|"&amp;$K513,Elasticities!$A$4:$A$200,0),MATCH(Settings!$C$6,Elasticities!$F$3:$I$3,0))</f>
        <v/>
      </c>
      <c r="R513" s="22">
        <f>INDEX(Elasticities!$F$4:$I$200,MATCH("usg|"&amp;$L513&amp;"|"&amp;$K513,Elasticities!$A$4:$A$200,0),MATCH(Settings!$C$6,Elasticities!$F$3:$I$3,0))</f>
        <v/>
      </c>
      <c r="S513" s="22">
        <f>INDEX(Elasticities!$F$4:$I$200,MATCH("eff|"&amp;$L513&amp;"|"&amp;$K513,Elasticities!$A$4:$A$200,0),MATCH(Settings!$C$6,Elasticities!$F$3:$I$3,0))</f>
        <v/>
      </c>
      <c r="T513" s="22">
        <f>INDEX(Elasticities!$F$4:$I$200,MATCH("aei|"&amp;$M513&amp;"|"&amp;$K513,Elasticities!$A$4:$A$200,0),MATCH(Settings!$C$6,Elasticities!$F$3:$I$3,0))</f>
        <v/>
      </c>
      <c r="U513" s="21" t="n"/>
      <c r="V513" s="22">
        <f>Q513</f>
        <v/>
      </c>
      <c r="W513" s="22">
        <f>R513</f>
        <v/>
      </c>
      <c r="X513" s="22">
        <f>S513</f>
        <v/>
      </c>
      <c r="Y513" s="22">
        <f>T513</f>
        <v/>
      </c>
      <c r="Z513" s="21" t="n"/>
      <c r="AA513" s="22">
        <f>Q513</f>
        <v/>
      </c>
      <c r="AB513" s="22">
        <f>R513</f>
        <v/>
      </c>
      <c r="AC513" s="22">
        <f>S513</f>
        <v/>
      </c>
      <c r="AD513" s="22">
        <f>T513</f>
        <v/>
      </c>
      <c r="AE513" s="21" t="n"/>
      <c r="AF513" s="22">
        <f>Q513</f>
        <v/>
      </c>
      <c r="AG513" s="22">
        <f>R513</f>
        <v/>
      </c>
      <c r="AH513" s="22">
        <f>S513</f>
        <v/>
      </c>
      <c r="AI513" s="22">
        <f>T513</f>
        <v/>
      </c>
      <c r="AJ513" s="21" t="n"/>
      <c r="AL513" s="24">
        <f>INDEX(EnergyCons!$F$4:$F$5000,MATCH(Settings!$C$4&amp;"|"&amp;AL$5&amp;"|"&amp;$C513&amp;"|"&amp;$B513,EnergyCons!$A$4:$A$5000,0))</f>
        <v/>
      </c>
      <c r="AM513" s="25">
        <f>AL513*(1/(1+INDEX($Q513:$AJ513,1,(AM$4-1)*5+4)))^(1+INDEX($Q513:$AJ513,1,(AM$4-1)*5+2))*(1+AM$7)^INDEX($Q513:$AJ513,1,(AM$4-1)*5+1)*(AM383/AL383)^INDEX($Q513:$AJ513,1,(AM$4-1)*5+2)*(AM383/AL383)^(INDEX($Q513:$AJ513,1,(AM$4-1)*5+3)*(1+INDEX($Q513:$AJ513,1,(AM$4-1)*5+2)))</f>
        <v/>
      </c>
      <c r="AN513" s="25">
        <f>AM513*(1/(1+INDEX($Q513:$AJ513,1,(AN$4-1)*5+4)))^(1+INDEX($Q513:$AJ513,1,(AN$4-1)*5+2))*(1+AN$7)^INDEX($Q513:$AJ513,1,(AN$4-1)*5+1)*(AN383/AM383)^INDEX($Q513:$AJ513,1,(AN$4-1)*5+2)*(AN383/AM383)^(INDEX($Q513:$AJ513,1,(AN$4-1)*5+3)*(1+INDEX($Q513:$AJ513,1,(AN$4-1)*5+2)))</f>
        <v/>
      </c>
      <c r="AO513" s="25">
        <f>AN513*(1/(1+INDEX($Q513:$AJ513,1,(AO$4-1)*5+4)))^(1+INDEX($Q513:$AJ513,1,(AO$4-1)*5+2))*(1+AO$7)^INDEX($Q513:$AJ513,1,(AO$4-1)*5+1)*(AO383/AN383)^INDEX($Q513:$AJ513,1,(AO$4-1)*5+2)*(AO383/AN383)^(INDEX($Q513:$AJ513,1,(AO$4-1)*5+3)*(1+INDEX($Q513:$AJ513,1,(AO$4-1)*5+2)))</f>
        <v/>
      </c>
      <c r="AP513" s="25">
        <f>AO513*(1/(1+INDEX($Q513:$AJ513,1,(AP$4-1)*5+4)))^(1+INDEX($Q513:$AJ513,1,(AP$4-1)*5+2))*(1+AP$7)^INDEX($Q513:$AJ513,1,(AP$4-1)*5+1)*(AP383/AO383)^INDEX($Q513:$AJ513,1,(AP$4-1)*5+2)*(AP383/AO383)^(INDEX($Q513:$AJ513,1,(AP$4-1)*5+3)*(1+INDEX($Q513:$AJ513,1,(AP$4-1)*5+2)))</f>
        <v/>
      </c>
      <c r="AQ513" s="25">
        <f>AP513*(1/(1+INDEX($Q513:$AJ513,1,(AQ$4-1)*5+4)))^(1+INDEX($Q513:$AJ513,1,(AQ$4-1)*5+2))*(1+AQ$7)^INDEX($Q513:$AJ513,1,(AQ$4-1)*5+1)*(AQ383/AP383)^INDEX($Q513:$AJ513,1,(AQ$4-1)*5+2)*(AQ383/AP383)^(INDEX($Q513:$AJ513,1,(AQ$4-1)*5+3)*(1+INDEX($Q513:$AJ513,1,(AQ$4-1)*5+2)))</f>
        <v/>
      </c>
      <c r="AR513" s="25">
        <f>AQ513*(1/(1+INDEX($Q513:$AJ513,1,(AR$4-1)*5+4)))^(1+INDEX($Q513:$AJ513,1,(AR$4-1)*5+2))*(1+AR$7)^INDEX($Q513:$AJ513,1,(AR$4-1)*5+1)*(AR383/AQ383)^INDEX($Q513:$AJ513,1,(AR$4-1)*5+2)*(AR383/AQ383)^(INDEX($Q513:$AJ513,1,(AR$4-1)*5+3)*(1+INDEX($Q513:$AJ513,1,(AR$4-1)*5+2)))</f>
        <v/>
      </c>
      <c r="AS513" s="25">
        <f>AR513*(1/(1+INDEX($Q513:$AJ513,1,(AS$4-1)*5+4)))^(1+INDEX($Q513:$AJ513,1,(AS$4-1)*5+2))*(1+AS$7)^INDEX($Q513:$AJ513,1,(AS$4-1)*5+1)*(AS383/AR383)^INDEX($Q513:$AJ513,1,(AS$4-1)*5+2)*(AS383/AR383)^(INDEX($Q513:$AJ513,1,(AS$4-1)*5+3)*(1+INDEX($Q513:$AJ513,1,(AS$4-1)*5+2)))</f>
        <v/>
      </c>
      <c r="AT513" s="25">
        <f>AS513*(1/(1+INDEX($Q513:$AJ513,1,(AT$4-1)*5+4)))^(1+INDEX($Q513:$AJ513,1,(AT$4-1)*5+2))*(1+AT$7)^INDEX($Q513:$AJ513,1,(AT$4-1)*5+1)*(AT383/AS383)^INDEX($Q513:$AJ513,1,(AT$4-1)*5+2)*(AT383/AS383)^(INDEX($Q513:$AJ513,1,(AT$4-1)*5+3)*(1+INDEX($Q513:$AJ513,1,(AT$4-1)*5+2)))</f>
        <v/>
      </c>
      <c r="AU513" s="25">
        <f>AT513*(1/(1+INDEX($Q513:$AJ513,1,(AU$4-1)*5+4)))^(1+INDEX($Q513:$AJ513,1,(AU$4-1)*5+2))*(1+AU$7)^INDEX($Q513:$AJ513,1,(AU$4-1)*5+1)*(AU383/AT383)^INDEX($Q513:$AJ513,1,(AU$4-1)*5+2)*(AU383/AT383)^(INDEX($Q513:$AJ513,1,(AU$4-1)*5+3)*(1+INDEX($Q513:$AJ513,1,(AU$4-1)*5+2)))</f>
        <v/>
      </c>
      <c r="AV513" s="25">
        <f>AU513*(1/(1+INDEX($Q513:$AJ513,1,(AV$4-1)*5+4)))^(1+INDEX($Q513:$AJ513,1,(AV$4-1)*5+2))*(1+AV$7)^INDEX($Q513:$AJ513,1,(AV$4-1)*5+1)*(AV383/AU383)^INDEX($Q513:$AJ513,1,(AV$4-1)*5+2)*(AV383/AU383)^(INDEX($Q513:$AJ513,1,(AV$4-1)*5+3)*(1+INDEX($Q513:$AJ513,1,(AV$4-1)*5+2)))</f>
        <v/>
      </c>
      <c r="AW513" s="25">
        <f>AV513*(1/(1+INDEX($Q513:$AJ513,1,(AW$4-1)*5+4)))^(1+INDEX($Q513:$AJ513,1,(AW$4-1)*5+2))*(1+AW$7)^INDEX($Q513:$AJ513,1,(AW$4-1)*5+1)*(AW383/AV383)^INDEX($Q513:$AJ513,1,(AW$4-1)*5+2)*(AW383/AV383)^(INDEX($Q513:$AJ513,1,(AW$4-1)*5+3)*(1+INDEX($Q513:$AJ513,1,(AW$4-1)*5+2)))</f>
        <v/>
      </c>
      <c r="AX513" s="25">
        <f>AW513*(1/(1+INDEX($Q513:$AJ513,1,(AX$4-1)*5+4)))^(1+INDEX($Q513:$AJ513,1,(AX$4-1)*5+2))*(1+AX$7)^INDEX($Q513:$AJ513,1,(AX$4-1)*5+1)*(AX383/AW383)^INDEX($Q513:$AJ513,1,(AX$4-1)*5+2)*(AX383/AW383)^(INDEX($Q513:$AJ513,1,(AX$4-1)*5+3)*(1+INDEX($Q513:$AJ513,1,(AX$4-1)*5+2)))</f>
        <v/>
      </c>
      <c r="AY513" s="25">
        <f>AX513*(1/(1+INDEX($Q513:$AJ513,1,(AY$4-1)*5+4)))^(1+INDEX($Q513:$AJ513,1,(AY$4-1)*5+2))*(1+AY$7)^INDEX($Q513:$AJ513,1,(AY$4-1)*5+1)*(AY383/AX383)^INDEX($Q513:$AJ513,1,(AY$4-1)*5+2)*(AY383/AX383)^(INDEX($Q513:$AJ513,1,(AY$4-1)*5+3)*(1+INDEX($Q513:$AJ513,1,(AY$4-1)*5+2)))</f>
        <v/>
      </c>
      <c r="BA513" s="24">
        <f>INDEX(EnergyCons!$F$4:$F$5000,MATCH(Settings!$C$4&amp;"|"&amp;BA$5&amp;"|"&amp;$C513&amp;"|"&amp;$B513,EnergyCons!$A$4:$A$5000,0))</f>
        <v/>
      </c>
      <c r="BB513" s="25">
        <f>BA513*(1/(1+INDEX($Q513:$AJ513,1,(BB$4-1)*5+4)))^(1+INDEX($Q513:$AJ513,1,(BB$4-1)*5+2))*(1+BB$7)^INDEX($Q513:$AJ513,1,(BB$4-1)*5+1)*(BB383/BA383)^INDEX($Q513:$AJ513,1,(BB$4-1)*5+2)*(BB383/BA383)^(INDEX($Q513:$AJ513,1,(BB$4-1)*5+3)*(1+INDEX($Q513:$AJ513,1,(BB$4-1)*5+2)))</f>
        <v/>
      </c>
      <c r="BC513" s="25">
        <f>BB513*(1/(1+INDEX($Q513:$AJ513,1,(BC$4-1)*5+4)))^(1+INDEX($Q513:$AJ513,1,(BC$4-1)*5+2))*(1+BC$7)^INDEX($Q513:$AJ513,1,(BC$4-1)*5+1)*(BC383/BB383)^INDEX($Q513:$AJ513,1,(BC$4-1)*5+2)*(BC383/BB383)^(INDEX($Q513:$AJ513,1,(BC$4-1)*5+3)*(1+INDEX($Q513:$AJ513,1,(BC$4-1)*5+2)))</f>
        <v/>
      </c>
      <c r="BD513" s="25">
        <f>BC513*(1/(1+INDEX($Q513:$AJ513,1,(BD$4-1)*5+4)))^(1+INDEX($Q513:$AJ513,1,(BD$4-1)*5+2))*(1+BD$7)^INDEX($Q513:$AJ513,1,(BD$4-1)*5+1)*(BD383/BC383)^INDEX($Q513:$AJ513,1,(BD$4-1)*5+2)*(BD383/BC383)^(INDEX($Q513:$AJ513,1,(BD$4-1)*5+3)*(1+INDEX($Q513:$AJ513,1,(BD$4-1)*5+2)))</f>
        <v/>
      </c>
      <c r="BE513" s="25">
        <f>BD513*(1/(1+INDEX($Q513:$AJ513,1,(BE$4-1)*5+4)))^(1+INDEX($Q513:$AJ513,1,(BE$4-1)*5+2))*(1+BE$7)^INDEX($Q513:$AJ513,1,(BE$4-1)*5+1)*(BE383/BD383)^INDEX($Q513:$AJ513,1,(BE$4-1)*5+2)*(BE383/BD383)^(INDEX($Q513:$AJ513,1,(BE$4-1)*5+3)*(1+INDEX($Q513:$AJ513,1,(BE$4-1)*5+2)))</f>
        <v/>
      </c>
      <c r="BF513" s="25">
        <f>BE513*(1/(1+INDEX($Q513:$AJ513,1,(BF$4-1)*5+4)))^(1+INDEX($Q513:$AJ513,1,(BF$4-1)*5+2))*(1+BF$7)^INDEX($Q513:$AJ513,1,(BF$4-1)*5+1)*(BF383/BE383)^INDEX($Q513:$AJ513,1,(BF$4-1)*5+2)*(BF383/BE383)^(INDEX($Q513:$AJ513,1,(BF$4-1)*5+3)*(1+INDEX($Q513:$AJ513,1,(BF$4-1)*5+2)))</f>
        <v/>
      </c>
      <c r="BG513" s="25">
        <f>BF513*(1/(1+INDEX($Q513:$AJ513,1,(BG$4-1)*5+4)))^(1+INDEX($Q513:$AJ513,1,(BG$4-1)*5+2))*(1+BG$7)^INDEX($Q513:$AJ513,1,(BG$4-1)*5+1)*(BG383/BF383)^INDEX($Q513:$AJ513,1,(BG$4-1)*5+2)*(BG383/BF383)^(INDEX($Q513:$AJ513,1,(BG$4-1)*5+3)*(1+INDEX($Q513:$AJ513,1,(BG$4-1)*5+2)))</f>
        <v/>
      </c>
      <c r="BH513" s="25">
        <f>BG513*(1/(1+INDEX($Q513:$AJ513,1,(BH$4-1)*5+4)))^(1+INDEX($Q513:$AJ513,1,(BH$4-1)*5+2))*(1+BH$7)^INDEX($Q513:$AJ513,1,(BH$4-1)*5+1)*(BH383/BG383)^INDEX($Q513:$AJ513,1,(BH$4-1)*5+2)*(BH383/BG383)^(INDEX($Q513:$AJ513,1,(BH$4-1)*5+3)*(1+INDEX($Q513:$AJ513,1,(BH$4-1)*5+2)))</f>
        <v/>
      </c>
      <c r="BI513" s="25">
        <f>BH513*(1/(1+INDEX($Q513:$AJ513,1,(BI$4-1)*5+4)))^(1+INDEX($Q513:$AJ513,1,(BI$4-1)*5+2))*(1+BI$7)^INDEX($Q513:$AJ513,1,(BI$4-1)*5+1)*(BI383/BH383)^INDEX($Q513:$AJ513,1,(BI$4-1)*5+2)*(BI383/BH383)^(INDEX($Q513:$AJ513,1,(BI$4-1)*5+3)*(1+INDEX($Q513:$AJ513,1,(BI$4-1)*5+2)))</f>
        <v/>
      </c>
      <c r="BJ513" s="25">
        <f>BI513*(1/(1+INDEX($Q513:$AJ513,1,(BJ$4-1)*5+4)))^(1+INDEX($Q513:$AJ513,1,(BJ$4-1)*5+2))*(1+BJ$7)^INDEX($Q513:$AJ513,1,(BJ$4-1)*5+1)*(BJ383/BI383)^INDEX($Q513:$AJ513,1,(BJ$4-1)*5+2)*(BJ383/BI383)^(INDEX($Q513:$AJ513,1,(BJ$4-1)*5+3)*(1+INDEX($Q513:$AJ513,1,(BJ$4-1)*5+2)))</f>
        <v/>
      </c>
      <c r="BK513" s="25">
        <f>BJ513*(1/(1+INDEX($Q513:$AJ513,1,(BK$4-1)*5+4)))^(1+INDEX($Q513:$AJ513,1,(BK$4-1)*5+2))*(1+BK$7)^INDEX($Q513:$AJ513,1,(BK$4-1)*5+1)*(BK383/BJ383)^INDEX($Q513:$AJ513,1,(BK$4-1)*5+2)*(BK383/BJ383)^(INDEX($Q513:$AJ513,1,(BK$4-1)*5+3)*(1+INDEX($Q513:$AJ513,1,(BK$4-1)*5+2)))</f>
        <v/>
      </c>
      <c r="BL513" s="25">
        <f>BK513*(1/(1+INDEX($Q513:$AJ513,1,(BL$4-1)*5+4)))^(1+INDEX($Q513:$AJ513,1,(BL$4-1)*5+2))*(1+BL$7)^INDEX($Q513:$AJ513,1,(BL$4-1)*5+1)*(BL383/BK383)^INDEX($Q513:$AJ513,1,(BL$4-1)*5+2)*(BL383/BK383)^(INDEX($Q513:$AJ513,1,(BL$4-1)*5+3)*(1+INDEX($Q513:$AJ513,1,(BL$4-1)*5+2)))</f>
        <v/>
      </c>
      <c r="BM513" s="25">
        <f>BL513*(1/(1+INDEX($Q513:$AJ513,1,(BM$4-1)*5+4)))^(1+INDEX($Q513:$AJ513,1,(BM$4-1)*5+2))*(1+BM$7)^INDEX($Q513:$AJ513,1,(BM$4-1)*5+1)*(BM383/BL383)^INDEX($Q513:$AJ513,1,(BM$4-1)*5+2)*(BM383/BL383)^(INDEX($Q513:$AJ513,1,(BM$4-1)*5+3)*(1+INDEX($Q513:$AJ513,1,(BM$4-1)*5+2)))</f>
        <v/>
      </c>
      <c r="BN513" s="25">
        <f>BM513*(1/(1+INDEX($Q513:$AJ513,1,(BN$4-1)*5+4)))^(1+INDEX($Q513:$AJ513,1,(BN$4-1)*5+2))*(1+BN$7)^INDEX($Q513:$AJ513,1,(BN$4-1)*5+1)*(BN383/BM383)^INDEX($Q513:$AJ513,1,(BN$4-1)*5+2)*(BN383/BM383)^(INDEX($Q513:$AJ513,1,(BN$4-1)*5+3)*(1+INDEX($Q513:$AJ513,1,(BN$4-1)*5+2)))</f>
        <v/>
      </c>
    </row>
    <row r="514">
      <c r="B514" s="5" t="inlineStr">
        <is>
          <t>nga</t>
        </is>
      </c>
      <c r="C514" s="5" t="inlineStr">
        <is>
          <t>ftr</t>
        </is>
      </c>
      <c r="D514" s="5" t="inlineStr">
        <is>
          <t>Fuel use | Fuel transformation | Natural gas</t>
        </is>
      </c>
      <c r="E514" s="5" t="inlineStr">
        <is>
          <t>ktoe</t>
        </is>
      </c>
      <c r="F514" s="5" t="inlineStr">
        <is>
          <t>EnergyCons (base year), Elasticities</t>
        </is>
      </c>
      <c r="G514" s="19" t="inlineStr">
        <is>
          <t>mit.enc.nga.ftr</t>
        </is>
      </c>
      <c r="H514" s="19" t="inlineStr">
        <is>
          <t>mit.enc.nga.ftr</t>
        </is>
      </c>
      <c r="J514" s="5">
        <f>INDEX(Mapping!$C$5:$C$20,MATCH($C514,Mapping!$A$5:$A$20,0))</f>
        <v/>
      </c>
      <c r="K514" s="5">
        <f>INDEX(Mapping!$D$5:$D$20,MATCH($C514,Mapping!$A$5:$A$20,0))</f>
        <v/>
      </c>
      <c r="L514" s="5">
        <f>INDEX(Mapping!$C$24:$C$31,MATCH($B514,Mapping!$A$24:$A$31,0))</f>
        <v/>
      </c>
      <c r="M514" s="5">
        <f>INDEX(Mapping!$D$24:$D$31,MATCH($B514,Mapping!$A$24:$A$31,0))</f>
        <v/>
      </c>
      <c r="N514" s="5">
        <f>$B514&amp;"."&amp;IF(INDEX(Mapping!$E$24:$E$31,MATCH($B514,Mapping!$A$24:$A$31,0))="sub",INDEX(Mapping!$F$5:$F$20,MATCH($C514,Mapping!$A$5:$A$20,0)),"all")</f>
        <v/>
      </c>
      <c r="O514" s="5">
        <f>INDEX(Mapping!$E$5:$E$20,MATCH($C514,Mapping!$A$5:$A$20,0))</f>
        <v/>
      </c>
      <c r="P514" s="5">
        <f>INDEX(Mapping!$G$24:$G$31,MATCH($B514,Mapping!$A$24:$A$31,0))</f>
        <v/>
      </c>
      <c r="Q514" s="22">
        <f>INDEX(Elasticities!$F$4:$I$200,MATCH("inc|"&amp;$L514&amp;"|"&amp;$K514,Elasticities!$A$4:$A$200,0),MATCH(Settings!$C$6,Elasticities!$F$3:$I$3,0))</f>
        <v/>
      </c>
      <c r="R514" s="22">
        <f>INDEX(Elasticities!$F$4:$I$200,MATCH("usg|"&amp;$L514&amp;"|"&amp;$K514,Elasticities!$A$4:$A$200,0),MATCH(Settings!$C$6,Elasticities!$F$3:$I$3,0))</f>
        <v/>
      </c>
      <c r="S514" s="22">
        <f>INDEX(Elasticities!$F$4:$I$200,MATCH("eff|"&amp;$L514&amp;"|"&amp;$K514,Elasticities!$A$4:$A$200,0),MATCH(Settings!$C$6,Elasticities!$F$3:$I$3,0))</f>
        <v/>
      </c>
      <c r="T514" s="22">
        <f>INDEX(Elasticities!$F$4:$I$200,MATCH("aei|"&amp;$M514&amp;"|"&amp;$K514,Elasticities!$A$4:$A$200,0),MATCH(Settings!$C$6,Elasticities!$F$3:$I$3,0))</f>
        <v/>
      </c>
      <c r="U514" s="21" t="n"/>
      <c r="V514" s="22">
        <f>Q514</f>
        <v/>
      </c>
      <c r="W514" s="22">
        <f>R514</f>
        <v/>
      </c>
      <c r="X514" s="22">
        <f>S514</f>
        <v/>
      </c>
      <c r="Y514" s="22">
        <f>T514</f>
        <v/>
      </c>
      <c r="Z514" s="21" t="n"/>
      <c r="AA514" s="22">
        <f>Q514</f>
        <v/>
      </c>
      <c r="AB514" s="22">
        <f>R514</f>
        <v/>
      </c>
      <c r="AC514" s="22">
        <f>S514</f>
        <v/>
      </c>
      <c r="AD514" s="22">
        <f>T514</f>
        <v/>
      </c>
      <c r="AE514" s="21" t="n"/>
      <c r="AF514" s="22">
        <f>Q514</f>
        <v/>
      </c>
      <c r="AG514" s="22">
        <f>R514</f>
        <v/>
      </c>
      <c r="AH514" s="22">
        <f>S514</f>
        <v/>
      </c>
      <c r="AI514" s="22">
        <f>T514</f>
        <v/>
      </c>
      <c r="AJ514" s="21" t="n"/>
      <c r="AL514" s="24">
        <f>INDEX(EnergyCons!$F$4:$F$5000,MATCH(Settings!$C$4&amp;"|"&amp;AL$5&amp;"|"&amp;$C514&amp;"|"&amp;$B514,EnergyCons!$A$4:$A$5000,0))</f>
        <v/>
      </c>
      <c r="AM514" s="25">
        <f>AL514*(1/(1+INDEX($Q514:$AJ514,1,(AM$4-1)*5+4)))^(1+INDEX($Q514:$AJ514,1,(AM$4-1)*5+2))*(1+AM$7)^INDEX($Q514:$AJ514,1,(AM$4-1)*5+1)*(AM384/AL384)^INDEX($Q514:$AJ514,1,(AM$4-1)*5+2)*(AM384/AL384)^(INDEX($Q514:$AJ514,1,(AM$4-1)*5+3)*(1+INDEX($Q514:$AJ514,1,(AM$4-1)*5+2)))</f>
        <v/>
      </c>
      <c r="AN514" s="25">
        <f>AM514*(1/(1+INDEX($Q514:$AJ514,1,(AN$4-1)*5+4)))^(1+INDEX($Q514:$AJ514,1,(AN$4-1)*5+2))*(1+AN$7)^INDEX($Q514:$AJ514,1,(AN$4-1)*5+1)*(AN384/AM384)^INDEX($Q514:$AJ514,1,(AN$4-1)*5+2)*(AN384/AM384)^(INDEX($Q514:$AJ514,1,(AN$4-1)*5+3)*(1+INDEX($Q514:$AJ514,1,(AN$4-1)*5+2)))</f>
        <v/>
      </c>
      <c r="AO514" s="25">
        <f>AN514*(1/(1+INDEX($Q514:$AJ514,1,(AO$4-1)*5+4)))^(1+INDEX($Q514:$AJ514,1,(AO$4-1)*5+2))*(1+AO$7)^INDEX($Q514:$AJ514,1,(AO$4-1)*5+1)*(AO384/AN384)^INDEX($Q514:$AJ514,1,(AO$4-1)*5+2)*(AO384/AN384)^(INDEX($Q514:$AJ514,1,(AO$4-1)*5+3)*(1+INDEX($Q514:$AJ514,1,(AO$4-1)*5+2)))</f>
        <v/>
      </c>
      <c r="AP514" s="25">
        <f>AO514*(1/(1+INDEX($Q514:$AJ514,1,(AP$4-1)*5+4)))^(1+INDEX($Q514:$AJ514,1,(AP$4-1)*5+2))*(1+AP$7)^INDEX($Q514:$AJ514,1,(AP$4-1)*5+1)*(AP384/AO384)^INDEX($Q514:$AJ514,1,(AP$4-1)*5+2)*(AP384/AO384)^(INDEX($Q514:$AJ514,1,(AP$4-1)*5+3)*(1+INDEX($Q514:$AJ514,1,(AP$4-1)*5+2)))</f>
        <v/>
      </c>
      <c r="AQ514" s="25">
        <f>AP514*(1/(1+INDEX($Q514:$AJ514,1,(AQ$4-1)*5+4)))^(1+INDEX($Q514:$AJ514,1,(AQ$4-1)*5+2))*(1+AQ$7)^INDEX($Q514:$AJ514,1,(AQ$4-1)*5+1)*(AQ384/AP384)^INDEX($Q514:$AJ514,1,(AQ$4-1)*5+2)*(AQ384/AP384)^(INDEX($Q514:$AJ514,1,(AQ$4-1)*5+3)*(1+INDEX($Q514:$AJ514,1,(AQ$4-1)*5+2)))</f>
        <v/>
      </c>
      <c r="AR514" s="25">
        <f>AQ514*(1/(1+INDEX($Q514:$AJ514,1,(AR$4-1)*5+4)))^(1+INDEX($Q514:$AJ514,1,(AR$4-1)*5+2))*(1+AR$7)^INDEX($Q514:$AJ514,1,(AR$4-1)*5+1)*(AR384/AQ384)^INDEX($Q514:$AJ514,1,(AR$4-1)*5+2)*(AR384/AQ384)^(INDEX($Q514:$AJ514,1,(AR$4-1)*5+3)*(1+INDEX($Q514:$AJ514,1,(AR$4-1)*5+2)))</f>
        <v/>
      </c>
      <c r="AS514" s="25">
        <f>AR514*(1/(1+INDEX($Q514:$AJ514,1,(AS$4-1)*5+4)))^(1+INDEX($Q514:$AJ514,1,(AS$4-1)*5+2))*(1+AS$7)^INDEX($Q514:$AJ514,1,(AS$4-1)*5+1)*(AS384/AR384)^INDEX($Q514:$AJ514,1,(AS$4-1)*5+2)*(AS384/AR384)^(INDEX($Q514:$AJ514,1,(AS$4-1)*5+3)*(1+INDEX($Q514:$AJ514,1,(AS$4-1)*5+2)))</f>
        <v/>
      </c>
      <c r="AT514" s="25">
        <f>AS514*(1/(1+INDEX($Q514:$AJ514,1,(AT$4-1)*5+4)))^(1+INDEX($Q514:$AJ514,1,(AT$4-1)*5+2))*(1+AT$7)^INDEX($Q514:$AJ514,1,(AT$4-1)*5+1)*(AT384/AS384)^INDEX($Q514:$AJ514,1,(AT$4-1)*5+2)*(AT384/AS384)^(INDEX($Q514:$AJ514,1,(AT$4-1)*5+3)*(1+INDEX($Q514:$AJ514,1,(AT$4-1)*5+2)))</f>
        <v/>
      </c>
      <c r="AU514" s="25">
        <f>AT514*(1/(1+INDEX($Q514:$AJ514,1,(AU$4-1)*5+4)))^(1+INDEX($Q514:$AJ514,1,(AU$4-1)*5+2))*(1+AU$7)^INDEX($Q514:$AJ514,1,(AU$4-1)*5+1)*(AU384/AT384)^INDEX($Q514:$AJ514,1,(AU$4-1)*5+2)*(AU384/AT384)^(INDEX($Q514:$AJ514,1,(AU$4-1)*5+3)*(1+INDEX($Q514:$AJ514,1,(AU$4-1)*5+2)))</f>
        <v/>
      </c>
      <c r="AV514" s="25">
        <f>AU514*(1/(1+INDEX($Q514:$AJ514,1,(AV$4-1)*5+4)))^(1+INDEX($Q514:$AJ514,1,(AV$4-1)*5+2))*(1+AV$7)^INDEX($Q514:$AJ514,1,(AV$4-1)*5+1)*(AV384/AU384)^INDEX($Q514:$AJ514,1,(AV$4-1)*5+2)*(AV384/AU384)^(INDEX($Q514:$AJ514,1,(AV$4-1)*5+3)*(1+INDEX($Q514:$AJ514,1,(AV$4-1)*5+2)))</f>
        <v/>
      </c>
      <c r="AW514" s="25">
        <f>AV514*(1/(1+INDEX($Q514:$AJ514,1,(AW$4-1)*5+4)))^(1+INDEX($Q514:$AJ514,1,(AW$4-1)*5+2))*(1+AW$7)^INDEX($Q514:$AJ514,1,(AW$4-1)*5+1)*(AW384/AV384)^INDEX($Q514:$AJ514,1,(AW$4-1)*5+2)*(AW384/AV384)^(INDEX($Q514:$AJ514,1,(AW$4-1)*5+3)*(1+INDEX($Q514:$AJ514,1,(AW$4-1)*5+2)))</f>
        <v/>
      </c>
      <c r="AX514" s="25">
        <f>AW514*(1/(1+INDEX($Q514:$AJ514,1,(AX$4-1)*5+4)))^(1+INDEX($Q514:$AJ514,1,(AX$4-1)*5+2))*(1+AX$7)^INDEX($Q514:$AJ514,1,(AX$4-1)*5+1)*(AX384/AW384)^INDEX($Q514:$AJ514,1,(AX$4-1)*5+2)*(AX384/AW384)^(INDEX($Q514:$AJ514,1,(AX$4-1)*5+3)*(1+INDEX($Q514:$AJ514,1,(AX$4-1)*5+2)))</f>
        <v/>
      </c>
      <c r="AY514" s="25">
        <f>AX514*(1/(1+INDEX($Q514:$AJ514,1,(AY$4-1)*5+4)))^(1+INDEX($Q514:$AJ514,1,(AY$4-1)*5+2))*(1+AY$7)^INDEX($Q514:$AJ514,1,(AY$4-1)*5+1)*(AY384/AX384)^INDEX($Q514:$AJ514,1,(AY$4-1)*5+2)*(AY384/AX384)^(INDEX($Q514:$AJ514,1,(AY$4-1)*5+3)*(1+INDEX($Q514:$AJ514,1,(AY$4-1)*5+2)))</f>
        <v/>
      </c>
      <c r="BA514" s="24">
        <f>INDEX(EnergyCons!$F$4:$F$5000,MATCH(Settings!$C$4&amp;"|"&amp;BA$5&amp;"|"&amp;$C514&amp;"|"&amp;$B514,EnergyCons!$A$4:$A$5000,0))</f>
        <v/>
      </c>
      <c r="BB514" s="25">
        <f>BA514*(1/(1+INDEX($Q514:$AJ514,1,(BB$4-1)*5+4)))^(1+INDEX($Q514:$AJ514,1,(BB$4-1)*5+2))*(1+BB$7)^INDEX($Q514:$AJ514,1,(BB$4-1)*5+1)*(BB384/BA384)^INDEX($Q514:$AJ514,1,(BB$4-1)*5+2)*(BB384/BA384)^(INDEX($Q514:$AJ514,1,(BB$4-1)*5+3)*(1+INDEX($Q514:$AJ514,1,(BB$4-1)*5+2)))</f>
        <v/>
      </c>
      <c r="BC514" s="25">
        <f>BB514*(1/(1+INDEX($Q514:$AJ514,1,(BC$4-1)*5+4)))^(1+INDEX($Q514:$AJ514,1,(BC$4-1)*5+2))*(1+BC$7)^INDEX($Q514:$AJ514,1,(BC$4-1)*5+1)*(BC384/BB384)^INDEX($Q514:$AJ514,1,(BC$4-1)*5+2)*(BC384/BB384)^(INDEX($Q514:$AJ514,1,(BC$4-1)*5+3)*(1+INDEX($Q514:$AJ514,1,(BC$4-1)*5+2)))</f>
        <v/>
      </c>
      <c r="BD514" s="25">
        <f>BC514*(1/(1+INDEX($Q514:$AJ514,1,(BD$4-1)*5+4)))^(1+INDEX($Q514:$AJ514,1,(BD$4-1)*5+2))*(1+BD$7)^INDEX($Q514:$AJ514,1,(BD$4-1)*5+1)*(BD384/BC384)^INDEX($Q514:$AJ514,1,(BD$4-1)*5+2)*(BD384/BC384)^(INDEX($Q514:$AJ514,1,(BD$4-1)*5+3)*(1+INDEX($Q514:$AJ514,1,(BD$4-1)*5+2)))</f>
        <v/>
      </c>
      <c r="BE514" s="25">
        <f>BD514*(1/(1+INDEX($Q514:$AJ514,1,(BE$4-1)*5+4)))^(1+INDEX($Q514:$AJ514,1,(BE$4-1)*5+2))*(1+BE$7)^INDEX($Q514:$AJ514,1,(BE$4-1)*5+1)*(BE384/BD384)^INDEX($Q514:$AJ514,1,(BE$4-1)*5+2)*(BE384/BD384)^(INDEX($Q514:$AJ514,1,(BE$4-1)*5+3)*(1+INDEX($Q514:$AJ514,1,(BE$4-1)*5+2)))</f>
        <v/>
      </c>
      <c r="BF514" s="25">
        <f>BE514*(1/(1+INDEX($Q514:$AJ514,1,(BF$4-1)*5+4)))^(1+INDEX($Q514:$AJ514,1,(BF$4-1)*5+2))*(1+BF$7)^INDEX($Q514:$AJ514,1,(BF$4-1)*5+1)*(BF384/BE384)^INDEX($Q514:$AJ514,1,(BF$4-1)*5+2)*(BF384/BE384)^(INDEX($Q514:$AJ514,1,(BF$4-1)*5+3)*(1+INDEX($Q514:$AJ514,1,(BF$4-1)*5+2)))</f>
        <v/>
      </c>
      <c r="BG514" s="25">
        <f>BF514*(1/(1+INDEX($Q514:$AJ514,1,(BG$4-1)*5+4)))^(1+INDEX($Q514:$AJ514,1,(BG$4-1)*5+2))*(1+BG$7)^INDEX($Q514:$AJ514,1,(BG$4-1)*5+1)*(BG384/BF384)^INDEX($Q514:$AJ514,1,(BG$4-1)*5+2)*(BG384/BF384)^(INDEX($Q514:$AJ514,1,(BG$4-1)*5+3)*(1+INDEX($Q514:$AJ514,1,(BG$4-1)*5+2)))</f>
        <v/>
      </c>
      <c r="BH514" s="25">
        <f>BG514*(1/(1+INDEX($Q514:$AJ514,1,(BH$4-1)*5+4)))^(1+INDEX($Q514:$AJ514,1,(BH$4-1)*5+2))*(1+BH$7)^INDEX($Q514:$AJ514,1,(BH$4-1)*5+1)*(BH384/BG384)^INDEX($Q514:$AJ514,1,(BH$4-1)*5+2)*(BH384/BG384)^(INDEX($Q514:$AJ514,1,(BH$4-1)*5+3)*(1+INDEX($Q514:$AJ514,1,(BH$4-1)*5+2)))</f>
        <v/>
      </c>
      <c r="BI514" s="25">
        <f>BH514*(1/(1+INDEX($Q514:$AJ514,1,(BI$4-1)*5+4)))^(1+INDEX($Q514:$AJ514,1,(BI$4-1)*5+2))*(1+BI$7)^INDEX($Q514:$AJ514,1,(BI$4-1)*5+1)*(BI384/BH384)^INDEX($Q514:$AJ514,1,(BI$4-1)*5+2)*(BI384/BH384)^(INDEX($Q514:$AJ514,1,(BI$4-1)*5+3)*(1+INDEX($Q514:$AJ514,1,(BI$4-1)*5+2)))</f>
        <v/>
      </c>
      <c r="BJ514" s="25">
        <f>BI514*(1/(1+INDEX($Q514:$AJ514,1,(BJ$4-1)*5+4)))^(1+INDEX($Q514:$AJ514,1,(BJ$4-1)*5+2))*(1+BJ$7)^INDEX($Q514:$AJ514,1,(BJ$4-1)*5+1)*(BJ384/BI384)^INDEX($Q514:$AJ514,1,(BJ$4-1)*5+2)*(BJ384/BI384)^(INDEX($Q514:$AJ514,1,(BJ$4-1)*5+3)*(1+INDEX($Q514:$AJ514,1,(BJ$4-1)*5+2)))</f>
        <v/>
      </c>
      <c r="BK514" s="25">
        <f>BJ514*(1/(1+INDEX($Q514:$AJ514,1,(BK$4-1)*5+4)))^(1+INDEX($Q514:$AJ514,1,(BK$4-1)*5+2))*(1+BK$7)^INDEX($Q514:$AJ514,1,(BK$4-1)*5+1)*(BK384/BJ384)^INDEX($Q514:$AJ514,1,(BK$4-1)*5+2)*(BK384/BJ384)^(INDEX($Q514:$AJ514,1,(BK$4-1)*5+3)*(1+INDEX($Q514:$AJ514,1,(BK$4-1)*5+2)))</f>
        <v/>
      </c>
      <c r="BL514" s="25">
        <f>BK514*(1/(1+INDEX($Q514:$AJ514,1,(BL$4-1)*5+4)))^(1+INDEX($Q514:$AJ514,1,(BL$4-1)*5+2))*(1+BL$7)^INDEX($Q514:$AJ514,1,(BL$4-1)*5+1)*(BL384/BK384)^INDEX($Q514:$AJ514,1,(BL$4-1)*5+2)*(BL384/BK384)^(INDEX($Q514:$AJ514,1,(BL$4-1)*5+3)*(1+INDEX($Q514:$AJ514,1,(BL$4-1)*5+2)))</f>
        <v/>
      </c>
      <c r="BM514" s="25">
        <f>BL514*(1/(1+INDEX($Q514:$AJ514,1,(BM$4-1)*5+4)))^(1+INDEX($Q514:$AJ514,1,(BM$4-1)*5+2))*(1+BM$7)^INDEX($Q514:$AJ514,1,(BM$4-1)*5+1)*(BM384/BL384)^INDEX($Q514:$AJ514,1,(BM$4-1)*5+2)*(BM384/BL384)^(INDEX($Q514:$AJ514,1,(BM$4-1)*5+3)*(1+INDEX($Q514:$AJ514,1,(BM$4-1)*5+2)))</f>
        <v/>
      </c>
      <c r="BN514" s="25">
        <f>BM514*(1/(1+INDEX($Q514:$AJ514,1,(BN$4-1)*5+4)))^(1+INDEX($Q514:$AJ514,1,(BN$4-1)*5+2))*(1+BN$7)^INDEX($Q514:$AJ514,1,(BN$4-1)*5+1)*(BN384/BM384)^INDEX($Q514:$AJ514,1,(BN$4-1)*5+2)*(BN384/BM384)^(INDEX($Q514:$AJ514,1,(BN$4-1)*5+3)*(1+INDEX($Q514:$AJ514,1,(BN$4-1)*5+2)))</f>
        <v/>
      </c>
    </row>
    <row r="515">
      <c r="B515" s="5" t="inlineStr">
        <is>
          <t>gso</t>
        </is>
      </c>
      <c r="C515" s="5" t="inlineStr">
        <is>
          <t>ftr</t>
        </is>
      </c>
      <c r="D515" s="5" t="inlineStr">
        <is>
          <t>Fuel use | Fuel transformation | Gasoline</t>
        </is>
      </c>
      <c r="E515" s="5" t="inlineStr">
        <is>
          <t>ktoe</t>
        </is>
      </c>
      <c r="F515" s="5" t="inlineStr">
        <is>
          <t>EnergyCons (base year), Elasticities</t>
        </is>
      </c>
      <c r="G515" s="19" t="inlineStr">
        <is>
          <t>mit.enc.gso.ftr</t>
        </is>
      </c>
      <c r="H515" s="19" t="inlineStr">
        <is>
          <t>mit.enc.gso.ftr</t>
        </is>
      </c>
      <c r="J515" s="5">
        <f>INDEX(Mapping!$C$5:$C$20,MATCH($C515,Mapping!$A$5:$A$20,0))</f>
        <v/>
      </c>
      <c r="K515" s="5">
        <f>INDEX(Mapping!$D$5:$D$20,MATCH($C515,Mapping!$A$5:$A$20,0))</f>
        <v/>
      </c>
      <c r="L515" s="5">
        <f>INDEX(Mapping!$C$24:$C$31,MATCH($B515,Mapping!$A$24:$A$31,0))</f>
        <v/>
      </c>
      <c r="M515" s="5">
        <f>INDEX(Mapping!$D$24:$D$31,MATCH($B515,Mapping!$A$24:$A$31,0))</f>
        <v/>
      </c>
      <c r="N515" s="5">
        <f>$B515&amp;"."&amp;IF(INDEX(Mapping!$E$24:$E$31,MATCH($B515,Mapping!$A$24:$A$31,0))="sub",INDEX(Mapping!$F$5:$F$20,MATCH($C515,Mapping!$A$5:$A$20,0)),"all")</f>
        <v/>
      </c>
      <c r="O515" s="5">
        <f>INDEX(Mapping!$E$5:$E$20,MATCH($C515,Mapping!$A$5:$A$20,0))</f>
        <v/>
      </c>
      <c r="P515" s="5">
        <f>INDEX(Mapping!$G$24:$G$31,MATCH($B515,Mapping!$A$24:$A$31,0))</f>
        <v/>
      </c>
      <c r="Q515" s="22">
        <f>INDEX(Elasticities!$F$4:$I$200,MATCH("inc|"&amp;$L515&amp;"|"&amp;$K515,Elasticities!$A$4:$A$200,0),MATCH(Settings!$C$6,Elasticities!$F$3:$I$3,0))</f>
        <v/>
      </c>
      <c r="R515" s="22">
        <f>INDEX(Elasticities!$F$4:$I$200,MATCH("usg|"&amp;$L515&amp;"|"&amp;$K515,Elasticities!$A$4:$A$200,0),MATCH(Settings!$C$6,Elasticities!$F$3:$I$3,0))</f>
        <v/>
      </c>
      <c r="S515" s="22">
        <f>INDEX(Elasticities!$F$4:$I$200,MATCH("eff|"&amp;$L515&amp;"|"&amp;$K515,Elasticities!$A$4:$A$200,0),MATCH(Settings!$C$6,Elasticities!$F$3:$I$3,0))</f>
        <v/>
      </c>
      <c r="T515" s="22">
        <f>INDEX(Elasticities!$F$4:$I$200,MATCH("aei|"&amp;$M515&amp;"|"&amp;$K515,Elasticities!$A$4:$A$200,0),MATCH(Settings!$C$6,Elasticities!$F$3:$I$3,0))</f>
        <v/>
      </c>
      <c r="U515" s="21" t="n"/>
      <c r="V515" s="22">
        <f>Q515</f>
        <v/>
      </c>
      <c r="W515" s="22">
        <f>R515</f>
        <v/>
      </c>
      <c r="X515" s="22">
        <f>S515</f>
        <v/>
      </c>
      <c r="Y515" s="22">
        <f>T515</f>
        <v/>
      </c>
      <c r="Z515" s="21" t="n"/>
      <c r="AA515" s="22">
        <f>Q515</f>
        <v/>
      </c>
      <c r="AB515" s="22">
        <f>R515</f>
        <v/>
      </c>
      <c r="AC515" s="22">
        <f>S515</f>
        <v/>
      </c>
      <c r="AD515" s="22">
        <f>T515</f>
        <v/>
      </c>
      <c r="AE515" s="21" t="n"/>
      <c r="AF515" s="22">
        <f>Q515</f>
        <v/>
      </c>
      <c r="AG515" s="22">
        <f>R515</f>
        <v/>
      </c>
      <c r="AH515" s="22">
        <f>S515</f>
        <v/>
      </c>
      <c r="AI515" s="22">
        <f>T515</f>
        <v/>
      </c>
      <c r="AJ515" s="21" t="n"/>
      <c r="AL515" s="24">
        <f>INDEX(EnergyCons!$F$4:$F$5000,MATCH(Settings!$C$4&amp;"|"&amp;AL$5&amp;"|"&amp;$C515&amp;"|"&amp;$B515,EnergyCons!$A$4:$A$5000,0))</f>
        <v/>
      </c>
      <c r="AM515" s="25">
        <f>AL515*(1/(1+INDEX($Q515:$AJ515,1,(AM$4-1)*5+4)))^(1+INDEX($Q515:$AJ515,1,(AM$4-1)*5+2))*(1+AM$7)^INDEX($Q515:$AJ515,1,(AM$4-1)*5+1)*(AM385/AL385)^INDEX($Q515:$AJ515,1,(AM$4-1)*5+2)*(AM385/AL385)^(INDEX($Q515:$AJ515,1,(AM$4-1)*5+3)*(1+INDEX($Q515:$AJ515,1,(AM$4-1)*5+2)))</f>
        <v/>
      </c>
      <c r="AN515" s="25">
        <f>AM515*(1/(1+INDEX($Q515:$AJ515,1,(AN$4-1)*5+4)))^(1+INDEX($Q515:$AJ515,1,(AN$4-1)*5+2))*(1+AN$7)^INDEX($Q515:$AJ515,1,(AN$4-1)*5+1)*(AN385/AM385)^INDEX($Q515:$AJ515,1,(AN$4-1)*5+2)*(AN385/AM385)^(INDEX($Q515:$AJ515,1,(AN$4-1)*5+3)*(1+INDEX($Q515:$AJ515,1,(AN$4-1)*5+2)))</f>
        <v/>
      </c>
      <c r="AO515" s="25">
        <f>AN515*(1/(1+INDEX($Q515:$AJ515,1,(AO$4-1)*5+4)))^(1+INDEX($Q515:$AJ515,1,(AO$4-1)*5+2))*(1+AO$7)^INDEX($Q515:$AJ515,1,(AO$4-1)*5+1)*(AO385/AN385)^INDEX($Q515:$AJ515,1,(AO$4-1)*5+2)*(AO385/AN385)^(INDEX($Q515:$AJ515,1,(AO$4-1)*5+3)*(1+INDEX($Q515:$AJ515,1,(AO$4-1)*5+2)))</f>
        <v/>
      </c>
      <c r="AP515" s="25">
        <f>AO515*(1/(1+INDEX($Q515:$AJ515,1,(AP$4-1)*5+4)))^(1+INDEX($Q515:$AJ515,1,(AP$4-1)*5+2))*(1+AP$7)^INDEX($Q515:$AJ515,1,(AP$4-1)*5+1)*(AP385/AO385)^INDEX($Q515:$AJ515,1,(AP$4-1)*5+2)*(AP385/AO385)^(INDEX($Q515:$AJ515,1,(AP$4-1)*5+3)*(1+INDEX($Q515:$AJ515,1,(AP$4-1)*5+2)))</f>
        <v/>
      </c>
      <c r="AQ515" s="25">
        <f>AP515*(1/(1+INDEX($Q515:$AJ515,1,(AQ$4-1)*5+4)))^(1+INDEX($Q515:$AJ515,1,(AQ$4-1)*5+2))*(1+AQ$7)^INDEX($Q515:$AJ515,1,(AQ$4-1)*5+1)*(AQ385/AP385)^INDEX($Q515:$AJ515,1,(AQ$4-1)*5+2)*(AQ385/AP385)^(INDEX($Q515:$AJ515,1,(AQ$4-1)*5+3)*(1+INDEX($Q515:$AJ515,1,(AQ$4-1)*5+2)))</f>
        <v/>
      </c>
      <c r="AR515" s="25">
        <f>AQ515*(1/(1+INDEX($Q515:$AJ515,1,(AR$4-1)*5+4)))^(1+INDEX($Q515:$AJ515,1,(AR$4-1)*5+2))*(1+AR$7)^INDEX($Q515:$AJ515,1,(AR$4-1)*5+1)*(AR385/AQ385)^INDEX($Q515:$AJ515,1,(AR$4-1)*5+2)*(AR385/AQ385)^(INDEX($Q515:$AJ515,1,(AR$4-1)*5+3)*(1+INDEX($Q515:$AJ515,1,(AR$4-1)*5+2)))</f>
        <v/>
      </c>
      <c r="AS515" s="25">
        <f>AR515*(1/(1+INDEX($Q515:$AJ515,1,(AS$4-1)*5+4)))^(1+INDEX($Q515:$AJ515,1,(AS$4-1)*5+2))*(1+AS$7)^INDEX($Q515:$AJ515,1,(AS$4-1)*5+1)*(AS385/AR385)^INDEX($Q515:$AJ515,1,(AS$4-1)*5+2)*(AS385/AR385)^(INDEX($Q515:$AJ515,1,(AS$4-1)*5+3)*(1+INDEX($Q515:$AJ515,1,(AS$4-1)*5+2)))</f>
        <v/>
      </c>
      <c r="AT515" s="25">
        <f>AS515*(1/(1+INDEX($Q515:$AJ515,1,(AT$4-1)*5+4)))^(1+INDEX($Q515:$AJ515,1,(AT$4-1)*5+2))*(1+AT$7)^INDEX($Q515:$AJ515,1,(AT$4-1)*5+1)*(AT385/AS385)^INDEX($Q515:$AJ515,1,(AT$4-1)*5+2)*(AT385/AS385)^(INDEX($Q515:$AJ515,1,(AT$4-1)*5+3)*(1+INDEX($Q515:$AJ515,1,(AT$4-1)*5+2)))</f>
        <v/>
      </c>
      <c r="AU515" s="25">
        <f>AT515*(1/(1+INDEX($Q515:$AJ515,1,(AU$4-1)*5+4)))^(1+INDEX($Q515:$AJ515,1,(AU$4-1)*5+2))*(1+AU$7)^INDEX($Q515:$AJ515,1,(AU$4-1)*5+1)*(AU385/AT385)^INDEX($Q515:$AJ515,1,(AU$4-1)*5+2)*(AU385/AT385)^(INDEX($Q515:$AJ515,1,(AU$4-1)*5+3)*(1+INDEX($Q515:$AJ515,1,(AU$4-1)*5+2)))</f>
        <v/>
      </c>
      <c r="AV515" s="25">
        <f>AU515*(1/(1+INDEX($Q515:$AJ515,1,(AV$4-1)*5+4)))^(1+INDEX($Q515:$AJ515,1,(AV$4-1)*5+2))*(1+AV$7)^INDEX($Q515:$AJ515,1,(AV$4-1)*5+1)*(AV385/AU385)^INDEX($Q515:$AJ515,1,(AV$4-1)*5+2)*(AV385/AU385)^(INDEX($Q515:$AJ515,1,(AV$4-1)*5+3)*(1+INDEX($Q515:$AJ515,1,(AV$4-1)*5+2)))</f>
        <v/>
      </c>
      <c r="AW515" s="25">
        <f>AV515*(1/(1+INDEX($Q515:$AJ515,1,(AW$4-1)*5+4)))^(1+INDEX($Q515:$AJ515,1,(AW$4-1)*5+2))*(1+AW$7)^INDEX($Q515:$AJ515,1,(AW$4-1)*5+1)*(AW385/AV385)^INDEX($Q515:$AJ515,1,(AW$4-1)*5+2)*(AW385/AV385)^(INDEX($Q515:$AJ515,1,(AW$4-1)*5+3)*(1+INDEX($Q515:$AJ515,1,(AW$4-1)*5+2)))</f>
        <v/>
      </c>
      <c r="AX515" s="25">
        <f>AW515*(1/(1+INDEX($Q515:$AJ515,1,(AX$4-1)*5+4)))^(1+INDEX($Q515:$AJ515,1,(AX$4-1)*5+2))*(1+AX$7)^INDEX($Q515:$AJ515,1,(AX$4-1)*5+1)*(AX385/AW385)^INDEX($Q515:$AJ515,1,(AX$4-1)*5+2)*(AX385/AW385)^(INDEX($Q515:$AJ515,1,(AX$4-1)*5+3)*(1+INDEX($Q515:$AJ515,1,(AX$4-1)*5+2)))</f>
        <v/>
      </c>
      <c r="AY515" s="25">
        <f>AX515*(1/(1+INDEX($Q515:$AJ515,1,(AY$4-1)*5+4)))^(1+INDEX($Q515:$AJ515,1,(AY$4-1)*5+2))*(1+AY$7)^INDEX($Q515:$AJ515,1,(AY$4-1)*5+1)*(AY385/AX385)^INDEX($Q515:$AJ515,1,(AY$4-1)*5+2)*(AY385/AX385)^(INDEX($Q515:$AJ515,1,(AY$4-1)*5+3)*(1+INDEX($Q515:$AJ515,1,(AY$4-1)*5+2)))</f>
        <v/>
      </c>
      <c r="BA515" s="24">
        <f>INDEX(EnergyCons!$F$4:$F$5000,MATCH(Settings!$C$4&amp;"|"&amp;BA$5&amp;"|"&amp;$C515&amp;"|"&amp;$B515,EnergyCons!$A$4:$A$5000,0))</f>
        <v/>
      </c>
      <c r="BB515" s="25">
        <f>BA515*(1/(1+INDEX($Q515:$AJ515,1,(BB$4-1)*5+4)))^(1+INDEX($Q515:$AJ515,1,(BB$4-1)*5+2))*(1+BB$7)^INDEX($Q515:$AJ515,1,(BB$4-1)*5+1)*(BB385/BA385)^INDEX($Q515:$AJ515,1,(BB$4-1)*5+2)*(BB385/BA385)^(INDEX($Q515:$AJ515,1,(BB$4-1)*5+3)*(1+INDEX($Q515:$AJ515,1,(BB$4-1)*5+2)))</f>
        <v/>
      </c>
      <c r="BC515" s="25">
        <f>BB515*(1/(1+INDEX($Q515:$AJ515,1,(BC$4-1)*5+4)))^(1+INDEX($Q515:$AJ515,1,(BC$4-1)*5+2))*(1+BC$7)^INDEX($Q515:$AJ515,1,(BC$4-1)*5+1)*(BC385/BB385)^INDEX($Q515:$AJ515,1,(BC$4-1)*5+2)*(BC385/BB385)^(INDEX($Q515:$AJ515,1,(BC$4-1)*5+3)*(1+INDEX($Q515:$AJ515,1,(BC$4-1)*5+2)))</f>
        <v/>
      </c>
      <c r="BD515" s="25">
        <f>BC515*(1/(1+INDEX($Q515:$AJ515,1,(BD$4-1)*5+4)))^(1+INDEX($Q515:$AJ515,1,(BD$4-1)*5+2))*(1+BD$7)^INDEX($Q515:$AJ515,1,(BD$4-1)*5+1)*(BD385/BC385)^INDEX($Q515:$AJ515,1,(BD$4-1)*5+2)*(BD385/BC385)^(INDEX($Q515:$AJ515,1,(BD$4-1)*5+3)*(1+INDEX($Q515:$AJ515,1,(BD$4-1)*5+2)))</f>
        <v/>
      </c>
      <c r="BE515" s="25">
        <f>BD515*(1/(1+INDEX($Q515:$AJ515,1,(BE$4-1)*5+4)))^(1+INDEX($Q515:$AJ515,1,(BE$4-1)*5+2))*(1+BE$7)^INDEX($Q515:$AJ515,1,(BE$4-1)*5+1)*(BE385/BD385)^INDEX($Q515:$AJ515,1,(BE$4-1)*5+2)*(BE385/BD385)^(INDEX($Q515:$AJ515,1,(BE$4-1)*5+3)*(1+INDEX($Q515:$AJ515,1,(BE$4-1)*5+2)))</f>
        <v/>
      </c>
      <c r="BF515" s="25">
        <f>BE515*(1/(1+INDEX($Q515:$AJ515,1,(BF$4-1)*5+4)))^(1+INDEX($Q515:$AJ515,1,(BF$4-1)*5+2))*(1+BF$7)^INDEX($Q515:$AJ515,1,(BF$4-1)*5+1)*(BF385/BE385)^INDEX($Q515:$AJ515,1,(BF$4-1)*5+2)*(BF385/BE385)^(INDEX($Q515:$AJ515,1,(BF$4-1)*5+3)*(1+INDEX($Q515:$AJ515,1,(BF$4-1)*5+2)))</f>
        <v/>
      </c>
      <c r="BG515" s="25">
        <f>BF515*(1/(1+INDEX($Q515:$AJ515,1,(BG$4-1)*5+4)))^(1+INDEX($Q515:$AJ515,1,(BG$4-1)*5+2))*(1+BG$7)^INDEX($Q515:$AJ515,1,(BG$4-1)*5+1)*(BG385/BF385)^INDEX($Q515:$AJ515,1,(BG$4-1)*5+2)*(BG385/BF385)^(INDEX($Q515:$AJ515,1,(BG$4-1)*5+3)*(1+INDEX($Q515:$AJ515,1,(BG$4-1)*5+2)))</f>
        <v/>
      </c>
      <c r="BH515" s="25">
        <f>BG515*(1/(1+INDEX($Q515:$AJ515,1,(BH$4-1)*5+4)))^(1+INDEX($Q515:$AJ515,1,(BH$4-1)*5+2))*(1+BH$7)^INDEX($Q515:$AJ515,1,(BH$4-1)*5+1)*(BH385/BG385)^INDEX($Q515:$AJ515,1,(BH$4-1)*5+2)*(BH385/BG385)^(INDEX($Q515:$AJ515,1,(BH$4-1)*5+3)*(1+INDEX($Q515:$AJ515,1,(BH$4-1)*5+2)))</f>
        <v/>
      </c>
      <c r="BI515" s="25">
        <f>BH515*(1/(1+INDEX($Q515:$AJ515,1,(BI$4-1)*5+4)))^(1+INDEX($Q515:$AJ515,1,(BI$4-1)*5+2))*(1+BI$7)^INDEX($Q515:$AJ515,1,(BI$4-1)*5+1)*(BI385/BH385)^INDEX($Q515:$AJ515,1,(BI$4-1)*5+2)*(BI385/BH385)^(INDEX($Q515:$AJ515,1,(BI$4-1)*5+3)*(1+INDEX($Q515:$AJ515,1,(BI$4-1)*5+2)))</f>
        <v/>
      </c>
      <c r="BJ515" s="25">
        <f>BI515*(1/(1+INDEX($Q515:$AJ515,1,(BJ$4-1)*5+4)))^(1+INDEX($Q515:$AJ515,1,(BJ$4-1)*5+2))*(1+BJ$7)^INDEX($Q515:$AJ515,1,(BJ$4-1)*5+1)*(BJ385/BI385)^INDEX($Q515:$AJ515,1,(BJ$4-1)*5+2)*(BJ385/BI385)^(INDEX($Q515:$AJ515,1,(BJ$4-1)*5+3)*(1+INDEX($Q515:$AJ515,1,(BJ$4-1)*5+2)))</f>
        <v/>
      </c>
      <c r="BK515" s="25">
        <f>BJ515*(1/(1+INDEX($Q515:$AJ515,1,(BK$4-1)*5+4)))^(1+INDEX($Q515:$AJ515,1,(BK$4-1)*5+2))*(1+BK$7)^INDEX($Q515:$AJ515,1,(BK$4-1)*5+1)*(BK385/BJ385)^INDEX($Q515:$AJ515,1,(BK$4-1)*5+2)*(BK385/BJ385)^(INDEX($Q515:$AJ515,1,(BK$4-1)*5+3)*(1+INDEX($Q515:$AJ515,1,(BK$4-1)*5+2)))</f>
        <v/>
      </c>
      <c r="BL515" s="25">
        <f>BK515*(1/(1+INDEX($Q515:$AJ515,1,(BL$4-1)*5+4)))^(1+INDEX($Q515:$AJ515,1,(BL$4-1)*5+2))*(1+BL$7)^INDEX($Q515:$AJ515,1,(BL$4-1)*5+1)*(BL385/BK385)^INDEX($Q515:$AJ515,1,(BL$4-1)*5+2)*(BL385/BK385)^(INDEX($Q515:$AJ515,1,(BL$4-1)*5+3)*(1+INDEX($Q515:$AJ515,1,(BL$4-1)*5+2)))</f>
        <v/>
      </c>
      <c r="BM515" s="25">
        <f>BL515*(1/(1+INDEX($Q515:$AJ515,1,(BM$4-1)*5+4)))^(1+INDEX($Q515:$AJ515,1,(BM$4-1)*5+2))*(1+BM$7)^INDEX($Q515:$AJ515,1,(BM$4-1)*5+1)*(BM385/BL385)^INDEX($Q515:$AJ515,1,(BM$4-1)*5+2)*(BM385/BL385)^(INDEX($Q515:$AJ515,1,(BM$4-1)*5+3)*(1+INDEX($Q515:$AJ515,1,(BM$4-1)*5+2)))</f>
        <v/>
      </c>
      <c r="BN515" s="25">
        <f>BM515*(1/(1+INDEX($Q515:$AJ515,1,(BN$4-1)*5+4)))^(1+INDEX($Q515:$AJ515,1,(BN$4-1)*5+2))*(1+BN$7)^INDEX($Q515:$AJ515,1,(BN$4-1)*5+1)*(BN385/BM385)^INDEX($Q515:$AJ515,1,(BN$4-1)*5+2)*(BN385/BM385)^(INDEX($Q515:$AJ515,1,(BN$4-1)*5+3)*(1+INDEX($Q515:$AJ515,1,(BN$4-1)*5+2)))</f>
        <v/>
      </c>
    </row>
    <row r="516">
      <c r="B516" s="5" t="inlineStr">
        <is>
          <t>die</t>
        </is>
      </c>
      <c r="C516" s="5" t="inlineStr">
        <is>
          <t>ftr</t>
        </is>
      </c>
      <c r="D516" s="5" t="inlineStr">
        <is>
          <t>Fuel use | Fuel transformation | Diesel</t>
        </is>
      </c>
      <c r="E516" s="5" t="inlineStr">
        <is>
          <t>ktoe</t>
        </is>
      </c>
      <c r="F516" s="5" t="inlineStr">
        <is>
          <t>EnergyCons (base year), Elasticities</t>
        </is>
      </c>
      <c r="G516" s="19" t="inlineStr">
        <is>
          <t>mit.enc.die.ftr</t>
        </is>
      </c>
      <c r="H516" s="19" t="inlineStr">
        <is>
          <t>mit.enc.die.ftr</t>
        </is>
      </c>
      <c r="J516" s="5">
        <f>INDEX(Mapping!$C$5:$C$20,MATCH($C516,Mapping!$A$5:$A$20,0))</f>
        <v/>
      </c>
      <c r="K516" s="5">
        <f>INDEX(Mapping!$D$5:$D$20,MATCH($C516,Mapping!$A$5:$A$20,0))</f>
        <v/>
      </c>
      <c r="L516" s="5">
        <f>INDEX(Mapping!$C$24:$C$31,MATCH($B516,Mapping!$A$24:$A$31,0))</f>
        <v/>
      </c>
      <c r="M516" s="5">
        <f>INDEX(Mapping!$D$24:$D$31,MATCH($B516,Mapping!$A$24:$A$31,0))</f>
        <v/>
      </c>
      <c r="N516" s="5">
        <f>$B516&amp;"."&amp;IF(INDEX(Mapping!$E$24:$E$31,MATCH($B516,Mapping!$A$24:$A$31,0))="sub",INDEX(Mapping!$F$5:$F$20,MATCH($C516,Mapping!$A$5:$A$20,0)),"all")</f>
        <v/>
      </c>
      <c r="O516" s="5">
        <f>INDEX(Mapping!$E$5:$E$20,MATCH($C516,Mapping!$A$5:$A$20,0))</f>
        <v/>
      </c>
      <c r="P516" s="5">
        <f>INDEX(Mapping!$G$24:$G$31,MATCH($B516,Mapping!$A$24:$A$31,0))</f>
        <v/>
      </c>
      <c r="Q516" s="22">
        <f>INDEX(Elasticities!$F$4:$I$200,MATCH("inc|"&amp;$L516&amp;"|"&amp;$K516,Elasticities!$A$4:$A$200,0),MATCH(Settings!$C$6,Elasticities!$F$3:$I$3,0))</f>
        <v/>
      </c>
      <c r="R516" s="22">
        <f>INDEX(Elasticities!$F$4:$I$200,MATCH("usg|"&amp;$L516&amp;"|"&amp;$K516,Elasticities!$A$4:$A$200,0),MATCH(Settings!$C$6,Elasticities!$F$3:$I$3,0))</f>
        <v/>
      </c>
      <c r="S516" s="22">
        <f>INDEX(Elasticities!$F$4:$I$200,MATCH("eff|"&amp;$L516&amp;"|"&amp;$K516,Elasticities!$A$4:$A$200,0),MATCH(Settings!$C$6,Elasticities!$F$3:$I$3,0))</f>
        <v/>
      </c>
      <c r="T516" s="22">
        <f>INDEX(Elasticities!$F$4:$I$200,MATCH("aei|"&amp;$M516&amp;"|"&amp;$K516,Elasticities!$A$4:$A$200,0),MATCH(Settings!$C$6,Elasticities!$F$3:$I$3,0))</f>
        <v/>
      </c>
      <c r="U516" s="21" t="n"/>
      <c r="V516" s="22">
        <f>Q516</f>
        <v/>
      </c>
      <c r="W516" s="22">
        <f>R516</f>
        <v/>
      </c>
      <c r="X516" s="22">
        <f>S516</f>
        <v/>
      </c>
      <c r="Y516" s="22">
        <f>T516</f>
        <v/>
      </c>
      <c r="Z516" s="21" t="n"/>
      <c r="AA516" s="22">
        <f>Q516</f>
        <v/>
      </c>
      <c r="AB516" s="22">
        <f>R516</f>
        <v/>
      </c>
      <c r="AC516" s="22">
        <f>S516</f>
        <v/>
      </c>
      <c r="AD516" s="22">
        <f>T516</f>
        <v/>
      </c>
      <c r="AE516" s="21" t="n"/>
      <c r="AF516" s="22">
        <f>Q516</f>
        <v/>
      </c>
      <c r="AG516" s="22">
        <f>R516</f>
        <v/>
      </c>
      <c r="AH516" s="22">
        <f>S516</f>
        <v/>
      </c>
      <c r="AI516" s="22">
        <f>T516</f>
        <v/>
      </c>
      <c r="AJ516" s="21" t="n"/>
      <c r="AL516" s="24">
        <f>INDEX(EnergyCons!$F$4:$F$5000,MATCH(Settings!$C$4&amp;"|"&amp;AL$5&amp;"|"&amp;$C516&amp;"|"&amp;$B516,EnergyCons!$A$4:$A$5000,0))</f>
        <v/>
      </c>
      <c r="AM516" s="25">
        <f>AL516*(1/(1+INDEX($Q516:$AJ516,1,(AM$4-1)*5+4)))^(1+INDEX($Q516:$AJ516,1,(AM$4-1)*5+2))*(1+AM$7)^INDEX($Q516:$AJ516,1,(AM$4-1)*5+1)*(AM386/AL386)^INDEX($Q516:$AJ516,1,(AM$4-1)*5+2)*(AM386/AL386)^(INDEX($Q516:$AJ516,1,(AM$4-1)*5+3)*(1+INDEX($Q516:$AJ516,1,(AM$4-1)*5+2)))</f>
        <v/>
      </c>
      <c r="AN516" s="25">
        <f>AM516*(1/(1+INDEX($Q516:$AJ516,1,(AN$4-1)*5+4)))^(1+INDEX($Q516:$AJ516,1,(AN$4-1)*5+2))*(1+AN$7)^INDEX($Q516:$AJ516,1,(AN$4-1)*5+1)*(AN386/AM386)^INDEX($Q516:$AJ516,1,(AN$4-1)*5+2)*(AN386/AM386)^(INDEX($Q516:$AJ516,1,(AN$4-1)*5+3)*(1+INDEX($Q516:$AJ516,1,(AN$4-1)*5+2)))</f>
        <v/>
      </c>
      <c r="AO516" s="25">
        <f>AN516*(1/(1+INDEX($Q516:$AJ516,1,(AO$4-1)*5+4)))^(1+INDEX($Q516:$AJ516,1,(AO$4-1)*5+2))*(1+AO$7)^INDEX($Q516:$AJ516,1,(AO$4-1)*5+1)*(AO386/AN386)^INDEX($Q516:$AJ516,1,(AO$4-1)*5+2)*(AO386/AN386)^(INDEX($Q516:$AJ516,1,(AO$4-1)*5+3)*(1+INDEX($Q516:$AJ516,1,(AO$4-1)*5+2)))</f>
        <v/>
      </c>
      <c r="AP516" s="25">
        <f>AO516*(1/(1+INDEX($Q516:$AJ516,1,(AP$4-1)*5+4)))^(1+INDEX($Q516:$AJ516,1,(AP$4-1)*5+2))*(1+AP$7)^INDEX($Q516:$AJ516,1,(AP$4-1)*5+1)*(AP386/AO386)^INDEX($Q516:$AJ516,1,(AP$4-1)*5+2)*(AP386/AO386)^(INDEX($Q516:$AJ516,1,(AP$4-1)*5+3)*(1+INDEX($Q516:$AJ516,1,(AP$4-1)*5+2)))</f>
        <v/>
      </c>
      <c r="AQ516" s="25">
        <f>AP516*(1/(1+INDEX($Q516:$AJ516,1,(AQ$4-1)*5+4)))^(1+INDEX($Q516:$AJ516,1,(AQ$4-1)*5+2))*(1+AQ$7)^INDEX($Q516:$AJ516,1,(AQ$4-1)*5+1)*(AQ386/AP386)^INDEX($Q516:$AJ516,1,(AQ$4-1)*5+2)*(AQ386/AP386)^(INDEX($Q516:$AJ516,1,(AQ$4-1)*5+3)*(1+INDEX($Q516:$AJ516,1,(AQ$4-1)*5+2)))</f>
        <v/>
      </c>
      <c r="AR516" s="25">
        <f>AQ516*(1/(1+INDEX($Q516:$AJ516,1,(AR$4-1)*5+4)))^(1+INDEX($Q516:$AJ516,1,(AR$4-1)*5+2))*(1+AR$7)^INDEX($Q516:$AJ516,1,(AR$4-1)*5+1)*(AR386/AQ386)^INDEX($Q516:$AJ516,1,(AR$4-1)*5+2)*(AR386/AQ386)^(INDEX($Q516:$AJ516,1,(AR$4-1)*5+3)*(1+INDEX($Q516:$AJ516,1,(AR$4-1)*5+2)))</f>
        <v/>
      </c>
      <c r="AS516" s="25">
        <f>AR516*(1/(1+INDEX($Q516:$AJ516,1,(AS$4-1)*5+4)))^(1+INDEX($Q516:$AJ516,1,(AS$4-1)*5+2))*(1+AS$7)^INDEX($Q516:$AJ516,1,(AS$4-1)*5+1)*(AS386/AR386)^INDEX($Q516:$AJ516,1,(AS$4-1)*5+2)*(AS386/AR386)^(INDEX($Q516:$AJ516,1,(AS$4-1)*5+3)*(1+INDEX($Q516:$AJ516,1,(AS$4-1)*5+2)))</f>
        <v/>
      </c>
      <c r="AT516" s="25">
        <f>AS516*(1/(1+INDEX($Q516:$AJ516,1,(AT$4-1)*5+4)))^(1+INDEX($Q516:$AJ516,1,(AT$4-1)*5+2))*(1+AT$7)^INDEX($Q516:$AJ516,1,(AT$4-1)*5+1)*(AT386/AS386)^INDEX($Q516:$AJ516,1,(AT$4-1)*5+2)*(AT386/AS386)^(INDEX($Q516:$AJ516,1,(AT$4-1)*5+3)*(1+INDEX($Q516:$AJ516,1,(AT$4-1)*5+2)))</f>
        <v/>
      </c>
      <c r="AU516" s="25">
        <f>AT516*(1/(1+INDEX($Q516:$AJ516,1,(AU$4-1)*5+4)))^(1+INDEX($Q516:$AJ516,1,(AU$4-1)*5+2))*(1+AU$7)^INDEX($Q516:$AJ516,1,(AU$4-1)*5+1)*(AU386/AT386)^INDEX($Q516:$AJ516,1,(AU$4-1)*5+2)*(AU386/AT386)^(INDEX($Q516:$AJ516,1,(AU$4-1)*5+3)*(1+INDEX($Q516:$AJ516,1,(AU$4-1)*5+2)))</f>
        <v/>
      </c>
      <c r="AV516" s="25">
        <f>AU516*(1/(1+INDEX($Q516:$AJ516,1,(AV$4-1)*5+4)))^(1+INDEX($Q516:$AJ516,1,(AV$4-1)*5+2))*(1+AV$7)^INDEX($Q516:$AJ516,1,(AV$4-1)*5+1)*(AV386/AU386)^INDEX($Q516:$AJ516,1,(AV$4-1)*5+2)*(AV386/AU386)^(INDEX($Q516:$AJ516,1,(AV$4-1)*5+3)*(1+INDEX($Q516:$AJ516,1,(AV$4-1)*5+2)))</f>
        <v/>
      </c>
      <c r="AW516" s="25">
        <f>AV516*(1/(1+INDEX($Q516:$AJ516,1,(AW$4-1)*5+4)))^(1+INDEX($Q516:$AJ516,1,(AW$4-1)*5+2))*(1+AW$7)^INDEX($Q516:$AJ516,1,(AW$4-1)*5+1)*(AW386/AV386)^INDEX($Q516:$AJ516,1,(AW$4-1)*5+2)*(AW386/AV386)^(INDEX($Q516:$AJ516,1,(AW$4-1)*5+3)*(1+INDEX($Q516:$AJ516,1,(AW$4-1)*5+2)))</f>
        <v/>
      </c>
      <c r="AX516" s="25">
        <f>AW516*(1/(1+INDEX($Q516:$AJ516,1,(AX$4-1)*5+4)))^(1+INDEX($Q516:$AJ516,1,(AX$4-1)*5+2))*(1+AX$7)^INDEX($Q516:$AJ516,1,(AX$4-1)*5+1)*(AX386/AW386)^INDEX($Q516:$AJ516,1,(AX$4-1)*5+2)*(AX386/AW386)^(INDEX($Q516:$AJ516,1,(AX$4-1)*5+3)*(1+INDEX($Q516:$AJ516,1,(AX$4-1)*5+2)))</f>
        <v/>
      </c>
      <c r="AY516" s="25">
        <f>AX516*(1/(1+INDEX($Q516:$AJ516,1,(AY$4-1)*5+4)))^(1+INDEX($Q516:$AJ516,1,(AY$4-1)*5+2))*(1+AY$7)^INDEX($Q516:$AJ516,1,(AY$4-1)*5+1)*(AY386/AX386)^INDEX($Q516:$AJ516,1,(AY$4-1)*5+2)*(AY386/AX386)^(INDEX($Q516:$AJ516,1,(AY$4-1)*5+3)*(1+INDEX($Q516:$AJ516,1,(AY$4-1)*5+2)))</f>
        <v/>
      </c>
      <c r="BA516" s="24">
        <f>INDEX(EnergyCons!$F$4:$F$5000,MATCH(Settings!$C$4&amp;"|"&amp;BA$5&amp;"|"&amp;$C516&amp;"|"&amp;$B516,EnergyCons!$A$4:$A$5000,0))</f>
        <v/>
      </c>
      <c r="BB516" s="25">
        <f>BA516*(1/(1+INDEX($Q516:$AJ516,1,(BB$4-1)*5+4)))^(1+INDEX($Q516:$AJ516,1,(BB$4-1)*5+2))*(1+BB$7)^INDEX($Q516:$AJ516,1,(BB$4-1)*5+1)*(BB386/BA386)^INDEX($Q516:$AJ516,1,(BB$4-1)*5+2)*(BB386/BA386)^(INDEX($Q516:$AJ516,1,(BB$4-1)*5+3)*(1+INDEX($Q516:$AJ516,1,(BB$4-1)*5+2)))</f>
        <v/>
      </c>
      <c r="BC516" s="25">
        <f>BB516*(1/(1+INDEX($Q516:$AJ516,1,(BC$4-1)*5+4)))^(1+INDEX($Q516:$AJ516,1,(BC$4-1)*5+2))*(1+BC$7)^INDEX($Q516:$AJ516,1,(BC$4-1)*5+1)*(BC386/BB386)^INDEX($Q516:$AJ516,1,(BC$4-1)*5+2)*(BC386/BB386)^(INDEX($Q516:$AJ516,1,(BC$4-1)*5+3)*(1+INDEX($Q516:$AJ516,1,(BC$4-1)*5+2)))</f>
        <v/>
      </c>
      <c r="BD516" s="25">
        <f>BC516*(1/(1+INDEX($Q516:$AJ516,1,(BD$4-1)*5+4)))^(1+INDEX($Q516:$AJ516,1,(BD$4-1)*5+2))*(1+BD$7)^INDEX($Q516:$AJ516,1,(BD$4-1)*5+1)*(BD386/BC386)^INDEX($Q516:$AJ516,1,(BD$4-1)*5+2)*(BD386/BC386)^(INDEX($Q516:$AJ516,1,(BD$4-1)*5+3)*(1+INDEX($Q516:$AJ516,1,(BD$4-1)*5+2)))</f>
        <v/>
      </c>
      <c r="BE516" s="25">
        <f>BD516*(1/(1+INDEX($Q516:$AJ516,1,(BE$4-1)*5+4)))^(1+INDEX($Q516:$AJ516,1,(BE$4-1)*5+2))*(1+BE$7)^INDEX($Q516:$AJ516,1,(BE$4-1)*5+1)*(BE386/BD386)^INDEX($Q516:$AJ516,1,(BE$4-1)*5+2)*(BE386/BD386)^(INDEX($Q516:$AJ516,1,(BE$4-1)*5+3)*(1+INDEX($Q516:$AJ516,1,(BE$4-1)*5+2)))</f>
        <v/>
      </c>
      <c r="BF516" s="25">
        <f>BE516*(1/(1+INDEX($Q516:$AJ516,1,(BF$4-1)*5+4)))^(1+INDEX($Q516:$AJ516,1,(BF$4-1)*5+2))*(1+BF$7)^INDEX($Q516:$AJ516,1,(BF$4-1)*5+1)*(BF386/BE386)^INDEX($Q516:$AJ516,1,(BF$4-1)*5+2)*(BF386/BE386)^(INDEX($Q516:$AJ516,1,(BF$4-1)*5+3)*(1+INDEX($Q516:$AJ516,1,(BF$4-1)*5+2)))</f>
        <v/>
      </c>
      <c r="BG516" s="25">
        <f>BF516*(1/(1+INDEX($Q516:$AJ516,1,(BG$4-1)*5+4)))^(1+INDEX($Q516:$AJ516,1,(BG$4-1)*5+2))*(1+BG$7)^INDEX($Q516:$AJ516,1,(BG$4-1)*5+1)*(BG386/BF386)^INDEX($Q516:$AJ516,1,(BG$4-1)*5+2)*(BG386/BF386)^(INDEX($Q516:$AJ516,1,(BG$4-1)*5+3)*(1+INDEX($Q516:$AJ516,1,(BG$4-1)*5+2)))</f>
        <v/>
      </c>
      <c r="BH516" s="25">
        <f>BG516*(1/(1+INDEX($Q516:$AJ516,1,(BH$4-1)*5+4)))^(1+INDEX($Q516:$AJ516,1,(BH$4-1)*5+2))*(1+BH$7)^INDEX($Q516:$AJ516,1,(BH$4-1)*5+1)*(BH386/BG386)^INDEX($Q516:$AJ516,1,(BH$4-1)*5+2)*(BH386/BG386)^(INDEX($Q516:$AJ516,1,(BH$4-1)*5+3)*(1+INDEX($Q516:$AJ516,1,(BH$4-1)*5+2)))</f>
        <v/>
      </c>
      <c r="BI516" s="25">
        <f>BH516*(1/(1+INDEX($Q516:$AJ516,1,(BI$4-1)*5+4)))^(1+INDEX($Q516:$AJ516,1,(BI$4-1)*5+2))*(1+BI$7)^INDEX($Q516:$AJ516,1,(BI$4-1)*5+1)*(BI386/BH386)^INDEX($Q516:$AJ516,1,(BI$4-1)*5+2)*(BI386/BH386)^(INDEX($Q516:$AJ516,1,(BI$4-1)*5+3)*(1+INDEX($Q516:$AJ516,1,(BI$4-1)*5+2)))</f>
        <v/>
      </c>
      <c r="BJ516" s="25">
        <f>BI516*(1/(1+INDEX($Q516:$AJ516,1,(BJ$4-1)*5+4)))^(1+INDEX($Q516:$AJ516,1,(BJ$4-1)*5+2))*(1+BJ$7)^INDEX($Q516:$AJ516,1,(BJ$4-1)*5+1)*(BJ386/BI386)^INDEX($Q516:$AJ516,1,(BJ$4-1)*5+2)*(BJ386/BI386)^(INDEX($Q516:$AJ516,1,(BJ$4-1)*5+3)*(1+INDEX($Q516:$AJ516,1,(BJ$4-1)*5+2)))</f>
        <v/>
      </c>
      <c r="BK516" s="25">
        <f>BJ516*(1/(1+INDEX($Q516:$AJ516,1,(BK$4-1)*5+4)))^(1+INDEX($Q516:$AJ516,1,(BK$4-1)*5+2))*(1+BK$7)^INDEX($Q516:$AJ516,1,(BK$4-1)*5+1)*(BK386/BJ386)^INDEX($Q516:$AJ516,1,(BK$4-1)*5+2)*(BK386/BJ386)^(INDEX($Q516:$AJ516,1,(BK$4-1)*5+3)*(1+INDEX($Q516:$AJ516,1,(BK$4-1)*5+2)))</f>
        <v/>
      </c>
      <c r="BL516" s="25">
        <f>BK516*(1/(1+INDEX($Q516:$AJ516,1,(BL$4-1)*5+4)))^(1+INDEX($Q516:$AJ516,1,(BL$4-1)*5+2))*(1+BL$7)^INDEX($Q516:$AJ516,1,(BL$4-1)*5+1)*(BL386/BK386)^INDEX($Q516:$AJ516,1,(BL$4-1)*5+2)*(BL386/BK386)^(INDEX($Q516:$AJ516,1,(BL$4-1)*5+3)*(1+INDEX($Q516:$AJ516,1,(BL$4-1)*5+2)))</f>
        <v/>
      </c>
      <c r="BM516" s="25">
        <f>BL516*(1/(1+INDEX($Q516:$AJ516,1,(BM$4-1)*5+4)))^(1+INDEX($Q516:$AJ516,1,(BM$4-1)*5+2))*(1+BM$7)^INDEX($Q516:$AJ516,1,(BM$4-1)*5+1)*(BM386/BL386)^INDEX($Q516:$AJ516,1,(BM$4-1)*5+2)*(BM386/BL386)^(INDEX($Q516:$AJ516,1,(BM$4-1)*5+3)*(1+INDEX($Q516:$AJ516,1,(BM$4-1)*5+2)))</f>
        <v/>
      </c>
      <c r="BN516" s="25">
        <f>BM516*(1/(1+INDEX($Q516:$AJ516,1,(BN$4-1)*5+4)))^(1+INDEX($Q516:$AJ516,1,(BN$4-1)*5+2))*(1+BN$7)^INDEX($Q516:$AJ516,1,(BN$4-1)*5+1)*(BN386/BM386)^INDEX($Q516:$AJ516,1,(BN$4-1)*5+2)*(BN386/BM386)^(INDEX($Q516:$AJ516,1,(BN$4-1)*5+3)*(1+INDEX($Q516:$AJ516,1,(BN$4-1)*5+2)))</f>
        <v/>
      </c>
    </row>
    <row r="517">
      <c r="B517" s="5" t="inlineStr">
        <is>
          <t>lpg</t>
        </is>
      </c>
      <c r="C517" s="5" t="inlineStr">
        <is>
          <t>ftr</t>
        </is>
      </c>
      <c r="D517" s="5" t="inlineStr">
        <is>
          <t>Fuel use | Fuel transformation | LPG</t>
        </is>
      </c>
      <c r="E517" s="5" t="inlineStr">
        <is>
          <t>ktoe</t>
        </is>
      </c>
      <c r="F517" s="5" t="inlineStr">
        <is>
          <t>EnergyCons (base year), Elasticities</t>
        </is>
      </c>
      <c r="G517" s="19" t="inlineStr">
        <is>
          <t>mit.enc.lpg.ftr</t>
        </is>
      </c>
      <c r="H517" s="19" t="inlineStr">
        <is>
          <t>mit.enc.lpg.ftr</t>
        </is>
      </c>
      <c r="J517" s="5">
        <f>INDEX(Mapping!$C$5:$C$20,MATCH($C517,Mapping!$A$5:$A$20,0))</f>
        <v/>
      </c>
      <c r="K517" s="5">
        <f>INDEX(Mapping!$D$5:$D$20,MATCH($C517,Mapping!$A$5:$A$20,0))</f>
        <v/>
      </c>
      <c r="L517" s="5">
        <f>INDEX(Mapping!$C$24:$C$31,MATCH($B517,Mapping!$A$24:$A$31,0))</f>
        <v/>
      </c>
      <c r="M517" s="5">
        <f>INDEX(Mapping!$D$24:$D$31,MATCH($B517,Mapping!$A$24:$A$31,0))</f>
        <v/>
      </c>
      <c r="N517" s="5">
        <f>$B517&amp;"."&amp;IF(INDEX(Mapping!$E$24:$E$31,MATCH($B517,Mapping!$A$24:$A$31,0))="sub",INDEX(Mapping!$F$5:$F$20,MATCH($C517,Mapping!$A$5:$A$20,0)),"all")</f>
        <v/>
      </c>
      <c r="O517" s="5">
        <f>INDEX(Mapping!$E$5:$E$20,MATCH($C517,Mapping!$A$5:$A$20,0))</f>
        <v/>
      </c>
      <c r="P517" s="5">
        <f>INDEX(Mapping!$G$24:$G$31,MATCH($B517,Mapping!$A$24:$A$31,0))</f>
        <v/>
      </c>
      <c r="Q517" s="22">
        <f>INDEX(Elasticities!$F$4:$I$200,MATCH("inc|"&amp;$L517&amp;"|"&amp;$K517,Elasticities!$A$4:$A$200,0),MATCH(Settings!$C$6,Elasticities!$F$3:$I$3,0))</f>
        <v/>
      </c>
      <c r="R517" s="22">
        <f>INDEX(Elasticities!$F$4:$I$200,MATCH("usg|"&amp;$L517&amp;"|"&amp;$K517,Elasticities!$A$4:$A$200,0),MATCH(Settings!$C$6,Elasticities!$F$3:$I$3,0))</f>
        <v/>
      </c>
      <c r="S517" s="22">
        <f>INDEX(Elasticities!$F$4:$I$200,MATCH("eff|"&amp;$L517&amp;"|"&amp;$K517,Elasticities!$A$4:$A$200,0),MATCH(Settings!$C$6,Elasticities!$F$3:$I$3,0))</f>
        <v/>
      </c>
      <c r="T517" s="22">
        <f>INDEX(Elasticities!$F$4:$I$200,MATCH("aei|"&amp;$M517&amp;"|"&amp;$K517,Elasticities!$A$4:$A$200,0),MATCH(Settings!$C$6,Elasticities!$F$3:$I$3,0))</f>
        <v/>
      </c>
      <c r="U517" s="21" t="n"/>
      <c r="V517" s="22">
        <f>Q517</f>
        <v/>
      </c>
      <c r="W517" s="22">
        <f>R517</f>
        <v/>
      </c>
      <c r="X517" s="22">
        <f>S517</f>
        <v/>
      </c>
      <c r="Y517" s="22">
        <f>T517</f>
        <v/>
      </c>
      <c r="Z517" s="21" t="n"/>
      <c r="AA517" s="22">
        <f>Q517</f>
        <v/>
      </c>
      <c r="AB517" s="22">
        <f>R517</f>
        <v/>
      </c>
      <c r="AC517" s="22">
        <f>S517</f>
        <v/>
      </c>
      <c r="AD517" s="22">
        <f>T517</f>
        <v/>
      </c>
      <c r="AE517" s="21" t="n"/>
      <c r="AF517" s="22">
        <f>Q517</f>
        <v/>
      </c>
      <c r="AG517" s="22">
        <f>R517</f>
        <v/>
      </c>
      <c r="AH517" s="22">
        <f>S517</f>
        <v/>
      </c>
      <c r="AI517" s="22">
        <f>T517</f>
        <v/>
      </c>
      <c r="AJ517" s="21" t="n"/>
      <c r="AL517" s="24">
        <f>INDEX(EnergyCons!$F$4:$F$5000,MATCH(Settings!$C$4&amp;"|"&amp;AL$5&amp;"|"&amp;$C517&amp;"|"&amp;$B517,EnergyCons!$A$4:$A$5000,0))</f>
        <v/>
      </c>
      <c r="AM517" s="25">
        <f>AL517*(1/(1+INDEX($Q517:$AJ517,1,(AM$4-1)*5+4)))^(1+INDEX($Q517:$AJ517,1,(AM$4-1)*5+2))*(1+AM$7)^INDEX($Q517:$AJ517,1,(AM$4-1)*5+1)*(AM387/AL387)^INDEX($Q517:$AJ517,1,(AM$4-1)*5+2)*(AM387/AL387)^(INDEX($Q517:$AJ517,1,(AM$4-1)*5+3)*(1+INDEX($Q517:$AJ517,1,(AM$4-1)*5+2)))</f>
        <v/>
      </c>
      <c r="AN517" s="25">
        <f>AM517*(1/(1+INDEX($Q517:$AJ517,1,(AN$4-1)*5+4)))^(1+INDEX($Q517:$AJ517,1,(AN$4-1)*5+2))*(1+AN$7)^INDEX($Q517:$AJ517,1,(AN$4-1)*5+1)*(AN387/AM387)^INDEX($Q517:$AJ517,1,(AN$4-1)*5+2)*(AN387/AM387)^(INDEX($Q517:$AJ517,1,(AN$4-1)*5+3)*(1+INDEX($Q517:$AJ517,1,(AN$4-1)*5+2)))</f>
        <v/>
      </c>
      <c r="AO517" s="25">
        <f>AN517*(1/(1+INDEX($Q517:$AJ517,1,(AO$4-1)*5+4)))^(1+INDEX($Q517:$AJ517,1,(AO$4-1)*5+2))*(1+AO$7)^INDEX($Q517:$AJ517,1,(AO$4-1)*5+1)*(AO387/AN387)^INDEX($Q517:$AJ517,1,(AO$4-1)*5+2)*(AO387/AN387)^(INDEX($Q517:$AJ517,1,(AO$4-1)*5+3)*(1+INDEX($Q517:$AJ517,1,(AO$4-1)*5+2)))</f>
        <v/>
      </c>
      <c r="AP517" s="25">
        <f>AO517*(1/(1+INDEX($Q517:$AJ517,1,(AP$4-1)*5+4)))^(1+INDEX($Q517:$AJ517,1,(AP$4-1)*5+2))*(1+AP$7)^INDEX($Q517:$AJ517,1,(AP$4-1)*5+1)*(AP387/AO387)^INDEX($Q517:$AJ517,1,(AP$4-1)*5+2)*(AP387/AO387)^(INDEX($Q517:$AJ517,1,(AP$4-1)*5+3)*(1+INDEX($Q517:$AJ517,1,(AP$4-1)*5+2)))</f>
        <v/>
      </c>
      <c r="AQ517" s="25">
        <f>AP517*(1/(1+INDEX($Q517:$AJ517,1,(AQ$4-1)*5+4)))^(1+INDEX($Q517:$AJ517,1,(AQ$4-1)*5+2))*(1+AQ$7)^INDEX($Q517:$AJ517,1,(AQ$4-1)*5+1)*(AQ387/AP387)^INDEX($Q517:$AJ517,1,(AQ$4-1)*5+2)*(AQ387/AP387)^(INDEX($Q517:$AJ517,1,(AQ$4-1)*5+3)*(1+INDEX($Q517:$AJ517,1,(AQ$4-1)*5+2)))</f>
        <v/>
      </c>
      <c r="AR517" s="25">
        <f>AQ517*(1/(1+INDEX($Q517:$AJ517,1,(AR$4-1)*5+4)))^(1+INDEX($Q517:$AJ517,1,(AR$4-1)*5+2))*(1+AR$7)^INDEX($Q517:$AJ517,1,(AR$4-1)*5+1)*(AR387/AQ387)^INDEX($Q517:$AJ517,1,(AR$4-1)*5+2)*(AR387/AQ387)^(INDEX($Q517:$AJ517,1,(AR$4-1)*5+3)*(1+INDEX($Q517:$AJ517,1,(AR$4-1)*5+2)))</f>
        <v/>
      </c>
      <c r="AS517" s="25">
        <f>AR517*(1/(1+INDEX($Q517:$AJ517,1,(AS$4-1)*5+4)))^(1+INDEX($Q517:$AJ517,1,(AS$4-1)*5+2))*(1+AS$7)^INDEX($Q517:$AJ517,1,(AS$4-1)*5+1)*(AS387/AR387)^INDEX($Q517:$AJ517,1,(AS$4-1)*5+2)*(AS387/AR387)^(INDEX($Q517:$AJ517,1,(AS$4-1)*5+3)*(1+INDEX($Q517:$AJ517,1,(AS$4-1)*5+2)))</f>
        <v/>
      </c>
      <c r="AT517" s="25">
        <f>AS517*(1/(1+INDEX($Q517:$AJ517,1,(AT$4-1)*5+4)))^(1+INDEX($Q517:$AJ517,1,(AT$4-1)*5+2))*(1+AT$7)^INDEX($Q517:$AJ517,1,(AT$4-1)*5+1)*(AT387/AS387)^INDEX($Q517:$AJ517,1,(AT$4-1)*5+2)*(AT387/AS387)^(INDEX($Q517:$AJ517,1,(AT$4-1)*5+3)*(1+INDEX($Q517:$AJ517,1,(AT$4-1)*5+2)))</f>
        <v/>
      </c>
      <c r="AU517" s="25">
        <f>AT517*(1/(1+INDEX($Q517:$AJ517,1,(AU$4-1)*5+4)))^(1+INDEX($Q517:$AJ517,1,(AU$4-1)*5+2))*(1+AU$7)^INDEX($Q517:$AJ517,1,(AU$4-1)*5+1)*(AU387/AT387)^INDEX($Q517:$AJ517,1,(AU$4-1)*5+2)*(AU387/AT387)^(INDEX($Q517:$AJ517,1,(AU$4-1)*5+3)*(1+INDEX($Q517:$AJ517,1,(AU$4-1)*5+2)))</f>
        <v/>
      </c>
      <c r="AV517" s="25">
        <f>AU517*(1/(1+INDEX($Q517:$AJ517,1,(AV$4-1)*5+4)))^(1+INDEX($Q517:$AJ517,1,(AV$4-1)*5+2))*(1+AV$7)^INDEX($Q517:$AJ517,1,(AV$4-1)*5+1)*(AV387/AU387)^INDEX($Q517:$AJ517,1,(AV$4-1)*5+2)*(AV387/AU387)^(INDEX($Q517:$AJ517,1,(AV$4-1)*5+3)*(1+INDEX($Q517:$AJ517,1,(AV$4-1)*5+2)))</f>
        <v/>
      </c>
      <c r="AW517" s="25">
        <f>AV517*(1/(1+INDEX($Q517:$AJ517,1,(AW$4-1)*5+4)))^(1+INDEX($Q517:$AJ517,1,(AW$4-1)*5+2))*(1+AW$7)^INDEX($Q517:$AJ517,1,(AW$4-1)*5+1)*(AW387/AV387)^INDEX($Q517:$AJ517,1,(AW$4-1)*5+2)*(AW387/AV387)^(INDEX($Q517:$AJ517,1,(AW$4-1)*5+3)*(1+INDEX($Q517:$AJ517,1,(AW$4-1)*5+2)))</f>
        <v/>
      </c>
      <c r="AX517" s="25">
        <f>AW517*(1/(1+INDEX($Q517:$AJ517,1,(AX$4-1)*5+4)))^(1+INDEX($Q517:$AJ517,1,(AX$4-1)*5+2))*(1+AX$7)^INDEX($Q517:$AJ517,1,(AX$4-1)*5+1)*(AX387/AW387)^INDEX($Q517:$AJ517,1,(AX$4-1)*5+2)*(AX387/AW387)^(INDEX($Q517:$AJ517,1,(AX$4-1)*5+3)*(1+INDEX($Q517:$AJ517,1,(AX$4-1)*5+2)))</f>
        <v/>
      </c>
      <c r="AY517" s="25">
        <f>AX517*(1/(1+INDEX($Q517:$AJ517,1,(AY$4-1)*5+4)))^(1+INDEX($Q517:$AJ517,1,(AY$4-1)*5+2))*(1+AY$7)^INDEX($Q517:$AJ517,1,(AY$4-1)*5+1)*(AY387/AX387)^INDEX($Q517:$AJ517,1,(AY$4-1)*5+2)*(AY387/AX387)^(INDEX($Q517:$AJ517,1,(AY$4-1)*5+3)*(1+INDEX($Q517:$AJ517,1,(AY$4-1)*5+2)))</f>
        <v/>
      </c>
      <c r="BA517" s="24">
        <f>INDEX(EnergyCons!$F$4:$F$5000,MATCH(Settings!$C$4&amp;"|"&amp;BA$5&amp;"|"&amp;$C517&amp;"|"&amp;$B517,EnergyCons!$A$4:$A$5000,0))</f>
        <v/>
      </c>
      <c r="BB517" s="25">
        <f>BA517*(1/(1+INDEX($Q517:$AJ517,1,(BB$4-1)*5+4)))^(1+INDEX($Q517:$AJ517,1,(BB$4-1)*5+2))*(1+BB$7)^INDEX($Q517:$AJ517,1,(BB$4-1)*5+1)*(BB387/BA387)^INDEX($Q517:$AJ517,1,(BB$4-1)*5+2)*(BB387/BA387)^(INDEX($Q517:$AJ517,1,(BB$4-1)*5+3)*(1+INDEX($Q517:$AJ517,1,(BB$4-1)*5+2)))</f>
        <v/>
      </c>
      <c r="BC517" s="25">
        <f>BB517*(1/(1+INDEX($Q517:$AJ517,1,(BC$4-1)*5+4)))^(1+INDEX($Q517:$AJ517,1,(BC$4-1)*5+2))*(1+BC$7)^INDEX($Q517:$AJ517,1,(BC$4-1)*5+1)*(BC387/BB387)^INDEX($Q517:$AJ517,1,(BC$4-1)*5+2)*(BC387/BB387)^(INDEX($Q517:$AJ517,1,(BC$4-1)*5+3)*(1+INDEX($Q517:$AJ517,1,(BC$4-1)*5+2)))</f>
        <v/>
      </c>
      <c r="BD517" s="25">
        <f>BC517*(1/(1+INDEX($Q517:$AJ517,1,(BD$4-1)*5+4)))^(1+INDEX($Q517:$AJ517,1,(BD$4-1)*5+2))*(1+BD$7)^INDEX($Q517:$AJ517,1,(BD$4-1)*5+1)*(BD387/BC387)^INDEX($Q517:$AJ517,1,(BD$4-1)*5+2)*(BD387/BC387)^(INDEX($Q517:$AJ517,1,(BD$4-1)*5+3)*(1+INDEX($Q517:$AJ517,1,(BD$4-1)*5+2)))</f>
        <v/>
      </c>
      <c r="BE517" s="25">
        <f>BD517*(1/(1+INDEX($Q517:$AJ517,1,(BE$4-1)*5+4)))^(1+INDEX($Q517:$AJ517,1,(BE$4-1)*5+2))*(1+BE$7)^INDEX($Q517:$AJ517,1,(BE$4-1)*5+1)*(BE387/BD387)^INDEX($Q517:$AJ517,1,(BE$4-1)*5+2)*(BE387/BD387)^(INDEX($Q517:$AJ517,1,(BE$4-1)*5+3)*(1+INDEX($Q517:$AJ517,1,(BE$4-1)*5+2)))</f>
        <v/>
      </c>
      <c r="BF517" s="25">
        <f>BE517*(1/(1+INDEX($Q517:$AJ517,1,(BF$4-1)*5+4)))^(1+INDEX($Q517:$AJ517,1,(BF$4-1)*5+2))*(1+BF$7)^INDEX($Q517:$AJ517,1,(BF$4-1)*5+1)*(BF387/BE387)^INDEX($Q517:$AJ517,1,(BF$4-1)*5+2)*(BF387/BE387)^(INDEX($Q517:$AJ517,1,(BF$4-1)*5+3)*(1+INDEX($Q517:$AJ517,1,(BF$4-1)*5+2)))</f>
        <v/>
      </c>
      <c r="BG517" s="25">
        <f>BF517*(1/(1+INDEX($Q517:$AJ517,1,(BG$4-1)*5+4)))^(1+INDEX($Q517:$AJ517,1,(BG$4-1)*5+2))*(1+BG$7)^INDEX($Q517:$AJ517,1,(BG$4-1)*5+1)*(BG387/BF387)^INDEX($Q517:$AJ517,1,(BG$4-1)*5+2)*(BG387/BF387)^(INDEX($Q517:$AJ517,1,(BG$4-1)*5+3)*(1+INDEX($Q517:$AJ517,1,(BG$4-1)*5+2)))</f>
        <v/>
      </c>
      <c r="BH517" s="25">
        <f>BG517*(1/(1+INDEX($Q517:$AJ517,1,(BH$4-1)*5+4)))^(1+INDEX($Q517:$AJ517,1,(BH$4-1)*5+2))*(1+BH$7)^INDEX($Q517:$AJ517,1,(BH$4-1)*5+1)*(BH387/BG387)^INDEX($Q517:$AJ517,1,(BH$4-1)*5+2)*(BH387/BG387)^(INDEX($Q517:$AJ517,1,(BH$4-1)*5+3)*(1+INDEX($Q517:$AJ517,1,(BH$4-1)*5+2)))</f>
        <v/>
      </c>
      <c r="BI517" s="25">
        <f>BH517*(1/(1+INDEX($Q517:$AJ517,1,(BI$4-1)*5+4)))^(1+INDEX($Q517:$AJ517,1,(BI$4-1)*5+2))*(1+BI$7)^INDEX($Q517:$AJ517,1,(BI$4-1)*5+1)*(BI387/BH387)^INDEX($Q517:$AJ517,1,(BI$4-1)*5+2)*(BI387/BH387)^(INDEX($Q517:$AJ517,1,(BI$4-1)*5+3)*(1+INDEX($Q517:$AJ517,1,(BI$4-1)*5+2)))</f>
        <v/>
      </c>
      <c r="BJ517" s="25">
        <f>BI517*(1/(1+INDEX($Q517:$AJ517,1,(BJ$4-1)*5+4)))^(1+INDEX($Q517:$AJ517,1,(BJ$4-1)*5+2))*(1+BJ$7)^INDEX($Q517:$AJ517,1,(BJ$4-1)*5+1)*(BJ387/BI387)^INDEX($Q517:$AJ517,1,(BJ$4-1)*5+2)*(BJ387/BI387)^(INDEX($Q517:$AJ517,1,(BJ$4-1)*5+3)*(1+INDEX($Q517:$AJ517,1,(BJ$4-1)*5+2)))</f>
        <v/>
      </c>
      <c r="BK517" s="25">
        <f>BJ517*(1/(1+INDEX($Q517:$AJ517,1,(BK$4-1)*5+4)))^(1+INDEX($Q517:$AJ517,1,(BK$4-1)*5+2))*(1+BK$7)^INDEX($Q517:$AJ517,1,(BK$4-1)*5+1)*(BK387/BJ387)^INDEX($Q517:$AJ517,1,(BK$4-1)*5+2)*(BK387/BJ387)^(INDEX($Q517:$AJ517,1,(BK$4-1)*5+3)*(1+INDEX($Q517:$AJ517,1,(BK$4-1)*5+2)))</f>
        <v/>
      </c>
      <c r="BL517" s="25">
        <f>BK517*(1/(1+INDEX($Q517:$AJ517,1,(BL$4-1)*5+4)))^(1+INDEX($Q517:$AJ517,1,(BL$4-1)*5+2))*(1+BL$7)^INDEX($Q517:$AJ517,1,(BL$4-1)*5+1)*(BL387/BK387)^INDEX($Q517:$AJ517,1,(BL$4-1)*5+2)*(BL387/BK387)^(INDEX($Q517:$AJ517,1,(BL$4-1)*5+3)*(1+INDEX($Q517:$AJ517,1,(BL$4-1)*5+2)))</f>
        <v/>
      </c>
      <c r="BM517" s="25">
        <f>BL517*(1/(1+INDEX($Q517:$AJ517,1,(BM$4-1)*5+4)))^(1+INDEX($Q517:$AJ517,1,(BM$4-1)*5+2))*(1+BM$7)^INDEX($Q517:$AJ517,1,(BM$4-1)*5+1)*(BM387/BL387)^INDEX($Q517:$AJ517,1,(BM$4-1)*5+2)*(BM387/BL387)^(INDEX($Q517:$AJ517,1,(BM$4-1)*5+3)*(1+INDEX($Q517:$AJ517,1,(BM$4-1)*5+2)))</f>
        <v/>
      </c>
      <c r="BN517" s="25">
        <f>BM517*(1/(1+INDEX($Q517:$AJ517,1,(BN$4-1)*5+4)))^(1+INDEX($Q517:$AJ517,1,(BN$4-1)*5+2))*(1+BN$7)^INDEX($Q517:$AJ517,1,(BN$4-1)*5+1)*(BN387/BM387)^INDEX($Q517:$AJ517,1,(BN$4-1)*5+2)*(BN387/BM387)^(INDEX($Q517:$AJ517,1,(BN$4-1)*5+3)*(1+INDEX($Q517:$AJ517,1,(BN$4-1)*5+2)))</f>
        <v/>
      </c>
    </row>
    <row r="518">
      <c r="B518" s="5" t="inlineStr">
        <is>
          <t>ker</t>
        </is>
      </c>
      <c r="C518" s="5" t="inlineStr">
        <is>
          <t>ftr</t>
        </is>
      </c>
      <c r="D518" s="5" t="inlineStr">
        <is>
          <t>Fuel use | Fuel transformation | Kerosene</t>
        </is>
      </c>
      <c r="E518" s="5" t="inlineStr">
        <is>
          <t>ktoe</t>
        </is>
      </c>
      <c r="F518" s="5" t="inlineStr">
        <is>
          <t>EnergyCons (base year), Elasticities</t>
        </is>
      </c>
      <c r="G518" s="19" t="inlineStr">
        <is>
          <t>mit.enc.ker.ftr</t>
        </is>
      </c>
      <c r="H518" s="19" t="inlineStr">
        <is>
          <t>mit.enc.ker.ftr</t>
        </is>
      </c>
      <c r="J518" s="5">
        <f>INDEX(Mapping!$C$5:$C$20,MATCH($C518,Mapping!$A$5:$A$20,0))</f>
        <v/>
      </c>
      <c r="K518" s="5">
        <f>INDEX(Mapping!$D$5:$D$20,MATCH($C518,Mapping!$A$5:$A$20,0))</f>
        <v/>
      </c>
      <c r="L518" s="5">
        <f>INDEX(Mapping!$C$24:$C$31,MATCH($B518,Mapping!$A$24:$A$31,0))</f>
        <v/>
      </c>
      <c r="M518" s="5">
        <f>INDEX(Mapping!$D$24:$D$31,MATCH($B518,Mapping!$A$24:$A$31,0))</f>
        <v/>
      </c>
      <c r="N518" s="5">
        <f>$B518&amp;"."&amp;IF(INDEX(Mapping!$E$24:$E$31,MATCH($B518,Mapping!$A$24:$A$31,0))="sub",INDEX(Mapping!$F$5:$F$20,MATCH($C518,Mapping!$A$5:$A$20,0)),"all")</f>
        <v/>
      </c>
      <c r="O518" s="5">
        <f>INDEX(Mapping!$E$5:$E$20,MATCH($C518,Mapping!$A$5:$A$20,0))</f>
        <v/>
      </c>
      <c r="P518" s="5">
        <f>INDEX(Mapping!$G$24:$G$31,MATCH($B518,Mapping!$A$24:$A$31,0))</f>
        <v/>
      </c>
      <c r="Q518" s="22">
        <f>INDEX(Elasticities!$F$4:$I$200,MATCH("inc|"&amp;$L518&amp;"|"&amp;$K518,Elasticities!$A$4:$A$200,0),MATCH(Settings!$C$6,Elasticities!$F$3:$I$3,0))</f>
        <v/>
      </c>
      <c r="R518" s="22">
        <f>INDEX(Elasticities!$F$4:$I$200,MATCH("usg|"&amp;$L518&amp;"|"&amp;$K518,Elasticities!$A$4:$A$200,0),MATCH(Settings!$C$6,Elasticities!$F$3:$I$3,0))</f>
        <v/>
      </c>
      <c r="S518" s="22">
        <f>INDEX(Elasticities!$F$4:$I$200,MATCH("eff|"&amp;$L518&amp;"|"&amp;$K518,Elasticities!$A$4:$A$200,0),MATCH(Settings!$C$6,Elasticities!$F$3:$I$3,0))</f>
        <v/>
      </c>
      <c r="T518" s="22">
        <f>INDEX(Elasticities!$F$4:$I$200,MATCH("aei|"&amp;$M518&amp;"|"&amp;$K518,Elasticities!$A$4:$A$200,0),MATCH(Settings!$C$6,Elasticities!$F$3:$I$3,0))</f>
        <v/>
      </c>
      <c r="U518" s="21" t="n"/>
      <c r="V518" s="22">
        <f>Q518</f>
        <v/>
      </c>
      <c r="W518" s="22">
        <f>R518</f>
        <v/>
      </c>
      <c r="X518" s="22">
        <f>S518</f>
        <v/>
      </c>
      <c r="Y518" s="22">
        <f>T518</f>
        <v/>
      </c>
      <c r="Z518" s="21" t="n"/>
      <c r="AA518" s="22">
        <f>Q518</f>
        <v/>
      </c>
      <c r="AB518" s="22">
        <f>R518</f>
        <v/>
      </c>
      <c r="AC518" s="22">
        <f>S518</f>
        <v/>
      </c>
      <c r="AD518" s="22">
        <f>T518</f>
        <v/>
      </c>
      <c r="AE518" s="21" t="n"/>
      <c r="AF518" s="22">
        <f>Q518</f>
        <v/>
      </c>
      <c r="AG518" s="22">
        <f>R518</f>
        <v/>
      </c>
      <c r="AH518" s="22">
        <f>S518</f>
        <v/>
      </c>
      <c r="AI518" s="22">
        <f>T518</f>
        <v/>
      </c>
      <c r="AJ518" s="21" t="n"/>
      <c r="AL518" s="24">
        <f>INDEX(EnergyCons!$F$4:$F$5000,MATCH(Settings!$C$4&amp;"|"&amp;AL$5&amp;"|"&amp;$C518&amp;"|"&amp;$B518,EnergyCons!$A$4:$A$5000,0))</f>
        <v/>
      </c>
      <c r="AM518" s="25">
        <f>AL518*(1/(1+INDEX($Q518:$AJ518,1,(AM$4-1)*5+4)))^(1+INDEX($Q518:$AJ518,1,(AM$4-1)*5+2))*(1+AM$7)^INDEX($Q518:$AJ518,1,(AM$4-1)*5+1)*(AM388/AL388)^INDEX($Q518:$AJ518,1,(AM$4-1)*5+2)*(AM388/AL388)^(INDEX($Q518:$AJ518,1,(AM$4-1)*5+3)*(1+INDEX($Q518:$AJ518,1,(AM$4-1)*5+2)))</f>
        <v/>
      </c>
      <c r="AN518" s="25">
        <f>AM518*(1/(1+INDEX($Q518:$AJ518,1,(AN$4-1)*5+4)))^(1+INDEX($Q518:$AJ518,1,(AN$4-1)*5+2))*(1+AN$7)^INDEX($Q518:$AJ518,1,(AN$4-1)*5+1)*(AN388/AM388)^INDEX($Q518:$AJ518,1,(AN$4-1)*5+2)*(AN388/AM388)^(INDEX($Q518:$AJ518,1,(AN$4-1)*5+3)*(1+INDEX($Q518:$AJ518,1,(AN$4-1)*5+2)))</f>
        <v/>
      </c>
      <c r="AO518" s="25">
        <f>AN518*(1/(1+INDEX($Q518:$AJ518,1,(AO$4-1)*5+4)))^(1+INDEX($Q518:$AJ518,1,(AO$4-1)*5+2))*(1+AO$7)^INDEX($Q518:$AJ518,1,(AO$4-1)*5+1)*(AO388/AN388)^INDEX($Q518:$AJ518,1,(AO$4-1)*5+2)*(AO388/AN388)^(INDEX($Q518:$AJ518,1,(AO$4-1)*5+3)*(1+INDEX($Q518:$AJ518,1,(AO$4-1)*5+2)))</f>
        <v/>
      </c>
      <c r="AP518" s="25">
        <f>AO518*(1/(1+INDEX($Q518:$AJ518,1,(AP$4-1)*5+4)))^(1+INDEX($Q518:$AJ518,1,(AP$4-1)*5+2))*(1+AP$7)^INDEX($Q518:$AJ518,1,(AP$4-1)*5+1)*(AP388/AO388)^INDEX($Q518:$AJ518,1,(AP$4-1)*5+2)*(AP388/AO388)^(INDEX($Q518:$AJ518,1,(AP$4-1)*5+3)*(1+INDEX($Q518:$AJ518,1,(AP$4-1)*5+2)))</f>
        <v/>
      </c>
      <c r="AQ518" s="25">
        <f>AP518*(1/(1+INDEX($Q518:$AJ518,1,(AQ$4-1)*5+4)))^(1+INDEX($Q518:$AJ518,1,(AQ$4-1)*5+2))*(1+AQ$7)^INDEX($Q518:$AJ518,1,(AQ$4-1)*5+1)*(AQ388/AP388)^INDEX($Q518:$AJ518,1,(AQ$4-1)*5+2)*(AQ388/AP388)^(INDEX($Q518:$AJ518,1,(AQ$4-1)*5+3)*(1+INDEX($Q518:$AJ518,1,(AQ$4-1)*5+2)))</f>
        <v/>
      </c>
      <c r="AR518" s="25">
        <f>AQ518*(1/(1+INDEX($Q518:$AJ518,1,(AR$4-1)*5+4)))^(1+INDEX($Q518:$AJ518,1,(AR$4-1)*5+2))*(1+AR$7)^INDEX($Q518:$AJ518,1,(AR$4-1)*5+1)*(AR388/AQ388)^INDEX($Q518:$AJ518,1,(AR$4-1)*5+2)*(AR388/AQ388)^(INDEX($Q518:$AJ518,1,(AR$4-1)*5+3)*(1+INDEX($Q518:$AJ518,1,(AR$4-1)*5+2)))</f>
        <v/>
      </c>
      <c r="AS518" s="25">
        <f>AR518*(1/(1+INDEX($Q518:$AJ518,1,(AS$4-1)*5+4)))^(1+INDEX($Q518:$AJ518,1,(AS$4-1)*5+2))*(1+AS$7)^INDEX($Q518:$AJ518,1,(AS$4-1)*5+1)*(AS388/AR388)^INDEX($Q518:$AJ518,1,(AS$4-1)*5+2)*(AS388/AR388)^(INDEX($Q518:$AJ518,1,(AS$4-1)*5+3)*(1+INDEX($Q518:$AJ518,1,(AS$4-1)*5+2)))</f>
        <v/>
      </c>
      <c r="AT518" s="25">
        <f>AS518*(1/(1+INDEX($Q518:$AJ518,1,(AT$4-1)*5+4)))^(1+INDEX($Q518:$AJ518,1,(AT$4-1)*5+2))*(1+AT$7)^INDEX($Q518:$AJ518,1,(AT$4-1)*5+1)*(AT388/AS388)^INDEX($Q518:$AJ518,1,(AT$4-1)*5+2)*(AT388/AS388)^(INDEX($Q518:$AJ518,1,(AT$4-1)*5+3)*(1+INDEX($Q518:$AJ518,1,(AT$4-1)*5+2)))</f>
        <v/>
      </c>
      <c r="AU518" s="25">
        <f>AT518*(1/(1+INDEX($Q518:$AJ518,1,(AU$4-1)*5+4)))^(1+INDEX($Q518:$AJ518,1,(AU$4-1)*5+2))*(1+AU$7)^INDEX($Q518:$AJ518,1,(AU$4-1)*5+1)*(AU388/AT388)^INDEX($Q518:$AJ518,1,(AU$4-1)*5+2)*(AU388/AT388)^(INDEX($Q518:$AJ518,1,(AU$4-1)*5+3)*(1+INDEX($Q518:$AJ518,1,(AU$4-1)*5+2)))</f>
        <v/>
      </c>
      <c r="AV518" s="25">
        <f>AU518*(1/(1+INDEX($Q518:$AJ518,1,(AV$4-1)*5+4)))^(1+INDEX($Q518:$AJ518,1,(AV$4-1)*5+2))*(1+AV$7)^INDEX($Q518:$AJ518,1,(AV$4-1)*5+1)*(AV388/AU388)^INDEX($Q518:$AJ518,1,(AV$4-1)*5+2)*(AV388/AU388)^(INDEX($Q518:$AJ518,1,(AV$4-1)*5+3)*(1+INDEX($Q518:$AJ518,1,(AV$4-1)*5+2)))</f>
        <v/>
      </c>
      <c r="AW518" s="25">
        <f>AV518*(1/(1+INDEX($Q518:$AJ518,1,(AW$4-1)*5+4)))^(1+INDEX($Q518:$AJ518,1,(AW$4-1)*5+2))*(1+AW$7)^INDEX($Q518:$AJ518,1,(AW$4-1)*5+1)*(AW388/AV388)^INDEX($Q518:$AJ518,1,(AW$4-1)*5+2)*(AW388/AV388)^(INDEX($Q518:$AJ518,1,(AW$4-1)*5+3)*(1+INDEX($Q518:$AJ518,1,(AW$4-1)*5+2)))</f>
        <v/>
      </c>
      <c r="AX518" s="25">
        <f>AW518*(1/(1+INDEX($Q518:$AJ518,1,(AX$4-1)*5+4)))^(1+INDEX($Q518:$AJ518,1,(AX$4-1)*5+2))*(1+AX$7)^INDEX($Q518:$AJ518,1,(AX$4-1)*5+1)*(AX388/AW388)^INDEX($Q518:$AJ518,1,(AX$4-1)*5+2)*(AX388/AW388)^(INDEX($Q518:$AJ518,1,(AX$4-1)*5+3)*(1+INDEX($Q518:$AJ518,1,(AX$4-1)*5+2)))</f>
        <v/>
      </c>
      <c r="AY518" s="25">
        <f>AX518*(1/(1+INDEX($Q518:$AJ518,1,(AY$4-1)*5+4)))^(1+INDEX($Q518:$AJ518,1,(AY$4-1)*5+2))*(1+AY$7)^INDEX($Q518:$AJ518,1,(AY$4-1)*5+1)*(AY388/AX388)^INDEX($Q518:$AJ518,1,(AY$4-1)*5+2)*(AY388/AX388)^(INDEX($Q518:$AJ518,1,(AY$4-1)*5+3)*(1+INDEX($Q518:$AJ518,1,(AY$4-1)*5+2)))</f>
        <v/>
      </c>
      <c r="BA518" s="24">
        <f>INDEX(EnergyCons!$F$4:$F$5000,MATCH(Settings!$C$4&amp;"|"&amp;BA$5&amp;"|"&amp;$C518&amp;"|"&amp;$B518,EnergyCons!$A$4:$A$5000,0))</f>
        <v/>
      </c>
      <c r="BB518" s="25">
        <f>BA518*(1/(1+INDEX($Q518:$AJ518,1,(BB$4-1)*5+4)))^(1+INDEX($Q518:$AJ518,1,(BB$4-1)*5+2))*(1+BB$7)^INDEX($Q518:$AJ518,1,(BB$4-1)*5+1)*(BB388/BA388)^INDEX($Q518:$AJ518,1,(BB$4-1)*5+2)*(BB388/BA388)^(INDEX($Q518:$AJ518,1,(BB$4-1)*5+3)*(1+INDEX($Q518:$AJ518,1,(BB$4-1)*5+2)))</f>
        <v/>
      </c>
      <c r="BC518" s="25">
        <f>BB518*(1/(1+INDEX($Q518:$AJ518,1,(BC$4-1)*5+4)))^(1+INDEX($Q518:$AJ518,1,(BC$4-1)*5+2))*(1+BC$7)^INDEX($Q518:$AJ518,1,(BC$4-1)*5+1)*(BC388/BB388)^INDEX($Q518:$AJ518,1,(BC$4-1)*5+2)*(BC388/BB388)^(INDEX($Q518:$AJ518,1,(BC$4-1)*5+3)*(1+INDEX($Q518:$AJ518,1,(BC$4-1)*5+2)))</f>
        <v/>
      </c>
      <c r="BD518" s="25">
        <f>BC518*(1/(1+INDEX($Q518:$AJ518,1,(BD$4-1)*5+4)))^(1+INDEX($Q518:$AJ518,1,(BD$4-1)*5+2))*(1+BD$7)^INDEX($Q518:$AJ518,1,(BD$4-1)*5+1)*(BD388/BC388)^INDEX($Q518:$AJ518,1,(BD$4-1)*5+2)*(BD388/BC388)^(INDEX($Q518:$AJ518,1,(BD$4-1)*5+3)*(1+INDEX($Q518:$AJ518,1,(BD$4-1)*5+2)))</f>
        <v/>
      </c>
      <c r="BE518" s="25">
        <f>BD518*(1/(1+INDEX($Q518:$AJ518,1,(BE$4-1)*5+4)))^(1+INDEX($Q518:$AJ518,1,(BE$4-1)*5+2))*(1+BE$7)^INDEX($Q518:$AJ518,1,(BE$4-1)*5+1)*(BE388/BD388)^INDEX($Q518:$AJ518,1,(BE$4-1)*5+2)*(BE388/BD388)^(INDEX($Q518:$AJ518,1,(BE$4-1)*5+3)*(1+INDEX($Q518:$AJ518,1,(BE$4-1)*5+2)))</f>
        <v/>
      </c>
      <c r="BF518" s="25">
        <f>BE518*(1/(1+INDEX($Q518:$AJ518,1,(BF$4-1)*5+4)))^(1+INDEX($Q518:$AJ518,1,(BF$4-1)*5+2))*(1+BF$7)^INDEX($Q518:$AJ518,1,(BF$4-1)*5+1)*(BF388/BE388)^INDEX($Q518:$AJ518,1,(BF$4-1)*5+2)*(BF388/BE388)^(INDEX($Q518:$AJ518,1,(BF$4-1)*5+3)*(1+INDEX($Q518:$AJ518,1,(BF$4-1)*5+2)))</f>
        <v/>
      </c>
      <c r="BG518" s="25">
        <f>BF518*(1/(1+INDEX($Q518:$AJ518,1,(BG$4-1)*5+4)))^(1+INDEX($Q518:$AJ518,1,(BG$4-1)*5+2))*(1+BG$7)^INDEX($Q518:$AJ518,1,(BG$4-1)*5+1)*(BG388/BF388)^INDEX($Q518:$AJ518,1,(BG$4-1)*5+2)*(BG388/BF388)^(INDEX($Q518:$AJ518,1,(BG$4-1)*5+3)*(1+INDEX($Q518:$AJ518,1,(BG$4-1)*5+2)))</f>
        <v/>
      </c>
      <c r="BH518" s="25">
        <f>BG518*(1/(1+INDEX($Q518:$AJ518,1,(BH$4-1)*5+4)))^(1+INDEX($Q518:$AJ518,1,(BH$4-1)*5+2))*(1+BH$7)^INDEX($Q518:$AJ518,1,(BH$4-1)*5+1)*(BH388/BG388)^INDEX($Q518:$AJ518,1,(BH$4-1)*5+2)*(BH388/BG388)^(INDEX($Q518:$AJ518,1,(BH$4-1)*5+3)*(1+INDEX($Q518:$AJ518,1,(BH$4-1)*5+2)))</f>
        <v/>
      </c>
      <c r="BI518" s="25">
        <f>BH518*(1/(1+INDEX($Q518:$AJ518,1,(BI$4-1)*5+4)))^(1+INDEX($Q518:$AJ518,1,(BI$4-1)*5+2))*(1+BI$7)^INDEX($Q518:$AJ518,1,(BI$4-1)*5+1)*(BI388/BH388)^INDEX($Q518:$AJ518,1,(BI$4-1)*5+2)*(BI388/BH388)^(INDEX($Q518:$AJ518,1,(BI$4-1)*5+3)*(1+INDEX($Q518:$AJ518,1,(BI$4-1)*5+2)))</f>
        <v/>
      </c>
      <c r="BJ518" s="25">
        <f>BI518*(1/(1+INDEX($Q518:$AJ518,1,(BJ$4-1)*5+4)))^(1+INDEX($Q518:$AJ518,1,(BJ$4-1)*5+2))*(1+BJ$7)^INDEX($Q518:$AJ518,1,(BJ$4-1)*5+1)*(BJ388/BI388)^INDEX($Q518:$AJ518,1,(BJ$4-1)*5+2)*(BJ388/BI388)^(INDEX($Q518:$AJ518,1,(BJ$4-1)*5+3)*(1+INDEX($Q518:$AJ518,1,(BJ$4-1)*5+2)))</f>
        <v/>
      </c>
      <c r="BK518" s="25">
        <f>BJ518*(1/(1+INDEX($Q518:$AJ518,1,(BK$4-1)*5+4)))^(1+INDEX($Q518:$AJ518,1,(BK$4-1)*5+2))*(1+BK$7)^INDEX($Q518:$AJ518,1,(BK$4-1)*5+1)*(BK388/BJ388)^INDEX($Q518:$AJ518,1,(BK$4-1)*5+2)*(BK388/BJ388)^(INDEX($Q518:$AJ518,1,(BK$4-1)*5+3)*(1+INDEX($Q518:$AJ518,1,(BK$4-1)*5+2)))</f>
        <v/>
      </c>
      <c r="BL518" s="25">
        <f>BK518*(1/(1+INDEX($Q518:$AJ518,1,(BL$4-1)*5+4)))^(1+INDEX($Q518:$AJ518,1,(BL$4-1)*5+2))*(1+BL$7)^INDEX($Q518:$AJ518,1,(BL$4-1)*5+1)*(BL388/BK388)^INDEX($Q518:$AJ518,1,(BL$4-1)*5+2)*(BL388/BK388)^(INDEX($Q518:$AJ518,1,(BL$4-1)*5+3)*(1+INDEX($Q518:$AJ518,1,(BL$4-1)*5+2)))</f>
        <v/>
      </c>
      <c r="BM518" s="25">
        <f>BL518*(1/(1+INDEX($Q518:$AJ518,1,(BM$4-1)*5+4)))^(1+INDEX($Q518:$AJ518,1,(BM$4-1)*5+2))*(1+BM$7)^INDEX($Q518:$AJ518,1,(BM$4-1)*5+1)*(BM388/BL388)^INDEX($Q518:$AJ518,1,(BM$4-1)*5+2)*(BM388/BL388)^(INDEX($Q518:$AJ518,1,(BM$4-1)*5+3)*(1+INDEX($Q518:$AJ518,1,(BM$4-1)*5+2)))</f>
        <v/>
      </c>
      <c r="BN518" s="25">
        <f>BM518*(1/(1+INDEX($Q518:$AJ518,1,(BN$4-1)*5+4)))^(1+INDEX($Q518:$AJ518,1,(BN$4-1)*5+2))*(1+BN$7)^INDEX($Q518:$AJ518,1,(BN$4-1)*5+1)*(BN388/BM388)^INDEX($Q518:$AJ518,1,(BN$4-1)*5+2)*(BN388/BM388)^(INDEX($Q518:$AJ518,1,(BN$4-1)*5+3)*(1+INDEX($Q518:$AJ518,1,(BN$4-1)*5+2)))</f>
        <v/>
      </c>
    </row>
    <row r="519">
      <c r="B519" s="5" t="inlineStr">
        <is>
          <t>oop</t>
        </is>
      </c>
      <c r="C519" s="5" t="inlineStr">
        <is>
          <t>ftr</t>
        </is>
      </c>
      <c r="D519" s="5" t="inlineStr">
        <is>
          <t>Fuel use | Fuel transformation | Other oil products</t>
        </is>
      </c>
      <c r="E519" s="5" t="inlineStr">
        <is>
          <t>ktoe</t>
        </is>
      </c>
      <c r="F519" s="5" t="inlineStr">
        <is>
          <t>EnergyCons (base year), Elasticities</t>
        </is>
      </c>
      <c r="G519" s="19" t="inlineStr">
        <is>
          <t>mit.enc.oop.ftr</t>
        </is>
      </c>
      <c r="H519" s="19" t="inlineStr">
        <is>
          <t>mit.enc.oop.ftr</t>
        </is>
      </c>
      <c r="J519" s="5">
        <f>INDEX(Mapping!$C$5:$C$20,MATCH($C519,Mapping!$A$5:$A$20,0))</f>
        <v/>
      </c>
      <c r="K519" s="5">
        <f>INDEX(Mapping!$D$5:$D$20,MATCH($C519,Mapping!$A$5:$A$20,0))</f>
        <v/>
      </c>
      <c r="L519" s="5">
        <f>INDEX(Mapping!$C$24:$C$31,MATCH($B519,Mapping!$A$24:$A$31,0))</f>
        <v/>
      </c>
      <c r="M519" s="5">
        <f>INDEX(Mapping!$D$24:$D$31,MATCH($B519,Mapping!$A$24:$A$31,0))</f>
        <v/>
      </c>
      <c r="N519" s="5">
        <f>$B519&amp;"."&amp;IF(INDEX(Mapping!$E$24:$E$31,MATCH($B519,Mapping!$A$24:$A$31,0))="sub",INDEX(Mapping!$F$5:$F$20,MATCH($C519,Mapping!$A$5:$A$20,0)),"all")</f>
        <v/>
      </c>
      <c r="O519" s="5">
        <f>INDEX(Mapping!$E$5:$E$20,MATCH($C519,Mapping!$A$5:$A$20,0))</f>
        <v/>
      </c>
      <c r="P519" s="5">
        <f>INDEX(Mapping!$G$24:$G$31,MATCH($B519,Mapping!$A$24:$A$31,0))</f>
        <v/>
      </c>
      <c r="Q519" s="22">
        <f>INDEX(Elasticities!$F$4:$I$200,MATCH("inc|"&amp;$L519&amp;"|"&amp;$K519,Elasticities!$A$4:$A$200,0),MATCH(Settings!$C$6,Elasticities!$F$3:$I$3,0))</f>
        <v/>
      </c>
      <c r="R519" s="22">
        <f>INDEX(Elasticities!$F$4:$I$200,MATCH("usg|"&amp;$L519&amp;"|"&amp;$K519,Elasticities!$A$4:$A$200,0),MATCH(Settings!$C$6,Elasticities!$F$3:$I$3,0))</f>
        <v/>
      </c>
      <c r="S519" s="22">
        <f>INDEX(Elasticities!$F$4:$I$200,MATCH("eff|"&amp;$L519&amp;"|"&amp;$K519,Elasticities!$A$4:$A$200,0),MATCH(Settings!$C$6,Elasticities!$F$3:$I$3,0))</f>
        <v/>
      </c>
      <c r="T519" s="22">
        <f>INDEX(Elasticities!$F$4:$I$200,MATCH("aei|"&amp;$M519&amp;"|"&amp;$K519,Elasticities!$A$4:$A$200,0),MATCH(Settings!$C$6,Elasticities!$F$3:$I$3,0))</f>
        <v/>
      </c>
      <c r="U519" s="21" t="n"/>
      <c r="V519" s="22">
        <f>Q519</f>
        <v/>
      </c>
      <c r="W519" s="22">
        <f>R519</f>
        <v/>
      </c>
      <c r="X519" s="22">
        <f>S519</f>
        <v/>
      </c>
      <c r="Y519" s="22">
        <f>T519</f>
        <v/>
      </c>
      <c r="Z519" s="21" t="n"/>
      <c r="AA519" s="22">
        <f>Q519</f>
        <v/>
      </c>
      <c r="AB519" s="22">
        <f>R519</f>
        <v/>
      </c>
      <c r="AC519" s="22">
        <f>S519</f>
        <v/>
      </c>
      <c r="AD519" s="22">
        <f>T519</f>
        <v/>
      </c>
      <c r="AE519" s="21" t="n"/>
      <c r="AF519" s="22">
        <f>Q519</f>
        <v/>
      </c>
      <c r="AG519" s="22">
        <f>R519</f>
        <v/>
      </c>
      <c r="AH519" s="22">
        <f>S519</f>
        <v/>
      </c>
      <c r="AI519" s="22">
        <f>T519</f>
        <v/>
      </c>
      <c r="AJ519" s="21" t="n"/>
      <c r="AL519" s="24">
        <f>INDEX(EnergyCons!$F$4:$F$5000,MATCH(Settings!$C$4&amp;"|"&amp;AL$5&amp;"|"&amp;$C519&amp;"|"&amp;$B519,EnergyCons!$A$4:$A$5000,0))</f>
        <v/>
      </c>
      <c r="AM519" s="25">
        <f>AL519*(1/(1+INDEX($Q519:$AJ519,1,(AM$4-1)*5+4)))^(1+INDEX($Q519:$AJ519,1,(AM$4-1)*5+2))*(1+AM$7)^INDEX($Q519:$AJ519,1,(AM$4-1)*5+1)*(AM389/AL389)^INDEX($Q519:$AJ519,1,(AM$4-1)*5+2)*(AM389/AL389)^(INDEX($Q519:$AJ519,1,(AM$4-1)*5+3)*(1+INDEX($Q519:$AJ519,1,(AM$4-1)*5+2)))</f>
        <v/>
      </c>
      <c r="AN519" s="25">
        <f>AM519*(1/(1+INDEX($Q519:$AJ519,1,(AN$4-1)*5+4)))^(1+INDEX($Q519:$AJ519,1,(AN$4-1)*5+2))*(1+AN$7)^INDEX($Q519:$AJ519,1,(AN$4-1)*5+1)*(AN389/AM389)^INDEX($Q519:$AJ519,1,(AN$4-1)*5+2)*(AN389/AM389)^(INDEX($Q519:$AJ519,1,(AN$4-1)*5+3)*(1+INDEX($Q519:$AJ519,1,(AN$4-1)*5+2)))</f>
        <v/>
      </c>
      <c r="AO519" s="25">
        <f>AN519*(1/(1+INDEX($Q519:$AJ519,1,(AO$4-1)*5+4)))^(1+INDEX($Q519:$AJ519,1,(AO$4-1)*5+2))*(1+AO$7)^INDEX($Q519:$AJ519,1,(AO$4-1)*5+1)*(AO389/AN389)^INDEX($Q519:$AJ519,1,(AO$4-1)*5+2)*(AO389/AN389)^(INDEX($Q519:$AJ519,1,(AO$4-1)*5+3)*(1+INDEX($Q519:$AJ519,1,(AO$4-1)*5+2)))</f>
        <v/>
      </c>
      <c r="AP519" s="25">
        <f>AO519*(1/(1+INDEX($Q519:$AJ519,1,(AP$4-1)*5+4)))^(1+INDEX($Q519:$AJ519,1,(AP$4-1)*5+2))*(1+AP$7)^INDEX($Q519:$AJ519,1,(AP$4-1)*5+1)*(AP389/AO389)^INDEX($Q519:$AJ519,1,(AP$4-1)*5+2)*(AP389/AO389)^(INDEX($Q519:$AJ519,1,(AP$4-1)*5+3)*(1+INDEX($Q519:$AJ519,1,(AP$4-1)*5+2)))</f>
        <v/>
      </c>
      <c r="AQ519" s="25">
        <f>AP519*(1/(1+INDEX($Q519:$AJ519,1,(AQ$4-1)*5+4)))^(1+INDEX($Q519:$AJ519,1,(AQ$4-1)*5+2))*(1+AQ$7)^INDEX($Q519:$AJ519,1,(AQ$4-1)*5+1)*(AQ389/AP389)^INDEX($Q519:$AJ519,1,(AQ$4-1)*5+2)*(AQ389/AP389)^(INDEX($Q519:$AJ519,1,(AQ$4-1)*5+3)*(1+INDEX($Q519:$AJ519,1,(AQ$4-1)*5+2)))</f>
        <v/>
      </c>
      <c r="AR519" s="25">
        <f>AQ519*(1/(1+INDEX($Q519:$AJ519,1,(AR$4-1)*5+4)))^(1+INDEX($Q519:$AJ519,1,(AR$4-1)*5+2))*(1+AR$7)^INDEX($Q519:$AJ519,1,(AR$4-1)*5+1)*(AR389/AQ389)^INDEX($Q519:$AJ519,1,(AR$4-1)*5+2)*(AR389/AQ389)^(INDEX($Q519:$AJ519,1,(AR$4-1)*5+3)*(1+INDEX($Q519:$AJ519,1,(AR$4-1)*5+2)))</f>
        <v/>
      </c>
      <c r="AS519" s="25">
        <f>AR519*(1/(1+INDEX($Q519:$AJ519,1,(AS$4-1)*5+4)))^(1+INDEX($Q519:$AJ519,1,(AS$4-1)*5+2))*(1+AS$7)^INDEX($Q519:$AJ519,1,(AS$4-1)*5+1)*(AS389/AR389)^INDEX($Q519:$AJ519,1,(AS$4-1)*5+2)*(AS389/AR389)^(INDEX($Q519:$AJ519,1,(AS$4-1)*5+3)*(1+INDEX($Q519:$AJ519,1,(AS$4-1)*5+2)))</f>
        <v/>
      </c>
      <c r="AT519" s="25">
        <f>AS519*(1/(1+INDEX($Q519:$AJ519,1,(AT$4-1)*5+4)))^(1+INDEX($Q519:$AJ519,1,(AT$4-1)*5+2))*(1+AT$7)^INDEX($Q519:$AJ519,1,(AT$4-1)*5+1)*(AT389/AS389)^INDEX($Q519:$AJ519,1,(AT$4-1)*5+2)*(AT389/AS389)^(INDEX($Q519:$AJ519,1,(AT$4-1)*5+3)*(1+INDEX($Q519:$AJ519,1,(AT$4-1)*5+2)))</f>
        <v/>
      </c>
      <c r="AU519" s="25">
        <f>AT519*(1/(1+INDEX($Q519:$AJ519,1,(AU$4-1)*5+4)))^(1+INDEX($Q519:$AJ519,1,(AU$4-1)*5+2))*(1+AU$7)^INDEX($Q519:$AJ519,1,(AU$4-1)*5+1)*(AU389/AT389)^INDEX($Q519:$AJ519,1,(AU$4-1)*5+2)*(AU389/AT389)^(INDEX($Q519:$AJ519,1,(AU$4-1)*5+3)*(1+INDEX($Q519:$AJ519,1,(AU$4-1)*5+2)))</f>
        <v/>
      </c>
      <c r="AV519" s="25">
        <f>AU519*(1/(1+INDEX($Q519:$AJ519,1,(AV$4-1)*5+4)))^(1+INDEX($Q519:$AJ519,1,(AV$4-1)*5+2))*(1+AV$7)^INDEX($Q519:$AJ519,1,(AV$4-1)*5+1)*(AV389/AU389)^INDEX($Q519:$AJ519,1,(AV$4-1)*5+2)*(AV389/AU389)^(INDEX($Q519:$AJ519,1,(AV$4-1)*5+3)*(1+INDEX($Q519:$AJ519,1,(AV$4-1)*5+2)))</f>
        <v/>
      </c>
      <c r="AW519" s="25">
        <f>AV519*(1/(1+INDEX($Q519:$AJ519,1,(AW$4-1)*5+4)))^(1+INDEX($Q519:$AJ519,1,(AW$4-1)*5+2))*(1+AW$7)^INDEX($Q519:$AJ519,1,(AW$4-1)*5+1)*(AW389/AV389)^INDEX($Q519:$AJ519,1,(AW$4-1)*5+2)*(AW389/AV389)^(INDEX($Q519:$AJ519,1,(AW$4-1)*5+3)*(1+INDEX($Q519:$AJ519,1,(AW$4-1)*5+2)))</f>
        <v/>
      </c>
      <c r="AX519" s="25">
        <f>AW519*(1/(1+INDEX($Q519:$AJ519,1,(AX$4-1)*5+4)))^(1+INDEX($Q519:$AJ519,1,(AX$4-1)*5+2))*(1+AX$7)^INDEX($Q519:$AJ519,1,(AX$4-1)*5+1)*(AX389/AW389)^INDEX($Q519:$AJ519,1,(AX$4-1)*5+2)*(AX389/AW389)^(INDEX($Q519:$AJ519,1,(AX$4-1)*5+3)*(1+INDEX($Q519:$AJ519,1,(AX$4-1)*5+2)))</f>
        <v/>
      </c>
      <c r="AY519" s="25">
        <f>AX519*(1/(1+INDEX($Q519:$AJ519,1,(AY$4-1)*5+4)))^(1+INDEX($Q519:$AJ519,1,(AY$4-1)*5+2))*(1+AY$7)^INDEX($Q519:$AJ519,1,(AY$4-1)*5+1)*(AY389/AX389)^INDEX($Q519:$AJ519,1,(AY$4-1)*5+2)*(AY389/AX389)^(INDEX($Q519:$AJ519,1,(AY$4-1)*5+3)*(1+INDEX($Q519:$AJ519,1,(AY$4-1)*5+2)))</f>
        <v/>
      </c>
      <c r="BA519" s="24">
        <f>INDEX(EnergyCons!$F$4:$F$5000,MATCH(Settings!$C$4&amp;"|"&amp;BA$5&amp;"|"&amp;$C519&amp;"|"&amp;$B519,EnergyCons!$A$4:$A$5000,0))</f>
        <v/>
      </c>
      <c r="BB519" s="25">
        <f>BA519*(1/(1+INDEX($Q519:$AJ519,1,(BB$4-1)*5+4)))^(1+INDEX($Q519:$AJ519,1,(BB$4-1)*5+2))*(1+BB$7)^INDEX($Q519:$AJ519,1,(BB$4-1)*5+1)*(BB389/BA389)^INDEX($Q519:$AJ519,1,(BB$4-1)*5+2)*(BB389/BA389)^(INDEX($Q519:$AJ519,1,(BB$4-1)*5+3)*(1+INDEX($Q519:$AJ519,1,(BB$4-1)*5+2)))</f>
        <v/>
      </c>
      <c r="BC519" s="25">
        <f>BB519*(1/(1+INDEX($Q519:$AJ519,1,(BC$4-1)*5+4)))^(1+INDEX($Q519:$AJ519,1,(BC$4-1)*5+2))*(1+BC$7)^INDEX($Q519:$AJ519,1,(BC$4-1)*5+1)*(BC389/BB389)^INDEX($Q519:$AJ519,1,(BC$4-1)*5+2)*(BC389/BB389)^(INDEX($Q519:$AJ519,1,(BC$4-1)*5+3)*(1+INDEX($Q519:$AJ519,1,(BC$4-1)*5+2)))</f>
        <v/>
      </c>
      <c r="BD519" s="25">
        <f>BC519*(1/(1+INDEX($Q519:$AJ519,1,(BD$4-1)*5+4)))^(1+INDEX($Q519:$AJ519,1,(BD$4-1)*5+2))*(1+BD$7)^INDEX($Q519:$AJ519,1,(BD$4-1)*5+1)*(BD389/BC389)^INDEX($Q519:$AJ519,1,(BD$4-1)*5+2)*(BD389/BC389)^(INDEX($Q519:$AJ519,1,(BD$4-1)*5+3)*(1+INDEX($Q519:$AJ519,1,(BD$4-1)*5+2)))</f>
        <v/>
      </c>
      <c r="BE519" s="25">
        <f>BD519*(1/(1+INDEX($Q519:$AJ519,1,(BE$4-1)*5+4)))^(1+INDEX($Q519:$AJ519,1,(BE$4-1)*5+2))*(1+BE$7)^INDEX($Q519:$AJ519,1,(BE$4-1)*5+1)*(BE389/BD389)^INDEX($Q519:$AJ519,1,(BE$4-1)*5+2)*(BE389/BD389)^(INDEX($Q519:$AJ519,1,(BE$4-1)*5+3)*(1+INDEX($Q519:$AJ519,1,(BE$4-1)*5+2)))</f>
        <v/>
      </c>
      <c r="BF519" s="25">
        <f>BE519*(1/(1+INDEX($Q519:$AJ519,1,(BF$4-1)*5+4)))^(1+INDEX($Q519:$AJ519,1,(BF$4-1)*5+2))*(1+BF$7)^INDEX($Q519:$AJ519,1,(BF$4-1)*5+1)*(BF389/BE389)^INDEX($Q519:$AJ519,1,(BF$4-1)*5+2)*(BF389/BE389)^(INDEX($Q519:$AJ519,1,(BF$4-1)*5+3)*(1+INDEX($Q519:$AJ519,1,(BF$4-1)*5+2)))</f>
        <v/>
      </c>
      <c r="BG519" s="25">
        <f>BF519*(1/(1+INDEX($Q519:$AJ519,1,(BG$4-1)*5+4)))^(1+INDEX($Q519:$AJ519,1,(BG$4-1)*5+2))*(1+BG$7)^INDEX($Q519:$AJ519,1,(BG$4-1)*5+1)*(BG389/BF389)^INDEX($Q519:$AJ519,1,(BG$4-1)*5+2)*(BG389/BF389)^(INDEX($Q519:$AJ519,1,(BG$4-1)*5+3)*(1+INDEX($Q519:$AJ519,1,(BG$4-1)*5+2)))</f>
        <v/>
      </c>
      <c r="BH519" s="25">
        <f>BG519*(1/(1+INDEX($Q519:$AJ519,1,(BH$4-1)*5+4)))^(1+INDEX($Q519:$AJ519,1,(BH$4-1)*5+2))*(1+BH$7)^INDEX($Q519:$AJ519,1,(BH$4-1)*5+1)*(BH389/BG389)^INDEX($Q519:$AJ519,1,(BH$4-1)*5+2)*(BH389/BG389)^(INDEX($Q519:$AJ519,1,(BH$4-1)*5+3)*(1+INDEX($Q519:$AJ519,1,(BH$4-1)*5+2)))</f>
        <v/>
      </c>
      <c r="BI519" s="25">
        <f>BH519*(1/(1+INDEX($Q519:$AJ519,1,(BI$4-1)*5+4)))^(1+INDEX($Q519:$AJ519,1,(BI$4-1)*5+2))*(1+BI$7)^INDEX($Q519:$AJ519,1,(BI$4-1)*5+1)*(BI389/BH389)^INDEX($Q519:$AJ519,1,(BI$4-1)*5+2)*(BI389/BH389)^(INDEX($Q519:$AJ519,1,(BI$4-1)*5+3)*(1+INDEX($Q519:$AJ519,1,(BI$4-1)*5+2)))</f>
        <v/>
      </c>
      <c r="BJ519" s="25">
        <f>BI519*(1/(1+INDEX($Q519:$AJ519,1,(BJ$4-1)*5+4)))^(1+INDEX($Q519:$AJ519,1,(BJ$4-1)*5+2))*(1+BJ$7)^INDEX($Q519:$AJ519,1,(BJ$4-1)*5+1)*(BJ389/BI389)^INDEX($Q519:$AJ519,1,(BJ$4-1)*5+2)*(BJ389/BI389)^(INDEX($Q519:$AJ519,1,(BJ$4-1)*5+3)*(1+INDEX($Q519:$AJ519,1,(BJ$4-1)*5+2)))</f>
        <v/>
      </c>
      <c r="BK519" s="25">
        <f>BJ519*(1/(1+INDEX($Q519:$AJ519,1,(BK$4-1)*5+4)))^(1+INDEX($Q519:$AJ519,1,(BK$4-1)*5+2))*(1+BK$7)^INDEX($Q519:$AJ519,1,(BK$4-1)*5+1)*(BK389/BJ389)^INDEX($Q519:$AJ519,1,(BK$4-1)*5+2)*(BK389/BJ389)^(INDEX($Q519:$AJ519,1,(BK$4-1)*5+3)*(1+INDEX($Q519:$AJ519,1,(BK$4-1)*5+2)))</f>
        <v/>
      </c>
      <c r="BL519" s="25">
        <f>BK519*(1/(1+INDEX($Q519:$AJ519,1,(BL$4-1)*5+4)))^(1+INDEX($Q519:$AJ519,1,(BL$4-1)*5+2))*(1+BL$7)^INDEX($Q519:$AJ519,1,(BL$4-1)*5+1)*(BL389/BK389)^INDEX($Q519:$AJ519,1,(BL$4-1)*5+2)*(BL389/BK389)^(INDEX($Q519:$AJ519,1,(BL$4-1)*5+3)*(1+INDEX($Q519:$AJ519,1,(BL$4-1)*5+2)))</f>
        <v/>
      </c>
      <c r="BM519" s="25">
        <f>BL519*(1/(1+INDEX($Q519:$AJ519,1,(BM$4-1)*5+4)))^(1+INDEX($Q519:$AJ519,1,(BM$4-1)*5+2))*(1+BM$7)^INDEX($Q519:$AJ519,1,(BM$4-1)*5+1)*(BM389/BL389)^INDEX($Q519:$AJ519,1,(BM$4-1)*5+2)*(BM389/BL389)^(INDEX($Q519:$AJ519,1,(BM$4-1)*5+3)*(1+INDEX($Q519:$AJ519,1,(BM$4-1)*5+2)))</f>
        <v/>
      </c>
      <c r="BN519" s="25">
        <f>BM519*(1/(1+INDEX($Q519:$AJ519,1,(BN$4-1)*5+4)))^(1+INDEX($Q519:$AJ519,1,(BN$4-1)*5+2))*(1+BN$7)^INDEX($Q519:$AJ519,1,(BN$4-1)*5+1)*(BN389/BM389)^INDEX($Q519:$AJ519,1,(BN$4-1)*5+2)*(BN389/BM389)^(INDEX($Q519:$AJ519,1,(BN$4-1)*5+3)*(1+INDEX($Q519:$AJ519,1,(BN$4-1)*5+2)))</f>
        <v/>
      </c>
    </row>
    <row r="520">
      <c r="B520" s="5" t="inlineStr">
        <is>
          <t>bio</t>
        </is>
      </c>
      <c r="C520" s="5" t="inlineStr">
        <is>
          <t>ftr</t>
        </is>
      </c>
      <c r="D520" s="5" t="inlineStr">
        <is>
          <t>Fuel use | Fuel transformation | Biomass</t>
        </is>
      </c>
      <c r="E520" s="5" t="inlineStr">
        <is>
          <t>ktoe</t>
        </is>
      </c>
      <c r="F520" s="5" t="inlineStr">
        <is>
          <t>EnergyCons (base year), Elasticities</t>
        </is>
      </c>
      <c r="G520" s="19" t="inlineStr">
        <is>
          <t>mit.enc.bio.ftr</t>
        </is>
      </c>
      <c r="H520" s="19" t="inlineStr">
        <is>
          <t>mit.enc.bio.ftr</t>
        </is>
      </c>
      <c r="J520" s="5">
        <f>INDEX(Mapping!$C$5:$C$20,MATCH($C520,Mapping!$A$5:$A$20,0))</f>
        <v/>
      </c>
      <c r="K520" s="5">
        <f>INDEX(Mapping!$D$5:$D$20,MATCH($C520,Mapping!$A$5:$A$20,0))</f>
        <v/>
      </c>
      <c r="L520" s="5">
        <f>INDEX(Mapping!$C$24:$C$31,MATCH($B520,Mapping!$A$24:$A$31,0))</f>
        <v/>
      </c>
      <c r="M520" s="5">
        <f>INDEX(Mapping!$D$24:$D$31,MATCH($B520,Mapping!$A$24:$A$31,0))</f>
        <v/>
      </c>
      <c r="N520" s="5">
        <f>$B520&amp;"."&amp;IF(INDEX(Mapping!$E$24:$E$31,MATCH($B520,Mapping!$A$24:$A$31,0))="sub",INDEX(Mapping!$F$5:$F$20,MATCH($C520,Mapping!$A$5:$A$20,0)),"all")</f>
        <v/>
      </c>
      <c r="O520" s="5">
        <f>INDEX(Mapping!$E$5:$E$20,MATCH($C520,Mapping!$A$5:$A$20,0))</f>
        <v/>
      </c>
      <c r="P520" s="5">
        <f>INDEX(Mapping!$G$24:$G$31,MATCH($B520,Mapping!$A$24:$A$31,0))</f>
        <v/>
      </c>
      <c r="Q520" s="22">
        <f>INDEX(Elasticities!$F$4:$I$200,MATCH("inc|"&amp;$L520&amp;"|"&amp;$K520,Elasticities!$A$4:$A$200,0),MATCH(Settings!$C$6,Elasticities!$F$3:$I$3,0))</f>
        <v/>
      </c>
      <c r="R520" s="22">
        <f>INDEX(Elasticities!$F$4:$I$200,MATCH("usg|"&amp;$L520&amp;"|"&amp;$K520,Elasticities!$A$4:$A$200,0),MATCH(Settings!$C$6,Elasticities!$F$3:$I$3,0))</f>
        <v/>
      </c>
      <c r="S520" s="22">
        <f>INDEX(Elasticities!$F$4:$I$200,MATCH("eff|"&amp;$L520&amp;"|"&amp;$K520,Elasticities!$A$4:$A$200,0),MATCH(Settings!$C$6,Elasticities!$F$3:$I$3,0))</f>
        <v/>
      </c>
      <c r="T520" s="22">
        <f>INDEX(Elasticities!$F$4:$I$200,MATCH("aei|"&amp;$M520&amp;"|"&amp;$K520,Elasticities!$A$4:$A$200,0),MATCH(Settings!$C$6,Elasticities!$F$3:$I$3,0))</f>
        <v/>
      </c>
      <c r="U520" s="21" t="n"/>
      <c r="V520" s="22">
        <f>Q520</f>
        <v/>
      </c>
      <c r="W520" s="22">
        <f>R520</f>
        <v/>
      </c>
      <c r="X520" s="22">
        <f>S520</f>
        <v/>
      </c>
      <c r="Y520" s="22">
        <f>T520</f>
        <v/>
      </c>
      <c r="Z520" s="21" t="n"/>
      <c r="AA520" s="22">
        <f>Q520</f>
        <v/>
      </c>
      <c r="AB520" s="22">
        <f>R520</f>
        <v/>
      </c>
      <c r="AC520" s="22">
        <f>S520</f>
        <v/>
      </c>
      <c r="AD520" s="22">
        <f>T520</f>
        <v/>
      </c>
      <c r="AE520" s="21" t="n"/>
      <c r="AF520" s="22">
        <f>Q520</f>
        <v/>
      </c>
      <c r="AG520" s="22">
        <f>R520</f>
        <v/>
      </c>
      <c r="AH520" s="22">
        <f>S520</f>
        <v/>
      </c>
      <c r="AI520" s="22">
        <f>T520</f>
        <v/>
      </c>
      <c r="AJ520" s="21" t="n"/>
      <c r="AL520" s="24">
        <f>INDEX(EnergyCons!$F$4:$F$5000,MATCH(Settings!$C$4&amp;"|"&amp;AL$5&amp;"|"&amp;$C520&amp;"|"&amp;$B520,EnergyCons!$A$4:$A$5000,0))</f>
        <v/>
      </c>
      <c r="AM520" s="25">
        <f>AL520*(1/(1+INDEX($Q520:$AJ520,1,(AM$4-1)*5+4)))^(1+INDEX($Q520:$AJ520,1,(AM$4-1)*5+2))*(1+AM$7)^INDEX($Q520:$AJ520,1,(AM$4-1)*5+1)*(AM390/AL390)^INDEX($Q520:$AJ520,1,(AM$4-1)*5+2)*(AM390/AL390)^(INDEX($Q520:$AJ520,1,(AM$4-1)*5+3)*(1+INDEX($Q520:$AJ520,1,(AM$4-1)*5+2)))</f>
        <v/>
      </c>
      <c r="AN520" s="25">
        <f>AM520*(1/(1+INDEX($Q520:$AJ520,1,(AN$4-1)*5+4)))^(1+INDEX($Q520:$AJ520,1,(AN$4-1)*5+2))*(1+AN$7)^INDEX($Q520:$AJ520,1,(AN$4-1)*5+1)*(AN390/AM390)^INDEX($Q520:$AJ520,1,(AN$4-1)*5+2)*(AN390/AM390)^(INDEX($Q520:$AJ520,1,(AN$4-1)*5+3)*(1+INDEX($Q520:$AJ520,1,(AN$4-1)*5+2)))</f>
        <v/>
      </c>
      <c r="AO520" s="25">
        <f>AN520*(1/(1+INDEX($Q520:$AJ520,1,(AO$4-1)*5+4)))^(1+INDEX($Q520:$AJ520,1,(AO$4-1)*5+2))*(1+AO$7)^INDEX($Q520:$AJ520,1,(AO$4-1)*5+1)*(AO390/AN390)^INDEX($Q520:$AJ520,1,(AO$4-1)*5+2)*(AO390/AN390)^(INDEX($Q520:$AJ520,1,(AO$4-1)*5+3)*(1+INDEX($Q520:$AJ520,1,(AO$4-1)*5+2)))</f>
        <v/>
      </c>
      <c r="AP520" s="25">
        <f>AO520*(1/(1+INDEX($Q520:$AJ520,1,(AP$4-1)*5+4)))^(1+INDEX($Q520:$AJ520,1,(AP$4-1)*5+2))*(1+AP$7)^INDEX($Q520:$AJ520,1,(AP$4-1)*5+1)*(AP390/AO390)^INDEX($Q520:$AJ520,1,(AP$4-1)*5+2)*(AP390/AO390)^(INDEX($Q520:$AJ520,1,(AP$4-1)*5+3)*(1+INDEX($Q520:$AJ520,1,(AP$4-1)*5+2)))</f>
        <v/>
      </c>
      <c r="AQ520" s="25">
        <f>AP520*(1/(1+INDEX($Q520:$AJ520,1,(AQ$4-1)*5+4)))^(1+INDEX($Q520:$AJ520,1,(AQ$4-1)*5+2))*(1+AQ$7)^INDEX($Q520:$AJ520,1,(AQ$4-1)*5+1)*(AQ390/AP390)^INDEX($Q520:$AJ520,1,(AQ$4-1)*5+2)*(AQ390/AP390)^(INDEX($Q520:$AJ520,1,(AQ$4-1)*5+3)*(1+INDEX($Q520:$AJ520,1,(AQ$4-1)*5+2)))</f>
        <v/>
      </c>
      <c r="AR520" s="25">
        <f>AQ520*(1/(1+INDEX($Q520:$AJ520,1,(AR$4-1)*5+4)))^(1+INDEX($Q520:$AJ520,1,(AR$4-1)*5+2))*(1+AR$7)^INDEX($Q520:$AJ520,1,(AR$4-1)*5+1)*(AR390/AQ390)^INDEX($Q520:$AJ520,1,(AR$4-1)*5+2)*(AR390/AQ390)^(INDEX($Q520:$AJ520,1,(AR$4-1)*5+3)*(1+INDEX($Q520:$AJ520,1,(AR$4-1)*5+2)))</f>
        <v/>
      </c>
      <c r="AS520" s="25">
        <f>AR520*(1/(1+INDEX($Q520:$AJ520,1,(AS$4-1)*5+4)))^(1+INDEX($Q520:$AJ520,1,(AS$4-1)*5+2))*(1+AS$7)^INDEX($Q520:$AJ520,1,(AS$4-1)*5+1)*(AS390/AR390)^INDEX($Q520:$AJ520,1,(AS$4-1)*5+2)*(AS390/AR390)^(INDEX($Q520:$AJ520,1,(AS$4-1)*5+3)*(1+INDEX($Q520:$AJ520,1,(AS$4-1)*5+2)))</f>
        <v/>
      </c>
      <c r="AT520" s="25">
        <f>AS520*(1/(1+INDEX($Q520:$AJ520,1,(AT$4-1)*5+4)))^(1+INDEX($Q520:$AJ520,1,(AT$4-1)*5+2))*(1+AT$7)^INDEX($Q520:$AJ520,1,(AT$4-1)*5+1)*(AT390/AS390)^INDEX($Q520:$AJ520,1,(AT$4-1)*5+2)*(AT390/AS390)^(INDEX($Q520:$AJ520,1,(AT$4-1)*5+3)*(1+INDEX($Q520:$AJ520,1,(AT$4-1)*5+2)))</f>
        <v/>
      </c>
      <c r="AU520" s="25">
        <f>AT520*(1/(1+INDEX($Q520:$AJ520,1,(AU$4-1)*5+4)))^(1+INDEX($Q520:$AJ520,1,(AU$4-1)*5+2))*(1+AU$7)^INDEX($Q520:$AJ520,1,(AU$4-1)*5+1)*(AU390/AT390)^INDEX($Q520:$AJ520,1,(AU$4-1)*5+2)*(AU390/AT390)^(INDEX($Q520:$AJ520,1,(AU$4-1)*5+3)*(1+INDEX($Q520:$AJ520,1,(AU$4-1)*5+2)))</f>
        <v/>
      </c>
      <c r="AV520" s="25">
        <f>AU520*(1/(1+INDEX($Q520:$AJ520,1,(AV$4-1)*5+4)))^(1+INDEX($Q520:$AJ520,1,(AV$4-1)*5+2))*(1+AV$7)^INDEX($Q520:$AJ520,1,(AV$4-1)*5+1)*(AV390/AU390)^INDEX($Q520:$AJ520,1,(AV$4-1)*5+2)*(AV390/AU390)^(INDEX($Q520:$AJ520,1,(AV$4-1)*5+3)*(1+INDEX($Q520:$AJ520,1,(AV$4-1)*5+2)))</f>
        <v/>
      </c>
      <c r="AW520" s="25">
        <f>AV520*(1/(1+INDEX($Q520:$AJ520,1,(AW$4-1)*5+4)))^(1+INDEX($Q520:$AJ520,1,(AW$4-1)*5+2))*(1+AW$7)^INDEX($Q520:$AJ520,1,(AW$4-1)*5+1)*(AW390/AV390)^INDEX($Q520:$AJ520,1,(AW$4-1)*5+2)*(AW390/AV390)^(INDEX($Q520:$AJ520,1,(AW$4-1)*5+3)*(1+INDEX($Q520:$AJ520,1,(AW$4-1)*5+2)))</f>
        <v/>
      </c>
      <c r="AX520" s="25">
        <f>AW520*(1/(1+INDEX($Q520:$AJ520,1,(AX$4-1)*5+4)))^(1+INDEX($Q520:$AJ520,1,(AX$4-1)*5+2))*(1+AX$7)^INDEX($Q520:$AJ520,1,(AX$4-1)*5+1)*(AX390/AW390)^INDEX($Q520:$AJ520,1,(AX$4-1)*5+2)*(AX390/AW390)^(INDEX($Q520:$AJ520,1,(AX$4-1)*5+3)*(1+INDEX($Q520:$AJ520,1,(AX$4-1)*5+2)))</f>
        <v/>
      </c>
      <c r="AY520" s="25">
        <f>AX520*(1/(1+INDEX($Q520:$AJ520,1,(AY$4-1)*5+4)))^(1+INDEX($Q520:$AJ520,1,(AY$4-1)*5+2))*(1+AY$7)^INDEX($Q520:$AJ520,1,(AY$4-1)*5+1)*(AY390/AX390)^INDEX($Q520:$AJ520,1,(AY$4-1)*5+2)*(AY390/AX390)^(INDEX($Q520:$AJ520,1,(AY$4-1)*5+3)*(1+INDEX($Q520:$AJ520,1,(AY$4-1)*5+2)))</f>
        <v/>
      </c>
      <c r="BA520" s="24">
        <f>INDEX(EnergyCons!$F$4:$F$5000,MATCH(Settings!$C$4&amp;"|"&amp;BA$5&amp;"|"&amp;$C520&amp;"|"&amp;$B520,EnergyCons!$A$4:$A$5000,0))</f>
        <v/>
      </c>
      <c r="BB520" s="25">
        <f>BA520*(1/(1+INDEX($Q520:$AJ520,1,(BB$4-1)*5+4)))^(1+INDEX($Q520:$AJ520,1,(BB$4-1)*5+2))*(1+BB$7)^INDEX($Q520:$AJ520,1,(BB$4-1)*5+1)*(BB390/BA390)^INDEX($Q520:$AJ520,1,(BB$4-1)*5+2)*(BB390/BA390)^(INDEX($Q520:$AJ520,1,(BB$4-1)*5+3)*(1+INDEX($Q520:$AJ520,1,(BB$4-1)*5+2)))</f>
        <v/>
      </c>
      <c r="BC520" s="25">
        <f>BB520*(1/(1+INDEX($Q520:$AJ520,1,(BC$4-1)*5+4)))^(1+INDEX($Q520:$AJ520,1,(BC$4-1)*5+2))*(1+BC$7)^INDEX($Q520:$AJ520,1,(BC$4-1)*5+1)*(BC390/BB390)^INDEX($Q520:$AJ520,1,(BC$4-1)*5+2)*(BC390/BB390)^(INDEX($Q520:$AJ520,1,(BC$4-1)*5+3)*(1+INDEX($Q520:$AJ520,1,(BC$4-1)*5+2)))</f>
        <v/>
      </c>
      <c r="BD520" s="25">
        <f>BC520*(1/(1+INDEX($Q520:$AJ520,1,(BD$4-1)*5+4)))^(1+INDEX($Q520:$AJ520,1,(BD$4-1)*5+2))*(1+BD$7)^INDEX($Q520:$AJ520,1,(BD$4-1)*5+1)*(BD390/BC390)^INDEX($Q520:$AJ520,1,(BD$4-1)*5+2)*(BD390/BC390)^(INDEX($Q520:$AJ520,1,(BD$4-1)*5+3)*(1+INDEX($Q520:$AJ520,1,(BD$4-1)*5+2)))</f>
        <v/>
      </c>
      <c r="BE520" s="25">
        <f>BD520*(1/(1+INDEX($Q520:$AJ520,1,(BE$4-1)*5+4)))^(1+INDEX($Q520:$AJ520,1,(BE$4-1)*5+2))*(1+BE$7)^INDEX($Q520:$AJ520,1,(BE$4-1)*5+1)*(BE390/BD390)^INDEX($Q520:$AJ520,1,(BE$4-1)*5+2)*(BE390/BD390)^(INDEX($Q520:$AJ520,1,(BE$4-1)*5+3)*(1+INDEX($Q520:$AJ520,1,(BE$4-1)*5+2)))</f>
        <v/>
      </c>
      <c r="BF520" s="25">
        <f>BE520*(1/(1+INDEX($Q520:$AJ520,1,(BF$4-1)*5+4)))^(1+INDEX($Q520:$AJ520,1,(BF$4-1)*5+2))*(1+BF$7)^INDEX($Q520:$AJ520,1,(BF$4-1)*5+1)*(BF390/BE390)^INDEX($Q520:$AJ520,1,(BF$4-1)*5+2)*(BF390/BE390)^(INDEX($Q520:$AJ520,1,(BF$4-1)*5+3)*(1+INDEX($Q520:$AJ520,1,(BF$4-1)*5+2)))</f>
        <v/>
      </c>
      <c r="BG520" s="25">
        <f>BF520*(1/(1+INDEX($Q520:$AJ520,1,(BG$4-1)*5+4)))^(1+INDEX($Q520:$AJ520,1,(BG$4-1)*5+2))*(1+BG$7)^INDEX($Q520:$AJ520,1,(BG$4-1)*5+1)*(BG390/BF390)^INDEX($Q520:$AJ520,1,(BG$4-1)*5+2)*(BG390/BF390)^(INDEX($Q520:$AJ520,1,(BG$4-1)*5+3)*(1+INDEX($Q520:$AJ520,1,(BG$4-1)*5+2)))</f>
        <v/>
      </c>
      <c r="BH520" s="25">
        <f>BG520*(1/(1+INDEX($Q520:$AJ520,1,(BH$4-1)*5+4)))^(1+INDEX($Q520:$AJ520,1,(BH$4-1)*5+2))*(1+BH$7)^INDEX($Q520:$AJ520,1,(BH$4-1)*5+1)*(BH390/BG390)^INDEX($Q520:$AJ520,1,(BH$4-1)*5+2)*(BH390/BG390)^(INDEX($Q520:$AJ520,1,(BH$4-1)*5+3)*(1+INDEX($Q520:$AJ520,1,(BH$4-1)*5+2)))</f>
        <v/>
      </c>
      <c r="BI520" s="25">
        <f>BH520*(1/(1+INDEX($Q520:$AJ520,1,(BI$4-1)*5+4)))^(1+INDEX($Q520:$AJ520,1,(BI$4-1)*5+2))*(1+BI$7)^INDEX($Q520:$AJ520,1,(BI$4-1)*5+1)*(BI390/BH390)^INDEX($Q520:$AJ520,1,(BI$4-1)*5+2)*(BI390/BH390)^(INDEX($Q520:$AJ520,1,(BI$4-1)*5+3)*(1+INDEX($Q520:$AJ520,1,(BI$4-1)*5+2)))</f>
        <v/>
      </c>
      <c r="BJ520" s="25">
        <f>BI520*(1/(1+INDEX($Q520:$AJ520,1,(BJ$4-1)*5+4)))^(1+INDEX($Q520:$AJ520,1,(BJ$4-1)*5+2))*(1+BJ$7)^INDEX($Q520:$AJ520,1,(BJ$4-1)*5+1)*(BJ390/BI390)^INDEX($Q520:$AJ520,1,(BJ$4-1)*5+2)*(BJ390/BI390)^(INDEX($Q520:$AJ520,1,(BJ$4-1)*5+3)*(1+INDEX($Q520:$AJ520,1,(BJ$4-1)*5+2)))</f>
        <v/>
      </c>
      <c r="BK520" s="25">
        <f>BJ520*(1/(1+INDEX($Q520:$AJ520,1,(BK$4-1)*5+4)))^(1+INDEX($Q520:$AJ520,1,(BK$4-1)*5+2))*(1+BK$7)^INDEX($Q520:$AJ520,1,(BK$4-1)*5+1)*(BK390/BJ390)^INDEX($Q520:$AJ520,1,(BK$4-1)*5+2)*(BK390/BJ390)^(INDEX($Q520:$AJ520,1,(BK$4-1)*5+3)*(1+INDEX($Q520:$AJ520,1,(BK$4-1)*5+2)))</f>
        <v/>
      </c>
      <c r="BL520" s="25">
        <f>BK520*(1/(1+INDEX($Q520:$AJ520,1,(BL$4-1)*5+4)))^(1+INDEX($Q520:$AJ520,1,(BL$4-1)*5+2))*(1+BL$7)^INDEX($Q520:$AJ520,1,(BL$4-1)*5+1)*(BL390/BK390)^INDEX($Q520:$AJ520,1,(BL$4-1)*5+2)*(BL390/BK390)^(INDEX($Q520:$AJ520,1,(BL$4-1)*5+3)*(1+INDEX($Q520:$AJ520,1,(BL$4-1)*5+2)))</f>
        <v/>
      </c>
      <c r="BM520" s="25">
        <f>BL520*(1/(1+INDEX($Q520:$AJ520,1,(BM$4-1)*5+4)))^(1+INDEX($Q520:$AJ520,1,(BM$4-1)*5+2))*(1+BM$7)^INDEX($Q520:$AJ520,1,(BM$4-1)*5+1)*(BM390/BL390)^INDEX($Q520:$AJ520,1,(BM$4-1)*5+2)*(BM390/BL390)^(INDEX($Q520:$AJ520,1,(BM$4-1)*5+3)*(1+INDEX($Q520:$AJ520,1,(BM$4-1)*5+2)))</f>
        <v/>
      </c>
      <c r="BN520" s="25">
        <f>BM520*(1/(1+INDEX($Q520:$AJ520,1,(BN$4-1)*5+4)))^(1+INDEX($Q520:$AJ520,1,(BN$4-1)*5+2))*(1+BN$7)^INDEX($Q520:$AJ520,1,(BN$4-1)*5+1)*(BN390/BM390)^INDEX($Q520:$AJ520,1,(BN$4-1)*5+2)*(BN390/BM390)^(INDEX($Q520:$AJ520,1,(BN$4-1)*5+3)*(1+INDEX($Q520:$AJ520,1,(BN$4-1)*5+2)))</f>
        <v/>
      </c>
    </row>
    <row r="521">
      <c r="B521" s="5" t="inlineStr">
        <is>
          <t>coa</t>
        </is>
      </c>
      <c r="C521" s="5" t="inlineStr">
        <is>
          <t>oen</t>
        </is>
      </c>
      <c r="D521" s="5" t="inlineStr">
        <is>
          <t>Fuel use | Other energy use | Coal</t>
        </is>
      </c>
      <c r="E521" s="5" t="inlineStr">
        <is>
          <t>ktoe</t>
        </is>
      </c>
      <c r="F521" s="5" t="inlineStr">
        <is>
          <t>EnergyCons (base year), Elasticities</t>
        </is>
      </c>
      <c r="G521" s="19" t="inlineStr">
        <is>
          <t>mit.enc.coa.oen</t>
        </is>
      </c>
      <c r="H521" s="19" t="inlineStr">
        <is>
          <t>mit.enc.coa.oen</t>
        </is>
      </c>
      <c r="J521" s="5">
        <f>INDEX(Mapping!$C$5:$C$20,MATCH($C521,Mapping!$A$5:$A$20,0))</f>
        <v/>
      </c>
      <c r="K521" s="5">
        <f>INDEX(Mapping!$D$5:$D$20,MATCH($C521,Mapping!$A$5:$A$20,0))</f>
        <v/>
      </c>
      <c r="L521" s="5">
        <f>INDEX(Mapping!$C$24:$C$31,MATCH($B521,Mapping!$A$24:$A$31,0))</f>
        <v/>
      </c>
      <c r="M521" s="5">
        <f>INDEX(Mapping!$D$24:$D$31,MATCH($B521,Mapping!$A$24:$A$31,0))</f>
        <v/>
      </c>
      <c r="N521" s="5">
        <f>$B521&amp;"."&amp;IF(INDEX(Mapping!$E$24:$E$31,MATCH($B521,Mapping!$A$24:$A$31,0))="sub",INDEX(Mapping!$F$5:$F$20,MATCH($C521,Mapping!$A$5:$A$20,0)),"all")</f>
        <v/>
      </c>
      <c r="O521" s="5">
        <f>INDEX(Mapping!$E$5:$E$20,MATCH($C521,Mapping!$A$5:$A$20,0))</f>
        <v/>
      </c>
      <c r="P521" s="5">
        <f>INDEX(Mapping!$G$24:$G$31,MATCH($B521,Mapping!$A$24:$A$31,0))</f>
        <v/>
      </c>
      <c r="Q521" s="22">
        <f>INDEX(Elasticities!$F$4:$I$200,MATCH("inc|"&amp;$L521&amp;"|"&amp;$K521,Elasticities!$A$4:$A$200,0),MATCH(Settings!$C$6,Elasticities!$F$3:$I$3,0))</f>
        <v/>
      </c>
      <c r="R521" s="22">
        <f>INDEX(Elasticities!$F$4:$I$200,MATCH("usg|"&amp;$L521&amp;"|"&amp;$K521,Elasticities!$A$4:$A$200,0),MATCH(Settings!$C$6,Elasticities!$F$3:$I$3,0))</f>
        <v/>
      </c>
      <c r="S521" s="22">
        <f>INDEX(Elasticities!$F$4:$I$200,MATCH("eff|"&amp;$L521&amp;"|"&amp;$K521,Elasticities!$A$4:$A$200,0),MATCH(Settings!$C$6,Elasticities!$F$3:$I$3,0))</f>
        <v/>
      </c>
      <c r="T521" s="22">
        <f>INDEX(Elasticities!$F$4:$I$200,MATCH("aei|"&amp;$M521&amp;"|"&amp;$K521,Elasticities!$A$4:$A$200,0),MATCH(Settings!$C$6,Elasticities!$F$3:$I$3,0))</f>
        <v/>
      </c>
      <c r="U521" s="21" t="n"/>
      <c r="V521" s="22">
        <f>Q521</f>
        <v/>
      </c>
      <c r="W521" s="22">
        <f>R521</f>
        <v/>
      </c>
      <c r="X521" s="22">
        <f>S521</f>
        <v/>
      </c>
      <c r="Y521" s="22">
        <f>T521</f>
        <v/>
      </c>
      <c r="Z521" s="21" t="n"/>
      <c r="AA521" s="22">
        <f>Q521</f>
        <v/>
      </c>
      <c r="AB521" s="22">
        <f>R521</f>
        <v/>
      </c>
      <c r="AC521" s="22">
        <f>S521</f>
        <v/>
      </c>
      <c r="AD521" s="22">
        <f>T521</f>
        <v/>
      </c>
      <c r="AE521" s="21" t="n"/>
      <c r="AF521" s="22">
        <f>Q521</f>
        <v/>
      </c>
      <c r="AG521" s="22">
        <f>R521</f>
        <v/>
      </c>
      <c r="AH521" s="22">
        <f>S521</f>
        <v/>
      </c>
      <c r="AI521" s="22">
        <f>T521</f>
        <v/>
      </c>
      <c r="AJ521" s="21" t="n"/>
      <c r="AL521" s="24">
        <f>INDEX(EnergyCons!$F$4:$F$5000,MATCH(Settings!$C$4&amp;"|"&amp;AL$5&amp;"|"&amp;$C521&amp;"|"&amp;$B521,EnergyCons!$A$4:$A$5000,0))</f>
        <v/>
      </c>
      <c r="AM521" s="25">
        <f>AL521*(1/(1+INDEX($Q521:$AJ521,1,(AM$4-1)*5+4)))^(1+INDEX($Q521:$AJ521,1,(AM$4-1)*5+2))*(1+AM$7)^INDEX($Q521:$AJ521,1,(AM$4-1)*5+1)*(AM391/AL391)^INDEX($Q521:$AJ521,1,(AM$4-1)*5+2)*(AM391/AL391)^(INDEX($Q521:$AJ521,1,(AM$4-1)*5+3)*(1+INDEX($Q521:$AJ521,1,(AM$4-1)*5+2)))</f>
        <v/>
      </c>
      <c r="AN521" s="25">
        <f>AM521*(1/(1+INDEX($Q521:$AJ521,1,(AN$4-1)*5+4)))^(1+INDEX($Q521:$AJ521,1,(AN$4-1)*5+2))*(1+AN$7)^INDEX($Q521:$AJ521,1,(AN$4-1)*5+1)*(AN391/AM391)^INDEX($Q521:$AJ521,1,(AN$4-1)*5+2)*(AN391/AM391)^(INDEX($Q521:$AJ521,1,(AN$4-1)*5+3)*(1+INDEX($Q521:$AJ521,1,(AN$4-1)*5+2)))</f>
        <v/>
      </c>
      <c r="AO521" s="25">
        <f>AN521*(1/(1+INDEX($Q521:$AJ521,1,(AO$4-1)*5+4)))^(1+INDEX($Q521:$AJ521,1,(AO$4-1)*5+2))*(1+AO$7)^INDEX($Q521:$AJ521,1,(AO$4-1)*5+1)*(AO391/AN391)^INDEX($Q521:$AJ521,1,(AO$4-1)*5+2)*(AO391/AN391)^(INDEX($Q521:$AJ521,1,(AO$4-1)*5+3)*(1+INDEX($Q521:$AJ521,1,(AO$4-1)*5+2)))</f>
        <v/>
      </c>
      <c r="AP521" s="25">
        <f>AO521*(1/(1+INDEX($Q521:$AJ521,1,(AP$4-1)*5+4)))^(1+INDEX($Q521:$AJ521,1,(AP$4-1)*5+2))*(1+AP$7)^INDEX($Q521:$AJ521,1,(AP$4-1)*5+1)*(AP391/AO391)^INDEX($Q521:$AJ521,1,(AP$4-1)*5+2)*(AP391/AO391)^(INDEX($Q521:$AJ521,1,(AP$4-1)*5+3)*(1+INDEX($Q521:$AJ521,1,(AP$4-1)*5+2)))</f>
        <v/>
      </c>
      <c r="AQ521" s="25">
        <f>AP521*(1/(1+INDEX($Q521:$AJ521,1,(AQ$4-1)*5+4)))^(1+INDEX($Q521:$AJ521,1,(AQ$4-1)*5+2))*(1+AQ$7)^INDEX($Q521:$AJ521,1,(AQ$4-1)*5+1)*(AQ391/AP391)^INDEX($Q521:$AJ521,1,(AQ$4-1)*5+2)*(AQ391/AP391)^(INDEX($Q521:$AJ521,1,(AQ$4-1)*5+3)*(1+INDEX($Q521:$AJ521,1,(AQ$4-1)*5+2)))</f>
        <v/>
      </c>
      <c r="AR521" s="25">
        <f>AQ521*(1/(1+INDEX($Q521:$AJ521,1,(AR$4-1)*5+4)))^(1+INDEX($Q521:$AJ521,1,(AR$4-1)*5+2))*(1+AR$7)^INDEX($Q521:$AJ521,1,(AR$4-1)*5+1)*(AR391/AQ391)^INDEX($Q521:$AJ521,1,(AR$4-1)*5+2)*(AR391/AQ391)^(INDEX($Q521:$AJ521,1,(AR$4-1)*5+3)*(1+INDEX($Q521:$AJ521,1,(AR$4-1)*5+2)))</f>
        <v/>
      </c>
      <c r="AS521" s="25">
        <f>AR521*(1/(1+INDEX($Q521:$AJ521,1,(AS$4-1)*5+4)))^(1+INDEX($Q521:$AJ521,1,(AS$4-1)*5+2))*(1+AS$7)^INDEX($Q521:$AJ521,1,(AS$4-1)*5+1)*(AS391/AR391)^INDEX($Q521:$AJ521,1,(AS$4-1)*5+2)*(AS391/AR391)^(INDEX($Q521:$AJ521,1,(AS$4-1)*5+3)*(1+INDEX($Q521:$AJ521,1,(AS$4-1)*5+2)))</f>
        <v/>
      </c>
      <c r="AT521" s="25">
        <f>AS521*(1/(1+INDEX($Q521:$AJ521,1,(AT$4-1)*5+4)))^(1+INDEX($Q521:$AJ521,1,(AT$4-1)*5+2))*(1+AT$7)^INDEX($Q521:$AJ521,1,(AT$4-1)*5+1)*(AT391/AS391)^INDEX($Q521:$AJ521,1,(AT$4-1)*5+2)*(AT391/AS391)^(INDEX($Q521:$AJ521,1,(AT$4-1)*5+3)*(1+INDEX($Q521:$AJ521,1,(AT$4-1)*5+2)))</f>
        <v/>
      </c>
      <c r="AU521" s="25">
        <f>AT521*(1/(1+INDEX($Q521:$AJ521,1,(AU$4-1)*5+4)))^(1+INDEX($Q521:$AJ521,1,(AU$4-1)*5+2))*(1+AU$7)^INDEX($Q521:$AJ521,1,(AU$4-1)*5+1)*(AU391/AT391)^INDEX($Q521:$AJ521,1,(AU$4-1)*5+2)*(AU391/AT391)^(INDEX($Q521:$AJ521,1,(AU$4-1)*5+3)*(1+INDEX($Q521:$AJ521,1,(AU$4-1)*5+2)))</f>
        <v/>
      </c>
      <c r="AV521" s="25">
        <f>AU521*(1/(1+INDEX($Q521:$AJ521,1,(AV$4-1)*5+4)))^(1+INDEX($Q521:$AJ521,1,(AV$4-1)*5+2))*(1+AV$7)^INDEX($Q521:$AJ521,1,(AV$4-1)*5+1)*(AV391/AU391)^INDEX($Q521:$AJ521,1,(AV$4-1)*5+2)*(AV391/AU391)^(INDEX($Q521:$AJ521,1,(AV$4-1)*5+3)*(1+INDEX($Q521:$AJ521,1,(AV$4-1)*5+2)))</f>
        <v/>
      </c>
      <c r="AW521" s="25">
        <f>AV521*(1/(1+INDEX($Q521:$AJ521,1,(AW$4-1)*5+4)))^(1+INDEX($Q521:$AJ521,1,(AW$4-1)*5+2))*(1+AW$7)^INDEX($Q521:$AJ521,1,(AW$4-1)*5+1)*(AW391/AV391)^INDEX($Q521:$AJ521,1,(AW$4-1)*5+2)*(AW391/AV391)^(INDEX($Q521:$AJ521,1,(AW$4-1)*5+3)*(1+INDEX($Q521:$AJ521,1,(AW$4-1)*5+2)))</f>
        <v/>
      </c>
      <c r="AX521" s="25">
        <f>AW521*(1/(1+INDEX($Q521:$AJ521,1,(AX$4-1)*5+4)))^(1+INDEX($Q521:$AJ521,1,(AX$4-1)*5+2))*(1+AX$7)^INDEX($Q521:$AJ521,1,(AX$4-1)*5+1)*(AX391/AW391)^INDEX($Q521:$AJ521,1,(AX$4-1)*5+2)*(AX391/AW391)^(INDEX($Q521:$AJ521,1,(AX$4-1)*5+3)*(1+INDEX($Q521:$AJ521,1,(AX$4-1)*5+2)))</f>
        <v/>
      </c>
      <c r="AY521" s="25">
        <f>AX521*(1/(1+INDEX($Q521:$AJ521,1,(AY$4-1)*5+4)))^(1+INDEX($Q521:$AJ521,1,(AY$4-1)*5+2))*(1+AY$7)^INDEX($Q521:$AJ521,1,(AY$4-1)*5+1)*(AY391/AX391)^INDEX($Q521:$AJ521,1,(AY$4-1)*5+2)*(AY391/AX391)^(INDEX($Q521:$AJ521,1,(AY$4-1)*5+3)*(1+INDEX($Q521:$AJ521,1,(AY$4-1)*5+2)))</f>
        <v/>
      </c>
      <c r="BA521" s="24">
        <f>INDEX(EnergyCons!$F$4:$F$5000,MATCH(Settings!$C$4&amp;"|"&amp;BA$5&amp;"|"&amp;$C521&amp;"|"&amp;$B521,EnergyCons!$A$4:$A$5000,0))</f>
        <v/>
      </c>
      <c r="BB521" s="25">
        <f>BA521*(1/(1+INDEX($Q521:$AJ521,1,(BB$4-1)*5+4)))^(1+INDEX($Q521:$AJ521,1,(BB$4-1)*5+2))*(1+BB$7)^INDEX($Q521:$AJ521,1,(BB$4-1)*5+1)*(BB391/BA391)^INDEX($Q521:$AJ521,1,(BB$4-1)*5+2)*(BB391/BA391)^(INDEX($Q521:$AJ521,1,(BB$4-1)*5+3)*(1+INDEX($Q521:$AJ521,1,(BB$4-1)*5+2)))</f>
        <v/>
      </c>
      <c r="BC521" s="25">
        <f>BB521*(1/(1+INDEX($Q521:$AJ521,1,(BC$4-1)*5+4)))^(1+INDEX($Q521:$AJ521,1,(BC$4-1)*5+2))*(1+BC$7)^INDEX($Q521:$AJ521,1,(BC$4-1)*5+1)*(BC391/BB391)^INDEX($Q521:$AJ521,1,(BC$4-1)*5+2)*(BC391/BB391)^(INDEX($Q521:$AJ521,1,(BC$4-1)*5+3)*(1+INDEX($Q521:$AJ521,1,(BC$4-1)*5+2)))</f>
        <v/>
      </c>
      <c r="BD521" s="25">
        <f>BC521*(1/(1+INDEX($Q521:$AJ521,1,(BD$4-1)*5+4)))^(1+INDEX($Q521:$AJ521,1,(BD$4-1)*5+2))*(1+BD$7)^INDEX($Q521:$AJ521,1,(BD$4-1)*5+1)*(BD391/BC391)^INDEX($Q521:$AJ521,1,(BD$4-1)*5+2)*(BD391/BC391)^(INDEX($Q521:$AJ521,1,(BD$4-1)*5+3)*(1+INDEX($Q521:$AJ521,1,(BD$4-1)*5+2)))</f>
        <v/>
      </c>
      <c r="BE521" s="25">
        <f>BD521*(1/(1+INDEX($Q521:$AJ521,1,(BE$4-1)*5+4)))^(1+INDEX($Q521:$AJ521,1,(BE$4-1)*5+2))*(1+BE$7)^INDEX($Q521:$AJ521,1,(BE$4-1)*5+1)*(BE391/BD391)^INDEX($Q521:$AJ521,1,(BE$4-1)*5+2)*(BE391/BD391)^(INDEX($Q521:$AJ521,1,(BE$4-1)*5+3)*(1+INDEX($Q521:$AJ521,1,(BE$4-1)*5+2)))</f>
        <v/>
      </c>
      <c r="BF521" s="25">
        <f>BE521*(1/(1+INDEX($Q521:$AJ521,1,(BF$4-1)*5+4)))^(1+INDEX($Q521:$AJ521,1,(BF$4-1)*5+2))*(1+BF$7)^INDEX($Q521:$AJ521,1,(BF$4-1)*5+1)*(BF391/BE391)^INDEX($Q521:$AJ521,1,(BF$4-1)*5+2)*(BF391/BE391)^(INDEX($Q521:$AJ521,1,(BF$4-1)*5+3)*(1+INDEX($Q521:$AJ521,1,(BF$4-1)*5+2)))</f>
        <v/>
      </c>
      <c r="BG521" s="25">
        <f>BF521*(1/(1+INDEX($Q521:$AJ521,1,(BG$4-1)*5+4)))^(1+INDEX($Q521:$AJ521,1,(BG$4-1)*5+2))*(1+BG$7)^INDEX($Q521:$AJ521,1,(BG$4-1)*5+1)*(BG391/BF391)^INDEX($Q521:$AJ521,1,(BG$4-1)*5+2)*(BG391/BF391)^(INDEX($Q521:$AJ521,1,(BG$4-1)*5+3)*(1+INDEX($Q521:$AJ521,1,(BG$4-1)*5+2)))</f>
        <v/>
      </c>
      <c r="BH521" s="25">
        <f>BG521*(1/(1+INDEX($Q521:$AJ521,1,(BH$4-1)*5+4)))^(1+INDEX($Q521:$AJ521,1,(BH$4-1)*5+2))*(1+BH$7)^INDEX($Q521:$AJ521,1,(BH$4-1)*5+1)*(BH391/BG391)^INDEX($Q521:$AJ521,1,(BH$4-1)*5+2)*(BH391/BG391)^(INDEX($Q521:$AJ521,1,(BH$4-1)*5+3)*(1+INDEX($Q521:$AJ521,1,(BH$4-1)*5+2)))</f>
        <v/>
      </c>
      <c r="BI521" s="25">
        <f>BH521*(1/(1+INDEX($Q521:$AJ521,1,(BI$4-1)*5+4)))^(1+INDEX($Q521:$AJ521,1,(BI$4-1)*5+2))*(1+BI$7)^INDEX($Q521:$AJ521,1,(BI$4-1)*5+1)*(BI391/BH391)^INDEX($Q521:$AJ521,1,(BI$4-1)*5+2)*(BI391/BH391)^(INDEX($Q521:$AJ521,1,(BI$4-1)*5+3)*(1+INDEX($Q521:$AJ521,1,(BI$4-1)*5+2)))</f>
        <v/>
      </c>
      <c r="BJ521" s="25">
        <f>BI521*(1/(1+INDEX($Q521:$AJ521,1,(BJ$4-1)*5+4)))^(1+INDEX($Q521:$AJ521,1,(BJ$4-1)*5+2))*(1+BJ$7)^INDEX($Q521:$AJ521,1,(BJ$4-1)*5+1)*(BJ391/BI391)^INDEX($Q521:$AJ521,1,(BJ$4-1)*5+2)*(BJ391/BI391)^(INDEX($Q521:$AJ521,1,(BJ$4-1)*5+3)*(1+INDEX($Q521:$AJ521,1,(BJ$4-1)*5+2)))</f>
        <v/>
      </c>
      <c r="BK521" s="25">
        <f>BJ521*(1/(1+INDEX($Q521:$AJ521,1,(BK$4-1)*5+4)))^(1+INDEX($Q521:$AJ521,1,(BK$4-1)*5+2))*(1+BK$7)^INDEX($Q521:$AJ521,1,(BK$4-1)*5+1)*(BK391/BJ391)^INDEX($Q521:$AJ521,1,(BK$4-1)*5+2)*(BK391/BJ391)^(INDEX($Q521:$AJ521,1,(BK$4-1)*5+3)*(1+INDEX($Q521:$AJ521,1,(BK$4-1)*5+2)))</f>
        <v/>
      </c>
      <c r="BL521" s="25">
        <f>BK521*(1/(1+INDEX($Q521:$AJ521,1,(BL$4-1)*5+4)))^(1+INDEX($Q521:$AJ521,1,(BL$4-1)*5+2))*(1+BL$7)^INDEX($Q521:$AJ521,1,(BL$4-1)*5+1)*(BL391/BK391)^INDEX($Q521:$AJ521,1,(BL$4-1)*5+2)*(BL391/BK391)^(INDEX($Q521:$AJ521,1,(BL$4-1)*5+3)*(1+INDEX($Q521:$AJ521,1,(BL$4-1)*5+2)))</f>
        <v/>
      </c>
      <c r="BM521" s="25">
        <f>BL521*(1/(1+INDEX($Q521:$AJ521,1,(BM$4-1)*5+4)))^(1+INDEX($Q521:$AJ521,1,(BM$4-1)*5+2))*(1+BM$7)^INDEX($Q521:$AJ521,1,(BM$4-1)*5+1)*(BM391/BL391)^INDEX($Q521:$AJ521,1,(BM$4-1)*5+2)*(BM391/BL391)^(INDEX($Q521:$AJ521,1,(BM$4-1)*5+3)*(1+INDEX($Q521:$AJ521,1,(BM$4-1)*5+2)))</f>
        <v/>
      </c>
      <c r="BN521" s="25">
        <f>BM521*(1/(1+INDEX($Q521:$AJ521,1,(BN$4-1)*5+4)))^(1+INDEX($Q521:$AJ521,1,(BN$4-1)*5+2))*(1+BN$7)^INDEX($Q521:$AJ521,1,(BN$4-1)*5+1)*(BN391/BM391)^INDEX($Q521:$AJ521,1,(BN$4-1)*5+2)*(BN391/BM391)^(INDEX($Q521:$AJ521,1,(BN$4-1)*5+3)*(1+INDEX($Q521:$AJ521,1,(BN$4-1)*5+2)))</f>
        <v/>
      </c>
    </row>
    <row r="522">
      <c r="B522" s="5" t="inlineStr">
        <is>
          <t>nga</t>
        </is>
      </c>
      <c r="C522" s="5" t="inlineStr">
        <is>
          <t>oen</t>
        </is>
      </c>
      <c r="D522" s="5" t="inlineStr">
        <is>
          <t>Fuel use | Other energy use | Natural gas</t>
        </is>
      </c>
      <c r="E522" s="5" t="inlineStr">
        <is>
          <t>ktoe</t>
        </is>
      </c>
      <c r="F522" s="5" t="inlineStr">
        <is>
          <t>EnergyCons (base year), Elasticities</t>
        </is>
      </c>
      <c r="G522" s="19" t="inlineStr">
        <is>
          <t>mit.enc.nga.oen</t>
        </is>
      </c>
      <c r="H522" s="19" t="inlineStr">
        <is>
          <t>mit.enc.nga.oen</t>
        </is>
      </c>
      <c r="J522" s="5">
        <f>INDEX(Mapping!$C$5:$C$20,MATCH($C522,Mapping!$A$5:$A$20,0))</f>
        <v/>
      </c>
      <c r="K522" s="5">
        <f>INDEX(Mapping!$D$5:$D$20,MATCH($C522,Mapping!$A$5:$A$20,0))</f>
        <v/>
      </c>
      <c r="L522" s="5">
        <f>INDEX(Mapping!$C$24:$C$31,MATCH($B522,Mapping!$A$24:$A$31,0))</f>
        <v/>
      </c>
      <c r="M522" s="5">
        <f>INDEX(Mapping!$D$24:$D$31,MATCH($B522,Mapping!$A$24:$A$31,0))</f>
        <v/>
      </c>
      <c r="N522" s="5">
        <f>$B522&amp;"."&amp;IF(INDEX(Mapping!$E$24:$E$31,MATCH($B522,Mapping!$A$24:$A$31,0))="sub",INDEX(Mapping!$F$5:$F$20,MATCH($C522,Mapping!$A$5:$A$20,0)),"all")</f>
        <v/>
      </c>
      <c r="O522" s="5">
        <f>INDEX(Mapping!$E$5:$E$20,MATCH($C522,Mapping!$A$5:$A$20,0))</f>
        <v/>
      </c>
      <c r="P522" s="5">
        <f>INDEX(Mapping!$G$24:$G$31,MATCH($B522,Mapping!$A$24:$A$31,0))</f>
        <v/>
      </c>
      <c r="Q522" s="22">
        <f>INDEX(Elasticities!$F$4:$I$200,MATCH("inc|"&amp;$L522&amp;"|"&amp;$K522,Elasticities!$A$4:$A$200,0),MATCH(Settings!$C$6,Elasticities!$F$3:$I$3,0))</f>
        <v/>
      </c>
      <c r="R522" s="22">
        <f>INDEX(Elasticities!$F$4:$I$200,MATCH("usg|"&amp;$L522&amp;"|"&amp;$K522,Elasticities!$A$4:$A$200,0),MATCH(Settings!$C$6,Elasticities!$F$3:$I$3,0))</f>
        <v/>
      </c>
      <c r="S522" s="22">
        <f>INDEX(Elasticities!$F$4:$I$200,MATCH("eff|"&amp;$L522&amp;"|"&amp;$K522,Elasticities!$A$4:$A$200,0),MATCH(Settings!$C$6,Elasticities!$F$3:$I$3,0))</f>
        <v/>
      </c>
      <c r="T522" s="22">
        <f>INDEX(Elasticities!$F$4:$I$200,MATCH("aei|"&amp;$M522&amp;"|"&amp;$K522,Elasticities!$A$4:$A$200,0),MATCH(Settings!$C$6,Elasticities!$F$3:$I$3,0))</f>
        <v/>
      </c>
      <c r="U522" s="21" t="n"/>
      <c r="V522" s="22">
        <f>Q522</f>
        <v/>
      </c>
      <c r="W522" s="22">
        <f>R522</f>
        <v/>
      </c>
      <c r="X522" s="22">
        <f>S522</f>
        <v/>
      </c>
      <c r="Y522" s="22">
        <f>T522</f>
        <v/>
      </c>
      <c r="Z522" s="21" t="n"/>
      <c r="AA522" s="22">
        <f>Q522</f>
        <v/>
      </c>
      <c r="AB522" s="22">
        <f>R522</f>
        <v/>
      </c>
      <c r="AC522" s="22">
        <f>S522</f>
        <v/>
      </c>
      <c r="AD522" s="22">
        <f>T522</f>
        <v/>
      </c>
      <c r="AE522" s="21" t="n"/>
      <c r="AF522" s="22">
        <f>Q522</f>
        <v/>
      </c>
      <c r="AG522" s="22">
        <f>R522</f>
        <v/>
      </c>
      <c r="AH522" s="22">
        <f>S522</f>
        <v/>
      </c>
      <c r="AI522" s="22">
        <f>T522</f>
        <v/>
      </c>
      <c r="AJ522" s="21" t="n"/>
      <c r="AL522" s="24">
        <f>INDEX(EnergyCons!$F$4:$F$5000,MATCH(Settings!$C$4&amp;"|"&amp;AL$5&amp;"|"&amp;$C522&amp;"|"&amp;$B522,EnergyCons!$A$4:$A$5000,0))</f>
        <v/>
      </c>
      <c r="AM522" s="25">
        <f>AL522*(1/(1+INDEX($Q522:$AJ522,1,(AM$4-1)*5+4)))^(1+INDEX($Q522:$AJ522,1,(AM$4-1)*5+2))*(1+AM$7)^INDEX($Q522:$AJ522,1,(AM$4-1)*5+1)*(AM392/AL392)^INDEX($Q522:$AJ522,1,(AM$4-1)*5+2)*(AM392/AL392)^(INDEX($Q522:$AJ522,1,(AM$4-1)*5+3)*(1+INDEX($Q522:$AJ522,1,(AM$4-1)*5+2)))</f>
        <v/>
      </c>
      <c r="AN522" s="25">
        <f>AM522*(1/(1+INDEX($Q522:$AJ522,1,(AN$4-1)*5+4)))^(1+INDEX($Q522:$AJ522,1,(AN$4-1)*5+2))*(1+AN$7)^INDEX($Q522:$AJ522,1,(AN$4-1)*5+1)*(AN392/AM392)^INDEX($Q522:$AJ522,1,(AN$4-1)*5+2)*(AN392/AM392)^(INDEX($Q522:$AJ522,1,(AN$4-1)*5+3)*(1+INDEX($Q522:$AJ522,1,(AN$4-1)*5+2)))</f>
        <v/>
      </c>
      <c r="AO522" s="25">
        <f>AN522*(1/(1+INDEX($Q522:$AJ522,1,(AO$4-1)*5+4)))^(1+INDEX($Q522:$AJ522,1,(AO$4-1)*5+2))*(1+AO$7)^INDEX($Q522:$AJ522,1,(AO$4-1)*5+1)*(AO392/AN392)^INDEX($Q522:$AJ522,1,(AO$4-1)*5+2)*(AO392/AN392)^(INDEX($Q522:$AJ522,1,(AO$4-1)*5+3)*(1+INDEX($Q522:$AJ522,1,(AO$4-1)*5+2)))</f>
        <v/>
      </c>
      <c r="AP522" s="25">
        <f>AO522*(1/(1+INDEX($Q522:$AJ522,1,(AP$4-1)*5+4)))^(1+INDEX($Q522:$AJ522,1,(AP$4-1)*5+2))*(1+AP$7)^INDEX($Q522:$AJ522,1,(AP$4-1)*5+1)*(AP392/AO392)^INDEX($Q522:$AJ522,1,(AP$4-1)*5+2)*(AP392/AO392)^(INDEX($Q522:$AJ522,1,(AP$4-1)*5+3)*(1+INDEX($Q522:$AJ522,1,(AP$4-1)*5+2)))</f>
        <v/>
      </c>
      <c r="AQ522" s="25">
        <f>AP522*(1/(1+INDEX($Q522:$AJ522,1,(AQ$4-1)*5+4)))^(1+INDEX($Q522:$AJ522,1,(AQ$4-1)*5+2))*(1+AQ$7)^INDEX($Q522:$AJ522,1,(AQ$4-1)*5+1)*(AQ392/AP392)^INDEX($Q522:$AJ522,1,(AQ$4-1)*5+2)*(AQ392/AP392)^(INDEX($Q522:$AJ522,1,(AQ$4-1)*5+3)*(1+INDEX($Q522:$AJ522,1,(AQ$4-1)*5+2)))</f>
        <v/>
      </c>
      <c r="AR522" s="25">
        <f>AQ522*(1/(1+INDEX($Q522:$AJ522,1,(AR$4-1)*5+4)))^(1+INDEX($Q522:$AJ522,1,(AR$4-1)*5+2))*(1+AR$7)^INDEX($Q522:$AJ522,1,(AR$4-1)*5+1)*(AR392/AQ392)^INDEX($Q522:$AJ522,1,(AR$4-1)*5+2)*(AR392/AQ392)^(INDEX($Q522:$AJ522,1,(AR$4-1)*5+3)*(1+INDEX($Q522:$AJ522,1,(AR$4-1)*5+2)))</f>
        <v/>
      </c>
      <c r="AS522" s="25">
        <f>AR522*(1/(1+INDEX($Q522:$AJ522,1,(AS$4-1)*5+4)))^(1+INDEX($Q522:$AJ522,1,(AS$4-1)*5+2))*(1+AS$7)^INDEX($Q522:$AJ522,1,(AS$4-1)*5+1)*(AS392/AR392)^INDEX($Q522:$AJ522,1,(AS$4-1)*5+2)*(AS392/AR392)^(INDEX($Q522:$AJ522,1,(AS$4-1)*5+3)*(1+INDEX($Q522:$AJ522,1,(AS$4-1)*5+2)))</f>
        <v/>
      </c>
      <c r="AT522" s="25">
        <f>AS522*(1/(1+INDEX($Q522:$AJ522,1,(AT$4-1)*5+4)))^(1+INDEX($Q522:$AJ522,1,(AT$4-1)*5+2))*(1+AT$7)^INDEX($Q522:$AJ522,1,(AT$4-1)*5+1)*(AT392/AS392)^INDEX($Q522:$AJ522,1,(AT$4-1)*5+2)*(AT392/AS392)^(INDEX($Q522:$AJ522,1,(AT$4-1)*5+3)*(1+INDEX($Q522:$AJ522,1,(AT$4-1)*5+2)))</f>
        <v/>
      </c>
      <c r="AU522" s="25">
        <f>AT522*(1/(1+INDEX($Q522:$AJ522,1,(AU$4-1)*5+4)))^(1+INDEX($Q522:$AJ522,1,(AU$4-1)*5+2))*(1+AU$7)^INDEX($Q522:$AJ522,1,(AU$4-1)*5+1)*(AU392/AT392)^INDEX($Q522:$AJ522,1,(AU$4-1)*5+2)*(AU392/AT392)^(INDEX($Q522:$AJ522,1,(AU$4-1)*5+3)*(1+INDEX($Q522:$AJ522,1,(AU$4-1)*5+2)))</f>
        <v/>
      </c>
      <c r="AV522" s="25">
        <f>AU522*(1/(1+INDEX($Q522:$AJ522,1,(AV$4-1)*5+4)))^(1+INDEX($Q522:$AJ522,1,(AV$4-1)*5+2))*(1+AV$7)^INDEX($Q522:$AJ522,1,(AV$4-1)*5+1)*(AV392/AU392)^INDEX($Q522:$AJ522,1,(AV$4-1)*5+2)*(AV392/AU392)^(INDEX($Q522:$AJ522,1,(AV$4-1)*5+3)*(1+INDEX($Q522:$AJ522,1,(AV$4-1)*5+2)))</f>
        <v/>
      </c>
      <c r="AW522" s="25">
        <f>AV522*(1/(1+INDEX($Q522:$AJ522,1,(AW$4-1)*5+4)))^(1+INDEX($Q522:$AJ522,1,(AW$4-1)*5+2))*(1+AW$7)^INDEX($Q522:$AJ522,1,(AW$4-1)*5+1)*(AW392/AV392)^INDEX($Q522:$AJ522,1,(AW$4-1)*5+2)*(AW392/AV392)^(INDEX($Q522:$AJ522,1,(AW$4-1)*5+3)*(1+INDEX($Q522:$AJ522,1,(AW$4-1)*5+2)))</f>
        <v/>
      </c>
      <c r="AX522" s="25">
        <f>AW522*(1/(1+INDEX($Q522:$AJ522,1,(AX$4-1)*5+4)))^(1+INDEX($Q522:$AJ522,1,(AX$4-1)*5+2))*(1+AX$7)^INDEX($Q522:$AJ522,1,(AX$4-1)*5+1)*(AX392/AW392)^INDEX($Q522:$AJ522,1,(AX$4-1)*5+2)*(AX392/AW392)^(INDEX($Q522:$AJ522,1,(AX$4-1)*5+3)*(1+INDEX($Q522:$AJ522,1,(AX$4-1)*5+2)))</f>
        <v/>
      </c>
      <c r="AY522" s="25">
        <f>AX522*(1/(1+INDEX($Q522:$AJ522,1,(AY$4-1)*5+4)))^(1+INDEX($Q522:$AJ522,1,(AY$4-1)*5+2))*(1+AY$7)^INDEX($Q522:$AJ522,1,(AY$4-1)*5+1)*(AY392/AX392)^INDEX($Q522:$AJ522,1,(AY$4-1)*5+2)*(AY392/AX392)^(INDEX($Q522:$AJ522,1,(AY$4-1)*5+3)*(1+INDEX($Q522:$AJ522,1,(AY$4-1)*5+2)))</f>
        <v/>
      </c>
      <c r="BA522" s="24">
        <f>INDEX(EnergyCons!$F$4:$F$5000,MATCH(Settings!$C$4&amp;"|"&amp;BA$5&amp;"|"&amp;$C522&amp;"|"&amp;$B522,EnergyCons!$A$4:$A$5000,0))</f>
        <v/>
      </c>
      <c r="BB522" s="25">
        <f>BA522*(1/(1+INDEX($Q522:$AJ522,1,(BB$4-1)*5+4)))^(1+INDEX($Q522:$AJ522,1,(BB$4-1)*5+2))*(1+BB$7)^INDEX($Q522:$AJ522,1,(BB$4-1)*5+1)*(BB392/BA392)^INDEX($Q522:$AJ522,1,(BB$4-1)*5+2)*(BB392/BA392)^(INDEX($Q522:$AJ522,1,(BB$4-1)*5+3)*(1+INDEX($Q522:$AJ522,1,(BB$4-1)*5+2)))</f>
        <v/>
      </c>
      <c r="BC522" s="25">
        <f>BB522*(1/(1+INDEX($Q522:$AJ522,1,(BC$4-1)*5+4)))^(1+INDEX($Q522:$AJ522,1,(BC$4-1)*5+2))*(1+BC$7)^INDEX($Q522:$AJ522,1,(BC$4-1)*5+1)*(BC392/BB392)^INDEX($Q522:$AJ522,1,(BC$4-1)*5+2)*(BC392/BB392)^(INDEX($Q522:$AJ522,1,(BC$4-1)*5+3)*(1+INDEX($Q522:$AJ522,1,(BC$4-1)*5+2)))</f>
        <v/>
      </c>
      <c r="BD522" s="25">
        <f>BC522*(1/(1+INDEX($Q522:$AJ522,1,(BD$4-1)*5+4)))^(1+INDEX($Q522:$AJ522,1,(BD$4-1)*5+2))*(1+BD$7)^INDEX($Q522:$AJ522,1,(BD$4-1)*5+1)*(BD392/BC392)^INDEX($Q522:$AJ522,1,(BD$4-1)*5+2)*(BD392/BC392)^(INDEX($Q522:$AJ522,1,(BD$4-1)*5+3)*(1+INDEX($Q522:$AJ522,1,(BD$4-1)*5+2)))</f>
        <v/>
      </c>
      <c r="BE522" s="25">
        <f>BD522*(1/(1+INDEX($Q522:$AJ522,1,(BE$4-1)*5+4)))^(1+INDEX($Q522:$AJ522,1,(BE$4-1)*5+2))*(1+BE$7)^INDEX($Q522:$AJ522,1,(BE$4-1)*5+1)*(BE392/BD392)^INDEX($Q522:$AJ522,1,(BE$4-1)*5+2)*(BE392/BD392)^(INDEX($Q522:$AJ522,1,(BE$4-1)*5+3)*(1+INDEX($Q522:$AJ522,1,(BE$4-1)*5+2)))</f>
        <v/>
      </c>
      <c r="BF522" s="25">
        <f>BE522*(1/(1+INDEX($Q522:$AJ522,1,(BF$4-1)*5+4)))^(1+INDEX($Q522:$AJ522,1,(BF$4-1)*5+2))*(1+BF$7)^INDEX($Q522:$AJ522,1,(BF$4-1)*5+1)*(BF392/BE392)^INDEX($Q522:$AJ522,1,(BF$4-1)*5+2)*(BF392/BE392)^(INDEX($Q522:$AJ522,1,(BF$4-1)*5+3)*(1+INDEX($Q522:$AJ522,1,(BF$4-1)*5+2)))</f>
        <v/>
      </c>
      <c r="BG522" s="25">
        <f>BF522*(1/(1+INDEX($Q522:$AJ522,1,(BG$4-1)*5+4)))^(1+INDEX($Q522:$AJ522,1,(BG$4-1)*5+2))*(1+BG$7)^INDEX($Q522:$AJ522,1,(BG$4-1)*5+1)*(BG392/BF392)^INDEX($Q522:$AJ522,1,(BG$4-1)*5+2)*(BG392/BF392)^(INDEX($Q522:$AJ522,1,(BG$4-1)*5+3)*(1+INDEX($Q522:$AJ522,1,(BG$4-1)*5+2)))</f>
        <v/>
      </c>
      <c r="BH522" s="25">
        <f>BG522*(1/(1+INDEX($Q522:$AJ522,1,(BH$4-1)*5+4)))^(1+INDEX($Q522:$AJ522,1,(BH$4-1)*5+2))*(1+BH$7)^INDEX($Q522:$AJ522,1,(BH$4-1)*5+1)*(BH392/BG392)^INDEX($Q522:$AJ522,1,(BH$4-1)*5+2)*(BH392/BG392)^(INDEX($Q522:$AJ522,1,(BH$4-1)*5+3)*(1+INDEX($Q522:$AJ522,1,(BH$4-1)*5+2)))</f>
        <v/>
      </c>
      <c r="BI522" s="25">
        <f>BH522*(1/(1+INDEX($Q522:$AJ522,1,(BI$4-1)*5+4)))^(1+INDEX($Q522:$AJ522,1,(BI$4-1)*5+2))*(1+BI$7)^INDEX($Q522:$AJ522,1,(BI$4-1)*5+1)*(BI392/BH392)^INDEX($Q522:$AJ522,1,(BI$4-1)*5+2)*(BI392/BH392)^(INDEX($Q522:$AJ522,1,(BI$4-1)*5+3)*(1+INDEX($Q522:$AJ522,1,(BI$4-1)*5+2)))</f>
        <v/>
      </c>
      <c r="BJ522" s="25">
        <f>BI522*(1/(1+INDEX($Q522:$AJ522,1,(BJ$4-1)*5+4)))^(1+INDEX($Q522:$AJ522,1,(BJ$4-1)*5+2))*(1+BJ$7)^INDEX($Q522:$AJ522,1,(BJ$4-1)*5+1)*(BJ392/BI392)^INDEX($Q522:$AJ522,1,(BJ$4-1)*5+2)*(BJ392/BI392)^(INDEX($Q522:$AJ522,1,(BJ$4-1)*5+3)*(1+INDEX($Q522:$AJ522,1,(BJ$4-1)*5+2)))</f>
        <v/>
      </c>
      <c r="BK522" s="25">
        <f>BJ522*(1/(1+INDEX($Q522:$AJ522,1,(BK$4-1)*5+4)))^(1+INDEX($Q522:$AJ522,1,(BK$4-1)*5+2))*(1+BK$7)^INDEX($Q522:$AJ522,1,(BK$4-1)*5+1)*(BK392/BJ392)^INDEX($Q522:$AJ522,1,(BK$4-1)*5+2)*(BK392/BJ392)^(INDEX($Q522:$AJ522,1,(BK$4-1)*5+3)*(1+INDEX($Q522:$AJ522,1,(BK$4-1)*5+2)))</f>
        <v/>
      </c>
      <c r="BL522" s="25">
        <f>BK522*(1/(1+INDEX($Q522:$AJ522,1,(BL$4-1)*5+4)))^(1+INDEX($Q522:$AJ522,1,(BL$4-1)*5+2))*(1+BL$7)^INDEX($Q522:$AJ522,1,(BL$4-1)*5+1)*(BL392/BK392)^INDEX($Q522:$AJ522,1,(BL$4-1)*5+2)*(BL392/BK392)^(INDEX($Q522:$AJ522,1,(BL$4-1)*5+3)*(1+INDEX($Q522:$AJ522,1,(BL$4-1)*5+2)))</f>
        <v/>
      </c>
      <c r="BM522" s="25">
        <f>BL522*(1/(1+INDEX($Q522:$AJ522,1,(BM$4-1)*5+4)))^(1+INDEX($Q522:$AJ522,1,(BM$4-1)*5+2))*(1+BM$7)^INDEX($Q522:$AJ522,1,(BM$4-1)*5+1)*(BM392/BL392)^INDEX($Q522:$AJ522,1,(BM$4-1)*5+2)*(BM392/BL392)^(INDEX($Q522:$AJ522,1,(BM$4-1)*5+3)*(1+INDEX($Q522:$AJ522,1,(BM$4-1)*5+2)))</f>
        <v/>
      </c>
      <c r="BN522" s="25">
        <f>BM522*(1/(1+INDEX($Q522:$AJ522,1,(BN$4-1)*5+4)))^(1+INDEX($Q522:$AJ522,1,(BN$4-1)*5+2))*(1+BN$7)^INDEX($Q522:$AJ522,1,(BN$4-1)*5+1)*(BN392/BM392)^INDEX($Q522:$AJ522,1,(BN$4-1)*5+2)*(BN392/BM392)^(INDEX($Q522:$AJ522,1,(BN$4-1)*5+3)*(1+INDEX($Q522:$AJ522,1,(BN$4-1)*5+2)))</f>
        <v/>
      </c>
    </row>
    <row r="523">
      <c r="B523" s="5" t="inlineStr">
        <is>
          <t>gso</t>
        </is>
      </c>
      <c r="C523" s="5" t="inlineStr">
        <is>
          <t>oen</t>
        </is>
      </c>
      <c r="D523" s="5" t="inlineStr">
        <is>
          <t>Fuel use | Other energy use | Gasoline</t>
        </is>
      </c>
      <c r="E523" s="5" t="inlineStr">
        <is>
          <t>ktoe</t>
        </is>
      </c>
      <c r="F523" s="5" t="inlineStr">
        <is>
          <t>EnergyCons (base year), Elasticities</t>
        </is>
      </c>
      <c r="G523" s="19" t="inlineStr">
        <is>
          <t>mit.enc.gso.oen</t>
        </is>
      </c>
      <c r="H523" s="19" t="inlineStr">
        <is>
          <t>mit.enc.gso.oen</t>
        </is>
      </c>
      <c r="J523" s="5">
        <f>INDEX(Mapping!$C$5:$C$20,MATCH($C523,Mapping!$A$5:$A$20,0))</f>
        <v/>
      </c>
      <c r="K523" s="5">
        <f>INDEX(Mapping!$D$5:$D$20,MATCH($C523,Mapping!$A$5:$A$20,0))</f>
        <v/>
      </c>
      <c r="L523" s="5">
        <f>INDEX(Mapping!$C$24:$C$31,MATCH($B523,Mapping!$A$24:$A$31,0))</f>
        <v/>
      </c>
      <c r="M523" s="5">
        <f>INDEX(Mapping!$D$24:$D$31,MATCH($B523,Mapping!$A$24:$A$31,0))</f>
        <v/>
      </c>
      <c r="N523" s="5">
        <f>$B523&amp;"."&amp;IF(INDEX(Mapping!$E$24:$E$31,MATCH($B523,Mapping!$A$24:$A$31,0))="sub",INDEX(Mapping!$F$5:$F$20,MATCH($C523,Mapping!$A$5:$A$20,0)),"all")</f>
        <v/>
      </c>
      <c r="O523" s="5">
        <f>INDEX(Mapping!$E$5:$E$20,MATCH($C523,Mapping!$A$5:$A$20,0))</f>
        <v/>
      </c>
      <c r="P523" s="5">
        <f>INDEX(Mapping!$G$24:$G$31,MATCH($B523,Mapping!$A$24:$A$31,0))</f>
        <v/>
      </c>
      <c r="Q523" s="22">
        <f>INDEX(Elasticities!$F$4:$I$200,MATCH("inc|"&amp;$L523&amp;"|"&amp;$K523,Elasticities!$A$4:$A$200,0),MATCH(Settings!$C$6,Elasticities!$F$3:$I$3,0))</f>
        <v/>
      </c>
      <c r="R523" s="22">
        <f>INDEX(Elasticities!$F$4:$I$200,MATCH("usg|"&amp;$L523&amp;"|"&amp;$K523,Elasticities!$A$4:$A$200,0),MATCH(Settings!$C$6,Elasticities!$F$3:$I$3,0))</f>
        <v/>
      </c>
      <c r="S523" s="22">
        <f>INDEX(Elasticities!$F$4:$I$200,MATCH("eff|"&amp;$L523&amp;"|"&amp;$K523,Elasticities!$A$4:$A$200,0),MATCH(Settings!$C$6,Elasticities!$F$3:$I$3,0))</f>
        <v/>
      </c>
      <c r="T523" s="22">
        <f>INDEX(Elasticities!$F$4:$I$200,MATCH("aei|"&amp;$M523&amp;"|"&amp;$K523,Elasticities!$A$4:$A$200,0),MATCH(Settings!$C$6,Elasticities!$F$3:$I$3,0))</f>
        <v/>
      </c>
      <c r="U523" s="21" t="n"/>
      <c r="V523" s="22">
        <f>Q523</f>
        <v/>
      </c>
      <c r="W523" s="22">
        <f>R523</f>
        <v/>
      </c>
      <c r="X523" s="22">
        <f>S523</f>
        <v/>
      </c>
      <c r="Y523" s="22">
        <f>T523</f>
        <v/>
      </c>
      <c r="Z523" s="21" t="n"/>
      <c r="AA523" s="22">
        <f>Q523</f>
        <v/>
      </c>
      <c r="AB523" s="22">
        <f>R523</f>
        <v/>
      </c>
      <c r="AC523" s="22">
        <f>S523</f>
        <v/>
      </c>
      <c r="AD523" s="22">
        <f>T523</f>
        <v/>
      </c>
      <c r="AE523" s="21" t="n"/>
      <c r="AF523" s="22">
        <f>Q523</f>
        <v/>
      </c>
      <c r="AG523" s="22">
        <f>R523</f>
        <v/>
      </c>
      <c r="AH523" s="22">
        <f>S523</f>
        <v/>
      </c>
      <c r="AI523" s="22">
        <f>T523</f>
        <v/>
      </c>
      <c r="AJ523" s="21" t="n"/>
      <c r="AL523" s="24">
        <f>INDEX(EnergyCons!$F$4:$F$5000,MATCH(Settings!$C$4&amp;"|"&amp;AL$5&amp;"|"&amp;$C523&amp;"|"&amp;$B523,EnergyCons!$A$4:$A$5000,0))</f>
        <v/>
      </c>
      <c r="AM523" s="25">
        <f>AL523*(1/(1+INDEX($Q523:$AJ523,1,(AM$4-1)*5+4)))^(1+INDEX($Q523:$AJ523,1,(AM$4-1)*5+2))*(1+AM$7)^INDEX($Q523:$AJ523,1,(AM$4-1)*5+1)*(AM393/AL393)^INDEX($Q523:$AJ523,1,(AM$4-1)*5+2)*(AM393/AL393)^(INDEX($Q523:$AJ523,1,(AM$4-1)*5+3)*(1+INDEX($Q523:$AJ523,1,(AM$4-1)*5+2)))</f>
        <v/>
      </c>
      <c r="AN523" s="25">
        <f>AM523*(1/(1+INDEX($Q523:$AJ523,1,(AN$4-1)*5+4)))^(1+INDEX($Q523:$AJ523,1,(AN$4-1)*5+2))*(1+AN$7)^INDEX($Q523:$AJ523,1,(AN$4-1)*5+1)*(AN393/AM393)^INDEX($Q523:$AJ523,1,(AN$4-1)*5+2)*(AN393/AM393)^(INDEX($Q523:$AJ523,1,(AN$4-1)*5+3)*(1+INDEX($Q523:$AJ523,1,(AN$4-1)*5+2)))</f>
        <v/>
      </c>
      <c r="AO523" s="25">
        <f>AN523*(1/(1+INDEX($Q523:$AJ523,1,(AO$4-1)*5+4)))^(1+INDEX($Q523:$AJ523,1,(AO$4-1)*5+2))*(1+AO$7)^INDEX($Q523:$AJ523,1,(AO$4-1)*5+1)*(AO393/AN393)^INDEX($Q523:$AJ523,1,(AO$4-1)*5+2)*(AO393/AN393)^(INDEX($Q523:$AJ523,1,(AO$4-1)*5+3)*(1+INDEX($Q523:$AJ523,1,(AO$4-1)*5+2)))</f>
        <v/>
      </c>
      <c r="AP523" s="25">
        <f>AO523*(1/(1+INDEX($Q523:$AJ523,1,(AP$4-1)*5+4)))^(1+INDEX($Q523:$AJ523,1,(AP$4-1)*5+2))*(1+AP$7)^INDEX($Q523:$AJ523,1,(AP$4-1)*5+1)*(AP393/AO393)^INDEX($Q523:$AJ523,1,(AP$4-1)*5+2)*(AP393/AO393)^(INDEX($Q523:$AJ523,1,(AP$4-1)*5+3)*(1+INDEX($Q523:$AJ523,1,(AP$4-1)*5+2)))</f>
        <v/>
      </c>
      <c r="AQ523" s="25">
        <f>AP523*(1/(1+INDEX($Q523:$AJ523,1,(AQ$4-1)*5+4)))^(1+INDEX($Q523:$AJ523,1,(AQ$4-1)*5+2))*(1+AQ$7)^INDEX($Q523:$AJ523,1,(AQ$4-1)*5+1)*(AQ393/AP393)^INDEX($Q523:$AJ523,1,(AQ$4-1)*5+2)*(AQ393/AP393)^(INDEX($Q523:$AJ523,1,(AQ$4-1)*5+3)*(1+INDEX($Q523:$AJ523,1,(AQ$4-1)*5+2)))</f>
        <v/>
      </c>
      <c r="AR523" s="25">
        <f>AQ523*(1/(1+INDEX($Q523:$AJ523,1,(AR$4-1)*5+4)))^(1+INDEX($Q523:$AJ523,1,(AR$4-1)*5+2))*(1+AR$7)^INDEX($Q523:$AJ523,1,(AR$4-1)*5+1)*(AR393/AQ393)^INDEX($Q523:$AJ523,1,(AR$4-1)*5+2)*(AR393/AQ393)^(INDEX($Q523:$AJ523,1,(AR$4-1)*5+3)*(1+INDEX($Q523:$AJ523,1,(AR$4-1)*5+2)))</f>
        <v/>
      </c>
      <c r="AS523" s="25">
        <f>AR523*(1/(1+INDEX($Q523:$AJ523,1,(AS$4-1)*5+4)))^(1+INDEX($Q523:$AJ523,1,(AS$4-1)*5+2))*(1+AS$7)^INDEX($Q523:$AJ523,1,(AS$4-1)*5+1)*(AS393/AR393)^INDEX($Q523:$AJ523,1,(AS$4-1)*5+2)*(AS393/AR393)^(INDEX($Q523:$AJ523,1,(AS$4-1)*5+3)*(1+INDEX($Q523:$AJ523,1,(AS$4-1)*5+2)))</f>
        <v/>
      </c>
      <c r="AT523" s="25">
        <f>AS523*(1/(1+INDEX($Q523:$AJ523,1,(AT$4-1)*5+4)))^(1+INDEX($Q523:$AJ523,1,(AT$4-1)*5+2))*(1+AT$7)^INDEX($Q523:$AJ523,1,(AT$4-1)*5+1)*(AT393/AS393)^INDEX($Q523:$AJ523,1,(AT$4-1)*5+2)*(AT393/AS393)^(INDEX($Q523:$AJ523,1,(AT$4-1)*5+3)*(1+INDEX($Q523:$AJ523,1,(AT$4-1)*5+2)))</f>
        <v/>
      </c>
      <c r="AU523" s="25">
        <f>AT523*(1/(1+INDEX($Q523:$AJ523,1,(AU$4-1)*5+4)))^(1+INDEX($Q523:$AJ523,1,(AU$4-1)*5+2))*(1+AU$7)^INDEX($Q523:$AJ523,1,(AU$4-1)*5+1)*(AU393/AT393)^INDEX($Q523:$AJ523,1,(AU$4-1)*5+2)*(AU393/AT393)^(INDEX($Q523:$AJ523,1,(AU$4-1)*5+3)*(1+INDEX($Q523:$AJ523,1,(AU$4-1)*5+2)))</f>
        <v/>
      </c>
      <c r="AV523" s="25">
        <f>AU523*(1/(1+INDEX($Q523:$AJ523,1,(AV$4-1)*5+4)))^(1+INDEX($Q523:$AJ523,1,(AV$4-1)*5+2))*(1+AV$7)^INDEX($Q523:$AJ523,1,(AV$4-1)*5+1)*(AV393/AU393)^INDEX($Q523:$AJ523,1,(AV$4-1)*5+2)*(AV393/AU393)^(INDEX($Q523:$AJ523,1,(AV$4-1)*5+3)*(1+INDEX($Q523:$AJ523,1,(AV$4-1)*5+2)))</f>
        <v/>
      </c>
      <c r="AW523" s="25">
        <f>AV523*(1/(1+INDEX($Q523:$AJ523,1,(AW$4-1)*5+4)))^(1+INDEX($Q523:$AJ523,1,(AW$4-1)*5+2))*(1+AW$7)^INDEX($Q523:$AJ523,1,(AW$4-1)*5+1)*(AW393/AV393)^INDEX($Q523:$AJ523,1,(AW$4-1)*5+2)*(AW393/AV393)^(INDEX($Q523:$AJ523,1,(AW$4-1)*5+3)*(1+INDEX($Q523:$AJ523,1,(AW$4-1)*5+2)))</f>
        <v/>
      </c>
      <c r="AX523" s="25">
        <f>AW523*(1/(1+INDEX($Q523:$AJ523,1,(AX$4-1)*5+4)))^(1+INDEX($Q523:$AJ523,1,(AX$4-1)*5+2))*(1+AX$7)^INDEX($Q523:$AJ523,1,(AX$4-1)*5+1)*(AX393/AW393)^INDEX($Q523:$AJ523,1,(AX$4-1)*5+2)*(AX393/AW393)^(INDEX($Q523:$AJ523,1,(AX$4-1)*5+3)*(1+INDEX($Q523:$AJ523,1,(AX$4-1)*5+2)))</f>
        <v/>
      </c>
      <c r="AY523" s="25">
        <f>AX523*(1/(1+INDEX($Q523:$AJ523,1,(AY$4-1)*5+4)))^(1+INDEX($Q523:$AJ523,1,(AY$4-1)*5+2))*(1+AY$7)^INDEX($Q523:$AJ523,1,(AY$4-1)*5+1)*(AY393/AX393)^INDEX($Q523:$AJ523,1,(AY$4-1)*5+2)*(AY393/AX393)^(INDEX($Q523:$AJ523,1,(AY$4-1)*5+3)*(1+INDEX($Q523:$AJ523,1,(AY$4-1)*5+2)))</f>
        <v/>
      </c>
      <c r="BA523" s="24">
        <f>INDEX(EnergyCons!$F$4:$F$5000,MATCH(Settings!$C$4&amp;"|"&amp;BA$5&amp;"|"&amp;$C523&amp;"|"&amp;$B523,EnergyCons!$A$4:$A$5000,0))</f>
        <v/>
      </c>
      <c r="BB523" s="25">
        <f>BA523*(1/(1+INDEX($Q523:$AJ523,1,(BB$4-1)*5+4)))^(1+INDEX($Q523:$AJ523,1,(BB$4-1)*5+2))*(1+BB$7)^INDEX($Q523:$AJ523,1,(BB$4-1)*5+1)*(BB393/BA393)^INDEX($Q523:$AJ523,1,(BB$4-1)*5+2)*(BB393/BA393)^(INDEX($Q523:$AJ523,1,(BB$4-1)*5+3)*(1+INDEX($Q523:$AJ523,1,(BB$4-1)*5+2)))</f>
        <v/>
      </c>
      <c r="BC523" s="25">
        <f>BB523*(1/(1+INDEX($Q523:$AJ523,1,(BC$4-1)*5+4)))^(1+INDEX($Q523:$AJ523,1,(BC$4-1)*5+2))*(1+BC$7)^INDEX($Q523:$AJ523,1,(BC$4-1)*5+1)*(BC393/BB393)^INDEX($Q523:$AJ523,1,(BC$4-1)*5+2)*(BC393/BB393)^(INDEX($Q523:$AJ523,1,(BC$4-1)*5+3)*(1+INDEX($Q523:$AJ523,1,(BC$4-1)*5+2)))</f>
        <v/>
      </c>
      <c r="BD523" s="25">
        <f>BC523*(1/(1+INDEX($Q523:$AJ523,1,(BD$4-1)*5+4)))^(1+INDEX($Q523:$AJ523,1,(BD$4-1)*5+2))*(1+BD$7)^INDEX($Q523:$AJ523,1,(BD$4-1)*5+1)*(BD393/BC393)^INDEX($Q523:$AJ523,1,(BD$4-1)*5+2)*(BD393/BC393)^(INDEX($Q523:$AJ523,1,(BD$4-1)*5+3)*(1+INDEX($Q523:$AJ523,1,(BD$4-1)*5+2)))</f>
        <v/>
      </c>
      <c r="BE523" s="25">
        <f>BD523*(1/(1+INDEX($Q523:$AJ523,1,(BE$4-1)*5+4)))^(1+INDEX($Q523:$AJ523,1,(BE$4-1)*5+2))*(1+BE$7)^INDEX($Q523:$AJ523,1,(BE$4-1)*5+1)*(BE393/BD393)^INDEX($Q523:$AJ523,1,(BE$4-1)*5+2)*(BE393/BD393)^(INDEX($Q523:$AJ523,1,(BE$4-1)*5+3)*(1+INDEX($Q523:$AJ523,1,(BE$4-1)*5+2)))</f>
        <v/>
      </c>
      <c r="BF523" s="25">
        <f>BE523*(1/(1+INDEX($Q523:$AJ523,1,(BF$4-1)*5+4)))^(1+INDEX($Q523:$AJ523,1,(BF$4-1)*5+2))*(1+BF$7)^INDEX($Q523:$AJ523,1,(BF$4-1)*5+1)*(BF393/BE393)^INDEX($Q523:$AJ523,1,(BF$4-1)*5+2)*(BF393/BE393)^(INDEX($Q523:$AJ523,1,(BF$4-1)*5+3)*(1+INDEX($Q523:$AJ523,1,(BF$4-1)*5+2)))</f>
        <v/>
      </c>
      <c r="BG523" s="25">
        <f>BF523*(1/(1+INDEX($Q523:$AJ523,1,(BG$4-1)*5+4)))^(1+INDEX($Q523:$AJ523,1,(BG$4-1)*5+2))*(1+BG$7)^INDEX($Q523:$AJ523,1,(BG$4-1)*5+1)*(BG393/BF393)^INDEX($Q523:$AJ523,1,(BG$4-1)*5+2)*(BG393/BF393)^(INDEX($Q523:$AJ523,1,(BG$4-1)*5+3)*(1+INDEX($Q523:$AJ523,1,(BG$4-1)*5+2)))</f>
        <v/>
      </c>
      <c r="BH523" s="25">
        <f>BG523*(1/(1+INDEX($Q523:$AJ523,1,(BH$4-1)*5+4)))^(1+INDEX($Q523:$AJ523,1,(BH$4-1)*5+2))*(1+BH$7)^INDEX($Q523:$AJ523,1,(BH$4-1)*5+1)*(BH393/BG393)^INDEX($Q523:$AJ523,1,(BH$4-1)*5+2)*(BH393/BG393)^(INDEX($Q523:$AJ523,1,(BH$4-1)*5+3)*(1+INDEX($Q523:$AJ523,1,(BH$4-1)*5+2)))</f>
        <v/>
      </c>
      <c r="BI523" s="25">
        <f>BH523*(1/(1+INDEX($Q523:$AJ523,1,(BI$4-1)*5+4)))^(1+INDEX($Q523:$AJ523,1,(BI$4-1)*5+2))*(1+BI$7)^INDEX($Q523:$AJ523,1,(BI$4-1)*5+1)*(BI393/BH393)^INDEX($Q523:$AJ523,1,(BI$4-1)*5+2)*(BI393/BH393)^(INDEX($Q523:$AJ523,1,(BI$4-1)*5+3)*(1+INDEX($Q523:$AJ523,1,(BI$4-1)*5+2)))</f>
        <v/>
      </c>
      <c r="BJ523" s="25">
        <f>BI523*(1/(1+INDEX($Q523:$AJ523,1,(BJ$4-1)*5+4)))^(1+INDEX($Q523:$AJ523,1,(BJ$4-1)*5+2))*(1+BJ$7)^INDEX($Q523:$AJ523,1,(BJ$4-1)*5+1)*(BJ393/BI393)^INDEX($Q523:$AJ523,1,(BJ$4-1)*5+2)*(BJ393/BI393)^(INDEX($Q523:$AJ523,1,(BJ$4-1)*5+3)*(1+INDEX($Q523:$AJ523,1,(BJ$4-1)*5+2)))</f>
        <v/>
      </c>
      <c r="BK523" s="25">
        <f>BJ523*(1/(1+INDEX($Q523:$AJ523,1,(BK$4-1)*5+4)))^(1+INDEX($Q523:$AJ523,1,(BK$4-1)*5+2))*(1+BK$7)^INDEX($Q523:$AJ523,1,(BK$4-1)*5+1)*(BK393/BJ393)^INDEX($Q523:$AJ523,1,(BK$4-1)*5+2)*(BK393/BJ393)^(INDEX($Q523:$AJ523,1,(BK$4-1)*5+3)*(1+INDEX($Q523:$AJ523,1,(BK$4-1)*5+2)))</f>
        <v/>
      </c>
      <c r="BL523" s="25">
        <f>BK523*(1/(1+INDEX($Q523:$AJ523,1,(BL$4-1)*5+4)))^(1+INDEX($Q523:$AJ523,1,(BL$4-1)*5+2))*(1+BL$7)^INDEX($Q523:$AJ523,1,(BL$4-1)*5+1)*(BL393/BK393)^INDEX($Q523:$AJ523,1,(BL$4-1)*5+2)*(BL393/BK393)^(INDEX($Q523:$AJ523,1,(BL$4-1)*5+3)*(1+INDEX($Q523:$AJ523,1,(BL$4-1)*5+2)))</f>
        <v/>
      </c>
      <c r="BM523" s="25">
        <f>BL523*(1/(1+INDEX($Q523:$AJ523,1,(BM$4-1)*5+4)))^(1+INDEX($Q523:$AJ523,1,(BM$4-1)*5+2))*(1+BM$7)^INDEX($Q523:$AJ523,1,(BM$4-1)*5+1)*(BM393/BL393)^INDEX($Q523:$AJ523,1,(BM$4-1)*5+2)*(BM393/BL393)^(INDEX($Q523:$AJ523,1,(BM$4-1)*5+3)*(1+INDEX($Q523:$AJ523,1,(BM$4-1)*5+2)))</f>
        <v/>
      </c>
      <c r="BN523" s="25">
        <f>BM523*(1/(1+INDEX($Q523:$AJ523,1,(BN$4-1)*5+4)))^(1+INDEX($Q523:$AJ523,1,(BN$4-1)*5+2))*(1+BN$7)^INDEX($Q523:$AJ523,1,(BN$4-1)*5+1)*(BN393/BM393)^INDEX($Q523:$AJ523,1,(BN$4-1)*5+2)*(BN393/BM393)^(INDEX($Q523:$AJ523,1,(BN$4-1)*5+3)*(1+INDEX($Q523:$AJ523,1,(BN$4-1)*5+2)))</f>
        <v/>
      </c>
    </row>
    <row r="524">
      <c r="B524" s="5" t="inlineStr">
        <is>
          <t>die</t>
        </is>
      </c>
      <c r="C524" s="5" t="inlineStr">
        <is>
          <t>oen</t>
        </is>
      </c>
      <c r="D524" s="5" t="inlineStr">
        <is>
          <t>Fuel use | Other energy use | Diesel</t>
        </is>
      </c>
      <c r="E524" s="5" t="inlineStr">
        <is>
          <t>ktoe</t>
        </is>
      </c>
      <c r="F524" s="5" t="inlineStr">
        <is>
          <t>EnergyCons (base year), Elasticities</t>
        </is>
      </c>
      <c r="G524" s="19" t="inlineStr">
        <is>
          <t>mit.enc.die.oen</t>
        </is>
      </c>
      <c r="H524" s="19" t="inlineStr">
        <is>
          <t>mit.enc.die.oen</t>
        </is>
      </c>
      <c r="J524" s="5">
        <f>INDEX(Mapping!$C$5:$C$20,MATCH($C524,Mapping!$A$5:$A$20,0))</f>
        <v/>
      </c>
      <c r="K524" s="5">
        <f>INDEX(Mapping!$D$5:$D$20,MATCH($C524,Mapping!$A$5:$A$20,0))</f>
        <v/>
      </c>
      <c r="L524" s="5">
        <f>INDEX(Mapping!$C$24:$C$31,MATCH($B524,Mapping!$A$24:$A$31,0))</f>
        <v/>
      </c>
      <c r="M524" s="5">
        <f>INDEX(Mapping!$D$24:$D$31,MATCH($B524,Mapping!$A$24:$A$31,0))</f>
        <v/>
      </c>
      <c r="N524" s="5">
        <f>$B524&amp;"."&amp;IF(INDEX(Mapping!$E$24:$E$31,MATCH($B524,Mapping!$A$24:$A$31,0))="sub",INDEX(Mapping!$F$5:$F$20,MATCH($C524,Mapping!$A$5:$A$20,0)),"all")</f>
        <v/>
      </c>
      <c r="O524" s="5">
        <f>INDEX(Mapping!$E$5:$E$20,MATCH($C524,Mapping!$A$5:$A$20,0))</f>
        <v/>
      </c>
      <c r="P524" s="5">
        <f>INDEX(Mapping!$G$24:$G$31,MATCH($B524,Mapping!$A$24:$A$31,0))</f>
        <v/>
      </c>
      <c r="Q524" s="22">
        <f>INDEX(Elasticities!$F$4:$I$200,MATCH("inc|"&amp;$L524&amp;"|"&amp;$K524,Elasticities!$A$4:$A$200,0),MATCH(Settings!$C$6,Elasticities!$F$3:$I$3,0))</f>
        <v/>
      </c>
      <c r="R524" s="22">
        <f>INDEX(Elasticities!$F$4:$I$200,MATCH("usg|"&amp;$L524&amp;"|"&amp;$K524,Elasticities!$A$4:$A$200,0),MATCH(Settings!$C$6,Elasticities!$F$3:$I$3,0))</f>
        <v/>
      </c>
      <c r="S524" s="22">
        <f>INDEX(Elasticities!$F$4:$I$200,MATCH("eff|"&amp;$L524&amp;"|"&amp;$K524,Elasticities!$A$4:$A$200,0),MATCH(Settings!$C$6,Elasticities!$F$3:$I$3,0))</f>
        <v/>
      </c>
      <c r="T524" s="22">
        <f>INDEX(Elasticities!$F$4:$I$200,MATCH("aei|"&amp;$M524&amp;"|"&amp;$K524,Elasticities!$A$4:$A$200,0),MATCH(Settings!$C$6,Elasticities!$F$3:$I$3,0))</f>
        <v/>
      </c>
      <c r="U524" s="21" t="n"/>
      <c r="V524" s="22">
        <f>Q524</f>
        <v/>
      </c>
      <c r="W524" s="22">
        <f>R524</f>
        <v/>
      </c>
      <c r="X524" s="22">
        <f>S524</f>
        <v/>
      </c>
      <c r="Y524" s="22">
        <f>T524</f>
        <v/>
      </c>
      <c r="Z524" s="21" t="n"/>
      <c r="AA524" s="22">
        <f>Q524</f>
        <v/>
      </c>
      <c r="AB524" s="22">
        <f>R524</f>
        <v/>
      </c>
      <c r="AC524" s="22">
        <f>S524</f>
        <v/>
      </c>
      <c r="AD524" s="22">
        <f>T524</f>
        <v/>
      </c>
      <c r="AE524" s="21" t="n"/>
      <c r="AF524" s="22">
        <f>Q524</f>
        <v/>
      </c>
      <c r="AG524" s="22">
        <f>R524</f>
        <v/>
      </c>
      <c r="AH524" s="22">
        <f>S524</f>
        <v/>
      </c>
      <c r="AI524" s="22">
        <f>T524</f>
        <v/>
      </c>
      <c r="AJ524" s="21" t="n"/>
      <c r="AL524" s="24">
        <f>INDEX(EnergyCons!$F$4:$F$5000,MATCH(Settings!$C$4&amp;"|"&amp;AL$5&amp;"|"&amp;$C524&amp;"|"&amp;$B524,EnergyCons!$A$4:$A$5000,0))</f>
        <v/>
      </c>
      <c r="AM524" s="25">
        <f>AL524*(1/(1+INDEX($Q524:$AJ524,1,(AM$4-1)*5+4)))^(1+INDEX($Q524:$AJ524,1,(AM$4-1)*5+2))*(1+AM$7)^INDEX($Q524:$AJ524,1,(AM$4-1)*5+1)*(AM394/AL394)^INDEX($Q524:$AJ524,1,(AM$4-1)*5+2)*(AM394/AL394)^(INDEX($Q524:$AJ524,1,(AM$4-1)*5+3)*(1+INDEX($Q524:$AJ524,1,(AM$4-1)*5+2)))</f>
        <v/>
      </c>
      <c r="AN524" s="25">
        <f>AM524*(1/(1+INDEX($Q524:$AJ524,1,(AN$4-1)*5+4)))^(1+INDEX($Q524:$AJ524,1,(AN$4-1)*5+2))*(1+AN$7)^INDEX($Q524:$AJ524,1,(AN$4-1)*5+1)*(AN394/AM394)^INDEX($Q524:$AJ524,1,(AN$4-1)*5+2)*(AN394/AM394)^(INDEX($Q524:$AJ524,1,(AN$4-1)*5+3)*(1+INDEX($Q524:$AJ524,1,(AN$4-1)*5+2)))</f>
        <v/>
      </c>
      <c r="AO524" s="25">
        <f>AN524*(1/(1+INDEX($Q524:$AJ524,1,(AO$4-1)*5+4)))^(1+INDEX($Q524:$AJ524,1,(AO$4-1)*5+2))*(1+AO$7)^INDEX($Q524:$AJ524,1,(AO$4-1)*5+1)*(AO394/AN394)^INDEX($Q524:$AJ524,1,(AO$4-1)*5+2)*(AO394/AN394)^(INDEX($Q524:$AJ524,1,(AO$4-1)*5+3)*(1+INDEX($Q524:$AJ524,1,(AO$4-1)*5+2)))</f>
        <v/>
      </c>
      <c r="AP524" s="25">
        <f>AO524*(1/(1+INDEX($Q524:$AJ524,1,(AP$4-1)*5+4)))^(1+INDEX($Q524:$AJ524,1,(AP$4-1)*5+2))*(1+AP$7)^INDEX($Q524:$AJ524,1,(AP$4-1)*5+1)*(AP394/AO394)^INDEX($Q524:$AJ524,1,(AP$4-1)*5+2)*(AP394/AO394)^(INDEX($Q524:$AJ524,1,(AP$4-1)*5+3)*(1+INDEX($Q524:$AJ524,1,(AP$4-1)*5+2)))</f>
        <v/>
      </c>
      <c r="AQ524" s="25">
        <f>AP524*(1/(1+INDEX($Q524:$AJ524,1,(AQ$4-1)*5+4)))^(1+INDEX($Q524:$AJ524,1,(AQ$4-1)*5+2))*(1+AQ$7)^INDEX($Q524:$AJ524,1,(AQ$4-1)*5+1)*(AQ394/AP394)^INDEX($Q524:$AJ524,1,(AQ$4-1)*5+2)*(AQ394/AP394)^(INDEX($Q524:$AJ524,1,(AQ$4-1)*5+3)*(1+INDEX($Q524:$AJ524,1,(AQ$4-1)*5+2)))</f>
        <v/>
      </c>
      <c r="AR524" s="25">
        <f>AQ524*(1/(1+INDEX($Q524:$AJ524,1,(AR$4-1)*5+4)))^(1+INDEX($Q524:$AJ524,1,(AR$4-1)*5+2))*(1+AR$7)^INDEX($Q524:$AJ524,1,(AR$4-1)*5+1)*(AR394/AQ394)^INDEX($Q524:$AJ524,1,(AR$4-1)*5+2)*(AR394/AQ394)^(INDEX($Q524:$AJ524,1,(AR$4-1)*5+3)*(1+INDEX($Q524:$AJ524,1,(AR$4-1)*5+2)))</f>
        <v/>
      </c>
      <c r="AS524" s="25">
        <f>AR524*(1/(1+INDEX($Q524:$AJ524,1,(AS$4-1)*5+4)))^(1+INDEX($Q524:$AJ524,1,(AS$4-1)*5+2))*(1+AS$7)^INDEX($Q524:$AJ524,1,(AS$4-1)*5+1)*(AS394/AR394)^INDEX($Q524:$AJ524,1,(AS$4-1)*5+2)*(AS394/AR394)^(INDEX($Q524:$AJ524,1,(AS$4-1)*5+3)*(1+INDEX($Q524:$AJ524,1,(AS$4-1)*5+2)))</f>
        <v/>
      </c>
      <c r="AT524" s="25">
        <f>AS524*(1/(1+INDEX($Q524:$AJ524,1,(AT$4-1)*5+4)))^(1+INDEX($Q524:$AJ524,1,(AT$4-1)*5+2))*(1+AT$7)^INDEX($Q524:$AJ524,1,(AT$4-1)*5+1)*(AT394/AS394)^INDEX($Q524:$AJ524,1,(AT$4-1)*5+2)*(AT394/AS394)^(INDEX($Q524:$AJ524,1,(AT$4-1)*5+3)*(1+INDEX($Q524:$AJ524,1,(AT$4-1)*5+2)))</f>
        <v/>
      </c>
      <c r="AU524" s="25">
        <f>AT524*(1/(1+INDEX($Q524:$AJ524,1,(AU$4-1)*5+4)))^(1+INDEX($Q524:$AJ524,1,(AU$4-1)*5+2))*(1+AU$7)^INDEX($Q524:$AJ524,1,(AU$4-1)*5+1)*(AU394/AT394)^INDEX($Q524:$AJ524,1,(AU$4-1)*5+2)*(AU394/AT394)^(INDEX($Q524:$AJ524,1,(AU$4-1)*5+3)*(1+INDEX($Q524:$AJ524,1,(AU$4-1)*5+2)))</f>
        <v/>
      </c>
      <c r="AV524" s="25">
        <f>AU524*(1/(1+INDEX($Q524:$AJ524,1,(AV$4-1)*5+4)))^(1+INDEX($Q524:$AJ524,1,(AV$4-1)*5+2))*(1+AV$7)^INDEX($Q524:$AJ524,1,(AV$4-1)*5+1)*(AV394/AU394)^INDEX($Q524:$AJ524,1,(AV$4-1)*5+2)*(AV394/AU394)^(INDEX($Q524:$AJ524,1,(AV$4-1)*5+3)*(1+INDEX($Q524:$AJ524,1,(AV$4-1)*5+2)))</f>
        <v/>
      </c>
      <c r="AW524" s="25">
        <f>AV524*(1/(1+INDEX($Q524:$AJ524,1,(AW$4-1)*5+4)))^(1+INDEX($Q524:$AJ524,1,(AW$4-1)*5+2))*(1+AW$7)^INDEX($Q524:$AJ524,1,(AW$4-1)*5+1)*(AW394/AV394)^INDEX($Q524:$AJ524,1,(AW$4-1)*5+2)*(AW394/AV394)^(INDEX($Q524:$AJ524,1,(AW$4-1)*5+3)*(1+INDEX($Q524:$AJ524,1,(AW$4-1)*5+2)))</f>
        <v/>
      </c>
      <c r="AX524" s="25">
        <f>AW524*(1/(1+INDEX($Q524:$AJ524,1,(AX$4-1)*5+4)))^(1+INDEX($Q524:$AJ524,1,(AX$4-1)*5+2))*(1+AX$7)^INDEX($Q524:$AJ524,1,(AX$4-1)*5+1)*(AX394/AW394)^INDEX($Q524:$AJ524,1,(AX$4-1)*5+2)*(AX394/AW394)^(INDEX($Q524:$AJ524,1,(AX$4-1)*5+3)*(1+INDEX($Q524:$AJ524,1,(AX$4-1)*5+2)))</f>
        <v/>
      </c>
      <c r="AY524" s="25">
        <f>AX524*(1/(1+INDEX($Q524:$AJ524,1,(AY$4-1)*5+4)))^(1+INDEX($Q524:$AJ524,1,(AY$4-1)*5+2))*(1+AY$7)^INDEX($Q524:$AJ524,1,(AY$4-1)*5+1)*(AY394/AX394)^INDEX($Q524:$AJ524,1,(AY$4-1)*5+2)*(AY394/AX394)^(INDEX($Q524:$AJ524,1,(AY$4-1)*5+3)*(1+INDEX($Q524:$AJ524,1,(AY$4-1)*5+2)))</f>
        <v/>
      </c>
      <c r="BA524" s="24">
        <f>INDEX(EnergyCons!$F$4:$F$5000,MATCH(Settings!$C$4&amp;"|"&amp;BA$5&amp;"|"&amp;$C524&amp;"|"&amp;$B524,EnergyCons!$A$4:$A$5000,0))</f>
        <v/>
      </c>
      <c r="BB524" s="25">
        <f>BA524*(1/(1+INDEX($Q524:$AJ524,1,(BB$4-1)*5+4)))^(1+INDEX($Q524:$AJ524,1,(BB$4-1)*5+2))*(1+BB$7)^INDEX($Q524:$AJ524,1,(BB$4-1)*5+1)*(BB394/BA394)^INDEX($Q524:$AJ524,1,(BB$4-1)*5+2)*(BB394/BA394)^(INDEX($Q524:$AJ524,1,(BB$4-1)*5+3)*(1+INDEX($Q524:$AJ524,1,(BB$4-1)*5+2)))</f>
        <v/>
      </c>
      <c r="BC524" s="25">
        <f>BB524*(1/(1+INDEX($Q524:$AJ524,1,(BC$4-1)*5+4)))^(1+INDEX($Q524:$AJ524,1,(BC$4-1)*5+2))*(1+BC$7)^INDEX($Q524:$AJ524,1,(BC$4-1)*5+1)*(BC394/BB394)^INDEX($Q524:$AJ524,1,(BC$4-1)*5+2)*(BC394/BB394)^(INDEX($Q524:$AJ524,1,(BC$4-1)*5+3)*(1+INDEX($Q524:$AJ524,1,(BC$4-1)*5+2)))</f>
        <v/>
      </c>
      <c r="BD524" s="25">
        <f>BC524*(1/(1+INDEX($Q524:$AJ524,1,(BD$4-1)*5+4)))^(1+INDEX($Q524:$AJ524,1,(BD$4-1)*5+2))*(1+BD$7)^INDEX($Q524:$AJ524,1,(BD$4-1)*5+1)*(BD394/BC394)^INDEX($Q524:$AJ524,1,(BD$4-1)*5+2)*(BD394/BC394)^(INDEX($Q524:$AJ524,1,(BD$4-1)*5+3)*(1+INDEX($Q524:$AJ524,1,(BD$4-1)*5+2)))</f>
        <v/>
      </c>
      <c r="BE524" s="25">
        <f>BD524*(1/(1+INDEX($Q524:$AJ524,1,(BE$4-1)*5+4)))^(1+INDEX($Q524:$AJ524,1,(BE$4-1)*5+2))*(1+BE$7)^INDEX($Q524:$AJ524,1,(BE$4-1)*5+1)*(BE394/BD394)^INDEX($Q524:$AJ524,1,(BE$4-1)*5+2)*(BE394/BD394)^(INDEX($Q524:$AJ524,1,(BE$4-1)*5+3)*(1+INDEX($Q524:$AJ524,1,(BE$4-1)*5+2)))</f>
        <v/>
      </c>
      <c r="BF524" s="25">
        <f>BE524*(1/(1+INDEX($Q524:$AJ524,1,(BF$4-1)*5+4)))^(1+INDEX($Q524:$AJ524,1,(BF$4-1)*5+2))*(1+BF$7)^INDEX($Q524:$AJ524,1,(BF$4-1)*5+1)*(BF394/BE394)^INDEX($Q524:$AJ524,1,(BF$4-1)*5+2)*(BF394/BE394)^(INDEX($Q524:$AJ524,1,(BF$4-1)*5+3)*(1+INDEX($Q524:$AJ524,1,(BF$4-1)*5+2)))</f>
        <v/>
      </c>
      <c r="BG524" s="25">
        <f>BF524*(1/(1+INDEX($Q524:$AJ524,1,(BG$4-1)*5+4)))^(1+INDEX($Q524:$AJ524,1,(BG$4-1)*5+2))*(1+BG$7)^INDEX($Q524:$AJ524,1,(BG$4-1)*5+1)*(BG394/BF394)^INDEX($Q524:$AJ524,1,(BG$4-1)*5+2)*(BG394/BF394)^(INDEX($Q524:$AJ524,1,(BG$4-1)*5+3)*(1+INDEX($Q524:$AJ524,1,(BG$4-1)*5+2)))</f>
        <v/>
      </c>
      <c r="BH524" s="25">
        <f>BG524*(1/(1+INDEX($Q524:$AJ524,1,(BH$4-1)*5+4)))^(1+INDEX($Q524:$AJ524,1,(BH$4-1)*5+2))*(1+BH$7)^INDEX($Q524:$AJ524,1,(BH$4-1)*5+1)*(BH394/BG394)^INDEX($Q524:$AJ524,1,(BH$4-1)*5+2)*(BH394/BG394)^(INDEX($Q524:$AJ524,1,(BH$4-1)*5+3)*(1+INDEX($Q524:$AJ524,1,(BH$4-1)*5+2)))</f>
        <v/>
      </c>
      <c r="BI524" s="25">
        <f>BH524*(1/(1+INDEX($Q524:$AJ524,1,(BI$4-1)*5+4)))^(1+INDEX($Q524:$AJ524,1,(BI$4-1)*5+2))*(1+BI$7)^INDEX($Q524:$AJ524,1,(BI$4-1)*5+1)*(BI394/BH394)^INDEX($Q524:$AJ524,1,(BI$4-1)*5+2)*(BI394/BH394)^(INDEX($Q524:$AJ524,1,(BI$4-1)*5+3)*(1+INDEX($Q524:$AJ524,1,(BI$4-1)*5+2)))</f>
        <v/>
      </c>
      <c r="BJ524" s="25">
        <f>BI524*(1/(1+INDEX($Q524:$AJ524,1,(BJ$4-1)*5+4)))^(1+INDEX($Q524:$AJ524,1,(BJ$4-1)*5+2))*(1+BJ$7)^INDEX($Q524:$AJ524,1,(BJ$4-1)*5+1)*(BJ394/BI394)^INDEX($Q524:$AJ524,1,(BJ$4-1)*5+2)*(BJ394/BI394)^(INDEX($Q524:$AJ524,1,(BJ$4-1)*5+3)*(1+INDEX($Q524:$AJ524,1,(BJ$4-1)*5+2)))</f>
        <v/>
      </c>
      <c r="BK524" s="25">
        <f>BJ524*(1/(1+INDEX($Q524:$AJ524,1,(BK$4-1)*5+4)))^(1+INDEX($Q524:$AJ524,1,(BK$4-1)*5+2))*(1+BK$7)^INDEX($Q524:$AJ524,1,(BK$4-1)*5+1)*(BK394/BJ394)^INDEX($Q524:$AJ524,1,(BK$4-1)*5+2)*(BK394/BJ394)^(INDEX($Q524:$AJ524,1,(BK$4-1)*5+3)*(1+INDEX($Q524:$AJ524,1,(BK$4-1)*5+2)))</f>
        <v/>
      </c>
      <c r="BL524" s="25">
        <f>BK524*(1/(1+INDEX($Q524:$AJ524,1,(BL$4-1)*5+4)))^(1+INDEX($Q524:$AJ524,1,(BL$4-1)*5+2))*(1+BL$7)^INDEX($Q524:$AJ524,1,(BL$4-1)*5+1)*(BL394/BK394)^INDEX($Q524:$AJ524,1,(BL$4-1)*5+2)*(BL394/BK394)^(INDEX($Q524:$AJ524,1,(BL$4-1)*5+3)*(1+INDEX($Q524:$AJ524,1,(BL$4-1)*5+2)))</f>
        <v/>
      </c>
      <c r="BM524" s="25">
        <f>BL524*(1/(1+INDEX($Q524:$AJ524,1,(BM$4-1)*5+4)))^(1+INDEX($Q524:$AJ524,1,(BM$4-1)*5+2))*(1+BM$7)^INDEX($Q524:$AJ524,1,(BM$4-1)*5+1)*(BM394/BL394)^INDEX($Q524:$AJ524,1,(BM$4-1)*5+2)*(BM394/BL394)^(INDEX($Q524:$AJ524,1,(BM$4-1)*5+3)*(1+INDEX($Q524:$AJ524,1,(BM$4-1)*5+2)))</f>
        <v/>
      </c>
      <c r="BN524" s="25">
        <f>BM524*(1/(1+INDEX($Q524:$AJ524,1,(BN$4-1)*5+4)))^(1+INDEX($Q524:$AJ524,1,(BN$4-1)*5+2))*(1+BN$7)^INDEX($Q524:$AJ524,1,(BN$4-1)*5+1)*(BN394/BM394)^INDEX($Q524:$AJ524,1,(BN$4-1)*5+2)*(BN394/BM394)^(INDEX($Q524:$AJ524,1,(BN$4-1)*5+3)*(1+INDEX($Q524:$AJ524,1,(BN$4-1)*5+2)))</f>
        <v/>
      </c>
    </row>
    <row r="525">
      <c r="B525" s="5" t="inlineStr">
        <is>
          <t>lpg</t>
        </is>
      </c>
      <c r="C525" s="5" t="inlineStr">
        <is>
          <t>oen</t>
        </is>
      </c>
      <c r="D525" s="5" t="inlineStr">
        <is>
          <t>Fuel use | Other energy use | LPG</t>
        </is>
      </c>
      <c r="E525" s="5" t="inlineStr">
        <is>
          <t>ktoe</t>
        </is>
      </c>
      <c r="F525" s="5" t="inlineStr">
        <is>
          <t>EnergyCons (base year), Elasticities</t>
        </is>
      </c>
      <c r="G525" s="19" t="inlineStr">
        <is>
          <t>mit.enc.lpg.oen</t>
        </is>
      </c>
      <c r="H525" s="19" t="inlineStr">
        <is>
          <t>mit.enc.lpg.oen</t>
        </is>
      </c>
      <c r="J525" s="5">
        <f>INDEX(Mapping!$C$5:$C$20,MATCH($C525,Mapping!$A$5:$A$20,0))</f>
        <v/>
      </c>
      <c r="K525" s="5">
        <f>INDEX(Mapping!$D$5:$D$20,MATCH($C525,Mapping!$A$5:$A$20,0))</f>
        <v/>
      </c>
      <c r="L525" s="5">
        <f>INDEX(Mapping!$C$24:$C$31,MATCH($B525,Mapping!$A$24:$A$31,0))</f>
        <v/>
      </c>
      <c r="M525" s="5">
        <f>INDEX(Mapping!$D$24:$D$31,MATCH($B525,Mapping!$A$24:$A$31,0))</f>
        <v/>
      </c>
      <c r="N525" s="5">
        <f>$B525&amp;"."&amp;IF(INDEX(Mapping!$E$24:$E$31,MATCH($B525,Mapping!$A$24:$A$31,0))="sub",INDEX(Mapping!$F$5:$F$20,MATCH($C525,Mapping!$A$5:$A$20,0)),"all")</f>
        <v/>
      </c>
      <c r="O525" s="5">
        <f>INDEX(Mapping!$E$5:$E$20,MATCH($C525,Mapping!$A$5:$A$20,0))</f>
        <v/>
      </c>
      <c r="P525" s="5">
        <f>INDEX(Mapping!$G$24:$G$31,MATCH($B525,Mapping!$A$24:$A$31,0))</f>
        <v/>
      </c>
      <c r="Q525" s="22">
        <f>INDEX(Elasticities!$F$4:$I$200,MATCH("inc|"&amp;$L525&amp;"|"&amp;$K525,Elasticities!$A$4:$A$200,0),MATCH(Settings!$C$6,Elasticities!$F$3:$I$3,0))</f>
        <v/>
      </c>
      <c r="R525" s="22">
        <f>INDEX(Elasticities!$F$4:$I$200,MATCH("usg|"&amp;$L525&amp;"|"&amp;$K525,Elasticities!$A$4:$A$200,0),MATCH(Settings!$C$6,Elasticities!$F$3:$I$3,0))</f>
        <v/>
      </c>
      <c r="S525" s="22">
        <f>INDEX(Elasticities!$F$4:$I$200,MATCH("eff|"&amp;$L525&amp;"|"&amp;$K525,Elasticities!$A$4:$A$200,0),MATCH(Settings!$C$6,Elasticities!$F$3:$I$3,0))</f>
        <v/>
      </c>
      <c r="T525" s="22">
        <f>INDEX(Elasticities!$F$4:$I$200,MATCH("aei|"&amp;$M525&amp;"|"&amp;$K525,Elasticities!$A$4:$A$200,0),MATCH(Settings!$C$6,Elasticities!$F$3:$I$3,0))</f>
        <v/>
      </c>
      <c r="U525" s="21" t="n"/>
      <c r="V525" s="22">
        <f>Q525</f>
        <v/>
      </c>
      <c r="W525" s="22">
        <f>R525</f>
        <v/>
      </c>
      <c r="X525" s="22">
        <f>S525</f>
        <v/>
      </c>
      <c r="Y525" s="22">
        <f>T525</f>
        <v/>
      </c>
      <c r="Z525" s="21" t="n"/>
      <c r="AA525" s="22">
        <f>Q525</f>
        <v/>
      </c>
      <c r="AB525" s="22">
        <f>R525</f>
        <v/>
      </c>
      <c r="AC525" s="22">
        <f>S525</f>
        <v/>
      </c>
      <c r="AD525" s="22">
        <f>T525</f>
        <v/>
      </c>
      <c r="AE525" s="21" t="n"/>
      <c r="AF525" s="22">
        <f>Q525</f>
        <v/>
      </c>
      <c r="AG525" s="22">
        <f>R525</f>
        <v/>
      </c>
      <c r="AH525" s="22">
        <f>S525</f>
        <v/>
      </c>
      <c r="AI525" s="22">
        <f>T525</f>
        <v/>
      </c>
      <c r="AJ525" s="21" t="n"/>
      <c r="AL525" s="24">
        <f>INDEX(EnergyCons!$F$4:$F$5000,MATCH(Settings!$C$4&amp;"|"&amp;AL$5&amp;"|"&amp;$C525&amp;"|"&amp;$B525,EnergyCons!$A$4:$A$5000,0))</f>
        <v/>
      </c>
      <c r="AM525" s="25">
        <f>AL525*(1/(1+INDEX($Q525:$AJ525,1,(AM$4-1)*5+4)))^(1+INDEX($Q525:$AJ525,1,(AM$4-1)*5+2))*(1+AM$7)^INDEX($Q525:$AJ525,1,(AM$4-1)*5+1)*(AM395/AL395)^INDEX($Q525:$AJ525,1,(AM$4-1)*5+2)*(AM395/AL395)^(INDEX($Q525:$AJ525,1,(AM$4-1)*5+3)*(1+INDEX($Q525:$AJ525,1,(AM$4-1)*5+2)))</f>
        <v/>
      </c>
      <c r="AN525" s="25">
        <f>AM525*(1/(1+INDEX($Q525:$AJ525,1,(AN$4-1)*5+4)))^(1+INDEX($Q525:$AJ525,1,(AN$4-1)*5+2))*(1+AN$7)^INDEX($Q525:$AJ525,1,(AN$4-1)*5+1)*(AN395/AM395)^INDEX($Q525:$AJ525,1,(AN$4-1)*5+2)*(AN395/AM395)^(INDEX($Q525:$AJ525,1,(AN$4-1)*5+3)*(1+INDEX($Q525:$AJ525,1,(AN$4-1)*5+2)))</f>
        <v/>
      </c>
      <c r="AO525" s="25">
        <f>AN525*(1/(1+INDEX($Q525:$AJ525,1,(AO$4-1)*5+4)))^(1+INDEX($Q525:$AJ525,1,(AO$4-1)*5+2))*(1+AO$7)^INDEX($Q525:$AJ525,1,(AO$4-1)*5+1)*(AO395/AN395)^INDEX($Q525:$AJ525,1,(AO$4-1)*5+2)*(AO395/AN395)^(INDEX($Q525:$AJ525,1,(AO$4-1)*5+3)*(1+INDEX($Q525:$AJ525,1,(AO$4-1)*5+2)))</f>
        <v/>
      </c>
      <c r="AP525" s="25">
        <f>AO525*(1/(1+INDEX($Q525:$AJ525,1,(AP$4-1)*5+4)))^(1+INDEX($Q525:$AJ525,1,(AP$4-1)*5+2))*(1+AP$7)^INDEX($Q525:$AJ525,1,(AP$4-1)*5+1)*(AP395/AO395)^INDEX($Q525:$AJ525,1,(AP$4-1)*5+2)*(AP395/AO395)^(INDEX($Q525:$AJ525,1,(AP$4-1)*5+3)*(1+INDEX($Q525:$AJ525,1,(AP$4-1)*5+2)))</f>
        <v/>
      </c>
      <c r="AQ525" s="25">
        <f>AP525*(1/(1+INDEX($Q525:$AJ525,1,(AQ$4-1)*5+4)))^(1+INDEX($Q525:$AJ525,1,(AQ$4-1)*5+2))*(1+AQ$7)^INDEX($Q525:$AJ525,1,(AQ$4-1)*5+1)*(AQ395/AP395)^INDEX($Q525:$AJ525,1,(AQ$4-1)*5+2)*(AQ395/AP395)^(INDEX($Q525:$AJ525,1,(AQ$4-1)*5+3)*(1+INDEX($Q525:$AJ525,1,(AQ$4-1)*5+2)))</f>
        <v/>
      </c>
      <c r="AR525" s="25">
        <f>AQ525*(1/(1+INDEX($Q525:$AJ525,1,(AR$4-1)*5+4)))^(1+INDEX($Q525:$AJ525,1,(AR$4-1)*5+2))*(1+AR$7)^INDEX($Q525:$AJ525,1,(AR$4-1)*5+1)*(AR395/AQ395)^INDEX($Q525:$AJ525,1,(AR$4-1)*5+2)*(AR395/AQ395)^(INDEX($Q525:$AJ525,1,(AR$4-1)*5+3)*(1+INDEX($Q525:$AJ525,1,(AR$4-1)*5+2)))</f>
        <v/>
      </c>
      <c r="AS525" s="25">
        <f>AR525*(1/(1+INDEX($Q525:$AJ525,1,(AS$4-1)*5+4)))^(1+INDEX($Q525:$AJ525,1,(AS$4-1)*5+2))*(1+AS$7)^INDEX($Q525:$AJ525,1,(AS$4-1)*5+1)*(AS395/AR395)^INDEX($Q525:$AJ525,1,(AS$4-1)*5+2)*(AS395/AR395)^(INDEX($Q525:$AJ525,1,(AS$4-1)*5+3)*(1+INDEX($Q525:$AJ525,1,(AS$4-1)*5+2)))</f>
        <v/>
      </c>
      <c r="AT525" s="25">
        <f>AS525*(1/(1+INDEX($Q525:$AJ525,1,(AT$4-1)*5+4)))^(1+INDEX($Q525:$AJ525,1,(AT$4-1)*5+2))*(1+AT$7)^INDEX($Q525:$AJ525,1,(AT$4-1)*5+1)*(AT395/AS395)^INDEX($Q525:$AJ525,1,(AT$4-1)*5+2)*(AT395/AS395)^(INDEX($Q525:$AJ525,1,(AT$4-1)*5+3)*(1+INDEX($Q525:$AJ525,1,(AT$4-1)*5+2)))</f>
        <v/>
      </c>
      <c r="AU525" s="25">
        <f>AT525*(1/(1+INDEX($Q525:$AJ525,1,(AU$4-1)*5+4)))^(1+INDEX($Q525:$AJ525,1,(AU$4-1)*5+2))*(1+AU$7)^INDEX($Q525:$AJ525,1,(AU$4-1)*5+1)*(AU395/AT395)^INDEX($Q525:$AJ525,1,(AU$4-1)*5+2)*(AU395/AT395)^(INDEX($Q525:$AJ525,1,(AU$4-1)*5+3)*(1+INDEX($Q525:$AJ525,1,(AU$4-1)*5+2)))</f>
        <v/>
      </c>
      <c r="AV525" s="25">
        <f>AU525*(1/(1+INDEX($Q525:$AJ525,1,(AV$4-1)*5+4)))^(1+INDEX($Q525:$AJ525,1,(AV$4-1)*5+2))*(1+AV$7)^INDEX($Q525:$AJ525,1,(AV$4-1)*5+1)*(AV395/AU395)^INDEX($Q525:$AJ525,1,(AV$4-1)*5+2)*(AV395/AU395)^(INDEX($Q525:$AJ525,1,(AV$4-1)*5+3)*(1+INDEX($Q525:$AJ525,1,(AV$4-1)*5+2)))</f>
        <v/>
      </c>
      <c r="AW525" s="25">
        <f>AV525*(1/(1+INDEX($Q525:$AJ525,1,(AW$4-1)*5+4)))^(1+INDEX($Q525:$AJ525,1,(AW$4-1)*5+2))*(1+AW$7)^INDEX($Q525:$AJ525,1,(AW$4-1)*5+1)*(AW395/AV395)^INDEX($Q525:$AJ525,1,(AW$4-1)*5+2)*(AW395/AV395)^(INDEX($Q525:$AJ525,1,(AW$4-1)*5+3)*(1+INDEX($Q525:$AJ525,1,(AW$4-1)*5+2)))</f>
        <v/>
      </c>
      <c r="AX525" s="25">
        <f>AW525*(1/(1+INDEX($Q525:$AJ525,1,(AX$4-1)*5+4)))^(1+INDEX($Q525:$AJ525,1,(AX$4-1)*5+2))*(1+AX$7)^INDEX($Q525:$AJ525,1,(AX$4-1)*5+1)*(AX395/AW395)^INDEX($Q525:$AJ525,1,(AX$4-1)*5+2)*(AX395/AW395)^(INDEX($Q525:$AJ525,1,(AX$4-1)*5+3)*(1+INDEX($Q525:$AJ525,1,(AX$4-1)*5+2)))</f>
        <v/>
      </c>
      <c r="AY525" s="25">
        <f>AX525*(1/(1+INDEX($Q525:$AJ525,1,(AY$4-1)*5+4)))^(1+INDEX($Q525:$AJ525,1,(AY$4-1)*5+2))*(1+AY$7)^INDEX($Q525:$AJ525,1,(AY$4-1)*5+1)*(AY395/AX395)^INDEX($Q525:$AJ525,1,(AY$4-1)*5+2)*(AY395/AX395)^(INDEX($Q525:$AJ525,1,(AY$4-1)*5+3)*(1+INDEX($Q525:$AJ525,1,(AY$4-1)*5+2)))</f>
        <v/>
      </c>
      <c r="BA525" s="24">
        <f>INDEX(EnergyCons!$F$4:$F$5000,MATCH(Settings!$C$4&amp;"|"&amp;BA$5&amp;"|"&amp;$C525&amp;"|"&amp;$B525,EnergyCons!$A$4:$A$5000,0))</f>
        <v/>
      </c>
      <c r="BB525" s="25">
        <f>BA525*(1/(1+INDEX($Q525:$AJ525,1,(BB$4-1)*5+4)))^(1+INDEX($Q525:$AJ525,1,(BB$4-1)*5+2))*(1+BB$7)^INDEX($Q525:$AJ525,1,(BB$4-1)*5+1)*(BB395/BA395)^INDEX($Q525:$AJ525,1,(BB$4-1)*5+2)*(BB395/BA395)^(INDEX($Q525:$AJ525,1,(BB$4-1)*5+3)*(1+INDEX($Q525:$AJ525,1,(BB$4-1)*5+2)))</f>
        <v/>
      </c>
      <c r="BC525" s="25">
        <f>BB525*(1/(1+INDEX($Q525:$AJ525,1,(BC$4-1)*5+4)))^(1+INDEX($Q525:$AJ525,1,(BC$4-1)*5+2))*(1+BC$7)^INDEX($Q525:$AJ525,1,(BC$4-1)*5+1)*(BC395/BB395)^INDEX($Q525:$AJ525,1,(BC$4-1)*5+2)*(BC395/BB395)^(INDEX($Q525:$AJ525,1,(BC$4-1)*5+3)*(1+INDEX($Q525:$AJ525,1,(BC$4-1)*5+2)))</f>
        <v/>
      </c>
      <c r="BD525" s="25">
        <f>BC525*(1/(1+INDEX($Q525:$AJ525,1,(BD$4-1)*5+4)))^(1+INDEX($Q525:$AJ525,1,(BD$4-1)*5+2))*(1+BD$7)^INDEX($Q525:$AJ525,1,(BD$4-1)*5+1)*(BD395/BC395)^INDEX($Q525:$AJ525,1,(BD$4-1)*5+2)*(BD395/BC395)^(INDEX($Q525:$AJ525,1,(BD$4-1)*5+3)*(1+INDEX($Q525:$AJ525,1,(BD$4-1)*5+2)))</f>
        <v/>
      </c>
      <c r="BE525" s="25">
        <f>BD525*(1/(1+INDEX($Q525:$AJ525,1,(BE$4-1)*5+4)))^(1+INDEX($Q525:$AJ525,1,(BE$4-1)*5+2))*(1+BE$7)^INDEX($Q525:$AJ525,1,(BE$4-1)*5+1)*(BE395/BD395)^INDEX($Q525:$AJ525,1,(BE$4-1)*5+2)*(BE395/BD395)^(INDEX($Q525:$AJ525,1,(BE$4-1)*5+3)*(1+INDEX($Q525:$AJ525,1,(BE$4-1)*5+2)))</f>
        <v/>
      </c>
      <c r="BF525" s="25">
        <f>BE525*(1/(1+INDEX($Q525:$AJ525,1,(BF$4-1)*5+4)))^(1+INDEX($Q525:$AJ525,1,(BF$4-1)*5+2))*(1+BF$7)^INDEX($Q525:$AJ525,1,(BF$4-1)*5+1)*(BF395/BE395)^INDEX($Q525:$AJ525,1,(BF$4-1)*5+2)*(BF395/BE395)^(INDEX($Q525:$AJ525,1,(BF$4-1)*5+3)*(1+INDEX($Q525:$AJ525,1,(BF$4-1)*5+2)))</f>
        <v/>
      </c>
      <c r="BG525" s="25">
        <f>BF525*(1/(1+INDEX($Q525:$AJ525,1,(BG$4-1)*5+4)))^(1+INDEX($Q525:$AJ525,1,(BG$4-1)*5+2))*(1+BG$7)^INDEX($Q525:$AJ525,1,(BG$4-1)*5+1)*(BG395/BF395)^INDEX($Q525:$AJ525,1,(BG$4-1)*5+2)*(BG395/BF395)^(INDEX($Q525:$AJ525,1,(BG$4-1)*5+3)*(1+INDEX($Q525:$AJ525,1,(BG$4-1)*5+2)))</f>
        <v/>
      </c>
      <c r="BH525" s="25">
        <f>BG525*(1/(1+INDEX($Q525:$AJ525,1,(BH$4-1)*5+4)))^(1+INDEX($Q525:$AJ525,1,(BH$4-1)*5+2))*(1+BH$7)^INDEX($Q525:$AJ525,1,(BH$4-1)*5+1)*(BH395/BG395)^INDEX($Q525:$AJ525,1,(BH$4-1)*5+2)*(BH395/BG395)^(INDEX($Q525:$AJ525,1,(BH$4-1)*5+3)*(1+INDEX($Q525:$AJ525,1,(BH$4-1)*5+2)))</f>
        <v/>
      </c>
      <c r="BI525" s="25">
        <f>BH525*(1/(1+INDEX($Q525:$AJ525,1,(BI$4-1)*5+4)))^(1+INDEX($Q525:$AJ525,1,(BI$4-1)*5+2))*(1+BI$7)^INDEX($Q525:$AJ525,1,(BI$4-1)*5+1)*(BI395/BH395)^INDEX($Q525:$AJ525,1,(BI$4-1)*5+2)*(BI395/BH395)^(INDEX($Q525:$AJ525,1,(BI$4-1)*5+3)*(1+INDEX($Q525:$AJ525,1,(BI$4-1)*5+2)))</f>
        <v/>
      </c>
      <c r="BJ525" s="25">
        <f>BI525*(1/(1+INDEX($Q525:$AJ525,1,(BJ$4-1)*5+4)))^(1+INDEX($Q525:$AJ525,1,(BJ$4-1)*5+2))*(1+BJ$7)^INDEX($Q525:$AJ525,1,(BJ$4-1)*5+1)*(BJ395/BI395)^INDEX($Q525:$AJ525,1,(BJ$4-1)*5+2)*(BJ395/BI395)^(INDEX($Q525:$AJ525,1,(BJ$4-1)*5+3)*(1+INDEX($Q525:$AJ525,1,(BJ$4-1)*5+2)))</f>
        <v/>
      </c>
      <c r="BK525" s="25">
        <f>BJ525*(1/(1+INDEX($Q525:$AJ525,1,(BK$4-1)*5+4)))^(1+INDEX($Q525:$AJ525,1,(BK$4-1)*5+2))*(1+BK$7)^INDEX($Q525:$AJ525,1,(BK$4-1)*5+1)*(BK395/BJ395)^INDEX($Q525:$AJ525,1,(BK$4-1)*5+2)*(BK395/BJ395)^(INDEX($Q525:$AJ525,1,(BK$4-1)*5+3)*(1+INDEX($Q525:$AJ525,1,(BK$4-1)*5+2)))</f>
        <v/>
      </c>
      <c r="BL525" s="25">
        <f>BK525*(1/(1+INDEX($Q525:$AJ525,1,(BL$4-1)*5+4)))^(1+INDEX($Q525:$AJ525,1,(BL$4-1)*5+2))*(1+BL$7)^INDEX($Q525:$AJ525,1,(BL$4-1)*5+1)*(BL395/BK395)^INDEX($Q525:$AJ525,1,(BL$4-1)*5+2)*(BL395/BK395)^(INDEX($Q525:$AJ525,1,(BL$4-1)*5+3)*(1+INDEX($Q525:$AJ525,1,(BL$4-1)*5+2)))</f>
        <v/>
      </c>
      <c r="BM525" s="25">
        <f>BL525*(1/(1+INDEX($Q525:$AJ525,1,(BM$4-1)*5+4)))^(1+INDEX($Q525:$AJ525,1,(BM$4-1)*5+2))*(1+BM$7)^INDEX($Q525:$AJ525,1,(BM$4-1)*5+1)*(BM395/BL395)^INDEX($Q525:$AJ525,1,(BM$4-1)*5+2)*(BM395/BL395)^(INDEX($Q525:$AJ525,1,(BM$4-1)*5+3)*(1+INDEX($Q525:$AJ525,1,(BM$4-1)*5+2)))</f>
        <v/>
      </c>
      <c r="BN525" s="25">
        <f>BM525*(1/(1+INDEX($Q525:$AJ525,1,(BN$4-1)*5+4)))^(1+INDEX($Q525:$AJ525,1,(BN$4-1)*5+2))*(1+BN$7)^INDEX($Q525:$AJ525,1,(BN$4-1)*5+1)*(BN395/BM395)^INDEX($Q525:$AJ525,1,(BN$4-1)*5+2)*(BN395/BM395)^(INDEX($Q525:$AJ525,1,(BN$4-1)*5+3)*(1+INDEX($Q525:$AJ525,1,(BN$4-1)*5+2)))</f>
        <v/>
      </c>
    </row>
    <row r="526">
      <c r="B526" s="5" t="inlineStr">
        <is>
          <t>ker</t>
        </is>
      </c>
      <c r="C526" s="5" t="inlineStr">
        <is>
          <t>oen</t>
        </is>
      </c>
      <c r="D526" s="5" t="inlineStr">
        <is>
          <t>Fuel use | Other energy use | Kerosene</t>
        </is>
      </c>
      <c r="E526" s="5" t="inlineStr">
        <is>
          <t>ktoe</t>
        </is>
      </c>
      <c r="F526" s="5" t="inlineStr">
        <is>
          <t>EnergyCons (base year), Elasticities</t>
        </is>
      </c>
      <c r="G526" s="19" t="inlineStr">
        <is>
          <t>mit.enc.ker.oen</t>
        </is>
      </c>
      <c r="H526" s="19" t="inlineStr">
        <is>
          <t>mit.enc.ker.oen</t>
        </is>
      </c>
      <c r="J526" s="5">
        <f>INDEX(Mapping!$C$5:$C$20,MATCH($C526,Mapping!$A$5:$A$20,0))</f>
        <v/>
      </c>
      <c r="K526" s="5">
        <f>INDEX(Mapping!$D$5:$D$20,MATCH($C526,Mapping!$A$5:$A$20,0))</f>
        <v/>
      </c>
      <c r="L526" s="5">
        <f>INDEX(Mapping!$C$24:$C$31,MATCH($B526,Mapping!$A$24:$A$31,0))</f>
        <v/>
      </c>
      <c r="M526" s="5">
        <f>INDEX(Mapping!$D$24:$D$31,MATCH($B526,Mapping!$A$24:$A$31,0))</f>
        <v/>
      </c>
      <c r="N526" s="5">
        <f>$B526&amp;"."&amp;IF(INDEX(Mapping!$E$24:$E$31,MATCH($B526,Mapping!$A$24:$A$31,0))="sub",INDEX(Mapping!$F$5:$F$20,MATCH($C526,Mapping!$A$5:$A$20,0)),"all")</f>
        <v/>
      </c>
      <c r="O526" s="5">
        <f>INDEX(Mapping!$E$5:$E$20,MATCH($C526,Mapping!$A$5:$A$20,0))</f>
        <v/>
      </c>
      <c r="P526" s="5">
        <f>INDEX(Mapping!$G$24:$G$31,MATCH($B526,Mapping!$A$24:$A$31,0))</f>
        <v/>
      </c>
      <c r="Q526" s="22">
        <f>INDEX(Elasticities!$F$4:$I$200,MATCH("inc|"&amp;$L526&amp;"|"&amp;$K526,Elasticities!$A$4:$A$200,0),MATCH(Settings!$C$6,Elasticities!$F$3:$I$3,0))</f>
        <v/>
      </c>
      <c r="R526" s="22">
        <f>INDEX(Elasticities!$F$4:$I$200,MATCH("usg|"&amp;$L526&amp;"|"&amp;$K526,Elasticities!$A$4:$A$200,0),MATCH(Settings!$C$6,Elasticities!$F$3:$I$3,0))</f>
        <v/>
      </c>
      <c r="S526" s="22">
        <f>INDEX(Elasticities!$F$4:$I$200,MATCH("eff|"&amp;$L526&amp;"|"&amp;$K526,Elasticities!$A$4:$A$200,0),MATCH(Settings!$C$6,Elasticities!$F$3:$I$3,0))</f>
        <v/>
      </c>
      <c r="T526" s="22">
        <f>INDEX(Elasticities!$F$4:$I$200,MATCH("aei|"&amp;$M526&amp;"|"&amp;$K526,Elasticities!$A$4:$A$200,0),MATCH(Settings!$C$6,Elasticities!$F$3:$I$3,0))</f>
        <v/>
      </c>
      <c r="U526" s="21" t="n"/>
      <c r="V526" s="22">
        <f>Q526</f>
        <v/>
      </c>
      <c r="W526" s="22">
        <f>R526</f>
        <v/>
      </c>
      <c r="X526" s="22">
        <f>S526</f>
        <v/>
      </c>
      <c r="Y526" s="22">
        <f>T526</f>
        <v/>
      </c>
      <c r="Z526" s="21" t="n"/>
      <c r="AA526" s="22">
        <f>Q526</f>
        <v/>
      </c>
      <c r="AB526" s="22">
        <f>R526</f>
        <v/>
      </c>
      <c r="AC526" s="22">
        <f>S526</f>
        <v/>
      </c>
      <c r="AD526" s="22">
        <f>T526</f>
        <v/>
      </c>
      <c r="AE526" s="21" t="n"/>
      <c r="AF526" s="22">
        <f>Q526</f>
        <v/>
      </c>
      <c r="AG526" s="22">
        <f>R526</f>
        <v/>
      </c>
      <c r="AH526" s="22">
        <f>S526</f>
        <v/>
      </c>
      <c r="AI526" s="22">
        <f>T526</f>
        <v/>
      </c>
      <c r="AJ526" s="21" t="n"/>
      <c r="AL526" s="24">
        <f>INDEX(EnergyCons!$F$4:$F$5000,MATCH(Settings!$C$4&amp;"|"&amp;AL$5&amp;"|"&amp;$C526&amp;"|"&amp;$B526,EnergyCons!$A$4:$A$5000,0))</f>
        <v/>
      </c>
      <c r="AM526" s="25">
        <f>AL526*(1/(1+INDEX($Q526:$AJ526,1,(AM$4-1)*5+4)))^(1+INDEX($Q526:$AJ526,1,(AM$4-1)*5+2))*(1+AM$7)^INDEX($Q526:$AJ526,1,(AM$4-1)*5+1)*(AM396/AL396)^INDEX($Q526:$AJ526,1,(AM$4-1)*5+2)*(AM396/AL396)^(INDEX($Q526:$AJ526,1,(AM$4-1)*5+3)*(1+INDEX($Q526:$AJ526,1,(AM$4-1)*5+2)))</f>
        <v/>
      </c>
      <c r="AN526" s="25">
        <f>AM526*(1/(1+INDEX($Q526:$AJ526,1,(AN$4-1)*5+4)))^(1+INDEX($Q526:$AJ526,1,(AN$4-1)*5+2))*(1+AN$7)^INDEX($Q526:$AJ526,1,(AN$4-1)*5+1)*(AN396/AM396)^INDEX($Q526:$AJ526,1,(AN$4-1)*5+2)*(AN396/AM396)^(INDEX($Q526:$AJ526,1,(AN$4-1)*5+3)*(1+INDEX($Q526:$AJ526,1,(AN$4-1)*5+2)))</f>
        <v/>
      </c>
      <c r="AO526" s="25">
        <f>AN526*(1/(1+INDEX($Q526:$AJ526,1,(AO$4-1)*5+4)))^(1+INDEX($Q526:$AJ526,1,(AO$4-1)*5+2))*(1+AO$7)^INDEX($Q526:$AJ526,1,(AO$4-1)*5+1)*(AO396/AN396)^INDEX($Q526:$AJ526,1,(AO$4-1)*5+2)*(AO396/AN396)^(INDEX($Q526:$AJ526,1,(AO$4-1)*5+3)*(1+INDEX($Q526:$AJ526,1,(AO$4-1)*5+2)))</f>
        <v/>
      </c>
      <c r="AP526" s="25">
        <f>AO526*(1/(1+INDEX($Q526:$AJ526,1,(AP$4-1)*5+4)))^(1+INDEX($Q526:$AJ526,1,(AP$4-1)*5+2))*(1+AP$7)^INDEX($Q526:$AJ526,1,(AP$4-1)*5+1)*(AP396/AO396)^INDEX($Q526:$AJ526,1,(AP$4-1)*5+2)*(AP396/AO396)^(INDEX($Q526:$AJ526,1,(AP$4-1)*5+3)*(1+INDEX($Q526:$AJ526,1,(AP$4-1)*5+2)))</f>
        <v/>
      </c>
      <c r="AQ526" s="25">
        <f>AP526*(1/(1+INDEX($Q526:$AJ526,1,(AQ$4-1)*5+4)))^(1+INDEX($Q526:$AJ526,1,(AQ$4-1)*5+2))*(1+AQ$7)^INDEX($Q526:$AJ526,1,(AQ$4-1)*5+1)*(AQ396/AP396)^INDEX($Q526:$AJ526,1,(AQ$4-1)*5+2)*(AQ396/AP396)^(INDEX($Q526:$AJ526,1,(AQ$4-1)*5+3)*(1+INDEX($Q526:$AJ526,1,(AQ$4-1)*5+2)))</f>
        <v/>
      </c>
      <c r="AR526" s="25">
        <f>AQ526*(1/(1+INDEX($Q526:$AJ526,1,(AR$4-1)*5+4)))^(1+INDEX($Q526:$AJ526,1,(AR$4-1)*5+2))*(1+AR$7)^INDEX($Q526:$AJ526,1,(AR$4-1)*5+1)*(AR396/AQ396)^INDEX($Q526:$AJ526,1,(AR$4-1)*5+2)*(AR396/AQ396)^(INDEX($Q526:$AJ526,1,(AR$4-1)*5+3)*(1+INDEX($Q526:$AJ526,1,(AR$4-1)*5+2)))</f>
        <v/>
      </c>
      <c r="AS526" s="25">
        <f>AR526*(1/(1+INDEX($Q526:$AJ526,1,(AS$4-1)*5+4)))^(1+INDEX($Q526:$AJ526,1,(AS$4-1)*5+2))*(1+AS$7)^INDEX($Q526:$AJ526,1,(AS$4-1)*5+1)*(AS396/AR396)^INDEX($Q526:$AJ526,1,(AS$4-1)*5+2)*(AS396/AR396)^(INDEX($Q526:$AJ526,1,(AS$4-1)*5+3)*(1+INDEX($Q526:$AJ526,1,(AS$4-1)*5+2)))</f>
        <v/>
      </c>
      <c r="AT526" s="25">
        <f>AS526*(1/(1+INDEX($Q526:$AJ526,1,(AT$4-1)*5+4)))^(1+INDEX($Q526:$AJ526,1,(AT$4-1)*5+2))*(1+AT$7)^INDEX($Q526:$AJ526,1,(AT$4-1)*5+1)*(AT396/AS396)^INDEX($Q526:$AJ526,1,(AT$4-1)*5+2)*(AT396/AS396)^(INDEX($Q526:$AJ526,1,(AT$4-1)*5+3)*(1+INDEX($Q526:$AJ526,1,(AT$4-1)*5+2)))</f>
        <v/>
      </c>
      <c r="AU526" s="25">
        <f>AT526*(1/(1+INDEX($Q526:$AJ526,1,(AU$4-1)*5+4)))^(1+INDEX($Q526:$AJ526,1,(AU$4-1)*5+2))*(1+AU$7)^INDEX($Q526:$AJ526,1,(AU$4-1)*5+1)*(AU396/AT396)^INDEX($Q526:$AJ526,1,(AU$4-1)*5+2)*(AU396/AT396)^(INDEX($Q526:$AJ526,1,(AU$4-1)*5+3)*(1+INDEX($Q526:$AJ526,1,(AU$4-1)*5+2)))</f>
        <v/>
      </c>
      <c r="AV526" s="25">
        <f>AU526*(1/(1+INDEX($Q526:$AJ526,1,(AV$4-1)*5+4)))^(1+INDEX($Q526:$AJ526,1,(AV$4-1)*5+2))*(1+AV$7)^INDEX($Q526:$AJ526,1,(AV$4-1)*5+1)*(AV396/AU396)^INDEX($Q526:$AJ526,1,(AV$4-1)*5+2)*(AV396/AU396)^(INDEX($Q526:$AJ526,1,(AV$4-1)*5+3)*(1+INDEX($Q526:$AJ526,1,(AV$4-1)*5+2)))</f>
        <v/>
      </c>
      <c r="AW526" s="25">
        <f>AV526*(1/(1+INDEX($Q526:$AJ526,1,(AW$4-1)*5+4)))^(1+INDEX($Q526:$AJ526,1,(AW$4-1)*5+2))*(1+AW$7)^INDEX($Q526:$AJ526,1,(AW$4-1)*5+1)*(AW396/AV396)^INDEX($Q526:$AJ526,1,(AW$4-1)*5+2)*(AW396/AV396)^(INDEX($Q526:$AJ526,1,(AW$4-1)*5+3)*(1+INDEX($Q526:$AJ526,1,(AW$4-1)*5+2)))</f>
        <v/>
      </c>
      <c r="AX526" s="25">
        <f>AW526*(1/(1+INDEX($Q526:$AJ526,1,(AX$4-1)*5+4)))^(1+INDEX($Q526:$AJ526,1,(AX$4-1)*5+2))*(1+AX$7)^INDEX($Q526:$AJ526,1,(AX$4-1)*5+1)*(AX396/AW396)^INDEX($Q526:$AJ526,1,(AX$4-1)*5+2)*(AX396/AW396)^(INDEX($Q526:$AJ526,1,(AX$4-1)*5+3)*(1+INDEX($Q526:$AJ526,1,(AX$4-1)*5+2)))</f>
        <v/>
      </c>
      <c r="AY526" s="25">
        <f>AX526*(1/(1+INDEX($Q526:$AJ526,1,(AY$4-1)*5+4)))^(1+INDEX($Q526:$AJ526,1,(AY$4-1)*5+2))*(1+AY$7)^INDEX($Q526:$AJ526,1,(AY$4-1)*5+1)*(AY396/AX396)^INDEX($Q526:$AJ526,1,(AY$4-1)*5+2)*(AY396/AX396)^(INDEX($Q526:$AJ526,1,(AY$4-1)*5+3)*(1+INDEX($Q526:$AJ526,1,(AY$4-1)*5+2)))</f>
        <v/>
      </c>
      <c r="BA526" s="24">
        <f>INDEX(EnergyCons!$F$4:$F$5000,MATCH(Settings!$C$4&amp;"|"&amp;BA$5&amp;"|"&amp;$C526&amp;"|"&amp;$B526,EnergyCons!$A$4:$A$5000,0))</f>
        <v/>
      </c>
      <c r="BB526" s="25">
        <f>BA526*(1/(1+INDEX($Q526:$AJ526,1,(BB$4-1)*5+4)))^(1+INDEX($Q526:$AJ526,1,(BB$4-1)*5+2))*(1+BB$7)^INDEX($Q526:$AJ526,1,(BB$4-1)*5+1)*(BB396/BA396)^INDEX($Q526:$AJ526,1,(BB$4-1)*5+2)*(BB396/BA396)^(INDEX($Q526:$AJ526,1,(BB$4-1)*5+3)*(1+INDEX($Q526:$AJ526,1,(BB$4-1)*5+2)))</f>
        <v/>
      </c>
      <c r="BC526" s="25">
        <f>BB526*(1/(1+INDEX($Q526:$AJ526,1,(BC$4-1)*5+4)))^(1+INDEX($Q526:$AJ526,1,(BC$4-1)*5+2))*(1+BC$7)^INDEX($Q526:$AJ526,1,(BC$4-1)*5+1)*(BC396/BB396)^INDEX($Q526:$AJ526,1,(BC$4-1)*5+2)*(BC396/BB396)^(INDEX($Q526:$AJ526,1,(BC$4-1)*5+3)*(1+INDEX($Q526:$AJ526,1,(BC$4-1)*5+2)))</f>
        <v/>
      </c>
      <c r="BD526" s="25">
        <f>BC526*(1/(1+INDEX($Q526:$AJ526,1,(BD$4-1)*5+4)))^(1+INDEX($Q526:$AJ526,1,(BD$4-1)*5+2))*(1+BD$7)^INDEX($Q526:$AJ526,1,(BD$4-1)*5+1)*(BD396/BC396)^INDEX($Q526:$AJ526,1,(BD$4-1)*5+2)*(BD396/BC396)^(INDEX($Q526:$AJ526,1,(BD$4-1)*5+3)*(1+INDEX($Q526:$AJ526,1,(BD$4-1)*5+2)))</f>
        <v/>
      </c>
      <c r="BE526" s="25">
        <f>BD526*(1/(1+INDEX($Q526:$AJ526,1,(BE$4-1)*5+4)))^(1+INDEX($Q526:$AJ526,1,(BE$4-1)*5+2))*(1+BE$7)^INDEX($Q526:$AJ526,1,(BE$4-1)*5+1)*(BE396/BD396)^INDEX($Q526:$AJ526,1,(BE$4-1)*5+2)*(BE396/BD396)^(INDEX($Q526:$AJ526,1,(BE$4-1)*5+3)*(1+INDEX($Q526:$AJ526,1,(BE$4-1)*5+2)))</f>
        <v/>
      </c>
      <c r="BF526" s="25">
        <f>BE526*(1/(1+INDEX($Q526:$AJ526,1,(BF$4-1)*5+4)))^(1+INDEX($Q526:$AJ526,1,(BF$4-1)*5+2))*(1+BF$7)^INDEX($Q526:$AJ526,1,(BF$4-1)*5+1)*(BF396/BE396)^INDEX($Q526:$AJ526,1,(BF$4-1)*5+2)*(BF396/BE396)^(INDEX($Q526:$AJ526,1,(BF$4-1)*5+3)*(1+INDEX($Q526:$AJ526,1,(BF$4-1)*5+2)))</f>
        <v/>
      </c>
      <c r="BG526" s="25">
        <f>BF526*(1/(1+INDEX($Q526:$AJ526,1,(BG$4-1)*5+4)))^(1+INDEX($Q526:$AJ526,1,(BG$4-1)*5+2))*(1+BG$7)^INDEX($Q526:$AJ526,1,(BG$4-1)*5+1)*(BG396/BF396)^INDEX($Q526:$AJ526,1,(BG$4-1)*5+2)*(BG396/BF396)^(INDEX($Q526:$AJ526,1,(BG$4-1)*5+3)*(1+INDEX($Q526:$AJ526,1,(BG$4-1)*5+2)))</f>
        <v/>
      </c>
      <c r="BH526" s="25">
        <f>BG526*(1/(1+INDEX($Q526:$AJ526,1,(BH$4-1)*5+4)))^(1+INDEX($Q526:$AJ526,1,(BH$4-1)*5+2))*(1+BH$7)^INDEX($Q526:$AJ526,1,(BH$4-1)*5+1)*(BH396/BG396)^INDEX($Q526:$AJ526,1,(BH$4-1)*5+2)*(BH396/BG396)^(INDEX($Q526:$AJ526,1,(BH$4-1)*5+3)*(1+INDEX($Q526:$AJ526,1,(BH$4-1)*5+2)))</f>
        <v/>
      </c>
      <c r="BI526" s="25">
        <f>BH526*(1/(1+INDEX($Q526:$AJ526,1,(BI$4-1)*5+4)))^(1+INDEX($Q526:$AJ526,1,(BI$4-1)*5+2))*(1+BI$7)^INDEX($Q526:$AJ526,1,(BI$4-1)*5+1)*(BI396/BH396)^INDEX($Q526:$AJ526,1,(BI$4-1)*5+2)*(BI396/BH396)^(INDEX($Q526:$AJ526,1,(BI$4-1)*5+3)*(1+INDEX($Q526:$AJ526,1,(BI$4-1)*5+2)))</f>
        <v/>
      </c>
      <c r="BJ526" s="25">
        <f>BI526*(1/(1+INDEX($Q526:$AJ526,1,(BJ$4-1)*5+4)))^(1+INDEX($Q526:$AJ526,1,(BJ$4-1)*5+2))*(1+BJ$7)^INDEX($Q526:$AJ526,1,(BJ$4-1)*5+1)*(BJ396/BI396)^INDEX($Q526:$AJ526,1,(BJ$4-1)*5+2)*(BJ396/BI396)^(INDEX($Q526:$AJ526,1,(BJ$4-1)*5+3)*(1+INDEX($Q526:$AJ526,1,(BJ$4-1)*5+2)))</f>
        <v/>
      </c>
      <c r="BK526" s="25">
        <f>BJ526*(1/(1+INDEX($Q526:$AJ526,1,(BK$4-1)*5+4)))^(1+INDEX($Q526:$AJ526,1,(BK$4-1)*5+2))*(1+BK$7)^INDEX($Q526:$AJ526,1,(BK$4-1)*5+1)*(BK396/BJ396)^INDEX($Q526:$AJ526,1,(BK$4-1)*5+2)*(BK396/BJ396)^(INDEX($Q526:$AJ526,1,(BK$4-1)*5+3)*(1+INDEX($Q526:$AJ526,1,(BK$4-1)*5+2)))</f>
        <v/>
      </c>
      <c r="BL526" s="25">
        <f>BK526*(1/(1+INDEX($Q526:$AJ526,1,(BL$4-1)*5+4)))^(1+INDEX($Q526:$AJ526,1,(BL$4-1)*5+2))*(1+BL$7)^INDEX($Q526:$AJ526,1,(BL$4-1)*5+1)*(BL396/BK396)^INDEX($Q526:$AJ526,1,(BL$4-1)*5+2)*(BL396/BK396)^(INDEX($Q526:$AJ526,1,(BL$4-1)*5+3)*(1+INDEX($Q526:$AJ526,1,(BL$4-1)*5+2)))</f>
        <v/>
      </c>
      <c r="BM526" s="25">
        <f>BL526*(1/(1+INDEX($Q526:$AJ526,1,(BM$4-1)*5+4)))^(1+INDEX($Q526:$AJ526,1,(BM$4-1)*5+2))*(1+BM$7)^INDEX($Q526:$AJ526,1,(BM$4-1)*5+1)*(BM396/BL396)^INDEX($Q526:$AJ526,1,(BM$4-1)*5+2)*(BM396/BL396)^(INDEX($Q526:$AJ526,1,(BM$4-1)*5+3)*(1+INDEX($Q526:$AJ526,1,(BM$4-1)*5+2)))</f>
        <v/>
      </c>
      <c r="BN526" s="25">
        <f>BM526*(1/(1+INDEX($Q526:$AJ526,1,(BN$4-1)*5+4)))^(1+INDEX($Q526:$AJ526,1,(BN$4-1)*5+2))*(1+BN$7)^INDEX($Q526:$AJ526,1,(BN$4-1)*5+1)*(BN396/BM396)^INDEX($Q526:$AJ526,1,(BN$4-1)*5+2)*(BN396/BM396)^(INDEX($Q526:$AJ526,1,(BN$4-1)*5+3)*(1+INDEX($Q526:$AJ526,1,(BN$4-1)*5+2)))</f>
        <v/>
      </c>
    </row>
    <row r="527">
      <c r="B527" s="5" t="inlineStr">
        <is>
          <t>oop</t>
        </is>
      </c>
      <c r="C527" s="5" t="inlineStr">
        <is>
          <t>oen</t>
        </is>
      </c>
      <c r="D527" s="5" t="inlineStr">
        <is>
          <t>Fuel use | Other energy use | Other oil products</t>
        </is>
      </c>
      <c r="E527" s="5" t="inlineStr">
        <is>
          <t>ktoe</t>
        </is>
      </c>
      <c r="F527" s="5" t="inlineStr">
        <is>
          <t>EnergyCons (base year), Elasticities</t>
        </is>
      </c>
      <c r="G527" s="19" t="inlineStr">
        <is>
          <t>mit.enc.oop.oen</t>
        </is>
      </c>
      <c r="H527" s="19" t="inlineStr">
        <is>
          <t>mit.enc.oop.oen</t>
        </is>
      </c>
      <c r="J527" s="5">
        <f>INDEX(Mapping!$C$5:$C$20,MATCH($C527,Mapping!$A$5:$A$20,0))</f>
        <v/>
      </c>
      <c r="K527" s="5">
        <f>INDEX(Mapping!$D$5:$D$20,MATCH($C527,Mapping!$A$5:$A$20,0))</f>
        <v/>
      </c>
      <c r="L527" s="5">
        <f>INDEX(Mapping!$C$24:$C$31,MATCH($B527,Mapping!$A$24:$A$31,0))</f>
        <v/>
      </c>
      <c r="M527" s="5">
        <f>INDEX(Mapping!$D$24:$D$31,MATCH($B527,Mapping!$A$24:$A$31,0))</f>
        <v/>
      </c>
      <c r="N527" s="5">
        <f>$B527&amp;"."&amp;IF(INDEX(Mapping!$E$24:$E$31,MATCH($B527,Mapping!$A$24:$A$31,0))="sub",INDEX(Mapping!$F$5:$F$20,MATCH($C527,Mapping!$A$5:$A$20,0)),"all")</f>
        <v/>
      </c>
      <c r="O527" s="5">
        <f>INDEX(Mapping!$E$5:$E$20,MATCH($C527,Mapping!$A$5:$A$20,0))</f>
        <v/>
      </c>
      <c r="P527" s="5">
        <f>INDEX(Mapping!$G$24:$G$31,MATCH($B527,Mapping!$A$24:$A$31,0))</f>
        <v/>
      </c>
      <c r="Q527" s="22">
        <f>INDEX(Elasticities!$F$4:$I$200,MATCH("inc|"&amp;$L527&amp;"|"&amp;$K527,Elasticities!$A$4:$A$200,0),MATCH(Settings!$C$6,Elasticities!$F$3:$I$3,0))</f>
        <v/>
      </c>
      <c r="R527" s="22">
        <f>INDEX(Elasticities!$F$4:$I$200,MATCH("usg|"&amp;$L527&amp;"|"&amp;$K527,Elasticities!$A$4:$A$200,0),MATCH(Settings!$C$6,Elasticities!$F$3:$I$3,0))</f>
        <v/>
      </c>
      <c r="S527" s="22">
        <f>INDEX(Elasticities!$F$4:$I$200,MATCH("eff|"&amp;$L527&amp;"|"&amp;$K527,Elasticities!$A$4:$A$200,0),MATCH(Settings!$C$6,Elasticities!$F$3:$I$3,0))</f>
        <v/>
      </c>
      <c r="T527" s="22">
        <f>INDEX(Elasticities!$F$4:$I$200,MATCH("aei|"&amp;$M527&amp;"|"&amp;$K527,Elasticities!$A$4:$A$200,0),MATCH(Settings!$C$6,Elasticities!$F$3:$I$3,0))</f>
        <v/>
      </c>
      <c r="U527" s="21" t="n"/>
      <c r="V527" s="22">
        <f>Q527</f>
        <v/>
      </c>
      <c r="W527" s="22">
        <f>R527</f>
        <v/>
      </c>
      <c r="X527" s="22">
        <f>S527</f>
        <v/>
      </c>
      <c r="Y527" s="22">
        <f>T527</f>
        <v/>
      </c>
      <c r="Z527" s="21" t="n"/>
      <c r="AA527" s="22">
        <f>Q527</f>
        <v/>
      </c>
      <c r="AB527" s="22">
        <f>R527</f>
        <v/>
      </c>
      <c r="AC527" s="22">
        <f>S527</f>
        <v/>
      </c>
      <c r="AD527" s="22">
        <f>T527</f>
        <v/>
      </c>
      <c r="AE527" s="21" t="n"/>
      <c r="AF527" s="22">
        <f>Q527</f>
        <v/>
      </c>
      <c r="AG527" s="22">
        <f>R527</f>
        <v/>
      </c>
      <c r="AH527" s="22">
        <f>S527</f>
        <v/>
      </c>
      <c r="AI527" s="22">
        <f>T527</f>
        <v/>
      </c>
      <c r="AJ527" s="21" t="n"/>
      <c r="AL527" s="24">
        <f>INDEX(EnergyCons!$F$4:$F$5000,MATCH(Settings!$C$4&amp;"|"&amp;AL$5&amp;"|"&amp;$C527&amp;"|"&amp;$B527,EnergyCons!$A$4:$A$5000,0))</f>
        <v/>
      </c>
      <c r="AM527" s="25">
        <f>AL527*(1/(1+INDEX($Q527:$AJ527,1,(AM$4-1)*5+4)))^(1+INDEX($Q527:$AJ527,1,(AM$4-1)*5+2))*(1+AM$7)^INDEX($Q527:$AJ527,1,(AM$4-1)*5+1)*(AM397/AL397)^INDEX($Q527:$AJ527,1,(AM$4-1)*5+2)*(AM397/AL397)^(INDEX($Q527:$AJ527,1,(AM$4-1)*5+3)*(1+INDEX($Q527:$AJ527,1,(AM$4-1)*5+2)))</f>
        <v/>
      </c>
      <c r="AN527" s="25">
        <f>AM527*(1/(1+INDEX($Q527:$AJ527,1,(AN$4-1)*5+4)))^(1+INDEX($Q527:$AJ527,1,(AN$4-1)*5+2))*(1+AN$7)^INDEX($Q527:$AJ527,1,(AN$4-1)*5+1)*(AN397/AM397)^INDEX($Q527:$AJ527,1,(AN$4-1)*5+2)*(AN397/AM397)^(INDEX($Q527:$AJ527,1,(AN$4-1)*5+3)*(1+INDEX($Q527:$AJ527,1,(AN$4-1)*5+2)))</f>
        <v/>
      </c>
      <c r="AO527" s="25">
        <f>AN527*(1/(1+INDEX($Q527:$AJ527,1,(AO$4-1)*5+4)))^(1+INDEX($Q527:$AJ527,1,(AO$4-1)*5+2))*(1+AO$7)^INDEX($Q527:$AJ527,1,(AO$4-1)*5+1)*(AO397/AN397)^INDEX($Q527:$AJ527,1,(AO$4-1)*5+2)*(AO397/AN397)^(INDEX($Q527:$AJ527,1,(AO$4-1)*5+3)*(1+INDEX($Q527:$AJ527,1,(AO$4-1)*5+2)))</f>
        <v/>
      </c>
      <c r="AP527" s="25">
        <f>AO527*(1/(1+INDEX($Q527:$AJ527,1,(AP$4-1)*5+4)))^(1+INDEX($Q527:$AJ527,1,(AP$4-1)*5+2))*(1+AP$7)^INDEX($Q527:$AJ527,1,(AP$4-1)*5+1)*(AP397/AO397)^INDEX($Q527:$AJ527,1,(AP$4-1)*5+2)*(AP397/AO397)^(INDEX($Q527:$AJ527,1,(AP$4-1)*5+3)*(1+INDEX($Q527:$AJ527,1,(AP$4-1)*5+2)))</f>
        <v/>
      </c>
      <c r="AQ527" s="25">
        <f>AP527*(1/(1+INDEX($Q527:$AJ527,1,(AQ$4-1)*5+4)))^(1+INDEX($Q527:$AJ527,1,(AQ$4-1)*5+2))*(1+AQ$7)^INDEX($Q527:$AJ527,1,(AQ$4-1)*5+1)*(AQ397/AP397)^INDEX($Q527:$AJ527,1,(AQ$4-1)*5+2)*(AQ397/AP397)^(INDEX($Q527:$AJ527,1,(AQ$4-1)*5+3)*(1+INDEX($Q527:$AJ527,1,(AQ$4-1)*5+2)))</f>
        <v/>
      </c>
      <c r="AR527" s="25">
        <f>AQ527*(1/(1+INDEX($Q527:$AJ527,1,(AR$4-1)*5+4)))^(1+INDEX($Q527:$AJ527,1,(AR$4-1)*5+2))*(1+AR$7)^INDEX($Q527:$AJ527,1,(AR$4-1)*5+1)*(AR397/AQ397)^INDEX($Q527:$AJ527,1,(AR$4-1)*5+2)*(AR397/AQ397)^(INDEX($Q527:$AJ527,1,(AR$4-1)*5+3)*(1+INDEX($Q527:$AJ527,1,(AR$4-1)*5+2)))</f>
        <v/>
      </c>
      <c r="AS527" s="25">
        <f>AR527*(1/(1+INDEX($Q527:$AJ527,1,(AS$4-1)*5+4)))^(1+INDEX($Q527:$AJ527,1,(AS$4-1)*5+2))*(1+AS$7)^INDEX($Q527:$AJ527,1,(AS$4-1)*5+1)*(AS397/AR397)^INDEX($Q527:$AJ527,1,(AS$4-1)*5+2)*(AS397/AR397)^(INDEX($Q527:$AJ527,1,(AS$4-1)*5+3)*(1+INDEX($Q527:$AJ527,1,(AS$4-1)*5+2)))</f>
        <v/>
      </c>
      <c r="AT527" s="25">
        <f>AS527*(1/(1+INDEX($Q527:$AJ527,1,(AT$4-1)*5+4)))^(1+INDEX($Q527:$AJ527,1,(AT$4-1)*5+2))*(1+AT$7)^INDEX($Q527:$AJ527,1,(AT$4-1)*5+1)*(AT397/AS397)^INDEX($Q527:$AJ527,1,(AT$4-1)*5+2)*(AT397/AS397)^(INDEX($Q527:$AJ527,1,(AT$4-1)*5+3)*(1+INDEX($Q527:$AJ527,1,(AT$4-1)*5+2)))</f>
        <v/>
      </c>
      <c r="AU527" s="25">
        <f>AT527*(1/(1+INDEX($Q527:$AJ527,1,(AU$4-1)*5+4)))^(1+INDEX($Q527:$AJ527,1,(AU$4-1)*5+2))*(1+AU$7)^INDEX($Q527:$AJ527,1,(AU$4-1)*5+1)*(AU397/AT397)^INDEX($Q527:$AJ527,1,(AU$4-1)*5+2)*(AU397/AT397)^(INDEX($Q527:$AJ527,1,(AU$4-1)*5+3)*(1+INDEX($Q527:$AJ527,1,(AU$4-1)*5+2)))</f>
        <v/>
      </c>
      <c r="AV527" s="25">
        <f>AU527*(1/(1+INDEX($Q527:$AJ527,1,(AV$4-1)*5+4)))^(1+INDEX($Q527:$AJ527,1,(AV$4-1)*5+2))*(1+AV$7)^INDEX($Q527:$AJ527,1,(AV$4-1)*5+1)*(AV397/AU397)^INDEX($Q527:$AJ527,1,(AV$4-1)*5+2)*(AV397/AU397)^(INDEX($Q527:$AJ527,1,(AV$4-1)*5+3)*(1+INDEX($Q527:$AJ527,1,(AV$4-1)*5+2)))</f>
        <v/>
      </c>
      <c r="AW527" s="25">
        <f>AV527*(1/(1+INDEX($Q527:$AJ527,1,(AW$4-1)*5+4)))^(1+INDEX($Q527:$AJ527,1,(AW$4-1)*5+2))*(1+AW$7)^INDEX($Q527:$AJ527,1,(AW$4-1)*5+1)*(AW397/AV397)^INDEX($Q527:$AJ527,1,(AW$4-1)*5+2)*(AW397/AV397)^(INDEX($Q527:$AJ527,1,(AW$4-1)*5+3)*(1+INDEX($Q527:$AJ527,1,(AW$4-1)*5+2)))</f>
        <v/>
      </c>
      <c r="AX527" s="25">
        <f>AW527*(1/(1+INDEX($Q527:$AJ527,1,(AX$4-1)*5+4)))^(1+INDEX($Q527:$AJ527,1,(AX$4-1)*5+2))*(1+AX$7)^INDEX($Q527:$AJ527,1,(AX$4-1)*5+1)*(AX397/AW397)^INDEX($Q527:$AJ527,1,(AX$4-1)*5+2)*(AX397/AW397)^(INDEX($Q527:$AJ527,1,(AX$4-1)*5+3)*(1+INDEX($Q527:$AJ527,1,(AX$4-1)*5+2)))</f>
        <v/>
      </c>
      <c r="AY527" s="25">
        <f>AX527*(1/(1+INDEX($Q527:$AJ527,1,(AY$4-1)*5+4)))^(1+INDEX($Q527:$AJ527,1,(AY$4-1)*5+2))*(1+AY$7)^INDEX($Q527:$AJ527,1,(AY$4-1)*5+1)*(AY397/AX397)^INDEX($Q527:$AJ527,1,(AY$4-1)*5+2)*(AY397/AX397)^(INDEX($Q527:$AJ527,1,(AY$4-1)*5+3)*(1+INDEX($Q527:$AJ527,1,(AY$4-1)*5+2)))</f>
        <v/>
      </c>
      <c r="BA527" s="24">
        <f>INDEX(EnergyCons!$F$4:$F$5000,MATCH(Settings!$C$4&amp;"|"&amp;BA$5&amp;"|"&amp;$C527&amp;"|"&amp;$B527,EnergyCons!$A$4:$A$5000,0))</f>
        <v/>
      </c>
      <c r="BB527" s="25">
        <f>BA527*(1/(1+INDEX($Q527:$AJ527,1,(BB$4-1)*5+4)))^(1+INDEX($Q527:$AJ527,1,(BB$4-1)*5+2))*(1+BB$7)^INDEX($Q527:$AJ527,1,(BB$4-1)*5+1)*(BB397/BA397)^INDEX($Q527:$AJ527,1,(BB$4-1)*5+2)*(BB397/BA397)^(INDEX($Q527:$AJ527,1,(BB$4-1)*5+3)*(1+INDEX($Q527:$AJ527,1,(BB$4-1)*5+2)))</f>
        <v/>
      </c>
      <c r="BC527" s="25">
        <f>BB527*(1/(1+INDEX($Q527:$AJ527,1,(BC$4-1)*5+4)))^(1+INDEX($Q527:$AJ527,1,(BC$4-1)*5+2))*(1+BC$7)^INDEX($Q527:$AJ527,1,(BC$4-1)*5+1)*(BC397/BB397)^INDEX($Q527:$AJ527,1,(BC$4-1)*5+2)*(BC397/BB397)^(INDEX($Q527:$AJ527,1,(BC$4-1)*5+3)*(1+INDEX($Q527:$AJ527,1,(BC$4-1)*5+2)))</f>
        <v/>
      </c>
      <c r="BD527" s="25">
        <f>BC527*(1/(1+INDEX($Q527:$AJ527,1,(BD$4-1)*5+4)))^(1+INDEX($Q527:$AJ527,1,(BD$4-1)*5+2))*(1+BD$7)^INDEX($Q527:$AJ527,1,(BD$4-1)*5+1)*(BD397/BC397)^INDEX($Q527:$AJ527,1,(BD$4-1)*5+2)*(BD397/BC397)^(INDEX($Q527:$AJ527,1,(BD$4-1)*5+3)*(1+INDEX($Q527:$AJ527,1,(BD$4-1)*5+2)))</f>
        <v/>
      </c>
      <c r="BE527" s="25">
        <f>BD527*(1/(1+INDEX($Q527:$AJ527,1,(BE$4-1)*5+4)))^(1+INDEX($Q527:$AJ527,1,(BE$4-1)*5+2))*(1+BE$7)^INDEX($Q527:$AJ527,1,(BE$4-1)*5+1)*(BE397/BD397)^INDEX($Q527:$AJ527,1,(BE$4-1)*5+2)*(BE397/BD397)^(INDEX($Q527:$AJ527,1,(BE$4-1)*5+3)*(1+INDEX($Q527:$AJ527,1,(BE$4-1)*5+2)))</f>
        <v/>
      </c>
      <c r="BF527" s="25">
        <f>BE527*(1/(1+INDEX($Q527:$AJ527,1,(BF$4-1)*5+4)))^(1+INDEX($Q527:$AJ527,1,(BF$4-1)*5+2))*(1+BF$7)^INDEX($Q527:$AJ527,1,(BF$4-1)*5+1)*(BF397/BE397)^INDEX($Q527:$AJ527,1,(BF$4-1)*5+2)*(BF397/BE397)^(INDEX($Q527:$AJ527,1,(BF$4-1)*5+3)*(1+INDEX($Q527:$AJ527,1,(BF$4-1)*5+2)))</f>
        <v/>
      </c>
      <c r="BG527" s="25">
        <f>BF527*(1/(1+INDEX($Q527:$AJ527,1,(BG$4-1)*5+4)))^(1+INDEX($Q527:$AJ527,1,(BG$4-1)*5+2))*(1+BG$7)^INDEX($Q527:$AJ527,1,(BG$4-1)*5+1)*(BG397/BF397)^INDEX($Q527:$AJ527,1,(BG$4-1)*5+2)*(BG397/BF397)^(INDEX($Q527:$AJ527,1,(BG$4-1)*5+3)*(1+INDEX($Q527:$AJ527,1,(BG$4-1)*5+2)))</f>
        <v/>
      </c>
      <c r="BH527" s="25">
        <f>BG527*(1/(1+INDEX($Q527:$AJ527,1,(BH$4-1)*5+4)))^(1+INDEX($Q527:$AJ527,1,(BH$4-1)*5+2))*(1+BH$7)^INDEX($Q527:$AJ527,1,(BH$4-1)*5+1)*(BH397/BG397)^INDEX($Q527:$AJ527,1,(BH$4-1)*5+2)*(BH397/BG397)^(INDEX($Q527:$AJ527,1,(BH$4-1)*5+3)*(1+INDEX($Q527:$AJ527,1,(BH$4-1)*5+2)))</f>
        <v/>
      </c>
      <c r="BI527" s="25">
        <f>BH527*(1/(1+INDEX($Q527:$AJ527,1,(BI$4-1)*5+4)))^(1+INDEX($Q527:$AJ527,1,(BI$4-1)*5+2))*(1+BI$7)^INDEX($Q527:$AJ527,1,(BI$4-1)*5+1)*(BI397/BH397)^INDEX($Q527:$AJ527,1,(BI$4-1)*5+2)*(BI397/BH397)^(INDEX($Q527:$AJ527,1,(BI$4-1)*5+3)*(1+INDEX($Q527:$AJ527,1,(BI$4-1)*5+2)))</f>
        <v/>
      </c>
      <c r="BJ527" s="25">
        <f>BI527*(1/(1+INDEX($Q527:$AJ527,1,(BJ$4-1)*5+4)))^(1+INDEX($Q527:$AJ527,1,(BJ$4-1)*5+2))*(1+BJ$7)^INDEX($Q527:$AJ527,1,(BJ$4-1)*5+1)*(BJ397/BI397)^INDEX($Q527:$AJ527,1,(BJ$4-1)*5+2)*(BJ397/BI397)^(INDEX($Q527:$AJ527,1,(BJ$4-1)*5+3)*(1+INDEX($Q527:$AJ527,1,(BJ$4-1)*5+2)))</f>
        <v/>
      </c>
      <c r="BK527" s="25">
        <f>BJ527*(1/(1+INDEX($Q527:$AJ527,1,(BK$4-1)*5+4)))^(1+INDEX($Q527:$AJ527,1,(BK$4-1)*5+2))*(1+BK$7)^INDEX($Q527:$AJ527,1,(BK$4-1)*5+1)*(BK397/BJ397)^INDEX($Q527:$AJ527,1,(BK$4-1)*5+2)*(BK397/BJ397)^(INDEX($Q527:$AJ527,1,(BK$4-1)*5+3)*(1+INDEX($Q527:$AJ527,1,(BK$4-1)*5+2)))</f>
        <v/>
      </c>
      <c r="BL527" s="25">
        <f>BK527*(1/(1+INDEX($Q527:$AJ527,1,(BL$4-1)*5+4)))^(1+INDEX($Q527:$AJ527,1,(BL$4-1)*5+2))*(1+BL$7)^INDEX($Q527:$AJ527,1,(BL$4-1)*5+1)*(BL397/BK397)^INDEX($Q527:$AJ527,1,(BL$4-1)*5+2)*(BL397/BK397)^(INDEX($Q527:$AJ527,1,(BL$4-1)*5+3)*(1+INDEX($Q527:$AJ527,1,(BL$4-1)*5+2)))</f>
        <v/>
      </c>
      <c r="BM527" s="25">
        <f>BL527*(1/(1+INDEX($Q527:$AJ527,1,(BM$4-1)*5+4)))^(1+INDEX($Q527:$AJ527,1,(BM$4-1)*5+2))*(1+BM$7)^INDEX($Q527:$AJ527,1,(BM$4-1)*5+1)*(BM397/BL397)^INDEX($Q527:$AJ527,1,(BM$4-1)*5+2)*(BM397/BL397)^(INDEX($Q527:$AJ527,1,(BM$4-1)*5+3)*(1+INDEX($Q527:$AJ527,1,(BM$4-1)*5+2)))</f>
        <v/>
      </c>
      <c r="BN527" s="25">
        <f>BM527*(1/(1+INDEX($Q527:$AJ527,1,(BN$4-1)*5+4)))^(1+INDEX($Q527:$AJ527,1,(BN$4-1)*5+2))*(1+BN$7)^INDEX($Q527:$AJ527,1,(BN$4-1)*5+1)*(BN397/BM397)^INDEX($Q527:$AJ527,1,(BN$4-1)*5+2)*(BN397/BM397)^(INDEX($Q527:$AJ527,1,(BN$4-1)*5+3)*(1+INDEX($Q527:$AJ527,1,(BN$4-1)*5+2)))</f>
        <v/>
      </c>
    </row>
    <row r="528">
      <c r="B528" s="5" t="inlineStr">
        <is>
          <t>bio</t>
        </is>
      </c>
      <c r="C528" s="5" t="inlineStr">
        <is>
          <t>oen</t>
        </is>
      </c>
      <c r="D528" s="5" t="inlineStr">
        <is>
          <t>Fuel use | Other energy use | Biomass</t>
        </is>
      </c>
      <c r="E528" s="5" t="inlineStr">
        <is>
          <t>ktoe</t>
        </is>
      </c>
      <c r="F528" s="5" t="inlineStr">
        <is>
          <t>EnergyCons (base year), Elasticities</t>
        </is>
      </c>
      <c r="G528" s="19" t="inlineStr">
        <is>
          <t>mit.enc.bio.oen</t>
        </is>
      </c>
      <c r="H528" s="19" t="inlineStr">
        <is>
          <t>mit.enc.bio.oen</t>
        </is>
      </c>
      <c r="J528" s="5">
        <f>INDEX(Mapping!$C$5:$C$20,MATCH($C528,Mapping!$A$5:$A$20,0))</f>
        <v/>
      </c>
      <c r="K528" s="5">
        <f>INDEX(Mapping!$D$5:$D$20,MATCH($C528,Mapping!$A$5:$A$20,0))</f>
        <v/>
      </c>
      <c r="L528" s="5">
        <f>INDEX(Mapping!$C$24:$C$31,MATCH($B528,Mapping!$A$24:$A$31,0))</f>
        <v/>
      </c>
      <c r="M528" s="5">
        <f>INDEX(Mapping!$D$24:$D$31,MATCH($B528,Mapping!$A$24:$A$31,0))</f>
        <v/>
      </c>
      <c r="N528" s="5">
        <f>$B528&amp;"."&amp;IF(INDEX(Mapping!$E$24:$E$31,MATCH($B528,Mapping!$A$24:$A$31,0))="sub",INDEX(Mapping!$F$5:$F$20,MATCH($C528,Mapping!$A$5:$A$20,0)),"all")</f>
        <v/>
      </c>
      <c r="O528" s="5">
        <f>INDEX(Mapping!$E$5:$E$20,MATCH($C528,Mapping!$A$5:$A$20,0))</f>
        <v/>
      </c>
      <c r="P528" s="5">
        <f>INDEX(Mapping!$G$24:$G$31,MATCH($B528,Mapping!$A$24:$A$31,0))</f>
        <v/>
      </c>
      <c r="Q528" s="22">
        <f>INDEX(Elasticities!$F$4:$I$200,MATCH("inc|"&amp;$L528&amp;"|"&amp;$K528,Elasticities!$A$4:$A$200,0),MATCH(Settings!$C$6,Elasticities!$F$3:$I$3,0))</f>
        <v/>
      </c>
      <c r="R528" s="22">
        <f>INDEX(Elasticities!$F$4:$I$200,MATCH("usg|"&amp;$L528&amp;"|"&amp;$K528,Elasticities!$A$4:$A$200,0),MATCH(Settings!$C$6,Elasticities!$F$3:$I$3,0))</f>
        <v/>
      </c>
      <c r="S528" s="22">
        <f>INDEX(Elasticities!$F$4:$I$200,MATCH("eff|"&amp;$L528&amp;"|"&amp;$K528,Elasticities!$A$4:$A$200,0),MATCH(Settings!$C$6,Elasticities!$F$3:$I$3,0))</f>
        <v/>
      </c>
      <c r="T528" s="22">
        <f>INDEX(Elasticities!$F$4:$I$200,MATCH("aei|"&amp;$M528&amp;"|"&amp;$K528,Elasticities!$A$4:$A$200,0),MATCH(Settings!$C$6,Elasticities!$F$3:$I$3,0))</f>
        <v/>
      </c>
      <c r="U528" s="21" t="n"/>
      <c r="V528" s="22">
        <f>Q528</f>
        <v/>
      </c>
      <c r="W528" s="22">
        <f>R528</f>
        <v/>
      </c>
      <c r="X528" s="22">
        <f>S528</f>
        <v/>
      </c>
      <c r="Y528" s="22">
        <f>T528</f>
        <v/>
      </c>
      <c r="Z528" s="21" t="n"/>
      <c r="AA528" s="22">
        <f>Q528</f>
        <v/>
      </c>
      <c r="AB528" s="22">
        <f>R528</f>
        <v/>
      </c>
      <c r="AC528" s="22">
        <f>S528</f>
        <v/>
      </c>
      <c r="AD528" s="22">
        <f>T528</f>
        <v/>
      </c>
      <c r="AE528" s="21" t="n"/>
      <c r="AF528" s="22">
        <f>Q528</f>
        <v/>
      </c>
      <c r="AG528" s="22">
        <f>R528</f>
        <v/>
      </c>
      <c r="AH528" s="22">
        <f>S528</f>
        <v/>
      </c>
      <c r="AI528" s="22">
        <f>T528</f>
        <v/>
      </c>
      <c r="AJ528" s="21" t="n"/>
      <c r="AL528" s="24">
        <f>INDEX(EnergyCons!$F$4:$F$5000,MATCH(Settings!$C$4&amp;"|"&amp;AL$5&amp;"|"&amp;$C528&amp;"|"&amp;$B528,EnergyCons!$A$4:$A$5000,0))</f>
        <v/>
      </c>
      <c r="AM528" s="25">
        <f>AL528*(1/(1+INDEX($Q528:$AJ528,1,(AM$4-1)*5+4)))^(1+INDEX($Q528:$AJ528,1,(AM$4-1)*5+2))*(1+AM$7)^INDEX($Q528:$AJ528,1,(AM$4-1)*5+1)*(AM398/AL398)^INDEX($Q528:$AJ528,1,(AM$4-1)*5+2)*(AM398/AL398)^(INDEX($Q528:$AJ528,1,(AM$4-1)*5+3)*(1+INDEX($Q528:$AJ528,1,(AM$4-1)*5+2)))</f>
        <v/>
      </c>
      <c r="AN528" s="25">
        <f>AM528*(1/(1+INDEX($Q528:$AJ528,1,(AN$4-1)*5+4)))^(1+INDEX($Q528:$AJ528,1,(AN$4-1)*5+2))*(1+AN$7)^INDEX($Q528:$AJ528,1,(AN$4-1)*5+1)*(AN398/AM398)^INDEX($Q528:$AJ528,1,(AN$4-1)*5+2)*(AN398/AM398)^(INDEX($Q528:$AJ528,1,(AN$4-1)*5+3)*(1+INDEX($Q528:$AJ528,1,(AN$4-1)*5+2)))</f>
        <v/>
      </c>
      <c r="AO528" s="25">
        <f>AN528*(1/(1+INDEX($Q528:$AJ528,1,(AO$4-1)*5+4)))^(1+INDEX($Q528:$AJ528,1,(AO$4-1)*5+2))*(1+AO$7)^INDEX($Q528:$AJ528,1,(AO$4-1)*5+1)*(AO398/AN398)^INDEX($Q528:$AJ528,1,(AO$4-1)*5+2)*(AO398/AN398)^(INDEX($Q528:$AJ528,1,(AO$4-1)*5+3)*(1+INDEX($Q528:$AJ528,1,(AO$4-1)*5+2)))</f>
        <v/>
      </c>
      <c r="AP528" s="25">
        <f>AO528*(1/(1+INDEX($Q528:$AJ528,1,(AP$4-1)*5+4)))^(1+INDEX($Q528:$AJ528,1,(AP$4-1)*5+2))*(1+AP$7)^INDEX($Q528:$AJ528,1,(AP$4-1)*5+1)*(AP398/AO398)^INDEX($Q528:$AJ528,1,(AP$4-1)*5+2)*(AP398/AO398)^(INDEX($Q528:$AJ528,1,(AP$4-1)*5+3)*(1+INDEX($Q528:$AJ528,1,(AP$4-1)*5+2)))</f>
        <v/>
      </c>
      <c r="AQ528" s="25">
        <f>AP528*(1/(1+INDEX($Q528:$AJ528,1,(AQ$4-1)*5+4)))^(1+INDEX($Q528:$AJ528,1,(AQ$4-1)*5+2))*(1+AQ$7)^INDEX($Q528:$AJ528,1,(AQ$4-1)*5+1)*(AQ398/AP398)^INDEX($Q528:$AJ528,1,(AQ$4-1)*5+2)*(AQ398/AP398)^(INDEX($Q528:$AJ528,1,(AQ$4-1)*5+3)*(1+INDEX($Q528:$AJ528,1,(AQ$4-1)*5+2)))</f>
        <v/>
      </c>
      <c r="AR528" s="25">
        <f>AQ528*(1/(1+INDEX($Q528:$AJ528,1,(AR$4-1)*5+4)))^(1+INDEX($Q528:$AJ528,1,(AR$4-1)*5+2))*(1+AR$7)^INDEX($Q528:$AJ528,1,(AR$4-1)*5+1)*(AR398/AQ398)^INDEX($Q528:$AJ528,1,(AR$4-1)*5+2)*(AR398/AQ398)^(INDEX($Q528:$AJ528,1,(AR$4-1)*5+3)*(1+INDEX($Q528:$AJ528,1,(AR$4-1)*5+2)))</f>
        <v/>
      </c>
      <c r="AS528" s="25">
        <f>AR528*(1/(1+INDEX($Q528:$AJ528,1,(AS$4-1)*5+4)))^(1+INDEX($Q528:$AJ528,1,(AS$4-1)*5+2))*(1+AS$7)^INDEX($Q528:$AJ528,1,(AS$4-1)*5+1)*(AS398/AR398)^INDEX($Q528:$AJ528,1,(AS$4-1)*5+2)*(AS398/AR398)^(INDEX($Q528:$AJ528,1,(AS$4-1)*5+3)*(1+INDEX($Q528:$AJ528,1,(AS$4-1)*5+2)))</f>
        <v/>
      </c>
      <c r="AT528" s="25">
        <f>AS528*(1/(1+INDEX($Q528:$AJ528,1,(AT$4-1)*5+4)))^(1+INDEX($Q528:$AJ528,1,(AT$4-1)*5+2))*(1+AT$7)^INDEX($Q528:$AJ528,1,(AT$4-1)*5+1)*(AT398/AS398)^INDEX($Q528:$AJ528,1,(AT$4-1)*5+2)*(AT398/AS398)^(INDEX($Q528:$AJ528,1,(AT$4-1)*5+3)*(1+INDEX($Q528:$AJ528,1,(AT$4-1)*5+2)))</f>
        <v/>
      </c>
      <c r="AU528" s="25">
        <f>AT528*(1/(1+INDEX($Q528:$AJ528,1,(AU$4-1)*5+4)))^(1+INDEX($Q528:$AJ528,1,(AU$4-1)*5+2))*(1+AU$7)^INDEX($Q528:$AJ528,1,(AU$4-1)*5+1)*(AU398/AT398)^INDEX($Q528:$AJ528,1,(AU$4-1)*5+2)*(AU398/AT398)^(INDEX($Q528:$AJ528,1,(AU$4-1)*5+3)*(1+INDEX($Q528:$AJ528,1,(AU$4-1)*5+2)))</f>
        <v/>
      </c>
      <c r="AV528" s="25">
        <f>AU528*(1/(1+INDEX($Q528:$AJ528,1,(AV$4-1)*5+4)))^(1+INDEX($Q528:$AJ528,1,(AV$4-1)*5+2))*(1+AV$7)^INDEX($Q528:$AJ528,1,(AV$4-1)*5+1)*(AV398/AU398)^INDEX($Q528:$AJ528,1,(AV$4-1)*5+2)*(AV398/AU398)^(INDEX($Q528:$AJ528,1,(AV$4-1)*5+3)*(1+INDEX($Q528:$AJ528,1,(AV$4-1)*5+2)))</f>
        <v/>
      </c>
      <c r="AW528" s="25">
        <f>AV528*(1/(1+INDEX($Q528:$AJ528,1,(AW$4-1)*5+4)))^(1+INDEX($Q528:$AJ528,1,(AW$4-1)*5+2))*(1+AW$7)^INDEX($Q528:$AJ528,1,(AW$4-1)*5+1)*(AW398/AV398)^INDEX($Q528:$AJ528,1,(AW$4-1)*5+2)*(AW398/AV398)^(INDEX($Q528:$AJ528,1,(AW$4-1)*5+3)*(1+INDEX($Q528:$AJ528,1,(AW$4-1)*5+2)))</f>
        <v/>
      </c>
      <c r="AX528" s="25">
        <f>AW528*(1/(1+INDEX($Q528:$AJ528,1,(AX$4-1)*5+4)))^(1+INDEX($Q528:$AJ528,1,(AX$4-1)*5+2))*(1+AX$7)^INDEX($Q528:$AJ528,1,(AX$4-1)*5+1)*(AX398/AW398)^INDEX($Q528:$AJ528,1,(AX$4-1)*5+2)*(AX398/AW398)^(INDEX($Q528:$AJ528,1,(AX$4-1)*5+3)*(1+INDEX($Q528:$AJ528,1,(AX$4-1)*5+2)))</f>
        <v/>
      </c>
      <c r="AY528" s="25">
        <f>AX528*(1/(1+INDEX($Q528:$AJ528,1,(AY$4-1)*5+4)))^(1+INDEX($Q528:$AJ528,1,(AY$4-1)*5+2))*(1+AY$7)^INDEX($Q528:$AJ528,1,(AY$4-1)*5+1)*(AY398/AX398)^INDEX($Q528:$AJ528,1,(AY$4-1)*5+2)*(AY398/AX398)^(INDEX($Q528:$AJ528,1,(AY$4-1)*5+3)*(1+INDEX($Q528:$AJ528,1,(AY$4-1)*5+2)))</f>
        <v/>
      </c>
      <c r="BA528" s="24">
        <f>INDEX(EnergyCons!$F$4:$F$5000,MATCH(Settings!$C$4&amp;"|"&amp;BA$5&amp;"|"&amp;$C528&amp;"|"&amp;$B528,EnergyCons!$A$4:$A$5000,0))</f>
        <v/>
      </c>
      <c r="BB528" s="25">
        <f>BA528*(1/(1+INDEX($Q528:$AJ528,1,(BB$4-1)*5+4)))^(1+INDEX($Q528:$AJ528,1,(BB$4-1)*5+2))*(1+BB$7)^INDEX($Q528:$AJ528,1,(BB$4-1)*5+1)*(BB398/BA398)^INDEX($Q528:$AJ528,1,(BB$4-1)*5+2)*(BB398/BA398)^(INDEX($Q528:$AJ528,1,(BB$4-1)*5+3)*(1+INDEX($Q528:$AJ528,1,(BB$4-1)*5+2)))</f>
        <v/>
      </c>
      <c r="BC528" s="25">
        <f>BB528*(1/(1+INDEX($Q528:$AJ528,1,(BC$4-1)*5+4)))^(1+INDEX($Q528:$AJ528,1,(BC$4-1)*5+2))*(1+BC$7)^INDEX($Q528:$AJ528,1,(BC$4-1)*5+1)*(BC398/BB398)^INDEX($Q528:$AJ528,1,(BC$4-1)*5+2)*(BC398/BB398)^(INDEX($Q528:$AJ528,1,(BC$4-1)*5+3)*(1+INDEX($Q528:$AJ528,1,(BC$4-1)*5+2)))</f>
        <v/>
      </c>
      <c r="BD528" s="25">
        <f>BC528*(1/(1+INDEX($Q528:$AJ528,1,(BD$4-1)*5+4)))^(1+INDEX($Q528:$AJ528,1,(BD$4-1)*5+2))*(1+BD$7)^INDEX($Q528:$AJ528,1,(BD$4-1)*5+1)*(BD398/BC398)^INDEX($Q528:$AJ528,1,(BD$4-1)*5+2)*(BD398/BC398)^(INDEX($Q528:$AJ528,1,(BD$4-1)*5+3)*(1+INDEX($Q528:$AJ528,1,(BD$4-1)*5+2)))</f>
        <v/>
      </c>
      <c r="BE528" s="25">
        <f>BD528*(1/(1+INDEX($Q528:$AJ528,1,(BE$4-1)*5+4)))^(1+INDEX($Q528:$AJ528,1,(BE$4-1)*5+2))*(1+BE$7)^INDEX($Q528:$AJ528,1,(BE$4-1)*5+1)*(BE398/BD398)^INDEX($Q528:$AJ528,1,(BE$4-1)*5+2)*(BE398/BD398)^(INDEX($Q528:$AJ528,1,(BE$4-1)*5+3)*(1+INDEX($Q528:$AJ528,1,(BE$4-1)*5+2)))</f>
        <v/>
      </c>
      <c r="BF528" s="25">
        <f>BE528*(1/(1+INDEX($Q528:$AJ528,1,(BF$4-1)*5+4)))^(1+INDEX($Q528:$AJ528,1,(BF$4-1)*5+2))*(1+BF$7)^INDEX($Q528:$AJ528,1,(BF$4-1)*5+1)*(BF398/BE398)^INDEX($Q528:$AJ528,1,(BF$4-1)*5+2)*(BF398/BE398)^(INDEX($Q528:$AJ528,1,(BF$4-1)*5+3)*(1+INDEX($Q528:$AJ528,1,(BF$4-1)*5+2)))</f>
        <v/>
      </c>
      <c r="BG528" s="25">
        <f>BF528*(1/(1+INDEX($Q528:$AJ528,1,(BG$4-1)*5+4)))^(1+INDEX($Q528:$AJ528,1,(BG$4-1)*5+2))*(1+BG$7)^INDEX($Q528:$AJ528,1,(BG$4-1)*5+1)*(BG398/BF398)^INDEX($Q528:$AJ528,1,(BG$4-1)*5+2)*(BG398/BF398)^(INDEX($Q528:$AJ528,1,(BG$4-1)*5+3)*(1+INDEX($Q528:$AJ528,1,(BG$4-1)*5+2)))</f>
        <v/>
      </c>
      <c r="BH528" s="25">
        <f>BG528*(1/(1+INDEX($Q528:$AJ528,1,(BH$4-1)*5+4)))^(1+INDEX($Q528:$AJ528,1,(BH$4-1)*5+2))*(1+BH$7)^INDEX($Q528:$AJ528,1,(BH$4-1)*5+1)*(BH398/BG398)^INDEX($Q528:$AJ528,1,(BH$4-1)*5+2)*(BH398/BG398)^(INDEX($Q528:$AJ528,1,(BH$4-1)*5+3)*(1+INDEX($Q528:$AJ528,1,(BH$4-1)*5+2)))</f>
        <v/>
      </c>
      <c r="BI528" s="25">
        <f>BH528*(1/(1+INDEX($Q528:$AJ528,1,(BI$4-1)*5+4)))^(1+INDEX($Q528:$AJ528,1,(BI$4-1)*5+2))*(1+BI$7)^INDEX($Q528:$AJ528,1,(BI$4-1)*5+1)*(BI398/BH398)^INDEX($Q528:$AJ528,1,(BI$4-1)*5+2)*(BI398/BH398)^(INDEX($Q528:$AJ528,1,(BI$4-1)*5+3)*(1+INDEX($Q528:$AJ528,1,(BI$4-1)*5+2)))</f>
        <v/>
      </c>
      <c r="BJ528" s="25">
        <f>BI528*(1/(1+INDEX($Q528:$AJ528,1,(BJ$4-1)*5+4)))^(1+INDEX($Q528:$AJ528,1,(BJ$4-1)*5+2))*(1+BJ$7)^INDEX($Q528:$AJ528,1,(BJ$4-1)*5+1)*(BJ398/BI398)^INDEX($Q528:$AJ528,1,(BJ$4-1)*5+2)*(BJ398/BI398)^(INDEX($Q528:$AJ528,1,(BJ$4-1)*5+3)*(1+INDEX($Q528:$AJ528,1,(BJ$4-1)*5+2)))</f>
        <v/>
      </c>
      <c r="BK528" s="25">
        <f>BJ528*(1/(1+INDEX($Q528:$AJ528,1,(BK$4-1)*5+4)))^(1+INDEX($Q528:$AJ528,1,(BK$4-1)*5+2))*(1+BK$7)^INDEX($Q528:$AJ528,1,(BK$4-1)*5+1)*(BK398/BJ398)^INDEX($Q528:$AJ528,1,(BK$4-1)*5+2)*(BK398/BJ398)^(INDEX($Q528:$AJ528,1,(BK$4-1)*5+3)*(1+INDEX($Q528:$AJ528,1,(BK$4-1)*5+2)))</f>
        <v/>
      </c>
      <c r="BL528" s="25">
        <f>BK528*(1/(1+INDEX($Q528:$AJ528,1,(BL$4-1)*5+4)))^(1+INDEX($Q528:$AJ528,1,(BL$4-1)*5+2))*(1+BL$7)^INDEX($Q528:$AJ528,1,(BL$4-1)*5+1)*(BL398/BK398)^INDEX($Q528:$AJ528,1,(BL$4-1)*5+2)*(BL398/BK398)^(INDEX($Q528:$AJ528,1,(BL$4-1)*5+3)*(1+INDEX($Q528:$AJ528,1,(BL$4-1)*5+2)))</f>
        <v/>
      </c>
      <c r="BM528" s="25">
        <f>BL528*(1/(1+INDEX($Q528:$AJ528,1,(BM$4-1)*5+4)))^(1+INDEX($Q528:$AJ528,1,(BM$4-1)*5+2))*(1+BM$7)^INDEX($Q528:$AJ528,1,(BM$4-1)*5+1)*(BM398/BL398)^INDEX($Q528:$AJ528,1,(BM$4-1)*5+2)*(BM398/BL398)^(INDEX($Q528:$AJ528,1,(BM$4-1)*5+3)*(1+INDEX($Q528:$AJ528,1,(BM$4-1)*5+2)))</f>
        <v/>
      </c>
      <c r="BN528" s="25">
        <f>BM528*(1/(1+INDEX($Q528:$AJ528,1,(BN$4-1)*5+4)))^(1+INDEX($Q528:$AJ528,1,(BN$4-1)*5+2))*(1+BN$7)^INDEX($Q528:$AJ528,1,(BN$4-1)*5+1)*(BN398/BM398)^INDEX($Q528:$AJ528,1,(BN$4-1)*5+2)*(BN398/BM398)^(INDEX($Q528:$AJ528,1,(BN$4-1)*5+3)*(1+INDEX($Q528:$AJ528,1,(BN$4-1)*5+2)))</f>
        <v/>
      </c>
    </row>
    <row r="530">
      <c r="A530" s="9" t="inlineStr">
        <is>
          <t>Totals - fuel use (ktoe)</t>
        </is>
      </c>
      <c r="B530" s="10" t="n"/>
      <c r="C530" s="10" t="n"/>
      <c r="D530" s="10" t="n"/>
      <c r="E530" s="10" t="n"/>
      <c r="F530" s="10" t="n"/>
      <c r="G530" s="10" t="n"/>
      <c r="H530" s="10" t="n"/>
      <c r="I530" s="10" t="n"/>
      <c r="J530" s="10" t="n"/>
      <c r="K530" s="10" t="n"/>
      <c r="L530" s="10" t="n"/>
      <c r="M530" s="10" t="n"/>
      <c r="N530" s="10" t="n"/>
      <c r="O530" s="10" t="n"/>
      <c r="P530" s="10" t="n"/>
      <c r="Q530" s="10" t="n"/>
      <c r="R530" s="10" t="n"/>
      <c r="S530" s="10" t="n"/>
      <c r="T530" s="10" t="n"/>
      <c r="U530" s="10" t="n"/>
      <c r="V530" s="10" t="n"/>
      <c r="W530" s="10" t="n"/>
      <c r="X530" s="10" t="n"/>
      <c r="Y530" s="10" t="n"/>
      <c r="Z530" s="10" t="n"/>
      <c r="AA530" s="10" t="n"/>
      <c r="AB530" s="10" t="n"/>
      <c r="AC530" s="10" t="n"/>
      <c r="AD530" s="10" t="n"/>
      <c r="AE530" s="10" t="n"/>
      <c r="AF530" s="10" t="n"/>
      <c r="AG530" s="10" t="n"/>
      <c r="AH530" s="10" t="n"/>
      <c r="AI530" s="10" t="n"/>
      <c r="AJ530" s="10" t="n"/>
      <c r="AK530" s="10" t="n"/>
      <c r="AL530" s="10" t="n"/>
      <c r="AM530" s="10" t="n"/>
      <c r="AN530" s="10" t="n"/>
      <c r="AO530" s="10" t="n"/>
      <c r="AP530" s="10" t="n"/>
      <c r="AQ530" s="10" t="n"/>
      <c r="AR530" s="10" t="n"/>
      <c r="AS530" s="10" t="n"/>
      <c r="AT530" s="10" t="n"/>
      <c r="AU530" s="10" t="n"/>
      <c r="AV530" s="10" t="n"/>
      <c r="AW530" s="10" t="n"/>
      <c r="AX530" s="10" t="n"/>
      <c r="AY530" s="10" t="n"/>
      <c r="AZ530" s="10" t="n"/>
      <c r="BA530" s="10" t="n"/>
      <c r="BB530" s="10" t="n"/>
      <c r="BC530" s="10" t="n"/>
      <c r="BD530" s="10" t="n"/>
      <c r="BE530" s="10" t="n"/>
      <c r="BF530" s="10" t="n"/>
      <c r="BG530" s="10" t="n"/>
      <c r="BH530" s="10" t="n"/>
      <c r="BI530" s="10" t="n"/>
      <c r="BJ530" s="10" t="n"/>
      <c r="BK530" s="10" t="n"/>
      <c r="BL530" s="10" t="n"/>
      <c r="BM530" s="10" t="n"/>
      <c r="BN530" s="10" t="n"/>
    </row>
    <row r="531">
      <c r="B531" s="5" t="inlineStr">
        <is>
          <t>all</t>
        </is>
      </c>
      <c r="C531" s="5" t="inlineStr">
        <is>
          <t>rod</t>
        </is>
      </c>
      <c r="D531" s="5" t="inlineStr">
        <is>
          <t>Total fuel use | Road</t>
        </is>
      </c>
      <c r="E531" s="5" t="inlineStr">
        <is>
          <t>ktoe</t>
        </is>
      </c>
      <c r="H531" s="19" t="inlineStr">
        <is>
          <t>mit.enc.all.rod</t>
        </is>
      </c>
      <c r="AL531" s="24">
        <f>SUMIF($C$401:$C$528,$C531,AL$401:AL$528)</f>
        <v/>
      </c>
      <c r="AM531" s="25">
        <f>SUMIF($C$401:$C$528,$C531,AM$401:AM$528)</f>
        <v/>
      </c>
      <c r="AN531" s="25">
        <f>SUMIF($C$401:$C$528,$C531,AN$401:AN$528)</f>
        <v/>
      </c>
      <c r="AO531" s="25">
        <f>SUMIF($C$401:$C$528,$C531,AO$401:AO$528)</f>
        <v/>
      </c>
      <c r="AP531" s="25">
        <f>SUMIF($C$401:$C$528,$C531,AP$401:AP$528)</f>
        <v/>
      </c>
      <c r="AQ531" s="25">
        <f>SUMIF($C$401:$C$528,$C531,AQ$401:AQ$528)</f>
        <v/>
      </c>
      <c r="AR531" s="25">
        <f>SUMIF($C$401:$C$528,$C531,AR$401:AR$528)</f>
        <v/>
      </c>
      <c r="AS531" s="25">
        <f>SUMIF($C$401:$C$528,$C531,AS$401:AS$528)</f>
        <v/>
      </c>
      <c r="AT531" s="25">
        <f>SUMIF($C$401:$C$528,$C531,AT$401:AT$528)</f>
        <v/>
      </c>
      <c r="AU531" s="25">
        <f>SUMIF($C$401:$C$528,$C531,AU$401:AU$528)</f>
        <v/>
      </c>
      <c r="AV531" s="25">
        <f>SUMIF($C$401:$C$528,$C531,AV$401:AV$528)</f>
        <v/>
      </c>
      <c r="AW531" s="25">
        <f>SUMIF($C$401:$C$528,$C531,AW$401:AW$528)</f>
        <v/>
      </c>
      <c r="AX531" s="25">
        <f>SUMIF($C$401:$C$528,$C531,AX$401:AX$528)</f>
        <v/>
      </c>
      <c r="AY531" s="25">
        <f>SUMIF($C$401:$C$528,$C531,AY$401:AY$528)</f>
        <v/>
      </c>
      <c r="BA531" s="24">
        <f>SUMIF($C$401:$C$528,$C531,BA$401:BA$528)</f>
        <v/>
      </c>
      <c r="BB531" s="25">
        <f>SUMIF($C$401:$C$528,$C531,BB$401:BB$528)</f>
        <v/>
      </c>
      <c r="BC531" s="25">
        <f>SUMIF($C$401:$C$528,$C531,BC$401:BC$528)</f>
        <v/>
      </c>
      <c r="BD531" s="25">
        <f>SUMIF($C$401:$C$528,$C531,BD$401:BD$528)</f>
        <v/>
      </c>
      <c r="BE531" s="25">
        <f>SUMIF($C$401:$C$528,$C531,BE$401:BE$528)</f>
        <v/>
      </c>
      <c r="BF531" s="25">
        <f>SUMIF($C$401:$C$528,$C531,BF$401:BF$528)</f>
        <v/>
      </c>
      <c r="BG531" s="25">
        <f>SUMIF($C$401:$C$528,$C531,BG$401:BG$528)</f>
        <v/>
      </c>
      <c r="BH531" s="25">
        <f>SUMIF($C$401:$C$528,$C531,BH$401:BH$528)</f>
        <v/>
      </c>
      <c r="BI531" s="25">
        <f>SUMIF($C$401:$C$528,$C531,BI$401:BI$528)</f>
        <v/>
      </c>
      <c r="BJ531" s="25">
        <f>SUMIF($C$401:$C$528,$C531,BJ$401:BJ$528)</f>
        <v/>
      </c>
      <c r="BK531" s="25">
        <f>SUMIF($C$401:$C$528,$C531,BK$401:BK$528)</f>
        <v/>
      </c>
      <c r="BL531" s="25">
        <f>SUMIF($C$401:$C$528,$C531,BL$401:BL$528)</f>
        <v/>
      </c>
      <c r="BM531" s="25">
        <f>SUMIF($C$401:$C$528,$C531,BM$401:BM$528)</f>
        <v/>
      </c>
      <c r="BN531" s="25">
        <f>SUMIF($C$401:$C$528,$C531,BN$401:BN$528)</f>
        <v/>
      </c>
    </row>
    <row r="532">
      <c r="B532" s="5" t="inlineStr">
        <is>
          <t>all</t>
        </is>
      </c>
      <c r="C532" s="5" t="inlineStr">
        <is>
          <t>ral</t>
        </is>
      </c>
      <c r="D532" s="5" t="inlineStr">
        <is>
          <t>Total fuel use | Rail</t>
        </is>
      </c>
      <c r="E532" s="5" t="inlineStr">
        <is>
          <t>ktoe</t>
        </is>
      </c>
      <c r="H532" s="19" t="inlineStr">
        <is>
          <t>mit.enc.all.ral</t>
        </is>
      </c>
      <c r="AL532" s="24">
        <f>SUMIF($C$401:$C$528,$C532,AL$401:AL$528)</f>
        <v/>
      </c>
      <c r="AM532" s="25">
        <f>SUMIF($C$401:$C$528,$C532,AM$401:AM$528)</f>
        <v/>
      </c>
      <c r="AN532" s="25">
        <f>SUMIF($C$401:$C$528,$C532,AN$401:AN$528)</f>
        <v/>
      </c>
      <c r="AO532" s="25">
        <f>SUMIF($C$401:$C$528,$C532,AO$401:AO$528)</f>
        <v/>
      </c>
      <c r="AP532" s="25">
        <f>SUMIF($C$401:$C$528,$C532,AP$401:AP$528)</f>
        <v/>
      </c>
      <c r="AQ532" s="25">
        <f>SUMIF($C$401:$C$528,$C532,AQ$401:AQ$528)</f>
        <v/>
      </c>
      <c r="AR532" s="25">
        <f>SUMIF($C$401:$C$528,$C532,AR$401:AR$528)</f>
        <v/>
      </c>
      <c r="AS532" s="25">
        <f>SUMIF($C$401:$C$528,$C532,AS$401:AS$528)</f>
        <v/>
      </c>
      <c r="AT532" s="25">
        <f>SUMIF($C$401:$C$528,$C532,AT$401:AT$528)</f>
        <v/>
      </c>
      <c r="AU532" s="25">
        <f>SUMIF($C$401:$C$528,$C532,AU$401:AU$528)</f>
        <v/>
      </c>
      <c r="AV532" s="25">
        <f>SUMIF($C$401:$C$528,$C532,AV$401:AV$528)</f>
        <v/>
      </c>
      <c r="AW532" s="25">
        <f>SUMIF($C$401:$C$528,$C532,AW$401:AW$528)</f>
        <v/>
      </c>
      <c r="AX532" s="25">
        <f>SUMIF($C$401:$C$528,$C532,AX$401:AX$528)</f>
        <v/>
      </c>
      <c r="AY532" s="25">
        <f>SUMIF($C$401:$C$528,$C532,AY$401:AY$528)</f>
        <v/>
      </c>
      <c r="BA532" s="24">
        <f>SUMIF($C$401:$C$528,$C532,BA$401:BA$528)</f>
        <v/>
      </c>
      <c r="BB532" s="25">
        <f>SUMIF($C$401:$C$528,$C532,BB$401:BB$528)</f>
        <v/>
      </c>
      <c r="BC532" s="25">
        <f>SUMIF($C$401:$C$528,$C532,BC$401:BC$528)</f>
        <v/>
      </c>
      <c r="BD532" s="25">
        <f>SUMIF($C$401:$C$528,$C532,BD$401:BD$528)</f>
        <v/>
      </c>
      <c r="BE532" s="25">
        <f>SUMIF($C$401:$C$528,$C532,BE$401:BE$528)</f>
        <v/>
      </c>
      <c r="BF532" s="25">
        <f>SUMIF($C$401:$C$528,$C532,BF$401:BF$528)</f>
        <v/>
      </c>
      <c r="BG532" s="25">
        <f>SUMIF($C$401:$C$528,$C532,BG$401:BG$528)</f>
        <v/>
      </c>
      <c r="BH532" s="25">
        <f>SUMIF($C$401:$C$528,$C532,BH$401:BH$528)</f>
        <v/>
      </c>
      <c r="BI532" s="25">
        <f>SUMIF($C$401:$C$528,$C532,BI$401:BI$528)</f>
        <v/>
      </c>
      <c r="BJ532" s="25">
        <f>SUMIF($C$401:$C$528,$C532,BJ$401:BJ$528)</f>
        <v/>
      </c>
      <c r="BK532" s="25">
        <f>SUMIF($C$401:$C$528,$C532,BK$401:BK$528)</f>
        <v/>
      </c>
      <c r="BL532" s="25">
        <f>SUMIF($C$401:$C$528,$C532,BL$401:BL$528)</f>
        <v/>
      </c>
      <c r="BM532" s="25">
        <f>SUMIF($C$401:$C$528,$C532,BM$401:BM$528)</f>
        <v/>
      </c>
      <c r="BN532" s="25">
        <f>SUMIF($C$401:$C$528,$C532,BN$401:BN$528)</f>
        <v/>
      </c>
    </row>
    <row r="533">
      <c r="B533" s="5" t="inlineStr">
        <is>
          <t>all</t>
        </is>
      </c>
      <c r="C533" s="5" t="inlineStr">
        <is>
          <t>avi</t>
        </is>
      </c>
      <c r="D533" s="5" t="inlineStr">
        <is>
          <t>Total fuel use | Domestic aviation</t>
        </is>
      </c>
      <c r="E533" s="5" t="inlineStr">
        <is>
          <t>ktoe</t>
        </is>
      </c>
      <c r="H533" s="19" t="inlineStr">
        <is>
          <t>mit.enc.all.avi</t>
        </is>
      </c>
      <c r="AL533" s="24">
        <f>SUMIF($C$401:$C$528,$C533,AL$401:AL$528)</f>
        <v/>
      </c>
      <c r="AM533" s="25">
        <f>SUMIF($C$401:$C$528,$C533,AM$401:AM$528)</f>
        <v/>
      </c>
      <c r="AN533" s="25">
        <f>SUMIF($C$401:$C$528,$C533,AN$401:AN$528)</f>
        <v/>
      </c>
      <c r="AO533" s="25">
        <f>SUMIF($C$401:$C$528,$C533,AO$401:AO$528)</f>
        <v/>
      </c>
      <c r="AP533" s="25">
        <f>SUMIF($C$401:$C$528,$C533,AP$401:AP$528)</f>
        <v/>
      </c>
      <c r="AQ533" s="25">
        <f>SUMIF($C$401:$C$528,$C533,AQ$401:AQ$528)</f>
        <v/>
      </c>
      <c r="AR533" s="25">
        <f>SUMIF($C$401:$C$528,$C533,AR$401:AR$528)</f>
        <v/>
      </c>
      <c r="AS533" s="25">
        <f>SUMIF($C$401:$C$528,$C533,AS$401:AS$528)</f>
        <v/>
      </c>
      <c r="AT533" s="25">
        <f>SUMIF($C$401:$C$528,$C533,AT$401:AT$528)</f>
        <v/>
      </c>
      <c r="AU533" s="25">
        <f>SUMIF($C$401:$C$528,$C533,AU$401:AU$528)</f>
        <v/>
      </c>
      <c r="AV533" s="25">
        <f>SUMIF($C$401:$C$528,$C533,AV$401:AV$528)</f>
        <v/>
      </c>
      <c r="AW533" s="25">
        <f>SUMIF($C$401:$C$528,$C533,AW$401:AW$528)</f>
        <v/>
      </c>
      <c r="AX533" s="25">
        <f>SUMIF($C$401:$C$528,$C533,AX$401:AX$528)</f>
        <v/>
      </c>
      <c r="AY533" s="25">
        <f>SUMIF($C$401:$C$528,$C533,AY$401:AY$528)</f>
        <v/>
      </c>
      <c r="BA533" s="24">
        <f>SUMIF($C$401:$C$528,$C533,BA$401:BA$528)</f>
        <v/>
      </c>
      <c r="BB533" s="25">
        <f>SUMIF($C$401:$C$528,$C533,BB$401:BB$528)</f>
        <v/>
      </c>
      <c r="BC533" s="25">
        <f>SUMIF($C$401:$C$528,$C533,BC$401:BC$528)</f>
        <v/>
      </c>
      <c r="BD533" s="25">
        <f>SUMIF($C$401:$C$528,$C533,BD$401:BD$528)</f>
        <v/>
      </c>
      <c r="BE533" s="25">
        <f>SUMIF($C$401:$C$528,$C533,BE$401:BE$528)</f>
        <v/>
      </c>
      <c r="BF533" s="25">
        <f>SUMIF($C$401:$C$528,$C533,BF$401:BF$528)</f>
        <v/>
      </c>
      <c r="BG533" s="25">
        <f>SUMIF($C$401:$C$528,$C533,BG$401:BG$528)</f>
        <v/>
      </c>
      <c r="BH533" s="25">
        <f>SUMIF($C$401:$C$528,$C533,BH$401:BH$528)</f>
        <v/>
      </c>
      <c r="BI533" s="25">
        <f>SUMIF($C$401:$C$528,$C533,BI$401:BI$528)</f>
        <v/>
      </c>
      <c r="BJ533" s="25">
        <f>SUMIF($C$401:$C$528,$C533,BJ$401:BJ$528)</f>
        <v/>
      </c>
      <c r="BK533" s="25">
        <f>SUMIF($C$401:$C$528,$C533,BK$401:BK$528)</f>
        <v/>
      </c>
      <c r="BL533" s="25">
        <f>SUMIF($C$401:$C$528,$C533,BL$401:BL$528)</f>
        <v/>
      </c>
      <c r="BM533" s="25">
        <f>SUMIF($C$401:$C$528,$C533,BM$401:BM$528)</f>
        <v/>
      </c>
      <c r="BN533" s="25">
        <f>SUMIF($C$401:$C$528,$C533,BN$401:BN$528)</f>
        <v/>
      </c>
    </row>
    <row r="534">
      <c r="B534" s="5" t="inlineStr">
        <is>
          <t>all</t>
        </is>
      </c>
      <c r="C534" s="5" t="inlineStr">
        <is>
          <t>nav</t>
        </is>
      </c>
      <c r="D534" s="5" t="inlineStr">
        <is>
          <t>Total fuel use | Domestic navigation</t>
        </is>
      </c>
      <c r="E534" s="5" t="inlineStr">
        <is>
          <t>ktoe</t>
        </is>
      </c>
      <c r="H534" s="19" t="inlineStr">
        <is>
          <t>mit.enc.all.nav</t>
        </is>
      </c>
      <c r="AL534" s="24">
        <f>SUMIF($C$401:$C$528,$C534,AL$401:AL$528)</f>
        <v/>
      </c>
      <c r="AM534" s="25">
        <f>SUMIF($C$401:$C$528,$C534,AM$401:AM$528)</f>
        <v/>
      </c>
      <c r="AN534" s="25">
        <f>SUMIF($C$401:$C$528,$C534,AN$401:AN$528)</f>
        <v/>
      </c>
      <c r="AO534" s="25">
        <f>SUMIF($C$401:$C$528,$C534,AO$401:AO$528)</f>
        <v/>
      </c>
      <c r="AP534" s="25">
        <f>SUMIF($C$401:$C$528,$C534,AP$401:AP$528)</f>
        <v/>
      </c>
      <c r="AQ534" s="25">
        <f>SUMIF($C$401:$C$528,$C534,AQ$401:AQ$528)</f>
        <v/>
      </c>
      <c r="AR534" s="25">
        <f>SUMIF($C$401:$C$528,$C534,AR$401:AR$528)</f>
        <v/>
      </c>
      <c r="AS534" s="25">
        <f>SUMIF($C$401:$C$528,$C534,AS$401:AS$528)</f>
        <v/>
      </c>
      <c r="AT534" s="25">
        <f>SUMIF($C$401:$C$528,$C534,AT$401:AT$528)</f>
        <v/>
      </c>
      <c r="AU534" s="25">
        <f>SUMIF($C$401:$C$528,$C534,AU$401:AU$528)</f>
        <v/>
      </c>
      <c r="AV534" s="25">
        <f>SUMIF($C$401:$C$528,$C534,AV$401:AV$528)</f>
        <v/>
      </c>
      <c r="AW534" s="25">
        <f>SUMIF($C$401:$C$528,$C534,AW$401:AW$528)</f>
        <v/>
      </c>
      <c r="AX534" s="25">
        <f>SUMIF($C$401:$C$528,$C534,AX$401:AX$528)</f>
        <v/>
      </c>
      <c r="AY534" s="25">
        <f>SUMIF($C$401:$C$528,$C534,AY$401:AY$528)</f>
        <v/>
      </c>
      <c r="BA534" s="24">
        <f>SUMIF($C$401:$C$528,$C534,BA$401:BA$528)</f>
        <v/>
      </c>
      <c r="BB534" s="25">
        <f>SUMIF($C$401:$C$528,$C534,BB$401:BB$528)</f>
        <v/>
      </c>
      <c r="BC534" s="25">
        <f>SUMIF($C$401:$C$528,$C534,BC$401:BC$528)</f>
        <v/>
      </c>
      <c r="BD534" s="25">
        <f>SUMIF($C$401:$C$528,$C534,BD$401:BD$528)</f>
        <v/>
      </c>
      <c r="BE534" s="25">
        <f>SUMIF($C$401:$C$528,$C534,BE$401:BE$528)</f>
        <v/>
      </c>
      <c r="BF534" s="25">
        <f>SUMIF($C$401:$C$528,$C534,BF$401:BF$528)</f>
        <v/>
      </c>
      <c r="BG534" s="25">
        <f>SUMIF($C$401:$C$528,$C534,BG$401:BG$528)</f>
        <v/>
      </c>
      <c r="BH534" s="25">
        <f>SUMIF($C$401:$C$528,$C534,BH$401:BH$528)</f>
        <v/>
      </c>
      <c r="BI534" s="25">
        <f>SUMIF($C$401:$C$528,$C534,BI$401:BI$528)</f>
        <v/>
      </c>
      <c r="BJ534" s="25">
        <f>SUMIF($C$401:$C$528,$C534,BJ$401:BJ$528)</f>
        <v/>
      </c>
      <c r="BK534" s="25">
        <f>SUMIF($C$401:$C$528,$C534,BK$401:BK$528)</f>
        <v/>
      </c>
      <c r="BL534" s="25">
        <f>SUMIF($C$401:$C$528,$C534,BL$401:BL$528)</f>
        <v/>
      </c>
      <c r="BM534" s="25">
        <f>SUMIF($C$401:$C$528,$C534,BM$401:BM$528)</f>
        <v/>
      </c>
      <c r="BN534" s="25">
        <f>SUMIF($C$401:$C$528,$C534,BN$401:BN$528)</f>
        <v/>
      </c>
    </row>
    <row r="535">
      <c r="B535" s="5" t="inlineStr">
        <is>
          <t>all</t>
        </is>
      </c>
      <c r="C535" s="5" t="inlineStr">
        <is>
          <t>res</t>
        </is>
      </c>
      <c r="D535" s="5" t="inlineStr">
        <is>
          <t>Total fuel use | Residential</t>
        </is>
      </c>
      <c r="E535" s="5" t="inlineStr">
        <is>
          <t>ktoe</t>
        </is>
      </c>
      <c r="H535" s="19" t="inlineStr">
        <is>
          <t>mit.enc.all.res</t>
        </is>
      </c>
      <c r="AL535" s="24">
        <f>SUMIF($C$401:$C$528,$C535,AL$401:AL$528)</f>
        <v/>
      </c>
      <c r="AM535" s="25">
        <f>SUMIF($C$401:$C$528,$C535,AM$401:AM$528)</f>
        <v/>
      </c>
      <c r="AN535" s="25">
        <f>SUMIF($C$401:$C$528,$C535,AN$401:AN$528)</f>
        <v/>
      </c>
      <c r="AO535" s="25">
        <f>SUMIF($C$401:$C$528,$C535,AO$401:AO$528)</f>
        <v/>
      </c>
      <c r="AP535" s="25">
        <f>SUMIF($C$401:$C$528,$C535,AP$401:AP$528)</f>
        <v/>
      </c>
      <c r="AQ535" s="25">
        <f>SUMIF($C$401:$C$528,$C535,AQ$401:AQ$528)</f>
        <v/>
      </c>
      <c r="AR535" s="25">
        <f>SUMIF($C$401:$C$528,$C535,AR$401:AR$528)</f>
        <v/>
      </c>
      <c r="AS535" s="25">
        <f>SUMIF($C$401:$C$528,$C535,AS$401:AS$528)</f>
        <v/>
      </c>
      <c r="AT535" s="25">
        <f>SUMIF($C$401:$C$528,$C535,AT$401:AT$528)</f>
        <v/>
      </c>
      <c r="AU535" s="25">
        <f>SUMIF($C$401:$C$528,$C535,AU$401:AU$528)</f>
        <v/>
      </c>
      <c r="AV535" s="25">
        <f>SUMIF($C$401:$C$528,$C535,AV$401:AV$528)</f>
        <v/>
      </c>
      <c r="AW535" s="25">
        <f>SUMIF($C$401:$C$528,$C535,AW$401:AW$528)</f>
        <v/>
      </c>
      <c r="AX535" s="25">
        <f>SUMIF($C$401:$C$528,$C535,AX$401:AX$528)</f>
        <v/>
      </c>
      <c r="AY535" s="25">
        <f>SUMIF($C$401:$C$528,$C535,AY$401:AY$528)</f>
        <v/>
      </c>
      <c r="BA535" s="24">
        <f>SUMIF($C$401:$C$528,$C535,BA$401:BA$528)</f>
        <v/>
      </c>
      <c r="BB535" s="25">
        <f>SUMIF($C$401:$C$528,$C535,BB$401:BB$528)</f>
        <v/>
      </c>
      <c r="BC535" s="25">
        <f>SUMIF($C$401:$C$528,$C535,BC$401:BC$528)</f>
        <v/>
      </c>
      <c r="BD535" s="25">
        <f>SUMIF($C$401:$C$528,$C535,BD$401:BD$528)</f>
        <v/>
      </c>
      <c r="BE535" s="25">
        <f>SUMIF($C$401:$C$528,$C535,BE$401:BE$528)</f>
        <v/>
      </c>
      <c r="BF535" s="25">
        <f>SUMIF($C$401:$C$528,$C535,BF$401:BF$528)</f>
        <v/>
      </c>
      <c r="BG535" s="25">
        <f>SUMIF($C$401:$C$528,$C535,BG$401:BG$528)</f>
        <v/>
      </c>
      <c r="BH535" s="25">
        <f>SUMIF($C$401:$C$528,$C535,BH$401:BH$528)</f>
        <v/>
      </c>
      <c r="BI535" s="25">
        <f>SUMIF($C$401:$C$528,$C535,BI$401:BI$528)</f>
        <v/>
      </c>
      <c r="BJ535" s="25">
        <f>SUMIF($C$401:$C$528,$C535,BJ$401:BJ$528)</f>
        <v/>
      </c>
      <c r="BK535" s="25">
        <f>SUMIF($C$401:$C$528,$C535,BK$401:BK$528)</f>
        <v/>
      </c>
      <c r="BL535" s="25">
        <f>SUMIF($C$401:$C$528,$C535,BL$401:BL$528)</f>
        <v/>
      </c>
      <c r="BM535" s="25">
        <f>SUMIF($C$401:$C$528,$C535,BM$401:BM$528)</f>
        <v/>
      </c>
      <c r="BN535" s="25">
        <f>SUMIF($C$401:$C$528,$C535,BN$401:BN$528)</f>
        <v/>
      </c>
    </row>
    <row r="536">
      <c r="B536" s="5" t="inlineStr">
        <is>
          <t>all</t>
        </is>
      </c>
      <c r="C536" s="5" t="inlineStr">
        <is>
          <t>foo</t>
        </is>
      </c>
      <c r="D536" s="5" t="inlineStr">
        <is>
          <t>Total fuel use | Food &amp; forestry</t>
        </is>
      </c>
      <c r="E536" s="5" t="inlineStr">
        <is>
          <t>ktoe</t>
        </is>
      </c>
      <c r="H536" s="19" t="inlineStr">
        <is>
          <t>mit.enc.all.foo</t>
        </is>
      </c>
      <c r="AL536" s="24">
        <f>SUMIF($C$401:$C$528,$C536,AL$401:AL$528)</f>
        <v/>
      </c>
      <c r="AM536" s="25">
        <f>SUMIF($C$401:$C$528,$C536,AM$401:AM$528)</f>
        <v/>
      </c>
      <c r="AN536" s="25">
        <f>SUMIF($C$401:$C$528,$C536,AN$401:AN$528)</f>
        <v/>
      </c>
      <c r="AO536" s="25">
        <f>SUMIF($C$401:$C$528,$C536,AO$401:AO$528)</f>
        <v/>
      </c>
      <c r="AP536" s="25">
        <f>SUMIF($C$401:$C$528,$C536,AP$401:AP$528)</f>
        <v/>
      </c>
      <c r="AQ536" s="25">
        <f>SUMIF($C$401:$C$528,$C536,AQ$401:AQ$528)</f>
        <v/>
      </c>
      <c r="AR536" s="25">
        <f>SUMIF($C$401:$C$528,$C536,AR$401:AR$528)</f>
        <v/>
      </c>
      <c r="AS536" s="25">
        <f>SUMIF($C$401:$C$528,$C536,AS$401:AS$528)</f>
        <v/>
      </c>
      <c r="AT536" s="25">
        <f>SUMIF($C$401:$C$528,$C536,AT$401:AT$528)</f>
        <v/>
      </c>
      <c r="AU536" s="25">
        <f>SUMIF($C$401:$C$528,$C536,AU$401:AU$528)</f>
        <v/>
      </c>
      <c r="AV536" s="25">
        <f>SUMIF($C$401:$C$528,$C536,AV$401:AV$528)</f>
        <v/>
      </c>
      <c r="AW536" s="25">
        <f>SUMIF($C$401:$C$528,$C536,AW$401:AW$528)</f>
        <v/>
      </c>
      <c r="AX536" s="25">
        <f>SUMIF($C$401:$C$528,$C536,AX$401:AX$528)</f>
        <v/>
      </c>
      <c r="AY536" s="25">
        <f>SUMIF($C$401:$C$528,$C536,AY$401:AY$528)</f>
        <v/>
      </c>
      <c r="BA536" s="24">
        <f>SUMIF($C$401:$C$528,$C536,BA$401:BA$528)</f>
        <v/>
      </c>
      <c r="BB536" s="25">
        <f>SUMIF($C$401:$C$528,$C536,BB$401:BB$528)</f>
        <v/>
      </c>
      <c r="BC536" s="25">
        <f>SUMIF($C$401:$C$528,$C536,BC$401:BC$528)</f>
        <v/>
      </c>
      <c r="BD536" s="25">
        <f>SUMIF($C$401:$C$528,$C536,BD$401:BD$528)</f>
        <v/>
      </c>
      <c r="BE536" s="25">
        <f>SUMIF($C$401:$C$528,$C536,BE$401:BE$528)</f>
        <v/>
      </c>
      <c r="BF536" s="25">
        <f>SUMIF($C$401:$C$528,$C536,BF$401:BF$528)</f>
        <v/>
      </c>
      <c r="BG536" s="25">
        <f>SUMIF($C$401:$C$528,$C536,BG$401:BG$528)</f>
        <v/>
      </c>
      <c r="BH536" s="25">
        <f>SUMIF($C$401:$C$528,$C536,BH$401:BH$528)</f>
        <v/>
      </c>
      <c r="BI536" s="25">
        <f>SUMIF($C$401:$C$528,$C536,BI$401:BI$528)</f>
        <v/>
      </c>
      <c r="BJ536" s="25">
        <f>SUMIF($C$401:$C$528,$C536,BJ$401:BJ$528)</f>
        <v/>
      </c>
      <c r="BK536" s="25">
        <f>SUMIF($C$401:$C$528,$C536,BK$401:BK$528)</f>
        <v/>
      </c>
      <c r="BL536" s="25">
        <f>SUMIF($C$401:$C$528,$C536,BL$401:BL$528)</f>
        <v/>
      </c>
      <c r="BM536" s="25">
        <f>SUMIF($C$401:$C$528,$C536,BM$401:BM$528)</f>
        <v/>
      </c>
      <c r="BN536" s="25">
        <f>SUMIF($C$401:$C$528,$C536,BN$401:BN$528)</f>
        <v/>
      </c>
    </row>
    <row r="537">
      <c r="B537" s="5" t="inlineStr">
        <is>
          <t>all</t>
        </is>
      </c>
      <c r="C537" s="5" t="inlineStr">
        <is>
          <t>srv</t>
        </is>
      </c>
      <c r="D537" s="5" t="inlineStr">
        <is>
          <t>Total fuel use | Services (public &amp; private)</t>
        </is>
      </c>
      <c r="E537" s="5" t="inlineStr">
        <is>
          <t>ktoe</t>
        </is>
      </c>
      <c r="H537" s="19" t="inlineStr">
        <is>
          <t>mit.enc.all.srv</t>
        </is>
      </c>
      <c r="AL537" s="24">
        <f>SUMIF($C$401:$C$528,$C537,AL$401:AL$528)</f>
        <v/>
      </c>
      <c r="AM537" s="25">
        <f>SUMIF($C$401:$C$528,$C537,AM$401:AM$528)</f>
        <v/>
      </c>
      <c r="AN537" s="25">
        <f>SUMIF($C$401:$C$528,$C537,AN$401:AN$528)</f>
        <v/>
      </c>
      <c r="AO537" s="25">
        <f>SUMIF($C$401:$C$528,$C537,AO$401:AO$528)</f>
        <v/>
      </c>
      <c r="AP537" s="25">
        <f>SUMIF($C$401:$C$528,$C537,AP$401:AP$528)</f>
        <v/>
      </c>
      <c r="AQ537" s="25">
        <f>SUMIF($C$401:$C$528,$C537,AQ$401:AQ$528)</f>
        <v/>
      </c>
      <c r="AR537" s="25">
        <f>SUMIF($C$401:$C$528,$C537,AR$401:AR$528)</f>
        <v/>
      </c>
      <c r="AS537" s="25">
        <f>SUMIF($C$401:$C$528,$C537,AS$401:AS$528)</f>
        <v/>
      </c>
      <c r="AT537" s="25">
        <f>SUMIF($C$401:$C$528,$C537,AT$401:AT$528)</f>
        <v/>
      </c>
      <c r="AU537" s="25">
        <f>SUMIF($C$401:$C$528,$C537,AU$401:AU$528)</f>
        <v/>
      </c>
      <c r="AV537" s="25">
        <f>SUMIF($C$401:$C$528,$C537,AV$401:AV$528)</f>
        <v/>
      </c>
      <c r="AW537" s="25">
        <f>SUMIF($C$401:$C$528,$C537,AW$401:AW$528)</f>
        <v/>
      </c>
      <c r="AX537" s="25">
        <f>SUMIF($C$401:$C$528,$C537,AX$401:AX$528)</f>
        <v/>
      </c>
      <c r="AY537" s="25">
        <f>SUMIF($C$401:$C$528,$C537,AY$401:AY$528)</f>
        <v/>
      </c>
      <c r="BA537" s="24">
        <f>SUMIF($C$401:$C$528,$C537,BA$401:BA$528)</f>
        <v/>
      </c>
      <c r="BB537" s="25">
        <f>SUMIF($C$401:$C$528,$C537,BB$401:BB$528)</f>
        <v/>
      </c>
      <c r="BC537" s="25">
        <f>SUMIF($C$401:$C$528,$C537,BC$401:BC$528)</f>
        <v/>
      </c>
      <c r="BD537" s="25">
        <f>SUMIF($C$401:$C$528,$C537,BD$401:BD$528)</f>
        <v/>
      </c>
      <c r="BE537" s="25">
        <f>SUMIF($C$401:$C$528,$C537,BE$401:BE$528)</f>
        <v/>
      </c>
      <c r="BF537" s="25">
        <f>SUMIF($C$401:$C$528,$C537,BF$401:BF$528)</f>
        <v/>
      </c>
      <c r="BG537" s="25">
        <f>SUMIF($C$401:$C$528,$C537,BG$401:BG$528)</f>
        <v/>
      </c>
      <c r="BH537" s="25">
        <f>SUMIF($C$401:$C$528,$C537,BH$401:BH$528)</f>
        <v/>
      </c>
      <c r="BI537" s="25">
        <f>SUMIF($C$401:$C$528,$C537,BI$401:BI$528)</f>
        <v/>
      </c>
      <c r="BJ537" s="25">
        <f>SUMIF($C$401:$C$528,$C537,BJ$401:BJ$528)</f>
        <v/>
      </c>
      <c r="BK537" s="25">
        <f>SUMIF($C$401:$C$528,$C537,BK$401:BK$528)</f>
        <v/>
      </c>
      <c r="BL537" s="25">
        <f>SUMIF($C$401:$C$528,$C537,BL$401:BL$528)</f>
        <v/>
      </c>
      <c r="BM537" s="25">
        <f>SUMIF($C$401:$C$528,$C537,BM$401:BM$528)</f>
        <v/>
      </c>
      <c r="BN537" s="25">
        <f>SUMIF($C$401:$C$528,$C537,BN$401:BN$528)</f>
        <v/>
      </c>
    </row>
    <row r="538">
      <c r="B538" s="5" t="inlineStr">
        <is>
          <t>all</t>
        </is>
      </c>
      <c r="C538" s="5" t="inlineStr">
        <is>
          <t>mch</t>
        </is>
      </c>
      <c r="D538" s="5" t="inlineStr">
        <is>
          <t>Total fuel use | Mining &amp; chemicals</t>
        </is>
      </c>
      <c r="E538" s="5" t="inlineStr">
        <is>
          <t>ktoe</t>
        </is>
      </c>
      <c r="H538" s="19" t="inlineStr">
        <is>
          <t>mit.enc.all.mch</t>
        </is>
      </c>
      <c r="AL538" s="24">
        <f>SUMIF($C$401:$C$528,$C538,AL$401:AL$528)</f>
        <v/>
      </c>
      <c r="AM538" s="25">
        <f>SUMIF($C$401:$C$528,$C538,AM$401:AM$528)</f>
        <v/>
      </c>
      <c r="AN538" s="25">
        <f>SUMIF($C$401:$C$528,$C538,AN$401:AN$528)</f>
        <v/>
      </c>
      <c r="AO538" s="25">
        <f>SUMIF($C$401:$C$528,$C538,AO$401:AO$528)</f>
        <v/>
      </c>
      <c r="AP538" s="25">
        <f>SUMIF($C$401:$C$528,$C538,AP$401:AP$528)</f>
        <v/>
      </c>
      <c r="AQ538" s="25">
        <f>SUMIF($C$401:$C$528,$C538,AQ$401:AQ$528)</f>
        <v/>
      </c>
      <c r="AR538" s="25">
        <f>SUMIF($C$401:$C$528,$C538,AR$401:AR$528)</f>
        <v/>
      </c>
      <c r="AS538" s="25">
        <f>SUMIF($C$401:$C$528,$C538,AS$401:AS$528)</f>
        <v/>
      </c>
      <c r="AT538" s="25">
        <f>SUMIF($C$401:$C$528,$C538,AT$401:AT$528)</f>
        <v/>
      </c>
      <c r="AU538" s="25">
        <f>SUMIF($C$401:$C$528,$C538,AU$401:AU$528)</f>
        <v/>
      </c>
      <c r="AV538" s="25">
        <f>SUMIF($C$401:$C$528,$C538,AV$401:AV$528)</f>
        <v/>
      </c>
      <c r="AW538" s="25">
        <f>SUMIF($C$401:$C$528,$C538,AW$401:AW$528)</f>
        <v/>
      </c>
      <c r="AX538" s="25">
        <f>SUMIF($C$401:$C$528,$C538,AX$401:AX$528)</f>
        <v/>
      </c>
      <c r="AY538" s="25">
        <f>SUMIF($C$401:$C$528,$C538,AY$401:AY$528)</f>
        <v/>
      </c>
      <c r="BA538" s="24">
        <f>SUMIF($C$401:$C$528,$C538,BA$401:BA$528)</f>
        <v/>
      </c>
      <c r="BB538" s="25">
        <f>SUMIF($C$401:$C$528,$C538,BB$401:BB$528)</f>
        <v/>
      </c>
      <c r="BC538" s="25">
        <f>SUMIF($C$401:$C$528,$C538,BC$401:BC$528)</f>
        <v/>
      </c>
      <c r="BD538" s="25">
        <f>SUMIF($C$401:$C$528,$C538,BD$401:BD$528)</f>
        <v/>
      </c>
      <c r="BE538" s="25">
        <f>SUMIF($C$401:$C$528,$C538,BE$401:BE$528)</f>
        <v/>
      </c>
      <c r="BF538" s="25">
        <f>SUMIF($C$401:$C$528,$C538,BF$401:BF$528)</f>
        <v/>
      </c>
      <c r="BG538" s="25">
        <f>SUMIF($C$401:$C$528,$C538,BG$401:BG$528)</f>
        <v/>
      </c>
      <c r="BH538" s="25">
        <f>SUMIF($C$401:$C$528,$C538,BH$401:BH$528)</f>
        <v/>
      </c>
      <c r="BI538" s="25">
        <f>SUMIF($C$401:$C$528,$C538,BI$401:BI$528)</f>
        <v/>
      </c>
      <c r="BJ538" s="25">
        <f>SUMIF($C$401:$C$528,$C538,BJ$401:BJ$528)</f>
        <v/>
      </c>
      <c r="BK538" s="25">
        <f>SUMIF($C$401:$C$528,$C538,BK$401:BK$528)</f>
        <v/>
      </c>
      <c r="BL538" s="25">
        <f>SUMIF($C$401:$C$528,$C538,BL$401:BL$528)</f>
        <v/>
      </c>
      <c r="BM538" s="25">
        <f>SUMIF($C$401:$C$528,$C538,BM$401:BM$528)</f>
        <v/>
      </c>
      <c r="BN538" s="25">
        <f>SUMIF($C$401:$C$528,$C538,BN$401:BN$528)</f>
        <v/>
      </c>
    </row>
    <row r="539">
      <c r="B539" s="5" t="inlineStr">
        <is>
          <t>all</t>
        </is>
      </c>
      <c r="C539" s="5" t="inlineStr">
        <is>
          <t>irn</t>
        </is>
      </c>
      <c r="D539" s="5" t="inlineStr">
        <is>
          <t>Total fuel use | Iron &amp; steel</t>
        </is>
      </c>
      <c r="E539" s="5" t="inlineStr">
        <is>
          <t>ktoe</t>
        </is>
      </c>
      <c r="H539" s="19" t="inlineStr">
        <is>
          <t>mit.enc.all.irn</t>
        </is>
      </c>
      <c r="AL539" s="24">
        <f>SUMIF($C$401:$C$528,$C539,AL$401:AL$528)</f>
        <v/>
      </c>
      <c r="AM539" s="25">
        <f>SUMIF($C$401:$C$528,$C539,AM$401:AM$528)</f>
        <v/>
      </c>
      <c r="AN539" s="25">
        <f>SUMIF($C$401:$C$528,$C539,AN$401:AN$528)</f>
        <v/>
      </c>
      <c r="AO539" s="25">
        <f>SUMIF($C$401:$C$528,$C539,AO$401:AO$528)</f>
        <v/>
      </c>
      <c r="AP539" s="25">
        <f>SUMIF($C$401:$C$528,$C539,AP$401:AP$528)</f>
        <v/>
      </c>
      <c r="AQ539" s="25">
        <f>SUMIF($C$401:$C$528,$C539,AQ$401:AQ$528)</f>
        <v/>
      </c>
      <c r="AR539" s="25">
        <f>SUMIF($C$401:$C$528,$C539,AR$401:AR$528)</f>
        <v/>
      </c>
      <c r="AS539" s="25">
        <f>SUMIF($C$401:$C$528,$C539,AS$401:AS$528)</f>
        <v/>
      </c>
      <c r="AT539" s="25">
        <f>SUMIF($C$401:$C$528,$C539,AT$401:AT$528)</f>
        <v/>
      </c>
      <c r="AU539" s="25">
        <f>SUMIF($C$401:$C$528,$C539,AU$401:AU$528)</f>
        <v/>
      </c>
      <c r="AV539" s="25">
        <f>SUMIF($C$401:$C$528,$C539,AV$401:AV$528)</f>
        <v/>
      </c>
      <c r="AW539" s="25">
        <f>SUMIF($C$401:$C$528,$C539,AW$401:AW$528)</f>
        <v/>
      </c>
      <c r="AX539" s="25">
        <f>SUMIF($C$401:$C$528,$C539,AX$401:AX$528)</f>
        <v/>
      </c>
      <c r="AY539" s="25">
        <f>SUMIF($C$401:$C$528,$C539,AY$401:AY$528)</f>
        <v/>
      </c>
      <c r="BA539" s="24">
        <f>SUMIF($C$401:$C$528,$C539,BA$401:BA$528)</f>
        <v/>
      </c>
      <c r="BB539" s="25">
        <f>SUMIF($C$401:$C$528,$C539,BB$401:BB$528)</f>
        <v/>
      </c>
      <c r="BC539" s="25">
        <f>SUMIF($C$401:$C$528,$C539,BC$401:BC$528)</f>
        <v/>
      </c>
      <c r="BD539" s="25">
        <f>SUMIF($C$401:$C$528,$C539,BD$401:BD$528)</f>
        <v/>
      </c>
      <c r="BE539" s="25">
        <f>SUMIF($C$401:$C$528,$C539,BE$401:BE$528)</f>
        <v/>
      </c>
      <c r="BF539" s="25">
        <f>SUMIF($C$401:$C$528,$C539,BF$401:BF$528)</f>
        <v/>
      </c>
      <c r="BG539" s="25">
        <f>SUMIF($C$401:$C$528,$C539,BG$401:BG$528)</f>
        <v/>
      </c>
      <c r="BH539" s="25">
        <f>SUMIF($C$401:$C$528,$C539,BH$401:BH$528)</f>
        <v/>
      </c>
      <c r="BI539" s="25">
        <f>SUMIF($C$401:$C$528,$C539,BI$401:BI$528)</f>
        <v/>
      </c>
      <c r="BJ539" s="25">
        <f>SUMIF($C$401:$C$528,$C539,BJ$401:BJ$528)</f>
        <v/>
      </c>
      <c r="BK539" s="25">
        <f>SUMIF($C$401:$C$528,$C539,BK$401:BK$528)</f>
        <v/>
      </c>
      <c r="BL539" s="25">
        <f>SUMIF($C$401:$C$528,$C539,BL$401:BL$528)</f>
        <v/>
      </c>
      <c r="BM539" s="25">
        <f>SUMIF($C$401:$C$528,$C539,BM$401:BM$528)</f>
        <v/>
      </c>
      <c r="BN539" s="25">
        <f>SUMIF($C$401:$C$528,$C539,BN$401:BN$528)</f>
        <v/>
      </c>
    </row>
    <row r="540">
      <c r="B540" s="5" t="inlineStr">
        <is>
          <t>all</t>
        </is>
      </c>
      <c r="C540" s="5" t="inlineStr">
        <is>
          <t>nfm</t>
        </is>
      </c>
      <c r="D540" s="5" t="inlineStr">
        <is>
          <t>Total fuel use | Other metals</t>
        </is>
      </c>
      <c r="E540" s="5" t="inlineStr">
        <is>
          <t>ktoe</t>
        </is>
      </c>
      <c r="H540" s="19" t="inlineStr">
        <is>
          <t>mit.enc.all.nfm</t>
        </is>
      </c>
      <c r="AL540" s="24">
        <f>SUMIF($C$401:$C$528,$C540,AL$401:AL$528)</f>
        <v/>
      </c>
      <c r="AM540" s="25">
        <f>SUMIF($C$401:$C$528,$C540,AM$401:AM$528)</f>
        <v/>
      </c>
      <c r="AN540" s="25">
        <f>SUMIF($C$401:$C$528,$C540,AN$401:AN$528)</f>
        <v/>
      </c>
      <c r="AO540" s="25">
        <f>SUMIF($C$401:$C$528,$C540,AO$401:AO$528)</f>
        <v/>
      </c>
      <c r="AP540" s="25">
        <f>SUMIF($C$401:$C$528,$C540,AP$401:AP$528)</f>
        <v/>
      </c>
      <c r="AQ540" s="25">
        <f>SUMIF($C$401:$C$528,$C540,AQ$401:AQ$528)</f>
        <v/>
      </c>
      <c r="AR540" s="25">
        <f>SUMIF($C$401:$C$528,$C540,AR$401:AR$528)</f>
        <v/>
      </c>
      <c r="AS540" s="25">
        <f>SUMIF($C$401:$C$528,$C540,AS$401:AS$528)</f>
        <v/>
      </c>
      <c r="AT540" s="25">
        <f>SUMIF($C$401:$C$528,$C540,AT$401:AT$528)</f>
        <v/>
      </c>
      <c r="AU540" s="25">
        <f>SUMIF($C$401:$C$528,$C540,AU$401:AU$528)</f>
        <v/>
      </c>
      <c r="AV540" s="25">
        <f>SUMIF($C$401:$C$528,$C540,AV$401:AV$528)</f>
        <v/>
      </c>
      <c r="AW540" s="25">
        <f>SUMIF($C$401:$C$528,$C540,AW$401:AW$528)</f>
        <v/>
      </c>
      <c r="AX540" s="25">
        <f>SUMIF($C$401:$C$528,$C540,AX$401:AX$528)</f>
        <v/>
      </c>
      <c r="AY540" s="25">
        <f>SUMIF($C$401:$C$528,$C540,AY$401:AY$528)</f>
        <v/>
      </c>
      <c r="BA540" s="24">
        <f>SUMIF($C$401:$C$528,$C540,BA$401:BA$528)</f>
        <v/>
      </c>
      <c r="BB540" s="25">
        <f>SUMIF($C$401:$C$528,$C540,BB$401:BB$528)</f>
        <v/>
      </c>
      <c r="BC540" s="25">
        <f>SUMIF($C$401:$C$528,$C540,BC$401:BC$528)</f>
        <v/>
      </c>
      <c r="BD540" s="25">
        <f>SUMIF($C$401:$C$528,$C540,BD$401:BD$528)</f>
        <v/>
      </c>
      <c r="BE540" s="25">
        <f>SUMIF($C$401:$C$528,$C540,BE$401:BE$528)</f>
        <v/>
      </c>
      <c r="BF540" s="25">
        <f>SUMIF($C$401:$C$528,$C540,BF$401:BF$528)</f>
        <v/>
      </c>
      <c r="BG540" s="25">
        <f>SUMIF($C$401:$C$528,$C540,BG$401:BG$528)</f>
        <v/>
      </c>
      <c r="BH540" s="25">
        <f>SUMIF($C$401:$C$528,$C540,BH$401:BH$528)</f>
        <v/>
      </c>
      <c r="BI540" s="25">
        <f>SUMIF($C$401:$C$528,$C540,BI$401:BI$528)</f>
        <v/>
      </c>
      <c r="BJ540" s="25">
        <f>SUMIF($C$401:$C$528,$C540,BJ$401:BJ$528)</f>
        <v/>
      </c>
      <c r="BK540" s="25">
        <f>SUMIF($C$401:$C$528,$C540,BK$401:BK$528)</f>
        <v/>
      </c>
      <c r="BL540" s="25">
        <f>SUMIF($C$401:$C$528,$C540,BL$401:BL$528)</f>
        <v/>
      </c>
      <c r="BM540" s="25">
        <f>SUMIF($C$401:$C$528,$C540,BM$401:BM$528)</f>
        <v/>
      </c>
      <c r="BN540" s="25">
        <f>SUMIF($C$401:$C$528,$C540,BN$401:BN$528)</f>
        <v/>
      </c>
    </row>
    <row r="541">
      <c r="B541" s="5" t="inlineStr">
        <is>
          <t>all</t>
        </is>
      </c>
      <c r="C541" s="5" t="inlineStr">
        <is>
          <t>mac</t>
        </is>
      </c>
      <c r="D541" s="5" t="inlineStr">
        <is>
          <t>Total fuel use | Machinery</t>
        </is>
      </c>
      <c r="E541" s="5" t="inlineStr">
        <is>
          <t>ktoe</t>
        </is>
      </c>
      <c r="H541" s="19" t="inlineStr">
        <is>
          <t>mit.enc.all.mac</t>
        </is>
      </c>
      <c r="AL541" s="24">
        <f>SUMIF($C$401:$C$528,$C541,AL$401:AL$528)</f>
        <v/>
      </c>
      <c r="AM541" s="25">
        <f>SUMIF($C$401:$C$528,$C541,AM$401:AM$528)</f>
        <v/>
      </c>
      <c r="AN541" s="25">
        <f>SUMIF($C$401:$C$528,$C541,AN$401:AN$528)</f>
        <v/>
      </c>
      <c r="AO541" s="25">
        <f>SUMIF($C$401:$C$528,$C541,AO$401:AO$528)</f>
        <v/>
      </c>
      <c r="AP541" s="25">
        <f>SUMIF($C$401:$C$528,$C541,AP$401:AP$528)</f>
        <v/>
      </c>
      <c r="AQ541" s="25">
        <f>SUMIF($C$401:$C$528,$C541,AQ$401:AQ$528)</f>
        <v/>
      </c>
      <c r="AR541" s="25">
        <f>SUMIF($C$401:$C$528,$C541,AR$401:AR$528)</f>
        <v/>
      </c>
      <c r="AS541" s="25">
        <f>SUMIF($C$401:$C$528,$C541,AS$401:AS$528)</f>
        <v/>
      </c>
      <c r="AT541" s="25">
        <f>SUMIF($C$401:$C$528,$C541,AT$401:AT$528)</f>
        <v/>
      </c>
      <c r="AU541" s="25">
        <f>SUMIF($C$401:$C$528,$C541,AU$401:AU$528)</f>
        <v/>
      </c>
      <c r="AV541" s="25">
        <f>SUMIF($C$401:$C$528,$C541,AV$401:AV$528)</f>
        <v/>
      </c>
      <c r="AW541" s="25">
        <f>SUMIF($C$401:$C$528,$C541,AW$401:AW$528)</f>
        <v/>
      </c>
      <c r="AX541" s="25">
        <f>SUMIF($C$401:$C$528,$C541,AX$401:AX$528)</f>
        <v/>
      </c>
      <c r="AY541" s="25">
        <f>SUMIF($C$401:$C$528,$C541,AY$401:AY$528)</f>
        <v/>
      </c>
      <c r="BA541" s="24">
        <f>SUMIF($C$401:$C$528,$C541,BA$401:BA$528)</f>
        <v/>
      </c>
      <c r="BB541" s="25">
        <f>SUMIF($C$401:$C$528,$C541,BB$401:BB$528)</f>
        <v/>
      </c>
      <c r="BC541" s="25">
        <f>SUMIF($C$401:$C$528,$C541,BC$401:BC$528)</f>
        <v/>
      </c>
      <c r="BD541" s="25">
        <f>SUMIF($C$401:$C$528,$C541,BD$401:BD$528)</f>
        <v/>
      </c>
      <c r="BE541" s="25">
        <f>SUMIF($C$401:$C$528,$C541,BE$401:BE$528)</f>
        <v/>
      </c>
      <c r="BF541" s="25">
        <f>SUMIF($C$401:$C$528,$C541,BF$401:BF$528)</f>
        <v/>
      </c>
      <c r="BG541" s="25">
        <f>SUMIF($C$401:$C$528,$C541,BG$401:BG$528)</f>
        <v/>
      </c>
      <c r="BH541" s="25">
        <f>SUMIF($C$401:$C$528,$C541,BH$401:BH$528)</f>
        <v/>
      </c>
      <c r="BI541" s="25">
        <f>SUMIF($C$401:$C$528,$C541,BI$401:BI$528)</f>
        <v/>
      </c>
      <c r="BJ541" s="25">
        <f>SUMIF($C$401:$C$528,$C541,BJ$401:BJ$528)</f>
        <v/>
      </c>
      <c r="BK541" s="25">
        <f>SUMIF($C$401:$C$528,$C541,BK$401:BK$528)</f>
        <v/>
      </c>
      <c r="BL541" s="25">
        <f>SUMIF($C$401:$C$528,$C541,BL$401:BL$528)</f>
        <v/>
      </c>
      <c r="BM541" s="25">
        <f>SUMIF($C$401:$C$528,$C541,BM$401:BM$528)</f>
        <v/>
      </c>
      <c r="BN541" s="25">
        <f>SUMIF($C$401:$C$528,$C541,BN$401:BN$528)</f>
        <v/>
      </c>
    </row>
    <row r="542">
      <c r="B542" s="5" t="inlineStr">
        <is>
          <t>all</t>
        </is>
      </c>
      <c r="C542" s="5" t="inlineStr">
        <is>
          <t>cem</t>
        </is>
      </c>
      <c r="D542" s="5" t="inlineStr">
        <is>
          <t>Total fuel use | Cement</t>
        </is>
      </c>
      <c r="E542" s="5" t="inlineStr">
        <is>
          <t>ktoe</t>
        </is>
      </c>
      <c r="H542" s="19" t="inlineStr">
        <is>
          <t>mit.enc.all.cem</t>
        </is>
      </c>
      <c r="AL542" s="24">
        <f>SUMIF($C$401:$C$528,$C542,AL$401:AL$528)</f>
        <v/>
      </c>
      <c r="AM542" s="25">
        <f>SUMIF($C$401:$C$528,$C542,AM$401:AM$528)</f>
        <v/>
      </c>
      <c r="AN542" s="25">
        <f>SUMIF($C$401:$C$528,$C542,AN$401:AN$528)</f>
        <v/>
      </c>
      <c r="AO542" s="25">
        <f>SUMIF($C$401:$C$528,$C542,AO$401:AO$528)</f>
        <v/>
      </c>
      <c r="AP542" s="25">
        <f>SUMIF($C$401:$C$528,$C542,AP$401:AP$528)</f>
        <v/>
      </c>
      <c r="AQ542" s="25">
        <f>SUMIF($C$401:$C$528,$C542,AQ$401:AQ$528)</f>
        <v/>
      </c>
      <c r="AR542" s="25">
        <f>SUMIF($C$401:$C$528,$C542,AR$401:AR$528)</f>
        <v/>
      </c>
      <c r="AS542" s="25">
        <f>SUMIF($C$401:$C$528,$C542,AS$401:AS$528)</f>
        <v/>
      </c>
      <c r="AT542" s="25">
        <f>SUMIF($C$401:$C$528,$C542,AT$401:AT$528)</f>
        <v/>
      </c>
      <c r="AU542" s="25">
        <f>SUMIF($C$401:$C$528,$C542,AU$401:AU$528)</f>
        <v/>
      </c>
      <c r="AV542" s="25">
        <f>SUMIF($C$401:$C$528,$C542,AV$401:AV$528)</f>
        <v/>
      </c>
      <c r="AW542" s="25">
        <f>SUMIF($C$401:$C$528,$C542,AW$401:AW$528)</f>
        <v/>
      </c>
      <c r="AX542" s="25">
        <f>SUMIF($C$401:$C$528,$C542,AX$401:AX$528)</f>
        <v/>
      </c>
      <c r="AY542" s="25">
        <f>SUMIF($C$401:$C$528,$C542,AY$401:AY$528)</f>
        <v/>
      </c>
      <c r="BA542" s="24">
        <f>SUMIF($C$401:$C$528,$C542,BA$401:BA$528)</f>
        <v/>
      </c>
      <c r="BB542" s="25">
        <f>SUMIF($C$401:$C$528,$C542,BB$401:BB$528)</f>
        <v/>
      </c>
      <c r="BC542" s="25">
        <f>SUMIF($C$401:$C$528,$C542,BC$401:BC$528)</f>
        <v/>
      </c>
      <c r="BD542" s="25">
        <f>SUMIF($C$401:$C$528,$C542,BD$401:BD$528)</f>
        <v/>
      </c>
      <c r="BE542" s="25">
        <f>SUMIF($C$401:$C$528,$C542,BE$401:BE$528)</f>
        <v/>
      </c>
      <c r="BF542" s="25">
        <f>SUMIF($C$401:$C$528,$C542,BF$401:BF$528)</f>
        <v/>
      </c>
      <c r="BG542" s="25">
        <f>SUMIF($C$401:$C$528,$C542,BG$401:BG$528)</f>
        <v/>
      </c>
      <c r="BH542" s="25">
        <f>SUMIF($C$401:$C$528,$C542,BH$401:BH$528)</f>
        <v/>
      </c>
      <c r="BI542" s="25">
        <f>SUMIF($C$401:$C$528,$C542,BI$401:BI$528)</f>
        <v/>
      </c>
      <c r="BJ542" s="25">
        <f>SUMIF($C$401:$C$528,$C542,BJ$401:BJ$528)</f>
        <v/>
      </c>
      <c r="BK542" s="25">
        <f>SUMIF($C$401:$C$528,$C542,BK$401:BK$528)</f>
        <v/>
      </c>
      <c r="BL542" s="25">
        <f>SUMIF($C$401:$C$528,$C542,BL$401:BL$528)</f>
        <v/>
      </c>
      <c r="BM542" s="25">
        <f>SUMIF($C$401:$C$528,$C542,BM$401:BM$528)</f>
        <v/>
      </c>
      <c r="BN542" s="25">
        <f>SUMIF($C$401:$C$528,$C542,BN$401:BN$528)</f>
        <v/>
      </c>
    </row>
    <row r="543">
      <c r="B543" s="5" t="inlineStr">
        <is>
          <t>all</t>
        </is>
      </c>
      <c r="C543" s="5" t="inlineStr">
        <is>
          <t>omn</t>
        </is>
      </c>
      <c r="D543" s="5" t="inlineStr">
        <is>
          <t>Total fuel use | Other manufacturing</t>
        </is>
      </c>
      <c r="E543" s="5" t="inlineStr">
        <is>
          <t>ktoe</t>
        </is>
      </c>
      <c r="H543" s="19" t="inlineStr">
        <is>
          <t>mit.enc.all.omn</t>
        </is>
      </c>
      <c r="AL543" s="24">
        <f>SUMIF($C$401:$C$528,$C543,AL$401:AL$528)</f>
        <v/>
      </c>
      <c r="AM543" s="25">
        <f>SUMIF($C$401:$C$528,$C543,AM$401:AM$528)</f>
        <v/>
      </c>
      <c r="AN543" s="25">
        <f>SUMIF($C$401:$C$528,$C543,AN$401:AN$528)</f>
        <v/>
      </c>
      <c r="AO543" s="25">
        <f>SUMIF($C$401:$C$528,$C543,AO$401:AO$528)</f>
        <v/>
      </c>
      <c r="AP543" s="25">
        <f>SUMIF($C$401:$C$528,$C543,AP$401:AP$528)</f>
        <v/>
      </c>
      <c r="AQ543" s="25">
        <f>SUMIF($C$401:$C$528,$C543,AQ$401:AQ$528)</f>
        <v/>
      </c>
      <c r="AR543" s="25">
        <f>SUMIF($C$401:$C$528,$C543,AR$401:AR$528)</f>
        <v/>
      </c>
      <c r="AS543" s="25">
        <f>SUMIF($C$401:$C$528,$C543,AS$401:AS$528)</f>
        <v/>
      </c>
      <c r="AT543" s="25">
        <f>SUMIF($C$401:$C$528,$C543,AT$401:AT$528)</f>
        <v/>
      </c>
      <c r="AU543" s="25">
        <f>SUMIF($C$401:$C$528,$C543,AU$401:AU$528)</f>
        <v/>
      </c>
      <c r="AV543" s="25">
        <f>SUMIF($C$401:$C$528,$C543,AV$401:AV$528)</f>
        <v/>
      </c>
      <c r="AW543" s="25">
        <f>SUMIF($C$401:$C$528,$C543,AW$401:AW$528)</f>
        <v/>
      </c>
      <c r="AX543" s="25">
        <f>SUMIF($C$401:$C$528,$C543,AX$401:AX$528)</f>
        <v/>
      </c>
      <c r="AY543" s="25">
        <f>SUMIF($C$401:$C$528,$C543,AY$401:AY$528)</f>
        <v/>
      </c>
      <c r="BA543" s="24">
        <f>SUMIF($C$401:$C$528,$C543,BA$401:BA$528)</f>
        <v/>
      </c>
      <c r="BB543" s="25">
        <f>SUMIF($C$401:$C$528,$C543,BB$401:BB$528)</f>
        <v/>
      </c>
      <c r="BC543" s="25">
        <f>SUMIF($C$401:$C$528,$C543,BC$401:BC$528)</f>
        <v/>
      </c>
      <c r="BD543" s="25">
        <f>SUMIF($C$401:$C$528,$C543,BD$401:BD$528)</f>
        <v/>
      </c>
      <c r="BE543" s="25">
        <f>SUMIF($C$401:$C$528,$C543,BE$401:BE$528)</f>
        <v/>
      </c>
      <c r="BF543" s="25">
        <f>SUMIF($C$401:$C$528,$C543,BF$401:BF$528)</f>
        <v/>
      </c>
      <c r="BG543" s="25">
        <f>SUMIF($C$401:$C$528,$C543,BG$401:BG$528)</f>
        <v/>
      </c>
      <c r="BH543" s="25">
        <f>SUMIF($C$401:$C$528,$C543,BH$401:BH$528)</f>
        <v/>
      </c>
      <c r="BI543" s="25">
        <f>SUMIF($C$401:$C$528,$C543,BI$401:BI$528)</f>
        <v/>
      </c>
      <c r="BJ543" s="25">
        <f>SUMIF($C$401:$C$528,$C543,BJ$401:BJ$528)</f>
        <v/>
      </c>
      <c r="BK543" s="25">
        <f>SUMIF($C$401:$C$528,$C543,BK$401:BK$528)</f>
        <v/>
      </c>
      <c r="BL543" s="25">
        <f>SUMIF($C$401:$C$528,$C543,BL$401:BL$528)</f>
        <v/>
      </c>
      <c r="BM543" s="25">
        <f>SUMIF($C$401:$C$528,$C543,BM$401:BM$528)</f>
        <v/>
      </c>
      <c r="BN543" s="25">
        <f>SUMIF($C$401:$C$528,$C543,BN$401:BN$528)</f>
        <v/>
      </c>
    </row>
    <row r="544">
      <c r="B544" s="5" t="inlineStr">
        <is>
          <t>all</t>
        </is>
      </c>
      <c r="C544" s="5" t="inlineStr">
        <is>
          <t>cst</t>
        </is>
      </c>
      <c r="D544" s="5" t="inlineStr">
        <is>
          <t>Total fuel use | Construction</t>
        </is>
      </c>
      <c r="E544" s="5" t="inlineStr">
        <is>
          <t>ktoe</t>
        </is>
      </c>
      <c r="H544" s="19" t="inlineStr">
        <is>
          <t>mit.enc.all.cst</t>
        </is>
      </c>
      <c r="AL544" s="24">
        <f>SUMIF($C$401:$C$528,$C544,AL$401:AL$528)</f>
        <v/>
      </c>
      <c r="AM544" s="25">
        <f>SUMIF($C$401:$C$528,$C544,AM$401:AM$528)</f>
        <v/>
      </c>
      <c r="AN544" s="25">
        <f>SUMIF($C$401:$C$528,$C544,AN$401:AN$528)</f>
        <v/>
      </c>
      <c r="AO544" s="25">
        <f>SUMIF($C$401:$C$528,$C544,AO$401:AO$528)</f>
        <v/>
      </c>
      <c r="AP544" s="25">
        <f>SUMIF($C$401:$C$528,$C544,AP$401:AP$528)</f>
        <v/>
      </c>
      <c r="AQ544" s="25">
        <f>SUMIF($C$401:$C$528,$C544,AQ$401:AQ$528)</f>
        <v/>
      </c>
      <c r="AR544" s="25">
        <f>SUMIF($C$401:$C$528,$C544,AR$401:AR$528)</f>
        <v/>
      </c>
      <c r="AS544" s="25">
        <f>SUMIF($C$401:$C$528,$C544,AS$401:AS$528)</f>
        <v/>
      </c>
      <c r="AT544" s="25">
        <f>SUMIF($C$401:$C$528,$C544,AT$401:AT$528)</f>
        <v/>
      </c>
      <c r="AU544" s="25">
        <f>SUMIF($C$401:$C$528,$C544,AU$401:AU$528)</f>
        <v/>
      </c>
      <c r="AV544" s="25">
        <f>SUMIF($C$401:$C$528,$C544,AV$401:AV$528)</f>
        <v/>
      </c>
      <c r="AW544" s="25">
        <f>SUMIF($C$401:$C$528,$C544,AW$401:AW$528)</f>
        <v/>
      </c>
      <c r="AX544" s="25">
        <f>SUMIF($C$401:$C$528,$C544,AX$401:AX$528)</f>
        <v/>
      </c>
      <c r="AY544" s="25">
        <f>SUMIF($C$401:$C$528,$C544,AY$401:AY$528)</f>
        <v/>
      </c>
      <c r="BA544" s="24">
        <f>SUMIF($C$401:$C$528,$C544,BA$401:BA$528)</f>
        <v/>
      </c>
      <c r="BB544" s="25">
        <f>SUMIF($C$401:$C$528,$C544,BB$401:BB$528)</f>
        <v/>
      </c>
      <c r="BC544" s="25">
        <f>SUMIF($C$401:$C$528,$C544,BC$401:BC$528)</f>
        <v/>
      </c>
      <c r="BD544" s="25">
        <f>SUMIF($C$401:$C$528,$C544,BD$401:BD$528)</f>
        <v/>
      </c>
      <c r="BE544" s="25">
        <f>SUMIF($C$401:$C$528,$C544,BE$401:BE$528)</f>
        <v/>
      </c>
      <c r="BF544" s="25">
        <f>SUMIF($C$401:$C$528,$C544,BF$401:BF$528)</f>
        <v/>
      </c>
      <c r="BG544" s="25">
        <f>SUMIF($C$401:$C$528,$C544,BG$401:BG$528)</f>
        <v/>
      </c>
      <c r="BH544" s="25">
        <f>SUMIF($C$401:$C$528,$C544,BH$401:BH$528)</f>
        <v/>
      </c>
      <c r="BI544" s="25">
        <f>SUMIF($C$401:$C$528,$C544,BI$401:BI$528)</f>
        <v/>
      </c>
      <c r="BJ544" s="25">
        <f>SUMIF($C$401:$C$528,$C544,BJ$401:BJ$528)</f>
        <v/>
      </c>
      <c r="BK544" s="25">
        <f>SUMIF($C$401:$C$528,$C544,BK$401:BK$528)</f>
        <v/>
      </c>
      <c r="BL544" s="25">
        <f>SUMIF($C$401:$C$528,$C544,BL$401:BL$528)</f>
        <v/>
      </c>
      <c r="BM544" s="25">
        <f>SUMIF($C$401:$C$528,$C544,BM$401:BM$528)</f>
        <v/>
      </c>
      <c r="BN544" s="25">
        <f>SUMIF($C$401:$C$528,$C544,BN$401:BN$528)</f>
        <v/>
      </c>
    </row>
    <row r="545">
      <c r="B545" s="5" t="inlineStr">
        <is>
          <t>all</t>
        </is>
      </c>
      <c r="C545" s="5" t="inlineStr">
        <is>
          <t>ftr</t>
        </is>
      </c>
      <c r="D545" s="5" t="inlineStr">
        <is>
          <t>Total fuel use | Fuel transformation</t>
        </is>
      </c>
      <c r="E545" s="5" t="inlineStr">
        <is>
          <t>ktoe</t>
        </is>
      </c>
      <c r="H545" s="19" t="inlineStr">
        <is>
          <t>mit.enc.all.ftr</t>
        </is>
      </c>
      <c r="AL545" s="24">
        <f>SUMIF($C$401:$C$528,$C545,AL$401:AL$528)</f>
        <v/>
      </c>
      <c r="AM545" s="25">
        <f>SUMIF($C$401:$C$528,$C545,AM$401:AM$528)</f>
        <v/>
      </c>
      <c r="AN545" s="25">
        <f>SUMIF($C$401:$C$528,$C545,AN$401:AN$528)</f>
        <v/>
      </c>
      <c r="AO545" s="25">
        <f>SUMIF($C$401:$C$528,$C545,AO$401:AO$528)</f>
        <v/>
      </c>
      <c r="AP545" s="25">
        <f>SUMIF($C$401:$C$528,$C545,AP$401:AP$528)</f>
        <v/>
      </c>
      <c r="AQ545" s="25">
        <f>SUMIF($C$401:$C$528,$C545,AQ$401:AQ$528)</f>
        <v/>
      </c>
      <c r="AR545" s="25">
        <f>SUMIF($C$401:$C$528,$C545,AR$401:AR$528)</f>
        <v/>
      </c>
      <c r="AS545" s="25">
        <f>SUMIF($C$401:$C$528,$C545,AS$401:AS$528)</f>
        <v/>
      </c>
      <c r="AT545" s="25">
        <f>SUMIF($C$401:$C$528,$C545,AT$401:AT$528)</f>
        <v/>
      </c>
      <c r="AU545" s="25">
        <f>SUMIF($C$401:$C$528,$C545,AU$401:AU$528)</f>
        <v/>
      </c>
      <c r="AV545" s="25">
        <f>SUMIF($C$401:$C$528,$C545,AV$401:AV$528)</f>
        <v/>
      </c>
      <c r="AW545" s="25">
        <f>SUMIF($C$401:$C$528,$C545,AW$401:AW$528)</f>
        <v/>
      </c>
      <c r="AX545" s="25">
        <f>SUMIF($C$401:$C$528,$C545,AX$401:AX$528)</f>
        <v/>
      </c>
      <c r="AY545" s="25">
        <f>SUMIF($C$401:$C$528,$C545,AY$401:AY$528)</f>
        <v/>
      </c>
      <c r="BA545" s="24">
        <f>SUMIF($C$401:$C$528,$C545,BA$401:BA$528)</f>
        <v/>
      </c>
      <c r="BB545" s="25">
        <f>SUMIF($C$401:$C$528,$C545,BB$401:BB$528)</f>
        <v/>
      </c>
      <c r="BC545" s="25">
        <f>SUMIF($C$401:$C$528,$C545,BC$401:BC$528)</f>
        <v/>
      </c>
      <c r="BD545" s="25">
        <f>SUMIF($C$401:$C$528,$C545,BD$401:BD$528)</f>
        <v/>
      </c>
      <c r="BE545" s="25">
        <f>SUMIF($C$401:$C$528,$C545,BE$401:BE$528)</f>
        <v/>
      </c>
      <c r="BF545" s="25">
        <f>SUMIF($C$401:$C$528,$C545,BF$401:BF$528)</f>
        <v/>
      </c>
      <c r="BG545" s="25">
        <f>SUMIF($C$401:$C$528,$C545,BG$401:BG$528)</f>
        <v/>
      </c>
      <c r="BH545" s="25">
        <f>SUMIF($C$401:$C$528,$C545,BH$401:BH$528)</f>
        <v/>
      </c>
      <c r="BI545" s="25">
        <f>SUMIF($C$401:$C$528,$C545,BI$401:BI$528)</f>
        <v/>
      </c>
      <c r="BJ545" s="25">
        <f>SUMIF($C$401:$C$528,$C545,BJ$401:BJ$528)</f>
        <v/>
      </c>
      <c r="BK545" s="25">
        <f>SUMIF($C$401:$C$528,$C545,BK$401:BK$528)</f>
        <v/>
      </c>
      <c r="BL545" s="25">
        <f>SUMIF($C$401:$C$528,$C545,BL$401:BL$528)</f>
        <v/>
      </c>
      <c r="BM545" s="25">
        <f>SUMIF($C$401:$C$528,$C545,BM$401:BM$528)</f>
        <v/>
      </c>
      <c r="BN545" s="25">
        <f>SUMIF($C$401:$C$528,$C545,BN$401:BN$528)</f>
        <v/>
      </c>
    </row>
    <row r="546">
      <c r="B546" s="5" t="inlineStr">
        <is>
          <t>all</t>
        </is>
      </c>
      <c r="C546" s="5" t="inlineStr">
        <is>
          <t>oen</t>
        </is>
      </c>
      <c r="D546" s="5" t="inlineStr">
        <is>
          <t>Total fuel use | Other energy use</t>
        </is>
      </c>
      <c r="E546" s="5" t="inlineStr">
        <is>
          <t>ktoe</t>
        </is>
      </c>
      <c r="H546" s="19" t="inlineStr">
        <is>
          <t>mit.enc.all.oen</t>
        </is>
      </c>
      <c r="AL546" s="24">
        <f>SUMIF($C$401:$C$528,$C546,AL$401:AL$528)</f>
        <v/>
      </c>
      <c r="AM546" s="25">
        <f>SUMIF($C$401:$C$528,$C546,AM$401:AM$528)</f>
        <v/>
      </c>
      <c r="AN546" s="25">
        <f>SUMIF($C$401:$C$528,$C546,AN$401:AN$528)</f>
        <v/>
      </c>
      <c r="AO546" s="25">
        <f>SUMIF($C$401:$C$528,$C546,AO$401:AO$528)</f>
        <v/>
      </c>
      <c r="AP546" s="25">
        <f>SUMIF($C$401:$C$528,$C546,AP$401:AP$528)</f>
        <v/>
      </c>
      <c r="AQ546" s="25">
        <f>SUMIF($C$401:$C$528,$C546,AQ$401:AQ$528)</f>
        <v/>
      </c>
      <c r="AR546" s="25">
        <f>SUMIF($C$401:$C$528,$C546,AR$401:AR$528)</f>
        <v/>
      </c>
      <c r="AS546" s="25">
        <f>SUMIF($C$401:$C$528,$C546,AS$401:AS$528)</f>
        <v/>
      </c>
      <c r="AT546" s="25">
        <f>SUMIF($C$401:$C$528,$C546,AT$401:AT$528)</f>
        <v/>
      </c>
      <c r="AU546" s="25">
        <f>SUMIF($C$401:$C$528,$C546,AU$401:AU$528)</f>
        <v/>
      </c>
      <c r="AV546" s="25">
        <f>SUMIF($C$401:$C$528,$C546,AV$401:AV$528)</f>
        <v/>
      </c>
      <c r="AW546" s="25">
        <f>SUMIF($C$401:$C$528,$C546,AW$401:AW$528)</f>
        <v/>
      </c>
      <c r="AX546" s="25">
        <f>SUMIF($C$401:$C$528,$C546,AX$401:AX$528)</f>
        <v/>
      </c>
      <c r="AY546" s="25">
        <f>SUMIF($C$401:$C$528,$C546,AY$401:AY$528)</f>
        <v/>
      </c>
      <c r="BA546" s="24">
        <f>SUMIF($C$401:$C$528,$C546,BA$401:BA$528)</f>
        <v/>
      </c>
      <c r="BB546" s="25">
        <f>SUMIF($C$401:$C$528,$C546,BB$401:BB$528)</f>
        <v/>
      </c>
      <c r="BC546" s="25">
        <f>SUMIF($C$401:$C$528,$C546,BC$401:BC$528)</f>
        <v/>
      </c>
      <c r="BD546" s="25">
        <f>SUMIF($C$401:$C$528,$C546,BD$401:BD$528)</f>
        <v/>
      </c>
      <c r="BE546" s="25">
        <f>SUMIF($C$401:$C$528,$C546,BE$401:BE$528)</f>
        <v/>
      </c>
      <c r="BF546" s="25">
        <f>SUMIF($C$401:$C$528,$C546,BF$401:BF$528)</f>
        <v/>
      </c>
      <c r="BG546" s="25">
        <f>SUMIF($C$401:$C$528,$C546,BG$401:BG$528)</f>
        <v/>
      </c>
      <c r="BH546" s="25">
        <f>SUMIF($C$401:$C$528,$C546,BH$401:BH$528)</f>
        <v/>
      </c>
      <c r="BI546" s="25">
        <f>SUMIF($C$401:$C$528,$C546,BI$401:BI$528)</f>
        <v/>
      </c>
      <c r="BJ546" s="25">
        <f>SUMIF($C$401:$C$528,$C546,BJ$401:BJ$528)</f>
        <v/>
      </c>
      <c r="BK546" s="25">
        <f>SUMIF($C$401:$C$528,$C546,BK$401:BK$528)</f>
        <v/>
      </c>
      <c r="BL546" s="25">
        <f>SUMIF($C$401:$C$528,$C546,BL$401:BL$528)</f>
        <v/>
      </c>
      <c r="BM546" s="25">
        <f>SUMIF($C$401:$C$528,$C546,BM$401:BM$528)</f>
        <v/>
      </c>
      <c r="BN546" s="25">
        <f>SUMIF($C$401:$C$528,$C546,BN$401:BN$528)</f>
        <v/>
      </c>
    </row>
    <row r="548">
      <c r="B548" s="5" t="inlineStr">
        <is>
          <t>coa</t>
        </is>
      </c>
      <c r="C548" s="5" t="inlineStr">
        <is>
          <t>all</t>
        </is>
      </c>
      <c r="D548" s="5" t="inlineStr">
        <is>
          <t>Total fuel use | Coal</t>
        </is>
      </c>
      <c r="E548" s="5" t="inlineStr">
        <is>
          <t>ktoe</t>
        </is>
      </c>
      <c r="H548" s="19" t="inlineStr">
        <is>
          <t>mit.enc.coa.all</t>
        </is>
      </c>
      <c r="AL548" s="24">
        <f>SUMIF($B$401:$B$528,$B548,AL$401:AL$528)</f>
        <v/>
      </c>
      <c r="AM548" s="25">
        <f>SUMIF($B$401:$B$528,$B548,AM$401:AM$528)</f>
        <v/>
      </c>
      <c r="AN548" s="25">
        <f>SUMIF($B$401:$B$528,$B548,AN$401:AN$528)</f>
        <v/>
      </c>
      <c r="AO548" s="25">
        <f>SUMIF($B$401:$B$528,$B548,AO$401:AO$528)</f>
        <v/>
      </c>
      <c r="AP548" s="25">
        <f>SUMIF($B$401:$B$528,$B548,AP$401:AP$528)</f>
        <v/>
      </c>
      <c r="AQ548" s="25">
        <f>SUMIF($B$401:$B$528,$B548,AQ$401:AQ$528)</f>
        <v/>
      </c>
      <c r="AR548" s="25">
        <f>SUMIF($B$401:$B$528,$B548,AR$401:AR$528)</f>
        <v/>
      </c>
      <c r="AS548" s="25">
        <f>SUMIF($B$401:$B$528,$B548,AS$401:AS$528)</f>
        <v/>
      </c>
      <c r="AT548" s="25">
        <f>SUMIF($B$401:$B$528,$B548,AT$401:AT$528)</f>
        <v/>
      </c>
      <c r="AU548" s="25">
        <f>SUMIF($B$401:$B$528,$B548,AU$401:AU$528)</f>
        <v/>
      </c>
      <c r="AV548" s="25">
        <f>SUMIF($B$401:$B$528,$B548,AV$401:AV$528)</f>
        <v/>
      </c>
      <c r="AW548" s="25">
        <f>SUMIF($B$401:$B$528,$B548,AW$401:AW$528)</f>
        <v/>
      </c>
      <c r="AX548" s="25">
        <f>SUMIF($B$401:$B$528,$B548,AX$401:AX$528)</f>
        <v/>
      </c>
      <c r="AY548" s="25">
        <f>SUMIF($B$401:$B$528,$B548,AY$401:AY$528)</f>
        <v/>
      </c>
      <c r="BA548" s="24">
        <f>SUMIF($B$401:$B$528,$B548,BA$401:BA$528)</f>
        <v/>
      </c>
      <c r="BB548" s="25">
        <f>SUMIF($B$401:$B$528,$B548,BB$401:BB$528)</f>
        <v/>
      </c>
      <c r="BC548" s="25">
        <f>SUMIF($B$401:$B$528,$B548,BC$401:BC$528)</f>
        <v/>
      </c>
      <c r="BD548" s="25">
        <f>SUMIF($B$401:$B$528,$B548,BD$401:BD$528)</f>
        <v/>
      </c>
      <c r="BE548" s="25">
        <f>SUMIF($B$401:$B$528,$B548,BE$401:BE$528)</f>
        <v/>
      </c>
      <c r="BF548" s="25">
        <f>SUMIF($B$401:$B$528,$B548,BF$401:BF$528)</f>
        <v/>
      </c>
      <c r="BG548" s="25">
        <f>SUMIF($B$401:$B$528,$B548,BG$401:BG$528)</f>
        <v/>
      </c>
      <c r="BH548" s="25">
        <f>SUMIF($B$401:$B$528,$B548,BH$401:BH$528)</f>
        <v/>
      </c>
      <c r="BI548" s="25">
        <f>SUMIF($B$401:$B$528,$B548,BI$401:BI$528)</f>
        <v/>
      </c>
      <c r="BJ548" s="25">
        <f>SUMIF($B$401:$B$528,$B548,BJ$401:BJ$528)</f>
        <v/>
      </c>
      <c r="BK548" s="25">
        <f>SUMIF($B$401:$B$528,$B548,BK$401:BK$528)</f>
        <v/>
      </c>
      <c r="BL548" s="25">
        <f>SUMIF($B$401:$B$528,$B548,BL$401:BL$528)</f>
        <v/>
      </c>
      <c r="BM548" s="25">
        <f>SUMIF($B$401:$B$528,$B548,BM$401:BM$528)</f>
        <v/>
      </c>
      <c r="BN548" s="25">
        <f>SUMIF($B$401:$B$528,$B548,BN$401:BN$528)</f>
        <v/>
      </c>
    </row>
    <row r="549">
      <c r="B549" s="5" t="inlineStr">
        <is>
          <t>nga</t>
        </is>
      </c>
      <c r="C549" s="5" t="inlineStr">
        <is>
          <t>all</t>
        </is>
      </c>
      <c r="D549" s="5" t="inlineStr">
        <is>
          <t>Total fuel use | Natural gas</t>
        </is>
      </c>
      <c r="E549" s="5" t="inlineStr">
        <is>
          <t>ktoe</t>
        </is>
      </c>
      <c r="H549" s="19" t="inlineStr">
        <is>
          <t>mit.enc.nga.all</t>
        </is>
      </c>
      <c r="AL549" s="24">
        <f>SUMIF($B$401:$B$528,$B549,AL$401:AL$528)</f>
        <v/>
      </c>
      <c r="AM549" s="25">
        <f>SUMIF($B$401:$B$528,$B549,AM$401:AM$528)</f>
        <v/>
      </c>
      <c r="AN549" s="25">
        <f>SUMIF($B$401:$B$528,$B549,AN$401:AN$528)</f>
        <v/>
      </c>
      <c r="AO549" s="25">
        <f>SUMIF($B$401:$B$528,$B549,AO$401:AO$528)</f>
        <v/>
      </c>
      <c r="AP549" s="25">
        <f>SUMIF($B$401:$B$528,$B549,AP$401:AP$528)</f>
        <v/>
      </c>
      <c r="AQ549" s="25">
        <f>SUMIF($B$401:$B$528,$B549,AQ$401:AQ$528)</f>
        <v/>
      </c>
      <c r="AR549" s="25">
        <f>SUMIF($B$401:$B$528,$B549,AR$401:AR$528)</f>
        <v/>
      </c>
      <c r="AS549" s="25">
        <f>SUMIF($B$401:$B$528,$B549,AS$401:AS$528)</f>
        <v/>
      </c>
      <c r="AT549" s="25">
        <f>SUMIF($B$401:$B$528,$B549,AT$401:AT$528)</f>
        <v/>
      </c>
      <c r="AU549" s="25">
        <f>SUMIF($B$401:$B$528,$B549,AU$401:AU$528)</f>
        <v/>
      </c>
      <c r="AV549" s="25">
        <f>SUMIF($B$401:$B$528,$B549,AV$401:AV$528)</f>
        <v/>
      </c>
      <c r="AW549" s="25">
        <f>SUMIF($B$401:$B$528,$B549,AW$401:AW$528)</f>
        <v/>
      </c>
      <c r="AX549" s="25">
        <f>SUMIF($B$401:$B$528,$B549,AX$401:AX$528)</f>
        <v/>
      </c>
      <c r="AY549" s="25">
        <f>SUMIF($B$401:$B$528,$B549,AY$401:AY$528)</f>
        <v/>
      </c>
      <c r="BA549" s="24">
        <f>SUMIF($B$401:$B$528,$B549,BA$401:BA$528)</f>
        <v/>
      </c>
      <c r="BB549" s="25">
        <f>SUMIF($B$401:$B$528,$B549,BB$401:BB$528)</f>
        <v/>
      </c>
      <c r="BC549" s="25">
        <f>SUMIF($B$401:$B$528,$B549,BC$401:BC$528)</f>
        <v/>
      </c>
      <c r="BD549" s="25">
        <f>SUMIF($B$401:$B$528,$B549,BD$401:BD$528)</f>
        <v/>
      </c>
      <c r="BE549" s="25">
        <f>SUMIF($B$401:$B$528,$B549,BE$401:BE$528)</f>
        <v/>
      </c>
      <c r="BF549" s="25">
        <f>SUMIF($B$401:$B$528,$B549,BF$401:BF$528)</f>
        <v/>
      </c>
      <c r="BG549" s="25">
        <f>SUMIF($B$401:$B$528,$B549,BG$401:BG$528)</f>
        <v/>
      </c>
      <c r="BH549" s="25">
        <f>SUMIF($B$401:$B$528,$B549,BH$401:BH$528)</f>
        <v/>
      </c>
      <c r="BI549" s="25">
        <f>SUMIF($B$401:$B$528,$B549,BI$401:BI$528)</f>
        <v/>
      </c>
      <c r="BJ549" s="25">
        <f>SUMIF($B$401:$B$528,$B549,BJ$401:BJ$528)</f>
        <v/>
      </c>
      <c r="BK549" s="25">
        <f>SUMIF($B$401:$B$528,$B549,BK$401:BK$528)</f>
        <v/>
      </c>
      <c r="BL549" s="25">
        <f>SUMIF($B$401:$B$528,$B549,BL$401:BL$528)</f>
        <v/>
      </c>
      <c r="BM549" s="25">
        <f>SUMIF($B$401:$B$528,$B549,BM$401:BM$528)</f>
        <v/>
      </c>
      <c r="BN549" s="25">
        <f>SUMIF($B$401:$B$528,$B549,BN$401:BN$528)</f>
        <v/>
      </c>
    </row>
    <row r="550">
      <c r="B550" s="5" t="inlineStr">
        <is>
          <t>gso</t>
        </is>
      </c>
      <c r="C550" s="5" t="inlineStr">
        <is>
          <t>all</t>
        </is>
      </c>
      <c r="D550" s="5" t="inlineStr">
        <is>
          <t>Total fuel use | Gasoline</t>
        </is>
      </c>
      <c r="E550" s="5" t="inlineStr">
        <is>
          <t>ktoe</t>
        </is>
      </c>
      <c r="H550" s="19" t="inlineStr">
        <is>
          <t>mit.enc.gso.all</t>
        </is>
      </c>
      <c r="AL550" s="24">
        <f>SUMIF($B$401:$B$528,$B550,AL$401:AL$528)</f>
        <v/>
      </c>
      <c r="AM550" s="25">
        <f>SUMIF($B$401:$B$528,$B550,AM$401:AM$528)</f>
        <v/>
      </c>
      <c r="AN550" s="25">
        <f>SUMIF($B$401:$B$528,$B550,AN$401:AN$528)</f>
        <v/>
      </c>
      <c r="AO550" s="25">
        <f>SUMIF($B$401:$B$528,$B550,AO$401:AO$528)</f>
        <v/>
      </c>
      <c r="AP550" s="25">
        <f>SUMIF($B$401:$B$528,$B550,AP$401:AP$528)</f>
        <v/>
      </c>
      <c r="AQ550" s="25">
        <f>SUMIF($B$401:$B$528,$B550,AQ$401:AQ$528)</f>
        <v/>
      </c>
      <c r="AR550" s="25">
        <f>SUMIF($B$401:$B$528,$B550,AR$401:AR$528)</f>
        <v/>
      </c>
      <c r="AS550" s="25">
        <f>SUMIF($B$401:$B$528,$B550,AS$401:AS$528)</f>
        <v/>
      </c>
      <c r="AT550" s="25">
        <f>SUMIF($B$401:$B$528,$B550,AT$401:AT$528)</f>
        <v/>
      </c>
      <c r="AU550" s="25">
        <f>SUMIF($B$401:$B$528,$B550,AU$401:AU$528)</f>
        <v/>
      </c>
      <c r="AV550" s="25">
        <f>SUMIF($B$401:$B$528,$B550,AV$401:AV$528)</f>
        <v/>
      </c>
      <c r="AW550" s="25">
        <f>SUMIF($B$401:$B$528,$B550,AW$401:AW$528)</f>
        <v/>
      </c>
      <c r="AX550" s="25">
        <f>SUMIF($B$401:$B$528,$B550,AX$401:AX$528)</f>
        <v/>
      </c>
      <c r="AY550" s="25">
        <f>SUMIF($B$401:$B$528,$B550,AY$401:AY$528)</f>
        <v/>
      </c>
      <c r="BA550" s="24">
        <f>SUMIF($B$401:$B$528,$B550,BA$401:BA$528)</f>
        <v/>
      </c>
      <c r="BB550" s="25">
        <f>SUMIF($B$401:$B$528,$B550,BB$401:BB$528)</f>
        <v/>
      </c>
      <c r="BC550" s="25">
        <f>SUMIF($B$401:$B$528,$B550,BC$401:BC$528)</f>
        <v/>
      </c>
      <c r="BD550" s="25">
        <f>SUMIF($B$401:$B$528,$B550,BD$401:BD$528)</f>
        <v/>
      </c>
      <c r="BE550" s="25">
        <f>SUMIF($B$401:$B$528,$B550,BE$401:BE$528)</f>
        <v/>
      </c>
      <c r="BF550" s="25">
        <f>SUMIF($B$401:$B$528,$B550,BF$401:BF$528)</f>
        <v/>
      </c>
      <c r="BG550" s="25">
        <f>SUMIF($B$401:$B$528,$B550,BG$401:BG$528)</f>
        <v/>
      </c>
      <c r="BH550" s="25">
        <f>SUMIF($B$401:$B$528,$B550,BH$401:BH$528)</f>
        <v/>
      </c>
      <c r="BI550" s="25">
        <f>SUMIF($B$401:$B$528,$B550,BI$401:BI$528)</f>
        <v/>
      </c>
      <c r="BJ550" s="25">
        <f>SUMIF($B$401:$B$528,$B550,BJ$401:BJ$528)</f>
        <v/>
      </c>
      <c r="BK550" s="25">
        <f>SUMIF($B$401:$B$528,$B550,BK$401:BK$528)</f>
        <v/>
      </c>
      <c r="BL550" s="25">
        <f>SUMIF($B$401:$B$528,$B550,BL$401:BL$528)</f>
        <v/>
      </c>
      <c r="BM550" s="25">
        <f>SUMIF($B$401:$B$528,$B550,BM$401:BM$528)</f>
        <v/>
      </c>
      <c r="BN550" s="25">
        <f>SUMIF($B$401:$B$528,$B550,BN$401:BN$528)</f>
        <v/>
      </c>
    </row>
    <row r="551">
      <c r="B551" s="5" t="inlineStr">
        <is>
          <t>die</t>
        </is>
      </c>
      <c r="C551" s="5" t="inlineStr">
        <is>
          <t>all</t>
        </is>
      </c>
      <c r="D551" s="5" t="inlineStr">
        <is>
          <t>Total fuel use | Diesel</t>
        </is>
      </c>
      <c r="E551" s="5" t="inlineStr">
        <is>
          <t>ktoe</t>
        </is>
      </c>
      <c r="H551" s="19" t="inlineStr">
        <is>
          <t>mit.enc.die.all</t>
        </is>
      </c>
      <c r="AL551" s="24">
        <f>SUMIF($B$401:$B$528,$B551,AL$401:AL$528)</f>
        <v/>
      </c>
      <c r="AM551" s="25">
        <f>SUMIF($B$401:$B$528,$B551,AM$401:AM$528)</f>
        <v/>
      </c>
      <c r="AN551" s="25">
        <f>SUMIF($B$401:$B$528,$B551,AN$401:AN$528)</f>
        <v/>
      </c>
      <c r="AO551" s="25">
        <f>SUMIF($B$401:$B$528,$B551,AO$401:AO$528)</f>
        <v/>
      </c>
      <c r="AP551" s="25">
        <f>SUMIF($B$401:$B$528,$B551,AP$401:AP$528)</f>
        <v/>
      </c>
      <c r="AQ551" s="25">
        <f>SUMIF($B$401:$B$528,$B551,AQ$401:AQ$528)</f>
        <v/>
      </c>
      <c r="AR551" s="25">
        <f>SUMIF($B$401:$B$528,$B551,AR$401:AR$528)</f>
        <v/>
      </c>
      <c r="AS551" s="25">
        <f>SUMIF($B$401:$B$528,$B551,AS$401:AS$528)</f>
        <v/>
      </c>
      <c r="AT551" s="25">
        <f>SUMIF($B$401:$B$528,$B551,AT$401:AT$528)</f>
        <v/>
      </c>
      <c r="AU551" s="25">
        <f>SUMIF($B$401:$B$528,$B551,AU$401:AU$528)</f>
        <v/>
      </c>
      <c r="AV551" s="25">
        <f>SUMIF($B$401:$B$528,$B551,AV$401:AV$528)</f>
        <v/>
      </c>
      <c r="AW551" s="25">
        <f>SUMIF($B$401:$B$528,$B551,AW$401:AW$528)</f>
        <v/>
      </c>
      <c r="AX551" s="25">
        <f>SUMIF($B$401:$B$528,$B551,AX$401:AX$528)</f>
        <v/>
      </c>
      <c r="AY551" s="25">
        <f>SUMIF($B$401:$B$528,$B551,AY$401:AY$528)</f>
        <v/>
      </c>
      <c r="BA551" s="24">
        <f>SUMIF($B$401:$B$528,$B551,BA$401:BA$528)</f>
        <v/>
      </c>
      <c r="BB551" s="25">
        <f>SUMIF($B$401:$B$528,$B551,BB$401:BB$528)</f>
        <v/>
      </c>
      <c r="BC551" s="25">
        <f>SUMIF($B$401:$B$528,$B551,BC$401:BC$528)</f>
        <v/>
      </c>
      <c r="BD551" s="25">
        <f>SUMIF($B$401:$B$528,$B551,BD$401:BD$528)</f>
        <v/>
      </c>
      <c r="BE551" s="25">
        <f>SUMIF($B$401:$B$528,$B551,BE$401:BE$528)</f>
        <v/>
      </c>
      <c r="BF551" s="25">
        <f>SUMIF($B$401:$B$528,$B551,BF$401:BF$528)</f>
        <v/>
      </c>
      <c r="BG551" s="25">
        <f>SUMIF($B$401:$B$528,$B551,BG$401:BG$528)</f>
        <v/>
      </c>
      <c r="BH551" s="25">
        <f>SUMIF($B$401:$B$528,$B551,BH$401:BH$528)</f>
        <v/>
      </c>
      <c r="BI551" s="25">
        <f>SUMIF($B$401:$B$528,$B551,BI$401:BI$528)</f>
        <v/>
      </c>
      <c r="BJ551" s="25">
        <f>SUMIF($B$401:$B$528,$B551,BJ$401:BJ$528)</f>
        <v/>
      </c>
      <c r="BK551" s="25">
        <f>SUMIF($B$401:$B$528,$B551,BK$401:BK$528)</f>
        <v/>
      </c>
      <c r="BL551" s="25">
        <f>SUMIF($B$401:$B$528,$B551,BL$401:BL$528)</f>
        <v/>
      </c>
      <c r="BM551" s="25">
        <f>SUMIF($B$401:$B$528,$B551,BM$401:BM$528)</f>
        <v/>
      </c>
      <c r="BN551" s="25">
        <f>SUMIF($B$401:$B$528,$B551,BN$401:BN$528)</f>
        <v/>
      </c>
    </row>
    <row r="552">
      <c r="B552" s="5" t="inlineStr">
        <is>
          <t>lpg</t>
        </is>
      </c>
      <c r="C552" s="5" t="inlineStr">
        <is>
          <t>all</t>
        </is>
      </c>
      <c r="D552" s="5" t="inlineStr">
        <is>
          <t>Total fuel use | LPG</t>
        </is>
      </c>
      <c r="E552" s="5" t="inlineStr">
        <is>
          <t>ktoe</t>
        </is>
      </c>
      <c r="H552" s="19" t="inlineStr">
        <is>
          <t>mit.enc.lpg.all</t>
        </is>
      </c>
      <c r="AL552" s="24">
        <f>SUMIF($B$401:$B$528,$B552,AL$401:AL$528)</f>
        <v/>
      </c>
      <c r="AM552" s="25">
        <f>SUMIF($B$401:$B$528,$B552,AM$401:AM$528)</f>
        <v/>
      </c>
      <c r="AN552" s="25">
        <f>SUMIF($B$401:$B$528,$B552,AN$401:AN$528)</f>
        <v/>
      </c>
      <c r="AO552" s="25">
        <f>SUMIF($B$401:$B$528,$B552,AO$401:AO$528)</f>
        <v/>
      </c>
      <c r="AP552" s="25">
        <f>SUMIF($B$401:$B$528,$B552,AP$401:AP$528)</f>
        <v/>
      </c>
      <c r="AQ552" s="25">
        <f>SUMIF($B$401:$B$528,$B552,AQ$401:AQ$528)</f>
        <v/>
      </c>
      <c r="AR552" s="25">
        <f>SUMIF($B$401:$B$528,$B552,AR$401:AR$528)</f>
        <v/>
      </c>
      <c r="AS552" s="25">
        <f>SUMIF($B$401:$B$528,$B552,AS$401:AS$528)</f>
        <v/>
      </c>
      <c r="AT552" s="25">
        <f>SUMIF($B$401:$B$528,$B552,AT$401:AT$528)</f>
        <v/>
      </c>
      <c r="AU552" s="25">
        <f>SUMIF($B$401:$B$528,$B552,AU$401:AU$528)</f>
        <v/>
      </c>
      <c r="AV552" s="25">
        <f>SUMIF($B$401:$B$528,$B552,AV$401:AV$528)</f>
        <v/>
      </c>
      <c r="AW552" s="25">
        <f>SUMIF($B$401:$B$528,$B552,AW$401:AW$528)</f>
        <v/>
      </c>
      <c r="AX552" s="25">
        <f>SUMIF($B$401:$B$528,$B552,AX$401:AX$528)</f>
        <v/>
      </c>
      <c r="AY552" s="25">
        <f>SUMIF($B$401:$B$528,$B552,AY$401:AY$528)</f>
        <v/>
      </c>
      <c r="BA552" s="24">
        <f>SUMIF($B$401:$B$528,$B552,BA$401:BA$528)</f>
        <v/>
      </c>
      <c r="BB552" s="25">
        <f>SUMIF($B$401:$B$528,$B552,BB$401:BB$528)</f>
        <v/>
      </c>
      <c r="BC552" s="25">
        <f>SUMIF($B$401:$B$528,$B552,BC$401:BC$528)</f>
        <v/>
      </c>
      <c r="BD552" s="25">
        <f>SUMIF($B$401:$B$528,$B552,BD$401:BD$528)</f>
        <v/>
      </c>
      <c r="BE552" s="25">
        <f>SUMIF($B$401:$B$528,$B552,BE$401:BE$528)</f>
        <v/>
      </c>
      <c r="BF552" s="25">
        <f>SUMIF($B$401:$B$528,$B552,BF$401:BF$528)</f>
        <v/>
      </c>
      <c r="BG552" s="25">
        <f>SUMIF($B$401:$B$528,$B552,BG$401:BG$528)</f>
        <v/>
      </c>
      <c r="BH552" s="25">
        <f>SUMIF($B$401:$B$528,$B552,BH$401:BH$528)</f>
        <v/>
      </c>
      <c r="BI552" s="25">
        <f>SUMIF($B$401:$B$528,$B552,BI$401:BI$528)</f>
        <v/>
      </c>
      <c r="BJ552" s="25">
        <f>SUMIF($B$401:$B$528,$B552,BJ$401:BJ$528)</f>
        <v/>
      </c>
      <c r="BK552" s="25">
        <f>SUMIF($B$401:$B$528,$B552,BK$401:BK$528)</f>
        <v/>
      </c>
      <c r="BL552" s="25">
        <f>SUMIF($B$401:$B$528,$B552,BL$401:BL$528)</f>
        <v/>
      </c>
      <c r="BM552" s="25">
        <f>SUMIF($B$401:$B$528,$B552,BM$401:BM$528)</f>
        <v/>
      </c>
      <c r="BN552" s="25">
        <f>SUMIF($B$401:$B$528,$B552,BN$401:BN$528)</f>
        <v/>
      </c>
    </row>
    <row r="553">
      <c r="B553" s="5" t="inlineStr">
        <is>
          <t>ker</t>
        </is>
      </c>
      <c r="C553" s="5" t="inlineStr">
        <is>
          <t>all</t>
        </is>
      </c>
      <c r="D553" s="5" t="inlineStr">
        <is>
          <t>Total fuel use | Kerosene</t>
        </is>
      </c>
      <c r="E553" s="5" t="inlineStr">
        <is>
          <t>ktoe</t>
        </is>
      </c>
      <c r="H553" s="19" t="inlineStr">
        <is>
          <t>mit.enc.ker.all</t>
        </is>
      </c>
      <c r="AL553" s="24">
        <f>SUMIF($B$401:$B$528,$B553,AL$401:AL$528)</f>
        <v/>
      </c>
      <c r="AM553" s="25">
        <f>SUMIF($B$401:$B$528,$B553,AM$401:AM$528)</f>
        <v/>
      </c>
      <c r="AN553" s="25">
        <f>SUMIF($B$401:$B$528,$B553,AN$401:AN$528)</f>
        <v/>
      </c>
      <c r="AO553" s="25">
        <f>SUMIF($B$401:$B$528,$B553,AO$401:AO$528)</f>
        <v/>
      </c>
      <c r="AP553" s="25">
        <f>SUMIF($B$401:$B$528,$B553,AP$401:AP$528)</f>
        <v/>
      </c>
      <c r="AQ553" s="25">
        <f>SUMIF($B$401:$B$528,$B553,AQ$401:AQ$528)</f>
        <v/>
      </c>
      <c r="AR553" s="25">
        <f>SUMIF($B$401:$B$528,$B553,AR$401:AR$528)</f>
        <v/>
      </c>
      <c r="AS553" s="25">
        <f>SUMIF($B$401:$B$528,$B553,AS$401:AS$528)</f>
        <v/>
      </c>
      <c r="AT553" s="25">
        <f>SUMIF($B$401:$B$528,$B553,AT$401:AT$528)</f>
        <v/>
      </c>
      <c r="AU553" s="25">
        <f>SUMIF($B$401:$B$528,$B553,AU$401:AU$528)</f>
        <v/>
      </c>
      <c r="AV553" s="25">
        <f>SUMIF($B$401:$B$528,$B553,AV$401:AV$528)</f>
        <v/>
      </c>
      <c r="AW553" s="25">
        <f>SUMIF($B$401:$B$528,$B553,AW$401:AW$528)</f>
        <v/>
      </c>
      <c r="AX553" s="25">
        <f>SUMIF($B$401:$B$528,$B553,AX$401:AX$528)</f>
        <v/>
      </c>
      <c r="AY553" s="25">
        <f>SUMIF($B$401:$B$528,$B553,AY$401:AY$528)</f>
        <v/>
      </c>
      <c r="BA553" s="24">
        <f>SUMIF($B$401:$B$528,$B553,BA$401:BA$528)</f>
        <v/>
      </c>
      <c r="BB553" s="25">
        <f>SUMIF($B$401:$B$528,$B553,BB$401:BB$528)</f>
        <v/>
      </c>
      <c r="BC553" s="25">
        <f>SUMIF($B$401:$B$528,$B553,BC$401:BC$528)</f>
        <v/>
      </c>
      <c r="BD553" s="25">
        <f>SUMIF($B$401:$B$528,$B553,BD$401:BD$528)</f>
        <v/>
      </c>
      <c r="BE553" s="25">
        <f>SUMIF($B$401:$B$528,$B553,BE$401:BE$528)</f>
        <v/>
      </c>
      <c r="BF553" s="25">
        <f>SUMIF($B$401:$B$528,$B553,BF$401:BF$528)</f>
        <v/>
      </c>
      <c r="BG553" s="25">
        <f>SUMIF($B$401:$B$528,$B553,BG$401:BG$528)</f>
        <v/>
      </c>
      <c r="BH553" s="25">
        <f>SUMIF($B$401:$B$528,$B553,BH$401:BH$528)</f>
        <v/>
      </c>
      <c r="BI553" s="25">
        <f>SUMIF($B$401:$B$528,$B553,BI$401:BI$528)</f>
        <v/>
      </c>
      <c r="BJ553" s="25">
        <f>SUMIF($B$401:$B$528,$B553,BJ$401:BJ$528)</f>
        <v/>
      </c>
      <c r="BK553" s="25">
        <f>SUMIF($B$401:$B$528,$B553,BK$401:BK$528)</f>
        <v/>
      </c>
      <c r="BL553" s="25">
        <f>SUMIF($B$401:$B$528,$B553,BL$401:BL$528)</f>
        <v/>
      </c>
      <c r="BM553" s="25">
        <f>SUMIF($B$401:$B$528,$B553,BM$401:BM$528)</f>
        <v/>
      </c>
      <c r="BN553" s="25">
        <f>SUMIF($B$401:$B$528,$B553,BN$401:BN$528)</f>
        <v/>
      </c>
    </row>
    <row r="554">
      <c r="B554" s="5" t="inlineStr">
        <is>
          <t>oop</t>
        </is>
      </c>
      <c r="C554" s="5" t="inlineStr">
        <is>
          <t>all</t>
        </is>
      </c>
      <c r="D554" s="5" t="inlineStr">
        <is>
          <t>Total fuel use | Other oil products</t>
        </is>
      </c>
      <c r="E554" s="5" t="inlineStr">
        <is>
          <t>ktoe</t>
        </is>
      </c>
      <c r="H554" s="19" t="inlineStr">
        <is>
          <t>mit.enc.oop.all</t>
        </is>
      </c>
      <c r="AL554" s="24">
        <f>SUMIF($B$401:$B$528,$B554,AL$401:AL$528)</f>
        <v/>
      </c>
      <c r="AM554" s="25">
        <f>SUMIF($B$401:$B$528,$B554,AM$401:AM$528)</f>
        <v/>
      </c>
      <c r="AN554" s="25">
        <f>SUMIF($B$401:$B$528,$B554,AN$401:AN$528)</f>
        <v/>
      </c>
      <c r="AO554" s="25">
        <f>SUMIF($B$401:$B$528,$B554,AO$401:AO$528)</f>
        <v/>
      </c>
      <c r="AP554" s="25">
        <f>SUMIF($B$401:$B$528,$B554,AP$401:AP$528)</f>
        <v/>
      </c>
      <c r="AQ554" s="25">
        <f>SUMIF($B$401:$B$528,$B554,AQ$401:AQ$528)</f>
        <v/>
      </c>
      <c r="AR554" s="25">
        <f>SUMIF($B$401:$B$528,$B554,AR$401:AR$528)</f>
        <v/>
      </c>
      <c r="AS554" s="25">
        <f>SUMIF($B$401:$B$528,$B554,AS$401:AS$528)</f>
        <v/>
      </c>
      <c r="AT554" s="25">
        <f>SUMIF($B$401:$B$528,$B554,AT$401:AT$528)</f>
        <v/>
      </c>
      <c r="AU554" s="25">
        <f>SUMIF($B$401:$B$528,$B554,AU$401:AU$528)</f>
        <v/>
      </c>
      <c r="AV554" s="25">
        <f>SUMIF($B$401:$B$528,$B554,AV$401:AV$528)</f>
        <v/>
      </c>
      <c r="AW554" s="25">
        <f>SUMIF($B$401:$B$528,$B554,AW$401:AW$528)</f>
        <v/>
      </c>
      <c r="AX554" s="25">
        <f>SUMIF($B$401:$B$528,$B554,AX$401:AX$528)</f>
        <v/>
      </c>
      <c r="AY554" s="25">
        <f>SUMIF($B$401:$B$528,$B554,AY$401:AY$528)</f>
        <v/>
      </c>
      <c r="BA554" s="24">
        <f>SUMIF($B$401:$B$528,$B554,BA$401:BA$528)</f>
        <v/>
      </c>
      <c r="BB554" s="25">
        <f>SUMIF($B$401:$B$528,$B554,BB$401:BB$528)</f>
        <v/>
      </c>
      <c r="BC554" s="25">
        <f>SUMIF($B$401:$B$528,$B554,BC$401:BC$528)</f>
        <v/>
      </c>
      <c r="BD554" s="25">
        <f>SUMIF($B$401:$B$528,$B554,BD$401:BD$528)</f>
        <v/>
      </c>
      <c r="BE554" s="25">
        <f>SUMIF($B$401:$B$528,$B554,BE$401:BE$528)</f>
        <v/>
      </c>
      <c r="BF554" s="25">
        <f>SUMIF($B$401:$B$528,$B554,BF$401:BF$528)</f>
        <v/>
      </c>
      <c r="BG554" s="25">
        <f>SUMIF($B$401:$B$528,$B554,BG$401:BG$528)</f>
        <v/>
      </c>
      <c r="BH554" s="25">
        <f>SUMIF($B$401:$B$528,$B554,BH$401:BH$528)</f>
        <v/>
      </c>
      <c r="BI554" s="25">
        <f>SUMIF($B$401:$B$528,$B554,BI$401:BI$528)</f>
        <v/>
      </c>
      <c r="BJ554" s="25">
        <f>SUMIF($B$401:$B$528,$B554,BJ$401:BJ$528)</f>
        <v/>
      </c>
      <c r="BK554" s="25">
        <f>SUMIF($B$401:$B$528,$B554,BK$401:BK$528)</f>
        <v/>
      </c>
      <c r="BL554" s="25">
        <f>SUMIF($B$401:$B$528,$B554,BL$401:BL$528)</f>
        <v/>
      </c>
      <c r="BM554" s="25">
        <f>SUMIF($B$401:$B$528,$B554,BM$401:BM$528)</f>
        <v/>
      </c>
      <c r="BN554" s="25">
        <f>SUMIF($B$401:$B$528,$B554,BN$401:BN$528)</f>
        <v/>
      </c>
    </row>
    <row r="555">
      <c r="B555" s="5" t="inlineStr">
        <is>
          <t>bio</t>
        </is>
      </c>
      <c r="C555" s="5" t="inlineStr">
        <is>
          <t>all</t>
        </is>
      </c>
      <c r="D555" s="5" t="inlineStr">
        <is>
          <t>Total fuel use | Biomass</t>
        </is>
      </c>
      <c r="E555" s="5" t="inlineStr">
        <is>
          <t>ktoe</t>
        </is>
      </c>
      <c r="H555" s="19" t="inlineStr">
        <is>
          <t>mit.enc.bio.all</t>
        </is>
      </c>
      <c r="AL555" s="24">
        <f>SUMIF($B$401:$B$528,$B555,AL$401:AL$528)</f>
        <v/>
      </c>
      <c r="AM555" s="25">
        <f>SUMIF($B$401:$B$528,$B555,AM$401:AM$528)</f>
        <v/>
      </c>
      <c r="AN555" s="25">
        <f>SUMIF($B$401:$B$528,$B555,AN$401:AN$528)</f>
        <v/>
      </c>
      <c r="AO555" s="25">
        <f>SUMIF($B$401:$B$528,$B555,AO$401:AO$528)</f>
        <v/>
      </c>
      <c r="AP555" s="25">
        <f>SUMIF($B$401:$B$528,$B555,AP$401:AP$528)</f>
        <v/>
      </c>
      <c r="AQ555" s="25">
        <f>SUMIF($B$401:$B$528,$B555,AQ$401:AQ$528)</f>
        <v/>
      </c>
      <c r="AR555" s="25">
        <f>SUMIF($B$401:$B$528,$B555,AR$401:AR$528)</f>
        <v/>
      </c>
      <c r="AS555" s="25">
        <f>SUMIF($B$401:$B$528,$B555,AS$401:AS$528)</f>
        <v/>
      </c>
      <c r="AT555" s="25">
        <f>SUMIF($B$401:$B$528,$B555,AT$401:AT$528)</f>
        <v/>
      </c>
      <c r="AU555" s="25">
        <f>SUMIF($B$401:$B$528,$B555,AU$401:AU$528)</f>
        <v/>
      </c>
      <c r="AV555" s="25">
        <f>SUMIF($B$401:$B$528,$B555,AV$401:AV$528)</f>
        <v/>
      </c>
      <c r="AW555" s="25">
        <f>SUMIF($B$401:$B$528,$B555,AW$401:AW$528)</f>
        <v/>
      </c>
      <c r="AX555" s="25">
        <f>SUMIF($B$401:$B$528,$B555,AX$401:AX$528)</f>
        <v/>
      </c>
      <c r="AY555" s="25">
        <f>SUMIF($B$401:$B$528,$B555,AY$401:AY$528)</f>
        <v/>
      </c>
      <c r="BA555" s="24">
        <f>SUMIF($B$401:$B$528,$B555,BA$401:BA$528)</f>
        <v/>
      </c>
      <c r="BB555" s="25">
        <f>SUMIF($B$401:$B$528,$B555,BB$401:BB$528)</f>
        <v/>
      </c>
      <c r="BC555" s="25">
        <f>SUMIF($B$401:$B$528,$B555,BC$401:BC$528)</f>
        <v/>
      </c>
      <c r="BD555" s="25">
        <f>SUMIF($B$401:$B$528,$B555,BD$401:BD$528)</f>
        <v/>
      </c>
      <c r="BE555" s="25">
        <f>SUMIF($B$401:$B$528,$B555,BE$401:BE$528)</f>
        <v/>
      </c>
      <c r="BF555" s="25">
        <f>SUMIF($B$401:$B$528,$B555,BF$401:BF$528)</f>
        <v/>
      </c>
      <c r="BG555" s="25">
        <f>SUMIF($B$401:$B$528,$B555,BG$401:BG$528)</f>
        <v/>
      </c>
      <c r="BH555" s="25">
        <f>SUMIF($B$401:$B$528,$B555,BH$401:BH$528)</f>
        <v/>
      </c>
      <c r="BI555" s="25">
        <f>SUMIF($B$401:$B$528,$B555,BI$401:BI$528)</f>
        <v/>
      </c>
      <c r="BJ555" s="25">
        <f>SUMIF($B$401:$B$528,$B555,BJ$401:BJ$528)</f>
        <v/>
      </c>
      <c r="BK555" s="25">
        <f>SUMIF($B$401:$B$528,$B555,BK$401:BK$528)</f>
        <v/>
      </c>
      <c r="BL555" s="25">
        <f>SUMIF($B$401:$B$528,$B555,BL$401:BL$528)</f>
        <v/>
      </c>
      <c r="BM555" s="25">
        <f>SUMIF($B$401:$B$528,$B555,BM$401:BM$528)</f>
        <v/>
      </c>
      <c r="BN555" s="25">
        <f>SUMIF($B$401:$B$528,$B555,BN$401:BN$528)</f>
        <v/>
      </c>
    </row>
    <row r="557">
      <c r="D557" s="8" t="inlineStr">
        <is>
          <t>Total fuel use (all subsectors, all fuels)</t>
        </is>
      </c>
      <c r="E557" s="5" t="inlineStr">
        <is>
          <t>ktoe</t>
        </is>
      </c>
      <c r="H557" s="19" t="inlineStr">
        <is>
          <t>mit.enc.all.all</t>
        </is>
      </c>
      <c r="AL557" s="24">
        <f>SUM(AL531:AL546)</f>
        <v/>
      </c>
      <c r="AM557" s="25">
        <f>SUM(AM531:AM546)</f>
        <v/>
      </c>
      <c r="AN557" s="25">
        <f>SUM(AN531:AN546)</f>
        <v/>
      </c>
      <c r="AO557" s="25">
        <f>SUM(AO531:AO546)</f>
        <v/>
      </c>
      <c r="AP557" s="25">
        <f>SUM(AP531:AP546)</f>
        <v/>
      </c>
      <c r="AQ557" s="25">
        <f>SUM(AQ531:AQ546)</f>
        <v/>
      </c>
      <c r="AR557" s="25">
        <f>SUM(AR531:AR546)</f>
        <v/>
      </c>
      <c r="AS557" s="25">
        <f>SUM(AS531:AS546)</f>
        <v/>
      </c>
      <c r="AT557" s="25">
        <f>SUM(AT531:AT546)</f>
        <v/>
      </c>
      <c r="AU557" s="25">
        <f>SUM(AU531:AU546)</f>
        <v/>
      </c>
      <c r="AV557" s="25">
        <f>SUM(AV531:AV546)</f>
        <v/>
      </c>
      <c r="AW557" s="25">
        <f>SUM(AW531:AW546)</f>
        <v/>
      </c>
      <c r="AX557" s="25">
        <f>SUM(AX531:AX546)</f>
        <v/>
      </c>
      <c r="AY557" s="25">
        <f>SUM(AY531:AY546)</f>
        <v/>
      </c>
      <c r="BA557" s="24">
        <f>SUM(BA531:BA546)</f>
        <v/>
      </c>
      <c r="BB557" s="25">
        <f>SUM(BB531:BB546)</f>
        <v/>
      </c>
      <c r="BC557" s="25">
        <f>SUM(BC531:BC546)</f>
        <v/>
      </c>
      <c r="BD557" s="25">
        <f>SUM(BD531:BD546)</f>
        <v/>
      </c>
      <c r="BE557" s="25">
        <f>SUM(BE531:BE546)</f>
        <v/>
      </c>
      <c r="BF557" s="25">
        <f>SUM(BF531:BF546)</f>
        <v/>
      </c>
      <c r="BG557" s="25">
        <f>SUM(BG531:BG546)</f>
        <v/>
      </c>
      <c r="BH557" s="25">
        <f>SUM(BH531:BH546)</f>
        <v/>
      </c>
      <c r="BI557" s="25">
        <f>SUM(BI531:BI546)</f>
        <v/>
      </c>
      <c r="BJ557" s="25">
        <f>SUM(BJ531:BJ546)</f>
        <v/>
      </c>
      <c r="BK557" s="25">
        <f>SUM(BK531:BK546)</f>
        <v/>
      </c>
      <c r="BL557" s="25">
        <f>SUM(BL531:BL546)</f>
        <v/>
      </c>
      <c r="BM557" s="25">
        <f>SUM(BM531:BM546)</f>
        <v/>
      </c>
      <c r="BN557" s="25">
        <f>SUM(BN531:BN546)</f>
        <v/>
      </c>
    </row>
    <row r="558">
      <c r="D558" s="8" t="inlineStr">
        <is>
          <t>Check: sum by fuel - sum by subsector (should be 0)</t>
        </is>
      </c>
      <c r="E558" s="5" t="inlineStr">
        <is>
          <t>ktoe</t>
        </is>
      </c>
      <c r="AL558" s="26">
        <f>SUM(AL548:AL555)-AL557</f>
        <v/>
      </c>
      <c r="AM558" s="26">
        <f>SUM(AM548:AM555)-AM557</f>
        <v/>
      </c>
      <c r="AN558" s="26">
        <f>SUM(AN548:AN555)-AN557</f>
        <v/>
      </c>
      <c r="AO558" s="26">
        <f>SUM(AO548:AO555)-AO557</f>
        <v/>
      </c>
      <c r="AP558" s="26">
        <f>SUM(AP548:AP555)-AP557</f>
        <v/>
      </c>
      <c r="AQ558" s="26">
        <f>SUM(AQ548:AQ555)-AQ557</f>
        <v/>
      </c>
      <c r="AR558" s="26">
        <f>SUM(AR548:AR555)-AR557</f>
        <v/>
      </c>
      <c r="AS558" s="26">
        <f>SUM(AS548:AS555)-AS557</f>
        <v/>
      </c>
      <c r="AT558" s="26">
        <f>SUM(AT548:AT555)-AT557</f>
        <v/>
      </c>
      <c r="AU558" s="26">
        <f>SUM(AU548:AU555)-AU557</f>
        <v/>
      </c>
      <c r="AV558" s="26">
        <f>SUM(AV548:AV555)-AV557</f>
        <v/>
      </c>
      <c r="AW558" s="26">
        <f>SUM(AW548:AW555)-AW557</f>
        <v/>
      </c>
      <c r="AX558" s="26">
        <f>SUM(AX548:AX555)-AX557</f>
        <v/>
      </c>
      <c r="AY558" s="26">
        <f>SUM(AY548:AY555)-AY557</f>
        <v/>
      </c>
      <c r="BA558" s="26">
        <f>SUM(BA548:BA555)-BA557</f>
        <v/>
      </c>
      <c r="BB558" s="26">
        <f>SUM(BB548:BB555)-BB557</f>
        <v/>
      </c>
      <c r="BC558" s="26">
        <f>SUM(BC548:BC555)-BC557</f>
        <v/>
      </c>
      <c r="BD558" s="26">
        <f>SUM(BD548:BD555)-BD557</f>
        <v/>
      </c>
      <c r="BE558" s="26">
        <f>SUM(BE548:BE555)-BE557</f>
        <v/>
      </c>
      <c r="BF558" s="26">
        <f>SUM(BF548:BF555)-BF557</f>
        <v/>
      </c>
      <c r="BG558" s="26">
        <f>SUM(BG548:BG555)-BG557</f>
        <v/>
      </c>
      <c r="BH558" s="26">
        <f>SUM(BH548:BH555)-BH557</f>
        <v/>
      </c>
      <c r="BI558" s="26">
        <f>SUM(BI548:BI555)-BI557</f>
        <v/>
      </c>
      <c r="BJ558" s="26">
        <f>SUM(BJ548:BJ555)-BJ557</f>
        <v/>
      </c>
      <c r="BK558" s="26">
        <f>SUM(BK548:BK555)-BK557</f>
        <v/>
      </c>
      <c r="BL558" s="26">
        <f>SUM(BL548:BL555)-BL557</f>
        <v/>
      </c>
      <c r="BM558" s="26">
        <f>SUM(BM548:BM555)-BM557</f>
        <v/>
      </c>
      <c r="BN558" s="26">
        <f>SUM(BN548:BN555)-BN557</f>
        <v/>
      </c>
    </row>
    <row r="560">
      <c r="D560" s="8" t="inlineStr">
        <is>
          <t>Total fuel use, scenario group 1 (same year)</t>
        </is>
      </c>
      <c r="E560" s="5" t="inlineStr">
        <is>
          <t>ktoe</t>
        </is>
      </c>
      <c r="AL560" s="24">
        <f>INDEX($AK557:$HH557,MATCH(AL$5,$AK$5:$HH$5,0))</f>
        <v/>
      </c>
      <c r="AM560" s="25">
        <f>INDEX($AK557:$HH557,MATCH(AM$5,$AK$5:$HH$5,0))</f>
        <v/>
      </c>
      <c r="AN560" s="25">
        <f>INDEX($AK557:$HH557,MATCH(AN$5,$AK$5:$HH$5,0))</f>
        <v/>
      </c>
      <c r="AO560" s="25">
        <f>INDEX($AK557:$HH557,MATCH(AO$5,$AK$5:$HH$5,0))</f>
        <v/>
      </c>
      <c r="AP560" s="25">
        <f>INDEX($AK557:$HH557,MATCH(AP$5,$AK$5:$HH$5,0))</f>
        <v/>
      </c>
      <c r="AQ560" s="25">
        <f>INDEX($AK557:$HH557,MATCH(AQ$5,$AK$5:$HH$5,0))</f>
        <v/>
      </c>
      <c r="AR560" s="25">
        <f>INDEX($AK557:$HH557,MATCH(AR$5,$AK$5:$HH$5,0))</f>
        <v/>
      </c>
      <c r="AS560" s="25">
        <f>INDEX($AK557:$HH557,MATCH(AS$5,$AK$5:$HH$5,0))</f>
        <v/>
      </c>
      <c r="AT560" s="25">
        <f>INDEX($AK557:$HH557,MATCH(AT$5,$AK$5:$HH$5,0))</f>
        <v/>
      </c>
      <c r="AU560" s="25">
        <f>INDEX($AK557:$HH557,MATCH(AU$5,$AK$5:$HH$5,0))</f>
        <v/>
      </c>
      <c r="AV560" s="25">
        <f>INDEX($AK557:$HH557,MATCH(AV$5,$AK$5:$HH$5,0))</f>
        <v/>
      </c>
      <c r="AW560" s="25">
        <f>INDEX($AK557:$HH557,MATCH(AW$5,$AK$5:$HH$5,0))</f>
        <v/>
      </c>
      <c r="AX560" s="25">
        <f>INDEX($AK557:$HH557,MATCH(AX$5,$AK$5:$HH$5,0))</f>
        <v/>
      </c>
      <c r="AY560" s="25">
        <f>INDEX($AK557:$HH557,MATCH(AY$5,$AK$5:$HH$5,0))</f>
        <v/>
      </c>
      <c r="BA560" s="24">
        <f>INDEX($AK557:$HH557,MATCH(BA$5,$AK$5:$HH$5,0))</f>
        <v/>
      </c>
      <c r="BB560" s="25">
        <f>INDEX($AK557:$HH557,MATCH(BB$5,$AK$5:$HH$5,0))</f>
        <v/>
      </c>
      <c r="BC560" s="25">
        <f>INDEX($AK557:$HH557,MATCH(BC$5,$AK$5:$HH$5,0))</f>
        <v/>
      </c>
      <c r="BD560" s="25">
        <f>INDEX($AK557:$HH557,MATCH(BD$5,$AK$5:$HH$5,0))</f>
        <v/>
      </c>
      <c r="BE560" s="25">
        <f>INDEX($AK557:$HH557,MATCH(BE$5,$AK$5:$HH$5,0))</f>
        <v/>
      </c>
      <c r="BF560" s="25">
        <f>INDEX($AK557:$HH557,MATCH(BF$5,$AK$5:$HH$5,0))</f>
        <v/>
      </c>
      <c r="BG560" s="25">
        <f>INDEX($AK557:$HH557,MATCH(BG$5,$AK$5:$HH$5,0))</f>
        <v/>
      </c>
      <c r="BH560" s="25">
        <f>INDEX($AK557:$HH557,MATCH(BH$5,$AK$5:$HH$5,0))</f>
        <v/>
      </c>
      <c r="BI560" s="25">
        <f>INDEX($AK557:$HH557,MATCH(BI$5,$AK$5:$HH$5,0))</f>
        <v/>
      </c>
      <c r="BJ560" s="25">
        <f>INDEX($AK557:$HH557,MATCH(BJ$5,$AK$5:$HH$5,0))</f>
        <v/>
      </c>
      <c r="BK560" s="25">
        <f>INDEX($AK557:$HH557,MATCH(BK$5,$AK$5:$HH$5,0))</f>
        <v/>
      </c>
      <c r="BL560" s="25">
        <f>INDEX($AK557:$HH557,MATCH(BL$5,$AK$5:$HH$5,0))</f>
        <v/>
      </c>
      <c r="BM560" s="25">
        <f>INDEX($AK557:$HH557,MATCH(BM$5,$AK$5:$HH$5,0))</f>
        <v/>
      </c>
      <c r="BN560" s="25">
        <f>INDEX($AK557:$HH557,MATCH(BN$5,$AK$5:$HH$5,0))</f>
        <v/>
      </c>
    </row>
    <row r="561">
      <c r="D561" s="8" t="inlineStr">
        <is>
          <t>Change in total fuel use vs scenario group 1</t>
        </is>
      </c>
      <c r="E561" s="5" t="inlineStr">
        <is>
          <t>%</t>
        </is>
      </c>
      <c r="H561" s="19" t="inlineStr">
        <is>
          <t>mit.enc.all.all.pct</t>
        </is>
      </c>
      <c r="AL561" s="27">
        <f>AL557/AL560-1</f>
        <v/>
      </c>
      <c r="AM561" s="28">
        <f>AM557/AM560-1</f>
        <v/>
      </c>
      <c r="AN561" s="28">
        <f>AN557/AN560-1</f>
        <v/>
      </c>
      <c r="AO561" s="28">
        <f>AO557/AO560-1</f>
        <v/>
      </c>
      <c r="AP561" s="28">
        <f>AP557/AP560-1</f>
        <v/>
      </c>
      <c r="AQ561" s="28">
        <f>AQ557/AQ560-1</f>
        <v/>
      </c>
      <c r="AR561" s="28">
        <f>AR557/AR560-1</f>
        <v/>
      </c>
      <c r="AS561" s="28">
        <f>AS557/AS560-1</f>
        <v/>
      </c>
      <c r="AT561" s="28">
        <f>AT557/AT560-1</f>
        <v/>
      </c>
      <c r="AU561" s="28">
        <f>AU557/AU560-1</f>
        <v/>
      </c>
      <c r="AV561" s="28">
        <f>AV557/AV560-1</f>
        <v/>
      </c>
      <c r="AW561" s="28">
        <f>AW557/AW560-1</f>
        <v/>
      </c>
      <c r="AX561" s="28">
        <f>AX557/AX560-1</f>
        <v/>
      </c>
      <c r="AY561" s="28">
        <f>AY557/AY560-1</f>
        <v/>
      </c>
      <c r="BA561" s="27">
        <f>BA557/BA560-1</f>
        <v/>
      </c>
      <c r="BB561" s="28">
        <f>BB557/BB560-1</f>
        <v/>
      </c>
      <c r="BC561" s="28">
        <f>BC557/BC560-1</f>
        <v/>
      </c>
      <c r="BD561" s="28">
        <f>BD557/BD560-1</f>
        <v/>
      </c>
      <c r="BE561" s="28">
        <f>BE557/BE560-1</f>
        <v/>
      </c>
      <c r="BF561" s="28">
        <f>BF557/BF560-1</f>
        <v/>
      </c>
      <c r="BG561" s="28">
        <f>BG557/BG560-1</f>
        <v/>
      </c>
      <c r="BH561" s="28">
        <f>BH557/BH560-1</f>
        <v/>
      </c>
      <c r="BI561" s="28">
        <f>BI557/BI560-1</f>
        <v/>
      </c>
      <c r="BJ561" s="28">
        <f>BJ557/BJ560-1</f>
        <v/>
      </c>
      <c r="BK561" s="28">
        <f>BK557/BK560-1</f>
        <v/>
      </c>
      <c r="BL561" s="28">
        <f>BL557/BL560-1</f>
        <v/>
      </c>
      <c r="BM561" s="28">
        <f>BM557/BM560-1</f>
        <v/>
      </c>
      <c r="BN561" s="28">
        <f>BN557/BN560-1</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2:H35"/>
  <sheetViews>
    <sheetView workbookViewId="0">
      <selection activeCell="A1" sqref="A1"/>
    </sheetView>
  </sheetViews>
  <sheetFormatPr baseColWidth="8" defaultRowHeight="15"/>
  <cols>
    <col width="26" customWidth="1" min="2" max="2"/>
    <col width="16" customWidth="1" min="3" max="3"/>
    <col width="16" customWidth="1" min="4" max="4"/>
    <col width="16" customWidth="1" min="5" max="5"/>
    <col width="16" customWidth="1" min="6" max="6"/>
    <col width="16" customWidth="1" min="7" max="7"/>
  </cols>
  <sheetData>
    <row r="2">
      <c r="A2" s="1" t="inlineStr">
        <is>
          <t>Mapping: subsectors and fuels to CPAT parameter groups</t>
        </is>
      </c>
      <c r="B2" s="2" t="n"/>
      <c r="C2" s="2" t="n"/>
      <c r="D2" s="2" t="n"/>
      <c r="E2" s="2" t="n"/>
      <c r="F2" s="2" t="n"/>
      <c r="G2" s="2" t="n"/>
      <c r="H2" s="2" t="n"/>
    </row>
    <row r="3">
      <c r="A3" s="8" t="inlineStr">
        <is>
          <t>Subsectors</t>
        </is>
      </c>
    </row>
    <row r="4">
      <c r="A4" s="7" t="inlineStr">
        <is>
          <t>Code</t>
        </is>
      </c>
      <c r="B4" s="7" t="inlineStr">
        <is>
          <t>Name</t>
        </is>
      </c>
      <c r="C4" s="7" t="inlineStr">
        <is>
          <t>Group</t>
        </is>
      </c>
      <c r="D4" s="7" t="inlineStr">
        <is>
          <t>Elasticity sector</t>
        </is>
      </c>
      <c r="E4" s="7" t="inlineStr">
        <is>
          <t>EF sector</t>
        </is>
      </c>
      <c r="F4" s="7" t="inlineStr">
        <is>
          <t>Coal/gas price sector</t>
        </is>
      </c>
      <c r="G4" s="7" t="inlineStr">
        <is>
          <t>Carbon-price coverage</t>
        </is>
      </c>
    </row>
    <row r="5">
      <c r="A5" s="5" t="inlineStr">
        <is>
          <t>rod</t>
        </is>
      </c>
      <c r="B5" s="5" t="inlineStr">
        <is>
          <t>Road</t>
        </is>
      </c>
      <c r="C5" s="6" t="inlineStr">
        <is>
          <t>tra</t>
        </is>
      </c>
      <c r="D5" s="6" t="inlineStr">
        <is>
          <t>tra</t>
        </is>
      </c>
      <c r="E5" s="6" t="inlineStr">
        <is>
          <t>rod</t>
        </is>
      </c>
      <c r="F5" s="6" t="inlineStr">
        <is>
          <t>res</t>
        </is>
      </c>
      <c r="G5" s="6" t="n">
        <v>1</v>
      </c>
    </row>
    <row r="6">
      <c r="A6" s="5" t="inlineStr">
        <is>
          <t>ral</t>
        </is>
      </c>
      <c r="B6" s="5" t="inlineStr">
        <is>
          <t>Rail</t>
        </is>
      </c>
      <c r="C6" s="6" t="inlineStr">
        <is>
          <t>tra</t>
        </is>
      </c>
      <c r="D6" s="6" t="inlineStr">
        <is>
          <t>tra</t>
        </is>
      </c>
      <c r="E6" s="6" t="inlineStr">
        <is>
          <t>rod</t>
        </is>
      </c>
      <c r="F6" s="6" t="inlineStr">
        <is>
          <t>ind</t>
        </is>
      </c>
      <c r="G6" s="6" t="n">
        <v>1</v>
      </c>
    </row>
    <row r="7">
      <c r="A7" s="5" t="inlineStr">
        <is>
          <t>avi</t>
        </is>
      </c>
      <c r="B7" s="5" t="inlineStr">
        <is>
          <t>Domestic aviation</t>
        </is>
      </c>
      <c r="C7" s="6" t="inlineStr">
        <is>
          <t>tra</t>
        </is>
      </c>
      <c r="D7" s="6" t="inlineStr">
        <is>
          <t>tra</t>
        </is>
      </c>
      <c r="E7" s="6" t="inlineStr">
        <is>
          <t>rod</t>
        </is>
      </c>
      <c r="F7" s="6" t="inlineStr">
        <is>
          <t>ind</t>
        </is>
      </c>
      <c r="G7" s="6" t="n">
        <v>1</v>
      </c>
    </row>
    <row r="8">
      <c r="A8" s="5" t="inlineStr">
        <is>
          <t>nav</t>
        </is>
      </c>
      <c r="B8" s="5" t="inlineStr">
        <is>
          <t>Domestic navigation</t>
        </is>
      </c>
      <c r="C8" s="6" t="inlineStr">
        <is>
          <t>tra</t>
        </is>
      </c>
      <c r="D8" s="6" t="inlineStr">
        <is>
          <t>tra</t>
        </is>
      </c>
      <c r="E8" s="6" t="inlineStr">
        <is>
          <t>rod</t>
        </is>
      </c>
      <c r="F8" s="6" t="inlineStr">
        <is>
          <t>ind</t>
        </is>
      </c>
      <c r="G8" s="6" t="n">
        <v>1</v>
      </c>
    </row>
    <row r="9">
      <c r="A9" s="5" t="inlineStr">
        <is>
          <t>res</t>
        </is>
      </c>
      <c r="B9" s="5" t="inlineStr">
        <is>
          <t>Residential</t>
        </is>
      </c>
      <c r="C9" s="6" t="inlineStr">
        <is>
          <t>bld</t>
        </is>
      </c>
      <c r="D9" s="6" t="inlineStr">
        <is>
          <t>res</t>
        </is>
      </c>
      <c r="E9" s="6" t="inlineStr">
        <is>
          <t>res</t>
        </is>
      </c>
      <c r="F9" s="6" t="inlineStr">
        <is>
          <t>res</t>
        </is>
      </c>
      <c r="G9" s="6" t="n">
        <v>1</v>
      </c>
    </row>
    <row r="10">
      <c r="A10" s="5" t="inlineStr">
        <is>
          <t>foo</t>
        </is>
      </c>
      <c r="B10" s="5" t="inlineStr">
        <is>
          <t>Food &amp; forestry</t>
        </is>
      </c>
      <c r="C10" s="6" t="inlineStr">
        <is>
          <t>bld</t>
        </is>
      </c>
      <c r="D10" s="6" t="inlineStr">
        <is>
          <t>ind</t>
        </is>
      </c>
      <c r="E10" s="6" t="inlineStr">
        <is>
          <t>res</t>
        </is>
      </c>
      <c r="F10" s="6" t="inlineStr">
        <is>
          <t>ind</t>
        </is>
      </c>
      <c r="G10" s="6" t="n">
        <v>1</v>
      </c>
    </row>
    <row r="11">
      <c r="A11" s="5" t="inlineStr">
        <is>
          <t>srv</t>
        </is>
      </c>
      <c r="B11" s="5" t="inlineStr">
        <is>
          <t>Services (public &amp; private)</t>
        </is>
      </c>
      <c r="C11" s="6" t="inlineStr">
        <is>
          <t>bld</t>
        </is>
      </c>
      <c r="D11" s="6" t="inlineStr">
        <is>
          <t>srv</t>
        </is>
      </c>
      <c r="E11" s="6" t="inlineStr">
        <is>
          <t>res</t>
        </is>
      </c>
      <c r="F11" s="6" t="inlineStr">
        <is>
          <t>ind</t>
        </is>
      </c>
      <c r="G11" s="6" t="n">
        <v>1</v>
      </c>
    </row>
    <row r="12">
      <c r="A12" s="5" t="inlineStr">
        <is>
          <t>mch</t>
        </is>
      </c>
      <c r="B12" s="5" t="inlineStr">
        <is>
          <t>Mining &amp; chemicals</t>
        </is>
      </c>
      <c r="C12" s="6" t="inlineStr">
        <is>
          <t>ind</t>
        </is>
      </c>
      <c r="D12" s="6" t="inlineStr">
        <is>
          <t>ind</t>
        </is>
      </c>
      <c r="E12" s="6" t="inlineStr">
        <is>
          <t>ind</t>
        </is>
      </c>
      <c r="F12" s="6" t="inlineStr">
        <is>
          <t>ind</t>
        </is>
      </c>
      <c r="G12" s="6" t="n">
        <v>1</v>
      </c>
    </row>
    <row r="13">
      <c r="A13" s="5" t="inlineStr">
        <is>
          <t>irn</t>
        </is>
      </c>
      <c r="B13" s="5" t="inlineStr">
        <is>
          <t>Iron &amp; steel</t>
        </is>
      </c>
      <c r="C13" s="6" t="inlineStr">
        <is>
          <t>ind</t>
        </is>
      </c>
      <c r="D13" s="6" t="inlineStr">
        <is>
          <t>ind</t>
        </is>
      </c>
      <c r="E13" s="6" t="inlineStr">
        <is>
          <t>ind</t>
        </is>
      </c>
      <c r="F13" s="6" t="inlineStr">
        <is>
          <t>ind</t>
        </is>
      </c>
      <c r="G13" s="6" t="n">
        <v>1</v>
      </c>
    </row>
    <row r="14">
      <c r="A14" s="5" t="inlineStr">
        <is>
          <t>nfm</t>
        </is>
      </c>
      <c r="B14" s="5" t="inlineStr">
        <is>
          <t>Other metals</t>
        </is>
      </c>
      <c r="C14" s="6" t="inlineStr">
        <is>
          <t>ind</t>
        </is>
      </c>
      <c r="D14" s="6" t="inlineStr">
        <is>
          <t>ind</t>
        </is>
      </c>
      <c r="E14" s="6" t="inlineStr">
        <is>
          <t>ind</t>
        </is>
      </c>
      <c r="F14" s="6" t="inlineStr">
        <is>
          <t>ind</t>
        </is>
      </c>
      <c r="G14" s="6" t="n">
        <v>1</v>
      </c>
    </row>
    <row r="15">
      <c r="A15" s="5" t="inlineStr">
        <is>
          <t>mac</t>
        </is>
      </c>
      <c r="B15" s="5" t="inlineStr">
        <is>
          <t>Machinery</t>
        </is>
      </c>
      <c r="C15" s="6" t="inlineStr">
        <is>
          <t>ind</t>
        </is>
      </c>
      <c r="D15" s="6" t="inlineStr">
        <is>
          <t>ind</t>
        </is>
      </c>
      <c r="E15" s="6" t="inlineStr">
        <is>
          <t>ind</t>
        </is>
      </c>
      <c r="F15" s="6" t="inlineStr">
        <is>
          <t>ind</t>
        </is>
      </c>
      <c r="G15" s="6" t="n">
        <v>1</v>
      </c>
    </row>
    <row r="16">
      <c r="A16" s="5" t="inlineStr">
        <is>
          <t>cem</t>
        </is>
      </c>
      <c r="B16" s="5" t="inlineStr">
        <is>
          <t>Cement</t>
        </is>
      </c>
      <c r="C16" s="6" t="inlineStr">
        <is>
          <t>ind</t>
        </is>
      </c>
      <c r="D16" s="6" t="inlineStr">
        <is>
          <t>ind</t>
        </is>
      </c>
      <c r="E16" s="6" t="inlineStr">
        <is>
          <t>ind</t>
        </is>
      </c>
      <c r="F16" s="6" t="inlineStr">
        <is>
          <t>ind</t>
        </is>
      </c>
      <c r="G16" s="6" t="n">
        <v>1</v>
      </c>
    </row>
    <row r="17">
      <c r="A17" s="5" t="inlineStr">
        <is>
          <t>omn</t>
        </is>
      </c>
      <c r="B17" s="5" t="inlineStr">
        <is>
          <t>Other manufacturing</t>
        </is>
      </c>
      <c r="C17" s="6" t="inlineStr">
        <is>
          <t>ind</t>
        </is>
      </c>
      <c r="D17" s="6" t="inlineStr">
        <is>
          <t>ind</t>
        </is>
      </c>
      <c r="E17" s="6" t="inlineStr">
        <is>
          <t>ind</t>
        </is>
      </c>
      <c r="F17" s="6" t="inlineStr">
        <is>
          <t>ind</t>
        </is>
      </c>
      <c r="G17" s="6" t="n">
        <v>1</v>
      </c>
    </row>
    <row r="18">
      <c r="A18" s="5" t="inlineStr">
        <is>
          <t>cst</t>
        </is>
      </c>
      <c r="B18" s="5" t="inlineStr">
        <is>
          <t>Construction</t>
        </is>
      </c>
      <c r="C18" s="6" t="inlineStr">
        <is>
          <t>ind</t>
        </is>
      </c>
      <c r="D18" s="6" t="inlineStr">
        <is>
          <t>ind</t>
        </is>
      </c>
      <c r="E18" s="6" t="inlineStr">
        <is>
          <t>ind</t>
        </is>
      </c>
      <c r="F18" s="6" t="inlineStr">
        <is>
          <t>ind</t>
        </is>
      </c>
      <c r="G18" s="6" t="n">
        <v>1</v>
      </c>
    </row>
    <row r="19">
      <c r="A19" s="5" t="inlineStr">
        <is>
          <t>ftr</t>
        </is>
      </c>
      <c r="B19" s="5" t="inlineStr">
        <is>
          <t>Fuel transformation</t>
        </is>
      </c>
      <c r="C19" s="6" t="inlineStr">
        <is>
          <t>ind</t>
        </is>
      </c>
      <c r="D19" s="6" t="inlineStr">
        <is>
          <t>ind</t>
        </is>
      </c>
      <c r="E19" s="6" t="inlineStr">
        <is>
          <t>ind</t>
        </is>
      </c>
      <c r="F19" s="6" t="inlineStr">
        <is>
          <t>ind</t>
        </is>
      </c>
      <c r="G19" s="6" t="n">
        <v>1</v>
      </c>
    </row>
    <row r="20">
      <c r="A20" s="5" t="inlineStr">
        <is>
          <t>oen</t>
        </is>
      </c>
      <c r="B20" s="5" t="inlineStr">
        <is>
          <t>Other energy use</t>
        </is>
      </c>
      <c r="C20" s="6" t="inlineStr">
        <is>
          <t>oen</t>
        </is>
      </c>
      <c r="D20" s="6" t="inlineStr">
        <is>
          <t>ind</t>
        </is>
      </c>
      <c r="E20" s="6" t="inlineStr">
        <is>
          <t>ind</t>
        </is>
      </c>
      <c r="F20" s="6" t="inlineStr">
        <is>
          <t>ind</t>
        </is>
      </c>
      <c r="G20" s="6" t="n">
        <v>0</v>
      </c>
    </row>
    <row r="22">
      <c r="A22" s="8" t="inlineStr">
        <is>
          <t>Fuels</t>
        </is>
      </c>
    </row>
    <row r="23">
      <c r="A23" s="7" t="inlineStr">
        <is>
          <t>Code</t>
        </is>
      </c>
      <c r="B23" s="7" t="inlineStr">
        <is>
          <t>Name</t>
        </is>
      </c>
      <c r="C23" s="7" t="inlineStr">
        <is>
          <t>Elasticity fuel</t>
        </is>
      </c>
      <c r="D23" s="7" t="inlineStr">
        <is>
          <t>AEEI fuel</t>
        </is>
      </c>
      <c r="E23" s="7" t="inlineStr">
        <is>
          <t>Price sector rule</t>
        </is>
      </c>
      <c r="F23" s="7" t="inlineStr">
        <is>
          <t>Price unit</t>
        </is>
      </c>
      <c r="G23" s="7" t="inlineStr">
        <is>
          <t>GJ per price unit</t>
        </is>
      </c>
    </row>
    <row r="24">
      <c r="A24" s="5" t="inlineStr">
        <is>
          <t>coa</t>
        </is>
      </c>
      <c r="B24" s="5" t="inlineStr">
        <is>
          <t>Coal</t>
        </is>
      </c>
      <c r="C24" s="6" t="inlineStr">
        <is>
          <t>coa</t>
        </is>
      </c>
      <c r="D24" s="6" t="inlineStr">
        <is>
          <t>coa</t>
        </is>
      </c>
      <c r="E24" s="6" t="inlineStr">
        <is>
          <t>sub</t>
        </is>
      </c>
      <c r="F24" s="6" t="inlineStr">
        <is>
          <t>$/GJ</t>
        </is>
      </c>
      <c r="G24" s="6" t="n">
        <v>1</v>
      </c>
    </row>
    <row r="25">
      <c r="A25" s="5" t="inlineStr">
        <is>
          <t>nga</t>
        </is>
      </c>
      <c r="B25" s="5" t="inlineStr">
        <is>
          <t>Natural gas</t>
        </is>
      </c>
      <c r="C25" s="6" t="inlineStr">
        <is>
          <t>nga</t>
        </is>
      </c>
      <c r="D25" s="6" t="inlineStr">
        <is>
          <t>nga</t>
        </is>
      </c>
      <c r="E25" s="6" t="inlineStr">
        <is>
          <t>sub</t>
        </is>
      </c>
      <c r="F25" s="6" t="inlineStr">
        <is>
          <t>$/GJ</t>
        </is>
      </c>
      <c r="G25" s="6" t="n">
        <v>1</v>
      </c>
    </row>
    <row r="26">
      <c r="A26" s="5" t="inlineStr">
        <is>
          <t>gso</t>
        </is>
      </c>
      <c r="B26" s="5" t="inlineStr">
        <is>
          <t>Gasoline</t>
        </is>
      </c>
      <c r="C26" s="6" t="inlineStr">
        <is>
          <t>gso</t>
        </is>
      </c>
      <c r="D26" s="6" t="inlineStr">
        <is>
          <t>oil</t>
        </is>
      </c>
      <c r="E26" s="6" t="inlineStr">
        <is>
          <t>all</t>
        </is>
      </c>
      <c r="F26" s="6" t="inlineStr">
        <is>
          <t>$/liter</t>
        </is>
      </c>
      <c r="G26" s="6" t="n">
        <v>0.03496974000000001</v>
      </c>
    </row>
    <row r="27">
      <c r="A27" s="5" t="inlineStr">
        <is>
          <t>die</t>
        </is>
      </c>
      <c r="B27" s="5" t="inlineStr">
        <is>
          <t>Diesel</t>
        </is>
      </c>
      <c r="C27" s="6" t="inlineStr">
        <is>
          <t>die</t>
        </is>
      </c>
      <c r="D27" s="6" t="inlineStr">
        <is>
          <t>oil</t>
        </is>
      </c>
      <c r="E27" s="6" t="inlineStr">
        <is>
          <t>all</t>
        </is>
      </c>
      <c r="F27" s="6" t="inlineStr">
        <is>
          <t>$/liter</t>
        </is>
      </c>
      <c r="G27" s="6" t="n">
        <v>0.03729519000000001</v>
      </c>
    </row>
    <row r="28">
      <c r="A28" s="5" t="inlineStr">
        <is>
          <t>lpg</t>
        </is>
      </c>
      <c r="B28" s="5" t="inlineStr">
        <is>
          <t>LPG</t>
        </is>
      </c>
      <c r="C28" s="6" t="inlineStr">
        <is>
          <t>oil</t>
        </is>
      </c>
      <c r="D28" s="6" t="inlineStr">
        <is>
          <t>oil</t>
        </is>
      </c>
      <c r="E28" s="6" t="inlineStr">
        <is>
          <t>all</t>
        </is>
      </c>
      <c r="F28" s="6" t="inlineStr">
        <is>
          <t>$/liter</t>
        </is>
      </c>
      <c r="G28" s="6" t="n">
        <v>0.02577968854495125</v>
      </c>
    </row>
    <row r="29">
      <c r="A29" s="5" t="inlineStr">
        <is>
          <t>ker</t>
        </is>
      </c>
      <c r="B29" s="5" t="inlineStr">
        <is>
          <t>Kerosene</t>
        </is>
      </c>
      <c r="C29" s="6" t="inlineStr">
        <is>
          <t>oil</t>
        </is>
      </c>
      <c r="D29" s="6" t="inlineStr">
        <is>
          <t>oil</t>
        </is>
      </c>
      <c r="E29" s="6" t="inlineStr">
        <is>
          <t>all</t>
        </is>
      </c>
      <c r="F29" s="6" t="inlineStr">
        <is>
          <t>$/liter</t>
        </is>
      </c>
      <c r="G29" s="6" t="n">
        <v>0.03774882965510715</v>
      </c>
    </row>
    <row r="30">
      <c r="A30" s="5" t="inlineStr">
        <is>
          <t>oop</t>
        </is>
      </c>
      <c r="B30" s="5" t="inlineStr">
        <is>
          <t>Other oil products</t>
        </is>
      </c>
      <c r="C30" s="6" t="inlineStr">
        <is>
          <t>oil</t>
        </is>
      </c>
      <c r="D30" s="6" t="inlineStr">
        <is>
          <t>oil</t>
        </is>
      </c>
      <c r="E30" s="6" t="inlineStr">
        <is>
          <t>all</t>
        </is>
      </c>
      <c r="F30" s="6" t="inlineStr">
        <is>
          <t>$/bbl</t>
        </is>
      </c>
      <c r="G30" s="6" t="n">
        <v>6.12</v>
      </c>
    </row>
    <row r="31">
      <c r="A31" s="5" t="inlineStr">
        <is>
          <t>bio</t>
        </is>
      </c>
      <c r="B31" s="5" t="inlineStr">
        <is>
          <t>Biomass</t>
        </is>
      </c>
      <c r="C31" s="6" t="inlineStr">
        <is>
          <t>bio</t>
        </is>
      </c>
      <c r="D31" s="6" t="inlineStr">
        <is>
          <t>bio</t>
        </is>
      </c>
      <c r="E31" s="6" t="inlineStr">
        <is>
          <t>all</t>
        </is>
      </c>
      <c r="F31" s="6" t="inlineStr">
        <is>
          <t>$/GJ</t>
        </is>
      </c>
      <c r="G31" s="6" t="n">
        <v>1</v>
      </c>
    </row>
    <row r="33">
      <c r="A33" s="5" t="inlineStr">
        <is>
          <t>Price sector rule: 'sub' = use the subsector's coal/gas price sector (res or ind, as CPAT: rod and res use residential coal/gas prices); 'all' = the fuel's single price.</t>
        </is>
      </c>
    </row>
    <row r="34">
      <c r="A34" s="5" t="inlineStr">
        <is>
          <t>GJ per price unit: legacy Mitigation rows 980-1009, conversion factor (volume unit to GJ).</t>
        </is>
      </c>
    </row>
    <row r="35">
      <c r="A35" s="5" t="inlineStr">
        <is>
          <t>Coverage: legacy docs 3.3.4.6 - no carbon taxes in other energy use (oen).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8" t="inlineStr">
        <is>
          <t>Data sheets follow</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2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s>
  <sheetData>
    <row r="1">
      <c r="A1" s="5" t="inlineStr">
        <is>
          <t>Source: legacy Elasticities rows 138-141 (country columns)</t>
        </is>
      </c>
    </row>
    <row r="2">
      <c r="A2" s="1" t="inlineStr">
        <is>
          <t>Countries: code, region and income group</t>
        </is>
      </c>
      <c r="B2" s="2" t="n"/>
      <c r="C2" s="2" t="n"/>
      <c r="D2" s="2" t="n"/>
      <c r="E2" s="2" t="n"/>
    </row>
    <row r="3">
      <c r="A3" s="7" t="inlineStr">
        <is>
          <t>code</t>
        </is>
      </c>
      <c r="B3" s="7" t="inlineStr">
        <is>
          <t>name</t>
        </is>
      </c>
      <c r="C3" s="7" t="inlineStr">
        <is>
          <t>region</t>
        </is>
      </c>
      <c r="D3" s="7" t="inlineStr">
        <is>
          <t>income_group</t>
        </is>
      </c>
      <c r="E3" s="7" t="inlineStr">
        <is>
          <t>source</t>
        </is>
      </c>
    </row>
    <row r="4">
      <c r="A4" s="5" t="inlineStr">
        <is>
          <t>ABW</t>
        </is>
      </c>
      <c r="B4" s="5" t="inlineStr">
        <is>
          <t>Aruba</t>
        </is>
      </c>
      <c r="C4" s="5" t="inlineStr">
        <is>
          <t>LCN</t>
        </is>
      </c>
      <c r="D4" s="5" t="inlineStr">
        <is>
          <t>HIC</t>
        </is>
      </c>
      <c r="E4" s="5" t="inlineStr">
        <is>
          <t>Elasticities!13:138-141</t>
        </is>
      </c>
    </row>
    <row r="5">
      <c r="A5" s="5" t="inlineStr">
        <is>
          <t>AFG</t>
        </is>
      </c>
      <c r="B5" s="5" t="inlineStr">
        <is>
          <t>Afghanistan</t>
        </is>
      </c>
      <c r="C5" s="5" t="inlineStr">
        <is>
          <t>SAS</t>
        </is>
      </c>
      <c r="D5" s="5" t="inlineStr">
        <is>
          <t>LIC</t>
        </is>
      </c>
      <c r="E5" s="5" t="inlineStr">
        <is>
          <t>Elasticities!14:138-141</t>
        </is>
      </c>
    </row>
    <row r="6">
      <c r="A6" s="5" t="inlineStr">
        <is>
          <t>AGO</t>
        </is>
      </c>
      <c r="B6" s="5" t="inlineStr">
        <is>
          <t>Angola</t>
        </is>
      </c>
      <c r="C6" s="5" t="inlineStr">
        <is>
          <t>SSF</t>
        </is>
      </c>
      <c r="D6" s="5" t="inlineStr">
        <is>
          <t>LMIC</t>
        </is>
      </c>
      <c r="E6" s="5" t="inlineStr">
        <is>
          <t>Elasticities!15:138-141</t>
        </is>
      </c>
    </row>
    <row r="7">
      <c r="A7" s="5" t="inlineStr">
        <is>
          <t>ALB</t>
        </is>
      </c>
      <c r="B7" s="5" t="inlineStr">
        <is>
          <t>Albania</t>
        </is>
      </c>
      <c r="C7" s="5" t="inlineStr">
        <is>
          <t>ECS</t>
        </is>
      </c>
      <c r="D7" s="5" t="inlineStr">
        <is>
          <t>UMIC</t>
        </is>
      </c>
      <c r="E7" s="5" t="inlineStr">
        <is>
          <t>Elasticities!16:138-141</t>
        </is>
      </c>
    </row>
    <row r="8">
      <c r="A8" s="5" t="inlineStr">
        <is>
          <t>AND</t>
        </is>
      </c>
      <c r="B8" s="5" t="inlineStr">
        <is>
          <t>Andorra</t>
        </is>
      </c>
      <c r="C8" s="5" t="inlineStr">
        <is>
          <t>ECS</t>
        </is>
      </c>
      <c r="D8" s="5" t="inlineStr">
        <is>
          <t>HIC</t>
        </is>
      </c>
      <c r="E8" s="5" t="inlineStr">
        <is>
          <t>Elasticities!17:138-141</t>
        </is>
      </c>
    </row>
    <row r="9">
      <c r="A9" s="5" t="inlineStr">
        <is>
          <t>ARE</t>
        </is>
      </c>
      <c r="B9" s="5" t="inlineStr">
        <is>
          <t>United Arab Emirates</t>
        </is>
      </c>
      <c r="C9" s="5" t="inlineStr">
        <is>
          <t>MEA</t>
        </is>
      </c>
      <c r="D9" s="5" t="inlineStr">
        <is>
          <t>HIC</t>
        </is>
      </c>
      <c r="E9" s="5" t="inlineStr">
        <is>
          <t>Elasticities!18:138-141</t>
        </is>
      </c>
    </row>
    <row r="10">
      <c r="A10" s="5" t="inlineStr">
        <is>
          <t>ARG</t>
        </is>
      </c>
      <c r="B10" s="5" t="inlineStr">
        <is>
          <t>Argentina</t>
        </is>
      </c>
      <c r="C10" s="5" t="inlineStr">
        <is>
          <t>LCN</t>
        </is>
      </c>
      <c r="D10" s="5" t="inlineStr">
        <is>
          <t>HIC</t>
        </is>
      </c>
      <c r="E10" s="5" t="inlineStr">
        <is>
          <t>Elasticities!19:138-141</t>
        </is>
      </c>
    </row>
    <row r="11">
      <c r="A11" s="5" t="inlineStr">
        <is>
          <t>ARM</t>
        </is>
      </c>
      <c r="B11" s="5" t="inlineStr">
        <is>
          <t>Armenia</t>
        </is>
      </c>
      <c r="C11" s="5" t="inlineStr">
        <is>
          <t>ECS</t>
        </is>
      </c>
      <c r="D11" s="5" t="inlineStr">
        <is>
          <t>UMIC</t>
        </is>
      </c>
      <c r="E11" s="5" t="inlineStr">
        <is>
          <t>Elasticities!20:138-141</t>
        </is>
      </c>
    </row>
    <row r="12">
      <c r="A12" s="5" t="inlineStr">
        <is>
          <t>ASM</t>
        </is>
      </c>
      <c r="B12" s="5" t="inlineStr">
        <is>
          <t>American Samoa</t>
        </is>
      </c>
      <c r="C12" s="5" t="inlineStr">
        <is>
          <t>EAS</t>
        </is>
      </c>
      <c r="D12" s="5" t="inlineStr">
        <is>
          <t>UMIC</t>
        </is>
      </c>
      <c r="E12" s="5" t="inlineStr">
        <is>
          <t>Elasticities!21:138-141</t>
        </is>
      </c>
    </row>
    <row r="13">
      <c r="A13" s="5" t="inlineStr">
        <is>
          <t>ATG</t>
        </is>
      </c>
      <c r="B13" s="5" t="inlineStr">
        <is>
          <t>Antigua and Barbuda</t>
        </is>
      </c>
      <c r="C13" s="5" t="inlineStr">
        <is>
          <t>LCN</t>
        </is>
      </c>
      <c r="D13" s="5" t="inlineStr">
        <is>
          <t>HIC</t>
        </is>
      </c>
      <c r="E13" s="5" t="inlineStr">
        <is>
          <t>Elasticities!22:138-141</t>
        </is>
      </c>
    </row>
    <row r="14">
      <c r="A14" s="5" t="inlineStr">
        <is>
          <t>AUS</t>
        </is>
      </c>
      <c r="B14" s="5" t="inlineStr">
        <is>
          <t>Australia</t>
        </is>
      </c>
      <c r="C14" s="5" t="inlineStr">
        <is>
          <t>EAS</t>
        </is>
      </c>
      <c r="D14" s="5" t="inlineStr">
        <is>
          <t>HIC</t>
        </is>
      </c>
      <c r="E14" s="5" t="inlineStr">
        <is>
          <t>Elasticities!23:138-141</t>
        </is>
      </c>
    </row>
    <row r="15">
      <c r="A15" s="5" t="inlineStr">
        <is>
          <t>AUT</t>
        </is>
      </c>
      <c r="B15" s="5" t="inlineStr">
        <is>
          <t>Austria</t>
        </is>
      </c>
      <c r="C15" s="5" t="inlineStr">
        <is>
          <t>ECS</t>
        </is>
      </c>
      <c r="D15" s="5" t="inlineStr">
        <is>
          <t>HIC</t>
        </is>
      </c>
      <c r="E15" s="5" t="inlineStr">
        <is>
          <t>Elasticities!24:138-141</t>
        </is>
      </c>
    </row>
    <row r="16">
      <c r="A16" s="5" t="inlineStr">
        <is>
          <t>AZE</t>
        </is>
      </c>
      <c r="B16" s="5" t="inlineStr">
        <is>
          <t>Azerbaijan</t>
        </is>
      </c>
      <c r="C16" s="5" t="inlineStr">
        <is>
          <t>ECS</t>
        </is>
      </c>
      <c r="D16" s="5" t="inlineStr">
        <is>
          <t>UMIC</t>
        </is>
      </c>
      <c r="E16" s="5" t="inlineStr">
        <is>
          <t>Elasticities!25:138-141</t>
        </is>
      </c>
    </row>
    <row r="17">
      <c r="A17" s="5" t="inlineStr">
        <is>
          <t>BDI</t>
        </is>
      </c>
      <c r="B17" s="5" t="inlineStr">
        <is>
          <t>Burundi</t>
        </is>
      </c>
      <c r="C17" s="5" t="inlineStr">
        <is>
          <t>SSF</t>
        </is>
      </c>
      <c r="D17" s="5" t="inlineStr">
        <is>
          <t>LIC</t>
        </is>
      </c>
      <c r="E17" s="5" t="inlineStr">
        <is>
          <t>Elasticities!26:138-141</t>
        </is>
      </c>
    </row>
    <row r="18">
      <c r="A18" s="5" t="inlineStr">
        <is>
          <t>BEL</t>
        </is>
      </c>
      <c r="B18" s="5" t="inlineStr">
        <is>
          <t>Belgium</t>
        </is>
      </c>
      <c r="C18" s="5" t="inlineStr">
        <is>
          <t>ECS</t>
        </is>
      </c>
      <c r="D18" s="5" t="inlineStr">
        <is>
          <t>HIC</t>
        </is>
      </c>
      <c r="E18" s="5" t="inlineStr">
        <is>
          <t>Elasticities!27:138-141</t>
        </is>
      </c>
    </row>
    <row r="19">
      <c r="A19" s="5" t="inlineStr">
        <is>
          <t>BEN</t>
        </is>
      </c>
      <c r="B19" s="5" t="inlineStr">
        <is>
          <t>Benin</t>
        </is>
      </c>
      <c r="C19" s="5" t="inlineStr">
        <is>
          <t>SSF</t>
        </is>
      </c>
      <c r="D19" s="5" t="inlineStr">
        <is>
          <t>LIC</t>
        </is>
      </c>
      <c r="E19" s="5" t="inlineStr">
        <is>
          <t>Elasticities!28:138-141</t>
        </is>
      </c>
    </row>
    <row r="20">
      <c r="A20" s="5" t="inlineStr">
        <is>
          <t>BFA</t>
        </is>
      </c>
      <c r="B20" s="5" t="inlineStr">
        <is>
          <t>Burkina Faso</t>
        </is>
      </c>
      <c r="C20" s="5" t="inlineStr">
        <is>
          <t>SSF</t>
        </is>
      </c>
      <c r="D20" s="5" t="inlineStr">
        <is>
          <t>LIC</t>
        </is>
      </c>
      <c r="E20" s="5" t="inlineStr">
        <is>
          <t>Elasticities!29:138-141</t>
        </is>
      </c>
    </row>
    <row r="21">
      <c r="A21" s="5" t="inlineStr">
        <is>
          <t>BGD</t>
        </is>
      </c>
      <c r="B21" s="5" t="inlineStr">
        <is>
          <t>Bangladesh</t>
        </is>
      </c>
      <c r="C21" s="5" t="inlineStr">
        <is>
          <t>SAS</t>
        </is>
      </c>
      <c r="D21" s="5" t="inlineStr">
        <is>
          <t>LMIC</t>
        </is>
      </c>
      <c r="E21" s="5" t="inlineStr">
        <is>
          <t>Elasticities!30:138-141</t>
        </is>
      </c>
    </row>
    <row r="22">
      <c r="A22" s="5" t="inlineStr">
        <is>
          <t>BGR</t>
        </is>
      </c>
      <c r="B22" s="5" t="inlineStr">
        <is>
          <t>Bulgaria</t>
        </is>
      </c>
      <c r="C22" s="5" t="inlineStr">
        <is>
          <t>ECS</t>
        </is>
      </c>
      <c r="D22" s="5" t="inlineStr">
        <is>
          <t>UMIC</t>
        </is>
      </c>
      <c r="E22" s="5" t="inlineStr">
        <is>
          <t>Elasticities!31:138-141</t>
        </is>
      </c>
    </row>
    <row r="23">
      <c r="A23" s="5" t="inlineStr">
        <is>
          <t>BHR</t>
        </is>
      </c>
      <c r="B23" s="5" t="inlineStr">
        <is>
          <t>Bahrain</t>
        </is>
      </c>
      <c r="C23" s="5" t="inlineStr">
        <is>
          <t>MEA</t>
        </is>
      </c>
      <c r="D23" s="5" t="inlineStr">
        <is>
          <t>HIC</t>
        </is>
      </c>
      <c r="E23" s="5" t="inlineStr">
        <is>
          <t>Elasticities!32:138-141</t>
        </is>
      </c>
    </row>
    <row r="24">
      <c r="A24" s="5" t="inlineStr">
        <is>
          <t>BHS</t>
        </is>
      </c>
      <c r="B24" s="5" t="inlineStr">
        <is>
          <t>Bahamas, The</t>
        </is>
      </c>
      <c r="C24" s="5" t="inlineStr">
        <is>
          <t>LCN</t>
        </is>
      </c>
      <c r="D24" s="5" t="inlineStr">
        <is>
          <t>HIC</t>
        </is>
      </c>
      <c r="E24" s="5" t="inlineStr">
        <is>
          <t>Elasticities!33:138-141</t>
        </is>
      </c>
    </row>
    <row r="25">
      <c r="A25" s="5" t="inlineStr">
        <is>
          <t>BIH</t>
        </is>
      </c>
      <c r="B25" s="5" t="inlineStr">
        <is>
          <t>Bosnia and Herzegovina</t>
        </is>
      </c>
      <c r="C25" s="5" t="inlineStr">
        <is>
          <t>ECS</t>
        </is>
      </c>
      <c r="D25" s="5" t="inlineStr">
        <is>
          <t>UMIC</t>
        </is>
      </c>
      <c r="E25" s="5" t="inlineStr">
        <is>
          <t>Elasticities!34:138-141</t>
        </is>
      </c>
    </row>
    <row r="26">
      <c r="A26" s="5" t="inlineStr">
        <is>
          <t>BLR</t>
        </is>
      </c>
      <c r="B26" s="5" t="inlineStr">
        <is>
          <t>Belarus</t>
        </is>
      </c>
      <c r="C26" s="5" t="inlineStr">
        <is>
          <t>ECS</t>
        </is>
      </c>
      <c r="D26" s="5" t="inlineStr">
        <is>
          <t>UMIC</t>
        </is>
      </c>
      <c r="E26" s="5" t="inlineStr">
        <is>
          <t>Elasticities!35:138-141</t>
        </is>
      </c>
    </row>
    <row r="27">
      <c r="A27" s="5" t="inlineStr">
        <is>
          <t>BLZ</t>
        </is>
      </c>
      <c r="B27" s="5" t="inlineStr">
        <is>
          <t>Belize</t>
        </is>
      </c>
      <c r="C27" s="5" t="inlineStr">
        <is>
          <t>LCN</t>
        </is>
      </c>
      <c r="D27" s="5" t="inlineStr">
        <is>
          <t>UMIC</t>
        </is>
      </c>
      <c r="E27" s="5" t="inlineStr">
        <is>
          <t>Elasticities!36:138-141</t>
        </is>
      </c>
    </row>
    <row r="28">
      <c r="A28" s="5" t="inlineStr">
        <is>
          <t>BMU</t>
        </is>
      </c>
      <c r="B28" s="5" t="inlineStr">
        <is>
          <t>Bermuda</t>
        </is>
      </c>
      <c r="C28" s="5" t="inlineStr">
        <is>
          <t>NAC</t>
        </is>
      </c>
      <c r="D28" s="5" t="inlineStr">
        <is>
          <t>HIC</t>
        </is>
      </c>
      <c r="E28" s="5" t="inlineStr">
        <is>
          <t>Elasticities!37:138-141</t>
        </is>
      </c>
    </row>
    <row r="29">
      <c r="A29" s="5" t="inlineStr">
        <is>
          <t>BOL</t>
        </is>
      </c>
      <c r="B29" s="5" t="inlineStr">
        <is>
          <t>Bolivia</t>
        </is>
      </c>
      <c r="C29" s="5" t="inlineStr">
        <is>
          <t>LCN</t>
        </is>
      </c>
      <c r="D29" s="5" t="inlineStr">
        <is>
          <t>LMIC</t>
        </is>
      </c>
      <c r="E29" s="5" t="inlineStr">
        <is>
          <t>Elasticities!38:138-141</t>
        </is>
      </c>
    </row>
    <row r="30">
      <c r="A30" s="5" t="inlineStr">
        <is>
          <t>BRA</t>
        </is>
      </c>
      <c r="B30" s="5" t="inlineStr">
        <is>
          <t>Brazil</t>
        </is>
      </c>
      <c r="C30" s="5" t="inlineStr">
        <is>
          <t>LCN</t>
        </is>
      </c>
      <c r="D30" s="5" t="inlineStr">
        <is>
          <t>UMIC</t>
        </is>
      </c>
      <c r="E30" s="5" t="inlineStr">
        <is>
          <t>Elasticities!39:138-141</t>
        </is>
      </c>
    </row>
    <row r="31">
      <c r="A31" s="5" t="inlineStr">
        <is>
          <t>BRB</t>
        </is>
      </c>
      <c r="B31" s="5" t="inlineStr">
        <is>
          <t>Barbados</t>
        </is>
      </c>
      <c r="C31" s="5" t="inlineStr">
        <is>
          <t>LCN</t>
        </is>
      </c>
      <c r="D31" s="5" t="inlineStr">
        <is>
          <t>HIC</t>
        </is>
      </c>
      <c r="E31" s="5" t="inlineStr">
        <is>
          <t>Elasticities!40:138-141</t>
        </is>
      </c>
    </row>
    <row r="32">
      <c r="A32" s="5" t="inlineStr">
        <is>
          <t>BRN</t>
        </is>
      </c>
      <c r="B32" s="5" t="inlineStr">
        <is>
          <t>Brunei Darussalam</t>
        </is>
      </c>
      <c r="C32" s="5" t="inlineStr">
        <is>
          <t>EAS</t>
        </is>
      </c>
      <c r="D32" s="5" t="inlineStr">
        <is>
          <t>HIC</t>
        </is>
      </c>
      <c r="E32" s="5" t="inlineStr">
        <is>
          <t>Elasticities!41:138-141</t>
        </is>
      </c>
    </row>
    <row r="33">
      <c r="A33" s="5" t="inlineStr">
        <is>
          <t>BTN</t>
        </is>
      </c>
      <c r="B33" s="5" t="inlineStr">
        <is>
          <t>Bhutan</t>
        </is>
      </c>
      <c r="C33" s="5" t="inlineStr">
        <is>
          <t>SAS</t>
        </is>
      </c>
      <c r="D33" s="5" t="inlineStr">
        <is>
          <t>LMIC</t>
        </is>
      </c>
      <c r="E33" s="5" t="inlineStr">
        <is>
          <t>Elasticities!42:138-141</t>
        </is>
      </c>
    </row>
    <row r="34">
      <c r="A34" s="5" t="inlineStr">
        <is>
          <t>BWA</t>
        </is>
      </c>
      <c r="B34" s="5" t="inlineStr">
        <is>
          <t>Botswana</t>
        </is>
      </c>
      <c r="C34" s="5" t="inlineStr">
        <is>
          <t>SSF</t>
        </is>
      </c>
      <c r="D34" s="5" t="inlineStr">
        <is>
          <t>UMIC</t>
        </is>
      </c>
      <c r="E34" s="5" t="inlineStr">
        <is>
          <t>Elasticities!43:138-141</t>
        </is>
      </c>
    </row>
    <row r="35">
      <c r="A35" s="5" t="inlineStr">
        <is>
          <t>CAF</t>
        </is>
      </c>
      <c r="B35" s="5" t="inlineStr">
        <is>
          <t>Central African Republic</t>
        </is>
      </c>
      <c r="C35" s="5" t="inlineStr">
        <is>
          <t>SSF</t>
        </is>
      </c>
      <c r="D35" s="5" t="inlineStr">
        <is>
          <t>LIC</t>
        </is>
      </c>
      <c r="E35" s="5" t="inlineStr">
        <is>
          <t>Elasticities!44:138-141</t>
        </is>
      </c>
    </row>
    <row r="36">
      <c r="A36" s="5" t="inlineStr">
        <is>
          <t>CAN</t>
        </is>
      </c>
      <c r="B36" s="5" t="inlineStr">
        <is>
          <t>Canada</t>
        </is>
      </c>
      <c r="C36" s="5" t="inlineStr">
        <is>
          <t>NAC</t>
        </is>
      </c>
      <c r="D36" s="5" t="inlineStr">
        <is>
          <t>HIC</t>
        </is>
      </c>
      <c r="E36" s="5" t="inlineStr">
        <is>
          <t>Elasticities!45:138-141</t>
        </is>
      </c>
    </row>
    <row r="37">
      <c r="A37" s="5" t="inlineStr">
        <is>
          <t>CHE</t>
        </is>
      </c>
      <c r="B37" s="5" t="inlineStr">
        <is>
          <t>Switzerland</t>
        </is>
      </c>
      <c r="C37" s="5" t="inlineStr">
        <is>
          <t>ECS</t>
        </is>
      </c>
      <c r="D37" s="5" t="inlineStr">
        <is>
          <t>HIC</t>
        </is>
      </c>
      <c r="E37" s="5" t="inlineStr">
        <is>
          <t>Elasticities!46:138-141</t>
        </is>
      </c>
    </row>
    <row r="38">
      <c r="A38" s="5" t="inlineStr">
        <is>
          <t>CHI</t>
        </is>
      </c>
      <c r="B38" s="5" t="inlineStr">
        <is>
          <t>Channel Islands</t>
        </is>
      </c>
      <c r="C38" s="5" t="inlineStr">
        <is>
          <t>ECS</t>
        </is>
      </c>
      <c r="D38" s="5" t="inlineStr">
        <is>
          <t>HIC</t>
        </is>
      </c>
      <c r="E38" s="5" t="inlineStr">
        <is>
          <t>Elasticities!47:138-141</t>
        </is>
      </c>
    </row>
    <row r="39">
      <c r="A39" s="5" t="inlineStr">
        <is>
          <t>CHL</t>
        </is>
      </c>
      <c r="B39" s="5" t="inlineStr">
        <is>
          <t>Chile</t>
        </is>
      </c>
      <c r="C39" s="5" t="inlineStr">
        <is>
          <t>LCN</t>
        </is>
      </c>
      <c r="D39" s="5" t="inlineStr">
        <is>
          <t>HIC</t>
        </is>
      </c>
      <c r="E39" s="5" t="inlineStr">
        <is>
          <t>Elasticities!48:138-141</t>
        </is>
      </c>
    </row>
    <row r="40">
      <c r="A40" s="5" t="inlineStr">
        <is>
          <t>CHN</t>
        </is>
      </c>
      <c r="B40" s="5" t="inlineStr">
        <is>
          <t>China</t>
        </is>
      </c>
      <c r="C40" s="5" t="inlineStr">
        <is>
          <t>EAS</t>
        </is>
      </c>
      <c r="D40" s="5" t="inlineStr">
        <is>
          <t>UMIC</t>
        </is>
      </c>
      <c r="E40" s="5" t="inlineStr">
        <is>
          <t>Elasticities!49:138-141</t>
        </is>
      </c>
    </row>
    <row r="41">
      <c r="A41" s="5" t="inlineStr">
        <is>
          <t>CIV</t>
        </is>
      </c>
      <c r="B41" s="5" t="inlineStr">
        <is>
          <t>Côte d'Ivoire</t>
        </is>
      </c>
      <c r="C41" s="5" t="inlineStr">
        <is>
          <t>SSF</t>
        </is>
      </c>
      <c r="D41" s="5" t="inlineStr">
        <is>
          <t>LMIC</t>
        </is>
      </c>
      <c r="E41" s="5" t="inlineStr">
        <is>
          <t>Elasticities!50:138-141</t>
        </is>
      </c>
    </row>
    <row r="42">
      <c r="A42" s="5" t="inlineStr">
        <is>
          <t>CMR</t>
        </is>
      </c>
      <c r="B42" s="5" t="inlineStr">
        <is>
          <t>Cameroon</t>
        </is>
      </c>
      <c r="C42" s="5" t="inlineStr">
        <is>
          <t>SSF</t>
        </is>
      </c>
      <c r="D42" s="5" t="inlineStr">
        <is>
          <t>LMIC</t>
        </is>
      </c>
      <c r="E42" s="5" t="inlineStr">
        <is>
          <t>Elasticities!51:138-141</t>
        </is>
      </c>
    </row>
    <row r="43">
      <c r="A43" s="5" t="inlineStr">
        <is>
          <t>COD</t>
        </is>
      </c>
      <c r="B43" s="5" t="inlineStr">
        <is>
          <t>Congo, Democratic Republic of the</t>
        </is>
      </c>
      <c r="C43" s="5" t="inlineStr">
        <is>
          <t>SSF</t>
        </is>
      </c>
      <c r="D43" s="5" t="inlineStr">
        <is>
          <t>LIC</t>
        </is>
      </c>
      <c r="E43" s="5" t="inlineStr">
        <is>
          <t>Elasticities!52:138-141</t>
        </is>
      </c>
    </row>
    <row r="44">
      <c r="A44" s="5" t="inlineStr">
        <is>
          <t>COG</t>
        </is>
      </c>
      <c r="B44" s="5" t="inlineStr">
        <is>
          <t>Congo, Republic of</t>
        </is>
      </c>
      <c r="C44" s="5" t="inlineStr">
        <is>
          <t>SSF</t>
        </is>
      </c>
      <c r="D44" s="5" t="inlineStr">
        <is>
          <t>LMIC</t>
        </is>
      </c>
      <c r="E44" s="5" t="inlineStr">
        <is>
          <t>Elasticities!53:138-141</t>
        </is>
      </c>
    </row>
    <row r="45">
      <c r="A45" s="5" t="inlineStr">
        <is>
          <t>COL</t>
        </is>
      </c>
      <c r="B45" s="5" t="inlineStr">
        <is>
          <t>Colombia</t>
        </is>
      </c>
      <c r="C45" s="5" t="inlineStr">
        <is>
          <t>LCN</t>
        </is>
      </c>
      <c r="D45" s="5" t="inlineStr">
        <is>
          <t>UMIC</t>
        </is>
      </c>
      <c r="E45" s="5" t="inlineStr">
        <is>
          <t>Elasticities!54:138-141</t>
        </is>
      </c>
    </row>
    <row r="46">
      <c r="A46" s="5" t="inlineStr">
        <is>
          <t>COM</t>
        </is>
      </c>
      <c r="B46" s="5" t="inlineStr">
        <is>
          <t>Comoros</t>
        </is>
      </c>
      <c r="C46" s="5" t="inlineStr">
        <is>
          <t>SSF</t>
        </is>
      </c>
      <c r="D46" s="5" t="inlineStr">
        <is>
          <t>LIC</t>
        </is>
      </c>
      <c r="E46" s="5" t="inlineStr">
        <is>
          <t>Elasticities!55:138-141</t>
        </is>
      </c>
    </row>
    <row r="47">
      <c r="A47" s="5" t="inlineStr">
        <is>
          <t>CPV</t>
        </is>
      </c>
      <c r="B47" s="5" t="inlineStr">
        <is>
          <t>Cabo Verde</t>
        </is>
      </c>
      <c r="C47" s="5" t="inlineStr">
        <is>
          <t>SSF</t>
        </is>
      </c>
      <c r="D47" s="5" t="inlineStr">
        <is>
          <t>LMIC</t>
        </is>
      </c>
      <c r="E47" s="5" t="inlineStr">
        <is>
          <t>Elasticities!56:138-141</t>
        </is>
      </c>
    </row>
    <row r="48">
      <c r="A48" s="5" t="inlineStr">
        <is>
          <t>CRI</t>
        </is>
      </c>
      <c r="B48" s="5" t="inlineStr">
        <is>
          <t>Costa Rica</t>
        </is>
      </c>
      <c r="C48" s="5" t="inlineStr">
        <is>
          <t>LCN</t>
        </is>
      </c>
      <c r="D48" s="5" t="inlineStr">
        <is>
          <t>UMIC</t>
        </is>
      </c>
      <c r="E48" s="5" t="inlineStr">
        <is>
          <t>Elasticities!57:138-141</t>
        </is>
      </c>
    </row>
    <row r="49">
      <c r="A49" s="5" t="inlineStr">
        <is>
          <t>CUB</t>
        </is>
      </c>
      <c r="B49" s="5" t="inlineStr">
        <is>
          <t>Cuba</t>
        </is>
      </c>
      <c r="C49" s="5" t="inlineStr">
        <is>
          <t>LCN</t>
        </is>
      </c>
      <c r="D49" s="5" t="inlineStr">
        <is>
          <t>UMIC</t>
        </is>
      </c>
      <c r="E49" s="5" t="inlineStr">
        <is>
          <t>Elasticities!58:138-141</t>
        </is>
      </c>
    </row>
    <row r="50">
      <c r="A50" s="5" t="inlineStr">
        <is>
          <t>CUW</t>
        </is>
      </c>
      <c r="B50" s="5" t="inlineStr">
        <is>
          <t>Curaçao</t>
        </is>
      </c>
      <c r="C50" s="5" t="inlineStr">
        <is>
          <t>LCN</t>
        </is>
      </c>
      <c r="D50" s="5" t="inlineStr">
        <is>
          <t>HIC</t>
        </is>
      </c>
      <c r="E50" s="5" t="inlineStr">
        <is>
          <t>Elasticities!59:138-141</t>
        </is>
      </c>
    </row>
    <row r="51">
      <c r="A51" s="5" t="inlineStr">
        <is>
          <t>CYM</t>
        </is>
      </c>
      <c r="B51" s="5" t="inlineStr">
        <is>
          <t>Cayman Islands</t>
        </is>
      </c>
      <c r="C51" s="5" t="inlineStr">
        <is>
          <t>LCN</t>
        </is>
      </c>
      <c r="D51" s="5" t="inlineStr">
        <is>
          <t>HIC</t>
        </is>
      </c>
      <c r="E51" s="5" t="inlineStr">
        <is>
          <t>Elasticities!60:138-141</t>
        </is>
      </c>
    </row>
    <row r="52">
      <c r="A52" s="5" t="inlineStr">
        <is>
          <t>CYP</t>
        </is>
      </c>
      <c r="B52" s="5" t="inlineStr">
        <is>
          <t>Cyprus</t>
        </is>
      </c>
      <c r="C52" s="5" t="inlineStr">
        <is>
          <t>ECS</t>
        </is>
      </c>
      <c r="D52" s="5" t="inlineStr">
        <is>
          <t>HIC</t>
        </is>
      </c>
      <c r="E52" s="5" t="inlineStr">
        <is>
          <t>Elasticities!61:138-141</t>
        </is>
      </c>
    </row>
    <row r="53">
      <c r="A53" s="5" t="inlineStr">
        <is>
          <t>CZE</t>
        </is>
      </c>
      <c r="B53" s="5" t="inlineStr">
        <is>
          <t>Czechia</t>
        </is>
      </c>
      <c r="C53" s="5" t="inlineStr">
        <is>
          <t>ECS</t>
        </is>
      </c>
      <c r="D53" s="5" t="inlineStr">
        <is>
          <t>HIC</t>
        </is>
      </c>
      <c r="E53" s="5" t="inlineStr">
        <is>
          <t>Elasticities!62:138-141</t>
        </is>
      </c>
    </row>
    <row r="54">
      <c r="A54" s="5" t="inlineStr">
        <is>
          <t>DEU</t>
        </is>
      </c>
      <c r="B54" s="5" t="inlineStr">
        <is>
          <t>Germany</t>
        </is>
      </c>
      <c r="C54" s="5" t="inlineStr">
        <is>
          <t>ECS</t>
        </is>
      </c>
      <c r="D54" s="5" t="inlineStr">
        <is>
          <t>HIC</t>
        </is>
      </c>
      <c r="E54" s="5" t="inlineStr">
        <is>
          <t>Elasticities!63:138-141</t>
        </is>
      </c>
    </row>
    <row r="55">
      <c r="A55" s="5" t="inlineStr">
        <is>
          <t>DJI</t>
        </is>
      </c>
      <c r="B55" s="5" t="inlineStr">
        <is>
          <t>Djibouti</t>
        </is>
      </c>
      <c r="C55" s="5" t="inlineStr">
        <is>
          <t>MEA</t>
        </is>
      </c>
      <c r="D55" s="5" t="inlineStr">
        <is>
          <t>LMIC</t>
        </is>
      </c>
      <c r="E55" s="5" t="inlineStr">
        <is>
          <t>Elasticities!64:138-141</t>
        </is>
      </c>
    </row>
    <row r="56">
      <c r="A56" s="5" t="inlineStr">
        <is>
          <t>DMA</t>
        </is>
      </c>
      <c r="B56" s="5" t="inlineStr">
        <is>
          <t>Dominica</t>
        </is>
      </c>
      <c r="C56" s="5" t="inlineStr">
        <is>
          <t>LCN</t>
        </is>
      </c>
      <c r="D56" s="5" t="inlineStr">
        <is>
          <t>UMIC</t>
        </is>
      </c>
      <c r="E56" s="5" t="inlineStr">
        <is>
          <t>Elasticities!65:138-141</t>
        </is>
      </c>
    </row>
    <row r="57">
      <c r="A57" s="5" t="inlineStr">
        <is>
          <t>DNK</t>
        </is>
      </c>
      <c r="B57" s="5" t="inlineStr">
        <is>
          <t>Denmark</t>
        </is>
      </c>
      <c r="C57" s="5" t="inlineStr">
        <is>
          <t>ECS</t>
        </is>
      </c>
      <c r="D57" s="5" t="inlineStr">
        <is>
          <t>HIC</t>
        </is>
      </c>
      <c r="E57" s="5" t="inlineStr">
        <is>
          <t>Elasticities!66:138-141</t>
        </is>
      </c>
    </row>
    <row r="58">
      <c r="A58" s="5" t="inlineStr">
        <is>
          <t>DOM</t>
        </is>
      </c>
      <c r="B58" s="5" t="inlineStr">
        <is>
          <t>Dominican Republic</t>
        </is>
      </c>
      <c r="C58" s="5" t="inlineStr">
        <is>
          <t>LCN</t>
        </is>
      </c>
      <c r="D58" s="5" t="inlineStr">
        <is>
          <t>UMIC</t>
        </is>
      </c>
      <c r="E58" s="5" t="inlineStr">
        <is>
          <t>Elasticities!67:138-141</t>
        </is>
      </c>
    </row>
    <row r="59">
      <c r="A59" s="5" t="inlineStr">
        <is>
          <t>DZA</t>
        </is>
      </c>
      <c r="B59" s="5" t="inlineStr">
        <is>
          <t>Algeria</t>
        </is>
      </c>
      <c r="C59" s="5" t="inlineStr">
        <is>
          <t>MEA</t>
        </is>
      </c>
      <c r="D59" s="5" t="inlineStr">
        <is>
          <t>UMIC</t>
        </is>
      </c>
      <c r="E59" s="5" t="inlineStr">
        <is>
          <t>Elasticities!68:138-141</t>
        </is>
      </c>
    </row>
    <row r="60">
      <c r="A60" s="5" t="inlineStr">
        <is>
          <t>ECU</t>
        </is>
      </c>
      <c r="B60" s="5" t="inlineStr">
        <is>
          <t>Ecuador</t>
        </is>
      </c>
      <c r="C60" s="5" t="inlineStr">
        <is>
          <t>LCN</t>
        </is>
      </c>
      <c r="D60" s="5" t="inlineStr">
        <is>
          <t>UMIC</t>
        </is>
      </c>
      <c r="E60" s="5" t="inlineStr">
        <is>
          <t>Elasticities!69:138-141</t>
        </is>
      </c>
    </row>
    <row r="61">
      <c r="A61" s="5" t="inlineStr">
        <is>
          <t>EGY</t>
        </is>
      </c>
      <c r="B61" s="5" t="inlineStr">
        <is>
          <t>Egypt</t>
        </is>
      </c>
      <c r="C61" s="5" t="inlineStr">
        <is>
          <t>MEA</t>
        </is>
      </c>
      <c r="D61" s="5" t="inlineStr">
        <is>
          <t>LMIC</t>
        </is>
      </c>
      <c r="E61" s="5" t="inlineStr">
        <is>
          <t>Elasticities!70:138-141</t>
        </is>
      </c>
    </row>
    <row r="62">
      <c r="A62" s="5" t="inlineStr">
        <is>
          <t>ERI</t>
        </is>
      </c>
      <c r="B62" s="5" t="inlineStr">
        <is>
          <t>Eritrea</t>
        </is>
      </c>
      <c r="C62" s="5" t="inlineStr">
        <is>
          <t>SSF</t>
        </is>
      </c>
      <c r="D62" s="5" t="inlineStr">
        <is>
          <t>LIC</t>
        </is>
      </c>
      <c r="E62" s="5" t="inlineStr">
        <is>
          <t>Elasticities!71:138-141</t>
        </is>
      </c>
    </row>
    <row r="63">
      <c r="A63" s="5" t="inlineStr">
        <is>
          <t>ESP</t>
        </is>
      </c>
      <c r="B63" s="5" t="inlineStr">
        <is>
          <t>Spain</t>
        </is>
      </c>
      <c r="C63" s="5" t="inlineStr">
        <is>
          <t>ECS</t>
        </is>
      </c>
      <c r="D63" s="5" t="inlineStr">
        <is>
          <t>HIC</t>
        </is>
      </c>
      <c r="E63" s="5" t="inlineStr">
        <is>
          <t>Elasticities!72:138-141</t>
        </is>
      </c>
    </row>
    <row r="64">
      <c r="A64" s="5" t="inlineStr">
        <is>
          <t>EST</t>
        </is>
      </c>
      <c r="B64" s="5" t="inlineStr">
        <is>
          <t>Estonia</t>
        </is>
      </c>
      <c r="C64" s="5" t="inlineStr">
        <is>
          <t>ECS</t>
        </is>
      </c>
      <c r="D64" s="5" t="inlineStr">
        <is>
          <t>HIC</t>
        </is>
      </c>
      <c r="E64" s="5" t="inlineStr">
        <is>
          <t>Elasticities!73:138-141</t>
        </is>
      </c>
    </row>
    <row r="65">
      <c r="A65" s="5" t="inlineStr">
        <is>
          <t>ETH</t>
        </is>
      </c>
      <c r="B65" s="5" t="inlineStr">
        <is>
          <t>Ethiopia</t>
        </is>
      </c>
      <c r="C65" s="5" t="inlineStr">
        <is>
          <t>SSF</t>
        </is>
      </c>
      <c r="D65" s="5" t="inlineStr">
        <is>
          <t>LIC</t>
        </is>
      </c>
      <c r="E65" s="5" t="inlineStr">
        <is>
          <t>Elasticities!74:138-141</t>
        </is>
      </c>
    </row>
    <row r="66">
      <c r="A66" s="5" t="inlineStr">
        <is>
          <t>FIN</t>
        </is>
      </c>
      <c r="B66" s="5" t="inlineStr">
        <is>
          <t>Finland</t>
        </is>
      </c>
      <c r="C66" s="5" t="inlineStr">
        <is>
          <t>ECS</t>
        </is>
      </c>
      <c r="D66" s="5" t="inlineStr">
        <is>
          <t>HIC</t>
        </is>
      </c>
      <c r="E66" s="5" t="inlineStr">
        <is>
          <t>Elasticities!75:138-141</t>
        </is>
      </c>
    </row>
    <row r="67">
      <c r="A67" s="5" t="inlineStr">
        <is>
          <t>FJI</t>
        </is>
      </c>
      <c r="B67" s="5" t="inlineStr">
        <is>
          <t>Fiji</t>
        </is>
      </c>
      <c r="C67" s="5" t="inlineStr">
        <is>
          <t>EAS</t>
        </is>
      </c>
      <c r="D67" s="5" t="inlineStr">
        <is>
          <t>UMIC</t>
        </is>
      </c>
      <c r="E67" s="5" t="inlineStr">
        <is>
          <t>Elasticities!76:138-141</t>
        </is>
      </c>
    </row>
    <row r="68">
      <c r="A68" s="5" t="inlineStr">
        <is>
          <t>FRA</t>
        </is>
      </c>
      <c r="B68" s="5" t="inlineStr">
        <is>
          <t>France</t>
        </is>
      </c>
      <c r="C68" s="5" t="inlineStr">
        <is>
          <t>ECS</t>
        </is>
      </c>
      <c r="D68" s="5" t="inlineStr">
        <is>
          <t>HIC</t>
        </is>
      </c>
      <c r="E68" s="5" t="inlineStr">
        <is>
          <t>Elasticities!77:138-141</t>
        </is>
      </c>
    </row>
    <row r="69">
      <c r="A69" s="5" t="inlineStr">
        <is>
          <t>FRO</t>
        </is>
      </c>
      <c r="B69" s="5" t="inlineStr">
        <is>
          <t>Faroe Islands</t>
        </is>
      </c>
      <c r="C69" s="5" t="inlineStr">
        <is>
          <t>ECS</t>
        </is>
      </c>
      <c r="D69" s="5" t="inlineStr">
        <is>
          <t>HIC</t>
        </is>
      </c>
      <c r="E69" s="5" t="inlineStr">
        <is>
          <t>Elasticities!78:138-141</t>
        </is>
      </c>
    </row>
    <row r="70">
      <c r="A70" s="5" t="inlineStr">
        <is>
          <t>FSM</t>
        </is>
      </c>
      <c r="B70" s="5" t="inlineStr">
        <is>
          <t>Micronesia</t>
        </is>
      </c>
      <c r="C70" s="5" t="inlineStr">
        <is>
          <t>EAS</t>
        </is>
      </c>
      <c r="D70" s="5" t="inlineStr">
        <is>
          <t>LMIC</t>
        </is>
      </c>
      <c r="E70" s="5" t="inlineStr">
        <is>
          <t>Elasticities!79:138-141</t>
        </is>
      </c>
    </row>
    <row r="71">
      <c r="A71" s="5" t="inlineStr">
        <is>
          <t>GAB</t>
        </is>
      </c>
      <c r="B71" s="5" t="inlineStr">
        <is>
          <t>Gabon</t>
        </is>
      </c>
      <c r="C71" s="5" t="inlineStr">
        <is>
          <t>SSF</t>
        </is>
      </c>
      <c r="D71" s="5" t="inlineStr">
        <is>
          <t>UMIC</t>
        </is>
      </c>
      <c r="E71" s="5" t="inlineStr">
        <is>
          <t>Elasticities!80:138-141</t>
        </is>
      </c>
    </row>
    <row r="72">
      <c r="A72" s="5" t="inlineStr">
        <is>
          <t>GBR</t>
        </is>
      </c>
      <c r="B72" s="5" t="inlineStr">
        <is>
          <t>United Kingdom</t>
        </is>
      </c>
      <c r="C72" s="5" t="inlineStr">
        <is>
          <t>ECS</t>
        </is>
      </c>
      <c r="D72" s="5" t="inlineStr">
        <is>
          <t>HIC</t>
        </is>
      </c>
      <c r="E72" s="5" t="inlineStr">
        <is>
          <t>Elasticities!81:138-141</t>
        </is>
      </c>
    </row>
    <row r="73">
      <c r="A73" s="5" t="inlineStr">
        <is>
          <t>GEO</t>
        </is>
      </c>
      <c r="B73" s="5" t="inlineStr">
        <is>
          <t>Georgia</t>
        </is>
      </c>
      <c r="C73" s="5" t="inlineStr">
        <is>
          <t>ECS</t>
        </is>
      </c>
      <c r="D73" s="5" t="inlineStr">
        <is>
          <t>LMIC</t>
        </is>
      </c>
      <c r="E73" s="5" t="inlineStr">
        <is>
          <t>Elasticities!82:138-141</t>
        </is>
      </c>
    </row>
    <row r="74">
      <c r="A74" s="5" t="inlineStr">
        <is>
          <t>GHA</t>
        </is>
      </c>
      <c r="B74" s="5" t="inlineStr">
        <is>
          <t>Ghana</t>
        </is>
      </c>
      <c r="C74" s="5" t="inlineStr">
        <is>
          <t>SSF</t>
        </is>
      </c>
      <c r="D74" s="5" t="inlineStr">
        <is>
          <t>LMIC</t>
        </is>
      </c>
      <c r="E74" s="5" t="inlineStr">
        <is>
          <t>Elasticities!83:138-141</t>
        </is>
      </c>
    </row>
    <row r="75">
      <c r="A75" s="5" t="inlineStr">
        <is>
          <t>GIB</t>
        </is>
      </c>
      <c r="B75" s="5" t="inlineStr">
        <is>
          <t>Gibraltar</t>
        </is>
      </c>
      <c r="C75" s="5" t="inlineStr">
        <is>
          <t>ECS</t>
        </is>
      </c>
      <c r="D75" s="5" t="inlineStr">
        <is>
          <t>HIC</t>
        </is>
      </c>
      <c r="E75" s="5" t="inlineStr">
        <is>
          <t>Elasticities!84:138-141</t>
        </is>
      </c>
    </row>
    <row r="76">
      <c r="A76" s="5" t="inlineStr">
        <is>
          <t>GIN</t>
        </is>
      </c>
      <c r="B76" s="5" t="inlineStr">
        <is>
          <t>Guinea</t>
        </is>
      </c>
      <c r="C76" s="5" t="inlineStr">
        <is>
          <t>SSF</t>
        </is>
      </c>
      <c r="D76" s="5" t="inlineStr">
        <is>
          <t>LIC</t>
        </is>
      </c>
      <c r="E76" s="5" t="inlineStr">
        <is>
          <t>Elasticities!85:138-141</t>
        </is>
      </c>
    </row>
    <row r="77">
      <c r="A77" s="5" t="inlineStr">
        <is>
          <t>GMB</t>
        </is>
      </c>
      <c r="B77" s="5" t="inlineStr">
        <is>
          <t>Gambia, The</t>
        </is>
      </c>
      <c r="C77" s="5" t="inlineStr">
        <is>
          <t>SSF</t>
        </is>
      </c>
      <c r="D77" s="5" t="inlineStr">
        <is>
          <t>LIC</t>
        </is>
      </c>
      <c r="E77" s="5" t="inlineStr">
        <is>
          <t>Elasticities!86:138-141</t>
        </is>
      </c>
    </row>
    <row r="78">
      <c r="A78" s="5" t="inlineStr">
        <is>
          <t>GNB</t>
        </is>
      </c>
      <c r="B78" s="5" t="inlineStr">
        <is>
          <t>Guinea-Bissau</t>
        </is>
      </c>
      <c r="C78" s="5" t="inlineStr">
        <is>
          <t>SSF</t>
        </is>
      </c>
      <c r="D78" s="5" t="inlineStr">
        <is>
          <t>LIC</t>
        </is>
      </c>
      <c r="E78" s="5" t="inlineStr">
        <is>
          <t>Elasticities!87:138-141</t>
        </is>
      </c>
    </row>
    <row r="79">
      <c r="A79" s="5" t="inlineStr">
        <is>
          <t>GNQ</t>
        </is>
      </c>
      <c r="B79" s="5" t="inlineStr">
        <is>
          <t>Equatorial Guinea</t>
        </is>
      </c>
      <c r="C79" s="5" t="inlineStr">
        <is>
          <t>SSF</t>
        </is>
      </c>
      <c r="D79" s="5" t="inlineStr">
        <is>
          <t>UMIC</t>
        </is>
      </c>
      <c r="E79" s="5" t="inlineStr">
        <is>
          <t>Elasticities!88:138-141</t>
        </is>
      </c>
    </row>
    <row r="80">
      <c r="A80" s="5" t="inlineStr">
        <is>
          <t>GRC</t>
        </is>
      </c>
      <c r="B80" s="5" t="inlineStr">
        <is>
          <t>Greece</t>
        </is>
      </c>
      <c r="C80" s="5" t="inlineStr">
        <is>
          <t>ECS</t>
        </is>
      </c>
      <c r="D80" s="5" t="inlineStr">
        <is>
          <t>HIC</t>
        </is>
      </c>
      <c r="E80" s="5" t="inlineStr">
        <is>
          <t>Elasticities!89:138-141</t>
        </is>
      </c>
    </row>
    <row r="81">
      <c r="A81" s="5" t="inlineStr">
        <is>
          <t>GRD</t>
        </is>
      </c>
      <c r="B81" s="5" t="inlineStr">
        <is>
          <t>Grenada</t>
        </is>
      </c>
      <c r="C81" s="5" t="inlineStr">
        <is>
          <t>LCN</t>
        </is>
      </c>
      <c r="D81" s="5" t="inlineStr">
        <is>
          <t>UMIC</t>
        </is>
      </c>
      <c r="E81" s="5" t="inlineStr">
        <is>
          <t>Elasticities!90:138-141</t>
        </is>
      </c>
    </row>
    <row r="82">
      <c r="A82" s="5" t="inlineStr">
        <is>
          <t>GRL</t>
        </is>
      </c>
      <c r="B82" s="5" t="inlineStr">
        <is>
          <t>Greenland</t>
        </is>
      </c>
      <c r="C82" s="5" t="inlineStr">
        <is>
          <t>ECS</t>
        </is>
      </c>
      <c r="D82" s="5" t="inlineStr">
        <is>
          <t>HIC</t>
        </is>
      </c>
      <c r="E82" s="5" t="inlineStr">
        <is>
          <t>Elasticities!91:138-141</t>
        </is>
      </c>
    </row>
    <row r="83">
      <c r="A83" s="5" t="inlineStr">
        <is>
          <t>GTM</t>
        </is>
      </c>
      <c r="B83" s="5" t="inlineStr">
        <is>
          <t>Guatemala</t>
        </is>
      </c>
      <c r="C83" s="5" t="inlineStr">
        <is>
          <t>LCN</t>
        </is>
      </c>
      <c r="D83" s="5" t="inlineStr">
        <is>
          <t>UMIC</t>
        </is>
      </c>
      <c r="E83" s="5" t="inlineStr">
        <is>
          <t>Elasticities!92:138-141</t>
        </is>
      </c>
    </row>
    <row r="84">
      <c r="A84" s="5" t="inlineStr">
        <is>
          <t>GUM</t>
        </is>
      </c>
      <c r="B84" s="5" t="inlineStr">
        <is>
          <t>Guam</t>
        </is>
      </c>
      <c r="C84" s="5" t="inlineStr">
        <is>
          <t>EAS</t>
        </is>
      </c>
      <c r="D84" s="5" t="inlineStr">
        <is>
          <t>HIC</t>
        </is>
      </c>
      <c r="E84" s="5" t="inlineStr">
        <is>
          <t>Elasticities!93:138-141</t>
        </is>
      </c>
    </row>
    <row r="85">
      <c r="A85" s="5" t="inlineStr">
        <is>
          <t>GUY</t>
        </is>
      </c>
      <c r="B85" s="5" t="inlineStr">
        <is>
          <t>Guyana</t>
        </is>
      </c>
      <c r="C85" s="5" t="inlineStr">
        <is>
          <t>LCN</t>
        </is>
      </c>
      <c r="D85" s="5" t="inlineStr">
        <is>
          <t>UMIC</t>
        </is>
      </c>
      <c r="E85" s="5" t="inlineStr">
        <is>
          <t>Elasticities!94:138-141</t>
        </is>
      </c>
    </row>
    <row r="86">
      <c r="A86" s="5" t="inlineStr">
        <is>
          <t>HIC</t>
        </is>
      </c>
      <c r="B86" s="5" t="inlineStr">
        <is>
          <t>HIC</t>
        </is>
      </c>
      <c r="C86" s="5" t="inlineStr">
        <is>
          <t>N/A</t>
        </is>
      </c>
      <c r="D86" s="5" t="inlineStr">
        <is>
          <t>HIC</t>
        </is>
      </c>
      <c r="E86" s="5" t="inlineStr">
        <is>
          <t>Elasticities!95:138-141</t>
        </is>
      </c>
    </row>
    <row r="87">
      <c r="A87" s="5" t="inlineStr">
        <is>
          <t>HKG</t>
        </is>
      </c>
      <c r="B87" s="5" t="inlineStr">
        <is>
          <t>Hong Kong SAR</t>
        </is>
      </c>
      <c r="C87" s="5" t="inlineStr">
        <is>
          <t>EAS</t>
        </is>
      </c>
      <c r="D87" s="5" t="inlineStr">
        <is>
          <t>HIC</t>
        </is>
      </c>
      <c r="E87" s="5" t="inlineStr">
        <is>
          <t>Elasticities!96:138-141</t>
        </is>
      </c>
    </row>
    <row r="88">
      <c r="A88" s="5" t="inlineStr">
        <is>
          <t>HND</t>
        </is>
      </c>
      <c r="B88" s="5" t="inlineStr">
        <is>
          <t>Honduras</t>
        </is>
      </c>
      <c r="C88" s="5" t="inlineStr">
        <is>
          <t>LCN</t>
        </is>
      </c>
      <c r="D88" s="5" t="inlineStr">
        <is>
          <t>LMIC</t>
        </is>
      </c>
      <c r="E88" s="5" t="inlineStr">
        <is>
          <t>Elasticities!97:138-141</t>
        </is>
      </c>
    </row>
    <row r="89">
      <c r="A89" s="5" t="inlineStr">
        <is>
          <t>HRV</t>
        </is>
      </c>
      <c r="B89" s="5" t="inlineStr">
        <is>
          <t>Croatia</t>
        </is>
      </c>
      <c r="C89" s="5" t="inlineStr">
        <is>
          <t>ECS</t>
        </is>
      </c>
      <c r="D89" s="5" t="inlineStr">
        <is>
          <t>HIC</t>
        </is>
      </c>
      <c r="E89" s="5" t="inlineStr">
        <is>
          <t>Elasticities!98:138-141</t>
        </is>
      </c>
    </row>
    <row r="90">
      <c r="A90" s="5" t="inlineStr">
        <is>
          <t>HTI</t>
        </is>
      </c>
      <c r="B90" s="5" t="inlineStr">
        <is>
          <t>Haiti</t>
        </is>
      </c>
      <c r="C90" s="5" t="inlineStr">
        <is>
          <t>LCN</t>
        </is>
      </c>
      <c r="D90" s="5" t="inlineStr">
        <is>
          <t>LIC</t>
        </is>
      </c>
      <c r="E90" s="5" t="inlineStr">
        <is>
          <t>Elasticities!99:138-141</t>
        </is>
      </c>
    </row>
    <row r="91">
      <c r="A91" s="5" t="inlineStr">
        <is>
          <t>HUN</t>
        </is>
      </c>
      <c r="B91" s="5" t="inlineStr">
        <is>
          <t>Hungary</t>
        </is>
      </c>
      <c r="C91" s="5" t="inlineStr">
        <is>
          <t>ECS</t>
        </is>
      </c>
      <c r="D91" s="5" t="inlineStr">
        <is>
          <t>HIC</t>
        </is>
      </c>
      <c r="E91" s="5" t="inlineStr">
        <is>
          <t>Elasticities!100:138-141</t>
        </is>
      </c>
    </row>
    <row r="92">
      <c r="A92" s="5" t="inlineStr">
        <is>
          <t>IDN</t>
        </is>
      </c>
      <c r="B92" s="5" t="inlineStr">
        <is>
          <t>Indonesia</t>
        </is>
      </c>
      <c r="C92" s="5" t="inlineStr">
        <is>
          <t>EAS</t>
        </is>
      </c>
      <c r="D92" s="5" t="inlineStr">
        <is>
          <t>LMIC</t>
        </is>
      </c>
      <c r="E92" s="5" t="inlineStr">
        <is>
          <t>Elasticities!101:138-141</t>
        </is>
      </c>
    </row>
    <row r="93">
      <c r="A93" s="5" t="inlineStr">
        <is>
          <t>IMN</t>
        </is>
      </c>
      <c r="B93" s="5" t="inlineStr">
        <is>
          <t>Isle of Man</t>
        </is>
      </c>
      <c r="C93" s="5" t="inlineStr">
        <is>
          <t>ECS</t>
        </is>
      </c>
      <c r="D93" s="5" t="inlineStr">
        <is>
          <t>HIC</t>
        </is>
      </c>
      <c r="E93" s="5" t="inlineStr">
        <is>
          <t>Elasticities!102:138-141</t>
        </is>
      </c>
    </row>
    <row r="94">
      <c r="A94" s="5" t="inlineStr">
        <is>
          <t>IND</t>
        </is>
      </c>
      <c r="B94" s="5" t="inlineStr">
        <is>
          <t>India</t>
        </is>
      </c>
      <c r="C94" s="5" t="inlineStr">
        <is>
          <t>SAS</t>
        </is>
      </c>
      <c r="D94" s="5" t="inlineStr">
        <is>
          <t>LMIC</t>
        </is>
      </c>
      <c r="E94" s="5" t="inlineStr">
        <is>
          <t>Elasticities!103:138-141</t>
        </is>
      </c>
    </row>
    <row r="95">
      <c r="A95" s="5" t="inlineStr">
        <is>
          <t>IRL</t>
        </is>
      </c>
      <c r="B95" s="5" t="inlineStr">
        <is>
          <t>Ireland</t>
        </is>
      </c>
      <c r="C95" s="5" t="inlineStr">
        <is>
          <t>ECS</t>
        </is>
      </c>
      <c r="D95" s="5" t="inlineStr">
        <is>
          <t>HIC</t>
        </is>
      </c>
      <c r="E95" s="5" t="inlineStr">
        <is>
          <t>Elasticities!104:138-141</t>
        </is>
      </c>
    </row>
    <row r="96">
      <c r="A96" s="5" t="inlineStr">
        <is>
          <t>IRN</t>
        </is>
      </c>
      <c r="B96" s="5" t="inlineStr">
        <is>
          <t>Iran</t>
        </is>
      </c>
      <c r="C96" s="5" t="inlineStr">
        <is>
          <t>MEA</t>
        </is>
      </c>
      <c r="D96" s="5" t="inlineStr">
        <is>
          <t>UMIC</t>
        </is>
      </c>
      <c r="E96" s="5" t="inlineStr">
        <is>
          <t>Elasticities!105:138-141</t>
        </is>
      </c>
    </row>
    <row r="97">
      <c r="A97" s="5" t="inlineStr">
        <is>
          <t>IRQ</t>
        </is>
      </c>
      <c r="B97" s="5" t="inlineStr">
        <is>
          <t>Iraq</t>
        </is>
      </c>
      <c r="C97" s="5" t="inlineStr">
        <is>
          <t>MEA</t>
        </is>
      </c>
      <c r="D97" s="5" t="inlineStr">
        <is>
          <t>UMIC</t>
        </is>
      </c>
      <c r="E97" s="5" t="inlineStr">
        <is>
          <t>Elasticities!106:138-141</t>
        </is>
      </c>
    </row>
    <row r="98">
      <c r="A98" s="5" t="inlineStr">
        <is>
          <t>ISL</t>
        </is>
      </c>
      <c r="B98" s="5" t="inlineStr">
        <is>
          <t>Iceland</t>
        </is>
      </c>
      <c r="C98" s="5" t="inlineStr">
        <is>
          <t>ECS</t>
        </is>
      </c>
      <c r="D98" s="5" t="inlineStr">
        <is>
          <t>HIC</t>
        </is>
      </c>
      <c r="E98" s="5" t="inlineStr">
        <is>
          <t>Elasticities!107:138-141</t>
        </is>
      </c>
    </row>
    <row r="99">
      <c r="A99" s="5" t="inlineStr">
        <is>
          <t>ISR</t>
        </is>
      </c>
      <c r="B99" s="5" t="inlineStr">
        <is>
          <t>Israel</t>
        </is>
      </c>
      <c r="C99" s="5" t="inlineStr">
        <is>
          <t>MEA</t>
        </is>
      </c>
      <c r="D99" s="5" t="inlineStr">
        <is>
          <t>HIC</t>
        </is>
      </c>
      <c r="E99" s="5" t="inlineStr">
        <is>
          <t>Elasticities!108:138-141</t>
        </is>
      </c>
    </row>
    <row r="100">
      <c r="A100" s="5" t="inlineStr">
        <is>
          <t>ITA</t>
        </is>
      </c>
      <c r="B100" s="5" t="inlineStr">
        <is>
          <t>Italy</t>
        </is>
      </c>
      <c r="C100" s="5" t="inlineStr">
        <is>
          <t>ECS</t>
        </is>
      </c>
      <c r="D100" s="5" t="inlineStr">
        <is>
          <t>HIC</t>
        </is>
      </c>
      <c r="E100" s="5" t="inlineStr">
        <is>
          <t>Elasticities!109:138-141</t>
        </is>
      </c>
    </row>
    <row r="101">
      <c r="A101" s="5" t="inlineStr">
        <is>
          <t>JAM</t>
        </is>
      </c>
      <c r="B101" s="5" t="inlineStr">
        <is>
          <t>Jamaica</t>
        </is>
      </c>
      <c r="C101" s="5" t="inlineStr">
        <is>
          <t>LCN</t>
        </is>
      </c>
      <c r="D101" s="5" t="inlineStr">
        <is>
          <t>UMIC</t>
        </is>
      </c>
      <c r="E101" s="5" t="inlineStr">
        <is>
          <t>Elasticities!110:138-141</t>
        </is>
      </c>
    </row>
    <row r="102">
      <c r="A102" s="5" t="inlineStr">
        <is>
          <t>JOR</t>
        </is>
      </c>
      <c r="B102" s="5" t="inlineStr">
        <is>
          <t>Jordan</t>
        </is>
      </c>
      <c r="C102" s="5" t="inlineStr">
        <is>
          <t>MEA</t>
        </is>
      </c>
      <c r="D102" s="5" t="inlineStr">
        <is>
          <t>UMIC</t>
        </is>
      </c>
      <c r="E102" s="5" t="inlineStr">
        <is>
          <t>Elasticities!111:138-141</t>
        </is>
      </c>
    </row>
    <row r="103">
      <c r="A103" s="5" t="inlineStr">
        <is>
          <t>JPN</t>
        </is>
      </c>
      <c r="B103" s="5" t="inlineStr">
        <is>
          <t>Japan</t>
        </is>
      </c>
      <c r="C103" s="5" t="inlineStr">
        <is>
          <t>EAS</t>
        </is>
      </c>
      <c r="D103" s="5" t="inlineStr">
        <is>
          <t>HIC</t>
        </is>
      </c>
      <c r="E103" s="5" t="inlineStr">
        <is>
          <t>Elasticities!112:138-141</t>
        </is>
      </c>
    </row>
    <row r="104">
      <c r="A104" s="5" t="inlineStr">
        <is>
          <t>KAZ</t>
        </is>
      </c>
      <c r="B104" s="5" t="inlineStr">
        <is>
          <t>Kazakhstan</t>
        </is>
      </c>
      <c r="C104" s="5" t="inlineStr">
        <is>
          <t>ECS</t>
        </is>
      </c>
      <c r="D104" s="5" t="inlineStr">
        <is>
          <t>UMIC</t>
        </is>
      </c>
      <c r="E104" s="5" t="inlineStr">
        <is>
          <t>Elasticities!113:138-141</t>
        </is>
      </c>
    </row>
    <row r="105">
      <c r="A105" s="5" t="inlineStr">
        <is>
          <t>KEN</t>
        </is>
      </c>
      <c r="B105" s="5" t="inlineStr">
        <is>
          <t>Kenya</t>
        </is>
      </c>
      <c r="C105" s="5" t="inlineStr">
        <is>
          <t>SSF</t>
        </is>
      </c>
      <c r="D105" s="5" t="inlineStr">
        <is>
          <t>LMIC</t>
        </is>
      </c>
      <c r="E105" s="5" t="inlineStr">
        <is>
          <t>Elasticities!114:138-141</t>
        </is>
      </c>
    </row>
    <row r="106">
      <c r="A106" s="5" t="inlineStr">
        <is>
          <t>KGZ</t>
        </is>
      </c>
      <c r="B106" s="5" t="inlineStr">
        <is>
          <t>Kyrgyz Republic</t>
        </is>
      </c>
      <c r="C106" s="5" t="inlineStr">
        <is>
          <t>ECS</t>
        </is>
      </c>
      <c r="D106" s="5" t="inlineStr">
        <is>
          <t>LMIC</t>
        </is>
      </c>
      <c r="E106" s="5" t="inlineStr">
        <is>
          <t>Elasticities!115:138-141</t>
        </is>
      </c>
    </row>
    <row r="107">
      <c r="A107" s="5" t="inlineStr">
        <is>
          <t>KHM</t>
        </is>
      </c>
      <c r="B107" s="5" t="inlineStr">
        <is>
          <t>Cambodia</t>
        </is>
      </c>
      <c r="C107" s="5" t="inlineStr">
        <is>
          <t>EAS</t>
        </is>
      </c>
      <c r="D107" s="5" t="inlineStr">
        <is>
          <t>LMIC</t>
        </is>
      </c>
      <c r="E107" s="5" t="inlineStr">
        <is>
          <t>Elasticities!116:138-141</t>
        </is>
      </c>
    </row>
    <row r="108">
      <c r="A108" s="5" t="inlineStr">
        <is>
          <t>KIR</t>
        </is>
      </c>
      <c r="B108" s="5" t="inlineStr">
        <is>
          <t>Kiribati</t>
        </is>
      </c>
      <c r="C108" s="5" t="inlineStr">
        <is>
          <t>EAS</t>
        </is>
      </c>
      <c r="D108" s="5" t="inlineStr">
        <is>
          <t>LMIC</t>
        </is>
      </c>
      <c r="E108" s="5" t="inlineStr">
        <is>
          <t>Elasticities!117:138-141</t>
        </is>
      </c>
    </row>
    <row r="109">
      <c r="A109" s="5" t="inlineStr">
        <is>
          <t>KNA</t>
        </is>
      </c>
      <c r="B109" s="5" t="inlineStr">
        <is>
          <t>St. Kitts and Nevis</t>
        </is>
      </c>
      <c r="C109" s="5" t="inlineStr">
        <is>
          <t>LCN</t>
        </is>
      </c>
      <c r="D109" s="5" t="inlineStr">
        <is>
          <t>HIC</t>
        </is>
      </c>
      <c r="E109" s="5" t="inlineStr">
        <is>
          <t>Elasticities!118:138-141</t>
        </is>
      </c>
    </row>
    <row r="110">
      <c r="A110" s="5" t="inlineStr">
        <is>
          <t>KOR</t>
        </is>
      </c>
      <c r="B110" s="5" t="inlineStr">
        <is>
          <t>Korea</t>
        </is>
      </c>
      <c r="C110" s="5" t="inlineStr">
        <is>
          <t>EAS</t>
        </is>
      </c>
      <c r="D110" s="5" t="inlineStr">
        <is>
          <t>HIC</t>
        </is>
      </c>
      <c r="E110" s="5" t="inlineStr">
        <is>
          <t>Elasticities!119:138-141</t>
        </is>
      </c>
    </row>
    <row r="111">
      <c r="A111" s="5" t="inlineStr">
        <is>
          <t>KWT</t>
        </is>
      </c>
      <c r="B111" s="5" t="inlineStr">
        <is>
          <t>Kuwait</t>
        </is>
      </c>
      <c r="C111" s="5" t="inlineStr">
        <is>
          <t>MEA</t>
        </is>
      </c>
      <c r="D111" s="5" t="inlineStr">
        <is>
          <t>HIC</t>
        </is>
      </c>
      <c r="E111" s="5" t="inlineStr">
        <is>
          <t>Elasticities!120:138-141</t>
        </is>
      </c>
    </row>
    <row r="112">
      <c r="A112" s="5" t="inlineStr">
        <is>
          <t>LAO</t>
        </is>
      </c>
      <c r="B112" s="5" t="inlineStr">
        <is>
          <t>Lao P.D.R.</t>
        </is>
      </c>
      <c r="C112" s="5" t="inlineStr">
        <is>
          <t>EAS</t>
        </is>
      </c>
      <c r="D112" s="5" t="inlineStr">
        <is>
          <t>LMIC</t>
        </is>
      </c>
      <c r="E112" s="5" t="inlineStr">
        <is>
          <t>Elasticities!121:138-141</t>
        </is>
      </c>
    </row>
    <row r="113">
      <c r="A113" s="5" t="inlineStr">
        <is>
          <t>LBN</t>
        </is>
      </c>
      <c r="B113" s="5" t="inlineStr">
        <is>
          <t>Lebanon</t>
        </is>
      </c>
      <c r="C113" s="5" t="inlineStr">
        <is>
          <t>MEA</t>
        </is>
      </c>
      <c r="D113" s="5" t="inlineStr">
        <is>
          <t>UMIC</t>
        </is>
      </c>
      <c r="E113" s="5" t="inlineStr">
        <is>
          <t>Elasticities!122:138-141</t>
        </is>
      </c>
    </row>
    <row r="114">
      <c r="A114" s="5" t="inlineStr">
        <is>
          <t>LBR</t>
        </is>
      </c>
      <c r="B114" s="5" t="inlineStr">
        <is>
          <t>Liberia</t>
        </is>
      </c>
      <c r="C114" s="5" t="inlineStr">
        <is>
          <t>SSF</t>
        </is>
      </c>
      <c r="D114" s="5" t="inlineStr">
        <is>
          <t>LIC</t>
        </is>
      </c>
      <c r="E114" s="5" t="inlineStr">
        <is>
          <t>Elasticities!123:138-141</t>
        </is>
      </c>
    </row>
    <row r="115">
      <c r="A115" s="5" t="inlineStr">
        <is>
          <t>LBY</t>
        </is>
      </c>
      <c r="B115" s="5" t="inlineStr">
        <is>
          <t>Libya</t>
        </is>
      </c>
      <c r="C115" s="5" t="inlineStr">
        <is>
          <t>MEA</t>
        </is>
      </c>
      <c r="D115" s="5" t="inlineStr">
        <is>
          <t>UMIC</t>
        </is>
      </c>
      <c r="E115" s="5" t="inlineStr">
        <is>
          <t>Elasticities!124:138-141</t>
        </is>
      </c>
    </row>
    <row r="116">
      <c r="A116" s="5" t="inlineStr">
        <is>
          <t>LCA</t>
        </is>
      </c>
      <c r="B116" s="5" t="inlineStr">
        <is>
          <t>St. Lucia</t>
        </is>
      </c>
      <c r="C116" s="5" t="inlineStr">
        <is>
          <t>LCN</t>
        </is>
      </c>
      <c r="D116" s="5" t="inlineStr">
        <is>
          <t>UMIC</t>
        </is>
      </c>
      <c r="E116" s="5" t="inlineStr">
        <is>
          <t>Elasticities!125:138-141</t>
        </is>
      </c>
    </row>
    <row r="117">
      <c r="A117" s="5" t="inlineStr">
        <is>
          <t>LIE</t>
        </is>
      </c>
      <c r="B117" s="5" t="inlineStr">
        <is>
          <t>Liechtenstein</t>
        </is>
      </c>
      <c r="C117" s="5" t="inlineStr">
        <is>
          <t>ECS</t>
        </is>
      </c>
      <c r="D117" s="5" t="inlineStr">
        <is>
          <t>HIC</t>
        </is>
      </c>
      <c r="E117" s="5" t="inlineStr">
        <is>
          <t>Elasticities!126:138-141</t>
        </is>
      </c>
    </row>
    <row r="118">
      <c r="A118" s="5" t="inlineStr">
        <is>
          <t>LKA</t>
        </is>
      </c>
      <c r="B118" s="5" t="inlineStr">
        <is>
          <t>Sri Lanka</t>
        </is>
      </c>
      <c r="C118" s="5" t="inlineStr">
        <is>
          <t>SAS</t>
        </is>
      </c>
      <c r="D118" s="5" t="inlineStr">
        <is>
          <t>LMIC</t>
        </is>
      </c>
      <c r="E118" s="5" t="inlineStr">
        <is>
          <t>Elasticities!127:138-141</t>
        </is>
      </c>
    </row>
    <row r="119">
      <c r="A119" s="5" t="inlineStr">
        <is>
          <t>LSO</t>
        </is>
      </c>
      <c r="B119" s="5" t="inlineStr">
        <is>
          <t>Lesotho</t>
        </is>
      </c>
      <c r="C119" s="5" t="inlineStr">
        <is>
          <t>SSF</t>
        </is>
      </c>
      <c r="D119" s="5" t="inlineStr">
        <is>
          <t>LMIC</t>
        </is>
      </c>
      <c r="E119" s="5" t="inlineStr">
        <is>
          <t>Elasticities!128:138-141</t>
        </is>
      </c>
    </row>
    <row r="120">
      <c r="A120" s="5" t="inlineStr">
        <is>
          <t>LTU</t>
        </is>
      </c>
      <c r="B120" s="5" t="inlineStr">
        <is>
          <t>Lithuania</t>
        </is>
      </c>
      <c r="C120" s="5" t="inlineStr">
        <is>
          <t>ECS</t>
        </is>
      </c>
      <c r="D120" s="5" t="inlineStr">
        <is>
          <t>HIC</t>
        </is>
      </c>
      <c r="E120" s="5" t="inlineStr">
        <is>
          <t>Elasticities!129:138-141</t>
        </is>
      </c>
    </row>
    <row r="121">
      <c r="A121" s="5" t="inlineStr">
        <is>
          <t>LUX</t>
        </is>
      </c>
      <c r="B121" s="5" t="inlineStr">
        <is>
          <t>Luxembourg</t>
        </is>
      </c>
      <c r="C121" s="5" t="inlineStr">
        <is>
          <t>ECS</t>
        </is>
      </c>
      <c r="D121" s="5" t="inlineStr">
        <is>
          <t>HIC</t>
        </is>
      </c>
      <c r="E121" s="5" t="inlineStr">
        <is>
          <t>Elasticities!130:138-141</t>
        </is>
      </c>
    </row>
    <row r="122">
      <c r="A122" s="5" t="inlineStr">
        <is>
          <t>LVA</t>
        </is>
      </c>
      <c r="B122" s="5" t="inlineStr">
        <is>
          <t>Latvia</t>
        </is>
      </c>
      <c r="C122" s="5" t="inlineStr">
        <is>
          <t>ECS</t>
        </is>
      </c>
      <c r="D122" s="5" t="inlineStr">
        <is>
          <t>HIC</t>
        </is>
      </c>
      <c r="E122" s="5" t="inlineStr">
        <is>
          <t>Elasticities!131:138-141</t>
        </is>
      </c>
    </row>
    <row r="123">
      <c r="A123" s="5" t="inlineStr">
        <is>
          <t>MAC</t>
        </is>
      </c>
      <c r="B123" s="5" t="inlineStr">
        <is>
          <t>Macao SAR</t>
        </is>
      </c>
      <c r="C123" s="5" t="inlineStr">
        <is>
          <t>EAS</t>
        </is>
      </c>
      <c r="D123" s="5" t="inlineStr">
        <is>
          <t>HIC</t>
        </is>
      </c>
      <c r="E123" s="5" t="inlineStr">
        <is>
          <t>Elasticities!132:138-141</t>
        </is>
      </c>
    </row>
    <row r="124">
      <c r="A124" s="5" t="inlineStr">
        <is>
          <t>MAF</t>
        </is>
      </c>
      <c r="B124" s="5" t="inlineStr">
        <is>
          <t>St. Martin (French part)</t>
        </is>
      </c>
      <c r="C124" s="5" t="inlineStr">
        <is>
          <t>LCN</t>
        </is>
      </c>
      <c r="D124" s="5" t="inlineStr">
        <is>
          <t>HIC</t>
        </is>
      </c>
      <c r="E124" s="5" t="inlineStr">
        <is>
          <t>Elasticities!133:138-141</t>
        </is>
      </c>
    </row>
    <row r="125">
      <c r="A125" s="5" t="inlineStr">
        <is>
          <t>MAR</t>
        </is>
      </c>
      <c r="B125" s="5" t="inlineStr">
        <is>
          <t>Morocco</t>
        </is>
      </c>
      <c r="C125" s="5" t="inlineStr">
        <is>
          <t>MEA</t>
        </is>
      </c>
      <c r="D125" s="5" t="inlineStr">
        <is>
          <t>LMIC</t>
        </is>
      </c>
      <c r="E125" s="5" t="inlineStr">
        <is>
          <t>Elasticities!134:138-141</t>
        </is>
      </c>
    </row>
    <row r="126">
      <c r="A126" s="5" t="inlineStr">
        <is>
          <t>MCO</t>
        </is>
      </c>
      <c r="B126" s="5" t="inlineStr">
        <is>
          <t>Monaco</t>
        </is>
      </c>
      <c r="C126" s="5" t="inlineStr">
        <is>
          <t>ECS</t>
        </is>
      </c>
      <c r="D126" s="5" t="inlineStr">
        <is>
          <t>HIC</t>
        </is>
      </c>
      <c r="E126" s="5" t="inlineStr">
        <is>
          <t>Elasticities!135:138-141</t>
        </is>
      </c>
    </row>
    <row r="127">
      <c r="A127" s="5" t="inlineStr">
        <is>
          <t>MDA</t>
        </is>
      </c>
      <c r="B127" s="5" t="inlineStr">
        <is>
          <t>Moldova</t>
        </is>
      </c>
      <c r="C127" s="5" t="inlineStr">
        <is>
          <t>ECS</t>
        </is>
      </c>
      <c r="D127" s="5" t="inlineStr">
        <is>
          <t>LMIC</t>
        </is>
      </c>
      <c r="E127" s="5" t="inlineStr">
        <is>
          <t>Elasticities!136:138-141</t>
        </is>
      </c>
    </row>
    <row r="128">
      <c r="A128" s="5" t="inlineStr">
        <is>
          <t>MDG</t>
        </is>
      </c>
      <c r="B128" s="5" t="inlineStr">
        <is>
          <t>Madagascar</t>
        </is>
      </c>
      <c r="C128" s="5" t="inlineStr">
        <is>
          <t>SSF</t>
        </is>
      </c>
      <c r="D128" s="5" t="inlineStr">
        <is>
          <t>LIC</t>
        </is>
      </c>
      <c r="E128" s="5" t="inlineStr">
        <is>
          <t>Elasticities!137:138-141</t>
        </is>
      </c>
    </row>
    <row r="129">
      <c r="A129" s="5" t="inlineStr">
        <is>
          <t>MDV</t>
        </is>
      </c>
      <c r="B129" s="5" t="inlineStr">
        <is>
          <t>Maldives</t>
        </is>
      </c>
      <c r="C129" s="5" t="inlineStr">
        <is>
          <t>SAS</t>
        </is>
      </c>
      <c r="D129" s="5" t="inlineStr">
        <is>
          <t>UMIC</t>
        </is>
      </c>
      <c r="E129" s="5" t="inlineStr">
        <is>
          <t>Elasticities!138:138-141</t>
        </is>
      </c>
    </row>
    <row r="130">
      <c r="A130" s="5" t="inlineStr">
        <is>
          <t>MEX</t>
        </is>
      </c>
      <c r="B130" s="5" t="inlineStr">
        <is>
          <t>Mexico</t>
        </is>
      </c>
      <c r="C130" s="5" t="inlineStr">
        <is>
          <t>LCN</t>
        </is>
      </c>
      <c r="D130" s="5" t="inlineStr">
        <is>
          <t>UMIC</t>
        </is>
      </c>
      <c r="E130" s="5" t="inlineStr">
        <is>
          <t>Elasticities!139:138-141</t>
        </is>
      </c>
    </row>
    <row r="131">
      <c r="A131" s="5" t="inlineStr">
        <is>
          <t>MHL</t>
        </is>
      </c>
      <c r="B131" s="5" t="inlineStr">
        <is>
          <t>Marshall Islands</t>
        </is>
      </c>
      <c r="C131" s="5" t="inlineStr">
        <is>
          <t>EAS</t>
        </is>
      </c>
      <c r="D131" s="5" t="inlineStr">
        <is>
          <t>UMIC</t>
        </is>
      </c>
      <c r="E131" s="5" t="inlineStr">
        <is>
          <t>Elasticities!140:138-141</t>
        </is>
      </c>
    </row>
    <row r="132">
      <c r="A132" s="5" t="inlineStr">
        <is>
          <t>MKD</t>
        </is>
      </c>
      <c r="B132" s="5" t="inlineStr">
        <is>
          <t>North Macedonia</t>
        </is>
      </c>
      <c r="C132" s="5" t="inlineStr">
        <is>
          <t>ECS</t>
        </is>
      </c>
      <c r="D132" s="5" t="inlineStr">
        <is>
          <t>UMIC</t>
        </is>
      </c>
      <c r="E132" s="5" t="inlineStr">
        <is>
          <t>Elasticities!141:138-141</t>
        </is>
      </c>
    </row>
    <row r="133">
      <c r="A133" s="5" t="inlineStr">
        <is>
          <t>MLI</t>
        </is>
      </c>
      <c r="B133" s="5" t="inlineStr">
        <is>
          <t>Mali</t>
        </is>
      </c>
      <c r="C133" s="5" t="inlineStr">
        <is>
          <t>SSF</t>
        </is>
      </c>
      <c r="D133" s="5" t="inlineStr">
        <is>
          <t>LIC</t>
        </is>
      </c>
      <c r="E133" s="5" t="inlineStr">
        <is>
          <t>Elasticities!142:138-141</t>
        </is>
      </c>
    </row>
    <row r="134">
      <c r="A134" s="5" t="inlineStr">
        <is>
          <t>MLT</t>
        </is>
      </c>
      <c r="B134" s="5" t="inlineStr">
        <is>
          <t>Malta</t>
        </is>
      </c>
      <c r="C134" s="5" t="inlineStr">
        <is>
          <t>MEA</t>
        </is>
      </c>
      <c r="D134" s="5" t="inlineStr">
        <is>
          <t>HIC</t>
        </is>
      </c>
      <c r="E134" s="5" t="inlineStr">
        <is>
          <t>Elasticities!143:138-141</t>
        </is>
      </c>
    </row>
    <row r="135">
      <c r="A135" s="5" t="inlineStr">
        <is>
          <t>MMR</t>
        </is>
      </c>
      <c r="B135" s="5" t="inlineStr">
        <is>
          <t>Myanmar</t>
        </is>
      </c>
      <c r="C135" s="5" t="inlineStr">
        <is>
          <t>EAS</t>
        </is>
      </c>
      <c r="D135" s="5" t="inlineStr">
        <is>
          <t>LMIC</t>
        </is>
      </c>
      <c r="E135" s="5" t="inlineStr">
        <is>
          <t>Elasticities!144:138-141</t>
        </is>
      </c>
    </row>
    <row r="136">
      <c r="A136" s="5" t="inlineStr">
        <is>
          <t>MNE</t>
        </is>
      </c>
      <c r="B136" s="5" t="inlineStr">
        <is>
          <t>Montenegro, Rep. of</t>
        </is>
      </c>
      <c r="C136" s="5" t="inlineStr">
        <is>
          <t>ECS</t>
        </is>
      </c>
      <c r="D136" s="5" t="inlineStr">
        <is>
          <t>UMIC</t>
        </is>
      </c>
      <c r="E136" s="5" t="inlineStr">
        <is>
          <t>Elasticities!145:138-141</t>
        </is>
      </c>
    </row>
    <row r="137">
      <c r="A137" s="5" t="inlineStr">
        <is>
          <t>MNG</t>
        </is>
      </c>
      <c r="B137" s="5" t="inlineStr">
        <is>
          <t>Mongolia</t>
        </is>
      </c>
      <c r="C137" s="5" t="inlineStr">
        <is>
          <t>EAS</t>
        </is>
      </c>
      <c r="D137" s="5" t="inlineStr">
        <is>
          <t>LMIC</t>
        </is>
      </c>
      <c r="E137" s="5" t="inlineStr">
        <is>
          <t>Elasticities!146:138-141</t>
        </is>
      </c>
    </row>
    <row r="138">
      <c r="A138" s="5" t="inlineStr">
        <is>
          <t>MNP</t>
        </is>
      </c>
      <c r="B138" s="5" t="inlineStr">
        <is>
          <t>Northern Mariana Islands</t>
        </is>
      </c>
      <c r="C138" s="5" t="inlineStr">
        <is>
          <t>EAS</t>
        </is>
      </c>
      <c r="D138" s="5" t="inlineStr">
        <is>
          <t>HIC</t>
        </is>
      </c>
      <c r="E138" s="5" t="inlineStr">
        <is>
          <t>Elasticities!147:138-141</t>
        </is>
      </c>
    </row>
    <row r="139">
      <c r="A139" s="5" t="inlineStr">
        <is>
          <t>MOZ</t>
        </is>
      </c>
      <c r="B139" s="5" t="inlineStr">
        <is>
          <t>Mozambique</t>
        </is>
      </c>
      <c r="C139" s="5" t="inlineStr">
        <is>
          <t>SSF</t>
        </is>
      </c>
      <c r="D139" s="5" t="inlineStr">
        <is>
          <t>LIC</t>
        </is>
      </c>
      <c r="E139" s="5" t="inlineStr">
        <is>
          <t>Elasticities!148:138-141</t>
        </is>
      </c>
    </row>
    <row r="140">
      <c r="A140" s="5" t="inlineStr">
        <is>
          <t>MRT</t>
        </is>
      </c>
      <c r="B140" s="5" t="inlineStr">
        <is>
          <t>Mauritania</t>
        </is>
      </c>
      <c r="C140" s="5" t="inlineStr">
        <is>
          <t>SSF</t>
        </is>
      </c>
      <c r="D140" s="5" t="inlineStr">
        <is>
          <t>LMIC</t>
        </is>
      </c>
      <c r="E140" s="5" t="inlineStr">
        <is>
          <t>Elasticities!149:138-141</t>
        </is>
      </c>
    </row>
    <row r="141">
      <c r="A141" s="5" t="inlineStr">
        <is>
          <t>MUS</t>
        </is>
      </c>
      <c r="B141" s="5" t="inlineStr">
        <is>
          <t>Mauritius</t>
        </is>
      </c>
      <c r="C141" s="5" t="inlineStr">
        <is>
          <t>SSF</t>
        </is>
      </c>
      <c r="D141" s="5" t="inlineStr">
        <is>
          <t>UMIC</t>
        </is>
      </c>
      <c r="E141" s="5" t="inlineStr">
        <is>
          <t>Elasticities!150:138-141</t>
        </is>
      </c>
    </row>
    <row r="142">
      <c r="A142" s="5" t="inlineStr">
        <is>
          <t>MWI</t>
        </is>
      </c>
      <c r="B142" s="5" t="inlineStr">
        <is>
          <t>Malawi</t>
        </is>
      </c>
      <c r="C142" s="5" t="inlineStr">
        <is>
          <t>SSF</t>
        </is>
      </c>
      <c r="D142" s="5" t="inlineStr">
        <is>
          <t>LIC</t>
        </is>
      </c>
      <c r="E142" s="5" t="inlineStr">
        <is>
          <t>Elasticities!151:138-141</t>
        </is>
      </c>
    </row>
    <row r="143">
      <c r="A143" s="5" t="inlineStr">
        <is>
          <t>MYS</t>
        </is>
      </c>
      <c r="B143" s="5" t="inlineStr">
        <is>
          <t>Malaysia</t>
        </is>
      </c>
      <c r="C143" s="5" t="inlineStr">
        <is>
          <t>EAS</t>
        </is>
      </c>
      <c r="D143" s="5" t="inlineStr">
        <is>
          <t>UMIC</t>
        </is>
      </c>
      <c r="E143" s="5" t="inlineStr">
        <is>
          <t>Elasticities!152:138-141</t>
        </is>
      </c>
    </row>
    <row r="144">
      <c r="A144" s="5" t="inlineStr">
        <is>
          <t>NAM</t>
        </is>
      </c>
      <c r="B144" s="5" t="inlineStr">
        <is>
          <t>Namibia</t>
        </is>
      </c>
      <c r="C144" s="5" t="inlineStr">
        <is>
          <t>SSF</t>
        </is>
      </c>
      <c r="D144" s="5" t="inlineStr">
        <is>
          <t>UMIC</t>
        </is>
      </c>
      <c r="E144" s="5" t="inlineStr">
        <is>
          <t>Elasticities!153:138-141</t>
        </is>
      </c>
    </row>
    <row r="145">
      <c r="A145" s="5" t="inlineStr">
        <is>
          <t>NCL</t>
        </is>
      </c>
      <c r="B145" s="5" t="inlineStr">
        <is>
          <t>New Caledonia</t>
        </is>
      </c>
      <c r="C145" s="5" t="inlineStr">
        <is>
          <t>EAS</t>
        </is>
      </c>
      <c r="D145" s="5" t="inlineStr">
        <is>
          <t>HIC</t>
        </is>
      </c>
      <c r="E145" s="5" t="inlineStr">
        <is>
          <t>Elasticities!154:138-141</t>
        </is>
      </c>
    </row>
    <row r="146">
      <c r="A146" s="5" t="inlineStr">
        <is>
          <t>NER</t>
        </is>
      </c>
      <c r="B146" s="5" t="inlineStr">
        <is>
          <t>Niger</t>
        </is>
      </c>
      <c r="C146" s="5" t="inlineStr">
        <is>
          <t>SSF</t>
        </is>
      </c>
      <c r="D146" s="5" t="inlineStr">
        <is>
          <t>LIC</t>
        </is>
      </c>
      <c r="E146" s="5" t="inlineStr">
        <is>
          <t>Elasticities!155:138-141</t>
        </is>
      </c>
    </row>
    <row r="147">
      <c r="A147" s="5" t="inlineStr">
        <is>
          <t>NGA</t>
        </is>
      </c>
      <c r="B147" s="5" t="inlineStr">
        <is>
          <t>Nigeria</t>
        </is>
      </c>
      <c r="C147" s="5" t="inlineStr">
        <is>
          <t>SSF</t>
        </is>
      </c>
      <c r="D147" s="5" t="inlineStr">
        <is>
          <t>LMIC</t>
        </is>
      </c>
      <c r="E147" s="5" t="inlineStr">
        <is>
          <t>Elasticities!156:138-141</t>
        </is>
      </c>
    </row>
    <row r="148">
      <c r="A148" s="5" t="inlineStr">
        <is>
          <t>NIC</t>
        </is>
      </c>
      <c r="B148" s="5" t="inlineStr">
        <is>
          <t>Nicaragua</t>
        </is>
      </c>
      <c r="C148" s="5" t="inlineStr">
        <is>
          <t>LCN</t>
        </is>
      </c>
      <c r="D148" s="5" t="inlineStr">
        <is>
          <t>LMIC</t>
        </is>
      </c>
      <c r="E148" s="5" t="inlineStr">
        <is>
          <t>Elasticities!157:138-141</t>
        </is>
      </c>
    </row>
    <row r="149">
      <c r="A149" s="5" t="inlineStr">
        <is>
          <t>NLD</t>
        </is>
      </c>
      <c r="B149" s="5" t="inlineStr">
        <is>
          <t>Netherlands</t>
        </is>
      </c>
      <c r="C149" s="5" t="inlineStr">
        <is>
          <t>ECS</t>
        </is>
      </c>
      <c r="D149" s="5" t="inlineStr">
        <is>
          <t>HIC</t>
        </is>
      </c>
      <c r="E149" s="5" t="inlineStr">
        <is>
          <t>Elasticities!158:138-141</t>
        </is>
      </c>
    </row>
    <row r="150">
      <c r="A150" s="5" t="inlineStr">
        <is>
          <t>NOR</t>
        </is>
      </c>
      <c r="B150" s="5" t="inlineStr">
        <is>
          <t>Norway</t>
        </is>
      </c>
      <c r="C150" s="5" t="inlineStr">
        <is>
          <t>ECS</t>
        </is>
      </c>
      <c r="D150" s="5" t="inlineStr">
        <is>
          <t>HIC</t>
        </is>
      </c>
      <c r="E150" s="5" t="inlineStr">
        <is>
          <t>Elasticities!159:138-141</t>
        </is>
      </c>
    </row>
    <row r="151">
      <c r="A151" s="5" t="inlineStr">
        <is>
          <t>NPL</t>
        </is>
      </c>
      <c r="B151" s="5" t="inlineStr">
        <is>
          <t>Nepal</t>
        </is>
      </c>
      <c r="C151" s="5" t="inlineStr">
        <is>
          <t>SAS</t>
        </is>
      </c>
      <c r="D151" s="5" t="inlineStr">
        <is>
          <t>LIC</t>
        </is>
      </c>
      <c r="E151" s="5" t="inlineStr">
        <is>
          <t>Elasticities!160:138-141</t>
        </is>
      </c>
    </row>
    <row r="152">
      <c r="A152" s="5" t="inlineStr">
        <is>
          <t>NRU</t>
        </is>
      </c>
      <c r="B152" s="5" t="inlineStr">
        <is>
          <t>Nauru</t>
        </is>
      </c>
      <c r="C152" s="5" t="inlineStr">
        <is>
          <t>EAS</t>
        </is>
      </c>
      <c r="D152" s="5" t="inlineStr">
        <is>
          <t>UMIC</t>
        </is>
      </c>
      <c r="E152" s="5" t="inlineStr">
        <is>
          <t>Elasticities!161:138-141</t>
        </is>
      </c>
    </row>
    <row r="153">
      <c r="A153" s="5" t="inlineStr">
        <is>
          <t>NZL</t>
        </is>
      </c>
      <c r="B153" s="5" t="inlineStr">
        <is>
          <t>New Zealand</t>
        </is>
      </c>
      <c r="C153" s="5" t="inlineStr">
        <is>
          <t>EAS</t>
        </is>
      </c>
      <c r="D153" s="5" t="inlineStr">
        <is>
          <t>HIC</t>
        </is>
      </c>
      <c r="E153" s="5" t="inlineStr">
        <is>
          <t>Elasticities!162:138-141</t>
        </is>
      </c>
    </row>
    <row r="154">
      <c r="A154" s="5" t="inlineStr">
        <is>
          <t>OMN</t>
        </is>
      </c>
      <c r="B154" s="5" t="inlineStr">
        <is>
          <t>Oman</t>
        </is>
      </c>
      <c r="C154" s="5" t="inlineStr">
        <is>
          <t>MEA</t>
        </is>
      </c>
      <c r="D154" s="5" t="inlineStr">
        <is>
          <t>HIC</t>
        </is>
      </c>
      <c r="E154" s="5" t="inlineStr">
        <is>
          <t>Elasticities!163:138-141</t>
        </is>
      </c>
    </row>
    <row r="155">
      <c r="A155" s="5" t="inlineStr">
        <is>
          <t>PAK</t>
        </is>
      </c>
      <c r="B155" s="5" t="inlineStr">
        <is>
          <t>Pakistan</t>
        </is>
      </c>
      <c r="C155" s="5" t="inlineStr">
        <is>
          <t>SAS</t>
        </is>
      </c>
      <c r="D155" s="5" t="inlineStr">
        <is>
          <t>LMIC</t>
        </is>
      </c>
      <c r="E155" s="5" t="inlineStr">
        <is>
          <t>Elasticities!164:138-141</t>
        </is>
      </c>
    </row>
    <row r="156">
      <c r="A156" s="5" t="inlineStr">
        <is>
          <t>PAN</t>
        </is>
      </c>
      <c r="B156" s="5" t="inlineStr">
        <is>
          <t>Panama</t>
        </is>
      </c>
      <c r="C156" s="5" t="inlineStr">
        <is>
          <t>LCN</t>
        </is>
      </c>
      <c r="D156" s="5" t="inlineStr">
        <is>
          <t>HIC</t>
        </is>
      </c>
      <c r="E156" s="5" t="inlineStr">
        <is>
          <t>Elasticities!165:138-141</t>
        </is>
      </c>
    </row>
    <row r="157">
      <c r="A157" s="5" t="inlineStr">
        <is>
          <t>PER</t>
        </is>
      </c>
      <c r="B157" s="5" t="inlineStr">
        <is>
          <t>Peru</t>
        </is>
      </c>
      <c r="C157" s="5" t="inlineStr">
        <is>
          <t>LCN</t>
        </is>
      </c>
      <c r="D157" s="5" t="inlineStr">
        <is>
          <t>UMIC</t>
        </is>
      </c>
      <c r="E157" s="5" t="inlineStr">
        <is>
          <t>Elasticities!166:138-141</t>
        </is>
      </c>
    </row>
    <row r="158">
      <c r="A158" s="5" t="inlineStr">
        <is>
          <t>PHL</t>
        </is>
      </c>
      <c r="B158" s="5" t="inlineStr">
        <is>
          <t>Philippines</t>
        </is>
      </c>
      <c r="C158" s="5" t="inlineStr">
        <is>
          <t>EAS</t>
        </is>
      </c>
      <c r="D158" s="5" t="inlineStr">
        <is>
          <t>LMIC</t>
        </is>
      </c>
      <c r="E158" s="5" t="inlineStr">
        <is>
          <t>Elasticities!167:138-141</t>
        </is>
      </c>
    </row>
    <row r="159">
      <c r="A159" s="5" t="inlineStr">
        <is>
          <t>PLW</t>
        </is>
      </c>
      <c r="B159" s="5" t="inlineStr">
        <is>
          <t>Palau</t>
        </is>
      </c>
      <c r="C159" s="5" t="inlineStr">
        <is>
          <t>EAS</t>
        </is>
      </c>
      <c r="D159" s="5" t="inlineStr">
        <is>
          <t>HIC</t>
        </is>
      </c>
      <c r="E159" s="5" t="inlineStr">
        <is>
          <t>Elasticities!168:138-141</t>
        </is>
      </c>
    </row>
    <row r="160">
      <c r="A160" s="5" t="inlineStr">
        <is>
          <t>PNG</t>
        </is>
      </c>
      <c r="B160" s="5" t="inlineStr">
        <is>
          <t>Papua New Guinea</t>
        </is>
      </c>
      <c r="C160" s="5" t="inlineStr">
        <is>
          <t>EAS</t>
        </is>
      </c>
      <c r="D160" s="5" t="inlineStr">
        <is>
          <t>LMIC</t>
        </is>
      </c>
      <c r="E160" s="5" t="inlineStr">
        <is>
          <t>Elasticities!169:138-141</t>
        </is>
      </c>
    </row>
    <row r="161">
      <c r="A161" s="5" t="inlineStr">
        <is>
          <t>POL</t>
        </is>
      </c>
      <c r="B161" s="5" t="inlineStr">
        <is>
          <t>Poland</t>
        </is>
      </c>
      <c r="C161" s="5" t="inlineStr">
        <is>
          <t>ECS</t>
        </is>
      </c>
      <c r="D161" s="5" t="inlineStr">
        <is>
          <t>HIC</t>
        </is>
      </c>
      <c r="E161" s="5" t="inlineStr">
        <is>
          <t>Elasticities!170:138-141</t>
        </is>
      </c>
    </row>
    <row r="162">
      <c r="A162" s="5" t="inlineStr">
        <is>
          <t>PRI</t>
        </is>
      </c>
      <c r="B162" s="5" t="inlineStr">
        <is>
          <t>Puerto Rico</t>
        </is>
      </c>
      <c r="C162" s="5" t="inlineStr">
        <is>
          <t>LCN</t>
        </is>
      </c>
      <c r="D162" s="5" t="inlineStr">
        <is>
          <t>HIC</t>
        </is>
      </c>
      <c r="E162" s="5" t="inlineStr">
        <is>
          <t>Elasticities!171:138-141</t>
        </is>
      </c>
    </row>
    <row r="163">
      <c r="A163" s="5" t="inlineStr">
        <is>
          <t>PRK</t>
        </is>
      </c>
      <c r="B163" s="5" t="inlineStr">
        <is>
          <t>Korea, Dem. People's Rep.</t>
        </is>
      </c>
      <c r="C163" s="5" t="inlineStr">
        <is>
          <t>EAS</t>
        </is>
      </c>
      <c r="D163" s="5" t="inlineStr">
        <is>
          <t>LIC</t>
        </is>
      </c>
      <c r="E163" s="5" t="inlineStr">
        <is>
          <t>Elasticities!172:138-141</t>
        </is>
      </c>
    </row>
    <row r="164">
      <c r="A164" s="5" t="inlineStr">
        <is>
          <t>PRT</t>
        </is>
      </c>
      <c r="B164" s="5" t="inlineStr">
        <is>
          <t>Portugal</t>
        </is>
      </c>
      <c r="C164" s="5" t="inlineStr">
        <is>
          <t>ECS</t>
        </is>
      </c>
      <c r="D164" s="5" t="inlineStr">
        <is>
          <t>HIC</t>
        </is>
      </c>
      <c r="E164" s="5" t="inlineStr">
        <is>
          <t>Elasticities!173:138-141</t>
        </is>
      </c>
    </row>
    <row r="165">
      <c r="A165" s="5" t="inlineStr">
        <is>
          <t>PRY</t>
        </is>
      </c>
      <c r="B165" s="5" t="inlineStr">
        <is>
          <t>Paraguay</t>
        </is>
      </c>
      <c r="C165" s="5" t="inlineStr">
        <is>
          <t>LCN</t>
        </is>
      </c>
      <c r="D165" s="5" t="inlineStr">
        <is>
          <t>UMIC</t>
        </is>
      </c>
      <c r="E165" s="5" t="inlineStr">
        <is>
          <t>Elasticities!174:138-141</t>
        </is>
      </c>
    </row>
    <row r="166">
      <c r="A166" s="5" t="inlineStr">
        <is>
          <t>PSE</t>
        </is>
      </c>
      <c r="B166" s="5" t="inlineStr">
        <is>
          <t>West Bank and Gaza</t>
        </is>
      </c>
      <c r="C166" s="5" t="inlineStr">
        <is>
          <t>MEA</t>
        </is>
      </c>
      <c r="D166" s="5" t="inlineStr">
        <is>
          <t>LMIC</t>
        </is>
      </c>
      <c r="E166" s="5" t="inlineStr">
        <is>
          <t>Elasticities!175:138-141</t>
        </is>
      </c>
    </row>
    <row r="167">
      <c r="A167" s="5" t="inlineStr">
        <is>
          <t>PYF</t>
        </is>
      </c>
      <c r="B167" s="5" t="inlineStr">
        <is>
          <t>French Polynesia</t>
        </is>
      </c>
      <c r="C167" s="5" t="inlineStr">
        <is>
          <t>EAS</t>
        </is>
      </c>
      <c r="D167" s="5" t="inlineStr">
        <is>
          <t>HIC</t>
        </is>
      </c>
      <c r="E167" s="5" t="inlineStr">
        <is>
          <t>Elasticities!176:138-141</t>
        </is>
      </c>
    </row>
    <row r="168">
      <c r="A168" s="5" t="inlineStr">
        <is>
          <t>QAT</t>
        </is>
      </c>
      <c r="B168" s="5" t="inlineStr">
        <is>
          <t>Qatar</t>
        </is>
      </c>
      <c r="C168" s="5" t="inlineStr">
        <is>
          <t>MEA</t>
        </is>
      </c>
      <c r="D168" s="5" t="inlineStr">
        <is>
          <t>HIC</t>
        </is>
      </c>
      <c r="E168" s="5" t="inlineStr">
        <is>
          <t>Elasticities!177:138-141</t>
        </is>
      </c>
    </row>
    <row r="169">
      <c r="A169" s="5" t="inlineStr">
        <is>
          <t>ROU</t>
        </is>
      </c>
      <c r="B169" s="5" t="inlineStr">
        <is>
          <t>Romania</t>
        </is>
      </c>
      <c r="C169" s="5" t="inlineStr">
        <is>
          <t>ECS</t>
        </is>
      </c>
      <c r="D169" s="5" t="inlineStr">
        <is>
          <t>UMIC</t>
        </is>
      </c>
      <c r="E169" s="5" t="inlineStr">
        <is>
          <t>Elasticities!178:138-141</t>
        </is>
      </c>
    </row>
    <row r="170">
      <c r="A170" s="5" t="inlineStr">
        <is>
          <t>RUS</t>
        </is>
      </c>
      <c r="B170" s="5" t="inlineStr">
        <is>
          <t>Russia</t>
        </is>
      </c>
      <c r="C170" s="5" t="inlineStr">
        <is>
          <t>ECS</t>
        </is>
      </c>
      <c r="D170" s="5" t="inlineStr">
        <is>
          <t>UMIC</t>
        </is>
      </c>
      <c r="E170" s="5" t="inlineStr">
        <is>
          <t>Elasticities!179:138-141</t>
        </is>
      </c>
    </row>
    <row r="171">
      <c r="A171" s="5" t="inlineStr">
        <is>
          <t>RWA</t>
        </is>
      </c>
      <c r="B171" s="5" t="inlineStr">
        <is>
          <t>Rwanda</t>
        </is>
      </c>
      <c r="C171" s="5" t="inlineStr">
        <is>
          <t>SSF</t>
        </is>
      </c>
      <c r="D171" s="5" t="inlineStr">
        <is>
          <t>LIC</t>
        </is>
      </c>
      <c r="E171" s="5" t="inlineStr">
        <is>
          <t>Elasticities!180:138-141</t>
        </is>
      </c>
    </row>
    <row r="172">
      <c r="A172" s="5" t="inlineStr">
        <is>
          <t>SAU</t>
        </is>
      </c>
      <c r="B172" s="5" t="inlineStr">
        <is>
          <t>Saudi Arabia</t>
        </is>
      </c>
      <c r="C172" s="5" t="inlineStr">
        <is>
          <t>MEA</t>
        </is>
      </c>
      <c r="D172" s="5" t="inlineStr">
        <is>
          <t>HIC</t>
        </is>
      </c>
      <c r="E172" s="5" t="inlineStr">
        <is>
          <t>Elasticities!181:138-141</t>
        </is>
      </c>
    </row>
    <row r="173">
      <c r="A173" s="5" t="inlineStr">
        <is>
          <t>SDN</t>
        </is>
      </c>
      <c r="B173" s="5" t="inlineStr">
        <is>
          <t>Sudan</t>
        </is>
      </c>
      <c r="C173" s="5" t="inlineStr">
        <is>
          <t>SSF</t>
        </is>
      </c>
      <c r="D173" s="5" t="inlineStr">
        <is>
          <t>LMIC</t>
        </is>
      </c>
      <c r="E173" s="5" t="inlineStr">
        <is>
          <t>Elasticities!182:138-141</t>
        </is>
      </c>
    </row>
    <row r="174">
      <c r="A174" s="5" t="inlineStr">
        <is>
          <t>SEN</t>
        </is>
      </c>
      <c r="B174" s="5" t="inlineStr">
        <is>
          <t>Senegal</t>
        </is>
      </c>
      <c r="C174" s="5" t="inlineStr">
        <is>
          <t>SSF</t>
        </is>
      </c>
      <c r="D174" s="5" t="inlineStr">
        <is>
          <t>LIC</t>
        </is>
      </c>
      <c r="E174" s="5" t="inlineStr">
        <is>
          <t>Elasticities!183:138-141</t>
        </is>
      </c>
    </row>
    <row r="175">
      <c r="A175" s="5" t="inlineStr">
        <is>
          <t>SGP</t>
        </is>
      </c>
      <c r="B175" s="5" t="inlineStr">
        <is>
          <t>Singapore</t>
        </is>
      </c>
      <c r="C175" s="5" t="inlineStr">
        <is>
          <t>EAS</t>
        </is>
      </c>
      <c r="D175" s="5" t="inlineStr">
        <is>
          <t>HIC</t>
        </is>
      </c>
      <c r="E175" s="5" t="inlineStr">
        <is>
          <t>Elasticities!184:138-141</t>
        </is>
      </c>
    </row>
    <row r="176">
      <c r="A176" s="5" t="inlineStr">
        <is>
          <t>SLB</t>
        </is>
      </c>
      <c r="B176" s="5" t="inlineStr">
        <is>
          <t>Solomon Islands</t>
        </is>
      </c>
      <c r="C176" s="5" t="inlineStr">
        <is>
          <t>EAS</t>
        </is>
      </c>
      <c r="D176" s="5" t="inlineStr">
        <is>
          <t>LMIC</t>
        </is>
      </c>
      <c r="E176" s="5" t="inlineStr">
        <is>
          <t>Elasticities!185:138-141</t>
        </is>
      </c>
    </row>
    <row r="177">
      <c r="A177" s="5" t="inlineStr">
        <is>
          <t>SLE</t>
        </is>
      </c>
      <c r="B177" s="5" t="inlineStr">
        <is>
          <t>Sierra Leone</t>
        </is>
      </c>
      <c r="C177" s="5" t="inlineStr">
        <is>
          <t>SSF</t>
        </is>
      </c>
      <c r="D177" s="5" t="inlineStr">
        <is>
          <t>LIC</t>
        </is>
      </c>
      <c r="E177" s="5" t="inlineStr">
        <is>
          <t>Elasticities!186:138-141</t>
        </is>
      </c>
    </row>
    <row r="178">
      <c r="A178" s="5" t="inlineStr">
        <is>
          <t>SLV</t>
        </is>
      </c>
      <c r="B178" s="5" t="inlineStr">
        <is>
          <t>El Salvador</t>
        </is>
      </c>
      <c r="C178" s="5" t="inlineStr">
        <is>
          <t>LCN</t>
        </is>
      </c>
      <c r="D178" s="5" t="inlineStr">
        <is>
          <t>LMIC</t>
        </is>
      </c>
      <c r="E178" s="5" t="inlineStr">
        <is>
          <t>Elasticities!187:138-141</t>
        </is>
      </c>
    </row>
    <row r="179">
      <c r="A179" s="5" t="inlineStr">
        <is>
          <t>SMR</t>
        </is>
      </c>
      <c r="B179" s="5" t="inlineStr">
        <is>
          <t>San Marino</t>
        </is>
      </c>
      <c r="C179" s="5" t="inlineStr">
        <is>
          <t>ECS</t>
        </is>
      </c>
      <c r="D179" s="5" t="inlineStr">
        <is>
          <t>HIC</t>
        </is>
      </c>
      <c r="E179" s="5" t="inlineStr">
        <is>
          <t>Elasticities!188:138-141</t>
        </is>
      </c>
    </row>
    <row r="180">
      <c r="A180" s="5" t="inlineStr">
        <is>
          <t>SOM</t>
        </is>
      </c>
      <c r="B180" s="5" t="inlineStr">
        <is>
          <t>Somalia</t>
        </is>
      </c>
      <c r="C180" s="5" t="inlineStr">
        <is>
          <t>SSF</t>
        </is>
      </c>
      <c r="D180" s="5" t="inlineStr">
        <is>
          <t>LIC</t>
        </is>
      </c>
      <c r="E180" s="5" t="inlineStr">
        <is>
          <t>Elasticities!189:138-141</t>
        </is>
      </c>
    </row>
    <row r="181">
      <c r="A181" s="5" t="inlineStr">
        <is>
          <t>SRB</t>
        </is>
      </c>
      <c r="B181" s="5" t="inlineStr">
        <is>
          <t>Serbia</t>
        </is>
      </c>
      <c r="C181" s="5" t="inlineStr">
        <is>
          <t>ECS</t>
        </is>
      </c>
      <c r="D181" s="5" t="inlineStr">
        <is>
          <t>UMIC</t>
        </is>
      </c>
      <c r="E181" s="5" t="inlineStr">
        <is>
          <t>Elasticities!190:138-141</t>
        </is>
      </c>
    </row>
    <row r="182">
      <c r="A182" s="5" t="inlineStr">
        <is>
          <t>SSD</t>
        </is>
      </c>
      <c r="B182" s="5" t="inlineStr">
        <is>
          <t>South Sudan</t>
        </is>
      </c>
      <c r="C182" s="5" t="inlineStr">
        <is>
          <t>SSF</t>
        </is>
      </c>
      <c r="D182" s="5" t="inlineStr">
        <is>
          <t>LIC</t>
        </is>
      </c>
      <c r="E182" s="5" t="inlineStr">
        <is>
          <t>Elasticities!191:138-141</t>
        </is>
      </c>
    </row>
    <row r="183">
      <c r="A183" s="5" t="inlineStr">
        <is>
          <t>SSF</t>
        </is>
      </c>
      <c r="B183" s="5" t="inlineStr">
        <is>
          <t>Sub-Saharan Africa</t>
        </is>
      </c>
      <c r="C183" s="5" t="inlineStr">
        <is>
          <t>SSF</t>
        </is>
      </c>
      <c r="D183" s="5" t="inlineStr">
        <is>
          <t>N/A</t>
        </is>
      </c>
      <c r="E183" s="5" t="inlineStr">
        <is>
          <t>Elasticities!192:138-141</t>
        </is>
      </c>
    </row>
    <row r="184">
      <c r="A184" s="5" t="inlineStr">
        <is>
          <t>STP</t>
        </is>
      </c>
      <c r="B184" s="5" t="inlineStr">
        <is>
          <t>São Tomé and Príncipe</t>
        </is>
      </c>
      <c r="C184" s="5" t="inlineStr">
        <is>
          <t>SSF</t>
        </is>
      </c>
      <c r="D184" s="5" t="inlineStr">
        <is>
          <t>LMIC</t>
        </is>
      </c>
      <c r="E184" s="5" t="inlineStr">
        <is>
          <t>Elasticities!193:138-141</t>
        </is>
      </c>
    </row>
    <row r="185">
      <c r="A185" s="5" t="inlineStr">
        <is>
          <t>SUR</t>
        </is>
      </c>
      <c r="B185" s="5" t="inlineStr">
        <is>
          <t>Suriname</t>
        </is>
      </c>
      <c r="C185" s="5" t="inlineStr">
        <is>
          <t>LCN</t>
        </is>
      </c>
      <c r="D185" s="5" t="inlineStr">
        <is>
          <t>UMIC</t>
        </is>
      </c>
      <c r="E185" s="5" t="inlineStr">
        <is>
          <t>Elasticities!194:138-141</t>
        </is>
      </c>
    </row>
    <row r="186">
      <c r="A186" s="5" t="inlineStr">
        <is>
          <t>SVK</t>
        </is>
      </c>
      <c r="B186" s="5" t="inlineStr">
        <is>
          <t>Slovak Republic</t>
        </is>
      </c>
      <c r="C186" s="5" t="inlineStr">
        <is>
          <t>ECS</t>
        </is>
      </c>
      <c r="D186" s="5" t="inlineStr">
        <is>
          <t>HIC</t>
        </is>
      </c>
      <c r="E186" s="5" t="inlineStr">
        <is>
          <t>Elasticities!195:138-141</t>
        </is>
      </c>
    </row>
    <row r="187">
      <c r="A187" s="5" t="inlineStr">
        <is>
          <t>SVN</t>
        </is>
      </c>
      <c r="B187" s="5" t="inlineStr">
        <is>
          <t>Slovenia</t>
        </is>
      </c>
      <c r="C187" s="5" t="inlineStr">
        <is>
          <t>ECS</t>
        </is>
      </c>
      <c r="D187" s="5" t="inlineStr">
        <is>
          <t>HIC</t>
        </is>
      </c>
      <c r="E187" s="5" t="inlineStr">
        <is>
          <t>Elasticities!196:138-141</t>
        </is>
      </c>
    </row>
    <row r="188">
      <c r="A188" s="5" t="inlineStr">
        <is>
          <t>SWE</t>
        </is>
      </c>
      <c r="B188" s="5" t="inlineStr">
        <is>
          <t>Sweden</t>
        </is>
      </c>
      <c r="C188" s="5" t="inlineStr">
        <is>
          <t>ECS</t>
        </is>
      </c>
      <c r="D188" s="5" t="inlineStr">
        <is>
          <t>HIC</t>
        </is>
      </c>
      <c r="E188" s="5" t="inlineStr">
        <is>
          <t>Elasticities!197:138-141</t>
        </is>
      </c>
    </row>
    <row r="189">
      <c r="A189" s="5" t="inlineStr">
        <is>
          <t>SWZ</t>
        </is>
      </c>
      <c r="B189" s="5" t="inlineStr">
        <is>
          <t>Eswatini</t>
        </is>
      </c>
      <c r="C189" s="5" t="inlineStr">
        <is>
          <t>SSF</t>
        </is>
      </c>
      <c r="D189" s="5" t="inlineStr">
        <is>
          <t>LMIC</t>
        </is>
      </c>
      <c r="E189" s="5" t="inlineStr">
        <is>
          <t>Elasticities!198:138-141</t>
        </is>
      </c>
    </row>
    <row r="190">
      <c r="A190" s="5" t="inlineStr">
        <is>
          <t>SXM</t>
        </is>
      </c>
      <c r="B190" s="5" t="inlineStr">
        <is>
          <t>Sint Maarten (Dutch part)</t>
        </is>
      </c>
      <c r="C190" s="5" t="inlineStr">
        <is>
          <t>LCN</t>
        </is>
      </c>
      <c r="D190" s="5" t="inlineStr">
        <is>
          <t>HIC</t>
        </is>
      </c>
      <c r="E190" s="5" t="inlineStr">
        <is>
          <t>Elasticities!199:138-141</t>
        </is>
      </c>
    </row>
    <row r="191">
      <c r="A191" s="5" t="inlineStr">
        <is>
          <t>SYC</t>
        </is>
      </c>
      <c r="B191" s="5" t="inlineStr">
        <is>
          <t>Seychelles</t>
        </is>
      </c>
      <c r="C191" s="5" t="inlineStr">
        <is>
          <t>SSF</t>
        </is>
      </c>
      <c r="D191" s="5" t="inlineStr">
        <is>
          <t>HIC</t>
        </is>
      </c>
      <c r="E191" s="5" t="inlineStr">
        <is>
          <t>Elasticities!200:138-141</t>
        </is>
      </c>
    </row>
    <row r="192">
      <c r="A192" s="5" t="inlineStr">
        <is>
          <t>SYR</t>
        </is>
      </c>
      <c r="B192" s="5" t="inlineStr">
        <is>
          <t>Syria</t>
        </is>
      </c>
      <c r="C192" s="5" t="inlineStr">
        <is>
          <t>MEA</t>
        </is>
      </c>
      <c r="D192" s="5" t="inlineStr">
        <is>
          <t>LIC</t>
        </is>
      </c>
      <c r="E192" s="5" t="inlineStr">
        <is>
          <t>Elasticities!201:138-141</t>
        </is>
      </c>
    </row>
    <row r="193">
      <c r="A193" s="5" t="inlineStr">
        <is>
          <t>TCA</t>
        </is>
      </c>
      <c r="B193" s="5" t="inlineStr">
        <is>
          <t>Turks and Caicos Islands</t>
        </is>
      </c>
      <c r="C193" s="5" t="inlineStr">
        <is>
          <t>LCN</t>
        </is>
      </c>
      <c r="D193" s="5" t="inlineStr">
        <is>
          <t>HIC</t>
        </is>
      </c>
      <c r="E193" s="5" t="inlineStr">
        <is>
          <t>Elasticities!202:138-141</t>
        </is>
      </c>
    </row>
    <row r="194">
      <c r="A194" s="5" t="inlineStr">
        <is>
          <t>TCD</t>
        </is>
      </c>
      <c r="B194" s="5" t="inlineStr">
        <is>
          <t>Chad</t>
        </is>
      </c>
      <c r="C194" s="5" t="inlineStr">
        <is>
          <t>SSF</t>
        </is>
      </c>
      <c r="D194" s="5" t="inlineStr">
        <is>
          <t>LIC</t>
        </is>
      </c>
      <c r="E194" s="5" t="inlineStr">
        <is>
          <t>Elasticities!203:138-141</t>
        </is>
      </c>
    </row>
    <row r="195">
      <c r="A195" s="5" t="inlineStr">
        <is>
          <t>TGO</t>
        </is>
      </c>
      <c r="B195" s="5" t="inlineStr">
        <is>
          <t>Togo</t>
        </is>
      </c>
      <c r="C195" s="5" t="inlineStr">
        <is>
          <t>SSF</t>
        </is>
      </c>
      <c r="D195" s="5" t="inlineStr">
        <is>
          <t>LIC</t>
        </is>
      </c>
      <c r="E195" s="5" t="inlineStr">
        <is>
          <t>Elasticities!204:138-141</t>
        </is>
      </c>
    </row>
    <row r="196">
      <c r="A196" s="5" t="inlineStr">
        <is>
          <t>THA</t>
        </is>
      </c>
      <c r="B196" s="5" t="inlineStr">
        <is>
          <t>Thailand</t>
        </is>
      </c>
      <c r="C196" s="5" t="inlineStr">
        <is>
          <t>EAS</t>
        </is>
      </c>
      <c r="D196" s="5" t="inlineStr">
        <is>
          <t>UMIC</t>
        </is>
      </c>
      <c r="E196" s="5" t="inlineStr">
        <is>
          <t>Elasticities!205:138-141</t>
        </is>
      </c>
    </row>
    <row r="197">
      <c r="A197" s="5" t="inlineStr">
        <is>
          <t>TJK</t>
        </is>
      </c>
      <c r="B197" s="5" t="inlineStr">
        <is>
          <t>Tajikistan</t>
        </is>
      </c>
      <c r="C197" s="5" t="inlineStr">
        <is>
          <t>ECS</t>
        </is>
      </c>
      <c r="D197" s="5" t="inlineStr">
        <is>
          <t>LIC</t>
        </is>
      </c>
      <c r="E197" s="5" t="inlineStr">
        <is>
          <t>Elasticities!206:138-141</t>
        </is>
      </c>
    </row>
    <row r="198">
      <c r="A198" s="5" t="inlineStr">
        <is>
          <t>TKM</t>
        </is>
      </c>
      <c r="B198" s="5" t="inlineStr">
        <is>
          <t>Turkmenistan</t>
        </is>
      </c>
      <c r="C198" s="5" t="inlineStr">
        <is>
          <t>ECS</t>
        </is>
      </c>
      <c r="D198" s="5" t="inlineStr">
        <is>
          <t>UMIC</t>
        </is>
      </c>
      <c r="E198" s="5" t="inlineStr">
        <is>
          <t>Elasticities!207:138-141</t>
        </is>
      </c>
    </row>
    <row r="199">
      <c r="A199" s="5" t="inlineStr">
        <is>
          <t>TLS</t>
        </is>
      </c>
      <c r="B199" s="5" t="inlineStr">
        <is>
          <t>Timor-Leste</t>
        </is>
      </c>
      <c r="C199" s="5" t="inlineStr">
        <is>
          <t>EAS</t>
        </is>
      </c>
      <c r="D199" s="5" t="inlineStr">
        <is>
          <t>LMIC</t>
        </is>
      </c>
      <c r="E199" s="5" t="inlineStr">
        <is>
          <t>Elasticities!208:138-141</t>
        </is>
      </c>
    </row>
    <row r="200">
      <c r="A200" s="5" t="inlineStr">
        <is>
          <t>TON</t>
        </is>
      </c>
      <c r="B200" s="5" t="inlineStr">
        <is>
          <t>Tonga</t>
        </is>
      </c>
      <c r="C200" s="5" t="inlineStr">
        <is>
          <t>EAS</t>
        </is>
      </c>
      <c r="D200" s="5" t="inlineStr">
        <is>
          <t>UMIC</t>
        </is>
      </c>
      <c r="E200" s="5" t="inlineStr">
        <is>
          <t>Elasticities!209:138-141</t>
        </is>
      </c>
    </row>
    <row r="201">
      <c r="A201" s="5" t="inlineStr">
        <is>
          <t>TTO</t>
        </is>
      </c>
      <c r="B201" s="5" t="inlineStr">
        <is>
          <t>Trinidad and Tobago</t>
        </is>
      </c>
      <c r="C201" s="5" t="inlineStr">
        <is>
          <t>LCN</t>
        </is>
      </c>
      <c r="D201" s="5" t="inlineStr">
        <is>
          <t>HIC</t>
        </is>
      </c>
      <c r="E201" s="5" t="inlineStr">
        <is>
          <t>Elasticities!210:138-141</t>
        </is>
      </c>
    </row>
    <row r="202">
      <c r="A202" s="5" t="inlineStr">
        <is>
          <t>TUN</t>
        </is>
      </c>
      <c r="B202" s="5" t="inlineStr">
        <is>
          <t>Tunisia</t>
        </is>
      </c>
      <c r="C202" s="5" t="inlineStr">
        <is>
          <t>MEA</t>
        </is>
      </c>
      <c r="D202" s="5" t="inlineStr">
        <is>
          <t>LMIC</t>
        </is>
      </c>
      <c r="E202" s="5" t="inlineStr">
        <is>
          <t>Elasticities!211:138-141</t>
        </is>
      </c>
    </row>
    <row r="203">
      <c r="A203" s="5" t="inlineStr">
        <is>
          <t>TUR</t>
        </is>
      </c>
      <c r="B203" s="5" t="inlineStr">
        <is>
          <t>Turkiye</t>
        </is>
      </c>
      <c r="C203" s="5" t="inlineStr">
        <is>
          <t>ECS</t>
        </is>
      </c>
      <c r="D203" s="5" t="inlineStr">
        <is>
          <t>UMIC</t>
        </is>
      </c>
      <c r="E203" s="5" t="inlineStr">
        <is>
          <t>Elasticities!212:138-141</t>
        </is>
      </c>
    </row>
    <row r="204">
      <c r="A204" s="5" t="inlineStr">
        <is>
          <t>TUV</t>
        </is>
      </c>
      <c r="B204" s="5" t="inlineStr">
        <is>
          <t>Tuvalu</t>
        </is>
      </c>
      <c r="C204" s="5" t="inlineStr">
        <is>
          <t>EAS</t>
        </is>
      </c>
      <c r="D204" s="5" t="inlineStr">
        <is>
          <t>UMIC</t>
        </is>
      </c>
      <c r="E204" s="5" t="inlineStr">
        <is>
          <t>Elasticities!213:138-141</t>
        </is>
      </c>
    </row>
    <row r="205">
      <c r="A205" s="5" t="inlineStr">
        <is>
          <t>TWN</t>
        </is>
      </c>
      <c r="B205" s="5" t="inlineStr">
        <is>
          <t>Taiwan Province of China</t>
        </is>
      </c>
      <c r="C205" s="5" t="inlineStr">
        <is>
          <t>EAS</t>
        </is>
      </c>
      <c r="D205" s="5" t="inlineStr">
        <is>
          <t>HIC</t>
        </is>
      </c>
      <c r="E205" s="5" t="inlineStr">
        <is>
          <t>Elasticities!214:138-141</t>
        </is>
      </c>
    </row>
    <row r="206">
      <c r="A206" s="5" t="inlineStr">
        <is>
          <t>TZA</t>
        </is>
      </c>
      <c r="B206" s="5" t="inlineStr">
        <is>
          <t>Tanzania</t>
        </is>
      </c>
      <c r="C206" s="5" t="inlineStr">
        <is>
          <t>SSF</t>
        </is>
      </c>
      <c r="D206" s="5" t="inlineStr">
        <is>
          <t>LIC</t>
        </is>
      </c>
      <c r="E206" s="5" t="inlineStr">
        <is>
          <t>Elasticities!215:138-141</t>
        </is>
      </c>
    </row>
    <row r="207">
      <c r="A207" s="5" t="inlineStr">
        <is>
          <t>UGA</t>
        </is>
      </c>
      <c r="B207" s="5" t="inlineStr">
        <is>
          <t>Uganda</t>
        </is>
      </c>
      <c r="C207" s="5" t="inlineStr">
        <is>
          <t>SSF</t>
        </is>
      </c>
      <c r="D207" s="5" t="inlineStr">
        <is>
          <t>LIC</t>
        </is>
      </c>
      <c r="E207" s="5" t="inlineStr">
        <is>
          <t>Elasticities!216:138-141</t>
        </is>
      </c>
    </row>
    <row r="208">
      <c r="A208" s="5" t="inlineStr">
        <is>
          <t>UKR</t>
        </is>
      </c>
      <c r="B208" s="5" t="inlineStr">
        <is>
          <t>Ukraine</t>
        </is>
      </c>
      <c r="C208" s="5" t="inlineStr">
        <is>
          <t>ECS</t>
        </is>
      </c>
      <c r="D208" s="5" t="inlineStr">
        <is>
          <t>LMIC</t>
        </is>
      </c>
      <c r="E208" s="5" t="inlineStr">
        <is>
          <t>Elasticities!217:138-141</t>
        </is>
      </c>
    </row>
    <row r="209">
      <c r="A209" s="5" t="inlineStr">
        <is>
          <t>URY</t>
        </is>
      </c>
      <c r="B209" s="5" t="inlineStr">
        <is>
          <t>Uruguay</t>
        </is>
      </c>
      <c r="C209" s="5" t="inlineStr">
        <is>
          <t>LCN</t>
        </is>
      </c>
      <c r="D209" s="5" t="inlineStr">
        <is>
          <t>HIC</t>
        </is>
      </c>
      <c r="E209" s="5" t="inlineStr">
        <is>
          <t>Elasticities!218:138-141</t>
        </is>
      </c>
    </row>
    <row r="210">
      <c r="A210" s="5" t="inlineStr">
        <is>
          <t>USA</t>
        </is>
      </c>
      <c r="B210" s="5" t="inlineStr">
        <is>
          <t>United States</t>
        </is>
      </c>
      <c r="C210" s="5" t="inlineStr">
        <is>
          <t>NAC</t>
        </is>
      </c>
      <c r="D210" s="5" t="inlineStr">
        <is>
          <t>HIC</t>
        </is>
      </c>
      <c r="E210" s="5" t="inlineStr">
        <is>
          <t>Elasticities!219:138-141</t>
        </is>
      </c>
    </row>
    <row r="211">
      <c r="A211" s="5" t="inlineStr">
        <is>
          <t>UZB</t>
        </is>
      </c>
      <c r="B211" s="5" t="inlineStr">
        <is>
          <t>Uzbekistan</t>
        </is>
      </c>
      <c r="C211" s="5" t="inlineStr">
        <is>
          <t>ECS</t>
        </is>
      </c>
      <c r="D211" s="5" t="inlineStr">
        <is>
          <t>LMIC</t>
        </is>
      </c>
      <c r="E211" s="5" t="inlineStr">
        <is>
          <t>Elasticities!220:138-141</t>
        </is>
      </c>
    </row>
    <row r="212">
      <c r="A212" s="5" t="inlineStr">
        <is>
          <t>VCT</t>
        </is>
      </c>
      <c r="B212" s="5" t="inlineStr">
        <is>
          <t>St. Vincent and the Grenadines</t>
        </is>
      </c>
      <c r="C212" s="5" t="inlineStr">
        <is>
          <t>LCN</t>
        </is>
      </c>
      <c r="D212" s="5" t="inlineStr">
        <is>
          <t>UMIC</t>
        </is>
      </c>
      <c r="E212" s="5" t="inlineStr">
        <is>
          <t>Elasticities!221:138-141</t>
        </is>
      </c>
    </row>
    <row r="213">
      <c r="A213" s="5" t="inlineStr">
        <is>
          <t>VEN</t>
        </is>
      </c>
      <c r="B213" s="5" t="inlineStr">
        <is>
          <t>Venezuela</t>
        </is>
      </c>
      <c r="C213" s="5" t="inlineStr">
        <is>
          <t>LCN</t>
        </is>
      </c>
      <c r="D213" s="5" t="inlineStr">
        <is>
          <t>UMIC</t>
        </is>
      </c>
      <c r="E213" s="5" t="inlineStr">
        <is>
          <t>Elasticities!222:138-141</t>
        </is>
      </c>
    </row>
    <row r="214">
      <c r="A214" s="5" t="inlineStr">
        <is>
          <t>VGB</t>
        </is>
      </c>
      <c r="B214" s="5" t="inlineStr">
        <is>
          <t>British Virgin Islands</t>
        </is>
      </c>
      <c r="C214" s="5" t="inlineStr">
        <is>
          <t>LCN</t>
        </is>
      </c>
      <c r="D214" s="5" t="inlineStr">
        <is>
          <t>HIC</t>
        </is>
      </c>
      <c r="E214" s="5" t="inlineStr">
        <is>
          <t>Elasticities!223:138-141</t>
        </is>
      </c>
    </row>
    <row r="215">
      <c r="A215" s="5" t="inlineStr">
        <is>
          <t>VIR</t>
        </is>
      </c>
      <c r="B215" s="5" t="inlineStr">
        <is>
          <t>Virgin Islands (U.S.)</t>
        </is>
      </c>
      <c r="C215" s="5" t="inlineStr">
        <is>
          <t>LCN</t>
        </is>
      </c>
      <c r="D215" s="5" t="inlineStr">
        <is>
          <t>HIC</t>
        </is>
      </c>
      <c r="E215" s="5" t="inlineStr">
        <is>
          <t>Elasticities!224:138-141</t>
        </is>
      </c>
    </row>
    <row r="216">
      <c r="A216" s="5" t="inlineStr">
        <is>
          <t>VNM</t>
        </is>
      </c>
      <c r="B216" s="5" t="inlineStr">
        <is>
          <t>Vietnam</t>
        </is>
      </c>
      <c r="C216" s="5" t="inlineStr">
        <is>
          <t>EAS</t>
        </is>
      </c>
      <c r="D216" s="5" t="inlineStr">
        <is>
          <t>LMIC</t>
        </is>
      </c>
      <c r="E216" s="5" t="inlineStr">
        <is>
          <t>Elasticities!225:138-141</t>
        </is>
      </c>
    </row>
    <row r="217">
      <c r="A217" s="5" t="inlineStr">
        <is>
          <t>VUT</t>
        </is>
      </c>
      <c r="B217" s="5" t="inlineStr">
        <is>
          <t>Vanuatu</t>
        </is>
      </c>
      <c r="C217" s="5" t="inlineStr">
        <is>
          <t>EAS</t>
        </is>
      </c>
      <c r="D217" s="5" t="inlineStr">
        <is>
          <t>LMIC</t>
        </is>
      </c>
      <c r="E217" s="5" t="inlineStr">
        <is>
          <t>Elasticities!226:138-141</t>
        </is>
      </c>
    </row>
    <row r="218">
      <c r="A218" s="5" t="inlineStr">
        <is>
          <t>WAV</t>
        </is>
      </c>
      <c r="B218" s="5" t="inlineStr">
        <is>
          <t>World aviation bunkers</t>
        </is>
      </c>
      <c r="C218" s="5" t="inlineStr">
        <is>
          <t>NA</t>
        </is>
      </c>
      <c r="D218" s="5" t="inlineStr">
        <is>
          <t>NA</t>
        </is>
      </c>
      <c r="E218" s="5" t="inlineStr">
        <is>
          <t>Elasticities!227:138-141</t>
        </is>
      </c>
    </row>
    <row r="219">
      <c r="A219" s="5" t="inlineStr">
        <is>
          <t>WMR</t>
        </is>
      </c>
      <c r="B219" s="5" t="inlineStr">
        <is>
          <t>World marine bunkers</t>
        </is>
      </c>
      <c r="C219" s="5" t="inlineStr">
        <is>
          <t>NA</t>
        </is>
      </c>
      <c r="D219" s="5" t="inlineStr">
        <is>
          <t>NA</t>
        </is>
      </c>
      <c r="E219" s="5" t="inlineStr">
        <is>
          <t>Elasticities!228:138-141</t>
        </is>
      </c>
    </row>
    <row r="220">
      <c r="A220" s="5" t="inlineStr">
        <is>
          <t>WSM</t>
        </is>
      </c>
      <c r="B220" s="5" t="inlineStr">
        <is>
          <t>Samoa</t>
        </is>
      </c>
      <c r="C220" s="5" t="inlineStr">
        <is>
          <t>EAS</t>
        </is>
      </c>
      <c r="D220" s="5" t="inlineStr">
        <is>
          <t>UMIC</t>
        </is>
      </c>
      <c r="E220" s="5" t="inlineStr">
        <is>
          <t>Elasticities!229:138-141</t>
        </is>
      </c>
    </row>
    <row r="221">
      <c r="A221" s="5" t="inlineStr">
        <is>
          <t>XKX</t>
        </is>
      </c>
      <c r="B221" s="5" t="inlineStr">
        <is>
          <t>Kosovo</t>
        </is>
      </c>
      <c r="C221" s="5" t="inlineStr">
        <is>
          <t>ECS</t>
        </is>
      </c>
      <c r="D221" s="5" t="inlineStr">
        <is>
          <t>LMIC</t>
        </is>
      </c>
      <c r="E221" s="5" t="inlineStr">
        <is>
          <t>Elasticities!230:138-141</t>
        </is>
      </c>
    </row>
    <row r="222">
      <c r="A222" s="5" t="inlineStr">
        <is>
          <t>YEM</t>
        </is>
      </c>
      <c r="B222" s="5" t="inlineStr">
        <is>
          <t>Yemen</t>
        </is>
      </c>
      <c r="C222" s="5" t="inlineStr">
        <is>
          <t>MEA</t>
        </is>
      </c>
      <c r="D222" s="5" t="inlineStr">
        <is>
          <t>LIC</t>
        </is>
      </c>
      <c r="E222" s="5" t="inlineStr">
        <is>
          <t>Elasticities!231:138-141</t>
        </is>
      </c>
    </row>
    <row r="223">
      <c r="A223" s="5" t="inlineStr">
        <is>
          <t>ZAF</t>
        </is>
      </c>
      <c r="B223" s="5" t="inlineStr">
        <is>
          <t>South Africa</t>
        </is>
      </c>
      <c r="C223" s="5" t="inlineStr">
        <is>
          <t>SSF</t>
        </is>
      </c>
      <c r="D223" s="5" t="inlineStr">
        <is>
          <t>UMIC</t>
        </is>
      </c>
      <c r="E223" s="5" t="inlineStr">
        <is>
          <t>Elasticities!232:138-141</t>
        </is>
      </c>
    </row>
    <row r="224">
      <c r="A224" s="5" t="inlineStr">
        <is>
          <t>ZMB</t>
        </is>
      </c>
      <c r="B224" s="5" t="inlineStr">
        <is>
          <t>Zambia</t>
        </is>
      </c>
      <c r="C224" s="5" t="inlineStr">
        <is>
          <t>SSF</t>
        </is>
      </c>
      <c r="D224" s="5" t="inlineStr">
        <is>
          <t>LMIC</t>
        </is>
      </c>
      <c r="E224" s="5" t="inlineStr">
        <is>
          <t>Elasticities!233:138-141</t>
        </is>
      </c>
    </row>
    <row r="225">
      <c r="A225" s="5" t="inlineStr">
        <is>
          <t>ZWE</t>
        </is>
      </c>
      <c r="B225" s="5" t="inlineStr">
        <is>
          <t>Zimbabwe</t>
        </is>
      </c>
      <c r="C225" s="5" t="inlineStr">
        <is>
          <t>SSF</t>
        </is>
      </c>
      <c r="D225" s="5" t="inlineStr">
        <is>
          <t>LIC</t>
        </is>
      </c>
      <c r="E225" s="5" t="inlineStr">
        <is>
          <t>Elasticities!234:138-141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s>
  <sheetData>
    <row r="1">
      <c r="A1" s="5" t="inlineStr">
        <is>
          <t>Source: legacy Elasticities rows 143-282 ('Simple' option, income-group specific)</t>
        </is>
      </c>
    </row>
    <row r="2">
      <c r="A2" s="1" t="inlineStr">
        <is>
          <t>Elasticities by income group (legacy CPAT values)</t>
        </is>
      </c>
      <c r="B2" s="2" t="n"/>
      <c r="C2" s="2" t="n"/>
      <c r="D2" s="2" t="n"/>
      <c r="E2" s="2" t="n"/>
      <c r="F2" s="2" t="n"/>
      <c r="G2" s="2" t="n"/>
      <c r="H2" s="2" t="n"/>
      <c r="I2" s="2" t="n"/>
      <c r="J2" s="2" t="n"/>
    </row>
    <row r="3">
      <c r="A3" s="7" t="inlineStr">
        <is>
          <t>key</t>
        </is>
      </c>
      <c r="B3" s="7" t="inlineStr">
        <is>
          <t>type</t>
        </is>
      </c>
      <c r="C3" s="7" t="inlineStr">
        <is>
          <t>fuel_group</t>
        </is>
      </c>
      <c r="D3" s="7" t="inlineStr">
        <is>
          <t>sector_group</t>
        </is>
      </c>
      <c r="E3" s="7" t="inlineStr">
        <is>
          <t>legacy_code</t>
        </is>
      </c>
      <c r="F3" s="7" t="inlineStr">
        <is>
          <t>LIC</t>
        </is>
      </c>
      <c r="G3" s="7" t="inlineStr">
        <is>
          <t>LMIC</t>
        </is>
      </c>
      <c r="H3" s="7" t="inlineStr">
        <is>
          <t>UMIC</t>
        </is>
      </c>
      <c r="I3" s="7" t="inlineStr">
        <is>
          <t>HIC</t>
        </is>
      </c>
      <c r="J3" s="7" t="inlineStr">
        <is>
          <t>source</t>
        </is>
      </c>
    </row>
    <row r="4">
      <c r="A4" s="5" t="inlineStr">
        <is>
          <t>inc|coa|tra</t>
        </is>
      </c>
      <c r="B4" s="5" t="inlineStr">
        <is>
          <t>inc</t>
        </is>
      </c>
      <c r="C4" s="5" t="inlineStr">
        <is>
          <t>coa</t>
        </is>
      </c>
      <c r="D4" s="5" t="inlineStr">
        <is>
          <t>tra</t>
        </is>
      </c>
      <c r="E4" s="5" t="inlineStr">
        <is>
          <t>coa_inc_tot</t>
        </is>
      </c>
      <c r="F4" s="5" t="n">
        <v>0</v>
      </c>
      <c r="G4" s="5" t="n">
        <v>0</v>
      </c>
      <c r="H4" s="5" t="n">
        <v>0</v>
      </c>
      <c r="I4" s="5" t="n">
        <v>0</v>
      </c>
      <c r="J4" s="5" t="inlineStr">
        <is>
          <t>Elasticities row 143</t>
        </is>
      </c>
    </row>
    <row r="5">
      <c r="A5" s="5" t="inlineStr">
        <is>
          <t>inc|nga|tra</t>
        </is>
      </c>
      <c r="B5" s="5" t="inlineStr">
        <is>
          <t>inc</t>
        </is>
      </c>
      <c r="C5" s="5" t="inlineStr">
        <is>
          <t>nga</t>
        </is>
      </c>
      <c r="D5" s="5" t="inlineStr">
        <is>
          <t>tra</t>
        </is>
      </c>
      <c r="E5" s="5" t="inlineStr">
        <is>
          <t>nga_inc_tot</t>
        </is>
      </c>
      <c r="F5" s="5" t="n">
        <v>0.5</v>
      </c>
      <c r="G5" s="5" t="n">
        <v>0.5</v>
      </c>
      <c r="H5" s="5" t="n">
        <v>0.5</v>
      </c>
      <c r="I5" s="5" t="n">
        <v>0.5</v>
      </c>
      <c r="J5" s="5" t="inlineStr">
        <is>
          <t>Elasticities row 144</t>
        </is>
      </c>
    </row>
    <row r="6">
      <c r="A6" s="5" t="inlineStr">
        <is>
          <t>inc|gso|tra</t>
        </is>
      </c>
      <c r="B6" s="5" t="inlineStr">
        <is>
          <t>inc</t>
        </is>
      </c>
      <c r="C6" s="5" t="inlineStr">
        <is>
          <t>gso</t>
        </is>
      </c>
      <c r="D6" s="5" t="inlineStr">
        <is>
          <t>tra</t>
        </is>
      </c>
      <c r="E6" s="5" t="inlineStr">
        <is>
          <t>oil_inc_res</t>
        </is>
      </c>
      <c r="F6" s="5" t="n">
        <v>0.7</v>
      </c>
      <c r="G6" s="5" t="n">
        <v>0.7</v>
      </c>
      <c r="H6" s="5" t="n">
        <v>0.7</v>
      </c>
      <c r="I6" s="5" t="n">
        <v>0.7</v>
      </c>
      <c r="J6" s="5" t="inlineStr">
        <is>
          <t>Elasticities row 145</t>
        </is>
      </c>
    </row>
    <row r="7">
      <c r="A7" s="5" t="inlineStr">
        <is>
          <t>inc|die|tra</t>
        </is>
      </c>
      <c r="B7" s="5" t="inlineStr">
        <is>
          <t>inc</t>
        </is>
      </c>
      <c r="C7" s="5" t="inlineStr">
        <is>
          <t>die</t>
        </is>
      </c>
      <c r="D7" s="5" t="inlineStr">
        <is>
          <t>tra</t>
        </is>
      </c>
      <c r="E7" s="5" t="inlineStr">
        <is>
          <t>bio_inc_res</t>
        </is>
      </c>
      <c r="F7" s="5" t="n">
        <v>0.6</v>
      </c>
      <c r="G7" s="5" t="n">
        <v>0.6</v>
      </c>
      <c r="H7" s="5" t="n">
        <v>0.6</v>
      </c>
      <c r="I7" s="5" t="n">
        <v>0.6</v>
      </c>
      <c r="J7" s="5" t="inlineStr">
        <is>
          <t>Elasticities row 146</t>
        </is>
      </c>
    </row>
    <row r="8">
      <c r="A8" s="5" t="inlineStr">
        <is>
          <t>inc|oil|tra</t>
        </is>
      </c>
      <c r="B8" s="5" t="inlineStr">
        <is>
          <t>inc</t>
        </is>
      </c>
      <c r="C8" s="5" t="inlineStr">
        <is>
          <t>oil</t>
        </is>
      </c>
      <c r="D8" s="5" t="inlineStr">
        <is>
          <t>tra</t>
        </is>
      </c>
      <c r="E8" s="5" t="inlineStr">
        <is>
          <t>oil_inc_tot</t>
        </is>
      </c>
      <c r="F8" s="5" t="n">
        <v>0.8</v>
      </c>
      <c r="G8" s="5" t="n">
        <v>0.8</v>
      </c>
      <c r="H8" s="5" t="n">
        <v>0.8</v>
      </c>
      <c r="I8" s="5" t="n">
        <v>0.8</v>
      </c>
      <c r="J8" s="5" t="inlineStr">
        <is>
          <t>Elasticities row 147</t>
        </is>
      </c>
    </row>
    <row r="9">
      <c r="A9" s="5" t="inlineStr">
        <is>
          <t>inc|bio|tra</t>
        </is>
      </c>
      <c r="B9" s="5" t="inlineStr">
        <is>
          <t>inc</t>
        </is>
      </c>
      <c r="C9" s="5" t="inlineStr">
        <is>
          <t>bio</t>
        </is>
      </c>
      <c r="D9" s="5" t="inlineStr">
        <is>
          <t>tra</t>
        </is>
      </c>
      <c r="E9" s="5" t="inlineStr">
        <is>
          <t>die_inc_res</t>
        </is>
      </c>
      <c r="F9" s="5" t="n">
        <v>0</v>
      </c>
      <c r="G9" s="5" t="n">
        <v>0</v>
      </c>
      <c r="H9" s="5" t="n">
        <v>0</v>
      </c>
      <c r="I9" s="5" t="n">
        <v>0</v>
      </c>
      <c r="J9" s="5" t="inlineStr">
        <is>
          <t>Elasticities row 148</t>
        </is>
      </c>
    </row>
    <row r="10">
      <c r="A10" s="5" t="inlineStr">
        <is>
          <t>inc|ren|tra</t>
        </is>
      </c>
      <c r="B10" s="5" t="inlineStr">
        <is>
          <t>inc</t>
        </is>
      </c>
      <c r="C10" s="5" t="inlineStr">
        <is>
          <t>ren</t>
        </is>
      </c>
      <c r="D10" s="5" t="inlineStr">
        <is>
          <t>tra</t>
        </is>
      </c>
      <c r="E10" s="5" t="inlineStr">
        <is>
          <t>rnw_inc_tot</t>
        </is>
      </c>
      <c r="F10" s="5" t="n">
        <v>1</v>
      </c>
      <c r="G10" s="5" t="n">
        <v>1</v>
      </c>
      <c r="H10" s="5" t="n">
        <v>1</v>
      </c>
      <c r="I10" s="5" t="n">
        <v>1</v>
      </c>
      <c r="J10" s="5" t="inlineStr">
        <is>
          <t>Elasticities row 149</t>
        </is>
      </c>
    </row>
    <row r="11">
      <c r="A11" s="5" t="inlineStr">
        <is>
          <t>inc|ecy|tra</t>
        </is>
      </c>
      <c r="B11" s="5" t="inlineStr">
        <is>
          <t>inc</t>
        </is>
      </c>
      <c r="C11" s="5" t="inlineStr">
        <is>
          <t>ecy</t>
        </is>
      </c>
      <c r="D11" s="5" t="inlineStr">
        <is>
          <t>tra</t>
        </is>
      </c>
      <c r="E11" s="5" t="inlineStr">
        <is>
          <t>ecy_inc_tot</t>
        </is>
      </c>
      <c r="F11" s="5" t="n">
        <v>1.2</v>
      </c>
      <c r="G11" s="5" t="n">
        <v>1.2</v>
      </c>
      <c r="H11" s="5" t="n">
        <v>1.2</v>
      </c>
      <c r="I11" s="5" t="n">
        <v>1.2</v>
      </c>
      <c r="J11" s="5" t="inlineStr">
        <is>
          <t>Elasticities row 150</t>
        </is>
      </c>
    </row>
    <row r="12">
      <c r="A12" s="5" t="inlineStr">
        <is>
          <t>inc|coa|res</t>
        </is>
      </c>
      <c r="B12" s="5" t="inlineStr">
        <is>
          <t>inc</t>
        </is>
      </c>
      <c r="C12" s="5" t="inlineStr">
        <is>
          <t>coa</t>
        </is>
      </c>
      <c r="D12" s="5" t="inlineStr">
        <is>
          <t>res</t>
        </is>
      </c>
      <c r="E12" s="5" t="inlineStr">
        <is>
          <t>coa_inc_res</t>
        </is>
      </c>
      <c r="F12" s="5" t="n">
        <v>0.3</v>
      </c>
      <c r="G12" s="5" t="n">
        <v>0.3</v>
      </c>
      <c r="H12" s="5" t="n">
        <v>0.3</v>
      </c>
      <c r="I12" s="5" t="n">
        <v>0.3</v>
      </c>
      <c r="J12" s="5" t="inlineStr">
        <is>
          <t>Elasticities row 151</t>
        </is>
      </c>
    </row>
    <row r="13">
      <c r="A13" s="5" t="inlineStr">
        <is>
          <t>inc|nga|res</t>
        </is>
      </c>
      <c r="B13" s="5" t="inlineStr">
        <is>
          <t>inc</t>
        </is>
      </c>
      <c r="C13" s="5" t="inlineStr">
        <is>
          <t>nga</t>
        </is>
      </c>
      <c r="D13" s="5" t="inlineStr">
        <is>
          <t>res</t>
        </is>
      </c>
      <c r="E13" s="5" t="inlineStr">
        <is>
          <t>nga_inc_res</t>
        </is>
      </c>
      <c r="F13" s="5" t="n">
        <v>0.3</v>
      </c>
      <c r="G13" s="5" t="n">
        <v>0.3</v>
      </c>
      <c r="H13" s="5" t="n">
        <v>0.3</v>
      </c>
      <c r="I13" s="5" t="n">
        <v>0.3</v>
      </c>
      <c r="J13" s="5" t="inlineStr">
        <is>
          <t>Elasticities row 152</t>
        </is>
      </c>
    </row>
    <row r="14">
      <c r="A14" s="5" t="inlineStr">
        <is>
          <t>inc|gso|res</t>
        </is>
      </c>
      <c r="B14" s="5" t="inlineStr">
        <is>
          <t>inc</t>
        </is>
      </c>
      <c r="C14" s="5" t="inlineStr">
        <is>
          <t>gso</t>
        </is>
      </c>
      <c r="D14" s="5" t="inlineStr">
        <is>
          <t>res</t>
        </is>
      </c>
      <c r="E14" s="5" t="inlineStr">
        <is>
          <t>oil_inc_res</t>
        </is>
      </c>
      <c r="F14" s="5" t="n">
        <v>0.5</v>
      </c>
      <c r="G14" s="5" t="n">
        <v>0.5</v>
      </c>
      <c r="H14" s="5" t="n">
        <v>0.5</v>
      </c>
      <c r="I14" s="5" t="n">
        <v>0.5</v>
      </c>
      <c r="J14" s="5" t="inlineStr">
        <is>
          <t>Elasticities row 153</t>
        </is>
      </c>
    </row>
    <row r="15">
      <c r="A15" s="5" t="inlineStr">
        <is>
          <t>inc|die|res</t>
        </is>
      </c>
      <c r="B15" s="5" t="inlineStr">
        <is>
          <t>inc</t>
        </is>
      </c>
      <c r="C15" s="5" t="inlineStr">
        <is>
          <t>die</t>
        </is>
      </c>
      <c r="D15" s="5" t="inlineStr">
        <is>
          <t>res</t>
        </is>
      </c>
      <c r="E15" s="5" t="inlineStr">
        <is>
          <t>bio_inc_res</t>
        </is>
      </c>
      <c r="F15" s="5" t="n">
        <v>0.5</v>
      </c>
      <c r="G15" s="5" t="n">
        <v>0.5</v>
      </c>
      <c r="H15" s="5" t="n">
        <v>0.5</v>
      </c>
      <c r="I15" s="5" t="n">
        <v>0.5</v>
      </c>
      <c r="J15" s="5" t="inlineStr">
        <is>
          <t>Elasticities row 154</t>
        </is>
      </c>
    </row>
    <row r="16">
      <c r="A16" s="5" t="inlineStr">
        <is>
          <t>inc|oil|res</t>
        </is>
      </c>
      <c r="B16" s="5" t="inlineStr">
        <is>
          <t>inc</t>
        </is>
      </c>
      <c r="C16" s="5" t="inlineStr">
        <is>
          <t>oil</t>
        </is>
      </c>
      <c r="D16" s="5" t="inlineStr">
        <is>
          <t>res</t>
        </is>
      </c>
      <c r="E16" s="5" t="inlineStr">
        <is>
          <t>oil_inc_res</t>
        </is>
      </c>
      <c r="F16" s="5" t="n">
        <v>0.5</v>
      </c>
      <c r="G16" s="5" t="n">
        <v>0.5</v>
      </c>
      <c r="H16" s="5" t="n">
        <v>0.5</v>
      </c>
      <c r="I16" s="5" t="n">
        <v>0.5</v>
      </c>
      <c r="J16" s="5" t="inlineStr">
        <is>
          <t>Elasticities row 155</t>
        </is>
      </c>
    </row>
    <row r="17">
      <c r="A17" s="5" t="inlineStr">
        <is>
          <t>inc|bio|res</t>
        </is>
      </c>
      <c r="B17" s="5" t="inlineStr">
        <is>
          <t>inc</t>
        </is>
      </c>
      <c r="C17" s="5" t="inlineStr">
        <is>
          <t>bio</t>
        </is>
      </c>
      <c r="D17" s="5" t="inlineStr">
        <is>
          <t>res</t>
        </is>
      </c>
      <c r="E17" s="5" t="inlineStr">
        <is>
          <t>bio_inc_res</t>
        </is>
      </c>
      <c r="F17" s="5" t="n">
        <v>0.1</v>
      </c>
      <c r="G17" s="5" t="n">
        <v>0.1</v>
      </c>
      <c r="H17" s="5" t="n">
        <v>0.1</v>
      </c>
      <c r="I17" s="5" t="n">
        <v>0.1</v>
      </c>
      <c r="J17" s="5" t="inlineStr">
        <is>
          <t>Elasticities row 156</t>
        </is>
      </c>
    </row>
    <row r="18">
      <c r="A18" s="5" t="inlineStr">
        <is>
          <t>inc|ren|res</t>
        </is>
      </c>
      <c r="B18" s="5" t="inlineStr">
        <is>
          <t>inc</t>
        </is>
      </c>
      <c r="C18" s="5" t="inlineStr">
        <is>
          <t>ren</t>
        </is>
      </c>
      <c r="D18" s="5" t="inlineStr">
        <is>
          <t>res</t>
        </is>
      </c>
      <c r="E18" s="5" t="inlineStr">
        <is>
          <t>rnw_inc_tot</t>
        </is>
      </c>
      <c r="F18" s="5" t="n">
        <v>0.8</v>
      </c>
      <c r="G18" s="5" t="n">
        <v>0.8</v>
      </c>
      <c r="H18" s="5" t="n">
        <v>0.8</v>
      </c>
      <c r="I18" s="5" t="n">
        <v>0.8</v>
      </c>
      <c r="J18" s="5" t="inlineStr">
        <is>
          <t>Elasticities row 157</t>
        </is>
      </c>
    </row>
    <row r="19">
      <c r="A19" s="5" t="inlineStr">
        <is>
          <t>inc|ecy|res</t>
        </is>
      </c>
      <c r="B19" s="5" t="inlineStr">
        <is>
          <t>inc</t>
        </is>
      </c>
      <c r="C19" s="5" t="inlineStr">
        <is>
          <t>ecy</t>
        </is>
      </c>
      <c r="D19" s="5" t="inlineStr">
        <is>
          <t>res</t>
        </is>
      </c>
      <c r="E19" s="5" t="inlineStr">
        <is>
          <t>ecy_inc_res</t>
        </is>
      </c>
      <c r="F19" s="5" t="n">
        <v>0.8</v>
      </c>
      <c r="G19" s="5" t="n">
        <v>0.8</v>
      </c>
      <c r="H19" s="5" t="n">
        <v>0.8</v>
      </c>
      <c r="I19" s="5" t="n">
        <v>0.8</v>
      </c>
      <c r="J19" s="5" t="inlineStr">
        <is>
          <t>Elasticities row 158</t>
        </is>
      </c>
    </row>
    <row r="20">
      <c r="A20" s="5" t="inlineStr">
        <is>
          <t>inc|coa|ind</t>
        </is>
      </c>
      <c r="B20" s="5" t="inlineStr">
        <is>
          <t>inc</t>
        </is>
      </c>
      <c r="C20" s="5" t="inlineStr">
        <is>
          <t>coa</t>
        </is>
      </c>
      <c r="D20" s="5" t="inlineStr">
        <is>
          <t>ind</t>
        </is>
      </c>
      <c r="E20" s="5" t="inlineStr">
        <is>
          <t>coa_inc_ind</t>
        </is>
      </c>
      <c r="F20" s="5" t="n">
        <v>0.5</v>
      </c>
      <c r="G20" s="5" t="n">
        <v>0.5</v>
      </c>
      <c r="H20" s="5" t="n">
        <v>0.5</v>
      </c>
      <c r="I20" s="5" t="n">
        <v>0.5</v>
      </c>
      <c r="J20" s="5" t="inlineStr">
        <is>
          <t>Elasticities row 159</t>
        </is>
      </c>
    </row>
    <row r="21">
      <c r="A21" s="5" t="inlineStr">
        <is>
          <t>inc|nga|ind</t>
        </is>
      </c>
      <c r="B21" s="5" t="inlineStr">
        <is>
          <t>inc</t>
        </is>
      </c>
      <c r="C21" s="5" t="inlineStr">
        <is>
          <t>nga</t>
        </is>
      </c>
      <c r="D21" s="5" t="inlineStr">
        <is>
          <t>ind</t>
        </is>
      </c>
      <c r="E21" s="5" t="inlineStr">
        <is>
          <t>nga_inc_ind</t>
        </is>
      </c>
      <c r="F21" s="5" t="n">
        <v>1</v>
      </c>
      <c r="G21" s="5" t="n">
        <v>1</v>
      </c>
      <c r="H21" s="5" t="n">
        <v>1</v>
      </c>
      <c r="I21" s="5" t="n">
        <v>1</v>
      </c>
      <c r="J21" s="5" t="inlineStr">
        <is>
          <t>Elasticities row 160</t>
        </is>
      </c>
    </row>
    <row r="22">
      <c r="A22" s="5" t="inlineStr">
        <is>
          <t>inc|gso|ind</t>
        </is>
      </c>
      <c r="B22" s="5" t="inlineStr">
        <is>
          <t>inc</t>
        </is>
      </c>
      <c r="C22" s="5" t="inlineStr">
        <is>
          <t>gso</t>
        </is>
      </c>
      <c r="D22" s="5" t="inlineStr">
        <is>
          <t>ind</t>
        </is>
      </c>
      <c r="E22" s="5" t="inlineStr">
        <is>
          <t>oil_inc_res</t>
        </is>
      </c>
      <c r="F22" s="5" t="n">
        <v>0.5</v>
      </c>
      <c r="G22" s="5" t="n">
        <v>0.5</v>
      </c>
      <c r="H22" s="5" t="n">
        <v>0.5</v>
      </c>
      <c r="I22" s="5" t="n">
        <v>0.5</v>
      </c>
      <c r="J22" s="5" t="inlineStr">
        <is>
          <t>Elasticities row 161</t>
        </is>
      </c>
    </row>
    <row r="23">
      <c r="A23" s="5" t="inlineStr">
        <is>
          <t>inc|die|ind</t>
        </is>
      </c>
      <c r="B23" s="5" t="inlineStr">
        <is>
          <t>inc</t>
        </is>
      </c>
      <c r="C23" s="5" t="inlineStr">
        <is>
          <t>die</t>
        </is>
      </c>
      <c r="D23" s="5" t="inlineStr">
        <is>
          <t>ind</t>
        </is>
      </c>
      <c r="E23" s="5" t="inlineStr">
        <is>
          <t>die_inc_res</t>
        </is>
      </c>
      <c r="F23" s="5" t="n">
        <v>0.5</v>
      </c>
      <c r="G23" s="5" t="n">
        <v>0.5</v>
      </c>
      <c r="H23" s="5" t="n">
        <v>0.5</v>
      </c>
      <c r="I23" s="5" t="n">
        <v>0.5</v>
      </c>
      <c r="J23" s="5" t="inlineStr">
        <is>
          <t>Elasticities row 162</t>
        </is>
      </c>
    </row>
    <row r="24">
      <c r="A24" s="5" t="inlineStr">
        <is>
          <t>inc|oil|ind</t>
        </is>
      </c>
      <c r="B24" s="5" t="inlineStr">
        <is>
          <t>inc</t>
        </is>
      </c>
      <c r="C24" s="5" t="inlineStr">
        <is>
          <t>oil</t>
        </is>
      </c>
      <c r="D24" s="5" t="inlineStr">
        <is>
          <t>ind</t>
        </is>
      </c>
      <c r="E24" s="5" t="inlineStr">
        <is>
          <t>oil_inc_ind</t>
        </is>
      </c>
      <c r="F24" s="5" t="n">
        <v>0.8</v>
      </c>
      <c r="G24" s="5" t="n">
        <v>0.8</v>
      </c>
      <c r="H24" s="5" t="n">
        <v>0.8</v>
      </c>
      <c r="I24" s="5" t="n">
        <v>0.8</v>
      </c>
      <c r="J24" s="5" t="inlineStr">
        <is>
          <t>Elasticities row 163</t>
        </is>
      </c>
    </row>
    <row r="25">
      <c r="A25" s="5" t="inlineStr">
        <is>
          <t>inc|bio|ind</t>
        </is>
      </c>
      <c r="B25" s="5" t="inlineStr">
        <is>
          <t>inc</t>
        </is>
      </c>
      <c r="C25" s="5" t="inlineStr">
        <is>
          <t>bio</t>
        </is>
      </c>
      <c r="D25" s="5" t="inlineStr">
        <is>
          <t>ind</t>
        </is>
      </c>
      <c r="E25" s="5" t="inlineStr">
        <is>
          <t>bio_inc_res</t>
        </is>
      </c>
      <c r="F25" s="5" t="n">
        <v>0.1</v>
      </c>
      <c r="G25" s="5" t="n">
        <v>0.1</v>
      </c>
      <c r="H25" s="5" t="n">
        <v>0.1</v>
      </c>
      <c r="I25" s="5" t="n">
        <v>0.1</v>
      </c>
      <c r="J25" s="5" t="inlineStr">
        <is>
          <t>Elasticities row 164</t>
        </is>
      </c>
    </row>
    <row r="26">
      <c r="A26" s="5" t="inlineStr">
        <is>
          <t>inc|ren|ind</t>
        </is>
      </c>
      <c r="B26" s="5" t="inlineStr">
        <is>
          <t>inc</t>
        </is>
      </c>
      <c r="C26" s="5" t="inlineStr">
        <is>
          <t>ren</t>
        </is>
      </c>
      <c r="D26" s="5" t="inlineStr">
        <is>
          <t>ind</t>
        </is>
      </c>
      <c r="E26" s="5" t="inlineStr">
        <is>
          <t>rnw_inc_tot</t>
        </is>
      </c>
      <c r="F26" s="5" t="n">
        <v>0.8</v>
      </c>
      <c r="G26" s="5" t="n">
        <v>0.8</v>
      </c>
      <c r="H26" s="5" t="n">
        <v>0.8</v>
      </c>
      <c r="I26" s="5" t="n">
        <v>0.8</v>
      </c>
      <c r="J26" s="5" t="inlineStr">
        <is>
          <t>Elasticities row 165</t>
        </is>
      </c>
    </row>
    <row r="27">
      <c r="A27" s="5" t="inlineStr">
        <is>
          <t>inc|ecy|ind</t>
        </is>
      </c>
      <c r="B27" s="5" t="inlineStr">
        <is>
          <t>inc</t>
        </is>
      </c>
      <c r="C27" s="5" t="inlineStr">
        <is>
          <t>ecy</t>
        </is>
      </c>
      <c r="D27" s="5" t="inlineStr">
        <is>
          <t>ind</t>
        </is>
      </c>
      <c r="E27" s="5" t="inlineStr">
        <is>
          <t>ecy_inc_ind</t>
        </is>
      </c>
      <c r="F27" s="5" t="n">
        <v>0.8</v>
      </c>
      <c r="G27" s="5" t="n">
        <v>0.8</v>
      </c>
      <c r="H27" s="5" t="n">
        <v>0.8</v>
      </c>
      <c r="I27" s="5" t="n">
        <v>0.8</v>
      </c>
      <c r="J27" s="5" t="inlineStr">
        <is>
          <t>Elasticities row 166</t>
        </is>
      </c>
    </row>
    <row r="28">
      <c r="A28" s="5" t="inlineStr">
        <is>
          <t>inc|coa|srv</t>
        </is>
      </c>
      <c r="B28" s="5" t="inlineStr">
        <is>
          <t>inc</t>
        </is>
      </c>
      <c r="C28" s="5" t="inlineStr">
        <is>
          <t>coa</t>
        </is>
      </c>
      <c r="D28" s="5" t="inlineStr">
        <is>
          <t>srv</t>
        </is>
      </c>
      <c r="E28" s="5" t="inlineStr">
        <is>
          <t>coa_inc_srv</t>
        </is>
      </c>
      <c r="F28" s="5" t="n">
        <v>0.7</v>
      </c>
      <c r="G28" s="5" t="n">
        <v>0.7</v>
      </c>
      <c r="H28" s="5" t="n">
        <v>0.7</v>
      </c>
      <c r="I28" s="5" t="n">
        <v>0.7</v>
      </c>
      <c r="J28" s="5" t="inlineStr">
        <is>
          <t>Elasticities row 167</t>
        </is>
      </c>
    </row>
    <row r="29">
      <c r="A29" s="5" t="inlineStr">
        <is>
          <t>inc|nga|srv</t>
        </is>
      </c>
      <c r="B29" s="5" t="inlineStr">
        <is>
          <t>inc</t>
        </is>
      </c>
      <c r="C29" s="5" t="inlineStr">
        <is>
          <t>nga</t>
        </is>
      </c>
      <c r="D29" s="5" t="inlineStr">
        <is>
          <t>srv</t>
        </is>
      </c>
      <c r="E29" s="5" t="inlineStr">
        <is>
          <t>nga_inc_srv</t>
        </is>
      </c>
      <c r="F29" s="5" t="n">
        <v>1</v>
      </c>
      <c r="G29" s="5" t="n">
        <v>1</v>
      </c>
      <c r="H29" s="5" t="n">
        <v>1</v>
      </c>
      <c r="I29" s="5" t="n">
        <v>1</v>
      </c>
      <c r="J29" s="5" t="inlineStr">
        <is>
          <t>Elasticities row 168</t>
        </is>
      </c>
    </row>
    <row r="30">
      <c r="A30" s="5" t="inlineStr">
        <is>
          <t>inc|gso|srv</t>
        </is>
      </c>
      <c r="B30" s="5" t="inlineStr">
        <is>
          <t>inc</t>
        </is>
      </c>
      <c r="C30" s="5" t="inlineStr">
        <is>
          <t>gso</t>
        </is>
      </c>
      <c r="D30" s="5" t="inlineStr">
        <is>
          <t>srv</t>
        </is>
      </c>
      <c r="E30" s="5" t="inlineStr">
        <is>
          <t>oil_inc_res</t>
        </is>
      </c>
      <c r="F30" s="5" t="n">
        <v>0.5</v>
      </c>
      <c r="G30" s="5" t="n">
        <v>0.5</v>
      </c>
      <c r="H30" s="5" t="n">
        <v>0.5</v>
      </c>
      <c r="I30" s="5" t="n">
        <v>0.5</v>
      </c>
      <c r="J30" s="5" t="inlineStr">
        <is>
          <t>Elasticities row 169</t>
        </is>
      </c>
    </row>
    <row r="31">
      <c r="A31" s="5" t="inlineStr">
        <is>
          <t>inc|die|srv</t>
        </is>
      </c>
      <c r="B31" s="5" t="inlineStr">
        <is>
          <t>inc</t>
        </is>
      </c>
      <c r="C31" s="5" t="inlineStr">
        <is>
          <t>die</t>
        </is>
      </c>
      <c r="D31" s="5" t="inlineStr">
        <is>
          <t>srv</t>
        </is>
      </c>
      <c r="E31" s="5" t="inlineStr">
        <is>
          <t>die_inc_res</t>
        </is>
      </c>
      <c r="F31" s="5" t="n">
        <v>0.5</v>
      </c>
      <c r="G31" s="5" t="n">
        <v>0.5</v>
      </c>
      <c r="H31" s="5" t="n">
        <v>0.5</v>
      </c>
      <c r="I31" s="5" t="n">
        <v>0.5</v>
      </c>
      <c r="J31" s="5" t="inlineStr">
        <is>
          <t>Elasticities row 170</t>
        </is>
      </c>
    </row>
    <row r="32">
      <c r="A32" s="5" t="inlineStr">
        <is>
          <t>inc|oil|srv</t>
        </is>
      </c>
      <c r="B32" s="5" t="inlineStr">
        <is>
          <t>inc</t>
        </is>
      </c>
      <c r="C32" s="5" t="inlineStr">
        <is>
          <t>oil</t>
        </is>
      </c>
      <c r="D32" s="5" t="inlineStr">
        <is>
          <t>srv</t>
        </is>
      </c>
      <c r="E32" s="5" t="inlineStr">
        <is>
          <t>oil_inc_srv</t>
        </is>
      </c>
      <c r="F32" s="5" t="n">
        <v>1.2</v>
      </c>
      <c r="G32" s="5" t="n">
        <v>1.2</v>
      </c>
      <c r="H32" s="5" t="n">
        <v>1.2</v>
      </c>
      <c r="I32" s="5" t="n">
        <v>1.2</v>
      </c>
      <c r="J32" s="5" t="inlineStr">
        <is>
          <t>Elasticities row 171</t>
        </is>
      </c>
    </row>
    <row r="33">
      <c r="A33" s="5" t="inlineStr">
        <is>
          <t>inc|bio|srv</t>
        </is>
      </c>
      <c r="B33" s="5" t="inlineStr">
        <is>
          <t>inc</t>
        </is>
      </c>
      <c r="C33" s="5" t="inlineStr">
        <is>
          <t>bio</t>
        </is>
      </c>
      <c r="D33" s="5" t="inlineStr">
        <is>
          <t>srv</t>
        </is>
      </c>
      <c r="E33" s="5" t="inlineStr">
        <is>
          <t>bio_inc_res</t>
        </is>
      </c>
      <c r="F33" s="5" t="n">
        <v>0.1</v>
      </c>
      <c r="G33" s="5" t="n">
        <v>0.1</v>
      </c>
      <c r="H33" s="5" t="n">
        <v>0.1</v>
      </c>
      <c r="I33" s="5" t="n">
        <v>0.1</v>
      </c>
      <c r="J33" s="5" t="inlineStr">
        <is>
          <t>Elasticities row 172</t>
        </is>
      </c>
    </row>
    <row r="34">
      <c r="A34" s="5" t="inlineStr">
        <is>
          <t>inc|ren|srv</t>
        </is>
      </c>
      <c r="B34" s="5" t="inlineStr">
        <is>
          <t>inc</t>
        </is>
      </c>
      <c r="C34" s="5" t="inlineStr">
        <is>
          <t>ren</t>
        </is>
      </c>
      <c r="D34" s="5" t="inlineStr">
        <is>
          <t>srv</t>
        </is>
      </c>
      <c r="E34" s="5" t="inlineStr">
        <is>
          <t>rnw_inc_tot</t>
        </is>
      </c>
      <c r="F34" s="5" t="n">
        <v>1</v>
      </c>
      <c r="G34" s="5" t="n">
        <v>1</v>
      </c>
      <c r="H34" s="5" t="n">
        <v>1</v>
      </c>
      <c r="I34" s="5" t="n">
        <v>1</v>
      </c>
      <c r="J34" s="5" t="inlineStr">
        <is>
          <t>Elasticities row 173</t>
        </is>
      </c>
    </row>
    <row r="35">
      <c r="A35" s="5" t="inlineStr">
        <is>
          <t>inc|ecy|srv</t>
        </is>
      </c>
      <c r="B35" s="5" t="inlineStr">
        <is>
          <t>inc</t>
        </is>
      </c>
      <c r="C35" s="5" t="inlineStr">
        <is>
          <t>ecy</t>
        </is>
      </c>
      <c r="D35" s="5" t="inlineStr">
        <is>
          <t>srv</t>
        </is>
      </c>
      <c r="E35" s="5" t="inlineStr">
        <is>
          <t>ecy_inc_srv</t>
        </is>
      </c>
      <c r="F35" s="5" t="n">
        <v>1.1</v>
      </c>
      <c r="G35" s="5" t="n">
        <v>1.1</v>
      </c>
      <c r="H35" s="5" t="n">
        <v>1.1</v>
      </c>
      <c r="I35" s="5" t="n">
        <v>1.1</v>
      </c>
      <c r="J35" s="5" t="inlineStr">
        <is>
          <t>Elasticities row 174</t>
        </is>
      </c>
    </row>
    <row r="36">
      <c r="A36" s="5" t="inlineStr">
        <is>
          <t>usg|coa|tra</t>
        </is>
      </c>
      <c r="B36" s="5" t="inlineStr">
        <is>
          <t>usg</t>
        </is>
      </c>
      <c r="C36" s="5" t="inlineStr">
        <is>
          <t>coa</t>
        </is>
      </c>
      <c r="D36" s="5" t="inlineStr">
        <is>
          <t>tra</t>
        </is>
      </c>
      <c r="E36" s="5" t="inlineStr">
        <is>
          <t>coa_owp_tot_sr</t>
        </is>
      </c>
      <c r="F36" s="5" t="n">
        <v>-0.3</v>
      </c>
      <c r="G36" s="5" t="n">
        <v>-0.3</v>
      </c>
      <c r="H36" s="5" t="n">
        <v>-0.3</v>
      </c>
      <c r="I36" s="5" t="n">
        <v>-0.2</v>
      </c>
      <c r="J36" s="5" t="inlineStr">
        <is>
          <t>Elasticities row 178</t>
        </is>
      </c>
    </row>
    <row r="37">
      <c r="A37" s="5" t="inlineStr">
        <is>
          <t>usg|nga|tra</t>
        </is>
      </c>
      <c r="B37" s="5" t="inlineStr">
        <is>
          <t>usg</t>
        </is>
      </c>
      <c r="C37" s="5" t="inlineStr">
        <is>
          <t>nga</t>
        </is>
      </c>
      <c r="D37" s="5" t="inlineStr">
        <is>
          <t>tra</t>
        </is>
      </c>
      <c r="E37" s="5" t="inlineStr">
        <is>
          <t>nga_owp_tot_sr</t>
        </is>
      </c>
      <c r="F37" s="5" t="n">
        <v>-0.5</v>
      </c>
      <c r="G37" s="5" t="n">
        <v>-0.5</v>
      </c>
      <c r="H37" s="5" t="n">
        <v>-0.5</v>
      </c>
      <c r="I37" s="5" t="n">
        <v>-0.4</v>
      </c>
      <c r="J37" s="5" t="inlineStr">
        <is>
          <t>Elasticities row 179</t>
        </is>
      </c>
    </row>
    <row r="38">
      <c r="A38" s="5" t="inlineStr">
        <is>
          <t>usg|gso|tra</t>
        </is>
      </c>
      <c r="B38" s="5" t="inlineStr">
        <is>
          <t>usg</t>
        </is>
      </c>
      <c r="C38" s="5" t="inlineStr">
        <is>
          <t>gso</t>
        </is>
      </c>
      <c r="D38" s="5" t="inlineStr">
        <is>
          <t>tra</t>
        </is>
      </c>
      <c r="E38" s="5" t="inlineStr">
        <is>
          <t>gso_owp_tot_sr</t>
        </is>
      </c>
      <c r="F38" s="5" t="n">
        <v>-0.4</v>
      </c>
      <c r="G38" s="5" t="n">
        <v>-0.4</v>
      </c>
      <c r="H38" s="5" t="n">
        <v>-0.4</v>
      </c>
      <c r="I38" s="5" t="n">
        <v>-0.3</v>
      </c>
      <c r="J38" s="5" t="inlineStr">
        <is>
          <t>Elasticities row 180</t>
        </is>
      </c>
    </row>
    <row r="39">
      <c r="A39" s="5" t="inlineStr">
        <is>
          <t>usg|die|tra</t>
        </is>
      </c>
      <c r="B39" s="5" t="inlineStr">
        <is>
          <t>usg</t>
        </is>
      </c>
      <c r="C39" s="5" t="inlineStr">
        <is>
          <t>die</t>
        </is>
      </c>
      <c r="D39" s="5" t="inlineStr">
        <is>
          <t>tra</t>
        </is>
      </c>
      <c r="E39" s="5" t="inlineStr">
        <is>
          <t>die_owp_tot_sr</t>
        </is>
      </c>
      <c r="F39" s="5" t="n">
        <v>-0.3</v>
      </c>
      <c r="G39" s="5" t="n">
        <v>-0.3</v>
      </c>
      <c r="H39" s="5" t="n">
        <v>-0.3</v>
      </c>
      <c r="I39" s="5" t="n">
        <v>-0.2</v>
      </c>
      <c r="J39" s="5" t="inlineStr">
        <is>
          <t>Elasticities row 181</t>
        </is>
      </c>
    </row>
    <row r="40">
      <c r="A40" s="5" t="inlineStr">
        <is>
          <t>usg|oil|tra</t>
        </is>
      </c>
      <c r="B40" s="5" t="inlineStr">
        <is>
          <t>usg</t>
        </is>
      </c>
      <c r="C40" s="5" t="inlineStr">
        <is>
          <t>oil</t>
        </is>
      </c>
      <c r="D40" s="5" t="inlineStr">
        <is>
          <t>tra</t>
        </is>
      </c>
      <c r="E40" s="5" t="inlineStr">
        <is>
          <t>oil_owp_tot_sr</t>
        </is>
      </c>
      <c r="F40" s="5" t="n">
        <v>-0.3</v>
      </c>
      <c r="G40" s="5" t="n">
        <v>-0.3</v>
      </c>
      <c r="H40" s="5" t="n">
        <v>-0.3</v>
      </c>
      <c r="I40" s="5" t="n">
        <v>-0.2</v>
      </c>
      <c r="J40" s="5" t="inlineStr">
        <is>
          <t>Elasticities row 182</t>
        </is>
      </c>
    </row>
    <row r="41">
      <c r="A41" s="5" t="inlineStr">
        <is>
          <t>usg|bio|tra</t>
        </is>
      </c>
      <c r="B41" s="5" t="inlineStr">
        <is>
          <t>usg</t>
        </is>
      </c>
      <c r="C41" s="5" t="inlineStr">
        <is>
          <t>bio</t>
        </is>
      </c>
      <c r="D41" s="5" t="inlineStr">
        <is>
          <t>tra</t>
        </is>
      </c>
      <c r="E41" s="5" t="inlineStr">
        <is>
          <t>bio_owp_ind_sr</t>
        </is>
      </c>
      <c r="F41" s="5" t="n">
        <v>-0.3</v>
      </c>
      <c r="G41" s="5" t="n">
        <v>-0.3</v>
      </c>
      <c r="H41" s="5" t="n">
        <v>-0.3</v>
      </c>
      <c r="I41" s="5" t="n">
        <v>-0.2</v>
      </c>
      <c r="J41" s="5" t="inlineStr">
        <is>
          <t>Elasticities row 183</t>
        </is>
      </c>
    </row>
    <row r="42">
      <c r="A42" s="5" t="inlineStr">
        <is>
          <t>usg|ren|tra</t>
        </is>
      </c>
      <c r="B42" s="5" t="inlineStr">
        <is>
          <t>usg</t>
        </is>
      </c>
      <c r="C42" s="5" t="inlineStr">
        <is>
          <t>ren</t>
        </is>
      </c>
      <c r="D42" s="5" t="inlineStr">
        <is>
          <t>tra</t>
        </is>
      </c>
      <c r="E42" s="5" t="inlineStr">
        <is>
          <t>rnw_owp_tot_lr</t>
        </is>
      </c>
      <c r="F42" s="5" t="n">
        <v>-0.5</v>
      </c>
      <c r="G42" s="5" t="n">
        <v>-0.5</v>
      </c>
      <c r="H42" s="5" t="n">
        <v>-0.5</v>
      </c>
      <c r="I42" s="5" t="n">
        <v>-0.4</v>
      </c>
      <c r="J42" s="5" t="inlineStr">
        <is>
          <t>Elasticities row 184</t>
        </is>
      </c>
    </row>
    <row r="43">
      <c r="A43" s="5" t="inlineStr">
        <is>
          <t>usg|ecy|tra</t>
        </is>
      </c>
      <c r="B43" s="5" t="inlineStr">
        <is>
          <t>usg</t>
        </is>
      </c>
      <c r="C43" s="5" t="inlineStr">
        <is>
          <t>ecy</t>
        </is>
      </c>
      <c r="D43" s="5" t="inlineStr">
        <is>
          <t>tra</t>
        </is>
      </c>
      <c r="E43" s="5" t="inlineStr">
        <is>
          <t>ecy_owp_tot_sr</t>
        </is>
      </c>
      <c r="F43" s="5" t="n">
        <v>-0.2</v>
      </c>
      <c r="G43" s="5" t="n">
        <v>-0.2</v>
      </c>
      <c r="H43" s="5" t="n">
        <v>-0.2</v>
      </c>
      <c r="I43" s="5" t="n">
        <v>-0.1</v>
      </c>
      <c r="J43" s="5" t="inlineStr">
        <is>
          <t>Elasticities row 185</t>
        </is>
      </c>
    </row>
    <row r="44">
      <c r="A44" s="5" t="inlineStr">
        <is>
          <t>usg|coa|res</t>
        </is>
      </c>
      <c r="B44" s="5" t="inlineStr">
        <is>
          <t>usg</t>
        </is>
      </c>
      <c r="C44" s="5" t="inlineStr">
        <is>
          <t>coa</t>
        </is>
      </c>
      <c r="D44" s="5" t="inlineStr">
        <is>
          <t>res</t>
        </is>
      </c>
      <c r="E44" s="5" t="inlineStr">
        <is>
          <t>coa_owp_res_sr</t>
        </is>
      </c>
      <c r="F44" s="5" t="n">
        <v>-0.3</v>
      </c>
      <c r="G44" s="5" t="n">
        <v>-0.3</v>
      </c>
      <c r="H44" s="5" t="n">
        <v>-0.3</v>
      </c>
      <c r="I44" s="5" t="n">
        <v>-0.2</v>
      </c>
      <c r="J44" s="5" t="inlineStr">
        <is>
          <t>Elasticities row 186</t>
        </is>
      </c>
    </row>
    <row r="45">
      <c r="A45" s="5" t="inlineStr">
        <is>
          <t>usg|nga|res</t>
        </is>
      </c>
      <c r="B45" s="5" t="inlineStr">
        <is>
          <t>usg</t>
        </is>
      </c>
      <c r="C45" s="5" t="inlineStr">
        <is>
          <t>nga</t>
        </is>
      </c>
      <c r="D45" s="5" t="inlineStr">
        <is>
          <t>res</t>
        </is>
      </c>
      <c r="E45" s="5" t="inlineStr">
        <is>
          <t>nga_owp_res_sr</t>
        </is>
      </c>
      <c r="F45" s="5" t="n">
        <v>-0.4</v>
      </c>
      <c r="G45" s="5" t="n">
        <v>-0.4</v>
      </c>
      <c r="H45" s="5" t="n">
        <v>-0.4</v>
      </c>
      <c r="I45" s="5" t="n">
        <v>-0.3</v>
      </c>
      <c r="J45" s="5" t="inlineStr">
        <is>
          <t>Elasticities row 187</t>
        </is>
      </c>
    </row>
    <row r="46">
      <c r="A46" s="5" t="inlineStr">
        <is>
          <t>usg|gso|res</t>
        </is>
      </c>
      <c r="B46" s="5" t="inlineStr">
        <is>
          <t>usg</t>
        </is>
      </c>
      <c r="C46" s="5" t="inlineStr">
        <is>
          <t>gso</t>
        </is>
      </c>
      <c r="D46" s="5" t="inlineStr">
        <is>
          <t>res</t>
        </is>
      </c>
      <c r="E46" s="5" t="inlineStr">
        <is>
          <t>gso_owp_tot_sr</t>
        </is>
      </c>
      <c r="F46" s="5" t="n">
        <v>-0.5</v>
      </c>
      <c r="G46" s="5" t="n">
        <v>-0.5</v>
      </c>
      <c r="H46" s="5" t="n">
        <v>-0.5</v>
      </c>
      <c r="I46" s="5" t="n">
        <v>-0.4</v>
      </c>
      <c r="J46" s="5" t="inlineStr">
        <is>
          <t>Elasticities row 188</t>
        </is>
      </c>
    </row>
    <row r="47">
      <c r="A47" s="5" t="inlineStr">
        <is>
          <t>usg|die|res</t>
        </is>
      </c>
      <c r="B47" s="5" t="inlineStr">
        <is>
          <t>usg</t>
        </is>
      </c>
      <c r="C47" s="5" t="inlineStr">
        <is>
          <t>die</t>
        </is>
      </c>
      <c r="D47" s="5" t="inlineStr">
        <is>
          <t>res</t>
        </is>
      </c>
      <c r="E47" s="5" t="inlineStr">
        <is>
          <t>die_owp_tot_sr</t>
        </is>
      </c>
      <c r="F47" s="5" t="n">
        <v>-0.3</v>
      </c>
      <c r="G47" s="5" t="n">
        <v>-0.3</v>
      </c>
      <c r="H47" s="5" t="n">
        <v>-0.3</v>
      </c>
      <c r="I47" s="5" t="n">
        <v>-0.2</v>
      </c>
      <c r="J47" s="5" t="inlineStr">
        <is>
          <t>Elasticities row 189</t>
        </is>
      </c>
    </row>
    <row r="48">
      <c r="A48" s="5" t="inlineStr">
        <is>
          <t>usg|oil|res</t>
        </is>
      </c>
      <c r="B48" s="5" t="inlineStr">
        <is>
          <t>usg</t>
        </is>
      </c>
      <c r="C48" s="5" t="inlineStr">
        <is>
          <t>oil</t>
        </is>
      </c>
      <c r="D48" s="5" t="inlineStr">
        <is>
          <t>res</t>
        </is>
      </c>
      <c r="E48" s="5" t="inlineStr">
        <is>
          <t>oil_owp_tot_sr</t>
        </is>
      </c>
      <c r="F48" s="5" t="n">
        <v>-0.3</v>
      </c>
      <c r="G48" s="5" t="n">
        <v>-0.3</v>
      </c>
      <c r="H48" s="5" t="n">
        <v>-0.3</v>
      </c>
      <c r="I48" s="5" t="n">
        <v>-0.2</v>
      </c>
      <c r="J48" s="5" t="inlineStr">
        <is>
          <t>Elasticities row 190</t>
        </is>
      </c>
    </row>
    <row r="49">
      <c r="A49" s="5" t="inlineStr">
        <is>
          <t>usg|bio|res</t>
        </is>
      </c>
      <c r="B49" s="5" t="inlineStr">
        <is>
          <t>usg</t>
        </is>
      </c>
      <c r="C49" s="5" t="inlineStr">
        <is>
          <t>bio</t>
        </is>
      </c>
      <c r="D49" s="5" t="inlineStr">
        <is>
          <t>res</t>
        </is>
      </c>
      <c r="E49" s="5" t="inlineStr">
        <is>
          <t>bio_owp_ind_sr</t>
        </is>
      </c>
      <c r="F49" s="5" t="n">
        <v>-0.3</v>
      </c>
      <c r="G49" s="5" t="n">
        <v>-0.3</v>
      </c>
      <c r="H49" s="5" t="n">
        <v>-0.3</v>
      </c>
      <c r="I49" s="5" t="n">
        <v>-0.2</v>
      </c>
      <c r="J49" s="5" t="inlineStr">
        <is>
          <t>Elasticities row 191</t>
        </is>
      </c>
    </row>
    <row r="50">
      <c r="A50" s="5" t="inlineStr">
        <is>
          <t>usg|ren|res</t>
        </is>
      </c>
      <c r="B50" s="5" t="inlineStr">
        <is>
          <t>usg</t>
        </is>
      </c>
      <c r="C50" s="5" t="inlineStr">
        <is>
          <t>ren</t>
        </is>
      </c>
      <c r="D50" s="5" t="inlineStr">
        <is>
          <t>res</t>
        </is>
      </c>
      <c r="E50" s="5" t="inlineStr">
        <is>
          <t>rnw_owp_tot_lr</t>
        </is>
      </c>
      <c r="F50" s="5" t="n">
        <v>-0.5</v>
      </c>
      <c r="G50" s="5" t="n">
        <v>-0.5</v>
      </c>
      <c r="H50" s="5" t="n">
        <v>-0.5</v>
      </c>
      <c r="I50" s="5" t="n">
        <v>-0.4</v>
      </c>
      <c r="J50" s="5" t="inlineStr">
        <is>
          <t>Elasticities row 192</t>
        </is>
      </c>
    </row>
    <row r="51">
      <c r="A51" s="5" t="inlineStr">
        <is>
          <t>usg|ecy|res</t>
        </is>
      </c>
      <c r="B51" s="5" t="inlineStr">
        <is>
          <t>usg</t>
        </is>
      </c>
      <c r="C51" s="5" t="inlineStr">
        <is>
          <t>ecy</t>
        </is>
      </c>
      <c r="D51" s="5" t="inlineStr">
        <is>
          <t>res</t>
        </is>
      </c>
      <c r="E51" s="5" t="inlineStr">
        <is>
          <t>ecy_owp_res_sr</t>
        </is>
      </c>
      <c r="F51" s="5" t="n">
        <v>-0.3</v>
      </c>
      <c r="G51" s="5" t="n">
        <v>-0.3</v>
      </c>
      <c r="H51" s="5" t="n">
        <v>-0.3</v>
      </c>
      <c r="I51" s="5" t="n">
        <v>-0.2</v>
      </c>
      <c r="J51" s="5" t="inlineStr">
        <is>
          <t>Elasticities row 193</t>
        </is>
      </c>
    </row>
    <row r="52">
      <c r="A52" s="5" t="inlineStr">
        <is>
          <t>usg|coa|ind</t>
        </is>
      </c>
      <c r="B52" s="5" t="inlineStr">
        <is>
          <t>usg</t>
        </is>
      </c>
      <c r="C52" s="5" t="inlineStr">
        <is>
          <t>coa</t>
        </is>
      </c>
      <c r="D52" s="5" t="inlineStr">
        <is>
          <t>ind</t>
        </is>
      </c>
      <c r="E52" s="5" t="inlineStr">
        <is>
          <t>coa_owp_ind_sr</t>
        </is>
      </c>
      <c r="F52" s="5" t="n">
        <v>-0.3</v>
      </c>
      <c r="G52" s="5" t="n">
        <v>-0.3</v>
      </c>
      <c r="H52" s="5" t="n">
        <v>-0.3</v>
      </c>
      <c r="I52" s="5" t="n">
        <v>-0.2</v>
      </c>
      <c r="J52" s="5" t="inlineStr">
        <is>
          <t>Elasticities row 194</t>
        </is>
      </c>
    </row>
    <row r="53">
      <c r="A53" s="5" t="inlineStr">
        <is>
          <t>usg|nga|ind</t>
        </is>
      </c>
      <c r="B53" s="5" t="inlineStr">
        <is>
          <t>usg</t>
        </is>
      </c>
      <c r="C53" s="5" t="inlineStr">
        <is>
          <t>nga</t>
        </is>
      </c>
      <c r="D53" s="5" t="inlineStr">
        <is>
          <t>ind</t>
        </is>
      </c>
      <c r="E53" s="5" t="inlineStr">
        <is>
          <t>nga_owp_ind_sr</t>
        </is>
      </c>
      <c r="F53" s="5" t="n">
        <v>-0.5</v>
      </c>
      <c r="G53" s="5" t="n">
        <v>-0.5</v>
      </c>
      <c r="H53" s="5" t="n">
        <v>-0.5</v>
      </c>
      <c r="I53" s="5" t="n">
        <v>-0.4</v>
      </c>
      <c r="J53" s="5" t="inlineStr">
        <is>
          <t>Elasticities row 195</t>
        </is>
      </c>
    </row>
    <row r="54">
      <c r="A54" s="5" t="inlineStr">
        <is>
          <t>usg|gso|ind</t>
        </is>
      </c>
      <c r="B54" s="5" t="inlineStr">
        <is>
          <t>usg</t>
        </is>
      </c>
      <c r="C54" s="5" t="inlineStr">
        <is>
          <t>gso</t>
        </is>
      </c>
      <c r="D54" s="5" t="inlineStr">
        <is>
          <t>ind</t>
        </is>
      </c>
      <c r="E54" s="5" t="inlineStr">
        <is>
          <t>gso_owp_tot_sr</t>
        </is>
      </c>
      <c r="F54" s="5" t="n">
        <v>-0.4</v>
      </c>
      <c r="G54" s="5" t="n">
        <v>-0.4</v>
      </c>
      <c r="H54" s="5" t="n">
        <v>-0.4</v>
      </c>
      <c r="I54" s="5" t="n">
        <v>-0.3</v>
      </c>
      <c r="J54" s="5" t="inlineStr">
        <is>
          <t>Elasticities row 196</t>
        </is>
      </c>
    </row>
    <row r="55">
      <c r="A55" s="5" t="inlineStr">
        <is>
          <t>usg|die|ind</t>
        </is>
      </c>
      <c r="B55" s="5" t="inlineStr">
        <is>
          <t>usg</t>
        </is>
      </c>
      <c r="C55" s="5" t="inlineStr">
        <is>
          <t>die</t>
        </is>
      </c>
      <c r="D55" s="5" t="inlineStr">
        <is>
          <t>ind</t>
        </is>
      </c>
      <c r="E55" s="5" t="inlineStr">
        <is>
          <t>die_owp_tot_sr</t>
        </is>
      </c>
      <c r="F55" s="5" t="n">
        <v>-0.7</v>
      </c>
      <c r="G55" s="5" t="n">
        <v>-0.7</v>
      </c>
      <c r="H55" s="5" t="n">
        <v>-0.7</v>
      </c>
      <c r="I55" s="5" t="n">
        <v>-0.6</v>
      </c>
      <c r="J55" s="5" t="inlineStr">
        <is>
          <t>Elasticities row 197</t>
        </is>
      </c>
    </row>
    <row r="56">
      <c r="A56" s="5" t="inlineStr">
        <is>
          <t>usg|oil|ind</t>
        </is>
      </c>
      <c r="B56" s="5" t="inlineStr">
        <is>
          <t>usg</t>
        </is>
      </c>
      <c r="C56" s="5" t="inlineStr">
        <is>
          <t>oil</t>
        </is>
      </c>
      <c r="D56" s="5" t="inlineStr">
        <is>
          <t>ind</t>
        </is>
      </c>
      <c r="E56" s="5" t="inlineStr">
        <is>
          <t>oil_owp_ind_sr</t>
        </is>
      </c>
      <c r="F56" s="5" t="n">
        <v>-0.4</v>
      </c>
      <c r="G56" s="5" t="n">
        <v>-0.4</v>
      </c>
      <c r="H56" s="5" t="n">
        <v>-0.4</v>
      </c>
      <c r="I56" s="5" t="n">
        <v>-0.3</v>
      </c>
      <c r="J56" s="5" t="inlineStr">
        <is>
          <t>Elasticities row 198</t>
        </is>
      </c>
    </row>
    <row r="57">
      <c r="A57" s="5" t="inlineStr">
        <is>
          <t>usg|bio|ind</t>
        </is>
      </c>
      <c r="B57" s="5" t="inlineStr">
        <is>
          <t>usg</t>
        </is>
      </c>
      <c r="C57" s="5" t="inlineStr">
        <is>
          <t>bio</t>
        </is>
      </c>
      <c r="D57" s="5" t="inlineStr">
        <is>
          <t>ind</t>
        </is>
      </c>
      <c r="E57" s="5" t="inlineStr">
        <is>
          <t>bio_owp_ind_sr</t>
        </is>
      </c>
      <c r="F57" s="5" t="n">
        <v>-0.3</v>
      </c>
      <c r="G57" s="5" t="n">
        <v>-0.3</v>
      </c>
      <c r="H57" s="5" t="n">
        <v>-0.3</v>
      </c>
      <c r="I57" s="5" t="n">
        <v>-0.2</v>
      </c>
      <c r="J57" s="5" t="inlineStr">
        <is>
          <t>Elasticities row 199</t>
        </is>
      </c>
    </row>
    <row r="58">
      <c r="A58" s="5" t="inlineStr">
        <is>
          <t>usg|ren|ind</t>
        </is>
      </c>
      <c r="B58" s="5" t="inlineStr">
        <is>
          <t>usg</t>
        </is>
      </c>
      <c r="C58" s="5" t="inlineStr">
        <is>
          <t>ren</t>
        </is>
      </c>
      <c r="D58" s="5" t="inlineStr">
        <is>
          <t>ind</t>
        </is>
      </c>
      <c r="E58" s="5" t="inlineStr">
        <is>
          <t>rnw_owp_tot_lr</t>
        </is>
      </c>
      <c r="F58" s="5" t="n">
        <v>-0.5</v>
      </c>
      <c r="G58" s="5" t="n">
        <v>-0.5</v>
      </c>
      <c r="H58" s="5" t="n">
        <v>-0.5</v>
      </c>
      <c r="I58" s="5" t="n">
        <v>-0.4</v>
      </c>
      <c r="J58" s="5" t="inlineStr">
        <is>
          <t>Elasticities row 200</t>
        </is>
      </c>
    </row>
    <row r="59">
      <c r="A59" s="5" t="inlineStr">
        <is>
          <t>usg|ecy|ind</t>
        </is>
      </c>
      <c r="B59" s="5" t="inlineStr">
        <is>
          <t>usg</t>
        </is>
      </c>
      <c r="C59" s="5" t="inlineStr">
        <is>
          <t>ecy</t>
        </is>
      </c>
      <c r="D59" s="5" t="inlineStr">
        <is>
          <t>ind</t>
        </is>
      </c>
      <c r="E59" s="5" t="inlineStr">
        <is>
          <t>ecy_owp_ind_sr</t>
        </is>
      </c>
      <c r="F59" s="5" t="n">
        <v>-0.3</v>
      </c>
      <c r="G59" s="5" t="n">
        <v>-0.3</v>
      </c>
      <c r="H59" s="5" t="n">
        <v>-0.3</v>
      </c>
      <c r="I59" s="5" t="n">
        <v>-0.2</v>
      </c>
      <c r="J59" s="5" t="inlineStr">
        <is>
          <t>Elasticities row 201</t>
        </is>
      </c>
    </row>
    <row r="60">
      <c r="A60" s="5" t="inlineStr">
        <is>
          <t>usg|coa|srv</t>
        </is>
      </c>
      <c r="B60" s="5" t="inlineStr">
        <is>
          <t>usg</t>
        </is>
      </c>
      <c r="C60" s="5" t="inlineStr">
        <is>
          <t>coa</t>
        </is>
      </c>
      <c r="D60" s="5" t="inlineStr">
        <is>
          <t>srv</t>
        </is>
      </c>
      <c r="E60" s="5" t="inlineStr">
        <is>
          <t>coa_owp_ind_sr</t>
        </is>
      </c>
      <c r="F60" s="5" t="n">
        <v>-0.4</v>
      </c>
      <c r="G60" s="5" t="n">
        <v>-0.4</v>
      </c>
      <c r="H60" s="5" t="n">
        <v>-0.4</v>
      </c>
      <c r="I60" s="5" t="n">
        <v>-0.3</v>
      </c>
      <c r="J60" s="5" t="inlineStr">
        <is>
          <t>Elasticities row 202</t>
        </is>
      </c>
    </row>
    <row r="61">
      <c r="A61" s="5" t="inlineStr">
        <is>
          <t>usg|nga|srv</t>
        </is>
      </c>
      <c r="B61" s="5" t="inlineStr">
        <is>
          <t>usg</t>
        </is>
      </c>
      <c r="C61" s="5" t="inlineStr">
        <is>
          <t>nga</t>
        </is>
      </c>
      <c r="D61" s="5" t="inlineStr">
        <is>
          <t>srv</t>
        </is>
      </c>
      <c r="E61" s="5" t="inlineStr">
        <is>
          <t>nga_owp_ind_sr</t>
        </is>
      </c>
      <c r="F61" s="5" t="n">
        <v>-0.6</v>
      </c>
      <c r="G61" s="5" t="n">
        <v>-0.6</v>
      </c>
      <c r="H61" s="5" t="n">
        <v>-0.6</v>
      </c>
      <c r="I61" s="5" t="n">
        <v>-0.5</v>
      </c>
      <c r="J61" s="5" t="inlineStr">
        <is>
          <t>Elasticities row 203</t>
        </is>
      </c>
    </row>
    <row r="62">
      <c r="A62" s="5" t="inlineStr">
        <is>
          <t>usg|gso|srv</t>
        </is>
      </c>
      <c r="B62" s="5" t="inlineStr">
        <is>
          <t>usg</t>
        </is>
      </c>
      <c r="C62" s="5" t="inlineStr">
        <is>
          <t>gso</t>
        </is>
      </c>
      <c r="D62" s="5" t="inlineStr">
        <is>
          <t>srv</t>
        </is>
      </c>
      <c r="E62" s="5" t="inlineStr">
        <is>
          <t>gso_owp_tot_sr</t>
        </is>
      </c>
      <c r="F62" s="5" t="n">
        <v>-0.6</v>
      </c>
      <c r="G62" s="5" t="n">
        <v>-0.6</v>
      </c>
      <c r="H62" s="5" t="n">
        <v>-0.6</v>
      </c>
      <c r="I62" s="5" t="n">
        <v>-0.5</v>
      </c>
      <c r="J62" s="5" t="inlineStr">
        <is>
          <t>Elasticities row 204</t>
        </is>
      </c>
    </row>
    <row r="63">
      <c r="A63" s="5" t="inlineStr">
        <is>
          <t>usg|die|srv</t>
        </is>
      </c>
      <c r="B63" s="5" t="inlineStr">
        <is>
          <t>usg</t>
        </is>
      </c>
      <c r="C63" s="5" t="inlineStr">
        <is>
          <t>die</t>
        </is>
      </c>
      <c r="D63" s="5" t="inlineStr">
        <is>
          <t>srv</t>
        </is>
      </c>
      <c r="E63" s="5" t="inlineStr">
        <is>
          <t>die_owp_tot_sr</t>
        </is>
      </c>
      <c r="F63" s="5" t="n">
        <v>-0.5</v>
      </c>
      <c r="G63" s="5" t="n">
        <v>-0.5</v>
      </c>
      <c r="H63" s="5" t="n">
        <v>-0.5</v>
      </c>
      <c r="I63" s="5" t="n">
        <v>-0.4</v>
      </c>
      <c r="J63" s="5" t="inlineStr">
        <is>
          <t>Elasticities row 205</t>
        </is>
      </c>
    </row>
    <row r="64">
      <c r="A64" s="5" t="inlineStr">
        <is>
          <t>usg|oil|srv</t>
        </is>
      </c>
      <c r="B64" s="5" t="inlineStr">
        <is>
          <t>usg</t>
        </is>
      </c>
      <c r="C64" s="5" t="inlineStr">
        <is>
          <t>oil</t>
        </is>
      </c>
      <c r="D64" s="5" t="inlineStr">
        <is>
          <t>srv</t>
        </is>
      </c>
      <c r="E64" s="5" t="inlineStr">
        <is>
          <t>oil_owp_ind_sr</t>
        </is>
      </c>
      <c r="F64" s="5" t="n">
        <v>-0.5</v>
      </c>
      <c r="G64" s="5" t="n">
        <v>-0.5</v>
      </c>
      <c r="H64" s="5" t="n">
        <v>-0.5</v>
      </c>
      <c r="I64" s="5" t="n">
        <v>-0.4</v>
      </c>
      <c r="J64" s="5" t="inlineStr">
        <is>
          <t>Elasticities row 206</t>
        </is>
      </c>
    </row>
    <row r="65">
      <c r="A65" s="5" t="inlineStr">
        <is>
          <t>usg|bio|srv</t>
        </is>
      </c>
      <c r="B65" s="5" t="inlineStr">
        <is>
          <t>usg</t>
        </is>
      </c>
      <c r="C65" s="5" t="inlineStr">
        <is>
          <t>bio</t>
        </is>
      </c>
      <c r="D65" s="5" t="inlineStr">
        <is>
          <t>srv</t>
        </is>
      </c>
      <c r="E65" s="5" t="inlineStr">
        <is>
          <t>bio_owp_ind_sr</t>
        </is>
      </c>
      <c r="F65" s="5" t="n">
        <v>-0.4</v>
      </c>
      <c r="G65" s="5" t="n">
        <v>-0.4</v>
      </c>
      <c r="H65" s="5" t="n">
        <v>-0.4</v>
      </c>
      <c r="I65" s="5" t="n">
        <v>-0.3</v>
      </c>
      <c r="J65" s="5" t="inlineStr">
        <is>
          <t>Elasticities row 207</t>
        </is>
      </c>
    </row>
    <row r="66">
      <c r="A66" s="5" t="inlineStr">
        <is>
          <t>usg|ren|srv</t>
        </is>
      </c>
      <c r="B66" s="5" t="inlineStr">
        <is>
          <t>usg</t>
        </is>
      </c>
      <c r="C66" s="5" t="inlineStr">
        <is>
          <t>ren</t>
        </is>
      </c>
      <c r="D66" s="5" t="inlineStr">
        <is>
          <t>srv</t>
        </is>
      </c>
      <c r="E66" s="5" t="inlineStr">
        <is>
          <t>rnw_owp_tot_lr</t>
        </is>
      </c>
      <c r="F66" s="5" t="n">
        <v>-0.7</v>
      </c>
      <c r="G66" s="5" t="n">
        <v>-0.7</v>
      </c>
      <c r="H66" s="5" t="n">
        <v>-0.7</v>
      </c>
      <c r="I66" s="5" t="n">
        <v>-0.6</v>
      </c>
      <c r="J66" s="5" t="inlineStr">
        <is>
          <t>Elasticities row 208</t>
        </is>
      </c>
    </row>
    <row r="67">
      <c r="A67" s="5" t="inlineStr">
        <is>
          <t>usg|ecy|srv</t>
        </is>
      </c>
      <c r="B67" s="5" t="inlineStr">
        <is>
          <t>usg</t>
        </is>
      </c>
      <c r="C67" s="5" t="inlineStr">
        <is>
          <t>ecy</t>
        </is>
      </c>
      <c r="D67" s="5" t="inlineStr">
        <is>
          <t>srv</t>
        </is>
      </c>
      <c r="E67" s="5" t="inlineStr">
        <is>
          <t>ecy_owp_ind_sr</t>
        </is>
      </c>
      <c r="F67" s="5" t="n">
        <v>-0.5</v>
      </c>
      <c r="G67" s="5" t="n">
        <v>-0.5</v>
      </c>
      <c r="H67" s="5" t="n">
        <v>-0.5</v>
      </c>
      <c r="I67" s="5" t="n">
        <v>-0.4</v>
      </c>
      <c r="J67" s="5" t="inlineStr">
        <is>
          <t>Elasticities row 209</t>
        </is>
      </c>
    </row>
    <row r="68">
      <c r="A68" s="5" t="inlineStr">
        <is>
          <t>eff|coa|tra</t>
        </is>
      </c>
      <c r="B68" s="5" t="inlineStr">
        <is>
          <t>eff</t>
        </is>
      </c>
      <c r="C68" s="5" t="inlineStr">
        <is>
          <t>coa</t>
        </is>
      </c>
      <c r="D68" s="5" t="inlineStr">
        <is>
          <t>tra</t>
        </is>
      </c>
      <c r="E68" s="5" t="inlineStr">
        <is>
          <t>coa_owp_tot_lr</t>
        </is>
      </c>
      <c r="F68" s="5" t="n">
        <v>-0.4</v>
      </c>
      <c r="G68" s="5" t="n">
        <v>-0.4</v>
      </c>
      <c r="H68" s="5" t="n">
        <v>-0.4</v>
      </c>
      <c r="I68" s="5" t="n">
        <v>-0.4</v>
      </c>
      <c r="J68" s="5" t="inlineStr">
        <is>
          <t>Elasticities row 211</t>
        </is>
      </c>
    </row>
    <row r="69">
      <c r="A69" s="5" t="inlineStr">
        <is>
          <t>eff|nga|tra</t>
        </is>
      </c>
      <c r="B69" s="5" t="inlineStr">
        <is>
          <t>eff</t>
        </is>
      </c>
      <c r="C69" s="5" t="inlineStr">
        <is>
          <t>nga</t>
        </is>
      </c>
      <c r="D69" s="5" t="inlineStr">
        <is>
          <t>tra</t>
        </is>
      </c>
      <c r="E69" s="5" t="inlineStr">
        <is>
          <t>nga_owp_tot_lr</t>
        </is>
      </c>
      <c r="F69" s="5" t="n">
        <v>-0.4</v>
      </c>
      <c r="G69" s="5" t="n">
        <v>-0.4</v>
      </c>
      <c r="H69" s="5" t="n">
        <v>-0.4</v>
      </c>
      <c r="I69" s="5" t="n">
        <v>-0.4</v>
      </c>
      <c r="J69" s="5" t="inlineStr">
        <is>
          <t>Elasticities row 212</t>
        </is>
      </c>
    </row>
    <row r="70">
      <c r="A70" s="5" t="inlineStr">
        <is>
          <t>eff|gso|tra</t>
        </is>
      </c>
      <c r="B70" s="5" t="inlineStr">
        <is>
          <t>eff</t>
        </is>
      </c>
      <c r="C70" s="5" t="inlineStr">
        <is>
          <t>gso</t>
        </is>
      </c>
      <c r="D70" s="5" t="inlineStr">
        <is>
          <t>tra</t>
        </is>
      </c>
      <c r="E70" s="5" t="inlineStr">
        <is>
          <t>gso_owp_tot_lr</t>
        </is>
      </c>
      <c r="F70" s="5" t="n">
        <v>-0.4</v>
      </c>
      <c r="G70" s="5" t="n">
        <v>-0.4</v>
      </c>
      <c r="H70" s="5" t="n">
        <v>-0.4</v>
      </c>
      <c r="I70" s="5" t="n">
        <v>-0.4</v>
      </c>
      <c r="J70" s="5" t="inlineStr">
        <is>
          <t>Elasticities row 213</t>
        </is>
      </c>
    </row>
    <row r="71">
      <c r="A71" s="5" t="inlineStr">
        <is>
          <t>eff|die|tra</t>
        </is>
      </c>
      <c r="B71" s="5" t="inlineStr">
        <is>
          <t>eff</t>
        </is>
      </c>
      <c r="C71" s="5" t="inlineStr">
        <is>
          <t>die</t>
        </is>
      </c>
      <c r="D71" s="5" t="inlineStr">
        <is>
          <t>tra</t>
        </is>
      </c>
      <c r="E71" s="5" t="inlineStr">
        <is>
          <t>die_owp_tot_lr</t>
        </is>
      </c>
      <c r="F71" s="5" t="n">
        <v>-0.3</v>
      </c>
      <c r="G71" s="5" t="n">
        <v>-0.3</v>
      </c>
      <c r="H71" s="5" t="n">
        <v>-0.3</v>
      </c>
      <c r="I71" s="5" t="n">
        <v>-0.3</v>
      </c>
      <c r="J71" s="5" t="inlineStr">
        <is>
          <t>Elasticities row 214</t>
        </is>
      </c>
    </row>
    <row r="72">
      <c r="A72" s="5" t="inlineStr">
        <is>
          <t>eff|oil|tra</t>
        </is>
      </c>
      <c r="B72" s="5" t="inlineStr">
        <is>
          <t>eff</t>
        </is>
      </c>
      <c r="C72" s="5" t="inlineStr">
        <is>
          <t>oil</t>
        </is>
      </c>
      <c r="D72" s="5" t="inlineStr">
        <is>
          <t>tra</t>
        </is>
      </c>
      <c r="E72" s="5" t="inlineStr">
        <is>
          <t>oil_owp_tot_lr</t>
        </is>
      </c>
      <c r="F72" s="5" t="n">
        <v>-0.4</v>
      </c>
      <c r="G72" s="5" t="n">
        <v>-0.4</v>
      </c>
      <c r="H72" s="5" t="n">
        <v>-0.4</v>
      </c>
      <c r="I72" s="5" t="n">
        <v>-0.4</v>
      </c>
      <c r="J72" s="5" t="inlineStr">
        <is>
          <t>Elasticities row 215</t>
        </is>
      </c>
    </row>
    <row r="73">
      <c r="A73" s="5" t="inlineStr">
        <is>
          <t>eff|bio|tra</t>
        </is>
      </c>
      <c r="B73" s="5" t="inlineStr">
        <is>
          <t>eff</t>
        </is>
      </c>
      <c r="C73" s="5" t="inlineStr">
        <is>
          <t>bio</t>
        </is>
      </c>
      <c r="D73" s="5" t="inlineStr">
        <is>
          <t>tra</t>
        </is>
      </c>
      <c r="E73" s="5" t="inlineStr">
        <is>
          <t>bio_owp_ind_lr</t>
        </is>
      </c>
      <c r="F73" s="5" t="n">
        <v>-0.2</v>
      </c>
      <c r="G73" s="5" t="n">
        <v>-0.2</v>
      </c>
      <c r="H73" s="5" t="n">
        <v>-0.2</v>
      </c>
      <c r="I73" s="5" t="n">
        <v>-0.2</v>
      </c>
      <c r="J73" s="5" t="inlineStr">
        <is>
          <t>Elasticities row 216</t>
        </is>
      </c>
    </row>
    <row r="74">
      <c r="A74" s="5" t="inlineStr">
        <is>
          <t>eff|ren|tra</t>
        </is>
      </c>
      <c r="B74" s="5" t="inlineStr">
        <is>
          <t>eff</t>
        </is>
      </c>
      <c r="C74" s="5" t="inlineStr">
        <is>
          <t>ren</t>
        </is>
      </c>
      <c r="D74" s="5" t="inlineStr">
        <is>
          <t>tra</t>
        </is>
      </c>
      <c r="E74" s="5" t="inlineStr">
        <is>
          <t>rnw_owp_tot_lr</t>
        </is>
      </c>
      <c r="F74" s="5" t="n">
        <v>-0.4</v>
      </c>
      <c r="G74" s="5" t="n">
        <v>-0.4</v>
      </c>
      <c r="H74" s="5" t="n">
        <v>-0.4</v>
      </c>
      <c r="I74" s="5" t="n">
        <v>-0.4</v>
      </c>
      <c r="J74" s="5" t="inlineStr">
        <is>
          <t>Elasticities row 217</t>
        </is>
      </c>
    </row>
    <row r="75">
      <c r="A75" s="5" t="inlineStr">
        <is>
          <t>eff|ecy|tra</t>
        </is>
      </c>
      <c r="B75" s="5" t="inlineStr">
        <is>
          <t>eff</t>
        </is>
      </c>
      <c r="C75" s="5" t="inlineStr">
        <is>
          <t>ecy</t>
        </is>
      </c>
      <c r="D75" s="5" t="inlineStr">
        <is>
          <t>tra</t>
        </is>
      </c>
      <c r="E75" s="5" t="inlineStr">
        <is>
          <t>ecy_owp_tot_lr</t>
        </is>
      </c>
      <c r="F75" s="5" t="n">
        <v>-0.2</v>
      </c>
      <c r="G75" s="5" t="n">
        <v>-0.2</v>
      </c>
      <c r="H75" s="5" t="n">
        <v>-0.2</v>
      </c>
      <c r="I75" s="5" t="n">
        <v>-0.2</v>
      </c>
      <c r="J75" s="5" t="inlineStr">
        <is>
          <t>Elasticities row 218</t>
        </is>
      </c>
    </row>
    <row r="76">
      <c r="A76" s="5" t="inlineStr">
        <is>
          <t>eff|coa|res</t>
        </is>
      </c>
      <c r="B76" s="5" t="inlineStr">
        <is>
          <t>eff</t>
        </is>
      </c>
      <c r="C76" s="5" t="inlineStr">
        <is>
          <t>coa</t>
        </is>
      </c>
      <c r="D76" s="5" t="inlineStr">
        <is>
          <t>res</t>
        </is>
      </c>
      <c r="E76" s="5" t="inlineStr">
        <is>
          <t>coa_owp_res_lr</t>
        </is>
      </c>
      <c r="F76" s="5" t="n">
        <v>-0.4</v>
      </c>
      <c r="G76" s="5" t="n">
        <v>-0.4</v>
      </c>
      <c r="H76" s="5" t="n">
        <v>-0.4</v>
      </c>
      <c r="I76" s="5" t="n">
        <v>-0.4</v>
      </c>
      <c r="J76" s="5" t="inlineStr">
        <is>
          <t>Elasticities row 219</t>
        </is>
      </c>
    </row>
    <row r="77">
      <c r="A77" s="5" t="inlineStr">
        <is>
          <t>eff|nga|res</t>
        </is>
      </c>
      <c r="B77" s="5" t="inlineStr">
        <is>
          <t>eff</t>
        </is>
      </c>
      <c r="C77" s="5" t="inlineStr">
        <is>
          <t>nga</t>
        </is>
      </c>
      <c r="D77" s="5" t="inlineStr">
        <is>
          <t>res</t>
        </is>
      </c>
      <c r="E77" s="5" t="inlineStr">
        <is>
          <t>nga_owp_res_lr</t>
        </is>
      </c>
      <c r="F77" s="5" t="n">
        <v>-0.5</v>
      </c>
      <c r="G77" s="5" t="n">
        <v>-0.5</v>
      </c>
      <c r="H77" s="5" t="n">
        <v>-0.5</v>
      </c>
      <c r="I77" s="5" t="n">
        <v>-0.5</v>
      </c>
      <c r="J77" s="5" t="inlineStr">
        <is>
          <t>Elasticities row 220</t>
        </is>
      </c>
    </row>
    <row r="78">
      <c r="A78" s="5" t="inlineStr">
        <is>
          <t>eff|gso|res</t>
        </is>
      </c>
      <c r="B78" s="5" t="inlineStr">
        <is>
          <t>eff</t>
        </is>
      </c>
      <c r="C78" s="5" t="inlineStr">
        <is>
          <t>gso</t>
        </is>
      </c>
      <c r="D78" s="5" t="inlineStr">
        <is>
          <t>res</t>
        </is>
      </c>
      <c r="E78" s="5" t="inlineStr">
        <is>
          <t>gso_owp_tot_lr</t>
        </is>
      </c>
      <c r="F78" s="5" t="n">
        <v>-0.6</v>
      </c>
      <c r="G78" s="5" t="n">
        <v>-0.6</v>
      </c>
      <c r="H78" s="5" t="n">
        <v>-0.6</v>
      </c>
      <c r="I78" s="5" t="n">
        <v>-0.6</v>
      </c>
      <c r="J78" s="5" t="inlineStr">
        <is>
          <t>Elasticities row 221</t>
        </is>
      </c>
    </row>
    <row r="79">
      <c r="A79" s="5" t="inlineStr">
        <is>
          <t>eff|die|res</t>
        </is>
      </c>
      <c r="B79" s="5" t="inlineStr">
        <is>
          <t>eff</t>
        </is>
      </c>
      <c r="C79" s="5" t="inlineStr">
        <is>
          <t>die</t>
        </is>
      </c>
      <c r="D79" s="5" t="inlineStr">
        <is>
          <t>res</t>
        </is>
      </c>
      <c r="E79" s="5" t="inlineStr">
        <is>
          <t>die_owp_tot_lr</t>
        </is>
      </c>
      <c r="F79" s="5" t="n">
        <v>-0.3</v>
      </c>
      <c r="G79" s="5" t="n">
        <v>-0.3</v>
      </c>
      <c r="H79" s="5" t="n">
        <v>-0.3</v>
      </c>
      <c r="I79" s="5" t="n">
        <v>-0.3</v>
      </c>
      <c r="J79" s="5" t="inlineStr">
        <is>
          <t>Elasticities row 222</t>
        </is>
      </c>
    </row>
    <row r="80">
      <c r="A80" s="5" t="inlineStr">
        <is>
          <t>eff|oil|res</t>
        </is>
      </c>
      <c r="B80" s="5" t="inlineStr">
        <is>
          <t>eff</t>
        </is>
      </c>
      <c r="C80" s="5" t="inlineStr">
        <is>
          <t>oil</t>
        </is>
      </c>
      <c r="D80" s="5" t="inlineStr">
        <is>
          <t>res</t>
        </is>
      </c>
      <c r="E80" s="5" t="inlineStr">
        <is>
          <t>oil_owp_tot_lr</t>
        </is>
      </c>
      <c r="F80" s="5" t="n">
        <v>-0.4</v>
      </c>
      <c r="G80" s="5" t="n">
        <v>-0.4</v>
      </c>
      <c r="H80" s="5" t="n">
        <v>-0.4</v>
      </c>
      <c r="I80" s="5" t="n">
        <v>-0.4</v>
      </c>
      <c r="J80" s="5" t="inlineStr">
        <is>
          <t>Elasticities row 223</t>
        </is>
      </c>
    </row>
    <row r="81">
      <c r="A81" s="5" t="inlineStr">
        <is>
          <t>eff|bio|res</t>
        </is>
      </c>
      <c r="B81" s="5" t="inlineStr">
        <is>
          <t>eff</t>
        </is>
      </c>
      <c r="C81" s="5" t="inlineStr">
        <is>
          <t>bio</t>
        </is>
      </c>
      <c r="D81" s="5" t="inlineStr">
        <is>
          <t>res</t>
        </is>
      </c>
      <c r="E81" s="5" t="inlineStr">
        <is>
          <t>bio_owp_ind_lr</t>
        </is>
      </c>
      <c r="F81" s="5" t="n">
        <v>-0.2</v>
      </c>
      <c r="G81" s="5" t="n">
        <v>-0.2</v>
      </c>
      <c r="H81" s="5" t="n">
        <v>-0.2</v>
      </c>
      <c r="I81" s="5" t="n">
        <v>-0.2</v>
      </c>
      <c r="J81" s="5" t="inlineStr">
        <is>
          <t>Elasticities row 224</t>
        </is>
      </c>
    </row>
    <row r="82">
      <c r="A82" s="5" t="inlineStr">
        <is>
          <t>eff|ren|res</t>
        </is>
      </c>
      <c r="B82" s="5" t="inlineStr">
        <is>
          <t>eff</t>
        </is>
      </c>
      <c r="C82" s="5" t="inlineStr">
        <is>
          <t>ren</t>
        </is>
      </c>
      <c r="D82" s="5" t="inlineStr">
        <is>
          <t>res</t>
        </is>
      </c>
      <c r="E82" s="5" t="inlineStr">
        <is>
          <t>rnw_owp_tot_lr</t>
        </is>
      </c>
      <c r="F82" s="5" t="n">
        <v>-0.4</v>
      </c>
      <c r="G82" s="5" t="n">
        <v>-0.4</v>
      </c>
      <c r="H82" s="5" t="n">
        <v>-0.4</v>
      </c>
      <c r="I82" s="5" t="n">
        <v>-0.4</v>
      </c>
      <c r="J82" s="5" t="inlineStr">
        <is>
          <t>Elasticities row 225</t>
        </is>
      </c>
    </row>
    <row r="83">
      <c r="A83" s="5" t="inlineStr">
        <is>
          <t>eff|ecy|res</t>
        </is>
      </c>
      <c r="B83" s="5" t="inlineStr">
        <is>
          <t>eff</t>
        </is>
      </c>
      <c r="C83" s="5" t="inlineStr">
        <is>
          <t>ecy</t>
        </is>
      </c>
      <c r="D83" s="5" t="inlineStr">
        <is>
          <t>res</t>
        </is>
      </c>
      <c r="E83" s="5" t="inlineStr">
        <is>
          <t>ecy_owp_res_lr</t>
        </is>
      </c>
      <c r="F83" s="5" t="n">
        <v>-0.2</v>
      </c>
      <c r="G83" s="5" t="n">
        <v>-0.2</v>
      </c>
      <c r="H83" s="5" t="n">
        <v>-0.2</v>
      </c>
      <c r="I83" s="5" t="n">
        <v>-0.2</v>
      </c>
      <c r="J83" s="5" t="inlineStr">
        <is>
          <t>Elasticities row 226</t>
        </is>
      </c>
    </row>
    <row r="84">
      <c r="A84" s="5" t="inlineStr">
        <is>
          <t>eff|coa|ind</t>
        </is>
      </c>
      <c r="B84" s="5" t="inlineStr">
        <is>
          <t>eff</t>
        </is>
      </c>
      <c r="C84" s="5" t="inlineStr">
        <is>
          <t>coa</t>
        </is>
      </c>
      <c r="D84" s="5" t="inlineStr">
        <is>
          <t>ind</t>
        </is>
      </c>
      <c r="E84" s="5" t="inlineStr">
        <is>
          <t>coa_owp_ind_lr</t>
        </is>
      </c>
      <c r="F84" s="5" t="n">
        <v>-0.4</v>
      </c>
      <c r="G84" s="5" t="n">
        <v>-0.4</v>
      </c>
      <c r="H84" s="5" t="n">
        <v>-0.4</v>
      </c>
      <c r="I84" s="5" t="n">
        <v>-0.4</v>
      </c>
      <c r="J84" s="5" t="inlineStr">
        <is>
          <t>Elasticities row 227</t>
        </is>
      </c>
    </row>
    <row r="85">
      <c r="A85" s="5" t="inlineStr">
        <is>
          <t>eff|nga|ind</t>
        </is>
      </c>
      <c r="B85" s="5" t="inlineStr">
        <is>
          <t>eff</t>
        </is>
      </c>
      <c r="C85" s="5" t="inlineStr">
        <is>
          <t>nga</t>
        </is>
      </c>
      <c r="D85" s="5" t="inlineStr">
        <is>
          <t>ind</t>
        </is>
      </c>
      <c r="E85" s="5" t="inlineStr">
        <is>
          <t>nga_owp_ind_lr</t>
        </is>
      </c>
      <c r="F85" s="5" t="n">
        <v>-0.5</v>
      </c>
      <c r="G85" s="5" t="n">
        <v>-0.5</v>
      </c>
      <c r="H85" s="5" t="n">
        <v>-0.5</v>
      </c>
      <c r="I85" s="5" t="n">
        <v>-0.5</v>
      </c>
      <c r="J85" s="5" t="inlineStr">
        <is>
          <t>Elasticities row 228</t>
        </is>
      </c>
    </row>
    <row r="86">
      <c r="A86" s="5" t="inlineStr">
        <is>
          <t>eff|gso|ind</t>
        </is>
      </c>
      <c r="B86" s="5" t="inlineStr">
        <is>
          <t>eff</t>
        </is>
      </c>
      <c r="C86" s="5" t="inlineStr">
        <is>
          <t>gso</t>
        </is>
      </c>
      <c r="D86" s="5" t="inlineStr">
        <is>
          <t>ind</t>
        </is>
      </c>
      <c r="E86" s="5" t="inlineStr">
        <is>
          <t>gso_owp_tot_lr</t>
        </is>
      </c>
      <c r="F86" s="5" t="n">
        <v>-0.7</v>
      </c>
      <c r="G86" s="5" t="n">
        <v>-0.7</v>
      </c>
      <c r="H86" s="5" t="n">
        <v>-0.7</v>
      </c>
      <c r="I86" s="5" t="n">
        <v>-0.7</v>
      </c>
      <c r="J86" s="5" t="inlineStr">
        <is>
          <t>Elasticities row 229</t>
        </is>
      </c>
    </row>
    <row r="87">
      <c r="A87" s="5" t="inlineStr">
        <is>
          <t>eff|die|ind</t>
        </is>
      </c>
      <c r="B87" s="5" t="inlineStr">
        <is>
          <t>eff</t>
        </is>
      </c>
      <c r="C87" s="5" t="inlineStr">
        <is>
          <t>die</t>
        </is>
      </c>
      <c r="D87" s="5" t="inlineStr">
        <is>
          <t>ind</t>
        </is>
      </c>
      <c r="E87" s="5" t="inlineStr">
        <is>
          <t>die_owp_tot_lr</t>
        </is>
      </c>
      <c r="F87" s="5" t="n">
        <v>-1.2</v>
      </c>
      <c r="G87" s="5" t="n">
        <v>-1.2</v>
      </c>
      <c r="H87" s="5" t="n">
        <v>-1.2</v>
      </c>
      <c r="I87" s="5" t="n">
        <v>-1.2</v>
      </c>
      <c r="J87" s="5" t="inlineStr">
        <is>
          <t>Elasticities row 230</t>
        </is>
      </c>
    </row>
    <row r="88">
      <c r="A88" s="5" t="inlineStr">
        <is>
          <t>eff|oil|ind</t>
        </is>
      </c>
      <c r="B88" s="5" t="inlineStr">
        <is>
          <t>eff</t>
        </is>
      </c>
      <c r="C88" s="5" t="inlineStr">
        <is>
          <t>oil</t>
        </is>
      </c>
      <c r="D88" s="5" t="inlineStr">
        <is>
          <t>ind</t>
        </is>
      </c>
      <c r="E88" s="5" t="inlineStr">
        <is>
          <t>oil_owp_ind_lr</t>
        </is>
      </c>
      <c r="F88" s="5" t="n">
        <v>-0.4</v>
      </c>
      <c r="G88" s="5" t="n">
        <v>-0.4</v>
      </c>
      <c r="H88" s="5" t="n">
        <v>-0.4</v>
      </c>
      <c r="I88" s="5" t="n">
        <v>-0.4</v>
      </c>
      <c r="J88" s="5" t="inlineStr">
        <is>
          <t>Elasticities row 231</t>
        </is>
      </c>
    </row>
    <row r="89">
      <c r="A89" s="5" t="inlineStr">
        <is>
          <t>eff|bio|ind</t>
        </is>
      </c>
      <c r="B89" s="5" t="inlineStr">
        <is>
          <t>eff</t>
        </is>
      </c>
      <c r="C89" s="5" t="inlineStr">
        <is>
          <t>bio</t>
        </is>
      </c>
      <c r="D89" s="5" t="inlineStr">
        <is>
          <t>ind</t>
        </is>
      </c>
      <c r="E89" s="5" t="inlineStr">
        <is>
          <t>bio_owp_ind_lr</t>
        </is>
      </c>
      <c r="F89" s="5" t="n">
        <v>-0.2</v>
      </c>
      <c r="G89" s="5" t="n">
        <v>-0.2</v>
      </c>
      <c r="H89" s="5" t="n">
        <v>-0.2</v>
      </c>
      <c r="I89" s="5" t="n">
        <v>-0.2</v>
      </c>
      <c r="J89" s="5" t="inlineStr">
        <is>
          <t>Elasticities row 232</t>
        </is>
      </c>
    </row>
    <row r="90">
      <c r="A90" s="5" t="inlineStr">
        <is>
          <t>eff|ren|ind</t>
        </is>
      </c>
      <c r="B90" s="5" t="inlineStr">
        <is>
          <t>eff</t>
        </is>
      </c>
      <c r="C90" s="5" t="inlineStr">
        <is>
          <t>ren</t>
        </is>
      </c>
      <c r="D90" s="5" t="inlineStr">
        <is>
          <t>ind</t>
        </is>
      </c>
      <c r="E90" s="5" t="inlineStr">
        <is>
          <t>rnw_owp_tot_lr</t>
        </is>
      </c>
      <c r="F90" s="5" t="n">
        <v>-0.4</v>
      </c>
      <c r="G90" s="5" t="n">
        <v>-0.4</v>
      </c>
      <c r="H90" s="5" t="n">
        <v>-0.4</v>
      </c>
      <c r="I90" s="5" t="n">
        <v>-0.4</v>
      </c>
      <c r="J90" s="5" t="inlineStr">
        <is>
          <t>Elasticities row 233</t>
        </is>
      </c>
    </row>
    <row r="91">
      <c r="A91" s="5" t="inlineStr">
        <is>
          <t>eff|ecy|ind</t>
        </is>
      </c>
      <c r="B91" s="5" t="inlineStr">
        <is>
          <t>eff</t>
        </is>
      </c>
      <c r="C91" s="5" t="inlineStr">
        <is>
          <t>ecy</t>
        </is>
      </c>
      <c r="D91" s="5" t="inlineStr">
        <is>
          <t>ind</t>
        </is>
      </c>
      <c r="E91" s="5" t="inlineStr">
        <is>
          <t>ecy_owp_ind_lr</t>
        </is>
      </c>
      <c r="F91" s="5" t="n">
        <v>-0.2</v>
      </c>
      <c r="G91" s="5" t="n">
        <v>-0.2</v>
      </c>
      <c r="H91" s="5" t="n">
        <v>-0.2</v>
      </c>
      <c r="I91" s="5" t="n">
        <v>-0.2</v>
      </c>
      <c r="J91" s="5" t="inlineStr">
        <is>
          <t>Elasticities row 234</t>
        </is>
      </c>
    </row>
    <row r="92">
      <c r="A92" s="5" t="inlineStr">
        <is>
          <t>eff|coa|srv</t>
        </is>
      </c>
      <c r="B92" s="5" t="inlineStr">
        <is>
          <t>eff</t>
        </is>
      </c>
      <c r="C92" s="5" t="inlineStr">
        <is>
          <t>coa</t>
        </is>
      </c>
      <c r="D92" s="5" t="inlineStr">
        <is>
          <t>srv</t>
        </is>
      </c>
      <c r="E92" s="5" t="inlineStr">
        <is>
          <t>coa_owp_ind_lr</t>
        </is>
      </c>
      <c r="F92" s="5" t="n">
        <v>-0.6</v>
      </c>
      <c r="G92" s="5" t="n">
        <v>-0.6</v>
      </c>
      <c r="H92" s="5" t="n">
        <v>-0.6</v>
      </c>
      <c r="I92" s="5" t="n">
        <v>-0.6</v>
      </c>
      <c r="J92" s="5" t="inlineStr">
        <is>
          <t>Elasticities row 235</t>
        </is>
      </c>
    </row>
    <row r="93">
      <c r="A93" s="5" t="inlineStr">
        <is>
          <t>eff|nga|srv</t>
        </is>
      </c>
      <c r="B93" s="5" t="inlineStr">
        <is>
          <t>eff</t>
        </is>
      </c>
      <c r="C93" s="5" t="inlineStr">
        <is>
          <t>nga</t>
        </is>
      </c>
      <c r="D93" s="5" t="inlineStr">
        <is>
          <t>srv</t>
        </is>
      </c>
      <c r="E93" s="5" t="inlineStr">
        <is>
          <t>nga_owp_ind_lr</t>
        </is>
      </c>
      <c r="F93" s="5" t="n">
        <v>-1</v>
      </c>
      <c r="G93" s="5" t="n">
        <v>-1</v>
      </c>
      <c r="H93" s="5" t="n">
        <v>-1</v>
      </c>
      <c r="I93" s="5" t="n">
        <v>-1</v>
      </c>
      <c r="J93" s="5" t="inlineStr">
        <is>
          <t>Elasticities row 236</t>
        </is>
      </c>
    </row>
    <row r="94">
      <c r="A94" s="5" t="inlineStr">
        <is>
          <t>eff|gso|srv</t>
        </is>
      </c>
      <c r="B94" s="5" t="inlineStr">
        <is>
          <t>eff</t>
        </is>
      </c>
      <c r="C94" s="5" t="inlineStr">
        <is>
          <t>gso</t>
        </is>
      </c>
      <c r="D94" s="5" t="inlineStr">
        <is>
          <t>srv</t>
        </is>
      </c>
      <c r="E94" s="5" t="inlineStr">
        <is>
          <t>gso_owp_tot_lr</t>
        </is>
      </c>
      <c r="F94" s="5" t="n">
        <v>-1.1</v>
      </c>
      <c r="G94" s="5" t="n">
        <v>-1.1</v>
      </c>
      <c r="H94" s="5" t="n">
        <v>-1.1</v>
      </c>
      <c r="I94" s="5" t="n">
        <v>-1.1</v>
      </c>
      <c r="J94" s="5" t="inlineStr">
        <is>
          <t>Elasticities row 237</t>
        </is>
      </c>
    </row>
    <row r="95">
      <c r="A95" s="5" t="inlineStr">
        <is>
          <t>eff|die|srv</t>
        </is>
      </c>
      <c r="B95" s="5" t="inlineStr">
        <is>
          <t>eff</t>
        </is>
      </c>
      <c r="C95" s="5" t="inlineStr">
        <is>
          <t>die</t>
        </is>
      </c>
      <c r="D95" s="5" t="inlineStr">
        <is>
          <t>srv</t>
        </is>
      </c>
      <c r="E95" s="5" t="inlineStr">
        <is>
          <t>die_owp_tot_lr</t>
        </is>
      </c>
      <c r="F95" s="5" t="n">
        <v>-0.4</v>
      </c>
      <c r="G95" s="5" t="n">
        <v>-0.4</v>
      </c>
      <c r="H95" s="5" t="n">
        <v>-0.4</v>
      </c>
      <c r="I95" s="5" t="n">
        <v>-0.4</v>
      </c>
      <c r="J95" s="5" t="inlineStr">
        <is>
          <t>Elasticities row 238</t>
        </is>
      </c>
    </row>
    <row r="96">
      <c r="A96" s="5" t="inlineStr">
        <is>
          <t>eff|oil|srv</t>
        </is>
      </c>
      <c r="B96" s="5" t="inlineStr">
        <is>
          <t>eff</t>
        </is>
      </c>
      <c r="C96" s="5" t="inlineStr">
        <is>
          <t>oil</t>
        </is>
      </c>
      <c r="D96" s="5" t="inlineStr">
        <is>
          <t>srv</t>
        </is>
      </c>
      <c r="E96" s="5" t="inlineStr">
        <is>
          <t>oil_owp_ind_lr</t>
        </is>
      </c>
      <c r="F96" s="5" t="n">
        <v>-0.6</v>
      </c>
      <c r="G96" s="5" t="n">
        <v>-0.6</v>
      </c>
      <c r="H96" s="5" t="n">
        <v>-0.6</v>
      </c>
      <c r="I96" s="5" t="n">
        <v>-0.6</v>
      </c>
      <c r="J96" s="5" t="inlineStr">
        <is>
          <t>Elasticities row 239</t>
        </is>
      </c>
    </row>
    <row r="97">
      <c r="A97" s="5" t="inlineStr">
        <is>
          <t>eff|bio|srv</t>
        </is>
      </c>
      <c r="B97" s="5" t="inlineStr">
        <is>
          <t>eff</t>
        </is>
      </c>
      <c r="C97" s="5" t="inlineStr">
        <is>
          <t>bio</t>
        </is>
      </c>
      <c r="D97" s="5" t="inlineStr">
        <is>
          <t>srv</t>
        </is>
      </c>
      <c r="E97" s="5" t="inlineStr">
        <is>
          <t>bio_owp_ind_lr</t>
        </is>
      </c>
      <c r="F97" s="5" t="n">
        <v>-0.3</v>
      </c>
      <c r="G97" s="5" t="n">
        <v>-0.3</v>
      </c>
      <c r="H97" s="5" t="n">
        <v>-0.3</v>
      </c>
      <c r="I97" s="5" t="n">
        <v>-0.3</v>
      </c>
      <c r="J97" s="5" t="inlineStr">
        <is>
          <t>Elasticities row 240</t>
        </is>
      </c>
    </row>
    <row r="98">
      <c r="A98" s="5" t="inlineStr">
        <is>
          <t>eff|ren|srv</t>
        </is>
      </c>
      <c r="B98" s="5" t="inlineStr">
        <is>
          <t>eff</t>
        </is>
      </c>
      <c r="C98" s="5" t="inlineStr">
        <is>
          <t>ren</t>
        </is>
      </c>
      <c r="D98" s="5" t="inlineStr">
        <is>
          <t>srv</t>
        </is>
      </c>
      <c r="E98" s="5" t="inlineStr">
        <is>
          <t>rnw_owp_tot_lr</t>
        </is>
      </c>
      <c r="F98" s="5" t="n">
        <v>-0.6</v>
      </c>
      <c r="G98" s="5" t="n">
        <v>-0.6</v>
      </c>
      <c r="H98" s="5" t="n">
        <v>-0.6</v>
      </c>
      <c r="I98" s="5" t="n">
        <v>-0.6</v>
      </c>
      <c r="J98" s="5" t="inlineStr">
        <is>
          <t>Elasticities row 241</t>
        </is>
      </c>
    </row>
    <row r="99">
      <c r="A99" s="5" t="inlineStr">
        <is>
          <t>eff|ecy|srv</t>
        </is>
      </c>
      <c r="B99" s="5" t="inlineStr">
        <is>
          <t>eff</t>
        </is>
      </c>
      <c r="C99" s="5" t="inlineStr">
        <is>
          <t>ecy</t>
        </is>
      </c>
      <c r="D99" s="5" t="inlineStr">
        <is>
          <t>srv</t>
        </is>
      </c>
      <c r="E99" s="5" t="inlineStr">
        <is>
          <t>ecy_owp_ind_lr</t>
        </is>
      </c>
      <c r="F99" s="5" t="n">
        <v>-0.4</v>
      </c>
      <c r="G99" s="5" t="n">
        <v>-0.4</v>
      </c>
      <c r="H99" s="5" t="n">
        <v>-0.4</v>
      </c>
      <c r="I99" s="5" t="n">
        <v>-0.4</v>
      </c>
      <c r="J99" s="5" t="inlineStr">
        <is>
          <t>Elasticities row 242</t>
        </is>
      </c>
    </row>
    <row r="100">
      <c r="A100" s="5" t="inlineStr">
        <is>
          <t>aei|coa|tra</t>
        </is>
      </c>
      <c r="B100" s="5" t="inlineStr">
        <is>
          <t>aei</t>
        </is>
      </c>
      <c r="C100" s="5" t="inlineStr">
        <is>
          <t>coa</t>
        </is>
      </c>
      <c r="D100" s="5" t="inlineStr">
        <is>
          <t>tra</t>
        </is>
      </c>
      <c r="E100" s="5" t="inlineStr">
        <is>
          <t>eff_imp_coa_rod</t>
        </is>
      </c>
      <c r="F100" s="5" t="n">
        <v>0.01</v>
      </c>
      <c r="G100" s="5" t="n">
        <v>0.01</v>
      </c>
      <c r="H100" s="5" t="n">
        <v>0.01</v>
      </c>
      <c r="I100" s="5" t="n">
        <v>0.01</v>
      </c>
      <c r="J100" s="5" t="inlineStr">
        <is>
          <t>Elasticities row 256</t>
        </is>
      </c>
    </row>
    <row r="101">
      <c r="A101" s="5" t="inlineStr">
        <is>
          <t>aei|nga|tra</t>
        </is>
      </c>
      <c r="B101" s="5" t="inlineStr">
        <is>
          <t>aei</t>
        </is>
      </c>
      <c r="C101" s="5" t="inlineStr">
        <is>
          <t>nga</t>
        </is>
      </c>
      <c r="D101" s="5" t="inlineStr">
        <is>
          <t>tra</t>
        </is>
      </c>
      <c r="E101" s="5" t="inlineStr">
        <is>
          <t>eff_imp_nga_rod</t>
        </is>
      </c>
      <c r="F101" s="5" t="n">
        <v>0.01</v>
      </c>
      <c r="G101" s="5" t="n">
        <v>0.01</v>
      </c>
      <c r="H101" s="5" t="n">
        <v>0.01</v>
      </c>
      <c r="I101" s="5" t="n">
        <v>0.01</v>
      </c>
      <c r="J101" s="5" t="inlineStr">
        <is>
          <t>Elasticities row 257</t>
        </is>
      </c>
    </row>
    <row r="102">
      <c r="A102" s="5" t="inlineStr">
        <is>
          <t>aei|oil|tra</t>
        </is>
      </c>
      <c r="B102" s="5" t="inlineStr">
        <is>
          <t>aei</t>
        </is>
      </c>
      <c r="C102" s="5" t="inlineStr">
        <is>
          <t>oil</t>
        </is>
      </c>
      <c r="D102" s="5" t="inlineStr">
        <is>
          <t>tra</t>
        </is>
      </c>
      <c r="E102" s="5" t="inlineStr">
        <is>
          <t>eff_imp_oil_rod</t>
        </is>
      </c>
      <c r="F102" s="5" t="n">
        <v>0.01</v>
      </c>
      <c r="G102" s="5" t="n">
        <v>0.01</v>
      </c>
      <c r="H102" s="5" t="n">
        <v>0.01</v>
      </c>
      <c r="I102" s="5" t="n">
        <v>0.01</v>
      </c>
      <c r="J102" s="5" t="inlineStr">
        <is>
          <t>Elasticities row 258</t>
        </is>
      </c>
    </row>
    <row r="103">
      <c r="A103" s="5" t="inlineStr">
        <is>
          <t>aei|bio|tra</t>
        </is>
      </c>
      <c r="B103" s="5" t="inlineStr">
        <is>
          <t>aei</t>
        </is>
      </c>
      <c r="C103" s="5" t="inlineStr">
        <is>
          <t>bio</t>
        </is>
      </c>
      <c r="D103" s="5" t="inlineStr">
        <is>
          <t>tra</t>
        </is>
      </c>
      <c r="E103" s="5" t="inlineStr">
        <is>
          <t>eff_imp_bio_rod</t>
        </is>
      </c>
      <c r="F103" s="5" t="n">
        <v>0.01</v>
      </c>
      <c r="G103" s="5" t="n">
        <v>0.01</v>
      </c>
      <c r="H103" s="5" t="n">
        <v>0.01</v>
      </c>
      <c r="I103" s="5" t="n">
        <v>0.01</v>
      </c>
      <c r="J103" s="5" t="inlineStr">
        <is>
          <t>Elasticities row 259</t>
        </is>
      </c>
    </row>
    <row r="104">
      <c r="A104" s="5" t="inlineStr">
        <is>
          <t>aei|ren|tra</t>
        </is>
      </c>
      <c r="B104" s="5" t="inlineStr">
        <is>
          <t>aei</t>
        </is>
      </c>
      <c r="C104" s="5" t="inlineStr">
        <is>
          <t>ren</t>
        </is>
      </c>
      <c r="D104" s="5" t="inlineStr">
        <is>
          <t>tra</t>
        </is>
      </c>
      <c r="E104" s="5" t="inlineStr">
        <is>
          <t>eff_imp_ren_rod</t>
        </is>
      </c>
      <c r="F104" s="5" t="n">
        <v>0.01</v>
      </c>
      <c r="G104" s="5" t="n">
        <v>0.01</v>
      </c>
      <c r="H104" s="5" t="n">
        <v>0.01</v>
      </c>
      <c r="I104" s="5" t="n">
        <v>0.01</v>
      </c>
      <c r="J104" s="5" t="inlineStr">
        <is>
          <t>Elasticities row 260</t>
        </is>
      </c>
    </row>
    <row r="105">
      <c r="A105" s="5" t="inlineStr">
        <is>
          <t>aei|ecy|tra</t>
        </is>
      </c>
      <c r="B105" s="5" t="inlineStr">
        <is>
          <t>aei</t>
        </is>
      </c>
      <c r="C105" s="5" t="inlineStr">
        <is>
          <t>ecy</t>
        </is>
      </c>
      <c r="D105" s="5" t="inlineStr">
        <is>
          <t>tra</t>
        </is>
      </c>
      <c r="E105" s="5" t="inlineStr">
        <is>
          <t>eff_imp_ecy_rod</t>
        </is>
      </c>
      <c r="F105" s="5" t="n">
        <v>0.01</v>
      </c>
      <c r="G105" s="5" t="n">
        <v>0.01</v>
      </c>
      <c r="H105" s="5" t="n">
        <v>0.01</v>
      </c>
      <c r="I105" s="5" t="n">
        <v>0.01</v>
      </c>
      <c r="J105" s="5" t="inlineStr">
        <is>
          <t>Elasticities row 261</t>
        </is>
      </c>
    </row>
    <row r="106">
      <c r="A106" s="5" t="inlineStr">
        <is>
          <t>aei|coa|res</t>
        </is>
      </c>
      <c r="B106" s="5" t="inlineStr">
        <is>
          <t>aei</t>
        </is>
      </c>
      <c r="C106" s="5" t="inlineStr">
        <is>
          <t>coa</t>
        </is>
      </c>
      <c r="D106" s="5" t="inlineStr">
        <is>
          <t>res</t>
        </is>
      </c>
      <c r="E106" s="5" t="inlineStr">
        <is>
          <t>eff_imp_coa</t>
        </is>
      </c>
      <c r="F106" s="5" t="n">
        <v>0.005</v>
      </c>
      <c r="G106" s="5" t="n">
        <v>0.005</v>
      </c>
      <c r="H106" s="5" t="n">
        <v>0.005</v>
      </c>
      <c r="I106" s="5" t="n">
        <v>0.005</v>
      </c>
      <c r="J106" s="5" t="inlineStr">
        <is>
          <t>Elasticities row 263</t>
        </is>
      </c>
    </row>
    <row r="107">
      <c r="A107" s="5" t="inlineStr">
        <is>
          <t>aei|nga|res</t>
        </is>
      </c>
      <c r="B107" s="5" t="inlineStr">
        <is>
          <t>aei</t>
        </is>
      </c>
      <c r="C107" s="5" t="inlineStr">
        <is>
          <t>nga</t>
        </is>
      </c>
      <c r="D107" s="5" t="inlineStr">
        <is>
          <t>res</t>
        </is>
      </c>
      <c r="E107" s="5" t="inlineStr">
        <is>
          <t>eff_imp_nga</t>
        </is>
      </c>
      <c r="F107" s="5" t="n">
        <v>0.01</v>
      </c>
      <c r="G107" s="5" t="n">
        <v>0.01</v>
      </c>
      <c r="H107" s="5" t="n">
        <v>0.01</v>
      </c>
      <c r="I107" s="5" t="n">
        <v>0.01</v>
      </c>
      <c r="J107" s="5" t="inlineStr">
        <is>
          <t>Elasticities row 264</t>
        </is>
      </c>
    </row>
    <row r="108">
      <c r="A108" s="5" t="inlineStr">
        <is>
          <t>aei|oil|res</t>
        </is>
      </c>
      <c r="B108" s="5" t="inlineStr">
        <is>
          <t>aei</t>
        </is>
      </c>
      <c r="C108" s="5" t="inlineStr">
        <is>
          <t>oil</t>
        </is>
      </c>
      <c r="D108" s="5" t="inlineStr">
        <is>
          <t>res</t>
        </is>
      </c>
      <c r="E108" s="5" t="inlineStr">
        <is>
          <t>eff_imp_oil</t>
        </is>
      </c>
      <c r="F108" s="5" t="n">
        <v>0.005</v>
      </c>
      <c r="G108" s="5" t="n">
        <v>0.005</v>
      </c>
      <c r="H108" s="5" t="n">
        <v>0.005</v>
      </c>
      <c r="I108" s="5" t="n">
        <v>0.005</v>
      </c>
      <c r="J108" s="5" t="inlineStr">
        <is>
          <t>Elasticities row 265</t>
        </is>
      </c>
    </row>
    <row r="109">
      <c r="A109" s="5" t="inlineStr">
        <is>
          <t>aei|bio|res</t>
        </is>
      </c>
      <c r="B109" s="5" t="inlineStr">
        <is>
          <t>aei</t>
        </is>
      </c>
      <c r="C109" s="5" t="inlineStr">
        <is>
          <t>bio</t>
        </is>
      </c>
      <c r="D109" s="5" t="inlineStr">
        <is>
          <t>res</t>
        </is>
      </c>
      <c r="E109" s="5" t="inlineStr">
        <is>
          <t>eff_imp_bio</t>
        </is>
      </c>
      <c r="F109" s="5" t="n">
        <v>0.005</v>
      </c>
      <c r="G109" s="5" t="n">
        <v>0.005</v>
      </c>
      <c r="H109" s="5" t="n">
        <v>0.005</v>
      </c>
      <c r="I109" s="5" t="n">
        <v>0.005</v>
      </c>
      <c r="J109" s="5" t="inlineStr">
        <is>
          <t>Elasticities row 266</t>
        </is>
      </c>
    </row>
    <row r="110">
      <c r="A110" s="5" t="inlineStr">
        <is>
          <t>aei|ren|res</t>
        </is>
      </c>
      <c r="B110" s="5" t="inlineStr">
        <is>
          <t>aei</t>
        </is>
      </c>
      <c r="C110" s="5" t="inlineStr">
        <is>
          <t>ren</t>
        </is>
      </c>
      <c r="D110" s="5" t="inlineStr">
        <is>
          <t>res</t>
        </is>
      </c>
      <c r="E110" s="5" t="inlineStr">
        <is>
          <t>eff_imp_ren</t>
        </is>
      </c>
      <c r="F110" s="5" t="n">
        <v>0.005</v>
      </c>
      <c r="G110" s="5" t="n">
        <v>0.005</v>
      </c>
      <c r="H110" s="5" t="n">
        <v>0.005</v>
      </c>
      <c r="I110" s="5" t="n">
        <v>0.005</v>
      </c>
      <c r="J110" s="5" t="inlineStr">
        <is>
          <t>Elasticities row 267</t>
        </is>
      </c>
    </row>
    <row r="111">
      <c r="A111" s="5" t="inlineStr">
        <is>
          <t>aei|ecy|res</t>
        </is>
      </c>
      <c r="B111" s="5" t="inlineStr">
        <is>
          <t>aei</t>
        </is>
      </c>
      <c r="C111" s="5" t="inlineStr">
        <is>
          <t>ecy</t>
        </is>
      </c>
      <c r="D111" s="5" t="inlineStr">
        <is>
          <t>res</t>
        </is>
      </c>
      <c r="E111" s="5" t="inlineStr">
        <is>
          <t>eff_imp_ecy</t>
        </is>
      </c>
      <c r="F111" s="5" t="n">
        <v>0.005</v>
      </c>
      <c r="G111" s="5" t="n">
        <v>0.005</v>
      </c>
      <c r="H111" s="5" t="n">
        <v>0.005</v>
      </c>
      <c r="I111" s="5" t="n">
        <v>0.005</v>
      </c>
      <c r="J111" s="5" t="inlineStr">
        <is>
          <t>Elasticities row 268</t>
        </is>
      </c>
    </row>
    <row r="112">
      <c r="A112" s="5" t="inlineStr">
        <is>
          <t>aei|coa|ind</t>
        </is>
      </c>
      <c r="B112" s="5" t="inlineStr">
        <is>
          <t>aei</t>
        </is>
      </c>
      <c r="C112" s="5" t="inlineStr">
        <is>
          <t>coa</t>
        </is>
      </c>
      <c r="D112" s="5" t="inlineStr">
        <is>
          <t>ind</t>
        </is>
      </c>
      <c r="E112" s="5" t="inlineStr">
        <is>
          <t>eff_imp_coa</t>
        </is>
      </c>
      <c r="F112" s="5" t="n">
        <v>0.005</v>
      </c>
      <c r="G112" s="5" t="n">
        <v>0.005</v>
      </c>
      <c r="H112" s="5" t="n">
        <v>0.005</v>
      </c>
      <c r="I112" s="5" t="n">
        <v>0.005</v>
      </c>
      <c r="J112" s="5" t="inlineStr">
        <is>
          <t>Elasticities row 270</t>
        </is>
      </c>
    </row>
    <row r="113">
      <c r="A113" s="5" t="inlineStr">
        <is>
          <t>aei|nga|ind</t>
        </is>
      </c>
      <c r="B113" s="5" t="inlineStr">
        <is>
          <t>aei</t>
        </is>
      </c>
      <c r="C113" s="5" t="inlineStr">
        <is>
          <t>nga</t>
        </is>
      </c>
      <c r="D113" s="5" t="inlineStr">
        <is>
          <t>ind</t>
        </is>
      </c>
      <c r="E113" s="5" t="inlineStr">
        <is>
          <t>eff_imp_nga</t>
        </is>
      </c>
      <c r="F113" s="5" t="n">
        <v>0.01</v>
      </c>
      <c r="G113" s="5" t="n">
        <v>0.01</v>
      </c>
      <c r="H113" s="5" t="n">
        <v>0.01</v>
      </c>
      <c r="I113" s="5" t="n">
        <v>0.01</v>
      </c>
      <c r="J113" s="5" t="inlineStr">
        <is>
          <t>Elasticities row 271</t>
        </is>
      </c>
    </row>
    <row r="114">
      <c r="A114" s="5" t="inlineStr">
        <is>
          <t>aei|oil|ind</t>
        </is>
      </c>
      <c r="B114" s="5" t="inlineStr">
        <is>
          <t>aei</t>
        </is>
      </c>
      <c r="C114" s="5" t="inlineStr">
        <is>
          <t>oil</t>
        </is>
      </c>
      <c r="D114" s="5" t="inlineStr">
        <is>
          <t>ind</t>
        </is>
      </c>
      <c r="E114" s="5" t="inlineStr">
        <is>
          <t>eff_imp_oil</t>
        </is>
      </c>
      <c r="F114" s="5" t="n">
        <v>0.005</v>
      </c>
      <c r="G114" s="5" t="n">
        <v>0.005</v>
      </c>
      <c r="H114" s="5" t="n">
        <v>0.005</v>
      </c>
      <c r="I114" s="5" t="n">
        <v>0.005</v>
      </c>
      <c r="J114" s="5" t="inlineStr">
        <is>
          <t>Elasticities row 272</t>
        </is>
      </c>
    </row>
    <row r="115">
      <c r="A115" s="5" t="inlineStr">
        <is>
          <t>aei|bio|ind</t>
        </is>
      </c>
      <c r="B115" s="5" t="inlineStr">
        <is>
          <t>aei</t>
        </is>
      </c>
      <c r="C115" s="5" t="inlineStr">
        <is>
          <t>bio</t>
        </is>
      </c>
      <c r="D115" s="5" t="inlineStr">
        <is>
          <t>ind</t>
        </is>
      </c>
      <c r="E115" s="5" t="inlineStr">
        <is>
          <t>eff_imp_bio</t>
        </is>
      </c>
      <c r="F115" s="5" t="n">
        <v>0.005</v>
      </c>
      <c r="G115" s="5" t="n">
        <v>0.005</v>
      </c>
      <c r="H115" s="5" t="n">
        <v>0.005</v>
      </c>
      <c r="I115" s="5" t="n">
        <v>0.005</v>
      </c>
      <c r="J115" s="5" t="inlineStr">
        <is>
          <t>Elasticities row 273</t>
        </is>
      </c>
    </row>
    <row r="116">
      <c r="A116" s="5" t="inlineStr">
        <is>
          <t>aei|ren|ind</t>
        </is>
      </c>
      <c r="B116" s="5" t="inlineStr">
        <is>
          <t>aei</t>
        </is>
      </c>
      <c r="C116" s="5" t="inlineStr">
        <is>
          <t>ren</t>
        </is>
      </c>
      <c r="D116" s="5" t="inlineStr">
        <is>
          <t>ind</t>
        </is>
      </c>
      <c r="E116" s="5" t="inlineStr">
        <is>
          <t>eff_imp_ren</t>
        </is>
      </c>
      <c r="F116" s="5" t="n">
        <v>0.005</v>
      </c>
      <c r="G116" s="5" t="n">
        <v>0.005</v>
      </c>
      <c r="H116" s="5" t="n">
        <v>0.005</v>
      </c>
      <c r="I116" s="5" t="n">
        <v>0.005</v>
      </c>
      <c r="J116" s="5" t="inlineStr">
        <is>
          <t>Elasticities row 274</t>
        </is>
      </c>
    </row>
    <row r="117">
      <c r="A117" s="5" t="inlineStr">
        <is>
          <t>aei|ecy|ind</t>
        </is>
      </c>
      <c r="B117" s="5" t="inlineStr">
        <is>
          <t>aei</t>
        </is>
      </c>
      <c r="C117" s="5" t="inlineStr">
        <is>
          <t>ecy</t>
        </is>
      </c>
      <c r="D117" s="5" t="inlineStr">
        <is>
          <t>ind</t>
        </is>
      </c>
      <c r="E117" s="5" t="inlineStr">
        <is>
          <t>eff_imp_ecy</t>
        </is>
      </c>
      <c r="F117" s="5" t="n">
        <v>0.005</v>
      </c>
      <c r="G117" s="5" t="n">
        <v>0.005</v>
      </c>
      <c r="H117" s="5" t="n">
        <v>0.005</v>
      </c>
      <c r="I117" s="5" t="n">
        <v>0.005</v>
      </c>
      <c r="J117" s="5" t="inlineStr">
        <is>
          <t>Elasticities row 275</t>
        </is>
      </c>
    </row>
    <row r="118">
      <c r="A118" s="5" t="inlineStr">
        <is>
          <t>aei|coa|srv</t>
        </is>
      </c>
      <c r="B118" s="5" t="inlineStr">
        <is>
          <t>aei</t>
        </is>
      </c>
      <c r="C118" s="5" t="inlineStr">
        <is>
          <t>coa</t>
        </is>
      </c>
      <c r="D118" s="5" t="inlineStr">
        <is>
          <t>srv</t>
        </is>
      </c>
      <c r="E118" s="5" t="inlineStr">
        <is>
          <t>eff_imp_coa</t>
        </is>
      </c>
      <c r="F118" s="5" t="n">
        <v>0.005</v>
      </c>
      <c r="G118" s="5" t="n">
        <v>0.005</v>
      </c>
      <c r="H118" s="5" t="n">
        <v>0.005</v>
      </c>
      <c r="I118" s="5" t="n">
        <v>0.005</v>
      </c>
      <c r="J118" s="5" t="inlineStr">
        <is>
          <t>Elasticities row 277</t>
        </is>
      </c>
    </row>
    <row r="119">
      <c r="A119" s="5" t="inlineStr">
        <is>
          <t>aei|nga|srv</t>
        </is>
      </c>
      <c r="B119" s="5" t="inlineStr">
        <is>
          <t>aei</t>
        </is>
      </c>
      <c r="C119" s="5" t="inlineStr">
        <is>
          <t>nga</t>
        </is>
      </c>
      <c r="D119" s="5" t="inlineStr">
        <is>
          <t>srv</t>
        </is>
      </c>
      <c r="E119" s="5" t="inlineStr">
        <is>
          <t>eff_imp_nga</t>
        </is>
      </c>
      <c r="F119" s="5" t="n">
        <v>0.01</v>
      </c>
      <c r="G119" s="5" t="n">
        <v>0.01</v>
      </c>
      <c r="H119" s="5" t="n">
        <v>0.01</v>
      </c>
      <c r="I119" s="5" t="n">
        <v>0.01</v>
      </c>
      <c r="J119" s="5" t="inlineStr">
        <is>
          <t>Elasticities row 278</t>
        </is>
      </c>
    </row>
    <row r="120">
      <c r="A120" s="5" t="inlineStr">
        <is>
          <t>aei|oil|srv</t>
        </is>
      </c>
      <c r="B120" s="5" t="inlineStr">
        <is>
          <t>aei</t>
        </is>
      </c>
      <c r="C120" s="5" t="inlineStr">
        <is>
          <t>oil</t>
        </is>
      </c>
      <c r="D120" s="5" t="inlineStr">
        <is>
          <t>srv</t>
        </is>
      </c>
      <c r="E120" s="5" t="inlineStr">
        <is>
          <t>eff_imp_oil</t>
        </is>
      </c>
      <c r="F120" s="5" t="n">
        <v>0.005</v>
      </c>
      <c r="G120" s="5" t="n">
        <v>0.005</v>
      </c>
      <c r="H120" s="5" t="n">
        <v>0.005</v>
      </c>
      <c r="I120" s="5" t="n">
        <v>0.005</v>
      </c>
      <c r="J120" s="5" t="inlineStr">
        <is>
          <t>Elasticities row 279</t>
        </is>
      </c>
    </row>
    <row r="121">
      <c r="A121" s="5" t="inlineStr">
        <is>
          <t>aei|bio|srv</t>
        </is>
      </c>
      <c r="B121" s="5" t="inlineStr">
        <is>
          <t>aei</t>
        </is>
      </c>
      <c r="C121" s="5" t="inlineStr">
        <is>
          <t>bio</t>
        </is>
      </c>
      <c r="D121" s="5" t="inlineStr">
        <is>
          <t>srv</t>
        </is>
      </c>
      <c r="E121" s="5" t="inlineStr">
        <is>
          <t>eff_imp_bio</t>
        </is>
      </c>
      <c r="F121" s="5" t="n">
        <v>0.005</v>
      </c>
      <c r="G121" s="5" t="n">
        <v>0.005</v>
      </c>
      <c r="H121" s="5" t="n">
        <v>0.005</v>
      </c>
      <c r="I121" s="5" t="n">
        <v>0.005</v>
      </c>
      <c r="J121" s="5" t="inlineStr">
        <is>
          <t>Elasticities row 280</t>
        </is>
      </c>
    </row>
    <row r="122">
      <c r="A122" s="5" t="inlineStr">
        <is>
          <t>aei|ren|srv</t>
        </is>
      </c>
      <c r="B122" s="5" t="inlineStr">
        <is>
          <t>aei</t>
        </is>
      </c>
      <c r="C122" s="5" t="inlineStr">
        <is>
          <t>ren</t>
        </is>
      </c>
      <c r="D122" s="5" t="inlineStr">
        <is>
          <t>srv</t>
        </is>
      </c>
      <c r="E122" s="5" t="inlineStr">
        <is>
          <t>eff_imp_ren</t>
        </is>
      </c>
      <c r="F122" s="5" t="n">
        <v>0.005</v>
      </c>
      <c r="G122" s="5" t="n">
        <v>0.005</v>
      </c>
      <c r="H122" s="5" t="n">
        <v>0.005</v>
      </c>
      <c r="I122" s="5" t="n">
        <v>0.005</v>
      </c>
      <c r="J122" s="5" t="inlineStr">
        <is>
          <t>Elasticities row 281</t>
        </is>
      </c>
    </row>
    <row r="123">
      <c r="A123" s="5" t="inlineStr">
        <is>
          <t>aei|ecy|srv</t>
        </is>
      </c>
      <c r="B123" s="5" t="inlineStr">
        <is>
          <t>aei</t>
        </is>
      </c>
      <c r="C123" s="5" t="inlineStr">
        <is>
          <t>ecy</t>
        </is>
      </c>
      <c r="D123" s="5" t="inlineStr">
        <is>
          <t>srv</t>
        </is>
      </c>
      <c r="E123" s="5" t="inlineStr">
        <is>
          <t>eff_imp_ecy</t>
        </is>
      </c>
      <c r="F123" s="5" t="n">
        <v>0.005</v>
      </c>
      <c r="G123" s="5" t="n">
        <v>0.005</v>
      </c>
      <c r="H123" s="5" t="n">
        <v>0.005</v>
      </c>
      <c r="I123" s="5" t="n">
        <v>0.005</v>
      </c>
      <c r="J123" s="5" t="inlineStr">
        <is>
          <t>Elasticities row 282</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U885"/>
  <sheetViews>
    <sheetView workbookViewId="0">
      <pane xSplit="5" ySplit="5" topLeftCell="F6" activePane="bottomRight" state="frozen"/>
      <selection pane="topRight"/>
      <selection pane="bottomLeft"/>
      <selection pane="bottomRight" activeCell="A1" sqref="A1"/>
    </sheetView>
  </sheetViews>
  <sheetFormatPr baseColWidth="8" defaultRowHeight="15"/>
  <sheetData>
    <row r="1">
      <c r="A1" s="5" t="inlineStr">
        <is>
          <t>Fuels:</t>
        </is>
      </c>
      <c r="F1" s="5" t="inlineStr">
        <is>
          <t>all</t>
        </is>
      </c>
      <c r="G1" s="5" t="inlineStr">
        <is>
          <t>Coal</t>
        </is>
      </c>
      <c r="Y1" s="5" t="inlineStr">
        <is>
          <t>Natural gas</t>
        </is>
      </c>
      <c r="AQ1" s="5" t="inlineStr">
        <is>
          <t>Gasoline</t>
        </is>
      </c>
      <c r="AW1" s="5" t="inlineStr">
        <is>
          <t>Diesel</t>
        </is>
      </c>
      <c r="BC1" s="5" t="inlineStr">
        <is>
          <t>LPG</t>
        </is>
      </c>
      <c r="BI1" s="5" t="inlineStr">
        <is>
          <t>Kerosene</t>
        </is>
      </c>
      <c r="BO1" s="5" t="inlineStr">
        <is>
          <t>Electricity</t>
        </is>
      </c>
      <c r="BY1" s="5" t="inlineStr">
        <is>
          <t>Biomass</t>
        </is>
      </c>
      <c r="CC1" s="5" t="inlineStr">
        <is>
          <t>Other oil products</t>
        </is>
      </c>
      <c r="CI1" s="5" t="inlineStr">
        <is>
          <t>Override - no subsidy</t>
        </is>
      </c>
      <c r="CK1" s="5" t="inlineStr">
        <is>
          <t>Producer subsidies</t>
        </is>
      </c>
      <c r="CP1" s="5" t="inlineStr">
        <is>
          <t>Portion from domestic production and costs</t>
        </is>
      </c>
      <c r="CT1" s="5" t="inlineStr">
        <is>
          <t>International prices</t>
        </is>
      </c>
    </row>
    <row r="2">
      <c r="A2" s="5" t="inlineStr">
        <is>
          <t>Sectors:</t>
        </is>
      </c>
      <c r="F2" s="5" t="inlineStr">
        <is>
          <t>all</t>
        </is>
      </c>
      <c r="G2" s="5" t="inlineStr">
        <is>
          <t>Power sector</t>
        </is>
      </c>
      <c r="M2" s="5" t="inlineStr">
        <is>
          <t>Industry</t>
        </is>
      </c>
      <c r="S2" s="5" t="inlineStr">
        <is>
          <t>Residential</t>
        </is>
      </c>
      <c r="Y2" s="5" t="inlineStr">
        <is>
          <t>Power sector</t>
        </is>
      </c>
      <c r="AE2" s="5" t="inlineStr">
        <is>
          <t>Industry</t>
        </is>
      </c>
      <c r="AK2" s="5" t="inlineStr">
        <is>
          <t>Residential sector</t>
        </is>
      </c>
      <c r="AQ2" s="5" t="inlineStr">
        <is>
          <t>All</t>
        </is>
      </c>
      <c r="AW2" s="5" t="inlineStr">
        <is>
          <t>All</t>
        </is>
      </c>
      <c r="BC2" s="5" t="inlineStr">
        <is>
          <t>All</t>
        </is>
      </c>
      <c r="BI2" s="5" t="inlineStr">
        <is>
          <t>All</t>
        </is>
      </c>
      <c r="BO2" s="5" t="inlineStr">
        <is>
          <t>Industry</t>
        </is>
      </c>
      <c r="BT2" s="5" t="inlineStr">
        <is>
          <t>Residential sector</t>
        </is>
      </c>
      <c r="BY2" s="5" t="inlineStr">
        <is>
          <t>All</t>
        </is>
      </c>
      <c r="CC2" s="5" t="inlineStr">
        <is>
          <t>All</t>
        </is>
      </c>
      <c r="CI2" s="5" t="inlineStr">
        <is>
          <t>Electricity</t>
        </is>
      </c>
      <c r="CK2" s="5" t="inlineStr">
        <is>
          <t>Biomass</t>
        </is>
      </c>
      <c r="CL2" s="5" t="inlineStr">
        <is>
          <t>Coal</t>
        </is>
      </c>
      <c r="CM2" s="5" t="inlineStr">
        <is>
          <t>Electricity</t>
        </is>
      </c>
      <c r="CN2" s="5" t="inlineStr">
        <is>
          <t>Natural gas</t>
        </is>
      </c>
      <c r="CO2" s="5" t="inlineStr">
        <is>
          <t>Oil</t>
        </is>
      </c>
      <c r="CP2" s="5" t="inlineStr">
        <is>
          <t>Coal</t>
        </is>
      </c>
      <c r="CR2" s="5" t="inlineStr">
        <is>
          <t>Natural gas</t>
        </is>
      </c>
      <c r="CT2" s="5" t="inlineStr">
        <is>
          <t>Coal</t>
        </is>
      </c>
      <c r="CU2" s="5" t="inlineStr">
        <is>
          <t>Natural gas</t>
        </is>
      </c>
    </row>
    <row r="3">
      <c r="A3" s="5" t="inlineStr">
        <is>
          <t>Indicators:</t>
        </is>
      </c>
      <c r="F3" s="5" t="inlineStr">
        <is>
          <t>General 
VAT rate</t>
        </is>
      </c>
      <c r="G3" s="5" t="inlineStr">
        <is>
          <t>supply cost</t>
        </is>
      </c>
      <c r="H3" s="5" t="inlineStr">
        <is>
          <t>margin over int. prices</t>
        </is>
      </c>
      <c r="I3" s="5" t="inlineStr">
        <is>
          <t>Excise &amp; other taxes</t>
        </is>
      </c>
      <c r="J3" s="5" t="inlineStr">
        <is>
          <t>retail price</t>
        </is>
      </c>
      <c r="K3" s="5" t="inlineStr">
        <is>
          <t>VAT rate</t>
        </is>
      </c>
      <c r="L3" s="5" t="inlineStr">
        <is>
          <t>Passthrough</t>
        </is>
      </c>
      <c r="M3" s="5" t="inlineStr">
        <is>
          <t>supply cost</t>
        </is>
      </c>
      <c r="N3" s="5" t="inlineStr">
        <is>
          <t>margin over int. prices</t>
        </is>
      </c>
      <c r="O3" s="5" t="inlineStr">
        <is>
          <t>Excise &amp; other taxes</t>
        </is>
      </c>
      <c r="P3" s="5" t="inlineStr">
        <is>
          <t>retail price</t>
        </is>
      </c>
      <c r="Q3" s="5" t="inlineStr">
        <is>
          <t>VAT rate</t>
        </is>
      </c>
      <c r="R3" s="5" t="inlineStr">
        <is>
          <t>Passthrough</t>
        </is>
      </c>
      <c r="S3" s="5" t="inlineStr">
        <is>
          <t>supply cost</t>
        </is>
      </c>
      <c r="T3" s="5" t="inlineStr">
        <is>
          <t>margin over int. prices</t>
        </is>
      </c>
      <c r="U3" s="5" t="inlineStr">
        <is>
          <t>Excise &amp; other taxes</t>
        </is>
      </c>
      <c r="V3" s="5" t="inlineStr">
        <is>
          <t>retail price</t>
        </is>
      </c>
      <c r="W3" s="5" t="inlineStr">
        <is>
          <t>VAT rate</t>
        </is>
      </c>
      <c r="X3" s="5" t="inlineStr">
        <is>
          <t>Passthrough</t>
        </is>
      </c>
      <c r="Y3" s="5" t="inlineStr">
        <is>
          <t>supply cost</t>
        </is>
      </c>
      <c r="Z3" s="5" t="inlineStr">
        <is>
          <t>margin over int. prices</t>
        </is>
      </c>
      <c r="AA3" s="5" t="inlineStr">
        <is>
          <t>Excise &amp; other taxes</t>
        </is>
      </c>
      <c r="AB3" s="5" t="inlineStr">
        <is>
          <t>retail price</t>
        </is>
      </c>
      <c r="AC3" s="5" t="inlineStr">
        <is>
          <t>VAT rate</t>
        </is>
      </c>
      <c r="AD3" s="5" t="inlineStr">
        <is>
          <t>Passthrough</t>
        </is>
      </c>
      <c r="AE3" s="5" t="inlineStr">
        <is>
          <t>supply cost</t>
        </is>
      </c>
      <c r="AF3" s="5" t="inlineStr">
        <is>
          <t>margin over int. prices</t>
        </is>
      </c>
      <c r="AG3" s="5" t="inlineStr">
        <is>
          <t>Excise &amp; other taxes</t>
        </is>
      </c>
      <c r="AH3" s="5" t="inlineStr">
        <is>
          <t>retail price</t>
        </is>
      </c>
      <c r="AI3" s="5" t="inlineStr">
        <is>
          <t>VAT rate</t>
        </is>
      </c>
      <c r="AJ3" s="5" t="inlineStr">
        <is>
          <t>Passthrough</t>
        </is>
      </c>
      <c r="AK3" s="5" t="inlineStr">
        <is>
          <t>supply cost</t>
        </is>
      </c>
      <c r="AL3" s="5" t="inlineStr">
        <is>
          <t>margin over int. prices</t>
        </is>
      </c>
      <c r="AM3" s="5" t="inlineStr">
        <is>
          <t>Excise &amp; other taxes</t>
        </is>
      </c>
      <c r="AN3" s="5" t="inlineStr">
        <is>
          <t>retail price</t>
        </is>
      </c>
      <c r="AO3" s="5" t="inlineStr">
        <is>
          <t>VAT rate</t>
        </is>
      </c>
      <c r="AP3" s="5" t="inlineStr">
        <is>
          <t>Passthrough</t>
        </is>
      </c>
      <c r="AQ3" s="5" t="inlineStr">
        <is>
          <t>supply cost</t>
        </is>
      </c>
      <c r="AR3" s="5" t="inlineStr">
        <is>
          <t>margin over int. prices</t>
        </is>
      </c>
      <c r="AS3" s="5" t="inlineStr">
        <is>
          <t>Excise &amp; other taxes</t>
        </is>
      </c>
      <c r="AT3" s="5" t="inlineStr">
        <is>
          <t>retail price</t>
        </is>
      </c>
      <c r="AU3" s="5" t="inlineStr">
        <is>
          <t>VAT rate</t>
        </is>
      </c>
      <c r="AV3" s="5" t="inlineStr">
        <is>
          <t>Passthrough</t>
        </is>
      </c>
      <c r="AW3" s="5" t="inlineStr">
        <is>
          <t>supply cost</t>
        </is>
      </c>
      <c r="AX3" s="5" t="inlineStr">
        <is>
          <t>margin over int. prices</t>
        </is>
      </c>
      <c r="AY3" s="5" t="inlineStr">
        <is>
          <t>Excise &amp; other taxes</t>
        </is>
      </c>
      <c r="AZ3" s="5" t="inlineStr">
        <is>
          <t>retail price</t>
        </is>
      </c>
      <c r="BA3" s="5" t="inlineStr">
        <is>
          <t>VAT rate</t>
        </is>
      </c>
      <c r="BB3" s="5" t="inlineStr">
        <is>
          <t>Passthrough</t>
        </is>
      </c>
      <c r="BC3" s="5" t="inlineStr">
        <is>
          <t>supply cost</t>
        </is>
      </c>
      <c r="BD3" s="5" t="inlineStr">
        <is>
          <t>margin over int. prices</t>
        </is>
      </c>
      <c r="BE3" s="5" t="inlineStr">
        <is>
          <t>Excise &amp; other taxes</t>
        </is>
      </c>
      <c r="BF3" s="5" t="inlineStr">
        <is>
          <t>retail price</t>
        </is>
      </c>
      <c r="BG3" s="5" t="inlineStr">
        <is>
          <t>VAT rate</t>
        </is>
      </c>
      <c r="BH3" s="5" t="inlineStr">
        <is>
          <t>Passthrough</t>
        </is>
      </c>
      <c r="BI3" s="5" t="inlineStr">
        <is>
          <t>supply cost</t>
        </is>
      </c>
      <c r="BJ3" s="5" t="inlineStr">
        <is>
          <t>margin over int. prices</t>
        </is>
      </c>
      <c r="BK3" s="5" t="inlineStr">
        <is>
          <t>Excise &amp; other taxes</t>
        </is>
      </c>
      <c r="BL3" s="5" t="inlineStr">
        <is>
          <t>retail price</t>
        </is>
      </c>
      <c r="BM3" s="5" t="inlineStr">
        <is>
          <t>VAT rate</t>
        </is>
      </c>
      <c r="BN3" s="5" t="inlineStr">
        <is>
          <t>Passthrough</t>
        </is>
      </c>
      <c r="BO3" s="5" t="inlineStr">
        <is>
          <t>supply cost</t>
        </is>
      </c>
      <c r="BP3" s="5" t="inlineStr">
        <is>
          <t>Excise &amp; other taxes</t>
        </is>
      </c>
      <c r="BQ3" s="5" t="inlineStr">
        <is>
          <t>retail price</t>
        </is>
      </c>
      <c r="BR3" s="5" t="inlineStr">
        <is>
          <t>VAT rate</t>
        </is>
      </c>
      <c r="BS3" s="5" t="inlineStr">
        <is>
          <t>Passthrough</t>
        </is>
      </c>
      <c r="BT3" s="5" t="inlineStr">
        <is>
          <t>supply cost</t>
        </is>
      </c>
      <c r="BU3" s="5" t="inlineStr">
        <is>
          <t>Excise &amp; other taxes</t>
        </is>
      </c>
      <c r="BV3" s="5" t="inlineStr">
        <is>
          <t>retail price</t>
        </is>
      </c>
      <c r="BW3" s="5" t="inlineStr">
        <is>
          <t>VAT rate</t>
        </is>
      </c>
      <c r="BX3" s="5" t="inlineStr">
        <is>
          <t>Passthrough</t>
        </is>
      </c>
      <c r="BY3" s="5" t="inlineStr">
        <is>
          <t>supply cost</t>
        </is>
      </c>
      <c r="BZ3" s="5" t="inlineStr">
        <is>
          <t>Excise &amp; other taxes</t>
        </is>
      </c>
      <c r="CA3" s="5" t="inlineStr">
        <is>
          <t>retail price</t>
        </is>
      </c>
      <c r="CB3" s="5" t="inlineStr">
        <is>
          <t>VAT rate</t>
        </is>
      </c>
      <c r="CC3" s="5" t="inlineStr">
        <is>
          <t>supply cost</t>
        </is>
      </c>
      <c r="CD3" s="5" t="inlineStr">
        <is>
          <t>margin over int. prices</t>
        </is>
      </c>
      <c r="CE3" s="5" t="inlineStr">
        <is>
          <t>Excise &amp; other taxes</t>
        </is>
      </c>
      <c r="CF3" s="5" t="inlineStr">
        <is>
          <t>retail price</t>
        </is>
      </c>
      <c r="CG3" s="5" t="inlineStr">
        <is>
          <t>VAT rate</t>
        </is>
      </c>
      <c r="CH3" s="5" t="inlineStr">
        <is>
          <t>Passthrough</t>
        </is>
      </c>
      <c r="CI3" s="5" t="inlineStr">
        <is>
          <t>Residential</t>
        </is>
      </c>
      <c r="CJ3" s="5" t="inlineStr">
        <is>
          <t>Industry</t>
        </is>
      </c>
      <c r="CK3" s="5" t="inlineStr">
        <is>
          <t>All</t>
        </is>
      </c>
      <c r="CL3" s="5" t="inlineStr">
        <is>
          <t>All</t>
        </is>
      </c>
      <c r="CM3" s="5" t="inlineStr">
        <is>
          <t>All</t>
        </is>
      </c>
      <c r="CN3" s="5" t="inlineStr">
        <is>
          <t>All</t>
        </is>
      </c>
      <c r="CO3" s="5" t="inlineStr">
        <is>
          <t>All</t>
        </is>
      </c>
      <c r="CP3" s="5" t="inlineStr">
        <is>
          <t>Portion from dom. prod.</t>
        </is>
      </c>
      <c r="CQ3" s="5" t="inlineStr">
        <is>
          <t>Dom. prod. costs</t>
        </is>
      </c>
      <c r="CR3" s="5" t="inlineStr">
        <is>
          <t>Portion from dom. prod.</t>
        </is>
      </c>
      <c r="CS3" s="5" t="inlineStr">
        <is>
          <t>Dom. prod. costs</t>
        </is>
      </c>
    </row>
    <row r="4">
      <c r="A4" s="5" t="inlineStr">
        <is>
          <t>Units:</t>
        </is>
      </c>
      <c r="F4" s="5" t="inlineStr">
        <is>
          <t>%</t>
        </is>
      </c>
      <c r="G4" s="5" t="inlineStr">
        <is>
          <t>current USD/GJ</t>
        </is>
      </c>
      <c r="H4" s="5" t="inlineStr">
        <is>
          <t>current USD/GJ</t>
        </is>
      </c>
      <c r="I4" s="5" t="inlineStr">
        <is>
          <t>current USD/GJ</t>
        </is>
      </c>
      <c r="J4" s="5" t="inlineStr">
        <is>
          <t>current USD/GJ</t>
        </is>
      </c>
      <c r="K4" s="5" t="inlineStr">
        <is>
          <t>%</t>
        </is>
      </c>
      <c r="L4" s="5" t="inlineStr">
        <is>
          <t>%</t>
        </is>
      </c>
      <c r="M4" s="5" t="inlineStr">
        <is>
          <t>current USD/GJ</t>
        </is>
      </c>
      <c r="N4" s="5" t="inlineStr">
        <is>
          <t>current USD/GJ</t>
        </is>
      </c>
      <c r="O4" s="5" t="inlineStr">
        <is>
          <t>current USD/GJ</t>
        </is>
      </c>
      <c r="P4" s="5" t="inlineStr">
        <is>
          <t>current USD/GJ</t>
        </is>
      </c>
      <c r="Q4" s="5" t="inlineStr">
        <is>
          <t>%</t>
        </is>
      </c>
      <c r="R4" s="5" t="inlineStr">
        <is>
          <t>%</t>
        </is>
      </c>
      <c r="S4" s="5" t="inlineStr">
        <is>
          <t>current USD/GJ</t>
        </is>
      </c>
      <c r="T4" s="5" t="inlineStr">
        <is>
          <t>current USD/GJ</t>
        </is>
      </c>
      <c r="U4" s="5" t="inlineStr">
        <is>
          <t>current USD/GJ</t>
        </is>
      </c>
      <c r="V4" s="5" t="inlineStr">
        <is>
          <t>current USD/GJ</t>
        </is>
      </c>
      <c r="W4" s="5" t="inlineStr">
        <is>
          <t>%</t>
        </is>
      </c>
      <c r="X4" s="5" t="inlineStr">
        <is>
          <t>%</t>
        </is>
      </c>
      <c r="Y4" s="5" t="inlineStr">
        <is>
          <t>current USD/GJ</t>
        </is>
      </c>
      <c r="Z4" s="5" t="inlineStr">
        <is>
          <t>current USD/GJ</t>
        </is>
      </c>
      <c r="AA4" s="5" t="inlineStr">
        <is>
          <t>current USD/GJ</t>
        </is>
      </c>
      <c r="AB4" s="5" t="inlineStr">
        <is>
          <t>current USD/GJ</t>
        </is>
      </c>
      <c r="AC4" s="5" t="inlineStr">
        <is>
          <t>%</t>
        </is>
      </c>
      <c r="AD4" s="5" t="inlineStr">
        <is>
          <t>%</t>
        </is>
      </c>
      <c r="AE4" s="5" t="inlineStr">
        <is>
          <t>current USD/GJ</t>
        </is>
      </c>
      <c r="AF4" s="5" t="inlineStr">
        <is>
          <t>current USD/GJ</t>
        </is>
      </c>
      <c r="AG4" s="5" t="inlineStr">
        <is>
          <t>current USD/GJ</t>
        </is>
      </c>
      <c r="AH4" s="5" t="inlineStr">
        <is>
          <t>current USD/GJ</t>
        </is>
      </c>
      <c r="AI4" s="5" t="inlineStr">
        <is>
          <t>%</t>
        </is>
      </c>
      <c r="AJ4" s="5" t="inlineStr">
        <is>
          <t>%</t>
        </is>
      </c>
      <c r="AK4" s="5" t="inlineStr">
        <is>
          <t>current USD/GJ</t>
        </is>
      </c>
      <c r="AL4" s="5" t="inlineStr">
        <is>
          <t>current USD/GJ</t>
        </is>
      </c>
      <c r="AM4" s="5" t="inlineStr">
        <is>
          <t>current USD/GJ</t>
        </is>
      </c>
      <c r="AN4" s="5" t="inlineStr">
        <is>
          <t>current USD/GJ</t>
        </is>
      </c>
      <c r="AO4" s="5" t="inlineStr">
        <is>
          <t>%</t>
        </is>
      </c>
      <c r="AP4" s="5" t="inlineStr">
        <is>
          <t>%</t>
        </is>
      </c>
      <c r="AQ4" s="5" t="inlineStr">
        <is>
          <t>current USD/lit</t>
        </is>
      </c>
      <c r="AR4" s="5" t="inlineStr">
        <is>
          <t>current USD/lit</t>
        </is>
      </c>
      <c r="AS4" s="5" t="inlineStr">
        <is>
          <t>current USD/lit</t>
        </is>
      </c>
      <c r="AT4" s="5" t="inlineStr">
        <is>
          <t>current USD/lit</t>
        </is>
      </c>
      <c r="AU4" s="5" t="inlineStr">
        <is>
          <t>%</t>
        </is>
      </c>
      <c r="AV4" s="5" t="inlineStr">
        <is>
          <t>%</t>
        </is>
      </c>
      <c r="AW4" s="5" t="inlineStr">
        <is>
          <t>current USD/lit</t>
        </is>
      </c>
      <c r="AX4" s="5" t="inlineStr">
        <is>
          <t>current USD/lit</t>
        </is>
      </c>
      <c r="AY4" s="5" t="inlineStr">
        <is>
          <t>current USD/lit</t>
        </is>
      </c>
      <c r="AZ4" s="5" t="inlineStr">
        <is>
          <t>current USD/lit</t>
        </is>
      </c>
      <c r="BA4" s="5" t="inlineStr">
        <is>
          <t>%</t>
        </is>
      </c>
      <c r="BB4" s="5" t="inlineStr">
        <is>
          <t>%</t>
        </is>
      </c>
      <c r="BC4" s="5" t="inlineStr">
        <is>
          <t>current USD/lit</t>
        </is>
      </c>
      <c r="BD4" s="5" t="inlineStr">
        <is>
          <t>current USD/lit</t>
        </is>
      </c>
      <c r="BE4" s="5" t="inlineStr">
        <is>
          <t>current USD/lit</t>
        </is>
      </c>
      <c r="BF4" s="5" t="inlineStr">
        <is>
          <t>current USD/lit</t>
        </is>
      </c>
      <c r="BG4" s="5" t="inlineStr">
        <is>
          <t>%</t>
        </is>
      </c>
      <c r="BH4" s="5" t="inlineStr">
        <is>
          <t>%</t>
        </is>
      </c>
      <c r="BI4" s="5" t="inlineStr">
        <is>
          <t>current USD/lit</t>
        </is>
      </c>
      <c r="BJ4" s="5" t="inlineStr">
        <is>
          <t>current USD/lit</t>
        </is>
      </c>
      <c r="BK4" s="5" t="inlineStr">
        <is>
          <t>current USD/lit</t>
        </is>
      </c>
      <c r="BL4" s="5" t="inlineStr">
        <is>
          <t>current USD/lit</t>
        </is>
      </c>
      <c r="BM4" s="5" t="inlineStr">
        <is>
          <t>%</t>
        </is>
      </c>
      <c r="BN4" s="5" t="inlineStr">
        <is>
          <t>%</t>
        </is>
      </c>
      <c r="BO4" s="5" t="inlineStr">
        <is>
          <t>current USD/kWh</t>
        </is>
      </c>
      <c r="BP4" s="5" t="inlineStr">
        <is>
          <t>current USD/kWh</t>
        </is>
      </c>
      <c r="BQ4" s="5" t="inlineStr">
        <is>
          <t>current USD/kWh</t>
        </is>
      </c>
      <c r="BR4" s="5" t="inlineStr">
        <is>
          <t>%</t>
        </is>
      </c>
      <c r="BS4" s="5" t="inlineStr">
        <is>
          <t>%</t>
        </is>
      </c>
      <c r="BT4" s="5" t="inlineStr">
        <is>
          <t>current USD/kWh</t>
        </is>
      </c>
      <c r="BU4" s="5" t="inlineStr">
        <is>
          <t>current USD/kWh</t>
        </is>
      </c>
      <c r="BV4" s="5" t="inlineStr">
        <is>
          <t>current USD/kWh</t>
        </is>
      </c>
      <c r="BW4" s="5" t="inlineStr">
        <is>
          <t>%</t>
        </is>
      </c>
      <c r="BX4" s="5" t="inlineStr">
        <is>
          <t>%</t>
        </is>
      </c>
      <c r="BY4" s="5" t="inlineStr">
        <is>
          <t>current USD/GJ</t>
        </is>
      </c>
      <c r="BZ4" s="5" t="inlineStr">
        <is>
          <t>current USD/GJ</t>
        </is>
      </c>
      <c r="CA4" s="5" t="inlineStr">
        <is>
          <t>current USD/GJ</t>
        </is>
      </c>
      <c r="CB4" s="5" t="inlineStr">
        <is>
          <t>%</t>
        </is>
      </c>
      <c r="CC4" s="5" t="inlineStr">
        <is>
          <t>current USD/bbl</t>
        </is>
      </c>
      <c r="CD4" s="5" t="inlineStr">
        <is>
          <t>current USD/bbl</t>
        </is>
      </c>
      <c r="CE4" s="5" t="inlineStr">
        <is>
          <t>current USD/bbl</t>
        </is>
      </c>
      <c r="CF4" s="5" t="inlineStr">
        <is>
          <t>current USD/bbl</t>
        </is>
      </c>
      <c r="CG4" s="5" t="inlineStr">
        <is>
          <t>%</t>
        </is>
      </c>
      <c r="CH4" s="5" t="inlineStr">
        <is>
          <t>%</t>
        </is>
      </c>
      <c r="CI4" s="5" t="inlineStr">
        <is>
          <t>1 = override</t>
        </is>
      </c>
      <c r="CK4" s="5" t="inlineStr">
        <is>
          <t>USD bln</t>
        </is>
      </c>
      <c r="CL4" s="5" t="inlineStr">
        <is>
          <t>USD bln</t>
        </is>
      </c>
      <c r="CM4" s="5" t="inlineStr">
        <is>
          <t>USD bln</t>
        </is>
      </c>
      <c r="CN4" s="5" t="inlineStr">
        <is>
          <t>USD bln</t>
        </is>
      </c>
      <c r="CO4" s="5" t="inlineStr">
        <is>
          <t>USD bln</t>
        </is>
      </c>
      <c r="CP4" s="5" t="inlineStr">
        <is>
          <t>%</t>
        </is>
      </c>
      <c r="CQ4" s="5" t="inlineStr">
        <is>
          <t>$/GJ</t>
        </is>
      </c>
      <c r="CR4" s="5" t="inlineStr">
        <is>
          <t>%</t>
        </is>
      </c>
      <c r="CS4" s="5" t="inlineStr">
        <is>
          <t>$/GJ</t>
        </is>
      </c>
      <c r="CT4" s="5" t="inlineStr">
        <is>
          <t>$/GJ</t>
        </is>
      </c>
      <c r="CU4" s="5" t="inlineStr">
        <is>
          <t>$/GJ</t>
        </is>
      </c>
    </row>
    <row r="5">
      <c r="A5" s="7" t="inlineStr">
        <is>
          <t>country_year</t>
        </is>
      </c>
      <c r="B5" s="7" t="inlineStr">
        <is>
          <t>countrycode_weo</t>
        </is>
      </c>
      <c r="C5" s="7" t="inlineStr">
        <is>
          <t>countrycode</t>
        </is>
      </c>
      <c r="D5" s="7" t="inlineStr">
        <is>
          <t>countryname</t>
        </is>
      </c>
      <c r="E5" s="7" t="inlineStr">
        <is>
          <t>year</t>
        </is>
      </c>
      <c r="F5" s="7" t="inlineStr">
        <is>
          <t>VAT_WEO</t>
        </is>
      </c>
      <c r="G5" s="7" t="inlineStr">
        <is>
          <t>mit.sp.coa.pow</t>
        </is>
      </c>
      <c r="H5" s="7" t="inlineStr">
        <is>
          <t>mit.mar.coa.pow</t>
        </is>
      </c>
      <c r="I5" s="7" t="inlineStr">
        <is>
          <t>mit.txo.coa.pow</t>
        </is>
      </c>
      <c r="J5" s="7" t="inlineStr">
        <is>
          <t>mit.rp.coa.pow</t>
        </is>
      </c>
      <c r="K5" s="7" t="inlineStr">
        <is>
          <t>mit.vatrate.coa.pow</t>
        </is>
      </c>
      <c r="L5" s="7" t="inlineStr">
        <is>
          <t>mit.ps.coa.pow</t>
        </is>
      </c>
      <c r="M5" s="7" t="inlineStr">
        <is>
          <t>mit.sp.coa.ind</t>
        </is>
      </c>
      <c r="N5" s="7" t="inlineStr">
        <is>
          <t>mit.mar.coa.ind</t>
        </is>
      </c>
      <c r="O5" s="7" t="inlineStr">
        <is>
          <t>mit.txo.coa.ind</t>
        </is>
      </c>
      <c r="P5" s="7" t="inlineStr">
        <is>
          <t>mit.rp.coa.ind</t>
        </is>
      </c>
      <c r="Q5" s="7" t="inlineStr">
        <is>
          <t>mit.vatrate.coa.ind</t>
        </is>
      </c>
      <c r="R5" s="7" t="inlineStr">
        <is>
          <t>mit.ps.coa.ind</t>
        </is>
      </c>
      <c r="S5" s="7" t="inlineStr">
        <is>
          <t>mit.sp.coa.res</t>
        </is>
      </c>
      <c r="T5" s="7" t="inlineStr">
        <is>
          <t>mit.mar.coa.res</t>
        </is>
      </c>
      <c r="U5" s="7" t="inlineStr">
        <is>
          <t>mit.txo.coa.res</t>
        </is>
      </c>
      <c r="V5" s="7" t="inlineStr">
        <is>
          <t>mit.rp.coa.res</t>
        </is>
      </c>
      <c r="W5" s="7" t="inlineStr">
        <is>
          <t>mit.vatrate.coa.res</t>
        </is>
      </c>
      <c r="X5" s="7" t="inlineStr">
        <is>
          <t>mit.ps.coa.res</t>
        </is>
      </c>
      <c r="Y5" s="7" t="inlineStr">
        <is>
          <t>mit.sp.nga.pow</t>
        </is>
      </c>
      <c r="Z5" s="7" t="inlineStr">
        <is>
          <t>mit.mar.nga.pow</t>
        </is>
      </c>
      <c r="AA5" s="7" t="inlineStr">
        <is>
          <t>mit.txo.nga.pow</t>
        </is>
      </c>
      <c r="AB5" s="7" t="inlineStr">
        <is>
          <t>mit.rp.nga.pow</t>
        </is>
      </c>
      <c r="AC5" s="7" t="inlineStr">
        <is>
          <t>mit.vatrate.nga.pow</t>
        </is>
      </c>
      <c r="AD5" s="7" t="inlineStr">
        <is>
          <t>mit.ps.nga.pow</t>
        </is>
      </c>
      <c r="AE5" s="7" t="inlineStr">
        <is>
          <t>mit.sp.nga.ind</t>
        </is>
      </c>
      <c r="AF5" s="7" t="inlineStr">
        <is>
          <t>mit.mar.nga.ind</t>
        </is>
      </c>
      <c r="AG5" s="7" t="inlineStr">
        <is>
          <t>mit.txo.nga.ind</t>
        </is>
      </c>
      <c r="AH5" s="7" t="inlineStr">
        <is>
          <t>mit.rp.nga.ind</t>
        </is>
      </c>
      <c r="AI5" s="7" t="inlineStr">
        <is>
          <t>mit.vatrate.nga.ind</t>
        </is>
      </c>
      <c r="AJ5" s="7" t="inlineStr">
        <is>
          <t>mit.ps.nga.ind</t>
        </is>
      </c>
      <c r="AK5" s="7" t="inlineStr">
        <is>
          <t>mit.sp.nga.res</t>
        </is>
      </c>
      <c r="AL5" s="7" t="inlineStr">
        <is>
          <t>mit.mar.nga.res</t>
        </is>
      </c>
      <c r="AM5" s="7" t="inlineStr">
        <is>
          <t>mit.txo.nga.res</t>
        </is>
      </c>
      <c r="AN5" s="7" t="inlineStr">
        <is>
          <t>mit.rp.nga.res</t>
        </is>
      </c>
      <c r="AO5" s="7" t="inlineStr">
        <is>
          <t>mit.vatrate.nga.res</t>
        </is>
      </c>
      <c r="AP5" s="7" t="inlineStr">
        <is>
          <t>mit.ps.nga.res</t>
        </is>
      </c>
      <c r="AQ5" s="7" t="inlineStr">
        <is>
          <t>mit.sp.gso.all</t>
        </is>
      </c>
      <c r="AR5" s="7" t="inlineStr">
        <is>
          <t>mit.mar.gso.all</t>
        </is>
      </c>
      <c r="AS5" s="7" t="inlineStr">
        <is>
          <t>mit.txo.gso.all</t>
        </is>
      </c>
      <c r="AT5" s="7" t="inlineStr">
        <is>
          <t>mit.rp.gso.all</t>
        </is>
      </c>
      <c r="AU5" s="7" t="inlineStr">
        <is>
          <t>mit.vatrate.gso.all</t>
        </is>
      </c>
      <c r="AV5" s="7" t="inlineStr">
        <is>
          <t>mit.ps.gso.all</t>
        </is>
      </c>
      <c r="AW5" s="7" t="inlineStr">
        <is>
          <t>mit.sp.die.all</t>
        </is>
      </c>
      <c r="AX5" s="7" t="inlineStr">
        <is>
          <t>mit.mar.die.all</t>
        </is>
      </c>
      <c r="AY5" s="7" t="inlineStr">
        <is>
          <t>mit.txo.die.all</t>
        </is>
      </c>
      <c r="AZ5" s="7" t="inlineStr">
        <is>
          <t>mit.rp.die.all</t>
        </is>
      </c>
      <c r="BA5" s="7" t="inlineStr">
        <is>
          <t>mit.vatrate.die.all</t>
        </is>
      </c>
      <c r="BB5" s="7" t="inlineStr">
        <is>
          <t>mit.ps.die.all</t>
        </is>
      </c>
      <c r="BC5" s="7" t="inlineStr">
        <is>
          <t>mit.sp.lpg.all</t>
        </is>
      </c>
      <c r="BD5" s="7" t="inlineStr">
        <is>
          <t>mit.mar.lpg.all</t>
        </is>
      </c>
      <c r="BE5" s="7" t="inlineStr">
        <is>
          <t>mit.txo.lpg.all</t>
        </is>
      </c>
      <c r="BF5" s="7" t="inlineStr">
        <is>
          <t>mit.rp.lpg.all</t>
        </is>
      </c>
      <c r="BG5" s="7" t="inlineStr">
        <is>
          <t>mit.vatrate.lpg.all</t>
        </is>
      </c>
      <c r="BH5" s="7" t="inlineStr">
        <is>
          <t>mit.ps.lpg.all</t>
        </is>
      </c>
      <c r="BI5" s="7" t="inlineStr">
        <is>
          <t>mit.sp.ker.all</t>
        </is>
      </c>
      <c r="BJ5" s="7" t="inlineStr">
        <is>
          <t>mit.mar.ker.all</t>
        </is>
      </c>
      <c r="BK5" s="7" t="inlineStr">
        <is>
          <t>mit.txo.ker.all</t>
        </is>
      </c>
      <c r="BL5" s="7" t="inlineStr">
        <is>
          <t>mit.rp.ker.all</t>
        </is>
      </c>
      <c r="BM5" s="7" t="inlineStr">
        <is>
          <t>mit.vatrate.ker.all</t>
        </is>
      </c>
      <c r="BN5" s="7" t="inlineStr">
        <is>
          <t>mit.ps.ker.all</t>
        </is>
      </c>
      <c r="BO5" s="7" t="inlineStr">
        <is>
          <t>mit.sp.ecy.ind</t>
        </is>
      </c>
      <c r="BP5" s="7" t="inlineStr">
        <is>
          <t>mit.txo.ecy.ind</t>
        </is>
      </c>
      <c r="BQ5" s="7" t="inlineStr">
        <is>
          <t>mit.rp.ecy.ind</t>
        </is>
      </c>
      <c r="BR5" s="7" t="inlineStr">
        <is>
          <t>mit.vatrate.ecy.ind</t>
        </is>
      </c>
      <c r="BS5" s="7" t="inlineStr">
        <is>
          <t>mit.ps.ecy.ind</t>
        </is>
      </c>
      <c r="BT5" s="7" t="inlineStr">
        <is>
          <t>mit.sp.ecy.res</t>
        </is>
      </c>
      <c r="BU5" s="7" t="inlineStr">
        <is>
          <t>mit.txo.ecy.res</t>
        </is>
      </c>
      <c r="BV5" s="7" t="inlineStr">
        <is>
          <t>mit.rp.ecy.res</t>
        </is>
      </c>
      <c r="BW5" s="7" t="inlineStr">
        <is>
          <t>mit.vatrate.ecy.res</t>
        </is>
      </c>
      <c r="BX5" s="7" t="inlineStr">
        <is>
          <t>mit.ps.ecy.res</t>
        </is>
      </c>
      <c r="BY5" s="7" t="inlineStr">
        <is>
          <t>mit.sp.bio.all</t>
        </is>
      </c>
      <c r="BZ5" s="7" t="inlineStr">
        <is>
          <t>mit.txo.bio.all</t>
        </is>
      </c>
      <c r="CA5" s="7" t="inlineStr">
        <is>
          <t>mit.rp.bio.all</t>
        </is>
      </c>
      <c r="CB5" s="7" t="inlineStr">
        <is>
          <t>mit.vatrate.bio.all</t>
        </is>
      </c>
      <c r="CC5" s="7" t="inlineStr">
        <is>
          <t>mit.sp.oop.all</t>
        </is>
      </c>
      <c r="CD5" s="7" t="inlineStr">
        <is>
          <t>mit.mar.oop.all</t>
        </is>
      </c>
      <c r="CE5" s="7" t="inlineStr">
        <is>
          <t>mit.txo.oop.all</t>
        </is>
      </c>
      <c r="CF5" s="7" t="inlineStr">
        <is>
          <t>mit.rp.oop.all</t>
        </is>
      </c>
      <c r="CG5" s="7" t="inlineStr">
        <is>
          <t>mit.vatrate.oop.all</t>
        </is>
      </c>
      <c r="CH5" s="7" t="inlineStr">
        <is>
          <t>mit.ps.oop.all</t>
        </is>
      </c>
      <c r="CI5" s="7" t="inlineStr">
        <is>
          <t>mit.sub.or.ecy.res</t>
        </is>
      </c>
      <c r="CJ5" s="7" t="inlineStr">
        <is>
          <t>mit.sub.or.ecy.ind</t>
        </is>
      </c>
      <c r="CK5" s="7" t="inlineStr">
        <is>
          <t>mit.pros.bio.all</t>
        </is>
      </c>
      <c r="CL5" s="7" t="inlineStr">
        <is>
          <t>mit.pros.coa.all</t>
        </is>
      </c>
      <c r="CM5" s="7" t="inlineStr">
        <is>
          <t>mit.pros.ecy.all</t>
        </is>
      </c>
      <c r="CN5" s="7" t="inlineStr">
        <is>
          <t>mit.pros.nga.all</t>
        </is>
      </c>
      <c r="CO5" s="7" t="inlineStr">
        <is>
          <t>mit.pros.oil.all</t>
        </is>
      </c>
      <c r="CP5" s="7" t="inlineStr">
        <is>
          <t>mit.coa.prod</t>
        </is>
      </c>
      <c r="CQ5" s="7" t="inlineStr">
        <is>
          <t>mit.coa.prod.cost</t>
        </is>
      </c>
      <c r="CR5" s="7" t="inlineStr">
        <is>
          <t>mit.nga.prod</t>
        </is>
      </c>
      <c r="CS5" s="7" t="inlineStr">
        <is>
          <t>mit.nga.prod.cost</t>
        </is>
      </c>
      <c r="CT5" s="7" t="inlineStr">
        <is>
          <t>mit.spot.coa</t>
        </is>
      </c>
      <c r="CU5" s="7" t="inlineStr">
        <is>
          <t>mit.spot.nga</t>
        </is>
      </c>
    </row>
    <row r="6">
      <c r="A6" s="5" t="inlineStr">
        <is>
          <t>AFG2021</t>
        </is>
      </c>
      <c r="B6" s="5" t="inlineStr">
        <is>
          <t>AFG</t>
        </is>
      </c>
      <c r="C6" s="5" t="inlineStr">
        <is>
          <t>AFG</t>
        </is>
      </c>
      <c r="D6" s="5" t="inlineStr">
        <is>
          <t>Afghanistan</t>
        </is>
      </c>
      <c r="E6" s="5" t="n">
        <v>2021</v>
      </c>
      <c r="F6" s="5" t="n">
        <v>0.1</v>
      </c>
      <c r="G6" s="5" t="n">
        <v>4.747</v>
      </c>
      <c r="H6" s="5" t="n">
        <v>1.143</v>
      </c>
      <c r="I6" s="5" t="n">
        <v>0</v>
      </c>
      <c r="J6" s="5" t="n">
        <v>4.747</v>
      </c>
      <c r="K6" s="5" t="n">
        <v>0</v>
      </c>
      <c r="L6" s="5" t="n">
        <v>1</v>
      </c>
      <c r="M6" s="5" t="n">
        <v>7.964</v>
      </c>
      <c r="N6" s="5" t="n">
        <v>3.43</v>
      </c>
      <c r="O6" s="5" t="n">
        <v>0</v>
      </c>
      <c r="P6" s="5" t="n">
        <v>7.964</v>
      </c>
      <c r="Q6" s="5" t="n">
        <v>0</v>
      </c>
      <c r="R6" s="5" t="n">
        <v>1</v>
      </c>
      <c r="S6" s="5" t="n">
        <v>10.464</v>
      </c>
      <c r="T6" s="5" t="n">
        <v>6.86</v>
      </c>
      <c r="U6" s="5" t="n">
        <v>8.237</v>
      </c>
      <c r="V6" s="5" t="n">
        <v>20.572</v>
      </c>
      <c r="W6" s="5" t="n">
        <v>0.1</v>
      </c>
      <c r="X6" s="5" t="n">
        <v>1</v>
      </c>
      <c r="Y6" s="5" t="n">
        <v>4.427</v>
      </c>
      <c r="Z6" s="5" t="n">
        <v>0.517</v>
      </c>
      <c r="AA6" s="5" t="n">
        <v>0</v>
      </c>
      <c r="AB6" s="5" t="n">
        <v>4.427</v>
      </c>
      <c r="AC6" s="5" t="n">
        <v>0</v>
      </c>
      <c r="AD6" s="5" t="n">
        <v>1</v>
      </c>
      <c r="AE6" s="5" t="n">
        <v>5.57</v>
      </c>
      <c r="AF6" s="5" t="n">
        <v>1.152</v>
      </c>
      <c r="AG6" s="5" t="n">
        <v>0</v>
      </c>
      <c r="AH6" s="5" t="n">
        <v>5.57</v>
      </c>
      <c r="AI6" s="5" t="n">
        <v>0</v>
      </c>
      <c r="AJ6" s="5" t="n">
        <v>1</v>
      </c>
      <c r="AK6" s="5" t="n">
        <v>12.43</v>
      </c>
      <c r="AL6" s="5" t="n">
        <v>6.195</v>
      </c>
      <c r="AM6" s="5" t="n">
        <v>0</v>
      </c>
      <c r="AN6" s="5" t="n">
        <v>13.673</v>
      </c>
      <c r="AO6" s="5" t="n">
        <v>0.1</v>
      </c>
      <c r="AP6" s="5" t="n">
        <v>1</v>
      </c>
      <c r="AQ6" s="5" t="n">
        <v>0.621</v>
      </c>
      <c r="AR6" s="5" t="n">
        <v>0.114</v>
      </c>
      <c r="AS6" s="5" t="n">
        <v>-0.045</v>
      </c>
      <c r="AT6" s="5" t="n">
        <v>0.633</v>
      </c>
      <c r="AU6" s="5" t="n">
        <v>0.1</v>
      </c>
      <c r="AV6" s="5" t="n">
        <v>1</v>
      </c>
      <c r="AW6" s="5" t="n">
        <v>0.593</v>
      </c>
      <c r="AX6" s="5" t="n">
        <v>0.114</v>
      </c>
      <c r="AY6" s="5" t="n">
        <v>-0.034</v>
      </c>
      <c r="AZ6" s="5" t="n">
        <v>0.615</v>
      </c>
      <c r="BA6" s="5" t="n">
        <v>0.1</v>
      </c>
      <c r="BB6" s="5" t="n">
        <v>1</v>
      </c>
      <c r="BC6" s="5" t="n">
        <v>0.44</v>
      </c>
      <c r="BD6" s="5" t="n">
        <v>0.114</v>
      </c>
      <c r="BE6" s="5" t="n">
        <v>-0.068</v>
      </c>
      <c r="BF6" s="5" t="n">
        <v>0.409</v>
      </c>
      <c r="BG6" s="5" t="n">
        <v>0</v>
      </c>
      <c r="BH6" s="5" t="n">
        <v>0</v>
      </c>
      <c r="BI6" s="5" t="n">
        <v>0.5600000000000001</v>
      </c>
      <c r="BJ6" s="5" t="n">
        <v>0.114</v>
      </c>
      <c r="BK6" s="5" t="n">
        <v>0</v>
      </c>
      <c r="BL6" s="5" t="n">
        <v>0.616</v>
      </c>
      <c r="BM6" s="5" t="n">
        <v>0.1</v>
      </c>
      <c r="BN6" s="5" t="n">
        <v>1</v>
      </c>
      <c r="BO6" s="5" t="n">
        <v>0</v>
      </c>
      <c r="BP6" s="5" t="n">
        <v>0</v>
      </c>
      <c r="BQ6" s="5" t="n">
        <v>0.025</v>
      </c>
      <c r="BR6" s="5" t="n">
        <v>0</v>
      </c>
      <c r="BS6" s="5" t="n">
        <v>1</v>
      </c>
      <c r="BT6" s="5" t="n">
        <v>0</v>
      </c>
      <c r="BU6" s="5" t="n">
        <v>0</v>
      </c>
      <c r="BV6" s="5" t="n">
        <v>0.051</v>
      </c>
      <c r="BW6" s="5" t="n">
        <v>0</v>
      </c>
      <c r="BX6" s="5" t="n">
        <v>0.833</v>
      </c>
      <c r="BY6" s="5" t="n">
        <v>11.787</v>
      </c>
      <c r="BZ6" s="5" t="n">
        <v>0</v>
      </c>
      <c r="CA6" s="5" t="n">
        <v>11.787</v>
      </c>
      <c r="CB6" s="5" t="n">
        <v>0</v>
      </c>
      <c r="CC6" s="5" t="n">
        <v>81.69499999999999</v>
      </c>
      <c r="CD6" s="5" t="n">
        <v>7.95</v>
      </c>
      <c r="CE6" s="5" t="n">
        <v>0</v>
      </c>
      <c r="CF6" s="5" t="n">
        <v>89.86499999999999</v>
      </c>
      <c r="CG6" s="5" t="n">
        <v>0.1</v>
      </c>
      <c r="CH6" s="5" t="n">
        <v>1</v>
      </c>
      <c r="CI6" s="5" t="n">
        <v>0</v>
      </c>
      <c r="CJ6" s="5" t="n">
        <v>0</v>
      </c>
      <c r="CK6" s="5" t="n">
        <v>0</v>
      </c>
      <c r="CL6" s="5" t="n">
        <v>0</v>
      </c>
      <c r="CM6" s="5" t="n">
        <v>0</v>
      </c>
      <c r="CN6" s="5" t="n">
        <v>0</v>
      </c>
      <c r="CO6" s="5" t="n">
        <v>0</v>
      </c>
      <c r="CP6" s="5" t="n">
        <v>0</v>
      </c>
      <c r="CQ6" s="5" t="n">
        <v>1.198</v>
      </c>
      <c r="CR6" s="5" t="n">
        <v>0</v>
      </c>
      <c r="CS6" s="5" t="n">
        <v>8.686999999999999</v>
      </c>
      <c r="CT6" s="5" t="n">
        <v>3.604</v>
      </c>
      <c r="CU6" s="5" t="n">
        <v>16.843</v>
      </c>
    </row>
    <row r="7">
      <c r="A7" s="5" t="inlineStr">
        <is>
          <t>AFG2022</t>
        </is>
      </c>
      <c r="B7" s="5" t="inlineStr">
        <is>
          <t>AFG</t>
        </is>
      </c>
      <c r="C7" s="5" t="inlineStr">
        <is>
          <t>AFG</t>
        </is>
      </c>
      <c r="D7" s="5" t="inlineStr">
        <is>
          <t>Afghanistan</t>
        </is>
      </c>
      <c r="E7" s="5" t="n">
        <v>2022</v>
      </c>
      <c r="F7" s="5" t="n">
        <v>0.1</v>
      </c>
      <c r="G7" s="5" t="n">
        <v>8.788</v>
      </c>
      <c r="H7" s="5" t="n">
        <v>1.235</v>
      </c>
      <c r="I7" s="5" t="n">
        <v>0</v>
      </c>
      <c r="J7" s="5" t="n">
        <v>8.788</v>
      </c>
      <c r="K7" s="5" t="n">
        <v>0</v>
      </c>
      <c r="L7" s="5" t="n">
        <v>1</v>
      </c>
      <c r="M7" s="5" t="n">
        <v>9.782999999999999</v>
      </c>
      <c r="N7" s="5" t="n">
        <v>3.704</v>
      </c>
      <c r="O7" s="5" t="n">
        <v>0</v>
      </c>
      <c r="P7" s="5" t="n">
        <v>9.782999999999999</v>
      </c>
      <c r="Q7" s="5" t="n">
        <v>0</v>
      </c>
      <c r="R7" s="5" t="n">
        <v>1</v>
      </c>
      <c r="S7" s="5" t="n">
        <v>14.962</v>
      </c>
      <c r="T7" s="5" t="n">
        <v>7.408</v>
      </c>
      <c r="U7" s="5" t="n">
        <v>9.071999999999999</v>
      </c>
      <c r="V7" s="5" t="n">
        <v>26.243</v>
      </c>
      <c r="W7" s="5" t="n">
        <v>0.1</v>
      </c>
      <c r="X7" s="5" t="n">
        <v>1</v>
      </c>
      <c r="Y7" s="5" t="n">
        <v>4.781</v>
      </c>
      <c r="Z7" s="5" t="n">
        <v>0.5580000000000001</v>
      </c>
      <c r="AA7" s="5" t="n">
        <v>0</v>
      </c>
      <c r="AB7" s="5" t="n">
        <v>4.781</v>
      </c>
      <c r="AC7" s="5" t="n">
        <v>0</v>
      </c>
      <c r="AD7" s="5" t="n">
        <v>1</v>
      </c>
      <c r="AE7" s="5" t="n">
        <v>6.015</v>
      </c>
      <c r="AF7" s="5" t="n">
        <v>1.244</v>
      </c>
      <c r="AG7" s="5" t="n">
        <v>0</v>
      </c>
      <c r="AH7" s="5" t="n">
        <v>6.015</v>
      </c>
      <c r="AI7" s="5" t="n">
        <v>0</v>
      </c>
      <c r="AJ7" s="5" t="n">
        <v>1</v>
      </c>
      <c r="AK7" s="5" t="n">
        <v>13.424</v>
      </c>
      <c r="AL7" s="5" t="n">
        <v>6.69</v>
      </c>
      <c r="AM7" s="5" t="n">
        <v>0.099</v>
      </c>
      <c r="AN7" s="5" t="n">
        <v>14.766</v>
      </c>
      <c r="AO7" s="5" t="n">
        <v>0.1</v>
      </c>
      <c r="AP7" s="5" t="n">
        <v>1</v>
      </c>
      <c r="AQ7" s="5" t="n">
        <v>0.847</v>
      </c>
      <c r="AR7" s="5" t="n">
        <v>0.123</v>
      </c>
      <c r="AS7" s="5" t="n">
        <v>-0.04</v>
      </c>
      <c r="AT7" s="5" t="n">
        <v>0.887</v>
      </c>
      <c r="AU7" s="5" t="n">
        <v>0.1</v>
      </c>
      <c r="AV7" s="5" t="n">
        <v>1</v>
      </c>
      <c r="AW7" s="5" t="n">
        <v>0.947</v>
      </c>
      <c r="AX7" s="5" t="n">
        <v>0.123</v>
      </c>
      <c r="AY7" s="5" t="n">
        <v>-0.017</v>
      </c>
      <c r="AZ7" s="5" t="n">
        <v>1.022</v>
      </c>
      <c r="BA7" s="5" t="n">
        <v>0.1</v>
      </c>
      <c r="BB7" s="5" t="n">
        <v>1</v>
      </c>
      <c r="BC7" s="5" t="n">
        <v>0.589</v>
      </c>
      <c r="BD7" s="5" t="n">
        <v>0.123</v>
      </c>
      <c r="BE7" s="5" t="n">
        <v>-0.185</v>
      </c>
      <c r="BF7" s="5" t="n">
        <v>0.444</v>
      </c>
      <c r="BG7" s="5" t="n">
        <v>0</v>
      </c>
      <c r="BH7" s="5" t="n">
        <v>0</v>
      </c>
      <c r="BI7" s="5" t="n">
        <v>0.6889999999999999</v>
      </c>
      <c r="BJ7" s="5" t="n">
        <v>0.123</v>
      </c>
      <c r="BK7" s="5" t="n">
        <v>0.005</v>
      </c>
      <c r="BL7" s="5" t="n">
        <v>0.758</v>
      </c>
      <c r="BM7" s="5" t="n">
        <v>0.1</v>
      </c>
      <c r="BN7" s="5" t="n">
        <v>1</v>
      </c>
      <c r="BO7" s="5" t="n">
        <v>0</v>
      </c>
      <c r="BP7" s="5" t="n">
        <v>0</v>
      </c>
      <c r="BQ7" s="5" t="n">
        <v>0.027</v>
      </c>
      <c r="BR7" s="5" t="n">
        <v>0</v>
      </c>
      <c r="BS7" s="5" t="n">
        <v>1</v>
      </c>
      <c r="BT7" s="5" t="n">
        <v>0</v>
      </c>
      <c r="BU7" s="5" t="n">
        <v>0</v>
      </c>
      <c r="BV7" s="5" t="n">
        <v>0.055</v>
      </c>
      <c r="BW7" s="5" t="n">
        <v>0</v>
      </c>
      <c r="BX7" s="5" t="n">
        <v>0.833</v>
      </c>
      <c r="BY7" s="5" t="n">
        <v>12.729</v>
      </c>
      <c r="BZ7" s="5" t="n">
        <v>0</v>
      </c>
      <c r="CA7" s="5" t="n">
        <v>12.729</v>
      </c>
      <c r="CB7" s="5" t="n">
        <v>0</v>
      </c>
      <c r="CC7" s="5" t="n">
        <v>102.477</v>
      </c>
      <c r="CD7" s="5" t="n">
        <v>7.95</v>
      </c>
      <c r="CE7" s="5" t="n">
        <v>0.758</v>
      </c>
      <c r="CF7" s="5" t="n">
        <v>112.724</v>
      </c>
      <c r="CG7" s="5" t="n">
        <v>0.1</v>
      </c>
      <c r="CH7" s="5" t="n">
        <v>1</v>
      </c>
      <c r="CI7" s="5" t="n">
        <v>0</v>
      </c>
      <c r="CJ7" s="5" t="n">
        <v>0</v>
      </c>
      <c r="CK7" s="5" t="n">
        <v>0</v>
      </c>
      <c r="CL7" s="5" t="n">
        <v>0</v>
      </c>
      <c r="CM7" s="5" t="n">
        <v>0</v>
      </c>
      <c r="CN7" s="5" t="n">
        <v>0</v>
      </c>
      <c r="CO7" s="5" t="n">
        <v>0</v>
      </c>
      <c r="CP7" s="5" t="n">
        <v>0</v>
      </c>
      <c r="CQ7" s="5" t="n">
        <v>1.294</v>
      </c>
      <c r="CR7" s="5" t="n">
        <v>0</v>
      </c>
      <c r="CS7" s="5" t="n">
        <v>9.381</v>
      </c>
      <c r="CT7" s="5" t="n">
        <v>7.554</v>
      </c>
      <c r="CU7" s="5" t="n">
        <v>30.149</v>
      </c>
    </row>
    <row r="8">
      <c r="A8" s="5" t="inlineStr">
        <is>
          <t>AFG2023</t>
        </is>
      </c>
      <c r="B8" s="5" t="inlineStr">
        <is>
          <t>AFG</t>
        </is>
      </c>
      <c r="C8" s="5" t="inlineStr">
        <is>
          <t>AFG</t>
        </is>
      </c>
      <c r="D8" s="5" t="inlineStr">
        <is>
          <t>Afghanistan</t>
        </is>
      </c>
      <c r="E8" s="5" t="n">
        <v>2023</v>
      </c>
      <c r="F8" s="5" t="n">
        <v>0.1</v>
      </c>
      <c r="G8" s="5" t="n">
        <v>5.77</v>
      </c>
      <c r="H8" s="5" t="n">
        <v>1.286</v>
      </c>
      <c r="I8" s="5" t="n">
        <v>0</v>
      </c>
      <c r="J8" s="5" t="n">
        <v>5.77</v>
      </c>
      <c r="K8" s="5" t="n">
        <v>0</v>
      </c>
      <c r="L8" s="5" t="n">
        <v>1</v>
      </c>
      <c r="M8" s="5" t="n">
        <v>7.886</v>
      </c>
      <c r="N8" s="5" t="n">
        <v>3.857</v>
      </c>
      <c r="O8" s="5" t="n">
        <v>0</v>
      </c>
      <c r="P8" s="5" t="n">
        <v>7.886</v>
      </c>
      <c r="Q8" s="5" t="n">
        <v>0</v>
      </c>
      <c r="R8" s="5" t="n">
        <v>1</v>
      </c>
      <c r="S8" s="5" t="n">
        <v>12.198</v>
      </c>
      <c r="T8" s="5" t="n">
        <v>7.714</v>
      </c>
      <c r="U8" s="5" t="n">
        <v>9.500999999999999</v>
      </c>
      <c r="V8" s="5" t="n">
        <v>23.608</v>
      </c>
      <c r="W8" s="5" t="n">
        <v>0.1</v>
      </c>
      <c r="X8" s="5" t="n">
        <v>1</v>
      </c>
      <c r="Y8" s="5" t="n">
        <v>4.978</v>
      </c>
      <c r="Z8" s="5" t="n">
        <v>0.581</v>
      </c>
      <c r="AA8" s="5" t="n">
        <v>0</v>
      </c>
      <c r="AB8" s="5" t="n">
        <v>4.978</v>
      </c>
      <c r="AC8" s="5" t="n">
        <v>0</v>
      </c>
      <c r="AD8" s="5" t="n">
        <v>1</v>
      </c>
      <c r="AE8" s="5" t="n">
        <v>6.264</v>
      </c>
      <c r="AF8" s="5" t="n">
        <v>1.295</v>
      </c>
      <c r="AG8" s="5" t="n">
        <v>0</v>
      </c>
      <c r="AH8" s="5" t="n">
        <v>6.264</v>
      </c>
      <c r="AI8" s="5" t="n">
        <v>0</v>
      </c>
      <c r="AJ8" s="5" t="n">
        <v>1</v>
      </c>
      <c r="AK8" s="5" t="n">
        <v>13.978</v>
      </c>
      <c r="AL8" s="5" t="n">
        <v>6.966</v>
      </c>
      <c r="AM8" s="5" t="n">
        <v>0.155</v>
      </c>
      <c r="AN8" s="5" t="n">
        <v>15.375</v>
      </c>
      <c r="AO8" s="5" t="n">
        <v>0.1</v>
      </c>
      <c r="AP8" s="5" t="n">
        <v>1</v>
      </c>
      <c r="AQ8" s="5" t="n">
        <v>0.749</v>
      </c>
      <c r="AR8" s="5" t="n">
        <v>0.129</v>
      </c>
      <c r="AS8" s="5" t="n">
        <v>0.065</v>
      </c>
      <c r="AT8" s="5" t="n">
        <v>0.895</v>
      </c>
      <c r="AU8" s="5" t="n">
        <v>0.1</v>
      </c>
      <c r="AV8" s="5" t="n">
        <v>1</v>
      </c>
      <c r="AW8" s="5" t="n">
        <v>0.783</v>
      </c>
      <c r="AX8" s="5" t="n">
        <v>0.129</v>
      </c>
      <c r="AY8" s="5" t="n">
        <v>0.041</v>
      </c>
      <c r="AZ8" s="5" t="n">
        <v>0.905</v>
      </c>
      <c r="BA8" s="5" t="n">
        <v>0.1</v>
      </c>
      <c r="BB8" s="5" t="n">
        <v>1</v>
      </c>
      <c r="BC8" s="5" t="n">
        <v>0.527</v>
      </c>
      <c r="BD8" s="5" t="n">
        <v>0.129</v>
      </c>
      <c r="BE8" s="5" t="n">
        <v>-0.143</v>
      </c>
      <c r="BF8" s="5" t="n">
        <v>0.423</v>
      </c>
      <c r="BG8" s="5" t="n">
        <v>0</v>
      </c>
      <c r="BH8" s="5" t="n">
        <v>0</v>
      </c>
      <c r="BI8" s="5" t="n">
        <v>0.64</v>
      </c>
      <c r="BJ8" s="5" t="n">
        <v>0.129</v>
      </c>
      <c r="BK8" s="5" t="n">
        <v>0.007</v>
      </c>
      <c r="BL8" s="5" t="n">
        <v>0.704</v>
      </c>
      <c r="BM8" s="5" t="n">
        <v>0.1</v>
      </c>
      <c r="BN8" s="5" t="n">
        <v>1</v>
      </c>
      <c r="BO8" s="5" t="n">
        <v>0</v>
      </c>
      <c r="BP8" s="5" t="n">
        <v>0</v>
      </c>
      <c r="BQ8" s="5" t="n">
        <v>0.028</v>
      </c>
      <c r="BR8" s="5" t="n">
        <v>0</v>
      </c>
      <c r="BS8" s="5" t="n">
        <v>1</v>
      </c>
      <c r="BT8" s="5" t="n">
        <v>0</v>
      </c>
      <c r="BU8" s="5" t="n">
        <v>0</v>
      </c>
      <c r="BV8" s="5" t="n">
        <v>0.057</v>
      </c>
      <c r="BW8" s="5" t="n">
        <v>0</v>
      </c>
      <c r="BX8" s="5" t="n">
        <v>0.833</v>
      </c>
      <c r="BY8" s="5" t="n">
        <v>13.254</v>
      </c>
      <c r="BZ8" s="5" t="n">
        <v>0</v>
      </c>
      <c r="CA8" s="5" t="n">
        <v>13.254</v>
      </c>
      <c r="CB8" s="5" t="n">
        <v>0</v>
      </c>
      <c r="CC8" s="5" t="n">
        <v>87.07899999999999</v>
      </c>
      <c r="CD8" s="5" t="n">
        <v>7.95</v>
      </c>
      <c r="CE8" s="5" t="n">
        <v>0.964</v>
      </c>
      <c r="CF8" s="5" t="n">
        <v>95.78700000000001</v>
      </c>
      <c r="CG8" s="5" t="n">
        <v>0.1</v>
      </c>
      <c r="CH8" s="5" t="n">
        <v>1</v>
      </c>
      <c r="CI8" s="5" t="n">
        <v>0</v>
      </c>
      <c r="CJ8" s="5" t="n">
        <v>0</v>
      </c>
      <c r="CK8" s="5" t="n">
        <v>0</v>
      </c>
      <c r="CL8" s="5" t="n">
        <v>0</v>
      </c>
      <c r="CM8" s="5" t="n">
        <v>0</v>
      </c>
      <c r="CN8" s="5" t="n">
        <v>0</v>
      </c>
      <c r="CO8" s="5" t="n">
        <v>0</v>
      </c>
      <c r="CP8" s="5" t="n">
        <v>0</v>
      </c>
      <c r="CQ8" s="5" t="n">
        <v>1.348</v>
      </c>
      <c r="CR8" s="5" t="n">
        <v>0</v>
      </c>
      <c r="CS8" s="5" t="n">
        <v>9.769</v>
      </c>
      <c r="CT8" s="5" t="n">
        <v>4.484</v>
      </c>
      <c r="CU8" s="5" t="n">
        <v>12.392</v>
      </c>
    </row>
    <row r="9">
      <c r="A9" s="5" t="inlineStr">
        <is>
          <t>AFG2024</t>
        </is>
      </c>
      <c r="B9" s="5" t="inlineStr">
        <is>
          <t>AFG</t>
        </is>
      </c>
      <c r="C9" s="5" t="inlineStr">
        <is>
          <t>AFG</t>
        </is>
      </c>
      <c r="D9" s="5" t="inlineStr">
        <is>
          <t>Afghanistan</t>
        </is>
      </c>
      <c r="E9" s="5" t="n">
        <v>2024</v>
      </c>
      <c r="F9" s="5" t="n">
        <v>0.1</v>
      </c>
      <c r="G9" s="5" t="n">
        <v>4.833</v>
      </c>
      <c r="H9" s="5" t="n">
        <v>1.324</v>
      </c>
      <c r="I9" s="5" t="n">
        <v>0</v>
      </c>
      <c r="J9" s="5" t="n">
        <v>4.833</v>
      </c>
      <c r="K9" s="5" t="n">
        <v>0</v>
      </c>
      <c r="L9" s="5" t="n">
        <v>1</v>
      </c>
      <c r="M9" s="5" t="n">
        <v>7.124</v>
      </c>
      <c r="N9" s="5" t="n">
        <v>3.971</v>
      </c>
      <c r="O9" s="5" t="n">
        <v>0</v>
      </c>
      <c r="P9" s="5" t="n">
        <v>7.124</v>
      </c>
      <c r="Q9" s="5" t="n">
        <v>0</v>
      </c>
      <c r="R9" s="5" t="n">
        <v>1</v>
      </c>
      <c r="S9" s="5" t="n">
        <v>11.451</v>
      </c>
      <c r="T9" s="5" t="n">
        <v>7.942</v>
      </c>
      <c r="U9" s="5" t="n">
        <v>9.821999999999999</v>
      </c>
      <c r="V9" s="5" t="n">
        <v>23.086</v>
      </c>
      <c r="W9" s="5" t="n">
        <v>0.1</v>
      </c>
      <c r="X9" s="5" t="n">
        <v>1</v>
      </c>
      <c r="Y9" s="5" t="n">
        <v>5.125</v>
      </c>
      <c r="Z9" s="5" t="n">
        <v>0.598</v>
      </c>
      <c r="AA9" s="5" t="n">
        <v>0</v>
      </c>
      <c r="AB9" s="5" t="n">
        <v>5.125</v>
      </c>
      <c r="AC9" s="5" t="n">
        <v>0</v>
      </c>
      <c r="AD9" s="5" t="n">
        <v>1</v>
      </c>
      <c r="AE9" s="5" t="n">
        <v>6.449</v>
      </c>
      <c r="AF9" s="5" t="n">
        <v>1.333</v>
      </c>
      <c r="AG9" s="5" t="n">
        <v>0</v>
      </c>
      <c r="AH9" s="5" t="n">
        <v>6.449</v>
      </c>
      <c r="AI9" s="5" t="n">
        <v>0</v>
      </c>
      <c r="AJ9" s="5" t="n">
        <v>1</v>
      </c>
      <c r="AK9" s="5" t="n">
        <v>14.39</v>
      </c>
      <c r="AL9" s="5" t="n">
        <v>7.172</v>
      </c>
      <c r="AM9" s="5" t="n">
        <v>0.196</v>
      </c>
      <c r="AN9" s="5" t="n">
        <v>15.829</v>
      </c>
      <c r="AO9" s="5" t="n">
        <v>0.1</v>
      </c>
      <c r="AP9" s="5" t="n">
        <v>1</v>
      </c>
      <c r="AQ9" s="5" t="n">
        <v>0.72</v>
      </c>
      <c r="AR9" s="5" t="n">
        <v>0.132</v>
      </c>
      <c r="AS9" s="5" t="n">
        <v>0.078</v>
      </c>
      <c r="AT9" s="5" t="n">
        <v>0.878</v>
      </c>
      <c r="AU9" s="5" t="n">
        <v>0.1</v>
      </c>
      <c r="AV9" s="5" t="n">
        <v>1</v>
      </c>
      <c r="AW9" s="5" t="n">
        <v>0.734</v>
      </c>
      <c r="AX9" s="5" t="n">
        <v>0.132</v>
      </c>
      <c r="AY9" s="5" t="n">
        <v>0.043</v>
      </c>
      <c r="AZ9" s="5" t="n">
        <v>0.855</v>
      </c>
      <c r="BA9" s="5" t="n">
        <v>0.1</v>
      </c>
      <c r="BB9" s="5" t="n">
        <v>1</v>
      </c>
      <c r="BC9" s="5" t="n">
        <v>0.51</v>
      </c>
      <c r="BD9" s="5" t="n">
        <v>0.132</v>
      </c>
      <c r="BE9" s="5" t="n">
        <v>-0.134</v>
      </c>
      <c r="BF9" s="5" t="n">
        <v>0.414</v>
      </c>
      <c r="BG9" s="5" t="n">
        <v>0</v>
      </c>
      <c r="BH9" s="5" t="n">
        <v>0</v>
      </c>
      <c r="BI9" s="5" t="n">
        <v>0.652</v>
      </c>
      <c r="BJ9" s="5" t="n">
        <v>0.132</v>
      </c>
      <c r="BK9" s="5" t="n">
        <v>0.008999999999999999</v>
      </c>
      <c r="BL9" s="5" t="n">
        <v>0.717</v>
      </c>
      <c r="BM9" s="5" t="n">
        <v>0.1</v>
      </c>
      <c r="BN9" s="5" t="n">
        <v>1</v>
      </c>
      <c r="BO9" s="5" t="n">
        <v>0</v>
      </c>
      <c r="BP9" s="5" t="n">
        <v>0</v>
      </c>
      <c r="BQ9" s="5" t="n">
        <v>0.029</v>
      </c>
      <c r="BR9" s="5" t="n">
        <v>0</v>
      </c>
      <c r="BS9" s="5" t="n">
        <v>1</v>
      </c>
      <c r="BT9" s="5" t="n">
        <v>0</v>
      </c>
      <c r="BU9" s="5" t="n">
        <v>0</v>
      </c>
      <c r="BV9" s="5" t="n">
        <v>0.059</v>
      </c>
      <c r="BW9" s="5" t="n">
        <v>0</v>
      </c>
      <c r="BX9" s="5" t="n">
        <v>0.833</v>
      </c>
      <c r="BY9" s="5" t="n">
        <v>13.646</v>
      </c>
      <c r="BZ9" s="5" t="n">
        <v>0</v>
      </c>
      <c r="CA9" s="5" t="n">
        <v>13.646</v>
      </c>
      <c r="CB9" s="5" t="n">
        <v>0</v>
      </c>
      <c r="CC9" s="5" t="n">
        <v>86.38500000000001</v>
      </c>
      <c r="CD9" s="5" t="n">
        <v>7.95</v>
      </c>
      <c r="CE9" s="5" t="n">
        <v>1.177</v>
      </c>
      <c r="CF9" s="5" t="n">
        <v>95.024</v>
      </c>
      <c r="CG9" s="5" t="n">
        <v>0.1</v>
      </c>
      <c r="CH9" s="5" t="n">
        <v>1</v>
      </c>
      <c r="CI9" s="5" t="n">
        <v>0</v>
      </c>
      <c r="CJ9" s="5" t="n">
        <v>0</v>
      </c>
      <c r="CK9" s="5" t="n">
        <v>0</v>
      </c>
      <c r="CL9" s="5" t="n">
        <v>0</v>
      </c>
      <c r="CM9" s="5" t="n">
        <v>0</v>
      </c>
      <c r="CN9" s="5" t="n">
        <v>0</v>
      </c>
      <c r="CO9" s="5" t="n">
        <v>0</v>
      </c>
      <c r="CP9" s="5" t="n">
        <v>0</v>
      </c>
      <c r="CQ9" s="5" t="n">
        <v>1.387</v>
      </c>
      <c r="CR9" s="5" t="n">
        <v>0</v>
      </c>
      <c r="CS9" s="5" t="n">
        <v>10.057</v>
      </c>
      <c r="CT9" s="5" t="n">
        <v>3.509</v>
      </c>
      <c r="CU9" s="5" t="n">
        <v>10.792</v>
      </c>
    </row>
    <row r="10">
      <c r="A10" s="5" t="inlineStr">
        <is>
          <t>ALB2021</t>
        </is>
      </c>
      <c r="B10" s="5" t="inlineStr">
        <is>
          <t>ALB</t>
        </is>
      </c>
      <c r="C10" s="5" t="inlineStr">
        <is>
          <t>ALB</t>
        </is>
      </c>
      <c r="D10" s="5" t="inlineStr">
        <is>
          <t>Albania</t>
        </is>
      </c>
      <c r="E10" s="5" t="n">
        <v>2021</v>
      </c>
      <c r="F10" s="5" t="n">
        <v>0.2</v>
      </c>
      <c r="G10" s="5" t="n">
        <v>3.369</v>
      </c>
      <c r="H10" s="5" t="n">
        <v>0.8129999999999999</v>
      </c>
      <c r="I10" s="5" t="n">
        <v>0.112</v>
      </c>
      <c r="J10" s="5" t="n">
        <v>3.481</v>
      </c>
      <c r="K10" s="5" t="n">
        <v>0</v>
      </c>
      <c r="L10" s="5" t="n">
        <v>1</v>
      </c>
      <c r="M10" s="5" t="n">
        <v>5.048</v>
      </c>
      <c r="N10" s="5" t="n">
        <v>2.44</v>
      </c>
      <c r="O10" s="5" t="n">
        <v>0</v>
      </c>
      <c r="P10" s="5" t="n">
        <v>5.048</v>
      </c>
      <c r="Q10" s="5" t="n">
        <v>0</v>
      </c>
      <c r="R10" s="5" t="n">
        <v>1</v>
      </c>
      <c r="S10" s="5" t="n">
        <v>7.435</v>
      </c>
      <c r="T10" s="5" t="n">
        <v>4.88</v>
      </c>
      <c r="U10" s="5" t="n">
        <v>0.112</v>
      </c>
      <c r="V10" s="5" t="n">
        <v>9.055999999999999</v>
      </c>
      <c r="W10" s="5" t="n">
        <v>0.2</v>
      </c>
      <c r="X10" s="5" t="n">
        <v>1</v>
      </c>
      <c r="Y10" s="5" t="n">
        <v>5.347</v>
      </c>
      <c r="Z10" s="5" t="n">
        <v>0.393</v>
      </c>
      <c r="AA10" s="5" t="n">
        <v>0</v>
      </c>
      <c r="AB10" s="5" t="n">
        <v>5.347</v>
      </c>
      <c r="AC10" s="5" t="n">
        <v>0</v>
      </c>
      <c r="AD10" s="5" t="n">
        <v>1</v>
      </c>
      <c r="AE10" s="5" t="n">
        <v>5.919</v>
      </c>
      <c r="AF10" s="5" t="n">
        <v>0.8</v>
      </c>
      <c r="AG10" s="5" t="n">
        <v>0</v>
      </c>
      <c r="AH10" s="5" t="n">
        <v>5.919</v>
      </c>
      <c r="AI10" s="5" t="n">
        <v>0</v>
      </c>
      <c r="AJ10" s="5" t="n">
        <v>1</v>
      </c>
      <c r="AK10" s="5" t="n">
        <v>9.349</v>
      </c>
      <c r="AL10" s="5" t="n">
        <v>3.473</v>
      </c>
      <c r="AM10" s="5" t="n">
        <v>0</v>
      </c>
      <c r="AN10" s="5" t="n">
        <v>11.219</v>
      </c>
      <c r="AO10" s="5" t="n">
        <v>0.2</v>
      </c>
      <c r="AP10" s="5" t="n">
        <v>1</v>
      </c>
      <c r="AQ10" s="5" t="n">
        <v>0.619</v>
      </c>
      <c r="AR10" s="5" t="n">
        <v>0.114</v>
      </c>
      <c r="AS10" s="5" t="n">
        <v>0.732</v>
      </c>
      <c r="AT10" s="5" t="n">
        <v>1.621</v>
      </c>
      <c r="AU10" s="5" t="n">
        <v>0.2</v>
      </c>
      <c r="AV10" s="5" t="n">
        <v>1</v>
      </c>
      <c r="AW10" s="5" t="n">
        <v>0.599</v>
      </c>
      <c r="AX10" s="5" t="n">
        <v>0.114</v>
      </c>
      <c r="AY10" s="5" t="n">
        <v>0.705</v>
      </c>
      <c r="AZ10" s="5" t="n">
        <v>1.565</v>
      </c>
      <c r="BA10" s="5" t="n">
        <v>0.2</v>
      </c>
      <c r="BB10" s="5" t="n">
        <v>1</v>
      </c>
      <c r="BC10" s="5" t="n">
        <v>0.439</v>
      </c>
      <c r="BD10" s="5" t="n">
        <v>0.114</v>
      </c>
      <c r="BE10" s="5" t="n">
        <v>0</v>
      </c>
      <c r="BF10" s="5" t="n">
        <v>0.527</v>
      </c>
      <c r="BG10" s="5" t="n">
        <v>0.2</v>
      </c>
      <c r="BH10" s="5" t="n">
        <v>1</v>
      </c>
      <c r="BI10" s="5" t="n">
        <v>0.505</v>
      </c>
      <c r="BJ10" s="5" t="n">
        <v>0.114</v>
      </c>
      <c r="BK10" s="5" t="n">
        <v>0</v>
      </c>
      <c r="BL10" s="5" t="n">
        <v>0.606</v>
      </c>
      <c r="BM10" s="5" t="n">
        <v>0.2</v>
      </c>
      <c r="BN10" s="5" t="n">
        <v>1</v>
      </c>
      <c r="BO10" s="5" t="n">
        <v>0</v>
      </c>
      <c r="BP10" s="5" t="n">
        <v>0</v>
      </c>
      <c r="BQ10" s="5" t="n">
        <v>0.124</v>
      </c>
      <c r="BR10" s="5" t="n">
        <v>0</v>
      </c>
      <c r="BS10" s="5" t="n">
        <v>0.667</v>
      </c>
      <c r="BT10" s="5" t="n">
        <v>0</v>
      </c>
      <c r="BU10" s="5" t="n">
        <v>0</v>
      </c>
      <c r="BV10" s="5" t="n">
        <v>0.11</v>
      </c>
      <c r="BW10" s="5" t="n">
        <v>0.2</v>
      </c>
      <c r="BX10" s="5" t="n">
        <v>0.5</v>
      </c>
      <c r="BY10" s="5" t="n">
        <v>11.787</v>
      </c>
      <c r="BZ10" s="5" t="n">
        <v>0</v>
      </c>
      <c r="CA10" s="5" t="n">
        <v>11.787</v>
      </c>
      <c r="CB10" s="5" t="n">
        <v>0</v>
      </c>
      <c r="CC10" s="5" t="n">
        <v>78.125</v>
      </c>
      <c r="CD10" s="5" t="n">
        <v>7.95</v>
      </c>
      <c r="CE10" s="5" t="n">
        <v>0</v>
      </c>
      <c r="CF10" s="5" t="n">
        <v>93.75</v>
      </c>
      <c r="CG10" s="5" t="n">
        <v>0.2</v>
      </c>
      <c r="CH10" s="5" t="n">
        <v>1</v>
      </c>
      <c r="CI10" s="5" t="n">
        <v>0</v>
      </c>
      <c r="CJ10" s="5" t="n">
        <v>0</v>
      </c>
      <c r="CK10" s="5" t="n">
        <v>0</v>
      </c>
      <c r="CL10" s="5" t="n">
        <v>0</v>
      </c>
      <c r="CM10" s="5" t="n">
        <v>0</v>
      </c>
      <c r="CN10" s="5" t="n">
        <v>0</v>
      </c>
      <c r="CO10" s="5" t="n">
        <v>0</v>
      </c>
      <c r="CP10" s="5" t="n">
        <v>0.577</v>
      </c>
      <c r="CQ10" s="5" t="n">
        <v>1.198</v>
      </c>
      <c r="CR10" s="5" t="n">
        <v>1</v>
      </c>
      <c r="CS10" s="5" t="n">
        <v>4.776</v>
      </c>
      <c r="CT10" s="5" t="n">
        <v>4.41</v>
      </c>
      <c r="CU10" s="5" t="n">
        <v>15.162</v>
      </c>
    </row>
    <row r="11">
      <c r="A11" s="5" t="inlineStr">
        <is>
          <t>ALB2022</t>
        </is>
      </c>
      <c r="B11" s="5" t="inlineStr">
        <is>
          <t>ALB</t>
        </is>
      </c>
      <c r="C11" s="5" t="inlineStr">
        <is>
          <t>ALB</t>
        </is>
      </c>
      <c r="D11" s="5" t="inlineStr">
        <is>
          <t>Albania</t>
        </is>
      </c>
      <c r="E11" s="5" t="n">
        <v>2022</v>
      </c>
      <c r="F11" s="5" t="n">
        <v>0.2</v>
      </c>
      <c r="G11" s="5" t="n">
        <v>3.776</v>
      </c>
      <c r="H11" s="5" t="n">
        <v>0.84</v>
      </c>
      <c r="I11" s="5" t="n">
        <v>0.127</v>
      </c>
      <c r="J11" s="5" t="n">
        <v>3.903</v>
      </c>
      <c r="K11" s="5" t="n">
        <v>0</v>
      </c>
      <c r="L11" s="5" t="n">
        <v>1</v>
      </c>
      <c r="M11" s="5" t="n">
        <v>5.542</v>
      </c>
      <c r="N11" s="5" t="n">
        <v>2.521</v>
      </c>
      <c r="O11" s="5" t="n">
        <v>0</v>
      </c>
      <c r="P11" s="5" t="n">
        <v>5.542</v>
      </c>
      <c r="Q11" s="5" t="n">
        <v>0</v>
      </c>
      <c r="R11" s="5" t="n">
        <v>1</v>
      </c>
      <c r="S11" s="5" t="n">
        <v>7.977</v>
      </c>
      <c r="T11" s="5" t="n">
        <v>5.041</v>
      </c>
      <c r="U11" s="5" t="n">
        <v>0.247</v>
      </c>
      <c r="V11" s="5" t="n">
        <v>9.725</v>
      </c>
      <c r="W11" s="5" t="n">
        <v>0.2</v>
      </c>
      <c r="X11" s="5" t="n">
        <v>1</v>
      </c>
      <c r="Y11" s="5" t="n">
        <v>5.775</v>
      </c>
      <c r="Z11" s="5" t="n">
        <v>0.425</v>
      </c>
      <c r="AA11" s="5" t="n">
        <v>0</v>
      </c>
      <c r="AB11" s="5" t="n">
        <v>5.775</v>
      </c>
      <c r="AC11" s="5" t="n">
        <v>0</v>
      </c>
      <c r="AD11" s="5" t="n">
        <v>1</v>
      </c>
      <c r="AE11" s="5" t="n">
        <v>6.392</v>
      </c>
      <c r="AF11" s="5" t="n">
        <v>0.864</v>
      </c>
      <c r="AG11" s="5" t="n">
        <v>0</v>
      </c>
      <c r="AH11" s="5" t="n">
        <v>6.392</v>
      </c>
      <c r="AI11" s="5" t="n">
        <v>0</v>
      </c>
      <c r="AJ11" s="5" t="n">
        <v>1</v>
      </c>
      <c r="AK11" s="5" t="n">
        <v>10.096</v>
      </c>
      <c r="AL11" s="5" t="n">
        <v>3.751</v>
      </c>
      <c r="AM11" s="5" t="n">
        <v>0.149</v>
      </c>
      <c r="AN11" s="5" t="n">
        <v>12.116</v>
      </c>
      <c r="AO11" s="5" t="n">
        <v>0.2</v>
      </c>
      <c r="AP11" s="5" t="n">
        <v>1</v>
      </c>
      <c r="AQ11" s="5" t="n">
        <v>0.861</v>
      </c>
      <c r="AR11" s="5" t="n">
        <v>0.123</v>
      </c>
      <c r="AS11" s="5" t="n">
        <v>0.676</v>
      </c>
      <c r="AT11" s="5" t="n">
        <v>1.845</v>
      </c>
      <c r="AU11" s="5" t="n">
        <v>0.2</v>
      </c>
      <c r="AV11" s="5" t="n">
        <v>1</v>
      </c>
      <c r="AW11" s="5" t="n">
        <v>0.986</v>
      </c>
      <c r="AX11" s="5" t="n">
        <v>0.123</v>
      </c>
      <c r="AY11" s="5" t="n">
        <v>0.619</v>
      </c>
      <c r="AZ11" s="5" t="n">
        <v>1.926</v>
      </c>
      <c r="BA11" s="5" t="n">
        <v>0.2</v>
      </c>
      <c r="BB11" s="5" t="n">
        <v>1</v>
      </c>
      <c r="BC11" s="5" t="n">
        <v>0.598</v>
      </c>
      <c r="BD11" s="5" t="n">
        <v>0.123</v>
      </c>
      <c r="BE11" s="5" t="n">
        <v>0.008999999999999999</v>
      </c>
      <c r="BF11" s="5" t="n">
        <v>0.717</v>
      </c>
      <c r="BG11" s="5" t="n">
        <v>0.2</v>
      </c>
      <c r="BH11" s="5" t="n">
        <v>1</v>
      </c>
      <c r="BI11" s="5" t="n">
        <v>0.612</v>
      </c>
      <c r="BJ11" s="5" t="n">
        <v>0.123</v>
      </c>
      <c r="BK11" s="5" t="n">
        <v>0.008999999999999999</v>
      </c>
      <c r="BL11" s="5" t="n">
        <v>0.735</v>
      </c>
      <c r="BM11" s="5" t="n">
        <v>0.2</v>
      </c>
      <c r="BN11" s="5" t="n">
        <v>1</v>
      </c>
      <c r="BO11" s="5" t="n">
        <v>0</v>
      </c>
      <c r="BP11" s="5" t="n">
        <v>0</v>
      </c>
      <c r="BQ11" s="5" t="n">
        <v>0.113</v>
      </c>
      <c r="BR11" s="5" t="n">
        <v>0</v>
      </c>
      <c r="BS11" s="5" t="n">
        <v>0.667</v>
      </c>
      <c r="BT11" s="5" t="n">
        <v>0</v>
      </c>
      <c r="BU11" s="5" t="n">
        <v>0</v>
      </c>
      <c r="BV11" s="5" t="n">
        <v>0.101</v>
      </c>
      <c r="BW11" s="5" t="n">
        <v>0.2</v>
      </c>
      <c r="BX11" s="5" t="n">
        <v>0.5</v>
      </c>
      <c r="BY11" s="5" t="n">
        <v>12.729</v>
      </c>
      <c r="BZ11" s="5" t="n">
        <v>0</v>
      </c>
      <c r="CA11" s="5" t="n">
        <v>12.729</v>
      </c>
      <c r="CB11" s="5" t="n">
        <v>0</v>
      </c>
      <c r="CC11" s="5" t="n">
        <v>97.90000000000001</v>
      </c>
      <c r="CD11" s="5" t="n">
        <v>7.95</v>
      </c>
      <c r="CE11" s="5" t="n">
        <v>1.449</v>
      </c>
      <c r="CF11" s="5" t="n">
        <v>117.48</v>
      </c>
      <c r="CG11" s="5" t="n">
        <v>0.2</v>
      </c>
      <c r="CH11" s="5" t="n">
        <v>1</v>
      </c>
      <c r="CI11" s="5" t="n">
        <v>0</v>
      </c>
      <c r="CJ11" s="5" t="n">
        <v>0</v>
      </c>
      <c r="CK11" s="5" t="n">
        <v>0</v>
      </c>
      <c r="CL11" s="5" t="n">
        <v>0</v>
      </c>
      <c r="CM11" s="5" t="n">
        <v>0</v>
      </c>
      <c r="CN11" s="5" t="n">
        <v>0</v>
      </c>
      <c r="CO11" s="5" t="n">
        <v>0</v>
      </c>
      <c r="CP11" s="5" t="n">
        <v>0.639</v>
      </c>
      <c r="CQ11" s="5" t="n">
        <v>1.294</v>
      </c>
      <c r="CR11" s="5" t="n">
        <v>1</v>
      </c>
      <c r="CS11" s="5" t="n">
        <v>5.158</v>
      </c>
      <c r="CT11" s="5" t="n">
        <v>5.842</v>
      </c>
      <c r="CU11" s="5" t="n">
        <v>31.326</v>
      </c>
    </row>
    <row r="12">
      <c r="A12" s="5" t="inlineStr">
        <is>
          <t>ALB2023</t>
        </is>
      </c>
      <c r="B12" s="5" t="inlineStr">
        <is>
          <t>ALB</t>
        </is>
      </c>
      <c r="C12" s="5" t="inlineStr">
        <is>
          <t>ALB</t>
        </is>
      </c>
      <c r="D12" s="5" t="inlineStr">
        <is>
          <t>Albania</t>
        </is>
      </c>
      <c r="E12" s="5" t="n">
        <v>2023</v>
      </c>
      <c r="F12" s="5" t="n">
        <v>0.2</v>
      </c>
      <c r="G12" s="5" t="n">
        <v>3.433</v>
      </c>
      <c r="H12" s="5" t="n">
        <v>0.979</v>
      </c>
      <c r="I12" s="5" t="n">
        <v>1.436</v>
      </c>
      <c r="J12" s="5" t="n">
        <v>4.869</v>
      </c>
      <c r="K12" s="5" t="n">
        <v>0</v>
      </c>
      <c r="L12" s="5" t="n">
        <v>1</v>
      </c>
      <c r="M12" s="5" t="n">
        <v>5.685</v>
      </c>
      <c r="N12" s="5" t="n">
        <v>2.936</v>
      </c>
      <c r="O12" s="5" t="n">
        <v>0</v>
      </c>
      <c r="P12" s="5" t="n">
        <v>5.685</v>
      </c>
      <c r="Q12" s="5" t="n">
        <v>0</v>
      </c>
      <c r="R12" s="5" t="n">
        <v>1</v>
      </c>
      <c r="S12" s="5" t="n">
        <v>8.327</v>
      </c>
      <c r="T12" s="5" t="n">
        <v>5.872</v>
      </c>
      <c r="U12" s="5" t="n">
        <v>1.651</v>
      </c>
      <c r="V12" s="5" t="n">
        <v>11.714</v>
      </c>
      <c r="W12" s="5" t="n">
        <v>0.2</v>
      </c>
      <c r="X12" s="5" t="n">
        <v>1</v>
      </c>
      <c r="Y12" s="5" t="n">
        <v>6.013</v>
      </c>
      <c r="Z12" s="5" t="n">
        <v>0.442</v>
      </c>
      <c r="AA12" s="5" t="n">
        <v>0.762</v>
      </c>
      <c r="AB12" s="5" t="n">
        <v>6.775</v>
      </c>
      <c r="AC12" s="5" t="n">
        <v>0</v>
      </c>
      <c r="AD12" s="5" t="n">
        <v>1</v>
      </c>
      <c r="AE12" s="5" t="n">
        <v>6.656</v>
      </c>
      <c r="AF12" s="5" t="n">
        <v>0.9</v>
      </c>
      <c r="AG12" s="5" t="n">
        <v>0</v>
      </c>
      <c r="AH12" s="5" t="n">
        <v>6.656</v>
      </c>
      <c r="AI12" s="5" t="n">
        <v>0</v>
      </c>
      <c r="AJ12" s="5" t="n">
        <v>1</v>
      </c>
      <c r="AK12" s="5" t="n">
        <v>10.513</v>
      </c>
      <c r="AL12" s="5" t="n">
        <v>3.906</v>
      </c>
      <c r="AM12" s="5" t="n">
        <v>1.012</v>
      </c>
      <c r="AN12" s="5" t="n">
        <v>13.53</v>
      </c>
      <c r="AO12" s="5" t="n">
        <v>0.2</v>
      </c>
      <c r="AP12" s="5" t="n">
        <v>1</v>
      </c>
      <c r="AQ12" s="5" t="n">
        <v>0.76</v>
      </c>
      <c r="AR12" s="5" t="n">
        <v>0.129</v>
      </c>
      <c r="AS12" s="5" t="n">
        <v>0.8169999999999999</v>
      </c>
      <c r="AT12" s="5" t="n">
        <v>1.892</v>
      </c>
      <c r="AU12" s="5" t="n">
        <v>0.2</v>
      </c>
      <c r="AV12" s="5" t="n">
        <v>1</v>
      </c>
      <c r="AW12" s="5" t="n">
        <v>0.8110000000000001</v>
      </c>
      <c r="AX12" s="5" t="n">
        <v>0.129</v>
      </c>
      <c r="AY12" s="5" t="n">
        <v>0.738</v>
      </c>
      <c r="AZ12" s="5" t="n">
        <v>1.859</v>
      </c>
      <c r="BA12" s="5" t="n">
        <v>0.2</v>
      </c>
      <c r="BB12" s="5" t="n">
        <v>1</v>
      </c>
      <c r="BC12" s="5" t="n">
        <v>0.535</v>
      </c>
      <c r="BD12" s="5" t="n">
        <v>0.129</v>
      </c>
      <c r="BE12" s="5" t="n">
        <v>0.012</v>
      </c>
      <c r="BF12" s="5" t="n">
        <v>0.642</v>
      </c>
      <c r="BG12" s="5" t="n">
        <v>0.2</v>
      </c>
      <c r="BH12" s="5" t="n">
        <v>1</v>
      </c>
      <c r="BI12" s="5" t="n">
        <v>0.579</v>
      </c>
      <c r="BJ12" s="5" t="n">
        <v>0.129</v>
      </c>
      <c r="BK12" s="5" t="n">
        <v>0.013</v>
      </c>
      <c r="BL12" s="5" t="n">
        <v>0.695</v>
      </c>
      <c r="BM12" s="5" t="n">
        <v>0.2</v>
      </c>
      <c r="BN12" s="5" t="n">
        <v>1</v>
      </c>
      <c r="BO12" s="5" t="n">
        <v>0</v>
      </c>
      <c r="BP12" s="5" t="n">
        <v>0</v>
      </c>
      <c r="BQ12" s="5" t="n">
        <v>0.127</v>
      </c>
      <c r="BR12" s="5" t="n">
        <v>0</v>
      </c>
      <c r="BS12" s="5" t="n">
        <v>0.667</v>
      </c>
      <c r="BT12" s="5" t="n">
        <v>0</v>
      </c>
      <c r="BU12" s="5" t="n">
        <v>0</v>
      </c>
      <c r="BV12" s="5" t="n">
        <v>0.113</v>
      </c>
      <c r="BW12" s="5" t="n">
        <v>0.2</v>
      </c>
      <c r="BX12" s="5" t="n">
        <v>0.5</v>
      </c>
      <c r="BY12" s="5" t="n">
        <v>13.254</v>
      </c>
      <c r="BZ12" s="5" t="n">
        <v>0</v>
      </c>
      <c r="CA12" s="5" t="n">
        <v>13.254</v>
      </c>
      <c r="CB12" s="5" t="n">
        <v>0</v>
      </c>
      <c r="CC12" s="5" t="n">
        <v>83.248</v>
      </c>
      <c r="CD12" s="5" t="n">
        <v>7.95</v>
      </c>
      <c r="CE12" s="5" t="n">
        <v>1.843</v>
      </c>
      <c r="CF12" s="5" t="n">
        <v>99.898</v>
      </c>
      <c r="CG12" s="5" t="n">
        <v>0.2</v>
      </c>
      <c r="CH12" s="5" t="n">
        <v>1</v>
      </c>
      <c r="CI12" s="5" t="n">
        <v>0</v>
      </c>
      <c r="CJ12" s="5" t="n">
        <v>0</v>
      </c>
      <c r="CK12" s="5" t="n">
        <v>0</v>
      </c>
      <c r="CL12" s="5" t="n">
        <v>0</v>
      </c>
      <c r="CM12" s="5" t="n">
        <v>0</v>
      </c>
      <c r="CN12" s="5" t="n">
        <v>0</v>
      </c>
      <c r="CO12" s="5" t="n">
        <v>0</v>
      </c>
      <c r="CP12" s="5" t="n">
        <v>0.478</v>
      </c>
      <c r="CQ12" s="5" t="n">
        <v>1.348</v>
      </c>
      <c r="CR12" s="5" t="n">
        <v>1</v>
      </c>
      <c r="CS12" s="5" t="n">
        <v>5.37</v>
      </c>
      <c r="CT12" s="5" t="n">
        <v>3.466</v>
      </c>
      <c r="CU12" s="5" t="n">
        <v>11.622</v>
      </c>
    </row>
    <row r="13">
      <c r="A13" s="5" t="inlineStr">
        <is>
          <t>ALB2024</t>
        </is>
      </c>
      <c r="B13" s="5" t="inlineStr">
        <is>
          <t>ALB</t>
        </is>
      </c>
      <c r="C13" s="5" t="inlineStr">
        <is>
          <t>ALB</t>
        </is>
      </c>
      <c r="D13" s="5" t="inlineStr">
        <is>
          <t>Albania</t>
        </is>
      </c>
      <c r="E13" s="5" t="n">
        <v>2024</v>
      </c>
      <c r="F13" s="5" t="n">
        <v>0.2</v>
      </c>
      <c r="G13" s="5" t="n">
        <v>3.252</v>
      </c>
      <c r="H13" s="5" t="n">
        <v>1.008</v>
      </c>
      <c r="I13" s="5" t="n">
        <v>1.462</v>
      </c>
      <c r="J13" s="5" t="n">
        <v>4.713</v>
      </c>
      <c r="K13" s="5" t="n">
        <v>0</v>
      </c>
      <c r="L13" s="5" t="n">
        <v>1</v>
      </c>
      <c r="M13" s="5" t="n">
        <v>5.333</v>
      </c>
      <c r="N13" s="5" t="n">
        <v>3.023</v>
      </c>
      <c r="O13" s="5" t="n">
        <v>0</v>
      </c>
      <c r="P13" s="5" t="n">
        <v>5.333</v>
      </c>
      <c r="Q13" s="5" t="n">
        <v>0</v>
      </c>
      <c r="R13" s="5" t="n">
        <v>1</v>
      </c>
      <c r="S13" s="5" t="n">
        <v>8.289</v>
      </c>
      <c r="T13" s="5" t="n">
        <v>6.045</v>
      </c>
      <c r="U13" s="5" t="n">
        <v>1.726</v>
      </c>
      <c r="V13" s="5" t="n">
        <v>11.7</v>
      </c>
      <c r="W13" s="5" t="n">
        <v>0.2</v>
      </c>
      <c r="X13" s="5" t="n">
        <v>1</v>
      </c>
      <c r="Y13" s="5" t="n">
        <v>6.191</v>
      </c>
      <c r="Z13" s="5" t="n">
        <v>0.455</v>
      </c>
      <c r="AA13" s="5" t="n">
        <v>0.785</v>
      </c>
      <c r="AB13" s="5" t="n">
        <v>6.975</v>
      </c>
      <c r="AC13" s="5" t="n">
        <v>0</v>
      </c>
      <c r="AD13" s="5" t="n">
        <v>1</v>
      </c>
      <c r="AE13" s="5" t="n">
        <v>6.853</v>
      </c>
      <c r="AF13" s="5" t="n">
        <v>0.926</v>
      </c>
      <c r="AG13" s="5" t="n">
        <v>0</v>
      </c>
      <c r="AH13" s="5" t="n">
        <v>6.853</v>
      </c>
      <c r="AI13" s="5" t="n">
        <v>0</v>
      </c>
      <c r="AJ13" s="5" t="n">
        <v>1</v>
      </c>
      <c r="AK13" s="5" t="n">
        <v>10.823</v>
      </c>
      <c r="AL13" s="5" t="n">
        <v>4.021</v>
      </c>
      <c r="AM13" s="5" t="n">
        <v>1.101</v>
      </c>
      <c r="AN13" s="5" t="n">
        <v>13.93</v>
      </c>
      <c r="AO13" s="5" t="n">
        <v>0.2</v>
      </c>
      <c r="AP13" s="5" t="n">
        <v>1</v>
      </c>
      <c r="AQ13" s="5" t="n">
        <v>0.724</v>
      </c>
      <c r="AR13" s="5" t="n">
        <v>0.132</v>
      </c>
      <c r="AS13" s="5" t="n">
        <v>0.91</v>
      </c>
      <c r="AT13" s="5" t="n">
        <v>1.961</v>
      </c>
      <c r="AU13" s="5" t="n">
        <v>0.2</v>
      </c>
      <c r="AV13" s="5" t="n">
        <v>1</v>
      </c>
      <c r="AW13" s="5" t="n">
        <v>0.75</v>
      </c>
      <c r="AX13" s="5" t="n">
        <v>0.132</v>
      </c>
      <c r="AY13" s="5" t="n">
        <v>0.846</v>
      </c>
      <c r="AZ13" s="5" t="n">
        <v>1.915</v>
      </c>
      <c r="BA13" s="5" t="n">
        <v>0.2</v>
      </c>
      <c r="BB13" s="5" t="n">
        <v>1</v>
      </c>
      <c r="BC13" s="5" t="n">
        <v>0.513</v>
      </c>
      <c r="BD13" s="5" t="n">
        <v>0.132</v>
      </c>
      <c r="BE13" s="5" t="n">
        <v>0.014</v>
      </c>
      <c r="BF13" s="5" t="n">
        <v>0.616</v>
      </c>
      <c r="BG13" s="5" t="n">
        <v>0.2</v>
      </c>
      <c r="BH13" s="5" t="n">
        <v>1</v>
      </c>
      <c r="BI13" s="5" t="n">
        <v>0.591</v>
      </c>
      <c r="BJ13" s="5" t="n">
        <v>0.132</v>
      </c>
      <c r="BK13" s="5" t="n">
        <v>0.016</v>
      </c>
      <c r="BL13" s="5" t="n">
        <v>0.71</v>
      </c>
      <c r="BM13" s="5" t="n">
        <v>0.2</v>
      </c>
      <c r="BN13" s="5" t="n">
        <v>1</v>
      </c>
      <c r="BO13" s="5" t="n">
        <v>0</v>
      </c>
      <c r="BP13" s="5" t="n">
        <v>0</v>
      </c>
      <c r="BQ13" s="5" t="n">
        <v>0.138</v>
      </c>
      <c r="BR13" s="5" t="n">
        <v>0</v>
      </c>
      <c r="BS13" s="5" t="n">
        <v>0.667</v>
      </c>
      <c r="BT13" s="5" t="n">
        <v>0</v>
      </c>
      <c r="BU13" s="5" t="n">
        <v>0</v>
      </c>
      <c r="BV13" s="5" t="n">
        <v>0.123</v>
      </c>
      <c r="BW13" s="5" t="n">
        <v>0.2</v>
      </c>
      <c r="BX13" s="5" t="n">
        <v>0.5</v>
      </c>
      <c r="BY13" s="5" t="n">
        <v>13.646</v>
      </c>
      <c r="BZ13" s="5" t="n">
        <v>0</v>
      </c>
      <c r="CA13" s="5" t="n">
        <v>13.646</v>
      </c>
      <c r="CB13" s="5" t="n">
        <v>0</v>
      </c>
      <c r="CC13" s="5" t="n">
        <v>82.58799999999999</v>
      </c>
      <c r="CD13" s="5" t="n">
        <v>7.95</v>
      </c>
      <c r="CE13" s="5" t="n">
        <v>2.25</v>
      </c>
      <c r="CF13" s="5" t="n">
        <v>99.10599999999999</v>
      </c>
      <c r="CG13" s="5" t="n">
        <v>0.2</v>
      </c>
      <c r="CH13" s="5" t="n">
        <v>1</v>
      </c>
      <c r="CI13" s="5" t="n">
        <v>0</v>
      </c>
      <c r="CJ13" s="5" t="n">
        <v>0</v>
      </c>
      <c r="CK13" s="5" t="n">
        <v>0</v>
      </c>
      <c r="CL13" s="5" t="n">
        <v>0</v>
      </c>
      <c r="CM13" s="5" t="n">
        <v>0</v>
      </c>
      <c r="CN13" s="5" t="n">
        <v>0</v>
      </c>
      <c r="CO13" s="5" t="n">
        <v>0</v>
      </c>
      <c r="CP13" s="5" t="n">
        <v>0.478</v>
      </c>
      <c r="CQ13" s="5" t="n">
        <v>1.387</v>
      </c>
      <c r="CR13" s="5" t="n">
        <v>1</v>
      </c>
      <c r="CS13" s="5" t="n">
        <v>5.529</v>
      </c>
      <c r="CT13" s="5" t="n">
        <v>3.027</v>
      </c>
      <c r="CU13" s="5" t="n">
        <v>10.168</v>
      </c>
    </row>
    <row r="14">
      <c r="A14" s="5" t="inlineStr">
        <is>
          <t>DZA2021</t>
        </is>
      </c>
      <c r="B14" s="5" t="inlineStr">
        <is>
          <t>DZA</t>
        </is>
      </c>
      <c r="C14" s="5" t="inlineStr">
        <is>
          <t>DZA</t>
        </is>
      </c>
      <c r="D14" s="5" t="inlineStr">
        <is>
          <t>Algeria</t>
        </is>
      </c>
      <c r="E14" s="5" t="n">
        <v>2021</v>
      </c>
      <c r="F14" s="5" t="n">
        <v>0.19</v>
      </c>
      <c r="G14" s="5" t="n">
        <v>5.897</v>
      </c>
      <c r="H14" s="5" t="n">
        <v>1.143</v>
      </c>
      <c r="I14" s="5" t="n">
        <v>0.238</v>
      </c>
      <c r="J14" s="5" t="n">
        <v>6.134</v>
      </c>
      <c r="K14" s="5" t="n">
        <v>0</v>
      </c>
      <c r="L14" s="5" t="n">
        <v>1</v>
      </c>
      <c r="M14" s="5" t="n">
        <v>7.964</v>
      </c>
      <c r="N14" s="5" t="n">
        <v>3.43</v>
      </c>
      <c r="O14" s="5" t="n">
        <v>0.227</v>
      </c>
      <c r="P14" s="5" t="n">
        <v>8.191000000000001</v>
      </c>
      <c r="Q14" s="5" t="n">
        <v>0</v>
      </c>
      <c r="R14" s="5" t="n">
        <v>1</v>
      </c>
      <c r="S14" s="5" t="n">
        <v>11.613</v>
      </c>
      <c r="T14" s="5" t="n">
        <v>6.86</v>
      </c>
      <c r="U14" s="5" t="n">
        <v>0.238</v>
      </c>
      <c r="V14" s="5" t="n">
        <v>14.103</v>
      </c>
      <c r="W14" s="5" t="n">
        <v>0.19</v>
      </c>
      <c r="X14" s="5" t="n">
        <v>1</v>
      </c>
      <c r="Y14" s="5" t="n">
        <v>3.799</v>
      </c>
      <c r="Z14" s="5" t="n">
        <v>0.417</v>
      </c>
      <c r="AA14" s="5" t="n">
        <v>-2.687</v>
      </c>
      <c r="AB14" s="5" t="n">
        <v>1.112</v>
      </c>
      <c r="AC14" s="5" t="n">
        <v>0</v>
      </c>
      <c r="AD14" s="5" t="n">
        <v>0</v>
      </c>
      <c r="AE14" s="5" t="n">
        <v>4.371</v>
      </c>
      <c r="AF14" s="5" t="n">
        <v>0.85</v>
      </c>
      <c r="AG14" s="5" t="n">
        <v>-3.388</v>
      </c>
      <c r="AH14" s="5" t="n">
        <v>0.983</v>
      </c>
      <c r="AI14" s="5" t="n">
        <v>0</v>
      </c>
      <c r="AJ14" s="5" t="n">
        <v>0</v>
      </c>
      <c r="AK14" s="5" t="n">
        <v>7.801</v>
      </c>
      <c r="AL14" s="5" t="n">
        <v>3.68</v>
      </c>
      <c r="AM14" s="5" t="n">
        <v>-7.137</v>
      </c>
      <c r="AN14" s="5" t="n">
        <v>0.79</v>
      </c>
      <c r="AO14" s="5" t="n">
        <v>0</v>
      </c>
      <c r="AP14" s="5" t="n">
        <v>0</v>
      </c>
      <c r="AQ14" s="5" t="n">
        <v>0.621</v>
      </c>
      <c r="AR14" s="5" t="n">
        <v>0.114</v>
      </c>
      <c r="AS14" s="5" t="n">
        <v>-0.335</v>
      </c>
      <c r="AT14" s="5" t="n">
        <v>0.34</v>
      </c>
      <c r="AU14" s="5" t="n">
        <v>0</v>
      </c>
      <c r="AV14" s="5" t="n">
        <v>0</v>
      </c>
      <c r="AW14" s="5" t="n">
        <v>0.593</v>
      </c>
      <c r="AX14" s="5" t="n">
        <v>0.114</v>
      </c>
      <c r="AY14" s="5" t="n">
        <v>-0.413</v>
      </c>
      <c r="AZ14" s="5" t="n">
        <v>0.215</v>
      </c>
      <c r="BA14" s="5" t="n">
        <v>0</v>
      </c>
      <c r="BB14" s="5" t="n">
        <v>0</v>
      </c>
      <c r="BC14" s="5" t="n">
        <v>0.44</v>
      </c>
      <c r="BD14" s="5" t="n">
        <v>0.114</v>
      </c>
      <c r="BE14" s="5" t="n">
        <v>-0.384</v>
      </c>
      <c r="BF14" s="5" t="n">
        <v>0.067</v>
      </c>
      <c r="BG14" s="5" t="n">
        <v>0</v>
      </c>
      <c r="BH14" s="5" t="n">
        <v>0</v>
      </c>
      <c r="BI14" s="5" t="n">
        <v>0.5600000000000001</v>
      </c>
      <c r="BJ14" s="5" t="n">
        <v>0.114</v>
      </c>
      <c r="BK14" s="5" t="n">
        <v>0</v>
      </c>
      <c r="BL14" s="5" t="n">
        <v>0.667</v>
      </c>
      <c r="BM14" s="5" t="n">
        <v>0.19</v>
      </c>
      <c r="BN14" s="5" t="n">
        <v>1</v>
      </c>
      <c r="BO14" s="5" t="n">
        <v>0</v>
      </c>
      <c r="BP14" s="5" t="n">
        <v>-0.067</v>
      </c>
      <c r="BQ14" s="5" t="n">
        <v>0.013</v>
      </c>
      <c r="BR14" s="5" t="n">
        <v>0</v>
      </c>
      <c r="BS14" s="5" t="n">
        <v>0.667</v>
      </c>
      <c r="BT14" s="5" t="n">
        <v>0</v>
      </c>
      <c r="BU14" s="5" t="n">
        <v>-0.067</v>
      </c>
      <c r="BV14" s="5" t="n">
        <v>0.04</v>
      </c>
      <c r="BW14" s="5" t="n">
        <v>0</v>
      </c>
      <c r="BX14" s="5" t="n">
        <v>0.667</v>
      </c>
      <c r="BY14" s="5" t="n">
        <v>11.787</v>
      </c>
      <c r="BZ14" s="5" t="n">
        <v>0</v>
      </c>
      <c r="CA14" s="5" t="n">
        <v>11.787</v>
      </c>
      <c r="CB14" s="5" t="n">
        <v>0</v>
      </c>
      <c r="CC14" s="5" t="n">
        <v>81.69499999999999</v>
      </c>
      <c r="CD14" s="5" t="n">
        <v>7.95</v>
      </c>
      <c r="CE14" s="5" t="n">
        <v>-68.24299999999999</v>
      </c>
      <c r="CF14" s="5" t="n">
        <v>16.009</v>
      </c>
      <c r="CG14" s="5" t="n">
        <v>0</v>
      </c>
      <c r="CH14" s="5" t="n">
        <v>0</v>
      </c>
      <c r="CI14" s="5" t="n">
        <v>0</v>
      </c>
      <c r="CJ14" s="5" t="n">
        <v>0</v>
      </c>
      <c r="CK14" s="5" t="n">
        <v>0</v>
      </c>
      <c r="CL14" s="5" t="n">
        <v>0</v>
      </c>
      <c r="CM14" s="5" t="n">
        <v>0</v>
      </c>
      <c r="CN14" s="5" t="n">
        <v>0</v>
      </c>
      <c r="CO14" s="5" t="n">
        <v>0</v>
      </c>
      <c r="CP14" s="5" t="n">
        <v>0</v>
      </c>
      <c r="CQ14" s="5" t="n">
        <v>1.198</v>
      </c>
      <c r="CR14" s="5" t="n">
        <v>1</v>
      </c>
      <c r="CS14" s="5" t="n">
        <v>3.228</v>
      </c>
      <c r="CT14" s="5" t="n">
        <v>4.753</v>
      </c>
      <c r="CU14" s="5" t="n">
        <v>14.129</v>
      </c>
    </row>
    <row r="15">
      <c r="A15" s="5" t="inlineStr">
        <is>
          <t>DZA2022</t>
        </is>
      </c>
      <c r="B15" s="5" t="inlineStr">
        <is>
          <t>DZA</t>
        </is>
      </c>
      <c r="C15" s="5" t="inlineStr">
        <is>
          <t>DZA</t>
        </is>
      </c>
      <c r="D15" s="5" t="inlineStr">
        <is>
          <t>Algeria</t>
        </is>
      </c>
      <c r="E15" s="5" t="n">
        <v>2022</v>
      </c>
      <c r="F15" s="5" t="n">
        <v>0.19</v>
      </c>
      <c r="G15" s="5" t="n">
        <v>11.667</v>
      </c>
      <c r="H15" s="5" t="n">
        <v>1.231</v>
      </c>
      <c r="I15" s="5" t="n">
        <v>0.5629999999999999</v>
      </c>
      <c r="J15" s="5" t="n">
        <v>12.23</v>
      </c>
      <c r="K15" s="5" t="n">
        <v>0</v>
      </c>
      <c r="L15" s="5" t="n">
        <v>1</v>
      </c>
      <c r="M15" s="5" t="n">
        <v>9.747</v>
      </c>
      <c r="N15" s="5" t="n">
        <v>3.694</v>
      </c>
      <c r="O15" s="5" t="n">
        <v>0.326</v>
      </c>
      <c r="P15" s="5" t="n">
        <v>10.073</v>
      </c>
      <c r="Q15" s="5" t="n">
        <v>0</v>
      </c>
      <c r="R15" s="5" t="n">
        <v>1</v>
      </c>
      <c r="S15" s="5" t="n">
        <v>17.824</v>
      </c>
      <c r="T15" s="5" t="n">
        <v>7.388</v>
      </c>
      <c r="U15" s="5" t="n">
        <v>0.822</v>
      </c>
      <c r="V15" s="5" t="n">
        <v>21.881</v>
      </c>
      <c r="W15" s="5" t="n">
        <v>0.19</v>
      </c>
      <c r="X15" s="5" t="n">
        <v>1</v>
      </c>
      <c r="Y15" s="5" t="n">
        <v>4.103</v>
      </c>
      <c r="Z15" s="5" t="n">
        <v>0.45</v>
      </c>
      <c r="AA15" s="5" t="n">
        <v>-2.902</v>
      </c>
      <c r="AB15" s="5" t="n">
        <v>1.201</v>
      </c>
      <c r="AC15" s="5" t="n">
        <v>0</v>
      </c>
      <c r="AD15" s="5" t="n">
        <v>0</v>
      </c>
      <c r="AE15" s="5" t="n">
        <v>4.72</v>
      </c>
      <c r="AF15" s="5" t="n">
        <v>0.918</v>
      </c>
      <c r="AG15" s="5" t="n">
        <v>-3.785</v>
      </c>
      <c r="AH15" s="5" t="n">
        <v>0.9350000000000001</v>
      </c>
      <c r="AI15" s="5" t="n">
        <v>0</v>
      </c>
      <c r="AJ15" s="5" t="n">
        <v>0</v>
      </c>
      <c r="AK15" s="5" t="n">
        <v>8.423999999999999</v>
      </c>
      <c r="AL15" s="5" t="n">
        <v>3.974</v>
      </c>
      <c r="AM15" s="5" t="n">
        <v>-7.793</v>
      </c>
      <c r="AN15" s="5" t="n">
        <v>0.751</v>
      </c>
      <c r="AO15" s="5" t="n">
        <v>0</v>
      </c>
      <c r="AP15" s="5" t="n">
        <v>0</v>
      </c>
      <c r="AQ15" s="5" t="n">
        <v>0.847</v>
      </c>
      <c r="AR15" s="5" t="n">
        <v>0.123</v>
      </c>
      <c r="AS15" s="5" t="n">
        <v>-0.575</v>
      </c>
      <c r="AT15" s="5" t="n">
        <v>0.324</v>
      </c>
      <c r="AU15" s="5" t="n">
        <v>0</v>
      </c>
      <c r="AV15" s="5" t="n">
        <v>0</v>
      </c>
      <c r="AW15" s="5" t="n">
        <v>0.947</v>
      </c>
      <c r="AX15" s="5" t="n">
        <v>0.123</v>
      </c>
      <c r="AY15" s="5" t="n">
        <v>-0.775</v>
      </c>
      <c r="AZ15" s="5" t="n">
        <v>0.204</v>
      </c>
      <c r="BA15" s="5" t="n">
        <v>0</v>
      </c>
      <c r="BB15" s="5" t="n">
        <v>0</v>
      </c>
      <c r="BC15" s="5" t="n">
        <v>0.589</v>
      </c>
      <c r="BD15" s="5" t="n">
        <v>0.123</v>
      </c>
      <c r="BE15" s="5" t="n">
        <v>-0.535</v>
      </c>
      <c r="BF15" s="5" t="n">
        <v>0.063</v>
      </c>
      <c r="BG15" s="5" t="n">
        <v>0</v>
      </c>
      <c r="BH15" s="5" t="n">
        <v>0</v>
      </c>
      <c r="BI15" s="5" t="n">
        <v>0.6889999999999999</v>
      </c>
      <c r="BJ15" s="5" t="n">
        <v>0.123</v>
      </c>
      <c r="BK15" s="5" t="n">
        <v>0.01</v>
      </c>
      <c r="BL15" s="5" t="n">
        <v>0.82</v>
      </c>
      <c r="BM15" s="5" t="n">
        <v>0.19</v>
      </c>
      <c r="BN15" s="5" t="n">
        <v>1</v>
      </c>
      <c r="BO15" s="5" t="n">
        <v>0</v>
      </c>
      <c r="BP15" s="5" t="n">
        <v>-0.067</v>
      </c>
      <c r="BQ15" s="5" t="n">
        <v>0.012</v>
      </c>
      <c r="BR15" s="5" t="n">
        <v>0</v>
      </c>
      <c r="BS15" s="5" t="n">
        <v>0.667</v>
      </c>
      <c r="BT15" s="5" t="n">
        <v>0</v>
      </c>
      <c r="BU15" s="5" t="n">
        <v>-0.067</v>
      </c>
      <c r="BV15" s="5" t="n">
        <v>0.038</v>
      </c>
      <c r="BW15" s="5" t="n">
        <v>0</v>
      </c>
      <c r="BX15" s="5" t="n">
        <v>0.667</v>
      </c>
      <c r="BY15" s="5" t="n">
        <v>12.729</v>
      </c>
      <c r="BZ15" s="5" t="n">
        <v>0</v>
      </c>
      <c r="CA15" s="5" t="n">
        <v>12.729</v>
      </c>
      <c r="CB15" s="5" t="n">
        <v>0</v>
      </c>
      <c r="CC15" s="5" t="n">
        <v>102.477</v>
      </c>
      <c r="CD15" s="5" t="n">
        <v>7.95</v>
      </c>
      <c r="CE15" s="5" t="n">
        <v>-89.68000000000001</v>
      </c>
      <c r="CF15" s="5" t="n">
        <v>15.227</v>
      </c>
      <c r="CG15" s="5" t="n">
        <v>0</v>
      </c>
      <c r="CH15" s="5" t="n">
        <v>0</v>
      </c>
      <c r="CI15" s="5" t="n">
        <v>0</v>
      </c>
      <c r="CJ15" s="5" t="n">
        <v>0</v>
      </c>
      <c r="CK15" s="5" t="n">
        <v>0</v>
      </c>
      <c r="CL15" s="5" t="n">
        <v>0</v>
      </c>
      <c r="CM15" s="5" t="n">
        <v>0</v>
      </c>
      <c r="CN15" s="5" t="n">
        <v>0</v>
      </c>
      <c r="CO15" s="5" t="n">
        <v>0</v>
      </c>
      <c r="CP15" s="5" t="n">
        <v>0.005</v>
      </c>
      <c r="CQ15" s="5" t="n">
        <v>1.294</v>
      </c>
      <c r="CR15" s="5" t="n">
        <v>1</v>
      </c>
      <c r="CS15" s="5" t="n">
        <v>3.486</v>
      </c>
      <c r="CT15" s="5" t="n">
        <v>10.485</v>
      </c>
      <c r="CU15" s="5" t="n">
        <v>28.059</v>
      </c>
    </row>
    <row r="16">
      <c r="A16" s="5" t="inlineStr">
        <is>
          <t>DZA2023</t>
        </is>
      </c>
      <c r="B16" s="5" t="inlineStr">
        <is>
          <t>DZA</t>
        </is>
      </c>
      <c r="C16" s="5" t="inlineStr">
        <is>
          <t>DZA</t>
        </is>
      </c>
      <c r="D16" s="5" t="inlineStr">
        <is>
          <t>Algeria</t>
        </is>
      </c>
      <c r="E16" s="5" t="n">
        <v>2023</v>
      </c>
      <c r="F16" s="5" t="n">
        <v>0.19</v>
      </c>
      <c r="G16" s="5" t="n">
        <v>6.147</v>
      </c>
      <c r="H16" s="5" t="n">
        <v>1.286</v>
      </c>
      <c r="I16" s="5" t="n">
        <v>0.273</v>
      </c>
      <c r="J16" s="5" t="n">
        <v>6.42</v>
      </c>
      <c r="K16" s="5" t="n">
        <v>0</v>
      </c>
      <c r="L16" s="5" t="n">
        <v>1</v>
      </c>
      <c r="M16" s="5" t="n">
        <v>7.886</v>
      </c>
      <c r="N16" s="5" t="n">
        <v>3.857</v>
      </c>
      <c r="O16" s="5" t="n">
        <v>0.227</v>
      </c>
      <c r="P16" s="5" t="n">
        <v>8.113</v>
      </c>
      <c r="Q16" s="5" t="n">
        <v>0</v>
      </c>
      <c r="R16" s="5" t="n">
        <v>1</v>
      </c>
      <c r="S16" s="5" t="n">
        <v>12.575</v>
      </c>
      <c r="T16" s="5" t="n">
        <v>7.714</v>
      </c>
      <c r="U16" s="5" t="n">
        <v>0.544</v>
      </c>
      <c r="V16" s="5" t="n">
        <v>15.29</v>
      </c>
      <c r="W16" s="5" t="n">
        <v>0.19</v>
      </c>
      <c r="X16" s="5" t="n">
        <v>1</v>
      </c>
      <c r="Y16" s="5" t="n">
        <v>4.272</v>
      </c>
      <c r="Z16" s="5" t="n">
        <v>0.469</v>
      </c>
      <c r="AA16" s="5" t="n">
        <v>-3.047</v>
      </c>
      <c r="AB16" s="5" t="n">
        <v>1.225</v>
      </c>
      <c r="AC16" s="5" t="n">
        <v>0</v>
      </c>
      <c r="AD16" s="5" t="n">
        <v>0</v>
      </c>
      <c r="AE16" s="5" t="n">
        <v>4.915</v>
      </c>
      <c r="AF16" s="5" t="n">
        <v>0.956</v>
      </c>
      <c r="AG16" s="5" t="n">
        <v>-3.938</v>
      </c>
      <c r="AH16" s="5" t="n">
        <v>0.977</v>
      </c>
      <c r="AI16" s="5" t="n">
        <v>0</v>
      </c>
      <c r="AJ16" s="5" t="n">
        <v>0</v>
      </c>
      <c r="AK16" s="5" t="n">
        <v>8.772</v>
      </c>
      <c r="AL16" s="5" t="n">
        <v>4.138</v>
      </c>
      <c r="AM16" s="5" t="n">
        <v>-8.112</v>
      </c>
      <c r="AN16" s="5" t="n">
        <v>0.785</v>
      </c>
      <c r="AO16" s="5" t="n">
        <v>0</v>
      </c>
      <c r="AP16" s="5" t="n">
        <v>0</v>
      </c>
      <c r="AQ16" s="5" t="n">
        <v>0.749</v>
      </c>
      <c r="AR16" s="5" t="n">
        <v>0.129</v>
      </c>
      <c r="AS16" s="5" t="n">
        <v>-0.464</v>
      </c>
      <c r="AT16" s="5" t="n">
        <v>0.338</v>
      </c>
      <c r="AU16" s="5" t="n">
        <v>0</v>
      </c>
      <c r="AV16" s="5" t="n">
        <v>0</v>
      </c>
      <c r="AW16" s="5" t="n">
        <v>0.783</v>
      </c>
      <c r="AX16" s="5" t="n">
        <v>0.129</v>
      </c>
      <c r="AY16" s="5" t="n">
        <v>-0.603</v>
      </c>
      <c r="AZ16" s="5" t="n">
        <v>0.214</v>
      </c>
      <c r="BA16" s="5" t="n">
        <v>0</v>
      </c>
      <c r="BB16" s="5" t="n">
        <v>0</v>
      </c>
      <c r="BC16" s="5" t="n">
        <v>0.527</v>
      </c>
      <c r="BD16" s="5" t="n">
        <v>0.129</v>
      </c>
      <c r="BE16" s="5" t="n">
        <v>-0.472</v>
      </c>
      <c r="BF16" s="5" t="n">
        <v>0.066</v>
      </c>
      <c r="BG16" s="5" t="n">
        <v>0</v>
      </c>
      <c r="BH16" s="5" t="n">
        <v>0</v>
      </c>
      <c r="BI16" s="5" t="n">
        <v>0.64</v>
      </c>
      <c r="BJ16" s="5" t="n">
        <v>0.129</v>
      </c>
      <c r="BK16" s="5" t="n">
        <v>0.013</v>
      </c>
      <c r="BL16" s="5" t="n">
        <v>0.761</v>
      </c>
      <c r="BM16" s="5" t="n">
        <v>0.19</v>
      </c>
      <c r="BN16" s="5" t="n">
        <v>1</v>
      </c>
      <c r="BO16" s="5" t="n">
        <v>0</v>
      </c>
      <c r="BP16" s="5" t="n">
        <v>-0.067</v>
      </c>
      <c r="BQ16" s="5" t="n">
        <v>0.013</v>
      </c>
      <c r="BR16" s="5" t="n">
        <v>0</v>
      </c>
      <c r="BS16" s="5" t="n">
        <v>0.667</v>
      </c>
      <c r="BT16" s="5" t="n">
        <v>0</v>
      </c>
      <c r="BU16" s="5" t="n">
        <v>-0.067</v>
      </c>
      <c r="BV16" s="5" t="n">
        <v>0.039</v>
      </c>
      <c r="BW16" s="5" t="n">
        <v>0</v>
      </c>
      <c r="BX16" s="5" t="n">
        <v>0.667</v>
      </c>
      <c r="BY16" s="5" t="n">
        <v>13.254</v>
      </c>
      <c r="BZ16" s="5" t="n">
        <v>0</v>
      </c>
      <c r="CA16" s="5" t="n">
        <v>13.254</v>
      </c>
      <c r="CB16" s="5" t="n">
        <v>0</v>
      </c>
      <c r="CC16" s="5" t="n">
        <v>87.07899999999999</v>
      </c>
      <c r="CD16" s="5" t="n">
        <v>7.95</v>
      </c>
      <c r="CE16" s="5" t="n">
        <v>-73.703</v>
      </c>
      <c r="CF16" s="5" t="n">
        <v>15.917</v>
      </c>
      <c r="CG16" s="5" t="n">
        <v>0</v>
      </c>
      <c r="CH16" s="5" t="n">
        <v>0</v>
      </c>
      <c r="CI16" s="5" t="n">
        <v>0</v>
      </c>
      <c r="CJ16" s="5" t="n">
        <v>0</v>
      </c>
      <c r="CK16" s="5" t="n">
        <v>0</v>
      </c>
      <c r="CL16" s="5" t="n">
        <v>0</v>
      </c>
      <c r="CM16" s="5" t="n">
        <v>0</v>
      </c>
      <c r="CN16" s="5" t="n">
        <v>0</v>
      </c>
      <c r="CO16" s="5" t="n">
        <v>0</v>
      </c>
      <c r="CP16" s="5" t="n">
        <v>0</v>
      </c>
      <c r="CQ16" s="5" t="n">
        <v>1.348</v>
      </c>
      <c r="CR16" s="5" t="n">
        <v>1</v>
      </c>
      <c r="CS16" s="5" t="n">
        <v>3.629</v>
      </c>
      <c r="CT16" s="5" t="n">
        <v>4.861</v>
      </c>
      <c r="CU16" s="5" t="n">
        <v>9.260999999999999</v>
      </c>
    </row>
    <row r="17">
      <c r="A17" s="5" t="inlineStr">
        <is>
          <t>DZA2024</t>
        </is>
      </c>
      <c r="B17" s="5" t="inlineStr">
        <is>
          <t>DZA</t>
        </is>
      </c>
      <c r="C17" s="5" t="inlineStr">
        <is>
          <t>DZA</t>
        </is>
      </c>
      <c r="D17" s="5" t="inlineStr">
        <is>
          <t>Algeria</t>
        </is>
      </c>
      <c r="E17" s="5" t="n">
        <v>2024</v>
      </c>
      <c r="F17" s="5" t="n">
        <v>0.19</v>
      </c>
      <c r="G17" s="5" t="n">
        <v>5.575</v>
      </c>
      <c r="H17" s="5" t="n">
        <v>1.324</v>
      </c>
      <c r="I17" s="5" t="n">
        <v>0.213</v>
      </c>
      <c r="J17" s="5" t="n">
        <v>5.787</v>
      </c>
      <c r="K17" s="5" t="n">
        <v>0</v>
      </c>
      <c r="L17" s="5" t="n">
        <v>1</v>
      </c>
      <c r="M17" s="5" t="n">
        <v>7.124</v>
      </c>
      <c r="N17" s="5" t="n">
        <v>3.971</v>
      </c>
      <c r="O17" s="5" t="n">
        <v>0.158</v>
      </c>
      <c r="P17" s="5" t="n">
        <v>7.281</v>
      </c>
      <c r="Q17" s="5" t="n">
        <v>0</v>
      </c>
      <c r="R17" s="5" t="n">
        <v>1</v>
      </c>
      <c r="S17" s="5" t="n">
        <v>12.193</v>
      </c>
      <c r="T17" s="5" t="n">
        <v>7.942</v>
      </c>
      <c r="U17" s="5" t="n">
        <v>0.534</v>
      </c>
      <c r="V17" s="5" t="n">
        <v>14.762</v>
      </c>
      <c r="W17" s="5" t="n">
        <v>0.19</v>
      </c>
      <c r="X17" s="5" t="n">
        <v>1</v>
      </c>
      <c r="Y17" s="5" t="n">
        <v>4.398</v>
      </c>
      <c r="Z17" s="5" t="n">
        <v>0.483</v>
      </c>
      <c r="AA17" s="5" t="n">
        <v>-3.137</v>
      </c>
      <c r="AB17" s="5" t="n">
        <v>1.262</v>
      </c>
      <c r="AC17" s="5" t="n">
        <v>0</v>
      </c>
      <c r="AD17" s="5" t="n">
        <v>0</v>
      </c>
      <c r="AE17" s="5" t="n">
        <v>5.06</v>
      </c>
      <c r="AF17" s="5" t="n">
        <v>0.984</v>
      </c>
      <c r="AG17" s="5" t="n">
        <v>-4.07</v>
      </c>
      <c r="AH17" s="5" t="n">
        <v>0.99</v>
      </c>
      <c r="AI17" s="5" t="n">
        <v>0</v>
      </c>
      <c r="AJ17" s="5" t="n">
        <v>0</v>
      </c>
      <c r="AK17" s="5" t="n">
        <v>9.031000000000001</v>
      </c>
      <c r="AL17" s="5" t="n">
        <v>4.26</v>
      </c>
      <c r="AM17" s="5" t="n">
        <v>-8.362</v>
      </c>
      <c r="AN17" s="5" t="n">
        <v>0.796</v>
      </c>
      <c r="AO17" s="5" t="n">
        <v>0</v>
      </c>
      <c r="AP17" s="5" t="n">
        <v>0</v>
      </c>
      <c r="AQ17" s="5" t="n">
        <v>0.72</v>
      </c>
      <c r="AR17" s="5" t="n">
        <v>0.132</v>
      </c>
      <c r="AS17" s="5" t="n">
        <v>-0.432</v>
      </c>
      <c r="AT17" s="5" t="n">
        <v>0.343</v>
      </c>
      <c r="AU17" s="5" t="n">
        <v>0</v>
      </c>
      <c r="AV17" s="5" t="n">
        <v>0</v>
      </c>
      <c r="AW17" s="5" t="n">
        <v>0.734</v>
      </c>
      <c r="AX17" s="5" t="n">
        <v>0.132</v>
      </c>
      <c r="AY17" s="5" t="n">
        <v>-0.552</v>
      </c>
      <c r="AZ17" s="5" t="n">
        <v>0.216</v>
      </c>
      <c r="BA17" s="5" t="n">
        <v>0</v>
      </c>
      <c r="BB17" s="5" t="n">
        <v>0</v>
      </c>
      <c r="BC17" s="5" t="n">
        <v>0.51</v>
      </c>
      <c r="BD17" s="5" t="n">
        <v>0.132</v>
      </c>
      <c r="BE17" s="5" t="n">
        <v>-0.454</v>
      </c>
      <c r="BF17" s="5" t="n">
        <v>0.067</v>
      </c>
      <c r="BG17" s="5" t="n">
        <v>0</v>
      </c>
      <c r="BH17" s="5" t="n">
        <v>0</v>
      </c>
      <c r="BI17" s="5" t="n">
        <v>0.652</v>
      </c>
      <c r="BJ17" s="5" t="n">
        <v>0.132</v>
      </c>
      <c r="BK17" s="5" t="n">
        <v>0.017</v>
      </c>
      <c r="BL17" s="5" t="n">
        <v>0.776</v>
      </c>
      <c r="BM17" s="5" t="n">
        <v>0.19</v>
      </c>
      <c r="BN17" s="5" t="n">
        <v>1</v>
      </c>
      <c r="BO17" s="5" t="n">
        <v>0</v>
      </c>
      <c r="BP17" s="5" t="n">
        <v>-0.06900000000000001</v>
      </c>
      <c r="BQ17" s="5" t="n">
        <v>0.013</v>
      </c>
      <c r="BR17" s="5" t="n">
        <v>0</v>
      </c>
      <c r="BS17" s="5" t="n">
        <v>0.667</v>
      </c>
      <c r="BT17" s="5" t="n">
        <v>0</v>
      </c>
      <c r="BU17" s="5" t="n">
        <v>-0.06900000000000001</v>
      </c>
      <c r="BV17" s="5" t="n">
        <v>0.036</v>
      </c>
      <c r="BW17" s="5" t="n">
        <v>0</v>
      </c>
      <c r="BX17" s="5" t="n">
        <v>0.667</v>
      </c>
      <c r="BY17" s="5" t="n">
        <v>13.646</v>
      </c>
      <c r="BZ17" s="5" t="n">
        <v>0</v>
      </c>
      <c r="CA17" s="5" t="n">
        <v>13.646</v>
      </c>
      <c r="CB17" s="5" t="n">
        <v>0</v>
      </c>
      <c r="CC17" s="5" t="n">
        <v>86.38500000000001</v>
      </c>
      <c r="CD17" s="5" t="n">
        <v>7.95</v>
      </c>
      <c r="CE17" s="5" t="n">
        <v>-72.831</v>
      </c>
      <c r="CF17" s="5" t="n">
        <v>16.129</v>
      </c>
      <c r="CG17" s="5" t="n">
        <v>0</v>
      </c>
      <c r="CH17" s="5" t="n">
        <v>0</v>
      </c>
      <c r="CI17" s="5" t="n">
        <v>0</v>
      </c>
      <c r="CJ17" s="5" t="n">
        <v>0</v>
      </c>
      <c r="CK17" s="5" t="n">
        <v>0</v>
      </c>
      <c r="CL17" s="5" t="n">
        <v>0</v>
      </c>
      <c r="CM17" s="5" t="n">
        <v>0</v>
      </c>
      <c r="CN17" s="5" t="n">
        <v>0</v>
      </c>
      <c r="CO17" s="5" t="n">
        <v>0</v>
      </c>
      <c r="CP17" s="5" t="n">
        <v>0</v>
      </c>
      <c r="CQ17" s="5" t="n">
        <v>1.387</v>
      </c>
      <c r="CR17" s="5" t="n">
        <v>1</v>
      </c>
      <c r="CS17" s="5" t="n">
        <v>3.737</v>
      </c>
      <c r="CT17" s="5" t="n">
        <v>4.251</v>
      </c>
      <c r="CU17" s="5" t="n">
        <v>7.598</v>
      </c>
    </row>
    <row r="18">
      <c r="A18" s="5" t="inlineStr">
        <is>
          <t>ASM2021</t>
        </is>
      </c>
      <c r="B18" s="5" t="inlineStr">
        <is>
          <t>ASM</t>
        </is>
      </c>
      <c r="C18" s="5" t="inlineStr">
        <is>
          <t>ASM</t>
        </is>
      </c>
      <c r="D18" s="5" t="inlineStr">
        <is>
          <t>American Samoa</t>
        </is>
      </c>
      <c r="E18" s="5" t="n">
        <v>2021</v>
      </c>
      <c r="F18" s="5" t="n">
        <v>0</v>
      </c>
      <c r="G18" s="5" t="n">
        <v>4.747</v>
      </c>
      <c r="H18" s="5" t="n">
        <v>1.143</v>
      </c>
      <c r="I18" s="5" t="n">
        <v>0</v>
      </c>
      <c r="J18" s="5" t="n">
        <v>4.747</v>
      </c>
      <c r="K18" s="5" t="n">
        <v>0</v>
      </c>
      <c r="L18" s="5" t="n">
        <v>1</v>
      </c>
      <c r="M18" s="5" t="n">
        <v>7.964</v>
      </c>
      <c r="N18" s="5" t="n">
        <v>3.43</v>
      </c>
      <c r="O18" s="5" t="n">
        <v>0</v>
      </c>
      <c r="P18" s="5" t="n">
        <v>7.964</v>
      </c>
      <c r="Q18" s="5" t="n">
        <v>0</v>
      </c>
      <c r="R18" s="5" t="n">
        <v>1</v>
      </c>
      <c r="S18" s="5" t="n">
        <v>10.464</v>
      </c>
      <c r="T18" s="5" t="n">
        <v>6.86</v>
      </c>
      <c r="U18" s="5" t="n">
        <v>0</v>
      </c>
      <c r="V18" s="5" t="n">
        <v>10.464</v>
      </c>
      <c r="W18" s="5" t="n">
        <v>0</v>
      </c>
      <c r="X18" s="5" t="n">
        <v>1</v>
      </c>
      <c r="Y18" s="5" t="n">
        <v>10.551</v>
      </c>
      <c r="Z18" s="5" t="n">
        <v>1.302</v>
      </c>
      <c r="AA18" s="5" t="n">
        <v>0</v>
      </c>
      <c r="AB18" s="5" t="n">
        <v>10.551</v>
      </c>
      <c r="AC18" s="5" t="n">
        <v>0</v>
      </c>
      <c r="AD18" s="5" t="n">
        <v>1</v>
      </c>
      <c r="AE18" s="5" t="n">
        <v>11.694</v>
      </c>
      <c r="AF18" s="5" t="n">
        <v>2.549</v>
      </c>
      <c r="AG18" s="5" t="n">
        <v>0</v>
      </c>
      <c r="AH18" s="5" t="n">
        <v>11.694</v>
      </c>
      <c r="AI18" s="5" t="n">
        <v>0</v>
      </c>
      <c r="AJ18" s="5" t="n">
        <v>1</v>
      </c>
      <c r="AK18" s="5" t="n">
        <v>18.554</v>
      </c>
      <c r="AL18" s="5" t="n">
        <v>9.627000000000001</v>
      </c>
      <c r="AM18" s="5" t="n">
        <v>0</v>
      </c>
      <c r="AN18" s="5" t="n">
        <v>18.554</v>
      </c>
      <c r="AO18" s="5" t="n">
        <v>0</v>
      </c>
      <c r="AP18" s="5" t="n">
        <v>1</v>
      </c>
      <c r="AQ18" s="5" t="n">
        <v>0.621</v>
      </c>
      <c r="AR18" s="5" t="n">
        <v>0.114</v>
      </c>
      <c r="AS18" s="5" t="n">
        <v>0</v>
      </c>
      <c r="AT18" s="5" t="n">
        <v>0.621</v>
      </c>
      <c r="AU18" s="5" t="n">
        <v>0</v>
      </c>
      <c r="AV18" s="5" t="n">
        <v>1</v>
      </c>
      <c r="AW18" s="5" t="n">
        <v>0.593</v>
      </c>
      <c r="AX18" s="5" t="n">
        <v>0.114</v>
      </c>
      <c r="AY18" s="5" t="n">
        <v>0</v>
      </c>
      <c r="AZ18" s="5" t="n">
        <v>0.593</v>
      </c>
      <c r="BA18" s="5" t="n">
        <v>0</v>
      </c>
      <c r="BB18" s="5" t="n">
        <v>1</v>
      </c>
      <c r="BC18" s="5" t="n">
        <v>0.44</v>
      </c>
      <c r="BD18" s="5" t="n">
        <v>0.114</v>
      </c>
      <c r="BE18" s="5" t="n">
        <v>0</v>
      </c>
      <c r="BF18" s="5" t="n">
        <v>0.44</v>
      </c>
      <c r="BG18" s="5" t="n">
        <v>0</v>
      </c>
      <c r="BH18" s="5" t="n">
        <v>1</v>
      </c>
      <c r="BI18" s="5" t="n">
        <v>0.5600000000000001</v>
      </c>
      <c r="BJ18" s="5" t="n">
        <v>0.114</v>
      </c>
      <c r="BK18" s="5" t="n">
        <v>0</v>
      </c>
      <c r="BL18" s="5" t="n">
        <v>0.5600000000000001</v>
      </c>
      <c r="BM18" s="5" t="n">
        <v>0</v>
      </c>
      <c r="BN18" s="5" t="n">
        <v>1</v>
      </c>
      <c r="BO18" s="5" t="n">
        <v>0</v>
      </c>
      <c r="BP18" s="5" t="n">
        <v>0</v>
      </c>
      <c r="BQ18" s="5" t="n">
        <v>0</v>
      </c>
      <c r="BR18" s="5" t="n">
        <v>0</v>
      </c>
      <c r="BS18" s="5" t="n">
        <v>1</v>
      </c>
      <c r="BT18" s="5" t="n">
        <v>0</v>
      </c>
      <c r="BU18" s="5" t="n">
        <v>0</v>
      </c>
      <c r="BV18" s="5" t="n">
        <v>0</v>
      </c>
      <c r="BW18" s="5" t="n">
        <v>0</v>
      </c>
      <c r="BX18" s="5" t="n">
        <v>1</v>
      </c>
      <c r="BY18" s="5" t="n">
        <v>11.787</v>
      </c>
      <c r="BZ18" s="5" t="n">
        <v>0</v>
      </c>
      <c r="CA18" s="5" t="n">
        <v>11.787</v>
      </c>
      <c r="CB18" s="5" t="n">
        <v>0</v>
      </c>
      <c r="CC18" s="5" t="n">
        <v>81.69499999999999</v>
      </c>
      <c r="CD18" s="5" t="n">
        <v>7.95</v>
      </c>
      <c r="CE18" s="5" t="n">
        <v>0</v>
      </c>
      <c r="CF18" s="5" t="n">
        <v>81.69499999999999</v>
      </c>
      <c r="CG18" s="5" t="n">
        <v>0</v>
      </c>
      <c r="CH18" s="5" t="n">
        <v>1</v>
      </c>
      <c r="CI18" s="5" t="n">
        <v>0</v>
      </c>
      <c r="CJ18" s="5" t="n">
        <v>0</v>
      </c>
      <c r="CK18" s="5" t="n">
        <v>0</v>
      </c>
      <c r="CL18" s="5" t="n">
        <v>0</v>
      </c>
      <c r="CM18" s="5" t="n">
        <v>0</v>
      </c>
      <c r="CN18" s="5" t="n">
        <v>0</v>
      </c>
      <c r="CO18" s="5" t="n">
        <v>0</v>
      </c>
      <c r="CP18" s="5" t="n">
        <v>0</v>
      </c>
      <c r="CQ18" s="5" t="n">
        <v>1.198</v>
      </c>
      <c r="CR18" s="5" t="n">
        <v>0</v>
      </c>
      <c r="CS18" s="5" t="n">
        <v>4.776</v>
      </c>
      <c r="CT18" s="5" t="n">
        <v>3.604</v>
      </c>
      <c r="CU18" s="5" t="n">
        <v>9.407999999999999</v>
      </c>
    </row>
    <row r="19">
      <c r="A19" s="5" t="inlineStr">
        <is>
          <t>ASM2022</t>
        </is>
      </c>
      <c r="B19" s="5" t="inlineStr">
        <is>
          <t>ASM</t>
        </is>
      </c>
      <c r="C19" s="5" t="inlineStr">
        <is>
          <t>ASM</t>
        </is>
      </c>
      <c r="D19" s="5" t="inlineStr">
        <is>
          <t>American Samoa</t>
        </is>
      </c>
      <c r="E19" s="5" t="n">
        <v>2022</v>
      </c>
      <c r="F19" s="5" t="n">
        <v>0</v>
      </c>
      <c r="G19" s="5" t="n">
        <v>8.788</v>
      </c>
      <c r="H19" s="5" t="n">
        <v>1.235</v>
      </c>
      <c r="I19" s="5" t="n">
        <v>0</v>
      </c>
      <c r="J19" s="5" t="n">
        <v>8.788</v>
      </c>
      <c r="K19" s="5" t="n">
        <v>0</v>
      </c>
      <c r="L19" s="5" t="n">
        <v>1</v>
      </c>
      <c r="M19" s="5" t="n">
        <v>9.782999999999999</v>
      </c>
      <c r="N19" s="5" t="n">
        <v>3.704</v>
      </c>
      <c r="O19" s="5" t="n">
        <v>0</v>
      </c>
      <c r="P19" s="5" t="n">
        <v>9.782999999999999</v>
      </c>
      <c r="Q19" s="5" t="n">
        <v>0</v>
      </c>
      <c r="R19" s="5" t="n">
        <v>1</v>
      </c>
      <c r="S19" s="5" t="n">
        <v>14.962</v>
      </c>
      <c r="T19" s="5" t="n">
        <v>7.408</v>
      </c>
      <c r="U19" s="5" t="n">
        <v>0</v>
      </c>
      <c r="V19" s="5" t="n">
        <v>14.962</v>
      </c>
      <c r="W19" s="5" t="n">
        <v>0</v>
      </c>
      <c r="X19" s="5" t="n">
        <v>1</v>
      </c>
      <c r="Y19" s="5" t="n">
        <v>17.332</v>
      </c>
      <c r="Z19" s="5" t="n">
        <v>2.139</v>
      </c>
      <c r="AA19" s="5" t="n">
        <v>0</v>
      </c>
      <c r="AB19" s="5" t="n">
        <v>17.332</v>
      </c>
      <c r="AC19" s="5" t="n">
        <v>0</v>
      </c>
      <c r="AD19" s="5" t="n">
        <v>1</v>
      </c>
      <c r="AE19" s="5" t="n">
        <v>18.566</v>
      </c>
      <c r="AF19" s="5" t="n">
        <v>4.048</v>
      </c>
      <c r="AG19" s="5" t="n">
        <v>0</v>
      </c>
      <c r="AH19" s="5" t="n">
        <v>18.566</v>
      </c>
      <c r="AI19" s="5" t="n">
        <v>0</v>
      </c>
      <c r="AJ19" s="5" t="n">
        <v>1</v>
      </c>
      <c r="AK19" s="5" t="n">
        <v>25.974</v>
      </c>
      <c r="AL19" s="5" t="n">
        <v>13.478</v>
      </c>
      <c r="AM19" s="5" t="n">
        <v>0</v>
      </c>
      <c r="AN19" s="5" t="n">
        <v>25.974</v>
      </c>
      <c r="AO19" s="5" t="n">
        <v>0</v>
      </c>
      <c r="AP19" s="5" t="n">
        <v>1</v>
      </c>
      <c r="AQ19" s="5" t="n">
        <v>0.847</v>
      </c>
      <c r="AR19" s="5" t="n">
        <v>0.123</v>
      </c>
      <c r="AS19" s="5" t="n">
        <v>0</v>
      </c>
      <c r="AT19" s="5" t="n">
        <v>0.847</v>
      </c>
      <c r="AU19" s="5" t="n">
        <v>0</v>
      </c>
      <c r="AV19" s="5" t="n">
        <v>1</v>
      </c>
      <c r="AW19" s="5" t="n">
        <v>0.947</v>
      </c>
      <c r="AX19" s="5" t="n">
        <v>0.123</v>
      </c>
      <c r="AY19" s="5" t="n">
        <v>0</v>
      </c>
      <c r="AZ19" s="5" t="n">
        <v>0.947</v>
      </c>
      <c r="BA19" s="5" t="n">
        <v>0</v>
      </c>
      <c r="BB19" s="5" t="n">
        <v>1</v>
      </c>
      <c r="BC19" s="5" t="n">
        <v>0.589</v>
      </c>
      <c r="BD19" s="5" t="n">
        <v>0.123</v>
      </c>
      <c r="BE19" s="5" t="n">
        <v>0</v>
      </c>
      <c r="BF19" s="5" t="n">
        <v>0.589</v>
      </c>
      <c r="BG19" s="5" t="n">
        <v>0</v>
      </c>
      <c r="BH19" s="5" t="n">
        <v>1</v>
      </c>
      <c r="BI19" s="5" t="n">
        <v>0.6889999999999999</v>
      </c>
      <c r="BJ19" s="5" t="n">
        <v>0.123</v>
      </c>
      <c r="BK19" s="5" t="n">
        <v>0</v>
      </c>
      <c r="BL19" s="5" t="n">
        <v>0.6889999999999999</v>
      </c>
      <c r="BM19" s="5" t="n">
        <v>0</v>
      </c>
      <c r="BN19" s="5" t="n">
        <v>1</v>
      </c>
      <c r="BO19" s="5" t="n">
        <v>0</v>
      </c>
      <c r="BP19" s="5" t="n">
        <v>0</v>
      </c>
      <c r="BQ19" s="5" t="n">
        <v>0</v>
      </c>
      <c r="BR19" s="5" t="n">
        <v>0</v>
      </c>
      <c r="BS19" s="5" t="n">
        <v>1</v>
      </c>
      <c r="BT19" s="5" t="n">
        <v>0</v>
      </c>
      <c r="BU19" s="5" t="n">
        <v>0</v>
      </c>
      <c r="BV19" s="5" t="n">
        <v>0</v>
      </c>
      <c r="BW19" s="5" t="n">
        <v>0</v>
      </c>
      <c r="BX19" s="5" t="n">
        <v>1</v>
      </c>
      <c r="BY19" s="5" t="n">
        <v>12.729</v>
      </c>
      <c r="BZ19" s="5" t="n">
        <v>0</v>
      </c>
      <c r="CA19" s="5" t="n">
        <v>12.729</v>
      </c>
      <c r="CB19" s="5" t="n">
        <v>0</v>
      </c>
      <c r="CC19" s="5" t="n">
        <v>102.477</v>
      </c>
      <c r="CD19" s="5" t="n">
        <v>7.95</v>
      </c>
      <c r="CE19" s="5" t="n">
        <v>0</v>
      </c>
      <c r="CF19" s="5" t="n">
        <v>102.477</v>
      </c>
      <c r="CG19" s="5" t="n">
        <v>0</v>
      </c>
      <c r="CH19" s="5" t="n">
        <v>1</v>
      </c>
      <c r="CI19" s="5" t="n">
        <v>0</v>
      </c>
      <c r="CJ19" s="5" t="n">
        <v>0</v>
      </c>
      <c r="CK19" s="5" t="n">
        <v>0</v>
      </c>
      <c r="CL19" s="5" t="n">
        <v>0</v>
      </c>
      <c r="CM19" s="5" t="n">
        <v>0</v>
      </c>
      <c r="CN19" s="5" t="n">
        <v>0</v>
      </c>
      <c r="CO19" s="5" t="n">
        <v>0</v>
      </c>
      <c r="CP19" s="5" t="n">
        <v>0</v>
      </c>
      <c r="CQ19" s="5" t="n">
        <v>1.294</v>
      </c>
      <c r="CR19" s="5" t="n">
        <v>0</v>
      </c>
      <c r="CS19" s="5" t="n">
        <v>5.158</v>
      </c>
      <c r="CT19" s="5" t="n">
        <v>7.554</v>
      </c>
      <c r="CU19" s="5" t="n">
        <v>16.097</v>
      </c>
    </row>
    <row r="20">
      <c r="A20" s="5" t="inlineStr">
        <is>
          <t>ASM2023</t>
        </is>
      </c>
      <c r="B20" s="5" t="inlineStr">
        <is>
          <t>ASM</t>
        </is>
      </c>
      <c r="C20" s="5" t="inlineStr">
        <is>
          <t>ASM</t>
        </is>
      </c>
      <c r="D20" s="5" t="inlineStr">
        <is>
          <t>American Samoa</t>
        </is>
      </c>
      <c r="E20" s="5" t="n">
        <v>2023</v>
      </c>
      <c r="F20" s="5" t="n">
        <v>0</v>
      </c>
      <c r="G20" s="5" t="n">
        <v>5.77</v>
      </c>
      <c r="H20" s="5" t="n">
        <v>1.286</v>
      </c>
      <c r="I20" s="5" t="n">
        <v>0</v>
      </c>
      <c r="J20" s="5" t="n">
        <v>5.77</v>
      </c>
      <c r="K20" s="5" t="n">
        <v>0</v>
      </c>
      <c r="L20" s="5" t="n">
        <v>1</v>
      </c>
      <c r="M20" s="5" t="n">
        <v>7.886</v>
      </c>
      <c r="N20" s="5" t="n">
        <v>3.857</v>
      </c>
      <c r="O20" s="5" t="n">
        <v>0</v>
      </c>
      <c r="P20" s="5" t="n">
        <v>7.886</v>
      </c>
      <c r="Q20" s="5" t="n">
        <v>0</v>
      </c>
      <c r="R20" s="5" t="n">
        <v>1</v>
      </c>
      <c r="S20" s="5" t="n">
        <v>12.198</v>
      </c>
      <c r="T20" s="5" t="n">
        <v>7.714</v>
      </c>
      <c r="U20" s="5" t="n">
        <v>0</v>
      </c>
      <c r="V20" s="5" t="n">
        <v>12.198</v>
      </c>
      <c r="W20" s="5" t="n">
        <v>0</v>
      </c>
      <c r="X20" s="5" t="n">
        <v>1</v>
      </c>
      <c r="Y20" s="5" t="n">
        <v>13.814</v>
      </c>
      <c r="Z20" s="5" t="n">
        <v>1.705</v>
      </c>
      <c r="AA20" s="5" t="n">
        <v>0</v>
      </c>
      <c r="AB20" s="5" t="n">
        <v>13.814</v>
      </c>
      <c r="AC20" s="5" t="n">
        <v>0</v>
      </c>
      <c r="AD20" s="5" t="n">
        <v>1</v>
      </c>
      <c r="AE20" s="5" t="n">
        <v>15.1</v>
      </c>
      <c r="AF20" s="5" t="n">
        <v>3.292</v>
      </c>
      <c r="AG20" s="5" t="n">
        <v>0</v>
      </c>
      <c r="AH20" s="5" t="n">
        <v>15.1</v>
      </c>
      <c r="AI20" s="5" t="n">
        <v>0</v>
      </c>
      <c r="AJ20" s="5" t="n">
        <v>1</v>
      </c>
      <c r="AK20" s="5" t="n">
        <v>22.814</v>
      </c>
      <c r="AL20" s="5" t="n">
        <v>11.838</v>
      </c>
      <c r="AM20" s="5" t="n">
        <v>0</v>
      </c>
      <c r="AN20" s="5" t="n">
        <v>22.814</v>
      </c>
      <c r="AO20" s="5" t="n">
        <v>0</v>
      </c>
      <c r="AP20" s="5" t="n">
        <v>1</v>
      </c>
      <c r="AQ20" s="5" t="n">
        <v>0.749</v>
      </c>
      <c r="AR20" s="5" t="n">
        <v>0.129</v>
      </c>
      <c r="AS20" s="5" t="n">
        <v>0</v>
      </c>
      <c r="AT20" s="5" t="n">
        <v>0.749</v>
      </c>
      <c r="AU20" s="5" t="n">
        <v>0</v>
      </c>
      <c r="AV20" s="5" t="n">
        <v>1</v>
      </c>
      <c r="AW20" s="5" t="n">
        <v>0.783</v>
      </c>
      <c r="AX20" s="5" t="n">
        <v>0.129</v>
      </c>
      <c r="AY20" s="5" t="n">
        <v>0</v>
      </c>
      <c r="AZ20" s="5" t="n">
        <v>0.783</v>
      </c>
      <c r="BA20" s="5" t="n">
        <v>0</v>
      </c>
      <c r="BB20" s="5" t="n">
        <v>1</v>
      </c>
      <c r="BC20" s="5" t="n">
        <v>0.527</v>
      </c>
      <c r="BD20" s="5" t="n">
        <v>0.129</v>
      </c>
      <c r="BE20" s="5" t="n">
        <v>0</v>
      </c>
      <c r="BF20" s="5" t="n">
        <v>0.527</v>
      </c>
      <c r="BG20" s="5" t="n">
        <v>0</v>
      </c>
      <c r="BH20" s="5" t="n">
        <v>1</v>
      </c>
      <c r="BI20" s="5" t="n">
        <v>0.64</v>
      </c>
      <c r="BJ20" s="5" t="n">
        <v>0.129</v>
      </c>
      <c r="BK20" s="5" t="n">
        <v>0</v>
      </c>
      <c r="BL20" s="5" t="n">
        <v>0.64</v>
      </c>
      <c r="BM20" s="5" t="n">
        <v>0</v>
      </c>
      <c r="BN20" s="5" t="n">
        <v>1</v>
      </c>
      <c r="BO20" s="5" t="n">
        <v>0</v>
      </c>
      <c r="BP20" s="5" t="n">
        <v>0</v>
      </c>
      <c r="BQ20" s="5" t="n">
        <v>0</v>
      </c>
      <c r="BR20" s="5" t="n">
        <v>0</v>
      </c>
      <c r="BS20" s="5" t="n">
        <v>1</v>
      </c>
      <c r="BT20" s="5" t="n">
        <v>0</v>
      </c>
      <c r="BU20" s="5" t="n">
        <v>0</v>
      </c>
      <c r="BV20" s="5" t="n">
        <v>0</v>
      </c>
      <c r="BW20" s="5" t="n">
        <v>0</v>
      </c>
      <c r="BX20" s="5" t="n">
        <v>1</v>
      </c>
      <c r="BY20" s="5" t="n">
        <v>13.254</v>
      </c>
      <c r="BZ20" s="5" t="n">
        <v>0</v>
      </c>
      <c r="CA20" s="5" t="n">
        <v>13.254</v>
      </c>
      <c r="CB20" s="5" t="n">
        <v>0</v>
      </c>
      <c r="CC20" s="5" t="n">
        <v>87.07899999999999</v>
      </c>
      <c r="CD20" s="5" t="n">
        <v>7.95</v>
      </c>
      <c r="CE20" s="5" t="n">
        <v>0</v>
      </c>
      <c r="CF20" s="5" t="n">
        <v>87.07899999999999</v>
      </c>
      <c r="CG20" s="5" t="n">
        <v>0</v>
      </c>
      <c r="CH20" s="5" t="n">
        <v>1</v>
      </c>
      <c r="CI20" s="5" t="n">
        <v>0</v>
      </c>
      <c r="CJ20" s="5" t="n">
        <v>0</v>
      </c>
      <c r="CK20" s="5" t="n">
        <v>0</v>
      </c>
      <c r="CL20" s="5" t="n">
        <v>0</v>
      </c>
      <c r="CM20" s="5" t="n">
        <v>0</v>
      </c>
      <c r="CN20" s="5" t="n">
        <v>0</v>
      </c>
      <c r="CO20" s="5" t="n">
        <v>0</v>
      </c>
      <c r="CP20" s="5" t="n">
        <v>0</v>
      </c>
      <c r="CQ20" s="5" t="n">
        <v>1.348</v>
      </c>
      <c r="CR20" s="5" t="n">
        <v>0</v>
      </c>
      <c r="CS20" s="5" t="n">
        <v>5.37</v>
      </c>
      <c r="CT20" s="5" t="n">
        <v>4.484</v>
      </c>
      <c r="CU20" s="5" t="n">
        <v>12.529</v>
      </c>
    </row>
    <row r="21">
      <c r="A21" s="5" t="inlineStr">
        <is>
          <t>ASM2024</t>
        </is>
      </c>
      <c r="B21" s="5" t="inlineStr">
        <is>
          <t>ASM</t>
        </is>
      </c>
      <c r="C21" s="5" t="inlineStr">
        <is>
          <t>ASM</t>
        </is>
      </c>
      <c r="D21" s="5" t="inlineStr">
        <is>
          <t>American Samoa</t>
        </is>
      </c>
      <c r="E21" s="5" t="n">
        <v>2024</v>
      </c>
      <c r="F21" s="5" t="n">
        <v>0</v>
      </c>
      <c r="G21" s="5" t="n">
        <v>4.833</v>
      </c>
      <c r="H21" s="5" t="n">
        <v>1.324</v>
      </c>
      <c r="I21" s="5" t="n">
        <v>0</v>
      </c>
      <c r="J21" s="5" t="n">
        <v>4.833</v>
      </c>
      <c r="K21" s="5" t="n">
        <v>0</v>
      </c>
      <c r="L21" s="5" t="n">
        <v>1</v>
      </c>
      <c r="M21" s="5" t="n">
        <v>7.124</v>
      </c>
      <c r="N21" s="5" t="n">
        <v>3.971</v>
      </c>
      <c r="O21" s="5" t="n">
        <v>0</v>
      </c>
      <c r="P21" s="5" t="n">
        <v>7.124</v>
      </c>
      <c r="Q21" s="5" t="n">
        <v>0</v>
      </c>
      <c r="R21" s="5" t="n">
        <v>1</v>
      </c>
      <c r="S21" s="5" t="n">
        <v>11.451</v>
      </c>
      <c r="T21" s="5" t="n">
        <v>7.942</v>
      </c>
      <c r="U21" s="5" t="n">
        <v>0</v>
      </c>
      <c r="V21" s="5" t="n">
        <v>11.451</v>
      </c>
      <c r="W21" s="5" t="n">
        <v>0</v>
      </c>
      <c r="X21" s="5" t="n">
        <v>1</v>
      </c>
      <c r="Y21" s="5" t="n">
        <v>12.219</v>
      </c>
      <c r="Z21" s="5" t="n">
        <v>1.508</v>
      </c>
      <c r="AA21" s="5" t="n">
        <v>0</v>
      </c>
      <c r="AB21" s="5" t="n">
        <v>12.219</v>
      </c>
      <c r="AC21" s="5" t="n">
        <v>0</v>
      </c>
      <c r="AD21" s="5" t="n">
        <v>1</v>
      </c>
      <c r="AE21" s="5" t="n">
        <v>13.543</v>
      </c>
      <c r="AF21" s="5" t="n">
        <v>2.952</v>
      </c>
      <c r="AG21" s="5" t="n">
        <v>0</v>
      </c>
      <c r="AH21" s="5" t="n">
        <v>13.543</v>
      </c>
      <c r="AI21" s="5" t="n">
        <v>0</v>
      </c>
      <c r="AJ21" s="5" t="n">
        <v>1</v>
      </c>
      <c r="AK21" s="5" t="n">
        <v>21.484</v>
      </c>
      <c r="AL21" s="5" t="n">
        <v>11.148</v>
      </c>
      <c r="AM21" s="5" t="n">
        <v>0</v>
      </c>
      <c r="AN21" s="5" t="n">
        <v>21.484</v>
      </c>
      <c r="AO21" s="5" t="n">
        <v>0</v>
      </c>
      <c r="AP21" s="5" t="n">
        <v>1</v>
      </c>
      <c r="AQ21" s="5" t="n">
        <v>0.72</v>
      </c>
      <c r="AR21" s="5" t="n">
        <v>0.132</v>
      </c>
      <c r="AS21" s="5" t="n">
        <v>0</v>
      </c>
      <c r="AT21" s="5" t="n">
        <v>0.72</v>
      </c>
      <c r="AU21" s="5" t="n">
        <v>0</v>
      </c>
      <c r="AV21" s="5" t="n">
        <v>1</v>
      </c>
      <c r="AW21" s="5" t="n">
        <v>0.734</v>
      </c>
      <c r="AX21" s="5" t="n">
        <v>0.132</v>
      </c>
      <c r="AY21" s="5" t="n">
        <v>0</v>
      </c>
      <c r="AZ21" s="5" t="n">
        <v>0.734</v>
      </c>
      <c r="BA21" s="5" t="n">
        <v>0</v>
      </c>
      <c r="BB21" s="5" t="n">
        <v>1</v>
      </c>
      <c r="BC21" s="5" t="n">
        <v>0.51</v>
      </c>
      <c r="BD21" s="5" t="n">
        <v>0.132</v>
      </c>
      <c r="BE21" s="5" t="n">
        <v>0</v>
      </c>
      <c r="BF21" s="5" t="n">
        <v>0.51</v>
      </c>
      <c r="BG21" s="5" t="n">
        <v>0</v>
      </c>
      <c r="BH21" s="5" t="n">
        <v>1</v>
      </c>
      <c r="BI21" s="5" t="n">
        <v>0.652</v>
      </c>
      <c r="BJ21" s="5" t="n">
        <v>0.132</v>
      </c>
      <c r="BK21" s="5" t="n">
        <v>0</v>
      </c>
      <c r="BL21" s="5" t="n">
        <v>0.652</v>
      </c>
      <c r="BM21" s="5" t="n">
        <v>0</v>
      </c>
      <c r="BN21" s="5" t="n">
        <v>1</v>
      </c>
      <c r="BO21" s="5" t="n">
        <v>0</v>
      </c>
      <c r="BP21" s="5" t="n">
        <v>0</v>
      </c>
      <c r="BQ21" s="5" t="n">
        <v>0</v>
      </c>
      <c r="BR21" s="5" t="n">
        <v>0</v>
      </c>
      <c r="BS21" s="5" t="n">
        <v>1</v>
      </c>
      <c r="BT21" s="5" t="n">
        <v>0</v>
      </c>
      <c r="BU21" s="5" t="n">
        <v>0</v>
      </c>
      <c r="BV21" s="5" t="n">
        <v>0</v>
      </c>
      <c r="BW21" s="5" t="n">
        <v>0</v>
      </c>
      <c r="BX21" s="5" t="n">
        <v>1</v>
      </c>
      <c r="BY21" s="5" t="n">
        <v>13.646</v>
      </c>
      <c r="BZ21" s="5" t="n">
        <v>0</v>
      </c>
      <c r="CA21" s="5" t="n">
        <v>13.646</v>
      </c>
      <c r="CB21" s="5" t="n">
        <v>0</v>
      </c>
      <c r="CC21" s="5" t="n">
        <v>86.38500000000001</v>
      </c>
      <c r="CD21" s="5" t="n">
        <v>7.95</v>
      </c>
      <c r="CE21" s="5" t="n">
        <v>0</v>
      </c>
      <c r="CF21" s="5" t="n">
        <v>86.38500000000001</v>
      </c>
      <c r="CG21" s="5" t="n">
        <v>0</v>
      </c>
      <c r="CH21" s="5" t="n">
        <v>1</v>
      </c>
      <c r="CI21" s="5" t="n">
        <v>0</v>
      </c>
      <c r="CJ21" s="5" t="n">
        <v>0</v>
      </c>
      <c r="CK21" s="5" t="n">
        <v>0</v>
      </c>
      <c r="CL21" s="5" t="n">
        <v>0</v>
      </c>
      <c r="CM21" s="5" t="n">
        <v>0</v>
      </c>
      <c r="CN21" s="5" t="n">
        <v>0</v>
      </c>
      <c r="CO21" s="5" t="n">
        <v>0</v>
      </c>
      <c r="CP21" s="5" t="n">
        <v>0</v>
      </c>
      <c r="CQ21" s="5" t="n">
        <v>1.387</v>
      </c>
      <c r="CR21" s="5" t="n">
        <v>0</v>
      </c>
      <c r="CS21" s="5" t="n">
        <v>5.529</v>
      </c>
      <c r="CT21" s="5" t="n">
        <v>3.509</v>
      </c>
      <c r="CU21" s="5" t="n">
        <v>10.896</v>
      </c>
    </row>
    <row r="22">
      <c r="A22" s="5" t="inlineStr">
        <is>
          <t>AND2021</t>
        </is>
      </c>
      <c r="B22" s="5" t="inlineStr">
        <is>
          <t>AND</t>
        </is>
      </c>
      <c r="C22" s="5" t="inlineStr">
        <is>
          <t>AND</t>
        </is>
      </c>
      <c r="D22" s="5" t="inlineStr">
        <is>
          <t>Andorra</t>
        </is>
      </c>
      <c r="E22" s="5" t="n">
        <v>2021</v>
      </c>
      <c r="F22" s="5" t="n">
        <v>0.045</v>
      </c>
      <c r="G22" s="5" t="n">
        <v>5.553</v>
      </c>
      <c r="H22" s="5" t="n">
        <v>1.143</v>
      </c>
      <c r="I22" s="5" t="n">
        <v>0</v>
      </c>
      <c r="J22" s="5" t="n">
        <v>5.553</v>
      </c>
      <c r="K22" s="5" t="n">
        <v>0</v>
      </c>
      <c r="L22" s="5" t="n">
        <v>1</v>
      </c>
      <c r="M22" s="5" t="n">
        <v>7.964</v>
      </c>
      <c r="N22" s="5" t="n">
        <v>3.43</v>
      </c>
      <c r="O22" s="5" t="n">
        <v>0</v>
      </c>
      <c r="P22" s="5" t="n">
        <v>7.964</v>
      </c>
      <c r="Q22" s="5" t="n">
        <v>0</v>
      </c>
      <c r="R22" s="5" t="n">
        <v>1</v>
      </c>
      <c r="S22" s="5" t="n">
        <v>11.27</v>
      </c>
      <c r="T22" s="5" t="n">
        <v>6.86</v>
      </c>
      <c r="U22" s="5" t="n">
        <v>0</v>
      </c>
      <c r="V22" s="5" t="n">
        <v>11.777</v>
      </c>
      <c r="W22" s="5" t="n">
        <v>0.045</v>
      </c>
      <c r="X22" s="5" t="n">
        <v>1</v>
      </c>
      <c r="Y22" s="5" t="n">
        <v>16.296</v>
      </c>
      <c r="Z22" s="5" t="n">
        <v>2.202</v>
      </c>
      <c r="AA22" s="5" t="n">
        <v>0</v>
      </c>
      <c r="AB22" s="5" t="n">
        <v>16.296</v>
      </c>
      <c r="AC22" s="5" t="n">
        <v>0</v>
      </c>
      <c r="AD22" s="5" t="n">
        <v>1</v>
      </c>
      <c r="AE22" s="5" t="n">
        <v>17.439</v>
      </c>
      <c r="AF22" s="5" t="n">
        <v>4.078</v>
      </c>
      <c r="AG22" s="5" t="n">
        <v>0</v>
      </c>
      <c r="AH22" s="5" t="n">
        <v>17.439</v>
      </c>
      <c r="AI22" s="5" t="n">
        <v>0</v>
      </c>
      <c r="AJ22" s="5" t="n">
        <v>1</v>
      </c>
      <c r="AK22" s="5" t="n">
        <v>24.299</v>
      </c>
      <c r="AL22" s="5" t="n">
        <v>12.942</v>
      </c>
      <c r="AM22" s="5" t="n">
        <v>0</v>
      </c>
      <c r="AN22" s="5" t="n">
        <v>25.393</v>
      </c>
      <c r="AO22" s="5" t="n">
        <v>0.045</v>
      </c>
      <c r="AP22" s="5" t="n">
        <v>1</v>
      </c>
      <c r="AQ22" s="5" t="n">
        <v>0.619</v>
      </c>
      <c r="AR22" s="5" t="n">
        <v>0.114</v>
      </c>
      <c r="AS22" s="5" t="n">
        <v>0</v>
      </c>
      <c r="AT22" s="5" t="n">
        <v>0.647</v>
      </c>
      <c r="AU22" s="5" t="n">
        <v>0.045</v>
      </c>
      <c r="AV22" s="5" t="n">
        <v>1</v>
      </c>
      <c r="AW22" s="5" t="n">
        <v>0.599</v>
      </c>
      <c r="AX22" s="5" t="n">
        <v>0.114</v>
      </c>
      <c r="AY22" s="5" t="n">
        <v>0</v>
      </c>
      <c r="AZ22" s="5" t="n">
        <v>0.626</v>
      </c>
      <c r="BA22" s="5" t="n">
        <v>0.045</v>
      </c>
      <c r="BB22" s="5" t="n">
        <v>1</v>
      </c>
      <c r="BC22" s="5" t="n">
        <v>0.439</v>
      </c>
      <c r="BD22" s="5" t="n">
        <v>0.114</v>
      </c>
      <c r="BE22" s="5" t="n">
        <v>0</v>
      </c>
      <c r="BF22" s="5" t="n">
        <v>0.459</v>
      </c>
      <c r="BG22" s="5" t="n">
        <v>0.045</v>
      </c>
      <c r="BH22" s="5" t="n">
        <v>1</v>
      </c>
      <c r="BI22" s="5" t="n">
        <v>0.505</v>
      </c>
      <c r="BJ22" s="5" t="n">
        <v>0.114</v>
      </c>
      <c r="BK22" s="5" t="n">
        <v>0</v>
      </c>
      <c r="BL22" s="5" t="n">
        <v>0.527</v>
      </c>
      <c r="BM22" s="5" t="n">
        <v>0.045</v>
      </c>
      <c r="BN22" s="5" t="n">
        <v>1</v>
      </c>
      <c r="BO22" s="5" t="n">
        <v>0</v>
      </c>
      <c r="BP22" s="5" t="n">
        <v>0</v>
      </c>
      <c r="BQ22" s="5" t="n">
        <v>0</v>
      </c>
      <c r="BR22" s="5" t="n">
        <v>0</v>
      </c>
      <c r="BS22" s="5" t="n">
        <v>1</v>
      </c>
      <c r="BT22" s="5" t="n">
        <v>0</v>
      </c>
      <c r="BU22" s="5" t="n">
        <v>0</v>
      </c>
      <c r="BV22" s="5" t="n">
        <v>0</v>
      </c>
      <c r="BW22" s="5" t="n">
        <v>0.045</v>
      </c>
      <c r="BX22" s="5" t="n">
        <v>1</v>
      </c>
      <c r="BY22" s="5" t="n">
        <v>11.787</v>
      </c>
      <c r="BZ22" s="5" t="n">
        <v>0</v>
      </c>
      <c r="CA22" s="5" t="n">
        <v>11.787</v>
      </c>
      <c r="CB22" s="5" t="n">
        <v>0</v>
      </c>
      <c r="CC22" s="5" t="n">
        <v>78.125</v>
      </c>
      <c r="CD22" s="5" t="n">
        <v>7.95</v>
      </c>
      <c r="CE22" s="5" t="n">
        <v>0</v>
      </c>
      <c r="CF22" s="5" t="n">
        <v>81.64100000000001</v>
      </c>
      <c r="CG22" s="5" t="n">
        <v>0.045</v>
      </c>
      <c r="CH22" s="5" t="n">
        <v>1</v>
      </c>
      <c r="CI22" s="5" t="n">
        <v>0</v>
      </c>
      <c r="CJ22" s="5" t="n">
        <v>0</v>
      </c>
      <c r="CK22" s="5" t="n">
        <v>0</v>
      </c>
      <c r="CL22" s="5" t="n">
        <v>0</v>
      </c>
      <c r="CM22" s="5" t="n">
        <v>0</v>
      </c>
      <c r="CN22" s="5" t="n">
        <v>0</v>
      </c>
      <c r="CO22" s="5" t="n">
        <v>0</v>
      </c>
      <c r="CP22" s="5" t="n">
        <v>0</v>
      </c>
      <c r="CQ22" s="5" t="n">
        <v>1.198</v>
      </c>
      <c r="CR22" s="5" t="n">
        <v>0</v>
      </c>
      <c r="CS22" s="5" t="n">
        <v>4.776</v>
      </c>
      <c r="CT22" s="5" t="n">
        <v>4.41</v>
      </c>
      <c r="CU22" s="5" t="n">
        <v>15.162</v>
      </c>
    </row>
    <row r="23">
      <c r="A23" s="5" t="inlineStr">
        <is>
          <t>AND2022</t>
        </is>
      </c>
      <c r="B23" s="5" t="inlineStr">
        <is>
          <t>AND</t>
        </is>
      </c>
      <c r="C23" s="5" t="inlineStr">
        <is>
          <t>AND</t>
        </is>
      </c>
      <c r="D23" s="5" t="inlineStr">
        <is>
          <t>Andorra</t>
        </is>
      </c>
      <c r="E23" s="5" t="n">
        <v>2022</v>
      </c>
      <c r="F23" s="5" t="n">
        <v>0.045</v>
      </c>
      <c r="G23" s="5" t="n">
        <v>7.077</v>
      </c>
      <c r="H23" s="5" t="n">
        <v>1.235</v>
      </c>
      <c r="I23" s="5" t="n">
        <v>0</v>
      </c>
      <c r="J23" s="5" t="n">
        <v>7.077</v>
      </c>
      <c r="K23" s="5" t="n">
        <v>0</v>
      </c>
      <c r="L23" s="5" t="n">
        <v>1</v>
      </c>
      <c r="M23" s="5" t="n">
        <v>9.782999999999999</v>
      </c>
      <c r="N23" s="5" t="n">
        <v>3.704</v>
      </c>
      <c r="O23" s="5" t="n">
        <v>0</v>
      </c>
      <c r="P23" s="5" t="n">
        <v>9.782999999999999</v>
      </c>
      <c r="Q23" s="5" t="n">
        <v>0</v>
      </c>
      <c r="R23" s="5" t="n">
        <v>1</v>
      </c>
      <c r="S23" s="5" t="n">
        <v>13.25</v>
      </c>
      <c r="T23" s="5" t="n">
        <v>7.408</v>
      </c>
      <c r="U23" s="5" t="n">
        <v>0.044</v>
      </c>
      <c r="V23" s="5" t="n">
        <v>13.847</v>
      </c>
      <c r="W23" s="5" t="n">
        <v>0.045</v>
      </c>
      <c r="X23" s="5" t="n">
        <v>1</v>
      </c>
      <c r="Y23" s="5" t="n">
        <v>32.537</v>
      </c>
      <c r="Z23" s="5" t="n">
        <v>4.398</v>
      </c>
      <c r="AA23" s="5" t="n">
        <v>0</v>
      </c>
      <c r="AB23" s="5" t="n">
        <v>32.537</v>
      </c>
      <c r="AC23" s="5" t="n">
        <v>0</v>
      </c>
      <c r="AD23" s="5" t="n">
        <v>1</v>
      </c>
      <c r="AE23" s="5" t="n">
        <v>33.772</v>
      </c>
      <c r="AF23" s="5" t="n">
        <v>7.897</v>
      </c>
      <c r="AG23" s="5" t="n">
        <v>0</v>
      </c>
      <c r="AH23" s="5" t="n">
        <v>33.772</v>
      </c>
      <c r="AI23" s="5" t="n">
        <v>0</v>
      </c>
      <c r="AJ23" s="5" t="n">
        <v>1</v>
      </c>
      <c r="AK23" s="5" t="n">
        <v>41.18</v>
      </c>
      <c r="AL23" s="5" t="n">
        <v>21.932</v>
      </c>
      <c r="AM23" s="5" t="n">
        <v>0.137</v>
      </c>
      <c r="AN23" s="5" t="n">
        <v>43.033</v>
      </c>
      <c r="AO23" s="5" t="n">
        <v>0.045</v>
      </c>
      <c r="AP23" s="5" t="n">
        <v>1</v>
      </c>
      <c r="AQ23" s="5" t="n">
        <v>0.861</v>
      </c>
      <c r="AR23" s="5" t="n">
        <v>0.123</v>
      </c>
      <c r="AS23" s="5" t="n">
        <v>0.003</v>
      </c>
      <c r="AT23" s="5" t="n">
        <v>0.9</v>
      </c>
      <c r="AU23" s="5" t="n">
        <v>0.045</v>
      </c>
      <c r="AV23" s="5" t="n">
        <v>1</v>
      </c>
      <c r="AW23" s="5" t="n">
        <v>0.986</v>
      </c>
      <c r="AX23" s="5" t="n">
        <v>0.123</v>
      </c>
      <c r="AY23" s="5" t="n">
        <v>0.003</v>
      </c>
      <c r="AZ23" s="5" t="n">
        <v>1.031</v>
      </c>
      <c r="BA23" s="5" t="n">
        <v>0.045</v>
      </c>
      <c r="BB23" s="5" t="n">
        <v>1</v>
      </c>
      <c r="BC23" s="5" t="n">
        <v>0.598</v>
      </c>
      <c r="BD23" s="5" t="n">
        <v>0.123</v>
      </c>
      <c r="BE23" s="5" t="n">
        <v>0.002</v>
      </c>
      <c r="BF23" s="5" t="n">
        <v>0.625</v>
      </c>
      <c r="BG23" s="5" t="n">
        <v>0.045</v>
      </c>
      <c r="BH23" s="5" t="n">
        <v>1</v>
      </c>
      <c r="BI23" s="5" t="n">
        <v>0.612</v>
      </c>
      <c r="BJ23" s="5" t="n">
        <v>0.123</v>
      </c>
      <c r="BK23" s="5" t="n">
        <v>0.002</v>
      </c>
      <c r="BL23" s="5" t="n">
        <v>0.64</v>
      </c>
      <c r="BM23" s="5" t="n">
        <v>0.045</v>
      </c>
      <c r="BN23" s="5" t="n">
        <v>1</v>
      </c>
      <c r="BO23" s="5" t="n">
        <v>0</v>
      </c>
      <c r="BP23" s="5" t="n">
        <v>0</v>
      </c>
      <c r="BQ23" s="5" t="n">
        <v>0</v>
      </c>
      <c r="BR23" s="5" t="n">
        <v>0</v>
      </c>
      <c r="BS23" s="5" t="n">
        <v>1</v>
      </c>
      <c r="BT23" s="5" t="n">
        <v>0</v>
      </c>
      <c r="BU23" s="5" t="n">
        <v>0</v>
      </c>
      <c r="BV23" s="5" t="n">
        <v>0</v>
      </c>
      <c r="BW23" s="5" t="n">
        <v>0.045</v>
      </c>
      <c r="BX23" s="5" t="n">
        <v>1</v>
      </c>
      <c r="BY23" s="5" t="n">
        <v>12.729</v>
      </c>
      <c r="BZ23" s="5" t="n">
        <v>0</v>
      </c>
      <c r="CA23" s="5" t="n">
        <v>12.729</v>
      </c>
      <c r="CB23" s="5" t="n">
        <v>0</v>
      </c>
      <c r="CC23" s="5" t="n">
        <v>97.90000000000001</v>
      </c>
      <c r="CD23" s="5" t="n">
        <v>7.95</v>
      </c>
      <c r="CE23" s="5" t="n">
        <v>0.326</v>
      </c>
      <c r="CF23" s="5" t="n">
        <v>102.306</v>
      </c>
      <c r="CG23" s="5" t="n">
        <v>0.045</v>
      </c>
      <c r="CH23" s="5" t="n">
        <v>1</v>
      </c>
      <c r="CI23" s="5" t="n">
        <v>0</v>
      </c>
      <c r="CJ23" s="5" t="n">
        <v>0</v>
      </c>
      <c r="CK23" s="5" t="n">
        <v>0</v>
      </c>
      <c r="CL23" s="5" t="n">
        <v>0</v>
      </c>
      <c r="CM23" s="5" t="n">
        <v>0</v>
      </c>
      <c r="CN23" s="5" t="n">
        <v>0</v>
      </c>
      <c r="CO23" s="5" t="n">
        <v>0</v>
      </c>
      <c r="CP23" s="5" t="n">
        <v>0</v>
      </c>
      <c r="CQ23" s="5" t="n">
        <v>1.294</v>
      </c>
      <c r="CR23" s="5" t="n">
        <v>0</v>
      </c>
      <c r="CS23" s="5" t="n">
        <v>5.158</v>
      </c>
      <c r="CT23" s="5" t="n">
        <v>5.842</v>
      </c>
      <c r="CU23" s="5" t="n">
        <v>31.326</v>
      </c>
    </row>
    <row r="24">
      <c r="A24" s="5" t="inlineStr">
        <is>
          <t>AND2023</t>
        </is>
      </c>
      <c r="B24" s="5" t="inlineStr">
        <is>
          <t>AND</t>
        </is>
      </c>
      <c r="C24" s="5" t="inlineStr">
        <is>
          <t>AND</t>
        </is>
      </c>
      <c r="D24" s="5" t="inlineStr">
        <is>
          <t>Andorra</t>
        </is>
      </c>
      <c r="E24" s="5" t="n">
        <v>2023</v>
      </c>
      <c r="F24" s="5" t="n">
        <v>0.045</v>
      </c>
      <c r="G24" s="5" t="n">
        <v>4.752</v>
      </c>
      <c r="H24" s="5" t="n">
        <v>1.286</v>
      </c>
      <c r="I24" s="5" t="n">
        <v>0</v>
      </c>
      <c r="J24" s="5" t="n">
        <v>4.752</v>
      </c>
      <c r="K24" s="5" t="n">
        <v>0</v>
      </c>
      <c r="L24" s="5" t="n">
        <v>1</v>
      </c>
      <c r="M24" s="5" t="n">
        <v>7.886</v>
      </c>
      <c r="N24" s="5" t="n">
        <v>3.857</v>
      </c>
      <c r="O24" s="5" t="n">
        <v>0</v>
      </c>
      <c r="P24" s="5" t="n">
        <v>7.886</v>
      </c>
      <c r="Q24" s="5" t="n">
        <v>0</v>
      </c>
      <c r="R24" s="5" t="n">
        <v>1</v>
      </c>
      <c r="S24" s="5" t="n">
        <v>11.18</v>
      </c>
      <c r="T24" s="5" t="n">
        <v>7.714</v>
      </c>
      <c r="U24" s="5" t="n">
        <v>0.056</v>
      </c>
      <c r="V24" s="5" t="n">
        <v>11.683</v>
      </c>
      <c r="W24" s="5" t="n">
        <v>0.045</v>
      </c>
      <c r="X24" s="5" t="n">
        <v>1</v>
      </c>
      <c r="Y24" s="5" t="n">
        <v>12.903</v>
      </c>
      <c r="Z24" s="5" t="n">
        <v>1.744</v>
      </c>
      <c r="AA24" s="5" t="n">
        <v>0</v>
      </c>
      <c r="AB24" s="5" t="n">
        <v>12.903</v>
      </c>
      <c r="AC24" s="5" t="n">
        <v>0</v>
      </c>
      <c r="AD24" s="5" t="n">
        <v>1</v>
      </c>
      <c r="AE24" s="5" t="n">
        <v>14.188</v>
      </c>
      <c r="AF24" s="5" t="n">
        <v>3.318</v>
      </c>
      <c r="AG24" s="5" t="n">
        <v>0</v>
      </c>
      <c r="AH24" s="5" t="n">
        <v>14.188</v>
      </c>
      <c r="AI24" s="5" t="n">
        <v>0</v>
      </c>
      <c r="AJ24" s="5" t="n">
        <v>1</v>
      </c>
      <c r="AK24" s="5" t="n">
        <v>21.902</v>
      </c>
      <c r="AL24" s="5" t="n">
        <v>11.665</v>
      </c>
      <c r="AM24" s="5" t="n">
        <v>0.109</v>
      </c>
      <c r="AN24" s="5" t="n">
        <v>22.888</v>
      </c>
      <c r="AO24" s="5" t="n">
        <v>0.045</v>
      </c>
      <c r="AP24" s="5" t="n">
        <v>1</v>
      </c>
      <c r="AQ24" s="5" t="n">
        <v>0.76</v>
      </c>
      <c r="AR24" s="5" t="n">
        <v>0.129</v>
      </c>
      <c r="AS24" s="5" t="n">
        <v>0.004</v>
      </c>
      <c r="AT24" s="5" t="n">
        <v>0.795</v>
      </c>
      <c r="AU24" s="5" t="n">
        <v>0.045</v>
      </c>
      <c r="AV24" s="5" t="n">
        <v>1</v>
      </c>
      <c r="AW24" s="5" t="n">
        <v>0.8110000000000001</v>
      </c>
      <c r="AX24" s="5" t="n">
        <v>0.129</v>
      </c>
      <c r="AY24" s="5" t="n">
        <v>0.004</v>
      </c>
      <c r="AZ24" s="5" t="n">
        <v>0.848</v>
      </c>
      <c r="BA24" s="5" t="n">
        <v>0.045</v>
      </c>
      <c r="BB24" s="5" t="n">
        <v>1</v>
      </c>
      <c r="BC24" s="5" t="n">
        <v>0.535</v>
      </c>
      <c r="BD24" s="5" t="n">
        <v>0.129</v>
      </c>
      <c r="BE24" s="5" t="n">
        <v>0.003</v>
      </c>
      <c r="BF24" s="5" t="n">
        <v>0.5590000000000001</v>
      </c>
      <c r="BG24" s="5" t="n">
        <v>0.045</v>
      </c>
      <c r="BH24" s="5" t="n">
        <v>1</v>
      </c>
      <c r="BI24" s="5" t="n">
        <v>0.579</v>
      </c>
      <c r="BJ24" s="5" t="n">
        <v>0.129</v>
      </c>
      <c r="BK24" s="5" t="n">
        <v>0.003</v>
      </c>
      <c r="BL24" s="5" t="n">
        <v>0.605</v>
      </c>
      <c r="BM24" s="5" t="n">
        <v>0.045</v>
      </c>
      <c r="BN24" s="5" t="n">
        <v>1</v>
      </c>
      <c r="BO24" s="5" t="n">
        <v>0</v>
      </c>
      <c r="BP24" s="5" t="n">
        <v>0</v>
      </c>
      <c r="BQ24" s="5" t="n">
        <v>0</v>
      </c>
      <c r="BR24" s="5" t="n">
        <v>0</v>
      </c>
      <c r="BS24" s="5" t="n">
        <v>1</v>
      </c>
      <c r="BT24" s="5" t="n">
        <v>0</v>
      </c>
      <c r="BU24" s="5" t="n">
        <v>0</v>
      </c>
      <c r="BV24" s="5" t="n">
        <v>0</v>
      </c>
      <c r="BW24" s="5" t="n">
        <v>0.045</v>
      </c>
      <c r="BX24" s="5" t="n">
        <v>1</v>
      </c>
      <c r="BY24" s="5" t="n">
        <v>13.254</v>
      </c>
      <c r="BZ24" s="5" t="n">
        <v>0</v>
      </c>
      <c r="CA24" s="5" t="n">
        <v>13.254</v>
      </c>
      <c r="CB24" s="5" t="n">
        <v>0</v>
      </c>
      <c r="CC24" s="5" t="n">
        <v>83.248</v>
      </c>
      <c r="CD24" s="5" t="n">
        <v>7.95</v>
      </c>
      <c r="CE24" s="5" t="n">
        <v>0.415</v>
      </c>
      <c r="CF24" s="5" t="n">
        <v>86.994</v>
      </c>
      <c r="CG24" s="5" t="n">
        <v>0.045</v>
      </c>
      <c r="CH24" s="5" t="n">
        <v>1</v>
      </c>
      <c r="CI24" s="5" t="n">
        <v>0</v>
      </c>
      <c r="CJ24" s="5" t="n">
        <v>0</v>
      </c>
      <c r="CK24" s="5" t="n">
        <v>0</v>
      </c>
      <c r="CL24" s="5" t="n">
        <v>0</v>
      </c>
      <c r="CM24" s="5" t="n">
        <v>0</v>
      </c>
      <c r="CN24" s="5" t="n">
        <v>0</v>
      </c>
      <c r="CO24" s="5" t="n">
        <v>0</v>
      </c>
      <c r="CP24" s="5" t="n">
        <v>0</v>
      </c>
      <c r="CQ24" s="5" t="n">
        <v>1.348</v>
      </c>
      <c r="CR24" s="5" t="n">
        <v>0</v>
      </c>
      <c r="CS24" s="5" t="n">
        <v>5.37</v>
      </c>
      <c r="CT24" s="5" t="n">
        <v>3.466</v>
      </c>
      <c r="CU24" s="5" t="n">
        <v>11.622</v>
      </c>
    </row>
    <row r="25">
      <c r="A25" s="5" t="inlineStr">
        <is>
          <t>AND2024</t>
        </is>
      </c>
      <c r="B25" s="5" t="inlineStr">
        <is>
          <t>AND</t>
        </is>
      </c>
      <c r="C25" s="5" t="inlineStr">
        <is>
          <t>AND</t>
        </is>
      </c>
      <c r="D25" s="5" t="inlineStr">
        <is>
          <t>Andorra</t>
        </is>
      </c>
      <c r="E25" s="5" t="n">
        <v>2024</v>
      </c>
      <c r="F25" s="5" t="n">
        <v>0.045</v>
      </c>
      <c r="G25" s="5" t="n">
        <v>4.351</v>
      </c>
      <c r="H25" s="5" t="n">
        <v>1.324</v>
      </c>
      <c r="I25" s="5" t="n">
        <v>0</v>
      </c>
      <c r="J25" s="5" t="n">
        <v>4.351</v>
      </c>
      <c r="K25" s="5" t="n">
        <v>0</v>
      </c>
      <c r="L25" s="5" t="n">
        <v>1</v>
      </c>
      <c r="M25" s="5" t="n">
        <v>7.124</v>
      </c>
      <c r="N25" s="5" t="n">
        <v>3.971</v>
      </c>
      <c r="O25" s="5" t="n">
        <v>0</v>
      </c>
      <c r="P25" s="5" t="n">
        <v>7.124</v>
      </c>
      <c r="Q25" s="5" t="n">
        <v>0</v>
      </c>
      <c r="R25" s="5" t="n">
        <v>1</v>
      </c>
      <c r="S25" s="5" t="n">
        <v>10.969</v>
      </c>
      <c r="T25" s="5" t="n">
        <v>7.942</v>
      </c>
      <c r="U25" s="5" t="n">
        <v>0.067</v>
      </c>
      <c r="V25" s="5" t="n">
        <v>11.462</v>
      </c>
      <c r="W25" s="5" t="n">
        <v>0.045</v>
      </c>
      <c r="X25" s="5" t="n">
        <v>1</v>
      </c>
      <c r="Y25" s="5" t="n">
        <v>11.488</v>
      </c>
      <c r="Z25" s="5" t="n">
        <v>1.553</v>
      </c>
      <c r="AA25" s="5" t="n">
        <v>0</v>
      </c>
      <c r="AB25" s="5" t="n">
        <v>11.488</v>
      </c>
      <c r="AC25" s="5" t="n">
        <v>0</v>
      </c>
      <c r="AD25" s="5" t="n">
        <v>1</v>
      </c>
      <c r="AE25" s="5" t="n">
        <v>12.811</v>
      </c>
      <c r="AF25" s="5" t="n">
        <v>2.996</v>
      </c>
      <c r="AG25" s="5" t="n">
        <v>0</v>
      </c>
      <c r="AH25" s="5" t="n">
        <v>12.811</v>
      </c>
      <c r="AI25" s="5" t="n">
        <v>0</v>
      </c>
      <c r="AJ25" s="5" t="n">
        <v>1</v>
      </c>
      <c r="AK25" s="5" t="n">
        <v>20.753</v>
      </c>
      <c r="AL25" s="5" t="n">
        <v>11.053</v>
      </c>
      <c r="AM25" s="5" t="n">
        <v>0.127</v>
      </c>
      <c r="AN25" s="5" t="n">
        <v>21.687</v>
      </c>
      <c r="AO25" s="5" t="n">
        <v>0.045</v>
      </c>
      <c r="AP25" s="5" t="n">
        <v>1</v>
      </c>
      <c r="AQ25" s="5" t="n">
        <v>0.724</v>
      </c>
      <c r="AR25" s="5" t="n">
        <v>0.132</v>
      </c>
      <c r="AS25" s="5" t="n">
        <v>0.004</v>
      </c>
      <c r="AT25" s="5" t="n">
        <v>0.757</v>
      </c>
      <c r="AU25" s="5" t="n">
        <v>0.045</v>
      </c>
      <c r="AV25" s="5" t="n">
        <v>1</v>
      </c>
      <c r="AW25" s="5" t="n">
        <v>0.75</v>
      </c>
      <c r="AX25" s="5" t="n">
        <v>0.132</v>
      </c>
      <c r="AY25" s="5" t="n">
        <v>0.005</v>
      </c>
      <c r="AZ25" s="5" t="n">
        <v>0.784</v>
      </c>
      <c r="BA25" s="5" t="n">
        <v>0.045</v>
      </c>
      <c r="BB25" s="5" t="n">
        <v>1</v>
      </c>
      <c r="BC25" s="5" t="n">
        <v>0.513</v>
      </c>
      <c r="BD25" s="5" t="n">
        <v>0.132</v>
      </c>
      <c r="BE25" s="5" t="n">
        <v>0.003</v>
      </c>
      <c r="BF25" s="5" t="n">
        <v>0.536</v>
      </c>
      <c r="BG25" s="5" t="n">
        <v>0.045</v>
      </c>
      <c r="BH25" s="5" t="n">
        <v>1</v>
      </c>
      <c r="BI25" s="5" t="n">
        <v>0.591</v>
      </c>
      <c r="BJ25" s="5" t="n">
        <v>0.132</v>
      </c>
      <c r="BK25" s="5" t="n">
        <v>0.004</v>
      </c>
      <c r="BL25" s="5" t="n">
        <v>0.618</v>
      </c>
      <c r="BM25" s="5" t="n">
        <v>0.045</v>
      </c>
      <c r="BN25" s="5" t="n">
        <v>1</v>
      </c>
      <c r="BO25" s="5" t="n">
        <v>0</v>
      </c>
      <c r="BP25" s="5" t="n">
        <v>0</v>
      </c>
      <c r="BQ25" s="5" t="n">
        <v>0</v>
      </c>
      <c r="BR25" s="5" t="n">
        <v>0</v>
      </c>
      <c r="BS25" s="5" t="n">
        <v>1</v>
      </c>
      <c r="BT25" s="5" t="n">
        <v>0</v>
      </c>
      <c r="BU25" s="5" t="n">
        <v>0</v>
      </c>
      <c r="BV25" s="5" t="n">
        <v>0</v>
      </c>
      <c r="BW25" s="5" t="n">
        <v>0.045</v>
      </c>
      <c r="BX25" s="5" t="n">
        <v>1</v>
      </c>
      <c r="BY25" s="5" t="n">
        <v>13.646</v>
      </c>
      <c r="BZ25" s="5" t="n">
        <v>0</v>
      </c>
      <c r="CA25" s="5" t="n">
        <v>13.646</v>
      </c>
      <c r="CB25" s="5" t="n">
        <v>0</v>
      </c>
      <c r="CC25" s="5" t="n">
        <v>82.58799999999999</v>
      </c>
      <c r="CD25" s="5" t="n">
        <v>7.95</v>
      </c>
      <c r="CE25" s="5" t="n">
        <v>0.506</v>
      </c>
      <c r="CF25" s="5" t="n">
        <v>86.304</v>
      </c>
      <c r="CG25" s="5" t="n">
        <v>0.045</v>
      </c>
      <c r="CH25" s="5" t="n">
        <v>1</v>
      </c>
      <c r="CI25" s="5" t="n">
        <v>0</v>
      </c>
      <c r="CJ25" s="5" t="n">
        <v>0</v>
      </c>
      <c r="CK25" s="5" t="n">
        <v>0</v>
      </c>
      <c r="CL25" s="5" t="n">
        <v>0</v>
      </c>
      <c r="CM25" s="5" t="n">
        <v>0</v>
      </c>
      <c r="CN25" s="5" t="n">
        <v>0</v>
      </c>
      <c r="CO25" s="5" t="n">
        <v>0</v>
      </c>
      <c r="CP25" s="5" t="n">
        <v>0</v>
      </c>
      <c r="CQ25" s="5" t="n">
        <v>1.387</v>
      </c>
      <c r="CR25" s="5" t="n">
        <v>0</v>
      </c>
      <c r="CS25" s="5" t="n">
        <v>5.529</v>
      </c>
      <c r="CT25" s="5" t="n">
        <v>3.027</v>
      </c>
      <c r="CU25" s="5" t="n">
        <v>10.168</v>
      </c>
    </row>
    <row r="26">
      <c r="A26" s="5" t="inlineStr">
        <is>
          <t>AGO2021</t>
        </is>
      </c>
      <c r="B26" s="5" t="inlineStr">
        <is>
          <t>AGO</t>
        </is>
      </c>
      <c r="C26" s="5" t="inlineStr">
        <is>
          <t>AGO</t>
        </is>
      </c>
      <c r="D26" s="5" t="inlineStr">
        <is>
          <t>Angola</t>
        </is>
      </c>
      <c r="E26" s="5" t="n">
        <v>2021</v>
      </c>
      <c r="F26" s="5" t="n">
        <v>0.14</v>
      </c>
      <c r="G26" s="5" t="n">
        <v>5.897</v>
      </c>
      <c r="H26" s="5" t="n">
        <v>1.143</v>
      </c>
      <c r="I26" s="5" t="n">
        <v>0.095</v>
      </c>
      <c r="J26" s="5" t="n">
        <v>5.992</v>
      </c>
      <c r="K26" s="5" t="n">
        <v>0</v>
      </c>
      <c r="L26" s="5" t="n">
        <v>1</v>
      </c>
      <c r="M26" s="5" t="n">
        <v>7.964</v>
      </c>
      <c r="N26" s="5" t="n">
        <v>3.43</v>
      </c>
      <c r="O26" s="5" t="n">
        <v>0.091</v>
      </c>
      <c r="P26" s="5" t="n">
        <v>8.055</v>
      </c>
      <c r="Q26" s="5" t="n">
        <v>0</v>
      </c>
      <c r="R26" s="5" t="n">
        <v>1</v>
      </c>
      <c r="S26" s="5" t="n">
        <v>11.613</v>
      </c>
      <c r="T26" s="5" t="n">
        <v>6.86</v>
      </c>
      <c r="U26" s="5" t="n">
        <v>0.095</v>
      </c>
      <c r="V26" s="5" t="n">
        <v>13.348</v>
      </c>
      <c r="W26" s="5" t="n">
        <v>0.14</v>
      </c>
      <c r="X26" s="5" t="n">
        <v>1</v>
      </c>
      <c r="Y26" s="5" t="n">
        <v>5.213</v>
      </c>
      <c r="Z26" s="5" t="n">
        <v>0.572</v>
      </c>
      <c r="AA26" s="5" t="n">
        <v>0</v>
      </c>
      <c r="AB26" s="5" t="n">
        <v>5.213</v>
      </c>
      <c r="AC26" s="5" t="n">
        <v>0</v>
      </c>
      <c r="AD26" s="5" t="n">
        <v>1</v>
      </c>
      <c r="AE26" s="5" t="n">
        <v>5.784</v>
      </c>
      <c r="AF26" s="5" t="n">
        <v>1.125</v>
      </c>
      <c r="AG26" s="5" t="n">
        <v>0</v>
      </c>
      <c r="AH26" s="5" t="n">
        <v>5.784</v>
      </c>
      <c r="AI26" s="5" t="n">
        <v>0</v>
      </c>
      <c r="AJ26" s="5" t="n">
        <v>1</v>
      </c>
      <c r="AK26" s="5" t="n">
        <v>9.214</v>
      </c>
      <c r="AL26" s="5" t="n">
        <v>4.347</v>
      </c>
      <c r="AM26" s="5" t="n">
        <v>0</v>
      </c>
      <c r="AN26" s="5" t="n">
        <v>10.504</v>
      </c>
      <c r="AO26" s="5" t="n">
        <v>0.14</v>
      </c>
      <c r="AP26" s="5" t="n">
        <v>1</v>
      </c>
      <c r="AQ26" s="5" t="n">
        <v>0.619</v>
      </c>
      <c r="AR26" s="5" t="n">
        <v>0.114</v>
      </c>
      <c r="AS26" s="5" t="n">
        <v>-0.395</v>
      </c>
      <c r="AT26" s="5" t="n">
        <v>0.256</v>
      </c>
      <c r="AU26" s="5" t="n">
        <v>0</v>
      </c>
      <c r="AV26" s="5" t="n">
        <v>0</v>
      </c>
      <c r="AW26" s="5" t="n">
        <v>0.599</v>
      </c>
      <c r="AX26" s="5" t="n">
        <v>0.114</v>
      </c>
      <c r="AY26" s="5" t="n">
        <v>-0.41</v>
      </c>
      <c r="AZ26" s="5" t="n">
        <v>0.216</v>
      </c>
      <c r="BA26" s="5" t="n">
        <v>0</v>
      </c>
      <c r="BB26" s="5" t="n">
        <v>0</v>
      </c>
      <c r="BC26" s="5" t="n">
        <v>0.439</v>
      </c>
      <c r="BD26" s="5" t="n">
        <v>0.114</v>
      </c>
      <c r="BE26" s="5" t="n">
        <v>-0.267</v>
      </c>
      <c r="BF26" s="5" t="n">
        <v>0.196</v>
      </c>
      <c r="BG26" s="5" t="n">
        <v>0</v>
      </c>
      <c r="BH26" s="5" t="n">
        <v>0</v>
      </c>
      <c r="BI26" s="5" t="n">
        <v>0.505</v>
      </c>
      <c r="BJ26" s="5" t="n">
        <v>0.114</v>
      </c>
      <c r="BK26" s="5" t="n">
        <v>-0.408</v>
      </c>
      <c r="BL26" s="5" t="n">
        <v>0.111</v>
      </c>
      <c r="BM26" s="5" t="n">
        <v>0</v>
      </c>
      <c r="BN26" s="5" t="n">
        <v>0</v>
      </c>
      <c r="BO26" s="5" t="n">
        <v>0</v>
      </c>
      <c r="BP26" s="5" t="n">
        <v>-0.1</v>
      </c>
      <c r="BQ26" s="5" t="n">
        <v>0.012</v>
      </c>
      <c r="BR26" s="5" t="n">
        <v>0</v>
      </c>
      <c r="BS26" s="5" t="n">
        <v>1</v>
      </c>
      <c r="BT26" s="5" t="n">
        <v>0</v>
      </c>
      <c r="BU26" s="5" t="n">
        <v>-0.1</v>
      </c>
      <c r="BV26" s="5" t="n">
        <v>0.017</v>
      </c>
      <c r="BW26" s="5" t="n">
        <v>0</v>
      </c>
      <c r="BX26" s="5" t="n">
        <v>1</v>
      </c>
      <c r="BY26" s="5" t="n">
        <v>11.787</v>
      </c>
      <c r="BZ26" s="5" t="n">
        <v>0</v>
      </c>
      <c r="CA26" s="5" t="n">
        <v>11.787</v>
      </c>
      <c r="CB26" s="5" t="n">
        <v>0</v>
      </c>
      <c r="CC26" s="5" t="n">
        <v>78.125</v>
      </c>
      <c r="CD26" s="5" t="n">
        <v>7.95</v>
      </c>
      <c r="CE26" s="5" t="n">
        <v>0</v>
      </c>
      <c r="CF26" s="5" t="n">
        <v>89.063</v>
      </c>
      <c r="CG26" s="5" t="n">
        <v>0.14</v>
      </c>
      <c r="CH26" s="5" t="n">
        <v>1</v>
      </c>
      <c r="CI26" s="5" t="n">
        <v>0</v>
      </c>
      <c r="CJ26" s="5" t="n">
        <v>0</v>
      </c>
      <c r="CK26" s="5" t="n">
        <v>0</v>
      </c>
      <c r="CL26" s="5" t="n">
        <v>0</v>
      </c>
      <c r="CM26" s="5" t="n">
        <v>0</v>
      </c>
      <c r="CN26" s="5" t="n">
        <v>0</v>
      </c>
      <c r="CO26" s="5" t="n">
        <v>0</v>
      </c>
      <c r="CP26" s="5" t="n">
        <v>0</v>
      </c>
      <c r="CQ26" s="5" t="n">
        <v>1.198</v>
      </c>
      <c r="CR26" s="5" t="n">
        <v>1</v>
      </c>
      <c r="CS26" s="5" t="n">
        <v>4.641</v>
      </c>
      <c r="CT26" s="5" t="n">
        <v>4.753</v>
      </c>
      <c r="CU26" s="5" t="n">
        <v>14.129</v>
      </c>
    </row>
    <row r="27">
      <c r="A27" s="5" t="inlineStr">
        <is>
          <t>AGO2022</t>
        </is>
      </c>
      <c r="B27" s="5" t="inlineStr">
        <is>
          <t>AGO</t>
        </is>
      </c>
      <c r="C27" s="5" t="inlineStr">
        <is>
          <t>AGO</t>
        </is>
      </c>
      <c r="D27" s="5" t="inlineStr">
        <is>
          <t>Angola</t>
        </is>
      </c>
      <c r="E27" s="5" t="n">
        <v>2022</v>
      </c>
      <c r="F27" s="5" t="n">
        <v>0.14</v>
      </c>
      <c r="G27" s="5" t="n">
        <v>11.72</v>
      </c>
      <c r="H27" s="5" t="n">
        <v>1.235</v>
      </c>
      <c r="I27" s="5" t="n">
        <v>0.226</v>
      </c>
      <c r="J27" s="5" t="n">
        <v>11.946</v>
      </c>
      <c r="K27" s="5" t="n">
        <v>0</v>
      </c>
      <c r="L27" s="5" t="n">
        <v>1</v>
      </c>
      <c r="M27" s="5" t="n">
        <v>9.782999999999999</v>
      </c>
      <c r="N27" s="5" t="n">
        <v>3.704</v>
      </c>
      <c r="O27" s="5" t="n">
        <v>0.131</v>
      </c>
      <c r="P27" s="5" t="n">
        <v>9.914</v>
      </c>
      <c r="Q27" s="5" t="n">
        <v>0</v>
      </c>
      <c r="R27" s="5" t="n">
        <v>1</v>
      </c>
      <c r="S27" s="5" t="n">
        <v>17.893</v>
      </c>
      <c r="T27" s="5" t="n">
        <v>7.408</v>
      </c>
      <c r="U27" s="5" t="n">
        <v>0.414</v>
      </c>
      <c r="V27" s="5" t="n">
        <v>20.657</v>
      </c>
      <c r="W27" s="5" t="n">
        <v>0.14</v>
      </c>
      <c r="X27" s="5" t="n">
        <v>1</v>
      </c>
      <c r="Y27" s="5" t="n">
        <v>5.629</v>
      </c>
      <c r="Z27" s="5" t="n">
        <v>0.618</v>
      </c>
      <c r="AA27" s="5" t="n">
        <v>0</v>
      </c>
      <c r="AB27" s="5" t="n">
        <v>5.629</v>
      </c>
      <c r="AC27" s="5" t="n">
        <v>0</v>
      </c>
      <c r="AD27" s="5" t="n">
        <v>1</v>
      </c>
      <c r="AE27" s="5" t="n">
        <v>6.246</v>
      </c>
      <c r="AF27" s="5" t="n">
        <v>1.215</v>
      </c>
      <c r="AG27" s="5" t="n">
        <v>0</v>
      </c>
      <c r="AH27" s="5" t="n">
        <v>6.246</v>
      </c>
      <c r="AI27" s="5" t="n">
        <v>0</v>
      </c>
      <c r="AJ27" s="5" t="n">
        <v>1</v>
      </c>
      <c r="AK27" s="5" t="n">
        <v>9.951000000000001</v>
      </c>
      <c r="AL27" s="5" t="n">
        <v>4.694</v>
      </c>
      <c r="AM27" s="5" t="n">
        <v>0.103</v>
      </c>
      <c r="AN27" s="5" t="n">
        <v>11.344</v>
      </c>
      <c r="AO27" s="5" t="n">
        <v>0.14</v>
      </c>
      <c r="AP27" s="5" t="n">
        <v>1</v>
      </c>
      <c r="AQ27" s="5" t="n">
        <v>0.861</v>
      </c>
      <c r="AR27" s="5" t="n">
        <v>0.123</v>
      </c>
      <c r="AS27" s="5" t="n">
        <v>-0.554</v>
      </c>
      <c r="AT27" s="5" t="n">
        <v>0.35</v>
      </c>
      <c r="AU27" s="5" t="n">
        <v>0</v>
      </c>
      <c r="AV27" s="5" t="n">
        <v>0</v>
      </c>
      <c r="AW27" s="5" t="n">
        <v>0.986</v>
      </c>
      <c r="AX27" s="5" t="n">
        <v>0.123</v>
      </c>
      <c r="AY27" s="5" t="n">
        <v>-0.727</v>
      </c>
      <c r="AZ27" s="5" t="n">
        <v>0.295</v>
      </c>
      <c r="BA27" s="5" t="n">
        <v>0</v>
      </c>
      <c r="BB27" s="5" t="n">
        <v>0</v>
      </c>
      <c r="BC27" s="5" t="n">
        <v>0.598</v>
      </c>
      <c r="BD27" s="5" t="n">
        <v>0.123</v>
      </c>
      <c r="BE27" s="5" t="n">
        <v>-0.399</v>
      </c>
      <c r="BF27" s="5" t="n">
        <v>0.226</v>
      </c>
      <c r="BG27" s="5" t="n">
        <v>0</v>
      </c>
      <c r="BH27" s="5" t="n">
        <v>0</v>
      </c>
      <c r="BI27" s="5" t="n">
        <v>0.612</v>
      </c>
      <c r="BJ27" s="5" t="n">
        <v>0.123</v>
      </c>
      <c r="BK27" s="5" t="n">
        <v>-0.479</v>
      </c>
      <c r="BL27" s="5" t="n">
        <v>0.152</v>
      </c>
      <c r="BM27" s="5" t="n">
        <v>0</v>
      </c>
      <c r="BN27" s="5" t="n">
        <v>0</v>
      </c>
      <c r="BO27" s="5" t="n">
        <v>0</v>
      </c>
      <c r="BP27" s="5" t="n">
        <v>-0.113</v>
      </c>
      <c r="BQ27" s="5" t="n">
        <v>0.016</v>
      </c>
      <c r="BR27" s="5" t="n">
        <v>0</v>
      </c>
      <c r="BS27" s="5" t="n">
        <v>1</v>
      </c>
      <c r="BT27" s="5" t="n">
        <v>0</v>
      </c>
      <c r="BU27" s="5" t="n">
        <v>-0.113</v>
      </c>
      <c r="BV27" s="5" t="n">
        <v>0.024</v>
      </c>
      <c r="BW27" s="5" t="n">
        <v>0</v>
      </c>
      <c r="BX27" s="5" t="n">
        <v>1</v>
      </c>
      <c r="BY27" s="5" t="n">
        <v>12.729</v>
      </c>
      <c r="BZ27" s="5" t="n">
        <v>0</v>
      </c>
      <c r="CA27" s="5" t="n">
        <v>12.729</v>
      </c>
      <c r="CB27" s="5" t="n">
        <v>0</v>
      </c>
      <c r="CC27" s="5" t="n">
        <v>97.90000000000001</v>
      </c>
      <c r="CD27" s="5" t="n">
        <v>7.95</v>
      </c>
      <c r="CE27" s="5" t="n">
        <v>1.014</v>
      </c>
      <c r="CF27" s="5" t="n">
        <v>111.606</v>
      </c>
      <c r="CG27" s="5" t="n">
        <v>0.14</v>
      </c>
      <c r="CH27" s="5" t="n">
        <v>1</v>
      </c>
      <c r="CI27" s="5" t="n">
        <v>0</v>
      </c>
      <c r="CJ27" s="5" t="n">
        <v>0</v>
      </c>
      <c r="CK27" s="5" t="n">
        <v>0</v>
      </c>
      <c r="CL27" s="5" t="n">
        <v>0</v>
      </c>
      <c r="CM27" s="5" t="n">
        <v>0</v>
      </c>
      <c r="CN27" s="5" t="n">
        <v>0</v>
      </c>
      <c r="CO27" s="5" t="n">
        <v>0</v>
      </c>
      <c r="CP27" s="5" t="n">
        <v>0</v>
      </c>
      <c r="CQ27" s="5" t="n">
        <v>1.294</v>
      </c>
      <c r="CR27" s="5" t="n">
        <v>1</v>
      </c>
      <c r="CS27" s="5" t="n">
        <v>5.012</v>
      </c>
      <c r="CT27" s="5" t="n">
        <v>10.485</v>
      </c>
      <c r="CU27" s="5" t="n">
        <v>28.059</v>
      </c>
    </row>
    <row r="28">
      <c r="A28" s="5" t="inlineStr">
        <is>
          <t>AGO2023</t>
        </is>
      </c>
      <c r="B28" s="5" t="inlineStr">
        <is>
          <t>AGO</t>
        </is>
      </c>
      <c r="C28" s="5" t="inlineStr">
        <is>
          <t>AGO</t>
        </is>
      </c>
      <c r="D28" s="5" t="inlineStr">
        <is>
          <t>Angola</t>
        </is>
      </c>
      <c r="E28" s="5" t="n">
        <v>2023</v>
      </c>
      <c r="F28" s="5" t="n">
        <v>0.14</v>
      </c>
      <c r="G28" s="5" t="n">
        <v>6.147</v>
      </c>
      <c r="H28" s="5" t="n">
        <v>1.286</v>
      </c>
      <c r="I28" s="5" t="n">
        <v>0.109</v>
      </c>
      <c r="J28" s="5" t="n">
        <v>6.256</v>
      </c>
      <c r="K28" s="5" t="n">
        <v>0</v>
      </c>
      <c r="L28" s="5" t="n">
        <v>1</v>
      </c>
      <c r="M28" s="5" t="n">
        <v>7.886</v>
      </c>
      <c r="N28" s="5" t="n">
        <v>3.857</v>
      </c>
      <c r="O28" s="5" t="n">
        <v>0.091</v>
      </c>
      <c r="P28" s="5" t="n">
        <v>7.977</v>
      </c>
      <c r="Q28" s="5" t="n">
        <v>0</v>
      </c>
      <c r="R28" s="5" t="n">
        <v>1</v>
      </c>
      <c r="S28" s="5" t="n">
        <v>12.575</v>
      </c>
      <c r="T28" s="5" t="n">
        <v>7.714</v>
      </c>
      <c r="U28" s="5" t="n">
        <v>0.306</v>
      </c>
      <c r="V28" s="5" t="n">
        <v>14.46</v>
      </c>
      <c r="W28" s="5" t="n">
        <v>0.14</v>
      </c>
      <c r="X28" s="5" t="n">
        <v>1</v>
      </c>
      <c r="Y28" s="5" t="n">
        <v>5.861</v>
      </c>
      <c r="Z28" s="5" t="n">
        <v>0.643</v>
      </c>
      <c r="AA28" s="5" t="n">
        <v>0</v>
      </c>
      <c r="AB28" s="5" t="n">
        <v>5.861</v>
      </c>
      <c r="AC28" s="5" t="n">
        <v>0</v>
      </c>
      <c r="AD28" s="5" t="n">
        <v>1</v>
      </c>
      <c r="AE28" s="5" t="n">
        <v>6.504</v>
      </c>
      <c r="AF28" s="5" t="n">
        <v>1.265</v>
      </c>
      <c r="AG28" s="5" t="n">
        <v>0</v>
      </c>
      <c r="AH28" s="5" t="n">
        <v>6.504</v>
      </c>
      <c r="AI28" s="5" t="n">
        <v>0</v>
      </c>
      <c r="AJ28" s="5" t="n">
        <v>1</v>
      </c>
      <c r="AK28" s="5" t="n">
        <v>10.361</v>
      </c>
      <c r="AL28" s="5" t="n">
        <v>4.888</v>
      </c>
      <c r="AM28" s="5" t="n">
        <v>0.161</v>
      </c>
      <c r="AN28" s="5" t="n">
        <v>11.812</v>
      </c>
      <c r="AO28" s="5" t="n">
        <v>0.14</v>
      </c>
      <c r="AP28" s="5" t="n">
        <v>1</v>
      </c>
      <c r="AQ28" s="5" t="n">
        <v>0.76</v>
      </c>
      <c r="AR28" s="5" t="n">
        <v>0.129</v>
      </c>
      <c r="AS28" s="5" t="n">
        <v>-0.456</v>
      </c>
      <c r="AT28" s="5" t="n">
        <v>0.347</v>
      </c>
      <c r="AU28" s="5" t="n">
        <v>0</v>
      </c>
      <c r="AV28" s="5" t="n">
        <v>0</v>
      </c>
      <c r="AW28" s="5" t="n">
        <v>0.8110000000000001</v>
      </c>
      <c r="AX28" s="5" t="n">
        <v>0.129</v>
      </c>
      <c r="AY28" s="5" t="n">
        <v>-0.629</v>
      </c>
      <c r="AZ28" s="5" t="n">
        <v>0.208</v>
      </c>
      <c r="BA28" s="5" t="n">
        <v>0</v>
      </c>
      <c r="BB28" s="5" t="n">
        <v>0</v>
      </c>
      <c r="BC28" s="5" t="n">
        <v>0.535</v>
      </c>
      <c r="BD28" s="5" t="n">
        <v>0.129</v>
      </c>
      <c r="BE28" s="5" t="n">
        <v>-0.366</v>
      </c>
      <c r="BF28" s="5" t="n">
        <v>0.193</v>
      </c>
      <c r="BG28" s="5" t="n">
        <v>0</v>
      </c>
      <c r="BH28" s="5" t="n">
        <v>0</v>
      </c>
      <c r="BI28" s="5" t="n">
        <v>0.579</v>
      </c>
      <c r="BJ28" s="5" t="n">
        <v>0.129</v>
      </c>
      <c r="BK28" s="5" t="n">
        <v>-0.486</v>
      </c>
      <c r="BL28" s="5" t="n">
        <v>0.106</v>
      </c>
      <c r="BM28" s="5" t="n">
        <v>0</v>
      </c>
      <c r="BN28" s="5" t="n">
        <v>0</v>
      </c>
      <c r="BO28" s="5" t="n">
        <v>0</v>
      </c>
      <c r="BP28" s="5" t="n">
        <v>-0.109</v>
      </c>
      <c r="BQ28" s="5" t="n">
        <v>0.011</v>
      </c>
      <c r="BR28" s="5" t="n">
        <v>0</v>
      </c>
      <c r="BS28" s="5" t="n">
        <v>1</v>
      </c>
      <c r="BT28" s="5" t="n">
        <v>0</v>
      </c>
      <c r="BU28" s="5" t="n">
        <v>-0.109</v>
      </c>
      <c r="BV28" s="5" t="n">
        <v>0.016</v>
      </c>
      <c r="BW28" s="5" t="n">
        <v>0</v>
      </c>
      <c r="BX28" s="5" t="n">
        <v>1</v>
      </c>
      <c r="BY28" s="5" t="n">
        <v>13.254</v>
      </c>
      <c r="BZ28" s="5" t="n">
        <v>0</v>
      </c>
      <c r="CA28" s="5" t="n">
        <v>13.254</v>
      </c>
      <c r="CB28" s="5" t="n">
        <v>0</v>
      </c>
      <c r="CC28" s="5" t="n">
        <v>83.248</v>
      </c>
      <c r="CD28" s="5" t="n">
        <v>7.95</v>
      </c>
      <c r="CE28" s="5" t="n">
        <v>1.29</v>
      </c>
      <c r="CF28" s="5" t="n">
        <v>94.90300000000001</v>
      </c>
      <c r="CG28" s="5" t="n">
        <v>0.14</v>
      </c>
      <c r="CH28" s="5" t="n">
        <v>1</v>
      </c>
      <c r="CI28" s="5" t="n">
        <v>0</v>
      </c>
      <c r="CJ28" s="5" t="n">
        <v>0</v>
      </c>
      <c r="CK28" s="5" t="n">
        <v>0</v>
      </c>
      <c r="CL28" s="5" t="n">
        <v>0</v>
      </c>
      <c r="CM28" s="5" t="n">
        <v>0</v>
      </c>
      <c r="CN28" s="5" t="n">
        <v>0</v>
      </c>
      <c r="CO28" s="5" t="n">
        <v>0</v>
      </c>
      <c r="CP28" s="5" t="n">
        <v>0</v>
      </c>
      <c r="CQ28" s="5" t="n">
        <v>1.348</v>
      </c>
      <c r="CR28" s="5" t="n">
        <v>1</v>
      </c>
      <c r="CS28" s="5" t="n">
        <v>5.219</v>
      </c>
      <c r="CT28" s="5" t="n">
        <v>4.861</v>
      </c>
      <c r="CU28" s="5" t="n">
        <v>9.260999999999999</v>
      </c>
    </row>
    <row r="29">
      <c r="A29" s="5" t="inlineStr">
        <is>
          <t>AGO2024</t>
        </is>
      </c>
      <c r="B29" s="5" t="inlineStr">
        <is>
          <t>AGO</t>
        </is>
      </c>
      <c r="C29" s="5" t="inlineStr">
        <is>
          <t>AGO</t>
        </is>
      </c>
      <c r="D29" s="5" t="inlineStr">
        <is>
          <t>Angola</t>
        </is>
      </c>
      <c r="E29" s="5" t="n">
        <v>2024</v>
      </c>
      <c r="F29" s="5" t="n">
        <v>0.14</v>
      </c>
      <c r="G29" s="5" t="n">
        <v>5.575</v>
      </c>
      <c r="H29" s="5" t="n">
        <v>1.324</v>
      </c>
      <c r="I29" s="5" t="n">
        <v>0.08500000000000001</v>
      </c>
      <c r="J29" s="5" t="n">
        <v>5.66</v>
      </c>
      <c r="K29" s="5" t="n">
        <v>0</v>
      </c>
      <c r="L29" s="5" t="n">
        <v>1</v>
      </c>
      <c r="M29" s="5" t="n">
        <v>7.124</v>
      </c>
      <c r="N29" s="5" t="n">
        <v>3.971</v>
      </c>
      <c r="O29" s="5" t="n">
        <v>0.063</v>
      </c>
      <c r="P29" s="5" t="n">
        <v>7.187</v>
      </c>
      <c r="Q29" s="5" t="n">
        <v>0</v>
      </c>
      <c r="R29" s="5" t="n">
        <v>1</v>
      </c>
      <c r="S29" s="5" t="n">
        <v>12.193</v>
      </c>
      <c r="T29" s="5" t="n">
        <v>7.942</v>
      </c>
      <c r="U29" s="5" t="n">
        <v>0.319</v>
      </c>
      <c r="V29" s="5" t="n">
        <v>13.997</v>
      </c>
      <c r="W29" s="5" t="n">
        <v>0.14</v>
      </c>
      <c r="X29" s="5" t="n">
        <v>1</v>
      </c>
      <c r="Y29" s="5" t="n">
        <v>6.034</v>
      </c>
      <c r="Z29" s="5" t="n">
        <v>0.662</v>
      </c>
      <c r="AA29" s="5" t="n">
        <v>0</v>
      </c>
      <c r="AB29" s="5" t="n">
        <v>6.034</v>
      </c>
      <c r="AC29" s="5" t="n">
        <v>0</v>
      </c>
      <c r="AD29" s="5" t="n">
        <v>1</v>
      </c>
      <c r="AE29" s="5" t="n">
        <v>6.696</v>
      </c>
      <c r="AF29" s="5" t="n">
        <v>1.302</v>
      </c>
      <c r="AG29" s="5" t="n">
        <v>0</v>
      </c>
      <c r="AH29" s="5" t="n">
        <v>6.696</v>
      </c>
      <c r="AI29" s="5" t="n">
        <v>0</v>
      </c>
      <c r="AJ29" s="5" t="n">
        <v>1</v>
      </c>
      <c r="AK29" s="5" t="n">
        <v>10.667</v>
      </c>
      <c r="AL29" s="5" t="n">
        <v>5.032</v>
      </c>
      <c r="AM29" s="5" t="n">
        <v>0.203</v>
      </c>
      <c r="AN29" s="5" t="n">
        <v>12.161</v>
      </c>
      <c r="AO29" s="5" t="n">
        <v>0.14</v>
      </c>
      <c r="AP29" s="5" t="n">
        <v>1</v>
      </c>
      <c r="AQ29" s="5" t="n">
        <v>0.724</v>
      </c>
      <c r="AR29" s="5" t="n">
        <v>0.132</v>
      </c>
      <c r="AS29" s="5" t="n">
        <v>-0.421</v>
      </c>
      <c r="AT29" s="5" t="n">
        <v>0.345</v>
      </c>
      <c r="AU29" s="5" t="n">
        <v>0</v>
      </c>
      <c r="AV29" s="5" t="n">
        <v>0</v>
      </c>
      <c r="AW29" s="5" t="n">
        <v>0.75</v>
      </c>
      <c r="AX29" s="5" t="n">
        <v>0.132</v>
      </c>
      <c r="AY29" s="5" t="n">
        <v>-0.5649999999999999</v>
      </c>
      <c r="AZ29" s="5" t="n">
        <v>0.211</v>
      </c>
      <c r="BA29" s="5" t="n">
        <v>0</v>
      </c>
      <c r="BB29" s="5" t="n">
        <v>0</v>
      </c>
      <c r="BC29" s="5" t="n">
        <v>0.513</v>
      </c>
      <c r="BD29" s="5" t="n">
        <v>0.132</v>
      </c>
      <c r="BE29" s="5" t="n">
        <v>-0.361</v>
      </c>
      <c r="BF29" s="5" t="n">
        <v>0.173</v>
      </c>
      <c r="BG29" s="5" t="n">
        <v>0</v>
      </c>
      <c r="BH29" s="5" t="n">
        <v>0</v>
      </c>
      <c r="BI29" s="5" t="n">
        <v>0.591</v>
      </c>
      <c r="BJ29" s="5" t="n">
        <v>0.132</v>
      </c>
      <c r="BK29" s="5" t="n">
        <v>-0.522</v>
      </c>
      <c r="BL29" s="5" t="n">
        <v>0.079</v>
      </c>
      <c r="BM29" s="5" t="n">
        <v>0</v>
      </c>
      <c r="BN29" s="5" t="n">
        <v>0</v>
      </c>
      <c r="BO29" s="5" t="n">
        <v>0</v>
      </c>
      <c r="BP29" s="5" t="n">
        <v>-0.112</v>
      </c>
      <c r="BQ29" s="5" t="n">
        <v>0.007</v>
      </c>
      <c r="BR29" s="5" t="n">
        <v>0</v>
      </c>
      <c r="BS29" s="5" t="n">
        <v>1</v>
      </c>
      <c r="BT29" s="5" t="n">
        <v>0</v>
      </c>
      <c r="BU29" s="5" t="n">
        <v>-0.112</v>
      </c>
      <c r="BV29" s="5" t="n">
        <v>0.012</v>
      </c>
      <c r="BW29" s="5" t="n">
        <v>0</v>
      </c>
      <c r="BX29" s="5" t="n">
        <v>1</v>
      </c>
      <c r="BY29" s="5" t="n">
        <v>13.646</v>
      </c>
      <c r="BZ29" s="5" t="n">
        <v>0</v>
      </c>
      <c r="CA29" s="5" t="n">
        <v>13.646</v>
      </c>
      <c r="CB29" s="5" t="n">
        <v>0</v>
      </c>
      <c r="CC29" s="5" t="n">
        <v>82.58799999999999</v>
      </c>
      <c r="CD29" s="5" t="n">
        <v>7.95</v>
      </c>
      <c r="CE29" s="5" t="n">
        <v>1.575</v>
      </c>
      <c r="CF29" s="5" t="n">
        <v>94.15000000000001</v>
      </c>
      <c r="CG29" s="5" t="n">
        <v>0.14</v>
      </c>
      <c r="CH29" s="5" t="n">
        <v>1</v>
      </c>
      <c r="CI29" s="5" t="n">
        <v>0</v>
      </c>
      <c r="CJ29" s="5" t="n">
        <v>0</v>
      </c>
      <c r="CK29" s="5" t="n">
        <v>0</v>
      </c>
      <c r="CL29" s="5" t="n">
        <v>0</v>
      </c>
      <c r="CM29" s="5" t="n">
        <v>0</v>
      </c>
      <c r="CN29" s="5" t="n">
        <v>0</v>
      </c>
      <c r="CO29" s="5" t="n">
        <v>0</v>
      </c>
      <c r="CP29" s="5" t="n">
        <v>0</v>
      </c>
      <c r="CQ29" s="5" t="n">
        <v>1.387</v>
      </c>
      <c r="CR29" s="5" t="n">
        <v>1</v>
      </c>
      <c r="CS29" s="5" t="n">
        <v>5.373</v>
      </c>
      <c r="CT29" s="5" t="n">
        <v>4.251</v>
      </c>
      <c r="CU29" s="5" t="n">
        <v>7.598</v>
      </c>
    </row>
    <row r="30">
      <c r="A30" s="5" t="inlineStr">
        <is>
          <t>AIA2021</t>
        </is>
      </c>
      <c r="B30" s="5" t="inlineStr">
        <is>
          <t>AIA</t>
        </is>
      </c>
      <c r="C30" s="5" t="inlineStr">
        <is>
          <t>AIA</t>
        </is>
      </c>
      <c r="D30" s="5" t="inlineStr">
        <is>
          <t>Anguilla</t>
        </is>
      </c>
      <c r="E30" s="5" t="n">
        <v>2021</v>
      </c>
      <c r="F30" s="5" t="n">
        <v>0</v>
      </c>
      <c r="G30" s="5" t="n">
        <v>5.897</v>
      </c>
      <c r="H30" s="5" t="n">
        <v>1.143</v>
      </c>
      <c r="I30" s="5" t="n">
        <v>0</v>
      </c>
      <c r="J30" s="5" t="n">
        <v>5.897</v>
      </c>
      <c r="K30" s="5" t="n">
        <v>0</v>
      </c>
      <c r="L30" s="5" t="n">
        <v>1</v>
      </c>
      <c r="M30" s="5" t="n">
        <v>7.964</v>
      </c>
      <c r="N30" s="5" t="n">
        <v>3.43</v>
      </c>
      <c r="O30" s="5" t="n">
        <v>0</v>
      </c>
      <c r="P30" s="5" t="n">
        <v>7.964</v>
      </c>
      <c r="Q30" s="5" t="n">
        <v>0</v>
      </c>
      <c r="R30" s="5" t="n">
        <v>1</v>
      </c>
      <c r="S30" s="5" t="n">
        <v>11.613</v>
      </c>
      <c r="T30" s="5" t="n">
        <v>6.86</v>
      </c>
      <c r="U30" s="5" t="n">
        <v>0</v>
      </c>
      <c r="V30" s="5" t="n">
        <v>11.613</v>
      </c>
      <c r="W30" s="5" t="n">
        <v>0</v>
      </c>
      <c r="X30" s="5" t="n">
        <v>1</v>
      </c>
      <c r="Y30" s="5" t="n">
        <v>17.127</v>
      </c>
      <c r="Z30" s="5" t="n">
        <v>2.304</v>
      </c>
      <c r="AA30" s="5" t="n">
        <v>0</v>
      </c>
      <c r="AB30" s="5" t="n">
        <v>17.127</v>
      </c>
      <c r="AC30" s="5" t="n">
        <v>0</v>
      </c>
      <c r="AD30" s="5" t="n">
        <v>1</v>
      </c>
      <c r="AE30" s="5" t="n">
        <v>18.27</v>
      </c>
      <c r="AF30" s="5" t="n">
        <v>4.278</v>
      </c>
      <c r="AG30" s="5" t="n">
        <v>0</v>
      </c>
      <c r="AH30" s="5" t="n">
        <v>18.27</v>
      </c>
      <c r="AI30" s="5" t="n">
        <v>0</v>
      </c>
      <c r="AJ30" s="5" t="n">
        <v>1</v>
      </c>
      <c r="AK30" s="5" t="n">
        <v>25.13</v>
      </c>
      <c r="AL30" s="5" t="n">
        <v>13.503</v>
      </c>
      <c r="AM30" s="5" t="n">
        <v>0</v>
      </c>
      <c r="AN30" s="5" t="n">
        <v>25.13</v>
      </c>
      <c r="AO30" s="5" t="n">
        <v>0</v>
      </c>
      <c r="AP30" s="5" t="n">
        <v>1</v>
      </c>
      <c r="AQ30" s="5" t="n">
        <v>0.649</v>
      </c>
      <c r="AR30" s="5" t="n">
        <v>0.114</v>
      </c>
      <c r="AS30" s="5" t="n">
        <v>0</v>
      </c>
      <c r="AT30" s="5" t="n">
        <v>0.649</v>
      </c>
      <c r="AU30" s="5" t="n">
        <v>0</v>
      </c>
      <c r="AV30" s="5" t="n">
        <v>1</v>
      </c>
      <c r="AW30" s="5" t="n">
        <v>0.577</v>
      </c>
      <c r="AX30" s="5" t="n">
        <v>0.114</v>
      </c>
      <c r="AY30" s="5" t="n">
        <v>0</v>
      </c>
      <c r="AZ30" s="5" t="n">
        <v>0.577</v>
      </c>
      <c r="BA30" s="5" t="n">
        <v>0</v>
      </c>
      <c r="BB30" s="5" t="n">
        <v>1</v>
      </c>
      <c r="BC30" s="5" t="n">
        <v>0.458</v>
      </c>
      <c r="BD30" s="5" t="n">
        <v>0.114</v>
      </c>
      <c r="BE30" s="5" t="n">
        <v>0</v>
      </c>
      <c r="BF30" s="5" t="n">
        <v>0.458</v>
      </c>
      <c r="BG30" s="5" t="n">
        <v>0</v>
      </c>
      <c r="BH30" s="5" t="n">
        <v>1</v>
      </c>
      <c r="BI30" s="5" t="n">
        <v>0.491</v>
      </c>
      <c r="BJ30" s="5" t="n">
        <v>0.114</v>
      </c>
      <c r="BK30" s="5" t="n">
        <v>0</v>
      </c>
      <c r="BL30" s="5" t="n">
        <v>0.491</v>
      </c>
      <c r="BM30" s="5" t="n">
        <v>0</v>
      </c>
      <c r="BN30" s="5" t="n">
        <v>1</v>
      </c>
      <c r="BO30" s="5" t="n">
        <v>0</v>
      </c>
      <c r="BP30" s="5" t="n">
        <v>0</v>
      </c>
      <c r="BQ30" s="5" t="n">
        <v>0</v>
      </c>
      <c r="BR30" s="5" t="n">
        <v>0</v>
      </c>
      <c r="BS30" s="5" t="n">
        <v>1</v>
      </c>
      <c r="BT30" s="5" t="n">
        <v>0</v>
      </c>
      <c r="BU30" s="5" t="n">
        <v>0</v>
      </c>
      <c r="BV30" s="5" t="n">
        <v>0</v>
      </c>
      <c r="BW30" s="5" t="n">
        <v>0</v>
      </c>
      <c r="BX30" s="5" t="n">
        <v>1</v>
      </c>
      <c r="BY30" s="5" t="n">
        <v>11.787</v>
      </c>
      <c r="BZ30" s="5" t="n">
        <v>0</v>
      </c>
      <c r="CA30" s="5" t="n">
        <v>11.787</v>
      </c>
      <c r="CB30" s="5" t="n">
        <v>0</v>
      </c>
      <c r="CC30" s="5" t="n">
        <v>78.125</v>
      </c>
      <c r="CD30" s="5" t="n">
        <v>7.95</v>
      </c>
      <c r="CE30" s="5" t="n">
        <v>0</v>
      </c>
      <c r="CF30" s="5" t="n">
        <v>78.125</v>
      </c>
      <c r="CG30" s="5" t="n">
        <v>0</v>
      </c>
      <c r="CH30" s="5" t="n">
        <v>1</v>
      </c>
      <c r="CI30" s="5" t="n">
        <v>0</v>
      </c>
      <c r="CJ30" s="5" t="n">
        <v>0</v>
      </c>
      <c r="CK30" s="5" t="n">
        <v>0</v>
      </c>
      <c r="CL30" s="5" t="n">
        <v>0</v>
      </c>
      <c r="CM30" s="5" t="n">
        <v>0</v>
      </c>
      <c r="CN30" s="5" t="n">
        <v>0</v>
      </c>
      <c r="CO30" s="5" t="n">
        <v>0</v>
      </c>
      <c r="CP30" s="5" t="n">
        <v>0</v>
      </c>
      <c r="CQ30" s="5" t="n">
        <v>1.198</v>
      </c>
      <c r="CR30" s="5" t="n">
        <v>0</v>
      </c>
      <c r="CS30" s="5" t="n">
        <v>4.776</v>
      </c>
      <c r="CT30" s="5" t="n">
        <v>4.753</v>
      </c>
      <c r="CU30" s="5" t="n">
        <v>15.983</v>
      </c>
    </row>
    <row r="31">
      <c r="A31" s="5" t="inlineStr">
        <is>
          <t>AIA2022</t>
        </is>
      </c>
      <c r="B31" s="5" t="inlineStr">
        <is>
          <t>AIA</t>
        </is>
      </c>
      <c r="C31" s="5" t="inlineStr">
        <is>
          <t>AIA</t>
        </is>
      </c>
      <c r="D31" s="5" t="inlineStr">
        <is>
          <t>Anguilla</t>
        </is>
      </c>
      <c r="E31" s="5" t="n">
        <v>2022</v>
      </c>
      <c r="F31" s="5" t="n">
        <v>0</v>
      </c>
      <c r="G31" s="5" t="n">
        <v>11.72</v>
      </c>
      <c r="H31" s="5" t="n">
        <v>1.235</v>
      </c>
      <c r="I31" s="5" t="n">
        <v>0</v>
      </c>
      <c r="J31" s="5" t="n">
        <v>11.72</v>
      </c>
      <c r="K31" s="5" t="n">
        <v>0</v>
      </c>
      <c r="L31" s="5" t="n">
        <v>1</v>
      </c>
      <c r="M31" s="5" t="n">
        <v>9.782999999999999</v>
      </c>
      <c r="N31" s="5" t="n">
        <v>3.704</v>
      </c>
      <c r="O31" s="5" t="n">
        <v>0</v>
      </c>
      <c r="P31" s="5" t="n">
        <v>9.782999999999999</v>
      </c>
      <c r="Q31" s="5" t="n">
        <v>0</v>
      </c>
      <c r="R31" s="5" t="n">
        <v>1</v>
      </c>
      <c r="S31" s="5" t="n">
        <v>17.893</v>
      </c>
      <c r="T31" s="5" t="n">
        <v>7.408</v>
      </c>
      <c r="U31" s="5" t="n">
        <v>0</v>
      </c>
      <c r="V31" s="5" t="n">
        <v>17.893</v>
      </c>
      <c r="W31" s="5" t="n">
        <v>0</v>
      </c>
      <c r="X31" s="5" t="n">
        <v>1</v>
      </c>
      <c r="Y31" s="5" t="n">
        <v>30.728</v>
      </c>
      <c r="Z31" s="5" t="n">
        <v>4.133</v>
      </c>
      <c r="AA31" s="5" t="n">
        <v>0</v>
      </c>
      <c r="AB31" s="5" t="n">
        <v>30.728</v>
      </c>
      <c r="AC31" s="5" t="n">
        <v>0</v>
      </c>
      <c r="AD31" s="5" t="n">
        <v>1</v>
      </c>
      <c r="AE31" s="5" t="n">
        <v>31.963</v>
      </c>
      <c r="AF31" s="5" t="n">
        <v>7.485</v>
      </c>
      <c r="AG31" s="5" t="n">
        <v>0</v>
      </c>
      <c r="AH31" s="5" t="n">
        <v>31.963</v>
      </c>
      <c r="AI31" s="5" t="n">
        <v>0</v>
      </c>
      <c r="AJ31" s="5" t="n">
        <v>1</v>
      </c>
      <c r="AK31" s="5" t="n">
        <v>39.371</v>
      </c>
      <c r="AL31" s="5" t="n">
        <v>21.155</v>
      </c>
      <c r="AM31" s="5" t="n">
        <v>0</v>
      </c>
      <c r="AN31" s="5" t="n">
        <v>39.371</v>
      </c>
      <c r="AO31" s="5" t="n">
        <v>0</v>
      </c>
      <c r="AP31" s="5" t="n">
        <v>1</v>
      </c>
      <c r="AQ31" s="5" t="n">
        <v>0.896</v>
      </c>
      <c r="AR31" s="5" t="n">
        <v>0.123</v>
      </c>
      <c r="AS31" s="5" t="n">
        <v>0</v>
      </c>
      <c r="AT31" s="5" t="n">
        <v>0.896</v>
      </c>
      <c r="AU31" s="5" t="n">
        <v>0</v>
      </c>
      <c r="AV31" s="5" t="n">
        <v>1</v>
      </c>
      <c r="AW31" s="5" t="n">
        <v>0.89</v>
      </c>
      <c r="AX31" s="5" t="n">
        <v>0.123</v>
      </c>
      <c r="AY31" s="5" t="n">
        <v>0</v>
      </c>
      <c r="AZ31" s="5" t="n">
        <v>0.89</v>
      </c>
      <c r="BA31" s="5" t="n">
        <v>0</v>
      </c>
      <c r="BB31" s="5" t="n">
        <v>1</v>
      </c>
      <c r="BC31" s="5" t="n">
        <v>0.62</v>
      </c>
      <c r="BD31" s="5" t="n">
        <v>0.123</v>
      </c>
      <c r="BE31" s="5" t="n">
        <v>0</v>
      </c>
      <c r="BF31" s="5" t="n">
        <v>0.62</v>
      </c>
      <c r="BG31" s="5" t="n">
        <v>0</v>
      </c>
      <c r="BH31" s="5" t="n">
        <v>1</v>
      </c>
      <c r="BI31" s="5" t="n">
        <v>0.608</v>
      </c>
      <c r="BJ31" s="5" t="n">
        <v>0.123</v>
      </c>
      <c r="BK31" s="5" t="n">
        <v>0</v>
      </c>
      <c r="BL31" s="5" t="n">
        <v>0.608</v>
      </c>
      <c r="BM31" s="5" t="n">
        <v>0</v>
      </c>
      <c r="BN31" s="5" t="n">
        <v>1</v>
      </c>
      <c r="BO31" s="5" t="n">
        <v>0</v>
      </c>
      <c r="BP31" s="5" t="n">
        <v>0</v>
      </c>
      <c r="BQ31" s="5" t="n">
        <v>0</v>
      </c>
      <c r="BR31" s="5" t="n">
        <v>0</v>
      </c>
      <c r="BS31" s="5" t="n">
        <v>1</v>
      </c>
      <c r="BT31" s="5" t="n">
        <v>0</v>
      </c>
      <c r="BU31" s="5" t="n">
        <v>0</v>
      </c>
      <c r="BV31" s="5" t="n">
        <v>0</v>
      </c>
      <c r="BW31" s="5" t="n">
        <v>0</v>
      </c>
      <c r="BX31" s="5" t="n">
        <v>1</v>
      </c>
      <c r="BY31" s="5" t="n">
        <v>12.729</v>
      </c>
      <c r="BZ31" s="5" t="n">
        <v>0</v>
      </c>
      <c r="CA31" s="5" t="n">
        <v>12.729</v>
      </c>
      <c r="CB31" s="5" t="n">
        <v>0</v>
      </c>
      <c r="CC31" s="5" t="n">
        <v>97.90000000000001</v>
      </c>
      <c r="CD31" s="5" t="n">
        <v>7.95</v>
      </c>
      <c r="CE31" s="5" t="n">
        <v>0</v>
      </c>
      <c r="CF31" s="5" t="n">
        <v>97.90000000000001</v>
      </c>
      <c r="CG31" s="5" t="n">
        <v>0</v>
      </c>
      <c r="CH31" s="5" t="n">
        <v>1</v>
      </c>
      <c r="CI31" s="5" t="n">
        <v>0</v>
      </c>
      <c r="CJ31" s="5" t="n">
        <v>0</v>
      </c>
      <c r="CK31" s="5" t="n">
        <v>0</v>
      </c>
      <c r="CL31" s="5" t="n">
        <v>0</v>
      </c>
      <c r="CM31" s="5" t="n">
        <v>0</v>
      </c>
      <c r="CN31" s="5" t="n">
        <v>0</v>
      </c>
      <c r="CO31" s="5" t="n">
        <v>0</v>
      </c>
      <c r="CP31" s="5" t="n">
        <v>0</v>
      </c>
      <c r="CQ31" s="5" t="n">
        <v>1.294</v>
      </c>
      <c r="CR31" s="5" t="n">
        <v>0</v>
      </c>
      <c r="CS31" s="5" t="n">
        <v>5.158</v>
      </c>
      <c r="CT31" s="5" t="n">
        <v>10.485</v>
      </c>
      <c r="CU31" s="5" t="n">
        <v>29.494</v>
      </c>
    </row>
    <row r="32">
      <c r="A32" s="5" t="inlineStr">
        <is>
          <t>AIA2023</t>
        </is>
      </c>
      <c r="B32" s="5" t="inlineStr">
        <is>
          <t>AIA</t>
        </is>
      </c>
      <c r="C32" s="5" t="inlineStr">
        <is>
          <t>AIA</t>
        </is>
      </c>
      <c r="D32" s="5" t="inlineStr">
        <is>
          <t>Anguilla</t>
        </is>
      </c>
      <c r="E32" s="5" t="n">
        <v>2023</v>
      </c>
      <c r="F32" s="5" t="n">
        <v>0</v>
      </c>
      <c r="G32" s="5" t="n">
        <v>6.147</v>
      </c>
      <c r="H32" s="5" t="n">
        <v>1.286</v>
      </c>
      <c r="I32" s="5" t="n">
        <v>0</v>
      </c>
      <c r="J32" s="5" t="n">
        <v>6.147</v>
      </c>
      <c r="K32" s="5" t="n">
        <v>0</v>
      </c>
      <c r="L32" s="5" t="n">
        <v>1</v>
      </c>
      <c r="M32" s="5" t="n">
        <v>7.886</v>
      </c>
      <c r="N32" s="5" t="n">
        <v>3.857</v>
      </c>
      <c r="O32" s="5" t="n">
        <v>0</v>
      </c>
      <c r="P32" s="5" t="n">
        <v>7.886</v>
      </c>
      <c r="Q32" s="5" t="n">
        <v>0</v>
      </c>
      <c r="R32" s="5" t="n">
        <v>1</v>
      </c>
      <c r="S32" s="5" t="n">
        <v>12.575</v>
      </c>
      <c r="T32" s="5" t="n">
        <v>7.714</v>
      </c>
      <c r="U32" s="5" t="n">
        <v>0</v>
      </c>
      <c r="V32" s="5" t="n">
        <v>12.575</v>
      </c>
      <c r="W32" s="5" t="n">
        <v>0</v>
      </c>
      <c r="X32" s="5" t="n">
        <v>1</v>
      </c>
      <c r="Y32" s="5" t="n">
        <v>12.478</v>
      </c>
      <c r="Z32" s="5" t="n">
        <v>1.678</v>
      </c>
      <c r="AA32" s="5" t="n">
        <v>0</v>
      </c>
      <c r="AB32" s="5" t="n">
        <v>12.478</v>
      </c>
      <c r="AC32" s="5" t="n">
        <v>0</v>
      </c>
      <c r="AD32" s="5" t="n">
        <v>1</v>
      </c>
      <c r="AE32" s="5" t="n">
        <v>13.763</v>
      </c>
      <c r="AF32" s="5" t="n">
        <v>3.223</v>
      </c>
      <c r="AG32" s="5" t="n">
        <v>0</v>
      </c>
      <c r="AH32" s="5" t="n">
        <v>13.763</v>
      </c>
      <c r="AI32" s="5" t="n">
        <v>0</v>
      </c>
      <c r="AJ32" s="5" t="n">
        <v>1</v>
      </c>
      <c r="AK32" s="5" t="n">
        <v>21.477</v>
      </c>
      <c r="AL32" s="5" t="n">
        <v>11.54</v>
      </c>
      <c r="AM32" s="5" t="n">
        <v>0</v>
      </c>
      <c r="AN32" s="5" t="n">
        <v>21.477</v>
      </c>
      <c r="AO32" s="5" t="n">
        <v>0</v>
      </c>
      <c r="AP32" s="5" t="n">
        <v>1</v>
      </c>
      <c r="AQ32" s="5" t="n">
        <v>0.791</v>
      </c>
      <c r="AR32" s="5" t="n">
        <v>0.129</v>
      </c>
      <c r="AS32" s="5" t="n">
        <v>0</v>
      </c>
      <c r="AT32" s="5" t="n">
        <v>0.791</v>
      </c>
      <c r="AU32" s="5" t="n">
        <v>0</v>
      </c>
      <c r="AV32" s="5" t="n">
        <v>1</v>
      </c>
      <c r="AW32" s="5" t="n">
        <v>0.618</v>
      </c>
      <c r="AX32" s="5" t="n">
        <v>0.129</v>
      </c>
      <c r="AY32" s="5" t="n">
        <v>0</v>
      </c>
      <c r="AZ32" s="5" t="n">
        <v>0.618</v>
      </c>
      <c r="BA32" s="5" t="n">
        <v>0</v>
      </c>
      <c r="BB32" s="5" t="n">
        <v>1</v>
      </c>
      <c r="BC32" s="5" t="n">
        <v>0.554</v>
      </c>
      <c r="BD32" s="5" t="n">
        <v>0.129</v>
      </c>
      <c r="BE32" s="5" t="n">
        <v>0</v>
      </c>
      <c r="BF32" s="5" t="n">
        <v>0.554</v>
      </c>
      <c r="BG32" s="5" t="n">
        <v>0</v>
      </c>
      <c r="BH32" s="5" t="n">
        <v>1</v>
      </c>
      <c r="BI32" s="5" t="n">
        <v>0.5570000000000001</v>
      </c>
      <c r="BJ32" s="5" t="n">
        <v>0.129</v>
      </c>
      <c r="BK32" s="5" t="n">
        <v>0</v>
      </c>
      <c r="BL32" s="5" t="n">
        <v>0.5570000000000001</v>
      </c>
      <c r="BM32" s="5" t="n">
        <v>0</v>
      </c>
      <c r="BN32" s="5" t="n">
        <v>1</v>
      </c>
      <c r="BO32" s="5" t="n">
        <v>0</v>
      </c>
      <c r="BP32" s="5" t="n">
        <v>0</v>
      </c>
      <c r="BQ32" s="5" t="n">
        <v>0</v>
      </c>
      <c r="BR32" s="5" t="n">
        <v>0</v>
      </c>
      <c r="BS32" s="5" t="n">
        <v>1</v>
      </c>
      <c r="BT32" s="5" t="n">
        <v>0</v>
      </c>
      <c r="BU32" s="5" t="n">
        <v>0</v>
      </c>
      <c r="BV32" s="5" t="n">
        <v>0</v>
      </c>
      <c r="BW32" s="5" t="n">
        <v>0</v>
      </c>
      <c r="BX32" s="5" t="n">
        <v>1</v>
      </c>
      <c r="BY32" s="5" t="n">
        <v>13.254</v>
      </c>
      <c r="BZ32" s="5" t="n">
        <v>0</v>
      </c>
      <c r="CA32" s="5" t="n">
        <v>13.254</v>
      </c>
      <c r="CB32" s="5" t="n">
        <v>0</v>
      </c>
      <c r="CC32" s="5" t="n">
        <v>83.248</v>
      </c>
      <c r="CD32" s="5" t="n">
        <v>7.95</v>
      </c>
      <c r="CE32" s="5" t="n">
        <v>0</v>
      </c>
      <c r="CF32" s="5" t="n">
        <v>83.248</v>
      </c>
      <c r="CG32" s="5" t="n">
        <v>0</v>
      </c>
      <c r="CH32" s="5" t="n">
        <v>1</v>
      </c>
      <c r="CI32" s="5" t="n">
        <v>0</v>
      </c>
      <c r="CJ32" s="5" t="n">
        <v>0</v>
      </c>
      <c r="CK32" s="5" t="n">
        <v>0</v>
      </c>
      <c r="CL32" s="5" t="n">
        <v>0</v>
      </c>
      <c r="CM32" s="5" t="n">
        <v>0</v>
      </c>
      <c r="CN32" s="5" t="n">
        <v>0</v>
      </c>
      <c r="CO32" s="5" t="n">
        <v>0</v>
      </c>
      <c r="CP32" s="5" t="n">
        <v>0</v>
      </c>
      <c r="CQ32" s="5" t="n">
        <v>1.348</v>
      </c>
      <c r="CR32" s="5" t="n">
        <v>0</v>
      </c>
      <c r="CS32" s="5" t="n">
        <v>5.37</v>
      </c>
      <c r="CT32" s="5" t="n">
        <v>4.861</v>
      </c>
      <c r="CU32" s="5" t="n">
        <v>11.192</v>
      </c>
    </row>
    <row r="33">
      <c r="A33" s="5" t="inlineStr">
        <is>
          <t>AIA2024</t>
        </is>
      </c>
      <c r="B33" s="5" t="inlineStr">
        <is>
          <t>AIA</t>
        </is>
      </c>
      <c r="C33" s="5" t="inlineStr">
        <is>
          <t>AIA</t>
        </is>
      </c>
      <c r="D33" s="5" t="inlineStr">
        <is>
          <t>Anguilla</t>
        </is>
      </c>
      <c r="E33" s="5" t="n">
        <v>2024</v>
      </c>
      <c r="F33" s="5" t="n">
        <v>0</v>
      </c>
      <c r="G33" s="5" t="n">
        <v>5.575</v>
      </c>
      <c r="H33" s="5" t="n">
        <v>1.324</v>
      </c>
      <c r="I33" s="5" t="n">
        <v>0</v>
      </c>
      <c r="J33" s="5" t="n">
        <v>5.575</v>
      </c>
      <c r="K33" s="5" t="n">
        <v>0</v>
      </c>
      <c r="L33" s="5" t="n">
        <v>1</v>
      </c>
      <c r="M33" s="5" t="n">
        <v>7.124</v>
      </c>
      <c r="N33" s="5" t="n">
        <v>3.971</v>
      </c>
      <c r="O33" s="5" t="n">
        <v>0</v>
      </c>
      <c r="P33" s="5" t="n">
        <v>7.124</v>
      </c>
      <c r="Q33" s="5" t="n">
        <v>0</v>
      </c>
      <c r="R33" s="5" t="n">
        <v>1</v>
      </c>
      <c r="S33" s="5" t="n">
        <v>12.193</v>
      </c>
      <c r="T33" s="5" t="n">
        <v>7.942</v>
      </c>
      <c r="U33" s="5" t="n">
        <v>0</v>
      </c>
      <c r="V33" s="5" t="n">
        <v>12.193</v>
      </c>
      <c r="W33" s="5" t="n">
        <v>0</v>
      </c>
      <c r="X33" s="5" t="n">
        <v>1</v>
      </c>
      <c r="Y33" s="5" t="n">
        <v>11.447</v>
      </c>
      <c r="Z33" s="5" t="n">
        <v>1.54</v>
      </c>
      <c r="AA33" s="5" t="n">
        <v>0</v>
      </c>
      <c r="AB33" s="5" t="n">
        <v>11.447</v>
      </c>
      <c r="AC33" s="5" t="n">
        <v>0</v>
      </c>
      <c r="AD33" s="5" t="n">
        <v>1</v>
      </c>
      <c r="AE33" s="5" t="n">
        <v>12.771</v>
      </c>
      <c r="AF33" s="5" t="n">
        <v>2.991</v>
      </c>
      <c r="AG33" s="5" t="n">
        <v>0</v>
      </c>
      <c r="AH33" s="5" t="n">
        <v>12.771</v>
      </c>
      <c r="AI33" s="5" t="n">
        <v>0</v>
      </c>
      <c r="AJ33" s="5" t="n">
        <v>1</v>
      </c>
      <c r="AK33" s="5" t="n">
        <v>20.712</v>
      </c>
      <c r="AL33" s="5" t="n">
        <v>11.129</v>
      </c>
      <c r="AM33" s="5" t="n">
        <v>0</v>
      </c>
      <c r="AN33" s="5" t="n">
        <v>20.712</v>
      </c>
      <c r="AO33" s="5" t="n">
        <v>0</v>
      </c>
      <c r="AP33" s="5" t="n">
        <v>1</v>
      </c>
      <c r="AQ33" s="5" t="n">
        <v>0.756</v>
      </c>
      <c r="AR33" s="5" t="n">
        <v>0.132</v>
      </c>
      <c r="AS33" s="5" t="n">
        <v>0</v>
      </c>
      <c r="AT33" s="5" t="n">
        <v>0.756</v>
      </c>
      <c r="AU33" s="5" t="n">
        <v>0</v>
      </c>
      <c r="AV33" s="5" t="n">
        <v>1</v>
      </c>
      <c r="AW33" s="5" t="n">
        <v>0.655</v>
      </c>
      <c r="AX33" s="5" t="n">
        <v>0.132</v>
      </c>
      <c r="AY33" s="5" t="n">
        <v>0</v>
      </c>
      <c r="AZ33" s="5" t="n">
        <v>0.655</v>
      </c>
      <c r="BA33" s="5" t="n">
        <v>0</v>
      </c>
      <c r="BB33" s="5" t="n">
        <v>1</v>
      </c>
      <c r="BC33" s="5" t="n">
        <v>0.534</v>
      </c>
      <c r="BD33" s="5" t="n">
        <v>0.132</v>
      </c>
      <c r="BE33" s="5" t="n">
        <v>0</v>
      </c>
      <c r="BF33" s="5" t="n">
        <v>0.534</v>
      </c>
      <c r="BG33" s="5" t="n">
        <v>0</v>
      </c>
      <c r="BH33" s="5" t="n">
        <v>1</v>
      </c>
      <c r="BI33" s="5" t="n">
        <v>0.5679999999999999</v>
      </c>
      <c r="BJ33" s="5" t="n">
        <v>0.132</v>
      </c>
      <c r="BK33" s="5" t="n">
        <v>0</v>
      </c>
      <c r="BL33" s="5" t="n">
        <v>0.5679999999999999</v>
      </c>
      <c r="BM33" s="5" t="n">
        <v>0</v>
      </c>
      <c r="BN33" s="5" t="n">
        <v>1</v>
      </c>
      <c r="BO33" s="5" t="n">
        <v>0</v>
      </c>
      <c r="BP33" s="5" t="n">
        <v>0</v>
      </c>
      <c r="BQ33" s="5" t="n">
        <v>0</v>
      </c>
      <c r="BR33" s="5" t="n">
        <v>0</v>
      </c>
      <c r="BS33" s="5" t="n">
        <v>1</v>
      </c>
      <c r="BT33" s="5" t="n">
        <v>0</v>
      </c>
      <c r="BU33" s="5" t="n">
        <v>0</v>
      </c>
      <c r="BV33" s="5" t="n">
        <v>0</v>
      </c>
      <c r="BW33" s="5" t="n">
        <v>0</v>
      </c>
      <c r="BX33" s="5" t="n">
        <v>1</v>
      </c>
      <c r="BY33" s="5" t="n">
        <v>13.646</v>
      </c>
      <c r="BZ33" s="5" t="n">
        <v>0</v>
      </c>
      <c r="CA33" s="5" t="n">
        <v>13.646</v>
      </c>
      <c r="CB33" s="5" t="n">
        <v>0</v>
      </c>
      <c r="CC33" s="5" t="n">
        <v>82.58799999999999</v>
      </c>
      <c r="CD33" s="5" t="n">
        <v>7.95</v>
      </c>
      <c r="CE33" s="5" t="n">
        <v>0</v>
      </c>
      <c r="CF33" s="5" t="n">
        <v>82.58799999999999</v>
      </c>
      <c r="CG33" s="5" t="n">
        <v>0</v>
      </c>
      <c r="CH33" s="5" t="n">
        <v>1</v>
      </c>
      <c r="CI33" s="5" t="n">
        <v>0</v>
      </c>
      <c r="CJ33" s="5" t="n">
        <v>0</v>
      </c>
      <c r="CK33" s="5" t="n">
        <v>0</v>
      </c>
      <c r="CL33" s="5" t="n">
        <v>0</v>
      </c>
      <c r="CM33" s="5" t="n">
        <v>0</v>
      </c>
      <c r="CN33" s="5" t="n">
        <v>0</v>
      </c>
      <c r="CO33" s="5" t="n">
        <v>0</v>
      </c>
      <c r="CP33" s="5" t="n">
        <v>0</v>
      </c>
      <c r="CQ33" s="5" t="n">
        <v>1.387</v>
      </c>
      <c r="CR33" s="5" t="n">
        <v>0</v>
      </c>
      <c r="CS33" s="5" t="n">
        <v>5.529</v>
      </c>
      <c r="CT33" s="5" t="n">
        <v>4.251</v>
      </c>
      <c r="CU33" s="5" t="n">
        <v>10.123</v>
      </c>
    </row>
    <row r="34">
      <c r="A34" s="5" t="inlineStr">
        <is>
          <t>ATG2021</t>
        </is>
      </c>
      <c r="B34" s="5" t="inlineStr">
        <is>
          <t>ATG</t>
        </is>
      </c>
      <c r="C34" s="5" t="inlineStr">
        <is>
          <t>ATG</t>
        </is>
      </c>
      <c r="D34" s="5" t="inlineStr">
        <is>
          <t>Antigua and Barbuda</t>
        </is>
      </c>
      <c r="E34" s="5" t="n">
        <v>2021</v>
      </c>
      <c r="F34" s="5" t="n">
        <v>0.15</v>
      </c>
      <c r="G34" s="5" t="n">
        <v>5.897</v>
      </c>
      <c r="H34" s="5" t="n">
        <v>1.143</v>
      </c>
      <c r="I34" s="5" t="n">
        <v>0</v>
      </c>
      <c r="J34" s="5" t="n">
        <v>5.897</v>
      </c>
      <c r="K34" s="5" t="n">
        <v>0</v>
      </c>
      <c r="L34" s="5" t="n">
        <v>1</v>
      </c>
      <c r="M34" s="5" t="n">
        <v>7.964</v>
      </c>
      <c r="N34" s="5" t="n">
        <v>3.43</v>
      </c>
      <c r="O34" s="5" t="n">
        <v>0</v>
      </c>
      <c r="P34" s="5" t="n">
        <v>7.964</v>
      </c>
      <c r="Q34" s="5" t="n">
        <v>0</v>
      </c>
      <c r="R34" s="5" t="n">
        <v>1</v>
      </c>
      <c r="S34" s="5" t="n">
        <v>11.613</v>
      </c>
      <c r="T34" s="5" t="n">
        <v>6.86</v>
      </c>
      <c r="U34" s="5" t="n">
        <v>0</v>
      </c>
      <c r="V34" s="5" t="n">
        <v>13.588</v>
      </c>
      <c r="W34" s="5" t="n">
        <v>0.17</v>
      </c>
      <c r="X34" s="5" t="n">
        <v>1</v>
      </c>
      <c r="Y34" s="5" t="n">
        <v>17.127</v>
      </c>
      <c r="Z34" s="5" t="n">
        <v>2.304</v>
      </c>
      <c r="AA34" s="5" t="n">
        <v>0</v>
      </c>
      <c r="AB34" s="5" t="n">
        <v>17.127</v>
      </c>
      <c r="AC34" s="5" t="n">
        <v>0</v>
      </c>
      <c r="AD34" s="5" t="n">
        <v>1</v>
      </c>
      <c r="AE34" s="5" t="n">
        <v>18.27</v>
      </c>
      <c r="AF34" s="5" t="n">
        <v>4.278</v>
      </c>
      <c r="AG34" s="5" t="n">
        <v>0</v>
      </c>
      <c r="AH34" s="5" t="n">
        <v>18.27</v>
      </c>
      <c r="AI34" s="5" t="n">
        <v>0</v>
      </c>
      <c r="AJ34" s="5" t="n">
        <v>1</v>
      </c>
      <c r="AK34" s="5" t="n">
        <v>25.13</v>
      </c>
      <c r="AL34" s="5" t="n">
        <v>13.503</v>
      </c>
      <c r="AM34" s="5" t="n">
        <v>0</v>
      </c>
      <c r="AN34" s="5" t="n">
        <v>29.402</v>
      </c>
      <c r="AO34" s="5" t="n">
        <v>0.17</v>
      </c>
      <c r="AP34" s="5" t="n">
        <v>1</v>
      </c>
      <c r="AQ34" s="5" t="n">
        <v>0.649</v>
      </c>
      <c r="AR34" s="5" t="n">
        <v>0.114</v>
      </c>
      <c r="AS34" s="5" t="n">
        <v>0.554</v>
      </c>
      <c r="AT34" s="5" t="n">
        <v>1.218</v>
      </c>
      <c r="AU34" s="5" t="n">
        <v>0.013</v>
      </c>
      <c r="AV34" s="5" t="n">
        <v>1</v>
      </c>
      <c r="AW34" s="5" t="n">
        <v>0.577</v>
      </c>
      <c r="AX34" s="5" t="n">
        <v>0.114</v>
      </c>
      <c r="AY34" s="5" t="n">
        <v>0.202</v>
      </c>
      <c r="AZ34" s="5" t="n">
        <v>0.911</v>
      </c>
      <c r="BA34" s="5" t="n">
        <v>0.17</v>
      </c>
      <c r="BB34" s="5" t="n">
        <v>1</v>
      </c>
      <c r="BC34" s="5" t="n">
        <v>0.458</v>
      </c>
      <c r="BD34" s="5" t="n">
        <v>0.114</v>
      </c>
      <c r="BE34" s="5" t="n">
        <v>0.158</v>
      </c>
      <c r="BF34" s="5" t="n">
        <v>0.721</v>
      </c>
      <c r="BG34" s="5" t="n">
        <v>0.17</v>
      </c>
      <c r="BH34" s="5" t="n">
        <v>0</v>
      </c>
      <c r="BI34" s="5" t="n">
        <v>0.491</v>
      </c>
      <c r="BJ34" s="5" t="n">
        <v>0.114</v>
      </c>
      <c r="BK34" s="5" t="n">
        <v>0.018</v>
      </c>
      <c r="BL34" s="5" t="n">
        <v>0.595</v>
      </c>
      <c r="BM34" s="5" t="n">
        <v>0.17</v>
      </c>
      <c r="BN34" s="5" t="n">
        <v>1</v>
      </c>
      <c r="BO34" s="5" t="n">
        <v>0</v>
      </c>
      <c r="BP34" s="5" t="n">
        <v>0.126</v>
      </c>
      <c r="BQ34" s="5" t="n">
        <v>0.71</v>
      </c>
      <c r="BR34" s="5" t="n">
        <v>0</v>
      </c>
      <c r="BS34" s="5" t="n">
        <v>1</v>
      </c>
      <c r="BT34" s="5" t="n">
        <v>0</v>
      </c>
      <c r="BU34" s="5" t="n">
        <v>0</v>
      </c>
      <c r="BV34" s="5" t="n">
        <v>0.388</v>
      </c>
      <c r="BW34" s="5" t="n">
        <v>0</v>
      </c>
      <c r="BX34" s="5" t="n">
        <v>0.667</v>
      </c>
      <c r="BY34" s="5" t="n">
        <v>11.787</v>
      </c>
      <c r="BZ34" s="5" t="n">
        <v>0</v>
      </c>
      <c r="CA34" s="5" t="n">
        <v>11.787</v>
      </c>
      <c r="CB34" s="5" t="n">
        <v>0</v>
      </c>
      <c r="CC34" s="5" t="n">
        <v>78.125</v>
      </c>
      <c r="CD34" s="5" t="n">
        <v>7.95</v>
      </c>
      <c r="CE34" s="5" t="n">
        <v>0</v>
      </c>
      <c r="CF34" s="5" t="n">
        <v>91.40600000000001</v>
      </c>
      <c r="CG34" s="5" t="n">
        <v>0.17</v>
      </c>
      <c r="CH34" s="5" t="n">
        <v>1</v>
      </c>
      <c r="CI34" s="5" t="n">
        <v>0</v>
      </c>
      <c r="CJ34" s="5" t="n">
        <v>0</v>
      </c>
      <c r="CK34" s="5" t="n">
        <v>0</v>
      </c>
      <c r="CL34" s="5" t="n">
        <v>0</v>
      </c>
      <c r="CM34" s="5" t="n">
        <v>0</v>
      </c>
      <c r="CN34" s="5" t="n">
        <v>0</v>
      </c>
      <c r="CO34" s="5" t="n">
        <v>0</v>
      </c>
      <c r="CP34" s="5" t="n">
        <v>0</v>
      </c>
      <c r="CQ34" s="5" t="n">
        <v>1.198</v>
      </c>
      <c r="CR34" s="5" t="n">
        <v>0</v>
      </c>
      <c r="CS34" s="5" t="n">
        <v>4.776</v>
      </c>
      <c r="CT34" s="5" t="n">
        <v>4.753</v>
      </c>
      <c r="CU34" s="5" t="n">
        <v>15.983</v>
      </c>
    </row>
    <row r="35">
      <c r="A35" s="5" t="inlineStr">
        <is>
          <t>ATG2022</t>
        </is>
      </c>
      <c r="B35" s="5" t="inlineStr">
        <is>
          <t>ATG</t>
        </is>
      </c>
      <c r="C35" s="5" t="inlineStr">
        <is>
          <t>ATG</t>
        </is>
      </c>
      <c r="D35" s="5" t="inlineStr">
        <is>
          <t>Antigua and Barbuda</t>
        </is>
      </c>
      <c r="E35" s="5" t="n">
        <v>2022</v>
      </c>
      <c r="F35" s="5" t="n">
        <v>0.15</v>
      </c>
      <c r="G35" s="5" t="n">
        <v>11.72</v>
      </c>
      <c r="H35" s="5" t="n">
        <v>1.235</v>
      </c>
      <c r="I35" s="5" t="n">
        <v>0</v>
      </c>
      <c r="J35" s="5" t="n">
        <v>11.72</v>
      </c>
      <c r="K35" s="5" t="n">
        <v>0</v>
      </c>
      <c r="L35" s="5" t="n">
        <v>1</v>
      </c>
      <c r="M35" s="5" t="n">
        <v>9.782999999999999</v>
      </c>
      <c r="N35" s="5" t="n">
        <v>3.704</v>
      </c>
      <c r="O35" s="5" t="n">
        <v>0</v>
      </c>
      <c r="P35" s="5" t="n">
        <v>9.782999999999999</v>
      </c>
      <c r="Q35" s="5" t="n">
        <v>0</v>
      </c>
      <c r="R35" s="5" t="n">
        <v>1</v>
      </c>
      <c r="S35" s="5" t="n">
        <v>17.893</v>
      </c>
      <c r="T35" s="5" t="n">
        <v>7.408</v>
      </c>
      <c r="U35" s="5" t="n">
        <v>0.225</v>
      </c>
      <c r="V35" s="5" t="n">
        <v>20.935</v>
      </c>
      <c r="W35" s="5" t="n">
        <v>0.17</v>
      </c>
      <c r="X35" s="5" t="n">
        <v>1</v>
      </c>
      <c r="Y35" s="5" t="n">
        <v>30.728</v>
      </c>
      <c r="Z35" s="5" t="n">
        <v>4.133</v>
      </c>
      <c r="AA35" s="5" t="n">
        <v>0</v>
      </c>
      <c r="AB35" s="5" t="n">
        <v>30.728</v>
      </c>
      <c r="AC35" s="5" t="n">
        <v>0</v>
      </c>
      <c r="AD35" s="5" t="n">
        <v>1</v>
      </c>
      <c r="AE35" s="5" t="n">
        <v>31.963</v>
      </c>
      <c r="AF35" s="5" t="n">
        <v>7.485</v>
      </c>
      <c r="AG35" s="5" t="n">
        <v>0</v>
      </c>
      <c r="AH35" s="5" t="n">
        <v>31.963</v>
      </c>
      <c r="AI35" s="5" t="n">
        <v>0</v>
      </c>
      <c r="AJ35" s="5" t="n">
        <v>1</v>
      </c>
      <c r="AK35" s="5" t="n">
        <v>39.371</v>
      </c>
      <c r="AL35" s="5" t="n">
        <v>21.155</v>
      </c>
      <c r="AM35" s="5" t="n">
        <v>0.495</v>
      </c>
      <c r="AN35" s="5" t="n">
        <v>46.064</v>
      </c>
      <c r="AO35" s="5" t="n">
        <v>0.17</v>
      </c>
      <c r="AP35" s="5" t="n">
        <v>1</v>
      </c>
      <c r="AQ35" s="5" t="n">
        <v>0.896</v>
      </c>
      <c r="AR35" s="5" t="n">
        <v>0.123</v>
      </c>
      <c r="AS35" s="5" t="n">
        <v>0.5629999999999999</v>
      </c>
      <c r="AT35" s="5" t="n">
        <v>1.479</v>
      </c>
      <c r="AU35" s="5" t="n">
        <v>0.013</v>
      </c>
      <c r="AV35" s="5" t="n">
        <v>1</v>
      </c>
      <c r="AW35" s="5" t="n">
        <v>0.89</v>
      </c>
      <c r="AX35" s="5" t="n">
        <v>0.123</v>
      </c>
      <c r="AY35" s="5" t="n">
        <v>0.105</v>
      </c>
      <c r="AZ35" s="5" t="n">
        <v>1.165</v>
      </c>
      <c r="BA35" s="5" t="n">
        <v>0.17</v>
      </c>
      <c r="BB35" s="5" t="n">
        <v>1</v>
      </c>
      <c r="BC35" s="5" t="n">
        <v>0.62</v>
      </c>
      <c r="BD35" s="5" t="n">
        <v>0.123</v>
      </c>
      <c r="BE35" s="5" t="n">
        <v>-0.004</v>
      </c>
      <c r="BF35" s="5" t="n">
        <v>0.721</v>
      </c>
      <c r="BG35" s="5" t="n">
        <v>0.17</v>
      </c>
      <c r="BH35" s="5" t="n">
        <v>0</v>
      </c>
      <c r="BI35" s="5" t="n">
        <v>0.608</v>
      </c>
      <c r="BJ35" s="5" t="n">
        <v>0.123</v>
      </c>
      <c r="BK35" s="5" t="n">
        <v>0.016</v>
      </c>
      <c r="BL35" s="5" t="n">
        <v>0.72</v>
      </c>
      <c r="BM35" s="5" t="n">
        <v>0.17</v>
      </c>
      <c r="BN35" s="5" t="n">
        <v>1</v>
      </c>
      <c r="BO35" s="5" t="n">
        <v>0</v>
      </c>
      <c r="BP35" s="5" t="n">
        <v>0.136</v>
      </c>
      <c r="BQ35" s="5" t="n">
        <v>0.767</v>
      </c>
      <c r="BR35" s="5" t="n">
        <v>0</v>
      </c>
      <c r="BS35" s="5" t="n">
        <v>1</v>
      </c>
      <c r="BT35" s="5" t="n">
        <v>0</v>
      </c>
      <c r="BU35" s="5" t="n">
        <v>0</v>
      </c>
      <c r="BV35" s="5" t="n">
        <v>0.419</v>
      </c>
      <c r="BW35" s="5" t="n">
        <v>0</v>
      </c>
      <c r="BX35" s="5" t="n">
        <v>0.667</v>
      </c>
      <c r="BY35" s="5" t="n">
        <v>12.729</v>
      </c>
      <c r="BZ35" s="5" t="n">
        <v>0</v>
      </c>
      <c r="CA35" s="5" t="n">
        <v>12.729</v>
      </c>
      <c r="CB35" s="5" t="n">
        <v>0</v>
      </c>
      <c r="CC35" s="5" t="n">
        <v>97.90000000000001</v>
      </c>
      <c r="CD35" s="5" t="n">
        <v>7.95</v>
      </c>
      <c r="CE35" s="5" t="n">
        <v>1.232</v>
      </c>
      <c r="CF35" s="5" t="n">
        <v>114.543</v>
      </c>
      <c r="CG35" s="5" t="n">
        <v>0.17</v>
      </c>
      <c r="CH35" s="5" t="n">
        <v>1</v>
      </c>
      <c r="CI35" s="5" t="n">
        <v>0</v>
      </c>
      <c r="CJ35" s="5" t="n">
        <v>0</v>
      </c>
      <c r="CK35" s="5" t="n">
        <v>0</v>
      </c>
      <c r="CL35" s="5" t="n">
        <v>0</v>
      </c>
      <c r="CM35" s="5" t="n">
        <v>0</v>
      </c>
      <c r="CN35" s="5" t="n">
        <v>0</v>
      </c>
      <c r="CO35" s="5" t="n">
        <v>0</v>
      </c>
      <c r="CP35" s="5" t="n">
        <v>0</v>
      </c>
      <c r="CQ35" s="5" t="n">
        <v>1.294</v>
      </c>
      <c r="CR35" s="5" t="n">
        <v>0</v>
      </c>
      <c r="CS35" s="5" t="n">
        <v>5.158</v>
      </c>
      <c r="CT35" s="5" t="n">
        <v>10.485</v>
      </c>
      <c r="CU35" s="5" t="n">
        <v>29.494</v>
      </c>
    </row>
    <row r="36">
      <c r="A36" s="5" t="inlineStr">
        <is>
          <t>ATG2023</t>
        </is>
      </c>
      <c r="B36" s="5" t="inlineStr">
        <is>
          <t>ATG</t>
        </is>
      </c>
      <c r="C36" s="5" t="inlineStr">
        <is>
          <t>ATG</t>
        </is>
      </c>
      <c r="D36" s="5" t="inlineStr">
        <is>
          <t>Antigua and Barbuda</t>
        </is>
      </c>
      <c r="E36" s="5" t="n">
        <v>2023</v>
      </c>
      <c r="F36" s="5" t="n">
        <v>0.15</v>
      </c>
      <c r="G36" s="5" t="n">
        <v>6.147</v>
      </c>
      <c r="H36" s="5" t="n">
        <v>1.286</v>
      </c>
      <c r="I36" s="5" t="n">
        <v>0</v>
      </c>
      <c r="J36" s="5" t="n">
        <v>6.147</v>
      </c>
      <c r="K36" s="5" t="n">
        <v>0</v>
      </c>
      <c r="L36" s="5" t="n">
        <v>1</v>
      </c>
      <c r="M36" s="5" t="n">
        <v>7.886</v>
      </c>
      <c r="N36" s="5" t="n">
        <v>3.857</v>
      </c>
      <c r="O36" s="5" t="n">
        <v>0</v>
      </c>
      <c r="P36" s="5" t="n">
        <v>7.886</v>
      </c>
      <c r="Q36" s="5" t="n">
        <v>0</v>
      </c>
      <c r="R36" s="5" t="n">
        <v>1</v>
      </c>
      <c r="S36" s="5" t="n">
        <v>12.575</v>
      </c>
      <c r="T36" s="5" t="n">
        <v>7.714</v>
      </c>
      <c r="U36" s="5" t="n">
        <v>0.237</v>
      </c>
      <c r="V36" s="5" t="n">
        <v>14.713</v>
      </c>
      <c r="W36" s="5" t="n">
        <v>0.17</v>
      </c>
      <c r="X36" s="5" t="n">
        <v>1</v>
      </c>
      <c r="Y36" s="5" t="n">
        <v>12.478</v>
      </c>
      <c r="Z36" s="5" t="n">
        <v>1.678</v>
      </c>
      <c r="AA36" s="5" t="n">
        <v>0</v>
      </c>
      <c r="AB36" s="5" t="n">
        <v>12.478</v>
      </c>
      <c r="AC36" s="5" t="n">
        <v>0</v>
      </c>
      <c r="AD36" s="5" t="n">
        <v>1</v>
      </c>
      <c r="AE36" s="5" t="n">
        <v>13.763</v>
      </c>
      <c r="AF36" s="5" t="n">
        <v>3.223</v>
      </c>
      <c r="AG36" s="5" t="n">
        <v>0</v>
      </c>
      <c r="AH36" s="5" t="n">
        <v>13.763</v>
      </c>
      <c r="AI36" s="5" t="n">
        <v>0</v>
      </c>
      <c r="AJ36" s="5" t="n">
        <v>1</v>
      </c>
      <c r="AK36" s="5" t="n">
        <v>21.477</v>
      </c>
      <c r="AL36" s="5" t="n">
        <v>11.54</v>
      </c>
      <c r="AM36" s="5" t="n">
        <v>0.404</v>
      </c>
      <c r="AN36" s="5" t="n">
        <v>25.129</v>
      </c>
      <c r="AO36" s="5" t="n">
        <v>0.17</v>
      </c>
      <c r="AP36" s="5" t="n">
        <v>1</v>
      </c>
      <c r="AQ36" s="5" t="n">
        <v>0.791</v>
      </c>
      <c r="AR36" s="5" t="n">
        <v>0.129</v>
      </c>
      <c r="AS36" s="5" t="n">
        <v>0.713</v>
      </c>
      <c r="AT36" s="5" t="n">
        <v>1.521</v>
      </c>
      <c r="AU36" s="5" t="n">
        <v>0.013</v>
      </c>
      <c r="AV36" s="5" t="n">
        <v>1</v>
      </c>
      <c r="AW36" s="5" t="n">
        <v>0.618</v>
      </c>
      <c r="AX36" s="5" t="n">
        <v>0.129</v>
      </c>
      <c r="AY36" s="5" t="n">
        <v>0.527</v>
      </c>
      <c r="AZ36" s="5" t="n">
        <v>1.34</v>
      </c>
      <c r="BA36" s="5" t="n">
        <v>0.17</v>
      </c>
      <c r="BB36" s="5" t="n">
        <v>1</v>
      </c>
      <c r="BC36" s="5" t="n">
        <v>0.554</v>
      </c>
      <c r="BD36" s="5" t="n">
        <v>0.129</v>
      </c>
      <c r="BE36" s="5" t="n">
        <v>-0.236</v>
      </c>
      <c r="BF36" s="5" t="n">
        <v>0.372</v>
      </c>
      <c r="BG36" s="5" t="n">
        <v>0.17</v>
      </c>
      <c r="BH36" s="5" t="n">
        <v>0</v>
      </c>
      <c r="BI36" s="5" t="n">
        <v>0.5570000000000001</v>
      </c>
      <c r="BJ36" s="5" t="n">
        <v>0.129</v>
      </c>
      <c r="BK36" s="5" t="n">
        <v>0.03</v>
      </c>
      <c r="BL36" s="5" t="n">
        <v>0.675</v>
      </c>
      <c r="BM36" s="5" t="n">
        <v>0.17</v>
      </c>
      <c r="BN36" s="5" t="n">
        <v>1</v>
      </c>
      <c r="BO36" s="5" t="n">
        <v>0</v>
      </c>
      <c r="BP36" s="5" t="n">
        <v>0.142</v>
      </c>
      <c r="BQ36" s="5" t="n">
        <v>0.799</v>
      </c>
      <c r="BR36" s="5" t="n">
        <v>0</v>
      </c>
      <c r="BS36" s="5" t="n">
        <v>1</v>
      </c>
      <c r="BT36" s="5" t="n">
        <v>0</v>
      </c>
      <c r="BU36" s="5" t="n">
        <v>0</v>
      </c>
      <c r="BV36" s="5" t="n">
        <v>0.436</v>
      </c>
      <c r="BW36" s="5" t="n">
        <v>0</v>
      </c>
      <c r="BX36" s="5" t="n">
        <v>0.667</v>
      </c>
      <c r="BY36" s="5" t="n">
        <v>13.254</v>
      </c>
      <c r="BZ36" s="5" t="n">
        <v>0</v>
      </c>
      <c r="CA36" s="5" t="n">
        <v>13.254</v>
      </c>
      <c r="CB36" s="5" t="n">
        <v>0</v>
      </c>
      <c r="CC36" s="5" t="n">
        <v>83.248</v>
      </c>
      <c r="CD36" s="5" t="n">
        <v>7.95</v>
      </c>
      <c r="CE36" s="5" t="n">
        <v>1.567</v>
      </c>
      <c r="CF36" s="5" t="n">
        <v>97.40000000000001</v>
      </c>
      <c r="CG36" s="5" t="n">
        <v>0.17</v>
      </c>
      <c r="CH36" s="5" t="n">
        <v>1</v>
      </c>
      <c r="CI36" s="5" t="n">
        <v>0</v>
      </c>
      <c r="CJ36" s="5" t="n">
        <v>0</v>
      </c>
      <c r="CK36" s="5" t="n">
        <v>0</v>
      </c>
      <c r="CL36" s="5" t="n">
        <v>0</v>
      </c>
      <c r="CM36" s="5" t="n">
        <v>0</v>
      </c>
      <c r="CN36" s="5" t="n">
        <v>0</v>
      </c>
      <c r="CO36" s="5" t="n">
        <v>0</v>
      </c>
      <c r="CP36" s="5" t="n">
        <v>0</v>
      </c>
      <c r="CQ36" s="5" t="n">
        <v>1.348</v>
      </c>
      <c r="CR36" s="5" t="n">
        <v>0</v>
      </c>
      <c r="CS36" s="5" t="n">
        <v>5.37</v>
      </c>
      <c r="CT36" s="5" t="n">
        <v>4.861</v>
      </c>
      <c r="CU36" s="5" t="n">
        <v>11.192</v>
      </c>
    </row>
    <row r="37">
      <c r="A37" s="5" t="inlineStr">
        <is>
          <t>ATG2024</t>
        </is>
      </c>
      <c r="B37" s="5" t="inlineStr">
        <is>
          <t>ATG</t>
        </is>
      </c>
      <c r="C37" s="5" t="inlineStr">
        <is>
          <t>ATG</t>
        </is>
      </c>
      <c r="D37" s="5" t="inlineStr">
        <is>
          <t>Antigua and Barbuda</t>
        </is>
      </c>
      <c r="E37" s="5" t="n">
        <v>2024</v>
      </c>
      <c r="F37" s="5" t="n">
        <v>0.15</v>
      </c>
      <c r="G37" s="5" t="n">
        <v>5.575</v>
      </c>
      <c r="H37" s="5" t="n">
        <v>1.324</v>
      </c>
      <c r="I37" s="5" t="n">
        <v>0</v>
      </c>
      <c r="J37" s="5" t="n">
        <v>5.575</v>
      </c>
      <c r="K37" s="5" t="n">
        <v>0</v>
      </c>
      <c r="L37" s="5" t="n">
        <v>1</v>
      </c>
      <c r="M37" s="5" t="n">
        <v>7.124</v>
      </c>
      <c r="N37" s="5" t="n">
        <v>3.971</v>
      </c>
      <c r="O37" s="5" t="n">
        <v>0</v>
      </c>
      <c r="P37" s="5" t="n">
        <v>7.124</v>
      </c>
      <c r="Q37" s="5" t="n">
        <v>0</v>
      </c>
      <c r="R37" s="5" t="n">
        <v>1</v>
      </c>
      <c r="S37" s="5" t="n">
        <v>12.193</v>
      </c>
      <c r="T37" s="5" t="n">
        <v>7.942</v>
      </c>
      <c r="U37" s="5" t="n">
        <v>0.282</v>
      </c>
      <c r="V37" s="5" t="n">
        <v>14.266</v>
      </c>
      <c r="W37" s="5" t="n">
        <v>0.17</v>
      </c>
      <c r="X37" s="5" t="n">
        <v>1</v>
      </c>
      <c r="Y37" s="5" t="n">
        <v>11.447</v>
      </c>
      <c r="Z37" s="5" t="n">
        <v>1.54</v>
      </c>
      <c r="AA37" s="5" t="n">
        <v>0</v>
      </c>
      <c r="AB37" s="5" t="n">
        <v>11.447</v>
      </c>
      <c r="AC37" s="5" t="n">
        <v>0</v>
      </c>
      <c r="AD37" s="5" t="n">
        <v>1</v>
      </c>
      <c r="AE37" s="5" t="n">
        <v>12.771</v>
      </c>
      <c r="AF37" s="5" t="n">
        <v>2.991</v>
      </c>
      <c r="AG37" s="5" t="n">
        <v>0</v>
      </c>
      <c r="AH37" s="5" t="n">
        <v>12.771</v>
      </c>
      <c r="AI37" s="5" t="n">
        <v>0</v>
      </c>
      <c r="AJ37" s="5" t="n">
        <v>1</v>
      </c>
      <c r="AK37" s="5" t="n">
        <v>20.712</v>
      </c>
      <c r="AL37" s="5" t="n">
        <v>11.129</v>
      </c>
      <c r="AM37" s="5" t="n">
        <v>0.48</v>
      </c>
      <c r="AN37" s="5" t="n">
        <v>24.233</v>
      </c>
      <c r="AO37" s="5" t="n">
        <v>0.17</v>
      </c>
      <c r="AP37" s="5" t="n">
        <v>1</v>
      </c>
      <c r="AQ37" s="5" t="n">
        <v>0.756</v>
      </c>
      <c r="AR37" s="5" t="n">
        <v>0.132</v>
      </c>
      <c r="AS37" s="5" t="n">
        <v>0.784</v>
      </c>
      <c r="AT37" s="5" t="n">
        <v>1.558</v>
      </c>
      <c r="AU37" s="5" t="n">
        <v>0.014</v>
      </c>
      <c r="AV37" s="5" t="n">
        <v>1</v>
      </c>
      <c r="AW37" s="5" t="n">
        <v>0.655</v>
      </c>
      <c r="AX37" s="5" t="n">
        <v>0.132</v>
      </c>
      <c r="AY37" s="5" t="n">
        <v>0.507</v>
      </c>
      <c r="AZ37" s="5" t="n">
        <v>1.36</v>
      </c>
      <c r="BA37" s="5" t="n">
        <v>0.17</v>
      </c>
      <c r="BB37" s="5" t="n">
        <v>1</v>
      </c>
      <c r="BC37" s="5" t="n">
        <v>0.534</v>
      </c>
      <c r="BD37" s="5" t="n">
        <v>0.132</v>
      </c>
      <c r="BE37" s="5" t="n">
        <v>-0.211</v>
      </c>
      <c r="BF37" s="5" t="n">
        <v>0.378</v>
      </c>
      <c r="BG37" s="5" t="n">
        <v>0.17</v>
      </c>
      <c r="BH37" s="5" t="n">
        <v>0</v>
      </c>
      <c r="BI37" s="5" t="n">
        <v>0.5679999999999999</v>
      </c>
      <c r="BJ37" s="5" t="n">
        <v>0.132</v>
      </c>
      <c r="BK37" s="5" t="n">
        <v>0.034</v>
      </c>
      <c r="BL37" s="5" t="n">
        <v>0.6889999999999999</v>
      </c>
      <c r="BM37" s="5" t="n">
        <v>0.17</v>
      </c>
      <c r="BN37" s="5" t="n">
        <v>1</v>
      </c>
      <c r="BO37" s="5" t="n">
        <v>0</v>
      </c>
      <c r="BP37" s="5" t="n">
        <v>0.146</v>
      </c>
      <c r="BQ37" s="5" t="n">
        <v>0.822</v>
      </c>
      <c r="BR37" s="5" t="n">
        <v>0</v>
      </c>
      <c r="BS37" s="5" t="n">
        <v>1</v>
      </c>
      <c r="BT37" s="5" t="n">
        <v>0</v>
      </c>
      <c r="BU37" s="5" t="n">
        <v>0</v>
      </c>
      <c r="BV37" s="5" t="n">
        <v>0.449</v>
      </c>
      <c r="BW37" s="5" t="n">
        <v>0</v>
      </c>
      <c r="BX37" s="5" t="n">
        <v>0.667</v>
      </c>
      <c r="BY37" s="5" t="n">
        <v>13.646</v>
      </c>
      <c r="BZ37" s="5" t="n">
        <v>0</v>
      </c>
      <c r="CA37" s="5" t="n">
        <v>13.646</v>
      </c>
      <c r="CB37" s="5" t="n">
        <v>0</v>
      </c>
      <c r="CC37" s="5" t="n">
        <v>82.58799999999999</v>
      </c>
      <c r="CD37" s="5" t="n">
        <v>7.95</v>
      </c>
      <c r="CE37" s="5" t="n">
        <v>1.912</v>
      </c>
      <c r="CF37" s="5" t="n">
        <v>96.628</v>
      </c>
      <c r="CG37" s="5" t="n">
        <v>0.17</v>
      </c>
      <c r="CH37" s="5" t="n">
        <v>1</v>
      </c>
      <c r="CI37" s="5" t="n">
        <v>0</v>
      </c>
      <c r="CJ37" s="5" t="n">
        <v>0</v>
      </c>
      <c r="CK37" s="5" t="n">
        <v>0</v>
      </c>
      <c r="CL37" s="5" t="n">
        <v>0</v>
      </c>
      <c r="CM37" s="5" t="n">
        <v>0</v>
      </c>
      <c r="CN37" s="5" t="n">
        <v>0</v>
      </c>
      <c r="CO37" s="5" t="n">
        <v>0</v>
      </c>
      <c r="CP37" s="5" t="n">
        <v>0</v>
      </c>
      <c r="CQ37" s="5" t="n">
        <v>1.387</v>
      </c>
      <c r="CR37" s="5" t="n">
        <v>0</v>
      </c>
      <c r="CS37" s="5" t="n">
        <v>5.529</v>
      </c>
      <c r="CT37" s="5" t="n">
        <v>4.251</v>
      </c>
      <c r="CU37" s="5" t="n">
        <v>10.123</v>
      </c>
    </row>
    <row r="38">
      <c r="A38" s="5" t="inlineStr">
        <is>
          <t>ARG2021</t>
        </is>
      </c>
      <c r="B38" s="5" t="inlineStr">
        <is>
          <t>ARG</t>
        </is>
      </c>
      <c r="C38" s="5" t="inlineStr">
        <is>
          <t>ARG</t>
        </is>
      </c>
      <c r="D38" s="5" t="inlineStr">
        <is>
          <t>Argentina</t>
        </is>
      </c>
      <c r="E38" s="5" t="n">
        <v>2021</v>
      </c>
      <c r="F38" s="5" t="n">
        <v>0.21</v>
      </c>
      <c r="G38" s="5" t="n">
        <v>5.857</v>
      </c>
      <c r="H38" s="5" t="n">
        <v>1.138</v>
      </c>
      <c r="I38" s="5" t="n">
        <v>0.382</v>
      </c>
      <c r="J38" s="5" t="n">
        <v>6.239</v>
      </c>
      <c r="K38" s="5" t="n">
        <v>0</v>
      </c>
      <c r="L38" s="5" t="n">
        <v>1</v>
      </c>
      <c r="M38" s="5" t="n">
        <v>7.915</v>
      </c>
      <c r="N38" s="5" t="n">
        <v>3.413</v>
      </c>
      <c r="O38" s="5" t="n">
        <v>0.405</v>
      </c>
      <c r="P38" s="5" t="n">
        <v>8.321</v>
      </c>
      <c r="Q38" s="5" t="n">
        <v>0</v>
      </c>
      <c r="R38" s="5" t="n">
        <v>1</v>
      </c>
      <c r="S38" s="5" t="n">
        <v>11.546</v>
      </c>
      <c r="T38" s="5" t="n">
        <v>6.827</v>
      </c>
      <c r="U38" s="5" t="n">
        <v>0.382</v>
      </c>
      <c r="V38" s="5" t="n">
        <v>14.433</v>
      </c>
      <c r="W38" s="5" t="n">
        <v>0.21</v>
      </c>
      <c r="X38" s="5" t="n">
        <v>1</v>
      </c>
      <c r="Y38" s="5" t="n">
        <v>7.825</v>
      </c>
      <c r="Z38" s="5" t="n">
        <v>0.656</v>
      </c>
      <c r="AA38" s="5" t="n">
        <v>-3.795</v>
      </c>
      <c r="AB38" s="5" t="n">
        <v>4.029</v>
      </c>
      <c r="AC38" s="5" t="n">
        <v>0</v>
      </c>
      <c r="AD38" s="5" t="n">
        <v>0</v>
      </c>
      <c r="AE38" s="5" t="n">
        <v>8.494</v>
      </c>
      <c r="AF38" s="5" t="n">
        <v>1.3</v>
      </c>
      <c r="AG38" s="5" t="n">
        <v>-1.102</v>
      </c>
      <c r="AH38" s="5" t="n">
        <v>7.393</v>
      </c>
      <c r="AI38" s="5" t="n">
        <v>0</v>
      </c>
      <c r="AJ38" s="5" t="n">
        <v>0</v>
      </c>
      <c r="AK38" s="5" t="n">
        <v>12.51</v>
      </c>
      <c r="AL38" s="5" t="n">
        <v>5.115</v>
      </c>
      <c r="AM38" s="5" t="n">
        <v>-6.83</v>
      </c>
      <c r="AN38" s="5" t="n">
        <v>6.873</v>
      </c>
      <c r="AO38" s="5" t="n">
        <v>0</v>
      </c>
      <c r="AP38" s="5" t="n">
        <v>0</v>
      </c>
      <c r="AQ38" s="5" t="n">
        <v>0.649</v>
      </c>
      <c r="AR38" s="5" t="n">
        <v>0.114</v>
      </c>
      <c r="AS38" s="5" t="n">
        <v>0.101</v>
      </c>
      <c r="AT38" s="5" t="n">
        <v>0.908</v>
      </c>
      <c r="AU38" s="5" t="n">
        <v>0.21</v>
      </c>
      <c r="AV38" s="5" t="n">
        <v>1</v>
      </c>
      <c r="AW38" s="5" t="n">
        <v>0.577</v>
      </c>
      <c r="AX38" s="5" t="n">
        <v>0.114</v>
      </c>
      <c r="AY38" s="5" t="n">
        <v>0.127</v>
      </c>
      <c r="AZ38" s="5" t="n">
        <v>0.852</v>
      </c>
      <c r="BA38" s="5" t="n">
        <v>0.21</v>
      </c>
      <c r="BB38" s="5" t="n">
        <v>1</v>
      </c>
      <c r="BC38" s="5" t="n">
        <v>0.458</v>
      </c>
      <c r="BD38" s="5" t="n">
        <v>0.114</v>
      </c>
      <c r="BE38" s="5" t="n">
        <v>-0.334</v>
      </c>
      <c r="BF38" s="5" t="n">
        <v>0.15</v>
      </c>
      <c r="BG38" s="5" t="n">
        <v>0</v>
      </c>
      <c r="BH38" s="5" t="n">
        <v>0</v>
      </c>
      <c r="BI38" s="5" t="n">
        <v>0.491</v>
      </c>
      <c r="BJ38" s="5" t="n">
        <v>0.114</v>
      </c>
      <c r="BK38" s="5" t="n">
        <v>0.292</v>
      </c>
      <c r="BL38" s="5" t="n">
        <v>0.948</v>
      </c>
      <c r="BM38" s="5" t="n">
        <v>0.21</v>
      </c>
      <c r="BN38" s="5" t="n">
        <v>1</v>
      </c>
      <c r="BO38" s="5" t="n">
        <v>0</v>
      </c>
      <c r="BP38" s="5" t="n">
        <v>-0.04</v>
      </c>
      <c r="BQ38" s="5" t="n">
        <v>0.059</v>
      </c>
      <c r="BR38" s="5" t="n">
        <v>0</v>
      </c>
      <c r="BS38" s="5" t="n">
        <v>1</v>
      </c>
      <c r="BT38" s="5" t="n">
        <v>0</v>
      </c>
      <c r="BU38" s="5" t="n">
        <v>-0.04</v>
      </c>
      <c r="BV38" s="5" t="n">
        <v>0.056</v>
      </c>
      <c r="BW38" s="5" t="n">
        <v>0</v>
      </c>
      <c r="BX38" s="5" t="n">
        <v>1</v>
      </c>
      <c r="BY38" s="5" t="n">
        <v>11.787</v>
      </c>
      <c r="BZ38" s="5" t="n">
        <v>0</v>
      </c>
      <c r="CA38" s="5" t="n">
        <v>11.787</v>
      </c>
      <c r="CB38" s="5" t="n">
        <v>0</v>
      </c>
      <c r="CC38" s="5" t="n">
        <v>78.125</v>
      </c>
      <c r="CD38" s="5" t="n">
        <v>7.95</v>
      </c>
      <c r="CE38" s="5" t="n">
        <v>-21.704</v>
      </c>
      <c r="CF38" s="5" t="n">
        <v>68.27</v>
      </c>
      <c r="CG38" s="5" t="n">
        <v>0</v>
      </c>
      <c r="CH38" s="5" t="n">
        <v>1</v>
      </c>
      <c r="CI38" s="5" t="n">
        <v>0</v>
      </c>
      <c r="CJ38" s="5" t="n">
        <v>0</v>
      </c>
      <c r="CK38" s="5" t="n">
        <v>0</v>
      </c>
      <c r="CL38" s="5" t="n">
        <v>0.102</v>
      </c>
      <c r="CM38" s="5" t="n">
        <v>0.835</v>
      </c>
      <c r="CN38" s="5" t="n">
        <v>2.043</v>
      </c>
      <c r="CO38" s="5" t="n">
        <v>0.604</v>
      </c>
      <c r="CP38" s="5" t="n">
        <v>0.01</v>
      </c>
      <c r="CQ38" s="5" t="n">
        <v>1.198</v>
      </c>
      <c r="CR38" s="5" t="n">
        <v>0.829</v>
      </c>
      <c r="CS38" s="5" t="n">
        <v>6.22</v>
      </c>
      <c r="CT38" s="5" t="n">
        <v>4.753</v>
      </c>
      <c r="CU38" s="5" t="n">
        <v>16.171</v>
      </c>
    </row>
    <row r="39">
      <c r="A39" s="5" t="inlineStr">
        <is>
          <t>ARG2022</t>
        </is>
      </c>
      <c r="B39" s="5" t="inlineStr">
        <is>
          <t>ARG</t>
        </is>
      </c>
      <c r="C39" s="5" t="inlineStr">
        <is>
          <t>ARG</t>
        </is>
      </c>
      <c r="D39" s="5" t="inlineStr">
        <is>
          <t>Argentina</t>
        </is>
      </c>
      <c r="E39" s="5" t="n">
        <v>2022</v>
      </c>
      <c r="F39" s="5" t="n">
        <v>0.21</v>
      </c>
      <c r="G39" s="5" t="n">
        <v>11.627</v>
      </c>
      <c r="H39" s="5" t="n">
        <v>1.229</v>
      </c>
      <c r="I39" s="5" t="n">
        <v>0.278</v>
      </c>
      <c r="J39" s="5" t="n">
        <v>11.905</v>
      </c>
      <c r="K39" s="5" t="n">
        <v>0</v>
      </c>
      <c r="L39" s="5" t="n">
        <v>1</v>
      </c>
      <c r="M39" s="5" t="n">
        <v>9.720000000000001</v>
      </c>
      <c r="N39" s="5" t="n">
        <v>3.687</v>
      </c>
      <c r="O39" s="5" t="n">
        <v>0.295</v>
      </c>
      <c r="P39" s="5" t="n">
        <v>10.015</v>
      </c>
      <c r="Q39" s="5" t="n">
        <v>0</v>
      </c>
      <c r="R39" s="5" t="n">
        <v>1</v>
      </c>
      <c r="S39" s="5" t="n">
        <v>17.771</v>
      </c>
      <c r="T39" s="5" t="n">
        <v>7.373</v>
      </c>
      <c r="U39" s="5" t="n">
        <v>0.5590000000000001</v>
      </c>
      <c r="V39" s="5" t="n">
        <v>21.84</v>
      </c>
      <c r="W39" s="5" t="n">
        <v>0.21</v>
      </c>
      <c r="X39" s="5" t="n">
        <v>1</v>
      </c>
      <c r="Y39" s="5" t="n">
        <v>9.192</v>
      </c>
      <c r="Z39" s="5" t="n">
        <v>0.77</v>
      </c>
      <c r="AA39" s="5" t="n">
        <v>-5.312</v>
      </c>
      <c r="AB39" s="5" t="n">
        <v>3.879</v>
      </c>
      <c r="AC39" s="5" t="n">
        <v>0</v>
      </c>
      <c r="AD39" s="5" t="n">
        <v>0</v>
      </c>
      <c r="AE39" s="5" t="n">
        <v>9.888</v>
      </c>
      <c r="AF39" s="5" t="n">
        <v>1.514</v>
      </c>
      <c r="AG39" s="5" t="n">
        <v>-1.19</v>
      </c>
      <c r="AH39" s="5" t="n">
        <v>8.699</v>
      </c>
      <c r="AI39" s="5" t="n">
        <v>0</v>
      </c>
      <c r="AJ39" s="5" t="n">
        <v>0</v>
      </c>
      <c r="AK39" s="5" t="n">
        <v>14.068</v>
      </c>
      <c r="AL39" s="5" t="n">
        <v>5.752</v>
      </c>
      <c r="AM39" s="5" t="n">
        <v>-7.717</v>
      </c>
      <c r="AN39" s="5" t="n">
        <v>7.684</v>
      </c>
      <c r="AO39" s="5" t="n">
        <v>0</v>
      </c>
      <c r="AP39" s="5" t="n">
        <v>0</v>
      </c>
      <c r="AQ39" s="5" t="n">
        <v>0.896</v>
      </c>
      <c r="AR39" s="5" t="n">
        <v>0.123</v>
      </c>
      <c r="AS39" s="5" t="n">
        <v>-0.099</v>
      </c>
      <c r="AT39" s="5" t="n">
        <v>0.964</v>
      </c>
      <c r="AU39" s="5" t="n">
        <v>0.21</v>
      </c>
      <c r="AV39" s="5" t="n">
        <v>1</v>
      </c>
      <c r="AW39" s="5" t="n">
        <v>0.89</v>
      </c>
      <c r="AX39" s="5" t="n">
        <v>0.123</v>
      </c>
      <c r="AY39" s="5" t="n">
        <v>-0.124</v>
      </c>
      <c r="AZ39" s="5" t="n">
        <v>0.927</v>
      </c>
      <c r="BA39" s="5" t="n">
        <v>0.21</v>
      </c>
      <c r="BB39" s="5" t="n">
        <v>1</v>
      </c>
      <c r="BC39" s="5" t="n">
        <v>0.62</v>
      </c>
      <c r="BD39" s="5" t="n">
        <v>0.123</v>
      </c>
      <c r="BE39" s="5" t="n">
        <v>-0.474</v>
      </c>
      <c r="BF39" s="5" t="n">
        <v>0.177</v>
      </c>
      <c r="BG39" s="5" t="n">
        <v>0</v>
      </c>
      <c r="BH39" s="5" t="n">
        <v>0</v>
      </c>
      <c r="BI39" s="5" t="n">
        <v>0.608</v>
      </c>
      <c r="BJ39" s="5" t="n">
        <v>0.123</v>
      </c>
      <c r="BK39" s="5" t="n">
        <v>0.245</v>
      </c>
      <c r="BL39" s="5" t="n">
        <v>1.032</v>
      </c>
      <c r="BM39" s="5" t="n">
        <v>0.21</v>
      </c>
      <c r="BN39" s="5" t="n">
        <v>1</v>
      </c>
      <c r="BO39" s="5" t="n">
        <v>0</v>
      </c>
      <c r="BP39" s="5" t="n">
        <v>-0.032</v>
      </c>
      <c r="BQ39" s="5" t="n">
        <v>0.096</v>
      </c>
      <c r="BR39" s="5" t="n">
        <v>0</v>
      </c>
      <c r="BS39" s="5" t="n">
        <v>1</v>
      </c>
      <c r="BT39" s="5" t="n">
        <v>0</v>
      </c>
      <c r="BU39" s="5" t="n">
        <v>-0.032</v>
      </c>
      <c r="BV39" s="5" t="n">
        <v>0.096</v>
      </c>
      <c r="BW39" s="5" t="n">
        <v>0</v>
      </c>
      <c r="BX39" s="5" t="n">
        <v>1</v>
      </c>
      <c r="BY39" s="5" t="n">
        <v>12.729</v>
      </c>
      <c r="BZ39" s="5" t="n">
        <v>0</v>
      </c>
      <c r="CA39" s="5" t="n">
        <v>12.729</v>
      </c>
      <c r="CB39" s="5" t="n">
        <v>0</v>
      </c>
      <c r="CC39" s="5" t="n">
        <v>97.90000000000001</v>
      </c>
      <c r="CD39" s="5" t="n">
        <v>7.95</v>
      </c>
      <c r="CE39" s="5" t="n">
        <v>-18.689</v>
      </c>
      <c r="CF39" s="5" t="n">
        <v>95.845</v>
      </c>
      <c r="CG39" s="5" t="n">
        <v>0</v>
      </c>
      <c r="CH39" s="5" t="n">
        <v>1</v>
      </c>
      <c r="CI39" s="5" t="n">
        <v>0</v>
      </c>
      <c r="CJ39" s="5" t="n">
        <v>0</v>
      </c>
      <c r="CK39" s="5" t="n">
        <v>0</v>
      </c>
      <c r="CL39" s="5" t="n">
        <v>0.11</v>
      </c>
      <c r="CM39" s="5" t="n">
        <v>0.902</v>
      </c>
      <c r="CN39" s="5" t="n">
        <v>2.368</v>
      </c>
      <c r="CO39" s="5" t="n">
        <v>0.745</v>
      </c>
      <c r="CP39" s="5" t="n">
        <v>0.008999999999999999</v>
      </c>
      <c r="CQ39" s="5" t="n">
        <v>1.294</v>
      </c>
      <c r="CR39" s="5" t="n">
        <v>0.872</v>
      </c>
      <c r="CS39" s="5" t="n">
        <v>6.717</v>
      </c>
      <c r="CT39" s="5" t="n">
        <v>10.485</v>
      </c>
      <c r="CU39" s="5" t="n">
        <v>29.688</v>
      </c>
    </row>
    <row r="40">
      <c r="A40" s="5" t="inlineStr">
        <is>
          <t>ARG2023</t>
        </is>
      </c>
      <c r="B40" s="5" t="inlineStr">
        <is>
          <t>ARG</t>
        </is>
      </c>
      <c r="C40" s="5" t="inlineStr">
        <is>
          <t>ARG</t>
        </is>
      </c>
      <c r="D40" s="5" t="inlineStr">
        <is>
          <t>Argentina</t>
        </is>
      </c>
      <c r="E40" s="5" t="n">
        <v>2023</v>
      </c>
      <c r="F40" s="5" t="n">
        <v>0.21</v>
      </c>
      <c r="G40" s="5" t="n">
        <v>6.103</v>
      </c>
      <c r="H40" s="5" t="n">
        <v>1.279</v>
      </c>
      <c r="I40" s="5" t="n">
        <v>0.321</v>
      </c>
      <c r="J40" s="5" t="n">
        <v>6.424</v>
      </c>
      <c r="K40" s="5" t="n">
        <v>0</v>
      </c>
      <c r="L40" s="5" t="n">
        <v>1</v>
      </c>
      <c r="M40" s="5" t="n">
        <v>7.838</v>
      </c>
      <c r="N40" s="5" t="n">
        <v>3.837</v>
      </c>
      <c r="O40" s="5" t="n">
        <v>0.34</v>
      </c>
      <c r="P40" s="5" t="n">
        <v>8.178000000000001</v>
      </c>
      <c r="Q40" s="5" t="n">
        <v>0</v>
      </c>
      <c r="R40" s="5" t="n">
        <v>1</v>
      </c>
      <c r="S40" s="5" t="n">
        <v>12.498</v>
      </c>
      <c r="T40" s="5" t="n">
        <v>7.674</v>
      </c>
      <c r="U40" s="5" t="n">
        <v>0.619</v>
      </c>
      <c r="V40" s="5" t="n">
        <v>15.511</v>
      </c>
      <c r="W40" s="5" t="n">
        <v>0.21</v>
      </c>
      <c r="X40" s="5" t="n">
        <v>1</v>
      </c>
      <c r="Y40" s="5" t="n">
        <v>8.051</v>
      </c>
      <c r="Z40" s="5" t="n">
        <v>0.675</v>
      </c>
      <c r="AA40" s="5" t="n">
        <v>-4.199</v>
      </c>
      <c r="AB40" s="5" t="n">
        <v>3.851</v>
      </c>
      <c r="AC40" s="5" t="n">
        <v>0</v>
      </c>
      <c r="AD40" s="5" t="n">
        <v>0</v>
      </c>
      <c r="AE40" s="5" t="n">
        <v>8.763999999999999</v>
      </c>
      <c r="AF40" s="5" t="n">
        <v>1.342</v>
      </c>
      <c r="AG40" s="5" t="n">
        <v>-1.239</v>
      </c>
      <c r="AH40" s="5" t="n">
        <v>7.525</v>
      </c>
      <c r="AI40" s="5" t="n">
        <v>0</v>
      </c>
      <c r="AJ40" s="5" t="n">
        <v>0</v>
      </c>
      <c r="AK40" s="5" t="n">
        <v>13.043</v>
      </c>
      <c r="AL40" s="5" t="n">
        <v>5.333</v>
      </c>
      <c r="AM40" s="5" t="n">
        <v>-5.547</v>
      </c>
      <c r="AN40" s="5" t="n">
        <v>9.07</v>
      </c>
      <c r="AO40" s="5" t="n">
        <v>0</v>
      </c>
      <c r="AP40" s="5" t="n">
        <v>0</v>
      </c>
      <c r="AQ40" s="5" t="n">
        <v>0.791</v>
      </c>
      <c r="AR40" s="5" t="n">
        <v>0.129</v>
      </c>
      <c r="AS40" s="5" t="n">
        <v>-0.074</v>
      </c>
      <c r="AT40" s="5" t="n">
        <v>0.868</v>
      </c>
      <c r="AU40" s="5" t="n">
        <v>0.21</v>
      </c>
      <c r="AV40" s="5" t="n">
        <v>1</v>
      </c>
      <c r="AW40" s="5" t="n">
        <v>0.618</v>
      </c>
      <c r="AX40" s="5" t="n">
        <v>0.129</v>
      </c>
      <c r="AY40" s="5" t="n">
        <v>0.176</v>
      </c>
      <c r="AZ40" s="5" t="n">
        <v>0.961</v>
      </c>
      <c r="BA40" s="5" t="n">
        <v>0.21</v>
      </c>
      <c r="BB40" s="5" t="n">
        <v>1</v>
      </c>
      <c r="BC40" s="5" t="n">
        <v>0.554</v>
      </c>
      <c r="BD40" s="5" t="n">
        <v>0.129</v>
      </c>
      <c r="BE40" s="5" t="n">
        <v>-0.42</v>
      </c>
      <c r="BF40" s="5" t="n">
        <v>0.162</v>
      </c>
      <c r="BG40" s="5" t="n">
        <v>0</v>
      </c>
      <c r="BH40" s="5" t="n">
        <v>0</v>
      </c>
      <c r="BI40" s="5" t="n">
        <v>0.5570000000000001</v>
      </c>
      <c r="BJ40" s="5" t="n">
        <v>0.129</v>
      </c>
      <c r="BK40" s="5" t="n">
        <v>0.393</v>
      </c>
      <c r="BL40" s="5" t="n">
        <v>1.149</v>
      </c>
      <c r="BM40" s="5" t="n">
        <v>0.21</v>
      </c>
      <c r="BN40" s="5" t="n">
        <v>1</v>
      </c>
      <c r="BO40" s="5" t="n">
        <v>0</v>
      </c>
      <c r="BP40" s="5" t="n">
        <v>-0.038</v>
      </c>
      <c r="BQ40" s="5" t="n">
        <v>0.091</v>
      </c>
      <c r="BR40" s="5" t="n">
        <v>0</v>
      </c>
      <c r="BS40" s="5" t="n">
        <v>1</v>
      </c>
      <c r="BT40" s="5" t="n">
        <v>0</v>
      </c>
      <c r="BU40" s="5" t="n">
        <v>-0.038</v>
      </c>
      <c r="BV40" s="5" t="n">
        <v>0.093</v>
      </c>
      <c r="BW40" s="5" t="n">
        <v>0</v>
      </c>
      <c r="BX40" s="5" t="n">
        <v>1</v>
      </c>
      <c r="BY40" s="5" t="n">
        <v>13.254</v>
      </c>
      <c r="BZ40" s="5" t="n">
        <v>0</v>
      </c>
      <c r="CA40" s="5" t="n">
        <v>13.254</v>
      </c>
      <c r="CB40" s="5" t="n">
        <v>0</v>
      </c>
      <c r="CC40" s="5" t="n">
        <v>83.248</v>
      </c>
      <c r="CD40" s="5" t="n">
        <v>7.95</v>
      </c>
      <c r="CE40" s="5" t="n">
        <v>-0.74</v>
      </c>
      <c r="CF40" s="5" t="n">
        <v>99.83499999999999</v>
      </c>
      <c r="CG40" s="5" t="n">
        <v>0</v>
      </c>
      <c r="CH40" s="5" t="n">
        <v>1</v>
      </c>
      <c r="CI40" s="5" t="n">
        <v>0</v>
      </c>
      <c r="CJ40" s="5" t="n">
        <v>0</v>
      </c>
      <c r="CK40" s="5" t="n">
        <v>0</v>
      </c>
      <c r="CL40" s="5" t="n">
        <v>0.115</v>
      </c>
      <c r="CM40" s="5" t="n">
        <v>0.9389999999999999</v>
      </c>
      <c r="CN40" s="5" t="n">
        <v>2.585</v>
      </c>
      <c r="CO40" s="5" t="n">
        <v>0.836</v>
      </c>
      <c r="CP40" s="5" t="n">
        <v>0.01</v>
      </c>
      <c r="CQ40" s="5" t="n">
        <v>1.348</v>
      </c>
      <c r="CR40" s="5" t="n">
        <v>0.891</v>
      </c>
      <c r="CS40" s="5" t="n">
        <v>6.995</v>
      </c>
      <c r="CT40" s="5" t="n">
        <v>4.861</v>
      </c>
      <c r="CU40" s="5" t="n">
        <v>11.658</v>
      </c>
    </row>
    <row r="41">
      <c r="A41" s="5" t="inlineStr">
        <is>
          <t>ARG2024</t>
        </is>
      </c>
      <c r="B41" s="5" t="inlineStr">
        <is>
          <t>ARG</t>
        </is>
      </c>
      <c r="C41" s="5" t="inlineStr">
        <is>
          <t>ARG</t>
        </is>
      </c>
      <c r="D41" s="5" t="inlineStr">
        <is>
          <t>Argentina</t>
        </is>
      </c>
      <c r="E41" s="5" t="n">
        <v>2024</v>
      </c>
      <c r="F41" s="5" t="n">
        <v>0.21</v>
      </c>
      <c r="G41" s="5" t="n">
        <v>5.538</v>
      </c>
      <c r="H41" s="5" t="n">
        <v>1.317</v>
      </c>
      <c r="I41" s="5" t="n">
        <v>0.229</v>
      </c>
      <c r="J41" s="5" t="n">
        <v>5.767</v>
      </c>
      <c r="K41" s="5" t="n">
        <v>0</v>
      </c>
      <c r="L41" s="5" t="n">
        <v>1</v>
      </c>
      <c r="M41" s="5" t="n">
        <v>7.084</v>
      </c>
      <c r="N41" s="5" t="n">
        <v>3.95</v>
      </c>
      <c r="O41" s="5" t="n">
        <v>0.243</v>
      </c>
      <c r="P41" s="5" t="n">
        <v>7.328</v>
      </c>
      <c r="Q41" s="5" t="n">
        <v>0</v>
      </c>
      <c r="R41" s="5" t="n">
        <v>1</v>
      </c>
      <c r="S41" s="5" t="n">
        <v>12.121</v>
      </c>
      <c r="T41" s="5" t="n">
        <v>7.9</v>
      </c>
      <c r="U41" s="5" t="n">
        <v>0.583</v>
      </c>
      <c r="V41" s="5" t="n">
        <v>14.944</v>
      </c>
      <c r="W41" s="5" t="n">
        <v>0.21</v>
      </c>
      <c r="X41" s="5" t="n">
        <v>1</v>
      </c>
      <c r="Y41" s="5" t="n">
        <v>8.117000000000001</v>
      </c>
      <c r="Z41" s="5" t="n">
        <v>0.68</v>
      </c>
      <c r="AA41" s="5" t="n">
        <v>-3.715</v>
      </c>
      <c r="AB41" s="5" t="n">
        <v>4.402</v>
      </c>
      <c r="AC41" s="5" t="n">
        <v>0</v>
      </c>
      <c r="AD41" s="5" t="n">
        <v>0</v>
      </c>
      <c r="AE41" s="5" t="n">
        <v>8.851000000000001</v>
      </c>
      <c r="AF41" s="5" t="n">
        <v>1.355</v>
      </c>
      <c r="AG41" s="5" t="n">
        <v>-1.275</v>
      </c>
      <c r="AH41" s="5" t="n">
        <v>7.576</v>
      </c>
      <c r="AI41" s="5" t="n">
        <v>0</v>
      </c>
      <c r="AJ41" s="5" t="n">
        <v>0</v>
      </c>
      <c r="AK41" s="5" t="n">
        <v>13.257</v>
      </c>
      <c r="AL41" s="5" t="n">
        <v>5.42</v>
      </c>
      <c r="AM41" s="5" t="n">
        <v>-5.211</v>
      </c>
      <c r="AN41" s="5" t="n">
        <v>9.734999999999999</v>
      </c>
      <c r="AO41" s="5" t="n">
        <v>0</v>
      </c>
      <c r="AP41" s="5" t="n">
        <v>0</v>
      </c>
      <c r="AQ41" s="5" t="n">
        <v>0.756</v>
      </c>
      <c r="AR41" s="5" t="n">
        <v>0.132</v>
      </c>
      <c r="AS41" s="5" t="n">
        <v>0.129</v>
      </c>
      <c r="AT41" s="5" t="n">
        <v>1.071</v>
      </c>
      <c r="AU41" s="5" t="n">
        <v>0.21</v>
      </c>
      <c r="AV41" s="5" t="n">
        <v>1</v>
      </c>
      <c r="AW41" s="5" t="n">
        <v>0.655</v>
      </c>
      <c r="AX41" s="5" t="n">
        <v>0.132</v>
      </c>
      <c r="AY41" s="5" t="n">
        <v>0.249</v>
      </c>
      <c r="AZ41" s="5" t="n">
        <v>1.094</v>
      </c>
      <c r="BA41" s="5" t="n">
        <v>0.21</v>
      </c>
      <c r="BB41" s="5" t="n">
        <v>1</v>
      </c>
      <c r="BC41" s="5" t="n">
        <v>0.534</v>
      </c>
      <c r="BD41" s="5" t="n">
        <v>0.132</v>
      </c>
      <c r="BE41" s="5" t="n">
        <v>-0.368</v>
      </c>
      <c r="BF41" s="5" t="n">
        <v>0.166</v>
      </c>
      <c r="BG41" s="5" t="n">
        <v>0</v>
      </c>
      <c r="BH41" s="5" t="n">
        <v>0</v>
      </c>
      <c r="BI41" s="5" t="n">
        <v>0.5679999999999999</v>
      </c>
      <c r="BJ41" s="5" t="n">
        <v>0.132</v>
      </c>
      <c r="BK41" s="5" t="n">
        <v>0.604</v>
      </c>
      <c r="BL41" s="5" t="n">
        <v>1.418</v>
      </c>
      <c r="BM41" s="5" t="n">
        <v>0.21</v>
      </c>
      <c r="BN41" s="5" t="n">
        <v>1</v>
      </c>
      <c r="BO41" s="5" t="n">
        <v>0</v>
      </c>
      <c r="BP41" s="5" t="n">
        <v>-0.017</v>
      </c>
      <c r="BQ41" s="5" t="n">
        <v>0.121</v>
      </c>
      <c r="BR41" s="5" t="n">
        <v>0</v>
      </c>
      <c r="BS41" s="5" t="n">
        <v>1</v>
      </c>
      <c r="BT41" s="5" t="n">
        <v>0</v>
      </c>
      <c r="BU41" s="5" t="n">
        <v>-0.016</v>
      </c>
      <c r="BV41" s="5" t="n">
        <v>0.08799999999999999</v>
      </c>
      <c r="BW41" s="5" t="n">
        <v>0</v>
      </c>
      <c r="BX41" s="5" t="n">
        <v>1</v>
      </c>
      <c r="BY41" s="5" t="n">
        <v>13.646</v>
      </c>
      <c r="BZ41" s="5" t="n">
        <v>0</v>
      </c>
      <c r="CA41" s="5" t="n">
        <v>13.646</v>
      </c>
      <c r="CB41" s="5" t="n">
        <v>0</v>
      </c>
      <c r="CC41" s="5" t="n">
        <v>82.58799999999999</v>
      </c>
      <c r="CD41" s="5" t="n">
        <v>7.95</v>
      </c>
      <c r="CE41" s="5" t="n">
        <v>-18.722</v>
      </c>
      <c r="CF41" s="5" t="n">
        <v>77.277</v>
      </c>
      <c r="CG41" s="5" t="n">
        <v>0</v>
      </c>
      <c r="CH41" s="5" t="n">
        <v>1</v>
      </c>
      <c r="CI41" s="5" t="n">
        <v>0</v>
      </c>
      <c r="CJ41" s="5" t="n">
        <v>0</v>
      </c>
      <c r="CK41" s="5" t="n">
        <v>0</v>
      </c>
      <c r="CL41" s="5" t="n">
        <v>0.118</v>
      </c>
      <c r="CM41" s="5" t="n">
        <v>0.966</v>
      </c>
      <c r="CN41" s="5" t="n">
        <v>2.82</v>
      </c>
      <c r="CO41" s="5" t="n">
        <v>0.921</v>
      </c>
      <c r="CP41" s="5" t="n">
        <v>0.01</v>
      </c>
      <c r="CQ41" s="5" t="n">
        <v>1.387</v>
      </c>
      <c r="CR41" s="5" t="n">
        <v>0.891</v>
      </c>
      <c r="CS41" s="5" t="n">
        <v>7.201</v>
      </c>
      <c r="CT41" s="5" t="n">
        <v>4.251</v>
      </c>
      <c r="CU41" s="5" t="n">
        <v>10.306</v>
      </c>
    </row>
    <row r="42">
      <c r="A42" s="5" t="inlineStr">
        <is>
          <t>ARM2021</t>
        </is>
      </c>
      <c r="B42" s="5" t="inlineStr">
        <is>
          <t>ARM</t>
        </is>
      </c>
      <c r="C42" s="5" t="inlineStr">
        <is>
          <t>ARM</t>
        </is>
      </c>
      <c r="D42" s="5" t="inlineStr">
        <is>
          <t>Armenia</t>
        </is>
      </c>
      <c r="E42" s="5" t="n">
        <v>2021</v>
      </c>
      <c r="F42" s="5" t="n">
        <v>0.2</v>
      </c>
      <c r="G42" s="5" t="n">
        <v>5.548</v>
      </c>
      <c r="H42" s="5" t="n">
        <v>1.142</v>
      </c>
      <c r="I42" s="5" t="n">
        <v>0</v>
      </c>
      <c r="J42" s="5" t="n">
        <v>5.548</v>
      </c>
      <c r="K42" s="5" t="n">
        <v>0</v>
      </c>
      <c r="L42" s="5" t="n">
        <v>1</v>
      </c>
      <c r="M42" s="5" t="n">
        <v>7.957</v>
      </c>
      <c r="N42" s="5" t="n">
        <v>3.427</v>
      </c>
      <c r="O42" s="5" t="n">
        <v>0</v>
      </c>
      <c r="P42" s="5" t="n">
        <v>7.957</v>
      </c>
      <c r="Q42" s="5" t="n">
        <v>0</v>
      </c>
      <c r="R42" s="5" t="n">
        <v>1</v>
      </c>
      <c r="S42" s="5" t="n">
        <v>11.26</v>
      </c>
      <c r="T42" s="5" t="n">
        <v>6.855</v>
      </c>
      <c r="U42" s="5" t="n">
        <v>0</v>
      </c>
      <c r="V42" s="5" t="n">
        <v>13.512</v>
      </c>
      <c r="W42" s="5" t="n">
        <v>0.2</v>
      </c>
      <c r="X42" s="5" t="n">
        <v>1</v>
      </c>
      <c r="Y42" s="5" t="n">
        <v>5.306</v>
      </c>
      <c r="Z42" s="5" t="n">
        <v>0.586</v>
      </c>
      <c r="AA42" s="5" t="n">
        <v>1.151</v>
      </c>
      <c r="AB42" s="5" t="n">
        <v>6.458</v>
      </c>
      <c r="AC42" s="5" t="n">
        <v>0</v>
      </c>
      <c r="AD42" s="5" t="n">
        <v>1</v>
      </c>
      <c r="AE42" s="5" t="n">
        <v>6.448</v>
      </c>
      <c r="AF42" s="5" t="n">
        <v>1.269</v>
      </c>
      <c r="AG42" s="5" t="n">
        <v>0.035</v>
      </c>
      <c r="AH42" s="5" t="n">
        <v>6.483</v>
      </c>
      <c r="AI42" s="5" t="n">
        <v>0</v>
      </c>
      <c r="AJ42" s="5" t="n">
        <v>1</v>
      </c>
      <c r="AK42" s="5" t="n">
        <v>13.298</v>
      </c>
      <c r="AL42" s="5" t="n">
        <v>6.527</v>
      </c>
      <c r="AM42" s="5" t="n">
        <v>1.291</v>
      </c>
      <c r="AN42" s="5" t="n">
        <v>15.957</v>
      </c>
      <c r="AO42" s="5" t="n">
        <v>0.2</v>
      </c>
      <c r="AP42" s="5" t="n">
        <v>1</v>
      </c>
      <c r="AQ42" s="5" t="n">
        <v>0.619</v>
      </c>
      <c r="AR42" s="5" t="n">
        <v>0.114</v>
      </c>
      <c r="AS42" s="5" t="n">
        <v>0.17</v>
      </c>
      <c r="AT42" s="5" t="n">
        <v>0.947</v>
      </c>
      <c r="AU42" s="5" t="n">
        <v>0.2</v>
      </c>
      <c r="AV42" s="5" t="n">
        <v>1</v>
      </c>
      <c r="AW42" s="5" t="n">
        <v>0.599</v>
      </c>
      <c r="AX42" s="5" t="n">
        <v>0.114</v>
      </c>
      <c r="AY42" s="5" t="n">
        <v>0.13</v>
      </c>
      <c r="AZ42" s="5" t="n">
        <v>0.876</v>
      </c>
      <c r="BA42" s="5" t="n">
        <v>0.2</v>
      </c>
      <c r="BB42" s="5" t="n">
        <v>1</v>
      </c>
      <c r="BC42" s="5" t="n">
        <v>0.439</v>
      </c>
      <c r="BD42" s="5" t="n">
        <v>0.114</v>
      </c>
      <c r="BE42" s="5" t="n">
        <v>0</v>
      </c>
      <c r="BF42" s="5" t="n">
        <v>0.527</v>
      </c>
      <c r="BG42" s="5" t="n">
        <v>0.2</v>
      </c>
      <c r="BH42" s="5" t="n">
        <v>1</v>
      </c>
      <c r="BI42" s="5" t="n">
        <v>0.505</v>
      </c>
      <c r="BJ42" s="5" t="n">
        <v>0.114</v>
      </c>
      <c r="BK42" s="5" t="n">
        <v>0</v>
      </c>
      <c r="BL42" s="5" t="n">
        <v>0.606</v>
      </c>
      <c r="BM42" s="5" t="n">
        <v>0.2</v>
      </c>
      <c r="BN42" s="5" t="n">
        <v>1</v>
      </c>
      <c r="BO42" s="5" t="n">
        <v>0</v>
      </c>
      <c r="BP42" s="5" t="n">
        <v>0</v>
      </c>
      <c r="BQ42" s="5" t="n">
        <v>0.08400000000000001</v>
      </c>
      <c r="BR42" s="5" t="n">
        <v>0</v>
      </c>
      <c r="BS42" s="5" t="n">
        <v>0.5</v>
      </c>
      <c r="BT42" s="5" t="n">
        <v>0</v>
      </c>
      <c r="BU42" s="5" t="n">
        <v>0</v>
      </c>
      <c r="BV42" s="5" t="n">
        <v>0.08599999999999999</v>
      </c>
      <c r="BW42" s="5" t="n">
        <v>0.2</v>
      </c>
      <c r="BX42" s="5" t="n">
        <v>0.5</v>
      </c>
      <c r="BY42" s="5" t="n">
        <v>11.787</v>
      </c>
      <c r="BZ42" s="5" t="n">
        <v>0</v>
      </c>
      <c r="CA42" s="5" t="n">
        <v>11.787</v>
      </c>
      <c r="CB42" s="5" t="n">
        <v>0</v>
      </c>
      <c r="CC42" s="5" t="n">
        <v>78.125</v>
      </c>
      <c r="CD42" s="5" t="n">
        <v>7.95</v>
      </c>
      <c r="CE42" s="5" t="n">
        <v>0</v>
      </c>
      <c r="CF42" s="5" t="n">
        <v>93.75</v>
      </c>
      <c r="CG42" s="5" t="n">
        <v>0.2</v>
      </c>
      <c r="CH42" s="5" t="n">
        <v>1</v>
      </c>
      <c r="CI42" s="5" t="n">
        <v>1</v>
      </c>
      <c r="CJ42" s="5" t="n">
        <v>1</v>
      </c>
      <c r="CK42" s="5" t="n">
        <v>0</v>
      </c>
      <c r="CL42" s="5" t="n">
        <v>0</v>
      </c>
      <c r="CM42" s="5" t="n">
        <v>0</v>
      </c>
      <c r="CN42" s="5" t="n">
        <v>0</v>
      </c>
      <c r="CO42" s="5" t="n">
        <v>0</v>
      </c>
      <c r="CP42" s="5" t="n">
        <v>0.001</v>
      </c>
      <c r="CQ42" s="5" t="n">
        <v>1.198</v>
      </c>
      <c r="CR42" s="5" t="n">
        <v>0</v>
      </c>
      <c r="CS42" s="5" t="n">
        <v>4.165</v>
      </c>
      <c r="CT42" s="5" t="n">
        <v>4.41</v>
      </c>
      <c r="CU42" s="5" t="n">
        <v>4.165</v>
      </c>
    </row>
    <row r="43">
      <c r="A43" s="5" t="inlineStr">
        <is>
          <t>ARM2022</t>
        </is>
      </c>
      <c r="B43" s="5" t="inlineStr">
        <is>
          <t>ARM</t>
        </is>
      </c>
      <c r="C43" s="5" t="inlineStr">
        <is>
          <t>ARM</t>
        </is>
      </c>
      <c r="D43" s="5" t="inlineStr">
        <is>
          <t>Armenia</t>
        </is>
      </c>
      <c r="E43" s="5" t="n">
        <v>2022</v>
      </c>
      <c r="F43" s="5" t="n">
        <v>0.2</v>
      </c>
      <c r="G43" s="5" t="n">
        <v>7.075</v>
      </c>
      <c r="H43" s="5" t="n">
        <v>1.235</v>
      </c>
      <c r="I43" s="5" t="n">
        <v>0</v>
      </c>
      <c r="J43" s="5" t="n">
        <v>7.075</v>
      </c>
      <c r="K43" s="5" t="n">
        <v>0</v>
      </c>
      <c r="L43" s="5" t="n">
        <v>1</v>
      </c>
      <c r="M43" s="5" t="n">
        <v>9.781000000000001</v>
      </c>
      <c r="N43" s="5" t="n">
        <v>3.704</v>
      </c>
      <c r="O43" s="5" t="n">
        <v>0</v>
      </c>
      <c r="P43" s="5" t="n">
        <v>9.781000000000001</v>
      </c>
      <c r="Q43" s="5" t="n">
        <v>0</v>
      </c>
      <c r="R43" s="5" t="n">
        <v>1</v>
      </c>
      <c r="S43" s="5" t="n">
        <v>13.248</v>
      </c>
      <c r="T43" s="5" t="n">
        <v>7.407</v>
      </c>
      <c r="U43" s="5" t="n">
        <v>0.196</v>
      </c>
      <c r="V43" s="5" t="n">
        <v>15.898</v>
      </c>
      <c r="W43" s="5" t="n">
        <v>0.2</v>
      </c>
      <c r="X43" s="5" t="n">
        <v>1</v>
      </c>
      <c r="Y43" s="5" t="n">
        <v>5.627</v>
      </c>
      <c r="Z43" s="5" t="n">
        <v>0.59</v>
      </c>
      <c r="AA43" s="5" t="n">
        <v>0</v>
      </c>
      <c r="AB43" s="5" t="n">
        <v>5.627</v>
      </c>
      <c r="AC43" s="5" t="n">
        <v>0</v>
      </c>
      <c r="AD43" s="5" t="n">
        <v>1</v>
      </c>
      <c r="AE43" s="5" t="n">
        <v>6.862</v>
      </c>
      <c r="AF43" s="5" t="n">
        <v>1.272</v>
      </c>
      <c r="AG43" s="5" t="n">
        <v>0.06</v>
      </c>
      <c r="AH43" s="5" t="n">
        <v>6.922</v>
      </c>
      <c r="AI43" s="5" t="n">
        <v>0</v>
      </c>
      <c r="AJ43" s="5" t="n">
        <v>1</v>
      </c>
      <c r="AK43" s="5" t="n">
        <v>14.27</v>
      </c>
      <c r="AL43" s="5" t="n">
        <v>6.815</v>
      </c>
      <c r="AM43" s="5" t="n">
        <v>1.256</v>
      </c>
      <c r="AN43" s="5" t="n">
        <v>17.124</v>
      </c>
      <c r="AO43" s="5" t="n">
        <v>0.2</v>
      </c>
      <c r="AP43" s="5" t="n">
        <v>1</v>
      </c>
      <c r="AQ43" s="5" t="n">
        <v>0.861</v>
      </c>
      <c r="AR43" s="5" t="n">
        <v>0.123</v>
      </c>
      <c r="AS43" s="5" t="n">
        <v>0.154</v>
      </c>
      <c r="AT43" s="5" t="n">
        <v>1.218</v>
      </c>
      <c r="AU43" s="5" t="n">
        <v>0.2</v>
      </c>
      <c r="AV43" s="5" t="n">
        <v>1</v>
      </c>
      <c r="AW43" s="5" t="n">
        <v>0.986</v>
      </c>
      <c r="AX43" s="5" t="n">
        <v>0.123</v>
      </c>
      <c r="AY43" s="5" t="n">
        <v>0.167</v>
      </c>
      <c r="AZ43" s="5" t="n">
        <v>1.384</v>
      </c>
      <c r="BA43" s="5" t="n">
        <v>0.2</v>
      </c>
      <c r="BB43" s="5" t="n">
        <v>1</v>
      </c>
      <c r="BC43" s="5" t="n">
        <v>0.598</v>
      </c>
      <c r="BD43" s="5" t="n">
        <v>0.123</v>
      </c>
      <c r="BE43" s="5" t="n">
        <v>0.008999999999999999</v>
      </c>
      <c r="BF43" s="5" t="n">
        <v>0.717</v>
      </c>
      <c r="BG43" s="5" t="n">
        <v>0.2</v>
      </c>
      <c r="BH43" s="5" t="n">
        <v>1</v>
      </c>
      <c r="BI43" s="5" t="n">
        <v>0.612</v>
      </c>
      <c r="BJ43" s="5" t="n">
        <v>0.123</v>
      </c>
      <c r="BK43" s="5" t="n">
        <v>0.008999999999999999</v>
      </c>
      <c r="BL43" s="5" t="n">
        <v>0.735</v>
      </c>
      <c r="BM43" s="5" t="n">
        <v>0.2</v>
      </c>
      <c r="BN43" s="5" t="n">
        <v>1</v>
      </c>
      <c r="BO43" s="5" t="n">
        <v>0</v>
      </c>
      <c r="BP43" s="5" t="n">
        <v>0</v>
      </c>
      <c r="BQ43" s="5" t="n">
        <v>0.123</v>
      </c>
      <c r="BR43" s="5" t="n">
        <v>0</v>
      </c>
      <c r="BS43" s="5" t="n">
        <v>0.5</v>
      </c>
      <c r="BT43" s="5" t="n">
        <v>0</v>
      </c>
      <c r="BU43" s="5" t="n">
        <v>0</v>
      </c>
      <c r="BV43" s="5" t="n">
        <v>0.107</v>
      </c>
      <c r="BW43" s="5" t="n">
        <v>0.2</v>
      </c>
      <c r="BX43" s="5" t="n">
        <v>0.5</v>
      </c>
      <c r="BY43" s="5" t="n">
        <v>12.729</v>
      </c>
      <c r="BZ43" s="5" t="n">
        <v>0</v>
      </c>
      <c r="CA43" s="5" t="n">
        <v>12.729</v>
      </c>
      <c r="CB43" s="5" t="n">
        <v>0</v>
      </c>
      <c r="CC43" s="5" t="n">
        <v>97.90000000000001</v>
      </c>
      <c r="CD43" s="5" t="n">
        <v>7.95</v>
      </c>
      <c r="CE43" s="5" t="n">
        <v>1.449</v>
      </c>
      <c r="CF43" s="5" t="n">
        <v>117.48</v>
      </c>
      <c r="CG43" s="5" t="n">
        <v>0.2</v>
      </c>
      <c r="CH43" s="5" t="n">
        <v>1</v>
      </c>
      <c r="CI43" s="5" t="n">
        <v>1</v>
      </c>
      <c r="CJ43" s="5" t="n">
        <v>1</v>
      </c>
      <c r="CK43" s="5" t="n">
        <v>0</v>
      </c>
      <c r="CL43" s="5" t="n">
        <v>0</v>
      </c>
      <c r="CM43" s="5" t="n">
        <v>0</v>
      </c>
      <c r="CN43" s="5" t="n">
        <v>0</v>
      </c>
      <c r="CO43" s="5" t="n">
        <v>0</v>
      </c>
      <c r="CP43" s="5" t="n">
        <v>0</v>
      </c>
      <c r="CQ43" s="5" t="n">
        <v>1.294</v>
      </c>
      <c r="CR43" s="5" t="n">
        <v>0</v>
      </c>
      <c r="CS43" s="5" t="n">
        <v>4.393</v>
      </c>
      <c r="CT43" s="5" t="n">
        <v>5.842</v>
      </c>
      <c r="CU43" s="5" t="n">
        <v>4.393</v>
      </c>
    </row>
    <row r="44">
      <c r="A44" s="5" t="inlineStr">
        <is>
          <t>ARM2023</t>
        </is>
      </c>
      <c r="B44" s="5" t="inlineStr">
        <is>
          <t>ARM</t>
        </is>
      </c>
      <c r="C44" s="5" t="inlineStr">
        <is>
          <t>ARM</t>
        </is>
      </c>
      <c r="D44" s="5" t="inlineStr">
        <is>
          <t>Armenia</t>
        </is>
      </c>
      <c r="E44" s="5" t="n">
        <v>2023</v>
      </c>
      <c r="F44" s="5" t="n">
        <v>0.2</v>
      </c>
      <c r="G44" s="5" t="n">
        <v>4.751</v>
      </c>
      <c r="H44" s="5" t="n">
        <v>1.285</v>
      </c>
      <c r="I44" s="5" t="n">
        <v>0</v>
      </c>
      <c r="J44" s="5" t="n">
        <v>4.751</v>
      </c>
      <c r="K44" s="5" t="n">
        <v>0</v>
      </c>
      <c r="L44" s="5" t="n">
        <v>1</v>
      </c>
      <c r="M44" s="5" t="n">
        <v>7.885</v>
      </c>
      <c r="N44" s="5" t="n">
        <v>3.856</v>
      </c>
      <c r="O44" s="5" t="n">
        <v>0</v>
      </c>
      <c r="P44" s="5" t="n">
        <v>7.885</v>
      </c>
      <c r="Q44" s="5" t="n">
        <v>0</v>
      </c>
      <c r="R44" s="5" t="n">
        <v>1</v>
      </c>
      <c r="S44" s="5" t="n">
        <v>11.178</v>
      </c>
      <c r="T44" s="5" t="n">
        <v>7.713</v>
      </c>
      <c r="U44" s="5" t="n">
        <v>0.248</v>
      </c>
      <c r="V44" s="5" t="n">
        <v>13.414</v>
      </c>
      <c r="W44" s="5" t="n">
        <v>0.2</v>
      </c>
      <c r="X44" s="5" t="n">
        <v>1</v>
      </c>
      <c r="Y44" s="5" t="n">
        <v>2.794</v>
      </c>
      <c r="Z44" s="5" t="n">
        <v>0.313</v>
      </c>
      <c r="AA44" s="5" t="n">
        <v>1.001</v>
      </c>
      <c r="AB44" s="5" t="n">
        <v>3.795</v>
      </c>
      <c r="AC44" s="5" t="n">
        <v>0</v>
      </c>
      <c r="AD44" s="5" t="n">
        <v>1</v>
      </c>
      <c r="AE44" s="5" t="n">
        <v>4.08</v>
      </c>
      <c r="AF44" s="5" t="n">
        <v>0.8120000000000001</v>
      </c>
      <c r="AG44" s="5" t="n">
        <v>2.871</v>
      </c>
      <c r="AH44" s="5" t="n">
        <v>6.951</v>
      </c>
      <c r="AI44" s="5" t="n">
        <v>0</v>
      </c>
      <c r="AJ44" s="5" t="n">
        <v>1</v>
      </c>
      <c r="AK44" s="5" t="n">
        <v>11.794</v>
      </c>
      <c r="AL44" s="5" t="n">
        <v>5.842</v>
      </c>
      <c r="AM44" s="5" t="n">
        <v>0.584</v>
      </c>
      <c r="AN44" s="5" t="n">
        <v>14.152</v>
      </c>
      <c r="AO44" s="5" t="n">
        <v>0.2</v>
      </c>
      <c r="AP44" s="5" t="n">
        <v>1</v>
      </c>
      <c r="AQ44" s="5" t="n">
        <v>0.76</v>
      </c>
      <c r="AR44" s="5" t="n">
        <v>0.129</v>
      </c>
      <c r="AS44" s="5" t="n">
        <v>0.223</v>
      </c>
      <c r="AT44" s="5" t="n">
        <v>1.181</v>
      </c>
      <c r="AU44" s="5" t="n">
        <v>0.2</v>
      </c>
      <c r="AV44" s="5" t="n">
        <v>1</v>
      </c>
      <c r="AW44" s="5" t="n">
        <v>0.8110000000000001</v>
      </c>
      <c r="AX44" s="5" t="n">
        <v>0.129</v>
      </c>
      <c r="AY44" s="5" t="n">
        <v>0.308</v>
      </c>
      <c r="AZ44" s="5" t="n">
        <v>1.343</v>
      </c>
      <c r="BA44" s="5" t="n">
        <v>0.2</v>
      </c>
      <c r="BB44" s="5" t="n">
        <v>1</v>
      </c>
      <c r="BC44" s="5" t="n">
        <v>0.535</v>
      </c>
      <c r="BD44" s="5" t="n">
        <v>0.129</v>
      </c>
      <c r="BE44" s="5" t="n">
        <v>0.012</v>
      </c>
      <c r="BF44" s="5" t="n">
        <v>0.642</v>
      </c>
      <c r="BG44" s="5" t="n">
        <v>0.2</v>
      </c>
      <c r="BH44" s="5" t="n">
        <v>1</v>
      </c>
      <c r="BI44" s="5" t="n">
        <v>0.579</v>
      </c>
      <c r="BJ44" s="5" t="n">
        <v>0.129</v>
      </c>
      <c r="BK44" s="5" t="n">
        <v>0.013</v>
      </c>
      <c r="BL44" s="5" t="n">
        <v>0.695</v>
      </c>
      <c r="BM44" s="5" t="n">
        <v>0.2</v>
      </c>
      <c r="BN44" s="5" t="n">
        <v>1</v>
      </c>
      <c r="BO44" s="5" t="n">
        <v>0</v>
      </c>
      <c r="BP44" s="5" t="n">
        <v>0</v>
      </c>
      <c r="BQ44" s="5" t="n">
        <v>0.136</v>
      </c>
      <c r="BR44" s="5" t="n">
        <v>0</v>
      </c>
      <c r="BS44" s="5" t="n">
        <v>0.5</v>
      </c>
      <c r="BT44" s="5" t="n">
        <v>0</v>
      </c>
      <c r="BU44" s="5" t="n">
        <v>0</v>
      </c>
      <c r="BV44" s="5" t="n">
        <v>0.119</v>
      </c>
      <c r="BW44" s="5" t="n">
        <v>0.2</v>
      </c>
      <c r="BX44" s="5" t="n">
        <v>0.5</v>
      </c>
      <c r="BY44" s="5" t="n">
        <v>13.254</v>
      </c>
      <c r="BZ44" s="5" t="n">
        <v>0</v>
      </c>
      <c r="CA44" s="5" t="n">
        <v>13.254</v>
      </c>
      <c r="CB44" s="5" t="n">
        <v>0</v>
      </c>
      <c r="CC44" s="5" t="n">
        <v>83.248</v>
      </c>
      <c r="CD44" s="5" t="n">
        <v>7.95</v>
      </c>
      <c r="CE44" s="5" t="n">
        <v>1.843</v>
      </c>
      <c r="CF44" s="5" t="n">
        <v>99.898</v>
      </c>
      <c r="CG44" s="5" t="n">
        <v>0.2</v>
      </c>
      <c r="CH44" s="5" t="n">
        <v>1</v>
      </c>
      <c r="CI44" s="5" t="n">
        <v>1</v>
      </c>
      <c r="CJ44" s="5" t="n">
        <v>1</v>
      </c>
      <c r="CK44" s="5" t="n">
        <v>0</v>
      </c>
      <c r="CL44" s="5" t="n">
        <v>0</v>
      </c>
      <c r="CM44" s="5" t="n">
        <v>0</v>
      </c>
      <c r="CN44" s="5" t="n">
        <v>0</v>
      </c>
      <c r="CO44" s="5" t="n">
        <v>0</v>
      </c>
      <c r="CP44" s="5" t="n">
        <v>0</v>
      </c>
      <c r="CQ44" s="5" t="n">
        <v>1.348</v>
      </c>
      <c r="CR44" s="5" t="n">
        <v>0</v>
      </c>
      <c r="CS44" s="5" t="n">
        <v>1.508</v>
      </c>
      <c r="CT44" s="5" t="n">
        <v>3.466</v>
      </c>
      <c r="CU44" s="5" t="n">
        <v>1.508</v>
      </c>
    </row>
    <row r="45">
      <c r="A45" s="5" t="inlineStr">
        <is>
          <t>ARM2024</t>
        </is>
      </c>
      <c r="B45" s="5" t="inlineStr">
        <is>
          <t>ARM</t>
        </is>
      </c>
      <c r="C45" s="5" t="inlineStr">
        <is>
          <t>ARM</t>
        </is>
      </c>
      <c r="D45" s="5" t="inlineStr">
        <is>
          <t>Armenia</t>
        </is>
      </c>
      <c r="E45" s="5" t="n">
        <v>2024</v>
      </c>
      <c r="F45" s="5" t="n">
        <v>0.2</v>
      </c>
      <c r="G45" s="5" t="n">
        <v>4.35</v>
      </c>
      <c r="H45" s="5" t="n">
        <v>1.323</v>
      </c>
      <c r="I45" s="5" t="n">
        <v>0</v>
      </c>
      <c r="J45" s="5" t="n">
        <v>4.35</v>
      </c>
      <c r="K45" s="5" t="n">
        <v>0</v>
      </c>
      <c r="L45" s="5" t="n">
        <v>1</v>
      </c>
      <c r="M45" s="5" t="n">
        <v>7.123</v>
      </c>
      <c r="N45" s="5" t="n">
        <v>3.97</v>
      </c>
      <c r="O45" s="5" t="n">
        <v>0</v>
      </c>
      <c r="P45" s="5" t="n">
        <v>7.123</v>
      </c>
      <c r="Q45" s="5" t="n">
        <v>0</v>
      </c>
      <c r="R45" s="5" t="n">
        <v>1</v>
      </c>
      <c r="S45" s="5" t="n">
        <v>10.967</v>
      </c>
      <c r="T45" s="5" t="n">
        <v>7.941</v>
      </c>
      <c r="U45" s="5" t="n">
        <v>0.299</v>
      </c>
      <c r="V45" s="5" t="n">
        <v>13.161</v>
      </c>
      <c r="W45" s="5" t="n">
        <v>0.2</v>
      </c>
      <c r="X45" s="5" t="n">
        <v>1</v>
      </c>
      <c r="Y45" s="5" t="n">
        <v>2.599</v>
      </c>
      <c r="Z45" s="5" t="n">
        <v>0.328</v>
      </c>
      <c r="AA45" s="5" t="n">
        <v>0</v>
      </c>
      <c r="AB45" s="5" t="n">
        <v>2.599</v>
      </c>
      <c r="AC45" s="5" t="n">
        <v>0</v>
      </c>
      <c r="AD45" s="5" t="n">
        <v>1</v>
      </c>
      <c r="AE45" s="5" t="n">
        <v>3.922</v>
      </c>
      <c r="AF45" s="5" t="n">
        <v>0.859</v>
      </c>
      <c r="AG45" s="5" t="n">
        <v>3.225</v>
      </c>
      <c r="AH45" s="5" t="n">
        <v>7.147</v>
      </c>
      <c r="AI45" s="5" t="n">
        <v>0</v>
      </c>
      <c r="AJ45" s="5" t="n">
        <v>1</v>
      </c>
      <c r="AK45" s="5" t="n">
        <v>11.864</v>
      </c>
      <c r="AL45" s="5" t="n">
        <v>6.034</v>
      </c>
      <c r="AM45" s="5" t="n">
        <v>0.598</v>
      </c>
      <c r="AN45" s="5" t="n">
        <v>14.237</v>
      </c>
      <c r="AO45" s="5" t="n">
        <v>0.2</v>
      </c>
      <c r="AP45" s="5" t="n">
        <v>1</v>
      </c>
      <c r="AQ45" s="5" t="n">
        <v>0.724</v>
      </c>
      <c r="AR45" s="5" t="n">
        <v>0.132</v>
      </c>
      <c r="AS45" s="5" t="n">
        <v>0.401</v>
      </c>
      <c r="AT45" s="5" t="n">
        <v>1.35</v>
      </c>
      <c r="AU45" s="5" t="n">
        <v>0.2</v>
      </c>
      <c r="AV45" s="5" t="n">
        <v>1</v>
      </c>
      <c r="AW45" s="5" t="n">
        <v>0.75</v>
      </c>
      <c r="AX45" s="5" t="n">
        <v>0.132</v>
      </c>
      <c r="AY45" s="5" t="n">
        <v>0.389</v>
      </c>
      <c r="AZ45" s="5" t="n">
        <v>1.368</v>
      </c>
      <c r="BA45" s="5" t="n">
        <v>0.2</v>
      </c>
      <c r="BB45" s="5" t="n">
        <v>1</v>
      </c>
      <c r="BC45" s="5" t="n">
        <v>0.513</v>
      </c>
      <c r="BD45" s="5" t="n">
        <v>0.132</v>
      </c>
      <c r="BE45" s="5" t="n">
        <v>0.014</v>
      </c>
      <c r="BF45" s="5" t="n">
        <v>0.616</v>
      </c>
      <c r="BG45" s="5" t="n">
        <v>0.2</v>
      </c>
      <c r="BH45" s="5" t="n">
        <v>1</v>
      </c>
      <c r="BI45" s="5" t="n">
        <v>0.591</v>
      </c>
      <c r="BJ45" s="5" t="n">
        <v>0.132</v>
      </c>
      <c r="BK45" s="5" t="n">
        <v>0.016</v>
      </c>
      <c r="BL45" s="5" t="n">
        <v>0.71</v>
      </c>
      <c r="BM45" s="5" t="n">
        <v>0.2</v>
      </c>
      <c r="BN45" s="5" t="n">
        <v>1</v>
      </c>
      <c r="BO45" s="5" t="n">
        <v>0</v>
      </c>
      <c r="BP45" s="5" t="n">
        <v>0</v>
      </c>
      <c r="BQ45" s="5" t="n">
        <v>0.123</v>
      </c>
      <c r="BR45" s="5" t="n">
        <v>0</v>
      </c>
      <c r="BS45" s="5" t="n">
        <v>0.5</v>
      </c>
      <c r="BT45" s="5" t="n">
        <v>0</v>
      </c>
      <c r="BU45" s="5" t="n">
        <v>0</v>
      </c>
      <c r="BV45" s="5" t="n">
        <v>0.111</v>
      </c>
      <c r="BW45" s="5" t="n">
        <v>0.2</v>
      </c>
      <c r="BX45" s="5" t="n">
        <v>0.5</v>
      </c>
      <c r="BY45" s="5" t="n">
        <v>13.646</v>
      </c>
      <c r="BZ45" s="5" t="n">
        <v>0</v>
      </c>
      <c r="CA45" s="5" t="n">
        <v>13.646</v>
      </c>
      <c r="CB45" s="5" t="n">
        <v>0</v>
      </c>
      <c r="CC45" s="5" t="n">
        <v>82.58799999999999</v>
      </c>
      <c r="CD45" s="5" t="n">
        <v>7.95</v>
      </c>
      <c r="CE45" s="5" t="n">
        <v>2.25</v>
      </c>
      <c r="CF45" s="5" t="n">
        <v>99.10599999999999</v>
      </c>
      <c r="CG45" s="5" t="n">
        <v>0.2</v>
      </c>
      <c r="CH45" s="5" t="n">
        <v>1</v>
      </c>
      <c r="CI45" s="5" t="n">
        <v>1</v>
      </c>
      <c r="CJ45" s="5" t="n">
        <v>1</v>
      </c>
      <c r="CK45" s="5" t="n">
        <v>0</v>
      </c>
      <c r="CL45" s="5" t="n">
        <v>0</v>
      </c>
      <c r="CM45" s="5" t="n">
        <v>0</v>
      </c>
      <c r="CN45" s="5" t="n">
        <v>0</v>
      </c>
      <c r="CO45" s="5" t="n">
        <v>0</v>
      </c>
      <c r="CP45" s="5" t="n">
        <v>0</v>
      </c>
      <c r="CQ45" s="5" t="n">
        <v>1.387</v>
      </c>
      <c r="CR45" s="5" t="n">
        <v>0</v>
      </c>
      <c r="CS45" s="5" t="n">
        <v>1.275</v>
      </c>
      <c r="CT45" s="5" t="n">
        <v>3.027</v>
      </c>
      <c r="CU45" s="5" t="n">
        <v>1.275</v>
      </c>
    </row>
    <row r="46">
      <c r="A46" s="5" t="inlineStr">
        <is>
          <t>ABW2021</t>
        </is>
      </c>
      <c r="B46" s="5" t="inlineStr">
        <is>
          <t>ABW</t>
        </is>
      </c>
      <c r="C46" s="5" t="inlineStr">
        <is>
          <t>ABW</t>
        </is>
      </c>
      <c r="D46" s="5" t="inlineStr">
        <is>
          <t>Aruba</t>
        </is>
      </c>
      <c r="E46" s="5" t="n">
        <v>2021</v>
      </c>
      <c r="F46" s="5" t="n">
        <v>0.02</v>
      </c>
      <c r="G46" s="5" t="n">
        <v>5.897</v>
      </c>
      <c r="H46" s="5" t="n">
        <v>1.143</v>
      </c>
      <c r="I46" s="5" t="n">
        <v>0</v>
      </c>
      <c r="J46" s="5" t="n">
        <v>5.897</v>
      </c>
      <c r="K46" s="5" t="n">
        <v>0</v>
      </c>
      <c r="L46" s="5" t="n">
        <v>1</v>
      </c>
      <c r="M46" s="5" t="n">
        <v>7.964</v>
      </c>
      <c r="N46" s="5" t="n">
        <v>3.43</v>
      </c>
      <c r="O46" s="5" t="n">
        <v>0</v>
      </c>
      <c r="P46" s="5" t="n">
        <v>7.964</v>
      </c>
      <c r="Q46" s="5" t="n">
        <v>0</v>
      </c>
      <c r="R46" s="5" t="n">
        <v>1</v>
      </c>
      <c r="S46" s="5" t="n">
        <v>11.613</v>
      </c>
      <c r="T46" s="5" t="n">
        <v>6.86</v>
      </c>
      <c r="U46" s="5" t="n">
        <v>0</v>
      </c>
      <c r="V46" s="5" t="n">
        <v>11.846</v>
      </c>
      <c r="W46" s="5" t="n">
        <v>0.02</v>
      </c>
      <c r="X46" s="5" t="n">
        <v>1</v>
      </c>
      <c r="Y46" s="5" t="n">
        <v>5.919</v>
      </c>
      <c r="Z46" s="5" t="n">
        <v>0.796</v>
      </c>
      <c r="AA46" s="5" t="n">
        <v>-3.796</v>
      </c>
      <c r="AB46" s="5" t="n">
        <v>2.123</v>
      </c>
      <c r="AC46" s="5" t="n">
        <v>0</v>
      </c>
      <c r="AD46" s="5" t="n">
        <v>0</v>
      </c>
      <c r="AE46" s="5" t="n">
        <v>7.062</v>
      </c>
      <c r="AF46" s="5" t="n">
        <v>1.654</v>
      </c>
      <c r="AG46" s="5" t="n">
        <v>-4.94</v>
      </c>
      <c r="AH46" s="5" t="n">
        <v>2.123</v>
      </c>
      <c r="AI46" s="5" t="n">
        <v>0</v>
      </c>
      <c r="AJ46" s="5" t="n">
        <v>0</v>
      </c>
      <c r="AK46" s="5" t="n">
        <v>13.922</v>
      </c>
      <c r="AL46" s="5" t="n">
        <v>7.481</v>
      </c>
      <c r="AM46" s="5" t="n">
        <v>-4.96</v>
      </c>
      <c r="AN46" s="5" t="n">
        <v>8.962</v>
      </c>
      <c r="AO46" s="5" t="n">
        <v>0</v>
      </c>
      <c r="AP46" s="5" t="n">
        <v>0</v>
      </c>
      <c r="AQ46" s="5" t="n">
        <v>0.649</v>
      </c>
      <c r="AR46" s="5" t="n">
        <v>0.114</v>
      </c>
      <c r="AS46" s="5" t="n">
        <v>0.656</v>
      </c>
      <c r="AT46" s="5" t="n">
        <v>1.305</v>
      </c>
      <c r="AU46" s="5" t="n">
        <v>0</v>
      </c>
      <c r="AV46" s="5" t="n">
        <v>1</v>
      </c>
      <c r="AW46" s="5" t="n">
        <v>0.577</v>
      </c>
      <c r="AX46" s="5" t="n">
        <v>0.114</v>
      </c>
      <c r="AY46" s="5" t="n">
        <v>0.529</v>
      </c>
      <c r="AZ46" s="5" t="n">
        <v>1.128</v>
      </c>
      <c r="BA46" s="5" t="n">
        <v>0.02</v>
      </c>
      <c r="BB46" s="5" t="n">
        <v>1</v>
      </c>
      <c r="BC46" s="5" t="n">
        <v>0.458</v>
      </c>
      <c r="BD46" s="5" t="n">
        <v>0.114</v>
      </c>
      <c r="BE46" s="5" t="n">
        <v>0</v>
      </c>
      <c r="BF46" s="5" t="n">
        <v>0.467</v>
      </c>
      <c r="BG46" s="5" t="n">
        <v>0.02</v>
      </c>
      <c r="BH46" s="5" t="n">
        <v>1</v>
      </c>
      <c r="BI46" s="5" t="n">
        <v>0.491</v>
      </c>
      <c r="BJ46" s="5" t="n">
        <v>0.114</v>
      </c>
      <c r="BK46" s="5" t="n">
        <v>0.384</v>
      </c>
      <c r="BL46" s="5" t="n">
        <v>0.893</v>
      </c>
      <c r="BM46" s="5" t="n">
        <v>0.02</v>
      </c>
      <c r="BN46" s="5" t="n">
        <v>1</v>
      </c>
      <c r="BO46" s="5" t="n">
        <v>0</v>
      </c>
      <c r="BP46" s="5" t="n">
        <v>0</v>
      </c>
      <c r="BQ46" s="5" t="n">
        <v>0.276</v>
      </c>
      <c r="BR46" s="5" t="n">
        <v>0</v>
      </c>
      <c r="BS46" s="5" t="n">
        <v>0.833</v>
      </c>
      <c r="BT46" s="5" t="n">
        <v>0</v>
      </c>
      <c r="BU46" s="5" t="n">
        <v>0</v>
      </c>
      <c r="BV46" s="5" t="n">
        <v>0.248</v>
      </c>
      <c r="BW46" s="5" t="n">
        <v>0.02</v>
      </c>
      <c r="BX46" s="5" t="n">
        <v>0.833</v>
      </c>
      <c r="BY46" s="5" t="n">
        <v>11.787</v>
      </c>
      <c r="BZ46" s="5" t="n">
        <v>0</v>
      </c>
      <c r="CA46" s="5" t="n">
        <v>11.787</v>
      </c>
      <c r="CB46" s="5" t="n">
        <v>0</v>
      </c>
      <c r="CC46" s="5" t="n">
        <v>78.125</v>
      </c>
      <c r="CD46" s="5" t="n">
        <v>7.95</v>
      </c>
      <c r="CE46" s="5" t="n">
        <v>0</v>
      </c>
      <c r="CF46" s="5" t="n">
        <v>79.688</v>
      </c>
      <c r="CG46" s="5" t="n">
        <v>0.02</v>
      </c>
      <c r="CH46" s="5" t="n">
        <v>1</v>
      </c>
      <c r="CI46" s="5" t="n">
        <v>0</v>
      </c>
      <c r="CJ46" s="5" t="n">
        <v>0</v>
      </c>
      <c r="CK46" s="5" t="n">
        <v>0</v>
      </c>
      <c r="CL46" s="5" t="n">
        <v>0</v>
      </c>
      <c r="CM46" s="5" t="n">
        <v>0</v>
      </c>
      <c r="CN46" s="5" t="n">
        <v>0</v>
      </c>
      <c r="CO46" s="5" t="n">
        <v>0</v>
      </c>
      <c r="CP46" s="5" t="n">
        <v>0</v>
      </c>
      <c r="CQ46" s="5" t="n">
        <v>1.198</v>
      </c>
      <c r="CR46" s="5" t="n">
        <v>0</v>
      </c>
      <c r="CS46" s="5" t="n">
        <v>4.776</v>
      </c>
      <c r="CT46" s="5" t="n">
        <v>4.753</v>
      </c>
      <c r="CU46" s="5" t="n">
        <v>15.983</v>
      </c>
    </row>
    <row r="47">
      <c r="A47" s="5" t="inlineStr">
        <is>
          <t>ABW2022</t>
        </is>
      </c>
      <c r="B47" s="5" t="inlineStr">
        <is>
          <t>ABW</t>
        </is>
      </c>
      <c r="C47" s="5" t="inlineStr">
        <is>
          <t>ABW</t>
        </is>
      </c>
      <c r="D47" s="5" t="inlineStr">
        <is>
          <t>Aruba</t>
        </is>
      </c>
      <c r="E47" s="5" t="n">
        <v>2022</v>
      </c>
      <c r="F47" s="5" t="n">
        <v>0.015</v>
      </c>
      <c r="G47" s="5" t="n">
        <v>11.72</v>
      </c>
      <c r="H47" s="5" t="n">
        <v>1.235</v>
      </c>
      <c r="I47" s="5" t="n">
        <v>0</v>
      </c>
      <c r="J47" s="5" t="n">
        <v>11.72</v>
      </c>
      <c r="K47" s="5" t="n">
        <v>0</v>
      </c>
      <c r="L47" s="5" t="n">
        <v>1</v>
      </c>
      <c r="M47" s="5" t="n">
        <v>9.782999999999999</v>
      </c>
      <c r="N47" s="5" t="n">
        <v>3.704</v>
      </c>
      <c r="O47" s="5" t="n">
        <v>0</v>
      </c>
      <c r="P47" s="5" t="n">
        <v>9.782999999999999</v>
      </c>
      <c r="Q47" s="5" t="n">
        <v>0</v>
      </c>
      <c r="R47" s="5" t="n">
        <v>1</v>
      </c>
      <c r="S47" s="5" t="n">
        <v>17.893</v>
      </c>
      <c r="T47" s="5" t="n">
        <v>7.408</v>
      </c>
      <c r="U47" s="5" t="n">
        <v>0.02</v>
      </c>
      <c r="V47" s="5" t="n">
        <v>18.162</v>
      </c>
      <c r="W47" s="5" t="n">
        <v>0.015</v>
      </c>
      <c r="X47" s="5" t="n">
        <v>1</v>
      </c>
      <c r="Y47" s="5" t="n">
        <v>6.392</v>
      </c>
      <c r="Z47" s="5" t="n">
        <v>0.86</v>
      </c>
      <c r="AA47" s="5" t="n">
        <v>-4.1</v>
      </c>
      <c r="AB47" s="5" t="n">
        <v>2.292</v>
      </c>
      <c r="AC47" s="5" t="n">
        <v>0</v>
      </c>
      <c r="AD47" s="5" t="n">
        <v>0</v>
      </c>
      <c r="AE47" s="5" t="n">
        <v>7.627</v>
      </c>
      <c r="AF47" s="5" t="n">
        <v>1.786</v>
      </c>
      <c r="AG47" s="5" t="n">
        <v>-5.334</v>
      </c>
      <c r="AH47" s="5" t="n">
        <v>2.292</v>
      </c>
      <c r="AI47" s="5" t="n">
        <v>0</v>
      </c>
      <c r="AJ47" s="5" t="n">
        <v>0</v>
      </c>
      <c r="AK47" s="5" t="n">
        <v>15.035</v>
      </c>
      <c r="AL47" s="5" t="n">
        <v>8.079000000000001</v>
      </c>
      <c r="AM47" s="5" t="n">
        <v>-5.357</v>
      </c>
      <c r="AN47" s="5" t="n">
        <v>9.678000000000001</v>
      </c>
      <c r="AO47" s="5" t="n">
        <v>0</v>
      </c>
      <c r="AP47" s="5" t="n">
        <v>0</v>
      </c>
      <c r="AQ47" s="5" t="n">
        <v>0.896</v>
      </c>
      <c r="AR47" s="5" t="n">
        <v>0.123</v>
      </c>
      <c r="AS47" s="5" t="n">
        <v>0.711</v>
      </c>
      <c r="AT47" s="5" t="n">
        <v>1.607</v>
      </c>
      <c r="AU47" s="5" t="n">
        <v>0</v>
      </c>
      <c r="AV47" s="5" t="n">
        <v>1</v>
      </c>
      <c r="AW47" s="5" t="n">
        <v>0.89</v>
      </c>
      <c r="AX47" s="5" t="n">
        <v>0.123</v>
      </c>
      <c r="AY47" s="5" t="n">
        <v>0.673</v>
      </c>
      <c r="AZ47" s="5" t="n">
        <v>1.586</v>
      </c>
      <c r="BA47" s="5" t="n">
        <v>0.015</v>
      </c>
      <c r="BB47" s="5" t="n">
        <v>1</v>
      </c>
      <c r="BC47" s="5" t="n">
        <v>0.62</v>
      </c>
      <c r="BD47" s="5" t="n">
        <v>0.123</v>
      </c>
      <c r="BE47" s="5" t="n">
        <v>0.001</v>
      </c>
      <c r="BF47" s="5" t="n">
        <v>0.63</v>
      </c>
      <c r="BG47" s="5" t="n">
        <v>0.015</v>
      </c>
      <c r="BH47" s="5" t="n">
        <v>1</v>
      </c>
      <c r="BI47" s="5" t="n">
        <v>0.608</v>
      </c>
      <c r="BJ47" s="5" t="n">
        <v>0.123</v>
      </c>
      <c r="BK47" s="5" t="n">
        <v>0.728</v>
      </c>
      <c r="BL47" s="5" t="n">
        <v>1.355</v>
      </c>
      <c r="BM47" s="5" t="n">
        <v>0.015</v>
      </c>
      <c r="BN47" s="5" t="n">
        <v>1</v>
      </c>
      <c r="BO47" s="5" t="n">
        <v>0</v>
      </c>
      <c r="BP47" s="5" t="n">
        <v>0</v>
      </c>
      <c r="BQ47" s="5" t="n">
        <v>0.309</v>
      </c>
      <c r="BR47" s="5" t="n">
        <v>0</v>
      </c>
      <c r="BS47" s="5" t="n">
        <v>0.833</v>
      </c>
      <c r="BT47" s="5" t="n">
        <v>0</v>
      </c>
      <c r="BU47" s="5" t="n">
        <v>0</v>
      </c>
      <c r="BV47" s="5" t="n">
        <v>0.259</v>
      </c>
      <c r="BW47" s="5" t="n">
        <v>0.015</v>
      </c>
      <c r="BX47" s="5" t="n">
        <v>0.833</v>
      </c>
      <c r="BY47" s="5" t="n">
        <v>12.729</v>
      </c>
      <c r="BZ47" s="5" t="n">
        <v>0</v>
      </c>
      <c r="CA47" s="5" t="n">
        <v>12.729</v>
      </c>
      <c r="CB47" s="5" t="n">
        <v>0</v>
      </c>
      <c r="CC47" s="5" t="n">
        <v>97.90000000000001</v>
      </c>
      <c r="CD47" s="5" t="n">
        <v>7.95</v>
      </c>
      <c r="CE47" s="5" t="n">
        <v>0.109</v>
      </c>
      <c r="CF47" s="5" t="n">
        <v>99.36799999999999</v>
      </c>
      <c r="CG47" s="5" t="n">
        <v>0.015</v>
      </c>
      <c r="CH47" s="5" t="n">
        <v>1</v>
      </c>
      <c r="CI47" s="5" t="n">
        <v>0</v>
      </c>
      <c r="CJ47" s="5" t="n">
        <v>0</v>
      </c>
      <c r="CK47" s="5" t="n">
        <v>0</v>
      </c>
      <c r="CL47" s="5" t="n">
        <v>0</v>
      </c>
      <c r="CM47" s="5" t="n">
        <v>0</v>
      </c>
      <c r="CN47" s="5" t="n">
        <v>0</v>
      </c>
      <c r="CO47" s="5" t="n">
        <v>0</v>
      </c>
      <c r="CP47" s="5" t="n">
        <v>0</v>
      </c>
      <c r="CQ47" s="5" t="n">
        <v>1.294</v>
      </c>
      <c r="CR47" s="5" t="n">
        <v>0</v>
      </c>
      <c r="CS47" s="5" t="n">
        <v>5.158</v>
      </c>
      <c r="CT47" s="5" t="n">
        <v>10.485</v>
      </c>
      <c r="CU47" s="5" t="n">
        <v>29.494</v>
      </c>
    </row>
    <row r="48">
      <c r="A48" s="5" t="inlineStr">
        <is>
          <t>ABW2023</t>
        </is>
      </c>
      <c r="B48" s="5" t="inlineStr">
        <is>
          <t>ABW</t>
        </is>
      </c>
      <c r="C48" s="5" t="inlineStr">
        <is>
          <t>ABW</t>
        </is>
      </c>
      <c r="D48" s="5" t="inlineStr">
        <is>
          <t>Aruba</t>
        </is>
      </c>
      <c r="E48" s="5" t="n">
        <v>2023</v>
      </c>
      <c r="F48" s="5" t="n">
        <v>0.015</v>
      </c>
      <c r="G48" s="5" t="n">
        <v>6.147</v>
      </c>
      <c r="H48" s="5" t="n">
        <v>1.286</v>
      </c>
      <c r="I48" s="5" t="n">
        <v>0</v>
      </c>
      <c r="J48" s="5" t="n">
        <v>6.147</v>
      </c>
      <c r="K48" s="5" t="n">
        <v>0</v>
      </c>
      <c r="L48" s="5" t="n">
        <v>1</v>
      </c>
      <c r="M48" s="5" t="n">
        <v>7.886</v>
      </c>
      <c r="N48" s="5" t="n">
        <v>3.857</v>
      </c>
      <c r="O48" s="5" t="n">
        <v>0</v>
      </c>
      <c r="P48" s="5" t="n">
        <v>7.886</v>
      </c>
      <c r="Q48" s="5" t="n">
        <v>0</v>
      </c>
      <c r="R48" s="5" t="n">
        <v>1</v>
      </c>
      <c r="S48" s="5" t="n">
        <v>12.575</v>
      </c>
      <c r="T48" s="5" t="n">
        <v>7.714</v>
      </c>
      <c r="U48" s="5" t="n">
        <v>0.021</v>
      </c>
      <c r="V48" s="5" t="n">
        <v>12.764</v>
      </c>
      <c r="W48" s="5" t="n">
        <v>0.015</v>
      </c>
      <c r="X48" s="5" t="n">
        <v>1</v>
      </c>
      <c r="Y48" s="5" t="n">
        <v>6.656</v>
      </c>
      <c r="Z48" s="5" t="n">
        <v>0.895</v>
      </c>
      <c r="AA48" s="5" t="n">
        <v>-4.269</v>
      </c>
      <c r="AB48" s="5" t="n">
        <v>2.387</v>
      </c>
      <c r="AC48" s="5" t="n">
        <v>0</v>
      </c>
      <c r="AD48" s="5" t="n">
        <v>0</v>
      </c>
      <c r="AE48" s="5" t="n">
        <v>7.942</v>
      </c>
      <c r="AF48" s="5" t="n">
        <v>1.86</v>
      </c>
      <c r="AG48" s="5" t="n">
        <v>-5.555</v>
      </c>
      <c r="AH48" s="5" t="n">
        <v>2.387</v>
      </c>
      <c r="AI48" s="5" t="n">
        <v>0</v>
      </c>
      <c r="AJ48" s="5" t="n">
        <v>0</v>
      </c>
      <c r="AK48" s="5" t="n">
        <v>15.656</v>
      </c>
      <c r="AL48" s="5" t="n">
        <v>8.412000000000001</v>
      </c>
      <c r="AM48" s="5" t="n">
        <v>-5.578</v>
      </c>
      <c r="AN48" s="5" t="n">
        <v>10.078</v>
      </c>
      <c r="AO48" s="5" t="n">
        <v>0</v>
      </c>
      <c r="AP48" s="5" t="n">
        <v>0</v>
      </c>
      <c r="AQ48" s="5" t="n">
        <v>0.791</v>
      </c>
      <c r="AR48" s="5" t="n">
        <v>0.129</v>
      </c>
      <c r="AS48" s="5" t="n">
        <v>0.731</v>
      </c>
      <c r="AT48" s="5" t="n">
        <v>1.522</v>
      </c>
      <c r="AU48" s="5" t="n">
        <v>0</v>
      </c>
      <c r="AV48" s="5" t="n">
        <v>1</v>
      </c>
      <c r="AW48" s="5" t="n">
        <v>0.618</v>
      </c>
      <c r="AX48" s="5" t="n">
        <v>0.129</v>
      </c>
      <c r="AY48" s="5" t="n">
        <v>0.8</v>
      </c>
      <c r="AZ48" s="5" t="n">
        <v>1.439</v>
      </c>
      <c r="BA48" s="5" t="n">
        <v>0.015</v>
      </c>
      <c r="BB48" s="5" t="n">
        <v>1</v>
      </c>
      <c r="BC48" s="5" t="n">
        <v>0.554</v>
      </c>
      <c r="BD48" s="5" t="n">
        <v>0.129</v>
      </c>
      <c r="BE48" s="5" t="n">
        <v>0.001</v>
      </c>
      <c r="BF48" s="5" t="n">
        <v>0.5629999999999999</v>
      </c>
      <c r="BG48" s="5" t="n">
        <v>0.015</v>
      </c>
      <c r="BH48" s="5" t="n">
        <v>1</v>
      </c>
      <c r="BI48" s="5" t="n">
        <v>0.5570000000000001</v>
      </c>
      <c r="BJ48" s="5" t="n">
        <v>0.129</v>
      </c>
      <c r="BK48" s="5" t="n">
        <v>0.65</v>
      </c>
      <c r="BL48" s="5" t="n">
        <v>1.225</v>
      </c>
      <c r="BM48" s="5" t="n">
        <v>0.015</v>
      </c>
      <c r="BN48" s="5" t="n">
        <v>1</v>
      </c>
      <c r="BO48" s="5" t="n">
        <v>0</v>
      </c>
      <c r="BP48" s="5" t="n">
        <v>0</v>
      </c>
      <c r="BQ48" s="5" t="n">
        <v>0.33</v>
      </c>
      <c r="BR48" s="5" t="n">
        <v>0</v>
      </c>
      <c r="BS48" s="5" t="n">
        <v>0.833</v>
      </c>
      <c r="BT48" s="5" t="n">
        <v>0</v>
      </c>
      <c r="BU48" s="5" t="n">
        <v>0</v>
      </c>
      <c r="BV48" s="5" t="n">
        <v>0.283</v>
      </c>
      <c r="BW48" s="5" t="n">
        <v>0.015</v>
      </c>
      <c r="BX48" s="5" t="n">
        <v>0.833</v>
      </c>
      <c r="BY48" s="5" t="n">
        <v>13.254</v>
      </c>
      <c r="BZ48" s="5" t="n">
        <v>0</v>
      </c>
      <c r="CA48" s="5" t="n">
        <v>13.254</v>
      </c>
      <c r="CB48" s="5" t="n">
        <v>0</v>
      </c>
      <c r="CC48" s="5" t="n">
        <v>83.248</v>
      </c>
      <c r="CD48" s="5" t="n">
        <v>7.95</v>
      </c>
      <c r="CE48" s="5" t="n">
        <v>0.138</v>
      </c>
      <c r="CF48" s="5" t="n">
        <v>84.497</v>
      </c>
      <c r="CG48" s="5" t="n">
        <v>0.015</v>
      </c>
      <c r="CH48" s="5" t="n">
        <v>1</v>
      </c>
      <c r="CI48" s="5" t="n">
        <v>0</v>
      </c>
      <c r="CJ48" s="5" t="n">
        <v>0</v>
      </c>
      <c r="CK48" s="5" t="n">
        <v>0</v>
      </c>
      <c r="CL48" s="5" t="n">
        <v>0</v>
      </c>
      <c r="CM48" s="5" t="n">
        <v>0</v>
      </c>
      <c r="CN48" s="5" t="n">
        <v>0</v>
      </c>
      <c r="CO48" s="5" t="n">
        <v>0</v>
      </c>
      <c r="CP48" s="5" t="n">
        <v>0</v>
      </c>
      <c r="CQ48" s="5" t="n">
        <v>1.348</v>
      </c>
      <c r="CR48" s="5" t="n">
        <v>0</v>
      </c>
      <c r="CS48" s="5" t="n">
        <v>5.37</v>
      </c>
      <c r="CT48" s="5" t="n">
        <v>4.861</v>
      </c>
      <c r="CU48" s="5" t="n">
        <v>11.192</v>
      </c>
    </row>
    <row r="49">
      <c r="A49" s="5" t="inlineStr">
        <is>
          <t>ABW2024</t>
        </is>
      </c>
      <c r="B49" s="5" t="inlineStr">
        <is>
          <t>ABW</t>
        </is>
      </c>
      <c r="C49" s="5" t="inlineStr">
        <is>
          <t>ABW</t>
        </is>
      </c>
      <c r="D49" s="5" t="inlineStr">
        <is>
          <t>Aruba</t>
        </is>
      </c>
      <c r="E49" s="5" t="n">
        <v>2024</v>
      </c>
      <c r="F49" s="5" t="n">
        <v>0.015</v>
      </c>
      <c r="G49" s="5" t="n">
        <v>5.575</v>
      </c>
      <c r="H49" s="5" t="n">
        <v>1.324</v>
      </c>
      <c r="I49" s="5" t="n">
        <v>0</v>
      </c>
      <c r="J49" s="5" t="n">
        <v>5.575</v>
      </c>
      <c r="K49" s="5" t="n">
        <v>0</v>
      </c>
      <c r="L49" s="5" t="n">
        <v>1</v>
      </c>
      <c r="M49" s="5" t="n">
        <v>7.124</v>
      </c>
      <c r="N49" s="5" t="n">
        <v>3.971</v>
      </c>
      <c r="O49" s="5" t="n">
        <v>0</v>
      </c>
      <c r="P49" s="5" t="n">
        <v>7.124</v>
      </c>
      <c r="Q49" s="5" t="n">
        <v>0</v>
      </c>
      <c r="R49" s="5" t="n">
        <v>1</v>
      </c>
      <c r="S49" s="5" t="n">
        <v>12.193</v>
      </c>
      <c r="T49" s="5" t="n">
        <v>7.942</v>
      </c>
      <c r="U49" s="5" t="n">
        <v>0.025</v>
      </c>
      <c r="V49" s="5" t="n">
        <v>12.376</v>
      </c>
      <c r="W49" s="5" t="n">
        <v>0.015</v>
      </c>
      <c r="X49" s="5" t="n">
        <v>1</v>
      </c>
      <c r="Y49" s="5" t="n">
        <v>6.853</v>
      </c>
      <c r="Z49" s="5" t="n">
        <v>0.922</v>
      </c>
      <c r="AA49" s="5" t="n">
        <v>-4.395</v>
      </c>
      <c r="AB49" s="5" t="n">
        <v>2.458</v>
      </c>
      <c r="AC49" s="5" t="n">
        <v>0</v>
      </c>
      <c r="AD49" s="5" t="n">
        <v>0</v>
      </c>
      <c r="AE49" s="5" t="n">
        <v>8.176</v>
      </c>
      <c r="AF49" s="5" t="n">
        <v>1.915</v>
      </c>
      <c r="AG49" s="5" t="n">
        <v>-5.719</v>
      </c>
      <c r="AH49" s="5" t="n">
        <v>2.458</v>
      </c>
      <c r="AI49" s="5" t="n">
        <v>0</v>
      </c>
      <c r="AJ49" s="5" t="n">
        <v>0</v>
      </c>
      <c r="AK49" s="5" t="n">
        <v>16.118</v>
      </c>
      <c r="AL49" s="5" t="n">
        <v>8.66</v>
      </c>
      <c r="AM49" s="5" t="n">
        <v>-5.743</v>
      </c>
      <c r="AN49" s="5" t="n">
        <v>10.375</v>
      </c>
      <c r="AO49" s="5" t="n">
        <v>0</v>
      </c>
      <c r="AP49" s="5" t="n">
        <v>0</v>
      </c>
      <c r="AQ49" s="5" t="n">
        <v>0.756</v>
      </c>
      <c r="AR49" s="5" t="n">
        <v>0.132</v>
      </c>
      <c r="AS49" s="5" t="n">
        <v>0.706</v>
      </c>
      <c r="AT49" s="5" t="n">
        <v>1.462</v>
      </c>
      <c r="AU49" s="5" t="n">
        <v>0</v>
      </c>
      <c r="AV49" s="5" t="n">
        <v>1</v>
      </c>
      <c r="AW49" s="5" t="n">
        <v>0.655</v>
      </c>
      <c r="AX49" s="5" t="n">
        <v>0.132</v>
      </c>
      <c r="AY49" s="5" t="n">
        <v>0.666</v>
      </c>
      <c r="AZ49" s="5" t="n">
        <v>1.341</v>
      </c>
      <c r="BA49" s="5" t="n">
        <v>0.015</v>
      </c>
      <c r="BB49" s="5" t="n">
        <v>1</v>
      </c>
      <c r="BC49" s="5" t="n">
        <v>0.534</v>
      </c>
      <c r="BD49" s="5" t="n">
        <v>0.132</v>
      </c>
      <c r="BE49" s="5" t="n">
        <v>0.001</v>
      </c>
      <c r="BF49" s="5" t="n">
        <v>0.542</v>
      </c>
      <c r="BG49" s="5" t="n">
        <v>0.015</v>
      </c>
      <c r="BH49" s="5" t="n">
        <v>1</v>
      </c>
      <c r="BI49" s="5" t="n">
        <v>0.5679999999999999</v>
      </c>
      <c r="BJ49" s="5" t="n">
        <v>0.132</v>
      </c>
      <c r="BK49" s="5" t="n">
        <v>0.525</v>
      </c>
      <c r="BL49" s="5" t="n">
        <v>1.109</v>
      </c>
      <c r="BM49" s="5" t="n">
        <v>0.015</v>
      </c>
      <c r="BN49" s="5" t="n">
        <v>1</v>
      </c>
      <c r="BO49" s="5" t="n">
        <v>0</v>
      </c>
      <c r="BP49" s="5" t="n">
        <v>0</v>
      </c>
      <c r="BQ49" s="5" t="n">
        <v>0.318</v>
      </c>
      <c r="BR49" s="5" t="n">
        <v>0</v>
      </c>
      <c r="BS49" s="5" t="n">
        <v>0.833</v>
      </c>
      <c r="BT49" s="5" t="n">
        <v>0</v>
      </c>
      <c r="BU49" s="5" t="n">
        <v>0</v>
      </c>
      <c r="BV49" s="5" t="n">
        <v>0.275</v>
      </c>
      <c r="BW49" s="5" t="n">
        <v>0.015</v>
      </c>
      <c r="BX49" s="5" t="n">
        <v>0.833</v>
      </c>
      <c r="BY49" s="5" t="n">
        <v>13.646</v>
      </c>
      <c r="BZ49" s="5" t="n">
        <v>0</v>
      </c>
      <c r="CA49" s="5" t="n">
        <v>13.646</v>
      </c>
      <c r="CB49" s="5" t="n">
        <v>0</v>
      </c>
      <c r="CC49" s="5" t="n">
        <v>82.58799999999999</v>
      </c>
      <c r="CD49" s="5" t="n">
        <v>7.95</v>
      </c>
      <c r="CE49" s="5" t="n">
        <v>0.169</v>
      </c>
      <c r="CF49" s="5" t="n">
        <v>83.827</v>
      </c>
      <c r="CG49" s="5" t="n">
        <v>0.015</v>
      </c>
      <c r="CH49" s="5" t="n">
        <v>1</v>
      </c>
      <c r="CI49" s="5" t="n">
        <v>0</v>
      </c>
      <c r="CJ49" s="5" t="n">
        <v>0</v>
      </c>
      <c r="CK49" s="5" t="n">
        <v>0</v>
      </c>
      <c r="CL49" s="5" t="n">
        <v>0</v>
      </c>
      <c r="CM49" s="5" t="n">
        <v>0</v>
      </c>
      <c r="CN49" s="5" t="n">
        <v>0</v>
      </c>
      <c r="CO49" s="5" t="n">
        <v>0</v>
      </c>
      <c r="CP49" s="5" t="n">
        <v>0</v>
      </c>
      <c r="CQ49" s="5" t="n">
        <v>1.387</v>
      </c>
      <c r="CR49" s="5" t="n">
        <v>0</v>
      </c>
      <c r="CS49" s="5" t="n">
        <v>5.529</v>
      </c>
      <c r="CT49" s="5" t="n">
        <v>4.251</v>
      </c>
      <c r="CU49" s="5" t="n">
        <v>10.123</v>
      </c>
    </row>
    <row r="50">
      <c r="A50" s="5" t="inlineStr">
        <is>
          <t>AUS2021</t>
        </is>
      </c>
      <c r="B50" s="5" t="inlineStr">
        <is>
          <t>AUS</t>
        </is>
      </c>
      <c r="C50" s="5" t="inlineStr">
        <is>
          <t>AUS</t>
        </is>
      </c>
      <c r="D50" s="5" t="inlineStr">
        <is>
          <t>Australia</t>
        </is>
      </c>
      <c r="E50" s="5" t="n">
        <v>2021</v>
      </c>
      <c r="F50" s="5" t="n">
        <v>0.1</v>
      </c>
      <c r="G50" s="5" t="n">
        <v>1.895</v>
      </c>
      <c r="H50" s="5" t="n">
        <v>0.576</v>
      </c>
      <c r="I50" s="5" t="n">
        <v>0</v>
      </c>
      <c r="J50" s="5" t="n">
        <v>1.895</v>
      </c>
      <c r="K50" s="5" t="n">
        <v>0</v>
      </c>
      <c r="L50" s="5" t="n">
        <v>1</v>
      </c>
      <c r="M50" s="5" t="n">
        <v>3.047</v>
      </c>
      <c r="N50" s="5" t="n">
        <v>1.728</v>
      </c>
      <c r="O50" s="5" t="n">
        <v>0</v>
      </c>
      <c r="P50" s="5" t="n">
        <v>3.047</v>
      </c>
      <c r="Q50" s="5" t="n">
        <v>0</v>
      </c>
      <c r="R50" s="5" t="n">
        <v>1</v>
      </c>
      <c r="S50" s="5" t="n">
        <v>4.774</v>
      </c>
      <c r="T50" s="5" t="n">
        <v>3.455</v>
      </c>
      <c r="U50" s="5" t="n">
        <v>0</v>
      </c>
      <c r="V50" s="5" t="n">
        <v>5.252</v>
      </c>
      <c r="W50" s="5" t="n">
        <v>0.1</v>
      </c>
      <c r="X50" s="5" t="n">
        <v>1</v>
      </c>
      <c r="Y50" s="5" t="n">
        <v>7.323</v>
      </c>
      <c r="Z50" s="5" t="n">
        <v>0.641</v>
      </c>
      <c r="AA50" s="5" t="n">
        <v>0</v>
      </c>
      <c r="AB50" s="5" t="n">
        <v>7.323</v>
      </c>
      <c r="AC50" s="5" t="n">
        <v>0</v>
      </c>
      <c r="AD50" s="5" t="n">
        <v>1</v>
      </c>
      <c r="AE50" s="5" t="n">
        <v>8.465999999999999</v>
      </c>
      <c r="AF50" s="5" t="n">
        <v>1.283</v>
      </c>
      <c r="AG50" s="5" t="n">
        <v>0</v>
      </c>
      <c r="AH50" s="5" t="n">
        <v>8.465999999999999</v>
      </c>
      <c r="AI50" s="5" t="n">
        <v>0</v>
      </c>
      <c r="AJ50" s="5" t="n">
        <v>1</v>
      </c>
      <c r="AK50" s="5" t="n">
        <v>15.326</v>
      </c>
      <c r="AL50" s="5" t="n">
        <v>5.132</v>
      </c>
      <c r="AM50" s="5" t="n">
        <v>-0.265</v>
      </c>
      <c r="AN50" s="5" t="n">
        <v>16.568</v>
      </c>
      <c r="AO50" s="5" t="n">
        <v>0.1</v>
      </c>
      <c r="AP50" s="5" t="n">
        <v>1</v>
      </c>
      <c r="AQ50" s="5" t="n">
        <v>0.621</v>
      </c>
      <c r="AR50" s="5" t="n">
        <v>0.114</v>
      </c>
      <c r="AS50" s="5" t="n">
        <v>0.396</v>
      </c>
      <c r="AT50" s="5" t="n">
        <v>1.119</v>
      </c>
      <c r="AU50" s="5" t="n">
        <v>0.1</v>
      </c>
      <c r="AV50" s="5" t="n">
        <v>1</v>
      </c>
      <c r="AW50" s="5" t="n">
        <v>0.593</v>
      </c>
      <c r="AX50" s="5" t="n">
        <v>0.114</v>
      </c>
      <c r="AY50" s="5" t="n">
        <v>0.382</v>
      </c>
      <c r="AZ50" s="5" t="n">
        <v>1.073</v>
      </c>
      <c r="BA50" s="5" t="n">
        <v>0.1</v>
      </c>
      <c r="BB50" s="5" t="n">
        <v>1</v>
      </c>
      <c r="BC50" s="5" t="n">
        <v>0.44</v>
      </c>
      <c r="BD50" s="5" t="n">
        <v>0.114</v>
      </c>
      <c r="BE50" s="5" t="n">
        <v>0.131</v>
      </c>
      <c r="BF50" s="5" t="n">
        <v>0.628</v>
      </c>
      <c r="BG50" s="5" t="n">
        <v>0.1</v>
      </c>
      <c r="BH50" s="5" t="n">
        <v>1</v>
      </c>
      <c r="BI50" s="5" t="n">
        <v>0.5600000000000001</v>
      </c>
      <c r="BJ50" s="5" t="n">
        <v>0.114</v>
      </c>
      <c r="BK50" s="5" t="n">
        <v>0.027</v>
      </c>
      <c r="BL50" s="5" t="n">
        <v>0.646</v>
      </c>
      <c r="BM50" s="5" t="n">
        <v>0.1</v>
      </c>
      <c r="BN50" s="5" t="n">
        <v>1</v>
      </c>
      <c r="BO50" s="5" t="n">
        <v>0</v>
      </c>
      <c r="BP50" s="5" t="n">
        <v>0</v>
      </c>
      <c r="BQ50" s="5" t="n">
        <v>0.163</v>
      </c>
      <c r="BR50" s="5" t="n">
        <v>0</v>
      </c>
      <c r="BS50" s="5" t="n">
        <v>1</v>
      </c>
      <c r="BT50" s="5" t="n">
        <v>0</v>
      </c>
      <c r="BU50" s="5" t="n">
        <v>0</v>
      </c>
      <c r="BV50" s="5" t="n">
        <v>0.236</v>
      </c>
      <c r="BW50" s="5" t="n">
        <v>0.1</v>
      </c>
      <c r="BX50" s="5" t="n">
        <v>1</v>
      </c>
      <c r="BY50" s="5" t="n">
        <v>11.787</v>
      </c>
      <c r="BZ50" s="5" t="n">
        <v>0</v>
      </c>
      <c r="CA50" s="5" t="n">
        <v>11.787</v>
      </c>
      <c r="CB50" s="5" t="n">
        <v>0</v>
      </c>
      <c r="CC50" s="5" t="n">
        <v>81.69499999999999</v>
      </c>
      <c r="CD50" s="5" t="n">
        <v>7.95</v>
      </c>
      <c r="CE50" s="5" t="n">
        <v>0</v>
      </c>
      <c r="CF50" s="5" t="n">
        <v>89.86499999999999</v>
      </c>
      <c r="CG50" s="5" t="n">
        <v>0.1</v>
      </c>
      <c r="CH50" s="5" t="n">
        <v>1</v>
      </c>
      <c r="CI50" s="5" t="n">
        <v>0</v>
      </c>
      <c r="CJ50" s="5" t="n">
        <v>0</v>
      </c>
      <c r="CK50" s="5" t="n">
        <v>0</v>
      </c>
      <c r="CL50" s="5" t="n">
        <v>0.001</v>
      </c>
      <c r="CM50" s="5" t="n">
        <v>0</v>
      </c>
      <c r="CN50" s="5" t="n">
        <v>0.021</v>
      </c>
      <c r="CO50" s="5" t="n">
        <v>2.211</v>
      </c>
      <c r="CP50" s="5" t="n">
        <v>0.993</v>
      </c>
      <c r="CQ50" s="5" t="n">
        <v>1.296</v>
      </c>
      <c r="CR50" s="5" t="n">
        <v>0</v>
      </c>
      <c r="CS50" s="5" t="n">
        <v>4.005</v>
      </c>
      <c r="CT50" s="5" t="n">
        <v>4.466</v>
      </c>
      <c r="CU50" s="5" t="n">
        <v>6.18</v>
      </c>
    </row>
    <row r="51">
      <c r="A51" s="5" t="inlineStr">
        <is>
          <t>AUS2022</t>
        </is>
      </c>
      <c r="B51" s="5" t="inlineStr">
        <is>
          <t>AUS</t>
        </is>
      </c>
      <c r="C51" s="5" t="inlineStr">
        <is>
          <t>AUS</t>
        </is>
      </c>
      <c r="D51" s="5" t="inlineStr">
        <is>
          <t>Australia</t>
        </is>
      </c>
      <c r="E51" s="5" t="n">
        <v>2022</v>
      </c>
      <c r="F51" s="5" t="n">
        <v>0.1</v>
      </c>
      <c r="G51" s="5" t="n">
        <v>2.107</v>
      </c>
      <c r="H51" s="5" t="n">
        <v>0.623</v>
      </c>
      <c r="I51" s="5" t="n">
        <v>0</v>
      </c>
      <c r="J51" s="5" t="n">
        <v>2.107</v>
      </c>
      <c r="K51" s="5" t="n">
        <v>0</v>
      </c>
      <c r="L51" s="5" t="n">
        <v>1</v>
      </c>
      <c r="M51" s="5" t="n">
        <v>3.354</v>
      </c>
      <c r="N51" s="5" t="n">
        <v>1.87</v>
      </c>
      <c r="O51" s="5" t="n">
        <v>0</v>
      </c>
      <c r="P51" s="5" t="n">
        <v>3.354</v>
      </c>
      <c r="Q51" s="5" t="n">
        <v>0</v>
      </c>
      <c r="R51" s="5" t="n">
        <v>1</v>
      </c>
      <c r="S51" s="5" t="n">
        <v>5.223</v>
      </c>
      <c r="T51" s="5" t="n">
        <v>3.74</v>
      </c>
      <c r="U51" s="5" t="n">
        <v>0.039</v>
      </c>
      <c r="V51" s="5" t="n">
        <v>5.746</v>
      </c>
      <c r="W51" s="5" t="n">
        <v>0.1</v>
      </c>
      <c r="X51" s="5" t="n">
        <v>1</v>
      </c>
      <c r="Y51" s="5" t="n">
        <v>12.903</v>
      </c>
      <c r="Z51" s="5" t="n">
        <v>0.676</v>
      </c>
      <c r="AA51" s="5" t="n">
        <v>0</v>
      </c>
      <c r="AB51" s="5" t="n">
        <v>12.903</v>
      </c>
      <c r="AC51" s="5" t="n">
        <v>0</v>
      </c>
      <c r="AD51" s="5" t="n">
        <v>1</v>
      </c>
      <c r="AE51" s="5" t="n">
        <v>14.138</v>
      </c>
      <c r="AF51" s="5" t="n">
        <v>1.352</v>
      </c>
      <c r="AG51" s="5" t="n">
        <v>0</v>
      </c>
      <c r="AH51" s="5" t="n">
        <v>14.138</v>
      </c>
      <c r="AI51" s="5" t="n">
        <v>0</v>
      </c>
      <c r="AJ51" s="5" t="n">
        <v>1</v>
      </c>
      <c r="AK51" s="5" t="n">
        <v>21.546</v>
      </c>
      <c r="AL51" s="5" t="n">
        <v>5.408</v>
      </c>
      <c r="AM51" s="5" t="n">
        <v>0.026</v>
      </c>
      <c r="AN51" s="5" t="n">
        <v>23.555</v>
      </c>
      <c r="AO51" s="5" t="n">
        <v>0.1</v>
      </c>
      <c r="AP51" s="5" t="n">
        <v>1</v>
      </c>
      <c r="AQ51" s="5" t="n">
        <v>0.847</v>
      </c>
      <c r="AR51" s="5" t="n">
        <v>0.123</v>
      </c>
      <c r="AS51" s="5" t="n">
        <v>0.304</v>
      </c>
      <c r="AT51" s="5" t="n">
        <v>1.266</v>
      </c>
      <c r="AU51" s="5" t="n">
        <v>0.1</v>
      </c>
      <c r="AV51" s="5" t="n">
        <v>1</v>
      </c>
      <c r="AW51" s="5" t="n">
        <v>0.947</v>
      </c>
      <c r="AX51" s="5" t="n">
        <v>0.123</v>
      </c>
      <c r="AY51" s="5" t="n">
        <v>0.343</v>
      </c>
      <c r="AZ51" s="5" t="n">
        <v>1.419</v>
      </c>
      <c r="BA51" s="5" t="n">
        <v>0.1</v>
      </c>
      <c r="BB51" s="5" t="n">
        <v>1</v>
      </c>
      <c r="BC51" s="5" t="n">
        <v>0.589</v>
      </c>
      <c r="BD51" s="5" t="n">
        <v>0.123</v>
      </c>
      <c r="BE51" s="5" t="n">
        <v>0.031</v>
      </c>
      <c r="BF51" s="5" t="n">
        <v>0.681</v>
      </c>
      <c r="BG51" s="5" t="n">
        <v>0.1</v>
      </c>
      <c r="BH51" s="5" t="n">
        <v>1</v>
      </c>
      <c r="BI51" s="5" t="n">
        <v>0.6889999999999999</v>
      </c>
      <c r="BJ51" s="5" t="n">
        <v>0.123</v>
      </c>
      <c r="BK51" s="5" t="n">
        <v>0.031</v>
      </c>
      <c r="BL51" s="5" t="n">
        <v>0.786</v>
      </c>
      <c r="BM51" s="5" t="n">
        <v>0.1</v>
      </c>
      <c r="BN51" s="5" t="n">
        <v>1</v>
      </c>
      <c r="BO51" s="5" t="n">
        <v>0</v>
      </c>
      <c r="BP51" s="5" t="n">
        <v>0</v>
      </c>
      <c r="BQ51" s="5" t="n">
        <v>0.27</v>
      </c>
      <c r="BR51" s="5" t="n">
        <v>0</v>
      </c>
      <c r="BS51" s="5" t="n">
        <v>1</v>
      </c>
      <c r="BT51" s="5" t="n">
        <v>0</v>
      </c>
      <c r="BU51" s="5" t="n">
        <v>0</v>
      </c>
      <c r="BV51" s="5" t="n">
        <v>0.233</v>
      </c>
      <c r="BW51" s="5" t="n">
        <v>0.1</v>
      </c>
      <c r="BX51" s="5" t="n">
        <v>1</v>
      </c>
      <c r="BY51" s="5" t="n">
        <v>12.729</v>
      </c>
      <c r="BZ51" s="5" t="n">
        <v>0</v>
      </c>
      <c r="CA51" s="5" t="n">
        <v>12.729</v>
      </c>
      <c r="CB51" s="5" t="n">
        <v>0</v>
      </c>
      <c r="CC51" s="5" t="n">
        <v>102.477</v>
      </c>
      <c r="CD51" s="5" t="n">
        <v>7.95</v>
      </c>
      <c r="CE51" s="5" t="n">
        <v>0.758</v>
      </c>
      <c r="CF51" s="5" t="n">
        <v>112.724</v>
      </c>
      <c r="CG51" s="5" t="n">
        <v>0.1</v>
      </c>
      <c r="CH51" s="5" t="n">
        <v>1</v>
      </c>
      <c r="CI51" s="5" t="n">
        <v>0</v>
      </c>
      <c r="CJ51" s="5" t="n">
        <v>0</v>
      </c>
      <c r="CK51" s="5" t="n">
        <v>0</v>
      </c>
      <c r="CL51" s="5" t="n">
        <v>0.001</v>
      </c>
      <c r="CM51" s="5" t="n">
        <v>0</v>
      </c>
      <c r="CN51" s="5" t="n">
        <v>0.023</v>
      </c>
      <c r="CO51" s="5" t="n">
        <v>2.308</v>
      </c>
      <c r="CP51" s="5" t="n">
        <v>0.99</v>
      </c>
      <c r="CQ51" s="5" t="n">
        <v>1.399</v>
      </c>
      <c r="CR51" s="5" t="n">
        <v>0</v>
      </c>
      <c r="CS51" s="5" t="n">
        <v>4.325</v>
      </c>
      <c r="CT51" s="5" t="n">
        <v>10.204</v>
      </c>
      <c r="CU51" s="5" t="n">
        <v>11.669</v>
      </c>
    </row>
    <row r="52">
      <c r="A52" s="5" t="inlineStr">
        <is>
          <t>AUS2023</t>
        </is>
      </c>
      <c r="B52" s="5" t="inlineStr">
        <is>
          <t>AUS</t>
        </is>
      </c>
      <c r="C52" s="5" t="inlineStr">
        <is>
          <t>AUS</t>
        </is>
      </c>
      <c r="D52" s="5" t="inlineStr">
        <is>
          <t>Australia</t>
        </is>
      </c>
      <c r="E52" s="5" t="n">
        <v>2023</v>
      </c>
      <c r="F52" s="5" t="n">
        <v>0.1</v>
      </c>
      <c r="G52" s="5" t="n">
        <v>2.147</v>
      </c>
      <c r="H52" s="5" t="n">
        <v>0.649</v>
      </c>
      <c r="I52" s="5" t="n">
        <v>0</v>
      </c>
      <c r="J52" s="5" t="n">
        <v>2.147</v>
      </c>
      <c r="K52" s="5" t="n">
        <v>0</v>
      </c>
      <c r="L52" s="5" t="n">
        <v>1</v>
      </c>
      <c r="M52" s="5" t="n">
        <v>3.45</v>
      </c>
      <c r="N52" s="5" t="n">
        <v>1.948</v>
      </c>
      <c r="O52" s="5" t="n">
        <v>0</v>
      </c>
      <c r="P52" s="5" t="n">
        <v>3.45</v>
      </c>
      <c r="Q52" s="5" t="n">
        <v>0</v>
      </c>
      <c r="R52" s="5" t="n">
        <v>1</v>
      </c>
      <c r="S52" s="5" t="n">
        <v>5.394</v>
      </c>
      <c r="T52" s="5" t="n">
        <v>3.896</v>
      </c>
      <c r="U52" s="5" t="n">
        <v>0.06</v>
      </c>
      <c r="V52" s="5" t="n">
        <v>5.934</v>
      </c>
      <c r="W52" s="5" t="n">
        <v>0.1</v>
      </c>
      <c r="X52" s="5" t="n">
        <v>1</v>
      </c>
      <c r="Y52" s="5" t="n">
        <v>8.851000000000001</v>
      </c>
      <c r="Z52" s="5" t="n">
        <v>0.661</v>
      </c>
      <c r="AA52" s="5" t="n">
        <v>0</v>
      </c>
      <c r="AB52" s="5" t="n">
        <v>8.851000000000001</v>
      </c>
      <c r="AC52" s="5" t="n">
        <v>0</v>
      </c>
      <c r="AD52" s="5" t="n">
        <v>1</v>
      </c>
      <c r="AE52" s="5" t="n">
        <v>10.136</v>
      </c>
      <c r="AF52" s="5" t="n">
        <v>1.322</v>
      </c>
      <c r="AG52" s="5" t="n">
        <v>0</v>
      </c>
      <c r="AH52" s="5" t="n">
        <v>10.136</v>
      </c>
      <c r="AI52" s="5" t="n">
        <v>0</v>
      </c>
      <c r="AJ52" s="5" t="n">
        <v>1</v>
      </c>
      <c r="AK52" s="5" t="n">
        <v>17.85</v>
      </c>
      <c r="AL52" s="5" t="n">
        <v>5.289</v>
      </c>
      <c r="AM52" s="5" t="n">
        <v>0.198</v>
      </c>
      <c r="AN52" s="5" t="n">
        <v>19.635</v>
      </c>
      <c r="AO52" s="5" t="n">
        <v>0.1</v>
      </c>
      <c r="AP52" s="5" t="n">
        <v>1</v>
      </c>
      <c r="AQ52" s="5" t="n">
        <v>0.749</v>
      </c>
      <c r="AR52" s="5" t="n">
        <v>0.129</v>
      </c>
      <c r="AS52" s="5" t="n">
        <v>0.365</v>
      </c>
      <c r="AT52" s="5" t="n">
        <v>1.225</v>
      </c>
      <c r="AU52" s="5" t="n">
        <v>0.1</v>
      </c>
      <c r="AV52" s="5" t="n">
        <v>1</v>
      </c>
      <c r="AW52" s="5" t="n">
        <v>0.783</v>
      </c>
      <c r="AX52" s="5" t="n">
        <v>0.129</v>
      </c>
      <c r="AY52" s="5" t="n">
        <v>0.4</v>
      </c>
      <c r="AZ52" s="5" t="n">
        <v>1.301</v>
      </c>
      <c r="BA52" s="5" t="n">
        <v>0.1</v>
      </c>
      <c r="BB52" s="5" t="n">
        <v>1</v>
      </c>
      <c r="BC52" s="5" t="n">
        <v>0.527</v>
      </c>
      <c r="BD52" s="5" t="n">
        <v>0.129</v>
      </c>
      <c r="BE52" s="5" t="n">
        <v>0.058</v>
      </c>
      <c r="BF52" s="5" t="n">
        <v>0.644</v>
      </c>
      <c r="BG52" s="5" t="n">
        <v>0.1</v>
      </c>
      <c r="BH52" s="5" t="n">
        <v>1</v>
      </c>
      <c r="BI52" s="5" t="n">
        <v>0.64</v>
      </c>
      <c r="BJ52" s="5" t="n">
        <v>0.129</v>
      </c>
      <c r="BK52" s="5" t="n">
        <v>0.031</v>
      </c>
      <c r="BL52" s="5" t="n">
        <v>0.73</v>
      </c>
      <c r="BM52" s="5" t="n">
        <v>0.1</v>
      </c>
      <c r="BN52" s="5" t="n">
        <v>1</v>
      </c>
      <c r="BO52" s="5" t="n">
        <v>0</v>
      </c>
      <c r="BP52" s="5" t="n">
        <v>0</v>
      </c>
      <c r="BQ52" s="5" t="n">
        <v>0.228</v>
      </c>
      <c r="BR52" s="5" t="n">
        <v>0</v>
      </c>
      <c r="BS52" s="5" t="n">
        <v>1</v>
      </c>
      <c r="BT52" s="5" t="n">
        <v>0</v>
      </c>
      <c r="BU52" s="5" t="n">
        <v>0</v>
      </c>
      <c r="BV52" s="5" t="n">
        <v>0.255</v>
      </c>
      <c r="BW52" s="5" t="n">
        <v>0.1</v>
      </c>
      <c r="BX52" s="5" t="n">
        <v>1</v>
      </c>
      <c r="BY52" s="5" t="n">
        <v>13.254</v>
      </c>
      <c r="BZ52" s="5" t="n">
        <v>0</v>
      </c>
      <c r="CA52" s="5" t="n">
        <v>13.254</v>
      </c>
      <c r="CB52" s="5" t="n">
        <v>0</v>
      </c>
      <c r="CC52" s="5" t="n">
        <v>87.07899999999999</v>
      </c>
      <c r="CD52" s="5" t="n">
        <v>7.95</v>
      </c>
      <c r="CE52" s="5" t="n">
        <v>0.964</v>
      </c>
      <c r="CF52" s="5" t="n">
        <v>95.78700000000001</v>
      </c>
      <c r="CG52" s="5" t="n">
        <v>0.1</v>
      </c>
      <c r="CH52" s="5" t="n">
        <v>1</v>
      </c>
      <c r="CI52" s="5" t="n">
        <v>0</v>
      </c>
      <c r="CJ52" s="5" t="n">
        <v>0</v>
      </c>
      <c r="CK52" s="5" t="n">
        <v>0</v>
      </c>
      <c r="CL52" s="5" t="n">
        <v>0.001</v>
      </c>
      <c r="CM52" s="5" t="n">
        <v>0</v>
      </c>
      <c r="CN52" s="5" t="n">
        <v>0.024</v>
      </c>
      <c r="CO52" s="5" t="n">
        <v>2.168</v>
      </c>
      <c r="CP52" s="5" t="n">
        <v>0.99</v>
      </c>
      <c r="CQ52" s="5" t="n">
        <v>1.457</v>
      </c>
      <c r="CR52" s="5" t="n">
        <v>0</v>
      </c>
      <c r="CS52" s="5" t="n">
        <v>4.504</v>
      </c>
      <c r="CT52" s="5" t="n">
        <v>5.487</v>
      </c>
      <c r="CU52" s="5" t="n">
        <v>7.565</v>
      </c>
    </row>
    <row r="53">
      <c r="A53" s="5" t="inlineStr">
        <is>
          <t>AUS2024</t>
        </is>
      </c>
      <c r="B53" s="5" t="inlineStr">
        <is>
          <t>AUS</t>
        </is>
      </c>
      <c r="C53" s="5" t="inlineStr">
        <is>
          <t>AUS</t>
        </is>
      </c>
      <c r="D53" s="5" t="inlineStr">
        <is>
          <t>Australia</t>
        </is>
      </c>
      <c r="E53" s="5" t="n">
        <v>2024</v>
      </c>
      <c r="F53" s="5" t="n">
        <v>0.1</v>
      </c>
      <c r="G53" s="5" t="n">
        <v>2.199</v>
      </c>
      <c r="H53" s="5" t="n">
        <v>0.669</v>
      </c>
      <c r="I53" s="5" t="n">
        <v>2.262</v>
      </c>
      <c r="J53" s="5" t="n">
        <v>4.461</v>
      </c>
      <c r="K53" s="5" t="n">
        <v>0</v>
      </c>
      <c r="L53" s="5" t="n">
        <v>1</v>
      </c>
      <c r="M53" s="5" t="n">
        <v>3.54</v>
      </c>
      <c r="N53" s="5" t="n">
        <v>2.006</v>
      </c>
      <c r="O53" s="5" t="n">
        <v>2.237</v>
      </c>
      <c r="P53" s="5" t="n">
        <v>5.777</v>
      </c>
      <c r="Q53" s="5" t="n">
        <v>0</v>
      </c>
      <c r="R53" s="5" t="n">
        <v>1</v>
      </c>
      <c r="S53" s="5" t="n">
        <v>5.542</v>
      </c>
      <c r="T53" s="5" t="n">
        <v>4.011</v>
      </c>
      <c r="U53" s="5" t="n">
        <v>0.075</v>
      </c>
      <c r="V53" s="5" t="n">
        <v>6.096</v>
      </c>
      <c r="W53" s="5" t="n">
        <v>0.1</v>
      </c>
      <c r="X53" s="5" t="n">
        <v>1</v>
      </c>
      <c r="Y53" s="5" t="n">
        <v>8.603999999999999</v>
      </c>
      <c r="Z53" s="5" t="n">
        <v>0.681</v>
      </c>
      <c r="AA53" s="5" t="n">
        <v>1.31</v>
      </c>
      <c r="AB53" s="5" t="n">
        <v>9.914</v>
      </c>
      <c r="AC53" s="5" t="n">
        <v>0</v>
      </c>
      <c r="AD53" s="5" t="n">
        <v>1</v>
      </c>
      <c r="AE53" s="5" t="n">
        <v>9.928000000000001</v>
      </c>
      <c r="AF53" s="5" t="n">
        <v>1.361</v>
      </c>
      <c r="AG53" s="5" t="n">
        <v>1.31</v>
      </c>
      <c r="AH53" s="5" t="n">
        <v>11.238</v>
      </c>
      <c r="AI53" s="5" t="n">
        <v>0</v>
      </c>
      <c r="AJ53" s="5" t="n">
        <v>1</v>
      </c>
      <c r="AK53" s="5" t="n">
        <v>17.87</v>
      </c>
      <c r="AL53" s="5" t="n">
        <v>5.445</v>
      </c>
      <c r="AM53" s="5" t="n">
        <v>0.286</v>
      </c>
      <c r="AN53" s="5" t="n">
        <v>19.703</v>
      </c>
      <c r="AO53" s="5" t="n">
        <v>0.1</v>
      </c>
      <c r="AP53" s="5" t="n">
        <v>1</v>
      </c>
      <c r="AQ53" s="5" t="n">
        <v>0.72</v>
      </c>
      <c r="AR53" s="5" t="n">
        <v>0.132</v>
      </c>
      <c r="AS53" s="5" t="n">
        <v>0.365</v>
      </c>
      <c r="AT53" s="5" t="n">
        <v>1.194</v>
      </c>
      <c r="AU53" s="5" t="n">
        <v>0.1</v>
      </c>
      <c r="AV53" s="5" t="n">
        <v>1</v>
      </c>
      <c r="AW53" s="5" t="n">
        <v>0.734</v>
      </c>
      <c r="AX53" s="5" t="n">
        <v>0.132</v>
      </c>
      <c r="AY53" s="5" t="n">
        <v>0.368</v>
      </c>
      <c r="AZ53" s="5" t="n">
        <v>1.211</v>
      </c>
      <c r="BA53" s="5" t="n">
        <v>0.1</v>
      </c>
      <c r="BB53" s="5" t="n">
        <v>1</v>
      </c>
      <c r="BC53" s="5" t="n">
        <v>0.51</v>
      </c>
      <c r="BD53" s="5" t="n">
        <v>0.132</v>
      </c>
      <c r="BE53" s="5" t="n">
        <v>0.054</v>
      </c>
      <c r="BF53" s="5" t="n">
        <v>0.621</v>
      </c>
      <c r="BG53" s="5" t="n">
        <v>0.1</v>
      </c>
      <c r="BH53" s="5" t="n">
        <v>1</v>
      </c>
      <c r="BI53" s="5" t="n">
        <v>0.652</v>
      </c>
      <c r="BJ53" s="5" t="n">
        <v>0.132</v>
      </c>
      <c r="BK53" s="5" t="n">
        <v>0.092</v>
      </c>
      <c r="BL53" s="5" t="n">
        <v>0.8080000000000001</v>
      </c>
      <c r="BM53" s="5" t="n">
        <v>0.1</v>
      </c>
      <c r="BN53" s="5" t="n">
        <v>1</v>
      </c>
      <c r="BO53" s="5" t="n">
        <v>0</v>
      </c>
      <c r="BP53" s="5" t="n">
        <v>0</v>
      </c>
      <c r="BQ53" s="5" t="n">
        <v>0.235</v>
      </c>
      <c r="BR53" s="5" t="n">
        <v>0</v>
      </c>
      <c r="BS53" s="5" t="n">
        <v>1</v>
      </c>
      <c r="BT53" s="5" t="n">
        <v>0</v>
      </c>
      <c r="BU53" s="5" t="n">
        <v>0</v>
      </c>
      <c r="BV53" s="5" t="n">
        <v>0.257</v>
      </c>
      <c r="BW53" s="5" t="n">
        <v>0.1</v>
      </c>
      <c r="BX53" s="5" t="n">
        <v>1</v>
      </c>
      <c r="BY53" s="5" t="n">
        <v>13.646</v>
      </c>
      <c r="BZ53" s="5" t="n">
        <v>0</v>
      </c>
      <c r="CA53" s="5" t="n">
        <v>13.646</v>
      </c>
      <c r="CB53" s="5" t="n">
        <v>0</v>
      </c>
      <c r="CC53" s="5" t="n">
        <v>86.38500000000001</v>
      </c>
      <c r="CD53" s="5" t="n">
        <v>7.95</v>
      </c>
      <c r="CE53" s="5" t="n">
        <v>12.349</v>
      </c>
      <c r="CF53" s="5" t="n">
        <v>107.149</v>
      </c>
      <c r="CG53" s="5" t="n">
        <v>0.1</v>
      </c>
      <c r="CH53" s="5" t="n">
        <v>1</v>
      </c>
      <c r="CI53" s="5" t="n">
        <v>0</v>
      </c>
      <c r="CJ53" s="5" t="n">
        <v>0</v>
      </c>
      <c r="CK53" s="5" t="n">
        <v>0</v>
      </c>
      <c r="CL53" s="5" t="n">
        <v>0.001</v>
      </c>
      <c r="CM53" s="5" t="n">
        <v>0</v>
      </c>
      <c r="CN53" s="5" t="n">
        <v>0.025</v>
      </c>
      <c r="CO53" s="5" t="n">
        <v>2.037</v>
      </c>
      <c r="CP53" s="5" t="n">
        <v>0.99</v>
      </c>
      <c r="CQ53" s="5" t="n">
        <v>1.5</v>
      </c>
      <c r="CR53" s="5" t="n">
        <v>0</v>
      </c>
      <c r="CS53" s="5" t="n">
        <v>4.637</v>
      </c>
      <c r="CT53" s="5" t="n">
        <v>4.509</v>
      </c>
      <c r="CU53" s="5" t="n">
        <v>7.281</v>
      </c>
    </row>
    <row r="54">
      <c r="A54" s="5" t="inlineStr">
        <is>
          <t>AUT2021</t>
        </is>
      </c>
      <c r="B54" s="5" t="inlineStr">
        <is>
          <t>AUT</t>
        </is>
      </c>
      <c r="C54" s="5" t="inlineStr">
        <is>
          <t>AUT</t>
        </is>
      </c>
      <c r="D54" s="5" t="inlineStr">
        <is>
          <t>Austria</t>
        </is>
      </c>
      <c r="E54" s="5" t="n">
        <v>2021</v>
      </c>
      <c r="F54" s="5" t="n">
        <v>0.2</v>
      </c>
      <c r="G54" s="5" t="n">
        <v>5.326</v>
      </c>
      <c r="H54" s="5" t="n">
        <v>1.165</v>
      </c>
      <c r="I54" s="5" t="n">
        <v>1.894</v>
      </c>
      <c r="J54" s="5" t="n">
        <v>7.22</v>
      </c>
      <c r="K54" s="5" t="n">
        <v>0</v>
      </c>
      <c r="L54" s="5" t="n">
        <v>1</v>
      </c>
      <c r="M54" s="5" t="n">
        <v>7.305</v>
      </c>
      <c r="N54" s="5" t="n">
        <v>3.311</v>
      </c>
      <c r="O54" s="5" t="n">
        <v>2.459</v>
      </c>
      <c r="P54" s="5" t="n">
        <v>9.765000000000001</v>
      </c>
      <c r="Q54" s="5" t="n">
        <v>0</v>
      </c>
      <c r="R54" s="5" t="n">
        <v>1</v>
      </c>
      <c r="S54" s="5" t="n">
        <v>11.27</v>
      </c>
      <c r="T54" s="5" t="n">
        <v>6.86</v>
      </c>
      <c r="U54" s="5" t="n">
        <v>2.566</v>
      </c>
      <c r="V54" s="5" t="n">
        <v>16.603</v>
      </c>
      <c r="W54" s="5" t="n">
        <v>0.2</v>
      </c>
      <c r="X54" s="5" t="n">
        <v>1</v>
      </c>
      <c r="Y54" s="5" t="n">
        <v>19.207</v>
      </c>
      <c r="Z54" s="5" t="n">
        <v>2.122</v>
      </c>
      <c r="AA54" s="5" t="n">
        <v>-5.131</v>
      </c>
      <c r="AB54" s="5" t="n">
        <v>14.076</v>
      </c>
      <c r="AC54" s="5" t="n">
        <v>0</v>
      </c>
      <c r="AD54" s="5" t="n">
        <v>1</v>
      </c>
      <c r="AE54" s="5" t="n">
        <v>19.163</v>
      </c>
      <c r="AF54" s="5" t="n">
        <v>3.771</v>
      </c>
      <c r="AG54" s="5" t="n">
        <v>-5.087</v>
      </c>
      <c r="AH54" s="5" t="n">
        <v>14.076</v>
      </c>
      <c r="AI54" s="5" t="n">
        <v>0</v>
      </c>
      <c r="AJ54" s="5" t="n">
        <v>1</v>
      </c>
      <c r="AK54" s="5" t="n">
        <v>30.123</v>
      </c>
      <c r="AL54" s="5" t="n">
        <v>14.784</v>
      </c>
      <c r="AM54" s="5" t="n">
        <v>-11.904</v>
      </c>
      <c r="AN54" s="5" t="n">
        <v>21.862</v>
      </c>
      <c r="AO54" s="5" t="n">
        <v>0.2</v>
      </c>
      <c r="AP54" s="5" t="n">
        <v>1</v>
      </c>
      <c r="AQ54" s="5" t="n">
        <v>0.619</v>
      </c>
      <c r="AR54" s="5" t="n">
        <v>0.114</v>
      </c>
      <c r="AS54" s="5" t="n">
        <v>0.646</v>
      </c>
      <c r="AT54" s="5" t="n">
        <v>1.518</v>
      </c>
      <c r="AU54" s="5" t="n">
        <v>0.2</v>
      </c>
      <c r="AV54" s="5" t="n">
        <v>1</v>
      </c>
      <c r="AW54" s="5" t="n">
        <v>0.599</v>
      </c>
      <c r="AX54" s="5" t="n">
        <v>0.114</v>
      </c>
      <c r="AY54" s="5" t="n">
        <v>0.62</v>
      </c>
      <c r="AZ54" s="5" t="n">
        <v>1.463</v>
      </c>
      <c r="BA54" s="5" t="n">
        <v>0.2</v>
      </c>
      <c r="BB54" s="5" t="n">
        <v>1</v>
      </c>
      <c r="BC54" s="5" t="n">
        <v>0.439</v>
      </c>
      <c r="BD54" s="5" t="n">
        <v>0.114</v>
      </c>
      <c r="BE54" s="5" t="n">
        <v>0.357</v>
      </c>
      <c r="BF54" s="5" t="n">
        <v>0.955</v>
      </c>
      <c r="BG54" s="5" t="n">
        <v>0.2</v>
      </c>
      <c r="BH54" s="5" t="n">
        <v>1</v>
      </c>
      <c r="BI54" s="5" t="n">
        <v>0.505</v>
      </c>
      <c r="BJ54" s="5" t="n">
        <v>0.114</v>
      </c>
      <c r="BK54" s="5" t="n">
        <v>0.235</v>
      </c>
      <c r="BL54" s="5" t="n">
        <v>0.887</v>
      </c>
      <c r="BM54" s="5" t="n">
        <v>0.2</v>
      </c>
      <c r="BN54" s="5" t="n">
        <v>1</v>
      </c>
      <c r="BO54" s="5" t="n">
        <v>0</v>
      </c>
      <c r="BP54" s="5" t="n">
        <v>0.029</v>
      </c>
      <c r="BQ54" s="5" t="n">
        <v>0.128</v>
      </c>
      <c r="BR54" s="5" t="n">
        <v>0</v>
      </c>
      <c r="BS54" s="5" t="n">
        <v>1</v>
      </c>
      <c r="BT54" s="5" t="n">
        <v>0</v>
      </c>
      <c r="BU54" s="5" t="n">
        <v>0.054</v>
      </c>
      <c r="BV54" s="5" t="n">
        <v>0.266</v>
      </c>
      <c r="BW54" s="5" t="n">
        <v>0.2</v>
      </c>
      <c r="BX54" s="5" t="n">
        <v>1</v>
      </c>
      <c r="BY54" s="5" t="n">
        <v>11.787</v>
      </c>
      <c r="BZ54" s="5" t="n">
        <v>0</v>
      </c>
      <c r="CA54" s="5" t="n">
        <v>11.787</v>
      </c>
      <c r="CB54" s="5" t="n">
        <v>0</v>
      </c>
      <c r="CC54" s="5" t="n">
        <v>78.125</v>
      </c>
      <c r="CD54" s="5" t="n">
        <v>7.95</v>
      </c>
      <c r="CE54" s="5" t="n">
        <v>47.305</v>
      </c>
      <c r="CF54" s="5" t="n">
        <v>150.516</v>
      </c>
      <c r="CG54" s="5" t="n">
        <v>0.2</v>
      </c>
      <c r="CH54" s="5" t="n">
        <v>1</v>
      </c>
      <c r="CI54" s="5" t="n">
        <v>0</v>
      </c>
      <c r="CJ54" s="5" t="n">
        <v>0</v>
      </c>
      <c r="CK54" s="5" t="n">
        <v>0</v>
      </c>
      <c r="CL54" s="5" t="n">
        <v>0</v>
      </c>
      <c r="CM54" s="5" t="n">
        <v>0</v>
      </c>
      <c r="CN54" s="5" t="n">
        <v>0.035</v>
      </c>
      <c r="CO54" s="5" t="n">
        <v>0</v>
      </c>
      <c r="CP54" s="5" t="n">
        <v>0</v>
      </c>
      <c r="CQ54" s="5" t="n">
        <v>1.198</v>
      </c>
      <c r="CR54" s="5" t="n">
        <v>0</v>
      </c>
      <c r="CS54" s="5" t="n">
        <v>5.154</v>
      </c>
      <c r="CT54" s="5" t="n">
        <v>4.41</v>
      </c>
      <c r="CU54" s="5" t="n">
        <v>14.942</v>
      </c>
    </row>
    <row r="55">
      <c r="A55" s="5" t="inlineStr">
        <is>
          <t>AUT2022</t>
        </is>
      </c>
      <c r="B55" s="5" t="inlineStr">
        <is>
          <t>AUT</t>
        </is>
      </c>
      <c r="C55" s="5" t="inlineStr">
        <is>
          <t>AUT</t>
        </is>
      </c>
      <c r="D55" s="5" t="inlineStr">
        <is>
          <t>Austria</t>
        </is>
      </c>
      <c r="E55" s="5" t="n">
        <v>2022</v>
      </c>
      <c r="F55" s="5" t="n">
        <v>0.2</v>
      </c>
      <c r="G55" s="5" t="n">
        <v>9.805999999999999</v>
      </c>
      <c r="H55" s="5" t="n">
        <v>1.523</v>
      </c>
      <c r="I55" s="5" t="n">
        <v>8.159000000000001</v>
      </c>
      <c r="J55" s="5" t="n">
        <v>17.965</v>
      </c>
      <c r="K55" s="5" t="n">
        <v>0</v>
      </c>
      <c r="L55" s="5" t="n">
        <v>1</v>
      </c>
      <c r="M55" s="5" t="n">
        <v>11.604</v>
      </c>
      <c r="N55" s="5" t="n">
        <v>4.792</v>
      </c>
      <c r="O55" s="5" t="n">
        <v>9.045</v>
      </c>
      <c r="P55" s="5" t="n">
        <v>20.649</v>
      </c>
      <c r="Q55" s="5" t="n">
        <v>0</v>
      </c>
      <c r="R55" s="5" t="n">
        <v>1</v>
      </c>
      <c r="S55" s="5" t="n">
        <v>13.25</v>
      </c>
      <c r="T55" s="5" t="n">
        <v>7.408</v>
      </c>
      <c r="U55" s="5" t="n">
        <v>2.688</v>
      </c>
      <c r="V55" s="5" t="n">
        <v>18.847</v>
      </c>
      <c r="W55" s="5" t="n">
        <v>0.2</v>
      </c>
      <c r="X55" s="5" t="n">
        <v>1</v>
      </c>
      <c r="Y55" s="5" t="n">
        <v>41.829</v>
      </c>
      <c r="Z55" s="5" t="n">
        <v>4.388</v>
      </c>
      <c r="AA55" s="5" t="n">
        <v>-15.291</v>
      </c>
      <c r="AB55" s="5" t="n">
        <v>26.538</v>
      </c>
      <c r="AC55" s="5" t="n">
        <v>0</v>
      </c>
      <c r="AD55" s="5" t="n">
        <v>1</v>
      </c>
      <c r="AE55" s="5" t="n">
        <v>41.877</v>
      </c>
      <c r="AF55" s="5" t="n">
        <v>7.763</v>
      </c>
      <c r="AG55" s="5" t="n">
        <v>-15.339</v>
      </c>
      <c r="AH55" s="5" t="n">
        <v>26.538</v>
      </c>
      <c r="AI55" s="5" t="n">
        <v>0</v>
      </c>
      <c r="AJ55" s="5" t="n">
        <v>1</v>
      </c>
      <c r="AK55" s="5" t="n">
        <v>53.385</v>
      </c>
      <c r="AL55" s="5" t="n">
        <v>25.493</v>
      </c>
      <c r="AM55" s="5" t="n">
        <v>-28.988</v>
      </c>
      <c r="AN55" s="5" t="n">
        <v>29.277</v>
      </c>
      <c r="AO55" s="5" t="n">
        <v>0.2</v>
      </c>
      <c r="AP55" s="5" t="n">
        <v>1</v>
      </c>
      <c r="AQ55" s="5" t="n">
        <v>0.861</v>
      </c>
      <c r="AR55" s="5" t="n">
        <v>0.123</v>
      </c>
      <c r="AS55" s="5" t="n">
        <v>0.655</v>
      </c>
      <c r="AT55" s="5" t="n">
        <v>1.819</v>
      </c>
      <c r="AU55" s="5" t="n">
        <v>0.2</v>
      </c>
      <c r="AV55" s="5" t="n">
        <v>1</v>
      </c>
      <c r="AW55" s="5" t="n">
        <v>0.986</v>
      </c>
      <c r="AX55" s="5" t="n">
        <v>0.123</v>
      </c>
      <c r="AY55" s="5" t="n">
        <v>0.611</v>
      </c>
      <c r="AZ55" s="5" t="n">
        <v>1.917</v>
      </c>
      <c r="BA55" s="5" t="n">
        <v>0.2</v>
      </c>
      <c r="BB55" s="5" t="n">
        <v>1</v>
      </c>
      <c r="BC55" s="5" t="n">
        <v>0.598</v>
      </c>
      <c r="BD55" s="5" t="n">
        <v>0.123</v>
      </c>
      <c r="BE55" s="5" t="n">
        <v>0.436</v>
      </c>
      <c r="BF55" s="5" t="n">
        <v>1.241</v>
      </c>
      <c r="BG55" s="5" t="n">
        <v>0.2</v>
      </c>
      <c r="BH55" s="5" t="n">
        <v>1</v>
      </c>
      <c r="BI55" s="5" t="n">
        <v>0.612</v>
      </c>
      <c r="BJ55" s="5" t="n">
        <v>0.123</v>
      </c>
      <c r="BK55" s="5" t="n">
        <v>0.633</v>
      </c>
      <c r="BL55" s="5" t="n">
        <v>1.494</v>
      </c>
      <c r="BM55" s="5" t="n">
        <v>0.2</v>
      </c>
      <c r="BN55" s="5" t="n">
        <v>1</v>
      </c>
      <c r="BO55" s="5" t="n">
        <v>0</v>
      </c>
      <c r="BP55" s="5" t="n">
        <v>0.01</v>
      </c>
      <c r="BQ55" s="5" t="n">
        <v>0.195</v>
      </c>
      <c r="BR55" s="5" t="n">
        <v>0</v>
      </c>
      <c r="BS55" s="5" t="n">
        <v>1</v>
      </c>
      <c r="BT55" s="5" t="n">
        <v>0</v>
      </c>
      <c r="BU55" s="5" t="n">
        <v>0.008999999999999999</v>
      </c>
      <c r="BV55" s="5" t="n">
        <v>0.243</v>
      </c>
      <c r="BW55" s="5" t="n">
        <v>0.2</v>
      </c>
      <c r="BX55" s="5" t="n">
        <v>1</v>
      </c>
      <c r="BY55" s="5" t="n">
        <v>12.729</v>
      </c>
      <c r="BZ55" s="5" t="n">
        <v>0</v>
      </c>
      <c r="CA55" s="5" t="n">
        <v>12.729</v>
      </c>
      <c r="CB55" s="5" t="n">
        <v>0</v>
      </c>
      <c r="CC55" s="5" t="n">
        <v>97.90000000000001</v>
      </c>
      <c r="CD55" s="5" t="n">
        <v>7.95</v>
      </c>
      <c r="CE55" s="5" t="n">
        <v>133.885</v>
      </c>
      <c r="CF55" s="5" t="n">
        <v>278.142</v>
      </c>
      <c r="CG55" s="5" t="n">
        <v>0.2</v>
      </c>
      <c r="CH55" s="5" t="n">
        <v>1</v>
      </c>
      <c r="CI55" s="5" t="n">
        <v>0</v>
      </c>
      <c r="CJ55" s="5" t="n">
        <v>0</v>
      </c>
      <c r="CK55" s="5" t="n">
        <v>0</v>
      </c>
      <c r="CL55" s="5" t="n">
        <v>0</v>
      </c>
      <c r="CM55" s="5" t="n">
        <v>0</v>
      </c>
      <c r="CN55" s="5" t="n">
        <v>0.039</v>
      </c>
      <c r="CO55" s="5" t="n">
        <v>0</v>
      </c>
      <c r="CP55" s="5" t="n">
        <v>0</v>
      </c>
      <c r="CQ55" s="5" t="n">
        <v>1.294</v>
      </c>
      <c r="CR55" s="5" t="n">
        <v>0</v>
      </c>
      <c r="CS55" s="5" t="n">
        <v>5.566</v>
      </c>
      <c r="CT55" s="5" t="n">
        <v>5.842</v>
      </c>
      <c r="CU55" s="5" t="n">
        <v>37.473</v>
      </c>
    </row>
    <row r="56">
      <c r="A56" s="5" t="inlineStr">
        <is>
          <t>AUT2023</t>
        </is>
      </c>
      <c r="B56" s="5" t="inlineStr">
        <is>
          <t>AUT</t>
        </is>
      </c>
      <c r="C56" s="5" t="inlineStr">
        <is>
          <t>AUT</t>
        </is>
      </c>
      <c r="D56" s="5" t="inlineStr">
        <is>
          <t>Austria</t>
        </is>
      </c>
      <c r="E56" s="5" t="n">
        <v>2023</v>
      </c>
      <c r="F56" s="5" t="n">
        <v>0.2</v>
      </c>
      <c r="G56" s="5" t="n">
        <v>12.441</v>
      </c>
      <c r="H56" s="5" t="n">
        <v>2.834</v>
      </c>
      <c r="I56" s="5" t="n">
        <v>9.456</v>
      </c>
      <c r="J56" s="5" t="n">
        <v>21.897</v>
      </c>
      <c r="K56" s="5" t="n">
        <v>0</v>
      </c>
      <c r="L56" s="5" t="n">
        <v>1</v>
      </c>
      <c r="M56" s="5" t="n">
        <v>10.478</v>
      </c>
      <c r="N56" s="5" t="n">
        <v>5.197</v>
      </c>
      <c r="O56" s="5" t="n">
        <v>10.392</v>
      </c>
      <c r="P56" s="5" t="n">
        <v>20.869</v>
      </c>
      <c r="Q56" s="5" t="n">
        <v>0</v>
      </c>
      <c r="R56" s="5" t="n">
        <v>1</v>
      </c>
      <c r="S56" s="5" t="n">
        <v>11.18</v>
      </c>
      <c r="T56" s="5" t="n">
        <v>7.714</v>
      </c>
      <c r="U56" s="5" t="n">
        <v>6.234</v>
      </c>
      <c r="V56" s="5" t="n">
        <v>20.444</v>
      </c>
      <c r="W56" s="5" t="n">
        <v>0.2</v>
      </c>
      <c r="X56" s="5" t="n">
        <v>1</v>
      </c>
      <c r="Y56" s="5" t="n">
        <v>17.014</v>
      </c>
      <c r="Z56" s="5" t="n">
        <v>1.906</v>
      </c>
      <c r="AA56" s="5" t="n">
        <v>9.558999999999999</v>
      </c>
      <c r="AB56" s="5" t="n">
        <v>26.573</v>
      </c>
      <c r="AC56" s="5" t="n">
        <v>0</v>
      </c>
      <c r="AD56" s="5" t="n">
        <v>1</v>
      </c>
      <c r="AE56" s="5" t="n">
        <v>17.113</v>
      </c>
      <c r="AF56" s="5" t="n">
        <v>3.408</v>
      </c>
      <c r="AG56" s="5" t="n">
        <v>9.460000000000001</v>
      </c>
      <c r="AH56" s="5" t="n">
        <v>26.573</v>
      </c>
      <c r="AI56" s="5" t="n">
        <v>0</v>
      </c>
      <c r="AJ56" s="5" t="n">
        <v>1</v>
      </c>
      <c r="AK56" s="5" t="n">
        <v>28.927</v>
      </c>
      <c r="AL56" s="5" t="n">
        <v>14.33</v>
      </c>
      <c r="AM56" s="5" t="n">
        <v>9.08</v>
      </c>
      <c r="AN56" s="5" t="n">
        <v>45.609</v>
      </c>
      <c r="AO56" s="5" t="n">
        <v>0.2</v>
      </c>
      <c r="AP56" s="5" t="n">
        <v>1</v>
      </c>
      <c r="AQ56" s="5" t="n">
        <v>0.76</v>
      </c>
      <c r="AR56" s="5" t="n">
        <v>0.129</v>
      </c>
      <c r="AS56" s="5" t="n">
        <v>0.677</v>
      </c>
      <c r="AT56" s="5" t="n">
        <v>1.725</v>
      </c>
      <c r="AU56" s="5" t="n">
        <v>0.2</v>
      </c>
      <c r="AV56" s="5" t="n">
        <v>1</v>
      </c>
      <c r="AW56" s="5" t="n">
        <v>0.8110000000000001</v>
      </c>
      <c r="AX56" s="5" t="n">
        <v>0.129</v>
      </c>
      <c r="AY56" s="5" t="n">
        <v>0.668</v>
      </c>
      <c r="AZ56" s="5" t="n">
        <v>1.776</v>
      </c>
      <c r="BA56" s="5" t="n">
        <v>0.2</v>
      </c>
      <c r="BB56" s="5" t="n">
        <v>1</v>
      </c>
      <c r="BC56" s="5" t="n">
        <v>0.535</v>
      </c>
      <c r="BD56" s="5" t="n">
        <v>0.129</v>
      </c>
      <c r="BE56" s="5" t="n">
        <v>0.505</v>
      </c>
      <c r="BF56" s="5" t="n">
        <v>1.248</v>
      </c>
      <c r="BG56" s="5" t="n">
        <v>0.2</v>
      </c>
      <c r="BH56" s="5" t="n">
        <v>1</v>
      </c>
      <c r="BI56" s="5" t="n">
        <v>0.579</v>
      </c>
      <c r="BJ56" s="5" t="n">
        <v>0.129</v>
      </c>
      <c r="BK56" s="5" t="n">
        <v>0.515</v>
      </c>
      <c r="BL56" s="5" t="n">
        <v>1.313</v>
      </c>
      <c r="BM56" s="5" t="n">
        <v>0.2</v>
      </c>
      <c r="BN56" s="5" t="n">
        <v>1</v>
      </c>
      <c r="BO56" s="5" t="n">
        <v>0</v>
      </c>
      <c r="BP56" s="5" t="n">
        <v>0.005</v>
      </c>
      <c r="BQ56" s="5" t="n">
        <v>0.238</v>
      </c>
      <c r="BR56" s="5" t="n">
        <v>0</v>
      </c>
      <c r="BS56" s="5" t="n">
        <v>1</v>
      </c>
      <c r="BT56" s="5" t="n">
        <v>0</v>
      </c>
      <c r="BU56" s="5" t="n">
        <v>-0.064</v>
      </c>
      <c r="BV56" s="5" t="n">
        <v>0.292</v>
      </c>
      <c r="BW56" s="5" t="n">
        <v>0.2</v>
      </c>
      <c r="BX56" s="5" t="n">
        <v>1</v>
      </c>
      <c r="BY56" s="5" t="n">
        <v>13.254</v>
      </c>
      <c r="BZ56" s="5" t="n">
        <v>0</v>
      </c>
      <c r="CA56" s="5" t="n">
        <v>13.254</v>
      </c>
      <c r="CB56" s="5" t="n">
        <v>0</v>
      </c>
      <c r="CC56" s="5" t="n">
        <v>83.248</v>
      </c>
      <c r="CD56" s="5" t="n">
        <v>7.95</v>
      </c>
      <c r="CE56" s="5" t="n">
        <v>129.924</v>
      </c>
      <c r="CF56" s="5" t="n">
        <v>255.807</v>
      </c>
      <c r="CG56" s="5" t="n">
        <v>0.2</v>
      </c>
      <c r="CH56" s="5" t="n">
        <v>1</v>
      </c>
      <c r="CI56" s="5" t="n">
        <v>0</v>
      </c>
      <c r="CJ56" s="5" t="n">
        <v>0</v>
      </c>
      <c r="CK56" s="5" t="n">
        <v>0</v>
      </c>
      <c r="CL56" s="5" t="n">
        <v>0</v>
      </c>
      <c r="CM56" s="5" t="n">
        <v>0</v>
      </c>
      <c r="CN56" s="5" t="n">
        <v>0.038</v>
      </c>
      <c r="CO56" s="5" t="n">
        <v>0</v>
      </c>
      <c r="CP56" s="5" t="n">
        <v>0</v>
      </c>
      <c r="CQ56" s="5" t="n">
        <v>1.348</v>
      </c>
      <c r="CR56" s="5" t="n">
        <v>0</v>
      </c>
      <c r="CS56" s="5" t="n">
        <v>5.796</v>
      </c>
      <c r="CT56" s="5" t="n">
        <v>3.466</v>
      </c>
      <c r="CU56" s="5" t="n">
        <v>12.608</v>
      </c>
    </row>
    <row r="57">
      <c r="A57" s="5" t="inlineStr">
        <is>
          <t>AUT2024</t>
        </is>
      </c>
      <c r="B57" s="5" t="inlineStr">
        <is>
          <t>AUT</t>
        </is>
      </c>
      <c r="C57" s="5" t="inlineStr">
        <is>
          <t>AUT</t>
        </is>
      </c>
      <c r="D57" s="5" t="inlineStr">
        <is>
          <t>Austria</t>
        </is>
      </c>
      <c r="E57" s="5" t="n">
        <v>2024</v>
      </c>
      <c r="F57" s="5" t="n">
        <v>0.2</v>
      </c>
      <c r="G57" s="5" t="n">
        <v>12.129</v>
      </c>
      <c r="H57" s="5" t="n">
        <v>3.073</v>
      </c>
      <c r="I57" s="5" t="n">
        <v>6.197</v>
      </c>
      <c r="J57" s="5" t="n">
        <v>18.327</v>
      </c>
      <c r="K57" s="5" t="n">
        <v>0</v>
      </c>
      <c r="L57" s="5" t="n">
        <v>1</v>
      </c>
      <c r="M57" s="5" t="n">
        <v>19.923</v>
      </c>
      <c r="N57" s="5" t="n">
        <v>10.853</v>
      </c>
      <c r="O57" s="5" t="n">
        <v>6.956</v>
      </c>
      <c r="P57" s="5" t="n">
        <v>26.879</v>
      </c>
      <c r="Q57" s="5" t="n">
        <v>0</v>
      </c>
      <c r="R57" s="5" t="n">
        <v>1</v>
      </c>
      <c r="S57" s="5" t="n">
        <v>10.969</v>
      </c>
      <c r="T57" s="5" t="n">
        <v>7.942</v>
      </c>
      <c r="U57" s="5" t="n">
        <v>7.79</v>
      </c>
      <c r="V57" s="5" t="n">
        <v>21.913</v>
      </c>
      <c r="W57" s="5" t="n">
        <v>0.2</v>
      </c>
      <c r="X57" s="5" t="n">
        <v>1</v>
      </c>
      <c r="Y57" s="5" t="n">
        <v>15.793</v>
      </c>
      <c r="Z57" s="5" t="n">
        <v>1.994</v>
      </c>
      <c r="AA57" s="5" t="n">
        <v>5.103</v>
      </c>
      <c r="AB57" s="5" t="n">
        <v>20.896</v>
      </c>
      <c r="AC57" s="5" t="n">
        <v>0</v>
      </c>
      <c r="AD57" s="5" t="n">
        <v>1</v>
      </c>
      <c r="AE57" s="5" t="n">
        <v>15.793</v>
      </c>
      <c r="AF57" s="5" t="n">
        <v>3.46</v>
      </c>
      <c r="AG57" s="5" t="n">
        <v>5.103</v>
      </c>
      <c r="AH57" s="5" t="n">
        <v>20.896</v>
      </c>
      <c r="AI57" s="5" t="n">
        <v>0</v>
      </c>
      <c r="AJ57" s="5" t="n">
        <v>1</v>
      </c>
      <c r="AK57" s="5" t="n">
        <v>29.728</v>
      </c>
      <c r="AL57" s="5" t="n">
        <v>15.12</v>
      </c>
      <c r="AM57" s="5" t="n">
        <v>3.051</v>
      </c>
      <c r="AN57" s="5" t="n">
        <v>39.334</v>
      </c>
      <c r="AO57" s="5" t="n">
        <v>0.2</v>
      </c>
      <c r="AP57" s="5" t="n">
        <v>1</v>
      </c>
      <c r="AQ57" s="5" t="n">
        <v>0.724</v>
      </c>
      <c r="AR57" s="5" t="n">
        <v>0.132</v>
      </c>
      <c r="AS57" s="5" t="n">
        <v>0.6899999999999999</v>
      </c>
      <c r="AT57" s="5" t="n">
        <v>1.697</v>
      </c>
      <c r="AU57" s="5" t="n">
        <v>0.2</v>
      </c>
      <c r="AV57" s="5" t="n">
        <v>1</v>
      </c>
      <c r="AW57" s="5" t="n">
        <v>0.75</v>
      </c>
      <c r="AX57" s="5" t="n">
        <v>0.132</v>
      </c>
      <c r="AY57" s="5" t="n">
        <v>0.6899999999999999</v>
      </c>
      <c r="AZ57" s="5" t="n">
        <v>1.729</v>
      </c>
      <c r="BA57" s="5" t="n">
        <v>0.2</v>
      </c>
      <c r="BB57" s="5" t="n">
        <v>1</v>
      </c>
      <c r="BC57" s="5" t="n">
        <v>0.513</v>
      </c>
      <c r="BD57" s="5" t="n">
        <v>0.132</v>
      </c>
      <c r="BE57" s="5" t="n">
        <v>0.332</v>
      </c>
      <c r="BF57" s="5" t="n">
        <v>1.015</v>
      </c>
      <c r="BG57" s="5" t="n">
        <v>0.2</v>
      </c>
      <c r="BH57" s="5" t="n">
        <v>1</v>
      </c>
      <c r="BI57" s="5" t="n">
        <v>0.591</v>
      </c>
      <c r="BJ57" s="5" t="n">
        <v>0.132</v>
      </c>
      <c r="BK57" s="5" t="n">
        <v>0.298</v>
      </c>
      <c r="BL57" s="5" t="n">
        <v>1.067</v>
      </c>
      <c r="BM57" s="5" t="n">
        <v>0.2</v>
      </c>
      <c r="BN57" s="5" t="n">
        <v>1</v>
      </c>
      <c r="BO57" s="5" t="n">
        <v>0</v>
      </c>
      <c r="BP57" s="5" t="n">
        <v>0.004</v>
      </c>
      <c r="BQ57" s="5" t="n">
        <v>0.167</v>
      </c>
      <c r="BR57" s="5" t="n">
        <v>0</v>
      </c>
      <c r="BS57" s="5" t="n">
        <v>1</v>
      </c>
      <c r="BT57" s="5" t="n">
        <v>0</v>
      </c>
      <c r="BU57" s="5" t="n">
        <v>-0.07099999999999999</v>
      </c>
      <c r="BV57" s="5" t="n">
        <v>0.28</v>
      </c>
      <c r="BW57" s="5" t="n">
        <v>0.2</v>
      </c>
      <c r="BX57" s="5" t="n">
        <v>1</v>
      </c>
      <c r="BY57" s="5" t="n">
        <v>13.646</v>
      </c>
      <c r="BZ57" s="5" t="n">
        <v>0</v>
      </c>
      <c r="CA57" s="5" t="n">
        <v>13.646</v>
      </c>
      <c r="CB57" s="5" t="n">
        <v>0</v>
      </c>
      <c r="CC57" s="5" t="n">
        <v>82.58799999999999</v>
      </c>
      <c r="CD57" s="5" t="n">
        <v>7.95</v>
      </c>
      <c r="CE57" s="5" t="n">
        <v>109.01</v>
      </c>
      <c r="CF57" s="5" t="n">
        <v>229.918</v>
      </c>
      <c r="CG57" s="5" t="n">
        <v>0.2</v>
      </c>
      <c r="CH57" s="5" t="n">
        <v>1</v>
      </c>
      <c r="CI57" s="5" t="n">
        <v>0</v>
      </c>
      <c r="CJ57" s="5" t="n">
        <v>0</v>
      </c>
      <c r="CK57" s="5" t="n">
        <v>0</v>
      </c>
      <c r="CL57" s="5" t="n">
        <v>0</v>
      </c>
      <c r="CM57" s="5" t="n">
        <v>0</v>
      </c>
      <c r="CN57" s="5" t="n">
        <v>0.038</v>
      </c>
      <c r="CO57" s="5" t="n">
        <v>0</v>
      </c>
      <c r="CP57" s="5" t="n">
        <v>0</v>
      </c>
      <c r="CQ57" s="5" t="n">
        <v>1.387</v>
      </c>
      <c r="CR57" s="5" t="n">
        <v>0</v>
      </c>
      <c r="CS57" s="5" t="n">
        <v>5.967</v>
      </c>
      <c r="CT57" s="5" t="n">
        <v>3.027</v>
      </c>
      <c r="CU57" s="5" t="n">
        <v>10.564</v>
      </c>
    </row>
    <row r="58">
      <c r="A58" s="5" t="inlineStr">
        <is>
          <t>AZE2021</t>
        </is>
      </c>
      <c r="B58" s="5" t="inlineStr">
        <is>
          <t>AZE</t>
        </is>
      </c>
      <c r="C58" s="5" t="inlineStr">
        <is>
          <t>AZE</t>
        </is>
      </c>
      <c r="D58" s="5" t="inlineStr">
        <is>
          <t>Azerbaijan</t>
        </is>
      </c>
      <c r="E58" s="5" t="n">
        <v>2021</v>
      </c>
      <c r="F58" s="5" t="n">
        <v>0.18</v>
      </c>
      <c r="G58" s="5" t="n">
        <v>5.553</v>
      </c>
      <c r="H58" s="5" t="n">
        <v>1.143</v>
      </c>
      <c r="I58" s="5" t="n">
        <v>0.028</v>
      </c>
      <c r="J58" s="5" t="n">
        <v>5.581</v>
      </c>
      <c r="K58" s="5" t="n">
        <v>0</v>
      </c>
      <c r="L58" s="5" t="n">
        <v>1</v>
      </c>
      <c r="M58" s="5" t="n">
        <v>7.964</v>
      </c>
      <c r="N58" s="5" t="n">
        <v>3.43</v>
      </c>
      <c r="O58" s="5" t="n">
        <v>0.04</v>
      </c>
      <c r="P58" s="5" t="n">
        <v>8.005000000000001</v>
      </c>
      <c r="Q58" s="5" t="n">
        <v>0</v>
      </c>
      <c r="R58" s="5" t="n">
        <v>1</v>
      </c>
      <c r="S58" s="5" t="n">
        <v>11.27</v>
      </c>
      <c r="T58" s="5" t="n">
        <v>6.86</v>
      </c>
      <c r="U58" s="5" t="n">
        <v>0.028</v>
      </c>
      <c r="V58" s="5" t="n">
        <v>13.331</v>
      </c>
      <c r="W58" s="5" t="n">
        <v>0.18</v>
      </c>
      <c r="X58" s="5" t="n">
        <v>1</v>
      </c>
      <c r="Y58" s="5" t="n">
        <v>4.275</v>
      </c>
      <c r="Z58" s="5" t="n">
        <v>0.485</v>
      </c>
      <c r="AA58" s="5" t="n">
        <v>-1.129</v>
      </c>
      <c r="AB58" s="5" t="n">
        <v>3.145</v>
      </c>
      <c r="AC58" s="5" t="n">
        <v>0</v>
      </c>
      <c r="AD58" s="5" t="n">
        <v>0</v>
      </c>
      <c r="AE58" s="5" t="n">
        <v>4.846</v>
      </c>
      <c r="AF58" s="5" t="n">
        <v>0.972</v>
      </c>
      <c r="AG58" s="5" t="n">
        <v>-1.701</v>
      </c>
      <c r="AH58" s="5" t="n">
        <v>3.145</v>
      </c>
      <c r="AI58" s="5" t="n">
        <v>0</v>
      </c>
      <c r="AJ58" s="5" t="n">
        <v>0</v>
      </c>
      <c r="AK58" s="5" t="n">
        <v>8.276</v>
      </c>
      <c r="AL58" s="5" t="n">
        <v>3.986</v>
      </c>
      <c r="AM58" s="5" t="n">
        <v>-5.611</v>
      </c>
      <c r="AN58" s="5" t="n">
        <v>3.145</v>
      </c>
      <c r="AO58" s="5" t="n">
        <v>0</v>
      </c>
      <c r="AP58" s="5" t="n">
        <v>0</v>
      </c>
      <c r="AQ58" s="5" t="n">
        <v>0.619</v>
      </c>
      <c r="AR58" s="5" t="n">
        <v>0.114</v>
      </c>
      <c r="AS58" s="5" t="n">
        <v>-0.121</v>
      </c>
      <c r="AT58" s="5" t="n">
        <v>0.588</v>
      </c>
      <c r="AU58" s="5" t="n">
        <v>0</v>
      </c>
      <c r="AV58" s="5" t="n">
        <v>0</v>
      </c>
      <c r="AW58" s="5" t="n">
        <v>0.599</v>
      </c>
      <c r="AX58" s="5" t="n">
        <v>0.114</v>
      </c>
      <c r="AY58" s="5" t="n">
        <v>-0.235</v>
      </c>
      <c r="AZ58" s="5" t="n">
        <v>0.429</v>
      </c>
      <c r="BA58" s="5" t="n">
        <v>0</v>
      </c>
      <c r="BB58" s="5" t="n">
        <v>0</v>
      </c>
      <c r="BC58" s="5" t="n">
        <v>0.439</v>
      </c>
      <c r="BD58" s="5" t="n">
        <v>0.114</v>
      </c>
      <c r="BE58" s="5" t="n">
        <v>-0.113</v>
      </c>
      <c r="BF58" s="5" t="n">
        <v>0.326</v>
      </c>
      <c r="BG58" s="5" t="n">
        <v>0</v>
      </c>
      <c r="BH58" s="5" t="n">
        <v>0</v>
      </c>
      <c r="BI58" s="5" t="n">
        <v>0.505</v>
      </c>
      <c r="BJ58" s="5" t="n">
        <v>0.114</v>
      </c>
      <c r="BK58" s="5" t="n">
        <v>0</v>
      </c>
      <c r="BL58" s="5" t="n">
        <v>0.596</v>
      </c>
      <c r="BM58" s="5" t="n">
        <v>0.18</v>
      </c>
      <c r="BN58" s="5" t="n">
        <v>1</v>
      </c>
      <c r="BO58" s="5" t="n">
        <v>0</v>
      </c>
      <c r="BP58" s="5" t="n">
        <v>-0.064</v>
      </c>
      <c r="BQ58" s="5" t="n">
        <v>0.053</v>
      </c>
      <c r="BR58" s="5" t="n">
        <v>0</v>
      </c>
      <c r="BS58" s="5" t="n">
        <v>0.333</v>
      </c>
      <c r="BT58" s="5" t="n">
        <v>0</v>
      </c>
      <c r="BU58" s="5" t="n">
        <v>-0.064</v>
      </c>
      <c r="BV58" s="5" t="n">
        <v>0.053</v>
      </c>
      <c r="BW58" s="5" t="n">
        <v>0</v>
      </c>
      <c r="BX58" s="5" t="n">
        <v>0.5</v>
      </c>
      <c r="BY58" s="5" t="n">
        <v>11.787</v>
      </c>
      <c r="BZ58" s="5" t="n">
        <v>0</v>
      </c>
      <c r="CA58" s="5" t="n">
        <v>11.787</v>
      </c>
      <c r="CB58" s="5" t="n">
        <v>0</v>
      </c>
      <c r="CC58" s="5" t="n">
        <v>78.125</v>
      </c>
      <c r="CD58" s="5" t="n">
        <v>7.95</v>
      </c>
      <c r="CE58" s="5" t="n">
        <v>0</v>
      </c>
      <c r="CF58" s="5" t="n">
        <v>92.188</v>
      </c>
      <c r="CG58" s="5" t="n">
        <v>0.18</v>
      </c>
      <c r="CH58" s="5" t="n">
        <v>1</v>
      </c>
      <c r="CI58" s="5" t="n">
        <v>0</v>
      </c>
      <c r="CJ58" s="5" t="n">
        <v>0</v>
      </c>
      <c r="CK58" s="5" t="n">
        <v>0</v>
      </c>
      <c r="CL58" s="5" t="n">
        <v>0</v>
      </c>
      <c r="CM58" s="5" t="n">
        <v>0</v>
      </c>
      <c r="CN58" s="5" t="n">
        <v>0.02</v>
      </c>
      <c r="CO58" s="5" t="n">
        <v>0.01</v>
      </c>
      <c r="CP58" s="5" t="n">
        <v>0</v>
      </c>
      <c r="CQ58" s="5" t="n">
        <v>1.198</v>
      </c>
      <c r="CR58" s="5" t="n">
        <v>1</v>
      </c>
      <c r="CS58" s="5" t="n">
        <v>3.703</v>
      </c>
      <c r="CT58" s="5" t="n">
        <v>4.41</v>
      </c>
      <c r="CU58" s="5" t="n">
        <v>14.129</v>
      </c>
    </row>
    <row r="59">
      <c r="A59" s="5" t="inlineStr">
        <is>
          <t>AZE2022</t>
        </is>
      </c>
      <c r="B59" s="5" t="inlineStr">
        <is>
          <t>AZE</t>
        </is>
      </c>
      <c r="C59" s="5" t="inlineStr">
        <is>
          <t>AZE</t>
        </is>
      </c>
      <c r="D59" s="5" t="inlineStr">
        <is>
          <t>Azerbaijan</t>
        </is>
      </c>
      <c r="E59" s="5" t="n">
        <v>2022</v>
      </c>
      <c r="F59" s="5" t="n">
        <v>0.18</v>
      </c>
      <c r="G59" s="5" t="n">
        <v>7.077</v>
      </c>
      <c r="H59" s="5" t="n">
        <v>1.235</v>
      </c>
      <c r="I59" s="5" t="n">
        <v>0.043</v>
      </c>
      <c r="J59" s="5" t="n">
        <v>7.12</v>
      </c>
      <c r="K59" s="5" t="n">
        <v>0</v>
      </c>
      <c r="L59" s="5" t="n">
        <v>1</v>
      </c>
      <c r="M59" s="5" t="n">
        <v>9.782999999999999</v>
      </c>
      <c r="N59" s="5" t="n">
        <v>3.704</v>
      </c>
      <c r="O59" s="5" t="n">
        <v>0.058</v>
      </c>
      <c r="P59" s="5" t="n">
        <v>9.84</v>
      </c>
      <c r="Q59" s="5" t="n">
        <v>0</v>
      </c>
      <c r="R59" s="5" t="n">
        <v>1</v>
      </c>
      <c r="S59" s="5" t="n">
        <v>13.25</v>
      </c>
      <c r="T59" s="5" t="n">
        <v>7.408</v>
      </c>
      <c r="U59" s="5" t="n">
        <v>0.22</v>
      </c>
      <c r="V59" s="5" t="n">
        <v>15.686</v>
      </c>
      <c r="W59" s="5" t="n">
        <v>0.18</v>
      </c>
      <c r="X59" s="5" t="n">
        <v>1</v>
      </c>
      <c r="Y59" s="5" t="n">
        <v>4.591</v>
      </c>
      <c r="Z59" s="5" t="n">
        <v>0.521</v>
      </c>
      <c r="AA59" s="5" t="n">
        <v>-0.833</v>
      </c>
      <c r="AB59" s="5" t="n">
        <v>3.758</v>
      </c>
      <c r="AC59" s="5" t="n">
        <v>0</v>
      </c>
      <c r="AD59" s="5" t="n">
        <v>0</v>
      </c>
      <c r="AE59" s="5" t="n">
        <v>5.277</v>
      </c>
      <c r="AF59" s="5" t="n">
        <v>1.058</v>
      </c>
      <c r="AG59" s="5" t="n">
        <v>-1.519</v>
      </c>
      <c r="AH59" s="5" t="n">
        <v>3.758</v>
      </c>
      <c r="AI59" s="5" t="n">
        <v>0</v>
      </c>
      <c r="AJ59" s="5" t="n">
        <v>0</v>
      </c>
      <c r="AK59" s="5" t="n">
        <v>9.394</v>
      </c>
      <c r="AL59" s="5" t="n">
        <v>4.524</v>
      </c>
      <c r="AM59" s="5" t="n">
        <v>-6.209</v>
      </c>
      <c r="AN59" s="5" t="n">
        <v>3.758</v>
      </c>
      <c r="AO59" s="5" t="n">
        <v>0</v>
      </c>
      <c r="AP59" s="5" t="n">
        <v>0</v>
      </c>
      <c r="AQ59" s="5" t="n">
        <v>0.861</v>
      </c>
      <c r="AR59" s="5" t="n">
        <v>0.123</v>
      </c>
      <c r="AS59" s="5" t="n">
        <v>-0.363</v>
      </c>
      <c r="AT59" s="5" t="n">
        <v>0.588</v>
      </c>
      <c r="AU59" s="5" t="n">
        <v>0</v>
      </c>
      <c r="AV59" s="5" t="n">
        <v>0</v>
      </c>
      <c r="AW59" s="5" t="n">
        <v>0.986</v>
      </c>
      <c r="AX59" s="5" t="n">
        <v>0.123</v>
      </c>
      <c r="AY59" s="5" t="n">
        <v>-0.622</v>
      </c>
      <c r="AZ59" s="5" t="n">
        <v>0.43</v>
      </c>
      <c r="BA59" s="5" t="n">
        <v>0</v>
      </c>
      <c r="BB59" s="5" t="n">
        <v>0</v>
      </c>
      <c r="BC59" s="5" t="n">
        <v>0.598</v>
      </c>
      <c r="BD59" s="5" t="n">
        <v>0.123</v>
      </c>
      <c r="BE59" s="5" t="n">
        <v>-0.122</v>
      </c>
      <c r="BF59" s="5" t="n">
        <v>0.476</v>
      </c>
      <c r="BG59" s="5" t="n">
        <v>0</v>
      </c>
      <c r="BH59" s="5" t="n">
        <v>0</v>
      </c>
      <c r="BI59" s="5" t="n">
        <v>0.612</v>
      </c>
      <c r="BJ59" s="5" t="n">
        <v>0.123</v>
      </c>
      <c r="BK59" s="5" t="n">
        <v>0.008</v>
      </c>
      <c r="BL59" s="5" t="n">
        <v>0.723</v>
      </c>
      <c r="BM59" s="5" t="n">
        <v>0.18</v>
      </c>
      <c r="BN59" s="5" t="n">
        <v>1</v>
      </c>
      <c r="BO59" s="5" t="n">
        <v>0</v>
      </c>
      <c r="BP59" s="5" t="n">
        <v>-0.064</v>
      </c>
      <c r="BQ59" s="5" t="n">
        <v>0.065</v>
      </c>
      <c r="BR59" s="5" t="n">
        <v>0</v>
      </c>
      <c r="BS59" s="5" t="n">
        <v>0.333</v>
      </c>
      <c r="BT59" s="5" t="n">
        <v>0</v>
      </c>
      <c r="BU59" s="5" t="n">
        <v>-0.064</v>
      </c>
      <c r="BV59" s="5" t="n">
        <v>0.047</v>
      </c>
      <c r="BW59" s="5" t="n">
        <v>0</v>
      </c>
      <c r="BX59" s="5" t="n">
        <v>0.5</v>
      </c>
      <c r="BY59" s="5" t="n">
        <v>12.729</v>
      </c>
      <c r="BZ59" s="5" t="n">
        <v>0</v>
      </c>
      <c r="CA59" s="5" t="n">
        <v>12.729</v>
      </c>
      <c r="CB59" s="5" t="n">
        <v>0</v>
      </c>
      <c r="CC59" s="5" t="n">
        <v>97.90000000000001</v>
      </c>
      <c r="CD59" s="5" t="n">
        <v>7.95</v>
      </c>
      <c r="CE59" s="5" t="n">
        <v>1.304</v>
      </c>
      <c r="CF59" s="5" t="n">
        <v>115.522</v>
      </c>
      <c r="CG59" s="5" t="n">
        <v>0.18</v>
      </c>
      <c r="CH59" s="5" t="n">
        <v>1</v>
      </c>
      <c r="CI59" s="5" t="n">
        <v>0</v>
      </c>
      <c r="CJ59" s="5" t="n">
        <v>0</v>
      </c>
      <c r="CK59" s="5" t="n">
        <v>0</v>
      </c>
      <c r="CL59" s="5" t="n">
        <v>0</v>
      </c>
      <c r="CM59" s="5" t="n">
        <v>0</v>
      </c>
      <c r="CN59" s="5" t="n">
        <v>0.023</v>
      </c>
      <c r="CO59" s="5" t="n">
        <v>0.011</v>
      </c>
      <c r="CP59" s="5" t="n">
        <v>0</v>
      </c>
      <c r="CQ59" s="5" t="n">
        <v>1.294</v>
      </c>
      <c r="CR59" s="5" t="n">
        <v>0.889</v>
      </c>
      <c r="CS59" s="5" t="n">
        <v>3.999</v>
      </c>
      <c r="CT59" s="5" t="n">
        <v>5.842</v>
      </c>
      <c r="CU59" s="5" t="n">
        <v>28.059</v>
      </c>
    </row>
    <row r="60">
      <c r="A60" s="5" t="inlineStr">
        <is>
          <t>AZE2023</t>
        </is>
      </c>
      <c r="B60" s="5" t="inlineStr">
        <is>
          <t>AZE</t>
        </is>
      </c>
      <c r="C60" s="5" t="inlineStr">
        <is>
          <t>AZE</t>
        </is>
      </c>
      <c r="D60" s="5" t="inlineStr">
        <is>
          <t>Azerbaijan</t>
        </is>
      </c>
      <c r="E60" s="5" t="n">
        <v>2023</v>
      </c>
      <c r="F60" s="5" t="n">
        <v>0.18</v>
      </c>
      <c r="G60" s="5" t="n">
        <v>4.752</v>
      </c>
      <c r="H60" s="5" t="n">
        <v>1.286</v>
      </c>
      <c r="I60" s="5" t="n">
        <v>0.027</v>
      </c>
      <c r="J60" s="5" t="n">
        <v>4.778</v>
      </c>
      <c r="K60" s="5" t="n">
        <v>0</v>
      </c>
      <c r="L60" s="5" t="n">
        <v>1</v>
      </c>
      <c r="M60" s="5" t="n">
        <v>7.886</v>
      </c>
      <c r="N60" s="5" t="n">
        <v>3.857</v>
      </c>
      <c r="O60" s="5" t="n">
        <v>0.04</v>
      </c>
      <c r="P60" s="5" t="n">
        <v>7.926</v>
      </c>
      <c r="Q60" s="5" t="n">
        <v>0</v>
      </c>
      <c r="R60" s="5" t="n">
        <v>1</v>
      </c>
      <c r="S60" s="5" t="n">
        <v>11.18</v>
      </c>
      <c r="T60" s="5" t="n">
        <v>7.714</v>
      </c>
      <c r="U60" s="5" t="n">
        <v>0.25</v>
      </c>
      <c r="V60" s="5" t="n">
        <v>13.224</v>
      </c>
      <c r="W60" s="5" t="n">
        <v>0.18</v>
      </c>
      <c r="X60" s="5" t="n">
        <v>1</v>
      </c>
      <c r="Y60" s="5" t="n">
        <v>4.685</v>
      </c>
      <c r="Z60" s="5" t="n">
        <v>0.532</v>
      </c>
      <c r="AA60" s="5" t="n">
        <v>-0.927</v>
      </c>
      <c r="AB60" s="5" t="n">
        <v>3.758</v>
      </c>
      <c r="AC60" s="5" t="n">
        <v>0</v>
      </c>
      <c r="AD60" s="5" t="n">
        <v>0</v>
      </c>
      <c r="AE60" s="5" t="n">
        <v>5.429</v>
      </c>
      <c r="AF60" s="5" t="n">
        <v>1.089</v>
      </c>
      <c r="AG60" s="5" t="n">
        <v>-1.671</v>
      </c>
      <c r="AH60" s="5" t="n">
        <v>3.758</v>
      </c>
      <c r="AI60" s="5" t="n">
        <v>0</v>
      </c>
      <c r="AJ60" s="5" t="n">
        <v>0</v>
      </c>
      <c r="AK60" s="5" t="n">
        <v>9.890000000000001</v>
      </c>
      <c r="AL60" s="5" t="n">
        <v>4.763</v>
      </c>
      <c r="AM60" s="5" t="n">
        <v>-6.705</v>
      </c>
      <c r="AN60" s="5" t="n">
        <v>3.758</v>
      </c>
      <c r="AO60" s="5" t="n">
        <v>0</v>
      </c>
      <c r="AP60" s="5" t="n">
        <v>0</v>
      </c>
      <c r="AQ60" s="5" t="n">
        <v>0.76</v>
      </c>
      <c r="AR60" s="5" t="n">
        <v>0.129</v>
      </c>
      <c r="AS60" s="5" t="n">
        <v>-0.262</v>
      </c>
      <c r="AT60" s="5" t="n">
        <v>0.588</v>
      </c>
      <c r="AU60" s="5" t="n">
        <v>0</v>
      </c>
      <c r="AV60" s="5" t="n">
        <v>0</v>
      </c>
      <c r="AW60" s="5" t="n">
        <v>0.8110000000000001</v>
      </c>
      <c r="AX60" s="5" t="n">
        <v>0.129</v>
      </c>
      <c r="AY60" s="5" t="n">
        <v>-0.447</v>
      </c>
      <c r="AZ60" s="5" t="n">
        <v>0.43</v>
      </c>
      <c r="BA60" s="5" t="n">
        <v>0</v>
      </c>
      <c r="BB60" s="5" t="n">
        <v>0</v>
      </c>
      <c r="BC60" s="5" t="n">
        <v>0.535</v>
      </c>
      <c r="BD60" s="5" t="n">
        <v>0.129</v>
      </c>
      <c r="BE60" s="5" t="n">
        <v>-0.127</v>
      </c>
      <c r="BF60" s="5" t="n">
        <v>0.408</v>
      </c>
      <c r="BG60" s="5" t="n">
        <v>0</v>
      </c>
      <c r="BH60" s="5" t="n">
        <v>0</v>
      </c>
      <c r="BI60" s="5" t="n">
        <v>0.579</v>
      </c>
      <c r="BJ60" s="5" t="n">
        <v>0.129</v>
      </c>
      <c r="BK60" s="5" t="n">
        <v>0.012</v>
      </c>
      <c r="BL60" s="5" t="n">
        <v>0.6840000000000001</v>
      </c>
      <c r="BM60" s="5" t="n">
        <v>0.18</v>
      </c>
      <c r="BN60" s="5" t="n">
        <v>1</v>
      </c>
      <c r="BO60" s="5" t="n">
        <v>0</v>
      </c>
      <c r="BP60" s="5" t="n">
        <v>-0.064</v>
      </c>
      <c r="BQ60" s="5" t="n">
        <v>0.065</v>
      </c>
      <c r="BR60" s="5" t="n">
        <v>0</v>
      </c>
      <c r="BS60" s="5" t="n">
        <v>0.333</v>
      </c>
      <c r="BT60" s="5" t="n">
        <v>0</v>
      </c>
      <c r="BU60" s="5" t="n">
        <v>-0.064</v>
      </c>
      <c r="BV60" s="5" t="n">
        <v>0.047</v>
      </c>
      <c r="BW60" s="5" t="n">
        <v>0</v>
      </c>
      <c r="BX60" s="5" t="n">
        <v>0.5</v>
      </c>
      <c r="BY60" s="5" t="n">
        <v>13.254</v>
      </c>
      <c r="BZ60" s="5" t="n">
        <v>0</v>
      </c>
      <c r="CA60" s="5" t="n">
        <v>13.254</v>
      </c>
      <c r="CB60" s="5" t="n">
        <v>0</v>
      </c>
      <c r="CC60" s="5" t="n">
        <v>83.248</v>
      </c>
      <c r="CD60" s="5" t="n">
        <v>7.95</v>
      </c>
      <c r="CE60" s="5" t="n">
        <v>1.659</v>
      </c>
      <c r="CF60" s="5" t="n">
        <v>98.233</v>
      </c>
      <c r="CG60" s="5" t="n">
        <v>0.18</v>
      </c>
      <c r="CH60" s="5" t="n">
        <v>1</v>
      </c>
      <c r="CI60" s="5" t="n">
        <v>0</v>
      </c>
      <c r="CJ60" s="5" t="n">
        <v>0</v>
      </c>
      <c r="CK60" s="5" t="n">
        <v>0</v>
      </c>
      <c r="CL60" s="5" t="n">
        <v>0</v>
      </c>
      <c r="CM60" s="5" t="n">
        <v>0</v>
      </c>
      <c r="CN60" s="5" t="n">
        <v>0.025</v>
      </c>
      <c r="CO60" s="5" t="n">
        <v>0.01</v>
      </c>
      <c r="CP60" s="5" t="n">
        <v>0</v>
      </c>
      <c r="CQ60" s="5" t="n">
        <v>1.348</v>
      </c>
      <c r="CR60" s="5" t="n">
        <v>0.843</v>
      </c>
      <c r="CS60" s="5" t="n">
        <v>4.164</v>
      </c>
      <c r="CT60" s="5" t="n">
        <v>3.466</v>
      </c>
      <c r="CU60" s="5" t="n">
        <v>9.260999999999999</v>
      </c>
    </row>
    <row r="61">
      <c r="A61" s="5" t="inlineStr">
        <is>
          <t>AZE2024</t>
        </is>
      </c>
      <c r="B61" s="5" t="inlineStr">
        <is>
          <t>AZE</t>
        </is>
      </c>
      <c r="C61" s="5" t="inlineStr">
        <is>
          <t>AZE</t>
        </is>
      </c>
      <c r="D61" s="5" t="inlineStr">
        <is>
          <t>Azerbaijan</t>
        </is>
      </c>
      <c r="E61" s="5" t="n">
        <v>2024</v>
      </c>
      <c r="F61" s="5" t="n">
        <v>0.18</v>
      </c>
      <c r="G61" s="5" t="n">
        <v>4.351</v>
      </c>
      <c r="H61" s="5" t="n">
        <v>1.324</v>
      </c>
      <c r="I61" s="5" t="n">
        <v>0.021</v>
      </c>
      <c r="J61" s="5" t="n">
        <v>4.371</v>
      </c>
      <c r="K61" s="5" t="n">
        <v>0</v>
      </c>
      <c r="L61" s="5" t="n">
        <v>1</v>
      </c>
      <c r="M61" s="5" t="n">
        <v>7.124</v>
      </c>
      <c r="N61" s="5" t="n">
        <v>3.971</v>
      </c>
      <c r="O61" s="5" t="n">
        <v>0.028</v>
      </c>
      <c r="P61" s="5" t="n">
        <v>7.151</v>
      </c>
      <c r="Q61" s="5" t="n">
        <v>0</v>
      </c>
      <c r="R61" s="5" t="n">
        <v>1</v>
      </c>
      <c r="S61" s="5" t="n">
        <v>10.969</v>
      </c>
      <c r="T61" s="5" t="n">
        <v>7.942</v>
      </c>
      <c r="U61" s="5" t="n">
        <v>0.29</v>
      </c>
      <c r="V61" s="5" t="n">
        <v>12.967</v>
      </c>
      <c r="W61" s="5" t="n">
        <v>0.18</v>
      </c>
      <c r="X61" s="5" t="n">
        <v>1</v>
      </c>
      <c r="Y61" s="5" t="n">
        <v>4.794</v>
      </c>
      <c r="Z61" s="5" t="n">
        <v>0.544</v>
      </c>
      <c r="AA61" s="5" t="n">
        <v>-1.036</v>
      </c>
      <c r="AB61" s="5" t="n">
        <v>3.758</v>
      </c>
      <c r="AC61" s="5" t="n">
        <v>0</v>
      </c>
      <c r="AD61" s="5" t="n">
        <v>0</v>
      </c>
      <c r="AE61" s="5" t="n">
        <v>5.56</v>
      </c>
      <c r="AF61" s="5" t="n">
        <v>1.115</v>
      </c>
      <c r="AG61" s="5" t="n">
        <v>-1.802</v>
      </c>
      <c r="AH61" s="5" t="n">
        <v>3.758</v>
      </c>
      <c r="AI61" s="5" t="n">
        <v>0</v>
      </c>
      <c r="AJ61" s="5" t="n">
        <v>0</v>
      </c>
      <c r="AK61" s="5" t="n">
        <v>10.153</v>
      </c>
      <c r="AL61" s="5" t="n">
        <v>4.89</v>
      </c>
      <c r="AM61" s="5" t="n">
        <v>-6.968</v>
      </c>
      <c r="AN61" s="5" t="n">
        <v>3.758</v>
      </c>
      <c r="AO61" s="5" t="n">
        <v>0</v>
      </c>
      <c r="AP61" s="5" t="n">
        <v>0</v>
      </c>
      <c r="AQ61" s="5" t="n">
        <v>0.724</v>
      </c>
      <c r="AR61" s="5" t="n">
        <v>0.132</v>
      </c>
      <c r="AS61" s="5" t="n">
        <v>-0.187</v>
      </c>
      <c r="AT61" s="5" t="n">
        <v>0.634</v>
      </c>
      <c r="AU61" s="5" t="n">
        <v>0</v>
      </c>
      <c r="AV61" s="5" t="n">
        <v>0</v>
      </c>
      <c r="AW61" s="5" t="n">
        <v>0.75</v>
      </c>
      <c r="AX61" s="5" t="n">
        <v>0.132</v>
      </c>
      <c r="AY61" s="5" t="n">
        <v>-0.303</v>
      </c>
      <c r="AZ61" s="5" t="n">
        <v>0.528</v>
      </c>
      <c r="BA61" s="5" t="n">
        <v>0</v>
      </c>
      <c r="BB61" s="5" t="n">
        <v>0</v>
      </c>
      <c r="BC61" s="5" t="n">
        <v>0.513</v>
      </c>
      <c r="BD61" s="5" t="n">
        <v>0.132</v>
      </c>
      <c r="BE61" s="5" t="n">
        <v>-0.189</v>
      </c>
      <c r="BF61" s="5" t="n">
        <v>0.382</v>
      </c>
      <c r="BG61" s="5" t="n">
        <v>0</v>
      </c>
      <c r="BH61" s="5" t="n">
        <v>0</v>
      </c>
      <c r="BI61" s="5" t="n">
        <v>0.591</v>
      </c>
      <c r="BJ61" s="5" t="n">
        <v>0.132</v>
      </c>
      <c r="BK61" s="5" t="n">
        <v>0.014</v>
      </c>
      <c r="BL61" s="5" t="n">
        <v>0.698</v>
      </c>
      <c r="BM61" s="5" t="n">
        <v>0.18</v>
      </c>
      <c r="BN61" s="5" t="n">
        <v>1</v>
      </c>
      <c r="BO61" s="5" t="n">
        <v>0</v>
      </c>
      <c r="BP61" s="5" t="n">
        <v>-0.066</v>
      </c>
      <c r="BQ61" s="5" t="n">
        <v>0.063</v>
      </c>
      <c r="BR61" s="5" t="n">
        <v>0</v>
      </c>
      <c r="BS61" s="5" t="n">
        <v>0.333</v>
      </c>
      <c r="BT61" s="5" t="n">
        <v>0</v>
      </c>
      <c r="BU61" s="5" t="n">
        <v>-0.066</v>
      </c>
      <c r="BV61" s="5" t="n">
        <v>0.046</v>
      </c>
      <c r="BW61" s="5" t="n">
        <v>0</v>
      </c>
      <c r="BX61" s="5" t="n">
        <v>0.5</v>
      </c>
      <c r="BY61" s="5" t="n">
        <v>13.646</v>
      </c>
      <c r="BZ61" s="5" t="n">
        <v>0</v>
      </c>
      <c r="CA61" s="5" t="n">
        <v>13.646</v>
      </c>
      <c r="CB61" s="5" t="n">
        <v>0</v>
      </c>
      <c r="CC61" s="5" t="n">
        <v>82.58799999999999</v>
      </c>
      <c r="CD61" s="5" t="n">
        <v>7.95</v>
      </c>
      <c r="CE61" s="5" t="n">
        <v>2.025</v>
      </c>
      <c r="CF61" s="5" t="n">
        <v>97.45399999999999</v>
      </c>
      <c r="CG61" s="5" t="n">
        <v>0.18</v>
      </c>
      <c r="CH61" s="5" t="n">
        <v>1</v>
      </c>
      <c r="CI61" s="5" t="n">
        <v>0</v>
      </c>
      <c r="CJ61" s="5" t="n">
        <v>0</v>
      </c>
      <c r="CK61" s="5" t="n">
        <v>0</v>
      </c>
      <c r="CL61" s="5" t="n">
        <v>0</v>
      </c>
      <c r="CM61" s="5" t="n">
        <v>0</v>
      </c>
      <c r="CN61" s="5" t="n">
        <v>0.026</v>
      </c>
      <c r="CO61" s="5" t="n">
        <v>0.01</v>
      </c>
      <c r="CP61" s="5" t="n">
        <v>0</v>
      </c>
      <c r="CQ61" s="5" t="n">
        <v>1.387</v>
      </c>
      <c r="CR61" s="5" t="n">
        <v>0.843</v>
      </c>
      <c r="CS61" s="5" t="n">
        <v>4.287</v>
      </c>
      <c r="CT61" s="5" t="n">
        <v>3.027</v>
      </c>
      <c r="CU61" s="5" t="n">
        <v>7.598</v>
      </c>
    </row>
    <row r="62">
      <c r="A62" s="5" t="inlineStr">
        <is>
          <t>BHS2021</t>
        </is>
      </c>
      <c r="B62" s="5" t="inlineStr">
        <is>
          <t>BHS</t>
        </is>
      </c>
      <c r="C62" s="5" t="inlineStr">
        <is>
          <t>BHS</t>
        </is>
      </c>
      <c r="D62" s="5" t="inlineStr">
        <is>
          <t>Bahamas, The</t>
        </is>
      </c>
      <c r="E62" s="5" t="n">
        <v>2021</v>
      </c>
      <c r="F62" s="5" t="n">
        <v>0.12</v>
      </c>
      <c r="G62" s="5" t="n">
        <v>5.897</v>
      </c>
      <c r="H62" s="5" t="n">
        <v>1.143</v>
      </c>
      <c r="I62" s="5" t="n">
        <v>0</v>
      </c>
      <c r="J62" s="5" t="n">
        <v>5.897</v>
      </c>
      <c r="K62" s="5" t="n">
        <v>0</v>
      </c>
      <c r="L62" s="5" t="n">
        <v>1</v>
      </c>
      <c r="M62" s="5" t="n">
        <v>7.964</v>
      </c>
      <c r="N62" s="5" t="n">
        <v>3.43</v>
      </c>
      <c r="O62" s="5" t="n">
        <v>0</v>
      </c>
      <c r="P62" s="5" t="n">
        <v>7.964</v>
      </c>
      <c r="Q62" s="5" t="n">
        <v>0</v>
      </c>
      <c r="R62" s="5" t="n">
        <v>1</v>
      </c>
      <c r="S62" s="5" t="n">
        <v>11.613</v>
      </c>
      <c r="T62" s="5" t="n">
        <v>6.86</v>
      </c>
      <c r="U62" s="5" t="n">
        <v>0</v>
      </c>
      <c r="V62" s="5" t="n">
        <v>13.007</v>
      </c>
      <c r="W62" s="5" t="n">
        <v>0.12</v>
      </c>
      <c r="X62" s="5" t="n">
        <v>1</v>
      </c>
      <c r="Y62" s="5" t="n">
        <v>16.985</v>
      </c>
      <c r="Z62" s="5" t="n">
        <v>2.285</v>
      </c>
      <c r="AA62" s="5" t="n">
        <v>0</v>
      </c>
      <c r="AB62" s="5" t="n">
        <v>16.985</v>
      </c>
      <c r="AC62" s="5" t="n">
        <v>0</v>
      </c>
      <c r="AD62" s="5" t="n">
        <v>1</v>
      </c>
      <c r="AE62" s="5" t="n">
        <v>18.128</v>
      </c>
      <c r="AF62" s="5" t="n">
        <v>4.245</v>
      </c>
      <c r="AG62" s="5" t="n">
        <v>0</v>
      </c>
      <c r="AH62" s="5" t="n">
        <v>18.128</v>
      </c>
      <c r="AI62" s="5" t="n">
        <v>0</v>
      </c>
      <c r="AJ62" s="5" t="n">
        <v>1</v>
      </c>
      <c r="AK62" s="5" t="n">
        <v>24.988</v>
      </c>
      <c r="AL62" s="5" t="n">
        <v>13.427</v>
      </c>
      <c r="AM62" s="5" t="n">
        <v>0</v>
      </c>
      <c r="AN62" s="5" t="n">
        <v>27.987</v>
      </c>
      <c r="AO62" s="5" t="n">
        <v>0.12</v>
      </c>
      <c r="AP62" s="5" t="n">
        <v>1</v>
      </c>
      <c r="AQ62" s="5" t="n">
        <v>0.649</v>
      </c>
      <c r="AR62" s="5" t="n">
        <v>0.114</v>
      </c>
      <c r="AS62" s="5" t="n">
        <v>0.609</v>
      </c>
      <c r="AT62" s="5" t="n">
        <v>1.409</v>
      </c>
      <c r="AU62" s="5" t="n">
        <v>0.12</v>
      </c>
      <c r="AV62" s="5" t="n">
        <v>1</v>
      </c>
      <c r="AW62" s="5" t="n">
        <v>0.577</v>
      </c>
      <c r="AX62" s="5" t="n">
        <v>0.114</v>
      </c>
      <c r="AY62" s="5" t="n">
        <v>0.498</v>
      </c>
      <c r="AZ62" s="5" t="n">
        <v>1.204</v>
      </c>
      <c r="BA62" s="5" t="n">
        <v>0.12</v>
      </c>
      <c r="BB62" s="5" t="n">
        <v>1</v>
      </c>
      <c r="BC62" s="5" t="n">
        <v>0.458</v>
      </c>
      <c r="BD62" s="5" t="n">
        <v>0.114</v>
      </c>
      <c r="BE62" s="5" t="n">
        <v>0.002</v>
      </c>
      <c r="BF62" s="5" t="n">
        <v>0.515</v>
      </c>
      <c r="BG62" s="5" t="n">
        <v>0.12</v>
      </c>
      <c r="BH62" s="5" t="n">
        <v>1</v>
      </c>
      <c r="BI62" s="5" t="n">
        <v>0.491</v>
      </c>
      <c r="BJ62" s="5" t="n">
        <v>0.114</v>
      </c>
      <c r="BK62" s="5" t="n">
        <v>0.022</v>
      </c>
      <c r="BL62" s="5" t="n">
        <v>0.575</v>
      </c>
      <c r="BM62" s="5" t="n">
        <v>0.12</v>
      </c>
      <c r="BN62" s="5" t="n">
        <v>1</v>
      </c>
      <c r="BO62" s="5" t="n">
        <v>0</v>
      </c>
      <c r="BP62" s="5" t="n">
        <v>0</v>
      </c>
      <c r="BQ62" s="5" t="n">
        <v>0.253</v>
      </c>
      <c r="BR62" s="5" t="n">
        <v>0</v>
      </c>
      <c r="BS62" s="5" t="n">
        <v>1</v>
      </c>
      <c r="BT62" s="5" t="n">
        <v>0</v>
      </c>
      <c r="BU62" s="5" t="n">
        <v>0</v>
      </c>
      <c r="BV62" s="5" t="n">
        <v>0.262</v>
      </c>
      <c r="BW62" s="5" t="n">
        <v>0.12</v>
      </c>
      <c r="BX62" s="5" t="n">
        <v>1</v>
      </c>
      <c r="BY62" s="5" t="n">
        <v>11.787</v>
      </c>
      <c r="BZ62" s="5" t="n">
        <v>0</v>
      </c>
      <c r="CA62" s="5" t="n">
        <v>11.787</v>
      </c>
      <c r="CB62" s="5" t="n">
        <v>0</v>
      </c>
      <c r="CC62" s="5" t="n">
        <v>78.125</v>
      </c>
      <c r="CD62" s="5" t="n">
        <v>7.95</v>
      </c>
      <c r="CE62" s="5" t="n">
        <v>0</v>
      </c>
      <c r="CF62" s="5" t="n">
        <v>87.5</v>
      </c>
      <c r="CG62" s="5" t="n">
        <v>0.12</v>
      </c>
      <c r="CH62" s="5" t="n">
        <v>1</v>
      </c>
      <c r="CI62" s="5" t="n">
        <v>0</v>
      </c>
      <c r="CJ62" s="5" t="n">
        <v>0</v>
      </c>
      <c r="CK62" s="5" t="n">
        <v>0</v>
      </c>
      <c r="CL62" s="5" t="n">
        <v>0</v>
      </c>
      <c r="CM62" s="5" t="n">
        <v>0</v>
      </c>
      <c r="CN62" s="5" t="n">
        <v>0</v>
      </c>
      <c r="CO62" s="5" t="n">
        <v>0</v>
      </c>
      <c r="CP62" s="5" t="n">
        <v>0</v>
      </c>
      <c r="CQ62" s="5" t="n">
        <v>1.198</v>
      </c>
      <c r="CR62" s="5" t="n">
        <v>0</v>
      </c>
      <c r="CS62" s="5" t="n">
        <v>4.776</v>
      </c>
      <c r="CT62" s="5" t="n">
        <v>4.753</v>
      </c>
      <c r="CU62" s="5" t="n">
        <v>15.983</v>
      </c>
    </row>
    <row r="63">
      <c r="A63" s="5" t="inlineStr">
        <is>
          <t>BHS2022</t>
        </is>
      </c>
      <c r="B63" s="5" t="inlineStr">
        <is>
          <t>BHS</t>
        </is>
      </c>
      <c r="C63" s="5" t="inlineStr">
        <is>
          <t>BHS</t>
        </is>
      </c>
      <c r="D63" s="5" t="inlineStr">
        <is>
          <t>Bahamas, The</t>
        </is>
      </c>
      <c r="E63" s="5" t="n">
        <v>2022</v>
      </c>
      <c r="F63" s="5" t="n">
        <v>0.1</v>
      </c>
      <c r="G63" s="5" t="n">
        <v>11.72</v>
      </c>
      <c r="H63" s="5" t="n">
        <v>1.235</v>
      </c>
      <c r="I63" s="5" t="n">
        <v>0</v>
      </c>
      <c r="J63" s="5" t="n">
        <v>11.72</v>
      </c>
      <c r="K63" s="5" t="n">
        <v>0</v>
      </c>
      <c r="L63" s="5" t="n">
        <v>1</v>
      </c>
      <c r="M63" s="5" t="n">
        <v>9.782999999999999</v>
      </c>
      <c r="N63" s="5" t="n">
        <v>3.704</v>
      </c>
      <c r="O63" s="5" t="n">
        <v>0</v>
      </c>
      <c r="P63" s="5" t="n">
        <v>9.782999999999999</v>
      </c>
      <c r="Q63" s="5" t="n">
        <v>0</v>
      </c>
      <c r="R63" s="5" t="n">
        <v>1</v>
      </c>
      <c r="S63" s="5" t="n">
        <v>17.893</v>
      </c>
      <c r="T63" s="5" t="n">
        <v>7.408</v>
      </c>
      <c r="U63" s="5" t="n">
        <v>0.132</v>
      </c>
      <c r="V63" s="5" t="n">
        <v>19.683</v>
      </c>
      <c r="W63" s="5" t="n">
        <v>0.1</v>
      </c>
      <c r="X63" s="5" t="n">
        <v>1</v>
      </c>
      <c r="Y63" s="5" t="n">
        <v>30.435</v>
      </c>
      <c r="Z63" s="5" t="n">
        <v>4.094</v>
      </c>
      <c r="AA63" s="5" t="n">
        <v>0</v>
      </c>
      <c r="AB63" s="5" t="n">
        <v>30.435</v>
      </c>
      <c r="AC63" s="5" t="n">
        <v>0</v>
      </c>
      <c r="AD63" s="5" t="n">
        <v>1</v>
      </c>
      <c r="AE63" s="5" t="n">
        <v>31.67</v>
      </c>
      <c r="AF63" s="5" t="n">
        <v>7.416</v>
      </c>
      <c r="AG63" s="5" t="n">
        <v>0</v>
      </c>
      <c r="AH63" s="5" t="n">
        <v>31.67</v>
      </c>
      <c r="AI63" s="5" t="n">
        <v>0</v>
      </c>
      <c r="AJ63" s="5" t="n">
        <v>1</v>
      </c>
      <c r="AK63" s="5" t="n">
        <v>39.078</v>
      </c>
      <c r="AL63" s="5" t="n">
        <v>20.998</v>
      </c>
      <c r="AM63" s="5" t="n">
        <v>0.289</v>
      </c>
      <c r="AN63" s="5" t="n">
        <v>42.986</v>
      </c>
      <c r="AO63" s="5" t="n">
        <v>0.1</v>
      </c>
      <c r="AP63" s="5" t="n">
        <v>1</v>
      </c>
      <c r="AQ63" s="5" t="n">
        <v>0.896</v>
      </c>
      <c r="AR63" s="5" t="n">
        <v>0.123</v>
      </c>
      <c r="AS63" s="5" t="n">
        <v>0.676</v>
      </c>
      <c r="AT63" s="5" t="n">
        <v>1.716</v>
      </c>
      <c r="AU63" s="5" t="n">
        <v>0.1</v>
      </c>
      <c r="AV63" s="5" t="n">
        <v>1</v>
      </c>
      <c r="AW63" s="5" t="n">
        <v>0.89</v>
      </c>
      <c r="AX63" s="5" t="n">
        <v>0.123</v>
      </c>
      <c r="AY63" s="5" t="n">
        <v>0.545</v>
      </c>
      <c r="AZ63" s="5" t="n">
        <v>1.567</v>
      </c>
      <c r="BA63" s="5" t="n">
        <v>0.1</v>
      </c>
      <c r="BB63" s="5" t="n">
        <v>1</v>
      </c>
      <c r="BC63" s="5" t="n">
        <v>0.62</v>
      </c>
      <c r="BD63" s="5" t="n">
        <v>0.123</v>
      </c>
      <c r="BE63" s="5" t="n">
        <v>0.007</v>
      </c>
      <c r="BF63" s="5" t="n">
        <v>0.6850000000000001</v>
      </c>
      <c r="BG63" s="5" t="n">
        <v>0.1</v>
      </c>
      <c r="BH63" s="5" t="n">
        <v>1</v>
      </c>
      <c r="BI63" s="5" t="n">
        <v>0.608</v>
      </c>
      <c r="BJ63" s="5" t="n">
        <v>0.123</v>
      </c>
      <c r="BK63" s="5" t="n">
        <v>0.037</v>
      </c>
      <c r="BL63" s="5" t="n">
        <v>0.703</v>
      </c>
      <c r="BM63" s="5" t="n">
        <v>0.1</v>
      </c>
      <c r="BN63" s="5" t="n">
        <v>1</v>
      </c>
      <c r="BO63" s="5" t="n">
        <v>0</v>
      </c>
      <c r="BP63" s="5" t="n">
        <v>0</v>
      </c>
      <c r="BQ63" s="5" t="n">
        <v>0.264</v>
      </c>
      <c r="BR63" s="5" t="n">
        <v>0</v>
      </c>
      <c r="BS63" s="5" t="n">
        <v>1</v>
      </c>
      <c r="BT63" s="5" t="n">
        <v>0</v>
      </c>
      <c r="BU63" s="5" t="n">
        <v>0</v>
      </c>
      <c r="BV63" s="5" t="n">
        <v>0.273</v>
      </c>
      <c r="BW63" s="5" t="n">
        <v>0.1</v>
      </c>
      <c r="BX63" s="5" t="n">
        <v>1</v>
      </c>
      <c r="BY63" s="5" t="n">
        <v>12.729</v>
      </c>
      <c r="BZ63" s="5" t="n">
        <v>0</v>
      </c>
      <c r="CA63" s="5" t="n">
        <v>12.729</v>
      </c>
      <c r="CB63" s="5" t="n">
        <v>0</v>
      </c>
      <c r="CC63" s="5" t="n">
        <v>97.90000000000001</v>
      </c>
      <c r="CD63" s="5" t="n">
        <v>7.95</v>
      </c>
      <c r="CE63" s="5" t="n">
        <v>0.725</v>
      </c>
      <c r="CF63" s="5" t="n">
        <v>107.69</v>
      </c>
      <c r="CG63" s="5" t="n">
        <v>0.1</v>
      </c>
      <c r="CH63" s="5" t="n">
        <v>1</v>
      </c>
      <c r="CI63" s="5" t="n">
        <v>0</v>
      </c>
      <c r="CJ63" s="5" t="n">
        <v>0</v>
      </c>
      <c r="CK63" s="5" t="n">
        <v>0</v>
      </c>
      <c r="CL63" s="5" t="n">
        <v>0</v>
      </c>
      <c r="CM63" s="5" t="n">
        <v>0</v>
      </c>
      <c r="CN63" s="5" t="n">
        <v>0</v>
      </c>
      <c r="CO63" s="5" t="n">
        <v>0</v>
      </c>
      <c r="CP63" s="5" t="n">
        <v>0</v>
      </c>
      <c r="CQ63" s="5" t="n">
        <v>1.294</v>
      </c>
      <c r="CR63" s="5" t="n">
        <v>0</v>
      </c>
      <c r="CS63" s="5" t="n">
        <v>5.158</v>
      </c>
      <c r="CT63" s="5" t="n">
        <v>10.485</v>
      </c>
      <c r="CU63" s="5" t="n">
        <v>29.494</v>
      </c>
    </row>
    <row r="64">
      <c r="A64" s="5" t="inlineStr">
        <is>
          <t>BHS2023</t>
        </is>
      </c>
      <c r="B64" s="5" t="inlineStr">
        <is>
          <t>BHS</t>
        </is>
      </c>
      <c r="C64" s="5" t="inlineStr">
        <is>
          <t>BHS</t>
        </is>
      </c>
      <c r="D64" s="5" t="inlineStr">
        <is>
          <t>Bahamas, The</t>
        </is>
      </c>
      <c r="E64" s="5" t="n">
        <v>2023</v>
      </c>
      <c r="F64" s="5" t="n">
        <v>0.1</v>
      </c>
      <c r="G64" s="5" t="n">
        <v>6.147</v>
      </c>
      <c r="H64" s="5" t="n">
        <v>1.286</v>
      </c>
      <c r="I64" s="5" t="n">
        <v>0</v>
      </c>
      <c r="J64" s="5" t="n">
        <v>6.147</v>
      </c>
      <c r="K64" s="5" t="n">
        <v>0</v>
      </c>
      <c r="L64" s="5" t="n">
        <v>1</v>
      </c>
      <c r="M64" s="5" t="n">
        <v>7.886</v>
      </c>
      <c r="N64" s="5" t="n">
        <v>3.857</v>
      </c>
      <c r="O64" s="5" t="n">
        <v>0</v>
      </c>
      <c r="P64" s="5" t="n">
        <v>7.886</v>
      </c>
      <c r="Q64" s="5" t="n">
        <v>0</v>
      </c>
      <c r="R64" s="5" t="n">
        <v>1</v>
      </c>
      <c r="S64" s="5" t="n">
        <v>12.575</v>
      </c>
      <c r="T64" s="5" t="n">
        <v>7.714</v>
      </c>
      <c r="U64" s="5" t="n">
        <v>0.139</v>
      </c>
      <c r="V64" s="5" t="n">
        <v>13.833</v>
      </c>
      <c r="W64" s="5" t="n">
        <v>0.1</v>
      </c>
      <c r="X64" s="5" t="n">
        <v>1</v>
      </c>
      <c r="Y64" s="5" t="n">
        <v>12.477</v>
      </c>
      <c r="Z64" s="5" t="n">
        <v>1.678</v>
      </c>
      <c r="AA64" s="5" t="n">
        <v>0</v>
      </c>
      <c r="AB64" s="5" t="n">
        <v>12.477</v>
      </c>
      <c r="AC64" s="5" t="n">
        <v>0</v>
      </c>
      <c r="AD64" s="5" t="n">
        <v>1</v>
      </c>
      <c r="AE64" s="5" t="n">
        <v>13.763</v>
      </c>
      <c r="AF64" s="5" t="n">
        <v>3.223</v>
      </c>
      <c r="AG64" s="5" t="n">
        <v>0</v>
      </c>
      <c r="AH64" s="5" t="n">
        <v>13.763</v>
      </c>
      <c r="AI64" s="5" t="n">
        <v>0</v>
      </c>
      <c r="AJ64" s="5" t="n">
        <v>1</v>
      </c>
      <c r="AK64" s="5" t="n">
        <v>21.477</v>
      </c>
      <c r="AL64" s="5" t="n">
        <v>11.54</v>
      </c>
      <c r="AM64" s="5" t="n">
        <v>0.238</v>
      </c>
      <c r="AN64" s="5" t="n">
        <v>23.624</v>
      </c>
      <c r="AO64" s="5" t="n">
        <v>0.1</v>
      </c>
      <c r="AP64" s="5" t="n">
        <v>1</v>
      </c>
      <c r="AQ64" s="5" t="n">
        <v>0.791</v>
      </c>
      <c r="AR64" s="5" t="n">
        <v>0.129</v>
      </c>
      <c r="AS64" s="5" t="n">
        <v>0.721</v>
      </c>
      <c r="AT64" s="5" t="n">
        <v>1.645</v>
      </c>
      <c r="AU64" s="5" t="n">
        <v>0.1</v>
      </c>
      <c r="AV64" s="5" t="n">
        <v>1</v>
      </c>
      <c r="AW64" s="5" t="n">
        <v>0.618</v>
      </c>
      <c r="AX64" s="5" t="n">
        <v>0.129</v>
      </c>
      <c r="AY64" s="5" t="n">
        <v>0.598</v>
      </c>
      <c r="AZ64" s="5" t="n">
        <v>1.323</v>
      </c>
      <c r="BA64" s="5" t="n">
        <v>0.1</v>
      </c>
      <c r="BB64" s="5" t="n">
        <v>1</v>
      </c>
      <c r="BC64" s="5" t="n">
        <v>0.554</v>
      </c>
      <c r="BD64" s="5" t="n">
        <v>0.129</v>
      </c>
      <c r="BE64" s="5" t="n">
        <v>0.008</v>
      </c>
      <c r="BF64" s="5" t="n">
        <v>0.612</v>
      </c>
      <c r="BG64" s="5" t="n">
        <v>0.1</v>
      </c>
      <c r="BH64" s="5" t="n">
        <v>1</v>
      </c>
      <c r="BI64" s="5" t="n">
        <v>0.5570000000000001</v>
      </c>
      <c r="BJ64" s="5" t="n">
        <v>0.129</v>
      </c>
      <c r="BK64" s="5" t="n">
        <v>0.035</v>
      </c>
      <c r="BL64" s="5" t="n">
        <v>0.644</v>
      </c>
      <c r="BM64" s="5" t="n">
        <v>0.1</v>
      </c>
      <c r="BN64" s="5" t="n">
        <v>1</v>
      </c>
      <c r="BO64" s="5" t="n">
        <v>0</v>
      </c>
      <c r="BP64" s="5" t="n">
        <v>0</v>
      </c>
      <c r="BQ64" s="5" t="n">
        <v>0.402</v>
      </c>
      <c r="BR64" s="5" t="n">
        <v>0</v>
      </c>
      <c r="BS64" s="5" t="n">
        <v>1</v>
      </c>
      <c r="BT64" s="5" t="n">
        <v>0</v>
      </c>
      <c r="BU64" s="5" t="n">
        <v>0</v>
      </c>
      <c r="BV64" s="5" t="n">
        <v>0.41</v>
      </c>
      <c r="BW64" s="5" t="n">
        <v>0.1</v>
      </c>
      <c r="BX64" s="5" t="n">
        <v>1</v>
      </c>
      <c r="BY64" s="5" t="n">
        <v>13.254</v>
      </c>
      <c r="BZ64" s="5" t="n">
        <v>0</v>
      </c>
      <c r="CA64" s="5" t="n">
        <v>13.254</v>
      </c>
      <c r="CB64" s="5" t="n">
        <v>0</v>
      </c>
      <c r="CC64" s="5" t="n">
        <v>83.248</v>
      </c>
      <c r="CD64" s="5" t="n">
        <v>7.95</v>
      </c>
      <c r="CE64" s="5" t="n">
        <v>0.922</v>
      </c>
      <c r="CF64" s="5" t="n">
        <v>91.57299999999999</v>
      </c>
      <c r="CG64" s="5" t="n">
        <v>0.1</v>
      </c>
      <c r="CH64" s="5" t="n">
        <v>1</v>
      </c>
      <c r="CI64" s="5" t="n">
        <v>0</v>
      </c>
      <c r="CJ64" s="5" t="n">
        <v>0</v>
      </c>
      <c r="CK64" s="5" t="n">
        <v>0</v>
      </c>
      <c r="CL64" s="5" t="n">
        <v>0</v>
      </c>
      <c r="CM64" s="5" t="n">
        <v>0</v>
      </c>
      <c r="CN64" s="5" t="n">
        <v>0</v>
      </c>
      <c r="CO64" s="5" t="n">
        <v>0</v>
      </c>
      <c r="CP64" s="5" t="n">
        <v>0</v>
      </c>
      <c r="CQ64" s="5" t="n">
        <v>1.348</v>
      </c>
      <c r="CR64" s="5" t="n">
        <v>0</v>
      </c>
      <c r="CS64" s="5" t="n">
        <v>5.37</v>
      </c>
      <c r="CT64" s="5" t="n">
        <v>4.861</v>
      </c>
      <c r="CU64" s="5" t="n">
        <v>11.192</v>
      </c>
    </row>
    <row r="65">
      <c r="A65" s="5" t="inlineStr">
        <is>
          <t>BHS2024</t>
        </is>
      </c>
      <c r="B65" s="5" t="inlineStr">
        <is>
          <t>BHS</t>
        </is>
      </c>
      <c r="C65" s="5" t="inlineStr">
        <is>
          <t>BHS</t>
        </is>
      </c>
      <c r="D65" s="5" t="inlineStr">
        <is>
          <t>Bahamas, The</t>
        </is>
      </c>
      <c r="E65" s="5" t="n">
        <v>2024</v>
      </c>
      <c r="F65" s="5" t="n">
        <v>0.1</v>
      </c>
      <c r="G65" s="5" t="n">
        <v>5.575</v>
      </c>
      <c r="H65" s="5" t="n">
        <v>1.324</v>
      </c>
      <c r="I65" s="5" t="n">
        <v>0</v>
      </c>
      <c r="J65" s="5" t="n">
        <v>5.575</v>
      </c>
      <c r="K65" s="5" t="n">
        <v>0</v>
      </c>
      <c r="L65" s="5" t="n">
        <v>1</v>
      </c>
      <c r="M65" s="5" t="n">
        <v>7.124</v>
      </c>
      <c r="N65" s="5" t="n">
        <v>3.971</v>
      </c>
      <c r="O65" s="5" t="n">
        <v>0</v>
      </c>
      <c r="P65" s="5" t="n">
        <v>7.124</v>
      </c>
      <c r="Q65" s="5" t="n">
        <v>0</v>
      </c>
      <c r="R65" s="5" t="n">
        <v>1</v>
      </c>
      <c r="S65" s="5" t="n">
        <v>12.193</v>
      </c>
      <c r="T65" s="5" t="n">
        <v>7.942</v>
      </c>
      <c r="U65" s="5" t="n">
        <v>0.166</v>
      </c>
      <c r="V65" s="5" t="n">
        <v>13.412</v>
      </c>
      <c r="W65" s="5" t="n">
        <v>0.1</v>
      </c>
      <c r="X65" s="5" t="n">
        <v>1</v>
      </c>
      <c r="Y65" s="5" t="n">
        <v>11.446</v>
      </c>
      <c r="Z65" s="5" t="n">
        <v>1.54</v>
      </c>
      <c r="AA65" s="5" t="n">
        <v>0</v>
      </c>
      <c r="AB65" s="5" t="n">
        <v>11.446</v>
      </c>
      <c r="AC65" s="5" t="n">
        <v>0</v>
      </c>
      <c r="AD65" s="5" t="n">
        <v>1</v>
      </c>
      <c r="AE65" s="5" t="n">
        <v>12.77</v>
      </c>
      <c r="AF65" s="5" t="n">
        <v>2.99</v>
      </c>
      <c r="AG65" s="5" t="n">
        <v>0</v>
      </c>
      <c r="AH65" s="5" t="n">
        <v>12.77</v>
      </c>
      <c r="AI65" s="5" t="n">
        <v>0</v>
      </c>
      <c r="AJ65" s="5" t="n">
        <v>1</v>
      </c>
      <c r="AK65" s="5" t="n">
        <v>20.712</v>
      </c>
      <c r="AL65" s="5" t="n">
        <v>11.129</v>
      </c>
      <c r="AM65" s="5" t="n">
        <v>0.282</v>
      </c>
      <c r="AN65" s="5" t="n">
        <v>22.783</v>
      </c>
      <c r="AO65" s="5" t="n">
        <v>0.1</v>
      </c>
      <c r="AP65" s="5" t="n">
        <v>1</v>
      </c>
      <c r="AQ65" s="5" t="n">
        <v>0.756</v>
      </c>
      <c r="AR65" s="5" t="n">
        <v>0.132</v>
      </c>
      <c r="AS65" s="5" t="n">
        <v>0.751</v>
      </c>
      <c r="AT65" s="5" t="n">
        <v>1.635</v>
      </c>
      <c r="AU65" s="5" t="n">
        <v>0.1</v>
      </c>
      <c r="AV65" s="5" t="n">
        <v>1</v>
      </c>
      <c r="AW65" s="5" t="n">
        <v>0.655</v>
      </c>
      <c r="AX65" s="5" t="n">
        <v>0.132</v>
      </c>
      <c r="AY65" s="5" t="n">
        <v>0.617</v>
      </c>
      <c r="AZ65" s="5" t="n">
        <v>1.381</v>
      </c>
      <c r="BA65" s="5" t="n">
        <v>0.1</v>
      </c>
      <c r="BB65" s="5" t="n">
        <v>1</v>
      </c>
      <c r="BC65" s="5" t="n">
        <v>0.534</v>
      </c>
      <c r="BD65" s="5" t="n">
        <v>0.132</v>
      </c>
      <c r="BE65" s="5" t="n">
        <v>0.008999999999999999</v>
      </c>
      <c r="BF65" s="5" t="n">
        <v>0.589</v>
      </c>
      <c r="BG65" s="5" t="n">
        <v>0.1</v>
      </c>
      <c r="BH65" s="5" t="n">
        <v>1</v>
      </c>
      <c r="BI65" s="5" t="n">
        <v>0.5679999999999999</v>
      </c>
      <c r="BJ65" s="5" t="n">
        <v>0.132</v>
      </c>
      <c r="BK65" s="5" t="n">
        <v>0.037</v>
      </c>
      <c r="BL65" s="5" t="n">
        <v>0.656</v>
      </c>
      <c r="BM65" s="5" t="n">
        <v>0.1</v>
      </c>
      <c r="BN65" s="5" t="n">
        <v>1</v>
      </c>
      <c r="BO65" s="5" t="n">
        <v>0</v>
      </c>
      <c r="BP65" s="5" t="n">
        <v>0</v>
      </c>
      <c r="BQ65" s="5" t="n">
        <v>0.357</v>
      </c>
      <c r="BR65" s="5" t="n">
        <v>0</v>
      </c>
      <c r="BS65" s="5" t="n">
        <v>1</v>
      </c>
      <c r="BT65" s="5" t="n">
        <v>0</v>
      </c>
      <c r="BU65" s="5" t="n">
        <v>0</v>
      </c>
      <c r="BV65" s="5" t="n">
        <v>0.331</v>
      </c>
      <c r="BW65" s="5" t="n">
        <v>0.1</v>
      </c>
      <c r="BX65" s="5" t="n">
        <v>1</v>
      </c>
      <c r="BY65" s="5" t="n">
        <v>13.646</v>
      </c>
      <c r="BZ65" s="5" t="n">
        <v>0</v>
      </c>
      <c r="CA65" s="5" t="n">
        <v>13.646</v>
      </c>
      <c r="CB65" s="5" t="n">
        <v>0</v>
      </c>
      <c r="CC65" s="5" t="n">
        <v>82.58799999999999</v>
      </c>
      <c r="CD65" s="5" t="n">
        <v>7.95</v>
      </c>
      <c r="CE65" s="5" t="n">
        <v>1.125</v>
      </c>
      <c r="CF65" s="5" t="n">
        <v>90.84699999999999</v>
      </c>
      <c r="CG65" s="5" t="n">
        <v>0.1</v>
      </c>
      <c r="CH65" s="5" t="n">
        <v>1</v>
      </c>
      <c r="CI65" s="5" t="n">
        <v>0</v>
      </c>
      <c r="CJ65" s="5" t="n">
        <v>0</v>
      </c>
      <c r="CK65" s="5" t="n">
        <v>0</v>
      </c>
      <c r="CL65" s="5" t="n">
        <v>0</v>
      </c>
      <c r="CM65" s="5" t="n">
        <v>0</v>
      </c>
      <c r="CN65" s="5" t="n">
        <v>0</v>
      </c>
      <c r="CO65" s="5" t="n">
        <v>0</v>
      </c>
      <c r="CP65" s="5" t="n">
        <v>0</v>
      </c>
      <c r="CQ65" s="5" t="n">
        <v>1.387</v>
      </c>
      <c r="CR65" s="5" t="n">
        <v>0</v>
      </c>
      <c r="CS65" s="5" t="n">
        <v>5.529</v>
      </c>
      <c r="CT65" s="5" t="n">
        <v>4.251</v>
      </c>
      <c r="CU65" s="5" t="n">
        <v>10.123</v>
      </c>
    </row>
    <row r="66">
      <c r="A66" s="5" t="inlineStr">
        <is>
          <t>BHR2021</t>
        </is>
      </c>
      <c r="B66" s="5" t="inlineStr">
        <is>
          <t>BHR</t>
        </is>
      </c>
      <c r="C66" s="5" t="inlineStr">
        <is>
          <t>BHR</t>
        </is>
      </c>
      <c r="D66" s="5" t="inlineStr">
        <is>
          <t>Bahrain</t>
        </is>
      </c>
      <c r="E66" s="5" t="n">
        <v>2021</v>
      </c>
      <c r="F66" s="5" t="n">
        <v>0.05</v>
      </c>
      <c r="G66" s="5" t="n">
        <v>5.897</v>
      </c>
      <c r="H66" s="5" t="n">
        <v>1.143</v>
      </c>
      <c r="I66" s="5" t="n">
        <v>0.238</v>
      </c>
      <c r="J66" s="5" t="n">
        <v>6.134</v>
      </c>
      <c r="K66" s="5" t="n">
        <v>0</v>
      </c>
      <c r="L66" s="5" t="n">
        <v>1</v>
      </c>
      <c r="M66" s="5" t="n">
        <v>7.964</v>
      </c>
      <c r="N66" s="5" t="n">
        <v>3.43</v>
      </c>
      <c r="O66" s="5" t="n">
        <v>0.227</v>
      </c>
      <c r="P66" s="5" t="n">
        <v>8.191000000000001</v>
      </c>
      <c r="Q66" s="5" t="n">
        <v>0</v>
      </c>
      <c r="R66" s="5" t="n">
        <v>1</v>
      </c>
      <c r="S66" s="5" t="n">
        <v>11.613</v>
      </c>
      <c r="T66" s="5" t="n">
        <v>6.86</v>
      </c>
      <c r="U66" s="5" t="n">
        <v>0.238</v>
      </c>
      <c r="V66" s="5" t="n">
        <v>12.444</v>
      </c>
      <c r="W66" s="5" t="n">
        <v>0.05</v>
      </c>
      <c r="X66" s="5" t="n">
        <v>1</v>
      </c>
      <c r="Y66" s="5" t="n">
        <v>2.611</v>
      </c>
      <c r="Z66" s="5" t="n">
        <v>0.236</v>
      </c>
      <c r="AA66" s="5" t="n">
        <v>1.345</v>
      </c>
      <c r="AB66" s="5" t="n">
        <v>3.956</v>
      </c>
      <c r="AC66" s="5" t="n">
        <v>0</v>
      </c>
      <c r="AD66" s="5" t="n">
        <v>1</v>
      </c>
      <c r="AE66" s="5" t="n">
        <v>3.182</v>
      </c>
      <c r="AF66" s="5" t="n">
        <v>0.519</v>
      </c>
      <c r="AG66" s="5" t="n">
        <v>0.774</v>
      </c>
      <c r="AH66" s="5" t="n">
        <v>3.956</v>
      </c>
      <c r="AI66" s="5" t="n">
        <v>0</v>
      </c>
      <c r="AJ66" s="5" t="n">
        <v>1</v>
      </c>
      <c r="AK66" s="5" t="n">
        <v>6.612</v>
      </c>
      <c r="AL66" s="5" t="n">
        <v>2.78</v>
      </c>
      <c r="AM66" s="5" t="n">
        <v>-3.094</v>
      </c>
      <c r="AN66" s="5" t="n">
        <v>3.694</v>
      </c>
      <c r="AO66" s="5" t="n">
        <v>0</v>
      </c>
      <c r="AP66" s="5" t="n">
        <v>0</v>
      </c>
      <c r="AQ66" s="5" t="n">
        <v>0.621</v>
      </c>
      <c r="AR66" s="5" t="n">
        <v>0.114</v>
      </c>
      <c r="AS66" s="5" t="n">
        <v>-0.2</v>
      </c>
      <c r="AT66" s="5" t="n">
        <v>0.42</v>
      </c>
      <c r="AU66" s="5" t="n">
        <v>0</v>
      </c>
      <c r="AV66" s="5" t="n">
        <v>0</v>
      </c>
      <c r="AW66" s="5" t="n">
        <v>0.593</v>
      </c>
      <c r="AX66" s="5" t="n">
        <v>0.114</v>
      </c>
      <c r="AY66" s="5" t="n">
        <v>-0.115</v>
      </c>
      <c r="AZ66" s="5" t="n">
        <v>0.478</v>
      </c>
      <c r="BA66" s="5" t="n">
        <v>0</v>
      </c>
      <c r="BB66" s="5" t="n">
        <v>0</v>
      </c>
      <c r="BC66" s="5" t="n">
        <v>0.44</v>
      </c>
      <c r="BD66" s="5" t="n">
        <v>0.114</v>
      </c>
      <c r="BE66" s="5" t="n">
        <v>-0.289</v>
      </c>
      <c r="BF66" s="5" t="n">
        <v>0.151</v>
      </c>
      <c r="BG66" s="5" t="n">
        <v>0</v>
      </c>
      <c r="BH66" s="5" t="n">
        <v>0</v>
      </c>
      <c r="BI66" s="5" t="n">
        <v>0.5600000000000001</v>
      </c>
      <c r="BJ66" s="5" t="n">
        <v>0.114</v>
      </c>
      <c r="BK66" s="5" t="n">
        <v>-0.132</v>
      </c>
      <c r="BL66" s="5" t="n">
        <v>0.428</v>
      </c>
      <c r="BM66" s="5" t="n">
        <v>0</v>
      </c>
      <c r="BN66" s="5" t="n">
        <v>0</v>
      </c>
      <c r="BO66" s="5" t="n">
        <v>0</v>
      </c>
      <c r="BP66" s="5" t="n">
        <v>-0.054</v>
      </c>
      <c r="BQ66" s="5" t="n">
        <v>0.037</v>
      </c>
      <c r="BR66" s="5" t="n">
        <v>0</v>
      </c>
      <c r="BS66" s="5" t="n">
        <v>0.167</v>
      </c>
      <c r="BT66" s="5" t="n">
        <v>0</v>
      </c>
      <c r="BU66" s="5" t="n">
        <v>-0.054</v>
      </c>
      <c r="BV66" s="5" t="n">
        <v>0.021</v>
      </c>
      <c r="BW66" s="5" t="n">
        <v>0</v>
      </c>
      <c r="BX66" s="5" t="n">
        <v>0.167</v>
      </c>
      <c r="BY66" s="5" t="n">
        <v>11.787</v>
      </c>
      <c r="BZ66" s="5" t="n">
        <v>0</v>
      </c>
      <c r="CA66" s="5" t="n">
        <v>11.787</v>
      </c>
      <c r="CB66" s="5" t="n">
        <v>0</v>
      </c>
      <c r="CC66" s="5" t="n">
        <v>81.69499999999999</v>
      </c>
      <c r="CD66" s="5" t="n">
        <v>7.95</v>
      </c>
      <c r="CE66" s="5" t="n">
        <v>-17.258</v>
      </c>
      <c r="CF66" s="5" t="n">
        <v>67.66</v>
      </c>
      <c r="CG66" s="5" t="n">
        <v>0</v>
      </c>
      <c r="CH66" s="5" t="n">
        <v>0</v>
      </c>
      <c r="CI66" s="5" t="n">
        <v>0</v>
      </c>
      <c r="CJ66" s="5" t="n">
        <v>0</v>
      </c>
      <c r="CK66" s="5" t="n">
        <v>0</v>
      </c>
      <c r="CL66" s="5" t="n">
        <v>0</v>
      </c>
      <c r="CM66" s="5" t="n">
        <v>0</v>
      </c>
      <c r="CN66" s="5" t="n">
        <v>0</v>
      </c>
      <c r="CO66" s="5" t="n">
        <v>0</v>
      </c>
      <c r="CP66" s="5" t="n">
        <v>0</v>
      </c>
      <c r="CQ66" s="5" t="n">
        <v>1.198</v>
      </c>
      <c r="CR66" s="5" t="n">
        <v>1</v>
      </c>
      <c r="CS66" s="5" t="n">
        <v>2.039</v>
      </c>
      <c r="CT66" s="5" t="n">
        <v>4.753</v>
      </c>
      <c r="CU66" s="5" t="n">
        <v>14.162</v>
      </c>
    </row>
    <row r="67">
      <c r="A67" s="5" t="inlineStr">
        <is>
          <t>BHR2022</t>
        </is>
      </c>
      <c r="B67" s="5" t="inlineStr">
        <is>
          <t>BHR</t>
        </is>
      </c>
      <c r="C67" s="5" t="inlineStr">
        <is>
          <t>BHR</t>
        </is>
      </c>
      <c r="D67" s="5" t="inlineStr">
        <is>
          <t>Bahrain</t>
        </is>
      </c>
      <c r="E67" s="5" t="n">
        <v>2022</v>
      </c>
      <c r="F67" s="5" t="n">
        <v>0.1</v>
      </c>
      <c r="G67" s="5" t="n">
        <v>11.72</v>
      </c>
      <c r="H67" s="5" t="n">
        <v>1.235</v>
      </c>
      <c r="I67" s="5" t="n">
        <v>0.5659999999999999</v>
      </c>
      <c r="J67" s="5" t="n">
        <v>12.286</v>
      </c>
      <c r="K67" s="5" t="n">
        <v>0</v>
      </c>
      <c r="L67" s="5" t="n">
        <v>1</v>
      </c>
      <c r="M67" s="5" t="n">
        <v>9.782999999999999</v>
      </c>
      <c r="N67" s="5" t="n">
        <v>3.704</v>
      </c>
      <c r="O67" s="5" t="n">
        <v>0.328</v>
      </c>
      <c r="P67" s="5" t="n">
        <v>10.111</v>
      </c>
      <c r="Q67" s="5" t="n">
        <v>0</v>
      </c>
      <c r="R67" s="5" t="n">
        <v>1</v>
      </c>
      <c r="S67" s="5" t="n">
        <v>17.893</v>
      </c>
      <c r="T67" s="5" t="n">
        <v>7.408</v>
      </c>
      <c r="U67" s="5" t="n">
        <v>0.703</v>
      </c>
      <c r="V67" s="5" t="n">
        <v>20.305</v>
      </c>
      <c r="W67" s="5" t="n">
        <v>0.1</v>
      </c>
      <c r="X67" s="5" t="n">
        <v>1</v>
      </c>
      <c r="Y67" s="5" t="n">
        <v>2.819</v>
      </c>
      <c r="Z67" s="5" t="n">
        <v>0.255</v>
      </c>
      <c r="AA67" s="5" t="n">
        <v>1.401</v>
      </c>
      <c r="AB67" s="5" t="n">
        <v>4.22</v>
      </c>
      <c r="AC67" s="5" t="n">
        <v>0</v>
      </c>
      <c r="AD67" s="5" t="n">
        <v>1</v>
      </c>
      <c r="AE67" s="5" t="n">
        <v>3.437</v>
      </c>
      <c r="AF67" s="5" t="n">
        <v>0.5610000000000001</v>
      </c>
      <c r="AG67" s="5" t="n">
        <v>0.783</v>
      </c>
      <c r="AH67" s="5" t="n">
        <v>4.22</v>
      </c>
      <c r="AI67" s="5" t="n">
        <v>0</v>
      </c>
      <c r="AJ67" s="5" t="n">
        <v>1</v>
      </c>
      <c r="AK67" s="5" t="n">
        <v>7.141</v>
      </c>
      <c r="AL67" s="5" t="n">
        <v>3.002</v>
      </c>
      <c r="AM67" s="5" t="n">
        <v>-3.783</v>
      </c>
      <c r="AN67" s="5" t="n">
        <v>3.694</v>
      </c>
      <c r="AO67" s="5" t="n">
        <v>0</v>
      </c>
      <c r="AP67" s="5" t="n">
        <v>0</v>
      </c>
      <c r="AQ67" s="5" t="n">
        <v>0.847</v>
      </c>
      <c r="AR67" s="5" t="n">
        <v>0.123</v>
      </c>
      <c r="AS67" s="5" t="n">
        <v>-0.427</v>
      </c>
      <c r="AT67" s="5" t="n">
        <v>0.42</v>
      </c>
      <c r="AU67" s="5" t="n">
        <v>0</v>
      </c>
      <c r="AV67" s="5" t="n">
        <v>0</v>
      </c>
      <c r="AW67" s="5" t="n">
        <v>0.947</v>
      </c>
      <c r="AX67" s="5" t="n">
        <v>0.123</v>
      </c>
      <c r="AY67" s="5" t="n">
        <v>-0.469</v>
      </c>
      <c r="AZ67" s="5" t="n">
        <v>0.478</v>
      </c>
      <c r="BA67" s="5" t="n">
        <v>0</v>
      </c>
      <c r="BB67" s="5" t="n">
        <v>0</v>
      </c>
      <c r="BC67" s="5" t="n">
        <v>0.589</v>
      </c>
      <c r="BD67" s="5" t="n">
        <v>0.123</v>
      </c>
      <c r="BE67" s="5" t="n">
        <v>-0.438</v>
      </c>
      <c r="BF67" s="5" t="n">
        <v>0.151</v>
      </c>
      <c r="BG67" s="5" t="n">
        <v>0</v>
      </c>
      <c r="BH67" s="5" t="n">
        <v>0</v>
      </c>
      <c r="BI67" s="5" t="n">
        <v>0.6889999999999999</v>
      </c>
      <c r="BJ67" s="5" t="n">
        <v>0.123</v>
      </c>
      <c r="BK67" s="5" t="n">
        <v>-0.261</v>
      </c>
      <c r="BL67" s="5" t="n">
        <v>0.428</v>
      </c>
      <c r="BM67" s="5" t="n">
        <v>0</v>
      </c>
      <c r="BN67" s="5" t="n">
        <v>0</v>
      </c>
      <c r="BO67" s="5" t="n">
        <v>0</v>
      </c>
      <c r="BP67" s="5" t="n">
        <v>-0.1</v>
      </c>
      <c r="BQ67" s="5" t="n">
        <v>0.037</v>
      </c>
      <c r="BR67" s="5" t="n">
        <v>0</v>
      </c>
      <c r="BS67" s="5" t="n">
        <v>0.167</v>
      </c>
      <c r="BT67" s="5" t="n">
        <v>0</v>
      </c>
      <c r="BU67" s="5" t="n">
        <v>-0.1</v>
      </c>
      <c r="BV67" s="5" t="n">
        <v>0.021</v>
      </c>
      <c r="BW67" s="5" t="n">
        <v>0</v>
      </c>
      <c r="BX67" s="5" t="n">
        <v>0.167</v>
      </c>
      <c r="BY67" s="5" t="n">
        <v>12.729</v>
      </c>
      <c r="BZ67" s="5" t="n">
        <v>0</v>
      </c>
      <c r="CA67" s="5" t="n">
        <v>12.729</v>
      </c>
      <c r="CB67" s="5" t="n">
        <v>0</v>
      </c>
      <c r="CC67" s="5" t="n">
        <v>102.477</v>
      </c>
      <c r="CD67" s="5" t="n">
        <v>7.95</v>
      </c>
      <c r="CE67" s="5" t="n">
        <v>-40.968</v>
      </c>
      <c r="CF67" s="5" t="n">
        <v>67.66</v>
      </c>
      <c r="CG67" s="5" t="n">
        <v>0</v>
      </c>
      <c r="CH67" s="5" t="n">
        <v>0</v>
      </c>
      <c r="CI67" s="5" t="n">
        <v>0</v>
      </c>
      <c r="CJ67" s="5" t="n">
        <v>0</v>
      </c>
      <c r="CK67" s="5" t="n">
        <v>0</v>
      </c>
      <c r="CL67" s="5" t="n">
        <v>0</v>
      </c>
      <c r="CM67" s="5" t="n">
        <v>0</v>
      </c>
      <c r="CN67" s="5" t="n">
        <v>0</v>
      </c>
      <c r="CO67" s="5" t="n">
        <v>0</v>
      </c>
      <c r="CP67" s="5" t="n">
        <v>0</v>
      </c>
      <c r="CQ67" s="5" t="n">
        <v>1.294</v>
      </c>
      <c r="CR67" s="5" t="n">
        <v>1</v>
      </c>
      <c r="CS67" s="5" t="n">
        <v>2.202</v>
      </c>
      <c r="CT67" s="5" t="n">
        <v>10.485</v>
      </c>
      <c r="CU67" s="5" t="n">
        <v>30.326</v>
      </c>
    </row>
    <row r="68">
      <c r="A68" s="5" t="inlineStr">
        <is>
          <t>BHR2023</t>
        </is>
      </c>
      <c r="B68" s="5" t="inlineStr">
        <is>
          <t>BHR</t>
        </is>
      </c>
      <c r="C68" s="5" t="inlineStr">
        <is>
          <t>BHR</t>
        </is>
      </c>
      <c r="D68" s="5" t="inlineStr">
        <is>
          <t>Bahrain</t>
        </is>
      </c>
      <c r="E68" s="5" t="n">
        <v>2023</v>
      </c>
      <c r="F68" s="5" t="n">
        <v>0.1</v>
      </c>
      <c r="G68" s="5" t="n">
        <v>6.147</v>
      </c>
      <c r="H68" s="5" t="n">
        <v>1.286</v>
      </c>
      <c r="I68" s="5" t="n">
        <v>0.273</v>
      </c>
      <c r="J68" s="5" t="n">
        <v>6.42</v>
      </c>
      <c r="K68" s="5" t="n">
        <v>0</v>
      </c>
      <c r="L68" s="5" t="n">
        <v>1</v>
      </c>
      <c r="M68" s="5" t="n">
        <v>7.886</v>
      </c>
      <c r="N68" s="5" t="n">
        <v>3.857</v>
      </c>
      <c r="O68" s="5" t="n">
        <v>0.227</v>
      </c>
      <c r="P68" s="5" t="n">
        <v>8.113</v>
      </c>
      <c r="Q68" s="5" t="n">
        <v>0</v>
      </c>
      <c r="R68" s="5" t="n">
        <v>1</v>
      </c>
      <c r="S68" s="5" t="n">
        <v>12.575</v>
      </c>
      <c r="T68" s="5" t="n">
        <v>7.714</v>
      </c>
      <c r="U68" s="5" t="n">
        <v>0.416</v>
      </c>
      <c r="V68" s="5" t="n">
        <v>14.133</v>
      </c>
      <c r="W68" s="5" t="n">
        <v>0.1</v>
      </c>
      <c r="X68" s="5" t="n">
        <v>1</v>
      </c>
      <c r="Y68" s="5" t="n">
        <v>2.936</v>
      </c>
      <c r="Z68" s="5" t="n">
        <v>0.266</v>
      </c>
      <c r="AA68" s="5" t="n">
        <v>1.284</v>
      </c>
      <c r="AB68" s="5" t="n">
        <v>4.22</v>
      </c>
      <c r="AC68" s="5" t="n">
        <v>0</v>
      </c>
      <c r="AD68" s="5" t="n">
        <v>1</v>
      </c>
      <c r="AE68" s="5" t="n">
        <v>3.579</v>
      </c>
      <c r="AF68" s="5" t="n">
        <v>0.584</v>
      </c>
      <c r="AG68" s="5" t="n">
        <v>0.641</v>
      </c>
      <c r="AH68" s="5" t="n">
        <v>4.22</v>
      </c>
      <c r="AI68" s="5" t="n">
        <v>0</v>
      </c>
      <c r="AJ68" s="5" t="n">
        <v>1</v>
      </c>
      <c r="AK68" s="5" t="n">
        <v>7.436</v>
      </c>
      <c r="AL68" s="5" t="n">
        <v>3.126</v>
      </c>
      <c r="AM68" s="5" t="n">
        <v>-4.078</v>
      </c>
      <c r="AN68" s="5" t="n">
        <v>3.694</v>
      </c>
      <c r="AO68" s="5" t="n">
        <v>0</v>
      </c>
      <c r="AP68" s="5" t="n">
        <v>0</v>
      </c>
      <c r="AQ68" s="5" t="n">
        <v>0.749</v>
      </c>
      <c r="AR68" s="5" t="n">
        <v>0.129</v>
      </c>
      <c r="AS68" s="5" t="n">
        <v>-0.329</v>
      </c>
      <c r="AT68" s="5" t="n">
        <v>0.42</v>
      </c>
      <c r="AU68" s="5" t="n">
        <v>0</v>
      </c>
      <c r="AV68" s="5" t="n">
        <v>0</v>
      </c>
      <c r="AW68" s="5" t="n">
        <v>0.783</v>
      </c>
      <c r="AX68" s="5" t="n">
        <v>0.129</v>
      </c>
      <c r="AY68" s="5" t="n">
        <v>-0.305</v>
      </c>
      <c r="AZ68" s="5" t="n">
        <v>0.478</v>
      </c>
      <c r="BA68" s="5" t="n">
        <v>0</v>
      </c>
      <c r="BB68" s="5" t="n">
        <v>0</v>
      </c>
      <c r="BC68" s="5" t="n">
        <v>0.527</v>
      </c>
      <c r="BD68" s="5" t="n">
        <v>0.129</v>
      </c>
      <c r="BE68" s="5" t="n">
        <v>-0.374</v>
      </c>
      <c r="BF68" s="5" t="n">
        <v>0.153</v>
      </c>
      <c r="BG68" s="5" t="n">
        <v>0</v>
      </c>
      <c r="BH68" s="5" t="n">
        <v>0</v>
      </c>
      <c r="BI68" s="5" t="n">
        <v>0.64</v>
      </c>
      <c r="BJ68" s="5" t="n">
        <v>0.129</v>
      </c>
      <c r="BK68" s="5" t="n">
        <v>-0.215</v>
      </c>
      <c r="BL68" s="5" t="n">
        <v>0.425</v>
      </c>
      <c r="BM68" s="5" t="n">
        <v>0</v>
      </c>
      <c r="BN68" s="5" t="n">
        <v>0</v>
      </c>
      <c r="BO68" s="5" t="n">
        <v>0</v>
      </c>
      <c r="BP68" s="5" t="n">
        <v>-0.07199999999999999</v>
      </c>
      <c r="BQ68" s="5" t="n">
        <v>0.037</v>
      </c>
      <c r="BR68" s="5" t="n">
        <v>0</v>
      </c>
      <c r="BS68" s="5" t="n">
        <v>0.167</v>
      </c>
      <c r="BT68" s="5" t="n">
        <v>0</v>
      </c>
      <c r="BU68" s="5" t="n">
        <v>-0.07199999999999999</v>
      </c>
      <c r="BV68" s="5" t="n">
        <v>0.021</v>
      </c>
      <c r="BW68" s="5" t="n">
        <v>0</v>
      </c>
      <c r="BX68" s="5" t="n">
        <v>0.167</v>
      </c>
      <c r="BY68" s="5" t="n">
        <v>13.254</v>
      </c>
      <c r="BZ68" s="5" t="n">
        <v>0</v>
      </c>
      <c r="CA68" s="5" t="n">
        <v>13.254</v>
      </c>
      <c r="CB68" s="5" t="n">
        <v>0</v>
      </c>
      <c r="CC68" s="5" t="n">
        <v>87.07899999999999</v>
      </c>
      <c r="CD68" s="5" t="n">
        <v>7.95</v>
      </c>
      <c r="CE68" s="5" t="n">
        <v>-25.57</v>
      </c>
      <c r="CF68" s="5" t="n">
        <v>67.66</v>
      </c>
      <c r="CG68" s="5" t="n">
        <v>0</v>
      </c>
      <c r="CH68" s="5" t="n">
        <v>0</v>
      </c>
      <c r="CI68" s="5" t="n">
        <v>0</v>
      </c>
      <c r="CJ68" s="5" t="n">
        <v>0</v>
      </c>
      <c r="CK68" s="5" t="n">
        <v>0</v>
      </c>
      <c r="CL68" s="5" t="n">
        <v>0</v>
      </c>
      <c r="CM68" s="5" t="n">
        <v>0</v>
      </c>
      <c r="CN68" s="5" t="n">
        <v>0</v>
      </c>
      <c r="CO68" s="5" t="n">
        <v>0</v>
      </c>
      <c r="CP68" s="5" t="n">
        <v>0</v>
      </c>
      <c r="CQ68" s="5" t="n">
        <v>1.348</v>
      </c>
      <c r="CR68" s="5" t="n">
        <v>1</v>
      </c>
      <c r="CS68" s="5" t="n">
        <v>2.293</v>
      </c>
      <c r="CT68" s="5" t="n">
        <v>4.861</v>
      </c>
      <c r="CU68" s="5" t="n">
        <v>10.622</v>
      </c>
    </row>
    <row r="69">
      <c r="A69" s="5" t="inlineStr">
        <is>
          <t>BHR2024</t>
        </is>
      </c>
      <c r="B69" s="5" t="inlineStr">
        <is>
          <t>BHR</t>
        </is>
      </c>
      <c r="C69" s="5" t="inlineStr">
        <is>
          <t>BHR</t>
        </is>
      </c>
      <c r="D69" s="5" t="inlineStr">
        <is>
          <t>Bahrain</t>
        </is>
      </c>
      <c r="E69" s="5" t="n">
        <v>2024</v>
      </c>
      <c r="F69" s="5" t="n">
        <v>0.1</v>
      </c>
      <c r="G69" s="5" t="n">
        <v>5.575</v>
      </c>
      <c r="H69" s="5" t="n">
        <v>1.324</v>
      </c>
      <c r="I69" s="5" t="n">
        <v>0.213</v>
      </c>
      <c r="J69" s="5" t="n">
        <v>5.787</v>
      </c>
      <c r="K69" s="5" t="n">
        <v>0</v>
      </c>
      <c r="L69" s="5" t="n">
        <v>1</v>
      </c>
      <c r="M69" s="5" t="n">
        <v>7.124</v>
      </c>
      <c r="N69" s="5" t="n">
        <v>3.971</v>
      </c>
      <c r="O69" s="5" t="n">
        <v>0.158</v>
      </c>
      <c r="P69" s="5" t="n">
        <v>7.281</v>
      </c>
      <c r="Q69" s="5" t="n">
        <v>0</v>
      </c>
      <c r="R69" s="5" t="n">
        <v>1</v>
      </c>
      <c r="S69" s="5" t="n">
        <v>12.193</v>
      </c>
      <c r="T69" s="5" t="n">
        <v>7.942</v>
      </c>
      <c r="U69" s="5" t="n">
        <v>0.382</v>
      </c>
      <c r="V69" s="5" t="n">
        <v>13.646</v>
      </c>
      <c r="W69" s="5" t="n">
        <v>0.1</v>
      </c>
      <c r="X69" s="5" t="n">
        <v>1</v>
      </c>
      <c r="Y69" s="5" t="n">
        <v>3.022</v>
      </c>
      <c r="Z69" s="5" t="n">
        <v>0.274</v>
      </c>
      <c r="AA69" s="5" t="n">
        <v>1.198</v>
      </c>
      <c r="AB69" s="5" t="n">
        <v>4.22</v>
      </c>
      <c r="AC69" s="5" t="n">
        <v>0</v>
      </c>
      <c r="AD69" s="5" t="n">
        <v>1</v>
      </c>
      <c r="AE69" s="5" t="n">
        <v>3.684</v>
      </c>
      <c r="AF69" s="5" t="n">
        <v>0.601</v>
      </c>
      <c r="AG69" s="5" t="n">
        <v>0.536</v>
      </c>
      <c r="AH69" s="5" t="n">
        <v>4.22</v>
      </c>
      <c r="AI69" s="5" t="n">
        <v>0</v>
      </c>
      <c r="AJ69" s="5" t="n">
        <v>1</v>
      </c>
      <c r="AK69" s="5" t="n">
        <v>7.655</v>
      </c>
      <c r="AL69" s="5" t="n">
        <v>3.218</v>
      </c>
      <c r="AM69" s="5" t="n">
        <v>-4.297</v>
      </c>
      <c r="AN69" s="5" t="n">
        <v>3.694</v>
      </c>
      <c r="AO69" s="5" t="n">
        <v>0</v>
      </c>
      <c r="AP69" s="5" t="n">
        <v>0</v>
      </c>
      <c r="AQ69" s="5" t="n">
        <v>0.72</v>
      </c>
      <c r="AR69" s="5" t="n">
        <v>0.132</v>
      </c>
      <c r="AS69" s="5" t="n">
        <v>-0.3</v>
      </c>
      <c r="AT69" s="5" t="n">
        <v>0.42</v>
      </c>
      <c r="AU69" s="5" t="n">
        <v>0</v>
      </c>
      <c r="AV69" s="5" t="n">
        <v>0</v>
      </c>
      <c r="AW69" s="5" t="n">
        <v>0.734</v>
      </c>
      <c r="AX69" s="5" t="n">
        <v>0.132</v>
      </c>
      <c r="AY69" s="5" t="n">
        <v>-0.256</v>
      </c>
      <c r="AZ69" s="5" t="n">
        <v>0.478</v>
      </c>
      <c r="BA69" s="5" t="n">
        <v>0</v>
      </c>
      <c r="BB69" s="5" t="n">
        <v>0</v>
      </c>
      <c r="BC69" s="5" t="n">
        <v>0.51</v>
      </c>
      <c r="BD69" s="5" t="n">
        <v>0.132</v>
      </c>
      <c r="BE69" s="5" t="n">
        <v>-0.357</v>
      </c>
      <c r="BF69" s="5" t="n">
        <v>0.153</v>
      </c>
      <c r="BG69" s="5" t="n">
        <v>0</v>
      </c>
      <c r="BH69" s="5" t="n">
        <v>0</v>
      </c>
      <c r="BI69" s="5" t="n">
        <v>0.652</v>
      </c>
      <c r="BJ69" s="5" t="n">
        <v>0.132</v>
      </c>
      <c r="BK69" s="5" t="n">
        <v>-0.227</v>
      </c>
      <c r="BL69" s="5" t="n">
        <v>0.425</v>
      </c>
      <c r="BM69" s="5" t="n">
        <v>0</v>
      </c>
      <c r="BN69" s="5" t="n">
        <v>0</v>
      </c>
      <c r="BO69" s="5" t="n">
        <v>0</v>
      </c>
      <c r="BP69" s="5" t="n">
        <v>-0.074</v>
      </c>
      <c r="BQ69" s="5" t="n">
        <v>0.037</v>
      </c>
      <c r="BR69" s="5" t="n">
        <v>0</v>
      </c>
      <c r="BS69" s="5" t="n">
        <v>0.167</v>
      </c>
      <c r="BT69" s="5" t="n">
        <v>0</v>
      </c>
      <c r="BU69" s="5" t="n">
        <v>-0.074</v>
      </c>
      <c r="BV69" s="5" t="n">
        <v>0.021</v>
      </c>
      <c r="BW69" s="5" t="n">
        <v>0</v>
      </c>
      <c r="BX69" s="5" t="n">
        <v>0.167</v>
      </c>
      <c r="BY69" s="5" t="n">
        <v>13.646</v>
      </c>
      <c r="BZ69" s="5" t="n">
        <v>0</v>
      </c>
      <c r="CA69" s="5" t="n">
        <v>13.646</v>
      </c>
      <c r="CB69" s="5" t="n">
        <v>0</v>
      </c>
      <c r="CC69" s="5" t="n">
        <v>86.38500000000001</v>
      </c>
      <c r="CD69" s="5" t="n">
        <v>7.95</v>
      </c>
      <c r="CE69" s="5" t="n">
        <v>-24.877</v>
      </c>
      <c r="CF69" s="5" t="n">
        <v>67.66</v>
      </c>
      <c r="CG69" s="5" t="n">
        <v>0</v>
      </c>
      <c r="CH69" s="5" t="n">
        <v>0</v>
      </c>
      <c r="CI69" s="5" t="n">
        <v>0</v>
      </c>
      <c r="CJ69" s="5" t="n">
        <v>0</v>
      </c>
      <c r="CK69" s="5" t="n">
        <v>0</v>
      </c>
      <c r="CL69" s="5" t="n">
        <v>0</v>
      </c>
      <c r="CM69" s="5" t="n">
        <v>0</v>
      </c>
      <c r="CN69" s="5" t="n">
        <v>0</v>
      </c>
      <c r="CO69" s="5" t="n">
        <v>0</v>
      </c>
      <c r="CP69" s="5" t="n">
        <v>0</v>
      </c>
      <c r="CQ69" s="5" t="n">
        <v>1.387</v>
      </c>
      <c r="CR69" s="5" t="n">
        <v>1</v>
      </c>
      <c r="CS69" s="5" t="n">
        <v>2.361</v>
      </c>
      <c r="CT69" s="5" t="n">
        <v>4.251</v>
      </c>
      <c r="CU69" s="5" t="n">
        <v>9.167999999999999</v>
      </c>
    </row>
    <row r="70">
      <c r="A70" s="5" t="inlineStr">
        <is>
          <t>BGD2021</t>
        </is>
      </c>
      <c r="B70" s="5" t="inlineStr">
        <is>
          <t>BGD</t>
        </is>
      </c>
      <c r="C70" s="5" t="inlineStr">
        <is>
          <t>BGD</t>
        </is>
      </c>
      <c r="D70" s="5" t="inlineStr">
        <is>
          <t>Bangladesh</t>
        </is>
      </c>
      <c r="E70" s="5" t="n">
        <v>2021</v>
      </c>
      <c r="F70" s="5" t="n">
        <v>0.15</v>
      </c>
      <c r="G70" s="5" t="n">
        <v>4.388</v>
      </c>
      <c r="H70" s="5" t="n">
        <v>1.074</v>
      </c>
      <c r="I70" s="5" t="n">
        <v>0</v>
      </c>
      <c r="J70" s="5" t="n">
        <v>4.388</v>
      </c>
      <c r="K70" s="5" t="n">
        <v>0</v>
      </c>
      <c r="L70" s="5" t="n">
        <v>1</v>
      </c>
      <c r="M70" s="5" t="n">
        <v>7.355</v>
      </c>
      <c r="N70" s="5" t="n">
        <v>3.223</v>
      </c>
      <c r="O70" s="5" t="n">
        <v>0.199</v>
      </c>
      <c r="P70" s="5" t="n">
        <v>7.554</v>
      </c>
      <c r="Q70" s="5" t="n">
        <v>0</v>
      </c>
      <c r="R70" s="5" t="n">
        <v>1</v>
      </c>
      <c r="S70" s="5" t="n">
        <v>9.76</v>
      </c>
      <c r="T70" s="5" t="n">
        <v>6.446</v>
      </c>
      <c r="U70" s="5" t="n">
        <v>0</v>
      </c>
      <c r="V70" s="5" t="n">
        <v>11.223</v>
      </c>
      <c r="W70" s="5" t="n">
        <v>0.15</v>
      </c>
      <c r="X70" s="5" t="n">
        <v>1</v>
      </c>
      <c r="Y70" s="5" t="n">
        <v>4.113</v>
      </c>
      <c r="Z70" s="5" t="n">
        <v>0.278</v>
      </c>
      <c r="AA70" s="5" t="n">
        <v>-2.759</v>
      </c>
      <c r="AB70" s="5" t="n">
        <v>1.354</v>
      </c>
      <c r="AC70" s="5" t="n">
        <v>0</v>
      </c>
      <c r="AD70" s="5" t="n">
        <v>0</v>
      </c>
      <c r="AE70" s="5" t="n">
        <v>4.796</v>
      </c>
      <c r="AF70" s="5" t="n">
        <v>0.601</v>
      </c>
      <c r="AG70" s="5" t="n">
        <v>-1.54</v>
      </c>
      <c r="AH70" s="5" t="n">
        <v>3.256</v>
      </c>
      <c r="AI70" s="5" t="n">
        <v>0</v>
      </c>
      <c r="AJ70" s="5" t="n">
        <v>1</v>
      </c>
      <c r="AK70" s="5" t="n">
        <v>8.894</v>
      </c>
      <c r="AL70" s="5" t="n">
        <v>3.159</v>
      </c>
      <c r="AM70" s="5" t="n">
        <v>-5.56</v>
      </c>
      <c r="AN70" s="5" t="n">
        <v>3.834</v>
      </c>
      <c r="AO70" s="5" t="n">
        <v>0</v>
      </c>
      <c r="AP70" s="5" t="n">
        <v>0</v>
      </c>
      <c r="AQ70" s="5" t="n">
        <v>0.621</v>
      </c>
      <c r="AR70" s="5" t="n">
        <v>0.114</v>
      </c>
      <c r="AS70" s="5" t="n">
        <v>0.289</v>
      </c>
      <c r="AT70" s="5" t="n">
        <v>1.046</v>
      </c>
      <c r="AU70" s="5" t="n">
        <v>0.15</v>
      </c>
      <c r="AV70" s="5" t="n">
        <v>1</v>
      </c>
      <c r="AW70" s="5" t="n">
        <v>0.593</v>
      </c>
      <c r="AX70" s="5" t="n">
        <v>0.114</v>
      </c>
      <c r="AY70" s="5" t="n">
        <v>0.225</v>
      </c>
      <c r="AZ70" s="5" t="n">
        <v>0.9399999999999999</v>
      </c>
      <c r="BA70" s="5" t="n">
        <v>0.15</v>
      </c>
      <c r="BB70" s="5" t="n">
        <v>1</v>
      </c>
      <c r="BC70" s="5" t="n">
        <v>0.44</v>
      </c>
      <c r="BD70" s="5" t="n">
        <v>0.114</v>
      </c>
      <c r="BE70" s="5" t="n">
        <v>-0.138</v>
      </c>
      <c r="BF70" s="5" t="n">
        <v>0.323</v>
      </c>
      <c r="BG70" s="5" t="n">
        <v>0</v>
      </c>
      <c r="BH70" s="5" t="n">
        <v>0</v>
      </c>
      <c r="BI70" s="5" t="n">
        <v>0.5600000000000001</v>
      </c>
      <c r="BJ70" s="5" t="n">
        <v>0.114</v>
      </c>
      <c r="BK70" s="5" t="n">
        <v>0.243</v>
      </c>
      <c r="BL70" s="5" t="n">
        <v>0.9399999999999999</v>
      </c>
      <c r="BM70" s="5" t="n">
        <v>0.17</v>
      </c>
      <c r="BN70" s="5" t="n">
        <v>1</v>
      </c>
      <c r="BO70" s="5" t="n">
        <v>0</v>
      </c>
      <c r="BP70" s="5" t="n">
        <v>-0.032</v>
      </c>
      <c r="BQ70" s="5" t="n">
        <v>0.099</v>
      </c>
      <c r="BR70" s="5" t="n">
        <v>0</v>
      </c>
      <c r="BS70" s="5" t="n">
        <v>0.833</v>
      </c>
      <c r="BT70" s="5" t="n">
        <v>0</v>
      </c>
      <c r="BU70" s="5" t="n">
        <v>-0.032</v>
      </c>
      <c r="BV70" s="5" t="n">
        <v>0.073</v>
      </c>
      <c r="BW70" s="5" t="n">
        <v>0</v>
      </c>
      <c r="BX70" s="5" t="n">
        <v>0.833</v>
      </c>
      <c r="BY70" s="5" t="n">
        <v>11.787</v>
      </c>
      <c r="BZ70" s="5" t="n">
        <v>0</v>
      </c>
      <c r="CA70" s="5" t="n">
        <v>11.787</v>
      </c>
      <c r="CB70" s="5" t="n">
        <v>0</v>
      </c>
      <c r="CC70" s="5" t="n">
        <v>81.69499999999999</v>
      </c>
      <c r="CD70" s="5" t="n">
        <v>7.95</v>
      </c>
      <c r="CE70" s="5" t="n">
        <v>10.145</v>
      </c>
      <c r="CF70" s="5" t="n">
        <v>107.453</v>
      </c>
      <c r="CG70" s="5" t="n">
        <v>0.17</v>
      </c>
      <c r="CH70" s="5" t="n">
        <v>1</v>
      </c>
      <c r="CI70" s="5" t="n">
        <v>0</v>
      </c>
      <c r="CJ70" s="5" t="n">
        <v>0</v>
      </c>
      <c r="CK70" s="5" t="n">
        <v>0</v>
      </c>
      <c r="CL70" s="5" t="n">
        <v>0</v>
      </c>
      <c r="CM70" s="5" t="n">
        <v>1.051</v>
      </c>
      <c r="CN70" s="5" t="n">
        <v>0</v>
      </c>
      <c r="CO70" s="5" t="n">
        <v>0</v>
      </c>
      <c r="CP70" s="5" t="n">
        <v>0.121</v>
      </c>
      <c r="CQ70" s="5" t="n">
        <v>1.198</v>
      </c>
      <c r="CR70" s="5" t="n">
        <v>0.805</v>
      </c>
      <c r="CS70" s="5" t="n">
        <v>1.314</v>
      </c>
      <c r="CT70" s="5" t="n">
        <v>3.604</v>
      </c>
      <c r="CU70" s="5" t="n">
        <v>16.843</v>
      </c>
    </row>
    <row r="71">
      <c r="A71" s="5" t="inlineStr">
        <is>
          <t>BGD2022</t>
        </is>
      </c>
      <c r="B71" s="5" t="inlineStr">
        <is>
          <t>BGD</t>
        </is>
      </c>
      <c r="C71" s="5" t="inlineStr">
        <is>
          <t>BGD</t>
        </is>
      </c>
      <c r="D71" s="5" t="inlineStr">
        <is>
          <t>Bangladesh</t>
        </is>
      </c>
      <c r="E71" s="5" t="n">
        <v>2022</v>
      </c>
      <c r="F71" s="5" t="n">
        <v>0.15</v>
      </c>
      <c r="G71" s="5" t="n">
        <v>8.175000000000001</v>
      </c>
      <c r="H71" s="5" t="n">
        <v>1.18</v>
      </c>
      <c r="I71" s="5" t="n">
        <v>0</v>
      </c>
      <c r="J71" s="5" t="n">
        <v>8.175000000000001</v>
      </c>
      <c r="K71" s="5" t="n">
        <v>0</v>
      </c>
      <c r="L71" s="5" t="n">
        <v>1</v>
      </c>
      <c r="M71" s="5" t="n">
        <v>9.19</v>
      </c>
      <c r="N71" s="5" t="n">
        <v>3.539</v>
      </c>
      <c r="O71" s="5" t="n">
        <v>0.277</v>
      </c>
      <c r="P71" s="5" t="n">
        <v>9.467000000000001</v>
      </c>
      <c r="Q71" s="5" t="n">
        <v>0</v>
      </c>
      <c r="R71" s="5" t="n">
        <v>1</v>
      </c>
      <c r="S71" s="5" t="n">
        <v>14.073</v>
      </c>
      <c r="T71" s="5" t="n">
        <v>7.078</v>
      </c>
      <c r="U71" s="5" t="n">
        <v>0.156</v>
      </c>
      <c r="V71" s="5" t="n">
        <v>16.184</v>
      </c>
      <c r="W71" s="5" t="n">
        <v>0.15</v>
      </c>
      <c r="X71" s="5" t="n">
        <v>1</v>
      </c>
      <c r="Y71" s="5" t="n">
        <v>6.64</v>
      </c>
      <c r="Z71" s="5" t="n">
        <v>0.448</v>
      </c>
      <c r="AA71" s="5" t="n">
        <v>-5.224</v>
      </c>
      <c r="AB71" s="5" t="n">
        <v>1.417</v>
      </c>
      <c r="AC71" s="5" t="n">
        <v>0</v>
      </c>
      <c r="AD71" s="5" t="n">
        <v>0</v>
      </c>
      <c r="AE71" s="5" t="n">
        <v>7.395</v>
      </c>
      <c r="AF71" s="5" t="n">
        <v>0.927</v>
      </c>
      <c r="AG71" s="5" t="n">
        <v>-4.07</v>
      </c>
      <c r="AH71" s="5" t="n">
        <v>3.325</v>
      </c>
      <c r="AI71" s="5" t="n">
        <v>0</v>
      </c>
      <c r="AJ71" s="5" t="n">
        <v>1</v>
      </c>
      <c r="AK71" s="5" t="n">
        <v>11.922</v>
      </c>
      <c r="AL71" s="5" t="n">
        <v>4.235</v>
      </c>
      <c r="AM71" s="5" t="n">
        <v>-7.505</v>
      </c>
      <c r="AN71" s="5" t="n">
        <v>5.08</v>
      </c>
      <c r="AO71" s="5" t="n">
        <v>0</v>
      </c>
      <c r="AP71" s="5" t="n">
        <v>0</v>
      </c>
      <c r="AQ71" s="5" t="n">
        <v>0.847</v>
      </c>
      <c r="AR71" s="5" t="n">
        <v>0.123</v>
      </c>
      <c r="AS71" s="5" t="n">
        <v>0.159</v>
      </c>
      <c r="AT71" s="5" t="n">
        <v>1.157</v>
      </c>
      <c r="AU71" s="5" t="n">
        <v>0.15</v>
      </c>
      <c r="AV71" s="5" t="n">
        <v>1</v>
      </c>
      <c r="AW71" s="5" t="n">
        <v>0.947</v>
      </c>
      <c r="AX71" s="5" t="n">
        <v>0.123</v>
      </c>
      <c r="AY71" s="5" t="n">
        <v>-0.081</v>
      </c>
      <c r="AZ71" s="5" t="n">
        <v>0.996</v>
      </c>
      <c r="BA71" s="5" t="n">
        <v>0.15</v>
      </c>
      <c r="BB71" s="5" t="n">
        <v>1</v>
      </c>
      <c r="BC71" s="5" t="n">
        <v>0.589</v>
      </c>
      <c r="BD71" s="5" t="n">
        <v>0.123</v>
      </c>
      <c r="BE71" s="5" t="n">
        <v>-0.272</v>
      </c>
      <c r="BF71" s="5" t="n">
        <v>0.339</v>
      </c>
      <c r="BG71" s="5" t="n">
        <v>0</v>
      </c>
      <c r="BH71" s="5" t="n">
        <v>0</v>
      </c>
      <c r="BI71" s="5" t="n">
        <v>0.6889999999999999</v>
      </c>
      <c r="BJ71" s="5" t="n">
        <v>0.123</v>
      </c>
      <c r="BK71" s="5" t="n">
        <v>0.191</v>
      </c>
      <c r="BL71" s="5" t="n">
        <v>1.03</v>
      </c>
      <c r="BM71" s="5" t="n">
        <v>0.17</v>
      </c>
      <c r="BN71" s="5" t="n">
        <v>1</v>
      </c>
      <c r="BO71" s="5" t="n">
        <v>0</v>
      </c>
      <c r="BP71" s="5" t="n">
        <v>-0.032</v>
      </c>
      <c r="BQ71" s="5" t="n">
        <v>0.09</v>
      </c>
      <c r="BR71" s="5" t="n">
        <v>0</v>
      </c>
      <c r="BS71" s="5" t="n">
        <v>0.833</v>
      </c>
      <c r="BT71" s="5" t="n">
        <v>0</v>
      </c>
      <c r="BU71" s="5" t="n">
        <v>-0.032</v>
      </c>
      <c r="BV71" s="5" t="n">
        <v>0.066</v>
      </c>
      <c r="BW71" s="5" t="n">
        <v>0</v>
      </c>
      <c r="BX71" s="5" t="n">
        <v>0.833</v>
      </c>
      <c r="BY71" s="5" t="n">
        <v>12.729</v>
      </c>
      <c r="BZ71" s="5" t="n">
        <v>0</v>
      </c>
      <c r="CA71" s="5" t="n">
        <v>12.729</v>
      </c>
      <c r="CB71" s="5" t="n">
        <v>0</v>
      </c>
      <c r="CC71" s="5" t="n">
        <v>102.477</v>
      </c>
      <c r="CD71" s="5" t="n">
        <v>7.95</v>
      </c>
      <c r="CE71" s="5" t="n">
        <v>5.486</v>
      </c>
      <c r="CF71" s="5" t="n">
        <v>126.317</v>
      </c>
      <c r="CG71" s="5" t="n">
        <v>0.17</v>
      </c>
      <c r="CH71" s="5" t="n">
        <v>1</v>
      </c>
      <c r="CI71" s="5" t="n">
        <v>0</v>
      </c>
      <c r="CJ71" s="5" t="n">
        <v>0</v>
      </c>
      <c r="CK71" s="5" t="n">
        <v>0</v>
      </c>
      <c r="CL71" s="5" t="n">
        <v>0</v>
      </c>
      <c r="CM71" s="5" t="n">
        <v>1.395</v>
      </c>
      <c r="CN71" s="5" t="n">
        <v>0</v>
      </c>
      <c r="CO71" s="5" t="n">
        <v>0</v>
      </c>
      <c r="CP71" s="5" t="n">
        <v>0.089</v>
      </c>
      <c r="CQ71" s="5" t="n">
        <v>1.294</v>
      </c>
      <c r="CR71" s="5" t="n">
        <v>0.778</v>
      </c>
      <c r="CS71" s="5" t="n">
        <v>1.419</v>
      </c>
      <c r="CT71" s="5" t="n">
        <v>7.554</v>
      </c>
      <c r="CU71" s="5" t="n">
        <v>30.149</v>
      </c>
    </row>
    <row r="72">
      <c r="A72" s="5" t="inlineStr">
        <is>
          <t>BGD2023</t>
        </is>
      </c>
      <c r="B72" s="5" t="inlineStr">
        <is>
          <t>BGD</t>
        </is>
      </c>
      <c r="C72" s="5" t="inlineStr">
        <is>
          <t>BGD</t>
        </is>
      </c>
      <c r="D72" s="5" t="inlineStr">
        <is>
          <t>Bangladesh</t>
        </is>
      </c>
      <c r="E72" s="5" t="n">
        <v>2023</v>
      </c>
      <c r="F72" s="5" t="n">
        <v>0.15</v>
      </c>
      <c r="G72" s="5" t="n">
        <v>5.326</v>
      </c>
      <c r="H72" s="5" t="n">
        <v>1.21</v>
      </c>
      <c r="I72" s="5" t="n">
        <v>0</v>
      </c>
      <c r="J72" s="5" t="n">
        <v>5.326</v>
      </c>
      <c r="K72" s="5" t="n">
        <v>0</v>
      </c>
      <c r="L72" s="5" t="n">
        <v>1</v>
      </c>
      <c r="M72" s="5" t="n">
        <v>7.344</v>
      </c>
      <c r="N72" s="5" t="n">
        <v>3.63</v>
      </c>
      <c r="O72" s="5" t="n">
        <v>0.178</v>
      </c>
      <c r="P72" s="5" t="n">
        <v>7.522</v>
      </c>
      <c r="Q72" s="5" t="n">
        <v>0</v>
      </c>
      <c r="R72" s="5" t="n">
        <v>1</v>
      </c>
      <c r="S72" s="5" t="n">
        <v>11.377</v>
      </c>
      <c r="T72" s="5" t="n">
        <v>7.261</v>
      </c>
      <c r="U72" s="5" t="n">
        <v>0.189</v>
      </c>
      <c r="V72" s="5" t="n">
        <v>13.083</v>
      </c>
      <c r="W72" s="5" t="n">
        <v>0.15</v>
      </c>
      <c r="X72" s="5" t="n">
        <v>1</v>
      </c>
      <c r="Y72" s="5" t="n">
        <v>4.267</v>
      </c>
      <c r="Z72" s="5" t="n">
        <v>0.288</v>
      </c>
      <c r="AA72" s="5" t="n">
        <v>-0.857</v>
      </c>
      <c r="AB72" s="5" t="n">
        <v>3.41</v>
      </c>
      <c r="AC72" s="5" t="n">
        <v>0</v>
      </c>
      <c r="AD72" s="5" t="n">
        <v>0</v>
      </c>
      <c r="AE72" s="5" t="n">
        <v>5.076</v>
      </c>
      <c r="AF72" s="5" t="n">
        <v>0.636</v>
      </c>
      <c r="AG72" s="5" t="n">
        <v>2.23</v>
      </c>
      <c r="AH72" s="5" t="n">
        <v>7.307</v>
      </c>
      <c r="AI72" s="5" t="n">
        <v>0</v>
      </c>
      <c r="AJ72" s="5" t="n">
        <v>1</v>
      </c>
      <c r="AK72" s="5" t="n">
        <v>9.933</v>
      </c>
      <c r="AL72" s="5" t="n">
        <v>3.528</v>
      </c>
      <c r="AM72" s="5" t="n">
        <v>-6.121</v>
      </c>
      <c r="AN72" s="5" t="n">
        <v>4.384</v>
      </c>
      <c r="AO72" s="5" t="n">
        <v>0</v>
      </c>
      <c r="AP72" s="5" t="n">
        <v>0</v>
      </c>
      <c r="AQ72" s="5" t="n">
        <v>0.749</v>
      </c>
      <c r="AR72" s="5" t="n">
        <v>0.129</v>
      </c>
      <c r="AS72" s="5" t="n">
        <v>0.302</v>
      </c>
      <c r="AT72" s="5" t="n">
        <v>1.209</v>
      </c>
      <c r="AU72" s="5" t="n">
        <v>0.15</v>
      </c>
      <c r="AV72" s="5" t="n">
        <v>1</v>
      </c>
      <c r="AW72" s="5" t="n">
        <v>0.783</v>
      </c>
      <c r="AX72" s="5" t="n">
        <v>0.129</v>
      </c>
      <c r="AY72" s="5" t="n">
        <v>0.185</v>
      </c>
      <c r="AZ72" s="5" t="n">
        <v>1.113</v>
      </c>
      <c r="BA72" s="5" t="n">
        <v>0.15</v>
      </c>
      <c r="BB72" s="5" t="n">
        <v>1</v>
      </c>
      <c r="BC72" s="5" t="n">
        <v>0.527</v>
      </c>
      <c r="BD72" s="5" t="n">
        <v>0.129</v>
      </c>
      <c r="BE72" s="5" t="n">
        <v>-0.268</v>
      </c>
      <c r="BF72" s="5" t="n">
        <v>0.277</v>
      </c>
      <c r="BG72" s="5" t="n">
        <v>0</v>
      </c>
      <c r="BH72" s="5" t="n">
        <v>0</v>
      </c>
      <c r="BI72" s="5" t="n">
        <v>0.64</v>
      </c>
      <c r="BJ72" s="5" t="n">
        <v>0.129</v>
      </c>
      <c r="BK72" s="5" t="n">
        <v>0.216</v>
      </c>
      <c r="BL72" s="5" t="n">
        <v>1.002</v>
      </c>
      <c r="BM72" s="5" t="n">
        <v>0.17</v>
      </c>
      <c r="BN72" s="5" t="n">
        <v>1</v>
      </c>
      <c r="BO72" s="5" t="n">
        <v>0</v>
      </c>
      <c r="BP72" s="5" t="n">
        <v>-0.032</v>
      </c>
      <c r="BQ72" s="5" t="n">
        <v>0.08799999999999999</v>
      </c>
      <c r="BR72" s="5" t="n">
        <v>0</v>
      </c>
      <c r="BS72" s="5" t="n">
        <v>0.833</v>
      </c>
      <c r="BT72" s="5" t="n">
        <v>0</v>
      </c>
      <c r="BU72" s="5" t="n">
        <v>-0.032</v>
      </c>
      <c r="BV72" s="5" t="n">
        <v>0.063</v>
      </c>
      <c r="BW72" s="5" t="n">
        <v>0</v>
      </c>
      <c r="BX72" s="5" t="n">
        <v>0.833</v>
      </c>
      <c r="BY72" s="5" t="n">
        <v>13.254</v>
      </c>
      <c r="BZ72" s="5" t="n">
        <v>0</v>
      </c>
      <c r="CA72" s="5" t="n">
        <v>13.254</v>
      </c>
      <c r="CB72" s="5" t="n">
        <v>0</v>
      </c>
      <c r="CC72" s="5" t="n">
        <v>87.07899999999999</v>
      </c>
      <c r="CD72" s="5" t="n">
        <v>7.95</v>
      </c>
      <c r="CE72" s="5" t="n">
        <v>14.039</v>
      </c>
      <c r="CF72" s="5" t="n">
        <v>118.308</v>
      </c>
      <c r="CG72" s="5" t="n">
        <v>0.17</v>
      </c>
      <c r="CH72" s="5" t="n">
        <v>1</v>
      </c>
      <c r="CI72" s="5" t="n">
        <v>0</v>
      </c>
      <c r="CJ72" s="5" t="n">
        <v>0</v>
      </c>
      <c r="CK72" s="5" t="n">
        <v>0</v>
      </c>
      <c r="CL72" s="5" t="n">
        <v>0</v>
      </c>
      <c r="CM72" s="5" t="n">
        <v>2.776</v>
      </c>
      <c r="CN72" s="5" t="n">
        <v>0</v>
      </c>
      <c r="CO72" s="5" t="n">
        <v>0</v>
      </c>
      <c r="CP72" s="5" t="n">
        <v>0.118</v>
      </c>
      <c r="CQ72" s="5" t="n">
        <v>1.348</v>
      </c>
      <c r="CR72" s="5" t="n">
        <v>0.741</v>
      </c>
      <c r="CS72" s="5" t="n">
        <v>1.477</v>
      </c>
      <c r="CT72" s="5" t="n">
        <v>4.484</v>
      </c>
      <c r="CU72" s="5" t="n">
        <v>12.392</v>
      </c>
    </row>
    <row r="73">
      <c r="A73" s="5" t="inlineStr">
        <is>
          <t>BGD2024</t>
        </is>
      </c>
      <c r="B73" s="5" t="inlineStr">
        <is>
          <t>BGD</t>
        </is>
      </c>
      <c r="C73" s="5" t="inlineStr">
        <is>
          <t>BGD</t>
        </is>
      </c>
      <c r="D73" s="5" t="inlineStr">
        <is>
          <t>Bangladesh</t>
        </is>
      </c>
      <c r="E73" s="5" t="n">
        <v>2024</v>
      </c>
      <c r="F73" s="5" t="n">
        <v>0.15</v>
      </c>
      <c r="G73" s="5" t="n">
        <v>4.506</v>
      </c>
      <c r="H73" s="5" t="n">
        <v>1.246</v>
      </c>
      <c r="I73" s="5" t="n">
        <v>0</v>
      </c>
      <c r="J73" s="5" t="n">
        <v>4.506</v>
      </c>
      <c r="K73" s="5" t="n">
        <v>0</v>
      </c>
      <c r="L73" s="5" t="n">
        <v>1</v>
      </c>
      <c r="M73" s="5" t="n">
        <v>6.683</v>
      </c>
      <c r="N73" s="5" t="n">
        <v>3.738</v>
      </c>
      <c r="O73" s="5" t="n">
        <v>0.139</v>
      </c>
      <c r="P73" s="5" t="n">
        <v>6.822</v>
      </c>
      <c r="Q73" s="5" t="n">
        <v>0</v>
      </c>
      <c r="R73" s="5" t="n">
        <v>1</v>
      </c>
      <c r="S73" s="5" t="n">
        <v>10.735</v>
      </c>
      <c r="T73" s="5" t="n">
        <v>7.475</v>
      </c>
      <c r="U73" s="5" t="n">
        <v>0.219</v>
      </c>
      <c r="V73" s="5" t="n">
        <v>12.345</v>
      </c>
      <c r="W73" s="5" t="n">
        <v>0.15</v>
      </c>
      <c r="X73" s="5" t="n">
        <v>1</v>
      </c>
      <c r="Y73" s="5" t="n">
        <v>4.036</v>
      </c>
      <c r="Z73" s="5" t="n">
        <v>0.272</v>
      </c>
      <c r="AA73" s="5" t="n">
        <v>-0.5649999999999999</v>
      </c>
      <c r="AB73" s="5" t="n">
        <v>3.472</v>
      </c>
      <c r="AC73" s="5" t="n">
        <v>0</v>
      </c>
      <c r="AD73" s="5" t="n">
        <v>0</v>
      </c>
      <c r="AE73" s="5" t="n">
        <v>4.869</v>
      </c>
      <c r="AF73" s="5" t="n">
        <v>0.61</v>
      </c>
      <c r="AG73" s="5" t="n">
        <v>1.85</v>
      </c>
      <c r="AH73" s="5" t="n">
        <v>6.719</v>
      </c>
      <c r="AI73" s="5" t="n">
        <v>0</v>
      </c>
      <c r="AJ73" s="5" t="n">
        <v>1</v>
      </c>
      <c r="AK73" s="5" t="n">
        <v>9.869</v>
      </c>
      <c r="AL73" s="5" t="n">
        <v>3.506</v>
      </c>
      <c r="AM73" s="5" t="n">
        <v>-6.364</v>
      </c>
      <c r="AN73" s="5" t="n">
        <v>4.031</v>
      </c>
      <c r="AO73" s="5" t="n">
        <v>0</v>
      </c>
      <c r="AP73" s="5" t="n">
        <v>0</v>
      </c>
      <c r="AQ73" s="5" t="n">
        <v>0.72</v>
      </c>
      <c r="AR73" s="5" t="n">
        <v>0.132</v>
      </c>
      <c r="AS73" s="5" t="n">
        <v>0.456</v>
      </c>
      <c r="AT73" s="5" t="n">
        <v>1.376</v>
      </c>
      <c r="AU73" s="5" t="n">
        <v>0.17</v>
      </c>
      <c r="AV73" s="5" t="n">
        <v>1</v>
      </c>
      <c r="AW73" s="5" t="n">
        <v>0.734</v>
      </c>
      <c r="AX73" s="5" t="n">
        <v>0.132</v>
      </c>
      <c r="AY73" s="5" t="n">
        <v>0.138</v>
      </c>
      <c r="AZ73" s="5" t="n">
        <v>1.019</v>
      </c>
      <c r="BA73" s="5" t="n">
        <v>0.17</v>
      </c>
      <c r="BB73" s="5" t="n">
        <v>1</v>
      </c>
      <c r="BC73" s="5" t="n">
        <v>0.51</v>
      </c>
      <c r="BD73" s="5" t="n">
        <v>0.132</v>
      </c>
      <c r="BE73" s="5" t="n">
        <v>-0.257</v>
      </c>
      <c r="BF73" s="5" t="n">
        <v>0.296</v>
      </c>
      <c r="BG73" s="5" t="n">
        <v>0</v>
      </c>
      <c r="BH73" s="5" t="n">
        <v>0</v>
      </c>
      <c r="BI73" s="5" t="n">
        <v>0.652</v>
      </c>
      <c r="BJ73" s="5" t="n">
        <v>0.132</v>
      </c>
      <c r="BK73" s="5" t="n">
        <v>0.1</v>
      </c>
      <c r="BL73" s="5" t="n">
        <v>0.88</v>
      </c>
      <c r="BM73" s="5" t="n">
        <v>0.17</v>
      </c>
      <c r="BN73" s="5" t="n">
        <v>1</v>
      </c>
      <c r="BO73" s="5" t="n">
        <v>0</v>
      </c>
      <c r="BP73" s="5" t="n">
        <v>-0.033</v>
      </c>
      <c r="BQ73" s="5" t="n">
        <v>0.097</v>
      </c>
      <c r="BR73" s="5" t="n">
        <v>0</v>
      </c>
      <c r="BS73" s="5" t="n">
        <v>0.833</v>
      </c>
      <c r="BT73" s="5" t="n">
        <v>0</v>
      </c>
      <c r="BU73" s="5" t="n">
        <v>-0.033</v>
      </c>
      <c r="BV73" s="5" t="n">
        <v>0.068</v>
      </c>
      <c r="BW73" s="5" t="n">
        <v>0</v>
      </c>
      <c r="BX73" s="5" t="n">
        <v>0.833</v>
      </c>
      <c r="BY73" s="5" t="n">
        <v>13.646</v>
      </c>
      <c r="BZ73" s="5" t="n">
        <v>0</v>
      </c>
      <c r="CA73" s="5" t="n">
        <v>13.646</v>
      </c>
      <c r="CB73" s="5" t="n">
        <v>0</v>
      </c>
      <c r="CC73" s="5" t="n">
        <v>86.38500000000001</v>
      </c>
      <c r="CD73" s="5" t="n">
        <v>7.95</v>
      </c>
      <c r="CE73" s="5" t="n">
        <v>8.976000000000001</v>
      </c>
      <c r="CF73" s="5" t="n">
        <v>111.573</v>
      </c>
      <c r="CG73" s="5" t="n">
        <v>0.17</v>
      </c>
      <c r="CH73" s="5" t="n">
        <v>1</v>
      </c>
      <c r="CI73" s="5" t="n">
        <v>0</v>
      </c>
      <c r="CJ73" s="5" t="n">
        <v>0</v>
      </c>
      <c r="CK73" s="5" t="n">
        <v>0</v>
      </c>
      <c r="CL73" s="5" t="n">
        <v>0</v>
      </c>
      <c r="CM73" s="5" t="n">
        <v>2.855</v>
      </c>
      <c r="CN73" s="5" t="n">
        <v>0</v>
      </c>
      <c r="CO73" s="5" t="n">
        <v>0</v>
      </c>
      <c r="CP73" s="5" t="n">
        <v>0.118</v>
      </c>
      <c r="CQ73" s="5" t="n">
        <v>1.387</v>
      </c>
      <c r="CR73" s="5" t="n">
        <v>0.741</v>
      </c>
      <c r="CS73" s="5" t="n">
        <v>1.521</v>
      </c>
      <c r="CT73" s="5" t="n">
        <v>3.509</v>
      </c>
      <c r="CU73" s="5" t="n">
        <v>10.792</v>
      </c>
    </row>
    <row r="74">
      <c r="A74" s="5" t="inlineStr">
        <is>
          <t>BRB2021</t>
        </is>
      </c>
      <c r="B74" s="5" t="inlineStr">
        <is>
          <t>BRB</t>
        </is>
      </c>
      <c r="C74" s="5" t="inlineStr">
        <is>
          <t>BRB</t>
        </is>
      </c>
      <c r="D74" s="5" t="inlineStr">
        <is>
          <t>Barbados</t>
        </is>
      </c>
      <c r="E74" s="5" t="n">
        <v>2021</v>
      </c>
      <c r="F74" s="5" t="n">
        <v>0.175</v>
      </c>
      <c r="G74" s="5" t="n">
        <v>5.897</v>
      </c>
      <c r="H74" s="5" t="n">
        <v>1.143</v>
      </c>
      <c r="I74" s="5" t="n">
        <v>0</v>
      </c>
      <c r="J74" s="5" t="n">
        <v>5.897</v>
      </c>
      <c r="K74" s="5" t="n">
        <v>0</v>
      </c>
      <c r="L74" s="5" t="n">
        <v>1</v>
      </c>
      <c r="M74" s="5" t="n">
        <v>7.964</v>
      </c>
      <c r="N74" s="5" t="n">
        <v>3.43</v>
      </c>
      <c r="O74" s="5" t="n">
        <v>0</v>
      </c>
      <c r="P74" s="5" t="n">
        <v>7.964</v>
      </c>
      <c r="Q74" s="5" t="n">
        <v>0</v>
      </c>
      <c r="R74" s="5" t="n">
        <v>1</v>
      </c>
      <c r="S74" s="5" t="n">
        <v>11.613</v>
      </c>
      <c r="T74" s="5" t="n">
        <v>6.86</v>
      </c>
      <c r="U74" s="5" t="n">
        <v>0</v>
      </c>
      <c r="V74" s="5" t="n">
        <v>13.646</v>
      </c>
      <c r="W74" s="5" t="n">
        <v>0.175</v>
      </c>
      <c r="X74" s="5" t="n">
        <v>1</v>
      </c>
      <c r="Y74" s="5" t="n">
        <v>9.228</v>
      </c>
      <c r="Z74" s="5" t="n">
        <v>1.241</v>
      </c>
      <c r="AA74" s="5" t="n">
        <v>12.499</v>
      </c>
      <c r="AB74" s="5" t="n">
        <v>21.728</v>
      </c>
      <c r="AC74" s="5" t="n">
        <v>0</v>
      </c>
      <c r="AD74" s="5" t="n">
        <v>1</v>
      </c>
      <c r="AE74" s="5" t="n">
        <v>10.372</v>
      </c>
      <c r="AF74" s="5" t="n">
        <v>2.429</v>
      </c>
      <c r="AG74" s="5" t="n">
        <v>11.356</v>
      </c>
      <c r="AH74" s="5" t="n">
        <v>21.728</v>
      </c>
      <c r="AI74" s="5" t="n">
        <v>0</v>
      </c>
      <c r="AJ74" s="5" t="n">
        <v>1</v>
      </c>
      <c r="AK74" s="5" t="n">
        <v>17.232</v>
      </c>
      <c r="AL74" s="5" t="n">
        <v>9.259</v>
      </c>
      <c r="AM74" s="5" t="n">
        <v>3.566</v>
      </c>
      <c r="AN74" s="5" t="n">
        <v>24.437</v>
      </c>
      <c r="AO74" s="5" t="n">
        <v>0.175</v>
      </c>
      <c r="AP74" s="5" t="n">
        <v>1</v>
      </c>
      <c r="AQ74" s="5" t="n">
        <v>0.649</v>
      </c>
      <c r="AR74" s="5" t="n">
        <v>0.114</v>
      </c>
      <c r="AS74" s="5" t="n">
        <v>0.9360000000000001</v>
      </c>
      <c r="AT74" s="5" t="n">
        <v>1.863</v>
      </c>
      <c r="AU74" s="5" t="n">
        <v>0.175</v>
      </c>
      <c r="AV74" s="5" t="n">
        <v>1</v>
      </c>
      <c r="AW74" s="5" t="n">
        <v>0.577</v>
      </c>
      <c r="AX74" s="5" t="n">
        <v>0.114</v>
      </c>
      <c r="AY74" s="5" t="n">
        <v>0.6909999999999999</v>
      </c>
      <c r="AZ74" s="5" t="n">
        <v>1.49</v>
      </c>
      <c r="BA74" s="5" t="n">
        <v>0.175</v>
      </c>
      <c r="BB74" s="5" t="n">
        <v>1</v>
      </c>
      <c r="BC74" s="5" t="n">
        <v>0.458</v>
      </c>
      <c r="BD74" s="5" t="n">
        <v>0.114</v>
      </c>
      <c r="BE74" s="5" t="n">
        <v>0.291</v>
      </c>
      <c r="BF74" s="5" t="n">
        <v>0.88</v>
      </c>
      <c r="BG74" s="5" t="n">
        <v>0.175</v>
      </c>
      <c r="BH74" s="5" t="n">
        <v>1</v>
      </c>
      <c r="BI74" s="5" t="n">
        <v>0.491</v>
      </c>
      <c r="BJ74" s="5" t="n">
        <v>0.114</v>
      </c>
      <c r="BK74" s="5" t="n">
        <v>0.148</v>
      </c>
      <c r="BL74" s="5" t="n">
        <v>0.639</v>
      </c>
      <c r="BM74" s="5" t="n">
        <v>0</v>
      </c>
      <c r="BN74" s="5" t="n">
        <v>1</v>
      </c>
      <c r="BO74" s="5" t="n">
        <v>0</v>
      </c>
      <c r="BP74" s="5" t="n">
        <v>0</v>
      </c>
      <c r="BQ74" s="5" t="n">
        <v>0.261</v>
      </c>
      <c r="BR74" s="5" t="n">
        <v>0</v>
      </c>
      <c r="BS74" s="5" t="n">
        <v>1</v>
      </c>
      <c r="BT74" s="5" t="n">
        <v>0</v>
      </c>
      <c r="BU74" s="5" t="n">
        <v>0</v>
      </c>
      <c r="BV74" s="5" t="n">
        <v>0.279</v>
      </c>
      <c r="BW74" s="5" t="n">
        <v>0</v>
      </c>
      <c r="BX74" s="5" t="n">
        <v>1</v>
      </c>
      <c r="BY74" s="5" t="n">
        <v>11.787</v>
      </c>
      <c r="BZ74" s="5" t="n">
        <v>0</v>
      </c>
      <c r="CA74" s="5" t="n">
        <v>11.787</v>
      </c>
      <c r="CB74" s="5" t="n">
        <v>0</v>
      </c>
      <c r="CC74" s="5" t="n">
        <v>78.125</v>
      </c>
      <c r="CD74" s="5" t="n">
        <v>7.95</v>
      </c>
      <c r="CE74" s="5" t="n">
        <v>31.732</v>
      </c>
      <c r="CF74" s="5" t="n">
        <v>129.081</v>
      </c>
      <c r="CG74" s="5" t="n">
        <v>0.175</v>
      </c>
      <c r="CH74" s="5" t="n">
        <v>1</v>
      </c>
      <c r="CI74" s="5" t="n">
        <v>0</v>
      </c>
      <c r="CJ74" s="5" t="n">
        <v>0</v>
      </c>
      <c r="CK74" s="5" t="n">
        <v>0</v>
      </c>
      <c r="CL74" s="5" t="n">
        <v>0</v>
      </c>
      <c r="CM74" s="5" t="n">
        <v>0</v>
      </c>
      <c r="CN74" s="5" t="n">
        <v>0</v>
      </c>
      <c r="CO74" s="5" t="n">
        <v>0</v>
      </c>
      <c r="CP74" s="5" t="n">
        <v>0</v>
      </c>
      <c r="CQ74" s="5" t="n">
        <v>1.198</v>
      </c>
      <c r="CR74" s="5" t="n">
        <v>0</v>
      </c>
      <c r="CS74" s="5" t="n">
        <v>4.776</v>
      </c>
      <c r="CT74" s="5" t="n">
        <v>4.753</v>
      </c>
      <c r="CU74" s="5" t="n">
        <v>15.983</v>
      </c>
    </row>
    <row r="75">
      <c r="A75" s="5" t="inlineStr">
        <is>
          <t>BRB2022</t>
        </is>
      </c>
      <c r="B75" s="5" t="inlineStr">
        <is>
          <t>BRB</t>
        </is>
      </c>
      <c r="C75" s="5" t="inlineStr">
        <is>
          <t>BRB</t>
        </is>
      </c>
      <c r="D75" s="5" t="inlineStr">
        <is>
          <t>Barbados</t>
        </is>
      </c>
      <c r="E75" s="5" t="n">
        <v>2022</v>
      </c>
      <c r="F75" s="5" t="n">
        <v>0.175</v>
      </c>
      <c r="G75" s="5" t="n">
        <v>11.72</v>
      </c>
      <c r="H75" s="5" t="n">
        <v>1.235</v>
      </c>
      <c r="I75" s="5" t="n">
        <v>0</v>
      </c>
      <c r="J75" s="5" t="n">
        <v>11.72</v>
      </c>
      <c r="K75" s="5" t="n">
        <v>0</v>
      </c>
      <c r="L75" s="5" t="n">
        <v>1</v>
      </c>
      <c r="M75" s="5" t="n">
        <v>9.782999999999999</v>
      </c>
      <c r="N75" s="5" t="n">
        <v>3.704</v>
      </c>
      <c r="O75" s="5" t="n">
        <v>0</v>
      </c>
      <c r="P75" s="5" t="n">
        <v>9.782999999999999</v>
      </c>
      <c r="Q75" s="5" t="n">
        <v>0</v>
      </c>
      <c r="R75" s="5" t="n">
        <v>1</v>
      </c>
      <c r="S75" s="5" t="n">
        <v>17.893</v>
      </c>
      <c r="T75" s="5" t="n">
        <v>7.408</v>
      </c>
      <c r="U75" s="5" t="n">
        <v>0.232</v>
      </c>
      <c r="V75" s="5" t="n">
        <v>21.025</v>
      </c>
      <c r="W75" s="5" t="n">
        <v>0.175</v>
      </c>
      <c r="X75" s="5" t="n">
        <v>1</v>
      </c>
      <c r="Y75" s="5" t="n">
        <v>13.632</v>
      </c>
      <c r="Z75" s="5" t="n">
        <v>1.834</v>
      </c>
      <c r="AA75" s="5" t="n">
        <v>11.082</v>
      </c>
      <c r="AB75" s="5" t="n">
        <v>24.714</v>
      </c>
      <c r="AC75" s="5" t="n">
        <v>0</v>
      </c>
      <c r="AD75" s="5" t="n">
        <v>1</v>
      </c>
      <c r="AE75" s="5" t="n">
        <v>14.867</v>
      </c>
      <c r="AF75" s="5" t="n">
        <v>3.481</v>
      </c>
      <c r="AG75" s="5" t="n">
        <v>9.847</v>
      </c>
      <c r="AH75" s="5" t="n">
        <v>24.714</v>
      </c>
      <c r="AI75" s="5" t="n">
        <v>0</v>
      </c>
      <c r="AJ75" s="5" t="n">
        <v>1</v>
      </c>
      <c r="AK75" s="5" t="n">
        <v>22.275</v>
      </c>
      <c r="AL75" s="5" t="n">
        <v>11.969</v>
      </c>
      <c r="AM75" s="5" t="n">
        <v>-1.33</v>
      </c>
      <c r="AN75" s="5" t="n">
        <v>24.61</v>
      </c>
      <c r="AO75" s="5" t="n">
        <v>0.175</v>
      </c>
      <c r="AP75" s="5" t="n">
        <v>1</v>
      </c>
      <c r="AQ75" s="5" t="n">
        <v>0.896</v>
      </c>
      <c r="AR75" s="5" t="n">
        <v>0.123</v>
      </c>
      <c r="AS75" s="5" t="n">
        <v>0.899</v>
      </c>
      <c r="AT75" s="5" t="n">
        <v>2.109</v>
      </c>
      <c r="AU75" s="5" t="n">
        <v>0.175</v>
      </c>
      <c r="AV75" s="5" t="n">
        <v>1</v>
      </c>
      <c r="AW75" s="5" t="n">
        <v>0.89</v>
      </c>
      <c r="AX75" s="5" t="n">
        <v>0.123</v>
      </c>
      <c r="AY75" s="5" t="n">
        <v>0.703</v>
      </c>
      <c r="AZ75" s="5" t="n">
        <v>1.872</v>
      </c>
      <c r="BA75" s="5" t="n">
        <v>0.175</v>
      </c>
      <c r="BB75" s="5" t="n">
        <v>1</v>
      </c>
      <c r="BC75" s="5" t="n">
        <v>0.62</v>
      </c>
      <c r="BD75" s="5" t="n">
        <v>0.123</v>
      </c>
      <c r="BE75" s="5" t="n">
        <v>0.151</v>
      </c>
      <c r="BF75" s="5" t="n">
        <v>0.906</v>
      </c>
      <c r="BG75" s="5" t="n">
        <v>0.175</v>
      </c>
      <c r="BH75" s="5" t="n">
        <v>1</v>
      </c>
      <c r="BI75" s="5" t="n">
        <v>0.608</v>
      </c>
      <c r="BJ75" s="5" t="n">
        <v>0.123</v>
      </c>
      <c r="BK75" s="5" t="n">
        <v>0.466</v>
      </c>
      <c r="BL75" s="5" t="n">
        <v>1.073</v>
      </c>
      <c r="BM75" s="5" t="n">
        <v>0</v>
      </c>
      <c r="BN75" s="5" t="n">
        <v>1</v>
      </c>
      <c r="BO75" s="5" t="n">
        <v>0</v>
      </c>
      <c r="BP75" s="5" t="n">
        <v>0</v>
      </c>
      <c r="BQ75" s="5" t="n">
        <v>0.347</v>
      </c>
      <c r="BR75" s="5" t="n">
        <v>0</v>
      </c>
      <c r="BS75" s="5" t="n">
        <v>1</v>
      </c>
      <c r="BT75" s="5" t="n">
        <v>0</v>
      </c>
      <c r="BU75" s="5" t="n">
        <v>0</v>
      </c>
      <c r="BV75" s="5" t="n">
        <v>0.305</v>
      </c>
      <c r="BW75" s="5" t="n">
        <v>0</v>
      </c>
      <c r="BX75" s="5" t="n">
        <v>1</v>
      </c>
      <c r="BY75" s="5" t="n">
        <v>12.729</v>
      </c>
      <c r="BZ75" s="5" t="n">
        <v>0</v>
      </c>
      <c r="CA75" s="5" t="n">
        <v>12.729</v>
      </c>
      <c r="CB75" s="5" t="n">
        <v>0</v>
      </c>
      <c r="CC75" s="5" t="n">
        <v>97.90000000000001</v>
      </c>
      <c r="CD75" s="5" t="n">
        <v>7.95</v>
      </c>
      <c r="CE75" s="5" t="n">
        <v>33.938</v>
      </c>
      <c r="CF75" s="5" t="n">
        <v>152.929</v>
      </c>
      <c r="CG75" s="5" t="n">
        <v>0.175</v>
      </c>
      <c r="CH75" s="5" t="n">
        <v>1</v>
      </c>
      <c r="CI75" s="5" t="n">
        <v>0</v>
      </c>
      <c r="CJ75" s="5" t="n">
        <v>0</v>
      </c>
      <c r="CK75" s="5" t="n">
        <v>0</v>
      </c>
      <c r="CL75" s="5" t="n">
        <v>0</v>
      </c>
      <c r="CM75" s="5" t="n">
        <v>0</v>
      </c>
      <c r="CN75" s="5" t="n">
        <v>0</v>
      </c>
      <c r="CO75" s="5" t="n">
        <v>0</v>
      </c>
      <c r="CP75" s="5" t="n">
        <v>0</v>
      </c>
      <c r="CQ75" s="5" t="n">
        <v>1.294</v>
      </c>
      <c r="CR75" s="5" t="n">
        <v>0</v>
      </c>
      <c r="CS75" s="5" t="n">
        <v>5.158</v>
      </c>
      <c r="CT75" s="5" t="n">
        <v>10.485</v>
      </c>
      <c r="CU75" s="5" t="n">
        <v>29.494</v>
      </c>
    </row>
    <row r="76">
      <c r="A76" s="5" t="inlineStr">
        <is>
          <t>BRB2023</t>
        </is>
      </c>
      <c r="B76" s="5" t="inlineStr">
        <is>
          <t>BRB</t>
        </is>
      </c>
      <c r="C76" s="5" t="inlineStr">
        <is>
          <t>BRB</t>
        </is>
      </c>
      <c r="D76" s="5" t="inlineStr">
        <is>
          <t>Barbados</t>
        </is>
      </c>
      <c r="E76" s="5" t="n">
        <v>2023</v>
      </c>
      <c r="F76" s="5" t="n">
        <v>0.175</v>
      </c>
      <c r="G76" s="5" t="n">
        <v>6.147</v>
      </c>
      <c r="H76" s="5" t="n">
        <v>1.286</v>
      </c>
      <c r="I76" s="5" t="n">
        <v>0</v>
      </c>
      <c r="J76" s="5" t="n">
        <v>6.147</v>
      </c>
      <c r="K76" s="5" t="n">
        <v>0</v>
      </c>
      <c r="L76" s="5" t="n">
        <v>1</v>
      </c>
      <c r="M76" s="5" t="n">
        <v>7.886</v>
      </c>
      <c r="N76" s="5" t="n">
        <v>3.857</v>
      </c>
      <c r="O76" s="5" t="n">
        <v>0</v>
      </c>
      <c r="P76" s="5" t="n">
        <v>7.886</v>
      </c>
      <c r="Q76" s="5" t="n">
        <v>0</v>
      </c>
      <c r="R76" s="5" t="n">
        <v>1</v>
      </c>
      <c r="S76" s="5" t="n">
        <v>12.575</v>
      </c>
      <c r="T76" s="5" t="n">
        <v>7.714</v>
      </c>
      <c r="U76" s="5" t="n">
        <v>0.244</v>
      </c>
      <c r="V76" s="5" t="n">
        <v>14.776</v>
      </c>
      <c r="W76" s="5" t="n">
        <v>0.175</v>
      </c>
      <c r="X76" s="5" t="n">
        <v>1</v>
      </c>
      <c r="Y76" s="5" t="n">
        <v>8.345000000000001</v>
      </c>
      <c r="Z76" s="5" t="n">
        <v>1.122</v>
      </c>
      <c r="AA76" s="5" t="n">
        <v>24.771</v>
      </c>
      <c r="AB76" s="5" t="n">
        <v>33.116</v>
      </c>
      <c r="AC76" s="5" t="n">
        <v>0</v>
      </c>
      <c r="AD76" s="5" t="n">
        <v>1</v>
      </c>
      <c r="AE76" s="5" t="n">
        <v>9.631</v>
      </c>
      <c r="AF76" s="5" t="n">
        <v>2.255</v>
      </c>
      <c r="AG76" s="5" t="n">
        <v>23.486</v>
      </c>
      <c r="AH76" s="5" t="n">
        <v>33.116</v>
      </c>
      <c r="AI76" s="5" t="n">
        <v>0</v>
      </c>
      <c r="AJ76" s="5" t="n">
        <v>1</v>
      </c>
      <c r="AK76" s="5" t="n">
        <v>17.345</v>
      </c>
      <c r="AL76" s="5" t="n">
        <v>9.32</v>
      </c>
      <c r="AM76" s="5" t="n">
        <v>4.28</v>
      </c>
      <c r="AN76" s="5" t="n">
        <v>25.409</v>
      </c>
      <c r="AO76" s="5" t="n">
        <v>0.175</v>
      </c>
      <c r="AP76" s="5" t="n">
        <v>1</v>
      </c>
      <c r="AQ76" s="5" t="n">
        <v>0.791</v>
      </c>
      <c r="AR76" s="5" t="n">
        <v>0.129</v>
      </c>
      <c r="AS76" s="5" t="n">
        <v>0.9350000000000001</v>
      </c>
      <c r="AT76" s="5" t="n">
        <v>2.027</v>
      </c>
      <c r="AU76" s="5" t="n">
        <v>0.175</v>
      </c>
      <c r="AV76" s="5" t="n">
        <v>1</v>
      </c>
      <c r="AW76" s="5" t="n">
        <v>0.618</v>
      </c>
      <c r="AX76" s="5" t="n">
        <v>0.129</v>
      </c>
      <c r="AY76" s="5" t="n">
        <v>0.857</v>
      </c>
      <c r="AZ76" s="5" t="n">
        <v>1.733</v>
      </c>
      <c r="BA76" s="5" t="n">
        <v>0.175</v>
      </c>
      <c r="BB76" s="5" t="n">
        <v>1</v>
      </c>
      <c r="BC76" s="5" t="n">
        <v>0.554</v>
      </c>
      <c r="BD76" s="5" t="n">
        <v>0.129</v>
      </c>
      <c r="BE76" s="5" t="n">
        <v>0.206</v>
      </c>
      <c r="BF76" s="5" t="n">
        <v>0.893</v>
      </c>
      <c r="BG76" s="5" t="n">
        <v>0.175</v>
      </c>
      <c r="BH76" s="5" t="n">
        <v>1</v>
      </c>
      <c r="BI76" s="5" t="n">
        <v>0.5570000000000001</v>
      </c>
      <c r="BJ76" s="5" t="n">
        <v>0.129</v>
      </c>
      <c r="BK76" s="5" t="n">
        <v>0.373</v>
      </c>
      <c r="BL76" s="5" t="n">
        <v>0.931</v>
      </c>
      <c r="BM76" s="5" t="n">
        <v>0</v>
      </c>
      <c r="BN76" s="5" t="n">
        <v>1</v>
      </c>
      <c r="BO76" s="5" t="n">
        <v>0</v>
      </c>
      <c r="BP76" s="5" t="n">
        <v>0</v>
      </c>
      <c r="BQ76" s="5" t="n">
        <v>0.325</v>
      </c>
      <c r="BR76" s="5" t="n">
        <v>0</v>
      </c>
      <c r="BS76" s="5" t="n">
        <v>1</v>
      </c>
      <c r="BT76" s="5" t="n">
        <v>0</v>
      </c>
      <c r="BU76" s="5" t="n">
        <v>0</v>
      </c>
      <c r="BV76" s="5" t="n">
        <v>0.294</v>
      </c>
      <c r="BW76" s="5" t="n">
        <v>0</v>
      </c>
      <c r="BX76" s="5" t="n">
        <v>1</v>
      </c>
      <c r="BY76" s="5" t="n">
        <v>13.254</v>
      </c>
      <c r="BZ76" s="5" t="n">
        <v>0</v>
      </c>
      <c r="CA76" s="5" t="n">
        <v>13.254</v>
      </c>
      <c r="CB76" s="5" t="n">
        <v>0</v>
      </c>
      <c r="CC76" s="5" t="n">
        <v>83.248</v>
      </c>
      <c r="CD76" s="5" t="n">
        <v>7.95</v>
      </c>
      <c r="CE76" s="5" t="n">
        <v>38.685</v>
      </c>
      <c r="CF76" s="5" t="n">
        <v>140.549</v>
      </c>
      <c r="CG76" s="5" t="n">
        <v>0.175</v>
      </c>
      <c r="CH76" s="5" t="n">
        <v>1</v>
      </c>
      <c r="CI76" s="5" t="n">
        <v>0</v>
      </c>
      <c r="CJ76" s="5" t="n">
        <v>0</v>
      </c>
      <c r="CK76" s="5" t="n">
        <v>0</v>
      </c>
      <c r="CL76" s="5" t="n">
        <v>0</v>
      </c>
      <c r="CM76" s="5" t="n">
        <v>0</v>
      </c>
      <c r="CN76" s="5" t="n">
        <v>0</v>
      </c>
      <c r="CO76" s="5" t="n">
        <v>0</v>
      </c>
      <c r="CP76" s="5" t="n">
        <v>0</v>
      </c>
      <c r="CQ76" s="5" t="n">
        <v>1.348</v>
      </c>
      <c r="CR76" s="5" t="n">
        <v>0</v>
      </c>
      <c r="CS76" s="5" t="n">
        <v>5.37</v>
      </c>
      <c r="CT76" s="5" t="n">
        <v>4.861</v>
      </c>
      <c r="CU76" s="5" t="n">
        <v>11.192</v>
      </c>
    </row>
    <row r="77">
      <c r="A77" s="5" t="inlineStr">
        <is>
          <t>BRB2024</t>
        </is>
      </c>
      <c r="B77" s="5" t="inlineStr">
        <is>
          <t>BRB</t>
        </is>
      </c>
      <c r="C77" s="5" t="inlineStr">
        <is>
          <t>BRB</t>
        </is>
      </c>
      <c r="D77" s="5" t="inlineStr">
        <is>
          <t>Barbados</t>
        </is>
      </c>
      <c r="E77" s="5" t="n">
        <v>2024</v>
      </c>
      <c r="F77" s="5" t="n">
        <v>0.175</v>
      </c>
      <c r="G77" s="5" t="n">
        <v>5.575</v>
      </c>
      <c r="H77" s="5" t="n">
        <v>1.324</v>
      </c>
      <c r="I77" s="5" t="n">
        <v>0</v>
      </c>
      <c r="J77" s="5" t="n">
        <v>5.575</v>
      </c>
      <c r="K77" s="5" t="n">
        <v>0</v>
      </c>
      <c r="L77" s="5" t="n">
        <v>1</v>
      </c>
      <c r="M77" s="5" t="n">
        <v>7.124</v>
      </c>
      <c r="N77" s="5" t="n">
        <v>3.971</v>
      </c>
      <c r="O77" s="5" t="n">
        <v>0</v>
      </c>
      <c r="P77" s="5" t="n">
        <v>7.124</v>
      </c>
      <c r="Q77" s="5" t="n">
        <v>0</v>
      </c>
      <c r="R77" s="5" t="n">
        <v>1</v>
      </c>
      <c r="S77" s="5" t="n">
        <v>12.193</v>
      </c>
      <c r="T77" s="5" t="n">
        <v>7.942</v>
      </c>
      <c r="U77" s="5" t="n">
        <v>0.291</v>
      </c>
      <c r="V77" s="5" t="n">
        <v>14.327</v>
      </c>
      <c r="W77" s="5" t="n">
        <v>0.175</v>
      </c>
      <c r="X77" s="5" t="n">
        <v>1</v>
      </c>
      <c r="Y77" s="5" t="n">
        <v>8.172000000000001</v>
      </c>
      <c r="Z77" s="5" t="n">
        <v>1.099</v>
      </c>
      <c r="AA77" s="5" t="n">
        <v>24.944</v>
      </c>
      <c r="AB77" s="5" t="n">
        <v>33.116</v>
      </c>
      <c r="AC77" s="5" t="n">
        <v>0</v>
      </c>
      <c r="AD77" s="5" t="n">
        <v>1</v>
      </c>
      <c r="AE77" s="5" t="n">
        <v>9.496</v>
      </c>
      <c r="AF77" s="5" t="n">
        <v>2.224</v>
      </c>
      <c r="AG77" s="5" t="n">
        <v>23.62</v>
      </c>
      <c r="AH77" s="5" t="n">
        <v>33.116</v>
      </c>
      <c r="AI77" s="5" t="n">
        <v>0</v>
      </c>
      <c r="AJ77" s="5" t="n">
        <v>1</v>
      </c>
      <c r="AK77" s="5" t="n">
        <v>17.438</v>
      </c>
      <c r="AL77" s="5" t="n">
        <v>9.369999999999999</v>
      </c>
      <c r="AM77" s="5" t="n">
        <v>4.187</v>
      </c>
      <c r="AN77" s="5" t="n">
        <v>25.409</v>
      </c>
      <c r="AO77" s="5" t="n">
        <v>0.175</v>
      </c>
      <c r="AP77" s="5" t="n">
        <v>1</v>
      </c>
      <c r="AQ77" s="5" t="n">
        <v>0.756</v>
      </c>
      <c r="AR77" s="5" t="n">
        <v>0.132</v>
      </c>
      <c r="AS77" s="5" t="n">
        <v>1.006</v>
      </c>
      <c r="AT77" s="5" t="n">
        <v>2.071</v>
      </c>
      <c r="AU77" s="5" t="n">
        <v>0.175</v>
      </c>
      <c r="AV77" s="5" t="n">
        <v>1</v>
      </c>
      <c r="AW77" s="5" t="n">
        <v>0.655</v>
      </c>
      <c r="AX77" s="5" t="n">
        <v>0.132</v>
      </c>
      <c r="AY77" s="5" t="n">
        <v>0.799</v>
      </c>
      <c r="AZ77" s="5" t="n">
        <v>1.709</v>
      </c>
      <c r="BA77" s="5" t="n">
        <v>0.175</v>
      </c>
      <c r="BB77" s="5" t="n">
        <v>1</v>
      </c>
      <c r="BC77" s="5" t="n">
        <v>0.534</v>
      </c>
      <c r="BD77" s="5" t="n">
        <v>0.132</v>
      </c>
      <c r="BE77" s="5" t="n">
        <v>0.224</v>
      </c>
      <c r="BF77" s="5" t="n">
        <v>0.89</v>
      </c>
      <c r="BG77" s="5" t="n">
        <v>0.175</v>
      </c>
      <c r="BH77" s="5" t="n">
        <v>1</v>
      </c>
      <c r="BI77" s="5" t="n">
        <v>0.5679999999999999</v>
      </c>
      <c r="BJ77" s="5" t="n">
        <v>0.132</v>
      </c>
      <c r="BK77" s="5" t="n">
        <v>0.416</v>
      </c>
      <c r="BL77" s="5" t="n">
        <v>0.984</v>
      </c>
      <c r="BM77" s="5" t="n">
        <v>0</v>
      </c>
      <c r="BN77" s="5" t="n">
        <v>1</v>
      </c>
      <c r="BO77" s="5" t="n">
        <v>0</v>
      </c>
      <c r="BP77" s="5" t="n">
        <v>0</v>
      </c>
      <c r="BQ77" s="5" t="n">
        <v>0.336</v>
      </c>
      <c r="BR77" s="5" t="n">
        <v>0</v>
      </c>
      <c r="BS77" s="5" t="n">
        <v>1</v>
      </c>
      <c r="BT77" s="5" t="n">
        <v>0</v>
      </c>
      <c r="BU77" s="5" t="n">
        <v>0</v>
      </c>
      <c r="BV77" s="5" t="n">
        <v>0.344</v>
      </c>
      <c r="BW77" s="5" t="n">
        <v>0</v>
      </c>
      <c r="BX77" s="5" t="n">
        <v>1</v>
      </c>
      <c r="BY77" s="5" t="n">
        <v>13.646</v>
      </c>
      <c r="BZ77" s="5" t="n">
        <v>0</v>
      </c>
      <c r="CA77" s="5" t="n">
        <v>13.646</v>
      </c>
      <c r="CB77" s="5" t="n">
        <v>0</v>
      </c>
      <c r="CC77" s="5" t="n">
        <v>82.58799999999999</v>
      </c>
      <c r="CD77" s="5" t="n">
        <v>7.95</v>
      </c>
      <c r="CE77" s="5" t="n">
        <v>40.778</v>
      </c>
      <c r="CF77" s="5" t="n">
        <v>141.58</v>
      </c>
      <c r="CG77" s="5" t="n">
        <v>0.175</v>
      </c>
      <c r="CH77" s="5" t="n">
        <v>1</v>
      </c>
      <c r="CI77" s="5" t="n">
        <v>0</v>
      </c>
      <c r="CJ77" s="5" t="n">
        <v>0</v>
      </c>
      <c r="CK77" s="5" t="n">
        <v>0</v>
      </c>
      <c r="CL77" s="5" t="n">
        <v>0</v>
      </c>
      <c r="CM77" s="5" t="n">
        <v>0</v>
      </c>
      <c r="CN77" s="5" t="n">
        <v>0</v>
      </c>
      <c r="CO77" s="5" t="n">
        <v>0</v>
      </c>
      <c r="CP77" s="5" t="n">
        <v>0</v>
      </c>
      <c r="CQ77" s="5" t="n">
        <v>1.387</v>
      </c>
      <c r="CR77" s="5" t="n">
        <v>0</v>
      </c>
      <c r="CS77" s="5" t="n">
        <v>5.529</v>
      </c>
      <c r="CT77" s="5" t="n">
        <v>4.251</v>
      </c>
      <c r="CU77" s="5" t="n">
        <v>10.123</v>
      </c>
    </row>
    <row r="78">
      <c r="A78" s="5" t="inlineStr">
        <is>
          <t>BLR2021</t>
        </is>
      </c>
      <c r="B78" s="5" t="inlineStr">
        <is>
          <t>BLR</t>
        </is>
      </c>
      <c r="C78" s="5" t="inlineStr">
        <is>
          <t>BLR</t>
        </is>
      </c>
      <c r="D78" s="5" t="inlineStr">
        <is>
          <t>Belarus</t>
        </is>
      </c>
      <c r="E78" s="5" t="n">
        <v>2021</v>
      </c>
      <c r="F78" s="5" t="n">
        <v>0.2</v>
      </c>
      <c r="G78" s="5" t="n">
        <v>5.553</v>
      </c>
      <c r="H78" s="5" t="n">
        <v>1.143</v>
      </c>
      <c r="I78" s="5" t="n">
        <v>0</v>
      </c>
      <c r="J78" s="5" t="n">
        <v>5.553</v>
      </c>
      <c r="K78" s="5" t="n">
        <v>0</v>
      </c>
      <c r="L78" s="5" t="n">
        <v>1</v>
      </c>
      <c r="M78" s="5" t="n">
        <v>7.964</v>
      </c>
      <c r="N78" s="5" t="n">
        <v>3.43</v>
      </c>
      <c r="O78" s="5" t="n">
        <v>0</v>
      </c>
      <c r="P78" s="5" t="n">
        <v>7.964</v>
      </c>
      <c r="Q78" s="5" t="n">
        <v>0</v>
      </c>
      <c r="R78" s="5" t="n">
        <v>1</v>
      </c>
      <c r="S78" s="5" t="n">
        <v>13.63</v>
      </c>
      <c r="T78" s="5" t="n">
        <v>6.86</v>
      </c>
      <c r="U78" s="5" t="n">
        <v>-9.984999999999999</v>
      </c>
      <c r="V78" s="5" t="n">
        <v>3.703</v>
      </c>
      <c r="W78" s="5" t="n">
        <v>0</v>
      </c>
      <c r="X78" s="5" t="n">
        <v>0</v>
      </c>
      <c r="Y78" s="5" t="n">
        <v>5.914</v>
      </c>
      <c r="Z78" s="5" t="n">
        <v>0.795</v>
      </c>
      <c r="AA78" s="5" t="n">
        <v>0.979</v>
      </c>
      <c r="AB78" s="5" t="n">
        <v>6.893</v>
      </c>
      <c r="AC78" s="5" t="n">
        <v>0</v>
      </c>
      <c r="AD78" s="5" t="n">
        <v>0</v>
      </c>
      <c r="AE78" s="5" t="n">
        <v>7.053</v>
      </c>
      <c r="AF78" s="5" t="n">
        <v>1.641</v>
      </c>
      <c r="AG78" s="5" t="n">
        <v>-0.159</v>
      </c>
      <c r="AH78" s="5" t="n">
        <v>6.893</v>
      </c>
      <c r="AI78" s="5" t="n">
        <v>0</v>
      </c>
      <c r="AJ78" s="5" t="n">
        <v>0</v>
      </c>
      <c r="AK78" s="5" t="n">
        <v>13.883</v>
      </c>
      <c r="AL78" s="5" t="n">
        <v>7.373</v>
      </c>
      <c r="AM78" s="5" t="n">
        <v>-12.698</v>
      </c>
      <c r="AN78" s="5" t="n">
        <v>1.422</v>
      </c>
      <c r="AO78" s="5" t="n">
        <v>0</v>
      </c>
      <c r="AP78" s="5" t="n">
        <v>0</v>
      </c>
      <c r="AQ78" s="5" t="n">
        <v>0.619</v>
      </c>
      <c r="AR78" s="5" t="n">
        <v>0.114</v>
      </c>
      <c r="AS78" s="5" t="n">
        <v>0.03</v>
      </c>
      <c r="AT78" s="5" t="n">
        <v>0.779</v>
      </c>
      <c r="AU78" s="5" t="n">
        <v>0.2</v>
      </c>
      <c r="AV78" s="5" t="n">
        <v>1</v>
      </c>
      <c r="AW78" s="5" t="n">
        <v>0.599</v>
      </c>
      <c r="AX78" s="5" t="n">
        <v>0.114</v>
      </c>
      <c r="AY78" s="5" t="n">
        <v>0.05</v>
      </c>
      <c r="AZ78" s="5" t="n">
        <v>0.779</v>
      </c>
      <c r="BA78" s="5" t="n">
        <v>0.2</v>
      </c>
      <c r="BB78" s="5" t="n">
        <v>1</v>
      </c>
      <c r="BC78" s="5" t="n">
        <v>0.439</v>
      </c>
      <c r="BD78" s="5" t="n">
        <v>0.114</v>
      </c>
      <c r="BE78" s="5" t="n">
        <v>-0.092</v>
      </c>
      <c r="BF78" s="5" t="n">
        <v>0.416</v>
      </c>
      <c r="BG78" s="5" t="n">
        <v>0</v>
      </c>
      <c r="BH78" s="5" t="n">
        <v>0</v>
      </c>
      <c r="BI78" s="5" t="n">
        <v>0.505</v>
      </c>
      <c r="BJ78" s="5" t="n">
        <v>0.114</v>
      </c>
      <c r="BK78" s="5" t="n">
        <v>0</v>
      </c>
      <c r="BL78" s="5" t="n">
        <v>0.606</v>
      </c>
      <c r="BM78" s="5" t="n">
        <v>0.2</v>
      </c>
      <c r="BN78" s="5" t="n">
        <v>1</v>
      </c>
      <c r="BO78" s="5" t="n">
        <v>0</v>
      </c>
      <c r="BP78" s="5" t="n">
        <v>0</v>
      </c>
      <c r="BQ78" s="5" t="n">
        <v>0.093</v>
      </c>
      <c r="BR78" s="5" t="n">
        <v>0</v>
      </c>
      <c r="BS78" s="5" t="n">
        <v>1</v>
      </c>
      <c r="BT78" s="5" t="n">
        <v>0</v>
      </c>
      <c r="BU78" s="5" t="n">
        <v>0</v>
      </c>
      <c r="BV78" s="5" t="n">
        <v>0.077</v>
      </c>
      <c r="BW78" s="5" t="n">
        <v>0.2</v>
      </c>
      <c r="BX78" s="5" t="n">
        <v>1</v>
      </c>
      <c r="BY78" s="5" t="n">
        <v>11.787</v>
      </c>
      <c r="BZ78" s="5" t="n">
        <v>0</v>
      </c>
      <c r="CA78" s="5" t="n">
        <v>11.787</v>
      </c>
      <c r="CB78" s="5" t="n">
        <v>0</v>
      </c>
      <c r="CC78" s="5" t="n">
        <v>78.125</v>
      </c>
      <c r="CD78" s="5" t="n">
        <v>7.95</v>
      </c>
      <c r="CE78" s="5" t="n">
        <v>0</v>
      </c>
      <c r="CF78" s="5" t="n">
        <v>93.75</v>
      </c>
      <c r="CG78" s="5" t="n">
        <v>0.2</v>
      </c>
      <c r="CH78" s="5" t="n">
        <v>1</v>
      </c>
      <c r="CI78" s="5" t="n">
        <v>0</v>
      </c>
      <c r="CJ78" s="5" t="n">
        <v>0</v>
      </c>
      <c r="CK78" s="5" t="n">
        <v>0</v>
      </c>
      <c r="CL78" s="5" t="n">
        <v>0</v>
      </c>
      <c r="CM78" s="5" t="n">
        <v>0.019</v>
      </c>
      <c r="CN78" s="5" t="n">
        <v>0.041</v>
      </c>
      <c r="CO78" s="5" t="n">
        <v>0</v>
      </c>
      <c r="CP78" s="5" t="n">
        <v>0</v>
      </c>
      <c r="CQ78" s="5" t="n">
        <v>1.198</v>
      </c>
      <c r="CR78" s="5" t="n">
        <v>0.008999999999999999</v>
      </c>
      <c r="CS78" s="5" t="n">
        <v>4.776</v>
      </c>
      <c r="CT78" s="5" t="n">
        <v>4.41</v>
      </c>
      <c r="CU78" s="5" t="n">
        <v>15.162</v>
      </c>
    </row>
    <row r="79">
      <c r="A79" s="5" t="inlineStr">
        <is>
          <t>BLR2022</t>
        </is>
      </c>
      <c r="B79" s="5" t="inlineStr">
        <is>
          <t>BLR</t>
        </is>
      </c>
      <c r="C79" s="5" t="inlineStr">
        <is>
          <t>BLR</t>
        </is>
      </c>
      <c r="D79" s="5" t="inlineStr">
        <is>
          <t>Belarus</t>
        </is>
      </c>
      <c r="E79" s="5" t="n">
        <v>2022</v>
      </c>
      <c r="F79" s="5" t="n">
        <v>0.2</v>
      </c>
      <c r="G79" s="5" t="n">
        <v>7.077</v>
      </c>
      <c r="H79" s="5" t="n">
        <v>1.235</v>
      </c>
      <c r="I79" s="5" t="n">
        <v>0</v>
      </c>
      <c r="J79" s="5" t="n">
        <v>7.077</v>
      </c>
      <c r="K79" s="5" t="n">
        <v>0</v>
      </c>
      <c r="L79" s="5" t="n">
        <v>1</v>
      </c>
      <c r="M79" s="5" t="n">
        <v>9.782999999999999</v>
      </c>
      <c r="N79" s="5" t="n">
        <v>3.704</v>
      </c>
      <c r="O79" s="5" t="n">
        <v>0</v>
      </c>
      <c r="P79" s="5" t="n">
        <v>9.782999999999999</v>
      </c>
      <c r="Q79" s="5" t="n">
        <v>0</v>
      </c>
      <c r="R79" s="5" t="n">
        <v>1</v>
      </c>
      <c r="S79" s="5" t="n">
        <v>15.8</v>
      </c>
      <c r="T79" s="5" t="n">
        <v>7.408</v>
      </c>
      <c r="U79" s="5" t="n">
        <v>-11.888</v>
      </c>
      <c r="V79" s="5" t="n">
        <v>3.968</v>
      </c>
      <c r="W79" s="5" t="n">
        <v>0</v>
      </c>
      <c r="X79" s="5" t="n">
        <v>0</v>
      </c>
      <c r="Y79" s="5" t="n">
        <v>6.387</v>
      </c>
      <c r="Z79" s="5" t="n">
        <v>0.859</v>
      </c>
      <c r="AA79" s="5" t="n">
        <v>0.171</v>
      </c>
      <c r="AB79" s="5" t="n">
        <v>6.558</v>
      </c>
      <c r="AC79" s="5" t="n">
        <v>0</v>
      </c>
      <c r="AD79" s="5" t="n">
        <v>0</v>
      </c>
      <c r="AE79" s="5" t="n">
        <v>7.616</v>
      </c>
      <c r="AF79" s="5" t="n">
        <v>1.773</v>
      </c>
      <c r="AG79" s="5" t="n">
        <v>-1.058</v>
      </c>
      <c r="AH79" s="5" t="n">
        <v>6.558</v>
      </c>
      <c r="AI79" s="5" t="n">
        <v>0</v>
      </c>
      <c r="AJ79" s="5" t="n">
        <v>0</v>
      </c>
      <c r="AK79" s="5" t="n">
        <v>14.993</v>
      </c>
      <c r="AL79" s="5" t="n">
        <v>7.962</v>
      </c>
      <c r="AM79" s="5" t="n">
        <v>-13.472</v>
      </c>
      <c r="AN79" s="5" t="n">
        <v>1.825</v>
      </c>
      <c r="AO79" s="5" t="n">
        <v>0</v>
      </c>
      <c r="AP79" s="5" t="n">
        <v>0</v>
      </c>
      <c r="AQ79" s="5" t="n">
        <v>0.861</v>
      </c>
      <c r="AR79" s="5" t="n">
        <v>0.123</v>
      </c>
      <c r="AS79" s="5" t="n">
        <v>-0.118</v>
      </c>
      <c r="AT79" s="5" t="n">
        <v>0.892</v>
      </c>
      <c r="AU79" s="5" t="n">
        <v>0.2</v>
      </c>
      <c r="AV79" s="5" t="n">
        <v>1</v>
      </c>
      <c r="AW79" s="5" t="n">
        <v>0.986</v>
      </c>
      <c r="AX79" s="5" t="n">
        <v>0.123</v>
      </c>
      <c r="AY79" s="5" t="n">
        <v>-0.243</v>
      </c>
      <c r="AZ79" s="5" t="n">
        <v>0.892</v>
      </c>
      <c r="BA79" s="5" t="n">
        <v>0.2</v>
      </c>
      <c r="BB79" s="5" t="n">
        <v>1</v>
      </c>
      <c r="BC79" s="5" t="n">
        <v>0.598</v>
      </c>
      <c r="BD79" s="5" t="n">
        <v>0.123</v>
      </c>
      <c r="BE79" s="5" t="n">
        <v>-0.189</v>
      </c>
      <c r="BF79" s="5" t="n">
        <v>0.491</v>
      </c>
      <c r="BG79" s="5" t="n">
        <v>0</v>
      </c>
      <c r="BH79" s="5" t="n">
        <v>0</v>
      </c>
      <c r="BI79" s="5" t="n">
        <v>0.612</v>
      </c>
      <c r="BJ79" s="5" t="n">
        <v>0.123</v>
      </c>
      <c r="BK79" s="5" t="n">
        <v>0.008999999999999999</v>
      </c>
      <c r="BL79" s="5" t="n">
        <v>0.735</v>
      </c>
      <c r="BM79" s="5" t="n">
        <v>0.2</v>
      </c>
      <c r="BN79" s="5" t="n">
        <v>1</v>
      </c>
      <c r="BO79" s="5" t="n">
        <v>0</v>
      </c>
      <c r="BP79" s="5" t="n">
        <v>0</v>
      </c>
      <c r="BQ79" s="5" t="n">
        <v>0.098</v>
      </c>
      <c r="BR79" s="5" t="n">
        <v>0</v>
      </c>
      <c r="BS79" s="5" t="n">
        <v>1</v>
      </c>
      <c r="BT79" s="5" t="n">
        <v>0</v>
      </c>
      <c r="BU79" s="5" t="n">
        <v>0</v>
      </c>
      <c r="BV79" s="5" t="n">
        <v>0.064</v>
      </c>
      <c r="BW79" s="5" t="n">
        <v>0.2</v>
      </c>
      <c r="BX79" s="5" t="n">
        <v>1</v>
      </c>
      <c r="BY79" s="5" t="n">
        <v>12.729</v>
      </c>
      <c r="BZ79" s="5" t="n">
        <v>0</v>
      </c>
      <c r="CA79" s="5" t="n">
        <v>12.729</v>
      </c>
      <c r="CB79" s="5" t="n">
        <v>0</v>
      </c>
      <c r="CC79" s="5" t="n">
        <v>97.90000000000001</v>
      </c>
      <c r="CD79" s="5" t="n">
        <v>7.95</v>
      </c>
      <c r="CE79" s="5" t="n">
        <v>1.449</v>
      </c>
      <c r="CF79" s="5" t="n">
        <v>117.48</v>
      </c>
      <c r="CG79" s="5" t="n">
        <v>0.2</v>
      </c>
      <c r="CH79" s="5" t="n">
        <v>1</v>
      </c>
      <c r="CI79" s="5" t="n">
        <v>0</v>
      </c>
      <c r="CJ79" s="5" t="n">
        <v>0</v>
      </c>
      <c r="CK79" s="5" t="n">
        <v>0</v>
      </c>
      <c r="CL79" s="5" t="n">
        <v>0</v>
      </c>
      <c r="CM79" s="5" t="n">
        <v>0.021</v>
      </c>
      <c r="CN79" s="5" t="n">
        <v>0.044</v>
      </c>
      <c r="CO79" s="5" t="n">
        <v>0</v>
      </c>
      <c r="CP79" s="5" t="n">
        <v>0</v>
      </c>
      <c r="CQ79" s="5" t="n">
        <v>1.294</v>
      </c>
      <c r="CR79" s="5" t="n">
        <v>0.008999999999999999</v>
      </c>
      <c r="CS79" s="5" t="n">
        <v>5.158</v>
      </c>
      <c r="CT79" s="5" t="n">
        <v>5.842</v>
      </c>
      <c r="CU79" s="5" t="n">
        <v>31.326</v>
      </c>
    </row>
    <row r="80">
      <c r="A80" s="5" t="inlineStr">
        <is>
          <t>BLR2023</t>
        </is>
      </c>
      <c r="B80" s="5" t="inlineStr">
        <is>
          <t>BLR</t>
        </is>
      </c>
      <c r="C80" s="5" t="inlineStr">
        <is>
          <t>BLR</t>
        </is>
      </c>
      <c r="D80" s="5" t="inlineStr">
        <is>
          <t>Belarus</t>
        </is>
      </c>
      <c r="E80" s="5" t="n">
        <v>2023</v>
      </c>
      <c r="F80" s="5" t="n">
        <v>0.2</v>
      </c>
      <c r="G80" s="5" t="n">
        <v>4.752</v>
      </c>
      <c r="H80" s="5" t="n">
        <v>1.286</v>
      </c>
      <c r="I80" s="5" t="n">
        <v>0</v>
      </c>
      <c r="J80" s="5" t="n">
        <v>4.752</v>
      </c>
      <c r="K80" s="5" t="n">
        <v>0</v>
      </c>
      <c r="L80" s="5" t="n">
        <v>1</v>
      </c>
      <c r="M80" s="5" t="n">
        <v>7.886</v>
      </c>
      <c r="N80" s="5" t="n">
        <v>3.857</v>
      </c>
      <c r="O80" s="5" t="n">
        <v>0</v>
      </c>
      <c r="P80" s="5" t="n">
        <v>7.886</v>
      </c>
      <c r="Q80" s="5" t="n">
        <v>0</v>
      </c>
      <c r="R80" s="5" t="n">
        <v>1</v>
      </c>
      <c r="S80" s="5" t="n">
        <v>13.834</v>
      </c>
      <c r="T80" s="5" t="n">
        <v>7.714</v>
      </c>
      <c r="U80" s="5" t="n">
        <v>-9.807</v>
      </c>
      <c r="V80" s="5" t="n">
        <v>4.078</v>
      </c>
      <c r="W80" s="5" t="n">
        <v>0</v>
      </c>
      <c r="X80" s="5" t="n">
        <v>0</v>
      </c>
      <c r="Y80" s="5" t="n">
        <v>6.65</v>
      </c>
      <c r="Z80" s="5" t="n">
        <v>0.894</v>
      </c>
      <c r="AA80" s="5" t="n">
        <v>-0.485</v>
      </c>
      <c r="AB80" s="5" t="n">
        <v>6.165</v>
      </c>
      <c r="AC80" s="5" t="n">
        <v>0</v>
      </c>
      <c r="AD80" s="5" t="n">
        <v>0</v>
      </c>
      <c r="AE80" s="5" t="n">
        <v>7.93</v>
      </c>
      <c r="AF80" s="5" t="n">
        <v>1.845</v>
      </c>
      <c r="AG80" s="5" t="n">
        <v>-1.764</v>
      </c>
      <c r="AH80" s="5" t="n">
        <v>6.165</v>
      </c>
      <c r="AI80" s="5" t="n">
        <v>0</v>
      </c>
      <c r="AJ80" s="5" t="n">
        <v>0</v>
      </c>
      <c r="AK80" s="5" t="n">
        <v>15.607</v>
      </c>
      <c r="AL80" s="5" t="n">
        <v>8.289</v>
      </c>
      <c r="AM80" s="5" t="n">
        <v>-14.222</v>
      </c>
      <c r="AN80" s="5" t="n">
        <v>1.663</v>
      </c>
      <c r="AO80" s="5" t="n">
        <v>0</v>
      </c>
      <c r="AP80" s="5" t="n">
        <v>0</v>
      </c>
      <c r="AQ80" s="5" t="n">
        <v>0.76</v>
      </c>
      <c r="AR80" s="5" t="n">
        <v>0.129</v>
      </c>
      <c r="AS80" s="5" t="n">
        <v>-0.099</v>
      </c>
      <c r="AT80" s="5" t="n">
        <v>0.793</v>
      </c>
      <c r="AU80" s="5" t="n">
        <v>0.2</v>
      </c>
      <c r="AV80" s="5" t="n">
        <v>1</v>
      </c>
      <c r="AW80" s="5" t="n">
        <v>0.8110000000000001</v>
      </c>
      <c r="AX80" s="5" t="n">
        <v>0.129</v>
      </c>
      <c r="AY80" s="5" t="n">
        <v>-0.15</v>
      </c>
      <c r="AZ80" s="5" t="n">
        <v>0.793</v>
      </c>
      <c r="BA80" s="5" t="n">
        <v>0.2</v>
      </c>
      <c r="BB80" s="5" t="n">
        <v>1</v>
      </c>
      <c r="BC80" s="5" t="n">
        <v>0.535</v>
      </c>
      <c r="BD80" s="5" t="n">
        <v>0.129</v>
      </c>
      <c r="BE80" s="5" t="n">
        <v>-0.187</v>
      </c>
      <c r="BF80" s="5" t="n">
        <v>0.417</v>
      </c>
      <c r="BG80" s="5" t="n">
        <v>0</v>
      </c>
      <c r="BH80" s="5" t="n">
        <v>0</v>
      </c>
      <c r="BI80" s="5" t="n">
        <v>0.579</v>
      </c>
      <c r="BJ80" s="5" t="n">
        <v>0.129</v>
      </c>
      <c r="BK80" s="5" t="n">
        <v>0.013</v>
      </c>
      <c r="BL80" s="5" t="n">
        <v>0.695</v>
      </c>
      <c r="BM80" s="5" t="n">
        <v>0.2</v>
      </c>
      <c r="BN80" s="5" t="n">
        <v>1</v>
      </c>
      <c r="BO80" s="5" t="n">
        <v>0</v>
      </c>
      <c r="BP80" s="5" t="n">
        <v>0</v>
      </c>
      <c r="BQ80" s="5" t="n">
        <v>0.128</v>
      </c>
      <c r="BR80" s="5" t="n">
        <v>0</v>
      </c>
      <c r="BS80" s="5" t="n">
        <v>1</v>
      </c>
      <c r="BT80" s="5" t="n">
        <v>0</v>
      </c>
      <c r="BU80" s="5" t="n">
        <v>0</v>
      </c>
      <c r="BV80" s="5" t="n">
        <v>0.083</v>
      </c>
      <c r="BW80" s="5" t="n">
        <v>0.2</v>
      </c>
      <c r="BX80" s="5" t="n">
        <v>1</v>
      </c>
      <c r="BY80" s="5" t="n">
        <v>13.254</v>
      </c>
      <c r="BZ80" s="5" t="n">
        <v>0</v>
      </c>
      <c r="CA80" s="5" t="n">
        <v>13.254</v>
      </c>
      <c r="CB80" s="5" t="n">
        <v>0</v>
      </c>
      <c r="CC80" s="5" t="n">
        <v>83.248</v>
      </c>
      <c r="CD80" s="5" t="n">
        <v>7.95</v>
      </c>
      <c r="CE80" s="5" t="n">
        <v>1.843</v>
      </c>
      <c r="CF80" s="5" t="n">
        <v>99.898</v>
      </c>
      <c r="CG80" s="5" t="n">
        <v>0.2</v>
      </c>
      <c r="CH80" s="5" t="n">
        <v>1</v>
      </c>
      <c r="CI80" s="5" t="n">
        <v>0</v>
      </c>
      <c r="CJ80" s="5" t="n">
        <v>0</v>
      </c>
      <c r="CK80" s="5" t="n">
        <v>0</v>
      </c>
      <c r="CL80" s="5" t="n">
        <v>0</v>
      </c>
      <c r="CM80" s="5" t="n">
        <v>0.022</v>
      </c>
      <c r="CN80" s="5" t="n">
        <v>0.046</v>
      </c>
      <c r="CO80" s="5" t="n">
        <v>0</v>
      </c>
      <c r="CP80" s="5" t="n">
        <v>0</v>
      </c>
      <c r="CQ80" s="5" t="n">
        <v>1.348</v>
      </c>
      <c r="CR80" s="5" t="n">
        <v>0.008999999999999999</v>
      </c>
      <c r="CS80" s="5" t="n">
        <v>5.37</v>
      </c>
      <c r="CT80" s="5" t="n">
        <v>3.466</v>
      </c>
      <c r="CU80" s="5" t="n">
        <v>11.622</v>
      </c>
    </row>
    <row r="81">
      <c r="A81" s="5" t="inlineStr">
        <is>
          <t>BLR2024</t>
        </is>
      </c>
      <c r="B81" s="5" t="inlineStr">
        <is>
          <t>BLR</t>
        </is>
      </c>
      <c r="C81" s="5" t="inlineStr">
        <is>
          <t>BLR</t>
        </is>
      </c>
      <c r="D81" s="5" t="inlineStr">
        <is>
          <t>Belarus</t>
        </is>
      </c>
      <c r="E81" s="5" t="n">
        <v>2024</v>
      </c>
      <c r="F81" s="5" t="n">
        <v>0.2</v>
      </c>
      <c r="G81" s="5" t="n">
        <v>4.351</v>
      </c>
      <c r="H81" s="5" t="n">
        <v>1.324</v>
      </c>
      <c r="I81" s="5" t="n">
        <v>0</v>
      </c>
      <c r="J81" s="5" t="n">
        <v>4.351</v>
      </c>
      <c r="K81" s="5" t="n">
        <v>0</v>
      </c>
      <c r="L81" s="5" t="n">
        <v>1</v>
      </c>
      <c r="M81" s="5" t="n">
        <v>7.124</v>
      </c>
      <c r="N81" s="5" t="n">
        <v>3.971</v>
      </c>
      <c r="O81" s="5" t="n">
        <v>0</v>
      </c>
      <c r="P81" s="5" t="n">
        <v>7.124</v>
      </c>
      <c r="Q81" s="5" t="n">
        <v>0</v>
      </c>
      <c r="R81" s="5" t="n">
        <v>1</v>
      </c>
      <c r="S81" s="5" t="n">
        <v>13.702</v>
      </c>
      <c r="T81" s="5" t="n">
        <v>7.942</v>
      </c>
      <c r="U81" s="5" t="n">
        <v>-9.58</v>
      </c>
      <c r="V81" s="5" t="n">
        <v>4.167</v>
      </c>
      <c r="W81" s="5" t="n">
        <v>0</v>
      </c>
      <c r="X81" s="5" t="n">
        <v>0</v>
      </c>
      <c r="Y81" s="5" t="n">
        <v>6.846</v>
      </c>
      <c r="Z81" s="5" t="n">
        <v>0.92</v>
      </c>
      <c r="AA81" s="5" t="n">
        <v>-1.092</v>
      </c>
      <c r="AB81" s="5" t="n">
        <v>5.755</v>
      </c>
      <c r="AC81" s="5" t="n">
        <v>0</v>
      </c>
      <c r="AD81" s="5" t="n">
        <v>0</v>
      </c>
      <c r="AE81" s="5" t="n">
        <v>8.164</v>
      </c>
      <c r="AF81" s="5" t="n">
        <v>1.9</v>
      </c>
      <c r="AG81" s="5" t="n">
        <v>-2.409</v>
      </c>
      <c r="AH81" s="5" t="n">
        <v>5.755</v>
      </c>
      <c r="AI81" s="5" t="n">
        <v>0</v>
      </c>
      <c r="AJ81" s="5" t="n">
        <v>0</v>
      </c>
      <c r="AK81" s="5" t="n">
        <v>16.068</v>
      </c>
      <c r="AL81" s="5" t="n">
        <v>8.532999999999999</v>
      </c>
      <c r="AM81" s="5" t="n">
        <v>-14.57</v>
      </c>
      <c r="AN81" s="5" t="n">
        <v>1.797</v>
      </c>
      <c r="AO81" s="5" t="n">
        <v>0</v>
      </c>
      <c r="AP81" s="5" t="n">
        <v>0</v>
      </c>
      <c r="AQ81" s="5" t="n">
        <v>0.724</v>
      </c>
      <c r="AR81" s="5" t="n">
        <v>0.132</v>
      </c>
      <c r="AS81" s="5" t="n">
        <v>-0.107</v>
      </c>
      <c r="AT81" s="5" t="n">
        <v>0.741</v>
      </c>
      <c r="AU81" s="5" t="n">
        <v>0.2</v>
      </c>
      <c r="AV81" s="5" t="n">
        <v>1</v>
      </c>
      <c r="AW81" s="5" t="n">
        <v>0.75</v>
      </c>
      <c r="AX81" s="5" t="n">
        <v>0.132</v>
      </c>
      <c r="AY81" s="5" t="n">
        <v>-0.133</v>
      </c>
      <c r="AZ81" s="5" t="n">
        <v>0.741</v>
      </c>
      <c r="BA81" s="5" t="n">
        <v>0.2</v>
      </c>
      <c r="BB81" s="5" t="n">
        <v>1</v>
      </c>
      <c r="BC81" s="5" t="n">
        <v>0.513</v>
      </c>
      <c r="BD81" s="5" t="n">
        <v>0.132</v>
      </c>
      <c r="BE81" s="5" t="n">
        <v>-0.196</v>
      </c>
      <c r="BF81" s="5" t="n">
        <v>0.38</v>
      </c>
      <c r="BG81" s="5" t="n">
        <v>0</v>
      </c>
      <c r="BH81" s="5" t="n">
        <v>0</v>
      </c>
      <c r="BI81" s="5" t="n">
        <v>0.591</v>
      </c>
      <c r="BJ81" s="5" t="n">
        <v>0.132</v>
      </c>
      <c r="BK81" s="5" t="n">
        <v>0.016</v>
      </c>
      <c r="BL81" s="5" t="n">
        <v>0.71</v>
      </c>
      <c r="BM81" s="5" t="n">
        <v>0.2</v>
      </c>
      <c r="BN81" s="5" t="n">
        <v>1</v>
      </c>
      <c r="BO81" s="5" t="n">
        <v>0</v>
      </c>
      <c r="BP81" s="5" t="n">
        <v>0</v>
      </c>
      <c r="BQ81" s="5" t="n">
        <v>0.097</v>
      </c>
      <c r="BR81" s="5" t="n">
        <v>0</v>
      </c>
      <c r="BS81" s="5" t="n">
        <v>1</v>
      </c>
      <c r="BT81" s="5" t="n">
        <v>0</v>
      </c>
      <c r="BU81" s="5" t="n">
        <v>0</v>
      </c>
      <c r="BV81" s="5" t="n">
        <v>0.073</v>
      </c>
      <c r="BW81" s="5" t="n">
        <v>0.2</v>
      </c>
      <c r="BX81" s="5" t="n">
        <v>1</v>
      </c>
      <c r="BY81" s="5" t="n">
        <v>13.646</v>
      </c>
      <c r="BZ81" s="5" t="n">
        <v>0</v>
      </c>
      <c r="CA81" s="5" t="n">
        <v>13.646</v>
      </c>
      <c r="CB81" s="5" t="n">
        <v>0</v>
      </c>
      <c r="CC81" s="5" t="n">
        <v>82.58799999999999</v>
      </c>
      <c r="CD81" s="5" t="n">
        <v>7.95</v>
      </c>
      <c r="CE81" s="5" t="n">
        <v>2.25</v>
      </c>
      <c r="CF81" s="5" t="n">
        <v>99.10599999999999</v>
      </c>
      <c r="CG81" s="5" t="n">
        <v>0.2</v>
      </c>
      <c r="CH81" s="5" t="n">
        <v>1</v>
      </c>
      <c r="CI81" s="5" t="n">
        <v>0</v>
      </c>
      <c r="CJ81" s="5" t="n">
        <v>0</v>
      </c>
      <c r="CK81" s="5" t="n">
        <v>0</v>
      </c>
      <c r="CL81" s="5" t="n">
        <v>0</v>
      </c>
      <c r="CM81" s="5" t="n">
        <v>0.022</v>
      </c>
      <c r="CN81" s="5" t="n">
        <v>0.048</v>
      </c>
      <c r="CO81" s="5" t="n">
        <v>0</v>
      </c>
      <c r="CP81" s="5" t="n">
        <v>0</v>
      </c>
      <c r="CQ81" s="5" t="n">
        <v>1.387</v>
      </c>
      <c r="CR81" s="5" t="n">
        <v>0.008999999999999999</v>
      </c>
      <c r="CS81" s="5" t="n">
        <v>5.529</v>
      </c>
      <c r="CT81" s="5" t="n">
        <v>3.027</v>
      </c>
      <c r="CU81" s="5" t="n">
        <v>10.168</v>
      </c>
    </row>
    <row r="82">
      <c r="A82" s="5" t="inlineStr">
        <is>
          <t>BEL2021</t>
        </is>
      </c>
      <c r="B82" s="5" t="inlineStr">
        <is>
          <t>BEL</t>
        </is>
      </c>
      <c r="C82" s="5" t="inlineStr">
        <is>
          <t>BEL</t>
        </is>
      </c>
      <c r="D82" s="5" t="inlineStr">
        <is>
          <t>Belgium</t>
        </is>
      </c>
      <c r="E82" s="5" t="n">
        <v>2021</v>
      </c>
      <c r="F82" s="5" t="n">
        <v>0.21</v>
      </c>
      <c r="G82" s="5" t="n">
        <v>4.698</v>
      </c>
      <c r="H82" s="5" t="n">
        <v>1.028</v>
      </c>
      <c r="I82" s="5" t="n">
        <v>1.866</v>
      </c>
      <c r="J82" s="5" t="n">
        <v>6.564</v>
      </c>
      <c r="K82" s="5" t="n">
        <v>0</v>
      </c>
      <c r="L82" s="5" t="n">
        <v>1</v>
      </c>
      <c r="M82" s="5" t="n">
        <v>4.654</v>
      </c>
      <c r="N82" s="5" t="n">
        <v>2.109</v>
      </c>
      <c r="O82" s="5" t="n">
        <v>1.91</v>
      </c>
      <c r="P82" s="5" t="n">
        <v>6.564</v>
      </c>
      <c r="Q82" s="5" t="n">
        <v>0</v>
      </c>
      <c r="R82" s="5" t="n">
        <v>1</v>
      </c>
      <c r="S82" s="5" t="n">
        <v>11.101</v>
      </c>
      <c r="T82" s="5" t="n">
        <v>6.698</v>
      </c>
      <c r="U82" s="5" t="n">
        <v>0</v>
      </c>
      <c r="V82" s="5" t="n">
        <v>13.433</v>
      </c>
      <c r="W82" s="5" t="n">
        <v>0.21</v>
      </c>
      <c r="X82" s="5" t="n">
        <v>1</v>
      </c>
      <c r="Y82" s="5" t="n">
        <v>17.859</v>
      </c>
      <c r="Z82" s="5" t="n">
        <v>1.973</v>
      </c>
      <c r="AA82" s="5" t="n">
        <v>-7.544</v>
      </c>
      <c r="AB82" s="5" t="n">
        <v>10.315</v>
      </c>
      <c r="AC82" s="5" t="n">
        <v>0</v>
      </c>
      <c r="AD82" s="5" t="n">
        <v>1</v>
      </c>
      <c r="AE82" s="5" t="n">
        <v>17.815</v>
      </c>
      <c r="AF82" s="5" t="n">
        <v>3.506</v>
      </c>
      <c r="AG82" s="5" t="n">
        <v>-7.5</v>
      </c>
      <c r="AH82" s="5" t="n">
        <v>10.315</v>
      </c>
      <c r="AI82" s="5" t="n">
        <v>0</v>
      </c>
      <c r="AJ82" s="5" t="n">
        <v>1</v>
      </c>
      <c r="AK82" s="5" t="n">
        <v>24.137</v>
      </c>
      <c r="AL82" s="5" t="n">
        <v>11.846</v>
      </c>
      <c r="AM82" s="5" t="n">
        <v>-8.603</v>
      </c>
      <c r="AN82" s="5" t="n">
        <v>18.796</v>
      </c>
      <c r="AO82" s="5" t="n">
        <v>0.21</v>
      </c>
      <c r="AP82" s="5" t="n">
        <v>1</v>
      </c>
      <c r="AQ82" s="5" t="n">
        <v>0.619</v>
      </c>
      <c r="AR82" s="5" t="n">
        <v>0.114</v>
      </c>
      <c r="AS82" s="5" t="n">
        <v>0.833</v>
      </c>
      <c r="AT82" s="5" t="n">
        <v>1.757</v>
      </c>
      <c r="AU82" s="5" t="n">
        <v>0.21</v>
      </c>
      <c r="AV82" s="5" t="n">
        <v>1</v>
      </c>
      <c r="AW82" s="5" t="n">
        <v>0.599</v>
      </c>
      <c r="AX82" s="5" t="n">
        <v>0.114</v>
      </c>
      <c r="AY82" s="5" t="n">
        <v>0.864</v>
      </c>
      <c r="AZ82" s="5" t="n">
        <v>1.77</v>
      </c>
      <c r="BA82" s="5" t="n">
        <v>0.21</v>
      </c>
      <c r="BB82" s="5" t="n">
        <v>1</v>
      </c>
      <c r="BC82" s="5" t="n">
        <v>0.439</v>
      </c>
      <c r="BD82" s="5" t="n">
        <v>0.114</v>
      </c>
      <c r="BE82" s="5" t="n">
        <v>0.192</v>
      </c>
      <c r="BF82" s="5" t="n">
        <v>0.763</v>
      </c>
      <c r="BG82" s="5" t="n">
        <v>0.21</v>
      </c>
      <c r="BH82" s="5" t="n">
        <v>1</v>
      </c>
      <c r="BI82" s="5" t="n">
        <v>0.505</v>
      </c>
      <c r="BJ82" s="5" t="n">
        <v>0.114</v>
      </c>
      <c r="BK82" s="5" t="n">
        <v>0.309</v>
      </c>
      <c r="BL82" s="5" t="n">
        <v>0.984</v>
      </c>
      <c r="BM82" s="5" t="n">
        <v>0.21</v>
      </c>
      <c r="BN82" s="5" t="n">
        <v>1</v>
      </c>
      <c r="BO82" s="5" t="n">
        <v>0</v>
      </c>
      <c r="BP82" s="5" t="n">
        <v>0.026</v>
      </c>
      <c r="BQ82" s="5" t="n">
        <v>0.118</v>
      </c>
      <c r="BR82" s="5" t="n">
        <v>0</v>
      </c>
      <c r="BS82" s="5" t="n">
        <v>1</v>
      </c>
      <c r="BT82" s="5" t="n">
        <v>0</v>
      </c>
      <c r="BU82" s="5" t="n">
        <v>0.056</v>
      </c>
      <c r="BV82" s="5" t="n">
        <v>0.337</v>
      </c>
      <c r="BW82" s="5" t="n">
        <v>0.21</v>
      </c>
      <c r="BX82" s="5" t="n">
        <v>1</v>
      </c>
      <c r="BY82" s="5" t="n">
        <v>11.787</v>
      </c>
      <c r="BZ82" s="5" t="n">
        <v>0</v>
      </c>
      <c r="CA82" s="5" t="n">
        <v>11.787</v>
      </c>
      <c r="CB82" s="5" t="n">
        <v>0</v>
      </c>
      <c r="CC82" s="5" t="n">
        <v>78.125</v>
      </c>
      <c r="CD82" s="5" t="n">
        <v>7.95</v>
      </c>
      <c r="CE82" s="5" t="n">
        <v>28.91</v>
      </c>
      <c r="CF82" s="5" t="n">
        <v>129.512</v>
      </c>
      <c r="CG82" s="5" t="n">
        <v>0.21</v>
      </c>
      <c r="CH82" s="5" t="n">
        <v>1</v>
      </c>
      <c r="CI82" s="5" t="n">
        <v>0</v>
      </c>
      <c r="CJ82" s="5" t="n">
        <v>0</v>
      </c>
      <c r="CK82" s="5" t="n">
        <v>0</v>
      </c>
      <c r="CL82" s="5" t="n">
        <v>0</v>
      </c>
      <c r="CM82" s="5" t="n">
        <v>0</v>
      </c>
      <c r="CN82" s="5" t="n">
        <v>0</v>
      </c>
      <c r="CO82" s="5" t="n">
        <v>0</v>
      </c>
      <c r="CP82" s="5" t="n">
        <v>0</v>
      </c>
      <c r="CQ82" s="5" t="n">
        <v>1.198</v>
      </c>
      <c r="CR82" s="5" t="n">
        <v>0</v>
      </c>
      <c r="CS82" s="5" t="n">
        <v>4.776</v>
      </c>
      <c r="CT82" s="5" t="n">
        <v>4.561</v>
      </c>
      <c r="CU82" s="5" t="n">
        <v>15.107</v>
      </c>
    </row>
    <row r="83">
      <c r="A83" s="5" t="inlineStr">
        <is>
          <t>BEL2022</t>
        </is>
      </c>
      <c r="B83" s="5" t="inlineStr">
        <is>
          <t>BEL</t>
        </is>
      </c>
      <c r="C83" s="5" t="inlineStr">
        <is>
          <t>BEL</t>
        </is>
      </c>
      <c r="D83" s="5" t="inlineStr">
        <is>
          <t>Belgium</t>
        </is>
      </c>
      <c r="E83" s="5" t="n">
        <v>2022</v>
      </c>
      <c r="F83" s="5" t="n">
        <v>0.21</v>
      </c>
      <c r="G83" s="5" t="n">
        <v>10.197</v>
      </c>
      <c r="H83" s="5" t="n">
        <v>1.583</v>
      </c>
      <c r="I83" s="5" t="n">
        <v>8.159000000000001</v>
      </c>
      <c r="J83" s="5" t="n">
        <v>18.356</v>
      </c>
      <c r="K83" s="5" t="n">
        <v>0</v>
      </c>
      <c r="L83" s="5" t="n">
        <v>1</v>
      </c>
      <c r="M83" s="5" t="n">
        <v>10.039</v>
      </c>
      <c r="N83" s="5" t="n">
        <v>4.146</v>
      </c>
      <c r="O83" s="5" t="n">
        <v>8.317</v>
      </c>
      <c r="P83" s="5" t="n">
        <v>18.356</v>
      </c>
      <c r="Q83" s="5" t="n">
        <v>0</v>
      </c>
      <c r="R83" s="5" t="n">
        <v>1</v>
      </c>
      <c r="S83" s="5" t="n">
        <v>18.108</v>
      </c>
      <c r="T83" s="5" t="n">
        <v>7.408</v>
      </c>
      <c r="U83" s="5" t="n">
        <v>0.288</v>
      </c>
      <c r="V83" s="5" t="n">
        <v>21.918</v>
      </c>
      <c r="W83" s="5" t="n">
        <v>0.21</v>
      </c>
      <c r="X83" s="5" t="n">
        <v>1</v>
      </c>
      <c r="Y83" s="5" t="n">
        <v>34.07</v>
      </c>
      <c r="Z83" s="5" t="n">
        <v>3.574</v>
      </c>
      <c r="AA83" s="5" t="n">
        <v>-12.795</v>
      </c>
      <c r="AB83" s="5" t="n">
        <v>21.275</v>
      </c>
      <c r="AC83" s="5" t="n">
        <v>0</v>
      </c>
      <c r="AD83" s="5" t="n">
        <v>1</v>
      </c>
      <c r="AE83" s="5" t="n">
        <v>34.118</v>
      </c>
      <c r="AF83" s="5" t="n">
        <v>6.325</v>
      </c>
      <c r="AG83" s="5" t="n">
        <v>-12.843</v>
      </c>
      <c r="AH83" s="5" t="n">
        <v>21.275</v>
      </c>
      <c r="AI83" s="5" t="n">
        <v>0</v>
      </c>
      <c r="AJ83" s="5" t="n">
        <v>1</v>
      </c>
      <c r="AK83" s="5" t="n">
        <v>40.988</v>
      </c>
      <c r="AL83" s="5" t="n">
        <v>19.573</v>
      </c>
      <c r="AM83" s="5" t="n">
        <v>-13.124</v>
      </c>
      <c r="AN83" s="5" t="n">
        <v>33.715</v>
      </c>
      <c r="AO83" s="5" t="n">
        <v>0.21</v>
      </c>
      <c r="AP83" s="5" t="n">
        <v>1</v>
      </c>
      <c r="AQ83" s="5" t="n">
        <v>0.861</v>
      </c>
      <c r="AR83" s="5" t="n">
        <v>0.123</v>
      </c>
      <c r="AS83" s="5" t="n">
        <v>0.704</v>
      </c>
      <c r="AT83" s="5" t="n">
        <v>1.893</v>
      </c>
      <c r="AU83" s="5" t="n">
        <v>0.21</v>
      </c>
      <c r="AV83" s="5" t="n">
        <v>1</v>
      </c>
      <c r="AW83" s="5" t="n">
        <v>0.986</v>
      </c>
      <c r="AX83" s="5" t="n">
        <v>0.123</v>
      </c>
      <c r="AY83" s="5" t="n">
        <v>0.6899999999999999</v>
      </c>
      <c r="AZ83" s="5" t="n">
        <v>2.028</v>
      </c>
      <c r="BA83" s="5" t="n">
        <v>0.21</v>
      </c>
      <c r="BB83" s="5" t="n">
        <v>1</v>
      </c>
      <c r="BC83" s="5" t="n">
        <v>0.598</v>
      </c>
      <c r="BD83" s="5" t="n">
        <v>0.123</v>
      </c>
      <c r="BE83" s="5" t="n">
        <v>0.11</v>
      </c>
      <c r="BF83" s="5" t="n">
        <v>0.856</v>
      </c>
      <c r="BG83" s="5" t="n">
        <v>0.21</v>
      </c>
      <c r="BH83" s="5" t="n">
        <v>1</v>
      </c>
      <c r="BI83" s="5" t="n">
        <v>0.612</v>
      </c>
      <c r="BJ83" s="5" t="n">
        <v>0.123</v>
      </c>
      <c r="BK83" s="5" t="n">
        <v>0.65</v>
      </c>
      <c r="BL83" s="5" t="n">
        <v>1.528</v>
      </c>
      <c r="BM83" s="5" t="n">
        <v>0.21</v>
      </c>
      <c r="BN83" s="5" t="n">
        <v>1</v>
      </c>
      <c r="BO83" s="5" t="n">
        <v>0</v>
      </c>
      <c r="BP83" s="5" t="n">
        <v>0.021</v>
      </c>
      <c r="BQ83" s="5" t="n">
        <v>0.173</v>
      </c>
      <c r="BR83" s="5" t="n">
        <v>0</v>
      </c>
      <c r="BS83" s="5" t="n">
        <v>1</v>
      </c>
      <c r="BT83" s="5" t="n">
        <v>0</v>
      </c>
      <c r="BU83" s="5" t="n">
        <v>0.047</v>
      </c>
      <c r="BV83" s="5" t="n">
        <v>0.417</v>
      </c>
      <c r="BW83" s="5" t="n">
        <v>0.21</v>
      </c>
      <c r="BX83" s="5" t="n">
        <v>1</v>
      </c>
      <c r="BY83" s="5" t="n">
        <v>12.729</v>
      </c>
      <c r="BZ83" s="5" t="n">
        <v>0</v>
      </c>
      <c r="CA83" s="5" t="n">
        <v>12.729</v>
      </c>
      <c r="CB83" s="5" t="n">
        <v>0</v>
      </c>
      <c r="CC83" s="5" t="n">
        <v>97.90000000000001</v>
      </c>
      <c r="CD83" s="5" t="n">
        <v>7.95</v>
      </c>
      <c r="CE83" s="5" t="n">
        <v>98.408</v>
      </c>
      <c r="CF83" s="5" t="n">
        <v>237.532</v>
      </c>
      <c r="CG83" s="5" t="n">
        <v>0.21</v>
      </c>
      <c r="CH83" s="5" t="n">
        <v>1</v>
      </c>
      <c r="CI83" s="5" t="n">
        <v>0</v>
      </c>
      <c r="CJ83" s="5" t="n">
        <v>0</v>
      </c>
      <c r="CK83" s="5" t="n">
        <v>0</v>
      </c>
      <c r="CL83" s="5" t="n">
        <v>0</v>
      </c>
      <c r="CM83" s="5" t="n">
        <v>0</v>
      </c>
      <c r="CN83" s="5" t="n">
        <v>0</v>
      </c>
      <c r="CO83" s="5" t="n">
        <v>0</v>
      </c>
      <c r="CP83" s="5" t="n">
        <v>0</v>
      </c>
      <c r="CQ83" s="5" t="n">
        <v>1.294</v>
      </c>
      <c r="CR83" s="5" t="n">
        <v>0</v>
      </c>
      <c r="CS83" s="5" t="n">
        <v>5.158</v>
      </c>
      <c r="CT83" s="5" t="n">
        <v>10.7</v>
      </c>
      <c r="CU83" s="5" t="n">
        <v>31.227</v>
      </c>
    </row>
    <row r="84">
      <c r="A84" s="5" t="inlineStr">
        <is>
          <t>BEL2023</t>
        </is>
      </c>
      <c r="B84" s="5" t="inlineStr">
        <is>
          <t>BEL</t>
        </is>
      </c>
      <c r="C84" s="5" t="inlineStr">
        <is>
          <t>BEL</t>
        </is>
      </c>
      <c r="D84" s="5" t="inlineStr">
        <is>
          <t>Belgium</t>
        </is>
      </c>
      <c r="E84" s="5" t="n">
        <v>2023</v>
      </c>
      <c r="F84" s="5" t="n">
        <v>0.21</v>
      </c>
      <c r="G84" s="5" t="n">
        <v>8.573</v>
      </c>
      <c r="H84" s="5" t="n">
        <v>1.953</v>
      </c>
      <c r="I84" s="5" t="n">
        <v>9.456</v>
      </c>
      <c r="J84" s="5" t="n">
        <v>18.029</v>
      </c>
      <c r="K84" s="5" t="n">
        <v>0</v>
      </c>
      <c r="L84" s="5" t="n">
        <v>1</v>
      </c>
      <c r="M84" s="5" t="n">
        <v>8.393000000000001</v>
      </c>
      <c r="N84" s="5" t="n">
        <v>4.163</v>
      </c>
      <c r="O84" s="5" t="n">
        <v>9.635999999999999</v>
      </c>
      <c r="P84" s="5" t="n">
        <v>18.029</v>
      </c>
      <c r="Q84" s="5" t="n">
        <v>0</v>
      </c>
      <c r="R84" s="5" t="n">
        <v>1</v>
      </c>
      <c r="S84" s="5" t="n">
        <v>19.078</v>
      </c>
      <c r="T84" s="5" t="n">
        <v>7.714</v>
      </c>
      <c r="U84" s="5" t="n">
        <v>0.455</v>
      </c>
      <c r="V84" s="5" t="n">
        <v>23.099</v>
      </c>
      <c r="W84" s="5" t="n">
        <v>0.21</v>
      </c>
      <c r="X84" s="5" t="n">
        <v>1</v>
      </c>
      <c r="Y84" s="5" t="n">
        <v>15.019</v>
      </c>
      <c r="Z84" s="5" t="n">
        <v>1.682</v>
      </c>
      <c r="AA84" s="5" t="n">
        <v>8.029999999999999</v>
      </c>
      <c r="AB84" s="5" t="n">
        <v>23.049</v>
      </c>
      <c r="AC84" s="5" t="n">
        <v>0</v>
      </c>
      <c r="AD84" s="5" t="n">
        <v>1</v>
      </c>
      <c r="AE84" s="5" t="n">
        <v>15.117</v>
      </c>
      <c r="AF84" s="5" t="n">
        <v>3.011</v>
      </c>
      <c r="AG84" s="5" t="n">
        <v>7.931</v>
      </c>
      <c r="AH84" s="5" t="n">
        <v>23.049</v>
      </c>
      <c r="AI84" s="5" t="n">
        <v>0</v>
      </c>
      <c r="AJ84" s="5" t="n">
        <v>1</v>
      </c>
      <c r="AK84" s="5" t="n">
        <v>22.293</v>
      </c>
      <c r="AL84" s="5" t="n">
        <v>11.043</v>
      </c>
      <c r="AM84" s="5" t="n">
        <v>4.26</v>
      </c>
      <c r="AN84" s="5" t="n">
        <v>32.129</v>
      </c>
      <c r="AO84" s="5" t="n">
        <v>0.21</v>
      </c>
      <c r="AP84" s="5" t="n">
        <v>1</v>
      </c>
      <c r="AQ84" s="5" t="n">
        <v>0.76</v>
      </c>
      <c r="AR84" s="5" t="n">
        <v>0.129</v>
      </c>
      <c r="AS84" s="5" t="n">
        <v>0.779</v>
      </c>
      <c r="AT84" s="5" t="n">
        <v>1.863</v>
      </c>
      <c r="AU84" s="5" t="n">
        <v>0.21</v>
      </c>
      <c r="AV84" s="5" t="n">
        <v>1</v>
      </c>
      <c r="AW84" s="5" t="n">
        <v>0.8110000000000001</v>
      </c>
      <c r="AX84" s="5" t="n">
        <v>0.129</v>
      </c>
      <c r="AY84" s="5" t="n">
        <v>0.769</v>
      </c>
      <c r="AZ84" s="5" t="n">
        <v>1.912</v>
      </c>
      <c r="BA84" s="5" t="n">
        <v>0.21</v>
      </c>
      <c r="BB84" s="5" t="n">
        <v>1</v>
      </c>
      <c r="BC84" s="5" t="n">
        <v>0.535</v>
      </c>
      <c r="BD84" s="5" t="n">
        <v>0.129</v>
      </c>
      <c r="BE84" s="5" t="n">
        <v>0.076</v>
      </c>
      <c r="BF84" s="5" t="n">
        <v>0.739</v>
      </c>
      <c r="BG84" s="5" t="n">
        <v>0.21</v>
      </c>
      <c r="BH84" s="5" t="n">
        <v>1</v>
      </c>
      <c r="BI84" s="5" t="n">
        <v>0.579</v>
      </c>
      <c r="BJ84" s="5" t="n">
        <v>0.129</v>
      </c>
      <c r="BK84" s="5" t="n">
        <v>0.515</v>
      </c>
      <c r="BL84" s="5" t="n">
        <v>1.325</v>
      </c>
      <c r="BM84" s="5" t="n">
        <v>0.21</v>
      </c>
      <c r="BN84" s="5" t="n">
        <v>1</v>
      </c>
      <c r="BO84" s="5" t="n">
        <v>0</v>
      </c>
      <c r="BP84" s="5" t="n">
        <v>0.019</v>
      </c>
      <c r="BQ84" s="5" t="n">
        <v>0.193</v>
      </c>
      <c r="BR84" s="5" t="n">
        <v>0</v>
      </c>
      <c r="BS84" s="5" t="n">
        <v>1</v>
      </c>
      <c r="BT84" s="5" t="n">
        <v>0</v>
      </c>
      <c r="BU84" s="5" t="n">
        <v>0.07000000000000001</v>
      </c>
      <c r="BV84" s="5" t="n">
        <v>0.439</v>
      </c>
      <c r="BW84" s="5" t="n">
        <v>0.21</v>
      </c>
      <c r="BX84" s="5" t="n">
        <v>1</v>
      </c>
      <c r="BY84" s="5" t="n">
        <v>13.254</v>
      </c>
      <c r="BZ84" s="5" t="n">
        <v>0</v>
      </c>
      <c r="CA84" s="5" t="n">
        <v>13.254</v>
      </c>
      <c r="CB84" s="5" t="n">
        <v>0</v>
      </c>
      <c r="CC84" s="5" t="n">
        <v>83.248</v>
      </c>
      <c r="CD84" s="5" t="n">
        <v>7.95</v>
      </c>
      <c r="CE84" s="5" t="n">
        <v>90.292</v>
      </c>
      <c r="CF84" s="5" t="n">
        <v>209.983</v>
      </c>
      <c r="CG84" s="5" t="n">
        <v>0.21</v>
      </c>
      <c r="CH84" s="5" t="n">
        <v>1</v>
      </c>
      <c r="CI84" s="5" t="n">
        <v>0</v>
      </c>
      <c r="CJ84" s="5" t="n">
        <v>0</v>
      </c>
      <c r="CK84" s="5" t="n">
        <v>0</v>
      </c>
      <c r="CL84" s="5" t="n">
        <v>0</v>
      </c>
      <c r="CM84" s="5" t="n">
        <v>0</v>
      </c>
      <c r="CN84" s="5" t="n">
        <v>0</v>
      </c>
      <c r="CO84" s="5" t="n">
        <v>0</v>
      </c>
      <c r="CP84" s="5" t="n">
        <v>0</v>
      </c>
      <c r="CQ84" s="5" t="n">
        <v>1.348</v>
      </c>
      <c r="CR84" s="5" t="n">
        <v>0</v>
      </c>
      <c r="CS84" s="5" t="n">
        <v>5.37</v>
      </c>
      <c r="CT84" s="5" t="n">
        <v>11.365</v>
      </c>
      <c r="CU84" s="5" t="n">
        <v>12.124</v>
      </c>
    </row>
    <row r="85">
      <c r="A85" s="5" t="inlineStr">
        <is>
          <t>BEL2024</t>
        </is>
      </c>
      <c r="B85" s="5" t="inlineStr">
        <is>
          <t>BEL</t>
        </is>
      </c>
      <c r="C85" s="5" t="inlineStr">
        <is>
          <t>BEL</t>
        </is>
      </c>
      <c r="D85" s="5" t="inlineStr">
        <is>
          <t>Belgium</t>
        </is>
      </c>
      <c r="E85" s="5" t="n">
        <v>2024</v>
      </c>
      <c r="F85" s="5" t="n">
        <v>0.21</v>
      </c>
      <c r="G85" s="5" t="n">
        <v>15.168</v>
      </c>
      <c r="H85" s="5" t="n">
        <v>3.843</v>
      </c>
      <c r="I85" s="5" t="n">
        <v>6.197</v>
      </c>
      <c r="J85" s="5" t="n">
        <v>21.366</v>
      </c>
      <c r="K85" s="5" t="n">
        <v>0</v>
      </c>
      <c r="L85" s="5" t="n">
        <v>1</v>
      </c>
      <c r="M85" s="5" t="n">
        <v>15.048</v>
      </c>
      <c r="N85" s="5" t="n">
        <v>8.196999999999999</v>
      </c>
      <c r="O85" s="5" t="n">
        <v>6.318</v>
      </c>
      <c r="P85" s="5" t="n">
        <v>21.366</v>
      </c>
      <c r="Q85" s="5" t="n">
        <v>0</v>
      </c>
      <c r="R85" s="5" t="n">
        <v>1</v>
      </c>
      <c r="S85" s="5" t="n">
        <v>15.416</v>
      </c>
      <c r="T85" s="5" t="n">
        <v>7.942</v>
      </c>
      <c r="U85" s="5" t="n">
        <v>0.453</v>
      </c>
      <c r="V85" s="5" t="n">
        <v>18.668</v>
      </c>
      <c r="W85" s="5" t="n">
        <v>0.21</v>
      </c>
      <c r="X85" s="5" t="n">
        <v>1</v>
      </c>
      <c r="Y85" s="5" t="n">
        <v>14.196</v>
      </c>
      <c r="Z85" s="5" t="n">
        <v>1.793</v>
      </c>
      <c r="AA85" s="5" t="n">
        <v>4.198</v>
      </c>
      <c r="AB85" s="5" t="n">
        <v>18.394</v>
      </c>
      <c r="AC85" s="5" t="n">
        <v>0</v>
      </c>
      <c r="AD85" s="5" t="n">
        <v>1</v>
      </c>
      <c r="AE85" s="5" t="n">
        <v>14.196</v>
      </c>
      <c r="AF85" s="5" t="n">
        <v>3.11</v>
      </c>
      <c r="AG85" s="5" t="n">
        <v>4.198</v>
      </c>
      <c r="AH85" s="5" t="n">
        <v>18.394</v>
      </c>
      <c r="AI85" s="5" t="n">
        <v>0</v>
      </c>
      <c r="AJ85" s="5" t="n">
        <v>1</v>
      </c>
      <c r="AK85" s="5" t="n">
        <v>18.243</v>
      </c>
      <c r="AL85" s="5" t="n">
        <v>9.279</v>
      </c>
      <c r="AM85" s="5" t="n">
        <v>2.929</v>
      </c>
      <c r="AN85" s="5" t="n">
        <v>25.619</v>
      </c>
      <c r="AO85" s="5" t="n">
        <v>0.21</v>
      </c>
      <c r="AP85" s="5" t="n">
        <v>1</v>
      </c>
      <c r="AQ85" s="5" t="n">
        <v>0.724</v>
      </c>
      <c r="AR85" s="5" t="n">
        <v>0.132</v>
      </c>
      <c r="AS85" s="5" t="n">
        <v>0.739</v>
      </c>
      <c r="AT85" s="5" t="n">
        <v>1.771</v>
      </c>
      <c r="AU85" s="5" t="n">
        <v>0.21</v>
      </c>
      <c r="AV85" s="5" t="n">
        <v>1</v>
      </c>
      <c r="AW85" s="5" t="n">
        <v>0.75</v>
      </c>
      <c r="AX85" s="5" t="n">
        <v>0.132</v>
      </c>
      <c r="AY85" s="5" t="n">
        <v>0.788</v>
      </c>
      <c r="AZ85" s="5" t="n">
        <v>1.861</v>
      </c>
      <c r="BA85" s="5" t="n">
        <v>0.21</v>
      </c>
      <c r="BB85" s="5" t="n">
        <v>1</v>
      </c>
      <c r="BC85" s="5" t="n">
        <v>0.513</v>
      </c>
      <c r="BD85" s="5" t="n">
        <v>0.132</v>
      </c>
      <c r="BE85" s="5" t="n">
        <v>0.157</v>
      </c>
      <c r="BF85" s="5" t="n">
        <v>0.8110000000000001</v>
      </c>
      <c r="BG85" s="5" t="n">
        <v>0.21</v>
      </c>
      <c r="BH85" s="5" t="n">
        <v>1</v>
      </c>
      <c r="BI85" s="5" t="n">
        <v>0.591</v>
      </c>
      <c r="BJ85" s="5" t="n">
        <v>0.132</v>
      </c>
      <c r="BK85" s="5" t="n">
        <v>0.43</v>
      </c>
      <c r="BL85" s="5" t="n">
        <v>1.236</v>
      </c>
      <c r="BM85" s="5" t="n">
        <v>0.21</v>
      </c>
      <c r="BN85" s="5" t="n">
        <v>1</v>
      </c>
      <c r="BO85" s="5" t="n">
        <v>0</v>
      </c>
      <c r="BP85" s="5" t="n">
        <v>0.019</v>
      </c>
      <c r="BQ85" s="5" t="n">
        <v>0.141</v>
      </c>
      <c r="BR85" s="5" t="n">
        <v>0</v>
      </c>
      <c r="BS85" s="5" t="n">
        <v>1</v>
      </c>
      <c r="BT85" s="5" t="n">
        <v>0</v>
      </c>
      <c r="BU85" s="5" t="n">
        <v>0.077</v>
      </c>
      <c r="BV85" s="5" t="n">
        <v>0.361</v>
      </c>
      <c r="BW85" s="5" t="n">
        <v>0.21</v>
      </c>
      <c r="BX85" s="5" t="n">
        <v>1</v>
      </c>
      <c r="BY85" s="5" t="n">
        <v>13.646</v>
      </c>
      <c r="BZ85" s="5" t="n">
        <v>0</v>
      </c>
      <c r="CA85" s="5" t="n">
        <v>13.646</v>
      </c>
      <c r="CB85" s="5" t="n">
        <v>0</v>
      </c>
      <c r="CC85" s="5" t="n">
        <v>82.58799999999999</v>
      </c>
      <c r="CD85" s="5" t="n">
        <v>7.95</v>
      </c>
      <c r="CE85" s="5" t="n">
        <v>69.15300000000001</v>
      </c>
      <c r="CF85" s="5" t="n">
        <v>183.607</v>
      </c>
      <c r="CG85" s="5" t="n">
        <v>0.21</v>
      </c>
      <c r="CH85" s="5" t="n">
        <v>1</v>
      </c>
      <c r="CI85" s="5" t="n">
        <v>0</v>
      </c>
      <c r="CJ85" s="5" t="n">
        <v>0</v>
      </c>
      <c r="CK85" s="5" t="n">
        <v>0</v>
      </c>
      <c r="CL85" s="5" t="n">
        <v>0</v>
      </c>
      <c r="CM85" s="5" t="n">
        <v>0</v>
      </c>
      <c r="CN85" s="5" t="n">
        <v>0</v>
      </c>
      <c r="CO85" s="5" t="n">
        <v>0</v>
      </c>
      <c r="CP85" s="5" t="n">
        <v>0</v>
      </c>
      <c r="CQ85" s="5" t="n">
        <v>1.387</v>
      </c>
      <c r="CR85" s="5" t="n">
        <v>0</v>
      </c>
      <c r="CS85" s="5" t="n">
        <v>5.529</v>
      </c>
      <c r="CT85" s="5" t="n">
        <v>7.474</v>
      </c>
      <c r="CU85" s="5" t="n">
        <v>10.304</v>
      </c>
    </row>
    <row r="86">
      <c r="A86" s="5" t="inlineStr">
        <is>
          <t>BLZ2021</t>
        </is>
      </c>
      <c r="B86" s="5" t="inlineStr">
        <is>
          <t>BLZ</t>
        </is>
      </c>
      <c r="C86" s="5" t="inlineStr">
        <is>
          <t>BLZ</t>
        </is>
      </c>
      <c r="D86" s="5" t="inlineStr">
        <is>
          <t>Belize</t>
        </is>
      </c>
      <c r="E86" s="5" t="n">
        <v>2021</v>
      </c>
      <c r="F86" s="5" t="n">
        <v>0.125</v>
      </c>
      <c r="G86" s="5" t="n">
        <v>5.897</v>
      </c>
      <c r="H86" s="5" t="n">
        <v>1.143</v>
      </c>
      <c r="I86" s="5" t="n">
        <v>0</v>
      </c>
      <c r="J86" s="5" t="n">
        <v>5.897</v>
      </c>
      <c r="K86" s="5" t="n">
        <v>0</v>
      </c>
      <c r="L86" s="5" t="n">
        <v>1</v>
      </c>
      <c r="M86" s="5" t="n">
        <v>7.964</v>
      </c>
      <c r="N86" s="5" t="n">
        <v>3.43</v>
      </c>
      <c r="O86" s="5" t="n">
        <v>0</v>
      </c>
      <c r="P86" s="5" t="n">
        <v>7.964</v>
      </c>
      <c r="Q86" s="5" t="n">
        <v>0</v>
      </c>
      <c r="R86" s="5" t="n">
        <v>1</v>
      </c>
      <c r="S86" s="5" t="n">
        <v>11.613</v>
      </c>
      <c r="T86" s="5" t="n">
        <v>6.86</v>
      </c>
      <c r="U86" s="5" t="n">
        <v>0</v>
      </c>
      <c r="V86" s="5" t="n">
        <v>13.065</v>
      </c>
      <c r="W86" s="5" t="n">
        <v>0.125</v>
      </c>
      <c r="X86" s="5" t="n">
        <v>1</v>
      </c>
      <c r="Y86" s="5" t="n">
        <v>5.919</v>
      </c>
      <c r="Z86" s="5" t="n">
        <v>0.796</v>
      </c>
      <c r="AA86" s="5" t="n">
        <v>0</v>
      </c>
      <c r="AB86" s="5" t="n">
        <v>5.919</v>
      </c>
      <c r="AC86" s="5" t="n">
        <v>0</v>
      </c>
      <c r="AD86" s="5" t="n">
        <v>1</v>
      </c>
      <c r="AE86" s="5" t="n">
        <v>7.062</v>
      </c>
      <c r="AF86" s="5" t="n">
        <v>1.654</v>
      </c>
      <c r="AG86" s="5" t="n">
        <v>0</v>
      </c>
      <c r="AH86" s="5" t="n">
        <v>7.062</v>
      </c>
      <c r="AI86" s="5" t="n">
        <v>0</v>
      </c>
      <c r="AJ86" s="5" t="n">
        <v>1</v>
      </c>
      <c r="AK86" s="5" t="n">
        <v>13.922</v>
      </c>
      <c r="AL86" s="5" t="n">
        <v>7.481</v>
      </c>
      <c r="AM86" s="5" t="n">
        <v>0</v>
      </c>
      <c r="AN86" s="5" t="n">
        <v>15.663</v>
      </c>
      <c r="AO86" s="5" t="n">
        <v>0.125</v>
      </c>
      <c r="AP86" s="5" t="n">
        <v>1</v>
      </c>
      <c r="AQ86" s="5" t="n">
        <v>0.649</v>
      </c>
      <c r="AR86" s="5" t="n">
        <v>0.114</v>
      </c>
      <c r="AS86" s="5" t="n">
        <v>0.628</v>
      </c>
      <c r="AT86" s="5" t="n">
        <v>1.437</v>
      </c>
      <c r="AU86" s="5" t="n">
        <v>0.125</v>
      </c>
      <c r="AV86" s="5" t="n">
        <v>1</v>
      </c>
      <c r="AW86" s="5" t="n">
        <v>0.577</v>
      </c>
      <c r="AX86" s="5" t="n">
        <v>0.114</v>
      </c>
      <c r="AY86" s="5" t="n">
        <v>0.616</v>
      </c>
      <c r="AZ86" s="5" t="n">
        <v>1.342</v>
      </c>
      <c r="BA86" s="5" t="n">
        <v>0.125</v>
      </c>
      <c r="BB86" s="5" t="n">
        <v>1</v>
      </c>
      <c r="BC86" s="5" t="n">
        <v>0.458</v>
      </c>
      <c r="BD86" s="5" t="n">
        <v>0.114</v>
      </c>
      <c r="BE86" s="5" t="n">
        <v>0</v>
      </c>
      <c r="BF86" s="5" t="n">
        <v>0.515</v>
      </c>
      <c r="BG86" s="5" t="n">
        <v>0.125</v>
      </c>
      <c r="BH86" s="5" t="n">
        <v>1</v>
      </c>
      <c r="BI86" s="5" t="n">
        <v>0.491</v>
      </c>
      <c r="BJ86" s="5" t="n">
        <v>0.114</v>
      </c>
      <c r="BK86" s="5" t="n">
        <v>0.366</v>
      </c>
      <c r="BL86" s="5" t="n">
        <v>0.964</v>
      </c>
      <c r="BM86" s="5" t="n">
        <v>0.125</v>
      </c>
      <c r="BN86" s="5" t="n">
        <v>1</v>
      </c>
      <c r="BO86" s="5" t="n">
        <v>0</v>
      </c>
      <c r="BP86" s="5" t="n">
        <v>0</v>
      </c>
      <c r="BQ86" s="5" t="n">
        <v>0.175</v>
      </c>
      <c r="BR86" s="5" t="n">
        <v>0</v>
      </c>
      <c r="BS86" s="5" t="n">
        <v>0.333</v>
      </c>
      <c r="BT86" s="5" t="n">
        <v>0</v>
      </c>
      <c r="BU86" s="5" t="n">
        <v>0</v>
      </c>
      <c r="BV86" s="5" t="n">
        <v>0.222</v>
      </c>
      <c r="BW86" s="5" t="n">
        <v>0.125</v>
      </c>
      <c r="BX86" s="5" t="n">
        <v>0.667</v>
      </c>
      <c r="BY86" s="5" t="n">
        <v>11.787</v>
      </c>
      <c r="BZ86" s="5" t="n">
        <v>0</v>
      </c>
      <c r="CA86" s="5" t="n">
        <v>11.787</v>
      </c>
      <c r="CB86" s="5" t="n">
        <v>0</v>
      </c>
      <c r="CC86" s="5" t="n">
        <v>78.125</v>
      </c>
      <c r="CD86" s="5" t="n">
        <v>7.95</v>
      </c>
      <c r="CE86" s="5" t="n">
        <v>68.08799999999999</v>
      </c>
      <c r="CF86" s="5" t="n">
        <v>164.49</v>
      </c>
      <c r="CG86" s="5" t="n">
        <v>0.125</v>
      </c>
      <c r="CH86" s="5" t="n">
        <v>1</v>
      </c>
      <c r="CI86" s="5" t="n">
        <v>0</v>
      </c>
      <c r="CJ86" s="5" t="n">
        <v>0</v>
      </c>
      <c r="CK86" s="5" t="n">
        <v>0</v>
      </c>
      <c r="CL86" s="5" t="n">
        <v>0</v>
      </c>
      <c r="CM86" s="5" t="n">
        <v>0</v>
      </c>
      <c r="CN86" s="5" t="n">
        <v>0</v>
      </c>
      <c r="CO86" s="5" t="n">
        <v>0</v>
      </c>
      <c r="CP86" s="5" t="n">
        <v>0</v>
      </c>
      <c r="CQ86" s="5" t="n">
        <v>1.198</v>
      </c>
      <c r="CR86" s="5" t="n">
        <v>0</v>
      </c>
      <c r="CS86" s="5" t="n">
        <v>4.776</v>
      </c>
      <c r="CT86" s="5" t="n">
        <v>4.753</v>
      </c>
      <c r="CU86" s="5" t="n">
        <v>15.983</v>
      </c>
    </row>
    <row r="87">
      <c r="A87" s="5" t="inlineStr">
        <is>
          <t>BLZ2022</t>
        </is>
      </c>
      <c r="B87" s="5" t="inlineStr">
        <is>
          <t>BLZ</t>
        </is>
      </c>
      <c r="C87" s="5" t="inlineStr">
        <is>
          <t>BLZ</t>
        </is>
      </c>
      <c r="D87" s="5" t="inlineStr">
        <is>
          <t>Belize</t>
        </is>
      </c>
      <c r="E87" s="5" t="n">
        <v>2022</v>
      </c>
      <c r="F87" s="5" t="n">
        <v>0.125</v>
      </c>
      <c r="G87" s="5" t="n">
        <v>11.72</v>
      </c>
      <c r="H87" s="5" t="n">
        <v>1.235</v>
      </c>
      <c r="I87" s="5" t="n">
        <v>0</v>
      </c>
      <c r="J87" s="5" t="n">
        <v>11.72</v>
      </c>
      <c r="K87" s="5" t="n">
        <v>0</v>
      </c>
      <c r="L87" s="5" t="n">
        <v>1</v>
      </c>
      <c r="M87" s="5" t="n">
        <v>9.782999999999999</v>
      </c>
      <c r="N87" s="5" t="n">
        <v>3.704</v>
      </c>
      <c r="O87" s="5" t="n">
        <v>0</v>
      </c>
      <c r="P87" s="5" t="n">
        <v>9.782999999999999</v>
      </c>
      <c r="Q87" s="5" t="n">
        <v>0</v>
      </c>
      <c r="R87" s="5" t="n">
        <v>1</v>
      </c>
      <c r="S87" s="5" t="n">
        <v>17.893</v>
      </c>
      <c r="T87" s="5" t="n">
        <v>7.408</v>
      </c>
      <c r="U87" s="5" t="n">
        <v>0.166</v>
      </c>
      <c r="V87" s="5" t="n">
        <v>20.13</v>
      </c>
      <c r="W87" s="5" t="n">
        <v>0.125</v>
      </c>
      <c r="X87" s="5" t="n">
        <v>1</v>
      </c>
      <c r="Y87" s="5" t="n">
        <v>6.392</v>
      </c>
      <c r="Z87" s="5" t="n">
        <v>0.86</v>
      </c>
      <c r="AA87" s="5" t="n">
        <v>0</v>
      </c>
      <c r="AB87" s="5" t="n">
        <v>6.392</v>
      </c>
      <c r="AC87" s="5" t="n">
        <v>0</v>
      </c>
      <c r="AD87" s="5" t="n">
        <v>1</v>
      </c>
      <c r="AE87" s="5" t="n">
        <v>7.627</v>
      </c>
      <c r="AF87" s="5" t="n">
        <v>1.786</v>
      </c>
      <c r="AG87" s="5" t="n">
        <v>0</v>
      </c>
      <c r="AH87" s="5" t="n">
        <v>7.627</v>
      </c>
      <c r="AI87" s="5" t="n">
        <v>0</v>
      </c>
      <c r="AJ87" s="5" t="n">
        <v>1</v>
      </c>
      <c r="AK87" s="5" t="n">
        <v>15.035</v>
      </c>
      <c r="AL87" s="5" t="n">
        <v>8.079000000000001</v>
      </c>
      <c r="AM87" s="5" t="n">
        <v>0.139</v>
      </c>
      <c r="AN87" s="5" t="n">
        <v>16.914</v>
      </c>
      <c r="AO87" s="5" t="n">
        <v>0.125</v>
      </c>
      <c r="AP87" s="5" t="n">
        <v>1</v>
      </c>
      <c r="AQ87" s="5" t="n">
        <v>0.896</v>
      </c>
      <c r="AR87" s="5" t="n">
        <v>0.123</v>
      </c>
      <c r="AS87" s="5" t="n">
        <v>0.351</v>
      </c>
      <c r="AT87" s="5" t="n">
        <v>1.403</v>
      </c>
      <c r="AU87" s="5" t="n">
        <v>0.125</v>
      </c>
      <c r="AV87" s="5" t="n">
        <v>1</v>
      </c>
      <c r="AW87" s="5" t="n">
        <v>0.89</v>
      </c>
      <c r="AX87" s="5" t="n">
        <v>0.123</v>
      </c>
      <c r="AY87" s="5" t="n">
        <v>0.35</v>
      </c>
      <c r="AZ87" s="5" t="n">
        <v>1.395</v>
      </c>
      <c r="BA87" s="5" t="n">
        <v>0.125</v>
      </c>
      <c r="BB87" s="5" t="n">
        <v>1</v>
      </c>
      <c r="BC87" s="5" t="n">
        <v>0.62</v>
      </c>
      <c r="BD87" s="5" t="n">
        <v>0.123</v>
      </c>
      <c r="BE87" s="5" t="n">
        <v>0.006</v>
      </c>
      <c r="BF87" s="5" t="n">
        <v>0.698</v>
      </c>
      <c r="BG87" s="5" t="n">
        <v>0.125</v>
      </c>
      <c r="BH87" s="5" t="n">
        <v>1</v>
      </c>
      <c r="BI87" s="5" t="n">
        <v>0.608</v>
      </c>
      <c r="BJ87" s="5" t="n">
        <v>0.123</v>
      </c>
      <c r="BK87" s="5" t="n">
        <v>0.712</v>
      </c>
      <c r="BL87" s="5" t="n">
        <v>1.484</v>
      </c>
      <c r="BM87" s="5" t="n">
        <v>0.125</v>
      </c>
      <c r="BN87" s="5" t="n">
        <v>1</v>
      </c>
      <c r="BO87" s="5" t="n">
        <v>0</v>
      </c>
      <c r="BP87" s="5" t="n">
        <v>0</v>
      </c>
      <c r="BQ87" s="5" t="n">
        <v>0.175</v>
      </c>
      <c r="BR87" s="5" t="n">
        <v>0</v>
      </c>
      <c r="BS87" s="5" t="n">
        <v>0.333</v>
      </c>
      <c r="BT87" s="5" t="n">
        <v>0</v>
      </c>
      <c r="BU87" s="5" t="n">
        <v>0</v>
      </c>
      <c r="BV87" s="5" t="n">
        <v>0.219</v>
      </c>
      <c r="BW87" s="5" t="n">
        <v>0.125</v>
      </c>
      <c r="BX87" s="5" t="n">
        <v>0.667</v>
      </c>
      <c r="BY87" s="5" t="n">
        <v>12.729</v>
      </c>
      <c r="BZ87" s="5" t="n">
        <v>0</v>
      </c>
      <c r="CA87" s="5" t="n">
        <v>12.729</v>
      </c>
      <c r="CB87" s="5" t="n">
        <v>0</v>
      </c>
      <c r="CC87" s="5" t="n">
        <v>97.90000000000001</v>
      </c>
      <c r="CD87" s="5" t="n">
        <v>7.95</v>
      </c>
      <c r="CE87" s="5" t="n">
        <v>73.599</v>
      </c>
      <c r="CF87" s="5" t="n">
        <v>191.168</v>
      </c>
      <c r="CG87" s="5" t="n">
        <v>0.125</v>
      </c>
      <c r="CH87" s="5" t="n">
        <v>1</v>
      </c>
      <c r="CI87" s="5" t="n">
        <v>0</v>
      </c>
      <c r="CJ87" s="5" t="n">
        <v>0</v>
      </c>
      <c r="CK87" s="5" t="n">
        <v>0</v>
      </c>
      <c r="CL87" s="5" t="n">
        <v>0</v>
      </c>
      <c r="CM87" s="5" t="n">
        <v>0</v>
      </c>
      <c r="CN87" s="5" t="n">
        <v>0</v>
      </c>
      <c r="CO87" s="5" t="n">
        <v>0</v>
      </c>
      <c r="CP87" s="5" t="n">
        <v>0</v>
      </c>
      <c r="CQ87" s="5" t="n">
        <v>1.294</v>
      </c>
      <c r="CR87" s="5" t="n">
        <v>0</v>
      </c>
      <c r="CS87" s="5" t="n">
        <v>5.158</v>
      </c>
      <c r="CT87" s="5" t="n">
        <v>10.485</v>
      </c>
      <c r="CU87" s="5" t="n">
        <v>29.494</v>
      </c>
    </row>
    <row r="88">
      <c r="A88" s="5" t="inlineStr">
        <is>
          <t>BLZ2023</t>
        </is>
      </c>
      <c r="B88" s="5" t="inlineStr">
        <is>
          <t>BLZ</t>
        </is>
      </c>
      <c r="C88" s="5" t="inlineStr">
        <is>
          <t>BLZ</t>
        </is>
      </c>
      <c r="D88" s="5" t="inlineStr">
        <is>
          <t>Belize</t>
        </is>
      </c>
      <c r="E88" s="5" t="n">
        <v>2023</v>
      </c>
      <c r="F88" s="5" t="n">
        <v>0.125</v>
      </c>
      <c r="G88" s="5" t="n">
        <v>6.147</v>
      </c>
      <c r="H88" s="5" t="n">
        <v>1.286</v>
      </c>
      <c r="I88" s="5" t="n">
        <v>0</v>
      </c>
      <c r="J88" s="5" t="n">
        <v>6.147</v>
      </c>
      <c r="K88" s="5" t="n">
        <v>0</v>
      </c>
      <c r="L88" s="5" t="n">
        <v>1</v>
      </c>
      <c r="M88" s="5" t="n">
        <v>7.886</v>
      </c>
      <c r="N88" s="5" t="n">
        <v>3.857</v>
      </c>
      <c r="O88" s="5" t="n">
        <v>0</v>
      </c>
      <c r="P88" s="5" t="n">
        <v>7.886</v>
      </c>
      <c r="Q88" s="5" t="n">
        <v>0</v>
      </c>
      <c r="R88" s="5" t="n">
        <v>1</v>
      </c>
      <c r="S88" s="5" t="n">
        <v>12.575</v>
      </c>
      <c r="T88" s="5" t="n">
        <v>7.714</v>
      </c>
      <c r="U88" s="5" t="n">
        <v>0.174</v>
      </c>
      <c r="V88" s="5" t="n">
        <v>14.147</v>
      </c>
      <c r="W88" s="5" t="n">
        <v>0.125</v>
      </c>
      <c r="X88" s="5" t="n">
        <v>1</v>
      </c>
      <c r="Y88" s="5" t="n">
        <v>3.731</v>
      </c>
      <c r="Z88" s="5" t="n">
        <v>0.502</v>
      </c>
      <c r="AA88" s="5" t="n">
        <v>0</v>
      </c>
      <c r="AB88" s="5" t="n">
        <v>3.731</v>
      </c>
      <c r="AC88" s="5" t="n">
        <v>0</v>
      </c>
      <c r="AD88" s="5" t="n">
        <v>1</v>
      </c>
      <c r="AE88" s="5" t="n">
        <v>5.016</v>
      </c>
      <c r="AF88" s="5" t="n">
        <v>1.175</v>
      </c>
      <c r="AG88" s="5" t="n">
        <v>0</v>
      </c>
      <c r="AH88" s="5" t="n">
        <v>5.016</v>
      </c>
      <c r="AI88" s="5" t="n">
        <v>0</v>
      </c>
      <c r="AJ88" s="5" t="n">
        <v>1</v>
      </c>
      <c r="AK88" s="5" t="n">
        <v>12.73</v>
      </c>
      <c r="AL88" s="5" t="n">
        <v>6.84</v>
      </c>
      <c r="AM88" s="5" t="n">
        <v>0.176</v>
      </c>
      <c r="AN88" s="5" t="n">
        <v>14.322</v>
      </c>
      <c r="AO88" s="5" t="n">
        <v>0.125</v>
      </c>
      <c r="AP88" s="5" t="n">
        <v>1</v>
      </c>
      <c r="AQ88" s="5" t="n">
        <v>0.791</v>
      </c>
      <c r="AR88" s="5" t="n">
        <v>0.129</v>
      </c>
      <c r="AS88" s="5" t="n">
        <v>0.4</v>
      </c>
      <c r="AT88" s="5" t="n">
        <v>1.339</v>
      </c>
      <c r="AU88" s="5" t="n">
        <v>0.125</v>
      </c>
      <c r="AV88" s="5" t="n">
        <v>1</v>
      </c>
      <c r="AW88" s="5" t="n">
        <v>0.618</v>
      </c>
      <c r="AX88" s="5" t="n">
        <v>0.129</v>
      </c>
      <c r="AY88" s="5" t="n">
        <v>0.55</v>
      </c>
      <c r="AZ88" s="5" t="n">
        <v>1.314</v>
      </c>
      <c r="BA88" s="5" t="n">
        <v>0.125</v>
      </c>
      <c r="BB88" s="5" t="n">
        <v>1</v>
      </c>
      <c r="BC88" s="5" t="n">
        <v>0.554</v>
      </c>
      <c r="BD88" s="5" t="n">
        <v>0.129</v>
      </c>
      <c r="BE88" s="5" t="n">
        <v>0.008</v>
      </c>
      <c r="BF88" s="5" t="n">
        <v>0.624</v>
      </c>
      <c r="BG88" s="5" t="n">
        <v>0.125</v>
      </c>
      <c r="BH88" s="5" t="n">
        <v>1</v>
      </c>
      <c r="BI88" s="5" t="n">
        <v>0.5570000000000001</v>
      </c>
      <c r="BJ88" s="5" t="n">
        <v>0.129</v>
      </c>
      <c r="BK88" s="5" t="n">
        <v>0.613</v>
      </c>
      <c r="BL88" s="5" t="n">
        <v>1.317</v>
      </c>
      <c r="BM88" s="5" t="n">
        <v>0.125</v>
      </c>
      <c r="BN88" s="5" t="n">
        <v>1</v>
      </c>
      <c r="BO88" s="5" t="n">
        <v>0</v>
      </c>
      <c r="BP88" s="5" t="n">
        <v>0</v>
      </c>
      <c r="BQ88" s="5" t="n">
        <v>0.175</v>
      </c>
      <c r="BR88" s="5" t="n">
        <v>0</v>
      </c>
      <c r="BS88" s="5" t="n">
        <v>0.333</v>
      </c>
      <c r="BT88" s="5" t="n">
        <v>0</v>
      </c>
      <c r="BU88" s="5" t="n">
        <v>0</v>
      </c>
      <c r="BV88" s="5" t="n">
        <v>0.219</v>
      </c>
      <c r="BW88" s="5" t="n">
        <v>0.125</v>
      </c>
      <c r="BX88" s="5" t="n">
        <v>0.667</v>
      </c>
      <c r="BY88" s="5" t="n">
        <v>13.254</v>
      </c>
      <c r="BZ88" s="5" t="n">
        <v>0</v>
      </c>
      <c r="CA88" s="5" t="n">
        <v>13.254</v>
      </c>
      <c r="CB88" s="5" t="n">
        <v>0</v>
      </c>
      <c r="CC88" s="5" t="n">
        <v>83.248</v>
      </c>
      <c r="CD88" s="5" t="n">
        <v>7.95</v>
      </c>
      <c r="CE88" s="5" t="n">
        <v>79.29600000000001</v>
      </c>
      <c r="CF88" s="5" t="n">
        <v>180.366</v>
      </c>
      <c r="CG88" s="5" t="n">
        <v>0.125</v>
      </c>
      <c r="CH88" s="5" t="n">
        <v>1</v>
      </c>
      <c r="CI88" s="5" t="n">
        <v>0</v>
      </c>
      <c r="CJ88" s="5" t="n">
        <v>0</v>
      </c>
      <c r="CK88" s="5" t="n">
        <v>0</v>
      </c>
      <c r="CL88" s="5" t="n">
        <v>0</v>
      </c>
      <c r="CM88" s="5" t="n">
        <v>0</v>
      </c>
      <c r="CN88" s="5" t="n">
        <v>0</v>
      </c>
      <c r="CO88" s="5" t="n">
        <v>0</v>
      </c>
      <c r="CP88" s="5" t="n">
        <v>0</v>
      </c>
      <c r="CQ88" s="5" t="n">
        <v>1.348</v>
      </c>
      <c r="CR88" s="5" t="n">
        <v>0</v>
      </c>
      <c r="CS88" s="5" t="n">
        <v>5.37</v>
      </c>
      <c r="CT88" s="5" t="n">
        <v>4.861</v>
      </c>
      <c r="CU88" s="5" t="n">
        <v>11.192</v>
      </c>
    </row>
    <row r="89">
      <c r="A89" s="5" t="inlineStr">
        <is>
          <t>BLZ2024</t>
        </is>
      </c>
      <c r="B89" s="5" t="inlineStr">
        <is>
          <t>BLZ</t>
        </is>
      </c>
      <c r="C89" s="5" t="inlineStr">
        <is>
          <t>BLZ</t>
        </is>
      </c>
      <c r="D89" s="5" t="inlineStr">
        <is>
          <t>Belize</t>
        </is>
      </c>
      <c r="E89" s="5" t="n">
        <v>2024</v>
      </c>
      <c r="F89" s="5" t="n">
        <v>0.125</v>
      </c>
      <c r="G89" s="5" t="n">
        <v>5.575</v>
      </c>
      <c r="H89" s="5" t="n">
        <v>1.324</v>
      </c>
      <c r="I89" s="5" t="n">
        <v>0</v>
      </c>
      <c r="J89" s="5" t="n">
        <v>5.575</v>
      </c>
      <c r="K89" s="5" t="n">
        <v>0</v>
      </c>
      <c r="L89" s="5" t="n">
        <v>1</v>
      </c>
      <c r="M89" s="5" t="n">
        <v>7.124</v>
      </c>
      <c r="N89" s="5" t="n">
        <v>3.971</v>
      </c>
      <c r="O89" s="5" t="n">
        <v>0</v>
      </c>
      <c r="P89" s="5" t="n">
        <v>7.124</v>
      </c>
      <c r="Q89" s="5" t="n">
        <v>0</v>
      </c>
      <c r="R89" s="5" t="n">
        <v>1</v>
      </c>
      <c r="S89" s="5" t="n">
        <v>12.193</v>
      </c>
      <c r="T89" s="5" t="n">
        <v>7.942</v>
      </c>
      <c r="U89" s="5" t="n">
        <v>0.208</v>
      </c>
      <c r="V89" s="5" t="n">
        <v>13.717</v>
      </c>
      <c r="W89" s="5" t="n">
        <v>0.125</v>
      </c>
      <c r="X89" s="5" t="n">
        <v>1</v>
      </c>
      <c r="Y89" s="5" t="n">
        <v>3.841</v>
      </c>
      <c r="Z89" s="5" t="n">
        <v>0.517</v>
      </c>
      <c r="AA89" s="5" t="n">
        <v>0</v>
      </c>
      <c r="AB89" s="5" t="n">
        <v>3.841</v>
      </c>
      <c r="AC89" s="5" t="n">
        <v>0</v>
      </c>
      <c r="AD89" s="5" t="n">
        <v>1</v>
      </c>
      <c r="AE89" s="5" t="n">
        <v>5.164</v>
      </c>
      <c r="AF89" s="5" t="n">
        <v>1.209</v>
      </c>
      <c r="AG89" s="5" t="n">
        <v>0</v>
      </c>
      <c r="AH89" s="5" t="n">
        <v>5.164</v>
      </c>
      <c r="AI89" s="5" t="n">
        <v>0</v>
      </c>
      <c r="AJ89" s="5" t="n">
        <v>1</v>
      </c>
      <c r="AK89" s="5" t="n">
        <v>13.106</v>
      </c>
      <c r="AL89" s="5" t="n">
        <v>7.042</v>
      </c>
      <c r="AM89" s="5" t="n">
        <v>0.223</v>
      </c>
      <c r="AN89" s="5" t="n">
        <v>14.744</v>
      </c>
      <c r="AO89" s="5" t="n">
        <v>0.125</v>
      </c>
      <c r="AP89" s="5" t="n">
        <v>1</v>
      </c>
      <c r="AQ89" s="5" t="n">
        <v>0.756</v>
      </c>
      <c r="AR89" s="5" t="n">
        <v>0.132</v>
      </c>
      <c r="AS89" s="5" t="n">
        <v>0.153</v>
      </c>
      <c r="AT89" s="5" t="n">
        <v>1.023</v>
      </c>
      <c r="AU89" s="5" t="n">
        <v>0.125</v>
      </c>
      <c r="AV89" s="5" t="n">
        <v>1</v>
      </c>
      <c r="AW89" s="5" t="n">
        <v>0.655</v>
      </c>
      <c r="AX89" s="5" t="n">
        <v>0.132</v>
      </c>
      <c r="AY89" s="5" t="n">
        <v>0.489</v>
      </c>
      <c r="AZ89" s="5" t="n">
        <v>1.287</v>
      </c>
      <c r="BA89" s="5" t="n">
        <v>0.125</v>
      </c>
      <c r="BB89" s="5" t="n">
        <v>1</v>
      </c>
      <c r="BC89" s="5" t="n">
        <v>0.534</v>
      </c>
      <c r="BD89" s="5" t="n">
        <v>0.132</v>
      </c>
      <c r="BE89" s="5" t="n">
        <v>0.008999999999999999</v>
      </c>
      <c r="BF89" s="5" t="n">
        <v>0.6</v>
      </c>
      <c r="BG89" s="5" t="n">
        <v>0.125</v>
      </c>
      <c r="BH89" s="5" t="n">
        <v>1</v>
      </c>
      <c r="BI89" s="5" t="n">
        <v>0.5679999999999999</v>
      </c>
      <c r="BJ89" s="5" t="n">
        <v>0.132</v>
      </c>
      <c r="BK89" s="5" t="n">
        <v>0.652</v>
      </c>
      <c r="BL89" s="5" t="n">
        <v>1.35</v>
      </c>
      <c r="BM89" s="5" t="n">
        <v>0.125</v>
      </c>
      <c r="BN89" s="5" t="n">
        <v>1</v>
      </c>
      <c r="BO89" s="5" t="n">
        <v>0</v>
      </c>
      <c r="BP89" s="5" t="n">
        <v>0</v>
      </c>
      <c r="BQ89" s="5" t="n">
        <v>0.175</v>
      </c>
      <c r="BR89" s="5" t="n">
        <v>0</v>
      </c>
      <c r="BS89" s="5" t="n">
        <v>0.333</v>
      </c>
      <c r="BT89" s="5" t="n">
        <v>0</v>
      </c>
      <c r="BU89" s="5" t="n">
        <v>0</v>
      </c>
      <c r="BV89" s="5" t="n">
        <v>0.219</v>
      </c>
      <c r="BW89" s="5" t="n">
        <v>0.125</v>
      </c>
      <c r="BX89" s="5" t="n">
        <v>0.667</v>
      </c>
      <c r="BY89" s="5" t="n">
        <v>13.646</v>
      </c>
      <c r="BZ89" s="5" t="n">
        <v>0</v>
      </c>
      <c r="CA89" s="5" t="n">
        <v>13.646</v>
      </c>
      <c r="CB89" s="5" t="n">
        <v>0</v>
      </c>
      <c r="CC89" s="5" t="n">
        <v>82.58799999999999</v>
      </c>
      <c r="CD89" s="5" t="n">
        <v>7.95</v>
      </c>
      <c r="CE89" s="5" t="n">
        <v>82.462</v>
      </c>
      <c r="CF89" s="5" t="n">
        <v>182.572</v>
      </c>
      <c r="CG89" s="5" t="n">
        <v>0.125</v>
      </c>
      <c r="CH89" s="5" t="n">
        <v>1</v>
      </c>
      <c r="CI89" s="5" t="n">
        <v>0</v>
      </c>
      <c r="CJ89" s="5" t="n">
        <v>0</v>
      </c>
      <c r="CK89" s="5" t="n">
        <v>0</v>
      </c>
      <c r="CL89" s="5" t="n">
        <v>0</v>
      </c>
      <c r="CM89" s="5" t="n">
        <v>0</v>
      </c>
      <c r="CN89" s="5" t="n">
        <v>0</v>
      </c>
      <c r="CO89" s="5" t="n">
        <v>0</v>
      </c>
      <c r="CP89" s="5" t="n">
        <v>0</v>
      </c>
      <c r="CQ89" s="5" t="n">
        <v>1.387</v>
      </c>
      <c r="CR89" s="5" t="n">
        <v>0</v>
      </c>
      <c r="CS89" s="5" t="n">
        <v>5.529</v>
      </c>
      <c r="CT89" s="5" t="n">
        <v>4.251</v>
      </c>
      <c r="CU89" s="5" t="n">
        <v>10.123</v>
      </c>
    </row>
    <row r="90">
      <c r="A90" s="5" t="inlineStr">
        <is>
          <t>BEN2021</t>
        </is>
      </c>
      <c r="B90" s="5" t="inlineStr">
        <is>
          <t>BEN</t>
        </is>
      </c>
      <c r="C90" s="5" t="inlineStr">
        <is>
          <t>BEN</t>
        </is>
      </c>
      <c r="D90" s="5" t="inlineStr">
        <is>
          <t>Benin</t>
        </is>
      </c>
      <c r="E90" s="5" t="n">
        <v>2021</v>
      </c>
      <c r="F90" s="5" t="n">
        <v>0.18</v>
      </c>
      <c r="G90" s="5" t="n">
        <v>5.897</v>
      </c>
      <c r="H90" s="5" t="n">
        <v>1.143</v>
      </c>
      <c r="I90" s="5" t="n">
        <v>0</v>
      </c>
      <c r="J90" s="5" t="n">
        <v>5.897</v>
      </c>
      <c r="K90" s="5" t="n">
        <v>0</v>
      </c>
      <c r="L90" s="5" t="n">
        <v>1</v>
      </c>
      <c r="M90" s="5" t="n">
        <v>7.964</v>
      </c>
      <c r="N90" s="5" t="n">
        <v>3.43</v>
      </c>
      <c r="O90" s="5" t="n">
        <v>0</v>
      </c>
      <c r="P90" s="5" t="n">
        <v>7.964</v>
      </c>
      <c r="Q90" s="5" t="n">
        <v>0</v>
      </c>
      <c r="R90" s="5" t="n">
        <v>1</v>
      </c>
      <c r="S90" s="5" t="n">
        <v>11.613</v>
      </c>
      <c r="T90" s="5" t="n">
        <v>6.86</v>
      </c>
      <c r="U90" s="5" t="n">
        <v>0</v>
      </c>
      <c r="V90" s="5" t="n">
        <v>13.704</v>
      </c>
      <c r="W90" s="5" t="n">
        <v>0.18</v>
      </c>
      <c r="X90" s="5" t="n">
        <v>1</v>
      </c>
      <c r="Y90" s="5" t="n">
        <v>5.721</v>
      </c>
      <c r="Z90" s="5" t="n">
        <v>0.773</v>
      </c>
      <c r="AA90" s="5" t="n">
        <v>0</v>
      </c>
      <c r="AB90" s="5" t="n">
        <v>5.721</v>
      </c>
      <c r="AC90" s="5" t="n">
        <v>0</v>
      </c>
      <c r="AD90" s="5" t="n">
        <v>1</v>
      </c>
      <c r="AE90" s="5" t="n">
        <v>6.864</v>
      </c>
      <c r="AF90" s="5" t="n">
        <v>1.605</v>
      </c>
      <c r="AG90" s="5" t="n">
        <v>0</v>
      </c>
      <c r="AH90" s="5" t="n">
        <v>6.864</v>
      </c>
      <c r="AI90" s="5" t="n">
        <v>0</v>
      </c>
      <c r="AJ90" s="5" t="n">
        <v>1</v>
      </c>
      <c r="AK90" s="5" t="n">
        <v>13.724</v>
      </c>
      <c r="AL90" s="5" t="n">
        <v>7.309</v>
      </c>
      <c r="AM90" s="5" t="n">
        <v>0</v>
      </c>
      <c r="AN90" s="5" t="n">
        <v>16.195</v>
      </c>
      <c r="AO90" s="5" t="n">
        <v>0.18</v>
      </c>
      <c r="AP90" s="5" t="n">
        <v>1</v>
      </c>
      <c r="AQ90" s="5" t="n">
        <v>0.619</v>
      </c>
      <c r="AR90" s="5" t="n">
        <v>0.114</v>
      </c>
      <c r="AS90" s="5" t="n">
        <v>0.158</v>
      </c>
      <c r="AT90" s="5" t="n">
        <v>0.917</v>
      </c>
      <c r="AU90" s="5" t="n">
        <v>0.18</v>
      </c>
      <c r="AV90" s="5" t="n">
        <v>1</v>
      </c>
      <c r="AW90" s="5" t="n">
        <v>0.599</v>
      </c>
      <c r="AX90" s="5" t="n">
        <v>0.114</v>
      </c>
      <c r="AY90" s="5" t="n">
        <v>0.197</v>
      </c>
      <c r="AZ90" s="5" t="n">
        <v>0.9399999999999999</v>
      </c>
      <c r="BA90" s="5" t="n">
        <v>0.18</v>
      </c>
      <c r="BB90" s="5" t="n">
        <v>1</v>
      </c>
      <c r="BC90" s="5" t="n">
        <v>0.439</v>
      </c>
      <c r="BD90" s="5" t="n">
        <v>0.114</v>
      </c>
      <c r="BE90" s="5" t="n">
        <v>0.055</v>
      </c>
      <c r="BF90" s="5" t="n">
        <v>0.583</v>
      </c>
      <c r="BG90" s="5" t="n">
        <v>0.18</v>
      </c>
      <c r="BH90" s="5" t="n">
        <v>1</v>
      </c>
      <c r="BI90" s="5" t="n">
        <v>0.505</v>
      </c>
      <c r="BJ90" s="5" t="n">
        <v>0.114</v>
      </c>
      <c r="BK90" s="5" t="n">
        <v>0.282</v>
      </c>
      <c r="BL90" s="5" t="n">
        <v>0.928</v>
      </c>
      <c r="BM90" s="5" t="n">
        <v>0.18</v>
      </c>
      <c r="BN90" s="5" t="n">
        <v>1</v>
      </c>
      <c r="BO90" s="5" t="n">
        <v>0</v>
      </c>
      <c r="BP90" s="5" t="n">
        <v>0</v>
      </c>
      <c r="BQ90" s="5" t="n">
        <v>0.214</v>
      </c>
      <c r="BR90" s="5" t="n">
        <v>0</v>
      </c>
      <c r="BS90" s="5" t="n">
        <v>0.667</v>
      </c>
      <c r="BT90" s="5" t="n">
        <v>0</v>
      </c>
      <c r="BU90" s="5" t="n">
        <v>0</v>
      </c>
      <c r="BV90" s="5" t="n">
        <v>0.216</v>
      </c>
      <c r="BW90" s="5" t="n">
        <v>0.18</v>
      </c>
      <c r="BX90" s="5" t="n">
        <v>0.667</v>
      </c>
      <c r="BY90" s="5" t="n">
        <v>11.787</v>
      </c>
      <c r="BZ90" s="5" t="n">
        <v>0</v>
      </c>
      <c r="CA90" s="5" t="n">
        <v>11.787</v>
      </c>
      <c r="CB90" s="5" t="n">
        <v>0</v>
      </c>
      <c r="CC90" s="5" t="n">
        <v>78.125</v>
      </c>
      <c r="CD90" s="5" t="n">
        <v>7.95</v>
      </c>
      <c r="CE90" s="5" t="n">
        <v>71.617</v>
      </c>
      <c r="CF90" s="5" t="n">
        <v>176.696</v>
      </c>
      <c r="CG90" s="5" t="n">
        <v>0.18</v>
      </c>
      <c r="CH90" s="5" t="n">
        <v>1</v>
      </c>
      <c r="CI90" s="5" t="n">
        <v>0</v>
      </c>
      <c r="CJ90" s="5" t="n">
        <v>0</v>
      </c>
      <c r="CK90" s="5" t="n">
        <v>0</v>
      </c>
      <c r="CL90" s="5" t="n">
        <v>0</v>
      </c>
      <c r="CM90" s="5" t="n">
        <v>0</v>
      </c>
      <c r="CN90" s="5" t="n">
        <v>0</v>
      </c>
      <c r="CO90" s="5" t="n">
        <v>0</v>
      </c>
      <c r="CP90" s="5" t="n">
        <v>0</v>
      </c>
      <c r="CQ90" s="5" t="n">
        <v>1.198</v>
      </c>
      <c r="CR90" s="5" t="n">
        <v>0</v>
      </c>
      <c r="CS90" s="5" t="n">
        <v>4.776</v>
      </c>
      <c r="CT90" s="5" t="n">
        <v>4.753</v>
      </c>
      <c r="CU90" s="5" t="n">
        <v>15.162</v>
      </c>
    </row>
    <row r="91">
      <c r="A91" s="5" t="inlineStr">
        <is>
          <t>BEN2022</t>
        </is>
      </c>
      <c r="B91" s="5" t="inlineStr">
        <is>
          <t>BEN</t>
        </is>
      </c>
      <c r="C91" s="5" t="inlineStr">
        <is>
          <t>BEN</t>
        </is>
      </c>
      <c r="D91" s="5" t="inlineStr">
        <is>
          <t>Benin</t>
        </is>
      </c>
      <c r="E91" s="5" t="n">
        <v>2022</v>
      </c>
      <c r="F91" s="5" t="n">
        <v>0.18</v>
      </c>
      <c r="G91" s="5" t="n">
        <v>11.72</v>
      </c>
      <c r="H91" s="5" t="n">
        <v>1.235</v>
      </c>
      <c r="I91" s="5" t="n">
        <v>0</v>
      </c>
      <c r="J91" s="5" t="n">
        <v>11.72</v>
      </c>
      <c r="K91" s="5" t="n">
        <v>0</v>
      </c>
      <c r="L91" s="5" t="n">
        <v>1</v>
      </c>
      <c r="M91" s="5" t="n">
        <v>9.782999999999999</v>
      </c>
      <c r="N91" s="5" t="n">
        <v>3.704</v>
      </c>
      <c r="O91" s="5" t="n">
        <v>0</v>
      </c>
      <c r="P91" s="5" t="n">
        <v>9.782999999999999</v>
      </c>
      <c r="Q91" s="5" t="n">
        <v>0</v>
      </c>
      <c r="R91" s="5" t="n">
        <v>1</v>
      </c>
      <c r="S91" s="5" t="n">
        <v>17.893</v>
      </c>
      <c r="T91" s="5" t="n">
        <v>7.408</v>
      </c>
      <c r="U91" s="5" t="n">
        <v>0.238</v>
      </c>
      <c r="V91" s="5" t="n">
        <v>21.114</v>
      </c>
      <c r="W91" s="5" t="n">
        <v>0.18</v>
      </c>
      <c r="X91" s="5" t="n">
        <v>1</v>
      </c>
      <c r="Y91" s="5" t="n">
        <v>6.488</v>
      </c>
      <c r="Z91" s="5" t="n">
        <v>0.877</v>
      </c>
      <c r="AA91" s="5" t="n">
        <v>0</v>
      </c>
      <c r="AB91" s="5" t="n">
        <v>6.488</v>
      </c>
      <c r="AC91" s="5" t="n">
        <v>0</v>
      </c>
      <c r="AD91" s="5" t="n">
        <v>1</v>
      </c>
      <c r="AE91" s="5" t="n">
        <v>7.723</v>
      </c>
      <c r="AF91" s="5" t="n">
        <v>1.806</v>
      </c>
      <c r="AG91" s="5" t="n">
        <v>0</v>
      </c>
      <c r="AH91" s="5" t="n">
        <v>7.723</v>
      </c>
      <c r="AI91" s="5" t="n">
        <v>0</v>
      </c>
      <c r="AJ91" s="5" t="n">
        <v>1</v>
      </c>
      <c r="AK91" s="5" t="n">
        <v>15.131</v>
      </c>
      <c r="AL91" s="5" t="n">
        <v>8.058999999999999</v>
      </c>
      <c r="AM91" s="5" t="n">
        <v>0.202</v>
      </c>
      <c r="AN91" s="5" t="n">
        <v>17.855</v>
      </c>
      <c r="AO91" s="5" t="n">
        <v>0.18</v>
      </c>
      <c r="AP91" s="5" t="n">
        <v>1</v>
      </c>
      <c r="AQ91" s="5" t="n">
        <v>0.861</v>
      </c>
      <c r="AR91" s="5" t="n">
        <v>0.123</v>
      </c>
      <c r="AS91" s="5" t="n">
        <v>-0.047</v>
      </c>
      <c r="AT91" s="5" t="n">
        <v>0.961</v>
      </c>
      <c r="AU91" s="5" t="n">
        <v>0.18</v>
      </c>
      <c r="AV91" s="5" t="n">
        <v>1</v>
      </c>
      <c r="AW91" s="5" t="n">
        <v>0.986</v>
      </c>
      <c r="AX91" s="5" t="n">
        <v>0.123</v>
      </c>
      <c r="AY91" s="5" t="n">
        <v>-0.112</v>
      </c>
      <c r="AZ91" s="5" t="n">
        <v>1.032</v>
      </c>
      <c r="BA91" s="5" t="n">
        <v>0.18</v>
      </c>
      <c r="BB91" s="5" t="n">
        <v>1</v>
      </c>
      <c r="BC91" s="5" t="n">
        <v>0.598</v>
      </c>
      <c r="BD91" s="5" t="n">
        <v>0.123</v>
      </c>
      <c r="BE91" s="5" t="n">
        <v>-0.005</v>
      </c>
      <c r="BF91" s="5" t="n">
        <v>0.699</v>
      </c>
      <c r="BG91" s="5" t="n">
        <v>0.18</v>
      </c>
      <c r="BH91" s="5" t="n">
        <v>1</v>
      </c>
      <c r="BI91" s="5" t="n">
        <v>0.612</v>
      </c>
      <c r="BJ91" s="5" t="n">
        <v>0.123</v>
      </c>
      <c r="BK91" s="5" t="n">
        <v>0.444</v>
      </c>
      <c r="BL91" s="5" t="n">
        <v>1.246</v>
      </c>
      <c r="BM91" s="5" t="n">
        <v>0.18</v>
      </c>
      <c r="BN91" s="5" t="n">
        <v>1</v>
      </c>
      <c r="BO91" s="5" t="n">
        <v>0</v>
      </c>
      <c r="BP91" s="5" t="n">
        <v>0</v>
      </c>
      <c r="BQ91" s="5" t="n">
        <v>0.191</v>
      </c>
      <c r="BR91" s="5" t="n">
        <v>0</v>
      </c>
      <c r="BS91" s="5" t="n">
        <v>0.667</v>
      </c>
      <c r="BT91" s="5" t="n">
        <v>0</v>
      </c>
      <c r="BU91" s="5" t="n">
        <v>0</v>
      </c>
      <c r="BV91" s="5" t="n">
        <v>0.192</v>
      </c>
      <c r="BW91" s="5" t="n">
        <v>0.18</v>
      </c>
      <c r="BX91" s="5" t="n">
        <v>0.667</v>
      </c>
      <c r="BY91" s="5" t="n">
        <v>12.729</v>
      </c>
      <c r="BZ91" s="5" t="n">
        <v>0</v>
      </c>
      <c r="CA91" s="5" t="n">
        <v>12.729</v>
      </c>
      <c r="CB91" s="5" t="n">
        <v>0</v>
      </c>
      <c r="CC91" s="5" t="n">
        <v>97.90000000000001</v>
      </c>
      <c r="CD91" s="5" t="n">
        <v>7.95</v>
      </c>
      <c r="CE91" s="5" t="n">
        <v>94.369</v>
      </c>
      <c r="CF91" s="5" t="n">
        <v>226.877</v>
      </c>
      <c r="CG91" s="5" t="n">
        <v>0.18</v>
      </c>
      <c r="CH91" s="5" t="n">
        <v>1</v>
      </c>
      <c r="CI91" s="5" t="n">
        <v>0</v>
      </c>
      <c r="CJ91" s="5" t="n">
        <v>0</v>
      </c>
      <c r="CK91" s="5" t="n">
        <v>0</v>
      </c>
      <c r="CL91" s="5" t="n">
        <v>0</v>
      </c>
      <c r="CM91" s="5" t="n">
        <v>0</v>
      </c>
      <c r="CN91" s="5" t="n">
        <v>0</v>
      </c>
      <c r="CO91" s="5" t="n">
        <v>0</v>
      </c>
      <c r="CP91" s="5" t="n">
        <v>0</v>
      </c>
      <c r="CQ91" s="5" t="n">
        <v>1.294</v>
      </c>
      <c r="CR91" s="5" t="n">
        <v>0</v>
      </c>
      <c r="CS91" s="5" t="n">
        <v>5.158</v>
      </c>
      <c r="CT91" s="5" t="n">
        <v>10.485</v>
      </c>
      <c r="CU91" s="5" t="n">
        <v>31.326</v>
      </c>
    </row>
    <row r="92">
      <c r="A92" s="5" t="inlineStr">
        <is>
          <t>BEN2023</t>
        </is>
      </c>
      <c r="B92" s="5" t="inlineStr">
        <is>
          <t>BEN</t>
        </is>
      </c>
      <c r="C92" s="5" t="inlineStr">
        <is>
          <t>BEN</t>
        </is>
      </c>
      <c r="D92" s="5" t="inlineStr">
        <is>
          <t>Benin</t>
        </is>
      </c>
      <c r="E92" s="5" t="n">
        <v>2023</v>
      </c>
      <c r="F92" s="5" t="n">
        <v>0.18</v>
      </c>
      <c r="G92" s="5" t="n">
        <v>6.147</v>
      </c>
      <c r="H92" s="5" t="n">
        <v>1.286</v>
      </c>
      <c r="I92" s="5" t="n">
        <v>0</v>
      </c>
      <c r="J92" s="5" t="n">
        <v>6.147</v>
      </c>
      <c r="K92" s="5" t="n">
        <v>0</v>
      </c>
      <c r="L92" s="5" t="n">
        <v>1</v>
      </c>
      <c r="M92" s="5" t="n">
        <v>7.886</v>
      </c>
      <c r="N92" s="5" t="n">
        <v>3.857</v>
      </c>
      <c r="O92" s="5" t="n">
        <v>0</v>
      </c>
      <c r="P92" s="5" t="n">
        <v>7.886</v>
      </c>
      <c r="Q92" s="5" t="n">
        <v>0</v>
      </c>
      <c r="R92" s="5" t="n">
        <v>1</v>
      </c>
      <c r="S92" s="5" t="n">
        <v>12.575</v>
      </c>
      <c r="T92" s="5" t="n">
        <v>7.714</v>
      </c>
      <c r="U92" s="5" t="n">
        <v>0.251</v>
      </c>
      <c r="V92" s="5" t="n">
        <v>14.839</v>
      </c>
      <c r="W92" s="5" t="n">
        <v>0.18</v>
      </c>
      <c r="X92" s="5" t="n">
        <v>1</v>
      </c>
      <c r="Y92" s="5" t="n">
        <v>6.433</v>
      </c>
      <c r="Z92" s="5" t="n">
        <v>0.869</v>
      </c>
      <c r="AA92" s="5" t="n">
        <v>0</v>
      </c>
      <c r="AB92" s="5" t="n">
        <v>6.433</v>
      </c>
      <c r="AC92" s="5" t="n">
        <v>0</v>
      </c>
      <c r="AD92" s="5" t="n">
        <v>1</v>
      </c>
      <c r="AE92" s="5" t="n">
        <v>7.719</v>
      </c>
      <c r="AF92" s="5" t="n">
        <v>1.805</v>
      </c>
      <c r="AG92" s="5" t="n">
        <v>0</v>
      </c>
      <c r="AH92" s="5" t="n">
        <v>7.719</v>
      </c>
      <c r="AI92" s="5" t="n">
        <v>0</v>
      </c>
      <c r="AJ92" s="5" t="n">
        <v>1</v>
      </c>
      <c r="AK92" s="5" t="n">
        <v>15.433</v>
      </c>
      <c r="AL92" s="5" t="n">
        <v>8.218999999999999</v>
      </c>
      <c r="AM92" s="5" t="n">
        <v>0.308</v>
      </c>
      <c r="AN92" s="5" t="n">
        <v>18.211</v>
      </c>
      <c r="AO92" s="5" t="n">
        <v>0.18</v>
      </c>
      <c r="AP92" s="5" t="n">
        <v>1</v>
      </c>
      <c r="AQ92" s="5" t="n">
        <v>0.76</v>
      </c>
      <c r="AR92" s="5" t="n">
        <v>0.129</v>
      </c>
      <c r="AS92" s="5" t="n">
        <v>0.164</v>
      </c>
      <c r="AT92" s="5" t="n">
        <v>1.091</v>
      </c>
      <c r="AU92" s="5" t="n">
        <v>0.18</v>
      </c>
      <c r="AV92" s="5" t="n">
        <v>1</v>
      </c>
      <c r="AW92" s="5" t="n">
        <v>0.8110000000000001</v>
      </c>
      <c r="AX92" s="5" t="n">
        <v>0.129</v>
      </c>
      <c r="AY92" s="5" t="n">
        <v>0.166</v>
      </c>
      <c r="AZ92" s="5" t="n">
        <v>1.154</v>
      </c>
      <c r="BA92" s="5" t="n">
        <v>0.18</v>
      </c>
      <c r="BB92" s="5" t="n">
        <v>1</v>
      </c>
      <c r="BC92" s="5" t="n">
        <v>0.535</v>
      </c>
      <c r="BD92" s="5" t="n">
        <v>0.129</v>
      </c>
      <c r="BE92" s="5" t="n">
        <v>0.116</v>
      </c>
      <c r="BF92" s="5" t="n">
        <v>0.768</v>
      </c>
      <c r="BG92" s="5" t="n">
        <v>0.18</v>
      </c>
      <c r="BH92" s="5" t="n">
        <v>1</v>
      </c>
      <c r="BI92" s="5" t="n">
        <v>0.579</v>
      </c>
      <c r="BJ92" s="5" t="n">
        <v>0.129</v>
      </c>
      <c r="BK92" s="5" t="n">
        <v>0.609</v>
      </c>
      <c r="BL92" s="5" t="n">
        <v>1.403</v>
      </c>
      <c r="BM92" s="5" t="n">
        <v>0.18</v>
      </c>
      <c r="BN92" s="5" t="n">
        <v>1</v>
      </c>
      <c r="BO92" s="5" t="n">
        <v>0</v>
      </c>
      <c r="BP92" s="5" t="n">
        <v>0</v>
      </c>
      <c r="BQ92" s="5" t="n">
        <v>0.196</v>
      </c>
      <c r="BR92" s="5" t="n">
        <v>0</v>
      </c>
      <c r="BS92" s="5" t="n">
        <v>0.667</v>
      </c>
      <c r="BT92" s="5" t="n">
        <v>0</v>
      </c>
      <c r="BU92" s="5" t="n">
        <v>0</v>
      </c>
      <c r="BV92" s="5" t="n">
        <v>0.197</v>
      </c>
      <c r="BW92" s="5" t="n">
        <v>0.18</v>
      </c>
      <c r="BX92" s="5" t="n">
        <v>0.667</v>
      </c>
      <c r="BY92" s="5" t="n">
        <v>13.254</v>
      </c>
      <c r="BZ92" s="5" t="n">
        <v>0</v>
      </c>
      <c r="CA92" s="5" t="n">
        <v>13.254</v>
      </c>
      <c r="CB92" s="5" t="n">
        <v>0</v>
      </c>
      <c r="CC92" s="5" t="n">
        <v>83.248</v>
      </c>
      <c r="CD92" s="5" t="n">
        <v>7.95</v>
      </c>
      <c r="CE92" s="5" t="n">
        <v>161.243</v>
      </c>
      <c r="CF92" s="5" t="n">
        <v>288.499</v>
      </c>
      <c r="CG92" s="5" t="n">
        <v>0.18</v>
      </c>
      <c r="CH92" s="5" t="n">
        <v>1</v>
      </c>
      <c r="CI92" s="5" t="n">
        <v>0</v>
      </c>
      <c r="CJ92" s="5" t="n">
        <v>0</v>
      </c>
      <c r="CK92" s="5" t="n">
        <v>0</v>
      </c>
      <c r="CL92" s="5" t="n">
        <v>0</v>
      </c>
      <c r="CM92" s="5" t="n">
        <v>0</v>
      </c>
      <c r="CN92" s="5" t="n">
        <v>0</v>
      </c>
      <c r="CO92" s="5" t="n">
        <v>0</v>
      </c>
      <c r="CP92" s="5" t="n">
        <v>0</v>
      </c>
      <c r="CQ92" s="5" t="n">
        <v>1.348</v>
      </c>
      <c r="CR92" s="5" t="n">
        <v>0</v>
      </c>
      <c r="CS92" s="5" t="n">
        <v>5.37</v>
      </c>
      <c r="CT92" s="5" t="n">
        <v>4.861</v>
      </c>
      <c r="CU92" s="5" t="n">
        <v>11.622</v>
      </c>
    </row>
    <row r="93">
      <c r="A93" s="5" t="inlineStr">
        <is>
          <t>BEN2024</t>
        </is>
      </c>
      <c r="B93" s="5" t="inlineStr">
        <is>
          <t>BEN</t>
        </is>
      </c>
      <c r="C93" s="5" t="inlineStr">
        <is>
          <t>BEN</t>
        </is>
      </c>
      <c r="D93" s="5" t="inlineStr">
        <is>
          <t>Benin</t>
        </is>
      </c>
      <c r="E93" s="5" t="n">
        <v>2024</v>
      </c>
      <c r="F93" s="5" t="n">
        <v>0.18</v>
      </c>
      <c r="G93" s="5" t="n">
        <v>5.575</v>
      </c>
      <c r="H93" s="5" t="n">
        <v>1.324</v>
      </c>
      <c r="I93" s="5" t="n">
        <v>0</v>
      </c>
      <c r="J93" s="5" t="n">
        <v>5.575</v>
      </c>
      <c r="K93" s="5" t="n">
        <v>0</v>
      </c>
      <c r="L93" s="5" t="n">
        <v>1</v>
      </c>
      <c r="M93" s="5" t="n">
        <v>7.124</v>
      </c>
      <c r="N93" s="5" t="n">
        <v>3.971</v>
      </c>
      <c r="O93" s="5" t="n">
        <v>0</v>
      </c>
      <c r="P93" s="5" t="n">
        <v>7.124</v>
      </c>
      <c r="Q93" s="5" t="n">
        <v>0</v>
      </c>
      <c r="R93" s="5" t="n">
        <v>1</v>
      </c>
      <c r="S93" s="5" t="n">
        <v>12.193</v>
      </c>
      <c r="T93" s="5" t="n">
        <v>7.942</v>
      </c>
      <c r="U93" s="5" t="n">
        <v>0.299</v>
      </c>
      <c r="V93" s="5" t="n">
        <v>14.388</v>
      </c>
      <c r="W93" s="5" t="n">
        <v>0.18</v>
      </c>
      <c r="X93" s="5" t="n">
        <v>1</v>
      </c>
      <c r="Y93" s="5" t="n">
        <v>6.623</v>
      </c>
      <c r="Z93" s="5" t="n">
        <v>0.895</v>
      </c>
      <c r="AA93" s="5" t="n">
        <v>0</v>
      </c>
      <c r="AB93" s="5" t="n">
        <v>6.623</v>
      </c>
      <c r="AC93" s="5" t="n">
        <v>0</v>
      </c>
      <c r="AD93" s="5" t="n">
        <v>1</v>
      </c>
      <c r="AE93" s="5" t="n">
        <v>7.947</v>
      </c>
      <c r="AF93" s="5" t="n">
        <v>1.858</v>
      </c>
      <c r="AG93" s="5" t="n">
        <v>0</v>
      </c>
      <c r="AH93" s="5" t="n">
        <v>7.947</v>
      </c>
      <c r="AI93" s="5" t="n">
        <v>0</v>
      </c>
      <c r="AJ93" s="5" t="n">
        <v>1</v>
      </c>
      <c r="AK93" s="5" t="n">
        <v>15.888</v>
      </c>
      <c r="AL93" s="5" t="n">
        <v>8.462</v>
      </c>
      <c r="AM93" s="5" t="n">
        <v>0.39</v>
      </c>
      <c r="AN93" s="5" t="n">
        <v>18.748</v>
      </c>
      <c r="AO93" s="5" t="n">
        <v>0.18</v>
      </c>
      <c r="AP93" s="5" t="n">
        <v>1</v>
      </c>
      <c r="AQ93" s="5" t="n">
        <v>0.724</v>
      </c>
      <c r="AR93" s="5" t="n">
        <v>0.132</v>
      </c>
      <c r="AS93" s="5" t="n">
        <v>0.223</v>
      </c>
      <c r="AT93" s="5" t="n">
        <v>1.118</v>
      </c>
      <c r="AU93" s="5" t="n">
        <v>0.18</v>
      </c>
      <c r="AV93" s="5" t="n">
        <v>1</v>
      </c>
      <c r="AW93" s="5" t="n">
        <v>0.75</v>
      </c>
      <c r="AX93" s="5" t="n">
        <v>0.132</v>
      </c>
      <c r="AY93" s="5" t="n">
        <v>0.228</v>
      </c>
      <c r="AZ93" s="5" t="n">
        <v>1.154</v>
      </c>
      <c r="BA93" s="5" t="n">
        <v>0.18</v>
      </c>
      <c r="BB93" s="5" t="n">
        <v>1</v>
      </c>
      <c r="BC93" s="5" t="n">
        <v>0.513</v>
      </c>
      <c r="BD93" s="5" t="n">
        <v>0.132</v>
      </c>
      <c r="BE93" s="5" t="n">
        <v>0.158</v>
      </c>
      <c r="BF93" s="5" t="n">
        <v>0.792</v>
      </c>
      <c r="BG93" s="5" t="n">
        <v>0.18</v>
      </c>
      <c r="BH93" s="5" t="n">
        <v>1</v>
      </c>
      <c r="BI93" s="5" t="n">
        <v>0.591</v>
      </c>
      <c r="BJ93" s="5" t="n">
        <v>0.132</v>
      </c>
      <c r="BK93" s="5" t="n">
        <v>0.598</v>
      </c>
      <c r="BL93" s="5" t="n">
        <v>1.403</v>
      </c>
      <c r="BM93" s="5" t="n">
        <v>0.18</v>
      </c>
      <c r="BN93" s="5" t="n">
        <v>1</v>
      </c>
      <c r="BO93" s="5" t="n">
        <v>0</v>
      </c>
      <c r="BP93" s="5" t="n">
        <v>0</v>
      </c>
      <c r="BQ93" s="5" t="n">
        <v>0.202</v>
      </c>
      <c r="BR93" s="5" t="n">
        <v>0</v>
      </c>
      <c r="BS93" s="5" t="n">
        <v>0.667</v>
      </c>
      <c r="BT93" s="5" t="n">
        <v>0</v>
      </c>
      <c r="BU93" s="5" t="n">
        <v>0</v>
      </c>
      <c r="BV93" s="5" t="n">
        <v>0.203</v>
      </c>
      <c r="BW93" s="5" t="n">
        <v>0.18</v>
      </c>
      <c r="BX93" s="5" t="n">
        <v>0.667</v>
      </c>
      <c r="BY93" s="5" t="n">
        <v>13.646</v>
      </c>
      <c r="BZ93" s="5" t="n">
        <v>0</v>
      </c>
      <c r="CA93" s="5" t="n">
        <v>13.646</v>
      </c>
      <c r="CB93" s="5" t="n">
        <v>0</v>
      </c>
      <c r="CC93" s="5" t="n">
        <v>82.58799999999999</v>
      </c>
      <c r="CD93" s="5" t="n">
        <v>7.95</v>
      </c>
      <c r="CE93" s="5" t="n">
        <v>173.791</v>
      </c>
      <c r="CF93" s="5" t="n">
        <v>295.287</v>
      </c>
      <c r="CG93" s="5" t="n">
        <v>0.18</v>
      </c>
      <c r="CH93" s="5" t="n">
        <v>1</v>
      </c>
      <c r="CI93" s="5" t="n">
        <v>0</v>
      </c>
      <c r="CJ93" s="5" t="n">
        <v>0</v>
      </c>
      <c r="CK93" s="5" t="n">
        <v>0</v>
      </c>
      <c r="CL93" s="5" t="n">
        <v>0</v>
      </c>
      <c r="CM93" s="5" t="n">
        <v>0</v>
      </c>
      <c r="CN93" s="5" t="n">
        <v>0</v>
      </c>
      <c r="CO93" s="5" t="n">
        <v>0</v>
      </c>
      <c r="CP93" s="5" t="n">
        <v>0</v>
      </c>
      <c r="CQ93" s="5" t="n">
        <v>1.387</v>
      </c>
      <c r="CR93" s="5" t="n">
        <v>0</v>
      </c>
      <c r="CS93" s="5" t="n">
        <v>5.529</v>
      </c>
      <c r="CT93" s="5" t="n">
        <v>4.251</v>
      </c>
      <c r="CU93" s="5" t="n">
        <v>10.168</v>
      </c>
    </row>
    <row r="94">
      <c r="A94" s="5" t="inlineStr">
        <is>
          <t>BMU2021</t>
        </is>
      </c>
      <c r="B94" s="5" t="inlineStr">
        <is>
          <t>BMU</t>
        </is>
      </c>
      <c r="C94" s="5" t="inlineStr">
        <is>
          <t>BMU</t>
        </is>
      </c>
      <c r="D94" s="5" t="inlineStr">
        <is>
          <t>Bermuda</t>
        </is>
      </c>
      <c r="E94" s="5" t="n">
        <v>2021</v>
      </c>
      <c r="F94" s="5" t="n">
        <v>0</v>
      </c>
      <c r="G94" s="5" t="n">
        <v>3.885</v>
      </c>
      <c r="H94" s="5" t="n">
        <v>1.143</v>
      </c>
      <c r="I94" s="5" t="n">
        <v>0</v>
      </c>
      <c r="J94" s="5" t="n">
        <v>3.885</v>
      </c>
      <c r="K94" s="5" t="n">
        <v>0</v>
      </c>
      <c r="L94" s="5" t="n">
        <v>1</v>
      </c>
      <c r="M94" s="5" t="n">
        <v>7.964</v>
      </c>
      <c r="N94" s="5" t="n">
        <v>3.43</v>
      </c>
      <c r="O94" s="5" t="n">
        <v>0</v>
      </c>
      <c r="P94" s="5" t="n">
        <v>7.964</v>
      </c>
      <c r="Q94" s="5" t="n">
        <v>0</v>
      </c>
      <c r="R94" s="5" t="n">
        <v>1</v>
      </c>
      <c r="S94" s="5" t="n">
        <v>9.601000000000001</v>
      </c>
      <c r="T94" s="5" t="n">
        <v>6.86</v>
      </c>
      <c r="U94" s="5" t="n">
        <v>0</v>
      </c>
      <c r="V94" s="5" t="n">
        <v>9.601000000000001</v>
      </c>
      <c r="W94" s="5" t="n">
        <v>0</v>
      </c>
      <c r="X94" s="5" t="n">
        <v>1</v>
      </c>
      <c r="Y94" s="5" t="n">
        <v>4.665</v>
      </c>
      <c r="Z94" s="5" t="n">
        <v>1.091</v>
      </c>
      <c r="AA94" s="5" t="n">
        <v>0</v>
      </c>
      <c r="AB94" s="5" t="n">
        <v>4.665</v>
      </c>
      <c r="AC94" s="5" t="n">
        <v>0</v>
      </c>
      <c r="AD94" s="5" t="n">
        <v>1</v>
      </c>
      <c r="AE94" s="5" t="n">
        <v>5.809</v>
      </c>
      <c r="AF94" s="5" t="n">
        <v>2.169</v>
      </c>
      <c r="AG94" s="5" t="n">
        <v>0</v>
      </c>
      <c r="AH94" s="5" t="n">
        <v>5.809</v>
      </c>
      <c r="AI94" s="5" t="n">
        <v>0</v>
      </c>
      <c r="AJ94" s="5" t="n">
        <v>1</v>
      </c>
      <c r="AK94" s="5" t="n">
        <v>12.669</v>
      </c>
      <c r="AL94" s="5" t="n">
        <v>8.759</v>
      </c>
      <c r="AM94" s="5" t="n">
        <v>0</v>
      </c>
      <c r="AN94" s="5" t="n">
        <v>12.669</v>
      </c>
      <c r="AO94" s="5" t="n">
        <v>0</v>
      </c>
      <c r="AP94" s="5" t="n">
        <v>1</v>
      </c>
      <c r="AQ94" s="5" t="n">
        <v>0.649</v>
      </c>
      <c r="AR94" s="5" t="n">
        <v>0.114</v>
      </c>
      <c r="AS94" s="5" t="n">
        <v>0</v>
      </c>
      <c r="AT94" s="5" t="n">
        <v>0.649</v>
      </c>
      <c r="AU94" s="5" t="n">
        <v>0</v>
      </c>
      <c r="AV94" s="5" t="n">
        <v>1</v>
      </c>
      <c r="AW94" s="5" t="n">
        <v>0.577</v>
      </c>
      <c r="AX94" s="5" t="n">
        <v>0.114</v>
      </c>
      <c r="AY94" s="5" t="n">
        <v>0</v>
      </c>
      <c r="AZ94" s="5" t="n">
        <v>0.577</v>
      </c>
      <c r="BA94" s="5" t="n">
        <v>0</v>
      </c>
      <c r="BB94" s="5" t="n">
        <v>1</v>
      </c>
      <c r="BC94" s="5" t="n">
        <v>0.458</v>
      </c>
      <c r="BD94" s="5" t="n">
        <v>0.114</v>
      </c>
      <c r="BE94" s="5" t="n">
        <v>0</v>
      </c>
      <c r="BF94" s="5" t="n">
        <v>0.458</v>
      </c>
      <c r="BG94" s="5" t="n">
        <v>0</v>
      </c>
      <c r="BH94" s="5" t="n">
        <v>1</v>
      </c>
      <c r="BI94" s="5" t="n">
        <v>0.491</v>
      </c>
      <c r="BJ94" s="5" t="n">
        <v>0.114</v>
      </c>
      <c r="BK94" s="5" t="n">
        <v>0</v>
      </c>
      <c r="BL94" s="5" t="n">
        <v>0.491</v>
      </c>
      <c r="BM94" s="5" t="n">
        <v>0</v>
      </c>
      <c r="BN94" s="5" t="n">
        <v>1</v>
      </c>
      <c r="BO94" s="5" t="n">
        <v>0</v>
      </c>
      <c r="BP94" s="5" t="n">
        <v>0</v>
      </c>
      <c r="BQ94" s="5" t="n">
        <v>0.218</v>
      </c>
      <c r="BR94" s="5" t="n">
        <v>0</v>
      </c>
      <c r="BS94" s="5" t="n">
        <v>0.833</v>
      </c>
      <c r="BT94" s="5" t="n">
        <v>0</v>
      </c>
      <c r="BU94" s="5" t="n">
        <v>0</v>
      </c>
      <c r="BV94" s="5" t="n">
        <v>0.378</v>
      </c>
      <c r="BW94" s="5" t="n">
        <v>0</v>
      </c>
      <c r="BX94" s="5" t="n">
        <v>1</v>
      </c>
      <c r="BY94" s="5" t="n">
        <v>11.787</v>
      </c>
      <c r="BZ94" s="5" t="n">
        <v>0</v>
      </c>
      <c r="CA94" s="5" t="n">
        <v>11.787</v>
      </c>
      <c r="CB94" s="5" t="n">
        <v>0</v>
      </c>
      <c r="CC94" s="5" t="n">
        <v>78.125</v>
      </c>
      <c r="CD94" s="5" t="n">
        <v>7.95</v>
      </c>
      <c r="CE94" s="5" t="n">
        <v>0</v>
      </c>
      <c r="CF94" s="5" t="n">
        <v>78.125</v>
      </c>
      <c r="CG94" s="5" t="n">
        <v>0</v>
      </c>
      <c r="CH94" s="5" t="n">
        <v>1</v>
      </c>
      <c r="CI94" s="5" t="n">
        <v>0</v>
      </c>
      <c r="CJ94" s="5" t="n">
        <v>0</v>
      </c>
      <c r="CK94" s="5" t="n">
        <v>0</v>
      </c>
      <c r="CL94" s="5" t="n">
        <v>0</v>
      </c>
      <c r="CM94" s="5" t="n">
        <v>0</v>
      </c>
      <c r="CN94" s="5" t="n">
        <v>0</v>
      </c>
      <c r="CO94" s="5" t="n">
        <v>0</v>
      </c>
      <c r="CP94" s="5" t="n">
        <v>0</v>
      </c>
      <c r="CQ94" s="5" t="n">
        <v>1.198</v>
      </c>
      <c r="CR94" s="5" t="n">
        <v>0</v>
      </c>
      <c r="CS94" s="5" t="n">
        <v>3.522</v>
      </c>
      <c r="CT94" s="5" t="n">
        <v>2.742</v>
      </c>
      <c r="CU94" s="5" t="n">
        <v>3.522</v>
      </c>
    </row>
    <row r="95">
      <c r="A95" s="5" t="inlineStr">
        <is>
          <t>BMU2022</t>
        </is>
      </c>
      <c r="B95" s="5" t="inlineStr">
        <is>
          <t>BMU</t>
        </is>
      </c>
      <c r="C95" s="5" t="inlineStr">
        <is>
          <t>BMU</t>
        </is>
      </c>
      <c r="D95" s="5" t="inlineStr">
        <is>
          <t>Bermuda</t>
        </is>
      </c>
      <c r="E95" s="5" t="n">
        <v>2022</v>
      </c>
      <c r="F95" s="5" t="n">
        <v>0</v>
      </c>
      <c r="G95" s="5" t="n">
        <v>7.537</v>
      </c>
      <c r="H95" s="5" t="n">
        <v>1.235</v>
      </c>
      <c r="I95" s="5" t="n">
        <v>0</v>
      </c>
      <c r="J95" s="5" t="n">
        <v>7.537</v>
      </c>
      <c r="K95" s="5" t="n">
        <v>0</v>
      </c>
      <c r="L95" s="5" t="n">
        <v>1</v>
      </c>
      <c r="M95" s="5" t="n">
        <v>9.782999999999999</v>
      </c>
      <c r="N95" s="5" t="n">
        <v>3.704</v>
      </c>
      <c r="O95" s="5" t="n">
        <v>0</v>
      </c>
      <c r="P95" s="5" t="n">
        <v>9.782999999999999</v>
      </c>
      <c r="Q95" s="5" t="n">
        <v>0</v>
      </c>
      <c r="R95" s="5" t="n">
        <v>1</v>
      </c>
      <c r="S95" s="5" t="n">
        <v>13.711</v>
      </c>
      <c r="T95" s="5" t="n">
        <v>7.408</v>
      </c>
      <c r="U95" s="5" t="n">
        <v>0</v>
      </c>
      <c r="V95" s="5" t="n">
        <v>13.711</v>
      </c>
      <c r="W95" s="5" t="n">
        <v>0</v>
      </c>
      <c r="X95" s="5" t="n">
        <v>1</v>
      </c>
      <c r="Y95" s="5" t="n">
        <v>6.392</v>
      </c>
      <c r="Z95" s="5" t="n">
        <v>1.495</v>
      </c>
      <c r="AA95" s="5" t="n">
        <v>0</v>
      </c>
      <c r="AB95" s="5" t="n">
        <v>6.392</v>
      </c>
      <c r="AC95" s="5" t="n">
        <v>0</v>
      </c>
      <c r="AD95" s="5" t="n">
        <v>1</v>
      </c>
      <c r="AE95" s="5" t="n">
        <v>7.627</v>
      </c>
      <c r="AF95" s="5" t="n">
        <v>2.848</v>
      </c>
      <c r="AG95" s="5" t="n">
        <v>0</v>
      </c>
      <c r="AH95" s="5" t="n">
        <v>7.627</v>
      </c>
      <c r="AI95" s="5" t="n">
        <v>0</v>
      </c>
      <c r="AJ95" s="5" t="n">
        <v>1</v>
      </c>
      <c r="AK95" s="5" t="n">
        <v>15.035</v>
      </c>
      <c r="AL95" s="5" t="n">
        <v>10.395</v>
      </c>
      <c r="AM95" s="5" t="n">
        <v>0</v>
      </c>
      <c r="AN95" s="5" t="n">
        <v>15.035</v>
      </c>
      <c r="AO95" s="5" t="n">
        <v>0</v>
      </c>
      <c r="AP95" s="5" t="n">
        <v>1</v>
      </c>
      <c r="AQ95" s="5" t="n">
        <v>0.896</v>
      </c>
      <c r="AR95" s="5" t="n">
        <v>0.123</v>
      </c>
      <c r="AS95" s="5" t="n">
        <v>0</v>
      </c>
      <c r="AT95" s="5" t="n">
        <v>0.896</v>
      </c>
      <c r="AU95" s="5" t="n">
        <v>0</v>
      </c>
      <c r="AV95" s="5" t="n">
        <v>1</v>
      </c>
      <c r="AW95" s="5" t="n">
        <v>0.89</v>
      </c>
      <c r="AX95" s="5" t="n">
        <v>0.123</v>
      </c>
      <c r="AY95" s="5" t="n">
        <v>0</v>
      </c>
      <c r="AZ95" s="5" t="n">
        <v>0.89</v>
      </c>
      <c r="BA95" s="5" t="n">
        <v>0</v>
      </c>
      <c r="BB95" s="5" t="n">
        <v>1</v>
      </c>
      <c r="BC95" s="5" t="n">
        <v>0.62</v>
      </c>
      <c r="BD95" s="5" t="n">
        <v>0.123</v>
      </c>
      <c r="BE95" s="5" t="n">
        <v>0</v>
      </c>
      <c r="BF95" s="5" t="n">
        <v>0.62</v>
      </c>
      <c r="BG95" s="5" t="n">
        <v>0</v>
      </c>
      <c r="BH95" s="5" t="n">
        <v>1</v>
      </c>
      <c r="BI95" s="5" t="n">
        <v>0.608</v>
      </c>
      <c r="BJ95" s="5" t="n">
        <v>0.123</v>
      </c>
      <c r="BK95" s="5" t="n">
        <v>0</v>
      </c>
      <c r="BL95" s="5" t="n">
        <v>0.608</v>
      </c>
      <c r="BM95" s="5" t="n">
        <v>0</v>
      </c>
      <c r="BN95" s="5" t="n">
        <v>1</v>
      </c>
      <c r="BO95" s="5" t="n">
        <v>0</v>
      </c>
      <c r="BP95" s="5" t="n">
        <v>0</v>
      </c>
      <c r="BQ95" s="5" t="n">
        <v>0.264</v>
      </c>
      <c r="BR95" s="5" t="n">
        <v>0</v>
      </c>
      <c r="BS95" s="5" t="n">
        <v>0.833</v>
      </c>
      <c r="BT95" s="5" t="n">
        <v>0</v>
      </c>
      <c r="BU95" s="5" t="n">
        <v>0</v>
      </c>
      <c r="BV95" s="5" t="n">
        <v>0.419</v>
      </c>
      <c r="BW95" s="5" t="n">
        <v>0</v>
      </c>
      <c r="BX95" s="5" t="n">
        <v>1</v>
      </c>
      <c r="BY95" s="5" t="n">
        <v>12.729</v>
      </c>
      <c r="BZ95" s="5" t="n">
        <v>0</v>
      </c>
      <c r="CA95" s="5" t="n">
        <v>12.729</v>
      </c>
      <c r="CB95" s="5" t="n">
        <v>0</v>
      </c>
      <c r="CC95" s="5" t="n">
        <v>97.90000000000001</v>
      </c>
      <c r="CD95" s="5" t="n">
        <v>7.95</v>
      </c>
      <c r="CE95" s="5" t="n">
        <v>0</v>
      </c>
      <c r="CF95" s="5" t="n">
        <v>97.90000000000001</v>
      </c>
      <c r="CG95" s="5" t="n">
        <v>0</v>
      </c>
      <c r="CH95" s="5" t="n">
        <v>1</v>
      </c>
      <c r="CI95" s="5" t="n">
        <v>0</v>
      </c>
      <c r="CJ95" s="5" t="n">
        <v>0</v>
      </c>
      <c r="CK95" s="5" t="n">
        <v>0</v>
      </c>
      <c r="CL95" s="5" t="n">
        <v>0</v>
      </c>
      <c r="CM95" s="5" t="n">
        <v>0</v>
      </c>
      <c r="CN95" s="5" t="n">
        <v>0</v>
      </c>
      <c r="CO95" s="5" t="n">
        <v>0</v>
      </c>
      <c r="CP95" s="5" t="n">
        <v>0</v>
      </c>
      <c r="CQ95" s="5" t="n">
        <v>1.294</v>
      </c>
      <c r="CR95" s="5" t="n">
        <v>0</v>
      </c>
      <c r="CS95" s="5" t="n">
        <v>5.158</v>
      </c>
      <c r="CT95" s="5" t="n">
        <v>6.303</v>
      </c>
      <c r="CU95" s="5" t="n">
        <v>6.176</v>
      </c>
    </row>
    <row r="96">
      <c r="A96" s="5" t="inlineStr">
        <is>
          <t>BMU2023</t>
        </is>
      </c>
      <c r="B96" s="5" t="inlineStr">
        <is>
          <t>BMU</t>
        </is>
      </c>
      <c r="C96" s="5" t="inlineStr">
        <is>
          <t>BMU</t>
        </is>
      </c>
      <c r="D96" s="5" t="inlineStr">
        <is>
          <t>Bermuda</t>
        </is>
      </c>
      <c r="E96" s="5" t="n">
        <v>2023</v>
      </c>
      <c r="F96" s="5" t="n">
        <v>0</v>
      </c>
      <c r="G96" s="5" t="n">
        <v>4.229</v>
      </c>
      <c r="H96" s="5" t="n">
        <v>1.286</v>
      </c>
      <c r="I96" s="5" t="n">
        <v>0</v>
      </c>
      <c r="J96" s="5" t="n">
        <v>4.229</v>
      </c>
      <c r="K96" s="5" t="n">
        <v>0</v>
      </c>
      <c r="L96" s="5" t="n">
        <v>1</v>
      </c>
      <c r="M96" s="5" t="n">
        <v>7.886</v>
      </c>
      <c r="N96" s="5" t="n">
        <v>3.857</v>
      </c>
      <c r="O96" s="5" t="n">
        <v>0</v>
      </c>
      <c r="P96" s="5" t="n">
        <v>7.886</v>
      </c>
      <c r="Q96" s="5" t="n">
        <v>0</v>
      </c>
      <c r="R96" s="5" t="n">
        <v>1</v>
      </c>
      <c r="S96" s="5" t="n">
        <v>10.657</v>
      </c>
      <c r="T96" s="5" t="n">
        <v>7.714</v>
      </c>
      <c r="U96" s="5" t="n">
        <v>0</v>
      </c>
      <c r="V96" s="5" t="n">
        <v>10.657</v>
      </c>
      <c r="W96" s="5" t="n">
        <v>0</v>
      </c>
      <c r="X96" s="5" t="n">
        <v>1</v>
      </c>
      <c r="Y96" s="5" t="n">
        <v>3.817</v>
      </c>
      <c r="Z96" s="5" t="n">
        <v>0.893</v>
      </c>
      <c r="AA96" s="5" t="n">
        <v>0</v>
      </c>
      <c r="AB96" s="5" t="n">
        <v>3.817</v>
      </c>
      <c r="AC96" s="5" t="n">
        <v>0</v>
      </c>
      <c r="AD96" s="5" t="n">
        <v>1</v>
      </c>
      <c r="AE96" s="5" t="n">
        <v>5.103</v>
      </c>
      <c r="AF96" s="5" t="n">
        <v>1.906</v>
      </c>
      <c r="AG96" s="5" t="n">
        <v>0</v>
      </c>
      <c r="AH96" s="5" t="n">
        <v>5.103</v>
      </c>
      <c r="AI96" s="5" t="n">
        <v>0</v>
      </c>
      <c r="AJ96" s="5" t="n">
        <v>1</v>
      </c>
      <c r="AK96" s="5" t="n">
        <v>12.817</v>
      </c>
      <c r="AL96" s="5" t="n">
        <v>8.862</v>
      </c>
      <c r="AM96" s="5" t="n">
        <v>0</v>
      </c>
      <c r="AN96" s="5" t="n">
        <v>12.817</v>
      </c>
      <c r="AO96" s="5" t="n">
        <v>0</v>
      </c>
      <c r="AP96" s="5" t="n">
        <v>1</v>
      </c>
      <c r="AQ96" s="5" t="n">
        <v>0.791</v>
      </c>
      <c r="AR96" s="5" t="n">
        <v>0.129</v>
      </c>
      <c r="AS96" s="5" t="n">
        <v>0</v>
      </c>
      <c r="AT96" s="5" t="n">
        <v>0.791</v>
      </c>
      <c r="AU96" s="5" t="n">
        <v>0</v>
      </c>
      <c r="AV96" s="5" t="n">
        <v>1</v>
      </c>
      <c r="AW96" s="5" t="n">
        <v>0.618</v>
      </c>
      <c r="AX96" s="5" t="n">
        <v>0.129</v>
      </c>
      <c r="AY96" s="5" t="n">
        <v>0</v>
      </c>
      <c r="AZ96" s="5" t="n">
        <v>0.618</v>
      </c>
      <c r="BA96" s="5" t="n">
        <v>0</v>
      </c>
      <c r="BB96" s="5" t="n">
        <v>1</v>
      </c>
      <c r="BC96" s="5" t="n">
        <v>0.554</v>
      </c>
      <c r="BD96" s="5" t="n">
        <v>0.129</v>
      </c>
      <c r="BE96" s="5" t="n">
        <v>0</v>
      </c>
      <c r="BF96" s="5" t="n">
        <v>0.554</v>
      </c>
      <c r="BG96" s="5" t="n">
        <v>0</v>
      </c>
      <c r="BH96" s="5" t="n">
        <v>1</v>
      </c>
      <c r="BI96" s="5" t="n">
        <v>0.5570000000000001</v>
      </c>
      <c r="BJ96" s="5" t="n">
        <v>0.129</v>
      </c>
      <c r="BK96" s="5" t="n">
        <v>0</v>
      </c>
      <c r="BL96" s="5" t="n">
        <v>0.5570000000000001</v>
      </c>
      <c r="BM96" s="5" t="n">
        <v>0</v>
      </c>
      <c r="BN96" s="5" t="n">
        <v>1</v>
      </c>
      <c r="BO96" s="5" t="n">
        <v>0</v>
      </c>
      <c r="BP96" s="5" t="n">
        <v>0</v>
      </c>
      <c r="BQ96" s="5" t="n">
        <v>0.265</v>
      </c>
      <c r="BR96" s="5" t="n">
        <v>0</v>
      </c>
      <c r="BS96" s="5" t="n">
        <v>0.833</v>
      </c>
      <c r="BT96" s="5" t="n">
        <v>0</v>
      </c>
      <c r="BU96" s="5" t="n">
        <v>0</v>
      </c>
      <c r="BV96" s="5" t="n">
        <v>0.44</v>
      </c>
      <c r="BW96" s="5" t="n">
        <v>0</v>
      </c>
      <c r="BX96" s="5" t="n">
        <v>1</v>
      </c>
      <c r="BY96" s="5" t="n">
        <v>13.254</v>
      </c>
      <c r="BZ96" s="5" t="n">
        <v>0</v>
      </c>
      <c r="CA96" s="5" t="n">
        <v>13.254</v>
      </c>
      <c r="CB96" s="5" t="n">
        <v>0</v>
      </c>
      <c r="CC96" s="5" t="n">
        <v>83.248</v>
      </c>
      <c r="CD96" s="5" t="n">
        <v>7.95</v>
      </c>
      <c r="CE96" s="5" t="n">
        <v>0</v>
      </c>
      <c r="CF96" s="5" t="n">
        <v>83.248</v>
      </c>
      <c r="CG96" s="5" t="n">
        <v>0</v>
      </c>
      <c r="CH96" s="5" t="n">
        <v>1</v>
      </c>
      <c r="CI96" s="5" t="n">
        <v>0</v>
      </c>
      <c r="CJ96" s="5" t="n">
        <v>0</v>
      </c>
      <c r="CK96" s="5" t="n">
        <v>0</v>
      </c>
      <c r="CL96" s="5" t="n">
        <v>0</v>
      </c>
      <c r="CM96" s="5" t="n">
        <v>0</v>
      </c>
      <c r="CN96" s="5" t="n">
        <v>0</v>
      </c>
      <c r="CO96" s="5" t="n">
        <v>0</v>
      </c>
      <c r="CP96" s="5" t="n">
        <v>0</v>
      </c>
      <c r="CQ96" s="5" t="n">
        <v>1.348</v>
      </c>
      <c r="CR96" s="5" t="n">
        <v>0</v>
      </c>
      <c r="CS96" s="5" t="n">
        <v>2.532</v>
      </c>
      <c r="CT96" s="5" t="n">
        <v>2.943</v>
      </c>
      <c r="CU96" s="5" t="n">
        <v>2.532</v>
      </c>
    </row>
    <row r="97">
      <c r="A97" s="5" t="inlineStr">
        <is>
          <t>BMU2024</t>
        </is>
      </c>
      <c r="B97" s="5" t="inlineStr">
        <is>
          <t>BMU</t>
        </is>
      </c>
      <c r="C97" s="5" t="inlineStr">
        <is>
          <t>BMU</t>
        </is>
      </c>
      <c r="D97" s="5" t="inlineStr">
        <is>
          <t>Bermuda</t>
        </is>
      </c>
      <c r="E97" s="5" t="n">
        <v>2024</v>
      </c>
      <c r="F97" s="5" t="n">
        <v>0</v>
      </c>
      <c r="G97" s="5" t="n">
        <v>3.627</v>
      </c>
      <c r="H97" s="5" t="n">
        <v>1.324</v>
      </c>
      <c r="I97" s="5" t="n">
        <v>0</v>
      </c>
      <c r="J97" s="5" t="n">
        <v>3.627</v>
      </c>
      <c r="K97" s="5" t="n">
        <v>0</v>
      </c>
      <c r="L97" s="5" t="n">
        <v>1</v>
      </c>
      <c r="M97" s="5" t="n">
        <v>7.124</v>
      </c>
      <c r="N97" s="5" t="n">
        <v>3.971</v>
      </c>
      <c r="O97" s="5" t="n">
        <v>0</v>
      </c>
      <c r="P97" s="5" t="n">
        <v>7.124</v>
      </c>
      <c r="Q97" s="5" t="n">
        <v>0</v>
      </c>
      <c r="R97" s="5" t="n">
        <v>1</v>
      </c>
      <c r="S97" s="5" t="n">
        <v>10.245</v>
      </c>
      <c r="T97" s="5" t="n">
        <v>7.942</v>
      </c>
      <c r="U97" s="5" t="n">
        <v>0</v>
      </c>
      <c r="V97" s="5" t="n">
        <v>10.245</v>
      </c>
      <c r="W97" s="5" t="n">
        <v>0</v>
      </c>
      <c r="X97" s="5" t="n">
        <v>1</v>
      </c>
      <c r="Y97" s="5" t="n">
        <v>3.615</v>
      </c>
      <c r="Z97" s="5" t="n">
        <v>0.845</v>
      </c>
      <c r="AA97" s="5" t="n">
        <v>0</v>
      </c>
      <c r="AB97" s="5" t="n">
        <v>3.615</v>
      </c>
      <c r="AC97" s="5" t="n">
        <v>0</v>
      </c>
      <c r="AD97" s="5" t="n">
        <v>1</v>
      </c>
      <c r="AE97" s="5" t="n">
        <v>4.939</v>
      </c>
      <c r="AF97" s="5" t="n">
        <v>1.845</v>
      </c>
      <c r="AG97" s="5" t="n">
        <v>0</v>
      </c>
      <c r="AH97" s="5" t="n">
        <v>4.939</v>
      </c>
      <c r="AI97" s="5" t="n">
        <v>0</v>
      </c>
      <c r="AJ97" s="5" t="n">
        <v>1</v>
      </c>
      <c r="AK97" s="5" t="n">
        <v>12.881</v>
      </c>
      <c r="AL97" s="5" t="n">
        <v>8.906000000000001</v>
      </c>
      <c r="AM97" s="5" t="n">
        <v>0</v>
      </c>
      <c r="AN97" s="5" t="n">
        <v>12.881</v>
      </c>
      <c r="AO97" s="5" t="n">
        <v>0</v>
      </c>
      <c r="AP97" s="5" t="n">
        <v>1</v>
      </c>
      <c r="AQ97" s="5" t="n">
        <v>0.756</v>
      </c>
      <c r="AR97" s="5" t="n">
        <v>0.132</v>
      </c>
      <c r="AS97" s="5" t="n">
        <v>0</v>
      </c>
      <c r="AT97" s="5" t="n">
        <v>0.756</v>
      </c>
      <c r="AU97" s="5" t="n">
        <v>0</v>
      </c>
      <c r="AV97" s="5" t="n">
        <v>1</v>
      </c>
      <c r="AW97" s="5" t="n">
        <v>0.655</v>
      </c>
      <c r="AX97" s="5" t="n">
        <v>0.132</v>
      </c>
      <c r="AY97" s="5" t="n">
        <v>0</v>
      </c>
      <c r="AZ97" s="5" t="n">
        <v>0.655</v>
      </c>
      <c r="BA97" s="5" t="n">
        <v>0</v>
      </c>
      <c r="BB97" s="5" t="n">
        <v>1</v>
      </c>
      <c r="BC97" s="5" t="n">
        <v>0.534</v>
      </c>
      <c r="BD97" s="5" t="n">
        <v>0.132</v>
      </c>
      <c r="BE97" s="5" t="n">
        <v>0</v>
      </c>
      <c r="BF97" s="5" t="n">
        <v>0.534</v>
      </c>
      <c r="BG97" s="5" t="n">
        <v>0</v>
      </c>
      <c r="BH97" s="5" t="n">
        <v>1</v>
      </c>
      <c r="BI97" s="5" t="n">
        <v>0.5679999999999999</v>
      </c>
      <c r="BJ97" s="5" t="n">
        <v>0.132</v>
      </c>
      <c r="BK97" s="5" t="n">
        <v>0</v>
      </c>
      <c r="BL97" s="5" t="n">
        <v>0.5679999999999999</v>
      </c>
      <c r="BM97" s="5" t="n">
        <v>0</v>
      </c>
      <c r="BN97" s="5" t="n">
        <v>1</v>
      </c>
      <c r="BO97" s="5" t="n">
        <v>0</v>
      </c>
      <c r="BP97" s="5" t="n">
        <v>0</v>
      </c>
      <c r="BQ97" s="5" t="n">
        <v>0.279</v>
      </c>
      <c r="BR97" s="5" t="n">
        <v>0</v>
      </c>
      <c r="BS97" s="5" t="n">
        <v>0.833</v>
      </c>
      <c r="BT97" s="5" t="n">
        <v>0</v>
      </c>
      <c r="BU97" s="5" t="n">
        <v>0</v>
      </c>
      <c r="BV97" s="5" t="n">
        <v>0.47</v>
      </c>
      <c r="BW97" s="5" t="n">
        <v>0</v>
      </c>
      <c r="BX97" s="5" t="n">
        <v>1</v>
      </c>
      <c r="BY97" s="5" t="n">
        <v>13.646</v>
      </c>
      <c r="BZ97" s="5" t="n">
        <v>0</v>
      </c>
      <c r="CA97" s="5" t="n">
        <v>13.646</v>
      </c>
      <c r="CB97" s="5" t="n">
        <v>0</v>
      </c>
      <c r="CC97" s="5" t="n">
        <v>82.58799999999999</v>
      </c>
      <c r="CD97" s="5" t="n">
        <v>7.95</v>
      </c>
      <c r="CE97" s="5" t="n">
        <v>0</v>
      </c>
      <c r="CF97" s="5" t="n">
        <v>82.58799999999999</v>
      </c>
      <c r="CG97" s="5" t="n">
        <v>0</v>
      </c>
      <c r="CH97" s="5" t="n">
        <v>1</v>
      </c>
      <c r="CI97" s="5" t="n">
        <v>0</v>
      </c>
      <c r="CJ97" s="5" t="n">
        <v>0</v>
      </c>
      <c r="CK97" s="5" t="n">
        <v>0</v>
      </c>
      <c r="CL97" s="5" t="n">
        <v>0</v>
      </c>
      <c r="CM97" s="5" t="n">
        <v>0</v>
      </c>
      <c r="CN97" s="5" t="n">
        <v>0</v>
      </c>
      <c r="CO97" s="5" t="n">
        <v>0</v>
      </c>
      <c r="CP97" s="5" t="n">
        <v>0</v>
      </c>
      <c r="CQ97" s="5" t="n">
        <v>1.387</v>
      </c>
      <c r="CR97" s="5" t="n">
        <v>0</v>
      </c>
      <c r="CS97" s="5" t="n">
        <v>2.292</v>
      </c>
      <c r="CT97" s="5" t="n">
        <v>2.303</v>
      </c>
      <c r="CU97" s="5" t="n">
        <v>2.292</v>
      </c>
    </row>
    <row r="98">
      <c r="A98" s="5" t="inlineStr">
        <is>
          <t>BTN2021</t>
        </is>
      </c>
      <c r="B98" s="5" t="inlineStr">
        <is>
          <t>BTN</t>
        </is>
      </c>
      <c r="C98" s="5" t="inlineStr">
        <is>
          <t>BTN</t>
        </is>
      </c>
      <c r="D98" s="5" t="inlineStr">
        <is>
          <t>Bhutan</t>
        </is>
      </c>
      <c r="E98" s="5" t="n">
        <v>2021</v>
      </c>
      <c r="F98" s="5" t="n">
        <v>0.1</v>
      </c>
      <c r="G98" s="5" t="n">
        <v>4.747</v>
      </c>
      <c r="H98" s="5" t="n">
        <v>1.143</v>
      </c>
      <c r="I98" s="5" t="n">
        <v>0</v>
      </c>
      <c r="J98" s="5" t="n">
        <v>4.747</v>
      </c>
      <c r="K98" s="5" t="n">
        <v>0</v>
      </c>
      <c r="L98" s="5" t="n">
        <v>1</v>
      </c>
      <c r="M98" s="5" t="n">
        <v>7.964</v>
      </c>
      <c r="N98" s="5" t="n">
        <v>3.43</v>
      </c>
      <c r="O98" s="5" t="n">
        <v>0</v>
      </c>
      <c r="P98" s="5" t="n">
        <v>7.964</v>
      </c>
      <c r="Q98" s="5" t="n">
        <v>0</v>
      </c>
      <c r="R98" s="5" t="n">
        <v>1</v>
      </c>
      <c r="S98" s="5" t="n">
        <v>10.464</v>
      </c>
      <c r="T98" s="5" t="n">
        <v>6.86</v>
      </c>
      <c r="U98" s="5" t="n">
        <v>0</v>
      </c>
      <c r="V98" s="5" t="n">
        <v>11.51</v>
      </c>
      <c r="W98" s="5" t="n">
        <v>0.1</v>
      </c>
      <c r="X98" s="5" t="n">
        <v>1</v>
      </c>
      <c r="Y98" s="5" t="n">
        <v>17.987</v>
      </c>
      <c r="Z98" s="5" t="n">
        <v>2.1</v>
      </c>
      <c r="AA98" s="5" t="n">
        <v>0</v>
      </c>
      <c r="AB98" s="5" t="n">
        <v>17.987</v>
      </c>
      <c r="AC98" s="5" t="n">
        <v>0</v>
      </c>
      <c r="AD98" s="5" t="n">
        <v>1</v>
      </c>
      <c r="AE98" s="5" t="n">
        <v>19.13</v>
      </c>
      <c r="AF98" s="5" t="n">
        <v>3.956</v>
      </c>
      <c r="AG98" s="5" t="n">
        <v>0</v>
      </c>
      <c r="AH98" s="5" t="n">
        <v>19.13</v>
      </c>
      <c r="AI98" s="5" t="n">
        <v>0</v>
      </c>
      <c r="AJ98" s="5" t="n">
        <v>1</v>
      </c>
      <c r="AK98" s="5" t="n">
        <v>25.99</v>
      </c>
      <c r="AL98" s="5" t="n">
        <v>12.953</v>
      </c>
      <c r="AM98" s="5" t="n">
        <v>0</v>
      </c>
      <c r="AN98" s="5" t="n">
        <v>28.589</v>
      </c>
      <c r="AO98" s="5" t="n">
        <v>0.1</v>
      </c>
      <c r="AP98" s="5" t="n">
        <v>1</v>
      </c>
      <c r="AQ98" s="5" t="n">
        <v>0.621</v>
      </c>
      <c r="AR98" s="5" t="n">
        <v>0.114</v>
      </c>
      <c r="AS98" s="5" t="n">
        <v>0.533</v>
      </c>
      <c r="AT98" s="5" t="n">
        <v>1.269</v>
      </c>
      <c r="AU98" s="5" t="n">
        <v>0.1</v>
      </c>
      <c r="AV98" s="5" t="n">
        <v>1</v>
      </c>
      <c r="AW98" s="5" t="n">
        <v>0.593</v>
      </c>
      <c r="AX98" s="5" t="n">
        <v>0.114</v>
      </c>
      <c r="AY98" s="5" t="n">
        <v>0.335</v>
      </c>
      <c r="AZ98" s="5" t="n">
        <v>1.021</v>
      </c>
      <c r="BA98" s="5" t="n">
        <v>0.1</v>
      </c>
      <c r="BB98" s="5" t="n">
        <v>1</v>
      </c>
      <c r="BC98" s="5" t="n">
        <v>0.44</v>
      </c>
      <c r="BD98" s="5" t="n">
        <v>0.114</v>
      </c>
      <c r="BE98" s="5" t="n">
        <v>0</v>
      </c>
      <c r="BF98" s="5" t="n">
        <v>0.484</v>
      </c>
      <c r="BG98" s="5" t="n">
        <v>0.1</v>
      </c>
      <c r="BH98" s="5" t="n">
        <v>1</v>
      </c>
      <c r="BI98" s="5" t="n">
        <v>0.5600000000000001</v>
      </c>
      <c r="BJ98" s="5" t="n">
        <v>0.114</v>
      </c>
      <c r="BK98" s="5" t="n">
        <v>0</v>
      </c>
      <c r="BL98" s="5" t="n">
        <v>0.616</v>
      </c>
      <c r="BM98" s="5" t="n">
        <v>0.1</v>
      </c>
      <c r="BN98" s="5" t="n">
        <v>1</v>
      </c>
      <c r="BO98" s="5" t="n">
        <v>0</v>
      </c>
      <c r="BP98" s="5" t="n">
        <v>0</v>
      </c>
      <c r="BQ98" s="5" t="n">
        <v>0.035</v>
      </c>
      <c r="BR98" s="5" t="n">
        <v>0</v>
      </c>
      <c r="BS98" s="5" t="n">
        <v>1</v>
      </c>
      <c r="BT98" s="5" t="n">
        <v>0</v>
      </c>
      <c r="BU98" s="5" t="n">
        <v>0</v>
      </c>
      <c r="BV98" s="5" t="n">
        <v>0.017</v>
      </c>
      <c r="BW98" s="5" t="n">
        <v>0.1</v>
      </c>
      <c r="BX98" s="5" t="n">
        <v>0.833</v>
      </c>
      <c r="BY98" s="5" t="n">
        <v>11.787</v>
      </c>
      <c r="BZ98" s="5" t="n">
        <v>0</v>
      </c>
      <c r="CA98" s="5" t="n">
        <v>11.787</v>
      </c>
      <c r="CB98" s="5" t="n">
        <v>0</v>
      </c>
      <c r="CC98" s="5" t="n">
        <v>81.69499999999999</v>
      </c>
      <c r="CD98" s="5" t="n">
        <v>7.95</v>
      </c>
      <c r="CE98" s="5" t="n">
        <v>0</v>
      </c>
      <c r="CF98" s="5" t="n">
        <v>89.86499999999999</v>
      </c>
      <c r="CG98" s="5" t="n">
        <v>0.1</v>
      </c>
      <c r="CH98" s="5" t="n">
        <v>1</v>
      </c>
      <c r="CI98" s="5" t="n">
        <v>0</v>
      </c>
      <c r="CJ98" s="5" t="n">
        <v>0</v>
      </c>
      <c r="CK98" s="5" t="n">
        <v>0</v>
      </c>
      <c r="CL98" s="5" t="n">
        <v>0</v>
      </c>
      <c r="CM98" s="5" t="n">
        <v>0</v>
      </c>
      <c r="CN98" s="5" t="n">
        <v>0</v>
      </c>
      <c r="CO98" s="5" t="n">
        <v>0</v>
      </c>
      <c r="CP98" s="5" t="n">
        <v>0</v>
      </c>
      <c r="CQ98" s="5" t="n">
        <v>1.198</v>
      </c>
      <c r="CR98" s="5" t="n">
        <v>0</v>
      </c>
      <c r="CS98" s="5" t="n">
        <v>4.776</v>
      </c>
      <c r="CT98" s="5" t="n">
        <v>3.604</v>
      </c>
      <c r="CU98" s="5" t="n">
        <v>16.843</v>
      </c>
    </row>
    <row r="99">
      <c r="A99" s="5" t="inlineStr">
        <is>
          <t>BTN2022</t>
        </is>
      </c>
      <c r="B99" s="5" t="inlineStr">
        <is>
          <t>BTN</t>
        </is>
      </c>
      <c r="C99" s="5" t="inlineStr">
        <is>
          <t>BTN</t>
        </is>
      </c>
      <c r="D99" s="5" t="inlineStr">
        <is>
          <t>Bhutan</t>
        </is>
      </c>
      <c r="E99" s="5" t="n">
        <v>2022</v>
      </c>
      <c r="F99" s="5" t="n">
        <v>0.1</v>
      </c>
      <c r="G99" s="5" t="n">
        <v>8.788</v>
      </c>
      <c r="H99" s="5" t="n">
        <v>1.235</v>
      </c>
      <c r="I99" s="5" t="n">
        <v>0</v>
      </c>
      <c r="J99" s="5" t="n">
        <v>8.788</v>
      </c>
      <c r="K99" s="5" t="n">
        <v>0</v>
      </c>
      <c r="L99" s="5" t="n">
        <v>1</v>
      </c>
      <c r="M99" s="5" t="n">
        <v>9.782999999999999</v>
      </c>
      <c r="N99" s="5" t="n">
        <v>3.704</v>
      </c>
      <c r="O99" s="5" t="n">
        <v>0</v>
      </c>
      <c r="P99" s="5" t="n">
        <v>9.782999999999999</v>
      </c>
      <c r="Q99" s="5" t="n">
        <v>0</v>
      </c>
      <c r="R99" s="5" t="n">
        <v>1</v>
      </c>
      <c r="S99" s="5" t="n">
        <v>14.962</v>
      </c>
      <c r="T99" s="5" t="n">
        <v>7.408</v>
      </c>
      <c r="U99" s="5" t="n">
        <v>0.111</v>
      </c>
      <c r="V99" s="5" t="n">
        <v>16.458</v>
      </c>
      <c r="W99" s="5" t="n">
        <v>0.1</v>
      </c>
      <c r="X99" s="5" t="n">
        <v>1</v>
      </c>
      <c r="Y99" s="5" t="n">
        <v>31.383</v>
      </c>
      <c r="Z99" s="5" t="n">
        <v>3.665</v>
      </c>
      <c r="AA99" s="5" t="n">
        <v>0</v>
      </c>
      <c r="AB99" s="5" t="n">
        <v>31.383</v>
      </c>
      <c r="AC99" s="5" t="n">
        <v>0</v>
      </c>
      <c r="AD99" s="5" t="n">
        <v>1</v>
      </c>
      <c r="AE99" s="5" t="n">
        <v>32.618</v>
      </c>
      <c r="AF99" s="5" t="n">
        <v>6.745</v>
      </c>
      <c r="AG99" s="5" t="n">
        <v>0</v>
      </c>
      <c r="AH99" s="5" t="n">
        <v>32.618</v>
      </c>
      <c r="AI99" s="5" t="n">
        <v>0</v>
      </c>
      <c r="AJ99" s="5" t="n">
        <v>1</v>
      </c>
      <c r="AK99" s="5" t="n">
        <v>40.026</v>
      </c>
      <c r="AL99" s="5" t="n">
        <v>19.948</v>
      </c>
      <c r="AM99" s="5" t="n">
        <v>0.296</v>
      </c>
      <c r="AN99" s="5" t="n">
        <v>44.029</v>
      </c>
      <c r="AO99" s="5" t="n">
        <v>0.1</v>
      </c>
      <c r="AP99" s="5" t="n">
        <v>1</v>
      </c>
      <c r="AQ99" s="5" t="n">
        <v>0.847</v>
      </c>
      <c r="AR99" s="5" t="n">
        <v>0.123</v>
      </c>
      <c r="AS99" s="5" t="n">
        <v>0.57</v>
      </c>
      <c r="AT99" s="5" t="n">
        <v>1.547</v>
      </c>
      <c r="AU99" s="5" t="n">
        <v>0.1</v>
      </c>
      <c r="AV99" s="5" t="n">
        <v>1</v>
      </c>
      <c r="AW99" s="5" t="n">
        <v>0.947</v>
      </c>
      <c r="AX99" s="5" t="n">
        <v>0.123</v>
      </c>
      <c r="AY99" s="5" t="n">
        <v>0.343</v>
      </c>
      <c r="AZ99" s="5" t="n">
        <v>1.409</v>
      </c>
      <c r="BA99" s="5" t="n">
        <v>0.1</v>
      </c>
      <c r="BB99" s="5" t="n">
        <v>1</v>
      </c>
      <c r="BC99" s="5" t="n">
        <v>0.589</v>
      </c>
      <c r="BD99" s="5" t="n">
        <v>0.123</v>
      </c>
      <c r="BE99" s="5" t="n">
        <v>0.004</v>
      </c>
      <c r="BF99" s="5" t="n">
        <v>0.647</v>
      </c>
      <c r="BG99" s="5" t="n">
        <v>0.1</v>
      </c>
      <c r="BH99" s="5" t="n">
        <v>1</v>
      </c>
      <c r="BI99" s="5" t="n">
        <v>0.6889999999999999</v>
      </c>
      <c r="BJ99" s="5" t="n">
        <v>0.123</v>
      </c>
      <c r="BK99" s="5" t="n">
        <v>0.005</v>
      </c>
      <c r="BL99" s="5" t="n">
        <v>0.758</v>
      </c>
      <c r="BM99" s="5" t="n">
        <v>0.1</v>
      </c>
      <c r="BN99" s="5" t="n">
        <v>1</v>
      </c>
      <c r="BO99" s="5" t="n">
        <v>0</v>
      </c>
      <c r="BP99" s="5" t="n">
        <v>0</v>
      </c>
      <c r="BQ99" s="5" t="n">
        <v>0.031</v>
      </c>
      <c r="BR99" s="5" t="n">
        <v>0</v>
      </c>
      <c r="BS99" s="5" t="n">
        <v>1</v>
      </c>
      <c r="BT99" s="5" t="n">
        <v>0</v>
      </c>
      <c r="BU99" s="5" t="n">
        <v>0</v>
      </c>
      <c r="BV99" s="5" t="n">
        <v>0.016</v>
      </c>
      <c r="BW99" s="5" t="n">
        <v>0.1</v>
      </c>
      <c r="BX99" s="5" t="n">
        <v>0.833</v>
      </c>
      <c r="BY99" s="5" t="n">
        <v>12.729</v>
      </c>
      <c r="BZ99" s="5" t="n">
        <v>0</v>
      </c>
      <c r="CA99" s="5" t="n">
        <v>12.729</v>
      </c>
      <c r="CB99" s="5" t="n">
        <v>0</v>
      </c>
      <c r="CC99" s="5" t="n">
        <v>102.477</v>
      </c>
      <c r="CD99" s="5" t="n">
        <v>7.95</v>
      </c>
      <c r="CE99" s="5" t="n">
        <v>0.758</v>
      </c>
      <c r="CF99" s="5" t="n">
        <v>112.724</v>
      </c>
      <c r="CG99" s="5" t="n">
        <v>0.1</v>
      </c>
      <c r="CH99" s="5" t="n">
        <v>1</v>
      </c>
      <c r="CI99" s="5" t="n">
        <v>0</v>
      </c>
      <c r="CJ99" s="5" t="n">
        <v>0</v>
      </c>
      <c r="CK99" s="5" t="n">
        <v>0</v>
      </c>
      <c r="CL99" s="5" t="n">
        <v>0</v>
      </c>
      <c r="CM99" s="5" t="n">
        <v>0</v>
      </c>
      <c r="CN99" s="5" t="n">
        <v>0</v>
      </c>
      <c r="CO99" s="5" t="n">
        <v>0</v>
      </c>
      <c r="CP99" s="5" t="n">
        <v>0</v>
      </c>
      <c r="CQ99" s="5" t="n">
        <v>1.294</v>
      </c>
      <c r="CR99" s="5" t="n">
        <v>0</v>
      </c>
      <c r="CS99" s="5" t="n">
        <v>5.158</v>
      </c>
      <c r="CT99" s="5" t="n">
        <v>7.554</v>
      </c>
      <c r="CU99" s="5" t="n">
        <v>30.149</v>
      </c>
    </row>
    <row r="100">
      <c r="A100" s="5" t="inlineStr">
        <is>
          <t>BTN2023</t>
        </is>
      </c>
      <c r="B100" s="5" t="inlineStr">
        <is>
          <t>BTN</t>
        </is>
      </c>
      <c r="C100" s="5" t="inlineStr">
        <is>
          <t>BTN</t>
        </is>
      </c>
      <c r="D100" s="5" t="inlineStr">
        <is>
          <t>Bhutan</t>
        </is>
      </c>
      <c r="E100" s="5" t="n">
        <v>2023</v>
      </c>
      <c r="F100" s="5" t="n">
        <v>0.1</v>
      </c>
      <c r="G100" s="5" t="n">
        <v>5.77</v>
      </c>
      <c r="H100" s="5" t="n">
        <v>1.286</v>
      </c>
      <c r="I100" s="5" t="n">
        <v>0</v>
      </c>
      <c r="J100" s="5" t="n">
        <v>5.77</v>
      </c>
      <c r="K100" s="5" t="n">
        <v>0</v>
      </c>
      <c r="L100" s="5" t="n">
        <v>1</v>
      </c>
      <c r="M100" s="5" t="n">
        <v>7.886</v>
      </c>
      <c r="N100" s="5" t="n">
        <v>3.857</v>
      </c>
      <c r="O100" s="5" t="n">
        <v>0</v>
      </c>
      <c r="P100" s="5" t="n">
        <v>7.886</v>
      </c>
      <c r="Q100" s="5" t="n">
        <v>0</v>
      </c>
      <c r="R100" s="5" t="n">
        <v>1</v>
      </c>
      <c r="S100" s="5" t="n">
        <v>12.198</v>
      </c>
      <c r="T100" s="5" t="n">
        <v>7.714</v>
      </c>
      <c r="U100" s="5" t="n">
        <v>0.135</v>
      </c>
      <c r="V100" s="5" t="n">
        <v>13.418</v>
      </c>
      <c r="W100" s="5" t="n">
        <v>0.1</v>
      </c>
      <c r="X100" s="5" t="n">
        <v>1</v>
      </c>
      <c r="Y100" s="5" t="n">
        <v>13.678</v>
      </c>
      <c r="Z100" s="5" t="n">
        <v>1.597</v>
      </c>
      <c r="AA100" s="5" t="n">
        <v>0</v>
      </c>
      <c r="AB100" s="5" t="n">
        <v>13.678</v>
      </c>
      <c r="AC100" s="5" t="n">
        <v>0</v>
      </c>
      <c r="AD100" s="5" t="n">
        <v>1</v>
      </c>
      <c r="AE100" s="5" t="n">
        <v>14.963</v>
      </c>
      <c r="AF100" s="5" t="n">
        <v>3.094</v>
      </c>
      <c r="AG100" s="5" t="n">
        <v>0</v>
      </c>
      <c r="AH100" s="5" t="n">
        <v>14.963</v>
      </c>
      <c r="AI100" s="5" t="n">
        <v>0</v>
      </c>
      <c r="AJ100" s="5" t="n">
        <v>1</v>
      </c>
      <c r="AK100" s="5" t="n">
        <v>22.677</v>
      </c>
      <c r="AL100" s="5" t="n">
        <v>11.302</v>
      </c>
      <c r="AM100" s="5" t="n">
        <v>0.251</v>
      </c>
      <c r="AN100" s="5" t="n">
        <v>24.945</v>
      </c>
      <c r="AO100" s="5" t="n">
        <v>0.1</v>
      </c>
      <c r="AP100" s="5" t="n">
        <v>1</v>
      </c>
      <c r="AQ100" s="5" t="n">
        <v>0.749</v>
      </c>
      <c r="AR100" s="5" t="n">
        <v>0.129</v>
      </c>
      <c r="AS100" s="5" t="n">
        <v>0.609</v>
      </c>
      <c r="AT100" s="5" t="n">
        <v>1.478</v>
      </c>
      <c r="AU100" s="5" t="n">
        <v>0.1</v>
      </c>
      <c r="AV100" s="5" t="n">
        <v>1</v>
      </c>
      <c r="AW100" s="5" t="n">
        <v>0.783</v>
      </c>
      <c r="AX100" s="5" t="n">
        <v>0.129</v>
      </c>
      <c r="AY100" s="5" t="n">
        <v>0.379</v>
      </c>
      <c r="AZ100" s="5" t="n">
        <v>1.264</v>
      </c>
      <c r="BA100" s="5" t="n">
        <v>0.1</v>
      </c>
      <c r="BB100" s="5" t="n">
        <v>1</v>
      </c>
      <c r="BC100" s="5" t="n">
        <v>0.527</v>
      </c>
      <c r="BD100" s="5" t="n">
        <v>0.129</v>
      </c>
      <c r="BE100" s="5" t="n">
        <v>0.006</v>
      </c>
      <c r="BF100" s="5" t="n">
        <v>0.58</v>
      </c>
      <c r="BG100" s="5" t="n">
        <v>0.1</v>
      </c>
      <c r="BH100" s="5" t="n">
        <v>1</v>
      </c>
      <c r="BI100" s="5" t="n">
        <v>0.64</v>
      </c>
      <c r="BJ100" s="5" t="n">
        <v>0.129</v>
      </c>
      <c r="BK100" s="5" t="n">
        <v>0.007</v>
      </c>
      <c r="BL100" s="5" t="n">
        <v>0.704</v>
      </c>
      <c r="BM100" s="5" t="n">
        <v>0.1</v>
      </c>
      <c r="BN100" s="5" t="n">
        <v>1</v>
      </c>
      <c r="BO100" s="5" t="n">
        <v>0</v>
      </c>
      <c r="BP100" s="5" t="n">
        <v>0</v>
      </c>
      <c r="BQ100" s="5" t="n">
        <v>0.02</v>
      </c>
      <c r="BR100" s="5" t="n">
        <v>0</v>
      </c>
      <c r="BS100" s="5" t="n">
        <v>1</v>
      </c>
      <c r="BT100" s="5" t="n">
        <v>0</v>
      </c>
      <c r="BU100" s="5" t="n">
        <v>0</v>
      </c>
      <c r="BV100" s="5" t="n">
        <v>0.015</v>
      </c>
      <c r="BW100" s="5" t="n">
        <v>0.1</v>
      </c>
      <c r="BX100" s="5" t="n">
        <v>0.833</v>
      </c>
      <c r="BY100" s="5" t="n">
        <v>13.254</v>
      </c>
      <c r="BZ100" s="5" t="n">
        <v>0</v>
      </c>
      <c r="CA100" s="5" t="n">
        <v>13.254</v>
      </c>
      <c r="CB100" s="5" t="n">
        <v>0</v>
      </c>
      <c r="CC100" s="5" t="n">
        <v>87.07899999999999</v>
      </c>
      <c r="CD100" s="5" t="n">
        <v>7.95</v>
      </c>
      <c r="CE100" s="5" t="n">
        <v>0.964</v>
      </c>
      <c r="CF100" s="5" t="n">
        <v>95.78700000000001</v>
      </c>
      <c r="CG100" s="5" t="n">
        <v>0.1</v>
      </c>
      <c r="CH100" s="5" t="n">
        <v>1</v>
      </c>
      <c r="CI100" s="5" t="n">
        <v>0</v>
      </c>
      <c r="CJ100" s="5" t="n">
        <v>0</v>
      </c>
      <c r="CK100" s="5" t="n">
        <v>0</v>
      </c>
      <c r="CL100" s="5" t="n">
        <v>0</v>
      </c>
      <c r="CM100" s="5" t="n">
        <v>0</v>
      </c>
      <c r="CN100" s="5" t="n">
        <v>0</v>
      </c>
      <c r="CO100" s="5" t="n">
        <v>0</v>
      </c>
      <c r="CP100" s="5" t="n">
        <v>0</v>
      </c>
      <c r="CQ100" s="5" t="n">
        <v>1.348</v>
      </c>
      <c r="CR100" s="5" t="n">
        <v>0</v>
      </c>
      <c r="CS100" s="5" t="n">
        <v>5.37</v>
      </c>
      <c r="CT100" s="5" t="n">
        <v>4.484</v>
      </c>
      <c r="CU100" s="5" t="n">
        <v>12.392</v>
      </c>
    </row>
    <row r="101">
      <c r="A101" s="5" t="inlineStr">
        <is>
          <t>BTN2024</t>
        </is>
      </c>
      <c r="B101" s="5" t="inlineStr">
        <is>
          <t>BTN</t>
        </is>
      </c>
      <c r="C101" s="5" t="inlineStr">
        <is>
          <t>BTN</t>
        </is>
      </c>
      <c r="D101" s="5" t="inlineStr">
        <is>
          <t>Bhutan</t>
        </is>
      </c>
      <c r="E101" s="5" t="n">
        <v>2024</v>
      </c>
      <c r="F101" s="5" t="n">
        <v>0.1</v>
      </c>
      <c r="G101" s="5" t="n">
        <v>4.833</v>
      </c>
      <c r="H101" s="5" t="n">
        <v>1.324</v>
      </c>
      <c r="I101" s="5" t="n">
        <v>0</v>
      </c>
      <c r="J101" s="5" t="n">
        <v>4.833</v>
      </c>
      <c r="K101" s="5" t="n">
        <v>0</v>
      </c>
      <c r="L101" s="5" t="n">
        <v>1</v>
      </c>
      <c r="M101" s="5" t="n">
        <v>7.124</v>
      </c>
      <c r="N101" s="5" t="n">
        <v>3.971</v>
      </c>
      <c r="O101" s="5" t="n">
        <v>0</v>
      </c>
      <c r="P101" s="5" t="n">
        <v>7.124</v>
      </c>
      <c r="Q101" s="5" t="n">
        <v>0</v>
      </c>
      <c r="R101" s="5" t="n">
        <v>1</v>
      </c>
      <c r="S101" s="5" t="n">
        <v>11.451</v>
      </c>
      <c r="T101" s="5" t="n">
        <v>7.942</v>
      </c>
      <c r="U101" s="5" t="n">
        <v>0.156</v>
      </c>
      <c r="V101" s="5" t="n">
        <v>12.596</v>
      </c>
      <c r="W101" s="5" t="n">
        <v>0.1</v>
      </c>
      <c r="X101" s="5" t="n">
        <v>1</v>
      </c>
      <c r="Y101" s="5" t="n">
        <v>12.116</v>
      </c>
      <c r="Z101" s="5" t="n">
        <v>1.415</v>
      </c>
      <c r="AA101" s="5" t="n">
        <v>0</v>
      </c>
      <c r="AB101" s="5" t="n">
        <v>12.116</v>
      </c>
      <c r="AC101" s="5" t="n">
        <v>0</v>
      </c>
      <c r="AD101" s="5" t="n">
        <v>1</v>
      </c>
      <c r="AE101" s="5" t="n">
        <v>13.439</v>
      </c>
      <c r="AF101" s="5" t="n">
        <v>2.779</v>
      </c>
      <c r="AG101" s="5" t="n">
        <v>0</v>
      </c>
      <c r="AH101" s="5" t="n">
        <v>13.439</v>
      </c>
      <c r="AI101" s="5" t="n">
        <v>0</v>
      </c>
      <c r="AJ101" s="5" t="n">
        <v>1</v>
      </c>
      <c r="AK101" s="5" t="n">
        <v>21.381</v>
      </c>
      <c r="AL101" s="5" t="n">
        <v>10.656</v>
      </c>
      <c r="AM101" s="5" t="n">
        <v>0.291</v>
      </c>
      <c r="AN101" s="5" t="n">
        <v>23.519</v>
      </c>
      <c r="AO101" s="5" t="n">
        <v>0.1</v>
      </c>
      <c r="AP101" s="5" t="n">
        <v>1</v>
      </c>
      <c r="AQ101" s="5" t="n">
        <v>0.72</v>
      </c>
      <c r="AR101" s="5" t="n">
        <v>0.132</v>
      </c>
      <c r="AS101" s="5" t="n">
        <v>0.635</v>
      </c>
      <c r="AT101" s="5" t="n">
        <v>1.47</v>
      </c>
      <c r="AU101" s="5" t="n">
        <v>0.1</v>
      </c>
      <c r="AV101" s="5" t="n">
        <v>1</v>
      </c>
      <c r="AW101" s="5" t="n">
        <v>0.734</v>
      </c>
      <c r="AX101" s="5" t="n">
        <v>0.132</v>
      </c>
      <c r="AY101" s="5" t="n">
        <v>0.399</v>
      </c>
      <c r="AZ101" s="5" t="n">
        <v>1.229</v>
      </c>
      <c r="BA101" s="5" t="n">
        <v>0.1</v>
      </c>
      <c r="BB101" s="5" t="n">
        <v>1</v>
      </c>
      <c r="BC101" s="5" t="n">
        <v>0.51</v>
      </c>
      <c r="BD101" s="5" t="n">
        <v>0.132</v>
      </c>
      <c r="BE101" s="5" t="n">
        <v>0.007</v>
      </c>
      <c r="BF101" s="5" t="n">
        <v>0.5610000000000001</v>
      </c>
      <c r="BG101" s="5" t="n">
        <v>0.1</v>
      </c>
      <c r="BH101" s="5" t="n">
        <v>1</v>
      </c>
      <c r="BI101" s="5" t="n">
        <v>0.652</v>
      </c>
      <c r="BJ101" s="5" t="n">
        <v>0.132</v>
      </c>
      <c r="BK101" s="5" t="n">
        <v>0.008999999999999999</v>
      </c>
      <c r="BL101" s="5" t="n">
        <v>0.717</v>
      </c>
      <c r="BM101" s="5" t="n">
        <v>0.1</v>
      </c>
      <c r="BN101" s="5" t="n">
        <v>1</v>
      </c>
      <c r="BO101" s="5" t="n">
        <v>0</v>
      </c>
      <c r="BP101" s="5" t="n">
        <v>0</v>
      </c>
      <c r="BQ101" s="5" t="n">
        <v>0.019</v>
      </c>
      <c r="BR101" s="5" t="n">
        <v>0</v>
      </c>
      <c r="BS101" s="5" t="n">
        <v>1</v>
      </c>
      <c r="BT101" s="5" t="n">
        <v>0</v>
      </c>
      <c r="BU101" s="5" t="n">
        <v>0</v>
      </c>
      <c r="BV101" s="5" t="n">
        <v>0.015</v>
      </c>
      <c r="BW101" s="5" t="n">
        <v>0.1</v>
      </c>
      <c r="BX101" s="5" t="n">
        <v>0.833</v>
      </c>
      <c r="BY101" s="5" t="n">
        <v>13.646</v>
      </c>
      <c r="BZ101" s="5" t="n">
        <v>0</v>
      </c>
      <c r="CA101" s="5" t="n">
        <v>13.646</v>
      </c>
      <c r="CB101" s="5" t="n">
        <v>0</v>
      </c>
      <c r="CC101" s="5" t="n">
        <v>86.38500000000001</v>
      </c>
      <c r="CD101" s="5" t="n">
        <v>7.95</v>
      </c>
      <c r="CE101" s="5" t="n">
        <v>1.177</v>
      </c>
      <c r="CF101" s="5" t="n">
        <v>95.024</v>
      </c>
      <c r="CG101" s="5" t="n">
        <v>0.1</v>
      </c>
      <c r="CH101" s="5" t="n">
        <v>1</v>
      </c>
      <c r="CI101" s="5" t="n">
        <v>0</v>
      </c>
      <c r="CJ101" s="5" t="n">
        <v>0</v>
      </c>
      <c r="CK101" s="5" t="n">
        <v>0</v>
      </c>
      <c r="CL101" s="5" t="n">
        <v>0</v>
      </c>
      <c r="CM101" s="5" t="n">
        <v>0</v>
      </c>
      <c r="CN101" s="5" t="n">
        <v>0</v>
      </c>
      <c r="CO101" s="5" t="n">
        <v>0</v>
      </c>
      <c r="CP101" s="5" t="n">
        <v>0</v>
      </c>
      <c r="CQ101" s="5" t="n">
        <v>1.387</v>
      </c>
      <c r="CR101" s="5" t="n">
        <v>0</v>
      </c>
      <c r="CS101" s="5" t="n">
        <v>5.529</v>
      </c>
      <c r="CT101" s="5" t="n">
        <v>3.509</v>
      </c>
      <c r="CU101" s="5" t="n">
        <v>10.792</v>
      </c>
    </row>
    <row r="102">
      <c r="A102" s="5" t="inlineStr">
        <is>
          <t>BOL2021</t>
        </is>
      </c>
      <c r="B102" s="5" t="inlineStr">
        <is>
          <t>BOL</t>
        </is>
      </c>
      <c r="C102" s="5" t="inlineStr">
        <is>
          <t>BOL</t>
        </is>
      </c>
      <c r="D102" s="5" t="inlineStr">
        <is>
          <t>Bolivia</t>
        </is>
      </c>
      <c r="E102" s="5" t="n">
        <v>2021</v>
      </c>
      <c r="F102" s="5" t="n">
        <v>0.149</v>
      </c>
      <c r="G102" s="5" t="n">
        <v>5.897</v>
      </c>
      <c r="H102" s="5" t="n">
        <v>1.143</v>
      </c>
      <c r="I102" s="5" t="n">
        <v>0.238</v>
      </c>
      <c r="J102" s="5" t="n">
        <v>6.134</v>
      </c>
      <c r="K102" s="5" t="n">
        <v>0</v>
      </c>
      <c r="L102" s="5" t="n">
        <v>1</v>
      </c>
      <c r="M102" s="5" t="n">
        <v>7.964</v>
      </c>
      <c r="N102" s="5" t="n">
        <v>3.43</v>
      </c>
      <c r="O102" s="5" t="n">
        <v>0.227</v>
      </c>
      <c r="P102" s="5" t="n">
        <v>8.191000000000001</v>
      </c>
      <c r="Q102" s="5" t="n">
        <v>0</v>
      </c>
      <c r="R102" s="5" t="n">
        <v>1</v>
      </c>
      <c r="S102" s="5" t="n">
        <v>11.613</v>
      </c>
      <c r="T102" s="5" t="n">
        <v>6.86</v>
      </c>
      <c r="U102" s="5" t="n">
        <v>0.238</v>
      </c>
      <c r="V102" s="5" t="n">
        <v>13.622</v>
      </c>
      <c r="W102" s="5" t="n">
        <v>0.149</v>
      </c>
      <c r="X102" s="5" t="n">
        <v>1</v>
      </c>
      <c r="Y102" s="5" t="n">
        <v>9.832000000000001</v>
      </c>
      <c r="Z102" s="5" t="n">
        <v>1.079</v>
      </c>
      <c r="AA102" s="5" t="n">
        <v>-7.712</v>
      </c>
      <c r="AB102" s="5" t="n">
        <v>2.12</v>
      </c>
      <c r="AC102" s="5" t="n">
        <v>0</v>
      </c>
      <c r="AD102" s="5" t="n">
        <v>0</v>
      </c>
      <c r="AE102" s="5" t="n">
        <v>10.404</v>
      </c>
      <c r="AF102" s="5" t="n">
        <v>2.023</v>
      </c>
      <c r="AG102" s="5" t="n">
        <v>-2.788</v>
      </c>
      <c r="AH102" s="5" t="n">
        <v>7.616</v>
      </c>
      <c r="AI102" s="5" t="n">
        <v>0</v>
      </c>
      <c r="AJ102" s="5" t="n">
        <v>0</v>
      </c>
      <c r="AK102" s="5" t="n">
        <v>13.834</v>
      </c>
      <c r="AL102" s="5" t="n">
        <v>6.526</v>
      </c>
      <c r="AM102" s="5" t="n">
        <v>-6.162</v>
      </c>
      <c r="AN102" s="5" t="n">
        <v>7.671</v>
      </c>
      <c r="AO102" s="5" t="n">
        <v>0</v>
      </c>
      <c r="AP102" s="5" t="n">
        <v>0</v>
      </c>
      <c r="AQ102" s="5" t="n">
        <v>0.649</v>
      </c>
      <c r="AR102" s="5" t="n">
        <v>0.114</v>
      </c>
      <c r="AS102" s="5" t="n">
        <v>-0.175</v>
      </c>
      <c r="AT102" s="5" t="n">
        <v>0.545</v>
      </c>
      <c r="AU102" s="5" t="n">
        <v>0</v>
      </c>
      <c r="AV102" s="5" t="n">
        <v>0</v>
      </c>
      <c r="AW102" s="5" t="n">
        <v>0.577</v>
      </c>
      <c r="AX102" s="5" t="n">
        <v>0.114</v>
      </c>
      <c r="AY102" s="5" t="n">
        <v>-0.105</v>
      </c>
      <c r="AZ102" s="5" t="n">
        <v>0.542</v>
      </c>
      <c r="BA102" s="5" t="n">
        <v>0</v>
      </c>
      <c r="BB102" s="5" t="n">
        <v>0</v>
      </c>
      <c r="BC102" s="5" t="n">
        <v>0.458</v>
      </c>
      <c r="BD102" s="5" t="n">
        <v>0.114</v>
      </c>
      <c r="BE102" s="5" t="n">
        <v>-0.313</v>
      </c>
      <c r="BF102" s="5" t="n">
        <v>0.167</v>
      </c>
      <c r="BG102" s="5" t="n">
        <v>0</v>
      </c>
      <c r="BH102" s="5" t="n">
        <v>0</v>
      </c>
      <c r="BI102" s="5" t="n">
        <v>0.491</v>
      </c>
      <c r="BJ102" s="5" t="n">
        <v>0.114</v>
      </c>
      <c r="BK102" s="5" t="n">
        <v>-0.146</v>
      </c>
      <c r="BL102" s="5" t="n">
        <v>0.397</v>
      </c>
      <c r="BM102" s="5" t="n">
        <v>0</v>
      </c>
      <c r="BN102" s="5" t="n">
        <v>0</v>
      </c>
      <c r="BO102" s="5" t="n">
        <v>0</v>
      </c>
      <c r="BP102" s="5" t="n">
        <v>-0.004</v>
      </c>
      <c r="BQ102" s="5" t="n">
        <v>0.08</v>
      </c>
      <c r="BR102" s="5" t="n">
        <v>0</v>
      </c>
      <c r="BS102" s="5" t="n">
        <v>0.5</v>
      </c>
      <c r="BT102" s="5" t="n">
        <v>0</v>
      </c>
      <c r="BU102" s="5" t="n">
        <v>-0.004</v>
      </c>
      <c r="BV102" s="5" t="n">
        <v>0.102</v>
      </c>
      <c r="BW102" s="5" t="n">
        <v>0.149</v>
      </c>
      <c r="BX102" s="5" t="n">
        <v>0.833</v>
      </c>
      <c r="BY102" s="5" t="n">
        <v>11.787</v>
      </c>
      <c r="BZ102" s="5" t="n">
        <v>0</v>
      </c>
      <c r="CA102" s="5" t="n">
        <v>11.787</v>
      </c>
      <c r="CB102" s="5" t="n">
        <v>0</v>
      </c>
      <c r="CC102" s="5" t="n">
        <v>78.125</v>
      </c>
      <c r="CD102" s="5" t="n">
        <v>7.95</v>
      </c>
      <c r="CE102" s="5" t="n">
        <v>-22.1</v>
      </c>
      <c r="CF102" s="5" t="n">
        <v>64.395</v>
      </c>
      <c r="CG102" s="5" t="n">
        <v>0</v>
      </c>
      <c r="CH102" s="5" t="n">
        <v>0</v>
      </c>
      <c r="CI102" s="5" t="n">
        <v>0</v>
      </c>
      <c r="CJ102" s="5" t="n">
        <v>0</v>
      </c>
      <c r="CK102" s="5" t="n">
        <v>0</v>
      </c>
      <c r="CL102" s="5" t="n">
        <v>0</v>
      </c>
      <c r="CM102" s="5" t="n">
        <v>0</v>
      </c>
      <c r="CN102" s="5" t="n">
        <v>0</v>
      </c>
      <c r="CO102" s="5" t="n">
        <v>0</v>
      </c>
      <c r="CP102" s="5" t="n">
        <v>0</v>
      </c>
      <c r="CQ102" s="5" t="n">
        <v>1.198</v>
      </c>
      <c r="CR102" s="5" t="n">
        <v>1</v>
      </c>
      <c r="CS102" s="5" t="n">
        <v>9.260999999999999</v>
      </c>
      <c r="CT102" s="5" t="n">
        <v>4.753</v>
      </c>
      <c r="CU102" s="5" t="n">
        <v>14.129</v>
      </c>
    </row>
    <row r="103">
      <c r="A103" s="5" t="inlineStr">
        <is>
          <t>BOL2022</t>
        </is>
      </c>
      <c r="B103" s="5" t="inlineStr">
        <is>
          <t>BOL</t>
        </is>
      </c>
      <c r="C103" s="5" t="inlineStr">
        <is>
          <t>BOL</t>
        </is>
      </c>
      <c r="D103" s="5" t="inlineStr">
        <is>
          <t>Bolivia</t>
        </is>
      </c>
      <c r="E103" s="5" t="n">
        <v>2022</v>
      </c>
      <c r="F103" s="5" t="n">
        <v>0.149</v>
      </c>
      <c r="G103" s="5" t="n">
        <v>11.72</v>
      </c>
      <c r="H103" s="5" t="n">
        <v>1.235</v>
      </c>
      <c r="I103" s="5" t="n">
        <v>0.5659999999999999</v>
      </c>
      <c r="J103" s="5" t="n">
        <v>12.286</v>
      </c>
      <c r="K103" s="5" t="n">
        <v>0</v>
      </c>
      <c r="L103" s="5" t="n">
        <v>1</v>
      </c>
      <c r="M103" s="5" t="n">
        <v>9.782999999999999</v>
      </c>
      <c r="N103" s="5" t="n">
        <v>3.704</v>
      </c>
      <c r="O103" s="5" t="n">
        <v>0.328</v>
      </c>
      <c r="P103" s="5" t="n">
        <v>10.111</v>
      </c>
      <c r="Q103" s="5" t="n">
        <v>0</v>
      </c>
      <c r="R103" s="5" t="n">
        <v>1</v>
      </c>
      <c r="S103" s="5" t="n">
        <v>17.893</v>
      </c>
      <c r="T103" s="5" t="n">
        <v>7.408</v>
      </c>
      <c r="U103" s="5" t="n">
        <v>0.77</v>
      </c>
      <c r="V103" s="5" t="n">
        <v>21.217</v>
      </c>
      <c r="W103" s="5" t="n">
        <v>0.149</v>
      </c>
      <c r="X103" s="5" t="n">
        <v>1</v>
      </c>
      <c r="Y103" s="5" t="n">
        <v>10.618</v>
      </c>
      <c r="Z103" s="5" t="n">
        <v>1.165</v>
      </c>
      <c r="AA103" s="5" t="n">
        <v>-8.329000000000001</v>
      </c>
      <c r="AB103" s="5" t="n">
        <v>2.289</v>
      </c>
      <c r="AC103" s="5" t="n">
        <v>0</v>
      </c>
      <c r="AD103" s="5" t="n">
        <v>0</v>
      </c>
      <c r="AE103" s="5" t="n">
        <v>11.235</v>
      </c>
      <c r="AF103" s="5" t="n">
        <v>2.185</v>
      </c>
      <c r="AG103" s="5" t="n">
        <v>-3.011</v>
      </c>
      <c r="AH103" s="5" t="n">
        <v>8.225</v>
      </c>
      <c r="AI103" s="5" t="n">
        <v>0</v>
      </c>
      <c r="AJ103" s="5" t="n">
        <v>0</v>
      </c>
      <c r="AK103" s="5" t="n">
        <v>14.94</v>
      </c>
      <c r="AL103" s="5" t="n">
        <v>7.047</v>
      </c>
      <c r="AM103" s="5" t="n">
        <v>-6.655</v>
      </c>
      <c r="AN103" s="5" t="n">
        <v>8.285</v>
      </c>
      <c r="AO103" s="5" t="n">
        <v>0</v>
      </c>
      <c r="AP103" s="5" t="n">
        <v>0</v>
      </c>
      <c r="AQ103" s="5" t="n">
        <v>0.896</v>
      </c>
      <c r="AR103" s="5" t="n">
        <v>0.123</v>
      </c>
      <c r="AS103" s="5" t="n">
        <v>-0.422</v>
      </c>
      <c r="AT103" s="5" t="n">
        <v>0.545</v>
      </c>
      <c r="AU103" s="5" t="n">
        <v>0</v>
      </c>
      <c r="AV103" s="5" t="n">
        <v>0</v>
      </c>
      <c r="AW103" s="5" t="n">
        <v>0.89</v>
      </c>
      <c r="AX103" s="5" t="n">
        <v>0.123</v>
      </c>
      <c r="AY103" s="5" t="n">
        <v>-0.419</v>
      </c>
      <c r="AZ103" s="5" t="n">
        <v>0.542</v>
      </c>
      <c r="BA103" s="5" t="n">
        <v>0</v>
      </c>
      <c r="BB103" s="5" t="n">
        <v>0</v>
      </c>
      <c r="BC103" s="5" t="n">
        <v>0.62</v>
      </c>
      <c r="BD103" s="5" t="n">
        <v>0.123</v>
      </c>
      <c r="BE103" s="5" t="n">
        <v>-0.475</v>
      </c>
      <c r="BF103" s="5" t="n">
        <v>0.167</v>
      </c>
      <c r="BG103" s="5" t="n">
        <v>0</v>
      </c>
      <c r="BH103" s="5" t="n">
        <v>0</v>
      </c>
      <c r="BI103" s="5" t="n">
        <v>0.608</v>
      </c>
      <c r="BJ103" s="5" t="n">
        <v>0.123</v>
      </c>
      <c r="BK103" s="5" t="n">
        <v>-0.262</v>
      </c>
      <c r="BL103" s="5" t="n">
        <v>0.397</v>
      </c>
      <c r="BM103" s="5" t="n">
        <v>0</v>
      </c>
      <c r="BN103" s="5" t="n">
        <v>0</v>
      </c>
      <c r="BO103" s="5" t="n">
        <v>0</v>
      </c>
      <c r="BP103" s="5" t="n">
        <v>-0.005</v>
      </c>
      <c r="BQ103" s="5" t="n">
        <v>0.081</v>
      </c>
      <c r="BR103" s="5" t="n">
        <v>0</v>
      </c>
      <c r="BS103" s="5" t="n">
        <v>0.5</v>
      </c>
      <c r="BT103" s="5" t="n">
        <v>0</v>
      </c>
      <c r="BU103" s="5" t="n">
        <v>-0.005</v>
      </c>
      <c r="BV103" s="5" t="n">
        <v>0.106</v>
      </c>
      <c r="BW103" s="5" t="n">
        <v>0.149</v>
      </c>
      <c r="BX103" s="5" t="n">
        <v>0.833</v>
      </c>
      <c r="BY103" s="5" t="n">
        <v>12.729</v>
      </c>
      <c r="BZ103" s="5" t="n">
        <v>0</v>
      </c>
      <c r="CA103" s="5" t="n">
        <v>12.729</v>
      </c>
      <c r="CB103" s="5" t="n">
        <v>0</v>
      </c>
      <c r="CC103" s="5" t="n">
        <v>97.90000000000001</v>
      </c>
      <c r="CD103" s="5" t="n">
        <v>7.95</v>
      </c>
      <c r="CE103" s="5" t="n">
        <v>-41.875</v>
      </c>
      <c r="CF103" s="5" t="n">
        <v>64.395</v>
      </c>
      <c r="CG103" s="5" t="n">
        <v>0</v>
      </c>
      <c r="CH103" s="5" t="n">
        <v>0</v>
      </c>
      <c r="CI103" s="5" t="n">
        <v>0</v>
      </c>
      <c r="CJ103" s="5" t="n">
        <v>0</v>
      </c>
      <c r="CK103" s="5" t="n">
        <v>0</v>
      </c>
      <c r="CL103" s="5" t="n">
        <v>0</v>
      </c>
      <c r="CM103" s="5" t="n">
        <v>0</v>
      </c>
      <c r="CN103" s="5" t="n">
        <v>0</v>
      </c>
      <c r="CO103" s="5" t="n">
        <v>0</v>
      </c>
      <c r="CP103" s="5" t="n">
        <v>0</v>
      </c>
      <c r="CQ103" s="5" t="n">
        <v>1.294</v>
      </c>
      <c r="CR103" s="5" t="n">
        <v>1</v>
      </c>
      <c r="CS103" s="5" t="n">
        <v>10.001</v>
      </c>
      <c r="CT103" s="5" t="n">
        <v>10.485</v>
      </c>
      <c r="CU103" s="5" t="n">
        <v>28.059</v>
      </c>
    </row>
    <row r="104">
      <c r="A104" s="5" t="inlineStr">
        <is>
          <t>BOL2023</t>
        </is>
      </c>
      <c r="B104" s="5" t="inlineStr">
        <is>
          <t>BOL</t>
        </is>
      </c>
      <c r="C104" s="5" t="inlineStr">
        <is>
          <t>BOL</t>
        </is>
      </c>
      <c r="D104" s="5" t="inlineStr">
        <is>
          <t>Bolivia</t>
        </is>
      </c>
      <c r="E104" s="5" t="n">
        <v>2023</v>
      </c>
      <c r="F104" s="5" t="n">
        <v>0.149</v>
      </c>
      <c r="G104" s="5" t="n">
        <v>6.147</v>
      </c>
      <c r="H104" s="5" t="n">
        <v>1.286</v>
      </c>
      <c r="I104" s="5" t="n">
        <v>0.273</v>
      </c>
      <c r="J104" s="5" t="n">
        <v>6.42</v>
      </c>
      <c r="K104" s="5" t="n">
        <v>0</v>
      </c>
      <c r="L104" s="5" t="n">
        <v>1</v>
      </c>
      <c r="M104" s="5" t="n">
        <v>7.886</v>
      </c>
      <c r="N104" s="5" t="n">
        <v>3.857</v>
      </c>
      <c r="O104" s="5" t="n">
        <v>0.227</v>
      </c>
      <c r="P104" s="5" t="n">
        <v>8.113</v>
      </c>
      <c r="Q104" s="5" t="n">
        <v>0</v>
      </c>
      <c r="R104" s="5" t="n">
        <v>1</v>
      </c>
      <c r="S104" s="5" t="n">
        <v>12.575</v>
      </c>
      <c r="T104" s="5" t="n">
        <v>7.714</v>
      </c>
      <c r="U104" s="5" t="n">
        <v>0.486</v>
      </c>
      <c r="V104" s="5" t="n">
        <v>14.768</v>
      </c>
      <c r="W104" s="5" t="n">
        <v>0.149</v>
      </c>
      <c r="X104" s="5" t="n">
        <v>1</v>
      </c>
      <c r="Y104" s="5" t="n">
        <v>9.904</v>
      </c>
      <c r="Z104" s="5" t="n">
        <v>1.087</v>
      </c>
      <c r="AA104" s="5" t="n">
        <v>-7.521</v>
      </c>
      <c r="AB104" s="5" t="n">
        <v>2.384</v>
      </c>
      <c r="AC104" s="5" t="n">
        <v>0</v>
      </c>
      <c r="AD104" s="5" t="n">
        <v>0</v>
      </c>
      <c r="AE104" s="5" t="n">
        <v>10.547</v>
      </c>
      <c r="AF104" s="5" t="n">
        <v>2.051</v>
      </c>
      <c r="AG104" s="5" t="n">
        <v>-3.135</v>
      </c>
      <c r="AH104" s="5" t="n">
        <v>7.412</v>
      </c>
      <c r="AI104" s="5" t="n">
        <v>0</v>
      </c>
      <c r="AJ104" s="5" t="n">
        <v>0</v>
      </c>
      <c r="AK104" s="5" t="n">
        <v>14.404</v>
      </c>
      <c r="AL104" s="5" t="n">
        <v>6.795</v>
      </c>
      <c r="AM104" s="5" t="n">
        <v>-5.969</v>
      </c>
      <c r="AN104" s="5" t="n">
        <v>8.435</v>
      </c>
      <c r="AO104" s="5" t="n">
        <v>0</v>
      </c>
      <c r="AP104" s="5" t="n">
        <v>0</v>
      </c>
      <c r="AQ104" s="5" t="n">
        <v>0.791</v>
      </c>
      <c r="AR104" s="5" t="n">
        <v>0.129</v>
      </c>
      <c r="AS104" s="5" t="n">
        <v>-0.314</v>
      </c>
      <c r="AT104" s="5" t="n">
        <v>0.548</v>
      </c>
      <c r="AU104" s="5" t="n">
        <v>0</v>
      </c>
      <c r="AV104" s="5" t="n">
        <v>0</v>
      </c>
      <c r="AW104" s="5" t="n">
        <v>0.618</v>
      </c>
      <c r="AX104" s="5" t="n">
        <v>0.129</v>
      </c>
      <c r="AY104" s="5" t="n">
        <v>-0.124</v>
      </c>
      <c r="AZ104" s="5" t="n">
        <v>0.5679999999999999</v>
      </c>
      <c r="BA104" s="5" t="n">
        <v>0</v>
      </c>
      <c r="BB104" s="5" t="n">
        <v>0</v>
      </c>
      <c r="BC104" s="5" t="n">
        <v>0.554</v>
      </c>
      <c r="BD104" s="5" t="n">
        <v>0.129</v>
      </c>
      <c r="BE104" s="5" t="n">
        <v>-0.409</v>
      </c>
      <c r="BF104" s="5" t="n">
        <v>0.167</v>
      </c>
      <c r="BG104" s="5" t="n">
        <v>0</v>
      </c>
      <c r="BH104" s="5" t="n">
        <v>0</v>
      </c>
      <c r="BI104" s="5" t="n">
        <v>0.5570000000000001</v>
      </c>
      <c r="BJ104" s="5" t="n">
        <v>0.129</v>
      </c>
      <c r="BK104" s="5" t="n">
        <v>-0.212</v>
      </c>
      <c r="BL104" s="5" t="n">
        <v>0.397</v>
      </c>
      <c r="BM104" s="5" t="n">
        <v>0</v>
      </c>
      <c r="BN104" s="5" t="n">
        <v>0</v>
      </c>
      <c r="BO104" s="5" t="n">
        <v>0</v>
      </c>
      <c r="BP104" s="5" t="n">
        <v>0</v>
      </c>
      <c r="BQ104" s="5" t="n">
        <v>0.082</v>
      </c>
      <c r="BR104" s="5" t="n">
        <v>0</v>
      </c>
      <c r="BS104" s="5" t="n">
        <v>0.5</v>
      </c>
      <c r="BT104" s="5" t="n">
        <v>0</v>
      </c>
      <c r="BU104" s="5" t="n">
        <v>0</v>
      </c>
      <c r="BV104" s="5" t="n">
        <v>0.11</v>
      </c>
      <c r="BW104" s="5" t="n">
        <v>0.149</v>
      </c>
      <c r="BX104" s="5" t="n">
        <v>0.833</v>
      </c>
      <c r="BY104" s="5" t="n">
        <v>13.254</v>
      </c>
      <c r="BZ104" s="5" t="n">
        <v>0</v>
      </c>
      <c r="CA104" s="5" t="n">
        <v>13.254</v>
      </c>
      <c r="CB104" s="5" t="n">
        <v>0</v>
      </c>
      <c r="CC104" s="5" t="n">
        <v>83.248</v>
      </c>
      <c r="CD104" s="5" t="n">
        <v>7.95</v>
      </c>
      <c r="CE104" s="5" t="n">
        <v>-27.61</v>
      </c>
      <c r="CF104" s="5" t="n">
        <v>63.95</v>
      </c>
      <c r="CG104" s="5" t="n">
        <v>0</v>
      </c>
      <c r="CH104" s="5" t="n">
        <v>0</v>
      </c>
      <c r="CI104" s="5" t="n">
        <v>0</v>
      </c>
      <c r="CJ104" s="5" t="n">
        <v>0</v>
      </c>
      <c r="CK104" s="5" t="n">
        <v>0</v>
      </c>
      <c r="CL104" s="5" t="n">
        <v>0</v>
      </c>
      <c r="CM104" s="5" t="n">
        <v>0</v>
      </c>
      <c r="CN104" s="5" t="n">
        <v>0</v>
      </c>
      <c r="CO104" s="5" t="n">
        <v>0</v>
      </c>
      <c r="CP104" s="5" t="n">
        <v>0</v>
      </c>
      <c r="CQ104" s="5" t="n">
        <v>1.348</v>
      </c>
      <c r="CR104" s="5" t="n">
        <v>1</v>
      </c>
      <c r="CS104" s="5" t="n">
        <v>9.260999999999999</v>
      </c>
      <c r="CT104" s="5" t="n">
        <v>4.861</v>
      </c>
      <c r="CU104" s="5" t="n">
        <v>9.260999999999999</v>
      </c>
    </row>
    <row r="105">
      <c r="A105" s="5" t="inlineStr">
        <is>
          <t>BOL2024</t>
        </is>
      </c>
      <c r="B105" s="5" t="inlineStr">
        <is>
          <t>BOL</t>
        </is>
      </c>
      <c r="C105" s="5" t="inlineStr">
        <is>
          <t>BOL</t>
        </is>
      </c>
      <c r="D105" s="5" t="inlineStr">
        <is>
          <t>Bolivia</t>
        </is>
      </c>
      <c r="E105" s="5" t="n">
        <v>2024</v>
      </c>
      <c r="F105" s="5" t="n">
        <v>0.149</v>
      </c>
      <c r="G105" s="5" t="n">
        <v>5.575</v>
      </c>
      <c r="H105" s="5" t="n">
        <v>1.324</v>
      </c>
      <c r="I105" s="5" t="n">
        <v>0.213</v>
      </c>
      <c r="J105" s="5" t="n">
        <v>5.787</v>
      </c>
      <c r="K105" s="5" t="n">
        <v>0</v>
      </c>
      <c r="L105" s="5" t="n">
        <v>1</v>
      </c>
      <c r="M105" s="5" t="n">
        <v>7.124</v>
      </c>
      <c r="N105" s="5" t="n">
        <v>3.971</v>
      </c>
      <c r="O105" s="5" t="n">
        <v>0.158</v>
      </c>
      <c r="P105" s="5" t="n">
        <v>7.281</v>
      </c>
      <c r="Q105" s="5" t="n">
        <v>0</v>
      </c>
      <c r="R105" s="5" t="n">
        <v>1</v>
      </c>
      <c r="S105" s="5" t="n">
        <v>12.193</v>
      </c>
      <c r="T105" s="5" t="n">
        <v>7.942</v>
      </c>
      <c r="U105" s="5" t="n">
        <v>0.465</v>
      </c>
      <c r="V105" s="5" t="n">
        <v>14.259</v>
      </c>
      <c r="W105" s="5" t="n">
        <v>0.149</v>
      </c>
      <c r="X105" s="5" t="n">
        <v>1</v>
      </c>
      <c r="Y105" s="5" t="n">
        <v>8.26</v>
      </c>
      <c r="Z105" s="5" t="n">
        <v>0.906</v>
      </c>
      <c r="AA105" s="5" t="n">
        <v>-5.806</v>
      </c>
      <c r="AB105" s="5" t="n">
        <v>2.454</v>
      </c>
      <c r="AC105" s="5" t="n">
        <v>0</v>
      </c>
      <c r="AD105" s="5" t="n">
        <v>0</v>
      </c>
      <c r="AE105" s="5" t="n">
        <v>8.922000000000001</v>
      </c>
      <c r="AF105" s="5" t="n">
        <v>1.735</v>
      </c>
      <c r="AG105" s="5" t="n">
        <v>-3.227</v>
      </c>
      <c r="AH105" s="5" t="n">
        <v>5.694</v>
      </c>
      <c r="AI105" s="5" t="n">
        <v>0</v>
      </c>
      <c r="AJ105" s="5" t="n">
        <v>0</v>
      </c>
      <c r="AK105" s="5" t="n">
        <v>12.892</v>
      </c>
      <c r="AL105" s="5" t="n">
        <v>6.082</v>
      </c>
      <c r="AM105" s="5" t="n">
        <v>-4.531</v>
      </c>
      <c r="AN105" s="5" t="n">
        <v>8.362</v>
      </c>
      <c r="AO105" s="5" t="n">
        <v>0</v>
      </c>
      <c r="AP105" s="5" t="n">
        <v>0</v>
      </c>
      <c r="AQ105" s="5" t="n">
        <v>0.756</v>
      </c>
      <c r="AR105" s="5" t="n">
        <v>0.132</v>
      </c>
      <c r="AS105" s="5" t="n">
        <v>-0.268</v>
      </c>
      <c r="AT105" s="5" t="n">
        <v>0.5610000000000001</v>
      </c>
      <c r="AU105" s="5" t="n">
        <v>0</v>
      </c>
      <c r="AV105" s="5" t="n">
        <v>0</v>
      </c>
      <c r="AW105" s="5" t="n">
        <v>0.655</v>
      </c>
      <c r="AX105" s="5" t="n">
        <v>0.132</v>
      </c>
      <c r="AY105" s="5" t="n">
        <v>-0.167</v>
      </c>
      <c r="AZ105" s="5" t="n">
        <v>0.5610000000000001</v>
      </c>
      <c r="BA105" s="5" t="n">
        <v>0</v>
      </c>
      <c r="BB105" s="5" t="n">
        <v>0</v>
      </c>
      <c r="BC105" s="5" t="n">
        <v>0.534</v>
      </c>
      <c r="BD105" s="5" t="n">
        <v>0.132</v>
      </c>
      <c r="BE105" s="5" t="n">
        <v>-0.388</v>
      </c>
      <c r="BF105" s="5" t="n">
        <v>0.167</v>
      </c>
      <c r="BG105" s="5" t="n">
        <v>0</v>
      </c>
      <c r="BH105" s="5" t="n">
        <v>0</v>
      </c>
      <c r="BI105" s="5" t="n">
        <v>0.5679999999999999</v>
      </c>
      <c r="BJ105" s="5" t="n">
        <v>0.132</v>
      </c>
      <c r="BK105" s="5" t="n">
        <v>-0.223</v>
      </c>
      <c r="BL105" s="5" t="n">
        <v>0.397</v>
      </c>
      <c r="BM105" s="5" t="n">
        <v>0</v>
      </c>
      <c r="BN105" s="5" t="n">
        <v>0</v>
      </c>
      <c r="BO105" s="5" t="n">
        <v>0</v>
      </c>
      <c r="BP105" s="5" t="n">
        <v>0</v>
      </c>
      <c r="BQ105" s="5" t="n">
        <v>0.08400000000000001</v>
      </c>
      <c r="BR105" s="5" t="n">
        <v>0</v>
      </c>
      <c r="BS105" s="5" t="n">
        <v>0.5</v>
      </c>
      <c r="BT105" s="5" t="n">
        <v>0</v>
      </c>
      <c r="BU105" s="5" t="n">
        <v>0</v>
      </c>
      <c r="BV105" s="5" t="n">
        <v>0.113</v>
      </c>
      <c r="BW105" s="5" t="n">
        <v>0.149</v>
      </c>
      <c r="BX105" s="5" t="n">
        <v>0.833</v>
      </c>
      <c r="BY105" s="5" t="n">
        <v>13.646</v>
      </c>
      <c r="BZ105" s="5" t="n">
        <v>0</v>
      </c>
      <c r="CA105" s="5" t="n">
        <v>13.646</v>
      </c>
      <c r="CB105" s="5" t="n">
        <v>0</v>
      </c>
      <c r="CC105" s="5" t="n">
        <v>82.58799999999999</v>
      </c>
      <c r="CD105" s="5" t="n">
        <v>7.95</v>
      </c>
      <c r="CE105" s="5" t="n">
        <v>-26.95</v>
      </c>
      <c r="CF105" s="5" t="n">
        <v>63.95</v>
      </c>
      <c r="CG105" s="5" t="n">
        <v>0</v>
      </c>
      <c r="CH105" s="5" t="n">
        <v>0</v>
      </c>
      <c r="CI105" s="5" t="n">
        <v>0</v>
      </c>
      <c r="CJ105" s="5" t="n">
        <v>0</v>
      </c>
      <c r="CK105" s="5" t="n">
        <v>0</v>
      </c>
      <c r="CL105" s="5" t="n">
        <v>0</v>
      </c>
      <c r="CM105" s="5" t="n">
        <v>0</v>
      </c>
      <c r="CN105" s="5" t="n">
        <v>0</v>
      </c>
      <c r="CO105" s="5" t="n">
        <v>0</v>
      </c>
      <c r="CP105" s="5" t="n">
        <v>0</v>
      </c>
      <c r="CQ105" s="5" t="n">
        <v>1.387</v>
      </c>
      <c r="CR105" s="5" t="n">
        <v>1</v>
      </c>
      <c r="CS105" s="5" t="n">
        <v>7.598</v>
      </c>
      <c r="CT105" s="5" t="n">
        <v>4.251</v>
      </c>
      <c r="CU105" s="5" t="n">
        <v>7.598</v>
      </c>
    </row>
    <row r="106">
      <c r="A106" s="5" t="inlineStr">
        <is>
          <t>BIH2021</t>
        </is>
      </c>
      <c r="B106" s="5" t="inlineStr">
        <is>
          <t>BIH</t>
        </is>
      </c>
      <c r="C106" s="5" t="inlineStr">
        <is>
          <t>BIH</t>
        </is>
      </c>
      <c r="D106" s="5" t="inlineStr">
        <is>
          <t>Bosnia and Herzegovina</t>
        </is>
      </c>
      <c r="E106" s="5" t="n">
        <v>2021</v>
      </c>
      <c r="F106" s="5" t="n">
        <v>0.17</v>
      </c>
      <c r="G106" s="5" t="n">
        <v>2.809</v>
      </c>
      <c r="H106" s="5" t="n">
        <v>0.729</v>
      </c>
      <c r="I106" s="5" t="n">
        <v>0.124</v>
      </c>
      <c r="J106" s="5" t="n">
        <v>2.933</v>
      </c>
      <c r="K106" s="5" t="n">
        <v>0</v>
      </c>
      <c r="L106" s="5" t="n">
        <v>1</v>
      </c>
      <c r="M106" s="5" t="n">
        <v>4.301</v>
      </c>
      <c r="N106" s="5" t="n">
        <v>2.186</v>
      </c>
      <c r="O106" s="5" t="n">
        <v>-1.368</v>
      </c>
      <c r="P106" s="5" t="n">
        <v>2.933</v>
      </c>
      <c r="Q106" s="5" t="n">
        <v>0</v>
      </c>
      <c r="R106" s="5" t="n">
        <v>0</v>
      </c>
      <c r="S106" s="5" t="n">
        <v>6.452</v>
      </c>
      <c r="T106" s="5" t="n">
        <v>4.372</v>
      </c>
      <c r="U106" s="5" t="n">
        <v>0</v>
      </c>
      <c r="V106" s="5" t="n">
        <v>7.549</v>
      </c>
      <c r="W106" s="5" t="n">
        <v>0.17</v>
      </c>
      <c r="X106" s="5" t="n">
        <v>1</v>
      </c>
      <c r="Y106" s="5" t="n">
        <v>22.51</v>
      </c>
      <c r="Z106" s="5" t="n">
        <v>2.486</v>
      </c>
      <c r="AA106" s="5" t="n">
        <v>-10.342</v>
      </c>
      <c r="AB106" s="5" t="n">
        <v>12.168</v>
      </c>
      <c r="AC106" s="5" t="n">
        <v>0</v>
      </c>
      <c r="AD106" s="5" t="n">
        <v>1</v>
      </c>
      <c r="AE106" s="5" t="n">
        <v>22.467</v>
      </c>
      <c r="AF106" s="5" t="n">
        <v>4.421</v>
      </c>
      <c r="AG106" s="5" t="n">
        <v>-10.298</v>
      </c>
      <c r="AH106" s="5" t="n">
        <v>12.168</v>
      </c>
      <c r="AI106" s="5" t="n">
        <v>0</v>
      </c>
      <c r="AJ106" s="5" t="n">
        <v>1</v>
      </c>
      <c r="AK106" s="5" t="n">
        <v>26.868</v>
      </c>
      <c r="AL106" s="5" t="n">
        <v>13.187</v>
      </c>
      <c r="AM106" s="5" t="n">
        <v>-17.256</v>
      </c>
      <c r="AN106" s="5" t="n">
        <v>11.246</v>
      </c>
      <c r="AO106" s="5" t="n">
        <v>0</v>
      </c>
      <c r="AP106" s="5" t="n">
        <v>0</v>
      </c>
      <c r="AQ106" s="5" t="n">
        <v>0.619</v>
      </c>
      <c r="AR106" s="5" t="n">
        <v>0.114</v>
      </c>
      <c r="AS106" s="5" t="n">
        <v>0.5</v>
      </c>
      <c r="AT106" s="5" t="n">
        <v>1.31</v>
      </c>
      <c r="AU106" s="5" t="n">
        <v>0.17</v>
      </c>
      <c r="AV106" s="5" t="n">
        <v>1</v>
      </c>
      <c r="AW106" s="5" t="n">
        <v>0.599</v>
      </c>
      <c r="AX106" s="5" t="n">
        <v>0.114</v>
      </c>
      <c r="AY106" s="5" t="n">
        <v>0.486</v>
      </c>
      <c r="AZ106" s="5" t="n">
        <v>1.27</v>
      </c>
      <c r="BA106" s="5" t="n">
        <v>0.17</v>
      </c>
      <c r="BB106" s="5" t="n">
        <v>1</v>
      </c>
      <c r="BC106" s="5" t="n">
        <v>0.439</v>
      </c>
      <c r="BD106" s="5" t="n">
        <v>0.114</v>
      </c>
      <c r="BE106" s="5" t="n">
        <v>0.184</v>
      </c>
      <c r="BF106" s="5" t="n">
        <v>0.729</v>
      </c>
      <c r="BG106" s="5" t="n">
        <v>0.17</v>
      </c>
      <c r="BH106" s="5" t="n">
        <v>1</v>
      </c>
      <c r="BI106" s="5" t="n">
        <v>0.505</v>
      </c>
      <c r="BJ106" s="5" t="n">
        <v>0.114</v>
      </c>
      <c r="BK106" s="5" t="n">
        <v>0.19</v>
      </c>
      <c r="BL106" s="5" t="n">
        <v>0.8129999999999999</v>
      </c>
      <c r="BM106" s="5" t="n">
        <v>0.17</v>
      </c>
      <c r="BN106" s="5" t="n">
        <v>1</v>
      </c>
      <c r="BO106" s="5" t="n">
        <v>0</v>
      </c>
      <c r="BP106" s="5" t="n">
        <v>0.003</v>
      </c>
      <c r="BQ106" s="5" t="n">
        <v>0.07199999999999999</v>
      </c>
      <c r="BR106" s="5" t="n">
        <v>0</v>
      </c>
      <c r="BS106" s="5" t="n">
        <v>1</v>
      </c>
      <c r="BT106" s="5" t="n">
        <v>0</v>
      </c>
      <c r="BU106" s="5" t="n">
        <v>0.003</v>
      </c>
      <c r="BV106" s="5" t="n">
        <v>0.103</v>
      </c>
      <c r="BW106" s="5" t="n">
        <v>0.17</v>
      </c>
      <c r="BX106" s="5" t="n">
        <v>1</v>
      </c>
      <c r="BY106" s="5" t="n">
        <v>11.787</v>
      </c>
      <c r="BZ106" s="5" t="n">
        <v>0</v>
      </c>
      <c r="CA106" s="5" t="n">
        <v>11.787</v>
      </c>
      <c r="CB106" s="5" t="n">
        <v>0</v>
      </c>
      <c r="CC106" s="5" t="n">
        <v>78.125</v>
      </c>
      <c r="CD106" s="5" t="n">
        <v>7.95</v>
      </c>
      <c r="CE106" s="5" t="n">
        <v>0</v>
      </c>
      <c r="CF106" s="5" t="n">
        <v>91.40600000000001</v>
      </c>
      <c r="CG106" s="5" t="n">
        <v>0.17</v>
      </c>
      <c r="CH106" s="5" t="n">
        <v>1</v>
      </c>
      <c r="CI106" s="5" t="n">
        <v>0</v>
      </c>
      <c r="CJ106" s="5" t="n">
        <v>0</v>
      </c>
      <c r="CK106" s="5" t="n">
        <v>0</v>
      </c>
      <c r="CL106" s="5" t="n">
        <v>0</v>
      </c>
      <c r="CM106" s="5" t="n">
        <v>0</v>
      </c>
      <c r="CN106" s="5" t="n">
        <v>0</v>
      </c>
      <c r="CO106" s="5" t="n">
        <v>0</v>
      </c>
      <c r="CP106" s="5" t="n">
        <v>0.725</v>
      </c>
      <c r="CQ106" s="5" t="n">
        <v>1.198</v>
      </c>
      <c r="CR106" s="5" t="n">
        <v>0</v>
      </c>
      <c r="CS106" s="5" t="n">
        <v>4.776</v>
      </c>
      <c r="CT106" s="5" t="n">
        <v>4.41</v>
      </c>
      <c r="CU106" s="5" t="n">
        <v>20.363</v>
      </c>
    </row>
    <row r="107">
      <c r="A107" s="5" t="inlineStr">
        <is>
          <t>BIH2022</t>
        </is>
      </c>
      <c r="B107" s="5" t="inlineStr">
        <is>
          <t>BIH</t>
        </is>
      </c>
      <c r="C107" s="5" t="inlineStr">
        <is>
          <t>BIH</t>
        </is>
      </c>
      <c r="D107" s="5" t="inlineStr">
        <is>
          <t>Bosnia and Herzegovina</t>
        </is>
      </c>
      <c r="E107" s="5" t="n">
        <v>2022</v>
      </c>
      <c r="F107" s="5" t="n">
        <v>0.17</v>
      </c>
      <c r="G107" s="5" t="n">
        <v>3.179</v>
      </c>
      <c r="H107" s="5" t="n">
        <v>0.769</v>
      </c>
      <c r="I107" s="5" t="n">
        <v>0.134</v>
      </c>
      <c r="J107" s="5" t="n">
        <v>3.313</v>
      </c>
      <c r="K107" s="5" t="n">
        <v>0</v>
      </c>
      <c r="L107" s="5" t="n">
        <v>1</v>
      </c>
      <c r="M107" s="5" t="n">
        <v>4.775</v>
      </c>
      <c r="N107" s="5" t="n">
        <v>2.307</v>
      </c>
      <c r="O107" s="5" t="n">
        <v>-1.477</v>
      </c>
      <c r="P107" s="5" t="n">
        <v>3.298</v>
      </c>
      <c r="Q107" s="5" t="n">
        <v>0</v>
      </c>
      <c r="R107" s="5" t="n">
        <v>0</v>
      </c>
      <c r="S107" s="5" t="n">
        <v>7.023</v>
      </c>
      <c r="T107" s="5" t="n">
        <v>4.613</v>
      </c>
      <c r="U107" s="5" t="n">
        <v>0.08799999999999999</v>
      </c>
      <c r="V107" s="5" t="n">
        <v>8.217000000000001</v>
      </c>
      <c r="W107" s="5" t="n">
        <v>0.17</v>
      </c>
      <c r="X107" s="5" t="n">
        <v>1</v>
      </c>
      <c r="Y107" s="5" t="n">
        <v>50.269</v>
      </c>
      <c r="Z107" s="5" t="n">
        <v>5.273</v>
      </c>
      <c r="AA107" s="5" t="n">
        <v>-34.302</v>
      </c>
      <c r="AB107" s="5" t="n">
        <v>15.967</v>
      </c>
      <c r="AC107" s="5" t="n">
        <v>0</v>
      </c>
      <c r="AD107" s="5" t="n">
        <v>1</v>
      </c>
      <c r="AE107" s="5" t="n">
        <v>50.317</v>
      </c>
      <c r="AF107" s="5" t="n">
        <v>9.327999999999999</v>
      </c>
      <c r="AG107" s="5" t="n">
        <v>-34.349</v>
      </c>
      <c r="AH107" s="5" t="n">
        <v>15.967</v>
      </c>
      <c r="AI107" s="5" t="n">
        <v>0</v>
      </c>
      <c r="AJ107" s="5" t="n">
        <v>1</v>
      </c>
      <c r="AK107" s="5" t="n">
        <v>55.255</v>
      </c>
      <c r="AL107" s="5" t="n">
        <v>26.386</v>
      </c>
      <c r="AM107" s="5" t="n">
        <v>-41.591</v>
      </c>
      <c r="AN107" s="5" t="n">
        <v>15.987</v>
      </c>
      <c r="AO107" s="5" t="n">
        <v>0</v>
      </c>
      <c r="AP107" s="5" t="n">
        <v>0</v>
      </c>
      <c r="AQ107" s="5" t="n">
        <v>0.861</v>
      </c>
      <c r="AR107" s="5" t="n">
        <v>0.123</v>
      </c>
      <c r="AS107" s="5" t="n">
        <v>0.473</v>
      </c>
      <c r="AT107" s="5" t="n">
        <v>1.561</v>
      </c>
      <c r="AU107" s="5" t="n">
        <v>0.17</v>
      </c>
      <c r="AV107" s="5" t="n">
        <v>1</v>
      </c>
      <c r="AW107" s="5" t="n">
        <v>0.986</v>
      </c>
      <c r="AX107" s="5" t="n">
        <v>0.123</v>
      </c>
      <c r="AY107" s="5" t="n">
        <v>0.452</v>
      </c>
      <c r="AZ107" s="5" t="n">
        <v>1.683</v>
      </c>
      <c r="BA107" s="5" t="n">
        <v>0.17</v>
      </c>
      <c r="BB107" s="5" t="n">
        <v>1</v>
      </c>
      <c r="BC107" s="5" t="n">
        <v>0.598</v>
      </c>
      <c r="BD107" s="5" t="n">
        <v>0.123</v>
      </c>
      <c r="BE107" s="5" t="n">
        <v>0.135</v>
      </c>
      <c r="BF107" s="5" t="n">
        <v>0.857</v>
      </c>
      <c r="BG107" s="5" t="n">
        <v>0.17</v>
      </c>
      <c r="BH107" s="5" t="n">
        <v>1</v>
      </c>
      <c r="BI107" s="5" t="n">
        <v>0.612</v>
      </c>
      <c r="BJ107" s="5" t="n">
        <v>0.123</v>
      </c>
      <c r="BK107" s="5" t="n">
        <v>0.217</v>
      </c>
      <c r="BL107" s="5" t="n">
        <v>0.959</v>
      </c>
      <c r="BM107" s="5" t="n">
        <v>0.17</v>
      </c>
      <c r="BN107" s="5" t="n">
        <v>1</v>
      </c>
      <c r="BO107" s="5" t="n">
        <v>0</v>
      </c>
      <c r="BP107" s="5" t="n">
        <v>0.003</v>
      </c>
      <c r="BQ107" s="5" t="n">
        <v>0.08599999999999999</v>
      </c>
      <c r="BR107" s="5" t="n">
        <v>0</v>
      </c>
      <c r="BS107" s="5" t="n">
        <v>1</v>
      </c>
      <c r="BT107" s="5" t="n">
        <v>0</v>
      </c>
      <c r="BU107" s="5" t="n">
        <v>0.003</v>
      </c>
      <c r="BV107" s="5" t="n">
        <v>0.094</v>
      </c>
      <c r="BW107" s="5" t="n">
        <v>0.17</v>
      </c>
      <c r="BX107" s="5" t="n">
        <v>1</v>
      </c>
      <c r="BY107" s="5" t="n">
        <v>12.729</v>
      </c>
      <c r="BZ107" s="5" t="n">
        <v>0</v>
      </c>
      <c r="CA107" s="5" t="n">
        <v>12.729</v>
      </c>
      <c r="CB107" s="5" t="n">
        <v>0</v>
      </c>
      <c r="CC107" s="5" t="n">
        <v>97.90000000000001</v>
      </c>
      <c r="CD107" s="5" t="n">
        <v>7.95</v>
      </c>
      <c r="CE107" s="5" t="n">
        <v>1.232</v>
      </c>
      <c r="CF107" s="5" t="n">
        <v>114.543</v>
      </c>
      <c r="CG107" s="5" t="n">
        <v>0.17</v>
      </c>
      <c r="CH107" s="5" t="n">
        <v>1</v>
      </c>
      <c r="CI107" s="5" t="n">
        <v>0</v>
      </c>
      <c r="CJ107" s="5" t="n">
        <v>0</v>
      </c>
      <c r="CK107" s="5" t="n">
        <v>0</v>
      </c>
      <c r="CL107" s="5" t="n">
        <v>0</v>
      </c>
      <c r="CM107" s="5" t="n">
        <v>0</v>
      </c>
      <c r="CN107" s="5" t="n">
        <v>0</v>
      </c>
      <c r="CO107" s="5" t="n">
        <v>0</v>
      </c>
      <c r="CP107" s="5" t="n">
        <v>0.755</v>
      </c>
      <c r="CQ107" s="5" t="n">
        <v>1.294</v>
      </c>
      <c r="CR107" s="5" t="n">
        <v>0</v>
      </c>
      <c r="CS107" s="5" t="n">
        <v>5.158</v>
      </c>
      <c r="CT107" s="5" t="n">
        <v>5.842</v>
      </c>
      <c r="CU107" s="5" t="n">
        <v>48.03</v>
      </c>
    </row>
    <row r="108">
      <c r="A108" s="5" t="inlineStr">
        <is>
          <t>BIH2023</t>
        </is>
      </c>
      <c r="B108" s="5" t="inlineStr">
        <is>
          <t>BIH</t>
        </is>
      </c>
      <c r="C108" s="5" t="inlineStr">
        <is>
          <t>BIH</t>
        </is>
      </c>
      <c r="D108" s="5" t="inlineStr">
        <is>
          <t>Bosnia and Herzegovina</t>
        </is>
      </c>
      <c r="E108" s="5" t="n">
        <v>2023</v>
      </c>
      <c r="F108" s="5" t="n">
        <v>0.17</v>
      </c>
      <c r="G108" s="5" t="n">
        <v>2.595</v>
      </c>
      <c r="H108" s="5" t="n">
        <v>0.784</v>
      </c>
      <c r="I108" s="5" t="n">
        <v>0.139</v>
      </c>
      <c r="J108" s="5" t="n">
        <v>2.734</v>
      </c>
      <c r="K108" s="5" t="n">
        <v>0</v>
      </c>
      <c r="L108" s="5" t="n">
        <v>1</v>
      </c>
      <c r="M108" s="5" t="n">
        <v>4.285</v>
      </c>
      <c r="N108" s="5" t="n">
        <v>2.351</v>
      </c>
      <c r="O108" s="5" t="n">
        <v>-1.538</v>
      </c>
      <c r="P108" s="5" t="n">
        <v>2.747</v>
      </c>
      <c r="Q108" s="5" t="n">
        <v>0</v>
      </c>
      <c r="R108" s="5" t="n">
        <v>0</v>
      </c>
      <c r="S108" s="5" t="n">
        <v>6.513</v>
      </c>
      <c r="T108" s="5" t="n">
        <v>4.701</v>
      </c>
      <c r="U108" s="5" t="n">
        <v>0.123</v>
      </c>
      <c r="V108" s="5" t="n">
        <v>7.62</v>
      </c>
      <c r="W108" s="5" t="n">
        <v>0.17</v>
      </c>
      <c r="X108" s="5" t="n">
        <v>1</v>
      </c>
      <c r="Y108" s="5" t="n">
        <v>18.781</v>
      </c>
      <c r="Z108" s="5" t="n">
        <v>2.104</v>
      </c>
      <c r="AA108" s="5" t="n">
        <v>-2.333</v>
      </c>
      <c r="AB108" s="5" t="n">
        <v>16.448</v>
      </c>
      <c r="AC108" s="5" t="n">
        <v>0</v>
      </c>
      <c r="AD108" s="5" t="n">
        <v>1</v>
      </c>
      <c r="AE108" s="5" t="n">
        <v>18.88</v>
      </c>
      <c r="AF108" s="5" t="n">
        <v>3.76</v>
      </c>
      <c r="AG108" s="5" t="n">
        <v>-2.432</v>
      </c>
      <c r="AH108" s="5" t="n">
        <v>16.448</v>
      </c>
      <c r="AI108" s="5" t="n">
        <v>0</v>
      </c>
      <c r="AJ108" s="5" t="n">
        <v>1</v>
      </c>
      <c r="AK108" s="5" t="n">
        <v>24.023</v>
      </c>
      <c r="AL108" s="5" t="n">
        <v>11.9</v>
      </c>
      <c r="AM108" s="5" t="n">
        <v>-9.874000000000001</v>
      </c>
      <c r="AN108" s="5" t="n">
        <v>16.554</v>
      </c>
      <c r="AO108" s="5" t="n">
        <v>0</v>
      </c>
      <c r="AP108" s="5" t="n">
        <v>0</v>
      </c>
      <c r="AQ108" s="5" t="n">
        <v>0.76</v>
      </c>
      <c r="AR108" s="5" t="n">
        <v>0.129</v>
      </c>
      <c r="AS108" s="5" t="n">
        <v>0.49</v>
      </c>
      <c r="AT108" s="5" t="n">
        <v>1.463</v>
      </c>
      <c r="AU108" s="5" t="n">
        <v>0.17</v>
      </c>
      <c r="AV108" s="5" t="n">
        <v>1</v>
      </c>
      <c r="AW108" s="5" t="n">
        <v>0.8110000000000001</v>
      </c>
      <c r="AX108" s="5" t="n">
        <v>0.129</v>
      </c>
      <c r="AY108" s="5" t="n">
        <v>0.456</v>
      </c>
      <c r="AZ108" s="5" t="n">
        <v>1.482</v>
      </c>
      <c r="BA108" s="5" t="n">
        <v>0.17</v>
      </c>
      <c r="BB108" s="5" t="n">
        <v>1</v>
      </c>
      <c r="BC108" s="5" t="n">
        <v>0.535</v>
      </c>
      <c r="BD108" s="5" t="n">
        <v>0.129</v>
      </c>
      <c r="BE108" s="5" t="n">
        <v>0.095</v>
      </c>
      <c r="BF108" s="5" t="n">
        <v>0.737</v>
      </c>
      <c r="BG108" s="5" t="n">
        <v>0.17</v>
      </c>
      <c r="BH108" s="5" t="n">
        <v>1</v>
      </c>
      <c r="BI108" s="5" t="n">
        <v>0.579</v>
      </c>
      <c r="BJ108" s="5" t="n">
        <v>0.129</v>
      </c>
      <c r="BK108" s="5" t="n">
        <v>0.229</v>
      </c>
      <c r="BL108" s="5" t="n">
        <v>0.929</v>
      </c>
      <c r="BM108" s="5" t="n">
        <v>0.17</v>
      </c>
      <c r="BN108" s="5" t="n">
        <v>1</v>
      </c>
      <c r="BO108" s="5" t="n">
        <v>0</v>
      </c>
      <c r="BP108" s="5" t="n">
        <v>0.001</v>
      </c>
      <c r="BQ108" s="5" t="n">
        <v>0.092</v>
      </c>
      <c r="BR108" s="5" t="n">
        <v>0</v>
      </c>
      <c r="BS108" s="5" t="n">
        <v>1</v>
      </c>
      <c r="BT108" s="5" t="n">
        <v>0</v>
      </c>
      <c r="BU108" s="5" t="n">
        <v>0.001</v>
      </c>
      <c r="BV108" s="5" t="n">
        <v>0.093</v>
      </c>
      <c r="BW108" s="5" t="n">
        <v>0.17</v>
      </c>
      <c r="BX108" s="5" t="n">
        <v>1</v>
      </c>
      <c r="BY108" s="5" t="n">
        <v>13.254</v>
      </c>
      <c r="BZ108" s="5" t="n">
        <v>0</v>
      </c>
      <c r="CA108" s="5" t="n">
        <v>13.254</v>
      </c>
      <c r="CB108" s="5" t="n">
        <v>0</v>
      </c>
      <c r="CC108" s="5" t="n">
        <v>83.248</v>
      </c>
      <c r="CD108" s="5" t="n">
        <v>7.95</v>
      </c>
      <c r="CE108" s="5" t="n">
        <v>1.567</v>
      </c>
      <c r="CF108" s="5" t="n">
        <v>97.40000000000001</v>
      </c>
      <c r="CG108" s="5" t="n">
        <v>0.17</v>
      </c>
      <c r="CH108" s="5" t="n">
        <v>1</v>
      </c>
      <c r="CI108" s="5" t="n">
        <v>0</v>
      </c>
      <c r="CJ108" s="5" t="n">
        <v>0</v>
      </c>
      <c r="CK108" s="5" t="n">
        <v>0</v>
      </c>
      <c r="CL108" s="5" t="n">
        <v>0</v>
      </c>
      <c r="CM108" s="5" t="n">
        <v>0</v>
      </c>
      <c r="CN108" s="5" t="n">
        <v>0</v>
      </c>
      <c r="CO108" s="5" t="n">
        <v>0</v>
      </c>
      <c r="CP108" s="5" t="n">
        <v>0.781</v>
      </c>
      <c r="CQ108" s="5" t="n">
        <v>1.348</v>
      </c>
      <c r="CR108" s="5" t="n">
        <v>0</v>
      </c>
      <c r="CS108" s="5" t="n">
        <v>5.37</v>
      </c>
      <c r="CT108" s="5" t="n">
        <v>3.466</v>
      </c>
      <c r="CU108" s="5" t="n">
        <v>16.492</v>
      </c>
    </row>
    <row r="109">
      <c r="A109" s="5" t="inlineStr">
        <is>
          <t>BIH2024</t>
        </is>
      </c>
      <c r="B109" s="5" t="inlineStr">
        <is>
          <t>BIH</t>
        </is>
      </c>
      <c r="C109" s="5" t="inlineStr">
        <is>
          <t>BIH</t>
        </is>
      </c>
      <c r="D109" s="5" t="inlineStr">
        <is>
          <t>Bosnia and Herzegovina</t>
        </is>
      </c>
      <c r="E109" s="5" t="n">
        <v>2024</v>
      </c>
      <c r="F109" s="5" t="n">
        <v>0.17</v>
      </c>
      <c r="G109" s="5" t="n">
        <v>2.553</v>
      </c>
      <c r="H109" s="5" t="n">
        <v>0.8070000000000001</v>
      </c>
      <c r="I109" s="5" t="n">
        <v>0.143</v>
      </c>
      <c r="J109" s="5" t="n">
        <v>2.696</v>
      </c>
      <c r="K109" s="5" t="n">
        <v>0</v>
      </c>
      <c r="L109" s="5" t="n">
        <v>1</v>
      </c>
      <c r="M109" s="5" t="n">
        <v>4.194</v>
      </c>
      <c r="N109" s="5" t="n">
        <v>2.42</v>
      </c>
      <c r="O109" s="5" t="n">
        <v>-1.583</v>
      </c>
      <c r="P109" s="5" t="n">
        <v>2.61</v>
      </c>
      <c r="Q109" s="5" t="n">
        <v>0</v>
      </c>
      <c r="R109" s="5" t="n">
        <v>0</v>
      </c>
      <c r="S109" s="5" t="n">
        <v>6.586</v>
      </c>
      <c r="T109" s="5" t="n">
        <v>4.84</v>
      </c>
      <c r="U109" s="5" t="n">
        <v>0.153</v>
      </c>
      <c r="V109" s="5" t="n">
        <v>7.706</v>
      </c>
      <c r="W109" s="5" t="n">
        <v>0.17</v>
      </c>
      <c r="X109" s="5" t="n">
        <v>1</v>
      </c>
      <c r="Y109" s="5" t="n">
        <v>15.707</v>
      </c>
      <c r="Z109" s="5" t="n">
        <v>1.983</v>
      </c>
      <c r="AA109" s="5" t="n">
        <v>0.138</v>
      </c>
      <c r="AB109" s="5" t="n">
        <v>15.846</v>
      </c>
      <c r="AC109" s="5" t="n">
        <v>0</v>
      </c>
      <c r="AD109" s="5" t="n">
        <v>1</v>
      </c>
      <c r="AE109" s="5" t="n">
        <v>15.707</v>
      </c>
      <c r="AF109" s="5" t="n">
        <v>3.441</v>
      </c>
      <c r="AG109" s="5" t="n">
        <v>0.138</v>
      </c>
      <c r="AH109" s="5" t="n">
        <v>15.846</v>
      </c>
      <c r="AI109" s="5" t="n">
        <v>0</v>
      </c>
      <c r="AJ109" s="5" t="n">
        <v>1</v>
      </c>
      <c r="AK109" s="5" t="n">
        <v>20.479</v>
      </c>
      <c r="AL109" s="5" t="n">
        <v>10.416</v>
      </c>
      <c r="AM109" s="5" t="n">
        <v>-6.978</v>
      </c>
      <c r="AN109" s="5" t="n">
        <v>15.796</v>
      </c>
      <c r="AO109" s="5" t="n">
        <v>0</v>
      </c>
      <c r="AP109" s="5" t="n">
        <v>0</v>
      </c>
      <c r="AQ109" s="5" t="n">
        <v>0.724</v>
      </c>
      <c r="AR109" s="5" t="n">
        <v>0.132</v>
      </c>
      <c r="AS109" s="5" t="n">
        <v>0.486</v>
      </c>
      <c r="AT109" s="5" t="n">
        <v>1.416</v>
      </c>
      <c r="AU109" s="5" t="n">
        <v>0.17</v>
      </c>
      <c r="AV109" s="5" t="n">
        <v>1</v>
      </c>
      <c r="AW109" s="5" t="n">
        <v>0.75</v>
      </c>
      <c r="AX109" s="5" t="n">
        <v>0.132</v>
      </c>
      <c r="AY109" s="5" t="n">
        <v>0.448</v>
      </c>
      <c r="AZ109" s="5" t="n">
        <v>1.402</v>
      </c>
      <c r="BA109" s="5" t="n">
        <v>0.17</v>
      </c>
      <c r="BB109" s="5" t="n">
        <v>1</v>
      </c>
      <c r="BC109" s="5" t="n">
        <v>0.513</v>
      </c>
      <c r="BD109" s="5" t="n">
        <v>0.132</v>
      </c>
      <c r="BE109" s="5" t="n">
        <v>0.08799999999999999</v>
      </c>
      <c r="BF109" s="5" t="n">
        <v>0.703</v>
      </c>
      <c r="BG109" s="5" t="n">
        <v>0.17</v>
      </c>
      <c r="BH109" s="5" t="n">
        <v>1</v>
      </c>
      <c r="BI109" s="5" t="n">
        <v>0.591</v>
      </c>
      <c r="BJ109" s="5" t="n">
        <v>0.132</v>
      </c>
      <c r="BK109" s="5" t="n">
        <v>0.239</v>
      </c>
      <c r="BL109" s="5" t="n">
        <v>0.95</v>
      </c>
      <c r="BM109" s="5" t="n">
        <v>0.17</v>
      </c>
      <c r="BN109" s="5" t="n">
        <v>1</v>
      </c>
      <c r="BO109" s="5" t="n">
        <v>0</v>
      </c>
      <c r="BP109" s="5" t="n">
        <v>0</v>
      </c>
      <c r="BQ109" s="5" t="n">
        <v>0.096</v>
      </c>
      <c r="BR109" s="5" t="n">
        <v>0</v>
      </c>
      <c r="BS109" s="5" t="n">
        <v>1</v>
      </c>
      <c r="BT109" s="5" t="n">
        <v>0</v>
      </c>
      <c r="BU109" s="5" t="n">
        <v>0.001</v>
      </c>
      <c r="BV109" s="5" t="n">
        <v>0.095</v>
      </c>
      <c r="BW109" s="5" t="n">
        <v>0.17</v>
      </c>
      <c r="BX109" s="5" t="n">
        <v>1</v>
      </c>
      <c r="BY109" s="5" t="n">
        <v>13.646</v>
      </c>
      <c r="BZ109" s="5" t="n">
        <v>0</v>
      </c>
      <c r="CA109" s="5" t="n">
        <v>13.646</v>
      </c>
      <c r="CB109" s="5" t="n">
        <v>0</v>
      </c>
      <c r="CC109" s="5" t="n">
        <v>82.58799999999999</v>
      </c>
      <c r="CD109" s="5" t="n">
        <v>7.95</v>
      </c>
      <c r="CE109" s="5" t="n">
        <v>1.912</v>
      </c>
      <c r="CF109" s="5" t="n">
        <v>96.628</v>
      </c>
      <c r="CG109" s="5" t="n">
        <v>0.17</v>
      </c>
      <c r="CH109" s="5" t="n">
        <v>1</v>
      </c>
      <c r="CI109" s="5" t="n">
        <v>0</v>
      </c>
      <c r="CJ109" s="5" t="n">
        <v>0</v>
      </c>
      <c r="CK109" s="5" t="n">
        <v>0</v>
      </c>
      <c r="CL109" s="5" t="n">
        <v>0</v>
      </c>
      <c r="CM109" s="5" t="n">
        <v>0</v>
      </c>
      <c r="CN109" s="5" t="n">
        <v>0</v>
      </c>
      <c r="CO109" s="5" t="n">
        <v>0</v>
      </c>
      <c r="CP109" s="5" t="n">
        <v>0.781</v>
      </c>
      <c r="CQ109" s="5" t="n">
        <v>1.387</v>
      </c>
      <c r="CR109" s="5" t="n">
        <v>0</v>
      </c>
      <c r="CS109" s="5" t="n">
        <v>5.529</v>
      </c>
      <c r="CT109" s="5" t="n">
        <v>3.027</v>
      </c>
      <c r="CU109" s="5" t="n">
        <v>13.942</v>
      </c>
    </row>
    <row r="110">
      <c r="A110" s="5" t="inlineStr">
        <is>
          <t>BWA2021</t>
        </is>
      </c>
      <c r="B110" s="5" t="inlineStr">
        <is>
          <t>BWA</t>
        </is>
      </c>
      <c r="C110" s="5" t="inlineStr">
        <is>
          <t>BWA</t>
        </is>
      </c>
      <c r="D110" s="5" t="inlineStr">
        <is>
          <t>Botswana</t>
        </is>
      </c>
      <c r="E110" s="5" t="n">
        <v>2021</v>
      </c>
      <c r="F110" s="5" t="n">
        <v>0.12</v>
      </c>
      <c r="G110" s="5" t="n">
        <v>1.77</v>
      </c>
      <c r="H110" s="5" t="n">
        <v>0.572</v>
      </c>
      <c r="I110" s="5" t="n">
        <v>0</v>
      </c>
      <c r="J110" s="5" t="n">
        <v>1.77</v>
      </c>
      <c r="K110" s="5" t="n">
        <v>0</v>
      </c>
      <c r="L110" s="5" t="n">
        <v>1</v>
      </c>
      <c r="M110" s="5" t="n">
        <v>2.913</v>
      </c>
      <c r="N110" s="5" t="n">
        <v>1.715</v>
      </c>
      <c r="O110" s="5" t="n">
        <v>0</v>
      </c>
      <c r="P110" s="5" t="n">
        <v>2.913</v>
      </c>
      <c r="Q110" s="5" t="n">
        <v>0</v>
      </c>
      <c r="R110" s="5" t="n">
        <v>1</v>
      </c>
      <c r="S110" s="5" t="n">
        <v>4.628</v>
      </c>
      <c r="T110" s="5" t="n">
        <v>3.43</v>
      </c>
      <c r="U110" s="5" t="n">
        <v>0</v>
      </c>
      <c r="V110" s="5" t="n">
        <v>5.276</v>
      </c>
      <c r="W110" s="5" t="n">
        <v>0.14</v>
      </c>
      <c r="X110" s="5" t="n">
        <v>1</v>
      </c>
      <c r="Y110" s="5" t="n">
        <v>14.663</v>
      </c>
      <c r="Z110" s="5" t="n">
        <v>1.982</v>
      </c>
      <c r="AA110" s="5" t="n">
        <v>0</v>
      </c>
      <c r="AB110" s="5" t="n">
        <v>14.663</v>
      </c>
      <c r="AC110" s="5" t="n">
        <v>0</v>
      </c>
      <c r="AD110" s="5" t="n">
        <v>1</v>
      </c>
      <c r="AE110" s="5" t="n">
        <v>15.806</v>
      </c>
      <c r="AF110" s="5" t="n">
        <v>3.696</v>
      </c>
      <c r="AG110" s="5" t="n">
        <v>0</v>
      </c>
      <c r="AH110" s="5" t="n">
        <v>15.806</v>
      </c>
      <c r="AI110" s="5" t="n">
        <v>0</v>
      </c>
      <c r="AJ110" s="5" t="n">
        <v>1</v>
      </c>
      <c r="AK110" s="5" t="n">
        <v>22.666</v>
      </c>
      <c r="AL110" s="5" t="n">
        <v>12.072</v>
      </c>
      <c r="AM110" s="5" t="n">
        <v>0</v>
      </c>
      <c r="AN110" s="5" t="n">
        <v>25.839</v>
      </c>
      <c r="AO110" s="5" t="n">
        <v>0.14</v>
      </c>
      <c r="AP110" s="5" t="n">
        <v>1</v>
      </c>
      <c r="AQ110" s="5" t="n">
        <v>0.619</v>
      </c>
      <c r="AR110" s="5" t="n">
        <v>0.114</v>
      </c>
      <c r="AS110" s="5" t="n">
        <v>0.424</v>
      </c>
      <c r="AT110" s="5" t="n">
        <v>1.189</v>
      </c>
      <c r="AU110" s="5" t="n">
        <v>0.14</v>
      </c>
      <c r="AV110" s="5" t="n">
        <v>1</v>
      </c>
      <c r="AW110" s="5" t="n">
        <v>0.599</v>
      </c>
      <c r="AX110" s="5" t="n">
        <v>0.114</v>
      </c>
      <c r="AY110" s="5" t="n">
        <v>0.206</v>
      </c>
      <c r="AZ110" s="5" t="n">
        <v>0.918</v>
      </c>
      <c r="BA110" s="5" t="n">
        <v>0.14</v>
      </c>
      <c r="BB110" s="5" t="n">
        <v>1</v>
      </c>
      <c r="BC110" s="5" t="n">
        <v>0.439</v>
      </c>
      <c r="BD110" s="5" t="n">
        <v>0.114</v>
      </c>
      <c r="BE110" s="5" t="n">
        <v>0.679</v>
      </c>
      <c r="BF110" s="5" t="n">
        <v>1.118</v>
      </c>
      <c r="BG110" s="5" t="n">
        <v>0</v>
      </c>
      <c r="BH110" s="5" t="n">
        <v>1</v>
      </c>
      <c r="BI110" s="5" t="n">
        <v>0.505</v>
      </c>
      <c r="BJ110" s="5" t="n">
        <v>0.114</v>
      </c>
      <c r="BK110" s="5" t="n">
        <v>0.192</v>
      </c>
      <c r="BL110" s="5" t="n">
        <v>0.794</v>
      </c>
      <c r="BM110" s="5" t="n">
        <v>0.14</v>
      </c>
      <c r="BN110" s="5" t="n">
        <v>1</v>
      </c>
      <c r="BO110" s="5" t="n">
        <v>0</v>
      </c>
      <c r="BP110" s="5" t="n">
        <v>0</v>
      </c>
      <c r="BQ110" s="5" t="n">
        <v>0.124</v>
      </c>
      <c r="BR110" s="5" t="n">
        <v>0</v>
      </c>
      <c r="BS110" s="5" t="n">
        <v>1</v>
      </c>
      <c r="BT110" s="5" t="n">
        <v>0</v>
      </c>
      <c r="BU110" s="5" t="n">
        <v>0</v>
      </c>
      <c r="BV110" s="5" t="n">
        <v>0.108</v>
      </c>
      <c r="BW110" s="5" t="n">
        <v>0.14</v>
      </c>
      <c r="BX110" s="5" t="n">
        <v>1</v>
      </c>
      <c r="BY110" s="5" t="n">
        <v>11.787</v>
      </c>
      <c r="BZ110" s="5" t="n">
        <v>0</v>
      </c>
      <c r="CA110" s="5" t="n">
        <v>11.787</v>
      </c>
      <c r="CB110" s="5" t="n">
        <v>0</v>
      </c>
      <c r="CC110" s="5" t="n">
        <v>78.125</v>
      </c>
      <c r="CD110" s="5" t="n">
        <v>7.95</v>
      </c>
      <c r="CE110" s="5" t="n">
        <v>34.597</v>
      </c>
      <c r="CF110" s="5" t="n">
        <v>128.503</v>
      </c>
      <c r="CG110" s="5" t="n">
        <v>0.14</v>
      </c>
      <c r="CH110" s="5" t="n">
        <v>1</v>
      </c>
      <c r="CI110" s="5" t="n">
        <v>0</v>
      </c>
      <c r="CJ110" s="5" t="n">
        <v>0</v>
      </c>
      <c r="CK110" s="5" t="n">
        <v>0</v>
      </c>
      <c r="CL110" s="5" t="n">
        <v>0</v>
      </c>
      <c r="CM110" s="5" t="n">
        <v>0</v>
      </c>
      <c r="CN110" s="5" t="n">
        <v>0</v>
      </c>
      <c r="CO110" s="5" t="n">
        <v>0</v>
      </c>
      <c r="CP110" s="5" t="n">
        <v>1</v>
      </c>
      <c r="CQ110" s="5" t="n">
        <v>1.198</v>
      </c>
      <c r="CR110" s="5" t="n">
        <v>0</v>
      </c>
      <c r="CS110" s="5" t="n">
        <v>1.643</v>
      </c>
      <c r="CT110" s="5" t="n">
        <v>4.753</v>
      </c>
      <c r="CU110" s="5" t="n">
        <v>15.162</v>
      </c>
    </row>
    <row r="111">
      <c r="A111" s="5" t="inlineStr">
        <is>
          <t>BWA2022</t>
        </is>
      </c>
      <c r="B111" s="5" t="inlineStr">
        <is>
          <t>BWA</t>
        </is>
      </c>
      <c r="C111" s="5" t="inlineStr">
        <is>
          <t>BWA</t>
        </is>
      </c>
      <c r="D111" s="5" t="inlineStr">
        <is>
          <t>Botswana</t>
        </is>
      </c>
      <c r="E111" s="5" t="n">
        <v>2022</v>
      </c>
      <c r="F111" s="5" t="n">
        <v>0.12</v>
      </c>
      <c r="G111" s="5" t="n">
        <v>1.911</v>
      </c>
      <c r="H111" s="5" t="n">
        <v>0.617</v>
      </c>
      <c r="I111" s="5" t="n">
        <v>0</v>
      </c>
      <c r="J111" s="5" t="n">
        <v>1.911</v>
      </c>
      <c r="K111" s="5" t="n">
        <v>0</v>
      </c>
      <c r="L111" s="5" t="n">
        <v>1</v>
      </c>
      <c r="M111" s="5" t="n">
        <v>3.146</v>
      </c>
      <c r="N111" s="5" t="n">
        <v>1.852</v>
      </c>
      <c r="O111" s="5" t="n">
        <v>0</v>
      </c>
      <c r="P111" s="5" t="n">
        <v>3.146</v>
      </c>
      <c r="Q111" s="5" t="n">
        <v>0</v>
      </c>
      <c r="R111" s="5" t="n">
        <v>1</v>
      </c>
      <c r="S111" s="5" t="n">
        <v>4.998</v>
      </c>
      <c r="T111" s="5" t="n">
        <v>3.704</v>
      </c>
      <c r="U111" s="5" t="n">
        <v>0.052</v>
      </c>
      <c r="V111" s="5" t="n">
        <v>5.698</v>
      </c>
      <c r="W111" s="5" t="n">
        <v>0.14</v>
      </c>
      <c r="X111" s="5" t="n">
        <v>1</v>
      </c>
      <c r="Y111" s="5" t="n">
        <v>30.514</v>
      </c>
      <c r="Z111" s="5" t="n">
        <v>4.124</v>
      </c>
      <c r="AA111" s="5" t="n">
        <v>0</v>
      </c>
      <c r="AB111" s="5" t="n">
        <v>30.514</v>
      </c>
      <c r="AC111" s="5" t="n">
        <v>0</v>
      </c>
      <c r="AD111" s="5" t="n">
        <v>1</v>
      </c>
      <c r="AE111" s="5" t="n">
        <v>31.748</v>
      </c>
      <c r="AF111" s="5" t="n">
        <v>7.424</v>
      </c>
      <c r="AG111" s="5" t="n">
        <v>0</v>
      </c>
      <c r="AH111" s="5" t="n">
        <v>31.748</v>
      </c>
      <c r="AI111" s="5" t="n">
        <v>0</v>
      </c>
      <c r="AJ111" s="5" t="n">
        <v>1</v>
      </c>
      <c r="AK111" s="5" t="n">
        <v>39.157</v>
      </c>
      <c r="AL111" s="5" t="n">
        <v>20.855</v>
      </c>
      <c r="AM111" s="5" t="n">
        <v>0.406</v>
      </c>
      <c r="AN111" s="5" t="n">
        <v>44.638</v>
      </c>
      <c r="AO111" s="5" t="n">
        <v>0.14</v>
      </c>
      <c r="AP111" s="5" t="n">
        <v>1</v>
      </c>
      <c r="AQ111" s="5" t="n">
        <v>0.861</v>
      </c>
      <c r="AR111" s="5" t="n">
        <v>0.123</v>
      </c>
      <c r="AS111" s="5" t="n">
        <v>0.246</v>
      </c>
      <c r="AT111" s="5" t="n">
        <v>1.262</v>
      </c>
      <c r="AU111" s="5" t="n">
        <v>0.14</v>
      </c>
      <c r="AV111" s="5" t="n">
        <v>1</v>
      </c>
      <c r="AW111" s="5" t="n">
        <v>0.986</v>
      </c>
      <c r="AX111" s="5" t="n">
        <v>0.123</v>
      </c>
      <c r="AY111" s="5" t="n">
        <v>0.184</v>
      </c>
      <c r="AZ111" s="5" t="n">
        <v>1.334</v>
      </c>
      <c r="BA111" s="5" t="n">
        <v>0.14</v>
      </c>
      <c r="BB111" s="5" t="n">
        <v>1</v>
      </c>
      <c r="BC111" s="5" t="n">
        <v>0.598</v>
      </c>
      <c r="BD111" s="5" t="n">
        <v>0.123</v>
      </c>
      <c r="BE111" s="5" t="n">
        <v>0.529</v>
      </c>
      <c r="BF111" s="5" t="n">
        <v>1.127</v>
      </c>
      <c r="BG111" s="5" t="n">
        <v>0</v>
      </c>
      <c r="BH111" s="5" t="n">
        <v>1</v>
      </c>
      <c r="BI111" s="5" t="n">
        <v>0.612</v>
      </c>
      <c r="BJ111" s="5" t="n">
        <v>0.123</v>
      </c>
      <c r="BK111" s="5" t="n">
        <v>0.375</v>
      </c>
      <c r="BL111" s="5" t="n">
        <v>1.125</v>
      </c>
      <c r="BM111" s="5" t="n">
        <v>0.14</v>
      </c>
      <c r="BN111" s="5" t="n">
        <v>1</v>
      </c>
      <c r="BO111" s="5" t="n">
        <v>0</v>
      </c>
      <c r="BP111" s="5" t="n">
        <v>0</v>
      </c>
      <c r="BQ111" s="5" t="n">
        <v>0.118</v>
      </c>
      <c r="BR111" s="5" t="n">
        <v>0</v>
      </c>
      <c r="BS111" s="5" t="n">
        <v>1</v>
      </c>
      <c r="BT111" s="5" t="n">
        <v>0</v>
      </c>
      <c r="BU111" s="5" t="n">
        <v>0</v>
      </c>
      <c r="BV111" s="5" t="n">
        <v>0.103</v>
      </c>
      <c r="BW111" s="5" t="n">
        <v>0.14</v>
      </c>
      <c r="BX111" s="5" t="n">
        <v>1</v>
      </c>
      <c r="BY111" s="5" t="n">
        <v>12.729</v>
      </c>
      <c r="BZ111" s="5" t="n">
        <v>0</v>
      </c>
      <c r="CA111" s="5" t="n">
        <v>12.729</v>
      </c>
      <c r="CB111" s="5" t="n">
        <v>0</v>
      </c>
      <c r="CC111" s="5" t="n">
        <v>97.90000000000001</v>
      </c>
      <c r="CD111" s="5" t="n">
        <v>7.95</v>
      </c>
      <c r="CE111" s="5" t="n">
        <v>59.54</v>
      </c>
      <c r="CF111" s="5" t="n">
        <v>179.481</v>
      </c>
      <c r="CG111" s="5" t="n">
        <v>0.14</v>
      </c>
      <c r="CH111" s="5" t="n">
        <v>1</v>
      </c>
      <c r="CI111" s="5" t="n">
        <v>0</v>
      </c>
      <c r="CJ111" s="5" t="n">
        <v>0</v>
      </c>
      <c r="CK111" s="5" t="n">
        <v>0</v>
      </c>
      <c r="CL111" s="5" t="n">
        <v>0</v>
      </c>
      <c r="CM111" s="5" t="n">
        <v>0</v>
      </c>
      <c r="CN111" s="5" t="n">
        <v>0</v>
      </c>
      <c r="CO111" s="5" t="n">
        <v>0</v>
      </c>
      <c r="CP111" s="5" t="n">
        <v>1</v>
      </c>
      <c r="CQ111" s="5" t="n">
        <v>1.294</v>
      </c>
      <c r="CR111" s="5" t="n">
        <v>0</v>
      </c>
      <c r="CS111" s="5" t="n">
        <v>1.774</v>
      </c>
      <c r="CT111" s="5" t="n">
        <v>10.485</v>
      </c>
      <c r="CU111" s="5" t="n">
        <v>31.326</v>
      </c>
    </row>
    <row r="112">
      <c r="A112" s="5" t="inlineStr">
        <is>
          <t>BWA2023</t>
        </is>
      </c>
      <c r="B112" s="5" t="inlineStr">
        <is>
          <t>BWA</t>
        </is>
      </c>
      <c r="C112" s="5" t="inlineStr">
        <is>
          <t>BWA</t>
        </is>
      </c>
      <c r="D112" s="5" t="inlineStr">
        <is>
          <t>Botswana</t>
        </is>
      </c>
      <c r="E112" s="5" t="n">
        <v>2023</v>
      </c>
      <c r="F112" s="5" t="n">
        <v>0.12</v>
      </c>
      <c r="G112" s="5" t="n">
        <v>1.99</v>
      </c>
      <c r="H112" s="5" t="n">
        <v>0.643</v>
      </c>
      <c r="I112" s="5" t="n">
        <v>0</v>
      </c>
      <c r="J112" s="5" t="n">
        <v>1.99</v>
      </c>
      <c r="K112" s="5" t="n">
        <v>0</v>
      </c>
      <c r="L112" s="5" t="n">
        <v>1</v>
      </c>
      <c r="M112" s="5" t="n">
        <v>3.276</v>
      </c>
      <c r="N112" s="5" t="n">
        <v>1.928</v>
      </c>
      <c r="O112" s="5" t="n">
        <v>0</v>
      </c>
      <c r="P112" s="5" t="n">
        <v>3.276</v>
      </c>
      <c r="Q112" s="5" t="n">
        <v>0</v>
      </c>
      <c r="R112" s="5" t="n">
        <v>1</v>
      </c>
      <c r="S112" s="5" t="n">
        <v>5.205</v>
      </c>
      <c r="T112" s="5" t="n">
        <v>3.857</v>
      </c>
      <c r="U112" s="5" t="n">
        <v>0.081</v>
      </c>
      <c r="V112" s="5" t="n">
        <v>5.933</v>
      </c>
      <c r="W112" s="5" t="n">
        <v>0.14</v>
      </c>
      <c r="X112" s="5" t="n">
        <v>1</v>
      </c>
      <c r="Y112" s="5" t="n">
        <v>12.039</v>
      </c>
      <c r="Z112" s="5" t="n">
        <v>1.627</v>
      </c>
      <c r="AA112" s="5" t="n">
        <v>0</v>
      </c>
      <c r="AB112" s="5" t="n">
        <v>12.039</v>
      </c>
      <c r="AC112" s="5" t="n">
        <v>0</v>
      </c>
      <c r="AD112" s="5" t="n">
        <v>1</v>
      </c>
      <c r="AE112" s="5" t="n">
        <v>13.324</v>
      </c>
      <c r="AF112" s="5" t="n">
        <v>3.116</v>
      </c>
      <c r="AG112" s="5" t="n">
        <v>0</v>
      </c>
      <c r="AH112" s="5" t="n">
        <v>13.324</v>
      </c>
      <c r="AI112" s="5" t="n">
        <v>0</v>
      </c>
      <c r="AJ112" s="5" t="n">
        <v>1</v>
      </c>
      <c r="AK112" s="5" t="n">
        <v>21.038</v>
      </c>
      <c r="AL112" s="5" t="n">
        <v>11.205</v>
      </c>
      <c r="AM112" s="5" t="n">
        <v>0.326</v>
      </c>
      <c r="AN112" s="5" t="n">
        <v>23.984</v>
      </c>
      <c r="AO112" s="5" t="n">
        <v>0.14</v>
      </c>
      <c r="AP112" s="5" t="n">
        <v>1</v>
      </c>
      <c r="AQ112" s="5" t="n">
        <v>0.76</v>
      </c>
      <c r="AR112" s="5" t="n">
        <v>0.129</v>
      </c>
      <c r="AS112" s="5" t="n">
        <v>0.231</v>
      </c>
      <c r="AT112" s="5" t="n">
        <v>1.13</v>
      </c>
      <c r="AU112" s="5" t="n">
        <v>0.14</v>
      </c>
      <c r="AV112" s="5" t="n">
        <v>1</v>
      </c>
      <c r="AW112" s="5" t="n">
        <v>0.8110000000000001</v>
      </c>
      <c r="AX112" s="5" t="n">
        <v>0.129</v>
      </c>
      <c r="AY112" s="5" t="n">
        <v>0.251</v>
      </c>
      <c r="AZ112" s="5" t="n">
        <v>1.211</v>
      </c>
      <c r="BA112" s="5" t="n">
        <v>0.14</v>
      </c>
      <c r="BB112" s="5" t="n">
        <v>1</v>
      </c>
      <c r="BC112" s="5" t="n">
        <v>0.535</v>
      </c>
      <c r="BD112" s="5" t="n">
        <v>0.129</v>
      </c>
      <c r="BE112" s="5" t="n">
        <v>0.474</v>
      </c>
      <c r="BF112" s="5" t="n">
        <v>1.009</v>
      </c>
      <c r="BG112" s="5" t="n">
        <v>0</v>
      </c>
      <c r="BH112" s="5" t="n">
        <v>1</v>
      </c>
      <c r="BI112" s="5" t="n">
        <v>0.579</v>
      </c>
      <c r="BJ112" s="5" t="n">
        <v>0.129</v>
      </c>
      <c r="BK112" s="5" t="n">
        <v>0.345</v>
      </c>
      <c r="BL112" s="5" t="n">
        <v>1.053</v>
      </c>
      <c r="BM112" s="5" t="n">
        <v>0.14</v>
      </c>
      <c r="BN112" s="5" t="n">
        <v>1</v>
      </c>
      <c r="BO112" s="5" t="n">
        <v>0</v>
      </c>
      <c r="BP112" s="5" t="n">
        <v>0</v>
      </c>
      <c r="BQ112" s="5" t="n">
        <v>0.115</v>
      </c>
      <c r="BR112" s="5" t="n">
        <v>0</v>
      </c>
      <c r="BS112" s="5" t="n">
        <v>1</v>
      </c>
      <c r="BT112" s="5" t="n">
        <v>0</v>
      </c>
      <c r="BU112" s="5" t="n">
        <v>0</v>
      </c>
      <c r="BV112" s="5" t="n">
        <v>0.095</v>
      </c>
      <c r="BW112" s="5" t="n">
        <v>0.14</v>
      </c>
      <c r="BX112" s="5" t="n">
        <v>1</v>
      </c>
      <c r="BY112" s="5" t="n">
        <v>13.254</v>
      </c>
      <c r="BZ112" s="5" t="n">
        <v>0</v>
      </c>
      <c r="CA112" s="5" t="n">
        <v>13.254</v>
      </c>
      <c r="CB112" s="5" t="n">
        <v>0</v>
      </c>
      <c r="CC112" s="5" t="n">
        <v>83.248</v>
      </c>
      <c r="CD112" s="5" t="n">
        <v>7.95</v>
      </c>
      <c r="CE112" s="5" t="n">
        <v>77.672</v>
      </c>
      <c r="CF112" s="5" t="n">
        <v>183.448</v>
      </c>
      <c r="CG112" s="5" t="n">
        <v>0.14</v>
      </c>
      <c r="CH112" s="5" t="n">
        <v>1</v>
      </c>
      <c r="CI112" s="5" t="n">
        <v>0</v>
      </c>
      <c r="CJ112" s="5" t="n">
        <v>0</v>
      </c>
      <c r="CK112" s="5" t="n">
        <v>0</v>
      </c>
      <c r="CL112" s="5" t="n">
        <v>0</v>
      </c>
      <c r="CM112" s="5" t="n">
        <v>0</v>
      </c>
      <c r="CN112" s="5" t="n">
        <v>0</v>
      </c>
      <c r="CO112" s="5" t="n">
        <v>0</v>
      </c>
      <c r="CP112" s="5" t="n">
        <v>1</v>
      </c>
      <c r="CQ112" s="5" t="n">
        <v>1.348</v>
      </c>
      <c r="CR112" s="5" t="n">
        <v>0</v>
      </c>
      <c r="CS112" s="5" t="n">
        <v>1.847</v>
      </c>
      <c r="CT112" s="5" t="n">
        <v>4.861</v>
      </c>
      <c r="CU112" s="5" t="n">
        <v>11.622</v>
      </c>
    </row>
    <row r="113">
      <c r="A113" s="5" t="inlineStr">
        <is>
          <t>BWA2024</t>
        </is>
      </c>
      <c r="B113" s="5" t="inlineStr">
        <is>
          <t>BWA</t>
        </is>
      </c>
      <c r="C113" s="5" t="inlineStr">
        <is>
          <t>BWA</t>
        </is>
      </c>
      <c r="D113" s="5" t="inlineStr">
        <is>
          <t>Botswana</t>
        </is>
      </c>
      <c r="E113" s="5" t="n">
        <v>2024</v>
      </c>
      <c r="F113" s="5" t="n">
        <v>0.12</v>
      </c>
      <c r="G113" s="5" t="n">
        <v>2.049</v>
      </c>
      <c r="H113" s="5" t="n">
        <v>0.662</v>
      </c>
      <c r="I113" s="5" t="n">
        <v>0</v>
      </c>
      <c r="J113" s="5" t="n">
        <v>2.049</v>
      </c>
      <c r="K113" s="5" t="n">
        <v>0</v>
      </c>
      <c r="L113" s="5" t="n">
        <v>1</v>
      </c>
      <c r="M113" s="5" t="n">
        <v>3.373</v>
      </c>
      <c r="N113" s="5" t="n">
        <v>1.985</v>
      </c>
      <c r="O113" s="5" t="n">
        <v>0</v>
      </c>
      <c r="P113" s="5" t="n">
        <v>3.373</v>
      </c>
      <c r="Q113" s="5" t="n">
        <v>0</v>
      </c>
      <c r="R113" s="5" t="n">
        <v>1</v>
      </c>
      <c r="S113" s="5" t="n">
        <v>5.358</v>
      </c>
      <c r="T113" s="5" t="n">
        <v>3.971</v>
      </c>
      <c r="U113" s="5" t="n">
        <v>0.102</v>
      </c>
      <c r="V113" s="5" t="n">
        <v>6.108</v>
      </c>
      <c r="W113" s="5" t="n">
        <v>0.14</v>
      </c>
      <c r="X113" s="5" t="n">
        <v>1</v>
      </c>
      <c r="Y113" s="5" t="n">
        <v>10.757</v>
      </c>
      <c r="Z113" s="5" t="n">
        <v>1.454</v>
      </c>
      <c r="AA113" s="5" t="n">
        <v>0</v>
      </c>
      <c r="AB113" s="5" t="n">
        <v>10.757</v>
      </c>
      <c r="AC113" s="5" t="n">
        <v>0</v>
      </c>
      <c r="AD113" s="5" t="n">
        <v>1</v>
      </c>
      <c r="AE113" s="5" t="n">
        <v>12.08</v>
      </c>
      <c r="AF113" s="5" t="n">
        <v>2.825</v>
      </c>
      <c r="AG113" s="5" t="n">
        <v>0</v>
      </c>
      <c r="AH113" s="5" t="n">
        <v>12.08</v>
      </c>
      <c r="AI113" s="5" t="n">
        <v>0</v>
      </c>
      <c r="AJ113" s="5" t="n">
        <v>1</v>
      </c>
      <c r="AK113" s="5" t="n">
        <v>20.022</v>
      </c>
      <c r="AL113" s="5" t="n">
        <v>10.664</v>
      </c>
      <c r="AM113" s="5" t="n">
        <v>0.382</v>
      </c>
      <c r="AN113" s="5" t="n">
        <v>22.825</v>
      </c>
      <c r="AO113" s="5" t="n">
        <v>0.14</v>
      </c>
      <c r="AP113" s="5" t="n">
        <v>1</v>
      </c>
      <c r="AQ113" s="5" t="n">
        <v>0.724</v>
      </c>
      <c r="AR113" s="5" t="n">
        <v>0.132</v>
      </c>
      <c r="AS113" s="5" t="n">
        <v>0.29</v>
      </c>
      <c r="AT113" s="5" t="n">
        <v>1.156</v>
      </c>
      <c r="AU113" s="5" t="n">
        <v>0.14</v>
      </c>
      <c r="AV113" s="5" t="n">
        <v>1</v>
      </c>
      <c r="AW113" s="5" t="n">
        <v>0.75</v>
      </c>
      <c r="AX113" s="5" t="n">
        <v>0.132</v>
      </c>
      <c r="AY113" s="5" t="n">
        <v>0.294</v>
      </c>
      <c r="AZ113" s="5" t="n">
        <v>1.19</v>
      </c>
      <c r="BA113" s="5" t="n">
        <v>0.14</v>
      </c>
      <c r="BB113" s="5" t="n">
        <v>1</v>
      </c>
      <c r="BC113" s="5" t="n">
        <v>0.513</v>
      </c>
      <c r="BD113" s="5" t="n">
        <v>0.132</v>
      </c>
      <c r="BE113" s="5" t="n">
        <v>0.455</v>
      </c>
      <c r="BF113" s="5" t="n">
        <v>0.968</v>
      </c>
      <c r="BG113" s="5" t="n">
        <v>0</v>
      </c>
      <c r="BH113" s="5" t="n">
        <v>1</v>
      </c>
      <c r="BI113" s="5" t="n">
        <v>0.591</v>
      </c>
      <c r="BJ113" s="5" t="n">
        <v>0.132</v>
      </c>
      <c r="BK113" s="5" t="n">
        <v>0.286</v>
      </c>
      <c r="BL113" s="5" t="n">
        <v>1.001</v>
      </c>
      <c r="BM113" s="5" t="n">
        <v>0.14</v>
      </c>
      <c r="BN113" s="5" t="n">
        <v>1</v>
      </c>
      <c r="BO113" s="5" t="n">
        <v>0</v>
      </c>
      <c r="BP113" s="5" t="n">
        <v>0</v>
      </c>
      <c r="BQ113" s="5" t="n">
        <v>0.108</v>
      </c>
      <c r="BR113" s="5" t="n">
        <v>0</v>
      </c>
      <c r="BS113" s="5" t="n">
        <v>1</v>
      </c>
      <c r="BT113" s="5" t="n">
        <v>0</v>
      </c>
      <c r="BU113" s="5" t="n">
        <v>0</v>
      </c>
      <c r="BV113" s="5" t="n">
        <v>0.094</v>
      </c>
      <c r="BW113" s="5" t="n">
        <v>0.14</v>
      </c>
      <c r="BX113" s="5" t="n">
        <v>1</v>
      </c>
      <c r="BY113" s="5" t="n">
        <v>13.646</v>
      </c>
      <c r="BZ113" s="5" t="n">
        <v>0</v>
      </c>
      <c r="CA113" s="5" t="n">
        <v>13.646</v>
      </c>
      <c r="CB113" s="5" t="n">
        <v>0</v>
      </c>
      <c r="CC113" s="5" t="n">
        <v>82.58799999999999</v>
      </c>
      <c r="CD113" s="5" t="n">
        <v>7.95</v>
      </c>
      <c r="CE113" s="5" t="n">
        <v>77.649</v>
      </c>
      <c r="CF113" s="5" t="n">
        <v>182.67</v>
      </c>
      <c r="CG113" s="5" t="n">
        <v>0.14</v>
      </c>
      <c r="CH113" s="5" t="n">
        <v>1</v>
      </c>
      <c r="CI113" s="5" t="n">
        <v>0</v>
      </c>
      <c r="CJ113" s="5" t="n">
        <v>0</v>
      </c>
      <c r="CK113" s="5" t="n">
        <v>0</v>
      </c>
      <c r="CL113" s="5" t="n">
        <v>0</v>
      </c>
      <c r="CM113" s="5" t="n">
        <v>0</v>
      </c>
      <c r="CN113" s="5" t="n">
        <v>0</v>
      </c>
      <c r="CO113" s="5" t="n">
        <v>0</v>
      </c>
      <c r="CP113" s="5" t="n">
        <v>1</v>
      </c>
      <c r="CQ113" s="5" t="n">
        <v>1.387</v>
      </c>
      <c r="CR113" s="5" t="n">
        <v>0</v>
      </c>
      <c r="CS113" s="5" t="n">
        <v>1.902</v>
      </c>
      <c r="CT113" s="5" t="n">
        <v>4.251</v>
      </c>
      <c r="CU113" s="5" t="n">
        <v>10.168</v>
      </c>
    </row>
    <row r="114">
      <c r="A114" s="5" t="inlineStr">
        <is>
          <t>BRA2021</t>
        </is>
      </c>
      <c r="B114" s="5" t="inlineStr">
        <is>
          <t>BRA</t>
        </is>
      </c>
      <c r="C114" s="5" t="inlineStr">
        <is>
          <t>BRA</t>
        </is>
      </c>
      <c r="D114" s="5" t="inlineStr">
        <is>
          <t>Brazil</t>
        </is>
      </c>
      <c r="E114" s="5" t="n">
        <v>2021</v>
      </c>
      <c r="F114" s="5" t="n">
        <v>0.18</v>
      </c>
      <c r="G114" s="5" t="n">
        <v>4.394</v>
      </c>
      <c r="H114" s="5" t="n">
        <v>0.961</v>
      </c>
      <c r="I114" s="5" t="n">
        <v>0</v>
      </c>
      <c r="J114" s="5" t="n">
        <v>4.394</v>
      </c>
      <c r="K114" s="5" t="n">
        <v>0</v>
      </c>
      <c r="L114" s="5" t="n">
        <v>1</v>
      </c>
      <c r="M114" s="5" t="n">
        <v>4.394</v>
      </c>
      <c r="N114" s="5" t="n">
        <v>1.991</v>
      </c>
      <c r="O114" s="5" t="n">
        <v>0</v>
      </c>
      <c r="P114" s="5" t="n">
        <v>4.394</v>
      </c>
      <c r="Q114" s="5" t="n">
        <v>0</v>
      </c>
      <c r="R114" s="5" t="n">
        <v>1</v>
      </c>
      <c r="S114" s="5" t="n">
        <v>10.534</v>
      </c>
      <c r="T114" s="5" t="n">
        <v>6.33</v>
      </c>
      <c r="U114" s="5" t="n">
        <v>0</v>
      </c>
      <c r="V114" s="5" t="n">
        <v>12.43</v>
      </c>
      <c r="W114" s="5" t="n">
        <v>0.18</v>
      </c>
      <c r="X114" s="5" t="n">
        <v>1</v>
      </c>
      <c r="Y114" s="5" t="n">
        <v>12.137</v>
      </c>
      <c r="Z114" s="5" t="n">
        <v>1.341</v>
      </c>
      <c r="AA114" s="5" t="n">
        <v>-0.268</v>
      </c>
      <c r="AB114" s="5" t="n">
        <v>11.869</v>
      </c>
      <c r="AC114" s="5" t="n">
        <v>0</v>
      </c>
      <c r="AD114" s="5" t="n">
        <v>1</v>
      </c>
      <c r="AE114" s="5" t="n">
        <v>11.869</v>
      </c>
      <c r="AF114" s="5" t="n">
        <v>2.336</v>
      </c>
      <c r="AG114" s="5" t="n">
        <v>0</v>
      </c>
      <c r="AH114" s="5" t="n">
        <v>11.869</v>
      </c>
      <c r="AI114" s="5" t="n">
        <v>0</v>
      </c>
      <c r="AJ114" s="5" t="n">
        <v>1</v>
      </c>
      <c r="AK114" s="5" t="n">
        <v>32.754</v>
      </c>
      <c r="AL114" s="5" t="n">
        <v>16.076</v>
      </c>
      <c r="AM114" s="5" t="n">
        <v>0</v>
      </c>
      <c r="AN114" s="5" t="n">
        <v>32.754</v>
      </c>
      <c r="AO114" s="5" t="n">
        <v>0</v>
      </c>
      <c r="AP114" s="5" t="n">
        <v>1</v>
      </c>
      <c r="AQ114" s="5" t="n">
        <v>0.649</v>
      </c>
      <c r="AR114" s="5" t="n">
        <v>0.114</v>
      </c>
      <c r="AS114" s="5" t="n">
        <v>0.208</v>
      </c>
      <c r="AT114" s="5" t="n">
        <v>1.072</v>
      </c>
      <c r="AU114" s="5" t="n">
        <v>0.25</v>
      </c>
      <c r="AV114" s="5" t="n">
        <v>1</v>
      </c>
      <c r="AW114" s="5" t="n">
        <v>0.577</v>
      </c>
      <c r="AX114" s="5" t="n">
        <v>0.114</v>
      </c>
      <c r="AY114" s="5" t="n">
        <v>0.174</v>
      </c>
      <c r="AZ114" s="5" t="n">
        <v>0.841</v>
      </c>
      <c r="BA114" s="5" t="n">
        <v>0.12</v>
      </c>
      <c r="BB114" s="5" t="n">
        <v>1</v>
      </c>
      <c r="BC114" s="5" t="n">
        <v>0.458</v>
      </c>
      <c r="BD114" s="5" t="n">
        <v>0.114</v>
      </c>
      <c r="BE114" s="5" t="n">
        <v>0.165</v>
      </c>
      <c r="BF114" s="5" t="n">
        <v>0.698</v>
      </c>
      <c r="BG114" s="5" t="n">
        <v>0.12</v>
      </c>
      <c r="BH114" s="5" t="n">
        <v>1</v>
      </c>
      <c r="BI114" s="5" t="n">
        <v>0.491</v>
      </c>
      <c r="BJ114" s="5" t="n">
        <v>0.114</v>
      </c>
      <c r="BK114" s="5" t="n">
        <v>-0.061</v>
      </c>
      <c r="BL114" s="5" t="n">
        <v>0.538</v>
      </c>
      <c r="BM114" s="5" t="n">
        <v>0.25</v>
      </c>
      <c r="BN114" s="5" t="n">
        <v>1</v>
      </c>
      <c r="BO114" s="5" t="n">
        <v>0</v>
      </c>
      <c r="BP114" s="5" t="n">
        <v>0.007</v>
      </c>
      <c r="BQ114" s="5" t="n">
        <v>0.143</v>
      </c>
      <c r="BR114" s="5" t="n">
        <v>0</v>
      </c>
      <c r="BS114" s="5" t="n">
        <v>1</v>
      </c>
      <c r="BT114" s="5" t="n">
        <v>0</v>
      </c>
      <c r="BU114" s="5" t="n">
        <v>0.028</v>
      </c>
      <c r="BV114" s="5" t="n">
        <v>0.162</v>
      </c>
      <c r="BW114" s="5" t="n">
        <v>0</v>
      </c>
      <c r="BX114" s="5" t="n">
        <v>0.667</v>
      </c>
      <c r="BY114" s="5" t="n">
        <v>24.816</v>
      </c>
      <c r="BZ114" s="5" t="n">
        <v>0</v>
      </c>
      <c r="CA114" s="5" t="n">
        <v>24.816</v>
      </c>
      <c r="CB114" s="5" t="n">
        <v>0</v>
      </c>
      <c r="CC114" s="5" t="n">
        <v>78.125</v>
      </c>
      <c r="CD114" s="5" t="n">
        <v>7.95</v>
      </c>
      <c r="CE114" s="5" t="n">
        <v>-3.175</v>
      </c>
      <c r="CF114" s="5" t="n">
        <v>88.44</v>
      </c>
      <c r="CG114" s="5" t="n">
        <v>0.18</v>
      </c>
      <c r="CH114" s="5" t="n">
        <v>1</v>
      </c>
      <c r="CI114" s="5" t="n">
        <v>0</v>
      </c>
      <c r="CJ114" s="5" t="n">
        <v>0</v>
      </c>
      <c r="CK114" s="5" t="n">
        <v>0</v>
      </c>
      <c r="CL114" s="5" t="n">
        <v>0</v>
      </c>
      <c r="CM114" s="5" t="n">
        <v>0</v>
      </c>
      <c r="CN114" s="5" t="n">
        <v>0.225</v>
      </c>
      <c r="CO114" s="5" t="n">
        <v>1.629</v>
      </c>
      <c r="CP114" s="5" t="n">
        <v>0</v>
      </c>
      <c r="CQ114" s="5" t="n">
        <v>1.198</v>
      </c>
      <c r="CR114" s="5" t="n">
        <v>0</v>
      </c>
      <c r="CS114" s="5" t="n">
        <v>5.226</v>
      </c>
      <c r="CT114" s="5" t="n">
        <v>4.753</v>
      </c>
      <c r="CU114" s="5" t="n">
        <v>11.128</v>
      </c>
    </row>
    <row r="115">
      <c r="A115" s="5" t="inlineStr">
        <is>
          <t>BRA2022</t>
        </is>
      </c>
      <c r="B115" s="5" t="inlineStr">
        <is>
          <t>BRA</t>
        </is>
      </c>
      <c r="C115" s="5" t="inlineStr">
        <is>
          <t>BRA</t>
        </is>
      </c>
      <c r="D115" s="5" t="inlineStr">
        <is>
          <t>Brazil</t>
        </is>
      </c>
      <c r="E115" s="5" t="n">
        <v>2022</v>
      </c>
      <c r="F115" s="5" t="n">
        <v>0.17</v>
      </c>
      <c r="G115" s="5" t="n">
        <v>10.205</v>
      </c>
      <c r="H115" s="5" t="n">
        <v>1.585</v>
      </c>
      <c r="I115" s="5" t="n">
        <v>0</v>
      </c>
      <c r="J115" s="5" t="n">
        <v>10.205</v>
      </c>
      <c r="K115" s="5" t="n">
        <v>0</v>
      </c>
      <c r="L115" s="5" t="n">
        <v>1</v>
      </c>
      <c r="M115" s="5" t="n">
        <v>10.205</v>
      </c>
      <c r="N115" s="5" t="n">
        <v>4.214</v>
      </c>
      <c r="O115" s="5" t="n">
        <v>0</v>
      </c>
      <c r="P115" s="5" t="n">
        <v>10.205</v>
      </c>
      <c r="Q115" s="5" t="n">
        <v>0</v>
      </c>
      <c r="R115" s="5" t="n">
        <v>1</v>
      </c>
      <c r="S115" s="5" t="n">
        <v>15.819</v>
      </c>
      <c r="T115" s="5" t="n">
        <v>6.812</v>
      </c>
      <c r="U115" s="5" t="n">
        <v>0.199</v>
      </c>
      <c r="V115" s="5" t="n">
        <v>18.508</v>
      </c>
      <c r="W115" s="5" t="n">
        <v>0.17</v>
      </c>
      <c r="X115" s="5" t="n">
        <v>1</v>
      </c>
      <c r="Y115" s="5" t="n">
        <v>17.263</v>
      </c>
      <c r="Z115" s="5" t="n">
        <v>1.811</v>
      </c>
      <c r="AA115" s="5" t="n">
        <v>-0.277</v>
      </c>
      <c r="AB115" s="5" t="n">
        <v>16.986</v>
      </c>
      <c r="AC115" s="5" t="n">
        <v>0</v>
      </c>
      <c r="AD115" s="5" t="n">
        <v>1</v>
      </c>
      <c r="AE115" s="5" t="n">
        <v>16.986</v>
      </c>
      <c r="AF115" s="5" t="n">
        <v>3.149</v>
      </c>
      <c r="AG115" s="5" t="n">
        <v>0</v>
      </c>
      <c r="AH115" s="5" t="n">
        <v>16.986</v>
      </c>
      <c r="AI115" s="5" t="n">
        <v>0</v>
      </c>
      <c r="AJ115" s="5" t="n">
        <v>1</v>
      </c>
      <c r="AK115" s="5" t="n">
        <v>46.272</v>
      </c>
      <c r="AL115" s="5" t="n">
        <v>22.097</v>
      </c>
      <c r="AM115" s="5" t="n">
        <v>0</v>
      </c>
      <c r="AN115" s="5" t="n">
        <v>46.272</v>
      </c>
      <c r="AO115" s="5" t="n">
        <v>0</v>
      </c>
      <c r="AP115" s="5" t="n">
        <v>1</v>
      </c>
      <c r="AQ115" s="5" t="n">
        <v>0.896</v>
      </c>
      <c r="AR115" s="5" t="n">
        <v>0.123</v>
      </c>
      <c r="AS115" s="5" t="n">
        <v>0.055</v>
      </c>
      <c r="AT115" s="5" t="n">
        <v>1.189</v>
      </c>
      <c r="AU115" s="5" t="n">
        <v>0.25</v>
      </c>
      <c r="AV115" s="5" t="n">
        <v>1</v>
      </c>
      <c r="AW115" s="5" t="n">
        <v>0.89</v>
      </c>
      <c r="AX115" s="5" t="n">
        <v>0.123</v>
      </c>
      <c r="AY115" s="5" t="n">
        <v>0.243</v>
      </c>
      <c r="AZ115" s="5" t="n">
        <v>1.27</v>
      </c>
      <c r="BA115" s="5" t="n">
        <v>0.12</v>
      </c>
      <c r="BB115" s="5" t="n">
        <v>1</v>
      </c>
      <c r="BC115" s="5" t="n">
        <v>0.62</v>
      </c>
      <c r="BD115" s="5" t="n">
        <v>0.123</v>
      </c>
      <c r="BE115" s="5" t="n">
        <v>0.171</v>
      </c>
      <c r="BF115" s="5" t="n">
        <v>0.887</v>
      </c>
      <c r="BG115" s="5" t="n">
        <v>0.12</v>
      </c>
      <c r="BH115" s="5" t="n">
        <v>1</v>
      </c>
      <c r="BI115" s="5" t="n">
        <v>0.608</v>
      </c>
      <c r="BJ115" s="5" t="n">
        <v>0.123</v>
      </c>
      <c r="BK115" s="5" t="n">
        <v>0.143</v>
      </c>
      <c r="BL115" s="5" t="n">
        <v>0.9379999999999999</v>
      </c>
      <c r="BM115" s="5" t="n">
        <v>0.25</v>
      </c>
      <c r="BN115" s="5" t="n">
        <v>1</v>
      </c>
      <c r="BO115" s="5" t="n">
        <v>0</v>
      </c>
      <c r="BP115" s="5" t="n">
        <v>0.006</v>
      </c>
      <c r="BQ115" s="5" t="n">
        <v>0.151</v>
      </c>
      <c r="BR115" s="5" t="n">
        <v>0</v>
      </c>
      <c r="BS115" s="5" t="n">
        <v>1</v>
      </c>
      <c r="BT115" s="5" t="n">
        <v>0</v>
      </c>
      <c r="BU115" s="5" t="n">
        <v>0.022</v>
      </c>
      <c r="BV115" s="5" t="n">
        <v>0.166</v>
      </c>
      <c r="BW115" s="5" t="n">
        <v>0</v>
      </c>
      <c r="BX115" s="5" t="n">
        <v>0.667</v>
      </c>
      <c r="BY115" s="5" t="n">
        <v>26.8</v>
      </c>
      <c r="BZ115" s="5" t="n">
        <v>0</v>
      </c>
      <c r="CA115" s="5" t="n">
        <v>26.8</v>
      </c>
      <c r="CB115" s="5" t="n">
        <v>0</v>
      </c>
      <c r="CC115" s="5" t="n">
        <v>97.90000000000001</v>
      </c>
      <c r="CD115" s="5" t="n">
        <v>7.95</v>
      </c>
      <c r="CE115" s="5" t="n">
        <v>15.82</v>
      </c>
      <c r="CF115" s="5" t="n">
        <v>133.053</v>
      </c>
      <c r="CG115" s="5" t="n">
        <v>0.17</v>
      </c>
      <c r="CH115" s="5" t="n">
        <v>1</v>
      </c>
      <c r="CI115" s="5" t="n">
        <v>0</v>
      </c>
      <c r="CJ115" s="5" t="n">
        <v>0</v>
      </c>
      <c r="CK115" s="5" t="n">
        <v>0</v>
      </c>
      <c r="CL115" s="5" t="n">
        <v>0</v>
      </c>
      <c r="CM115" s="5" t="n">
        <v>0</v>
      </c>
      <c r="CN115" s="5" t="n">
        <v>0.227</v>
      </c>
      <c r="CO115" s="5" t="n">
        <v>1.817</v>
      </c>
      <c r="CP115" s="5" t="n">
        <v>0</v>
      </c>
      <c r="CQ115" s="5" t="n">
        <v>1.294</v>
      </c>
      <c r="CR115" s="5" t="n">
        <v>0</v>
      </c>
      <c r="CS115" s="5" t="n">
        <v>5.644</v>
      </c>
      <c r="CT115" s="5" t="n">
        <v>10.485</v>
      </c>
      <c r="CU115" s="5" t="n">
        <v>20.306</v>
      </c>
    </row>
    <row r="116">
      <c r="A116" s="5" t="inlineStr">
        <is>
          <t>BRA2023</t>
        </is>
      </c>
      <c r="B116" s="5" t="inlineStr">
        <is>
          <t>BRA</t>
        </is>
      </c>
      <c r="C116" s="5" t="inlineStr">
        <is>
          <t>BRA</t>
        </is>
      </c>
      <c r="D116" s="5" t="inlineStr">
        <is>
          <t>Brazil</t>
        </is>
      </c>
      <c r="E116" s="5" t="n">
        <v>2023</v>
      </c>
      <c r="F116" s="5" t="n">
        <v>0.17</v>
      </c>
      <c r="G116" s="5" t="n">
        <v>7.662</v>
      </c>
      <c r="H116" s="5" t="n">
        <v>1.745</v>
      </c>
      <c r="I116" s="5" t="n">
        <v>0</v>
      </c>
      <c r="J116" s="5" t="n">
        <v>7.662</v>
      </c>
      <c r="K116" s="5" t="n">
        <v>0</v>
      </c>
      <c r="L116" s="5" t="n">
        <v>1</v>
      </c>
      <c r="M116" s="5" t="n">
        <v>7.662</v>
      </c>
      <c r="N116" s="5" t="n">
        <v>3.8</v>
      </c>
      <c r="O116" s="5" t="n">
        <v>0</v>
      </c>
      <c r="P116" s="5" t="n">
        <v>7.662</v>
      </c>
      <c r="Q116" s="5" t="n">
        <v>0</v>
      </c>
      <c r="R116" s="5" t="n">
        <v>1</v>
      </c>
      <c r="S116" s="5" t="n">
        <v>11.366</v>
      </c>
      <c r="T116" s="5" t="n">
        <v>7.081</v>
      </c>
      <c r="U116" s="5" t="n">
        <v>0.214</v>
      </c>
      <c r="V116" s="5" t="n">
        <v>13.299</v>
      </c>
      <c r="W116" s="5" t="n">
        <v>0.17</v>
      </c>
      <c r="X116" s="5" t="n">
        <v>1</v>
      </c>
      <c r="Y116" s="5" t="n">
        <v>20.673</v>
      </c>
      <c r="Z116" s="5" t="n">
        <v>2.316</v>
      </c>
      <c r="AA116" s="5" t="n">
        <v>-0.286</v>
      </c>
      <c r="AB116" s="5" t="n">
        <v>20.387</v>
      </c>
      <c r="AC116" s="5" t="n">
        <v>0</v>
      </c>
      <c r="AD116" s="5" t="n">
        <v>1</v>
      </c>
      <c r="AE116" s="5" t="n">
        <v>20.387</v>
      </c>
      <c r="AF116" s="5" t="n">
        <v>4.06</v>
      </c>
      <c r="AG116" s="5" t="n">
        <v>0</v>
      </c>
      <c r="AH116" s="5" t="n">
        <v>20.387</v>
      </c>
      <c r="AI116" s="5" t="n">
        <v>0</v>
      </c>
      <c r="AJ116" s="5" t="n">
        <v>1</v>
      </c>
      <c r="AK116" s="5" t="n">
        <v>50.233</v>
      </c>
      <c r="AL116" s="5" t="n">
        <v>24.884</v>
      </c>
      <c r="AM116" s="5" t="n">
        <v>0</v>
      </c>
      <c r="AN116" s="5" t="n">
        <v>50.233</v>
      </c>
      <c r="AO116" s="5" t="n">
        <v>0</v>
      </c>
      <c r="AP116" s="5" t="n">
        <v>1</v>
      </c>
      <c r="AQ116" s="5" t="n">
        <v>0.791</v>
      </c>
      <c r="AR116" s="5" t="n">
        <v>0.129</v>
      </c>
      <c r="AS116" s="5" t="n">
        <v>0.092</v>
      </c>
      <c r="AT116" s="5" t="n">
        <v>1.104</v>
      </c>
      <c r="AU116" s="5" t="n">
        <v>0.25</v>
      </c>
      <c r="AV116" s="5" t="n">
        <v>1</v>
      </c>
      <c r="AW116" s="5" t="n">
        <v>0.618</v>
      </c>
      <c r="AX116" s="5" t="n">
        <v>0.129</v>
      </c>
      <c r="AY116" s="5" t="n">
        <v>0.41</v>
      </c>
      <c r="AZ116" s="5" t="n">
        <v>1.152</v>
      </c>
      <c r="BA116" s="5" t="n">
        <v>0.12</v>
      </c>
      <c r="BB116" s="5" t="n">
        <v>1</v>
      </c>
      <c r="BC116" s="5" t="n">
        <v>0.554</v>
      </c>
      <c r="BD116" s="5" t="n">
        <v>0.129</v>
      </c>
      <c r="BE116" s="5" t="n">
        <v>0.209</v>
      </c>
      <c r="BF116" s="5" t="n">
        <v>0.855</v>
      </c>
      <c r="BG116" s="5" t="n">
        <v>0.12</v>
      </c>
      <c r="BH116" s="5" t="n">
        <v>1</v>
      </c>
      <c r="BI116" s="5" t="n">
        <v>0.5570000000000001</v>
      </c>
      <c r="BJ116" s="5" t="n">
        <v>0.129</v>
      </c>
      <c r="BK116" s="5" t="n">
        <v>0.065</v>
      </c>
      <c r="BL116" s="5" t="n">
        <v>0.778</v>
      </c>
      <c r="BM116" s="5" t="n">
        <v>0.25</v>
      </c>
      <c r="BN116" s="5" t="n">
        <v>1</v>
      </c>
      <c r="BO116" s="5" t="n">
        <v>0</v>
      </c>
      <c r="BP116" s="5" t="n">
        <v>0.005</v>
      </c>
      <c r="BQ116" s="5" t="n">
        <v>0.151</v>
      </c>
      <c r="BR116" s="5" t="n">
        <v>0</v>
      </c>
      <c r="BS116" s="5" t="n">
        <v>1</v>
      </c>
      <c r="BT116" s="5" t="n">
        <v>0</v>
      </c>
      <c r="BU116" s="5" t="n">
        <v>0.02</v>
      </c>
      <c r="BV116" s="5" t="n">
        <v>0.166</v>
      </c>
      <c r="BW116" s="5" t="n">
        <v>0</v>
      </c>
      <c r="BX116" s="5" t="n">
        <v>0.667</v>
      </c>
      <c r="BY116" s="5" t="n">
        <v>27.906</v>
      </c>
      <c r="BZ116" s="5" t="n">
        <v>0</v>
      </c>
      <c r="CA116" s="5" t="n">
        <v>27.906</v>
      </c>
      <c r="CB116" s="5" t="n">
        <v>0</v>
      </c>
      <c r="CC116" s="5" t="n">
        <v>83.248</v>
      </c>
      <c r="CD116" s="5" t="n">
        <v>7.95</v>
      </c>
      <c r="CE116" s="5" t="n">
        <v>17.463</v>
      </c>
      <c r="CF116" s="5" t="n">
        <v>117.832</v>
      </c>
      <c r="CG116" s="5" t="n">
        <v>0.17</v>
      </c>
      <c r="CH116" s="5" t="n">
        <v>1</v>
      </c>
      <c r="CI116" s="5" t="n">
        <v>0</v>
      </c>
      <c r="CJ116" s="5" t="n">
        <v>0</v>
      </c>
      <c r="CK116" s="5" t="n">
        <v>0</v>
      </c>
      <c r="CL116" s="5" t="n">
        <v>0</v>
      </c>
      <c r="CM116" s="5" t="n">
        <v>0</v>
      </c>
      <c r="CN116" s="5" t="n">
        <v>0.234</v>
      </c>
      <c r="CO116" s="5" t="n">
        <v>2.082</v>
      </c>
      <c r="CP116" s="5" t="n">
        <v>0</v>
      </c>
      <c r="CQ116" s="5" t="n">
        <v>1.348</v>
      </c>
      <c r="CR116" s="5" t="n">
        <v>0</v>
      </c>
      <c r="CS116" s="5" t="n">
        <v>5.877</v>
      </c>
      <c r="CT116" s="5" t="n">
        <v>4.861</v>
      </c>
      <c r="CU116" s="5" t="n">
        <v>9.675000000000001</v>
      </c>
    </row>
    <row r="117">
      <c r="A117" s="5" t="inlineStr">
        <is>
          <t>BRA2024</t>
        </is>
      </c>
      <c r="B117" s="5" t="inlineStr">
        <is>
          <t>BRA</t>
        </is>
      </c>
      <c r="C117" s="5" t="inlineStr">
        <is>
          <t>BRA</t>
        </is>
      </c>
      <c r="D117" s="5" t="inlineStr">
        <is>
          <t>Brazil</t>
        </is>
      </c>
      <c r="E117" s="5" t="n">
        <v>2024</v>
      </c>
      <c r="F117" s="5" t="n">
        <v>0.17</v>
      </c>
      <c r="G117" s="5" t="n">
        <v>6.222</v>
      </c>
      <c r="H117" s="5" t="n">
        <v>1.576</v>
      </c>
      <c r="I117" s="5" t="n">
        <v>0</v>
      </c>
      <c r="J117" s="5" t="n">
        <v>6.222</v>
      </c>
      <c r="K117" s="5" t="n">
        <v>0</v>
      </c>
      <c r="L117" s="5" t="n">
        <v>1</v>
      </c>
      <c r="M117" s="5" t="n">
        <v>6.222</v>
      </c>
      <c r="N117" s="5" t="n">
        <v>3.389</v>
      </c>
      <c r="O117" s="5" t="n">
        <v>0</v>
      </c>
      <c r="P117" s="5" t="n">
        <v>6.222</v>
      </c>
      <c r="Q117" s="5" t="n">
        <v>0</v>
      </c>
      <c r="R117" s="5" t="n">
        <v>1</v>
      </c>
      <c r="S117" s="5" t="n">
        <v>11.072</v>
      </c>
      <c r="T117" s="5" t="n">
        <v>7.29</v>
      </c>
      <c r="U117" s="5" t="n">
        <v>0.256</v>
      </c>
      <c r="V117" s="5" t="n">
        <v>12.954</v>
      </c>
      <c r="W117" s="5" t="n">
        <v>0.17</v>
      </c>
      <c r="X117" s="5" t="n">
        <v>1</v>
      </c>
      <c r="Y117" s="5" t="n">
        <v>17.661</v>
      </c>
      <c r="Z117" s="5" t="n">
        <v>2.23</v>
      </c>
      <c r="AA117" s="5" t="n">
        <v>-0.295</v>
      </c>
      <c r="AB117" s="5" t="n">
        <v>17.367</v>
      </c>
      <c r="AC117" s="5" t="n">
        <v>0</v>
      </c>
      <c r="AD117" s="5" t="n">
        <v>1</v>
      </c>
      <c r="AE117" s="5" t="n">
        <v>17.367</v>
      </c>
      <c r="AF117" s="5" t="n">
        <v>3.804</v>
      </c>
      <c r="AG117" s="5" t="n">
        <v>0</v>
      </c>
      <c r="AH117" s="5" t="n">
        <v>17.367</v>
      </c>
      <c r="AI117" s="5" t="n">
        <v>0</v>
      </c>
      <c r="AJ117" s="5" t="n">
        <v>1</v>
      </c>
      <c r="AK117" s="5" t="n">
        <v>45.956</v>
      </c>
      <c r="AL117" s="5" t="n">
        <v>23.374</v>
      </c>
      <c r="AM117" s="5" t="n">
        <v>0</v>
      </c>
      <c r="AN117" s="5" t="n">
        <v>45.956</v>
      </c>
      <c r="AO117" s="5" t="n">
        <v>0</v>
      </c>
      <c r="AP117" s="5" t="n">
        <v>1</v>
      </c>
      <c r="AQ117" s="5" t="n">
        <v>0.756</v>
      </c>
      <c r="AR117" s="5" t="n">
        <v>0.132</v>
      </c>
      <c r="AS117" s="5" t="n">
        <v>0.126</v>
      </c>
      <c r="AT117" s="5" t="n">
        <v>1.103</v>
      </c>
      <c r="AU117" s="5" t="n">
        <v>0.25</v>
      </c>
      <c r="AV117" s="5" t="n">
        <v>1</v>
      </c>
      <c r="AW117" s="5" t="n">
        <v>0.655</v>
      </c>
      <c r="AX117" s="5" t="n">
        <v>0.132</v>
      </c>
      <c r="AY117" s="5" t="n">
        <v>0.328</v>
      </c>
      <c r="AZ117" s="5" t="n">
        <v>1.102</v>
      </c>
      <c r="BA117" s="5" t="n">
        <v>0.12</v>
      </c>
      <c r="BB117" s="5" t="n">
        <v>1</v>
      </c>
      <c r="BC117" s="5" t="n">
        <v>0.534</v>
      </c>
      <c r="BD117" s="5" t="n">
        <v>0.132</v>
      </c>
      <c r="BE117" s="5" t="n">
        <v>0.174</v>
      </c>
      <c r="BF117" s="5" t="n">
        <v>0.792</v>
      </c>
      <c r="BG117" s="5" t="n">
        <v>0.12</v>
      </c>
      <c r="BH117" s="5" t="n">
        <v>1</v>
      </c>
      <c r="BI117" s="5" t="n">
        <v>0.5679999999999999</v>
      </c>
      <c r="BJ117" s="5" t="n">
        <v>0.132</v>
      </c>
      <c r="BK117" s="5" t="n">
        <v>0.09</v>
      </c>
      <c r="BL117" s="5" t="n">
        <v>0.796</v>
      </c>
      <c r="BM117" s="5" t="n">
        <v>0.25</v>
      </c>
      <c r="BN117" s="5" t="n">
        <v>1</v>
      </c>
      <c r="BO117" s="5" t="n">
        <v>0</v>
      </c>
      <c r="BP117" s="5" t="n">
        <v>0.005</v>
      </c>
      <c r="BQ117" s="5" t="n">
        <v>0.133</v>
      </c>
      <c r="BR117" s="5" t="n">
        <v>0</v>
      </c>
      <c r="BS117" s="5" t="n">
        <v>1</v>
      </c>
      <c r="BT117" s="5" t="n">
        <v>0</v>
      </c>
      <c r="BU117" s="5" t="n">
        <v>0.02</v>
      </c>
      <c r="BV117" s="5" t="n">
        <v>0.16</v>
      </c>
      <c r="BW117" s="5" t="n">
        <v>0</v>
      </c>
      <c r="BX117" s="5" t="n">
        <v>0.667</v>
      </c>
      <c r="BY117" s="5" t="n">
        <v>28.73</v>
      </c>
      <c r="BZ117" s="5" t="n">
        <v>0</v>
      </c>
      <c r="CA117" s="5" t="n">
        <v>28.73</v>
      </c>
      <c r="CB117" s="5" t="n">
        <v>0</v>
      </c>
      <c r="CC117" s="5" t="n">
        <v>82.58799999999999</v>
      </c>
      <c r="CD117" s="5" t="n">
        <v>7.95</v>
      </c>
      <c r="CE117" s="5" t="n">
        <v>21.376</v>
      </c>
      <c r="CF117" s="5" t="n">
        <v>118.885</v>
      </c>
      <c r="CG117" s="5" t="n">
        <v>0.17</v>
      </c>
      <c r="CH117" s="5" t="n">
        <v>1</v>
      </c>
      <c r="CI117" s="5" t="n">
        <v>0</v>
      </c>
      <c r="CJ117" s="5" t="n">
        <v>0</v>
      </c>
      <c r="CK117" s="5" t="n">
        <v>0</v>
      </c>
      <c r="CL117" s="5" t="n">
        <v>0</v>
      </c>
      <c r="CM117" s="5" t="n">
        <v>0</v>
      </c>
      <c r="CN117" s="5" t="n">
        <v>0.229</v>
      </c>
      <c r="CO117" s="5" t="n">
        <v>2.244</v>
      </c>
      <c r="CP117" s="5" t="n">
        <v>0</v>
      </c>
      <c r="CQ117" s="5" t="n">
        <v>1.387</v>
      </c>
      <c r="CR117" s="5" t="n">
        <v>0</v>
      </c>
      <c r="CS117" s="5" t="n">
        <v>6.05</v>
      </c>
      <c r="CT117" s="5" t="n">
        <v>4.251</v>
      </c>
      <c r="CU117" s="5" t="n">
        <v>9.278</v>
      </c>
    </row>
    <row r="118">
      <c r="A118" s="5" t="inlineStr">
        <is>
          <t>VGB2021</t>
        </is>
      </c>
      <c r="B118" s="5" t="inlineStr">
        <is>
          <t>VGB</t>
        </is>
      </c>
      <c r="C118" s="5" t="inlineStr">
        <is>
          <t>VGB</t>
        </is>
      </c>
      <c r="D118" s="5" t="inlineStr">
        <is>
          <t>British Virgin Islands</t>
        </is>
      </c>
      <c r="E118" s="5" t="n">
        <v>2021</v>
      </c>
      <c r="F118" s="5" t="n">
        <v>0.21</v>
      </c>
      <c r="G118" s="5" t="n">
        <v>5.897</v>
      </c>
      <c r="H118" s="5" t="n">
        <v>1.143</v>
      </c>
      <c r="I118" s="5" t="n">
        <v>0</v>
      </c>
      <c r="J118" s="5" t="n">
        <v>5.897</v>
      </c>
      <c r="K118" s="5" t="n">
        <v>0</v>
      </c>
      <c r="L118" s="5" t="n">
        <v>1</v>
      </c>
      <c r="M118" s="5" t="n">
        <v>7.964</v>
      </c>
      <c r="N118" s="5" t="n">
        <v>3.43</v>
      </c>
      <c r="O118" s="5" t="n">
        <v>0</v>
      </c>
      <c r="P118" s="5" t="n">
        <v>7.964</v>
      </c>
      <c r="Q118" s="5" t="n">
        <v>0</v>
      </c>
      <c r="R118" s="5" t="n">
        <v>1</v>
      </c>
      <c r="S118" s="5" t="n">
        <v>11.613</v>
      </c>
      <c r="T118" s="5" t="n">
        <v>6.86</v>
      </c>
      <c r="U118" s="5" t="n">
        <v>0</v>
      </c>
      <c r="V118" s="5" t="n">
        <v>14.052</v>
      </c>
      <c r="W118" s="5" t="n">
        <v>0.21</v>
      </c>
      <c r="X118" s="5" t="n">
        <v>1</v>
      </c>
      <c r="Y118" s="5" t="n">
        <v>17.127</v>
      </c>
      <c r="Z118" s="5" t="n">
        <v>2.304</v>
      </c>
      <c r="AA118" s="5" t="n">
        <v>0</v>
      </c>
      <c r="AB118" s="5" t="n">
        <v>17.127</v>
      </c>
      <c r="AC118" s="5" t="n">
        <v>0</v>
      </c>
      <c r="AD118" s="5" t="n">
        <v>1</v>
      </c>
      <c r="AE118" s="5" t="n">
        <v>18.27</v>
      </c>
      <c r="AF118" s="5" t="n">
        <v>4.278</v>
      </c>
      <c r="AG118" s="5" t="n">
        <v>0</v>
      </c>
      <c r="AH118" s="5" t="n">
        <v>18.27</v>
      </c>
      <c r="AI118" s="5" t="n">
        <v>0</v>
      </c>
      <c r="AJ118" s="5" t="n">
        <v>1</v>
      </c>
      <c r="AK118" s="5" t="n">
        <v>25.13</v>
      </c>
      <c r="AL118" s="5" t="n">
        <v>13.503</v>
      </c>
      <c r="AM118" s="5" t="n">
        <v>0</v>
      </c>
      <c r="AN118" s="5" t="n">
        <v>30.407</v>
      </c>
      <c r="AO118" s="5" t="n">
        <v>0.21</v>
      </c>
      <c r="AP118" s="5" t="n">
        <v>1</v>
      </c>
      <c r="AQ118" s="5" t="n">
        <v>0.649</v>
      </c>
      <c r="AR118" s="5" t="n">
        <v>0.114</v>
      </c>
      <c r="AS118" s="5" t="n">
        <v>0</v>
      </c>
      <c r="AT118" s="5" t="n">
        <v>0.785</v>
      </c>
      <c r="AU118" s="5" t="n">
        <v>0.21</v>
      </c>
      <c r="AV118" s="5" t="n">
        <v>1</v>
      </c>
      <c r="AW118" s="5" t="n">
        <v>0.577</v>
      </c>
      <c r="AX118" s="5" t="n">
        <v>0.114</v>
      </c>
      <c r="AY118" s="5" t="n">
        <v>0</v>
      </c>
      <c r="AZ118" s="5" t="n">
        <v>0.698</v>
      </c>
      <c r="BA118" s="5" t="n">
        <v>0.21</v>
      </c>
      <c r="BB118" s="5" t="n">
        <v>1</v>
      </c>
      <c r="BC118" s="5" t="n">
        <v>0.458</v>
      </c>
      <c r="BD118" s="5" t="n">
        <v>0.114</v>
      </c>
      <c r="BE118" s="5" t="n">
        <v>0</v>
      </c>
      <c r="BF118" s="5" t="n">
        <v>0.554</v>
      </c>
      <c r="BG118" s="5" t="n">
        <v>0.21</v>
      </c>
      <c r="BH118" s="5" t="n">
        <v>1</v>
      </c>
      <c r="BI118" s="5" t="n">
        <v>0.491</v>
      </c>
      <c r="BJ118" s="5" t="n">
        <v>0.114</v>
      </c>
      <c r="BK118" s="5" t="n">
        <v>0</v>
      </c>
      <c r="BL118" s="5" t="n">
        <v>0.594</v>
      </c>
      <c r="BM118" s="5" t="n">
        <v>0.21</v>
      </c>
      <c r="BN118" s="5" t="n">
        <v>1</v>
      </c>
      <c r="BO118" s="5" t="n">
        <v>0</v>
      </c>
      <c r="BP118" s="5" t="n">
        <v>0</v>
      </c>
      <c r="BQ118" s="5" t="n">
        <v>0</v>
      </c>
      <c r="BR118" s="5" t="n">
        <v>0</v>
      </c>
      <c r="BS118" s="5" t="n">
        <v>1</v>
      </c>
      <c r="BT118" s="5" t="n">
        <v>0</v>
      </c>
      <c r="BU118" s="5" t="n">
        <v>0</v>
      </c>
      <c r="BV118" s="5" t="n">
        <v>0</v>
      </c>
      <c r="BW118" s="5" t="n">
        <v>0.21</v>
      </c>
      <c r="BX118" s="5" t="n">
        <v>1</v>
      </c>
      <c r="BY118" s="5" t="n">
        <v>11.787</v>
      </c>
      <c r="BZ118" s="5" t="n">
        <v>0</v>
      </c>
      <c r="CA118" s="5" t="n">
        <v>11.787</v>
      </c>
      <c r="CB118" s="5" t="n">
        <v>0</v>
      </c>
      <c r="CC118" s="5" t="n">
        <v>78.125</v>
      </c>
      <c r="CD118" s="5" t="n">
        <v>7.95</v>
      </c>
      <c r="CE118" s="5" t="n">
        <v>0</v>
      </c>
      <c r="CF118" s="5" t="n">
        <v>94.53100000000001</v>
      </c>
      <c r="CG118" s="5" t="n">
        <v>0.21</v>
      </c>
      <c r="CH118" s="5" t="n">
        <v>1</v>
      </c>
      <c r="CI118" s="5" t="n">
        <v>0</v>
      </c>
      <c r="CJ118" s="5" t="n">
        <v>0</v>
      </c>
      <c r="CK118" s="5" t="n">
        <v>0</v>
      </c>
      <c r="CL118" s="5" t="n">
        <v>0</v>
      </c>
      <c r="CM118" s="5" t="n">
        <v>0</v>
      </c>
      <c r="CN118" s="5" t="n">
        <v>0</v>
      </c>
      <c r="CO118" s="5" t="n">
        <v>0</v>
      </c>
      <c r="CP118" s="5" t="n">
        <v>0</v>
      </c>
      <c r="CQ118" s="5" t="n">
        <v>1.198</v>
      </c>
      <c r="CR118" s="5" t="n">
        <v>0</v>
      </c>
      <c r="CS118" s="5" t="n">
        <v>4.776</v>
      </c>
      <c r="CT118" s="5" t="n">
        <v>4.753</v>
      </c>
      <c r="CU118" s="5" t="n">
        <v>15.983</v>
      </c>
    </row>
    <row r="119">
      <c r="A119" s="5" t="inlineStr">
        <is>
          <t>VGB2022</t>
        </is>
      </c>
      <c r="B119" s="5" t="inlineStr">
        <is>
          <t>VGB</t>
        </is>
      </c>
      <c r="C119" s="5" t="inlineStr">
        <is>
          <t>VGB</t>
        </is>
      </c>
      <c r="D119" s="5" t="inlineStr">
        <is>
          <t>British Virgin Islands</t>
        </is>
      </c>
      <c r="E119" s="5" t="n">
        <v>2022</v>
      </c>
      <c r="F119" s="5" t="n">
        <v>0.21</v>
      </c>
      <c r="G119" s="5" t="n">
        <v>11.72</v>
      </c>
      <c r="H119" s="5" t="n">
        <v>1.235</v>
      </c>
      <c r="I119" s="5" t="n">
        <v>0</v>
      </c>
      <c r="J119" s="5" t="n">
        <v>11.72</v>
      </c>
      <c r="K119" s="5" t="n">
        <v>0</v>
      </c>
      <c r="L119" s="5" t="n">
        <v>1</v>
      </c>
      <c r="M119" s="5" t="n">
        <v>9.782999999999999</v>
      </c>
      <c r="N119" s="5" t="n">
        <v>3.704</v>
      </c>
      <c r="O119" s="5" t="n">
        <v>0</v>
      </c>
      <c r="P119" s="5" t="n">
        <v>9.782999999999999</v>
      </c>
      <c r="Q119" s="5" t="n">
        <v>0</v>
      </c>
      <c r="R119" s="5" t="n">
        <v>1</v>
      </c>
      <c r="S119" s="5" t="n">
        <v>17.893</v>
      </c>
      <c r="T119" s="5" t="n">
        <v>7.408</v>
      </c>
      <c r="U119" s="5" t="n">
        <v>0.278</v>
      </c>
      <c r="V119" s="5" t="n">
        <v>21.651</v>
      </c>
      <c r="W119" s="5" t="n">
        <v>0.21</v>
      </c>
      <c r="X119" s="5" t="n">
        <v>1</v>
      </c>
      <c r="Y119" s="5" t="n">
        <v>30.728</v>
      </c>
      <c r="Z119" s="5" t="n">
        <v>4.133</v>
      </c>
      <c r="AA119" s="5" t="n">
        <v>0</v>
      </c>
      <c r="AB119" s="5" t="n">
        <v>30.728</v>
      </c>
      <c r="AC119" s="5" t="n">
        <v>0</v>
      </c>
      <c r="AD119" s="5" t="n">
        <v>1</v>
      </c>
      <c r="AE119" s="5" t="n">
        <v>31.963</v>
      </c>
      <c r="AF119" s="5" t="n">
        <v>7.485</v>
      </c>
      <c r="AG119" s="5" t="n">
        <v>0</v>
      </c>
      <c r="AH119" s="5" t="n">
        <v>31.963</v>
      </c>
      <c r="AI119" s="5" t="n">
        <v>0</v>
      </c>
      <c r="AJ119" s="5" t="n">
        <v>1</v>
      </c>
      <c r="AK119" s="5" t="n">
        <v>39.371</v>
      </c>
      <c r="AL119" s="5" t="n">
        <v>21.155</v>
      </c>
      <c r="AM119" s="5" t="n">
        <v>0.612</v>
      </c>
      <c r="AN119" s="5" t="n">
        <v>47.639</v>
      </c>
      <c r="AO119" s="5" t="n">
        <v>0.21</v>
      </c>
      <c r="AP119" s="5" t="n">
        <v>1</v>
      </c>
      <c r="AQ119" s="5" t="n">
        <v>0.896</v>
      </c>
      <c r="AR119" s="5" t="n">
        <v>0.123</v>
      </c>
      <c r="AS119" s="5" t="n">
        <v>0.014</v>
      </c>
      <c r="AT119" s="5" t="n">
        <v>1.084</v>
      </c>
      <c r="AU119" s="5" t="n">
        <v>0.21</v>
      </c>
      <c r="AV119" s="5" t="n">
        <v>1</v>
      </c>
      <c r="AW119" s="5" t="n">
        <v>0.89</v>
      </c>
      <c r="AX119" s="5" t="n">
        <v>0.123</v>
      </c>
      <c r="AY119" s="5" t="n">
        <v>0.014</v>
      </c>
      <c r="AZ119" s="5" t="n">
        <v>1.077</v>
      </c>
      <c r="BA119" s="5" t="n">
        <v>0.21</v>
      </c>
      <c r="BB119" s="5" t="n">
        <v>1</v>
      </c>
      <c r="BC119" s="5" t="n">
        <v>0.62</v>
      </c>
      <c r="BD119" s="5" t="n">
        <v>0.123</v>
      </c>
      <c r="BE119" s="5" t="n">
        <v>0.01</v>
      </c>
      <c r="BF119" s="5" t="n">
        <v>0.751</v>
      </c>
      <c r="BG119" s="5" t="n">
        <v>0.21</v>
      </c>
      <c r="BH119" s="5" t="n">
        <v>1</v>
      </c>
      <c r="BI119" s="5" t="n">
        <v>0.608</v>
      </c>
      <c r="BJ119" s="5" t="n">
        <v>0.123</v>
      </c>
      <c r="BK119" s="5" t="n">
        <v>0.008999999999999999</v>
      </c>
      <c r="BL119" s="5" t="n">
        <v>0.735</v>
      </c>
      <c r="BM119" s="5" t="n">
        <v>0.21</v>
      </c>
      <c r="BN119" s="5" t="n">
        <v>1</v>
      </c>
      <c r="BO119" s="5" t="n">
        <v>0</v>
      </c>
      <c r="BP119" s="5" t="n">
        <v>0</v>
      </c>
      <c r="BQ119" s="5" t="n">
        <v>0</v>
      </c>
      <c r="BR119" s="5" t="n">
        <v>0</v>
      </c>
      <c r="BS119" s="5" t="n">
        <v>1</v>
      </c>
      <c r="BT119" s="5" t="n">
        <v>0</v>
      </c>
      <c r="BU119" s="5" t="n">
        <v>0</v>
      </c>
      <c r="BV119" s="5" t="n">
        <v>0</v>
      </c>
      <c r="BW119" s="5" t="n">
        <v>0.21</v>
      </c>
      <c r="BX119" s="5" t="n">
        <v>1</v>
      </c>
      <c r="BY119" s="5" t="n">
        <v>12.729</v>
      </c>
      <c r="BZ119" s="5" t="n">
        <v>0</v>
      </c>
      <c r="CA119" s="5" t="n">
        <v>12.729</v>
      </c>
      <c r="CB119" s="5" t="n">
        <v>0</v>
      </c>
      <c r="CC119" s="5" t="n">
        <v>97.90000000000001</v>
      </c>
      <c r="CD119" s="5" t="n">
        <v>7.95</v>
      </c>
      <c r="CE119" s="5" t="n">
        <v>1.522</v>
      </c>
      <c r="CF119" s="5" t="n">
        <v>118.459</v>
      </c>
      <c r="CG119" s="5" t="n">
        <v>0.21</v>
      </c>
      <c r="CH119" s="5" t="n">
        <v>1</v>
      </c>
      <c r="CI119" s="5" t="n">
        <v>0</v>
      </c>
      <c r="CJ119" s="5" t="n">
        <v>0</v>
      </c>
      <c r="CK119" s="5" t="n">
        <v>0</v>
      </c>
      <c r="CL119" s="5" t="n">
        <v>0</v>
      </c>
      <c r="CM119" s="5" t="n">
        <v>0</v>
      </c>
      <c r="CN119" s="5" t="n">
        <v>0</v>
      </c>
      <c r="CO119" s="5" t="n">
        <v>0</v>
      </c>
      <c r="CP119" s="5" t="n">
        <v>0</v>
      </c>
      <c r="CQ119" s="5" t="n">
        <v>1.294</v>
      </c>
      <c r="CR119" s="5" t="n">
        <v>0</v>
      </c>
      <c r="CS119" s="5" t="n">
        <v>5.158</v>
      </c>
      <c r="CT119" s="5" t="n">
        <v>10.485</v>
      </c>
      <c r="CU119" s="5" t="n">
        <v>29.494</v>
      </c>
    </row>
    <row r="120">
      <c r="A120" s="5" t="inlineStr">
        <is>
          <t>VGB2023</t>
        </is>
      </c>
      <c r="B120" s="5" t="inlineStr">
        <is>
          <t>VGB</t>
        </is>
      </c>
      <c r="C120" s="5" t="inlineStr">
        <is>
          <t>VGB</t>
        </is>
      </c>
      <c r="D120" s="5" t="inlineStr">
        <is>
          <t>British Virgin Islands</t>
        </is>
      </c>
      <c r="E120" s="5" t="n">
        <v>2023</v>
      </c>
      <c r="F120" s="5" t="n">
        <v>0.21</v>
      </c>
      <c r="G120" s="5" t="n">
        <v>6.147</v>
      </c>
      <c r="H120" s="5" t="n">
        <v>1.286</v>
      </c>
      <c r="I120" s="5" t="n">
        <v>0</v>
      </c>
      <c r="J120" s="5" t="n">
        <v>6.147</v>
      </c>
      <c r="K120" s="5" t="n">
        <v>0</v>
      </c>
      <c r="L120" s="5" t="n">
        <v>1</v>
      </c>
      <c r="M120" s="5" t="n">
        <v>7.886</v>
      </c>
      <c r="N120" s="5" t="n">
        <v>3.857</v>
      </c>
      <c r="O120" s="5" t="n">
        <v>0</v>
      </c>
      <c r="P120" s="5" t="n">
        <v>7.886</v>
      </c>
      <c r="Q120" s="5" t="n">
        <v>0</v>
      </c>
      <c r="R120" s="5" t="n">
        <v>1</v>
      </c>
      <c r="S120" s="5" t="n">
        <v>12.575</v>
      </c>
      <c r="T120" s="5" t="n">
        <v>7.714</v>
      </c>
      <c r="U120" s="5" t="n">
        <v>0.292</v>
      </c>
      <c r="V120" s="5" t="n">
        <v>15.216</v>
      </c>
      <c r="W120" s="5" t="n">
        <v>0.21</v>
      </c>
      <c r="X120" s="5" t="n">
        <v>1</v>
      </c>
      <c r="Y120" s="5" t="n">
        <v>12.478</v>
      </c>
      <c r="Z120" s="5" t="n">
        <v>1.678</v>
      </c>
      <c r="AA120" s="5" t="n">
        <v>0</v>
      </c>
      <c r="AB120" s="5" t="n">
        <v>12.478</v>
      </c>
      <c r="AC120" s="5" t="n">
        <v>0</v>
      </c>
      <c r="AD120" s="5" t="n">
        <v>1</v>
      </c>
      <c r="AE120" s="5" t="n">
        <v>13.763</v>
      </c>
      <c r="AF120" s="5" t="n">
        <v>3.223</v>
      </c>
      <c r="AG120" s="5" t="n">
        <v>0</v>
      </c>
      <c r="AH120" s="5" t="n">
        <v>13.763</v>
      </c>
      <c r="AI120" s="5" t="n">
        <v>0</v>
      </c>
      <c r="AJ120" s="5" t="n">
        <v>1</v>
      </c>
      <c r="AK120" s="5" t="n">
        <v>21.477</v>
      </c>
      <c r="AL120" s="5" t="n">
        <v>11.54</v>
      </c>
      <c r="AM120" s="5" t="n">
        <v>0.499</v>
      </c>
      <c r="AN120" s="5" t="n">
        <v>25.988</v>
      </c>
      <c r="AO120" s="5" t="n">
        <v>0.21</v>
      </c>
      <c r="AP120" s="5" t="n">
        <v>1</v>
      </c>
      <c r="AQ120" s="5" t="n">
        <v>0.791</v>
      </c>
      <c r="AR120" s="5" t="n">
        <v>0.129</v>
      </c>
      <c r="AS120" s="5" t="n">
        <v>0.018</v>
      </c>
      <c r="AT120" s="5" t="n">
        <v>0.957</v>
      </c>
      <c r="AU120" s="5" t="n">
        <v>0.21</v>
      </c>
      <c r="AV120" s="5" t="n">
        <v>1</v>
      </c>
      <c r="AW120" s="5" t="n">
        <v>0.618</v>
      </c>
      <c r="AX120" s="5" t="n">
        <v>0.129</v>
      </c>
      <c r="AY120" s="5" t="n">
        <v>0.014</v>
      </c>
      <c r="AZ120" s="5" t="n">
        <v>0.748</v>
      </c>
      <c r="BA120" s="5" t="n">
        <v>0.21</v>
      </c>
      <c r="BB120" s="5" t="n">
        <v>1</v>
      </c>
      <c r="BC120" s="5" t="n">
        <v>0.554</v>
      </c>
      <c r="BD120" s="5" t="n">
        <v>0.129</v>
      </c>
      <c r="BE120" s="5" t="n">
        <v>0.013</v>
      </c>
      <c r="BF120" s="5" t="n">
        <v>0.671</v>
      </c>
      <c r="BG120" s="5" t="n">
        <v>0.21</v>
      </c>
      <c r="BH120" s="5" t="n">
        <v>1</v>
      </c>
      <c r="BI120" s="5" t="n">
        <v>0.5570000000000001</v>
      </c>
      <c r="BJ120" s="5" t="n">
        <v>0.129</v>
      </c>
      <c r="BK120" s="5" t="n">
        <v>0.013</v>
      </c>
      <c r="BL120" s="5" t="n">
        <v>0.674</v>
      </c>
      <c r="BM120" s="5" t="n">
        <v>0.21</v>
      </c>
      <c r="BN120" s="5" t="n">
        <v>1</v>
      </c>
      <c r="BO120" s="5" t="n">
        <v>0</v>
      </c>
      <c r="BP120" s="5" t="n">
        <v>0</v>
      </c>
      <c r="BQ120" s="5" t="n">
        <v>0</v>
      </c>
      <c r="BR120" s="5" t="n">
        <v>0</v>
      </c>
      <c r="BS120" s="5" t="n">
        <v>1</v>
      </c>
      <c r="BT120" s="5" t="n">
        <v>0</v>
      </c>
      <c r="BU120" s="5" t="n">
        <v>0</v>
      </c>
      <c r="BV120" s="5" t="n">
        <v>0</v>
      </c>
      <c r="BW120" s="5" t="n">
        <v>0.21</v>
      </c>
      <c r="BX120" s="5" t="n">
        <v>1</v>
      </c>
      <c r="BY120" s="5" t="n">
        <v>13.254</v>
      </c>
      <c r="BZ120" s="5" t="n">
        <v>0</v>
      </c>
      <c r="CA120" s="5" t="n">
        <v>13.254</v>
      </c>
      <c r="CB120" s="5" t="n">
        <v>0</v>
      </c>
      <c r="CC120" s="5" t="n">
        <v>83.248</v>
      </c>
      <c r="CD120" s="5" t="n">
        <v>7.95</v>
      </c>
      <c r="CE120" s="5" t="n">
        <v>1.936</v>
      </c>
      <c r="CF120" s="5" t="n">
        <v>100.73</v>
      </c>
      <c r="CG120" s="5" t="n">
        <v>0.21</v>
      </c>
      <c r="CH120" s="5" t="n">
        <v>1</v>
      </c>
      <c r="CI120" s="5" t="n">
        <v>0</v>
      </c>
      <c r="CJ120" s="5" t="n">
        <v>0</v>
      </c>
      <c r="CK120" s="5" t="n">
        <v>0</v>
      </c>
      <c r="CL120" s="5" t="n">
        <v>0</v>
      </c>
      <c r="CM120" s="5" t="n">
        <v>0</v>
      </c>
      <c r="CN120" s="5" t="n">
        <v>0</v>
      </c>
      <c r="CO120" s="5" t="n">
        <v>0</v>
      </c>
      <c r="CP120" s="5" t="n">
        <v>0</v>
      </c>
      <c r="CQ120" s="5" t="n">
        <v>1.348</v>
      </c>
      <c r="CR120" s="5" t="n">
        <v>0</v>
      </c>
      <c r="CS120" s="5" t="n">
        <v>5.37</v>
      </c>
      <c r="CT120" s="5" t="n">
        <v>4.861</v>
      </c>
      <c r="CU120" s="5" t="n">
        <v>11.192</v>
      </c>
    </row>
    <row r="121">
      <c r="A121" s="5" t="inlineStr">
        <is>
          <t>VGB2024</t>
        </is>
      </c>
      <c r="B121" s="5" t="inlineStr">
        <is>
          <t>VGB</t>
        </is>
      </c>
      <c r="C121" s="5" t="inlineStr">
        <is>
          <t>VGB</t>
        </is>
      </c>
      <c r="D121" s="5" t="inlineStr">
        <is>
          <t>British Virgin Islands</t>
        </is>
      </c>
      <c r="E121" s="5" t="n">
        <v>2024</v>
      </c>
      <c r="F121" s="5" t="n">
        <v>0.21</v>
      </c>
      <c r="G121" s="5" t="n">
        <v>5.575</v>
      </c>
      <c r="H121" s="5" t="n">
        <v>1.324</v>
      </c>
      <c r="I121" s="5" t="n">
        <v>0</v>
      </c>
      <c r="J121" s="5" t="n">
        <v>5.575</v>
      </c>
      <c r="K121" s="5" t="n">
        <v>0</v>
      </c>
      <c r="L121" s="5" t="n">
        <v>1</v>
      </c>
      <c r="M121" s="5" t="n">
        <v>7.124</v>
      </c>
      <c r="N121" s="5" t="n">
        <v>3.971</v>
      </c>
      <c r="O121" s="5" t="n">
        <v>0</v>
      </c>
      <c r="P121" s="5" t="n">
        <v>7.124</v>
      </c>
      <c r="Q121" s="5" t="n">
        <v>0</v>
      </c>
      <c r="R121" s="5" t="n">
        <v>1</v>
      </c>
      <c r="S121" s="5" t="n">
        <v>12.193</v>
      </c>
      <c r="T121" s="5" t="n">
        <v>7.942</v>
      </c>
      <c r="U121" s="5" t="n">
        <v>0.349</v>
      </c>
      <c r="V121" s="5" t="n">
        <v>14.753</v>
      </c>
      <c r="W121" s="5" t="n">
        <v>0.21</v>
      </c>
      <c r="X121" s="5" t="n">
        <v>1</v>
      </c>
      <c r="Y121" s="5" t="n">
        <v>11.447</v>
      </c>
      <c r="Z121" s="5" t="n">
        <v>1.54</v>
      </c>
      <c r="AA121" s="5" t="n">
        <v>0</v>
      </c>
      <c r="AB121" s="5" t="n">
        <v>11.447</v>
      </c>
      <c r="AC121" s="5" t="n">
        <v>0</v>
      </c>
      <c r="AD121" s="5" t="n">
        <v>1</v>
      </c>
      <c r="AE121" s="5" t="n">
        <v>12.771</v>
      </c>
      <c r="AF121" s="5" t="n">
        <v>2.991</v>
      </c>
      <c r="AG121" s="5" t="n">
        <v>0</v>
      </c>
      <c r="AH121" s="5" t="n">
        <v>12.771</v>
      </c>
      <c r="AI121" s="5" t="n">
        <v>0</v>
      </c>
      <c r="AJ121" s="5" t="n">
        <v>1</v>
      </c>
      <c r="AK121" s="5" t="n">
        <v>20.712</v>
      </c>
      <c r="AL121" s="5" t="n">
        <v>11.129</v>
      </c>
      <c r="AM121" s="5" t="n">
        <v>0.592</v>
      </c>
      <c r="AN121" s="5" t="n">
        <v>25.062</v>
      </c>
      <c r="AO121" s="5" t="n">
        <v>0.21</v>
      </c>
      <c r="AP121" s="5" t="n">
        <v>1</v>
      </c>
      <c r="AQ121" s="5" t="n">
        <v>0.756</v>
      </c>
      <c r="AR121" s="5" t="n">
        <v>0.132</v>
      </c>
      <c r="AS121" s="5" t="n">
        <v>0.022</v>
      </c>
      <c r="AT121" s="5" t="n">
        <v>0.915</v>
      </c>
      <c r="AU121" s="5" t="n">
        <v>0.21</v>
      </c>
      <c r="AV121" s="5" t="n">
        <v>1</v>
      </c>
      <c r="AW121" s="5" t="n">
        <v>0.655</v>
      </c>
      <c r="AX121" s="5" t="n">
        <v>0.132</v>
      </c>
      <c r="AY121" s="5" t="n">
        <v>0.019</v>
      </c>
      <c r="AZ121" s="5" t="n">
        <v>0.793</v>
      </c>
      <c r="BA121" s="5" t="n">
        <v>0.21</v>
      </c>
      <c r="BB121" s="5" t="n">
        <v>1</v>
      </c>
      <c r="BC121" s="5" t="n">
        <v>0.534</v>
      </c>
      <c r="BD121" s="5" t="n">
        <v>0.132</v>
      </c>
      <c r="BE121" s="5" t="n">
        <v>0.015</v>
      </c>
      <c r="BF121" s="5" t="n">
        <v>0.646</v>
      </c>
      <c r="BG121" s="5" t="n">
        <v>0.21</v>
      </c>
      <c r="BH121" s="5" t="n">
        <v>1</v>
      </c>
      <c r="BI121" s="5" t="n">
        <v>0.5679999999999999</v>
      </c>
      <c r="BJ121" s="5" t="n">
        <v>0.132</v>
      </c>
      <c r="BK121" s="5" t="n">
        <v>0.016</v>
      </c>
      <c r="BL121" s="5" t="n">
        <v>0.6870000000000001</v>
      </c>
      <c r="BM121" s="5" t="n">
        <v>0.21</v>
      </c>
      <c r="BN121" s="5" t="n">
        <v>1</v>
      </c>
      <c r="BO121" s="5" t="n">
        <v>0</v>
      </c>
      <c r="BP121" s="5" t="n">
        <v>0</v>
      </c>
      <c r="BQ121" s="5" t="n">
        <v>0</v>
      </c>
      <c r="BR121" s="5" t="n">
        <v>0</v>
      </c>
      <c r="BS121" s="5" t="n">
        <v>1</v>
      </c>
      <c r="BT121" s="5" t="n">
        <v>0</v>
      </c>
      <c r="BU121" s="5" t="n">
        <v>0</v>
      </c>
      <c r="BV121" s="5" t="n">
        <v>0</v>
      </c>
      <c r="BW121" s="5" t="n">
        <v>0.21</v>
      </c>
      <c r="BX121" s="5" t="n">
        <v>1</v>
      </c>
      <c r="BY121" s="5" t="n">
        <v>13.646</v>
      </c>
      <c r="BZ121" s="5" t="n">
        <v>0</v>
      </c>
      <c r="CA121" s="5" t="n">
        <v>13.646</v>
      </c>
      <c r="CB121" s="5" t="n">
        <v>0</v>
      </c>
      <c r="CC121" s="5" t="n">
        <v>82.58799999999999</v>
      </c>
      <c r="CD121" s="5" t="n">
        <v>7.95</v>
      </c>
      <c r="CE121" s="5" t="n">
        <v>2.362</v>
      </c>
      <c r="CF121" s="5" t="n">
        <v>99.931</v>
      </c>
      <c r="CG121" s="5" t="n">
        <v>0.21</v>
      </c>
      <c r="CH121" s="5" t="n">
        <v>1</v>
      </c>
      <c r="CI121" s="5" t="n">
        <v>0</v>
      </c>
      <c r="CJ121" s="5" t="n">
        <v>0</v>
      </c>
      <c r="CK121" s="5" t="n">
        <v>0</v>
      </c>
      <c r="CL121" s="5" t="n">
        <v>0</v>
      </c>
      <c r="CM121" s="5" t="n">
        <v>0</v>
      </c>
      <c r="CN121" s="5" t="n">
        <v>0</v>
      </c>
      <c r="CO121" s="5" t="n">
        <v>0</v>
      </c>
      <c r="CP121" s="5" t="n">
        <v>0</v>
      </c>
      <c r="CQ121" s="5" t="n">
        <v>1.387</v>
      </c>
      <c r="CR121" s="5" t="n">
        <v>0</v>
      </c>
      <c r="CS121" s="5" t="n">
        <v>5.529</v>
      </c>
      <c r="CT121" s="5" t="n">
        <v>4.251</v>
      </c>
      <c r="CU121" s="5" t="n">
        <v>10.123</v>
      </c>
    </row>
    <row r="122">
      <c r="A122" s="5" t="inlineStr">
        <is>
          <t>BRN2021</t>
        </is>
      </c>
      <c r="B122" s="5" t="inlineStr">
        <is>
          <t>BRN</t>
        </is>
      </c>
      <c r="C122" s="5" t="inlineStr">
        <is>
          <t>BRN</t>
        </is>
      </c>
      <c r="D122" s="5" t="inlineStr">
        <is>
          <t>Brunei Darussalam</t>
        </is>
      </c>
      <c r="E122" s="5" t="n">
        <v>2021</v>
      </c>
      <c r="F122" s="5" t="n">
        <v>0</v>
      </c>
      <c r="G122" s="5" t="n">
        <v>4.747</v>
      </c>
      <c r="H122" s="5" t="n">
        <v>1.143</v>
      </c>
      <c r="I122" s="5" t="n">
        <v>0</v>
      </c>
      <c r="J122" s="5" t="n">
        <v>4.747</v>
      </c>
      <c r="K122" s="5" t="n">
        <v>0</v>
      </c>
      <c r="L122" s="5" t="n">
        <v>1</v>
      </c>
      <c r="M122" s="5" t="n">
        <v>7.964</v>
      </c>
      <c r="N122" s="5" t="n">
        <v>3.43</v>
      </c>
      <c r="O122" s="5" t="n">
        <v>0</v>
      </c>
      <c r="P122" s="5" t="n">
        <v>7.964</v>
      </c>
      <c r="Q122" s="5" t="n">
        <v>0</v>
      </c>
      <c r="R122" s="5" t="n">
        <v>1</v>
      </c>
      <c r="S122" s="5" t="n">
        <v>10.464</v>
      </c>
      <c r="T122" s="5" t="n">
        <v>6.86</v>
      </c>
      <c r="U122" s="5" t="n">
        <v>0</v>
      </c>
      <c r="V122" s="5" t="n">
        <v>10.464</v>
      </c>
      <c r="W122" s="5" t="n">
        <v>0</v>
      </c>
      <c r="X122" s="5" t="n">
        <v>1</v>
      </c>
      <c r="Y122" s="5" t="n">
        <v>3.471</v>
      </c>
      <c r="Z122" s="5" t="n">
        <v>0.381</v>
      </c>
      <c r="AA122" s="5" t="n">
        <v>0.783</v>
      </c>
      <c r="AB122" s="5" t="n">
        <v>4.253</v>
      </c>
      <c r="AC122" s="5" t="n">
        <v>0</v>
      </c>
      <c r="AD122" s="5" t="n">
        <v>1</v>
      </c>
      <c r="AE122" s="5" t="n">
        <v>4.042</v>
      </c>
      <c r="AF122" s="5" t="n">
        <v>0.786</v>
      </c>
      <c r="AG122" s="5" t="n">
        <v>0.211</v>
      </c>
      <c r="AH122" s="5" t="n">
        <v>4.253</v>
      </c>
      <c r="AI122" s="5" t="n">
        <v>0</v>
      </c>
      <c r="AJ122" s="5" t="n">
        <v>1</v>
      </c>
      <c r="AK122" s="5" t="n">
        <v>7.472</v>
      </c>
      <c r="AL122" s="5" t="n">
        <v>3.525</v>
      </c>
      <c r="AM122" s="5" t="n">
        <v>-3.219</v>
      </c>
      <c r="AN122" s="5" t="n">
        <v>4.253</v>
      </c>
      <c r="AO122" s="5" t="n">
        <v>0</v>
      </c>
      <c r="AP122" s="5" t="n">
        <v>0</v>
      </c>
      <c r="AQ122" s="5" t="n">
        <v>0.621</v>
      </c>
      <c r="AR122" s="5" t="n">
        <v>0.114</v>
      </c>
      <c r="AS122" s="5" t="n">
        <v>-0.342</v>
      </c>
      <c r="AT122" s="5" t="n">
        <v>0.278</v>
      </c>
      <c r="AU122" s="5" t="n">
        <v>0</v>
      </c>
      <c r="AV122" s="5" t="n">
        <v>0</v>
      </c>
      <c r="AW122" s="5" t="n">
        <v>0.593</v>
      </c>
      <c r="AX122" s="5" t="n">
        <v>0.114</v>
      </c>
      <c r="AY122" s="5" t="n">
        <v>-0.355</v>
      </c>
      <c r="AZ122" s="5" t="n">
        <v>0.238</v>
      </c>
      <c r="BA122" s="5" t="n">
        <v>0</v>
      </c>
      <c r="BB122" s="5" t="n">
        <v>0</v>
      </c>
      <c r="BC122" s="5" t="n">
        <v>0.44</v>
      </c>
      <c r="BD122" s="5" t="n">
        <v>0.114</v>
      </c>
      <c r="BE122" s="5" t="n">
        <v>-0.301</v>
      </c>
      <c r="BF122" s="5" t="n">
        <v>0.139</v>
      </c>
      <c r="BG122" s="5" t="n">
        <v>0</v>
      </c>
      <c r="BH122" s="5" t="n">
        <v>0</v>
      </c>
      <c r="BI122" s="5" t="n">
        <v>0.5600000000000001</v>
      </c>
      <c r="BJ122" s="5" t="n">
        <v>0.114</v>
      </c>
      <c r="BK122" s="5" t="n">
        <v>-0.276</v>
      </c>
      <c r="BL122" s="5" t="n">
        <v>0.284</v>
      </c>
      <c r="BM122" s="5" t="n">
        <v>0</v>
      </c>
      <c r="BN122" s="5" t="n">
        <v>0</v>
      </c>
      <c r="BO122" s="5" t="n">
        <v>0</v>
      </c>
      <c r="BP122" s="5" t="n">
        <v>-0.021</v>
      </c>
      <c r="BQ122" s="5" t="n">
        <v>0.046</v>
      </c>
      <c r="BR122" s="5" t="n">
        <v>0</v>
      </c>
      <c r="BS122" s="5" t="n">
        <v>1</v>
      </c>
      <c r="BT122" s="5" t="n">
        <v>0</v>
      </c>
      <c r="BU122" s="5" t="n">
        <v>-0.021</v>
      </c>
      <c r="BV122" s="5" t="n">
        <v>0.076</v>
      </c>
      <c r="BW122" s="5" t="n">
        <v>0</v>
      </c>
      <c r="BX122" s="5" t="n">
        <v>1</v>
      </c>
      <c r="BY122" s="5" t="n">
        <v>11.787</v>
      </c>
      <c r="BZ122" s="5" t="n">
        <v>0</v>
      </c>
      <c r="CA122" s="5" t="n">
        <v>11.787</v>
      </c>
      <c r="CB122" s="5" t="n">
        <v>0</v>
      </c>
      <c r="CC122" s="5" t="n">
        <v>81.69499999999999</v>
      </c>
      <c r="CD122" s="5" t="n">
        <v>7.95</v>
      </c>
      <c r="CE122" s="5" t="n">
        <v>0</v>
      </c>
      <c r="CF122" s="5" t="n">
        <v>81.69499999999999</v>
      </c>
      <c r="CG122" s="5" t="n">
        <v>0</v>
      </c>
      <c r="CH122" s="5" t="n">
        <v>1</v>
      </c>
      <c r="CI122" s="5" t="n">
        <v>0</v>
      </c>
      <c r="CJ122" s="5" t="n">
        <v>0</v>
      </c>
      <c r="CK122" s="5" t="n">
        <v>0</v>
      </c>
      <c r="CL122" s="5" t="n">
        <v>0</v>
      </c>
      <c r="CM122" s="5" t="n">
        <v>0</v>
      </c>
      <c r="CN122" s="5" t="n">
        <v>0</v>
      </c>
      <c r="CO122" s="5" t="n">
        <v>0</v>
      </c>
      <c r="CP122" s="5" t="n">
        <v>0</v>
      </c>
      <c r="CQ122" s="5" t="n">
        <v>1.198</v>
      </c>
      <c r="CR122" s="5" t="n">
        <v>1</v>
      </c>
      <c r="CS122" s="5" t="n">
        <v>2.899</v>
      </c>
      <c r="CT122" s="5" t="n">
        <v>3.604</v>
      </c>
      <c r="CU122" s="5" t="n">
        <v>14.129</v>
      </c>
    </row>
    <row r="123">
      <c r="A123" s="5" t="inlineStr">
        <is>
          <t>BRN2022</t>
        </is>
      </c>
      <c r="B123" s="5" t="inlineStr">
        <is>
          <t>BRN</t>
        </is>
      </c>
      <c r="C123" s="5" t="inlineStr">
        <is>
          <t>BRN</t>
        </is>
      </c>
      <c r="D123" s="5" t="inlineStr">
        <is>
          <t>Brunei Darussalam</t>
        </is>
      </c>
      <c r="E123" s="5" t="n">
        <v>2022</v>
      </c>
      <c r="F123" s="5" t="n">
        <v>0</v>
      </c>
      <c r="G123" s="5" t="n">
        <v>8.788</v>
      </c>
      <c r="H123" s="5" t="n">
        <v>1.235</v>
      </c>
      <c r="I123" s="5" t="n">
        <v>0</v>
      </c>
      <c r="J123" s="5" t="n">
        <v>8.788</v>
      </c>
      <c r="K123" s="5" t="n">
        <v>0</v>
      </c>
      <c r="L123" s="5" t="n">
        <v>1</v>
      </c>
      <c r="M123" s="5" t="n">
        <v>9.782999999999999</v>
      </c>
      <c r="N123" s="5" t="n">
        <v>3.704</v>
      </c>
      <c r="O123" s="5" t="n">
        <v>0</v>
      </c>
      <c r="P123" s="5" t="n">
        <v>9.782999999999999</v>
      </c>
      <c r="Q123" s="5" t="n">
        <v>0</v>
      </c>
      <c r="R123" s="5" t="n">
        <v>1</v>
      </c>
      <c r="S123" s="5" t="n">
        <v>14.962</v>
      </c>
      <c r="T123" s="5" t="n">
        <v>7.408</v>
      </c>
      <c r="U123" s="5" t="n">
        <v>0</v>
      </c>
      <c r="V123" s="5" t="n">
        <v>14.962</v>
      </c>
      <c r="W123" s="5" t="n">
        <v>0</v>
      </c>
      <c r="X123" s="5" t="n">
        <v>1</v>
      </c>
      <c r="Y123" s="5" t="n">
        <v>3.748</v>
      </c>
      <c r="Z123" s="5" t="n">
        <v>0.411</v>
      </c>
      <c r="AA123" s="5" t="n">
        <v>0.845</v>
      </c>
      <c r="AB123" s="5" t="n">
        <v>4.593</v>
      </c>
      <c r="AC123" s="5" t="n">
        <v>0</v>
      </c>
      <c r="AD123" s="5" t="n">
        <v>1</v>
      </c>
      <c r="AE123" s="5" t="n">
        <v>4.366</v>
      </c>
      <c r="AF123" s="5" t="n">
        <v>0.849</v>
      </c>
      <c r="AG123" s="5" t="n">
        <v>0.228</v>
      </c>
      <c r="AH123" s="5" t="n">
        <v>4.593</v>
      </c>
      <c r="AI123" s="5" t="n">
        <v>0</v>
      </c>
      <c r="AJ123" s="5" t="n">
        <v>1</v>
      </c>
      <c r="AK123" s="5" t="n">
        <v>8.07</v>
      </c>
      <c r="AL123" s="5" t="n">
        <v>3.807</v>
      </c>
      <c r="AM123" s="5" t="n">
        <v>-3.476</v>
      </c>
      <c r="AN123" s="5" t="n">
        <v>4.593</v>
      </c>
      <c r="AO123" s="5" t="n">
        <v>0</v>
      </c>
      <c r="AP123" s="5" t="n">
        <v>0</v>
      </c>
      <c r="AQ123" s="5" t="n">
        <v>0.847</v>
      </c>
      <c r="AR123" s="5" t="n">
        <v>0.123</v>
      </c>
      <c r="AS123" s="5" t="n">
        <v>-0.541</v>
      </c>
      <c r="AT123" s="5" t="n">
        <v>0.305</v>
      </c>
      <c r="AU123" s="5" t="n">
        <v>0</v>
      </c>
      <c r="AV123" s="5" t="n">
        <v>0</v>
      </c>
      <c r="AW123" s="5" t="n">
        <v>0.947</v>
      </c>
      <c r="AX123" s="5" t="n">
        <v>0.123</v>
      </c>
      <c r="AY123" s="5" t="n">
        <v>-0.6850000000000001</v>
      </c>
      <c r="AZ123" s="5" t="n">
        <v>0.262</v>
      </c>
      <c r="BA123" s="5" t="n">
        <v>0</v>
      </c>
      <c r="BB123" s="5" t="n">
        <v>0</v>
      </c>
      <c r="BC123" s="5" t="n">
        <v>0.589</v>
      </c>
      <c r="BD123" s="5" t="n">
        <v>0.123</v>
      </c>
      <c r="BE123" s="5" t="n">
        <v>-0.436</v>
      </c>
      <c r="BF123" s="5" t="n">
        <v>0.153</v>
      </c>
      <c r="BG123" s="5" t="n">
        <v>0</v>
      </c>
      <c r="BH123" s="5" t="n">
        <v>0</v>
      </c>
      <c r="BI123" s="5" t="n">
        <v>0.6889999999999999</v>
      </c>
      <c r="BJ123" s="5" t="n">
        <v>0.123</v>
      </c>
      <c r="BK123" s="5" t="n">
        <v>-0.381</v>
      </c>
      <c r="BL123" s="5" t="n">
        <v>0.308</v>
      </c>
      <c r="BM123" s="5" t="n">
        <v>0</v>
      </c>
      <c r="BN123" s="5" t="n">
        <v>0</v>
      </c>
      <c r="BO123" s="5" t="n">
        <v>0</v>
      </c>
      <c r="BP123" s="5" t="n">
        <v>-0.021</v>
      </c>
      <c r="BQ123" s="5" t="n">
        <v>0.049</v>
      </c>
      <c r="BR123" s="5" t="n">
        <v>0</v>
      </c>
      <c r="BS123" s="5" t="n">
        <v>1</v>
      </c>
      <c r="BT123" s="5" t="n">
        <v>0</v>
      </c>
      <c r="BU123" s="5" t="n">
        <v>-0.021</v>
      </c>
      <c r="BV123" s="5" t="n">
        <v>0.082</v>
      </c>
      <c r="BW123" s="5" t="n">
        <v>0</v>
      </c>
      <c r="BX123" s="5" t="n">
        <v>1</v>
      </c>
      <c r="BY123" s="5" t="n">
        <v>12.729</v>
      </c>
      <c r="BZ123" s="5" t="n">
        <v>0</v>
      </c>
      <c r="CA123" s="5" t="n">
        <v>12.729</v>
      </c>
      <c r="CB123" s="5" t="n">
        <v>0</v>
      </c>
      <c r="CC123" s="5" t="n">
        <v>102.477</v>
      </c>
      <c r="CD123" s="5" t="n">
        <v>7.95</v>
      </c>
      <c r="CE123" s="5" t="n">
        <v>0</v>
      </c>
      <c r="CF123" s="5" t="n">
        <v>102.477</v>
      </c>
      <c r="CG123" s="5" t="n">
        <v>0</v>
      </c>
      <c r="CH123" s="5" t="n">
        <v>1</v>
      </c>
      <c r="CI123" s="5" t="n">
        <v>0</v>
      </c>
      <c r="CJ123" s="5" t="n">
        <v>0</v>
      </c>
      <c r="CK123" s="5" t="n">
        <v>0</v>
      </c>
      <c r="CL123" s="5" t="n">
        <v>0</v>
      </c>
      <c r="CM123" s="5" t="n">
        <v>0</v>
      </c>
      <c r="CN123" s="5" t="n">
        <v>0</v>
      </c>
      <c r="CO123" s="5" t="n">
        <v>0</v>
      </c>
      <c r="CP123" s="5" t="n">
        <v>0</v>
      </c>
      <c r="CQ123" s="5" t="n">
        <v>1.294</v>
      </c>
      <c r="CR123" s="5" t="n">
        <v>1</v>
      </c>
      <c r="CS123" s="5" t="n">
        <v>3.131</v>
      </c>
      <c r="CT123" s="5" t="n">
        <v>7.554</v>
      </c>
      <c r="CU123" s="5" t="n">
        <v>28.059</v>
      </c>
    </row>
    <row r="124">
      <c r="A124" s="5" t="inlineStr">
        <is>
          <t>BRN2023</t>
        </is>
      </c>
      <c r="B124" s="5" t="inlineStr">
        <is>
          <t>BRN</t>
        </is>
      </c>
      <c r="C124" s="5" t="inlineStr">
        <is>
          <t>BRN</t>
        </is>
      </c>
      <c r="D124" s="5" t="inlineStr">
        <is>
          <t>Brunei Darussalam</t>
        </is>
      </c>
      <c r="E124" s="5" t="n">
        <v>2023</v>
      </c>
      <c r="F124" s="5" t="n">
        <v>0</v>
      </c>
      <c r="G124" s="5" t="n">
        <v>5.77</v>
      </c>
      <c r="H124" s="5" t="n">
        <v>1.286</v>
      </c>
      <c r="I124" s="5" t="n">
        <v>0</v>
      </c>
      <c r="J124" s="5" t="n">
        <v>5.77</v>
      </c>
      <c r="K124" s="5" t="n">
        <v>0</v>
      </c>
      <c r="L124" s="5" t="n">
        <v>1</v>
      </c>
      <c r="M124" s="5" t="n">
        <v>7.886</v>
      </c>
      <c r="N124" s="5" t="n">
        <v>3.857</v>
      </c>
      <c r="O124" s="5" t="n">
        <v>0</v>
      </c>
      <c r="P124" s="5" t="n">
        <v>7.886</v>
      </c>
      <c r="Q124" s="5" t="n">
        <v>0</v>
      </c>
      <c r="R124" s="5" t="n">
        <v>1</v>
      </c>
      <c r="S124" s="5" t="n">
        <v>12.198</v>
      </c>
      <c r="T124" s="5" t="n">
        <v>7.714</v>
      </c>
      <c r="U124" s="5" t="n">
        <v>0</v>
      </c>
      <c r="V124" s="5" t="n">
        <v>12.198</v>
      </c>
      <c r="W124" s="5" t="n">
        <v>0</v>
      </c>
      <c r="X124" s="5" t="n">
        <v>1</v>
      </c>
      <c r="Y124" s="5" t="n">
        <v>3.903</v>
      </c>
      <c r="Z124" s="5" t="n">
        <v>0.428</v>
      </c>
      <c r="AA124" s="5" t="n">
        <v>0.88</v>
      </c>
      <c r="AB124" s="5" t="n">
        <v>4.783</v>
      </c>
      <c r="AC124" s="5" t="n">
        <v>0</v>
      </c>
      <c r="AD124" s="5" t="n">
        <v>1</v>
      </c>
      <c r="AE124" s="5" t="n">
        <v>4.546</v>
      </c>
      <c r="AF124" s="5" t="n">
        <v>0.884</v>
      </c>
      <c r="AG124" s="5" t="n">
        <v>0.237</v>
      </c>
      <c r="AH124" s="5" t="n">
        <v>4.783</v>
      </c>
      <c r="AI124" s="5" t="n">
        <v>0</v>
      </c>
      <c r="AJ124" s="5" t="n">
        <v>1</v>
      </c>
      <c r="AK124" s="5" t="n">
        <v>8.403</v>
      </c>
      <c r="AL124" s="5" t="n">
        <v>3.964</v>
      </c>
      <c r="AM124" s="5" t="n">
        <v>-3.62</v>
      </c>
      <c r="AN124" s="5" t="n">
        <v>4.783</v>
      </c>
      <c r="AO124" s="5" t="n">
        <v>0</v>
      </c>
      <c r="AP124" s="5" t="n">
        <v>0</v>
      </c>
      <c r="AQ124" s="5" t="n">
        <v>0.749</v>
      </c>
      <c r="AR124" s="5" t="n">
        <v>0.129</v>
      </c>
      <c r="AS124" s="5" t="n">
        <v>-0.434</v>
      </c>
      <c r="AT124" s="5" t="n">
        <v>0.314</v>
      </c>
      <c r="AU124" s="5" t="n">
        <v>0</v>
      </c>
      <c r="AV124" s="5" t="n">
        <v>0</v>
      </c>
      <c r="AW124" s="5" t="n">
        <v>0.783</v>
      </c>
      <c r="AX124" s="5" t="n">
        <v>0.129</v>
      </c>
      <c r="AY124" s="5" t="n">
        <v>-0.513</v>
      </c>
      <c r="AZ124" s="5" t="n">
        <v>0.269</v>
      </c>
      <c r="BA124" s="5" t="n">
        <v>0</v>
      </c>
      <c r="BB124" s="5" t="n">
        <v>0</v>
      </c>
      <c r="BC124" s="5" t="n">
        <v>0.527</v>
      </c>
      <c r="BD124" s="5" t="n">
        <v>0.129</v>
      </c>
      <c r="BE124" s="5" t="n">
        <v>-0.37</v>
      </c>
      <c r="BF124" s="5" t="n">
        <v>0.157</v>
      </c>
      <c r="BG124" s="5" t="n">
        <v>0</v>
      </c>
      <c r="BH124" s="5" t="n">
        <v>0</v>
      </c>
      <c r="BI124" s="5" t="n">
        <v>0.64</v>
      </c>
      <c r="BJ124" s="5" t="n">
        <v>0.129</v>
      </c>
      <c r="BK124" s="5" t="n">
        <v>-0.32</v>
      </c>
      <c r="BL124" s="5" t="n">
        <v>0.32</v>
      </c>
      <c r="BM124" s="5" t="n">
        <v>0</v>
      </c>
      <c r="BN124" s="5" t="n">
        <v>0</v>
      </c>
      <c r="BO124" s="5" t="n">
        <v>0</v>
      </c>
      <c r="BP124" s="5" t="n">
        <v>-0.021</v>
      </c>
      <c r="BQ124" s="5" t="n">
        <v>0.051</v>
      </c>
      <c r="BR124" s="5" t="n">
        <v>0</v>
      </c>
      <c r="BS124" s="5" t="n">
        <v>1</v>
      </c>
      <c r="BT124" s="5" t="n">
        <v>0</v>
      </c>
      <c r="BU124" s="5" t="n">
        <v>-0.021</v>
      </c>
      <c r="BV124" s="5" t="n">
        <v>0.08500000000000001</v>
      </c>
      <c r="BW124" s="5" t="n">
        <v>0</v>
      </c>
      <c r="BX124" s="5" t="n">
        <v>1</v>
      </c>
      <c r="BY124" s="5" t="n">
        <v>13.254</v>
      </c>
      <c r="BZ124" s="5" t="n">
        <v>0</v>
      </c>
      <c r="CA124" s="5" t="n">
        <v>13.254</v>
      </c>
      <c r="CB124" s="5" t="n">
        <v>0</v>
      </c>
      <c r="CC124" s="5" t="n">
        <v>87.07899999999999</v>
      </c>
      <c r="CD124" s="5" t="n">
        <v>7.95</v>
      </c>
      <c r="CE124" s="5" t="n">
        <v>0</v>
      </c>
      <c r="CF124" s="5" t="n">
        <v>87.07899999999999</v>
      </c>
      <c r="CG124" s="5" t="n">
        <v>0</v>
      </c>
      <c r="CH124" s="5" t="n">
        <v>1</v>
      </c>
      <c r="CI124" s="5" t="n">
        <v>0</v>
      </c>
      <c r="CJ124" s="5" t="n">
        <v>0</v>
      </c>
      <c r="CK124" s="5" t="n">
        <v>0</v>
      </c>
      <c r="CL124" s="5" t="n">
        <v>0</v>
      </c>
      <c r="CM124" s="5" t="n">
        <v>0</v>
      </c>
      <c r="CN124" s="5" t="n">
        <v>0</v>
      </c>
      <c r="CO124" s="5" t="n">
        <v>0</v>
      </c>
      <c r="CP124" s="5" t="n">
        <v>0</v>
      </c>
      <c r="CQ124" s="5" t="n">
        <v>1.348</v>
      </c>
      <c r="CR124" s="5" t="n">
        <v>1</v>
      </c>
      <c r="CS124" s="5" t="n">
        <v>3.26</v>
      </c>
      <c r="CT124" s="5" t="n">
        <v>4.484</v>
      </c>
      <c r="CU124" s="5" t="n">
        <v>9.260999999999999</v>
      </c>
    </row>
    <row r="125">
      <c r="A125" s="5" t="inlineStr">
        <is>
          <t>BRN2024</t>
        </is>
      </c>
      <c r="B125" s="5" t="inlineStr">
        <is>
          <t>BRN</t>
        </is>
      </c>
      <c r="C125" s="5" t="inlineStr">
        <is>
          <t>BRN</t>
        </is>
      </c>
      <c r="D125" s="5" t="inlineStr">
        <is>
          <t>Brunei Darussalam</t>
        </is>
      </c>
      <c r="E125" s="5" t="n">
        <v>2024</v>
      </c>
      <c r="F125" s="5" t="n">
        <v>0</v>
      </c>
      <c r="G125" s="5" t="n">
        <v>4.833</v>
      </c>
      <c r="H125" s="5" t="n">
        <v>1.324</v>
      </c>
      <c r="I125" s="5" t="n">
        <v>0</v>
      </c>
      <c r="J125" s="5" t="n">
        <v>4.833</v>
      </c>
      <c r="K125" s="5" t="n">
        <v>0</v>
      </c>
      <c r="L125" s="5" t="n">
        <v>1</v>
      </c>
      <c r="M125" s="5" t="n">
        <v>7.124</v>
      </c>
      <c r="N125" s="5" t="n">
        <v>3.971</v>
      </c>
      <c r="O125" s="5" t="n">
        <v>0</v>
      </c>
      <c r="P125" s="5" t="n">
        <v>7.124</v>
      </c>
      <c r="Q125" s="5" t="n">
        <v>0</v>
      </c>
      <c r="R125" s="5" t="n">
        <v>1</v>
      </c>
      <c r="S125" s="5" t="n">
        <v>11.451</v>
      </c>
      <c r="T125" s="5" t="n">
        <v>7.942</v>
      </c>
      <c r="U125" s="5" t="n">
        <v>0</v>
      </c>
      <c r="V125" s="5" t="n">
        <v>11.451</v>
      </c>
      <c r="W125" s="5" t="n">
        <v>0</v>
      </c>
      <c r="X125" s="5" t="n">
        <v>1</v>
      </c>
      <c r="Y125" s="5" t="n">
        <v>4.018</v>
      </c>
      <c r="Z125" s="5" t="n">
        <v>0.441</v>
      </c>
      <c r="AA125" s="5" t="n">
        <v>0.906</v>
      </c>
      <c r="AB125" s="5" t="n">
        <v>4.924</v>
      </c>
      <c r="AC125" s="5" t="n">
        <v>0</v>
      </c>
      <c r="AD125" s="5" t="n">
        <v>1</v>
      </c>
      <c r="AE125" s="5" t="n">
        <v>4.68</v>
      </c>
      <c r="AF125" s="5" t="n">
        <v>0.91</v>
      </c>
      <c r="AG125" s="5" t="n">
        <v>0.244</v>
      </c>
      <c r="AH125" s="5" t="n">
        <v>4.924</v>
      </c>
      <c r="AI125" s="5" t="n">
        <v>0</v>
      </c>
      <c r="AJ125" s="5" t="n">
        <v>1</v>
      </c>
      <c r="AK125" s="5" t="n">
        <v>8.651</v>
      </c>
      <c r="AL125" s="5" t="n">
        <v>4.081</v>
      </c>
      <c r="AM125" s="5" t="n">
        <v>-3.727</v>
      </c>
      <c r="AN125" s="5" t="n">
        <v>4.924</v>
      </c>
      <c r="AO125" s="5" t="n">
        <v>0</v>
      </c>
      <c r="AP125" s="5" t="n">
        <v>0</v>
      </c>
      <c r="AQ125" s="5" t="n">
        <v>0.72</v>
      </c>
      <c r="AR125" s="5" t="n">
        <v>0.132</v>
      </c>
      <c r="AS125" s="5" t="n">
        <v>-0.398</v>
      </c>
      <c r="AT125" s="5" t="n">
        <v>0.322</v>
      </c>
      <c r="AU125" s="5" t="n">
        <v>0</v>
      </c>
      <c r="AV125" s="5" t="n">
        <v>0</v>
      </c>
      <c r="AW125" s="5" t="n">
        <v>0.734</v>
      </c>
      <c r="AX125" s="5" t="n">
        <v>0.132</v>
      </c>
      <c r="AY125" s="5" t="n">
        <v>-0.457</v>
      </c>
      <c r="AZ125" s="5" t="n">
        <v>0.276</v>
      </c>
      <c r="BA125" s="5" t="n">
        <v>0</v>
      </c>
      <c r="BB125" s="5" t="n">
        <v>0</v>
      </c>
      <c r="BC125" s="5" t="n">
        <v>0.51</v>
      </c>
      <c r="BD125" s="5" t="n">
        <v>0.132</v>
      </c>
      <c r="BE125" s="5" t="n">
        <v>-0.349</v>
      </c>
      <c r="BF125" s="5" t="n">
        <v>0.161</v>
      </c>
      <c r="BG125" s="5" t="n">
        <v>0</v>
      </c>
      <c r="BH125" s="5" t="n">
        <v>0</v>
      </c>
      <c r="BI125" s="5" t="n">
        <v>0.652</v>
      </c>
      <c r="BJ125" s="5" t="n">
        <v>0.132</v>
      </c>
      <c r="BK125" s="5" t="n">
        <v>-0.323</v>
      </c>
      <c r="BL125" s="5" t="n">
        <v>0.329</v>
      </c>
      <c r="BM125" s="5" t="n">
        <v>0</v>
      </c>
      <c r="BN125" s="5" t="n">
        <v>0</v>
      </c>
      <c r="BO125" s="5" t="n">
        <v>0</v>
      </c>
      <c r="BP125" s="5" t="n">
        <v>-0.022</v>
      </c>
      <c r="BQ125" s="5" t="n">
        <v>0.053</v>
      </c>
      <c r="BR125" s="5" t="n">
        <v>0</v>
      </c>
      <c r="BS125" s="5" t="n">
        <v>1</v>
      </c>
      <c r="BT125" s="5" t="n">
        <v>0</v>
      </c>
      <c r="BU125" s="5" t="n">
        <v>-0.022</v>
      </c>
      <c r="BV125" s="5" t="n">
        <v>0.08799999999999999</v>
      </c>
      <c r="BW125" s="5" t="n">
        <v>0</v>
      </c>
      <c r="BX125" s="5" t="n">
        <v>1</v>
      </c>
      <c r="BY125" s="5" t="n">
        <v>13.646</v>
      </c>
      <c r="BZ125" s="5" t="n">
        <v>0</v>
      </c>
      <c r="CA125" s="5" t="n">
        <v>13.646</v>
      </c>
      <c r="CB125" s="5" t="n">
        <v>0</v>
      </c>
      <c r="CC125" s="5" t="n">
        <v>86.38500000000001</v>
      </c>
      <c r="CD125" s="5" t="n">
        <v>7.95</v>
      </c>
      <c r="CE125" s="5" t="n">
        <v>0</v>
      </c>
      <c r="CF125" s="5" t="n">
        <v>86.38500000000001</v>
      </c>
      <c r="CG125" s="5" t="n">
        <v>0</v>
      </c>
      <c r="CH125" s="5" t="n">
        <v>1</v>
      </c>
      <c r="CI125" s="5" t="n">
        <v>0</v>
      </c>
      <c r="CJ125" s="5" t="n">
        <v>0</v>
      </c>
      <c r="CK125" s="5" t="n">
        <v>0</v>
      </c>
      <c r="CL125" s="5" t="n">
        <v>0</v>
      </c>
      <c r="CM125" s="5" t="n">
        <v>0</v>
      </c>
      <c r="CN125" s="5" t="n">
        <v>0</v>
      </c>
      <c r="CO125" s="5" t="n">
        <v>0</v>
      </c>
      <c r="CP125" s="5" t="n">
        <v>0</v>
      </c>
      <c r="CQ125" s="5" t="n">
        <v>1.387</v>
      </c>
      <c r="CR125" s="5" t="n">
        <v>1</v>
      </c>
      <c r="CS125" s="5" t="n">
        <v>3.356</v>
      </c>
      <c r="CT125" s="5" t="n">
        <v>3.509</v>
      </c>
      <c r="CU125" s="5" t="n">
        <v>7.598</v>
      </c>
    </row>
    <row r="126">
      <c r="A126" s="5" t="inlineStr">
        <is>
          <t>BGR2021</t>
        </is>
      </c>
      <c r="B126" s="5" t="inlineStr">
        <is>
          <t>BGR</t>
        </is>
      </c>
      <c r="C126" s="5" t="inlineStr">
        <is>
          <t>BGR</t>
        </is>
      </c>
      <c r="D126" s="5" t="inlineStr">
        <is>
          <t>Bulgaria</t>
        </is>
      </c>
      <c r="E126" s="5" t="n">
        <v>2021</v>
      </c>
      <c r="F126" s="5" t="n">
        <v>0.2</v>
      </c>
      <c r="G126" s="5" t="n">
        <v>5.895</v>
      </c>
      <c r="H126" s="5" t="n">
        <v>1.29</v>
      </c>
      <c r="I126" s="5" t="n">
        <v>1.782</v>
      </c>
      <c r="J126" s="5" t="n">
        <v>7.676</v>
      </c>
      <c r="K126" s="5" t="n">
        <v>0</v>
      </c>
      <c r="L126" s="5" t="n">
        <v>1</v>
      </c>
      <c r="M126" s="5" t="n">
        <v>5.998</v>
      </c>
      <c r="N126" s="5" t="n">
        <v>2.719</v>
      </c>
      <c r="O126" s="5" t="n">
        <v>1.721</v>
      </c>
      <c r="P126" s="5" t="n">
        <v>7.72</v>
      </c>
      <c r="Q126" s="5" t="n">
        <v>0</v>
      </c>
      <c r="R126" s="5" t="n">
        <v>1</v>
      </c>
      <c r="S126" s="5" t="n">
        <v>4.822</v>
      </c>
      <c r="T126" s="5" t="n">
        <v>2.988</v>
      </c>
      <c r="U126" s="5" t="n">
        <v>0.295</v>
      </c>
      <c r="V126" s="5" t="n">
        <v>6.141</v>
      </c>
      <c r="W126" s="5" t="n">
        <v>0.2</v>
      </c>
      <c r="X126" s="5" t="n">
        <v>1</v>
      </c>
      <c r="Y126" s="5" t="n">
        <v>18.292</v>
      </c>
      <c r="Z126" s="5" t="n">
        <v>2.02</v>
      </c>
      <c r="AA126" s="5" t="n">
        <v>-4.869</v>
      </c>
      <c r="AB126" s="5" t="n">
        <v>13.423</v>
      </c>
      <c r="AC126" s="5" t="n">
        <v>0</v>
      </c>
      <c r="AD126" s="5" t="n">
        <v>1</v>
      </c>
      <c r="AE126" s="5" t="n">
        <v>18.248</v>
      </c>
      <c r="AF126" s="5" t="n">
        <v>3.591</v>
      </c>
      <c r="AG126" s="5" t="n">
        <v>-4.825</v>
      </c>
      <c r="AH126" s="5" t="n">
        <v>13.423</v>
      </c>
      <c r="AI126" s="5" t="n">
        <v>0</v>
      </c>
      <c r="AJ126" s="5" t="n">
        <v>1</v>
      </c>
      <c r="AK126" s="5" t="n">
        <v>21.611</v>
      </c>
      <c r="AL126" s="5" t="n">
        <v>10.607</v>
      </c>
      <c r="AM126" s="5" t="n">
        <v>-8.42</v>
      </c>
      <c r="AN126" s="5" t="n">
        <v>17.664</v>
      </c>
      <c r="AO126" s="5" t="n">
        <v>0.339</v>
      </c>
      <c r="AP126" s="5" t="n">
        <v>1</v>
      </c>
      <c r="AQ126" s="5" t="n">
        <v>0.619</v>
      </c>
      <c r="AR126" s="5" t="n">
        <v>0.114</v>
      </c>
      <c r="AS126" s="5" t="n">
        <v>0.441</v>
      </c>
      <c r="AT126" s="5" t="n">
        <v>1.273</v>
      </c>
      <c r="AU126" s="5" t="n">
        <v>0.2</v>
      </c>
      <c r="AV126" s="5" t="n">
        <v>1</v>
      </c>
      <c r="AW126" s="5" t="n">
        <v>0.599</v>
      </c>
      <c r="AX126" s="5" t="n">
        <v>0.114</v>
      </c>
      <c r="AY126" s="5" t="n">
        <v>0.45</v>
      </c>
      <c r="AZ126" s="5" t="n">
        <v>1.26</v>
      </c>
      <c r="BA126" s="5" t="n">
        <v>0.2</v>
      </c>
      <c r="BB126" s="5" t="n">
        <v>1</v>
      </c>
      <c r="BC126" s="5" t="n">
        <v>0.439</v>
      </c>
      <c r="BD126" s="5" t="n">
        <v>0.114</v>
      </c>
      <c r="BE126" s="5" t="n">
        <v>0.108</v>
      </c>
      <c r="BF126" s="5" t="n">
        <v>0.657</v>
      </c>
      <c r="BG126" s="5" t="n">
        <v>0.2</v>
      </c>
      <c r="BH126" s="5" t="n">
        <v>1</v>
      </c>
      <c r="BI126" s="5" t="n">
        <v>0.505</v>
      </c>
      <c r="BJ126" s="5" t="n">
        <v>0.114</v>
      </c>
      <c r="BK126" s="5" t="n">
        <v>0.509</v>
      </c>
      <c r="BL126" s="5" t="n">
        <v>1.216</v>
      </c>
      <c r="BM126" s="5" t="n">
        <v>0.2</v>
      </c>
      <c r="BN126" s="5" t="n">
        <v>1</v>
      </c>
      <c r="BO126" s="5" t="n">
        <v>0</v>
      </c>
      <c r="BP126" s="5" t="n">
        <v>-0.004</v>
      </c>
      <c r="BQ126" s="5" t="n">
        <v>0.133</v>
      </c>
      <c r="BR126" s="5" t="n">
        <v>0</v>
      </c>
      <c r="BS126" s="5" t="n">
        <v>1</v>
      </c>
      <c r="BT126" s="5" t="n">
        <v>0</v>
      </c>
      <c r="BU126" s="5" t="n">
        <v>0</v>
      </c>
      <c r="BV126" s="5" t="n">
        <v>0.125</v>
      </c>
      <c r="BW126" s="5" t="n">
        <v>0.295</v>
      </c>
      <c r="BX126" s="5" t="n">
        <v>1</v>
      </c>
      <c r="BY126" s="5" t="n">
        <v>11.787</v>
      </c>
      <c r="BZ126" s="5" t="n">
        <v>0</v>
      </c>
      <c r="CA126" s="5" t="n">
        <v>11.787</v>
      </c>
      <c r="CB126" s="5" t="n">
        <v>0</v>
      </c>
      <c r="CC126" s="5" t="n">
        <v>78.125</v>
      </c>
      <c r="CD126" s="5" t="n">
        <v>7.95</v>
      </c>
      <c r="CE126" s="5" t="n">
        <v>80.877</v>
      </c>
      <c r="CF126" s="5" t="n">
        <v>190.803</v>
      </c>
      <c r="CG126" s="5" t="n">
        <v>0.2</v>
      </c>
      <c r="CH126" s="5" t="n">
        <v>1</v>
      </c>
      <c r="CI126" s="5" t="n">
        <v>0</v>
      </c>
      <c r="CJ126" s="5" t="n">
        <v>0</v>
      </c>
      <c r="CK126" s="5" t="n">
        <v>0</v>
      </c>
      <c r="CL126" s="5" t="n">
        <v>0.075</v>
      </c>
      <c r="CM126" s="5" t="n">
        <v>0</v>
      </c>
      <c r="CN126" s="5" t="n">
        <v>0.066</v>
      </c>
      <c r="CO126" s="5" t="n">
        <v>0</v>
      </c>
      <c r="CP126" s="5" t="n">
        <v>0</v>
      </c>
      <c r="CQ126" s="5" t="n">
        <v>1.198</v>
      </c>
      <c r="CR126" s="5" t="n">
        <v>0</v>
      </c>
      <c r="CS126" s="5" t="n">
        <v>4.776</v>
      </c>
      <c r="CT126" s="5" t="n">
        <v>3.867</v>
      </c>
      <c r="CU126" s="5" t="n">
        <v>15.162</v>
      </c>
    </row>
    <row r="127">
      <c r="A127" s="5" t="inlineStr">
        <is>
          <t>BGR2022</t>
        </is>
      </c>
      <c r="B127" s="5" t="inlineStr">
        <is>
          <t>BGR</t>
        </is>
      </c>
      <c r="C127" s="5" t="inlineStr">
        <is>
          <t>BGR</t>
        </is>
      </c>
      <c r="D127" s="5" t="inlineStr">
        <is>
          <t>Bulgaria</t>
        </is>
      </c>
      <c r="E127" s="5" t="n">
        <v>2022</v>
      </c>
      <c r="F127" s="5" t="n">
        <v>0.2</v>
      </c>
      <c r="G127" s="5" t="n">
        <v>6.644</v>
      </c>
      <c r="H127" s="5" t="n">
        <v>1.032</v>
      </c>
      <c r="I127" s="5" t="n">
        <v>8.48</v>
      </c>
      <c r="J127" s="5" t="n">
        <v>15.124</v>
      </c>
      <c r="K127" s="5" t="n">
        <v>0</v>
      </c>
      <c r="L127" s="5" t="n">
        <v>1</v>
      </c>
      <c r="M127" s="5" t="n">
        <v>6.685</v>
      </c>
      <c r="N127" s="5" t="n">
        <v>2.76</v>
      </c>
      <c r="O127" s="5" t="n">
        <v>8.193</v>
      </c>
      <c r="P127" s="5" t="n">
        <v>14.878</v>
      </c>
      <c r="Q127" s="5" t="n">
        <v>0</v>
      </c>
      <c r="R127" s="5" t="n">
        <v>1</v>
      </c>
      <c r="S127" s="5" t="n">
        <v>5.895</v>
      </c>
      <c r="T127" s="5" t="n">
        <v>2.887</v>
      </c>
      <c r="U127" s="5" t="n">
        <v>0.411</v>
      </c>
      <c r="V127" s="5" t="n">
        <v>7.457</v>
      </c>
      <c r="W127" s="5" t="n">
        <v>0.2</v>
      </c>
      <c r="X127" s="5" t="n">
        <v>1</v>
      </c>
      <c r="Y127" s="5" t="n">
        <v>34.547</v>
      </c>
      <c r="Z127" s="5" t="n">
        <v>3.624</v>
      </c>
      <c r="AA127" s="5" t="n">
        <v>-3.662</v>
      </c>
      <c r="AB127" s="5" t="n">
        <v>30.885</v>
      </c>
      <c r="AC127" s="5" t="n">
        <v>0</v>
      </c>
      <c r="AD127" s="5" t="n">
        <v>1</v>
      </c>
      <c r="AE127" s="5" t="n">
        <v>34.595</v>
      </c>
      <c r="AF127" s="5" t="n">
        <v>6.413</v>
      </c>
      <c r="AG127" s="5" t="n">
        <v>-3.71</v>
      </c>
      <c r="AH127" s="5" t="n">
        <v>30.885</v>
      </c>
      <c r="AI127" s="5" t="n">
        <v>0</v>
      </c>
      <c r="AJ127" s="5" t="n">
        <v>1</v>
      </c>
      <c r="AK127" s="5" t="n">
        <v>38.506</v>
      </c>
      <c r="AL127" s="5" t="n">
        <v>18.388</v>
      </c>
      <c r="AM127" s="5" t="n">
        <v>-17.353</v>
      </c>
      <c r="AN127" s="5" t="n">
        <v>28.326</v>
      </c>
      <c r="AO127" s="5" t="n">
        <v>0.339</v>
      </c>
      <c r="AP127" s="5" t="n">
        <v>1</v>
      </c>
      <c r="AQ127" s="5" t="n">
        <v>0.861</v>
      </c>
      <c r="AR127" s="5" t="n">
        <v>0.123</v>
      </c>
      <c r="AS127" s="5" t="n">
        <v>0.423</v>
      </c>
      <c r="AT127" s="5" t="n">
        <v>1.541</v>
      </c>
      <c r="AU127" s="5" t="n">
        <v>0.2</v>
      </c>
      <c r="AV127" s="5" t="n">
        <v>1</v>
      </c>
      <c r="AW127" s="5" t="n">
        <v>0.986</v>
      </c>
      <c r="AX127" s="5" t="n">
        <v>0.123</v>
      </c>
      <c r="AY127" s="5" t="n">
        <v>0.389</v>
      </c>
      <c r="AZ127" s="5" t="n">
        <v>1.65</v>
      </c>
      <c r="BA127" s="5" t="n">
        <v>0.2</v>
      </c>
      <c r="BB127" s="5" t="n">
        <v>1</v>
      </c>
      <c r="BC127" s="5" t="n">
        <v>0.598</v>
      </c>
      <c r="BD127" s="5" t="n">
        <v>0.123</v>
      </c>
      <c r="BE127" s="5" t="n">
        <v>-0.028</v>
      </c>
      <c r="BF127" s="5" t="n">
        <v>0.6840000000000001</v>
      </c>
      <c r="BG127" s="5" t="n">
        <v>0.2</v>
      </c>
      <c r="BH127" s="5" t="n">
        <v>1</v>
      </c>
      <c r="BI127" s="5" t="n">
        <v>0.612</v>
      </c>
      <c r="BJ127" s="5" t="n">
        <v>0.123</v>
      </c>
      <c r="BK127" s="5" t="n">
        <v>0.801</v>
      </c>
      <c r="BL127" s="5" t="n">
        <v>1.696</v>
      </c>
      <c r="BM127" s="5" t="n">
        <v>0.2</v>
      </c>
      <c r="BN127" s="5" t="n">
        <v>1</v>
      </c>
      <c r="BO127" s="5" t="n">
        <v>0</v>
      </c>
      <c r="BP127" s="5" t="n">
        <v>-0.108</v>
      </c>
      <c r="BQ127" s="5" t="n">
        <v>0.171</v>
      </c>
      <c r="BR127" s="5" t="n">
        <v>0</v>
      </c>
      <c r="BS127" s="5" t="n">
        <v>1</v>
      </c>
      <c r="BT127" s="5" t="n">
        <v>0</v>
      </c>
      <c r="BU127" s="5" t="n">
        <v>0</v>
      </c>
      <c r="BV127" s="5" t="n">
        <v>0.118</v>
      </c>
      <c r="BW127" s="5" t="n">
        <v>0.295</v>
      </c>
      <c r="BX127" s="5" t="n">
        <v>1</v>
      </c>
      <c r="BY127" s="5" t="n">
        <v>12.729</v>
      </c>
      <c r="BZ127" s="5" t="n">
        <v>0</v>
      </c>
      <c r="CA127" s="5" t="n">
        <v>12.729</v>
      </c>
      <c r="CB127" s="5" t="n">
        <v>0</v>
      </c>
      <c r="CC127" s="5" t="n">
        <v>97.90000000000001</v>
      </c>
      <c r="CD127" s="5" t="n">
        <v>7.95</v>
      </c>
      <c r="CE127" s="5" t="n">
        <v>150.931</v>
      </c>
      <c r="CF127" s="5" t="n">
        <v>298.597</v>
      </c>
      <c r="CG127" s="5" t="n">
        <v>0.2</v>
      </c>
      <c r="CH127" s="5" t="n">
        <v>1</v>
      </c>
      <c r="CI127" s="5" t="n">
        <v>0</v>
      </c>
      <c r="CJ127" s="5" t="n">
        <v>0</v>
      </c>
      <c r="CK127" s="5" t="n">
        <v>0</v>
      </c>
      <c r="CL127" s="5" t="n">
        <v>0.081</v>
      </c>
      <c r="CM127" s="5" t="n">
        <v>0</v>
      </c>
      <c r="CN127" s="5" t="n">
        <v>0.059</v>
      </c>
      <c r="CO127" s="5" t="n">
        <v>0</v>
      </c>
      <c r="CP127" s="5" t="n">
        <v>0</v>
      </c>
      <c r="CQ127" s="5" t="n">
        <v>1.294</v>
      </c>
      <c r="CR127" s="5" t="n">
        <v>0</v>
      </c>
      <c r="CS127" s="5" t="n">
        <v>5.158</v>
      </c>
      <c r="CT127" s="5" t="n">
        <v>8.077999999999999</v>
      </c>
      <c r="CU127" s="5" t="n">
        <v>31.326</v>
      </c>
    </row>
    <row r="128">
      <c r="A128" s="5" t="inlineStr">
        <is>
          <t>BGR2023</t>
        </is>
      </c>
      <c r="B128" s="5" t="inlineStr">
        <is>
          <t>BGR</t>
        </is>
      </c>
      <c r="C128" s="5" t="inlineStr">
        <is>
          <t>BGR</t>
        </is>
      </c>
      <c r="D128" s="5" t="inlineStr">
        <is>
          <t>Bulgaria</t>
        </is>
      </c>
      <c r="E128" s="5" t="n">
        <v>2023</v>
      </c>
      <c r="F128" s="5" t="n">
        <v>0.2</v>
      </c>
      <c r="G128" s="5" t="n">
        <v>6.249</v>
      </c>
      <c r="H128" s="5" t="n">
        <v>1.423</v>
      </c>
      <c r="I128" s="5" t="n">
        <v>9.827999999999999</v>
      </c>
      <c r="J128" s="5" t="n">
        <v>16.077</v>
      </c>
      <c r="K128" s="5" t="n">
        <v>0</v>
      </c>
      <c r="L128" s="5" t="n">
        <v>1</v>
      </c>
      <c r="M128" s="5" t="n">
        <v>6.392</v>
      </c>
      <c r="N128" s="5" t="n">
        <v>3.17</v>
      </c>
      <c r="O128" s="5" t="n">
        <v>9.638999999999999</v>
      </c>
      <c r="P128" s="5" t="n">
        <v>16.031</v>
      </c>
      <c r="Q128" s="5" t="n">
        <v>0</v>
      </c>
      <c r="R128" s="5" t="n">
        <v>1</v>
      </c>
      <c r="S128" s="5" t="n">
        <v>5.557</v>
      </c>
      <c r="T128" s="5" t="n">
        <v>3.485</v>
      </c>
      <c r="U128" s="5" t="n">
        <v>0.462</v>
      </c>
      <c r="V128" s="5" t="n">
        <v>7.067</v>
      </c>
      <c r="W128" s="5" t="n">
        <v>0.2</v>
      </c>
      <c r="X128" s="5" t="n">
        <v>1</v>
      </c>
      <c r="Y128" s="5" t="n">
        <v>14.895</v>
      </c>
      <c r="Z128" s="5" t="n">
        <v>1.668</v>
      </c>
      <c r="AA128" s="5" t="n">
        <v>7.415</v>
      </c>
      <c r="AB128" s="5" t="n">
        <v>22.31</v>
      </c>
      <c r="AC128" s="5" t="n">
        <v>0</v>
      </c>
      <c r="AD128" s="5" t="n">
        <v>1</v>
      </c>
      <c r="AE128" s="5" t="n">
        <v>14.993</v>
      </c>
      <c r="AF128" s="5" t="n">
        <v>2.986</v>
      </c>
      <c r="AG128" s="5" t="n">
        <v>7.316</v>
      </c>
      <c r="AH128" s="5" t="n">
        <v>22.31</v>
      </c>
      <c r="AI128" s="5" t="n">
        <v>0</v>
      </c>
      <c r="AJ128" s="5" t="n">
        <v>1</v>
      </c>
      <c r="AK128" s="5" t="n">
        <v>19.21</v>
      </c>
      <c r="AL128" s="5" t="n">
        <v>9.516</v>
      </c>
      <c r="AM128" s="5" t="n">
        <v>-1.472</v>
      </c>
      <c r="AN128" s="5" t="n">
        <v>23.754</v>
      </c>
      <c r="AO128" s="5" t="n">
        <v>0.339</v>
      </c>
      <c r="AP128" s="5" t="n">
        <v>1</v>
      </c>
      <c r="AQ128" s="5" t="n">
        <v>0.76</v>
      </c>
      <c r="AR128" s="5" t="n">
        <v>0.129</v>
      </c>
      <c r="AS128" s="5" t="n">
        <v>0.445</v>
      </c>
      <c r="AT128" s="5" t="n">
        <v>1.446</v>
      </c>
      <c r="AU128" s="5" t="n">
        <v>0.2</v>
      </c>
      <c r="AV128" s="5" t="n">
        <v>1</v>
      </c>
      <c r="AW128" s="5" t="n">
        <v>0.8110000000000001</v>
      </c>
      <c r="AX128" s="5" t="n">
        <v>0.129</v>
      </c>
      <c r="AY128" s="5" t="n">
        <v>0.422</v>
      </c>
      <c r="AZ128" s="5" t="n">
        <v>1.48</v>
      </c>
      <c r="BA128" s="5" t="n">
        <v>0.2</v>
      </c>
      <c r="BB128" s="5" t="n">
        <v>1</v>
      </c>
      <c r="BC128" s="5" t="n">
        <v>0.535</v>
      </c>
      <c r="BD128" s="5" t="n">
        <v>0.129</v>
      </c>
      <c r="BE128" s="5" t="n">
        <v>-0.036</v>
      </c>
      <c r="BF128" s="5" t="n">
        <v>0.599</v>
      </c>
      <c r="BG128" s="5" t="n">
        <v>0.2</v>
      </c>
      <c r="BH128" s="5" t="n">
        <v>1</v>
      </c>
      <c r="BI128" s="5" t="n">
        <v>0.579</v>
      </c>
      <c r="BJ128" s="5" t="n">
        <v>0.129</v>
      </c>
      <c r="BK128" s="5" t="n">
        <v>0.876</v>
      </c>
      <c r="BL128" s="5" t="n">
        <v>1.708</v>
      </c>
      <c r="BM128" s="5" t="n">
        <v>0.2</v>
      </c>
      <c r="BN128" s="5" t="n">
        <v>1</v>
      </c>
      <c r="BO128" s="5" t="n">
        <v>0</v>
      </c>
      <c r="BP128" s="5" t="n">
        <v>-0.005</v>
      </c>
      <c r="BQ128" s="5" t="n">
        <v>0.15</v>
      </c>
      <c r="BR128" s="5" t="n">
        <v>0</v>
      </c>
      <c r="BS128" s="5" t="n">
        <v>1</v>
      </c>
      <c r="BT128" s="5" t="n">
        <v>0</v>
      </c>
      <c r="BU128" s="5" t="n">
        <v>0</v>
      </c>
      <c r="BV128" s="5" t="n">
        <v>0.126</v>
      </c>
      <c r="BW128" s="5" t="n">
        <v>0.295</v>
      </c>
      <c r="BX128" s="5" t="n">
        <v>1</v>
      </c>
      <c r="BY128" s="5" t="n">
        <v>13.254</v>
      </c>
      <c r="BZ128" s="5" t="n">
        <v>0</v>
      </c>
      <c r="CA128" s="5" t="n">
        <v>13.254</v>
      </c>
      <c r="CB128" s="5" t="n">
        <v>0</v>
      </c>
      <c r="CC128" s="5" t="n">
        <v>83.248</v>
      </c>
      <c r="CD128" s="5" t="n">
        <v>7.95</v>
      </c>
      <c r="CE128" s="5" t="n">
        <v>131.156</v>
      </c>
      <c r="CF128" s="5" t="n">
        <v>257.285</v>
      </c>
      <c r="CG128" s="5" t="n">
        <v>0.2</v>
      </c>
      <c r="CH128" s="5" t="n">
        <v>1</v>
      </c>
      <c r="CI128" s="5" t="n">
        <v>0</v>
      </c>
      <c r="CJ128" s="5" t="n">
        <v>0</v>
      </c>
      <c r="CK128" s="5" t="n">
        <v>0</v>
      </c>
      <c r="CL128" s="5" t="n">
        <v>0.08400000000000001</v>
      </c>
      <c r="CM128" s="5" t="n">
        <v>0</v>
      </c>
      <c r="CN128" s="5" t="n">
        <v>0.052</v>
      </c>
      <c r="CO128" s="5" t="n">
        <v>0</v>
      </c>
      <c r="CP128" s="5" t="n">
        <v>0</v>
      </c>
      <c r="CQ128" s="5" t="n">
        <v>1.348</v>
      </c>
      <c r="CR128" s="5" t="n">
        <v>0</v>
      </c>
      <c r="CS128" s="5" t="n">
        <v>5.37</v>
      </c>
      <c r="CT128" s="5" t="n">
        <v>5.402</v>
      </c>
      <c r="CU128" s="5" t="n">
        <v>11.622</v>
      </c>
    </row>
    <row r="129">
      <c r="A129" s="5" t="inlineStr">
        <is>
          <t>BGR2024</t>
        </is>
      </c>
      <c r="B129" s="5" t="inlineStr">
        <is>
          <t>BGR</t>
        </is>
      </c>
      <c r="C129" s="5" t="inlineStr">
        <is>
          <t>BGR</t>
        </is>
      </c>
      <c r="D129" s="5" t="inlineStr">
        <is>
          <t>Bulgaria</t>
        </is>
      </c>
      <c r="E129" s="5" t="n">
        <v>2024</v>
      </c>
      <c r="F129" s="5" t="n">
        <v>0.2</v>
      </c>
      <c r="G129" s="5" t="n">
        <v>6.181</v>
      </c>
      <c r="H129" s="5" t="n">
        <v>1.566</v>
      </c>
      <c r="I129" s="5" t="n">
        <v>6.441</v>
      </c>
      <c r="J129" s="5" t="n">
        <v>12.622</v>
      </c>
      <c r="K129" s="5" t="n">
        <v>0</v>
      </c>
      <c r="L129" s="5" t="n">
        <v>1</v>
      </c>
      <c r="M129" s="5" t="n">
        <v>6.545</v>
      </c>
      <c r="N129" s="5" t="n">
        <v>3.565</v>
      </c>
      <c r="O129" s="5" t="n">
        <v>6.366</v>
      </c>
      <c r="P129" s="5" t="n">
        <v>12.911</v>
      </c>
      <c r="Q129" s="5" t="n">
        <v>0</v>
      </c>
      <c r="R129" s="5" t="n">
        <v>1</v>
      </c>
      <c r="S129" s="5" t="n">
        <v>5.594</v>
      </c>
      <c r="T129" s="5" t="n">
        <v>3.703</v>
      </c>
      <c r="U129" s="5" t="n">
        <v>0.504</v>
      </c>
      <c r="V129" s="5" t="n">
        <v>7.123</v>
      </c>
      <c r="W129" s="5" t="n">
        <v>0.2</v>
      </c>
      <c r="X129" s="5" t="n">
        <v>1</v>
      </c>
      <c r="Y129" s="5" t="n">
        <v>12.466</v>
      </c>
      <c r="Z129" s="5" t="n">
        <v>1.574</v>
      </c>
      <c r="AA129" s="5" t="n">
        <v>3.964</v>
      </c>
      <c r="AB129" s="5" t="n">
        <v>16.43</v>
      </c>
      <c r="AC129" s="5" t="n">
        <v>0</v>
      </c>
      <c r="AD129" s="5" t="n">
        <v>1</v>
      </c>
      <c r="AE129" s="5" t="n">
        <v>12.466</v>
      </c>
      <c r="AF129" s="5" t="n">
        <v>2.731</v>
      </c>
      <c r="AG129" s="5" t="n">
        <v>3.964</v>
      </c>
      <c r="AH129" s="5" t="n">
        <v>16.43</v>
      </c>
      <c r="AI129" s="5" t="n">
        <v>0</v>
      </c>
      <c r="AJ129" s="5" t="n">
        <v>1</v>
      </c>
      <c r="AK129" s="5" t="n">
        <v>16.238</v>
      </c>
      <c r="AL129" s="5" t="n">
        <v>8.259</v>
      </c>
      <c r="AM129" s="5" t="n">
        <v>-2.003</v>
      </c>
      <c r="AN129" s="5" t="n">
        <v>19.063</v>
      </c>
      <c r="AO129" s="5" t="n">
        <v>0.339</v>
      </c>
      <c r="AP129" s="5" t="n">
        <v>1</v>
      </c>
      <c r="AQ129" s="5" t="n">
        <v>0.724</v>
      </c>
      <c r="AR129" s="5" t="n">
        <v>0.132</v>
      </c>
      <c r="AS129" s="5" t="n">
        <v>0.458</v>
      </c>
      <c r="AT129" s="5" t="n">
        <v>1.419</v>
      </c>
      <c r="AU129" s="5" t="n">
        <v>0.2</v>
      </c>
      <c r="AV129" s="5" t="n">
        <v>1</v>
      </c>
      <c r="AW129" s="5" t="n">
        <v>0.75</v>
      </c>
      <c r="AX129" s="5" t="n">
        <v>0.132</v>
      </c>
      <c r="AY129" s="5" t="n">
        <v>0.431</v>
      </c>
      <c r="AZ129" s="5" t="n">
        <v>1.417</v>
      </c>
      <c r="BA129" s="5" t="n">
        <v>0.2</v>
      </c>
      <c r="BB129" s="5" t="n">
        <v>1</v>
      </c>
      <c r="BC129" s="5" t="n">
        <v>0.513</v>
      </c>
      <c r="BD129" s="5" t="n">
        <v>0.132</v>
      </c>
      <c r="BE129" s="5" t="n">
        <v>0.037</v>
      </c>
      <c r="BF129" s="5" t="n">
        <v>0.66</v>
      </c>
      <c r="BG129" s="5" t="n">
        <v>0.2</v>
      </c>
      <c r="BH129" s="5" t="n">
        <v>1</v>
      </c>
      <c r="BI129" s="5" t="n">
        <v>0.591</v>
      </c>
      <c r="BJ129" s="5" t="n">
        <v>0.132</v>
      </c>
      <c r="BK129" s="5" t="n">
        <v>0.91</v>
      </c>
      <c r="BL129" s="5" t="n">
        <v>1.754</v>
      </c>
      <c r="BM129" s="5" t="n">
        <v>0.2</v>
      </c>
      <c r="BN129" s="5" t="n">
        <v>1</v>
      </c>
      <c r="BO129" s="5" t="n">
        <v>0</v>
      </c>
      <c r="BP129" s="5" t="n">
        <v>-0.013</v>
      </c>
      <c r="BQ129" s="5" t="n">
        <v>0.126</v>
      </c>
      <c r="BR129" s="5" t="n">
        <v>0</v>
      </c>
      <c r="BS129" s="5" t="n">
        <v>1</v>
      </c>
      <c r="BT129" s="5" t="n">
        <v>0</v>
      </c>
      <c r="BU129" s="5" t="n">
        <v>0</v>
      </c>
      <c r="BV129" s="5" t="n">
        <v>0.13</v>
      </c>
      <c r="BW129" s="5" t="n">
        <v>0.295</v>
      </c>
      <c r="BX129" s="5" t="n">
        <v>1</v>
      </c>
      <c r="BY129" s="5" t="n">
        <v>13.646</v>
      </c>
      <c r="BZ129" s="5" t="n">
        <v>0</v>
      </c>
      <c r="CA129" s="5" t="n">
        <v>13.646</v>
      </c>
      <c r="CB129" s="5" t="n">
        <v>0</v>
      </c>
      <c r="CC129" s="5" t="n">
        <v>82.58799999999999</v>
      </c>
      <c r="CD129" s="5" t="n">
        <v>7.95</v>
      </c>
      <c r="CE129" s="5" t="n">
        <v>141.49</v>
      </c>
      <c r="CF129" s="5" t="n">
        <v>261.762</v>
      </c>
      <c r="CG129" s="5" t="n">
        <v>0.2</v>
      </c>
      <c r="CH129" s="5" t="n">
        <v>1</v>
      </c>
      <c r="CI129" s="5" t="n">
        <v>0</v>
      </c>
      <c r="CJ129" s="5" t="n">
        <v>0</v>
      </c>
      <c r="CK129" s="5" t="n">
        <v>0</v>
      </c>
      <c r="CL129" s="5" t="n">
        <v>0.08699999999999999</v>
      </c>
      <c r="CM129" s="5" t="n">
        <v>0</v>
      </c>
      <c r="CN129" s="5" t="n">
        <v>0.045</v>
      </c>
      <c r="CO129" s="5" t="n">
        <v>0</v>
      </c>
      <c r="CP129" s="5" t="n">
        <v>0</v>
      </c>
      <c r="CQ129" s="5" t="n">
        <v>1.387</v>
      </c>
      <c r="CR129" s="5" t="n">
        <v>0</v>
      </c>
      <c r="CS129" s="5" t="n">
        <v>5.529</v>
      </c>
      <c r="CT129" s="5" t="n">
        <v>4.174</v>
      </c>
      <c r="CU129" s="5" t="n">
        <v>10.168</v>
      </c>
    </row>
    <row r="130">
      <c r="A130" s="5" t="inlineStr">
        <is>
          <t>BFA2021</t>
        </is>
      </c>
      <c r="B130" s="5" t="inlineStr">
        <is>
          <t>BFA</t>
        </is>
      </c>
      <c r="C130" s="5" t="inlineStr">
        <is>
          <t>BFA</t>
        </is>
      </c>
      <c r="D130" s="5" t="inlineStr">
        <is>
          <t>Burkina Faso</t>
        </is>
      </c>
      <c r="E130" s="5" t="n">
        <v>2021</v>
      </c>
      <c r="F130" s="5" t="n">
        <v>0.18</v>
      </c>
      <c r="G130" s="5" t="n">
        <v>5.897</v>
      </c>
      <c r="H130" s="5" t="n">
        <v>1.143</v>
      </c>
      <c r="I130" s="5" t="n">
        <v>0</v>
      </c>
      <c r="J130" s="5" t="n">
        <v>5.897</v>
      </c>
      <c r="K130" s="5" t="n">
        <v>0</v>
      </c>
      <c r="L130" s="5" t="n">
        <v>1</v>
      </c>
      <c r="M130" s="5" t="n">
        <v>7.964</v>
      </c>
      <c r="N130" s="5" t="n">
        <v>3.43</v>
      </c>
      <c r="O130" s="5" t="n">
        <v>0</v>
      </c>
      <c r="P130" s="5" t="n">
        <v>7.964</v>
      </c>
      <c r="Q130" s="5" t="n">
        <v>0</v>
      </c>
      <c r="R130" s="5" t="n">
        <v>1</v>
      </c>
      <c r="S130" s="5" t="n">
        <v>11.613</v>
      </c>
      <c r="T130" s="5" t="n">
        <v>6.86</v>
      </c>
      <c r="U130" s="5" t="n">
        <v>-2.985</v>
      </c>
      <c r="V130" s="5" t="n">
        <v>10.182</v>
      </c>
      <c r="W130" s="5" t="n">
        <v>0.18</v>
      </c>
      <c r="X130" s="5" t="n">
        <v>0</v>
      </c>
      <c r="Y130" s="5" t="n">
        <v>5.919</v>
      </c>
      <c r="Z130" s="5" t="n">
        <v>0.8</v>
      </c>
      <c r="AA130" s="5" t="n">
        <v>0</v>
      </c>
      <c r="AB130" s="5" t="n">
        <v>5.919</v>
      </c>
      <c r="AC130" s="5" t="n">
        <v>0</v>
      </c>
      <c r="AD130" s="5" t="n">
        <v>1</v>
      </c>
      <c r="AE130" s="5" t="n">
        <v>7.062</v>
      </c>
      <c r="AF130" s="5" t="n">
        <v>1.651</v>
      </c>
      <c r="AG130" s="5" t="n">
        <v>0</v>
      </c>
      <c r="AH130" s="5" t="n">
        <v>7.062</v>
      </c>
      <c r="AI130" s="5" t="n">
        <v>0</v>
      </c>
      <c r="AJ130" s="5" t="n">
        <v>1</v>
      </c>
      <c r="AK130" s="5" t="n">
        <v>13.922</v>
      </c>
      <c r="AL130" s="5" t="n">
        <v>7.415</v>
      </c>
      <c r="AM130" s="5" t="n">
        <v>0</v>
      </c>
      <c r="AN130" s="5" t="n">
        <v>16.428</v>
      </c>
      <c r="AO130" s="5" t="n">
        <v>0.18</v>
      </c>
      <c r="AP130" s="5" t="n">
        <v>1</v>
      </c>
      <c r="AQ130" s="5" t="n">
        <v>0.619</v>
      </c>
      <c r="AR130" s="5" t="n">
        <v>0.114</v>
      </c>
      <c r="AS130" s="5" t="n">
        <v>0.321</v>
      </c>
      <c r="AT130" s="5" t="n">
        <v>1.109</v>
      </c>
      <c r="AU130" s="5" t="n">
        <v>0.18</v>
      </c>
      <c r="AV130" s="5" t="n">
        <v>1</v>
      </c>
      <c r="AW130" s="5" t="n">
        <v>0.599</v>
      </c>
      <c r="AX130" s="5" t="n">
        <v>0.114</v>
      </c>
      <c r="AY130" s="5" t="n">
        <v>0.308</v>
      </c>
      <c r="AZ130" s="5" t="n">
        <v>1.071</v>
      </c>
      <c r="BA130" s="5" t="n">
        <v>0.18</v>
      </c>
      <c r="BB130" s="5" t="n">
        <v>1</v>
      </c>
      <c r="BC130" s="5" t="n">
        <v>0.439</v>
      </c>
      <c r="BD130" s="5" t="n">
        <v>0.114</v>
      </c>
      <c r="BE130" s="5" t="n">
        <v>-0.045</v>
      </c>
      <c r="BF130" s="5" t="n">
        <v>0.394</v>
      </c>
      <c r="BG130" s="5" t="n">
        <v>0</v>
      </c>
      <c r="BH130" s="5" t="n">
        <v>0</v>
      </c>
      <c r="BI130" s="5" t="n">
        <v>0.505</v>
      </c>
      <c r="BJ130" s="5" t="n">
        <v>0.114</v>
      </c>
      <c r="BK130" s="5" t="n">
        <v>0.478</v>
      </c>
      <c r="BL130" s="5" t="n">
        <v>0.983</v>
      </c>
      <c r="BM130" s="5" t="n">
        <v>0</v>
      </c>
      <c r="BN130" s="5" t="n">
        <v>1</v>
      </c>
      <c r="BO130" s="5" t="n">
        <v>0</v>
      </c>
      <c r="BP130" s="5" t="n">
        <v>0</v>
      </c>
      <c r="BQ130" s="5" t="n">
        <v>0.48</v>
      </c>
      <c r="BR130" s="5" t="n">
        <v>0</v>
      </c>
      <c r="BS130" s="5" t="n">
        <v>0.833</v>
      </c>
      <c r="BT130" s="5" t="n">
        <v>0</v>
      </c>
      <c r="BU130" s="5" t="n">
        <v>0</v>
      </c>
      <c r="BV130" s="5" t="n">
        <v>0.222</v>
      </c>
      <c r="BW130" s="5" t="n">
        <v>0.18</v>
      </c>
      <c r="BX130" s="5" t="n">
        <v>0.5</v>
      </c>
      <c r="BY130" s="5" t="n">
        <v>11.787</v>
      </c>
      <c r="BZ130" s="5" t="n">
        <v>0</v>
      </c>
      <c r="CA130" s="5" t="n">
        <v>11.787</v>
      </c>
      <c r="CB130" s="5" t="n">
        <v>0</v>
      </c>
      <c r="CC130" s="5" t="n">
        <v>78.125</v>
      </c>
      <c r="CD130" s="5" t="n">
        <v>7.95</v>
      </c>
      <c r="CE130" s="5" t="n">
        <v>52.361</v>
      </c>
      <c r="CF130" s="5" t="n">
        <v>153.973</v>
      </c>
      <c r="CG130" s="5" t="n">
        <v>0.18</v>
      </c>
      <c r="CH130" s="5" t="n">
        <v>1</v>
      </c>
      <c r="CI130" s="5" t="n">
        <v>0</v>
      </c>
      <c r="CJ130" s="5" t="n">
        <v>0</v>
      </c>
      <c r="CK130" s="5" t="n">
        <v>0</v>
      </c>
      <c r="CL130" s="5" t="n">
        <v>0</v>
      </c>
      <c r="CM130" s="5" t="n">
        <v>0</v>
      </c>
      <c r="CN130" s="5" t="n">
        <v>0</v>
      </c>
      <c r="CO130" s="5" t="n">
        <v>0</v>
      </c>
      <c r="CP130" s="5" t="n">
        <v>0</v>
      </c>
      <c r="CQ130" s="5" t="n">
        <v>1.198</v>
      </c>
      <c r="CR130" s="5" t="n">
        <v>0</v>
      </c>
      <c r="CS130" s="5" t="n">
        <v>4.776</v>
      </c>
      <c r="CT130" s="5" t="n">
        <v>4.753</v>
      </c>
      <c r="CU130" s="5" t="n">
        <v>15.162</v>
      </c>
    </row>
    <row r="131">
      <c r="A131" s="5" t="inlineStr">
        <is>
          <t>BFA2022</t>
        </is>
      </c>
      <c r="B131" s="5" t="inlineStr">
        <is>
          <t>BFA</t>
        </is>
      </c>
      <c r="C131" s="5" t="inlineStr">
        <is>
          <t>BFA</t>
        </is>
      </c>
      <c r="D131" s="5" t="inlineStr">
        <is>
          <t>Burkina Faso</t>
        </is>
      </c>
      <c r="E131" s="5" t="n">
        <v>2022</v>
      </c>
      <c r="F131" s="5" t="n">
        <v>0.18</v>
      </c>
      <c r="G131" s="5" t="n">
        <v>11.72</v>
      </c>
      <c r="H131" s="5" t="n">
        <v>1.235</v>
      </c>
      <c r="I131" s="5" t="n">
        <v>0</v>
      </c>
      <c r="J131" s="5" t="n">
        <v>11.72</v>
      </c>
      <c r="K131" s="5" t="n">
        <v>0</v>
      </c>
      <c r="L131" s="5" t="n">
        <v>1</v>
      </c>
      <c r="M131" s="5" t="n">
        <v>9.782999999999999</v>
      </c>
      <c r="N131" s="5" t="n">
        <v>3.704</v>
      </c>
      <c r="O131" s="5" t="n">
        <v>0</v>
      </c>
      <c r="P131" s="5" t="n">
        <v>9.782999999999999</v>
      </c>
      <c r="Q131" s="5" t="n">
        <v>0</v>
      </c>
      <c r="R131" s="5" t="n">
        <v>1</v>
      </c>
      <c r="S131" s="5" t="n">
        <v>17.893</v>
      </c>
      <c r="T131" s="5" t="n">
        <v>7.408</v>
      </c>
      <c r="U131" s="5" t="n">
        <v>-8.252000000000001</v>
      </c>
      <c r="V131" s="5" t="n">
        <v>11.377</v>
      </c>
      <c r="W131" s="5" t="n">
        <v>0.18</v>
      </c>
      <c r="X131" s="5" t="n">
        <v>0</v>
      </c>
      <c r="Y131" s="5" t="n">
        <v>6.392</v>
      </c>
      <c r="Z131" s="5" t="n">
        <v>0.864</v>
      </c>
      <c r="AA131" s="5" t="n">
        <v>0</v>
      </c>
      <c r="AB131" s="5" t="n">
        <v>6.392</v>
      </c>
      <c r="AC131" s="5" t="n">
        <v>0</v>
      </c>
      <c r="AD131" s="5" t="n">
        <v>1</v>
      </c>
      <c r="AE131" s="5" t="n">
        <v>7.627</v>
      </c>
      <c r="AF131" s="5" t="n">
        <v>1.783</v>
      </c>
      <c r="AG131" s="5" t="n">
        <v>0</v>
      </c>
      <c r="AH131" s="5" t="n">
        <v>7.627</v>
      </c>
      <c r="AI131" s="5" t="n">
        <v>0</v>
      </c>
      <c r="AJ131" s="5" t="n">
        <v>1</v>
      </c>
      <c r="AK131" s="5" t="n">
        <v>15.035</v>
      </c>
      <c r="AL131" s="5" t="n">
        <v>8.007999999999999</v>
      </c>
      <c r="AM131" s="5" t="n">
        <v>0.2</v>
      </c>
      <c r="AN131" s="5" t="n">
        <v>17.741</v>
      </c>
      <c r="AO131" s="5" t="n">
        <v>0.18</v>
      </c>
      <c r="AP131" s="5" t="n">
        <v>1</v>
      </c>
      <c r="AQ131" s="5" t="n">
        <v>0.861</v>
      </c>
      <c r="AR131" s="5" t="n">
        <v>0.123</v>
      </c>
      <c r="AS131" s="5" t="n">
        <v>0.08799999999999999</v>
      </c>
      <c r="AT131" s="5" t="n">
        <v>1.12</v>
      </c>
      <c r="AU131" s="5" t="n">
        <v>0.18</v>
      </c>
      <c r="AV131" s="5" t="n">
        <v>1</v>
      </c>
      <c r="AW131" s="5" t="n">
        <v>0.986</v>
      </c>
      <c r="AX131" s="5" t="n">
        <v>0.123</v>
      </c>
      <c r="AY131" s="5" t="n">
        <v>0.011</v>
      </c>
      <c r="AZ131" s="5" t="n">
        <v>1.177</v>
      </c>
      <c r="BA131" s="5" t="n">
        <v>0.18</v>
      </c>
      <c r="BB131" s="5" t="n">
        <v>1</v>
      </c>
      <c r="BC131" s="5" t="n">
        <v>0.598</v>
      </c>
      <c r="BD131" s="5" t="n">
        <v>0.123</v>
      </c>
      <c r="BE131" s="5" t="n">
        <v>-0.267</v>
      </c>
      <c r="BF131" s="5" t="n">
        <v>0.331</v>
      </c>
      <c r="BG131" s="5" t="n">
        <v>0</v>
      </c>
      <c r="BH131" s="5" t="n">
        <v>0</v>
      </c>
      <c r="BI131" s="5" t="n">
        <v>0.612</v>
      </c>
      <c r="BJ131" s="5" t="n">
        <v>0.123</v>
      </c>
      <c r="BK131" s="5" t="n">
        <v>0.635</v>
      </c>
      <c r="BL131" s="5" t="n">
        <v>1.248</v>
      </c>
      <c r="BM131" s="5" t="n">
        <v>0</v>
      </c>
      <c r="BN131" s="5" t="n">
        <v>1</v>
      </c>
      <c r="BO131" s="5" t="n">
        <v>0</v>
      </c>
      <c r="BP131" s="5" t="n">
        <v>0</v>
      </c>
      <c r="BQ131" s="5" t="n">
        <v>0.437</v>
      </c>
      <c r="BR131" s="5" t="n">
        <v>0</v>
      </c>
      <c r="BS131" s="5" t="n">
        <v>0.833</v>
      </c>
      <c r="BT131" s="5" t="n">
        <v>0</v>
      </c>
      <c r="BU131" s="5" t="n">
        <v>0</v>
      </c>
      <c r="BV131" s="5" t="n">
        <v>0.198</v>
      </c>
      <c r="BW131" s="5" t="n">
        <v>0.18</v>
      </c>
      <c r="BX131" s="5" t="n">
        <v>0.5</v>
      </c>
      <c r="BY131" s="5" t="n">
        <v>12.729</v>
      </c>
      <c r="BZ131" s="5" t="n">
        <v>0</v>
      </c>
      <c r="CA131" s="5" t="n">
        <v>12.729</v>
      </c>
      <c r="CB131" s="5" t="n">
        <v>0</v>
      </c>
      <c r="CC131" s="5" t="n">
        <v>97.90000000000001</v>
      </c>
      <c r="CD131" s="5" t="n">
        <v>7.95</v>
      </c>
      <c r="CE131" s="5" t="n">
        <v>60.506</v>
      </c>
      <c r="CF131" s="5" t="n">
        <v>186.919</v>
      </c>
      <c r="CG131" s="5" t="n">
        <v>0.18</v>
      </c>
      <c r="CH131" s="5" t="n">
        <v>1</v>
      </c>
      <c r="CI131" s="5" t="n">
        <v>0</v>
      </c>
      <c r="CJ131" s="5" t="n">
        <v>0</v>
      </c>
      <c r="CK131" s="5" t="n">
        <v>0</v>
      </c>
      <c r="CL131" s="5" t="n">
        <v>0</v>
      </c>
      <c r="CM131" s="5" t="n">
        <v>0</v>
      </c>
      <c r="CN131" s="5" t="n">
        <v>0</v>
      </c>
      <c r="CO131" s="5" t="n">
        <v>0</v>
      </c>
      <c r="CP131" s="5" t="n">
        <v>0</v>
      </c>
      <c r="CQ131" s="5" t="n">
        <v>1.294</v>
      </c>
      <c r="CR131" s="5" t="n">
        <v>0</v>
      </c>
      <c r="CS131" s="5" t="n">
        <v>5.158</v>
      </c>
      <c r="CT131" s="5" t="n">
        <v>10.485</v>
      </c>
      <c r="CU131" s="5" t="n">
        <v>31.326</v>
      </c>
    </row>
    <row r="132">
      <c r="A132" s="5" t="inlineStr">
        <is>
          <t>BFA2023</t>
        </is>
      </c>
      <c r="B132" s="5" t="inlineStr">
        <is>
          <t>BFA</t>
        </is>
      </c>
      <c r="C132" s="5" t="inlineStr">
        <is>
          <t>BFA</t>
        </is>
      </c>
      <c r="D132" s="5" t="inlineStr">
        <is>
          <t>Burkina Faso</t>
        </is>
      </c>
      <c r="E132" s="5" t="n">
        <v>2023</v>
      </c>
      <c r="F132" s="5" t="n">
        <v>0.18</v>
      </c>
      <c r="G132" s="5" t="n">
        <v>6.147</v>
      </c>
      <c r="H132" s="5" t="n">
        <v>1.286</v>
      </c>
      <c r="I132" s="5" t="n">
        <v>0</v>
      </c>
      <c r="J132" s="5" t="n">
        <v>6.147</v>
      </c>
      <c r="K132" s="5" t="n">
        <v>0</v>
      </c>
      <c r="L132" s="5" t="n">
        <v>1</v>
      </c>
      <c r="M132" s="5" t="n">
        <v>7.886</v>
      </c>
      <c r="N132" s="5" t="n">
        <v>3.857</v>
      </c>
      <c r="O132" s="5" t="n">
        <v>0</v>
      </c>
      <c r="P132" s="5" t="n">
        <v>7.886</v>
      </c>
      <c r="Q132" s="5" t="n">
        <v>0</v>
      </c>
      <c r="R132" s="5" t="n">
        <v>1</v>
      </c>
      <c r="S132" s="5" t="n">
        <v>12.575</v>
      </c>
      <c r="T132" s="5" t="n">
        <v>7.714</v>
      </c>
      <c r="U132" s="5" t="n">
        <v>-2.918</v>
      </c>
      <c r="V132" s="5" t="n">
        <v>11.396</v>
      </c>
      <c r="W132" s="5" t="n">
        <v>0.18</v>
      </c>
      <c r="X132" s="5" t="n">
        <v>0</v>
      </c>
      <c r="Y132" s="5" t="n">
        <v>6.656</v>
      </c>
      <c r="Z132" s="5" t="n">
        <v>0.9</v>
      </c>
      <c r="AA132" s="5" t="n">
        <v>0</v>
      </c>
      <c r="AB132" s="5" t="n">
        <v>6.656</v>
      </c>
      <c r="AC132" s="5" t="n">
        <v>0</v>
      </c>
      <c r="AD132" s="5" t="n">
        <v>1</v>
      </c>
      <c r="AE132" s="5" t="n">
        <v>7.942</v>
      </c>
      <c r="AF132" s="5" t="n">
        <v>1.857</v>
      </c>
      <c r="AG132" s="5" t="n">
        <v>0</v>
      </c>
      <c r="AH132" s="5" t="n">
        <v>7.942</v>
      </c>
      <c r="AI132" s="5" t="n">
        <v>0</v>
      </c>
      <c r="AJ132" s="5" t="n">
        <v>1</v>
      </c>
      <c r="AK132" s="5" t="n">
        <v>15.656</v>
      </c>
      <c r="AL132" s="5" t="n">
        <v>8.337999999999999</v>
      </c>
      <c r="AM132" s="5" t="n">
        <v>0.312</v>
      </c>
      <c r="AN132" s="5" t="n">
        <v>18.474</v>
      </c>
      <c r="AO132" s="5" t="n">
        <v>0.18</v>
      </c>
      <c r="AP132" s="5" t="n">
        <v>1</v>
      </c>
      <c r="AQ132" s="5" t="n">
        <v>0.76</v>
      </c>
      <c r="AR132" s="5" t="n">
        <v>0.129</v>
      </c>
      <c r="AS132" s="5" t="n">
        <v>0.424</v>
      </c>
      <c r="AT132" s="5" t="n">
        <v>1.397</v>
      </c>
      <c r="AU132" s="5" t="n">
        <v>0.18</v>
      </c>
      <c r="AV132" s="5" t="n">
        <v>1</v>
      </c>
      <c r="AW132" s="5" t="n">
        <v>0.8110000000000001</v>
      </c>
      <c r="AX132" s="5" t="n">
        <v>0.129</v>
      </c>
      <c r="AY132" s="5" t="n">
        <v>0.264</v>
      </c>
      <c r="AZ132" s="5" t="n">
        <v>1.269</v>
      </c>
      <c r="BA132" s="5" t="n">
        <v>0.18</v>
      </c>
      <c r="BB132" s="5" t="n">
        <v>1</v>
      </c>
      <c r="BC132" s="5" t="n">
        <v>0.535</v>
      </c>
      <c r="BD132" s="5" t="n">
        <v>0.129</v>
      </c>
      <c r="BE132" s="5" t="n">
        <v>-0.195</v>
      </c>
      <c r="BF132" s="5" t="n">
        <v>0.34</v>
      </c>
      <c r="BG132" s="5" t="n">
        <v>0</v>
      </c>
      <c r="BH132" s="5" t="n">
        <v>0</v>
      </c>
      <c r="BI132" s="5" t="n">
        <v>0.579</v>
      </c>
      <c r="BJ132" s="5" t="n">
        <v>0.129</v>
      </c>
      <c r="BK132" s="5" t="n">
        <v>1.099</v>
      </c>
      <c r="BL132" s="5" t="n">
        <v>1.678</v>
      </c>
      <c r="BM132" s="5" t="n">
        <v>0</v>
      </c>
      <c r="BN132" s="5" t="n">
        <v>1</v>
      </c>
      <c r="BO132" s="5" t="n">
        <v>0</v>
      </c>
      <c r="BP132" s="5" t="n">
        <v>0</v>
      </c>
      <c r="BQ132" s="5" t="n">
        <v>0.196</v>
      </c>
      <c r="BR132" s="5" t="n">
        <v>0</v>
      </c>
      <c r="BS132" s="5" t="n">
        <v>0.833</v>
      </c>
      <c r="BT132" s="5" t="n">
        <v>0</v>
      </c>
      <c r="BU132" s="5" t="n">
        <v>0</v>
      </c>
      <c r="BV132" s="5" t="n">
        <v>0.203</v>
      </c>
      <c r="BW132" s="5" t="n">
        <v>0.18</v>
      </c>
      <c r="BX132" s="5" t="n">
        <v>0.5</v>
      </c>
      <c r="BY132" s="5" t="n">
        <v>13.254</v>
      </c>
      <c r="BZ132" s="5" t="n">
        <v>0</v>
      </c>
      <c r="CA132" s="5" t="n">
        <v>13.254</v>
      </c>
      <c r="CB132" s="5" t="n">
        <v>0</v>
      </c>
      <c r="CC132" s="5" t="n">
        <v>83.248</v>
      </c>
      <c r="CD132" s="5" t="n">
        <v>7.95</v>
      </c>
      <c r="CE132" s="5" t="n">
        <v>134.453</v>
      </c>
      <c r="CF132" s="5" t="n">
        <v>256.887</v>
      </c>
      <c r="CG132" s="5" t="n">
        <v>0.18</v>
      </c>
      <c r="CH132" s="5" t="n">
        <v>1</v>
      </c>
      <c r="CI132" s="5" t="n">
        <v>0</v>
      </c>
      <c r="CJ132" s="5" t="n">
        <v>0</v>
      </c>
      <c r="CK132" s="5" t="n">
        <v>0</v>
      </c>
      <c r="CL132" s="5" t="n">
        <v>0</v>
      </c>
      <c r="CM132" s="5" t="n">
        <v>0</v>
      </c>
      <c r="CN132" s="5" t="n">
        <v>0</v>
      </c>
      <c r="CO132" s="5" t="n">
        <v>0</v>
      </c>
      <c r="CP132" s="5" t="n">
        <v>0</v>
      </c>
      <c r="CQ132" s="5" t="n">
        <v>1.348</v>
      </c>
      <c r="CR132" s="5" t="n">
        <v>0</v>
      </c>
      <c r="CS132" s="5" t="n">
        <v>5.37</v>
      </c>
      <c r="CT132" s="5" t="n">
        <v>4.861</v>
      </c>
      <c r="CU132" s="5" t="n">
        <v>11.622</v>
      </c>
    </row>
    <row r="133">
      <c r="A133" s="5" t="inlineStr">
        <is>
          <t>BFA2024</t>
        </is>
      </c>
      <c r="B133" s="5" t="inlineStr">
        <is>
          <t>BFA</t>
        </is>
      </c>
      <c r="C133" s="5" t="inlineStr">
        <is>
          <t>BFA</t>
        </is>
      </c>
      <c r="D133" s="5" t="inlineStr">
        <is>
          <t>Burkina Faso</t>
        </is>
      </c>
      <c r="E133" s="5" t="n">
        <v>2024</v>
      </c>
      <c r="F133" s="5" t="n">
        <v>0.18</v>
      </c>
      <c r="G133" s="5" t="n">
        <v>5.575</v>
      </c>
      <c r="H133" s="5" t="n">
        <v>1.324</v>
      </c>
      <c r="I133" s="5" t="n">
        <v>0</v>
      </c>
      <c r="J133" s="5" t="n">
        <v>5.575</v>
      </c>
      <c r="K133" s="5" t="n">
        <v>0</v>
      </c>
      <c r="L133" s="5" t="n">
        <v>1</v>
      </c>
      <c r="M133" s="5" t="n">
        <v>7.124</v>
      </c>
      <c r="N133" s="5" t="n">
        <v>3.971</v>
      </c>
      <c r="O133" s="5" t="n">
        <v>0</v>
      </c>
      <c r="P133" s="5" t="n">
        <v>7.124</v>
      </c>
      <c r="Q133" s="5" t="n">
        <v>0</v>
      </c>
      <c r="R133" s="5" t="n">
        <v>1</v>
      </c>
      <c r="S133" s="5" t="n">
        <v>12.193</v>
      </c>
      <c r="T133" s="5" t="n">
        <v>7.942</v>
      </c>
      <c r="U133" s="5" t="n">
        <v>-2.779</v>
      </c>
      <c r="V133" s="5" t="n">
        <v>10.843</v>
      </c>
      <c r="W133" s="5" t="n">
        <v>0.18</v>
      </c>
      <c r="X133" s="5" t="n">
        <v>0</v>
      </c>
      <c r="Y133" s="5" t="n">
        <v>5.675</v>
      </c>
      <c r="Z133" s="5" t="n">
        <v>0.767</v>
      </c>
      <c r="AA133" s="5" t="n">
        <v>0</v>
      </c>
      <c r="AB133" s="5" t="n">
        <v>5.675</v>
      </c>
      <c r="AC133" s="5" t="n">
        <v>0</v>
      </c>
      <c r="AD133" s="5" t="n">
        <v>1</v>
      </c>
      <c r="AE133" s="5" t="n">
        <v>6.998</v>
      </c>
      <c r="AF133" s="5" t="n">
        <v>1.636</v>
      </c>
      <c r="AG133" s="5" t="n">
        <v>0</v>
      </c>
      <c r="AH133" s="5" t="n">
        <v>6.998</v>
      </c>
      <c r="AI133" s="5" t="n">
        <v>0</v>
      </c>
      <c r="AJ133" s="5" t="n">
        <v>1</v>
      </c>
      <c r="AK133" s="5" t="n">
        <v>14.94</v>
      </c>
      <c r="AL133" s="5" t="n">
        <v>7.957</v>
      </c>
      <c r="AM133" s="5" t="n">
        <v>0.366</v>
      </c>
      <c r="AN133" s="5" t="n">
        <v>17.629</v>
      </c>
      <c r="AO133" s="5" t="n">
        <v>0.18</v>
      </c>
      <c r="AP133" s="5" t="n">
        <v>1</v>
      </c>
      <c r="AQ133" s="5" t="n">
        <v>0.724</v>
      </c>
      <c r="AR133" s="5" t="n">
        <v>0.132</v>
      </c>
      <c r="AS133" s="5" t="n">
        <v>0.475</v>
      </c>
      <c r="AT133" s="5" t="n">
        <v>1.415</v>
      </c>
      <c r="AU133" s="5" t="n">
        <v>0.18</v>
      </c>
      <c r="AV133" s="5" t="n">
        <v>1</v>
      </c>
      <c r="AW133" s="5" t="n">
        <v>0.75</v>
      </c>
      <c r="AX133" s="5" t="n">
        <v>0.132</v>
      </c>
      <c r="AY133" s="5" t="n">
        <v>0.325</v>
      </c>
      <c r="AZ133" s="5" t="n">
        <v>1.269</v>
      </c>
      <c r="BA133" s="5" t="n">
        <v>0.18</v>
      </c>
      <c r="BB133" s="5" t="n">
        <v>1</v>
      </c>
      <c r="BC133" s="5" t="n">
        <v>0.513</v>
      </c>
      <c r="BD133" s="5" t="n">
        <v>0.132</v>
      </c>
      <c r="BE133" s="5" t="n">
        <v>-0.188</v>
      </c>
      <c r="BF133" s="5" t="n">
        <v>0.325</v>
      </c>
      <c r="BG133" s="5" t="n">
        <v>0</v>
      </c>
      <c r="BH133" s="5" t="n">
        <v>0</v>
      </c>
      <c r="BI133" s="5" t="n">
        <v>0.591</v>
      </c>
      <c r="BJ133" s="5" t="n">
        <v>0.132</v>
      </c>
      <c r="BK133" s="5" t="n">
        <v>1.115</v>
      </c>
      <c r="BL133" s="5" t="n">
        <v>1.707</v>
      </c>
      <c r="BM133" s="5" t="n">
        <v>0</v>
      </c>
      <c r="BN133" s="5" t="n">
        <v>1</v>
      </c>
      <c r="BO133" s="5" t="n">
        <v>0</v>
      </c>
      <c r="BP133" s="5" t="n">
        <v>0</v>
      </c>
      <c r="BQ133" s="5" t="n">
        <v>0.304</v>
      </c>
      <c r="BR133" s="5" t="n">
        <v>0</v>
      </c>
      <c r="BS133" s="5" t="n">
        <v>0.833</v>
      </c>
      <c r="BT133" s="5" t="n">
        <v>0</v>
      </c>
      <c r="BU133" s="5" t="n">
        <v>0</v>
      </c>
      <c r="BV133" s="5" t="n">
        <v>0.186</v>
      </c>
      <c r="BW133" s="5" t="n">
        <v>0.18</v>
      </c>
      <c r="BX133" s="5" t="n">
        <v>0.5</v>
      </c>
      <c r="BY133" s="5" t="n">
        <v>13.646</v>
      </c>
      <c r="BZ133" s="5" t="n">
        <v>0</v>
      </c>
      <c r="CA133" s="5" t="n">
        <v>13.646</v>
      </c>
      <c r="CB133" s="5" t="n">
        <v>0</v>
      </c>
      <c r="CC133" s="5" t="n">
        <v>82.58799999999999</v>
      </c>
      <c r="CD133" s="5" t="n">
        <v>7.95</v>
      </c>
      <c r="CE133" s="5" t="n">
        <v>131.815</v>
      </c>
      <c r="CF133" s="5" t="n">
        <v>252.995</v>
      </c>
      <c r="CG133" s="5" t="n">
        <v>0.18</v>
      </c>
      <c r="CH133" s="5" t="n">
        <v>1</v>
      </c>
      <c r="CI133" s="5" t="n">
        <v>0</v>
      </c>
      <c r="CJ133" s="5" t="n">
        <v>0</v>
      </c>
      <c r="CK133" s="5" t="n">
        <v>0</v>
      </c>
      <c r="CL133" s="5" t="n">
        <v>0</v>
      </c>
      <c r="CM133" s="5" t="n">
        <v>0</v>
      </c>
      <c r="CN133" s="5" t="n">
        <v>0</v>
      </c>
      <c r="CO133" s="5" t="n">
        <v>0</v>
      </c>
      <c r="CP133" s="5" t="n">
        <v>0</v>
      </c>
      <c r="CQ133" s="5" t="n">
        <v>1.387</v>
      </c>
      <c r="CR133" s="5" t="n">
        <v>0</v>
      </c>
      <c r="CS133" s="5" t="n">
        <v>5.529</v>
      </c>
      <c r="CT133" s="5" t="n">
        <v>4.251</v>
      </c>
      <c r="CU133" s="5" t="n">
        <v>10.168</v>
      </c>
    </row>
    <row r="134">
      <c r="A134" s="5" t="inlineStr">
        <is>
          <t>BDI2021</t>
        </is>
      </c>
      <c r="B134" s="5" t="inlineStr">
        <is>
          <t>BDI</t>
        </is>
      </c>
      <c r="C134" s="5" t="inlineStr">
        <is>
          <t>BDI</t>
        </is>
      </c>
      <c r="D134" s="5" t="inlineStr">
        <is>
          <t>Burundi</t>
        </is>
      </c>
      <c r="E134" s="5" t="n">
        <v>2021</v>
      </c>
      <c r="F134" s="5" t="n">
        <v>0.18</v>
      </c>
      <c r="G134" s="5" t="n">
        <v>5.897</v>
      </c>
      <c r="H134" s="5" t="n">
        <v>1.143</v>
      </c>
      <c r="I134" s="5" t="n">
        <v>0</v>
      </c>
      <c r="J134" s="5" t="n">
        <v>5.897</v>
      </c>
      <c r="K134" s="5" t="n">
        <v>0</v>
      </c>
      <c r="L134" s="5" t="n">
        <v>1</v>
      </c>
      <c r="M134" s="5" t="n">
        <v>7.964</v>
      </c>
      <c r="N134" s="5" t="n">
        <v>3.43</v>
      </c>
      <c r="O134" s="5" t="n">
        <v>0</v>
      </c>
      <c r="P134" s="5" t="n">
        <v>7.964</v>
      </c>
      <c r="Q134" s="5" t="n">
        <v>0</v>
      </c>
      <c r="R134" s="5" t="n">
        <v>1</v>
      </c>
      <c r="S134" s="5" t="n">
        <v>11.613</v>
      </c>
      <c r="T134" s="5" t="n">
        <v>6.86</v>
      </c>
      <c r="U134" s="5" t="n">
        <v>0</v>
      </c>
      <c r="V134" s="5" t="n">
        <v>13.704</v>
      </c>
      <c r="W134" s="5" t="n">
        <v>0.18</v>
      </c>
      <c r="X134" s="5" t="n">
        <v>1</v>
      </c>
      <c r="Y134" s="5" t="n">
        <v>16.167</v>
      </c>
      <c r="Z134" s="5" t="n">
        <v>2.185</v>
      </c>
      <c r="AA134" s="5" t="n">
        <v>0</v>
      </c>
      <c r="AB134" s="5" t="n">
        <v>16.167</v>
      </c>
      <c r="AC134" s="5" t="n">
        <v>0</v>
      </c>
      <c r="AD134" s="5" t="n">
        <v>1</v>
      </c>
      <c r="AE134" s="5" t="n">
        <v>17.31</v>
      </c>
      <c r="AF134" s="5" t="n">
        <v>4.048</v>
      </c>
      <c r="AG134" s="5" t="n">
        <v>0</v>
      </c>
      <c r="AH134" s="5" t="n">
        <v>17.31</v>
      </c>
      <c r="AI134" s="5" t="n">
        <v>0</v>
      </c>
      <c r="AJ134" s="5" t="n">
        <v>1</v>
      </c>
      <c r="AK134" s="5" t="n">
        <v>24.17</v>
      </c>
      <c r="AL134" s="5" t="n">
        <v>12.873</v>
      </c>
      <c r="AM134" s="5" t="n">
        <v>0</v>
      </c>
      <c r="AN134" s="5" t="n">
        <v>28.521</v>
      </c>
      <c r="AO134" s="5" t="n">
        <v>0.18</v>
      </c>
      <c r="AP134" s="5" t="n">
        <v>1</v>
      </c>
      <c r="AQ134" s="5" t="n">
        <v>0.619</v>
      </c>
      <c r="AR134" s="5" t="n">
        <v>0.114</v>
      </c>
      <c r="AS134" s="5" t="n">
        <v>0.523</v>
      </c>
      <c r="AT134" s="5" t="n">
        <v>1.348</v>
      </c>
      <c r="AU134" s="5" t="n">
        <v>0.18</v>
      </c>
      <c r="AV134" s="5" t="n">
        <v>1</v>
      </c>
      <c r="AW134" s="5" t="n">
        <v>0.599</v>
      </c>
      <c r="AX134" s="5" t="n">
        <v>0.114</v>
      </c>
      <c r="AY134" s="5" t="n">
        <v>0.53</v>
      </c>
      <c r="AZ134" s="5" t="n">
        <v>1.333</v>
      </c>
      <c r="BA134" s="5" t="n">
        <v>0.18</v>
      </c>
      <c r="BB134" s="5" t="n">
        <v>1</v>
      </c>
      <c r="BC134" s="5" t="n">
        <v>0.439</v>
      </c>
      <c r="BD134" s="5" t="n">
        <v>0.114</v>
      </c>
      <c r="BE134" s="5" t="n">
        <v>0</v>
      </c>
      <c r="BF134" s="5" t="n">
        <v>0.518</v>
      </c>
      <c r="BG134" s="5" t="n">
        <v>0.18</v>
      </c>
      <c r="BH134" s="5" t="n">
        <v>1</v>
      </c>
      <c r="BI134" s="5" t="n">
        <v>0.505</v>
      </c>
      <c r="BJ134" s="5" t="n">
        <v>0.114</v>
      </c>
      <c r="BK134" s="5" t="n">
        <v>0.499</v>
      </c>
      <c r="BL134" s="5" t="n">
        <v>1.185</v>
      </c>
      <c r="BM134" s="5" t="n">
        <v>0.18</v>
      </c>
      <c r="BN134" s="5" t="n">
        <v>1</v>
      </c>
      <c r="BO134" s="5" t="n">
        <v>0</v>
      </c>
      <c r="BP134" s="5" t="n">
        <v>0</v>
      </c>
      <c r="BQ134" s="5" t="n">
        <v>0.202</v>
      </c>
      <c r="BR134" s="5" t="n">
        <v>0</v>
      </c>
      <c r="BS134" s="5" t="n">
        <v>1</v>
      </c>
      <c r="BT134" s="5" t="n">
        <v>0</v>
      </c>
      <c r="BU134" s="5" t="n">
        <v>0</v>
      </c>
      <c r="BV134" s="5" t="n">
        <v>0.147</v>
      </c>
      <c r="BW134" s="5" t="n">
        <v>0.18</v>
      </c>
      <c r="BX134" s="5" t="n">
        <v>1</v>
      </c>
      <c r="BY134" s="5" t="n">
        <v>11.787</v>
      </c>
      <c r="BZ134" s="5" t="n">
        <v>0</v>
      </c>
      <c r="CA134" s="5" t="n">
        <v>11.787</v>
      </c>
      <c r="CB134" s="5" t="n">
        <v>0</v>
      </c>
      <c r="CC134" s="5" t="n">
        <v>78.125</v>
      </c>
      <c r="CD134" s="5" t="n">
        <v>7.95</v>
      </c>
      <c r="CE134" s="5" t="n">
        <v>0</v>
      </c>
      <c r="CF134" s="5" t="n">
        <v>92.188</v>
      </c>
      <c r="CG134" s="5" t="n">
        <v>0.18</v>
      </c>
      <c r="CH134" s="5" t="n">
        <v>1</v>
      </c>
      <c r="CI134" s="5" t="n">
        <v>0</v>
      </c>
      <c r="CJ134" s="5" t="n">
        <v>0</v>
      </c>
      <c r="CK134" s="5" t="n">
        <v>0</v>
      </c>
      <c r="CL134" s="5" t="n">
        <v>0</v>
      </c>
      <c r="CM134" s="5" t="n">
        <v>0</v>
      </c>
      <c r="CN134" s="5" t="n">
        <v>0</v>
      </c>
      <c r="CO134" s="5" t="n">
        <v>0</v>
      </c>
      <c r="CP134" s="5" t="n">
        <v>0</v>
      </c>
      <c r="CQ134" s="5" t="n">
        <v>1.198</v>
      </c>
      <c r="CR134" s="5" t="n">
        <v>0</v>
      </c>
      <c r="CS134" s="5" t="n">
        <v>4.776</v>
      </c>
      <c r="CT134" s="5" t="n">
        <v>4.753</v>
      </c>
      <c r="CU134" s="5" t="n">
        <v>15.162</v>
      </c>
    </row>
    <row r="135">
      <c r="A135" s="5" t="inlineStr">
        <is>
          <t>BDI2022</t>
        </is>
      </c>
      <c r="B135" s="5" t="inlineStr">
        <is>
          <t>BDI</t>
        </is>
      </c>
      <c r="C135" s="5" t="inlineStr">
        <is>
          <t>BDI</t>
        </is>
      </c>
      <c r="D135" s="5" t="inlineStr">
        <is>
          <t>Burundi</t>
        </is>
      </c>
      <c r="E135" s="5" t="n">
        <v>2022</v>
      </c>
      <c r="F135" s="5" t="n">
        <v>0.18</v>
      </c>
      <c r="G135" s="5" t="n">
        <v>11.72</v>
      </c>
      <c r="H135" s="5" t="n">
        <v>1.235</v>
      </c>
      <c r="I135" s="5" t="n">
        <v>0</v>
      </c>
      <c r="J135" s="5" t="n">
        <v>11.72</v>
      </c>
      <c r="K135" s="5" t="n">
        <v>0</v>
      </c>
      <c r="L135" s="5" t="n">
        <v>1</v>
      </c>
      <c r="M135" s="5" t="n">
        <v>9.782999999999999</v>
      </c>
      <c r="N135" s="5" t="n">
        <v>3.704</v>
      </c>
      <c r="O135" s="5" t="n">
        <v>0</v>
      </c>
      <c r="P135" s="5" t="n">
        <v>9.782999999999999</v>
      </c>
      <c r="Q135" s="5" t="n">
        <v>0</v>
      </c>
      <c r="R135" s="5" t="n">
        <v>1</v>
      </c>
      <c r="S135" s="5" t="n">
        <v>17.893</v>
      </c>
      <c r="T135" s="5" t="n">
        <v>7.408</v>
      </c>
      <c r="U135" s="5" t="n">
        <v>0.238</v>
      </c>
      <c r="V135" s="5" t="n">
        <v>21.114</v>
      </c>
      <c r="W135" s="5" t="n">
        <v>0.18</v>
      </c>
      <c r="X135" s="5" t="n">
        <v>1</v>
      </c>
      <c r="Y135" s="5" t="n">
        <v>32.463</v>
      </c>
      <c r="Z135" s="5" t="n">
        <v>4.387</v>
      </c>
      <c r="AA135" s="5" t="n">
        <v>0</v>
      </c>
      <c r="AB135" s="5" t="n">
        <v>32.463</v>
      </c>
      <c r="AC135" s="5" t="n">
        <v>0</v>
      </c>
      <c r="AD135" s="5" t="n">
        <v>1</v>
      </c>
      <c r="AE135" s="5" t="n">
        <v>33.697</v>
      </c>
      <c r="AF135" s="5" t="n">
        <v>7.879</v>
      </c>
      <c r="AG135" s="5" t="n">
        <v>0</v>
      </c>
      <c r="AH135" s="5" t="n">
        <v>33.697</v>
      </c>
      <c r="AI135" s="5" t="n">
        <v>0</v>
      </c>
      <c r="AJ135" s="5" t="n">
        <v>1</v>
      </c>
      <c r="AK135" s="5" t="n">
        <v>41.105</v>
      </c>
      <c r="AL135" s="5" t="n">
        <v>21.893</v>
      </c>
      <c r="AM135" s="5" t="n">
        <v>0.548</v>
      </c>
      <c r="AN135" s="5" t="n">
        <v>48.504</v>
      </c>
      <c r="AO135" s="5" t="n">
        <v>0.18</v>
      </c>
      <c r="AP135" s="5" t="n">
        <v>1</v>
      </c>
      <c r="AQ135" s="5" t="n">
        <v>0.861</v>
      </c>
      <c r="AR135" s="5" t="n">
        <v>0.123</v>
      </c>
      <c r="AS135" s="5" t="n">
        <v>0.389</v>
      </c>
      <c r="AT135" s="5" t="n">
        <v>1.456</v>
      </c>
      <c r="AU135" s="5" t="n">
        <v>0.18</v>
      </c>
      <c r="AV135" s="5" t="n">
        <v>1</v>
      </c>
      <c r="AW135" s="5" t="n">
        <v>0.986</v>
      </c>
      <c r="AX135" s="5" t="n">
        <v>0.123</v>
      </c>
      <c r="AY135" s="5" t="n">
        <v>0.444</v>
      </c>
      <c r="AZ135" s="5" t="n">
        <v>1.666</v>
      </c>
      <c r="BA135" s="5" t="n">
        <v>0.18</v>
      </c>
      <c r="BB135" s="5" t="n">
        <v>1</v>
      </c>
      <c r="BC135" s="5" t="n">
        <v>0.598</v>
      </c>
      <c r="BD135" s="5" t="n">
        <v>0.123</v>
      </c>
      <c r="BE135" s="5" t="n">
        <v>0.008</v>
      </c>
      <c r="BF135" s="5" t="n">
        <v>0.705</v>
      </c>
      <c r="BG135" s="5" t="n">
        <v>0.18</v>
      </c>
      <c r="BH135" s="5" t="n">
        <v>1</v>
      </c>
      <c r="BI135" s="5" t="n">
        <v>0.612</v>
      </c>
      <c r="BJ135" s="5" t="n">
        <v>0.123</v>
      </c>
      <c r="BK135" s="5" t="n">
        <v>0.525</v>
      </c>
      <c r="BL135" s="5" t="n">
        <v>1.324</v>
      </c>
      <c r="BM135" s="5" t="n">
        <v>0.18</v>
      </c>
      <c r="BN135" s="5" t="n">
        <v>1</v>
      </c>
      <c r="BO135" s="5" t="n">
        <v>0</v>
      </c>
      <c r="BP135" s="5" t="n">
        <v>0</v>
      </c>
      <c r="BQ135" s="5" t="n">
        <v>0.196</v>
      </c>
      <c r="BR135" s="5" t="n">
        <v>0</v>
      </c>
      <c r="BS135" s="5" t="n">
        <v>1</v>
      </c>
      <c r="BT135" s="5" t="n">
        <v>0</v>
      </c>
      <c r="BU135" s="5" t="n">
        <v>0</v>
      </c>
      <c r="BV135" s="5" t="n">
        <v>0.142</v>
      </c>
      <c r="BW135" s="5" t="n">
        <v>0.18</v>
      </c>
      <c r="BX135" s="5" t="n">
        <v>1</v>
      </c>
      <c r="BY135" s="5" t="n">
        <v>12.729</v>
      </c>
      <c r="BZ135" s="5" t="n">
        <v>0</v>
      </c>
      <c r="CA135" s="5" t="n">
        <v>12.729</v>
      </c>
      <c r="CB135" s="5" t="n">
        <v>0</v>
      </c>
      <c r="CC135" s="5" t="n">
        <v>97.90000000000001</v>
      </c>
      <c r="CD135" s="5" t="n">
        <v>7.95</v>
      </c>
      <c r="CE135" s="5" t="n">
        <v>1.304</v>
      </c>
      <c r="CF135" s="5" t="n">
        <v>115.522</v>
      </c>
      <c r="CG135" s="5" t="n">
        <v>0.18</v>
      </c>
      <c r="CH135" s="5" t="n">
        <v>1</v>
      </c>
      <c r="CI135" s="5" t="n">
        <v>0</v>
      </c>
      <c r="CJ135" s="5" t="n">
        <v>0</v>
      </c>
      <c r="CK135" s="5" t="n">
        <v>0</v>
      </c>
      <c r="CL135" s="5" t="n">
        <v>0</v>
      </c>
      <c r="CM135" s="5" t="n">
        <v>0</v>
      </c>
      <c r="CN135" s="5" t="n">
        <v>0</v>
      </c>
      <c r="CO135" s="5" t="n">
        <v>0</v>
      </c>
      <c r="CP135" s="5" t="n">
        <v>0</v>
      </c>
      <c r="CQ135" s="5" t="n">
        <v>1.294</v>
      </c>
      <c r="CR135" s="5" t="n">
        <v>0</v>
      </c>
      <c r="CS135" s="5" t="n">
        <v>5.158</v>
      </c>
      <c r="CT135" s="5" t="n">
        <v>10.485</v>
      </c>
      <c r="CU135" s="5" t="n">
        <v>31.326</v>
      </c>
    </row>
    <row r="136">
      <c r="A136" s="5" t="inlineStr">
        <is>
          <t>BDI2023</t>
        </is>
      </c>
      <c r="B136" s="5" t="inlineStr">
        <is>
          <t>BDI</t>
        </is>
      </c>
      <c r="C136" s="5" t="inlineStr">
        <is>
          <t>BDI</t>
        </is>
      </c>
      <c r="D136" s="5" t="inlineStr">
        <is>
          <t>Burundi</t>
        </is>
      </c>
      <c r="E136" s="5" t="n">
        <v>2023</v>
      </c>
      <c r="F136" s="5" t="n">
        <v>0.18</v>
      </c>
      <c r="G136" s="5" t="n">
        <v>6.147</v>
      </c>
      <c r="H136" s="5" t="n">
        <v>1.286</v>
      </c>
      <c r="I136" s="5" t="n">
        <v>0</v>
      </c>
      <c r="J136" s="5" t="n">
        <v>6.147</v>
      </c>
      <c r="K136" s="5" t="n">
        <v>0</v>
      </c>
      <c r="L136" s="5" t="n">
        <v>1</v>
      </c>
      <c r="M136" s="5" t="n">
        <v>7.886</v>
      </c>
      <c r="N136" s="5" t="n">
        <v>3.857</v>
      </c>
      <c r="O136" s="5" t="n">
        <v>0</v>
      </c>
      <c r="P136" s="5" t="n">
        <v>7.886</v>
      </c>
      <c r="Q136" s="5" t="n">
        <v>0</v>
      </c>
      <c r="R136" s="5" t="n">
        <v>1</v>
      </c>
      <c r="S136" s="5" t="n">
        <v>12.575</v>
      </c>
      <c r="T136" s="5" t="n">
        <v>7.714</v>
      </c>
      <c r="U136" s="5" t="n">
        <v>0.251</v>
      </c>
      <c r="V136" s="5" t="n">
        <v>14.839</v>
      </c>
      <c r="W136" s="5" t="n">
        <v>0.18</v>
      </c>
      <c r="X136" s="5" t="n">
        <v>1</v>
      </c>
      <c r="Y136" s="5" t="n">
        <v>12.881</v>
      </c>
      <c r="Z136" s="5" t="n">
        <v>1.741</v>
      </c>
      <c r="AA136" s="5" t="n">
        <v>0</v>
      </c>
      <c r="AB136" s="5" t="n">
        <v>12.881</v>
      </c>
      <c r="AC136" s="5" t="n">
        <v>0</v>
      </c>
      <c r="AD136" s="5" t="n">
        <v>1</v>
      </c>
      <c r="AE136" s="5" t="n">
        <v>14.167</v>
      </c>
      <c r="AF136" s="5" t="n">
        <v>3.313</v>
      </c>
      <c r="AG136" s="5" t="n">
        <v>0</v>
      </c>
      <c r="AH136" s="5" t="n">
        <v>14.167</v>
      </c>
      <c r="AI136" s="5" t="n">
        <v>0</v>
      </c>
      <c r="AJ136" s="5" t="n">
        <v>1</v>
      </c>
      <c r="AK136" s="5" t="n">
        <v>21.881</v>
      </c>
      <c r="AL136" s="5" t="n">
        <v>11.654</v>
      </c>
      <c r="AM136" s="5" t="n">
        <v>0.436</v>
      </c>
      <c r="AN136" s="5" t="n">
        <v>25.819</v>
      </c>
      <c r="AO136" s="5" t="n">
        <v>0.18</v>
      </c>
      <c r="AP136" s="5" t="n">
        <v>1</v>
      </c>
      <c r="AQ136" s="5" t="n">
        <v>0.76</v>
      </c>
      <c r="AR136" s="5" t="n">
        <v>0.129</v>
      </c>
      <c r="AS136" s="5" t="n">
        <v>0.55</v>
      </c>
      <c r="AT136" s="5" t="n">
        <v>1.516</v>
      </c>
      <c r="AU136" s="5" t="n">
        <v>0.18</v>
      </c>
      <c r="AV136" s="5" t="n">
        <v>1</v>
      </c>
      <c r="AW136" s="5" t="n">
        <v>0.8110000000000001</v>
      </c>
      <c r="AX136" s="5" t="n">
        <v>0.129</v>
      </c>
      <c r="AY136" s="5" t="n">
        <v>0.5629999999999999</v>
      </c>
      <c r="AZ136" s="5" t="n">
        <v>1.591</v>
      </c>
      <c r="BA136" s="5" t="n">
        <v>0.18</v>
      </c>
      <c r="BB136" s="5" t="n">
        <v>1</v>
      </c>
      <c r="BC136" s="5" t="n">
        <v>0.535</v>
      </c>
      <c r="BD136" s="5" t="n">
        <v>0.129</v>
      </c>
      <c r="BE136" s="5" t="n">
        <v>0.011</v>
      </c>
      <c r="BF136" s="5" t="n">
        <v>0.631</v>
      </c>
      <c r="BG136" s="5" t="n">
        <v>0.18</v>
      </c>
      <c r="BH136" s="5" t="n">
        <v>1</v>
      </c>
      <c r="BI136" s="5" t="n">
        <v>0.579</v>
      </c>
      <c r="BJ136" s="5" t="n">
        <v>0.129</v>
      </c>
      <c r="BK136" s="5" t="n">
        <v>0.579</v>
      </c>
      <c r="BL136" s="5" t="n">
        <v>1.34</v>
      </c>
      <c r="BM136" s="5" t="n">
        <v>0.18</v>
      </c>
      <c r="BN136" s="5" t="n">
        <v>1</v>
      </c>
      <c r="BO136" s="5" t="n">
        <v>0</v>
      </c>
      <c r="BP136" s="5" t="n">
        <v>0</v>
      </c>
      <c r="BQ136" s="5" t="n">
        <v>0.159</v>
      </c>
      <c r="BR136" s="5" t="n">
        <v>0</v>
      </c>
      <c r="BS136" s="5" t="n">
        <v>1</v>
      </c>
      <c r="BT136" s="5" t="n">
        <v>0</v>
      </c>
      <c r="BU136" s="5" t="n">
        <v>0</v>
      </c>
      <c r="BV136" s="5" t="n">
        <v>0.116</v>
      </c>
      <c r="BW136" s="5" t="n">
        <v>0.18</v>
      </c>
      <c r="BX136" s="5" t="n">
        <v>1</v>
      </c>
      <c r="BY136" s="5" t="n">
        <v>13.254</v>
      </c>
      <c r="BZ136" s="5" t="n">
        <v>0</v>
      </c>
      <c r="CA136" s="5" t="n">
        <v>13.254</v>
      </c>
      <c r="CB136" s="5" t="n">
        <v>0</v>
      </c>
      <c r="CC136" s="5" t="n">
        <v>83.248</v>
      </c>
      <c r="CD136" s="5" t="n">
        <v>7.95</v>
      </c>
      <c r="CE136" s="5" t="n">
        <v>1.659</v>
      </c>
      <c r="CF136" s="5" t="n">
        <v>98.233</v>
      </c>
      <c r="CG136" s="5" t="n">
        <v>0.18</v>
      </c>
      <c r="CH136" s="5" t="n">
        <v>1</v>
      </c>
      <c r="CI136" s="5" t="n">
        <v>0</v>
      </c>
      <c r="CJ136" s="5" t="n">
        <v>0</v>
      </c>
      <c r="CK136" s="5" t="n">
        <v>0</v>
      </c>
      <c r="CL136" s="5" t="n">
        <v>0</v>
      </c>
      <c r="CM136" s="5" t="n">
        <v>0</v>
      </c>
      <c r="CN136" s="5" t="n">
        <v>0</v>
      </c>
      <c r="CO136" s="5" t="n">
        <v>0</v>
      </c>
      <c r="CP136" s="5" t="n">
        <v>0</v>
      </c>
      <c r="CQ136" s="5" t="n">
        <v>1.348</v>
      </c>
      <c r="CR136" s="5" t="n">
        <v>0</v>
      </c>
      <c r="CS136" s="5" t="n">
        <v>5.37</v>
      </c>
      <c r="CT136" s="5" t="n">
        <v>4.861</v>
      </c>
      <c r="CU136" s="5" t="n">
        <v>11.622</v>
      </c>
    </row>
    <row r="137">
      <c r="A137" s="5" t="inlineStr">
        <is>
          <t>BDI2024</t>
        </is>
      </c>
      <c r="B137" s="5" t="inlineStr">
        <is>
          <t>BDI</t>
        </is>
      </c>
      <c r="C137" s="5" t="inlineStr">
        <is>
          <t>BDI</t>
        </is>
      </c>
      <c r="D137" s="5" t="inlineStr">
        <is>
          <t>Burundi</t>
        </is>
      </c>
      <c r="E137" s="5" t="n">
        <v>2024</v>
      </c>
      <c r="F137" s="5" t="n">
        <v>0.18</v>
      </c>
      <c r="G137" s="5" t="n">
        <v>5.575</v>
      </c>
      <c r="H137" s="5" t="n">
        <v>1.324</v>
      </c>
      <c r="I137" s="5" t="n">
        <v>0</v>
      </c>
      <c r="J137" s="5" t="n">
        <v>5.575</v>
      </c>
      <c r="K137" s="5" t="n">
        <v>0</v>
      </c>
      <c r="L137" s="5" t="n">
        <v>1</v>
      </c>
      <c r="M137" s="5" t="n">
        <v>7.124</v>
      </c>
      <c r="N137" s="5" t="n">
        <v>3.971</v>
      </c>
      <c r="O137" s="5" t="n">
        <v>0</v>
      </c>
      <c r="P137" s="5" t="n">
        <v>7.124</v>
      </c>
      <c r="Q137" s="5" t="n">
        <v>0</v>
      </c>
      <c r="R137" s="5" t="n">
        <v>1</v>
      </c>
      <c r="S137" s="5" t="n">
        <v>12.193</v>
      </c>
      <c r="T137" s="5" t="n">
        <v>7.942</v>
      </c>
      <c r="U137" s="5" t="n">
        <v>0.299</v>
      </c>
      <c r="V137" s="5" t="n">
        <v>14.388</v>
      </c>
      <c r="W137" s="5" t="n">
        <v>0.18</v>
      </c>
      <c r="X137" s="5" t="n">
        <v>1</v>
      </c>
      <c r="Y137" s="5" t="n">
        <v>11.471</v>
      </c>
      <c r="Z137" s="5" t="n">
        <v>1.55</v>
      </c>
      <c r="AA137" s="5" t="n">
        <v>0</v>
      </c>
      <c r="AB137" s="5" t="n">
        <v>11.471</v>
      </c>
      <c r="AC137" s="5" t="n">
        <v>0</v>
      </c>
      <c r="AD137" s="5" t="n">
        <v>1</v>
      </c>
      <c r="AE137" s="5" t="n">
        <v>12.794</v>
      </c>
      <c r="AF137" s="5" t="n">
        <v>2.992</v>
      </c>
      <c r="AG137" s="5" t="n">
        <v>0</v>
      </c>
      <c r="AH137" s="5" t="n">
        <v>12.794</v>
      </c>
      <c r="AI137" s="5" t="n">
        <v>0</v>
      </c>
      <c r="AJ137" s="5" t="n">
        <v>1</v>
      </c>
      <c r="AK137" s="5" t="n">
        <v>20.736</v>
      </c>
      <c r="AL137" s="5" t="n">
        <v>11.044</v>
      </c>
      <c r="AM137" s="5" t="n">
        <v>0.508</v>
      </c>
      <c r="AN137" s="5" t="n">
        <v>24.468</v>
      </c>
      <c r="AO137" s="5" t="n">
        <v>0.18</v>
      </c>
      <c r="AP137" s="5" t="n">
        <v>1</v>
      </c>
      <c r="AQ137" s="5" t="n">
        <v>0.724</v>
      </c>
      <c r="AR137" s="5" t="n">
        <v>0.132</v>
      </c>
      <c r="AS137" s="5" t="n">
        <v>0.631</v>
      </c>
      <c r="AT137" s="5" t="n">
        <v>1.56</v>
      </c>
      <c r="AU137" s="5" t="n">
        <v>0.18</v>
      </c>
      <c r="AV137" s="5" t="n">
        <v>1</v>
      </c>
      <c r="AW137" s="5" t="n">
        <v>0.75</v>
      </c>
      <c r="AX137" s="5" t="n">
        <v>0.132</v>
      </c>
      <c r="AY137" s="5" t="n">
        <v>0.622</v>
      </c>
      <c r="AZ137" s="5" t="n">
        <v>1.58</v>
      </c>
      <c r="BA137" s="5" t="n">
        <v>0.18</v>
      </c>
      <c r="BB137" s="5" t="n">
        <v>1</v>
      </c>
      <c r="BC137" s="5" t="n">
        <v>0.513</v>
      </c>
      <c r="BD137" s="5" t="n">
        <v>0.132</v>
      </c>
      <c r="BE137" s="5" t="n">
        <v>0.013</v>
      </c>
      <c r="BF137" s="5" t="n">
        <v>0.605</v>
      </c>
      <c r="BG137" s="5" t="n">
        <v>0.18</v>
      </c>
      <c r="BH137" s="5" t="n">
        <v>1</v>
      </c>
      <c r="BI137" s="5" t="n">
        <v>0.591</v>
      </c>
      <c r="BJ137" s="5" t="n">
        <v>0.132</v>
      </c>
      <c r="BK137" s="5" t="n">
        <v>0.604</v>
      </c>
      <c r="BL137" s="5" t="n">
        <v>1.376</v>
      </c>
      <c r="BM137" s="5" t="n">
        <v>0.18</v>
      </c>
      <c r="BN137" s="5" t="n">
        <v>1</v>
      </c>
      <c r="BO137" s="5" t="n">
        <v>0</v>
      </c>
      <c r="BP137" s="5" t="n">
        <v>0</v>
      </c>
      <c r="BQ137" s="5" t="n">
        <v>0.164</v>
      </c>
      <c r="BR137" s="5" t="n">
        <v>0</v>
      </c>
      <c r="BS137" s="5" t="n">
        <v>1</v>
      </c>
      <c r="BT137" s="5" t="n">
        <v>0</v>
      </c>
      <c r="BU137" s="5" t="n">
        <v>0</v>
      </c>
      <c r="BV137" s="5" t="n">
        <v>0.119</v>
      </c>
      <c r="BW137" s="5" t="n">
        <v>0.18</v>
      </c>
      <c r="BX137" s="5" t="n">
        <v>1</v>
      </c>
      <c r="BY137" s="5" t="n">
        <v>13.646</v>
      </c>
      <c r="BZ137" s="5" t="n">
        <v>0</v>
      </c>
      <c r="CA137" s="5" t="n">
        <v>13.646</v>
      </c>
      <c r="CB137" s="5" t="n">
        <v>0</v>
      </c>
      <c r="CC137" s="5" t="n">
        <v>82.58799999999999</v>
      </c>
      <c r="CD137" s="5" t="n">
        <v>7.95</v>
      </c>
      <c r="CE137" s="5" t="n">
        <v>2.025</v>
      </c>
      <c r="CF137" s="5" t="n">
        <v>97.45399999999999</v>
      </c>
      <c r="CG137" s="5" t="n">
        <v>0.18</v>
      </c>
      <c r="CH137" s="5" t="n">
        <v>1</v>
      </c>
      <c r="CI137" s="5" t="n">
        <v>0</v>
      </c>
      <c r="CJ137" s="5" t="n">
        <v>0</v>
      </c>
      <c r="CK137" s="5" t="n">
        <v>0</v>
      </c>
      <c r="CL137" s="5" t="n">
        <v>0</v>
      </c>
      <c r="CM137" s="5" t="n">
        <v>0</v>
      </c>
      <c r="CN137" s="5" t="n">
        <v>0</v>
      </c>
      <c r="CO137" s="5" t="n">
        <v>0</v>
      </c>
      <c r="CP137" s="5" t="n">
        <v>0</v>
      </c>
      <c r="CQ137" s="5" t="n">
        <v>1.387</v>
      </c>
      <c r="CR137" s="5" t="n">
        <v>0</v>
      </c>
      <c r="CS137" s="5" t="n">
        <v>5.529</v>
      </c>
      <c r="CT137" s="5" t="n">
        <v>4.251</v>
      </c>
      <c r="CU137" s="5" t="n">
        <v>10.168</v>
      </c>
    </row>
    <row r="138">
      <c r="A138" s="5" t="inlineStr">
        <is>
          <t>CPV2021</t>
        </is>
      </c>
      <c r="B138" s="5" t="inlineStr">
        <is>
          <t>CPV</t>
        </is>
      </c>
      <c r="C138" s="5" t="inlineStr">
        <is>
          <t>CPV</t>
        </is>
      </c>
      <c r="D138" s="5" t="inlineStr">
        <is>
          <t>Cabo Verde</t>
        </is>
      </c>
      <c r="E138" s="5" t="n">
        <v>2021</v>
      </c>
      <c r="F138" s="5" t="n">
        <v>0.15</v>
      </c>
      <c r="G138" s="5" t="n">
        <v>5.897</v>
      </c>
      <c r="H138" s="5" t="n">
        <v>1.143</v>
      </c>
      <c r="I138" s="5" t="n">
        <v>0</v>
      </c>
      <c r="J138" s="5" t="n">
        <v>5.897</v>
      </c>
      <c r="K138" s="5" t="n">
        <v>0</v>
      </c>
      <c r="L138" s="5" t="n">
        <v>1</v>
      </c>
      <c r="M138" s="5" t="n">
        <v>7.964</v>
      </c>
      <c r="N138" s="5" t="n">
        <v>3.43</v>
      </c>
      <c r="O138" s="5" t="n">
        <v>0</v>
      </c>
      <c r="P138" s="5" t="n">
        <v>7.964</v>
      </c>
      <c r="Q138" s="5" t="n">
        <v>0</v>
      </c>
      <c r="R138" s="5" t="n">
        <v>1</v>
      </c>
      <c r="S138" s="5" t="n">
        <v>11.613</v>
      </c>
      <c r="T138" s="5" t="n">
        <v>6.86</v>
      </c>
      <c r="U138" s="5" t="n">
        <v>0</v>
      </c>
      <c r="V138" s="5" t="n">
        <v>13.355</v>
      </c>
      <c r="W138" s="5" t="n">
        <v>0.15</v>
      </c>
      <c r="X138" s="5" t="n">
        <v>1</v>
      </c>
      <c r="Y138" s="5" t="n">
        <v>4.768</v>
      </c>
      <c r="Z138" s="5" t="n">
        <v>0.644</v>
      </c>
      <c r="AA138" s="5" t="n">
        <v>0</v>
      </c>
      <c r="AB138" s="5" t="n">
        <v>4.768</v>
      </c>
      <c r="AC138" s="5" t="n">
        <v>0</v>
      </c>
      <c r="AD138" s="5" t="n">
        <v>1</v>
      </c>
      <c r="AE138" s="5" t="n">
        <v>5.911</v>
      </c>
      <c r="AF138" s="5" t="n">
        <v>1.382</v>
      </c>
      <c r="AG138" s="5" t="n">
        <v>0</v>
      </c>
      <c r="AH138" s="5" t="n">
        <v>5.911</v>
      </c>
      <c r="AI138" s="5" t="n">
        <v>0</v>
      </c>
      <c r="AJ138" s="5" t="n">
        <v>1</v>
      </c>
      <c r="AK138" s="5" t="n">
        <v>12.771</v>
      </c>
      <c r="AL138" s="5" t="n">
        <v>6.802</v>
      </c>
      <c r="AM138" s="5" t="n">
        <v>0</v>
      </c>
      <c r="AN138" s="5" t="n">
        <v>14.686</v>
      </c>
      <c r="AO138" s="5" t="n">
        <v>0.15</v>
      </c>
      <c r="AP138" s="5" t="n">
        <v>1</v>
      </c>
      <c r="AQ138" s="5" t="n">
        <v>0.619</v>
      </c>
      <c r="AR138" s="5" t="n">
        <v>0.114</v>
      </c>
      <c r="AS138" s="5" t="n">
        <v>0.548</v>
      </c>
      <c r="AT138" s="5" t="n">
        <v>1.342</v>
      </c>
      <c r="AU138" s="5" t="n">
        <v>0.15</v>
      </c>
      <c r="AV138" s="5" t="n">
        <v>1</v>
      </c>
      <c r="AW138" s="5" t="n">
        <v>0.599</v>
      </c>
      <c r="AX138" s="5" t="n">
        <v>0.114</v>
      </c>
      <c r="AY138" s="5" t="n">
        <v>0.312</v>
      </c>
      <c r="AZ138" s="5" t="n">
        <v>1.048</v>
      </c>
      <c r="BA138" s="5" t="n">
        <v>0.15</v>
      </c>
      <c r="BB138" s="5" t="n">
        <v>1</v>
      </c>
      <c r="BC138" s="5" t="n">
        <v>0.439</v>
      </c>
      <c r="BD138" s="5" t="n">
        <v>0.114</v>
      </c>
      <c r="BE138" s="5" t="n">
        <v>0.311</v>
      </c>
      <c r="BF138" s="5" t="n">
        <v>0.863</v>
      </c>
      <c r="BG138" s="5" t="n">
        <v>0.15</v>
      </c>
      <c r="BH138" s="5" t="n">
        <v>1</v>
      </c>
      <c r="BI138" s="5" t="n">
        <v>0.505</v>
      </c>
      <c r="BJ138" s="5" t="n">
        <v>0.114</v>
      </c>
      <c r="BK138" s="5" t="n">
        <v>0.258</v>
      </c>
      <c r="BL138" s="5" t="n">
        <v>0.877</v>
      </c>
      <c r="BM138" s="5" t="n">
        <v>0.15</v>
      </c>
      <c r="BN138" s="5" t="n">
        <v>1</v>
      </c>
      <c r="BO138" s="5" t="n">
        <v>0</v>
      </c>
      <c r="BP138" s="5" t="n">
        <v>0</v>
      </c>
      <c r="BQ138" s="5" t="n">
        <v>0.234</v>
      </c>
      <c r="BR138" s="5" t="n">
        <v>0</v>
      </c>
      <c r="BS138" s="5" t="n">
        <v>0.5</v>
      </c>
      <c r="BT138" s="5" t="n">
        <v>0</v>
      </c>
      <c r="BU138" s="5" t="n">
        <v>0</v>
      </c>
      <c r="BV138" s="5" t="n">
        <v>0.289</v>
      </c>
      <c r="BW138" s="5" t="n">
        <v>0.15</v>
      </c>
      <c r="BX138" s="5" t="n">
        <v>0.833</v>
      </c>
      <c r="BY138" s="5" t="n">
        <v>11.787</v>
      </c>
      <c r="BZ138" s="5" t="n">
        <v>0</v>
      </c>
      <c r="CA138" s="5" t="n">
        <v>11.787</v>
      </c>
      <c r="CB138" s="5" t="n">
        <v>0</v>
      </c>
      <c r="CC138" s="5" t="n">
        <v>78.125</v>
      </c>
      <c r="CD138" s="5" t="n">
        <v>7.95</v>
      </c>
      <c r="CE138" s="5" t="n">
        <v>21.469</v>
      </c>
      <c r="CF138" s="5" t="n">
        <v>114.533</v>
      </c>
      <c r="CG138" s="5" t="n">
        <v>0.15</v>
      </c>
      <c r="CH138" s="5" t="n">
        <v>1</v>
      </c>
      <c r="CI138" s="5" t="n">
        <v>0</v>
      </c>
      <c r="CJ138" s="5" t="n">
        <v>0</v>
      </c>
      <c r="CK138" s="5" t="n">
        <v>0</v>
      </c>
      <c r="CL138" s="5" t="n">
        <v>0</v>
      </c>
      <c r="CM138" s="5" t="n">
        <v>0</v>
      </c>
      <c r="CN138" s="5" t="n">
        <v>0</v>
      </c>
      <c r="CO138" s="5" t="n">
        <v>0</v>
      </c>
      <c r="CP138" s="5" t="n">
        <v>0</v>
      </c>
      <c r="CQ138" s="5" t="n">
        <v>1.198</v>
      </c>
      <c r="CR138" s="5" t="n">
        <v>0</v>
      </c>
      <c r="CS138" s="5" t="n">
        <v>4.776</v>
      </c>
      <c r="CT138" s="5" t="n">
        <v>4.753</v>
      </c>
      <c r="CU138" s="5" t="n">
        <v>15.162</v>
      </c>
    </row>
    <row r="139">
      <c r="A139" s="5" t="inlineStr">
        <is>
          <t>CPV2022</t>
        </is>
      </c>
      <c r="B139" s="5" t="inlineStr">
        <is>
          <t>CPV</t>
        </is>
      </c>
      <c r="C139" s="5" t="inlineStr">
        <is>
          <t>CPV</t>
        </is>
      </c>
      <c r="D139" s="5" t="inlineStr">
        <is>
          <t>Cabo Verde</t>
        </is>
      </c>
      <c r="E139" s="5" t="n">
        <v>2022</v>
      </c>
      <c r="F139" s="5" t="n">
        <v>0.15</v>
      </c>
      <c r="G139" s="5" t="n">
        <v>11.72</v>
      </c>
      <c r="H139" s="5" t="n">
        <v>1.235</v>
      </c>
      <c r="I139" s="5" t="n">
        <v>0</v>
      </c>
      <c r="J139" s="5" t="n">
        <v>11.72</v>
      </c>
      <c r="K139" s="5" t="n">
        <v>0</v>
      </c>
      <c r="L139" s="5" t="n">
        <v>1</v>
      </c>
      <c r="M139" s="5" t="n">
        <v>9.782999999999999</v>
      </c>
      <c r="N139" s="5" t="n">
        <v>3.704</v>
      </c>
      <c r="O139" s="5" t="n">
        <v>0</v>
      </c>
      <c r="P139" s="5" t="n">
        <v>9.782999999999999</v>
      </c>
      <c r="Q139" s="5" t="n">
        <v>0</v>
      </c>
      <c r="R139" s="5" t="n">
        <v>1</v>
      </c>
      <c r="S139" s="5" t="n">
        <v>17.893</v>
      </c>
      <c r="T139" s="5" t="n">
        <v>7.408</v>
      </c>
      <c r="U139" s="5" t="n">
        <v>0.199</v>
      </c>
      <c r="V139" s="5" t="n">
        <v>20.577</v>
      </c>
      <c r="W139" s="5" t="n">
        <v>0.15</v>
      </c>
      <c r="X139" s="5" t="n">
        <v>1</v>
      </c>
      <c r="Y139" s="5" t="n">
        <v>5.853</v>
      </c>
      <c r="Z139" s="5" t="n">
        <v>0.791</v>
      </c>
      <c r="AA139" s="5" t="n">
        <v>0</v>
      </c>
      <c r="AB139" s="5" t="n">
        <v>5.853</v>
      </c>
      <c r="AC139" s="5" t="n">
        <v>0</v>
      </c>
      <c r="AD139" s="5" t="n">
        <v>1</v>
      </c>
      <c r="AE139" s="5" t="n">
        <v>7.088</v>
      </c>
      <c r="AF139" s="5" t="n">
        <v>1.657</v>
      </c>
      <c r="AG139" s="5" t="n">
        <v>0</v>
      </c>
      <c r="AH139" s="5" t="n">
        <v>7.088</v>
      </c>
      <c r="AI139" s="5" t="n">
        <v>0</v>
      </c>
      <c r="AJ139" s="5" t="n">
        <v>1</v>
      </c>
      <c r="AK139" s="5" t="n">
        <v>14.496</v>
      </c>
      <c r="AL139" s="5" t="n">
        <v>7.72</v>
      </c>
      <c r="AM139" s="5" t="n">
        <v>0.161</v>
      </c>
      <c r="AN139" s="5" t="n">
        <v>16.67</v>
      </c>
      <c r="AO139" s="5" t="n">
        <v>0.15</v>
      </c>
      <c r="AP139" s="5" t="n">
        <v>1</v>
      </c>
      <c r="AQ139" s="5" t="n">
        <v>0.861</v>
      </c>
      <c r="AR139" s="5" t="n">
        <v>0.123</v>
      </c>
      <c r="AS139" s="5" t="n">
        <v>0.462</v>
      </c>
      <c r="AT139" s="5" t="n">
        <v>1.522</v>
      </c>
      <c r="AU139" s="5" t="n">
        <v>0.15</v>
      </c>
      <c r="AV139" s="5" t="n">
        <v>1</v>
      </c>
      <c r="AW139" s="5" t="n">
        <v>0.986</v>
      </c>
      <c r="AX139" s="5" t="n">
        <v>0.123</v>
      </c>
      <c r="AY139" s="5" t="n">
        <v>0.263</v>
      </c>
      <c r="AZ139" s="5" t="n">
        <v>1.437</v>
      </c>
      <c r="BA139" s="5" t="n">
        <v>0.15</v>
      </c>
      <c r="BB139" s="5" t="n">
        <v>1</v>
      </c>
      <c r="BC139" s="5" t="n">
        <v>0.598</v>
      </c>
      <c r="BD139" s="5" t="n">
        <v>0.123</v>
      </c>
      <c r="BE139" s="5" t="n">
        <v>0.187</v>
      </c>
      <c r="BF139" s="5" t="n">
        <v>0.902</v>
      </c>
      <c r="BG139" s="5" t="n">
        <v>0.15</v>
      </c>
      <c r="BH139" s="5" t="n">
        <v>1</v>
      </c>
      <c r="BI139" s="5" t="n">
        <v>0.612</v>
      </c>
      <c r="BJ139" s="5" t="n">
        <v>0.123</v>
      </c>
      <c r="BK139" s="5" t="n">
        <v>0.611</v>
      </c>
      <c r="BL139" s="5" t="n">
        <v>1.407</v>
      </c>
      <c r="BM139" s="5" t="n">
        <v>0.15</v>
      </c>
      <c r="BN139" s="5" t="n">
        <v>1</v>
      </c>
      <c r="BO139" s="5" t="n">
        <v>0</v>
      </c>
      <c r="BP139" s="5" t="n">
        <v>0</v>
      </c>
      <c r="BQ139" s="5" t="n">
        <v>0.194</v>
      </c>
      <c r="BR139" s="5" t="n">
        <v>0</v>
      </c>
      <c r="BS139" s="5" t="n">
        <v>0.5</v>
      </c>
      <c r="BT139" s="5" t="n">
        <v>0</v>
      </c>
      <c r="BU139" s="5" t="n">
        <v>0</v>
      </c>
      <c r="BV139" s="5" t="n">
        <v>0.303</v>
      </c>
      <c r="BW139" s="5" t="n">
        <v>0.08</v>
      </c>
      <c r="BX139" s="5" t="n">
        <v>0.833</v>
      </c>
      <c r="BY139" s="5" t="n">
        <v>12.729</v>
      </c>
      <c r="BZ139" s="5" t="n">
        <v>0</v>
      </c>
      <c r="CA139" s="5" t="n">
        <v>12.729</v>
      </c>
      <c r="CB139" s="5" t="n">
        <v>0</v>
      </c>
      <c r="CC139" s="5" t="n">
        <v>97.90000000000001</v>
      </c>
      <c r="CD139" s="5" t="n">
        <v>7.95</v>
      </c>
      <c r="CE139" s="5" t="n">
        <v>26.176</v>
      </c>
      <c r="CF139" s="5" t="n">
        <v>142.687</v>
      </c>
      <c r="CG139" s="5" t="n">
        <v>0.15</v>
      </c>
      <c r="CH139" s="5" t="n">
        <v>1</v>
      </c>
      <c r="CI139" s="5" t="n">
        <v>0</v>
      </c>
      <c r="CJ139" s="5" t="n">
        <v>0</v>
      </c>
      <c r="CK139" s="5" t="n">
        <v>0</v>
      </c>
      <c r="CL139" s="5" t="n">
        <v>0</v>
      </c>
      <c r="CM139" s="5" t="n">
        <v>0</v>
      </c>
      <c r="CN139" s="5" t="n">
        <v>0</v>
      </c>
      <c r="CO139" s="5" t="n">
        <v>0</v>
      </c>
      <c r="CP139" s="5" t="n">
        <v>0</v>
      </c>
      <c r="CQ139" s="5" t="n">
        <v>1.294</v>
      </c>
      <c r="CR139" s="5" t="n">
        <v>0</v>
      </c>
      <c r="CS139" s="5" t="n">
        <v>5.158</v>
      </c>
      <c r="CT139" s="5" t="n">
        <v>10.485</v>
      </c>
      <c r="CU139" s="5" t="n">
        <v>31.326</v>
      </c>
    </row>
    <row r="140">
      <c r="A140" s="5" t="inlineStr">
        <is>
          <t>CPV2023</t>
        </is>
      </c>
      <c r="B140" s="5" t="inlineStr">
        <is>
          <t>CPV</t>
        </is>
      </c>
      <c r="C140" s="5" t="inlineStr">
        <is>
          <t>CPV</t>
        </is>
      </c>
      <c r="D140" s="5" t="inlineStr">
        <is>
          <t>Cabo Verde</t>
        </is>
      </c>
      <c r="E140" s="5" t="n">
        <v>2023</v>
      </c>
      <c r="F140" s="5" t="n">
        <v>0.15</v>
      </c>
      <c r="G140" s="5" t="n">
        <v>6.147</v>
      </c>
      <c r="H140" s="5" t="n">
        <v>1.286</v>
      </c>
      <c r="I140" s="5" t="n">
        <v>0</v>
      </c>
      <c r="J140" s="5" t="n">
        <v>6.147</v>
      </c>
      <c r="K140" s="5" t="n">
        <v>0</v>
      </c>
      <c r="L140" s="5" t="n">
        <v>1</v>
      </c>
      <c r="M140" s="5" t="n">
        <v>7.886</v>
      </c>
      <c r="N140" s="5" t="n">
        <v>3.857</v>
      </c>
      <c r="O140" s="5" t="n">
        <v>0</v>
      </c>
      <c r="P140" s="5" t="n">
        <v>7.886</v>
      </c>
      <c r="Q140" s="5" t="n">
        <v>0</v>
      </c>
      <c r="R140" s="5" t="n">
        <v>1</v>
      </c>
      <c r="S140" s="5" t="n">
        <v>12.575</v>
      </c>
      <c r="T140" s="5" t="n">
        <v>7.714</v>
      </c>
      <c r="U140" s="5" t="n">
        <v>0.209</v>
      </c>
      <c r="V140" s="5" t="n">
        <v>14.461</v>
      </c>
      <c r="W140" s="5" t="n">
        <v>0.15</v>
      </c>
      <c r="X140" s="5" t="n">
        <v>1</v>
      </c>
      <c r="Y140" s="5" t="n">
        <v>9.028</v>
      </c>
      <c r="Z140" s="5" t="n">
        <v>1.22</v>
      </c>
      <c r="AA140" s="5" t="n">
        <v>0</v>
      </c>
      <c r="AB140" s="5" t="n">
        <v>9.028</v>
      </c>
      <c r="AC140" s="5" t="n">
        <v>0</v>
      </c>
      <c r="AD140" s="5" t="n">
        <v>1</v>
      </c>
      <c r="AE140" s="5" t="n">
        <v>10.314</v>
      </c>
      <c r="AF140" s="5" t="n">
        <v>2.412</v>
      </c>
      <c r="AG140" s="5" t="n">
        <v>0</v>
      </c>
      <c r="AH140" s="5" t="n">
        <v>10.314</v>
      </c>
      <c r="AI140" s="5" t="n">
        <v>0</v>
      </c>
      <c r="AJ140" s="5" t="n">
        <v>1</v>
      </c>
      <c r="AK140" s="5" t="n">
        <v>18.028</v>
      </c>
      <c r="AL140" s="5" t="n">
        <v>9.602</v>
      </c>
      <c r="AM140" s="5" t="n">
        <v>0.299</v>
      </c>
      <c r="AN140" s="5" t="n">
        <v>20.732</v>
      </c>
      <c r="AO140" s="5" t="n">
        <v>0.15</v>
      </c>
      <c r="AP140" s="5" t="n">
        <v>1</v>
      </c>
      <c r="AQ140" s="5" t="n">
        <v>0.76</v>
      </c>
      <c r="AR140" s="5" t="n">
        <v>0.129</v>
      </c>
      <c r="AS140" s="5" t="n">
        <v>0.469</v>
      </c>
      <c r="AT140" s="5" t="n">
        <v>1.414</v>
      </c>
      <c r="AU140" s="5" t="n">
        <v>0.15</v>
      </c>
      <c r="AV140" s="5" t="n">
        <v>1</v>
      </c>
      <c r="AW140" s="5" t="n">
        <v>0.8110000000000001</v>
      </c>
      <c r="AX140" s="5" t="n">
        <v>0.129</v>
      </c>
      <c r="AY140" s="5" t="n">
        <v>0.317</v>
      </c>
      <c r="AZ140" s="5" t="n">
        <v>1.297</v>
      </c>
      <c r="BA140" s="5" t="n">
        <v>0.15</v>
      </c>
      <c r="BB140" s="5" t="n">
        <v>1</v>
      </c>
      <c r="BC140" s="5" t="n">
        <v>0.535</v>
      </c>
      <c r="BD140" s="5" t="n">
        <v>0.129</v>
      </c>
      <c r="BE140" s="5" t="n">
        <v>0.157</v>
      </c>
      <c r="BF140" s="5" t="n">
        <v>0.795</v>
      </c>
      <c r="BG140" s="5" t="n">
        <v>0.15</v>
      </c>
      <c r="BH140" s="5" t="n">
        <v>1</v>
      </c>
      <c r="BI140" s="5" t="n">
        <v>0.579</v>
      </c>
      <c r="BJ140" s="5" t="n">
        <v>0.129</v>
      </c>
      <c r="BK140" s="5" t="n">
        <v>0.668</v>
      </c>
      <c r="BL140" s="5" t="n">
        <v>1.434</v>
      </c>
      <c r="BM140" s="5" t="n">
        <v>0.15</v>
      </c>
      <c r="BN140" s="5" t="n">
        <v>1</v>
      </c>
      <c r="BO140" s="5" t="n">
        <v>0</v>
      </c>
      <c r="BP140" s="5" t="n">
        <v>0</v>
      </c>
      <c r="BQ140" s="5" t="n">
        <v>0.199</v>
      </c>
      <c r="BR140" s="5" t="n">
        <v>0</v>
      </c>
      <c r="BS140" s="5" t="n">
        <v>0.5</v>
      </c>
      <c r="BT140" s="5" t="n">
        <v>0</v>
      </c>
      <c r="BU140" s="5" t="n">
        <v>0</v>
      </c>
      <c r="BV140" s="5" t="n">
        <v>0.312</v>
      </c>
      <c r="BW140" s="5" t="n">
        <v>0.08</v>
      </c>
      <c r="BX140" s="5" t="n">
        <v>0.833</v>
      </c>
      <c r="BY140" s="5" t="n">
        <v>13.254</v>
      </c>
      <c r="BZ140" s="5" t="n">
        <v>0</v>
      </c>
      <c r="CA140" s="5" t="n">
        <v>13.254</v>
      </c>
      <c r="CB140" s="5" t="n">
        <v>0</v>
      </c>
      <c r="CC140" s="5" t="n">
        <v>83.248</v>
      </c>
      <c r="CD140" s="5" t="n">
        <v>7.95</v>
      </c>
      <c r="CE140" s="5" t="n">
        <v>23.129</v>
      </c>
      <c r="CF140" s="5" t="n">
        <v>122.334</v>
      </c>
      <c r="CG140" s="5" t="n">
        <v>0.15</v>
      </c>
      <c r="CH140" s="5" t="n">
        <v>1</v>
      </c>
      <c r="CI140" s="5" t="n">
        <v>0</v>
      </c>
      <c r="CJ140" s="5" t="n">
        <v>0</v>
      </c>
      <c r="CK140" s="5" t="n">
        <v>0</v>
      </c>
      <c r="CL140" s="5" t="n">
        <v>0</v>
      </c>
      <c r="CM140" s="5" t="n">
        <v>0</v>
      </c>
      <c r="CN140" s="5" t="n">
        <v>0</v>
      </c>
      <c r="CO140" s="5" t="n">
        <v>0</v>
      </c>
      <c r="CP140" s="5" t="n">
        <v>0</v>
      </c>
      <c r="CQ140" s="5" t="n">
        <v>1.348</v>
      </c>
      <c r="CR140" s="5" t="n">
        <v>0</v>
      </c>
      <c r="CS140" s="5" t="n">
        <v>5.37</v>
      </c>
      <c r="CT140" s="5" t="n">
        <v>4.861</v>
      </c>
      <c r="CU140" s="5" t="n">
        <v>11.622</v>
      </c>
    </row>
    <row r="141">
      <c r="A141" s="5" t="inlineStr">
        <is>
          <t>CPV2024</t>
        </is>
      </c>
      <c r="B141" s="5" t="inlineStr">
        <is>
          <t>CPV</t>
        </is>
      </c>
      <c r="C141" s="5" t="inlineStr">
        <is>
          <t>CPV</t>
        </is>
      </c>
      <c r="D141" s="5" t="inlineStr">
        <is>
          <t>Cabo Verde</t>
        </is>
      </c>
      <c r="E141" s="5" t="n">
        <v>2024</v>
      </c>
      <c r="F141" s="5" t="n">
        <v>0.15</v>
      </c>
      <c r="G141" s="5" t="n">
        <v>5.575</v>
      </c>
      <c r="H141" s="5" t="n">
        <v>1.324</v>
      </c>
      <c r="I141" s="5" t="n">
        <v>0</v>
      </c>
      <c r="J141" s="5" t="n">
        <v>5.575</v>
      </c>
      <c r="K141" s="5" t="n">
        <v>0</v>
      </c>
      <c r="L141" s="5" t="n">
        <v>1</v>
      </c>
      <c r="M141" s="5" t="n">
        <v>7.124</v>
      </c>
      <c r="N141" s="5" t="n">
        <v>3.971</v>
      </c>
      <c r="O141" s="5" t="n">
        <v>0</v>
      </c>
      <c r="P141" s="5" t="n">
        <v>7.124</v>
      </c>
      <c r="Q141" s="5" t="n">
        <v>0</v>
      </c>
      <c r="R141" s="5" t="n">
        <v>1</v>
      </c>
      <c r="S141" s="5" t="n">
        <v>12.193</v>
      </c>
      <c r="T141" s="5" t="n">
        <v>7.942</v>
      </c>
      <c r="U141" s="5" t="n">
        <v>0.249</v>
      </c>
      <c r="V141" s="5" t="n">
        <v>14.022</v>
      </c>
      <c r="W141" s="5" t="n">
        <v>0.15</v>
      </c>
      <c r="X141" s="5" t="n">
        <v>1</v>
      </c>
      <c r="Y141" s="5" t="n">
        <v>8.521000000000001</v>
      </c>
      <c r="Z141" s="5" t="n">
        <v>1.152</v>
      </c>
      <c r="AA141" s="5" t="n">
        <v>0</v>
      </c>
      <c r="AB141" s="5" t="n">
        <v>8.521000000000001</v>
      </c>
      <c r="AC141" s="5" t="n">
        <v>0</v>
      </c>
      <c r="AD141" s="5" t="n">
        <v>1</v>
      </c>
      <c r="AE141" s="5" t="n">
        <v>9.843999999999999</v>
      </c>
      <c r="AF141" s="5" t="n">
        <v>2.302</v>
      </c>
      <c r="AG141" s="5" t="n">
        <v>0</v>
      </c>
      <c r="AH141" s="5" t="n">
        <v>9.843999999999999</v>
      </c>
      <c r="AI141" s="5" t="n">
        <v>0</v>
      </c>
      <c r="AJ141" s="5" t="n">
        <v>1</v>
      </c>
      <c r="AK141" s="5" t="n">
        <v>17.786</v>
      </c>
      <c r="AL141" s="5" t="n">
        <v>9.473000000000001</v>
      </c>
      <c r="AM141" s="5" t="n">
        <v>0.363</v>
      </c>
      <c r="AN141" s="5" t="n">
        <v>20.454</v>
      </c>
      <c r="AO141" s="5" t="n">
        <v>0.15</v>
      </c>
      <c r="AP141" s="5" t="n">
        <v>1</v>
      </c>
      <c r="AQ141" s="5" t="n">
        <v>0.724</v>
      </c>
      <c r="AR141" s="5" t="n">
        <v>0.132</v>
      </c>
      <c r="AS141" s="5" t="n">
        <v>0.459</v>
      </c>
      <c r="AT141" s="5" t="n">
        <v>1.361</v>
      </c>
      <c r="AU141" s="5" t="n">
        <v>0.15</v>
      </c>
      <c r="AV141" s="5" t="n">
        <v>1</v>
      </c>
      <c r="AW141" s="5" t="n">
        <v>0.75</v>
      </c>
      <c r="AX141" s="5" t="n">
        <v>0.132</v>
      </c>
      <c r="AY141" s="5" t="n">
        <v>0.289</v>
      </c>
      <c r="AZ141" s="5" t="n">
        <v>1.195</v>
      </c>
      <c r="BA141" s="5" t="n">
        <v>0.15</v>
      </c>
      <c r="BB141" s="5" t="n">
        <v>1</v>
      </c>
      <c r="BC141" s="5" t="n">
        <v>0.513</v>
      </c>
      <c r="BD141" s="5" t="n">
        <v>0.132</v>
      </c>
      <c r="BE141" s="5" t="n">
        <v>0.188</v>
      </c>
      <c r="BF141" s="5" t="n">
        <v>0.806</v>
      </c>
      <c r="BG141" s="5" t="n">
        <v>0.15</v>
      </c>
      <c r="BH141" s="5" t="n">
        <v>1</v>
      </c>
      <c r="BI141" s="5" t="n">
        <v>0.591</v>
      </c>
      <c r="BJ141" s="5" t="n">
        <v>0.132</v>
      </c>
      <c r="BK141" s="5" t="n">
        <v>0.5659999999999999</v>
      </c>
      <c r="BL141" s="5" t="n">
        <v>1.331</v>
      </c>
      <c r="BM141" s="5" t="n">
        <v>0.15</v>
      </c>
      <c r="BN141" s="5" t="n">
        <v>1</v>
      </c>
      <c r="BO141" s="5" t="n">
        <v>0</v>
      </c>
      <c r="BP141" s="5" t="n">
        <v>0</v>
      </c>
      <c r="BQ141" s="5" t="n">
        <v>0.199</v>
      </c>
      <c r="BR141" s="5" t="n">
        <v>0</v>
      </c>
      <c r="BS141" s="5" t="n">
        <v>0.5</v>
      </c>
      <c r="BT141" s="5" t="n">
        <v>0</v>
      </c>
      <c r="BU141" s="5" t="n">
        <v>0</v>
      </c>
      <c r="BV141" s="5" t="n">
        <v>0.352</v>
      </c>
      <c r="BW141" s="5" t="n">
        <v>0.08</v>
      </c>
      <c r="BX141" s="5" t="n">
        <v>0.833</v>
      </c>
      <c r="BY141" s="5" t="n">
        <v>13.646</v>
      </c>
      <c r="BZ141" s="5" t="n">
        <v>0</v>
      </c>
      <c r="CA141" s="5" t="n">
        <v>13.646</v>
      </c>
      <c r="CB141" s="5" t="n">
        <v>0</v>
      </c>
      <c r="CC141" s="5" t="n">
        <v>82.58799999999999</v>
      </c>
      <c r="CD141" s="5" t="n">
        <v>7.95</v>
      </c>
      <c r="CE141" s="5" t="n">
        <v>19.848</v>
      </c>
      <c r="CF141" s="5" t="n">
        <v>117.802</v>
      </c>
      <c r="CG141" s="5" t="n">
        <v>0.15</v>
      </c>
      <c r="CH141" s="5" t="n">
        <v>1</v>
      </c>
      <c r="CI141" s="5" t="n">
        <v>0</v>
      </c>
      <c r="CJ141" s="5" t="n">
        <v>0</v>
      </c>
      <c r="CK141" s="5" t="n">
        <v>0</v>
      </c>
      <c r="CL141" s="5" t="n">
        <v>0</v>
      </c>
      <c r="CM141" s="5" t="n">
        <v>0</v>
      </c>
      <c r="CN141" s="5" t="n">
        <v>0</v>
      </c>
      <c r="CO141" s="5" t="n">
        <v>0</v>
      </c>
      <c r="CP141" s="5" t="n">
        <v>0</v>
      </c>
      <c r="CQ141" s="5" t="n">
        <v>1.387</v>
      </c>
      <c r="CR141" s="5" t="n">
        <v>0</v>
      </c>
      <c r="CS141" s="5" t="n">
        <v>5.529</v>
      </c>
      <c r="CT141" s="5" t="n">
        <v>4.251</v>
      </c>
      <c r="CU141" s="5" t="n">
        <v>10.168</v>
      </c>
    </row>
    <row r="142">
      <c r="A142" s="5" t="inlineStr">
        <is>
          <t>KHM2021</t>
        </is>
      </c>
      <c r="B142" s="5" t="inlineStr">
        <is>
          <t>KHM</t>
        </is>
      </c>
      <c r="C142" s="5" t="inlineStr">
        <is>
          <t>KHM</t>
        </is>
      </c>
      <c r="D142" s="5" t="inlineStr">
        <is>
          <t>Cambodia</t>
        </is>
      </c>
      <c r="E142" s="5" t="n">
        <v>2021</v>
      </c>
      <c r="F142" s="5" t="n">
        <v>0.1</v>
      </c>
      <c r="G142" s="5" t="n">
        <v>4.733</v>
      </c>
      <c r="H142" s="5" t="n">
        <v>1.141</v>
      </c>
      <c r="I142" s="5" t="n">
        <v>0</v>
      </c>
      <c r="J142" s="5" t="n">
        <v>4.733</v>
      </c>
      <c r="K142" s="5" t="n">
        <v>0</v>
      </c>
      <c r="L142" s="5" t="n">
        <v>1</v>
      </c>
      <c r="M142" s="5" t="n">
        <v>7.94</v>
      </c>
      <c r="N142" s="5" t="n">
        <v>3.422</v>
      </c>
      <c r="O142" s="5" t="n">
        <v>0</v>
      </c>
      <c r="P142" s="5" t="n">
        <v>7.94</v>
      </c>
      <c r="Q142" s="5" t="n">
        <v>0</v>
      </c>
      <c r="R142" s="5" t="n">
        <v>1</v>
      </c>
      <c r="S142" s="5" t="n">
        <v>10.436</v>
      </c>
      <c r="T142" s="5" t="n">
        <v>6.843</v>
      </c>
      <c r="U142" s="5" t="n">
        <v>0</v>
      </c>
      <c r="V142" s="5" t="n">
        <v>11.479</v>
      </c>
      <c r="W142" s="5" t="n">
        <v>0.1</v>
      </c>
      <c r="X142" s="5" t="n">
        <v>1</v>
      </c>
      <c r="Y142" s="5" t="n">
        <v>10.551</v>
      </c>
      <c r="Z142" s="5" t="n">
        <v>1.302</v>
      </c>
      <c r="AA142" s="5" t="n">
        <v>0</v>
      </c>
      <c r="AB142" s="5" t="n">
        <v>10.551</v>
      </c>
      <c r="AC142" s="5" t="n">
        <v>0</v>
      </c>
      <c r="AD142" s="5" t="n">
        <v>1</v>
      </c>
      <c r="AE142" s="5" t="n">
        <v>11.694</v>
      </c>
      <c r="AF142" s="5" t="n">
        <v>2.549</v>
      </c>
      <c r="AG142" s="5" t="n">
        <v>0</v>
      </c>
      <c r="AH142" s="5" t="n">
        <v>11.694</v>
      </c>
      <c r="AI142" s="5" t="n">
        <v>0</v>
      </c>
      <c r="AJ142" s="5" t="n">
        <v>1</v>
      </c>
      <c r="AK142" s="5" t="n">
        <v>18.554</v>
      </c>
      <c r="AL142" s="5" t="n">
        <v>9.627000000000001</v>
      </c>
      <c r="AM142" s="5" t="n">
        <v>0</v>
      </c>
      <c r="AN142" s="5" t="n">
        <v>20.41</v>
      </c>
      <c r="AO142" s="5" t="n">
        <v>0.1</v>
      </c>
      <c r="AP142" s="5" t="n">
        <v>1</v>
      </c>
      <c r="AQ142" s="5" t="n">
        <v>0.621</v>
      </c>
      <c r="AR142" s="5" t="n">
        <v>0.114</v>
      </c>
      <c r="AS142" s="5" t="n">
        <v>0.237</v>
      </c>
      <c r="AT142" s="5" t="n">
        <v>0.9429999999999999</v>
      </c>
      <c r="AU142" s="5" t="n">
        <v>0.1</v>
      </c>
      <c r="AV142" s="5" t="n">
        <v>1</v>
      </c>
      <c r="AW142" s="5" t="n">
        <v>0.593</v>
      </c>
      <c r="AX142" s="5" t="n">
        <v>0.114</v>
      </c>
      <c r="AY142" s="5" t="n">
        <v>0.241</v>
      </c>
      <c r="AZ142" s="5" t="n">
        <v>0.918</v>
      </c>
      <c r="BA142" s="5" t="n">
        <v>0.1</v>
      </c>
      <c r="BB142" s="5" t="n">
        <v>1</v>
      </c>
      <c r="BC142" s="5" t="n">
        <v>0.44</v>
      </c>
      <c r="BD142" s="5" t="n">
        <v>0.114</v>
      </c>
      <c r="BE142" s="5" t="n">
        <v>0.049</v>
      </c>
      <c r="BF142" s="5" t="n">
        <v>0.537</v>
      </c>
      <c r="BG142" s="5" t="n">
        <v>0.1</v>
      </c>
      <c r="BH142" s="5" t="n">
        <v>1</v>
      </c>
      <c r="BI142" s="5" t="n">
        <v>0.5600000000000001</v>
      </c>
      <c r="BJ142" s="5" t="n">
        <v>0.114</v>
      </c>
      <c r="BK142" s="5" t="n">
        <v>0</v>
      </c>
      <c r="BL142" s="5" t="n">
        <v>0.616</v>
      </c>
      <c r="BM142" s="5" t="n">
        <v>0.1</v>
      </c>
      <c r="BN142" s="5" t="n">
        <v>1</v>
      </c>
      <c r="BO142" s="5" t="n">
        <v>0</v>
      </c>
      <c r="BP142" s="5" t="n">
        <v>0</v>
      </c>
      <c r="BQ142" s="5" t="n">
        <v>0.158</v>
      </c>
      <c r="BR142" s="5" t="n">
        <v>0</v>
      </c>
      <c r="BS142" s="5" t="n">
        <v>0.5</v>
      </c>
      <c r="BT142" s="5" t="n">
        <v>0</v>
      </c>
      <c r="BU142" s="5" t="n">
        <v>0</v>
      </c>
      <c r="BV142" s="5" t="n">
        <v>0.118</v>
      </c>
      <c r="BW142" s="5" t="n">
        <v>0.1</v>
      </c>
      <c r="BX142" s="5" t="n">
        <v>0.667</v>
      </c>
      <c r="BY142" s="5" t="n">
        <v>11.787</v>
      </c>
      <c r="BZ142" s="5" t="n">
        <v>0</v>
      </c>
      <c r="CA142" s="5" t="n">
        <v>11.787</v>
      </c>
      <c r="CB142" s="5" t="n">
        <v>0</v>
      </c>
      <c r="CC142" s="5" t="n">
        <v>81.69499999999999</v>
      </c>
      <c r="CD142" s="5" t="n">
        <v>7.95</v>
      </c>
      <c r="CE142" s="5" t="n">
        <v>0</v>
      </c>
      <c r="CF142" s="5" t="n">
        <v>89.86499999999999</v>
      </c>
      <c r="CG142" s="5" t="n">
        <v>0.1</v>
      </c>
      <c r="CH142" s="5" t="n">
        <v>1</v>
      </c>
      <c r="CI142" s="5" t="n">
        <v>0</v>
      </c>
      <c r="CJ142" s="5" t="n">
        <v>0</v>
      </c>
      <c r="CK142" s="5" t="n">
        <v>0</v>
      </c>
      <c r="CL142" s="5" t="n">
        <v>0</v>
      </c>
      <c r="CM142" s="5" t="n">
        <v>0</v>
      </c>
      <c r="CN142" s="5" t="n">
        <v>0</v>
      </c>
      <c r="CO142" s="5" t="n">
        <v>0</v>
      </c>
      <c r="CP142" s="5" t="n">
        <v>0.005</v>
      </c>
      <c r="CQ142" s="5" t="n">
        <v>1.198</v>
      </c>
      <c r="CR142" s="5" t="n">
        <v>0</v>
      </c>
      <c r="CS142" s="5" t="n">
        <v>4.776</v>
      </c>
      <c r="CT142" s="5" t="n">
        <v>3.604</v>
      </c>
      <c r="CU142" s="5" t="n">
        <v>9.407999999999999</v>
      </c>
    </row>
    <row r="143">
      <c r="A143" s="5" t="inlineStr">
        <is>
          <t>KHM2022</t>
        </is>
      </c>
      <c r="B143" s="5" t="inlineStr">
        <is>
          <t>KHM</t>
        </is>
      </c>
      <c r="C143" s="5" t="inlineStr">
        <is>
          <t>KHM</t>
        </is>
      </c>
      <c r="D143" s="5" t="inlineStr">
        <is>
          <t>Cambodia</t>
        </is>
      </c>
      <c r="E143" s="5" t="n">
        <v>2022</v>
      </c>
      <c r="F143" s="5" t="n">
        <v>0.1</v>
      </c>
      <c r="G143" s="5" t="n">
        <v>8.752000000000001</v>
      </c>
      <c r="H143" s="5" t="n">
        <v>1.231</v>
      </c>
      <c r="I143" s="5" t="n">
        <v>0</v>
      </c>
      <c r="J143" s="5" t="n">
        <v>8.752000000000001</v>
      </c>
      <c r="K143" s="5" t="n">
        <v>0</v>
      </c>
      <c r="L143" s="5" t="n">
        <v>1</v>
      </c>
      <c r="M143" s="5" t="n">
        <v>9.747999999999999</v>
      </c>
      <c r="N143" s="5" t="n">
        <v>3.694</v>
      </c>
      <c r="O143" s="5" t="n">
        <v>0</v>
      </c>
      <c r="P143" s="5" t="n">
        <v>9.747999999999999</v>
      </c>
      <c r="Q143" s="5" t="n">
        <v>0</v>
      </c>
      <c r="R143" s="5" t="n">
        <v>1</v>
      </c>
      <c r="S143" s="5" t="n">
        <v>14.91</v>
      </c>
      <c r="T143" s="5" t="n">
        <v>7.389</v>
      </c>
      <c r="U143" s="5" t="n">
        <v>0.11</v>
      </c>
      <c r="V143" s="5" t="n">
        <v>16.401</v>
      </c>
      <c r="W143" s="5" t="n">
        <v>0.1</v>
      </c>
      <c r="X143" s="5" t="n">
        <v>1</v>
      </c>
      <c r="Y143" s="5" t="n">
        <v>17.332</v>
      </c>
      <c r="Z143" s="5" t="n">
        <v>2.139</v>
      </c>
      <c r="AA143" s="5" t="n">
        <v>0</v>
      </c>
      <c r="AB143" s="5" t="n">
        <v>17.332</v>
      </c>
      <c r="AC143" s="5" t="n">
        <v>0</v>
      </c>
      <c r="AD143" s="5" t="n">
        <v>1</v>
      </c>
      <c r="AE143" s="5" t="n">
        <v>18.566</v>
      </c>
      <c r="AF143" s="5" t="n">
        <v>4.048</v>
      </c>
      <c r="AG143" s="5" t="n">
        <v>0</v>
      </c>
      <c r="AH143" s="5" t="n">
        <v>18.566</v>
      </c>
      <c r="AI143" s="5" t="n">
        <v>0</v>
      </c>
      <c r="AJ143" s="5" t="n">
        <v>1</v>
      </c>
      <c r="AK143" s="5" t="n">
        <v>25.974</v>
      </c>
      <c r="AL143" s="5" t="n">
        <v>13.478</v>
      </c>
      <c r="AM143" s="5" t="n">
        <v>0.192</v>
      </c>
      <c r="AN143" s="5" t="n">
        <v>28.572</v>
      </c>
      <c r="AO143" s="5" t="n">
        <v>0.1</v>
      </c>
      <c r="AP143" s="5" t="n">
        <v>1</v>
      </c>
      <c r="AQ143" s="5" t="n">
        <v>0.847</v>
      </c>
      <c r="AR143" s="5" t="n">
        <v>0.123</v>
      </c>
      <c r="AS143" s="5" t="n">
        <v>0.184</v>
      </c>
      <c r="AT143" s="5" t="n">
        <v>1.133</v>
      </c>
      <c r="AU143" s="5" t="n">
        <v>0.1</v>
      </c>
      <c r="AV143" s="5" t="n">
        <v>1</v>
      </c>
      <c r="AW143" s="5" t="n">
        <v>0.947</v>
      </c>
      <c r="AX143" s="5" t="n">
        <v>0.123</v>
      </c>
      <c r="AY143" s="5" t="n">
        <v>0.169</v>
      </c>
      <c r="AZ143" s="5" t="n">
        <v>1.227</v>
      </c>
      <c r="BA143" s="5" t="n">
        <v>0.1</v>
      </c>
      <c r="BB143" s="5" t="n">
        <v>1</v>
      </c>
      <c r="BC143" s="5" t="n">
        <v>0.589</v>
      </c>
      <c r="BD143" s="5" t="n">
        <v>0.123</v>
      </c>
      <c r="BE143" s="5" t="n">
        <v>-0.026</v>
      </c>
      <c r="BF143" s="5" t="n">
        <v>0.619</v>
      </c>
      <c r="BG143" s="5" t="n">
        <v>0.1</v>
      </c>
      <c r="BH143" s="5" t="n">
        <v>1</v>
      </c>
      <c r="BI143" s="5" t="n">
        <v>0.6889999999999999</v>
      </c>
      <c r="BJ143" s="5" t="n">
        <v>0.123</v>
      </c>
      <c r="BK143" s="5" t="n">
        <v>0.005</v>
      </c>
      <c r="BL143" s="5" t="n">
        <v>0.758</v>
      </c>
      <c r="BM143" s="5" t="n">
        <v>0.1</v>
      </c>
      <c r="BN143" s="5" t="n">
        <v>1</v>
      </c>
      <c r="BO143" s="5" t="n">
        <v>0</v>
      </c>
      <c r="BP143" s="5" t="n">
        <v>0</v>
      </c>
      <c r="BQ143" s="5" t="n">
        <v>0.158</v>
      </c>
      <c r="BR143" s="5" t="n">
        <v>0</v>
      </c>
      <c r="BS143" s="5" t="n">
        <v>0.5</v>
      </c>
      <c r="BT143" s="5" t="n">
        <v>0</v>
      </c>
      <c r="BU143" s="5" t="n">
        <v>0</v>
      </c>
      <c r="BV143" s="5" t="n">
        <v>0.117</v>
      </c>
      <c r="BW143" s="5" t="n">
        <v>0.1</v>
      </c>
      <c r="BX143" s="5" t="n">
        <v>0.667</v>
      </c>
      <c r="BY143" s="5" t="n">
        <v>12.729</v>
      </c>
      <c r="BZ143" s="5" t="n">
        <v>0</v>
      </c>
      <c r="CA143" s="5" t="n">
        <v>12.729</v>
      </c>
      <c r="CB143" s="5" t="n">
        <v>0</v>
      </c>
      <c r="CC143" s="5" t="n">
        <v>102.477</v>
      </c>
      <c r="CD143" s="5" t="n">
        <v>7.95</v>
      </c>
      <c r="CE143" s="5" t="n">
        <v>0.758</v>
      </c>
      <c r="CF143" s="5" t="n">
        <v>112.724</v>
      </c>
      <c r="CG143" s="5" t="n">
        <v>0.1</v>
      </c>
      <c r="CH143" s="5" t="n">
        <v>1</v>
      </c>
      <c r="CI143" s="5" t="n">
        <v>0</v>
      </c>
      <c r="CJ143" s="5" t="n">
        <v>0</v>
      </c>
      <c r="CK143" s="5" t="n">
        <v>0</v>
      </c>
      <c r="CL143" s="5" t="n">
        <v>0</v>
      </c>
      <c r="CM143" s="5" t="n">
        <v>0</v>
      </c>
      <c r="CN143" s="5" t="n">
        <v>0</v>
      </c>
      <c r="CO143" s="5" t="n">
        <v>0</v>
      </c>
      <c r="CP143" s="5" t="n">
        <v>0.005</v>
      </c>
      <c r="CQ143" s="5" t="n">
        <v>1.294</v>
      </c>
      <c r="CR143" s="5" t="n">
        <v>0</v>
      </c>
      <c r="CS143" s="5" t="n">
        <v>5.158</v>
      </c>
      <c r="CT143" s="5" t="n">
        <v>7.554</v>
      </c>
      <c r="CU143" s="5" t="n">
        <v>16.097</v>
      </c>
    </row>
    <row r="144">
      <c r="A144" s="5" t="inlineStr">
        <is>
          <t>KHM2023</t>
        </is>
      </c>
      <c r="B144" s="5" t="inlineStr">
        <is>
          <t>KHM</t>
        </is>
      </c>
      <c r="C144" s="5" t="inlineStr">
        <is>
          <t>KHM</t>
        </is>
      </c>
      <c r="D144" s="5" t="inlineStr">
        <is>
          <t>Cambodia</t>
        </is>
      </c>
      <c r="E144" s="5" t="n">
        <v>2023</v>
      </c>
      <c r="F144" s="5" t="n">
        <v>0.1</v>
      </c>
      <c r="G144" s="5" t="n">
        <v>5.761</v>
      </c>
      <c r="H144" s="5" t="n">
        <v>1.284</v>
      </c>
      <c r="I144" s="5" t="n">
        <v>0</v>
      </c>
      <c r="J144" s="5" t="n">
        <v>5.761</v>
      </c>
      <c r="K144" s="5" t="n">
        <v>0</v>
      </c>
      <c r="L144" s="5" t="n">
        <v>1</v>
      </c>
      <c r="M144" s="5" t="n">
        <v>7.876</v>
      </c>
      <c r="N144" s="5" t="n">
        <v>3.853</v>
      </c>
      <c r="O144" s="5" t="n">
        <v>0</v>
      </c>
      <c r="P144" s="5" t="n">
        <v>7.876</v>
      </c>
      <c r="Q144" s="5" t="n">
        <v>0</v>
      </c>
      <c r="R144" s="5" t="n">
        <v>1</v>
      </c>
      <c r="S144" s="5" t="n">
        <v>12.182</v>
      </c>
      <c r="T144" s="5" t="n">
        <v>7.705</v>
      </c>
      <c r="U144" s="5" t="n">
        <v>0.135</v>
      </c>
      <c r="V144" s="5" t="n">
        <v>13.401</v>
      </c>
      <c r="W144" s="5" t="n">
        <v>0.1</v>
      </c>
      <c r="X144" s="5" t="n">
        <v>1</v>
      </c>
      <c r="Y144" s="5" t="n">
        <v>13.814</v>
      </c>
      <c r="Z144" s="5" t="n">
        <v>1.705</v>
      </c>
      <c r="AA144" s="5" t="n">
        <v>0</v>
      </c>
      <c r="AB144" s="5" t="n">
        <v>13.814</v>
      </c>
      <c r="AC144" s="5" t="n">
        <v>0</v>
      </c>
      <c r="AD144" s="5" t="n">
        <v>1</v>
      </c>
      <c r="AE144" s="5" t="n">
        <v>15.1</v>
      </c>
      <c r="AF144" s="5" t="n">
        <v>3.292</v>
      </c>
      <c r="AG144" s="5" t="n">
        <v>0</v>
      </c>
      <c r="AH144" s="5" t="n">
        <v>15.1</v>
      </c>
      <c r="AI144" s="5" t="n">
        <v>0</v>
      </c>
      <c r="AJ144" s="5" t="n">
        <v>1</v>
      </c>
      <c r="AK144" s="5" t="n">
        <v>22.814</v>
      </c>
      <c r="AL144" s="5" t="n">
        <v>11.838</v>
      </c>
      <c r="AM144" s="5" t="n">
        <v>0.253</v>
      </c>
      <c r="AN144" s="5" t="n">
        <v>25.095</v>
      </c>
      <c r="AO144" s="5" t="n">
        <v>0.1</v>
      </c>
      <c r="AP144" s="5" t="n">
        <v>1</v>
      </c>
      <c r="AQ144" s="5" t="n">
        <v>0.749</v>
      </c>
      <c r="AR144" s="5" t="n">
        <v>0.129</v>
      </c>
      <c r="AS144" s="5" t="n">
        <v>0.203</v>
      </c>
      <c r="AT144" s="5" t="n">
        <v>1.046</v>
      </c>
      <c r="AU144" s="5" t="n">
        <v>0.1</v>
      </c>
      <c r="AV144" s="5" t="n">
        <v>1</v>
      </c>
      <c r="AW144" s="5" t="n">
        <v>0.783</v>
      </c>
      <c r="AX144" s="5" t="n">
        <v>0.129</v>
      </c>
      <c r="AY144" s="5" t="n">
        <v>0.168</v>
      </c>
      <c r="AZ144" s="5" t="n">
        <v>1.046</v>
      </c>
      <c r="BA144" s="5" t="n">
        <v>0.1</v>
      </c>
      <c r="BB144" s="5" t="n">
        <v>1</v>
      </c>
      <c r="BC144" s="5" t="n">
        <v>0.527</v>
      </c>
      <c r="BD144" s="5" t="n">
        <v>0.129</v>
      </c>
      <c r="BE144" s="5" t="n">
        <v>-0.013</v>
      </c>
      <c r="BF144" s="5" t="n">
        <v>0.5590000000000001</v>
      </c>
      <c r="BG144" s="5" t="n">
        <v>0.1</v>
      </c>
      <c r="BH144" s="5" t="n">
        <v>1</v>
      </c>
      <c r="BI144" s="5" t="n">
        <v>0.64</v>
      </c>
      <c r="BJ144" s="5" t="n">
        <v>0.129</v>
      </c>
      <c r="BK144" s="5" t="n">
        <v>0.007</v>
      </c>
      <c r="BL144" s="5" t="n">
        <v>0.704</v>
      </c>
      <c r="BM144" s="5" t="n">
        <v>0.1</v>
      </c>
      <c r="BN144" s="5" t="n">
        <v>1</v>
      </c>
      <c r="BO144" s="5" t="n">
        <v>0</v>
      </c>
      <c r="BP144" s="5" t="n">
        <v>0</v>
      </c>
      <c r="BQ144" s="5" t="n">
        <v>0.158</v>
      </c>
      <c r="BR144" s="5" t="n">
        <v>0</v>
      </c>
      <c r="BS144" s="5" t="n">
        <v>0.5</v>
      </c>
      <c r="BT144" s="5" t="n">
        <v>0</v>
      </c>
      <c r="BU144" s="5" t="n">
        <v>0</v>
      </c>
      <c r="BV144" s="5" t="n">
        <v>0.117</v>
      </c>
      <c r="BW144" s="5" t="n">
        <v>0.1</v>
      </c>
      <c r="BX144" s="5" t="n">
        <v>0.667</v>
      </c>
      <c r="BY144" s="5" t="n">
        <v>13.254</v>
      </c>
      <c r="BZ144" s="5" t="n">
        <v>0</v>
      </c>
      <c r="CA144" s="5" t="n">
        <v>13.254</v>
      </c>
      <c r="CB144" s="5" t="n">
        <v>0</v>
      </c>
      <c r="CC144" s="5" t="n">
        <v>87.07899999999999</v>
      </c>
      <c r="CD144" s="5" t="n">
        <v>7.95</v>
      </c>
      <c r="CE144" s="5" t="n">
        <v>0.964</v>
      </c>
      <c r="CF144" s="5" t="n">
        <v>95.78700000000001</v>
      </c>
      <c r="CG144" s="5" t="n">
        <v>0.1</v>
      </c>
      <c r="CH144" s="5" t="n">
        <v>1</v>
      </c>
      <c r="CI144" s="5" t="n">
        <v>0</v>
      </c>
      <c r="CJ144" s="5" t="n">
        <v>0</v>
      </c>
      <c r="CK144" s="5" t="n">
        <v>0</v>
      </c>
      <c r="CL144" s="5" t="n">
        <v>0</v>
      </c>
      <c r="CM144" s="5" t="n">
        <v>0</v>
      </c>
      <c r="CN144" s="5" t="n">
        <v>0</v>
      </c>
      <c r="CO144" s="5" t="n">
        <v>0</v>
      </c>
      <c r="CP144" s="5" t="n">
        <v>0.002</v>
      </c>
      <c r="CQ144" s="5" t="n">
        <v>1.348</v>
      </c>
      <c r="CR144" s="5" t="n">
        <v>0</v>
      </c>
      <c r="CS144" s="5" t="n">
        <v>5.37</v>
      </c>
      <c r="CT144" s="5" t="n">
        <v>4.484</v>
      </c>
      <c r="CU144" s="5" t="n">
        <v>12.529</v>
      </c>
    </row>
    <row r="145">
      <c r="A145" s="5" t="inlineStr">
        <is>
          <t>KHM2024</t>
        </is>
      </c>
      <c r="B145" s="5" t="inlineStr">
        <is>
          <t>KHM</t>
        </is>
      </c>
      <c r="C145" s="5" t="inlineStr">
        <is>
          <t>KHM</t>
        </is>
      </c>
      <c r="D145" s="5" t="inlineStr">
        <is>
          <t>Cambodia</t>
        </is>
      </c>
      <c r="E145" s="5" t="n">
        <v>2024</v>
      </c>
      <c r="F145" s="5" t="n">
        <v>0.1</v>
      </c>
      <c r="G145" s="5" t="n">
        <v>4.826</v>
      </c>
      <c r="H145" s="5" t="n">
        <v>1.322</v>
      </c>
      <c r="I145" s="5" t="n">
        <v>0</v>
      </c>
      <c r="J145" s="5" t="n">
        <v>4.826</v>
      </c>
      <c r="K145" s="5" t="n">
        <v>0</v>
      </c>
      <c r="L145" s="5" t="n">
        <v>1</v>
      </c>
      <c r="M145" s="5" t="n">
        <v>7.115</v>
      </c>
      <c r="N145" s="5" t="n">
        <v>3.966</v>
      </c>
      <c r="O145" s="5" t="n">
        <v>0</v>
      </c>
      <c r="P145" s="5" t="n">
        <v>7.115</v>
      </c>
      <c r="Q145" s="5" t="n">
        <v>0</v>
      </c>
      <c r="R145" s="5" t="n">
        <v>1</v>
      </c>
      <c r="S145" s="5" t="n">
        <v>11.437</v>
      </c>
      <c r="T145" s="5" t="n">
        <v>7.933</v>
      </c>
      <c r="U145" s="5" t="n">
        <v>0.156</v>
      </c>
      <c r="V145" s="5" t="n">
        <v>12.581</v>
      </c>
      <c r="W145" s="5" t="n">
        <v>0.1</v>
      </c>
      <c r="X145" s="5" t="n">
        <v>1</v>
      </c>
      <c r="Y145" s="5" t="n">
        <v>12.219</v>
      </c>
      <c r="Z145" s="5" t="n">
        <v>1.508</v>
      </c>
      <c r="AA145" s="5" t="n">
        <v>0</v>
      </c>
      <c r="AB145" s="5" t="n">
        <v>12.219</v>
      </c>
      <c r="AC145" s="5" t="n">
        <v>0</v>
      </c>
      <c r="AD145" s="5" t="n">
        <v>1</v>
      </c>
      <c r="AE145" s="5" t="n">
        <v>13.543</v>
      </c>
      <c r="AF145" s="5" t="n">
        <v>2.952</v>
      </c>
      <c r="AG145" s="5" t="n">
        <v>0</v>
      </c>
      <c r="AH145" s="5" t="n">
        <v>13.543</v>
      </c>
      <c r="AI145" s="5" t="n">
        <v>0</v>
      </c>
      <c r="AJ145" s="5" t="n">
        <v>1</v>
      </c>
      <c r="AK145" s="5" t="n">
        <v>21.484</v>
      </c>
      <c r="AL145" s="5" t="n">
        <v>11.148</v>
      </c>
      <c r="AM145" s="5" t="n">
        <v>0.293</v>
      </c>
      <c r="AN145" s="5" t="n">
        <v>23.633</v>
      </c>
      <c r="AO145" s="5" t="n">
        <v>0.1</v>
      </c>
      <c r="AP145" s="5" t="n">
        <v>1</v>
      </c>
      <c r="AQ145" s="5" t="n">
        <v>0.72</v>
      </c>
      <c r="AR145" s="5" t="n">
        <v>0.132</v>
      </c>
      <c r="AS145" s="5" t="n">
        <v>0.202</v>
      </c>
      <c r="AT145" s="5" t="n">
        <v>1.014</v>
      </c>
      <c r="AU145" s="5" t="n">
        <v>0.1</v>
      </c>
      <c r="AV145" s="5" t="n">
        <v>1</v>
      </c>
      <c r="AW145" s="5" t="n">
        <v>0.734</v>
      </c>
      <c r="AX145" s="5" t="n">
        <v>0.132</v>
      </c>
      <c r="AY145" s="5" t="n">
        <v>0.159</v>
      </c>
      <c r="AZ145" s="5" t="n">
        <v>0.982</v>
      </c>
      <c r="BA145" s="5" t="n">
        <v>0.1</v>
      </c>
      <c r="BB145" s="5" t="n">
        <v>1</v>
      </c>
      <c r="BC145" s="5" t="n">
        <v>0.51</v>
      </c>
      <c r="BD145" s="5" t="n">
        <v>0.132</v>
      </c>
      <c r="BE145" s="5" t="n">
        <v>-0.01</v>
      </c>
      <c r="BF145" s="5" t="n">
        <v>0.543</v>
      </c>
      <c r="BG145" s="5" t="n">
        <v>0.1</v>
      </c>
      <c r="BH145" s="5" t="n">
        <v>1</v>
      </c>
      <c r="BI145" s="5" t="n">
        <v>0.652</v>
      </c>
      <c r="BJ145" s="5" t="n">
        <v>0.132</v>
      </c>
      <c r="BK145" s="5" t="n">
        <v>0.008999999999999999</v>
      </c>
      <c r="BL145" s="5" t="n">
        <v>0.717</v>
      </c>
      <c r="BM145" s="5" t="n">
        <v>0.1</v>
      </c>
      <c r="BN145" s="5" t="n">
        <v>1</v>
      </c>
      <c r="BO145" s="5" t="n">
        <v>0</v>
      </c>
      <c r="BP145" s="5" t="n">
        <v>0</v>
      </c>
      <c r="BQ145" s="5" t="n">
        <v>0.155</v>
      </c>
      <c r="BR145" s="5" t="n">
        <v>0</v>
      </c>
      <c r="BS145" s="5" t="n">
        <v>0.5</v>
      </c>
      <c r="BT145" s="5" t="n">
        <v>0</v>
      </c>
      <c r="BU145" s="5" t="n">
        <v>0</v>
      </c>
      <c r="BV145" s="5" t="n">
        <v>0.118</v>
      </c>
      <c r="BW145" s="5" t="n">
        <v>0.1</v>
      </c>
      <c r="BX145" s="5" t="n">
        <v>0.667</v>
      </c>
      <c r="BY145" s="5" t="n">
        <v>13.646</v>
      </c>
      <c r="BZ145" s="5" t="n">
        <v>0</v>
      </c>
      <c r="CA145" s="5" t="n">
        <v>13.646</v>
      </c>
      <c r="CB145" s="5" t="n">
        <v>0</v>
      </c>
      <c r="CC145" s="5" t="n">
        <v>86.38500000000001</v>
      </c>
      <c r="CD145" s="5" t="n">
        <v>7.95</v>
      </c>
      <c r="CE145" s="5" t="n">
        <v>1.177</v>
      </c>
      <c r="CF145" s="5" t="n">
        <v>95.024</v>
      </c>
      <c r="CG145" s="5" t="n">
        <v>0.1</v>
      </c>
      <c r="CH145" s="5" t="n">
        <v>1</v>
      </c>
      <c r="CI145" s="5" t="n">
        <v>0</v>
      </c>
      <c r="CJ145" s="5" t="n">
        <v>0</v>
      </c>
      <c r="CK145" s="5" t="n">
        <v>0</v>
      </c>
      <c r="CL145" s="5" t="n">
        <v>0</v>
      </c>
      <c r="CM145" s="5" t="n">
        <v>0</v>
      </c>
      <c r="CN145" s="5" t="n">
        <v>0</v>
      </c>
      <c r="CO145" s="5" t="n">
        <v>0</v>
      </c>
      <c r="CP145" s="5" t="n">
        <v>0.002</v>
      </c>
      <c r="CQ145" s="5" t="n">
        <v>1.387</v>
      </c>
      <c r="CR145" s="5" t="n">
        <v>0</v>
      </c>
      <c r="CS145" s="5" t="n">
        <v>5.529</v>
      </c>
      <c r="CT145" s="5" t="n">
        <v>3.509</v>
      </c>
      <c r="CU145" s="5" t="n">
        <v>10.896</v>
      </c>
    </row>
    <row r="146">
      <c r="A146" s="5" t="inlineStr">
        <is>
          <t>CMR2021</t>
        </is>
      </c>
      <c r="B146" s="5" t="inlineStr">
        <is>
          <t>CMR</t>
        </is>
      </c>
      <c r="C146" s="5" t="inlineStr">
        <is>
          <t>CMR</t>
        </is>
      </c>
      <c r="D146" s="5" t="inlineStr">
        <is>
          <t>Cameroon</t>
        </is>
      </c>
      <c r="E146" s="5" t="n">
        <v>2021</v>
      </c>
      <c r="F146" s="5" t="n">
        <v>0.192</v>
      </c>
      <c r="G146" s="5" t="n">
        <v>5.897</v>
      </c>
      <c r="H146" s="5" t="n">
        <v>1.143</v>
      </c>
      <c r="I146" s="5" t="n">
        <v>0</v>
      </c>
      <c r="J146" s="5" t="n">
        <v>5.897</v>
      </c>
      <c r="K146" s="5" t="n">
        <v>0</v>
      </c>
      <c r="L146" s="5" t="n">
        <v>1</v>
      </c>
      <c r="M146" s="5" t="n">
        <v>7.964</v>
      </c>
      <c r="N146" s="5" t="n">
        <v>3.43</v>
      </c>
      <c r="O146" s="5" t="n">
        <v>0</v>
      </c>
      <c r="P146" s="5" t="n">
        <v>7.964</v>
      </c>
      <c r="Q146" s="5" t="n">
        <v>0</v>
      </c>
      <c r="R146" s="5" t="n">
        <v>1</v>
      </c>
      <c r="S146" s="5" t="n">
        <v>11.613</v>
      </c>
      <c r="T146" s="5" t="n">
        <v>6.86</v>
      </c>
      <c r="U146" s="5" t="n">
        <v>0</v>
      </c>
      <c r="V146" s="5" t="n">
        <v>13.849</v>
      </c>
      <c r="W146" s="5" t="n">
        <v>0.192</v>
      </c>
      <c r="X146" s="5" t="n">
        <v>1</v>
      </c>
      <c r="Y146" s="5" t="n">
        <v>10.838</v>
      </c>
      <c r="Z146" s="5" t="n">
        <v>1.189</v>
      </c>
      <c r="AA146" s="5" t="n">
        <v>0</v>
      </c>
      <c r="AB146" s="5" t="n">
        <v>10.838</v>
      </c>
      <c r="AC146" s="5" t="n">
        <v>0</v>
      </c>
      <c r="AD146" s="5" t="n">
        <v>1</v>
      </c>
      <c r="AE146" s="5" t="n">
        <v>11.41</v>
      </c>
      <c r="AF146" s="5" t="n">
        <v>2.219</v>
      </c>
      <c r="AG146" s="5" t="n">
        <v>0</v>
      </c>
      <c r="AH146" s="5" t="n">
        <v>11.41</v>
      </c>
      <c r="AI146" s="5" t="n">
        <v>0</v>
      </c>
      <c r="AJ146" s="5" t="n">
        <v>1</v>
      </c>
      <c r="AK146" s="5" t="n">
        <v>14.84</v>
      </c>
      <c r="AL146" s="5" t="n">
        <v>7</v>
      </c>
      <c r="AM146" s="5" t="n">
        <v>0</v>
      </c>
      <c r="AN146" s="5" t="n">
        <v>17.696</v>
      </c>
      <c r="AO146" s="5" t="n">
        <v>0.192</v>
      </c>
      <c r="AP146" s="5" t="n">
        <v>1</v>
      </c>
      <c r="AQ146" s="5" t="n">
        <v>0.619</v>
      </c>
      <c r="AR146" s="5" t="n">
        <v>0.114</v>
      </c>
      <c r="AS146" s="5" t="n">
        <v>0.334</v>
      </c>
      <c r="AT146" s="5" t="n">
        <v>1.136</v>
      </c>
      <c r="AU146" s="5" t="n">
        <v>0.192</v>
      </c>
      <c r="AV146" s="5" t="n">
        <v>1</v>
      </c>
      <c r="AW146" s="5" t="n">
        <v>0.599</v>
      </c>
      <c r="AX146" s="5" t="n">
        <v>0.114</v>
      </c>
      <c r="AY146" s="5" t="n">
        <v>0.27</v>
      </c>
      <c r="AZ146" s="5" t="n">
        <v>1.037</v>
      </c>
      <c r="BA146" s="5" t="n">
        <v>0.192</v>
      </c>
      <c r="BB146" s="5" t="n">
        <v>1</v>
      </c>
      <c r="BC146" s="5" t="n">
        <v>0.439</v>
      </c>
      <c r="BD146" s="5" t="n">
        <v>0.114</v>
      </c>
      <c r="BE146" s="5" t="n">
        <v>-0.038</v>
      </c>
      <c r="BF146" s="5" t="n">
        <v>0.478</v>
      </c>
      <c r="BG146" s="5" t="n">
        <v>0.192</v>
      </c>
      <c r="BH146" s="5" t="n">
        <v>0</v>
      </c>
      <c r="BI146" s="5" t="n">
        <v>0.505</v>
      </c>
      <c r="BJ146" s="5" t="n">
        <v>0.114</v>
      </c>
      <c r="BK146" s="5" t="n">
        <v>0.025</v>
      </c>
      <c r="BL146" s="5" t="n">
        <v>0.631</v>
      </c>
      <c r="BM146" s="5" t="n">
        <v>0.192</v>
      </c>
      <c r="BN146" s="5" t="n">
        <v>1</v>
      </c>
      <c r="BO146" s="5" t="n">
        <v>0</v>
      </c>
      <c r="BP146" s="5" t="n">
        <v>0</v>
      </c>
      <c r="BQ146" s="5" t="n">
        <v>0.159</v>
      </c>
      <c r="BR146" s="5" t="n">
        <v>0</v>
      </c>
      <c r="BS146" s="5" t="n">
        <v>0.667</v>
      </c>
      <c r="BT146" s="5" t="n">
        <v>0</v>
      </c>
      <c r="BU146" s="5" t="n">
        <v>0</v>
      </c>
      <c r="BV146" s="5" t="n">
        <v>0.145</v>
      </c>
      <c r="BW146" s="5" t="n">
        <v>0.192</v>
      </c>
      <c r="BX146" s="5" t="n">
        <v>0.667</v>
      </c>
      <c r="BY146" s="5" t="n">
        <v>11.787</v>
      </c>
      <c r="BZ146" s="5" t="n">
        <v>0</v>
      </c>
      <c r="CA146" s="5" t="n">
        <v>11.787</v>
      </c>
      <c r="CB146" s="5" t="n">
        <v>0</v>
      </c>
      <c r="CC146" s="5" t="n">
        <v>78.125</v>
      </c>
      <c r="CD146" s="5" t="n">
        <v>7.95</v>
      </c>
      <c r="CE146" s="5" t="n">
        <v>20.503</v>
      </c>
      <c r="CF146" s="5" t="n">
        <v>117.613</v>
      </c>
      <c r="CG146" s="5" t="n">
        <v>0.192</v>
      </c>
      <c r="CH146" s="5" t="n">
        <v>1</v>
      </c>
      <c r="CI146" s="5" t="n">
        <v>0</v>
      </c>
      <c r="CJ146" s="5" t="n">
        <v>0</v>
      </c>
      <c r="CK146" s="5" t="n">
        <v>0</v>
      </c>
      <c r="CL146" s="5" t="n">
        <v>0</v>
      </c>
      <c r="CM146" s="5" t="n">
        <v>0</v>
      </c>
      <c r="CN146" s="5" t="n">
        <v>0</v>
      </c>
      <c r="CO146" s="5" t="n">
        <v>0</v>
      </c>
      <c r="CP146" s="5" t="n">
        <v>0</v>
      </c>
      <c r="CQ146" s="5" t="n">
        <v>1.198</v>
      </c>
      <c r="CR146" s="5" t="n">
        <v>1</v>
      </c>
      <c r="CS146" s="5" t="n">
        <v>10.266</v>
      </c>
      <c r="CT146" s="5" t="n">
        <v>4.753</v>
      </c>
      <c r="CU146" s="5" t="n">
        <v>14.129</v>
      </c>
    </row>
    <row r="147">
      <c r="A147" s="5" t="inlineStr">
        <is>
          <t>CMR2022</t>
        </is>
      </c>
      <c r="B147" s="5" t="inlineStr">
        <is>
          <t>CMR</t>
        </is>
      </c>
      <c r="C147" s="5" t="inlineStr">
        <is>
          <t>CMR</t>
        </is>
      </c>
      <c r="D147" s="5" t="inlineStr">
        <is>
          <t>Cameroon</t>
        </is>
      </c>
      <c r="E147" s="5" t="n">
        <v>2022</v>
      </c>
      <c r="F147" s="5" t="n">
        <v>0.192</v>
      </c>
      <c r="G147" s="5" t="n">
        <v>11.72</v>
      </c>
      <c r="H147" s="5" t="n">
        <v>1.235</v>
      </c>
      <c r="I147" s="5" t="n">
        <v>0</v>
      </c>
      <c r="J147" s="5" t="n">
        <v>11.72</v>
      </c>
      <c r="K147" s="5" t="n">
        <v>0</v>
      </c>
      <c r="L147" s="5" t="n">
        <v>1</v>
      </c>
      <c r="M147" s="5" t="n">
        <v>9.782999999999999</v>
      </c>
      <c r="N147" s="5" t="n">
        <v>3.704</v>
      </c>
      <c r="O147" s="5" t="n">
        <v>0</v>
      </c>
      <c r="P147" s="5" t="n">
        <v>9.782999999999999</v>
      </c>
      <c r="Q147" s="5" t="n">
        <v>0</v>
      </c>
      <c r="R147" s="5" t="n">
        <v>1</v>
      </c>
      <c r="S147" s="5" t="n">
        <v>17.893</v>
      </c>
      <c r="T147" s="5" t="n">
        <v>7.408</v>
      </c>
      <c r="U147" s="5" t="n">
        <v>0.255</v>
      </c>
      <c r="V147" s="5" t="n">
        <v>21.338</v>
      </c>
      <c r="W147" s="5" t="n">
        <v>0.192</v>
      </c>
      <c r="X147" s="5" t="n">
        <v>1</v>
      </c>
      <c r="Y147" s="5" t="n">
        <v>11.704</v>
      </c>
      <c r="Z147" s="5" t="n">
        <v>1.284</v>
      </c>
      <c r="AA147" s="5" t="n">
        <v>0</v>
      </c>
      <c r="AB147" s="5" t="n">
        <v>11.704</v>
      </c>
      <c r="AC147" s="5" t="n">
        <v>0</v>
      </c>
      <c r="AD147" s="5" t="n">
        <v>1</v>
      </c>
      <c r="AE147" s="5" t="n">
        <v>12.322</v>
      </c>
      <c r="AF147" s="5" t="n">
        <v>2.396</v>
      </c>
      <c r="AG147" s="5" t="n">
        <v>0</v>
      </c>
      <c r="AH147" s="5" t="n">
        <v>12.322</v>
      </c>
      <c r="AI147" s="5" t="n">
        <v>0</v>
      </c>
      <c r="AJ147" s="5" t="n">
        <v>1</v>
      </c>
      <c r="AK147" s="5" t="n">
        <v>16.026</v>
      </c>
      <c r="AL147" s="5" t="n">
        <v>7.56</v>
      </c>
      <c r="AM147" s="5" t="n">
        <v>0.228</v>
      </c>
      <c r="AN147" s="5" t="n">
        <v>19.111</v>
      </c>
      <c r="AO147" s="5" t="n">
        <v>0.192</v>
      </c>
      <c r="AP147" s="5" t="n">
        <v>1</v>
      </c>
      <c r="AQ147" s="5" t="n">
        <v>0.861</v>
      </c>
      <c r="AR147" s="5" t="n">
        <v>0.123</v>
      </c>
      <c r="AS147" s="5" t="n">
        <v>-0.003</v>
      </c>
      <c r="AT147" s="5" t="n">
        <v>1.024</v>
      </c>
      <c r="AU147" s="5" t="n">
        <v>0.192</v>
      </c>
      <c r="AV147" s="5" t="n">
        <v>1</v>
      </c>
      <c r="AW147" s="5" t="n">
        <v>0.986</v>
      </c>
      <c r="AX147" s="5" t="n">
        <v>0.123</v>
      </c>
      <c r="AY147" s="5" t="n">
        <v>-0.199</v>
      </c>
      <c r="AZ147" s="5" t="n">
        <v>0.9389999999999999</v>
      </c>
      <c r="BA147" s="5" t="n">
        <v>0.192</v>
      </c>
      <c r="BB147" s="5" t="n">
        <v>1</v>
      </c>
      <c r="BC147" s="5" t="n">
        <v>0.598</v>
      </c>
      <c r="BD147" s="5" t="n">
        <v>0.123</v>
      </c>
      <c r="BE147" s="5" t="n">
        <v>-0.241</v>
      </c>
      <c r="BF147" s="5" t="n">
        <v>0.425</v>
      </c>
      <c r="BG147" s="5" t="n">
        <v>0.192</v>
      </c>
      <c r="BH147" s="5" t="n">
        <v>0</v>
      </c>
      <c r="BI147" s="5" t="n">
        <v>0.612</v>
      </c>
      <c r="BJ147" s="5" t="n">
        <v>0.123</v>
      </c>
      <c r="BK147" s="5" t="n">
        <v>-0.141</v>
      </c>
      <c r="BL147" s="5" t="n">
        <v>0.5620000000000001</v>
      </c>
      <c r="BM147" s="5" t="n">
        <v>0.192</v>
      </c>
      <c r="BN147" s="5" t="n">
        <v>1</v>
      </c>
      <c r="BO147" s="5" t="n">
        <v>0</v>
      </c>
      <c r="BP147" s="5" t="n">
        <v>0</v>
      </c>
      <c r="BQ147" s="5" t="n">
        <v>0.141</v>
      </c>
      <c r="BR147" s="5" t="n">
        <v>0</v>
      </c>
      <c r="BS147" s="5" t="n">
        <v>0.667</v>
      </c>
      <c r="BT147" s="5" t="n">
        <v>0</v>
      </c>
      <c r="BU147" s="5" t="n">
        <v>0</v>
      </c>
      <c r="BV147" s="5" t="n">
        <v>0.129</v>
      </c>
      <c r="BW147" s="5" t="n">
        <v>0.192</v>
      </c>
      <c r="BX147" s="5" t="n">
        <v>0.667</v>
      </c>
      <c r="BY147" s="5" t="n">
        <v>12.729</v>
      </c>
      <c r="BZ147" s="5" t="n">
        <v>0</v>
      </c>
      <c r="CA147" s="5" t="n">
        <v>12.729</v>
      </c>
      <c r="CB147" s="5" t="n">
        <v>0</v>
      </c>
      <c r="CC147" s="5" t="n">
        <v>97.90000000000001</v>
      </c>
      <c r="CD147" s="5" t="n">
        <v>7.95</v>
      </c>
      <c r="CE147" s="5" t="n">
        <v>-10.219</v>
      </c>
      <c r="CF147" s="5" t="n">
        <v>104.56</v>
      </c>
      <c r="CG147" s="5" t="n">
        <v>0.192</v>
      </c>
      <c r="CH147" s="5" t="n">
        <v>1</v>
      </c>
      <c r="CI147" s="5" t="n">
        <v>0</v>
      </c>
      <c r="CJ147" s="5" t="n">
        <v>0</v>
      </c>
      <c r="CK147" s="5" t="n">
        <v>0</v>
      </c>
      <c r="CL147" s="5" t="n">
        <v>0</v>
      </c>
      <c r="CM147" s="5" t="n">
        <v>0</v>
      </c>
      <c r="CN147" s="5" t="n">
        <v>0</v>
      </c>
      <c r="CO147" s="5" t="n">
        <v>0</v>
      </c>
      <c r="CP147" s="5" t="n">
        <v>0</v>
      </c>
      <c r="CQ147" s="5" t="n">
        <v>1.294</v>
      </c>
      <c r="CR147" s="5" t="n">
        <v>1</v>
      </c>
      <c r="CS147" s="5" t="n">
        <v>11.087</v>
      </c>
      <c r="CT147" s="5" t="n">
        <v>10.485</v>
      </c>
      <c r="CU147" s="5" t="n">
        <v>28.059</v>
      </c>
    </row>
    <row r="148">
      <c r="A148" s="5" t="inlineStr">
        <is>
          <t>CMR2023</t>
        </is>
      </c>
      <c r="B148" s="5" t="inlineStr">
        <is>
          <t>CMR</t>
        </is>
      </c>
      <c r="C148" s="5" t="inlineStr">
        <is>
          <t>CMR</t>
        </is>
      </c>
      <c r="D148" s="5" t="inlineStr">
        <is>
          <t>Cameroon</t>
        </is>
      </c>
      <c r="E148" s="5" t="n">
        <v>2023</v>
      </c>
      <c r="F148" s="5" t="n">
        <v>0.192</v>
      </c>
      <c r="G148" s="5" t="n">
        <v>6.147</v>
      </c>
      <c r="H148" s="5" t="n">
        <v>1.286</v>
      </c>
      <c r="I148" s="5" t="n">
        <v>0</v>
      </c>
      <c r="J148" s="5" t="n">
        <v>6.147</v>
      </c>
      <c r="K148" s="5" t="n">
        <v>0</v>
      </c>
      <c r="L148" s="5" t="n">
        <v>1</v>
      </c>
      <c r="M148" s="5" t="n">
        <v>7.886</v>
      </c>
      <c r="N148" s="5" t="n">
        <v>3.857</v>
      </c>
      <c r="O148" s="5" t="n">
        <v>0</v>
      </c>
      <c r="P148" s="5" t="n">
        <v>7.886</v>
      </c>
      <c r="Q148" s="5" t="n">
        <v>0</v>
      </c>
      <c r="R148" s="5" t="n">
        <v>1</v>
      </c>
      <c r="S148" s="5" t="n">
        <v>12.575</v>
      </c>
      <c r="T148" s="5" t="n">
        <v>7.714</v>
      </c>
      <c r="U148" s="5" t="n">
        <v>0.268</v>
      </c>
      <c r="V148" s="5" t="n">
        <v>14.996</v>
      </c>
      <c r="W148" s="5" t="n">
        <v>0.192</v>
      </c>
      <c r="X148" s="5" t="n">
        <v>1</v>
      </c>
      <c r="Y148" s="5" t="n">
        <v>9.904</v>
      </c>
      <c r="Z148" s="5" t="n">
        <v>1.087</v>
      </c>
      <c r="AA148" s="5" t="n">
        <v>0</v>
      </c>
      <c r="AB148" s="5" t="n">
        <v>9.904</v>
      </c>
      <c r="AC148" s="5" t="n">
        <v>0</v>
      </c>
      <c r="AD148" s="5" t="n">
        <v>1</v>
      </c>
      <c r="AE148" s="5" t="n">
        <v>10.547</v>
      </c>
      <c r="AF148" s="5" t="n">
        <v>2.051</v>
      </c>
      <c r="AG148" s="5" t="n">
        <v>0</v>
      </c>
      <c r="AH148" s="5" t="n">
        <v>10.547</v>
      </c>
      <c r="AI148" s="5" t="n">
        <v>0</v>
      </c>
      <c r="AJ148" s="5" t="n">
        <v>1</v>
      </c>
      <c r="AK148" s="5" t="n">
        <v>14.404</v>
      </c>
      <c r="AL148" s="5" t="n">
        <v>6.795</v>
      </c>
      <c r="AM148" s="5" t="n">
        <v>0.307</v>
      </c>
      <c r="AN148" s="5" t="n">
        <v>17.177</v>
      </c>
      <c r="AO148" s="5" t="n">
        <v>0.192</v>
      </c>
      <c r="AP148" s="5" t="n">
        <v>1</v>
      </c>
      <c r="AQ148" s="5" t="n">
        <v>0.76</v>
      </c>
      <c r="AR148" s="5" t="n">
        <v>0.129</v>
      </c>
      <c r="AS148" s="5" t="n">
        <v>0.238</v>
      </c>
      <c r="AT148" s="5" t="n">
        <v>1.191</v>
      </c>
      <c r="AU148" s="5" t="n">
        <v>0.192</v>
      </c>
      <c r="AV148" s="5" t="n">
        <v>1</v>
      </c>
      <c r="AW148" s="5" t="n">
        <v>0.8110000000000001</v>
      </c>
      <c r="AX148" s="5" t="n">
        <v>0.129</v>
      </c>
      <c r="AY148" s="5" t="n">
        <v>0.169</v>
      </c>
      <c r="AZ148" s="5" t="n">
        <v>1.169</v>
      </c>
      <c r="BA148" s="5" t="n">
        <v>0.192</v>
      </c>
      <c r="BB148" s="5" t="n">
        <v>1</v>
      </c>
      <c r="BC148" s="5" t="n">
        <v>0.535</v>
      </c>
      <c r="BD148" s="5" t="n">
        <v>0.129</v>
      </c>
      <c r="BE148" s="5" t="n">
        <v>-0.168</v>
      </c>
      <c r="BF148" s="5" t="n">
        <v>0.437</v>
      </c>
      <c r="BG148" s="5" t="n">
        <v>0.192</v>
      </c>
      <c r="BH148" s="5" t="n">
        <v>0</v>
      </c>
      <c r="BI148" s="5" t="n">
        <v>0.579</v>
      </c>
      <c r="BJ148" s="5" t="n">
        <v>0.129</v>
      </c>
      <c r="BK148" s="5" t="n">
        <v>-0.095</v>
      </c>
      <c r="BL148" s="5" t="n">
        <v>0.577</v>
      </c>
      <c r="BM148" s="5" t="n">
        <v>0.192</v>
      </c>
      <c r="BN148" s="5" t="n">
        <v>1</v>
      </c>
      <c r="BO148" s="5" t="n">
        <v>0</v>
      </c>
      <c r="BP148" s="5" t="n">
        <v>0</v>
      </c>
      <c r="BQ148" s="5" t="n">
        <v>0.145</v>
      </c>
      <c r="BR148" s="5" t="n">
        <v>0</v>
      </c>
      <c r="BS148" s="5" t="n">
        <v>0.667</v>
      </c>
      <c r="BT148" s="5" t="n">
        <v>0</v>
      </c>
      <c r="BU148" s="5" t="n">
        <v>0</v>
      </c>
      <c r="BV148" s="5" t="n">
        <v>0.133</v>
      </c>
      <c r="BW148" s="5" t="n">
        <v>0.192</v>
      </c>
      <c r="BX148" s="5" t="n">
        <v>0.667</v>
      </c>
      <c r="BY148" s="5" t="n">
        <v>13.254</v>
      </c>
      <c r="BZ148" s="5" t="n">
        <v>0</v>
      </c>
      <c r="CA148" s="5" t="n">
        <v>13.254</v>
      </c>
      <c r="CB148" s="5" t="n">
        <v>0</v>
      </c>
      <c r="CC148" s="5" t="n">
        <v>83.248</v>
      </c>
      <c r="CD148" s="5" t="n">
        <v>7.95</v>
      </c>
      <c r="CE148" s="5" t="n">
        <v>37.143</v>
      </c>
      <c r="CF148" s="5" t="n">
        <v>143.566</v>
      </c>
      <c r="CG148" s="5" t="n">
        <v>0.192</v>
      </c>
      <c r="CH148" s="5" t="n">
        <v>1</v>
      </c>
      <c r="CI148" s="5" t="n">
        <v>0</v>
      </c>
      <c r="CJ148" s="5" t="n">
        <v>0</v>
      </c>
      <c r="CK148" s="5" t="n">
        <v>0</v>
      </c>
      <c r="CL148" s="5" t="n">
        <v>0</v>
      </c>
      <c r="CM148" s="5" t="n">
        <v>0</v>
      </c>
      <c r="CN148" s="5" t="n">
        <v>0</v>
      </c>
      <c r="CO148" s="5" t="n">
        <v>0</v>
      </c>
      <c r="CP148" s="5" t="n">
        <v>0</v>
      </c>
      <c r="CQ148" s="5" t="n">
        <v>1.348</v>
      </c>
      <c r="CR148" s="5" t="n">
        <v>1</v>
      </c>
      <c r="CS148" s="5" t="n">
        <v>9.260999999999999</v>
      </c>
      <c r="CT148" s="5" t="n">
        <v>4.861</v>
      </c>
      <c r="CU148" s="5" t="n">
        <v>9.260999999999999</v>
      </c>
    </row>
    <row r="149">
      <c r="A149" s="5" t="inlineStr">
        <is>
          <t>CMR2024</t>
        </is>
      </c>
      <c r="B149" s="5" t="inlineStr">
        <is>
          <t>CMR</t>
        </is>
      </c>
      <c r="C149" s="5" t="inlineStr">
        <is>
          <t>CMR</t>
        </is>
      </c>
      <c r="D149" s="5" t="inlineStr">
        <is>
          <t>Cameroon</t>
        </is>
      </c>
      <c r="E149" s="5" t="n">
        <v>2024</v>
      </c>
      <c r="F149" s="5" t="n">
        <v>0.192</v>
      </c>
      <c r="G149" s="5" t="n">
        <v>5.575</v>
      </c>
      <c r="H149" s="5" t="n">
        <v>1.324</v>
      </c>
      <c r="I149" s="5" t="n">
        <v>0</v>
      </c>
      <c r="J149" s="5" t="n">
        <v>5.575</v>
      </c>
      <c r="K149" s="5" t="n">
        <v>0</v>
      </c>
      <c r="L149" s="5" t="n">
        <v>1</v>
      </c>
      <c r="M149" s="5" t="n">
        <v>7.124</v>
      </c>
      <c r="N149" s="5" t="n">
        <v>3.971</v>
      </c>
      <c r="O149" s="5" t="n">
        <v>0</v>
      </c>
      <c r="P149" s="5" t="n">
        <v>7.124</v>
      </c>
      <c r="Q149" s="5" t="n">
        <v>0</v>
      </c>
      <c r="R149" s="5" t="n">
        <v>1</v>
      </c>
      <c r="S149" s="5" t="n">
        <v>12.193</v>
      </c>
      <c r="T149" s="5" t="n">
        <v>7.942</v>
      </c>
      <c r="U149" s="5" t="n">
        <v>0.32</v>
      </c>
      <c r="V149" s="5" t="n">
        <v>14.54</v>
      </c>
      <c r="W149" s="5" t="n">
        <v>0.192</v>
      </c>
      <c r="X149" s="5" t="n">
        <v>1</v>
      </c>
      <c r="Y149" s="5" t="n">
        <v>8.26</v>
      </c>
      <c r="Z149" s="5" t="n">
        <v>0.906</v>
      </c>
      <c r="AA149" s="5" t="n">
        <v>0</v>
      </c>
      <c r="AB149" s="5" t="n">
        <v>8.26</v>
      </c>
      <c r="AC149" s="5" t="n">
        <v>0</v>
      </c>
      <c r="AD149" s="5" t="n">
        <v>1</v>
      </c>
      <c r="AE149" s="5" t="n">
        <v>8.922000000000001</v>
      </c>
      <c r="AF149" s="5" t="n">
        <v>1.735</v>
      </c>
      <c r="AG149" s="5" t="n">
        <v>0</v>
      </c>
      <c r="AH149" s="5" t="n">
        <v>8.922000000000001</v>
      </c>
      <c r="AI149" s="5" t="n">
        <v>0</v>
      </c>
      <c r="AJ149" s="5" t="n">
        <v>1</v>
      </c>
      <c r="AK149" s="5" t="n">
        <v>12.892</v>
      </c>
      <c r="AL149" s="5" t="n">
        <v>6.082</v>
      </c>
      <c r="AM149" s="5" t="n">
        <v>0.338</v>
      </c>
      <c r="AN149" s="5" t="n">
        <v>15.374</v>
      </c>
      <c r="AO149" s="5" t="n">
        <v>0.192</v>
      </c>
      <c r="AP149" s="5" t="n">
        <v>1</v>
      </c>
      <c r="AQ149" s="5" t="n">
        <v>0.724</v>
      </c>
      <c r="AR149" s="5" t="n">
        <v>0.132</v>
      </c>
      <c r="AS149" s="5" t="n">
        <v>0.423</v>
      </c>
      <c r="AT149" s="5" t="n">
        <v>1.369</v>
      </c>
      <c r="AU149" s="5" t="n">
        <v>0.192</v>
      </c>
      <c r="AV149" s="5" t="n">
        <v>1</v>
      </c>
      <c r="AW149" s="5" t="n">
        <v>0.75</v>
      </c>
      <c r="AX149" s="5" t="n">
        <v>0.132</v>
      </c>
      <c r="AY149" s="5" t="n">
        <v>0.381</v>
      </c>
      <c r="AZ149" s="5" t="n">
        <v>1.349</v>
      </c>
      <c r="BA149" s="5" t="n">
        <v>0.192</v>
      </c>
      <c r="BB149" s="5" t="n">
        <v>1</v>
      </c>
      <c r="BC149" s="5" t="n">
        <v>0.513</v>
      </c>
      <c r="BD149" s="5" t="n">
        <v>0.132</v>
      </c>
      <c r="BE149" s="5" t="n">
        <v>-0.143</v>
      </c>
      <c r="BF149" s="5" t="n">
        <v>0.442</v>
      </c>
      <c r="BG149" s="5" t="n">
        <v>0.192</v>
      </c>
      <c r="BH149" s="5" t="n">
        <v>0</v>
      </c>
      <c r="BI149" s="5" t="n">
        <v>0.591</v>
      </c>
      <c r="BJ149" s="5" t="n">
        <v>0.132</v>
      </c>
      <c r="BK149" s="5" t="n">
        <v>-0.107</v>
      </c>
      <c r="BL149" s="5" t="n">
        <v>0.577</v>
      </c>
      <c r="BM149" s="5" t="n">
        <v>0.192</v>
      </c>
      <c r="BN149" s="5" t="n">
        <v>1</v>
      </c>
      <c r="BO149" s="5" t="n">
        <v>0</v>
      </c>
      <c r="BP149" s="5" t="n">
        <v>0</v>
      </c>
      <c r="BQ149" s="5" t="n">
        <v>0.154</v>
      </c>
      <c r="BR149" s="5" t="n">
        <v>0</v>
      </c>
      <c r="BS149" s="5" t="n">
        <v>0.667</v>
      </c>
      <c r="BT149" s="5" t="n">
        <v>0</v>
      </c>
      <c r="BU149" s="5" t="n">
        <v>0</v>
      </c>
      <c r="BV149" s="5" t="n">
        <v>0.108</v>
      </c>
      <c r="BW149" s="5" t="n">
        <v>0.192</v>
      </c>
      <c r="BX149" s="5" t="n">
        <v>0.667</v>
      </c>
      <c r="BY149" s="5" t="n">
        <v>13.646</v>
      </c>
      <c r="BZ149" s="5" t="n">
        <v>0</v>
      </c>
      <c r="CA149" s="5" t="n">
        <v>13.646</v>
      </c>
      <c r="CB149" s="5" t="n">
        <v>0</v>
      </c>
      <c r="CC149" s="5" t="n">
        <v>82.58799999999999</v>
      </c>
      <c r="CD149" s="5" t="n">
        <v>7.95</v>
      </c>
      <c r="CE149" s="5" t="n">
        <v>40.596</v>
      </c>
      <c r="CF149" s="5" t="n">
        <v>146.897</v>
      </c>
      <c r="CG149" s="5" t="n">
        <v>0.192</v>
      </c>
      <c r="CH149" s="5" t="n">
        <v>1</v>
      </c>
      <c r="CI149" s="5" t="n">
        <v>0</v>
      </c>
      <c r="CJ149" s="5" t="n">
        <v>0</v>
      </c>
      <c r="CK149" s="5" t="n">
        <v>0</v>
      </c>
      <c r="CL149" s="5" t="n">
        <v>0</v>
      </c>
      <c r="CM149" s="5" t="n">
        <v>0</v>
      </c>
      <c r="CN149" s="5" t="n">
        <v>0</v>
      </c>
      <c r="CO149" s="5" t="n">
        <v>0</v>
      </c>
      <c r="CP149" s="5" t="n">
        <v>0</v>
      </c>
      <c r="CQ149" s="5" t="n">
        <v>1.387</v>
      </c>
      <c r="CR149" s="5" t="n">
        <v>1</v>
      </c>
      <c r="CS149" s="5" t="n">
        <v>7.598</v>
      </c>
      <c r="CT149" s="5" t="n">
        <v>4.251</v>
      </c>
      <c r="CU149" s="5" t="n">
        <v>7.598</v>
      </c>
    </row>
    <row r="150">
      <c r="A150" s="5" t="inlineStr">
        <is>
          <t>CAN2021</t>
        </is>
      </c>
      <c r="B150" s="5" t="inlineStr">
        <is>
          <t>CAN</t>
        </is>
      </c>
      <c r="C150" s="5" t="inlineStr">
        <is>
          <t>CAN</t>
        </is>
      </c>
      <c r="D150" s="5" t="inlineStr">
        <is>
          <t>Canada</t>
        </is>
      </c>
      <c r="E150" s="5" t="n">
        <v>2021</v>
      </c>
      <c r="F150" s="5" t="n">
        <v>0.05</v>
      </c>
      <c r="G150" s="5" t="n">
        <v>3.254</v>
      </c>
      <c r="H150" s="5" t="n">
        <v>0.8129999999999999</v>
      </c>
      <c r="I150" s="5" t="n">
        <v>0</v>
      </c>
      <c r="J150" s="5" t="n">
        <v>3.254</v>
      </c>
      <c r="K150" s="5" t="n">
        <v>0</v>
      </c>
      <c r="L150" s="5" t="n">
        <v>1</v>
      </c>
      <c r="M150" s="5" t="n">
        <v>5.042</v>
      </c>
      <c r="N150" s="5" t="n">
        <v>2.438</v>
      </c>
      <c r="O150" s="5" t="n">
        <v>0</v>
      </c>
      <c r="P150" s="5" t="n">
        <v>5.042</v>
      </c>
      <c r="Q150" s="5" t="n">
        <v>0</v>
      </c>
      <c r="R150" s="5" t="n">
        <v>1</v>
      </c>
      <c r="S150" s="5" t="n">
        <v>7.316</v>
      </c>
      <c r="T150" s="5" t="n">
        <v>4.875</v>
      </c>
      <c r="U150" s="5" t="n">
        <v>0.313</v>
      </c>
      <c r="V150" s="5" t="n">
        <v>8.010999999999999</v>
      </c>
      <c r="W150" s="5" t="n">
        <v>0.05</v>
      </c>
      <c r="X150" s="5" t="n">
        <v>1</v>
      </c>
      <c r="Y150" s="5" t="n">
        <v>7.144</v>
      </c>
      <c r="Z150" s="5" t="n">
        <v>0.789</v>
      </c>
      <c r="AA150" s="5" t="n">
        <v>-2.105</v>
      </c>
      <c r="AB150" s="5" t="n">
        <v>5.04</v>
      </c>
      <c r="AC150" s="5" t="n">
        <v>0</v>
      </c>
      <c r="AD150" s="5" t="n">
        <v>1</v>
      </c>
      <c r="AE150" s="5" t="n">
        <v>7.101</v>
      </c>
      <c r="AF150" s="5" t="n">
        <v>1.397</v>
      </c>
      <c r="AG150" s="5" t="n">
        <v>-2.061</v>
      </c>
      <c r="AH150" s="5" t="n">
        <v>5.04</v>
      </c>
      <c r="AI150" s="5" t="n">
        <v>0</v>
      </c>
      <c r="AJ150" s="5" t="n">
        <v>1</v>
      </c>
      <c r="AK150" s="5" t="n">
        <v>9.089</v>
      </c>
      <c r="AL150" s="5" t="n">
        <v>4.461</v>
      </c>
      <c r="AM150" s="5" t="n">
        <v>-0.439</v>
      </c>
      <c r="AN150" s="5" t="n">
        <v>9.083</v>
      </c>
      <c r="AO150" s="5" t="n">
        <v>0.05</v>
      </c>
      <c r="AP150" s="5" t="n">
        <v>1</v>
      </c>
      <c r="AQ150" s="5" t="n">
        <v>0.649</v>
      </c>
      <c r="AR150" s="5" t="n">
        <v>0.114</v>
      </c>
      <c r="AS150" s="5" t="n">
        <v>0.497</v>
      </c>
      <c r="AT150" s="5" t="n">
        <v>1.203</v>
      </c>
      <c r="AU150" s="5" t="n">
        <v>0.05</v>
      </c>
      <c r="AV150" s="5" t="n">
        <v>1</v>
      </c>
      <c r="AW150" s="5" t="n">
        <v>0.577</v>
      </c>
      <c r="AX150" s="5" t="n">
        <v>0.114</v>
      </c>
      <c r="AY150" s="5" t="n">
        <v>0.411</v>
      </c>
      <c r="AZ150" s="5" t="n">
        <v>1.037</v>
      </c>
      <c r="BA150" s="5" t="n">
        <v>0.05</v>
      </c>
      <c r="BB150" s="5" t="n">
        <v>1</v>
      </c>
      <c r="BC150" s="5" t="n">
        <v>0.458</v>
      </c>
      <c r="BD150" s="5" t="n">
        <v>0.114</v>
      </c>
      <c r="BE150" s="5" t="n">
        <v>0.253</v>
      </c>
      <c r="BF150" s="5" t="n">
        <v>0.746</v>
      </c>
      <c r="BG150" s="5" t="n">
        <v>0.05</v>
      </c>
      <c r="BH150" s="5" t="n">
        <v>1</v>
      </c>
      <c r="BI150" s="5" t="n">
        <v>0.491</v>
      </c>
      <c r="BJ150" s="5" t="n">
        <v>0.114</v>
      </c>
      <c r="BK150" s="5" t="n">
        <v>0.396</v>
      </c>
      <c r="BL150" s="5" t="n">
        <v>0.931</v>
      </c>
      <c r="BM150" s="5" t="n">
        <v>0.05</v>
      </c>
      <c r="BN150" s="5" t="n">
        <v>1</v>
      </c>
      <c r="BO150" s="5" t="n">
        <v>0</v>
      </c>
      <c r="BP150" s="5" t="n">
        <v>0.011</v>
      </c>
      <c r="BQ150" s="5" t="n">
        <v>0.098</v>
      </c>
      <c r="BR150" s="5" t="n">
        <v>0</v>
      </c>
      <c r="BS150" s="5" t="n">
        <v>1</v>
      </c>
      <c r="BT150" s="5" t="n">
        <v>0</v>
      </c>
      <c r="BU150" s="5" t="n">
        <v>0.007</v>
      </c>
      <c r="BV150" s="5" t="n">
        <v>0.116</v>
      </c>
      <c r="BW150" s="5" t="n">
        <v>0.05</v>
      </c>
      <c r="BX150" s="5" t="n">
        <v>0.833</v>
      </c>
      <c r="BY150" s="5" t="n">
        <v>11.787</v>
      </c>
      <c r="BZ150" s="5" t="n">
        <v>0</v>
      </c>
      <c r="CA150" s="5" t="n">
        <v>11.787</v>
      </c>
      <c r="CB150" s="5" t="n">
        <v>0</v>
      </c>
      <c r="CC150" s="5" t="n">
        <v>78.125</v>
      </c>
      <c r="CD150" s="5" t="n">
        <v>7.95</v>
      </c>
      <c r="CE150" s="5" t="n">
        <v>56.537</v>
      </c>
      <c r="CF150" s="5" t="n">
        <v>152.168</v>
      </c>
      <c r="CG150" s="5" t="n">
        <v>0.13</v>
      </c>
      <c r="CH150" s="5" t="n">
        <v>1</v>
      </c>
      <c r="CI150" s="5" t="n">
        <v>0</v>
      </c>
      <c r="CJ150" s="5" t="n">
        <v>0</v>
      </c>
      <c r="CK150" s="5" t="n">
        <v>0</v>
      </c>
      <c r="CL150" s="5" t="n">
        <v>0.013</v>
      </c>
      <c r="CM150" s="5" t="n">
        <v>0</v>
      </c>
      <c r="CN150" s="5" t="n">
        <v>1.014</v>
      </c>
      <c r="CO150" s="5" t="n">
        <v>0.36</v>
      </c>
      <c r="CP150" s="5" t="n">
        <v>0.579</v>
      </c>
      <c r="CQ150" s="5" t="n">
        <v>1.198</v>
      </c>
      <c r="CR150" s="5" t="n">
        <v>0</v>
      </c>
      <c r="CS150" s="5" t="n">
        <v>2.471</v>
      </c>
      <c r="CT150" s="5" t="n">
        <v>4.147</v>
      </c>
      <c r="CU150" s="5" t="n">
        <v>2.471</v>
      </c>
    </row>
    <row r="151">
      <c r="A151" s="5" t="inlineStr">
        <is>
          <t>CAN2022</t>
        </is>
      </c>
      <c r="B151" s="5" t="inlineStr">
        <is>
          <t>CAN</t>
        </is>
      </c>
      <c r="C151" s="5" t="inlineStr">
        <is>
          <t>CAN</t>
        </is>
      </c>
      <c r="D151" s="5" t="inlineStr">
        <is>
          <t>Canada</t>
        </is>
      </c>
      <c r="E151" s="5" t="n">
        <v>2022</v>
      </c>
      <c r="F151" s="5" t="n">
        <v>0.05</v>
      </c>
      <c r="G151" s="5" t="n">
        <v>7.405</v>
      </c>
      <c r="H151" s="5" t="n">
        <v>0.959</v>
      </c>
      <c r="I151" s="5" t="n">
        <v>3.809</v>
      </c>
      <c r="J151" s="5" t="n">
        <v>11.214</v>
      </c>
      <c r="K151" s="5" t="n">
        <v>0</v>
      </c>
      <c r="L151" s="5" t="n">
        <v>1</v>
      </c>
      <c r="M151" s="5" t="n">
        <v>6.822</v>
      </c>
      <c r="N151" s="5" t="n">
        <v>2.878</v>
      </c>
      <c r="O151" s="5" t="n">
        <v>3.878</v>
      </c>
      <c r="P151" s="5" t="n">
        <v>10.7</v>
      </c>
      <c r="Q151" s="5" t="n">
        <v>0</v>
      </c>
      <c r="R151" s="5" t="n">
        <v>1</v>
      </c>
      <c r="S151" s="5" t="n">
        <v>12.202</v>
      </c>
      <c r="T151" s="5" t="n">
        <v>5.756</v>
      </c>
      <c r="U151" s="5" t="n">
        <v>0.5590000000000001</v>
      </c>
      <c r="V151" s="5" t="n">
        <v>13.349</v>
      </c>
      <c r="W151" s="5" t="n">
        <v>0.05</v>
      </c>
      <c r="X151" s="5" t="n">
        <v>1</v>
      </c>
      <c r="Y151" s="5" t="n">
        <v>8.439</v>
      </c>
      <c r="Z151" s="5" t="n">
        <v>0.885</v>
      </c>
      <c r="AA151" s="5" t="n">
        <v>1.367</v>
      </c>
      <c r="AB151" s="5" t="n">
        <v>9.805999999999999</v>
      </c>
      <c r="AC151" s="5" t="n">
        <v>0</v>
      </c>
      <c r="AD151" s="5" t="n">
        <v>1</v>
      </c>
      <c r="AE151" s="5" t="n">
        <v>8.488</v>
      </c>
      <c r="AF151" s="5" t="n">
        <v>1.573</v>
      </c>
      <c r="AG151" s="5" t="n">
        <v>1.319</v>
      </c>
      <c r="AH151" s="5" t="n">
        <v>9.805999999999999</v>
      </c>
      <c r="AI151" s="5" t="n">
        <v>0</v>
      </c>
      <c r="AJ151" s="5" t="n">
        <v>1</v>
      </c>
      <c r="AK151" s="5" t="n">
        <v>11.023</v>
      </c>
      <c r="AL151" s="5" t="n">
        <v>5.264</v>
      </c>
      <c r="AM151" s="5" t="n">
        <v>0.257</v>
      </c>
      <c r="AN151" s="5" t="n">
        <v>11.845</v>
      </c>
      <c r="AO151" s="5" t="n">
        <v>0.05</v>
      </c>
      <c r="AP151" s="5" t="n">
        <v>1</v>
      </c>
      <c r="AQ151" s="5" t="n">
        <v>0.896</v>
      </c>
      <c r="AR151" s="5" t="n">
        <v>0.123</v>
      </c>
      <c r="AS151" s="5" t="n">
        <v>0.491</v>
      </c>
      <c r="AT151" s="5" t="n">
        <v>1.456</v>
      </c>
      <c r="AU151" s="5" t="n">
        <v>0.05</v>
      </c>
      <c r="AV151" s="5" t="n">
        <v>1</v>
      </c>
      <c r="AW151" s="5" t="n">
        <v>0.89</v>
      </c>
      <c r="AX151" s="5" t="n">
        <v>0.123</v>
      </c>
      <c r="AY151" s="5" t="n">
        <v>0.5580000000000001</v>
      </c>
      <c r="AZ151" s="5" t="n">
        <v>1.52</v>
      </c>
      <c r="BA151" s="5" t="n">
        <v>0.05</v>
      </c>
      <c r="BB151" s="5" t="n">
        <v>1</v>
      </c>
      <c r="BC151" s="5" t="n">
        <v>0.62</v>
      </c>
      <c r="BD151" s="5" t="n">
        <v>0.123</v>
      </c>
      <c r="BE151" s="5" t="n">
        <v>0.284</v>
      </c>
      <c r="BF151" s="5" t="n">
        <v>0.95</v>
      </c>
      <c r="BG151" s="5" t="n">
        <v>0.05</v>
      </c>
      <c r="BH151" s="5" t="n">
        <v>1</v>
      </c>
      <c r="BI151" s="5" t="n">
        <v>0.608</v>
      </c>
      <c r="BJ151" s="5" t="n">
        <v>0.123</v>
      </c>
      <c r="BK151" s="5" t="n">
        <v>0.743</v>
      </c>
      <c r="BL151" s="5" t="n">
        <v>1.418</v>
      </c>
      <c r="BM151" s="5" t="n">
        <v>0.05</v>
      </c>
      <c r="BN151" s="5" t="n">
        <v>1</v>
      </c>
      <c r="BO151" s="5" t="n">
        <v>0</v>
      </c>
      <c r="BP151" s="5" t="n">
        <v>0.011</v>
      </c>
      <c r="BQ151" s="5" t="n">
        <v>0.099</v>
      </c>
      <c r="BR151" s="5" t="n">
        <v>0</v>
      </c>
      <c r="BS151" s="5" t="n">
        <v>1</v>
      </c>
      <c r="BT151" s="5" t="n">
        <v>0</v>
      </c>
      <c r="BU151" s="5" t="n">
        <v>0.007</v>
      </c>
      <c r="BV151" s="5" t="n">
        <v>0.122</v>
      </c>
      <c r="BW151" s="5" t="n">
        <v>0.05</v>
      </c>
      <c r="BX151" s="5" t="n">
        <v>0.833</v>
      </c>
      <c r="BY151" s="5" t="n">
        <v>12.729</v>
      </c>
      <c r="BZ151" s="5" t="n">
        <v>0</v>
      </c>
      <c r="CA151" s="5" t="n">
        <v>12.729</v>
      </c>
      <c r="CB151" s="5" t="n">
        <v>0</v>
      </c>
      <c r="CC151" s="5" t="n">
        <v>97.90000000000001</v>
      </c>
      <c r="CD151" s="5" t="n">
        <v>7.95</v>
      </c>
      <c r="CE151" s="5" t="n">
        <v>124.321</v>
      </c>
      <c r="CF151" s="5" t="n">
        <v>251.109</v>
      </c>
      <c r="CG151" s="5" t="n">
        <v>0.13</v>
      </c>
      <c r="CH151" s="5" t="n">
        <v>1</v>
      </c>
      <c r="CI151" s="5" t="n">
        <v>0</v>
      </c>
      <c r="CJ151" s="5" t="n">
        <v>0</v>
      </c>
      <c r="CK151" s="5" t="n">
        <v>0</v>
      </c>
      <c r="CL151" s="5" t="n">
        <v>0.014</v>
      </c>
      <c r="CM151" s="5" t="n">
        <v>0</v>
      </c>
      <c r="CN151" s="5" t="n">
        <v>1.176</v>
      </c>
      <c r="CO151" s="5" t="n">
        <v>0.398</v>
      </c>
      <c r="CP151" s="5" t="n">
        <v>0.446</v>
      </c>
      <c r="CQ151" s="5" t="n">
        <v>1.294</v>
      </c>
      <c r="CR151" s="5" t="n">
        <v>0</v>
      </c>
      <c r="CS151" s="5" t="n">
        <v>3.674</v>
      </c>
      <c r="CT151" s="5" t="n">
        <v>10.596</v>
      </c>
      <c r="CU151" s="5" t="n">
        <v>3.674</v>
      </c>
    </row>
    <row r="152">
      <c r="A152" s="5" t="inlineStr">
        <is>
          <t>CAN2023</t>
        </is>
      </c>
      <c r="B152" s="5" t="inlineStr">
        <is>
          <t>CAN</t>
        </is>
      </c>
      <c r="C152" s="5" t="inlineStr">
        <is>
          <t>CAN</t>
        </is>
      </c>
      <c r="D152" s="5" t="inlineStr">
        <is>
          <t>Canada</t>
        </is>
      </c>
      <c r="E152" s="5" t="n">
        <v>2023</v>
      </c>
      <c r="F152" s="5" t="n">
        <v>0.05</v>
      </c>
      <c r="G152" s="5" t="n">
        <v>4.691</v>
      </c>
      <c r="H152" s="5" t="n">
        <v>1.038</v>
      </c>
      <c r="I152" s="5" t="n">
        <v>4.767</v>
      </c>
      <c r="J152" s="5" t="n">
        <v>9.458</v>
      </c>
      <c r="K152" s="5" t="n">
        <v>0</v>
      </c>
      <c r="L152" s="5" t="n">
        <v>1</v>
      </c>
      <c r="M152" s="5" t="n">
        <v>6.109</v>
      </c>
      <c r="N152" s="5" t="n">
        <v>3.114</v>
      </c>
      <c r="O152" s="5" t="n">
        <v>4.853</v>
      </c>
      <c r="P152" s="5" t="n">
        <v>10.963</v>
      </c>
      <c r="Q152" s="5" t="n">
        <v>0</v>
      </c>
      <c r="R152" s="5" t="n">
        <v>1</v>
      </c>
      <c r="S152" s="5" t="n">
        <v>9.881</v>
      </c>
      <c r="T152" s="5" t="n">
        <v>6.228</v>
      </c>
      <c r="U152" s="5" t="n">
        <v>0.769</v>
      </c>
      <c r="V152" s="5" t="n">
        <v>11.12</v>
      </c>
      <c r="W152" s="5" t="n">
        <v>0.05</v>
      </c>
      <c r="X152" s="5" t="n">
        <v>1</v>
      </c>
      <c r="Y152" s="5" t="n">
        <v>6.639</v>
      </c>
      <c r="Z152" s="5" t="n">
        <v>0.744</v>
      </c>
      <c r="AA152" s="5" t="n">
        <v>2.788</v>
      </c>
      <c r="AB152" s="5" t="n">
        <v>9.427</v>
      </c>
      <c r="AC152" s="5" t="n">
        <v>0</v>
      </c>
      <c r="AD152" s="5" t="n">
        <v>1</v>
      </c>
      <c r="AE152" s="5" t="n">
        <v>6.739</v>
      </c>
      <c r="AF152" s="5" t="n">
        <v>1.342</v>
      </c>
      <c r="AG152" s="5" t="n">
        <v>2.688</v>
      </c>
      <c r="AH152" s="5" t="n">
        <v>9.427</v>
      </c>
      <c r="AI152" s="5" t="n">
        <v>0</v>
      </c>
      <c r="AJ152" s="5" t="n">
        <v>1</v>
      </c>
      <c r="AK152" s="5" t="n">
        <v>9.58</v>
      </c>
      <c r="AL152" s="5" t="n">
        <v>4.746</v>
      </c>
      <c r="AM152" s="5" t="n">
        <v>0.954</v>
      </c>
      <c r="AN152" s="5" t="n">
        <v>11.06</v>
      </c>
      <c r="AO152" s="5" t="n">
        <v>0.05</v>
      </c>
      <c r="AP152" s="5" t="n">
        <v>1</v>
      </c>
      <c r="AQ152" s="5" t="n">
        <v>0.791</v>
      </c>
      <c r="AR152" s="5" t="n">
        <v>0.129</v>
      </c>
      <c r="AS152" s="5" t="n">
        <v>0.457</v>
      </c>
      <c r="AT152" s="5" t="n">
        <v>1.31</v>
      </c>
      <c r="AU152" s="5" t="n">
        <v>0.05</v>
      </c>
      <c r="AV152" s="5" t="n">
        <v>1</v>
      </c>
      <c r="AW152" s="5" t="n">
        <v>0.618</v>
      </c>
      <c r="AX152" s="5" t="n">
        <v>0.129</v>
      </c>
      <c r="AY152" s="5" t="n">
        <v>0.616</v>
      </c>
      <c r="AZ152" s="5" t="n">
        <v>1.296</v>
      </c>
      <c r="BA152" s="5" t="n">
        <v>0.05</v>
      </c>
      <c r="BB152" s="5" t="n">
        <v>1</v>
      </c>
      <c r="BC152" s="5" t="n">
        <v>0.554</v>
      </c>
      <c r="BD152" s="5" t="n">
        <v>0.129</v>
      </c>
      <c r="BE152" s="5" t="n">
        <v>0.339</v>
      </c>
      <c r="BF152" s="5" t="n">
        <v>0.9389999999999999</v>
      </c>
      <c r="BG152" s="5" t="n">
        <v>0.05</v>
      </c>
      <c r="BH152" s="5" t="n">
        <v>1</v>
      </c>
      <c r="BI152" s="5" t="n">
        <v>0.5570000000000001</v>
      </c>
      <c r="BJ152" s="5" t="n">
        <v>0.129</v>
      </c>
      <c r="BK152" s="5" t="n">
        <v>0.598</v>
      </c>
      <c r="BL152" s="5" t="n">
        <v>1.213</v>
      </c>
      <c r="BM152" s="5" t="n">
        <v>0.05</v>
      </c>
      <c r="BN152" s="5" t="n">
        <v>1</v>
      </c>
      <c r="BO152" s="5" t="n">
        <v>0</v>
      </c>
      <c r="BP152" s="5" t="n">
        <v>0.011</v>
      </c>
      <c r="BQ152" s="5" t="n">
        <v>0.109</v>
      </c>
      <c r="BR152" s="5" t="n">
        <v>0</v>
      </c>
      <c r="BS152" s="5" t="n">
        <v>1</v>
      </c>
      <c r="BT152" s="5" t="n">
        <v>0</v>
      </c>
      <c r="BU152" s="5" t="n">
        <v>0.007</v>
      </c>
      <c r="BV152" s="5" t="n">
        <v>0.125</v>
      </c>
      <c r="BW152" s="5" t="n">
        <v>0.05</v>
      </c>
      <c r="BX152" s="5" t="n">
        <v>0.833</v>
      </c>
      <c r="BY152" s="5" t="n">
        <v>13.254</v>
      </c>
      <c r="BZ152" s="5" t="n">
        <v>0</v>
      </c>
      <c r="CA152" s="5" t="n">
        <v>13.254</v>
      </c>
      <c r="CB152" s="5" t="n">
        <v>0</v>
      </c>
      <c r="CC152" s="5" t="n">
        <v>83.248</v>
      </c>
      <c r="CD152" s="5" t="n">
        <v>7.95</v>
      </c>
      <c r="CE152" s="5" t="n">
        <v>114.102</v>
      </c>
      <c r="CF152" s="5" t="n">
        <v>223.006</v>
      </c>
      <c r="CG152" s="5" t="n">
        <v>0.13</v>
      </c>
      <c r="CH152" s="5" t="n">
        <v>1</v>
      </c>
      <c r="CI152" s="5" t="n">
        <v>0</v>
      </c>
      <c r="CJ152" s="5" t="n">
        <v>0</v>
      </c>
      <c r="CK152" s="5" t="n">
        <v>0</v>
      </c>
      <c r="CL152" s="5" t="n">
        <v>0.015</v>
      </c>
      <c r="CM152" s="5" t="n">
        <v>0</v>
      </c>
      <c r="CN152" s="5" t="n">
        <v>1.26</v>
      </c>
      <c r="CO152" s="5" t="n">
        <v>0.415</v>
      </c>
      <c r="CP152" s="5" t="n">
        <v>0.385</v>
      </c>
      <c r="CQ152" s="5" t="n">
        <v>1.348</v>
      </c>
      <c r="CR152" s="5" t="n">
        <v>0</v>
      </c>
      <c r="CS152" s="5" t="n">
        <v>1.823</v>
      </c>
      <c r="CT152" s="5" t="n">
        <v>5.099</v>
      </c>
      <c r="CU152" s="5" t="n">
        <v>1.823</v>
      </c>
    </row>
    <row r="153">
      <c r="A153" s="5" t="inlineStr">
        <is>
          <t>CAN2024</t>
        </is>
      </c>
      <c r="B153" s="5" t="inlineStr">
        <is>
          <t>CAN</t>
        </is>
      </c>
      <c r="C153" s="5" t="inlineStr">
        <is>
          <t>CAN</t>
        </is>
      </c>
      <c r="D153" s="5" t="inlineStr">
        <is>
          <t>Canada</t>
        </is>
      </c>
      <c r="E153" s="5" t="n">
        <v>2024</v>
      </c>
      <c r="F153" s="5" t="n">
        <v>0.05</v>
      </c>
      <c r="G153" s="5" t="n">
        <v>4.055</v>
      </c>
      <c r="H153" s="5" t="n">
        <v>1.069</v>
      </c>
      <c r="I153" s="5" t="n">
        <v>6.023</v>
      </c>
      <c r="J153" s="5" t="n">
        <v>10.078</v>
      </c>
      <c r="K153" s="5" t="n">
        <v>0</v>
      </c>
      <c r="L153" s="5" t="n">
        <v>1</v>
      </c>
      <c r="M153" s="5" t="n">
        <v>5.678</v>
      </c>
      <c r="N153" s="5" t="n">
        <v>3.206</v>
      </c>
      <c r="O153" s="5" t="n">
        <v>6.133</v>
      </c>
      <c r="P153" s="5" t="n">
        <v>11.811</v>
      </c>
      <c r="Q153" s="5" t="n">
        <v>0</v>
      </c>
      <c r="R153" s="5" t="n">
        <v>1</v>
      </c>
      <c r="S153" s="5" t="n">
        <v>9.398</v>
      </c>
      <c r="T153" s="5" t="n">
        <v>6.411</v>
      </c>
      <c r="U153" s="5" t="n">
        <v>0.8</v>
      </c>
      <c r="V153" s="5" t="n">
        <v>10.635</v>
      </c>
      <c r="W153" s="5" t="n">
        <v>0.05</v>
      </c>
      <c r="X153" s="5" t="n">
        <v>1</v>
      </c>
      <c r="Y153" s="5" t="n">
        <v>5.223</v>
      </c>
      <c r="Z153" s="5" t="n">
        <v>0.659</v>
      </c>
      <c r="AA153" s="5" t="n">
        <v>3.527</v>
      </c>
      <c r="AB153" s="5" t="n">
        <v>8.749000000000001</v>
      </c>
      <c r="AC153" s="5" t="n">
        <v>0</v>
      </c>
      <c r="AD153" s="5" t="n">
        <v>1</v>
      </c>
      <c r="AE153" s="5" t="n">
        <v>5.223</v>
      </c>
      <c r="AF153" s="5" t="n">
        <v>1.144</v>
      </c>
      <c r="AG153" s="5" t="n">
        <v>3.526</v>
      </c>
      <c r="AH153" s="5" t="n">
        <v>8.749000000000001</v>
      </c>
      <c r="AI153" s="5" t="n">
        <v>0</v>
      </c>
      <c r="AJ153" s="5" t="n">
        <v>1</v>
      </c>
      <c r="AK153" s="5" t="n">
        <v>8.335000000000001</v>
      </c>
      <c r="AL153" s="5" t="n">
        <v>4.24</v>
      </c>
      <c r="AM153" s="5" t="n">
        <v>1.131</v>
      </c>
      <c r="AN153" s="5" t="n">
        <v>9.94</v>
      </c>
      <c r="AO153" s="5" t="n">
        <v>0.05</v>
      </c>
      <c r="AP153" s="5" t="n">
        <v>1</v>
      </c>
      <c r="AQ153" s="5" t="n">
        <v>0.756</v>
      </c>
      <c r="AR153" s="5" t="n">
        <v>0.132</v>
      </c>
      <c r="AS153" s="5" t="n">
        <v>0.485</v>
      </c>
      <c r="AT153" s="5" t="n">
        <v>1.304</v>
      </c>
      <c r="AU153" s="5" t="n">
        <v>0.05</v>
      </c>
      <c r="AV153" s="5" t="n">
        <v>1</v>
      </c>
      <c r="AW153" s="5" t="n">
        <v>0.655</v>
      </c>
      <c r="AX153" s="5" t="n">
        <v>0.132</v>
      </c>
      <c r="AY153" s="5" t="n">
        <v>0.514</v>
      </c>
      <c r="AZ153" s="5" t="n">
        <v>1.228</v>
      </c>
      <c r="BA153" s="5" t="n">
        <v>0.05</v>
      </c>
      <c r="BB153" s="5" t="n">
        <v>1</v>
      </c>
      <c r="BC153" s="5" t="n">
        <v>0.534</v>
      </c>
      <c r="BD153" s="5" t="n">
        <v>0.132</v>
      </c>
      <c r="BE153" s="5" t="n">
        <v>0.356</v>
      </c>
      <c r="BF153" s="5" t="n">
        <v>0.9340000000000001</v>
      </c>
      <c r="BG153" s="5" t="n">
        <v>0.05</v>
      </c>
      <c r="BH153" s="5" t="n">
        <v>1</v>
      </c>
      <c r="BI153" s="5" t="n">
        <v>0.5679999999999999</v>
      </c>
      <c r="BJ153" s="5" t="n">
        <v>0.132</v>
      </c>
      <c r="BK153" s="5" t="n">
        <v>0.651</v>
      </c>
      <c r="BL153" s="5" t="n">
        <v>1.28</v>
      </c>
      <c r="BM153" s="5" t="n">
        <v>0.05</v>
      </c>
      <c r="BN153" s="5" t="n">
        <v>1</v>
      </c>
      <c r="BO153" s="5" t="n">
        <v>0</v>
      </c>
      <c r="BP153" s="5" t="n">
        <v>0.012</v>
      </c>
      <c r="BQ153" s="5" t="n">
        <v>0.106</v>
      </c>
      <c r="BR153" s="5" t="n">
        <v>0</v>
      </c>
      <c r="BS153" s="5" t="n">
        <v>1</v>
      </c>
      <c r="BT153" s="5" t="n">
        <v>0</v>
      </c>
      <c r="BU153" s="5" t="n">
        <v>0.008</v>
      </c>
      <c r="BV153" s="5" t="n">
        <v>0.122</v>
      </c>
      <c r="BW153" s="5" t="n">
        <v>0.05</v>
      </c>
      <c r="BX153" s="5" t="n">
        <v>0.833</v>
      </c>
      <c r="BY153" s="5" t="n">
        <v>13.646</v>
      </c>
      <c r="BZ153" s="5" t="n">
        <v>0</v>
      </c>
      <c r="CA153" s="5" t="n">
        <v>13.646</v>
      </c>
      <c r="CB153" s="5" t="n">
        <v>0</v>
      </c>
      <c r="CC153" s="5" t="n">
        <v>82.58799999999999</v>
      </c>
      <c r="CD153" s="5" t="n">
        <v>7.95</v>
      </c>
      <c r="CE153" s="5" t="n">
        <v>99.848</v>
      </c>
      <c r="CF153" s="5" t="n">
        <v>206.153</v>
      </c>
      <c r="CG153" s="5" t="n">
        <v>0.13</v>
      </c>
      <c r="CH153" s="5" t="n">
        <v>1</v>
      </c>
      <c r="CI153" s="5" t="n">
        <v>0</v>
      </c>
      <c r="CJ153" s="5" t="n">
        <v>0</v>
      </c>
      <c r="CK153" s="5" t="n">
        <v>0</v>
      </c>
      <c r="CL153" s="5" t="n">
        <v>0.015</v>
      </c>
      <c r="CM153" s="5" t="n">
        <v>0</v>
      </c>
      <c r="CN153" s="5" t="n">
        <v>1.406</v>
      </c>
      <c r="CO153" s="5" t="n">
        <v>0.442</v>
      </c>
      <c r="CP153" s="5" t="n">
        <v>0.385</v>
      </c>
      <c r="CQ153" s="5" t="n">
        <v>1.387</v>
      </c>
      <c r="CR153" s="5" t="n">
        <v>0</v>
      </c>
      <c r="CS153" s="5" t="n">
        <v>0.827</v>
      </c>
      <c r="CT153" s="5" t="n">
        <v>3.99</v>
      </c>
      <c r="CU153" s="5" t="n">
        <v>0.827</v>
      </c>
    </row>
    <row r="154">
      <c r="A154" s="5" t="inlineStr">
        <is>
          <t>CYM2021</t>
        </is>
      </c>
      <c r="B154" s="5" t="inlineStr">
        <is>
          <t>CYM</t>
        </is>
      </c>
      <c r="C154" s="5" t="inlineStr">
        <is>
          <t>CYM</t>
        </is>
      </c>
      <c r="D154" s="5" t="inlineStr">
        <is>
          <t>Cayman Islands</t>
        </is>
      </c>
      <c r="E154" s="5" t="n">
        <v>2021</v>
      </c>
      <c r="F154" s="5" t="n">
        <v>0</v>
      </c>
      <c r="G154" s="5" t="n">
        <v>5.897</v>
      </c>
      <c r="H154" s="5" t="n">
        <v>1.143</v>
      </c>
      <c r="I154" s="5" t="n">
        <v>0</v>
      </c>
      <c r="J154" s="5" t="n">
        <v>5.897</v>
      </c>
      <c r="K154" s="5" t="n">
        <v>0</v>
      </c>
      <c r="L154" s="5" t="n">
        <v>1</v>
      </c>
      <c r="M154" s="5" t="n">
        <v>7.964</v>
      </c>
      <c r="N154" s="5" t="n">
        <v>3.43</v>
      </c>
      <c r="O154" s="5" t="n">
        <v>0</v>
      </c>
      <c r="P154" s="5" t="n">
        <v>7.964</v>
      </c>
      <c r="Q154" s="5" t="n">
        <v>0</v>
      </c>
      <c r="R154" s="5" t="n">
        <v>1</v>
      </c>
      <c r="S154" s="5" t="n">
        <v>11.613</v>
      </c>
      <c r="T154" s="5" t="n">
        <v>6.86</v>
      </c>
      <c r="U154" s="5" t="n">
        <v>0</v>
      </c>
      <c r="V154" s="5" t="n">
        <v>11.613</v>
      </c>
      <c r="W154" s="5" t="n">
        <v>0</v>
      </c>
      <c r="X154" s="5" t="n">
        <v>1</v>
      </c>
      <c r="Y154" s="5" t="n">
        <v>16.158</v>
      </c>
      <c r="Z154" s="5" t="n">
        <v>2.173</v>
      </c>
      <c r="AA154" s="5" t="n">
        <v>0</v>
      </c>
      <c r="AB154" s="5" t="n">
        <v>16.158</v>
      </c>
      <c r="AC154" s="5" t="n">
        <v>0</v>
      </c>
      <c r="AD154" s="5" t="n">
        <v>1</v>
      </c>
      <c r="AE154" s="5" t="n">
        <v>17.301</v>
      </c>
      <c r="AF154" s="5" t="n">
        <v>4.052</v>
      </c>
      <c r="AG154" s="5" t="n">
        <v>0</v>
      </c>
      <c r="AH154" s="5" t="n">
        <v>17.301</v>
      </c>
      <c r="AI154" s="5" t="n">
        <v>0</v>
      </c>
      <c r="AJ154" s="5" t="n">
        <v>1</v>
      </c>
      <c r="AK154" s="5" t="n">
        <v>24.161</v>
      </c>
      <c r="AL154" s="5" t="n">
        <v>12.982</v>
      </c>
      <c r="AM154" s="5" t="n">
        <v>0</v>
      </c>
      <c r="AN154" s="5" t="n">
        <v>24.161</v>
      </c>
      <c r="AO154" s="5" t="n">
        <v>0</v>
      </c>
      <c r="AP154" s="5" t="n">
        <v>1</v>
      </c>
      <c r="AQ154" s="5" t="n">
        <v>0.649</v>
      </c>
      <c r="AR154" s="5" t="n">
        <v>0.114</v>
      </c>
      <c r="AS154" s="5" t="n">
        <v>0.628</v>
      </c>
      <c r="AT154" s="5" t="n">
        <v>1.277</v>
      </c>
      <c r="AU154" s="5" t="n">
        <v>0</v>
      </c>
      <c r="AV154" s="5" t="n">
        <v>1</v>
      </c>
      <c r="AW154" s="5" t="n">
        <v>0.577</v>
      </c>
      <c r="AX154" s="5" t="n">
        <v>0.114</v>
      </c>
      <c r="AY154" s="5" t="n">
        <v>0.574</v>
      </c>
      <c r="AZ154" s="5" t="n">
        <v>1.151</v>
      </c>
      <c r="BA154" s="5" t="n">
        <v>0</v>
      </c>
      <c r="BB154" s="5" t="n">
        <v>1</v>
      </c>
      <c r="BC154" s="5" t="n">
        <v>0.458</v>
      </c>
      <c r="BD154" s="5" t="n">
        <v>0.114</v>
      </c>
      <c r="BE154" s="5" t="n">
        <v>0</v>
      </c>
      <c r="BF154" s="5" t="n">
        <v>0.458</v>
      </c>
      <c r="BG154" s="5" t="n">
        <v>0</v>
      </c>
      <c r="BH154" s="5" t="n">
        <v>1</v>
      </c>
      <c r="BI154" s="5" t="n">
        <v>0.491</v>
      </c>
      <c r="BJ154" s="5" t="n">
        <v>0.114</v>
      </c>
      <c r="BK154" s="5" t="n">
        <v>0</v>
      </c>
      <c r="BL154" s="5" t="n">
        <v>0.491</v>
      </c>
      <c r="BM154" s="5" t="n">
        <v>0</v>
      </c>
      <c r="BN154" s="5" t="n">
        <v>1</v>
      </c>
      <c r="BO154" s="5" t="n">
        <v>0</v>
      </c>
      <c r="BP154" s="5" t="n">
        <v>0</v>
      </c>
      <c r="BQ154" s="5" t="n">
        <v>0.286</v>
      </c>
      <c r="BR154" s="5" t="n">
        <v>0</v>
      </c>
      <c r="BS154" s="5" t="n">
        <v>1</v>
      </c>
      <c r="BT154" s="5" t="n">
        <v>0</v>
      </c>
      <c r="BU154" s="5" t="n">
        <v>0</v>
      </c>
      <c r="BV154" s="5" t="n">
        <v>0.318</v>
      </c>
      <c r="BW154" s="5" t="n">
        <v>0</v>
      </c>
      <c r="BX154" s="5" t="n">
        <v>0.833</v>
      </c>
      <c r="BY154" s="5" t="n">
        <v>11.787</v>
      </c>
      <c r="BZ154" s="5" t="n">
        <v>0</v>
      </c>
      <c r="CA154" s="5" t="n">
        <v>11.787</v>
      </c>
      <c r="CB154" s="5" t="n">
        <v>0</v>
      </c>
      <c r="CC154" s="5" t="n">
        <v>78.125</v>
      </c>
      <c r="CD154" s="5" t="n">
        <v>7.95</v>
      </c>
      <c r="CE154" s="5" t="n">
        <v>0</v>
      </c>
      <c r="CF154" s="5" t="n">
        <v>78.125</v>
      </c>
      <c r="CG154" s="5" t="n">
        <v>0</v>
      </c>
      <c r="CH154" s="5" t="n">
        <v>1</v>
      </c>
      <c r="CI154" s="5" t="n">
        <v>0</v>
      </c>
      <c r="CJ154" s="5" t="n">
        <v>0</v>
      </c>
      <c r="CK154" s="5" t="n">
        <v>0</v>
      </c>
      <c r="CL154" s="5" t="n">
        <v>0</v>
      </c>
      <c r="CM154" s="5" t="n">
        <v>0</v>
      </c>
      <c r="CN154" s="5" t="n">
        <v>0</v>
      </c>
      <c r="CO154" s="5" t="n">
        <v>0</v>
      </c>
      <c r="CP154" s="5" t="n">
        <v>0</v>
      </c>
      <c r="CQ154" s="5" t="n">
        <v>1.198</v>
      </c>
      <c r="CR154" s="5" t="n">
        <v>0</v>
      </c>
      <c r="CS154" s="5" t="n">
        <v>4.776</v>
      </c>
      <c r="CT154" s="5" t="n">
        <v>4.753</v>
      </c>
      <c r="CU154" s="5" t="n">
        <v>15.983</v>
      </c>
    </row>
    <row r="155">
      <c r="A155" s="5" t="inlineStr">
        <is>
          <t>CYM2022</t>
        </is>
      </c>
      <c r="B155" s="5" t="inlineStr">
        <is>
          <t>CYM</t>
        </is>
      </c>
      <c r="C155" s="5" t="inlineStr">
        <is>
          <t>CYM</t>
        </is>
      </c>
      <c r="D155" s="5" t="inlineStr">
        <is>
          <t>Cayman Islands</t>
        </is>
      </c>
      <c r="E155" s="5" t="n">
        <v>2022</v>
      </c>
      <c r="F155" s="5" t="n">
        <v>0</v>
      </c>
      <c r="G155" s="5" t="n">
        <v>11.72</v>
      </c>
      <c r="H155" s="5" t="n">
        <v>1.235</v>
      </c>
      <c r="I155" s="5" t="n">
        <v>0</v>
      </c>
      <c r="J155" s="5" t="n">
        <v>11.72</v>
      </c>
      <c r="K155" s="5" t="n">
        <v>0</v>
      </c>
      <c r="L155" s="5" t="n">
        <v>1</v>
      </c>
      <c r="M155" s="5" t="n">
        <v>9.782999999999999</v>
      </c>
      <c r="N155" s="5" t="n">
        <v>3.704</v>
      </c>
      <c r="O155" s="5" t="n">
        <v>0</v>
      </c>
      <c r="P155" s="5" t="n">
        <v>9.782999999999999</v>
      </c>
      <c r="Q155" s="5" t="n">
        <v>0</v>
      </c>
      <c r="R155" s="5" t="n">
        <v>1</v>
      </c>
      <c r="S155" s="5" t="n">
        <v>17.893</v>
      </c>
      <c r="T155" s="5" t="n">
        <v>7.408</v>
      </c>
      <c r="U155" s="5" t="n">
        <v>0</v>
      </c>
      <c r="V155" s="5" t="n">
        <v>17.893</v>
      </c>
      <c r="W155" s="5" t="n">
        <v>0</v>
      </c>
      <c r="X155" s="5" t="n">
        <v>1</v>
      </c>
      <c r="Y155" s="5" t="n">
        <v>28.798</v>
      </c>
      <c r="Z155" s="5" t="n">
        <v>3.873</v>
      </c>
      <c r="AA155" s="5" t="n">
        <v>0</v>
      </c>
      <c r="AB155" s="5" t="n">
        <v>28.798</v>
      </c>
      <c r="AC155" s="5" t="n">
        <v>0</v>
      </c>
      <c r="AD155" s="5" t="n">
        <v>1</v>
      </c>
      <c r="AE155" s="5" t="n">
        <v>30.032</v>
      </c>
      <c r="AF155" s="5" t="n">
        <v>7.033</v>
      </c>
      <c r="AG155" s="5" t="n">
        <v>0</v>
      </c>
      <c r="AH155" s="5" t="n">
        <v>30.032</v>
      </c>
      <c r="AI155" s="5" t="n">
        <v>0</v>
      </c>
      <c r="AJ155" s="5" t="n">
        <v>1</v>
      </c>
      <c r="AK155" s="5" t="n">
        <v>37.44</v>
      </c>
      <c r="AL155" s="5" t="n">
        <v>20.118</v>
      </c>
      <c r="AM155" s="5" t="n">
        <v>0</v>
      </c>
      <c r="AN155" s="5" t="n">
        <v>37.44</v>
      </c>
      <c r="AO155" s="5" t="n">
        <v>0</v>
      </c>
      <c r="AP155" s="5" t="n">
        <v>1</v>
      </c>
      <c r="AQ155" s="5" t="n">
        <v>0.896</v>
      </c>
      <c r="AR155" s="5" t="n">
        <v>0.123</v>
      </c>
      <c r="AS155" s="5" t="n">
        <v>0.754</v>
      </c>
      <c r="AT155" s="5" t="n">
        <v>1.65</v>
      </c>
      <c r="AU155" s="5" t="n">
        <v>0</v>
      </c>
      <c r="AV155" s="5" t="n">
        <v>1</v>
      </c>
      <c r="AW155" s="5" t="n">
        <v>0.89</v>
      </c>
      <c r="AX155" s="5" t="n">
        <v>0.123</v>
      </c>
      <c r="AY155" s="5" t="n">
        <v>0.676</v>
      </c>
      <c r="AZ155" s="5" t="n">
        <v>1.566</v>
      </c>
      <c r="BA155" s="5" t="n">
        <v>0</v>
      </c>
      <c r="BB155" s="5" t="n">
        <v>1</v>
      </c>
      <c r="BC155" s="5" t="n">
        <v>0.62</v>
      </c>
      <c r="BD155" s="5" t="n">
        <v>0.123</v>
      </c>
      <c r="BE155" s="5" t="n">
        <v>0</v>
      </c>
      <c r="BF155" s="5" t="n">
        <v>0.62</v>
      </c>
      <c r="BG155" s="5" t="n">
        <v>0</v>
      </c>
      <c r="BH155" s="5" t="n">
        <v>1</v>
      </c>
      <c r="BI155" s="5" t="n">
        <v>0.608</v>
      </c>
      <c r="BJ155" s="5" t="n">
        <v>0.123</v>
      </c>
      <c r="BK155" s="5" t="n">
        <v>0</v>
      </c>
      <c r="BL155" s="5" t="n">
        <v>0.608</v>
      </c>
      <c r="BM155" s="5" t="n">
        <v>0</v>
      </c>
      <c r="BN155" s="5" t="n">
        <v>1</v>
      </c>
      <c r="BO155" s="5" t="n">
        <v>0</v>
      </c>
      <c r="BP155" s="5" t="n">
        <v>0</v>
      </c>
      <c r="BQ155" s="5" t="n">
        <v>0.383</v>
      </c>
      <c r="BR155" s="5" t="n">
        <v>0</v>
      </c>
      <c r="BS155" s="5" t="n">
        <v>1</v>
      </c>
      <c r="BT155" s="5" t="n">
        <v>0</v>
      </c>
      <c r="BU155" s="5" t="n">
        <v>0</v>
      </c>
      <c r="BV155" s="5" t="n">
        <v>0.411</v>
      </c>
      <c r="BW155" s="5" t="n">
        <v>0</v>
      </c>
      <c r="BX155" s="5" t="n">
        <v>0.833</v>
      </c>
      <c r="BY155" s="5" t="n">
        <v>12.729</v>
      </c>
      <c r="BZ155" s="5" t="n">
        <v>0</v>
      </c>
      <c r="CA155" s="5" t="n">
        <v>12.729</v>
      </c>
      <c r="CB155" s="5" t="n">
        <v>0</v>
      </c>
      <c r="CC155" s="5" t="n">
        <v>97.90000000000001</v>
      </c>
      <c r="CD155" s="5" t="n">
        <v>7.95</v>
      </c>
      <c r="CE155" s="5" t="n">
        <v>0</v>
      </c>
      <c r="CF155" s="5" t="n">
        <v>97.90000000000001</v>
      </c>
      <c r="CG155" s="5" t="n">
        <v>0</v>
      </c>
      <c r="CH155" s="5" t="n">
        <v>1</v>
      </c>
      <c r="CI155" s="5" t="n">
        <v>0</v>
      </c>
      <c r="CJ155" s="5" t="n">
        <v>0</v>
      </c>
      <c r="CK155" s="5" t="n">
        <v>0</v>
      </c>
      <c r="CL155" s="5" t="n">
        <v>0</v>
      </c>
      <c r="CM155" s="5" t="n">
        <v>0</v>
      </c>
      <c r="CN155" s="5" t="n">
        <v>0</v>
      </c>
      <c r="CO155" s="5" t="n">
        <v>0</v>
      </c>
      <c r="CP155" s="5" t="n">
        <v>0</v>
      </c>
      <c r="CQ155" s="5" t="n">
        <v>1.294</v>
      </c>
      <c r="CR155" s="5" t="n">
        <v>0</v>
      </c>
      <c r="CS155" s="5" t="n">
        <v>5.158</v>
      </c>
      <c r="CT155" s="5" t="n">
        <v>10.485</v>
      </c>
      <c r="CU155" s="5" t="n">
        <v>29.494</v>
      </c>
    </row>
    <row r="156">
      <c r="A156" s="5" t="inlineStr">
        <is>
          <t>CYM2023</t>
        </is>
      </c>
      <c r="B156" s="5" t="inlineStr">
        <is>
          <t>CYM</t>
        </is>
      </c>
      <c r="C156" s="5" t="inlineStr">
        <is>
          <t>CYM</t>
        </is>
      </c>
      <c r="D156" s="5" t="inlineStr">
        <is>
          <t>Cayman Islands</t>
        </is>
      </c>
      <c r="E156" s="5" t="n">
        <v>2023</v>
      </c>
      <c r="F156" s="5" t="n">
        <v>0</v>
      </c>
      <c r="G156" s="5" t="n">
        <v>6.147</v>
      </c>
      <c r="H156" s="5" t="n">
        <v>1.286</v>
      </c>
      <c r="I156" s="5" t="n">
        <v>0</v>
      </c>
      <c r="J156" s="5" t="n">
        <v>6.147</v>
      </c>
      <c r="K156" s="5" t="n">
        <v>0</v>
      </c>
      <c r="L156" s="5" t="n">
        <v>1</v>
      </c>
      <c r="M156" s="5" t="n">
        <v>7.886</v>
      </c>
      <c r="N156" s="5" t="n">
        <v>3.857</v>
      </c>
      <c r="O156" s="5" t="n">
        <v>0</v>
      </c>
      <c r="P156" s="5" t="n">
        <v>7.886</v>
      </c>
      <c r="Q156" s="5" t="n">
        <v>0</v>
      </c>
      <c r="R156" s="5" t="n">
        <v>1</v>
      </c>
      <c r="S156" s="5" t="n">
        <v>12.575</v>
      </c>
      <c r="T156" s="5" t="n">
        <v>7.714</v>
      </c>
      <c r="U156" s="5" t="n">
        <v>0</v>
      </c>
      <c r="V156" s="5" t="n">
        <v>12.575</v>
      </c>
      <c r="W156" s="5" t="n">
        <v>0</v>
      </c>
      <c r="X156" s="5" t="n">
        <v>1</v>
      </c>
      <c r="Y156" s="5" t="n">
        <v>11.879</v>
      </c>
      <c r="Z156" s="5" t="n">
        <v>1.598</v>
      </c>
      <c r="AA156" s="5" t="n">
        <v>0</v>
      </c>
      <c r="AB156" s="5" t="n">
        <v>11.879</v>
      </c>
      <c r="AC156" s="5" t="n">
        <v>0</v>
      </c>
      <c r="AD156" s="5" t="n">
        <v>1</v>
      </c>
      <c r="AE156" s="5" t="n">
        <v>13.165</v>
      </c>
      <c r="AF156" s="5" t="n">
        <v>3.083</v>
      </c>
      <c r="AG156" s="5" t="n">
        <v>0</v>
      </c>
      <c r="AH156" s="5" t="n">
        <v>13.165</v>
      </c>
      <c r="AI156" s="5" t="n">
        <v>0</v>
      </c>
      <c r="AJ156" s="5" t="n">
        <v>1</v>
      </c>
      <c r="AK156" s="5" t="n">
        <v>20.879</v>
      </c>
      <c r="AL156" s="5" t="n">
        <v>11.219</v>
      </c>
      <c r="AM156" s="5" t="n">
        <v>0</v>
      </c>
      <c r="AN156" s="5" t="n">
        <v>20.879</v>
      </c>
      <c r="AO156" s="5" t="n">
        <v>0</v>
      </c>
      <c r="AP156" s="5" t="n">
        <v>1</v>
      </c>
      <c r="AQ156" s="5" t="n">
        <v>0.791</v>
      </c>
      <c r="AR156" s="5" t="n">
        <v>0.129</v>
      </c>
      <c r="AS156" s="5" t="n">
        <v>0.774</v>
      </c>
      <c r="AT156" s="5" t="n">
        <v>1.565</v>
      </c>
      <c r="AU156" s="5" t="n">
        <v>0</v>
      </c>
      <c r="AV156" s="5" t="n">
        <v>1</v>
      </c>
      <c r="AW156" s="5" t="n">
        <v>0.618</v>
      </c>
      <c r="AX156" s="5" t="n">
        <v>0.129</v>
      </c>
      <c r="AY156" s="5" t="n">
        <v>0.888</v>
      </c>
      <c r="AZ156" s="5" t="n">
        <v>1.506</v>
      </c>
      <c r="BA156" s="5" t="n">
        <v>0</v>
      </c>
      <c r="BB156" s="5" t="n">
        <v>1</v>
      </c>
      <c r="BC156" s="5" t="n">
        <v>0.554</v>
      </c>
      <c r="BD156" s="5" t="n">
        <v>0.129</v>
      </c>
      <c r="BE156" s="5" t="n">
        <v>0</v>
      </c>
      <c r="BF156" s="5" t="n">
        <v>0.554</v>
      </c>
      <c r="BG156" s="5" t="n">
        <v>0</v>
      </c>
      <c r="BH156" s="5" t="n">
        <v>1</v>
      </c>
      <c r="BI156" s="5" t="n">
        <v>0.5570000000000001</v>
      </c>
      <c r="BJ156" s="5" t="n">
        <v>0.129</v>
      </c>
      <c r="BK156" s="5" t="n">
        <v>0</v>
      </c>
      <c r="BL156" s="5" t="n">
        <v>0.5570000000000001</v>
      </c>
      <c r="BM156" s="5" t="n">
        <v>0</v>
      </c>
      <c r="BN156" s="5" t="n">
        <v>1</v>
      </c>
      <c r="BO156" s="5" t="n">
        <v>0</v>
      </c>
      <c r="BP156" s="5" t="n">
        <v>0</v>
      </c>
      <c r="BQ156" s="5" t="n">
        <v>0.372</v>
      </c>
      <c r="BR156" s="5" t="n">
        <v>0</v>
      </c>
      <c r="BS156" s="5" t="n">
        <v>1</v>
      </c>
      <c r="BT156" s="5" t="n">
        <v>0</v>
      </c>
      <c r="BU156" s="5" t="n">
        <v>0</v>
      </c>
      <c r="BV156" s="5" t="n">
        <v>0.411</v>
      </c>
      <c r="BW156" s="5" t="n">
        <v>0</v>
      </c>
      <c r="BX156" s="5" t="n">
        <v>0.833</v>
      </c>
      <c r="BY156" s="5" t="n">
        <v>13.254</v>
      </c>
      <c r="BZ156" s="5" t="n">
        <v>0</v>
      </c>
      <c r="CA156" s="5" t="n">
        <v>13.254</v>
      </c>
      <c r="CB156" s="5" t="n">
        <v>0</v>
      </c>
      <c r="CC156" s="5" t="n">
        <v>83.248</v>
      </c>
      <c r="CD156" s="5" t="n">
        <v>7.95</v>
      </c>
      <c r="CE156" s="5" t="n">
        <v>0</v>
      </c>
      <c r="CF156" s="5" t="n">
        <v>83.248</v>
      </c>
      <c r="CG156" s="5" t="n">
        <v>0</v>
      </c>
      <c r="CH156" s="5" t="n">
        <v>1</v>
      </c>
      <c r="CI156" s="5" t="n">
        <v>0</v>
      </c>
      <c r="CJ156" s="5" t="n">
        <v>0</v>
      </c>
      <c r="CK156" s="5" t="n">
        <v>0</v>
      </c>
      <c r="CL156" s="5" t="n">
        <v>0</v>
      </c>
      <c r="CM156" s="5" t="n">
        <v>0</v>
      </c>
      <c r="CN156" s="5" t="n">
        <v>0</v>
      </c>
      <c r="CO156" s="5" t="n">
        <v>0</v>
      </c>
      <c r="CP156" s="5" t="n">
        <v>0</v>
      </c>
      <c r="CQ156" s="5" t="n">
        <v>1.348</v>
      </c>
      <c r="CR156" s="5" t="n">
        <v>0</v>
      </c>
      <c r="CS156" s="5" t="n">
        <v>5.37</v>
      </c>
      <c r="CT156" s="5" t="n">
        <v>4.861</v>
      </c>
      <c r="CU156" s="5" t="n">
        <v>11.192</v>
      </c>
    </row>
    <row r="157">
      <c r="A157" s="5" t="inlineStr">
        <is>
          <t>CYM2024</t>
        </is>
      </c>
      <c r="B157" s="5" t="inlineStr">
        <is>
          <t>CYM</t>
        </is>
      </c>
      <c r="C157" s="5" t="inlineStr">
        <is>
          <t>CYM</t>
        </is>
      </c>
      <c r="D157" s="5" t="inlineStr">
        <is>
          <t>Cayman Islands</t>
        </is>
      </c>
      <c r="E157" s="5" t="n">
        <v>2024</v>
      </c>
      <c r="F157" s="5" t="n">
        <v>0</v>
      </c>
      <c r="G157" s="5" t="n">
        <v>5.575</v>
      </c>
      <c r="H157" s="5" t="n">
        <v>1.324</v>
      </c>
      <c r="I157" s="5" t="n">
        <v>0</v>
      </c>
      <c r="J157" s="5" t="n">
        <v>5.575</v>
      </c>
      <c r="K157" s="5" t="n">
        <v>0</v>
      </c>
      <c r="L157" s="5" t="n">
        <v>1</v>
      </c>
      <c r="M157" s="5" t="n">
        <v>7.124</v>
      </c>
      <c r="N157" s="5" t="n">
        <v>3.971</v>
      </c>
      <c r="O157" s="5" t="n">
        <v>0</v>
      </c>
      <c r="P157" s="5" t="n">
        <v>7.124</v>
      </c>
      <c r="Q157" s="5" t="n">
        <v>0</v>
      </c>
      <c r="R157" s="5" t="n">
        <v>1</v>
      </c>
      <c r="S157" s="5" t="n">
        <v>12.193</v>
      </c>
      <c r="T157" s="5" t="n">
        <v>7.942</v>
      </c>
      <c r="U157" s="5" t="n">
        <v>0</v>
      </c>
      <c r="V157" s="5" t="n">
        <v>12.193</v>
      </c>
      <c r="W157" s="5" t="n">
        <v>0</v>
      </c>
      <c r="X157" s="5" t="n">
        <v>1</v>
      </c>
      <c r="Y157" s="5" t="n">
        <v>10.932</v>
      </c>
      <c r="Z157" s="5" t="n">
        <v>1.47</v>
      </c>
      <c r="AA157" s="5" t="n">
        <v>0</v>
      </c>
      <c r="AB157" s="5" t="n">
        <v>10.932</v>
      </c>
      <c r="AC157" s="5" t="n">
        <v>0</v>
      </c>
      <c r="AD157" s="5" t="n">
        <v>1</v>
      </c>
      <c r="AE157" s="5" t="n">
        <v>12.256</v>
      </c>
      <c r="AF157" s="5" t="n">
        <v>2.87</v>
      </c>
      <c r="AG157" s="5" t="n">
        <v>0</v>
      </c>
      <c r="AH157" s="5" t="n">
        <v>12.256</v>
      </c>
      <c r="AI157" s="5" t="n">
        <v>0</v>
      </c>
      <c r="AJ157" s="5" t="n">
        <v>1</v>
      </c>
      <c r="AK157" s="5" t="n">
        <v>20.197</v>
      </c>
      <c r="AL157" s="5" t="n">
        <v>10.852</v>
      </c>
      <c r="AM157" s="5" t="n">
        <v>0</v>
      </c>
      <c r="AN157" s="5" t="n">
        <v>20.197</v>
      </c>
      <c r="AO157" s="5" t="n">
        <v>0</v>
      </c>
      <c r="AP157" s="5" t="n">
        <v>1</v>
      </c>
      <c r="AQ157" s="5" t="n">
        <v>0.756</v>
      </c>
      <c r="AR157" s="5" t="n">
        <v>0.132</v>
      </c>
      <c r="AS157" s="5" t="n">
        <v>0.752</v>
      </c>
      <c r="AT157" s="5" t="n">
        <v>1.508</v>
      </c>
      <c r="AU157" s="5" t="n">
        <v>0</v>
      </c>
      <c r="AV157" s="5" t="n">
        <v>1</v>
      </c>
      <c r="AW157" s="5" t="n">
        <v>0.655</v>
      </c>
      <c r="AX157" s="5" t="n">
        <v>0.132</v>
      </c>
      <c r="AY157" s="5" t="n">
        <v>0.751</v>
      </c>
      <c r="AZ157" s="5" t="n">
        <v>1.406</v>
      </c>
      <c r="BA157" s="5" t="n">
        <v>0</v>
      </c>
      <c r="BB157" s="5" t="n">
        <v>1</v>
      </c>
      <c r="BC157" s="5" t="n">
        <v>0.534</v>
      </c>
      <c r="BD157" s="5" t="n">
        <v>0.132</v>
      </c>
      <c r="BE157" s="5" t="n">
        <v>0</v>
      </c>
      <c r="BF157" s="5" t="n">
        <v>0.534</v>
      </c>
      <c r="BG157" s="5" t="n">
        <v>0</v>
      </c>
      <c r="BH157" s="5" t="n">
        <v>1</v>
      </c>
      <c r="BI157" s="5" t="n">
        <v>0.5679999999999999</v>
      </c>
      <c r="BJ157" s="5" t="n">
        <v>0.132</v>
      </c>
      <c r="BK157" s="5" t="n">
        <v>0</v>
      </c>
      <c r="BL157" s="5" t="n">
        <v>0.5679999999999999</v>
      </c>
      <c r="BM157" s="5" t="n">
        <v>0</v>
      </c>
      <c r="BN157" s="5" t="n">
        <v>1</v>
      </c>
      <c r="BO157" s="5" t="n">
        <v>0</v>
      </c>
      <c r="BP157" s="5" t="n">
        <v>0</v>
      </c>
      <c r="BQ157" s="5" t="n">
        <v>0.378</v>
      </c>
      <c r="BR157" s="5" t="n">
        <v>0</v>
      </c>
      <c r="BS157" s="5" t="n">
        <v>1</v>
      </c>
      <c r="BT157" s="5" t="n">
        <v>0</v>
      </c>
      <c r="BU157" s="5" t="n">
        <v>0</v>
      </c>
      <c r="BV157" s="5" t="n">
        <v>0.425</v>
      </c>
      <c r="BW157" s="5" t="n">
        <v>0</v>
      </c>
      <c r="BX157" s="5" t="n">
        <v>0.833</v>
      </c>
      <c r="BY157" s="5" t="n">
        <v>13.646</v>
      </c>
      <c r="BZ157" s="5" t="n">
        <v>0</v>
      </c>
      <c r="CA157" s="5" t="n">
        <v>13.646</v>
      </c>
      <c r="CB157" s="5" t="n">
        <v>0</v>
      </c>
      <c r="CC157" s="5" t="n">
        <v>82.58799999999999</v>
      </c>
      <c r="CD157" s="5" t="n">
        <v>7.95</v>
      </c>
      <c r="CE157" s="5" t="n">
        <v>0</v>
      </c>
      <c r="CF157" s="5" t="n">
        <v>82.58799999999999</v>
      </c>
      <c r="CG157" s="5" t="n">
        <v>0</v>
      </c>
      <c r="CH157" s="5" t="n">
        <v>1</v>
      </c>
      <c r="CI157" s="5" t="n">
        <v>0</v>
      </c>
      <c r="CJ157" s="5" t="n">
        <v>0</v>
      </c>
      <c r="CK157" s="5" t="n">
        <v>0</v>
      </c>
      <c r="CL157" s="5" t="n">
        <v>0</v>
      </c>
      <c r="CM157" s="5" t="n">
        <v>0</v>
      </c>
      <c r="CN157" s="5" t="n">
        <v>0</v>
      </c>
      <c r="CO157" s="5" t="n">
        <v>0</v>
      </c>
      <c r="CP157" s="5" t="n">
        <v>0</v>
      </c>
      <c r="CQ157" s="5" t="n">
        <v>1.387</v>
      </c>
      <c r="CR157" s="5" t="n">
        <v>0</v>
      </c>
      <c r="CS157" s="5" t="n">
        <v>5.529</v>
      </c>
      <c r="CT157" s="5" t="n">
        <v>4.251</v>
      </c>
      <c r="CU157" s="5" t="n">
        <v>10.123</v>
      </c>
    </row>
    <row r="158">
      <c r="A158" s="5" t="inlineStr">
        <is>
          <t>CAF2021</t>
        </is>
      </c>
      <c r="B158" s="5" t="inlineStr">
        <is>
          <t>CAF</t>
        </is>
      </c>
      <c r="C158" s="5" t="inlineStr">
        <is>
          <t>CAF</t>
        </is>
      </c>
      <c r="D158" s="5" t="inlineStr">
        <is>
          <t>Central African Republic</t>
        </is>
      </c>
      <c r="E158" s="5" t="n">
        <v>2021</v>
      </c>
      <c r="F158" s="5" t="n">
        <v>0.19</v>
      </c>
      <c r="G158" s="5" t="n">
        <v>5.897</v>
      </c>
      <c r="H158" s="5" t="n">
        <v>1.143</v>
      </c>
      <c r="I158" s="5" t="n">
        <v>0</v>
      </c>
      <c r="J158" s="5" t="n">
        <v>5.897</v>
      </c>
      <c r="K158" s="5" t="n">
        <v>0</v>
      </c>
      <c r="L158" s="5" t="n">
        <v>1</v>
      </c>
      <c r="M158" s="5" t="n">
        <v>7.964</v>
      </c>
      <c r="N158" s="5" t="n">
        <v>3.43</v>
      </c>
      <c r="O158" s="5" t="n">
        <v>0</v>
      </c>
      <c r="P158" s="5" t="n">
        <v>7.964</v>
      </c>
      <c r="Q158" s="5" t="n">
        <v>0</v>
      </c>
      <c r="R158" s="5" t="n">
        <v>1</v>
      </c>
      <c r="S158" s="5" t="n">
        <v>11.613</v>
      </c>
      <c r="T158" s="5" t="n">
        <v>6.86</v>
      </c>
      <c r="U158" s="5" t="n">
        <v>0</v>
      </c>
      <c r="V158" s="5" t="n">
        <v>13.82</v>
      </c>
      <c r="W158" s="5" t="n">
        <v>0.19</v>
      </c>
      <c r="X158" s="5" t="n">
        <v>1</v>
      </c>
      <c r="Y158" s="5" t="n">
        <v>5.919</v>
      </c>
      <c r="Z158" s="5" t="n">
        <v>0.8</v>
      </c>
      <c r="AA158" s="5" t="n">
        <v>0</v>
      </c>
      <c r="AB158" s="5" t="n">
        <v>5.919</v>
      </c>
      <c r="AC158" s="5" t="n">
        <v>0</v>
      </c>
      <c r="AD158" s="5" t="n">
        <v>1</v>
      </c>
      <c r="AE158" s="5" t="n">
        <v>7.062</v>
      </c>
      <c r="AF158" s="5" t="n">
        <v>1.651</v>
      </c>
      <c r="AG158" s="5" t="n">
        <v>0</v>
      </c>
      <c r="AH158" s="5" t="n">
        <v>7.062</v>
      </c>
      <c r="AI158" s="5" t="n">
        <v>0</v>
      </c>
      <c r="AJ158" s="5" t="n">
        <v>1</v>
      </c>
      <c r="AK158" s="5" t="n">
        <v>13.922</v>
      </c>
      <c r="AL158" s="5" t="n">
        <v>7.415</v>
      </c>
      <c r="AM158" s="5" t="n">
        <v>0</v>
      </c>
      <c r="AN158" s="5" t="n">
        <v>16.568</v>
      </c>
      <c r="AO158" s="5" t="n">
        <v>0.19</v>
      </c>
      <c r="AP158" s="5" t="n">
        <v>1</v>
      </c>
      <c r="AQ158" s="5" t="n">
        <v>0.619</v>
      </c>
      <c r="AR158" s="5" t="n">
        <v>0.114</v>
      </c>
      <c r="AS158" s="5" t="n">
        <v>0.6919999999999999</v>
      </c>
      <c r="AT158" s="5" t="n">
        <v>1.56</v>
      </c>
      <c r="AU158" s="5" t="n">
        <v>0.19</v>
      </c>
      <c r="AV158" s="5" t="n">
        <v>1</v>
      </c>
      <c r="AW158" s="5" t="n">
        <v>0.599</v>
      </c>
      <c r="AX158" s="5" t="n">
        <v>0.114</v>
      </c>
      <c r="AY158" s="5" t="n">
        <v>0.696</v>
      </c>
      <c r="AZ158" s="5" t="n">
        <v>1.542</v>
      </c>
      <c r="BA158" s="5" t="n">
        <v>0.19</v>
      </c>
      <c r="BB158" s="5" t="n">
        <v>1</v>
      </c>
      <c r="BC158" s="5" t="n">
        <v>0.439</v>
      </c>
      <c r="BD158" s="5" t="n">
        <v>0.114</v>
      </c>
      <c r="BE158" s="5" t="n">
        <v>-0.052</v>
      </c>
      <c r="BF158" s="5" t="n">
        <v>0.46</v>
      </c>
      <c r="BG158" s="5" t="n">
        <v>0.19</v>
      </c>
      <c r="BH158" s="5" t="n">
        <v>0</v>
      </c>
      <c r="BI158" s="5" t="n">
        <v>0.505</v>
      </c>
      <c r="BJ158" s="5" t="n">
        <v>0.114</v>
      </c>
      <c r="BK158" s="5" t="n">
        <v>0.473</v>
      </c>
      <c r="BL158" s="5" t="n">
        <v>1.163</v>
      </c>
      <c r="BM158" s="5" t="n">
        <v>0.19</v>
      </c>
      <c r="BN158" s="5" t="n">
        <v>1</v>
      </c>
      <c r="BO158" s="5" t="n">
        <v>0</v>
      </c>
      <c r="BP158" s="5" t="n">
        <v>0</v>
      </c>
      <c r="BQ158" s="5" t="n">
        <v>0.082</v>
      </c>
      <c r="BR158" s="5" t="n">
        <v>0</v>
      </c>
      <c r="BS158" s="5" t="n">
        <v>1</v>
      </c>
      <c r="BT158" s="5" t="n">
        <v>0</v>
      </c>
      <c r="BU158" s="5" t="n">
        <v>0</v>
      </c>
      <c r="BV158" s="5" t="n">
        <v>0.152</v>
      </c>
      <c r="BW158" s="5" t="n">
        <v>0.19</v>
      </c>
      <c r="BX158" s="5" t="n">
        <v>1</v>
      </c>
      <c r="BY158" s="5" t="n">
        <v>11.787</v>
      </c>
      <c r="BZ158" s="5" t="n">
        <v>0</v>
      </c>
      <c r="CA158" s="5" t="n">
        <v>11.787</v>
      </c>
      <c r="CB158" s="5" t="n">
        <v>0</v>
      </c>
      <c r="CC158" s="5" t="n">
        <v>78.125</v>
      </c>
      <c r="CD158" s="5" t="n">
        <v>7.95</v>
      </c>
      <c r="CE158" s="5" t="n">
        <v>0</v>
      </c>
      <c r="CF158" s="5" t="n">
        <v>92.96899999999999</v>
      </c>
      <c r="CG158" s="5" t="n">
        <v>0.19</v>
      </c>
      <c r="CH158" s="5" t="n">
        <v>1</v>
      </c>
      <c r="CI158" s="5" t="n">
        <v>0</v>
      </c>
      <c r="CJ158" s="5" t="n">
        <v>0</v>
      </c>
      <c r="CK158" s="5" t="n">
        <v>0</v>
      </c>
      <c r="CL158" s="5" t="n">
        <v>0</v>
      </c>
      <c r="CM158" s="5" t="n">
        <v>0</v>
      </c>
      <c r="CN158" s="5" t="n">
        <v>0</v>
      </c>
      <c r="CO158" s="5" t="n">
        <v>0</v>
      </c>
      <c r="CP158" s="5" t="n">
        <v>0</v>
      </c>
      <c r="CQ158" s="5" t="n">
        <v>1.198</v>
      </c>
      <c r="CR158" s="5" t="n">
        <v>0</v>
      </c>
      <c r="CS158" s="5" t="n">
        <v>4.776</v>
      </c>
      <c r="CT158" s="5" t="n">
        <v>4.753</v>
      </c>
      <c r="CU158" s="5" t="n">
        <v>15.162</v>
      </c>
    </row>
    <row r="159">
      <c r="A159" s="5" t="inlineStr">
        <is>
          <t>CAF2022</t>
        </is>
      </c>
      <c r="B159" s="5" t="inlineStr">
        <is>
          <t>CAF</t>
        </is>
      </c>
      <c r="C159" s="5" t="inlineStr">
        <is>
          <t>CAF</t>
        </is>
      </c>
      <c r="D159" s="5" t="inlineStr">
        <is>
          <t>Central African Republic</t>
        </is>
      </c>
      <c r="E159" s="5" t="n">
        <v>2022</v>
      </c>
      <c r="F159" s="5" t="n">
        <v>0.19</v>
      </c>
      <c r="G159" s="5" t="n">
        <v>11.72</v>
      </c>
      <c r="H159" s="5" t="n">
        <v>1.235</v>
      </c>
      <c r="I159" s="5" t="n">
        <v>0</v>
      </c>
      <c r="J159" s="5" t="n">
        <v>11.72</v>
      </c>
      <c r="K159" s="5" t="n">
        <v>0</v>
      </c>
      <c r="L159" s="5" t="n">
        <v>1</v>
      </c>
      <c r="M159" s="5" t="n">
        <v>9.782999999999999</v>
      </c>
      <c r="N159" s="5" t="n">
        <v>3.704</v>
      </c>
      <c r="O159" s="5" t="n">
        <v>0</v>
      </c>
      <c r="P159" s="5" t="n">
        <v>9.782999999999999</v>
      </c>
      <c r="Q159" s="5" t="n">
        <v>0</v>
      </c>
      <c r="R159" s="5" t="n">
        <v>1</v>
      </c>
      <c r="S159" s="5" t="n">
        <v>17.893</v>
      </c>
      <c r="T159" s="5" t="n">
        <v>7.408</v>
      </c>
      <c r="U159" s="5" t="n">
        <v>0.252</v>
      </c>
      <c r="V159" s="5" t="n">
        <v>21.293</v>
      </c>
      <c r="W159" s="5" t="n">
        <v>0.19</v>
      </c>
      <c r="X159" s="5" t="n">
        <v>1</v>
      </c>
      <c r="Y159" s="5" t="n">
        <v>6.392</v>
      </c>
      <c r="Z159" s="5" t="n">
        <v>0.864</v>
      </c>
      <c r="AA159" s="5" t="n">
        <v>0</v>
      </c>
      <c r="AB159" s="5" t="n">
        <v>6.392</v>
      </c>
      <c r="AC159" s="5" t="n">
        <v>0</v>
      </c>
      <c r="AD159" s="5" t="n">
        <v>1</v>
      </c>
      <c r="AE159" s="5" t="n">
        <v>7.627</v>
      </c>
      <c r="AF159" s="5" t="n">
        <v>1.783</v>
      </c>
      <c r="AG159" s="5" t="n">
        <v>0</v>
      </c>
      <c r="AH159" s="5" t="n">
        <v>7.627</v>
      </c>
      <c r="AI159" s="5" t="n">
        <v>0</v>
      </c>
      <c r="AJ159" s="5" t="n">
        <v>1</v>
      </c>
      <c r="AK159" s="5" t="n">
        <v>15.035</v>
      </c>
      <c r="AL159" s="5" t="n">
        <v>8.007999999999999</v>
      </c>
      <c r="AM159" s="5" t="n">
        <v>0.211</v>
      </c>
      <c r="AN159" s="5" t="n">
        <v>17.892</v>
      </c>
      <c r="AO159" s="5" t="n">
        <v>0.19</v>
      </c>
      <c r="AP159" s="5" t="n">
        <v>1</v>
      </c>
      <c r="AQ159" s="5" t="n">
        <v>0.861</v>
      </c>
      <c r="AR159" s="5" t="n">
        <v>0.123</v>
      </c>
      <c r="AS159" s="5" t="n">
        <v>0.304</v>
      </c>
      <c r="AT159" s="5" t="n">
        <v>1.387</v>
      </c>
      <c r="AU159" s="5" t="n">
        <v>0.19</v>
      </c>
      <c r="AV159" s="5" t="n">
        <v>1</v>
      </c>
      <c r="AW159" s="5" t="n">
        <v>0.986</v>
      </c>
      <c r="AX159" s="5" t="n">
        <v>0.123</v>
      </c>
      <c r="AY159" s="5" t="n">
        <v>0.166</v>
      </c>
      <c r="AZ159" s="5" t="n">
        <v>1.371</v>
      </c>
      <c r="BA159" s="5" t="n">
        <v>0.19</v>
      </c>
      <c r="BB159" s="5" t="n">
        <v>1</v>
      </c>
      <c r="BC159" s="5" t="n">
        <v>0.598</v>
      </c>
      <c r="BD159" s="5" t="n">
        <v>0.123</v>
      </c>
      <c r="BE159" s="5" t="n">
        <v>-0.253</v>
      </c>
      <c r="BF159" s="5" t="n">
        <v>0.41</v>
      </c>
      <c r="BG159" s="5" t="n">
        <v>0.19</v>
      </c>
      <c r="BH159" s="5" t="n">
        <v>0</v>
      </c>
      <c r="BI159" s="5" t="n">
        <v>0.612</v>
      </c>
      <c r="BJ159" s="5" t="n">
        <v>0.123</v>
      </c>
      <c r="BK159" s="5" t="n">
        <v>0.257</v>
      </c>
      <c r="BL159" s="5" t="n">
        <v>1.034</v>
      </c>
      <c r="BM159" s="5" t="n">
        <v>0.19</v>
      </c>
      <c r="BN159" s="5" t="n">
        <v>1</v>
      </c>
      <c r="BO159" s="5" t="n">
        <v>0</v>
      </c>
      <c r="BP159" s="5" t="n">
        <v>0</v>
      </c>
      <c r="BQ159" s="5" t="n">
        <v>0.073</v>
      </c>
      <c r="BR159" s="5" t="n">
        <v>0</v>
      </c>
      <c r="BS159" s="5" t="n">
        <v>1</v>
      </c>
      <c r="BT159" s="5" t="n">
        <v>0</v>
      </c>
      <c r="BU159" s="5" t="n">
        <v>0</v>
      </c>
      <c r="BV159" s="5" t="n">
        <v>0.135</v>
      </c>
      <c r="BW159" s="5" t="n">
        <v>0.19</v>
      </c>
      <c r="BX159" s="5" t="n">
        <v>1</v>
      </c>
      <c r="BY159" s="5" t="n">
        <v>12.729</v>
      </c>
      <c r="BZ159" s="5" t="n">
        <v>0</v>
      </c>
      <c r="CA159" s="5" t="n">
        <v>12.729</v>
      </c>
      <c r="CB159" s="5" t="n">
        <v>0</v>
      </c>
      <c r="CC159" s="5" t="n">
        <v>97.90000000000001</v>
      </c>
      <c r="CD159" s="5" t="n">
        <v>7.95</v>
      </c>
      <c r="CE159" s="5" t="n">
        <v>1.377</v>
      </c>
      <c r="CF159" s="5" t="n">
        <v>116.501</v>
      </c>
      <c r="CG159" s="5" t="n">
        <v>0.19</v>
      </c>
      <c r="CH159" s="5" t="n">
        <v>1</v>
      </c>
      <c r="CI159" s="5" t="n">
        <v>0</v>
      </c>
      <c r="CJ159" s="5" t="n">
        <v>0</v>
      </c>
      <c r="CK159" s="5" t="n">
        <v>0</v>
      </c>
      <c r="CL159" s="5" t="n">
        <v>0</v>
      </c>
      <c r="CM159" s="5" t="n">
        <v>0</v>
      </c>
      <c r="CN159" s="5" t="n">
        <v>0</v>
      </c>
      <c r="CO159" s="5" t="n">
        <v>0</v>
      </c>
      <c r="CP159" s="5" t="n">
        <v>0</v>
      </c>
      <c r="CQ159" s="5" t="n">
        <v>1.294</v>
      </c>
      <c r="CR159" s="5" t="n">
        <v>0</v>
      </c>
      <c r="CS159" s="5" t="n">
        <v>5.158</v>
      </c>
      <c r="CT159" s="5" t="n">
        <v>10.485</v>
      </c>
      <c r="CU159" s="5" t="n">
        <v>31.326</v>
      </c>
    </row>
    <row r="160">
      <c r="A160" s="5" t="inlineStr">
        <is>
          <t>CAF2023</t>
        </is>
      </c>
      <c r="B160" s="5" t="inlineStr">
        <is>
          <t>CAF</t>
        </is>
      </c>
      <c r="C160" s="5" t="inlineStr">
        <is>
          <t>CAF</t>
        </is>
      </c>
      <c r="D160" s="5" t="inlineStr">
        <is>
          <t>Central African Republic</t>
        </is>
      </c>
      <c r="E160" s="5" t="n">
        <v>2023</v>
      </c>
      <c r="F160" s="5" t="n">
        <v>0.19</v>
      </c>
      <c r="G160" s="5" t="n">
        <v>6.147</v>
      </c>
      <c r="H160" s="5" t="n">
        <v>1.286</v>
      </c>
      <c r="I160" s="5" t="n">
        <v>0</v>
      </c>
      <c r="J160" s="5" t="n">
        <v>6.147</v>
      </c>
      <c r="K160" s="5" t="n">
        <v>0</v>
      </c>
      <c r="L160" s="5" t="n">
        <v>1</v>
      </c>
      <c r="M160" s="5" t="n">
        <v>7.886</v>
      </c>
      <c r="N160" s="5" t="n">
        <v>3.857</v>
      </c>
      <c r="O160" s="5" t="n">
        <v>0</v>
      </c>
      <c r="P160" s="5" t="n">
        <v>7.886</v>
      </c>
      <c r="Q160" s="5" t="n">
        <v>0</v>
      </c>
      <c r="R160" s="5" t="n">
        <v>1</v>
      </c>
      <c r="S160" s="5" t="n">
        <v>12.575</v>
      </c>
      <c r="T160" s="5" t="n">
        <v>7.714</v>
      </c>
      <c r="U160" s="5" t="n">
        <v>0.265</v>
      </c>
      <c r="V160" s="5" t="n">
        <v>14.964</v>
      </c>
      <c r="W160" s="5" t="n">
        <v>0.19</v>
      </c>
      <c r="X160" s="5" t="n">
        <v>1</v>
      </c>
      <c r="Y160" s="5" t="n">
        <v>6.656</v>
      </c>
      <c r="Z160" s="5" t="n">
        <v>0.9</v>
      </c>
      <c r="AA160" s="5" t="n">
        <v>0</v>
      </c>
      <c r="AB160" s="5" t="n">
        <v>6.656</v>
      </c>
      <c r="AC160" s="5" t="n">
        <v>0</v>
      </c>
      <c r="AD160" s="5" t="n">
        <v>1</v>
      </c>
      <c r="AE160" s="5" t="n">
        <v>7.942</v>
      </c>
      <c r="AF160" s="5" t="n">
        <v>1.857</v>
      </c>
      <c r="AG160" s="5" t="n">
        <v>0</v>
      </c>
      <c r="AH160" s="5" t="n">
        <v>7.942</v>
      </c>
      <c r="AI160" s="5" t="n">
        <v>0</v>
      </c>
      <c r="AJ160" s="5" t="n">
        <v>1</v>
      </c>
      <c r="AK160" s="5" t="n">
        <v>15.656</v>
      </c>
      <c r="AL160" s="5" t="n">
        <v>8.337999999999999</v>
      </c>
      <c r="AM160" s="5" t="n">
        <v>0.329</v>
      </c>
      <c r="AN160" s="5" t="n">
        <v>18.63</v>
      </c>
      <c r="AO160" s="5" t="n">
        <v>0.19</v>
      </c>
      <c r="AP160" s="5" t="n">
        <v>1</v>
      </c>
      <c r="AQ160" s="5" t="n">
        <v>0.76</v>
      </c>
      <c r="AR160" s="5" t="n">
        <v>0.129</v>
      </c>
      <c r="AS160" s="5" t="n">
        <v>0.902</v>
      </c>
      <c r="AT160" s="5" t="n">
        <v>1.978</v>
      </c>
      <c r="AU160" s="5" t="n">
        <v>0.19</v>
      </c>
      <c r="AV160" s="5" t="n">
        <v>1</v>
      </c>
      <c r="AW160" s="5" t="n">
        <v>0.8110000000000001</v>
      </c>
      <c r="AX160" s="5" t="n">
        <v>0.129</v>
      </c>
      <c r="AY160" s="5" t="n">
        <v>1.128</v>
      </c>
      <c r="AZ160" s="5" t="n">
        <v>2.308</v>
      </c>
      <c r="BA160" s="5" t="n">
        <v>0.19</v>
      </c>
      <c r="BB160" s="5" t="n">
        <v>1</v>
      </c>
      <c r="BC160" s="5" t="n">
        <v>0.535</v>
      </c>
      <c r="BD160" s="5" t="n">
        <v>0.129</v>
      </c>
      <c r="BE160" s="5" t="n">
        <v>-0.184</v>
      </c>
      <c r="BF160" s="5" t="n">
        <v>0.418</v>
      </c>
      <c r="BG160" s="5" t="n">
        <v>0.19</v>
      </c>
      <c r="BH160" s="5" t="n">
        <v>0</v>
      </c>
      <c r="BI160" s="5" t="n">
        <v>0.579</v>
      </c>
      <c r="BJ160" s="5" t="n">
        <v>0.129</v>
      </c>
      <c r="BK160" s="5" t="n">
        <v>0.806</v>
      </c>
      <c r="BL160" s="5" t="n">
        <v>1.649</v>
      </c>
      <c r="BM160" s="5" t="n">
        <v>0.19</v>
      </c>
      <c r="BN160" s="5" t="n">
        <v>1</v>
      </c>
      <c r="BO160" s="5" t="n">
        <v>0</v>
      </c>
      <c r="BP160" s="5" t="n">
        <v>0</v>
      </c>
      <c r="BQ160" s="5" t="n">
        <v>0.075</v>
      </c>
      <c r="BR160" s="5" t="n">
        <v>0</v>
      </c>
      <c r="BS160" s="5" t="n">
        <v>1</v>
      </c>
      <c r="BT160" s="5" t="n">
        <v>0</v>
      </c>
      <c r="BU160" s="5" t="n">
        <v>0</v>
      </c>
      <c r="BV160" s="5" t="n">
        <v>0.139</v>
      </c>
      <c r="BW160" s="5" t="n">
        <v>0.19</v>
      </c>
      <c r="BX160" s="5" t="n">
        <v>1</v>
      </c>
      <c r="BY160" s="5" t="n">
        <v>13.254</v>
      </c>
      <c r="BZ160" s="5" t="n">
        <v>0</v>
      </c>
      <c r="CA160" s="5" t="n">
        <v>13.254</v>
      </c>
      <c r="CB160" s="5" t="n">
        <v>0</v>
      </c>
      <c r="CC160" s="5" t="n">
        <v>83.248</v>
      </c>
      <c r="CD160" s="5" t="n">
        <v>7.95</v>
      </c>
      <c r="CE160" s="5" t="n">
        <v>1.751</v>
      </c>
      <c r="CF160" s="5" t="n">
        <v>99.065</v>
      </c>
      <c r="CG160" s="5" t="n">
        <v>0.19</v>
      </c>
      <c r="CH160" s="5" t="n">
        <v>1</v>
      </c>
      <c r="CI160" s="5" t="n">
        <v>0</v>
      </c>
      <c r="CJ160" s="5" t="n">
        <v>0</v>
      </c>
      <c r="CK160" s="5" t="n">
        <v>0</v>
      </c>
      <c r="CL160" s="5" t="n">
        <v>0</v>
      </c>
      <c r="CM160" s="5" t="n">
        <v>0</v>
      </c>
      <c r="CN160" s="5" t="n">
        <v>0</v>
      </c>
      <c r="CO160" s="5" t="n">
        <v>0</v>
      </c>
      <c r="CP160" s="5" t="n">
        <v>0</v>
      </c>
      <c r="CQ160" s="5" t="n">
        <v>1.348</v>
      </c>
      <c r="CR160" s="5" t="n">
        <v>0</v>
      </c>
      <c r="CS160" s="5" t="n">
        <v>5.37</v>
      </c>
      <c r="CT160" s="5" t="n">
        <v>4.861</v>
      </c>
      <c r="CU160" s="5" t="n">
        <v>11.622</v>
      </c>
    </row>
    <row r="161">
      <c r="A161" s="5" t="inlineStr">
        <is>
          <t>CAF2024</t>
        </is>
      </c>
      <c r="B161" s="5" t="inlineStr">
        <is>
          <t>CAF</t>
        </is>
      </c>
      <c r="C161" s="5" t="inlineStr">
        <is>
          <t>CAF</t>
        </is>
      </c>
      <c r="D161" s="5" t="inlineStr">
        <is>
          <t>Central African Republic</t>
        </is>
      </c>
      <c r="E161" s="5" t="n">
        <v>2024</v>
      </c>
      <c r="F161" s="5" t="n">
        <v>0.19</v>
      </c>
      <c r="G161" s="5" t="n">
        <v>5.575</v>
      </c>
      <c r="H161" s="5" t="n">
        <v>1.324</v>
      </c>
      <c r="I161" s="5" t="n">
        <v>0</v>
      </c>
      <c r="J161" s="5" t="n">
        <v>5.575</v>
      </c>
      <c r="K161" s="5" t="n">
        <v>0</v>
      </c>
      <c r="L161" s="5" t="n">
        <v>1</v>
      </c>
      <c r="M161" s="5" t="n">
        <v>7.124</v>
      </c>
      <c r="N161" s="5" t="n">
        <v>3.971</v>
      </c>
      <c r="O161" s="5" t="n">
        <v>0</v>
      </c>
      <c r="P161" s="5" t="n">
        <v>7.124</v>
      </c>
      <c r="Q161" s="5" t="n">
        <v>0</v>
      </c>
      <c r="R161" s="5" t="n">
        <v>1</v>
      </c>
      <c r="S161" s="5" t="n">
        <v>12.193</v>
      </c>
      <c r="T161" s="5" t="n">
        <v>7.942</v>
      </c>
      <c r="U161" s="5" t="n">
        <v>0.316</v>
      </c>
      <c r="V161" s="5" t="n">
        <v>14.509</v>
      </c>
      <c r="W161" s="5" t="n">
        <v>0.19</v>
      </c>
      <c r="X161" s="5" t="n">
        <v>1</v>
      </c>
      <c r="Y161" s="5" t="n">
        <v>6.853</v>
      </c>
      <c r="Z161" s="5" t="n">
        <v>0.926</v>
      </c>
      <c r="AA161" s="5" t="n">
        <v>0</v>
      </c>
      <c r="AB161" s="5" t="n">
        <v>6.853</v>
      </c>
      <c r="AC161" s="5" t="n">
        <v>0</v>
      </c>
      <c r="AD161" s="5" t="n">
        <v>1</v>
      </c>
      <c r="AE161" s="5" t="n">
        <v>8.176</v>
      </c>
      <c r="AF161" s="5" t="n">
        <v>1.912</v>
      </c>
      <c r="AG161" s="5" t="n">
        <v>0</v>
      </c>
      <c r="AH161" s="5" t="n">
        <v>8.176</v>
      </c>
      <c r="AI161" s="5" t="n">
        <v>0</v>
      </c>
      <c r="AJ161" s="5" t="n">
        <v>1</v>
      </c>
      <c r="AK161" s="5" t="n">
        <v>16.118</v>
      </c>
      <c r="AL161" s="5" t="n">
        <v>8.584</v>
      </c>
      <c r="AM161" s="5" t="n">
        <v>0.417</v>
      </c>
      <c r="AN161" s="5" t="n">
        <v>19.18</v>
      </c>
      <c r="AO161" s="5" t="n">
        <v>0.19</v>
      </c>
      <c r="AP161" s="5" t="n">
        <v>1</v>
      </c>
      <c r="AQ161" s="5" t="n">
        <v>0.724</v>
      </c>
      <c r="AR161" s="5" t="n">
        <v>0.132</v>
      </c>
      <c r="AS161" s="5" t="n">
        <v>0.8</v>
      </c>
      <c r="AT161" s="5" t="n">
        <v>1.814</v>
      </c>
      <c r="AU161" s="5" t="n">
        <v>0.19</v>
      </c>
      <c r="AV161" s="5" t="n">
        <v>1</v>
      </c>
      <c r="AW161" s="5" t="n">
        <v>0.75</v>
      </c>
      <c r="AX161" s="5" t="n">
        <v>0.132</v>
      </c>
      <c r="AY161" s="5" t="n">
        <v>1.121</v>
      </c>
      <c r="AZ161" s="5" t="n">
        <v>2.226</v>
      </c>
      <c r="BA161" s="5" t="n">
        <v>0.19</v>
      </c>
      <c r="BB161" s="5" t="n">
        <v>1</v>
      </c>
      <c r="BC161" s="5" t="n">
        <v>0.513</v>
      </c>
      <c r="BD161" s="5" t="n">
        <v>0.132</v>
      </c>
      <c r="BE161" s="5" t="n">
        <v>-0.142</v>
      </c>
      <c r="BF161" s="5" t="n">
        <v>0.43</v>
      </c>
      <c r="BG161" s="5" t="n">
        <v>0.19</v>
      </c>
      <c r="BH161" s="5" t="n">
        <v>0</v>
      </c>
      <c r="BI161" s="5" t="n">
        <v>0.591</v>
      </c>
      <c r="BJ161" s="5" t="n">
        <v>0.132</v>
      </c>
      <c r="BK161" s="5" t="n">
        <v>0.587</v>
      </c>
      <c r="BL161" s="5" t="n">
        <v>1.402</v>
      </c>
      <c r="BM161" s="5" t="n">
        <v>0.19</v>
      </c>
      <c r="BN161" s="5" t="n">
        <v>1</v>
      </c>
      <c r="BO161" s="5" t="n">
        <v>0</v>
      </c>
      <c r="BP161" s="5" t="n">
        <v>0</v>
      </c>
      <c r="BQ161" s="5" t="n">
        <v>0.077</v>
      </c>
      <c r="BR161" s="5" t="n">
        <v>0</v>
      </c>
      <c r="BS161" s="5" t="n">
        <v>1</v>
      </c>
      <c r="BT161" s="5" t="n">
        <v>0</v>
      </c>
      <c r="BU161" s="5" t="n">
        <v>0</v>
      </c>
      <c r="BV161" s="5" t="n">
        <v>0.143</v>
      </c>
      <c r="BW161" s="5" t="n">
        <v>0.19</v>
      </c>
      <c r="BX161" s="5" t="n">
        <v>1</v>
      </c>
      <c r="BY161" s="5" t="n">
        <v>13.646</v>
      </c>
      <c r="BZ161" s="5" t="n">
        <v>0</v>
      </c>
      <c r="CA161" s="5" t="n">
        <v>13.646</v>
      </c>
      <c r="CB161" s="5" t="n">
        <v>0</v>
      </c>
      <c r="CC161" s="5" t="n">
        <v>82.58799999999999</v>
      </c>
      <c r="CD161" s="5" t="n">
        <v>7.95</v>
      </c>
      <c r="CE161" s="5" t="n">
        <v>2.137</v>
      </c>
      <c r="CF161" s="5" t="n">
        <v>98.28</v>
      </c>
      <c r="CG161" s="5" t="n">
        <v>0.19</v>
      </c>
      <c r="CH161" s="5" t="n">
        <v>1</v>
      </c>
      <c r="CI161" s="5" t="n">
        <v>0</v>
      </c>
      <c r="CJ161" s="5" t="n">
        <v>0</v>
      </c>
      <c r="CK161" s="5" t="n">
        <v>0</v>
      </c>
      <c r="CL161" s="5" t="n">
        <v>0</v>
      </c>
      <c r="CM161" s="5" t="n">
        <v>0</v>
      </c>
      <c r="CN161" s="5" t="n">
        <v>0</v>
      </c>
      <c r="CO161" s="5" t="n">
        <v>0</v>
      </c>
      <c r="CP161" s="5" t="n">
        <v>0</v>
      </c>
      <c r="CQ161" s="5" t="n">
        <v>1.387</v>
      </c>
      <c r="CR161" s="5" t="n">
        <v>0</v>
      </c>
      <c r="CS161" s="5" t="n">
        <v>5.529</v>
      </c>
      <c r="CT161" s="5" t="n">
        <v>4.251</v>
      </c>
      <c r="CU161" s="5" t="n">
        <v>10.168</v>
      </c>
    </row>
    <row r="162">
      <c r="A162" s="5" t="inlineStr">
        <is>
          <t>TCD2021</t>
        </is>
      </c>
      <c r="B162" s="5" t="inlineStr">
        <is>
          <t>TCD</t>
        </is>
      </c>
      <c r="C162" s="5" t="inlineStr">
        <is>
          <t>TCD</t>
        </is>
      </c>
      <c r="D162" s="5" t="inlineStr">
        <is>
          <t>Chad</t>
        </is>
      </c>
      <c r="E162" s="5" t="n">
        <v>2021</v>
      </c>
      <c r="F162" s="5" t="n">
        <v>0.18</v>
      </c>
      <c r="G162" s="5" t="n">
        <v>5.897</v>
      </c>
      <c r="H162" s="5" t="n">
        <v>1.143</v>
      </c>
      <c r="I162" s="5" t="n">
        <v>0</v>
      </c>
      <c r="J162" s="5" t="n">
        <v>5.897</v>
      </c>
      <c r="K162" s="5" t="n">
        <v>0</v>
      </c>
      <c r="L162" s="5" t="n">
        <v>1</v>
      </c>
      <c r="M162" s="5" t="n">
        <v>7.964</v>
      </c>
      <c r="N162" s="5" t="n">
        <v>3.43</v>
      </c>
      <c r="O162" s="5" t="n">
        <v>0</v>
      </c>
      <c r="P162" s="5" t="n">
        <v>7.964</v>
      </c>
      <c r="Q162" s="5" t="n">
        <v>0</v>
      </c>
      <c r="R162" s="5" t="n">
        <v>1</v>
      </c>
      <c r="S162" s="5" t="n">
        <v>11.613</v>
      </c>
      <c r="T162" s="5" t="n">
        <v>6.86</v>
      </c>
      <c r="U162" s="5" t="n">
        <v>0</v>
      </c>
      <c r="V162" s="5" t="n">
        <v>13.704</v>
      </c>
      <c r="W162" s="5" t="n">
        <v>0.18</v>
      </c>
      <c r="X162" s="5" t="n">
        <v>1</v>
      </c>
      <c r="Y162" s="5" t="n">
        <v>16.305</v>
      </c>
      <c r="Z162" s="5" t="n">
        <v>2.204</v>
      </c>
      <c r="AA162" s="5" t="n">
        <v>0</v>
      </c>
      <c r="AB162" s="5" t="n">
        <v>16.305</v>
      </c>
      <c r="AC162" s="5" t="n">
        <v>0</v>
      </c>
      <c r="AD162" s="5" t="n">
        <v>1</v>
      </c>
      <c r="AE162" s="5" t="n">
        <v>17.449</v>
      </c>
      <c r="AF162" s="5" t="n">
        <v>4.08</v>
      </c>
      <c r="AG162" s="5" t="n">
        <v>0</v>
      </c>
      <c r="AH162" s="5" t="n">
        <v>17.449</v>
      </c>
      <c r="AI162" s="5" t="n">
        <v>0</v>
      </c>
      <c r="AJ162" s="5" t="n">
        <v>1</v>
      </c>
      <c r="AK162" s="5" t="n">
        <v>24.309</v>
      </c>
      <c r="AL162" s="5" t="n">
        <v>12.947</v>
      </c>
      <c r="AM162" s="5" t="n">
        <v>0</v>
      </c>
      <c r="AN162" s="5" t="n">
        <v>28.684</v>
      </c>
      <c r="AO162" s="5" t="n">
        <v>0.18</v>
      </c>
      <c r="AP162" s="5" t="n">
        <v>1</v>
      </c>
      <c r="AQ162" s="5" t="n">
        <v>0.714</v>
      </c>
      <c r="AR162" s="5" t="n">
        <v>0.131</v>
      </c>
      <c r="AS162" s="5" t="n">
        <v>0.193</v>
      </c>
      <c r="AT162" s="5" t="n">
        <v>0.907</v>
      </c>
      <c r="AU162" s="5" t="n">
        <v>0</v>
      </c>
      <c r="AV162" s="5" t="n">
        <v>1</v>
      </c>
      <c r="AW162" s="5" t="n">
        <v>0.711</v>
      </c>
      <c r="AX162" s="5" t="n">
        <v>0.137</v>
      </c>
      <c r="AY162" s="5" t="n">
        <v>0.284</v>
      </c>
      <c r="AZ162" s="5" t="n">
        <v>0.995</v>
      </c>
      <c r="BA162" s="5" t="n">
        <v>0</v>
      </c>
      <c r="BB162" s="5" t="n">
        <v>1</v>
      </c>
      <c r="BC162" s="5" t="n">
        <v>0.439</v>
      </c>
      <c r="BD162" s="5" t="n">
        <v>0.114</v>
      </c>
      <c r="BE162" s="5" t="n">
        <v>-0.163</v>
      </c>
      <c r="BF162" s="5" t="n">
        <v>0.326</v>
      </c>
      <c r="BG162" s="5" t="n">
        <v>0</v>
      </c>
      <c r="BH162" s="5" t="n">
        <v>0</v>
      </c>
      <c r="BI162" s="5" t="n">
        <v>0.729</v>
      </c>
      <c r="BJ162" s="5" t="n">
        <v>0.161</v>
      </c>
      <c r="BK162" s="5" t="n">
        <v>0.169</v>
      </c>
      <c r="BL162" s="5" t="n">
        <v>0.898</v>
      </c>
      <c r="BM162" s="5" t="n">
        <v>0</v>
      </c>
      <c r="BN162" s="5" t="n">
        <v>1</v>
      </c>
      <c r="BO162" s="5" t="n">
        <v>0</v>
      </c>
      <c r="BP162" s="5" t="n">
        <v>-0.179</v>
      </c>
      <c r="BQ162" s="5" t="n">
        <v>0.178</v>
      </c>
      <c r="BR162" s="5" t="n">
        <v>0</v>
      </c>
      <c r="BS162" s="5" t="n">
        <v>1</v>
      </c>
      <c r="BT162" s="5" t="n">
        <v>0</v>
      </c>
      <c r="BU162" s="5" t="n">
        <v>-0.337</v>
      </c>
      <c r="BV162" s="5" t="n">
        <v>0.2</v>
      </c>
      <c r="BW162" s="5" t="n">
        <v>0</v>
      </c>
      <c r="BX162" s="5" t="n">
        <v>0.833</v>
      </c>
      <c r="BY162" s="5" t="n">
        <v>11.787</v>
      </c>
      <c r="BZ162" s="5" t="n">
        <v>0</v>
      </c>
      <c r="CA162" s="5" t="n">
        <v>11.787</v>
      </c>
      <c r="CB162" s="5" t="n">
        <v>0</v>
      </c>
      <c r="CC162" s="5" t="n">
        <v>78.125</v>
      </c>
      <c r="CD162" s="5" t="n">
        <v>7.95</v>
      </c>
      <c r="CE162" s="5" t="n">
        <v>13.799</v>
      </c>
      <c r="CF162" s="5" t="n">
        <v>91.92400000000001</v>
      </c>
      <c r="CG162" s="5" t="n">
        <v>0</v>
      </c>
      <c r="CH162" s="5" t="n">
        <v>1</v>
      </c>
      <c r="CI162" s="5" t="n">
        <v>0</v>
      </c>
      <c r="CJ162" s="5" t="n">
        <v>0</v>
      </c>
      <c r="CK162" s="5" t="n">
        <v>0</v>
      </c>
      <c r="CL162" s="5" t="n">
        <v>0</v>
      </c>
      <c r="CM162" s="5" t="n">
        <v>0</v>
      </c>
      <c r="CN162" s="5" t="n">
        <v>0</v>
      </c>
      <c r="CO162" s="5" t="n">
        <v>0</v>
      </c>
      <c r="CP162" s="5" t="n">
        <v>0</v>
      </c>
      <c r="CQ162" s="5" t="n">
        <v>1.198</v>
      </c>
      <c r="CR162" s="5" t="n">
        <v>0</v>
      </c>
      <c r="CS162" s="5" t="n">
        <v>4.776</v>
      </c>
      <c r="CT162" s="5" t="n">
        <v>4.753</v>
      </c>
      <c r="CU162" s="5" t="n">
        <v>15.162</v>
      </c>
    </row>
    <row r="163">
      <c r="A163" s="5" t="inlineStr">
        <is>
          <t>TCD2022</t>
        </is>
      </c>
      <c r="B163" s="5" t="inlineStr">
        <is>
          <t>TCD</t>
        </is>
      </c>
      <c r="C163" s="5" t="inlineStr">
        <is>
          <t>TCD</t>
        </is>
      </c>
      <c r="D163" s="5" t="inlineStr">
        <is>
          <t>Chad</t>
        </is>
      </c>
      <c r="E163" s="5" t="n">
        <v>2022</v>
      </c>
      <c r="F163" s="5" t="n">
        <v>0.18</v>
      </c>
      <c r="G163" s="5" t="n">
        <v>11.72</v>
      </c>
      <c r="H163" s="5" t="n">
        <v>1.235</v>
      </c>
      <c r="I163" s="5" t="n">
        <v>0</v>
      </c>
      <c r="J163" s="5" t="n">
        <v>11.72</v>
      </c>
      <c r="K163" s="5" t="n">
        <v>0</v>
      </c>
      <c r="L163" s="5" t="n">
        <v>1</v>
      </c>
      <c r="M163" s="5" t="n">
        <v>9.782999999999999</v>
      </c>
      <c r="N163" s="5" t="n">
        <v>3.704</v>
      </c>
      <c r="O163" s="5" t="n">
        <v>0</v>
      </c>
      <c r="P163" s="5" t="n">
        <v>9.782999999999999</v>
      </c>
      <c r="Q163" s="5" t="n">
        <v>0</v>
      </c>
      <c r="R163" s="5" t="n">
        <v>1</v>
      </c>
      <c r="S163" s="5" t="n">
        <v>17.893</v>
      </c>
      <c r="T163" s="5" t="n">
        <v>7.408</v>
      </c>
      <c r="U163" s="5" t="n">
        <v>0.238</v>
      </c>
      <c r="V163" s="5" t="n">
        <v>21.114</v>
      </c>
      <c r="W163" s="5" t="n">
        <v>0.18</v>
      </c>
      <c r="X163" s="5" t="n">
        <v>1</v>
      </c>
      <c r="Y163" s="5" t="n">
        <v>32.56</v>
      </c>
      <c r="Z163" s="5" t="n">
        <v>4.401</v>
      </c>
      <c r="AA163" s="5" t="n">
        <v>0</v>
      </c>
      <c r="AB163" s="5" t="n">
        <v>32.56</v>
      </c>
      <c r="AC163" s="5" t="n">
        <v>0</v>
      </c>
      <c r="AD163" s="5" t="n">
        <v>1</v>
      </c>
      <c r="AE163" s="5" t="n">
        <v>33.795</v>
      </c>
      <c r="AF163" s="5" t="n">
        <v>7.902</v>
      </c>
      <c r="AG163" s="5" t="n">
        <v>0</v>
      </c>
      <c r="AH163" s="5" t="n">
        <v>33.795</v>
      </c>
      <c r="AI163" s="5" t="n">
        <v>0</v>
      </c>
      <c r="AJ163" s="5" t="n">
        <v>1</v>
      </c>
      <c r="AK163" s="5" t="n">
        <v>41.203</v>
      </c>
      <c r="AL163" s="5" t="n">
        <v>21.945</v>
      </c>
      <c r="AM163" s="5" t="n">
        <v>0.549</v>
      </c>
      <c r="AN163" s="5" t="n">
        <v>48.62</v>
      </c>
      <c r="AO163" s="5" t="n">
        <v>0.18</v>
      </c>
      <c r="AP163" s="5" t="n">
        <v>1</v>
      </c>
      <c r="AQ163" s="5" t="n">
        <v>0.616</v>
      </c>
      <c r="AR163" s="5" t="n">
        <v>0.08799999999999999</v>
      </c>
      <c r="AS163" s="5" t="n">
        <v>0.184</v>
      </c>
      <c r="AT163" s="5" t="n">
        <v>0.799</v>
      </c>
      <c r="AU163" s="5" t="n">
        <v>0</v>
      </c>
      <c r="AV163" s="5" t="n">
        <v>1</v>
      </c>
      <c r="AW163" s="5" t="n">
        <v>0.612</v>
      </c>
      <c r="AX163" s="5" t="n">
        <v>0.08</v>
      </c>
      <c r="AY163" s="5" t="n">
        <v>0.273</v>
      </c>
      <c r="AZ163" s="5" t="n">
        <v>0.885</v>
      </c>
      <c r="BA163" s="5" t="n">
        <v>0</v>
      </c>
      <c r="BB163" s="5" t="n">
        <v>1</v>
      </c>
      <c r="BC163" s="5" t="n">
        <v>0.598</v>
      </c>
      <c r="BD163" s="5" t="n">
        <v>0.123</v>
      </c>
      <c r="BE163" s="5" t="n">
        <v>-0.348</v>
      </c>
      <c r="BF163" s="5" t="n">
        <v>0.294</v>
      </c>
      <c r="BG163" s="5" t="n">
        <v>0</v>
      </c>
      <c r="BH163" s="5" t="n">
        <v>0</v>
      </c>
      <c r="BI163" s="5" t="n">
        <v>0.753</v>
      </c>
      <c r="BJ163" s="5" t="n">
        <v>0.147</v>
      </c>
      <c r="BK163" s="5" t="n">
        <v>0.182</v>
      </c>
      <c r="BL163" s="5" t="n">
        <v>0.9350000000000001</v>
      </c>
      <c r="BM163" s="5" t="n">
        <v>0</v>
      </c>
      <c r="BN163" s="5" t="n">
        <v>1</v>
      </c>
      <c r="BO163" s="5" t="n">
        <v>0</v>
      </c>
      <c r="BP163" s="5" t="n">
        <v>-0.194</v>
      </c>
      <c r="BQ163" s="5" t="n">
        <v>0.192</v>
      </c>
      <c r="BR163" s="5" t="n">
        <v>0</v>
      </c>
      <c r="BS163" s="5" t="n">
        <v>1</v>
      </c>
      <c r="BT163" s="5" t="n">
        <v>0</v>
      </c>
      <c r="BU163" s="5" t="n">
        <v>-0.333</v>
      </c>
      <c r="BV163" s="5" t="n">
        <v>0.183</v>
      </c>
      <c r="BW163" s="5" t="n">
        <v>0</v>
      </c>
      <c r="BX163" s="5" t="n">
        <v>0.833</v>
      </c>
      <c r="BY163" s="5" t="n">
        <v>12.729</v>
      </c>
      <c r="BZ163" s="5" t="n">
        <v>0</v>
      </c>
      <c r="CA163" s="5" t="n">
        <v>12.729</v>
      </c>
      <c r="CB163" s="5" t="n">
        <v>0</v>
      </c>
      <c r="CC163" s="5" t="n">
        <v>97.90000000000001</v>
      </c>
      <c r="CD163" s="5" t="n">
        <v>7.95</v>
      </c>
      <c r="CE163" s="5" t="n">
        <v>3.174</v>
      </c>
      <c r="CF163" s="5" t="n">
        <v>101.074</v>
      </c>
      <c r="CG163" s="5" t="n">
        <v>0</v>
      </c>
      <c r="CH163" s="5" t="n">
        <v>1</v>
      </c>
      <c r="CI163" s="5" t="n">
        <v>0</v>
      </c>
      <c r="CJ163" s="5" t="n">
        <v>0</v>
      </c>
      <c r="CK163" s="5" t="n">
        <v>0</v>
      </c>
      <c r="CL163" s="5" t="n">
        <v>0</v>
      </c>
      <c r="CM163" s="5" t="n">
        <v>0</v>
      </c>
      <c r="CN163" s="5" t="n">
        <v>0</v>
      </c>
      <c r="CO163" s="5" t="n">
        <v>0</v>
      </c>
      <c r="CP163" s="5" t="n">
        <v>0</v>
      </c>
      <c r="CQ163" s="5" t="n">
        <v>1.294</v>
      </c>
      <c r="CR163" s="5" t="n">
        <v>0</v>
      </c>
      <c r="CS163" s="5" t="n">
        <v>5.158</v>
      </c>
      <c r="CT163" s="5" t="n">
        <v>10.485</v>
      </c>
      <c r="CU163" s="5" t="n">
        <v>31.326</v>
      </c>
    </row>
    <row r="164">
      <c r="A164" s="5" t="inlineStr">
        <is>
          <t>TCD2023</t>
        </is>
      </c>
      <c r="B164" s="5" t="inlineStr">
        <is>
          <t>TCD</t>
        </is>
      </c>
      <c r="C164" s="5" t="inlineStr">
        <is>
          <t>TCD</t>
        </is>
      </c>
      <c r="D164" s="5" t="inlineStr">
        <is>
          <t>Chad</t>
        </is>
      </c>
      <c r="E164" s="5" t="n">
        <v>2023</v>
      </c>
      <c r="F164" s="5" t="n">
        <v>0.18</v>
      </c>
      <c r="G164" s="5" t="n">
        <v>6.147</v>
      </c>
      <c r="H164" s="5" t="n">
        <v>1.286</v>
      </c>
      <c r="I164" s="5" t="n">
        <v>0</v>
      </c>
      <c r="J164" s="5" t="n">
        <v>6.147</v>
      </c>
      <c r="K164" s="5" t="n">
        <v>0</v>
      </c>
      <c r="L164" s="5" t="n">
        <v>1</v>
      </c>
      <c r="M164" s="5" t="n">
        <v>7.886</v>
      </c>
      <c r="N164" s="5" t="n">
        <v>3.857</v>
      </c>
      <c r="O164" s="5" t="n">
        <v>0</v>
      </c>
      <c r="P164" s="5" t="n">
        <v>7.886</v>
      </c>
      <c r="Q164" s="5" t="n">
        <v>0</v>
      </c>
      <c r="R164" s="5" t="n">
        <v>1</v>
      </c>
      <c r="S164" s="5" t="n">
        <v>12.575</v>
      </c>
      <c r="T164" s="5" t="n">
        <v>7.714</v>
      </c>
      <c r="U164" s="5" t="n">
        <v>0.251</v>
      </c>
      <c r="V164" s="5" t="n">
        <v>14.839</v>
      </c>
      <c r="W164" s="5" t="n">
        <v>0.18</v>
      </c>
      <c r="X164" s="5" t="n">
        <v>1</v>
      </c>
      <c r="Y164" s="5" t="n">
        <v>12.908</v>
      </c>
      <c r="Z164" s="5" t="n">
        <v>1.745</v>
      </c>
      <c r="AA164" s="5" t="n">
        <v>0</v>
      </c>
      <c r="AB164" s="5" t="n">
        <v>12.908</v>
      </c>
      <c r="AC164" s="5" t="n">
        <v>0</v>
      </c>
      <c r="AD164" s="5" t="n">
        <v>1</v>
      </c>
      <c r="AE164" s="5" t="n">
        <v>14.194</v>
      </c>
      <c r="AF164" s="5" t="n">
        <v>3.319</v>
      </c>
      <c r="AG164" s="5" t="n">
        <v>0</v>
      </c>
      <c r="AH164" s="5" t="n">
        <v>14.194</v>
      </c>
      <c r="AI164" s="5" t="n">
        <v>0</v>
      </c>
      <c r="AJ164" s="5" t="n">
        <v>1</v>
      </c>
      <c r="AK164" s="5" t="n">
        <v>21.908</v>
      </c>
      <c r="AL164" s="5" t="n">
        <v>11.668</v>
      </c>
      <c r="AM164" s="5" t="n">
        <v>0.437</v>
      </c>
      <c r="AN164" s="5" t="n">
        <v>25.851</v>
      </c>
      <c r="AO164" s="5" t="n">
        <v>0.18</v>
      </c>
      <c r="AP164" s="5" t="n">
        <v>1</v>
      </c>
      <c r="AQ164" s="5" t="n">
        <v>0.65</v>
      </c>
      <c r="AR164" s="5" t="n">
        <v>0.11</v>
      </c>
      <c r="AS164" s="5" t="n">
        <v>0.204</v>
      </c>
      <c r="AT164" s="5" t="n">
        <v>0.854</v>
      </c>
      <c r="AU164" s="5" t="n">
        <v>0</v>
      </c>
      <c r="AV164" s="5" t="n">
        <v>1</v>
      </c>
      <c r="AW164" s="5" t="n">
        <v>0.784</v>
      </c>
      <c r="AX164" s="5" t="n">
        <v>0.134</v>
      </c>
      <c r="AY164" s="5" t="n">
        <v>0.37</v>
      </c>
      <c r="AZ164" s="5" t="n">
        <v>1.154</v>
      </c>
      <c r="BA164" s="5" t="n">
        <v>0</v>
      </c>
      <c r="BB164" s="5" t="n">
        <v>1</v>
      </c>
      <c r="BC164" s="5" t="n">
        <v>0.535</v>
      </c>
      <c r="BD164" s="5" t="n">
        <v>0.129</v>
      </c>
      <c r="BE164" s="5" t="n">
        <v>-0.282</v>
      </c>
      <c r="BF164" s="5" t="n">
        <v>0.298</v>
      </c>
      <c r="BG164" s="5" t="n">
        <v>0</v>
      </c>
      <c r="BH164" s="5" t="n">
        <v>0</v>
      </c>
      <c r="BI164" s="5" t="n">
        <v>0.767</v>
      </c>
      <c r="BJ164" s="5" t="n">
        <v>0.167</v>
      </c>
      <c r="BK164" s="5" t="n">
        <v>0.19</v>
      </c>
      <c r="BL164" s="5" t="n">
        <v>0.956</v>
      </c>
      <c r="BM164" s="5" t="n">
        <v>0</v>
      </c>
      <c r="BN164" s="5" t="n">
        <v>1</v>
      </c>
      <c r="BO164" s="5" t="n">
        <v>0</v>
      </c>
      <c r="BP164" s="5" t="n">
        <v>-0.202</v>
      </c>
      <c r="BQ164" s="5" t="n">
        <v>0.2</v>
      </c>
      <c r="BR164" s="5" t="n">
        <v>0</v>
      </c>
      <c r="BS164" s="5" t="n">
        <v>1</v>
      </c>
      <c r="BT164" s="5" t="n">
        <v>0</v>
      </c>
      <c r="BU164" s="5" t="n">
        <v>-0.354</v>
      </c>
      <c r="BV164" s="5" t="n">
        <v>0.187</v>
      </c>
      <c r="BW164" s="5" t="n">
        <v>0</v>
      </c>
      <c r="BX164" s="5" t="n">
        <v>0.833</v>
      </c>
      <c r="BY164" s="5" t="n">
        <v>13.254</v>
      </c>
      <c r="BZ164" s="5" t="n">
        <v>0</v>
      </c>
      <c r="CA164" s="5" t="n">
        <v>13.254</v>
      </c>
      <c r="CB164" s="5" t="n">
        <v>0</v>
      </c>
      <c r="CC164" s="5" t="n">
        <v>83.248</v>
      </c>
      <c r="CD164" s="5" t="n">
        <v>7.95</v>
      </c>
      <c r="CE164" s="5" t="n">
        <v>19.507</v>
      </c>
      <c r="CF164" s="5" t="n">
        <v>102.755</v>
      </c>
      <c r="CG164" s="5" t="n">
        <v>0</v>
      </c>
      <c r="CH164" s="5" t="n">
        <v>1</v>
      </c>
      <c r="CI164" s="5" t="n">
        <v>0</v>
      </c>
      <c r="CJ164" s="5" t="n">
        <v>0</v>
      </c>
      <c r="CK164" s="5" t="n">
        <v>0</v>
      </c>
      <c r="CL164" s="5" t="n">
        <v>0</v>
      </c>
      <c r="CM164" s="5" t="n">
        <v>0</v>
      </c>
      <c r="CN164" s="5" t="n">
        <v>0</v>
      </c>
      <c r="CO164" s="5" t="n">
        <v>0</v>
      </c>
      <c r="CP164" s="5" t="n">
        <v>0</v>
      </c>
      <c r="CQ164" s="5" t="n">
        <v>1.348</v>
      </c>
      <c r="CR164" s="5" t="n">
        <v>0</v>
      </c>
      <c r="CS164" s="5" t="n">
        <v>5.37</v>
      </c>
      <c r="CT164" s="5" t="n">
        <v>4.861</v>
      </c>
      <c r="CU164" s="5" t="n">
        <v>11.622</v>
      </c>
    </row>
    <row r="165">
      <c r="A165" s="5" t="inlineStr">
        <is>
          <t>TCD2024</t>
        </is>
      </c>
      <c r="B165" s="5" t="inlineStr">
        <is>
          <t>TCD</t>
        </is>
      </c>
      <c r="C165" s="5" t="inlineStr">
        <is>
          <t>TCD</t>
        </is>
      </c>
      <c r="D165" s="5" t="inlineStr">
        <is>
          <t>Chad</t>
        </is>
      </c>
      <c r="E165" s="5" t="n">
        <v>2024</v>
      </c>
      <c r="F165" s="5" t="n">
        <v>0.18</v>
      </c>
      <c r="G165" s="5" t="n">
        <v>5.575</v>
      </c>
      <c r="H165" s="5" t="n">
        <v>1.324</v>
      </c>
      <c r="I165" s="5" t="n">
        <v>0</v>
      </c>
      <c r="J165" s="5" t="n">
        <v>5.575</v>
      </c>
      <c r="K165" s="5" t="n">
        <v>0</v>
      </c>
      <c r="L165" s="5" t="n">
        <v>1</v>
      </c>
      <c r="M165" s="5" t="n">
        <v>7.124</v>
      </c>
      <c r="N165" s="5" t="n">
        <v>3.971</v>
      </c>
      <c r="O165" s="5" t="n">
        <v>0</v>
      </c>
      <c r="P165" s="5" t="n">
        <v>7.124</v>
      </c>
      <c r="Q165" s="5" t="n">
        <v>0</v>
      </c>
      <c r="R165" s="5" t="n">
        <v>1</v>
      </c>
      <c r="S165" s="5" t="n">
        <v>12.193</v>
      </c>
      <c r="T165" s="5" t="n">
        <v>7.942</v>
      </c>
      <c r="U165" s="5" t="n">
        <v>0.299</v>
      </c>
      <c r="V165" s="5" t="n">
        <v>14.388</v>
      </c>
      <c r="W165" s="5" t="n">
        <v>0.18</v>
      </c>
      <c r="X165" s="5" t="n">
        <v>1</v>
      </c>
      <c r="Y165" s="5" t="n">
        <v>11.492</v>
      </c>
      <c r="Z165" s="5" t="n">
        <v>1.553</v>
      </c>
      <c r="AA165" s="5" t="n">
        <v>0</v>
      </c>
      <c r="AB165" s="5" t="n">
        <v>11.492</v>
      </c>
      <c r="AC165" s="5" t="n">
        <v>0</v>
      </c>
      <c r="AD165" s="5" t="n">
        <v>1</v>
      </c>
      <c r="AE165" s="5" t="n">
        <v>12.815</v>
      </c>
      <c r="AF165" s="5" t="n">
        <v>2.997</v>
      </c>
      <c r="AG165" s="5" t="n">
        <v>0</v>
      </c>
      <c r="AH165" s="5" t="n">
        <v>12.815</v>
      </c>
      <c r="AI165" s="5" t="n">
        <v>0</v>
      </c>
      <c r="AJ165" s="5" t="n">
        <v>1</v>
      </c>
      <c r="AK165" s="5" t="n">
        <v>20.757</v>
      </c>
      <c r="AL165" s="5" t="n">
        <v>11.055</v>
      </c>
      <c r="AM165" s="5" t="n">
        <v>0.509</v>
      </c>
      <c r="AN165" s="5" t="n">
        <v>24.493</v>
      </c>
      <c r="AO165" s="5" t="n">
        <v>0.18</v>
      </c>
      <c r="AP165" s="5" t="n">
        <v>1</v>
      </c>
      <c r="AQ165" s="5" t="n">
        <v>0.66</v>
      </c>
      <c r="AR165" s="5" t="n">
        <v>0.12</v>
      </c>
      <c r="AS165" s="5" t="n">
        <v>0.495</v>
      </c>
      <c r="AT165" s="5" t="n">
        <v>1.154</v>
      </c>
      <c r="AU165" s="5" t="n">
        <v>0</v>
      </c>
      <c r="AV165" s="5" t="n">
        <v>1</v>
      </c>
      <c r="AW165" s="5" t="n">
        <v>0.796</v>
      </c>
      <c r="AX165" s="5" t="n">
        <v>0.146</v>
      </c>
      <c r="AY165" s="5" t="n">
        <v>0.524</v>
      </c>
      <c r="AZ165" s="5" t="n">
        <v>1.319</v>
      </c>
      <c r="BA165" s="5" t="n">
        <v>0</v>
      </c>
      <c r="BB165" s="5" t="n">
        <v>1</v>
      </c>
      <c r="BC165" s="5" t="n">
        <v>0.513</v>
      </c>
      <c r="BD165" s="5" t="n">
        <v>0.132</v>
      </c>
      <c r="BE165" s="5" t="n">
        <v>-0.26</v>
      </c>
      <c r="BF165" s="5" t="n">
        <v>0.298</v>
      </c>
      <c r="BG165" s="5" t="n">
        <v>0</v>
      </c>
      <c r="BH165" s="5" t="n">
        <v>0</v>
      </c>
      <c r="BI165" s="5" t="n">
        <v>0.792</v>
      </c>
      <c r="BJ165" s="5" t="n">
        <v>0.174</v>
      </c>
      <c r="BK165" s="5" t="n">
        <v>0.165</v>
      </c>
      <c r="BL165" s="5" t="n">
        <v>0.957</v>
      </c>
      <c r="BM165" s="5" t="n">
        <v>0</v>
      </c>
      <c r="BN165" s="5" t="n">
        <v>1</v>
      </c>
      <c r="BO165" s="5" t="n">
        <v>0</v>
      </c>
      <c r="BP165" s="5" t="n">
        <v>-0.208</v>
      </c>
      <c r="BQ165" s="5" t="n">
        <v>0.206</v>
      </c>
      <c r="BR165" s="5" t="n">
        <v>0</v>
      </c>
      <c r="BS165" s="5" t="n">
        <v>1</v>
      </c>
      <c r="BT165" s="5" t="n">
        <v>0</v>
      </c>
      <c r="BU165" s="5" t="n">
        <v>-0.274</v>
      </c>
      <c r="BV165" s="5" t="n">
        <v>0.14</v>
      </c>
      <c r="BW165" s="5" t="n">
        <v>0</v>
      </c>
      <c r="BX165" s="5" t="n">
        <v>0.833</v>
      </c>
      <c r="BY165" s="5" t="n">
        <v>13.646</v>
      </c>
      <c r="BZ165" s="5" t="n">
        <v>0</v>
      </c>
      <c r="CA165" s="5" t="n">
        <v>13.646</v>
      </c>
      <c r="CB165" s="5" t="n">
        <v>0</v>
      </c>
      <c r="CC165" s="5" t="n">
        <v>82.58799999999999</v>
      </c>
      <c r="CD165" s="5" t="n">
        <v>7.95</v>
      </c>
      <c r="CE165" s="5" t="n">
        <v>20.205</v>
      </c>
      <c r="CF165" s="5" t="n">
        <v>102.793</v>
      </c>
      <c r="CG165" s="5" t="n">
        <v>0</v>
      </c>
      <c r="CH165" s="5" t="n">
        <v>1</v>
      </c>
      <c r="CI165" s="5" t="n">
        <v>0</v>
      </c>
      <c r="CJ165" s="5" t="n">
        <v>0</v>
      </c>
      <c r="CK165" s="5" t="n">
        <v>0</v>
      </c>
      <c r="CL165" s="5" t="n">
        <v>0</v>
      </c>
      <c r="CM165" s="5" t="n">
        <v>0</v>
      </c>
      <c r="CN165" s="5" t="n">
        <v>0</v>
      </c>
      <c r="CO165" s="5" t="n">
        <v>0</v>
      </c>
      <c r="CP165" s="5" t="n">
        <v>0</v>
      </c>
      <c r="CQ165" s="5" t="n">
        <v>1.387</v>
      </c>
      <c r="CR165" s="5" t="n">
        <v>0</v>
      </c>
      <c r="CS165" s="5" t="n">
        <v>5.529</v>
      </c>
      <c r="CT165" s="5" t="n">
        <v>4.251</v>
      </c>
      <c r="CU165" s="5" t="n">
        <v>10.168</v>
      </c>
    </row>
    <row r="166">
      <c r="A166" s="5" t="inlineStr">
        <is>
          <t>CHI2021</t>
        </is>
      </c>
      <c r="B166" s="5" t="inlineStr">
        <is>
          <t>CHI</t>
        </is>
      </c>
      <c r="C166" s="5" t="inlineStr">
        <is>
          <t>CHI</t>
        </is>
      </c>
      <c r="D166" s="5" t="inlineStr">
        <is>
          <t>Channel Islands</t>
        </is>
      </c>
      <c r="E166" s="5" t="n">
        <v>2021</v>
      </c>
      <c r="F166" s="5" t="n">
        <v>0</v>
      </c>
      <c r="G166" s="5" t="n">
        <v>5.553</v>
      </c>
      <c r="H166" s="5" t="n">
        <v>1.143</v>
      </c>
      <c r="I166" s="5" t="n">
        <v>0</v>
      </c>
      <c r="J166" s="5" t="n">
        <v>5.553</v>
      </c>
      <c r="K166" s="5" t="n">
        <v>0</v>
      </c>
      <c r="L166" s="5" t="n">
        <v>1</v>
      </c>
      <c r="M166" s="5" t="n">
        <v>7.964</v>
      </c>
      <c r="N166" s="5" t="n">
        <v>3.43</v>
      </c>
      <c r="O166" s="5" t="n">
        <v>0</v>
      </c>
      <c r="P166" s="5" t="n">
        <v>7.964</v>
      </c>
      <c r="Q166" s="5" t="n">
        <v>0</v>
      </c>
      <c r="R166" s="5" t="n">
        <v>1</v>
      </c>
      <c r="S166" s="5" t="n">
        <v>11.27</v>
      </c>
      <c r="T166" s="5" t="n">
        <v>6.86</v>
      </c>
      <c r="U166" s="5" t="n">
        <v>0</v>
      </c>
      <c r="V166" s="5" t="n">
        <v>11.27</v>
      </c>
      <c r="W166" s="5" t="n">
        <v>0</v>
      </c>
      <c r="X166" s="5" t="n">
        <v>1</v>
      </c>
      <c r="Y166" s="5" t="n">
        <v>16.305</v>
      </c>
      <c r="Z166" s="5" t="n">
        <v>2.204</v>
      </c>
      <c r="AA166" s="5" t="n">
        <v>0</v>
      </c>
      <c r="AB166" s="5" t="n">
        <v>16.305</v>
      </c>
      <c r="AC166" s="5" t="n">
        <v>0</v>
      </c>
      <c r="AD166" s="5" t="n">
        <v>1</v>
      </c>
      <c r="AE166" s="5" t="n">
        <v>17.449</v>
      </c>
      <c r="AF166" s="5" t="n">
        <v>4.08</v>
      </c>
      <c r="AG166" s="5" t="n">
        <v>0</v>
      </c>
      <c r="AH166" s="5" t="n">
        <v>17.449</v>
      </c>
      <c r="AI166" s="5" t="n">
        <v>0</v>
      </c>
      <c r="AJ166" s="5" t="n">
        <v>1</v>
      </c>
      <c r="AK166" s="5" t="n">
        <v>24.309</v>
      </c>
      <c r="AL166" s="5" t="n">
        <v>12.947</v>
      </c>
      <c r="AM166" s="5" t="n">
        <v>0</v>
      </c>
      <c r="AN166" s="5" t="n">
        <v>24.309</v>
      </c>
      <c r="AO166" s="5" t="n">
        <v>0</v>
      </c>
      <c r="AP166" s="5" t="n">
        <v>1</v>
      </c>
      <c r="AQ166" s="5" t="n">
        <v>0.619</v>
      </c>
      <c r="AR166" s="5" t="n">
        <v>0.114</v>
      </c>
      <c r="AS166" s="5" t="n">
        <v>0</v>
      </c>
      <c r="AT166" s="5" t="n">
        <v>0.619</v>
      </c>
      <c r="AU166" s="5" t="n">
        <v>0</v>
      </c>
      <c r="AV166" s="5" t="n">
        <v>1</v>
      </c>
      <c r="AW166" s="5" t="n">
        <v>0.599</v>
      </c>
      <c r="AX166" s="5" t="n">
        <v>0.114</v>
      </c>
      <c r="AY166" s="5" t="n">
        <v>0</v>
      </c>
      <c r="AZ166" s="5" t="n">
        <v>0.599</v>
      </c>
      <c r="BA166" s="5" t="n">
        <v>0</v>
      </c>
      <c r="BB166" s="5" t="n">
        <v>1</v>
      </c>
      <c r="BC166" s="5" t="n">
        <v>0.439</v>
      </c>
      <c r="BD166" s="5" t="n">
        <v>0.114</v>
      </c>
      <c r="BE166" s="5" t="n">
        <v>0</v>
      </c>
      <c r="BF166" s="5" t="n">
        <v>0.439</v>
      </c>
      <c r="BG166" s="5" t="n">
        <v>0</v>
      </c>
      <c r="BH166" s="5" t="n">
        <v>1</v>
      </c>
      <c r="BI166" s="5" t="n">
        <v>0.505</v>
      </c>
      <c r="BJ166" s="5" t="n">
        <v>0.114</v>
      </c>
      <c r="BK166" s="5" t="n">
        <v>0</v>
      </c>
      <c r="BL166" s="5" t="n">
        <v>0.505</v>
      </c>
      <c r="BM166" s="5" t="n">
        <v>0</v>
      </c>
      <c r="BN166" s="5" t="n">
        <v>1</v>
      </c>
      <c r="BO166" s="5" t="n">
        <v>0</v>
      </c>
      <c r="BP166" s="5" t="n">
        <v>0</v>
      </c>
      <c r="BQ166" s="5" t="n">
        <v>0</v>
      </c>
      <c r="BR166" s="5" t="n">
        <v>0</v>
      </c>
      <c r="BS166" s="5" t="n">
        <v>1</v>
      </c>
      <c r="BT166" s="5" t="n">
        <v>0</v>
      </c>
      <c r="BU166" s="5" t="n">
        <v>0</v>
      </c>
      <c r="BV166" s="5" t="n">
        <v>0</v>
      </c>
      <c r="BW166" s="5" t="n">
        <v>0</v>
      </c>
      <c r="BX166" s="5" t="n">
        <v>1</v>
      </c>
      <c r="BY166" s="5" t="n">
        <v>11.787</v>
      </c>
      <c r="BZ166" s="5" t="n">
        <v>0</v>
      </c>
      <c r="CA166" s="5" t="n">
        <v>11.787</v>
      </c>
      <c r="CB166" s="5" t="n">
        <v>0</v>
      </c>
      <c r="CC166" s="5" t="n">
        <v>78.125</v>
      </c>
      <c r="CD166" s="5" t="n">
        <v>7.95</v>
      </c>
      <c r="CE166" s="5" t="n">
        <v>0</v>
      </c>
      <c r="CF166" s="5" t="n">
        <v>78.125</v>
      </c>
      <c r="CG166" s="5" t="n">
        <v>0</v>
      </c>
      <c r="CH166" s="5" t="n">
        <v>1</v>
      </c>
      <c r="CI166" s="5" t="n">
        <v>0</v>
      </c>
      <c r="CJ166" s="5" t="n">
        <v>0</v>
      </c>
      <c r="CK166" s="5" t="n">
        <v>0</v>
      </c>
      <c r="CL166" s="5" t="n">
        <v>0</v>
      </c>
      <c r="CM166" s="5" t="n">
        <v>0</v>
      </c>
      <c r="CN166" s="5" t="n">
        <v>0</v>
      </c>
      <c r="CO166" s="5" t="n">
        <v>0</v>
      </c>
      <c r="CP166" s="5" t="n">
        <v>0</v>
      </c>
      <c r="CQ166" s="5" t="n">
        <v>1.198</v>
      </c>
      <c r="CR166" s="5" t="n">
        <v>0</v>
      </c>
      <c r="CS166" s="5" t="n">
        <v>4.776</v>
      </c>
      <c r="CT166" s="5" t="n">
        <v>4.41</v>
      </c>
      <c r="CU166" s="5" t="n">
        <v>15.162</v>
      </c>
    </row>
    <row r="167">
      <c r="A167" s="5" t="inlineStr">
        <is>
          <t>CHI2022</t>
        </is>
      </c>
      <c r="B167" s="5" t="inlineStr">
        <is>
          <t>CHI</t>
        </is>
      </c>
      <c r="C167" s="5" t="inlineStr">
        <is>
          <t>CHI</t>
        </is>
      </c>
      <c r="D167" s="5" t="inlineStr">
        <is>
          <t>Channel Islands</t>
        </is>
      </c>
      <c r="E167" s="5" t="n">
        <v>2022</v>
      </c>
      <c r="F167" s="5" t="n">
        <v>0</v>
      </c>
      <c r="G167" s="5" t="n">
        <v>7.077</v>
      </c>
      <c r="H167" s="5" t="n">
        <v>1.235</v>
      </c>
      <c r="I167" s="5" t="n">
        <v>0</v>
      </c>
      <c r="J167" s="5" t="n">
        <v>7.077</v>
      </c>
      <c r="K167" s="5" t="n">
        <v>0</v>
      </c>
      <c r="L167" s="5" t="n">
        <v>1</v>
      </c>
      <c r="M167" s="5" t="n">
        <v>9.782999999999999</v>
      </c>
      <c r="N167" s="5" t="n">
        <v>3.704</v>
      </c>
      <c r="O167" s="5" t="n">
        <v>0</v>
      </c>
      <c r="P167" s="5" t="n">
        <v>9.782999999999999</v>
      </c>
      <c r="Q167" s="5" t="n">
        <v>0</v>
      </c>
      <c r="R167" s="5" t="n">
        <v>1</v>
      </c>
      <c r="S167" s="5" t="n">
        <v>13.25</v>
      </c>
      <c r="T167" s="5" t="n">
        <v>7.408</v>
      </c>
      <c r="U167" s="5" t="n">
        <v>0</v>
      </c>
      <c r="V167" s="5" t="n">
        <v>13.25</v>
      </c>
      <c r="W167" s="5" t="n">
        <v>0</v>
      </c>
      <c r="X167" s="5" t="n">
        <v>1</v>
      </c>
      <c r="Y167" s="5" t="n">
        <v>32.56</v>
      </c>
      <c r="Z167" s="5" t="n">
        <v>4.401</v>
      </c>
      <c r="AA167" s="5" t="n">
        <v>0</v>
      </c>
      <c r="AB167" s="5" t="n">
        <v>32.56</v>
      </c>
      <c r="AC167" s="5" t="n">
        <v>0</v>
      </c>
      <c r="AD167" s="5" t="n">
        <v>1</v>
      </c>
      <c r="AE167" s="5" t="n">
        <v>33.795</v>
      </c>
      <c r="AF167" s="5" t="n">
        <v>7.902</v>
      </c>
      <c r="AG167" s="5" t="n">
        <v>0</v>
      </c>
      <c r="AH167" s="5" t="n">
        <v>33.795</v>
      </c>
      <c r="AI167" s="5" t="n">
        <v>0</v>
      </c>
      <c r="AJ167" s="5" t="n">
        <v>1</v>
      </c>
      <c r="AK167" s="5" t="n">
        <v>41.203</v>
      </c>
      <c r="AL167" s="5" t="n">
        <v>21.945</v>
      </c>
      <c r="AM167" s="5" t="n">
        <v>0</v>
      </c>
      <c r="AN167" s="5" t="n">
        <v>41.203</v>
      </c>
      <c r="AO167" s="5" t="n">
        <v>0</v>
      </c>
      <c r="AP167" s="5" t="n">
        <v>1</v>
      </c>
      <c r="AQ167" s="5" t="n">
        <v>0.861</v>
      </c>
      <c r="AR167" s="5" t="n">
        <v>0.123</v>
      </c>
      <c r="AS167" s="5" t="n">
        <v>0</v>
      </c>
      <c r="AT167" s="5" t="n">
        <v>0.861</v>
      </c>
      <c r="AU167" s="5" t="n">
        <v>0</v>
      </c>
      <c r="AV167" s="5" t="n">
        <v>1</v>
      </c>
      <c r="AW167" s="5" t="n">
        <v>0.986</v>
      </c>
      <c r="AX167" s="5" t="n">
        <v>0.123</v>
      </c>
      <c r="AY167" s="5" t="n">
        <v>0</v>
      </c>
      <c r="AZ167" s="5" t="n">
        <v>0.986</v>
      </c>
      <c r="BA167" s="5" t="n">
        <v>0</v>
      </c>
      <c r="BB167" s="5" t="n">
        <v>1</v>
      </c>
      <c r="BC167" s="5" t="n">
        <v>0.598</v>
      </c>
      <c r="BD167" s="5" t="n">
        <v>0.123</v>
      </c>
      <c r="BE167" s="5" t="n">
        <v>0</v>
      </c>
      <c r="BF167" s="5" t="n">
        <v>0.598</v>
      </c>
      <c r="BG167" s="5" t="n">
        <v>0</v>
      </c>
      <c r="BH167" s="5" t="n">
        <v>1</v>
      </c>
      <c r="BI167" s="5" t="n">
        <v>0.612</v>
      </c>
      <c r="BJ167" s="5" t="n">
        <v>0.123</v>
      </c>
      <c r="BK167" s="5" t="n">
        <v>0</v>
      </c>
      <c r="BL167" s="5" t="n">
        <v>0.612</v>
      </c>
      <c r="BM167" s="5" t="n">
        <v>0</v>
      </c>
      <c r="BN167" s="5" t="n">
        <v>1</v>
      </c>
      <c r="BO167" s="5" t="n">
        <v>0</v>
      </c>
      <c r="BP167" s="5" t="n">
        <v>0</v>
      </c>
      <c r="BQ167" s="5" t="n">
        <v>0</v>
      </c>
      <c r="BR167" s="5" t="n">
        <v>0</v>
      </c>
      <c r="BS167" s="5" t="n">
        <v>1</v>
      </c>
      <c r="BT167" s="5" t="n">
        <v>0</v>
      </c>
      <c r="BU167" s="5" t="n">
        <v>0</v>
      </c>
      <c r="BV167" s="5" t="n">
        <v>0</v>
      </c>
      <c r="BW167" s="5" t="n">
        <v>0</v>
      </c>
      <c r="BX167" s="5" t="n">
        <v>1</v>
      </c>
      <c r="BY167" s="5" t="n">
        <v>12.729</v>
      </c>
      <c r="BZ167" s="5" t="n">
        <v>0</v>
      </c>
      <c r="CA167" s="5" t="n">
        <v>12.729</v>
      </c>
      <c r="CB167" s="5" t="n">
        <v>0</v>
      </c>
      <c r="CC167" s="5" t="n">
        <v>97.90000000000001</v>
      </c>
      <c r="CD167" s="5" t="n">
        <v>7.95</v>
      </c>
      <c r="CE167" s="5" t="n">
        <v>0</v>
      </c>
      <c r="CF167" s="5" t="n">
        <v>97.90000000000001</v>
      </c>
      <c r="CG167" s="5" t="n">
        <v>0</v>
      </c>
      <c r="CH167" s="5" t="n">
        <v>1</v>
      </c>
      <c r="CI167" s="5" t="n">
        <v>0</v>
      </c>
      <c r="CJ167" s="5" t="n">
        <v>0</v>
      </c>
      <c r="CK167" s="5" t="n">
        <v>0</v>
      </c>
      <c r="CL167" s="5" t="n">
        <v>0</v>
      </c>
      <c r="CM167" s="5" t="n">
        <v>0</v>
      </c>
      <c r="CN167" s="5" t="n">
        <v>0</v>
      </c>
      <c r="CO167" s="5" t="n">
        <v>0</v>
      </c>
      <c r="CP167" s="5" t="n">
        <v>0</v>
      </c>
      <c r="CQ167" s="5" t="n">
        <v>1.294</v>
      </c>
      <c r="CR167" s="5" t="n">
        <v>0</v>
      </c>
      <c r="CS167" s="5" t="n">
        <v>5.158</v>
      </c>
      <c r="CT167" s="5" t="n">
        <v>5.842</v>
      </c>
      <c r="CU167" s="5" t="n">
        <v>31.326</v>
      </c>
    </row>
    <row r="168">
      <c r="A168" s="5" t="inlineStr">
        <is>
          <t>CHI2023</t>
        </is>
      </c>
      <c r="B168" s="5" t="inlineStr">
        <is>
          <t>CHI</t>
        </is>
      </c>
      <c r="C168" s="5" t="inlineStr">
        <is>
          <t>CHI</t>
        </is>
      </c>
      <c r="D168" s="5" t="inlineStr">
        <is>
          <t>Channel Islands</t>
        </is>
      </c>
      <c r="E168" s="5" t="n">
        <v>2023</v>
      </c>
      <c r="F168" s="5" t="n">
        <v>0</v>
      </c>
      <c r="G168" s="5" t="n">
        <v>4.752</v>
      </c>
      <c r="H168" s="5" t="n">
        <v>1.286</v>
      </c>
      <c r="I168" s="5" t="n">
        <v>0</v>
      </c>
      <c r="J168" s="5" t="n">
        <v>4.752</v>
      </c>
      <c r="K168" s="5" t="n">
        <v>0</v>
      </c>
      <c r="L168" s="5" t="n">
        <v>1</v>
      </c>
      <c r="M168" s="5" t="n">
        <v>7.886</v>
      </c>
      <c r="N168" s="5" t="n">
        <v>3.857</v>
      </c>
      <c r="O168" s="5" t="n">
        <v>0</v>
      </c>
      <c r="P168" s="5" t="n">
        <v>7.886</v>
      </c>
      <c r="Q168" s="5" t="n">
        <v>0</v>
      </c>
      <c r="R168" s="5" t="n">
        <v>1</v>
      </c>
      <c r="S168" s="5" t="n">
        <v>11.18</v>
      </c>
      <c r="T168" s="5" t="n">
        <v>7.714</v>
      </c>
      <c r="U168" s="5" t="n">
        <v>0</v>
      </c>
      <c r="V168" s="5" t="n">
        <v>11.18</v>
      </c>
      <c r="W168" s="5" t="n">
        <v>0</v>
      </c>
      <c r="X168" s="5" t="n">
        <v>1</v>
      </c>
      <c r="Y168" s="5" t="n">
        <v>12.908</v>
      </c>
      <c r="Z168" s="5" t="n">
        <v>1.745</v>
      </c>
      <c r="AA168" s="5" t="n">
        <v>0</v>
      </c>
      <c r="AB168" s="5" t="n">
        <v>12.908</v>
      </c>
      <c r="AC168" s="5" t="n">
        <v>0</v>
      </c>
      <c r="AD168" s="5" t="n">
        <v>1</v>
      </c>
      <c r="AE168" s="5" t="n">
        <v>14.194</v>
      </c>
      <c r="AF168" s="5" t="n">
        <v>3.319</v>
      </c>
      <c r="AG168" s="5" t="n">
        <v>0</v>
      </c>
      <c r="AH168" s="5" t="n">
        <v>14.194</v>
      </c>
      <c r="AI168" s="5" t="n">
        <v>0</v>
      </c>
      <c r="AJ168" s="5" t="n">
        <v>1</v>
      </c>
      <c r="AK168" s="5" t="n">
        <v>21.908</v>
      </c>
      <c r="AL168" s="5" t="n">
        <v>11.668</v>
      </c>
      <c r="AM168" s="5" t="n">
        <v>0</v>
      </c>
      <c r="AN168" s="5" t="n">
        <v>21.908</v>
      </c>
      <c r="AO168" s="5" t="n">
        <v>0</v>
      </c>
      <c r="AP168" s="5" t="n">
        <v>1</v>
      </c>
      <c r="AQ168" s="5" t="n">
        <v>0.76</v>
      </c>
      <c r="AR168" s="5" t="n">
        <v>0.129</v>
      </c>
      <c r="AS168" s="5" t="n">
        <v>0</v>
      </c>
      <c r="AT168" s="5" t="n">
        <v>0.76</v>
      </c>
      <c r="AU168" s="5" t="n">
        <v>0</v>
      </c>
      <c r="AV168" s="5" t="n">
        <v>1</v>
      </c>
      <c r="AW168" s="5" t="n">
        <v>0.8110000000000001</v>
      </c>
      <c r="AX168" s="5" t="n">
        <v>0.129</v>
      </c>
      <c r="AY168" s="5" t="n">
        <v>0</v>
      </c>
      <c r="AZ168" s="5" t="n">
        <v>0.8110000000000001</v>
      </c>
      <c r="BA168" s="5" t="n">
        <v>0</v>
      </c>
      <c r="BB168" s="5" t="n">
        <v>1</v>
      </c>
      <c r="BC168" s="5" t="n">
        <v>0.535</v>
      </c>
      <c r="BD168" s="5" t="n">
        <v>0.129</v>
      </c>
      <c r="BE168" s="5" t="n">
        <v>0</v>
      </c>
      <c r="BF168" s="5" t="n">
        <v>0.535</v>
      </c>
      <c r="BG168" s="5" t="n">
        <v>0</v>
      </c>
      <c r="BH168" s="5" t="n">
        <v>1</v>
      </c>
      <c r="BI168" s="5" t="n">
        <v>0.579</v>
      </c>
      <c r="BJ168" s="5" t="n">
        <v>0.129</v>
      </c>
      <c r="BK168" s="5" t="n">
        <v>0</v>
      </c>
      <c r="BL168" s="5" t="n">
        <v>0.579</v>
      </c>
      <c r="BM168" s="5" t="n">
        <v>0</v>
      </c>
      <c r="BN168" s="5" t="n">
        <v>1</v>
      </c>
      <c r="BO168" s="5" t="n">
        <v>0</v>
      </c>
      <c r="BP168" s="5" t="n">
        <v>0</v>
      </c>
      <c r="BQ168" s="5" t="n">
        <v>0</v>
      </c>
      <c r="BR168" s="5" t="n">
        <v>0</v>
      </c>
      <c r="BS168" s="5" t="n">
        <v>1</v>
      </c>
      <c r="BT168" s="5" t="n">
        <v>0</v>
      </c>
      <c r="BU168" s="5" t="n">
        <v>0</v>
      </c>
      <c r="BV168" s="5" t="n">
        <v>0</v>
      </c>
      <c r="BW168" s="5" t="n">
        <v>0</v>
      </c>
      <c r="BX168" s="5" t="n">
        <v>1</v>
      </c>
      <c r="BY168" s="5" t="n">
        <v>13.254</v>
      </c>
      <c r="BZ168" s="5" t="n">
        <v>0</v>
      </c>
      <c r="CA168" s="5" t="n">
        <v>13.254</v>
      </c>
      <c r="CB168" s="5" t="n">
        <v>0</v>
      </c>
      <c r="CC168" s="5" t="n">
        <v>83.248</v>
      </c>
      <c r="CD168" s="5" t="n">
        <v>7.95</v>
      </c>
      <c r="CE168" s="5" t="n">
        <v>0</v>
      </c>
      <c r="CF168" s="5" t="n">
        <v>83.248</v>
      </c>
      <c r="CG168" s="5" t="n">
        <v>0</v>
      </c>
      <c r="CH168" s="5" t="n">
        <v>1</v>
      </c>
      <c r="CI168" s="5" t="n">
        <v>0</v>
      </c>
      <c r="CJ168" s="5" t="n">
        <v>0</v>
      </c>
      <c r="CK168" s="5" t="n">
        <v>0</v>
      </c>
      <c r="CL168" s="5" t="n">
        <v>0</v>
      </c>
      <c r="CM168" s="5" t="n">
        <v>0</v>
      </c>
      <c r="CN168" s="5" t="n">
        <v>0</v>
      </c>
      <c r="CO168" s="5" t="n">
        <v>0</v>
      </c>
      <c r="CP168" s="5" t="n">
        <v>0</v>
      </c>
      <c r="CQ168" s="5" t="n">
        <v>1.348</v>
      </c>
      <c r="CR168" s="5" t="n">
        <v>0</v>
      </c>
      <c r="CS168" s="5" t="n">
        <v>5.37</v>
      </c>
      <c r="CT168" s="5" t="n">
        <v>3.466</v>
      </c>
      <c r="CU168" s="5" t="n">
        <v>11.622</v>
      </c>
    </row>
    <row r="169">
      <c r="A169" s="5" t="inlineStr">
        <is>
          <t>CHI2024</t>
        </is>
      </c>
      <c r="B169" s="5" t="inlineStr">
        <is>
          <t>CHI</t>
        </is>
      </c>
      <c r="C169" s="5" t="inlineStr">
        <is>
          <t>CHI</t>
        </is>
      </c>
      <c r="D169" s="5" t="inlineStr">
        <is>
          <t>Channel Islands</t>
        </is>
      </c>
      <c r="E169" s="5" t="n">
        <v>2024</v>
      </c>
      <c r="F169" s="5" t="n">
        <v>0</v>
      </c>
      <c r="G169" s="5" t="n">
        <v>4.351</v>
      </c>
      <c r="H169" s="5" t="n">
        <v>1.324</v>
      </c>
      <c r="I169" s="5" t="n">
        <v>0</v>
      </c>
      <c r="J169" s="5" t="n">
        <v>4.351</v>
      </c>
      <c r="K169" s="5" t="n">
        <v>0</v>
      </c>
      <c r="L169" s="5" t="n">
        <v>1</v>
      </c>
      <c r="M169" s="5" t="n">
        <v>7.124</v>
      </c>
      <c r="N169" s="5" t="n">
        <v>3.971</v>
      </c>
      <c r="O169" s="5" t="n">
        <v>0</v>
      </c>
      <c r="P169" s="5" t="n">
        <v>7.124</v>
      </c>
      <c r="Q169" s="5" t="n">
        <v>0</v>
      </c>
      <c r="R169" s="5" t="n">
        <v>1</v>
      </c>
      <c r="S169" s="5" t="n">
        <v>10.969</v>
      </c>
      <c r="T169" s="5" t="n">
        <v>7.942</v>
      </c>
      <c r="U169" s="5" t="n">
        <v>0</v>
      </c>
      <c r="V169" s="5" t="n">
        <v>10.969</v>
      </c>
      <c r="W169" s="5" t="n">
        <v>0</v>
      </c>
      <c r="X169" s="5" t="n">
        <v>1</v>
      </c>
      <c r="Y169" s="5" t="n">
        <v>11.492</v>
      </c>
      <c r="Z169" s="5" t="n">
        <v>1.553</v>
      </c>
      <c r="AA169" s="5" t="n">
        <v>0</v>
      </c>
      <c r="AB169" s="5" t="n">
        <v>11.492</v>
      </c>
      <c r="AC169" s="5" t="n">
        <v>0</v>
      </c>
      <c r="AD169" s="5" t="n">
        <v>1</v>
      </c>
      <c r="AE169" s="5" t="n">
        <v>12.815</v>
      </c>
      <c r="AF169" s="5" t="n">
        <v>2.997</v>
      </c>
      <c r="AG169" s="5" t="n">
        <v>0</v>
      </c>
      <c r="AH169" s="5" t="n">
        <v>12.815</v>
      </c>
      <c r="AI169" s="5" t="n">
        <v>0</v>
      </c>
      <c r="AJ169" s="5" t="n">
        <v>1</v>
      </c>
      <c r="AK169" s="5" t="n">
        <v>20.757</v>
      </c>
      <c r="AL169" s="5" t="n">
        <v>11.055</v>
      </c>
      <c r="AM169" s="5" t="n">
        <v>0</v>
      </c>
      <c r="AN169" s="5" t="n">
        <v>20.757</v>
      </c>
      <c r="AO169" s="5" t="n">
        <v>0</v>
      </c>
      <c r="AP169" s="5" t="n">
        <v>1</v>
      </c>
      <c r="AQ169" s="5" t="n">
        <v>0.724</v>
      </c>
      <c r="AR169" s="5" t="n">
        <v>0.132</v>
      </c>
      <c r="AS169" s="5" t="n">
        <v>0</v>
      </c>
      <c r="AT169" s="5" t="n">
        <v>0.724</v>
      </c>
      <c r="AU169" s="5" t="n">
        <v>0</v>
      </c>
      <c r="AV169" s="5" t="n">
        <v>1</v>
      </c>
      <c r="AW169" s="5" t="n">
        <v>0.75</v>
      </c>
      <c r="AX169" s="5" t="n">
        <v>0.132</v>
      </c>
      <c r="AY169" s="5" t="n">
        <v>0</v>
      </c>
      <c r="AZ169" s="5" t="n">
        <v>0.75</v>
      </c>
      <c r="BA169" s="5" t="n">
        <v>0</v>
      </c>
      <c r="BB169" s="5" t="n">
        <v>1</v>
      </c>
      <c r="BC169" s="5" t="n">
        <v>0.513</v>
      </c>
      <c r="BD169" s="5" t="n">
        <v>0.132</v>
      </c>
      <c r="BE169" s="5" t="n">
        <v>0</v>
      </c>
      <c r="BF169" s="5" t="n">
        <v>0.513</v>
      </c>
      <c r="BG169" s="5" t="n">
        <v>0</v>
      </c>
      <c r="BH169" s="5" t="n">
        <v>1</v>
      </c>
      <c r="BI169" s="5" t="n">
        <v>0.591</v>
      </c>
      <c r="BJ169" s="5" t="n">
        <v>0.132</v>
      </c>
      <c r="BK169" s="5" t="n">
        <v>0</v>
      </c>
      <c r="BL169" s="5" t="n">
        <v>0.591</v>
      </c>
      <c r="BM169" s="5" t="n">
        <v>0</v>
      </c>
      <c r="BN169" s="5" t="n">
        <v>1</v>
      </c>
      <c r="BO169" s="5" t="n">
        <v>0</v>
      </c>
      <c r="BP169" s="5" t="n">
        <v>0</v>
      </c>
      <c r="BQ169" s="5" t="n">
        <v>0</v>
      </c>
      <c r="BR169" s="5" t="n">
        <v>0</v>
      </c>
      <c r="BS169" s="5" t="n">
        <v>1</v>
      </c>
      <c r="BT169" s="5" t="n">
        <v>0</v>
      </c>
      <c r="BU169" s="5" t="n">
        <v>0</v>
      </c>
      <c r="BV169" s="5" t="n">
        <v>0</v>
      </c>
      <c r="BW169" s="5" t="n">
        <v>0</v>
      </c>
      <c r="BX169" s="5" t="n">
        <v>1</v>
      </c>
      <c r="BY169" s="5" t="n">
        <v>13.646</v>
      </c>
      <c r="BZ169" s="5" t="n">
        <v>0</v>
      </c>
      <c r="CA169" s="5" t="n">
        <v>13.646</v>
      </c>
      <c r="CB169" s="5" t="n">
        <v>0</v>
      </c>
      <c r="CC169" s="5" t="n">
        <v>82.58799999999999</v>
      </c>
      <c r="CD169" s="5" t="n">
        <v>7.95</v>
      </c>
      <c r="CE169" s="5" t="n">
        <v>0</v>
      </c>
      <c r="CF169" s="5" t="n">
        <v>82.58799999999999</v>
      </c>
      <c r="CG169" s="5" t="n">
        <v>0</v>
      </c>
      <c r="CH169" s="5" t="n">
        <v>1</v>
      </c>
      <c r="CI169" s="5" t="n">
        <v>0</v>
      </c>
      <c r="CJ169" s="5" t="n">
        <v>0</v>
      </c>
      <c r="CK169" s="5" t="n">
        <v>0</v>
      </c>
      <c r="CL169" s="5" t="n">
        <v>0</v>
      </c>
      <c r="CM169" s="5" t="n">
        <v>0</v>
      </c>
      <c r="CN169" s="5" t="n">
        <v>0</v>
      </c>
      <c r="CO169" s="5" t="n">
        <v>0</v>
      </c>
      <c r="CP169" s="5" t="n">
        <v>0</v>
      </c>
      <c r="CQ169" s="5" t="n">
        <v>1.387</v>
      </c>
      <c r="CR169" s="5" t="n">
        <v>0</v>
      </c>
      <c r="CS169" s="5" t="n">
        <v>5.529</v>
      </c>
      <c r="CT169" s="5" t="n">
        <v>3.027</v>
      </c>
      <c r="CU169" s="5" t="n">
        <v>10.168</v>
      </c>
    </row>
    <row r="170">
      <c r="A170" s="5" t="inlineStr">
        <is>
          <t>CHL2021</t>
        </is>
      </c>
      <c r="B170" s="5" t="inlineStr">
        <is>
          <t>CHL</t>
        </is>
      </c>
      <c r="C170" s="5" t="inlineStr">
        <is>
          <t>CHL</t>
        </is>
      </c>
      <c r="D170" s="5" t="inlineStr">
        <is>
          <t>Chile</t>
        </is>
      </c>
      <c r="E170" s="5" t="n">
        <v>2021</v>
      </c>
      <c r="F170" s="5" t="n">
        <v>0.19</v>
      </c>
      <c r="G170" s="5" t="n">
        <v>3.214</v>
      </c>
      <c r="H170" s="5" t="n">
        <v>0.703</v>
      </c>
      <c r="I170" s="5" t="n">
        <v>0.702</v>
      </c>
      <c r="J170" s="5" t="n">
        <v>3.916</v>
      </c>
      <c r="K170" s="5" t="n">
        <v>0</v>
      </c>
      <c r="L170" s="5" t="n">
        <v>1</v>
      </c>
      <c r="M170" s="5" t="n">
        <v>5.268</v>
      </c>
      <c r="N170" s="5" t="n">
        <v>2.387</v>
      </c>
      <c r="O170" s="5" t="n">
        <v>0.703</v>
      </c>
      <c r="P170" s="5" t="n">
        <v>5.97</v>
      </c>
      <c r="Q170" s="5" t="n">
        <v>0</v>
      </c>
      <c r="R170" s="5" t="n">
        <v>1</v>
      </c>
      <c r="S170" s="5" t="n">
        <v>11.613</v>
      </c>
      <c r="T170" s="5" t="n">
        <v>6.86</v>
      </c>
      <c r="U170" s="5" t="n">
        <v>0.758</v>
      </c>
      <c r="V170" s="5" t="n">
        <v>14.722</v>
      </c>
      <c r="W170" s="5" t="n">
        <v>0.19</v>
      </c>
      <c r="X170" s="5" t="n">
        <v>1</v>
      </c>
      <c r="Y170" s="5" t="n">
        <v>14.318</v>
      </c>
      <c r="Z170" s="5" t="n">
        <v>1.581</v>
      </c>
      <c r="AA170" s="5" t="n">
        <v>1.044</v>
      </c>
      <c r="AB170" s="5" t="n">
        <v>15.362</v>
      </c>
      <c r="AC170" s="5" t="n">
        <v>0</v>
      </c>
      <c r="AD170" s="5" t="n">
        <v>1</v>
      </c>
      <c r="AE170" s="5" t="n">
        <v>14.318</v>
      </c>
      <c r="AF170" s="5" t="n">
        <v>2.817</v>
      </c>
      <c r="AG170" s="5" t="n">
        <v>1.044</v>
      </c>
      <c r="AH170" s="5" t="n">
        <v>15.362</v>
      </c>
      <c r="AI170" s="5" t="n">
        <v>0</v>
      </c>
      <c r="AJ170" s="5" t="n">
        <v>1</v>
      </c>
      <c r="AK170" s="5" t="n">
        <v>28.248</v>
      </c>
      <c r="AL170" s="5" t="n">
        <v>13.865</v>
      </c>
      <c r="AM170" s="5" t="n">
        <v>-1.768</v>
      </c>
      <c r="AN170" s="5" t="n">
        <v>31.512</v>
      </c>
      <c r="AO170" s="5" t="n">
        <v>0.19</v>
      </c>
      <c r="AP170" s="5" t="n">
        <v>1</v>
      </c>
      <c r="AQ170" s="5" t="n">
        <v>0.649</v>
      </c>
      <c r="AR170" s="5" t="n">
        <v>0.114</v>
      </c>
      <c r="AS170" s="5" t="n">
        <v>0.303</v>
      </c>
      <c r="AT170" s="5" t="n">
        <v>1.133</v>
      </c>
      <c r="AU170" s="5" t="n">
        <v>0.19</v>
      </c>
      <c r="AV170" s="5" t="n">
        <v>1</v>
      </c>
      <c r="AW170" s="5" t="n">
        <v>0.577</v>
      </c>
      <c r="AX170" s="5" t="n">
        <v>0.114</v>
      </c>
      <c r="AY170" s="5" t="n">
        <v>0.126</v>
      </c>
      <c r="AZ170" s="5" t="n">
        <v>0.836</v>
      </c>
      <c r="BA170" s="5" t="n">
        <v>0.19</v>
      </c>
      <c r="BB170" s="5" t="n">
        <v>1</v>
      </c>
      <c r="BC170" s="5" t="n">
        <v>0.458</v>
      </c>
      <c r="BD170" s="5" t="n">
        <v>0.114</v>
      </c>
      <c r="BE170" s="5" t="n">
        <v>0.413</v>
      </c>
      <c r="BF170" s="5" t="n">
        <v>1.037</v>
      </c>
      <c r="BG170" s="5" t="n">
        <v>0.19</v>
      </c>
      <c r="BH170" s="5" t="n">
        <v>1</v>
      </c>
      <c r="BI170" s="5" t="n">
        <v>0.491</v>
      </c>
      <c r="BJ170" s="5" t="n">
        <v>0.114</v>
      </c>
      <c r="BK170" s="5" t="n">
        <v>0.281</v>
      </c>
      <c r="BL170" s="5" t="n">
        <v>0.919</v>
      </c>
      <c r="BM170" s="5" t="n">
        <v>0.19</v>
      </c>
      <c r="BN170" s="5" t="n">
        <v>1</v>
      </c>
      <c r="BO170" s="5" t="n">
        <v>0</v>
      </c>
      <c r="BP170" s="5" t="n">
        <v>0.004</v>
      </c>
      <c r="BQ170" s="5" t="n">
        <v>0.175</v>
      </c>
      <c r="BR170" s="5" t="n">
        <v>0</v>
      </c>
      <c r="BS170" s="5" t="n">
        <v>0.833</v>
      </c>
      <c r="BT170" s="5" t="n">
        <v>0</v>
      </c>
      <c r="BU170" s="5" t="n">
        <v>0</v>
      </c>
      <c r="BV170" s="5" t="n">
        <v>0.192</v>
      </c>
      <c r="BW170" s="5" t="n">
        <v>0</v>
      </c>
      <c r="BX170" s="5" t="n">
        <v>1</v>
      </c>
      <c r="BY170" s="5" t="n">
        <v>11.787</v>
      </c>
      <c r="BZ170" s="5" t="n">
        <v>0</v>
      </c>
      <c r="CA170" s="5" t="n">
        <v>11.787</v>
      </c>
      <c r="CB170" s="5" t="n">
        <v>0</v>
      </c>
      <c r="CC170" s="5" t="n">
        <v>78.125</v>
      </c>
      <c r="CD170" s="5" t="n">
        <v>7.95</v>
      </c>
      <c r="CE170" s="5" t="n">
        <v>-10.517</v>
      </c>
      <c r="CF170" s="5" t="n">
        <v>80.45399999999999</v>
      </c>
      <c r="CG170" s="5" t="n">
        <v>0.19</v>
      </c>
      <c r="CH170" s="5" t="n">
        <v>1</v>
      </c>
      <c r="CI170" s="5" t="n">
        <v>0</v>
      </c>
      <c r="CJ170" s="5" t="n">
        <v>0</v>
      </c>
      <c r="CK170" s="5" t="n">
        <v>0</v>
      </c>
      <c r="CL170" s="5" t="n">
        <v>0</v>
      </c>
      <c r="CM170" s="5" t="n">
        <v>0</v>
      </c>
      <c r="CN170" s="5" t="n">
        <v>0</v>
      </c>
      <c r="CO170" s="5" t="n">
        <v>0</v>
      </c>
      <c r="CP170" s="5" t="n">
        <v>0</v>
      </c>
      <c r="CQ170" s="5" t="n">
        <v>1.198</v>
      </c>
      <c r="CR170" s="5" t="n">
        <v>0</v>
      </c>
      <c r="CS170" s="5" t="n">
        <v>7.25</v>
      </c>
      <c r="CT170" s="5" t="n">
        <v>4.753</v>
      </c>
      <c r="CU170" s="5" t="n">
        <v>16.491</v>
      </c>
    </row>
    <row r="171">
      <c r="A171" s="5" t="inlineStr">
        <is>
          <t>CHL2022</t>
        </is>
      </c>
      <c r="B171" s="5" t="inlineStr">
        <is>
          <t>CHL</t>
        </is>
      </c>
      <c r="C171" s="5" t="inlineStr">
        <is>
          <t>CHL</t>
        </is>
      </c>
      <c r="D171" s="5" t="inlineStr">
        <is>
          <t>Chile</t>
        </is>
      </c>
      <c r="E171" s="5" t="n">
        <v>2022</v>
      </c>
      <c r="F171" s="5" t="n">
        <v>0.19</v>
      </c>
      <c r="G171" s="5" t="n">
        <v>8.279999999999999</v>
      </c>
      <c r="H171" s="5" t="n">
        <v>1.286</v>
      </c>
      <c r="I171" s="5" t="n">
        <v>0.999</v>
      </c>
      <c r="J171" s="5" t="n">
        <v>9.279</v>
      </c>
      <c r="K171" s="5" t="n">
        <v>0</v>
      </c>
      <c r="L171" s="5" t="n">
        <v>1</v>
      </c>
      <c r="M171" s="5" t="n">
        <v>12.687</v>
      </c>
      <c r="N171" s="5" t="n">
        <v>5.239</v>
      </c>
      <c r="O171" s="5" t="n">
        <v>0.752</v>
      </c>
      <c r="P171" s="5" t="n">
        <v>13.439</v>
      </c>
      <c r="Q171" s="5" t="n">
        <v>0</v>
      </c>
      <c r="R171" s="5" t="n">
        <v>1</v>
      </c>
      <c r="S171" s="5" t="n">
        <v>17.652</v>
      </c>
      <c r="T171" s="5" t="n">
        <v>7.339</v>
      </c>
      <c r="U171" s="5" t="n">
        <v>1.363</v>
      </c>
      <c r="V171" s="5" t="n">
        <v>22.314</v>
      </c>
      <c r="W171" s="5" t="n">
        <v>0.19</v>
      </c>
      <c r="X171" s="5" t="n">
        <v>1</v>
      </c>
      <c r="Y171" s="5" t="n">
        <v>17.326</v>
      </c>
      <c r="Z171" s="5" t="n">
        <v>1.818</v>
      </c>
      <c r="AA171" s="5" t="n">
        <v>1.719</v>
      </c>
      <c r="AB171" s="5" t="n">
        <v>19.045</v>
      </c>
      <c r="AC171" s="5" t="n">
        <v>0</v>
      </c>
      <c r="AD171" s="5" t="n">
        <v>1</v>
      </c>
      <c r="AE171" s="5" t="n">
        <v>17.326</v>
      </c>
      <c r="AF171" s="5" t="n">
        <v>3.212</v>
      </c>
      <c r="AG171" s="5" t="n">
        <v>1.719</v>
      </c>
      <c r="AH171" s="5" t="n">
        <v>19.045</v>
      </c>
      <c r="AI171" s="5" t="n">
        <v>0</v>
      </c>
      <c r="AJ171" s="5" t="n">
        <v>1</v>
      </c>
      <c r="AK171" s="5" t="n">
        <v>28.914</v>
      </c>
      <c r="AL171" s="5" t="n">
        <v>13.808</v>
      </c>
      <c r="AM171" s="5" t="n">
        <v>-0.913</v>
      </c>
      <c r="AN171" s="5" t="n">
        <v>33.322</v>
      </c>
      <c r="AO171" s="5" t="n">
        <v>0.19</v>
      </c>
      <c r="AP171" s="5" t="n">
        <v>1</v>
      </c>
      <c r="AQ171" s="5" t="n">
        <v>0.896</v>
      </c>
      <c r="AR171" s="5" t="n">
        <v>0.123</v>
      </c>
      <c r="AS171" s="5" t="n">
        <v>0.191</v>
      </c>
      <c r="AT171" s="5" t="n">
        <v>1.294</v>
      </c>
      <c r="AU171" s="5" t="n">
        <v>0.19</v>
      </c>
      <c r="AV171" s="5" t="n">
        <v>1</v>
      </c>
      <c r="AW171" s="5" t="n">
        <v>0.89</v>
      </c>
      <c r="AX171" s="5" t="n">
        <v>0.123</v>
      </c>
      <c r="AY171" s="5" t="n">
        <v>-0.004</v>
      </c>
      <c r="AZ171" s="5" t="n">
        <v>1.054</v>
      </c>
      <c r="BA171" s="5" t="n">
        <v>0.19</v>
      </c>
      <c r="BB171" s="5" t="n">
        <v>1</v>
      </c>
      <c r="BC171" s="5" t="n">
        <v>0.62</v>
      </c>
      <c r="BD171" s="5" t="n">
        <v>0.123</v>
      </c>
      <c r="BE171" s="5" t="n">
        <v>0.291</v>
      </c>
      <c r="BF171" s="5" t="n">
        <v>1.085</v>
      </c>
      <c r="BG171" s="5" t="n">
        <v>0.19</v>
      </c>
      <c r="BH171" s="5" t="n">
        <v>1</v>
      </c>
      <c r="BI171" s="5" t="n">
        <v>0.608</v>
      </c>
      <c r="BJ171" s="5" t="n">
        <v>0.123</v>
      </c>
      <c r="BK171" s="5" t="n">
        <v>0.464</v>
      </c>
      <c r="BL171" s="5" t="n">
        <v>1.275</v>
      </c>
      <c r="BM171" s="5" t="n">
        <v>0.19</v>
      </c>
      <c r="BN171" s="5" t="n">
        <v>1</v>
      </c>
      <c r="BO171" s="5" t="n">
        <v>0</v>
      </c>
      <c r="BP171" s="5" t="n">
        <v>0</v>
      </c>
      <c r="BQ171" s="5" t="n">
        <v>0.116</v>
      </c>
      <c r="BR171" s="5" t="n">
        <v>0</v>
      </c>
      <c r="BS171" s="5" t="n">
        <v>0.833</v>
      </c>
      <c r="BT171" s="5" t="n">
        <v>0</v>
      </c>
      <c r="BU171" s="5" t="n">
        <v>0</v>
      </c>
      <c r="BV171" s="5" t="n">
        <v>0.127</v>
      </c>
      <c r="BW171" s="5" t="n">
        <v>0</v>
      </c>
      <c r="BX171" s="5" t="n">
        <v>1</v>
      </c>
      <c r="BY171" s="5" t="n">
        <v>12.729</v>
      </c>
      <c r="BZ171" s="5" t="n">
        <v>0</v>
      </c>
      <c r="CA171" s="5" t="n">
        <v>12.729</v>
      </c>
      <c r="CB171" s="5" t="n">
        <v>0</v>
      </c>
      <c r="CC171" s="5" t="n">
        <v>97.90000000000001</v>
      </c>
      <c r="CD171" s="5" t="n">
        <v>7.95</v>
      </c>
      <c r="CE171" s="5" t="n">
        <v>0.573</v>
      </c>
      <c r="CF171" s="5" t="n">
        <v>117.183</v>
      </c>
      <c r="CG171" s="5" t="n">
        <v>0.19</v>
      </c>
      <c r="CH171" s="5" t="n">
        <v>1</v>
      </c>
      <c r="CI171" s="5" t="n">
        <v>0</v>
      </c>
      <c r="CJ171" s="5" t="n">
        <v>0</v>
      </c>
      <c r="CK171" s="5" t="n">
        <v>0</v>
      </c>
      <c r="CL171" s="5" t="n">
        <v>0</v>
      </c>
      <c r="CM171" s="5" t="n">
        <v>0</v>
      </c>
      <c r="CN171" s="5" t="n">
        <v>0</v>
      </c>
      <c r="CO171" s="5" t="n">
        <v>0</v>
      </c>
      <c r="CP171" s="5" t="n">
        <v>0</v>
      </c>
      <c r="CQ171" s="5" t="n">
        <v>1.294</v>
      </c>
      <c r="CR171" s="5" t="n">
        <v>0</v>
      </c>
      <c r="CS171" s="5" t="n">
        <v>7.83</v>
      </c>
      <c r="CT171" s="5" t="n">
        <v>10.485</v>
      </c>
      <c r="CU171" s="5" t="n">
        <v>30.272</v>
      </c>
    </row>
    <row r="172">
      <c r="A172" s="5" t="inlineStr">
        <is>
          <t>CHL2023</t>
        </is>
      </c>
      <c r="B172" s="5" t="inlineStr">
        <is>
          <t>CHL</t>
        </is>
      </c>
      <c r="C172" s="5" t="inlineStr">
        <is>
          <t>CHL</t>
        </is>
      </c>
      <c r="D172" s="5" t="inlineStr">
        <is>
          <t>Chile</t>
        </is>
      </c>
      <c r="E172" s="5" t="n">
        <v>2023</v>
      </c>
      <c r="F172" s="5" t="n">
        <v>0.19</v>
      </c>
      <c r="G172" s="5" t="n">
        <v>6.065</v>
      </c>
      <c r="H172" s="5" t="n">
        <v>1.381</v>
      </c>
      <c r="I172" s="5" t="n">
        <v>0.716</v>
      </c>
      <c r="J172" s="5" t="n">
        <v>6.781</v>
      </c>
      <c r="K172" s="5" t="n">
        <v>0</v>
      </c>
      <c r="L172" s="5" t="n">
        <v>1</v>
      </c>
      <c r="M172" s="5" t="n">
        <v>9.289</v>
      </c>
      <c r="N172" s="5" t="n">
        <v>4.607</v>
      </c>
      <c r="O172" s="5" t="n">
        <v>0.681</v>
      </c>
      <c r="P172" s="5" t="n">
        <v>9.970000000000001</v>
      </c>
      <c r="Q172" s="5" t="n">
        <v>0</v>
      </c>
      <c r="R172" s="5" t="n">
        <v>1</v>
      </c>
      <c r="S172" s="5" t="n">
        <v>12.486</v>
      </c>
      <c r="T172" s="5" t="n">
        <v>7.667</v>
      </c>
      <c r="U172" s="5" t="n">
        <v>1.059</v>
      </c>
      <c r="V172" s="5" t="n">
        <v>15.787</v>
      </c>
      <c r="W172" s="5" t="n">
        <v>0.19</v>
      </c>
      <c r="X172" s="5" t="n">
        <v>1</v>
      </c>
      <c r="Y172" s="5" t="n">
        <v>13.843</v>
      </c>
      <c r="Z172" s="5" t="n">
        <v>1.551</v>
      </c>
      <c r="AA172" s="5" t="n">
        <v>0.8149999999999999</v>
      </c>
      <c r="AB172" s="5" t="n">
        <v>14.657</v>
      </c>
      <c r="AC172" s="5" t="n">
        <v>0</v>
      </c>
      <c r="AD172" s="5" t="n">
        <v>1</v>
      </c>
      <c r="AE172" s="5" t="n">
        <v>13.843</v>
      </c>
      <c r="AF172" s="5" t="n">
        <v>2.757</v>
      </c>
      <c r="AG172" s="5" t="n">
        <v>0.8149999999999999</v>
      </c>
      <c r="AH172" s="5" t="n">
        <v>14.657</v>
      </c>
      <c r="AI172" s="5" t="n">
        <v>0</v>
      </c>
      <c r="AJ172" s="5" t="n">
        <v>1</v>
      </c>
      <c r="AK172" s="5" t="n">
        <v>33.217</v>
      </c>
      <c r="AL172" s="5" t="n">
        <v>16.455</v>
      </c>
      <c r="AM172" s="5" t="n">
        <v>-1.684</v>
      </c>
      <c r="AN172" s="5" t="n">
        <v>37.524</v>
      </c>
      <c r="AO172" s="5" t="n">
        <v>0.19</v>
      </c>
      <c r="AP172" s="5" t="n">
        <v>1</v>
      </c>
      <c r="AQ172" s="5" t="n">
        <v>0.791</v>
      </c>
      <c r="AR172" s="5" t="n">
        <v>0.129</v>
      </c>
      <c r="AS172" s="5" t="n">
        <v>0.447</v>
      </c>
      <c r="AT172" s="5" t="n">
        <v>1.473</v>
      </c>
      <c r="AU172" s="5" t="n">
        <v>0.19</v>
      </c>
      <c r="AV172" s="5" t="n">
        <v>1</v>
      </c>
      <c r="AW172" s="5" t="n">
        <v>0.618</v>
      </c>
      <c r="AX172" s="5" t="n">
        <v>0.129</v>
      </c>
      <c r="AY172" s="5" t="n">
        <v>0.424</v>
      </c>
      <c r="AZ172" s="5" t="n">
        <v>1.24</v>
      </c>
      <c r="BA172" s="5" t="n">
        <v>0.19</v>
      </c>
      <c r="BB172" s="5" t="n">
        <v>1</v>
      </c>
      <c r="BC172" s="5" t="n">
        <v>0.554</v>
      </c>
      <c r="BD172" s="5" t="n">
        <v>0.129</v>
      </c>
      <c r="BE172" s="5" t="n">
        <v>0.327</v>
      </c>
      <c r="BF172" s="5" t="n">
        <v>1.049</v>
      </c>
      <c r="BG172" s="5" t="n">
        <v>0.19</v>
      </c>
      <c r="BH172" s="5" t="n">
        <v>1</v>
      </c>
      <c r="BI172" s="5" t="n">
        <v>0.5570000000000001</v>
      </c>
      <c r="BJ172" s="5" t="n">
        <v>0.129</v>
      </c>
      <c r="BK172" s="5" t="n">
        <v>0.507</v>
      </c>
      <c r="BL172" s="5" t="n">
        <v>1.266</v>
      </c>
      <c r="BM172" s="5" t="n">
        <v>0.19</v>
      </c>
      <c r="BN172" s="5" t="n">
        <v>1</v>
      </c>
      <c r="BO172" s="5" t="n">
        <v>0</v>
      </c>
      <c r="BP172" s="5" t="n">
        <v>0.002</v>
      </c>
      <c r="BQ172" s="5" t="n">
        <v>0.151</v>
      </c>
      <c r="BR172" s="5" t="n">
        <v>0</v>
      </c>
      <c r="BS172" s="5" t="n">
        <v>0.833</v>
      </c>
      <c r="BT172" s="5" t="n">
        <v>0</v>
      </c>
      <c r="BU172" s="5" t="n">
        <v>0</v>
      </c>
      <c r="BV172" s="5" t="n">
        <v>0.166</v>
      </c>
      <c r="BW172" s="5" t="n">
        <v>0</v>
      </c>
      <c r="BX172" s="5" t="n">
        <v>1</v>
      </c>
      <c r="BY172" s="5" t="n">
        <v>13.254</v>
      </c>
      <c r="BZ172" s="5" t="n">
        <v>0</v>
      </c>
      <c r="CA172" s="5" t="n">
        <v>13.254</v>
      </c>
      <c r="CB172" s="5" t="n">
        <v>0</v>
      </c>
      <c r="CC172" s="5" t="n">
        <v>83.248</v>
      </c>
      <c r="CD172" s="5" t="n">
        <v>7.95</v>
      </c>
      <c r="CE172" s="5" t="n">
        <v>25.05</v>
      </c>
      <c r="CF172" s="5" t="n">
        <v>128.874</v>
      </c>
      <c r="CG172" s="5" t="n">
        <v>0.19</v>
      </c>
      <c r="CH172" s="5" t="n">
        <v>1</v>
      </c>
      <c r="CI172" s="5" t="n">
        <v>0</v>
      </c>
      <c r="CJ172" s="5" t="n">
        <v>0</v>
      </c>
      <c r="CK172" s="5" t="n">
        <v>0</v>
      </c>
      <c r="CL172" s="5" t="n">
        <v>0</v>
      </c>
      <c r="CM172" s="5" t="n">
        <v>0</v>
      </c>
      <c r="CN172" s="5" t="n">
        <v>0</v>
      </c>
      <c r="CO172" s="5" t="n">
        <v>0</v>
      </c>
      <c r="CP172" s="5" t="n">
        <v>0</v>
      </c>
      <c r="CQ172" s="5" t="n">
        <v>1.348</v>
      </c>
      <c r="CR172" s="5" t="n">
        <v>0</v>
      </c>
      <c r="CS172" s="5" t="n">
        <v>8.153</v>
      </c>
      <c r="CT172" s="5" t="n">
        <v>4.861</v>
      </c>
      <c r="CU172" s="5" t="n">
        <v>11.733</v>
      </c>
    </row>
    <row r="173">
      <c r="A173" s="5" t="inlineStr">
        <is>
          <t>CHL2024</t>
        </is>
      </c>
      <c r="B173" s="5" t="inlineStr">
        <is>
          <t>CHL</t>
        </is>
      </c>
      <c r="C173" s="5" t="inlineStr">
        <is>
          <t>CHL</t>
        </is>
      </c>
      <c r="D173" s="5" t="inlineStr">
        <is>
          <t>Chile</t>
        </is>
      </c>
      <c r="E173" s="5" t="n">
        <v>2024</v>
      </c>
      <c r="F173" s="5" t="n">
        <v>0.19</v>
      </c>
      <c r="G173" s="5" t="n">
        <v>3.853</v>
      </c>
      <c r="H173" s="5" t="n">
        <v>0.976</v>
      </c>
      <c r="I173" s="5" t="n">
        <v>0.6929999999999999</v>
      </c>
      <c r="J173" s="5" t="n">
        <v>4.546</v>
      </c>
      <c r="K173" s="5" t="n">
        <v>0</v>
      </c>
      <c r="L173" s="5" t="n">
        <v>1</v>
      </c>
      <c r="M173" s="5" t="n">
        <v>8.794</v>
      </c>
      <c r="N173" s="5" t="n">
        <v>4.79</v>
      </c>
      <c r="O173" s="5" t="n">
        <v>0.642</v>
      </c>
      <c r="P173" s="5" t="n">
        <v>9.436</v>
      </c>
      <c r="Q173" s="5" t="n">
        <v>0</v>
      </c>
      <c r="R173" s="5" t="n">
        <v>1</v>
      </c>
      <c r="S173" s="5" t="n">
        <v>12.11</v>
      </c>
      <c r="T173" s="5" t="n">
        <v>7.894</v>
      </c>
      <c r="U173" s="5" t="n">
        <v>1.091</v>
      </c>
      <c r="V173" s="5" t="n">
        <v>15.314</v>
      </c>
      <c r="W173" s="5" t="n">
        <v>0.19</v>
      </c>
      <c r="X173" s="5" t="n">
        <v>1</v>
      </c>
      <c r="Y173" s="5" t="n">
        <v>13.977</v>
      </c>
      <c r="Z173" s="5" t="n">
        <v>1.765</v>
      </c>
      <c r="AA173" s="5" t="n">
        <v>0.761</v>
      </c>
      <c r="AB173" s="5" t="n">
        <v>14.738</v>
      </c>
      <c r="AC173" s="5" t="n">
        <v>0</v>
      </c>
      <c r="AD173" s="5" t="n">
        <v>1</v>
      </c>
      <c r="AE173" s="5" t="n">
        <v>13.977</v>
      </c>
      <c r="AF173" s="5" t="n">
        <v>3.062</v>
      </c>
      <c r="AG173" s="5" t="n">
        <v>0.761</v>
      </c>
      <c r="AH173" s="5" t="n">
        <v>14.738</v>
      </c>
      <c r="AI173" s="5" t="n">
        <v>0</v>
      </c>
      <c r="AJ173" s="5" t="n">
        <v>1</v>
      </c>
      <c r="AK173" s="5" t="n">
        <v>32.734</v>
      </c>
      <c r="AL173" s="5" t="n">
        <v>16.649</v>
      </c>
      <c r="AM173" s="5" t="n">
        <v>-2.223</v>
      </c>
      <c r="AN173" s="5" t="n">
        <v>36.308</v>
      </c>
      <c r="AO173" s="5" t="n">
        <v>0.19</v>
      </c>
      <c r="AP173" s="5" t="n">
        <v>1</v>
      </c>
      <c r="AQ173" s="5" t="n">
        <v>0.756</v>
      </c>
      <c r="AR173" s="5" t="n">
        <v>0.132</v>
      </c>
      <c r="AS173" s="5" t="n">
        <v>0.383</v>
      </c>
      <c r="AT173" s="5" t="n">
        <v>1.355</v>
      </c>
      <c r="AU173" s="5" t="n">
        <v>0.19</v>
      </c>
      <c r="AV173" s="5" t="n">
        <v>1</v>
      </c>
      <c r="AW173" s="5" t="n">
        <v>0.655</v>
      </c>
      <c r="AX173" s="5" t="n">
        <v>0.132</v>
      </c>
      <c r="AY173" s="5" t="n">
        <v>0.232</v>
      </c>
      <c r="AZ173" s="5" t="n">
        <v>1.055</v>
      </c>
      <c r="BA173" s="5" t="n">
        <v>0.19</v>
      </c>
      <c r="BB173" s="5" t="n">
        <v>1</v>
      </c>
      <c r="BC173" s="5" t="n">
        <v>0.534</v>
      </c>
      <c r="BD173" s="5" t="n">
        <v>0.132</v>
      </c>
      <c r="BE173" s="5" t="n">
        <v>0.319</v>
      </c>
      <c r="BF173" s="5" t="n">
        <v>1.015</v>
      </c>
      <c r="BG173" s="5" t="n">
        <v>0.19</v>
      </c>
      <c r="BH173" s="5" t="n">
        <v>1</v>
      </c>
      <c r="BI173" s="5" t="n">
        <v>0.5679999999999999</v>
      </c>
      <c r="BJ173" s="5" t="n">
        <v>0.132</v>
      </c>
      <c r="BK173" s="5" t="n">
        <v>0.411</v>
      </c>
      <c r="BL173" s="5" t="n">
        <v>1.165</v>
      </c>
      <c r="BM173" s="5" t="n">
        <v>0.19</v>
      </c>
      <c r="BN173" s="5" t="n">
        <v>1</v>
      </c>
      <c r="BO173" s="5" t="n">
        <v>0</v>
      </c>
      <c r="BP173" s="5" t="n">
        <v>0.003</v>
      </c>
      <c r="BQ173" s="5" t="n">
        <v>0.164</v>
      </c>
      <c r="BR173" s="5" t="n">
        <v>0</v>
      </c>
      <c r="BS173" s="5" t="n">
        <v>0.833</v>
      </c>
      <c r="BT173" s="5" t="n">
        <v>0</v>
      </c>
      <c r="BU173" s="5" t="n">
        <v>0</v>
      </c>
      <c r="BV173" s="5" t="n">
        <v>0.182</v>
      </c>
      <c r="BW173" s="5" t="n">
        <v>0</v>
      </c>
      <c r="BX173" s="5" t="n">
        <v>1</v>
      </c>
      <c r="BY173" s="5" t="n">
        <v>13.646</v>
      </c>
      <c r="BZ173" s="5" t="n">
        <v>0</v>
      </c>
      <c r="CA173" s="5" t="n">
        <v>13.646</v>
      </c>
      <c r="CB173" s="5" t="n">
        <v>0</v>
      </c>
      <c r="CC173" s="5" t="n">
        <v>82.58799999999999</v>
      </c>
      <c r="CD173" s="5" t="n">
        <v>7.95</v>
      </c>
      <c r="CE173" s="5" t="n">
        <v>13.913</v>
      </c>
      <c r="CF173" s="5" t="n">
        <v>114.836</v>
      </c>
      <c r="CG173" s="5" t="n">
        <v>0.19</v>
      </c>
      <c r="CH173" s="5" t="n">
        <v>1</v>
      </c>
      <c r="CI173" s="5" t="n">
        <v>0</v>
      </c>
      <c r="CJ173" s="5" t="n">
        <v>0</v>
      </c>
      <c r="CK173" s="5" t="n">
        <v>0</v>
      </c>
      <c r="CL173" s="5" t="n">
        <v>0</v>
      </c>
      <c r="CM173" s="5" t="n">
        <v>0</v>
      </c>
      <c r="CN173" s="5" t="n">
        <v>0</v>
      </c>
      <c r="CO173" s="5" t="n">
        <v>0</v>
      </c>
      <c r="CP173" s="5" t="n">
        <v>0</v>
      </c>
      <c r="CQ173" s="5" t="n">
        <v>1.387</v>
      </c>
      <c r="CR173" s="5" t="n">
        <v>0</v>
      </c>
      <c r="CS173" s="5" t="n">
        <v>8.393000000000001</v>
      </c>
      <c r="CT173" s="5" t="n">
        <v>4.251</v>
      </c>
      <c r="CU173" s="5" t="n">
        <v>10.46</v>
      </c>
    </row>
    <row r="174">
      <c r="A174" s="5" t="inlineStr">
        <is>
          <t>CHN2021</t>
        </is>
      </c>
      <c r="B174" s="5" t="inlineStr">
        <is>
          <t>CHN</t>
        </is>
      </c>
      <c r="C174" s="5" t="inlineStr">
        <is>
          <t>CHN</t>
        </is>
      </c>
      <c r="D174" s="5" t="inlineStr">
        <is>
          <t>China</t>
        </is>
      </c>
      <c r="E174" s="5" t="n">
        <v>2021</v>
      </c>
      <c r="F174" s="5" t="n">
        <v>0.13</v>
      </c>
      <c r="G174" s="5" t="n">
        <v>3.796</v>
      </c>
      <c r="H174" s="5" t="n">
        <v>0.83</v>
      </c>
      <c r="I174" s="5" t="n">
        <v>0.016</v>
      </c>
      <c r="J174" s="5" t="n">
        <v>3.812</v>
      </c>
      <c r="K174" s="5" t="n">
        <v>0</v>
      </c>
      <c r="L174" s="5" t="n">
        <v>1</v>
      </c>
      <c r="M174" s="5" t="n">
        <v>8.916</v>
      </c>
      <c r="N174" s="5" t="n">
        <v>4.041</v>
      </c>
      <c r="O174" s="5" t="n">
        <v>0.025</v>
      </c>
      <c r="P174" s="5" t="n">
        <v>8.941000000000001</v>
      </c>
      <c r="Q174" s="5" t="n">
        <v>0</v>
      </c>
      <c r="R174" s="5" t="n">
        <v>1</v>
      </c>
      <c r="S174" s="5" t="n">
        <v>1.672</v>
      </c>
      <c r="T174" s="5" t="n">
        <v>1.036</v>
      </c>
      <c r="U174" s="5" t="n">
        <v>0.033</v>
      </c>
      <c r="V174" s="5" t="n">
        <v>1.927</v>
      </c>
      <c r="W174" s="5" t="n">
        <v>0.13</v>
      </c>
      <c r="X174" s="5" t="n">
        <v>1</v>
      </c>
      <c r="Y174" s="5" t="n">
        <v>14.313</v>
      </c>
      <c r="Z174" s="5" t="n">
        <v>1.581</v>
      </c>
      <c r="AA174" s="5" t="n">
        <v>-2.102</v>
      </c>
      <c r="AB174" s="5" t="n">
        <v>12.211</v>
      </c>
      <c r="AC174" s="5" t="n">
        <v>0</v>
      </c>
      <c r="AD174" s="5" t="n">
        <v>1</v>
      </c>
      <c r="AE174" s="5" t="n">
        <v>14.294</v>
      </c>
      <c r="AF174" s="5" t="n">
        <v>2.813</v>
      </c>
      <c r="AG174" s="5" t="n">
        <v>-2.083</v>
      </c>
      <c r="AH174" s="5" t="n">
        <v>12.211</v>
      </c>
      <c r="AI174" s="5" t="n">
        <v>0</v>
      </c>
      <c r="AJ174" s="5" t="n">
        <v>1</v>
      </c>
      <c r="AK174" s="5" t="n">
        <v>17.372</v>
      </c>
      <c r="AL174" s="5" t="n">
        <v>8.526</v>
      </c>
      <c r="AM174" s="5" t="n">
        <v>-7.341</v>
      </c>
      <c r="AN174" s="5" t="n">
        <v>10.934</v>
      </c>
      <c r="AO174" s="5" t="n">
        <v>0</v>
      </c>
      <c r="AP174" s="5" t="n">
        <v>0</v>
      </c>
      <c r="AQ174" s="5" t="n">
        <v>0.669</v>
      </c>
      <c r="AR174" s="5" t="n">
        <v>0.122</v>
      </c>
      <c r="AS174" s="5" t="n">
        <v>0.271</v>
      </c>
      <c r="AT174" s="5" t="n">
        <v>1.062</v>
      </c>
      <c r="AU174" s="5" t="n">
        <v>0.13</v>
      </c>
      <c r="AV174" s="5" t="n">
        <v>1</v>
      </c>
      <c r="AW174" s="5" t="n">
        <v>0.673</v>
      </c>
      <c r="AX174" s="5" t="n">
        <v>0.13</v>
      </c>
      <c r="AY174" s="5" t="n">
        <v>0.215</v>
      </c>
      <c r="AZ174" s="5" t="n">
        <v>1.003</v>
      </c>
      <c r="BA174" s="5" t="n">
        <v>0.13</v>
      </c>
      <c r="BB174" s="5" t="n">
        <v>1</v>
      </c>
      <c r="BC174" s="5" t="n">
        <v>0.554</v>
      </c>
      <c r="BD174" s="5" t="n">
        <v>0.143</v>
      </c>
      <c r="BE174" s="5" t="n">
        <v>0.016</v>
      </c>
      <c r="BF174" s="5" t="n">
        <v>0.621</v>
      </c>
      <c r="BG174" s="5" t="n">
        <v>0.09</v>
      </c>
      <c r="BH174" s="5" t="n">
        <v>1</v>
      </c>
      <c r="BI174" s="5" t="n">
        <v>0.5600000000000001</v>
      </c>
      <c r="BJ174" s="5" t="n">
        <v>0.114</v>
      </c>
      <c r="BK174" s="5" t="n">
        <v>0.215</v>
      </c>
      <c r="BL174" s="5" t="n">
        <v>0.876</v>
      </c>
      <c r="BM174" s="5" t="n">
        <v>0.13</v>
      </c>
      <c r="BN174" s="5" t="n">
        <v>1</v>
      </c>
      <c r="BO174" s="5" t="n">
        <v>0</v>
      </c>
      <c r="BP174" s="5" t="n">
        <v>-0.003</v>
      </c>
      <c r="BQ174" s="5" t="n">
        <v>0.095</v>
      </c>
      <c r="BR174" s="5" t="n">
        <v>0</v>
      </c>
      <c r="BS174" s="5" t="n">
        <v>0.833</v>
      </c>
      <c r="BT174" s="5" t="n">
        <v>0</v>
      </c>
      <c r="BU174" s="5" t="n">
        <v>-0.003</v>
      </c>
      <c r="BV174" s="5" t="n">
        <v>0.081</v>
      </c>
      <c r="BW174" s="5" t="n">
        <v>0.13</v>
      </c>
      <c r="BX174" s="5" t="n">
        <v>0</v>
      </c>
      <c r="BY174" s="5" t="n">
        <v>11.787</v>
      </c>
      <c r="BZ174" s="5" t="n">
        <v>0</v>
      </c>
      <c r="CA174" s="5" t="n">
        <v>11.787</v>
      </c>
      <c r="CB174" s="5" t="n">
        <v>0</v>
      </c>
      <c r="CC174" s="5" t="n">
        <v>81.69499999999999</v>
      </c>
      <c r="CD174" s="5" t="n">
        <v>7.95</v>
      </c>
      <c r="CE174" s="5" t="n">
        <v>34.413</v>
      </c>
      <c r="CF174" s="5" t="n">
        <v>131.203</v>
      </c>
      <c r="CG174" s="5" t="n">
        <v>0.13</v>
      </c>
      <c r="CH174" s="5" t="n">
        <v>1</v>
      </c>
      <c r="CI174" s="5" t="n">
        <v>0</v>
      </c>
      <c r="CJ174" s="5" t="n">
        <v>0</v>
      </c>
      <c r="CK174" s="5" t="n">
        <v>0</v>
      </c>
      <c r="CL174" s="5" t="n">
        <v>0.783</v>
      </c>
      <c r="CM174" s="5" t="n">
        <v>0</v>
      </c>
      <c r="CN174" s="5" t="n">
        <v>1.445</v>
      </c>
      <c r="CO174" s="5" t="n">
        <v>1.047</v>
      </c>
      <c r="CP174" s="5" t="n">
        <v>0</v>
      </c>
      <c r="CQ174" s="5" t="n">
        <v>1.137</v>
      </c>
      <c r="CR174" s="5" t="n">
        <v>0</v>
      </c>
      <c r="CS174" s="5" t="n">
        <v>4.117</v>
      </c>
      <c r="CT174" s="5" t="n">
        <v>4.634</v>
      </c>
      <c r="CU174" s="5" t="n">
        <v>12.488</v>
      </c>
    </row>
    <row r="175">
      <c r="A175" s="5" t="inlineStr">
        <is>
          <t>CHN2022</t>
        </is>
      </c>
      <c r="B175" s="5" t="inlineStr">
        <is>
          <t>CHN</t>
        </is>
      </c>
      <c r="C175" s="5" t="inlineStr">
        <is>
          <t>CHN</t>
        </is>
      </c>
      <c r="D175" s="5" t="inlineStr">
        <is>
          <t>China</t>
        </is>
      </c>
      <c r="E175" s="5" t="n">
        <v>2022</v>
      </c>
      <c r="F175" s="5" t="n">
        <v>0.13</v>
      </c>
      <c r="G175" s="5" t="n">
        <v>4.02</v>
      </c>
      <c r="H175" s="5" t="n">
        <v>0.624</v>
      </c>
      <c r="I175" s="5" t="n">
        <v>0.883</v>
      </c>
      <c r="J175" s="5" t="n">
        <v>4.903</v>
      </c>
      <c r="K175" s="5" t="n">
        <v>0</v>
      </c>
      <c r="L175" s="5" t="n">
        <v>1</v>
      </c>
      <c r="M175" s="5" t="n">
        <v>10.033</v>
      </c>
      <c r="N175" s="5" t="n">
        <v>4.143</v>
      </c>
      <c r="O175" s="5" t="n">
        <v>0.902</v>
      </c>
      <c r="P175" s="5" t="n">
        <v>10.936</v>
      </c>
      <c r="Q175" s="5" t="n">
        <v>0</v>
      </c>
      <c r="R175" s="5" t="n">
        <v>1</v>
      </c>
      <c r="S175" s="5" t="n">
        <v>1.826</v>
      </c>
      <c r="T175" s="5" t="n">
        <v>0.894</v>
      </c>
      <c r="U175" s="5" t="n">
        <v>0.055</v>
      </c>
      <c r="V175" s="5" t="n">
        <v>2.105</v>
      </c>
      <c r="W175" s="5" t="n">
        <v>0.13</v>
      </c>
      <c r="X175" s="5" t="n">
        <v>1</v>
      </c>
      <c r="Y175" s="5" t="n">
        <v>16.416</v>
      </c>
      <c r="Z175" s="5" t="n">
        <v>1.722</v>
      </c>
      <c r="AA175" s="5" t="n">
        <v>-2.84</v>
      </c>
      <c r="AB175" s="5" t="n">
        <v>13.576</v>
      </c>
      <c r="AC175" s="5" t="n">
        <v>0</v>
      </c>
      <c r="AD175" s="5" t="n">
        <v>1</v>
      </c>
      <c r="AE175" s="5" t="n">
        <v>16.439</v>
      </c>
      <c r="AF175" s="5" t="n">
        <v>3.048</v>
      </c>
      <c r="AG175" s="5" t="n">
        <v>-2.863</v>
      </c>
      <c r="AH175" s="5" t="n">
        <v>13.576</v>
      </c>
      <c r="AI175" s="5" t="n">
        <v>0</v>
      </c>
      <c r="AJ175" s="5" t="n">
        <v>1</v>
      </c>
      <c r="AK175" s="5" t="n">
        <v>19.77</v>
      </c>
      <c r="AL175" s="5" t="n">
        <v>9.441000000000001</v>
      </c>
      <c r="AM175" s="5" t="n">
        <v>-10.126</v>
      </c>
      <c r="AN175" s="5" t="n">
        <v>10.513</v>
      </c>
      <c r="AO175" s="5" t="n">
        <v>0</v>
      </c>
      <c r="AP175" s="5" t="n">
        <v>0</v>
      </c>
      <c r="AQ175" s="5" t="n">
        <v>0.8120000000000001</v>
      </c>
      <c r="AR175" s="5" t="n">
        <v>0.116</v>
      </c>
      <c r="AS175" s="5" t="n">
        <v>0.276</v>
      </c>
      <c r="AT175" s="5" t="n">
        <v>1.229</v>
      </c>
      <c r="AU175" s="5" t="n">
        <v>0.13</v>
      </c>
      <c r="AV175" s="5" t="n">
        <v>1</v>
      </c>
      <c r="AW175" s="5" t="n">
        <v>0.8149999999999999</v>
      </c>
      <c r="AX175" s="5" t="n">
        <v>0.106</v>
      </c>
      <c r="AY175" s="5" t="n">
        <v>0.228</v>
      </c>
      <c r="AZ175" s="5" t="n">
        <v>1.178</v>
      </c>
      <c r="BA175" s="5" t="n">
        <v>0.13</v>
      </c>
      <c r="BB175" s="5" t="n">
        <v>1</v>
      </c>
      <c r="BC175" s="5" t="n">
        <v>0.582</v>
      </c>
      <c r="BD175" s="5" t="n">
        <v>0.12</v>
      </c>
      <c r="BE175" s="5" t="n">
        <v>0.023</v>
      </c>
      <c r="BF175" s="5" t="n">
        <v>0.66</v>
      </c>
      <c r="BG175" s="5" t="n">
        <v>0.09</v>
      </c>
      <c r="BH175" s="5" t="n">
        <v>1</v>
      </c>
      <c r="BI175" s="5" t="n">
        <v>0.6889999999999999</v>
      </c>
      <c r="BJ175" s="5" t="n">
        <v>0.123</v>
      </c>
      <c r="BK175" s="5" t="n">
        <v>0.224</v>
      </c>
      <c r="BL175" s="5" t="n">
        <v>1.022</v>
      </c>
      <c r="BM175" s="5" t="n">
        <v>0.13</v>
      </c>
      <c r="BN175" s="5" t="n">
        <v>1</v>
      </c>
      <c r="BO175" s="5" t="n">
        <v>0</v>
      </c>
      <c r="BP175" s="5" t="n">
        <v>-0.007</v>
      </c>
      <c r="BQ175" s="5" t="n">
        <v>0.092</v>
      </c>
      <c r="BR175" s="5" t="n">
        <v>0</v>
      </c>
      <c r="BS175" s="5" t="n">
        <v>0.833</v>
      </c>
      <c r="BT175" s="5" t="n">
        <v>0</v>
      </c>
      <c r="BU175" s="5" t="n">
        <v>-0.007</v>
      </c>
      <c r="BV175" s="5" t="n">
        <v>0.077</v>
      </c>
      <c r="BW175" s="5" t="n">
        <v>0.13</v>
      </c>
      <c r="BX175" s="5" t="n">
        <v>0</v>
      </c>
      <c r="BY175" s="5" t="n">
        <v>12.729</v>
      </c>
      <c r="BZ175" s="5" t="n">
        <v>0</v>
      </c>
      <c r="CA175" s="5" t="n">
        <v>12.729</v>
      </c>
      <c r="CB175" s="5" t="n">
        <v>0</v>
      </c>
      <c r="CC175" s="5" t="n">
        <v>102.477</v>
      </c>
      <c r="CD175" s="5" t="n">
        <v>7.95</v>
      </c>
      <c r="CE175" s="5" t="n">
        <v>40.185</v>
      </c>
      <c r="CF175" s="5" t="n">
        <v>159.672</v>
      </c>
      <c r="CG175" s="5" t="n">
        <v>0.13</v>
      </c>
      <c r="CH175" s="5" t="n">
        <v>1</v>
      </c>
      <c r="CI175" s="5" t="n">
        <v>0</v>
      </c>
      <c r="CJ175" s="5" t="n">
        <v>0</v>
      </c>
      <c r="CK175" s="5" t="n">
        <v>0</v>
      </c>
      <c r="CL175" s="5" t="n">
        <v>0.846</v>
      </c>
      <c r="CM175" s="5" t="n">
        <v>0</v>
      </c>
      <c r="CN175" s="5" t="n">
        <v>1.659</v>
      </c>
      <c r="CO175" s="5" t="n">
        <v>1.163</v>
      </c>
      <c r="CP175" s="5" t="n">
        <v>0</v>
      </c>
      <c r="CQ175" s="5" t="n">
        <v>1.227</v>
      </c>
      <c r="CR175" s="5" t="n">
        <v>0</v>
      </c>
      <c r="CS175" s="5" t="n">
        <v>4.446</v>
      </c>
      <c r="CT175" s="5" t="n">
        <v>6.365</v>
      </c>
      <c r="CU175" s="5" t="n">
        <v>20.007</v>
      </c>
    </row>
    <row r="176">
      <c r="A176" s="5" t="inlineStr">
        <is>
          <t>CHN2023</t>
        </is>
      </c>
      <c r="B176" s="5" t="inlineStr">
        <is>
          <t>CHN</t>
        </is>
      </c>
      <c r="C176" s="5" t="inlineStr">
        <is>
          <t>CHN</t>
        </is>
      </c>
      <c r="D176" s="5" t="inlineStr">
        <is>
          <t>China</t>
        </is>
      </c>
      <c r="E176" s="5" t="n">
        <v>2023</v>
      </c>
      <c r="F176" s="5" t="n">
        <v>0.13</v>
      </c>
      <c r="G176" s="5" t="n">
        <v>4.106</v>
      </c>
      <c r="H176" s="5" t="n">
        <v>0.9350000000000001</v>
      </c>
      <c r="I176" s="5" t="n">
        <v>0.8110000000000001</v>
      </c>
      <c r="J176" s="5" t="n">
        <v>4.918</v>
      </c>
      <c r="K176" s="5" t="n">
        <v>0</v>
      </c>
      <c r="L176" s="5" t="n">
        <v>1</v>
      </c>
      <c r="M176" s="5" t="n">
        <v>8.242000000000001</v>
      </c>
      <c r="N176" s="5" t="n">
        <v>4.088</v>
      </c>
      <c r="O176" s="5" t="n">
        <v>0.835</v>
      </c>
      <c r="P176" s="5" t="n">
        <v>9.077</v>
      </c>
      <c r="Q176" s="5" t="n">
        <v>0</v>
      </c>
      <c r="R176" s="5" t="n">
        <v>1</v>
      </c>
      <c r="S176" s="5" t="n">
        <v>1.923</v>
      </c>
      <c r="T176" s="5" t="n">
        <v>1.206</v>
      </c>
      <c r="U176" s="5" t="n">
        <v>0.064</v>
      </c>
      <c r="V176" s="5" t="n">
        <v>2.214</v>
      </c>
      <c r="W176" s="5" t="n">
        <v>0.13</v>
      </c>
      <c r="X176" s="5" t="n">
        <v>1</v>
      </c>
      <c r="Y176" s="5" t="n">
        <v>13.96</v>
      </c>
      <c r="Z176" s="5" t="n">
        <v>1.564</v>
      </c>
      <c r="AA176" s="5" t="n">
        <v>-0.308</v>
      </c>
      <c r="AB176" s="5" t="n">
        <v>13.653</v>
      </c>
      <c r="AC176" s="5" t="n">
        <v>0</v>
      </c>
      <c r="AD176" s="5" t="n">
        <v>1</v>
      </c>
      <c r="AE176" s="5" t="n">
        <v>14.026</v>
      </c>
      <c r="AF176" s="5" t="n">
        <v>2.793</v>
      </c>
      <c r="AG176" s="5" t="n">
        <v>-0.373</v>
      </c>
      <c r="AH176" s="5" t="n">
        <v>13.653</v>
      </c>
      <c r="AI176" s="5" t="n">
        <v>0</v>
      </c>
      <c r="AJ176" s="5" t="n">
        <v>1</v>
      </c>
      <c r="AK176" s="5" t="n">
        <v>17.608</v>
      </c>
      <c r="AL176" s="5" t="n">
        <v>8.723000000000001</v>
      </c>
      <c r="AM176" s="5" t="n">
        <v>-8.265000000000001</v>
      </c>
      <c r="AN176" s="5" t="n">
        <v>10.184</v>
      </c>
      <c r="AO176" s="5" t="n">
        <v>0</v>
      </c>
      <c r="AP176" s="5" t="n">
        <v>0</v>
      </c>
      <c r="AQ176" s="5" t="n">
        <v>0.727</v>
      </c>
      <c r="AR176" s="5" t="n">
        <v>0.123</v>
      </c>
      <c r="AS176" s="5" t="n">
        <v>0.258</v>
      </c>
      <c r="AT176" s="5" t="n">
        <v>1.113</v>
      </c>
      <c r="AU176" s="5" t="n">
        <v>0.13</v>
      </c>
      <c r="AV176" s="5" t="n">
        <v>1</v>
      </c>
      <c r="AW176" s="5" t="n">
        <v>0.729</v>
      </c>
      <c r="AX176" s="5" t="n">
        <v>0.125</v>
      </c>
      <c r="AY176" s="5" t="n">
        <v>0.209</v>
      </c>
      <c r="AZ176" s="5" t="n">
        <v>1.059</v>
      </c>
      <c r="BA176" s="5" t="n">
        <v>0.13</v>
      </c>
      <c r="BB176" s="5" t="n">
        <v>1</v>
      </c>
      <c r="BC176" s="5" t="n">
        <v>0.5580000000000001</v>
      </c>
      <c r="BD176" s="5" t="n">
        <v>0.134</v>
      </c>
      <c r="BE176" s="5" t="n">
        <v>0.02</v>
      </c>
      <c r="BF176" s="5" t="n">
        <v>0.63</v>
      </c>
      <c r="BG176" s="5" t="n">
        <v>0.09</v>
      </c>
      <c r="BH176" s="5" t="n">
        <v>1</v>
      </c>
      <c r="BI176" s="5" t="n">
        <v>0.64</v>
      </c>
      <c r="BJ176" s="5" t="n">
        <v>0.129</v>
      </c>
      <c r="BK176" s="5" t="n">
        <v>0.215</v>
      </c>
      <c r="BL176" s="5" t="n">
        <v>0.952</v>
      </c>
      <c r="BM176" s="5" t="n">
        <v>0.13</v>
      </c>
      <c r="BN176" s="5" t="n">
        <v>1</v>
      </c>
      <c r="BO176" s="5" t="n">
        <v>0</v>
      </c>
      <c r="BP176" s="5" t="n">
        <v>-0.003</v>
      </c>
      <c r="BQ176" s="5" t="n">
        <v>0.089</v>
      </c>
      <c r="BR176" s="5" t="n">
        <v>0</v>
      </c>
      <c r="BS176" s="5" t="n">
        <v>0.833</v>
      </c>
      <c r="BT176" s="5" t="n">
        <v>0</v>
      </c>
      <c r="BU176" s="5" t="n">
        <v>-0.003</v>
      </c>
      <c r="BV176" s="5" t="n">
        <v>0.073</v>
      </c>
      <c r="BW176" s="5" t="n">
        <v>0.13</v>
      </c>
      <c r="BX176" s="5" t="n">
        <v>0</v>
      </c>
      <c r="BY176" s="5" t="n">
        <v>13.254</v>
      </c>
      <c r="BZ176" s="5" t="n">
        <v>0</v>
      </c>
      <c r="CA176" s="5" t="n">
        <v>13.254</v>
      </c>
      <c r="CB176" s="5" t="n">
        <v>0</v>
      </c>
      <c r="CC176" s="5" t="n">
        <v>87.07899999999999</v>
      </c>
      <c r="CD176" s="5" t="n">
        <v>7.95</v>
      </c>
      <c r="CE176" s="5" t="n">
        <v>37.871</v>
      </c>
      <c r="CF176" s="5" t="n">
        <v>139.19</v>
      </c>
      <c r="CG176" s="5" t="n">
        <v>0.13</v>
      </c>
      <c r="CH176" s="5" t="n">
        <v>1</v>
      </c>
      <c r="CI176" s="5" t="n">
        <v>0</v>
      </c>
      <c r="CJ176" s="5" t="n">
        <v>0</v>
      </c>
      <c r="CK176" s="5" t="n">
        <v>0</v>
      </c>
      <c r="CL176" s="5" t="n">
        <v>0.881</v>
      </c>
      <c r="CM176" s="5" t="n">
        <v>0</v>
      </c>
      <c r="CN176" s="5" t="n">
        <v>1.803</v>
      </c>
      <c r="CO176" s="5" t="n">
        <v>1.254</v>
      </c>
      <c r="CP176" s="5" t="n">
        <v>0</v>
      </c>
      <c r="CQ176" s="5" t="n">
        <v>1.278</v>
      </c>
      <c r="CR176" s="5" t="n">
        <v>0</v>
      </c>
      <c r="CS176" s="5" t="n">
        <v>4.629</v>
      </c>
      <c r="CT176" s="5" t="n">
        <v>4.66</v>
      </c>
      <c r="CU176" s="5" t="n">
        <v>11.873</v>
      </c>
    </row>
    <row r="177">
      <c r="A177" s="5" t="inlineStr">
        <is>
          <t>CHN2024</t>
        </is>
      </c>
      <c r="B177" s="5" t="inlineStr">
        <is>
          <t>CHN</t>
        </is>
      </c>
      <c r="C177" s="5" t="inlineStr">
        <is>
          <t>CHN</t>
        </is>
      </c>
      <c r="D177" s="5" t="inlineStr">
        <is>
          <t>China</t>
        </is>
      </c>
      <c r="E177" s="5" t="n">
        <v>2024</v>
      </c>
      <c r="F177" s="5" t="n">
        <v>0.13</v>
      </c>
      <c r="G177" s="5" t="n">
        <v>4.109</v>
      </c>
      <c r="H177" s="5" t="n">
        <v>1.041</v>
      </c>
      <c r="I177" s="5" t="n">
        <v>1.28</v>
      </c>
      <c r="J177" s="5" t="n">
        <v>5.389</v>
      </c>
      <c r="K177" s="5" t="n">
        <v>0</v>
      </c>
      <c r="L177" s="5" t="n">
        <v>1</v>
      </c>
      <c r="M177" s="5" t="n">
        <v>7.656</v>
      </c>
      <c r="N177" s="5" t="n">
        <v>4.171</v>
      </c>
      <c r="O177" s="5" t="n">
        <v>1.304</v>
      </c>
      <c r="P177" s="5" t="n">
        <v>8.960000000000001</v>
      </c>
      <c r="Q177" s="5" t="n">
        <v>0</v>
      </c>
      <c r="R177" s="5" t="n">
        <v>1</v>
      </c>
      <c r="S177" s="5" t="n">
        <v>1.961</v>
      </c>
      <c r="T177" s="5" t="n">
        <v>1.298</v>
      </c>
      <c r="U177" s="5" t="n">
        <v>0.07000000000000001</v>
      </c>
      <c r="V177" s="5" t="n">
        <v>2.255</v>
      </c>
      <c r="W177" s="5" t="n">
        <v>0.13</v>
      </c>
      <c r="X177" s="5" t="n">
        <v>1</v>
      </c>
      <c r="Y177" s="5" t="n">
        <v>13.283</v>
      </c>
      <c r="Z177" s="5" t="n">
        <v>1.677</v>
      </c>
      <c r="AA177" s="5" t="n">
        <v>0.662</v>
      </c>
      <c r="AB177" s="5" t="n">
        <v>13.944</v>
      </c>
      <c r="AC177" s="5" t="n">
        <v>0</v>
      </c>
      <c r="AD177" s="5" t="n">
        <v>1</v>
      </c>
      <c r="AE177" s="5" t="n">
        <v>13.283</v>
      </c>
      <c r="AF177" s="5" t="n">
        <v>2.91</v>
      </c>
      <c r="AG177" s="5" t="n">
        <v>0.662</v>
      </c>
      <c r="AH177" s="5" t="n">
        <v>13.944</v>
      </c>
      <c r="AI177" s="5" t="n">
        <v>0</v>
      </c>
      <c r="AJ177" s="5" t="n">
        <v>1</v>
      </c>
      <c r="AK177" s="5" t="n">
        <v>16.157</v>
      </c>
      <c r="AL177" s="5" t="n">
        <v>8.218</v>
      </c>
      <c r="AM177" s="5" t="n">
        <v>-6.759</v>
      </c>
      <c r="AN177" s="5" t="n">
        <v>10.244</v>
      </c>
      <c r="AO177" s="5" t="n">
        <v>0</v>
      </c>
      <c r="AP177" s="5" t="n">
        <v>0</v>
      </c>
      <c r="AQ177" s="5" t="n">
        <v>0.705</v>
      </c>
      <c r="AR177" s="5" t="n">
        <v>0.128</v>
      </c>
      <c r="AS177" s="5" t="n">
        <v>0.252</v>
      </c>
      <c r="AT177" s="5" t="n">
        <v>1.081</v>
      </c>
      <c r="AU177" s="5" t="n">
        <v>0.13</v>
      </c>
      <c r="AV177" s="5" t="n">
        <v>1</v>
      </c>
      <c r="AW177" s="5" t="n">
        <v>0.711</v>
      </c>
      <c r="AX177" s="5" t="n">
        <v>0.13</v>
      </c>
      <c r="AY177" s="5" t="n">
        <v>0.203</v>
      </c>
      <c r="AZ177" s="5" t="n">
        <v>1.032</v>
      </c>
      <c r="BA177" s="5" t="n">
        <v>0.13</v>
      </c>
      <c r="BB177" s="5" t="n">
        <v>1</v>
      </c>
      <c r="BC177" s="5" t="n">
        <v>0.5570000000000001</v>
      </c>
      <c r="BD177" s="5" t="n">
        <v>0.143</v>
      </c>
      <c r="BE177" s="5" t="n">
        <v>0.019</v>
      </c>
      <c r="BF177" s="5" t="n">
        <v>0.627</v>
      </c>
      <c r="BG177" s="5" t="n">
        <v>0.09</v>
      </c>
      <c r="BH177" s="5" t="n">
        <v>1</v>
      </c>
      <c r="BI177" s="5" t="n">
        <v>0.652</v>
      </c>
      <c r="BJ177" s="5" t="n">
        <v>0.132</v>
      </c>
      <c r="BK177" s="5" t="n">
        <v>0.216</v>
      </c>
      <c r="BL177" s="5" t="n">
        <v>0.964</v>
      </c>
      <c r="BM177" s="5" t="n">
        <v>0.13</v>
      </c>
      <c r="BN177" s="5" t="n">
        <v>1</v>
      </c>
      <c r="BO177" s="5" t="n">
        <v>0</v>
      </c>
      <c r="BP177" s="5" t="n">
        <v>-0.003</v>
      </c>
      <c r="BQ177" s="5" t="n">
        <v>0.08799999999999999</v>
      </c>
      <c r="BR177" s="5" t="n">
        <v>0</v>
      </c>
      <c r="BS177" s="5" t="n">
        <v>0.833</v>
      </c>
      <c r="BT177" s="5" t="n">
        <v>0</v>
      </c>
      <c r="BU177" s="5" t="n">
        <v>-0.003</v>
      </c>
      <c r="BV177" s="5" t="n">
        <v>0.07199999999999999</v>
      </c>
      <c r="BW177" s="5" t="n">
        <v>0.13</v>
      </c>
      <c r="BX177" s="5" t="n">
        <v>0</v>
      </c>
      <c r="BY177" s="5" t="n">
        <v>13.646</v>
      </c>
      <c r="BZ177" s="5" t="n">
        <v>0</v>
      </c>
      <c r="CA177" s="5" t="n">
        <v>13.646</v>
      </c>
      <c r="CB177" s="5" t="n">
        <v>0</v>
      </c>
      <c r="CC177" s="5" t="n">
        <v>86.38500000000001</v>
      </c>
      <c r="CD177" s="5" t="n">
        <v>7.95</v>
      </c>
      <c r="CE177" s="5" t="n">
        <v>40.172</v>
      </c>
      <c r="CF177" s="5" t="n">
        <v>140.522</v>
      </c>
      <c r="CG177" s="5" t="n">
        <v>0.13</v>
      </c>
      <c r="CH177" s="5" t="n">
        <v>1</v>
      </c>
      <c r="CI177" s="5" t="n">
        <v>0</v>
      </c>
      <c r="CJ177" s="5" t="n">
        <v>0</v>
      </c>
      <c r="CK177" s="5" t="n">
        <v>0</v>
      </c>
      <c r="CL177" s="5" t="n">
        <v>0.907</v>
      </c>
      <c r="CM177" s="5" t="n">
        <v>0</v>
      </c>
      <c r="CN177" s="5" t="n">
        <v>1.978</v>
      </c>
      <c r="CO177" s="5" t="n">
        <v>1.316</v>
      </c>
      <c r="CP177" s="5" t="n">
        <v>0</v>
      </c>
      <c r="CQ177" s="5" t="n">
        <v>1.316</v>
      </c>
      <c r="CR177" s="5" t="n">
        <v>0</v>
      </c>
      <c r="CS177" s="5" t="n">
        <v>4.766</v>
      </c>
      <c r="CT177" s="5" t="n">
        <v>4.15</v>
      </c>
      <c r="CU177" s="5" t="n">
        <v>10.873</v>
      </c>
    </row>
    <row r="178">
      <c r="A178" s="5" t="inlineStr">
        <is>
          <t>COL2021</t>
        </is>
      </c>
      <c r="B178" s="5" t="inlineStr">
        <is>
          <t>COL</t>
        </is>
      </c>
      <c r="C178" s="5" t="inlineStr">
        <is>
          <t>COL</t>
        </is>
      </c>
      <c r="D178" s="5" t="inlineStr">
        <is>
          <t>Colombia</t>
        </is>
      </c>
      <c r="E178" s="5" t="n">
        <v>2021</v>
      </c>
      <c r="F178" s="5" t="n">
        <v>0.19</v>
      </c>
      <c r="G178" s="5" t="n">
        <v>2.052</v>
      </c>
      <c r="H178" s="5" t="n">
        <v>0.449</v>
      </c>
      <c r="I178" s="5" t="n">
        <v>0</v>
      </c>
      <c r="J178" s="5" t="n">
        <v>2.052</v>
      </c>
      <c r="K178" s="5" t="n">
        <v>0</v>
      </c>
      <c r="L178" s="5" t="n">
        <v>1</v>
      </c>
      <c r="M178" s="5" t="n">
        <v>2.084</v>
      </c>
      <c r="N178" s="5" t="n">
        <v>0.944</v>
      </c>
      <c r="O178" s="5" t="n">
        <v>0</v>
      </c>
      <c r="P178" s="5" t="n">
        <v>2.084</v>
      </c>
      <c r="Q178" s="5" t="n">
        <v>0</v>
      </c>
      <c r="R178" s="5" t="n">
        <v>1</v>
      </c>
      <c r="S178" s="5" t="n">
        <v>4.589</v>
      </c>
      <c r="T178" s="5" t="n">
        <v>3.43</v>
      </c>
      <c r="U178" s="5" t="n">
        <v>0</v>
      </c>
      <c r="V178" s="5" t="n">
        <v>5.461</v>
      </c>
      <c r="W178" s="5" t="n">
        <v>0.19</v>
      </c>
      <c r="X178" s="5" t="n">
        <v>1</v>
      </c>
      <c r="Y178" s="5" t="n">
        <v>12.169</v>
      </c>
      <c r="Z178" s="5" t="n">
        <v>1.344</v>
      </c>
      <c r="AA178" s="5" t="n">
        <v>0.06</v>
      </c>
      <c r="AB178" s="5" t="n">
        <v>12.229</v>
      </c>
      <c r="AC178" s="5" t="n">
        <v>0</v>
      </c>
      <c r="AD178" s="5" t="n">
        <v>1</v>
      </c>
      <c r="AE178" s="5" t="n">
        <v>12.169</v>
      </c>
      <c r="AF178" s="5" t="n">
        <v>2.395</v>
      </c>
      <c r="AG178" s="5" t="n">
        <v>0.06</v>
      </c>
      <c r="AH178" s="5" t="n">
        <v>12.229</v>
      </c>
      <c r="AI178" s="5" t="n">
        <v>0</v>
      </c>
      <c r="AJ178" s="5" t="n">
        <v>1</v>
      </c>
      <c r="AK178" s="5" t="n">
        <v>14.143</v>
      </c>
      <c r="AL178" s="5" t="n">
        <v>6.941</v>
      </c>
      <c r="AM178" s="5" t="n">
        <v>-2.963</v>
      </c>
      <c r="AN178" s="5" t="n">
        <v>13.304</v>
      </c>
      <c r="AO178" s="5" t="n">
        <v>0</v>
      </c>
      <c r="AP178" s="5" t="n">
        <v>1</v>
      </c>
      <c r="AQ178" s="5" t="n">
        <v>0.649</v>
      </c>
      <c r="AR178" s="5" t="n">
        <v>0.114</v>
      </c>
      <c r="AS178" s="5" t="n">
        <v>-0.131</v>
      </c>
      <c r="AT178" s="5" t="n">
        <v>0.616</v>
      </c>
      <c r="AU178" s="5" t="n">
        <v>0.19</v>
      </c>
      <c r="AV178" s="5" t="n">
        <v>1</v>
      </c>
      <c r="AW178" s="5" t="n">
        <v>0.577</v>
      </c>
      <c r="AX178" s="5" t="n">
        <v>0.114</v>
      </c>
      <c r="AY178" s="5" t="n">
        <v>-0.063</v>
      </c>
      <c r="AZ178" s="5" t="n">
        <v>0.611</v>
      </c>
      <c r="BA178" s="5" t="n">
        <v>0.19</v>
      </c>
      <c r="BB178" s="5" t="n">
        <v>1</v>
      </c>
      <c r="BC178" s="5" t="n">
        <v>0.458</v>
      </c>
      <c r="BD178" s="5" t="n">
        <v>0.114</v>
      </c>
      <c r="BE178" s="5" t="n">
        <v>-0.07099999999999999</v>
      </c>
      <c r="BF178" s="5" t="n">
        <v>0.46</v>
      </c>
      <c r="BG178" s="5" t="n">
        <v>0.19</v>
      </c>
      <c r="BH178" s="5" t="n">
        <v>1</v>
      </c>
      <c r="BI178" s="5" t="n">
        <v>0.491</v>
      </c>
      <c r="BJ178" s="5" t="n">
        <v>0.114</v>
      </c>
      <c r="BK178" s="5" t="n">
        <v>0.158</v>
      </c>
      <c r="BL178" s="5" t="n">
        <v>0.773</v>
      </c>
      <c r="BM178" s="5" t="n">
        <v>0.19</v>
      </c>
      <c r="BN178" s="5" t="n">
        <v>1</v>
      </c>
      <c r="BO178" s="5" t="n">
        <v>0</v>
      </c>
      <c r="BP178" s="5" t="n">
        <v>0</v>
      </c>
      <c r="BQ178" s="5" t="n">
        <v>0.121</v>
      </c>
      <c r="BR178" s="5" t="n">
        <v>0</v>
      </c>
      <c r="BS178" s="5" t="n">
        <v>1</v>
      </c>
      <c r="BT178" s="5" t="n">
        <v>0</v>
      </c>
      <c r="BU178" s="5" t="n">
        <v>-0.025</v>
      </c>
      <c r="BV178" s="5" t="n">
        <v>0.165</v>
      </c>
      <c r="BW178" s="5" t="n">
        <v>0.19</v>
      </c>
      <c r="BX178" s="5" t="n">
        <v>1</v>
      </c>
      <c r="BY178" s="5" t="n">
        <v>11.787</v>
      </c>
      <c r="BZ178" s="5" t="n">
        <v>0</v>
      </c>
      <c r="CA178" s="5" t="n">
        <v>11.787</v>
      </c>
      <c r="CB178" s="5" t="n">
        <v>0</v>
      </c>
      <c r="CC178" s="5" t="n">
        <v>78.125</v>
      </c>
      <c r="CD178" s="5" t="n">
        <v>7.95</v>
      </c>
      <c r="CE178" s="5" t="n">
        <v>-22.809</v>
      </c>
      <c r="CF178" s="5" t="n">
        <v>65.82599999999999</v>
      </c>
      <c r="CG178" s="5" t="n">
        <v>0</v>
      </c>
      <c r="CH178" s="5" t="n">
        <v>1</v>
      </c>
      <c r="CI178" s="5" t="n">
        <v>0</v>
      </c>
      <c r="CJ178" s="5" t="n">
        <v>0</v>
      </c>
      <c r="CK178" s="5" t="n">
        <v>0</v>
      </c>
      <c r="CL178" s="5" t="n">
        <v>0.083</v>
      </c>
      <c r="CM178" s="5" t="n">
        <v>0.101</v>
      </c>
      <c r="CN178" s="5" t="n">
        <v>0.179</v>
      </c>
      <c r="CO178" s="5" t="n">
        <v>0</v>
      </c>
      <c r="CP178" s="5" t="n">
        <v>0</v>
      </c>
      <c r="CQ178" s="5" t="n">
        <v>1.159</v>
      </c>
      <c r="CR178" s="5" t="n">
        <v>0</v>
      </c>
      <c r="CS178" s="5" t="n">
        <v>6.734</v>
      </c>
      <c r="CT178" s="5" t="n">
        <v>3.984</v>
      </c>
      <c r="CU178" s="5" t="n">
        <v>14.129</v>
      </c>
    </row>
    <row r="179">
      <c r="A179" s="5" t="inlineStr">
        <is>
          <t>COL2022</t>
        </is>
      </c>
      <c r="B179" s="5" t="inlineStr">
        <is>
          <t>COL</t>
        </is>
      </c>
      <c r="C179" s="5" t="inlineStr">
        <is>
          <t>COL</t>
        </is>
      </c>
      <c r="D179" s="5" t="inlineStr">
        <is>
          <t>Colombia</t>
        </is>
      </c>
      <c r="E179" s="5" t="n">
        <v>2022</v>
      </c>
      <c r="F179" s="5" t="n">
        <v>0.19</v>
      </c>
      <c r="G179" s="5" t="n">
        <v>2.191</v>
      </c>
      <c r="H179" s="5" t="n">
        <v>0.34</v>
      </c>
      <c r="I179" s="5" t="n">
        <v>0</v>
      </c>
      <c r="J179" s="5" t="n">
        <v>2.191</v>
      </c>
      <c r="K179" s="5" t="n">
        <v>0</v>
      </c>
      <c r="L179" s="5" t="n">
        <v>1</v>
      </c>
      <c r="M179" s="5" t="n">
        <v>2.314</v>
      </c>
      <c r="N179" s="5" t="n">
        <v>0.956</v>
      </c>
      <c r="O179" s="5" t="n">
        <v>0</v>
      </c>
      <c r="P179" s="5" t="n">
        <v>2.314</v>
      </c>
      <c r="Q179" s="5" t="n">
        <v>0</v>
      </c>
      <c r="R179" s="5" t="n">
        <v>1</v>
      </c>
      <c r="S179" s="5" t="n">
        <v>4.957</v>
      </c>
      <c r="T179" s="5" t="n">
        <v>3.704</v>
      </c>
      <c r="U179" s="5" t="n">
        <v>0.07000000000000001</v>
      </c>
      <c r="V179" s="5" t="n">
        <v>5.898</v>
      </c>
      <c r="W179" s="5" t="n">
        <v>0.19</v>
      </c>
      <c r="X179" s="5" t="n">
        <v>1</v>
      </c>
      <c r="Y179" s="5" t="n">
        <v>12.712</v>
      </c>
      <c r="Z179" s="5" t="n">
        <v>1.334</v>
      </c>
      <c r="AA179" s="5" t="n">
        <v>0.2</v>
      </c>
      <c r="AB179" s="5" t="n">
        <v>12.912</v>
      </c>
      <c r="AC179" s="5" t="n">
        <v>0</v>
      </c>
      <c r="AD179" s="5" t="n">
        <v>1</v>
      </c>
      <c r="AE179" s="5" t="n">
        <v>12.712</v>
      </c>
      <c r="AF179" s="5" t="n">
        <v>2.357</v>
      </c>
      <c r="AG179" s="5" t="n">
        <v>0.2</v>
      </c>
      <c r="AH179" s="5" t="n">
        <v>12.912</v>
      </c>
      <c r="AI179" s="5" t="n">
        <v>0</v>
      </c>
      <c r="AJ179" s="5" t="n">
        <v>1</v>
      </c>
      <c r="AK179" s="5" t="n">
        <v>15.166</v>
      </c>
      <c r="AL179" s="5" t="n">
        <v>7.242</v>
      </c>
      <c r="AM179" s="5" t="n">
        <v>-3.391</v>
      </c>
      <c r="AN179" s="5" t="n">
        <v>14.013</v>
      </c>
      <c r="AO179" s="5" t="n">
        <v>0</v>
      </c>
      <c r="AP179" s="5" t="n">
        <v>1</v>
      </c>
      <c r="AQ179" s="5" t="n">
        <v>0.896</v>
      </c>
      <c r="AR179" s="5" t="n">
        <v>0.123</v>
      </c>
      <c r="AS179" s="5" t="n">
        <v>-0.381</v>
      </c>
      <c r="AT179" s="5" t="n">
        <v>0.613</v>
      </c>
      <c r="AU179" s="5" t="n">
        <v>0.19</v>
      </c>
      <c r="AV179" s="5" t="n">
        <v>1</v>
      </c>
      <c r="AW179" s="5" t="n">
        <v>0.89</v>
      </c>
      <c r="AX179" s="5" t="n">
        <v>0.123</v>
      </c>
      <c r="AY179" s="5" t="n">
        <v>-0.383</v>
      </c>
      <c r="AZ179" s="5" t="n">
        <v>0.603</v>
      </c>
      <c r="BA179" s="5" t="n">
        <v>0.19</v>
      </c>
      <c r="BB179" s="5" t="n">
        <v>1</v>
      </c>
      <c r="BC179" s="5" t="n">
        <v>0.62</v>
      </c>
      <c r="BD179" s="5" t="n">
        <v>0.123</v>
      </c>
      <c r="BE179" s="5" t="n">
        <v>-0.249</v>
      </c>
      <c r="BF179" s="5" t="n">
        <v>0.442</v>
      </c>
      <c r="BG179" s="5" t="n">
        <v>0.19</v>
      </c>
      <c r="BH179" s="5" t="n">
        <v>1</v>
      </c>
      <c r="BI179" s="5" t="n">
        <v>0.608</v>
      </c>
      <c r="BJ179" s="5" t="n">
        <v>0.123</v>
      </c>
      <c r="BK179" s="5" t="n">
        <v>0.167</v>
      </c>
      <c r="BL179" s="5" t="n">
        <v>0.921</v>
      </c>
      <c r="BM179" s="5" t="n">
        <v>0.19</v>
      </c>
      <c r="BN179" s="5" t="n">
        <v>1</v>
      </c>
      <c r="BO179" s="5" t="n">
        <v>0</v>
      </c>
      <c r="BP179" s="5" t="n">
        <v>0</v>
      </c>
      <c r="BQ179" s="5" t="n">
        <v>0.131</v>
      </c>
      <c r="BR179" s="5" t="n">
        <v>0</v>
      </c>
      <c r="BS179" s="5" t="n">
        <v>1</v>
      </c>
      <c r="BT179" s="5" t="n">
        <v>0</v>
      </c>
      <c r="BU179" s="5" t="n">
        <v>-0.027</v>
      </c>
      <c r="BV179" s="5" t="n">
        <v>0.175</v>
      </c>
      <c r="BW179" s="5" t="n">
        <v>0.19</v>
      </c>
      <c r="BX179" s="5" t="n">
        <v>1</v>
      </c>
      <c r="BY179" s="5" t="n">
        <v>12.729</v>
      </c>
      <c r="BZ179" s="5" t="n">
        <v>0</v>
      </c>
      <c r="CA179" s="5" t="n">
        <v>12.729</v>
      </c>
      <c r="CB179" s="5" t="n">
        <v>0</v>
      </c>
      <c r="CC179" s="5" t="n">
        <v>97.90000000000001</v>
      </c>
      <c r="CD179" s="5" t="n">
        <v>7.95</v>
      </c>
      <c r="CE179" s="5" t="n">
        <v>-12.82</v>
      </c>
      <c r="CF179" s="5" t="n">
        <v>101.245</v>
      </c>
      <c r="CG179" s="5" t="n">
        <v>0</v>
      </c>
      <c r="CH179" s="5" t="n">
        <v>1</v>
      </c>
      <c r="CI179" s="5" t="n">
        <v>0</v>
      </c>
      <c r="CJ179" s="5" t="n">
        <v>0</v>
      </c>
      <c r="CK179" s="5" t="n">
        <v>0</v>
      </c>
      <c r="CL179" s="5" t="n">
        <v>0.089</v>
      </c>
      <c r="CM179" s="5" t="n">
        <v>0.109</v>
      </c>
      <c r="CN179" s="5" t="n">
        <v>0.191</v>
      </c>
      <c r="CO179" s="5" t="n">
        <v>0</v>
      </c>
      <c r="CP179" s="5" t="n">
        <v>0</v>
      </c>
      <c r="CQ179" s="5" t="n">
        <v>1.252</v>
      </c>
      <c r="CR179" s="5" t="n">
        <v>0</v>
      </c>
      <c r="CS179" s="5" t="n">
        <v>7.272</v>
      </c>
      <c r="CT179" s="5" t="n">
        <v>9.856</v>
      </c>
      <c r="CU179" s="5" t="n">
        <v>28.059</v>
      </c>
    </row>
    <row r="180">
      <c r="A180" s="5" t="inlineStr">
        <is>
          <t>COL2023</t>
        </is>
      </c>
      <c r="B180" s="5" t="inlineStr">
        <is>
          <t>COL</t>
        </is>
      </c>
      <c r="C180" s="5" t="inlineStr">
        <is>
          <t>COL</t>
        </is>
      </c>
      <c r="D180" s="5" t="inlineStr">
        <is>
          <t>Colombia</t>
        </is>
      </c>
      <c r="E180" s="5" t="n">
        <v>2023</v>
      </c>
      <c r="F180" s="5" t="n">
        <v>0.19</v>
      </c>
      <c r="G180" s="5" t="n">
        <v>2.268</v>
      </c>
      <c r="H180" s="5" t="n">
        <v>0.517</v>
      </c>
      <c r="I180" s="5" t="n">
        <v>0</v>
      </c>
      <c r="J180" s="5" t="n">
        <v>2.268</v>
      </c>
      <c r="K180" s="5" t="n">
        <v>0</v>
      </c>
      <c r="L180" s="5" t="n">
        <v>1</v>
      </c>
      <c r="M180" s="5" t="n">
        <v>2.442</v>
      </c>
      <c r="N180" s="5" t="n">
        <v>1.211</v>
      </c>
      <c r="O180" s="5" t="n">
        <v>0</v>
      </c>
      <c r="P180" s="5" t="n">
        <v>2.442</v>
      </c>
      <c r="Q180" s="5" t="n">
        <v>0</v>
      </c>
      <c r="R180" s="5" t="n">
        <v>1</v>
      </c>
      <c r="S180" s="5" t="n">
        <v>5.161</v>
      </c>
      <c r="T180" s="5" t="n">
        <v>3.857</v>
      </c>
      <c r="U180" s="5" t="n">
        <v>0.109</v>
      </c>
      <c r="V180" s="5" t="n">
        <v>6.142</v>
      </c>
      <c r="W180" s="5" t="n">
        <v>0.19</v>
      </c>
      <c r="X180" s="5" t="n">
        <v>1</v>
      </c>
      <c r="Y180" s="5" t="n">
        <v>13.518</v>
      </c>
      <c r="Z180" s="5" t="n">
        <v>1.514</v>
      </c>
      <c r="AA180" s="5" t="n">
        <v>0.197</v>
      </c>
      <c r="AB180" s="5" t="n">
        <v>13.715</v>
      </c>
      <c r="AC180" s="5" t="n">
        <v>0</v>
      </c>
      <c r="AD180" s="5" t="n">
        <v>1</v>
      </c>
      <c r="AE180" s="5" t="n">
        <v>13.518</v>
      </c>
      <c r="AF180" s="5" t="n">
        <v>2.692</v>
      </c>
      <c r="AG180" s="5" t="n">
        <v>0.197</v>
      </c>
      <c r="AH180" s="5" t="n">
        <v>13.715</v>
      </c>
      <c r="AI180" s="5" t="n">
        <v>0</v>
      </c>
      <c r="AJ180" s="5" t="n">
        <v>1</v>
      </c>
      <c r="AK180" s="5" t="n">
        <v>16.16</v>
      </c>
      <c r="AL180" s="5" t="n">
        <v>8.005000000000001</v>
      </c>
      <c r="AM180" s="5" t="n">
        <v>-3.704</v>
      </c>
      <c r="AN180" s="5" t="n">
        <v>14.822</v>
      </c>
      <c r="AO180" s="5" t="n">
        <v>0</v>
      </c>
      <c r="AP180" s="5" t="n">
        <v>1</v>
      </c>
      <c r="AQ180" s="5" t="n">
        <v>0.791</v>
      </c>
      <c r="AR180" s="5" t="n">
        <v>0.129</v>
      </c>
      <c r="AS180" s="5" t="n">
        <v>-0.024</v>
      </c>
      <c r="AT180" s="5" t="n">
        <v>0.912</v>
      </c>
      <c r="AU180" s="5" t="n">
        <v>0.19</v>
      </c>
      <c r="AV180" s="5" t="n">
        <v>1</v>
      </c>
      <c r="AW180" s="5" t="n">
        <v>0.618</v>
      </c>
      <c r="AX180" s="5" t="n">
        <v>0.129</v>
      </c>
      <c r="AY180" s="5" t="n">
        <v>-0.131</v>
      </c>
      <c r="AZ180" s="5" t="n">
        <v>0.579</v>
      </c>
      <c r="BA180" s="5" t="n">
        <v>0.19</v>
      </c>
      <c r="BB180" s="5" t="n">
        <v>1</v>
      </c>
      <c r="BC180" s="5" t="n">
        <v>0.554</v>
      </c>
      <c r="BD180" s="5" t="n">
        <v>0.129</v>
      </c>
      <c r="BE180" s="5" t="n">
        <v>-0.08799999999999999</v>
      </c>
      <c r="BF180" s="5" t="n">
        <v>0.555</v>
      </c>
      <c r="BG180" s="5" t="n">
        <v>0.19</v>
      </c>
      <c r="BH180" s="5" t="n">
        <v>1</v>
      </c>
      <c r="BI180" s="5" t="n">
        <v>0.5570000000000001</v>
      </c>
      <c r="BJ180" s="5" t="n">
        <v>0.129</v>
      </c>
      <c r="BK180" s="5" t="n">
        <v>0.414</v>
      </c>
      <c r="BL180" s="5" t="n">
        <v>1.156</v>
      </c>
      <c r="BM180" s="5" t="n">
        <v>0.19</v>
      </c>
      <c r="BN180" s="5" t="n">
        <v>1</v>
      </c>
      <c r="BO180" s="5" t="n">
        <v>0</v>
      </c>
      <c r="BP180" s="5" t="n">
        <v>0</v>
      </c>
      <c r="BQ180" s="5" t="n">
        <v>0.151</v>
      </c>
      <c r="BR180" s="5" t="n">
        <v>0</v>
      </c>
      <c r="BS180" s="5" t="n">
        <v>1</v>
      </c>
      <c r="BT180" s="5" t="n">
        <v>0</v>
      </c>
      <c r="BU180" s="5" t="n">
        <v>-0.028</v>
      </c>
      <c r="BV180" s="5" t="n">
        <v>0.192</v>
      </c>
      <c r="BW180" s="5" t="n">
        <v>0.19</v>
      </c>
      <c r="BX180" s="5" t="n">
        <v>1</v>
      </c>
      <c r="BY180" s="5" t="n">
        <v>13.254</v>
      </c>
      <c r="BZ180" s="5" t="n">
        <v>0</v>
      </c>
      <c r="CA180" s="5" t="n">
        <v>13.254</v>
      </c>
      <c r="CB180" s="5" t="n">
        <v>0</v>
      </c>
      <c r="CC180" s="5" t="n">
        <v>83.248</v>
      </c>
      <c r="CD180" s="5" t="n">
        <v>7.95</v>
      </c>
      <c r="CE180" s="5" t="n">
        <v>-4.573</v>
      </c>
      <c r="CF180" s="5" t="n">
        <v>93.623</v>
      </c>
      <c r="CG180" s="5" t="n">
        <v>0</v>
      </c>
      <c r="CH180" s="5" t="n">
        <v>1</v>
      </c>
      <c r="CI180" s="5" t="n">
        <v>0</v>
      </c>
      <c r="CJ180" s="5" t="n">
        <v>0</v>
      </c>
      <c r="CK180" s="5" t="n">
        <v>0</v>
      </c>
      <c r="CL180" s="5" t="n">
        <v>0.093</v>
      </c>
      <c r="CM180" s="5" t="n">
        <v>0.114</v>
      </c>
      <c r="CN180" s="5" t="n">
        <v>0.201</v>
      </c>
      <c r="CO180" s="5" t="n">
        <v>0</v>
      </c>
      <c r="CP180" s="5" t="n">
        <v>0</v>
      </c>
      <c r="CQ180" s="5" t="n">
        <v>1.304</v>
      </c>
      <c r="CR180" s="5" t="n">
        <v>0</v>
      </c>
      <c r="CS180" s="5" t="n">
        <v>7.572</v>
      </c>
      <c r="CT180" s="5" t="n">
        <v>3.963</v>
      </c>
      <c r="CU180" s="5" t="n">
        <v>9.260999999999999</v>
      </c>
    </row>
    <row r="181">
      <c r="A181" s="5" t="inlineStr">
        <is>
          <t>COL2024</t>
        </is>
      </c>
      <c r="B181" s="5" t="inlineStr">
        <is>
          <t>COL</t>
        </is>
      </c>
      <c r="C181" s="5" t="inlineStr">
        <is>
          <t>COL</t>
        </is>
      </c>
      <c r="D181" s="5" t="inlineStr">
        <is>
          <t>Colombia</t>
        </is>
      </c>
      <c r="E181" s="5" t="n">
        <v>2024</v>
      </c>
      <c r="F181" s="5" t="n">
        <v>0.19</v>
      </c>
      <c r="G181" s="5" t="n">
        <v>2.325</v>
      </c>
      <c r="H181" s="5" t="n">
        <v>0.589</v>
      </c>
      <c r="I181" s="5" t="n">
        <v>0</v>
      </c>
      <c r="J181" s="5" t="n">
        <v>2.325</v>
      </c>
      <c r="K181" s="5" t="n">
        <v>0</v>
      </c>
      <c r="L181" s="5" t="n">
        <v>1</v>
      </c>
      <c r="M181" s="5" t="n">
        <v>2.537</v>
      </c>
      <c r="N181" s="5" t="n">
        <v>1.382</v>
      </c>
      <c r="O181" s="5" t="n">
        <v>0</v>
      </c>
      <c r="P181" s="5" t="n">
        <v>2.537</v>
      </c>
      <c r="Q181" s="5" t="n">
        <v>0</v>
      </c>
      <c r="R181" s="5" t="n">
        <v>1</v>
      </c>
      <c r="S181" s="5" t="n">
        <v>5.313</v>
      </c>
      <c r="T181" s="5" t="n">
        <v>3.971</v>
      </c>
      <c r="U181" s="5" t="n">
        <v>0.138</v>
      </c>
      <c r="V181" s="5" t="n">
        <v>6.323</v>
      </c>
      <c r="W181" s="5" t="n">
        <v>0.19</v>
      </c>
      <c r="X181" s="5" t="n">
        <v>1</v>
      </c>
      <c r="Y181" s="5" t="n">
        <v>13.978</v>
      </c>
      <c r="Z181" s="5" t="n">
        <v>1.765</v>
      </c>
      <c r="AA181" s="5" t="n">
        <v>0.267</v>
      </c>
      <c r="AB181" s="5" t="n">
        <v>14.245</v>
      </c>
      <c r="AC181" s="5" t="n">
        <v>0</v>
      </c>
      <c r="AD181" s="5" t="n">
        <v>1</v>
      </c>
      <c r="AE181" s="5" t="n">
        <v>13.978</v>
      </c>
      <c r="AF181" s="5" t="n">
        <v>3.062</v>
      </c>
      <c r="AG181" s="5" t="n">
        <v>0.267</v>
      </c>
      <c r="AH181" s="5" t="n">
        <v>14.245</v>
      </c>
      <c r="AI181" s="5" t="n">
        <v>0</v>
      </c>
      <c r="AJ181" s="5" t="n">
        <v>1</v>
      </c>
      <c r="AK181" s="5" t="n">
        <v>16.698</v>
      </c>
      <c r="AL181" s="5" t="n">
        <v>8.493</v>
      </c>
      <c r="AM181" s="5" t="n">
        <v>-3.733</v>
      </c>
      <c r="AN181" s="5" t="n">
        <v>15.428</v>
      </c>
      <c r="AO181" s="5" t="n">
        <v>0</v>
      </c>
      <c r="AP181" s="5" t="n">
        <v>1</v>
      </c>
      <c r="AQ181" s="5" t="n">
        <v>0.756</v>
      </c>
      <c r="AR181" s="5" t="n">
        <v>0.132</v>
      </c>
      <c r="AS181" s="5" t="n">
        <v>0.217</v>
      </c>
      <c r="AT181" s="5" t="n">
        <v>1.158</v>
      </c>
      <c r="AU181" s="5" t="n">
        <v>0.19</v>
      </c>
      <c r="AV181" s="5" t="n">
        <v>1</v>
      </c>
      <c r="AW181" s="5" t="n">
        <v>0.655</v>
      </c>
      <c r="AX181" s="5" t="n">
        <v>0.132</v>
      </c>
      <c r="AY181" s="5" t="n">
        <v>-0.112</v>
      </c>
      <c r="AZ181" s="5" t="n">
        <v>0.647</v>
      </c>
      <c r="BA181" s="5" t="n">
        <v>0.19</v>
      </c>
      <c r="BB181" s="5" t="n">
        <v>1</v>
      </c>
      <c r="BC181" s="5" t="n">
        <v>0.534</v>
      </c>
      <c r="BD181" s="5" t="n">
        <v>0.132</v>
      </c>
      <c r="BE181" s="5" t="n">
        <v>-0.03</v>
      </c>
      <c r="BF181" s="5" t="n">
        <v>0.599</v>
      </c>
      <c r="BG181" s="5" t="n">
        <v>0.19</v>
      </c>
      <c r="BH181" s="5" t="n">
        <v>1</v>
      </c>
      <c r="BI181" s="5" t="n">
        <v>0.5679999999999999</v>
      </c>
      <c r="BJ181" s="5" t="n">
        <v>0.132</v>
      </c>
      <c r="BK181" s="5" t="n">
        <v>0.48</v>
      </c>
      <c r="BL181" s="5" t="n">
        <v>1.247</v>
      </c>
      <c r="BM181" s="5" t="n">
        <v>0.19</v>
      </c>
      <c r="BN181" s="5" t="n">
        <v>1</v>
      </c>
      <c r="BO181" s="5" t="n">
        <v>0</v>
      </c>
      <c r="BP181" s="5" t="n">
        <v>0</v>
      </c>
      <c r="BQ181" s="5" t="n">
        <v>0.18</v>
      </c>
      <c r="BR181" s="5" t="n">
        <v>0</v>
      </c>
      <c r="BS181" s="5" t="n">
        <v>1</v>
      </c>
      <c r="BT181" s="5" t="n">
        <v>0</v>
      </c>
      <c r="BU181" s="5" t="n">
        <v>-0.029</v>
      </c>
      <c r="BV181" s="5" t="n">
        <v>0.222</v>
      </c>
      <c r="BW181" s="5" t="n">
        <v>0.19</v>
      </c>
      <c r="BX181" s="5" t="n">
        <v>1</v>
      </c>
      <c r="BY181" s="5" t="n">
        <v>13.646</v>
      </c>
      <c r="BZ181" s="5" t="n">
        <v>0</v>
      </c>
      <c r="CA181" s="5" t="n">
        <v>13.646</v>
      </c>
      <c r="CB181" s="5" t="n">
        <v>0</v>
      </c>
      <c r="CC181" s="5" t="n">
        <v>82.58799999999999</v>
      </c>
      <c r="CD181" s="5" t="n">
        <v>7.95</v>
      </c>
      <c r="CE181" s="5" t="n">
        <v>2.313</v>
      </c>
      <c r="CF181" s="5" t="n">
        <v>101.032</v>
      </c>
      <c r="CG181" s="5" t="n">
        <v>0</v>
      </c>
      <c r="CH181" s="5" t="n">
        <v>1</v>
      </c>
      <c r="CI181" s="5" t="n">
        <v>0</v>
      </c>
      <c r="CJ181" s="5" t="n">
        <v>0</v>
      </c>
      <c r="CK181" s="5" t="n">
        <v>0</v>
      </c>
      <c r="CL181" s="5" t="n">
        <v>0.096</v>
      </c>
      <c r="CM181" s="5" t="n">
        <v>0.117</v>
      </c>
      <c r="CN181" s="5" t="n">
        <v>0.194</v>
      </c>
      <c r="CO181" s="5" t="n">
        <v>0</v>
      </c>
      <c r="CP181" s="5" t="n">
        <v>0</v>
      </c>
      <c r="CQ181" s="5" t="n">
        <v>1.342</v>
      </c>
      <c r="CR181" s="5" t="n">
        <v>0</v>
      </c>
      <c r="CS181" s="5" t="n">
        <v>7.598</v>
      </c>
      <c r="CT181" s="5" t="n">
        <v>3.101</v>
      </c>
      <c r="CU181" s="5" t="n">
        <v>7.598</v>
      </c>
    </row>
    <row r="182">
      <c r="A182" s="5" t="inlineStr">
        <is>
          <t>COM2021</t>
        </is>
      </c>
      <c r="B182" s="5" t="inlineStr">
        <is>
          <t>COM</t>
        </is>
      </c>
      <c r="C182" s="5" t="inlineStr">
        <is>
          <t>COM</t>
        </is>
      </c>
      <c r="D182" s="5" t="inlineStr">
        <is>
          <t>Comoros</t>
        </is>
      </c>
      <c r="E182" s="5" t="n">
        <v>2021</v>
      </c>
      <c r="F182" s="5" t="n">
        <v>0.1</v>
      </c>
      <c r="G182" s="5" t="n">
        <v>5.897</v>
      </c>
      <c r="H182" s="5" t="n">
        <v>1.143</v>
      </c>
      <c r="I182" s="5" t="n">
        <v>0</v>
      </c>
      <c r="J182" s="5" t="n">
        <v>5.897</v>
      </c>
      <c r="K182" s="5" t="n">
        <v>0</v>
      </c>
      <c r="L182" s="5" t="n">
        <v>1</v>
      </c>
      <c r="M182" s="5" t="n">
        <v>7.964</v>
      </c>
      <c r="N182" s="5" t="n">
        <v>3.43</v>
      </c>
      <c r="O182" s="5" t="n">
        <v>0</v>
      </c>
      <c r="P182" s="5" t="n">
        <v>7.964</v>
      </c>
      <c r="Q182" s="5" t="n">
        <v>0</v>
      </c>
      <c r="R182" s="5" t="n">
        <v>1</v>
      </c>
      <c r="S182" s="5" t="n">
        <v>11.613</v>
      </c>
      <c r="T182" s="5" t="n">
        <v>6.86</v>
      </c>
      <c r="U182" s="5" t="n">
        <v>0</v>
      </c>
      <c r="V182" s="5" t="n">
        <v>12.775</v>
      </c>
      <c r="W182" s="5" t="n">
        <v>0.1</v>
      </c>
      <c r="X182" s="5" t="n">
        <v>1</v>
      </c>
      <c r="Y182" s="5" t="n">
        <v>10.633</v>
      </c>
      <c r="Z182" s="5" t="n">
        <v>1.437</v>
      </c>
      <c r="AA182" s="5" t="n">
        <v>0</v>
      </c>
      <c r="AB182" s="5" t="n">
        <v>10.633</v>
      </c>
      <c r="AC182" s="5" t="n">
        <v>0</v>
      </c>
      <c r="AD182" s="5" t="n">
        <v>1</v>
      </c>
      <c r="AE182" s="5" t="n">
        <v>11.776</v>
      </c>
      <c r="AF182" s="5" t="n">
        <v>2.754</v>
      </c>
      <c r="AG182" s="5" t="n">
        <v>0</v>
      </c>
      <c r="AH182" s="5" t="n">
        <v>11.776</v>
      </c>
      <c r="AI182" s="5" t="n">
        <v>0</v>
      </c>
      <c r="AJ182" s="5" t="n">
        <v>1</v>
      </c>
      <c r="AK182" s="5" t="n">
        <v>18.636</v>
      </c>
      <c r="AL182" s="5" t="n">
        <v>9.925000000000001</v>
      </c>
      <c r="AM182" s="5" t="n">
        <v>0</v>
      </c>
      <c r="AN182" s="5" t="n">
        <v>20.499</v>
      </c>
      <c r="AO182" s="5" t="n">
        <v>0.1</v>
      </c>
      <c r="AP182" s="5" t="n">
        <v>1</v>
      </c>
      <c r="AQ182" s="5" t="n">
        <v>0.619</v>
      </c>
      <c r="AR182" s="5" t="n">
        <v>0.114</v>
      </c>
      <c r="AS182" s="5" t="n">
        <v>0.712</v>
      </c>
      <c r="AT182" s="5" t="n">
        <v>1.464</v>
      </c>
      <c r="AU182" s="5" t="n">
        <v>0.1</v>
      </c>
      <c r="AV182" s="5" t="n">
        <v>1</v>
      </c>
      <c r="AW182" s="5" t="n">
        <v>0.599</v>
      </c>
      <c r="AX182" s="5" t="n">
        <v>0.114</v>
      </c>
      <c r="AY182" s="5" t="n">
        <v>0.378</v>
      </c>
      <c r="AZ182" s="5" t="n">
        <v>1.075</v>
      </c>
      <c r="BA182" s="5" t="n">
        <v>0.1</v>
      </c>
      <c r="BB182" s="5" t="n">
        <v>1</v>
      </c>
      <c r="BC182" s="5" t="n">
        <v>0.439</v>
      </c>
      <c r="BD182" s="5" t="n">
        <v>0.114</v>
      </c>
      <c r="BE182" s="5" t="n">
        <v>0</v>
      </c>
      <c r="BF182" s="5" t="n">
        <v>0.483</v>
      </c>
      <c r="BG182" s="5" t="n">
        <v>0.1</v>
      </c>
      <c r="BH182" s="5" t="n">
        <v>1</v>
      </c>
      <c r="BI182" s="5" t="n">
        <v>0.505</v>
      </c>
      <c r="BJ182" s="5" t="n">
        <v>0.114</v>
      </c>
      <c r="BK182" s="5" t="n">
        <v>0.053</v>
      </c>
      <c r="BL182" s="5" t="n">
        <v>0.613</v>
      </c>
      <c r="BM182" s="5" t="n">
        <v>0.1</v>
      </c>
      <c r="BN182" s="5" t="n">
        <v>1</v>
      </c>
      <c r="BO182" s="5" t="n">
        <v>0</v>
      </c>
      <c r="BP182" s="5" t="n">
        <v>0</v>
      </c>
      <c r="BQ182" s="5" t="n">
        <v>0</v>
      </c>
      <c r="BR182" s="5" t="n">
        <v>0</v>
      </c>
      <c r="BS182" s="5" t="n">
        <v>1</v>
      </c>
      <c r="BT182" s="5" t="n">
        <v>0</v>
      </c>
      <c r="BU182" s="5" t="n">
        <v>0</v>
      </c>
      <c r="BV182" s="5" t="n">
        <v>0</v>
      </c>
      <c r="BW182" s="5" t="n">
        <v>0.1</v>
      </c>
      <c r="BX182" s="5" t="n">
        <v>1</v>
      </c>
      <c r="BY182" s="5" t="n">
        <v>11.787</v>
      </c>
      <c r="BZ182" s="5" t="n">
        <v>0</v>
      </c>
      <c r="CA182" s="5" t="n">
        <v>11.787</v>
      </c>
      <c r="CB182" s="5" t="n">
        <v>0</v>
      </c>
      <c r="CC182" s="5" t="n">
        <v>78.125</v>
      </c>
      <c r="CD182" s="5" t="n">
        <v>7.95</v>
      </c>
      <c r="CE182" s="5" t="n">
        <v>0</v>
      </c>
      <c r="CF182" s="5" t="n">
        <v>85.938</v>
      </c>
      <c r="CG182" s="5" t="n">
        <v>0.1</v>
      </c>
      <c r="CH182" s="5" t="n">
        <v>1</v>
      </c>
      <c r="CI182" s="5" t="n">
        <v>0</v>
      </c>
      <c r="CJ182" s="5" t="n">
        <v>0</v>
      </c>
      <c r="CK182" s="5" t="n">
        <v>0</v>
      </c>
      <c r="CL182" s="5" t="n">
        <v>0</v>
      </c>
      <c r="CM182" s="5" t="n">
        <v>0</v>
      </c>
      <c r="CN182" s="5" t="n">
        <v>0</v>
      </c>
      <c r="CO182" s="5" t="n">
        <v>0</v>
      </c>
      <c r="CP182" s="5" t="n">
        <v>0</v>
      </c>
      <c r="CQ182" s="5" t="n">
        <v>1.198</v>
      </c>
      <c r="CR182" s="5" t="n">
        <v>0</v>
      </c>
      <c r="CS182" s="5" t="n">
        <v>4.776</v>
      </c>
      <c r="CT182" s="5" t="n">
        <v>4.753</v>
      </c>
      <c r="CU182" s="5" t="n">
        <v>15.162</v>
      </c>
    </row>
    <row r="183">
      <c r="A183" s="5" t="inlineStr">
        <is>
          <t>COM2022</t>
        </is>
      </c>
      <c r="B183" s="5" t="inlineStr">
        <is>
          <t>COM</t>
        </is>
      </c>
      <c r="C183" s="5" t="inlineStr">
        <is>
          <t>COM</t>
        </is>
      </c>
      <c r="D183" s="5" t="inlineStr">
        <is>
          <t>Comoros</t>
        </is>
      </c>
      <c r="E183" s="5" t="n">
        <v>2022</v>
      </c>
      <c r="F183" s="5" t="n">
        <v>0.1</v>
      </c>
      <c r="G183" s="5" t="n">
        <v>11.72</v>
      </c>
      <c r="H183" s="5" t="n">
        <v>1.235</v>
      </c>
      <c r="I183" s="5" t="n">
        <v>0</v>
      </c>
      <c r="J183" s="5" t="n">
        <v>11.72</v>
      </c>
      <c r="K183" s="5" t="n">
        <v>0</v>
      </c>
      <c r="L183" s="5" t="n">
        <v>1</v>
      </c>
      <c r="M183" s="5" t="n">
        <v>9.782999999999999</v>
      </c>
      <c r="N183" s="5" t="n">
        <v>3.704</v>
      </c>
      <c r="O183" s="5" t="n">
        <v>0</v>
      </c>
      <c r="P183" s="5" t="n">
        <v>9.782999999999999</v>
      </c>
      <c r="Q183" s="5" t="n">
        <v>0</v>
      </c>
      <c r="R183" s="5" t="n">
        <v>1</v>
      </c>
      <c r="S183" s="5" t="n">
        <v>17.893</v>
      </c>
      <c r="T183" s="5" t="n">
        <v>7.408</v>
      </c>
      <c r="U183" s="5" t="n">
        <v>0.132</v>
      </c>
      <c r="V183" s="5" t="n">
        <v>19.683</v>
      </c>
      <c r="W183" s="5" t="n">
        <v>0.1</v>
      </c>
      <c r="X183" s="5" t="n">
        <v>1</v>
      </c>
      <c r="Y183" s="5" t="n">
        <v>19.012</v>
      </c>
      <c r="Z183" s="5" t="n">
        <v>2.569</v>
      </c>
      <c r="AA183" s="5" t="n">
        <v>0</v>
      </c>
      <c r="AB183" s="5" t="n">
        <v>19.012</v>
      </c>
      <c r="AC183" s="5" t="n">
        <v>0</v>
      </c>
      <c r="AD183" s="5" t="n">
        <v>1</v>
      </c>
      <c r="AE183" s="5" t="n">
        <v>20.246</v>
      </c>
      <c r="AF183" s="5" t="n">
        <v>4.734</v>
      </c>
      <c r="AG183" s="5" t="n">
        <v>0</v>
      </c>
      <c r="AH183" s="5" t="n">
        <v>20.246</v>
      </c>
      <c r="AI183" s="5" t="n">
        <v>0</v>
      </c>
      <c r="AJ183" s="5" t="n">
        <v>1</v>
      </c>
      <c r="AK183" s="5" t="n">
        <v>27.655</v>
      </c>
      <c r="AL183" s="5" t="n">
        <v>14.729</v>
      </c>
      <c r="AM183" s="5" t="n">
        <v>0.205</v>
      </c>
      <c r="AN183" s="5" t="n">
        <v>30.42</v>
      </c>
      <c r="AO183" s="5" t="n">
        <v>0.1</v>
      </c>
      <c r="AP183" s="5" t="n">
        <v>1</v>
      </c>
      <c r="AQ183" s="5" t="n">
        <v>0.861</v>
      </c>
      <c r="AR183" s="5" t="n">
        <v>0.123</v>
      </c>
      <c r="AS183" s="5" t="n">
        <v>0.6909999999999999</v>
      </c>
      <c r="AT183" s="5" t="n">
        <v>1.695</v>
      </c>
      <c r="AU183" s="5" t="n">
        <v>0.1</v>
      </c>
      <c r="AV183" s="5" t="n">
        <v>1</v>
      </c>
      <c r="AW183" s="5" t="n">
        <v>0.986</v>
      </c>
      <c r="AX183" s="5" t="n">
        <v>0.123</v>
      </c>
      <c r="AY183" s="5" t="n">
        <v>0.17</v>
      </c>
      <c r="AZ183" s="5" t="n">
        <v>1.262</v>
      </c>
      <c r="BA183" s="5" t="n">
        <v>0.1</v>
      </c>
      <c r="BB183" s="5" t="n">
        <v>1</v>
      </c>
      <c r="BC183" s="5" t="n">
        <v>0.598</v>
      </c>
      <c r="BD183" s="5" t="n">
        <v>0.123</v>
      </c>
      <c r="BE183" s="5" t="n">
        <v>0.004</v>
      </c>
      <c r="BF183" s="5" t="n">
        <v>0.658</v>
      </c>
      <c r="BG183" s="5" t="n">
        <v>0.1</v>
      </c>
      <c r="BH183" s="5" t="n">
        <v>1</v>
      </c>
      <c r="BI183" s="5" t="n">
        <v>0.612</v>
      </c>
      <c r="BJ183" s="5" t="n">
        <v>0.123</v>
      </c>
      <c r="BK183" s="5" t="n">
        <v>0.005</v>
      </c>
      <c r="BL183" s="5" t="n">
        <v>0.675</v>
      </c>
      <c r="BM183" s="5" t="n">
        <v>0.1</v>
      </c>
      <c r="BN183" s="5" t="n">
        <v>1</v>
      </c>
      <c r="BO183" s="5" t="n">
        <v>0</v>
      </c>
      <c r="BP183" s="5" t="n">
        <v>0</v>
      </c>
      <c r="BQ183" s="5" t="n">
        <v>0</v>
      </c>
      <c r="BR183" s="5" t="n">
        <v>0</v>
      </c>
      <c r="BS183" s="5" t="n">
        <v>1</v>
      </c>
      <c r="BT183" s="5" t="n">
        <v>0</v>
      </c>
      <c r="BU183" s="5" t="n">
        <v>0</v>
      </c>
      <c r="BV183" s="5" t="n">
        <v>0</v>
      </c>
      <c r="BW183" s="5" t="n">
        <v>0.1</v>
      </c>
      <c r="BX183" s="5" t="n">
        <v>1</v>
      </c>
      <c r="BY183" s="5" t="n">
        <v>12.729</v>
      </c>
      <c r="BZ183" s="5" t="n">
        <v>0</v>
      </c>
      <c r="CA183" s="5" t="n">
        <v>12.729</v>
      </c>
      <c r="CB183" s="5" t="n">
        <v>0</v>
      </c>
      <c r="CC183" s="5" t="n">
        <v>97.90000000000001</v>
      </c>
      <c r="CD183" s="5" t="n">
        <v>7.95</v>
      </c>
      <c r="CE183" s="5" t="n">
        <v>0.725</v>
      </c>
      <c r="CF183" s="5" t="n">
        <v>107.69</v>
      </c>
      <c r="CG183" s="5" t="n">
        <v>0.1</v>
      </c>
      <c r="CH183" s="5" t="n">
        <v>1</v>
      </c>
      <c r="CI183" s="5" t="n">
        <v>0</v>
      </c>
      <c r="CJ183" s="5" t="n">
        <v>0</v>
      </c>
      <c r="CK183" s="5" t="n">
        <v>0</v>
      </c>
      <c r="CL183" s="5" t="n">
        <v>0</v>
      </c>
      <c r="CM183" s="5" t="n">
        <v>0</v>
      </c>
      <c r="CN183" s="5" t="n">
        <v>0</v>
      </c>
      <c r="CO183" s="5" t="n">
        <v>0</v>
      </c>
      <c r="CP183" s="5" t="n">
        <v>0</v>
      </c>
      <c r="CQ183" s="5" t="n">
        <v>1.294</v>
      </c>
      <c r="CR183" s="5" t="n">
        <v>0</v>
      </c>
      <c r="CS183" s="5" t="n">
        <v>5.158</v>
      </c>
      <c r="CT183" s="5" t="n">
        <v>10.485</v>
      </c>
      <c r="CU183" s="5" t="n">
        <v>31.326</v>
      </c>
    </row>
    <row r="184">
      <c r="A184" s="5" t="inlineStr">
        <is>
          <t>COM2023</t>
        </is>
      </c>
      <c r="B184" s="5" t="inlineStr">
        <is>
          <t>COM</t>
        </is>
      </c>
      <c r="C184" s="5" t="inlineStr">
        <is>
          <t>COM</t>
        </is>
      </c>
      <c r="D184" s="5" t="inlineStr">
        <is>
          <t>Comoros</t>
        </is>
      </c>
      <c r="E184" s="5" t="n">
        <v>2023</v>
      </c>
      <c r="F184" s="5" t="n">
        <v>0.1</v>
      </c>
      <c r="G184" s="5" t="n">
        <v>6.147</v>
      </c>
      <c r="H184" s="5" t="n">
        <v>1.286</v>
      </c>
      <c r="I184" s="5" t="n">
        <v>0</v>
      </c>
      <c r="J184" s="5" t="n">
        <v>6.147</v>
      </c>
      <c r="K184" s="5" t="n">
        <v>0</v>
      </c>
      <c r="L184" s="5" t="n">
        <v>1</v>
      </c>
      <c r="M184" s="5" t="n">
        <v>7.886</v>
      </c>
      <c r="N184" s="5" t="n">
        <v>3.857</v>
      </c>
      <c r="O184" s="5" t="n">
        <v>0</v>
      </c>
      <c r="P184" s="5" t="n">
        <v>7.886</v>
      </c>
      <c r="Q184" s="5" t="n">
        <v>0</v>
      </c>
      <c r="R184" s="5" t="n">
        <v>1</v>
      </c>
      <c r="S184" s="5" t="n">
        <v>12.575</v>
      </c>
      <c r="T184" s="5" t="n">
        <v>7.714</v>
      </c>
      <c r="U184" s="5" t="n">
        <v>0.139</v>
      </c>
      <c r="V184" s="5" t="n">
        <v>13.833</v>
      </c>
      <c r="W184" s="5" t="n">
        <v>0.1</v>
      </c>
      <c r="X184" s="5" t="n">
        <v>1</v>
      </c>
      <c r="Y184" s="5" t="n">
        <v>9.223000000000001</v>
      </c>
      <c r="Z184" s="5" t="n">
        <v>1.247</v>
      </c>
      <c r="AA184" s="5" t="n">
        <v>0</v>
      </c>
      <c r="AB184" s="5" t="n">
        <v>9.223000000000001</v>
      </c>
      <c r="AC184" s="5" t="n">
        <v>0</v>
      </c>
      <c r="AD184" s="5" t="n">
        <v>1</v>
      </c>
      <c r="AE184" s="5" t="n">
        <v>10.509</v>
      </c>
      <c r="AF184" s="5" t="n">
        <v>2.457</v>
      </c>
      <c r="AG184" s="5" t="n">
        <v>0</v>
      </c>
      <c r="AH184" s="5" t="n">
        <v>10.509</v>
      </c>
      <c r="AI184" s="5" t="n">
        <v>0</v>
      </c>
      <c r="AJ184" s="5" t="n">
        <v>1</v>
      </c>
      <c r="AK184" s="5" t="n">
        <v>18.223</v>
      </c>
      <c r="AL184" s="5" t="n">
        <v>9.705</v>
      </c>
      <c r="AM184" s="5" t="n">
        <v>0.202</v>
      </c>
      <c r="AN184" s="5" t="n">
        <v>20.045</v>
      </c>
      <c r="AO184" s="5" t="n">
        <v>0.1</v>
      </c>
      <c r="AP184" s="5" t="n">
        <v>1</v>
      </c>
      <c r="AQ184" s="5" t="n">
        <v>0.76</v>
      </c>
      <c r="AR184" s="5" t="n">
        <v>0.129</v>
      </c>
      <c r="AS184" s="5" t="n">
        <v>0.788</v>
      </c>
      <c r="AT184" s="5" t="n">
        <v>1.685</v>
      </c>
      <c r="AU184" s="5" t="n">
        <v>0.1</v>
      </c>
      <c r="AV184" s="5" t="n">
        <v>1</v>
      </c>
      <c r="AW184" s="5" t="n">
        <v>0.8110000000000001</v>
      </c>
      <c r="AX184" s="5" t="n">
        <v>0.129</v>
      </c>
      <c r="AY184" s="5" t="n">
        <v>0.338</v>
      </c>
      <c r="AZ184" s="5" t="n">
        <v>1.25</v>
      </c>
      <c r="BA184" s="5" t="n">
        <v>0.1</v>
      </c>
      <c r="BB184" s="5" t="n">
        <v>1</v>
      </c>
      <c r="BC184" s="5" t="n">
        <v>0.535</v>
      </c>
      <c r="BD184" s="5" t="n">
        <v>0.129</v>
      </c>
      <c r="BE184" s="5" t="n">
        <v>0.006</v>
      </c>
      <c r="BF184" s="5" t="n">
        <v>0.588</v>
      </c>
      <c r="BG184" s="5" t="n">
        <v>0.1</v>
      </c>
      <c r="BH184" s="5" t="n">
        <v>1</v>
      </c>
      <c r="BI184" s="5" t="n">
        <v>0.579</v>
      </c>
      <c r="BJ184" s="5" t="n">
        <v>0.129</v>
      </c>
      <c r="BK184" s="5" t="n">
        <v>0.056</v>
      </c>
      <c r="BL184" s="5" t="n">
        <v>0.6919999999999999</v>
      </c>
      <c r="BM184" s="5" t="n">
        <v>0.1</v>
      </c>
      <c r="BN184" s="5" t="n">
        <v>1</v>
      </c>
      <c r="BO184" s="5" t="n">
        <v>0</v>
      </c>
      <c r="BP184" s="5" t="n">
        <v>0</v>
      </c>
      <c r="BQ184" s="5" t="n">
        <v>0</v>
      </c>
      <c r="BR184" s="5" t="n">
        <v>0</v>
      </c>
      <c r="BS184" s="5" t="n">
        <v>1</v>
      </c>
      <c r="BT184" s="5" t="n">
        <v>0</v>
      </c>
      <c r="BU184" s="5" t="n">
        <v>0</v>
      </c>
      <c r="BV184" s="5" t="n">
        <v>0</v>
      </c>
      <c r="BW184" s="5" t="n">
        <v>0.1</v>
      </c>
      <c r="BX184" s="5" t="n">
        <v>1</v>
      </c>
      <c r="BY184" s="5" t="n">
        <v>13.254</v>
      </c>
      <c r="BZ184" s="5" t="n">
        <v>0</v>
      </c>
      <c r="CA184" s="5" t="n">
        <v>13.254</v>
      </c>
      <c r="CB184" s="5" t="n">
        <v>0</v>
      </c>
      <c r="CC184" s="5" t="n">
        <v>83.248</v>
      </c>
      <c r="CD184" s="5" t="n">
        <v>7.95</v>
      </c>
      <c r="CE184" s="5" t="n">
        <v>0.922</v>
      </c>
      <c r="CF184" s="5" t="n">
        <v>91.57299999999999</v>
      </c>
      <c r="CG184" s="5" t="n">
        <v>0.1</v>
      </c>
      <c r="CH184" s="5" t="n">
        <v>1</v>
      </c>
      <c r="CI184" s="5" t="n">
        <v>0</v>
      </c>
      <c r="CJ184" s="5" t="n">
        <v>0</v>
      </c>
      <c r="CK184" s="5" t="n">
        <v>0</v>
      </c>
      <c r="CL184" s="5" t="n">
        <v>0</v>
      </c>
      <c r="CM184" s="5" t="n">
        <v>0</v>
      </c>
      <c r="CN184" s="5" t="n">
        <v>0</v>
      </c>
      <c r="CO184" s="5" t="n">
        <v>0</v>
      </c>
      <c r="CP184" s="5" t="n">
        <v>0</v>
      </c>
      <c r="CQ184" s="5" t="n">
        <v>1.348</v>
      </c>
      <c r="CR184" s="5" t="n">
        <v>0</v>
      </c>
      <c r="CS184" s="5" t="n">
        <v>5.37</v>
      </c>
      <c r="CT184" s="5" t="n">
        <v>4.861</v>
      </c>
      <c r="CU184" s="5" t="n">
        <v>11.622</v>
      </c>
    </row>
    <row r="185">
      <c r="A185" s="5" t="inlineStr">
        <is>
          <t>COM2024</t>
        </is>
      </c>
      <c r="B185" s="5" t="inlineStr">
        <is>
          <t>COM</t>
        </is>
      </c>
      <c r="C185" s="5" t="inlineStr">
        <is>
          <t>COM</t>
        </is>
      </c>
      <c r="D185" s="5" t="inlineStr">
        <is>
          <t>Comoros</t>
        </is>
      </c>
      <c r="E185" s="5" t="n">
        <v>2024</v>
      </c>
      <c r="F185" s="5" t="n">
        <v>0.1</v>
      </c>
      <c r="G185" s="5" t="n">
        <v>5.575</v>
      </c>
      <c r="H185" s="5" t="n">
        <v>1.324</v>
      </c>
      <c r="I185" s="5" t="n">
        <v>0</v>
      </c>
      <c r="J185" s="5" t="n">
        <v>5.575</v>
      </c>
      <c r="K185" s="5" t="n">
        <v>0</v>
      </c>
      <c r="L185" s="5" t="n">
        <v>1</v>
      </c>
      <c r="M185" s="5" t="n">
        <v>7.124</v>
      </c>
      <c r="N185" s="5" t="n">
        <v>3.971</v>
      </c>
      <c r="O185" s="5" t="n">
        <v>0</v>
      </c>
      <c r="P185" s="5" t="n">
        <v>7.124</v>
      </c>
      <c r="Q185" s="5" t="n">
        <v>0</v>
      </c>
      <c r="R185" s="5" t="n">
        <v>1</v>
      </c>
      <c r="S185" s="5" t="n">
        <v>12.193</v>
      </c>
      <c r="T185" s="5" t="n">
        <v>7.942</v>
      </c>
      <c r="U185" s="5" t="n">
        <v>0.166</v>
      </c>
      <c r="V185" s="5" t="n">
        <v>13.412</v>
      </c>
      <c r="W185" s="5" t="n">
        <v>0.1</v>
      </c>
      <c r="X185" s="5" t="n">
        <v>1</v>
      </c>
      <c r="Y185" s="5" t="n">
        <v>8.590999999999999</v>
      </c>
      <c r="Z185" s="5" t="n">
        <v>1.161</v>
      </c>
      <c r="AA185" s="5" t="n">
        <v>0</v>
      </c>
      <c r="AB185" s="5" t="n">
        <v>8.590999999999999</v>
      </c>
      <c r="AC185" s="5" t="n">
        <v>0</v>
      </c>
      <c r="AD185" s="5" t="n">
        <v>1</v>
      </c>
      <c r="AE185" s="5" t="n">
        <v>9.914</v>
      </c>
      <c r="AF185" s="5" t="n">
        <v>2.318</v>
      </c>
      <c r="AG185" s="5" t="n">
        <v>0</v>
      </c>
      <c r="AH185" s="5" t="n">
        <v>9.914</v>
      </c>
      <c r="AI185" s="5" t="n">
        <v>0</v>
      </c>
      <c r="AJ185" s="5" t="n">
        <v>1</v>
      </c>
      <c r="AK185" s="5" t="n">
        <v>17.856</v>
      </c>
      <c r="AL185" s="5" t="n">
        <v>9.51</v>
      </c>
      <c r="AM185" s="5" t="n">
        <v>0.243</v>
      </c>
      <c r="AN185" s="5" t="n">
        <v>19.641</v>
      </c>
      <c r="AO185" s="5" t="n">
        <v>0.1</v>
      </c>
      <c r="AP185" s="5" t="n">
        <v>1</v>
      </c>
      <c r="AQ185" s="5" t="n">
        <v>0.724</v>
      </c>
      <c r="AR185" s="5" t="n">
        <v>0.132</v>
      </c>
      <c r="AS185" s="5" t="n">
        <v>0.842</v>
      </c>
      <c r="AT185" s="5" t="n">
        <v>1.7</v>
      </c>
      <c r="AU185" s="5" t="n">
        <v>0.1</v>
      </c>
      <c r="AV185" s="5" t="n">
        <v>1</v>
      </c>
      <c r="AW185" s="5" t="n">
        <v>0.75</v>
      </c>
      <c r="AX185" s="5" t="n">
        <v>0.132</v>
      </c>
      <c r="AY185" s="5" t="n">
        <v>0.413</v>
      </c>
      <c r="AZ185" s="5" t="n">
        <v>1.262</v>
      </c>
      <c r="BA185" s="5" t="n">
        <v>0.1</v>
      </c>
      <c r="BB185" s="5" t="n">
        <v>1</v>
      </c>
      <c r="BC185" s="5" t="n">
        <v>0.513</v>
      </c>
      <c r="BD185" s="5" t="n">
        <v>0.132</v>
      </c>
      <c r="BE185" s="5" t="n">
        <v>0.007</v>
      </c>
      <c r="BF185" s="5" t="n">
        <v>0.5639999999999999</v>
      </c>
      <c r="BG185" s="5" t="n">
        <v>0.1</v>
      </c>
      <c r="BH185" s="5" t="n">
        <v>1</v>
      </c>
      <c r="BI185" s="5" t="n">
        <v>0.591</v>
      </c>
      <c r="BJ185" s="5" t="n">
        <v>0.132</v>
      </c>
      <c r="BK185" s="5" t="n">
        <v>0.064</v>
      </c>
      <c r="BL185" s="5" t="n">
        <v>0.711</v>
      </c>
      <c r="BM185" s="5" t="n">
        <v>0.1</v>
      </c>
      <c r="BN185" s="5" t="n">
        <v>1</v>
      </c>
      <c r="BO185" s="5" t="n">
        <v>0</v>
      </c>
      <c r="BP185" s="5" t="n">
        <v>0</v>
      </c>
      <c r="BQ185" s="5" t="n">
        <v>0</v>
      </c>
      <c r="BR185" s="5" t="n">
        <v>0</v>
      </c>
      <c r="BS185" s="5" t="n">
        <v>1</v>
      </c>
      <c r="BT185" s="5" t="n">
        <v>0</v>
      </c>
      <c r="BU185" s="5" t="n">
        <v>0</v>
      </c>
      <c r="BV185" s="5" t="n">
        <v>0</v>
      </c>
      <c r="BW185" s="5" t="n">
        <v>0.1</v>
      </c>
      <c r="BX185" s="5" t="n">
        <v>1</v>
      </c>
      <c r="BY185" s="5" t="n">
        <v>13.646</v>
      </c>
      <c r="BZ185" s="5" t="n">
        <v>0</v>
      </c>
      <c r="CA185" s="5" t="n">
        <v>13.646</v>
      </c>
      <c r="CB185" s="5" t="n">
        <v>0</v>
      </c>
      <c r="CC185" s="5" t="n">
        <v>82.58799999999999</v>
      </c>
      <c r="CD185" s="5" t="n">
        <v>7.95</v>
      </c>
      <c r="CE185" s="5" t="n">
        <v>1.125</v>
      </c>
      <c r="CF185" s="5" t="n">
        <v>90.84699999999999</v>
      </c>
      <c r="CG185" s="5" t="n">
        <v>0.1</v>
      </c>
      <c r="CH185" s="5" t="n">
        <v>1</v>
      </c>
      <c r="CI185" s="5" t="n">
        <v>0</v>
      </c>
      <c r="CJ185" s="5" t="n">
        <v>0</v>
      </c>
      <c r="CK185" s="5" t="n">
        <v>0</v>
      </c>
      <c r="CL185" s="5" t="n">
        <v>0</v>
      </c>
      <c r="CM185" s="5" t="n">
        <v>0</v>
      </c>
      <c r="CN185" s="5" t="n">
        <v>0</v>
      </c>
      <c r="CO185" s="5" t="n">
        <v>0</v>
      </c>
      <c r="CP185" s="5" t="n">
        <v>0</v>
      </c>
      <c r="CQ185" s="5" t="n">
        <v>1.387</v>
      </c>
      <c r="CR185" s="5" t="n">
        <v>0</v>
      </c>
      <c r="CS185" s="5" t="n">
        <v>5.529</v>
      </c>
      <c r="CT185" s="5" t="n">
        <v>4.251</v>
      </c>
      <c r="CU185" s="5" t="n">
        <v>10.168</v>
      </c>
    </row>
    <row r="186">
      <c r="A186" s="5" t="inlineStr">
        <is>
          <t>COD2021</t>
        </is>
      </c>
      <c r="B186" s="5" t="inlineStr">
        <is>
          <t>COD</t>
        </is>
      </c>
      <c r="C186" s="5" t="inlineStr">
        <is>
          <t>COD</t>
        </is>
      </c>
      <c r="D186" s="5" t="inlineStr">
        <is>
          <t>Congo, Democratic Republic of the</t>
        </is>
      </c>
      <c r="E186" s="5" t="n">
        <v>2021</v>
      </c>
      <c r="F186" s="5" t="n">
        <v>0.16</v>
      </c>
      <c r="G186" s="5" t="n">
        <v>5.897</v>
      </c>
      <c r="H186" s="5" t="n">
        <v>1.143</v>
      </c>
      <c r="I186" s="5" t="n">
        <v>0</v>
      </c>
      <c r="J186" s="5" t="n">
        <v>5.897</v>
      </c>
      <c r="K186" s="5" t="n">
        <v>0</v>
      </c>
      <c r="L186" s="5" t="n">
        <v>1</v>
      </c>
      <c r="M186" s="5" t="n">
        <v>7.964</v>
      </c>
      <c r="N186" s="5" t="n">
        <v>3.43</v>
      </c>
      <c r="O186" s="5" t="n">
        <v>0</v>
      </c>
      <c r="P186" s="5" t="n">
        <v>7.964</v>
      </c>
      <c r="Q186" s="5" t="n">
        <v>0</v>
      </c>
      <c r="R186" s="5" t="n">
        <v>1</v>
      </c>
      <c r="S186" s="5" t="n">
        <v>11.613</v>
      </c>
      <c r="T186" s="5" t="n">
        <v>6.86</v>
      </c>
      <c r="U186" s="5" t="n">
        <v>0</v>
      </c>
      <c r="V186" s="5" t="n">
        <v>13.471</v>
      </c>
      <c r="W186" s="5" t="n">
        <v>0.16</v>
      </c>
      <c r="X186" s="5" t="n">
        <v>1</v>
      </c>
      <c r="Y186" s="5" t="n">
        <v>5.347</v>
      </c>
      <c r="Z186" s="5" t="n">
        <v>0.393</v>
      </c>
      <c r="AA186" s="5" t="n">
        <v>0</v>
      </c>
      <c r="AB186" s="5" t="n">
        <v>5.347</v>
      </c>
      <c r="AC186" s="5" t="n">
        <v>0</v>
      </c>
      <c r="AD186" s="5" t="n">
        <v>1</v>
      </c>
      <c r="AE186" s="5" t="n">
        <v>5.919</v>
      </c>
      <c r="AF186" s="5" t="n">
        <v>0.8</v>
      </c>
      <c r="AG186" s="5" t="n">
        <v>0</v>
      </c>
      <c r="AH186" s="5" t="n">
        <v>5.919</v>
      </c>
      <c r="AI186" s="5" t="n">
        <v>0</v>
      </c>
      <c r="AJ186" s="5" t="n">
        <v>1</v>
      </c>
      <c r="AK186" s="5" t="n">
        <v>9.349</v>
      </c>
      <c r="AL186" s="5" t="n">
        <v>3.473</v>
      </c>
      <c r="AM186" s="5" t="n">
        <v>0</v>
      </c>
      <c r="AN186" s="5" t="n">
        <v>10.845</v>
      </c>
      <c r="AO186" s="5" t="n">
        <v>0.16</v>
      </c>
      <c r="AP186" s="5" t="n">
        <v>1</v>
      </c>
      <c r="AQ186" s="5" t="n">
        <v>0.619</v>
      </c>
      <c r="AR186" s="5" t="n">
        <v>0.114</v>
      </c>
      <c r="AS186" s="5" t="n">
        <v>0.268</v>
      </c>
      <c r="AT186" s="5" t="n">
        <v>1.003</v>
      </c>
      <c r="AU186" s="5" t="n">
        <v>0.13</v>
      </c>
      <c r="AV186" s="5" t="n">
        <v>1</v>
      </c>
      <c r="AW186" s="5" t="n">
        <v>0.599</v>
      </c>
      <c r="AX186" s="5" t="n">
        <v>0.114</v>
      </c>
      <c r="AY186" s="5" t="n">
        <v>0.284</v>
      </c>
      <c r="AZ186" s="5" t="n">
        <v>0.998</v>
      </c>
      <c r="BA186" s="5" t="n">
        <v>0.13</v>
      </c>
      <c r="BB186" s="5" t="n">
        <v>1</v>
      </c>
      <c r="BC186" s="5" t="n">
        <v>0.439</v>
      </c>
      <c r="BD186" s="5" t="n">
        <v>0.114</v>
      </c>
      <c r="BE186" s="5" t="n">
        <v>0.297</v>
      </c>
      <c r="BF186" s="5" t="n">
        <v>0.832</v>
      </c>
      <c r="BG186" s="5" t="n">
        <v>0.13</v>
      </c>
      <c r="BH186" s="5" t="n">
        <v>1</v>
      </c>
      <c r="BI186" s="5" t="n">
        <v>0.505</v>
      </c>
      <c r="BJ186" s="5" t="n">
        <v>0.114</v>
      </c>
      <c r="BK186" s="5" t="n">
        <v>0.196</v>
      </c>
      <c r="BL186" s="5" t="n">
        <v>0.792</v>
      </c>
      <c r="BM186" s="5" t="n">
        <v>0.13</v>
      </c>
      <c r="BN186" s="5" t="n">
        <v>1</v>
      </c>
      <c r="BO186" s="5" t="n">
        <v>0</v>
      </c>
      <c r="BP186" s="5" t="n">
        <v>0</v>
      </c>
      <c r="BQ186" s="5" t="n">
        <v>0.07199999999999999</v>
      </c>
      <c r="BR186" s="5" t="n">
        <v>0</v>
      </c>
      <c r="BS186" s="5" t="n">
        <v>0.833</v>
      </c>
      <c r="BT186" s="5" t="n">
        <v>0</v>
      </c>
      <c r="BU186" s="5" t="n">
        <v>0</v>
      </c>
      <c r="BV186" s="5" t="n">
        <v>0.083</v>
      </c>
      <c r="BW186" s="5" t="n">
        <v>0.16</v>
      </c>
      <c r="BX186" s="5" t="n">
        <v>0.833</v>
      </c>
      <c r="BY186" s="5" t="n">
        <v>11.787</v>
      </c>
      <c r="BZ186" s="5" t="n">
        <v>0</v>
      </c>
      <c r="CA186" s="5" t="n">
        <v>11.787</v>
      </c>
      <c r="CB186" s="5" t="n">
        <v>0</v>
      </c>
      <c r="CC186" s="5" t="n">
        <v>78.125</v>
      </c>
      <c r="CD186" s="5" t="n">
        <v>7.95</v>
      </c>
      <c r="CE186" s="5" t="n">
        <v>13.957</v>
      </c>
      <c r="CF186" s="5" t="n">
        <v>104.053</v>
      </c>
      <c r="CG186" s="5" t="n">
        <v>0.13</v>
      </c>
      <c r="CH186" s="5" t="n">
        <v>1</v>
      </c>
      <c r="CI186" s="5" t="n">
        <v>0</v>
      </c>
      <c r="CJ186" s="5" t="n">
        <v>0</v>
      </c>
      <c r="CK186" s="5" t="n">
        <v>0</v>
      </c>
      <c r="CL186" s="5" t="n">
        <v>0</v>
      </c>
      <c r="CM186" s="5" t="n">
        <v>0</v>
      </c>
      <c r="CN186" s="5" t="n">
        <v>0</v>
      </c>
      <c r="CO186" s="5" t="n">
        <v>0</v>
      </c>
      <c r="CP186" s="5" t="n">
        <v>0</v>
      </c>
      <c r="CQ186" s="5" t="n">
        <v>1.198</v>
      </c>
      <c r="CR186" s="5" t="n">
        <v>1</v>
      </c>
      <c r="CS186" s="5" t="n">
        <v>4.776</v>
      </c>
      <c r="CT186" s="5" t="n">
        <v>4.753</v>
      </c>
      <c r="CU186" s="5" t="n">
        <v>15.162</v>
      </c>
    </row>
    <row r="187">
      <c r="A187" s="5" t="inlineStr">
        <is>
          <t>COD2022</t>
        </is>
      </c>
      <c r="B187" s="5" t="inlineStr">
        <is>
          <t>COD</t>
        </is>
      </c>
      <c r="C187" s="5" t="inlineStr">
        <is>
          <t>COD</t>
        </is>
      </c>
      <c r="D187" s="5" t="inlineStr">
        <is>
          <t>Congo, Democratic Republic of the</t>
        </is>
      </c>
      <c r="E187" s="5" t="n">
        <v>2022</v>
      </c>
      <c r="F187" s="5" t="n">
        <v>0.16</v>
      </c>
      <c r="G187" s="5" t="n">
        <v>11.72</v>
      </c>
      <c r="H187" s="5" t="n">
        <v>1.235</v>
      </c>
      <c r="I187" s="5" t="n">
        <v>0</v>
      </c>
      <c r="J187" s="5" t="n">
        <v>11.72</v>
      </c>
      <c r="K187" s="5" t="n">
        <v>0</v>
      </c>
      <c r="L187" s="5" t="n">
        <v>1</v>
      </c>
      <c r="M187" s="5" t="n">
        <v>9.782999999999999</v>
      </c>
      <c r="N187" s="5" t="n">
        <v>3.704</v>
      </c>
      <c r="O187" s="5" t="n">
        <v>0</v>
      </c>
      <c r="P187" s="5" t="n">
        <v>9.782999999999999</v>
      </c>
      <c r="Q187" s="5" t="n">
        <v>0</v>
      </c>
      <c r="R187" s="5" t="n">
        <v>1</v>
      </c>
      <c r="S187" s="5" t="n">
        <v>17.893</v>
      </c>
      <c r="T187" s="5" t="n">
        <v>7.408</v>
      </c>
      <c r="U187" s="5" t="n">
        <v>0.212</v>
      </c>
      <c r="V187" s="5" t="n">
        <v>20.756</v>
      </c>
      <c r="W187" s="5" t="n">
        <v>0.16</v>
      </c>
      <c r="X187" s="5" t="n">
        <v>1</v>
      </c>
      <c r="Y187" s="5" t="n">
        <v>5.775</v>
      </c>
      <c r="Z187" s="5" t="n">
        <v>0.425</v>
      </c>
      <c r="AA187" s="5" t="n">
        <v>0</v>
      </c>
      <c r="AB187" s="5" t="n">
        <v>5.775</v>
      </c>
      <c r="AC187" s="5" t="n">
        <v>0</v>
      </c>
      <c r="AD187" s="5" t="n">
        <v>1</v>
      </c>
      <c r="AE187" s="5" t="n">
        <v>6.392</v>
      </c>
      <c r="AF187" s="5" t="n">
        <v>0.864</v>
      </c>
      <c r="AG187" s="5" t="n">
        <v>0</v>
      </c>
      <c r="AH187" s="5" t="n">
        <v>6.392</v>
      </c>
      <c r="AI187" s="5" t="n">
        <v>0</v>
      </c>
      <c r="AJ187" s="5" t="n">
        <v>1</v>
      </c>
      <c r="AK187" s="5" t="n">
        <v>10.096</v>
      </c>
      <c r="AL187" s="5" t="n">
        <v>3.751</v>
      </c>
      <c r="AM187" s="5" t="n">
        <v>0.12</v>
      </c>
      <c r="AN187" s="5" t="n">
        <v>11.712</v>
      </c>
      <c r="AO187" s="5" t="n">
        <v>0.16</v>
      </c>
      <c r="AP187" s="5" t="n">
        <v>1</v>
      </c>
      <c r="AQ187" s="5" t="n">
        <v>0.861</v>
      </c>
      <c r="AR187" s="5" t="n">
        <v>0.123</v>
      </c>
      <c r="AS187" s="5" t="n">
        <v>0.398</v>
      </c>
      <c r="AT187" s="5" t="n">
        <v>1.423</v>
      </c>
      <c r="AU187" s="5" t="n">
        <v>0.13</v>
      </c>
      <c r="AV187" s="5" t="n">
        <v>1</v>
      </c>
      <c r="AW187" s="5" t="n">
        <v>0.986</v>
      </c>
      <c r="AX187" s="5" t="n">
        <v>0.123</v>
      </c>
      <c r="AY187" s="5" t="n">
        <v>0.269</v>
      </c>
      <c r="AZ187" s="5" t="n">
        <v>1.418</v>
      </c>
      <c r="BA187" s="5" t="n">
        <v>0.13</v>
      </c>
      <c r="BB187" s="5" t="n">
        <v>1</v>
      </c>
      <c r="BC187" s="5" t="n">
        <v>0.598</v>
      </c>
      <c r="BD187" s="5" t="n">
        <v>0.123</v>
      </c>
      <c r="BE187" s="5" t="n">
        <v>0.314</v>
      </c>
      <c r="BF187" s="5" t="n">
        <v>1.031</v>
      </c>
      <c r="BG187" s="5" t="n">
        <v>0.13</v>
      </c>
      <c r="BH187" s="5" t="n">
        <v>1</v>
      </c>
      <c r="BI187" s="5" t="n">
        <v>0.612</v>
      </c>
      <c r="BJ187" s="5" t="n">
        <v>0.123</v>
      </c>
      <c r="BK187" s="5" t="n">
        <v>0.647</v>
      </c>
      <c r="BL187" s="5" t="n">
        <v>1.423</v>
      </c>
      <c r="BM187" s="5" t="n">
        <v>0.13</v>
      </c>
      <c r="BN187" s="5" t="n">
        <v>1</v>
      </c>
      <c r="BO187" s="5" t="n">
        <v>0</v>
      </c>
      <c r="BP187" s="5" t="n">
        <v>0</v>
      </c>
      <c r="BQ187" s="5" t="n">
        <v>0.059</v>
      </c>
      <c r="BR187" s="5" t="n">
        <v>0</v>
      </c>
      <c r="BS187" s="5" t="n">
        <v>0.833</v>
      </c>
      <c r="BT187" s="5" t="n">
        <v>0</v>
      </c>
      <c r="BU187" s="5" t="n">
        <v>0</v>
      </c>
      <c r="BV187" s="5" t="n">
        <v>0.06900000000000001</v>
      </c>
      <c r="BW187" s="5" t="n">
        <v>0.16</v>
      </c>
      <c r="BX187" s="5" t="n">
        <v>0.833</v>
      </c>
      <c r="BY187" s="5" t="n">
        <v>12.729</v>
      </c>
      <c r="BZ187" s="5" t="n">
        <v>0</v>
      </c>
      <c r="CA187" s="5" t="n">
        <v>12.729</v>
      </c>
      <c r="CB187" s="5" t="n">
        <v>0</v>
      </c>
      <c r="CC187" s="5" t="n">
        <v>97.90000000000001</v>
      </c>
      <c r="CD187" s="5" t="n">
        <v>7.95</v>
      </c>
      <c r="CE187" s="5" t="n">
        <v>4.633</v>
      </c>
      <c r="CF187" s="5" t="n">
        <v>115.862</v>
      </c>
      <c r="CG187" s="5" t="n">
        <v>0.13</v>
      </c>
      <c r="CH187" s="5" t="n">
        <v>1</v>
      </c>
      <c r="CI187" s="5" t="n">
        <v>0</v>
      </c>
      <c r="CJ187" s="5" t="n">
        <v>0</v>
      </c>
      <c r="CK187" s="5" t="n">
        <v>0</v>
      </c>
      <c r="CL187" s="5" t="n">
        <v>0</v>
      </c>
      <c r="CM187" s="5" t="n">
        <v>0</v>
      </c>
      <c r="CN187" s="5" t="n">
        <v>0</v>
      </c>
      <c r="CO187" s="5" t="n">
        <v>0</v>
      </c>
      <c r="CP187" s="5" t="n">
        <v>0</v>
      </c>
      <c r="CQ187" s="5" t="n">
        <v>1.294</v>
      </c>
      <c r="CR187" s="5" t="n">
        <v>1</v>
      </c>
      <c r="CS187" s="5" t="n">
        <v>5.158</v>
      </c>
      <c r="CT187" s="5" t="n">
        <v>10.485</v>
      </c>
      <c r="CU187" s="5" t="n">
        <v>31.326</v>
      </c>
    </row>
    <row r="188">
      <c r="A188" s="5" t="inlineStr">
        <is>
          <t>COD2023</t>
        </is>
      </c>
      <c r="B188" s="5" t="inlineStr">
        <is>
          <t>COD</t>
        </is>
      </c>
      <c r="C188" s="5" t="inlineStr">
        <is>
          <t>COD</t>
        </is>
      </c>
      <c r="D188" s="5" t="inlineStr">
        <is>
          <t>Congo, Democratic Republic of the</t>
        </is>
      </c>
      <c r="E188" s="5" t="n">
        <v>2023</v>
      </c>
      <c r="F188" s="5" t="n">
        <v>0.16</v>
      </c>
      <c r="G188" s="5" t="n">
        <v>6.147</v>
      </c>
      <c r="H188" s="5" t="n">
        <v>1.286</v>
      </c>
      <c r="I188" s="5" t="n">
        <v>0</v>
      </c>
      <c r="J188" s="5" t="n">
        <v>6.147</v>
      </c>
      <c r="K188" s="5" t="n">
        <v>0</v>
      </c>
      <c r="L188" s="5" t="n">
        <v>1</v>
      </c>
      <c r="M188" s="5" t="n">
        <v>7.886</v>
      </c>
      <c r="N188" s="5" t="n">
        <v>3.857</v>
      </c>
      <c r="O188" s="5" t="n">
        <v>0</v>
      </c>
      <c r="P188" s="5" t="n">
        <v>7.886</v>
      </c>
      <c r="Q188" s="5" t="n">
        <v>0</v>
      </c>
      <c r="R188" s="5" t="n">
        <v>1</v>
      </c>
      <c r="S188" s="5" t="n">
        <v>12.575</v>
      </c>
      <c r="T188" s="5" t="n">
        <v>7.714</v>
      </c>
      <c r="U188" s="5" t="n">
        <v>0.223</v>
      </c>
      <c r="V188" s="5" t="n">
        <v>14.587</v>
      </c>
      <c r="W188" s="5" t="n">
        <v>0.16</v>
      </c>
      <c r="X188" s="5" t="n">
        <v>1</v>
      </c>
      <c r="Y188" s="5" t="n">
        <v>6.013</v>
      </c>
      <c r="Z188" s="5" t="n">
        <v>0.442</v>
      </c>
      <c r="AA188" s="5" t="n">
        <v>0</v>
      </c>
      <c r="AB188" s="5" t="n">
        <v>6.013</v>
      </c>
      <c r="AC188" s="5" t="n">
        <v>0</v>
      </c>
      <c r="AD188" s="5" t="n">
        <v>1</v>
      </c>
      <c r="AE188" s="5" t="n">
        <v>6.656</v>
      </c>
      <c r="AF188" s="5" t="n">
        <v>0.9</v>
      </c>
      <c r="AG188" s="5" t="n">
        <v>0</v>
      </c>
      <c r="AH188" s="5" t="n">
        <v>6.656</v>
      </c>
      <c r="AI188" s="5" t="n">
        <v>0</v>
      </c>
      <c r="AJ188" s="5" t="n">
        <v>1</v>
      </c>
      <c r="AK188" s="5" t="n">
        <v>10.513</v>
      </c>
      <c r="AL188" s="5" t="n">
        <v>3.906</v>
      </c>
      <c r="AM188" s="5" t="n">
        <v>0.186</v>
      </c>
      <c r="AN188" s="5" t="n">
        <v>12.195</v>
      </c>
      <c r="AO188" s="5" t="n">
        <v>0.16</v>
      </c>
      <c r="AP188" s="5" t="n">
        <v>1</v>
      </c>
      <c r="AQ188" s="5" t="n">
        <v>0.76</v>
      </c>
      <c r="AR188" s="5" t="n">
        <v>0.129</v>
      </c>
      <c r="AS188" s="5" t="n">
        <v>0.459</v>
      </c>
      <c r="AT188" s="5" t="n">
        <v>1.378</v>
      </c>
      <c r="AU188" s="5" t="n">
        <v>0.13</v>
      </c>
      <c r="AV188" s="5" t="n">
        <v>1</v>
      </c>
      <c r="AW188" s="5" t="n">
        <v>0.8110000000000001</v>
      </c>
      <c r="AX188" s="5" t="n">
        <v>0.129</v>
      </c>
      <c r="AY188" s="5" t="n">
        <v>0.404</v>
      </c>
      <c r="AZ188" s="5" t="n">
        <v>1.374</v>
      </c>
      <c r="BA188" s="5" t="n">
        <v>0.13</v>
      </c>
      <c r="BB188" s="5" t="n">
        <v>1</v>
      </c>
      <c r="BC188" s="5" t="n">
        <v>0.535</v>
      </c>
      <c r="BD188" s="5" t="n">
        <v>0.129</v>
      </c>
      <c r="BE188" s="5" t="n">
        <v>0.397</v>
      </c>
      <c r="BF188" s="5" t="n">
        <v>1.053</v>
      </c>
      <c r="BG188" s="5" t="n">
        <v>0.13</v>
      </c>
      <c r="BH188" s="5" t="n">
        <v>1</v>
      </c>
      <c r="BI188" s="5" t="n">
        <v>0.579</v>
      </c>
      <c r="BJ188" s="5" t="n">
        <v>0.129</v>
      </c>
      <c r="BK188" s="5" t="n">
        <v>0.501</v>
      </c>
      <c r="BL188" s="5" t="n">
        <v>1.22</v>
      </c>
      <c r="BM188" s="5" t="n">
        <v>0.13</v>
      </c>
      <c r="BN188" s="5" t="n">
        <v>1</v>
      </c>
      <c r="BO188" s="5" t="n">
        <v>0</v>
      </c>
      <c r="BP188" s="5" t="n">
        <v>0</v>
      </c>
      <c r="BQ188" s="5" t="n">
        <v>0.05</v>
      </c>
      <c r="BR188" s="5" t="n">
        <v>0</v>
      </c>
      <c r="BS188" s="5" t="n">
        <v>0.833</v>
      </c>
      <c r="BT188" s="5" t="n">
        <v>0</v>
      </c>
      <c r="BU188" s="5" t="n">
        <v>0</v>
      </c>
      <c r="BV188" s="5" t="n">
        <v>0.06</v>
      </c>
      <c r="BW188" s="5" t="n">
        <v>0.16</v>
      </c>
      <c r="BX188" s="5" t="n">
        <v>0.833</v>
      </c>
      <c r="BY188" s="5" t="n">
        <v>13.254</v>
      </c>
      <c r="BZ188" s="5" t="n">
        <v>0</v>
      </c>
      <c r="CA188" s="5" t="n">
        <v>13.254</v>
      </c>
      <c r="CB188" s="5" t="n">
        <v>0</v>
      </c>
      <c r="CC188" s="5" t="n">
        <v>83.248</v>
      </c>
      <c r="CD188" s="5" t="n">
        <v>7.95</v>
      </c>
      <c r="CE188" s="5" t="n">
        <v>40.685</v>
      </c>
      <c r="CF188" s="5" t="n">
        <v>140.044</v>
      </c>
      <c r="CG188" s="5" t="n">
        <v>0.13</v>
      </c>
      <c r="CH188" s="5" t="n">
        <v>1</v>
      </c>
      <c r="CI188" s="5" t="n">
        <v>0</v>
      </c>
      <c r="CJ188" s="5" t="n">
        <v>0</v>
      </c>
      <c r="CK188" s="5" t="n">
        <v>0</v>
      </c>
      <c r="CL188" s="5" t="n">
        <v>0</v>
      </c>
      <c r="CM188" s="5" t="n">
        <v>0</v>
      </c>
      <c r="CN188" s="5" t="n">
        <v>0</v>
      </c>
      <c r="CO188" s="5" t="n">
        <v>0</v>
      </c>
      <c r="CP188" s="5" t="n">
        <v>0</v>
      </c>
      <c r="CQ188" s="5" t="n">
        <v>1.348</v>
      </c>
      <c r="CR188" s="5" t="n">
        <v>1</v>
      </c>
      <c r="CS188" s="5" t="n">
        <v>5.37</v>
      </c>
      <c r="CT188" s="5" t="n">
        <v>4.861</v>
      </c>
      <c r="CU188" s="5" t="n">
        <v>11.622</v>
      </c>
    </row>
    <row r="189">
      <c r="A189" s="5" t="inlineStr">
        <is>
          <t>COD2024</t>
        </is>
      </c>
      <c r="B189" s="5" t="inlineStr">
        <is>
          <t>COD</t>
        </is>
      </c>
      <c r="C189" s="5" t="inlineStr">
        <is>
          <t>COD</t>
        </is>
      </c>
      <c r="D189" s="5" t="inlineStr">
        <is>
          <t>Congo, Democratic Republic of the</t>
        </is>
      </c>
      <c r="E189" s="5" t="n">
        <v>2024</v>
      </c>
      <c r="F189" s="5" t="n">
        <v>0.16</v>
      </c>
      <c r="G189" s="5" t="n">
        <v>5.575</v>
      </c>
      <c r="H189" s="5" t="n">
        <v>1.324</v>
      </c>
      <c r="I189" s="5" t="n">
        <v>0</v>
      </c>
      <c r="J189" s="5" t="n">
        <v>5.575</v>
      </c>
      <c r="K189" s="5" t="n">
        <v>0</v>
      </c>
      <c r="L189" s="5" t="n">
        <v>1</v>
      </c>
      <c r="M189" s="5" t="n">
        <v>7.124</v>
      </c>
      <c r="N189" s="5" t="n">
        <v>3.971</v>
      </c>
      <c r="O189" s="5" t="n">
        <v>0</v>
      </c>
      <c r="P189" s="5" t="n">
        <v>7.124</v>
      </c>
      <c r="Q189" s="5" t="n">
        <v>0</v>
      </c>
      <c r="R189" s="5" t="n">
        <v>1</v>
      </c>
      <c r="S189" s="5" t="n">
        <v>12.193</v>
      </c>
      <c r="T189" s="5" t="n">
        <v>7.942</v>
      </c>
      <c r="U189" s="5" t="n">
        <v>0.266</v>
      </c>
      <c r="V189" s="5" t="n">
        <v>14.144</v>
      </c>
      <c r="W189" s="5" t="n">
        <v>0.16</v>
      </c>
      <c r="X189" s="5" t="n">
        <v>1</v>
      </c>
      <c r="Y189" s="5" t="n">
        <v>6.191</v>
      </c>
      <c r="Z189" s="5" t="n">
        <v>0.455</v>
      </c>
      <c r="AA189" s="5" t="n">
        <v>0</v>
      </c>
      <c r="AB189" s="5" t="n">
        <v>6.191</v>
      </c>
      <c r="AC189" s="5" t="n">
        <v>0</v>
      </c>
      <c r="AD189" s="5" t="n">
        <v>1</v>
      </c>
      <c r="AE189" s="5" t="n">
        <v>6.853</v>
      </c>
      <c r="AF189" s="5" t="n">
        <v>0.926</v>
      </c>
      <c r="AG189" s="5" t="n">
        <v>0</v>
      </c>
      <c r="AH189" s="5" t="n">
        <v>6.853</v>
      </c>
      <c r="AI189" s="5" t="n">
        <v>0</v>
      </c>
      <c r="AJ189" s="5" t="n">
        <v>1</v>
      </c>
      <c r="AK189" s="5" t="n">
        <v>10.823</v>
      </c>
      <c r="AL189" s="5" t="n">
        <v>4.021</v>
      </c>
      <c r="AM189" s="5" t="n">
        <v>0.236</v>
      </c>
      <c r="AN189" s="5" t="n">
        <v>12.555</v>
      </c>
      <c r="AO189" s="5" t="n">
        <v>0.16</v>
      </c>
      <c r="AP189" s="5" t="n">
        <v>1</v>
      </c>
      <c r="AQ189" s="5" t="n">
        <v>0.724</v>
      </c>
      <c r="AR189" s="5" t="n">
        <v>0.132</v>
      </c>
      <c r="AS189" s="5" t="n">
        <v>0.414</v>
      </c>
      <c r="AT189" s="5" t="n">
        <v>1.286</v>
      </c>
      <c r="AU189" s="5" t="n">
        <v>0.13</v>
      </c>
      <c r="AV189" s="5" t="n">
        <v>1</v>
      </c>
      <c r="AW189" s="5" t="n">
        <v>0.75</v>
      </c>
      <c r="AX189" s="5" t="n">
        <v>0.132</v>
      </c>
      <c r="AY189" s="5" t="n">
        <v>0.384</v>
      </c>
      <c r="AZ189" s="5" t="n">
        <v>1.282</v>
      </c>
      <c r="BA189" s="5" t="n">
        <v>0.13</v>
      </c>
      <c r="BB189" s="5" t="n">
        <v>1</v>
      </c>
      <c r="BC189" s="5" t="n">
        <v>0.513</v>
      </c>
      <c r="BD189" s="5" t="n">
        <v>0.132</v>
      </c>
      <c r="BE189" s="5" t="n">
        <v>0.464</v>
      </c>
      <c r="BF189" s="5" t="n">
        <v>1.084</v>
      </c>
      <c r="BG189" s="5" t="n">
        <v>0.13</v>
      </c>
      <c r="BH189" s="5" t="n">
        <v>1</v>
      </c>
      <c r="BI189" s="5" t="n">
        <v>0.591</v>
      </c>
      <c r="BJ189" s="5" t="n">
        <v>0.132</v>
      </c>
      <c r="BK189" s="5" t="n">
        <v>0.285</v>
      </c>
      <c r="BL189" s="5" t="n">
        <v>0.99</v>
      </c>
      <c r="BM189" s="5" t="n">
        <v>0.13</v>
      </c>
      <c r="BN189" s="5" t="n">
        <v>1</v>
      </c>
      <c r="BO189" s="5" t="n">
        <v>0</v>
      </c>
      <c r="BP189" s="5" t="n">
        <v>0</v>
      </c>
      <c r="BQ189" s="5" t="n">
        <v>0.049</v>
      </c>
      <c r="BR189" s="5" t="n">
        <v>0</v>
      </c>
      <c r="BS189" s="5" t="n">
        <v>0.833</v>
      </c>
      <c r="BT189" s="5" t="n">
        <v>0</v>
      </c>
      <c r="BU189" s="5" t="n">
        <v>0</v>
      </c>
      <c r="BV189" s="5" t="n">
        <v>0.063</v>
      </c>
      <c r="BW189" s="5" t="n">
        <v>0.16</v>
      </c>
      <c r="BX189" s="5" t="n">
        <v>0.833</v>
      </c>
      <c r="BY189" s="5" t="n">
        <v>13.646</v>
      </c>
      <c r="BZ189" s="5" t="n">
        <v>0</v>
      </c>
      <c r="CA189" s="5" t="n">
        <v>13.646</v>
      </c>
      <c r="CB189" s="5" t="n">
        <v>0</v>
      </c>
      <c r="CC189" s="5" t="n">
        <v>82.58799999999999</v>
      </c>
      <c r="CD189" s="5" t="n">
        <v>7.95</v>
      </c>
      <c r="CE189" s="5" t="n">
        <v>28.151</v>
      </c>
      <c r="CF189" s="5" t="n">
        <v>125.135</v>
      </c>
      <c r="CG189" s="5" t="n">
        <v>0.13</v>
      </c>
      <c r="CH189" s="5" t="n">
        <v>1</v>
      </c>
      <c r="CI189" s="5" t="n">
        <v>0</v>
      </c>
      <c r="CJ189" s="5" t="n">
        <v>0</v>
      </c>
      <c r="CK189" s="5" t="n">
        <v>0</v>
      </c>
      <c r="CL189" s="5" t="n">
        <v>0</v>
      </c>
      <c r="CM189" s="5" t="n">
        <v>0</v>
      </c>
      <c r="CN189" s="5" t="n">
        <v>0</v>
      </c>
      <c r="CO189" s="5" t="n">
        <v>0</v>
      </c>
      <c r="CP189" s="5" t="n">
        <v>0</v>
      </c>
      <c r="CQ189" s="5" t="n">
        <v>1.387</v>
      </c>
      <c r="CR189" s="5" t="n">
        <v>1</v>
      </c>
      <c r="CS189" s="5" t="n">
        <v>5.529</v>
      </c>
      <c r="CT189" s="5" t="n">
        <v>4.251</v>
      </c>
      <c r="CU189" s="5" t="n">
        <v>10.168</v>
      </c>
    </row>
    <row r="190">
      <c r="A190" s="5" t="inlineStr">
        <is>
          <t>COG2021</t>
        </is>
      </c>
      <c r="B190" s="5" t="inlineStr">
        <is>
          <t>COG</t>
        </is>
      </c>
      <c r="C190" s="5" t="inlineStr">
        <is>
          <t>COG</t>
        </is>
      </c>
      <c r="D190" s="5" t="inlineStr">
        <is>
          <t>Congo, Republic of</t>
        </is>
      </c>
      <c r="E190" s="5" t="n">
        <v>2021</v>
      </c>
      <c r="F190" s="5" t="n">
        <v>0.18</v>
      </c>
      <c r="G190" s="5" t="n">
        <v>5.897</v>
      </c>
      <c r="H190" s="5" t="n">
        <v>1.143</v>
      </c>
      <c r="I190" s="5" t="n">
        <v>0</v>
      </c>
      <c r="J190" s="5" t="n">
        <v>5.897</v>
      </c>
      <c r="K190" s="5" t="n">
        <v>0</v>
      </c>
      <c r="L190" s="5" t="n">
        <v>1</v>
      </c>
      <c r="M190" s="5" t="n">
        <v>7.964</v>
      </c>
      <c r="N190" s="5" t="n">
        <v>3.43</v>
      </c>
      <c r="O190" s="5" t="n">
        <v>0</v>
      </c>
      <c r="P190" s="5" t="n">
        <v>7.964</v>
      </c>
      <c r="Q190" s="5" t="n">
        <v>0</v>
      </c>
      <c r="R190" s="5" t="n">
        <v>1</v>
      </c>
      <c r="S190" s="5" t="n">
        <v>11.613</v>
      </c>
      <c r="T190" s="5" t="n">
        <v>6.86</v>
      </c>
      <c r="U190" s="5" t="n">
        <v>0</v>
      </c>
      <c r="V190" s="5" t="n">
        <v>13.704</v>
      </c>
      <c r="W190" s="5" t="n">
        <v>0.18</v>
      </c>
      <c r="X190" s="5" t="n">
        <v>1</v>
      </c>
      <c r="Y190" s="5" t="n">
        <v>6.369</v>
      </c>
      <c r="Z190" s="5" t="n">
        <v>0.468</v>
      </c>
      <c r="AA190" s="5" t="n">
        <v>0</v>
      </c>
      <c r="AB190" s="5" t="n">
        <v>6.369</v>
      </c>
      <c r="AC190" s="5" t="n">
        <v>0</v>
      </c>
      <c r="AD190" s="5" t="n">
        <v>1</v>
      </c>
      <c r="AE190" s="5" t="n">
        <v>6.941</v>
      </c>
      <c r="AF190" s="5" t="n">
        <v>0.9379999999999999</v>
      </c>
      <c r="AG190" s="5" t="n">
        <v>0</v>
      </c>
      <c r="AH190" s="5" t="n">
        <v>6.941</v>
      </c>
      <c r="AI190" s="5" t="n">
        <v>0</v>
      </c>
      <c r="AJ190" s="5" t="n">
        <v>1</v>
      </c>
      <c r="AK190" s="5" t="n">
        <v>10.371</v>
      </c>
      <c r="AL190" s="5" t="n">
        <v>3.853</v>
      </c>
      <c r="AM190" s="5" t="n">
        <v>0</v>
      </c>
      <c r="AN190" s="5" t="n">
        <v>12.238</v>
      </c>
      <c r="AO190" s="5" t="n">
        <v>0.18</v>
      </c>
      <c r="AP190" s="5" t="n">
        <v>1</v>
      </c>
      <c r="AQ190" s="5" t="n">
        <v>0.619</v>
      </c>
      <c r="AR190" s="5" t="n">
        <v>0.114</v>
      </c>
      <c r="AS190" s="5" t="n">
        <v>0.29</v>
      </c>
      <c r="AT190" s="5" t="n">
        <v>1.073</v>
      </c>
      <c r="AU190" s="5" t="n">
        <v>0.18</v>
      </c>
      <c r="AV190" s="5" t="n">
        <v>1</v>
      </c>
      <c r="AW190" s="5" t="n">
        <v>0.599</v>
      </c>
      <c r="AX190" s="5" t="n">
        <v>0.114</v>
      </c>
      <c r="AY190" s="5" t="n">
        <v>0.127</v>
      </c>
      <c r="AZ190" s="5" t="n">
        <v>0.857</v>
      </c>
      <c r="BA190" s="5" t="n">
        <v>0.18</v>
      </c>
      <c r="BB190" s="5" t="n">
        <v>1</v>
      </c>
      <c r="BC190" s="5" t="n">
        <v>0.439</v>
      </c>
      <c r="BD190" s="5" t="n">
        <v>0.114</v>
      </c>
      <c r="BE190" s="5" t="n">
        <v>-0.324</v>
      </c>
      <c r="BF190" s="5" t="n">
        <v>0.135</v>
      </c>
      <c r="BG190" s="5" t="n">
        <v>0</v>
      </c>
      <c r="BH190" s="5" t="n">
        <v>0</v>
      </c>
      <c r="BI190" s="5" t="n">
        <v>0.505</v>
      </c>
      <c r="BJ190" s="5" t="n">
        <v>0.114</v>
      </c>
      <c r="BK190" s="5" t="n">
        <v>-0.016</v>
      </c>
      <c r="BL190" s="5" t="n">
        <v>0.577</v>
      </c>
      <c r="BM190" s="5" t="n">
        <v>0.18</v>
      </c>
      <c r="BN190" s="5" t="n">
        <v>0</v>
      </c>
      <c r="BO190" s="5" t="n">
        <v>0</v>
      </c>
      <c r="BP190" s="5" t="n">
        <v>0</v>
      </c>
      <c r="BQ190" s="5" t="n">
        <v>0.048</v>
      </c>
      <c r="BR190" s="5" t="n">
        <v>0</v>
      </c>
      <c r="BS190" s="5" t="n">
        <v>1</v>
      </c>
      <c r="BT190" s="5" t="n">
        <v>0</v>
      </c>
      <c r="BU190" s="5" t="n">
        <v>0</v>
      </c>
      <c r="BV190" s="5" t="n">
        <v>0.136</v>
      </c>
      <c r="BW190" s="5" t="n">
        <v>0.18</v>
      </c>
      <c r="BX190" s="5" t="n">
        <v>1</v>
      </c>
      <c r="BY190" s="5" t="n">
        <v>11.787</v>
      </c>
      <c r="BZ190" s="5" t="n">
        <v>0</v>
      </c>
      <c r="CA190" s="5" t="n">
        <v>11.787</v>
      </c>
      <c r="CB190" s="5" t="n">
        <v>0</v>
      </c>
      <c r="CC190" s="5" t="n">
        <v>78.125</v>
      </c>
      <c r="CD190" s="5" t="n">
        <v>7.95</v>
      </c>
      <c r="CE190" s="5" t="n">
        <v>6.922</v>
      </c>
      <c r="CF190" s="5" t="n">
        <v>100.355</v>
      </c>
      <c r="CG190" s="5" t="n">
        <v>0.18</v>
      </c>
      <c r="CH190" s="5" t="n">
        <v>1</v>
      </c>
      <c r="CI190" s="5" t="n">
        <v>0</v>
      </c>
      <c r="CJ190" s="5" t="n">
        <v>0</v>
      </c>
      <c r="CK190" s="5" t="n">
        <v>0</v>
      </c>
      <c r="CL190" s="5" t="n">
        <v>0</v>
      </c>
      <c r="CM190" s="5" t="n">
        <v>0</v>
      </c>
      <c r="CN190" s="5" t="n">
        <v>0</v>
      </c>
      <c r="CO190" s="5" t="n">
        <v>0.047</v>
      </c>
      <c r="CP190" s="5" t="n">
        <v>0</v>
      </c>
      <c r="CQ190" s="5" t="n">
        <v>1.198</v>
      </c>
      <c r="CR190" s="5" t="n">
        <v>1</v>
      </c>
      <c r="CS190" s="5" t="n">
        <v>5.798</v>
      </c>
      <c r="CT190" s="5" t="n">
        <v>4.753</v>
      </c>
      <c r="CU190" s="5" t="n">
        <v>15.162</v>
      </c>
    </row>
    <row r="191">
      <c r="A191" s="5" t="inlineStr">
        <is>
          <t>COG2022</t>
        </is>
      </c>
      <c r="B191" s="5" t="inlineStr">
        <is>
          <t>COG</t>
        </is>
      </c>
      <c r="C191" s="5" t="inlineStr">
        <is>
          <t>COG</t>
        </is>
      </c>
      <c r="D191" s="5" t="inlineStr">
        <is>
          <t>Congo, Republic of</t>
        </is>
      </c>
      <c r="E191" s="5" t="n">
        <v>2022</v>
      </c>
      <c r="F191" s="5" t="n">
        <v>0.18</v>
      </c>
      <c r="G191" s="5" t="n">
        <v>11.72</v>
      </c>
      <c r="H191" s="5" t="n">
        <v>1.235</v>
      </c>
      <c r="I191" s="5" t="n">
        <v>0</v>
      </c>
      <c r="J191" s="5" t="n">
        <v>11.72</v>
      </c>
      <c r="K191" s="5" t="n">
        <v>0</v>
      </c>
      <c r="L191" s="5" t="n">
        <v>1</v>
      </c>
      <c r="M191" s="5" t="n">
        <v>9.782999999999999</v>
      </c>
      <c r="N191" s="5" t="n">
        <v>3.704</v>
      </c>
      <c r="O191" s="5" t="n">
        <v>0</v>
      </c>
      <c r="P191" s="5" t="n">
        <v>9.782999999999999</v>
      </c>
      <c r="Q191" s="5" t="n">
        <v>0</v>
      </c>
      <c r="R191" s="5" t="n">
        <v>1</v>
      </c>
      <c r="S191" s="5" t="n">
        <v>17.893</v>
      </c>
      <c r="T191" s="5" t="n">
        <v>7.408</v>
      </c>
      <c r="U191" s="5" t="n">
        <v>0.238</v>
      </c>
      <c r="V191" s="5" t="n">
        <v>21.114</v>
      </c>
      <c r="W191" s="5" t="n">
        <v>0.18</v>
      </c>
      <c r="X191" s="5" t="n">
        <v>1</v>
      </c>
      <c r="Y191" s="5" t="n">
        <v>6.878</v>
      </c>
      <c r="Z191" s="5" t="n">
        <v>0.506</v>
      </c>
      <c r="AA191" s="5" t="n">
        <v>0</v>
      </c>
      <c r="AB191" s="5" t="n">
        <v>6.878</v>
      </c>
      <c r="AC191" s="5" t="n">
        <v>0</v>
      </c>
      <c r="AD191" s="5" t="n">
        <v>1</v>
      </c>
      <c r="AE191" s="5" t="n">
        <v>7.496</v>
      </c>
      <c r="AF191" s="5" t="n">
        <v>1.013</v>
      </c>
      <c r="AG191" s="5" t="n">
        <v>0</v>
      </c>
      <c r="AH191" s="5" t="n">
        <v>7.496</v>
      </c>
      <c r="AI191" s="5" t="n">
        <v>0</v>
      </c>
      <c r="AJ191" s="5" t="n">
        <v>1</v>
      </c>
      <c r="AK191" s="5" t="n">
        <v>11.2</v>
      </c>
      <c r="AL191" s="5" t="n">
        <v>4.161</v>
      </c>
      <c r="AM191" s="5" t="n">
        <v>0.149</v>
      </c>
      <c r="AN191" s="5" t="n">
        <v>13.216</v>
      </c>
      <c r="AO191" s="5" t="n">
        <v>0.18</v>
      </c>
      <c r="AP191" s="5" t="n">
        <v>1</v>
      </c>
      <c r="AQ191" s="5" t="n">
        <v>0.861</v>
      </c>
      <c r="AR191" s="5" t="n">
        <v>0.123</v>
      </c>
      <c r="AS191" s="5" t="n">
        <v>-0.053</v>
      </c>
      <c r="AT191" s="5" t="n">
        <v>0.954</v>
      </c>
      <c r="AU191" s="5" t="n">
        <v>0.18</v>
      </c>
      <c r="AV191" s="5" t="n">
        <v>1</v>
      </c>
      <c r="AW191" s="5" t="n">
        <v>0.986</v>
      </c>
      <c r="AX191" s="5" t="n">
        <v>0.123</v>
      </c>
      <c r="AY191" s="5" t="n">
        <v>-0.341</v>
      </c>
      <c r="AZ191" s="5" t="n">
        <v>0.762</v>
      </c>
      <c r="BA191" s="5" t="n">
        <v>0.18</v>
      </c>
      <c r="BB191" s="5" t="n">
        <v>1</v>
      </c>
      <c r="BC191" s="5" t="n">
        <v>0.598</v>
      </c>
      <c r="BD191" s="5" t="n">
        <v>0.123</v>
      </c>
      <c r="BE191" s="5" t="n">
        <v>-0.484</v>
      </c>
      <c r="BF191" s="5" t="n">
        <v>0.134</v>
      </c>
      <c r="BG191" s="5" t="n">
        <v>0</v>
      </c>
      <c r="BH191" s="5" t="n">
        <v>0</v>
      </c>
      <c r="BI191" s="5" t="n">
        <v>0.612</v>
      </c>
      <c r="BJ191" s="5" t="n">
        <v>0.123</v>
      </c>
      <c r="BK191" s="5" t="n">
        <v>-0.178</v>
      </c>
      <c r="BL191" s="5" t="n">
        <v>0.513</v>
      </c>
      <c r="BM191" s="5" t="n">
        <v>0.18</v>
      </c>
      <c r="BN191" s="5" t="n">
        <v>0</v>
      </c>
      <c r="BO191" s="5" t="n">
        <v>0</v>
      </c>
      <c r="BP191" s="5" t="n">
        <v>0</v>
      </c>
      <c r="BQ191" s="5" t="n">
        <v>0.042</v>
      </c>
      <c r="BR191" s="5" t="n">
        <v>0</v>
      </c>
      <c r="BS191" s="5" t="n">
        <v>1</v>
      </c>
      <c r="BT191" s="5" t="n">
        <v>0</v>
      </c>
      <c r="BU191" s="5" t="n">
        <v>0</v>
      </c>
      <c r="BV191" s="5" t="n">
        <v>0.121</v>
      </c>
      <c r="BW191" s="5" t="n">
        <v>0.18</v>
      </c>
      <c r="BX191" s="5" t="n">
        <v>1</v>
      </c>
      <c r="BY191" s="5" t="n">
        <v>12.729</v>
      </c>
      <c r="BZ191" s="5" t="n">
        <v>0</v>
      </c>
      <c r="CA191" s="5" t="n">
        <v>12.729</v>
      </c>
      <c r="CB191" s="5" t="n">
        <v>0</v>
      </c>
      <c r="CC191" s="5" t="n">
        <v>97.90000000000001</v>
      </c>
      <c r="CD191" s="5" t="n">
        <v>7.95</v>
      </c>
      <c r="CE191" s="5" t="n">
        <v>-22.292</v>
      </c>
      <c r="CF191" s="5" t="n">
        <v>89.217</v>
      </c>
      <c r="CG191" s="5" t="n">
        <v>0.18</v>
      </c>
      <c r="CH191" s="5" t="n">
        <v>1</v>
      </c>
      <c r="CI191" s="5" t="n">
        <v>0</v>
      </c>
      <c r="CJ191" s="5" t="n">
        <v>0</v>
      </c>
      <c r="CK191" s="5" t="n">
        <v>0</v>
      </c>
      <c r="CL191" s="5" t="n">
        <v>0</v>
      </c>
      <c r="CM191" s="5" t="n">
        <v>0</v>
      </c>
      <c r="CN191" s="5" t="n">
        <v>0</v>
      </c>
      <c r="CO191" s="5" t="n">
        <v>0.021</v>
      </c>
      <c r="CP191" s="5" t="n">
        <v>0</v>
      </c>
      <c r="CQ191" s="5" t="n">
        <v>1.294</v>
      </c>
      <c r="CR191" s="5" t="n">
        <v>1</v>
      </c>
      <c r="CS191" s="5" t="n">
        <v>6.261</v>
      </c>
      <c r="CT191" s="5" t="n">
        <v>10.485</v>
      </c>
      <c r="CU191" s="5" t="n">
        <v>31.326</v>
      </c>
    </row>
    <row r="192">
      <c r="A192" s="5" t="inlineStr">
        <is>
          <t>COG2023</t>
        </is>
      </c>
      <c r="B192" s="5" t="inlineStr">
        <is>
          <t>COG</t>
        </is>
      </c>
      <c r="C192" s="5" t="inlineStr">
        <is>
          <t>COG</t>
        </is>
      </c>
      <c r="D192" s="5" t="inlineStr">
        <is>
          <t>Congo, Republic of</t>
        </is>
      </c>
      <c r="E192" s="5" t="n">
        <v>2023</v>
      </c>
      <c r="F192" s="5" t="n">
        <v>0.18</v>
      </c>
      <c r="G192" s="5" t="n">
        <v>6.147</v>
      </c>
      <c r="H192" s="5" t="n">
        <v>1.286</v>
      </c>
      <c r="I192" s="5" t="n">
        <v>0</v>
      </c>
      <c r="J192" s="5" t="n">
        <v>6.147</v>
      </c>
      <c r="K192" s="5" t="n">
        <v>0</v>
      </c>
      <c r="L192" s="5" t="n">
        <v>1</v>
      </c>
      <c r="M192" s="5" t="n">
        <v>7.886</v>
      </c>
      <c r="N192" s="5" t="n">
        <v>3.857</v>
      </c>
      <c r="O192" s="5" t="n">
        <v>0</v>
      </c>
      <c r="P192" s="5" t="n">
        <v>7.886</v>
      </c>
      <c r="Q192" s="5" t="n">
        <v>0</v>
      </c>
      <c r="R192" s="5" t="n">
        <v>1</v>
      </c>
      <c r="S192" s="5" t="n">
        <v>12.575</v>
      </c>
      <c r="T192" s="5" t="n">
        <v>7.714</v>
      </c>
      <c r="U192" s="5" t="n">
        <v>0.251</v>
      </c>
      <c r="V192" s="5" t="n">
        <v>14.839</v>
      </c>
      <c r="W192" s="5" t="n">
        <v>0.18</v>
      </c>
      <c r="X192" s="5" t="n">
        <v>1</v>
      </c>
      <c r="Y192" s="5" t="n">
        <v>7.162</v>
      </c>
      <c r="Z192" s="5" t="n">
        <v>0.527</v>
      </c>
      <c r="AA192" s="5" t="n">
        <v>0</v>
      </c>
      <c r="AB192" s="5" t="n">
        <v>7.162</v>
      </c>
      <c r="AC192" s="5" t="n">
        <v>0</v>
      </c>
      <c r="AD192" s="5" t="n">
        <v>1</v>
      </c>
      <c r="AE192" s="5" t="n">
        <v>7.805</v>
      </c>
      <c r="AF192" s="5" t="n">
        <v>1.055</v>
      </c>
      <c r="AG192" s="5" t="n">
        <v>0</v>
      </c>
      <c r="AH192" s="5" t="n">
        <v>7.805</v>
      </c>
      <c r="AI192" s="5" t="n">
        <v>0</v>
      </c>
      <c r="AJ192" s="5" t="n">
        <v>1</v>
      </c>
      <c r="AK192" s="5" t="n">
        <v>11.662</v>
      </c>
      <c r="AL192" s="5" t="n">
        <v>4.332</v>
      </c>
      <c r="AM192" s="5" t="n">
        <v>0.232</v>
      </c>
      <c r="AN192" s="5" t="n">
        <v>13.761</v>
      </c>
      <c r="AO192" s="5" t="n">
        <v>0.18</v>
      </c>
      <c r="AP192" s="5" t="n">
        <v>1</v>
      </c>
      <c r="AQ192" s="5" t="n">
        <v>0.76</v>
      </c>
      <c r="AR192" s="5" t="n">
        <v>0.129</v>
      </c>
      <c r="AS192" s="5" t="n">
        <v>0.218</v>
      </c>
      <c r="AT192" s="5" t="n">
        <v>1.154</v>
      </c>
      <c r="AU192" s="5" t="n">
        <v>0.18</v>
      </c>
      <c r="AV192" s="5" t="n">
        <v>1</v>
      </c>
      <c r="AW192" s="5" t="n">
        <v>0.8110000000000001</v>
      </c>
      <c r="AX192" s="5" t="n">
        <v>0.129</v>
      </c>
      <c r="AY192" s="5" t="n">
        <v>-0.08400000000000001</v>
      </c>
      <c r="AZ192" s="5" t="n">
        <v>0.859</v>
      </c>
      <c r="BA192" s="5" t="n">
        <v>0.18</v>
      </c>
      <c r="BB192" s="5" t="n">
        <v>1</v>
      </c>
      <c r="BC192" s="5" t="n">
        <v>0.535</v>
      </c>
      <c r="BD192" s="5" t="n">
        <v>0.129</v>
      </c>
      <c r="BE192" s="5" t="n">
        <v>-0.395</v>
      </c>
      <c r="BF192" s="5" t="n">
        <v>0.14</v>
      </c>
      <c r="BG192" s="5" t="n">
        <v>0</v>
      </c>
      <c r="BH192" s="5" t="n">
        <v>0</v>
      </c>
      <c r="BI192" s="5" t="n">
        <v>0.579</v>
      </c>
      <c r="BJ192" s="5" t="n">
        <v>0.129</v>
      </c>
      <c r="BK192" s="5" t="n">
        <v>-0.132</v>
      </c>
      <c r="BL192" s="5" t="n">
        <v>0.528</v>
      </c>
      <c r="BM192" s="5" t="n">
        <v>0.18</v>
      </c>
      <c r="BN192" s="5" t="n">
        <v>0</v>
      </c>
      <c r="BO192" s="5" t="n">
        <v>0</v>
      </c>
      <c r="BP192" s="5" t="n">
        <v>0</v>
      </c>
      <c r="BQ192" s="5" t="n">
        <v>0.044</v>
      </c>
      <c r="BR192" s="5" t="n">
        <v>0</v>
      </c>
      <c r="BS192" s="5" t="n">
        <v>1</v>
      </c>
      <c r="BT192" s="5" t="n">
        <v>0</v>
      </c>
      <c r="BU192" s="5" t="n">
        <v>0</v>
      </c>
      <c r="BV192" s="5" t="n">
        <v>0.124</v>
      </c>
      <c r="BW192" s="5" t="n">
        <v>0.18</v>
      </c>
      <c r="BX192" s="5" t="n">
        <v>1</v>
      </c>
      <c r="BY192" s="5" t="n">
        <v>13.254</v>
      </c>
      <c r="BZ192" s="5" t="n">
        <v>0</v>
      </c>
      <c r="CA192" s="5" t="n">
        <v>13.254</v>
      </c>
      <c r="CB192" s="5" t="n">
        <v>0</v>
      </c>
      <c r="CC192" s="5" t="n">
        <v>83.248</v>
      </c>
      <c r="CD192" s="5" t="n">
        <v>7.95</v>
      </c>
      <c r="CE192" s="5" t="n">
        <v>-5.498</v>
      </c>
      <c r="CF192" s="5" t="n">
        <v>91.745</v>
      </c>
      <c r="CG192" s="5" t="n">
        <v>0.18</v>
      </c>
      <c r="CH192" s="5" t="n">
        <v>1</v>
      </c>
      <c r="CI192" s="5" t="n">
        <v>0</v>
      </c>
      <c r="CJ192" s="5" t="n">
        <v>0</v>
      </c>
      <c r="CK192" s="5" t="n">
        <v>0</v>
      </c>
      <c r="CL192" s="5" t="n">
        <v>0</v>
      </c>
      <c r="CM192" s="5" t="n">
        <v>0</v>
      </c>
      <c r="CN192" s="5" t="n">
        <v>0</v>
      </c>
      <c r="CO192" s="5" t="n">
        <v>0.054</v>
      </c>
      <c r="CP192" s="5" t="n">
        <v>0</v>
      </c>
      <c r="CQ192" s="5" t="n">
        <v>1.348</v>
      </c>
      <c r="CR192" s="5" t="n">
        <v>1</v>
      </c>
      <c r="CS192" s="5" t="n">
        <v>6.519</v>
      </c>
      <c r="CT192" s="5" t="n">
        <v>4.861</v>
      </c>
      <c r="CU192" s="5" t="n">
        <v>11.622</v>
      </c>
    </row>
    <row r="193">
      <c r="A193" s="5" t="inlineStr">
        <is>
          <t>COG2024</t>
        </is>
      </c>
      <c r="B193" s="5" t="inlineStr">
        <is>
          <t>COG</t>
        </is>
      </c>
      <c r="C193" s="5" t="inlineStr">
        <is>
          <t>COG</t>
        </is>
      </c>
      <c r="D193" s="5" t="inlineStr">
        <is>
          <t>Congo, Republic of</t>
        </is>
      </c>
      <c r="E193" s="5" t="n">
        <v>2024</v>
      </c>
      <c r="F193" s="5" t="n">
        <v>0.18</v>
      </c>
      <c r="G193" s="5" t="n">
        <v>5.575</v>
      </c>
      <c r="H193" s="5" t="n">
        <v>1.324</v>
      </c>
      <c r="I193" s="5" t="n">
        <v>0</v>
      </c>
      <c r="J193" s="5" t="n">
        <v>5.575</v>
      </c>
      <c r="K193" s="5" t="n">
        <v>0</v>
      </c>
      <c r="L193" s="5" t="n">
        <v>1</v>
      </c>
      <c r="M193" s="5" t="n">
        <v>7.124</v>
      </c>
      <c r="N193" s="5" t="n">
        <v>3.971</v>
      </c>
      <c r="O193" s="5" t="n">
        <v>0</v>
      </c>
      <c r="P193" s="5" t="n">
        <v>7.124</v>
      </c>
      <c r="Q193" s="5" t="n">
        <v>0</v>
      </c>
      <c r="R193" s="5" t="n">
        <v>1</v>
      </c>
      <c r="S193" s="5" t="n">
        <v>12.193</v>
      </c>
      <c r="T193" s="5" t="n">
        <v>7.942</v>
      </c>
      <c r="U193" s="5" t="n">
        <v>0.299</v>
      </c>
      <c r="V193" s="5" t="n">
        <v>14.388</v>
      </c>
      <c r="W193" s="5" t="n">
        <v>0.18</v>
      </c>
      <c r="X193" s="5" t="n">
        <v>1</v>
      </c>
      <c r="Y193" s="5" t="n">
        <v>7.374</v>
      </c>
      <c r="Z193" s="5" t="n">
        <v>0.542</v>
      </c>
      <c r="AA193" s="5" t="n">
        <v>0</v>
      </c>
      <c r="AB193" s="5" t="n">
        <v>7.374</v>
      </c>
      <c r="AC193" s="5" t="n">
        <v>0</v>
      </c>
      <c r="AD193" s="5" t="n">
        <v>1</v>
      </c>
      <c r="AE193" s="5" t="n">
        <v>8.036</v>
      </c>
      <c r="AF193" s="5" t="n">
        <v>1.086</v>
      </c>
      <c r="AG193" s="5" t="n">
        <v>0</v>
      </c>
      <c r="AH193" s="5" t="n">
        <v>8.036</v>
      </c>
      <c r="AI193" s="5" t="n">
        <v>0</v>
      </c>
      <c r="AJ193" s="5" t="n">
        <v>1</v>
      </c>
      <c r="AK193" s="5" t="n">
        <v>12.006</v>
      </c>
      <c r="AL193" s="5" t="n">
        <v>4.46</v>
      </c>
      <c r="AM193" s="5" t="n">
        <v>0.294</v>
      </c>
      <c r="AN193" s="5" t="n">
        <v>14.167</v>
      </c>
      <c r="AO193" s="5" t="n">
        <v>0.18</v>
      </c>
      <c r="AP193" s="5" t="n">
        <v>1</v>
      </c>
      <c r="AQ193" s="5" t="n">
        <v>0.724</v>
      </c>
      <c r="AR193" s="5" t="n">
        <v>0.132</v>
      </c>
      <c r="AS193" s="5" t="n">
        <v>0.359</v>
      </c>
      <c r="AT193" s="5" t="n">
        <v>1.278</v>
      </c>
      <c r="AU193" s="5" t="n">
        <v>0.18</v>
      </c>
      <c r="AV193" s="5" t="n">
        <v>1</v>
      </c>
      <c r="AW193" s="5" t="n">
        <v>0.75</v>
      </c>
      <c r="AX193" s="5" t="n">
        <v>0.132</v>
      </c>
      <c r="AY193" s="5" t="n">
        <v>0.123</v>
      </c>
      <c r="AZ193" s="5" t="n">
        <v>1.031</v>
      </c>
      <c r="BA193" s="5" t="n">
        <v>0.18</v>
      </c>
      <c r="BB193" s="5" t="n">
        <v>1</v>
      </c>
      <c r="BC193" s="5" t="n">
        <v>0.513</v>
      </c>
      <c r="BD193" s="5" t="n">
        <v>0.132</v>
      </c>
      <c r="BE193" s="5" t="n">
        <v>-0.369</v>
      </c>
      <c r="BF193" s="5" t="n">
        <v>0.144</v>
      </c>
      <c r="BG193" s="5" t="n">
        <v>0</v>
      </c>
      <c r="BH193" s="5" t="n">
        <v>0</v>
      </c>
      <c r="BI193" s="5" t="n">
        <v>0.591</v>
      </c>
      <c r="BJ193" s="5" t="n">
        <v>0.132</v>
      </c>
      <c r="BK193" s="5" t="n">
        <v>-0.144</v>
      </c>
      <c r="BL193" s="5" t="n">
        <v>0.528</v>
      </c>
      <c r="BM193" s="5" t="n">
        <v>0.18</v>
      </c>
      <c r="BN193" s="5" t="n">
        <v>0</v>
      </c>
      <c r="BO193" s="5" t="n">
        <v>0</v>
      </c>
      <c r="BP193" s="5" t="n">
        <v>0</v>
      </c>
      <c r="BQ193" s="5" t="n">
        <v>0.045</v>
      </c>
      <c r="BR193" s="5" t="n">
        <v>0</v>
      </c>
      <c r="BS193" s="5" t="n">
        <v>1</v>
      </c>
      <c r="BT193" s="5" t="n">
        <v>0</v>
      </c>
      <c r="BU193" s="5" t="n">
        <v>0</v>
      </c>
      <c r="BV193" s="5" t="n">
        <v>0.128</v>
      </c>
      <c r="BW193" s="5" t="n">
        <v>0.18</v>
      </c>
      <c r="BX193" s="5" t="n">
        <v>1</v>
      </c>
      <c r="BY193" s="5" t="n">
        <v>13.646</v>
      </c>
      <c r="BZ193" s="5" t="n">
        <v>0</v>
      </c>
      <c r="CA193" s="5" t="n">
        <v>13.646</v>
      </c>
      <c r="CB193" s="5" t="n">
        <v>0</v>
      </c>
      <c r="CC193" s="5" t="n">
        <v>82.58799999999999</v>
      </c>
      <c r="CD193" s="5" t="n">
        <v>7.95</v>
      </c>
      <c r="CE193" s="5" t="n">
        <v>-4.809</v>
      </c>
      <c r="CF193" s="5" t="n">
        <v>91.779</v>
      </c>
      <c r="CG193" s="5" t="n">
        <v>0.18</v>
      </c>
      <c r="CH193" s="5" t="n">
        <v>1</v>
      </c>
      <c r="CI193" s="5" t="n">
        <v>0</v>
      </c>
      <c r="CJ193" s="5" t="n">
        <v>0</v>
      </c>
      <c r="CK193" s="5" t="n">
        <v>0</v>
      </c>
      <c r="CL193" s="5" t="n">
        <v>0</v>
      </c>
      <c r="CM193" s="5" t="n">
        <v>0</v>
      </c>
      <c r="CN193" s="5" t="n">
        <v>0</v>
      </c>
      <c r="CO193" s="5" t="n">
        <v>0.051</v>
      </c>
      <c r="CP193" s="5" t="n">
        <v>0</v>
      </c>
      <c r="CQ193" s="5" t="n">
        <v>1.387</v>
      </c>
      <c r="CR193" s="5" t="n">
        <v>1</v>
      </c>
      <c r="CS193" s="5" t="n">
        <v>6.712</v>
      </c>
      <c r="CT193" s="5" t="n">
        <v>4.251</v>
      </c>
      <c r="CU193" s="5" t="n">
        <v>10.168</v>
      </c>
    </row>
    <row r="194">
      <c r="A194" s="5" t="inlineStr">
        <is>
          <t>CRI2021</t>
        </is>
      </c>
      <c r="B194" s="5" t="inlineStr">
        <is>
          <t>CRI</t>
        </is>
      </c>
      <c r="C194" s="5" t="inlineStr">
        <is>
          <t>CRI</t>
        </is>
      </c>
      <c r="D194" s="5" t="inlineStr">
        <is>
          <t>Costa Rica</t>
        </is>
      </c>
      <c r="E194" s="5" t="n">
        <v>2021</v>
      </c>
      <c r="F194" s="5" t="n">
        <v>0.13</v>
      </c>
      <c r="G194" s="5" t="n">
        <v>5.897</v>
      </c>
      <c r="H194" s="5" t="n">
        <v>1.143</v>
      </c>
      <c r="I194" s="5" t="n">
        <v>0</v>
      </c>
      <c r="J194" s="5" t="n">
        <v>5.897</v>
      </c>
      <c r="K194" s="5" t="n">
        <v>0</v>
      </c>
      <c r="L194" s="5" t="n">
        <v>1</v>
      </c>
      <c r="M194" s="5" t="n">
        <v>7.964</v>
      </c>
      <c r="N194" s="5" t="n">
        <v>3.43</v>
      </c>
      <c r="O194" s="5" t="n">
        <v>0</v>
      </c>
      <c r="P194" s="5" t="n">
        <v>7.964</v>
      </c>
      <c r="Q194" s="5" t="n">
        <v>0</v>
      </c>
      <c r="R194" s="5" t="n">
        <v>1</v>
      </c>
      <c r="S194" s="5" t="n">
        <v>11.613</v>
      </c>
      <c r="T194" s="5" t="n">
        <v>6.86</v>
      </c>
      <c r="U194" s="5" t="n">
        <v>0</v>
      </c>
      <c r="V194" s="5" t="n">
        <v>13.123</v>
      </c>
      <c r="W194" s="5" t="n">
        <v>0.13</v>
      </c>
      <c r="X194" s="5" t="n">
        <v>1</v>
      </c>
      <c r="Y194" s="5" t="n">
        <v>3.738</v>
      </c>
      <c r="Z194" s="5" t="n">
        <v>0.503</v>
      </c>
      <c r="AA194" s="5" t="n">
        <v>0</v>
      </c>
      <c r="AB194" s="5" t="n">
        <v>3.738</v>
      </c>
      <c r="AC194" s="5" t="n">
        <v>0</v>
      </c>
      <c r="AD194" s="5" t="n">
        <v>1</v>
      </c>
      <c r="AE194" s="5" t="n">
        <v>4.881</v>
      </c>
      <c r="AF194" s="5" t="n">
        <v>1.143</v>
      </c>
      <c r="AG194" s="5" t="n">
        <v>0</v>
      </c>
      <c r="AH194" s="5" t="n">
        <v>4.881</v>
      </c>
      <c r="AI194" s="5" t="n">
        <v>0</v>
      </c>
      <c r="AJ194" s="5" t="n">
        <v>1</v>
      </c>
      <c r="AK194" s="5" t="n">
        <v>11.741</v>
      </c>
      <c r="AL194" s="5" t="n">
        <v>6.309</v>
      </c>
      <c r="AM194" s="5" t="n">
        <v>0</v>
      </c>
      <c r="AN194" s="5" t="n">
        <v>13.267</v>
      </c>
      <c r="AO194" s="5" t="n">
        <v>0.13</v>
      </c>
      <c r="AP194" s="5" t="n">
        <v>1</v>
      </c>
      <c r="AQ194" s="5" t="n">
        <v>0.649</v>
      </c>
      <c r="AR194" s="5" t="n">
        <v>0.114</v>
      </c>
      <c r="AS194" s="5" t="n">
        <v>0.321</v>
      </c>
      <c r="AT194" s="5" t="n">
        <v>1.096</v>
      </c>
      <c r="AU194" s="5" t="n">
        <v>0.13</v>
      </c>
      <c r="AV194" s="5" t="n">
        <v>1</v>
      </c>
      <c r="AW194" s="5" t="n">
        <v>0.577</v>
      </c>
      <c r="AX194" s="5" t="n">
        <v>0.114</v>
      </c>
      <c r="AY194" s="5" t="n">
        <v>0.236</v>
      </c>
      <c r="AZ194" s="5" t="n">
        <v>0.919</v>
      </c>
      <c r="BA194" s="5" t="n">
        <v>0.13</v>
      </c>
      <c r="BB194" s="5" t="n">
        <v>1</v>
      </c>
      <c r="BC194" s="5" t="n">
        <v>0.458</v>
      </c>
      <c r="BD194" s="5" t="n">
        <v>0.114</v>
      </c>
      <c r="BE194" s="5" t="n">
        <v>-0.199</v>
      </c>
      <c r="BF194" s="5" t="n">
        <v>0.293</v>
      </c>
      <c r="BG194" s="5" t="n">
        <v>0</v>
      </c>
      <c r="BH194" s="5" t="n">
        <v>0</v>
      </c>
      <c r="BI194" s="5" t="n">
        <v>0.491</v>
      </c>
      <c r="BJ194" s="5" t="n">
        <v>0.114</v>
      </c>
      <c r="BK194" s="5" t="n">
        <v>0.127</v>
      </c>
      <c r="BL194" s="5" t="n">
        <v>0.698</v>
      </c>
      <c r="BM194" s="5" t="n">
        <v>0.13</v>
      </c>
      <c r="BN194" s="5" t="n">
        <v>1</v>
      </c>
      <c r="BO194" s="5" t="n">
        <v>0</v>
      </c>
      <c r="BP194" s="5" t="n">
        <v>0.002</v>
      </c>
      <c r="BQ194" s="5" t="n">
        <v>0.171</v>
      </c>
      <c r="BR194" s="5" t="n">
        <v>0</v>
      </c>
      <c r="BS194" s="5" t="n">
        <v>1</v>
      </c>
      <c r="BT194" s="5" t="n">
        <v>0</v>
      </c>
      <c r="BU194" s="5" t="n">
        <v>0.016</v>
      </c>
      <c r="BV194" s="5" t="n">
        <v>0.152</v>
      </c>
      <c r="BW194" s="5" t="n">
        <v>0</v>
      </c>
      <c r="BX194" s="5" t="n">
        <v>0.833</v>
      </c>
      <c r="BY194" s="5" t="n">
        <v>11.787</v>
      </c>
      <c r="BZ194" s="5" t="n">
        <v>0</v>
      </c>
      <c r="CA194" s="5" t="n">
        <v>11.787</v>
      </c>
      <c r="CB194" s="5" t="n">
        <v>0</v>
      </c>
      <c r="CC194" s="5" t="n">
        <v>78.125</v>
      </c>
      <c r="CD194" s="5" t="n">
        <v>7.95</v>
      </c>
      <c r="CE194" s="5" t="n">
        <v>-11.373</v>
      </c>
      <c r="CF194" s="5" t="n">
        <v>75.43000000000001</v>
      </c>
      <c r="CG194" s="5" t="n">
        <v>0.13</v>
      </c>
      <c r="CH194" s="5" t="n">
        <v>1</v>
      </c>
      <c r="CI194" s="5" t="n">
        <v>0</v>
      </c>
      <c r="CJ194" s="5" t="n">
        <v>0</v>
      </c>
      <c r="CK194" s="5" t="n">
        <v>0</v>
      </c>
      <c r="CL194" s="5" t="n">
        <v>0</v>
      </c>
      <c r="CM194" s="5" t="n">
        <v>0</v>
      </c>
      <c r="CN194" s="5" t="n">
        <v>0</v>
      </c>
      <c r="CO194" s="5" t="n">
        <v>0.053</v>
      </c>
      <c r="CP194" s="5" t="n">
        <v>0</v>
      </c>
      <c r="CQ194" s="5" t="n">
        <v>1.198</v>
      </c>
      <c r="CR194" s="5" t="n">
        <v>0</v>
      </c>
      <c r="CS194" s="5" t="n">
        <v>4.776</v>
      </c>
      <c r="CT194" s="5" t="n">
        <v>4.753</v>
      </c>
      <c r="CU194" s="5" t="n">
        <v>15.983</v>
      </c>
    </row>
    <row r="195">
      <c r="A195" s="5" t="inlineStr">
        <is>
          <t>CRI2022</t>
        </is>
      </c>
      <c r="B195" s="5" t="inlineStr">
        <is>
          <t>CRI</t>
        </is>
      </c>
      <c r="C195" s="5" t="inlineStr">
        <is>
          <t>CRI</t>
        </is>
      </c>
      <c r="D195" s="5" t="inlineStr">
        <is>
          <t>Costa Rica</t>
        </is>
      </c>
      <c r="E195" s="5" t="n">
        <v>2022</v>
      </c>
      <c r="F195" s="5" t="n">
        <v>0.13</v>
      </c>
      <c r="G195" s="5" t="n">
        <v>11.72</v>
      </c>
      <c r="H195" s="5" t="n">
        <v>1.235</v>
      </c>
      <c r="I195" s="5" t="n">
        <v>0</v>
      </c>
      <c r="J195" s="5" t="n">
        <v>11.72</v>
      </c>
      <c r="K195" s="5" t="n">
        <v>0</v>
      </c>
      <c r="L195" s="5" t="n">
        <v>1</v>
      </c>
      <c r="M195" s="5" t="n">
        <v>9.782999999999999</v>
      </c>
      <c r="N195" s="5" t="n">
        <v>3.704</v>
      </c>
      <c r="O195" s="5" t="n">
        <v>0</v>
      </c>
      <c r="P195" s="5" t="n">
        <v>9.782999999999999</v>
      </c>
      <c r="Q195" s="5" t="n">
        <v>0</v>
      </c>
      <c r="R195" s="5" t="n">
        <v>1</v>
      </c>
      <c r="S195" s="5" t="n">
        <v>17.893</v>
      </c>
      <c r="T195" s="5" t="n">
        <v>7.408</v>
      </c>
      <c r="U195" s="5" t="n">
        <v>0.172</v>
      </c>
      <c r="V195" s="5" t="n">
        <v>20.219</v>
      </c>
      <c r="W195" s="5" t="n">
        <v>0.13</v>
      </c>
      <c r="X195" s="5" t="n">
        <v>1</v>
      </c>
      <c r="Y195" s="5" t="n">
        <v>4.036</v>
      </c>
      <c r="Z195" s="5" t="n">
        <v>0.543</v>
      </c>
      <c r="AA195" s="5" t="n">
        <v>0</v>
      </c>
      <c r="AB195" s="5" t="n">
        <v>4.036</v>
      </c>
      <c r="AC195" s="5" t="n">
        <v>0</v>
      </c>
      <c r="AD195" s="5" t="n">
        <v>1</v>
      </c>
      <c r="AE195" s="5" t="n">
        <v>5.271</v>
      </c>
      <c r="AF195" s="5" t="n">
        <v>1.234</v>
      </c>
      <c r="AG195" s="5" t="n">
        <v>0</v>
      </c>
      <c r="AH195" s="5" t="n">
        <v>5.271</v>
      </c>
      <c r="AI195" s="5" t="n">
        <v>0</v>
      </c>
      <c r="AJ195" s="5" t="n">
        <v>1</v>
      </c>
      <c r="AK195" s="5" t="n">
        <v>12.679</v>
      </c>
      <c r="AL195" s="5" t="n">
        <v>6.813</v>
      </c>
      <c r="AM195" s="5" t="n">
        <v>0.122</v>
      </c>
      <c r="AN195" s="5" t="n">
        <v>14.327</v>
      </c>
      <c r="AO195" s="5" t="n">
        <v>0.13</v>
      </c>
      <c r="AP195" s="5" t="n">
        <v>1</v>
      </c>
      <c r="AQ195" s="5" t="n">
        <v>0.896</v>
      </c>
      <c r="AR195" s="5" t="n">
        <v>0.123</v>
      </c>
      <c r="AS195" s="5" t="n">
        <v>0.294</v>
      </c>
      <c r="AT195" s="5" t="n">
        <v>1.345</v>
      </c>
      <c r="AU195" s="5" t="n">
        <v>0.13</v>
      </c>
      <c r="AV195" s="5" t="n">
        <v>1</v>
      </c>
      <c r="AW195" s="5" t="n">
        <v>0.89</v>
      </c>
      <c r="AX195" s="5" t="n">
        <v>0.123</v>
      </c>
      <c r="AY195" s="5" t="n">
        <v>0.244</v>
      </c>
      <c r="AZ195" s="5" t="n">
        <v>1.281</v>
      </c>
      <c r="BA195" s="5" t="n">
        <v>0.13</v>
      </c>
      <c r="BB195" s="5" t="n">
        <v>1</v>
      </c>
      <c r="BC195" s="5" t="n">
        <v>0.62</v>
      </c>
      <c r="BD195" s="5" t="n">
        <v>0.123</v>
      </c>
      <c r="BE195" s="5" t="n">
        <v>-0.256</v>
      </c>
      <c r="BF195" s="5" t="n">
        <v>0.412</v>
      </c>
      <c r="BG195" s="5" t="n">
        <v>0</v>
      </c>
      <c r="BH195" s="5" t="n">
        <v>0</v>
      </c>
      <c r="BI195" s="5" t="n">
        <v>0.608</v>
      </c>
      <c r="BJ195" s="5" t="n">
        <v>0.123</v>
      </c>
      <c r="BK195" s="5" t="n">
        <v>0.382</v>
      </c>
      <c r="BL195" s="5" t="n">
        <v>1.119</v>
      </c>
      <c r="BM195" s="5" t="n">
        <v>0.13</v>
      </c>
      <c r="BN195" s="5" t="n">
        <v>1</v>
      </c>
      <c r="BO195" s="5" t="n">
        <v>0</v>
      </c>
      <c r="BP195" s="5" t="n">
        <v>0.005</v>
      </c>
      <c r="BQ195" s="5" t="n">
        <v>0.161</v>
      </c>
      <c r="BR195" s="5" t="n">
        <v>0</v>
      </c>
      <c r="BS195" s="5" t="n">
        <v>1</v>
      </c>
      <c r="BT195" s="5" t="n">
        <v>0</v>
      </c>
      <c r="BU195" s="5" t="n">
        <v>0.016</v>
      </c>
      <c r="BV195" s="5" t="n">
        <v>0.131</v>
      </c>
      <c r="BW195" s="5" t="n">
        <v>0</v>
      </c>
      <c r="BX195" s="5" t="n">
        <v>0.833</v>
      </c>
      <c r="BY195" s="5" t="n">
        <v>12.729</v>
      </c>
      <c r="BZ195" s="5" t="n">
        <v>0</v>
      </c>
      <c r="CA195" s="5" t="n">
        <v>12.729</v>
      </c>
      <c r="CB195" s="5" t="n">
        <v>0</v>
      </c>
      <c r="CC195" s="5" t="n">
        <v>97.90000000000001</v>
      </c>
      <c r="CD195" s="5" t="n">
        <v>7.95</v>
      </c>
      <c r="CE195" s="5" t="n">
        <v>4.575</v>
      </c>
      <c r="CF195" s="5" t="n">
        <v>115.797</v>
      </c>
      <c r="CG195" s="5" t="n">
        <v>0.13</v>
      </c>
      <c r="CH195" s="5" t="n">
        <v>1</v>
      </c>
      <c r="CI195" s="5" t="n">
        <v>0</v>
      </c>
      <c r="CJ195" s="5" t="n">
        <v>0</v>
      </c>
      <c r="CK195" s="5" t="n">
        <v>0</v>
      </c>
      <c r="CL195" s="5" t="n">
        <v>0</v>
      </c>
      <c r="CM195" s="5" t="n">
        <v>0</v>
      </c>
      <c r="CN195" s="5" t="n">
        <v>0</v>
      </c>
      <c r="CO195" s="5" t="n">
        <v>0.058</v>
      </c>
      <c r="CP195" s="5" t="n">
        <v>0</v>
      </c>
      <c r="CQ195" s="5" t="n">
        <v>1.294</v>
      </c>
      <c r="CR195" s="5" t="n">
        <v>0</v>
      </c>
      <c r="CS195" s="5" t="n">
        <v>5.158</v>
      </c>
      <c r="CT195" s="5" t="n">
        <v>10.485</v>
      </c>
      <c r="CU195" s="5" t="n">
        <v>29.494</v>
      </c>
    </row>
    <row r="196">
      <c r="A196" s="5" t="inlineStr">
        <is>
          <t>CRI2023</t>
        </is>
      </c>
      <c r="B196" s="5" t="inlineStr">
        <is>
          <t>CRI</t>
        </is>
      </c>
      <c r="C196" s="5" t="inlineStr">
        <is>
          <t>CRI</t>
        </is>
      </c>
      <c r="D196" s="5" t="inlineStr">
        <is>
          <t>Costa Rica</t>
        </is>
      </c>
      <c r="E196" s="5" t="n">
        <v>2023</v>
      </c>
      <c r="F196" s="5" t="n">
        <v>0.13</v>
      </c>
      <c r="G196" s="5" t="n">
        <v>6.147</v>
      </c>
      <c r="H196" s="5" t="n">
        <v>1.286</v>
      </c>
      <c r="I196" s="5" t="n">
        <v>0</v>
      </c>
      <c r="J196" s="5" t="n">
        <v>6.147</v>
      </c>
      <c r="K196" s="5" t="n">
        <v>0</v>
      </c>
      <c r="L196" s="5" t="n">
        <v>1</v>
      </c>
      <c r="M196" s="5" t="n">
        <v>7.886</v>
      </c>
      <c r="N196" s="5" t="n">
        <v>3.857</v>
      </c>
      <c r="O196" s="5" t="n">
        <v>0</v>
      </c>
      <c r="P196" s="5" t="n">
        <v>7.886</v>
      </c>
      <c r="Q196" s="5" t="n">
        <v>0</v>
      </c>
      <c r="R196" s="5" t="n">
        <v>1</v>
      </c>
      <c r="S196" s="5" t="n">
        <v>12.575</v>
      </c>
      <c r="T196" s="5" t="n">
        <v>7.714</v>
      </c>
      <c r="U196" s="5" t="n">
        <v>0.181</v>
      </c>
      <c r="V196" s="5" t="n">
        <v>14.21</v>
      </c>
      <c r="W196" s="5" t="n">
        <v>0.13</v>
      </c>
      <c r="X196" s="5" t="n">
        <v>1</v>
      </c>
      <c r="Y196" s="5" t="n">
        <v>3.731</v>
      </c>
      <c r="Z196" s="5" t="n">
        <v>0.502</v>
      </c>
      <c r="AA196" s="5" t="n">
        <v>0</v>
      </c>
      <c r="AB196" s="5" t="n">
        <v>3.731</v>
      </c>
      <c r="AC196" s="5" t="n">
        <v>0</v>
      </c>
      <c r="AD196" s="5" t="n">
        <v>1</v>
      </c>
      <c r="AE196" s="5" t="n">
        <v>5.016</v>
      </c>
      <c r="AF196" s="5" t="n">
        <v>1.175</v>
      </c>
      <c r="AG196" s="5" t="n">
        <v>0</v>
      </c>
      <c r="AH196" s="5" t="n">
        <v>5.016</v>
      </c>
      <c r="AI196" s="5" t="n">
        <v>0</v>
      </c>
      <c r="AJ196" s="5" t="n">
        <v>1</v>
      </c>
      <c r="AK196" s="5" t="n">
        <v>12.73</v>
      </c>
      <c r="AL196" s="5" t="n">
        <v>6.84</v>
      </c>
      <c r="AM196" s="5" t="n">
        <v>0.183</v>
      </c>
      <c r="AN196" s="5" t="n">
        <v>14.385</v>
      </c>
      <c r="AO196" s="5" t="n">
        <v>0.13</v>
      </c>
      <c r="AP196" s="5" t="n">
        <v>1</v>
      </c>
      <c r="AQ196" s="5" t="n">
        <v>0.791</v>
      </c>
      <c r="AR196" s="5" t="n">
        <v>0.129</v>
      </c>
      <c r="AS196" s="5" t="n">
        <v>0.391</v>
      </c>
      <c r="AT196" s="5" t="n">
        <v>1.336</v>
      </c>
      <c r="AU196" s="5" t="n">
        <v>0.13</v>
      </c>
      <c r="AV196" s="5" t="n">
        <v>1</v>
      </c>
      <c r="AW196" s="5" t="n">
        <v>0.618</v>
      </c>
      <c r="AX196" s="5" t="n">
        <v>0.129</v>
      </c>
      <c r="AY196" s="5" t="n">
        <v>0.457</v>
      </c>
      <c r="AZ196" s="5" t="n">
        <v>1.214</v>
      </c>
      <c r="BA196" s="5" t="n">
        <v>0.13</v>
      </c>
      <c r="BB196" s="5" t="n">
        <v>1</v>
      </c>
      <c r="BC196" s="5" t="n">
        <v>0.554</v>
      </c>
      <c r="BD196" s="5" t="n">
        <v>0.129</v>
      </c>
      <c r="BE196" s="5" t="n">
        <v>-0.195</v>
      </c>
      <c r="BF196" s="5" t="n">
        <v>0.406</v>
      </c>
      <c r="BG196" s="5" t="n">
        <v>0</v>
      </c>
      <c r="BH196" s="5" t="n">
        <v>0</v>
      </c>
      <c r="BI196" s="5" t="n">
        <v>0.5570000000000001</v>
      </c>
      <c r="BJ196" s="5" t="n">
        <v>0.129</v>
      </c>
      <c r="BK196" s="5" t="n">
        <v>0.392</v>
      </c>
      <c r="BL196" s="5" t="n">
        <v>1.073</v>
      </c>
      <c r="BM196" s="5" t="n">
        <v>0.13</v>
      </c>
      <c r="BN196" s="5" t="n">
        <v>1</v>
      </c>
      <c r="BO196" s="5" t="n">
        <v>0</v>
      </c>
      <c r="BP196" s="5" t="n">
        <v>0.01</v>
      </c>
      <c r="BQ196" s="5" t="n">
        <v>0.201</v>
      </c>
      <c r="BR196" s="5" t="n">
        <v>0</v>
      </c>
      <c r="BS196" s="5" t="n">
        <v>1</v>
      </c>
      <c r="BT196" s="5" t="n">
        <v>0</v>
      </c>
      <c r="BU196" s="5" t="n">
        <v>0.016</v>
      </c>
      <c r="BV196" s="5" t="n">
        <v>0.167</v>
      </c>
      <c r="BW196" s="5" t="n">
        <v>0</v>
      </c>
      <c r="BX196" s="5" t="n">
        <v>0.833</v>
      </c>
      <c r="BY196" s="5" t="n">
        <v>13.254</v>
      </c>
      <c r="BZ196" s="5" t="n">
        <v>0</v>
      </c>
      <c r="CA196" s="5" t="n">
        <v>13.254</v>
      </c>
      <c r="CB196" s="5" t="n">
        <v>0</v>
      </c>
      <c r="CC196" s="5" t="n">
        <v>83.248</v>
      </c>
      <c r="CD196" s="5" t="n">
        <v>7.95</v>
      </c>
      <c r="CE196" s="5" t="n">
        <v>-9.032999999999999</v>
      </c>
      <c r="CF196" s="5" t="n">
        <v>83.863</v>
      </c>
      <c r="CG196" s="5" t="n">
        <v>0.13</v>
      </c>
      <c r="CH196" s="5" t="n">
        <v>1</v>
      </c>
      <c r="CI196" s="5" t="n">
        <v>0</v>
      </c>
      <c r="CJ196" s="5" t="n">
        <v>0</v>
      </c>
      <c r="CK196" s="5" t="n">
        <v>0</v>
      </c>
      <c r="CL196" s="5" t="n">
        <v>0</v>
      </c>
      <c r="CM196" s="5" t="n">
        <v>0</v>
      </c>
      <c r="CN196" s="5" t="n">
        <v>0</v>
      </c>
      <c r="CO196" s="5" t="n">
        <v>0.062</v>
      </c>
      <c r="CP196" s="5" t="n">
        <v>0</v>
      </c>
      <c r="CQ196" s="5" t="n">
        <v>1.348</v>
      </c>
      <c r="CR196" s="5" t="n">
        <v>0</v>
      </c>
      <c r="CS196" s="5" t="n">
        <v>5.37</v>
      </c>
      <c r="CT196" s="5" t="n">
        <v>4.861</v>
      </c>
      <c r="CU196" s="5" t="n">
        <v>11.192</v>
      </c>
    </row>
    <row r="197">
      <c r="A197" s="5" t="inlineStr">
        <is>
          <t>CRI2024</t>
        </is>
      </c>
      <c r="B197" s="5" t="inlineStr">
        <is>
          <t>CRI</t>
        </is>
      </c>
      <c r="C197" s="5" t="inlineStr">
        <is>
          <t>CRI</t>
        </is>
      </c>
      <c r="D197" s="5" t="inlineStr">
        <is>
          <t>Costa Rica</t>
        </is>
      </c>
      <c r="E197" s="5" t="n">
        <v>2024</v>
      </c>
      <c r="F197" s="5" t="n">
        <v>0.13</v>
      </c>
      <c r="G197" s="5" t="n">
        <v>5.575</v>
      </c>
      <c r="H197" s="5" t="n">
        <v>1.324</v>
      </c>
      <c r="I197" s="5" t="n">
        <v>0</v>
      </c>
      <c r="J197" s="5" t="n">
        <v>5.575</v>
      </c>
      <c r="K197" s="5" t="n">
        <v>0</v>
      </c>
      <c r="L197" s="5" t="n">
        <v>1</v>
      </c>
      <c r="M197" s="5" t="n">
        <v>7.124</v>
      </c>
      <c r="N197" s="5" t="n">
        <v>3.971</v>
      </c>
      <c r="O197" s="5" t="n">
        <v>0</v>
      </c>
      <c r="P197" s="5" t="n">
        <v>7.124</v>
      </c>
      <c r="Q197" s="5" t="n">
        <v>0</v>
      </c>
      <c r="R197" s="5" t="n">
        <v>1</v>
      </c>
      <c r="S197" s="5" t="n">
        <v>12.193</v>
      </c>
      <c r="T197" s="5" t="n">
        <v>7.942</v>
      </c>
      <c r="U197" s="5" t="n">
        <v>0.216</v>
      </c>
      <c r="V197" s="5" t="n">
        <v>13.778</v>
      </c>
      <c r="W197" s="5" t="n">
        <v>0.13</v>
      </c>
      <c r="X197" s="5" t="n">
        <v>1</v>
      </c>
      <c r="Y197" s="5" t="n">
        <v>3.841</v>
      </c>
      <c r="Z197" s="5" t="n">
        <v>0.517</v>
      </c>
      <c r="AA197" s="5" t="n">
        <v>0</v>
      </c>
      <c r="AB197" s="5" t="n">
        <v>3.841</v>
      </c>
      <c r="AC197" s="5" t="n">
        <v>0</v>
      </c>
      <c r="AD197" s="5" t="n">
        <v>1</v>
      </c>
      <c r="AE197" s="5" t="n">
        <v>5.164</v>
      </c>
      <c r="AF197" s="5" t="n">
        <v>1.209</v>
      </c>
      <c r="AG197" s="5" t="n">
        <v>0</v>
      </c>
      <c r="AH197" s="5" t="n">
        <v>5.164</v>
      </c>
      <c r="AI197" s="5" t="n">
        <v>0</v>
      </c>
      <c r="AJ197" s="5" t="n">
        <v>1</v>
      </c>
      <c r="AK197" s="5" t="n">
        <v>13.106</v>
      </c>
      <c r="AL197" s="5" t="n">
        <v>7.042</v>
      </c>
      <c r="AM197" s="5" t="n">
        <v>0.232</v>
      </c>
      <c r="AN197" s="5" t="n">
        <v>14.81</v>
      </c>
      <c r="AO197" s="5" t="n">
        <v>0.13</v>
      </c>
      <c r="AP197" s="5" t="n">
        <v>1</v>
      </c>
      <c r="AQ197" s="5" t="n">
        <v>0.756</v>
      </c>
      <c r="AR197" s="5" t="n">
        <v>0.132</v>
      </c>
      <c r="AS197" s="5" t="n">
        <v>0.412</v>
      </c>
      <c r="AT197" s="5" t="n">
        <v>1.32</v>
      </c>
      <c r="AU197" s="5" t="n">
        <v>0.13</v>
      </c>
      <c r="AV197" s="5" t="n">
        <v>1</v>
      </c>
      <c r="AW197" s="5" t="n">
        <v>0.655</v>
      </c>
      <c r="AX197" s="5" t="n">
        <v>0.132</v>
      </c>
      <c r="AY197" s="5" t="n">
        <v>0.518</v>
      </c>
      <c r="AZ197" s="5" t="n">
        <v>1.325</v>
      </c>
      <c r="BA197" s="5" t="n">
        <v>0.13</v>
      </c>
      <c r="BB197" s="5" t="n">
        <v>1</v>
      </c>
      <c r="BC197" s="5" t="n">
        <v>0.534</v>
      </c>
      <c r="BD197" s="5" t="n">
        <v>0.132</v>
      </c>
      <c r="BE197" s="5" t="n">
        <v>-0.233</v>
      </c>
      <c r="BF197" s="5" t="n">
        <v>0.34</v>
      </c>
      <c r="BG197" s="5" t="n">
        <v>0</v>
      </c>
      <c r="BH197" s="5" t="n">
        <v>0</v>
      </c>
      <c r="BI197" s="5" t="n">
        <v>0.5679999999999999</v>
      </c>
      <c r="BJ197" s="5" t="n">
        <v>0.132</v>
      </c>
      <c r="BK197" s="5" t="n">
        <v>0.294</v>
      </c>
      <c r="BL197" s="5" t="n">
        <v>0.974</v>
      </c>
      <c r="BM197" s="5" t="n">
        <v>0.13</v>
      </c>
      <c r="BN197" s="5" t="n">
        <v>1</v>
      </c>
      <c r="BO197" s="5" t="n">
        <v>0</v>
      </c>
      <c r="BP197" s="5" t="n">
        <v>0.014</v>
      </c>
      <c r="BQ197" s="5" t="n">
        <v>0.232</v>
      </c>
      <c r="BR197" s="5" t="n">
        <v>0</v>
      </c>
      <c r="BS197" s="5" t="n">
        <v>1</v>
      </c>
      <c r="BT197" s="5" t="n">
        <v>0</v>
      </c>
      <c r="BU197" s="5" t="n">
        <v>0.016</v>
      </c>
      <c r="BV197" s="5" t="n">
        <v>0.191</v>
      </c>
      <c r="BW197" s="5" t="n">
        <v>0</v>
      </c>
      <c r="BX197" s="5" t="n">
        <v>0.833</v>
      </c>
      <c r="BY197" s="5" t="n">
        <v>13.646</v>
      </c>
      <c r="BZ197" s="5" t="n">
        <v>0</v>
      </c>
      <c r="CA197" s="5" t="n">
        <v>13.646</v>
      </c>
      <c r="CB197" s="5" t="n">
        <v>0</v>
      </c>
      <c r="CC197" s="5" t="n">
        <v>82.58799999999999</v>
      </c>
      <c r="CD197" s="5" t="n">
        <v>7.95</v>
      </c>
      <c r="CE197" s="5" t="n">
        <v>-7.326</v>
      </c>
      <c r="CF197" s="5" t="n">
        <v>85.04600000000001</v>
      </c>
      <c r="CG197" s="5" t="n">
        <v>0.13</v>
      </c>
      <c r="CH197" s="5" t="n">
        <v>1</v>
      </c>
      <c r="CI197" s="5" t="n">
        <v>0</v>
      </c>
      <c r="CJ197" s="5" t="n">
        <v>0</v>
      </c>
      <c r="CK197" s="5" t="n">
        <v>0</v>
      </c>
      <c r="CL197" s="5" t="n">
        <v>0</v>
      </c>
      <c r="CM197" s="5" t="n">
        <v>0</v>
      </c>
      <c r="CN197" s="5" t="n">
        <v>0</v>
      </c>
      <c r="CO197" s="5" t="n">
        <v>0.065</v>
      </c>
      <c r="CP197" s="5" t="n">
        <v>0</v>
      </c>
      <c r="CQ197" s="5" t="n">
        <v>1.387</v>
      </c>
      <c r="CR197" s="5" t="n">
        <v>0</v>
      </c>
      <c r="CS197" s="5" t="n">
        <v>5.529</v>
      </c>
      <c r="CT197" s="5" t="n">
        <v>4.251</v>
      </c>
      <c r="CU197" s="5" t="n">
        <v>10.123</v>
      </c>
    </row>
    <row r="198">
      <c r="A198" s="5" t="inlineStr">
        <is>
          <t>HRV2021</t>
        </is>
      </c>
      <c r="B198" s="5" t="inlineStr">
        <is>
          <t>HRV</t>
        </is>
      </c>
      <c r="C198" s="5" t="inlineStr">
        <is>
          <t>HRV</t>
        </is>
      </c>
      <c r="D198" s="5" t="inlineStr">
        <is>
          <t>Croatia</t>
        </is>
      </c>
      <c r="E198" s="5" t="n">
        <v>2021</v>
      </c>
      <c r="F198" s="5" t="n">
        <v>0.25</v>
      </c>
      <c r="G198" s="5" t="n">
        <v>7.431</v>
      </c>
      <c r="H198" s="5" t="n">
        <v>1.626</v>
      </c>
      <c r="I198" s="5" t="n">
        <v>0.731</v>
      </c>
      <c r="J198" s="5" t="n">
        <v>8.163</v>
      </c>
      <c r="K198" s="5" t="n">
        <v>0</v>
      </c>
      <c r="L198" s="5" t="n">
        <v>1</v>
      </c>
      <c r="M198" s="5" t="n">
        <v>10.953</v>
      </c>
      <c r="N198" s="5" t="n">
        <v>4.964</v>
      </c>
      <c r="O198" s="5" t="n">
        <v>0.759</v>
      </c>
      <c r="P198" s="5" t="n">
        <v>11.711</v>
      </c>
      <c r="Q198" s="5" t="n">
        <v>0</v>
      </c>
      <c r="R198" s="5" t="n">
        <v>1</v>
      </c>
      <c r="S198" s="5" t="n">
        <v>9.023</v>
      </c>
      <c r="T198" s="5" t="n">
        <v>5.591</v>
      </c>
      <c r="U198" s="5" t="n">
        <v>0.335</v>
      </c>
      <c r="V198" s="5" t="n">
        <v>11.563</v>
      </c>
      <c r="W198" s="5" t="n">
        <v>0.236</v>
      </c>
      <c r="X198" s="5" t="n">
        <v>1</v>
      </c>
      <c r="Y198" s="5" t="n">
        <v>13.603</v>
      </c>
      <c r="Z198" s="5" t="n">
        <v>1.503</v>
      </c>
      <c r="AA198" s="5" t="n">
        <v>-2.069</v>
      </c>
      <c r="AB198" s="5" t="n">
        <v>11.533</v>
      </c>
      <c r="AC198" s="5" t="n">
        <v>0</v>
      </c>
      <c r="AD198" s="5" t="n">
        <v>1</v>
      </c>
      <c r="AE198" s="5" t="n">
        <v>13.559</v>
      </c>
      <c r="AF198" s="5" t="n">
        <v>2.668</v>
      </c>
      <c r="AG198" s="5" t="n">
        <v>-2.026</v>
      </c>
      <c r="AH198" s="5" t="n">
        <v>11.533</v>
      </c>
      <c r="AI198" s="5" t="n">
        <v>0</v>
      </c>
      <c r="AJ198" s="5" t="n">
        <v>1</v>
      </c>
      <c r="AK198" s="5" t="n">
        <v>16.803</v>
      </c>
      <c r="AL198" s="5" t="n">
        <v>8.247</v>
      </c>
      <c r="AM198" s="5" t="n">
        <v>-6.658</v>
      </c>
      <c r="AN198" s="5" t="n">
        <v>12.681</v>
      </c>
      <c r="AO198" s="5" t="n">
        <v>0</v>
      </c>
      <c r="AP198" s="5" t="n">
        <v>0</v>
      </c>
      <c r="AQ198" s="5" t="n">
        <v>0.619</v>
      </c>
      <c r="AR198" s="5" t="n">
        <v>0.114</v>
      </c>
      <c r="AS198" s="5" t="n">
        <v>0.708</v>
      </c>
      <c r="AT198" s="5" t="n">
        <v>1.659</v>
      </c>
      <c r="AU198" s="5" t="n">
        <v>0.25</v>
      </c>
      <c r="AV198" s="5" t="n">
        <v>1</v>
      </c>
      <c r="AW198" s="5" t="n">
        <v>0.599</v>
      </c>
      <c r="AX198" s="5" t="n">
        <v>0.114</v>
      </c>
      <c r="AY198" s="5" t="n">
        <v>0.6899999999999999</v>
      </c>
      <c r="AZ198" s="5" t="n">
        <v>1.611</v>
      </c>
      <c r="BA198" s="5" t="n">
        <v>0.25</v>
      </c>
      <c r="BB198" s="5" t="n">
        <v>1</v>
      </c>
      <c r="BC198" s="5" t="n">
        <v>0.439</v>
      </c>
      <c r="BD198" s="5" t="n">
        <v>0.114</v>
      </c>
      <c r="BE198" s="5" t="n">
        <v>0.22</v>
      </c>
      <c r="BF198" s="5" t="n">
        <v>0.824</v>
      </c>
      <c r="BG198" s="5" t="n">
        <v>0.25</v>
      </c>
      <c r="BH198" s="5" t="n">
        <v>1</v>
      </c>
      <c r="BI198" s="5" t="n">
        <v>0.505</v>
      </c>
      <c r="BJ198" s="5" t="n">
        <v>0.114</v>
      </c>
      <c r="BK198" s="5" t="n">
        <v>0.124</v>
      </c>
      <c r="BL198" s="5" t="n">
        <v>0.785</v>
      </c>
      <c r="BM198" s="5" t="n">
        <v>0.25</v>
      </c>
      <c r="BN198" s="5" t="n">
        <v>1</v>
      </c>
      <c r="BO198" s="5" t="n">
        <v>0</v>
      </c>
      <c r="BP198" s="5" t="n">
        <v>0.012</v>
      </c>
      <c r="BQ198" s="5" t="n">
        <v>0.102</v>
      </c>
      <c r="BR198" s="5" t="n">
        <v>0</v>
      </c>
      <c r="BS198" s="5" t="n">
        <v>1</v>
      </c>
      <c r="BT198" s="5" t="n">
        <v>0</v>
      </c>
      <c r="BU198" s="5" t="n">
        <v>0.016</v>
      </c>
      <c r="BV198" s="5" t="n">
        <v>0.154</v>
      </c>
      <c r="BW198" s="5" t="n">
        <v>0.13</v>
      </c>
      <c r="BX198" s="5" t="n">
        <v>0.5</v>
      </c>
      <c r="BY198" s="5" t="n">
        <v>11.787</v>
      </c>
      <c r="BZ198" s="5" t="n">
        <v>0</v>
      </c>
      <c r="CA198" s="5" t="n">
        <v>11.787</v>
      </c>
      <c r="CB198" s="5" t="n">
        <v>0</v>
      </c>
      <c r="CC198" s="5" t="n">
        <v>78.125</v>
      </c>
      <c r="CD198" s="5" t="n">
        <v>7.95</v>
      </c>
      <c r="CE198" s="5" t="n">
        <v>24.804</v>
      </c>
      <c r="CF198" s="5" t="n">
        <v>128.661</v>
      </c>
      <c r="CG198" s="5" t="n">
        <v>0.25</v>
      </c>
      <c r="CH198" s="5" t="n">
        <v>1</v>
      </c>
      <c r="CI198" s="5" t="n">
        <v>0</v>
      </c>
      <c r="CJ198" s="5" t="n">
        <v>0</v>
      </c>
      <c r="CK198" s="5" t="n">
        <v>0</v>
      </c>
      <c r="CL198" s="5" t="n">
        <v>0</v>
      </c>
      <c r="CM198" s="5" t="n">
        <v>0.007</v>
      </c>
      <c r="CN198" s="5" t="n">
        <v>0.109</v>
      </c>
      <c r="CO198" s="5" t="n">
        <v>0.201</v>
      </c>
      <c r="CP198" s="5" t="n">
        <v>0</v>
      </c>
      <c r="CQ198" s="5" t="n">
        <v>1.198</v>
      </c>
      <c r="CR198" s="5" t="n">
        <v>0</v>
      </c>
      <c r="CS198" s="5" t="n">
        <v>3.929</v>
      </c>
      <c r="CT198" s="5" t="n">
        <v>5.61</v>
      </c>
      <c r="CU198" s="5" t="n">
        <v>8.303000000000001</v>
      </c>
    </row>
    <row r="199">
      <c r="A199" s="5" t="inlineStr">
        <is>
          <t>HRV2022</t>
        </is>
      </c>
      <c r="B199" s="5" t="inlineStr">
        <is>
          <t>HRV</t>
        </is>
      </c>
      <c r="C199" s="5" t="inlineStr">
        <is>
          <t>HRV</t>
        </is>
      </c>
      <c r="D199" s="5" t="inlineStr">
        <is>
          <t>Croatia</t>
        </is>
      </c>
      <c r="E199" s="5" t="n">
        <v>2022</v>
      </c>
      <c r="F199" s="5" t="n">
        <v>0.25</v>
      </c>
      <c r="G199" s="5" t="n">
        <v>15.227</v>
      </c>
      <c r="H199" s="5" t="n">
        <v>2.365</v>
      </c>
      <c r="I199" s="5" t="n">
        <v>8.161</v>
      </c>
      <c r="J199" s="5" t="n">
        <v>23.388</v>
      </c>
      <c r="K199" s="5" t="n">
        <v>0</v>
      </c>
      <c r="L199" s="5" t="n">
        <v>1</v>
      </c>
      <c r="M199" s="5" t="n">
        <v>12.771</v>
      </c>
      <c r="N199" s="5" t="n">
        <v>5.274</v>
      </c>
      <c r="O199" s="5" t="n">
        <v>8.465999999999999</v>
      </c>
      <c r="P199" s="5" t="n">
        <v>21.237</v>
      </c>
      <c r="Q199" s="5" t="n">
        <v>0</v>
      </c>
      <c r="R199" s="5" t="n">
        <v>1</v>
      </c>
      <c r="S199" s="5" t="n">
        <v>17.275</v>
      </c>
      <c r="T199" s="5" t="n">
        <v>8.461</v>
      </c>
      <c r="U199" s="5" t="n">
        <v>0.336</v>
      </c>
      <c r="V199" s="5" t="n">
        <v>21.387</v>
      </c>
      <c r="W199" s="5" t="n">
        <v>0.236</v>
      </c>
      <c r="X199" s="5" t="n">
        <v>1</v>
      </c>
      <c r="Y199" s="5" t="n">
        <v>35.731</v>
      </c>
      <c r="Z199" s="5" t="n">
        <v>3.748</v>
      </c>
      <c r="AA199" s="5" t="n">
        <v>-10.721</v>
      </c>
      <c r="AB199" s="5" t="n">
        <v>25.009</v>
      </c>
      <c r="AC199" s="5" t="n">
        <v>0</v>
      </c>
      <c r="AD199" s="5" t="n">
        <v>1</v>
      </c>
      <c r="AE199" s="5" t="n">
        <v>35.778</v>
      </c>
      <c r="AF199" s="5" t="n">
        <v>6.633</v>
      </c>
      <c r="AG199" s="5" t="n">
        <v>-10.769</v>
      </c>
      <c r="AH199" s="5" t="n">
        <v>25.009</v>
      </c>
      <c r="AI199" s="5" t="n">
        <v>0</v>
      </c>
      <c r="AJ199" s="5" t="n">
        <v>1</v>
      </c>
      <c r="AK199" s="5" t="n">
        <v>39.571</v>
      </c>
      <c r="AL199" s="5" t="n">
        <v>18.897</v>
      </c>
      <c r="AM199" s="5" t="n">
        <v>-27.556</v>
      </c>
      <c r="AN199" s="5" t="n">
        <v>12.615</v>
      </c>
      <c r="AO199" s="5" t="n">
        <v>0</v>
      </c>
      <c r="AP199" s="5" t="n">
        <v>0</v>
      </c>
      <c r="AQ199" s="5" t="n">
        <v>0.861</v>
      </c>
      <c r="AR199" s="5" t="n">
        <v>0.123</v>
      </c>
      <c r="AS199" s="5" t="n">
        <v>0.495</v>
      </c>
      <c r="AT199" s="5" t="n">
        <v>1.696</v>
      </c>
      <c r="AU199" s="5" t="n">
        <v>0.25</v>
      </c>
      <c r="AV199" s="5" t="n">
        <v>1</v>
      </c>
      <c r="AW199" s="5" t="n">
        <v>0.986</v>
      </c>
      <c r="AX199" s="5" t="n">
        <v>0.123</v>
      </c>
      <c r="AY199" s="5" t="n">
        <v>0.504</v>
      </c>
      <c r="AZ199" s="5" t="n">
        <v>1.862</v>
      </c>
      <c r="BA199" s="5" t="n">
        <v>0.25</v>
      </c>
      <c r="BB199" s="5" t="n">
        <v>1</v>
      </c>
      <c r="BC199" s="5" t="n">
        <v>0.598</v>
      </c>
      <c r="BD199" s="5" t="n">
        <v>0.123</v>
      </c>
      <c r="BE199" s="5" t="n">
        <v>0.198</v>
      </c>
      <c r="BF199" s="5" t="n">
        <v>0.995</v>
      </c>
      <c r="BG199" s="5" t="n">
        <v>0.25</v>
      </c>
      <c r="BH199" s="5" t="n">
        <v>1</v>
      </c>
      <c r="BI199" s="5" t="n">
        <v>0.612</v>
      </c>
      <c r="BJ199" s="5" t="n">
        <v>0.123</v>
      </c>
      <c r="BK199" s="5" t="n">
        <v>0.387</v>
      </c>
      <c r="BL199" s="5" t="n">
        <v>1.249</v>
      </c>
      <c r="BM199" s="5" t="n">
        <v>0.25</v>
      </c>
      <c r="BN199" s="5" t="n">
        <v>1</v>
      </c>
      <c r="BO199" s="5" t="n">
        <v>0</v>
      </c>
      <c r="BP199" s="5" t="n">
        <v>0.012</v>
      </c>
      <c r="BQ199" s="5" t="n">
        <v>0.157</v>
      </c>
      <c r="BR199" s="5" t="n">
        <v>0</v>
      </c>
      <c r="BS199" s="5" t="n">
        <v>1</v>
      </c>
      <c r="BT199" s="5" t="n">
        <v>0</v>
      </c>
      <c r="BU199" s="5" t="n">
        <v>0.015</v>
      </c>
      <c r="BV199" s="5" t="n">
        <v>0.149</v>
      </c>
      <c r="BW199" s="5" t="n">
        <v>0.13</v>
      </c>
      <c r="BX199" s="5" t="n">
        <v>0.5</v>
      </c>
      <c r="BY199" s="5" t="n">
        <v>12.729</v>
      </c>
      <c r="BZ199" s="5" t="n">
        <v>0</v>
      </c>
      <c r="CA199" s="5" t="n">
        <v>12.729</v>
      </c>
      <c r="CB199" s="5" t="n">
        <v>0</v>
      </c>
      <c r="CC199" s="5" t="n">
        <v>97.90000000000001</v>
      </c>
      <c r="CD199" s="5" t="n">
        <v>7.95</v>
      </c>
      <c r="CE199" s="5" t="n">
        <v>92.86799999999999</v>
      </c>
      <c r="CF199" s="5" t="n">
        <v>238.46</v>
      </c>
      <c r="CG199" s="5" t="n">
        <v>0.25</v>
      </c>
      <c r="CH199" s="5" t="n">
        <v>1</v>
      </c>
      <c r="CI199" s="5" t="n">
        <v>0</v>
      </c>
      <c r="CJ199" s="5" t="n">
        <v>0</v>
      </c>
      <c r="CK199" s="5" t="n">
        <v>0</v>
      </c>
      <c r="CL199" s="5" t="n">
        <v>0</v>
      </c>
      <c r="CM199" s="5" t="n">
        <v>0.008</v>
      </c>
      <c r="CN199" s="5" t="n">
        <v>0.113</v>
      </c>
      <c r="CO199" s="5" t="n">
        <v>0.211</v>
      </c>
      <c r="CP199" s="5" t="n">
        <v>0</v>
      </c>
      <c r="CQ199" s="5" t="n">
        <v>1.294</v>
      </c>
      <c r="CR199" s="5" t="n">
        <v>0</v>
      </c>
      <c r="CS199" s="5" t="n">
        <v>4.243</v>
      </c>
      <c r="CT199" s="5" t="n">
        <v>13.314</v>
      </c>
      <c r="CU199" s="5" t="n">
        <v>30.339</v>
      </c>
    </row>
    <row r="200">
      <c r="A200" s="5" t="inlineStr">
        <is>
          <t>HRV2023</t>
        </is>
      </c>
      <c r="B200" s="5" t="inlineStr">
        <is>
          <t>HRV</t>
        </is>
      </c>
      <c r="C200" s="5" t="inlineStr">
        <is>
          <t>HRV</t>
        </is>
      </c>
      <c r="D200" s="5" t="inlineStr">
        <is>
          <t>Croatia</t>
        </is>
      </c>
      <c r="E200" s="5" t="n">
        <v>2023</v>
      </c>
      <c r="F200" s="5" t="n">
        <v>0.25</v>
      </c>
      <c r="G200" s="5" t="n">
        <v>8.023</v>
      </c>
      <c r="H200" s="5" t="n">
        <v>1.827</v>
      </c>
      <c r="I200" s="5" t="n">
        <v>9.458</v>
      </c>
      <c r="J200" s="5" t="n">
        <v>17.481</v>
      </c>
      <c r="K200" s="5" t="n">
        <v>0</v>
      </c>
      <c r="L200" s="5" t="n">
        <v>1</v>
      </c>
      <c r="M200" s="5" t="n">
        <v>10.874</v>
      </c>
      <c r="N200" s="5" t="n">
        <v>5.393</v>
      </c>
      <c r="O200" s="5" t="n">
        <v>10.146</v>
      </c>
      <c r="P200" s="5" t="n">
        <v>21.021</v>
      </c>
      <c r="Q200" s="5" t="n">
        <v>0</v>
      </c>
      <c r="R200" s="5" t="n">
        <v>1</v>
      </c>
      <c r="S200" s="5" t="n">
        <v>10.326</v>
      </c>
      <c r="T200" s="5" t="n">
        <v>6.476</v>
      </c>
      <c r="U200" s="5" t="n">
        <v>0.613</v>
      </c>
      <c r="V200" s="5" t="n">
        <v>13.174</v>
      </c>
      <c r="W200" s="5" t="n">
        <v>0.236</v>
      </c>
      <c r="X200" s="5" t="n">
        <v>1</v>
      </c>
      <c r="Y200" s="5" t="n">
        <v>17.935</v>
      </c>
      <c r="Z200" s="5" t="n">
        <v>2.009</v>
      </c>
      <c r="AA200" s="5" t="n">
        <v>6.898</v>
      </c>
      <c r="AB200" s="5" t="n">
        <v>24.832</v>
      </c>
      <c r="AC200" s="5" t="n">
        <v>0</v>
      </c>
      <c r="AD200" s="5" t="n">
        <v>1</v>
      </c>
      <c r="AE200" s="5" t="n">
        <v>18.033</v>
      </c>
      <c r="AF200" s="5" t="n">
        <v>3.592</v>
      </c>
      <c r="AG200" s="5" t="n">
        <v>6.799</v>
      </c>
      <c r="AH200" s="5" t="n">
        <v>24.832</v>
      </c>
      <c r="AI200" s="5" t="n">
        <v>0</v>
      </c>
      <c r="AJ200" s="5" t="n">
        <v>1</v>
      </c>
      <c r="AK200" s="5" t="n">
        <v>22.131</v>
      </c>
      <c r="AL200" s="5" t="n">
        <v>10.963</v>
      </c>
      <c r="AM200" s="5" t="n">
        <v>-9.256</v>
      </c>
      <c r="AN200" s="5" t="n">
        <v>13.52</v>
      </c>
      <c r="AO200" s="5" t="n">
        <v>0</v>
      </c>
      <c r="AP200" s="5" t="n">
        <v>0</v>
      </c>
      <c r="AQ200" s="5" t="n">
        <v>0.76</v>
      </c>
      <c r="AR200" s="5" t="n">
        <v>0.129</v>
      </c>
      <c r="AS200" s="5" t="n">
        <v>0.302</v>
      </c>
      <c r="AT200" s="5" t="n">
        <v>1.328</v>
      </c>
      <c r="AU200" s="5" t="n">
        <v>0.25</v>
      </c>
      <c r="AV200" s="5" t="n">
        <v>1</v>
      </c>
      <c r="AW200" s="5" t="n">
        <v>0.8110000000000001</v>
      </c>
      <c r="AX200" s="5" t="n">
        <v>0.129</v>
      </c>
      <c r="AY200" s="5" t="n">
        <v>0.363</v>
      </c>
      <c r="AZ200" s="5" t="n">
        <v>1.468</v>
      </c>
      <c r="BA200" s="5" t="n">
        <v>0.25</v>
      </c>
      <c r="BB200" s="5" t="n">
        <v>1</v>
      </c>
      <c r="BC200" s="5" t="n">
        <v>0.535</v>
      </c>
      <c r="BD200" s="5" t="n">
        <v>0.129</v>
      </c>
      <c r="BE200" s="5" t="n">
        <v>0.231</v>
      </c>
      <c r="BF200" s="5" t="n">
        <v>0.957</v>
      </c>
      <c r="BG200" s="5" t="n">
        <v>0.25</v>
      </c>
      <c r="BH200" s="5" t="n">
        <v>1</v>
      </c>
      <c r="BI200" s="5" t="n">
        <v>0.579</v>
      </c>
      <c r="BJ200" s="5" t="n">
        <v>0.129</v>
      </c>
      <c r="BK200" s="5" t="n">
        <v>0.283</v>
      </c>
      <c r="BL200" s="5" t="n">
        <v>1.078</v>
      </c>
      <c r="BM200" s="5" t="n">
        <v>0.25</v>
      </c>
      <c r="BN200" s="5" t="n">
        <v>1</v>
      </c>
      <c r="BO200" s="5" t="n">
        <v>0</v>
      </c>
      <c r="BP200" s="5" t="n">
        <v>0.014</v>
      </c>
      <c r="BQ200" s="5" t="n">
        <v>0.234</v>
      </c>
      <c r="BR200" s="5" t="n">
        <v>0</v>
      </c>
      <c r="BS200" s="5" t="n">
        <v>1</v>
      </c>
      <c r="BT200" s="5" t="n">
        <v>0</v>
      </c>
      <c r="BU200" s="5" t="n">
        <v>0.015</v>
      </c>
      <c r="BV200" s="5" t="n">
        <v>0.16</v>
      </c>
      <c r="BW200" s="5" t="n">
        <v>0.13</v>
      </c>
      <c r="BX200" s="5" t="n">
        <v>0.5</v>
      </c>
      <c r="BY200" s="5" t="n">
        <v>13.254</v>
      </c>
      <c r="BZ200" s="5" t="n">
        <v>0</v>
      </c>
      <c r="CA200" s="5" t="n">
        <v>13.254</v>
      </c>
      <c r="CB200" s="5" t="n">
        <v>0</v>
      </c>
      <c r="CC200" s="5" t="n">
        <v>83.248</v>
      </c>
      <c r="CD200" s="5" t="n">
        <v>7.95</v>
      </c>
      <c r="CE200" s="5" t="n">
        <v>91.529</v>
      </c>
      <c r="CF200" s="5" t="n">
        <v>218.471</v>
      </c>
      <c r="CG200" s="5" t="n">
        <v>0.25</v>
      </c>
      <c r="CH200" s="5" t="n">
        <v>1</v>
      </c>
      <c r="CI200" s="5" t="n">
        <v>0</v>
      </c>
      <c r="CJ200" s="5" t="n">
        <v>0</v>
      </c>
      <c r="CK200" s="5" t="n">
        <v>0</v>
      </c>
      <c r="CL200" s="5" t="n">
        <v>0</v>
      </c>
      <c r="CM200" s="5" t="n">
        <v>0.008</v>
      </c>
      <c r="CN200" s="5" t="n">
        <v>0.112</v>
      </c>
      <c r="CO200" s="5" t="n">
        <v>0.198</v>
      </c>
      <c r="CP200" s="5" t="n">
        <v>0</v>
      </c>
      <c r="CQ200" s="5" t="n">
        <v>1.348</v>
      </c>
      <c r="CR200" s="5" t="n">
        <v>0</v>
      </c>
      <c r="CS200" s="5" t="n">
        <v>4.418</v>
      </c>
      <c r="CT200" s="5" t="n">
        <v>6.059</v>
      </c>
      <c r="CU200" s="5" t="n">
        <v>12.492</v>
      </c>
    </row>
    <row r="201">
      <c r="A201" s="5" t="inlineStr">
        <is>
          <t>HRV2024</t>
        </is>
      </c>
      <c r="B201" s="5" t="inlineStr">
        <is>
          <t>HRV</t>
        </is>
      </c>
      <c r="C201" s="5" t="inlineStr">
        <is>
          <t>HRV</t>
        </is>
      </c>
      <c r="D201" s="5" t="inlineStr">
        <is>
          <t>Croatia</t>
        </is>
      </c>
      <c r="E201" s="5" t="n">
        <v>2024</v>
      </c>
      <c r="F201" s="5" t="n">
        <v>0.25</v>
      </c>
      <c r="G201" s="5" t="n">
        <v>6.577</v>
      </c>
      <c r="H201" s="5" t="n">
        <v>1.666</v>
      </c>
      <c r="I201" s="5" t="n">
        <v>6.198</v>
      </c>
      <c r="J201" s="5" t="n">
        <v>12.775</v>
      </c>
      <c r="K201" s="5" t="n">
        <v>0</v>
      </c>
      <c r="L201" s="5" t="n">
        <v>1</v>
      </c>
      <c r="M201" s="5" t="n">
        <v>10.112</v>
      </c>
      <c r="N201" s="5" t="n">
        <v>5.508</v>
      </c>
      <c r="O201" s="5" t="n">
        <v>6.765</v>
      </c>
      <c r="P201" s="5" t="n">
        <v>16.877</v>
      </c>
      <c r="Q201" s="5" t="n">
        <v>0</v>
      </c>
      <c r="R201" s="5" t="n">
        <v>1</v>
      </c>
      <c r="S201" s="5" t="n">
        <v>9.07</v>
      </c>
      <c r="T201" s="5" t="n">
        <v>6.004</v>
      </c>
      <c r="U201" s="5" t="n">
        <v>0.647</v>
      </c>
      <c r="V201" s="5" t="n">
        <v>11.633</v>
      </c>
      <c r="W201" s="5" t="n">
        <v>0.236</v>
      </c>
      <c r="X201" s="5" t="n">
        <v>1</v>
      </c>
      <c r="Y201" s="5" t="n">
        <v>15.604</v>
      </c>
      <c r="Z201" s="5" t="n">
        <v>1.97</v>
      </c>
      <c r="AA201" s="5" t="n">
        <v>3.893</v>
      </c>
      <c r="AB201" s="5" t="n">
        <v>19.497</v>
      </c>
      <c r="AC201" s="5" t="n">
        <v>0</v>
      </c>
      <c r="AD201" s="5" t="n">
        <v>1</v>
      </c>
      <c r="AE201" s="5" t="n">
        <v>15.604</v>
      </c>
      <c r="AF201" s="5" t="n">
        <v>3.418</v>
      </c>
      <c r="AG201" s="5" t="n">
        <v>3.893</v>
      </c>
      <c r="AH201" s="5" t="n">
        <v>19.497</v>
      </c>
      <c r="AI201" s="5" t="n">
        <v>0</v>
      </c>
      <c r="AJ201" s="5" t="n">
        <v>1</v>
      </c>
      <c r="AK201" s="5" t="n">
        <v>18.243</v>
      </c>
      <c r="AL201" s="5" t="n">
        <v>9.279</v>
      </c>
      <c r="AM201" s="5" t="n">
        <v>-5.315</v>
      </c>
      <c r="AN201" s="5" t="n">
        <v>13.575</v>
      </c>
      <c r="AO201" s="5" t="n">
        <v>0</v>
      </c>
      <c r="AP201" s="5" t="n">
        <v>0</v>
      </c>
      <c r="AQ201" s="5" t="n">
        <v>0.724</v>
      </c>
      <c r="AR201" s="5" t="n">
        <v>0.132</v>
      </c>
      <c r="AS201" s="5" t="n">
        <v>0.613</v>
      </c>
      <c r="AT201" s="5" t="n">
        <v>1.672</v>
      </c>
      <c r="AU201" s="5" t="n">
        <v>0.25</v>
      </c>
      <c r="AV201" s="5" t="n">
        <v>1</v>
      </c>
      <c r="AW201" s="5" t="n">
        <v>0.75</v>
      </c>
      <c r="AX201" s="5" t="n">
        <v>0.132</v>
      </c>
      <c r="AY201" s="5" t="n">
        <v>0.606</v>
      </c>
      <c r="AZ201" s="5" t="n">
        <v>1.696</v>
      </c>
      <c r="BA201" s="5" t="n">
        <v>0.25</v>
      </c>
      <c r="BB201" s="5" t="n">
        <v>1</v>
      </c>
      <c r="BC201" s="5" t="n">
        <v>0.513</v>
      </c>
      <c r="BD201" s="5" t="n">
        <v>0.132</v>
      </c>
      <c r="BE201" s="5" t="n">
        <v>0.164</v>
      </c>
      <c r="BF201" s="5" t="n">
        <v>0.846</v>
      </c>
      <c r="BG201" s="5" t="n">
        <v>0.25</v>
      </c>
      <c r="BH201" s="5" t="n">
        <v>1</v>
      </c>
      <c r="BI201" s="5" t="n">
        <v>0.591</v>
      </c>
      <c r="BJ201" s="5" t="n">
        <v>0.132</v>
      </c>
      <c r="BK201" s="5" t="n">
        <v>0.323</v>
      </c>
      <c r="BL201" s="5" t="n">
        <v>1.105</v>
      </c>
      <c r="BM201" s="5" t="n">
        <v>0.25</v>
      </c>
      <c r="BN201" s="5" t="n">
        <v>1</v>
      </c>
      <c r="BO201" s="5" t="n">
        <v>0</v>
      </c>
      <c r="BP201" s="5" t="n">
        <v>0.014</v>
      </c>
      <c r="BQ201" s="5" t="n">
        <v>0.218</v>
      </c>
      <c r="BR201" s="5" t="n">
        <v>0</v>
      </c>
      <c r="BS201" s="5" t="n">
        <v>1</v>
      </c>
      <c r="BT201" s="5" t="n">
        <v>0</v>
      </c>
      <c r="BU201" s="5" t="n">
        <v>0.015</v>
      </c>
      <c r="BV201" s="5" t="n">
        <v>0.16</v>
      </c>
      <c r="BW201" s="5" t="n">
        <v>0.13</v>
      </c>
      <c r="BX201" s="5" t="n">
        <v>0.5</v>
      </c>
      <c r="BY201" s="5" t="n">
        <v>13.646</v>
      </c>
      <c r="BZ201" s="5" t="n">
        <v>0</v>
      </c>
      <c r="CA201" s="5" t="n">
        <v>13.646</v>
      </c>
      <c r="CB201" s="5" t="n">
        <v>0</v>
      </c>
      <c r="CC201" s="5" t="n">
        <v>82.58799999999999</v>
      </c>
      <c r="CD201" s="5" t="n">
        <v>7.95</v>
      </c>
      <c r="CE201" s="5" t="n">
        <v>72.22799999999999</v>
      </c>
      <c r="CF201" s="5" t="n">
        <v>193.52</v>
      </c>
      <c r="CG201" s="5" t="n">
        <v>0.25</v>
      </c>
      <c r="CH201" s="5" t="n">
        <v>1</v>
      </c>
      <c r="CI201" s="5" t="n">
        <v>0</v>
      </c>
      <c r="CJ201" s="5" t="n">
        <v>0</v>
      </c>
      <c r="CK201" s="5" t="n">
        <v>0</v>
      </c>
      <c r="CL201" s="5" t="n">
        <v>0</v>
      </c>
      <c r="CM201" s="5" t="n">
        <v>0.008</v>
      </c>
      <c r="CN201" s="5" t="n">
        <v>0.107</v>
      </c>
      <c r="CO201" s="5" t="n">
        <v>0.18</v>
      </c>
      <c r="CP201" s="5" t="n">
        <v>0</v>
      </c>
      <c r="CQ201" s="5" t="n">
        <v>1.387</v>
      </c>
      <c r="CR201" s="5" t="n">
        <v>0</v>
      </c>
      <c r="CS201" s="5" t="n">
        <v>4.548</v>
      </c>
      <c r="CT201" s="5" t="n">
        <v>4.575</v>
      </c>
      <c r="CU201" s="5" t="n">
        <v>5.564</v>
      </c>
    </row>
    <row r="202">
      <c r="A202" s="5" t="inlineStr">
        <is>
          <t>CUB2021</t>
        </is>
      </c>
      <c r="B202" s="5" t="inlineStr">
        <is>
          <t>CUB</t>
        </is>
      </c>
      <c r="C202" s="5" t="inlineStr">
        <is>
          <t>CUB</t>
        </is>
      </c>
      <c r="D202" s="5" t="inlineStr">
        <is>
          <t>Cuba</t>
        </is>
      </c>
      <c r="E202" s="5" t="n">
        <v>2021</v>
      </c>
      <c r="F202" s="5" t="n">
        <v>0.1</v>
      </c>
      <c r="G202" s="5" t="n">
        <v>5.897</v>
      </c>
      <c r="H202" s="5" t="n">
        <v>1.143</v>
      </c>
      <c r="I202" s="5" t="n">
        <v>0</v>
      </c>
      <c r="J202" s="5" t="n">
        <v>5.897</v>
      </c>
      <c r="K202" s="5" t="n">
        <v>0</v>
      </c>
      <c r="L202" s="5" t="n">
        <v>1</v>
      </c>
      <c r="M202" s="5" t="n">
        <v>7.964</v>
      </c>
      <c r="N202" s="5" t="n">
        <v>3.43</v>
      </c>
      <c r="O202" s="5" t="n">
        <v>0</v>
      </c>
      <c r="P202" s="5" t="n">
        <v>7.964</v>
      </c>
      <c r="Q202" s="5" t="n">
        <v>0</v>
      </c>
      <c r="R202" s="5" t="n">
        <v>1</v>
      </c>
      <c r="S202" s="5" t="n">
        <v>11.613</v>
      </c>
      <c r="T202" s="5" t="n">
        <v>6.86</v>
      </c>
      <c r="U202" s="5" t="n">
        <v>0</v>
      </c>
      <c r="V202" s="5" t="n">
        <v>12.775</v>
      </c>
      <c r="W202" s="5" t="n">
        <v>0.1</v>
      </c>
      <c r="X202" s="5" t="n">
        <v>1</v>
      </c>
      <c r="Y202" s="5" t="n">
        <v>17.127</v>
      </c>
      <c r="Z202" s="5" t="n">
        <v>2.304</v>
      </c>
      <c r="AA202" s="5" t="n">
        <v>0</v>
      </c>
      <c r="AB202" s="5" t="n">
        <v>17.127</v>
      </c>
      <c r="AC202" s="5" t="n">
        <v>0</v>
      </c>
      <c r="AD202" s="5" t="n">
        <v>1</v>
      </c>
      <c r="AE202" s="5" t="n">
        <v>18.27</v>
      </c>
      <c r="AF202" s="5" t="n">
        <v>4.278</v>
      </c>
      <c r="AG202" s="5" t="n">
        <v>0</v>
      </c>
      <c r="AH202" s="5" t="n">
        <v>18.27</v>
      </c>
      <c r="AI202" s="5" t="n">
        <v>0</v>
      </c>
      <c r="AJ202" s="5" t="n">
        <v>1</v>
      </c>
      <c r="AK202" s="5" t="n">
        <v>25.13</v>
      </c>
      <c r="AL202" s="5" t="n">
        <v>13.503</v>
      </c>
      <c r="AM202" s="5" t="n">
        <v>0</v>
      </c>
      <c r="AN202" s="5" t="n">
        <v>27.643</v>
      </c>
      <c r="AO202" s="5" t="n">
        <v>0.1</v>
      </c>
      <c r="AP202" s="5" t="n">
        <v>1</v>
      </c>
      <c r="AQ202" s="5" t="n">
        <v>0.649</v>
      </c>
      <c r="AR202" s="5" t="n">
        <v>0.114</v>
      </c>
      <c r="AS202" s="5" t="n">
        <v>0.8179999999999999</v>
      </c>
      <c r="AT202" s="5" t="n">
        <v>1.613</v>
      </c>
      <c r="AU202" s="5" t="n">
        <v>0.1</v>
      </c>
      <c r="AV202" s="5" t="n">
        <v>1</v>
      </c>
      <c r="AW202" s="5" t="n">
        <v>0.577</v>
      </c>
      <c r="AX202" s="5" t="n">
        <v>0.114</v>
      </c>
      <c r="AY202" s="5" t="n">
        <v>0.727</v>
      </c>
      <c r="AZ202" s="5" t="n">
        <v>1.434</v>
      </c>
      <c r="BA202" s="5" t="n">
        <v>0.1</v>
      </c>
      <c r="BB202" s="5" t="n">
        <v>1</v>
      </c>
      <c r="BC202" s="5" t="n">
        <v>0.458</v>
      </c>
      <c r="BD202" s="5" t="n">
        <v>0.114</v>
      </c>
      <c r="BE202" s="5" t="n">
        <v>0</v>
      </c>
      <c r="BF202" s="5" t="n">
        <v>0.504</v>
      </c>
      <c r="BG202" s="5" t="n">
        <v>0.1</v>
      </c>
      <c r="BH202" s="5" t="n">
        <v>1</v>
      </c>
      <c r="BI202" s="5" t="n">
        <v>0.491</v>
      </c>
      <c r="BJ202" s="5" t="n">
        <v>0.114</v>
      </c>
      <c r="BK202" s="5" t="n">
        <v>0</v>
      </c>
      <c r="BL202" s="5" t="n">
        <v>0.54</v>
      </c>
      <c r="BM202" s="5" t="n">
        <v>0.1</v>
      </c>
      <c r="BN202" s="5" t="n">
        <v>1</v>
      </c>
      <c r="BO202" s="5" t="n">
        <v>0</v>
      </c>
      <c r="BP202" s="5" t="n">
        <v>0</v>
      </c>
      <c r="BQ202" s="5" t="n">
        <v>0.183</v>
      </c>
      <c r="BR202" s="5" t="n">
        <v>0</v>
      </c>
      <c r="BS202" s="5" t="n">
        <v>0.833</v>
      </c>
      <c r="BT202" s="5" t="n">
        <v>0</v>
      </c>
      <c r="BU202" s="5" t="n">
        <v>0</v>
      </c>
      <c r="BV202" s="5" t="n">
        <v>0.209</v>
      </c>
      <c r="BW202" s="5" t="n">
        <v>0</v>
      </c>
      <c r="BX202" s="5" t="n">
        <v>0.833</v>
      </c>
      <c r="BY202" s="5" t="n">
        <v>11.787</v>
      </c>
      <c r="BZ202" s="5" t="n">
        <v>0</v>
      </c>
      <c r="CA202" s="5" t="n">
        <v>11.787</v>
      </c>
      <c r="CB202" s="5" t="n">
        <v>0</v>
      </c>
      <c r="CC202" s="5" t="n">
        <v>78.125</v>
      </c>
      <c r="CD202" s="5" t="n">
        <v>7.95</v>
      </c>
      <c r="CE202" s="5" t="n">
        <v>0</v>
      </c>
      <c r="CF202" s="5" t="n">
        <v>85.938</v>
      </c>
      <c r="CG202" s="5" t="n">
        <v>0.1</v>
      </c>
      <c r="CH202" s="5" t="n">
        <v>1</v>
      </c>
      <c r="CI202" s="5" t="n">
        <v>0</v>
      </c>
      <c r="CJ202" s="5" t="n">
        <v>0</v>
      </c>
      <c r="CK202" s="5" t="n">
        <v>0</v>
      </c>
      <c r="CL202" s="5" t="n">
        <v>0</v>
      </c>
      <c r="CM202" s="5" t="n">
        <v>0</v>
      </c>
      <c r="CN202" s="5" t="n">
        <v>0</v>
      </c>
      <c r="CO202" s="5" t="n">
        <v>0</v>
      </c>
      <c r="CP202" s="5" t="n">
        <v>0</v>
      </c>
      <c r="CQ202" s="5" t="n">
        <v>1.198</v>
      </c>
      <c r="CR202" s="5" t="n">
        <v>0</v>
      </c>
      <c r="CS202" s="5" t="n">
        <v>4.776</v>
      </c>
      <c r="CT202" s="5" t="n">
        <v>4.753</v>
      </c>
      <c r="CU202" s="5" t="n">
        <v>15.983</v>
      </c>
    </row>
    <row r="203">
      <c r="A203" s="5" t="inlineStr">
        <is>
          <t>CUB2022</t>
        </is>
      </c>
      <c r="B203" s="5" t="inlineStr">
        <is>
          <t>CUB</t>
        </is>
      </c>
      <c r="C203" s="5" t="inlineStr">
        <is>
          <t>CUB</t>
        </is>
      </c>
      <c r="D203" s="5" t="inlineStr">
        <is>
          <t>Cuba</t>
        </is>
      </c>
      <c r="E203" s="5" t="n">
        <v>2022</v>
      </c>
      <c r="F203" s="5" t="n">
        <v>0.1</v>
      </c>
      <c r="G203" s="5" t="n">
        <v>11.72</v>
      </c>
      <c r="H203" s="5" t="n">
        <v>1.235</v>
      </c>
      <c r="I203" s="5" t="n">
        <v>0</v>
      </c>
      <c r="J203" s="5" t="n">
        <v>11.72</v>
      </c>
      <c r="K203" s="5" t="n">
        <v>0</v>
      </c>
      <c r="L203" s="5" t="n">
        <v>1</v>
      </c>
      <c r="M203" s="5" t="n">
        <v>9.782999999999999</v>
      </c>
      <c r="N203" s="5" t="n">
        <v>3.704</v>
      </c>
      <c r="O203" s="5" t="n">
        <v>0</v>
      </c>
      <c r="P203" s="5" t="n">
        <v>9.782999999999999</v>
      </c>
      <c r="Q203" s="5" t="n">
        <v>0</v>
      </c>
      <c r="R203" s="5" t="n">
        <v>1</v>
      </c>
      <c r="S203" s="5" t="n">
        <v>17.893</v>
      </c>
      <c r="T203" s="5" t="n">
        <v>7.408</v>
      </c>
      <c r="U203" s="5" t="n">
        <v>0.132</v>
      </c>
      <c r="V203" s="5" t="n">
        <v>19.683</v>
      </c>
      <c r="W203" s="5" t="n">
        <v>0.1</v>
      </c>
      <c r="X203" s="5" t="n">
        <v>1</v>
      </c>
      <c r="Y203" s="5" t="n">
        <v>30.728</v>
      </c>
      <c r="Z203" s="5" t="n">
        <v>4.133</v>
      </c>
      <c r="AA203" s="5" t="n">
        <v>0</v>
      </c>
      <c r="AB203" s="5" t="n">
        <v>30.728</v>
      </c>
      <c r="AC203" s="5" t="n">
        <v>0</v>
      </c>
      <c r="AD203" s="5" t="n">
        <v>1</v>
      </c>
      <c r="AE203" s="5" t="n">
        <v>31.963</v>
      </c>
      <c r="AF203" s="5" t="n">
        <v>7.485</v>
      </c>
      <c r="AG203" s="5" t="n">
        <v>0</v>
      </c>
      <c r="AH203" s="5" t="n">
        <v>31.963</v>
      </c>
      <c r="AI203" s="5" t="n">
        <v>0</v>
      </c>
      <c r="AJ203" s="5" t="n">
        <v>1</v>
      </c>
      <c r="AK203" s="5" t="n">
        <v>39.371</v>
      </c>
      <c r="AL203" s="5" t="n">
        <v>21.155</v>
      </c>
      <c r="AM203" s="5" t="n">
        <v>0.291</v>
      </c>
      <c r="AN203" s="5" t="n">
        <v>43.308</v>
      </c>
      <c r="AO203" s="5" t="n">
        <v>0.1</v>
      </c>
      <c r="AP203" s="5" t="n">
        <v>1</v>
      </c>
      <c r="AQ203" s="5" t="n">
        <v>0.896</v>
      </c>
      <c r="AR203" s="5" t="n">
        <v>0.123</v>
      </c>
      <c r="AS203" s="5" t="n">
        <v>0.878</v>
      </c>
      <c r="AT203" s="5" t="n">
        <v>1.937</v>
      </c>
      <c r="AU203" s="5" t="n">
        <v>0.1</v>
      </c>
      <c r="AV203" s="5" t="n">
        <v>1</v>
      </c>
      <c r="AW203" s="5" t="n">
        <v>0.89</v>
      </c>
      <c r="AX203" s="5" t="n">
        <v>0.123</v>
      </c>
      <c r="AY203" s="5" t="n">
        <v>0.773</v>
      </c>
      <c r="AZ203" s="5" t="n">
        <v>1.816</v>
      </c>
      <c r="BA203" s="5" t="n">
        <v>0.1</v>
      </c>
      <c r="BB203" s="5" t="n">
        <v>1</v>
      </c>
      <c r="BC203" s="5" t="n">
        <v>0.62</v>
      </c>
      <c r="BD203" s="5" t="n">
        <v>0.123</v>
      </c>
      <c r="BE203" s="5" t="n">
        <v>0.005</v>
      </c>
      <c r="BF203" s="5" t="n">
        <v>0.6820000000000001</v>
      </c>
      <c r="BG203" s="5" t="n">
        <v>0.1</v>
      </c>
      <c r="BH203" s="5" t="n">
        <v>1</v>
      </c>
      <c r="BI203" s="5" t="n">
        <v>0.608</v>
      </c>
      <c r="BJ203" s="5" t="n">
        <v>0.123</v>
      </c>
      <c r="BK203" s="5" t="n">
        <v>0.004</v>
      </c>
      <c r="BL203" s="5" t="n">
        <v>0.668</v>
      </c>
      <c r="BM203" s="5" t="n">
        <v>0.1</v>
      </c>
      <c r="BN203" s="5" t="n">
        <v>1</v>
      </c>
      <c r="BO203" s="5" t="n">
        <v>0</v>
      </c>
      <c r="BP203" s="5" t="n">
        <v>0</v>
      </c>
      <c r="BQ203" s="5" t="n">
        <v>0.198</v>
      </c>
      <c r="BR203" s="5" t="n">
        <v>0</v>
      </c>
      <c r="BS203" s="5" t="n">
        <v>0.833</v>
      </c>
      <c r="BT203" s="5" t="n">
        <v>0</v>
      </c>
      <c r="BU203" s="5" t="n">
        <v>0</v>
      </c>
      <c r="BV203" s="5" t="n">
        <v>0.226</v>
      </c>
      <c r="BW203" s="5" t="n">
        <v>0</v>
      </c>
      <c r="BX203" s="5" t="n">
        <v>0.833</v>
      </c>
      <c r="BY203" s="5" t="n">
        <v>12.729</v>
      </c>
      <c r="BZ203" s="5" t="n">
        <v>0</v>
      </c>
      <c r="CA203" s="5" t="n">
        <v>12.729</v>
      </c>
      <c r="CB203" s="5" t="n">
        <v>0</v>
      </c>
      <c r="CC203" s="5" t="n">
        <v>97.90000000000001</v>
      </c>
      <c r="CD203" s="5" t="n">
        <v>7.95</v>
      </c>
      <c r="CE203" s="5" t="n">
        <v>0.725</v>
      </c>
      <c r="CF203" s="5" t="n">
        <v>107.69</v>
      </c>
      <c r="CG203" s="5" t="n">
        <v>0.1</v>
      </c>
      <c r="CH203" s="5" t="n">
        <v>1</v>
      </c>
      <c r="CI203" s="5" t="n">
        <v>0</v>
      </c>
      <c r="CJ203" s="5" t="n">
        <v>0</v>
      </c>
      <c r="CK203" s="5" t="n">
        <v>0</v>
      </c>
      <c r="CL203" s="5" t="n">
        <v>0</v>
      </c>
      <c r="CM203" s="5" t="n">
        <v>0</v>
      </c>
      <c r="CN203" s="5" t="n">
        <v>0</v>
      </c>
      <c r="CO203" s="5" t="n">
        <v>0</v>
      </c>
      <c r="CP203" s="5" t="n">
        <v>0</v>
      </c>
      <c r="CQ203" s="5" t="n">
        <v>1.294</v>
      </c>
      <c r="CR203" s="5" t="n">
        <v>0</v>
      </c>
      <c r="CS203" s="5" t="n">
        <v>5.158</v>
      </c>
      <c r="CT203" s="5" t="n">
        <v>10.485</v>
      </c>
      <c r="CU203" s="5" t="n">
        <v>29.494</v>
      </c>
    </row>
    <row r="204">
      <c r="A204" s="5" t="inlineStr">
        <is>
          <t>CUB2023</t>
        </is>
      </c>
      <c r="B204" s="5" t="inlineStr">
        <is>
          <t>CUB</t>
        </is>
      </c>
      <c r="C204" s="5" t="inlineStr">
        <is>
          <t>CUB</t>
        </is>
      </c>
      <c r="D204" s="5" t="inlineStr">
        <is>
          <t>Cuba</t>
        </is>
      </c>
      <c r="E204" s="5" t="n">
        <v>2023</v>
      </c>
      <c r="F204" s="5" t="n">
        <v>0.1</v>
      </c>
      <c r="G204" s="5" t="n">
        <v>6.147</v>
      </c>
      <c r="H204" s="5" t="n">
        <v>1.286</v>
      </c>
      <c r="I204" s="5" t="n">
        <v>0</v>
      </c>
      <c r="J204" s="5" t="n">
        <v>6.147</v>
      </c>
      <c r="K204" s="5" t="n">
        <v>0</v>
      </c>
      <c r="L204" s="5" t="n">
        <v>1</v>
      </c>
      <c r="M204" s="5" t="n">
        <v>7.886</v>
      </c>
      <c r="N204" s="5" t="n">
        <v>3.857</v>
      </c>
      <c r="O204" s="5" t="n">
        <v>0</v>
      </c>
      <c r="P204" s="5" t="n">
        <v>7.886</v>
      </c>
      <c r="Q204" s="5" t="n">
        <v>0</v>
      </c>
      <c r="R204" s="5" t="n">
        <v>1</v>
      </c>
      <c r="S204" s="5" t="n">
        <v>12.575</v>
      </c>
      <c r="T204" s="5" t="n">
        <v>7.714</v>
      </c>
      <c r="U204" s="5" t="n">
        <v>0.139</v>
      </c>
      <c r="V204" s="5" t="n">
        <v>13.833</v>
      </c>
      <c r="W204" s="5" t="n">
        <v>0.1</v>
      </c>
      <c r="X204" s="5" t="n">
        <v>1</v>
      </c>
      <c r="Y204" s="5" t="n">
        <v>12.478</v>
      </c>
      <c r="Z204" s="5" t="n">
        <v>1.678</v>
      </c>
      <c r="AA204" s="5" t="n">
        <v>0</v>
      </c>
      <c r="AB204" s="5" t="n">
        <v>12.478</v>
      </c>
      <c r="AC204" s="5" t="n">
        <v>0</v>
      </c>
      <c r="AD204" s="5" t="n">
        <v>1</v>
      </c>
      <c r="AE204" s="5" t="n">
        <v>13.763</v>
      </c>
      <c r="AF204" s="5" t="n">
        <v>3.223</v>
      </c>
      <c r="AG204" s="5" t="n">
        <v>0</v>
      </c>
      <c r="AH204" s="5" t="n">
        <v>13.763</v>
      </c>
      <c r="AI204" s="5" t="n">
        <v>0</v>
      </c>
      <c r="AJ204" s="5" t="n">
        <v>1</v>
      </c>
      <c r="AK204" s="5" t="n">
        <v>21.477</v>
      </c>
      <c r="AL204" s="5" t="n">
        <v>11.54</v>
      </c>
      <c r="AM204" s="5" t="n">
        <v>0.238</v>
      </c>
      <c r="AN204" s="5" t="n">
        <v>23.625</v>
      </c>
      <c r="AO204" s="5" t="n">
        <v>0.1</v>
      </c>
      <c r="AP204" s="5" t="n">
        <v>1</v>
      </c>
      <c r="AQ204" s="5" t="n">
        <v>0.791</v>
      </c>
      <c r="AR204" s="5" t="n">
        <v>0.129</v>
      </c>
      <c r="AS204" s="5" t="n">
        <v>0.9330000000000001</v>
      </c>
      <c r="AT204" s="5" t="n">
        <v>1.875</v>
      </c>
      <c r="AU204" s="5" t="n">
        <v>0.1</v>
      </c>
      <c r="AV204" s="5" t="n">
        <v>1</v>
      </c>
      <c r="AW204" s="5" t="n">
        <v>0.618</v>
      </c>
      <c r="AX204" s="5" t="n">
        <v>0.129</v>
      </c>
      <c r="AY204" s="5" t="n">
        <v>0.837</v>
      </c>
      <c r="AZ204" s="5" t="n">
        <v>1.583</v>
      </c>
      <c r="BA204" s="5" t="n">
        <v>0.1</v>
      </c>
      <c r="BB204" s="5" t="n">
        <v>1</v>
      </c>
      <c r="BC204" s="5" t="n">
        <v>0.554</v>
      </c>
      <c r="BD204" s="5" t="n">
        <v>0.129</v>
      </c>
      <c r="BE204" s="5" t="n">
        <v>0.006</v>
      </c>
      <c r="BF204" s="5" t="n">
        <v>0.61</v>
      </c>
      <c r="BG204" s="5" t="n">
        <v>0.1</v>
      </c>
      <c r="BH204" s="5" t="n">
        <v>1</v>
      </c>
      <c r="BI204" s="5" t="n">
        <v>0.5570000000000001</v>
      </c>
      <c r="BJ204" s="5" t="n">
        <v>0.129</v>
      </c>
      <c r="BK204" s="5" t="n">
        <v>0.006</v>
      </c>
      <c r="BL204" s="5" t="n">
        <v>0.613</v>
      </c>
      <c r="BM204" s="5" t="n">
        <v>0.1</v>
      </c>
      <c r="BN204" s="5" t="n">
        <v>1</v>
      </c>
      <c r="BO204" s="5" t="n">
        <v>0</v>
      </c>
      <c r="BP204" s="5" t="n">
        <v>0</v>
      </c>
      <c r="BQ204" s="5" t="n">
        <v>0.206</v>
      </c>
      <c r="BR204" s="5" t="n">
        <v>0</v>
      </c>
      <c r="BS204" s="5" t="n">
        <v>0.833</v>
      </c>
      <c r="BT204" s="5" t="n">
        <v>0</v>
      </c>
      <c r="BU204" s="5" t="n">
        <v>0</v>
      </c>
      <c r="BV204" s="5" t="n">
        <v>0.235</v>
      </c>
      <c r="BW204" s="5" t="n">
        <v>0</v>
      </c>
      <c r="BX204" s="5" t="n">
        <v>0.833</v>
      </c>
      <c r="BY204" s="5" t="n">
        <v>13.254</v>
      </c>
      <c r="BZ204" s="5" t="n">
        <v>0</v>
      </c>
      <c r="CA204" s="5" t="n">
        <v>13.254</v>
      </c>
      <c r="CB204" s="5" t="n">
        <v>0</v>
      </c>
      <c r="CC204" s="5" t="n">
        <v>83.248</v>
      </c>
      <c r="CD204" s="5" t="n">
        <v>7.95</v>
      </c>
      <c r="CE204" s="5" t="n">
        <v>0.922</v>
      </c>
      <c r="CF204" s="5" t="n">
        <v>91.57299999999999</v>
      </c>
      <c r="CG204" s="5" t="n">
        <v>0.1</v>
      </c>
      <c r="CH204" s="5" t="n">
        <v>1</v>
      </c>
      <c r="CI204" s="5" t="n">
        <v>0</v>
      </c>
      <c r="CJ204" s="5" t="n">
        <v>0</v>
      </c>
      <c r="CK204" s="5" t="n">
        <v>0</v>
      </c>
      <c r="CL204" s="5" t="n">
        <v>0</v>
      </c>
      <c r="CM204" s="5" t="n">
        <v>0</v>
      </c>
      <c r="CN204" s="5" t="n">
        <v>0</v>
      </c>
      <c r="CO204" s="5" t="n">
        <v>0</v>
      </c>
      <c r="CP204" s="5" t="n">
        <v>0</v>
      </c>
      <c r="CQ204" s="5" t="n">
        <v>1.348</v>
      </c>
      <c r="CR204" s="5" t="n">
        <v>0</v>
      </c>
      <c r="CS204" s="5" t="n">
        <v>5.37</v>
      </c>
      <c r="CT204" s="5" t="n">
        <v>4.861</v>
      </c>
      <c r="CU204" s="5" t="n">
        <v>11.192</v>
      </c>
    </row>
    <row r="205">
      <c r="A205" s="5" t="inlineStr">
        <is>
          <t>CUB2024</t>
        </is>
      </c>
      <c r="B205" s="5" t="inlineStr">
        <is>
          <t>CUB</t>
        </is>
      </c>
      <c r="C205" s="5" t="inlineStr">
        <is>
          <t>CUB</t>
        </is>
      </c>
      <c r="D205" s="5" t="inlineStr">
        <is>
          <t>Cuba</t>
        </is>
      </c>
      <c r="E205" s="5" t="n">
        <v>2024</v>
      </c>
      <c r="F205" s="5" t="n">
        <v>0.1</v>
      </c>
      <c r="G205" s="5" t="n">
        <v>5.575</v>
      </c>
      <c r="H205" s="5" t="n">
        <v>1.324</v>
      </c>
      <c r="I205" s="5" t="n">
        <v>0</v>
      </c>
      <c r="J205" s="5" t="n">
        <v>5.575</v>
      </c>
      <c r="K205" s="5" t="n">
        <v>0</v>
      </c>
      <c r="L205" s="5" t="n">
        <v>1</v>
      </c>
      <c r="M205" s="5" t="n">
        <v>7.124</v>
      </c>
      <c r="N205" s="5" t="n">
        <v>3.971</v>
      </c>
      <c r="O205" s="5" t="n">
        <v>0</v>
      </c>
      <c r="P205" s="5" t="n">
        <v>7.124</v>
      </c>
      <c r="Q205" s="5" t="n">
        <v>0</v>
      </c>
      <c r="R205" s="5" t="n">
        <v>1</v>
      </c>
      <c r="S205" s="5" t="n">
        <v>12.193</v>
      </c>
      <c r="T205" s="5" t="n">
        <v>7.942</v>
      </c>
      <c r="U205" s="5" t="n">
        <v>0.166</v>
      </c>
      <c r="V205" s="5" t="n">
        <v>13.412</v>
      </c>
      <c r="W205" s="5" t="n">
        <v>0.1</v>
      </c>
      <c r="X205" s="5" t="n">
        <v>1</v>
      </c>
      <c r="Y205" s="5" t="n">
        <v>11.447</v>
      </c>
      <c r="Z205" s="5" t="n">
        <v>1.54</v>
      </c>
      <c r="AA205" s="5" t="n">
        <v>0</v>
      </c>
      <c r="AB205" s="5" t="n">
        <v>11.447</v>
      </c>
      <c r="AC205" s="5" t="n">
        <v>0</v>
      </c>
      <c r="AD205" s="5" t="n">
        <v>1</v>
      </c>
      <c r="AE205" s="5" t="n">
        <v>12.771</v>
      </c>
      <c r="AF205" s="5" t="n">
        <v>2.991</v>
      </c>
      <c r="AG205" s="5" t="n">
        <v>0</v>
      </c>
      <c r="AH205" s="5" t="n">
        <v>12.771</v>
      </c>
      <c r="AI205" s="5" t="n">
        <v>0</v>
      </c>
      <c r="AJ205" s="5" t="n">
        <v>1</v>
      </c>
      <c r="AK205" s="5" t="n">
        <v>20.712</v>
      </c>
      <c r="AL205" s="5" t="n">
        <v>11.129</v>
      </c>
      <c r="AM205" s="5" t="n">
        <v>0.282</v>
      </c>
      <c r="AN205" s="5" t="n">
        <v>22.784</v>
      </c>
      <c r="AO205" s="5" t="n">
        <v>0.1</v>
      </c>
      <c r="AP205" s="5" t="n">
        <v>1</v>
      </c>
      <c r="AQ205" s="5" t="n">
        <v>0.756</v>
      </c>
      <c r="AR205" s="5" t="n">
        <v>0.132</v>
      </c>
      <c r="AS205" s="5" t="n">
        <v>0.969</v>
      </c>
      <c r="AT205" s="5" t="n">
        <v>1.872</v>
      </c>
      <c r="AU205" s="5" t="n">
        <v>0.1</v>
      </c>
      <c r="AV205" s="5" t="n">
        <v>1</v>
      </c>
      <c r="AW205" s="5" t="n">
        <v>0.655</v>
      </c>
      <c r="AX205" s="5" t="n">
        <v>0.132</v>
      </c>
      <c r="AY205" s="5" t="n">
        <v>0.864</v>
      </c>
      <c r="AZ205" s="5" t="n">
        <v>1.648</v>
      </c>
      <c r="BA205" s="5" t="n">
        <v>0.1</v>
      </c>
      <c r="BB205" s="5" t="n">
        <v>1</v>
      </c>
      <c r="BC205" s="5" t="n">
        <v>0.534</v>
      </c>
      <c r="BD205" s="5" t="n">
        <v>0.132</v>
      </c>
      <c r="BE205" s="5" t="n">
        <v>0.007</v>
      </c>
      <c r="BF205" s="5" t="n">
        <v>0.587</v>
      </c>
      <c r="BG205" s="5" t="n">
        <v>0.1</v>
      </c>
      <c r="BH205" s="5" t="n">
        <v>1</v>
      </c>
      <c r="BI205" s="5" t="n">
        <v>0.5679999999999999</v>
      </c>
      <c r="BJ205" s="5" t="n">
        <v>0.132</v>
      </c>
      <c r="BK205" s="5" t="n">
        <v>0.008</v>
      </c>
      <c r="BL205" s="5" t="n">
        <v>0.625</v>
      </c>
      <c r="BM205" s="5" t="n">
        <v>0.1</v>
      </c>
      <c r="BN205" s="5" t="n">
        <v>1</v>
      </c>
      <c r="BO205" s="5" t="n">
        <v>0</v>
      </c>
      <c r="BP205" s="5" t="n">
        <v>0</v>
      </c>
      <c r="BQ205" s="5" t="n">
        <v>0.212</v>
      </c>
      <c r="BR205" s="5" t="n">
        <v>0</v>
      </c>
      <c r="BS205" s="5" t="n">
        <v>0.833</v>
      </c>
      <c r="BT205" s="5" t="n">
        <v>0</v>
      </c>
      <c r="BU205" s="5" t="n">
        <v>0</v>
      </c>
      <c r="BV205" s="5" t="n">
        <v>0.242</v>
      </c>
      <c r="BW205" s="5" t="n">
        <v>0</v>
      </c>
      <c r="BX205" s="5" t="n">
        <v>0.833</v>
      </c>
      <c r="BY205" s="5" t="n">
        <v>13.646</v>
      </c>
      <c r="BZ205" s="5" t="n">
        <v>0</v>
      </c>
      <c r="CA205" s="5" t="n">
        <v>13.646</v>
      </c>
      <c r="CB205" s="5" t="n">
        <v>0</v>
      </c>
      <c r="CC205" s="5" t="n">
        <v>82.58799999999999</v>
      </c>
      <c r="CD205" s="5" t="n">
        <v>7.95</v>
      </c>
      <c r="CE205" s="5" t="n">
        <v>1.125</v>
      </c>
      <c r="CF205" s="5" t="n">
        <v>90.84699999999999</v>
      </c>
      <c r="CG205" s="5" t="n">
        <v>0.1</v>
      </c>
      <c r="CH205" s="5" t="n">
        <v>1</v>
      </c>
      <c r="CI205" s="5" t="n">
        <v>0</v>
      </c>
      <c r="CJ205" s="5" t="n">
        <v>0</v>
      </c>
      <c r="CK205" s="5" t="n">
        <v>0</v>
      </c>
      <c r="CL205" s="5" t="n">
        <v>0</v>
      </c>
      <c r="CM205" s="5" t="n">
        <v>0</v>
      </c>
      <c r="CN205" s="5" t="n">
        <v>0</v>
      </c>
      <c r="CO205" s="5" t="n">
        <v>0</v>
      </c>
      <c r="CP205" s="5" t="n">
        <v>0</v>
      </c>
      <c r="CQ205" s="5" t="n">
        <v>1.387</v>
      </c>
      <c r="CR205" s="5" t="n">
        <v>0</v>
      </c>
      <c r="CS205" s="5" t="n">
        <v>5.529</v>
      </c>
      <c r="CT205" s="5" t="n">
        <v>4.251</v>
      </c>
      <c r="CU205" s="5" t="n">
        <v>10.123</v>
      </c>
    </row>
    <row r="206">
      <c r="A206" s="5" t="inlineStr">
        <is>
          <t>CUW2021</t>
        </is>
      </c>
      <c r="B206" s="5" t="inlineStr">
        <is>
          <t>CUW</t>
        </is>
      </c>
      <c r="C206" s="5" t="inlineStr">
        <is>
          <t>CUW</t>
        </is>
      </c>
      <c r="D206" s="5" t="inlineStr">
        <is>
          <t>Curaçao</t>
        </is>
      </c>
      <c r="E206" s="5" t="n">
        <v>2021</v>
      </c>
      <c r="F206" s="5" t="n">
        <v>0.06</v>
      </c>
      <c r="G206" s="5" t="n">
        <v>5.897</v>
      </c>
      <c r="H206" s="5" t="n">
        <v>1.143</v>
      </c>
      <c r="I206" s="5" t="n">
        <v>0</v>
      </c>
      <c r="J206" s="5" t="n">
        <v>5.897</v>
      </c>
      <c r="K206" s="5" t="n">
        <v>0</v>
      </c>
      <c r="L206" s="5" t="n">
        <v>1</v>
      </c>
      <c r="M206" s="5" t="n">
        <v>7.964</v>
      </c>
      <c r="N206" s="5" t="n">
        <v>3.43</v>
      </c>
      <c r="O206" s="5" t="n">
        <v>0</v>
      </c>
      <c r="P206" s="5" t="n">
        <v>7.964</v>
      </c>
      <c r="Q206" s="5" t="n">
        <v>0</v>
      </c>
      <c r="R206" s="5" t="n">
        <v>1</v>
      </c>
      <c r="S206" s="5" t="n">
        <v>11.613</v>
      </c>
      <c r="T206" s="5" t="n">
        <v>6.86</v>
      </c>
      <c r="U206" s="5" t="n">
        <v>0</v>
      </c>
      <c r="V206" s="5" t="n">
        <v>12.31</v>
      </c>
      <c r="W206" s="5" t="n">
        <v>0.06</v>
      </c>
      <c r="X206" s="5" t="n">
        <v>1</v>
      </c>
      <c r="Y206" s="5" t="n">
        <v>5.919</v>
      </c>
      <c r="Z206" s="5" t="n">
        <v>0.796</v>
      </c>
      <c r="AA206" s="5" t="n">
        <v>0</v>
      </c>
      <c r="AB206" s="5" t="n">
        <v>5.919</v>
      </c>
      <c r="AC206" s="5" t="n">
        <v>0</v>
      </c>
      <c r="AD206" s="5" t="n">
        <v>1</v>
      </c>
      <c r="AE206" s="5" t="n">
        <v>7.062</v>
      </c>
      <c r="AF206" s="5" t="n">
        <v>1.654</v>
      </c>
      <c r="AG206" s="5" t="n">
        <v>0</v>
      </c>
      <c r="AH206" s="5" t="n">
        <v>7.062</v>
      </c>
      <c r="AI206" s="5" t="n">
        <v>0</v>
      </c>
      <c r="AJ206" s="5" t="n">
        <v>1</v>
      </c>
      <c r="AK206" s="5" t="n">
        <v>13.922</v>
      </c>
      <c r="AL206" s="5" t="n">
        <v>7.481</v>
      </c>
      <c r="AM206" s="5" t="n">
        <v>0</v>
      </c>
      <c r="AN206" s="5" t="n">
        <v>14.758</v>
      </c>
      <c r="AO206" s="5" t="n">
        <v>0.06</v>
      </c>
      <c r="AP206" s="5" t="n">
        <v>1</v>
      </c>
      <c r="AQ206" s="5" t="n">
        <v>0.649</v>
      </c>
      <c r="AR206" s="5" t="n">
        <v>0.114</v>
      </c>
      <c r="AS206" s="5" t="n">
        <v>0.364</v>
      </c>
      <c r="AT206" s="5" t="n">
        <v>1.074</v>
      </c>
      <c r="AU206" s="5" t="n">
        <v>0.06</v>
      </c>
      <c r="AV206" s="5" t="n">
        <v>1</v>
      </c>
      <c r="AW206" s="5" t="n">
        <v>0.577</v>
      </c>
      <c r="AX206" s="5" t="n">
        <v>0.114</v>
      </c>
      <c r="AY206" s="5" t="n">
        <v>0.309</v>
      </c>
      <c r="AZ206" s="5" t="n">
        <v>0.9389999999999999</v>
      </c>
      <c r="BA206" s="5" t="n">
        <v>0.06</v>
      </c>
      <c r="BB206" s="5" t="n">
        <v>1</v>
      </c>
      <c r="BC206" s="5" t="n">
        <v>0.458</v>
      </c>
      <c r="BD206" s="5" t="n">
        <v>0.114</v>
      </c>
      <c r="BE206" s="5" t="n">
        <v>0</v>
      </c>
      <c r="BF206" s="5" t="n">
        <v>0.486</v>
      </c>
      <c r="BG206" s="5" t="n">
        <v>0.06</v>
      </c>
      <c r="BH206" s="5" t="n">
        <v>1</v>
      </c>
      <c r="BI206" s="5" t="n">
        <v>0.491</v>
      </c>
      <c r="BJ206" s="5" t="n">
        <v>0.114</v>
      </c>
      <c r="BK206" s="5" t="n">
        <v>0.344</v>
      </c>
      <c r="BL206" s="5" t="n">
        <v>0.885</v>
      </c>
      <c r="BM206" s="5" t="n">
        <v>0.06</v>
      </c>
      <c r="BN206" s="5" t="n">
        <v>1</v>
      </c>
      <c r="BO206" s="5" t="n">
        <v>0</v>
      </c>
      <c r="BP206" s="5" t="n">
        <v>0</v>
      </c>
      <c r="BQ206" s="5" t="n">
        <v>0</v>
      </c>
      <c r="BR206" s="5" t="n">
        <v>0</v>
      </c>
      <c r="BS206" s="5" t="n">
        <v>1</v>
      </c>
      <c r="BT206" s="5" t="n">
        <v>0</v>
      </c>
      <c r="BU206" s="5" t="n">
        <v>0</v>
      </c>
      <c r="BV206" s="5" t="n">
        <v>0</v>
      </c>
      <c r="BW206" s="5" t="n">
        <v>0.06</v>
      </c>
      <c r="BX206" s="5" t="n">
        <v>1</v>
      </c>
      <c r="BY206" s="5" t="n">
        <v>11.787</v>
      </c>
      <c r="BZ206" s="5" t="n">
        <v>0</v>
      </c>
      <c r="CA206" s="5" t="n">
        <v>11.787</v>
      </c>
      <c r="CB206" s="5" t="n">
        <v>0</v>
      </c>
      <c r="CC206" s="5" t="n">
        <v>78.125</v>
      </c>
      <c r="CD206" s="5" t="n">
        <v>7.95</v>
      </c>
      <c r="CE206" s="5" t="n">
        <v>0</v>
      </c>
      <c r="CF206" s="5" t="n">
        <v>82.813</v>
      </c>
      <c r="CG206" s="5" t="n">
        <v>0.06</v>
      </c>
      <c r="CH206" s="5" t="n">
        <v>1</v>
      </c>
      <c r="CI206" s="5" t="n">
        <v>0</v>
      </c>
      <c r="CJ206" s="5" t="n">
        <v>0</v>
      </c>
      <c r="CK206" s="5" t="n">
        <v>0</v>
      </c>
      <c r="CL206" s="5" t="n">
        <v>0</v>
      </c>
      <c r="CM206" s="5" t="n">
        <v>0</v>
      </c>
      <c r="CN206" s="5" t="n">
        <v>0</v>
      </c>
      <c r="CO206" s="5" t="n">
        <v>0</v>
      </c>
      <c r="CP206" s="5" t="n">
        <v>0</v>
      </c>
      <c r="CQ206" s="5" t="n">
        <v>1.198</v>
      </c>
      <c r="CR206" s="5" t="n">
        <v>0</v>
      </c>
      <c r="CS206" s="5" t="n">
        <v>4.776</v>
      </c>
      <c r="CT206" s="5" t="n">
        <v>4.753</v>
      </c>
      <c r="CU206" s="5" t="n">
        <v>15.983</v>
      </c>
    </row>
    <row r="207">
      <c r="A207" s="5" t="inlineStr">
        <is>
          <t>CUW2022</t>
        </is>
      </c>
      <c r="B207" s="5" t="inlineStr">
        <is>
          <t>CUW</t>
        </is>
      </c>
      <c r="C207" s="5" t="inlineStr">
        <is>
          <t>CUW</t>
        </is>
      </c>
      <c r="D207" s="5" t="inlineStr">
        <is>
          <t>Curaçao</t>
        </is>
      </c>
      <c r="E207" s="5" t="n">
        <v>2022</v>
      </c>
      <c r="F207" s="5" t="n">
        <v>0.06</v>
      </c>
      <c r="G207" s="5" t="n">
        <v>11.72</v>
      </c>
      <c r="H207" s="5" t="n">
        <v>1.235</v>
      </c>
      <c r="I207" s="5" t="n">
        <v>0</v>
      </c>
      <c r="J207" s="5" t="n">
        <v>11.72</v>
      </c>
      <c r="K207" s="5" t="n">
        <v>0</v>
      </c>
      <c r="L207" s="5" t="n">
        <v>1</v>
      </c>
      <c r="M207" s="5" t="n">
        <v>9.782999999999999</v>
      </c>
      <c r="N207" s="5" t="n">
        <v>3.704</v>
      </c>
      <c r="O207" s="5" t="n">
        <v>0</v>
      </c>
      <c r="P207" s="5" t="n">
        <v>9.782999999999999</v>
      </c>
      <c r="Q207" s="5" t="n">
        <v>0</v>
      </c>
      <c r="R207" s="5" t="n">
        <v>1</v>
      </c>
      <c r="S207" s="5" t="n">
        <v>17.893</v>
      </c>
      <c r="T207" s="5" t="n">
        <v>7.408</v>
      </c>
      <c r="U207" s="5" t="n">
        <v>0.079</v>
      </c>
      <c r="V207" s="5" t="n">
        <v>18.967</v>
      </c>
      <c r="W207" s="5" t="n">
        <v>0.06</v>
      </c>
      <c r="X207" s="5" t="n">
        <v>1</v>
      </c>
      <c r="Y207" s="5" t="n">
        <v>6.392</v>
      </c>
      <c r="Z207" s="5" t="n">
        <v>0.86</v>
      </c>
      <c r="AA207" s="5" t="n">
        <v>0</v>
      </c>
      <c r="AB207" s="5" t="n">
        <v>6.392</v>
      </c>
      <c r="AC207" s="5" t="n">
        <v>0</v>
      </c>
      <c r="AD207" s="5" t="n">
        <v>1</v>
      </c>
      <c r="AE207" s="5" t="n">
        <v>7.627</v>
      </c>
      <c r="AF207" s="5" t="n">
        <v>1.786</v>
      </c>
      <c r="AG207" s="5" t="n">
        <v>0</v>
      </c>
      <c r="AH207" s="5" t="n">
        <v>7.627</v>
      </c>
      <c r="AI207" s="5" t="n">
        <v>0</v>
      </c>
      <c r="AJ207" s="5" t="n">
        <v>1</v>
      </c>
      <c r="AK207" s="5" t="n">
        <v>15.035</v>
      </c>
      <c r="AL207" s="5" t="n">
        <v>8.079000000000001</v>
      </c>
      <c r="AM207" s="5" t="n">
        <v>0.067</v>
      </c>
      <c r="AN207" s="5" t="n">
        <v>15.937</v>
      </c>
      <c r="AO207" s="5" t="n">
        <v>0.06</v>
      </c>
      <c r="AP207" s="5" t="n">
        <v>1</v>
      </c>
      <c r="AQ207" s="5" t="n">
        <v>0.896</v>
      </c>
      <c r="AR207" s="5" t="n">
        <v>0.123</v>
      </c>
      <c r="AS207" s="5" t="n">
        <v>0.387</v>
      </c>
      <c r="AT207" s="5" t="n">
        <v>1.354</v>
      </c>
      <c r="AU207" s="5" t="n">
        <v>0.06</v>
      </c>
      <c r="AV207" s="5" t="n">
        <v>1</v>
      </c>
      <c r="AW207" s="5" t="n">
        <v>0.89</v>
      </c>
      <c r="AX207" s="5" t="n">
        <v>0.123</v>
      </c>
      <c r="AY207" s="5" t="n">
        <v>0.324</v>
      </c>
      <c r="AZ207" s="5" t="n">
        <v>1.282</v>
      </c>
      <c r="BA207" s="5" t="n">
        <v>0.06</v>
      </c>
      <c r="BB207" s="5" t="n">
        <v>1</v>
      </c>
      <c r="BC207" s="5" t="n">
        <v>0.62</v>
      </c>
      <c r="BD207" s="5" t="n">
        <v>0.123</v>
      </c>
      <c r="BE207" s="5" t="n">
        <v>0.003</v>
      </c>
      <c r="BF207" s="5" t="n">
        <v>0.658</v>
      </c>
      <c r="BG207" s="5" t="n">
        <v>0.06</v>
      </c>
      <c r="BH207" s="5" t="n">
        <v>1</v>
      </c>
      <c r="BI207" s="5" t="n">
        <v>0.608</v>
      </c>
      <c r="BJ207" s="5" t="n">
        <v>0.123</v>
      </c>
      <c r="BK207" s="5" t="n">
        <v>0.372</v>
      </c>
      <c r="BL207" s="5" t="n">
        <v>1.033</v>
      </c>
      <c r="BM207" s="5" t="n">
        <v>0.06</v>
      </c>
      <c r="BN207" s="5" t="n">
        <v>1</v>
      </c>
      <c r="BO207" s="5" t="n">
        <v>0</v>
      </c>
      <c r="BP207" s="5" t="n">
        <v>0</v>
      </c>
      <c r="BQ207" s="5" t="n">
        <v>0</v>
      </c>
      <c r="BR207" s="5" t="n">
        <v>0</v>
      </c>
      <c r="BS207" s="5" t="n">
        <v>1</v>
      </c>
      <c r="BT207" s="5" t="n">
        <v>0</v>
      </c>
      <c r="BU207" s="5" t="n">
        <v>0</v>
      </c>
      <c r="BV207" s="5" t="n">
        <v>0</v>
      </c>
      <c r="BW207" s="5" t="n">
        <v>0.06</v>
      </c>
      <c r="BX207" s="5" t="n">
        <v>1</v>
      </c>
      <c r="BY207" s="5" t="n">
        <v>12.729</v>
      </c>
      <c r="BZ207" s="5" t="n">
        <v>0</v>
      </c>
      <c r="CA207" s="5" t="n">
        <v>12.729</v>
      </c>
      <c r="CB207" s="5" t="n">
        <v>0</v>
      </c>
      <c r="CC207" s="5" t="n">
        <v>97.90000000000001</v>
      </c>
      <c r="CD207" s="5" t="n">
        <v>7.95</v>
      </c>
      <c r="CE207" s="5" t="n">
        <v>0.435</v>
      </c>
      <c r="CF207" s="5" t="n">
        <v>103.774</v>
      </c>
      <c r="CG207" s="5" t="n">
        <v>0.06</v>
      </c>
      <c r="CH207" s="5" t="n">
        <v>1</v>
      </c>
      <c r="CI207" s="5" t="n">
        <v>0</v>
      </c>
      <c r="CJ207" s="5" t="n">
        <v>0</v>
      </c>
      <c r="CK207" s="5" t="n">
        <v>0</v>
      </c>
      <c r="CL207" s="5" t="n">
        <v>0</v>
      </c>
      <c r="CM207" s="5" t="n">
        <v>0</v>
      </c>
      <c r="CN207" s="5" t="n">
        <v>0</v>
      </c>
      <c r="CO207" s="5" t="n">
        <v>0</v>
      </c>
      <c r="CP207" s="5" t="n">
        <v>0</v>
      </c>
      <c r="CQ207" s="5" t="n">
        <v>1.294</v>
      </c>
      <c r="CR207" s="5" t="n">
        <v>0</v>
      </c>
      <c r="CS207" s="5" t="n">
        <v>5.158</v>
      </c>
      <c r="CT207" s="5" t="n">
        <v>10.485</v>
      </c>
      <c r="CU207" s="5" t="n">
        <v>29.494</v>
      </c>
    </row>
    <row r="208">
      <c r="A208" s="5" t="inlineStr">
        <is>
          <t>CUW2023</t>
        </is>
      </c>
      <c r="B208" s="5" t="inlineStr">
        <is>
          <t>CUW</t>
        </is>
      </c>
      <c r="C208" s="5" t="inlineStr">
        <is>
          <t>CUW</t>
        </is>
      </c>
      <c r="D208" s="5" t="inlineStr">
        <is>
          <t>Curaçao</t>
        </is>
      </c>
      <c r="E208" s="5" t="n">
        <v>2023</v>
      </c>
      <c r="F208" s="5" t="n">
        <v>0.06</v>
      </c>
      <c r="G208" s="5" t="n">
        <v>6.147</v>
      </c>
      <c r="H208" s="5" t="n">
        <v>1.286</v>
      </c>
      <c r="I208" s="5" t="n">
        <v>0</v>
      </c>
      <c r="J208" s="5" t="n">
        <v>6.147</v>
      </c>
      <c r="K208" s="5" t="n">
        <v>0</v>
      </c>
      <c r="L208" s="5" t="n">
        <v>1</v>
      </c>
      <c r="M208" s="5" t="n">
        <v>7.886</v>
      </c>
      <c r="N208" s="5" t="n">
        <v>3.857</v>
      </c>
      <c r="O208" s="5" t="n">
        <v>0</v>
      </c>
      <c r="P208" s="5" t="n">
        <v>7.886</v>
      </c>
      <c r="Q208" s="5" t="n">
        <v>0</v>
      </c>
      <c r="R208" s="5" t="n">
        <v>1</v>
      </c>
      <c r="S208" s="5" t="n">
        <v>12.575</v>
      </c>
      <c r="T208" s="5" t="n">
        <v>7.714</v>
      </c>
      <c r="U208" s="5" t="n">
        <v>0.08400000000000001</v>
      </c>
      <c r="V208" s="5" t="n">
        <v>13.33</v>
      </c>
      <c r="W208" s="5" t="n">
        <v>0.06</v>
      </c>
      <c r="X208" s="5" t="n">
        <v>1</v>
      </c>
      <c r="Y208" s="5" t="n">
        <v>6.656</v>
      </c>
      <c r="Z208" s="5" t="n">
        <v>0.895</v>
      </c>
      <c r="AA208" s="5" t="n">
        <v>0</v>
      </c>
      <c r="AB208" s="5" t="n">
        <v>6.656</v>
      </c>
      <c r="AC208" s="5" t="n">
        <v>0</v>
      </c>
      <c r="AD208" s="5" t="n">
        <v>1</v>
      </c>
      <c r="AE208" s="5" t="n">
        <v>7.942</v>
      </c>
      <c r="AF208" s="5" t="n">
        <v>1.86</v>
      </c>
      <c r="AG208" s="5" t="n">
        <v>0</v>
      </c>
      <c r="AH208" s="5" t="n">
        <v>7.942</v>
      </c>
      <c r="AI208" s="5" t="n">
        <v>0</v>
      </c>
      <c r="AJ208" s="5" t="n">
        <v>1</v>
      </c>
      <c r="AK208" s="5" t="n">
        <v>15.656</v>
      </c>
      <c r="AL208" s="5" t="n">
        <v>8.412000000000001</v>
      </c>
      <c r="AM208" s="5" t="n">
        <v>0.104</v>
      </c>
      <c r="AN208" s="5" t="n">
        <v>16.595</v>
      </c>
      <c r="AO208" s="5" t="n">
        <v>0.06</v>
      </c>
      <c r="AP208" s="5" t="n">
        <v>1</v>
      </c>
      <c r="AQ208" s="5" t="n">
        <v>0.791</v>
      </c>
      <c r="AR208" s="5" t="n">
        <v>0.129</v>
      </c>
      <c r="AS208" s="5" t="n">
        <v>0.406</v>
      </c>
      <c r="AT208" s="5" t="n">
        <v>1.268</v>
      </c>
      <c r="AU208" s="5" t="n">
        <v>0.06</v>
      </c>
      <c r="AV208" s="5" t="n">
        <v>1</v>
      </c>
      <c r="AW208" s="5" t="n">
        <v>0.618</v>
      </c>
      <c r="AX208" s="5" t="n">
        <v>0.129</v>
      </c>
      <c r="AY208" s="5" t="n">
        <v>0.35</v>
      </c>
      <c r="AZ208" s="5" t="n">
        <v>1.026</v>
      </c>
      <c r="BA208" s="5" t="n">
        <v>0.06</v>
      </c>
      <c r="BB208" s="5" t="n">
        <v>1</v>
      </c>
      <c r="BC208" s="5" t="n">
        <v>0.554</v>
      </c>
      <c r="BD208" s="5" t="n">
        <v>0.129</v>
      </c>
      <c r="BE208" s="5" t="n">
        <v>0.004</v>
      </c>
      <c r="BF208" s="5" t="n">
        <v>0.588</v>
      </c>
      <c r="BG208" s="5" t="n">
        <v>0.06</v>
      </c>
      <c r="BH208" s="5" t="n">
        <v>1</v>
      </c>
      <c r="BI208" s="5" t="n">
        <v>0.5570000000000001</v>
      </c>
      <c r="BJ208" s="5" t="n">
        <v>0.129</v>
      </c>
      <c r="BK208" s="5" t="n">
        <v>0.387</v>
      </c>
      <c r="BL208" s="5" t="n">
        <v>1.001</v>
      </c>
      <c r="BM208" s="5" t="n">
        <v>0.06</v>
      </c>
      <c r="BN208" s="5" t="n">
        <v>1</v>
      </c>
      <c r="BO208" s="5" t="n">
        <v>0</v>
      </c>
      <c r="BP208" s="5" t="n">
        <v>0</v>
      </c>
      <c r="BQ208" s="5" t="n">
        <v>0</v>
      </c>
      <c r="BR208" s="5" t="n">
        <v>0</v>
      </c>
      <c r="BS208" s="5" t="n">
        <v>1</v>
      </c>
      <c r="BT208" s="5" t="n">
        <v>0</v>
      </c>
      <c r="BU208" s="5" t="n">
        <v>0</v>
      </c>
      <c r="BV208" s="5" t="n">
        <v>0</v>
      </c>
      <c r="BW208" s="5" t="n">
        <v>0.06</v>
      </c>
      <c r="BX208" s="5" t="n">
        <v>1</v>
      </c>
      <c r="BY208" s="5" t="n">
        <v>13.254</v>
      </c>
      <c r="BZ208" s="5" t="n">
        <v>0</v>
      </c>
      <c r="CA208" s="5" t="n">
        <v>13.254</v>
      </c>
      <c r="CB208" s="5" t="n">
        <v>0</v>
      </c>
      <c r="CC208" s="5" t="n">
        <v>83.248</v>
      </c>
      <c r="CD208" s="5" t="n">
        <v>7.95</v>
      </c>
      <c r="CE208" s="5" t="n">
        <v>0.553</v>
      </c>
      <c r="CF208" s="5" t="n">
        <v>88.24299999999999</v>
      </c>
      <c r="CG208" s="5" t="n">
        <v>0.06</v>
      </c>
      <c r="CH208" s="5" t="n">
        <v>1</v>
      </c>
      <c r="CI208" s="5" t="n">
        <v>0</v>
      </c>
      <c r="CJ208" s="5" t="n">
        <v>0</v>
      </c>
      <c r="CK208" s="5" t="n">
        <v>0</v>
      </c>
      <c r="CL208" s="5" t="n">
        <v>0</v>
      </c>
      <c r="CM208" s="5" t="n">
        <v>0</v>
      </c>
      <c r="CN208" s="5" t="n">
        <v>0</v>
      </c>
      <c r="CO208" s="5" t="n">
        <v>0</v>
      </c>
      <c r="CP208" s="5" t="n">
        <v>0</v>
      </c>
      <c r="CQ208" s="5" t="n">
        <v>1.348</v>
      </c>
      <c r="CR208" s="5" t="n">
        <v>0</v>
      </c>
      <c r="CS208" s="5" t="n">
        <v>5.37</v>
      </c>
      <c r="CT208" s="5" t="n">
        <v>4.861</v>
      </c>
      <c r="CU208" s="5" t="n">
        <v>11.192</v>
      </c>
    </row>
    <row r="209">
      <c r="A209" s="5" t="inlineStr">
        <is>
          <t>CUW2024</t>
        </is>
      </c>
      <c r="B209" s="5" t="inlineStr">
        <is>
          <t>CUW</t>
        </is>
      </c>
      <c r="C209" s="5" t="inlineStr">
        <is>
          <t>CUW</t>
        </is>
      </c>
      <c r="D209" s="5" t="inlineStr">
        <is>
          <t>Curaçao</t>
        </is>
      </c>
      <c r="E209" s="5" t="n">
        <v>2024</v>
      </c>
      <c r="F209" s="5" t="n">
        <v>0.06</v>
      </c>
      <c r="G209" s="5" t="n">
        <v>5.575</v>
      </c>
      <c r="H209" s="5" t="n">
        <v>1.324</v>
      </c>
      <c r="I209" s="5" t="n">
        <v>0</v>
      </c>
      <c r="J209" s="5" t="n">
        <v>5.575</v>
      </c>
      <c r="K209" s="5" t="n">
        <v>0</v>
      </c>
      <c r="L209" s="5" t="n">
        <v>1</v>
      </c>
      <c r="M209" s="5" t="n">
        <v>7.124</v>
      </c>
      <c r="N209" s="5" t="n">
        <v>3.971</v>
      </c>
      <c r="O209" s="5" t="n">
        <v>0</v>
      </c>
      <c r="P209" s="5" t="n">
        <v>7.124</v>
      </c>
      <c r="Q209" s="5" t="n">
        <v>0</v>
      </c>
      <c r="R209" s="5" t="n">
        <v>1</v>
      </c>
      <c r="S209" s="5" t="n">
        <v>12.193</v>
      </c>
      <c r="T209" s="5" t="n">
        <v>7.942</v>
      </c>
      <c r="U209" s="5" t="n">
        <v>0.1</v>
      </c>
      <c r="V209" s="5" t="n">
        <v>12.924</v>
      </c>
      <c r="W209" s="5" t="n">
        <v>0.06</v>
      </c>
      <c r="X209" s="5" t="n">
        <v>1</v>
      </c>
      <c r="Y209" s="5" t="n">
        <v>6.853</v>
      </c>
      <c r="Z209" s="5" t="n">
        <v>0.922</v>
      </c>
      <c r="AA209" s="5" t="n">
        <v>0</v>
      </c>
      <c r="AB209" s="5" t="n">
        <v>6.853</v>
      </c>
      <c r="AC209" s="5" t="n">
        <v>0</v>
      </c>
      <c r="AD209" s="5" t="n">
        <v>1</v>
      </c>
      <c r="AE209" s="5" t="n">
        <v>8.176</v>
      </c>
      <c r="AF209" s="5" t="n">
        <v>1.915</v>
      </c>
      <c r="AG209" s="5" t="n">
        <v>0</v>
      </c>
      <c r="AH209" s="5" t="n">
        <v>8.176</v>
      </c>
      <c r="AI209" s="5" t="n">
        <v>0</v>
      </c>
      <c r="AJ209" s="5" t="n">
        <v>1</v>
      </c>
      <c r="AK209" s="5" t="n">
        <v>16.118</v>
      </c>
      <c r="AL209" s="5" t="n">
        <v>8.66</v>
      </c>
      <c r="AM209" s="5" t="n">
        <v>0.132</v>
      </c>
      <c r="AN209" s="5" t="n">
        <v>17.085</v>
      </c>
      <c r="AO209" s="5" t="n">
        <v>0.06</v>
      </c>
      <c r="AP209" s="5" t="n">
        <v>1</v>
      </c>
      <c r="AQ209" s="5" t="n">
        <v>0.756</v>
      </c>
      <c r="AR209" s="5" t="n">
        <v>0.132</v>
      </c>
      <c r="AS209" s="5" t="n">
        <v>0.372</v>
      </c>
      <c r="AT209" s="5" t="n">
        <v>1.196</v>
      </c>
      <c r="AU209" s="5" t="n">
        <v>0.06</v>
      </c>
      <c r="AV209" s="5" t="n">
        <v>1</v>
      </c>
      <c r="AW209" s="5" t="n">
        <v>0.655</v>
      </c>
      <c r="AX209" s="5" t="n">
        <v>0.132</v>
      </c>
      <c r="AY209" s="5" t="n">
        <v>0.286</v>
      </c>
      <c r="AZ209" s="5" t="n">
        <v>0.997</v>
      </c>
      <c r="BA209" s="5" t="n">
        <v>0.06</v>
      </c>
      <c r="BB209" s="5" t="n">
        <v>1</v>
      </c>
      <c r="BC209" s="5" t="n">
        <v>0.534</v>
      </c>
      <c r="BD209" s="5" t="n">
        <v>0.132</v>
      </c>
      <c r="BE209" s="5" t="n">
        <v>0.004</v>
      </c>
      <c r="BF209" s="5" t="n">
        <v>0.5659999999999999</v>
      </c>
      <c r="BG209" s="5" t="n">
        <v>0.06</v>
      </c>
      <c r="BH209" s="5" t="n">
        <v>1</v>
      </c>
      <c r="BI209" s="5" t="n">
        <v>0.5679999999999999</v>
      </c>
      <c r="BJ209" s="5" t="n">
        <v>0.132</v>
      </c>
      <c r="BK209" s="5" t="n">
        <v>0.268</v>
      </c>
      <c r="BL209" s="5" t="n">
        <v>0.885</v>
      </c>
      <c r="BM209" s="5" t="n">
        <v>0.06</v>
      </c>
      <c r="BN209" s="5" t="n">
        <v>1</v>
      </c>
      <c r="BO209" s="5" t="n">
        <v>0</v>
      </c>
      <c r="BP209" s="5" t="n">
        <v>0</v>
      </c>
      <c r="BQ209" s="5" t="n">
        <v>0</v>
      </c>
      <c r="BR209" s="5" t="n">
        <v>0</v>
      </c>
      <c r="BS209" s="5" t="n">
        <v>1</v>
      </c>
      <c r="BT209" s="5" t="n">
        <v>0</v>
      </c>
      <c r="BU209" s="5" t="n">
        <v>0</v>
      </c>
      <c r="BV209" s="5" t="n">
        <v>0</v>
      </c>
      <c r="BW209" s="5" t="n">
        <v>0.06</v>
      </c>
      <c r="BX209" s="5" t="n">
        <v>1</v>
      </c>
      <c r="BY209" s="5" t="n">
        <v>13.646</v>
      </c>
      <c r="BZ209" s="5" t="n">
        <v>0</v>
      </c>
      <c r="CA209" s="5" t="n">
        <v>13.646</v>
      </c>
      <c r="CB209" s="5" t="n">
        <v>0</v>
      </c>
      <c r="CC209" s="5" t="n">
        <v>82.58799999999999</v>
      </c>
      <c r="CD209" s="5" t="n">
        <v>7.95</v>
      </c>
      <c r="CE209" s="5" t="n">
        <v>0.675</v>
      </c>
      <c r="CF209" s="5" t="n">
        <v>87.54300000000001</v>
      </c>
      <c r="CG209" s="5" t="n">
        <v>0.06</v>
      </c>
      <c r="CH209" s="5" t="n">
        <v>1</v>
      </c>
      <c r="CI209" s="5" t="n">
        <v>0</v>
      </c>
      <c r="CJ209" s="5" t="n">
        <v>0</v>
      </c>
      <c r="CK209" s="5" t="n">
        <v>0</v>
      </c>
      <c r="CL209" s="5" t="n">
        <v>0</v>
      </c>
      <c r="CM209" s="5" t="n">
        <v>0</v>
      </c>
      <c r="CN209" s="5" t="n">
        <v>0</v>
      </c>
      <c r="CO209" s="5" t="n">
        <v>0</v>
      </c>
      <c r="CP209" s="5" t="n">
        <v>0</v>
      </c>
      <c r="CQ209" s="5" t="n">
        <v>1.387</v>
      </c>
      <c r="CR209" s="5" t="n">
        <v>0</v>
      </c>
      <c r="CS209" s="5" t="n">
        <v>5.529</v>
      </c>
      <c r="CT209" s="5" t="n">
        <v>4.251</v>
      </c>
      <c r="CU209" s="5" t="n">
        <v>10.123</v>
      </c>
    </row>
    <row r="210">
      <c r="A210" s="5" t="inlineStr">
        <is>
          <t>CYP2021</t>
        </is>
      </c>
      <c r="B210" s="5" t="inlineStr">
        <is>
          <t>CYP</t>
        </is>
      </c>
      <c r="C210" s="5" t="inlineStr">
        <is>
          <t>CYP</t>
        </is>
      </c>
      <c r="D210" s="5" t="inlineStr">
        <is>
          <t>Cyprus</t>
        </is>
      </c>
      <c r="E210" s="5" t="n">
        <v>2021</v>
      </c>
      <c r="F210" s="5" t="n">
        <v>0.19</v>
      </c>
      <c r="G210" s="5" t="n">
        <v>5.702</v>
      </c>
      <c r="H210" s="5" t="n">
        <v>1.13</v>
      </c>
      <c r="I210" s="5" t="n">
        <v>2.34</v>
      </c>
      <c r="J210" s="5" t="n">
        <v>8.041</v>
      </c>
      <c r="K210" s="5" t="n">
        <v>0</v>
      </c>
      <c r="L210" s="5" t="n">
        <v>1</v>
      </c>
      <c r="M210" s="5" t="n">
        <v>7.843</v>
      </c>
      <c r="N210" s="5" t="n">
        <v>3.389</v>
      </c>
      <c r="O210" s="5" t="n">
        <v>2.324</v>
      </c>
      <c r="P210" s="5" t="n">
        <v>10.167</v>
      </c>
      <c r="Q210" s="5" t="n">
        <v>0</v>
      </c>
      <c r="R210" s="5" t="n">
        <v>1</v>
      </c>
      <c r="S210" s="5" t="n">
        <v>11.349</v>
      </c>
      <c r="T210" s="5" t="n">
        <v>6.777</v>
      </c>
      <c r="U210" s="5" t="n">
        <v>0</v>
      </c>
      <c r="V210" s="5" t="n">
        <v>13.506</v>
      </c>
      <c r="W210" s="5" t="n">
        <v>0.19</v>
      </c>
      <c r="X210" s="5" t="n">
        <v>1</v>
      </c>
      <c r="Y210" s="5" t="n">
        <v>16.305</v>
      </c>
      <c r="Z210" s="5" t="n">
        <v>1.143</v>
      </c>
      <c r="AA210" s="5" t="n">
        <v>1.343</v>
      </c>
      <c r="AB210" s="5" t="n">
        <v>17.648</v>
      </c>
      <c r="AC210" s="5" t="n">
        <v>0</v>
      </c>
      <c r="AD210" s="5" t="n">
        <v>1</v>
      </c>
      <c r="AE210" s="5" t="n">
        <v>17.449</v>
      </c>
      <c r="AF210" s="5" t="n">
        <v>2.287</v>
      </c>
      <c r="AG210" s="5" t="n">
        <v>1.343</v>
      </c>
      <c r="AH210" s="5" t="n">
        <v>18.792</v>
      </c>
      <c r="AI210" s="5" t="n">
        <v>0</v>
      </c>
      <c r="AJ210" s="5" t="n">
        <v>1</v>
      </c>
      <c r="AK210" s="5" t="n">
        <v>24.309</v>
      </c>
      <c r="AL210" s="5" t="n">
        <v>9.147</v>
      </c>
      <c r="AM210" s="5" t="n">
        <v>0</v>
      </c>
      <c r="AN210" s="5" t="n">
        <v>28.927</v>
      </c>
      <c r="AO210" s="5" t="n">
        <v>0.19</v>
      </c>
      <c r="AP210" s="5" t="n">
        <v>1</v>
      </c>
      <c r="AQ210" s="5" t="n">
        <v>0.619</v>
      </c>
      <c r="AR210" s="5" t="n">
        <v>0.114</v>
      </c>
      <c r="AS210" s="5" t="n">
        <v>0.619</v>
      </c>
      <c r="AT210" s="5" t="n">
        <v>1.474</v>
      </c>
      <c r="AU210" s="5" t="n">
        <v>0.19</v>
      </c>
      <c r="AV210" s="5" t="n">
        <v>1</v>
      </c>
      <c r="AW210" s="5" t="n">
        <v>0.599</v>
      </c>
      <c r="AX210" s="5" t="n">
        <v>0.114</v>
      </c>
      <c r="AY210" s="5" t="n">
        <v>0.675</v>
      </c>
      <c r="AZ210" s="5" t="n">
        <v>1.517</v>
      </c>
      <c r="BA210" s="5" t="n">
        <v>0.19</v>
      </c>
      <c r="BB210" s="5" t="n">
        <v>1</v>
      </c>
      <c r="BC210" s="5" t="n">
        <v>0.439</v>
      </c>
      <c r="BD210" s="5" t="n">
        <v>0.114</v>
      </c>
      <c r="BE210" s="5" t="n">
        <v>0.005</v>
      </c>
      <c r="BF210" s="5" t="n">
        <v>0.528</v>
      </c>
      <c r="BG210" s="5" t="n">
        <v>0.19</v>
      </c>
      <c r="BH210" s="5" t="n">
        <v>1</v>
      </c>
      <c r="BI210" s="5" t="n">
        <v>0.505</v>
      </c>
      <c r="BJ210" s="5" t="n">
        <v>0.114</v>
      </c>
      <c r="BK210" s="5" t="n">
        <v>0.311</v>
      </c>
      <c r="BL210" s="5" t="n">
        <v>0.971</v>
      </c>
      <c r="BM210" s="5" t="n">
        <v>0.19</v>
      </c>
      <c r="BN210" s="5" t="n">
        <v>1</v>
      </c>
      <c r="BO210" s="5" t="n">
        <v>0</v>
      </c>
      <c r="BP210" s="5" t="n">
        <v>0.058</v>
      </c>
      <c r="BQ210" s="5" t="n">
        <v>0.2</v>
      </c>
      <c r="BR210" s="5" t="n">
        <v>0</v>
      </c>
      <c r="BS210" s="5" t="n">
        <v>1</v>
      </c>
      <c r="BT210" s="5" t="n">
        <v>0</v>
      </c>
      <c r="BU210" s="5" t="n">
        <v>0.052</v>
      </c>
      <c r="BV210" s="5" t="n">
        <v>0.253</v>
      </c>
      <c r="BW210" s="5" t="n">
        <v>0.19</v>
      </c>
      <c r="BX210" s="5" t="n">
        <v>1</v>
      </c>
      <c r="BY210" s="5" t="n">
        <v>11.787</v>
      </c>
      <c r="BZ210" s="5" t="n">
        <v>0</v>
      </c>
      <c r="CA210" s="5" t="n">
        <v>11.787</v>
      </c>
      <c r="CB210" s="5" t="n">
        <v>0</v>
      </c>
      <c r="CC210" s="5" t="n">
        <v>78.125</v>
      </c>
      <c r="CD210" s="5" t="n">
        <v>7.95</v>
      </c>
      <c r="CE210" s="5" t="n">
        <v>59.674</v>
      </c>
      <c r="CF210" s="5" t="n">
        <v>163.981</v>
      </c>
      <c r="CG210" s="5" t="n">
        <v>0.19</v>
      </c>
      <c r="CH210" s="5" t="n">
        <v>1</v>
      </c>
      <c r="CI210" s="5" t="n">
        <v>0</v>
      </c>
      <c r="CJ210" s="5" t="n">
        <v>0</v>
      </c>
      <c r="CK210" s="5" t="n">
        <v>0</v>
      </c>
      <c r="CL210" s="5" t="n">
        <v>0</v>
      </c>
      <c r="CM210" s="5" t="n">
        <v>0</v>
      </c>
      <c r="CN210" s="5" t="n">
        <v>0</v>
      </c>
      <c r="CO210" s="5" t="n">
        <v>0</v>
      </c>
      <c r="CP210" s="5" t="n">
        <v>0.024</v>
      </c>
      <c r="CQ210" s="5" t="n">
        <v>1.198</v>
      </c>
      <c r="CR210" s="5" t="n">
        <v>0</v>
      </c>
      <c r="CS210" s="5" t="n">
        <v>3.979</v>
      </c>
      <c r="CT210" s="5" t="n">
        <v>4.655</v>
      </c>
      <c r="CU210" s="5" t="n">
        <v>15.162</v>
      </c>
    </row>
    <row r="211">
      <c r="A211" s="5" t="inlineStr">
        <is>
          <t>CYP2022</t>
        </is>
      </c>
      <c r="B211" s="5" t="inlineStr">
        <is>
          <t>CYP</t>
        </is>
      </c>
      <c r="C211" s="5" t="inlineStr">
        <is>
          <t>CYP</t>
        </is>
      </c>
      <c r="D211" s="5" t="inlineStr">
        <is>
          <t>Cyprus</t>
        </is>
      </c>
      <c r="E211" s="5" t="n">
        <v>2022</v>
      </c>
      <c r="F211" s="5" t="n">
        <v>0.19</v>
      </c>
      <c r="G211" s="5" t="n">
        <v>9.759</v>
      </c>
      <c r="H211" s="5" t="n">
        <v>1.235</v>
      </c>
      <c r="I211" s="5" t="n">
        <v>8.414</v>
      </c>
      <c r="J211" s="5" t="n">
        <v>18.173</v>
      </c>
      <c r="K211" s="5" t="n">
        <v>0</v>
      </c>
      <c r="L211" s="5" t="n">
        <v>1</v>
      </c>
      <c r="M211" s="5" t="n">
        <v>9.782999999999999</v>
      </c>
      <c r="N211" s="5" t="n">
        <v>3.704</v>
      </c>
      <c r="O211" s="5" t="n">
        <v>8.358000000000001</v>
      </c>
      <c r="P211" s="5" t="n">
        <v>18.141</v>
      </c>
      <c r="Q211" s="5" t="n">
        <v>0</v>
      </c>
      <c r="R211" s="5" t="n">
        <v>1</v>
      </c>
      <c r="S211" s="5" t="n">
        <v>15.932</v>
      </c>
      <c r="T211" s="5" t="n">
        <v>7.408</v>
      </c>
      <c r="U211" s="5" t="n">
        <v>0.224</v>
      </c>
      <c r="V211" s="5" t="n">
        <v>18.959</v>
      </c>
      <c r="W211" s="5" t="n">
        <v>0.19</v>
      </c>
      <c r="X211" s="5" t="n">
        <v>1</v>
      </c>
      <c r="Y211" s="5" t="n">
        <v>32.56</v>
      </c>
      <c r="Z211" s="5" t="n">
        <v>1.235</v>
      </c>
      <c r="AA211" s="5" t="n">
        <v>4.829</v>
      </c>
      <c r="AB211" s="5" t="n">
        <v>37.389</v>
      </c>
      <c r="AC211" s="5" t="n">
        <v>0</v>
      </c>
      <c r="AD211" s="5" t="n">
        <v>1</v>
      </c>
      <c r="AE211" s="5" t="n">
        <v>33.795</v>
      </c>
      <c r="AF211" s="5" t="n">
        <v>2.469</v>
      </c>
      <c r="AG211" s="5" t="n">
        <v>4.831</v>
      </c>
      <c r="AH211" s="5" t="n">
        <v>38.626</v>
      </c>
      <c r="AI211" s="5" t="n">
        <v>0</v>
      </c>
      <c r="AJ211" s="5" t="n">
        <v>1</v>
      </c>
      <c r="AK211" s="5" t="n">
        <v>41.203</v>
      </c>
      <c r="AL211" s="5" t="n">
        <v>9.878</v>
      </c>
      <c r="AM211" s="5" t="n">
        <v>0.579</v>
      </c>
      <c r="AN211" s="5" t="n">
        <v>49.032</v>
      </c>
      <c r="AO211" s="5" t="n">
        <v>0.19</v>
      </c>
      <c r="AP211" s="5" t="n">
        <v>1</v>
      </c>
      <c r="AQ211" s="5" t="n">
        <v>0.861</v>
      </c>
      <c r="AR211" s="5" t="n">
        <v>0.123</v>
      </c>
      <c r="AS211" s="5" t="n">
        <v>0.499</v>
      </c>
      <c r="AT211" s="5" t="n">
        <v>1.618</v>
      </c>
      <c r="AU211" s="5" t="n">
        <v>0.19</v>
      </c>
      <c r="AV211" s="5" t="n">
        <v>1</v>
      </c>
      <c r="AW211" s="5" t="n">
        <v>0.986</v>
      </c>
      <c r="AX211" s="5" t="n">
        <v>0.123</v>
      </c>
      <c r="AY211" s="5" t="n">
        <v>0.556</v>
      </c>
      <c r="AZ211" s="5" t="n">
        <v>1.835</v>
      </c>
      <c r="BA211" s="5" t="n">
        <v>0.19</v>
      </c>
      <c r="BB211" s="5" t="n">
        <v>1</v>
      </c>
      <c r="BC211" s="5" t="n">
        <v>0.598</v>
      </c>
      <c r="BD211" s="5" t="n">
        <v>0.123</v>
      </c>
      <c r="BE211" s="5" t="n">
        <v>0.016</v>
      </c>
      <c r="BF211" s="5" t="n">
        <v>0.72</v>
      </c>
      <c r="BG211" s="5" t="n">
        <v>0.19</v>
      </c>
      <c r="BH211" s="5" t="n">
        <v>1</v>
      </c>
      <c r="BI211" s="5" t="n">
        <v>0.612</v>
      </c>
      <c r="BJ211" s="5" t="n">
        <v>0.123</v>
      </c>
      <c r="BK211" s="5" t="n">
        <v>0.525</v>
      </c>
      <c r="BL211" s="5" t="n">
        <v>1.353</v>
      </c>
      <c r="BM211" s="5" t="n">
        <v>0.19</v>
      </c>
      <c r="BN211" s="5" t="n">
        <v>1</v>
      </c>
      <c r="BO211" s="5" t="n">
        <v>0</v>
      </c>
      <c r="BP211" s="5" t="n">
        <v>0.076</v>
      </c>
      <c r="BQ211" s="5" t="n">
        <v>0.285</v>
      </c>
      <c r="BR211" s="5" t="n">
        <v>0</v>
      </c>
      <c r="BS211" s="5" t="n">
        <v>1</v>
      </c>
      <c r="BT211" s="5" t="n">
        <v>0</v>
      </c>
      <c r="BU211" s="5" t="n">
        <v>0.046</v>
      </c>
      <c r="BV211" s="5" t="n">
        <v>0.309</v>
      </c>
      <c r="BW211" s="5" t="n">
        <v>0.19</v>
      </c>
      <c r="BX211" s="5" t="n">
        <v>1</v>
      </c>
      <c r="BY211" s="5" t="n">
        <v>12.729</v>
      </c>
      <c r="BZ211" s="5" t="n">
        <v>0</v>
      </c>
      <c r="CA211" s="5" t="n">
        <v>12.729</v>
      </c>
      <c r="CB211" s="5" t="n">
        <v>0</v>
      </c>
      <c r="CC211" s="5" t="n">
        <v>97.90000000000001</v>
      </c>
      <c r="CD211" s="5" t="n">
        <v>7.95</v>
      </c>
      <c r="CE211" s="5" t="n">
        <v>116.835</v>
      </c>
      <c r="CF211" s="5" t="n">
        <v>255.534</v>
      </c>
      <c r="CG211" s="5" t="n">
        <v>0.19</v>
      </c>
      <c r="CH211" s="5" t="n">
        <v>1</v>
      </c>
      <c r="CI211" s="5" t="n">
        <v>0</v>
      </c>
      <c r="CJ211" s="5" t="n">
        <v>0</v>
      </c>
      <c r="CK211" s="5" t="n">
        <v>0</v>
      </c>
      <c r="CL211" s="5" t="n">
        <v>0</v>
      </c>
      <c r="CM211" s="5" t="n">
        <v>0</v>
      </c>
      <c r="CN211" s="5" t="n">
        <v>0</v>
      </c>
      <c r="CO211" s="5" t="n">
        <v>0</v>
      </c>
      <c r="CP211" s="5" t="n">
        <v>0</v>
      </c>
      <c r="CQ211" s="5" t="n">
        <v>1.294</v>
      </c>
      <c r="CR211" s="5" t="n">
        <v>0</v>
      </c>
      <c r="CS211" s="5" t="n">
        <v>4.297</v>
      </c>
      <c r="CT211" s="5" t="n">
        <v>8.523999999999999</v>
      </c>
      <c r="CU211" s="5" t="n">
        <v>31.326</v>
      </c>
    </row>
    <row r="212">
      <c r="A212" s="5" t="inlineStr">
        <is>
          <t>CYP2023</t>
        </is>
      </c>
      <c r="B212" s="5" t="inlineStr">
        <is>
          <t>CYP</t>
        </is>
      </c>
      <c r="C212" s="5" t="inlineStr">
        <is>
          <t>CYP</t>
        </is>
      </c>
      <c r="D212" s="5" t="inlineStr">
        <is>
          <t>Cyprus</t>
        </is>
      </c>
      <c r="E212" s="5" t="n">
        <v>2023</v>
      </c>
      <c r="F212" s="5" t="n">
        <v>0.19</v>
      </c>
      <c r="G212" s="5" t="n">
        <v>4.261</v>
      </c>
      <c r="H212" s="5" t="n">
        <v>0.947</v>
      </c>
      <c r="I212" s="5" t="n">
        <v>9.750999999999999</v>
      </c>
      <c r="J212" s="5" t="n">
        <v>14.011</v>
      </c>
      <c r="K212" s="5" t="n">
        <v>0</v>
      </c>
      <c r="L212" s="5" t="n">
        <v>1</v>
      </c>
      <c r="M212" s="5" t="n">
        <v>5.459</v>
      </c>
      <c r="N212" s="5" t="n">
        <v>2.841</v>
      </c>
      <c r="O212" s="5" t="n">
        <v>9.686</v>
      </c>
      <c r="P212" s="5" t="n">
        <v>15.145</v>
      </c>
      <c r="Q212" s="5" t="n">
        <v>0</v>
      </c>
      <c r="R212" s="5" t="n">
        <v>1</v>
      </c>
      <c r="S212" s="5" t="n">
        <v>8.997</v>
      </c>
      <c r="T212" s="5" t="n">
        <v>5.683</v>
      </c>
      <c r="U212" s="5" t="n">
        <v>0.189</v>
      </c>
      <c r="V212" s="5" t="n">
        <v>10.706</v>
      </c>
      <c r="W212" s="5" t="n">
        <v>0.19</v>
      </c>
      <c r="X212" s="5" t="n">
        <v>1</v>
      </c>
      <c r="Y212" s="5" t="n">
        <v>12.908</v>
      </c>
      <c r="Z212" s="5" t="n">
        <v>1.286</v>
      </c>
      <c r="AA212" s="5" t="n">
        <v>5.596</v>
      </c>
      <c r="AB212" s="5" t="n">
        <v>18.504</v>
      </c>
      <c r="AC212" s="5" t="n">
        <v>0</v>
      </c>
      <c r="AD212" s="5" t="n">
        <v>1</v>
      </c>
      <c r="AE212" s="5" t="n">
        <v>14.194</v>
      </c>
      <c r="AF212" s="5" t="n">
        <v>2.571</v>
      </c>
      <c r="AG212" s="5" t="n">
        <v>5.598</v>
      </c>
      <c r="AH212" s="5" t="n">
        <v>19.792</v>
      </c>
      <c r="AI212" s="5" t="n">
        <v>0</v>
      </c>
      <c r="AJ212" s="5" t="n">
        <v>1</v>
      </c>
      <c r="AK212" s="5" t="n">
        <v>21.908</v>
      </c>
      <c r="AL212" s="5" t="n">
        <v>10.285</v>
      </c>
      <c r="AM212" s="5" t="n">
        <v>0.461</v>
      </c>
      <c r="AN212" s="5" t="n">
        <v>26.07</v>
      </c>
      <c r="AO212" s="5" t="n">
        <v>0.19</v>
      </c>
      <c r="AP212" s="5" t="n">
        <v>1</v>
      </c>
      <c r="AQ212" s="5" t="n">
        <v>0.76</v>
      </c>
      <c r="AR212" s="5" t="n">
        <v>0.129</v>
      </c>
      <c r="AS212" s="5" t="n">
        <v>0.555</v>
      </c>
      <c r="AT212" s="5" t="n">
        <v>1.566</v>
      </c>
      <c r="AU212" s="5" t="n">
        <v>0.19</v>
      </c>
      <c r="AV212" s="5" t="n">
        <v>1</v>
      </c>
      <c r="AW212" s="5" t="n">
        <v>0.8110000000000001</v>
      </c>
      <c r="AX212" s="5" t="n">
        <v>0.129</v>
      </c>
      <c r="AY212" s="5" t="n">
        <v>0.594</v>
      </c>
      <c r="AZ212" s="5" t="n">
        <v>1.673</v>
      </c>
      <c r="BA212" s="5" t="n">
        <v>0.19</v>
      </c>
      <c r="BB212" s="5" t="n">
        <v>1</v>
      </c>
      <c r="BC212" s="5" t="n">
        <v>0.535</v>
      </c>
      <c r="BD212" s="5" t="n">
        <v>0.129</v>
      </c>
      <c r="BE212" s="5" t="n">
        <v>0.018</v>
      </c>
      <c r="BF212" s="5" t="n">
        <v>0.644</v>
      </c>
      <c r="BG212" s="5" t="n">
        <v>0.19</v>
      </c>
      <c r="BH212" s="5" t="n">
        <v>1</v>
      </c>
      <c r="BI212" s="5" t="n">
        <v>0.579</v>
      </c>
      <c r="BJ212" s="5" t="n">
        <v>0.129</v>
      </c>
      <c r="BK212" s="5" t="n">
        <v>0.497</v>
      </c>
      <c r="BL212" s="5" t="n">
        <v>1.281</v>
      </c>
      <c r="BM212" s="5" t="n">
        <v>0.19</v>
      </c>
      <c r="BN212" s="5" t="n">
        <v>1</v>
      </c>
      <c r="BO212" s="5" t="n">
        <v>0</v>
      </c>
      <c r="BP212" s="5" t="n">
        <v>0.08599999999999999</v>
      </c>
      <c r="BQ212" s="5" t="n">
        <v>0.291</v>
      </c>
      <c r="BR212" s="5" t="n">
        <v>0</v>
      </c>
      <c r="BS212" s="5" t="n">
        <v>1</v>
      </c>
      <c r="BT212" s="5" t="n">
        <v>0</v>
      </c>
      <c r="BU212" s="5" t="n">
        <v>0.089</v>
      </c>
      <c r="BV212" s="5" t="n">
        <v>0.389</v>
      </c>
      <c r="BW212" s="5" t="n">
        <v>0.19</v>
      </c>
      <c r="BX212" s="5" t="n">
        <v>1</v>
      </c>
      <c r="BY212" s="5" t="n">
        <v>13.254</v>
      </c>
      <c r="BZ212" s="5" t="n">
        <v>0</v>
      </c>
      <c r="CA212" s="5" t="n">
        <v>13.254</v>
      </c>
      <c r="CB212" s="5" t="n">
        <v>0</v>
      </c>
      <c r="CC212" s="5" t="n">
        <v>83.248</v>
      </c>
      <c r="CD212" s="5" t="n">
        <v>7.95</v>
      </c>
      <c r="CE212" s="5" t="n">
        <v>115.756</v>
      </c>
      <c r="CF212" s="5" t="n">
        <v>236.815</v>
      </c>
      <c r="CG212" s="5" t="n">
        <v>0.19</v>
      </c>
      <c r="CH212" s="5" t="n">
        <v>1</v>
      </c>
      <c r="CI212" s="5" t="n">
        <v>0</v>
      </c>
      <c r="CJ212" s="5" t="n">
        <v>0</v>
      </c>
      <c r="CK212" s="5" t="n">
        <v>0</v>
      </c>
      <c r="CL212" s="5" t="n">
        <v>0</v>
      </c>
      <c r="CM212" s="5" t="n">
        <v>0</v>
      </c>
      <c r="CN212" s="5" t="n">
        <v>0</v>
      </c>
      <c r="CO212" s="5" t="n">
        <v>0</v>
      </c>
      <c r="CP212" s="5" t="n">
        <v>0.527</v>
      </c>
      <c r="CQ212" s="5" t="n">
        <v>1.348</v>
      </c>
      <c r="CR212" s="5" t="n">
        <v>0</v>
      </c>
      <c r="CS212" s="5" t="n">
        <v>4.474</v>
      </c>
      <c r="CT212" s="5" t="n">
        <v>5.5</v>
      </c>
      <c r="CU212" s="5" t="n">
        <v>11.622</v>
      </c>
    </row>
    <row r="213">
      <c r="A213" s="5" t="inlineStr">
        <is>
          <t>CYP2024</t>
        </is>
      </c>
      <c r="B213" s="5" t="inlineStr">
        <is>
          <t>CYP</t>
        </is>
      </c>
      <c r="C213" s="5" t="inlineStr">
        <is>
          <t>CYP</t>
        </is>
      </c>
      <c r="D213" s="5" t="inlineStr">
        <is>
          <t>Cyprus</t>
        </is>
      </c>
      <c r="E213" s="5" t="n">
        <v>2024</v>
      </c>
      <c r="F213" s="5" t="n">
        <v>0.19</v>
      </c>
      <c r="G213" s="5" t="n">
        <v>3.922</v>
      </c>
      <c r="H213" s="5" t="n">
        <v>0.975</v>
      </c>
      <c r="I213" s="5" t="n">
        <v>6.39</v>
      </c>
      <c r="J213" s="5" t="n">
        <v>10.312</v>
      </c>
      <c r="K213" s="5" t="n">
        <v>0</v>
      </c>
      <c r="L213" s="5" t="n">
        <v>1</v>
      </c>
      <c r="M213" s="5" t="n">
        <v>5.149</v>
      </c>
      <c r="N213" s="5" t="n">
        <v>2.925</v>
      </c>
      <c r="O213" s="5" t="n">
        <v>6.347</v>
      </c>
      <c r="P213" s="5" t="n">
        <v>11.496</v>
      </c>
      <c r="Q213" s="5" t="n">
        <v>0</v>
      </c>
      <c r="R213" s="5" t="n">
        <v>1</v>
      </c>
      <c r="S213" s="5" t="n">
        <v>8.797000000000001</v>
      </c>
      <c r="T213" s="5" t="n">
        <v>5.851</v>
      </c>
      <c r="U213" s="5" t="n">
        <v>0.228</v>
      </c>
      <c r="V213" s="5" t="n">
        <v>10.469</v>
      </c>
      <c r="W213" s="5" t="n">
        <v>0.19</v>
      </c>
      <c r="X213" s="5" t="n">
        <v>1</v>
      </c>
      <c r="Y213" s="5" t="n">
        <v>11.492</v>
      </c>
      <c r="Z213" s="5" t="n">
        <v>1.324</v>
      </c>
      <c r="AA213" s="5" t="n">
        <v>3.667</v>
      </c>
      <c r="AB213" s="5" t="n">
        <v>15.159</v>
      </c>
      <c r="AC213" s="5" t="n">
        <v>0</v>
      </c>
      <c r="AD213" s="5" t="n">
        <v>1</v>
      </c>
      <c r="AE213" s="5" t="n">
        <v>12.815</v>
      </c>
      <c r="AF213" s="5" t="n">
        <v>2.647</v>
      </c>
      <c r="AG213" s="5" t="n">
        <v>3.668</v>
      </c>
      <c r="AH213" s="5" t="n">
        <v>16.484</v>
      </c>
      <c r="AI213" s="5" t="n">
        <v>0</v>
      </c>
      <c r="AJ213" s="5" t="n">
        <v>1</v>
      </c>
      <c r="AK213" s="5" t="n">
        <v>20.757</v>
      </c>
      <c r="AL213" s="5" t="n">
        <v>10.589</v>
      </c>
      <c r="AM213" s="5" t="n">
        <v>0.537</v>
      </c>
      <c r="AN213" s="5" t="n">
        <v>24.701</v>
      </c>
      <c r="AO213" s="5" t="n">
        <v>0.19</v>
      </c>
      <c r="AP213" s="5" t="n">
        <v>1</v>
      </c>
      <c r="AQ213" s="5" t="n">
        <v>0.724</v>
      </c>
      <c r="AR213" s="5" t="n">
        <v>0.132</v>
      </c>
      <c r="AS213" s="5" t="n">
        <v>0.585</v>
      </c>
      <c r="AT213" s="5" t="n">
        <v>1.558</v>
      </c>
      <c r="AU213" s="5" t="n">
        <v>0.19</v>
      </c>
      <c r="AV213" s="5" t="n">
        <v>1</v>
      </c>
      <c r="AW213" s="5" t="n">
        <v>0.75</v>
      </c>
      <c r="AX213" s="5" t="n">
        <v>0.132</v>
      </c>
      <c r="AY213" s="5" t="n">
        <v>0.62</v>
      </c>
      <c r="AZ213" s="5" t="n">
        <v>1.63</v>
      </c>
      <c r="BA213" s="5" t="n">
        <v>0.19</v>
      </c>
      <c r="BB213" s="5" t="n">
        <v>1</v>
      </c>
      <c r="BC213" s="5" t="n">
        <v>0.513</v>
      </c>
      <c r="BD213" s="5" t="n">
        <v>0.132</v>
      </c>
      <c r="BE213" s="5" t="n">
        <v>0.019</v>
      </c>
      <c r="BF213" s="5" t="n">
        <v>0.618</v>
      </c>
      <c r="BG213" s="5" t="n">
        <v>0.19</v>
      </c>
      <c r="BH213" s="5" t="n">
        <v>1</v>
      </c>
      <c r="BI213" s="5" t="n">
        <v>0.591</v>
      </c>
      <c r="BJ213" s="5" t="n">
        <v>0.132</v>
      </c>
      <c r="BK213" s="5" t="n">
        <v>0.468</v>
      </c>
      <c r="BL213" s="5" t="n">
        <v>1.261</v>
      </c>
      <c r="BM213" s="5" t="n">
        <v>0.19</v>
      </c>
      <c r="BN213" s="5" t="n">
        <v>1</v>
      </c>
      <c r="BO213" s="5" t="n">
        <v>0</v>
      </c>
      <c r="BP213" s="5" t="n">
        <v>0.06900000000000001</v>
      </c>
      <c r="BQ213" s="5" t="n">
        <v>0.262</v>
      </c>
      <c r="BR213" s="5" t="n">
        <v>0</v>
      </c>
      <c r="BS213" s="5" t="n">
        <v>1</v>
      </c>
      <c r="BT213" s="5" t="n">
        <v>0</v>
      </c>
      <c r="BU213" s="5" t="n">
        <v>0.06900000000000001</v>
      </c>
      <c r="BV213" s="5" t="n">
        <v>0.351</v>
      </c>
      <c r="BW213" s="5" t="n">
        <v>0.19</v>
      </c>
      <c r="BX213" s="5" t="n">
        <v>1</v>
      </c>
      <c r="BY213" s="5" t="n">
        <v>13.646</v>
      </c>
      <c r="BZ213" s="5" t="n">
        <v>0</v>
      </c>
      <c r="CA213" s="5" t="n">
        <v>13.646</v>
      </c>
      <c r="CB213" s="5" t="n">
        <v>0</v>
      </c>
      <c r="CC213" s="5" t="n">
        <v>82.58799999999999</v>
      </c>
      <c r="CD213" s="5" t="n">
        <v>7.95</v>
      </c>
      <c r="CE213" s="5" t="n">
        <v>97.929</v>
      </c>
      <c r="CF213" s="5" t="n">
        <v>214.815</v>
      </c>
      <c r="CG213" s="5" t="n">
        <v>0.19</v>
      </c>
      <c r="CH213" s="5" t="n">
        <v>1</v>
      </c>
      <c r="CI213" s="5" t="n">
        <v>0</v>
      </c>
      <c r="CJ213" s="5" t="n">
        <v>0</v>
      </c>
      <c r="CK213" s="5" t="n">
        <v>0</v>
      </c>
      <c r="CL213" s="5" t="n">
        <v>0</v>
      </c>
      <c r="CM213" s="5" t="n">
        <v>0</v>
      </c>
      <c r="CN213" s="5" t="n">
        <v>0</v>
      </c>
      <c r="CO213" s="5" t="n">
        <v>0</v>
      </c>
      <c r="CP213" s="5" t="n">
        <v>0.527</v>
      </c>
      <c r="CQ213" s="5" t="n">
        <v>1.387</v>
      </c>
      <c r="CR213" s="5" t="n">
        <v>0</v>
      </c>
      <c r="CS213" s="5" t="n">
        <v>4.607</v>
      </c>
      <c r="CT213" s="5" t="n">
        <v>4.681</v>
      </c>
      <c r="CU213" s="5" t="n">
        <v>10.168</v>
      </c>
    </row>
    <row r="214">
      <c r="A214" s="5" t="inlineStr">
        <is>
          <t>CZE2021</t>
        </is>
      </c>
      <c r="B214" s="5" t="inlineStr">
        <is>
          <t>CZE</t>
        </is>
      </c>
      <c r="C214" s="5" t="inlineStr">
        <is>
          <t>CZE</t>
        </is>
      </c>
      <c r="D214" s="5" t="inlineStr">
        <is>
          <t>Czechia</t>
        </is>
      </c>
      <c r="E214" s="5" t="n">
        <v>2021</v>
      </c>
      <c r="F214" s="5" t="n">
        <v>0.21</v>
      </c>
      <c r="G214" s="5" t="n">
        <v>1.563</v>
      </c>
      <c r="H214" s="5" t="n">
        <v>0.342</v>
      </c>
      <c r="I214" s="5" t="n">
        <v>1.887</v>
      </c>
      <c r="J214" s="5" t="n">
        <v>3.449</v>
      </c>
      <c r="K214" s="5" t="n">
        <v>0</v>
      </c>
      <c r="L214" s="5" t="n">
        <v>1</v>
      </c>
      <c r="M214" s="5" t="n">
        <v>1.508</v>
      </c>
      <c r="N214" s="5" t="n">
        <v>0.6840000000000001</v>
      </c>
      <c r="O214" s="5" t="n">
        <v>1.941</v>
      </c>
      <c r="P214" s="5" t="n">
        <v>3.449</v>
      </c>
      <c r="Q214" s="5" t="n">
        <v>0</v>
      </c>
      <c r="R214" s="5" t="n">
        <v>1</v>
      </c>
      <c r="S214" s="5" t="n">
        <v>5.018</v>
      </c>
      <c r="T214" s="5" t="n">
        <v>3.11</v>
      </c>
      <c r="U214" s="5" t="n">
        <v>0.396</v>
      </c>
      <c r="V214" s="5" t="n">
        <v>6.55</v>
      </c>
      <c r="W214" s="5" t="n">
        <v>0.21</v>
      </c>
      <c r="X214" s="5" t="n">
        <v>1</v>
      </c>
      <c r="Y214" s="5" t="n">
        <v>14.741</v>
      </c>
      <c r="Z214" s="5" t="n">
        <v>1.628</v>
      </c>
      <c r="AA214" s="5" t="n">
        <v>-4.153</v>
      </c>
      <c r="AB214" s="5" t="n">
        <v>10.587</v>
      </c>
      <c r="AC214" s="5" t="n">
        <v>0</v>
      </c>
      <c r="AD214" s="5" t="n">
        <v>1</v>
      </c>
      <c r="AE214" s="5" t="n">
        <v>14.697</v>
      </c>
      <c r="AF214" s="5" t="n">
        <v>2.892</v>
      </c>
      <c r="AG214" s="5" t="n">
        <v>-4.11</v>
      </c>
      <c r="AH214" s="5" t="n">
        <v>10.587</v>
      </c>
      <c r="AI214" s="5" t="n">
        <v>0</v>
      </c>
      <c r="AJ214" s="5" t="n">
        <v>1</v>
      </c>
      <c r="AK214" s="5" t="n">
        <v>21.341</v>
      </c>
      <c r="AL214" s="5" t="n">
        <v>10.474</v>
      </c>
      <c r="AM214" s="5" t="n">
        <v>-6.187</v>
      </c>
      <c r="AN214" s="5" t="n">
        <v>18.335</v>
      </c>
      <c r="AO214" s="5" t="n">
        <v>0.21</v>
      </c>
      <c r="AP214" s="5" t="n">
        <v>1</v>
      </c>
      <c r="AQ214" s="5" t="n">
        <v>0.619</v>
      </c>
      <c r="AR214" s="5" t="n">
        <v>0.114</v>
      </c>
      <c r="AS214" s="5" t="n">
        <v>0.634</v>
      </c>
      <c r="AT214" s="5" t="n">
        <v>1.516</v>
      </c>
      <c r="AU214" s="5" t="n">
        <v>0.21</v>
      </c>
      <c r="AV214" s="5" t="n">
        <v>1</v>
      </c>
      <c r="AW214" s="5" t="n">
        <v>0.599</v>
      </c>
      <c r="AX214" s="5" t="n">
        <v>0.114</v>
      </c>
      <c r="AY214" s="5" t="n">
        <v>0.595</v>
      </c>
      <c r="AZ214" s="5" t="n">
        <v>1.445</v>
      </c>
      <c r="BA214" s="5" t="n">
        <v>0.21</v>
      </c>
      <c r="BB214" s="5" t="n">
        <v>1</v>
      </c>
      <c r="BC214" s="5" t="n">
        <v>0.439</v>
      </c>
      <c r="BD214" s="5" t="n">
        <v>0.114</v>
      </c>
      <c r="BE214" s="5" t="n">
        <v>0.103</v>
      </c>
      <c r="BF214" s="5" t="n">
        <v>0.656</v>
      </c>
      <c r="BG214" s="5" t="n">
        <v>0.21</v>
      </c>
      <c r="BH214" s="5" t="n">
        <v>1</v>
      </c>
      <c r="BI214" s="5" t="n">
        <v>0.505</v>
      </c>
      <c r="BJ214" s="5" t="n">
        <v>0.114</v>
      </c>
      <c r="BK214" s="5" t="n">
        <v>0.227</v>
      </c>
      <c r="BL214" s="5" t="n">
        <v>0.885</v>
      </c>
      <c r="BM214" s="5" t="n">
        <v>0.21</v>
      </c>
      <c r="BN214" s="5" t="n">
        <v>1</v>
      </c>
      <c r="BO214" s="5" t="n">
        <v>0</v>
      </c>
      <c r="BP214" s="5" t="n">
        <v>0.01</v>
      </c>
      <c r="BQ214" s="5" t="n">
        <v>0.096</v>
      </c>
      <c r="BR214" s="5" t="n">
        <v>0</v>
      </c>
      <c r="BS214" s="5" t="n">
        <v>1</v>
      </c>
      <c r="BT214" s="5" t="n">
        <v>0</v>
      </c>
      <c r="BU214" s="5" t="n">
        <v>0.021</v>
      </c>
      <c r="BV214" s="5" t="n">
        <v>0.218</v>
      </c>
      <c r="BW214" s="5" t="n">
        <v>0.21</v>
      </c>
      <c r="BX214" s="5" t="n">
        <v>1</v>
      </c>
      <c r="BY214" s="5" t="n">
        <v>11.787</v>
      </c>
      <c r="BZ214" s="5" t="n">
        <v>0</v>
      </c>
      <c r="CA214" s="5" t="n">
        <v>11.787</v>
      </c>
      <c r="CB214" s="5" t="n">
        <v>0</v>
      </c>
      <c r="CC214" s="5" t="n">
        <v>78.125</v>
      </c>
      <c r="CD214" s="5" t="n">
        <v>7.95</v>
      </c>
      <c r="CE214" s="5" t="n">
        <v>39.796</v>
      </c>
      <c r="CF214" s="5" t="n">
        <v>142.685</v>
      </c>
      <c r="CG214" s="5" t="n">
        <v>0.21</v>
      </c>
      <c r="CH214" s="5" t="n">
        <v>1</v>
      </c>
      <c r="CI214" s="5" t="n">
        <v>0</v>
      </c>
      <c r="CJ214" s="5" t="n">
        <v>0</v>
      </c>
      <c r="CK214" s="5" t="n">
        <v>0</v>
      </c>
      <c r="CL214" s="5" t="n">
        <v>0</v>
      </c>
      <c r="CM214" s="5" t="n">
        <v>0</v>
      </c>
      <c r="CN214" s="5" t="n">
        <v>0</v>
      </c>
      <c r="CO214" s="5" t="n">
        <v>0</v>
      </c>
      <c r="CP214" s="5" t="n">
        <v>0</v>
      </c>
      <c r="CQ214" s="5" t="n">
        <v>1.198</v>
      </c>
      <c r="CR214" s="5" t="n">
        <v>0</v>
      </c>
      <c r="CS214" s="5" t="n">
        <v>4.776</v>
      </c>
      <c r="CT214" s="5" t="n">
        <v>5.416</v>
      </c>
      <c r="CU214" s="5" t="n">
        <v>10.236</v>
      </c>
    </row>
    <row r="215">
      <c r="A215" s="5" t="inlineStr">
        <is>
          <t>CZE2022</t>
        </is>
      </c>
      <c r="B215" s="5" t="inlineStr">
        <is>
          <t>CZE</t>
        </is>
      </c>
      <c r="C215" s="5" t="inlineStr">
        <is>
          <t>CZE</t>
        </is>
      </c>
      <c r="D215" s="5" t="inlineStr">
        <is>
          <t>Czechia</t>
        </is>
      </c>
      <c r="E215" s="5" t="n">
        <v>2022</v>
      </c>
      <c r="F215" s="5" t="n">
        <v>0.21</v>
      </c>
      <c r="G215" s="5" t="n">
        <v>3.418</v>
      </c>
      <c r="H215" s="5" t="n">
        <v>0.531</v>
      </c>
      <c r="I215" s="5" t="n">
        <v>8.521000000000001</v>
      </c>
      <c r="J215" s="5" t="n">
        <v>11.939</v>
      </c>
      <c r="K215" s="5" t="n">
        <v>0</v>
      </c>
      <c r="L215" s="5" t="n">
        <v>1</v>
      </c>
      <c r="M215" s="5" t="n">
        <v>3.304</v>
      </c>
      <c r="N215" s="5" t="n">
        <v>1.364</v>
      </c>
      <c r="O215" s="5" t="n">
        <v>8.634</v>
      </c>
      <c r="P215" s="5" t="n">
        <v>11.939</v>
      </c>
      <c r="Q215" s="5" t="n">
        <v>0</v>
      </c>
      <c r="R215" s="5" t="n">
        <v>1</v>
      </c>
      <c r="S215" s="5" t="n">
        <v>7.282</v>
      </c>
      <c r="T215" s="5" t="n">
        <v>3.566</v>
      </c>
      <c r="U215" s="5" t="n">
        <v>0.392</v>
      </c>
      <c r="V215" s="5" t="n">
        <v>9.285</v>
      </c>
      <c r="W215" s="5" t="n">
        <v>0.21</v>
      </c>
      <c r="X215" s="5" t="n">
        <v>1</v>
      </c>
      <c r="Y215" s="5" t="n">
        <v>31.968</v>
      </c>
      <c r="Z215" s="5" t="n">
        <v>3.354</v>
      </c>
      <c r="AA215" s="5" t="n">
        <v>-5.173</v>
      </c>
      <c r="AB215" s="5" t="n">
        <v>26.795</v>
      </c>
      <c r="AC215" s="5" t="n">
        <v>0</v>
      </c>
      <c r="AD215" s="5" t="n">
        <v>1</v>
      </c>
      <c r="AE215" s="5" t="n">
        <v>32.016</v>
      </c>
      <c r="AF215" s="5" t="n">
        <v>5.935</v>
      </c>
      <c r="AG215" s="5" t="n">
        <v>-5.221</v>
      </c>
      <c r="AH215" s="5" t="n">
        <v>26.795</v>
      </c>
      <c r="AI215" s="5" t="n">
        <v>0</v>
      </c>
      <c r="AJ215" s="5" t="n">
        <v>1</v>
      </c>
      <c r="AK215" s="5" t="n">
        <v>39.208</v>
      </c>
      <c r="AL215" s="5" t="n">
        <v>18.723</v>
      </c>
      <c r="AM215" s="5" t="n">
        <v>-17.909</v>
      </c>
      <c r="AN215" s="5" t="n">
        <v>25.771</v>
      </c>
      <c r="AO215" s="5" t="n">
        <v>0.21</v>
      </c>
      <c r="AP215" s="5" t="n">
        <v>1</v>
      </c>
      <c r="AQ215" s="5" t="n">
        <v>0.861</v>
      </c>
      <c r="AR215" s="5" t="n">
        <v>0.123</v>
      </c>
      <c r="AS215" s="5" t="n">
        <v>0.615</v>
      </c>
      <c r="AT215" s="5" t="n">
        <v>1.786</v>
      </c>
      <c r="AU215" s="5" t="n">
        <v>0.21</v>
      </c>
      <c r="AV215" s="5" t="n">
        <v>1</v>
      </c>
      <c r="AW215" s="5" t="n">
        <v>0.986</v>
      </c>
      <c r="AX215" s="5" t="n">
        <v>0.123</v>
      </c>
      <c r="AY215" s="5" t="n">
        <v>0.549</v>
      </c>
      <c r="AZ215" s="5" t="n">
        <v>1.857</v>
      </c>
      <c r="BA215" s="5" t="n">
        <v>0.21</v>
      </c>
      <c r="BB215" s="5" t="n">
        <v>1</v>
      </c>
      <c r="BC215" s="5" t="n">
        <v>0.598</v>
      </c>
      <c r="BD215" s="5" t="n">
        <v>0.123</v>
      </c>
      <c r="BE215" s="5" t="n">
        <v>0.068</v>
      </c>
      <c r="BF215" s="5" t="n">
        <v>0.806</v>
      </c>
      <c r="BG215" s="5" t="n">
        <v>0.21</v>
      </c>
      <c r="BH215" s="5" t="n">
        <v>1</v>
      </c>
      <c r="BI215" s="5" t="n">
        <v>0.612</v>
      </c>
      <c r="BJ215" s="5" t="n">
        <v>0.123</v>
      </c>
      <c r="BK215" s="5" t="n">
        <v>0.549</v>
      </c>
      <c r="BL215" s="5" t="n">
        <v>1.406</v>
      </c>
      <c r="BM215" s="5" t="n">
        <v>0.21</v>
      </c>
      <c r="BN215" s="5" t="n">
        <v>1</v>
      </c>
      <c r="BO215" s="5" t="n">
        <v>0</v>
      </c>
      <c r="BP215" s="5" t="n">
        <v>0.006</v>
      </c>
      <c r="BQ215" s="5" t="n">
        <v>0.187</v>
      </c>
      <c r="BR215" s="5" t="n">
        <v>0</v>
      </c>
      <c r="BS215" s="5" t="n">
        <v>1</v>
      </c>
      <c r="BT215" s="5" t="n">
        <v>0</v>
      </c>
      <c r="BU215" s="5" t="n">
        <v>-0.035</v>
      </c>
      <c r="BV215" s="5" t="n">
        <v>0.219</v>
      </c>
      <c r="BW215" s="5" t="n">
        <v>0.21</v>
      </c>
      <c r="BX215" s="5" t="n">
        <v>1</v>
      </c>
      <c r="BY215" s="5" t="n">
        <v>12.729</v>
      </c>
      <c r="BZ215" s="5" t="n">
        <v>0</v>
      </c>
      <c r="CA215" s="5" t="n">
        <v>12.729</v>
      </c>
      <c r="CB215" s="5" t="n">
        <v>0</v>
      </c>
      <c r="CC215" s="5" t="n">
        <v>97.90000000000001</v>
      </c>
      <c r="CD215" s="5" t="n">
        <v>7.95</v>
      </c>
      <c r="CE215" s="5" t="n">
        <v>114.227</v>
      </c>
      <c r="CF215" s="5" t="n">
        <v>256.674</v>
      </c>
      <c r="CG215" s="5" t="n">
        <v>0.21</v>
      </c>
      <c r="CH215" s="5" t="n">
        <v>1</v>
      </c>
      <c r="CI215" s="5" t="n">
        <v>0</v>
      </c>
      <c r="CJ215" s="5" t="n">
        <v>0</v>
      </c>
      <c r="CK215" s="5" t="n">
        <v>0</v>
      </c>
      <c r="CL215" s="5" t="n">
        <v>0</v>
      </c>
      <c r="CM215" s="5" t="n">
        <v>0</v>
      </c>
      <c r="CN215" s="5" t="n">
        <v>0</v>
      </c>
      <c r="CO215" s="5" t="n">
        <v>0</v>
      </c>
      <c r="CP215" s="5" t="n">
        <v>0</v>
      </c>
      <c r="CQ215" s="5" t="n">
        <v>1.294</v>
      </c>
      <c r="CR215" s="5" t="n">
        <v>0</v>
      </c>
      <c r="CS215" s="5" t="n">
        <v>5.158</v>
      </c>
      <c r="CT215" s="5" t="n">
        <v>11.285</v>
      </c>
      <c r="CU215" s="5" t="n">
        <v>27.372</v>
      </c>
    </row>
    <row r="216">
      <c r="A216" s="5" t="inlineStr">
        <is>
          <t>CZE2023</t>
        </is>
      </c>
      <c r="B216" s="5" t="inlineStr">
        <is>
          <t>CZE</t>
        </is>
      </c>
      <c r="C216" s="5" t="inlineStr">
        <is>
          <t>CZE</t>
        </is>
      </c>
      <c r="D216" s="5" t="inlineStr">
        <is>
          <t>Czechia</t>
        </is>
      </c>
      <c r="E216" s="5" t="n">
        <v>2023</v>
      </c>
      <c r="F216" s="5" t="n">
        <v>0.21</v>
      </c>
      <c r="G216" s="5" t="n">
        <v>4.158</v>
      </c>
      <c r="H216" s="5" t="n">
        <v>0.947</v>
      </c>
      <c r="I216" s="5" t="n">
        <v>9.875</v>
      </c>
      <c r="J216" s="5" t="n">
        <v>14.033</v>
      </c>
      <c r="K216" s="5" t="n">
        <v>0</v>
      </c>
      <c r="L216" s="5" t="n">
        <v>1</v>
      </c>
      <c r="M216" s="5" t="n">
        <v>4.033</v>
      </c>
      <c r="N216" s="5" t="n">
        <v>2</v>
      </c>
      <c r="O216" s="5" t="n">
        <v>10</v>
      </c>
      <c r="P216" s="5" t="n">
        <v>14.033</v>
      </c>
      <c r="Q216" s="5" t="n">
        <v>0</v>
      </c>
      <c r="R216" s="5" t="n">
        <v>1</v>
      </c>
      <c r="S216" s="5" t="n">
        <v>9.648999999999999</v>
      </c>
      <c r="T216" s="5" t="n">
        <v>6.051</v>
      </c>
      <c r="U216" s="5" t="n">
        <v>0.388</v>
      </c>
      <c r="V216" s="5" t="n">
        <v>12.144</v>
      </c>
      <c r="W216" s="5" t="n">
        <v>0.21</v>
      </c>
      <c r="X216" s="5" t="n">
        <v>1</v>
      </c>
      <c r="Y216" s="5" t="n">
        <v>19.47</v>
      </c>
      <c r="Z216" s="5" t="n">
        <v>2.181</v>
      </c>
      <c r="AA216" s="5" t="n">
        <v>8.135</v>
      </c>
      <c r="AB216" s="5" t="n">
        <v>27.605</v>
      </c>
      <c r="AC216" s="5" t="n">
        <v>0</v>
      </c>
      <c r="AD216" s="5" t="n">
        <v>1</v>
      </c>
      <c r="AE216" s="5" t="n">
        <v>19.569</v>
      </c>
      <c r="AF216" s="5" t="n">
        <v>3.897</v>
      </c>
      <c r="AG216" s="5" t="n">
        <v>8.036</v>
      </c>
      <c r="AH216" s="5" t="n">
        <v>27.605</v>
      </c>
      <c r="AI216" s="5" t="n">
        <v>0</v>
      </c>
      <c r="AJ216" s="5" t="n">
        <v>1</v>
      </c>
      <c r="AK216" s="5" t="n">
        <v>27.067</v>
      </c>
      <c r="AL216" s="5" t="n">
        <v>13.408</v>
      </c>
      <c r="AM216" s="5" t="n">
        <v>1.029</v>
      </c>
      <c r="AN216" s="5" t="n">
        <v>33.996</v>
      </c>
      <c r="AO216" s="5" t="n">
        <v>0.21</v>
      </c>
      <c r="AP216" s="5" t="n">
        <v>1</v>
      </c>
      <c r="AQ216" s="5" t="n">
        <v>0.76</v>
      </c>
      <c r="AR216" s="5" t="n">
        <v>0.129</v>
      </c>
      <c r="AS216" s="5" t="n">
        <v>0.646</v>
      </c>
      <c r="AT216" s="5" t="n">
        <v>1.702</v>
      </c>
      <c r="AU216" s="5" t="n">
        <v>0.21</v>
      </c>
      <c r="AV216" s="5" t="n">
        <v>1</v>
      </c>
      <c r="AW216" s="5" t="n">
        <v>0.8110000000000001</v>
      </c>
      <c r="AX216" s="5" t="n">
        <v>0.129</v>
      </c>
      <c r="AY216" s="5" t="n">
        <v>0.529</v>
      </c>
      <c r="AZ216" s="5" t="n">
        <v>1.622</v>
      </c>
      <c r="BA216" s="5" t="n">
        <v>0.21</v>
      </c>
      <c r="BB216" s="5" t="n">
        <v>1</v>
      </c>
      <c r="BC216" s="5" t="n">
        <v>0.535</v>
      </c>
      <c r="BD216" s="5" t="n">
        <v>0.129</v>
      </c>
      <c r="BE216" s="5" t="n">
        <v>0.053</v>
      </c>
      <c r="BF216" s="5" t="n">
        <v>0.711</v>
      </c>
      <c r="BG216" s="5" t="n">
        <v>0.21</v>
      </c>
      <c r="BH216" s="5" t="n">
        <v>1</v>
      </c>
      <c r="BI216" s="5" t="n">
        <v>0.579</v>
      </c>
      <c r="BJ216" s="5" t="n">
        <v>0.129</v>
      </c>
      <c r="BK216" s="5" t="n">
        <v>0.348</v>
      </c>
      <c r="BL216" s="5" t="n">
        <v>1.122</v>
      </c>
      <c r="BM216" s="5" t="n">
        <v>0.21</v>
      </c>
      <c r="BN216" s="5" t="n">
        <v>1</v>
      </c>
      <c r="BO216" s="5" t="n">
        <v>0</v>
      </c>
      <c r="BP216" s="5" t="n">
        <v>0.001</v>
      </c>
      <c r="BQ216" s="5" t="n">
        <v>0.199</v>
      </c>
      <c r="BR216" s="5" t="n">
        <v>0</v>
      </c>
      <c r="BS216" s="5" t="n">
        <v>1</v>
      </c>
      <c r="BT216" s="5" t="n">
        <v>0</v>
      </c>
      <c r="BU216" s="5" t="n">
        <v>0.002</v>
      </c>
      <c r="BV216" s="5" t="n">
        <v>0.343</v>
      </c>
      <c r="BW216" s="5" t="n">
        <v>0.21</v>
      </c>
      <c r="BX216" s="5" t="n">
        <v>1</v>
      </c>
      <c r="BY216" s="5" t="n">
        <v>13.254</v>
      </c>
      <c r="BZ216" s="5" t="n">
        <v>0</v>
      </c>
      <c r="CA216" s="5" t="n">
        <v>13.254</v>
      </c>
      <c r="CB216" s="5" t="n">
        <v>0</v>
      </c>
      <c r="CC216" s="5" t="n">
        <v>83.248</v>
      </c>
      <c r="CD216" s="5" t="n">
        <v>7.95</v>
      </c>
      <c r="CE216" s="5" t="n">
        <v>103.863</v>
      </c>
      <c r="CF216" s="5" t="n">
        <v>226.404</v>
      </c>
      <c r="CG216" s="5" t="n">
        <v>0.21</v>
      </c>
      <c r="CH216" s="5" t="n">
        <v>1</v>
      </c>
      <c r="CI216" s="5" t="n">
        <v>0</v>
      </c>
      <c r="CJ216" s="5" t="n">
        <v>0</v>
      </c>
      <c r="CK216" s="5" t="n">
        <v>0</v>
      </c>
      <c r="CL216" s="5" t="n">
        <v>0</v>
      </c>
      <c r="CM216" s="5" t="n">
        <v>0</v>
      </c>
      <c r="CN216" s="5" t="n">
        <v>0</v>
      </c>
      <c r="CO216" s="5" t="n">
        <v>0</v>
      </c>
      <c r="CP216" s="5" t="n">
        <v>0</v>
      </c>
      <c r="CQ216" s="5" t="n">
        <v>1.348</v>
      </c>
      <c r="CR216" s="5" t="n">
        <v>0</v>
      </c>
      <c r="CS216" s="5" t="n">
        <v>5.37</v>
      </c>
      <c r="CT216" s="5" t="n">
        <v>9.798</v>
      </c>
      <c r="CU216" s="5" t="n">
        <v>14.823</v>
      </c>
    </row>
    <row r="217">
      <c r="A217" s="5" t="inlineStr">
        <is>
          <t>CZE2024</t>
        </is>
      </c>
      <c r="B217" s="5" t="inlineStr">
        <is>
          <t>CZE</t>
        </is>
      </c>
      <c r="C217" s="5" t="inlineStr">
        <is>
          <t>CZE</t>
        </is>
      </c>
      <c r="D217" s="5" t="inlineStr">
        <is>
          <t>Czechia</t>
        </is>
      </c>
      <c r="E217" s="5" t="n">
        <v>2024</v>
      </c>
      <c r="F217" s="5" t="n">
        <v>0.21</v>
      </c>
      <c r="G217" s="5" t="n">
        <v>3.674</v>
      </c>
      <c r="H217" s="5" t="n">
        <v>0.931</v>
      </c>
      <c r="I217" s="5" t="n">
        <v>6.472</v>
      </c>
      <c r="J217" s="5" t="n">
        <v>10.146</v>
      </c>
      <c r="K217" s="5" t="n">
        <v>0</v>
      </c>
      <c r="L217" s="5" t="n">
        <v>1</v>
      </c>
      <c r="M217" s="5" t="n">
        <v>3.58</v>
      </c>
      <c r="N217" s="5" t="n">
        <v>1.95</v>
      </c>
      <c r="O217" s="5" t="n">
        <v>6.566</v>
      </c>
      <c r="P217" s="5" t="n">
        <v>10.146</v>
      </c>
      <c r="Q217" s="5" t="n">
        <v>0</v>
      </c>
      <c r="R217" s="5" t="n">
        <v>1</v>
      </c>
      <c r="S217" s="5" t="n">
        <v>9.407999999999999</v>
      </c>
      <c r="T217" s="5" t="n">
        <v>6.228</v>
      </c>
      <c r="U217" s="5" t="n">
        <v>0.388</v>
      </c>
      <c r="V217" s="5" t="n">
        <v>11.853</v>
      </c>
      <c r="W217" s="5" t="n">
        <v>0.21</v>
      </c>
      <c r="X217" s="5" t="n">
        <v>1</v>
      </c>
      <c r="Y217" s="5" t="n">
        <v>18.851</v>
      </c>
      <c r="Z217" s="5" t="n">
        <v>2.38</v>
      </c>
      <c r="AA217" s="5" t="n">
        <v>4.068</v>
      </c>
      <c r="AB217" s="5" t="n">
        <v>22.918</v>
      </c>
      <c r="AC217" s="5" t="n">
        <v>0</v>
      </c>
      <c r="AD217" s="5" t="n">
        <v>1</v>
      </c>
      <c r="AE217" s="5" t="n">
        <v>18.851</v>
      </c>
      <c r="AF217" s="5" t="n">
        <v>4.129</v>
      </c>
      <c r="AG217" s="5" t="n">
        <v>4.068</v>
      </c>
      <c r="AH217" s="5" t="n">
        <v>22.918</v>
      </c>
      <c r="AI217" s="5" t="n">
        <v>0</v>
      </c>
      <c r="AJ217" s="5" t="n">
        <v>1</v>
      </c>
      <c r="AK217" s="5" t="n">
        <v>26.226</v>
      </c>
      <c r="AL217" s="5" t="n">
        <v>13.339</v>
      </c>
      <c r="AM217" s="5" t="n">
        <v>0.033</v>
      </c>
      <c r="AN217" s="5" t="n">
        <v>31.773</v>
      </c>
      <c r="AO217" s="5" t="n">
        <v>0.21</v>
      </c>
      <c r="AP217" s="5" t="n">
        <v>1</v>
      </c>
      <c r="AQ217" s="5" t="n">
        <v>0.724</v>
      </c>
      <c r="AR217" s="5" t="n">
        <v>0.132</v>
      </c>
      <c r="AS217" s="5" t="n">
        <v>0.607</v>
      </c>
      <c r="AT217" s="5" t="n">
        <v>1.611</v>
      </c>
      <c r="AU217" s="5" t="n">
        <v>0.21</v>
      </c>
      <c r="AV217" s="5" t="n">
        <v>1</v>
      </c>
      <c r="AW217" s="5" t="n">
        <v>0.75</v>
      </c>
      <c r="AX217" s="5" t="n">
        <v>0.132</v>
      </c>
      <c r="AY217" s="5" t="n">
        <v>0.548</v>
      </c>
      <c r="AZ217" s="5" t="n">
        <v>1.571</v>
      </c>
      <c r="BA217" s="5" t="n">
        <v>0.21</v>
      </c>
      <c r="BB217" s="5" t="n">
        <v>1</v>
      </c>
      <c r="BC217" s="5" t="n">
        <v>0.513</v>
      </c>
      <c r="BD217" s="5" t="n">
        <v>0.132</v>
      </c>
      <c r="BE217" s="5" t="n">
        <v>0.097</v>
      </c>
      <c r="BF217" s="5" t="n">
        <v>0.739</v>
      </c>
      <c r="BG217" s="5" t="n">
        <v>0.21</v>
      </c>
      <c r="BH217" s="5" t="n">
        <v>1</v>
      </c>
      <c r="BI217" s="5" t="n">
        <v>0.591</v>
      </c>
      <c r="BJ217" s="5" t="n">
        <v>0.132</v>
      </c>
      <c r="BK217" s="5" t="n">
        <v>0.255</v>
      </c>
      <c r="BL217" s="5" t="n">
        <v>1.024</v>
      </c>
      <c r="BM217" s="5" t="n">
        <v>0.21</v>
      </c>
      <c r="BN217" s="5" t="n">
        <v>1</v>
      </c>
      <c r="BO217" s="5" t="n">
        <v>0</v>
      </c>
      <c r="BP217" s="5" t="n">
        <v>0.015</v>
      </c>
      <c r="BQ217" s="5" t="n">
        <v>0.188</v>
      </c>
      <c r="BR217" s="5" t="n">
        <v>0</v>
      </c>
      <c r="BS217" s="5" t="n">
        <v>1</v>
      </c>
      <c r="BT217" s="5" t="n">
        <v>0</v>
      </c>
      <c r="BU217" s="5" t="n">
        <v>0.024</v>
      </c>
      <c r="BV217" s="5" t="n">
        <v>0.362</v>
      </c>
      <c r="BW217" s="5" t="n">
        <v>0.21</v>
      </c>
      <c r="BX217" s="5" t="n">
        <v>1</v>
      </c>
      <c r="BY217" s="5" t="n">
        <v>13.646</v>
      </c>
      <c r="BZ217" s="5" t="n">
        <v>0</v>
      </c>
      <c r="CA217" s="5" t="n">
        <v>13.646</v>
      </c>
      <c r="CB217" s="5" t="n">
        <v>0</v>
      </c>
      <c r="CC217" s="5" t="n">
        <v>82.58799999999999</v>
      </c>
      <c r="CD217" s="5" t="n">
        <v>7.95</v>
      </c>
      <c r="CE217" s="5" t="n">
        <v>79.05500000000001</v>
      </c>
      <c r="CF217" s="5" t="n">
        <v>195.588</v>
      </c>
      <c r="CG217" s="5" t="n">
        <v>0.21</v>
      </c>
      <c r="CH217" s="5" t="n">
        <v>1</v>
      </c>
      <c r="CI217" s="5" t="n">
        <v>0</v>
      </c>
      <c r="CJ217" s="5" t="n">
        <v>0</v>
      </c>
      <c r="CK217" s="5" t="n">
        <v>0</v>
      </c>
      <c r="CL217" s="5" t="n">
        <v>0</v>
      </c>
      <c r="CM217" s="5" t="n">
        <v>0</v>
      </c>
      <c r="CN217" s="5" t="n">
        <v>0</v>
      </c>
      <c r="CO217" s="5" t="n">
        <v>0</v>
      </c>
      <c r="CP217" s="5" t="n">
        <v>0</v>
      </c>
      <c r="CQ217" s="5" t="n">
        <v>1.387</v>
      </c>
      <c r="CR217" s="5" t="n">
        <v>0</v>
      </c>
      <c r="CS217" s="5" t="n">
        <v>5.529</v>
      </c>
      <c r="CT217" s="5" t="n">
        <v>4.91</v>
      </c>
      <c r="CU217" s="5" t="n">
        <v>12.35</v>
      </c>
    </row>
    <row r="218">
      <c r="A218" s="5" t="inlineStr">
        <is>
          <t>CIV2021</t>
        </is>
      </c>
      <c r="B218" s="5" t="inlineStr">
        <is>
          <t>CIV</t>
        </is>
      </c>
      <c r="C218" s="5" t="inlineStr">
        <is>
          <t>CIV</t>
        </is>
      </c>
      <c r="D218" s="5" t="inlineStr">
        <is>
          <t>Côte d'Ivoire</t>
        </is>
      </c>
      <c r="E218" s="5" t="n">
        <v>2021</v>
      </c>
      <c r="F218" s="5" t="n">
        <v>0.18</v>
      </c>
      <c r="G218" s="5" t="n">
        <v>5.897</v>
      </c>
      <c r="H218" s="5" t="n">
        <v>1.143</v>
      </c>
      <c r="I218" s="5" t="n">
        <v>0</v>
      </c>
      <c r="J218" s="5" t="n">
        <v>5.897</v>
      </c>
      <c r="K218" s="5" t="n">
        <v>0</v>
      </c>
      <c r="L218" s="5" t="n">
        <v>1</v>
      </c>
      <c r="M218" s="5" t="n">
        <v>7.964</v>
      </c>
      <c r="N218" s="5" t="n">
        <v>3.43</v>
      </c>
      <c r="O218" s="5" t="n">
        <v>0</v>
      </c>
      <c r="P218" s="5" t="n">
        <v>7.964</v>
      </c>
      <c r="Q218" s="5" t="n">
        <v>0</v>
      </c>
      <c r="R218" s="5" t="n">
        <v>1</v>
      </c>
      <c r="S218" s="5" t="n">
        <v>11.613</v>
      </c>
      <c r="T218" s="5" t="n">
        <v>6.86</v>
      </c>
      <c r="U218" s="5" t="n">
        <v>0</v>
      </c>
      <c r="V218" s="5" t="n">
        <v>13.704</v>
      </c>
      <c r="W218" s="5" t="n">
        <v>0.18</v>
      </c>
      <c r="X218" s="5" t="n">
        <v>1</v>
      </c>
      <c r="Y218" s="5" t="n">
        <v>5.739</v>
      </c>
      <c r="Z218" s="5" t="n">
        <v>0.634</v>
      </c>
      <c r="AA218" s="5" t="n">
        <v>0</v>
      </c>
      <c r="AB218" s="5" t="n">
        <v>5.739</v>
      </c>
      <c r="AC218" s="5" t="n">
        <v>0</v>
      </c>
      <c r="AD218" s="5" t="n">
        <v>1</v>
      </c>
      <c r="AE218" s="5" t="n">
        <v>7.783</v>
      </c>
      <c r="AF218" s="5" t="n">
        <v>1.052</v>
      </c>
      <c r="AG218" s="5" t="n">
        <v>0</v>
      </c>
      <c r="AH218" s="5" t="n">
        <v>7.783</v>
      </c>
      <c r="AI218" s="5" t="n">
        <v>0</v>
      </c>
      <c r="AJ218" s="5" t="n">
        <v>1</v>
      </c>
      <c r="AK218" s="5" t="n">
        <v>11.213</v>
      </c>
      <c r="AL218" s="5" t="n">
        <v>4.166</v>
      </c>
      <c r="AM218" s="5" t="n">
        <v>0</v>
      </c>
      <c r="AN218" s="5" t="n">
        <v>13.231</v>
      </c>
      <c r="AO218" s="5" t="n">
        <v>0.18</v>
      </c>
      <c r="AP218" s="5" t="n">
        <v>1</v>
      </c>
      <c r="AQ218" s="5" t="n">
        <v>0.619</v>
      </c>
      <c r="AR218" s="5" t="n">
        <v>0.114</v>
      </c>
      <c r="AS218" s="5" t="n">
        <v>0.391</v>
      </c>
      <c r="AT218" s="5" t="n">
        <v>1.101</v>
      </c>
      <c r="AU218" s="5" t="n">
        <v>0.09</v>
      </c>
      <c r="AV218" s="5" t="n">
        <v>1</v>
      </c>
      <c r="AW218" s="5" t="n">
        <v>0.6850000000000001</v>
      </c>
      <c r="AX218" s="5" t="n">
        <v>0.132</v>
      </c>
      <c r="AY218" s="5" t="n">
        <v>0.325</v>
      </c>
      <c r="AZ218" s="5" t="n">
        <v>1.101</v>
      </c>
      <c r="BA218" s="5" t="n">
        <v>0.09</v>
      </c>
      <c r="BB218" s="5" t="n">
        <v>1</v>
      </c>
      <c r="BC218" s="5" t="n">
        <v>0.439</v>
      </c>
      <c r="BD218" s="5" t="n">
        <v>0.114</v>
      </c>
      <c r="BE218" s="5" t="n">
        <v>0.08400000000000001</v>
      </c>
      <c r="BF218" s="5" t="n">
        <v>0.522</v>
      </c>
      <c r="BG218" s="5" t="n">
        <v>0</v>
      </c>
      <c r="BH218" s="5" t="n">
        <v>1</v>
      </c>
      <c r="BI218" s="5" t="n">
        <v>0.505</v>
      </c>
      <c r="BJ218" s="5" t="n">
        <v>0.114</v>
      </c>
      <c r="BK218" s="5" t="n">
        <v>0.413</v>
      </c>
      <c r="BL218" s="5" t="n">
        <v>1.001</v>
      </c>
      <c r="BM218" s="5" t="n">
        <v>0.09</v>
      </c>
      <c r="BN218" s="5" t="n">
        <v>1</v>
      </c>
      <c r="BO218" s="5" t="n">
        <v>0</v>
      </c>
      <c r="BP218" s="5" t="n">
        <v>0.024</v>
      </c>
      <c r="BQ218" s="5" t="n">
        <v>0.12</v>
      </c>
      <c r="BR218" s="5" t="n">
        <v>0</v>
      </c>
      <c r="BS218" s="5" t="n">
        <v>1</v>
      </c>
      <c r="BT218" s="5" t="n">
        <v>0</v>
      </c>
      <c r="BU218" s="5" t="n">
        <v>-0.044</v>
      </c>
      <c r="BV218" s="5" t="n">
        <v>0.128</v>
      </c>
      <c r="BW218" s="5" t="n">
        <v>0.18</v>
      </c>
      <c r="BX218" s="5" t="n">
        <v>0.833</v>
      </c>
      <c r="BY218" s="5" t="n">
        <v>11.787</v>
      </c>
      <c r="BZ218" s="5" t="n">
        <v>0</v>
      </c>
      <c r="CA218" s="5" t="n">
        <v>11.787</v>
      </c>
      <c r="CB218" s="5" t="n">
        <v>0</v>
      </c>
      <c r="CC218" s="5" t="n">
        <v>78.125</v>
      </c>
      <c r="CD218" s="5" t="n">
        <v>7.95</v>
      </c>
      <c r="CE218" s="5" t="n">
        <v>26.342</v>
      </c>
      <c r="CF218" s="5" t="n">
        <v>123.272</v>
      </c>
      <c r="CG218" s="5" t="n">
        <v>0.18</v>
      </c>
      <c r="CH218" s="5" t="n">
        <v>1</v>
      </c>
      <c r="CI218" s="5" t="n">
        <v>0</v>
      </c>
      <c r="CJ218" s="5" t="n">
        <v>0</v>
      </c>
      <c r="CK218" s="5" t="n">
        <v>0</v>
      </c>
      <c r="CL218" s="5" t="n">
        <v>0</v>
      </c>
      <c r="CM218" s="5" t="n">
        <v>0</v>
      </c>
      <c r="CN218" s="5" t="n">
        <v>0</v>
      </c>
      <c r="CO218" s="5" t="n">
        <v>0</v>
      </c>
      <c r="CP218" s="5" t="n">
        <v>0</v>
      </c>
      <c r="CQ218" s="5" t="n">
        <v>1.198</v>
      </c>
      <c r="CR218" s="5" t="n">
        <v>0</v>
      </c>
      <c r="CS218" s="5" t="n">
        <v>6.64</v>
      </c>
      <c r="CT218" s="5" t="n">
        <v>4.753</v>
      </c>
      <c r="CU218" s="5" t="n">
        <v>15.162</v>
      </c>
    </row>
    <row r="219">
      <c r="A219" s="5" t="inlineStr">
        <is>
          <t>CIV2022</t>
        </is>
      </c>
      <c r="B219" s="5" t="inlineStr">
        <is>
          <t>CIV</t>
        </is>
      </c>
      <c r="C219" s="5" t="inlineStr">
        <is>
          <t>CIV</t>
        </is>
      </c>
      <c r="D219" s="5" t="inlineStr">
        <is>
          <t>Côte d'Ivoire</t>
        </is>
      </c>
      <c r="E219" s="5" t="n">
        <v>2022</v>
      </c>
      <c r="F219" s="5" t="n">
        <v>0.18</v>
      </c>
      <c r="G219" s="5" t="n">
        <v>11.72</v>
      </c>
      <c r="H219" s="5" t="n">
        <v>1.235</v>
      </c>
      <c r="I219" s="5" t="n">
        <v>0</v>
      </c>
      <c r="J219" s="5" t="n">
        <v>11.72</v>
      </c>
      <c r="K219" s="5" t="n">
        <v>0</v>
      </c>
      <c r="L219" s="5" t="n">
        <v>1</v>
      </c>
      <c r="M219" s="5" t="n">
        <v>9.782999999999999</v>
      </c>
      <c r="N219" s="5" t="n">
        <v>3.704</v>
      </c>
      <c r="O219" s="5" t="n">
        <v>0</v>
      </c>
      <c r="P219" s="5" t="n">
        <v>9.782999999999999</v>
      </c>
      <c r="Q219" s="5" t="n">
        <v>0</v>
      </c>
      <c r="R219" s="5" t="n">
        <v>1</v>
      </c>
      <c r="S219" s="5" t="n">
        <v>17.893</v>
      </c>
      <c r="T219" s="5" t="n">
        <v>7.408</v>
      </c>
      <c r="U219" s="5" t="n">
        <v>0.238</v>
      </c>
      <c r="V219" s="5" t="n">
        <v>21.114</v>
      </c>
      <c r="W219" s="5" t="n">
        <v>0.18</v>
      </c>
      <c r="X219" s="5" t="n">
        <v>1</v>
      </c>
      <c r="Y219" s="5" t="n">
        <v>5.665</v>
      </c>
      <c r="Z219" s="5" t="n">
        <v>0.594</v>
      </c>
      <c r="AA219" s="5" t="n">
        <v>0</v>
      </c>
      <c r="AB219" s="5" t="n">
        <v>5.665</v>
      </c>
      <c r="AC219" s="5" t="n">
        <v>0</v>
      </c>
      <c r="AD219" s="5" t="n">
        <v>1</v>
      </c>
      <c r="AE219" s="5" t="n">
        <v>8.404999999999999</v>
      </c>
      <c r="AF219" s="5" t="n">
        <v>1.136</v>
      </c>
      <c r="AG219" s="5" t="n">
        <v>0</v>
      </c>
      <c r="AH219" s="5" t="n">
        <v>8.404999999999999</v>
      </c>
      <c r="AI219" s="5" t="n">
        <v>0</v>
      </c>
      <c r="AJ219" s="5" t="n">
        <v>1</v>
      </c>
      <c r="AK219" s="5" t="n">
        <v>12.109</v>
      </c>
      <c r="AL219" s="5" t="n">
        <v>4.499</v>
      </c>
      <c r="AM219" s="5" t="n">
        <v>0.161</v>
      </c>
      <c r="AN219" s="5" t="n">
        <v>14.289</v>
      </c>
      <c r="AO219" s="5" t="n">
        <v>0.18</v>
      </c>
      <c r="AP219" s="5" t="n">
        <v>1</v>
      </c>
      <c r="AQ219" s="5" t="n">
        <v>0.861</v>
      </c>
      <c r="AR219" s="5" t="n">
        <v>0.123</v>
      </c>
      <c r="AS219" s="5" t="n">
        <v>0.186</v>
      </c>
      <c r="AT219" s="5" t="n">
        <v>1.141</v>
      </c>
      <c r="AU219" s="5" t="n">
        <v>0.09</v>
      </c>
      <c r="AV219" s="5" t="n">
        <v>1</v>
      </c>
      <c r="AW219" s="5" t="n">
        <v>0.797</v>
      </c>
      <c r="AX219" s="5" t="n">
        <v>0.104</v>
      </c>
      <c r="AY219" s="5" t="n">
        <v>0.122</v>
      </c>
      <c r="AZ219" s="5" t="n">
        <v>1.002</v>
      </c>
      <c r="BA219" s="5" t="n">
        <v>0.09</v>
      </c>
      <c r="BB219" s="5" t="n">
        <v>1</v>
      </c>
      <c r="BC219" s="5" t="n">
        <v>0.598</v>
      </c>
      <c r="BD219" s="5" t="n">
        <v>0.123</v>
      </c>
      <c r="BE219" s="5" t="n">
        <v>0.008</v>
      </c>
      <c r="BF219" s="5" t="n">
        <v>0.605</v>
      </c>
      <c r="BG219" s="5" t="n">
        <v>0</v>
      </c>
      <c r="BH219" s="5" t="n">
        <v>1</v>
      </c>
      <c r="BI219" s="5" t="n">
        <v>0.612</v>
      </c>
      <c r="BJ219" s="5" t="n">
        <v>0.123</v>
      </c>
      <c r="BK219" s="5" t="n">
        <v>0.307</v>
      </c>
      <c r="BL219" s="5" t="n">
        <v>1.002</v>
      </c>
      <c r="BM219" s="5" t="n">
        <v>0.09</v>
      </c>
      <c r="BN219" s="5" t="n">
        <v>1</v>
      </c>
      <c r="BO219" s="5" t="n">
        <v>0</v>
      </c>
      <c r="BP219" s="5" t="n">
        <v>0.004</v>
      </c>
      <c r="BQ219" s="5" t="n">
        <v>0.108</v>
      </c>
      <c r="BR219" s="5" t="n">
        <v>0</v>
      </c>
      <c r="BS219" s="5" t="n">
        <v>1</v>
      </c>
      <c r="BT219" s="5" t="n">
        <v>0</v>
      </c>
      <c r="BU219" s="5" t="n">
        <v>-0.058</v>
      </c>
      <c r="BV219" s="5" t="n">
        <v>0.111</v>
      </c>
      <c r="BW219" s="5" t="n">
        <v>0.18</v>
      </c>
      <c r="BX219" s="5" t="n">
        <v>0.833</v>
      </c>
      <c r="BY219" s="5" t="n">
        <v>12.729</v>
      </c>
      <c r="BZ219" s="5" t="n">
        <v>0</v>
      </c>
      <c r="CA219" s="5" t="n">
        <v>12.729</v>
      </c>
      <c r="CB219" s="5" t="n">
        <v>0</v>
      </c>
      <c r="CC219" s="5" t="n">
        <v>97.90000000000001</v>
      </c>
      <c r="CD219" s="5" t="n">
        <v>7.95</v>
      </c>
      <c r="CE219" s="5" t="n">
        <v>30.201</v>
      </c>
      <c r="CF219" s="5" t="n">
        <v>151.159</v>
      </c>
      <c r="CG219" s="5" t="n">
        <v>0.18</v>
      </c>
      <c r="CH219" s="5" t="n">
        <v>1</v>
      </c>
      <c r="CI219" s="5" t="n">
        <v>0</v>
      </c>
      <c r="CJ219" s="5" t="n">
        <v>0</v>
      </c>
      <c r="CK219" s="5" t="n">
        <v>0</v>
      </c>
      <c r="CL219" s="5" t="n">
        <v>0</v>
      </c>
      <c r="CM219" s="5" t="n">
        <v>0</v>
      </c>
      <c r="CN219" s="5" t="n">
        <v>0</v>
      </c>
      <c r="CO219" s="5" t="n">
        <v>0</v>
      </c>
      <c r="CP219" s="5" t="n">
        <v>0</v>
      </c>
      <c r="CQ219" s="5" t="n">
        <v>1.294</v>
      </c>
      <c r="CR219" s="5" t="n">
        <v>0</v>
      </c>
      <c r="CS219" s="5" t="n">
        <v>7.171</v>
      </c>
      <c r="CT219" s="5" t="n">
        <v>10.485</v>
      </c>
      <c r="CU219" s="5" t="n">
        <v>31.326</v>
      </c>
    </row>
    <row r="220">
      <c r="A220" s="5" t="inlineStr">
        <is>
          <t>CIV2023</t>
        </is>
      </c>
      <c r="B220" s="5" t="inlineStr">
        <is>
          <t>CIV</t>
        </is>
      </c>
      <c r="C220" s="5" t="inlineStr">
        <is>
          <t>CIV</t>
        </is>
      </c>
      <c r="D220" s="5" t="inlineStr">
        <is>
          <t>Côte d'Ivoire</t>
        </is>
      </c>
      <c r="E220" s="5" t="n">
        <v>2023</v>
      </c>
      <c r="F220" s="5" t="n">
        <v>0.18</v>
      </c>
      <c r="G220" s="5" t="n">
        <v>6.147</v>
      </c>
      <c r="H220" s="5" t="n">
        <v>1.286</v>
      </c>
      <c r="I220" s="5" t="n">
        <v>0</v>
      </c>
      <c r="J220" s="5" t="n">
        <v>6.147</v>
      </c>
      <c r="K220" s="5" t="n">
        <v>0</v>
      </c>
      <c r="L220" s="5" t="n">
        <v>1</v>
      </c>
      <c r="M220" s="5" t="n">
        <v>7.886</v>
      </c>
      <c r="N220" s="5" t="n">
        <v>3.857</v>
      </c>
      <c r="O220" s="5" t="n">
        <v>0</v>
      </c>
      <c r="P220" s="5" t="n">
        <v>7.886</v>
      </c>
      <c r="Q220" s="5" t="n">
        <v>0</v>
      </c>
      <c r="R220" s="5" t="n">
        <v>1</v>
      </c>
      <c r="S220" s="5" t="n">
        <v>12.575</v>
      </c>
      <c r="T220" s="5" t="n">
        <v>7.714</v>
      </c>
      <c r="U220" s="5" t="n">
        <v>0.251</v>
      </c>
      <c r="V220" s="5" t="n">
        <v>14.839</v>
      </c>
      <c r="W220" s="5" t="n">
        <v>0.18</v>
      </c>
      <c r="X220" s="5" t="n">
        <v>1</v>
      </c>
      <c r="Y220" s="5" t="n">
        <v>5.985</v>
      </c>
      <c r="Z220" s="5" t="n">
        <v>0.67</v>
      </c>
      <c r="AA220" s="5" t="n">
        <v>0</v>
      </c>
      <c r="AB220" s="5" t="n">
        <v>5.985</v>
      </c>
      <c r="AC220" s="5" t="n">
        <v>0</v>
      </c>
      <c r="AD220" s="5" t="n">
        <v>1</v>
      </c>
      <c r="AE220" s="5" t="n">
        <v>8.752000000000001</v>
      </c>
      <c r="AF220" s="5" t="n">
        <v>1.183</v>
      </c>
      <c r="AG220" s="5" t="n">
        <v>0</v>
      </c>
      <c r="AH220" s="5" t="n">
        <v>8.752000000000001</v>
      </c>
      <c r="AI220" s="5" t="n">
        <v>0</v>
      </c>
      <c r="AJ220" s="5" t="n">
        <v>1</v>
      </c>
      <c r="AK220" s="5" t="n">
        <v>12.609</v>
      </c>
      <c r="AL220" s="5" t="n">
        <v>4.684</v>
      </c>
      <c r="AM220" s="5" t="n">
        <v>0.251</v>
      </c>
      <c r="AN220" s="5" t="n">
        <v>14.879</v>
      </c>
      <c r="AO220" s="5" t="n">
        <v>0.18</v>
      </c>
      <c r="AP220" s="5" t="n">
        <v>1</v>
      </c>
      <c r="AQ220" s="5" t="n">
        <v>0.76</v>
      </c>
      <c r="AR220" s="5" t="n">
        <v>0.129</v>
      </c>
      <c r="AS220" s="5" t="n">
        <v>0.49</v>
      </c>
      <c r="AT220" s="5" t="n">
        <v>1.363</v>
      </c>
      <c r="AU220" s="5" t="n">
        <v>0.09</v>
      </c>
      <c r="AV220" s="5" t="n">
        <v>1</v>
      </c>
      <c r="AW220" s="5" t="n">
        <v>0.6830000000000001</v>
      </c>
      <c r="AX220" s="5" t="n">
        <v>0.117</v>
      </c>
      <c r="AY220" s="5" t="n">
        <v>0.331</v>
      </c>
      <c r="AZ220" s="5" t="n">
        <v>1.105</v>
      </c>
      <c r="BA220" s="5" t="n">
        <v>0.09</v>
      </c>
      <c r="BB220" s="5" t="n">
        <v>1</v>
      </c>
      <c r="BC220" s="5" t="n">
        <v>0.535</v>
      </c>
      <c r="BD220" s="5" t="n">
        <v>0.129</v>
      </c>
      <c r="BE220" s="5" t="n">
        <v>-0.037</v>
      </c>
      <c r="BF220" s="5" t="n">
        <v>0.498</v>
      </c>
      <c r="BG220" s="5" t="n">
        <v>0</v>
      </c>
      <c r="BH220" s="5" t="n">
        <v>1</v>
      </c>
      <c r="BI220" s="5" t="n">
        <v>0.579</v>
      </c>
      <c r="BJ220" s="5" t="n">
        <v>0.129</v>
      </c>
      <c r="BK220" s="5" t="n">
        <v>0.479</v>
      </c>
      <c r="BL220" s="5" t="n">
        <v>1.154</v>
      </c>
      <c r="BM220" s="5" t="n">
        <v>0.09</v>
      </c>
      <c r="BN220" s="5" t="n">
        <v>1</v>
      </c>
      <c r="BO220" s="5" t="n">
        <v>0</v>
      </c>
      <c r="BP220" s="5" t="n">
        <v>0.014</v>
      </c>
      <c r="BQ220" s="5" t="n">
        <v>0.117</v>
      </c>
      <c r="BR220" s="5" t="n">
        <v>0</v>
      </c>
      <c r="BS220" s="5" t="n">
        <v>1</v>
      </c>
      <c r="BT220" s="5" t="n">
        <v>0</v>
      </c>
      <c r="BU220" s="5" t="n">
        <v>-0.057</v>
      </c>
      <c r="BV220" s="5" t="n">
        <v>0.117</v>
      </c>
      <c r="BW220" s="5" t="n">
        <v>0.18</v>
      </c>
      <c r="BX220" s="5" t="n">
        <v>0.833</v>
      </c>
      <c r="BY220" s="5" t="n">
        <v>13.254</v>
      </c>
      <c r="BZ220" s="5" t="n">
        <v>0</v>
      </c>
      <c r="CA220" s="5" t="n">
        <v>13.254</v>
      </c>
      <c r="CB220" s="5" t="n">
        <v>0</v>
      </c>
      <c r="CC220" s="5" t="n">
        <v>83.248</v>
      </c>
      <c r="CD220" s="5" t="n">
        <v>7.95</v>
      </c>
      <c r="CE220" s="5" t="n">
        <v>29.379</v>
      </c>
      <c r="CF220" s="5" t="n">
        <v>132.9</v>
      </c>
      <c r="CG220" s="5" t="n">
        <v>0.18</v>
      </c>
      <c r="CH220" s="5" t="n">
        <v>1</v>
      </c>
      <c r="CI220" s="5" t="n">
        <v>0</v>
      </c>
      <c r="CJ220" s="5" t="n">
        <v>0</v>
      </c>
      <c r="CK220" s="5" t="n">
        <v>0</v>
      </c>
      <c r="CL220" s="5" t="n">
        <v>0</v>
      </c>
      <c r="CM220" s="5" t="n">
        <v>0</v>
      </c>
      <c r="CN220" s="5" t="n">
        <v>0</v>
      </c>
      <c r="CO220" s="5" t="n">
        <v>0</v>
      </c>
      <c r="CP220" s="5" t="n">
        <v>0</v>
      </c>
      <c r="CQ220" s="5" t="n">
        <v>1.348</v>
      </c>
      <c r="CR220" s="5" t="n">
        <v>0</v>
      </c>
      <c r="CS220" s="5" t="n">
        <v>7.467</v>
      </c>
      <c r="CT220" s="5" t="n">
        <v>4.861</v>
      </c>
      <c r="CU220" s="5" t="n">
        <v>11.622</v>
      </c>
    </row>
    <row r="221">
      <c r="A221" s="5" t="inlineStr">
        <is>
          <t>CIV2024</t>
        </is>
      </c>
      <c r="B221" s="5" t="inlineStr">
        <is>
          <t>CIV</t>
        </is>
      </c>
      <c r="C221" s="5" t="inlineStr">
        <is>
          <t>CIV</t>
        </is>
      </c>
      <c r="D221" s="5" t="inlineStr">
        <is>
          <t>Côte d'Ivoire</t>
        </is>
      </c>
      <c r="E221" s="5" t="n">
        <v>2024</v>
      </c>
      <c r="F221" s="5" t="n">
        <v>0.18</v>
      </c>
      <c r="G221" s="5" t="n">
        <v>5.575</v>
      </c>
      <c r="H221" s="5" t="n">
        <v>1.324</v>
      </c>
      <c r="I221" s="5" t="n">
        <v>0</v>
      </c>
      <c r="J221" s="5" t="n">
        <v>5.575</v>
      </c>
      <c r="K221" s="5" t="n">
        <v>0</v>
      </c>
      <c r="L221" s="5" t="n">
        <v>1</v>
      </c>
      <c r="M221" s="5" t="n">
        <v>7.124</v>
      </c>
      <c r="N221" s="5" t="n">
        <v>3.971</v>
      </c>
      <c r="O221" s="5" t="n">
        <v>0</v>
      </c>
      <c r="P221" s="5" t="n">
        <v>7.124</v>
      </c>
      <c r="Q221" s="5" t="n">
        <v>0</v>
      </c>
      <c r="R221" s="5" t="n">
        <v>1</v>
      </c>
      <c r="S221" s="5" t="n">
        <v>12.193</v>
      </c>
      <c r="T221" s="5" t="n">
        <v>7.942</v>
      </c>
      <c r="U221" s="5" t="n">
        <v>0.299</v>
      </c>
      <c r="V221" s="5" t="n">
        <v>14.388</v>
      </c>
      <c r="W221" s="5" t="n">
        <v>0.18</v>
      </c>
      <c r="X221" s="5" t="n">
        <v>1</v>
      </c>
      <c r="Y221" s="5" t="n">
        <v>6.224</v>
      </c>
      <c r="Z221" s="5" t="n">
        <v>0.786</v>
      </c>
      <c r="AA221" s="5" t="n">
        <v>0</v>
      </c>
      <c r="AB221" s="5" t="n">
        <v>6.224</v>
      </c>
      <c r="AC221" s="5" t="n">
        <v>0</v>
      </c>
      <c r="AD221" s="5" t="n">
        <v>1</v>
      </c>
      <c r="AE221" s="5" t="n">
        <v>9.010999999999999</v>
      </c>
      <c r="AF221" s="5" t="n">
        <v>1.218</v>
      </c>
      <c r="AG221" s="5" t="n">
        <v>0</v>
      </c>
      <c r="AH221" s="5" t="n">
        <v>9.010999999999999</v>
      </c>
      <c r="AI221" s="5" t="n">
        <v>0</v>
      </c>
      <c r="AJ221" s="5" t="n">
        <v>1</v>
      </c>
      <c r="AK221" s="5" t="n">
        <v>12.981</v>
      </c>
      <c r="AL221" s="5" t="n">
        <v>4.823</v>
      </c>
      <c r="AM221" s="5" t="n">
        <v>0.318</v>
      </c>
      <c r="AN221" s="5" t="n">
        <v>15.318</v>
      </c>
      <c r="AO221" s="5" t="n">
        <v>0.18</v>
      </c>
      <c r="AP221" s="5" t="n">
        <v>1</v>
      </c>
      <c r="AQ221" s="5" t="n">
        <v>0.724</v>
      </c>
      <c r="AR221" s="5" t="n">
        <v>0.132</v>
      </c>
      <c r="AS221" s="5" t="n">
        <v>0.6</v>
      </c>
      <c r="AT221" s="5" t="n">
        <v>1.443</v>
      </c>
      <c r="AU221" s="5" t="n">
        <v>0.09</v>
      </c>
      <c r="AV221" s="5" t="n">
        <v>1</v>
      </c>
      <c r="AW221" s="5" t="n">
        <v>0.595</v>
      </c>
      <c r="AX221" s="5" t="n">
        <v>0.109</v>
      </c>
      <c r="AY221" s="5" t="n">
        <v>0.486</v>
      </c>
      <c r="AZ221" s="5" t="n">
        <v>1.179</v>
      </c>
      <c r="BA221" s="5" t="n">
        <v>0.09</v>
      </c>
      <c r="BB221" s="5" t="n">
        <v>1</v>
      </c>
      <c r="BC221" s="5" t="n">
        <v>0.513</v>
      </c>
      <c r="BD221" s="5" t="n">
        <v>0.132</v>
      </c>
      <c r="BE221" s="5" t="n">
        <v>-0.013</v>
      </c>
      <c r="BF221" s="5" t="n">
        <v>0.5</v>
      </c>
      <c r="BG221" s="5" t="n">
        <v>0</v>
      </c>
      <c r="BH221" s="5" t="n">
        <v>1</v>
      </c>
      <c r="BI221" s="5" t="n">
        <v>0.591</v>
      </c>
      <c r="BJ221" s="5" t="n">
        <v>0.132</v>
      </c>
      <c r="BK221" s="5" t="n">
        <v>0.536</v>
      </c>
      <c r="BL221" s="5" t="n">
        <v>1.229</v>
      </c>
      <c r="BM221" s="5" t="n">
        <v>0.09</v>
      </c>
      <c r="BN221" s="5" t="n">
        <v>1</v>
      </c>
      <c r="BO221" s="5" t="n">
        <v>0</v>
      </c>
      <c r="BP221" s="5" t="n">
        <v>0.028</v>
      </c>
      <c r="BQ221" s="5" t="n">
        <v>0.14</v>
      </c>
      <c r="BR221" s="5" t="n">
        <v>0</v>
      </c>
      <c r="BS221" s="5" t="n">
        <v>1</v>
      </c>
      <c r="BT221" s="5" t="n">
        <v>0</v>
      </c>
      <c r="BU221" s="5" t="n">
        <v>-0.048</v>
      </c>
      <c r="BV221" s="5" t="n">
        <v>0.131</v>
      </c>
      <c r="BW221" s="5" t="n">
        <v>0.18</v>
      </c>
      <c r="BX221" s="5" t="n">
        <v>0.833</v>
      </c>
      <c r="BY221" s="5" t="n">
        <v>13.646</v>
      </c>
      <c r="BZ221" s="5" t="n">
        <v>0</v>
      </c>
      <c r="CA221" s="5" t="n">
        <v>13.646</v>
      </c>
      <c r="CB221" s="5" t="n">
        <v>0</v>
      </c>
      <c r="CC221" s="5" t="n">
        <v>82.58799999999999</v>
      </c>
      <c r="CD221" s="5" t="n">
        <v>7.95</v>
      </c>
      <c r="CE221" s="5" t="n">
        <v>29.654</v>
      </c>
      <c r="CF221" s="5" t="n">
        <v>132.445</v>
      </c>
      <c r="CG221" s="5" t="n">
        <v>0.18</v>
      </c>
      <c r="CH221" s="5" t="n">
        <v>1</v>
      </c>
      <c r="CI221" s="5" t="n">
        <v>0</v>
      </c>
      <c r="CJ221" s="5" t="n">
        <v>0</v>
      </c>
      <c r="CK221" s="5" t="n">
        <v>0</v>
      </c>
      <c r="CL221" s="5" t="n">
        <v>0</v>
      </c>
      <c r="CM221" s="5" t="n">
        <v>0</v>
      </c>
      <c r="CN221" s="5" t="n">
        <v>0</v>
      </c>
      <c r="CO221" s="5" t="n">
        <v>0</v>
      </c>
      <c r="CP221" s="5" t="n">
        <v>0</v>
      </c>
      <c r="CQ221" s="5" t="n">
        <v>1.387</v>
      </c>
      <c r="CR221" s="5" t="n">
        <v>0</v>
      </c>
      <c r="CS221" s="5" t="n">
        <v>7.687</v>
      </c>
      <c r="CT221" s="5" t="n">
        <v>4.251</v>
      </c>
      <c r="CU221" s="5" t="n">
        <v>10.168</v>
      </c>
    </row>
    <row r="222">
      <c r="A222" s="5" t="inlineStr">
        <is>
          <t>DNK2021</t>
        </is>
      </c>
      <c r="B222" s="5" t="inlineStr">
        <is>
          <t>DNK</t>
        </is>
      </c>
      <c r="C222" s="5" t="inlineStr">
        <is>
          <t>DNK</t>
        </is>
      </c>
      <c r="D222" s="5" t="inlineStr">
        <is>
          <t>Denmark</t>
        </is>
      </c>
      <c r="E222" s="5" t="n">
        <v>2021</v>
      </c>
      <c r="F222" s="5" t="n">
        <v>0.25</v>
      </c>
      <c r="G222" s="5" t="n">
        <v>3.451</v>
      </c>
      <c r="H222" s="5" t="n">
        <v>0.8149999999999999</v>
      </c>
      <c r="I222" s="5" t="n">
        <v>2.966</v>
      </c>
      <c r="J222" s="5" t="n">
        <v>6.417</v>
      </c>
      <c r="K222" s="5" t="n">
        <v>0</v>
      </c>
      <c r="L222" s="5" t="n">
        <v>1</v>
      </c>
      <c r="M222" s="5" t="n">
        <v>5.068</v>
      </c>
      <c r="N222" s="5" t="n">
        <v>2.446</v>
      </c>
      <c r="O222" s="5" t="n">
        <v>7.856</v>
      </c>
      <c r="P222" s="5" t="n">
        <v>12.923</v>
      </c>
      <c r="Q222" s="5" t="n">
        <v>0</v>
      </c>
      <c r="R222" s="5" t="n">
        <v>1</v>
      </c>
      <c r="S222" s="5" t="n">
        <v>7.528</v>
      </c>
      <c r="T222" s="5" t="n">
        <v>4.893</v>
      </c>
      <c r="U222" s="5" t="n">
        <v>2.36</v>
      </c>
      <c r="V222" s="5" t="n">
        <v>12.36</v>
      </c>
      <c r="W222" s="5" t="n">
        <v>0.25</v>
      </c>
      <c r="X222" s="5" t="n">
        <v>1</v>
      </c>
      <c r="Y222" s="5" t="n">
        <v>19.611</v>
      </c>
      <c r="Z222" s="5" t="n">
        <v>2.166</v>
      </c>
      <c r="AA222" s="5" t="n">
        <v>0.156</v>
      </c>
      <c r="AB222" s="5" t="n">
        <v>19.768</v>
      </c>
      <c r="AC222" s="5" t="n">
        <v>0</v>
      </c>
      <c r="AD222" s="5" t="n">
        <v>1</v>
      </c>
      <c r="AE222" s="5" t="n">
        <v>19.568</v>
      </c>
      <c r="AF222" s="5" t="n">
        <v>3.851</v>
      </c>
      <c r="AG222" s="5" t="n">
        <v>0.2</v>
      </c>
      <c r="AH222" s="5" t="n">
        <v>19.768</v>
      </c>
      <c r="AI222" s="5" t="n">
        <v>0</v>
      </c>
      <c r="AJ222" s="5" t="n">
        <v>1</v>
      </c>
      <c r="AK222" s="5" t="n">
        <v>24.725</v>
      </c>
      <c r="AL222" s="5" t="n">
        <v>12.135</v>
      </c>
      <c r="AM222" s="5" t="n">
        <v>3.419</v>
      </c>
      <c r="AN222" s="5" t="n">
        <v>35.18</v>
      </c>
      <c r="AO222" s="5" t="n">
        <v>0.25</v>
      </c>
      <c r="AP222" s="5" t="n">
        <v>1</v>
      </c>
      <c r="AQ222" s="5" t="n">
        <v>0.619</v>
      </c>
      <c r="AR222" s="5" t="n">
        <v>0.114</v>
      </c>
      <c r="AS222" s="5" t="n">
        <v>0.962</v>
      </c>
      <c r="AT222" s="5" t="n">
        <v>1.977</v>
      </c>
      <c r="AU222" s="5" t="n">
        <v>0.25</v>
      </c>
      <c r="AV222" s="5" t="n">
        <v>1</v>
      </c>
      <c r="AW222" s="5" t="n">
        <v>0.599</v>
      </c>
      <c r="AX222" s="5" t="n">
        <v>0.114</v>
      </c>
      <c r="AY222" s="5" t="n">
        <v>0.745</v>
      </c>
      <c r="AZ222" s="5" t="n">
        <v>1.681</v>
      </c>
      <c r="BA222" s="5" t="n">
        <v>0.25</v>
      </c>
      <c r="BB222" s="5" t="n">
        <v>1</v>
      </c>
      <c r="BC222" s="5" t="n">
        <v>0.439</v>
      </c>
      <c r="BD222" s="5" t="n">
        <v>0.114</v>
      </c>
      <c r="BE222" s="5" t="n">
        <v>0.258</v>
      </c>
      <c r="BF222" s="5" t="n">
        <v>0.872</v>
      </c>
      <c r="BG222" s="5" t="n">
        <v>0.25</v>
      </c>
      <c r="BH222" s="5" t="n">
        <v>1</v>
      </c>
      <c r="BI222" s="5" t="n">
        <v>0.505</v>
      </c>
      <c r="BJ222" s="5" t="n">
        <v>0.114</v>
      </c>
      <c r="BK222" s="5" t="n">
        <v>0.856</v>
      </c>
      <c r="BL222" s="5" t="n">
        <v>1.701</v>
      </c>
      <c r="BM222" s="5" t="n">
        <v>0.25</v>
      </c>
      <c r="BN222" s="5" t="n">
        <v>1</v>
      </c>
      <c r="BO222" s="5" t="n">
        <v>0</v>
      </c>
      <c r="BP222" s="5" t="n">
        <v>0.005</v>
      </c>
      <c r="BQ222" s="5" t="n">
        <v>0.113</v>
      </c>
      <c r="BR222" s="5" t="n">
        <v>0</v>
      </c>
      <c r="BS222" s="5" t="n">
        <v>1</v>
      </c>
      <c r="BT222" s="5" t="n">
        <v>0</v>
      </c>
      <c r="BU222" s="5" t="n">
        <v>0.151</v>
      </c>
      <c r="BV222" s="5" t="n">
        <v>0.375</v>
      </c>
      <c r="BW222" s="5" t="n">
        <v>0.25</v>
      </c>
      <c r="BX222" s="5" t="n">
        <v>1</v>
      </c>
      <c r="BY222" s="5" t="n">
        <v>11.787</v>
      </c>
      <c r="BZ222" s="5" t="n">
        <v>0</v>
      </c>
      <c r="CA222" s="5" t="n">
        <v>11.787</v>
      </c>
      <c r="CB222" s="5" t="n">
        <v>0</v>
      </c>
      <c r="CC222" s="5" t="n">
        <v>78.125</v>
      </c>
      <c r="CD222" s="5" t="n">
        <v>7.95</v>
      </c>
      <c r="CE222" s="5" t="n">
        <v>148.839</v>
      </c>
      <c r="CF222" s="5" t="n">
        <v>283.705</v>
      </c>
      <c r="CG222" s="5" t="n">
        <v>0.25</v>
      </c>
      <c r="CH222" s="5" t="n">
        <v>1</v>
      </c>
      <c r="CI222" s="5" t="n">
        <v>0</v>
      </c>
      <c r="CJ222" s="5" t="n">
        <v>0</v>
      </c>
      <c r="CK222" s="5" t="n">
        <v>0</v>
      </c>
      <c r="CL222" s="5" t="n">
        <v>0</v>
      </c>
      <c r="CM222" s="5" t="n">
        <v>0</v>
      </c>
      <c r="CN222" s="5" t="n">
        <v>0.138</v>
      </c>
      <c r="CO222" s="5" t="n">
        <v>0.065</v>
      </c>
      <c r="CP222" s="5" t="n">
        <v>0.573</v>
      </c>
      <c r="CQ222" s="5" t="n">
        <v>1.198</v>
      </c>
      <c r="CR222" s="5" t="n">
        <v>0</v>
      </c>
      <c r="CS222" s="5" t="n">
        <v>2.498</v>
      </c>
      <c r="CT222" s="5" t="n">
        <v>4.567</v>
      </c>
      <c r="CU222" s="5" t="n">
        <v>14.129</v>
      </c>
    </row>
    <row r="223">
      <c r="A223" s="5" t="inlineStr">
        <is>
          <t>DNK2022</t>
        </is>
      </c>
      <c r="B223" s="5" t="inlineStr">
        <is>
          <t>DNK</t>
        </is>
      </c>
      <c r="C223" s="5" t="inlineStr">
        <is>
          <t>DNK</t>
        </is>
      </c>
      <c r="D223" s="5" t="inlineStr">
        <is>
          <t>Denmark</t>
        </is>
      </c>
      <c r="E223" s="5" t="n">
        <v>2022</v>
      </c>
      <c r="F223" s="5" t="n">
        <v>0.25</v>
      </c>
      <c r="G223" s="5" t="n">
        <v>12.904</v>
      </c>
      <c r="H223" s="5" t="n">
        <v>1.235</v>
      </c>
      <c r="I223" s="5" t="n">
        <v>9.989000000000001</v>
      </c>
      <c r="J223" s="5" t="n">
        <v>22.893</v>
      </c>
      <c r="K223" s="5" t="n">
        <v>0</v>
      </c>
      <c r="L223" s="5" t="n">
        <v>1</v>
      </c>
      <c r="M223" s="5" t="n">
        <v>9.782999999999999</v>
      </c>
      <c r="N223" s="5" t="n">
        <v>3.704</v>
      </c>
      <c r="O223" s="5" t="n">
        <v>13.237</v>
      </c>
      <c r="P223" s="5" t="n">
        <v>23.02</v>
      </c>
      <c r="Q223" s="5" t="n">
        <v>0</v>
      </c>
      <c r="R223" s="5" t="n">
        <v>1</v>
      </c>
      <c r="S223" s="5" t="n">
        <v>19.078</v>
      </c>
      <c r="T223" s="5" t="n">
        <v>7.408</v>
      </c>
      <c r="U223" s="5" t="n">
        <v>3.144</v>
      </c>
      <c r="V223" s="5" t="n">
        <v>27.273</v>
      </c>
      <c r="W223" s="5" t="n">
        <v>0.25</v>
      </c>
      <c r="X223" s="5" t="n">
        <v>1</v>
      </c>
      <c r="Y223" s="5" t="n">
        <v>33.633</v>
      </c>
      <c r="Z223" s="5" t="n">
        <v>3.528</v>
      </c>
      <c r="AA223" s="5" t="n">
        <v>6.874</v>
      </c>
      <c r="AB223" s="5" t="n">
        <v>40.507</v>
      </c>
      <c r="AC223" s="5" t="n">
        <v>0</v>
      </c>
      <c r="AD223" s="5" t="n">
        <v>1</v>
      </c>
      <c r="AE223" s="5" t="n">
        <v>33.68</v>
      </c>
      <c r="AF223" s="5" t="n">
        <v>6.244</v>
      </c>
      <c r="AG223" s="5" t="n">
        <v>6.826</v>
      </c>
      <c r="AH223" s="5" t="n">
        <v>40.507</v>
      </c>
      <c r="AI223" s="5" t="n">
        <v>0</v>
      </c>
      <c r="AJ223" s="5" t="n">
        <v>1</v>
      </c>
      <c r="AK223" s="5" t="n">
        <v>39.386</v>
      </c>
      <c r="AL223" s="5" t="n">
        <v>18.808</v>
      </c>
      <c r="AM223" s="5" t="n">
        <v>2.651</v>
      </c>
      <c r="AN223" s="5" t="n">
        <v>52.546</v>
      </c>
      <c r="AO223" s="5" t="n">
        <v>0.25</v>
      </c>
      <c r="AP223" s="5" t="n">
        <v>1</v>
      </c>
      <c r="AQ223" s="5" t="n">
        <v>0.861</v>
      </c>
      <c r="AR223" s="5" t="n">
        <v>0.123</v>
      </c>
      <c r="AS223" s="5" t="n">
        <v>0.898</v>
      </c>
      <c r="AT223" s="5" t="n">
        <v>2.199</v>
      </c>
      <c r="AU223" s="5" t="n">
        <v>0.25</v>
      </c>
      <c r="AV223" s="5" t="n">
        <v>1</v>
      </c>
      <c r="AW223" s="5" t="n">
        <v>0.986</v>
      </c>
      <c r="AX223" s="5" t="n">
        <v>0.123</v>
      </c>
      <c r="AY223" s="5" t="n">
        <v>0.668</v>
      </c>
      <c r="AZ223" s="5" t="n">
        <v>2.068</v>
      </c>
      <c r="BA223" s="5" t="n">
        <v>0.25</v>
      </c>
      <c r="BB223" s="5" t="n">
        <v>1</v>
      </c>
      <c r="BC223" s="5" t="n">
        <v>0.598</v>
      </c>
      <c r="BD223" s="5" t="n">
        <v>0.123</v>
      </c>
      <c r="BE223" s="5" t="n">
        <v>0.282</v>
      </c>
      <c r="BF223" s="5" t="n">
        <v>1.08</v>
      </c>
      <c r="BG223" s="5" t="n">
        <v>0.25</v>
      </c>
      <c r="BH223" s="5" t="n">
        <v>1</v>
      </c>
      <c r="BI223" s="5" t="n">
        <v>0.612</v>
      </c>
      <c r="BJ223" s="5" t="n">
        <v>0.123</v>
      </c>
      <c r="BK223" s="5" t="n">
        <v>1.129</v>
      </c>
      <c r="BL223" s="5" t="n">
        <v>2.177</v>
      </c>
      <c r="BM223" s="5" t="n">
        <v>0.25</v>
      </c>
      <c r="BN223" s="5" t="n">
        <v>1</v>
      </c>
      <c r="BO223" s="5" t="n">
        <v>0</v>
      </c>
      <c r="BP223" s="5" t="n">
        <v>0.001</v>
      </c>
      <c r="BQ223" s="5" t="n">
        <v>0.194</v>
      </c>
      <c r="BR223" s="5" t="n">
        <v>0</v>
      </c>
      <c r="BS223" s="5" t="n">
        <v>1</v>
      </c>
      <c r="BT223" s="5" t="n">
        <v>0</v>
      </c>
      <c r="BU223" s="5" t="n">
        <v>0.123</v>
      </c>
      <c r="BV223" s="5" t="n">
        <v>0.549</v>
      </c>
      <c r="BW223" s="5" t="n">
        <v>0.25</v>
      </c>
      <c r="BX223" s="5" t="n">
        <v>1</v>
      </c>
      <c r="BY223" s="5" t="n">
        <v>12.729</v>
      </c>
      <c r="BZ223" s="5" t="n">
        <v>0</v>
      </c>
      <c r="CA223" s="5" t="n">
        <v>12.729</v>
      </c>
      <c r="CB223" s="5" t="n">
        <v>0</v>
      </c>
      <c r="CC223" s="5" t="n">
        <v>97.90000000000001</v>
      </c>
      <c r="CD223" s="5" t="n">
        <v>7.95</v>
      </c>
      <c r="CE223" s="5" t="n">
        <v>207.777</v>
      </c>
      <c r="CF223" s="5" t="n">
        <v>382.096</v>
      </c>
      <c r="CG223" s="5" t="n">
        <v>0.25</v>
      </c>
      <c r="CH223" s="5" t="n">
        <v>1</v>
      </c>
      <c r="CI223" s="5" t="n">
        <v>0</v>
      </c>
      <c r="CJ223" s="5" t="n">
        <v>0</v>
      </c>
      <c r="CK223" s="5" t="n">
        <v>0</v>
      </c>
      <c r="CL223" s="5" t="n">
        <v>0</v>
      </c>
      <c r="CM223" s="5" t="n">
        <v>0</v>
      </c>
      <c r="CN223" s="5" t="n">
        <v>0.149</v>
      </c>
      <c r="CO223" s="5" t="n">
        <v>0.06900000000000001</v>
      </c>
      <c r="CP223" s="5" t="n">
        <v>0</v>
      </c>
      <c r="CQ223" s="5" t="n">
        <v>1.294</v>
      </c>
      <c r="CR223" s="5" t="n">
        <v>0</v>
      </c>
      <c r="CS223" s="5" t="n">
        <v>2.698</v>
      </c>
      <c r="CT223" s="5" t="n">
        <v>11.669</v>
      </c>
      <c r="CU223" s="5" t="n">
        <v>28.059</v>
      </c>
    </row>
    <row r="224">
      <c r="A224" s="5" t="inlineStr">
        <is>
          <t>DNK2023</t>
        </is>
      </c>
      <c r="B224" s="5" t="inlineStr">
        <is>
          <t>DNK</t>
        </is>
      </c>
      <c r="C224" s="5" t="inlineStr">
        <is>
          <t>DNK</t>
        </is>
      </c>
      <c r="D224" s="5" t="inlineStr">
        <is>
          <t>Denmark</t>
        </is>
      </c>
      <c r="E224" s="5" t="n">
        <v>2023</v>
      </c>
      <c r="F224" s="5" t="n">
        <v>0.25</v>
      </c>
      <c r="G224" s="5" t="n">
        <v>6.901</v>
      </c>
      <c r="H224" s="5" t="n">
        <v>1.286</v>
      </c>
      <c r="I224" s="5" t="n">
        <v>11.192</v>
      </c>
      <c r="J224" s="5" t="n">
        <v>18.092</v>
      </c>
      <c r="K224" s="5" t="n">
        <v>0</v>
      </c>
      <c r="L224" s="5" t="n">
        <v>1</v>
      </c>
      <c r="M224" s="5" t="n">
        <v>7.886</v>
      </c>
      <c r="N224" s="5" t="n">
        <v>3.857</v>
      </c>
      <c r="O224" s="5" t="n">
        <v>14.221</v>
      </c>
      <c r="P224" s="5" t="n">
        <v>22.107</v>
      </c>
      <c r="Q224" s="5" t="n">
        <v>0</v>
      </c>
      <c r="R224" s="5" t="n">
        <v>1</v>
      </c>
      <c r="S224" s="5" t="n">
        <v>13.329</v>
      </c>
      <c r="T224" s="5" t="n">
        <v>7.714</v>
      </c>
      <c r="U224" s="5" t="n">
        <v>3.278</v>
      </c>
      <c r="V224" s="5" t="n">
        <v>20.2</v>
      </c>
      <c r="W224" s="5" t="n">
        <v>0.25</v>
      </c>
      <c r="X224" s="5" t="n">
        <v>1</v>
      </c>
      <c r="Y224" s="5" t="n">
        <v>14.886</v>
      </c>
      <c r="Z224" s="5" t="n">
        <v>1.667</v>
      </c>
      <c r="AA224" s="5" t="n">
        <v>9.521000000000001</v>
      </c>
      <c r="AB224" s="5" t="n">
        <v>24.406</v>
      </c>
      <c r="AC224" s="5" t="n">
        <v>0</v>
      </c>
      <c r="AD224" s="5" t="n">
        <v>1</v>
      </c>
      <c r="AE224" s="5" t="n">
        <v>14.984</v>
      </c>
      <c r="AF224" s="5" t="n">
        <v>2.984</v>
      </c>
      <c r="AG224" s="5" t="n">
        <v>9.422000000000001</v>
      </c>
      <c r="AH224" s="5" t="n">
        <v>24.406</v>
      </c>
      <c r="AI224" s="5" t="n">
        <v>0</v>
      </c>
      <c r="AJ224" s="5" t="n">
        <v>1</v>
      </c>
      <c r="AK224" s="5" t="n">
        <v>20.996</v>
      </c>
      <c r="AL224" s="5" t="n">
        <v>10.401</v>
      </c>
      <c r="AM224" s="5" t="n">
        <v>13.552</v>
      </c>
      <c r="AN224" s="5" t="n">
        <v>43.184</v>
      </c>
      <c r="AO224" s="5" t="n">
        <v>0.25</v>
      </c>
      <c r="AP224" s="5" t="n">
        <v>1</v>
      </c>
      <c r="AQ224" s="5" t="n">
        <v>0.76</v>
      </c>
      <c r="AR224" s="5" t="n">
        <v>0.129</v>
      </c>
      <c r="AS224" s="5" t="n">
        <v>0.948</v>
      </c>
      <c r="AT224" s="5" t="n">
        <v>2.135</v>
      </c>
      <c r="AU224" s="5" t="n">
        <v>0.25</v>
      </c>
      <c r="AV224" s="5" t="n">
        <v>1</v>
      </c>
      <c r="AW224" s="5" t="n">
        <v>0.8110000000000001</v>
      </c>
      <c r="AX224" s="5" t="n">
        <v>0.129</v>
      </c>
      <c r="AY224" s="5" t="n">
        <v>0.6929999999999999</v>
      </c>
      <c r="AZ224" s="5" t="n">
        <v>1.88</v>
      </c>
      <c r="BA224" s="5" t="n">
        <v>0.25</v>
      </c>
      <c r="BB224" s="5" t="n">
        <v>1</v>
      </c>
      <c r="BC224" s="5" t="n">
        <v>0.535</v>
      </c>
      <c r="BD224" s="5" t="n">
        <v>0.129</v>
      </c>
      <c r="BE224" s="5" t="n">
        <v>0.287</v>
      </c>
      <c r="BF224" s="5" t="n">
        <v>1</v>
      </c>
      <c r="BG224" s="5" t="n">
        <v>0.25</v>
      </c>
      <c r="BH224" s="5" t="n">
        <v>1</v>
      </c>
      <c r="BI224" s="5" t="n">
        <v>0.579</v>
      </c>
      <c r="BJ224" s="5" t="n">
        <v>0.129</v>
      </c>
      <c r="BK224" s="5" t="n">
        <v>1.022</v>
      </c>
      <c r="BL224" s="5" t="n">
        <v>2.002</v>
      </c>
      <c r="BM224" s="5" t="n">
        <v>0.25</v>
      </c>
      <c r="BN224" s="5" t="n">
        <v>1</v>
      </c>
      <c r="BO224" s="5" t="n">
        <v>0</v>
      </c>
      <c r="BP224" s="5" t="n">
        <v>0.001</v>
      </c>
      <c r="BQ224" s="5" t="n">
        <v>0.13</v>
      </c>
      <c r="BR224" s="5" t="n">
        <v>0</v>
      </c>
      <c r="BS224" s="5" t="n">
        <v>1</v>
      </c>
      <c r="BT224" s="5" t="n">
        <v>0</v>
      </c>
      <c r="BU224" s="5" t="n">
        <v>0.058</v>
      </c>
      <c r="BV224" s="5" t="n">
        <v>0.398</v>
      </c>
      <c r="BW224" s="5" t="n">
        <v>0.25</v>
      </c>
      <c r="BX224" s="5" t="n">
        <v>1</v>
      </c>
      <c r="BY224" s="5" t="n">
        <v>13.254</v>
      </c>
      <c r="BZ224" s="5" t="n">
        <v>0</v>
      </c>
      <c r="CA224" s="5" t="n">
        <v>13.254</v>
      </c>
      <c r="CB224" s="5" t="n">
        <v>0</v>
      </c>
      <c r="CC224" s="5" t="n">
        <v>83.248</v>
      </c>
      <c r="CD224" s="5" t="n">
        <v>7.95</v>
      </c>
      <c r="CE224" s="5" t="n">
        <v>206.151</v>
      </c>
      <c r="CF224" s="5" t="n">
        <v>361.749</v>
      </c>
      <c r="CG224" s="5" t="n">
        <v>0.25</v>
      </c>
      <c r="CH224" s="5" t="n">
        <v>1</v>
      </c>
      <c r="CI224" s="5" t="n">
        <v>0</v>
      </c>
      <c r="CJ224" s="5" t="n">
        <v>0</v>
      </c>
      <c r="CK224" s="5" t="n">
        <v>0</v>
      </c>
      <c r="CL224" s="5" t="n">
        <v>0</v>
      </c>
      <c r="CM224" s="5" t="n">
        <v>0</v>
      </c>
      <c r="CN224" s="5" t="n">
        <v>0.149</v>
      </c>
      <c r="CO224" s="5" t="n">
        <v>0.066</v>
      </c>
      <c r="CP224" s="5" t="n">
        <v>0</v>
      </c>
      <c r="CQ224" s="5" t="n">
        <v>1.348</v>
      </c>
      <c r="CR224" s="5" t="n">
        <v>0</v>
      </c>
      <c r="CS224" s="5" t="n">
        <v>2.809</v>
      </c>
      <c r="CT224" s="5" t="n">
        <v>5.615</v>
      </c>
      <c r="CU224" s="5" t="n">
        <v>9.260999999999999</v>
      </c>
    </row>
    <row r="225">
      <c r="A225" s="5" t="inlineStr">
        <is>
          <t>DNK2024</t>
        </is>
      </c>
      <c r="B225" s="5" t="inlineStr">
        <is>
          <t>DNK</t>
        </is>
      </c>
      <c r="C225" s="5" t="inlineStr">
        <is>
          <t>DNK</t>
        </is>
      </c>
      <c r="D225" s="5" t="inlineStr">
        <is>
          <t>Denmark</t>
        </is>
      </c>
      <c r="E225" s="5" t="n">
        <v>2024</v>
      </c>
      <c r="F225" s="5" t="n">
        <v>0.25</v>
      </c>
      <c r="G225" s="5" t="n">
        <v>5.717</v>
      </c>
      <c r="H225" s="5" t="n">
        <v>1.324</v>
      </c>
      <c r="I225" s="5" t="n">
        <v>8.045</v>
      </c>
      <c r="J225" s="5" t="n">
        <v>13.763</v>
      </c>
      <c r="K225" s="5" t="n">
        <v>0</v>
      </c>
      <c r="L225" s="5" t="n">
        <v>1</v>
      </c>
      <c r="M225" s="5" t="n">
        <v>7.124</v>
      </c>
      <c r="N225" s="5" t="n">
        <v>3.971</v>
      </c>
      <c r="O225" s="5" t="n">
        <v>12.724</v>
      </c>
      <c r="P225" s="5" t="n">
        <v>19.848</v>
      </c>
      <c r="Q225" s="5" t="n">
        <v>0</v>
      </c>
      <c r="R225" s="5" t="n">
        <v>1</v>
      </c>
      <c r="S225" s="5" t="n">
        <v>12.335</v>
      </c>
      <c r="T225" s="5" t="n">
        <v>7.942</v>
      </c>
      <c r="U225" s="5" t="n">
        <v>3.61</v>
      </c>
      <c r="V225" s="5" t="n">
        <v>19.275</v>
      </c>
      <c r="W225" s="5" t="n">
        <v>0.25</v>
      </c>
      <c r="X225" s="5" t="n">
        <v>1</v>
      </c>
      <c r="Y225" s="5" t="n">
        <v>14.533</v>
      </c>
      <c r="Z225" s="5" t="n">
        <v>1.835</v>
      </c>
      <c r="AA225" s="5" t="n">
        <v>6.495</v>
      </c>
      <c r="AB225" s="5" t="n">
        <v>21.029</v>
      </c>
      <c r="AC225" s="5" t="n">
        <v>0</v>
      </c>
      <c r="AD225" s="5" t="n">
        <v>1</v>
      </c>
      <c r="AE225" s="5" t="n">
        <v>14.533</v>
      </c>
      <c r="AF225" s="5" t="n">
        <v>3.184</v>
      </c>
      <c r="AG225" s="5" t="n">
        <v>6.495</v>
      </c>
      <c r="AH225" s="5" t="n">
        <v>21.029</v>
      </c>
      <c r="AI225" s="5" t="n">
        <v>0</v>
      </c>
      <c r="AJ225" s="5" t="n">
        <v>1</v>
      </c>
      <c r="AK225" s="5" t="n">
        <v>19.97</v>
      </c>
      <c r="AL225" s="5" t="n">
        <v>10.157</v>
      </c>
      <c r="AM225" s="5" t="n">
        <v>10.534</v>
      </c>
      <c r="AN225" s="5" t="n">
        <v>38.13</v>
      </c>
      <c r="AO225" s="5" t="n">
        <v>0.25</v>
      </c>
      <c r="AP225" s="5" t="n">
        <v>1</v>
      </c>
      <c r="AQ225" s="5" t="n">
        <v>0.724</v>
      </c>
      <c r="AR225" s="5" t="n">
        <v>0.132</v>
      </c>
      <c r="AS225" s="5" t="n">
        <v>1.005</v>
      </c>
      <c r="AT225" s="5" t="n">
        <v>2.162</v>
      </c>
      <c r="AU225" s="5" t="n">
        <v>0.25</v>
      </c>
      <c r="AV225" s="5" t="n">
        <v>1</v>
      </c>
      <c r="AW225" s="5" t="n">
        <v>0.75</v>
      </c>
      <c r="AX225" s="5" t="n">
        <v>0.132</v>
      </c>
      <c r="AY225" s="5" t="n">
        <v>0.725</v>
      </c>
      <c r="AZ225" s="5" t="n">
        <v>1.844</v>
      </c>
      <c r="BA225" s="5" t="n">
        <v>0.25</v>
      </c>
      <c r="BB225" s="5" t="n">
        <v>1</v>
      </c>
      <c r="BC225" s="5" t="n">
        <v>0.513</v>
      </c>
      <c r="BD225" s="5" t="n">
        <v>0.132</v>
      </c>
      <c r="BE225" s="5" t="n">
        <v>0.296</v>
      </c>
      <c r="BF225" s="5" t="n">
        <v>0.978</v>
      </c>
      <c r="BG225" s="5" t="n">
        <v>0.25</v>
      </c>
      <c r="BH225" s="5" t="n">
        <v>1</v>
      </c>
      <c r="BI225" s="5" t="n">
        <v>0.591</v>
      </c>
      <c r="BJ225" s="5" t="n">
        <v>0.132</v>
      </c>
      <c r="BK225" s="5" t="n">
        <v>0.9429999999999999</v>
      </c>
      <c r="BL225" s="5" t="n">
        <v>1.917</v>
      </c>
      <c r="BM225" s="5" t="n">
        <v>0.25</v>
      </c>
      <c r="BN225" s="5" t="n">
        <v>1</v>
      </c>
      <c r="BO225" s="5" t="n">
        <v>0</v>
      </c>
      <c r="BP225" s="5" t="n">
        <v>0.002</v>
      </c>
      <c r="BQ225" s="5" t="n">
        <v>0.122</v>
      </c>
      <c r="BR225" s="5" t="n">
        <v>0</v>
      </c>
      <c r="BS225" s="5" t="n">
        <v>1</v>
      </c>
      <c r="BT225" s="5" t="n">
        <v>0</v>
      </c>
      <c r="BU225" s="5" t="n">
        <v>0.117</v>
      </c>
      <c r="BV225" s="5" t="n">
        <v>0.404</v>
      </c>
      <c r="BW225" s="5" t="n">
        <v>0.25</v>
      </c>
      <c r="BX225" s="5" t="n">
        <v>1</v>
      </c>
      <c r="BY225" s="5" t="n">
        <v>13.646</v>
      </c>
      <c r="BZ225" s="5" t="n">
        <v>0</v>
      </c>
      <c r="CA225" s="5" t="n">
        <v>13.646</v>
      </c>
      <c r="CB225" s="5" t="n">
        <v>0</v>
      </c>
      <c r="CC225" s="5" t="n">
        <v>82.58799999999999</v>
      </c>
      <c r="CD225" s="5" t="n">
        <v>7.95</v>
      </c>
      <c r="CE225" s="5" t="n">
        <v>192.975</v>
      </c>
      <c r="CF225" s="5" t="n">
        <v>344.454</v>
      </c>
      <c r="CG225" s="5" t="n">
        <v>0.25</v>
      </c>
      <c r="CH225" s="5" t="n">
        <v>1</v>
      </c>
      <c r="CI225" s="5" t="n">
        <v>0</v>
      </c>
      <c r="CJ225" s="5" t="n">
        <v>0</v>
      </c>
      <c r="CK225" s="5" t="n">
        <v>0</v>
      </c>
      <c r="CL225" s="5" t="n">
        <v>0</v>
      </c>
      <c r="CM225" s="5" t="n">
        <v>0</v>
      </c>
      <c r="CN225" s="5" t="n">
        <v>0.363</v>
      </c>
      <c r="CO225" s="5" t="n">
        <v>0.06900000000000001</v>
      </c>
      <c r="CP225" s="5" t="n">
        <v>0</v>
      </c>
      <c r="CQ225" s="5" t="n">
        <v>1.387</v>
      </c>
      <c r="CR225" s="5" t="n">
        <v>0</v>
      </c>
      <c r="CS225" s="5" t="n">
        <v>2.892</v>
      </c>
      <c r="CT225" s="5" t="n">
        <v>4.394</v>
      </c>
      <c r="CU225" s="5" t="n">
        <v>7.598</v>
      </c>
    </row>
    <row r="226">
      <c r="A226" s="5" t="inlineStr">
        <is>
          <t>DJI2021</t>
        </is>
      </c>
      <c r="B226" s="5" t="inlineStr">
        <is>
          <t>DJI</t>
        </is>
      </c>
      <c r="C226" s="5" t="inlineStr">
        <is>
          <t>DJI</t>
        </is>
      </c>
      <c r="D226" s="5" t="inlineStr">
        <is>
          <t>Djibouti</t>
        </is>
      </c>
      <c r="E226" s="5" t="n">
        <v>2021</v>
      </c>
      <c r="F226" s="5" t="n">
        <v>0.1</v>
      </c>
      <c r="G226" s="5" t="n">
        <v>5.897</v>
      </c>
      <c r="H226" s="5" t="n">
        <v>1.143</v>
      </c>
      <c r="I226" s="5" t="n">
        <v>0</v>
      </c>
      <c r="J226" s="5" t="n">
        <v>5.897</v>
      </c>
      <c r="K226" s="5" t="n">
        <v>0</v>
      </c>
      <c r="L226" s="5" t="n">
        <v>1</v>
      </c>
      <c r="M226" s="5" t="n">
        <v>7.964</v>
      </c>
      <c r="N226" s="5" t="n">
        <v>3.43</v>
      </c>
      <c r="O226" s="5" t="n">
        <v>0</v>
      </c>
      <c r="P226" s="5" t="n">
        <v>7.964</v>
      </c>
      <c r="Q226" s="5" t="n">
        <v>0</v>
      </c>
      <c r="R226" s="5" t="n">
        <v>1</v>
      </c>
      <c r="S226" s="5" t="n">
        <v>11.613</v>
      </c>
      <c r="T226" s="5" t="n">
        <v>6.86</v>
      </c>
      <c r="U226" s="5" t="n">
        <v>0</v>
      </c>
      <c r="V226" s="5" t="n">
        <v>12.775</v>
      </c>
      <c r="W226" s="5" t="n">
        <v>0.1</v>
      </c>
      <c r="X226" s="5" t="n">
        <v>1</v>
      </c>
      <c r="Y226" s="5" t="n">
        <v>5.115</v>
      </c>
      <c r="Z226" s="5" t="n">
        <v>0.834</v>
      </c>
      <c r="AA226" s="5" t="n">
        <v>0</v>
      </c>
      <c r="AB226" s="5" t="n">
        <v>5.115</v>
      </c>
      <c r="AC226" s="5" t="n">
        <v>0</v>
      </c>
      <c r="AD226" s="5" t="n">
        <v>1</v>
      </c>
      <c r="AE226" s="5" t="n">
        <v>6.258</v>
      </c>
      <c r="AF226" s="5" t="n">
        <v>1.715</v>
      </c>
      <c r="AG226" s="5" t="n">
        <v>0</v>
      </c>
      <c r="AH226" s="5" t="n">
        <v>6.258</v>
      </c>
      <c r="AI226" s="5" t="n">
        <v>0</v>
      </c>
      <c r="AJ226" s="5" t="n">
        <v>1</v>
      </c>
      <c r="AK226" s="5" t="n">
        <v>13.118</v>
      </c>
      <c r="AL226" s="5" t="n">
        <v>7.629</v>
      </c>
      <c r="AM226" s="5" t="n">
        <v>0</v>
      </c>
      <c r="AN226" s="5" t="n">
        <v>14.43</v>
      </c>
      <c r="AO226" s="5" t="n">
        <v>0.1</v>
      </c>
      <c r="AP226" s="5" t="n">
        <v>1</v>
      </c>
      <c r="AQ226" s="5" t="n">
        <v>0.621</v>
      </c>
      <c r="AR226" s="5" t="n">
        <v>0.114</v>
      </c>
      <c r="AS226" s="5" t="n">
        <v>1.066</v>
      </c>
      <c r="AT226" s="5" t="n">
        <v>1.856</v>
      </c>
      <c r="AU226" s="5" t="n">
        <v>0.1</v>
      </c>
      <c r="AV226" s="5" t="n">
        <v>1</v>
      </c>
      <c r="AW226" s="5" t="n">
        <v>0.593</v>
      </c>
      <c r="AX226" s="5" t="n">
        <v>0.114</v>
      </c>
      <c r="AY226" s="5" t="n">
        <v>0.386</v>
      </c>
      <c r="AZ226" s="5" t="n">
        <v>1.077</v>
      </c>
      <c r="BA226" s="5" t="n">
        <v>0.1</v>
      </c>
      <c r="BB226" s="5" t="n">
        <v>1</v>
      </c>
      <c r="BC226" s="5" t="n">
        <v>0.44</v>
      </c>
      <c r="BD226" s="5" t="n">
        <v>0.114</v>
      </c>
      <c r="BE226" s="5" t="n">
        <v>0</v>
      </c>
      <c r="BF226" s="5" t="n">
        <v>0.484</v>
      </c>
      <c r="BG226" s="5" t="n">
        <v>0.1</v>
      </c>
      <c r="BH226" s="5" t="n">
        <v>1</v>
      </c>
      <c r="BI226" s="5" t="n">
        <v>0.5600000000000001</v>
      </c>
      <c r="BJ226" s="5" t="n">
        <v>0.114</v>
      </c>
      <c r="BK226" s="5" t="n">
        <v>0</v>
      </c>
      <c r="BL226" s="5" t="n">
        <v>0.616</v>
      </c>
      <c r="BM226" s="5" t="n">
        <v>0.1</v>
      </c>
      <c r="BN226" s="5" t="n">
        <v>1</v>
      </c>
      <c r="BO226" s="5" t="n">
        <v>0</v>
      </c>
      <c r="BP226" s="5" t="n">
        <v>0</v>
      </c>
      <c r="BQ226" s="5" t="n">
        <v>0</v>
      </c>
      <c r="BR226" s="5" t="n">
        <v>0</v>
      </c>
      <c r="BS226" s="5" t="n">
        <v>1</v>
      </c>
      <c r="BT226" s="5" t="n">
        <v>0</v>
      </c>
      <c r="BU226" s="5" t="n">
        <v>0</v>
      </c>
      <c r="BV226" s="5" t="n">
        <v>0</v>
      </c>
      <c r="BW226" s="5" t="n">
        <v>0.1</v>
      </c>
      <c r="BX226" s="5" t="n">
        <v>1</v>
      </c>
      <c r="BY226" s="5" t="n">
        <v>11.787</v>
      </c>
      <c r="BZ226" s="5" t="n">
        <v>0</v>
      </c>
      <c r="CA226" s="5" t="n">
        <v>11.787</v>
      </c>
      <c r="CB226" s="5" t="n">
        <v>0</v>
      </c>
      <c r="CC226" s="5" t="n">
        <v>81.69499999999999</v>
      </c>
      <c r="CD226" s="5" t="n">
        <v>7.95</v>
      </c>
      <c r="CE226" s="5" t="n">
        <v>0</v>
      </c>
      <c r="CF226" s="5" t="n">
        <v>89.86499999999999</v>
      </c>
      <c r="CG226" s="5" t="n">
        <v>0.1</v>
      </c>
      <c r="CH226" s="5" t="n">
        <v>1</v>
      </c>
      <c r="CI226" s="5" t="n">
        <v>0</v>
      </c>
      <c r="CJ226" s="5" t="n">
        <v>0</v>
      </c>
      <c r="CK226" s="5" t="n">
        <v>0</v>
      </c>
      <c r="CL226" s="5" t="n">
        <v>0</v>
      </c>
      <c r="CM226" s="5" t="n">
        <v>0</v>
      </c>
      <c r="CN226" s="5" t="n">
        <v>0</v>
      </c>
      <c r="CO226" s="5" t="n">
        <v>0</v>
      </c>
      <c r="CP226" s="5" t="n">
        <v>0</v>
      </c>
      <c r="CQ226" s="5" t="n">
        <v>1.198</v>
      </c>
      <c r="CR226" s="5" t="n">
        <v>0</v>
      </c>
      <c r="CS226" s="5" t="n">
        <v>4.776</v>
      </c>
      <c r="CT226" s="5" t="n">
        <v>4.753</v>
      </c>
      <c r="CU226" s="5" t="n">
        <v>14.162</v>
      </c>
    </row>
    <row r="227">
      <c r="A227" s="5" t="inlineStr">
        <is>
          <t>DJI2022</t>
        </is>
      </c>
      <c r="B227" s="5" t="inlineStr">
        <is>
          <t>DJI</t>
        </is>
      </c>
      <c r="C227" s="5" t="inlineStr">
        <is>
          <t>DJI</t>
        </is>
      </c>
      <c r="D227" s="5" t="inlineStr">
        <is>
          <t>Djibouti</t>
        </is>
      </c>
      <c r="E227" s="5" t="n">
        <v>2022</v>
      </c>
      <c r="F227" s="5" t="n">
        <v>0.1</v>
      </c>
      <c r="G227" s="5" t="n">
        <v>11.72</v>
      </c>
      <c r="H227" s="5" t="n">
        <v>1.235</v>
      </c>
      <c r="I227" s="5" t="n">
        <v>0</v>
      </c>
      <c r="J227" s="5" t="n">
        <v>11.72</v>
      </c>
      <c r="K227" s="5" t="n">
        <v>0</v>
      </c>
      <c r="L227" s="5" t="n">
        <v>1</v>
      </c>
      <c r="M227" s="5" t="n">
        <v>9.782999999999999</v>
      </c>
      <c r="N227" s="5" t="n">
        <v>3.704</v>
      </c>
      <c r="O227" s="5" t="n">
        <v>0</v>
      </c>
      <c r="P227" s="5" t="n">
        <v>9.782999999999999</v>
      </c>
      <c r="Q227" s="5" t="n">
        <v>0</v>
      </c>
      <c r="R227" s="5" t="n">
        <v>1</v>
      </c>
      <c r="S227" s="5" t="n">
        <v>17.893</v>
      </c>
      <c r="T227" s="5" t="n">
        <v>7.408</v>
      </c>
      <c r="U227" s="5" t="n">
        <v>0.132</v>
      </c>
      <c r="V227" s="5" t="n">
        <v>19.683</v>
      </c>
      <c r="W227" s="5" t="n">
        <v>0.1</v>
      </c>
      <c r="X227" s="5" t="n">
        <v>1</v>
      </c>
      <c r="Y227" s="5" t="n">
        <v>5.91</v>
      </c>
      <c r="Z227" s="5" t="n">
        <v>0.964</v>
      </c>
      <c r="AA227" s="5" t="n">
        <v>0</v>
      </c>
      <c r="AB227" s="5" t="n">
        <v>5.91</v>
      </c>
      <c r="AC227" s="5" t="n">
        <v>0</v>
      </c>
      <c r="AD227" s="5" t="n">
        <v>1</v>
      </c>
      <c r="AE227" s="5" t="n">
        <v>7.145</v>
      </c>
      <c r="AF227" s="5" t="n">
        <v>1.958</v>
      </c>
      <c r="AG227" s="5" t="n">
        <v>0</v>
      </c>
      <c r="AH227" s="5" t="n">
        <v>7.145</v>
      </c>
      <c r="AI227" s="5" t="n">
        <v>0</v>
      </c>
      <c r="AJ227" s="5" t="n">
        <v>1</v>
      </c>
      <c r="AK227" s="5" t="n">
        <v>14.553</v>
      </c>
      <c r="AL227" s="5" t="n">
        <v>8.462999999999999</v>
      </c>
      <c r="AM227" s="5" t="n">
        <v>0.108</v>
      </c>
      <c r="AN227" s="5" t="n">
        <v>16.008</v>
      </c>
      <c r="AO227" s="5" t="n">
        <v>0.1</v>
      </c>
      <c r="AP227" s="5" t="n">
        <v>1</v>
      </c>
      <c r="AQ227" s="5" t="n">
        <v>0.847</v>
      </c>
      <c r="AR227" s="5" t="n">
        <v>0.123</v>
      </c>
      <c r="AS227" s="5" t="n">
        <v>1.15</v>
      </c>
      <c r="AT227" s="5" t="n">
        <v>2.181</v>
      </c>
      <c r="AU227" s="5" t="n">
        <v>0.1</v>
      </c>
      <c r="AV227" s="5" t="n">
        <v>1</v>
      </c>
      <c r="AW227" s="5" t="n">
        <v>0.947</v>
      </c>
      <c r="AX227" s="5" t="n">
        <v>0.123</v>
      </c>
      <c r="AY227" s="5" t="n">
        <v>0.399</v>
      </c>
      <c r="AZ227" s="5" t="n">
        <v>1.47</v>
      </c>
      <c r="BA227" s="5" t="n">
        <v>0.1</v>
      </c>
      <c r="BB227" s="5" t="n">
        <v>1</v>
      </c>
      <c r="BC227" s="5" t="n">
        <v>0.589</v>
      </c>
      <c r="BD227" s="5" t="n">
        <v>0.123</v>
      </c>
      <c r="BE227" s="5" t="n">
        <v>0.004</v>
      </c>
      <c r="BF227" s="5" t="n">
        <v>0.647</v>
      </c>
      <c r="BG227" s="5" t="n">
        <v>0.1</v>
      </c>
      <c r="BH227" s="5" t="n">
        <v>1</v>
      </c>
      <c r="BI227" s="5" t="n">
        <v>0.6889999999999999</v>
      </c>
      <c r="BJ227" s="5" t="n">
        <v>0.123</v>
      </c>
      <c r="BK227" s="5" t="n">
        <v>0.005</v>
      </c>
      <c r="BL227" s="5" t="n">
        <v>0.758</v>
      </c>
      <c r="BM227" s="5" t="n">
        <v>0.1</v>
      </c>
      <c r="BN227" s="5" t="n">
        <v>1</v>
      </c>
      <c r="BO227" s="5" t="n">
        <v>0</v>
      </c>
      <c r="BP227" s="5" t="n">
        <v>0</v>
      </c>
      <c r="BQ227" s="5" t="n">
        <v>0</v>
      </c>
      <c r="BR227" s="5" t="n">
        <v>0</v>
      </c>
      <c r="BS227" s="5" t="n">
        <v>1</v>
      </c>
      <c r="BT227" s="5" t="n">
        <v>0</v>
      </c>
      <c r="BU227" s="5" t="n">
        <v>0</v>
      </c>
      <c r="BV227" s="5" t="n">
        <v>0</v>
      </c>
      <c r="BW227" s="5" t="n">
        <v>0.1</v>
      </c>
      <c r="BX227" s="5" t="n">
        <v>1</v>
      </c>
      <c r="BY227" s="5" t="n">
        <v>12.729</v>
      </c>
      <c r="BZ227" s="5" t="n">
        <v>0</v>
      </c>
      <c r="CA227" s="5" t="n">
        <v>12.729</v>
      </c>
      <c r="CB227" s="5" t="n">
        <v>0</v>
      </c>
      <c r="CC227" s="5" t="n">
        <v>102.477</v>
      </c>
      <c r="CD227" s="5" t="n">
        <v>7.95</v>
      </c>
      <c r="CE227" s="5" t="n">
        <v>0.758</v>
      </c>
      <c r="CF227" s="5" t="n">
        <v>112.724</v>
      </c>
      <c r="CG227" s="5" t="n">
        <v>0.1</v>
      </c>
      <c r="CH227" s="5" t="n">
        <v>1</v>
      </c>
      <c r="CI227" s="5" t="n">
        <v>0</v>
      </c>
      <c r="CJ227" s="5" t="n">
        <v>0</v>
      </c>
      <c r="CK227" s="5" t="n">
        <v>0</v>
      </c>
      <c r="CL227" s="5" t="n">
        <v>0</v>
      </c>
      <c r="CM227" s="5" t="n">
        <v>0</v>
      </c>
      <c r="CN227" s="5" t="n">
        <v>0</v>
      </c>
      <c r="CO227" s="5" t="n">
        <v>0</v>
      </c>
      <c r="CP227" s="5" t="n">
        <v>0</v>
      </c>
      <c r="CQ227" s="5" t="n">
        <v>1.294</v>
      </c>
      <c r="CR227" s="5" t="n">
        <v>0</v>
      </c>
      <c r="CS227" s="5" t="n">
        <v>5.158</v>
      </c>
      <c r="CT227" s="5" t="n">
        <v>10.485</v>
      </c>
      <c r="CU227" s="5" t="n">
        <v>30.326</v>
      </c>
    </row>
    <row r="228">
      <c r="A228" s="5" t="inlineStr">
        <is>
          <t>DJI2023</t>
        </is>
      </c>
      <c r="B228" s="5" t="inlineStr">
        <is>
          <t>DJI</t>
        </is>
      </c>
      <c r="C228" s="5" t="inlineStr">
        <is>
          <t>DJI</t>
        </is>
      </c>
      <c r="D228" s="5" t="inlineStr">
        <is>
          <t>Djibouti</t>
        </is>
      </c>
      <c r="E228" s="5" t="n">
        <v>2023</v>
      </c>
      <c r="F228" s="5" t="n">
        <v>0.1</v>
      </c>
      <c r="G228" s="5" t="n">
        <v>6.147</v>
      </c>
      <c r="H228" s="5" t="n">
        <v>1.286</v>
      </c>
      <c r="I228" s="5" t="n">
        <v>0</v>
      </c>
      <c r="J228" s="5" t="n">
        <v>6.147</v>
      </c>
      <c r="K228" s="5" t="n">
        <v>0</v>
      </c>
      <c r="L228" s="5" t="n">
        <v>1</v>
      </c>
      <c r="M228" s="5" t="n">
        <v>7.886</v>
      </c>
      <c r="N228" s="5" t="n">
        <v>3.857</v>
      </c>
      <c r="O228" s="5" t="n">
        <v>0</v>
      </c>
      <c r="P228" s="5" t="n">
        <v>7.886</v>
      </c>
      <c r="Q228" s="5" t="n">
        <v>0</v>
      </c>
      <c r="R228" s="5" t="n">
        <v>1</v>
      </c>
      <c r="S228" s="5" t="n">
        <v>12.575</v>
      </c>
      <c r="T228" s="5" t="n">
        <v>7.714</v>
      </c>
      <c r="U228" s="5" t="n">
        <v>0.139</v>
      </c>
      <c r="V228" s="5" t="n">
        <v>13.833</v>
      </c>
      <c r="W228" s="5" t="n">
        <v>0.1</v>
      </c>
      <c r="X228" s="5" t="n">
        <v>1</v>
      </c>
      <c r="Y228" s="5" t="n">
        <v>5.615</v>
      </c>
      <c r="Z228" s="5" t="n">
        <v>0.916</v>
      </c>
      <c r="AA228" s="5" t="n">
        <v>0</v>
      </c>
      <c r="AB228" s="5" t="n">
        <v>5.615</v>
      </c>
      <c r="AC228" s="5" t="n">
        <v>0</v>
      </c>
      <c r="AD228" s="5" t="n">
        <v>1</v>
      </c>
      <c r="AE228" s="5" t="n">
        <v>6.901</v>
      </c>
      <c r="AF228" s="5" t="n">
        <v>1.891</v>
      </c>
      <c r="AG228" s="5" t="n">
        <v>0</v>
      </c>
      <c r="AH228" s="5" t="n">
        <v>6.901</v>
      </c>
      <c r="AI228" s="5" t="n">
        <v>0</v>
      </c>
      <c r="AJ228" s="5" t="n">
        <v>1</v>
      </c>
      <c r="AK228" s="5" t="n">
        <v>14.615</v>
      </c>
      <c r="AL228" s="5" t="n">
        <v>8.499000000000001</v>
      </c>
      <c r="AM228" s="5" t="n">
        <v>0.162</v>
      </c>
      <c r="AN228" s="5" t="n">
        <v>16.076</v>
      </c>
      <c r="AO228" s="5" t="n">
        <v>0.1</v>
      </c>
      <c r="AP228" s="5" t="n">
        <v>1</v>
      </c>
      <c r="AQ228" s="5" t="n">
        <v>0.749</v>
      </c>
      <c r="AR228" s="5" t="n">
        <v>0.129</v>
      </c>
      <c r="AS228" s="5" t="n">
        <v>1.216</v>
      </c>
      <c r="AT228" s="5" t="n">
        <v>2.138</v>
      </c>
      <c r="AU228" s="5" t="n">
        <v>0.1</v>
      </c>
      <c r="AV228" s="5" t="n">
        <v>1</v>
      </c>
      <c r="AW228" s="5" t="n">
        <v>0.783</v>
      </c>
      <c r="AX228" s="5" t="n">
        <v>0.129</v>
      </c>
      <c r="AY228" s="5" t="n">
        <v>0.437</v>
      </c>
      <c r="AZ228" s="5" t="n">
        <v>1.327</v>
      </c>
      <c r="BA228" s="5" t="n">
        <v>0.1</v>
      </c>
      <c r="BB228" s="5" t="n">
        <v>1</v>
      </c>
      <c r="BC228" s="5" t="n">
        <v>0.527</v>
      </c>
      <c r="BD228" s="5" t="n">
        <v>0.129</v>
      </c>
      <c r="BE228" s="5" t="n">
        <v>0.006</v>
      </c>
      <c r="BF228" s="5" t="n">
        <v>0.58</v>
      </c>
      <c r="BG228" s="5" t="n">
        <v>0.1</v>
      </c>
      <c r="BH228" s="5" t="n">
        <v>1</v>
      </c>
      <c r="BI228" s="5" t="n">
        <v>0.64</v>
      </c>
      <c r="BJ228" s="5" t="n">
        <v>0.129</v>
      </c>
      <c r="BK228" s="5" t="n">
        <v>0.007</v>
      </c>
      <c r="BL228" s="5" t="n">
        <v>0.704</v>
      </c>
      <c r="BM228" s="5" t="n">
        <v>0.1</v>
      </c>
      <c r="BN228" s="5" t="n">
        <v>1</v>
      </c>
      <c r="BO228" s="5" t="n">
        <v>0</v>
      </c>
      <c r="BP228" s="5" t="n">
        <v>0</v>
      </c>
      <c r="BQ228" s="5" t="n">
        <v>0</v>
      </c>
      <c r="BR228" s="5" t="n">
        <v>0</v>
      </c>
      <c r="BS228" s="5" t="n">
        <v>1</v>
      </c>
      <c r="BT228" s="5" t="n">
        <v>0</v>
      </c>
      <c r="BU228" s="5" t="n">
        <v>0</v>
      </c>
      <c r="BV228" s="5" t="n">
        <v>0</v>
      </c>
      <c r="BW228" s="5" t="n">
        <v>0.1</v>
      </c>
      <c r="BX228" s="5" t="n">
        <v>1</v>
      </c>
      <c r="BY228" s="5" t="n">
        <v>13.254</v>
      </c>
      <c r="BZ228" s="5" t="n">
        <v>0</v>
      </c>
      <c r="CA228" s="5" t="n">
        <v>13.254</v>
      </c>
      <c r="CB228" s="5" t="n">
        <v>0</v>
      </c>
      <c r="CC228" s="5" t="n">
        <v>87.07899999999999</v>
      </c>
      <c r="CD228" s="5" t="n">
        <v>7.95</v>
      </c>
      <c r="CE228" s="5" t="n">
        <v>0.964</v>
      </c>
      <c r="CF228" s="5" t="n">
        <v>95.78700000000001</v>
      </c>
      <c r="CG228" s="5" t="n">
        <v>0.1</v>
      </c>
      <c r="CH228" s="5" t="n">
        <v>1</v>
      </c>
      <c r="CI228" s="5" t="n">
        <v>0</v>
      </c>
      <c r="CJ228" s="5" t="n">
        <v>0</v>
      </c>
      <c r="CK228" s="5" t="n">
        <v>0</v>
      </c>
      <c r="CL228" s="5" t="n">
        <v>0</v>
      </c>
      <c r="CM228" s="5" t="n">
        <v>0</v>
      </c>
      <c r="CN228" s="5" t="n">
        <v>0</v>
      </c>
      <c r="CO228" s="5" t="n">
        <v>0</v>
      </c>
      <c r="CP228" s="5" t="n">
        <v>0</v>
      </c>
      <c r="CQ228" s="5" t="n">
        <v>1.348</v>
      </c>
      <c r="CR228" s="5" t="n">
        <v>0</v>
      </c>
      <c r="CS228" s="5" t="n">
        <v>5.37</v>
      </c>
      <c r="CT228" s="5" t="n">
        <v>4.861</v>
      </c>
      <c r="CU228" s="5" t="n">
        <v>10.622</v>
      </c>
    </row>
    <row r="229">
      <c r="A229" s="5" t="inlineStr">
        <is>
          <t>DJI2024</t>
        </is>
      </c>
      <c r="B229" s="5" t="inlineStr">
        <is>
          <t>DJI</t>
        </is>
      </c>
      <c r="C229" s="5" t="inlineStr">
        <is>
          <t>DJI</t>
        </is>
      </c>
      <c r="D229" s="5" t="inlineStr">
        <is>
          <t>Djibouti</t>
        </is>
      </c>
      <c r="E229" s="5" t="n">
        <v>2024</v>
      </c>
      <c r="F229" s="5" t="n">
        <v>0.1</v>
      </c>
      <c r="G229" s="5" t="n">
        <v>5.575</v>
      </c>
      <c r="H229" s="5" t="n">
        <v>1.324</v>
      </c>
      <c r="I229" s="5" t="n">
        <v>0</v>
      </c>
      <c r="J229" s="5" t="n">
        <v>5.575</v>
      </c>
      <c r="K229" s="5" t="n">
        <v>0</v>
      </c>
      <c r="L229" s="5" t="n">
        <v>1</v>
      </c>
      <c r="M229" s="5" t="n">
        <v>7.124</v>
      </c>
      <c r="N229" s="5" t="n">
        <v>3.971</v>
      </c>
      <c r="O229" s="5" t="n">
        <v>0</v>
      </c>
      <c r="P229" s="5" t="n">
        <v>7.124</v>
      </c>
      <c r="Q229" s="5" t="n">
        <v>0</v>
      </c>
      <c r="R229" s="5" t="n">
        <v>1</v>
      </c>
      <c r="S229" s="5" t="n">
        <v>12.193</v>
      </c>
      <c r="T229" s="5" t="n">
        <v>7.942</v>
      </c>
      <c r="U229" s="5" t="n">
        <v>0.166</v>
      </c>
      <c r="V229" s="5" t="n">
        <v>13.412</v>
      </c>
      <c r="W229" s="5" t="n">
        <v>0.1</v>
      </c>
      <c r="X229" s="5" t="n">
        <v>1</v>
      </c>
      <c r="Y229" s="5" t="n">
        <v>5.735</v>
      </c>
      <c r="Z229" s="5" t="n">
        <v>0.9360000000000001</v>
      </c>
      <c r="AA229" s="5" t="n">
        <v>0</v>
      </c>
      <c r="AB229" s="5" t="n">
        <v>5.735</v>
      </c>
      <c r="AC229" s="5" t="n">
        <v>0</v>
      </c>
      <c r="AD229" s="5" t="n">
        <v>1</v>
      </c>
      <c r="AE229" s="5" t="n">
        <v>7.059</v>
      </c>
      <c r="AF229" s="5" t="n">
        <v>1.935</v>
      </c>
      <c r="AG229" s="5" t="n">
        <v>0</v>
      </c>
      <c r="AH229" s="5" t="n">
        <v>7.059</v>
      </c>
      <c r="AI229" s="5" t="n">
        <v>0</v>
      </c>
      <c r="AJ229" s="5" t="n">
        <v>1</v>
      </c>
      <c r="AK229" s="5" t="n">
        <v>15</v>
      </c>
      <c r="AL229" s="5" t="n">
        <v>8.724</v>
      </c>
      <c r="AM229" s="5" t="n">
        <v>0.204</v>
      </c>
      <c r="AN229" s="5" t="n">
        <v>16.5</v>
      </c>
      <c r="AO229" s="5" t="n">
        <v>0.1</v>
      </c>
      <c r="AP229" s="5" t="n">
        <v>1</v>
      </c>
      <c r="AQ229" s="5" t="n">
        <v>0.72</v>
      </c>
      <c r="AR229" s="5" t="n">
        <v>0.132</v>
      </c>
      <c r="AS229" s="5" t="n">
        <v>1.261</v>
      </c>
      <c r="AT229" s="5" t="n">
        <v>2.15</v>
      </c>
      <c r="AU229" s="5" t="n">
        <v>0.1</v>
      </c>
      <c r="AV229" s="5" t="n">
        <v>1</v>
      </c>
      <c r="AW229" s="5" t="n">
        <v>0.734</v>
      </c>
      <c r="AX229" s="5" t="n">
        <v>0.132</v>
      </c>
      <c r="AY229" s="5" t="n">
        <v>0.459</v>
      </c>
      <c r="AZ229" s="5" t="n">
        <v>1.294</v>
      </c>
      <c r="BA229" s="5" t="n">
        <v>0.1</v>
      </c>
      <c r="BB229" s="5" t="n">
        <v>1</v>
      </c>
      <c r="BC229" s="5" t="n">
        <v>0.51</v>
      </c>
      <c r="BD229" s="5" t="n">
        <v>0.132</v>
      </c>
      <c r="BE229" s="5" t="n">
        <v>0.007</v>
      </c>
      <c r="BF229" s="5" t="n">
        <v>0.5610000000000001</v>
      </c>
      <c r="BG229" s="5" t="n">
        <v>0.1</v>
      </c>
      <c r="BH229" s="5" t="n">
        <v>1</v>
      </c>
      <c r="BI229" s="5" t="n">
        <v>0.652</v>
      </c>
      <c r="BJ229" s="5" t="n">
        <v>0.132</v>
      </c>
      <c r="BK229" s="5" t="n">
        <v>0.008999999999999999</v>
      </c>
      <c r="BL229" s="5" t="n">
        <v>0.717</v>
      </c>
      <c r="BM229" s="5" t="n">
        <v>0.1</v>
      </c>
      <c r="BN229" s="5" t="n">
        <v>1</v>
      </c>
      <c r="BO229" s="5" t="n">
        <v>0</v>
      </c>
      <c r="BP229" s="5" t="n">
        <v>0</v>
      </c>
      <c r="BQ229" s="5" t="n">
        <v>0</v>
      </c>
      <c r="BR229" s="5" t="n">
        <v>0</v>
      </c>
      <c r="BS229" s="5" t="n">
        <v>1</v>
      </c>
      <c r="BT229" s="5" t="n">
        <v>0</v>
      </c>
      <c r="BU229" s="5" t="n">
        <v>0</v>
      </c>
      <c r="BV229" s="5" t="n">
        <v>0</v>
      </c>
      <c r="BW229" s="5" t="n">
        <v>0.1</v>
      </c>
      <c r="BX229" s="5" t="n">
        <v>1</v>
      </c>
      <c r="BY229" s="5" t="n">
        <v>13.646</v>
      </c>
      <c r="BZ229" s="5" t="n">
        <v>0</v>
      </c>
      <c r="CA229" s="5" t="n">
        <v>13.646</v>
      </c>
      <c r="CB229" s="5" t="n">
        <v>0</v>
      </c>
      <c r="CC229" s="5" t="n">
        <v>86.38500000000001</v>
      </c>
      <c r="CD229" s="5" t="n">
        <v>7.95</v>
      </c>
      <c r="CE229" s="5" t="n">
        <v>1.177</v>
      </c>
      <c r="CF229" s="5" t="n">
        <v>95.024</v>
      </c>
      <c r="CG229" s="5" t="n">
        <v>0.1</v>
      </c>
      <c r="CH229" s="5" t="n">
        <v>1</v>
      </c>
      <c r="CI229" s="5" t="n">
        <v>0</v>
      </c>
      <c r="CJ229" s="5" t="n">
        <v>0</v>
      </c>
      <c r="CK229" s="5" t="n">
        <v>0</v>
      </c>
      <c r="CL229" s="5" t="n">
        <v>0</v>
      </c>
      <c r="CM229" s="5" t="n">
        <v>0</v>
      </c>
      <c r="CN229" s="5" t="n">
        <v>0</v>
      </c>
      <c r="CO229" s="5" t="n">
        <v>0</v>
      </c>
      <c r="CP229" s="5" t="n">
        <v>0</v>
      </c>
      <c r="CQ229" s="5" t="n">
        <v>1.387</v>
      </c>
      <c r="CR229" s="5" t="n">
        <v>0</v>
      </c>
      <c r="CS229" s="5" t="n">
        <v>5.529</v>
      </c>
      <c r="CT229" s="5" t="n">
        <v>4.251</v>
      </c>
      <c r="CU229" s="5" t="n">
        <v>9.167999999999999</v>
      </c>
    </row>
    <row r="230">
      <c r="A230" s="5" t="inlineStr">
        <is>
          <t>DMA2021</t>
        </is>
      </c>
      <c r="B230" s="5" t="inlineStr">
        <is>
          <t>DMA</t>
        </is>
      </c>
      <c r="C230" s="5" t="inlineStr">
        <is>
          <t>DMA</t>
        </is>
      </c>
      <c r="D230" s="5" t="inlineStr">
        <is>
          <t>Dominica</t>
        </is>
      </c>
      <c r="E230" s="5" t="n">
        <v>2021</v>
      </c>
      <c r="F230" s="5" t="n">
        <v>0.15</v>
      </c>
      <c r="G230" s="5" t="n">
        <v>5.897</v>
      </c>
      <c r="H230" s="5" t="n">
        <v>1.143</v>
      </c>
      <c r="I230" s="5" t="n">
        <v>0</v>
      </c>
      <c r="J230" s="5" t="n">
        <v>5.897</v>
      </c>
      <c r="K230" s="5" t="n">
        <v>0</v>
      </c>
      <c r="L230" s="5" t="n">
        <v>1</v>
      </c>
      <c r="M230" s="5" t="n">
        <v>7.964</v>
      </c>
      <c r="N230" s="5" t="n">
        <v>3.43</v>
      </c>
      <c r="O230" s="5" t="n">
        <v>0</v>
      </c>
      <c r="P230" s="5" t="n">
        <v>7.964</v>
      </c>
      <c r="Q230" s="5" t="n">
        <v>0</v>
      </c>
      <c r="R230" s="5" t="n">
        <v>1</v>
      </c>
      <c r="S230" s="5" t="n">
        <v>11.613</v>
      </c>
      <c r="T230" s="5" t="n">
        <v>6.86</v>
      </c>
      <c r="U230" s="5" t="n">
        <v>0</v>
      </c>
      <c r="V230" s="5" t="n">
        <v>13.355</v>
      </c>
      <c r="W230" s="5" t="n">
        <v>0.15</v>
      </c>
      <c r="X230" s="5" t="n">
        <v>1</v>
      </c>
      <c r="Y230" s="5" t="n">
        <v>5.919</v>
      </c>
      <c r="Z230" s="5" t="n">
        <v>0.796</v>
      </c>
      <c r="AA230" s="5" t="n">
        <v>0</v>
      </c>
      <c r="AB230" s="5" t="n">
        <v>5.919</v>
      </c>
      <c r="AC230" s="5" t="n">
        <v>0</v>
      </c>
      <c r="AD230" s="5" t="n">
        <v>1</v>
      </c>
      <c r="AE230" s="5" t="n">
        <v>7.062</v>
      </c>
      <c r="AF230" s="5" t="n">
        <v>1.654</v>
      </c>
      <c r="AG230" s="5" t="n">
        <v>0</v>
      </c>
      <c r="AH230" s="5" t="n">
        <v>7.062</v>
      </c>
      <c r="AI230" s="5" t="n">
        <v>0</v>
      </c>
      <c r="AJ230" s="5" t="n">
        <v>1</v>
      </c>
      <c r="AK230" s="5" t="n">
        <v>13.922</v>
      </c>
      <c r="AL230" s="5" t="n">
        <v>7.481</v>
      </c>
      <c r="AM230" s="5" t="n">
        <v>0</v>
      </c>
      <c r="AN230" s="5" t="n">
        <v>16.011</v>
      </c>
      <c r="AO230" s="5" t="n">
        <v>0.15</v>
      </c>
      <c r="AP230" s="5" t="n">
        <v>1</v>
      </c>
      <c r="AQ230" s="5" t="n">
        <v>0.649</v>
      </c>
      <c r="AR230" s="5" t="n">
        <v>0.114</v>
      </c>
      <c r="AS230" s="5" t="n">
        <v>0.342</v>
      </c>
      <c r="AT230" s="5" t="n">
        <v>1.14</v>
      </c>
      <c r="AU230" s="5" t="n">
        <v>0.15</v>
      </c>
      <c r="AV230" s="5" t="n">
        <v>1</v>
      </c>
      <c r="AW230" s="5" t="n">
        <v>0.577</v>
      </c>
      <c r="AX230" s="5" t="n">
        <v>0.114</v>
      </c>
      <c r="AY230" s="5" t="n">
        <v>0.267</v>
      </c>
      <c r="AZ230" s="5" t="n">
        <v>0.97</v>
      </c>
      <c r="BA230" s="5" t="n">
        <v>0.15</v>
      </c>
      <c r="BB230" s="5" t="n">
        <v>1</v>
      </c>
      <c r="BC230" s="5" t="n">
        <v>0.458</v>
      </c>
      <c r="BD230" s="5" t="n">
        <v>0.114</v>
      </c>
      <c r="BE230" s="5" t="n">
        <v>0.177</v>
      </c>
      <c r="BF230" s="5" t="n">
        <v>0.73</v>
      </c>
      <c r="BG230" s="5" t="n">
        <v>0.15</v>
      </c>
      <c r="BH230" s="5" t="n">
        <v>1</v>
      </c>
      <c r="BI230" s="5" t="n">
        <v>0.491</v>
      </c>
      <c r="BJ230" s="5" t="n">
        <v>0.114</v>
      </c>
      <c r="BK230" s="5" t="n">
        <v>0</v>
      </c>
      <c r="BL230" s="5" t="n">
        <v>0.5649999999999999</v>
      </c>
      <c r="BM230" s="5" t="n">
        <v>0.15</v>
      </c>
      <c r="BN230" s="5" t="n">
        <v>1</v>
      </c>
      <c r="BO230" s="5" t="n">
        <v>0</v>
      </c>
      <c r="BP230" s="5" t="n">
        <v>0</v>
      </c>
      <c r="BQ230" s="5" t="n">
        <v>0.23</v>
      </c>
      <c r="BR230" s="5" t="n">
        <v>0</v>
      </c>
      <c r="BS230" s="5" t="n">
        <v>1</v>
      </c>
      <c r="BT230" s="5" t="n">
        <v>0</v>
      </c>
      <c r="BU230" s="5" t="n">
        <v>0</v>
      </c>
      <c r="BV230" s="5" t="n">
        <v>0.22</v>
      </c>
      <c r="BW230" s="5" t="n">
        <v>0</v>
      </c>
      <c r="BX230" s="5" t="n">
        <v>1</v>
      </c>
      <c r="BY230" s="5" t="n">
        <v>11.787</v>
      </c>
      <c r="BZ230" s="5" t="n">
        <v>0</v>
      </c>
      <c r="CA230" s="5" t="n">
        <v>11.787</v>
      </c>
      <c r="CB230" s="5" t="n">
        <v>0</v>
      </c>
      <c r="CC230" s="5" t="n">
        <v>78.125</v>
      </c>
      <c r="CD230" s="5" t="n">
        <v>7.95</v>
      </c>
      <c r="CE230" s="5" t="n">
        <v>0</v>
      </c>
      <c r="CF230" s="5" t="n">
        <v>89.84399999999999</v>
      </c>
      <c r="CG230" s="5" t="n">
        <v>0.15</v>
      </c>
      <c r="CH230" s="5" t="n">
        <v>1</v>
      </c>
      <c r="CI230" s="5" t="n">
        <v>0</v>
      </c>
      <c r="CJ230" s="5" t="n">
        <v>0</v>
      </c>
      <c r="CK230" s="5" t="n">
        <v>0</v>
      </c>
      <c r="CL230" s="5" t="n">
        <v>0</v>
      </c>
      <c r="CM230" s="5" t="n">
        <v>0</v>
      </c>
      <c r="CN230" s="5" t="n">
        <v>0</v>
      </c>
      <c r="CO230" s="5" t="n">
        <v>0</v>
      </c>
      <c r="CP230" s="5" t="n">
        <v>0</v>
      </c>
      <c r="CQ230" s="5" t="n">
        <v>1.198</v>
      </c>
      <c r="CR230" s="5" t="n">
        <v>0</v>
      </c>
      <c r="CS230" s="5" t="n">
        <v>4.776</v>
      </c>
      <c r="CT230" s="5" t="n">
        <v>4.753</v>
      </c>
      <c r="CU230" s="5" t="n">
        <v>15.983</v>
      </c>
    </row>
    <row r="231">
      <c r="A231" s="5" t="inlineStr">
        <is>
          <t>DMA2022</t>
        </is>
      </c>
      <c r="B231" s="5" t="inlineStr">
        <is>
          <t>DMA</t>
        </is>
      </c>
      <c r="C231" s="5" t="inlineStr">
        <is>
          <t>DMA</t>
        </is>
      </c>
      <c r="D231" s="5" t="inlineStr">
        <is>
          <t>Dominica</t>
        </is>
      </c>
      <c r="E231" s="5" t="n">
        <v>2022</v>
      </c>
      <c r="F231" s="5" t="n">
        <v>0.15</v>
      </c>
      <c r="G231" s="5" t="n">
        <v>11.72</v>
      </c>
      <c r="H231" s="5" t="n">
        <v>1.235</v>
      </c>
      <c r="I231" s="5" t="n">
        <v>0</v>
      </c>
      <c r="J231" s="5" t="n">
        <v>11.72</v>
      </c>
      <c r="K231" s="5" t="n">
        <v>0</v>
      </c>
      <c r="L231" s="5" t="n">
        <v>1</v>
      </c>
      <c r="M231" s="5" t="n">
        <v>9.782999999999999</v>
      </c>
      <c r="N231" s="5" t="n">
        <v>3.704</v>
      </c>
      <c r="O231" s="5" t="n">
        <v>0</v>
      </c>
      <c r="P231" s="5" t="n">
        <v>9.782999999999999</v>
      </c>
      <c r="Q231" s="5" t="n">
        <v>0</v>
      </c>
      <c r="R231" s="5" t="n">
        <v>1</v>
      </c>
      <c r="S231" s="5" t="n">
        <v>17.893</v>
      </c>
      <c r="T231" s="5" t="n">
        <v>7.408</v>
      </c>
      <c r="U231" s="5" t="n">
        <v>0.199</v>
      </c>
      <c r="V231" s="5" t="n">
        <v>20.577</v>
      </c>
      <c r="W231" s="5" t="n">
        <v>0.15</v>
      </c>
      <c r="X231" s="5" t="n">
        <v>1</v>
      </c>
      <c r="Y231" s="5" t="n">
        <v>6.392</v>
      </c>
      <c r="Z231" s="5" t="n">
        <v>0.86</v>
      </c>
      <c r="AA231" s="5" t="n">
        <v>0</v>
      </c>
      <c r="AB231" s="5" t="n">
        <v>6.392</v>
      </c>
      <c r="AC231" s="5" t="n">
        <v>0</v>
      </c>
      <c r="AD231" s="5" t="n">
        <v>1</v>
      </c>
      <c r="AE231" s="5" t="n">
        <v>7.627</v>
      </c>
      <c r="AF231" s="5" t="n">
        <v>1.786</v>
      </c>
      <c r="AG231" s="5" t="n">
        <v>0</v>
      </c>
      <c r="AH231" s="5" t="n">
        <v>7.627</v>
      </c>
      <c r="AI231" s="5" t="n">
        <v>0</v>
      </c>
      <c r="AJ231" s="5" t="n">
        <v>1</v>
      </c>
      <c r="AK231" s="5" t="n">
        <v>15.035</v>
      </c>
      <c r="AL231" s="5" t="n">
        <v>8.079000000000001</v>
      </c>
      <c r="AM231" s="5" t="n">
        <v>0.167</v>
      </c>
      <c r="AN231" s="5" t="n">
        <v>17.29</v>
      </c>
      <c r="AO231" s="5" t="n">
        <v>0.15</v>
      </c>
      <c r="AP231" s="5" t="n">
        <v>1</v>
      </c>
      <c r="AQ231" s="5" t="n">
        <v>0.896</v>
      </c>
      <c r="AR231" s="5" t="n">
        <v>0.123</v>
      </c>
      <c r="AS231" s="5" t="n">
        <v>0.382</v>
      </c>
      <c r="AT231" s="5" t="n">
        <v>1.47</v>
      </c>
      <c r="AU231" s="5" t="n">
        <v>0.15</v>
      </c>
      <c r="AV231" s="5" t="n">
        <v>1</v>
      </c>
      <c r="AW231" s="5" t="n">
        <v>0.89</v>
      </c>
      <c r="AX231" s="5" t="n">
        <v>0.123</v>
      </c>
      <c r="AY231" s="5" t="n">
        <v>0.353</v>
      </c>
      <c r="AZ231" s="5" t="n">
        <v>1.43</v>
      </c>
      <c r="BA231" s="5" t="n">
        <v>0.15</v>
      </c>
      <c r="BB231" s="5" t="n">
        <v>1</v>
      </c>
      <c r="BC231" s="5" t="n">
        <v>0.62</v>
      </c>
      <c r="BD231" s="5" t="n">
        <v>0.123</v>
      </c>
      <c r="BE231" s="5" t="n">
        <v>0.014</v>
      </c>
      <c r="BF231" s="5" t="n">
        <v>0.73</v>
      </c>
      <c r="BG231" s="5" t="n">
        <v>0.15</v>
      </c>
      <c r="BH231" s="5" t="n">
        <v>1</v>
      </c>
      <c r="BI231" s="5" t="n">
        <v>0.608</v>
      </c>
      <c r="BJ231" s="5" t="n">
        <v>0.123</v>
      </c>
      <c r="BK231" s="5" t="n">
        <v>0.007</v>
      </c>
      <c r="BL231" s="5" t="n">
        <v>0.699</v>
      </c>
      <c r="BM231" s="5" t="n">
        <v>0.15</v>
      </c>
      <c r="BN231" s="5" t="n">
        <v>1</v>
      </c>
      <c r="BO231" s="5" t="n">
        <v>0</v>
      </c>
      <c r="BP231" s="5" t="n">
        <v>0</v>
      </c>
      <c r="BQ231" s="5" t="n">
        <v>0.249</v>
      </c>
      <c r="BR231" s="5" t="n">
        <v>0</v>
      </c>
      <c r="BS231" s="5" t="n">
        <v>1</v>
      </c>
      <c r="BT231" s="5" t="n">
        <v>0</v>
      </c>
      <c r="BU231" s="5" t="n">
        <v>0</v>
      </c>
      <c r="BV231" s="5" t="n">
        <v>0.237</v>
      </c>
      <c r="BW231" s="5" t="n">
        <v>0</v>
      </c>
      <c r="BX231" s="5" t="n">
        <v>1</v>
      </c>
      <c r="BY231" s="5" t="n">
        <v>12.729</v>
      </c>
      <c r="BZ231" s="5" t="n">
        <v>0</v>
      </c>
      <c r="CA231" s="5" t="n">
        <v>12.729</v>
      </c>
      <c r="CB231" s="5" t="n">
        <v>0</v>
      </c>
      <c r="CC231" s="5" t="n">
        <v>97.90000000000001</v>
      </c>
      <c r="CD231" s="5" t="n">
        <v>7.95</v>
      </c>
      <c r="CE231" s="5" t="n">
        <v>1.087</v>
      </c>
      <c r="CF231" s="5" t="n">
        <v>112.585</v>
      </c>
      <c r="CG231" s="5" t="n">
        <v>0.15</v>
      </c>
      <c r="CH231" s="5" t="n">
        <v>1</v>
      </c>
      <c r="CI231" s="5" t="n">
        <v>0</v>
      </c>
      <c r="CJ231" s="5" t="n">
        <v>0</v>
      </c>
      <c r="CK231" s="5" t="n">
        <v>0</v>
      </c>
      <c r="CL231" s="5" t="n">
        <v>0</v>
      </c>
      <c r="CM231" s="5" t="n">
        <v>0</v>
      </c>
      <c r="CN231" s="5" t="n">
        <v>0</v>
      </c>
      <c r="CO231" s="5" t="n">
        <v>0</v>
      </c>
      <c r="CP231" s="5" t="n">
        <v>0</v>
      </c>
      <c r="CQ231" s="5" t="n">
        <v>1.294</v>
      </c>
      <c r="CR231" s="5" t="n">
        <v>0</v>
      </c>
      <c r="CS231" s="5" t="n">
        <v>5.158</v>
      </c>
      <c r="CT231" s="5" t="n">
        <v>10.485</v>
      </c>
      <c r="CU231" s="5" t="n">
        <v>29.494</v>
      </c>
    </row>
    <row r="232">
      <c r="A232" s="5" t="inlineStr">
        <is>
          <t>DMA2023</t>
        </is>
      </c>
      <c r="B232" s="5" t="inlineStr">
        <is>
          <t>DMA</t>
        </is>
      </c>
      <c r="C232" s="5" t="inlineStr">
        <is>
          <t>DMA</t>
        </is>
      </c>
      <c r="D232" s="5" t="inlineStr">
        <is>
          <t>Dominica</t>
        </is>
      </c>
      <c r="E232" s="5" t="n">
        <v>2023</v>
      </c>
      <c r="F232" s="5" t="n">
        <v>0.15</v>
      </c>
      <c r="G232" s="5" t="n">
        <v>6.147</v>
      </c>
      <c r="H232" s="5" t="n">
        <v>1.286</v>
      </c>
      <c r="I232" s="5" t="n">
        <v>0</v>
      </c>
      <c r="J232" s="5" t="n">
        <v>6.147</v>
      </c>
      <c r="K232" s="5" t="n">
        <v>0</v>
      </c>
      <c r="L232" s="5" t="n">
        <v>1</v>
      </c>
      <c r="M232" s="5" t="n">
        <v>7.886</v>
      </c>
      <c r="N232" s="5" t="n">
        <v>3.857</v>
      </c>
      <c r="O232" s="5" t="n">
        <v>0</v>
      </c>
      <c r="P232" s="5" t="n">
        <v>7.886</v>
      </c>
      <c r="Q232" s="5" t="n">
        <v>0</v>
      </c>
      <c r="R232" s="5" t="n">
        <v>1</v>
      </c>
      <c r="S232" s="5" t="n">
        <v>12.575</v>
      </c>
      <c r="T232" s="5" t="n">
        <v>7.714</v>
      </c>
      <c r="U232" s="5" t="n">
        <v>0.209</v>
      </c>
      <c r="V232" s="5" t="n">
        <v>14.461</v>
      </c>
      <c r="W232" s="5" t="n">
        <v>0.15</v>
      </c>
      <c r="X232" s="5" t="n">
        <v>1</v>
      </c>
      <c r="Y232" s="5" t="n">
        <v>6.656</v>
      </c>
      <c r="Z232" s="5" t="n">
        <v>0.895</v>
      </c>
      <c r="AA232" s="5" t="n">
        <v>0</v>
      </c>
      <c r="AB232" s="5" t="n">
        <v>6.656</v>
      </c>
      <c r="AC232" s="5" t="n">
        <v>0</v>
      </c>
      <c r="AD232" s="5" t="n">
        <v>1</v>
      </c>
      <c r="AE232" s="5" t="n">
        <v>7.942</v>
      </c>
      <c r="AF232" s="5" t="n">
        <v>1.86</v>
      </c>
      <c r="AG232" s="5" t="n">
        <v>0</v>
      </c>
      <c r="AH232" s="5" t="n">
        <v>7.942</v>
      </c>
      <c r="AI232" s="5" t="n">
        <v>0</v>
      </c>
      <c r="AJ232" s="5" t="n">
        <v>1</v>
      </c>
      <c r="AK232" s="5" t="n">
        <v>15.656</v>
      </c>
      <c r="AL232" s="5" t="n">
        <v>8.412000000000001</v>
      </c>
      <c r="AM232" s="5" t="n">
        <v>0.26</v>
      </c>
      <c r="AN232" s="5" t="n">
        <v>18.004</v>
      </c>
      <c r="AO232" s="5" t="n">
        <v>0.15</v>
      </c>
      <c r="AP232" s="5" t="n">
        <v>1</v>
      </c>
      <c r="AQ232" s="5" t="n">
        <v>0.791</v>
      </c>
      <c r="AR232" s="5" t="n">
        <v>0.129</v>
      </c>
      <c r="AS232" s="5" t="n">
        <v>0.47</v>
      </c>
      <c r="AT232" s="5" t="n">
        <v>1.45</v>
      </c>
      <c r="AU232" s="5" t="n">
        <v>0.15</v>
      </c>
      <c r="AV232" s="5" t="n">
        <v>1</v>
      </c>
      <c r="AW232" s="5" t="n">
        <v>0.618</v>
      </c>
      <c r="AX232" s="5" t="n">
        <v>0.129</v>
      </c>
      <c r="AY232" s="5" t="n">
        <v>0.512</v>
      </c>
      <c r="AZ232" s="5" t="n">
        <v>1.3</v>
      </c>
      <c r="BA232" s="5" t="n">
        <v>0.15</v>
      </c>
      <c r="BB232" s="5" t="n">
        <v>1</v>
      </c>
      <c r="BC232" s="5" t="n">
        <v>0.554</v>
      </c>
      <c r="BD232" s="5" t="n">
        <v>0.129</v>
      </c>
      <c r="BE232" s="5" t="n">
        <v>0.08</v>
      </c>
      <c r="BF232" s="5" t="n">
        <v>0.73</v>
      </c>
      <c r="BG232" s="5" t="n">
        <v>0.15</v>
      </c>
      <c r="BH232" s="5" t="n">
        <v>1</v>
      </c>
      <c r="BI232" s="5" t="n">
        <v>0.5570000000000001</v>
      </c>
      <c r="BJ232" s="5" t="n">
        <v>0.129</v>
      </c>
      <c r="BK232" s="5" t="n">
        <v>0.008999999999999999</v>
      </c>
      <c r="BL232" s="5" t="n">
        <v>0.641</v>
      </c>
      <c r="BM232" s="5" t="n">
        <v>0.15</v>
      </c>
      <c r="BN232" s="5" t="n">
        <v>1</v>
      </c>
      <c r="BO232" s="5" t="n">
        <v>0</v>
      </c>
      <c r="BP232" s="5" t="n">
        <v>0</v>
      </c>
      <c r="BQ232" s="5" t="n">
        <v>0.259</v>
      </c>
      <c r="BR232" s="5" t="n">
        <v>0</v>
      </c>
      <c r="BS232" s="5" t="n">
        <v>1</v>
      </c>
      <c r="BT232" s="5" t="n">
        <v>0</v>
      </c>
      <c r="BU232" s="5" t="n">
        <v>0</v>
      </c>
      <c r="BV232" s="5" t="n">
        <v>0.247</v>
      </c>
      <c r="BW232" s="5" t="n">
        <v>0</v>
      </c>
      <c r="BX232" s="5" t="n">
        <v>1</v>
      </c>
      <c r="BY232" s="5" t="n">
        <v>13.254</v>
      </c>
      <c r="BZ232" s="5" t="n">
        <v>0</v>
      </c>
      <c r="CA232" s="5" t="n">
        <v>13.254</v>
      </c>
      <c r="CB232" s="5" t="n">
        <v>0</v>
      </c>
      <c r="CC232" s="5" t="n">
        <v>83.248</v>
      </c>
      <c r="CD232" s="5" t="n">
        <v>7.95</v>
      </c>
      <c r="CE232" s="5" t="n">
        <v>1.383</v>
      </c>
      <c r="CF232" s="5" t="n">
        <v>95.735</v>
      </c>
      <c r="CG232" s="5" t="n">
        <v>0.15</v>
      </c>
      <c r="CH232" s="5" t="n">
        <v>1</v>
      </c>
      <c r="CI232" s="5" t="n">
        <v>0</v>
      </c>
      <c r="CJ232" s="5" t="n">
        <v>0</v>
      </c>
      <c r="CK232" s="5" t="n">
        <v>0</v>
      </c>
      <c r="CL232" s="5" t="n">
        <v>0</v>
      </c>
      <c r="CM232" s="5" t="n">
        <v>0</v>
      </c>
      <c r="CN232" s="5" t="n">
        <v>0</v>
      </c>
      <c r="CO232" s="5" t="n">
        <v>0</v>
      </c>
      <c r="CP232" s="5" t="n">
        <v>0</v>
      </c>
      <c r="CQ232" s="5" t="n">
        <v>1.348</v>
      </c>
      <c r="CR232" s="5" t="n">
        <v>0</v>
      </c>
      <c r="CS232" s="5" t="n">
        <v>5.37</v>
      </c>
      <c r="CT232" s="5" t="n">
        <v>4.861</v>
      </c>
      <c r="CU232" s="5" t="n">
        <v>11.192</v>
      </c>
    </row>
    <row r="233">
      <c r="A233" s="5" t="inlineStr">
        <is>
          <t>DMA2024</t>
        </is>
      </c>
      <c r="B233" s="5" t="inlineStr">
        <is>
          <t>DMA</t>
        </is>
      </c>
      <c r="C233" s="5" t="inlineStr">
        <is>
          <t>DMA</t>
        </is>
      </c>
      <c r="D233" s="5" t="inlineStr">
        <is>
          <t>Dominica</t>
        </is>
      </c>
      <c r="E233" s="5" t="n">
        <v>2024</v>
      </c>
      <c r="F233" s="5" t="n">
        <v>0.15</v>
      </c>
      <c r="G233" s="5" t="n">
        <v>5.575</v>
      </c>
      <c r="H233" s="5" t="n">
        <v>1.324</v>
      </c>
      <c r="I233" s="5" t="n">
        <v>0</v>
      </c>
      <c r="J233" s="5" t="n">
        <v>5.575</v>
      </c>
      <c r="K233" s="5" t="n">
        <v>0</v>
      </c>
      <c r="L233" s="5" t="n">
        <v>1</v>
      </c>
      <c r="M233" s="5" t="n">
        <v>7.124</v>
      </c>
      <c r="N233" s="5" t="n">
        <v>3.971</v>
      </c>
      <c r="O233" s="5" t="n">
        <v>0</v>
      </c>
      <c r="P233" s="5" t="n">
        <v>7.124</v>
      </c>
      <c r="Q233" s="5" t="n">
        <v>0</v>
      </c>
      <c r="R233" s="5" t="n">
        <v>1</v>
      </c>
      <c r="S233" s="5" t="n">
        <v>12.193</v>
      </c>
      <c r="T233" s="5" t="n">
        <v>7.942</v>
      </c>
      <c r="U233" s="5" t="n">
        <v>0.249</v>
      </c>
      <c r="V233" s="5" t="n">
        <v>14.022</v>
      </c>
      <c r="W233" s="5" t="n">
        <v>0.15</v>
      </c>
      <c r="X233" s="5" t="n">
        <v>1</v>
      </c>
      <c r="Y233" s="5" t="n">
        <v>6.853</v>
      </c>
      <c r="Z233" s="5" t="n">
        <v>0.922</v>
      </c>
      <c r="AA233" s="5" t="n">
        <v>0</v>
      </c>
      <c r="AB233" s="5" t="n">
        <v>6.853</v>
      </c>
      <c r="AC233" s="5" t="n">
        <v>0</v>
      </c>
      <c r="AD233" s="5" t="n">
        <v>1</v>
      </c>
      <c r="AE233" s="5" t="n">
        <v>8.176</v>
      </c>
      <c r="AF233" s="5" t="n">
        <v>1.915</v>
      </c>
      <c r="AG233" s="5" t="n">
        <v>0</v>
      </c>
      <c r="AH233" s="5" t="n">
        <v>8.176</v>
      </c>
      <c r="AI233" s="5" t="n">
        <v>0</v>
      </c>
      <c r="AJ233" s="5" t="n">
        <v>1</v>
      </c>
      <c r="AK233" s="5" t="n">
        <v>16.118</v>
      </c>
      <c r="AL233" s="5" t="n">
        <v>8.66</v>
      </c>
      <c r="AM233" s="5" t="n">
        <v>0.329</v>
      </c>
      <c r="AN233" s="5" t="n">
        <v>18.535</v>
      </c>
      <c r="AO233" s="5" t="n">
        <v>0.15</v>
      </c>
      <c r="AP233" s="5" t="n">
        <v>1</v>
      </c>
      <c r="AQ233" s="5" t="n">
        <v>0.756</v>
      </c>
      <c r="AR233" s="5" t="n">
        <v>0.132</v>
      </c>
      <c r="AS233" s="5" t="n">
        <v>0.461</v>
      </c>
      <c r="AT233" s="5" t="n">
        <v>1.4</v>
      </c>
      <c r="AU233" s="5" t="n">
        <v>0.15</v>
      </c>
      <c r="AV233" s="5" t="n">
        <v>1</v>
      </c>
      <c r="AW233" s="5" t="n">
        <v>0.655</v>
      </c>
      <c r="AX233" s="5" t="n">
        <v>0.132</v>
      </c>
      <c r="AY233" s="5" t="n">
        <v>0.449</v>
      </c>
      <c r="AZ233" s="5" t="n">
        <v>1.27</v>
      </c>
      <c r="BA233" s="5" t="n">
        <v>0.15</v>
      </c>
      <c r="BB233" s="5" t="n">
        <v>1</v>
      </c>
      <c r="BC233" s="5" t="n">
        <v>0.534</v>
      </c>
      <c r="BD233" s="5" t="n">
        <v>0.132</v>
      </c>
      <c r="BE233" s="5" t="n">
        <v>0.101</v>
      </c>
      <c r="BF233" s="5" t="n">
        <v>0.73</v>
      </c>
      <c r="BG233" s="5" t="n">
        <v>0.15</v>
      </c>
      <c r="BH233" s="5" t="n">
        <v>1</v>
      </c>
      <c r="BI233" s="5" t="n">
        <v>0.5679999999999999</v>
      </c>
      <c r="BJ233" s="5" t="n">
        <v>0.132</v>
      </c>
      <c r="BK233" s="5" t="n">
        <v>0.012</v>
      </c>
      <c r="BL233" s="5" t="n">
        <v>0.653</v>
      </c>
      <c r="BM233" s="5" t="n">
        <v>0.15</v>
      </c>
      <c r="BN233" s="5" t="n">
        <v>1</v>
      </c>
      <c r="BO233" s="5" t="n">
        <v>0</v>
      </c>
      <c r="BP233" s="5" t="n">
        <v>0</v>
      </c>
      <c r="BQ233" s="5" t="n">
        <v>0.267</v>
      </c>
      <c r="BR233" s="5" t="n">
        <v>0</v>
      </c>
      <c r="BS233" s="5" t="n">
        <v>1</v>
      </c>
      <c r="BT233" s="5" t="n">
        <v>0</v>
      </c>
      <c r="BU233" s="5" t="n">
        <v>0</v>
      </c>
      <c r="BV233" s="5" t="n">
        <v>0.254</v>
      </c>
      <c r="BW233" s="5" t="n">
        <v>0</v>
      </c>
      <c r="BX233" s="5" t="n">
        <v>1</v>
      </c>
      <c r="BY233" s="5" t="n">
        <v>13.646</v>
      </c>
      <c r="BZ233" s="5" t="n">
        <v>0</v>
      </c>
      <c r="CA233" s="5" t="n">
        <v>13.646</v>
      </c>
      <c r="CB233" s="5" t="n">
        <v>0</v>
      </c>
      <c r="CC233" s="5" t="n">
        <v>82.58799999999999</v>
      </c>
      <c r="CD233" s="5" t="n">
        <v>7.95</v>
      </c>
      <c r="CE233" s="5" t="n">
        <v>1.687</v>
      </c>
      <c r="CF233" s="5" t="n">
        <v>94.976</v>
      </c>
      <c r="CG233" s="5" t="n">
        <v>0.15</v>
      </c>
      <c r="CH233" s="5" t="n">
        <v>1</v>
      </c>
      <c r="CI233" s="5" t="n">
        <v>0</v>
      </c>
      <c r="CJ233" s="5" t="n">
        <v>0</v>
      </c>
      <c r="CK233" s="5" t="n">
        <v>0</v>
      </c>
      <c r="CL233" s="5" t="n">
        <v>0</v>
      </c>
      <c r="CM233" s="5" t="n">
        <v>0</v>
      </c>
      <c r="CN233" s="5" t="n">
        <v>0</v>
      </c>
      <c r="CO233" s="5" t="n">
        <v>0</v>
      </c>
      <c r="CP233" s="5" t="n">
        <v>0</v>
      </c>
      <c r="CQ233" s="5" t="n">
        <v>1.387</v>
      </c>
      <c r="CR233" s="5" t="n">
        <v>0</v>
      </c>
      <c r="CS233" s="5" t="n">
        <v>5.529</v>
      </c>
      <c r="CT233" s="5" t="n">
        <v>4.251</v>
      </c>
      <c r="CU233" s="5" t="n">
        <v>10.123</v>
      </c>
    </row>
    <row r="234">
      <c r="A234" s="5" t="inlineStr">
        <is>
          <t>DOM2021</t>
        </is>
      </c>
      <c r="B234" s="5" t="inlineStr">
        <is>
          <t>DOM</t>
        </is>
      </c>
      <c r="C234" s="5" t="inlineStr">
        <is>
          <t>DOM</t>
        </is>
      </c>
      <c r="D234" s="5" t="inlineStr">
        <is>
          <t>Dominican Republic</t>
        </is>
      </c>
      <c r="E234" s="5" t="n">
        <v>2021</v>
      </c>
      <c r="F234" s="5" t="n">
        <v>0.18</v>
      </c>
      <c r="G234" s="5" t="n">
        <v>5.897</v>
      </c>
      <c r="H234" s="5" t="n">
        <v>1.143</v>
      </c>
      <c r="I234" s="5" t="n">
        <v>0</v>
      </c>
      <c r="J234" s="5" t="n">
        <v>5.897</v>
      </c>
      <c r="K234" s="5" t="n">
        <v>0</v>
      </c>
      <c r="L234" s="5" t="n">
        <v>1</v>
      </c>
      <c r="M234" s="5" t="n">
        <v>7.964</v>
      </c>
      <c r="N234" s="5" t="n">
        <v>3.43</v>
      </c>
      <c r="O234" s="5" t="n">
        <v>0</v>
      </c>
      <c r="P234" s="5" t="n">
        <v>7.964</v>
      </c>
      <c r="Q234" s="5" t="n">
        <v>0</v>
      </c>
      <c r="R234" s="5" t="n">
        <v>1</v>
      </c>
      <c r="S234" s="5" t="n">
        <v>11.613</v>
      </c>
      <c r="T234" s="5" t="n">
        <v>6.86</v>
      </c>
      <c r="U234" s="5" t="n">
        <v>0</v>
      </c>
      <c r="V234" s="5" t="n">
        <v>13.704</v>
      </c>
      <c r="W234" s="5" t="n">
        <v>0.18</v>
      </c>
      <c r="X234" s="5" t="n">
        <v>1</v>
      </c>
      <c r="Y234" s="5" t="n">
        <v>17.127</v>
      </c>
      <c r="Z234" s="5" t="n">
        <v>2.303</v>
      </c>
      <c r="AA234" s="5" t="n">
        <v>10.604</v>
      </c>
      <c r="AB234" s="5" t="n">
        <v>27.73</v>
      </c>
      <c r="AC234" s="5" t="n">
        <v>0</v>
      </c>
      <c r="AD234" s="5" t="n">
        <v>1</v>
      </c>
      <c r="AE234" s="5" t="n">
        <v>18.27</v>
      </c>
      <c r="AF234" s="5" t="n">
        <v>4.278</v>
      </c>
      <c r="AG234" s="5" t="n">
        <v>9.460000000000001</v>
      </c>
      <c r="AH234" s="5" t="n">
        <v>27.73</v>
      </c>
      <c r="AI234" s="5" t="n">
        <v>0</v>
      </c>
      <c r="AJ234" s="5" t="n">
        <v>1</v>
      </c>
      <c r="AK234" s="5" t="n">
        <v>25.13</v>
      </c>
      <c r="AL234" s="5" t="n">
        <v>13.502</v>
      </c>
      <c r="AM234" s="5" t="n">
        <v>-1.63</v>
      </c>
      <c r="AN234" s="5" t="n">
        <v>27.73</v>
      </c>
      <c r="AO234" s="5" t="n">
        <v>0.18</v>
      </c>
      <c r="AP234" s="5" t="n">
        <v>1</v>
      </c>
      <c r="AQ234" s="5" t="n">
        <v>0.649</v>
      </c>
      <c r="AR234" s="5" t="n">
        <v>0.114</v>
      </c>
      <c r="AS234" s="5" t="n">
        <v>0.296</v>
      </c>
      <c r="AT234" s="5" t="n">
        <v>1.096</v>
      </c>
      <c r="AU234" s="5" t="n">
        <v>0.16</v>
      </c>
      <c r="AV234" s="5" t="n">
        <v>1</v>
      </c>
      <c r="AW234" s="5" t="n">
        <v>0.577</v>
      </c>
      <c r="AX234" s="5" t="n">
        <v>0.114</v>
      </c>
      <c r="AY234" s="5" t="n">
        <v>0.236</v>
      </c>
      <c r="AZ234" s="5" t="n">
        <v>0.9429999999999999</v>
      </c>
      <c r="BA234" s="5" t="n">
        <v>0.16</v>
      </c>
      <c r="BB234" s="5" t="n">
        <v>1</v>
      </c>
      <c r="BC234" s="5" t="n">
        <v>0.458</v>
      </c>
      <c r="BD234" s="5" t="n">
        <v>0.114</v>
      </c>
      <c r="BE234" s="5" t="n">
        <v>0.059</v>
      </c>
      <c r="BF234" s="5" t="n">
        <v>0.599</v>
      </c>
      <c r="BG234" s="5" t="n">
        <v>0.16</v>
      </c>
      <c r="BH234" s="5" t="n">
        <v>1</v>
      </c>
      <c r="BI234" s="5" t="n">
        <v>0.491</v>
      </c>
      <c r="BJ234" s="5" t="n">
        <v>0.114</v>
      </c>
      <c r="BK234" s="5" t="n">
        <v>0.233</v>
      </c>
      <c r="BL234" s="5" t="n">
        <v>0.84</v>
      </c>
      <c r="BM234" s="5" t="n">
        <v>0.16</v>
      </c>
      <c r="BN234" s="5" t="n">
        <v>1</v>
      </c>
      <c r="BO234" s="5" t="n">
        <v>0</v>
      </c>
      <c r="BP234" s="5" t="n">
        <v>0</v>
      </c>
      <c r="BQ234" s="5" t="n">
        <v>0.129</v>
      </c>
      <c r="BR234" s="5" t="n">
        <v>0</v>
      </c>
      <c r="BS234" s="5" t="n">
        <v>0.5</v>
      </c>
      <c r="BT234" s="5" t="n">
        <v>0</v>
      </c>
      <c r="BU234" s="5" t="n">
        <v>0</v>
      </c>
      <c r="BV234" s="5" t="n">
        <v>0.078</v>
      </c>
      <c r="BW234" s="5" t="n">
        <v>0</v>
      </c>
      <c r="BX234" s="5" t="n">
        <v>0.5</v>
      </c>
      <c r="BY234" s="5" t="n">
        <v>11.787</v>
      </c>
      <c r="BZ234" s="5" t="n">
        <v>0</v>
      </c>
      <c r="CA234" s="5" t="n">
        <v>11.787</v>
      </c>
      <c r="CB234" s="5" t="n">
        <v>0</v>
      </c>
      <c r="CC234" s="5" t="n">
        <v>78.125</v>
      </c>
      <c r="CD234" s="5" t="n">
        <v>7.95</v>
      </c>
      <c r="CE234" s="5" t="n">
        <v>0.187</v>
      </c>
      <c r="CF234" s="5" t="n">
        <v>90.842</v>
      </c>
      <c r="CG234" s="5" t="n">
        <v>0.16</v>
      </c>
      <c r="CH234" s="5" t="n">
        <v>1</v>
      </c>
      <c r="CI234" s="5" t="n">
        <v>0</v>
      </c>
      <c r="CJ234" s="5" t="n">
        <v>0</v>
      </c>
      <c r="CK234" s="5" t="n">
        <v>0</v>
      </c>
      <c r="CL234" s="5" t="n">
        <v>0</v>
      </c>
      <c r="CM234" s="5" t="n">
        <v>0</v>
      </c>
      <c r="CN234" s="5" t="n">
        <v>0</v>
      </c>
      <c r="CO234" s="5" t="n">
        <v>0</v>
      </c>
      <c r="CP234" s="5" t="n">
        <v>0</v>
      </c>
      <c r="CQ234" s="5" t="n">
        <v>1.198</v>
      </c>
      <c r="CR234" s="5" t="n">
        <v>0</v>
      </c>
      <c r="CS234" s="5" t="n">
        <v>4.776</v>
      </c>
      <c r="CT234" s="5" t="n">
        <v>4.753</v>
      </c>
      <c r="CU234" s="5" t="n">
        <v>15.983</v>
      </c>
    </row>
    <row r="235">
      <c r="A235" s="5" t="inlineStr">
        <is>
          <t>DOM2022</t>
        </is>
      </c>
      <c r="B235" s="5" t="inlineStr">
        <is>
          <t>DOM</t>
        </is>
      </c>
      <c r="C235" s="5" t="inlineStr">
        <is>
          <t>DOM</t>
        </is>
      </c>
      <c r="D235" s="5" t="inlineStr">
        <is>
          <t>Dominican Republic</t>
        </is>
      </c>
      <c r="E235" s="5" t="n">
        <v>2022</v>
      </c>
      <c r="F235" s="5" t="n">
        <v>0.18</v>
      </c>
      <c r="G235" s="5" t="n">
        <v>11.72</v>
      </c>
      <c r="H235" s="5" t="n">
        <v>1.235</v>
      </c>
      <c r="I235" s="5" t="n">
        <v>0</v>
      </c>
      <c r="J235" s="5" t="n">
        <v>11.72</v>
      </c>
      <c r="K235" s="5" t="n">
        <v>0</v>
      </c>
      <c r="L235" s="5" t="n">
        <v>1</v>
      </c>
      <c r="M235" s="5" t="n">
        <v>9.782999999999999</v>
      </c>
      <c r="N235" s="5" t="n">
        <v>3.704</v>
      </c>
      <c r="O235" s="5" t="n">
        <v>0</v>
      </c>
      <c r="P235" s="5" t="n">
        <v>9.782999999999999</v>
      </c>
      <c r="Q235" s="5" t="n">
        <v>0</v>
      </c>
      <c r="R235" s="5" t="n">
        <v>1</v>
      </c>
      <c r="S235" s="5" t="n">
        <v>17.893</v>
      </c>
      <c r="T235" s="5" t="n">
        <v>7.408</v>
      </c>
      <c r="U235" s="5" t="n">
        <v>0.238</v>
      </c>
      <c r="V235" s="5" t="n">
        <v>21.114</v>
      </c>
      <c r="W235" s="5" t="n">
        <v>0.18</v>
      </c>
      <c r="X235" s="5" t="n">
        <v>1</v>
      </c>
      <c r="Y235" s="5" t="n">
        <v>30.728</v>
      </c>
      <c r="Z235" s="5" t="n">
        <v>4.132</v>
      </c>
      <c r="AA235" s="5" t="n">
        <v>11.451</v>
      </c>
      <c r="AB235" s="5" t="n">
        <v>42.18</v>
      </c>
      <c r="AC235" s="5" t="n">
        <v>0</v>
      </c>
      <c r="AD235" s="5" t="n">
        <v>1</v>
      </c>
      <c r="AE235" s="5" t="n">
        <v>31.963</v>
      </c>
      <c r="AF235" s="5" t="n">
        <v>7.484</v>
      </c>
      <c r="AG235" s="5" t="n">
        <v>10.217</v>
      </c>
      <c r="AH235" s="5" t="n">
        <v>42.18</v>
      </c>
      <c r="AI235" s="5" t="n">
        <v>0</v>
      </c>
      <c r="AJ235" s="5" t="n">
        <v>1</v>
      </c>
      <c r="AK235" s="5" t="n">
        <v>39.371</v>
      </c>
      <c r="AL235" s="5" t="n">
        <v>21.154</v>
      </c>
      <c r="AM235" s="5" t="n">
        <v>-3.15</v>
      </c>
      <c r="AN235" s="5" t="n">
        <v>42.18</v>
      </c>
      <c r="AO235" s="5" t="n">
        <v>0.18</v>
      </c>
      <c r="AP235" s="5" t="n">
        <v>1</v>
      </c>
      <c r="AQ235" s="5" t="n">
        <v>0.896</v>
      </c>
      <c r="AR235" s="5" t="n">
        <v>0.123</v>
      </c>
      <c r="AS235" s="5" t="n">
        <v>0.233</v>
      </c>
      <c r="AT235" s="5" t="n">
        <v>1.31</v>
      </c>
      <c r="AU235" s="5" t="n">
        <v>0.16</v>
      </c>
      <c r="AV235" s="5" t="n">
        <v>1</v>
      </c>
      <c r="AW235" s="5" t="n">
        <v>0.89</v>
      </c>
      <c r="AX235" s="5" t="n">
        <v>0.123</v>
      </c>
      <c r="AY235" s="5" t="n">
        <v>0.1</v>
      </c>
      <c r="AZ235" s="5" t="n">
        <v>1.149</v>
      </c>
      <c r="BA235" s="5" t="n">
        <v>0.16</v>
      </c>
      <c r="BB235" s="5" t="n">
        <v>1</v>
      </c>
      <c r="BC235" s="5" t="n">
        <v>0.62</v>
      </c>
      <c r="BD235" s="5" t="n">
        <v>0.123</v>
      </c>
      <c r="BE235" s="5" t="n">
        <v>-0.012</v>
      </c>
      <c r="BF235" s="5" t="n">
        <v>0.705</v>
      </c>
      <c r="BG235" s="5" t="n">
        <v>0.16</v>
      </c>
      <c r="BH235" s="5" t="n">
        <v>1</v>
      </c>
      <c r="BI235" s="5" t="n">
        <v>0.608</v>
      </c>
      <c r="BJ235" s="5" t="n">
        <v>0.123</v>
      </c>
      <c r="BK235" s="5" t="n">
        <v>0.673</v>
      </c>
      <c r="BL235" s="5" t="n">
        <v>1.486</v>
      </c>
      <c r="BM235" s="5" t="n">
        <v>0.16</v>
      </c>
      <c r="BN235" s="5" t="n">
        <v>1</v>
      </c>
      <c r="BO235" s="5" t="n">
        <v>0</v>
      </c>
      <c r="BP235" s="5" t="n">
        <v>0</v>
      </c>
      <c r="BQ235" s="5" t="n">
        <v>0.134</v>
      </c>
      <c r="BR235" s="5" t="n">
        <v>0</v>
      </c>
      <c r="BS235" s="5" t="n">
        <v>0.5</v>
      </c>
      <c r="BT235" s="5" t="n">
        <v>0</v>
      </c>
      <c r="BU235" s="5" t="n">
        <v>0</v>
      </c>
      <c r="BV235" s="5" t="n">
        <v>0.081</v>
      </c>
      <c r="BW235" s="5" t="n">
        <v>0</v>
      </c>
      <c r="BX235" s="5" t="n">
        <v>0.5</v>
      </c>
      <c r="BY235" s="5" t="n">
        <v>12.729</v>
      </c>
      <c r="BZ235" s="5" t="n">
        <v>0</v>
      </c>
      <c r="CA235" s="5" t="n">
        <v>12.729</v>
      </c>
      <c r="CB235" s="5" t="n">
        <v>0</v>
      </c>
      <c r="CC235" s="5" t="n">
        <v>97.90000000000001</v>
      </c>
      <c r="CD235" s="5" t="n">
        <v>7.95</v>
      </c>
      <c r="CE235" s="5" t="n">
        <v>14.809</v>
      </c>
      <c r="CF235" s="5" t="n">
        <v>130.742</v>
      </c>
      <c r="CG235" s="5" t="n">
        <v>0.16</v>
      </c>
      <c r="CH235" s="5" t="n">
        <v>1</v>
      </c>
      <c r="CI235" s="5" t="n">
        <v>0</v>
      </c>
      <c r="CJ235" s="5" t="n">
        <v>0</v>
      </c>
      <c r="CK235" s="5" t="n">
        <v>0</v>
      </c>
      <c r="CL235" s="5" t="n">
        <v>0</v>
      </c>
      <c r="CM235" s="5" t="n">
        <v>0</v>
      </c>
      <c r="CN235" s="5" t="n">
        <v>0</v>
      </c>
      <c r="CO235" s="5" t="n">
        <v>0</v>
      </c>
      <c r="CP235" s="5" t="n">
        <v>0</v>
      </c>
      <c r="CQ235" s="5" t="n">
        <v>1.294</v>
      </c>
      <c r="CR235" s="5" t="n">
        <v>0</v>
      </c>
      <c r="CS235" s="5" t="n">
        <v>5.158</v>
      </c>
      <c r="CT235" s="5" t="n">
        <v>10.485</v>
      </c>
      <c r="CU235" s="5" t="n">
        <v>29.494</v>
      </c>
    </row>
    <row r="236">
      <c r="A236" s="5" t="inlineStr">
        <is>
          <t>DOM2023</t>
        </is>
      </c>
      <c r="B236" s="5" t="inlineStr">
        <is>
          <t>DOM</t>
        </is>
      </c>
      <c r="C236" s="5" t="inlineStr">
        <is>
          <t>DOM</t>
        </is>
      </c>
      <c r="D236" s="5" t="inlineStr">
        <is>
          <t>Dominican Republic</t>
        </is>
      </c>
      <c r="E236" s="5" t="n">
        <v>2023</v>
      </c>
      <c r="F236" s="5" t="n">
        <v>0.18</v>
      </c>
      <c r="G236" s="5" t="n">
        <v>6.147</v>
      </c>
      <c r="H236" s="5" t="n">
        <v>1.286</v>
      </c>
      <c r="I236" s="5" t="n">
        <v>0</v>
      </c>
      <c r="J236" s="5" t="n">
        <v>6.147</v>
      </c>
      <c r="K236" s="5" t="n">
        <v>0</v>
      </c>
      <c r="L236" s="5" t="n">
        <v>1</v>
      </c>
      <c r="M236" s="5" t="n">
        <v>7.886</v>
      </c>
      <c r="N236" s="5" t="n">
        <v>3.857</v>
      </c>
      <c r="O236" s="5" t="n">
        <v>0</v>
      </c>
      <c r="P236" s="5" t="n">
        <v>7.886</v>
      </c>
      <c r="Q236" s="5" t="n">
        <v>0</v>
      </c>
      <c r="R236" s="5" t="n">
        <v>1</v>
      </c>
      <c r="S236" s="5" t="n">
        <v>12.575</v>
      </c>
      <c r="T236" s="5" t="n">
        <v>7.714</v>
      </c>
      <c r="U236" s="5" t="n">
        <v>0.251</v>
      </c>
      <c r="V236" s="5" t="n">
        <v>14.839</v>
      </c>
      <c r="W236" s="5" t="n">
        <v>0.18</v>
      </c>
      <c r="X236" s="5" t="n">
        <v>1</v>
      </c>
      <c r="Y236" s="5" t="n">
        <v>12.478</v>
      </c>
      <c r="Z236" s="5" t="n">
        <v>1.678</v>
      </c>
      <c r="AA236" s="5" t="n">
        <v>11.924</v>
      </c>
      <c r="AB236" s="5" t="n">
        <v>24.402</v>
      </c>
      <c r="AC236" s="5" t="n">
        <v>0</v>
      </c>
      <c r="AD236" s="5" t="n">
        <v>1</v>
      </c>
      <c r="AE236" s="5" t="n">
        <v>13.763</v>
      </c>
      <c r="AF236" s="5" t="n">
        <v>3.223</v>
      </c>
      <c r="AG236" s="5" t="n">
        <v>10.638</v>
      </c>
      <c r="AH236" s="5" t="n">
        <v>24.402</v>
      </c>
      <c r="AI236" s="5" t="n">
        <v>0</v>
      </c>
      <c r="AJ236" s="5" t="n">
        <v>1</v>
      </c>
      <c r="AK236" s="5" t="n">
        <v>21.477</v>
      </c>
      <c r="AL236" s="5" t="n">
        <v>11.54</v>
      </c>
      <c r="AM236" s="5" t="n">
        <v>-0.386</v>
      </c>
      <c r="AN236" s="5" t="n">
        <v>24.402</v>
      </c>
      <c r="AO236" s="5" t="n">
        <v>0.18</v>
      </c>
      <c r="AP236" s="5" t="n">
        <v>1</v>
      </c>
      <c r="AQ236" s="5" t="n">
        <v>0.791</v>
      </c>
      <c r="AR236" s="5" t="n">
        <v>0.129</v>
      </c>
      <c r="AS236" s="5" t="n">
        <v>0.323</v>
      </c>
      <c r="AT236" s="5" t="n">
        <v>1.292</v>
      </c>
      <c r="AU236" s="5" t="n">
        <v>0.16</v>
      </c>
      <c r="AV236" s="5" t="n">
        <v>1</v>
      </c>
      <c r="AW236" s="5" t="n">
        <v>0.618</v>
      </c>
      <c r="AX236" s="5" t="n">
        <v>0.129</v>
      </c>
      <c r="AY236" s="5" t="n">
        <v>0.302</v>
      </c>
      <c r="AZ236" s="5" t="n">
        <v>1.067</v>
      </c>
      <c r="BA236" s="5" t="n">
        <v>0.16</v>
      </c>
      <c r="BB236" s="5" t="n">
        <v>1</v>
      </c>
      <c r="BC236" s="5" t="n">
        <v>0.554</v>
      </c>
      <c r="BD236" s="5" t="n">
        <v>0.129</v>
      </c>
      <c r="BE236" s="5" t="n">
        <v>0.008</v>
      </c>
      <c r="BF236" s="5" t="n">
        <v>0.652</v>
      </c>
      <c r="BG236" s="5" t="n">
        <v>0.16</v>
      </c>
      <c r="BH236" s="5" t="n">
        <v>1</v>
      </c>
      <c r="BI236" s="5" t="n">
        <v>0.5570000000000001</v>
      </c>
      <c r="BJ236" s="5" t="n">
        <v>0.129</v>
      </c>
      <c r="BK236" s="5" t="n">
        <v>0.609</v>
      </c>
      <c r="BL236" s="5" t="n">
        <v>1.352</v>
      </c>
      <c r="BM236" s="5" t="n">
        <v>0.16</v>
      </c>
      <c r="BN236" s="5" t="n">
        <v>1</v>
      </c>
      <c r="BO236" s="5" t="n">
        <v>0</v>
      </c>
      <c r="BP236" s="5" t="n">
        <v>0</v>
      </c>
      <c r="BQ236" s="5" t="n">
        <v>0.132</v>
      </c>
      <c r="BR236" s="5" t="n">
        <v>0</v>
      </c>
      <c r="BS236" s="5" t="n">
        <v>0.5</v>
      </c>
      <c r="BT236" s="5" t="n">
        <v>0</v>
      </c>
      <c r="BU236" s="5" t="n">
        <v>0</v>
      </c>
      <c r="BV236" s="5" t="n">
        <v>0.079</v>
      </c>
      <c r="BW236" s="5" t="n">
        <v>0</v>
      </c>
      <c r="BX236" s="5" t="n">
        <v>0.5</v>
      </c>
      <c r="BY236" s="5" t="n">
        <v>13.254</v>
      </c>
      <c r="BZ236" s="5" t="n">
        <v>0</v>
      </c>
      <c r="CA236" s="5" t="n">
        <v>13.254</v>
      </c>
      <c r="CB236" s="5" t="n">
        <v>0</v>
      </c>
      <c r="CC236" s="5" t="n">
        <v>83.248</v>
      </c>
      <c r="CD236" s="5" t="n">
        <v>7.95</v>
      </c>
      <c r="CE236" s="5" t="n">
        <v>20.052</v>
      </c>
      <c r="CF236" s="5" t="n">
        <v>119.828</v>
      </c>
      <c r="CG236" s="5" t="n">
        <v>0.16</v>
      </c>
      <c r="CH236" s="5" t="n">
        <v>1</v>
      </c>
      <c r="CI236" s="5" t="n">
        <v>0</v>
      </c>
      <c r="CJ236" s="5" t="n">
        <v>0</v>
      </c>
      <c r="CK236" s="5" t="n">
        <v>0</v>
      </c>
      <c r="CL236" s="5" t="n">
        <v>0</v>
      </c>
      <c r="CM236" s="5" t="n">
        <v>0</v>
      </c>
      <c r="CN236" s="5" t="n">
        <v>0</v>
      </c>
      <c r="CO236" s="5" t="n">
        <v>0</v>
      </c>
      <c r="CP236" s="5" t="n">
        <v>0</v>
      </c>
      <c r="CQ236" s="5" t="n">
        <v>1.348</v>
      </c>
      <c r="CR236" s="5" t="n">
        <v>0</v>
      </c>
      <c r="CS236" s="5" t="n">
        <v>5.37</v>
      </c>
      <c r="CT236" s="5" t="n">
        <v>4.861</v>
      </c>
      <c r="CU236" s="5" t="n">
        <v>11.192</v>
      </c>
    </row>
    <row r="237">
      <c r="A237" s="5" t="inlineStr">
        <is>
          <t>DOM2024</t>
        </is>
      </c>
      <c r="B237" s="5" t="inlineStr">
        <is>
          <t>DOM</t>
        </is>
      </c>
      <c r="C237" s="5" t="inlineStr">
        <is>
          <t>DOM</t>
        </is>
      </c>
      <c r="D237" s="5" t="inlineStr">
        <is>
          <t>Dominican Republic</t>
        </is>
      </c>
      <c r="E237" s="5" t="n">
        <v>2024</v>
      </c>
      <c r="F237" s="5" t="n">
        <v>0.18</v>
      </c>
      <c r="G237" s="5" t="n">
        <v>5.575</v>
      </c>
      <c r="H237" s="5" t="n">
        <v>1.324</v>
      </c>
      <c r="I237" s="5" t="n">
        <v>0</v>
      </c>
      <c r="J237" s="5" t="n">
        <v>5.575</v>
      </c>
      <c r="K237" s="5" t="n">
        <v>0</v>
      </c>
      <c r="L237" s="5" t="n">
        <v>1</v>
      </c>
      <c r="M237" s="5" t="n">
        <v>7.124</v>
      </c>
      <c r="N237" s="5" t="n">
        <v>3.971</v>
      </c>
      <c r="O237" s="5" t="n">
        <v>0</v>
      </c>
      <c r="P237" s="5" t="n">
        <v>7.124</v>
      </c>
      <c r="Q237" s="5" t="n">
        <v>0</v>
      </c>
      <c r="R237" s="5" t="n">
        <v>1</v>
      </c>
      <c r="S237" s="5" t="n">
        <v>12.193</v>
      </c>
      <c r="T237" s="5" t="n">
        <v>7.942</v>
      </c>
      <c r="U237" s="5" t="n">
        <v>0.299</v>
      </c>
      <c r="V237" s="5" t="n">
        <v>14.388</v>
      </c>
      <c r="W237" s="5" t="n">
        <v>0.18</v>
      </c>
      <c r="X237" s="5" t="n">
        <v>1</v>
      </c>
      <c r="Y237" s="5" t="n">
        <v>11.447</v>
      </c>
      <c r="Z237" s="5" t="n">
        <v>1.539</v>
      </c>
      <c r="AA237" s="5" t="n">
        <v>12.276</v>
      </c>
      <c r="AB237" s="5" t="n">
        <v>23.723</v>
      </c>
      <c r="AC237" s="5" t="n">
        <v>0</v>
      </c>
      <c r="AD237" s="5" t="n">
        <v>1</v>
      </c>
      <c r="AE237" s="5" t="n">
        <v>12.771</v>
      </c>
      <c r="AF237" s="5" t="n">
        <v>2.99</v>
      </c>
      <c r="AG237" s="5" t="n">
        <v>10.952</v>
      </c>
      <c r="AH237" s="5" t="n">
        <v>23.723</v>
      </c>
      <c r="AI237" s="5" t="n">
        <v>0</v>
      </c>
      <c r="AJ237" s="5" t="n">
        <v>1</v>
      </c>
      <c r="AK237" s="5" t="n">
        <v>20.712</v>
      </c>
      <c r="AL237" s="5" t="n">
        <v>11.129</v>
      </c>
      <c r="AM237" s="5" t="n">
        <v>-0.115</v>
      </c>
      <c r="AN237" s="5" t="n">
        <v>23.723</v>
      </c>
      <c r="AO237" s="5" t="n">
        <v>0.18</v>
      </c>
      <c r="AP237" s="5" t="n">
        <v>1</v>
      </c>
      <c r="AQ237" s="5" t="n">
        <v>0.756</v>
      </c>
      <c r="AR237" s="5" t="n">
        <v>0.132</v>
      </c>
      <c r="AS237" s="5" t="n">
        <v>0.282</v>
      </c>
      <c r="AT237" s="5" t="n">
        <v>1.204</v>
      </c>
      <c r="AU237" s="5" t="n">
        <v>0.16</v>
      </c>
      <c r="AV237" s="5" t="n">
        <v>1</v>
      </c>
      <c r="AW237" s="5" t="n">
        <v>0.655</v>
      </c>
      <c r="AX237" s="5" t="n">
        <v>0.132</v>
      </c>
      <c r="AY237" s="5" t="n">
        <v>0.212</v>
      </c>
      <c r="AZ237" s="5" t="n">
        <v>1.007</v>
      </c>
      <c r="BA237" s="5" t="n">
        <v>0.16</v>
      </c>
      <c r="BB237" s="5" t="n">
        <v>1</v>
      </c>
      <c r="BC237" s="5" t="n">
        <v>0.534</v>
      </c>
      <c r="BD237" s="5" t="n">
        <v>0.132</v>
      </c>
      <c r="BE237" s="5" t="n">
        <v>-0.027</v>
      </c>
      <c r="BF237" s="5" t="n">
        <v>0.588</v>
      </c>
      <c r="BG237" s="5" t="n">
        <v>0.16</v>
      </c>
      <c r="BH237" s="5" t="n">
        <v>1</v>
      </c>
      <c r="BI237" s="5" t="n">
        <v>0.5679999999999999</v>
      </c>
      <c r="BJ237" s="5" t="n">
        <v>0.132</v>
      </c>
      <c r="BK237" s="5" t="n">
        <v>0.305</v>
      </c>
      <c r="BL237" s="5" t="n">
        <v>1.013</v>
      </c>
      <c r="BM237" s="5" t="n">
        <v>0.16</v>
      </c>
      <c r="BN237" s="5" t="n">
        <v>1</v>
      </c>
      <c r="BO237" s="5" t="n">
        <v>0</v>
      </c>
      <c r="BP237" s="5" t="n">
        <v>0</v>
      </c>
      <c r="BQ237" s="5" t="n">
        <v>0.143</v>
      </c>
      <c r="BR237" s="5" t="n">
        <v>0</v>
      </c>
      <c r="BS237" s="5" t="n">
        <v>0.5</v>
      </c>
      <c r="BT237" s="5" t="n">
        <v>0</v>
      </c>
      <c r="BU237" s="5" t="n">
        <v>0</v>
      </c>
      <c r="BV237" s="5" t="n">
        <v>0.091</v>
      </c>
      <c r="BW237" s="5" t="n">
        <v>0</v>
      </c>
      <c r="BX237" s="5" t="n">
        <v>0.5</v>
      </c>
      <c r="BY237" s="5" t="n">
        <v>13.646</v>
      </c>
      <c r="BZ237" s="5" t="n">
        <v>0</v>
      </c>
      <c r="CA237" s="5" t="n">
        <v>13.646</v>
      </c>
      <c r="CB237" s="5" t="n">
        <v>0</v>
      </c>
      <c r="CC237" s="5" t="n">
        <v>82.58799999999999</v>
      </c>
      <c r="CD237" s="5" t="n">
        <v>7.95</v>
      </c>
      <c r="CE237" s="5" t="n">
        <v>6.724</v>
      </c>
      <c r="CF237" s="5" t="n">
        <v>103.602</v>
      </c>
      <c r="CG237" s="5" t="n">
        <v>0.16</v>
      </c>
      <c r="CH237" s="5" t="n">
        <v>1</v>
      </c>
      <c r="CI237" s="5" t="n">
        <v>0</v>
      </c>
      <c r="CJ237" s="5" t="n">
        <v>0</v>
      </c>
      <c r="CK237" s="5" t="n">
        <v>0</v>
      </c>
      <c r="CL237" s="5" t="n">
        <v>0</v>
      </c>
      <c r="CM237" s="5" t="n">
        <v>0</v>
      </c>
      <c r="CN237" s="5" t="n">
        <v>0</v>
      </c>
      <c r="CO237" s="5" t="n">
        <v>0</v>
      </c>
      <c r="CP237" s="5" t="n">
        <v>0</v>
      </c>
      <c r="CQ237" s="5" t="n">
        <v>1.387</v>
      </c>
      <c r="CR237" s="5" t="n">
        <v>0</v>
      </c>
      <c r="CS237" s="5" t="n">
        <v>5.529</v>
      </c>
      <c r="CT237" s="5" t="n">
        <v>4.251</v>
      </c>
      <c r="CU237" s="5" t="n">
        <v>10.123</v>
      </c>
    </row>
    <row r="238">
      <c r="A238" s="5" t="inlineStr">
        <is>
          <t>ECU2021</t>
        </is>
      </c>
      <c r="B238" s="5" t="inlineStr">
        <is>
          <t>ECU</t>
        </is>
      </c>
      <c r="C238" s="5" t="inlineStr">
        <is>
          <t>ECU</t>
        </is>
      </c>
      <c r="D238" s="5" t="inlineStr">
        <is>
          <t>Ecuador</t>
        </is>
      </c>
      <c r="E238" s="5" t="n">
        <v>2021</v>
      </c>
      <c r="F238" s="5" t="n">
        <v>0.12</v>
      </c>
      <c r="G238" s="5" t="n">
        <v>5.897</v>
      </c>
      <c r="H238" s="5" t="n">
        <v>1.143</v>
      </c>
      <c r="I238" s="5" t="n">
        <v>0</v>
      </c>
      <c r="J238" s="5" t="n">
        <v>5.897</v>
      </c>
      <c r="K238" s="5" t="n">
        <v>0</v>
      </c>
      <c r="L238" s="5" t="n">
        <v>1</v>
      </c>
      <c r="M238" s="5" t="n">
        <v>7.964</v>
      </c>
      <c r="N238" s="5" t="n">
        <v>3.43</v>
      </c>
      <c r="O238" s="5" t="n">
        <v>0.227</v>
      </c>
      <c r="P238" s="5" t="n">
        <v>8.191000000000001</v>
      </c>
      <c r="Q238" s="5" t="n">
        <v>0</v>
      </c>
      <c r="R238" s="5" t="n">
        <v>1</v>
      </c>
      <c r="S238" s="5" t="n">
        <v>11.613</v>
      </c>
      <c r="T238" s="5" t="n">
        <v>6.86</v>
      </c>
      <c r="U238" s="5" t="n">
        <v>0</v>
      </c>
      <c r="V238" s="5" t="n">
        <v>13.007</v>
      </c>
      <c r="W238" s="5" t="n">
        <v>0.12</v>
      </c>
      <c r="X238" s="5" t="n">
        <v>1</v>
      </c>
      <c r="Y238" s="5" t="n">
        <v>9.379</v>
      </c>
      <c r="Z238" s="5" t="n">
        <v>0.6830000000000001</v>
      </c>
      <c r="AA238" s="5" t="n">
        <v>-0.586</v>
      </c>
      <c r="AB238" s="5" t="n">
        <v>8.792999999999999</v>
      </c>
      <c r="AC238" s="5" t="n">
        <v>0</v>
      </c>
      <c r="AD238" s="5" t="n">
        <v>1</v>
      </c>
      <c r="AE238" s="5" t="n">
        <v>9.951000000000001</v>
      </c>
      <c r="AF238" s="5" t="n">
        <v>1.338</v>
      </c>
      <c r="AG238" s="5" t="n">
        <v>-0.586</v>
      </c>
      <c r="AH238" s="5" t="n">
        <v>9.365</v>
      </c>
      <c r="AI238" s="5" t="n">
        <v>0</v>
      </c>
      <c r="AJ238" s="5" t="n">
        <v>1</v>
      </c>
      <c r="AK238" s="5" t="n">
        <v>13.381</v>
      </c>
      <c r="AL238" s="5" t="n">
        <v>5.005</v>
      </c>
      <c r="AM238" s="5" t="n">
        <v>-0.414</v>
      </c>
      <c r="AN238" s="5" t="n">
        <v>12.967</v>
      </c>
      <c r="AO238" s="5" t="n">
        <v>0</v>
      </c>
      <c r="AP238" s="5" t="n">
        <v>1</v>
      </c>
      <c r="AQ238" s="5" t="n">
        <v>0.53</v>
      </c>
      <c r="AR238" s="5" t="n">
        <v>0.097</v>
      </c>
      <c r="AS238" s="5" t="n">
        <v>-0.014</v>
      </c>
      <c r="AT238" s="5" t="n">
        <v>0.578</v>
      </c>
      <c r="AU238" s="5" t="n">
        <v>0</v>
      </c>
      <c r="AV238" s="5" t="n">
        <v>1</v>
      </c>
      <c r="AW238" s="5" t="n">
        <v>0.53</v>
      </c>
      <c r="AX238" s="5" t="n">
        <v>0.103</v>
      </c>
      <c r="AY238" s="5" t="n">
        <v>-0.15</v>
      </c>
      <c r="AZ238" s="5" t="n">
        <v>0.426</v>
      </c>
      <c r="BA238" s="5" t="n">
        <v>0</v>
      </c>
      <c r="BB238" s="5" t="n">
        <v>0</v>
      </c>
      <c r="BC238" s="5" t="n">
        <v>0.742</v>
      </c>
      <c r="BD238" s="5" t="n">
        <v>0.192</v>
      </c>
      <c r="BE238" s="5" t="n">
        <v>-0.647</v>
      </c>
      <c r="BF238" s="5" t="n">
        <v>0.107</v>
      </c>
      <c r="BG238" s="5" t="n">
        <v>0</v>
      </c>
      <c r="BH238" s="5" t="n">
        <v>0</v>
      </c>
      <c r="BI238" s="5" t="n">
        <v>0.491</v>
      </c>
      <c r="BJ238" s="5" t="n">
        <v>0.114</v>
      </c>
      <c r="BK238" s="5" t="n">
        <v>0.034</v>
      </c>
      <c r="BL238" s="5" t="n">
        <v>0.525</v>
      </c>
      <c r="BM238" s="5" t="n">
        <v>0</v>
      </c>
      <c r="BN238" s="5" t="n">
        <v>1</v>
      </c>
      <c r="BO238" s="5" t="n">
        <v>0</v>
      </c>
      <c r="BP238" s="5" t="n">
        <v>0</v>
      </c>
      <c r="BQ238" s="5" t="n">
        <v>0.062</v>
      </c>
      <c r="BR238" s="5" t="n">
        <v>0</v>
      </c>
      <c r="BS238" s="5" t="n">
        <v>0.5</v>
      </c>
      <c r="BT238" s="5" t="n">
        <v>0</v>
      </c>
      <c r="BU238" s="5" t="n">
        <v>-0.008999999999999999</v>
      </c>
      <c r="BV238" s="5" t="n">
        <v>0.103</v>
      </c>
      <c r="BW238" s="5" t="n">
        <v>0</v>
      </c>
      <c r="BX238" s="5" t="n">
        <v>0.833</v>
      </c>
      <c r="BY238" s="5" t="n">
        <v>11.787</v>
      </c>
      <c r="BZ238" s="5" t="n">
        <v>0</v>
      </c>
      <c r="CA238" s="5" t="n">
        <v>11.787</v>
      </c>
      <c r="CB238" s="5" t="n">
        <v>0</v>
      </c>
      <c r="CC238" s="5" t="n">
        <v>73.254</v>
      </c>
      <c r="CD238" s="5" t="n">
        <v>3.079</v>
      </c>
      <c r="CE238" s="5" t="n">
        <v>-29.421</v>
      </c>
      <c r="CF238" s="5" t="n">
        <v>49.094</v>
      </c>
      <c r="CG238" s="5" t="n">
        <v>0</v>
      </c>
      <c r="CH238" s="5" t="n">
        <v>0</v>
      </c>
      <c r="CI238" s="5" t="n">
        <v>0</v>
      </c>
      <c r="CJ238" s="5" t="n">
        <v>0</v>
      </c>
      <c r="CK238" s="5" t="n">
        <v>0</v>
      </c>
      <c r="CL238" s="5" t="n">
        <v>0</v>
      </c>
      <c r="CM238" s="5" t="n">
        <v>0</v>
      </c>
      <c r="CN238" s="5" t="n">
        <v>0</v>
      </c>
      <c r="CO238" s="5" t="n">
        <v>0</v>
      </c>
      <c r="CP238" s="5" t="n">
        <v>0</v>
      </c>
      <c r="CQ238" s="5" t="n">
        <v>1.198</v>
      </c>
      <c r="CR238" s="5" t="n">
        <v>1</v>
      </c>
      <c r="CS238" s="5" t="n">
        <v>8.808</v>
      </c>
      <c r="CT238" s="5" t="n">
        <v>4.753</v>
      </c>
      <c r="CU238" s="5" t="n">
        <v>15.983</v>
      </c>
    </row>
    <row r="239">
      <c r="A239" s="5" t="inlineStr">
        <is>
          <t>ECU2022</t>
        </is>
      </c>
      <c r="B239" s="5" t="inlineStr">
        <is>
          <t>ECU</t>
        </is>
      </c>
      <c r="C239" s="5" t="inlineStr">
        <is>
          <t>ECU</t>
        </is>
      </c>
      <c r="D239" s="5" t="inlineStr">
        <is>
          <t>Ecuador</t>
        </is>
      </c>
      <c r="E239" s="5" t="n">
        <v>2022</v>
      </c>
      <c r="F239" s="5" t="n">
        <v>0.12</v>
      </c>
      <c r="G239" s="5" t="n">
        <v>11.72</v>
      </c>
      <c r="H239" s="5" t="n">
        <v>1.235</v>
      </c>
      <c r="I239" s="5" t="n">
        <v>0</v>
      </c>
      <c r="J239" s="5" t="n">
        <v>11.72</v>
      </c>
      <c r="K239" s="5" t="n">
        <v>0</v>
      </c>
      <c r="L239" s="5" t="n">
        <v>1</v>
      </c>
      <c r="M239" s="5" t="n">
        <v>9.782999999999999</v>
      </c>
      <c r="N239" s="5" t="n">
        <v>3.704</v>
      </c>
      <c r="O239" s="5" t="n">
        <v>0.328</v>
      </c>
      <c r="P239" s="5" t="n">
        <v>10.111</v>
      </c>
      <c r="Q239" s="5" t="n">
        <v>0</v>
      </c>
      <c r="R239" s="5" t="n">
        <v>1</v>
      </c>
      <c r="S239" s="5" t="n">
        <v>17.893</v>
      </c>
      <c r="T239" s="5" t="n">
        <v>7.408</v>
      </c>
      <c r="U239" s="5" t="n">
        <v>0.159</v>
      </c>
      <c r="V239" s="5" t="n">
        <v>20.041</v>
      </c>
      <c r="W239" s="5" t="n">
        <v>0.12</v>
      </c>
      <c r="X239" s="5" t="n">
        <v>1</v>
      </c>
      <c r="Y239" s="5" t="n">
        <v>10.129</v>
      </c>
      <c r="Z239" s="5" t="n">
        <v>0.737</v>
      </c>
      <c r="AA239" s="5" t="n">
        <v>-0.428</v>
      </c>
      <c r="AB239" s="5" t="n">
        <v>9.701000000000001</v>
      </c>
      <c r="AC239" s="5" t="n">
        <v>0</v>
      </c>
      <c r="AD239" s="5" t="n">
        <v>1</v>
      </c>
      <c r="AE239" s="5" t="n">
        <v>10.746</v>
      </c>
      <c r="AF239" s="5" t="n">
        <v>1.445</v>
      </c>
      <c r="AG239" s="5" t="n">
        <v>-0.428</v>
      </c>
      <c r="AH239" s="5" t="n">
        <v>10.319</v>
      </c>
      <c r="AI239" s="5" t="n">
        <v>0</v>
      </c>
      <c r="AJ239" s="5" t="n">
        <v>1</v>
      </c>
      <c r="AK239" s="5" t="n">
        <v>14.451</v>
      </c>
      <c r="AL239" s="5" t="n">
        <v>5.405</v>
      </c>
      <c r="AM239" s="5" t="n">
        <v>-0.109</v>
      </c>
      <c r="AN239" s="5" t="n">
        <v>14.342</v>
      </c>
      <c r="AO239" s="5" t="n">
        <v>0</v>
      </c>
      <c r="AP239" s="5" t="n">
        <v>1</v>
      </c>
      <c r="AQ239" s="5" t="n">
        <v>0.768</v>
      </c>
      <c r="AR239" s="5" t="n">
        <v>0.11</v>
      </c>
      <c r="AS239" s="5" t="n">
        <v>-0.169</v>
      </c>
      <c r="AT239" s="5" t="n">
        <v>0.671</v>
      </c>
      <c r="AU239" s="5" t="n">
        <v>0</v>
      </c>
      <c r="AV239" s="5" t="n">
        <v>1</v>
      </c>
      <c r="AW239" s="5" t="n">
        <v>0.863</v>
      </c>
      <c r="AX239" s="5" t="n">
        <v>0.112</v>
      </c>
      <c r="AY239" s="5" t="n">
        <v>-0.421</v>
      </c>
      <c r="AZ239" s="5" t="n">
        <v>0.495</v>
      </c>
      <c r="BA239" s="5" t="n">
        <v>0</v>
      </c>
      <c r="BB239" s="5" t="n">
        <v>0</v>
      </c>
      <c r="BC239" s="5" t="n">
        <v>0.79</v>
      </c>
      <c r="BD239" s="5" t="n">
        <v>0.163</v>
      </c>
      <c r="BE239" s="5" t="n">
        <v>-0.695</v>
      </c>
      <c r="BF239" s="5" t="n">
        <v>0.107</v>
      </c>
      <c r="BG239" s="5" t="n">
        <v>0</v>
      </c>
      <c r="BH239" s="5" t="n">
        <v>0</v>
      </c>
      <c r="BI239" s="5" t="n">
        <v>0.608</v>
      </c>
      <c r="BJ239" s="5" t="n">
        <v>0.123</v>
      </c>
      <c r="BK239" s="5" t="n">
        <v>0.004</v>
      </c>
      <c r="BL239" s="5" t="n">
        <v>0.611</v>
      </c>
      <c r="BM239" s="5" t="n">
        <v>0</v>
      </c>
      <c r="BN239" s="5" t="n">
        <v>1</v>
      </c>
      <c r="BO239" s="5" t="n">
        <v>0</v>
      </c>
      <c r="BP239" s="5" t="n">
        <v>0</v>
      </c>
      <c r="BQ239" s="5" t="n">
        <v>0.062</v>
      </c>
      <c r="BR239" s="5" t="n">
        <v>0</v>
      </c>
      <c r="BS239" s="5" t="n">
        <v>0.5</v>
      </c>
      <c r="BT239" s="5" t="n">
        <v>0</v>
      </c>
      <c r="BU239" s="5" t="n">
        <v>-0.01</v>
      </c>
      <c r="BV239" s="5" t="n">
        <v>0.104</v>
      </c>
      <c r="BW239" s="5" t="n">
        <v>0</v>
      </c>
      <c r="BX239" s="5" t="n">
        <v>0.833</v>
      </c>
      <c r="BY239" s="5" t="n">
        <v>12.729</v>
      </c>
      <c r="BZ239" s="5" t="n">
        <v>0</v>
      </c>
      <c r="CA239" s="5" t="n">
        <v>12.729</v>
      </c>
      <c r="CB239" s="5" t="n">
        <v>0</v>
      </c>
      <c r="CC239" s="5" t="n">
        <v>117.033</v>
      </c>
      <c r="CD239" s="5" t="n">
        <v>27.083</v>
      </c>
      <c r="CE239" s="5" t="n">
        <v>-62.76</v>
      </c>
      <c r="CF239" s="5" t="n">
        <v>60.786</v>
      </c>
      <c r="CG239" s="5" t="n">
        <v>0</v>
      </c>
      <c r="CH239" s="5" t="n">
        <v>0</v>
      </c>
      <c r="CI239" s="5" t="n">
        <v>0</v>
      </c>
      <c r="CJ239" s="5" t="n">
        <v>0</v>
      </c>
      <c r="CK239" s="5" t="n">
        <v>0</v>
      </c>
      <c r="CL239" s="5" t="n">
        <v>0</v>
      </c>
      <c r="CM239" s="5" t="n">
        <v>0</v>
      </c>
      <c r="CN239" s="5" t="n">
        <v>0</v>
      </c>
      <c r="CO239" s="5" t="n">
        <v>0</v>
      </c>
      <c r="CP239" s="5" t="n">
        <v>0</v>
      </c>
      <c r="CQ239" s="5" t="n">
        <v>1.294</v>
      </c>
      <c r="CR239" s="5" t="n">
        <v>1</v>
      </c>
      <c r="CS239" s="5" t="n">
        <v>9.512</v>
      </c>
      <c r="CT239" s="5" t="n">
        <v>10.485</v>
      </c>
      <c r="CU239" s="5" t="n">
        <v>29.494</v>
      </c>
    </row>
    <row r="240">
      <c r="A240" s="5" t="inlineStr">
        <is>
          <t>ECU2023</t>
        </is>
      </c>
      <c r="B240" s="5" t="inlineStr">
        <is>
          <t>ECU</t>
        </is>
      </c>
      <c r="C240" s="5" t="inlineStr">
        <is>
          <t>ECU</t>
        </is>
      </c>
      <c r="D240" s="5" t="inlineStr">
        <is>
          <t>Ecuador</t>
        </is>
      </c>
      <c r="E240" s="5" t="n">
        <v>2023</v>
      </c>
      <c r="F240" s="5" t="n">
        <v>0.12</v>
      </c>
      <c r="G240" s="5" t="n">
        <v>6.147</v>
      </c>
      <c r="H240" s="5" t="n">
        <v>1.286</v>
      </c>
      <c r="I240" s="5" t="n">
        <v>0</v>
      </c>
      <c r="J240" s="5" t="n">
        <v>6.147</v>
      </c>
      <c r="K240" s="5" t="n">
        <v>0</v>
      </c>
      <c r="L240" s="5" t="n">
        <v>1</v>
      </c>
      <c r="M240" s="5" t="n">
        <v>7.886</v>
      </c>
      <c r="N240" s="5" t="n">
        <v>3.857</v>
      </c>
      <c r="O240" s="5" t="n">
        <v>0.227</v>
      </c>
      <c r="P240" s="5" t="n">
        <v>8.113</v>
      </c>
      <c r="Q240" s="5" t="n">
        <v>0</v>
      </c>
      <c r="R240" s="5" t="n">
        <v>1</v>
      </c>
      <c r="S240" s="5" t="n">
        <v>12.575</v>
      </c>
      <c r="T240" s="5" t="n">
        <v>7.714</v>
      </c>
      <c r="U240" s="5" t="n">
        <v>0.167</v>
      </c>
      <c r="V240" s="5" t="n">
        <v>14.084</v>
      </c>
      <c r="W240" s="5" t="n">
        <v>0.12</v>
      </c>
      <c r="X240" s="5" t="n">
        <v>1</v>
      </c>
      <c r="Y240" s="5" t="n">
        <v>10.547</v>
      </c>
      <c r="Z240" s="5" t="n">
        <v>0.768</v>
      </c>
      <c r="AA240" s="5" t="n">
        <v>-0.269</v>
      </c>
      <c r="AB240" s="5" t="n">
        <v>10.278</v>
      </c>
      <c r="AC240" s="5" t="n">
        <v>0</v>
      </c>
      <c r="AD240" s="5" t="n">
        <v>1</v>
      </c>
      <c r="AE240" s="5" t="n">
        <v>11.19</v>
      </c>
      <c r="AF240" s="5" t="n">
        <v>1.505</v>
      </c>
      <c r="AG240" s="5" t="n">
        <v>-0.269</v>
      </c>
      <c r="AH240" s="5" t="n">
        <v>10.921</v>
      </c>
      <c r="AI240" s="5" t="n">
        <v>0</v>
      </c>
      <c r="AJ240" s="5" t="n">
        <v>1</v>
      </c>
      <c r="AK240" s="5" t="n">
        <v>15.047</v>
      </c>
      <c r="AL240" s="5" t="n">
        <v>5.628</v>
      </c>
      <c r="AM240" s="5" t="n">
        <v>0.14</v>
      </c>
      <c r="AN240" s="5" t="n">
        <v>15.187</v>
      </c>
      <c r="AO240" s="5" t="n">
        <v>0</v>
      </c>
      <c r="AP240" s="5" t="n">
        <v>1</v>
      </c>
      <c r="AQ240" s="5" t="n">
        <v>0.642</v>
      </c>
      <c r="AR240" s="5" t="n">
        <v>0.108</v>
      </c>
      <c r="AS240" s="5" t="n">
        <v>-0.061</v>
      </c>
      <c r="AT240" s="5" t="n">
        <v>0.651</v>
      </c>
      <c r="AU240" s="5" t="n">
        <v>0</v>
      </c>
      <c r="AV240" s="5" t="n">
        <v>1</v>
      </c>
      <c r="AW240" s="5" t="n">
        <v>1.056</v>
      </c>
      <c r="AX240" s="5" t="n">
        <v>0.181</v>
      </c>
      <c r="AY240" s="5" t="n">
        <v>-0.633</v>
      </c>
      <c r="AZ240" s="5" t="n">
        <v>0.475</v>
      </c>
      <c r="BA240" s="5" t="n">
        <v>0</v>
      </c>
      <c r="BB240" s="5" t="n">
        <v>0</v>
      </c>
      <c r="BC240" s="5" t="n">
        <v>0.637</v>
      </c>
      <c r="BD240" s="5" t="n">
        <v>0.153</v>
      </c>
      <c r="BE240" s="5" t="n">
        <v>-0.541</v>
      </c>
      <c r="BF240" s="5" t="n">
        <v>0.107</v>
      </c>
      <c r="BG240" s="5" t="n">
        <v>0</v>
      </c>
      <c r="BH240" s="5" t="n">
        <v>0</v>
      </c>
      <c r="BI240" s="5" t="n">
        <v>0.5570000000000001</v>
      </c>
      <c r="BJ240" s="5" t="n">
        <v>0.129</v>
      </c>
      <c r="BK240" s="5" t="n">
        <v>-0.042</v>
      </c>
      <c r="BL240" s="5" t="n">
        <v>0.516</v>
      </c>
      <c r="BM240" s="5" t="n">
        <v>0</v>
      </c>
      <c r="BN240" s="5" t="n">
        <v>1</v>
      </c>
      <c r="BO240" s="5" t="n">
        <v>0</v>
      </c>
      <c r="BP240" s="5" t="n">
        <v>0</v>
      </c>
      <c r="BQ240" s="5" t="n">
        <v>0.062</v>
      </c>
      <c r="BR240" s="5" t="n">
        <v>0</v>
      </c>
      <c r="BS240" s="5" t="n">
        <v>0.5</v>
      </c>
      <c r="BT240" s="5" t="n">
        <v>0</v>
      </c>
      <c r="BU240" s="5" t="n">
        <v>-0.008999999999999999</v>
      </c>
      <c r="BV240" s="5" t="n">
        <v>0.104</v>
      </c>
      <c r="BW240" s="5" t="n">
        <v>0</v>
      </c>
      <c r="BX240" s="5" t="n">
        <v>0.833</v>
      </c>
      <c r="BY240" s="5" t="n">
        <v>13.254</v>
      </c>
      <c r="BZ240" s="5" t="n">
        <v>0</v>
      </c>
      <c r="CA240" s="5" t="n">
        <v>13.254</v>
      </c>
      <c r="CB240" s="5" t="n">
        <v>0</v>
      </c>
      <c r="CC240" s="5" t="n">
        <v>106.14</v>
      </c>
      <c r="CD240" s="5" t="n">
        <v>30.842</v>
      </c>
      <c r="CE240" s="5" t="n">
        <v>-44.068</v>
      </c>
      <c r="CF240" s="5" t="n">
        <v>69.521</v>
      </c>
      <c r="CG240" s="5" t="n">
        <v>0</v>
      </c>
      <c r="CH240" s="5" t="n">
        <v>0</v>
      </c>
      <c r="CI240" s="5" t="n">
        <v>0</v>
      </c>
      <c r="CJ240" s="5" t="n">
        <v>0</v>
      </c>
      <c r="CK240" s="5" t="n">
        <v>0</v>
      </c>
      <c r="CL240" s="5" t="n">
        <v>0</v>
      </c>
      <c r="CM240" s="5" t="n">
        <v>0</v>
      </c>
      <c r="CN240" s="5" t="n">
        <v>0</v>
      </c>
      <c r="CO240" s="5" t="n">
        <v>0</v>
      </c>
      <c r="CP240" s="5" t="n">
        <v>0</v>
      </c>
      <c r="CQ240" s="5" t="n">
        <v>1.348</v>
      </c>
      <c r="CR240" s="5" t="n">
        <v>1</v>
      </c>
      <c r="CS240" s="5" t="n">
        <v>9.904</v>
      </c>
      <c r="CT240" s="5" t="n">
        <v>4.861</v>
      </c>
      <c r="CU240" s="5" t="n">
        <v>11.192</v>
      </c>
    </row>
    <row r="241">
      <c r="A241" s="5" t="inlineStr">
        <is>
          <t>ECU2024</t>
        </is>
      </c>
      <c r="B241" s="5" t="inlineStr">
        <is>
          <t>ECU</t>
        </is>
      </c>
      <c r="C241" s="5" t="inlineStr">
        <is>
          <t>ECU</t>
        </is>
      </c>
      <c r="D241" s="5" t="inlineStr">
        <is>
          <t>Ecuador</t>
        </is>
      </c>
      <c r="E241" s="5" t="n">
        <v>2024</v>
      </c>
      <c r="F241" s="5" t="n">
        <v>0.12</v>
      </c>
      <c r="G241" s="5" t="n">
        <v>5.575</v>
      </c>
      <c r="H241" s="5" t="n">
        <v>1.324</v>
      </c>
      <c r="I241" s="5" t="n">
        <v>0</v>
      </c>
      <c r="J241" s="5" t="n">
        <v>5.575</v>
      </c>
      <c r="K241" s="5" t="n">
        <v>0</v>
      </c>
      <c r="L241" s="5" t="n">
        <v>1</v>
      </c>
      <c r="M241" s="5" t="n">
        <v>7.124</v>
      </c>
      <c r="N241" s="5" t="n">
        <v>3.971</v>
      </c>
      <c r="O241" s="5" t="n">
        <v>0.158</v>
      </c>
      <c r="P241" s="5" t="n">
        <v>7.281</v>
      </c>
      <c r="Q241" s="5" t="n">
        <v>0</v>
      </c>
      <c r="R241" s="5" t="n">
        <v>1</v>
      </c>
      <c r="S241" s="5" t="n">
        <v>12.193</v>
      </c>
      <c r="T241" s="5" t="n">
        <v>7.942</v>
      </c>
      <c r="U241" s="5" t="n">
        <v>0.199</v>
      </c>
      <c r="V241" s="5" t="n">
        <v>13.656</v>
      </c>
      <c r="W241" s="5" t="n">
        <v>0.12</v>
      </c>
      <c r="X241" s="5" t="n">
        <v>1</v>
      </c>
      <c r="Y241" s="5" t="n">
        <v>10.785</v>
      </c>
      <c r="Z241" s="5" t="n">
        <v>0.785</v>
      </c>
      <c r="AA241" s="5" t="n">
        <v>-0.277</v>
      </c>
      <c r="AB241" s="5" t="n">
        <v>10.508</v>
      </c>
      <c r="AC241" s="5" t="n">
        <v>0</v>
      </c>
      <c r="AD241" s="5" t="n">
        <v>1</v>
      </c>
      <c r="AE241" s="5" t="n">
        <v>11.447</v>
      </c>
      <c r="AF241" s="5" t="n">
        <v>1.54</v>
      </c>
      <c r="AG241" s="5" t="n">
        <v>-0.277</v>
      </c>
      <c r="AH241" s="5" t="n">
        <v>11.17</v>
      </c>
      <c r="AI241" s="5" t="n">
        <v>0</v>
      </c>
      <c r="AJ241" s="5" t="n">
        <v>1</v>
      </c>
      <c r="AK241" s="5" t="n">
        <v>15.418</v>
      </c>
      <c r="AL241" s="5" t="n">
        <v>5.766</v>
      </c>
      <c r="AM241" s="5" t="n">
        <v>0.135</v>
      </c>
      <c r="AN241" s="5" t="n">
        <v>15.553</v>
      </c>
      <c r="AO241" s="5" t="n">
        <v>0</v>
      </c>
      <c r="AP241" s="5" t="n">
        <v>1</v>
      </c>
      <c r="AQ241" s="5" t="n">
        <v>0.638</v>
      </c>
      <c r="AR241" s="5" t="n">
        <v>0.116</v>
      </c>
      <c r="AS241" s="5" t="n">
        <v>-0.048</v>
      </c>
      <c r="AT241" s="5" t="n">
        <v>0.679</v>
      </c>
      <c r="AU241" s="5" t="n">
        <v>0</v>
      </c>
      <c r="AV241" s="5" t="n">
        <v>1</v>
      </c>
      <c r="AW241" s="5" t="n">
        <v>0.856</v>
      </c>
      <c r="AX241" s="5" t="n">
        <v>0.157</v>
      </c>
      <c r="AY241" s="5" t="n">
        <v>-0.443</v>
      </c>
      <c r="AZ241" s="5" t="n">
        <v>0.475</v>
      </c>
      <c r="BA241" s="5" t="n">
        <v>0</v>
      </c>
      <c r="BB241" s="5" t="n">
        <v>0</v>
      </c>
      <c r="BC241" s="5" t="n">
        <v>0.708</v>
      </c>
      <c r="BD241" s="5" t="n">
        <v>0.182</v>
      </c>
      <c r="BE241" s="5" t="n">
        <v>-0.615</v>
      </c>
      <c r="BF241" s="5" t="n">
        <v>0.107</v>
      </c>
      <c r="BG241" s="5" t="n">
        <v>0</v>
      </c>
      <c r="BH241" s="5" t="n">
        <v>0</v>
      </c>
      <c r="BI241" s="5" t="n">
        <v>0.5679999999999999</v>
      </c>
      <c r="BJ241" s="5" t="n">
        <v>0.132</v>
      </c>
      <c r="BK241" s="5" t="n">
        <v>-0.044</v>
      </c>
      <c r="BL241" s="5" t="n">
        <v>0.524</v>
      </c>
      <c r="BM241" s="5" t="n">
        <v>0</v>
      </c>
      <c r="BN241" s="5" t="n">
        <v>1</v>
      </c>
      <c r="BO241" s="5" t="n">
        <v>0</v>
      </c>
      <c r="BP241" s="5" t="n">
        <v>0</v>
      </c>
      <c r="BQ241" s="5" t="n">
        <v>0.07099999999999999</v>
      </c>
      <c r="BR241" s="5" t="n">
        <v>0</v>
      </c>
      <c r="BS241" s="5" t="n">
        <v>0.5</v>
      </c>
      <c r="BT241" s="5" t="n">
        <v>0</v>
      </c>
      <c r="BU241" s="5" t="n">
        <v>-0.008999999999999999</v>
      </c>
      <c r="BV241" s="5" t="n">
        <v>0.103</v>
      </c>
      <c r="BW241" s="5" t="n">
        <v>0</v>
      </c>
      <c r="BX241" s="5" t="n">
        <v>0.833</v>
      </c>
      <c r="BY241" s="5" t="n">
        <v>13.646</v>
      </c>
      <c r="BZ241" s="5" t="n">
        <v>0</v>
      </c>
      <c r="CA241" s="5" t="n">
        <v>13.646</v>
      </c>
      <c r="CB241" s="5" t="n">
        <v>0</v>
      </c>
      <c r="CC241" s="5" t="n">
        <v>109.623</v>
      </c>
      <c r="CD241" s="5" t="n">
        <v>34.985</v>
      </c>
      <c r="CE241" s="5" t="n">
        <v>-41.506</v>
      </c>
      <c r="CF241" s="5" t="n">
        <v>78.334</v>
      </c>
      <c r="CG241" s="5" t="n">
        <v>0</v>
      </c>
      <c r="CH241" s="5" t="n">
        <v>0</v>
      </c>
      <c r="CI241" s="5" t="n">
        <v>0</v>
      </c>
      <c r="CJ241" s="5" t="n">
        <v>0</v>
      </c>
      <c r="CK241" s="5" t="n">
        <v>0</v>
      </c>
      <c r="CL241" s="5" t="n">
        <v>0</v>
      </c>
      <c r="CM241" s="5" t="n">
        <v>0</v>
      </c>
      <c r="CN241" s="5" t="n">
        <v>0</v>
      </c>
      <c r="CO241" s="5" t="n">
        <v>0</v>
      </c>
      <c r="CP241" s="5" t="n">
        <v>0</v>
      </c>
      <c r="CQ241" s="5" t="n">
        <v>1.387</v>
      </c>
      <c r="CR241" s="5" t="n">
        <v>1</v>
      </c>
      <c r="CS241" s="5" t="n">
        <v>10.123</v>
      </c>
      <c r="CT241" s="5" t="n">
        <v>4.251</v>
      </c>
      <c r="CU241" s="5" t="n">
        <v>10.123</v>
      </c>
    </row>
    <row r="242">
      <c r="A242" s="5" t="inlineStr">
        <is>
          <t>EGY2021</t>
        </is>
      </c>
      <c r="B242" s="5" t="inlineStr">
        <is>
          <t>EGY</t>
        </is>
      </c>
      <c r="C242" s="5" t="inlineStr">
        <is>
          <t>EGY</t>
        </is>
      </c>
      <c r="D242" s="5" t="inlineStr">
        <is>
          <t>Egypt</t>
        </is>
      </c>
      <c r="E242" s="5" t="n">
        <v>2021</v>
      </c>
      <c r="F242" s="5" t="n">
        <v>0.14</v>
      </c>
      <c r="G242" s="5" t="n">
        <v>5.897</v>
      </c>
      <c r="H242" s="5" t="n">
        <v>1.143</v>
      </c>
      <c r="I242" s="5" t="n">
        <v>0</v>
      </c>
      <c r="J242" s="5" t="n">
        <v>5.897</v>
      </c>
      <c r="K242" s="5" t="n">
        <v>0</v>
      </c>
      <c r="L242" s="5" t="n">
        <v>1</v>
      </c>
      <c r="M242" s="5" t="n">
        <v>7.964</v>
      </c>
      <c r="N242" s="5" t="n">
        <v>3.43</v>
      </c>
      <c r="O242" s="5" t="n">
        <v>0.227</v>
      </c>
      <c r="P242" s="5" t="n">
        <v>8.191000000000001</v>
      </c>
      <c r="Q242" s="5" t="n">
        <v>0</v>
      </c>
      <c r="R242" s="5" t="n">
        <v>1</v>
      </c>
      <c r="S242" s="5" t="n">
        <v>11.613</v>
      </c>
      <c r="T242" s="5" t="n">
        <v>6.86</v>
      </c>
      <c r="U242" s="5" t="n">
        <v>0</v>
      </c>
      <c r="V242" s="5" t="n">
        <v>13.239</v>
      </c>
      <c r="W242" s="5" t="n">
        <v>0.14</v>
      </c>
      <c r="X242" s="5" t="n">
        <v>1</v>
      </c>
      <c r="Y242" s="5" t="n">
        <v>7.854</v>
      </c>
      <c r="Z242" s="5" t="n">
        <v>0.964</v>
      </c>
      <c r="AA242" s="5" t="n">
        <v>-4.993</v>
      </c>
      <c r="AB242" s="5" t="n">
        <v>2.861</v>
      </c>
      <c r="AC242" s="5" t="n">
        <v>0</v>
      </c>
      <c r="AD242" s="5" t="n">
        <v>0</v>
      </c>
      <c r="AE242" s="5" t="n">
        <v>8.462</v>
      </c>
      <c r="AF242" s="5" t="n">
        <v>1.818</v>
      </c>
      <c r="AG242" s="5" t="n">
        <v>-4.115</v>
      </c>
      <c r="AH242" s="5" t="n">
        <v>4.347</v>
      </c>
      <c r="AI242" s="5" t="n">
        <v>0</v>
      </c>
      <c r="AJ242" s="5" t="n">
        <v>0</v>
      </c>
      <c r="AK242" s="5" t="n">
        <v>12.106</v>
      </c>
      <c r="AL242" s="5" t="n">
        <v>6.079</v>
      </c>
      <c r="AM242" s="5" t="n">
        <v>-7.942</v>
      </c>
      <c r="AN242" s="5" t="n">
        <v>4.747</v>
      </c>
      <c r="AO242" s="5" t="n">
        <v>0</v>
      </c>
      <c r="AP242" s="5" t="n">
        <v>0</v>
      </c>
      <c r="AQ242" s="5" t="n">
        <v>0.621</v>
      </c>
      <c r="AR242" s="5" t="n">
        <v>0.114</v>
      </c>
      <c r="AS242" s="5" t="n">
        <v>-0.125</v>
      </c>
      <c r="AT242" s="5" t="n">
        <v>0.5649999999999999</v>
      </c>
      <c r="AU242" s="5" t="n">
        <v>0</v>
      </c>
      <c r="AV242" s="5" t="n">
        <v>0</v>
      </c>
      <c r="AW242" s="5" t="n">
        <v>0.593</v>
      </c>
      <c r="AX242" s="5" t="n">
        <v>0.114</v>
      </c>
      <c r="AY242" s="5" t="n">
        <v>-0.215</v>
      </c>
      <c r="AZ242" s="5" t="n">
        <v>0.431</v>
      </c>
      <c r="BA242" s="5" t="n">
        <v>0</v>
      </c>
      <c r="BB242" s="5" t="n">
        <v>0</v>
      </c>
      <c r="BC242" s="5" t="n">
        <v>0.44</v>
      </c>
      <c r="BD242" s="5" t="n">
        <v>0.114</v>
      </c>
      <c r="BE242" s="5" t="n">
        <v>-0.289</v>
      </c>
      <c r="BF242" s="5" t="n">
        <v>0.172</v>
      </c>
      <c r="BG242" s="5" t="n">
        <v>0</v>
      </c>
      <c r="BH242" s="5" t="n">
        <v>0</v>
      </c>
      <c r="BI242" s="5" t="n">
        <v>0.5600000000000001</v>
      </c>
      <c r="BJ242" s="5" t="n">
        <v>0.114</v>
      </c>
      <c r="BK242" s="5" t="n">
        <v>-0.182</v>
      </c>
      <c r="BL242" s="5" t="n">
        <v>0.431</v>
      </c>
      <c r="BM242" s="5" t="n">
        <v>0</v>
      </c>
      <c r="BN242" s="5" t="n">
        <v>0</v>
      </c>
      <c r="BO242" s="5" t="n">
        <v>0</v>
      </c>
      <c r="BP242" s="5" t="n">
        <v>-0.05</v>
      </c>
      <c r="BQ242" s="5" t="n">
        <v>0.07000000000000001</v>
      </c>
      <c r="BR242" s="5" t="n">
        <v>0</v>
      </c>
      <c r="BS242" s="5" t="n">
        <v>0.833</v>
      </c>
      <c r="BT242" s="5" t="n">
        <v>0</v>
      </c>
      <c r="BU242" s="5" t="n">
        <v>-0.05</v>
      </c>
      <c r="BV242" s="5" t="n">
        <v>0.075</v>
      </c>
      <c r="BW242" s="5" t="n">
        <v>0</v>
      </c>
      <c r="BX242" s="5" t="n">
        <v>0.833</v>
      </c>
      <c r="BY242" s="5" t="n">
        <v>11.787</v>
      </c>
      <c r="BZ242" s="5" t="n">
        <v>0</v>
      </c>
      <c r="CA242" s="5" t="n">
        <v>11.787</v>
      </c>
      <c r="CB242" s="5" t="n">
        <v>0</v>
      </c>
      <c r="CC242" s="5" t="n">
        <v>81.69499999999999</v>
      </c>
      <c r="CD242" s="5" t="n">
        <v>7.95</v>
      </c>
      <c r="CE242" s="5" t="n">
        <v>-51.738</v>
      </c>
      <c r="CF242" s="5" t="n">
        <v>34.152</v>
      </c>
      <c r="CG242" s="5" t="n">
        <v>0</v>
      </c>
      <c r="CH242" s="5" t="n">
        <v>0</v>
      </c>
      <c r="CI242" s="5" t="n">
        <v>0</v>
      </c>
      <c r="CJ242" s="5" t="n">
        <v>0</v>
      </c>
      <c r="CK242" s="5" t="n">
        <v>0</v>
      </c>
      <c r="CL242" s="5" t="n">
        <v>0</v>
      </c>
      <c r="CM242" s="5" t="n">
        <v>0</v>
      </c>
      <c r="CN242" s="5" t="n">
        <v>0</v>
      </c>
      <c r="CO242" s="5" t="n">
        <v>0</v>
      </c>
      <c r="CP242" s="5" t="n">
        <v>0</v>
      </c>
      <c r="CQ242" s="5" t="n">
        <v>1.198</v>
      </c>
      <c r="CR242" s="5" t="n">
        <v>0.9370000000000001</v>
      </c>
      <c r="CS242" s="5" t="n">
        <v>6.788</v>
      </c>
      <c r="CT242" s="5" t="n">
        <v>4.753</v>
      </c>
      <c r="CU242" s="5" t="n">
        <v>14.129</v>
      </c>
    </row>
    <row r="243">
      <c r="A243" s="5" t="inlineStr">
        <is>
          <t>EGY2022</t>
        </is>
      </c>
      <c r="B243" s="5" t="inlineStr">
        <is>
          <t>EGY</t>
        </is>
      </c>
      <c r="C243" s="5" t="inlineStr">
        <is>
          <t>EGY</t>
        </is>
      </c>
      <c r="D243" s="5" t="inlineStr">
        <is>
          <t>Egypt</t>
        </is>
      </c>
      <c r="E243" s="5" t="n">
        <v>2022</v>
      </c>
      <c r="F243" s="5" t="n">
        <v>0.14</v>
      </c>
      <c r="G243" s="5" t="n">
        <v>11.72</v>
      </c>
      <c r="H243" s="5" t="n">
        <v>1.235</v>
      </c>
      <c r="I243" s="5" t="n">
        <v>0</v>
      </c>
      <c r="J243" s="5" t="n">
        <v>11.72</v>
      </c>
      <c r="K243" s="5" t="n">
        <v>0</v>
      </c>
      <c r="L243" s="5" t="n">
        <v>1</v>
      </c>
      <c r="M243" s="5" t="n">
        <v>9.782999999999999</v>
      </c>
      <c r="N243" s="5" t="n">
        <v>3.704</v>
      </c>
      <c r="O243" s="5" t="n">
        <v>0.304</v>
      </c>
      <c r="P243" s="5" t="n">
        <v>10.087</v>
      </c>
      <c r="Q243" s="5" t="n">
        <v>0</v>
      </c>
      <c r="R243" s="5" t="n">
        <v>1</v>
      </c>
      <c r="S243" s="5" t="n">
        <v>17.893</v>
      </c>
      <c r="T243" s="5" t="n">
        <v>7.408</v>
      </c>
      <c r="U243" s="5" t="n">
        <v>0.185</v>
      </c>
      <c r="V243" s="5" t="n">
        <v>20.398</v>
      </c>
      <c r="W243" s="5" t="n">
        <v>0.14</v>
      </c>
      <c r="X243" s="5" t="n">
        <v>1</v>
      </c>
      <c r="Y243" s="5" t="n">
        <v>10.107</v>
      </c>
      <c r="Z243" s="5" t="n">
        <v>1.24</v>
      </c>
      <c r="AA243" s="5" t="n">
        <v>-7.658</v>
      </c>
      <c r="AB243" s="5" t="n">
        <v>2.449</v>
      </c>
      <c r="AC243" s="5" t="n">
        <v>0</v>
      </c>
      <c r="AD243" s="5" t="n">
        <v>0</v>
      </c>
      <c r="AE243" s="5" t="n">
        <v>10.787</v>
      </c>
      <c r="AF243" s="5" t="n">
        <v>2.317</v>
      </c>
      <c r="AG243" s="5" t="n">
        <v>-6.093</v>
      </c>
      <c r="AH243" s="5" t="n">
        <v>4.694</v>
      </c>
      <c r="AI243" s="5" t="n">
        <v>0</v>
      </c>
      <c r="AJ243" s="5" t="n">
        <v>0</v>
      </c>
      <c r="AK243" s="5" t="n">
        <v>14.866</v>
      </c>
      <c r="AL243" s="5" t="n">
        <v>7.465</v>
      </c>
      <c r="AM243" s="5" t="n">
        <v>-11.29</v>
      </c>
      <c r="AN243" s="5" t="n">
        <v>4.076</v>
      </c>
      <c r="AO243" s="5" t="n">
        <v>0</v>
      </c>
      <c r="AP243" s="5" t="n">
        <v>0</v>
      </c>
      <c r="AQ243" s="5" t="n">
        <v>0.847</v>
      </c>
      <c r="AR243" s="5" t="n">
        <v>0.123</v>
      </c>
      <c r="AS243" s="5" t="n">
        <v>-0.384</v>
      </c>
      <c r="AT243" s="5" t="n">
        <v>0.528</v>
      </c>
      <c r="AU243" s="5" t="n">
        <v>0</v>
      </c>
      <c r="AV243" s="5" t="n">
        <v>0</v>
      </c>
      <c r="AW243" s="5" t="n">
        <v>0.947</v>
      </c>
      <c r="AX243" s="5" t="n">
        <v>0.123</v>
      </c>
      <c r="AY243" s="5" t="n">
        <v>-0.627</v>
      </c>
      <c r="AZ243" s="5" t="n">
        <v>0.364</v>
      </c>
      <c r="BA243" s="5" t="n">
        <v>0</v>
      </c>
      <c r="BB243" s="5" t="n">
        <v>0</v>
      </c>
      <c r="BC243" s="5" t="n">
        <v>0.589</v>
      </c>
      <c r="BD243" s="5" t="n">
        <v>0.123</v>
      </c>
      <c r="BE243" s="5" t="n">
        <v>-0.453</v>
      </c>
      <c r="BF243" s="5" t="n">
        <v>0.154</v>
      </c>
      <c r="BG243" s="5" t="n">
        <v>0</v>
      </c>
      <c r="BH243" s="5" t="n">
        <v>0</v>
      </c>
      <c r="BI243" s="5" t="n">
        <v>0.6889999999999999</v>
      </c>
      <c r="BJ243" s="5" t="n">
        <v>0.123</v>
      </c>
      <c r="BK243" s="5" t="n">
        <v>-0.369</v>
      </c>
      <c r="BL243" s="5" t="n">
        <v>0.364</v>
      </c>
      <c r="BM243" s="5" t="n">
        <v>0</v>
      </c>
      <c r="BN243" s="5" t="n">
        <v>0</v>
      </c>
      <c r="BO243" s="5" t="n">
        <v>0</v>
      </c>
      <c r="BP243" s="5" t="n">
        <v>-0.05</v>
      </c>
      <c r="BQ243" s="5" t="n">
        <v>0.056</v>
      </c>
      <c r="BR243" s="5" t="n">
        <v>0</v>
      </c>
      <c r="BS243" s="5" t="n">
        <v>0.833</v>
      </c>
      <c r="BT243" s="5" t="n">
        <v>0</v>
      </c>
      <c r="BU243" s="5" t="n">
        <v>-0.05</v>
      </c>
      <c r="BV243" s="5" t="n">
        <v>0.054</v>
      </c>
      <c r="BW243" s="5" t="n">
        <v>0</v>
      </c>
      <c r="BX243" s="5" t="n">
        <v>0.833</v>
      </c>
      <c r="BY243" s="5" t="n">
        <v>12.729</v>
      </c>
      <c r="BZ243" s="5" t="n">
        <v>0</v>
      </c>
      <c r="CA243" s="5" t="n">
        <v>12.729</v>
      </c>
      <c r="CB243" s="5" t="n">
        <v>0</v>
      </c>
      <c r="CC243" s="5" t="n">
        <v>102.477</v>
      </c>
      <c r="CD243" s="5" t="n">
        <v>7.95</v>
      </c>
      <c r="CE243" s="5" t="n">
        <v>-73.404</v>
      </c>
      <c r="CF243" s="5" t="n">
        <v>33.143</v>
      </c>
      <c r="CG243" s="5" t="n">
        <v>0</v>
      </c>
      <c r="CH243" s="5" t="n">
        <v>0</v>
      </c>
      <c r="CI243" s="5" t="n">
        <v>0</v>
      </c>
      <c r="CJ243" s="5" t="n">
        <v>0</v>
      </c>
      <c r="CK243" s="5" t="n">
        <v>0</v>
      </c>
      <c r="CL243" s="5" t="n">
        <v>0</v>
      </c>
      <c r="CM243" s="5" t="n">
        <v>0</v>
      </c>
      <c r="CN243" s="5" t="n">
        <v>0</v>
      </c>
      <c r="CO243" s="5" t="n">
        <v>0</v>
      </c>
      <c r="CP243" s="5" t="n">
        <v>0</v>
      </c>
      <c r="CQ243" s="5" t="n">
        <v>1.294</v>
      </c>
      <c r="CR243" s="5" t="n">
        <v>0.899</v>
      </c>
      <c r="CS243" s="5" t="n">
        <v>7.33</v>
      </c>
      <c r="CT243" s="5" t="n">
        <v>10.485</v>
      </c>
      <c r="CU243" s="5" t="n">
        <v>28.059</v>
      </c>
    </row>
    <row r="244">
      <c r="A244" s="5" t="inlineStr">
        <is>
          <t>EGY2023</t>
        </is>
      </c>
      <c r="B244" s="5" t="inlineStr">
        <is>
          <t>EGY</t>
        </is>
      </c>
      <c r="C244" s="5" t="inlineStr">
        <is>
          <t>EGY</t>
        </is>
      </c>
      <c r="D244" s="5" t="inlineStr">
        <is>
          <t>Egypt</t>
        </is>
      </c>
      <c r="E244" s="5" t="n">
        <v>2023</v>
      </c>
      <c r="F244" s="5" t="n">
        <v>0.14</v>
      </c>
      <c r="G244" s="5" t="n">
        <v>6.147</v>
      </c>
      <c r="H244" s="5" t="n">
        <v>1.286</v>
      </c>
      <c r="I244" s="5" t="n">
        <v>0</v>
      </c>
      <c r="J244" s="5" t="n">
        <v>6.147</v>
      </c>
      <c r="K244" s="5" t="n">
        <v>0</v>
      </c>
      <c r="L244" s="5" t="n">
        <v>1</v>
      </c>
      <c r="M244" s="5" t="n">
        <v>7.886</v>
      </c>
      <c r="N244" s="5" t="n">
        <v>3.857</v>
      </c>
      <c r="O244" s="5" t="n">
        <v>0.201</v>
      </c>
      <c r="P244" s="5" t="n">
        <v>8.087999999999999</v>
      </c>
      <c r="Q244" s="5" t="n">
        <v>0</v>
      </c>
      <c r="R244" s="5" t="n">
        <v>1</v>
      </c>
      <c r="S244" s="5" t="n">
        <v>12.575</v>
      </c>
      <c r="T244" s="5" t="n">
        <v>7.714</v>
      </c>
      <c r="U244" s="5" t="n">
        <v>0.195</v>
      </c>
      <c r="V244" s="5" t="n">
        <v>14.336</v>
      </c>
      <c r="W244" s="5" t="n">
        <v>0.14</v>
      </c>
      <c r="X244" s="5" t="n">
        <v>1</v>
      </c>
      <c r="Y244" s="5" t="n">
        <v>8.602</v>
      </c>
      <c r="Z244" s="5" t="n">
        <v>1.055</v>
      </c>
      <c r="AA244" s="5" t="n">
        <v>-6.208</v>
      </c>
      <c r="AB244" s="5" t="n">
        <v>2.394</v>
      </c>
      <c r="AC244" s="5" t="n">
        <v>0</v>
      </c>
      <c r="AD244" s="5" t="n">
        <v>0</v>
      </c>
      <c r="AE244" s="5" t="n">
        <v>9.337</v>
      </c>
      <c r="AF244" s="5" t="n">
        <v>2.006</v>
      </c>
      <c r="AG244" s="5" t="n">
        <v>-4.749</v>
      </c>
      <c r="AH244" s="5" t="n">
        <v>4.589</v>
      </c>
      <c r="AI244" s="5" t="n">
        <v>0</v>
      </c>
      <c r="AJ244" s="5" t="n">
        <v>0</v>
      </c>
      <c r="AK244" s="5" t="n">
        <v>13.748</v>
      </c>
      <c r="AL244" s="5" t="n">
        <v>6.904</v>
      </c>
      <c r="AM244" s="5" t="n">
        <v>-11.171</v>
      </c>
      <c r="AN244" s="5" t="n">
        <v>2.939</v>
      </c>
      <c r="AO244" s="5" t="n">
        <v>0</v>
      </c>
      <c r="AP244" s="5" t="n">
        <v>0</v>
      </c>
      <c r="AQ244" s="5" t="n">
        <v>0.749</v>
      </c>
      <c r="AR244" s="5" t="n">
        <v>0.129</v>
      </c>
      <c r="AS244" s="5" t="n">
        <v>-0.419</v>
      </c>
      <c r="AT244" s="5" t="n">
        <v>0.376</v>
      </c>
      <c r="AU244" s="5" t="n">
        <v>0</v>
      </c>
      <c r="AV244" s="5" t="n">
        <v>0</v>
      </c>
      <c r="AW244" s="5" t="n">
        <v>0.783</v>
      </c>
      <c r="AX244" s="5" t="n">
        <v>0.129</v>
      </c>
      <c r="AY244" s="5" t="n">
        <v>-0.5570000000000001</v>
      </c>
      <c r="AZ244" s="5" t="n">
        <v>0.257</v>
      </c>
      <c r="BA244" s="5" t="n">
        <v>0</v>
      </c>
      <c r="BB244" s="5" t="n">
        <v>0</v>
      </c>
      <c r="BC244" s="5" t="n">
        <v>0.527</v>
      </c>
      <c r="BD244" s="5" t="n">
        <v>0.129</v>
      </c>
      <c r="BE244" s="5" t="n">
        <v>-0.446</v>
      </c>
      <c r="BF244" s="5" t="n">
        <v>0.093</v>
      </c>
      <c r="BG244" s="5" t="n">
        <v>0</v>
      </c>
      <c r="BH244" s="5" t="n">
        <v>0</v>
      </c>
      <c r="BI244" s="5" t="n">
        <v>0.64</v>
      </c>
      <c r="BJ244" s="5" t="n">
        <v>0.129</v>
      </c>
      <c r="BK244" s="5" t="n">
        <v>-0.432</v>
      </c>
      <c r="BL244" s="5" t="n">
        <v>0.237</v>
      </c>
      <c r="BM244" s="5" t="n">
        <v>0</v>
      </c>
      <c r="BN244" s="5" t="n">
        <v>0</v>
      </c>
      <c r="BO244" s="5" t="n">
        <v>0</v>
      </c>
      <c r="BP244" s="5" t="n">
        <v>-0.05</v>
      </c>
      <c r="BQ244" s="5" t="n">
        <v>0.057</v>
      </c>
      <c r="BR244" s="5" t="n">
        <v>0</v>
      </c>
      <c r="BS244" s="5" t="n">
        <v>0.833</v>
      </c>
      <c r="BT244" s="5" t="n">
        <v>0</v>
      </c>
      <c r="BU244" s="5" t="n">
        <v>-0.05</v>
      </c>
      <c r="BV244" s="5" t="n">
        <v>0.048</v>
      </c>
      <c r="BW244" s="5" t="n">
        <v>0</v>
      </c>
      <c r="BX244" s="5" t="n">
        <v>0.833</v>
      </c>
      <c r="BY244" s="5" t="n">
        <v>13.254</v>
      </c>
      <c r="BZ244" s="5" t="n">
        <v>0</v>
      </c>
      <c r="CA244" s="5" t="n">
        <v>13.254</v>
      </c>
      <c r="CB244" s="5" t="n">
        <v>0</v>
      </c>
      <c r="CC244" s="5" t="n">
        <v>87.07899999999999</v>
      </c>
      <c r="CD244" s="5" t="n">
        <v>7.95</v>
      </c>
      <c r="CE244" s="5" t="n">
        <v>-62.989</v>
      </c>
      <c r="CF244" s="5" t="n">
        <v>27.463</v>
      </c>
      <c r="CG244" s="5" t="n">
        <v>0</v>
      </c>
      <c r="CH244" s="5" t="n">
        <v>0</v>
      </c>
      <c r="CI244" s="5" t="n">
        <v>0</v>
      </c>
      <c r="CJ244" s="5" t="n">
        <v>0</v>
      </c>
      <c r="CK244" s="5" t="n">
        <v>0</v>
      </c>
      <c r="CL244" s="5" t="n">
        <v>0</v>
      </c>
      <c r="CM244" s="5" t="n">
        <v>0</v>
      </c>
      <c r="CN244" s="5" t="n">
        <v>0</v>
      </c>
      <c r="CO244" s="5" t="n">
        <v>0</v>
      </c>
      <c r="CP244" s="5" t="n">
        <v>0</v>
      </c>
      <c r="CQ244" s="5" t="n">
        <v>1.348</v>
      </c>
      <c r="CR244" s="5" t="n">
        <v>0.856</v>
      </c>
      <c r="CS244" s="5" t="n">
        <v>7.633</v>
      </c>
      <c r="CT244" s="5" t="n">
        <v>4.861</v>
      </c>
      <c r="CU244" s="5" t="n">
        <v>9.260999999999999</v>
      </c>
    </row>
    <row r="245">
      <c r="A245" s="5" t="inlineStr">
        <is>
          <t>EGY2024</t>
        </is>
      </c>
      <c r="B245" s="5" t="inlineStr">
        <is>
          <t>EGY</t>
        </is>
      </c>
      <c r="C245" s="5" t="inlineStr">
        <is>
          <t>EGY</t>
        </is>
      </c>
      <c r="D245" s="5" t="inlineStr">
        <is>
          <t>Egypt</t>
        </is>
      </c>
      <c r="E245" s="5" t="n">
        <v>2024</v>
      </c>
      <c r="F245" s="5" t="n">
        <v>0.14</v>
      </c>
      <c r="G245" s="5" t="n">
        <v>5.575</v>
      </c>
      <c r="H245" s="5" t="n">
        <v>1.324</v>
      </c>
      <c r="I245" s="5" t="n">
        <v>0</v>
      </c>
      <c r="J245" s="5" t="n">
        <v>5.575</v>
      </c>
      <c r="K245" s="5" t="n">
        <v>0</v>
      </c>
      <c r="L245" s="5" t="n">
        <v>1</v>
      </c>
      <c r="M245" s="5" t="n">
        <v>7.124</v>
      </c>
      <c r="N245" s="5" t="n">
        <v>3.971</v>
      </c>
      <c r="O245" s="5" t="n">
        <v>0.158</v>
      </c>
      <c r="P245" s="5" t="n">
        <v>7.281</v>
      </c>
      <c r="Q245" s="5" t="n">
        <v>0</v>
      </c>
      <c r="R245" s="5" t="n">
        <v>1</v>
      </c>
      <c r="S245" s="5" t="n">
        <v>12.193</v>
      </c>
      <c r="T245" s="5" t="n">
        <v>7.942</v>
      </c>
      <c r="U245" s="5" t="n">
        <v>0.233</v>
      </c>
      <c r="V245" s="5" t="n">
        <v>13.9</v>
      </c>
      <c r="W245" s="5" t="n">
        <v>0.14</v>
      </c>
      <c r="X245" s="5" t="n">
        <v>1</v>
      </c>
      <c r="Y245" s="5" t="n">
        <v>8.355</v>
      </c>
      <c r="Z245" s="5" t="n">
        <v>1.025</v>
      </c>
      <c r="AA245" s="5" t="n">
        <v>-5.852</v>
      </c>
      <c r="AB245" s="5" t="n">
        <v>2.503</v>
      </c>
      <c r="AC245" s="5" t="n">
        <v>0</v>
      </c>
      <c r="AD245" s="5" t="n">
        <v>0</v>
      </c>
      <c r="AE245" s="5" t="n">
        <v>9.112</v>
      </c>
      <c r="AF245" s="5" t="n">
        <v>1.957</v>
      </c>
      <c r="AG245" s="5" t="n">
        <v>-4.315</v>
      </c>
      <c r="AH245" s="5" t="n">
        <v>4.797</v>
      </c>
      <c r="AI245" s="5" t="n">
        <v>0</v>
      </c>
      <c r="AJ245" s="5" t="n">
        <v>0</v>
      </c>
      <c r="AK245" s="5" t="n">
        <v>13.653</v>
      </c>
      <c r="AL245" s="5" t="n">
        <v>6.856</v>
      </c>
      <c r="AM245" s="5" t="n">
        <v>-11.725</v>
      </c>
      <c r="AN245" s="5" t="n">
        <v>2.198</v>
      </c>
      <c r="AO245" s="5" t="n">
        <v>0</v>
      </c>
      <c r="AP245" s="5" t="n">
        <v>0</v>
      </c>
      <c r="AQ245" s="5" t="n">
        <v>0.72</v>
      </c>
      <c r="AR245" s="5" t="n">
        <v>0.132</v>
      </c>
      <c r="AS245" s="5" t="n">
        <v>-0.443</v>
      </c>
      <c r="AT245" s="5" t="n">
        <v>0.316</v>
      </c>
      <c r="AU245" s="5" t="n">
        <v>0</v>
      </c>
      <c r="AV245" s="5" t="n">
        <v>0</v>
      </c>
      <c r="AW245" s="5" t="n">
        <v>0.734</v>
      </c>
      <c r="AX245" s="5" t="n">
        <v>0.132</v>
      </c>
      <c r="AY245" s="5" t="n">
        <v>-0.528</v>
      </c>
      <c r="AZ245" s="5" t="n">
        <v>0.235</v>
      </c>
      <c r="BA245" s="5" t="n">
        <v>0</v>
      </c>
      <c r="BB245" s="5" t="n">
        <v>0</v>
      </c>
      <c r="BC245" s="5" t="n">
        <v>0.51</v>
      </c>
      <c r="BD245" s="5" t="n">
        <v>0.132</v>
      </c>
      <c r="BE245" s="5" t="n">
        <v>-0.442</v>
      </c>
      <c r="BF245" s="5" t="n">
        <v>0.078</v>
      </c>
      <c r="BG245" s="5" t="n">
        <v>0</v>
      </c>
      <c r="BH245" s="5" t="n">
        <v>0</v>
      </c>
      <c r="BI245" s="5" t="n">
        <v>0.652</v>
      </c>
      <c r="BJ245" s="5" t="n">
        <v>0.132</v>
      </c>
      <c r="BK245" s="5" t="n">
        <v>-0.45</v>
      </c>
      <c r="BL245" s="5" t="n">
        <v>0.23</v>
      </c>
      <c r="BM245" s="5" t="n">
        <v>0</v>
      </c>
      <c r="BN245" s="5" t="n">
        <v>0</v>
      </c>
      <c r="BO245" s="5" t="n">
        <v>0</v>
      </c>
      <c r="BP245" s="5" t="n">
        <v>-0.052</v>
      </c>
      <c r="BQ245" s="5" t="n">
        <v>0.049</v>
      </c>
      <c r="BR245" s="5" t="n">
        <v>0</v>
      </c>
      <c r="BS245" s="5" t="n">
        <v>0.833</v>
      </c>
      <c r="BT245" s="5" t="n">
        <v>0</v>
      </c>
      <c r="BU245" s="5" t="n">
        <v>-0.052</v>
      </c>
      <c r="BV245" s="5" t="n">
        <v>0.043</v>
      </c>
      <c r="BW245" s="5" t="n">
        <v>0</v>
      </c>
      <c r="BX245" s="5" t="n">
        <v>0.833</v>
      </c>
      <c r="BY245" s="5" t="n">
        <v>13.646</v>
      </c>
      <c r="BZ245" s="5" t="n">
        <v>0</v>
      </c>
      <c r="CA245" s="5" t="n">
        <v>13.646</v>
      </c>
      <c r="CB245" s="5" t="n">
        <v>0</v>
      </c>
      <c r="CC245" s="5" t="n">
        <v>86.38500000000001</v>
      </c>
      <c r="CD245" s="5" t="n">
        <v>7.95</v>
      </c>
      <c r="CE245" s="5" t="n">
        <v>-64.53</v>
      </c>
      <c r="CF245" s="5" t="n">
        <v>24.916</v>
      </c>
      <c r="CG245" s="5" t="n">
        <v>0</v>
      </c>
      <c r="CH245" s="5" t="n">
        <v>0</v>
      </c>
      <c r="CI245" s="5" t="n">
        <v>0</v>
      </c>
      <c r="CJ245" s="5" t="n">
        <v>0</v>
      </c>
      <c r="CK245" s="5" t="n">
        <v>0</v>
      </c>
      <c r="CL245" s="5" t="n">
        <v>0</v>
      </c>
      <c r="CM245" s="5" t="n">
        <v>0</v>
      </c>
      <c r="CN245" s="5" t="n">
        <v>0</v>
      </c>
      <c r="CO245" s="5" t="n">
        <v>0</v>
      </c>
      <c r="CP245" s="5" t="n">
        <v>0</v>
      </c>
      <c r="CQ245" s="5" t="n">
        <v>1.387</v>
      </c>
      <c r="CR245" s="5" t="n">
        <v>0.856</v>
      </c>
      <c r="CS245" s="5" t="n">
        <v>7.598</v>
      </c>
      <c r="CT245" s="5" t="n">
        <v>4.251</v>
      </c>
      <c r="CU245" s="5" t="n">
        <v>7.598</v>
      </c>
    </row>
    <row r="246">
      <c r="A246" s="5" t="inlineStr">
        <is>
          <t>SLV2021</t>
        </is>
      </c>
      <c r="B246" s="5" t="inlineStr">
        <is>
          <t>SLV</t>
        </is>
      </c>
      <c r="C246" s="5" t="inlineStr">
        <is>
          <t>SLV</t>
        </is>
      </c>
      <c r="D246" s="5" t="inlineStr">
        <is>
          <t>El Salvador</t>
        </is>
      </c>
      <c r="E246" s="5" t="n">
        <v>2021</v>
      </c>
      <c r="F246" s="5" t="n">
        <v>0.13</v>
      </c>
      <c r="G246" s="5" t="n">
        <v>5.897</v>
      </c>
      <c r="H246" s="5" t="n">
        <v>1.143</v>
      </c>
      <c r="I246" s="5" t="n">
        <v>0.238</v>
      </c>
      <c r="J246" s="5" t="n">
        <v>6.134</v>
      </c>
      <c r="K246" s="5" t="n">
        <v>0</v>
      </c>
      <c r="L246" s="5" t="n">
        <v>1</v>
      </c>
      <c r="M246" s="5" t="n">
        <v>7.964</v>
      </c>
      <c r="N246" s="5" t="n">
        <v>3.43</v>
      </c>
      <c r="O246" s="5" t="n">
        <v>0</v>
      </c>
      <c r="P246" s="5" t="n">
        <v>7.964</v>
      </c>
      <c r="Q246" s="5" t="n">
        <v>0</v>
      </c>
      <c r="R246" s="5" t="n">
        <v>1</v>
      </c>
      <c r="S246" s="5" t="n">
        <v>11.613</v>
      </c>
      <c r="T246" s="5" t="n">
        <v>6.86</v>
      </c>
      <c r="U246" s="5" t="n">
        <v>0.238</v>
      </c>
      <c r="V246" s="5" t="n">
        <v>13.392</v>
      </c>
      <c r="W246" s="5" t="n">
        <v>0.13</v>
      </c>
      <c r="X246" s="5" t="n">
        <v>1</v>
      </c>
      <c r="Y246" s="5" t="n">
        <v>17.127</v>
      </c>
      <c r="Z246" s="5" t="n">
        <v>2.304</v>
      </c>
      <c r="AA246" s="5" t="n">
        <v>0</v>
      </c>
      <c r="AB246" s="5" t="n">
        <v>17.127</v>
      </c>
      <c r="AC246" s="5" t="n">
        <v>0</v>
      </c>
      <c r="AD246" s="5" t="n">
        <v>1</v>
      </c>
      <c r="AE246" s="5" t="n">
        <v>18.27</v>
      </c>
      <c r="AF246" s="5" t="n">
        <v>4.278</v>
      </c>
      <c r="AG246" s="5" t="n">
        <v>0</v>
      </c>
      <c r="AH246" s="5" t="n">
        <v>18.27</v>
      </c>
      <c r="AI246" s="5" t="n">
        <v>0</v>
      </c>
      <c r="AJ246" s="5" t="n">
        <v>1</v>
      </c>
      <c r="AK246" s="5" t="n">
        <v>25.13</v>
      </c>
      <c r="AL246" s="5" t="n">
        <v>13.503</v>
      </c>
      <c r="AM246" s="5" t="n">
        <v>0</v>
      </c>
      <c r="AN246" s="5" t="n">
        <v>28.397</v>
      </c>
      <c r="AO246" s="5" t="n">
        <v>0.13</v>
      </c>
      <c r="AP246" s="5" t="n">
        <v>1</v>
      </c>
      <c r="AQ246" s="5" t="n">
        <v>0.649</v>
      </c>
      <c r="AR246" s="5" t="n">
        <v>0.114</v>
      </c>
      <c r="AS246" s="5" t="n">
        <v>0.162</v>
      </c>
      <c r="AT246" s="5" t="n">
        <v>0.916</v>
      </c>
      <c r="AU246" s="5" t="n">
        <v>0.13</v>
      </c>
      <c r="AV246" s="5" t="n">
        <v>1</v>
      </c>
      <c r="AW246" s="5" t="n">
        <v>0.577</v>
      </c>
      <c r="AX246" s="5" t="n">
        <v>0.114</v>
      </c>
      <c r="AY246" s="5" t="n">
        <v>0.142</v>
      </c>
      <c r="AZ246" s="5" t="n">
        <v>0.8120000000000001</v>
      </c>
      <c r="BA246" s="5" t="n">
        <v>0.13</v>
      </c>
      <c r="BB246" s="5" t="n">
        <v>1</v>
      </c>
      <c r="BC246" s="5" t="n">
        <v>0.458</v>
      </c>
      <c r="BD246" s="5" t="n">
        <v>0.114</v>
      </c>
      <c r="BE246" s="5" t="n">
        <v>-0.196</v>
      </c>
      <c r="BF246" s="5" t="n">
        <v>0.296</v>
      </c>
      <c r="BG246" s="5" t="n">
        <v>0</v>
      </c>
      <c r="BH246" s="5" t="n">
        <v>0</v>
      </c>
      <c r="BI246" s="5" t="n">
        <v>0.491</v>
      </c>
      <c r="BJ246" s="5" t="n">
        <v>0.114</v>
      </c>
      <c r="BK246" s="5" t="n">
        <v>0</v>
      </c>
      <c r="BL246" s="5" t="n">
        <v>0.555</v>
      </c>
      <c r="BM246" s="5" t="n">
        <v>0.13</v>
      </c>
      <c r="BN246" s="5" t="n">
        <v>1</v>
      </c>
      <c r="BO246" s="5" t="n">
        <v>0</v>
      </c>
      <c r="BP246" s="5" t="n">
        <v>0</v>
      </c>
      <c r="BQ246" s="5" t="n">
        <v>0.127</v>
      </c>
      <c r="BR246" s="5" t="n">
        <v>0</v>
      </c>
      <c r="BS246" s="5" t="n">
        <v>1</v>
      </c>
      <c r="BT246" s="5" t="n">
        <v>0</v>
      </c>
      <c r="BU246" s="5" t="n">
        <v>0</v>
      </c>
      <c r="BV246" s="5" t="n">
        <v>0.15</v>
      </c>
      <c r="BW246" s="5" t="n">
        <v>0.13</v>
      </c>
      <c r="BX246" s="5" t="n">
        <v>1</v>
      </c>
      <c r="BY246" s="5" t="n">
        <v>11.787</v>
      </c>
      <c r="BZ246" s="5" t="n">
        <v>0</v>
      </c>
      <c r="CA246" s="5" t="n">
        <v>11.787</v>
      </c>
      <c r="CB246" s="5" t="n">
        <v>0</v>
      </c>
      <c r="CC246" s="5" t="n">
        <v>78.125</v>
      </c>
      <c r="CD246" s="5" t="n">
        <v>7.95</v>
      </c>
      <c r="CE246" s="5" t="n">
        <v>0</v>
      </c>
      <c r="CF246" s="5" t="n">
        <v>88.28100000000001</v>
      </c>
      <c r="CG246" s="5" t="n">
        <v>0.13</v>
      </c>
      <c r="CH246" s="5" t="n">
        <v>1</v>
      </c>
      <c r="CI246" s="5" t="n">
        <v>0</v>
      </c>
      <c r="CJ246" s="5" t="n">
        <v>0</v>
      </c>
      <c r="CK246" s="5" t="n">
        <v>0</v>
      </c>
      <c r="CL246" s="5" t="n">
        <v>0</v>
      </c>
      <c r="CM246" s="5" t="n">
        <v>0</v>
      </c>
      <c r="CN246" s="5" t="n">
        <v>0</v>
      </c>
      <c r="CO246" s="5" t="n">
        <v>0</v>
      </c>
      <c r="CP246" s="5" t="n">
        <v>0</v>
      </c>
      <c r="CQ246" s="5" t="n">
        <v>1.198</v>
      </c>
      <c r="CR246" s="5" t="n">
        <v>0</v>
      </c>
      <c r="CS246" s="5" t="n">
        <v>4.776</v>
      </c>
      <c r="CT246" s="5" t="n">
        <v>4.753</v>
      </c>
      <c r="CU246" s="5" t="n">
        <v>15.983</v>
      </c>
    </row>
    <row r="247">
      <c r="A247" s="5" t="inlineStr">
        <is>
          <t>SLV2022</t>
        </is>
      </c>
      <c r="B247" s="5" t="inlineStr">
        <is>
          <t>SLV</t>
        </is>
      </c>
      <c r="C247" s="5" t="inlineStr">
        <is>
          <t>SLV</t>
        </is>
      </c>
      <c r="D247" s="5" t="inlineStr">
        <is>
          <t>El Salvador</t>
        </is>
      </c>
      <c r="E247" s="5" t="n">
        <v>2022</v>
      </c>
      <c r="F247" s="5" t="n">
        <v>0.13</v>
      </c>
      <c r="G247" s="5" t="n">
        <v>11.72</v>
      </c>
      <c r="H247" s="5" t="n">
        <v>1.235</v>
      </c>
      <c r="I247" s="5" t="n">
        <v>0.5659999999999999</v>
      </c>
      <c r="J247" s="5" t="n">
        <v>12.286</v>
      </c>
      <c r="K247" s="5" t="n">
        <v>0</v>
      </c>
      <c r="L247" s="5" t="n">
        <v>1</v>
      </c>
      <c r="M247" s="5" t="n">
        <v>9.782999999999999</v>
      </c>
      <c r="N247" s="5" t="n">
        <v>3.704</v>
      </c>
      <c r="O247" s="5" t="n">
        <v>0</v>
      </c>
      <c r="P247" s="5" t="n">
        <v>9.782999999999999</v>
      </c>
      <c r="Q247" s="5" t="n">
        <v>0</v>
      </c>
      <c r="R247" s="5" t="n">
        <v>1</v>
      </c>
      <c r="S247" s="5" t="n">
        <v>17.893</v>
      </c>
      <c r="T247" s="5" t="n">
        <v>7.408</v>
      </c>
      <c r="U247" s="5" t="n">
        <v>0.744</v>
      </c>
      <c r="V247" s="5" t="n">
        <v>20.859</v>
      </c>
      <c r="W247" s="5" t="n">
        <v>0.13</v>
      </c>
      <c r="X247" s="5" t="n">
        <v>1</v>
      </c>
      <c r="Y247" s="5" t="n">
        <v>30.728</v>
      </c>
      <c r="Z247" s="5" t="n">
        <v>4.133</v>
      </c>
      <c r="AA247" s="5" t="n">
        <v>0</v>
      </c>
      <c r="AB247" s="5" t="n">
        <v>30.728</v>
      </c>
      <c r="AC247" s="5" t="n">
        <v>0</v>
      </c>
      <c r="AD247" s="5" t="n">
        <v>1</v>
      </c>
      <c r="AE247" s="5" t="n">
        <v>31.963</v>
      </c>
      <c r="AF247" s="5" t="n">
        <v>7.485</v>
      </c>
      <c r="AG247" s="5" t="n">
        <v>0</v>
      </c>
      <c r="AH247" s="5" t="n">
        <v>31.963</v>
      </c>
      <c r="AI247" s="5" t="n">
        <v>0</v>
      </c>
      <c r="AJ247" s="5" t="n">
        <v>1</v>
      </c>
      <c r="AK247" s="5" t="n">
        <v>39.371</v>
      </c>
      <c r="AL247" s="5" t="n">
        <v>21.155</v>
      </c>
      <c r="AM247" s="5" t="n">
        <v>0.379</v>
      </c>
      <c r="AN247" s="5" t="n">
        <v>44.49</v>
      </c>
      <c r="AO247" s="5" t="n">
        <v>0.13</v>
      </c>
      <c r="AP247" s="5" t="n">
        <v>1</v>
      </c>
      <c r="AQ247" s="5" t="n">
        <v>0.896</v>
      </c>
      <c r="AR247" s="5" t="n">
        <v>0.123</v>
      </c>
      <c r="AS247" s="5" t="n">
        <v>0.055</v>
      </c>
      <c r="AT247" s="5" t="n">
        <v>1.075</v>
      </c>
      <c r="AU247" s="5" t="n">
        <v>0.13</v>
      </c>
      <c r="AV247" s="5" t="n">
        <v>1</v>
      </c>
      <c r="AW247" s="5" t="n">
        <v>0.89</v>
      </c>
      <c r="AX247" s="5" t="n">
        <v>0.123</v>
      </c>
      <c r="AY247" s="5" t="n">
        <v>0.054</v>
      </c>
      <c r="AZ247" s="5" t="n">
        <v>1.067</v>
      </c>
      <c r="BA247" s="5" t="n">
        <v>0.13</v>
      </c>
      <c r="BB247" s="5" t="n">
        <v>1</v>
      </c>
      <c r="BC247" s="5" t="n">
        <v>0.62</v>
      </c>
      <c r="BD247" s="5" t="n">
        <v>0.123</v>
      </c>
      <c r="BE247" s="5" t="n">
        <v>-0.403</v>
      </c>
      <c r="BF247" s="5" t="n">
        <v>0.246</v>
      </c>
      <c r="BG247" s="5" t="n">
        <v>0</v>
      </c>
      <c r="BH247" s="5" t="n">
        <v>0</v>
      </c>
      <c r="BI247" s="5" t="n">
        <v>0.608</v>
      </c>
      <c r="BJ247" s="5" t="n">
        <v>0.123</v>
      </c>
      <c r="BK247" s="5" t="n">
        <v>0.006</v>
      </c>
      <c r="BL247" s="5" t="n">
        <v>0.6860000000000001</v>
      </c>
      <c r="BM247" s="5" t="n">
        <v>0.13</v>
      </c>
      <c r="BN247" s="5" t="n">
        <v>1</v>
      </c>
      <c r="BO247" s="5" t="n">
        <v>0</v>
      </c>
      <c r="BP247" s="5" t="n">
        <v>0</v>
      </c>
      <c r="BQ247" s="5" t="n">
        <v>0.165</v>
      </c>
      <c r="BR247" s="5" t="n">
        <v>0</v>
      </c>
      <c r="BS247" s="5" t="n">
        <v>1</v>
      </c>
      <c r="BT247" s="5" t="n">
        <v>0</v>
      </c>
      <c r="BU247" s="5" t="n">
        <v>0</v>
      </c>
      <c r="BV247" s="5" t="n">
        <v>0.16</v>
      </c>
      <c r="BW247" s="5" t="n">
        <v>0.13</v>
      </c>
      <c r="BX247" s="5" t="n">
        <v>1</v>
      </c>
      <c r="BY247" s="5" t="n">
        <v>12.729</v>
      </c>
      <c r="BZ247" s="5" t="n">
        <v>0</v>
      </c>
      <c r="CA247" s="5" t="n">
        <v>12.729</v>
      </c>
      <c r="CB247" s="5" t="n">
        <v>0</v>
      </c>
      <c r="CC247" s="5" t="n">
        <v>97.90000000000001</v>
      </c>
      <c r="CD247" s="5" t="n">
        <v>7.95</v>
      </c>
      <c r="CE247" s="5" t="n">
        <v>0.9419999999999999</v>
      </c>
      <c r="CF247" s="5" t="n">
        <v>110.627</v>
      </c>
      <c r="CG247" s="5" t="n">
        <v>0.13</v>
      </c>
      <c r="CH247" s="5" t="n">
        <v>1</v>
      </c>
      <c r="CI247" s="5" t="n">
        <v>0</v>
      </c>
      <c r="CJ247" s="5" t="n">
        <v>0</v>
      </c>
      <c r="CK247" s="5" t="n">
        <v>0</v>
      </c>
      <c r="CL247" s="5" t="n">
        <v>0</v>
      </c>
      <c r="CM247" s="5" t="n">
        <v>0</v>
      </c>
      <c r="CN247" s="5" t="n">
        <v>0</v>
      </c>
      <c r="CO247" s="5" t="n">
        <v>0</v>
      </c>
      <c r="CP247" s="5" t="n">
        <v>0</v>
      </c>
      <c r="CQ247" s="5" t="n">
        <v>1.294</v>
      </c>
      <c r="CR247" s="5" t="n">
        <v>0</v>
      </c>
      <c r="CS247" s="5" t="n">
        <v>5.158</v>
      </c>
      <c r="CT247" s="5" t="n">
        <v>10.485</v>
      </c>
      <c r="CU247" s="5" t="n">
        <v>29.494</v>
      </c>
    </row>
    <row r="248">
      <c r="A248" s="5" t="inlineStr">
        <is>
          <t>SLV2023</t>
        </is>
      </c>
      <c r="B248" s="5" t="inlineStr">
        <is>
          <t>SLV</t>
        </is>
      </c>
      <c r="C248" s="5" t="inlineStr">
        <is>
          <t>SLV</t>
        </is>
      </c>
      <c r="D248" s="5" t="inlineStr">
        <is>
          <t>El Salvador</t>
        </is>
      </c>
      <c r="E248" s="5" t="n">
        <v>2023</v>
      </c>
      <c r="F248" s="5" t="n">
        <v>0.13</v>
      </c>
      <c r="G248" s="5" t="n">
        <v>6.147</v>
      </c>
      <c r="H248" s="5" t="n">
        <v>1.286</v>
      </c>
      <c r="I248" s="5" t="n">
        <v>0.273</v>
      </c>
      <c r="J248" s="5" t="n">
        <v>6.42</v>
      </c>
      <c r="K248" s="5" t="n">
        <v>0</v>
      </c>
      <c r="L248" s="5" t="n">
        <v>1</v>
      </c>
      <c r="M248" s="5" t="n">
        <v>7.886</v>
      </c>
      <c r="N248" s="5" t="n">
        <v>3.857</v>
      </c>
      <c r="O248" s="5" t="n">
        <v>0</v>
      </c>
      <c r="P248" s="5" t="n">
        <v>7.886</v>
      </c>
      <c r="Q248" s="5" t="n">
        <v>0</v>
      </c>
      <c r="R248" s="5" t="n">
        <v>1</v>
      </c>
      <c r="S248" s="5" t="n">
        <v>12.575</v>
      </c>
      <c r="T248" s="5" t="n">
        <v>7.714</v>
      </c>
      <c r="U248" s="5" t="n">
        <v>0.458</v>
      </c>
      <c r="V248" s="5" t="n">
        <v>14.519</v>
      </c>
      <c r="W248" s="5" t="n">
        <v>0.13</v>
      </c>
      <c r="X248" s="5" t="n">
        <v>1</v>
      </c>
      <c r="Y248" s="5" t="n">
        <v>12.478</v>
      </c>
      <c r="Z248" s="5" t="n">
        <v>1.678</v>
      </c>
      <c r="AA248" s="5" t="n">
        <v>0</v>
      </c>
      <c r="AB248" s="5" t="n">
        <v>12.478</v>
      </c>
      <c r="AC248" s="5" t="n">
        <v>0</v>
      </c>
      <c r="AD248" s="5" t="n">
        <v>1</v>
      </c>
      <c r="AE248" s="5" t="n">
        <v>13.763</v>
      </c>
      <c r="AF248" s="5" t="n">
        <v>3.223</v>
      </c>
      <c r="AG248" s="5" t="n">
        <v>0</v>
      </c>
      <c r="AH248" s="5" t="n">
        <v>13.763</v>
      </c>
      <c r="AI248" s="5" t="n">
        <v>0</v>
      </c>
      <c r="AJ248" s="5" t="n">
        <v>1</v>
      </c>
      <c r="AK248" s="5" t="n">
        <v>21.477</v>
      </c>
      <c r="AL248" s="5" t="n">
        <v>11.54</v>
      </c>
      <c r="AM248" s="5" t="n">
        <v>0.309</v>
      </c>
      <c r="AN248" s="5" t="n">
        <v>24.269</v>
      </c>
      <c r="AO248" s="5" t="n">
        <v>0.13</v>
      </c>
      <c r="AP248" s="5" t="n">
        <v>1</v>
      </c>
      <c r="AQ248" s="5" t="n">
        <v>0.791</v>
      </c>
      <c r="AR248" s="5" t="n">
        <v>0.129</v>
      </c>
      <c r="AS248" s="5" t="n">
        <v>0.183</v>
      </c>
      <c r="AT248" s="5" t="n">
        <v>1.1</v>
      </c>
      <c r="AU248" s="5" t="n">
        <v>0.13</v>
      </c>
      <c r="AV248" s="5" t="n">
        <v>1</v>
      </c>
      <c r="AW248" s="5" t="n">
        <v>0.618</v>
      </c>
      <c r="AX248" s="5" t="n">
        <v>0.129</v>
      </c>
      <c r="AY248" s="5" t="n">
        <v>0.34</v>
      </c>
      <c r="AZ248" s="5" t="n">
        <v>1.083</v>
      </c>
      <c r="BA248" s="5" t="n">
        <v>0.13</v>
      </c>
      <c r="BB248" s="5" t="n">
        <v>1</v>
      </c>
      <c r="BC248" s="5" t="n">
        <v>0.554</v>
      </c>
      <c r="BD248" s="5" t="n">
        <v>0.129</v>
      </c>
      <c r="BE248" s="5" t="n">
        <v>-0.343</v>
      </c>
      <c r="BF248" s="5" t="n">
        <v>0.239</v>
      </c>
      <c r="BG248" s="5" t="n">
        <v>0</v>
      </c>
      <c r="BH248" s="5" t="n">
        <v>0</v>
      </c>
      <c r="BI248" s="5" t="n">
        <v>0.5570000000000001</v>
      </c>
      <c r="BJ248" s="5" t="n">
        <v>0.129</v>
      </c>
      <c r="BK248" s="5" t="n">
        <v>0.008</v>
      </c>
      <c r="BL248" s="5" t="n">
        <v>0.63</v>
      </c>
      <c r="BM248" s="5" t="n">
        <v>0.13</v>
      </c>
      <c r="BN248" s="5" t="n">
        <v>1</v>
      </c>
      <c r="BO248" s="5" t="n">
        <v>0</v>
      </c>
      <c r="BP248" s="5" t="n">
        <v>0</v>
      </c>
      <c r="BQ248" s="5" t="n">
        <v>0.147</v>
      </c>
      <c r="BR248" s="5" t="n">
        <v>0</v>
      </c>
      <c r="BS248" s="5" t="n">
        <v>1</v>
      </c>
      <c r="BT248" s="5" t="n">
        <v>0</v>
      </c>
      <c r="BU248" s="5" t="n">
        <v>0</v>
      </c>
      <c r="BV248" s="5" t="n">
        <v>0.141</v>
      </c>
      <c r="BW248" s="5" t="n">
        <v>0.13</v>
      </c>
      <c r="BX248" s="5" t="n">
        <v>1</v>
      </c>
      <c r="BY248" s="5" t="n">
        <v>13.254</v>
      </c>
      <c r="BZ248" s="5" t="n">
        <v>0</v>
      </c>
      <c r="CA248" s="5" t="n">
        <v>13.254</v>
      </c>
      <c r="CB248" s="5" t="n">
        <v>0</v>
      </c>
      <c r="CC248" s="5" t="n">
        <v>83.248</v>
      </c>
      <c r="CD248" s="5" t="n">
        <v>7.95</v>
      </c>
      <c r="CE248" s="5" t="n">
        <v>1.198</v>
      </c>
      <c r="CF248" s="5" t="n">
        <v>94.06999999999999</v>
      </c>
      <c r="CG248" s="5" t="n">
        <v>0.13</v>
      </c>
      <c r="CH248" s="5" t="n">
        <v>1</v>
      </c>
      <c r="CI248" s="5" t="n">
        <v>0</v>
      </c>
      <c r="CJ248" s="5" t="n">
        <v>0</v>
      </c>
      <c r="CK248" s="5" t="n">
        <v>0</v>
      </c>
      <c r="CL248" s="5" t="n">
        <v>0</v>
      </c>
      <c r="CM248" s="5" t="n">
        <v>0</v>
      </c>
      <c r="CN248" s="5" t="n">
        <v>0</v>
      </c>
      <c r="CO248" s="5" t="n">
        <v>0</v>
      </c>
      <c r="CP248" s="5" t="n">
        <v>0</v>
      </c>
      <c r="CQ248" s="5" t="n">
        <v>1.348</v>
      </c>
      <c r="CR248" s="5" t="n">
        <v>0</v>
      </c>
      <c r="CS248" s="5" t="n">
        <v>5.37</v>
      </c>
      <c r="CT248" s="5" t="n">
        <v>4.861</v>
      </c>
      <c r="CU248" s="5" t="n">
        <v>11.192</v>
      </c>
    </row>
    <row r="249">
      <c r="A249" s="5" t="inlineStr">
        <is>
          <t>SLV2024</t>
        </is>
      </c>
      <c r="B249" s="5" t="inlineStr">
        <is>
          <t>SLV</t>
        </is>
      </c>
      <c r="C249" s="5" t="inlineStr">
        <is>
          <t>SLV</t>
        </is>
      </c>
      <c r="D249" s="5" t="inlineStr">
        <is>
          <t>El Salvador</t>
        </is>
      </c>
      <c r="E249" s="5" t="n">
        <v>2024</v>
      </c>
      <c r="F249" s="5" t="n">
        <v>0.13</v>
      </c>
      <c r="G249" s="5" t="n">
        <v>5.575</v>
      </c>
      <c r="H249" s="5" t="n">
        <v>1.324</v>
      </c>
      <c r="I249" s="5" t="n">
        <v>0.213</v>
      </c>
      <c r="J249" s="5" t="n">
        <v>5.787</v>
      </c>
      <c r="K249" s="5" t="n">
        <v>0</v>
      </c>
      <c r="L249" s="5" t="n">
        <v>1</v>
      </c>
      <c r="M249" s="5" t="n">
        <v>7.124</v>
      </c>
      <c r="N249" s="5" t="n">
        <v>3.971</v>
      </c>
      <c r="O249" s="5" t="n">
        <v>0</v>
      </c>
      <c r="P249" s="5" t="n">
        <v>7.124</v>
      </c>
      <c r="Q249" s="5" t="n">
        <v>0</v>
      </c>
      <c r="R249" s="5" t="n">
        <v>1</v>
      </c>
      <c r="S249" s="5" t="n">
        <v>12.193</v>
      </c>
      <c r="T249" s="5" t="n">
        <v>7.942</v>
      </c>
      <c r="U249" s="5" t="n">
        <v>0.432</v>
      </c>
      <c r="V249" s="5" t="n">
        <v>14.018</v>
      </c>
      <c r="W249" s="5" t="n">
        <v>0.13</v>
      </c>
      <c r="X249" s="5" t="n">
        <v>1</v>
      </c>
      <c r="Y249" s="5" t="n">
        <v>11.447</v>
      </c>
      <c r="Z249" s="5" t="n">
        <v>1.54</v>
      </c>
      <c r="AA249" s="5" t="n">
        <v>0</v>
      </c>
      <c r="AB249" s="5" t="n">
        <v>11.447</v>
      </c>
      <c r="AC249" s="5" t="n">
        <v>0</v>
      </c>
      <c r="AD249" s="5" t="n">
        <v>1</v>
      </c>
      <c r="AE249" s="5" t="n">
        <v>12.771</v>
      </c>
      <c r="AF249" s="5" t="n">
        <v>2.991</v>
      </c>
      <c r="AG249" s="5" t="n">
        <v>0</v>
      </c>
      <c r="AH249" s="5" t="n">
        <v>12.771</v>
      </c>
      <c r="AI249" s="5" t="n">
        <v>0</v>
      </c>
      <c r="AJ249" s="5" t="n">
        <v>1</v>
      </c>
      <c r="AK249" s="5" t="n">
        <v>20.712</v>
      </c>
      <c r="AL249" s="5" t="n">
        <v>11.129</v>
      </c>
      <c r="AM249" s="5" t="n">
        <v>0.367</v>
      </c>
      <c r="AN249" s="5" t="n">
        <v>23.405</v>
      </c>
      <c r="AO249" s="5" t="n">
        <v>0.13</v>
      </c>
      <c r="AP249" s="5" t="n">
        <v>1</v>
      </c>
      <c r="AQ249" s="5" t="n">
        <v>0.756</v>
      </c>
      <c r="AR249" s="5" t="n">
        <v>0.132</v>
      </c>
      <c r="AS249" s="5" t="n">
        <v>0.143</v>
      </c>
      <c r="AT249" s="5" t="n">
        <v>1.016</v>
      </c>
      <c r="AU249" s="5" t="n">
        <v>0.13</v>
      </c>
      <c r="AV249" s="5" t="n">
        <v>1</v>
      </c>
      <c r="AW249" s="5" t="n">
        <v>0.655</v>
      </c>
      <c r="AX249" s="5" t="n">
        <v>0.132</v>
      </c>
      <c r="AY249" s="5" t="n">
        <v>0.207</v>
      </c>
      <c r="AZ249" s="5" t="n">
        <v>0.974</v>
      </c>
      <c r="BA249" s="5" t="n">
        <v>0.13</v>
      </c>
      <c r="BB249" s="5" t="n">
        <v>1</v>
      </c>
      <c r="BC249" s="5" t="n">
        <v>0.534</v>
      </c>
      <c r="BD249" s="5" t="n">
        <v>0.132</v>
      </c>
      <c r="BE249" s="5" t="n">
        <v>-0.321</v>
      </c>
      <c r="BF249" s="5" t="n">
        <v>0.24</v>
      </c>
      <c r="BG249" s="5" t="n">
        <v>0</v>
      </c>
      <c r="BH249" s="5" t="n">
        <v>0</v>
      </c>
      <c r="BI249" s="5" t="n">
        <v>0.5679999999999999</v>
      </c>
      <c r="BJ249" s="5" t="n">
        <v>0.132</v>
      </c>
      <c r="BK249" s="5" t="n">
        <v>0.01</v>
      </c>
      <c r="BL249" s="5" t="n">
        <v>0.642</v>
      </c>
      <c r="BM249" s="5" t="n">
        <v>0.13</v>
      </c>
      <c r="BN249" s="5" t="n">
        <v>1</v>
      </c>
      <c r="BO249" s="5" t="n">
        <v>0</v>
      </c>
      <c r="BP249" s="5" t="n">
        <v>0</v>
      </c>
      <c r="BQ249" s="5" t="n">
        <v>0.194</v>
      </c>
      <c r="BR249" s="5" t="n">
        <v>0</v>
      </c>
      <c r="BS249" s="5" t="n">
        <v>1</v>
      </c>
      <c r="BT249" s="5" t="n">
        <v>0</v>
      </c>
      <c r="BU249" s="5" t="n">
        <v>0</v>
      </c>
      <c r="BV249" s="5" t="n">
        <v>0.205</v>
      </c>
      <c r="BW249" s="5" t="n">
        <v>0.13</v>
      </c>
      <c r="BX249" s="5" t="n">
        <v>1</v>
      </c>
      <c r="BY249" s="5" t="n">
        <v>13.646</v>
      </c>
      <c r="BZ249" s="5" t="n">
        <v>0</v>
      </c>
      <c r="CA249" s="5" t="n">
        <v>13.646</v>
      </c>
      <c r="CB249" s="5" t="n">
        <v>0</v>
      </c>
      <c r="CC249" s="5" t="n">
        <v>82.58799999999999</v>
      </c>
      <c r="CD249" s="5" t="n">
        <v>7.95</v>
      </c>
      <c r="CE249" s="5" t="n">
        <v>1.462</v>
      </c>
      <c r="CF249" s="5" t="n">
        <v>93.324</v>
      </c>
      <c r="CG249" s="5" t="n">
        <v>0.13</v>
      </c>
      <c r="CH249" s="5" t="n">
        <v>1</v>
      </c>
      <c r="CI249" s="5" t="n">
        <v>0</v>
      </c>
      <c r="CJ249" s="5" t="n">
        <v>0</v>
      </c>
      <c r="CK249" s="5" t="n">
        <v>0</v>
      </c>
      <c r="CL249" s="5" t="n">
        <v>0</v>
      </c>
      <c r="CM249" s="5" t="n">
        <v>0</v>
      </c>
      <c r="CN249" s="5" t="n">
        <v>0</v>
      </c>
      <c r="CO249" s="5" t="n">
        <v>0</v>
      </c>
      <c r="CP249" s="5" t="n">
        <v>0</v>
      </c>
      <c r="CQ249" s="5" t="n">
        <v>1.387</v>
      </c>
      <c r="CR249" s="5" t="n">
        <v>0</v>
      </c>
      <c r="CS249" s="5" t="n">
        <v>5.529</v>
      </c>
      <c r="CT249" s="5" t="n">
        <v>4.251</v>
      </c>
      <c r="CU249" s="5" t="n">
        <v>10.123</v>
      </c>
    </row>
    <row r="250">
      <c r="A250" s="5" t="inlineStr">
        <is>
          <t>GNQ2021</t>
        </is>
      </c>
      <c r="B250" s="5" t="inlineStr">
        <is>
          <t>GNQ</t>
        </is>
      </c>
      <c r="C250" s="5" t="inlineStr">
        <is>
          <t>GNQ</t>
        </is>
      </c>
      <c r="D250" s="5" t="inlineStr">
        <is>
          <t>Equatorial Guinea</t>
        </is>
      </c>
      <c r="E250" s="5" t="n">
        <v>2021</v>
      </c>
      <c r="F250" s="5" t="n">
        <v>0.15</v>
      </c>
      <c r="G250" s="5" t="n">
        <v>5.897</v>
      </c>
      <c r="H250" s="5" t="n">
        <v>1.143</v>
      </c>
      <c r="I250" s="5" t="n">
        <v>0</v>
      </c>
      <c r="J250" s="5" t="n">
        <v>5.897</v>
      </c>
      <c r="K250" s="5" t="n">
        <v>0</v>
      </c>
      <c r="L250" s="5" t="n">
        <v>1</v>
      </c>
      <c r="M250" s="5" t="n">
        <v>7.964</v>
      </c>
      <c r="N250" s="5" t="n">
        <v>3.43</v>
      </c>
      <c r="O250" s="5" t="n">
        <v>0</v>
      </c>
      <c r="P250" s="5" t="n">
        <v>7.964</v>
      </c>
      <c r="Q250" s="5" t="n">
        <v>0</v>
      </c>
      <c r="R250" s="5" t="n">
        <v>1</v>
      </c>
      <c r="S250" s="5" t="n">
        <v>11.613</v>
      </c>
      <c r="T250" s="5" t="n">
        <v>6.86</v>
      </c>
      <c r="U250" s="5" t="n">
        <v>0</v>
      </c>
      <c r="V250" s="5" t="n">
        <v>13.355</v>
      </c>
      <c r="W250" s="5" t="n">
        <v>0.15</v>
      </c>
      <c r="X250" s="5" t="n">
        <v>1</v>
      </c>
      <c r="Y250" s="5" t="n">
        <v>4.09</v>
      </c>
      <c r="Z250" s="5" t="n">
        <v>0.449</v>
      </c>
      <c r="AA250" s="5" t="n">
        <v>0</v>
      </c>
      <c r="AB250" s="5" t="n">
        <v>4.09</v>
      </c>
      <c r="AC250" s="5" t="n">
        <v>0</v>
      </c>
      <c r="AD250" s="5" t="n">
        <v>1</v>
      </c>
      <c r="AE250" s="5" t="n">
        <v>4.662</v>
      </c>
      <c r="AF250" s="5" t="n">
        <v>0.907</v>
      </c>
      <c r="AG250" s="5" t="n">
        <v>0</v>
      </c>
      <c r="AH250" s="5" t="n">
        <v>4.662</v>
      </c>
      <c r="AI250" s="5" t="n">
        <v>0</v>
      </c>
      <c r="AJ250" s="5" t="n">
        <v>1</v>
      </c>
      <c r="AK250" s="5" t="n">
        <v>8.092000000000001</v>
      </c>
      <c r="AL250" s="5" t="n">
        <v>3.817</v>
      </c>
      <c r="AM250" s="5" t="n">
        <v>0</v>
      </c>
      <c r="AN250" s="5" t="n">
        <v>9.305</v>
      </c>
      <c r="AO250" s="5" t="n">
        <v>0.15</v>
      </c>
      <c r="AP250" s="5" t="n">
        <v>1</v>
      </c>
      <c r="AQ250" s="5" t="n">
        <v>0.619</v>
      </c>
      <c r="AR250" s="5" t="n">
        <v>0.114</v>
      </c>
      <c r="AS250" s="5" t="n">
        <v>0.129</v>
      </c>
      <c r="AT250" s="5" t="n">
        <v>0.861</v>
      </c>
      <c r="AU250" s="5" t="n">
        <v>0.15</v>
      </c>
      <c r="AV250" s="5" t="n">
        <v>1</v>
      </c>
      <c r="AW250" s="5" t="n">
        <v>0.599</v>
      </c>
      <c r="AX250" s="5" t="n">
        <v>0.114</v>
      </c>
      <c r="AY250" s="5" t="n">
        <v>-0.052</v>
      </c>
      <c r="AZ250" s="5" t="n">
        <v>0.629</v>
      </c>
      <c r="BA250" s="5" t="n">
        <v>0.15</v>
      </c>
      <c r="BB250" s="5" t="n">
        <v>1</v>
      </c>
      <c r="BC250" s="5" t="n">
        <v>0.439</v>
      </c>
      <c r="BD250" s="5" t="n">
        <v>0.114</v>
      </c>
      <c r="BE250" s="5" t="n">
        <v>0</v>
      </c>
      <c r="BF250" s="5" t="n">
        <v>0.505</v>
      </c>
      <c r="BG250" s="5" t="n">
        <v>0.15</v>
      </c>
      <c r="BH250" s="5" t="n">
        <v>1</v>
      </c>
      <c r="BI250" s="5" t="n">
        <v>0.505</v>
      </c>
      <c r="BJ250" s="5" t="n">
        <v>0.114</v>
      </c>
      <c r="BK250" s="5" t="n">
        <v>-0.169</v>
      </c>
      <c r="BL250" s="5" t="n">
        <v>0.386</v>
      </c>
      <c r="BM250" s="5" t="n">
        <v>0</v>
      </c>
      <c r="BN250" s="5" t="n">
        <v>0</v>
      </c>
      <c r="BO250" s="5" t="n">
        <v>0</v>
      </c>
      <c r="BP250" s="5" t="n">
        <v>0</v>
      </c>
      <c r="BQ250" s="5" t="n">
        <v>0.082</v>
      </c>
      <c r="BR250" s="5" t="n">
        <v>0</v>
      </c>
      <c r="BS250" s="5" t="n">
        <v>1</v>
      </c>
      <c r="BT250" s="5" t="n">
        <v>0</v>
      </c>
      <c r="BU250" s="5" t="n">
        <v>0</v>
      </c>
      <c r="BV250" s="5" t="n">
        <v>0.109</v>
      </c>
      <c r="BW250" s="5" t="n">
        <v>0</v>
      </c>
      <c r="BX250" s="5" t="n">
        <v>1</v>
      </c>
      <c r="BY250" s="5" t="n">
        <v>11.787</v>
      </c>
      <c r="BZ250" s="5" t="n">
        <v>0</v>
      </c>
      <c r="CA250" s="5" t="n">
        <v>11.787</v>
      </c>
      <c r="CB250" s="5" t="n">
        <v>0</v>
      </c>
      <c r="CC250" s="5" t="n">
        <v>78.125</v>
      </c>
      <c r="CD250" s="5" t="n">
        <v>7.95</v>
      </c>
      <c r="CE250" s="5" t="n">
        <v>0</v>
      </c>
      <c r="CF250" s="5" t="n">
        <v>89.84399999999999</v>
      </c>
      <c r="CG250" s="5" t="n">
        <v>0.15</v>
      </c>
      <c r="CH250" s="5" t="n">
        <v>1</v>
      </c>
      <c r="CI250" s="5" t="n">
        <v>0</v>
      </c>
      <c r="CJ250" s="5" t="n">
        <v>0</v>
      </c>
      <c r="CK250" s="5" t="n">
        <v>0</v>
      </c>
      <c r="CL250" s="5" t="n">
        <v>0</v>
      </c>
      <c r="CM250" s="5" t="n">
        <v>0</v>
      </c>
      <c r="CN250" s="5" t="n">
        <v>0</v>
      </c>
      <c r="CO250" s="5" t="n">
        <v>0</v>
      </c>
      <c r="CP250" s="5" t="n">
        <v>0</v>
      </c>
      <c r="CQ250" s="5" t="n">
        <v>1.198</v>
      </c>
      <c r="CR250" s="5" t="n">
        <v>1</v>
      </c>
      <c r="CS250" s="5" t="n">
        <v>3.518</v>
      </c>
      <c r="CT250" s="5" t="n">
        <v>4.753</v>
      </c>
      <c r="CU250" s="5" t="n">
        <v>14.129</v>
      </c>
    </row>
    <row r="251">
      <c r="A251" s="5" t="inlineStr">
        <is>
          <t>GNQ2022</t>
        </is>
      </c>
      <c r="B251" s="5" t="inlineStr">
        <is>
          <t>GNQ</t>
        </is>
      </c>
      <c r="C251" s="5" t="inlineStr">
        <is>
          <t>GNQ</t>
        </is>
      </c>
      <c r="D251" s="5" t="inlineStr">
        <is>
          <t>Equatorial Guinea</t>
        </is>
      </c>
      <c r="E251" s="5" t="n">
        <v>2022</v>
      </c>
      <c r="F251" s="5" t="n">
        <v>0.15</v>
      </c>
      <c r="G251" s="5" t="n">
        <v>11.72</v>
      </c>
      <c r="H251" s="5" t="n">
        <v>1.235</v>
      </c>
      <c r="I251" s="5" t="n">
        <v>0</v>
      </c>
      <c r="J251" s="5" t="n">
        <v>11.72</v>
      </c>
      <c r="K251" s="5" t="n">
        <v>0</v>
      </c>
      <c r="L251" s="5" t="n">
        <v>1</v>
      </c>
      <c r="M251" s="5" t="n">
        <v>9.782999999999999</v>
      </c>
      <c r="N251" s="5" t="n">
        <v>3.704</v>
      </c>
      <c r="O251" s="5" t="n">
        <v>0</v>
      </c>
      <c r="P251" s="5" t="n">
        <v>9.782999999999999</v>
      </c>
      <c r="Q251" s="5" t="n">
        <v>0</v>
      </c>
      <c r="R251" s="5" t="n">
        <v>1</v>
      </c>
      <c r="S251" s="5" t="n">
        <v>17.893</v>
      </c>
      <c r="T251" s="5" t="n">
        <v>7.408</v>
      </c>
      <c r="U251" s="5" t="n">
        <v>0.199</v>
      </c>
      <c r="V251" s="5" t="n">
        <v>20.577</v>
      </c>
      <c r="W251" s="5" t="n">
        <v>0.15</v>
      </c>
      <c r="X251" s="5" t="n">
        <v>1</v>
      </c>
      <c r="Y251" s="5" t="n">
        <v>4.417</v>
      </c>
      <c r="Z251" s="5" t="n">
        <v>0.485</v>
      </c>
      <c r="AA251" s="5" t="n">
        <v>0</v>
      </c>
      <c r="AB251" s="5" t="n">
        <v>4.417</v>
      </c>
      <c r="AC251" s="5" t="n">
        <v>0</v>
      </c>
      <c r="AD251" s="5" t="n">
        <v>1</v>
      </c>
      <c r="AE251" s="5" t="n">
        <v>5.034</v>
      </c>
      <c r="AF251" s="5" t="n">
        <v>0.979</v>
      </c>
      <c r="AG251" s="5" t="n">
        <v>0</v>
      </c>
      <c r="AH251" s="5" t="n">
        <v>5.034</v>
      </c>
      <c r="AI251" s="5" t="n">
        <v>0</v>
      </c>
      <c r="AJ251" s="5" t="n">
        <v>1</v>
      </c>
      <c r="AK251" s="5" t="n">
        <v>8.738</v>
      </c>
      <c r="AL251" s="5" t="n">
        <v>4.122</v>
      </c>
      <c r="AM251" s="5" t="n">
        <v>0.097</v>
      </c>
      <c r="AN251" s="5" t="n">
        <v>10.049</v>
      </c>
      <c r="AO251" s="5" t="n">
        <v>0.15</v>
      </c>
      <c r="AP251" s="5" t="n">
        <v>1</v>
      </c>
      <c r="AQ251" s="5" t="n">
        <v>0.861</v>
      </c>
      <c r="AR251" s="5" t="n">
        <v>0.123</v>
      </c>
      <c r="AS251" s="5" t="n">
        <v>-0.179</v>
      </c>
      <c r="AT251" s="5" t="n">
        <v>0.785</v>
      </c>
      <c r="AU251" s="5" t="n">
        <v>0.15</v>
      </c>
      <c r="AV251" s="5" t="n">
        <v>1</v>
      </c>
      <c r="AW251" s="5" t="n">
        <v>0.986</v>
      </c>
      <c r="AX251" s="5" t="n">
        <v>0.123</v>
      </c>
      <c r="AY251" s="5" t="n">
        <v>-0.338</v>
      </c>
      <c r="AZ251" s="5" t="n">
        <v>0.746</v>
      </c>
      <c r="BA251" s="5" t="n">
        <v>0.15</v>
      </c>
      <c r="BB251" s="5" t="n">
        <v>1</v>
      </c>
      <c r="BC251" s="5" t="n">
        <v>0.598</v>
      </c>
      <c r="BD251" s="5" t="n">
        <v>0.123</v>
      </c>
      <c r="BE251" s="5" t="n">
        <v>0.007</v>
      </c>
      <c r="BF251" s="5" t="n">
        <v>0.6879999999999999</v>
      </c>
      <c r="BG251" s="5" t="n">
        <v>0.15</v>
      </c>
      <c r="BH251" s="5" t="n">
        <v>1</v>
      </c>
      <c r="BI251" s="5" t="n">
        <v>0.612</v>
      </c>
      <c r="BJ251" s="5" t="n">
        <v>0.123</v>
      </c>
      <c r="BK251" s="5" t="n">
        <v>-0.314</v>
      </c>
      <c r="BL251" s="5" t="n">
        <v>0.343</v>
      </c>
      <c r="BM251" s="5" t="n">
        <v>0</v>
      </c>
      <c r="BN251" s="5" t="n">
        <v>0</v>
      </c>
      <c r="BO251" s="5" t="n">
        <v>0</v>
      </c>
      <c r="BP251" s="5" t="n">
        <v>0</v>
      </c>
      <c r="BQ251" s="5" t="n">
        <v>0.089</v>
      </c>
      <c r="BR251" s="5" t="n">
        <v>0</v>
      </c>
      <c r="BS251" s="5" t="n">
        <v>1</v>
      </c>
      <c r="BT251" s="5" t="n">
        <v>0</v>
      </c>
      <c r="BU251" s="5" t="n">
        <v>0</v>
      </c>
      <c r="BV251" s="5" t="n">
        <v>0.117</v>
      </c>
      <c r="BW251" s="5" t="n">
        <v>0</v>
      </c>
      <c r="BX251" s="5" t="n">
        <v>1</v>
      </c>
      <c r="BY251" s="5" t="n">
        <v>12.729</v>
      </c>
      <c r="BZ251" s="5" t="n">
        <v>0</v>
      </c>
      <c r="CA251" s="5" t="n">
        <v>12.729</v>
      </c>
      <c r="CB251" s="5" t="n">
        <v>0</v>
      </c>
      <c r="CC251" s="5" t="n">
        <v>97.90000000000001</v>
      </c>
      <c r="CD251" s="5" t="n">
        <v>7.95</v>
      </c>
      <c r="CE251" s="5" t="n">
        <v>1.087</v>
      </c>
      <c r="CF251" s="5" t="n">
        <v>112.585</v>
      </c>
      <c r="CG251" s="5" t="n">
        <v>0.15</v>
      </c>
      <c r="CH251" s="5" t="n">
        <v>1</v>
      </c>
      <c r="CI251" s="5" t="n">
        <v>0</v>
      </c>
      <c r="CJ251" s="5" t="n">
        <v>0</v>
      </c>
      <c r="CK251" s="5" t="n">
        <v>0</v>
      </c>
      <c r="CL251" s="5" t="n">
        <v>0</v>
      </c>
      <c r="CM251" s="5" t="n">
        <v>0</v>
      </c>
      <c r="CN251" s="5" t="n">
        <v>0</v>
      </c>
      <c r="CO251" s="5" t="n">
        <v>0</v>
      </c>
      <c r="CP251" s="5" t="n">
        <v>0</v>
      </c>
      <c r="CQ251" s="5" t="n">
        <v>1.294</v>
      </c>
      <c r="CR251" s="5" t="n">
        <v>1</v>
      </c>
      <c r="CS251" s="5" t="n">
        <v>3.8</v>
      </c>
      <c r="CT251" s="5" t="n">
        <v>10.485</v>
      </c>
      <c r="CU251" s="5" t="n">
        <v>28.059</v>
      </c>
    </row>
    <row r="252">
      <c r="A252" s="5" t="inlineStr">
        <is>
          <t>GNQ2023</t>
        </is>
      </c>
      <c r="B252" s="5" t="inlineStr">
        <is>
          <t>GNQ</t>
        </is>
      </c>
      <c r="C252" s="5" t="inlineStr">
        <is>
          <t>GNQ</t>
        </is>
      </c>
      <c r="D252" s="5" t="inlineStr">
        <is>
          <t>Equatorial Guinea</t>
        </is>
      </c>
      <c r="E252" s="5" t="n">
        <v>2023</v>
      </c>
      <c r="F252" s="5" t="n">
        <v>0.15</v>
      </c>
      <c r="G252" s="5" t="n">
        <v>6.147</v>
      </c>
      <c r="H252" s="5" t="n">
        <v>1.286</v>
      </c>
      <c r="I252" s="5" t="n">
        <v>0</v>
      </c>
      <c r="J252" s="5" t="n">
        <v>6.147</v>
      </c>
      <c r="K252" s="5" t="n">
        <v>0</v>
      </c>
      <c r="L252" s="5" t="n">
        <v>1</v>
      </c>
      <c r="M252" s="5" t="n">
        <v>7.886</v>
      </c>
      <c r="N252" s="5" t="n">
        <v>3.857</v>
      </c>
      <c r="O252" s="5" t="n">
        <v>0</v>
      </c>
      <c r="P252" s="5" t="n">
        <v>7.886</v>
      </c>
      <c r="Q252" s="5" t="n">
        <v>0</v>
      </c>
      <c r="R252" s="5" t="n">
        <v>1</v>
      </c>
      <c r="S252" s="5" t="n">
        <v>12.575</v>
      </c>
      <c r="T252" s="5" t="n">
        <v>7.714</v>
      </c>
      <c r="U252" s="5" t="n">
        <v>0.209</v>
      </c>
      <c r="V252" s="5" t="n">
        <v>14.461</v>
      </c>
      <c r="W252" s="5" t="n">
        <v>0.15</v>
      </c>
      <c r="X252" s="5" t="n">
        <v>1</v>
      </c>
      <c r="Y252" s="5" t="n">
        <v>4.599</v>
      </c>
      <c r="Z252" s="5" t="n">
        <v>0.505</v>
      </c>
      <c r="AA252" s="5" t="n">
        <v>0</v>
      </c>
      <c r="AB252" s="5" t="n">
        <v>4.599</v>
      </c>
      <c r="AC252" s="5" t="n">
        <v>0</v>
      </c>
      <c r="AD252" s="5" t="n">
        <v>1</v>
      </c>
      <c r="AE252" s="5" t="n">
        <v>5.242</v>
      </c>
      <c r="AF252" s="5" t="n">
        <v>1.019</v>
      </c>
      <c r="AG252" s="5" t="n">
        <v>0</v>
      </c>
      <c r="AH252" s="5" t="n">
        <v>5.242</v>
      </c>
      <c r="AI252" s="5" t="n">
        <v>0</v>
      </c>
      <c r="AJ252" s="5" t="n">
        <v>1</v>
      </c>
      <c r="AK252" s="5" t="n">
        <v>9.099</v>
      </c>
      <c r="AL252" s="5" t="n">
        <v>4.292</v>
      </c>
      <c r="AM252" s="5" t="n">
        <v>0.151</v>
      </c>
      <c r="AN252" s="5" t="n">
        <v>10.464</v>
      </c>
      <c r="AO252" s="5" t="n">
        <v>0.15</v>
      </c>
      <c r="AP252" s="5" t="n">
        <v>1</v>
      </c>
      <c r="AQ252" s="5" t="n">
        <v>0.76</v>
      </c>
      <c r="AR252" s="5" t="n">
        <v>0.129</v>
      </c>
      <c r="AS252" s="5" t="n">
        <v>-0.055</v>
      </c>
      <c r="AT252" s="5" t="n">
        <v>0.8110000000000001</v>
      </c>
      <c r="AU252" s="5" t="n">
        <v>0.15</v>
      </c>
      <c r="AV252" s="5" t="n">
        <v>1</v>
      </c>
      <c r="AW252" s="5" t="n">
        <v>0.8110000000000001</v>
      </c>
      <c r="AX252" s="5" t="n">
        <v>0.129</v>
      </c>
      <c r="AY252" s="5" t="n">
        <v>-0.136</v>
      </c>
      <c r="AZ252" s="5" t="n">
        <v>0.776</v>
      </c>
      <c r="BA252" s="5" t="n">
        <v>0.15</v>
      </c>
      <c r="BB252" s="5" t="n">
        <v>1</v>
      </c>
      <c r="BC252" s="5" t="n">
        <v>0.535</v>
      </c>
      <c r="BD252" s="5" t="n">
        <v>0.129</v>
      </c>
      <c r="BE252" s="5" t="n">
        <v>0.008999999999999999</v>
      </c>
      <c r="BF252" s="5" t="n">
        <v>0.615</v>
      </c>
      <c r="BG252" s="5" t="n">
        <v>0.15</v>
      </c>
      <c r="BH252" s="5" t="n">
        <v>1</v>
      </c>
      <c r="BI252" s="5" t="n">
        <v>0.579</v>
      </c>
      <c r="BJ252" s="5" t="n">
        <v>0.129</v>
      </c>
      <c r="BK252" s="5" t="n">
        <v>-0.279</v>
      </c>
      <c r="BL252" s="5" t="n">
        <v>0.346</v>
      </c>
      <c r="BM252" s="5" t="n">
        <v>0</v>
      </c>
      <c r="BN252" s="5" t="n">
        <v>0</v>
      </c>
      <c r="BO252" s="5" t="n">
        <v>0</v>
      </c>
      <c r="BP252" s="5" t="n">
        <v>0</v>
      </c>
      <c r="BQ252" s="5" t="n">
        <v>0.092</v>
      </c>
      <c r="BR252" s="5" t="n">
        <v>0</v>
      </c>
      <c r="BS252" s="5" t="n">
        <v>1</v>
      </c>
      <c r="BT252" s="5" t="n">
        <v>0</v>
      </c>
      <c r="BU252" s="5" t="n">
        <v>0</v>
      </c>
      <c r="BV252" s="5" t="n">
        <v>0.122</v>
      </c>
      <c r="BW252" s="5" t="n">
        <v>0</v>
      </c>
      <c r="BX252" s="5" t="n">
        <v>1</v>
      </c>
      <c r="BY252" s="5" t="n">
        <v>13.254</v>
      </c>
      <c r="BZ252" s="5" t="n">
        <v>0</v>
      </c>
      <c r="CA252" s="5" t="n">
        <v>13.254</v>
      </c>
      <c r="CB252" s="5" t="n">
        <v>0</v>
      </c>
      <c r="CC252" s="5" t="n">
        <v>83.248</v>
      </c>
      <c r="CD252" s="5" t="n">
        <v>7.95</v>
      </c>
      <c r="CE252" s="5" t="n">
        <v>1.383</v>
      </c>
      <c r="CF252" s="5" t="n">
        <v>95.735</v>
      </c>
      <c r="CG252" s="5" t="n">
        <v>0.15</v>
      </c>
      <c r="CH252" s="5" t="n">
        <v>1</v>
      </c>
      <c r="CI252" s="5" t="n">
        <v>0</v>
      </c>
      <c r="CJ252" s="5" t="n">
        <v>0</v>
      </c>
      <c r="CK252" s="5" t="n">
        <v>0</v>
      </c>
      <c r="CL252" s="5" t="n">
        <v>0</v>
      </c>
      <c r="CM252" s="5" t="n">
        <v>0</v>
      </c>
      <c r="CN252" s="5" t="n">
        <v>0</v>
      </c>
      <c r="CO252" s="5" t="n">
        <v>0</v>
      </c>
      <c r="CP252" s="5" t="n">
        <v>0</v>
      </c>
      <c r="CQ252" s="5" t="n">
        <v>1.348</v>
      </c>
      <c r="CR252" s="5" t="n">
        <v>1</v>
      </c>
      <c r="CS252" s="5" t="n">
        <v>3.956</v>
      </c>
      <c r="CT252" s="5" t="n">
        <v>4.861</v>
      </c>
      <c r="CU252" s="5" t="n">
        <v>9.260999999999999</v>
      </c>
    </row>
    <row r="253">
      <c r="A253" s="5" t="inlineStr">
        <is>
          <t>GNQ2024</t>
        </is>
      </c>
      <c r="B253" s="5" t="inlineStr">
        <is>
          <t>GNQ</t>
        </is>
      </c>
      <c r="C253" s="5" t="inlineStr">
        <is>
          <t>GNQ</t>
        </is>
      </c>
      <c r="D253" s="5" t="inlineStr">
        <is>
          <t>Equatorial Guinea</t>
        </is>
      </c>
      <c r="E253" s="5" t="n">
        <v>2024</v>
      </c>
      <c r="F253" s="5" t="n">
        <v>0.15</v>
      </c>
      <c r="G253" s="5" t="n">
        <v>5.575</v>
      </c>
      <c r="H253" s="5" t="n">
        <v>1.324</v>
      </c>
      <c r="I253" s="5" t="n">
        <v>0</v>
      </c>
      <c r="J253" s="5" t="n">
        <v>5.575</v>
      </c>
      <c r="K253" s="5" t="n">
        <v>0</v>
      </c>
      <c r="L253" s="5" t="n">
        <v>1</v>
      </c>
      <c r="M253" s="5" t="n">
        <v>7.124</v>
      </c>
      <c r="N253" s="5" t="n">
        <v>3.971</v>
      </c>
      <c r="O253" s="5" t="n">
        <v>0</v>
      </c>
      <c r="P253" s="5" t="n">
        <v>7.124</v>
      </c>
      <c r="Q253" s="5" t="n">
        <v>0</v>
      </c>
      <c r="R253" s="5" t="n">
        <v>1</v>
      </c>
      <c r="S253" s="5" t="n">
        <v>12.193</v>
      </c>
      <c r="T253" s="5" t="n">
        <v>7.942</v>
      </c>
      <c r="U253" s="5" t="n">
        <v>0.249</v>
      </c>
      <c r="V253" s="5" t="n">
        <v>14.022</v>
      </c>
      <c r="W253" s="5" t="n">
        <v>0.15</v>
      </c>
      <c r="X253" s="5" t="n">
        <v>1</v>
      </c>
      <c r="Y253" s="5" t="n">
        <v>4.735</v>
      </c>
      <c r="Z253" s="5" t="n">
        <v>0.52</v>
      </c>
      <c r="AA253" s="5" t="n">
        <v>0</v>
      </c>
      <c r="AB253" s="5" t="n">
        <v>4.735</v>
      </c>
      <c r="AC253" s="5" t="n">
        <v>0</v>
      </c>
      <c r="AD253" s="5" t="n">
        <v>1</v>
      </c>
      <c r="AE253" s="5" t="n">
        <v>5.397</v>
      </c>
      <c r="AF253" s="5" t="n">
        <v>1.049</v>
      </c>
      <c r="AG253" s="5" t="n">
        <v>0</v>
      </c>
      <c r="AH253" s="5" t="n">
        <v>5.397</v>
      </c>
      <c r="AI253" s="5" t="n">
        <v>0</v>
      </c>
      <c r="AJ253" s="5" t="n">
        <v>1</v>
      </c>
      <c r="AK253" s="5" t="n">
        <v>9.368</v>
      </c>
      <c r="AL253" s="5" t="n">
        <v>4.419</v>
      </c>
      <c r="AM253" s="5" t="n">
        <v>0.191</v>
      </c>
      <c r="AN253" s="5" t="n">
        <v>10.773</v>
      </c>
      <c r="AO253" s="5" t="n">
        <v>0.15</v>
      </c>
      <c r="AP253" s="5" t="n">
        <v>1</v>
      </c>
      <c r="AQ253" s="5" t="n">
        <v>0.724</v>
      </c>
      <c r="AR253" s="5" t="n">
        <v>0.132</v>
      </c>
      <c r="AS253" s="5" t="n">
        <v>-0.019</v>
      </c>
      <c r="AT253" s="5" t="n">
        <v>0.8110000000000001</v>
      </c>
      <c r="AU253" s="5" t="n">
        <v>0.15</v>
      </c>
      <c r="AV253" s="5" t="n">
        <v>1</v>
      </c>
      <c r="AW253" s="5" t="n">
        <v>0.75</v>
      </c>
      <c r="AX253" s="5" t="n">
        <v>0.132</v>
      </c>
      <c r="AY253" s="5" t="n">
        <v>-0.075</v>
      </c>
      <c r="AZ253" s="5" t="n">
        <v>0.776</v>
      </c>
      <c r="BA253" s="5" t="n">
        <v>0.15</v>
      </c>
      <c r="BB253" s="5" t="n">
        <v>1</v>
      </c>
      <c r="BC253" s="5" t="n">
        <v>0.513</v>
      </c>
      <c r="BD253" s="5" t="n">
        <v>0.132</v>
      </c>
      <c r="BE253" s="5" t="n">
        <v>0.01</v>
      </c>
      <c r="BF253" s="5" t="n">
        <v>0.59</v>
      </c>
      <c r="BG253" s="5" t="n">
        <v>0.15</v>
      </c>
      <c r="BH253" s="5" t="n">
        <v>1</v>
      </c>
      <c r="BI253" s="5" t="n">
        <v>0.591</v>
      </c>
      <c r="BJ253" s="5" t="n">
        <v>0.132</v>
      </c>
      <c r="BK253" s="5" t="n">
        <v>-0.291</v>
      </c>
      <c r="BL253" s="5" t="n">
        <v>0.346</v>
      </c>
      <c r="BM253" s="5" t="n">
        <v>0</v>
      </c>
      <c r="BN253" s="5" t="n">
        <v>0</v>
      </c>
      <c r="BO253" s="5" t="n">
        <v>0</v>
      </c>
      <c r="BP253" s="5" t="n">
        <v>0</v>
      </c>
      <c r="BQ253" s="5" t="n">
        <v>0.095</v>
      </c>
      <c r="BR253" s="5" t="n">
        <v>0</v>
      </c>
      <c r="BS253" s="5" t="n">
        <v>1</v>
      </c>
      <c r="BT253" s="5" t="n">
        <v>0</v>
      </c>
      <c r="BU253" s="5" t="n">
        <v>0</v>
      </c>
      <c r="BV253" s="5" t="n">
        <v>0.126</v>
      </c>
      <c r="BW253" s="5" t="n">
        <v>0</v>
      </c>
      <c r="BX253" s="5" t="n">
        <v>1</v>
      </c>
      <c r="BY253" s="5" t="n">
        <v>13.646</v>
      </c>
      <c r="BZ253" s="5" t="n">
        <v>0</v>
      </c>
      <c r="CA253" s="5" t="n">
        <v>13.646</v>
      </c>
      <c r="CB253" s="5" t="n">
        <v>0</v>
      </c>
      <c r="CC253" s="5" t="n">
        <v>82.58799999999999</v>
      </c>
      <c r="CD253" s="5" t="n">
        <v>7.95</v>
      </c>
      <c r="CE253" s="5" t="n">
        <v>1.687</v>
      </c>
      <c r="CF253" s="5" t="n">
        <v>94.976</v>
      </c>
      <c r="CG253" s="5" t="n">
        <v>0.15</v>
      </c>
      <c r="CH253" s="5" t="n">
        <v>1</v>
      </c>
      <c r="CI253" s="5" t="n">
        <v>0</v>
      </c>
      <c r="CJ253" s="5" t="n">
        <v>0</v>
      </c>
      <c r="CK253" s="5" t="n">
        <v>0</v>
      </c>
      <c r="CL253" s="5" t="n">
        <v>0</v>
      </c>
      <c r="CM253" s="5" t="n">
        <v>0</v>
      </c>
      <c r="CN253" s="5" t="n">
        <v>0</v>
      </c>
      <c r="CO253" s="5" t="n">
        <v>0</v>
      </c>
      <c r="CP253" s="5" t="n">
        <v>0</v>
      </c>
      <c r="CQ253" s="5" t="n">
        <v>1.387</v>
      </c>
      <c r="CR253" s="5" t="n">
        <v>1</v>
      </c>
      <c r="CS253" s="5" t="n">
        <v>4.073</v>
      </c>
      <c r="CT253" s="5" t="n">
        <v>4.251</v>
      </c>
      <c r="CU253" s="5" t="n">
        <v>7.598</v>
      </c>
    </row>
    <row r="254">
      <c r="A254" s="5" t="inlineStr">
        <is>
          <t>ERI2021</t>
        </is>
      </c>
      <c r="B254" s="5" t="inlineStr">
        <is>
          <t>ERI</t>
        </is>
      </c>
      <c r="C254" s="5" t="inlineStr">
        <is>
          <t>ERI</t>
        </is>
      </c>
      <c r="D254" s="5" t="inlineStr">
        <is>
          <t>Eritrea</t>
        </is>
      </c>
      <c r="E254" s="5" t="n">
        <v>2021</v>
      </c>
      <c r="F254" s="5" t="n">
        <v>0.08500000000000001</v>
      </c>
      <c r="G254" s="5" t="n">
        <v>5.897</v>
      </c>
      <c r="H254" s="5" t="n">
        <v>1.143</v>
      </c>
      <c r="I254" s="5" t="n">
        <v>0</v>
      </c>
      <c r="J254" s="5" t="n">
        <v>5.897</v>
      </c>
      <c r="K254" s="5" t="n">
        <v>0</v>
      </c>
      <c r="L254" s="5" t="n">
        <v>1</v>
      </c>
      <c r="M254" s="5" t="n">
        <v>7.964</v>
      </c>
      <c r="N254" s="5" t="n">
        <v>3.43</v>
      </c>
      <c r="O254" s="5" t="n">
        <v>0</v>
      </c>
      <c r="P254" s="5" t="n">
        <v>7.964</v>
      </c>
      <c r="Q254" s="5" t="n">
        <v>0</v>
      </c>
      <c r="R254" s="5" t="n">
        <v>1</v>
      </c>
      <c r="S254" s="5" t="n">
        <v>11.613</v>
      </c>
      <c r="T254" s="5" t="n">
        <v>6.86</v>
      </c>
      <c r="U254" s="5" t="n">
        <v>0</v>
      </c>
      <c r="V254" s="5" t="n">
        <v>12.6</v>
      </c>
      <c r="W254" s="5" t="n">
        <v>0.08500000000000001</v>
      </c>
      <c r="X254" s="5" t="n">
        <v>1</v>
      </c>
      <c r="Y254" s="5" t="n">
        <v>16.305</v>
      </c>
      <c r="Z254" s="5" t="n">
        <v>2.204</v>
      </c>
      <c r="AA254" s="5" t="n">
        <v>0</v>
      </c>
      <c r="AB254" s="5" t="n">
        <v>16.305</v>
      </c>
      <c r="AC254" s="5" t="n">
        <v>0</v>
      </c>
      <c r="AD254" s="5" t="n">
        <v>1</v>
      </c>
      <c r="AE254" s="5" t="n">
        <v>17.449</v>
      </c>
      <c r="AF254" s="5" t="n">
        <v>4.08</v>
      </c>
      <c r="AG254" s="5" t="n">
        <v>0</v>
      </c>
      <c r="AH254" s="5" t="n">
        <v>17.449</v>
      </c>
      <c r="AI254" s="5" t="n">
        <v>0</v>
      </c>
      <c r="AJ254" s="5" t="n">
        <v>1</v>
      </c>
      <c r="AK254" s="5" t="n">
        <v>24.309</v>
      </c>
      <c r="AL254" s="5" t="n">
        <v>12.947</v>
      </c>
      <c r="AM254" s="5" t="n">
        <v>0</v>
      </c>
      <c r="AN254" s="5" t="n">
        <v>26.375</v>
      </c>
      <c r="AO254" s="5" t="n">
        <v>0.08500000000000001</v>
      </c>
      <c r="AP254" s="5" t="n">
        <v>1</v>
      </c>
      <c r="AQ254" s="5" t="n">
        <v>0.619</v>
      </c>
      <c r="AR254" s="5" t="n">
        <v>0.114</v>
      </c>
      <c r="AS254" s="5" t="n">
        <v>0</v>
      </c>
      <c r="AT254" s="5" t="n">
        <v>0.672</v>
      </c>
      <c r="AU254" s="5" t="n">
        <v>0.08500000000000001</v>
      </c>
      <c r="AV254" s="5" t="n">
        <v>1</v>
      </c>
      <c r="AW254" s="5" t="n">
        <v>0.599</v>
      </c>
      <c r="AX254" s="5" t="n">
        <v>0.114</v>
      </c>
      <c r="AY254" s="5" t="n">
        <v>0</v>
      </c>
      <c r="AZ254" s="5" t="n">
        <v>0.65</v>
      </c>
      <c r="BA254" s="5" t="n">
        <v>0.08500000000000001</v>
      </c>
      <c r="BB254" s="5" t="n">
        <v>1</v>
      </c>
      <c r="BC254" s="5" t="n">
        <v>0.439</v>
      </c>
      <c r="BD254" s="5" t="n">
        <v>0.114</v>
      </c>
      <c r="BE254" s="5" t="n">
        <v>0</v>
      </c>
      <c r="BF254" s="5" t="n">
        <v>0.476</v>
      </c>
      <c r="BG254" s="5" t="n">
        <v>0.08500000000000001</v>
      </c>
      <c r="BH254" s="5" t="n">
        <v>1</v>
      </c>
      <c r="BI254" s="5" t="n">
        <v>0.505</v>
      </c>
      <c r="BJ254" s="5" t="n">
        <v>0.114</v>
      </c>
      <c r="BK254" s="5" t="n">
        <v>0</v>
      </c>
      <c r="BL254" s="5" t="n">
        <v>0.548</v>
      </c>
      <c r="BM254" s="5" t="n">
        <v>0.08500000000000001</v>
      </c>
      <c r="BN254" s="5" t="n">
        <v>1</v>
      </c>
      <c r="BO254" s="5" t="n">
        <v>0</v>
      </c>
      <c r="BP254" s="5" t="n">
        <v>0</v>
      </c>
      <c r="BQ254" s="5" t="n">
        <v>0.24</v>
      </c>
      <c r="BR254" s="5" t="n">
        <v>0</v>
      </c>
      <c r="BS254" s="5" t="n">
        <v>0.167</v>
      </c>
      <c r="BT254" s="5" t="n">
        <v>0</v>
      </c>
      <c r="BU254" s="5" t="n">
        <v>0</v>
      </c>
      <c r="BV254" s="5" t="n">
        <v>0.24</v>
      </c>
      <c r="BW254" s="5" t="n">
        <v>0.08500000000000001</v>
      </c>
      <c r="BX254" s="5" t="n">
        <v>0.167</v>
      </c>
      <c r="BY254" s="5" t="n">
        <v>11.787</v>
      </c>
      <c r="BZ254" s="5" t="n">
        <v>0</v>
      </c>
      <c r="CA254" s="5" t="n">
        <v>11.787</v>
      </c>
      <c r="CB254" s="5" t="n">
        <v>0</v>
      </c>
      <c r="CC254" s="5" t="n">
        <v>78.125</v>
      </c>
      <c r="CD254" s="5" t="n">
        <v>7.95</v>
      </c>
      <c r="CE254" s="5" t="n">
        <v>0</v>
      </c>
      <c r="CF254" s="5" t="n">
        <v>84.76600000000001</v>
      </c>
      <c r="CG254" s="5" t="n">
        <v>0.08500000000000001</v>
      </c>
      <c r="CH254" s="5" t="n">
        <v>1</v>
      </c>
      <c r="CI254" s="5" t="n">
        <v>0</v>
      </c>
      <c r="CJ254" s="5" t="n">
        <v>0</v>
      </c>
      <c r="CK254" s="5" t="n">
        <v>0</v>
      </c>
      <c r="CL254" s="5" t="n">
        <v>0</v>
      </c>
      <c r="CM254" s="5" t="n">
        <v>0</v>
      </c>
      <c r="CN254" s="5" t="n">
        <v>0</v>
      </c>
      <c r="CO254" s="5" t="n">
        <v>0</v>
      </c>
      <c r="CP254" s="5" t="n">
        <v>0</v>
      </c>
      <c r="CQ254" s="5" t="n">
        <v>1.198</v>
      </c>
      <c r="CR254" s="5" t="n">
        <v>0</v>
      </c>
      <c r="CS254" s="5" t="n">
        <v>4.776</v>
      </c>
      <c r="CT254" s="5" t="n">
        <v>4.753</v>
      </c>
      <c r="CU254" s="5" t="n">
        <v>15.162</v>
      </c>
    </row>
    <row r="255">
      <c r="A255" s="5" t="inlineStr">
        <is>
          <t>ERI2022</t>
        </is>
      </c>
      <c r="B255" s="5" t="inlineStr">
        <is>
          <t>ERI</t>
        </is>
      </c>
      <c r="C255" s="5" t="inlineStr">
        <is>
          <t>ERI</t>
        </is>
      </c>
      <c r="D255" s="5" t="inlineStr">
        <is>
          <t>Eritrea</t>
        </is>
      </c>
      <c r="E255" s="5" t="n">
        <v>2022</v>
      </c>
      <c r="F255" s="5" t="n">
        <v>0.08500000000000001</v>
      </c>
      <c r="G255" s="5" t="n">
        <v>11.72</v>
      </c>
      <c r="H255" s="5" t="n">
        <v>1.235</v>
      </c>
      <c r="I255" s="5" t="n">
        <v>0</v>
      </c>
      <c r="J255" s="5" t="n">
        <v>11.72</v>
      </c>
      <c r="K255" s="5" t="n">
        <v>0</v>
      </c>
      <c r="L255" s="5" t="n">
        <v>1</v>
      </c>
      <c r="M255" s="5" t="n">
        <v>9.782999999999999</v>
      </c>
      <c r="N255" s="5" t="n">
        <v>3.704</v>
      </c>
      <c r="O255" s="5" t="n">
        <v>0</v>
      </c>
      <c r="P255" s="5" t="n">
        <v>9.782999999999999</v>
      </c>
      <c r="Q255" s="5" t="n">
        <v>0</v>
      </c>
      <c r="R255" s="5" t="n">
        <v>1</v>
      </c>
      <c r="S255" s="5" t="n">
        <v>17.893</v>
      </c>
      <c r="T255" s="5" t="n">
        <v>7.408</v>
      </c>
      <c r="U255" s="5" t="n">
        <v>0.113</v>
      </c>
      <c r="V255" s="5" t="n">
        <v>19.414</v>
      </c>
      <c r="W255" s="5" t="n">
        <v>0.08500000000000001</v>
      </c>
      <c r="X255" s="5" t="n">
        <v>1</v>
      </c>
      <c r="Y255" s="5" t="n">
        <v>32.56</v>
      </c>
      <c r="Z255" s="5" t="n">
        <v>4.401</v>
      </c>
      <c r="AA255" s="5" t="n">
        <v>0</v>
      </c>
      <c r="AB255" s="5" t="n">
        <v>32.56</v>
      </c>
      <c r="AC255" s="5" t="n">
        <v>0</v>
      </c>
      <c r="AD255" s="5" t="n">
        <v>1</v>
      </c>
      <c r="AE255" s="5" t="n">
        <v>33.795</v>
      </c>
      <c r="AF255" s="5" t="n">
        <v>7.902</v>
      </c>
      <c r="AG255" s="5" t="n">
        <v>0</v>
      </c>
      <c r="AH255" s="5" t="n">
        <v>33.795</v>
      </c>
      <c r="AI255" s="5" t="n">
        <v>0</v>
      </c>
      <c r="AJ255" s="5" t="n">
        <v>1</v>
      </c>
      <c r="AK255" s="5" t="n">
        <v>41.203</v>
      </c>
      <c r="AL255" s="5" t="n">
        <v>21.945</v>
      </c>
      <c r="AM255" s="5" t="n">
        <v>0.259</v>
      </c>
      <c r="AN255" s="5" t="n">
        <v>44.705</v>
      </c>
      <c r="AO255" s="5" t="n">
        <v>0.08500000000000001</v>
      </c>
      <c r="AP255" s="5" t="n">
        <v>1</v>
      </c>
      <c r="AQ255" s="5" t="n">
        <v>0.861</v>
      </c>
      <c r="AR255" s="5" t="n">
        <v>0.123</v>
      </c>
      <c r="AS255" s="5" t="n">
        <v>0.005</v>
      </c>
      <c r="AT255" s="5" t="n">
        <v>0.9340000000000001</v>
      </c>
      <c r="AU255" s="5" t="n">
        <v>0.08500000000000001</v>
      </c>
      <c r="AV255" s="5" t="n">
        <v>1</v>
      </c>
      <c r="AW255" s="5" t="n">
        <v>0.986</v>
      </c>
      <c r="AX255" s="5" t="n">
        <v>0.123</v>
      </c>
      <c r="AY255" s="5" t="n">
        <v>0.006</v>
      </c>
      <c r="AZ255" s="5" t="n">
        <v>1.07</v>
      </c>
      <c r="BA255" s="5" t="n">
        <v>0.08500000000000001</v>
      </c>
      <c r="BB255" s="5" t="n">
        <v>1</v>
      </c>
      <c r="BC255" s="5" t="n">
        <v>0.598</v>
      </c>
      <c r="BD255" s="5" t="n">
        <v>0.123</v>
      </c>
      <c r="BE255" s="5" t="n">
        <v>0.004</v>
      </c>
      <c r="BF255" s="5" t="n">
        <v>0.649</v>
      </c>
      <c r="BG255" s="5" t="n">
        <v>0.08500000000000001</v>
      </c>
      <c r="BH255" s="5" t="n">
        <v>1</v>
      </c>
      <c r="BI255" s="5" t="n">
        <v>0.612</v>
      </c>
      <c r="BJ255" s="5" t="n">
        <v>0.123</v>
      </c>
      <c r="BK255" s="5" t="n">
        <v>0.004</v>
      </c>
      <c r="BL255" s="5" t="n">
        <v>0.664</v>
      </c>
      <c r="BM255" s="5" t="n">
        <v>0.08500000000000001</v>
      </c>
      <c r="BN255" s="5" t="n">
        <v>1</v>
      </c>
      <c r="BO255" s="5" t="n">
        <v>0</v>
      </c>
      <c r="BP255" s="5" t="n">
        <v>0</v>
      </c>
      <c r="BQ255" s="5" t="n">
        <v>0.24</v>
      </c>
      <c r="BR255" s="5" t="n">
        <v>0</v>
      </c>
      <c r="BS255" s="5" t="n">
        <v>0.167</v>
      </c>
      <c r="BT255" s="5" t="n">
        <v>0</v>
      </c>
      <c r="BU255" s="5" t="n">
        <v>0</v>
      </c>
      <c r="BV255" s="5" t="n">
        <v>0.24</v>
      </c>
      <c r="BW255" s="5" t="n">
        <v>0.08500000000000001</v>
      </c>
      <c r="BX255" s="5" t="n">
        <v>0.167</v>
      </c>
      <c r="BY255" s="5" t="n">
        <v>12.729</v>
      </c>
      <c r="BZ255" s="5" t="n">
        <v>0</v>
      </c>
      <c r="CA255" s="5" t="n">
        <v>12.729</v>
      </c>
      <c r="CB255" s="5" t="n">
        <v>0</v>
      </c>
      <c r="CC255" s="5" t="n">
        <v>97.90000000000001</v>
      </c>
      <c r="CD255" s="5" t="n">
        <v>7.95</v>
      </c>
      <c r="CE255" s="5" t="n">
        <v>0.616</v>
      </c>
      <c r="CF255" s="5" t="n">
        <v>106.222</v>
      </c>
      <c r="CG255" s="5" t="n">
        <v>0.08500000000000001</v>
      </c>
      <c r="CH255" s="5" t="n">
        <v>1</v>
      </c>
      <c r="CI255" s="5" t="n">
        <v>0</v>
      </c>
      <c r="CJ255" s="5" t="n">
        <v>0</v>
      </c>
      <c r="CK255" s="5" t="n">
        <v>0</v>
      </c>
      <c r="CL255" s="5" t="n">
        <v>0</v>
      </c>
      <c r="CM255" s="5" t="n">
        <v>0</v>
      </c>
      <c r="CN255" s="5" t="n">
        <v>0</v>
      </c>
      <c r="CO255" s="5" t="n">
        <v>0</v>
      </c>
      <c r="CP255" s="5" t="n">
        <v>0</v>
      </c>
      <c r="CQ255" s="5" t="n">
        <v>1.294</v>
      </c>
      <c r="CR255" s="5" t="n">
        <v>0</v>
      </c>
      <c r="CS255" s="5" t="n">
        <v>5.158</v>
      </c>
      <c r="CT255" s="5" t="n">
        <v>10.485</v>
      </c>
      <c r="CU255" s="5" t="n">
        <v>31.326</v>
      </c>
    </row>
    <row r="256">
      <c r="A256" s="5" t="inlineStr">
        <is>
          <t>ERI2023</t>
        </is>
      </c>
      <c r="B256" s="5" t="inlineStr">
        <is>
          <t>ERI</t>
        </is>
      </c>
      <c r="C256" s="5" t="inlineStr">
        <is>
          <t>ERI</t>
        </is>
      </c>
      <c r="D256" s="5" t="inlineStr">
        <is>
          <t>Eritrea</t>
        </is>
      </c>
      <c r="E256" s="5" t="n">
        <v>2023</v>
      </c>
      <c r="F256" s="5" t="n">
        <v>0.08500000000000001</v>
      </c>
      <c r="G256" s="5" t="n">
        <v>6.147</v>
      </c>
      <c r="H256" s="5" t="n">
        <v>1.286</v>
      </c>
      <c r="I256" s="5" t="n">
        <v>0</v>
      </c>
      <c r="J256" s="5" t="n">
        <v>6.147</v>
      </c>
      <c r="K256" s="5" t="n">
        <v>0</v>
      </c>
      <c r="L256" s="5" t="n">
        <v>1</v>
      </c>
      <c r="M256" s="5" t="n">
        <v>7.886</v>
      </c>
      <c r="N256" s="5" t="n">
        <v>3.857</v>
      </c>
      <c r="O256" s="5" t="n">
        <v>0</v>
      </c>
      <c r="P256" s="5" t="n">
        <v>7.886</v>
      </c>
      <c r="Q256" s="5" t="n">
        <v>0</v>
      </c>
      <c r="R256" s="5" t="n">
        <v>1</v>
      </c>
      <c r="S256" s="5" t="n">
        <v>12.575</v>
      </c>
      <c r="T256" s="5" t="n">
        <v>7.714</v>
      </c>
      <c r="U256" s="5" t="n">
        <v>0.118</v>
      </c>
      <c r="V256" s="5" t="n">
        <v>13.644</v>
      </c>
      <c r="W256" s="5" t="n">
        <v>0.08500000000000001</v>
      </c>
      <c r="X256" s="5" t="n">
        <v>1</v>
      </c>
      <c r="Y256" s="5" t="n">
        <v>12.908</v>
      </c>
      <c r="Z256" s="5" t="n">
        <v>1.745</v>
      </c>
      <c r="AA256" s="5" t="n">
        <v>0</v>
      </c>
      <c r="AB256" s="5" t="n">
        <v>12.908</v>
      </c>
      <c r="AC256" s="5" t="n">
        <v>0</v>
      </c>
      <c r="AD256" s="5" t="n">
        <v>1</v>
      </c>
      <c r="AE256" s="5" t="n">
        <v>14.194</v>
      </c>
      <c r="AF256" s="5" t="n">
        <v>3.319</v>
      </c>
      <c r="AG256" s="5" t="n">
        <v>0</v>
      </c>
      <c r="AH256" s="5" t="n">
        <v>14.194</v>
      </c>
      <c r="AI256" s="5" t="n">
        <v>0</v>
      </c>
      <c r="AJ256" s="5" t="n">
        <v>1</v>
      </c>
      <c r="AK256" s="5" t="n">
        <v>21.908</v>
      </c>
      <c r="AL256" s="5" t="n">
        <v>11.668</v>
      </c>
      <c r="AM256" s="5" t="n">
        <v>0.206</v>
      </c>
      <c r="AN256" s="5" t="n">
        <v>23.77</v>
      </c>
      <c r="AO256" s="5" t="n">
        <v>0.08500000000000001</v>
      </c>
      <c r="AP256" s="5" t="n">
        <v>1</v>
      </c>
      <c r="AQ256" s="5" t="n">
        <v>0.76</v>
      </c>
      <c r="AR256" s="5" t="n">
        <v>0.129</v>
      </c>
      <c r="AS256" s="5" t="n">
        <v>0.007</v>
      </c>
      <c r="AT256" s="5" t="n">
        <v>0.825</v>
      </c>
      <c r="AU256" s="5" t="n">
        <v>0.08500000000000001</v>
      </c>
      <c r="AV256" s="5" t="n">
        <v>1</v>
      </c>
      <c r="AW256" s="5" t="n">
        <v>0.8110000000000001</v>
      </c>
      <c r="AX256" s="5" t="n">
        <v>0.129</v>
      </c>
      <c r="AY256" s="5" t="n">
        <v>0.008</v>
      </c>
      <c r="AZ256" s="5" t="n">
        <v>0.88</v>
      </c>
      <c r="BA256" s="5" t="n">
        <v>0.08500000000000001</v>
      </c>
      <c r="BB256" s="5" t="n">
        <v>1</v>
      </c>
      <c r="BC256" s="5" t="n">
        <v>0.535</v>
      </c>
      <c r="BD256" s="5" t="n">
        <v>0.129</v>
      </c>
      <c r="BE256" s="5" t="n">
        <v>0.005</v>
      </c>
      <c r="BF256" s="5" t="n">
        <v>0.58</v>
      </c>
      <c r="BG256" s="5" t="n">
        <v>0.08500000000000001</v>
      </c>
      <c r="BH256" s="5" t="n">
        <v>1</v>
      </c>
      <c r="BI256" s="5" t="n">
        <v>0.579</v>
      </c>
      <c r="BJ256" s="5" t="n">
        <v>0.129</v>
      </c>
      <c r="BK256" s="5" t="n">
        <v>0.005</v>
      </c>
      <c r="BL256" s="5" t="n">
        <v>0.629</v>
      </c>
      <c r="BM256" s="5" t="n">
        <v>0.08500000000000001</v>
      </c>
      <c r="BN256" s="5" t="n">
        <v>1</v>
      </c>
      <c r="BO256" s="5" t="n">
        <v>0</v>
      </c>
      <c r="BP256" s="5" t="n">
        <v>0</v>
      </c>
      <c r="BQ256" s="5" t="n">
        <v>0.24</v>
      </c>
      <c r="BR256" s="5" t="n">
        <v>0</v>
      </c>
      <c r="BS256" s="5" t="n">
        <v>0.167</v>
      </c>
      <c r="BT256" s="5" t="n">
        <v>0</v>
      </c>
      <c r="BU256" s="5" t="n">
        <v>0</v>
      </c>
      <c r="BV256" s="5" t="n">
        <v>0.24</v>
      </c>
      <c r="BW256" s="5" t="n">
        <v>0.08500000000000001</v>
      </c>
      <c r="BX256" s="5" t="n">
        <v>0.167</v>
      </c>
      <c r="BY256" s="5" t="n">
        <v>13.254</v>
      </c>
      <c r="BZ256" s="5" t="n">
        <v>0</v>
      </c>
      <c r="CA256" s="5" t="n">
        <v>13.254</v>
      </c>
      <c r="CB256" s="5" t="n">
        <v>0</v>
      </c>
      <c r="CC256" s="5" t="n">
        <v>83.248</v>
      </c>
      <c r="CD256" s="5" t="n">
        <v>7.95</v>
      </c>
      <c r="CE256" s="5" t="n">
        <v>0.783</v>
      </c>
      <c r="CF256" s="5" t="n">
        <v>90.324</v>
      </c>
      <c r="CG256" s="5" t="n">
        <v>0.08500000000000001</v>
      </c>
      <c r="CH256" s="5" t="n">
        <v>1</v>
      </c>
      <c r="CI256" s="5" t="n">
        <v>0</v>
      </c>
      <c r="CJ256" s="5" t="n">
        <v>0</v>
      </c>
      <c r="CK256" s="5" t="n">
        <v>0</v>
      </c>
      <c r="CL256" s="5" t="n">
        <v>0</v>
      </c>
      <c r="CM256" s="5" t="n">
        <v>0</v>
      </c>
      <c r="CN256" s="5" t="n">
        <v>0</v>
      </c>
      <c r="CO256" s="5" t="n">
        <v>0</v>
      </c>
      <c r="CP256" s="5" t="n">
        <v>0</v>
      </c>
      <c r="CQ256" s="5" t="n">
        <v>1.348</v>
      </c>
      <c r="CR256" s="5" t="n">
        <v>0</v>
      </c>
      <c r="CS256" s="5" t="n">
        <v>5.37</v>
      </c>
      <c r="CT256" s="5" t="n">
        <v>4.861</v>
      </c>
      <c r="CU256" s="5" t="n">
        <v>11.622</v>
      </c>
    </row>
    <row r="257">
      <c r="A257" s="5" t="inlineStr">
        <is>
          <t>ERI2024</t>
        </is>
      </c>
      <c r="B257" s="5" t="inlineStr">
        <is>
          <t>ERI</t>
        </is>
      </c>
      <c r="C257" s="5" t="inlineStr">
        <is>
          <t>ERI</t>
        </is>
      </c>
      <c r="D257" s="5" t="inlineStr">
        <is>
          <t>Eritrea</t>
        </is>
      </c>
      <c r="E257" s="5" t="n">
        <v>2024</v>
      </c>
      <c r="F257" s="5" t="n">
        <v>0.08500000000000001</v>
      </c>
      <c r="G257" s="5" t="n">
        <v>5.575</v>
      </c>
      <c r="H257" s="5" t="n">
        <v>1.324</v>
      </c>
      <c r="I257" s="5" t="n">
        <v>0</v>
      </c>
      <c r="J257" s="5" t="n">
        <v>5.575</v>
      </c>
      <c r="K257" s="5" t="n">
        <v>0</v>
      </c>
      <c r="L257" s="5" t="n">
        <v>1</v>
      </c>
      <c r="M257" s="5" t="n">
        <v>7.124</v>
      </c>
      <c r="N257" s="5" t="n">
        <v>3.971</v>
      </c>
      <c r="O257" s="5" t="n">
        <v>0</v>
      </c>
      <c r="P257" s="5" t="n">
        <v>7.124</v>
      </c>
      <c r="Q257" s="5" t="n">
        <v>0</v>
      </c>
      <c r="R257" s="5" t="n">
        <v>1</v>
      </c>
      <c r="S257" s="5" t="n">
        <v>12.193</v>
      </c>
      <c r="T257" s="5" t="n">
        <v>7.942</v>
      </c>
      <c r="U257" s="5" t="n">
        <v>0.141</v>
      </c>
      <c r="V257" s="5" t="n">
        <v>13.229</v>
      </c>
      <c r="W257" s="5" t="n">
        <v>0.08500000000000001</v>
      </c>
      <c r="X257" s="5" t="n">
        <v>1</v>
      </c>
      <c r="Y257" s="5" t="n">
        <v>11.492</v>
      </c>
      <c r="Z257" s="5" t="n">
        <v>1.553</v>
      </c>
      <c r="AA257" s="5" t="n">
        <v>0</v>
      </c>
      <c r="AB257" s="5" t="n">
        <v>11.492</v>
      </c>
      <c r="AC257" s="5" t="n">
        <v>0</v>
      </c>
      <c r="AD257" s="5" t="n">
        <v>1</v>
      </c>
      <c r="AE257" s="5" t="n">
        <v>12.815</v>
      </c>
      <c r="AF257" s="5" t="n">
        <v>2.997</v>
      </c>
      <c r="AG257" s="5" t="n">
        <v>0</v>
      </c>
      <c r="AH257" s="5" t="n">
        <v>12.815</v>
      </c>
      <c r="AI257" s="5" t="n">
        <v>0</v>
      </c>
      <c r="AJ257" s="5" t="n">
        <v>1</v>
      </c>
      <c r="AK257" s="5" t="n">
        <v>20.757</v>
      </c>
      <c r="AL257" s="5" t="n">
        <v>11.055</v>
      </c>
      <c r="AM257" s="5" t="n">
        <v>0.24</v>
      </c>
      <c r="AN257" s="5" t="n">
        <v>22.521</v>
      </c>
      <c r="AO257" s="5" t="n">
        <v>0.08500000000000001</v>
      </c>
      <c r="AP257" s="5" t="n">
        <v>1</v>
      </c>
      <c r="AQ257" s="5" t="n">
        <v>0.724</v>
      </c>
      <c r="AR257" s="5" t="n">
        <v>0.132</v>
      </c>
      <c r="AS257" s="5" t="n">
        <v>0.008</v>
      </c>
      <c r="AT257" s="5" t="n">
        <v>0.786</v>
      </c>
      <c r="AU257" s="5" t="n">
        <v>0.08500000000000001</v>
      </c>
      <c r="AV257" s="5" t="n">
        <v>1</v>
      </c>
      <c r="AW257" s="5" t="n">
        <v>0.75</v>
      </c>
      <c r="AX257" s="5" t="n">
        <v>0.132</v>
      </c>
      <c r="AY257" s="5" t="n">
        <v>0.008999999999999999</v>
      </c>
      <c r="AZ257" s="5" t="n">
        <v>0.8139999999999999</v>
      </c>
      <c r="BA257" s="5" t="n">
        <v>0.08500000000000001</v>
      </c>
      <c r="BB257" s="5" t="n">
        <v>1</v>
      </c>
      <c r="BC257" s="5" t="n">
        <v>0.513</v>
      </c>
      <c r="BD257" s="5" t="n">
        <v>0.132</v>
      </c>
      <c r="BE257" s="5" t="n">
        <v>0.006</v>
      </c>
      <c r="BF257" s="5" t="n">
        <v>0.5570000000000001</v>
      </c>
      <c r="BG257" s="5" t="n">
        <v>0.08500000000000001</v>
      </c>
      <c r="BH257" s="5" t="n">
        <v>1</v>
      </c>
      <c r="BI257" s="5" t="n">
        <v>0.591</v>
      </c>
      <c r="BJ257" s="5" t="n">
        <v>0.132</v>
      </c>
      <c r="BK257" s="5" t="n">
        <v>0.007</v>
      </c>
      <c r="BL257" s="5" t="n">
        <v>0.642</v>
      </c>
      <c r="BM257" s="5" t="n">
        <v>0.08500000000000001</v>
      </c>
      <c r="BN257" s="5" t="n">
        <v>1</v>
      </c>
      <c r="BO257" s="5" t="n">
        <v>0</v>
      </c>
      <c r="BP257" s="5" t="n">
        <v>0</v>
      </c>
      <c r="BQ257" s="5" t="n">
        <v>0.247</v>
      </c>
      <c r="BR257" s="5" t="n">
        <v>0</v>
      </c>
      <c r="BS257" s="5" t="n">
        <v>0.167</v>
      </c>
      <c r="BT257" s="5" t="n">
        <v>0</v>
      </c>
      <c r="BU257" s="5" t="n">
        <v>0</v>
      </c>
      <c r="BV257" s="5" t="n">
        <v>0.247</v>
      </c>
      <c r="BW257" s="5" t="n">
        <v>0.08500000000000001</v>
      </c>
      <c r="BX257" s="5" t="n">
        <v>0.167</v>
      </c>
      <c r="BY257" s="5" t="n">
        <v>13.646</v>
      </c>
      <c r="BZ257" s="5" t="n">
        <v>0</v>
      </c>
      <c r="CA257" s="5" t="n">
        <v>13.646</v>
      </c>
      <c r="CB257" s="5" t="n">
        <v>0</v>
      </c>
      <c r="CC257" s="5" t="n">
        <v>82.58799999999999</v>
      </c>
      <c r="CD257" s="5" t="n">
        <v>7.95</v>
      </c>
      <c r="CE257" s="5" t="n">
        <v>0.956</v>
      </c>
      <c r="CF257" s="5" t="n">
        <v>89.608</v>
      </c>
      <c r="CG257" s="5" t="n">
        <v>0.08500000000000001</v>
      </c>
      <c r="CH257" s="5" t="n">
        <v>1</v>
      </c>
      <c r="CI257" s="5" t="n">
        <v>0</v>
      </c>
      <c r="CJ257" s="5" t="n">
        <v>0</v>
      </c>
      <c r="CK257" s="5" t="n">
        <v>0</v>
      </c>
      <c r="CL257" s="5" t="n">
        <v>0</v>
      </c>
      <c r="CM257" s="5" t="n">
        <v>0</v>
      </c>
      <c r="CN257" s="5" t="n">
        <v>0</v>
      </c>
      <c r="CO257" s="5" t="n">
        <v>0</v>
      </c>
      <c r="CP257" s="5" t="n">
        <v>0</v>
      </c>
      <c r="CQ257" s="5" t="n">
        <v>1.387</v>
      </c>
      <c r="CR257" s="5" t="n">
        <v>0</v>
      </c>
      <c r="CS257" s="5" t="n">
        <v>5.529</v>
      </c>
      <c r="CT257" s="5" t="n">
        <v>4.251</v>
      </c>
      <c r="CU257" s="5" t="n">
        <v>10.168</v>
      </c>
    </row>
    <row r="258">
      <c r="A258" s="5" t="inlineStr">
        <is>
          <t>EST2021</t>
        </is>
      </c>
      <c r="B258" s="5" t="inlineStr">
        <is>
          <t>EST</t>
        </is>
      </c>
      <c r="C258" s="5" t="inlineStr">
        <is>
          <t>EST</t>
        </is>
      </c>
      <c r="D258" s="5" t="inlineStr">
        <is>
          <t>Estonia</t>
        </is>
      </c>
      <c r="E258" s="5" t="n">
        <v>2021</v>
      </c>
      <c r="F258" s="5" t="n">
        <v>0.2</v>
      </c>
      <c r="G258" s="5" t="n">
        <v>1.774</v>
      </c>
      <c r="H258" s="5" t="n">
        <v>0.572</v>
      </c>
      <c r="I258" s="5" t="n">
        <v>2.742</v>
      </c>
      <c r="J258" s="5" t="n">
        <v>4.515</v>
      </c>
      <c r="K258" s="5" t="n">
        <v>0</v>
      </c>
      <c r="L258" s="5" t="n">
        <v>1</v>
      </c>
      <c r="M258" s="5" t="n">
        <v>2.919</v>
      </c>
      <c r="N258" s="5" t="n">
        <v>1.717</v>
      </c>
      <c r="O258" s="5" t="n">
        <v>2.702</v>
      </c>
      <c r="P258" s="5" t="n">
        <v>5.621</v>
      </c>
      <c r="Q258" s="5" t="n">
        <v>0</v>
      </c>
      <c r="R258" s="5" t="n">
        <v>1</v>
      </c>
      <c r="S258" s="5" t="n">
        <v>4.635</v>
      </c>
      <c r="T258" s="5" t="n">
        <v>3.434</v>
      </c>
      <c r="U258" s="5" t="n">
        <v>0.756</v>
      </c>
      <c r="V258" s="5" t="n">
        <v>6.47</v>
      </c>
      <c r="W258" s="5" t="n">
        <v>0.2</v>
      </c>
      <c r="X258" s="5" t="n">
        <v>1</v>
      </c>
      <c r="Y258" s="5" t="n">
        <v>11.978</v>
      </c>
      <c r="Z258" s="5" t="n">
        <v>1.323</v>
      </c>
      <c r="AA258" s="5" t="n">
        <v>5.549</v>
      </c>
      <c r="AB258" s="5" t="n">
        <v>17.527</v>
      </c>
      <c r="AC258" s="5" t="n">
        <v>0</v>
      </c>
      <c r="AD258" s="5" t="n">
        <v>1</v>
      </c>
      <c r="AE258" s="5" t="n">
        <v>11.934</v>
      </c>
      <c r="AF258" s="5" t="n">
        <v>2.348</v>
      </c>
      <c r="AG258" s="5" t="n">
        <v>5.593</v>
      </c>
      <c r="AH258" s="5" t="n">
        <v>17.527</v>
      </c>
      <c r="AI258" s="5" t="n">
        <v>0</v>
      </c>
      <c r="AJ258" s="5" t="n">
        <v>1</v>
      </c>
      <c r="AK258" s="5" t="n">
        <v>16.329</v>
      </c>
      <c r="AL258" s="5" t="n">
        <v>8.013999999999999</v>
      </c>
      <c r="AM258" s="5" t="n">
        <v>-0.107</v>
      </c>
      <c r="AN258" s="5" t="n">
        <v>19.466</v>
      </c>
      <c r="AO258" s="5" t="n">
        <v>0.2</v>
      </c>
      <c r="AP258" s="5" t="n">
        <v>1</v>
      </c>
      <c r="AQ258" s="5" t="n">
        <v>0.619</v>
      </c>
      <c r="AR258" s="5" t="n">
        <v>0.114</v>
      </c>
      <c r="AS258" s="5" t="n">
        <v>0.787</v>
      </c>
      <c r="AT258" s="5" t="n">
        <v>1.687</v>
      </c>
      <c r="AU258" s="5" t="n">
        <v>0.2</v>
      </c>
      <c r="AV258" s="5" t="n">
        <v>1</v>
      </c>
      <c r="AW258" s="5" t="n">
        <v>0.599</v>
      </c>
      <c r="AX258" s="5" t="n">
        <v>0.114</v>
      </c>
      <c r="AY258" s="5" t="n">
        <v>0.621</v>
      </c>
      <c r="AZ258" s="5" t="n">
        <v>1.465</v>
      </c>
      <c r="BA258" s="5" t="n">
        <v>0.2</v>
      </c>
      <c r="BB258" s="5" t="n">
        <v>1</v>
      </c>
      <c r="BC258" s="5" t="n">
        <v>0.439</v>
      </c>
      <c r="BD258" s="5" t="n">
        <v>0.114</v>
      </c>
      <c r="BE258" s="5" t="n">
        <v>0.261</v>
      </c>
      <c r="BF258" s="5" t="n">
        <v>0.839</v>
      </c>
      <c r="BG258" s="5" t="n">
        <v>0.2</v>
      </c>
      <c r="BH258" s="5" t="n">
        <v>1</v>
      </c>
      <c r="BI258" s="5" t="n">
        <v>0.505</v>
      </c>
      <c r="BJ258" s="5" t="n">
        <v>0.114</v>
      </c>
      <c r="BK258" s="5" t="n">
        <v>0.362</v>
      </c>
      <c r="BL258" s="5" t="n">
        <v>1.04</v>
      </c>
      <c r="BM258" s="5" t="n">
        <v>0.2</v>
      </c>
      <c r="BN258" s="5" t="n">
        <v>1</v>
      </c>
      <c r="BO258" s="5" t="n">
        <v>0</v>
      </c>
      <c r="BP258" s="5" t="n">
        <v>0.015</v>
      </c>
      <c r="BQ258" s="5" t="n">
        <v>0.125</v>
      </c>
      <c r="BR258" s="5" t="n">
        <v>0</v>
      </c>
      <c r="BS258" s="5" t="n">
        <v>1</v>
      </c>
      <c r="BT258" s="5" t="n">
        <v>0</v>
      </c>
      <c r="BU258" s="5" t="n">
        <v>0.015</v>
      </c>
      <c r="BV258" s="5" t="n">
        <v>0.193</v>
      </c>
      <c r="BW258" s="5" t="n">
        <v>0.2</v>
      </c>
      <c r="BX258" s="5" t="n">
        <v>0.667</v>
      </c>
      <c r="BY258" s="5" t="n">
        <v>11.787</v>
      </c>
      <c r="BZ258" s="5" t="n">
        <v>0</v>
      </c>
      <c r="CA258" s="5" t="n">
        <v>11.787</v>
      </c>
      <c r="CB258" s="5" t="n">
        <v>0</v>
      </c>
      <c r="CC258" s="5" t="n">
        <v>78.125</v>
      </c>
      <c r="CD258" s="5" t="n">
        <v>7.95</v>
      </c>
      <c r="CE258" s="5" t="n">
        <v>68.926</v>
      </c>
      <c r="CF258" s="5" t="n">
        <v>176.461</v>
      </c>
      <c r="CG258" s="5" t="n">
        <v>0.2</v>
      </c>
      <c r="CH258" s="5" t="n">
        <v>1</v>
      </c>
      <c r="CI258" s="5" t="n">
        <v>0</v>
      </c>
      <c r="CJ258" s="5" t="n">
        <v>0</v>
      </c>
      <c r="CK258" s="5" t="n">
        <v>0</v>
      </c>
      <c r="CL258" s="5" t="n">
        <v>0</v>
      </c>
      <c r="CM258" s="5" t="n">
        <v>0</v>
      </c>
      <c r="CN258" s="5" t="n">
        <v>0</v>
      </c>
      <c r="CO258" s="5" t="n">
        <v>0</v>
      </c>
      <c r="CP258" s="5" t="n">
        <v>0.999</v>
      </c>
      <c r="CQ258" s="5" t="n">
        <v>1.198</v>
      </c>
      <c r="CR258" s="5" t="n">
        <v>0</v>
      </c>
      <c r="CS258" s="5" t="n">
        <v>4.776</v>
      </c>
      <c r="CT258" s="5" t="n">
        <v>3.852</v>
      </c>
      <c r="CU258" s="5" t="n">
        <v>8.009</v>
      </c>
    </row>
    <row r="259">
      <c r="A259" s="5" t="inlineStr">
        <is>
          <t>EST2022</t>
        </is>
      </c>
      <c r="B259" s="5" t="inlineStr">
        <is>
          <t>EST</t>
        </is>
      </c>
      <c r="C259" s="5" t="inlineStr">
        <is>
          <t>EST</t>
        </is>
      </c>
      <c r="D259" s="5" t="inlineStr">
        <is>
          <t>Estonia</t>
        </is>
      </c>
      <c r="E259" s="5" t="n">
        <v>2022</v>
      </c>
      <c r="F259" s="5" t="n">
        <v>0.2</v>
      </c>
      <c r="G259" s="5" t="n">
        <v>1.914</v>
      </c>
      <c r="H259" s="5" t="n">
        <v>0.618</v>
      </c>
      <c r="I259" s="5" t="n">
        <v>9.448</v>
      </c>
      <c r="J259" s="5" t="n">
        <v>11.362</v>
      </c>
      <c r="K259" s="5" t="n">
        <v>0</v>
      </c>
      <c r="L259" s="5" t="n">
        <v>1</v>
      </c>
      <c r="M259" s="5" t="n">
        <v>3.15</v>
      </c>
      <c r="N259" s="5" t="n">
        <v>1.853</v>
      </c>
      <c r="O259" s="5" t="n">
        <v>8.891</v>
      </c>
      <c r="P259" s="5" t="n">
        <v>12.041</v>
      </c>
      <c r="Q259" s="5" t="n">
        <v>0</v>
      </c>
      <c r="R259" s="5" t="n">
        <v>1</v>
      </c>
      <c r="S259" s="5" t="n">
        <v>5.003</v>
      </c>
      <c r="T259" s="5" t="n">
        <v>3.706</v>
      </c>
      <c r="U259" s="5" t="n">
        <v>0.8090000000000001</v>
      </c>
      <c r="V259" s="5" t="n">
        <v>6.872</v>
      </c>
      <c r="W259" s="5" t="n">
        <v>0.2</v>
      </c>
      <c r="X259" s="5" t="n">
        <v>1</v>
      </c>
      <c r="Y259" s="5" t="n">
        <v>29.224</v>
      </c>
      <c r="Z259" s="5" t="n">
        <v>3.066</v>
      </c>
      <c r="AA259" s="5" t="n">
        <v>10.043</v>
      </c>
      <c r="AB259" s="5" t="n">
        <v>39.267</v>
      </c>
      <c r="AC259" s="5" t="n">
        <v>0</v>
      </c>
      <c r="AD259" s="5" t="n">
        <v>1</v>
      </c>
      <c r="AE259" s="5" t="n">
        <v>29.272</v>
      </c>
      <c r="AF259" s="5" t="n">
        <v>5.427</v>
      </c>
      <c r="AG259" s="5" t="n">
        <v>9.994999999999999</v>
      </c>
      <c r="AH259" s="5" t="n">
        <v>39.267</v>
      </c>
      <c r="AI259" s="5" t="n">
        <v>0</v>
      </c>
      <c r="AJ259" s="5" t="n">
        <v>1</v>
      </c>
      <c r="AK259" s="5" t="n">
        <v>34.211</v>
      </c>
      <c r="AL259" s="5" t="n">
        <v>16.337</v>
      </c>
      <c r="AM259" s="5" t="n">
        <v>-7.457</v>
      </c>
      <c r="AN259" s="5" t="n">
        <v>32.105</v>
      </c>
      <c r="AO259" s="5" t="n">
        <v>0.2</v>
      </c>
      <c r="AP259" s="5" t="n">
        <v>1</v>
      </c>
      <c r="AQ259" s="5" t="n">
        <v>0.861</v>
      </c>
      <c r="AR259" s="5" t="n">
        <v>0.123</v>
      </c>
      <c r="AS259" s="5" t="n">
        <v>0.763</v>
      </c>
      <c r="AT259" s="5" t="n">
        <v>1.949</v>
      </c>
      <c r="AU259" s="5" t="n">
        <v>0.2</v>
      </c>
      <c r="AV259" s="5" t="n">
        <v>1</v>
      </c>
      <c r="AW259" s="5" t="n">
        <v>0.986</v>
      </c>
      <c r="AX259" s="5" t="n">
        <v>0.123</v>
      </c>
      <c r="AY259" s="5" t="n">
        <v>0.585</v>
      </c>
      <c r="AZ259" s="5" t="n">
        <v>1.885</v>
      </c>
      <c r="BA259" s="5" t="n">
        <v>0.2</v>
      </c>
      <c r="BB259" s="5" t="n">
        <v>1</v>
      </c>
      <c r="BC259" s="5" t="n">
        <v>0.598</v>
      </c>
      <c r="BD259" s="5" t="n">
        <v>0.123</v>
      </c>
      <c r="BE259" s="5" t="n">
        <v>0.154</v>
      </c>
      <c r="BF259" s="5" t="n">
        <v>0.902</v>
      </c>
      <c r="BG259" s="5" t="n">
        <v>0.2</v>
      </c>
      <c r="BH259" s="5" t="n">
        <v>1</v>
      </c>
      <c r="BI259" s="5" t="n">
        <v>0.612</v>
      </c>
      <c r="BJ259" s="5" t="n">
        <v>0.123</v>
      </c>
      <c r="BK259" s="5" t="n">
        <v>0.593</v>
      </c>
      <c r="BL259" s="5" t="n">
        <v>1.447</v>
      </c>
      <c r="BM259" s="5" t="n">
        <v>0.2</v>
      </c>
      <c r="BN259" s="5" t="n">
        <v>1</v>
      </c>
      <c r="BO259" s="5" t="n">
        <v>0</v>
      </c>
      <c r="BP259" s="5" t="n">
        <v>0.013</v>
      </c>
      <c r="BQ259" s="5" t="n">
        <v>0.206</v>
      </c>
      <c r="BR259" s="5" t="n">
        <v>0</v>
      </c>
      <c r="BS259" s="5" t="n">
        <v>1</v>
      </c>
      <c r="BT259" s="5" t="n">
        <v>0</v>
      </c>
      <c r="BU259" s="5" t="n">
        <v>0.013</v>
      </c>
      <c r="BV259" s="5" t="n">
        <v>0.248</v>
      </c>
      <c r="BW259" s="5" t="n">
        <v>0.2</v>
      </c>
      <c r="BX259" s="5" t="n">
        <v>0.667</v>
      </c>
      <c r="BY259" s="5" t="n">
        <v>12.729</v>
      </c>
      <c r="BZ259" s="5" t="n">
        <v>0</v>
      </c>
      <c r="CA259" s="5" t="n">
        <v>12.729</v>
      </c>
      <c r="CB259" s="5" t="n">
        <v>0</v>
      </c>
      <c r="CC259" s="5" t="n">
        <v>97.90000000000001</v>
      </c>
      <c r="CD259" s="5" t="n">
        <v>7.95</v>
      </c>
      <c r="CE259" s="5" t="n">
        <v>127.099</v>
      </c>
      <c r="CF259" s="5" t="n">
        <v>269.999</v>
      </c>
      <c r="CG259" s="5" t="n">
        <v>0.2</v>
      </c>
      <c r="CH259" s="5" t="n">
        <v>1</v>
      </c>
      <c r="CI259" s="5" t="n">
        <v>0</v>
      </c>
      <c r="CJ259" s="5" t="n">
        <v>0</v>
      </c>
      <c r="CK259" s="5" t="n">
        <v>0</v>
      </c>
      <c r="CL259" s="5" t="n">
        <v>0</v>
      </c>
      <c r="CM259" s="5" t="n">
        <v>0</v>
      </c>
      <c r="CN259" s="5" t="n">
        <v>0</v>
      </c>
      <c r="CO259" s="5" t="n">
        <v>0</v>
      </c>
      <c r="CP259" s="5" t="n">
        <v>0.999</v>
      </c>
      <c r="CQ259" s="5" t="n">
        <v>1.294</v>
      </c>
      <c r="CR259" s="5" t="n">
        <v>0</v>
      </c>
      <c r="CS259" s="5" t="n">
        <v>5.158</v>
      </c>
      <c r="CT259" s="5" t="n">
        <v>4.748</v>
      </c>
      <c r="CU259" s="5" t="n">
        <v>25.164</v>
      </c>
    </row>
    <row r="260">
      <c r="A260" s="5" t="inlineStr">
        <is>
          <t>EST2023</t>
        </is>
      </c>
      <c r="B260" s="5" t="inlineStr">
        <is>
          <t>EST</t>
        </is>
      </c>
      <c r="C260" s="5" t="inlineStr">
        <is>
          <t>EST</t>
        </is>
      </c>
      <c r="D260" s="5" t="inlineStr">
        <is>
          <t>Estonia</t>
        </is>
      </c>
      <c r="E260" s="5" t="n">
        <v>2023</v>
      </c>
      <c r="F260" s="5" t="n">
        <v>0.2</v>
      </c>
      <c r="G260" s="5" t="n">
        <v>1.995</v>
      </c>
      <c r="H260" s="5" t="n">
        <v>0.643</v>
      </c>
      <c r="I260" s="5" t="n">
        <v>10.898</v>
      </c>
      <c r="J260" s="5" t="n">
        <v>12.893</v>
      </c>
      <c r="K260" s="5" t="n">
        <v>0</v>
      </c>
      <c r="L260" s="5" t="n">
        <v>1</v>
      </c>
      <c r="M260" s="5" t="n">
        <v>3.277</v>
      </c>
      <c r="N260" s="5" t="n">
        <v>1.929</v>
      </c>
      <c r="O260" s="5" t="n">
        <v>10.305</v>
      </c>
      <c r="P260" s="5" t="n">
        <v>13.582</v>
      </c>
      <c r="Q260" s="5" t="n">
        <v>0</v>
      </c>
      <c r="R260" s="5" t="n">
        <v>1</v>
      </c>
      <c r="S260" s="5" t="n">
        <v>5.21</v>
      </c>
      <c r="T260" s="5" t="n">
        <v>3.858</v>
      </c>
      <c r="U260" s="5" t="n">
        <v>0.822</v>
      </c>
      <c r="V260" s="5" t="n">
        <v>7.082</v>
      </c>
      <c r="W260" s="5" t="n">
        <v>0.2</v>
      </c>
      <c r="X260" s="5" t="n">
        <v>1</v>
      </c>
      <c r="Y260" s="5" t="n">
        <v>18.916</v>
      </c>
      <c r="Z260" s="5" t="n">
        <v>2.119</v>
      </c>
      <c r="AA260" s="5" t="n">
        <v>7.721</v>
      </c>
      <c r="AB260" s="5" t="n">
        <v>26.637</v>
      </c>
      <c r="AC260" s="5" t="n">
        <v>0</v>
      </c>
      <c r="AD260" s="5" t="n">
        <v>1</v>
      </c>
      <c r="AE260" s="5" t="n">
        <v>19.014</v>
      </c>
      <c r="AF260" s="5" t="n">
        <v>3.787</v>
      </c>
      <c r="AG260" s="5" t="n">
        <v>7.622</v>
      </c>
      <c r="AH260" s="5" t="n">
        <v>26.637</v>
      </c>
      <c r="AI260" s="5" t="n">
        <v>0</v>
      </c>
      <c r="AJ260" s="5" t="n">
        <v>1</v>
      </c>
      <c r="AK260" s="5" t="n">
        <v>24.157</v>
      </c>
      <c r="AL260" s="5" t="n">
        <v>11.967</v>
      </c>
      <c r="AM260" s="5" t="n">
        <v>-0.507</v>
      </c>
      <c r="AN260" s="5" t="n">
        <v>28.38</v>
      </c>
      <c r="AO260" s="5" t="n">
        <v>0.2</v>
      </c>
      <c r="AP260" s="5" t="n">
        <v>1</v>
      </c>
      <c r="AQ260" s="5" t="n">
        <v>0.76</v>
      </c>
      <c r="AR260" s="5" t="n">
        <v>0.129</v>
      </c>
      <c r="AS260" s="5" t="n">
        <v>0.786</v>
      </c>
      <c r="AT260" s="5" t="n">
        <v>1.856</v>
      </c>
      <c r="AU260" s="5" t="n">
        <v>0.2</v>
      </c>
      <c r="AV260" s="5" t="n">
        <v>1</v>
      </c>
      <c r="AW260" s="5" t="n">
        <v>0.8110000000000001</v>
      </c>
      <c r="AX260" s="5" t="n">
        <v>0.129</v>
      </c>
      <c r="AY260" s="5" t="n">
        <v>0.638</v>
      </c>
      <c r="AZ260" s="5" t="n">
        <v>1.739</v>
      </c>
      <c r="BA260" s="5" t="n">
        <v>0.2</v>
      </c>
      <c r="BB260" s="5" t="n">
        <v>1</v>
      </c>
      <c r="BC260" s="5" t="n">
        <v>0.535</v>
      </c>
      <c r="BD260" s="5" t="n">
        <v>0.129</v>
      </c>
      <c r="BE260" s="5" t="n">
        <v>0.095</v>
      </c>
      <c r="BF260" s="5" t="n">
        <v>0.755</v>
      </c>
      <c r="BG260" s="5" t="n">
        <v>0.2</v>
      </c>
      <c r="BH260" s="5" t="n">
        <v>1</v>
      </c>
      <c r="BI260" s="5" t="n">
        <v>0.579</v>
      </c>
      <c r="BJ260" s="5" t="n">
        <v>0.129</v>
      </c>
      <c r="BK260" s="5" t="n">
        <v>0.449</v>
      </c>
      <c r="BL260" s="5" t="n">
        <v>1.234</v>
      </c>
      <c r="BM260" s="5" t="n">
        <v>0.2</v>
      </c>
      <c r="BN260" s="5" t="n">
        <v>1</v>
      </c>
      <c r="BO260" s="5" t="n">
        <v>0</v>
      </c>
      <c r="BP260" s="5" t="n">
        <v>0.014</v>
      </c>
      <c r="BQ260" s="5" t="n">
        <v>0.147</v>
      </c>
      <c r="BR260" s="5" t="n">
        <v>0</v>
      </c>
      <c r="BS260" s="5" t="n">
        <v>1</v>
      </c>
      <c r="BT260" s="5" t="n">
        <v>0</v>
      </c>
      <c r="BU260" s="5" t="n">
        <v>0.014</v>
      </c>
      <c r="BV260" s="5" t="n">
        <v>0.243</v>
      </c>
      <c r="BW260" s="5" t="n">
        <v>0.2</v>
      </c>
      <c r="BX260" s="5" t="n">
        <v>0.667</v>
      </c>
      <c r="BY260" s="5" t="n">
        <v>13.254</v>
      </c>
      <c r="BZ260" s="5" t="n">
        <v>0</v>
      </c>
      <c r="CA260" s="5" t="n">
        <v>13.254</v>
      </c>
      <c r="CB260" s="5" t="n">
        <v>0</v>
      </c>
      <c r="CC260" s="5" t="n">
        <v>83.248</v>
      </c>
      <c r="CD260" s="5" t="n">
        <v>7.95</v>
      </c>
      <c r="CE260" s="5" t="n">
        <v>119.584</v>
      </c>
      <c r="CF260" s="5" t="n">
        <v>243.399</v>
      </c>
      <c r="CG260" s="5" t="n">
        <v>0.2</v>
      </c>
      <c r="CH260" s="5" t="n">
        <v>1</v>
      </c>
      <c r="CI260" s="5" t="n">
        <v>0</v>
      </c>
      <c r="CJ260" s="5" t="n">
        <v>0</v>
      </c>
      <c r="CK260" s="5" t="n">
        <v>0</v>
      </c>
      <c r="CL260" s="5" t="n">
        <v>0</v>
      </c>
      <c r="CM260" s="5" t="n">
        <v>0</v>
      </c>
      <c r="CN260" s="5" t="n">
        <v>0</v>
      </c>
      <c r="CO260" s="5" t="n">
        <v>0</v>
      </c>
      <c r="CP260" s="5" t="n">
        <v>1</v>
      </c>
      <c r="CQ260" s="5" t="n">
        <v>1.348</v>
      </c>
      <c r="CR260" s="5" t="n">
        <v>0</v>
      </c>
      <c r="CS260" s="5" t="n">
        <v>5.37</v>
      </c>
      <c r="CT260" s="5" t="n">
        <v>23.964</v>
      </c>
      <c r="CU260" s="5" t="n">
        <v>14.805</v>
      </c>
    </row>
    <row r="261">
      <c r="A261" s="5" t="inlineStr">
        <is>
          <t>EST2024</t>
        </is>
      </c>
      <c r="B261" s="5" t="inlineStr">
        <is>
          <t>EST</t>
        </is>
      </c>
      <c r="C261" s="5" t="inlineStr">
        <is>
          <t>EST</t>
        </is>
      </c>
      <c r="D261" s="5" t="inlineStr">
        <is>
          <t>Estonia</t>
        </is>
      </c>
      <c r="E261" s="5" t="n">
        <v>2024</v>
      </c>
      <c r="F261" s="5" t="n">
        <v>0.2</v>
      </c>
      <c r="G261" s="5" t="n">
        <v>2.051</v>
      </c>
      <c r="H261" s="5" t="n">
        <v>0.662</v>
      </c>
      <c r="I261" s="5" t="n">
        <v>7.203</v>
      </c>
      <c r="J261" s="5" t="n">
        <v>9.254</v>
      </c>
      <c r="K261" s="5" t="n">
        <v>0</v>
      </c>
      <c r="L261" s="5" t="n">
        <v>1</v>
      </c>
      <c r="M261" s="5" t="n">
        <v>3.374</v>
      </c>
      <c r="N261" s="5" t="n">
        <v>1.986</v>
      </c>
      <c r="O261" s="5" t="n">
        <v>6.799</v>
      </c>
      <c r="P261" s="5" t="n">
        <v>10.173</v>
      </c>
      <c r="Q261" s="5" t="n">
        <v>0</v>
      </c>
      <c r="R261" s="5" t="n">
        <v>1</v>
      </c>
      <c r="S261" s="5" t="n">
        <v>5.361</v>
      </c>
      <c r="T261" s="5" t="n">
        <v>3.972</v>
      </c>
      <c r="U261" s="5" t="n">
        <v>0.894</v>
      </c>
      <c r="V261" s="5" t="n">
        <v>7.409</v>
      </c>
      <c r="W261" s="5" t="n">
        <v>0.22</v>
      </c>
      <c r="X261" s="5" t="n">
        <v>1</v>
      </c>
      <c r="Y261" s="5" t="n">
        <v>15.644</v>
      </c>
      <c r="Z261" s="5" t="n">
        <v>1.975</v>
      </c>
      <c r="AA261" s="5" t="n">
        <v>4.912</v>
      </c>
      <c r="AB261" s="5" t="n">
        <v>20.556</v>
      </c>
      <c r="AC261" s="5" t="n">
        <v>0</v>
      </c>
      <c r="AD261" s="5" t="n">
        <v>1</v>
      </c>
      <c r="AE261" s="5" t="n">
        <v>15.644</v>
      </c>
      <c r="AF261" s="5" t="n">
        <v>3.427</v>
      </c>
      <c r="AG261" s="5" t="n">
        <v>4.912</v>
      </c>
      <c r="AH261" s="5" t="n">
        <v>20.556</v>
      </c>
      <c r="AI261" s="5" t="n">
        <v>0</v>
      </c>
      <c r="AJ261" s="5" t="n">
        <v>1</v>
      </c>
      <c r="AK261" s="5" t="n">
        <v>20.238</v>
      </c>
      <c r="AL261" s="5" t="n">
        <v>10.294</v>
      </c>
      <c r="AM261" s="5" t="n">
        <v>-2.021</v>
      </c>
      <c r="AN261" s="5" t="n">
        <v>22.225</v>
      </c>
      <c r="AO261" s="5" t="n">
        <v>0.22</v>
      </c>
      <c r="AP261" s="5" t="n">
        <v>1</v>
      </c>
      <c r="AQ261" s="5" t="n">
        <v>0.724</v>
      </c>
      <c r="AR261" s="5" t="n">
        <v>0.132</v>
      </c>
      <c r="AS261" s="5" t="n">
        <v>0.761</v>
      </c>
      <c r="AT261" s="5" t="n">
        <v>1.812</v>
      </c>
      <c r="AU261" s="5" t="n">
        <v>0.22</v>
      </c>
      <c r="AV261" s="5" t="n">
        <v>1</v>
      </c>
      <c r="AW261" s="5" t="n">
        <v>0.75</v>
      </c>
      <c r="AX261" s="5" t="n">
        <v>0.132</v>
      </c>
      <c r="AY261" s="5" t="n">
        <v>0.615</v>
      </c>
      <c r="AZ261" s="5" t="n">
        <v>1.666</v>
      </c>
      <c r="BA261" s="5" t="n">
        <v>0.22</v>
      </c>
      <c r="BB261" s="5" t="n">
        <v>1</v>
      </c>
      <c r="BC261" s="5" t="n">
        <v>0.513</v>
      </c>
      <c r="BD261" s="5" t="n">
        <v>0.132</v>
      </c>
      <c r="BE261" s="5" t="n">
        <v>0.108</v>
      </c>
      <c r="BF261" s="5" t="n">
        <v>0.758</v>
      </c>
      <c r="BG261" s="5" t="n">
        <v>0.22</v>
      </c>
      <c r="BH261" s="5" t="n">
        <v>1</v>
      </c>
      <c r="BI261" s="5" t="n">
        <v>0.591</v>
      </c>
      <c r="BJ261" s="5" t="n">
        <v>0.132</v>
      </c>
      <c r="BK261" s="5" t="n">
        <v>0.359</v>
      </c>
      <c r="BL261" s="5" t="n">
        <v>1.159</v>
      </c>
      <c r="BM261" s="5" t="n">
        <v>0.22</v>
      </c>
      <c r="BN261" s="5" t="n">
        <v>1</v>
      </c>
      <c r="BO261" s="5" t="n">
        <v>0</v>
      </c>
      <c r="BP261" s="5" t="n">
        <v>0.013</v>
      </c>
      <c r="BQ261" s="5" t="n">
        <v>0.151</v>
      </c>
      <c r="BR261" s="5" t="n">
        <v>0</v>
      </c>
      <c r="BS261" s="5" t="n">
        <v>1</v>
      </c>
      <c r="BT261" s="5" t="n">
        <v>0</v>
      </c>
      <c r="BU261" s="5" t="n">
        <v>0.013</v>
      </c>
      <c r="BV261" s="5" t="n">
        <v>0.244</v>
      </c>
      <c r="BW261" s="5" t="n">
        <v>0.22</v>
      </c>
      <c r="BX261" s="5" t="n">
        <v>0.667</v>
      </c>
      <c r="BY261" s="5" t="n">
        <v>13.646</v>
      </c>
      <c r="BZ261" s="5" t="n">
        <v>0</v>
      </c>
      <c r="CA261" s="5" t="n">
        <v>13.646</v>
      </c>
      <c r="CB261" s="5" t="n">
        <v>0</v>
      </c>
      <c r="CC261" s="5" t="n">
        <v>82.58799999999999</v>
      </c>
      <c r="CD261" s="5" t="n">
        <v>7.95</v>
      </c>
      <c r="CE261" s="5" t="n">
        <v>102.705</v>
      </c>
      <c r="CF261" s="5" t="n">
        <v>226.058</v>
      </c>
      <c r="CG261" s="5" t="n">
        <v>0.22</v>
      </c>
      <c r="CH261" s="5" t="n">
        <v>1</v>
      </c>
      <c r="CI261" s="5" t="n">
        <v>0</v>
      </c>
      <c r="CJ261" s="5" t="n">
        <v>0</v>
      </c>
      <c r="CK261" s="5" t="n">
        <v>0</v>
      </c>
      <c r="CL261" s="5" t="n">
        <v>0</v>
      </c>
      <c r="CM261" s="5" t="n">
        <v>0</v>
      </c>
      <c r="CN261" s="5" t="n">
        <v>0</v>
      </c>
      <c r="CO261" s="5" t="n">
        <v>0</v>
      </c>
      <c r="CP261" s="5" t="n">
        <v>1</v>
      </c>
      <c r="CQ261" s="5" t="n">
        <v>1.387</v>
      </c>
      <c r="CR261" s="5" t="n">
        <v>0</v>
      </c>
      <c r="CS261" s="5" t="n">
        <v>5.529</v>
      </c>
      <c r="CT261" s="5" t="n">
        <v>11.886</v>
      </c>
      <c r="CU261" s="5" t="n">
        <v>10.037</v>
      </c>
    </row>
    <row r="262">
      <c r="A262" s="5" t="inlineStr">
        <is>
          <t>SWZ2021</t>
        </is>
      </c>
      <c r="B262" s="5" t="inlineStr">
        <is>
          <t>SWZ</t>
        </is>
      </c>
      <c r="C262" s="5" t="inlineStr">
        <is>
          <t>SWZ</t>
        </is>
      </c>
      <c r="D262" s="5" t="inlineStr">
        <is>
          <t>Eswatini</t>
        </is>
      </c>
      <c r="E262" s="5" t="n">
        <v>2021</v>
      </c>
      <c r="F262" s="5" t="n">
        <v>0.15</v>
      </c>
      <c r="G262" s="5" t="n">
        <v>5.897</v>
      </c>
      <c r="H262" s="5" t="n">
        <v>1.143</v>
      </c>
      <c r="I262" s="5" t="n">
        <v>0</v>
      </c>
      <c r="J262" s="5" t="n">
        <v>5.897</v>
      </c>
      <c r="K262" s="5" t="n">
        <v>0</v>
      </c>
      <c r="L262" s="5" t="n">
        <v>1</v>
      </c>
      <c r="M262" s="5" t="n">
        <v>7.964</v>
      </c>
      <c r="N262" s="5" t="n">
        <v>3.43</v>
      </c>
      <c r="O262" s="5" t="n">
        <v>0</v>
      </c>
      <c r="P262" s="5" t="n">
        <v>7.964</v>
      </c>
      <c r="Q262" s="5" t="n">
        <v>0</v>
      </c>
      <c r="R262" s="5" t="n">
        <v>1</v>
      </c>
      <c r="S262" s="5" t="n">
        <v>11.613</v>
      </c>
      <c r="T262" s="5" t="n">
        <v>6.86</v>
      </c>
      <c r="U262" s="5" t="n">
        <v>0</v>
      </c>
      <c r="V262" s="5" t="n">
        <v>13.355</v>
      </c>
      <c r="W262" s="5" t="n">
        <v>0.15</v>
      </c>
      <c r="X262" s="5" t="n">
        <v>1</v>
      </c>
      <c r="Y262" s="5" t="n">
        <v>15.672</v>
      </c>
      <c r="Z262" s="5" t="n">
        <v>2.118</v>
      </c>
      <c r="AA262" s="5" t="n">
        <v>0</v>
      </c>
      <c r="AB262" s="5" t="n">
        <v>15.672</v>
      </c>
      <c r="AC262" s="5" t="n">
        <v>0</v>
      </c>
      <c r="AD262" s="5" t="n">
        <v>1</v>
      </c>
      <c r="AE262" s="5" t="n">
        <v>16.816</v>
      </c>
      <c r="AF262" s="5" t="n">
        <v>3.932</v>
      </c>
      <c r="AG262" s="5" t="n">
        <v>0</v>
      </c>
      <c r="AH262" s="5" t="n">
        <v>16.816</v>
      </c>
      <c r="AI262" s="5" t="n">
        <v>0</v>
      </c>
      <c r="AJ262" s="5" t="n">
        <v>1</v>
      </c>
      <c r="AK262" s="5" t="n">
        <v>23.675</v>
      </c>
      <c r="AL262" s="5" t="n">
        <v>12.609</v>
      </c>
      <c r="AM262" s="5" t="n">
        <v>0</v>
      </c>
      <c r="AN262" s="5" t="n">
        <v>27.227</v>
      </c>
      <c r="AO262" s="5" t="n">
        <v>0.15</v>
      </c>
      <c r="AP262" s="5" t="n">
        <v>1</v>
      </c>
      <c r="AQ262" s="5" t="n">
        <v>0.619</v>
      </c>
      <c r="AR262" s="5" t="n">
        <v>0.114</v>
      </c>
      <c r="AS262" s="5" t="n">
        <v>0.243</v>
      </c>
      <c r="AT262" s="5" t="n">
        <v>0.992</v>
      </c>
      <c r="AU262" s="5" t="n">
        <v>0.15</v>
      </c>
      <c r="AV262" s="5" t="n">
        <v>1</v>
      </c>
      <c r="AW262" s="5" t="n">
        <v>0.599</v>
      </c>
      <c r="AX262" s="5" t="n">
        <v>0.114</v>
      </c>
      <c r="AY262" s="5" t="n">
        <v>0.188</v>
      </c>
      <c r="AZ262" s="5" t="n">
        <v>0.906</v>
      </c>
      <c r="BA262" s="5" t="n">
        <v>0.15</v>
      </c>
      <c r="BB262" s="5" t="n">
        <v>1</v>
      </c>
      <c r="BC262" s="5" t="n">
        <v>0.439</v>
      </c>
      <c r="BD262" s="5" t="n">
        <v>0.114</v>
      </c>
      <c r="BE262" s="5" t="n">
        <v>0</v>
      </c>
      <c r="BF262" s="5" t="n">
        <v>0.505</v>
      </c>
      <c r="BG262" s="5" t="n">
        <v>0.15</v>
      </c>
      <c r="BH262" s="5" t="n">
        <v>1</v>
      </c>
      <c r="BI262" s="5" t="n">
        <v>0.505</v>
      </c>
      <c r="BJ262" s="5" t="n">
        <v>0.114</v>
      </c>
      <c r="BK262" s="5" t="n">
        <v>0</v>
      </c>
      <c r="BL262" s="5" t="n">
        <v>0.58</v>
      </c>
      <c r="BM262" s="5" t="n">
        <v>0.15</v>
      </c>
      <c r="BN262" s="5" t="n">
        <v>1</v>
      </c>
      <c r="BO262" s="5" t="n">
        <v>0</v>
      </c>
      <c r="BP262" s="5" t="n">
        <v>0</v>
      </c>
      <c r="BQ262" s="5" t="n">
        <v>0.078</v>
      </c>
      <c r="BR262" s="5" t="n">
        <v>0</v>
      </c>
      <c r="BS262" s="5" t="n">
        <v>1</v>
      </c>
      <c r="BT262" s="5" t="n">
        <v>0</v>
      </c>
      <c r="BU262" s="5" t="n">
        <v>0</v>
      </c>
      <c r="BV262" s="5" t="n">
        <v>0.118</v>
      </c>
      <c r="BW262" s="5" t="n">
        <v>0.15</v>
      </c>
      <c r="BX262" s="5" t="n">
        <v>1</v>
      </c>
      <c r="BY262" s="5" t="n">
        <v>11.787</v>
      </c>
      <c r="BZ262" s="5" t="n">
        <v>0</v>
      </c>
      <c r="CA262" s="5" t="n">
        <v>11.787</v>
      </c>
      <c r="CB262" s="5" t="n">
        <v>0</v>
      </c>
      <c r="CC262" s="5" t="n">
        <v>78.125</v>
      </c>
      <c r="CD262" s="5" t="n">
        <v>7.95</v>
      </c>
      <c r="CE262" s="5" t="n">
        <v>0</v>
      </c>
      <c r="CF262" s="5" t="n">
        <v>89.84399999999999</v>
      </c>
      <c r="CG262" s="5" t="n">
        <v>0.15</v>
      </c>
      <c r="CH262" s="5" t="n">
        <v>1</v>
      </c>
      <c r="CI262" s="5" t="n">
        <v>0</v>
      </c>
      <c r="CJ262" s="5" t="n">
        <v>0</v>
      </c>
      <c r="CK262" s="5" t="n">
        <v>0</v>
      </c>
      <c r="CL262" s="5" t="n">
        <v>0</v>
      </c>
      <c r="CM262" s="5" t="n">
        <v>0</v>
      </c>
      <c r="CN262" s="5" t="n">
        <v>0</v>
      </c>
      <c r="CO262" s="5" t="n">
        <v>0</v>
      </c>
      <c r="CP262" s="5" t="n">
        <v>0</v>
      </c>
      <c r="CQ262" s="5" t="n">
        <v>1.198</v>
      </c>
      <c r="CR262" s="5" t="n">
        <v>0</v>
      </c>
      <c r="CS262" s="5" t="n">
        <v>4.776</v>
      </c>
      <c r="CT262" s="5" t="n">
        <v>4.753</v>
      </c>
      <c r="CU262" s="5" t="n">
        <v>15.162</v>
      </c>
    </row>
    <row r="263">
      <c r="A263" s="5" t="inlineStr">
        <is>
          <t>SWZ2022</t>
        </is>
      </c>
      <c r="B263" s="5" t="inlineStr">
        <is>
          <t>SWZ</t>
        </is>
      </c>
      <c r="C263" s="5" t="inlineStr">
        <is>
          <t>SWZ</t>
        </is>
      </c>
      <c r="D263" s="5" t="inlineStr">
        <is>
          <t>Eswatini</t>
        </is>
      </c>
      <c r="E263" s="5" t="n">
        <v>2022</v>
      </c>
      <c r="F263" s="5" t="n">
        <v>0.15</v>
      </c>
      <c r="G263" s="5" t="n">
        <v>11.72</v>
      </c>
      <c r="H263" s="5" t="n">
        <v>1.235</v>
      </c>
      <c r="I263" s="5" t="n">
        <v>0</v>
      </c>
      <c r="J263" s="5" t="n">
        <v>11.72</v>
      </c>
      <c r="K263" s="5" t="n">
        <v>0</v>
      </c>
      <c r="L263" s="5" t="n">
        <v>1</v>
      </c>
      <c r="M263" s="5" t="n">
        <v>9.782999999999999</v>
      </c>
      <c r="N263" s="5" t="n">
        <v>3.704</v>
      </c>
      <c r="O263" s="5" t="n">
        <v>0</v>
      </c>
      <c r="P263" s="5" t="n">
        <v>9.782999999999999</v>
      </c>
      <c r="Q263" s="5" t="n">
        <v>0</v>
      </c>
      <c r="R263" s="5" t="n">
        <v>1</v>
      </c>
      <c r="S263" s="5" t="n">
        <v>17.893</v>
      </c>
      <c r="T263" s="5" t="n">
        <v>7.408</v>
      </c>
      <c r="U263" s="5" t="n">
        <v>0.199</v>
      </c>
      <c r="V263" s="5" t="n">
        <v>20.577</v>
      </c>
      <c r="W263" s="5" t="n">
        <v>0.15</v>
      </c>
      <c r="X263" s="5" t="n">
        <v>1</v>
      </c>
      <c r="Y263" s="5" t="n">
        <v>31.7</v>
      </c>
      <c r="Z263" s="5" t="n">
        <v>4.284</v>
      </c>
      <c r="AA263" s="5" t="n">
        <v>0</v>
      </c>
      <c r="AB263" s="5" t="n">
        <v>31.7</v>
      </c>
      <c r="AC263" s="5" t="n">
        <v>0</v>
      </c>
      <c r="AD263" s="5" t="n">
        <v>1</v>
      </c>
      <c r="AE263" s="5" t="n">
        <v>32.935</v>
      </c>
      <c r="AF263" s="5" t="n">
        <v>7.701</v>
      </c>
      <c r="AG263" s="5" t="n">
        <v>0</v>
      </c>
      <c r="AH263" s="5" t="n">
        <v>32.935</v>
      </c>
      <c r="AI263" s="5" t="n">
        <v>0</v>
      </c>
      <c r="AJ263" s="5" t="n">
        <v>1</v>
      </c>
      <c r="AK263" s="5" t="n">
        <v>40.343</v>
      </c>
      <c r="AL263" s="5" t="n">
        <v>21.486</v>
      </c>
      <c r="AM263" s="5" t="n">
        <v>0.448</v>
      </c>
      <c r="AN263" s="5" t="n">
        <v>46.394</v>
      </c>
      <c r="AO263" s="5" t="n">
        <v>0.15</v>
      </c>
      <c r="AP263" s="5" t="n">
        <v>1</v>
      </c>
      <c r="AQ263" s="5" t="n">
        <v>0.861</v>
      </c>
      <c r="AR263" s="5" t="n">
        <v>0.123</v>
      </c>
      <c r="AS263" s="5" t="n">
        <v>0.25</v>
      </c>
      <c r="AT263" s="5" t="n">
        <v>1.263</v>
      </c>
      <c r="AU263" s="5" t="n">
        <v>0.15</v>
      </c>
      <c r="AV263" s="5" t="n">
        <v>1</v>
      </c>
      <c r="AW263" s="5" t="n">
        <v>0.986</v>
      </c>
      <c r="AX263" s="5" t="n">
        <v>0.123</v>
      </c>
      <c r="AY263" s="5" t="n">
        <v>0.172</v>
      </c>
      <c r="AZ263" s="5" t="n">
        <v>1.317</v>
      </c>
      <c r="BA263" s="5" t="n">
        <v>0.15</v>
      </c>
      <c r="BB263" s="5" t="n">
        <v>1</v>
      </c>
      <c r="BC263" s="5" t="n">
        <v>0.598</v>
      </c>
      <c r="BD263" s="5" t="n">
        <v>0.123</v>
      </c>
      <c r="BE263" s="5" t="n">
        <v>0.007</v>
      </c>
      <c r="BF263" s="5" t="n">
        <v>0.6879999999999999</v>
      </c>
      <c r="BG263" s="5" t="n">
        <v>0.15</v>
      </c>
      <c r="BH263" s="5" t="n">
        <v>1</v>
      </c>
      <c r="BI263" s="5" t="n">
        <v>0.612</v>
      </c>
      <c r="BJ263" s="5" t="n">
        <v>0.123</v>
      </c>
      <c r="BK263" s="5" t="n">
        <v>0.007</v>
      </c>
      <c r="BL263" s="5" t="n">
        <v>0.704</v>
      </c>
      <c r="BM263" s="5" t="n">
        <v>0.15</v>
      </c>
      <c r="BN263" s="5" t="n">
        <v>1</v>
      </c>
      <c r="BO263" s="5" t="n">
        <v>0</v>
      </c>
      <c r="BP263" s="5" t="n">
        <v>0</v>
      </c>
      <c r="BQ263" s="5" t="n">
        <v>0.07000000000000001</v>
      </c>
      <c r="BR263" s="5" t="n">
        <v>0</v>
      </c>
      <c r="BS263" s="5" t="n">
        <v>1</v>
      </c>
      <c r="BT263" s="5" t="n">
        <v>0</v>
      </c>
      <c r="BU263" s="5" t="n">
        <v>0</v>
      </c>
      <c r="BV263" s="5" t="n">
        <v>0.108</v>
      </c>
      <c r="BW263" s="5" t="n">
        <v>0.15</v>
      </c>
      <c r="BX263" s="5" t="n">
        <v>1</v>
      </c>
      <c r="BY263" s="5" t="n">
        <v>12.729</v>
      </c>
      <c r="BZ263" s="5" t="n">
        <v>0</v>
      </c>
      <c r="CA263" s="5" t="n">
        <v>12.729</v>
      </c>
      <c r="CB263" s="5" t="n">
        <v>0</v>
      </c>
      <c r="CC263" s="5" t="n">
        <v>97.90000000000001</v>
      </c>
      <c r="CD263" s="5" t="n">
        <v>7.95</v>
      </c>
      <c r="CE263" s="5" t="n">
        <v>1.087</v>
      </c>
      <c r="CF263" s="5" t="n">
        <v>112.585</v>
      </c>
      <c r="CG263" s="5" t="n">
        <v>0.15</v>
      </c>
      <c r="CH263" s="5" t="n">
        <v>1</v>
      </c>
      <c r="CI263" s="5" t="n">
        <v>0</v>
      </c>
      <c r="CJ263" s="5" t="n">
        <v>0</v>
      </c>
      <c r="CK263" s="5" t="n">
        <v>0</v>
      </c>
      <c r="CL263" s="5" t="n">
        <v>0</v>
      </c>
      <c r="CM263" s="5" t="n">
        <v>0</v>
      </c>
      <c r="CN263" s="5" t="n">
        <v>0</v>
      </c>
      <c r="CO263" s="5" t="n">
        <v>0</v>
      </c>
      <c r="CP263" s="5" t="n">
        <v>0</v>
      </c>
      <c r="CQ263" s="5" t="n">
        <v>1.294</v>
      </c>
      <c r="CR263" s="5" t="n">
        <v>0</v>
      </c>
      <c r="CS263" s="5" t="n">
        <v>5.158</v>
      </c>
      <c r="CT263" s="5" t="n">
        <v>10.485</v>
      </c>
      <c r="CU263" s="5" t="n">
        <v>31.326</v>
      </c>
    </row>
    <row r="264">
      <c r="A264" s="5" t="inlineStr">
        <is>
          <t>SWZ2023</t>
        </is>
      </c>
      <c r="B264" s="5" t="inlineStr">
        <is>
          <t>SWZ</t>
        </is>
      </c>
      <c r="C264" s="5" t="inlineStr">
        <is>
          <t>SWZ</t>
        </is>
      </c>
      <c r="D264" s="5" t="inlineStr">
        <is>
          <t>Eswatini</t>
        </is>
      </c>
      <c r="E264" s="5" t="n">
        <v>2023</v>
      </c>
      <c r="F264" s="5" t="n">
        <v>0.15</v>
      </c>
      <c r="G264" s="5" t="n">
        <v>6.147</v>
      </c>
      <c r="H264" s="5" t="n">
        <v>1.286</v>
      </c>
      <c r="I264" s="5" t="n">
        <v>0</v>
      </c>
      <c r="J264" s="5" t="n">
        <v>6.147</v>
      </c>
      <c r="K264" s="5" t="n">
        <v>0</v>
      </c>
      <c r="L264" s="5" t="n">
        <v>1</v>
      </c>
      <c r="M264" s="5" t="n">
        <v>7.886</v>
      </c>
      <c r="N264" s="5" t="n">
        <v>3.857</v>
      </c>
      <c r="O264" s="5" t="n">
        <v>0</v>
      </c>
      <c r="P264" s="5" t="n">
        <v>7.886</v>
      </c>
      <c r="Q264" s="5" t="n">
        <v>0</v>
      </c>
      <c r="R264" s="5" t="n">
        <v>1</v>
      </c>
      <c r="S264" s="5" t="n">
        <v>12.575</v>
      </c>
      <c r="T264" s="5" t="n">
        <v>7.714</v>
      </c>
      <c r="U264" s="5" t="n">
        <v>0.209</v>
      </c>
      <c r="V264" s="5" t="n">
        <v>14.461</v>
      </c>
      <c r="W264" s="5" t="n">
        <v>0.15</v>
      </c>
      <c r="X264" s="5" t="n">
        <v>1</v>
      </c>
      <c r="Y264" s="5" t="n">
        <v>12.364</v>
      </c>
      <c r="Z264" s="5" t="n">
        <v>1.671</v>
      </c>
      <c r="AA264" s="5" t="n">
        <v>0</v>
      </c>
      <c r="AB264" s="5" t="n">
        <v>12.364</v>
      </c>
      <c r="AC264" s="5" t="n">
        <v>0</v>
      </c>
      <c r="AD264" s="5" t="n">
        <v>1</v>
      </c>
      <c r="AE264" s="5" t="n">
        <v>13.649</v>
      </c>
      <c r="AF264" s="5" t="n">
        <v>3.192</v>
      </c>
      <c r="AG264" s="5" t="n">
        <v>0</v>
      </c>
      <c r="AH264" s="5" t="n">
        <v>13.649</v>
      </c>
      <c r="AI264" s="5" t="n">
        <v>0</v>
      </c>
      <c r="AJ264" s="5" t="n">
        <v>1</v>
      </c>
      <c r="AK264" s="5" t="n">
        <v>21.363</v>
      </c>
      <c r="AL264" s="5" t="n">
        <v>11.378</v>
      </c>
      <c r="AM264" s="5" t="n">
        <v>0.355</v>
      </c>
      <c r="AN264" s="5" t="n">
        <v>24.568</v>
      </c>
      <c r="AO264" s="5" t="n">
        <v>0.15</v>
      </c>
      <c r="AP264" s="5" t="n">
        <v>1</v>
      </c>
      <c r="AQ264" s="5" t="n">
        <v>0.76</v>
      </c>
      <c r="AR264" s="5" t="n">
        <v>0.129</v>
      </c>
      <c r="AS264" s="5" t="n">
        <v>0.282</v>
      </c>
      <c r="AT264" s="5" t="n">
        <v>1.18</v>
      </c>
      <c r="AU264" s="5" t="n">
        <v>0.15</v>
      </c>
      <c r="AV264" s="5" t="n">
        <v>1</v>
      </c>
      <c r="AW264" s="5" t="n">
        <v>0.8110000000000001</v>
      </c>
      <c r="AX264" s="5" t="n">
        <v>0.129</v>
      </c>
      <c r="AY264" s="5" t="n">
        <v>0.21</v>
      </c>
      <c r="AZ264" s="5" t="n">
        <v>1.156</v>
      </c>
      <c r="BA264" s="5" t="n">
        <v>0.15</v>
      </c>
      <c r="BB264" s="5" t="n">
        <v>1</v>
      </c>
      <c r="BC264" s="5" t="n">
        <v>0.535</v>
      </c>
      <c r="BD264" s="5" t="n">
        <v>0.129</v>
      </c>
      <c r="BE264" s="5" t="n">
        <v>0.008999999999999999</v>
      </c>
      <c r="BF264" s="5" t="n">
        <v>0.615</v>
      </c>
      <c r="BG264" s="5" t="n">
        <v>0.15</v>
      </c>
      <c r="BH264" s="5" t="n">
        <v>1</v>
      </c>
      <c r="BI264" s="5" t="n">
        <v>0.579</v>
      </c>
      <c r="BJ264" s="5" t="n">
        <v>0.129</v>
      </c>
      <c r="BK264" s="5" t="n">
        <v>0.01</v>
      </c>
      <c r="BL264" s="5" t="n">
        <v>0.666</v>
      </c>
      <c r="BM264" s="5" t="n">
        <v>0.15</v>
      </c>
      <c r="BN264" s="5" t="n">
        <v>1</v>
      </c>
      <c r="BO264" s="5" t="n">
        <v>0</v>
      </c>
      <c r="BP264" s="5" t="n">
        <v>0</v>
      </c>
      <c r="BQ264" s="5" t="n">
        <v>0.079</v>
      </c>
      <c r="BR264" s="5" t="n">
        <v>0</v>
      </c>
      <c r="BS264" s="5" t="n">
        <v>1</v>
      </c>
      <c r="BT264" s="5" t="n">
        <v>0</v>
      </c>
      <c r="BU264" s="5" t="n">
        <v>0</v>
      </c>
      <c r="BV264" s="5" t="n">
        <v>0.116</v>
      </c>
      <c r="BW264" s="5" t="n">
        <v>0.15</v>
      </c>
      <c r="BX264" s="5" t="n">
        <v>1</v>
      </c>
      <c r="BY264" s="5" t="n">
        <v>13.254</v>
      </c>
      <c r="BZ264" s="5" t="n">
        <v>0</v>
      </c>
      <c r="CA264" s="5" t="n">
        <v>13.254</v>
      </c>
      <c r="CB264" s="5" t="n">
        <v>0</v>
      </c>
      <c r="CC264" s="5" t="n">
        <v>83.248</v>
      </c>
      <c r="CD264" s="5" t="n">
        <v>7.95</v>
      </c>
      <c r="CE264" s="5" t="n">
        <v>1.383</v>
      </c>
      <c r="CF264" s="5" t="n">
        <v>95.735</v>
      </c>
      <c r="CG264" s="5" t="n">
        <v>0.15</v>
      </c>
      <c r="CH264" s="5" t="n">
        <v>1</v>
      </c>
      <c r="CI264" s="5" t="n">
        <v>0</v>
      </c>
      <c r="CJ264" s="5" t="n">
        <v>0</v>
      </c>
      <c r="CK264" s="5" t="n">
        <v>0</v>
      </c>
      <c r="CL264" s="5" t="n">
        <v>0</v>
      </c>
      <c r="CM264" s="5" t="n">
        <v>0</v>
      </c>
      <c r="CN264" s="5" t="n">
        <v>0</v>
      </c>
      <c r="CO264" s="5" t="n">
        <v>0</v>
      </c>
      <c r="CP264" s="5" t="n">
        <v>0</v>
      </c>
      <c r="CQ264" s="5" t="n">
        <v>1.348</v>
      </c>
      <c r="CR264" s="5" t="n">
        <v>0</v>
      </c>
      <c r="CS264" s="5" t="n">
        <v>5.37</v>
      </c>
      <c r="CT264" s="5" t="n">
        <v>4.861</v>
      </c>
      <c r="CU264" s="5" t="n">
        <v>11.622</v>
      </c>
    </row>
    <row r="265">
      <c r="A265" s="5" t="inlineStr">
        <is>
          <t>SWZ2024</t>
        </is>
      </c>
      <c r="B265" s="5" t="inlineStr">
        <is>
          <t>SWZ</t>
        </is>
      </c>
      <c r="C265" s="5" t="inlineStr">
        <is>
          <t>SWZ</t>
        </is>
      </c>
      <c r="D265" s="5" t="inlineStr">
        <is>
          <t>Eswatini</t>
        </is>
      </c>
      <c r="E265" s="5" t="n">
        <v>2024</v>
      </c>
      <c r="F265" s="5" t="n">
        <v>0.15</v>
      </c>
      <c r="G265" s="5" t="n">
        <v>5.575</v>
      </c>
      <c r="H265" s="5" t="n">
        <v>1.324</v>
      </c>
      <c r="I265" s="5" t="n">
        <v>0</v>
      </c>
      <c r="J265" s="5" t="n">
        <v>5.575</v>
      </c>
      <c r="K265" s="5" t="n">
        <v>0</v>
      </c>
      <c r="L265" s="5" t="n">
        <v>1</v>
      </c>
      <c r="M265" s="5" t="n">
        <v>7.124</v>
      </c>
      <c r="N265" s="5" t="n">
        <v>3.971</v>
      </c>
      <c r="O265" s="5" t="n">
        <v>0</v>
      </c>
      <c r="P265" s="5" t="n">
        <v>7.124</v>
      </c>
      <c r="Q265" s="5" t="n">
        <v>0</v>
      </c>
      <c r="R265" s="5" t="n">
        <v>1</v>
      </c>
      <c r="S265" s="5" t="n">
        <v>12.193</v>
      </c>
      <c r="T265" s="5" t="n">
        <v>7.942</v>
      </c>
      <c r="U265" s="5" t="n">
        <v>0.249</v>
      </c>
      <c r="V265" s="5" t="n">
        <v>14.022</v>
      </c>
      <c r="W265" s="5" t="n">
        <v>0.15</v>
      </c>
      <c r="X265" s="5" t="n">
        <v>1</v>
      </c>
      <c r="Y265" s="5" t="n">
        <v>11.088</v>
      </c>
      <c r="Z265" s="5" t="n">
        <v>1.499</v>
      </c>
      <c r="AA265" s="5" t="n">
        <v>0</v>
      </c>
      <c r="AB265" s="5" t="n">
        <v>11.088</v>
      </c>
      <c r="AC265" s="5" t="n">
        <v>0</v>
      </c>
      <c r="AD265" s="5" t="n">
        <v>1</v>
      </c>
      <c r="AE265" s="5" t="n">
        <v>12.412</v>
      </c>
      <c r="AF265" s="5" t="n">
        <v>2.902</v>
      </c>
      <c r="AG265" s="5" t="n">
        <v>0</v>
      </c>
      <c r="AH265" s="5" t="n">
        <v>12.412</v>
      </c>
      <c r="AI265" s="5" t="n">
        <v>0</v>
      </c>
      <c r="AJ265" s="5" t="n">
        <v>1</v>
      </c>
      <c r="AK265" s="5" t="n">
        <v>20.353</v>
      </c>
      <c r="AL265" s="5" t="n">
        <v>10.84</v>
      </c>
      <c r="AM265" s="5" t="n">
        <v>0.416</v>
      </c>
      <c r="AN265" s="5" t="n">
        <v>23.406</v>
      </c>
      <c r="AO265" s="5" t="n">
        <v>0.15</v>
      </c>
      <c r="AP265" s="5" t="n">
        <v>1</v>
      </c>
      <c r="AQ265" s="5" t="n">
        <v>0.724</v>
      </c>
      <c r="AR265" s="5" t="n">
        <v>0.132</v>
      </c>
      <c r="AS265" s="5" t="n">
        <v>0.301</v>
      </c>
      <c r="AT265" s="5" t="n">
        <v>1.156</v>
      </c>
      <c r="AU265" s="5" t="n">
        <v>0.15</v>
      </c>
      <c r="AV265" s="5" t="n">
        <v>1</v>
      </c>
      <c r="AW265" s="5" t="n">
        <v>0.75</v>
      </c>
      <c r="AX265" s="5" t="n">
        <v>0.132</v>
      </c>
      <c r="AY265" s="5" t="n">
        <v>0.23</v>
      </c>
      <c r="AZ265" s="5" t="n">
        <v>1.105</v>
      </c>
      <c r="BA265" s="5" t="n">
        <v>0.15</v>
      </c>
      <c r="BB265" s="5" t="n">
        <v>1</v>
      </c>
      <c r="BC265" s="5" t="n">
        <v>0.513</v>
      </c>
      <c r="BD265" s="5" t="n">
        <v>0.132</v>
      </c>
      <c r="BE265" s="5" t="n">
        <v>0.01</v>
      </c>
      <c r="BF265" s="5" t="n">
        <v>0.59</v>
      </c>
      <c r="BG265" s="5" t="n">
        <v>0.15</v>
      </c>
      <c r="BH265" s="5" t="n">
        <v>1</v>
      </c>
      <c r="BI265" s="5" t="n">
        <v>0.591</v>
      </c>
      <c r="BJ265" s="5" t="n">
        <v>0.132</v>
      </c>
      <c r="BK265" s="5" t="n">
        <v>0.012</v>
      </c>
      <c r="BL265" s="5" t="n">
        <v>0.68</v>
      </c>
      <c r="BM265" s="5" t="n">
        <v>0.15</v>
      </c>
      <c r="BN265" s="5" t="n">
        <v>1</v>
      </c>
      <c r="BO265" s="5" t="n">
        <v>0</v>
      </c>
      <c r="BP265" s="5" t="n">
        <v>0</v>
      </c>
      <c r="BQ265" s="5" t="n">
        <v>0.08799999999999999</v>
      </c>
      <c r="BR265" s="5" t="n">
        <v>0</v>
      </c>
      <c r="BS265" s="5" t="n">
        <v>1</v>
      </c>
      <c r="BT265" s="5" t="n">
        <v>0</v>
      </c>
      <c r="BU265" s="5" t="n">
        <v>0</v>
      </c>
      <c r="BV265" s="5" t="n">
        <v>0.124</v>
      </c>
      <c r="BW265" s="5" t="n">
        <v>0.15</v>
      </c>
      <c r="BX265" s="5" t="n">
        <v>1</v>
      </c>
      <c r="BY265" s="5" t="n">
        <v>13.646</v>
      </c>
      <c r="BZ265" s="5" t="n">
        <v>0</v>
      </c>
      <c r="CA265" s="5" t="n">
        <v>13.646</v>
      </c>
      <c r="CB265" s="5" t="n">
        <v>0</v>
      </c>
      <c r="CC265" s="5" t="n">
        <v>82.58799999999999</v>
      </c>
      <c r="CD265" s="5" t="n">
        <v>7.95</v>
      </c>
      <c r="CE265" s="5" t="n">
        <v>1.687</v>
      </c>
      <c r="CF265" s="5" t="n">
        <v>94.976</v>
      </c>
      <c r="CG265" s="5" t="n">
        <v>0.15</v>
      </c>
      <c r="CH265" s="5" t="n">
        <v>1</v>
      </c>
      <c r="CI265" s="5" t="n">
        <v>0</v>
      </c>
      <c r="CJ265" s="5" t="n">
        <v>0</v>
      </c>
      <c r="CK265" s="5" t="n">
        <v>0</v>
      </c>
      <c r="CL265" s="5" t="n">
        <v>0</v>
      </c>
      <c r="CM265" s="5" t="n">
        <v>0</v>
      </c>
      <c r="CN265" s="5" t="n">
        <v>0</v>
      </c>
      <c r="CO265" s="5" t="n">
        <v>0</v>
      </c>
      <c r="CP265" s="5" t="n">
        <v>0</v>
      </c>
      <c r="CQ265" s="5" t="n">
        <v>1.387</v>
      </c>
      <c r="CR265" s="5" t="n">
        <v>0</v>
      </c>
      <c r="CS265" s="5" t="n">
        <v>5.529</v>
      </c>
      <c r="CT265" s="5" t="n">
        <v>4.251</v>
      </c>
      <c r="CU265" s="5" t="n">
        <v>10.168</v>
      </c>
    </row>
    <row r="266">
      <c r="A266" s="5" t="inlineStr">
        <is>
          <t>ETH2021</t>
        </is>
      </c>
      <c r="B266" s="5" t="inlineStr">
        <is>
          <t>ETH</t>
        </is>
      </c>
      <c r="C266" s="5" t="inlineStr">
        <is>
          <t>ETH</t>
        </is>
      </c>
      <c r="D266" s="5" t="inlineStr">
        <is>
          <t>Ethiopia</t>
        </is>
      </c>
      <c r="E266" s="5" t="n">
        <v>2021</v>
      </c>
      <c r="F266" s="5" t="n">
        <v>0.15</v>
      </c>
      <c r="G266" s="5" t="n">
        <v>4.108</v>
      </c>
      <c r="H266" s="5" t="n">
        <v>0.896</v>
      </c>
      <c r="I266" s="5" t="n">
        <v>0</v>
      </c>
      <c r="J266" s="5" t="n">
        <v>4.108</v>
      </c>
      <c r="K266" s="5" t="n">
        <v>0</v>
      </c>
      <c r="L266" s="5" t="n">
        <v>1</v>
      </c>
      <c r="M266" s="5" t="n">
        <v>5.775</v>
      </c>
      <c r="N266" s="5" t="n">
        <v>2.687</v>
      </c>
      <c r="O266" s="5" t="n">
        <v>0.119</v>
      </c>
      <c r="P266" s="5" t="n">
        <v>5.894</v>
      </c>
      <c r="Q266" s="5" t="n">
        <v>0</v>
      </c>
      <c r="R266" s="5" t="n">
        <v>1</v>
      </c>
      <c r="S266" s="5" t="n">
        <v>8.585000000000001</v>
      </c>
      <c r="T266" s="5" t="n">
        <v>5.373</v>
      </c>
      <c r="U266" s="5" t="n">
        <v>0</v>
      </c>
      <c r="V266" s="5" t="n">
        <v>9.872999999999999</v>
      </c>
      <c r="W266" s="5" t="n">
        <v>0.15</v>
      </c>
      <c r="X266" s="5" t="n">
        <v>1</v>
      </c>
      <c r="Y266" s="5" t="n">
        <v>3.969</v>
      </c>
      <c r="Z266" s="5" t="n">
        <v>0.536</v>
      </c>
      <c r="AA266" s="5" t="n">
        <v>0</v>
      </c>
      <c r="AB266" s="5" t="n">
        <v>3.969</v>
      </c>
      <c r="AC266" s="5" t="n">
        <v>0</v>
      </c>
      <c r="AD266" s="5" t="n">
        <v>1</v>
      </c>
      <c r="AE266" s="5" t="n">
        <v>5.112</v>
      </c>
      <c r="AF266" s="5" t="n">
        <v>1.195</v>
      </c>
      <c r="AG266" s="5" t="n">
        <v>0</v>
      </c>
      <c r="AH266" s="5" t="n">
        <v>5.112</v>
      </c>
      <c r="AI266" s="5" t="n">
        <v>0</v>
      </c>
      <c r="AJ266" s="5" t="n">
        <v>1</v>
      </c>
      <c r="AK266" s="5" t="n">
        <v>11.972</v>
      </c>
      <c r="AL266" s="5" t="n">
        <v>6.376</v>
      </c>
      <c r="AM266" s="5" t="n">
        <v>0</v>
      </c>
      <c r="AN266" s="5" t="n">
        <v>13.768</v>
      </c>
      <c r="AO266" s="5" t="n">
        <v>0.15</v>
      </c>
      <c r="AP266" s="5" t="n">
        <v>1</v>
      </c>
      <c r="AQ266" s="5" t="n">
        <v>0.619</v>
      </c>
      <c r="AR266" s="5" t="n">
        <v>0.114</v>
      </c>
      <c r="AS266" s="5" t="n">
        <v>-0.099</v>
      </c>
      <c r="AT266" s="5" t="n">
        <v>0.598</v>
      </c>
      <c r="AU266" s="5" t="n">
        <v>0.15</v>
      </c>
      <c r="AV266" s="5" t="n">
        <v>1</v>
      </c>
      <c r="AW266" s="5" t="n">
        <v>0.599</v>
      </c>
      <c r="AX266" s="5" t="n">
        <v>0.114</v>
      </c>
      <c r="AY266" s="5" t="n">
        <v>-0.133</v>
      </c>
      <c r="AZ266" s="5" t="n">
        <v>0.537</v>
      </c>
      <c r="BA266" s="5" t="n">
        <v>0.15</v>
      </c>
      <c r="BB266" s="5" t="n">
        <v>1</v>
      </c>
      <c r="BC266" s="5" t="n">
        <v>0.439</v>
      </c>
      <c r="BD266" s="5" t="n">
        <v>0.114</v>
      </c>
      <c r="BE266" s="5" t="n">
        <v>0.016</v>
      </c>
      <c r="BF266" s="5" t="n">
        <v>0.523</v>
      </c>
      <c r="BG266" s="5" t="n">
        <v>0.15</v>
      </c>
      <c r="BH266" s="5" t="n">
        <v>1</v>
      </c>
      <c r="BI266" s="5" t="n">
        <v>0.505</v>
      </c>
      <c r="BJ266" s="5" t="n">
        <v>0.114</v>
      </c>
      <c r="BK266" s="5" t="n">
        <v>0.032</v>
      </c>
      <c r="BL266" s="5" t="n">
        <v>0.537</v>
      </c>
      <c r="BM266" s="5" t="n">
        <v>0</v>
      </c>
      <c r="BN266" s="5" t="n">
        <v>1</v>
      </c>
      <c r="BO266" s="5" t="n">
        <v>0</v>
      </c>
      <c r="BP266" s="5" t="n">
        <v>0</v>
      </c>
      <c r="BQ266" s="5" t="n">
        <v>0.028</v>
      </c>
      <c r="BR266" s="5" t="n">
        <v>0</v>
      </c>
      <c r="BS266" s="5" t="n">
        <v>0.667</v>
      </c>
      <c r="BT266" s="5" t="n">
        <v>0</v>
      </c>
      <c r="BU266" s="5" t="n">
        <v>0</v>
      </c>
      <c r="BV266" s="5" t="n">
        <v>0.048</v>
      </c>
      <c r="BW266" s="5" t="n">
        <v>0.15</v>
      </c>
      <c r="BX266" s="5" t="n">
        <v>0.667</v>
      </c>
      <c r="BY266" s="5" t="n">
        <v>11.787</v>
      </c>
      <c r="BZ266" s="5" t="n">
        <v>0</v>
      </c>
      <c r="CA266" s="5" t="n">
        <v>11.787</v>
      </c>
      <c r="CB266" s="5" t="n">
        <v>0</v>
      </c>
      <c r="CC266" s="5" t="n">
        <v>78.125</v>
      </c>
      <c r="CD266" s="5" t="n">
        <v>7.95</v>
      </c>
      <c r="CE266" s="5" t="n">
        <v>-2.409</v>
      </c>
      <c r="CF266" s="5" t="n">
        <v>87.07299999999999</v>
      </c>
      <c r="CG266" s="5" t="n">
        <v>0.15</v>
      </c>
      <c r="CH266" s="5" t="n">
        <v>1</v>
      </c>
      <c r="CI266" s="5" t="n">
        <v>0</v>
      </c>
      <c r="CJ266" s="5" t="n">
        <v>0</v>
      </c>
      <c r="CK266" s="5" t="n">
        <v>0</v>
      </c>
      <c r="CL266" s="5" t="n">
        <v>0</v>
      </c>
      <c r="CM266" s="5" t="n">
        <v>0</v>
      </c>
      <c r="CN266" s="5" t="n">
        <v>0</v>
      </c>
      <c r="CO266" s="5" t="n">
        <v>0</v>
      </c>
      <c r="CP266" s="5" t="n">
        <v>0.433</v>
      </c>
      <c r="CQ266" s="5" t="n">
        <v>1.198</v>
      </c>
      <c r="CR266" s="5" t="n">
        <v>0</v>
      </c>
      <c r="CS266" s="5" t="n">
        <v>4.049</v>
      </c>
      <c r="CT266" s="5" t="n">
        <v>4.753</v>
      </c>
      <c r="CU266" s="5" t="n">
        <v>15.162</v>
      </c>
    </row>
    <row r="267">
      <c r="A267" s="5" t="inlineStr">
        <is>
          <t>ETH2022</t>
        </is>
      </c>
      <c r="B267" s="5" t="inlineStr">
        <is>
          <t>ETH</t>
        </is>
      </c>
      <c r="C267" s="5" t="inlineStr">
        <is>
          <t>ETH</t>
        </is>
      </c>
      <c r="D267" s="5" t="inlineStr">
        <is>
          <t>Ethiopia</t>
        </is>
      </c>
      <c r="E267" s="5" t="n">
        <v>2022</v>
      </c>
      <c r="F267" s="5" t="n">
        <v>0.15</v>
      </c>
      <c r="G267" s="5" t="n">
        <v>7.468</v>
      </c>
      <c r="H267" s="5" t="n">
        <v>0.967</v>
      </c>
      <c r="I267" s="5" t="n">
        <v>0</v>
      </c>
      <c r="J267" s="5" t="n">
        <v>7.468</v>
      </c>
      <c r="K267" s="5" t="n">
        <v>0</v>
      </c>
      <c r="L267" s="5" t="n">
        <v>1</v>
      </c>
      <c r="M267" s="5" t="n">
        <v>6.906</v>
      </c>
      <c r="N267" s="5" t="n">
        <v>2.901</v>
      </c>
      <c r="O267" s="5" t="n">
        <v>0.159</v>
      </c>
      <c r="P267" s="5" t="n">
        <v>7.065</v>
      </c>
      <c r="Q267" s="5" t="n">
        <v>0</v>
      </c>
      <c r="R267" s="5" t="n">
        <v>1</v>
      </c>
      <c r="S267" s="5" t="n">
        <v>12.304</v>
      </c>
      <c r="T267" s="5" t="n">
        <v>5.803</v>
      </c>
      <c r="U267" s="5" t="n">
        <v>0.137</v>
      </c>
      <c r="V267" s="5" t="n">
        <v>14.149</v>
      </c>
      <c r="W267" s="5" t="n">
        <v>0.15</v>
      </c>
      <c r="X267" s="5" t="n">
        <v>1</v>
      </c>
      <c r="Y267" s="5" t="n">
        <v>15.126</v>
      </c>
      <c r="Z267" s="5" t="n">
        <v>2.044</v>
      </c>
      <c r="AA267" s="5" t="n">
        <v>0</v>
      </c>
      <c r="AB267" s="5" t="n">
        <v>15.126</v>
      </c>
      <c r="AC267" s="5" t="n">
        <v>0</v>
      </c>
      <c r="AD267" s="5" t="n">
        <v>1</v>
      </c>
      <c r="AE267" s="5" t="n">
        <v>16.361</v>
      </c>
      <c r="AF267" s="5" t="n">
        <v>3.826</v>
      </c>
      <c r="AG267" s="5" t="n">
        <v>0</v>
      </c>
      <c r="AH267" s="5" t="n">
        <v>16.361</v>
      </c>
      <c r="AI267" s="5" t="n">
        <v>0</v>
      </c>
      <c r="AJ267" s="5" t="n">
        <v>1</v>
      </c>
      <c r="AK267" s="5" t="n">
        <v>23.769</v>
      </c>
      <c r="AL267" s="5" t="n">
        <v>12.659</v>
      </c>
      <c r="AM267" s="5" t="n">
        <v>0.264</v>
      </c>
      <c r="AN267" s="5" t="n">
        <v>27.334</v>
      </c>
      <c r="AO267" s="5" t="n">
        <v>0.15</v>
      </c>
      <c r="AP267" s="5" t="n">
        <v>1</v>
      </c>
      <c r="AQ267" s="5" t="n">
        <v>0.861</v>
      </c>
      <c r="AR267" s="5" t="n">
        <v>0.123</v>
      </c>
      <c r="AS267" s="5" t="n">
        <v>-0.139</v>
      </c>
      <c r="AT267" s="5" t="n">
        <v>0.83</v>
      </c>
      <c r="AU267" s="5" t="n">
        <v>0.15</v>
      </c>
      <c r="AV267" s="5" t="n">
        <v>1</v>
      </c>
      <c r="AW267" s="5" t="n">
        <v>0.986</v>
      </c>
      <c r="AX267" s="5" t="n">
        <v>0.123</v>
      </c>
      <c r="AY267" s="5" t="n">
        <v>-0.267</v>
      </c>
      <c r="AZ267" s="5" t="n">
        <v>0.827</v>
      </c>
      <c r="BA267" s="5" t="n">
        <v>0.15</v>
      </c>
      <c r="BB267" s="5" t="n">
        <v>1</v>
      </c>
      <c r="BC267" s="5" t="n">
        <v>0.598</v>
      </c>
      <c r="BD267" s="5" t="n">
        <v>0.123</v>
      </c>
      <c r="BE267" s="5" t="n">
        <v>0.03</v>
      </c>
      <c r="BF267" s="5" t="n">
        <v>0.714</v>
      </c>
      <c r="BG267" s="5" t="n">
        <v>0.15</v>
      </c>
      <c r="BH267" s="5" t="n">
        <v>1</v>
      </c>
      <c r="BI267" s="5" t="n">
        <v>0.612</v>
      </c>
      <c r="BJ267" s="5" t="n">
        <v>0.123</v>
      </c>
      <c r="BK267" s="5" t="n">
        <v>0.214</v>
      </c>
      <c r="BL267" s="5" t="n">
        <v>0.827</v>
      </c>
      <c r="BM267" s="5" t="n">
        <v>0</v>
      </c>
      <c r="BN267" s="5" t="n">
        <v>1</v>
      </c>
      <c r="BO267" s="5" t="n">
        <v>0</v>
      </c>
      <c r="BP267" s="5" t="n">
        <v>0</v>
      </c>
      <c r="BQ267" s="5" t="n">
        <v>0.023</v>
      </c>
      <c r="BR267" s="5" t="n">
        <v>0</v>
      </c>
      <c r="BS267" s="5" t="n">
        <v>0.667</v>
      </c>
      <c r="BT267" s="5" t="n">
        <v>0</v>
      </c>
      <c r="BU267" s="5" t="n">
        <v>0</v>
      </c>
      <c r="BV267" s="5" t="n">
        <v>0.041</v>
      </c>
      <c r="BW267" s="5" t="n">
        <v>0.15</v>
      </c>
      <c r="BX267" s="5" t="n">
        <v>0.667</v>
      </c>
      <c r="BY267" s="5" t="n">
        <v>12.729</v>
      </c>
      <c r="BZ267" s="5" t="n">
        <v>0</v>
      </c>
      <c r="CA267" s="5" t="n">
        <v>12.729</v>
      </c>
      <c r="CB267" s="5" t="n">
        <v>0</v>
      </c>
      <c r="CC267" s="5" t="n">
        <v>97.90000000000001</v>
      </c>
      <c r="CD267" s="5" t="n">
        <v>7.95</v>
      </c>
      <c r="CE267" s="5" t="n">
        <v>22.085</v>
      </c>
      <c r="CF267" s="5" t="n">
        <v>137.983</v>
      </c>
      <c r="CG267" s="5" t="n">
        <v>0.15</v>
      </c>
      <c r="CH267" s="5" t="n">
        <v>1</v>
      </c>
      <c r="CI267" s="5" t="n">
        <v>0</v>
      </c>
      <c r="CJ267" s="5" t="n">
        <v>0</v>
      </c>
      <c r="CK267" s="5" t="n">
        <v>0</v>
      </c>
      <c r="CL267" s="5" t="n">
        <v>0</v>
      </c>
      <c r="CM267" s="5" t="n">
        <v>0</v>
      </c>
      <c r="CN267" s="5" t="n">
        <v>0</v>
      </c>
      <c r="CO267" s="5" t="n">
        <v>0</v>
      </c>
      <c r="CP267" s="5" t="n">
        <v>0.433</v>
      </c>
      <c r="CQ267" s="5" t="n">
        <v>1.294</v>
      </c>
      <c r="CR267" s="5" t="n">
        <v>0</v>
      </c>
      <c r="CS267" s="5" t="n">
        <v>4.373</v>
      </c>
      <c r="CT267" s="5" t="n">
        <v>10.485</v>
      </c>
      <c r="CU267" s="5" t="n">
        <v>31.326</v>
      </c>
    </row>
    <row r="268">
      <c r="A268" s="5" t="inlineStr">
        <is>
          <t>ETH2023</t>
        </is>
      </c>
      <c r="B268" s="5" t="inlineStr">
        <is>
          <t>ETH</t>
        </is>
      </c>
      <c r="C268" s="5" t="inlineStr">
        <is>
          <t>ETH</t>
        </is>
      </c>
      <c r="D268" s="5" t="inlineStr">
        <is>
          <t>Ethiopia</t>
        </is>
      </c>
      <c r="E268" s="5" t="n">
        <v>2023</v>
      </c>
      <c r="F268" s="5" t="n">
        <v>0.15</v>
      </c>
      <c r="G268" s="5" t="n">
        <v>4.457</v>
      </c>
      <c r="H268" s="5" t="n">
        <v>1.024</v>
      </c>
      <c r="I268" s="5" t="n">
        <v>0</v>
      </c>
      <c r="J268" s="5" t="n">
        <v>4.457</v>
      </c>
      <c r="K268" s="5" t="n">
        <v>0</v>
      </c>
      <c r="L268" s="5" t="n">
        <v>1</v>
      </c>
      <c r="M268" s="5" t="n">
        <v>6.012</v>
      </c>
      <c r="N268" s="5" t="n">
        <v>3.073</v>
      </c>
      <c r="O268" s="5" t="n">
        <v>0.111</v>
      </c>
      <c r="P268" s="5" t="n">
        <v>6.123</v>
      </c>
      <c r="Q268" s="5" t="n">
        <v>0</v>
      </c>
      <c r="R268" s="5" t="n">
        <v>1</v>
      </c>
      <c r="S268" s="5" t="n">
        <v>9.579000000000001</v>
      </c>
      <c r="T268" s="5" t="n">
        <v>6.146</v>
      </c>
      <c r="U268" s="5" t="n">
        <v>0.159</v>
      </c>
      <c r="V268" s="5" t="n">
        <v>11.016</v>
      </c>
      <c r="W268" s="5" t="n">
        <v>0.15</v>
      </c>
      <c r="X268" s="5" t="n">
        <v>1</v>
      </c>
      <c r="Y268" s="5" t="n">
        <v>7.362</v>
      </c>
      <c r="Z268" s="5" t="n">
        <v>0.995</v>
      </c>
      <c r="AA268" s="5" t="n">
        <v>0</v>
      </c>
      <c r="AB268" s="5" t="n">
        <v>7.362</v>
      </c>
      <c r="AC268" s="5" t="n">
        <v>0</v>
      </c>
      <c r="AD268" s="5" t="n">
        <v>1</v>
      </c>
      <c r="AE268" s="5" t="n">
        <v>8.648</v>
      </c>
      <c r="AF268" s="5" t="n">
        <v>2.022</v>
      </c>
      <c r="AG268" s="5" t="n">
        <v>0</v>
      </c>
      <c r="AH268" s="5" t="n">
        <v>8.648</v>
      </c>
      <c r="AI268" s="5" t="n">
        <v>0</v>
      </c>
      <c r="AJ268" s="5" t="n">
        <v>1</v>
      </c>
      <c r="AK268" s="5" t="n">
        <v>16.362</v>
      </c>
      <c r="AL268" s="5" t="n">
        <v>8.714</v>
      </c>
      <c r="AM268" s="5" t="n">
        <v>0.272</v>
      </c>
      <c r="AN268" s="5" t="n">
        <v>18.816</v>
      </c>
      <c r="AO268" s="5" t="n">
        <v>0.15</v>
      </c>
      <c r="AP268" s="5" t="n">
        <v>1</v>
      </c>
      <c r="AQ268" s="5" t="n">
        <v>0.76</v>
      </c>
      <c r="AR268" s="5" t="n">
        <v>0.129</v>
      </c>
      <c r="AS268" s="5" t="n">
        <v>0.342</v>
      </c>
      <c r="AT268" s="5" t="n">
        <v>1.268</v>
      </c>
      <c r="AU268" s="5" t="n">
        <v>0.15</v>
      </c>
      <c r="AV268" s="5" t="n">
        <v>1</v>
      </c>
      <c r="AW268" s="5" t="n">
        <v>0.8110000000000001</v>
      </c>
      <c r="AX268" s="5" t="n">
        <v>0.129</v>
      </c>
      <c r="AY268" s="5" t="n">
        <v>0.343</v>
      </c>
      <c r="AZ268" s="5" t="n">
        <v>1.328</v>
      </c>
      <c r="BA268" s="5" t="n">
        <v>0.15</v>
      </c>
      <c r="BB268" s="5" t="n">
        <v>1</v>
      </c>
      <c r="BC268" s="5" t="n">
        <v>0.535</v>
      </c>
      <c r="BD268" s="5" t="n">
        <v>0.129</v>
      </c>
      <c r="BE268" s="5" t="n">
        <v>0.029</v>
      </c>
      <c r="BF268" s="5" t="n">
        <v>0.638</v>
      </c>
      <c r="BG268" s="5" t="n">
        <v>0.15</v>
      </c>
      <c r="BH268" s="5" t="n">
        <v>1</v>
      </c>
      <c r="BI268" s="5" t="n">
        <v>0.579</v>
      </c>
      <c r="BJ268" s="5" t="n">
        <v>0.129</v>
      </c>
      <c r="BK268" s="5" t="n">
        <v>0.739</v>
      </c>
      <c r="BL268" s="5" t="n">
        <v>1.318</v>
      </c>
      <c r="BM268" s="5" t="n">
        <v>0</v>
      </c>
      <c r="BN268" s="5" t="n">
        <v>1</v>
      </c>
      <c r="BO268" s="5" t="n">
        <v>0</v>
      </c>
      <c r="BP268" s="5" t="n">
        <v>0</v>
      </c>
      <c r="BQ268" s="5" t="n">
        <v>0.022</v>
      </c>
      <c r="BR268" s="5" t="n">
        <v>0</v>
      </c>
      <c r="BS268" s="5" t="n">
        <v>0.667</v>
      </c>
      <c r="BT268" s="5" t="n">
        <v>0</v>
      </c>
      <c r="BU268" s="5" t="n">
        <v>0</v>
      </c>
      <c r="BV268" s="5" t="n">
        <v>0.039</v>
      </c>
      <c r="BW268" s="5" t="n">
        <v>0.15</v>
      </c>
      <c r="BX268" s="5" t="n">
        <v>0.667</v>
      </c>
      <c r="BY268" s="5" t="n">
        <v>13.254</v>
      </c>
      <c r="BZ268" s="5" t="n">
        <v>0</v>
      </c>
      <c r="CA268" s="5" t="n">
        <v>13.254</v>
      </c>
      <c r="CB268" s="5" t="n">
        <v>0</v>
      </c>
      <c r="CC268" s="5" t="n">
        <v>83.248</v>
      </c>
      <c r="CD268" s="5" t="n">
        <v>7.95</v>
      </c>
      <c r="CE268" s="5" t="n">
        <v>92.107</v>
      </c>
      <c r="CF268" s="5" t="n">
        <v>201.659</v>
      </c>
      <c r="CG268" s="5" t="n">
        <v>0.15</v>
      </c>
      <c r="CH268" s="5" t="n">
        <v>1</v>
      </c>
      <c r="CI268" s="5" t="n">
        <v>0</v>
      </c>
      <c r="CJ268" s="5" t="n">
        <v>0</v>
      </c>
      <c r="CK268" s="5" t="n">
        <v>0</v>
      </c>
      <c r="CL268" s="5" t="n">
        <v>0</v>
      </c>
      <c r="CM268" s="5" t="n">
        <v>0</v>
      </c>
      <c r="CN268" s="5" t="n">
        <v>0</v>
      </c>
      <c r="CO268" s="5" t="n">
        <v>0</v>
      </c>
      <c r="CP268" s="5" t="n">
        <v>0.407</v>
      </c>
      <c r="CQ268" s="5" t="n">
        <v>1.348</v>
      </c>
      <c r="CR268" s="5" t="n">
        <v>0</v>
      </c>
      <c r="CS268" s="5" t="n">
        <v>4.553</v>
      </c>
      <c r="CT268" s="5" t="n">
        <v>4.861</v>
      </c>
      <c r="CU268" s="5" t="n">
        <v>11.622</v>
      </c>
    </row>
    <row r="269">
      <c r="A269" s="5" t="inlineStr">
        <is>
          <t>ETH2024</t>
        </is>
      </c>
      <c r="B269" s="5" t="inlineStr">
        <is>
          <t>ETH</t>
        </is>
      </c>
      <c r="C269" s="5" t="inlineStr">
        <is>
          <t>ETH</t>
        </is>
      </c>
      <c r="D269" s="5" t="inlineStr">
        <is>
          <t>Ethiopia</t>
        </is>
      </c>
      <c r="E269" s="5" t="n">
        <v>2024</v>
      </c>
      <c r="F269" s="5" t="n">
        <v>0.15</v>
      </c>
      <c r="G269" s="5" t="n">
        <v>4.142</v>
      </c>
      <c r="H269" s="5" t="n">
        <v>1.055</v>
      </c>
      <c r="I269" s="5" t="n">
        <v>0</v>
      </c>
      <c r="J269" s="5" t="n">
        <v>4.142</v>
      </c>
      <c r="K269" s="5" t="n">
        <v>0</v>
      </c>
      <c r="L269" s="5" t="n">
        <v>1</v>
      </c>
      <c r="M269" s="5" t="n">
        <v>5.599</v>
      </c>
      <c r="N269" s="5" t="n">
        <v>3.164</v>
      </c>
      <c r="O269" s="5" t="n">
        <v>0.08699999999999999</v>
      </c>
      <c r="P269" s="5" t="n">
        <v>5.686</v>
      </c>
      <c r="Q269" s="5" t="n">
        <v>0</v>
      </c>
      <c r="R269" s="5" t="n">
        <v>1</v>
      </c>
      <c r="S269" s="5" t="n">
        <v>9.414999999999999</v>
      </c>
      <c r="T269" s="5" t="n">
        <v>6.328</v>
      </c>
      <c r="U269" s="5" t="n">
        <v>0.192</v>
      </c>
      <c r="V269" s="5" t="n">
        <v>10.827</v>
      </c>
      <c r="W269" s="5" t="n">
        <v>0.15</v>
      </c>
      <c r="X269" s="5" t="n">
        <v>1</v>
      </c>
      <c r="Y269" s="5" t="n">
        <v>6.861</v>
      </c>
      <c r="Z269" s="5" t="n">
        <v>0.927</v>
      </c>
      <c r="AA269" s="5" t="n">
        <v>0</v>
      </c>
      <c r="AB269" s="5" t="n">
        <v>6.861</v>
      </c>
      <c r="AC269" s="5" t="n">
        <v>0</v>
      </c>
      <c r="AD269" s="5" t="n">
        <v>1</v>
      </c>
      <c r="AE269" s="5" t="n">
        <v>8.185</v>
      </c>
      <c r="AF269" s="5" t="n">
        <v>1.914</v>
      </c>
      <c r="AG269" s="5" t="n">
        <v>0</v>
      </c>
      <c r="AH269" s="5" t="n">
        <v>8.185</v>
      </c>
      <c r="AI269" s="5" t="n">
        <v>0</v>
      </c>
      <c r="AJ269" s="5" t="n">
        <v>1</v>
      </c>
      <c r="AK269" s="5" t="n">
        <v>16.127</v>
      </c>
      <c r="AL269" s="5" t="n">
        <v>8.589</v>
      </c>
      <c r="AM269" s="5" t="n">
        <v>0.33</v>
      </c>
      <c r="AN269" s="5" t="n">
        <v>18.546</v>
      </c>
      <c r="AO269" s="5" t="n">
        <v>0.15</v>
      </c>
      <c r="AP269" s="5" t="n">
        <v>1</v>
      </c>
      <c r="AQ269" s="5" t="n">
        <v>0.724</v>
      </c>
      <c r="AR269" s="5" t="n">
        <v>0.132</v>
      </c>
      <c r="AS269" s="5" t="n">
        <v>0.142</v>
      </c>
      <c r="AT269" s="5" t="n">
        <v>0.996</v>
      </c>
      <c r="AU269" s="5" t="n">
        <v>0.15</v>
      </c>
      <c r="AV269" s="5" t="n">
        <v>1</v>
      </c>
      <c r="AW269" s="5" t="n">
        <v>0.75</v>
      </c>
      <c r="AX269" s="5" t="n">
        <v>0.132</v>
      </c>
      <c r="AY269" s="5" t="n">
        <v>0.128</v>
      </c>
      <c r="AZ269" s="5" t="n">
        <v>1.009</v>
      </c>
      <c r="BA269" s="5" t="n">
        <v>0.15</v>
      </c>
      <c r="BB269" s="5" t="n">
        <v>1</v>
      </c>
      <c r="BC269" s="5" t="n">
        <v>0.513</v>
      </c>
      <c r="BD269" s="5" t="n">
        <v>0.132</v>
      </c>
      <c r="BE269" s="5" t="n">
        <v>0.029</v>
      </c>
      <c r="BF269" s="5" t="n">
        <v>0.611</v>
      </c>
      <c r="BG269" s="5" t="n">
        <v>0.15</v>
      </c>
      <c r="BH269" s="5" t="n">
        <v>1</v>
      </c>
      <c r="BI269" s="5" t="n">
        <v>0.591</v>
      </c>
      <c r="BJ269" s="5" t="n">
        <v>0.132</v>
      </c>
      <c r="BK269" s="5" t="n">
        <v>0.405</v>
      </c>
      <c r="BL269" s="5" t="n">
        <v>0.997</v>
      </c>
      <c r="BM269" s="5" t="n">
        <v>0</v>
      </c>
      <c r="BN269" s="5" t="n">
        <v>1</v>
      </c>
      <c r="BO269" s="5" t="n">
        <v>0</v>
      </c>
      <c r="BP269" s="5" t="n">
        <v>0</v>
      </c>
      <c r="BQ269" s="5" t="n">
        <v>0.023</v>
      </c>
      <c r="BR269" s="5" t="n">
        <v>0</v>
      </c>
      <c r="BS269" s="5" t="n">
        <v>0.667</v>
      </c>
      <c r="BT269" s="5" t="n">
        <v>0</v>
      </c>
      <c r="BU269" s="5" t="n">
        <v>0</v>
      </c>
      <c r="BV269" s="5" t="n">
        <v>0.04</v>
      </c>
      <c r="BW269" s="5" t="n">
        <v>0.15</v>
      </c>
      <c r="BX269" s="5" t="n">
        <v>0.667</v>
      </c>
      <c r="BY269" s="5" t="n">
        <v>13.646</v>
      </c>
      <c r="BZ269" s="5" t="n">
        <v>0</v>
      </c>
      <c r="CA269" s="5" t="n">
        <v>13.646</v>
      </c>
      <c r="CB269" s="5" t="n">
        <v>0</v>
      </c>
      <c r="CC269" s="5" t="n">
        <v>82.58799999999999</v>
      </c>
      <c r="CD269" s="5" t="n">
        <v>7.95</v>
      </c>
      <c r="CE269" s="5" t="n">
        <v>52.055</v>
      </c>
      <c r="CF269" s="5" t="n">
        <v>154.84</v>
      </c>
      <c r="CG269" s="5" t="n">
        <v>0.15</v>
      </c>
      <c r="CH269" s="5" t="n">
        <v>1</v>
      </c>
      <c r="CI269" s="5" t="n">
        <v>0</v>
      </c>
      <c r="CJ269" s="5" t="n">
        <v>0</v>
      </c>
      <c r="CK269" s="5" t="n">
        <v>0</v>
      </c>
      <c r="CL269" s="5" t="n">
        <v>0</v>
      </c>
      <c r="CM269" s="5" t="n">
        <v>0</v>
      </c>
      <c r="CN269" s="5" t="n">
        <v>0</v>
      </c>
      <c r="CO269" s="5" t="n">
        <v>0</v>
      </c>
      <c r="CP269" s="5" t="n">
        <v>0.407</v>
      </c>
      <c r="CQ269" s="5" t="n">
        <v>1.387</v>
      </c>
      <c r="CR269" s="5" t="n">
        <v>0</v>
      </c>
      <c r="CS269" s="5" t="n">
        <v>4.688</v>
      </c>
      <c r="CT269" s="5" t="n">
        <v>4.251</v>
      </c>
      <c r="CU269" s="5" t="n">
        <v>10.168</v>
      </c>
    </row>
    <row r="270">
      <c r="A270" s="5" t="inlineStr">
        <is>
          <t>FRO2021</t>
        </is>
      </c>
      <c r="B270" s="5" t="inlineStr">
        <is>
          <t>FRO</t>
        </is>
      </c>
      <c r="C270" s="5" t="inlineStr">
        <is>
          <t>FRO</t>
        </is>
      </c>
      <c r="D270" s="5" t="inlineStr">
        <is>
          <t>Faroe Islands</t>
        </is>
      </c>
      <c r="E270" s="5" t="n">
        <v>2021</v>
      </c>
      <c r="F270" s="5" t="n">
        <v>0</v>
      </c>
      <c r="G270" s="5" t="n">
        <v>5.553</v>
      </c>
      <c r="H270" s="5" t="n">
        <v>1.143</v>
      </c>
      <c r="I270" s="5" t="n">
        <v>0</v>
      </c>
      <c r="J270" s="5" t="n">
        <v>5.553</v>
      </c>
      <c r="K270" s="5" t="n">
        <v>0</v>
      </c>
      <c r="L270" s="5" t="n">
        <v>1</v>
      </c>
      <c r="M270" s="5" t="n">
        <v>7.964</v>
      </c>
      <c r="N270" s="5" t="n">
        <v>3.43</v>
      </c>
      <c r="O270" s="5" t="n">
        <v>0</v>
      </c>
      <c r="P270" s="5" t="n">
        <v>7.964</v>
      </c>
      <c r="Q270" s="5" t="n">
        <v>0</v>
      </c>
      <c r="R270" s="5" t="n">
        <v>1</v>
      </c>
      <c r="S270" s="5" t="n">
        <v>11.27</v>
      </c>
      <c r="T270" s="5" t="n">
        <v>6.86</v>
      </c>
      <c r="U270" s="5" t="n">
        <v>0</v>
      </c>
      <c r="V270" s="5" t="n">
        <v>11.27</v>
      </c>
      <c r="W270" s="5" t="n">
        <v>0</v>
      </c>
      <c r="X270" s="5" t="n">
        <v>1</v>
      </c>
      <c r="Y270" s="5" t="n">
        <v>16.305</v>
      </c>
      <c r="Z270" s="5" t="n">
        <v>2.204</v>
      </c>
      <c r="AA270" s="5" t="n">
        <v>0</v>
      </c>
      <c r="AB270" s="5" t="n">
        <v>16.305</v>
      </c>
      <c r="AC270" s="5" t="n">
        <v>0</v>
      </c>
      <c r="AD270" s="5" t="n">
        <v>1</v>
      </c>
      <c r="AE270" s="5" t="n">
        <v>17.449</v>
      </c>
      <c r="AF270" s="5" t="n">
        <v>4.08</v>
      </c>
      <c r="AG270" s="5" t="n">
        <v>0</v>
      </c>
      <c r="AH270" s="5" t="n">
        <v>17.449</v>
      </c>
      <c r="AI270" s="5" t="n">
        <v>0</v>
      </c>
      <c r="AJ270" s="5" t="n">
        <v>1</v>
      </c>
      <c r="AK270" s="5" t="n">
        <v>24.309</v>
      </c>
      <c r="AL270" s="5" t="n">
        <v>12.947</v>
      </c>
      <c r="AM270" s="5" t="n">
        <v>0</v>
      </c>
      <c r="AN270" s="5" t="n">
        <v>24.309</v>
      </c>
      <c r="AO270" s="5" t="n">
        <v>0</v>
      </c>
      <c r="AP270" s="5" t="n">
        <v>1</v>
      </c>
      <c r="AQ270" s="5" t="n">
        <v>0.619</v>
      </c>
      <c r="AR270" s="5" t="n">
        <v>0.114</v>
      </c>
      <c r="AS270" s="5" t="n">
        <v>0</v>
      </c>
      <c r="AT270" s="5" t="n">
        <v>0.619</v>
      </c>
      <c r="AU270" s="5" t="n">
        <v>0</v>
      </c>
      <c r="AV270" s="5" t="n">
        <v>1</v>
      </c>
      <c r="AW270" s="5" t="n">
        <v>0.599</v>
      </c>
      <c r="AX270" s="5" t="n">
        <v>0.114</v>
      </c>
      <c r="AY270" s="5" t="n">
        <v>0</v>
      </c>
      <c r="AZ270" s="5" t="n">
        <v>0.599</v>
      </c>
      <c r="BA270" s="5" t="n">
        <v>0</v>
      </c>
      <c r="BB270" s="5" t="n">
        <v>1</v>
      </c>
      <c r="BC270" s="5" t="n">
        <v>0.439</v>
      </c>
      <c r="BD270" s="5" t="n">
        <v>0.114</v>
      </c>
      <c r="BE270" s="5" t="n">
        <v>0</v>
      </c>
      <c r="BF270" s="5" t="n">
        <v>0.439</v>
      </c>
      <c r="BG270" s="5" t="n">
        <v>0</v>
      </c>
      <c r="BH270" s="5" t="n">
        <v>1</v>
      </c>
      <c r="BI270" s="5" t="n">
        <v>0.505</v>
      </c>
      <c r="BJ270" s="5" t="n">
        <v>0.114</v>
      </c>
      <c r="BK270" s="5" t="n">
        <v>0</v>
      </c>
      <c r="BL270" s="5" t="n">
        <v>0.505</v>
      </c>
      <c r="BM270" s="5" t="n">
        <v>0</v>
      </c>
      <c r="BN270" s="5" t="n">
        <v>1</v>
      </c>
      <c r="BO270" s="5" t="n">
        <v>0</v>
      </c>
      <c r="BP270" s="5" t="n">
        <v>0</v>
      </c>
      <c r="BQ270" s="5" t="n">
        <v>0</v>
      </c>
      <c r="BR270" s="5" t="n">
        <v>0</v>
      </c>
      <c r="BS270" s="5" t="n">
        <v>1</v>
      </c>
      <c r="BT270" s="5" t="n">
        <v>0</v>
      </c>
      <c r="BU270" s="5" t="n">
        <v>0</v>
      </c>
      <c r="BV270" s="5" t="n">
        <v>0</v>
      </c>
      <c r="BW270" s="5" t="n">
        <v>0</v>
      </c>
      <c r="BX270" s="5" t="n">
        <v>1</v>
      </c>
      <c r="BY270" s="5" t="n">
        <v>11.787</v>
      </c>
      <c r="BZ270" s="5" t="n">
        <v>0</v>
      </c>
      <c r="CA270" s="5" t="n">
        <v>11.787</v>
      </c>
      <c r="CB270" s="5" t="n">
        <v>0</v>
      </c>
      <c r="CC270" s="5" t="n">
        <v>78.125</v>
      </c>
      <c r="CD270" s="5" t="n">
        <v>7.95</v>
      </c>
      <c r="CE270" s="5" t="n">
        <v>0</v>
      </c>
      <c r="CF270" s="5" t="n">
        <v>78.125</v>
      </c>
      <c r="CG270" s="5" t="n">
        <v>0</v>
      </c>
      <c r="CH270" s="5" t="n">
        <v>1</v>
      </c>
      <c r="CI270" s="5" t="n">
        <v>0</v>
      </c>
      <c r="CJ270" s="5" t="n">
        <v>0</v>
      </c>
      <c r="CK270" s="5" t="n">
        <v>0</v>
      </c>
      <c r="CL270" s="5" t="n">
        <v>0</v>
      </c>
      <c r="CM270" s="5" t="n">
        <v>0</v>
      </c>
      <c r="CN270" s="5" t="n">
        <v>0</v>
      </c>
      <c r="CO270" s="5" t="n">
        <v>0</v>
      </c>
      <c r="CP270" s="5" t="n">
        <v>0</v>
      </c>
      <c r="CQ270" s="5" t="n">
        <v>1.198</v>
      </c>
      <c r="CR270" s="5" t="n">
        <v>0</v>
      </c>
      <c r="CS270" s="5" t="n">
        <v>4.776</v>
      </c>
      <c r="CT270" s="5" t="n">
        <v>4.41</v>
      </c>
      <c r="CU270" s="5" t="n">
        <v>15.162</v>
      </c>
    </row>
    <row r="271">
      <c r="A271" s="5" t="inlineStr">
        <is>
          <t>FRO2022</t>
        </is>
      </c>
      <c r="B271" s="5" t="inlineStr">
        <is>
          <t>FRO</t>
        </is>
      </c>
      <c r="C271" s="5" t="inlineStr">
        <is>
          <t>FRO</t>
        </is>
      </c>
      <c r="D271" s="5" t="inlineStr">
        <is>
          <t>Faroe Islands</t>
        </is>
      </c>
      <c r="E271" s="5" t="n">
        <v>2022</v>
      </c>
      <c r="F271" s="5" t="n">
        <v>0</v>
      </c>
      <c r="G271" s="5" t="n">
        <v>7.077</v>
      </c>
      <c r="H271" s="5" t="n">
        <v>1.235</v>
      </c>
      <c r="I271" s="5" t="n">
        <v>0</v>
      </c>
      <c r="J271" s="5" t="n">
        <v>7.077</v>
      </c>
      <c r="K271" s="5" t="n">
        <v>0</v>
      </c>
      <c r="L271" s="5" t="n">
        <v>1</v>
      </c>
      <c r="M271" s="5" t="n">
        <v>9.782999999999999</v>
      </c>
      <c r="N271" s="5" t="n">
        <v>3.704</v>
      </c>
      <c r="O271" s="5" t="n">
        <v>0</v>
      </c>
      <c r="P271" s="5" t="n">
        <v>9.782999999999999</v>
      </c>
      <c r="Q271" s="5" t="n">
        <v>0</v>
      </c>
      <c r="R271" s="5" t="n">
        <v>1</v>
      </c>
      <c r="S271" s="5" t="n">
        <v>13.25</v>
      </c>
      <c r="T271" s="5" t="n">
        <v>7.408</v>
      </c>
      <c r="U271" s="5" t="n">
        <v>0</v>
      </c>
      <c r="V271" s="5" t="n">
        <v>13.25</v>
      </c>
      <c r="W271" s="5" t="n">
        <v>0</v>
      </c>
      <c r="X271" s="5" t="n">
        <v>1</v>
      </c>
      <c r="Y271" s="5" t="n">
        <v>32.56</v>
      </c>
      <c r="Z271" s="5" t="n">
        <v>4.401</v>
      </c>
      <c r="AA271" s="5" t="n">
        <v>0</v>
      </c>
      <c r="AB271" s="5" t="n">
        <v>32.56</v>
      </c>
      <c r="AC271" s="5" t="n">
        <v>0</v>
      </c>
      <c r="AD271" s="5" t="n">
        <v>1</v>
      </c>
      <c r="AE271" s="5" t="n">
        <v>33.795</v>
      </c>
      <c r="AF271" s="5" t="n">
        <v>7.902</v>
      </c>
      <c r="AG271" s="5" t="n">
        <v>0</v>
      </c>
      <c r="AH271" s="5" t="n">
        <v>33.795</v>
      </c>
      <c r="AI271" s="5" t="n">
        <v>0</v>
      </c>
      <c r="AJ271" s="5" t="n">
        <v>1</v>
      </c>
      <c r="AK271" s="5" t="n">
        <v>41.203</v>
      </c>
      <c r="AL271" s="5" t="n">
        <v>21.945</v>
      </c>
      <c r="AM271" s="5" t="n">
        <v>0</v>
      </c>
      <c r="AN271" s="5" t="n">
        <v>41.203</v>
      </c>
      <c r="AO271" s="5" t="n">
        <v>0</v>
      </c>
      <c r="AP271" s="5" t="n">
        <v>1</v>
      </c>
      <c r="AQ271" s="5" t="n">
        <v>0.861</v>
      </c>
      <c r="AR271" s="5" t="n">
        <v>0.123</v>
      </c>
      <c r="AS271" s="5" t="n">
        <v>0</v>
      </c>
      <c r="AT271" s="5" t="n">
        <v>0.861</v>
      </c>
      <c r="AU271" s="5" t="n">
        <v>0</v>
      </c>
      <c r="AV271" s="5" t="n">
        <v>1</v>
      </c>
      <c r="AW271" s="5" t="n">
        <v>0.986</v>
      </c>
      <c r="AX271" s="5" t="n">
        <v>0.123</v>
      </c>
      <c r="AY271" s="5" t="n">
        <v>0</v>
      </c>
      <c r="AZ271" s="5" t="n">
        <v>0.986</v>
      </c>
      <c r="BA271" s="5" t="n">
        <v>0</v>
      </c>
      <c r="BB271" s="5" t="n">
        <v>1</v>
      </c>
      <c r="BC271" s="5" t="n">
        <v>0.598</v>
      </c>
      <c r="BD271" s="5" t="n">
        <v>0.123</v>
      </c>
      <c r="BE271" s="5" t="n">
        <v>0</v>
      </c>
      <c r="BF271" s="5" t="n">
        <v>0.598</v>
      </c>
      <c r="BG271" s="5" t="n">
        <v>0</v>
      </c>
      <c r="BH271" s="5" t="n">
        <v>1</v>
      </c>
      <c r="BI271" s="5" t="n">
        <v>0.612</v>
      </c>
      <c r="BJ271" s="5" t="n">
        <v>0.123</v>
      </c>
      <c r="BK271" s="5" t="n">
        <v>0</v>
      </c>
      <c r="BL271" s="5" t="n">
        <v>0.612</v>
      </c>
      <c r="BM271" s="5" t="n">
        <v>0</v>
      </c>
      <c r="BN271" s="5" t="n">
        <v>1</v>
      </c>
      <c r="BO271" s="5" t="n">
        <v>0</v>
      </c>
      <c r="BP271" s="5" t="n">
        <v>0</v>
      </c>
      <c r="BQ271" s="5" t="n">
        <v>0</v>
      </c>
      <c r="BR271" s="5" t="n">
        <v>0</v>
      </c>
      <c r="BS271" s="5" t="n">
        <v>1</v>
      </c>
      <c r="BT271" s="5" t="n">
        <v>0</v>
      </c>
      <c r="BU271" s="5" t="n">
        <v>0</v>
      </c>
      <c r="BV271" s="5" t="n">
        <v>0</v>
      </c>
      <c r="BW271" s="5" t="n">
        <v>0</v>
      </c>
      <c r="BX271" s="5" t="n">
        <v>1</v>
      </c>
      <c r="BY271" s="5" t="n">
        <v>12.729</v>
      </c>
      <c r="BZ271" s="5" t="n">
        <v>0</v>
      </c>
      <c r="CA271" s="5" t="n">
        <v>12.729</v>
      </c>
      <c r="CB271" s="5" t="n">
        <v>0</v>
      </c>
      <c r="CC271" s="5" t="n">
        <v>97.90000000000001</v>
      </c>
      <c r="CD271" s="5" t="n">
        <v>7.95</v>
      </c>
      <c r="CE271" s="5" t="n">
        <v>0</v>
      </c>
      <c r="CF271" s="5" t="n">
        <v>97.90000000000001</v>
      </c>
      <c r="CG271" s="5" t="n">
        <v>0</v>
      </c>
      <c r="CH271" s="5" t="n">
        <v>1</v>
      </c>
      <c r="CI271" s="5" t="n">
        <v>0</v>
      </c>
      <c r="CJ271" s="5" t="n">
        <v>0</v>
      </c>
      <c r="CK271" s="5" t="n">
        <v>0</v>
      </c>
      <c r="CL271" s="5" t="n">
        <v>0</v>
      </c>
      <c r="CM271" s="5" t="n">
        <v>0</v>
      </c>
      <c r="CN271" s="5" t="n">
        <v>0</v>
      </c>
      <c r="CO271" s="5" t="n">
        <v>0</v>
      </c>
      <c r="CP271" s="5" t="n">
        <v>0</v>
      </c>
      <c r="CQ271" s="5" t="n">
        <v>1.294</v>
      </c>
      <c r="CR271" s="5" t="n">
        <v>0</v>
      </c>
      <c r="CS271" s="5" t="n">
        <v>5.158</v>
      </c>
      <c r="CT271" s="5" t="n">
        <v>5.842</v>
      </c>
      <c r="CU271" s="5" t="n">
        <v>31.326</v>
      </c>
    </row>
    <row r="272">
      <c r="A272" s="5" t="inlineStr">
        <is>
          <t>FRO2023</t>
        </is>
      </c>
      <c r="B272" s="5" t="inlineStr">
        <is>
          <t>FRO</t>
        </is>
      </c>
      <c r="C272" s="5" t="inlineStr">
        <is>
          <t>FRO</t>
        </is>
      </c>
      <c r="D272" s="5" t="inlineStr">
        <is>
          <t>Faroe Islands</t>
        </is>
      </c>
      <c r="E272" s="5" t="n">
        <v>2023</v>
      </c>
      <c r="F272" s="5" t="n">
        <v>0</v>
      </c>
      <c r="G272" s="5" t="n">
        <v>4.752</v>
      </c>
      <c r="H272" s="5" t="n">
        <v>1.286</v>
      </c>
      <c r="I272" s="5" t="n">
        <v>0</v>
      </c>
      <c r="J272" s="5" t="n">
        <v>4.752</v>
      </c>
      <c r="K272" s="5" t="n">
        <v>0</v>
      </c>
      <c r="L272" s="5" t="n">
        <v>1</v>
      </c>
      <c r="M272" s="5" t="n">
        <v>7.886</v>
      </c>
      <c r="N272" s="5" t="n">
        <v>3.857</v>
      </c>
      <c r="O272" s="5" t="n">
        <v>0</v>
      </c>
      <c r="P272" s="5" t="n">
        <v>7.886</v>
      </c>
      <c r="Q272" s="5" t="n">
        <v>0</v>
      </c>
      <c r="R272" s="5" t="n">
        <v>1</v>
      </c>
      <c r="S272" s="5" t="n">
        <v>11.18</v>
      </c>
      <c r="T272" s="5" t="n">
        <v>7.714</v>
      </c>
      <c r="U272" s="5" t="n">
        <v>0</v>
      </c>
      <c r="V272" s="5" t="n">
        <v>11.18</v>
      </c>
      <c r="W272" s="5" t="n">
        <v>0</v>
      </c>
      <c r="X272" s="5" t="n">
        <v>1</v>
      </c>
      <c r="Y272" s="5" t="n">
        <v>12.908</v>
      </c>
      <c r="Z272" s="5" t="n">
        <v>1.745</v>
      </c>
      <c r="AA272" s="5" t="n">
        <v>0</v>
      </c>
      <c r="AB272" s="5" t="n">
        <v>12.908</v>
      </c>
      <c r="AC272" s="5" t="n">
        <v>0</v>
      </c>
      <c r="AD272" s="5" t="n">
        <v>1</v>
      </c>
      <c r="AE272" s="5" t="n">
        <v>14.194</v>
      </c>
      <c r="AF272" s="5" t="n">
        <v>3.319</v>
      </c>
      <c r="AG272" s="5" t="n">
        <v>0</v>
      </c>
      <c r="AH272" s="5" t="n">
        <v>14.194</v>
      </c>
      <c r="AI272" s="5" t="n">
        <v>0</v>
      </c>
      <c r="AJ272" s="5" t="n">
        <v>1</v>
      </c>
      <c r="AK272" s="5" t="n">
        <v>21.908</v>
      </c>
      <c r="AL272" s="5" t="n">
        <v>11.668</v>
      </c>
      <c r="AM272" s="5" t="n">
        <v>0</v>
      </c>
      <c r="AN272" s="5" t="n">
        <v>21.908</v>
      </c>
      <c r="AO272" s="5" t="n">
        <v>0</v>
      </c>
      <c r="AP272" s="5" t="n">
        <v>1</v>
      </c>
      <c r="AQ272" s="5" t="n">
        <v>0.76</v>
      </c>
      <c r="AR272" s="5" t="n">
        <v>0.129</v>
      </c>
      <c r="AS272" s="5" t="n">
        <v>0</v>
      </c>
      <c r="AT272" s="5" t="n">
        <v>0.76</v>
      </c>
      <c r="AU272" s="5" t="n">
        <v>0</v>
      </c>
      <c r="AV272" s="5" t="n">
        <v>1</v>
      </c>
      <c r="AW272" s="5" t="n">
        <v>0.8110000000000001</v>
      </c>
      <c r="AX272" s="5" t="n">
        <v>0.129</v>
      </c>
      <c r="AY272" s="5" t="n">
        <v>0</v>
      </c>
      <c r="AZ272" s="5" t="n">
        <v>0.8110000000000001</v>
      </c>
      <c r="BA272" s="5" t="n">
        <v>0</v>
      </c>
      <c r="BB272" s="5" t="n">
        <v>1</v>
      </c>
      <c r="BC272" s="5" t="n">
        <v>0.535</v>
      </c>
      <c r="BD272" s="5" t="n">
        <v>0.129</v>
      </c>
      <c r="BE272" s="5" t="n">
        <v>0</v>
      </c>
      <c r="BF272" s="5" t="n">
        <v>0.535</v>
      </c>
      <c r="BG272" s="5" t="n">
        <v>0</v>
      </c>
      <c r="BH272" s="5" t="n">
        <v>1</v>
      </c>
      <c r="BI272" s="5" t="n">
        <v>0.579</v>
      </c>
      <c r="BJ272" s="5" t="n">
        <v>0.129</v>
      </c>
      <c r="BK272" s="5" t="n">
        <v>0</v>
      </c>
      <c r="BL272" s="5" t="n">
        <v>0.579</v>
      </c>
      <c r="BM272" s="5" t="n">
        <v>0</v>
      </c>
      <c r="BN272" s="5" t="n">
        <v>1</v>
      </c>
      <c r="BO272" s="5" t="n">
        <v>0</v>
      </c>
      <c r="BP272" s="5" t="n">
        <v>0</v>
      </c>
      <c r="BQ272" s="5" t="n">
        <v>0</v>
      </c>
      <c r="BR272" s="5" t="n">
        <v>0</v>
      </c>
      <c r="BS272" s="5" t="n">
        <v>1</v>
      </c>
      <c r="BT272" s="5" t="n">
        <v>0</v>
      </c>
      <c r="BU272" s="5" t="n">
        <v>0</v>
      </c>
      <c r="BV272" s="5" t="n">
        <v>0</v>
      </c>
      <c r="BW272" s="5" t="n">
        <v>0</v>
      </c>
      <c r="BX272" s="5" t="n">
        <v>1</v>
      </c>
      <c r="BY272" s="5" t="n">
        <v>13.254</v>
      </c>
      <c r="BZ272" s="5" t="n">
        <v>0</v>
      </c>
      <c r="CA272" s="5" t="n">
        <v>13.254</v>
      </c>
      <c r="CB272" s="5" t="n">
        <v>0</v>
      </c>
      <c r="CC272" s="5" t="n">
        <v>83.248</v>
      </c>
      <c r="CD272" s="5" t="n">
        <v>7.95</v>
      </c>
      <c r="CE272" s="5" t="n">
        <v>0</v>
      </c>
      <c r="CF272" s="5" t="n">
        <v>83.248</v>
      </c>
      <c r="CG272" s="5" t="n">
        <v>0</v>
      </c>
      <c r="CH272" s="5" t="n">
        <v>1</v>
      </c>
      <c r="CI272" s="5" t="n">
        <v>0</v>
      </c>
      <c r="CJ272" s="5" t="n">
        <v>0</v>
      </c>
      <c r="CK272" s="5" t="n">
        <v>0</v>
      </c>
      <c r="CL272" s="5" t="n">
        <v>0</v>
      </c>
      <c r="CM272" s="5" t="n">
        <v>0</v>
      </c>
      <c r="CN272" s="5" t="n">
        <v>0</v>
      </c>
      <c r="CO272" s="5" t="n">
        <v>0</v>
      </c>
      <c r="CP272" s="5" t="n">
        <v>0</v>
      </c>
      <c r="CQ272" s="5" t="n">
        <v>1.348</v>
      </c>
      <c r="CR272" s="5" t="n">
        <v>0</v>
      </c>
      <c r="CS272" s="5" t="n">
        <v>5.37</v>
      </c>
      <c r="CT272" s="5" t="n">
        <v>3.466</v>
      </c>
      <c r="CU272" s="5" t="n">
        <v>11.622</v>
      </c>
    </row>
    <row r="273">
      <c r="A273" s="5" t="inlineStr">
        <is>
          <t>FRO2024</t>
        </is>
      </c>
      <c r="B273" s="5" t="inlineStr">
        <is>
          <t>FRO</t>
        </is>
      </c>
      <c r="C273" s="5" t="inlineStr">
        <is>
          <t>FRO</t>
        </is>
      </c>
      <c r="D273" s="5" t="inlineStr">
        <is>
          <t>Faroe Islands</t>
        </is>
      </c>
      <c r="E273" s="5" t="n">
        <v>2024</v>
      </c>
      <c r="F273" s="5" t="n">
        <v>0</v>
      </c>
      <c r="G273" s="5" t="n">
        <v>4.351</v>
      </c>
      <c r="H273" s="5" t="n">
        <v>1.324</v>
      </c>
      <c r="I273" s="5" t="n">
        <v>0</v>
      </c>
      <c r="J273" s="5" t="n">
        <v>4.351</v>
      </c>
      <c r="K273" s="5" t="n">
        <v>0</v>
      </c>
      <c r="L273" s="5" t="n">
        <v>1</v>
      </c>
      <c r="M273" s="5" t="n">
        <v>7.124</v>
      </c>
      <c r="N273" s="5" t="n">
        <v>3.971</v>
      </c>
      <c r="O273" s="5" t="n">
        <v>0</v>
      </c>
      <c r="P273" s="5" t="n">
        <v>7.124</v>
      </c>
      <c r="Q273" s="5" t="n">
        <v>0</v>
      </c>
      <c r="R273" s="5" t="n">
        <v>1</v>
      </c>
      <c r="S273" s="5" t="n">
        <v>10.969</v>
      </c>
      <c r="T273" s="5" t="n">
        <v>7.942</v>
      </c>
      <c r="U273" s="5" t="n">
        <v>0</v>
      </c>
      <c r="V273" s="5" t="n">
        <v>10.969</v>
      </c>
      <c r="W273" s="5" t="n">
        <v>0</v>
      </c>
      <c r="X273" s="5" t="n">
        <v>1</v>
      </c>
      <c r="Y273" s="5" t="n">
        <v>11.492</v>
      </c>
      <c r="Z273" s="5" t="n">
        <v>1.553</v>
      </c>
      <c r="AA273" s="5" t="n">
        <v>0</v>
      </c>
      <c r="AB273" s="5" t="n">
        <v>11.492</v>
      </c>
      <c r="AC273" s="5" t="n">
        <v>0</v>
      </c>
      <c r="AD273" s="5" t="n">
        <v>1</v>
      </c>
      <c r="AE273" s="5" t="n">
        <v>12.815</v>
      </c>
      <c r="AF273" s="5" t="n">
        <v>2.997</v>
      </c>
      <c r="AG273" s="5" t="n">
        <v>0</v>
      </c>
      <c r="AH273" s="5" t="n">
        <v>12.815</v>
      </c>
      <c r="AI273" s="5" t="n">
        <v>0</v>
      </c>
      <c r="AJ273" s="5" t="n">
        <v>1</v>
      </c>
      <c r="AK273" s="5" t="n">
        <v>20.757</v>
      </c>
      <c r="AL273" s="5" t="n">
        <v>11.055</v>
      </c>
      <c r="AM273" s="5" t="n">
        <v>0</v>
      </c>
      <c r="AN273" s="5" t="n">
        <v>20.757</v>
      </c>
      <c r="AO273" s="5" t="n">
        <v>0</v>
      </c>
      <c r="AP273" s="5" t="n">
        <v>1</v>
      </c>
      <c r="AQ273" s="5" t="n">
        <v>0.724</v>
      </c>
      <c r="AR273" s="5" t="n">
        <v>0.132</v>
      </c>
      <c r="AS273" s="5" t="n">
        <v>0</v>
      </c>
      <c r="AT273" s="5" t="n">
        <v>0.724</v>
      </c>
      <c r="AU273" s="5" t="n">
        <v>0</v>
      </c>
      <c r="AV273" s="5" t="n">
        <v>1</v>
      </c>
      <c r="AW273" s="5" t="n">
        <v>0.75</v>
      </c>
      <c r="AX273" s="5" t="n">
        <v>0.132</v>
      </c>
      <c r="AY273" s="5" t="n">
        <v>0</v>
      </c>
      <c r="AZ273" s="5" t="n">
        <v>0.75</v>
      </c>
      <c r="BA273" s="5" t="n">
        <v>0</v>
      </c>
      <c r="BB273" s="5" t="n">
        <v>1</v>
      </c>
      <c r="BC273" s="5" t="n">
        <v>0.513</v>
      </c>
      <c r="BD273" s="5" t="n">
        <v>0.132</v>
      </c>
      <c r="BE273" s="5" t="n">
        <v>0</v>
      </c>
      <c r="BF273" s="5" t="n">
        <v>0.513</v>
      </c>
      <c r="BG273" s="5" t="n">
        <v>0</v>
      </c>
      <c r="BH273" s="5" t="n">
        <v>1</v>
      </c>
      <c r="BI273" s="5" t="n">
        <v>0.591</v>
      </c>
      <c r="BJ273" s="5" t="n">
        <v>0.132</v>
      </c>
      <c r="BK273" s="5" t="n">
        <v>0</v>
      </c>
      <c r="BL273" s="5" t="n">
        <v>0.591</v>
      </c>
      <c r="BM273" s="5" t="n">
        <v>0</v>
      </c>
      <c r="BN273" s="5" t="n">
        <v>1</v>
      </c>
      <c r="BO273" s="5" t="n">
        <v>0</v>
      </c>
      <c r="BP273" s="5" t="n">
        <v>0</v>
      </c>
      <c r="BQ273" s="5" t="n">
        <v>0</v>
      </c>
      <c r="BR273" s="5" t="n">
        <v>0</v>
      </c>
      <c r="BS273" s="5" t="n">
        <v>1</v>
      </c>
      <c r="BT273" s="5" t="n">
        <v>0</v>
      </c>
      <c r="BU273" s="5" t="n">
        <v>0</v>
      </c>
      <c r="BV273" s="5" t="n">
        <v>0</v>
      </c>
      <c r="BW273" s="5" t="n">
        <v>0</v>
      </c>
      <c r="BX273" s="5" t="n">
        <v>1</v>
      </c>
      <c r="BY273" s="5" t="n">
        <v>13.646</v>
      </c>
      <c r="BZ273" s="5" t="n">
        <v>0</v>
      </c>
      <c r="CA273" s="5" t="n">
        <v>13.646</v>
      </c>
      <c r="CB273" s="5" t="n">
        <v>0</v>
      </c>
      <c r="CC273" s="5" t="n">
        <v>82.58799999999999</v>
      </c>
      <c r="CD273" s="5" t="n">
        <v>7.95</v>
      </c>
      <c r="CE273" s="5" t="n">
        <v>0</v>
      </c>
      <c r="CF273" s="5" t="n">
        <v>82.58799999999999</v>
      </c>
      <c r="CG273" s="5" t="n">
        <v>0</v>
      </c>
      <c r="CH273" s="5" t="n">
        <v>1</v>
      </c>
      <c r="CI273" s="5" t="n">
        <v>0</v>
      </c>
      <c r="CJ273" s="5" t="n">
        <v>0</v>
      </c>
      <c r="CK273" s="5" t="n">
        <v>0</v>
      </c>
      <c r="CL273" s="5" t="n">
        <v>0</v>
      </c>
      <c r="CM273" s="5" t="n">
        <v>0</v>
      </c>
      <c r="CN273" s="5" t="n">
        <v>0</v>
      </c>
      <c r="CO273" s="5" t="n">
        <v>0</v>
      </c>
      <c r="CP273" s="5" t="n">
        <v>0</v>
      </c>
      <c r="CQ273" s="5" t="n">
        <v>1.387</v>
      </c>
      <c r="CR273" s="5" t="n">
        <v>0</v>
      </c>
      <c r="CS273" s="5" t="n">
        <v>5.529</v>
      </c>
      <c r="CT273" s="5" t="n">
        <v>3.027</v>
      </c>
      <c r="CU273" s="5" t="n">
        <v>10.168</v>
      </c>
    </row>
    <row r="274">
      <c r="A274" s="5" t="inlineStr">
        <is>
          <t>FJI2021</t>
        </is>
      </c>
      <c r="B274" s="5" t="inlineStr">
        <is>
          <t>FJI</t>
        </is>
      </c>
      <c r="C274" s="5" t="inlineStr">
        <is>
          <t>FJI</t>
        </is>
      </c>
      <c r="D274" s="5" t="inlineStr">
        <is>
          <t>Fiji</t>
        </is>
      </c>
      <c r="E274" s="5" t="n">
        <v>2021</v>
      </c>
      <c r="F274" s="5" t="n">
        <v>0.09</v>
      </c>
      <c r="G274" s="5" t="n">
        <v>4.747</v>
      </c>
      <c r="H274" s="5" t="n">
        <v>1.143</v>
      </c>
      <c r="I274" s="5" t="n">
        <v>0</v>
      </c>
      <c r="J274" s="5" t="n">
        <v>4.747</v>
      </c>
      <c r="K274" s="5" t="n">
        <v>0</v>
      </c>
      <c r="L274" s="5" t="n">
        <v>1</v>
      </c>
      <c r="M274" s="5" t="n">
        <v>7.964</v>
      </c>
      <c r="N274" s="5" t="n">
        <v>3.43</v>
      </c>
      <c r="O274" s="5" t="n">
        <v>0</v>
      </c>
      <c r="P274" s="5" t="n">
        <v>7.964</v>
      </c>
      <c r="Q274" s="5" t="n">
        <v>0</v>
      </c>
      <c r="R274" s="5" t="n">
        <v>1</v>
      </c>
      <c r="S274" s="5" t="n">
        <v>10.464</v>
      </c>
      <c r="T274" s="5" t="n">
        <v>6.86</v>
      </c>
      <c r="U274" s="5" t="n">
        <v>0</v>
      </c>
      <c r="V274" s="5" t="n">
        <v>12.034</v>
      </c>
      <c r="W274" s="5" t="n">
        <v>0.15</v>
      </c>
      <c r="X274" s="5" t="n">
        <v>1</v>
      </c>
      <c r="Y274" s="5" t="n">
        <v>5.49</v>
      </c>
      <c r="Z274" s="5" t="n">
        <v>0.677</v>
      </c>
      <c r="AA274" s="5" t="n">
        <v>0</v>
      </c>
      <c r="AB274" s="5" t="n">
        <v>5.49</v>
      </c>
      <c r="AC274" s="5" t="n">
        <v>0</v>
      </c>
      <c r="AD274" s="5" t="n">
        <v>1</v>
      </c>
      <c r="AE274" s="5" t="n">
        <v>6.633</v>
      </c>
      <c r="AF274" s="5" t="n">
        <v>1.446</v>
      </c>
      <c r="AG274" s="5" t="n">
        <v>0</v>
      </c>
      <c r="AH274" s="5" t="n">
        <v>6.633</v>
      </c>
      <c r="AI274" s="5" t="n">
        <v>0</v>
      </c>
      <c r="AJ274" s="5" t="n">
        <v>1</v>
      </c>
      <c r="AK274" s="5" t="n">
        <v>13.493</v>
      </c>
      <c r="AL274" s="5" t="n">
        <v>7.001</v>
      </c>
      <c r="AM274" s="5" t="n">
        <v>0</v>
      </c>
      <c r="AN274" s="5" t="n">
        <v>15.517</v>
      </c>
      <c r="AO274" s="5" t="n">
        <v>0.15</v>
      </c>
      <c r="AP274" s="5" t="n">
        <v>1</v>
      </c>
      <c r="AQ274" s="5" t="n">
        <v>0.621</v>
      </c>
      <c r="AR274" s="5" t="n">
        <v>0.114</v>
      </c>
      <c r="AS274" s="5" t="n">
        <v>0.366</v>
      </c>
      <c r="AT274" s="5" t="n">
        <v>1.134</v>
      </c>
      <c r="AU274" s="5" t="n">
        <v>0.15</v>
      </c>
      <c r="AV274" s="5" t="n">
        <v>1</v>
      </c>
      <c r="AW274" s="5" t="n">
        <v>0.593</v>
      </c>
      <c r="AX274" s="5" t="n">
        <v>0.114</v>
      </c>
      <c r="AY274" s="5" t="n">
        <v>0.201</v>
      </c>
      <c r="AZ274" s="5" t="n">
        <v>0.866</v>
      </c>
      <c r="BA274" s="5" t="n">
        <v>0.09</v>
      </c>
      <c r="BB274" s="5" t="n">
        <v>1</v>
      </c>
      <c r="BC274" s="5" t="n">
        <v>0.44</v>
      </c>
      <c r="BD274" s="5" t="n">
        <v>0.114</v>
      </c>
      <c r="BE274" s="5" t="n">
        <v>0.258</v>
      </c>
      <c r="BF274" s="5" t="n">
        <v>0.761</v>
      </c>
      <c r="BG274" s="5" t="n">
        <v>0.09</v>
      </c>
      <c r="BH274" s="5" t="n">
        <v>1</v>
      </c>
      <c r="BI274" s="5" t="n">
        <v>0.5600000000000001</v>
      </c>
      <c r="BJ274" s="5" t="n">
        <v>0.114</v>
      </c>
      <c r="BK274" s="5" t="n">
        <v>0.079</v>
      </c>
      <c r="BL274" s="5" t="n">
        <v>0.696</v>
      </c>
      <c r="BM274" s="5" t="n">
        <v>0.09</v>
      </c>
      <c r="BN274" s="5" t="n">
        <v>1</v>
      </c>
      <c r="BO274" s="5" t="n">
        <v>0</v>
      </c>
      <c r="BP274" s="5" t="n">
        <v>0</v>
      </c>
      <c r="BQ274" s="5" t="n">
        <v>0.169</v>
      </c>
      <c r="BR274" s="5" t="n">
        <v>0</v>
      </c>
      <c r="BS274" s="5" t="n">
        <v>1</v>
      </c>
      <c r="BT274" s="5" t="n">
        <v>0</v>
      </c>
      <c r="BU274" s="5" t="n">
        <v>0</v>
      </c>
      <c r="BV274" s="5" t="n">
        <v>0.164</v>
      </c>
      <c r="BW274" s="5" t="n">
        <v>0</v>
      </c>
      <c r="BX274" s="5" t="n">
        <v>1</v>
      </c>
      <c r="BY274" s="5" t="n">
        <v>11.787</v>
      </c>
      <c r="BZ274" s="5" t="n">
        <v>0</v>
      </c>
      <c r="CA274" s="5" t="n">
        <v>11.787</v>
      </c>
      <c r="CB274" s="5" t="n">
        <v>0</v>
      </c>
      <c r="CC274" s="5" t="n">
        <v>81.69499999999999</v>
      </c>
      <c r="CD274" s="5" t="n">
        <v>7.95</v>
      </c>
      <c r="CE274" s="5" t="n">
        <v>0</v>
      </c>
      <c r="CF274" s="5" t="n">
        <v>93.95</v>
      </c>
      <c r="CG274" s="5" t="n">
        <v>0.15</v>
      </c>
      <c r="CH274" s="5" t="n">
        <v>1</v>
      </c>
      <c r="CI274" s="5" t="n">
        <v>0</v>
      </c>
      <c r="CJ274" s="5" t="n">
        <v>0</v>
      </c>
      <c r="CK274" s="5" t="n">
        <v>0</v>
      </c>
      <c r="CL274" s="5" t="n">
        <v>0</v>
      </c>
      <c r="CM274" s="5" t="n">
        <v>0</v>
      </c>
      <c r="CN274" s="5" t="n">
        <v>0</v>
      </c>
      <c r="CO274" s="5" t="n">
        <v>0</v>
      </c>
      <c r="CP274" s="5" t="n">
        <v>0</v>
      </c>
      <c r="CQ274" s="5" t="n">
        <v>1.198</v>
      </c>
      <c r="CR274" s="5" t="n">
        <v>0</v>
      </c>
      <c r="CS274" s="5" t="n">
        <v>4.776</v>
      </c>
      <c r="CT274" s="5" t="n">
        <v>3.604</v>
      </c>
      <c r="CU274" s="5" t="n">
        <v>9.407999999999999</v>
      </c>
    </row>
    <row r="275">
      <c r="A275" s="5" t="inlineStr">
        <is>
          <t>FJI2022</t>
        </is>
      </c>
      <c r="B275" s="5" t="inlineStr">
        <is>
          <t>FJI</t>
        </is>
      </c>
      <c r="C275" s="5" t="inlineStr">
        <is>
          <t>FJI</t>
        </is>
      </c>
      <c r="D275" s="5" t="inlineStr">
        <is>
          <t>Fiji</t>
        </is>
      </c>
      <c r="E275" s="5" t="n">
        <v>2022</v>
      </c>
      <c r="F275" s="5" t="n">
        <v>0.09</v>
      </c>
      <c r="G275" s="5" t="n">
        <v>8.788</v>
      </c>
      <c r="H275" s="5" t="n">
        <v>1.235</v>
      </c>
      <c r="I275" s="5" t="n">
        <v>0</v>
      </c>
      <c r="J275" s="5" t="n">
        <v>8.788</v>
      </c>
      <c r="K275" s="5" t="n">
        <v>0</v>
      </c>
      <c r="L275" s="5" t="n">
        <v>1</v>
      </c>
      <c r="M275" s="5" t="n">
        <v>9.782999999999999</v>
      </c>
      <c r="N275" s="5" t="n">
        <v>3.704</v>
      </c>
      <c r="O275" s="5" t="n">
        <v>0</v>
      </c>
      <c r="P275" s="5" t="n">
        <v>9.782999999999999</v>
      </c>
      <c r="Q275" s="5" t="n">
        <v>0</v>
      </c>
      <c r="R275" s="5" t="n">
        <v>1</v>
      </c>
      <c r="S275" s="5" t="n">
        <v>14.962</v>
      </c>
      <c r="T275" s="5" t="n">
        <v>7.408</v>
      </c>
      <c r="U275" s="5" t="n">
        <v>0.166</v>
      </c>
      <c r="V275" s="5" t="n">
        <v>17.206</v>
      </c>
      <c r="W275" s="5" t="n">
        <v>0.15</v>
      </c>
      <c r="X275" s="5" t="n">
        <v>1</v>
      </c>
      <c r="Y275" s="5" t="n">
        <v>6.392</v>
      </c>
      <c r="Z275" s="5" t="n">
        <v>0.789</v>
      </c>
      <c r="AA275" s="5" t="n">
        <v>0</v>
      </c>
      <c r="AB275" s="5" t="n">
        <v>6.392</v>
      </c>
      <c r="AC275" s="5" t="n">
        <v>0</v>
      </c>
      <c r="AD275" s="5" t="n">
        <v>1</v>
      </c>
      <c r="AE275" s="5" t="n">
        <v>7.627</v>
      </c>
      <c r="AF275" s="5" t="n">
        <v>1.663</v>
      </c>
      <c r="AG275" s="5" t="n">
        <v>0</v>
      </c>
      <c r="AH275" s="5" t="n">
        <v>7.627</v>
      </c>
      <c r="AI275" s="5" t="n">
        <v>0</v>
      </c>
      <c r="AJ275" s="5" t="n">
        <v>1</v>
      </c>
      <c r="AK275" s="5" t="n">
        <v>15.035</v>
      </c>
      <c r="AL275" s="5" t="n">
        <v>7.801</v>
      </c>
      <c r="AM275" s="5" t="n">
        <v>0.167</v>
      </c>
      <c r="AN275" s="5" t="n">
        <v>17.29</v>
      </c>
      <c r="AO275" s="5" t="n">
        <v>0.15</v>
      </c>
      <c r="AP275" s="5" t="n">
        <v>1</v>
      </c>
      <c r="AQ275" s="5" t="n">
        <v>0.847</v>
      </c>
      <c r="AR275" s="5" t="n">
        <v>0.123</v>
      </c>
      <c r="AS275" s="5" t="n">
        <v>0.33</v>
      </c>
      <c r="AT275" s="5" t="n">
        <v>1.354</v>
      </c>
      <c r="AU275" s="5" t="n">
        <v>0.15</v>
      </c>
      <c r="AV275" s="5" t="n">
        <v>1</v>
      </c>
      <c r="AW275" s="5" t="n">
        <v>0.947</v>
      </c>
      <c r="AX275" s="5" t="n">
        <v>0.123</v>
      </c>
      <c r="AY275" s="5" t="n">
        <v>0.173</v>
      </c>
      <c r="AZ275" s="5" t="n">
        <v>1.221</v>
      </c>
      <c r="BA275" s="5" t="n">
        <v>0.09</v>
      </c>
      <c r="BB275" s="5" t="n">
        <v>1</v>
      </c>
      <c r="BC275" s="5" t="n">
        <v>0.589</v>
      </c>
      <c r="BD275" s="5" t="n">
        <v>0.123</v>
      </c>
      <c r="BE275" s="5" t="n">
        <v>0.259</v>
      </c>
      <c r="BF275" s="5" t="n">
        <v>0.924</v>
      </c>
      <c r="BG275" s="5" t="n">
        <v>0.09</v>
      </c>
      <c r="BH275" s="5" t="n">
        <v>1</v>
      </c>
      <c r="BI275" s="5" t="n">
        <v>0.6889999999999999</v>
      </c>
      <c r="BJ275" s="5" t="n">
        <v>0.123</v>
      </c>
      <c r="BK275" s="5" t="n">
        <v>0.236</v>
      </c>
      <c r="BL275" s="5" t="n">
        <v>1.008</v>
      </c>
      <c r="BM275" s="5" t="n">
        <v>0.09</v>
      </c>
      <c r="BN275" s="5" t="n">
        <v>1</v>
      </c>
      <c r="BO275" s="5" t="n">
        <v>0</v>
      </c>
      <c r="BP275" s="5" t="n">
        <v>0</v>
      </c>
      <c r="BQ275" s="5" t="n">
        <v>0.182</v>
      </c>
      <c r="BR275" s="5" t="n">
        <v>0</v>
      </c>
      <c r="BS275" s="5" t="n">
        <v>1</v>
      </c>
      <c r="BT275" s="5" t="n">
        <v>0</v>
      </c>
      <c r="BU275" s="5" t="n">
        <v>0</v>
      </c>
      <c r="BV275" s="5" t="n">
        <v>0.177</v>
      </c>
      <c r="BW275" s="5" t="n">
        <v>0</v>
      </c>
      <c r="BX275" s="5" t="n">
        <v>1</v>
      </c>
      <c r="BY275" s="5" t="n">
        <v>12.729</v>
      </c>
      <c r="BZ275" s="5" t="n">
        <v>0</v>
      </c>
      <c r="CA275" s="5" t="n">
        <v>12.729</v>
      </c>
      <c r="CB275" s="5" t="n">
        <v>0</v>
      </c>
      <c r="CC275" s="5" t="n">
        <v>102.477</v>
      </c>
      <c r="CD275" s="5" t="n">
        <v>7.95</v>
      </c>
      <c r="CE275" s="5" t="n">
        <v>1.138</v>
      </c>
      <c r="CF275" s="5" t="n">
        <v>117.848</v>
      </c>
      <c r="CG275" s="5" t="n">
        <v>0.15</v>
      </c>
      <c r="CH275" s="5" t="n">
        <v>1</v>
      </c>
      <c r="CI275" s="5" t="n">
        <v>0</v>
      </c>
      <c r="CJ275" s="5" t="n">
        <v>0</v>
      </c>
      <c r="CK275" s="5" t="n">
        <v>0</v>
      </c>
      <c r="CL275" s="5" t="n">
        <v>0</v>
      </c>
      <c r="CM275" s="5" t="n">
        <v>0</v>
      </c>
      <c r="CN275" s="5" t="n">
        <v>0</v>
      </c>
      <c r="CO275" s="5" t="n">
        <v>0</v>
      </c>
      <c r="CP275" s="5" t="n">
        <v>0</v>
      </c>
      <c r="CQ275" s="5" t="n">
        <v>1.294</v>
      </c>
      <c r="CR275" s="5" t="n">
        <v>0</v>
      </c>
      <c r="CS275" s="5" t="n">
        <v>5.158</v>
      </c>
      <c r="CT275" s="5" t="n">
        <v>7.554</v>
      </c>
      <c r="CU275" s="5" t="n">
        <v>16.097</v>
      </c>
    </row>
    <row r="276">
      <c r="A276" s="5" t="inlineStr">
        <is>
          <t>FJI2023</t>
        </is>
      </c>
      <c r="B276" s="5" t="inlineStr">
        <is>
          <t>FJI</t>
        </is>
      </c>
      <c r="C276" s="5" t="inlineStr">
        <is>
          <t>FJI</t>
        </is>
      </c>
      <c r="D276" s="5" t="inlineStr">
        <is>
          <t>Fiji</t>
        </is>
      </c>
      <c r="E276" s="5" t="n">
        <v>2023</v>
      </c>
      <c r="F276" s="5" t="n">
        <v>0.09</v>
      </c>
      <c r="G276" s="5" t="n">
        <v>5.77</v>
      </c>
      <c r="H276" s="5" t="n">
        <v>1.286</v>
      </c>
      <c r="I276" s="5" t="n">
        <v>0</v>
      </c>
      <c r="J276" s="5" t="n">
        <v>5.77</v>
      </c>
      <c r="K276" s="5" t="n">
        <v>0</v>
      </c>
      <c r="L276" s="5" t="n">
        <v>1</v>
      </c>
      <c r="M276" s="5" t="n">
        <v>7.886</v>
      </c>
      <c r="N276" s="5" t="n">
        <v>3.857</v>
      </c>
      <c r="O276" s="5" t="n">
        <v>0</v>
      </c>
      <c r="P276" s="5" t="n">
        <v>7.886</v>
      </c>
      <c r="Q276" s="5" t="n">
        <v>0</v>
      </c>
      <c r="R276" s="5" t="n">
        <v>1</v>
      </c>
      <c r="S276" s="5" t="n">
        <v>12.198</v>
      </c>
      <c r="T276" s="5" t="n">
        <v>7.714</v>
      </c>
      <c r="U276" s="5" t="n">
        <v>0.203</v>
      </c>
      <c r="V276" s="5" t="n">
        <v>14.028</v>
      </c>
      <c r="W276" s="5" t="n">
        <v>0.15</v>
      </c>
      <c r="X276" s="5" t="n">
        <v>1</v>
      </c>
      <c r="Y276" s="5" t="n">
        <v>6.656</v>
      </c>
      <c r="Z276" s="5" t="n">
        <v>0.821</v>
      </c>
      <c r="AA276" s="5" t="n">
        <v>0</v>
      </c>
      <c r="AB276" s="5" t="n">
        <v>6.656</v>
      </c>
      <c r="AC276" s="5" t="n">
        <v>0</v>
      </c>
      <c r="AD276" s="5" t="n">
        <v>1</v>
      </c>
      <c r="AE276" s="5" t="n">
        <v>7.942</v>
      </c>
      <c r="AF276" s="5" t="n">
        <v>1.731</v>
      </c>
      <c r="AG276" s="5" t="n">
        <v>0</v>
      </c>
      <c r="AH276" s="5" t="n">
        <v>7.942</v>
      </c>
      <c r="AI276" s="5" t="n">
        <v>0</v>
      </c>
      <c r="AJ276" s="5" t="n">
        <v>1</v>
      </c>
      <c r="AK276" s="5" t="n">
        <v>15.656</v>
      </c>
      <c r="AL276" s="5" t="n">
        <v>8.122999999999999</v>
      </c>
      <c r="AM276" s="5" t="n">
        <v>0.26</v>
      </c>
      <c r="AN276" s="5" t="n">
        <v>18.004</v>
      </c>
      <c r="AO276" s="5" t="n">
        <v>0.15</v>
      </c>
      <c r="AP276" s="5" t="n">
        <v>1</v>
      </c>
      <c r="AQ276" s="5" t="n">
        <v>0.749</v>
      </c>
      <c r="AR276" s="5" t="n">
        <v>0.129</v>
      </c>
      <c r="AS276" s="5" t="n">
        <v>0.346</v>
      </c>
      <c r="AT276" s="5" t="n">
        <v>1.259</v>
      </c>
      <c r="AU276" s="5" t="n">
        <v>0.15</v>
      </c>
      <c r="AV276" s="5" t="n">
        <v>1</v>
      </c>
      <c r="AW276" s="5" t="n">
        <v>0.783</v>
      </c>
      <c r="AX276" s="5" t="n">
        <v>0.129</v>
      </c>
      <c r="AY276" s="5" t="n">
        <v>0.215</v>
      </c>
      <c r="AZ276" s="5" t="n">
        <v>1.088</v>
      </c>
      <c r="BA276" s="5" t="n">
        <v>0.09</v>
      </c>
      <c r="BB276" s="5" t="n">
        <v>1</v>
      </c>
      <c r="BC276" s="5" t="n">
        <v>0.527</v>
      </c>
      <c r="BD276" s="5" t="n">
        <v>0.129</v>
      </c>
      <c r="BE276" s="5" t="n">
        <v>0.212</v>
      </c>
      <c r="BF276" s="5" t="n">
        <v>0.806</v>
      </c>
      <c r="BG276" s="5" t="n">
        <v>0.09</v>
      </c>
      <c r="BH276" s="5" t="n">
        <v>1</v>
      </c>
      <c r="BI276" s="5" t="n">
        <v>0.64</v>
      </c>
      <c r="BJ276" s="5" t="n">
        <v>0.129</v>
      </c>
      <c r="BK276" s="5" t="n">
        <v>0.201</v>
      </c>
      <c r="BL276" s="5" t="n">
        <v>0.916</v>
      </c>
      <c r="BM276" s="5" t="n">
        <v>0.09</v>
      </c>
      <c r="BN276" s="5" t="n">
        <v>1</v>
      </c>
      <c r="BO276" s="5" t="n">
        <v>0</v>
      </c>
      <c r="BP276" s="5" t="n">
        <v>0</v>
      </c>
      <c r="BQ276" s="5" t="n">
        <v>0.19</v>
      </c>
      <c r="BR276" s="5" t="n">
        <v>0</v>
      </c>
      <c r="BS276" s="5" t="n">
        <v>1</v>
      </c>
      <c r="BT276" s="5" t="n">
        <v>0</v>
      </c>
      <c r="BU276" s="5" t="n">
        <v>0</v>
      </c>
      <c r="BV276" s="5" t="n">
        <v>0.185</v>
      </c>
      <c r="BW276" s="5" t="n">
        <v>0</v>
      </c>
      <c r="BX276" s="5" t="n">
        <v>1</v>
      </c>
      <c r="BY276" s="5" t="n">
        <v>13.254</v>
      </c>
      <c r="BZ276" s="5" t="n">
        <v>0</v>
      </c>
      <c r="CA276" s="5" t="n">
        <v>13.254</v>
      </c>
      <c r="CB276" s="5" t="n">
        <v>0</v>
      </c>
      <c r="CC276" s="5" t="n">
        <v>87.07899999999999</v>
      </c>
      <c r="CD276" s="5" t="n">
        <v>7.95</v>
      </c>
      <c r="CE276" s="5" t="n">
        <v>1.446</v>
      </c>
      <c r="CF276" s="5" t="n">
        <v>100.141</v>
      </c>
      <c r="CG276" s="5" t="n">
        <v>0.15</v>
      </c>
      <c r="CH276" s="5" t="n">
        <v>1</v>
      </c>
      <c r="CI276" s="5" t="n">
        <v>0</v>
      </c>
      <c r="CJ276" s="5" t="n">
        <v>0</v>
      </c>
      <c r="CK276" s="5" t="n">
        <v>0</v>
      </c>
      <c r="CL276" s="5" t="n">
        <v>0</v>
      </c>
      <c r="CM276" s="5" t="n">
        <v>0</v>
      </c>
      <c r="CN276" s="5" t="n">
        <v>0</v>
      </c>
      <c r="CO276" s="5" t="n">
        <v>0</v>
      </c>
      <c r="CP276" s="5" t="n">
        <v>0</v>
      </c>
      <c r="CQ276" s="5" t="n">
        <v>1.348</v>
      </c>
      <c r="CR276" s="5" t="n">
        <v>0</v>
      </c>
      <c r="CS276" s="5" t="n">
        <v>5.37</v>
      </c>
      <c r="CT276" s="5" t="n">
        <v>4.484</v>
      </c>
      <c r="CU276" s="5" t="n">
        <v>12.529</v>
      </c>
    </row>
    <row r="277">
      <c r="A277" s="5" t="inlineStr">
        <is>
          <t>FJI2024</t>
        </is>
      </c>
      <c r="B277" s="5" t="inlineStr">
        <is>
          <t>FJI</t>
        </is>
      </c>
      <c r="C277" s="5" t="inlineStr">
        <is>
          <t>FJI</t>
        </is>
      </c>
      <c r="D277" s="5" t="inlineStr">
        <is>
          <t>Fiji</t>
        </is>
      </c>
      <c r="E277" s="5" t="n">
        <v>2024</v>
      </c>
      <c r="F277" s="5" t="n">
        <v>0.09</v>
      </c>
      <c r="G277" s="5" t="n">
        <v>4.833</v>
      </c>
      <c r="H277" s="5" t="n">
        <v>1.324</v>
      </c>
      <c r="I277" s="5" t="n">
        <v>0</v>
      </c>
      <c r="J277" s="5" t="n">
        <v>4.833</v>
      </c>
      <c r="K277" s="5" t="n">
        <v>0</v>
      </c>
      <c r="L277" s="5" t="n">
        <v>1</v>
      </c>
      <c r="M277" s="5" t="n">
        <v>7.124</v>
      </c>
      <c r="N277" s="5" t="n">
        <v>3.971</v>
      </c>
      <c r="O277" s="5" t="n">
        <v>0</v>
      </c>
      <c r="P277" s="5" t="n">
        <v>7.124</v>
      </c>
      <c r="Q277" s="5" t="n">
        <v>0</v>
      </c>
      <c r="R277" s="5" t="n">
        <v>1</v>
      </c>
      <c r="S277" s="5" t="n">
        <v>11.451</v>
      </c>
      <c r="T277" s="5" t="n">
        <v>7.942</v>
      </c>
      <c r="U277" s="5" t="n">
        <v>0.234</v>
      </c>
      <c r="V277" s="5" t="n">
        <v>13.168</v>
      </c>
      <c r="W277" s="5" t="n">
        <v>0.15</v>
      </c>
      <c r="X277" s="5" t="n">
        <v>1</v>
      </c>
      <c r="Y277" s="5" t="n">
        <v>6.853</v>
      </c>
      <c r="Z277" s="5" t="n">
        <v>0.846</v>
      </c>
      <c r="AA277" s="5" t="n">
        <v>0</v>
      </c>
      <c r="AB277" s="5" t="n">
        <v>6.853</v>
      </c>
      <c r="AC277" s="5" t="n">
        <v>0</v>
      </c>
      <c r="AD277" s="5" t="n">
        <v>1</v>
      </c>
      <c r="AE277" s="5" t="n">
        <v>8.176</v>
      </c>
      <c r="AF277" s="5" t="n">
        <v>1.782</v>
      </c>
      <c r="AG277" s="5" t="n">
        <v>0</v>
      </c>
      <c r="AH277" s="5" t="n">
        <v>8.176</v>
      </c>
      <c r="AI277" s="5" t="n">
        <v>0</v>
      </c>
      <c r="AJ277" s="5" t="n">
        <v>1</v>
      </c>
      <c r="AK277" s="5" t="n">
        <v>16.118</v>
      </c>
      <c r="AL277" s="5" t="n">
        <v>8.363</v>
      </c>
      <c r="AM277" s="5" t="n">
        <v>0.329</v>
      </c>
      <c r="AN277" s="5" t="n">
        <v>18.535</v>
      </c>
      <c r="AO277" s="5" t="n">
        <v>0.15</v>
      </c>
      <c r="AP277" s="5" t="n">
        <v>1</v>
      </c>
      <c r="AQ277" s="5" t="n">
        <v>0.72</v>
      </c>
      <c r="AR277" s="5" t="n">
        <v>0.132</v>
      </c>
      <c r="AS277" s="5" t="n">
        <v>0.38</v>
      </c>
      <c r="AT277" s="5" t="n">
        <v>1.264</v>
      </c>
      <c r="AU277" s="5" t="n">
        <v>0.15</v>
      </c>
      <c r="AV277" s="5" t="n">
        <v>1</v>
      </c>
      <c r="AW277" s="5" t="n">
        <v>0.734</v>
      </c>
      <c r="AX277" s="5" t="n">
        <v>0.132</v>
      </c>
      <c r="AY277" s="5" t="n">
        <v>0.163</v>
      </c>
      <c r="AZ277" s="5" t="n">
        <v>1.031</v>
      </c>
      <c r="BA277" s="5" t="n">
        <v>0.15</v>
      </c>
      <c r="BB277" s="5" t="n">
        <v>1</v>
      </c>
      <c r="BC277" s="5" t="n">
        <v>0.51</v>
      </c>
      <c r="BD277" s="5" t="n">
        <v>0.132</v>
      </c>
      <c r="BE277" s="5" t="n">
        <v>0.234</v>
      </c>
      <c r="BF277" s="5" t="n">
        <v>0.856</v>
      </c>
      <c r="BG277" s="5" t="n">
        <v>0.15</v>
      </c>
      <c r="BH277" s="5" t="n">
        <v>1</v>
      </c>
      <c r="BI277" s="5" t="n">
        <v>0.652</v>
      </c>
      <c r="BJ277" s="5" t="n">
        <v>0.132</v>
      </c>
      <c r="BK277" s="5" t="n">
        <v>0.08500000000000001</v>
      </c>
      <c r="BL277" s="5" t="n">
        <v>0.847</v>
      </c>
      <c r="BM277" s="5" t="n">
        <v>0.15</v>
      </c>
      <c r="BN277" s="5" t="n">
        <v>1</v>
      </c>
      <c r="BO277" s="5" t="n">
        <v>0</v>
      </c>
      <c r="BP277" s="5" t="n">
        <v>0</v>
      </c>
      <c r="BQ277" s="5" t="n">
        <v>0.195</v>
      </c>
      <c r="BR277" s="5" t="n">
        <v>0</v>
      </c>
      <c r="BS277" s="5" t="n">
        <v>1</v>
      </c>
      <c r="BT277" s="5" t="n">
        <v>0</v>
      </c>
      <c r="BU277" s="5" t="n">
        <v>0</v>
      </c>
      <c r="BV277" s="5" t="n">
        <v>0.19</v>
      </c>
      <c r="BW277" s="5" t="n">
        <v>0</v>
      </c>
      <c r="BX277" s="5" t="n">
        <v>1</v>
      </c>
      <c r="BY277" s="5" t="n">
        <v>13.646</v>
      </c>
      <c r="BZ277" s="5" t="n">
        <v>0</v>
      </c>
      <c r="CA277" s="5" t="n">
        <v>13.646</v>
      </c>
      <c r="CB277" s="5" t="n">
        <v>0</v>
      </c>
      <c r="CC277" s="5" t="n">
        <v>86.38500000000001</v>
      </c>
      <c r="CD277" s="5" t="n">
        <v>7.95</v>
      </c>
      <c r="CE277" s="5" t="n">
        <v>1.765</v>
      </c>
      <c r="CF277" s="5" t="n">
        <v>99.343</v>
      </c>
      <c r="CG277" s="5" t="n">
        <v>0.15</v>
      </c>
      <c r="CH277" s="5" t="n">
        <v>1</v>
      </c>
      <c r="CI277" s="5" t="n">
        <v>0</v>
      </c>
      <c r="CJ277" s="5" t="n">
        <v>0</v>
      </c>
      <c r="CK277" s="5" t="n">
        <v>0</v>
      </c>
      <c r="CL277" s="5" t="n">
        <v>0</v>
      </c>
      <c r="CM277" s="5" t="n">
        <v>0</v>
      </c>
      <c r="CN277" s="5" t="n">
        <v>0</v>
      </c>
      <c r="CO277" s="5" t="n">
        <v>0</v>
      </c>
      <c r="CP277" s="5" t="n">
        <v>0</v>
      </c>
      <c r="CQ277" s="5" t="n">
        <v>1.387</v>
      </c>
      <c r="CR277" s="5" t="n">
        <v>0</v>
      </c>
      <c r="CS277" s="5" t="n">
        <v>5.529</v>
      </c>
      <c r="CT277" s="5" t="n">
        <v>3.509</v>
      </c>
      <c r="CU277" s="5" t="n">
        <v>10.896</v>
      </c>
    </row>
    <row r="278">
      <c r="A278" s="5" t="inlineStr">
        <is>
          <t>FIN2021</t>
        </is>
      </c>
      <c r="B278" s="5" t="inlineStr">
        <is>
          <t>FIN</t>
        </is>
      </c>
      <c r="C278" s="5" t="inlineStr">
        <is>
          <t>FIN</t>
        </is>
      </c>
      <c r="D278" s="5" t="inlineStr">
        <is>
          <t>Finland</t>
        </is>
      </c>
      <c r="E278" s="5" t="n">
        <v>2021</v>
      </c>
      <c r="F278" s="5" t="n">
        <v>0.24</v>
      </c>
      <c r="G278" s="5" t="n">
        <v>4.778</v>
      </c>
      <c r="H278" s="5" t="n">
        <v>1.045</v>
      </c>
      <c r="I278" s="5" t="n">
        <v>1.672</v>
      </c>
      <c r="J278" s="5" t="n">
        <v>6.45</v>
      </c>
      <c r="K278" s="5" t="n">
        <v>0</v>
      </c>
      <c r="L278" s="5" t="n">
        <v>1</v>
      </c>
      <c r="M278" s="5" t="n">
        <v>10.182</v>
      </c>
      <c r="N278" s="5" t="n">
        <v>4.615</v>
      </c>
      <c r="O278" s="5" t="n">
        <v>5.492</v>
      </c>
      <c r="P278" s="5" t="n">
        <v>15.673</v>
      </c>
      <c r="Q278" s="5" t="n">
        <v>0</v>
      </c>
      <c r="R278" s="5" t="n">
        <v>1</v>
      </c>
      <c r="S278" s="5" t="n">
        <v>8.596</v>
      </c>
      <c r="T278" s="5" t="n">
        <v>5.288</v>
      </c>
      <c r="U278" s="5" t="n">
        <v>6.461</v>
      </c>
      <c r="V278" s="5" t="n">
        <v>18.67</v>
      </c>
      <c r="W278" s="5" t="n">
        <v>0.24</v>
      </c>
      <c r="X278" s="5" t="n">
        <v>1</v>
      </c>
      <c r="Y278" s="5" t="n">
        <v>24.613</v>
      </c>
      <c r="Z278" s="5" t="n">
        <v>2.719</v>
      </c>
      <c r="AA278" s="5" t="n">
        <v>2.766</v>
      </c>
      <c r="AB278" s="5" t="n">
        <v>27.379</v>
      </c>
      <c r="AC278" s="5" t="n">
        <v>0</v>
      </c>
      <c r="AD278" s="5" t="n">
        <v>1</v>
      </c>
      <c r="AE278" s="5" t="n">
        <v>24.569</v>
      </c>
      <c r="AF278" s="5" t="n">
        <v>4.835</v>
      </c>
      <c r="AG278" s="5" t="n">
        <v>2.81</v>
      </c>
      <c r="AH278" s="5" t="n">
        <v>27.379</v>
      </c>
      <c r="AI278" s="5" t="n">
        <v>0</v>
      </c>
      <c r="AJ278" s="5" t="n">
        <v>1</v>
      </c>
      <c r="AK278" s="5" t="n">
        <v>27.798</v>
      </c>
      <c r="AL278" s="5" t="n">
        <v>13.644</v>
      </c>
      <c r="AM278" s="5" t="n">
        <v>6.728</v>
      </c>
      <c r="AN278" s="5" t="n">
        <v>42.813</v>
      </c>
      <c r="AO278" s="5" t="n">
        <v>0.24</v>
      </c>
      <c r="AP278" s="5" t="n">
        <v>1</v>
      </c>
      <c r="AQ278" s="5" t="n">
        <v>0.619</v>
      </c>
      <c r="AR278" s="5" t="n">
        <v>0.114</v>
      </c>
      <c r="AS278" s="5" t="n">
        <v>0.977</v>
      </c>
      <c r="AT278" s="5" t="n">
        <v>1.979</v>
      </c>
      <c r="AU278" s="5" t="n">
        <v>0.24</v>
      </c>
      <c r="AV278" s="5" t="n">
        <v>1</v>
      </c>
      <c r="AW278" s="5" t="n">
        <v>0.599</v>
      </c>
      <c r="AX278" s="5" t="n">
        <v>0.114</v>
      </c>
      <c r="AY278" s="5" t="n">
        <v>0.846</v>
      </c>
      <c r="AZ278" s="5" t="n">
        <v>1.792</v>
      </c>
      <c r="BA278" s="5" t="n">
        <v>0.24</v>
      </c>
      <c r="BB278" s="5" t="n">
        <v>1</v>
      </c>
      <c r="BC278" s="5" t="n">
        <v>0.439</v>
      </c>
      <c r="BD278" s="5" t="n">
        <v>0.114</v>
      </c>
      <c r="BE278" s="5" t="n">
        <v>1.02</v>
      </c>
      <c r="BF278" s="5" t="n">
        <v>1.81</v>
      </c>
      <c r="BG278" s="5" t="n">
        <v>0.24</v>
      </c>
      <c r="BH278" s="5" t="n">
        <v>1</v>
      </c>
      <c r="BI278" s="5" t="n">
        <v>0.505</v>
      </c>
      <c r="BJ278" s="5" t="n">
        <v>0.114</v>
      </c>
      <c r="BK278" s="5" t="n">
        <v>0.455</v>
      </c>
      <c r="BL278" s="5" t="n">
        <v>1.191</v>
      </c>
      <c r="BM278" s="5" t="n">
        <v>0.24</v>
      </c>
      <c r="BN278" s="5" t="n">
        <v>1</v>
      </c>
      <c r="BO278" s="5" t="n">
        <v>0</v>
      </c>
      <c r="BP278" s="5" t="n">
        <v>0.001</v>
      </c>
      <c r="BQ278" s="5" t="n">
        <v>0.075</v>
      </c>
      <c r="BR278" s="5" t="n">
        <v>0</v>
      </c>
      <c r="BS278" s="5" t="n">
        <v>1</v>
      </c>
      <c r="BT278" s="5" t="n">
        <v>0</v>
      </c>
      <c r="BU278" s="5" t="n">
        <v>0.027</v>
      </c>
      <c r="BV278" s="5" t="n">
        <v>0.213</v>
      </c>
      <c r="BW278" s="5" t="n">
        <v>0.24</v>
      </c>
      <c r="BX278" s="5" t="n">
        <v>0.833</v>
      </c>
      <c r="BY278" s="5" t="n">
        <v>11.787</v>
      </c>
      <c r="BZ278" s="5" t="n">
        <v>0</v>
      </c>
      <c r="CA278" s="5" t="n">
        <v>11.787</v>
      </c>
      <c r="CB278" s="5" t="n">
        <v>0</v>
      </c>
      <c r="CC278" s="5" t="n">
        <v>78.125</v>
      </c>
      <c r="CD278" s="5" t="n">
        <v>7.95</v>
      </c>
      <c r="CE278" s="5" t="n">
        <v>86.602</v>
      </c>
      <c r="CF278" s="5" t="n">
        <v>204.261</v>
      </c>
      <c r="CG278" s="5" t="n">
        <v>0.24</v>
      </c>
      <c r="CH278" s="5" t="n">
        <v>1</v>
      </c>
      <c r="CI278" s="5" t="n">
        <v>0</v>
      </c>
      <c r="CJ278" s="5" t="n">
        <v>0</v>
      </c>
      <c r="CK278" s="5" t="n">
        <v>0</v>
      </c>
      <c r="CL278" s="5" t="n">
        <v>0</v>
      </c>
      <c r="CM278" s="5" t="n">
        <v>0</v>
      </c>
      <c r="CN278" s="5" t="n">
        <v>0</v>
      </c>
      <c r="CO278" s="5" t="n">
        <v>0</v>
      </c>
      <c r="CP278" s="5" t="n">
        <v>0</v>
      </c>
      <c r="CQ278" s="5" t="n">
        <v>1.198</v>
      </c>
      <c r="CR278" s="5" t="n">
        <v>0</v>
      </c>
      <c r="CS278" s="5" t="n">
        <v>4.776</v>
      </c>
      <c r="CT278" s="5" t="n">
        <v>5.092</v>
      </c>
      <c r="CU278" s="5" t="n">
        <v>15.162</v>
      </c>
    </row>
    <row r="279">
      <c r="A279" s="5" t="inlineStr">
        <is>
          <t>FIN2022</t>
        </is>
      </c>
      <c r="B279" s="5" t="inlineStr">
        <is>
          <t>FIN</t>
        </is>
      </c>
      <c r="C279" s="5" t="inlineStr">
        <is>
          <t>FIN</t>
        </is>
      </c>
      <c r="D279" s="5" t="inlineStr">
        <is>
          <t>Finland</t>
        </is>
      </c>
      <c r="E279" s="5" t="n">
        <v>2022</v>
      </c>
      <c r="F279" s="5" t="n">
        <v>0.24</v>
      </c>
      <c r="G279" s="5" t="n">
        <v>9.715999999999999</v>
      </c>
      <c r="H279" s="5" t="n">
        <v>1.509</v>
      </c>
      <c r="I279" s="5" t="n">
        <v>8.492000000000001</v>
      </c>
      <c r="J279" s="5" t="n">
        <v>18.208</v>
      </c>
      <c r="K279" s="5" t="n">
        <v>0</v>
      </c>
      <c r="L279" s="5" t="n">
        <v>1</v>
      </c>
      <c r="M279" s="5" t="n">
        <v>19.09</v>
      </c>
      <c r="N279" s="5" t="n">
        <v>7.883</v>
      </c>
      <c r="O279" s="5" t="n">
        <v>9.555999999999999</v>
      </c>
      <c r="P279" s="5" t="n">
        <v>28.646</v>
      </c>
      <c r="Q279" s="5" t="n">
        <v>0</v>
      </c>
      <c r="R279" s="5" t="n">
        <v>1</v>
      </c>
      <c r="S279" s="5" t="n">
        <v>18.457</v>
      </c>
      <c r="T279" s="5" t="n">
        <v>7.118</v>
      </c>
      <c r="U279" s="5" t="n">
        <v>8.238</v>
      </c>
      <c r="V279" s="5" t="n">
        <v>32.525</v>
      </c>
      <c r="W279" s="5" t="n">
        <v>0.24</v>
      </c>
      <c r="X279" s="5" t="n">
        <v>1</v>
      </c>
      <c r="Y279" s="5" t="n">
        <v>40.868</v>
      </c>
      <c r="Z279" s="5" t="n">
        <v>4.287</v>
      </c>
      <c r="AA279" s="5" t="n">
        <v>10.547</v>
      </c>
      <c r="AB279" s="5" t="n">
        <v>51.415</v>
      </c>
      <c r="AC279" s="5" t="n">
        <v>0</v>
      </c>
      <c r="AD279" s="5" t="n">
        <v>1</v>
      </c>
      <c r="AE279" s="5" t="n">
        <v>40.916</v>
      </c>
      <c r="AF279" s="5" t="n">
        <v>7.585</v>
      </c>
      <c r="AG279" s="5" t="n">
        <v>10.499</v>
      </c>
      <c r="AH279" s="5" t="n">
        <v>51.415</v>
      </c>
      <c r="AI279" s="5" t="n">
        <v>0</v>
      </c>
      <c r="AJ279" s="5" t="n">
        <v>1</v>
      </c>
      <c r="AK279" s="5" t="n">
        <v>44.693</v>
      </c>
      <c r="AL279" s="5" t="n">
        <v>21.343</v>
      </c>
      <c r="AM279" s="5" t="n">
        <v>8.207000000000001</v>
      </c>
      <c r="AN279" s="5" t="n">
        <v>64.45099999999999</v>
      </c>
      <c r="AO279" s="5" t="n">
        <v>0.24</v>
      </c>
      <c r="AP279" s="5" t="n">
        <v>1</v>
      </c>
      <c r="AQ279" s="5" t="n">
        <v>0.861</v>
      </c>
      <c r="AR279" s="5" t="n">
        <v>0.123</v>
      </c>
      <c r="AS279" s="5" t="n">
        <v>0.93</v>
      </c>
      <c r="AT279" s="5" t="n">
        <v>2.22</v>
      </c>
      <c r="AU279" s="5" t="n">
        <v>0.24</v>
      </c>
      <c r="AV279" s="5" t="n">
        <v>1</v>
      </c>
      <c r="AW279" s="5" t="n">
        <v>0.986</v>
      </c>
      <c r="AX279" s="5" t="n">
        <v>0.123</v>
      </c>
      <c r="AY279" s="5" t="n">
        <v>0.8159999999999999</v>
      </c>
      <c r="AZ279" s="5" t="n">
        <v>2.234</v>
      </c>
      <c r="BA279" s="5" t="n">
        <v>0.24</v>
      </c>
      <c r="BB279" s="5" t="n">
        <v>1</v>
      </c>
      <c r="BC279" s="5" t="n">
        <v>0.598</v>
      </c>
      <c r="BD279" s="5" t="n">
        <v>0.123</v>
      </c>
      <c r="BE279" s="5" t="n">
        <v>1.132</v>
      </c>
      <c r="BF279" s="5" t="n">
        <v>2.144</v>
      </c>
      <c r="BG279" s="5" t="n">
        <v>0.24</v>
      </c>
      <c r="BH279" s="5" t="n">
        <v>1</v>
      </c>
      <c r="BI279" s="5" t="n">
        <v>0.612</v>
      </c>
      <c r="BJ279" s="5" t="n">
        <v>0.123</v>
      </c>
      <c r="BK279" s="5" t="n">
        <v>0.8110000000000001</v>
      </c>
      <c r="BL279" s="5" t="n">
        <v>1.765</v>
      </c>
      <c r="BM279" s="5" t="n">
        <v>0.24</v>
      </c>
      <c r="BN279" s="5" t="n">
        <v>1</v>
      </c>
      <c r="BO279" s="5" t="n">
        <v>0</v>
      </c>
      <c r="BP279" s="5" t="n">
        <v>0.001</v>
      </c>
      <c r="BQ279" s="5" t="n">
        <v>0.115</v>
      </c>
      <c r="BR279" s="5" t="n">
        <v>0</v>
      </c>
      <c r="BS279" s="5" t="n">
        <v>1</v>
      </c>
      <c r="BT279" s="5" t="n">
        <v>0</v>
      </c>
      <c r="BU279" s="5" t="n">
        <v>0.024</v>
      </c>
      <c r="BV279" s="5" t="n">
        <v>0.232</v>
      </c>
      <c r="BW279" s="5" t="n">
        <v>0.24</v>
      </c>
      <c r="BX279" s="5" t="n">
        <v>0.833</v>
      </c>
      <c r="BY279" s="5" t="n">
        <v>12.729</v>
      </c>
      <c r="BZ279" s="5" t="n">
        <v>0</v>
      </c>
      <c r="CA279" s="5" t="n">
        <v>12.729</v>
      </c>
      <c r="CB279" s="5" t="n">
        <v>0</v>
      </c>
      <c r="CC279" s="5" t="n">
        <v>97.90000000000001</v>
      </c>
      <c r="CD279" s="5" t="n">
        <v>7.95</v>
      </c>
      <c r="CE279" s="5" t="n">
        <v>164.453</v>
      </c>
      <c r="CF279" s="5" t="n">
        <v>325.318</v>
      </c>
      <c r="CG279" s="5" t="n">
        <v>0.24</v>
      </c>
      <c r="CH279" s="5" t="n">
        <v>1</v>
      </c>
      <c r="CI279" s="5" t="n">
        <v>0</v>
      </c>
      <c r="CJ279" s="5" t="n">
        <v>0</v>
      </c>
      <c r="CK279" s="5" t="n">
        <v>0</v>
      </c>
      <c r="CL279" s="5" t="n">
        <v>0</v>
      </c>
      <c r="CM279" s="5" t="n">
        <v>0</v>
      </c>
      <c r="CN279" s="5" t="n">
        <v>0</v>
      </c>
      <c r="CO279" s="5" t="n">
        <v>0</v>
      </c>
      <c r="CP279" s="5" t="n">
        <v>0</v>
      </c>
      <c r="CQ279" s="5" t="n">
        <v>1.294</v>
      </c>
      <c r="CR279" s="5" t="n">
        <v>0</v>
      </c>
      <c r="CS279" s="5" t="n">
        <v>5.158</v>
      </c>
      <c r="CT279" s="5" t="n">
        <v>12.195</v>
      </c>
      <c r="CU279" s="5" t="n">
        <v>31.326</v>
      </c>
    </row>
    <row r="280">
      <c r="A280" s="5" t="inlineStr">
        <is>
          <t>FIN2023</t>
        </is>
      </c>
      <c r="B280" s="5" t="inlineStr">
        <is>
          <t>FIN</t>
        </is>
      </c>
      <c r="C280" s="5" t="inlineStr">
        <is>
          <t>FIN</t>
        </is>
      </c>
      <c r="D280" s="5" t="inlineStr">
        <is>
          <t>Finland</t>
        </is>
      </c>
      <c r="E280" s="5" t="n">
        <v>2023</v>
      </c>
      <c r="F280" s="5" t="n">
        <v>0.24</v>
      </c>
      <c r="G280" s="5" t="n">
        <v>9.474</v>
      </c>
      <c r="H280" s="5" t="n">
        <v>2.158</v>
      </c>
      <c r="I280" s="5" t="n">
        <v>9.842000000000001</v>
      </c>
      <c r="J280" s="5" t="n">
        <v>19.317</v>
      </c>
      <c r="K280" s="5" t="n">
        <v>0</v>
      </c>
      <c r="L280" s="5" t="n">
        <v>1</v>
      </c>
      <c r="M280" s="5" t="n">
        <v>27.274</v>
      </c>
      <c r="N280" s="5" t="n">
        <v>13.527</v>
      </c>
      <c r="O280" s="5" t="n">
        <v>10.943</v>
      </c>
      <c r="P280" s="5" t="n">
        <v>38.217</v>
      </c>
      <c r="Q280" s="5" t="n">
        <v>0</v>
      </c>
      <c r="R280" s="5" t="n">
        <v>1</v>
      </c>
      <c r="S280" s="5" t="n">
        <v>11.809</v>
      </c>
      <c r="T280" s="5" t="n">
        <v>6.898</v>
      </c>
      <c r="U280" s="5" t="n">
        <v>8.473000000000001</v>
      </c>
      <c r="V280" s="5" t="n">
        <v>24.499</v>
      </c>
      <c r="W280" s="5" t="n">
        <v>0.24</v>
      </c>
      <c r="X280" s="5" t="n">
        <v>1</v>
      </c>
      <c r="Y280" s="5" t="n">
        <v>21.216</v>
      </c>
      <c r="Z280" s="5" t="n">
        <v>2.376</v>
      </c>
      <c r="AA280" s="5" t="n">
        <v>16.525</v>
      </c>
      <c r="AB280" s="5" t="n">
        <v>37.74</v>
      </c>
      <c r="AC280" s="5" t="n">
        <v>0</v>
      </c>
      <c r="AD280" s="5" t="n">
        <v>1</v>
      </c>
      <c r="AE280" s="5" t="n">
        <v>21.314</v>
      </c>
      <c r="AF280" s="5" t="n">
        <v>4.245</v>
      </c>
      <c r="AG280" s="5" t="n">
        <v>16.426</v>
      </c>
      <c r="AH280" s="5" t="n">
        <v>37.74</v>
      </c>
      <c r="AI280" s="5" t="n">
        <v>0</v>
      </c>
      <c r="AJ280" s="5" t="n">
        <v>1</v>
      </c>
      <c r="AK280" s="5" t="n">
        <v>25.398</v>
      </c>
      <c r="AL280" s="5" t="n">
        <v>12.581</v>
      </c>
      <c r="AM280" s="5" t="n">
        <v>8.102</v>
      </c>
      <c r="AN280" s="5" t="n">
        <v>40.464</v>
      </c>
      <c r="AO280" s="5" t="n">
        <v>0.24</v>
      </c>
      <c r="AP280" s="5" t="n">
        <v>1</v>
      </c>
      <c r="AQ280" s="5" t="n">
        <v>0.76</v>
      </c>
      <c r="AR280" s="5" t="n">
        <v>0.129</v>
      </c>
      <c r="AS280" s="5" t="n">
        <v>0.922</v>
      </c>
      <c r="AT280" s="5" t="n">
        <v>2.086</v>
      </c>
      <c r="AU280" s="5" t="n">
        <v>0.24</v>
      </c>
      <c r="AV280" s="5" t="n">
        <v>1</v>
      </c>
      <c r="AW280" s="5" t="n">
        <v>0.8110000000000001</v>
      </c>
      <c r="AX280" s="5" t="n">
        <v>0.129</v>
      </c>
      <c r="AY280" s="5" t="n">
        <v>0.878</v>
      </c>
      <c r="AZ280" s="5" t="n">
        <v>2.095</v>
      </c>
      <c r="BA280" s="5" t="n">
        <v>0.24</v>
      </c>
      <c r="BB280" s="5" t="n">
        <v>1</v>
      </c>
      <c r="BC280" s="5" t="n">
        <v>0.535</v>
      </c>
      <c r="BD280" s="5" t="n">
        <v>0.129</v>
      </c>
      <c r="BE280" s="5" t="n">
        <v>1.277</v>
      </c>
      <c r="BF280" s="5" t="n">
        <v>2.247</v>
      </c>
      <c r="BG280" s="5" t="n">
        <v>0.24</v>
      </c>
      <c r="BH280" s="5" t="n">
        <v>1</v>
      </c>
      <c r="BI280" s="5" t="n">
        <v>0.579</v>
      </c>
      <c r="BJ280" s="5" t="n">
        <v>0.129</v>
      </c>
      <c r="BK280" s="5" t="n">
        <v>0.676</v>
      </c>
      <c r="BL280" s="5" t="n">
        <v>1.557</v>
      </c>
      <c r="BM280" s="5" t="n">
        <v>0.24</v>
      </c>
      <c r="BN280" s="5" t="n">
        <v>1</v>
      </c>
      <c r="BO280" s="5" t="n">
        <v>0</v>
      </c>
      <c r="BP280" s="5" t="n">
        <v>0.001</v>
      </c>
      <c r="BQ280" s="5" t="n">
        <v>0.081</v>
      </c>
      <c r="BR280" s="5" t="n">
        <v>0</v>
      </c>
      <c r="BS280" s="5" t="n">
        <v>1</v>
      </c>
      <c r="BT280" s="5" t="n">
        <v>0</v>
      </c>
      <c r="BU280" s="5" t="n">
        <v>0.024</v>
      </c>
      <c r="BV280" s="5" t="n">
        <v>0.268</v>
      </c>
      <c r="BW280" s="5" t="n">
        <v>0.24</v>
      </c>
      <c r="BX280" s="5" t="n">
        <v>0.833</v>
      </c>
      <c r="BY280" s="5" t="n">
        <v>13.254</v>
      </c>
      <c r="BZ280" s="5" t="n">
        <v>0</v>
      </c>
      <c r="CA280" s="5" t="n">
        <v>13.254</v>
      </c>
      <c r="CB280" s="5" t="n">
        <v>0</v>
      </c>
      <c r="CC280" s="5" t="n">
        <v>83.248</v>
      </c>
      <c r="CD280" s="5" t="n">
        <v>7.95</v>
      </c>
      <c r="CE280" s="5" t="n">
        <v>164.946</v>
      </c>
      <c r="CF280" s="5" t="n">
        <v>307.76</v>
      </c>
      <c r="CG280" s="5" t="n">
        <v>0.24</v>
      </c>
      <c r="CH280" s="5" t="n">
        <v>1</v>
      </c>
      <c r="CI280" s="5" t="n">
        <v>0</v>
      </c>
      <c r="CJ280" s="5" t="n">
        <v>0</v>
      </c>
      <c r="CK280" s="5" t="n">
        <v>0</v>
      </c>
      <c r="CL280" s="5" t="n">
        <v>0</v>
      </c>
      <c r="CM280" s="5" t="n">
        <v>0</v>
      </c>
      <c r="CN280" s="5" t="n">
        <v>0</v>
      </c>
      <c r="CO280" s="5" t="n">
        <v>0</v>
      </c>
      <c r="CP280" s="5" t="n">
        <v>0</v>
      </c>
      <c r="CQ280" s="5" t="n">
        <v>1.348</v>
      </c>
      <c r="CR280" s="5" t="n">
        <v>0</v>
      </c>
      <c r="CS280" s="5" t="n">
        <v>5.37</v>
      </c>
      <c r="CT280" s="5" t="n">
        <v>5.868</v>
      </c>
      <c r="CU280" s="5" t="n">
        <v>11.622</v>
      </c>
    </row>
    <row r="281">
      <c r="A281" s="5" t="inlineStr">
        <is>
          <t>FIN2024</t>
        </is>
      </c>
      <c r="B281" s="5" t="inlineStr">
        <is>
          <t>FIN</t>
        </is>
      </c>
      <c r="C281" s="5" t="inlineStr">
        <is>
          <t>FIN</t>
        </is>
      </c>
      <c r="D281" s="5" t="inlineStr">
        <is>
          <t>Finland</t>
        </is>
      </c>
      <c r="E281" s="5" t="n">
        <v>2024</v>
      </c>
      <c r="F281" s="5" t="n">
        <v>0.24</v>
      </c>
      <c r="G281" s="5" t="n">
        <v>8.827999999999999</v>
      </c>
      <c r="H281" s="5" t="n">
        <v>2.236</v>
      </c>
      <c r="I281" s="5" t="n">
        <v>6.45</v>
      </c>
      <c r="J281" s="5" t="n">
        <v>15.278</v>
      </c>
      <c r="K281" s="5" t="n">
        <v>0</v>
      </c>
      <c r="L281" s="5" t="n">
        <v>1</v>
      </c>
      <c r="M281" s="5" t="n">
        <v>25.12</v>
      </c>
      <c r="N281" s="5" t="n">
        <v>13.684</v>
      </c>
      <c r="O281" s="5" t="n">
        <v>7.647</v>
      </c>
      <c r="P281" s="5" t="n">
        <v>32.766</v>
      </c>
      <c r="Q281" s="5" t="n">
        <v>0</v>
      </c>
      <c r="R281" s="5" t="n">
        <v>1</v>
      </c>
      <c r="S281" s="5" t="n">
        <v>11.015</v>
      </c>
      <c r="T281" s="5" t="n">
        <v>7.101</v>
      </c>
      <c r="U281" s="5" t="n">
        <v>10.183</v>
      </c>
      <c r="V281" s="5" t="n">
        <v>25.454</v>
      </c>
      <c r="W281" s="5" t="n">
        <v>0.24</v>
      </c>
      <c r="X281" s="5" t="n">
        <v>1</v>
      </c>
      <c r="Y281" s="5" t="n">
        <v>20.216</v>
      </c>
      <c r="Z281" s="5" t="n">
        <v>2.553</v>
      </c>
      <c r="AA281" s="5" t="n">
        <v>10</v>
      </c>
      <c r="AB281" s="5" t="n">
        <v>30.216</v>
      </c>
      <c r="AC281" s="5" t="n">
        <v>0</v>
      </c>
      <c r="AD281" s="5" t="n">
        <v>1</v>
      </c>
      <c r="AE281" s="5" t="n">
        <v>20.216</v>
      </c>
      <c r="AF281" s="5" t="n">
        <v>4.428</v>
      </c>
      <c r="AG281" s="5" t="n">
        <v>10</v>
      </c>
      <c r="AH281" s="5" t="n">
        <v>30.216</v>
      </c>
      <c r="AI281" s="5" t="n">
        <v>0</v>
      </c>
      <c r="AJ281" s="5" t="n">
        <v>1</v>
      </c>
      <c r="AK281" s="5" t="n">
        <v>24.247</v>
      </c>
      <c r="AL281" s="5" t="n">
        <v>12.333</v>
      </c>
      <c r="AM281" s="5" t="n">
        <v>9.122</v>
      </c>
      <c r="AN281" s="5" t="n">
        <v>40.068</v>
      </c>
      <c r="AO281" s="5" t="n">
        <v>0.24</v>
      </c>
      <c r="AP281" s="5" t="n">
        <v>1</v>
      </c>
      <c r="AQ281" s="5" t="n">
        <v>0.724</v>
      </c>
      <c r="AR281" s="5" t="n">
        <v>0.132</v>
      </c>
      <c r="AS281" s="5" t="n">
        <v>0.848</v>
      </c>
      <c r="AT281" s="5" t="n">
        <v>1.95</v>
      </c>
      <c r="AU281" s="5" t="n">
        <v>0.24</v>
      </c>
      <c r="AV281" s="5" t="n">
        <v>1</v>
      </c>
      <c r="AW281" s="5" t="n">
        <v>0.75</v>
      </c>
      <c r="AX281" s="5" t="n">
        <v>0.132</v>
      </c>
      <c r="AY281" s="5" t="n">
        <v>0.791</v>
      </c>
      <c r="AZ281" s="5" t="n">
        <v>1.911</v>
      </c>
      <c r="BA281" s="5" t="n">
        <v>0.24</v>
      </c>
      <c r="BB281" s="5" t="n">
        <v>1</v>
      </c>
      <c r="BC281" s="5" t="n">
        <v>0.513</v>
      </c>
      <c r="BD281" s="5" t="n">
        <v>0.132</v>
      </c>
      <c r="BE281" s="5" t="n">
        <v>1.13</v>
      </c>
      <c r="BF281" s="5" t="n">
        <v>2.038</v>
      </c>
      <c r="BG281" s="5" t="n">
        <v>0.24</v>
      </c>
      <c r="BH281" s="5" t="n">
        <v>1</v>
      </c>
      <c r="BI281" s="5" t="n">
        <v>0.591</v>
      </c>
      <c r="BJ281" s="5" t="n">
        <v>0.132</v>
      </c>
      <c r="BK281" s="5" t="n">
        <v>0.548</v>
      </c>
      <c r="BL281" s="5" t="n">
        <v>1.412</v>
      </c>
      <c r="BM281" s="5" t="n">
        <v>0.24</v>
      </c>
      <c r="BN281" s="5" t="n">
        <v>1</v>
      </c>
      <c r="BO281" s="5" t="n">
        <v>0</v>
      </c>
      <c r="BP281" s="5" t="n">
        <v>0.001</v>
      </c>
      <c r="BQ281" s="5" t="n">
        <v>0.06900000000000001</v>
      </c>
      <c r="BR281" s="5" t="n">
        <v>0</v>
      </c>
      <c r="BS281" s="5" t="n">
        <v>1</v>
      </c>
      <c r="BT281" s="5" t="n">
        <v>0</v>
      </c>
      <c r="BU281" s="5" t="n">
        <v>0.024</v>
      </c>
      <c r="BV281" s="5" t="n">
        <v>0.306</v>
      </c>
      <c r="BW281" s="5" t="n">
        <v>0.24</v>
      </c>
      <c r="BX281" s="5" t="n">
        <v>0.833</v>
      </c>
      <c r="BY281" s="5" t="n">
        <v>13.646</v>
      </c>
      <c r="BZ281" s="5" t="n">
        <v>0</v>
      </c>
      <c r="CA281" s="5" t="n">
        <v>13.646</v>
      </c>
      <c r="CB281" s="5" t="n">
        <v>0</v>
      </c>
      <c r="CC281" s="5" t="n">
        <v>82.58799999999999</v>
      </c>
      <c r="CD281" s="5" t="n">
        <v>7.95</v>
      </c>
      <c r="CE281" s="5" t="n">
        <v>141.248</v>
      </c>
      <c r="CF281" s="5" t="n">
        <v>277.557</v>
      </c>
      <c r="CG281" s="5" t="n">
        <v>0.24</v>
      </c>
      <c r="CH281" s="5" t="n">
        <v>1</v>
      </c>
      <c r="CI281" s="5" t="n">
        <v>0</v>
      </c>
      <c r="CJ281" s="5" t="n">
        <v>0</v>
      </c>
      <c r="CK281" s="5" t="n">
        <v>0</v>
      </c>
      <c r="CL281" s="5" t="n">
        <v>0</v>
      </c>
      <c r="CM281" s="5" t="n">
        <v>0</v>
      </c>
      <c r="CN281" s="5" t="n">
        <v>0</v>
      </c>
      <c r="CO281" s="5" t="n">
        <v>0</v>
      </c>
      <c r="CP281" s="5" t="n">
        <v>0</v>
      </c>
      <c r="CQ281" s="5" t="n">
        <v>1.387</v>
      </c>
      <c r="CR281" s="5" t="n">
        <v>0</v>
      </c>
      <c r="CS281" s="5" t="n">
        <v>5.529</v>
      </c>
      <c r="CT281" s="5" t="n">
        <v>4.592</v>
      </c>
      <c r="CU281" s="5" t="n">
        <v>10.168</v>
      </c>
    </row>
    <row r="282">
      <c r="A282" s="5" t="inlineStr">
        <is>
          <t>FRA2021</t>
        </is>
      </c>
      <c r="B282" s="5" t="inlineStr">
        <is>
          <t>FRA</t>
        </is>
      </c>
      <c r="C282" s="5" t="inlineStr">
        <is>
          <t>FRA</t>
        </is>
      </c>
      <c r="D282" s="5" t="inlineStr">
        <is>
          <t>France</t>
        </is>
      </c>
      <c r="E282" s="5" t="n">
        <v>2021</v>
      </c>
      <c r="F282" s="5" t="n">
        <v>0.2</v>
      </c>
      <c r="G282" s="5" t="n">
        <v>5.022</v>
      </c>
      <c r="H282" s="5" t="n">
        <v>1.099</v>
      </c>
      <c r="I282" s="5" t="n">
        <v>1.186</v>
      </c>
      <c r="J282" s="5" t="n">
        <v>6.208</v>
      </c>
      <c r="K282" s="5" t="n">
        <v>0</v>
      </c>
      <c r="L282" s="5" t="n">
        <v>1</v>
      </c>
      <c r="M282" s="5" t="n">
        <v>6.592</v>
      </c>
      <c r="N282" s="5" t="n">
        <v>2.988</v>
      </c>
      <c r="O282" s="5" t="n">
        <v>1.494</v>
      </c>
      <c r="P282" s="5" t="n">
        <v>8.086</v>
      </c>
      <c r="Q282" s="5" t="n">
        <v>0</v>
      </c>
      <c r="R282" s="5" t="n">
        <v>1</v>
      </c>
      <c r="S282" s="5" t="n">
        <v>11.069</v>
      </c>
      <c r="T282" s="5" t="n">
        <v>5.94</v>
      </c>
      <c r="U282" s="5" t="n">
        <v>0.235</v>
      </c>
      <c r="V282" s="5" t="n">
        <v>13.564</v>
      </c>
      <c r="W282" s="5" t="n">
        <v>0.2</v>
      </c>
      <c r="X282" s="5" t="n">
        <v>1</v>
      </c>
      <c r="Y282" s="5" t="n">
        <v>21.184</v>
      </c>
      <c r="Z282" s="5" t="n">
        <v>2.34</v>
      </c>
      <c r="AA282" s="5" t="n">
        <v>-6.568</v>
      </c>
      <c r="AB282" s="5" t="n">
        <v>14.616</v>
      </c>
      <c r="AC282" s="5" t="n">
        <v>0</v>
      </c>
      <c r="AD282" s="5" t="n">
        <v>1</v>
      </c>
      <c r="AE282" s="5" t="n">
        <v>21.14</v>
      </c>
      <c r="AF282" s="5" t="n">
        <v>4.16</v>
      </c>
      <c r="AG282" s="5" t="n">
        <v>-6.514</v>
      </c>
      <c r="AH282" s="5" t="n">
        <v>14.627</v>
      </c>
      <c r="AI282" s="5" t="n">
        <v>0</v>
      </c>
      <c r="AJ282" s="5" t="n">
        <v>1</v>
      </c>
      <c r="AK282" s="5" t="n">
        <v>27.169</v>
      </c>
      <c r="AL282" s="5" t="n">
        <v>13.335</v>
      </c>
      <c r="AM282" s="5" t="n">
        <v>-6.925</v>
      </c>
      <c r="AN282" s="5" t="n">
        <v>24.293</v>
      </c>
      <c r="AO282" s="5" t="n">
        <v>0.2</v>
      </c>
      <c r="AP282" s="5" t="n">
        <v>1</v>
      </c>
      <c r="AQ282" s="5" t="n">
        <v>0.619</v>
      </c>
      <c r="AR282" s="5" t="n">
        <v>0.114</v>
      </c>
      <c r="AS282" s="5" t="n">
        <v>0.912</v>
      </c>
      <c r="AT282" s="5" t="n">
        <v>1.837</v>
      </c>
      <c r="AU282" s="5" t="n">
        <v>0.2</v>
      </c>
      <c r="AV282" s="5" t="n">
        <v>1</v>
      </c>
      <c r="AW282" s="5" t="n">
        <v>0.599</v>
      </c>
      <c r="AX282" s="5" t="n">
        <v>0.114</v>
      </c>
      <c r="AY282" s="5" t="n">
        <v>0.8110000000000001</v>
      </c>
      <c r="AZ282" s="5" t="n">
        <v>1.693</v>
      </c>
      <c r="BA282" s="5" t="n">
        <v>0.2</v>
      </c>
      <c r="BB282" s="5" t="n">
        <v>1</v>
      </c>
      <c r="BC282" s="5" t="n">
        <v>0.439</v>
      </c>
      <c r="BD282" s="5" t="n">
        <v>0.114</v>
      </c>
      <c r="BE282" s="5" t="n">
        <v>0.401</v>
      </c>
      <c r="BF282" s="5" t="n">
        <v>1.008</v>
      </c>
      <c r="BG282" s="5" t="n">
        <v>0.2</v>
      </c>
      <c r="BH282" s="5" t="n">
        <v>1</v>
      </c>
      <c r="BI282" s="5" t="n">
        <v>0.505</v>
      </c>
      <c r="BJ282" s="5" t="n">
        <v>0.114</v>
      </c>
      <c r="BK282" s="5" t="n">
        <v>0.386</v>
      </c>
      <c r="BL282" s="5" t="n">
        <v>1.069</v>
      </c>
      <c r="BM282" s="5" t="n">
        <v>0.2</v>
      </c>
      <c r="BN282" s="5" t="n">
        <v>1</v>
      </c>
      <c r="BO282" s="5" t="n">
        <v>0</v>
      </c>
      <c r="BP282" s="5" t="n">
        <v>0.01</v>
      </c>
      <c r="BQ282" s="5" t="n">
        <v>0.095</v>
      </c>
      <c r="BR282" s="5" t="n">
        <v>0</v>
      </c>
      <c r="BS282" s="5" t="n">
        <v>1</v>
      </c>
      <c r="BT282" s="5" t="n">
        <v>0</v>
      </c>
      <c r="BU282" s="5" t="n">
        <v>0.045</v>
      </c>
      <c r="BV282" s="5" t="n">
        <v>0.235</v>
      </c>
      <c r="BW282" s="5" t="n">
        <v>0.2</v>
      </c>
      <c r="BX282" s="5" t="n">
        <v>1</v>
      </c>
      <c r="BY282" s="5" t="n">
        <v>11.787</v>
      </c>
      <c r="BZ282" s="5" t="n">
        <v>0</v>
      </c>
      <c r="CA282" s="5" t="n">
        <v>11.787</v>
      </c>
      <c r="CB282" s="5" t="n">
        <v>0</v>
      </c>
      <c r="CC282" s="5" t="n">
        <v>78.125</v>
      </c>
      <c r="CD282" s="5" t="n">
        <v>7.95</v>
      </c>
      <c r="CE282" s="5" t="n">
        <v>68.496</v>
      </c>
      <c r="CF282" s="5" t="n">
        <v>175.945</v>
      </c>
      <c r="CG282" s="5" t="n">
        <v>0.2</v>
      </c>
      <c r="CH282" s="5" t="n">
        <v>1</v>
      </c>
      <c r="CI282" s="5" t="n">
        <v>0</v>
      </c>
      <c r="CJ282" s="5" t="n">
        <v>0</v>
      </c>
      <c r="CK282" s="5" t="n">
        <v>0</v>
      </c>
      <c r="CL282" s="5" t="n">
        <v>0</v>
      </c>
      <c r="CM282" s="5" t="n">
        <v>0</v>
      </c>
      <c r="CN282" s="5" t="n">
        <v>0.083</v>
      </c>
      <c r="CO282" s="5" t="n">
        <v>0.052</v>
      </c>
      <c r="CP282" s="5" t="n">
        <v>0</v>
      </c>
      <c r="CQ282" s="5" t="n">
        <v>1.198</v>
      </c>
      <c r="CR282" s="5" t="n">
        <v>0</v>
      </c>
      <c r="CS282" s="5" t="n">
        <v>4.776</v>
      </c>
      <c r="CT282" s="5" t="n">
        <v>6.569</v>
      </c>
      <c r="CU282" s="5" t="n">
        <v>14.962</v>
      </c>
    </row>
    <row r="283">
      <c r="A283" s="5" t="inlineStr">
        <is>
          <t>FRA2022</t>
        </is>
      </c>
      <c r="B283" s="5" t="inlineStr">
        <is>
          <t>FRA</t>
        </is>
      </c>
      <c r="C283" s="5" t="inlineStr">
        <is>
          <t>FRA</t>
        </is>
      </c>
      <c r="D283" s="5" t="inlineStr">
        <is>
          <t>France</t>
        </is>
      </c>
      <c r="E283" s="5" t="n">
        <v>2022</v>
      </c>
      <c r="F283" s="5" t="n">
        <v>0.2</v>
      </c>
      <c r="G283" s="5" t="n">
        <v>9.981999999999999</v>
      </c>
      <c r="H283" s="5" t="n">
        <v>1.55</v>
      </c>
      <c r="I283" s="5" t="n">
        <v>8.218</v>
      </c>
      <c r="J283" s="5" t="n">
        <v>18.2</v>
      </c>
      <c r="K283" s="5" t="n">
        <v>0</v>
      </c>
      <c r="L283" s="5" t="n">
        <v>1</v>
      </c>
      <c r="M283" s="5" t="n">
        <v>6.924</v>
      </c>
      <c r="N283" s="5" t="n">
        <v>2.859</v>
      </c>
      <c r="O283" s="5" t="n">
        <v>8.829000000000001</v>
      </c>
      <c r="P283" s="5" t="n">
        <v>15.753</v>
      </c>
      <c r="Q283" s="5" t="n">
        <v>0</v>
      </c>
      <c r="R283" s="5" t="n">
        <v>1</v>
      </c>
      <c r="S283" s="5" t="n">
        <v>18.537</v>
      </c>
      <c r="T283" s="5" t="n">
        <v>6.733</v>
      </c>
      <c r="U283" s="5" t="n">
        <v>3.459</v>
      </c>
      <c r="V283" s="5" t="n">
        <v>26.01</v>
      </c>
      <c r="W283" s="5" t="n">
        <v>0.2</v>
      </c>
      <c r="X283" s="5" t="n">
        <v>1</v>
      </c>
      <c r="Y283" s="5" t="n">
        <v>35.155</v>
      </c>
      <c r="Z283" s="5" t="n">
        <v>3.688</v>
      </c>
      <c r="AA283" s="5" t="n">
        <v>-10.589</v>
      </c>
      <c r="AB283" s="5" t="n">
        <v>24.567</v>
      </c>
      <c r="AC283" s="5" t="n">
        <v>0</v>
      </c>
      <c r="AD283" s="5" t="n">
        <v>1</v>
      </c>
      <c r="AE283" s="5" t="n">
        <v>35.203</v>
      </c>
      <c r="AF283" s="5" t="n">
        <v>6.526</v>
      </c>
      <c r="AG283" s="5" t="n">
        <v>-10.56</v>
      </c>
      <c r="AH283" s="5" t="n">
        <v>24.644</v>
      </c>
      <c r="AI283" s="5" t="n">
        <v>0</v>
      </c>
      <c r="AJ283" s="5" t="n">
        <v>1</v>
      </c>
      <c r="AK283" s="5" t="n">
        <v>41.781</v>
      </c>
      <c r="AL283" s="5" t="n">
        <v>19.952</v>
      </c>
      <c r="AM283" s="5" t="n">
        <v>-19.017</v>
      </c>
      <c r="AN283" s="5" t="n">
        <v>27.316</v>
      </c>
      <c r="AO283" s="5" t="n">
        <v>0.2</v>
      </c>
      <c r="AP283" s="5" t="n">
        <v>1</v>
      </c>
      <c r="AQ283" s="5" t="n">
        <v>0.861</v>
      </c>
      <c r="AR283" s="5" t="n">
        <v>0.123</v>
      </c>
      <c r="AS283" s="5" t="n">
        <v>0.726</v>
      </c>
      <c r="AT283" s="5" t="n">
        <v>1.905</v>
      </c>
      <c r="AU283" s="5" t="n">
        <v>0.2</v>
      </c>
      <c r="AV283" s="5" t="n">
        <v>1</v>
      </c>
      <c r="AW283" s="5" t="n">
        <v>0.986</v>
      </c>
      <c r="AX283" s="5" t="n">
        <v>0.123</v>
      </c>
      <c r="AY283" s="5" t="n">
        <v>0.633</v>
      </c>
      <c r="AZ283" s="5" t="n">
        <v>1.942</v>
      </c>
      <c r="BA283" s="5" t="n">
        <v>0.2</v>
      </c>
      <c r="BB283" s="5" t="n">
        <v>1</v>
      </c>
      <c r="BC283" s="5" t="n">
        <v>0.598</v>
      </c>
      <c r="BD283" s="5" t="n">
        <v>0.123</v>
      </c>
      <c r="BE283" s="5" t="n">
        <v>0.143</v>
      </c>
      <c r="BF283" s="5" t="n">
        <v>0.89</v>
      </c>
      <c r="BG283" s="5" t="n">
        <v>0.2</v>
      </c>
      <c r="BH283" s="5" t="n">
        <v>1</v>
      </c>
      <c r="BI283" s="5" t="n">
        <v>0.612</v>
      </c>
      <c r="BJ283" s="5" t="n">
        <v>0.123</v>
      </c>
      <c r="BK283" s="5" t="n">
        <v>0.6820000000000001</v>
      </c>
      <c r="BL283" s="5" t="n">
        <v>1.553</v>
      </c>
      <c r="BM283" s="5" t="n">
        <v>0.2</v>
      </c>
      <c r="BN283" s="5" t="n">
        <v>1</v>
      </c>
      <c r="BO283" s="5" t="n">
        <v>0</v>
      </c>
      <c r="BP283" s="5" t="n">
        <v>0.002</v>
      </c>
      <c r="BQ283" s="5" t="n">
        <v>0.118</v>
      </c>
      <c r="BR283" s="5" t="n">
        <v>0</v>
      </c>
      <c r="BS283" s="5" t="n">
        <v>1</v>
      </c>
      <c r="BT283" s="5" t="n">
        <v>0</v>
      </c>
      <c r="BU283" s="5" t="n">
        <v>0.021</v>
      </c>
      <c r="BV283" s="5" t="n">
        <v>0.226</v>
      </c>
      <c r="BW283" s="5" t="n">
        <v>0.2</v>
      </c>
      <c r="BX283" s="5" t="n">
        <v>1</v>
      </c>
      <c r="BY283" s="5" t="n">
        <v>12.729</v>
      </c>
      <c r="BZ283" s="5" t="n">
        <v>0</v>
      </c>
      <c r="CA283" s="5" t="n">
        <v>12.729</v>
      </c>
      <c r="CB283" s="5" t="n">
        <v>0</v>
      </c>
      <c r="CC283" s="5" t="n">
        <v>97.90000000000001</v>
      </c>
      <c r="CD283" s="5" t="n">
        <v>7.95</v>
      </c>
      <c r="CE283" s="5" t="n">
        <v>142.287</v>
      </c>
      <c r="CF283" s="5" t="n">
        <v>288.224</v>
      </c>
      <c r="CG283" s="5" t="n">
        <v>0.2</v>
      </c>
      <c r="CH283" s="5" t="n">
        <v>1</v>
      </c>
      <c r="CI283" s="5" t="n">
        <v>0</v>
      </c>
      <c r="CJ283" s="5" t="n">
        <v>0</v>
      </c>
      <c r="CK283" s="5" t="n">
        <v>0</v>
      </c>
      <c r="CL283" s="5" t="n">
        <v>0</v>
      </c>
      <c r="CM283" s="5" t="n">
        <v>0</v>
      </c>
      <c r="CN283" s="5" t="n">
        <v>0.083</v>
      </c>
      <c r="CO283" s="5" t="n">
        <v>0.055</v>
      </c>
      <c r="CP283" s="5" t="n">
        <v>0</v>
      </c>
      <c r="CQ283" s="5" t="n">
        <v>1.294</v>
      </c>
      <c r="CR283" s="5" t="n">
        <v>0</v>
      </c>
      <c r="CS283" s="5" t="n">
        <v>5.158</v>
      </c>
      <c r="CT283" s="5" t="n">
        <v>14.147</v>
      </c>
      <c r="CU283" s="5" t="n">
        <v>28.842</v>
      </c>
    </row>
    <row r="284">
      <c r="A284" s="5" t="inlineStr">
        <is>
          <t>FRA2023</t>
        </is>
      </c>
      <c r="B284" s="5" t="inlineStr">
        <is>
          <t>FRA</t>
        </is>
      </c>
      <c r="C284" s="5" t="inlineStr">
        <is>
          <t>FRA</t>
        </is>
      </c>
      <c r="D284" s="5" t="inlineStr">
        <is>
          <t>France</t>
        </is>
      </c>
      <c r="E284" s="5" t="n">
        <v>2023</v>
      </c>
      <c r="F284" s="5" t="n">
        <v>0.2</v>
      </c>
      <c r="G284" s="5" t="n">
        <v>18.6</v>
      </c>
      <c r="H284" s="5" t="n">
        <v>4.236</v>
      </c>
      <c r="I284" s="5" t="n">
        <v>9.523999999999999</v>
      </c>
      <c r="J284" s="5" t="n">
        <v>28.123</v>
      </c>
      <c r="K284" s="5" t="n">
        <v>0</v>
      </c>
      <c r="L284" s="5" t="n">
        <v>1</v>
      </c>
      <c r="M284" s="5" t="n">
        <v>15.994</v>
      </c>
      <c r="N284" s="5" t="n">
        <v>7.932</v>
      </c>
      <c r="O284" s="5" t="n">
        <v>9.815</v>
      </c>
      <c r="P284" s="5" t="n">
        <v>25.809</v>
      </c>
      <c r="Q284" s="5" t="n">
        <v>0</v>
      </c>
      <c r="R284" s="5" t="n">
        <v>1</v>
      </c>
      <c r="S284" s="5" t="n">
        <v>16.116</v>
      </c>
      <c r="T284" s="5" t="n">
        <v>6.751</v>
      </c>
      <c r="U284" s="5" t="n">
        <v>3.568</v>
      </c>
      <c r="V284" s="5" t="n">
        <v>23.109</v>
      </c>
      <c r="W284" s="5" t="n">
        <v>0.2</v>
      </c>
      <c r="X284" s="5" t="n">
        <v>1</v>
      </c>
      <c r="Y284" s="5" t="n">
        <v>18.138</v>
      </c>
      <c r="Z284" s="5" t="n">
        <v>2.032</v>
      </c>
      <c r="AA284" s="5" t="n">
        <v>11.559</v>
      </c>
      <c r="AB284" s="5" t="n">
        <v>29.698</v>
      </c>
      <c r="AC284" s="5" t="n">
        <v>0</v>
      </c>
      <c r="AD284" s="5" t="n">
        <v>1</v>
      </c>
      <c r="AE284" s="5" t="n">
        <v>18.237</v>
      </c>
      <c r="AF284" s="5" t="n">
        <v>3.632</v>
      </c>
      <c r="AG284" s="5" t="n">
        <v>11.55</v>
      </c>
      <c r="AH284" s="5" t="n">
        <v>29.787</v>
      </c>
      <c r="AI284" s="5" t="n">
        <v>0</v>
      </c>
      <c r="AJ284" s="5" t="n">
        <v>1</v>
      </c>
      <c r="AK284" s="5" t="n">
        <v>25.12</v>
      </c>
      <c r="AL284" s="5" t="n">
        <v>12.444</v>
      </c>
      <c r="AM284" s="5" t="n">
        <v>2.725</v>
      </c>
      <c r="AN284" s="5" t="n">
        <v>33.414</v>
      </c>
      <c r="AO284" s="5" t="n">
        <v>0.2</v>
      </c>
      <c r="AP284" s="5" t="n">
        <v>1</v>
      </c>
      <c r="AQ284" s="5" t="n">
        <v>0.76</v>
      </c>
      <c r="AR284" s="5" t="n">
        <v>0.129</v>
      </c>
      <c r="AS284" s="5" t="n">
        <v>0.9340000000000001</v>
      </c>
      <c r="AT284" s="5" t="n">
        <v>2.034</v>
      </c>
      <c r="AU284" s="5" t="n">
        <v>0.2</v>
      </c>
      <c r="AV284" s="5" t="n">
        <v>1</v>
      </c>
      <c r="AW284" s="5" t="n">
        <v>0.8110000000000001</v>
      </c>
      <c r="AX284" s="5" t="n">
        <v>0.129</v>
      </c>
      <c r="AY284" s="5" t="n">
        <v>0.806</v>
      </c>
      <c r="AZ284" s="5" t="n">
        <v>1.941</v>
      </c>
      <c r="BA284" s="5" t="n">
        <v>0.2</v>
      </c>
      <c r="BB284" s="5" t="n">
        <v>1</v>
      </c>
      <c r="BC284" s="5" t="n">
        <v>0.535</v>
      </c>
      <c r="BD284" s="5" t="n">
        <v>0.129</v>
      </c>
      <c r="BE284" s="5" t="n">
        <v>0.347</v>
      </c>
      <c r="BF284" s="5" t="n">
        <v>1.058</v>
      </c>
      <c r="BG284" s="5" t="n">
        <v>0.2</v>
      </c>
      <c r="BH284" s="5" t="n">
        <v>1</v>
      </c>
      <c r="BI284" s="5" t="n">
        <v>0.579</v>
      </c>
      <c r="BJ284" s="5" t="n">
        <v>0.129</v>
      </c>
      <c r="BK284" s="5" t="n">
        <v>0.5629999999999999</v>
      </c>
      <c r="BL284" s="5" t="n">
        <v>1.371</v>
      </c>
      <c r="BM284" s="5" t="n">
        <v>0.2</v>
      </c>
      <c r="BN284" s="5" t="n">
        <v>1</v>
      </c>
      <c r="BO284" s="5" t="n">
        <v>0</v>
      </c>
      <c r="BP284" s="5" t="n">
        <v>0.001</v>
      </c>
      <c r="BQ284" s="5" t="n">
        <v>0.168</v>
      </c>
      <c r="BR284" s="5" t="n">
        <v>0</v>
      </c>
      <c r="BS284" s="5" t="n">
        <v>1</v>
      </c>
      <c r="BT284" s="5" t="n">
        <v>0</v>
      </c>
      <c r="BU284" s="5" t="n">
        <v>0.008</v>
      </c>
      <c r="BV284" s="5" t="n">
        <v>0.264</v>
      </c>
      <c r="BW284" s="5" t="n">
        <v>0.2</v>
      </c>
      <c r="BX284" s="5" t="n">
        <v>1</v>
      </c>
      <c r="BY284" s="5" t="n">
        <v>13.254</v>
      </c>
      <c r="BZ284" s="5" t="n">
        <v>0</v>
      </c>
      <c r="CA284" s="5" t="n">
        <v>13.254</v>
      </c>
      <c r="CB284" s="5" t="n">
        <v>0</v>
      </c>
      <c r="CC284" s="5" t="n">
        <v>83.248</v>
      </c>
      <c r="CD284" s="5" t="n">
        <v>7.95</v>
      </c>
      <c r="CE284" s="5" t="n">
        <v>138.203</v>
      </c>
      <c r="CF284" s="5" t="n">
        <v>265.741</v>
      </c>
      <c r="CG284" s="5" t="n">
        <v>0.2</v>
      </c>
      <c r="CH284" s="5" t="n">
        <v>1</v>
      </c>
      <c r="CI284" s="5" t="n">
        <v>0</v>
      </c>
      <c r="CJ284" s="5" t="n">
        <v>0</v>
      </c>
      <c r="CK284" s="5" t="n">
        <v>0</v>
      </c>
      <c r="CL284" s="5" t="n">
        <v>0</v>
      </c>
      <c r="CM284" s="5" t="n">
        <v>0</v>
      </c>
      <c r="CN284" s="5" t="n">
        <v>0.028</v>
      </c>
      <c r="CO284" s="5" t="n">
        <v>0.056</v>
      </c>
      <c r="CP284" s="5" t="n">
        <v>0</v>
      </c>
      <c r="CQ284" s="5" t="n">
        <v>1.348</v>
      </c>
      <c r="CR284" s="5" t="n">
        <v>0</v>
      </c>
      <c r="CS284" s="5" t="n">
        <v>5.37</v>
      </c>
      <c r="CT284" s="5" t="n">
        <v>12.035</v>
      </c>
      <c r="CU284" s="5" t="n">
        <v>11.774</v>
      </c>
    </row>
    <row r="285">
      <c r="A285" s="5" t="inlineStr">
        <is>
          <t>FRA2024</t>
        </is>
      </c>
      <c r="B285" s="5" t="inlineStr">
        <is>
          <t>FRA</t>
        </is>
      </c>
      <c r="C285" s="5" t="inlineStr">
        <is>
          <t>FRA</t>
        </is>
      </c>
      <c r="D285" s="5" t="inlineStr">
        <is>
          <t>France</t>
        </is>
      </c>
      <c r="E285" s="5" t="n">
        <v>2024</v>
      </c>
      <c r="F285" s="5" t="n">
        <v>0.2</v>
      </c>
      <c r="G285" s="5" t="n">
        <v>18.133</v>
      </c>
      <c r="H285" s="5" t="n">
        <v>4.594</v>
      </c>
      <c r="I285" s="5" t="n">
        <v>6.241</v>
      </c>
      <c r="J285" s="5" t="n">
        <v>24.374</v>
      </c>
      <c r="K285" s="5" t="n">
        <v>0</v>
      </c>
      <c r="L285" s="5" t="n">
        <v>1</v>
      </c>
      <c r="M285" s="5" t="n">
        <v>15.063</v>
      </c>
      <c r="N285" s="5" t="n">
        <v>8.206</v>
      </c>
      <c r="O285" s="5" t="n">
        <v>6.98</v>
      </c>
      <c r="P285" s="5" t="n">
        <v>22.044</v>
      </c>
      <c r="Q285" s="5" t="n">
        <v>0</v>
      </c>
      <c r="R285" s="5" t="n">
        <v>1</v>
      </c>
      <c r="S285" s="5" t="n">
        <v>15.689</v>
      </c>
      <c r="T285" s="5" t="n">
        <v>6.95</v>
      </c>
      <c r="U285" s="5" t="n">
        <v>3.711</v>
      </c>
      <c r="V285" s="5" t="n">
        <v>22.663</v>
      </c>
      <c r="W285" s="5" t="n">
        <v>0.2</v>
      </c>
      <c r="X285" s="5" t="n">
        <v>1</v>
      </c>
      <c r="Y285" s="5" t="n">
        <v>17.329</v>
      </c>
      <c r="Z285" s="5" t="n">
        <v>2.188</v>
      </c>
      <c r="AA285" s="5" t="n">
        <v>7.154</v>
      </c>
      <c r="AB285" s="5" t="n">
        <v>24.484</v>
      </c>
      <c r="AC285" s="5" t="n">
        <v>0</v>
      </c>
      <c r="AD285" s="5" t="n">
        <v>1</v>
      </c>
      <c r="AE285" s="5" t="n">
        <v>17.329</v>
      </c>
      <c r="AF285" s="5" t="n">
        <v>3.796</v>
      </c>
      <c r="AG285" s="5" t="n">
        <v>7.213</v>
      </c>
      <c r="AH285" s="5" t="n">
        <v>24.543</v>
      </c>
      <c r="AI285" s="5" t="n">
        <v>0</v>
      </c>
      <c r="AJ285" s="5" t="n">
        <v>1</v>
      </c>
      <c r="AK285" s="5" t="n">
        <v>25.826</v>
      </c>
      <c r="AL285" s="5" t="n">
        <v>13.136</v>
      </c>
      <c r="AM285" s="5" t="n">
        <v>5.846</v>
      </c>
      <c r="AN285" s="5" t="n">
        <v>38.007</v>
      </c>
      <c r="AO285" s="5" t="n">
        <v>0.2</v>
      </c>
      <c r="AP285" s="5" t="n">
        <v>1</v>
      </c>
      <c r="AQ285" s="5" t="n">
        <v>0.724</v>
      </c>
      <c r="AR285" s="5" t="n">
        <v>0.132</v>
      </c>
      <c r="AS285" s="5" t="n">
        <v>0.918</v>
      </c>
      <c r="AT285" s="5" t="n">
        <v>1.971</v>
      </c>
      <c r="AU285" s="5" t="n">
        <v>0.2</v>
      </c>
      <c r="AV285" s="5" t="n">
        <v>1</v>
      </c>
      <c r="AW285" s="5" t="n">
        <v>0.75</v>
      </c>
      <c r="AX285" s="5" t="n">
        <v>0.132</v>
      </c>
      <c r="AY285" s="5" t="n">
        <v>0.779</v>
      </c>
      <c r="AZ285" s="5" t="n">
        <v>1.835</v>
      </c>
      <c r="BA285" s="5" t="n">
        <v>0.2</v>
      </c>
      <c r="BB285" s="5" t="n">
        <v>1</v>
      </c>
      <c r="BC285" s="5" t="n">
        <v>0.513</v>
      </c>
      <c r="BD285" s="5" t="n">
        <v>0.132</v>
      </c>
      <c r="BE285" s="5" t="n">
        <v>0.377</v>
      </c>
      <c r="BF285" s="5" t="n">
        <v>1.068</v>
      </c>
      <c r="BG285" s="5" t="n">
        <v>0.2</v>
      </c>
      <c r="BH285" s="5" t="n">
        <v>1</v>
      </c>
      <c r="BI285" s="5" t="n">
        <v>0.591</v>
      </c>
      <c r="BJ285" s="5" t="n">
        <v>0.132</v>
      </c>
      <c r="BK285" s="5" t="n">
        <v>0.47</v>
      </c>
      <c r="BL285" s="5" t="n">
        <v>1.274</v>
      </c>
      <c r="BM285" s="5" t="n">
        <v>0.2</v>
      </c>
      <c r="BN285" s="5" t="n">
        <v>1</v>
      </c>
      <c r="BO285" s="5" t="n">
        <v>0</v>
      </c>
      <c r="BP285" s="5" t="n">
        <v>0.006</v>
      </c>
      <c r="BQ285" s="5" t="n">
        <v>0.119</v>
      </c>
      <c r="BR285" s="5" t="n">
        <v>0</v>
      </c>
      <c r="BS285" s="5" t="n">
        <v>1</v>
      </c>
      <c r="BT285" s="5" t="n">
        <v>0</v>
      </c>
      <c r="BU285" s="5" t="n">
        <v>0.027</v>
      </c>
      <c r="BV285" s="5" t="n">
        <v>0.312</v>
      </c>
      <c r="BW285" s="5" t="n">
        <v>0.2</v>
      </c>
      <c r="BX285" s="5" t="n">
        <v>1</v>
      </c>
      <c r="BY285" s="5" t="n">
        <v>13.646</v>
      </c>
      <c r="BZ285" s="5" t="n">
        <v>0</v>
      </c>
      <c r="CA285" s="5" t="n">
        <v>13.646</v>
      </c>
      <c r="CB285" s="5" t="n">
        <v>0</v>
      </c>
      <c r="CC285" s="5" t="n">
        <v>82.58799999999999</v>
      </c>
      <c r="CD285" s="5" t="n">
        <v>7.95</v>
      </c>
      <c r="CE285" s="5" t="n">
        <v>115.763</v>
      </c>
      <c r="CF285" s="5" t="n">
        <v>238.021</v>
      </c>
      <c r="CG285" s="5" t="n">
        <v>0.2</v>
      </c>
      <c r="CH285" s="5" t="n">
        <v>1</v>
      </c>
      <c r="CI285" s="5" t="n">
        <v>0</v>
      </c>
      <c r="CJ285" s="5" t="n">
        <v>0</v>
      </c>
      <c r="CK285" s="5" t="n">
        <v>0</v>
      </c>
      <c r="CL285" s="5" t="n">
        <v>0</v>
      </c>
      <c r="CM285" s="5" t="n">
        <v>0</v>
      </c>
      <c r="CN285" s="5" t="n">
        <v>0.007</v>
      </c>
      <c r="CO285" s="5" t="n">
        <v>0.057</v>
      </c>
      <c r="CP285" s="5" t="n">
        <v>0</v>
      </c>
      <c r="CQ285" s="5" t="n">
        <v>1.387</v>
      </c>
      <c r="CR285" s="5" t="n">
        <v>0</v>
      </c>
      <c r="CS285" s="5" t="n">
        <v>5.529</v>
      </c>
      <c r="CT285" s="5" t="n">
        <v>11.187</v>
      </c>
      <c r="CU285" s="5" t="n">
        <v>9.994</v>
      </c>
    </row>
    <row r="286">
      <c r="A286" s="5" t="inlineStr">
        <is>
          <t>PYF2021</t>
        </is>
      </c>
      <c r="B286" s="5" t="inlineStr">
        <is>
          <t>PYF</t>
        </is>
      </c>
      <c r="C286" s="5" t="inlineStr">
        <is>
          <t>PYF</t>
        </is>
      </c>
      <c r="D286" s="5" t="inlineStr">
        <is>
          <t>French Polynesia</t>
        </is>
      </c>
      <c r="E286" s="5" t="n">
        <v>2021</v>
      </c>
      <c r="F286" s="5" t="n">
        <v>0.13</v>
      </c>
      <c r="G286" s="5" t="n">
        <v>4.747</v>
      </c>
      <c r="H286" s="5" t="n">
        <v>1.143</v>
      </c>
      <c r="I286" s="5" t="n">
        <v>0</v>
      </c>
      <c r="J286" s="5" t="n">
        <v>4.747</v>
      </c>
      <c r="K286" s="5" t="n">
        <v>0</v>
      </c>
      <c r="L286" s="5" t="n">
        <v>1</v>
      </c>
      <c r="M286" s="5" t="n">
        <v>7.964</v>
      </c>
      <c r="N286" s="5" t="n">
        <v>3.43</v>
      </c>
      <c r="O286" s="5" t="n">
        <v>0</v>
      </c>
      <c r="P286" s="5" t="n">
        <v>7.964</v>
      </c>
      <c r="Q286" s="5" t="n">
        <v>0</v>
      </c>
      <c r="R286" s="5" t="n">
        <v>1</v>
      </c>
      <c r="S286" s="5" t="n">
        <v>10.464</v>
      </c>
      <c r="T286" s="5" t="n">
        <v>6.86</v>
      </c>
      <c r="U286" s="5" t="n">
        <v>0</v>
      </c>
      <c r="V286" s="5" t="n">
        <v>11.824</v>
      </c>
      <c r="W286" s="5" t="n">
        <v>0.13</v>
      </c>
      <c r="X286" s="5" t="n">
        <v>1</v>
      </c>
      <c r="Y286" s="5" t="n">
        <v>10.551</v>
      </c>
      <c r="Z286" s="5" t="n">
        <v>1.302</v>
      </c>
      <c r="AA286" s="5" t="n">
        <v>0</v>
      </c>
      <c r="AB286" s="5" t="n">
        <v>10.551</v>
      </c>
      <c r="AC286" s="5" t="n">
        <v>0</v>
      </c>
      <c r="AD286" s="5" t="n">
        <v>1</v>
      </c>
      <c r="AE286" s="5" t="n">
        <v>11.694</v>
      </c>
      <c r="AF286" s="5" t="n">
        <v>2.549</v>
      </c>
      <c r="AG286" s="5" t="n">
        <v>0</v>
      </c>
      <c r="AH286" s="5" t="n">
        <v>11.694</v>
      </c>
      <c r="AI286" s="5" t="n">
        <v>0</v>
      </c>
      <c r="AJ286" s="5" t="n">
        <v>1</v>
      </c>
      <c r="AK286" s="5" t="n">
        <v>18.554</v>
      </c>
      <c r="AL286" s="5" t="n">
        <v>9.627000000000001</v>
      </c>
      <c r="AM286" s="5" t="n">
        <v>0</v>
      </c>
      <c r="AN286" s="5" t="n">
        <v>20.966</v>
      </c>
      <c r="AO286" s="5" t="n">
        <v>0.13</v>
      </c>
      <c r="AP286" s="5" t="n">
        <v>1</v>
      </c>
      <c r="AQ286" s="5" t="n">
        <v>0.621</v>
      </c>
      <c r="AR286" s="5" t="n">
        <v>0.114</v>
      </c>
      <c r="AS286" s="5" t="n">
        <v>0</v>
      </c>
      <c r="AT286" s="5" t="n">
        <v>0.701</v>
      </c>
      <c r="AU286" s="5" t="n">
        <v>0.13</v>
      </c>
      <c r="AV286" s="5" t="n">
        <v>1</v>
      </c>
      <c r="AW286" s="5" t="n">
        <v>0.593</v>
      </c>
      <c r="AX286" s="5" t="n">
        <v>0.114</v>
      </c>
      <c r="AY286" s="5" t="n">
        <v>0</v>
      </c>
      <c r="AZ286" s="5" t="n">
        <v>0.67</v>
      </c>
      <c r="BA286" s="5" t="n">
        <v>0.13</v>
      </c>
      <c r="BB286" s="5" t="n">
        <v>1</v>
      </c>
      <c r="BC286" s="5" t="n">
        <v>0.44</v>
      </c>
      <c r="BD286" s="5" t="n">
        <v>0.114</v>
      </c>
      <c r="BE286" s="5" t="n">
        <v>0</v>
      </c>
      <c r="BF286" s="5" t="n">
        <v>0.497</v>
      </c>
      <c r="BG286" s="5" t="n">
        <v>0.13</v>
      </c>
      <c r="BH286" s="5" t="n">
        <v>1</v>
      </c>
      <c r="BI286" s="5" t="n">
        <v>0.5600000000000001</v>
      </c>
      <c r="BJ286" s="5" t="n">
        <v>0.114</v>
      </c>
      <c r="BK286" s="5" t="n">
        <v>0</v>
      </c>
      <c r="BL286" s="5" t="n">
        <v>0.633</v>
      </c>
      <c r="BM286" s="5" t="n">
        <v>0.13</v>
      </c>
      <c r="BN286" s="5" t="n">
        <v>1</v>
      </c>
      <c r="BO286" s="5" t="n">
        <v>0</v>
      </c>
      <c r="BP286" s="5" t="n">
        <v>0</v>
      </c>
      <c r="BQ286" s="5" t="n">
        <v>0</v>
      </c>
      <c r="BR286" s="5" t="n">
        <v>0</v>
      </c>
      <c r="BS286" s="5" t="n">
        <v>1</v>
      </c>
      <c r="BT286" s="5" t="n">
        <v>0</v>
      </c>
      <c r="BU286" s="5" t="n">
        <v>0</v>
      </c>
      <c r="BV286" s="5" t="n">
        <v>0</v>
      </c>
      <c r="BW286" s="5" t="n">
        <v>0.13</v>
      </c>
      <c r="BX286" s="5" t="n">
        <v>1</v>
      </c>
      <c r="BY286" s="5" t="n">
        <v>11.787</v>
      </c>
      <c r="BZ286" s="5" t="n">
        <v>0</v>
      </c>
      <c r="CA286" s="5" t="n">
        <v>11.787</v>
      </c>
      <c r="CB286" s="5" t="n">
        <v>0</v>
      </c>
      <c r="CC286" s="5" t="n">
        <v>81.69499999999999</v>
      </c>
      <c r="CD286" s="5" t="n">
        <v>7.95</v>
      </c>
      <c r="CE286" s="5" t="n">
        <v>0</v>
      </c>
      <c r="CF286" s="5" t="n">
        <v>92.316</v>
      </c>
      <c r="CG286" s="5" t="n">
        <v>0.13</v>
      </c>
      <c r="CH286" s="5" t="n">
        <v>1</v>
      </c>
      <c r="CI286" s="5" t="n">
        <v>0</v>
      </c>
      <c r="CJ286" s="5" t="n">
        <v>0</v>
      </c>
      <c r="CK286" s="5" t="n">
        <v>0</v>
      </c>
      <c r="CL286" s="5" t="n">
        <v>0</v>
      </c>
      <c r="CM286" s="5" t="n">
        <v>0</v>
      </c>
      <c r="CN286" s="5" t="n">
        <v>0</v>
      </c>
      <c r="CO286" s="5" t="n">
        <v>0</v>
      </c>
      <c r="CP286" s="5" t="n">
        <v>0</v>
      </c>
      <c r="CQ286" s="5" t="n">
        <v>1.198</v>
      </c>
      <c r="CR286" s="5" t="n">
        <v>0</v>
      </c>
      <c r="CS286" s="5" t="n">
        <v>4.776</v>
      </c>
      <c r="CT286" s="5" t="n">
        <v>3.604</v>
      </c>
      <c r="CU286" s="5" t="n">
        <v>9.407999999999999</v>
      </c>
    </row>
    <row r="287">
      <c r="A287" s="5" t="inlineStr">
        <is>
          <t>PYF2022</t>
        </is>
      </c>
      <c r="B287" s="5" t="inlineStr">
        <is>
          <t>PYF</t>
        </is>
      </c>
      <c r="C287" s="5" t="inlineStr">
        <is>
          <t>PYF</t>
        </is>
      </c>
      <c r="D287" s="5" t="inlineStr">
        <is>
          <t>French Polynesia</t>
        </is>
      </c>
      <c r="E287" s="5" t="n">
        <v>2022</v>
      </c>
      <c r="F287" s="5" t="n">
        <v>0.13</v>
      </c>
      <c r="G287" s="5" t="n">
        <v>8.788</v>
      </c>
      <c r="H287" s="5" t="n">
        <v>1.235</v>
      </c>
      <c r="I287" s="5" t="n">
        <v>0</v>
      </c>
      <c r="J287" s="5" t="n">
        <v>8.788</v>
      </c>
      <c r="K287" s="5" t="n">
        <v>0</v>
      </c>
      <c r="L287" s="5" t="n">
        <v>1</v>
      </c>
      <c r="M287" s="5" t="n">
        <v>9.782999999999999</v>
      </c>
      <c r="N287" s="5" t="n">
        <v>3.704</v>
      </c>
      <c r="O287" s="5" t="n">
        <v>0</v>
      </c>
      <c r="P287" s="5" t="n">
        <v>9.782999999999999</v>
      </c>
      <c r="Q287" s="5" t="n">
        <v>0</v>
      </c>
      <c r="R287" s="5" t="n">
        <v>1</v>
      </c>
      <c r="S287" s="5" t="n">
        <v>14.962</v>
      </c>
      <c r="T287" s="5" t="n">
        <v>7.408</v>
      </c>
      <c r="U287" s="5" t="n">
        <v>0.144</v>
      </c>
      <c r="V287" s="5" t="n">
        <v>16.907</v>
      </c>
      <c r="W287" s="5" t="n">
        <v>0.13</v>
      </c>
      <c r="X287" s="5" t="n">
        <v>1</v>
      </c>
      <c r="Y287" s="5" t="n">
        <v>17.332</v>
      </c>
      <c r="Z287" s="5" t="n">
        <v>2.139</v>
      </c>
      <c r="AA287" s="5" t="n">
        <v>0</v>
      </c>
      <c r="AB287" s="5" t="n">
        <v>17.332</v>
      </c>
      <c r="AC287" s="5" t="n">
        <v>0</v>
      </c>
      <c r="AD287" s="5" t="n">
        <v>1</v>
      </c>
      <c r="AE287" s="5" t="n">
        <v>18.566</v>
      </c>
      <c r="AF287" s="5" t="n">
        <v>4.048</v>
      </c>
      <c r="AG287" s="5" t="n">
        <v>0</v>
      </c>
      <c r="AH287" s="5" t="n">
        <v>18.566</v>
      </c>
      <c r="AI287" s="5" t="n">
        <v>0</v>
      </c>
      <c r="AJ287" s="5" t="n">
        <v>1</v>
      </c>
      <c r="AK287" s="5" t="n">
        <v>25.974</v>
      </c>
      <c r="AL287" s="5" t="n">
        <v>13.478</v>
      </c>
      <c r="AM287" s="5" t="n">
        <v>0.25</v>
      </c>
      <c r="AN287" s="5" t="n">
        <v>29.351</v>
      </c>
      <c r="AO287" s="5" t="n">
        <v>0.13</v>
      </c>
      <c r="AP287" s="5" t="n">
        <v>1</v>
      </c>
      <c r="AQ287" s="5" t="n">
        <v>0.847</v>
      </c>
      <c r="AR287" s="5" t="n">
        <v>0.123</v>
      </c>
      <c r="AS287" s="5" t="n">
        <v>0.008</v>
      </c>
      <c r="AT287" s="5" t="n">
        <v>0.957</v>
      </c>
      <c r="AU287" s="5" t="n">
        <v>0.13</v>
      </c>
      <c r="AV287" s="5" t="n">
        <v>1</v>
      </c>
      <c r="AW287" s="5" t="n">
        <v>0.947</v>
      </c>
      <c r="AX287" s="5" t="n">
        <v>0.123</v>
      </c>
      <c r="AY287" s="5" t="n">
        <v>0.008999999999999999</v>
      </c>
      <c r="AZ287" s="5" t="n">
        <v>1.07</v>
      </c>
      <c r="BA287" s="5" t="n">
        <v>0.13</v>
      </c>
      <c r="BB287" s="5" t="n">
        <v>1</v>
      </c>
      <c r="BC287" s="5" t="n">
        <v>0.589</v>
      </c>
      <c r="BD287" s="5" t="n">
        <v>0.123</v>
      </c>
      <c r="BE287" s="5" t="n">
        <v>0.006</v>
      </c>
      <c r="BF287" s="5" t="n">
        <v>0.665</v>
      </c>
      <c r="BG287" s="5" t="n">
        <v>0.13</v>
      </c>
      <c r="BH287" s="5" t="n">
        <v>1</v>
      </c>
      <c r="BI287" s="5" t="n">
        <v>0.6889999999999999</v>
      </c>
      <c r="BJ287" s="5" t="n">
        <v>0.123</v>
      </c>
      <c r="BK287" s="5" t="n">
        <v>0.007</v>
      </c>
      <c r="BL287" s="5" t="n">
        <v>0.778</v>
      </c>
      <c r="BM287" s="5" t="n">
        <v>0.13</v>
      </c>
      <c r="BN287" s="5" t="n">
        <v>1</v>
      </c>
      <c r="BO287" s="5" t="n">
        <v>0</v>
      </c>
      <c r="BP287" s="5" t="n">
        <v>0</v>
      </c>
      <c r="BQ287" s="5" t="n">
        <v>0</v>
      </c>
      <c r="BR287" s="5" t="n">
        <v>0</v>
      </c>
      <c r="BS287" s="5" t="n">
        <v>1</v>
      </c>
      <c r="BT287" s="5" t="n">
        <v>0</v>
      </c>
      <c r="BU287" s="5" t="n">
        <v>0</v>
      </c>
      <c r="BV287" s="5" t="n">
        <v>0</v>
      </c>
      <c r="BW287" s="5" t="n">
        <v>0.13</v>
      </c>
      <c r="BX287" s="5" t="n">
        <v>1</v>
      </c>
      <c r="BY287" s="5" t="n">
        <v>12.729</v>
      </c>
      <c r="BZ287" s="5" t="n">
        <v>0</v>
      </c>
      <c r="CA287" s="5" t="n">
        <v>12.729</v>
      </c>
      <c r="CB287" s="5" t="n">
        <v>0</v>
      </c>
      <c r="CC287" s="5" t="n">
        <v>102.477</v>
      </c>
      <c r="CD287" s="5" t="n">
        <v>7.95</v>
      </c>
      <c r="CE287" s="5" t="n">
        <v>0.986</v>
      </c>
      <c r="CF287" s="5" t="n">
        <v>115.798</v>
      </c>
      <c r="CG287" s="5" t="n">
        <v>0.13</v>
      </c>
      <c r="CH287" s="5" t="n">
        <v>1</v>
      </c>
      <c r="CI287" s="5" t="n">
        <v>0</v>
      </c>
      <c r="CJ287" s="5" t="n">
        <v>0</v>
      </c>
      <c r="CK287" s="5" t="n">
        <v>0</v>
      </c>
      <c r="CL287" s="5" t="n">
        <v>0</v>
      </c>
      <c r="CM287" s="5" t="n">
        <v>0</v>
      </c>
      <c r="CN287" s="5" t="n">
        <v>0</v>
      </c>
      <c r="CO287" s="5" t="n">
        <v>0</v>
      </c>
      <c r="CP287" s="5" t="n">
        <v>0</v>
      </c>
      <c r="CQ287" s="5" t="n">
        <v>1.294</v>
      </c>
      <c r="CR287" s="5" t="n">
        <v>0</v>
      </c>
      <c r="CS287" s="5" t="n">
        <v>5.158</v>
      </c>
      <c r="CT287" s="5" t="n">
        <v>7.554</v>
      </c>
      <c r="CU287" s="5" t="n">
        <v>16.097</v>
      </c>
    </row>
    <row r="288">
      <c r="A288" s="5" t="inlineStr">
        <is>
          <t>PYF2023</t>
        </is>
      </c>
      <c r="B288" s="5" t="inlineStr">
        <is>
          <t>PYF</t>
        </is>
      </c>
      <c r="C288" s="5" t="inlineStr">
        <is>
          <t>PYF</t>
        </is>
      </c>
      <c r="D288" s="5" t="inlineStr">
        <is>
          <t>French Polynesia</t>
        </is>
      </c>
      <c r="E288" s="5" t="n">
        <v>2023</v>
      </c>
      <c r="F288" s="5" t="n">
        <v>0.13</v>
      </c>
      <c r="G288" s="5" t="n">
        <v>5.77</v>
      </c>
      <c r="H288" s="5" t="n">
        <v>1.286</v>
      </c>
      <c r="I288" s="5" t="n">
        <v>0</v>
      </c>
      <c r="J288" s="5" t="n">
        <v>5.77</v>
      </c>
      <c r="K288" s="5" t="n">
        <v>0</v>
      </c>
      <c r="L288" s="5" t="n">
        <v>1</v>
      </c>
      <c r="M288" s="5" t="n">
        <v>7.886</v>
      </c>
      <c r="N288" s="5" t="n">
        <v>3.857</v>
      </c>
      <c r="O288" s="5" t="n">
        <v>0</v>
      </c>
      <c r="P288" s="5" t="n">
        <v>7.886</v>
      </c>
      <c r="Q288" s="5" t="n">
        <v>0</v>
      </c>
      <c r="R288" s="5" t="n">
        <v>1</v>
      </c>
      <c r="S288" s="5" t="n">
        <v>12.198</v>
      </c>
      <c r="T288" s="5" t="n">
        <v>7.714</v>
      </c>
      <c r="U288" s="5" t="n">
        <v>0.176</v>
      </c>
      <c r="V288" s="5" t="n">
        <v>13.784</v>
      </c>
      <c r="W288" s="5" t="n">
        <v>0.13</v>
      </c>
      <c r="X288" s="5" t="n">
        <v>1</v>
      </c>
      <c r="Y288" s="5" t="n">
        <v>13.814</v>
      </c>
      <c r="Z288" s="5" t="n">
        <v>1.705</v>
      </c>
      <c r="AA288" s="5" t="n">
        <v>0</v>
      </c>
      <c r="AB288" s="5" t="n">
        <v>13.814</v>
      </c>
      <c r="AC288" s="5" t="n">
        <v>0</v>
      </c>
      <c r="AD288" s="5" t="n">
        <v>1</v>
      </c>
      <c r="AE288" s="5" t="n">
        <v>15.1</v>
      </c>
      <c r="AF288" s="5" t="n">
        <v>3.292</v>
      </c>
      <c r="AG288" s="5" t="n">
        <v>0</v>
      </c>
      <c r="AH288" s="5" t="n">
        <v>15.1</v>
      </c>
      <c r="AI288" s="5" t="n">
        <v>0</v>
      </c>
      <c r="AJ288" s="5" t="n">
        <v>1</v>
      </c>
      <c r="AK288" s="5" t="n">
        <v>22.814</v>
      </c>
      <c r="AL288" s="5" t="n">
        <v>11.838</v>
      </c>
      <c r="AM288" s="5" t="n">
        <v>0.328</v>
      </c>
      <c r="AN288" s="5" t="n">
        <v>25.78</v>
      </c>
      <c r="AO288" s="5" t="n">
        <v>0.13</v>
      </c>
      <c r="AP288" s="5" t="n">
        <v>1</v>
      </c>
      <c r="AQ288" s="5" t="n">
        <v>0.749</v>
      </c>
      <c r="AR288" s="5" t="n">
        <v>0.129</v>
      </c>
      <c r="AS288" s="5" t="n">
        <v>0.011</v>
      </c>
      <c r="AT288" s="5" t="n">
        <v>0.846</v>
      </c>
      <c r="AU288" s="5" t="n">
        <v>0.13</v>
      </c>
      <c r="AV288" s="5" t="n">
        <v>1</v>
      </c>
      <c r="AW288" s="5" t="n">
        <v>0.783</v>
      </c>
      <c r="AX288" s="5" t="n">
        <v>0.129</v>
      </c>
      <c r="AY288" s="5" t="n">
        <v>0.011</v>
      </c>
      <c r="AZ288" s="5" t="n">
        <v>0.884</v>
      </c>
      <c r="BA288" s="5" t="n">
        <v>0.13</v>
      </c>
      <c r="BB288" s="5" t="n">
        <v>1</v>
      </c>
      <c r="BC288" s="5" t="n">
        <v>0.527</v>
      </c>
      <c r="BD288" s="5" t="n">
        <v>0.129</v>
      </c>
      <c r="BE288" s="5" t="n">
        <v>0.008</v>
      </c>
      <c r="BF288" s="5" t="n">
        <v>0.596</v>
      </c>
      <c r="BG288" s="5" t="n">
        <v>0.13</v>
      </c>
      <c r="BH288" s="5" t="n">
        <v>1</v>
      </c>
      <c r="BI288" s="5" t="n">
        <v>0.64</v>
      </c>
      <c r="BJ288" s="5" t="n">
        <v>0.129</v>
      </c>
      <c r="BK288" s="5" t="n">
        <v>0.008999999999999999</v>
      </c>
      <c r="BL288" s="5" t="n">
        <v>0.723</v>
      </c>
      <c r="BM288" s="5" t="n">
        <v>0.13</v>
      </c>
      <c r="BN288" s="5" t="n">
        <v>1</v>
      </c>
      <c r="BO288" s="5" t="n">
        <v>0</v>
      </c>
      <c r="BP288" s="5" t="n">
        <v>0</v>
      </c>
      <c r="BQ288" s="5" t="n">
        <v>0</v>
      </c>
      <c r="BR288" s="5" t="n">
        <v>0</v>
      </c>
      <c r="BS288" s="5" t="n">
        <v>1</v>
      </c>
      <c r="BT288" s="5" t="n">
        <v>0</v>
      </c>
      <c r="BU288" s="5" t="n">
        <v>0</v>
      </c>
      <c r="BV288" s="5" t="n">
        <v>0</v>
      </c>
      <c r="BW288" s="5" t="n">
        <v>0.13</v>
      </c>
      <c r="BX288" s="5" t="n">
        <v>1</v>
      </c>
      <c r="BY288" s="5" t="n">
        <v>13.254</v>
      </c>
      <c r="BZ288" s="5" t="n">
        <v>0</v>
      </c>
      <c r="CA288" s="5" t="n">
        <v>13.254</v>
      </c>
      <c r="CB288" s="5" t="n">
        <v>0</v>
      </c>
      <c r="CC288" s="5" t="n">
        <v>87.07899999999999</v>
      </c>
      <c r="CD288" s="5" t="n">
        <v>7.95</v>
      </c>
      <c r="CE288" s="5" t="n">
        <v>1.253</v>
      </c>
      <c r="CF288" s="5" t="n">
        <v>98.399</v>
      </c>
      <c r="CG288" s="5" t="n">
        <v>0.13</v>
      </c>
      <c r="CH288" s="5" t="n">
        <v>1</v>
      </c>
      <c r="CI288" s="5" t="n">
        <v>0</v>
      </c>
      <c r="CJ288" s="5" t="n">
        <v>0</v>
      </c>
      <c r="CK288" s="5" t="n">
        <v>0</v>
      </c>
      <c r="CL288" s="5" t="n">
        <v>0</v>
      </c>
      <c r="CM288" s="5" t="n">
        <v>0</v>
      </c>
      <c r="CN288" s="5" t="n">
        <v>0</v>
      </c>
      <c r="CO288" s="5" t="n">
        <v>0</v>
      </c>
      <c r="CP288" s="5" t="n">
        <v>0</v>
      </c>
      <c r="CQ288" s="5" t="n">
        <v>1.348</v>
      </c>
      <c r="CR288" s="5" t="n">
        <v>0</v>
      </c>
      <c r="CS288" s="5" t="n">
        <v>5.37</v>
      </c>
      <c r="CT288" s="5" t="n">
        <v>4.484</v>
      </c>
      <c r="CU288" s="5" t="n">
        <v>12.529</v>
      </c>
    </row>
    <row r="289">
      <c r="A289" s="5" t="inlineStr">
        <is>
          <t>PYF2024</t>
        </is>
      </c>
      <c r="B289" s="5" t="inlineStr">
        <is>
          <t>PYF</t>
        </is>
      </c>
      <c r="C289" s="5" t="inlineStr">
        <is>
          <t>PYF</t>
        </is>
      </c>
      <c r="D289" s="5" t="inlineStr">
        <is>
          <t>French Polynesia</t>
        </is>
      </c>
      <c r="E289" s="5" t="n">
        <v>2024</v>
      </c>
      <c r="F289" s="5" t="n">
        <v>0.13</v>
      </c>
      <c r="G289" s="5" t="n">
        <v>4.833</v>
      </c>
      <c r="H289" s="5" t="n">
        <v>1.324</v>
      </c>
      <c r="I289" s="5" t="n">
        <v>0</v>
      </c>
      <c r="J289" s="5" t="n">
        <v>4.833</v>
      </c>
      <c r="K289" s="5" t="n">
        <v>0</v>
      </c>
      <c r="L289" s="5" t="n">
        <v>1</v>
      </c>
      <c r="M289" s="5" t="n">
        <v>7.124</v>
      </c>
      <c r="N289" s="5" t="n">
        <v>3.971</v>
      </c>
      <c r="O289" s="5" t="n">
        <v>0</v>
      </c>
      <c r="P289" s="5" t="n">
        <v>7.124</v>
      </c>
      <c r="Q289" s="5" t="n">
        <v>0</v>
      </c>
      <c r="R289" s="5" t="n">
        <v>1</v>
      </c>
      <c r="S289" s="5" t="n">
        <v>11.451</v>
      </c>
      <c r="T289" s="5" t="n">
        <v>7.942</v>
      </c>
      <c r="U289" s="5" t="n">
        <v>0.203</v>
      </c>
      <c r="V289" s="5" t="n">
        <v>12.939</v>
      </c>
      <c r="W289" s="5" t="n">
        <v>0.13</v>
      </c>
      <c r="X289" s="5" t="n">
        <v>1</v>
      </c>
      <c r="Y289" s="5" t="n">
        <v>12.219</v>
      </c>
      <c r="Z289" s="5" t="n">
        <v>1.508</v>
      </c>
      <c r="AA289" s="5" t="n">
        <v>0</v>
      </c>
      <c r="AB289" s="5" t="n">
        <v>12.219</v>
      </c>
      <c r="AC289" s="5" t="n">
        <v>0</v>
      </c>
      <c r="AD289" s="5" t="n">
        <v>1</v>
      </c>
      <c r="AE289" s="5" t="n">
        <v>13.543</v>
      </c>
      <c r="AF289" s="5" t="n">
        <v>2.952</v>
      </c>
      <c r="AG289" s="5" t="n">
        <v>0</v>
      </c>
      <c r="AH289" s="5" t="n">
        <v>13.543</v>
      </c>
      <c r="AI289" s="5" t="n">
        <v>0</v>
      </c>
      <c r="AJ289" s="5" t="n">
        <v>1</v>
      </c>
      <c r="AK289" s="5" t="n">
        <v>21.484</v>
      </c>
      <c r="AL289" s="5" t="n">
        <v>11.148</v>
      </c>
      <c r="AM289" s="5" t="n">
        <v>0.38</v>
      </c>
      <c r="AN289" s="5" t="n">
        <v>24.277</v>
      </c>
      <c r="AO289" s="5" t="n">
        <v>0.13</v>
      </c>
      <c r="AP289" s="5" t="n">
        <v>1</v>
      </c>
      <c r="AQ289" s="5" t="n">
        <v>0.72</v>
      </c>
      <c r="AR289" s="5" t="n">
        <v>0.132</v>
      </c>
      <c r="AS289" s="5" t="n">
        <v>0.013</v>
      </c>
      <c r="AT289" s="5" t="n">
        <v>0.8139999999999999</v>
      </c>
      <c r="AU289" s="5" t="n">
        <v>0.13</v>
      </c>
      <c r="AV289" s="5" t="n">
        <v>1</v>
      </c>
      <c r="AW289" s="5" t="n">
        <v>0.734</v>
      </c>
      <c r="AX289" s="5" t="n">
        <v>0.132</v>
      </c>
      <c r="AY289" s="5" t="n">
        <v>0.013</v>
      </c>
      <c r="AZ289" s="5" t="n">
        <v>0.829</v>
      </c>
      <c r="BA289" s="5" t="n">
        <v>0.13</v>
      </c>
      <c r="BB289" s="5" t="n">
        <v>1</v>
      </c>
      <c r="BC289" s="5" t="n">
        <v>0.51</v>
      </c>
      <c r="BD289" s="5" t="n">
        <v>0.132</v>
      </c>
      <c r="BE289" s="5" t="n">
        <v>0.008999999999999999</v>
      </c>
      <c r="BF289" s="5" t="n">
        <v>0.577</v>
      </c>
      <c r="BG289" s="5" t="n">
        <v>0.13</v>
      </c>
      <c r="BH289" s="5" t="n">
        <v>1</v>
      </c>
      <c r="BI289" s="5" t="n">
        <v>0.652</v>
      </c>
      <c r="BJ289" s="5" t="n">
        <v>0.132</v>
      </c>
      <c r="BK289" s="5" t="n">
        <v>0.012</v>
      </c>
      <c r="BL289" s="5" t="n">
        <v>0.737</v>
      </c>
      <c r="BM289" s="5" t="n">
        <v>0.13</v>
      </c>
      <c r="BN289" s="5" t="n">
        <v>1</v>
      </c>
      <c r="BO289" s="5" t="n">
        <v>0</v>
      </c>
      <c r="BP289" s="5" t="n">
        <v>0</v>
      </c>
      <c r="BQ289" s="5" t="n">
        <v>0</v>
      </c>
      <c r="BR289" s="5" t="n">
        <v>0</v>
      </c>
      <c r="BS289" s="5" t="n">
        <v>1</v>
      </c>
      <c r="BT289" s="5" t="n">
        <v>0</v>
      </c>
      <c r="BU289" s="5" t="n">
        <v>0</v>
      </c>
      <c r="BV289" s="5" t="n">
        <v>0</v>
      </c>
      <c r="BW289" s="5" t="n">
        <v>0.13</v>
      </c>
      <c r="BX289" s="5" t="n">
        <v>1</v>
      </c>
      <c r="BY289" s="5" t="n">
        <v>13.646</v>
      </c>
      <c r="BZ289" s="5" t="n">
        <v>0</v>
      </c>
      <c r="CA289" s="5" t="n">
        <v>13.646</v>
      </c>
      <c r="CB289" s="5" t="n">
        <v>0</v>
      </c>
      <c r="CC289" s="5" t="n">
        <v>86.38500000000001</v>
      </c>
      <c r="CD289" s="5" t="n">
        <v>7.95</v>
      </c>
      <c r="CE289" s="5" t="n">
        <v>1.53</v>
      </c>
      <c r="CF289" s="5" t="n">
        <v>97.616</v>
      </c>
      <c r="CG289" s="5" t="n">
        <v>0.13</v>
      </c>
      <c r="CH289" s="5" t="n">
        <v>1</v>
      </c>
      <c r="CI289" s="5" t="n">
        <v>0</v>
      </c>
      <c r="CJ289" s="5" t="n">
        <v>0</v>
      </c>
      <c r="CK289" s="5" t="n">
        <v>0</v>
      </c>
      <c r="CL289" s="5" t="n">
        <v>0</v>
      </c>
      <c r="CM289" s="5" t="n">
        <v>0</v>
      </c>
      <c r="CN289" s="5" t="n">
        <v>0</v>
      </c>
      <c r="CO289" s="5" t="n">
        <v>0</v>
      </c>
      <c r="CP289" s="5" t="n">
        <v>0</v>
      </c>
      <c r="CQ289" s="5" t="n">
        <v>1.387</v>
      </c>
      <c r="CR289" s="5" t="n">
        <v>0</v>
      </c>
      <c r="CS289" s="5" t="n">
        <v>5.529</v>
      </c>
      <c r="CT289" s="5" t="n">
        <v>3.509</v>
      </c>
      <c r="CU289" s="5" t="n">
        <v>10.896</v>
      </c>
    </row>
    <row r="290">
      <c r="A290" s="5" t="inlineStr">
        <is>
          <t>GAB2021</t>
        </is>
      </c>
      <c r="B290" s="5" t="inlineStr">
        <is>
          <t>GAB</t>
        </is>
      </c>
      <c r="C290" s="5" t="inlineStr">
        <is>
          <t>GAB</t>
        </is>
      </c>
      <c r="D290" s="5" t="inlineStr">
        <is>
          <t>Gabon</t>
        </is>
      </c>
      <c r="E290" s="5" t="n">
        <v>2021</v>
      </c>
      <c r="F290" s="5" t="n">
        <v>0.18</v>
      </c>
      <c r="G290" s="5" t="n">
        <v>5.897</v>
      </c>
      <c r="H290" s="5" t="n">
        <v>1.143</v>
      </c>
      <c r="I290" s="5" t="n">
        <v>0.475</v>
      </c>
      <c r="J290" s="5" t="n">
        <v>6.372</v>
      </c>
      <c r="K290" s="5" t="n">
        <v>0</v>
      </c>
      <c r="L290" s="5" t="n">
        <v>1</v>
      </c>
      <c r="M290" s="5" t="n">
        <v>7.964</v>
      </c>
      <c r="N290" s="5" t="n">
        <v>3.43</v>
      </c>
      <c r="O290" s="5" t="n">
        <v>0.453</v>
      </c>
      <c r="P290" s="5" t="n">
        <v>8.417999999999999</v>
      </c>
      <c r="Q290" s="5" t="n">
        <v>0</v>
      </c>
      <c r="R290" s="5" t="n">
        <v>1</v>
      </c>
      <c r="S290" s="5" t="n">
        <v>11.613</v>
      </c>
      <c r="T290" s="5" t="n">
        <v>6.86</v>
      </c>
      <c r="U290" s="5" t="n">
        <v>0.475</v>
      </c>
      <c r="V290" s="5" t="n">
        <v>14.265</v>
      </c>
      <c r="W290" s="5" t="n">
        <v>0.18</v>
      </c>
      <c r="X290" s="5" t="n">
        <v>1</v>
      </c>
      <c r="Y290" s="5" t="n">
        <v>5.347</v>
      </c>
      <c r="Z290" s="5" t="n">
        <v>0.393</v>
      </c>
      <c r="AA290" s="5" t="n">
        <v>-0.127</v>
      </c>
      <c r="AB290" s="5" t="n">
        <v>5.22</v>
      </c>
      <c r="AC290" s="5" t="n">
        <v>0</v>
      </c>
      <c r="AD290" s="5" t="n">
        <v>1</v>
      </c>
      <c r="AE290" s="5" t="n">
        <v>5.919</v>
      </c>
      <c r="AF290" s="5" t="n">
        <v>0.8</v>
      </c>
      <c r="AG290" s="5" t="n">
        <v>-0.127</v>
      </c>
      <c r="AH290" s="5" t="n">
        <v>5.792</v>
      </c>
      <c r="AI290" s="5" t="n">
        <v>0</v>
      </c>
      <c r="AJ290" s="5" t="n">
        <v>1</v>
      </c>
      <c r="AK290" s="5" t="n">
        <v>9.349</v>
      </c>
      <c r="AL290" s="5" t="n">
        <v>3.473</v>
      </c>
      <c r="AM290" s="5" t="n">
        <v>-0.108</v>
      </c>
      <c r="AN290" s="5" t="n">
        <v>10.905</v>
      </c>
      <c r="AO290" s="5" t="n">
        <v>0.18</v>
      </c>
      <c r="AP290" s="5" t="n">
        <v>1</v>
      </c>
      <c r="AQ290" s="5" t="n">
        <v>0.619</v>
      </c>
      <c r="AR290" s="5" t="n">
        <v>0.114</v>
      </c>
      <c r="AS290" s="5" t="n">
        <v>0.306</v>
      </c>
      <c r="AT290" s="5" t="n">
        <v>1.091</v>
      </c>
      <c r="AU290" s="5" t="n">
        <v>0.18</v>
      </c>
      <c r="AV290" s="5" t="n">
        <v>1</v>
      </c>
      <c r="AW290" s="5" t="n">
        <v>0.599</v>
      </c>
      <c r="AX290" s="5" t="n">
        <v>0.114</v>
      </c>
      <c r="AY290" s="5" t="n">
        <v>0.295</v>
      </c>
      <c r="AZ290" s="5" t="n">
        <v>1.055</v>
      </c>
      <c r="BA290" s="5" t="n">
        <v>0.18</v>
      </c>
      <c r="BB290" s="5" t="n">
        <v>1</v>
      </c>
      <c r="BC290" s="5" t="n">
        <v>0.439</v>
      </c>
      <c r="BD290" s="5" t="n">
        <v>0.114</v>
      </c>
      <c r="BE290" s="5" t="n">
        <v>-0.068</v>
      </c>
      <c r="BF290" s="5" t="n">
        <v>0.438</v>
      </c>
      <c r="BG290" s="5" t="n">
        <v>0</v>
      </c>
      <c r="BH290" s="5" t="n">
        <v>0</v>
      </c>
      <c r="BI290" s="5" t="n">
        <v>0.505</v>
      </c>
      <c r="BJ290" s="5" t="n">
        <v>0.114</v>
      </c>
      <c r="BK290" s="5" t="n">
        <v>0.183</v>
      </c>
      <c r="BL290" s="5" t="n">
        <v>0.8110000000000001</v>
      </c>
      <c r="BM290" s="5" t="n">
        <v>0.18</v>
      </c>
      <c r="BN290" s="5" t="n">
        <v>1</v>
      </c>
      <c r="BO290" s="5" t="n">
        <v>0</v>
      </c>
      <c r="BP290" s="5" t="n">
        <v>-0.016</v>
      </c>
      <c r="BQ290" s="5" t="n">
        <v>0.197</v>
      </c>
      <c r="BR290" s="5" t="n">
        <v>0</v>
      </c>
      <c r="BS290" s="5" t="n">
        <v>0.5</v>
      </c>
      <c r="BT290" s="5" t="n">
        <v>0</v>
      </c>
      <c r="BU290" s="5" t="n">
        <v>-0.016</v>
      </c>
      <c r="BV290" s="5" t="n">
        <v>0.222</v>
      </c>
      <c r="BW290" s="5" t="n">
        <v>0.18</v>
      </c>
      <c r="BX290" s="5" t="n">
        <v>0.333</v>
      </c>
      <c r="BY290" s="5" t="n">
        <v>11.787</v>
      </c>
      <c r="BZ290" s="5" t="n">
        <v>0</v>
      </c>
      <c r="CA290" s="5" t="n">
        <v>11.787</v>
      </c>
      <c r="CB290" s="5" t="n">
        <v>0</v>
      </c>
      <c r="CC290" s="5" t="n">
        <v>78.125</v>
      </c>
      <c r="CD290" s="5" t="n">
        <v>7.95</v>
      </c>
      <c r="CE290" s="5" t="n">
        <v>31.221</v>
      </c>
      <c r="CF290" s="5" t="n">
        <v>129.028</v>
      </c>
      <c r="CG290" s="5" t="n">
        <v>0.18</v>
      </c>
      <c r="CH290" s="5" t="n">
        <v>1</v>
      </c>
      <c r="CI290" s="5" t="n">
        <v>0</v>
      </c>
      <c r="CJ290" s="5" t="n">
        <v>0</v>
      </c>
      <c r="CK290" s="5" t="n">
        <v>0</v>
      </c>
      <c r="CL290" s="5" t="n">
        <v>0</v>
      </c>
      <c r="CM290" s="5" t="n">
        <v>0</v>
      </c>
      <c r="CN290" s="5" t="n">
        <v>0</v>
      </c>
      <c r="CO290" s="5" t="n">
        <v>0</v>
      </c>
      <c r="CP290" s="5" t="n">
        <v>0</v>
      </c>
      <c r="CQ290" s="5" t="n">
        <v>1.198</v>
      </c>
      <c r="CR290" s="5" t="n">
        <v>1</v>
      </c>
      <c r="CS290" s="5" t="n">
        <v>4.776</v>
      </c>
      <c r="CT290" s="5" t="n">
        <v>4.753</v>
      </c>
      <c r="CU290" s="5" t="n">
        <v>15.162</v>
      </c>
    </row>
    <row r="291">
      <c r="A291" s="5" t="inlineStr">
        <is>
          <t>GAB2022</t>
        </is>
      </c>
      <c r="B291" s="5" t="inlineStr">
        <is>
          <t>GAB</t>
        </is>
      </c>
      <c r="C291" s="5" t="inlineStr">
        <is>
          <t>GAB</t>
        </is>
      </c>
      <c r="D291" s="5" t="inlineStr">
        <is>
          <t>Gabon</t>
        </is>
      </c>
      <c r="E291" s="5" t="n">
        <v>2022</v>
      </c>
      <c r="F291" s="5" t="n">
        <v>0.18</v>
      </c>
      <c r="G291" s="5" t="n">
        <v>11.72</v>
      </c>
      <c r="H291" s="5" t="n">
        <v>1.235</v>
      </c>
      <c r="I291" s="5" t="n">
        <v>1.132</v>
      </c>
      <c r="J291" s="5" t="n">
        <v>12.852</v>
      </c>
      <c r="K291" s="5" t="n">
        <v>0</v>
      </c>
      <c r="L291" s="5" t="n">
        <v>1</v>
      </c>
      <c r="M291" s="5" t="n">
        <v>9.782999999999999</v>
      </c>
      <c r="N291" s="5" t="n">
        <v>3.704</v>
      </c>
      <c r="O291" s="5" t="n">
        <v>0.656</v>
      </c>
      <c r="P291" s="5" t="n">
        <v>10.439</v>
      </c>
      <c r="Q291" s="5" t="n">
        <v>0</v>
      </c>
      <c r="R291" s="5" t="n">
        <v>1</v>
      </c>
      <c r="S291" s="5" t="n">
        <v>17.893</v>
      </c>
      <c r="T291" s="5" t="n">
        <v>7.408</v>
      </c>
      <c r="U291" s="5" t="n">
        <v>1.386</v>
      </c>
      <c r="V291" s="5" t="n">
        <v>22.45</v>
      </c>
      <c r="W291" s="5" t="n">
        <v>0.18</v>
      </c>
      <c r="X291" s="5" t="n">
        <v>1</v>
      </c>
      <c r="Y291" s="5" t="n">
        <v>5.775</v>
      </c>
      <c r="Z291" s="5" t="n">
        <v>0.425</v>
      </c>
      <c r="AA291" s="5" t="n">
        <v>-0.137</v>
      </c>
      <c r="AB291" s="5" t="n">
        <v>5.637</v>
      </c>
      <c r="AC291" s="5" t="n">
        <v>0</v>
      </c>
      <c r="AD291" s="5" t="n">
        <v>1</v>
      </c>
      <c r="AE291" s="5" t="n">
        <v>6.392</v>
      </c>
      <c r="AF291" s="5" t="n">
        <v>0.864</v>
      </c>
      <c r="AG291" s="5" t="n">
        <v>-0.137</v>
      </c>
      <c r="AH291" s="5" t="n">
        <v>6.255</v>
      </c>
      <c r="AI291" s="5" t="n">
        <v>0</v>
      </c>
      <c r="AJ291" s="5" t="n">
        <v>1</v>
      </c>
      <c r="AK291" s="5" t="n">
        <v>10.096</v>
      </c>
      <c r="AL291" s="5" t="n">
        <v>3.751</v>
      </c>
      <c r="AM291" s="5" t="n">
        <v>0.016</v>
      </c>
      <c r="AN291" s="5" t="n">
        <v>11.776</v>
      </c>
      <c r="AO291" s="5" t="n">
        <v>0.18</v>
      </c>
      <c r="AP291" s="5" t="n">
        <v>1</v>
      </c>
      <c r="AQ291" s="5" t="n">
        <v>0.861</v>
      </c>
      <c r="AR291" s="5" t="n">
        <v>0.123</v>
      </c>
      <c r="AS291" s="5" t="n">
        <v>-0.039</v>
      </c>
      <c r="AT291" s="5" t="n">
        <v>0.97</v>
      </c>
      <c r="AU291" s="5" t="n">
        <v>0.18</v>
      </c>
      <c r="AV291" s="5" t="n">
        <v>1</v>
      </c>
      <c r="AW291" s="5" t="n">
        <v>0.986</v>
      </c>
      <c r="AX291" s="5" t="n">
        <v>0.123</v>
      </c>
      <c r="AY291" s="5" t="n">
        <v>-0.191</v>
      </c>
      <c r="AZ291" s="5" t="n">
        <v>0.9379999999999999</v>
      </c>
      <c r="BA291" s="5" t="n">
        <v>0.18</v>
      </c>
      <c r="BB291" s="5" t="n">
        <v>1</v>
      </c>
      <c r="BC291" s="5" t="n">
        <v>0.598</v>
      </c>
      <c r="BD291" s="5" t="n">
        <v>0.123</v>
      </c>
      <c r="BE291" s="5" t="n">
        <v>-0.268</v>
      </c>
      <c r="BF291" s="5" t="n">
        <v>0.389</v>
      </c>
      <c r="BG291" s="5" t="n">
        <v>0</v>
      </c>
      <c r="BH291" s="5" t="n">
        <v>0</v>
      </c>
      <c r="BI291" s="5" t="n">
        <v>0.612</v>
      </c>
      <c r="BJ291" s="5" t="n">
        <v>0.123</v>
      </c>
      <c r="BK291" s="5" t="n">
        <v>-0.001</v>
      </c>
      <c r="BL291" s="5" t="n">
        <v>0.721</v>
      </c>
      <c r="BM291" s="5" t="n">
        <v>0.18</v>
      </c>
      <c r="BN291" s="5" t="n">
        <v>1</v>
      </c>
      <c r="BO291" s="5" t="n">
        <v>0</v>
      </c>
      <c r="BP291" s="5" t="n">
        <v>-0.016</v>
      </c>
      <c r="BQ291" s="5" t="n">
        <v>0.172</v>
      </c>
      <c r="BR291" s="5" t="n">
        <v>0</v>
      </c>
      <c r="BS291" s="5" t="n">
        <v>0.5</v>
      </c>
      <c r="BT291" s="5" t="n">
        <v>0</v>
      </c>
      <c r="BU291" s="5" t="n">
        <v>-0.016</v>
      </c>
      <c r="BV291" s="5" t="n">
        <v>0.197</v>
      </c>
      <c r="BW291" s="5" t="n">
        <v>0.18</v>
      </c>
      <c r="BX291" s="5" t="n">
        <v>0.333</v>
      </c>
      <c r="BY291" s="5" t="n">
        <v>12.729</v>
      </c>
      <c r="BZ291" s="5" t="n">
        <v>0</v>
      </c>
      <c r="CA291" s="5" t="n">
        <v>12.729</v>
      </c>
      <c r="CB291" s="5" t="n">
        <v>0</v>
      </c>
      <c r="CC291" s="5" t="n">
        <v>97.90000000000001</v>
      </c>
      <c r="CD291" s="5" t="n">
        <v>7.95</v>
      </c>
      <c r="CE291" s="5" t="n">
        <v>-0.6899999999999999</v>
      </c>
      <c r="CF291" s="5" t="n">
        <v>114.708</v>
      </c>
      <c r="CG291" s="5" t="n">
        <v>0.18</v>
      </c>
      <c r="CH291" s="5" t="n">
        <v>1</v>
      </c>
      <c r="CI291" s="5" t="n">
        <v>0</v>
      </c>
      <c r="CJ291" s="5" t="n">
        <v>0</v>
      </c>
      <c r="CK291" s="5" t="n">
        <v>0</v>
      </c>
      <c r="CL291" s="5" t="n">
        <v>0</v>
      </c>
      <c r="CM291" s="5" t="n">
        <v>0</v>
      </c>
      <c r="CN291" s="5" t="n">
        <v>0</v>
      </c>
      <c r="CO291" s="5" t="n">
        <v>0</v>
      </c>
      <c r="CP291" s="5" t="n">
        <v>0</v>
      </c>
      <c r="CQ291" s="5" t="n">
        <v>1.294</v>
      </c>
      <c r="CR291" s="5" t="n">
        <v>1</v>
      </c>
      <c r="CS291" s="5" t="n">
        <v>5.158</v>
      </c>
      <c r="CT291" s="5" t="n">
        <v>10.485</v>
      </c>
      <c r="CU291" s="5" t="n">
        <v>31.326</v>
      </c>
    </row>
    <row r="292">
      <c r="A292" s="5" t="inlineStr">
        <is>
          <t>GAB2023</t>
        </is>
      </c>
      <c r="B292" s="5" t="inlineStr">
        <is>
          <t>GAB</t>
        </is>
      </c>
      <c r="C292" s="5" t="inlineStr">
        <is>
          <t>GAB</t>
        </is>
      </c>
      <c r="D292" s="5" t="inlineStr">
        <is>
          <t>Gabon</t>
        </is>
      </c>
      <c r="E292" s="5" t="n">
        <v>2023</v>
      </c>
      <c r="F292" s="5" t="n">
        <v>0.18</v>
      </c>
      <c r="G292" s="5" t="n">
        <v>6.147</v>
      </c>
      <c r="H292" s="5" t="n">
        <v>1.286</v>
      </c>
      <c r="I292" s="5" t="n">
        <v>0.547</v>
      </c>
      <c r="J292" s="5" t="n">
        <v>6.693</v>
      </c>
      <c r="K292" s="5" t="n">
        <v>0</v>
      </c>
      <c r="L292" s="5" t="n">
        <v>1</v>
      </c>
      <c r="M292" s="5" t="n">
        <v>7.886</v>
      </c>
      <c r="N292" s="5" t="n">
        <v>3.857</v>
      </c>
      <c r="O292" s="5" t="n">
        <v>0.453</v>
      </c>
      <c r="P292" s="5" t="n">
        <v>8.339</v>
      </c>
      <c r="Q292" s="5" t="n">
        <v>0</v>
      </c>
      <c r="R292" s="5" t="n">
        <v>1</v>
      </c>
      <c r="S292" s="5" t="n">
        <v>12.575</v>
      </c>
      <c r="T292" s="5" t="n">
        <v>7.714</v>
      </c>
      <c r="U292" s="5" t="n">
        <v>0.8080000000000001</v>
      </c>
      <c r="V292" s="5" t="n">
        <v>15.484</v>
      </c>
      <c r="W292" s="5" t="n">
        <v>0.18</v>
      </c>
      <c r="X292" s="5" t="n">
        <v>1</v>
      </c>
      <c r="Y292" s="5" t="n">
        <v>6.013</v>
      </c>
      <c r="Z292" s="5" t="n">
        <v>0.442</v>
      </c>
      <c r="AA292" s="5" t="n">
        <v>-0.143</v>
      </c>
      <c r="AB292" s="5" t="n">
        <v>5.87</v>
      </c>
      <c r="AC292" s="5" t="n">
        <v>0</v>
      </c>
      <c r="AD292" s="5" t="n">
        <v>1</v>
      </c>
      <c r="AE292" s="5" t="n">
        <v>6.656</v>
      </c>
      <c r="AF292" s="5" t="n">
        <v>0.9</v>
      </c>
      <c r="AG292" s="5" t="n">
        <v>-0.143</v>
      </c>
      <c r="AH292" s="5" t="n">
        <v>6.513</v>
      </c>
      <c r="AI292" s="5" t="n">
        <v>0</v>
      </c>
      <c r="AJ292" s="5" t="n">
        <v>1</v>
      </c>
      <c r="AK292" s="5" t="n">
        <v>10.513</v>
      </c>
      <c r="AL292" s="5" t="n">
        <v>3.906</v>
      </c>
      <c r="AM292" s="5" t="n">
        <v>0.08599999999999999</v>
      </c>
      <c r="AN292" s="5" t="n">
        <v>12.262</v>
      </c>
      <c r="AO292" s="5" t="n">
        <v>0.18</v>
      </c>
      <c r="AP292" s="5" t="n">
        <v>1</v>
      </c>
      <c r="AQ292" s="5" t="n">
        <v>0.76</v>
      </c>
      <c r="AR292" s="5" t="n">
        <v>0.129</v>
      </c>
      <c r="AS292" s="5" t="n">
        <v>0.09</v>
      </c>
      <c r="AT292" s="5" t="n">
        <v>1.004</v>
      </c>
      <c r="AU292" s="5" t="n">
        <v>0.18</v>
      </c>
      <c r="AV292" s="5" t="n">
        <v>1</v>
      </c>
      <c r="AW292" s="5" t="n">
        <v>0.8110000000000001</v>
      </c>
      <c r="AX292" s="5" t="n">
        <v>0.129</v>
      </c>
      <c r="AY292" s="5" t="n">
        <v>0.005</v>
      </c>
      <c r="AZ292" s="5" t="n">
        <v>0.963</v>
      </c>
      <c r="BA292" s="5" t="n">
        <v>0.18</v>
      </c>
      <c r="BB292" s="5" t="n">
        <v>1</v>
      </c>
      <c r="BC292" s="5" t="n">
        <v>0.535</v>
      </c>
      <c r="BD292" s="5" t="n">
        <v>0.129</v>
      </c>
      <c r="BE292" s="5" t="n">
        <v>-0.196</v>
      </c>
      <c r="BF292" s="5" t="n">
        <v>0.4</v>
      </c>
      <c r="BG292" s="5" t="n">
        <v>0</v>
      </c>
      <c r="BH292" s="5" t="n">
        <v>0</v>
      </c>
      <c r="BI292" s="5" t="n">
        <v>0.579</v>
      </c>
      <c r="BJ292" s="5" t="n">
        <v>0.129</v>
      </c>
      <c r="BK292" s="5" t="n">
        <v>0.049</v>
      </c>
      <c r="BL292" s="5" t="n">
        <v>0.742</v>
      </c>
      <c r="BM292" s="5" t="n">
        <v>0.18</v>
      </c>
      <c r="BN292" s="5" t="n">
        <v>1</v>
      </c>
      <c r="BO292" s="5" t="n">
        <v>0</v>
      </c>
      <c r="BP292" s="5" t="n">
        <v>-0.016</v>
      </c>
      <c r="BQ292" s="5" t="n">
        <v>0.178</v>
      </c>
      <c r="BR292" s="5" t="n">
        <v>0</v>
      </c>
      <c r="BS292" s="5" t="n">
        <v>0.5</v>
      </c>
      <c r="BT292" s="5" t="n">
        <v>0</v>
      </c>
      <c r="BU292" s="5" t="n">
        <v>-0.016</v>
      </c>
      <c r="BV292" s="5" t="n">
        <v>0.203</v>
      </c>
      <c r="BW292" s="5" t="n">
        <v>0.18</v>
      </c>
      <c r="BX292" s="5" t="n">
        <v>0.333</v>
      </c>
      <c r="BY292" s="5" t="n">
        <v>13.254</v>
      </c>
      <c r="BZ292" s="5" t="n">
        <v>0</v>
      </c>
      <c r="CA292" s="5" t="n">
        <v>13.254</v>
      </c>
      <c r="CB292" s="5" t="n">
        <v>0</v>
      </c>
      <c r="CC292" s="5" t="n">
        <v>83.248</v>
      </c>
      <c r="CD292" s="5" t="n">
        <v>7.95</v>
      </c>
      <c r="CE292" s="5" t="n">
        <v>16.717</v>
      </c>
      <c r="CF292" s="5" t="n">
        <v>117.958</v>
      </c>
      <c r="CG292" s="5" t="n">
        <v>0.18</v>
      </c>
      <c r="CH292" s="5" t="n">
        <v>1</v>
      </c>
      <c r="CI292" s="5" t="n">
        <v>0</v>
      </c>
      <c r="CJ292" s="5" t="n">
        <v>0</v>
      </c>
      <c r="CK292" s="5" t="n">
        <v>0</v>
      </c>
      <c r="CL292" s="5" t="n">
        <v>0</v>
      </c>
      <c r="CM292" s="5" t="n">
        <v>0</v>
      </c>
      <c r="CN292" s="5" t="n">
        <v>0</v>
      </c>
      <c r="CO292" s="5" t="n">
        <v>0</v>
      </c>
      <c r="CP292" s="5" t="n">
        <v>0</v>
      </c>
      <c r="CQ292" s="5" t="n">
        <v>1.348</v>
      </c>
      <c r="CR292" s="5" t="n">
        <v>1</v>
      </c>
      <c r="CS292" s="5" t="n">
        <v>5.37</v>
      </c>
      <c r="CT292" s="5" t="n">
        <v>4.861</v>
      </c>
      <c r="CU292" s="5" t="n">
        <v>11.622</v>
      </c>
    </row>
    <row r="293">
      <c r="A293" s="5" t="inlineStr">
        <is>
          <t>GAB2024</t>
        </is>
      </c>
      <c r="B293" s="5" t="inlineStr">
        <is>
          <t>GAB</t>
        </is>
      </c>
      <c r="C293" s="5" t="inlineStr">
        <is>
          <t>GAB</t>
        </is>
      </c>
      <c r="D293" s="5" t="inlineStr">
        <is>
          <t>Gabon</t>
        </is>
      </c>
      <c r="E293" s="5" t="n">
        <v>2024</v>
      </c>
      <c r="F293" s="5" t="n">
        <v>0.18</v>
      </c>
      <c r="G293" s="5" t="n">
        <v>5.575</v>
      </c>
      <c r="H293" s="5" t="n">
        <v>1.324</v>
      </c>
      <c r="I293" s="5" t="n">
        <v>0.425</v>
      </c>
      <c r="J293" s="5" t="n">
        <v>6</v>
      </c>
      <c r="K293" s="5" t="n">
        <v>0</v>
      </c>
      <c r="L293" s="5" t="n">
        <v>1</v>
      </c>
      <c r="M293" s="5" t="n">
        <v>7.124</v>
      </c>
      <c r="N293" s="5" t="n">
        <v>3.971</v>
      </c>
      <c r="O293" s="5" t="n">
        <v>0.315</v>
      </c>
      <c r="P293" s="5" t="n">
        <v>7.439</v>
      </c>
      <c r="Q293" s="5" t="n">
        <v>0</v>
      </c>
      <c r="R293" s="5" t="n">
        <v>1</v>
      </c>
      <c r="S293" s="5" t="n">
        <v>12.193</v>
      </c>
      <c r="T293" s="5" t="n">
        <v>7.942</v>
      </c>
      <c r="U293" s="5" t="n">
        <v>0.734</v>
      </c>
      <c r="V293" s="5" t="n">
        <v>14.889</v>
      </c>
      <c r="W293" s="5" t="n">
        <v>0.18</v>
      </c>
      <c r="X293" s="5" t="n">
        <v>1</v>
      </c>
      <c r="Y293" s="5" t="n">
        <v>6.191</v>
      </c>
      <c r="Z293" s="5" t="n">
        <v>0.455</v>
      </c>
      <c r="AA293" s="5" t="n">
        <v>-0.131</v>
      </c>
      <c r="AB293" s="5" t="n">
        <v>6.06</v>
      </c>
      <c r="AC293" s="5" t="n">
        <v>0</v>
      </c>
      <c r="AD293" s="5" t="n">
        <v>1</v>
      </c>
      <c r="AE293" s="5" t="n">
        <v>6.853</v>
      </c>
      <c r="AF293" s="5" t="n">
        <v>0.926</v>
      </c>
      <c r="AG293" s="5" t="n">
        <v>-0.131</v>
      </c>
      <c r="AH293" s="5" t="n">
        <v>6.721</v>
      </c>
      <c r="AI293" s="5" t="n">
        <v>0</v>
      </c>
      <c r="AJ293" s="5" t="n">
        <v>1</v>
      </c>
      <c r="AK293" s="5" t="n">
        <v>10.823</v>
      </c>
      <c r="AL293" s="5" t="n">
        <v>4.021</v>
      </c>
      <c r="AM293" s="5" t="n">
        <v>0.131</v>
      </c>
      <c r="AN293" s="5" t="n">
        <v>12.617</v>
      </c>
      <c r="AO293" s="5" t="n">
        <v>0.18</v>
      </c>
      <c r="AP293" s="5" t="n">
        <v>1</v>
      </c>
      <c r="AQ293" s="5" t="n">
        <v>0.724</v>
      </c>
      <c r="AR293" s="5" t="n">
        <v>0.132</v>
      </c>
      <c r="AS293" s="5" t="n">
        <v>0.12</v>
      </c>
      <c r="AT293" s="5" t="n">
        <v>0.997</v>
      </c>
      <c r="AU293" s="5" t="n">
        <v>0.18</v>
      </c>
      <c r="AV293" s="5" t="n">
        <v>1</v>
      </c>
      <c r="AW293" s="5" t="n">
        <v>0.75</v>
      </c>
      <c r="AX293" s="5" t="n">
        <v>0.132</v>
      </c>
      <c r="AY293" s="5" t="n">
        <v>0.054</v>
      </c>
      <c r="AZ293" s="5" t="n">
        <v>0.949</v>
      </c>
      <c r="BA293" s="5" t="n">
        <v>0.18</v>
      </c>
      <c r="BB293" s="5" t="n">
        <v>1</v>
      </c>
      <c r="BC293" s="5" t="n">
        <v>0.513</v>
      </c>
      <c r="BD293" s="5" t="n">
        <v>0.132</v>
      </c>
      <c r="BE293" s="5" t="n">
        <v>-0.231</v>
      </c>
      <c r="BF293" s="5" t="n">
        <v>0.333</v>
      </c>
      <c r="BG293" s="5" t="n">
        <v>0</v>
      </c>
      <c r="BH293" s="5" t="n">
        <v>0</v>
      </c>
      <c r="BI293" s="5" t="n">
        <v>0.591</v>
      </c>
      <c r="BJ293" s="5" t="n">
        <v>0.132</v>
      </c>
      <c r="BK293" s="5" t="n">
        <v>0.034</v>
      </c>
      <c r="BL293" s="5" t="n">
        <v>0.738</v>
      </c>
      <c r="BM293" s="5" t="n">
        <v>0.18</v>
      </c>
      <c r="BN293" s="5" t="n">
        <v>1</v>
      </c>
      <c r="BO293" s="5" t="n">
        <v>0</v>
      </c>
      <c r="BP293" s="5" t="n">
        <v>-0.017</v>
      </c>
      <c r="BQ293" s="5" t="n">
        <v>0.178</v>
      </c>
      <c r="BR293" s="5" t="n">
        <v>0</v>
      </c>
      <c r="BS293" s="5" t="n">
        <v>0.5</v>
      </c>
      <c r="BT293" s="5" t="n">
        <v>0</v>
      </c>
      <c r="BU293" s="5" t="n">
        <v>-0.017</v>
      </c>
      <c r="BV293" s="5" t="n">
        <v>0.203</v>
      </c>
      <c r="BW293" s="5" t="n">
        <v>0.18</v>
      </c>
      <c r="BX293" s="5" t="n">
        <v>0.333</v>
      </c>
      <c r="BY293" s="5" t="n">
        <v>13.646</v>
      </c>
      <c r="BZ293" s="5" t="n">
        <v>0</v>
      </c>
      <c r="CA293" s="5" t="n">
        <v>13.646</v>
      </c>
      <c r="CB293" s="5" t="n">
        <v>0</v>
      </c>
      <c r="CC293" s="5" t="n">
        <v>82.58799999999999</v>
      </c>
      <c r="CD293" s="5" t="n">
        <v>7.95</v>
      </c>
      <c r="CE293" s="5" t="n">
        <v>22.851</v>
      </c>
      <c r="CF293" s="5" t="n">
        <v>121.44</v>
      </c>
      <c r="CG293" s="5" t="n">
        <v>0.18</v>
      </c>
      <c r="CH293" s="5" t="n">
        <v>1</v>
      </c>
      <c r="CI293" s="5" t="n">
        <v>0</v>
      </c>
      <c r="CJ293" s="5" t="n">
        <v>0</v>
      </c>
      <c r="CK293" s="5" t="n">
        <v>0</v>
      </c>
      <c r="CL293" s="5" t="n">
        <v>0</v>
      </c>
      <c r="CM293" s="5" t="n">
        <v>0</v>
      </c>
      <c r="CN293" s="5" t="n">
        <v>0</v>
      </c>
      <c r="CO293" s="5" t="n">
        <v>0</v>
      </c>
      <c r="CP293" s="5" t="n">
        <v>0</v>
      </c>
      <c r="CQ293" s="5" t="n">
        <v>1.387</v>
      </c>
      <c r="CR293" s="5" t="n">
        <v>1</v>
      </c>
      <c r="CS293" s="5" t="n">
        <v>5.529</v>
      </c>
      <c r="CT293" s="5" t="n">
        <v>4.251</v>
      </c>
      <c r="CU293" s="5" t="n">
        <v>10.168</v>
      </c>
    </row>
    <row r="294">
      <c r="A294" s="5" t="inlineStr">
        <is>
          <t>GMB2021</t>
        </is>
      </c>
      <c r="B294" s="5" t="inlineStr">
        <is>
          <t>GMB</t>
        </is>
      </c>
      <c r="C294" s="5" t="inlineStr">
        <is>
          <t>GMB</t>
        </is>
      </c>
      <c r="D294" s="5" t="inlineStr">
        <is>
          <t>Gambia, The</t>
        </is>
      </c>
      <c r="E294" s="5" t="n">
        <v>2021</v>
      </c>
      <c r="F294" s="5" t="n">
        <v>0.15</v>
      </c>
      <c r="G294" s="5" t="n">
        <v>5.897</v>
      </c>
      <c r="H294" s="5" t="n">
        <v>1.143</v>
      </c>
      <c r="I294" s="5" t="n">
        <v>0</v>
      </c>
      <c r="J294" s="5" t="n">
        <v>5.897</v>
      </c>
      <c r="K294" s="5" t="n">
        <v>0</v>
      </c>
      <c r="L294" s="5" t="n">
        <v>1</v>
      </c>
      <c r="M294" s="5" t="n">
        <v>7.964</v>
      </c>
      <c r="N294" s="5" t="n">
        <v>3.43</v>
      </c>
      <c r="O294" s="5" t="n">
        <v>0</v>
      </c>
      <c r="P294" s="5" t="n">
        <v>7.964</v>
      </c>
      <c r="Q294" s="5" t="n">
        <v>0</v>
      </c>
      <c r="R294" s="5" t="n">
        <v>1</v>
      </c>
      <c r="S294" s="5" t="n">
        <v>11.613</v>
      </c>
      <c r="T294" s="5" t="n">
        <v>6.86</v>
      </c>
      <c r="U294" s="5" t="n">
        <v>0</v>
      </c>
      <c r="V294" s="5" t="n">
        <v>13.355</v>
      </c>
      <c r="W294" s="5" t="n">
        <v>0.15</v>
      </c>
      <c r="X294" s="5" t="n">
        <v>1</v>
      </c>
      <c r="Y294" s="5" t="n">
        <v>16.302</v>
      </c>
      <c r="Z294" s="5" t="n">
        <v>2.203</v>
      </c>
      <c r="AA294" s="5" t="n">
        <v>0</v>
      </c>
      <c r="AB294" s="5" t="n">
        <v>16.302</v>
      </c>
      <c r="AC294" s="5" t="n">
        <v>0</v>
      </c>
      <c r="AD294" s="5" t="n">
        <v>1</v>
      </c>
      <c r="AE294" s="5" t="n">
        <v>17.445</v>
      </c>
      <c r="AF294" s="5" t="n">
        <v>4.079</v>
      </c>
      <c r="AG294" s="5" t="n">
        <v>0</v>
      </c>
      <c r="AH294" s="5" t="n">
        <v>17.445</v>
      </c>
      <c r="AI294" s="5" t="n">
        <v>0</v>
      </c>
      <c r="AJ294" s="5" t="n">
        <v>1</v>
      </c>
      <c r="AK294" s="5" t="n">
        <v>24.305</v>
      </c>
      <c r="AL294" s="5" t="n">
        <v>12.945</v>
      </c>
      <c r="AM294" s="5" t="n">
        <v>0</v>
      </c>
      <c r="AN294" s="5" t="n">
        <v>27.951</v>
      </c>
      <c r="AO294" s="5" t="n">
        <v>0.15</v>
      </c>
      <c r="AP294" s="5" t="n">
        <v>1</v>
      </c>
      <c r="AQ294" s="5" t="n">
        <v>0.619</v>
      </c>
      <c r="AR294" s="5" t="n">
        <v>0.114</v>
      </c>
      <c r="AS294" s="5" t="n">
        <v>0.277</v>
      </c>
      <c r="AT294" s="5" t="n">
        <v>1.03</v>
      </c>
      <c r="AU294" s="5" t="n">
        <v>0.15</v>
      </c>
      <c r="AV294" s="5" t="n">
        <v>1</v>
      </c>
      <c r="AW294" s="5" t="n">
        <v>0.599</v>
      </c>
      <c r="AX294" s="5" t="n">
        <v>0.114</v>
      </c>
      <c r="AY294" s="5" t="n">
        <v>0.261</v>
      </c>
      <c r="AZ294" s="5" t="n">
        <v>0.989</v>
      </c>
      <c r="BA294" s="5" t="n">
        <v>0.15</v>
      </c>
      <c r="BB294" s="5" t="n">
        <v>1</v>
      </c>
      <c r="BC294" s="5" t="n">
        <v>0.439</v>
      </c>
      <c r="BD294" s="5" t="n">
        <v>0.114</v>
      </c>
      <c r="BE294" s="5" t="n">
        <v>0</v>
      </c>
      <c r="BF294" s="5" t="n">
        <v>0.505</v>
      </c>
      <c r="BG294" s="5" t="n">
        <v>0.15</v>
      </c>
      <c r="BH294" s="5" t="n">
        <v>1</v>
      </c>
      <c r="BI294" s="5" t="n">
        <v>0.505</v>
      </c>
      <c r="BJ294" s="5" t="n">
        <v>0.114</v>
      </c>
      <c r="BK294" s="5" t="n">
        <v>0.222</v>
      </c>
      <c r="BL294" s="5" t="n">
        <v>0.836</v>
      </c>
      <c r="BM294" s="5" t="n">
        <v>0.15</v>
      </c>
      <c r="BN294" s="5" t="n">
        <v>1</v>
      </c>
      <c r="BO294" s="5" t="n">
        <v>0</v>
      </c>
      <c r="BP294" s="5" t="n">
        <v>0</v>
      </c>
      <c r="BQ294" s="5" t="n">
        <v>0</v>
      </c>
      <c r="BR294" s="5" t="n">
        <v>0</v>
      </c>
      <c r="BS294" s="5" t="n">
        <v>1</v>
      </c>
      <c r="BT294" s="5" t="n">
        <v>0</v>
      </c>
      <c r="BU294" s="5" t="n">
        <v>0</v>
      </c>
      <c r="BV294" s="5" t="n">
        <v>0</v>
      </c>
      <c r="BW294" s="5" t="n">
        <v>0.15</v>
      </c>
      <c r="BX294" s="5" t="n">
        <v>1</v>
      </c>
      <c r="BY294" s="5" t="n">
        <v>11.787</v>
      </c>
      <c r="BZ294" s="5" t="n">
        <v>0</v>
      </c>
      <c r="CA294" s="5" t="n">
        <v>11.787</v>
      </c>
      <c r="CB294" s="5" t="n">
        <v>0</v>
      </c>
      <c r="CC294" s="5" t="n">
        <v>78.125</v>
      </c>
      <c r="CD294" s="5" t="n">
        <v>7.95</v>
      </c>
      <c r="CE294" s="5" t="n">
        <v>0</v>
      </c>
      <c r="CF294" s="5" t="n">
        <v>89.84399999999999</v>
      </c>
      <c r="CG294" s="5" t="n">
        <v>0.15</v>
      </c>
      <c r="CH294" s="5" t="n">
        <v>1</v>
      </c>
      <c r="CI294" s="5" t="n">
        <v>0</v>
      </c>
      <c r="CJ294" s="5" t="n">
        <v>0</v>
      </c>
      <c r="CK294" s="5" t="n">
        <v>0</v>
      </c>
      <c r="CL294" s="5" t="n">
        <v>0</v>
      </c>
      <c r="CM294" s="5" t="n">
        <v>0</v>
      </c>
      <c r="CN294" s="5" t="n">
        <v>0</v>
      </c>
      <c r="CO294" s="5" t="n">
        <v>0</v>
      </c>
      <c r="CP294" s="5" t="n">
        <v>0</v>
      </c>
      <c r="CQ294" s="5" t="n">
        <v>1.198</v>
      </c>
      <c r="CR294" s="5" t="n">
        <v>0</v>
      </c>
      <c r="CS294" s="5" t="n">
        <v>4.776</v>
      </c>
      <c r="CT294" s="5" t="n">
        <v>4.753</v>
      </c>
      <c r="CU294" s="5" t="n">
        <v>15.162</v>
      </c>
    </row>
    <row r="295">
      <c r="A295" s="5" t="inlineStr">
        <is>
          <t>GMB2022</t>
        </is>
      </c>
      <c r="B295" s="5" t="inlineStr">
        <is>
          <t>GMB</t>
        </is>
      </c>
      <c r="C295" s="5" t="inlineStr">
        <is>
          <t>GMB</t>
        </is>
      </c>
      <c r="D295" s="5" t="inlineStr">
        <is>
          <t>Gambia, The</t>
        </is>
      </c>
      <c r="E295" s="5" t="n">
        <v>2022</v>
      </c>
      <c r="F295" s="5" t="n">
        <v>0.15</v>
      </c>
      <c r="G295" s="5" t="n">
        <v>11.72</v>
      </c>
      <c r="H295" s="5" t="n">
        <v>1.235</v>
      </c>
      <c r="I295" s="5" t="n">
        <v>0</v>
      </c>
      <c r="J295" s="5" t="n">
        <v>11.72</v>
      </c>
      <c r="K295" s="5" t="n">
        <v>0</v>
      </c>
      <c r="L295" s="5" t="n">
        <v>1</v>
      </c>
      <c r="M295" s="5" t="n">
        <v>9.782999999999999</v>
      </c>
      <c r="N295" s="5" t="n">
        <v>3.704</v>
      </c>
      <c r="O295" s="5" t="n">
        <v>0</v>
      </c>
      <c r="P295" s="5" t="n">
        <v>9.782999999999999</v>
      </c>
      <c r="Q295" s="5" t="n">
        <v>0</v>
      </c>
      <c r="R295" s="5" t="n">
        <v>1</v>
      </c>
      <c r="S295" s="5" t="n">
        <v>17.893</v>
      </c>
      <c r="T295" s="5" t="n">
        <v>7.408</v>
      </c>
      <c r="U295" s="5" t="n">
        <v>0.199</v>
      </c>
      <c r="V295" s="5" t="n">
        <v>20.577</v>
      </c>
      <c r="W295" s="5" t="n">
        <v>0.15</v>
      </c>
      <c r="X295" s="5" t="n">
        <v>1</v>
      </c>
      <c r="Y295" s="5" t="n">
        <v>32.551</v>
      </c>
      <c r="Z295" s="5" t="n">
        <v>4.399</v>
      </c>
      <c r="AA295" s="5" t="n">
        <v>0</v>
      </c>
      <c r="AB295" s="5" t="n">
        <v>32.551</v>
      </c>
      <c r="AC295" s="5" t="n">
        <v>0</v>
      </c>
      <c r="AD295" s="5" t="n">
        <v>1</v>
      </c>
      <c r="AE295" s="5" t="n">
        <v>33.786</v>
      </c>
      <c r="AF295" s="5" t="n">
        <v>7.9</v>
      </c>
      <c r="AG295" s="5" t="n">
        <v>0</v>
      </c>
      <c r="AH295" s="5" t="n">
        <v>33.786</v>
      </c>
      <c r="AI295" s="5" t="n">
        <v>0</v>
      </c>
      <c r="AJ295" s="5" t="n">
        <v>1</v>
      </c>
      <c r="AK295" s="5" t="n">
        <v>41.194</v>
      </c>
      <c r="AL295" s="5" t="n">
        <v>21.94</v>
      </c>
      <c r="AM295" s="5" t="n">
        <v>0.457</v>
      </c>
      <c r="AN295" s="5" t="n">
        <v>47.373</v>
      </c>
      <c r="AO295" s="5" t="n">
        <v>0.15</v>
      </c>
      <c r="AP295" s="5" t="n">
        <v>1</v>
      </c>
      <c r="AQ295" s="5" t="n">
        <v>0.861</v>
      </c>
      <c r="AR295" s="5" t="n">
        <v>0.123</v>
      </c>
      <c r="AS295" s="5" t="n">
        <v>0.264</v>
      </c>
      <c r="AT295" s="5" t="n">
        <v>1.294</v>
      </c>
      <c r="AU295" s="5" t="n">
        <v>0.15</v>
      </c>
      <c r="AV295" s="5" t="n">
        <v>1</v>
      </c>
      <c r="AW295" s="5" t="n">
        <v>0.986</v>
      </c>
      <c r="AX295" s="5" t="n">
        <v>0.123</v>
      </c>
      <c r="AY295" s="5" t="n">
        <v>0.076</v>
      </c>
      <c r="AZ295" s="5" t="n">
        <v>1.222</v>
      </c>
      <c r="BA295" s="5" t="n">
        <v>0.15</v>
      </c>
      <c r="BB295" s="5" t="n">
        <v>1</v>
      </c>
      <c r="BC295" s="5" t="n">
        <v>0.598</v>
      </c>
      <c r="BD295" s="5" t="n">
        <v>0.123</v>
      </c>
      <c r="BE295" s="5" t="n">
        <v>0.007</v>
      </c>
      <c r="BF295" s="5" t="n">
        <v>0.6879999999999999</v>
      </c>
      <c r="BG295" s="5" t="n">
        <v>0.15</v>
      </c>
      <c r="BH295" s="5" t="n">
        <v>1</v>
      </c>
      <c r="BI295" s="5" t="n">
        <v>0.612</v>
      </c>
      <c r="BJ295" s="5" t="n">
        <v>0.123</v>
      </c>
      <c r="BK295" s="5" t="n">
        <v>0.543</v>
      </c>
      <c r="BL295" s="5" t="n">
        <v>1.328</v>
      </c>
      <c r="BM295" s="5" t="n">
        <v>0.15</v>
      </c>
      <c r="BN295" s="5" t="n">
        <v>1</v>
      </c>
      <c r="BO295" s="5" t="n">
        <v>0</v>
      </c>
      <c r="BP295" s="5" t="n">
        <v>0</v>
      </c>
      <c r="BQ295" s="5" t="n">
        <v>0</v>
      </c>
      <c r="BR295" s="5" t="n">
        <v>0</v>
      </c>
      <c r="BS295" s="5" t="n">
        <v>1</v>
      </c>
      <c r="BT295" s="5" t="n">
        <v>0</v>
      </c>
      <c r="BU295" s="5" t="n">
        <v>0</v>
      </c>
      <c r="BV295" s="5" t="n">
        <v>0</v>
      </c>
      <c r="BW295" s="5" t="n">
        <v>0.15</v>
      </c>
      <c r="BX295" s="5" t="n">
        <v>1</v>
      </c>
      <c r="BY295" s="5" t="n">
        <v>12.729</v>
      </c>
      <c r="BZ295" s="5" t="n">
        <v>0</v>
      </c>
      <c r="CA295" s="5" t="n">
        <v>12.729</v>
      </c>
      <c r="CB295" s="5" t="n">
        <v>0</v>
      </c>
      <c r="CC295" s="5" t="n">
        <v>97.90000000000001</v>
      </c>
      <c r="CD295" s="5" t="n">
        <v>7.95</v>
      </c>
      <c r="CE295" s="5" t="n">
        <v>1.087</v>
      </c>
      <c r="CF295" s="5" t="n">
        <v>112.585</v>
      </c>
      <c r="CG295" s="5" t="n">
        <v>0.15</v>
      </c>
      <c r="CH295" s="5" t="n">
        <v>1</v>
      </c>
      <c r="CI295" s="5" t="n">
        <v>0</v>
      </c>
      <c r="CJ295" s="5" t="n">
        <v>0</v>
      </c>
      <c r="CK295" s="5" t="n">
        <v>0</v>
      </c>
      <c r="CL295" s="5" t="n">
        <v>0</v>
      </c>
      <c r="CM295" s="5" t="n">
        <v>0</v>
      </c>
      <c r="CN295" s="5" t="n">
        <v>0</v>
      </c>
      <c r="CO295" s="5" t="n">
        <v>0</v>
      </c>
      <c r="CP295" s="5" t="n">
        <v>0</v>
      </c>
      <c r="CQ295" s="5" t="n">
        <v>1.294</v>
      </c>
      <c r="CR295" s="5" t="n">
        <v>0</v>
      </c>
      <c r="CS295" s="5" t="n">
        <v>5.158</v>
      </c>
      <c r="CT295" s="5" t="n">
        <v>10.485</v>
      </c>
      <c r="CU295" s="5" t="n">
        <v>31.326</v>
      </c>
    </row>
    <row r="296">
      <c r="A296" s="5" t="inlineStr">
        <is>
          <t>GMB2023</t>
        </is>
      </c>
      <c r="B296" s="5" t="inlineStr">
        <is>
          <t>GMB</t>
        </is>
      </c>
      <c r="C296" s="5" t="inlineStr">
        <is>
          <t>GMB</t>
        </is>
      </c>
      <c r="D296" s="5" t="inlineStr">
        <is>
          <t>Gambia, The</t>
        </is>
      </c>
      <c r="E296" s="5" t="n">
        <v>2023</v>
      </c>
      <c r="F296" s="5" t="n">
        <v>0.15</v>
      </c>
      <c r="G296" s="5" t="n">
        <v>6.147</v>
      </c>
      <c r="H296" s="5" t="n">
        <v>1.286</v>
      </c>
      <c r="I296" s="5" t="n">
        <v>0</v>
      </c>
      <c r="J296" s="5" t="n">
        <v>6.147</v>
      </c>
      <c r="K296" s="5" t="n">
        <v>0</v>
      </c>
      <c r="L296" s="5" t="n">
        <v>1</v>
      </c>
      <c r="M296" s="5" t="n">
        <v>7.886</v>
      </c>
      <c r="N296" s="5" t="n">
        <v>3.857</v>
      </c>
      <c r="O296" s="5" t="n">
        <v>0</v>
      </c>
      <c r="P296" s="5" t="n">
        <v>7.886</v>
      </c>
      <c r="Q296" s="5" t="n">
        <v>0</v>
      </c>
      <c r="R296" s="5" t="n">
        <v>1</v>
      </c>
      <c r="S296" s="5" t="n">
        <v>12.575</v>
      </c>
      <c r="T296" s="5" t="n">
        <v>7.714</v>
      </c>
      <c r="U296" s="5" t="n">
        <v>0.209</v>
      </c>
      <c r="V296" s="5" t="n">
        <v>14.461</v>
      </c>
      <c r="W296" s="5" t="n">
        <v>0.15</v>
      </c>
      <c r="X296" s="5" t="n">
        <v>1</v>
      </c>
      <c r="Y296" s="5" t="n">
        <v>12.286</v>
      </c>
      <c r="Z296" s="5" t="n">
        <v>1.661</v>
      </c>
      <c r="AA296" s="5" t="n">
        <v>0</v>
      </c>
      <c r="AB296" s="5" t="n">
        <v>12.286</v>
      </c>
      <c r="AC296" s="5" t="n">
        <v>0</v>
      </c>
      <c r="AD296" s="5" t="n">
        <v>1</v>
      </c>
      <c r="AE296" s="5" t="n">
        <v>13.572</v>
      </c>
      <c r="AF296" s="5" t="n">
        <v>3.174</v>
      </c>
      <c r="AG296" s="5" t="n">
        <v>0</v>
      </c>
      <c r="AH296" s="5" t="n">
        <v>13.572</v>
      </c>
      <c r="AI296" s="5" t="n">
        <v>0</v>
      </c>
      <c r="AJ296" s="5" t="n">
        <v>1</v>
      </c>
      <c r="AK296" s="5" t="n">
        <v>21.286</v>
      </c>
      <c r="AL296" s="5" t="n">
        <v>11.337</v>
      </c>
      <c r="AM296" s="5" t="n">
        <v>0.354</v>
      </c>
      <c r="AN296" s="5" t="n">
        <v>24.479</v>
      </c>
      <c r="AO296" s="5" t="n">
        <v>0.15</v>
      </c>
      <c r="AP296" s="5" t="n">
        <v>1</v>
      </c>
      <c r="AQ296" s="5" t="n">
        <v>0.76</v>
      </c>
      <c r="AR296" s="5" t="n">
        <v>0.129</v>
      </c>
      <c r="AS296" s="5" t="n">
        <v>0.299</v>
      </c>
      <c r="AT296" s="5" t="n">
        <v>1.218</v>
      </c>
      <c r="AU296" s="5" t="n">
        <v>0.15</v>
      </c>
      <c r="AV296" s="5" t="n">
        <v>1</v>
      </c>
      <c r="AW296" s="5" t="n">
        <v>0.8110000000000001</v>
      </c>
      <c r="AX296" s="5" t="n">
        <v>0.129</v>
      </c>
      <c r="AY296" s="5" t="n">
        <v>0.212</v>
      </c>
      <c r="AZ296" s="5" t="n">
        <v>1.177</v>
      </c>
      <c r="BA296" s="5" t="n">
        <v>0.15</v>
      </c>
      <c r="BB296" s="5" t="n">
        <v>1</v>
      </c>
      <c r="BC296" s="5" t="n">
        <v>0.535</v>
      </c>
      <c r="BD296" s="5" t="n">
        <v>0.129</v>
      </c>
      <c r="BE296" s="5" t="n">
        <v>0.008999999999999999</v>
      </c>
      <c r="BF296" s="5" t="n">
        <v>0.615</v>
      </c>
      <c r="BG296" s="5" t="n">
        <v>0.15</v>
      </c>
      <c r="BH296" s="5" t="n">
        <v>1</v>
      </c>
      <c r="BI296" s="5" t="n">
        <v>0.579</v>
      </c>
      <c r="BJ296" s="5" t="n">
        <v>0.129</v>
      </c>
      <c r="BK296" s="5" t="n">
        <v>0.43</v>
      </c>
      <c r="BL296" s="5" t="n">
        <v>1.161</v>
      </c>
      <c r="BM296" s="5" t="n">
        <v>0.15</v>
      </c>
      <c r="BN296" s="5" t="n">
        <v>1</v>
      </c>
      <c r="BO296" s="5" t="n">
        <v>0</v>
      </c>
      <c r="BP296" s="5" t="n">
        <v>0</v>
      </c>
      <c r="BQ296" s="5" t="n">
        <v>0</v>
      </c>
      <c r="BR296" s="5" t="n">
        <v>0</v>
      </c>
      <c r="BS296" s="5" t="n">
        <v>1</v>
      </c>
      <c r="BT296" s="5" t="n">
        <v>0</v>
      </c>
      <c r="BU296" s="5" t="n">
        <v>0</v>
      </c>
      <c r="BV296" s="5" t="n">
        <v>0</v>
      </c>
      <c r="BW296" s="5" t="n">
        <v>0.15</v>
      </c>
      <c r="BX296" s="5" t="n">
        <v>1</v>
      </c>
      <c r="BY296" s="5" t="n">
        <v>13.254</v>
      </c>
      <c r="BZ296" s="5" t="n">
        <v>0</v>
      </c>
      <c r="CA296" s="5" t="n">
        <v>13.254</v>
      </c>
      <c r="CB296" s="5" t="n">
        <v>0</v>
      </c>
      <c r="CC296" s="5" t="n">
        <v>83.248</v>
      </c>
      <c r="CD296" s="5" t="n">
        <v>7.95</v>
      </c>
      <c r="CE296" s="5" t="n">
        <v>1.383</v>
      </c>
      <c r="CF296" s="5" t="n">
        <v>95.735</v>
      </c>
      <c r="CG296" s="5" t="n">
        <v>0.15</v>
      </c>
      <c r="CH296" s="5" t="n">
        <v>1</v>
      </c>
      <c r="CI296" s="5" t="n">
        <v>0</v>
      </c>
      <c r="CJ296" s="5" t="n">
        <v>0</v>
      </c>
      <c r="CK296" s="5" t="n">
        <v>0</v>
      </c>
      <c r="CL296" s="5" t="n">
        <v>0</v>
      </c>
      <c r="CM296" s="5" t="n">
        <v>0</v>
      </c>
      <c r="CN296" s="5" t="n">
        <v>0</v>
      </c>
      <c r="CO296" s="5" t="n">
        <v>0</v>
      </c>
      <c r="CP296" s="5" t="n">
        <v>0</v>
      </c>
      <c r="CQ296" s="5" t="n">
        <v>1.348</v>
      </c>
      <c r="CR296" s="5" t="n">
        <v>0</v>
      </c>
      <c r="CS296" s="5" t="n">
        <v>5.37</v>
      </c>
      <c r="CT296" s="5" t="n">
        <v>4.861</v>
      </c>
      <c r="CU296" s="5" t="n">
        <v>11.622</v>
      </c>
    </row>
    <row r="297">
      <c r="A297" s="5" t="inlineStr">
        <is>
          <t>GMB2024</t>
        </is>
      </c>
      <c r="B297" s="5" t="inlineStr">
        <is>
          <t>GMB</t>
        </is>
      </c>
      <c r="C297" s="5" t="inlineStr">
        <is>
          <t>GMB</t>
        </is>
      </c>
      <c r="D297" s="5" t="inlineStr">
        <is>
          <t>Gambia, The</t>
        </is>
      </c>
      <c r="E297" s="5" t="n">
        <v>2024</v>
      </c>
      <c r="F297" s="5" t="n">
        <v>0.15</v>
      </c>
      <c r="G297" s="5" t="n">
        <v>5.575</v>
      </c>
      <c r="H297" s="5" t="n">
        <v>1.324</v>
      </c>
      <c r="I297" s="5" t="n">
        <v>0</v>
      </c>
      <c r="J297" s="5" t="n">
        <v>5.575</v>
      </c>
      <c r="K297" s="5" t="n">
        <v>0</v>
      </c>
      <c r="L297" s="5" t="n">
        <v>1</v>
      </c>
      <c r="M297" s="5" t="n">
        <v>7.124</v>
      </c>
      <c r="N297" s="5" t="n">
        <v>3.971</v>
      </c>
      <c r="O297" s="5" t="n">
        <v>0</v>
      </c>
      <c r="P297" s="5" t="n">
        <v>7.124</v>
      </c>
      <c r="Q297" s="5" t="n">
        <v>0</v>
      </c>
      <c r="R297" s="5" t="n">
        <v>1</v>
      </c>
      <c r="S297" s="5" t="n">
        <v>12.193</v>
      </c>
      <c r="T297" s="5" t="n">
        <v>7.942</v>
      </c>
      <c r="U297" s="5" t="n">
        <v>0.249</v>
      </c>
      <c r="V297" s="5" t="n">
        <v>14.022</v>
      </c>
      <c r="W297" s="5" t="n">
        <v>0.15</v>
      </c>
      <c r="X297" s="5" t="n">
        <v>1</v>
      </c>
      <c r="Y297" s="5" t="n">
        <v>11.016</v>
      </c>
      <c r="Z297" s="5" t="n">
        <v>1.489</v>
      </c>
      <c r="AA297" s="5" t="n">
        <v>0</v>
      </c>
      <c r="AB297" s="5" t="n">
        <v>11.016</v>
      </c>
      <c r="AC297" s="5" t="n">
        <v>0</v>
      </c>
      <c r="AD297" s="5" t="n">
        <v>1</v>
      </c>
      <c r="AE297" s="5" t="n">
        <v>12.339</v>
      </c>
      <c r="AF297" s="5" t="n">
        <v>2.885</v>
      </c>
      <c r="AG297" s="5" t="n">
        <v>0</v>
      </c>
      <c r="AH297" s="5" t="n">
        <v>12.339</v>
      </c>
      <c r="AI297" s="5" t="n">
        <v>0</v>
      </c>
      <c r="AJ297" s="5" t="n">
        <v>1</v>
      </c>
      <c r="AK297" s="5" t="n">
        <v>20.281</v>
      </c>
      <c r="AL297" s="5" t="n">
        <v>10.802</v>
      </c>
      <c r="AM297" s="5" t="n">
        <v>0.414</v>
      </c>
      <c r="AN297" s="5" t="n">
        <v>23.323</v>
      </c>
      <c r="AO297" s="5" t="n">
        <v>0.15</v>
      </c>
      <c r="AP297" s="5" t="n">
        <v>1</v>
      </c>
      <c r="AQ297" s="5" t="n">
        <v>0.724</v>
      </c>
      <c r="AR297" s="5" t="n">
        <v>0.132</v>
      </c>
      <c r="AS297" s="5" t="n">
        <v>0.301</v>
      </c>
      <c r="AT297" s="5" t="n">
        <v>1.179</v>
      </c>
      <c r="AU297" s="5" t="n">
        <v>0.15</v>
      </c>
      <c r="AV297" s="5" t="n">
        <v>1</v>
      </c>
      <c r="AW297" s="5" t="n">
        <v>0.75</v>
      </c>
      <c r="AX297" s="5" t="n">
        <v>0.132</v>
      </c>
      <c r="AY297" s="5" t="n">
        <v>0.273</v>
      </c>
      <c r="AZ297" s="5" t="n">
        <v>1.177</v>
      </c>
      <c r="BA297" s="5" t="n">
        <v>0.15</v>
      </c>
      <c r="BB297" s="5" t="n">
        <v>1</v>
      </c>
      <c r="BC297" s="5" t="n">
        <v>0.513</v>
      </c>
      <c r="BD297" s="5" t="n">
        <v>0.132</v>
      </c>
      <c r="BE297" s="5" t="n">
        <v>0.01</v>
      </c>
      <c r="BF297" s="5" t="n">
        <v>0.59</v>
      </c>
      <c r="BG297" s="5" t="n">
        <v>0.15</v>
      </c>
      <c r="BH297" s="5" t="n">
        <v>1</v>
      </c>
      <c r="BI297" s="5" t="n">
        <v>0.591</v>
      </c>
      <c r="BJ297" s="5" t="n">
        <v>0.132</v>
      </c>
      <c r="BK297" s="5" t="n">
        <v>0.353</v>
      </c>
      <c r="BL297" s="5" t="n">
        <v>1.086</v>
      </c>
      <c r="BM297" s="5" t="n">
        <v>0.15</v>
      </c>
      <c r="BN297" s="5" t="n">
        <v>1</v>
      </c>
      <c r="BO297" s="5" t="n">
        <v>0</v>
      </c>
      <c r="BP297" s="5" t="n">
        <v>0</v>
      </c>
      <c r="BQ297" s="5" t="n">
        <v>0</v>
      </c>
      <c r="BR297" s="5" t="n">
        <v>0</v>
      </c>
      <c r="BS297" s="5" t="n">
        <v>1</v>
      </c>
      <c r="BT297" s="5" t="n">
        <v>0</v>
      </c>
      <c r="BU297" s="5" t="n">
        <v>0</v>
      </c>
      <c r="BV297" s="5" t="n">
        <v>0</v>
      </c>
      <c r="BW297" s="5" t="n">
        <v>0.15</v>
      </c>
      <c r="BX297" s="5" t="n">
        <v>1</v>
      </c>
      <c r="BY297" s="5" t="n">
        <v>13.646</v>
      </c>
      <c r="BZ297" s="5" t="n">
        <v>0</v>
      </c>
      <c r="CA297" s="5" t="n">
        <v>13.646</v>
      </c>
      <c r="CB297" s="5" t="n">
        <v>0</v>
      </c>
      <c r="CC297" s="5" t="n">
        <v>82.58799999999999</v>
      </c>
      <c r="CD297" s="5" t="n">
        <v>7.95</v>
      </c>
      <c r="CE297" s="5" t="n">
        <v>1.687</v>
      </c>
      <c r="CF297" s="5" t="n">
        <v>94.976</v>
      </c>
      <c r="CG297" s="5" t="n">
        <v>0.15</v>
      </c>
      <c r="CH297" s="5" t="n">
        <v>1</v>
      </c>
      <c r="CI297" s="5" t="n">
        <v>0</v>
      </c>
      <c r="CJ297" s="5" t="n">
        <v>0</v>
      </c>
      <c r="CK297" s="5" t="n">
        <v>0</v>
      </c>
      <c r="CL297" s="5" t="n">
        <v>0</v>
      </c>
      <c r="CM297" s="5" t="n">
        <v>0</v>
      </c>
      <c r="CN297" s="5" t="n">
        <v>0</v>
      </c>
      <c r="CO297" s="5" t="n">
        <v>0</v>
      </c>
      <c r="CP297" s="5" t="n">
        <v>0</v>
      </c>
      <c r="CQ297" s="5" t="n">
        <v>1.387</v>
      </c>
      <c r="CR297" s="5" t="n">
        <v>0</v>
      </c>
      <c r="CS297" s="5" t="n">
        <v>5.529</v>
      </c>
      <c r="CT297" s="5" t="n">
        <v>4.251</v>
      </c>
      <c r="CU297" s="5" t="n">
        <v>10.168</v>
      </c>
    </row>
    <row r="298">
      <c r="A298" s="5" t="inlineStr">
        <is>
          <t>GEO2021</t>
        </is>
      </c>
      <c r="B298" s="5" t="inlineStr">
        <is>
          <t>GEO</t>
        </is>
      </c>
      <c r="C298" s="5" t="inlineStr">
        <is>
          <t>GEO</t>
        </is>
      </c>
      <c r="D298" s="5" t="inlineStr">
        <is>
          <t>Georgia</t>
        </is>
      </c>
      <c r="E298" s="5" t="n">
        <v>2021</v>
      </c>
      <c r="F298" s="5" t="n">
        <v>0.18</v>
      </c>
      <c r="G298" s="5" t="n">
        <v>4.526</v>
      </c>
      <c r="H298" s="5" t="n">
        <v>0.988</v>
      </c>
      <c r="I298" s="5" t="n">
        <v>0</v>
      </c>
      <c r="J298" s="5" t="n">
        <v>4.526</v>
      </c>
      <c r="K298" s="5" t="n">
        <v>0</v>
      </c>
      <c r="L298" s="5" t="n">
        <v>1</v>
      </c>
      <c r="M298" s="5" t="n">
        <v>6.593</v>
      </c>
      <c r="N298" s="5" t="n">
        <v>2.964</v>
      </c>
      <c r="O298" s="5" t="n">
        <v>0</v>
      </c>
      <c r="P298" s="5" t="n">
        <v>6.593</v>
      </c>
      <c r="Q298" s="5" t="n">
        <v>0</v>
      </c>
      <c r="R298" s="5" t="n">
        <v>1</v>
      </c>
      <c r="S298" s="5" t="n">
        <v>9.467000000000001</v>
      </c>
      <c r="T298" s="5" t="n">
        <v>5.929</v>
      </c>
      <c r="U298" s="5" t="n">
        <v>0</v>
      </c>
      <c r="V298" s="5" t="n">
        <v>11.171</v>
      </c>
      <c r="W298" s="5" t="n">
        <v>0.18</v>
      </c>
      <c r="X298" s="5" t="n">
        <v>1</v>
      </c>
      <c r="Y298" s="5" t="n">
        <v>5.503</v>
      </c>
      <c r="Z298" s="5" t="n">
        <v>1.016</v>
      </c>
      <c r="AA298" s="5" t="n">
        <v>0.424</v>
      </c>
      <c r="AB298" s="5" t="n">
        <v>5.927</v>
      </c>
      <c r="AC298" s="5" t="n">
        <v>0</v>
      </c>
      <c r="AD298" s="5" t="n">
        <v>1</v>
      </c>
      <c r="AE298" s="5" t="n">
        <v>6.643</v>
      </c>
      <c r="AF298" s="5" t="n">
        <v>1.966</v>
      </c>
      <c r="AG298" s="5" t="n">
        <v>-0.716</v>
      </c>
      <c r="AH298" s="5" t="n">
        <v>5.927</v>
      </c>
      <c r="AI298" s="5" t="n">
        <v>0</v>
      </c>
      <c r="AJ298" s="5" t="n">
        <v>1</v>
      </c>
      <c r="AK298" s="5" t="n">
        <v>13.483</v>
      </c>
      <c r="AL298" s="5" t="n">
        <v>7.955</v>
      </c>
      <c r="AM298" s="5" t="n">
        <v>-9.92</v>
      </c>
      <c r="AN298" s="5" t="n">
        <v>4.204</v>
      </c>
      <c r="AO298" s="5" t="n">
        <v>0</v>
      </c>
      <c r="AP298" s="5" t="n">
        <v>0</v>
      </c>
      <c r="AQ298" s="5" t="n">
        <v>0.619</v>
      </c>
      <c r="AR298" s="5" t="n">
        <v>0.114</v>
      </c>
      <c r="AS298" s="5" t="n">
        <v>0.154</v>
      </c>
      <c r="AT298" s="5" t="n">
        <v>0.913</v>
      </c>
      <c r="AU298" s="5" t="n">
        <v>0.18</v>
      </c>
      <c r="AV298" s="5" t="n">
        <v>1</v>
      </c>
      <c r="AW298" s="5" t="n">
        <v>0.599</v>
      </c>
      <c r="AX298" s="5" t="n">
        <v>0.114</v>
      </c>
      <c r="AY298" s="5" t="n">
        <v>0.143</v>
      </c>
      <c r="AZ298" s="5" t="n">
        <v>0.876</v>
      </c>
      <c r="BA298" s="5" t="n">
        <v>0.18</v>
      </c>
      <c r="BB298" s="5" t="n">
        <v>1</v>
      </c>
      <c r="BC298" s="5" t="n">
        <v>0.439</v>
      </c>
      <c r="BD298" s="5" t="n">
        <v>0.114</v>
      </c>
      <c r="BE298" s="5" t="n">
        <v>-0.024</v>
      </c>
      <c r="BF298" s="5" t="n">
        <v>0.489</v>
      </c>
      <c r="BG298" s="5" t="n">
        <v>0.18</v>
      </c>
      <c r="BH298" s="5" t="n">
        <v>1</v>
      </c>
      <c r="BI298" s="5" t="n">
        <v>0.505</v>
      </c>
      <c r="BJ298" s="5" t="n">
        <v>0.114</v>
      </c>
      <c r="BK298" s="5" t="n">
        <v>0</v>
      </c>
      <c r="BL298" s="5" t="n">
        <v>0.596</v>
      </c>
      <c r="BM298" s="5" t="n">
        <v>0.18</v>
      </c>
      <c r="BN298" s="5" t="n">
        <v>1</v>
      </c>
      <c r="BO298" s="5" t="n">
        <v>0</v>
      </c>
      <c r="BP298" s="5" t="n">
        <v>0</v>
      </c>
      <c r="BQ298" s="5" t="n">
        <v>0.08500000000000001</v>
      </c>
      <c r="BR298" s="5" t="n">
        <v>0</v>
      </c>
      <c r="BS298" s="5" t="n">
        <v>1</v>
      </c>
      <c r="BT298" s="5" t="n">
        <v>0</v>
      </c>
      <c r="BU298" s="5" t="n">
        <v>0</v>
      </c>
      <c r="BV298" s="5" t="n">
        <v>0.076</v>
      </c>
      <c r="BW298" s="5" t="n">
        <v>0.18</v>
      </c>
      <c r="BX298" s="5" t="n">
        <v>1</v>
      </c>
      <c r="BY298" s="5" t="n">
        <v>11.787</v>
      </c>
      <c r="BZ298" s="5" t="n">
        <v>0</v>
      </c>
      <c r="CA298" s="5" t="n">
        <v>11.787</v>
      </c>
      <c r="CB298" s="5" t="n">
        <v>0</v>
      </c>
      <c r="CC298" s="5" t="n">
        <v>78.125</v>
      </c>
      <c r="CD298" s="5" t="n">
        <v>7.95</v>
      </c>
      <c r="CE298" s="5" t="n">
        <v>0</v>
      </c>
      <c r="CF298" s="5" t="n">
        <v>92.188</v>
      </c>
      <c r="CG298" s="5" t="n">
        <v>0.18</v>
      </c>
      <c r="CH298" s="5" t="n">
        <v>1</v>
      </c>
      <c r="CI298" s="5" t="n">
        <v>0</v>
      </c>
      <c r="CJ298" s="5" t="n">
        <v>0</v>
      </c>
      <c r="CK298" s="5" t="n">
        <v>0</v>
      </c>
      <c r="CL298" s="5" t="n">
        <v>0</v>
      </c>
      <c r="CM298" s="5" t="n">
        <v>0</v>
      </c>
      <c r="CN298" s="5" t="n">
        <v>0.003</v>
      </c>
      <c r="CO298" s="5" t="n">
        <v>0</v>
      </c>
      <c r="CP298" s="5" t="n">
        <v>0.271</v>
      </c>
      <c r="CQ298" s="5" t="n">
        <v>1.198</v>
      </c>
      <c r="CR298" s="5" t="n">
        <v>0.006</v>
      </c>
      <c r="CS298" s="5" t="n">
        <v>4.776</v>
      </c>
      <c r="CT298" s="5" t="n">
        <v>4.41</v>
      </c>
      <c r="CU298" s="5" t="n">
        <v>7.061</v>
      </c>
    </row>
    <row r="299">
      <c r="A299" s="5" t="inlineStr">
        <is>
          <t>GEO2022</t>
        </is>
      </c>
      <c r="B299" s="5" t="inlineStr">
        <is>
          <t>GEO</t>
        </is>
      </c>
      <c r="C299" s="5" t="inlineStr">
        <is>
          <t>GEO</t>
        </is>
      </c>
      <c r="D299" s="5" t="inlineStr">
        <is>
          <t>Georgia</t>
        </is>
      </c>
      <c r="E299" s="5" t="n">
        <v>2022</v>
      </c>
      <c r="F299" s="5" t="n">
        <v>0.18</v>
      </c>
      <c r="G299" s="5" t="n">
        <v>5.382</v>
      </c>
      <c r="H299" s="5" t="n">
        <v>1.032</v>
      </c>
      <c r="I299" s="5" t="n">
        <v>0</v>
      </c>
      <c r="J299" s="5" t="n">
        <v>5.382</v>
      </c>
      <c r="K299" s="5" t="n">
        <v>0</v>
      </c>
      <c r="L299" s="5" t="n">
        <v>1</v>
      </c>
      <c r="M299" s="5" t="n">
        <v>7.605</v>
      </c>
      <c r="N299" s="5" t="n">
        <v>3.096</v>
      </c>
      <c r="O299" s="5" t="n">
        <v>0</v>
      </c>
      <c r="P299" s="5" t="n">
        <v>7.605</v>
      </c>
      <c r="Q299" s="5" t="n">
        <v>0</v>
      </c>
      <c r="R299" s="5" t="n">
        <v>1</v>
      </c>
      <c r="S299" s="5" t="n">
        <v>10.542</v>
      </c>
      <c r="T299" s="5" t="n">
        <v>6.193</v>
      </c>
      <c r="U299" s="5" t="n">
        <v>0.14</v>
      </c>
      <c r="V299" s="5" t="n">
        <v>12.44</v>
      </c>
      <c r="W299" s="5" t="n">
        <v>0.18</v>
      </c>
      <c r="X299" s="5" t="n">
        <v>1</v>
      </c>
      <c r="Y299" s="5" t="n">
        <v>5.916</v>
      </c>
      <c r="Z299" s="5" t="n">
        <v>1.092</v>
      </c>
      <c r="AA299" s="5" t="n">
        <v>2.316</v>
      </c>
      <c r="AB299" s="5" t="n">
        <v>8.233000000000001</v>
      </c>
      <c r="AC299" s="5" t="n">
        <v>0</v>
      </c>
      <c r="AD299" s="5" t="n">
        <v>1</v>
      </c>
      <c r="AE299" s="5" t="n">
        <v>7.149</v>
      </c>
      <c r="AF299" s="5" t="n">
        <v>2.116</v>
      </c>
      <c r="AG299" s="5" t="n">
        <v>1.084</v>
      </c>
      <c r="AH299" s="5" t="n">
        <v>8.233000000000001</v>
      </c>
      <c r="AI299" s="5" t="n">
        <v>0</v>
      </c>
      <c r="AJ299" s="5" t="n">
        <v>1</v>
      </c>
      <c r="AK299" s="5" t="n">
        <v>14.541</v>
      </c>
      <c r="AL299" s="5" t="n">
        <v>8.579000000000001</v>
      </c>
      <c r="AM299" s="5" t="n">
        <v>-10.428</v>
      </c>
      <c r="AN299" s="5" t="n">
        <v>4.853</v>
      </c>
      <c r="AO299" s="5" t="n">
        <v>0</v>
      </c>
      <c r="AP299" s="5" t="n">
        <v>0</v>
      </c>
      <c r="AQ299" s="5" t="n">
        <v>0.861</v>
      </c>
      <c r="AR299" s="5" t="n">
        <v>0.123</v>
      </c>
      <c r="AS299" s="5" t="n">
        <v>0.196</v>
      </c>
      <c r="AT299" s="5" t="n">
        <v>1.247</v>
      </c>
      <c r="AU299" s="5" t="n">
        <v>0.18</v>
      </c>
      <c r="AV299" s="5" t="n">
        <v>1</v>
      </c>
      <c r="AW299" s="5" t="n">
        <v>0.986</v>
      </c>
      <c r="AX299" s="5" t="n">
        <v>0.123</v>
      </c>
      <c r="AY299" s="5" t="n">
        <v>0.184</v>
      </c>
      <c r="AZ299" s="5" t="n">
        <v>1.38</v>
      </c>
      <c r="BA299" s="5" t="n">
        <v>0.18</v>
      </c>
      <c r="BB299" s="5" t="n">
        <v>1</v>
      </c>
      <c r="BC299" s="5" t="n">
        <v>0.598</v>
      </c>
      <c r="BD299" s="5" t="n">
        <v>0.123</v>
      </c>
      <c r="BE299" s="5" t="n">
        <v>-0.024</v>
      </c>
      <c r="BF299" s="5" t="n">
        <v>0.677</v>
      </c>
      <c r="BG299" s="5" t="n">
        <v>0.18</v>
      </c>
      <c r="BH299" s="5" t="n">
        <v>1</v>
      </c>
      <c r="BI299" s="5" t="n">
        <v>0.612</v>
      </c>
      <c r="BJ299" s="5" t="n">
        <v>0.123</v>
      </c>
      <c r="BK299" s="5" t="n">
        <v>0.008</v>
      </c>
      <c r="BL299" s="5" t="n">
        <v>0.723</v>
      </c>
      <c r="BM299" s="5" t="n">
        <v>0.18</v>
      </c>
      <c r="BN299" s="5" t="n">
        <v>1</v>
      </c>
      <c r="BO299" s="5" t="n">
        <v>0</v>
      </c>
      <c r="BP299" s="5" t="n">
        <v>0</v>
      </c>
      <c r="BQ299" s="5" t="n">
        <v>0.098</v>
      </c>
      <c r="BR299" s="5" t="n">
        <v>0</v>
      </c>
      <c r="BS299" s="5" t="n">
        <v>1</v>
      </c>
      <c r="BT299" s="5" t="n">
        <v>0</v>
      </c>
      <c r="BU299" s="5" t="n">
        <v>0</v>
      </c>
      <c r="BV299" s="5" t="n">
        <v>0.089</v>
      </c>
      <c r="BW299" s="5" t="n">
        <v>0.18</v>
      </c>
      <c r="BX299" s="5" t="n">
        <v>1</v>
      </c>
      <c r="BY299" s="5" t="n">
        <v>12.729</v>
      </c>
      <c r="BZ299" s="5" t="n">
        <v>0</v>
      </c>
      <c r="CA299" s="5" t="n">
        <v>12.729</v>
      </c>
      <c r="CB299" s="5" t="n">
        <v>0</v>
      </c>
      <c r="CC299" s="5" t="n">
        <v>97.90000000000001</v>
      </c>
      <c r="CD299" s="5" t="n">
        <v>7.95</v>
      </c>
      <c r="CE299" s="5" t="n">
        <v>1.304</v>
      </c>
      <c r="CF299" s="5" t="n">
        <v>115.522</v>
      </c>
      <c r="CG299" s="5" t="n">
        <v>0.18</v>
      </c>
      <c r="CH299" s="5" t="n">
        <v>1</v>
      </c>
      <c r="CI299" s="5" t="n">
        <v>0</v>
      </c>
      <c r="CJ299" s="5" t="n">
        <v>0</v>
      </c>
      <c r="CK299" s="5" t="n">
        <v>0</v>
      </c>
      <c r="CL299" s="5" t="n">
        <v>0</v>
      </c>
      <c r="CM299" s="5" t="n">
        <v>0</v>
      </c>
      <c r="CN299" s="5" t="n">
        <v>0.005</v>
      </c>
      <c r="CO299" s="5" t="n">
        <v>0</v>
      </c>
      <c r="CP299" s="5" t="n">
        <v>0.328</v>
      </c>
      <c r="CQ299" s="5" t="n">
        <v>1.294</v>
      </c>
      <c r="CR299" s="5" t="n">
        <v>0.004</v>
      </c>
      <c r="CS299" s="5" t="n">
        <v>5.158</v>
      </c>
      <c r="CT299" s="5" t="n">
        <v>5.842</v>
      </c>
      <c r="CU299" s="5" t="n">
        <v>24.927</v>
      </c>
    </row>
    <row r="300">
      <c r="A300" s="5" t="inlineStr">
        <is>
          <t>GEO2023</t>
        </is>
      </c>
      <c r="B300" s="5" t="inlineStr">
        <is>
          <t>GEO</t>
        </is>
      </c>
      <c r="C300" s="5" t="inlineStr">
        <is>
          <t>GEO</t>
        </is>
      </c>
      <c r="D300" s="5" t="inlineStr">
        <is>
          <t>Georgia</t>
        </is>
      </c>
      <c r="E300" s="5" t="n">
        <v>2023</v>
      </c>
      <c r="F300" s="5" t="n">
        <v>0.18</v>
      </c>
      <c r="G300" s="5" t="n">
        <v>3.875</v>
      </c>
      <c r="H300" s="5" t="n">
        <v>1.082</v>
      </c>
      <c r="I300" s="5" t="n">
        <v>0</v>
      </c>
      <c r="J300" s="5" t="n">
        <v>3.875</v>
      </c>
      <c r="K300" s="5" t="n">
        <v>0</v>
      </c>
      <c r="L300" s="5" t="n">
        <v>1</v>
      </c>
      <c r="M300" s="5" t="n">
        <v>6.423</v>
      </c>
      <c r="N300" s="5" t="n">
        <v>3.245</v>
      </c>
      <c r="O300" s="5" t="n">
        <v>0</v>
      </c>
      <c r="P300" s="5" t="n">
        <v>6.423</v>
      </c>
      <c r="Q300" s="5" t="n">
        <v>0</v>
      </c>
      <c r="R300" s="5" t="n">
        <v>1</v>
      </c>
      <c r="S300" s="5" t="n">
        <v>9.284000000000001</v>
      </c>
      <c r="T300" s="5" t="n">
        <v>6.49</v>
      </c>
      <c r="U300" s="5" t="n">
        <v>0.185</v>
      </c>
      <c r="V300" s="5" t="n">
        <v>10.955</v>
      </c>
      <c r="W300" s="5" t="n">
        <v>0.18</v>
      </c>
      <c r="X300" s="5" t="n">
        <v>1</v>
      </c>
      <c r="Y300" s="5" t="n">
        <v>5.127</v>
      </c>
      <c r="Z300" s="5" t="n">
        <v>0.946</v>
      </c>
      <c r="AA300" s="5" t="n">
        <v>3.869</v>
      </c>
      <c r="AB300" s="5" t="n">
        <v>8.996</v>
      </c>
      <c r="AC300" s="5" t="n">
        <v>0</v>
      </c>
      <c r="AD300" s="5" t="n">
        <v>1</v>
      </c>
      <c r="AE300" s="5" t="n">
        <v>6.409</v>
      </c>
      <c r="AF300" s="5" t="n">
        <v>1.897</v>
      </c>
      <c r="AG300" s="5" t="n">
        <v>2.587</v>
      </c>
      <c r="AH300" s="5" t="n">
        <v>8.996</v>
      </c>
      <c r="AI300" s="5" t="n">
        <v>0</v>
      </c>
      <c r="AJ300" s="5" t="n">
        <v>1</v>
      </c>
      <c r="AK300" s="5" t="n">
        <v>14.103</v>
      </c>
      <c r="AL300" s="5" t="n">
        <v>8.321</v>
      </c>
      <c r="AM300" s="5" t="n">
        <v>-9.542</v>
      </c>
      <c r="AN300" s="5" t="n">
        <v>5.381</v>
      </c>
      <c r="AO300" s="5" t="n">
        <v>0</v>
      </c>
      <c r="AP300" s="5" t="n">
        <v>0</v>
      </c>
      <c r="AQ300" s="5" t="n">
        <v>0.76</v>
      </c>
      <c r="AR300" s="5" t="n">
        <v>0.129</v>
      </c>
      <c r="AS300" s="5" t="n">
        <v>0.192</v>
      </c>
      <c r="AT300" s="5" t="n">
        <v>1.124</v>
      </c>
      <c r="AU300" s="5" t="n">
        <v>0.18</v>
      </c>
      <c r="AV300" s="5" t="n">
        <v>1</v>
      </c>
      <c r="AW300" s="5" t="n">
        <v>0.8110000000000001</v>
      </c>
      <c r="AX300" s="5" t="n">
        <v>0.129</v>
      </c>
      <c r="AY300" s="5" t="n">
        <v>0.263</v>
      </c>
      <c r="AZ300" s="5" t="n">
        <v>1.268</v>
      </c>
      <c r="BA300" s="5" t="n">
        <v>0.18</v>
      </c>
      <c r="BB300" s="5" t="n">
        <v>1</v>
      </c>
      <c r="BC300" s="5" t="n">
        <v>0.535</v>
      </c>
      <c r="BD300" s="5" t="n">
        <v>0.129</v>
      </c>
      <c r="BE300" s="5" t="n">
        <v>0.047</v>
      </c>
      <c r="BF300" s="5" t="n">
        <v>0.6870000000000001</v>
      </c>
      <c r="BG300" s="5" t="n">
        <v>0.18</v>
      </c>
      <c r="BH300" s="5" t="n">
        <v>1</v>
      </c>
      <c r="BI300" s="5" t="n">
        <v>0.579</v>
      </c>
      <c r="BJ300" s="5" t="n">
        <v>0.129</v>
      </c>
      <c r="BK300" s="5" t="n">
        <v>0.012</v>
      </c>
      <c r="BL300" s="5" t="n">
        <v>0.6840000000000001</v>
      </c>
      <c r="BM300" s="5" t="n">
        <v>0.18</v>
      </c>
      <c r="BN300" s="5" t="n">
        <v>1</v>
      </c>
      <c r="BO300" s="5" t="n">
        <v>0</v>
      </c>
      <c r="BP300" s="5" t="n">
        <v>0</v>
      </c>
      <c r="BQ300" s="5" t="n">
        <v>0.1</v>
      </c>
      <c r="BR300" s="5" t="n">
        <v>0</v>
      </c>
      <c r="BS300" s="5" t="n">
        <v>1</v>
      </c>
      <c r="BT300" s="5" t="n">
        <v>0</v>
      </c>
      <c r="BU300" s="5" t="n">
        <v>0</v>
      </c>
      <c r="BV300" s="5" t="n">
        <v>0.093</v>
      </c>
      <c r="BW300" s="5" t="n">
        <v>0.18</v>
      </c>
      <c r="BX300" s="5" t="n">
        <v>1</v>
      </c>
      <c r="BY300" s="5" t="n">
        <v>13.254</v>
      </c>
      <c r="BZ300" s="5" t="n">
        <v>0</v>
      </c>
      <c r="CA300" s="5" t="n">
        <v>13.254</v>
      </c>
      <c r="CB300" s="5" t="n">
        <v>0</v>
      </c>
      <c r="CC300" s="5" t="n">
        <v>83.248</v>
      </c>
      <c r="CD300" s="5" t="n">
        <v>7.95</v>
      </c>
      <c r="CE300" s="5" t="n">
        <v>1.659</v>
      </c>
      <c r="CF300" s="5" t="n">
        <v>98.233</v>
      </c>
      <c r="CG300" s="5" t="n">
        <v>0.18</v>
      </c>
      <c r="CH300" s="5" t="n">
        <v>1</v>
      </c>
      <c r="CI300" s="5" t="n">
        <v>0</v>
      </c>
      <c r="CJ300" s="5" t="n">
        <v>0</v>
      </c>
      <c r="CK300" s="5" t="n">
        <v>0</v>
      </c>
      <c r="CL300" s="5" t="n">
        <v>0</v>
      </c>
      <c r="CM300" s="5" t="n">
        <v>0</v>
      </c>
      <c r="CN300" s="5" t="n">
        <v>0.005</v>
      </c>
      <c r="CO300" s="5" t="n">
        <v>0</v>
      </c>
      <c r="CP300" s="5" t="n">
        <v>0.317</v>
      </c>
      <c r="CQ300" s="5" t="n">
        <v>1.348</v>
      </c>
      <c r="CR300" s="5" t="n">
        <v>0.005</v>
      </c>
      <c r="CS300" s="5" t="n">
        <v>5.37</v>
      </c>
      <c r="CT300" s="5" t="n">
        <v>3.466</v>
      </c>
      <c r="CU300" s="5" t="n">
        <v>15.127</v>
      </c>
    </row>
    <row r="301">
      <c r="A301" s="5" t="inlineStr">
        <is>
          <t>GEO2024</t>
        </is>
      </c>
      <c r="B301" s="5" t="inlineStr">
        <is>
          <t>GEO</t>
        </is>
      </c>
      <c r="C301" s="5" t="inlineStr">
        <is>
          <t>GEO</t>
        </is>
      </c>
      <c r="D301" s="5" t="inlineStr">
        <is>
          <t>Georgia</t>
        </is>
      </c>
      <c r="E301" s="5" t="n">
        <v>2024</v>
      </c>
      <c r="F301" s="5" t="n">
        <v>0.18</v>
      </c>
      <c r="G301" s="5" t="n">
        <v>3.62</v>
      </c>
      <c r="H301" s="5" t="n">
        <v>1.114</v>
      </c>
      <c r="I301" s="5" t="n">
        <v>0</v>
      </c>
      <c r="J301" s="5" t="n">
        <v>3.62</v>
      </c>
      <c r="K301" s="5" t="n">
        <v>0</v>
      </c>
      <c r="L301" s="5" t="n">
        <v>1</v>
      </c>
      <c r="M301" s="5" t="n">
        <v>5.933</v>
      </c>
      <c r="N301" s="5" t="n">
        <v>3.341</v>
      </c>
      <c r="O301" s="5" t="n">
        <v>0</v>
      </c>
      <c r="P301" s="5" t="n">
        <v>5.933</v>
      </c>
      <c r="Q301" s="5" t="n">
        <v>0</v>
      </c>
      <c r="R301" s="5" t="n">
        <v>1</v>
      </c>
      <c r="S301" s="5" t="n">
        <v>9.188000000000001</v>
      </c>
      <c r="T301" s="5" t="n">
        <v>6.682</v>
      </c>
      <c r="U301" s="5" t="n">
        <v>0.225</v>
      </c>
      <c r="V301" s="5" t="n">
        <v>10.842</v>
      </c>
      <c r="W301" s="5" t="n">
        <v>0.18</v>
      </c>
      <c r="X301" s="5" t="n">
        <v>1</v>
      </c>
      <c r="Y301" s="5" t="n">
        <v>4.952</v>
      </c>
      <c r="Z301" s="5" t="n">
        <v>0.914</v>
      </c>
      <c r="AA301" s="5" t="n">
        <v>3.71</v>
      </c>
      <c r="AB301" s="5" t="n">
        <v>8.662000000000001</v>
      </c>
      <c r="AC301" s="5" t="n">
        <v>0</v>
      </c>
      <c r="AD301" s="5" t="n">
        <v>1</v>
      </c>
      <c r="AE301" s="5" t="n">
        <v>6.272</v>
      </c>
      <c r="AF301" s="5" t="n">
        <v>1.856</v>
      </c>
      <c r="AG301" s="5" t="n">
        <v>2.39</v>
      </c>
      <c r="AH301" s="5" t="n">
        <v>8.662000000000001</v>
      </c>
      <c r="AI301" s="5" t="n">
        <v>0</v>
      </c>
      <c r="AJ301" s="5" t="n">
        <v>1</v>
      </c>
      <c r="AK301" s="5" t="n">
        <v>14.193</v>
      </c>
      <c r="AL301" s="5" t="n">
        <v>8.374000000000001</v>
      </c>
      <c r="AM301" s="5" t="n">
        <v>-9.763</v>
      </c>
      <c r="AN301" s="5" t="n">
        <v>5.227</v>
      </c>
      <c r="AO301" s="5" t="n">
        <v>0</v>
      </c>
      <c r="AP301" s="5" t="n">
        <v>0</v>
      </c>
      <c r="AQ301" s="5" t="n">
        <v>0.724</v>
      </c>
      <c r="AR301" s="5" t="n">
        <v>0.132</v>
      </c>
      <c r="AS301" s="5" t="n">
        <v>0.28</v>
      </c>
      <c r="AT301" s="5" t="n">
        <v>1.185</v>
      </c>
      <c r="AU301" s="5" t="n">
        <v>0.18</v>
      </c>
      <c r="AV301" s="5" t="n">
        <v>1</v>
      </c>
      <c r="AW301" s="5" t="n">
        <v>0.75</v>
      </c>
      <c r="AX301" s="5" t="n">
        <v>0.132</v>
      </c>
      <c r="AY301" s="5" t="n">
        <v>0.254</v>
      </c>
      <c r="AZ301" s="5" t="n">
        <v>1.185</v>
      </c>
      <c r="BA301" s="5" t="n">
        <v>0.18</v>
      </c>
      <c r="BB301" s="5" t="n">
        <v>1</v>
      </c>
      <c r="BC301" s="5" t="n">
        <v>0.513</v>
      </c>
      <c r="BD301" s="5" t="n">
        <v>0.132</v>
      </c>
      <c r="BE301" s="5" t="n">
        <v>0.038</v>
      </c>
      <c r="BF301" s="5" t="n">
        <v>0.65</v>
      </c>
      <c r="BG301" s="5" t="n">
        <v>0.18</v>
      </c>
      <c r="BH301" s="5" t="n">
        <v>1</v>
      </c>
      <c r="BI301" s="5" t="n">
        <v>0.591</v>
      </c>
      <c r="BJ301" s="5" t="n">
        <v>0.132</v>
      </c>
      <c r="BK301" s="5" t="n">
        <v>0.014</v>
      </c>
      <c r="BL301" s="5" t="n">
        <v>0.698</v>
      </c>
      <c r="BM301" s="5" t="n">
        <v>0.18</v>
      </c>
      <c r="BN301" s="5" t="n">
        <v>1</v>
      </c>
      <c r="BO301" s="5" t="n">
        <v>0</v>
      </c>
      <c r="BP301" s="5" t="n">
        <v>0</v>
      </c>
      <c r="BQ301" s="5" t="n">
        <v>0.042</v>
      </c>
      <c r="BR301" s="5" t="n">
        <v>0</v>
      </c>
      <c r="BS301" s="5" t="n">
        <v>1</v>
      </c>
      <c r="BT301" s="5" t="n">
        <v>0</v>
      </c>
      <c r="BU301" s="5" t="n">
        <v>0</v>
      </c>
      <c r="BV301" s="5" t="n">
        <v>0.076</v>
      </c>
      <c r="BW301" s="5" t="n">
        <v>0.18</v>
      </c>
      <c r="BX301" s="5" t="n">
        <v>1</v>
      </c>
      <c r="BY301" s="5" t="n">
        <v>13.646</v>
      </c>
      <c r="BZ301" s="5" t="n">
        <v>0</v>
      </c>
      <c r="CA301" s="5" t="n">
        <v>13.646</v>
      </c>
      <c r="CB301" s="5" t="n">
        <v>0</v>
      </c>
      <c r="CC301" s="5" t="n">
        <v>82.58799999999999</v>
      </c>
      <c r="CD301" s="5" t="n">
        <v>7.95</v>
      </c>
      <c r="CE301" s="5" t="n">
        <v>2.025</v>
      </c>
      <c r="CF301" s="5" t="n">
        <v>97.45399999999999</v>
      </c>
      <c r="CG301" s="5" t="n">
        <v>0.18</v>
      </c>
      <c r="CH301" s="5" t="n">
        <v>1</v>
      </c>
      <c r="CI301" s="5" t="n">
        <v>0</v>
      </c>
      <c r="CJ301" s="5" t="n">
        <v>0</v>
      </c>
      <c r="CK301" s="5" t="n">
        <v>0</v>
      </c>
      <c r="CL301" s="5" t="n">
        <v>0</v>
      </c>
      <c r="CM301" s="5" t="n">
        <v>0</v>
      </c>
      <c r="CN301" s="5" t="n">
        <v>0.004</v>
      </c>
      <c r="CO301" s="5" t="n">
        <v>0</v>
      </c>
      <c r="CP301" s="5" t="n">
        <v>0.317</v>
      </c>
      <c r="CQ301" s="5" t="n">
        <v>1.387</v>
      </c>
      <c r="CR301" s="5" t="n">
        <v>0.005</v>
      </c>
      <c r="CS301" s="5" t="n">
        <v>5.529</v>
      </c>
      <c r="CT301" s="5" t="n">
        <v>3.027</v>
      </c>
      <c r="CU301" s="5" t="n">
        <v>12.788</v>
      </c>
    </row>
    <row r="302">
      <c r="A302" s="5" t="inlineStr">
        <is>
          <t>DEU2021</t>
        </is>
      </c>
      <c r="B302" s="5" t="inlineStr">
        <is>
          <t>DEU</t>
        </is>
      </c>
      <c r="C302" s="5" t="inlineStr">
        <is>
          <t>DEU</t>
        </is>
      </c>
      <c r="D302" s="5" t="inlineStr">
        <is>
          <t>Germany</t>
        </is>
      </c>
      <c r="E302" s="5" t="n">
        <v>2021</v>
      </c>
      <c r="F302" s="5" t="n">
        <v>0.19</v>
      </c>
      <c r="G302" s="5" t="n">
        <v>5.04</v>
      </c>
      <c r="H302" s="5" t="n">
        <v>1.103</v>
      </c>
      <c r="I302" s="5" t="n">
        <v>2.041</v>
      </c>
      <c r="J302" s="5" t="n">
        <v>7.08</v>
      </c>
      <c r="K302" s="5" t="n">
        <v>0</v>
      </c>
      <c r="L302" s="5" t="n">
        <v>1</v>
      </c>
      <c r="M302" s="5" t="n">
        <v>4.959</v>
      </c>
      <c r="N302" s="5" t="n">
        <v>2.248</v>
      </c>
      <c r="O302" s="5" t="n">
        <v>2.121</v>
      </c>
      <c r="P302" s="5" t="n">
        <v>7.08</v>
      </c>
      <c r="Q302" s="5" t="n">
        <v>0</v>
      </c>
      <c r="R302" s="5" t="n">
        <v>1</v>
      </c>
      <c r="S302" s="5" t="n">
        <v>7.593</v>
      </c>
      <c r="T302" s="5" t="n">
        <v>5.178</v>
      </c>
      <c r="U302" s="5" t="n">
        <v>0.39</v>
      </c>
      <c r="V302" s="5" t="n">
        <v>9.5</v>
      </c>
      <c r="W302" s="5" t="n">
        <v>0.19</v>
      </c>
      <c r="X302" s="5" t="n">
        <v>1</v>
      </c>
      <c r="Y302" s="5" t="n">
        <v>13.481</v>
      </c>
      <c r="Z302" s="5" t="n">
        <v>1.489</v>
      </c>
      <c r="AA302" s="5" t="n">
        <v>-0.846</v>
      </c>
      <c r="AB302" s="5" t="n">
        <v>12.635</v>
      </c>
      <c r="AC302" s="5" t="n">
        <v>0</v>
      </c>
      <c r="AD302" s="5" t="n">
        <v>1</v>
      </c>
      <c r="AE302" s="5" t="n">
        <v>13.437</v>
      </c>
      <c r="AF302" s="5" t="n">
        <v>2.644</v>
      </c>
      <c r="AG302" s="5" t="n">
        <v>-0.803</v>
      </c>
      <c r="AH302" s="5" t="n">
        <v>12.635</v>
      </c>
      <c r="AI302" s="5" t="n">
        <v>0</v>
      </c>
      <c r="AJ302" s="5" t="n">
        <v>1</v>
      </c>
      <c r="AK302" s="5" t="n">
        <v>19.686</v>
      </c>
      <c r="AL302" s="5" t="n">
        <v>9.662000000000001</v>
      </c>
      <c r="AM302" s="5" t="n">
        <v>-1.203</v>
      </c>
      <c r="AN302" s="5" t="n">
        <v>21.995</v>
      </c>
      <c r="AO302" s="5" t="n">
        <v>0.19</v>
      </c>
      <c r="AP302" s="5" t="n">
        <v>1</v>
      </c>
      <c r="AQ302" s="5" t="n">
        <v>0.619</v>
      </c>
      <c r="AR302" s="5" t="n">
        <v>0.114</v>
      </c>
      <c r="AS302" s="5" t="n">
        <v>0.954</v>
      </c>
      <c r="AT302" s="5" t="n">
        <v>1.872</v>
      </c>
      <c r="AU302" s="5" t="n">
        <v>0.19</v>
      </c>
      <c r="AV302" s="5" t="n">
        <v>1</v>
      </c>
      <c r="AW302" s="5" t="n">
        <v>0.599</v>
      </c>
      <c r="AX302" s="5" t="n">
        <v>0.114</v>
      </c>
      <c r="AY302" s="5" t="n">
        <v>0.781</v>
      </c>
      <c r="AZ302" s="5" t="n">
        <v>1.643</v>
      </c>
      <c r="BA302" s="5" t="n">
        <v>0.19</v>
      </c>
      <c r="BB302" s="5" t="n">
        <v>1</v>
      </c>
      <c r="BC302" s="5" t="n">
        <v>0.439</v>
      </c>
      <c r="BD302" s="5" t="n">
        <v>0.114</v>
      </c>
      <c r="BE302" s="5" t="n">
        <v>0.293</v>
      </c>
      <c r="BF302" s="5" t="n">
        <v>0.871</v>
      </c>
      <c r="BG302" s="5" t="n">
        <v>0.19</v>
      </c>
      <c r="BH302" s="5" t="n">
        <v>1</v>
      </c>
      <c r="BI302" s="5" t="n">
        <v>0.505</v>
      </c>
      <c r="BJ302" s="5" t="n">
        <v>0.114</v>
      </c>
      <c r="BK302" s="5" t="n">
        <v>0.203</v>
      </c>
      <c r="BL302" s="5" t="n">
        <v>0.842</v>
      </c>
      <c r="BM302" s="5" t="n">
        <v>0.19</v>
      </c>
      <c r="BN302" s="5" t="n">
        <v>1</v>
      </c>
      <c r="BO302" s="5" t="n">
        <v>0</v>
      </c>
      <c r="BP302" s="5" t="n">
        <v>0.07000000000000001</v>
      </c>
      <c r="BQ302" s="5" t="n">
        <v>0.155</v>
      </c>
      <c r="BR302" s="5" t="n">
        <v>0</v>
      </c>
      <c r="BS302" s="5" t="n">
        <v>1</v>
      </c>
      <c r="BT302" s="5" t="n">
        <v>0</v>
      </c>
      <c r="BU302" s="5" t="n">
        <v>0.133</v>
      </c>
      <c r="BV302" s="5" t="n">
        <v>0.38</v>
      </c>
      <c r="BW302" s="5" t="n">
        <v>0.19</v>
      </c>
      <c r="BX302" s="5" t="n">
        <v>0.833</v>
      </c>
      <c r="BY302" s="5" t="n">
        <v>11.787</v>
      </c>
      <c r="BZ302" s="5" t="n">
        <v>0</v>
      </c>
      <c r="CA302" s="5" t="n">
        <v>11.787</v>
      </c>
      <c r="CB302" s="5" t="n">
        <v>0</v>
      </c>
      <c r="CC302" s="5" t="n">
        <v>78.125</v>
      </c>
      <c r="CD302" s="5" t="n">
        <v>7.95</v>
      </c>
      <c r="CE302" s="5" t="n">
        <v>49.943</v>
      </c>
      <c r="CF302" s="5" t="n">
        <v>152.401</v>
      </c>
      <c r="CG302" s="5" t="n">
        <v>0.19</v>
      </c>
      <c r="CH302" s="5" t="n">
        <v>1</v>
      </c>
      <c r="CI302" s="5" t="n">
        <v>0</v>
      </c>
      <c r="CJ302" s="5" t="n">
        <v>0</v>
      </c>
      <c r="CK302" s="5" t="n">
        <v>0</v>
      </c>
      <c r="CL302" s="5" t="n">
        <v>0.543</v>
      </c>
      <c r="CM302" s="5" t="n">
        <v>0</v>
      </c>
      <c r="CN302" s="5" t="n">
        <v>0.083</v>
      </c>
      <c r="CO302" s="5" t="n">
        <v>0.06</v>
      </c>
      <c r="CP302" s="5" t="n">
        <v>0</v>
      </c>
      <c r="CQ302" s="5" t="n">
        <v>1.198</v>
      </c>
      <c r="CR302" s="5" t="n">
        <v>0</v>
      </c>
      <c r="CS302" s="5" t="n">
        <v>5.593</v>
      </c>
      <c r="CT302" s="5" t="n">
        <v>3.587</v>
      </c>
      <c r="CU302" s="5" t="n">
        <v>9.709</v>
      </c>
    </row>
    <row r="303">
      <c r="A303" s="5" t="inlineStr">
        <is>
          <t>DEU2022</t>
        </is>
      </c>
      <c r="B303" s="5" t="inlineStr">
        <is>
          <t>DEU</t>
        </is>
      </c>
      <c r="C303" s="5" t="inlineStr">
        <is>
          <t>DEU</t>
        </is>
      </c>
      <c r="D303" s="5" t="inlineStr">
        <is>
          <t>Germany</t>
        </is>
      </c>
      <c r="E303" s="5" t="n">
        <v>2022</v>
      </c>
      <c r="F303" s="5" t="n">
        <v>0.19</v>
      </c>
      <c r="G303" s="5" t="n">
        <v>11.6</v>
      </c>
      <c r="H303" s="5" t="n">
        <v>1.801</v>
      </c>
      <c r="I303" s="5" t="n">
        <v>8.446</v>
      </c>
      <c r="J303" s="5" t="n">
        <v>20.046</v>
      </c>
      <c r="K303" s="5" t="n">
        <v>0</v>
      </c>
      <c r="L303" s="5" t="n">
        <v>1</v>
      </c>
      <c r="M303" s="5" t="n">
        <v>11.442</v>
      </c>
      <c r="N303" s="5" t="n">
        <v>4.725</v>
      </c>
      <c r="O303" s="5" t="n">
        <v>8.603</v>
      </c>
      <c r="P303" s="5" t="n">
        <v>20.046</v>
      </c>
      <c r="Q303" s="5" t="n">
        <v>0</v>
      </c>
      <c r="R303" s="5" t="n">
        <v>1</v>
      </c>
      <c r="S303" s="5" t="n">
        <v>12.4</v>
      </c>
      <c r="T303" s="5" t="n">
        <v>5.676</v>
      </c>
      <c r="U303" s="5" t="n">
        <v>0.553</v>
      </c>
      <c r="V303" s="5" t="n">
        <v>15.2</v>
      </c>
      <c r="W303" s="5" t="n">
        <v>0.19</v>
      </c>
      <c r="X303" s="5" t="n">
        <v>1</v>
      </c>
      <c r="Y303" s="5" t="n">
        <v>40.745</v>
      </c>
      <c r="Z303" s="5" t="n">
        <v>4.274</v>
      </c>
      <c r="AA303" s="5" t="n">
        <v>-19.147</v>
      </c>
      <c r="AB303" s="5" t="n">
        <v>21.599</v>
      </c>
      <c r="AC303" s="5" t="n">
        <v>0</v>
      </c>
      <c r="AD303" s="5" t="n">
        <v>1</v>
      </c>
      <c r="AE303" s="5" t="n">
        <v>40.793</v>
      </c>
      <c r="AF303" s="5" t="n">
        <v>7.562</v>
      </c>
      <c r="AG303" s="5" t="n">
        <v>-19.195</v>
      </c>
      <c r="AH303" s="5" t="n">
        <v>21.599</v>
      </c>
      <c r="AI303" s="5" t="n">
        <v>0</v>
      </c>
      <c r="AJ303" s="5" t="n">
        <v>1</v>
      </c>
      <c r="AK303" s="5" t="n">
        <v>47.591</v>
      </c>
      <c r="AL303" s="5" t="n">
        <v>22.726</v>
      </c>
      <c r="AM303" s="5" t="n">
        <v>-26.114</v>
      </c>
      <c r="AN303" s="5" t="n">
        <v>25.557</v>
      </c>
      <c r="AO303" s="5" t="n">
        <v>0.19</v>
      </c>
      <c r="AP303" s="5" t="n">
        <v>1</v>
      </c>
      <c r="AQ303" s="5" t="n">
        <v>0.861</v>
      </c>
      <c r="AR303" s="5" t="n">
        <v>0.123</v>
      </c>
      <c r="AS303" s="5" t="n">
        <v>0.841</v>
      </c>
      <c r="AT303" s="5" t="n">
        <v>2.025</v>
      </c>
      <c r="AU303" s="5" t="n">
        <v>0.19</v>
      </c>
      <c r="AV303" s="5" t="n">
        <v>1</v>
      </c>
      <c r="AW303" s="5" t="n">
        <v>0.986</v>
      </c>
      <c r="AX303" s="5" t="n">
        <v>0.123</v>
      </c>
      <c r="AY303" s="5" t="n">
        <v>0.743</v>
      </c>
      <c r="AZ303" s="5" t="n">
        <v>2.058</v>
      </c>
      <c r="BA303" s="5" t="n">
        <v>0.19</v>
      </c>
      <c r="BB303" s="5" t="n">
        <v>1</v>
      </c>
      <c r="BC303" s="5" t="n">
        <v>0.598</v>
      </c>
      <c r="BD303" s="5" t="n">
        <v>0.123</v>
      </c>
      <c r="BE303" s="5" t="n">
        <v>0.313</v>
      </c>
      <c r="BF303" s="5" t="n">
        <v>1.084</v>
      </c>
      <c r="BG303" s="5" t="n">
        <v>0.19</v>
      </c>
      <c r="BH303" s="5" t="n">
        <v>1</v>
      </c>
      <c r="BI303" s="5" t="n">
        <v>0.612</v>
      </c>
      <c r="BJ303" s="5" t="n">
        <v>0.123</v>
      </c>
      <c r="BK303" s="5" t="n">
        <v>0.5669999999999999</v>
      </c>
      <c r="BL303" s="5" t="n">
        <v>1.404</v>
      </c>
      <c r="BM303" s="5" t="n">
        <v>0.19</v>
      </c>
      <c r="BN303" s="5" t="n">
        <v>1</v>
      </c>
      <c r="BO303" s="5" t="n">
        <v>0</v>
      </c>
      <c r="BP303" s="5" t="n">
        <v>0.03</v>
      </c>
      <c r="BQ303" s="5" t="n">
        <v>0.195</v>
      </c>
      <c r="BR303" s="5" t="n">
        <v>0</v>
      </c>
      <c r="BS303" s="5" t="n">
        <v>1</v>
      </c>
      <c r="BT303" s="5" t="n">
        <v>0</v>
      </c>
      <c r="BU303" s="5" t="n">
        <v>0.07099999999999999</v>
      </c>
      <c r="BV303" s="5" t="n">
        <v>0.349</v>
      </c>
      <c r="BW303" s="5" t="n">
        <v>0.19</v>
      </c>
      <c r="BX303" s="5" t="n">
        <v>0.833</v>
      </c>
      <c r="BY303" s="5" t="n">
        <v>12.729</v>
      </c>
      <c r="BZ303" s="5" t="n">
        <v>0</v>
      </c>
      <c r="CA303" s="5" t="n">
        <v>12.729</v>
      </c>
      <c r="CB303" s="5" t="n">
        <v>0</v>
      </c>
      <c r="CC303" s="5" t="n">
        <v>97.90000000000001</v>
      </c>
      <c r="CD303" s="5" t="n">
        <v>7.95</v>
      </c>
      <c r="CE303" s="5" t="n">
        <v>128.724</v>
      </c>
      <c r="CF303" s="5" t="n">
        <v>269.683</v>
      </c>
      <c r="CG303" s="5" t="n">
        <v>0.19</v>
      </c>
      <c r="CH303" s="5" t="n">
        <v>1</v>
      </c>
      <c r="CI303" s="5" t="n">
        <v>0</v>
      </c>
      <c r="CJ303" s="5" t="n">
        <v>0</v>
      </c>
      <c r="CK303" s="5" t="n">
        <v>0</v>
      </c>
      <c r="CL303" s="5" t="n">
        <v>0.586</v>
      </c>
      <c r="CM303" s="5" t="n">
        <v>0</v>
      </c>
      <c r="CN303" s="5" t="n">
        <v>0.083</v>
      </c>
      <c r="CO303" s="5" t="n">
        <v>0.064</v>
      </c>
      <c r="CP303" s="5" t="n">
        <v>0</v>
      </c>
      <c r="CQ303" s="5" t="n">
        <v>1.294</v>
      </c>
      <c r="CR303" s="5" t="n">
        <v>0</v>
      </c>
      <c r="CS303" s="5" t="n">
        <v>6.04</v>
      </c>
      <c r="CT303" s="5" t="n">
        <v>11.494</v>
      </c>
      <c r="CU303" s="5" t="n">
        <v>36.882</v>
      </c>
    </row>
    <row r="304">
      <c r="A304" s="5" t="inlineStr">
        <is>
          <t>DEU2023</t>
        </is>
      </c>
      <c r="B304" s="5" t="inlineStr">
        <is>
          <t>DEU</t>
        </is>
      </c>
      <c r="C304" s="5" t="inlineStr">
        <is>
          <t>DEU</t>
        </is>
      </c>
      <c r="D304" s="5" t="inlineStr">
        <is>
          <t>Germany</t>
        </is>
      </c>
      <c r="E304" s="5" t="n">
        <v>2023</v>
      </c>
      <c r="F304" s="5" t="n">
        <v>0.19</v>
      </c>
      <c r="G304" s="5" t="n">
        <v>7.951</v>
      </c>
      <c r="H304" s="5" t="n">
        <v>1.811</v>
      </c>
      <c r="I304" s="5" t="n">
        <v>9.787000000000001</v>
      </c>
      <c r="J304" s="5" t="n">
        <v>17.738</v>
      </c>
      <c r="K304" s="5" t="n">
        <v>0</v>
      </c>
      <c r="L304" s="5" t="n">
        <v>1</v>
      </c>
      <c r="M304" s="5" t="n">
        <v>7.777</v>
      </c>
      <c r="N304" s="5" t="n">
        <v>3.857</v>
      </c>
      <c r="O304" s="5" t="n">
        <v>9.961</v>
      </c>
      <c r="P304" s="5" t="n">
        <v>17.738</v>
      </c>
      <c r="Q304" s="5" t="n">
        <v>0</v>
      </c>
      <c r="R304" s="5" t="n">
        <v>1</v>
      </c>
      <c r="S304" s="5" t="n">
        <v>10.66</v>
      </c>
      <c r="T304" s="5" t="n">
        <v>5.816</v>
      </c>
      <c r="U304" s="5" t="n">
        <v>0.589</v>
      </c>
      <c r="V304" s="5" t="n">
        <v>13.111</v>
      </c>
      <c r="W304" s="5" t="n">
        <v>0.19</v>
      </c>
      <c r="X304" s="5" t="n">
        <v>1</v>
      </c>
      <c r="Y304" s="5" t="n">
        <v>18.171</v>
      </c>
      <c r="Z304" s="5" t="n">
        <v>2.035</v>
      </c>
      <c r="AA304" s="5" t="n">
        <v>10.693</v>
      </c>
      <c r="AB304" s="5" t="n">
        <v>28.864</v>
      </c>
      <c r="AC304" s="5" t="n">
        <v>0</v>
      </c>
      <c r="AD304" s="5" t="n">
        <v>1</v>
      </c>
      <c r="AE304" s="5" t="n">
        <v>18.27</v>
      </c>
      <c r="AF304" s="5" t="n">
        <v>3.639</v>
      </c>
      <c r="AG304" s="5" t="n">
        <v>10.595</v>
      </c>
      <c r="AH304" s="5" t="n">
        <v>28.864</v>
      </c>
      <c r="AI304" s="5" t="n">
        <v>0</v>
      </c>
      <c r="AJ304" s="5" t="n">
        <v>1</v>
      </c>
      <c r="AK304" s="5" t="n">
        <v>25.373</v>
      </c>
      <c r="AL304" s="5" t="n">
        <v>12.569</v>
      </c>
      <c r="AM304" s="5" t="n">
        <v>4.593</v>
      </c>
      <c r="AN304" s="5" t="n">
        <v>35.659</v>
      </c>
      <c r="AO304" s="5" t="n">
        <v>0.19</v>
      </c>
      <c r="AP304" s="5" t="n">
        <v>1</v>
      </c>
      <c r="AQ304" s="5" t="n">
        <v>0.76</v>
      </c>
      <c r="AR304" s="5" t="n">
        <v>0.129</v>
      </c>
      <c r="AS304" s="5" t="n">
        <v>0.921</v>
      </c>
      <c r="AT304" s="5" t="n">
        <v>2</v>
      </c>
      <c r="AU304" s="5" t="n">
        <v>0.19</v>
      </c>
      <c r="AV304" s="5" t="n">
        <v>1</v>
      </c>
      <c r="AW304" s="5" t="n">
        <v>0.8110000000000001</v>
      </c>
      <c r="AX304" s="5" t="n">
        <v>0.129</v>
      </c>
      <c r="AY304" s="5" t="n">
        <v>0.758</v>
      </c>
      <c r="AZ304" s="5" t="n">
        <v>1.868</v>
      </c>
      <c r="BA304" s="5" t="n">
        <v>0.19</v>
      </c>
      <c r="BB304" s="5" t="n">
        <v>1</v>
      </c>
      <c r="BC304" s="5" t="n">
        <v>0.535</v>
      </c>
      <c r="BD304" s="5" t="n">
        <v>0.129</v>
      </c>
      <c r="BE304" s="5" t="n">
        <v>0.401</v>
      </c>
      <c r="BF304" s="5" t="n">
        <v>1.113</v>
      </c>
      <c r="BG304" s="5" t="n">
        <v>0.19</v>
      </c>
      <c r="BH304" s="5" t="n">
        <v>1</v>
      </c>
      <c r="BI304" s="5" t="n">
        <v>0.579</v>
      </c>
      <c r="BJ304" s="5" t="n">
        <v>0.129</v>
      </c>
      <c r="BK304" s="5" t="n">
        <v>0.363</v>
      </c>
      <c r="BL304" s="5" t="n">
        <v>1.122</v>
      </c>
      <c r="BM304" s="5" t="n">
        <v>0.19</v>
      </c>
      <c r="BN304" s="5" t="n">
        <v>1</v>
      </c>
      <c r="BO304" s="5" t="n">
        <v>0</v>
      </c>
      <c r="BP304" s="5" t="n">
        <v>0.022</v>
      </c>
      <c r="BQ304" s="5" t="n">
        <v>0.199</v>
      </c>
      <c r="BR304" s="5" t="n">
        <v>0</v>
      </c>
      <c r="BS304" s="5" t="n">
        <v>1</v>
      </c>
      <c r="BT304" s="5" t="n">
        <v>0</v>
      </c>
      <c r="BU304" s="5" t="n">
        <v>0.054</v>
      </c>
      <c r="BV304" s="5" t="n">
        <v>0.44</v>
      </c>
      <c r="BW304" s="5" t="n">
        <v>0.19</v>
      </c>
      <c r="BX304" s="5" t="n">
        <v>0.833</v>
      </c>
      <c r="BY304" s="5" t="n">
        <v>13.254</v>
      </c>
      <c r="BZ304" s="5" t="n">
        <v>0</v>
      </c>
      <c r="CA304" s="5" t="n">
        <v>13.254</v>
      </c>
      <c r="CB304" s="5" t="n">
        <v>0</v>
      </c>
      <c r="CC304" s="5" t="n">
        <v>83.248</v>
      </c>
      <c r="CD304" s="5" t="n">
        <v>7.95</v>
      </c>
      <c r="CE304" s="5" t="n">
        <v>116.06</v>
      </c>
      <c r="CF304" s="5" t="n">
        <v>237.176</v>
      </c>
      <c r="CG304" s="5" t="n">
        <v>0.19</v>
      </c>
      <c r="CH304" s="5" t="n">
        <v>1</v>
      </c>
      <c r="CI304" s="5" t="n">
        <v>0</v>
      </c>
      <c r="CJ304" s="5" t="n">
        <v>0</v>
      </c>
      <c r="CK304" s="5" t="n">
        <v>0</v>
      </c>
      <c r="CL304" s="5" t="n">
        <v>0.61</v>
      </c>
      <c r="CM304" s="5" t="n">
        <v>0</v>
      </c>
      <c r="CN304" s="5" t="n">
        <v>0.08</v>
      </c>
      <c r="CO304" s="5" t="n">
        <v>0.064</v>
      </c>
      <c r="CP304" s="5" t="n">
        <v>0</v>
      </c>
      <c r="CQ304" s="5" t="n">
        <v>1.348</v>
      </c>
      <c r="CR304" s="5" t="n">
        <v>0</v>
      </c>
      <c r="CS304" s="5" t="n">
        <v>6.289</v>
      </c>
      <c r="CT304" s="5" t="n">
        <v>8.233000000000001</v>
      </c>
      <c r="CU304" s="5" t="n">
        <v>14.257</v>
      </c>
    </row>
    <row r="305">
      <c r="A305" s="5" t="inlineStr">
        <is>
          <t>DEU2024</t>
        </is>
      </c>
      <c r="B305" s="5" t="inlineStr">
        <is>
          <t>DEU</t>
        </is>
      </c>
      <c r="C305" s="5" t="inlineStr">
        <is>
          <t>DEU</t>
        </is>
      </c>
      <c r="D305" s="5" t="inlineStr">
        <is>
          <t>Germany</t>
        </is>
      </c>
      <c r="E305" s="5" t="n">
        <v>2024</v>
      </c>
      <c r="F305" s="5" t="n">
        <v>0.19</v>
      </c>
      <c r="G305" s="5" t="n">
        <v>7.042</v>
      </c>
      <c r="H305" s="5" t="n">
        <v>1.784</v>
      </c>
      <c r="I305" s="5" t="n">
        <v>6.414</v>
      </c>
      <c r="J305" s="5" t="n">
        <v>13.456</v>
      </c>
      <c r="K305" s="5" t="n">
        <v>0</v>
      </c>
      <c r="L305" s="5" t="n">
        <v>1</v>
      </c>
      <c r="M305" s="5" t="n">
        <v>6.908</v>
      </c>
      <c r="N305" s="5" t="n">
        <v>3.763</v>
      </c>
      <c r="O305" s="5" t="n">
        <v>6.548</v>
      </c>
      <c r="P305" s="5" t="n">
        <v>13.456</v>
      </c>
      <c r="Q305" s="5" t="n">
        <v>0</v>
      </c>
      <c r="R305" s="5" t="n">
        <v>1</v>
      </c>
      <c r="S305" s="5" t="n">
        <v>10.253</v>
      </c>
      <c r="T305" s="5" t="n">
        <v>5.987</v>
      </c>
      <c r="U305" s="5" t="n">
        <v>5.647</v>
      </c>
      <c r="V305" s="5" t="n">
        <v>18.444</v>
      </c>
      <c r="W305" s="5" t="n">
        <v>0.19</v>
      </c>
      <c r="X305" s="5" t="n">
        <v>1</v>
      </c>
      <c r="Y305" s="5" t="n">
        <v>17.078</v>
      </c>
      <c r="Z305" s="5" t="n">
        <v>2.156</v>
      </c>
      <c r="AA305" s="5" t="n">
        <v>7.499</v>
      </c>
      <c r="AB305" s="5" t="n">
        <v>24.576</v>
      </c>
      <c r="AC305" s="5" t="n">
        <v>0</v>
      </c>
      <c r="AD305" s="5" t="n">
        <v>1</v>
      </c>
      <c r="AE305" s="5" t="n">
        <v>17.078</v>
      </c>
      <c r="AF305" s="5" t="n">
        <v>3.741</v>
      </c>
      <c r="AG305" s="5" t="n">
        <v>7.499</v>
      </c>
      <c r="AH305" s="5" t="n">
        <v>24.576</v>
      </c>
      <c r="AI305" s="5" t="n">
        <v>0</v>
      </c>
      <c r="AJ305" s="5" t="n">
        <v>1</v>
      </c>
      <c r="AK305" s="5" t="n">
        <v>25.797</v>
      </c>
      <c r="AL305" s="5" t="n">
        <v>13.121</v>
      </c>
      <c r="AM305" s="5" t="n">
        <v>4.974</v>
      </c>
      <c r="AN305" s="5" t="n">
        <v>36.618</v>
      </c>
      <c r="AO305" s="5" t="n">
        <v>0.19</v>
      </c>
      <c r="AP305" s="5" t="n">
        <v>1</v>
      </c>
      <c r="AQ305" s="5" t="n">
        <v>0.724</v>
      </c>
      <c r="AR305" s="5" t="n">
        <v>0.132</v>
      </c>
      <c r="AS305" s="5" t="n">
        <v>0.905</v>
      </c>
      <c r="AT305" s="5" t="n">
        <v>1.939</v>
      </c>
      <c r="AU305" s="5" t="n">
        <v>0.19</v>
      </c>
      <c r="AV305" s="5" t="n">
        <v>1</v>
      </c>
      <c r="AW305" s="5" t="n">
        <v>0.75</v>
      </c>
      <c r="AX305" s="5" t="n">
        <v>0.132</v>
      </c>
      <c r="AY305" s="5" t="n">
        <v>0.748</v>
      </c>
      <c r="AZ305" s="5" t="n">
        <v>1.783</v>
      </c>
      <c r="BA305" s="5" t="n">
        <v>0.19</v>
      </c>
      <c r="BB305" s="5" t="n">
        <v>1</v>
      </c>
      <c r="BC305" s="5" t="n">
        <v>0.513</v>
      </c>
      <c r="BD305" s="5" t="n">
        <v>0.132</v>
      </c>
      <c r="BE305" s="5" t="n">
        <v>0.393</v>
      </c>
      <c r="BF305" s="5" t="n">
        <v>1.078</v>
      </c>
      <c r="BG305" s="5" t="n">
        <v>0.19</v>
      </c>
      <c r="BH305" s="5" t="n">
        <v>1</v>
      </c>
      <c r="BI305" s="5" t="n">
        <v>0.591</v>
      </c>
      <c r="BJ305" s="5" t="n">
        <v>0.132</v>
      </c>
      <c r="BK305" s="5" t="n">
        <v>0.293</v>
      </c>
      <c r="BL305" s="5" t="n">
        <v>1.053</v>
      </c>
      <c r="BM305" s="5" t="n">
        <v>0.19</v>
      </c>
      <c r="BN305" s="5" t="n">
        <v>1</v>
      </c>
      <c r="BO305" s="5" t="n">
        <v>0</v>
      </c>
      <c r="BP305" s="5" t="n">
        <v>0.022</v>
      </c>
      <c r="BQ305" s="5" t="n">
        <v>0.184</v>
      </c>
      <c r="BR305" s="5" t="n">
        <v>0</v>
      </c>
      <c r="BS305" s="5" t="n">
        <v>1</v>
      </c>
      <c r="BT305" s="5" t="n">
        <v>0</v>
      </c>
      <c r="BU305" s="5" t="n">
        <v>0.056</v>
      </c>
      <c r="BV305" s="5" t="n">
        <v>0.427</v>
      </c>
      <c r="BW305" s="5" t="n">
        <v>0.19</v>
      </c>
      <c r="BX305" s="5" t="n">
        <v>0.833</v>
      </c>
      <c r="BY305" s="5" t="n">
        <v>13.646</v>
      </c>
      <c r="BZ305" s="5" t="n">
        <v>0</v>
      </c>
      <c r="CA305" s="5" t="n">
        <v>13.646</v>
      </c>
      <c r="CB305" s="5" t="n">
        <v>0</v>
      </c>
      <c r="CC305" s="5" t="n">
        <v>82.58799999999999</v>
      </c>
      <c r="CD305" s="5" t="n">
        <v>7.95</v>
      </c>
      <c r="CE305" s="5" t="n">
        <v>96.38</v>
      </c>
      <c r="CF305" s="5" t="n">
        <v>212.972</v>
      </c>
      <c r="CG305" s="5" t="n">
        <v>0.19</v>
      </c>
      <c r="CH305" s="5" t="n">
        <v>1</v>
      </c>
      <c r="CI305" s="5" t="n">
        <v>0</v>
      </c>
      <c r="CJ305" s="5" t="n">
        <v>0</v>
      </c>
      <c r="CK305" s="5" t="n">
        <v>0</v>
      </c>
      <c r="CL305" s="5" t="n">
        <v>0.628</v>
      </c>
      <c r="CM305" s="5" t="n">
        <v>0</v>
      </c>
      <c r="CN305" s="5" t="n">
        <v>0.074</v>
      </c>
      <c r="CO305" s="5" t="n">
        <v>0.065</v>
      </c>
      <c r="CP305" s="5" t="n">
        <v>0</v>
      </c>
      <c r="CQ305" s="5" t="n">
        <v>1.387</v>
      </c>
      <c r="CR305" s="5" t="n">
        <v>0</v>
      </c>
      <c r="CS305" s="5" t="n">
        <v>6.475</v>
      </c>
      <c r="CT305" s="5" t="n">
        <v>7.055</v>
      </c>
      <c r="CU305" s="5" t="n">
        <v>10.98</v>
      </c>
    </row>
    <row r="306">
      <c r="A306" s="5" t="inlineStr">
        <is>
          <t>GHA2021</t>
        </is>
      </c>
      <c r="B306" s="5" t="inlineStr">
        <is>
          <t>GHA</t>
        </is>
      </c>
      <c r="C306" s="5" t="inlineStr">
        <is>
          <t>GHA</t>
        </is>
      </c>
      <c r="D306" s="5" t="inlineStr">
        <is>
          <t>Ghana</t>
        </is>
      </c>
      <c r="E306" s="5" t="n">
        <v>2021</v>
      </c>
      <c r="F306" s="5" t="n">
        <v>0.181</v>
      </c>
      <c r="G306" s="5" t="n">
        <v>5.897</v>
      </c>
      <c r="H306" s="5" t="n">
        <v>1.143</v>
      </c>
      <c r="I306" s="5" t="n">
        <v>0.238</v>
      </c>
      <c r="J306" s="5" t="n">
        <v>6.134</v>
      </c>
      <c r="K306" s="5" t="n">
        <v>0</v>
      </c>
      <c r="L306" s="5" t="n">
        <v>1</v>
      </c>
      <c r="M306" s="5" t="n">
        <v>7.964</v>
      </c>
      <c r="N306" s="5" t="n">
        <v>3.43</v>
      </c>
      <c r="O306" s="5" t="n">
        <v>0.227</v>
      </c>
      <c r="P306" s="5" t="n">
        <v>8.191000000000001</v>
      </c>
      <c r="Q306" s="5" t="n">
        <v>0</v>
      </c>
      <c r="R306" s="5" t="n">
        <v>1</v>
      </c>
      <c r="S306" s="5" t="n">
        <v>11.613</v>
      </c>
      <c r="T306" s="5" t="n">
        <v>6.86</v>
      </c>
      <c r="U306" s="5" t="n">
        <v>0.238</v>
      </c>
      <c r="V306" s="5" t="n">
        <v>14</v>
      </c>
      <c r="W306" s="5" t="n">
        <v>0.181</v>
      </c>
      <c r="X306" s="5" t="n">
        <v>1</v>
      </c>
      <c r="Y306" s="5" t="n">
        <v>5.197</v>
      </c>
      <c r="Z306" s="5" t="n">
        <v>0.493</v>
      </c>
      <c r="AA306" s="5" t="n">
        <v>1.656</v>
      </c>
      <c r="AB306" s="5" t="n">
        <v>6.853</v>
      </c>
      <c r="AC306" s="5" t="n">
        <v>0</v>
      </c>
      <c r="AD306" s="5" t="n">
        <v>1</v>
      </c>
      <c r="AE306" s="5" t="n">
        <v>5.853</v>
      </c>
      <c r="AF306" s="5" t="n">
        <v>0.997</v>
      </c>
      <c r="AG306" s="5" t="n">
        <v>1.656</v>
      </c>
      <c r="AH306" s="5" t="n">
        <v>7.509</v>
      </c>
      <c r="AI306" s="5" t="n">
        <v>0</v>
      </c>
      <c r="AJ306" s="5" t="n">
        <v>1</v>
      </c>
      <c r="AK306" s="5" t="n">
        <v>9.789999999999999</v>
      </c>
      <c r="AL306" s="5" t="n">
        <v>4.257</v>
      </c>
      <c r="AM306" s="5" t="n">
        <v>-0.968</v>
      </c>
      <c r="AN306" s="5" t="n">
        <v>10.421</v>
      </c>
      <c r="AO306" s="5" t="n">
        <v>0.181</v>
      </c>
      <c r="AP306" s="5" t="n">
        <v>1</v>
      </c>
      <c r="AQ306" s="5" t="n">
        <v>0.619</v>
      </c>
      <c r="AR306" s="5" t="n">
        <v>0.114</v>
      </c>
      <c r="AS306" s="5" t="n">
        <v>0.278</v>
      </c>
      <c r="AT306" s="5" t="n">
        <v>1.059</v>
      </c>
      <c r="AU306" s="5" t="n">
        <v>0.181</v>
      </c>
      <c r="AV306" s="5" t="n">
        <v>1</v>
      </c>
      <c r="AW306" s="5" t="n">
        <v>0.599</v>
      </c>
      <c r="AX306" s="5" t="n">
        <v>0.114</v>
      </c>
      <c r="AY306" s="5" t="n">
        <v>0.296</v>
      </c>
      <c r="AZ306" s="5" t="n">
        <v>1.058</v>
      </c>
      <c r="BA306" s="5" t="n">
        <v>0.181</v>
      </c>
      <c r="BB306" s="5" t="n">
        <v>1</v>
      </c>
      <c r="BC306" s="5" t="n">
        <v>0.439</v>
      </c>
      <c r="BD306" s="5" t="n">
        <v>0.114</v>
      </c>
      <c r="BE306" s="5" t="n">
        <v>0.186</v>
      </c>
      <c r="BF306" s="5" t="n">
        <v>0.739</v>
      </c>
      <c r="BG306" s="5" t="n">
        <v>0.181</v>
      </c>
      <c r="BH306" s="5" t="n">
        <v>1</v>
      </c>
      <c r="BI306" s="5" t="n">
        <v>0.505</v>
      </c>
      <c r="BJ306" s="5" t="n">
        <v>0.114</v>
      </c>
      <c r="BK306" s="5" t="n">
        <v>0.238</v>
      </c>
      <c r="BL306" s="5" t="n">
        <v>0.877</v>
      </c>
      <c r="BM306" s="5" t="n">
        <v>0.181</v>
      </c>
      <c r="BN306" s="5" t="n">
        <v>1</v>
      </c>
      <c r="BO306" s="5" t="n">
        <v>0</v>
      </c>
      <c r="BP306" s="5" t="n">
        <v>-0.036</v>
      </c>
      <c r="BQ306" s="5" t="n">
        <v>0.225</v>
      </c>
      <c r="BR306" s="5" t="n">
        <v>0</v>
      </c>
      <c r="BS306" s="5" t="n">
        <v>1</v>
      </c>
      <c r="BT306" s="5" t="n">
        <v>0</v>
      </c>
      <c r="BU306" s="5" t="n">
        <v>-0.036</v>
      </c>
      <c r="BV306" s="5" t="n">
        <v>0.117</v>
      </c>
      <c r="BW306" s="5" t="n">
        <v>0</v>
      </c>
      <c r="BX306" s="5" t="n">
        <v>1</v>
      </c>
      <c r="BY306" s="5" t="n">
        <v>11.787</v>
      </c>
      <c r="BZ306" s="5" t="n">
        <v>0</v>
      </c>
      <c r="CA306" s="5" t="n">
        <v>11.787</v>
      </c>
      <c r="CB306" s="5" t="n">
        <v>0</v>
      </c>
      <c r="CC306" s="5" t="n">
        <v>78.125</v>
      </c>
      <c r="CD306" s="5" t="n">
        <v>7.95</v>
      </c>
      <c r="CE306" s="5" t="n">
        <v>-48.001</v>
      </c>
      <c r="CF306" s="5" t="n">
        <v>35.586</v>
      </c>
      <c r="CG306" s="5" t="n">
        <v>0</v>
      </c>
      <c r="CH306" s="5" t="n">
        <v>1</v>
      </c>
      <c r="CI306" s="5" t="n">
        <v>0</v>
      </c>
      <c r="CJ306" s="5" t="n">
        <v>0</v>
      </c>
      <c r="CK306" s="5" t="n">
        <v>0</v>
      </c>
      <c r="CL306" s="5" t="n">
        <v>0</v>
      </c>
      <c r="CM306" s="5" t="n">
        <v>0</v>
      </c>
      <c r="CN306" s="5" t="n">
        <v>0</v>
      </c>
      <c r="CO306" s="5" t="n">
        <v>0</v>
      </c>
      <c r="CP306" s="5" t="n">
        <v>0</v>
      </c>
      <c r="CQ306" s="5" t="n">
        <v>1.198</v>
      </c>
      <c r="CR306" s="5" t="n">
        <v>0.852</v>
      </c>
      <c r="CS306" s="5" t="n">
        <v>2.702</v>
      </c>
      <c r="CT306" s="5" t="n">
        <v>4.753</v>
      </c>
      <c r="CU306" s="5" t="n">
        <v>15.162</v>
      </c>
    </row>
    <row r="307">
      <c r="A307" s="5" t="inlineStr">
        <is>
          <t>GHA2022</t>
        </is>
      </c>
      <c r="B307" s="5" t="inlineStr">
        <is>
          <t>GHA</t>
        </is>
      </c>
      <c r="C307" s="5" t="inlineStr">
        <is>
          <t>GHA</t>
        </is>
      </c>
      <c r="D307" s="5" t="inlineStr">
        <is>
          <t>Ghana</t>
        </is>
      </c>
      <c r="E307" s="5" t="n">
        <v>2022</v>
      </c>
      <c r="F307" s="5" t="n">
        <v>0.185</v>
      </c>
      <c r="G307" s="5" t="n">
        <v>11.72</v>
      </c>
      <c r="H307" s="5" t="n">
        <v>1.235</v>
      </c>
      <c r="I307" s="5" t="n">
        <v>0.5659999999999999</v>
      </c>
      <c r="J307" s="5" t="n">
        <v>12.286</v>
      </c>
      <c r="K307" s="5" t="n">
        <v>0</v>
      </c>
      <c r="L307" s="5" t="n">
        <v>1</v>
      </c>
      <c r="M307" s="5" t="n">
        <v>9.782999999999999</v>
      </c>
      <c r="N307" s="5" t="n">
        <v>3.704</v>
      </c>
      <c r="O307" s="5" t="n">
        <v>0.328</v>
      </c>
      <c r="P307" s="5" t="n">
        <v>10.111</v>
      </c>
      <c r="Q307" s="5" t="n">
        <v>0</v>
      </c>
      <c r="R307" s="5" t="n">
        <v>1</v>
      </c>
      <c r="S307" s="5" t="n">
        <v>17.893</v>
      </c>
      <c r="T307" s="5" t="n">
        <v>7.408</v>
      </c>
      <c r="U307" s="5" t="n">
        <v>0.819</v>
      </c>
      <c r="V307" s="5" t="n">
        <v>21.874</v>
      </c>
      <c r="W307" s="5" t="n">
        <v>0.185</v>
      </c>
      <c r="X307" s="5" t="n">
        <v>1</v>
      </c>
      <c r="Y307" s="5" t="n">
        <v>7.724</v>
      </c>
      <c r="Z307" s="5" t="n">
        <v>0.732</v>
      </c>
      <c r="AA307" s="5" t="n">
        <v>1.405</v>
      </c>
      <c r="AB307" s="5" t="n">
        <v>9.129</v>
      </c>
      <c r="AC307" s="5" t="n">
        <v>0</v>
      </c>
      <c r="AD307" s="5" t="n">
        <v>1</v>
      </c>
      <c r="AE307" s="5" t="n">
        <v>8.430999999999999</v>
      </c>
      <c r="AF307" s="5" t="n">
        <v>1.436</v>
      </c>
      <c r="AG307" s="5" t="n">
        <v>1.405</v>
      </c>
      <c r="AH307" s="5" t="n">
        <v>9.835000000000001</v>
      </c>
      <c r="AI307" s="5" t="n">
        <v>0</v>
      </c>
      <c r="AJ307" s="5" t="n">
        <v>1</v>
      </c>
      <c r="AK307" s="5" t="n">
        <v>12.67</v>
      </c>
      <c r="AL307" s="5" t="n">
        <v>5.509</v>
      </c>
      <c r="AM307" s="5" t="n">
        <v>-0.778</v>
      </c>
      <c r="AN307" s="5" t="n">
        <v>13.902</v>
      </c>
      <c r="AO307" s="5" t="n">
        <v>0.185</v>
      </c>
      <c r="AP307" s="5" t="n">
        <v>1</v>
      </c>
      <c r="AQ307" s="5" t="n">
        <v>0.861</v>
      </c>
      <c r="AR307" s="5" t="n">
        <v>0.123</v>
      </c>
      <c r="AS307" s="5" t="n">
        <v>0.312</v>
      </c>
      <c r="AT307" s="5" t="n">
        <v>1.39</v>
      </c>
      <c r="AU307" s="5" t="n">
        <v>0.185</v>
      </c>
      <c r="AV307" s="5" t="n">
        <v>1</v>
      </c>
      <c r="AW307" s="5" t="n">
        <v>0.986</v>
      </c>
      <c r="AX307" s="5" t="n">
        <v>0.123</v>
      </c>
      <c r="AY307" s="5" t="n">
        <v>0.365</v>
      </c>
      <c r="AZ307" s="5" t="n">
        <v>1.601</v>
      </c>
      <c r="BA307" s="5" t="n">
        <v>0.185</v>
      </c>
      <c r="BB307" s="5" t="n">
        <v>1</v>
      </c>
      <c r="BC307" s="5" t="n">
        <v>0.598</v>
      </c>
      <c r="BD307" s="5" t="n">
        <v>0.123</v>
      </c>
      <c r="BE307" s="5" t="n">
        <v>0.101</v>
      </c>
      <c r="BF307" s="5" t="n">
        <v>0.828</v>
      </c>
      <c r="BG307" s="5" t="n">
        <v>0.185</v>
      </c>
      <c r="BH307" s="5" t="n">
        <v>1</v>
      </c>
      <c r="BI307" s="5" t="n">
        <v>0.612</v>
      </c>
      <c r="BJ307" s="5" t="n">
        <v>0.123</v>
      </c>
      <c r="BK307" s="5" t="n">
        <v>0.59</v>
      </c>
      <c r="BL307" s="5" t="n">
        <v>1.425</v>
      </c>
      <c r="BM307" s="5" t="n">
        <v>0.185</v>
      </c>
      <c r="BN307" s="5" t="n">
        <v>1</v>
      </c>
      <c r="BO307" s="5" t="n">
        <v>0</v>
      </c>
      <c r="BP307" s="5" t="n">
        <v>-0.036</v>
      </c>
      <c r="BQ307" s="5" t="n">
        <v>0.106</v>
      </c>
      <c r="BR307" s="5" t="n">
        <v>0</v>
      </c>
      <c r="BS307" s="5" t="n">
        <v>1</v>
      </c>
      <c r="BT307" s="5" t="n">
        <v>0</v>
      </c>
      <c r="BU307" s="5" t="n">
        <v>-0.036</v>
      </c>
      <c r="BV307" s="5" t="n">
        <v>0.098</v>
      </c>
      <c r="BW307" s="5" t="n">
        <v>0</v>
      </c>
      <c r="BX307" s="5" t="n">
        <v>1</v>
      </c>
      <c r="BY307" s="5" t="n">
        <v>12.729</v>
      </c>
      <c r="BZ307" s="5" t="n">
        <v>0</v>
      </c>
      <c r="CA307" s="5" t="n">
        <v>12.729</v>
      </c>
      <c r="CB307" s="5" t="n">
        <v>0</v>
      </c>
      <c r="CC307" s="5" t="n">
        <v>97.90000000000001</v>
      </c>
      <c r="CD307" s="5" t="n">
        <v>7.95</v>
      </c>
      <c r="CE307" s="5" t="n">
        <v>-34.232</v>
      </c>
      <c r="CF307" s="5" t="n">
        <v>75.446</v>
      </c>
      <c r="CG307" s="5" t="n">
        <v>0</v>
      </c>
      <c r="CH307" s="5" t="n">
        <v>1</v>
      </c>
      <c r="CI307" s="5" t="n">
        <v>0</v>
      </c>
      <c r="CJ307" s="5" t="n">
        <v>0</v>
      </c>
      <c r="CK307" s="5" t="n">
        <v>0</v>
      </c>
      <c r="CL307" s="5" t="n">
        <v>0</v>
      </c>
      <c r="CM307" s="5" t="n">
        <v>0</v>
      </c>
      <c r="CN307" s="5" t="n">
        <v>0</v>
      </c>
      <c r="CO307" s="5" t="n">
        <v>0</v>
      </c>
      <c r="CP307" s="5" t="n">
        <v>0</v>
      </c>
      <c r="CQ307" s="5" t="n">
        <v>1.294</v>
      </c>
      <c r="CR307" s="5" t="n">
        <v>0.855</v>
      </c>
      <c r="CS307" s="5" t="n">
        <v>2.918</v>
      </c>
      <c r="CT307" s="5" t="n">
        <v>10.485</v>
      </c>
      <c r="CU307" s="5" t="n">
        <v>31.326</v>
      </c>
    </row>
    <row r="308">
      <c r="A308" s="5" t="inlineStr">
        <is>
          <t>GHA2023</t>
        </is>
      </c>
      <c r="B308" s="5" t="inlineStr">
        <is>
          <t>GHA</t>
        </is>
      </c>
      <c r="C308" s="5" t="inlineStr">
        <is>
          <t>GHA</t>
        </is>
      </c>
      <c r="D308" s="5" t="inlineStr">
        <is>
          <t>Ghana</t>
        </is>
      </c>
      <c r="E308" s="5" t="n">
        <v>2023</v>
      </c>
      <c r="F308" s="5" t="n">
        <v>0.185</v>
      </c>
      <c r="G308" s="5" t="n">
        <v>6.147</v>
      </c>
      <c r="H308" s="5" t="n">
        <v>1.286</v>
      </c>
      <c r="I308" s="5" t="n">
        <v>0.273</v>
      </c>
      <c r="J308" s="5" t="n">
        <v>6.42</v>
      </c>
      <c r="K308" s="5" t="n">
        <v>0</v>
      </c>
      <c r="L308" s="5" t="n">
        <v>1</v>
      </c>
      <c r="M308" s="5" t="n">
        <v>7.886</v>
      </c>
      <c r="N308" s="5" t="n">
        <v>3.857</v>
      </c>
      <c r="O308" s="5" t="n">
        <v>0.227</v>
      </c>
      <c r="P308" s="5" t="n">
        <v>8.113</v>
      </c>
      <c r="Q308" s="5" t="n">
        <v>0</v>
      </c>
      <c r="R308" s="5" t="n">
        <v>1</v>
      </c>
      <c r="S308" s="5" t="n">
        <v>12.575</v>
      </c>
      <c r="T308" s="5" t="n">
        <v>7.714</v>
      </c>
      <c r="U308" s="5" t="n">
        <v>0.536</v>
      </c>
      <c r="V308" s="5" t="n">
        <v>15.225</v>
      </c>
      <c r="W308" s="5" t="n">
        <v>0.185</v>
      </c>
      <c r="X308" s="5" t="n">
        <v>1</v>
      </c>
      <c r="Y308" s="5" t="n">
        <v>3.79</v>
      </c>
      <c r="Z308" s="5" t="n">
        <v>0.359</v>
      </c>
      <c r="AA308" s="5" t="n">
        <v>0.912</v>
      </c>
      <c r="AB308" s="5" t="n">
        <v>4.702</v>
      </c>
      <c r="AC308" s="5" t="n">
        <v>0</v>
      </c>
      <c r="AD308" s="5" t="n">
        <v>1</v>
      </c>
      <c r="AE308" s="5" t="n">
        <v>4.542</v>
      </c>
      <c r="AF308" s="5" t="n">
        <v>0.774</v>
      </c>
      <c r="AG308" s="5" t="n">
        <v>0.912</v>
      </c>
      <c r="AH308" s="5" t="n">
        <v>5.454</v>
      </c>
      <c r="AI308" s="5" t="n">
        <v>0</v>
      </c>
      <c r="AJ308" s="5" t="n">
        <v>1</v>
      </c>
      <c r="AK308" s="5" t="n">
        <v>9.055</v>
      </c>
      <c r="AL308" s="5" t="n">
        <v>3.937</v>
      </c>
      <c r="AM308" s="5" t="n">
        <v>-0.9350000000000001</v>
      </c>
      <c r="AN308" s="5" t="n">
        <v>9.428000000000001</v>
      </c>
      <c r="AO308" s="5" t="n">
        <v>0.185</v>
      </c>
      <c r="AP308" s="5" t="n">
        <v>1</v>
      </c>
      <c r="AQ308" s="5" t="n">
        <v>0.76</v>
      </c>
      <c r="AR308" s="5" t="n">
        <v>0.129</v>
      </c>
      <c r="AS308" s="5" t="n">
        <v>0.271</v>
      </c>
      <c r="AT308" s="5" t="n">
        <v>1.222</v>
      </c>
      <c r="AU308" s="5" t="n">
        <v>0.185</v>
      </c>
      <c r="AV308" s="5" t="n">
        <v>1</v>
      </c>
      <c r="AW308" s="5" t="n">
        <v>0.8110000000000001</v>
      </c>
      <c r="AX308" s="5" t="n">
        <v>0.129</v>
      </c>
      <c r="AY308" s="5" t="n">
        <v>0.281</v>
      </c>
      <c r="AZ308" s="5" t="n">
        <v>1.295</v>
      </c>
      <c r="BA308" s="5" t="n">
        <v>0.185</v>
      </c>
      <c r="BB308" s="5" t="n">
        <v>1</v>
      </c>
      <c r="BC308" s="5" t="n">
        <v>0.535</v>
      </c>
      <c r="BD308" s="5" t="n">
        <v>0.129</v>
      </c>
      <c r="BE308" s="5" t="n">
        <v>0.082</v>
      </c>
      <c r="BF308" s="5" t="n">
        <v>0.731</v>
      </c>
      <c r="BG308" s="5" t="n">
        <v>0.185</v>
      </c>
      <c r="BH308" s="5" t="n">
        <v>1</v>
      </c>
      <c r="BI308" s="5" t="n">
        <v>0.579</v>
      </c>
      <c r="BJ308" s="5" t="n">
        <v>0.129</v>
      </c>
      <c r="BK308" s="5" t="n">
        <v>0.408</v>
      </c>
      <c r="BL308" s="5" t="n">
        <v>1.17</v>
      </c>
      <c r="BM308" s="5" t="n">
        <v>0.185</v>
      </c>
      <c r="BN308" s="5" t="n">
        <v>1</v>
      </c>
      <c r="BO308" s="5" t="n">
        <v>0</v>
      </c>
      <c r="BP308" s="5" t="n">
        <v>-0.036</v>
      </c>
      <c r="BQ308" s="5" t="n">
        <v>0.13</v>
      </c>
      <c r="BR308" s="5" t="n">
        <v>0</v>
      </c>
      <c r="BS308" s="5" t="n">
        <v>1</v>
      </c>
      <c r="BT308" s="5" t="n">
        <v>0</v>
      </c>
      <c r="BU308" s="5" t="n">
        <v>-0.036</v>
      </c>
      <c r="BV308" s="5" t="n">
        <v>0.138</v>
      </c>
      <c r="BW308" s="5" t="n">
        <v>0</v>
      </c>
      <c r="BX308" s="5" t="n">
        <v>1</v>
      </c>
      <c r="BY308" s="5" t="n">
        <v>13.254</v>
      </c>
      <c r="BZ308" s="5" t="n">
        <v>0</v>
      </c>
      <c r="CA308" s="5" t="n">
        <v>13.254</v>
      </c>
      <c r="CB308" s="5" t="n">
        <v>0</v>
      </c>
      <c r="CC308" s="5" t="n">
        <v>83.248</v>
      </c>
      <c r="CD308" s="5" t="n">
        <v>7.95</v>
      </c>
      <c r="CE308" s="5" t="n">
        <v>12.887</v>
      </c>
      <c r="CF308" s="5" t="n">
        <v>113.92</v>
      </c>
      <c r="CG308" s="5" t="n">
        <v>0</v>
      </c>
      <c r="CH308" s="5" t="n">
        <v>1</v>
      </c>
      <c r="CI308" s="5" t="n">
        <v>0</v>
      </c>
      <c r="CJ308" s="5" t="n">
        <v>0</v>
      </c>
      <c r="CK308" s="5" t="n">
        <v>0</v>
      </c>
      <c r="CL308" s="5" t="n">
        <v>0</v>
      </c>
      <c r="CM308" s="5" t="n">
        <v>0</v>
      </c>
      <c r="CN308" s="5" t="n">
        <v>0</v>
      </c>
      <c r="CO308" s="5" t="n">
        <v>0</v>
      </c>
      <c r="CP308" s="5" t="n">
        <v>0</v>
      </c>
      <c r="CQ308" s="5" t="n">
        <v>1.348</v>
      </c>
      <c r="CR308" s="5" t="n">
        <v>0.83</v>
      </c>
      <c r="CS308" s="5" t="n">
        <v>3.038</v>
      </c>
      <c r="CT308" s="5" t="n">
        <v>4.861</v>
      </c>
      <c r="CU308" s="5" t="n">
        <v>11.622</v>
      </c>
    </row>
    <row r="309">
      <c r="A309" s="5" t="inlineStr">
        <is>
          <t>GHA2024</t>
        </is>
      </c>
      <c r="B309" s="5" t="inlineStr">
        <is>
          <t>GHA</t>
        </is>
      </c>
      <c r="C309" s="5" t="inlineStr">
        <is>
          <t>GHA</t>
        </is>
      </c>
      <c r="D309" s="5" t="inlineStr">
        <is>
          <t>Ghana</t>
        </is>
      </c>
      <c r="E309" s="5" t="n">
        <v>2024</v>
      </c>
      <c r="F309" s="5" t="n">
        <v>0.185</v>
      </c>
      <c r="G309" s="5" t="n">
        <v>5.575</v>
      </c>
      <c r="H309" s="5" t="n">
        <v>1.324</v>
      </c>
      <c r="I309" s="5" t="n">
        <v>0.213</v>
      </c>
      <c r="J309" s="5" t="n">
        <v>5.787</v>
      </c>
      <c r="K309" s="5" t="n">
        <v>0</v>
      </c>
      <c r="L309" s="5" t="n">
        <v>1</v>
      </c>
      <c r="M309" s="5" t="n">
        <v>7.124</v>
      </c>
      <c r="N309" s="5" t="n">
        <v>3.971</v>
      </c>
      <c r="O309" s="5" t="n">
        <v>0.158</v>
      </c>
      <c r="P309" s="5" t="n">
        <v>7.281</v>
      </c>
      <c r="Q309" s="5" t="n">
        <v>0</v>
      </c>
      <c r="R309" s="5" t="n">
        <v>1</v>
      </c>
      <c r="S309" s="5" t="n">
        <v>12.193</v>
      </c>
      <c r="T309" s="5" t="n">
        <v>7.942</v>
      </c>
      <c r="U309" s="5" t="n">
        <v>0.525</v>
      </c>
      <c r="V309" s="5" t="n">
        <v>14.7</v>
      </c>
      <c r="W309" s="5" t="n">
        <v>0.185</v>
      </c>
      <c r="X309" s="5" t="n">
        <v>1</v>
      </c>
      <c r="Y309" s="5" t="n">
        <v>3.902</v>
      </c>
      <c r="Z309" s="5" t="n">
        <v>0.37</v>
      </c>
      <c r="AA309" s="5" t="n">
        <v>0.924</v>
      </c>
      <c r="AB309" s="5" t="n">
        <v>4.826</v>
      </c>
      <c r="AC309" s="5" t="n">
        <v>0</v>
      </c>
      <c r="AD309" s="5" t="n">
        <v>1</v>
      </c>
      <c r="AE309" s="5" t="n">
        <v>4.676</v>
      </c>
      <c r="AF309" s="5" t="n">
        <v>0.797</v>
      </c>
      <c r="AG309" s="5" t="n">
        <v>0.924</v>
      </c>
      <c r="AH309" s="5" t="n">
        <v>5.6</v>
      </c>
      <c r="AI309" s="5" t="n">
        <v>0</v>
      </c>
      <c r="AJ309" s="5" t="n">
        <v>1</v>
      </c>
      <c r="AK309" s="5" t="n">
        <v>9.321999999999999</v>
      </c>
      <c r="AL309" s="5" t="n">
        <v>4.053</v>
      </c>
      <c r="AM309" s="5" t="n">
        <v>-1.002</v>
      </c>
      <c r="AN309" s="5" t="n">
        <v>9.616</v>
      </c>
      <c r="AO309" s="5" t="n">
        <v>0.185</v>
      </c>
      <c r="AP309" s="5" t="n">
        <v>1</v>
      </c>
      <c r="AQ309" s="5" t="n">
        <v>0.724</v>
      </c>
      <c r="AR309" s="5" t="n">
        <v>0.132</v>
      </c>
      <c r="AS309" s="5" t="n">
        <v>0.406</v>
      </c>
      <c r="AT309" s="5" t="n">
        <v>1.34</v>
      </c>
      <c r="AU309" s="5" t="n">
        <v>0.185</v>
      </c>
      <c r="AV309" s="5" t="n">
        <v>1</v>
      </c>
      <c r="AW309" s="5" t="n">
        <v>0.75</v>
      </c>
      <c r="AX309" s="5" t="n">
        <v>0.132</v>
      </c>
      <c r="AY309" s="5" t="n">
        <v>0.368</v>
      </c>
      <c r="AZ309" s="5" t="n">
        <v>1.325</v>
      </c>
      <c r="BA309" s="5" t="n">
        <v>0.185</v>
      </c>
      <c r="BB309" s="5" t="n">
        <v>1</v>
      </c>
      <c r="BC309" s="5" t="n">
        <v>0.513</v>
      </c>
      <c r="BD309" s="5" t="n">
        <v>0.132</v>
      </c>
      <c r="BE309" s="5" t="n">
        <v>0.09</v>
      </c>
      <c r="BF309" s="5" t="n">
        <v>0.715</v>
      </c>
      <c r="BG309" s="5" t="n">
        <v>0.185</v>
      </c>
      <c r="BH309" s="5" t="n">
        <v>1</v>
      </c>
      <c r="BI309" s="5" t="n">
        <v>0.591</v>
      </c>
      <c r="BJ309" s="5" t="n">
        <v>0.132</v>
      </c>
      <c r="BK309" s="5" t="n">
        <v>0.313</v>
      </c>
      <c r="BL309" s="5" t="n">
        <v>1.072</v>
      </c>
      <c r="BM309" s="5" t="n">
        <v>0.185</v>
      </c>
      <c r="BN309" s="5" t="n">
        <v>1</v>
      </c>
      <c r="BO309" s="5" t="n">
        <v>0</v>
      </c>
      <c r="BP309" s="5" t="n">
        <v>-0.037</v>
      </c>
      <c r="BQ309" s="5" t="n">
        <v>0.14</v>
      </c>
      <c r="BR309" s="5" t="n">
        <v>0</v>
      </c>
      <c r="BS309" s="5" t="n">
        <v>1</v>
      </c>
      <c r="BT309" s="5" t="n">
        <v>0</v>
      </c>
      <c r="BU309" s="5" t="n">
        <v>-0.037</v>
      </c>
      <c r="BV309" s="5" t="n">
        <v>0.16</v>
      </c>
      <c r="BW309" s="5" t="n">
        <v>0</v>
      </c>
      <c r="BX309" s="5" t="n">
        <v>1</v>
      </c>
      <c r="BY309" s="5" t="n">
        <v>13.646</v>
      </c>
      <c r="BZ309" s="5" t="n">
        <v>0</v>
      </c>
      <c r="CA309" s="5" t="n">
        <v>13.646</v>
      </c>
      <c r="CB309" s="5" t="n">
        <v>0</v>
      </c>
      <c r="CC309" s="5" t="n">
        <v>82.58799999999999</v>
      </c>
      <c r="CD309" s="5" t="n">
        <v>7.95</v>
      </c>
      <c r="CE309" s="5" t="n">
        <v>-0.579</v>
      </c>
      <c r="CF309" s="5" t="n">
        <v>97.18000000000001</v>
      </c>
      <c r="CG309" s="5" t="n">
        <v>0</v>
      </c>
      <c r="CH309" s="5" t="n">
        <v>1</v>
      </c>
      <c r="CI309" s="5" t="n">
        <v>0</v>
      </c>
      <c r="CJ309" s="5" t="n">
        <v>0</v>
      </c>
      <c r="CK309" s="5" t="n">
        <v>0</v>
      </c>
      <c r="CL309" s="5" t="n">
        <v>0</v>
      </c>
      <c r="CM309" s="5" t="n">
        <v>0</v>
      </c>
      <c r="CN309" s="5" t="n">
        <v>0</v>
      </c>
      <c r="CO309" s="5" t="n">
        <v>0</v>
      </c>
      <c r="CP309" s="5" t="n">
        <v>0</v>
      </c>
      <c r="CQ309" s="5" t="n">
        <v>1.387</v>
      </c>
      <c r="CR309" s="5" t="n">
        <v>0.83</v>
      </c>
      <c r="CS309" s="5" t="n">
        <v>3.128</v>
      </c>
      <c r="CT309" s="5" t="n">
        <v>4.251</v>
      </c>
      <c r="CU309" s="5" t="n">
        <v>10.168</v>
      </c>
    </row>
    <row r="310">
      <c r="A310" s="5" t="inlineStr">
        <is>
          <t>GIB2021</t>
        </is>
      </c>
      <c r="B310" s="5" t="inlineStr">
        <is>
          <t>GIB</t>
        </is>
      </c>
      <c r="C310" s="5" t="inlineStr">
        <is>
          <t>GIB</t>
        </is>
      </c>
      <c r="D310" s="5" t="inlineStr">
        <is>
          <t>Gibraltar</t>
        </is>
      </c>
      <c r="E310" s="5" t="n">
        <v>2021</v>
      </c>
      <c r="F310" s="5" t="n">
        <v>0</v>
      </c>
      <c r="G310" s="5" t="n">
        <v>5.553</v>
      </c>
      <c r="H310" s="5" t="n">
        <v>1.143</v>
      </c>
      <c r="I310" s="5" t="n">
        <v>0</v>
      </c>
      <c r="J310" s="5" t="n">
        <v>5.553</v>
      </c>
      <c r="K310" s="5" t="n">
        <v>0</v>
      </c>
      <c r="L310" s="5" t="n">
        <v>1</v>
      </c>
      <c r="M310" s="5" t="n">
        <v>7.964</v>
      </c>
      <c r="N310" s="5" t="n">
        <v>3.43</v>
      </c>
      <c r="O310" s="5" t="n">
        <v>0</v>
      </c>
      <c r="P310" s="5" t="n">
        <v>7.964</v>
      </c>
      <c r="Q310" s="5" t="n">
        <v>0</v>
      </c>
      <c r="R310" s="5" t="n">
        <v>1</v>
      </c>
      <c r="S310" s="5" t="n">
        <v>11.27</v>
      </c>
      <c r="T310" s="5" t="n">
        <v>6.86</v>
      </c>
      <c r="U310" s="5" t="n">
        <v>0</v>
      </c>
      <c r="V310" s="5" t="n">
        <v>11.27</v>
      </c>
      <c r="W310" s="5" t="n">
        <v>0</v>
      </c>
      <c r="X310" s="5" t="n">
        <v>1</v>
      </c>
      <c r="Y310" s="5" t="n">
        <v>16.305</v>
      </c>
      <c r="Z310" s="5" t="n">
        <v>2.204</v>
      </c>
      <c r="AA310" s="5" t="n">
        <v>0</v>
      </c>
      <c r="AB310" s="5" t="n">
        <v>16.305</v>
      </c>
      <c r="AC310" s="5" t="n">
        <v>0</v>
      </c>
      <c r="AD310" s="5" t="n">
        <v>1</v>
      </c>
      <c r="AE310" s="5" t="n">
        <v>17.449</v>
      </c>
      <c r="AF310" s="5" t="n">
        <v>4.08</v>
      </c>
      <c r="AG310" s="5" t="n">
        <v>0</v>
      </c>
      <c r="AH310" s="5" t="n">
        <v>17.449</v>
      </c>
      <c r="AI310" s="5" t="n">
        <v>0</v>
      </c>
      <c r="AJ310" s="5" t="n">
        <v>1</v>
      </c>
      <c r="AK310" s="5" t="n">
        <v>24.309</v>
      </c>
      <c r="AL310" s="5" t="n">
        <v>12.947</v>
      </c>
      <c r="AM310" s="5" t="n">
        <v>0</v>
      </c>
      <c r="AN310" s="5" t="n">
        <v>24.309</v>
      </c>
      <c r="AO310" s="5" t="n">
        <v>0</v>
      </c>
      <c r="AP310" s="5" t="n">
        <v>1</v>
      </c>
      <c r="AQ310" s="5" t="n">
        <v>0.619</v>
      </c>
      <c r="AR310" s="5" t="n">
        <v>0.114</v>
      </c>
      <c r="AS310" s="5" t="n">
        <v>0</v>
      </c>
      <c r="AT310" s="5" t="n">
        <v>0.619</v>
      </c>
      <c r="AU310" s="5" t="n">
        <v>0</v>
      </c>
      <c r="AV310" s="5" t="n">
        <v>1</v>
      </c>
      <c r="AW310" s="5" t="n">
        <v>0.599</v>
      </c>
      <c r="AX310" s="5" t="n">
        <v>0.114</v>
      </c>
      <c r="AY310" s="5" t="n">
        <v>0</v>
      </c>
      <c r="AZ310" s="5" t="n">
        <v>0.599</v>
      </c>
      <c r="BA310" s="5" t="n">
        <v>0</v>
      </c>
      <c r="BB310" s="5" t="n">
        <v>1</v>
      </c>
      <c r="BC310" s="5" t="n">
        <v>0.439</v>
      </c>
      <c r="BD310" s="5" t="n">
        <v>0.114</v>
      </c>
      <c r="BE310" s="5" t="n">
        <v>0</v>
      </c>
      <c r="BF310" s="5" t="n">
        <v>0.439</v>
      </c>
      <c r="BG310" s="5" t="n">
        <v>0</v>
      </c>
      <c r="BH310" s="5" t="n">
        <v>1</v>
      </c>
      <c r="BI310" s="5" t="n">
        <v>0.505</v>
      </c>
      <c r="BJ310" s="5" t="n">
        <v>0.114</v>
      </c>
      <c r="BK310" s="5" t="n">
        <v>0</v>
      </c>
      <c r="BL310" s="5" t="n">
        <v>0.505</v>
      </c>
      <c r="BM310" s="5" t="n">
        <v>0</v>
      </c>
      <c r="BN310" s="5" t="n">
        <v>1</v>
      </c>
      <c r="BO310" s="5" t="n">
        <v>0</v>
      </c>
      <c r="BP310" s="5" t="n">
        <v>0</v>
      </c>
      <c r="BQ310" s="5" t="n">
        <v>0</v>
      </c>
      <c r="BR310" s="5" t="n">
        <v>0</v>
      </c>
      <c r="BS310" s="5" t="n">
        <v>1</v>
      </c>
      <c r="BT310" s="5" t="n">
        <v>0</v>
      </c>
      <c r="BU310" s="5" t="n">
        <v>0</v>
      </c>
      <c r="BV310" s="5" t="n">
        <v>0</v>
      </c>
      <c r="BW310" s="5" t="n">
        <v>0</v>
      </c>
      <c r="BX310" s="5" t="n">
        <v>1</v>
      </c>
      <c r="BY310" s="5" t="n">
        <v>11.787</v>
      </c>
      <c r="BZ310" s="5" t="n">
        <v>0</v>
      </c>
      <c r="CA310" s="5" t="n">
        <v>11.787</v>
      </c>
      <c r="CB310" s="5" t="n">
        <v>0</v>
      </c>
      <c r="CC310" s="5" t="n">
        <v>78.125</v>
      </c>
      <c r="CD310" s="5" t="n">
        <v>7.95</v>
      </c>
      <c r="CE310" s="5" t="n">
        <v>0</v>
      </c>
      <c r="CF310" s="5" t="n">
        <v>78.125</v>
      </c>
      <c r="CG310" s="5" t="n">
        <v>0</v>
      </c>
      <c r="CH310" s="5" t="n">
        <v>1</v>
      </c>
      <c r="CI310" s="5" t="n">
        <v>0</v>
      </c>
      <c r="CJ310" s="5" t="n">
        <v>0</v>
      </c>
      <c r="CK310" s="5" t="n">
        <v>0</v>
      </c>
      <c r="CL310" s="5" t="n">
        <v>0</v>
      </c>
      <c r="CM310" s="5" t="n">
        <v>0</v>
      </c>
      <c r="CN310" s="5" t="n">
        <v>0</v>
      </c>
      <c r="CO310" s="5" t="n">
        <v>0</v>
      </c>
      <c r="CP310" s="5" t="n">
        <v>0</v>
      </c>
      <c r="CQ310" s="5" t="n">
        <v>1.198</v>
      </c>
      <c r="CR310" s="5" t="n">
        <v>0</v>
      </c>
      <c r="CS310" s="5" t="n">
        <v>4.776</v>
      </c>
      <c r="CT310" s="5" t="n">
        <v>4.41</v>
      </c>
      <c r="CU310" s="5" t="n">
        <v>15.162</v>
      </c>
    </row>
    <row r="311">
      <c r="A311" s="5" t="inlineStr">
        <is>
          <t>GIB2022</t>
        </is>
      </c>
      <c r="B311" s="5" t="inlineStr">
        <is>
          <t>GIB</t>
        </is>
      </c>
      <c r="C311" s="5" t="inlineStr">
        <is>
          <t>GIB</t>
        </is>
      </c>
      <c r="D311" s="5" t="inlineStr">
        <is>
          <t>Gibraltar</t>
        </is>
      </c>
      <c r="E311" s="5" t="n">
        <v>2022</v>
      </c>
      <c r="F311" s="5" t="n">
        <v>0</v>
      </c>
      <c r="G311" s="5" t="n">
        <v>7.077</v>
      </c>
      <c r="H311" s="5" t="n">
        <v>1.235</v>
      </c>
      <c r="I311" s="5" t="n">
        <v>0</v>
      </c>
      <c r="J311" s="5" t="n">
        <v>7.077</v>
      </c>
      <c r="K311" s="5" t="n">
        <v>0</v>
      </c>
      <c r="L311" s="5" t="n">
        <v>1</v>
      </c>
      <c r="M311" s="5" t="n">
        <v>9.782999999999999</v>
      </c>
      <c r="N311" s="5" t="n">
        <v>3.704</v>
      </c>
      <c r="O311" s="5" t="n">
        <v>0</v>
      </c>
      <c r="P311" s="5" t="n">
        <v>9.782999999999999</v>
      </c>
      <c r="Q311" s="5" t="n">
        <v>0</v>
      </c>
      <c r="R311" s="5" t="n">
        <v>1</v>
      </c>
      <c r="S311" s="5" t="n">
        <v>13.25</v>
      </c>
      <c r="T311" s="5" t="n">
        <v>7.408</v>
      </c>
      <c r="U311" s="5" t="n">
        <v>0</v>
      </c>
      <c r="V311" s="5" t="n">
        <v>13.25</v>
      </c>
      <c r="W311" s="5" t="n">
        <v>0</v>
      </c>
      <c r="X311" s="5" t="n">
        <v>1</v>
      </c>
      <c r="Y311" s="5" t="n">
        <v>32.56</v>
      </c>
      <c r="Z311" s="5" t="n">
        <v>4.401</v>
      </c>
      <c r="AA311" s="5" t="n">
        <v>0</v>
      </c>
      <c r="AB311" s="5" t="n">
        <v>32.56</v>
      </c>
      <c r="AC311" s="5" t="n">
        <v>0</v>
      </c>
      <c r="AD311" s="5" t="n">
        <v>1</v>
      </c>
      <c r="AE311" s="5" t="n">
        <v>33.795</v>
      </c>
      <c r="AF311" s="5" t="n">
        <v>7.902</v>
      </c>
      <c r="AG311" s="5" t="n">
        <v>0</v>
      </c>
      <c r="AH311" s="5" t="n">
        <v>33.795</v>
      </c>
      <c r="AI311" s="5" t="n">
        <v>0</v>
      </c>
      <c r="AJ311" s="5" t="n">
        <v>1</v>
      </c>
      <c r="AK311" s="5" t="n">
        <v>41.203</v>
      </c>
      <c r="AL311" s="5" t="n">
        <v>21.945</v>
      </c>
      <c r="AM311" s="5" t="n">
        <v>0</v>
      </c>
      <c r="AN311" s="5" t="n">
        <v>41.203</v>
      </c>
      <c r="AO311" s="5" t="n">
        <v>0</v>
      </c>
      <c r="AP311" s="5" t="n">
        <v>1</v>
      </c>
      <c r="AQ311" s="5" t="n">
        <v>0.861</v>
      </c>
      <c r="AR311" s="5" t="n">
        <v>0.123</v>
      </c>
      <c r="AS311" s="5" t="n">
        <v>0</v>
      </c>
      <c r="AT311" s="5" t="n">
        <v>0.861</v>
      </c>
      <c r="AU311" s="5" t="n">
        <v>0</v>
      </c>
      <c r="AV311" s="5" t="n">
        <v>1</v>
      </c>
      <c r="AW311" s="5" t="n">
        <v>0.986</v>
      </c>
      <c r="AX311" s="5" t="n">
        <v>0.123</v>
      </c>
      <c r="AY311" s="5" t="n">
        <v>0</v>
      </c>
      <c r="AZ311" s="5" t="n">
        <v>0.986</v>
      </c>
      <c r="BA311" s="5" t="n">
        <v>0</v>
      </c>
      <c r="BB311" s="5" t="n">
        <v>1</v>
      </c>
      <c r="BC311" s="5" t="n">
        <v>0.598</v>
      </c>
      <c r="BD311" s="5" t="n">
        <v>0.123</v>
      </c>
      <c r="BE311" s="5" t="n">
        <v>0</v>
      </c>
      <c r="BF311" s="5" t="n">
        <v>0.598</v>
      </c>
      <c r="BG311" s="5" t="n">
        <v>0</v>
      </c>
      <c r="BH311" s="5" t="n">
        <v>1</v>
      </c>
      <c r="BI311" s="5" t="n">
        <v>0.612</v>
      </c>
      <c r="BJ311" s="5" t="n">
        <v>0.123</v>
      </c>
      <c r="BK311" s="5" t="n">
        <v>0</v>
      </c>
      <c r="BL311" s="5" t="n">
        <v>0.612</v>
      </c>
      <c r="BM311" s="5" t="n">
        <v>0</v>
      </c>
      <c r="BN311" s="5" t="n">
        <v>1</v>
      </c>
      <c r="BO311" s="5" t="n">
        <v>0</v>
      </c>
      <c r="BP311" s="5" t="n">
        <v>0</v>
      </c>
      <c r="BQ311" s="5" t="n">
        <v>0</v>
      </c>
      <c r="BR311" s="5" t="n">
        <v>0</v>
      </c>
      <c r="BS311" s="5" t="n">
        <v>1</v>
      </c>
      <c r="BT311" s="5" t="n">
        <v>0</v>
      </c>
      <c r="BU311" s="5" t="n">
        <v>0</v>
      </c>
      <c r="BV311" s="5" t="n">
        <v>0</v>
      </c>
      <c r="BW311" s="5" t="n">
        <v>0</v>
      </c>
      <c r="BX311" s="5" t="n">
        <v>1</v>
      </c>
      <c r="BY311" s="5" t="n">
        <v>12.729</v>
      </c>
      <c r="BZ311" s="5" t="n">
        <v>0</v>
      </c>
      <c r="CA311" s="5" t="n">
        <v>12.729</v>
      </c>
      <c r="CB311" s="5" t="n">
        <v>0</v>
      </c>
      <c r="CC311" s="5" t="n">
        <v>97.90000000000001</v>
      </c>
      <c r="CD311" s="5" t="n">
        <v>7.95</v>
      </c>
      <c r="CE311" s="5" t="n">
        <v>0</v>
      </c>
      <c r="CF311" s="5" t="n">
        <v>97.90000000000001</v>
      </c>
      <c r="CG311" s="5" t="n">
        <v>0</v>
      </c>
      <c r="CH311" s="5" t="n">
        <v>1</v>
      </c>
      <c r="CI311" s="5" t="n">
        <v>0</v>
      </c>
      <c r="CJ311" s="5" t="n">
        <v>0</v>
      </c>
      <c r="CK311" s="5" t="n">
        <v>0</v>
      </c>
      <c r="CL311" s="5" t="n">
        <v>0</v>
      </c>
      <c r="CM311" s="5" t="n">
        <v>0</v>
      </c>
      <c r="CN311" s="5" t="n">
        <v>0</v>
      </c>
      <c r="CO311" s="5" t="n">
        <v>0</v>
      </c>
      <c r="CP311" s="5" t="n">
        <v>0</v>
      </c>
      <c r="CQ311" s="5" t="n">
        <v>1.294</v>
      </c>
      <c r="CR311" s="5" t="n">
        <v>0</v>
      </c>
      <c r="CS311" s="5" t="n">
        <v>5.158</v>
      </c>
      <c r="CT311" s="5" t="n">
        <v>5.842</v>
      </c>
      <c r="CU311" s="5" t="n">
        <v>31.326</v>
      </c>
    </row>
    <row r="312">
      <c r="A312" s="5" t="inlineStr">
        <is>
          <t>GIB2023</t>
        </is>
      </c>
      <c r="B312" s="5" t="inlineStr">
        <is>
          <t>GIB</t>
        </is>
      </c>
      <c r="C312" s="5" t="inlineStr">
        <is>
          <t>GIB</t>
        </is>
      </c>
      <c r="D312" s="5" t="inlineStr">
        <is>
          <t>Gibraltar</t>
        </is>
      </c>
      <c r="E312" s="5" t="n">
        <v>2023</v>
      </c>
      <c r="F312" s="5" t="n">
        <v>0</v>
      </c>
      <c r="G312" s="5" t="n">
        <v>4.752</v>
      </c>
      <c r="H312" s="5" t="n">
        <v>1.286</v>
      </c>
      <c r="I312" s="5" t="n">
        <v>0</v>
      </c>
      <c r="J312" s="5" t="n">
        <v>4.752</v>
      </c>
      <c r="K312" s="5" t="n">
        <v>0</v>
      </c>
      <c r="L312" s="5" t="n">
        <v>1</v>
      </c>
      <c r="M312" s="5" t="n">
        <v>7.886</v>
      </c>
      <c r="N312" s="5" t="n">
        <v>3.857</v>
      </c>
      <c r="O312" s="5" t="n">
        <v>0</v>
      </c>
      <c r="P312" s="5" t="n">
        <v>7.886</v>
      </c>
      <c r="Q312" s="5" t="n">
        <v>0</v>
      </c>
      <c r="R312" s="5" t="n">
        <v>1</v>
      </c>
      <c r="S312" s="5" t="n">
        <v>11.18</v>
      </c>
      <c r="T312" s="5" t="n">
        <v>7.714</v>
      </c>
      <c r="U312" s="5" t="n">
        <v>0</v>
      </c>
      <c r="V312" s="5" t="n">
        <v>11.18</v>
      </c>
      <c r="W312" s="5" t="n">
        <v>0</v>
      </c>
      <c r="X312" s="5" t="n">
        <v>1</v>
      </c>
      <c r="Y312" s="5" t="n">
        <v>12.908</v>
      </c>
      <c r="Z312" s="5" t="n">
        <v>1.745</v>
      </c>
      <c r="AA312" s="5" t="n">
        <v>0</v>
      </c>
      <c r="AB312" s="5" t="n">
        <v>12.908</v>
      </c>
      <c r="AC312" s="5" t="n">
        <v>0</v>
      </c>
      <c r="AD312" s="5" t="n">
        <v>1</v>
      </c>
      <c r="AE312" s="5" t="n">
        <v>14.194</v>
      </c>
      <c r="AF312" s="5" t="n">
        <v>3.319</v>
      </c>
      <c r="AG312" s="5" t="n">
        <v>0</v>
      </c>
      <c r="AH312" s="5" t="n">
        <v>14.194</v>
      </c>
      <c r="AI312" s="5" t="n">
        <v>0</v>
      </c>
      <c r="AJ312" s="5" t="n">
        <v>1</v>
      </c>
      <c r="AK312" s="5" t="n">
        <v>21.908</v>
      </c>
      <c r="AL312" s="5" t="n">
        <v>11.668</v>
      </c>
      <c r="AM312" s="5" t="n">
        <v>0</v>
      </c>
      <c r="AN312" s="5" t="n">
        <v>21.908</v>
      </c>
      <c r="AO312" s="5" t="n">
        <v>0</v>
      </c>
      <c r="AP312" s="5" t="n">
        <v>1</v>
      </c>
      <c r="AQ312" s="5" t="n">
        <v>0.76</v>
      </c>
      <c r="AR312" s="5" t="n">
        <v>0.129</v>
      </c>
      <c r="AS312" s="5" t="n">
        <v>0</v>
      </c>
      <c r="AT312" s="5" t="n">
        <v>0.76</v>
      </c>
      <c r="AU312" s="5" t="n">
        <v>0</v>
      </c>
      <c r="AV312" s="5" t="n">
        <v>1</v>
      </c>
      <c r="AW312" s="5" t="n">
        <v>0.8110000000000001</v>
      </c>
      <c r="AX312" s="5" t="n">
        <v>0.129</v>
      </c>
      <c r="AY312" s="5" t="n">
        <v>0</v>
      </c>
      <c r="AZ312" s="5" t="n">
        <v>0.8110000000000001</v>
      </c>
      <c r="BA312" s="5" t="n">
        <v>0</v>
      </c>
      <c r="BB312" s="5" t="n">
        <v>1</v>
      </c>
      <c r="BC312" s="5" t="n">
        <v>0.535</v>
      </c>
      <c r="BD312" s="5" t="n">
        <v>0.129</v>
      </c>
      <c r="BE312" s="5" t="n">
        <v>0</v>
      </c>
      <c r="BF312" s="5" t="n">
        <v>0.535</v>
      </c>
      <c r="BG312" s="5" t="n">
        <v>0</v>
      </c>
      <c r="BH312" s="5" t="n">
        <v>1</v>
      </c>
      <c r="BI312" s="5" t="n">
        <v>0.579</v>
      </c>
      <c r="BJ312" s="5" t="n">
        <v>0.129</v>
      </c>
      <c r="BK312" s="5" t="n">
        <v>0</v>
      </c>
      <c r="BL312" s="5" t="n">
        <v>0.579</v>
      </c>
      <c r="BM312" s="5" t="n">
        <v>0</v>
      </c>
      <c r="BN312" s="5" t="n">
        <v>1</v>
      </c>
      <c r="BO312" s="5" t="n">
        <v>0</v>
      </c>
      <c r="BP312" s="5" t="n">
        <v>0</v>
      </c>
      <c r="BQ312" s="5" t="n">
        <v>0</v>
      </c>
      <c r="BR312" s="5" t="n">
        <v>0</v>
      </c>
      <c r="BS312" s="5" t="n">
        <v>1</v>
      </c>
      <c r="BT312" s="5" t="n">
        <v>0</v>
      </c>
      <c r="BU312" s="5" t="n">
        <v>0</v>
      </c>
      <c r="BV312" s="5" t="n">
        <v>0</v>
      </c>
      <c r="BW312" s="5" t="n">
        <v>0</v>
      </c>
      <c r="BX312" s="5" t="n">
        <v>1</v>
      </c>
      <c r="BY312" s="5" t="n">
        <v>13.254</v>
      </c>
      <c r="BZ312" s="5" t="n">
        <v>0</v>
      </c>
      <c r="CA312" s="5" t="n">
        <v>13.254</v>
      </c>
      <c r="CB312" s="5" t="n">
        <v>0</v>
      </c>
      <c r="CC312" s="5" t="n">
        <v>83.248</v>
      </c>
      <c r="CD312" s="5" t="n">
        <v>7.95</v>
      </c>
      <c r="CE312" s="5" t="n">
        <v>0</v>
      </c>
      <c r="CF312" s="5" t="n">
        <v>83.248</v>
      </c>
      <c r="CG312" s="5" t="n">
        <v>0</v>
      </c>
      <c r="CH312" s="5" t="n">
        <v>1</v>
      </c>
      <c r="CI312" s="5" t="n">
        <v>0</v>
      </c>
      <c r="CJ312" s="5" t="n">
        <v>0</v>
      </c>
      <c r="CK312" s="5" t="n">
        <v>0</v>
      </c>
      <c r="CL312" s="5" t="n">
        <v>0</v>
      </c>
      <c r="CM312" s="5" t="n">
        <v>0</v>
      </c>
      <c r="CN312" s="5" t="n">
        <v>0</v>
      </c>
      <c r="CO312" s="5" t="n">
        <v>0</v>
      </c>
      <c r="CP312" s="5" t="n">
        <v>0</v>
      </c>
      <c r="CQ312" s="5" t="n">
        <v>1.348</v>
      </c>
      <c r="CR312" s="5" t="n">
        <v>0</v>
      </c>
      <c r="CS312" s="5" t="n">
        <v>5.37</v>
      </c>
      <c r="CT312" s="5" t="n">
        <v>3.466</v>
      </c>
      <c r="CU312" s="5" t="n">
        <v>11.622</v>
      </c>
    </row>
    <row r="313">
      <c r="A313" s="5" t="inlineStr">
        <is>
          <t>GIB2024</t>
        </is>
      </c>
      <c r="B313" s="5" t="inlineStr">
        <is>
          <t>GIB</t>
        </is>
      </c>
      <c r="C313" s="5" t="inlineStr">
        <is>
          <t>GIB</t>
        </is>
      </c>
      <c r="D313" s="5" t="inlineStr">
        <is>
          <t>Gibraltar</t>
        </is>
      </c>
      <c r="E313" s="5" t="n">
        <v>2024</v>
      </c>
      <c r="F313" s="5" t="n">
        <v>0</v>
      </c>
      <c r="G313" s="5" t="n">
        <v>4.351</v>
      </c>
      <c r="H313" s="5" t="n">
        <v>1.324</v>
      </c>
      <c r="I313" s="5" t="n">
        <v>0</v>
      </c>
      <c r="J313" s="5" t="n">
        <v>4.351</v>
      </c>
      <c r="K313" s="5" t="n">
        <v>0</v>
      </c>
      <c r="L313" s="5" t="n">
        <v>1</v>
      </c>
      <c r="M313" s="5" t="n">
        <v>7.124</v>
      </c>
      <c r="N313" s="5" t="n">
        <v>3.971</v>
      </c>
      <c r="O313" s="5" t="n">
        <v>0</v>
      </c>
      <c r="P313" s="5" t="n">
        <v>7.124</v>
      </c>
      <c r="Q313" s="5" t="n">
        <v>0</v>
      </c>
      <c r="R313" s="5" t="n">
        <v>1</v>
      </c>
      <c r="S313" s="5" t="n">
        <v>10.969</v>
      </c>
      <c r="T313" s="5" t="n">
        <v>7.942</v>
      </c>
      <c r="U313" s="5" t="n">
        <v>0</v>
      </c>
      <c r="V313" s="5" t="n">
        <v>10.969</v>
      </c>
      <c r="W313" s="5" t="n">
        <v>0</v>
      </c>
      <c r="X313" s="5" t="n">
        <v>1</v>
      </c>
      <c r="Y313" s="5" t="n">
        <v>11.492</v>
      </c>
      <c r="Z313" s="5" t="n">
        <v>1.553</v>
      </c>
      <c r="AA313" s="5" t="n">
        <v>0</v>
      </c>
      <c r="AB313" s="5" t="n">
        <v>11.492</v>
      </c>
      <c r="AC313" s="5" t="n">
        <v>0</v>
      </c>
      <c r="AD313" s="5" t="n">
        <v>1</v>
      </c>
      <c r="AE313" s="5" t="n">
        <v>12.815</v>
      </c>
      <c r="AF313" s="5" t="n">
        <v>2.997</v>
      </c>
      <c r="AG313" s="5" t="n">
        <v>0</v>
      </c>
      <c r="AH313" s="5" t="n">
        <v>12.815</v>
      </c>
      <c r="AI313" s="5" t="n">
        <v>0</v>
      </c>
      <c r="AJ313" s="5" t="n">
        <v>1</v>
      </c>
      <c r="AK313" s="5" t="n">
        <v>20.757</v>
      </c>
      <c r="AL313" s="5" t="n">
        <v>11.055</v>
      </c>
      <c r="AM313" s="5" t="n">
        <v>0</v>
      </c>
      <c r="AN313" s="5" t="n">
        <v>20.757</v>
      </c>
      <c r="AO313" s="5" t="n">
        <v>0</v>
      </c>
      <c r="AP313" s="5" t="n">
        <v>1</v>
      </c>
      <c r="AQ313" s="5" t="n">
        <v>0.724</v>
      </c>
      <c r="AR313" s="5" t="n">
        <v>0.132</v>
      </c>
      <c r="AS313" s="5" t="n">
        <v>0</v>
      </c>
      <c r="AT313" s="5" t="n">
        <v>0.724</v>
      </c>
      <c r="AU313" s="5" t="n">
        <v>0</v>
      </c>
      <c r="AV313" s="5" t="n">
        <v>1</v>
      </c>
      <c r="AW313" s="5" t="n">
        <v>0.75</v>
      </c>
      <c r="AX313" s="5" t="n">
        <v>0.132</v>
      </c>
      <c r="AY313" s="5" t="n">
        <v>0</v>
      </c>
      <c r="AZ313" s="5" t="n">
        <v>0.75</v>
      </c>
      <c r="BA313" s="5" t="n">
        <v>0</v>
      </c>
      <c r="BB313" s="5" t="n">
        <v>1</v>
      </c>
      <c r="BC313" s="5" t="n">
        <v>0.513</v>
      </c>
      <c r="BD313" s="5" t="n">
        <v>0.132</v>
      </c>
      <c r="BE313" s="5" t="n">
        <v>0</v>
      </c>
      <c r="BF313" s="5" t="n">
        <v>0.513</v>
      </c>
      <c r="BG313" s="5" t="n">
        <v>0</v>
      </c>
      <c r="BH313" s="5" t="n">
        <v>1</v>
      </c>
      <c r="BI313" s="5" t="n">
        <v>0.591</v>
      </c>
      <c r="BJ313" s="5" t="n">
        <v>0.132</v>
      </c>
      <c r="BK313" s="5" t="n">
        <v>0</v>
      </c>
      <c r="BL313" s="5" t="n">
        <v>0.591</v>
      </c>
      <c r="BM313" s="5" t="n">
        <v>0</v>
      </c>
      <c r="BN313" s="5" t="n">
        <v>1</v>
      </c>
      <c r="BO313" s="5" t="n">
        <v>0</v>
      </c>
      <c r="BP313" s="5" t="n">
        <v>0</v>
      </c>
      <c r="BQ313" s="5" t="n">
        <v>0</v>
      </c>
      <c r="BR313" s="5" t="n">
        <v>0</v>
      </c>
      <c r="BS313" s="5" t="n">
        <v>1</v>
      </c>
      <c r="BT313" s="5" t="n">
        <v>0</v>
      </c>
      <c r="BU313" s="5" t="n">
        <v>0</v>
      </c>
      <c r="BV313" s="5" t="n">
        <v>0</v>
      </c>
      <c r="BW313" s="5" t="n">
        <v>0</v>
      </c>
      <c r="BX313" s="5" t="n">
        <v>1</v>
      </c>
      <c r="BY313" s="5" t="n">
        <v>13.646</v>
      </c>
      <c r="BZ313" s="5" t="n">
        <v>0</v>
      </c>
      <c r="CA313" s="5" t="n">
        <v>13.646</v>
      </c>
      <c r="CB313" s="5" t="n">
        <v>0</v>
      </c>
      <c r="CC313" s="5" t="n">
        <v>82.58799999999999</v>
      </c>
      <c r="CD313" s="5" t="n">
        <v>7.95</v>
      </c>
      <c r="CE313" s="5" t="n">
        <v>0</v>
      </c>
      <c r="CF313" s="5" t="n">
        <v>82.58799999999999</v>
      </c>
      <c r="CG313" s="5" t="n">
        <v>0</v>
      </c>
      <c r="CH313" s="5" t="n">
        <v>1</v>
      </c>
      <c r="CI313" s="5" t="n">
        <v>0</v>
      </c>
      <c r="CJ313" s="5" t="n">
        <v>0</v>
      </c>
      <c r="CK313" s="5" t="n">
        <v>0</v>
      </c>
      <c r="CL313" s="5" t="n">
        <v>0</v>
      </c>
      <c r="CM313" s="5" t="n">
        <v>0</v>
      </c>
      <c r="CN313" s="5" t="n">
        <v>0</v>
      </c>
      <c r="CO313" s="5" t="n">
        <v>0</v>
      </c>
      <c r="CP313" s="5" t="n">
        <v>0</v>
      </c>
      <c r="CQ313" s="5" t="n">
        <v>1.387</v>
      </c>
      <c r="CR313" s="5" t="n">
        <v>0</v>
      </c>
      <c r="CS313" s="5" t="n">
        <v>5.529</v>
      </c>
      <c r="CT313" s="5" t="n">
        <v>3.027</v>
      </c>
      <c r="CU313" s="5" t="n">
        <v>10.168</v>
      </c>
    </row>
    <row r="314">
      <c r="A314" s="5" t="inlineStr">
        <is>
          <t>GRC2021</t>
        </is>
      </c>
      <c r="B314" s="5" t="inlineStr">
        <is>
          <t>GRC</t>
        </is>
      </c>
      <c r="C314" s="5" t="inlineStr">
        <is>
          <t>GRC</t>
        </is>
      </c>
      <c r="D314" s="5" t="inlineStr">
        <is>
          <t>Greece</t>
        </is>
      </c>
      <c r="E314" s="5" t="n">
        <v>2021</v>
      </c>
      <c r="F314" s="5" t="n">
        <v>0.24</v>
      </c>
      <c r="G314" s="5" t="n">
        <v>2.042</v>
      </c>
      <c r="H314" s="5" t="n">
        <v>0.627</v>
      </c>
      <c r="I314" s="5" t="n">
        <v>1.596</v>
      </c>
      <c r="J314" s="5" t="n">
        <v>3.639</v>
      </c>
      <c r="K314" s="5" t="n">
        <v>0</v>
      </c>
      <c r="L314" s="5" t="n">
        <v>1</v>
      </c>
      <c r="M314" s="5" t="n">
        <v>3.398</v>
      </c>
      <c r="N314" s="5" t="n">
        <v>1.88</v>
      </c>
      <c r="O314" s="5" t="n">
        <v>1.501</v>
      </c>
      <c r="P314" s="5" t="n">
        <v>4.899</v>
      </c>
      <c r="Q314" s="5" t="n">
        <v>0</v>
      </c>
      <c r="R314" s="5" t="n">
        <v>1</v>
      </c>
      <c r="S314" s="5" t="n">
        <v>5.175</v>
      </c>
      <c r="T314" s="5" t="n">
        <v>3.759</v>
      </c>
      <c r="U314" s="5" t="n">
        <v>0.355</v>
      </c>
      <c r="V314" s="5" t="n">
        <v>6.857</v>
      </c>
      <c r="W314" s="5" t="n">
        <v>0.24</v>
      </c>
      <c r="X314" s="5" t="n">
        <v>1</v>
      </c>
      <c r="Y314" s="5" t="n">
        <v>16.757</v>
      </c>
      <c r="Z314" s="5" t="n">
        <v>1.851</v>
      </c>
      <c r="AA314" s="5" t="n">
        <v>-3.528</v>
      </c>
      <c r="AB314" s="5" t="n">
        <v>13.229</v>
      </c>
      <c r="AC314" s="5" t="n">
        <v>0</v>
      </c>
      <c r="AD314" s="5" t="n">
        <v>1</v>
      </c>
      <c r="AE314" s="5" t="n">
        <v>16.714</v>
      </c>
      <c r="AF314" s="5" t="n">
        <v>3.289</v>
      </c>
      <c r="AG314" s="5" t="n">
        <v>-3.484</v>
      </c>
      <c r="AH314" s="5" t="n">
        <v>13.229</v>
      </c>
      <c r="AI314" s="5" t="n">
        <v>0</v>
      </c>
      <c r="AJ314" s="5" t="n">
        <v>1</v>
      </c>
      <c r="AK314" s="5" t="n">
        <v>22.638</v>
      </c>
      <c r="AL314" s="5" t="n">
        <v>11.111</v>
      </c>
      <c r="AM314" s="5" t="n">
        <v>-3.253</v>
      </c>
      <c r="AN314" s="5" t="n">
        <v>24.037</v>
      </c>
      <c r="AO314" s="5" t="n">
        <v>0.24</v>
      </c>
      <c r="AP314" s="5" t="n">
        <v>1</v>
      </c>
      <c r="AQ314" s="5" t="n">
        <v>0.619</v>
      </c>
      <c r="AR314" s="5" t="n">
        <v>0.114</v>
      </c>
      <c r="AS314" s="5" t="n">
        <v>0.951</v>
      </c>
      <c r="AT314" s="5" t="n">
        <v>1.947</v>
      </c>
      <c r="AU314" s="5" t="n">
        <v>0.24</v>
      </c>
      <c r="AV314" s="5" t="n">
        <v>1</v>
      </c>
      <c r="AW314" s="5" t="n">
        <v>0.599</v>
      </c>
      <c r="AX314" s="5" t="n">
        <v>0.114</v>
      </c>
      <c r="AY314" s="5" t="n">
        <v>0.71</v>
      </c>
      <c r="AZ314" s="5" t="n">
        <v>1.624</v>
      </c>
      <c r="BA314" s="5" t="n">
        <v>0.24</v>
      </c>
      <c r="BB314" s="5" t="n">
        <v>1</v>
      </c>
      <c r="BC314" s="5" t="n">
        <v>0.439</v>
      </c>
      <c r="BD314" s="5" t="n">
        <v>0.114</v>
      </c>
      <c r="BE314" s="5" t="n">
        <v>0.391</v>
      </c>
      <c r="BF314" s="5" t="n">
        <v>1.029</v>
      </c>
      <c r="BG314" s="5" t="n">
        <v>0.24</v>
      </c>
      <c r="BH314" s="5" t="n">
        <v>1</v>
      </c>
      <c r="BI314" s="5" t="n">
        <v>0.505</v>
      </c>
      <c r="BJ314" s="5" t="n">
        <v>0.114</v>
      </c>
      <c r="BK314" s="5" t="n">
        <v>0.455</v>
      </c>
      <c r="BL314" s="5" t="n">
        <v>1.19</v>
      </c>
      <c r="BM314" s="5" t="n">
        <v>0.24</v>
      </c>
      <c r="BN314" s="5" t="n">
        <v>1</v>
      </c>
      <c r="BO314" s="5" t="n">
        <v>0</v>
      </c>
      <c r="BP314" s="5" t="n">
        <v>0.011</v>
      </c>
      <c r="BQ314" s="5" t="n">
        <v>0.135</v>
      </c>
      <c r="BR314" s="5" t="n">
        <v>0</v>
      </c>
      <c r="BS314" s="5" t="n">
        <v>1</v>
      </c>
      <c r="BT314" s="5" t="n">
        <v>0</v>
      </c>
      <c r="BU314" s="5" t="n">
        <v>0.033</v>
      </c>
      <c r="BV314" s="5" t="n">
        <v>0.216</v>
      </c>
      <c r="BW314" s="5" t="n">
        <v>0.24</v>
      </c>
      <c r="BX314" s="5" t="n">
        <v>1</v>
      </c>
      <c r="BY314" s="5" t="n">
        <v>11.787</v>
      </c>
      <c r="BZ314" s="5" t="n">
        <v>0</v>
      </c>
      <c r="CA314" s="5" t="n">
        <v>11.787</v>
      </c>
      <c r="CB314" s="5" t="n">
        <v>0</v>
      </c>
      <c r="CC314" s="5" t="n">
        <v>78.125</v>
      </c>
      <c r="CD314" s="5" t="n">
        <v>7.95</v>
      </c>
      <c r="CE314" s="5" t="n">
        <v>81.51600000000001</v>
      </c>
      <c r="CF314" s="5" t="n">
        <v>197.955</v>
      </c>
      <c r="CG314" s="5" t="n">
        <v>0.24</v>
      </c>
      <c r="CH314" s="5" t="n">
        <v>1</v>
      </c>
      <c r="CI314" s="5" t="n">
        <v>0</v>
      </c>
      <c r="CJ314" s="5" t="n">
        <v>0</v>
      </c>
      <c r="CK314" s="5" t="n">
        <v>0</v>
      </c>
      <c r="CL314" s="5" t="n">
        <v>0</v>
      </c>
      <c r="CM314" s="5" t="n">
        <v>0</v>
      </c>
      <c r="CN314" s="5" t="n">
        <v>0</v>
      </c>
      <c r="CO314" s="5" t="n">
        <v>0</v>
      </c>
      <c r="CP314" s="5" t="n">
        <v>0.904</v>
      </c>
      <c r="CQ314" s="5" t="n">
        <v>1.198</v>
      </c>
      <c r="CR314" s="5" t="n">
        <v>0</v>
      </c>
      <c r="CS314" s="5" t="n">
        <v>4.776</v>
      </c>
      <c r="CT314" s="5" t="n">
        <v>3.464</v>
      </c>
      <c r="CU314" s="5" t="n">
        <v>13.013</v>
      </c>
    </row>
    <row r="315">
      <c r="A315" s="5" t="inlineStr">
        <is>
          <t>GRC2022</t>
        </is>
      </c>
      <c r="B315" s="5" t="inlineStr">
        <is>
          <t>GRC</t>
        </is>
      </c>
      <c r="C315" s="5" t="inlineStr">
        <is>
          <t>GRC</t>
        </is>
      </c>
      <c r="D315" s="5" t="inlineStr">
        <is>
          <t>Greece</t>
        </is>
      </c>
      <c r="E315" s="5" t="n">
        <v>2022</v>
      </c>
      <c r="F315" s="5" t="n">
        <v>0.24</v>
      </c>
      <c r="G315" s="5" t="n">
        <v>2.192</v>
      </c>
      <c r="H315" s="5" t="n">
        <v>0.638</v>
      </c>
      <c r="I315" s="5" t="n">
        <v>8.765000000000001</v>
      </c>
      <c r="J315" s="5" t="n">
        <v>10.957</v>
      </c>
      <c r="K315" s="5" t="n">
        <v>0</v>
      </c>
      <c r="L315" s="5" t="n">
        <v>1</v>
      </c>
      <c r="M315" s="5" t="n">
        <v>3.369</v>
      </c>
      <c r="N315" s="5" t="n">
        <v>1.914</v>
      </c>
      <c r="O315" s="5" t="n">
        <v>8.196</v>
      </c>
      <c r="P315" s="5" t="n">
        <v>11.565</v>
      </c>
      <c r="Q315" s="5" t="n">
        <v>0</v>
      </c>
      <c r="R315" s="5" t="n">
        <v>1</v>
      </c>
      <c r="S315" s="5" t="n">
        <v>5.383</v>
      </c>
      <c r="T315" s="5" t="n">
        <v>3.829</v>
      </c>
      <c r="U315" s="5" t="n">
        <v>0.441</v>
      </c>
      <c r="V315" s="5" t="n">
        <v>7.096</v>
      </c>
      <c r="W315" s="5" t="n">
        <v>0.24</v>
      </c>
      <c r="X315" s="5" t="n">
        <v>1</v>
      </c>
      <c r="Y315" s="5" t="n">
        <v>35.158</v>
      </c>
      <c r="Z315" s="5" t="n">
        <v>3.688</v>
      </c>
      <c r="AA315" s="5" t="n">
        <v>-0.449</v>
      </c>
      <c r="AB315" s="5" t="n">
        <v>34.71</v>
      </c>
      <c r="AC315" s="5" t="n">
        <v>0</v>
      </c>
      <c r="AD315" s="5" t="n">
        <v>1</v>
      </c>
      <c r="AE315" s="5" t="n">
        <v>35.206</v>
      </c>
      <c r="AF315" s="5" t="n">
        <v>6.527</v>
      </c>
      <c r="AG315" s="5" t="n">
        <v>-0.497</v>
      </c>
      <c r="AH315" s="5" t="n">
        <v>34.71</v>
      </c>
      <c r="AI315" s="5" t="n">
        <v>0</v>
      </c>
      <c r="AJ315" s="5" t="n">
        <v>1</v>
      </c>
      <c r="AK315" s="5" t="n">
        <v>41.679</v>
      </c>
      <c r="AL315" s="5" t="n">
        <v>19.903</v>
      </c>
      <c r="AM315" s="5" t="n">
        <v>-13.136</v>
      </c>
      <c r="AN315" s="5" t="n">
        <v>35.393</v>
      </c>
      <c r="AO315" s="5" t="n">
        <v>0.24</v>
      </c>
      <c r="AP315" s="5" t="n">
        <v>1</v>
      </c>
      <c r="AQ315" s="5" t="n">
        <v>0.861</v>
      </c>
      <c r="AR315" s="5" t="n">
        <v>0.123</v>
      </c>
      <c r="AS315" s="5" t="n">
        <v>0.881</v>
      </c>
      <c r="AT315" s="5" t="n">
        <v>2.16</v>
      </c>
      <c r="AU315" s="5" t="n">
        <v>0.24</v>
      </c>
      <c r="AV315" s="5" t="n">
        <v>1</v>
      </c>
      <c r="AW315" s="5" t="n">
        <v>0.986</v>
      </c>
      <c r="AX315" s="5" t="n">
        <v>0.123</v>
      </c>
      <c r="AY315" s="5" t="n">
        <v>0.601</v>
      </c>
      <c r="AZ315" s="5" t="n">
        <v>1.968</v>
      </c>
      <c r="BA315" s="5" t="n">
        <v>0.24</v>
      </c>
      <c r="BB315" s="5" t="n">
        <v>1</v>
      </c>
      <c r="BC315" s="5" t="n">
        <v>0.598</v>
      </c>
      <c r="BD315" s="5" t="n">
        <v>0.123</v>
      </c>
      <c r="BE315" s="5" t="n">
        <v>0.285</v>
      </c>
      <c r="BF315" s="5" t="n">
        <v>1.095</v>
      </c>
      <c r="BG315" s="5" t="n">
        <v>0.24</v>
      </c>
      <c r="BH315" s="5" t="n">
        <v>1</v>
      </c>
      <c r="BI315" s="5" t="n">
        <v>0.612</v>
      </c>
      <c r="BJ315" s="5" t="n">
        <v>0.123</v>
      </c>
      <c r="BK315" s="5" t="n">
        <v>0.571</v>
      </c>
      <c r="BL315" s="5" t="n">
        <v>1.467</v>
      </c>
      <c r="BM315" s="5" t="n">
        <v>0.24</v>
      </c>
      <c r="BN315" s="5" t="n">
        <v>1</v>
      </c>
      <c r="BO315" s="5" t="n">
        <v>0</v>
      </c>
      <c r="BP315" s="5" t="n">
        <v>-0.097</v>
      </c>
      <c r="BQ315" s="5" t="n">
        <v>0.201</v>
      </c>
      <c r="BR315" s="5" t="n">
        <v>0</v>
      </c>
      <c r="BS315" s="5" t="n">
        <v>1</v>
      </c>
      <c r="BT315" s="5" t="n">
        <v>0</v>
      </c>
      <c r="BU315" s="5" t="n">
        <v>-0.17</v>
      </c>
      <c r="BV315" s="5" t="n">
        <v>0.239</v>
      </c>
      <c r="BW315" s="5" t="n">
        <v>0.24</v>
      </c>
      <c r="BX315" s="5" t="n">
        <v>1</v>
      </c>
      <c r="BY315" s="5" t="n">
        <v>12.729</v>
      </c>
      <c r="BZ315" s="5" t="n">
        <v>0</v>
      </c>
      <c r="CA315" s="5" t="n">
        <v>12.729</v>
      </c>
      <c r="CB315" s="5" t="n">
        <v>0</v>
      </c>
      <c r="CC315" s="5" t="n">
        <v>97.90000000000001</v>
      </c>
      <c r="CD315" s="5" t="n">
        <v>7.95</v>
      </c>
      <c r="CE315" s="5" t="n">
        <v>131.101</v>
      </c>
      <c r="CF315" s="5" t="n">
        <v>283.961</v>
      </c>
      <c r="CG315" s="5" t="n">
        <v>0.24</v>
      </c>
      <c r="CH315" s="5" t="n">
        <v>1</v>
      </c>
      <c r="CI315" s="5" t="n">
        <v>0</v>
      </c>
      <c r="CJ315" s="5" t="n">
        <v>0</v>
      </c>
      <c r="CK315" s="5" t="n">
        <v>0</v>
      </c>
      <c r="CL315" s="5" t="n">
        <v>0</v>
      </c>
      <c r="CM315" s="5" t="n">
        <v>0</v>
      </c>
      <c r="CN315" s="5" t="n">
        <v>0</v>
      </c>
      <c r="CO315" s="5" t="n">
        <v>0</v>
      </c>
      <c r="CP315" s="5" t="n">
        <v>0.966</v>
      </c>
      <c r="CQ315" s="5" t="n">
        <v>1.294</v>
      </c>
      <c r="CR315" s="5" t="n">
        <v>0</v>
      </c>
      <c r="CS315" s="5" t="n">
        <v>5.158</v>
      </c>
      <c r="CT315" s="5" t="n">
        <v>9.039999999999999</v>
      </c>
      <c r="CU315" s="5" t="n">
        <v>31.323</v>
      </c>
    </row>
    <row r="316">
      <c r="A316" s="5" t="inlineStr">
        <is>
          <t>GRC2023</t>
        </is>
      </c>
      <c r="B316" s="5" t="inlineStr">
        <is>
          <t>GRC</t>
        </is>
      </c>
      <c r="C316" s="5" t="inlineStr">
        <is>
          <t>GRC</t>
        </is>
      </c>
      <c r="D316" s="5" t="inlineStr">
        <is>
          <t>Greece</t>
        </is>
      </c>
      <c r="E316" s="5" t="n">
        <v>2023</v>
      </c>
      <c r="F316" s="5" t="n">
        <v>0.24</v>
      </c>
      <c r="G316" s="5" t="n">
        <v>2.14</v>
      </c>
      <c r="H316" s="5" t="n">
        <v>0.659</v>
      </c>
      <c r="I316" s="5" t="n">
        <v>10.158</v>
      </c>
      <c r="J316" s="5" t="n">
        <v>12.297</v>
      </c>
      <c r="K316" s="5" t="n">
        <v>0</v>
      </c>
      <c r="L316" s="5" t="n">
        <v>1</v>
      </c>
      <c r="M316" s="5" t="n">
        <v>3.393</v>
      </c>
      <c r="N316" s="5" t="n">
        <v>1.978</v>
      </c>
      <c r="O316" s="5" t="n">
        <v>9.504</v>
      </c>
      <c r="P316" s="5" t="n">
        <v>12.898</v>
      </c>
      <c r="Q316" s="5" t="n">
        <v>0</v>
      </c>
      <c r="R316" s="5" t="n">
        <v>1</v>
      </c>
      <c r="S316" s="5" t="n">
        <v>5.436</v>
      </c>
      <c r="T316" s="5" t="n">
        <v>3.955</v>
      </c>
      <c r="U316" s="5" t="n">
        <v>0.477</v>
      </c>
      <c r="V316" s="5" t="n">
        <v>7.142</v>
      </c>
      <c r="W316" s="5" t="n">
        <v>0.24</v>
      </c>
      <c r="X316" s="5" t="n">
        <v>1</v>
      </c>
      <c r="Y316" s="5" t="n">
        <v>16.156</v>
      </c>
      <c r="Z316" s="5" t="n">
        <v>1.81</v>
      </c>
      <c r="AA316" s="5" t="n">
        <v>8.715</v>
      </c>
      <c r="AB316" s="5" t="n">
        <v>24.871</v>
      </c>
      <c r="AC316" s="5" t="n">
        <v>0</v>
      </c>
      <c r="AD316" s="5" t="n">
        <v>1</v>
      </c>
      <c r="AE316" s="5" t="n">
        <v>16.255</v>
      </c>
      <c r="AF316" s="5" t="n">
        <v>3.237</v>
      </c>
      <c r="AG316" s="5" t="n">
        <v>8.616</v>
      </c>
      <c r="AH316" s="5" t="n">
        <v>24.871</v>
      </c>
      <c r="AI316" s="5" t="n">
        <v>0</v>
      </c>
      <c r="AJ316" s="5" t="n">
        <v>1</v>
      </c>
      <c r="AK316" s="5" t="n">
        <v>23.033</v>
      </c>
      <c r="AL316" s="5" t="n">
        <v>11.41</v>
      </c>
      <c r="AM316" s="5" t="n">
        <v>2.557</v>
      </c>
      <c r="AN316" s="5" t="n">
        <v>31.731</v>
      </c>
      <c r="AO316" s="5" t="n">
        <v>0.24</v>
      </c>
      <c r="AP316" s="5" t="n">
        <v>1</v>
      </c>
      <c r="AQ316" s="5" t="n">
        <v>0.76</v>
      </c>
      <c r="AR316" s="5" t="n">
        <v>0.129</v>
      </c>
      <c r="AS316" s="5" t="n">
        <v>0.898</v>
      </c>
      <c r="AT316" s="5" t="n">
        <v>2.057</v>
      </c>
      <c r="AU316" s="5" t="n">
        <v>0.24</v>
      </c>
      <c r="AV316" s="5" t="n">
        <v>1</v>
      </c>
      <c r="AW316" s="5" t="n">
        <v>0.8110000000000001</v>
      </c>
      <c r="AX316" s="5" t="n">
        <v>0.129</v>
      </c>
      <c r="AY316" s="5" t="n">
        <v>0.67</v>
      </c>
      <c r="AZ316" s="5" t="n">
        <v>1.837</v>
      </c>
      <c r="BA316" s="5" t="n">
        <v>0.24</v>
      </c>
      <c r="BB316" s="5" t="n">
        <v>1</v>
      </c>
      <c r="BC316" s="5" t="n">
        <v>0.535</v>
      </c>
      <c r="BD316" s="5" t="n">
        <v>0.129</v>
      </c>
      <c r="BE316" s="5" t="n">
        <v>0.253</v>
      </c>
      <c r="BF316" s="5" t="n">
        <v>0.977</v>
      </c>
      <c r="BG316" s="5" t="n">
        <v>0.24</v>
      </c>
      <c r="BH316" s="5" t="n">
        <v>1</v>
      </c>
      <c r="BI316" s="5" t="n">
        <v>0.579</v>
      </c>
      <c r="BJ316" s="5" t="n">
        <v>0.129</v>
      </c>
      <c r="BK316" s="5" t="n">
        <v>0.535</v>
      </c>
      <c r="BL316" s="5" t="n">
        <v>1.382</v>
      </c>
      <c r="BM316" s="5" t="n">
        <v>0.24</v>
      </c>
      <c r="BN316" s="5" t="n">
        <v>1</v>
      </c>
      <c r="BO316" s="5" t="n">
        <v>0</v>
      </c>
      <c r="BP316" s="5" t="n">
        <v>0.01</v>
      </c>
      <c r="BQ316" s="5" t="n">
        <v>0.165</v>
      </c>
      <c r="BR316" s="5" t="n">
        <v>0</v>
      </c>
      <c r="BS316" s="5" t="n">
        <v>1</v>
      </c>
      <c r="BT316" s="5" t="n">
        <v>0</v>
      </c>
      <c r="BU316" s="5" t="n">
        <v>0.032</v>
      </c>
      <c r="BV316" s="5" t="n">
        <v>0.251</v>
      </c>
      <c r="BW316" s="5" t="n">
        <v>0.24</v>
      </c>
      <c r="BX316" s="5" t="n">
        <v>1</v>
      </c>
      <c r="BY316" s="5" t="n">
        <v>13.254</v>
      </c>
      <c r="BZ316" s="5" t="n">
        <v>0</v>
      </c>
      <c r="CA316" s="5" t="n">
        <v>13.254</v>
      </c>
      <c r="CB316" s="5" t="n">
        <v>0</v>
      </c>
      <c r="CC316" s="5" t="n">
        <v>83.248</v>
      </c>
      <c r="CD316" s="5" t="n">
        <v>7.95</v>
      </c>
      <c r="CE316" s="5" t="n">
        <v>130.771</v>
      </c>
      <c r="CF316" s="5" t="n">
        <v>265.383</v>
      </c>
      <c r="CG316" s="5" t="n">
        <v>0.24</v>
      </c>
      <c r="CH316" s="5" t="n">
        <v>1</v>
      </c>
      <c r="CI316" s="5" t="n">
        <v>0</v>
      </c>
      <c r="CJ316" s="5" t="n">
        <v>0</v>
      </c>
      <c r="CK316" s="5" t="n">
        <v>0</v>
      </c>
      <c r="CL316" s="5" t="n">
        <v>0</v>
      </c>
      <c r="CM316" s="5" t="n">
        <v>0</v>
      </c>
      <c r="CN316" s="5" t="n">
        <v>0</v>
      </c>
      <c r="CO316" s="5" t="n">
        <v>0</v>
      </c>
      <c r="CP316" s="5" t="n">
        <v>0.975</v>
      </c>
      <c r="CQ316" s="5" t="n">
        <v>1.348</v>
      </c>
      <c r="CR316" s="5" t="n">
        <v>0</v>
      </c>
      <c r="CS316" s="5" t="n">
        <v>5.37</v>
      </c>
      <c r="CT316" s="5" t="n">
        <v>6.569</v>
      </c>
      <c r="CU316" s="5" t="n">
        <v>12.27</v>
      </c>
    </row>
    <row r="317">
      <c r="A317" s="5" t="inlineStr">
        <is>
          <t>GRC2024</t>
        </is>
      </c>
      <c r="B317" s="5" t="inlineStr">
        <is>
          <t>GRC</t>
        </is>
      </c>
      <c r="C317" s="5" t="inlineStr">
        <is>
          <t>GRC</t>
        </is>
      </c>
      <c r="D317" s="5" t="inlineStr">
        <is>
          <t>Greece</t>
        </is>
      </c>
      <c r="E317" s="5" t="n">
        <v>2024</v>
      </c>
      <c r="F317" s="5" t="n">
        <v>0.24</v>
      </c>
      <c r="G317" s="5" t="n">
        <v>2.153</v>
      </c>
      <c r="H317" s="5" t="n">
        <v>0.679</v>
      </c>
      <c r="I317" s="5" t="n">
        <v>6.657</v>
      </c>
      <c r="J317" s="5" t="n">
        <v>8.81</v>
      </c>
      <c r="K317" s="5" t="n">
        <v>0</v>
      </c>
      <c r="L317" s="5" t="n">
        <v>1</v>
      </c>
      <c r="M317" s="5" t="n">
        <v>3.468</v>
      </c>
      <c r="N317" s="5" t="n">
        <v>2.036</v>
      </c>
      <c r="O317" s="5" t="n">
        <v>6.24</v>
      </c>
      <c r="P317" s="5" t="n">
        <v>9.708</v>
      </c>
      <c r="Q317" s="5" t="n">
        <v>0</v>
      </c>
      <c r="R317" s="5" t="n">
        <v>1</v>
      </c>
      <c r="S317" s="5" t="n">
        <v>5.546</v>
      </c>
      <c r="T317" s="5" t="n">
        <v>4.072</v>
      </c>
      <c r="U317" s="5" t="n">
        <v>0.526</v>
      </c>
      <c r="V317" s="5" t="n">
        <v>7.291</v>
      </c>
      <c r="W317" s="5" t="n">
        <v>0.24</v>
      </c>
      <c r="X317" s="5" t="n">
        <v>1</v>
      </c>
      <c r="Y317" s="5" t="n">
        <v>12.457</v>
      </c>
      <c r="Z317" s="5" t="n">
        <v>1.573</v>
      </c>
      <c r="AA317" s="5" t="n">
        <v>4.821</v>
      </c>
      <c r="AB317" s="5" t="n">
        <v>17.278</v>
      </c>
      <c r="AC317" s="5" t="n">
        <v>0</v>
      </c>
      <c r="AD317" s="5" t="n">
        <v>1</v>
      </c>
      <c r="AE317" s="5" t="n">
        <v>12.457</v>
      </c>
      <c r="AF317" s="5" t="n">
        <v>2.729</v>
      </c>
      <c r="AG317" s="5" t="n">
        <v>4.821</v>
      </c>
      <c r="AH317" s="5" t="n">
        <v>17.278</v>
      </c>
      <c r="AI317" s="5" t="n">
        <v>0</v>
      </c>
      <c r="AJ317" s="5" t="n">
        <v>1</v>
      </c>
      <c r="AK317" s="5" t="n">
        <v>19.921</v>
      </c>
      <c r="AL317" s="5" t="n">
        <v>10.132</v>
      </c>
      <c r="AM317" s="5" t="n">
        <v>0.553</v>
      </c>
      <c r="AN317" s="5" t="n">
        <v>25.388</v>
      </c>
      <c r="AO317" s="5" t="n">
        <v>0.24</v>
      </c>
      <c r="AP317" s="5" t="n">
        <v>1</v>
      </c>
      <c r="AQ317" s="5" t="n">
        <v>0.724</v>
      </c>
      <c r="AR317" s="5" t="n">
        <v>0.132</v>
      </c>
      <c r="AS317" s="5" t="n">
        <v>0.895</v>
      </c>
      <c r="AT317" s="5" t="n">
        <v>2.008</v>
      </c>
      <c r="AU317" s="5" t="n">
        <v>0.24</v>
      </c>
      <c r="AV317" s="5" t="n">
        <v>1</v>
      </c>
      <c r="AW317" s="5" t="n">
        <v>0.75</v>
      </c>
      <c r="AX317" s="5" t="n">
        <v>0.132</v>
      </c>
      <c r="AY317" s="5" t="n">
        <v>0.671</v>
      </c>
      <c r="AZ317" s="5" t="n">
        <v>1.762</v>
      </c>
      <c r="BA317" s="5" t="n">
        <v>0.24</v>
      </c>
      <c r="BB317" s="5" t="n">
        <v>1</v>
      </c>
      <c r="BC317" s="5" t="n">
        <v>0.513</v>
      </c>
      <c r="BD317" s="5" t="n">
        <v>0.132</v>
      </c>
      <c r="BE317" s="5" t="n">
        <v>0.258</v>
      </c>
      <c r="BF317" s="5" t="n">
        <v>0.956</v>
      </c>
      <c r="BG317" s="5" t="n">
        <v>0.24</v>
      </c>
      <c r="BH317" s="5" t="n">
        <v>1</v>
      </c>
      <c r="BI317" s="5" t="n">
        <v>0.591</v>
      </c>
      <c r="BJ317" s="5" t="n">
        <v>0.132</v>
      </c>
      <c r="BK317" s="5" t="n">
        <v>0.475</v>
      </c>
      <c r="BL317" s="5" t="n">
        <v>1.322</v>
      </c>
      <c r="BM317" s="5" t="n">
        <v>0.24</v>
      </c>
      <c r="BN317" s="5" t="n">
        <v>1</v>
      </c>
      <c r="BO317" s="5" t="n">
        <v>0</v>
      </c>
      <c r="BP317" s="5" t="n">
        <v>0.011</v>
      </c>
      <c r="BQ317" s="5" t="n">
        <v>0.152</v>
      </c>
      <c r="BR317" s="5" t="n">
        <v>0</v>
      </c>
      <c r="BS317" s="5" t="n">
        <v>1</v>
      </c>
      <c r="BT317" s="5" t="n">
        <v>0</v>
      </c>
      <c r="BU317" s="5" t="n">
        <v>0.025</v>
      </c>
      <c r="BV317" s="5" t="n">
        <v>0.245</v>
      </c>
      <c r="BW317" s="5" t="n">
        <v>0.24</v>
      </c>
      <c r="BX317" s="5" t="n">
        <v>1</v>
      </c>
      <c r="BY317" s="5" t="n">
        <v>13.646</v>
      </c>
      <c r="BZ317" s="5" t="n">
        <v>0</v>
      </c>
      <c r="CA317" s="5" t="n">
        <v>13.646</v>
      </c>
      <c r="CB317" s="5" t="n">
        <v>0</v>
      </c>
      <c r="CC317" s="5" t="n">
        <v>82.58799999999999</v>
      </c>
      <c r="CD317" s="5" t="n">
        <v>7.95</v>
      </c>
      <c r="CE317" s="5" t="n">
        <v>119.18</v>
      </c>
      <c r="CF317" s="5" t="n">
        <v>250.192</v>
      </c>
      <c r="CG317" s="5" t="n">
        <v>0.24</v>
      </c>
      <c r="CH317" s="5" t="n">
        <v>1</v>
      </c>
      <c r="CI317" s="5" t="n">
        <v>0</v>
      </c>
      <c r="CJ317" s="5" t="n">
        <v>0</v>
      </c>
      <c r="CK317" s="5" t="n">
        <v>0</v>
      </c>
      <c r="CL317" s="5" t="n">
        <v>0</v>
      </c>
      <c r="CM317" s="5" t="n">
        <v>0</v>
      </c>
      <c r="CN317" s="5" t="n">
        <v>0</v>
      </c>
      <c r="CO317" s="5" t="n">
        <v>0</v>
      </c>
      <c r="CP317" s="5" t="n">
        <v>0.975</v>
      </c>
      <c r="CQ317" s="5" t="n">
        <v>1.387</v>
      </c>
      <c r="CR317" s="5" t="n">
        <v>0</v>
      </c>
      <c r="CS317" s="5" t="n">
        <v>5.529</v>
      </c>
      <c r="CT317" s="5" t="n">
        <v>4.797</v>
      </c>
      <c r="CU317" s="5" t="n">
        <v>9.568</v>
      </c>
    </row>
    <row r="318">
      <c r="A318" s="5" t="inlineStr">
        <is>
          <t>GRL2021</t>
        </is>
      </c>
      <c r="B318" s="5" t="inlineStr">
        <is>
          <t>GRL</t>
        </is>
      </c>
      <c r="C318" s="5" t="inlineStr">
        <is>
          <t>GRL</t>
        </is>
      </c>
      <c r="D318" s="5" t="inlineStr">
        <is>
          <t>Greenland</t>
        </is>
      </c>
      <c r="E318" s="5" t="n">
        <v>2021</v>
      </c>
      <c r="F318" s="5" t="n">
        <v>0</v>
      </c>
      <c r="G318" s="5" t="n">
        <v>5.553</v>
      </c>
      <c r="H318" s="5" t="n">
        <v>1.143</v>
      </c>
      <c r="I318" s="5" t="n">
        <v>0</v>
      </c>
      <c r="J318" s="5" t="n">
        <v>5.553</v>
      </c>
      <c r="K318" s="5" t="n">
        <v>0</v>
      </c>
      <c r="L318" s="5" t="n">
        <v>1</v>
      </c>
      <c r="M318" s="5" t="n">
        <v>7.964</v>
      </c>
      <c r="N318" s="5" t="n">
        <v>3.43</v>
      </c>
      <c r="O318" s="5" t="n">
        <v>0</v>
      </c>
      <c r="P318" s="5" t="n">
        <v>7.964</v>
      </c>
      <c r="Q318" s="5" t="n">
        <v>0</v>
      </c>
      <c r="R318" s="5" t="n">
        <v>1</v>
      </c>
      <c r="S318" s="5" t="n">
        <v>11.27</v>
      </c>
      <c r="T318" s="5" t="n">
        <v>6.86</v>
      </c>
      <c r="U318" s="5" t="n">
        <v>0</v>
      </c>
      <c r="V318" s="5" t="n">
        <v>11.27</v>
      </c>
      <c r="W318" s="5" t="n">
        <v>0</v>
      </c>
      <c r="X318" s="5" t="n">
        <v>1</v>
      </c>
      <c r="Y318" s="5" t="n">
        <v>16.305</v>
      </c>
      <c r="Z318" s="5" t="n">
        <v>2.204</v>
      </c>
      <c r="AA318" s="5" t="n">
        <v>0</v>
      </c>
      <c r="AB318" s="5" t="n">
        <v>16.305</v>
      </c>
      <c r="AC318" s="5" t="n">
        <v>0</v>
      </c>
      <c r="AD318" s="5" t="n">
        <v>1</v>
      </c>
      <c r="AE318" s="5" t="n">
        <v>17.449</v>
      </c>
      <c r="AF318" s="5" t="n">
        <v>4.08</v>
      </c>
      <c r="AG318" s="5" t="n">
        <v>0</v>
      </c>
      <c r="AH318" s="5" t="n">
        <v>17.449</v>
      </c>
      <c r="AI318" s="5" t="n">
        <v>0</v>
      </c>
      <c r="AJ318" s="5" t="n">
        <v>1</v>
      </c>
      <c r="AK318" s="5" t="n">
        <v>24.309</v>
      </c>
      <c r="AL318" s="5" t="n">
        <v>12.947</v>
      </c>
      <c r="AM318" s="5" t="n">
        <v>0</v>
      </c>
      <c r="AN318" s="5" t="n">
        <v>24.309</v>
      </c>
      <c r="AO318" s="5" t="n">
        <v>0</v>
      </c>
      <c r="AP318" s="5" t="n">
        <v>1</v>
      </c>
      <c r="AQ318" s="5" t="n">
        <v>0.619</v>
      </c>
      <c r="AR318" s="5" t="n">
        <v>0.114</v>
      </c>
      <c r="AS318" s="5" t="n">
        <v>0.118</v>
      </c>
      <c r="AT318" s="5" t="n">
        <v>0.737</v>
      </c>
      <c r="AU318" s="5" t="n">
        <v>0</v>
      </c>
      <c r="AV318" s="5" t="n">
        <v>1</v>
      </c>
      <c r="AW318" s="5" t="n">
        <v>0.599</v>
      </c>
      <c r="AX318" s="5" t="n">
        <v>0.114</v>
      </c>
      <c r="AY318" s="5" t="n">
        <v>0.127</v>
      </c>
      <c r="AZ318" s="5" t="n">
        <v>0.726</v>
      </c>
      <c r="BA318" s="5" t="n">
        <v>0</v>
      </c>
      <c r="BB318" s="5" t="n">
        <v>0</v>
      </c>
      <c r="BC318" s="5" t="n">
        <v>0.439</v>
      </c>
      <c r="BD318" s="5" t="n">
        <v>0.114</v>
      </c>
      <c r="BE318" s="5" t="n">
        <v>0</v>
      </c>
      <c r="BF318" s="5" t="n">
        <v>0.439</v>
      </c>
      <c r="BG318" s="5" t="n">
        <v>0</v>
      </c>
      <c r="BH318" s="5" t="n">
        <v>1</v>
      </c>
      <c r="BI318" s="5" t="n">
        <v>0.505</v>
      </c>
      <c r="BJ318" s="5" t="n">
        <v>0.114</v>
      </c>
      <c r="BK318" s="5" t="n">
        <v>0.242</v>
      </c>
      <c r="BL318" s="5" t="n">
        <v>0.747</v>
      </c>
      <c r="BM318" s="5" t="n">
        <v>0</v>
      </c>
      <c r="BN318" s="5" t="n">
        <v>1</v>
      </c>
      <c r="BO318" s="5" t="n">
        <v>0</v>
      </c>
      <c r="BP318" s="5" t="n">
        <v>0</v>
      </c>
      <c r="BQ318" s="5" t="n">
        <v>0</v>
      </c>
      <c r="BR318" s="5" t="n">
        <v>0</v>
      </c>
      <c r="BS318" s="5" t="n">
        <v>1</v>
      </c>
      <c r="BT318" s="5" t="n">
        <v>0</v>
      </c>
      <c r="BU318" s="5" t="n">
        <v>0</v>
      </c>
      <c r="BV318" s="5" t="n">
        <v>0</v>
      </c>
      <c r="BW318" s="5" t="n">
        <v>0</v>
      </c>
      <c r="BX318" s="5" t="n">
        <v>1</v>
      </c>
      <c r="BY318" s="5" t="n">
        <v>11.787</v>
      </c>
      <c r="BZ318" s="5" t="n">
        <v>0</v>
      </c>
      <c r="CA318" s="5" t="n">
        <v>11.787</v>
      </c>
      <c r="CB318" s="5" t="n">
        <v>0</v>
      </c>
      <c r="CC318" s="5" t="n">
        <v>78.125</v>
      </c>
      <c r="CD318" s="5" t="n">
        <v>7.95</v>
      </c>
      <c r="CE318" s="5" t="n">
        <v>40.653</v>
      </c>
      <c r="CF318" s="5" t="n">
        <v>118.778</v>
      </c>
      <c r="CG318" s="5" t="n">
        <v>0</v>
      </c>
      <c r="CH318" s="5" t="n">
        <v>1</v>
      </c>
      <c r="CI318" s="5" t="n">
        <v>0</v>
      </c>
      <c r="CJ318" s="5" t="n">
        <v>0</v>
      </c>
      <c r="CK318" s="5" t="n">
        <v>0</v>
      </c>
      <c r="CL318" s="5" t="n">
        <v>0</v>
      </c>
      <c r="CM318" s="5" t="n">
        <v>0</v>
      </c>
      <c r="CN318" s="5" t="n">
        <v>0</v>
      </c>
      <c r="CO318" s="5" t="n">
        <v>0</v>
      </c>
      <c r="CP318" s="5" t="n">
        <v>0</v>
      </c>
      <c r="CQ318" s="5" t="n">
        <v>1.198</v>
      </c>
      <c r="CR318" s="5" t="n">
        <v>0</v>
      </c>
      <c r="CS318" s="5" t="n">
        <v>4.776</v>
      </c>
      <c r="CT318" s="5" t="n">
        <v>4.41</v>
      </c>
      <c r="CU318" s="5" t="n">
        <v>15.162</v>
      </c>
    </row>
    <row r="319">
      <c r="A319" s="5" t="inlineStr">
        <is>
          <t>GRL2022</t>
        </is>
      </c>
      <c r="B319" s="5" t="inlineStr">
        <is>
          <t>GRL</t>
        </is>
      </c>
      <c r="C319" s="5" t="inlineStr">
        <is>
          <t>GRL</t>
        </is>
      </c>
      <c r="D319" s="5" t="inlineStr">
        <is>
          <t>Greenland</t>
        </is>
      </c>
      <c r="E319" s="5" t="n">
        <v>2022</v>
      </c>
      <c r="F319" s="5" t="n">
        <v>0</v>
      </c>
      <c r="G319" s="5" t="n">
        <v>7.077</v>
      </c>
      <c r="H319" s="5" t="n">
        <v>1.235</v>
      </c>
      <c r="I319" s="5" t="n">
        <v>0</v>
      </c>
      <c r="J319" s="5" t="n">
        <v>7.077</v>
      </c>
      <c r="K319" s="5" t="n">
        <v>0</v>
      </c>
      <c r="L319" s="5" t="n">
        <v>1</v>
      </c>
      <c r="M319" s="5" t="n">
        <v>9.782999999999999</v>
      </c>
      <c r="N319" s="5" t="n">
        <v>3.704</v>
      </c>
      <c r="O319" s="5" t="n">
        <v>0</v>
      </c>
      <c r="P319" s="5" t="n">
        <v>9.782999999999999</v>
      </c>
      <c r="Q319" s="5" t="n">
        <v>0</v>
      </c>
      <c r="R319" s="5" t="n">
        <v>1</v>
      </c>
      <c r="S319" s="5" t="n">
        <v>13.25</v>
      </c>
      <c r="T319" s="5" t="n">
        <v>7.408</v>
      </c>
      <c r="U319" s="5" t="n">
        <v>0</v>
      </c>
      <c r="V319" s="5" t="n">
        <v>13.25</v>
      </c>
      <c r="W319" s="5" t="n">
        <v>0</v>
      </c>
      <c r="X319" s="5" t="n">
        <v>1</v>
      </c>
      <c r="Y319" s="5" t="n">
        <v>32.56</v>
      </c>
      <c r="Z319" s="5" t="n">
        <v>4.401</v>
      </c>
      <c r="AA319" s="5" t="n">
        <v>0</v>
      </c>
      <c r="AB319" s="5" t="n">
        <v>32.56</v>
      </c>
      <c r="AC319" s="5" t="n">
        <v>0</v>
      </c>
      <c r="AD319" s="5" t="n">
        <v>1</v>
      </c>
      <c r="AE319" s="5" t="n">
        <v>33.795</v>
      </c>
      <c r="AF319" s="5" t="n">
        <v>7.902</v>
      </c>
      <c r="AG319" s="5" t="n">
        <v>0</v>
      </c>
      <c r="AH319" s="5" t="n">
        <v>33.795</v>
      </c>
      <c r="AI319" s="5" t="n">
        <v>0</v>
      </c>
      <c r="AJ319" s="5" t="n">
        <v>1</v>
      </c>
      <c r="AK319" s="5" t="n">
        <v>41.203</v>
      </c>
      <c r="AL319" s="5" t="n">
        <v>21.945</v>
      </c>
      <c r="AM319" s="5" t="n">
        <v>0</v>
      </c>
      <c r="AN319" s="5" t="n">
        <v>41.203</v>
      </c>
      <c r="AO319" s="5" t="n">
        <v>0</v>
      </c>
      <c r="AP319" s="5" t="n">
        <v>1</v>
      </c>
      <c r="AQ319" s="5" t="n">
        <v>0.861</v>
      </c>
      <c r="AR319" s="5" t="n">
        <v>0.123</v>
      </c>
      <c r="AS319" s="5" t="n">
        <v>-0.23</v>
      </c>
      <c r="AT319" s="5" t="n">
        <v>0.631</v>
      </c>
      <c r="AU319" s="5" t="n">
        <v>0</v>
      </c>
      <c r="AV319" s="5" t="n">
        <v>1</v>
      </c>
      <c r="AW319" s="5" t="n">
        <v>0.986</v>
      </c>
      <c r="AX319" s="5" t="n">
        <v>0.123</v>
      </c>
      <c r="AY319" s="5" t="n">
        <v>-0.361</v>
      </c>
      <c r="AZ319" s="5" t="n">
        <v>0.625</v>
      </c>
      <c r="BA319" s="5" t="n">
        <v>0</v>
      </c>
      <c r="BB319" s="5" t="n">
        <v>0</v>
      </c>
      <c r="BC319" s="5" t="n">
        <v>0.598</v>
      </c>
      <c r="BD319" s="5" t="n">
        <v>0.123</v>
      </c>
      <c r="BE319" s="5" t="n">
        <v>0</v>
      </c>
      <c r="BF319" s="5" t="n">
        <v>0.598</v>
      </c>
      <c r="BG319" s="5" t="n">
        <v>0</v>
      </c>
      <c r="BH319" s="5" t="n">
        <v>1</v>
      </c>
      <c r="BI319" s="5" t="n">
        <v>0.612</v>
      </c>
      <c r="BJ319" s="5" t="n">
        <v>0.123</v>
      </c>
      <c r="BK319" s="5" t="n">
        <v>0.031</v>
      </c>
      <c r="BL319" s="5" t="n">
        <v>0.643</v>
      </c>
      <c r="BM319" s="5" t="n">
        <v>0</v>
      </c>
      <c r="BN319" s="5" t="n">
        <v>1</v>
      </c>
      <c r="BO319" s="5" t="n">
        <v>0</v>
      </c>
      <c r="BP319" s="5" t="n">
        <v>0</v>
      </c>
      <c r="BQ319" s="5" t="n">
        <v>0</v>
      </c>
      <c r="BR319" s="5" t="n">
        <v>0</v>
      </c>
      <c r="BS319" s="5" t="n">
        <v>1</v>
      </c>
      <c r="BT319" s="5" t="n">
        <v>0</v>
      </c>
      <c r="BU319" s="5" t="n">
        <v>0</v>
      </c>
      <c r="BV319" s="5" t="n">
        <v>0</v>
      </c>
      <c r="BW319" s="5" t="n">
        <v>0</v>
      </c>
      <c r="BX319" s="5" t="n">
        <v>1</v>
      </c>
      <c r="BY319" s="5" t="n">
        <v>12.729</v>
      </c>
      <c r="BZ319" s="5" t="n">
        <v>0</v>
      </c>
      <c r="CA319" s="5" t="n">
        <v>12.729</v>
      </c>
      <c r="CB319" s="5" t="n">
        <v>0</v>
      </c>
      <c r="CC319" s="5" t="n">
        <v>97.90000000000001</v>
      </c>
      <c r="CD319" s="5" t="n">
        <v>7.95</v>
      </c>
      <c r="CE319" s="5" t="n">
        <v>4.338</v>
      </c>
      <c r="CF319" s="5" t="n">
        <v>102.238</v>
      </c>
      <c r="CG319" s="5" t="n">
        <v>0</v>
      </c>
      <c r="CH319" s="5" t="n">
        <v>1</v>
      </c>
      <c r="CI319" s="5" t="n">
        <v>0</v>
      </c>
      <c r="CJ319" s="5" t="n">
        <v>0</v>
      </c>
      <c r="CK319" s="5" t="n">
        <v>0</v>
      </c>
      <c r="CL319" s="5" t="n">
        <v>0</v>
      </c>
      <c r="CM319" s="5" t="n">
        <v>0</v>
      </c>
      <c r="CN319" s="5" t="n">
        <v>0</v>
      </c>
      <c r="CO319" s="5" t="n">
        <v>0</v>
      </c>
      <c r="CP319" s="5" t="n">
        <v>0</v>
      </c>
      <c r="CQ319" s="5" t="n">
        <v>1.294</v>
      </c>
      <c r="CR319" s="5" t="n">
        <v>0</v>
      </c>
      <c r="CS319" s="5" t="n">
        <v>5.158</v>
      </c>
      <c r="CT319" s="5" t="n">
        <v>5.842</v>
      </c>
      <c r="CU319" s="5" t="n">
        <v>31.326</v>
      </c>
    </row>
    <row r="320">
      <c r="A320" s="5" t="inlineStr">
        <is>
          <t>GRL2023</t>
        </is>
      </c>
      <c r="B320" s="5" t="inlineStr">
        <is>
          <t>GRL</t>
        </is>
      </c>
      <c r="C320" s="5" t="inlineStr">
        <is>
          <t>GRL</t>
        </is>
      </c>
      <c r="D320" s="5" t="inlineStr">
        <is>
          <t>Greenland</t>
        </is>
      </c>
      <c r="E320" s="5" t="n">
        <v>2023</v>
      </c>
      <c r="F320" s="5" t="n">
        <v>0</v>
      </c>
      <c r="G320" s="5" t="n">
        <v>4.752</v>
      </c>
      <c r="H320" s="5" t="n">
        <v>1.286</v>
      </c>
      <c r="I320" s="5" t="n">
        <v>0</v>
      </c>
      <c r="J320" s="5" t="n">
        <v>4.752</v>
      </c>
      <c r="K320" s="5" t="n">
        <v>0</v>
      </c>
      <c r="L320" s="5" t="n">
        <v>1</v>
      </c>
      <c r="M320" s="5" t="n">
        <v>7.886</v>
      </c>
      <c r="N320" s="5" t="n">
        <v>3.857</v>
      </c>
      <c r="O320" s="5" t="n">
        <v>0</v>
      </c>
      <c r="P320" s="5" t="n">
        <v>7.886</v>
      </c>
      <c r="Q320" s="5" t="n">
        <v>0</v>
      </c>
      <c r="R320" s="5" t="n">
        <v>1</v>
      </c>
      <c r="S320" s="5" t="n">
        <v>11.18</v>
      </c>
      <c r="T320" s="5" t="n">
        <v>7.714</v>
      </c>
      <c r="U320" s="5" t="n">
        <v>0</v>
      </c>
      <c r="V320" s="5" t="n">
        <v>11.18</v>
      </c>
      <c r="W320" s="5" t="n">
        <v>0</v>
      </c>
      <c r="X320" s="5" t="n">
        <v>1</v>
      </c>
      <c r="Y320" s="5" t="n">
        <v>12.908</v>
      </c>
      <c r="Z320" s="5" t="n">
        <v>1.745</v>
      </c>
      <c r="AA320" s="5" t="n">
        <v>0</v>
      </c>
      <c r="AB320" s="5" t="n">
        <v>12.908</v>
      </c>
      <c r="AC320" s="5" t="n">
        <v>0</v>
      </c>
      <c r="AD320" s="5" t="n">
        <v>1</v>
      </c>
      <c r="AE320" s="5" t="n">
        <v>14.194</v>
      </c>
      <c r="AF320" s="5" t="n">
        <v>3.319</v>
      </c>
      <c r="AG320" s="5" t="n">
        <v>0</v>
      </c>
      <c r="AH320" s="5" t="n">
        <v>14.194</v>
      </c>
      <c r="AI320" s="5" t="n">
        <v>0</v>
      </c>
      <c r="AJ320" s="5" t="n">
        <v>1</v>
      </c>
      <c r="AK320" s="5" t="n">
        <v>21.908</v>
      </c>
      <c r="AL320" s="5" t="n">
        <v>11.668</v>
      </c>
      <c r="AM320" s="5" t="n">
        <v>0</v>
      </c>
      <c r="AN320" s="5" t="n">
        <v>21.908</v>
      </c>
      <c r="AO320" s="5" t="n">
        <v>0</v>
      </c>
      <c r="AP320" s="5" t="n">
        <v>1</v>
      </c>
      <c r="AQ320" s="5" t="n">
        <v>0.76</v>
      </c>
      <c r="AR320" s="5" t="n">
        <v>0.129</v>
      </c>
      <c r="AS320" s="5" t="n">
        <v>-0.111</v>
      </c>
      <c r="AT320" s="5" t="n">
        <v>0.649</v>
      </c>
      <c r="AU320" s="5" t="n">
        <v>0</v>
      </c>
      <c r="AV320" s="5" t="n">
        <v>1</v>
      </c>
      <c r="AW320" s="5" t="n">
        <v>0.8110000000000001</v>
      </c>
      <c r="AX320" s="5" t="n">
        <v>0.129</v>
      </c>
      <c r="AY320" s="5" t="n">
        <v>-0.17</v>
      </c>
      <c r="AZ320" s="5" t="n">
        <v>0.642</v>
      </c>
      <c r="BA320" s="5" t="n">
        <v>0</v>
      </c>
      <c r="BB320" s="5" t="n">
        <v>0</v>
      </c>
      <c r="BC320" s="5" t="n">
        <v>0.535</v>
      </c>
      <c r="BD320" s="5" t="n">
        <v>0.129</v>
      </c>
      <c r="BE320" s="5" t="n">
        <v>0</v>
      </c>
      <c r="BF320" s="5" t="n">
        <v>0.535</v>
      </c>
      <c r="BG320" s="5" t="n">
        <v>0</v>
      </c>
      <c r="BH320" s="5" t="n">
        <v>1</v>
      </c>
      <c r="BI320" s="5" t="n">
        <v>0.579</v>
      </c>
      <c r="BJ320" s="5" t="n">
        <v>0.129</v>
      </c>
      <c r="BK320" s="5" t="n">
        <v>0.081</v>
      </c>
      <c r="BL320" s="5" t="n">
        <v>0.66</v>
      </c>
      <c r="BM320" s="5" t="n">
        <v>0</v>
      </c>
      <c r="BN320" s="5" t="n">
        <v>1</v>
      </c>
      <c r="BO320" s="5" t="n">
        <v>0</v>
      </c>
      <c r="BP320" s="5" t="n">
        <v>0</v>
      </c>
      <c r="BQ320" s="5" t="n">
        <v>0</v>
      </c>
      <c r="BR320" s="5" t="n">
        <v>0</v>
      </c>
      <c r="BS320" s="5" t="n">
        <v>1</v>
      </c>
      <c r="BT320" s="5" t="n">
        <v>0</v>
      </c>
      <c r="BU320" s="5" t="n">
        <v>0</v>
      </c>
      <c r="BV320" s="5" t="n">
        <v>0</v>
      </c>
      <c r="BW320" s="5" t="n">
        <v>0</v>
      </c>
      <c r="BX320" s="5" t="n">
        <v>1</v>
      </c>
      <c r="BY320" s="5" t="n">
        <v>13.254</v>
      </c>
      <c r="BZ320" s="5" t="n">
        <v>0</v>
      </c>
      <c r="CA320" s="5" t="n">
        <v>13.254</v>
      </c>
      <c r="CB320" s="5" t="n">
        <v>0</v>
      </c>
      <c r="CC320" s="5" t="n">
        <v>83.248</v>
      </c>
      <c r="CD320" s="5" t="n">
        <v>7.95</v>
      </c>
      <c r="CE320" s="5" t="n">
        <v>21.757</v>
      </c>
      <c r="CF320" s="5" t="n">
        <v>105.005</v>
      </c>
      <c r="CG320" s="5" t="n">
        <v>0</v>
      </c>
      <c r="CH320" s="5" t="n">
        <v>1</v>
      </c>
      <c r="CI320" s="5" t="n">
        <v>0</v>
      </c>
      <c r="CJ320" s="5" t="n">
        <v>0</v>
      </c>
      <c r="CK320" s="5" t="n">
        <v>0</v>
      </c>
      <c r="CL320" s="5" t="n">
        <v>0</v>
      </c>
      <c r="CM320" s="5" t="n">
        <v>0</v>
      </c>
      <c r="CN320" s="5" t="n">
        <v>0</v>
      </c>
      <c r="CO320" s="5" t="n">
        <v>0</v>
      </c>
      <c r="CP320" s="5" t="n">
        <v>0</v>
      </c>
      <c r="CQ320" s="5" t="n">
        <v>1.348</v>
      </c>
      <c r="CR320" s="5" t="n">
        <v>0</v>
      </c>
      <c r="CS320" s="5" t="n">
        <v>5.37</v>
      </c>
      <c r="CT320" s="5" t="n">
        <v>3.466</v>
      </c>
      <c r="CU320" s="5" t="n">
        <v>11.622</v>
      </c>
    </row>
    <row r="321">
      <c r="A321" s="5" t="inlineStr">
        <is>
          <t>GRL2024</t>
        </is>
      </c>
      <c r="B321" s="5" t="inlineStr">
        <is>
          <t>GRL</t>
        </is>
      </c>
      <c r="C321" s="5" t="inlineStr">
        <is>
          <t>GRL</t>
        </is>
      </c>
      <c r="D321" s="5" t="inlineStr">
        <is>
          <t>Greenland</t>
        </is>
      </c>
      <c r="E321" s="5" t="n">
        <v>2024</v>
      </c>
      <c r="F321" s="5" t="n">
        <v>0</v>
      </c>
      <c r="G321" s="5" t="n">
        <v>4.351</v>
      </c>
      <c r="H321" s="5" t="n">
        <v>1.324</v>
      </c>
      <c r="I321" s="5" t="n">
        <v>0</v>
      </c>
      <c r="J321" s="5" t="n">
        <v>4.351</v>
      </c>
      <c r="K321" s="5" t="n">
        <v>0</v>
      </c>
      <c r="L321" s="5" t="n">
        <v>1</v>
      </c>
      <c r="M321" s="5" t="n">
        <v>7.124</v>
      </c>
      <c r="N321" s="5" t="n">
        <v>3.971</v>
      </c>
      <c r="O321" s="5" t="n">
        <v>0</v>
      </c>
      <c r="P321" s="5" t="n">
        <v>7.124</v>
      </c>
      <c r="Q321" s="5" t="n">
        <v>0</v>
      </c>
      <c r="R321" s="5" t="n">
        <v>1</v>
      </c>
      <c r="S321" s="5" t="n">
        <v>10.969</v>
      </c>
      <c r="T321" s="5" t="n">
        <v>7.942</v>
      </c>
      <c r="U321" s="5" t="n">
        <v>0</v>
      </c>
      <c r="V321" s="5" t="n">
        <v>10.969</v>
      </c>
      <c r="W321" s="5" t="n">
        <v>0</v>
      </c>
      <c r="X321" s="5" t="n">
        <v>1</v>
      </c>
      <c r="Y321" s="5" t="n">
        <v>11.492</v>
      </c>
      <c r="Z321" s="5" t="n">
        <v>1.553</v>
      </c>
      <c r="AA321" s="5" t="n">
        <v>0</v>
      </c>
      <c r="AB321" s="5" t="n">
        <v>11.492</v>
      </c>
      <c r="AC321" s="5" t="n">
        <v>0</v>
      </c>
      <c r="AD321" s="5" t="n">
        <v>1</v>
      </c>
      <c r="AE321" s="5" t="n">
        <v>12.815</v>
      </c>
      <c r="AF321" s="5" t="n">
        <v>2.997</v>
      </c>
      <c r="AG321" s="5" t="n">
        <v>0</v>
      </c>
      <c r="AH321" s="5" t="n">
        <v>12.815</v>
      </c>
      <c r="AI321" s="5" t="n">
        <v>0</v>
      </c>
      <c r="AJ321" s="5" t="n">
        <v>1</v>
      </c>
      <c r="AK321" s="5" t="n">
        <v>20.757</v>
      </c>
      <c r="AL321" s="5" t="n">
        <v>11.055</v>
      </c>
      <c r="AM321" s="5" t="n">
        <v>0</v>
      </c>
      <c r="AN321" s="5" t="n">
        <v>20.757</v>
      </c>
      <c r="AO321" s="5" t="n">
        <v>0</v>
      </c>
      <c r="AP321" s="5" t="n">
        <v>1</v>
      </c>
      <c r="AQ321" s="5" t="n">
        <v>0.724</v>
      </c>
      <c r="AR321" s="5" t="n">
        <v>0.132</v>
      </c>
      <c r="AS321" s="5" t="n">
        <v>-0.06</v>
      </c>
      <c r="AT321" s="5" t="n">
        <v>0.664</v>
      </c>
      <c r="AU321" s="5" t="n">
        <v>0</v>
      </c>
      <c r="AV321" s="5" t="n">
        <v>1</v>
      </c>
      <c r="AW321" s="5" t="n">
        <v>0.75</v>
      </c>
      <c r="AX321" s="5" t="n">
        <v>0.132</v>
      </c>
      <c r="AY321" s="5" t="n">
        <v>-0.093</v>
      </c>
      <c r="AZ321" s="5" t="n">
        <v>0.658</v>
      </c>
      <c r="BA321" s="5" t="n">
        <v>0</v>
      </c>
      <c r="BB321" s="5" t="n">
        <v>0</v>
      </c>
      <c r="BC321" s="5" t="n">
        <v>0.513</v>
      </c>
      <c r="BD321" s="5" t="n">
        <v>0.132</v>
      </c>
      <c r="BE321" s="5" t="n">
        <v>0</v>
      </c>
      <c r="BF321" s="5" t="n">
        <v>0.513</v>
      </c>
      <c r="BG321" s="5" t="n">
        <v>0</v>
      </c>
      <c r="BH321" s="5" t="n">
        <v>1</v>
      </c>
      <c r="BI321" s="5" t="n">
        <v>0.591</v>
      </c>
      <c r="BJ321" s="5" t="n">
        <v>0.132</v>
      </c>
      <c r="BK321" s="5" t="n">
        <v>0.08699999999999999</v>
      </c>
      <c r="BL321" s="5" t="n">
        <v>0.679</v>
      </c>
      <c r="BM321" s="5" t="n">
        <v>0</v>
      </c>
      <c r="BN321" s="5" t="n">
        <v>1</v>
      </c>
      <c r="BO321" s="5" t="n">
        <v>0</v>
      </c>
      <c r="BP321" s="5" t="n">
        <v>0</v>
      </c>
      <c r="BQ321" s="5" t="n">
        <v>0</v>
      </c>
      <c r="BR321" s="5" t="n">
        <v>0</v>
      </c>
      <c r="BS321" s="5" t="n">
        <v>1</v>
      </c>
      <c r="BT321" s="5" t="n">
        <v>0</v>
      </c>
      <c r="BU321" s="5" t="n">
        <v>0</v>
      </c>
      <c r="BV321" s="5" t="n">
        <v>0</v>
      </c>
      <c r="BW321" s="5" t="n">
        <v>0</v>
      </c>
      <c r="BX321" s="5" t="n">
        <v>1</v>
      </c>
      <c r="BY321" s="5" t="n">
        <v>13.646</v>
      </c>
      <c r="BZ321" s="5" t="n">
        <v>0</v>
      </c>
      <c r="CA321" s="5" t="n">
        <v>13.646</v>
      </c>
      <c r="CB321" s="5" t="n">
        <v>0</v>
      </c>
      <c r="CC321" s="5" t="n">
        <v>82.58799999999999</v>
      </c>
      <c r="CD321" s="5" t="n">
        <v>7.95</v>
      </c>
      <c r="CE321" s="5" t="n">
        <v>24.901</v>
      </c>
      <c r="CF321" s="5" t="n">
        <v>107.489</v>
      </c>
      <c r="CG321" s="5" t="n">
        <v>0</v>
      </c>
      <c r="CH321" s="5" t="n">
        <v>1</v>
      </c>
      <c r="CI321" s="5" t="n">
        <v>0</v>
      </c>
      <c r="CJ321" s="5" t="n">
        <v>0</v>
      </c>
      <c r="CK321" s="5" t="n">
        <v>0</v>
      </c>
      <c r="CL321" s="5" t="n">
        <v>0</v>
      </c>
      <c r="CM321" s="5" t="n">
        <v>0</v>
      </c>
      <c r="CN321" s="5" t="n">
        <v>0</v>
      </c>
      <c r="CO321" s="5" t="n">
        <v>0</v>
      </c>
      <c r="CP321" s="5" t="n">
        <v>0</v>
      </c>
      <c r="CQ321" s="5" t="n">
        <v>1.387</v>
      </c>
      <c r="CR321" s="5" t="n">
        <v>0</v>
      </c>
      <c r="CS321" s="5" t="n">
        <v>5.529</v>
      </c>
      <c r="CT321" s="5" t="n">
        <v>3.027</v>
      </c>
      <c r="CU321" s="5" t="n">
        <v>10.168</v>
      </c>
    </row>
    <row r="322">
      <c r="A322" s="5" t="inlineStr">
        <is>
          <t>GRD2021</t>
        </is>
      </c>
      <c r="B322" s="5" t="inlineStr">
        <is>
          <t>GRD</t>
        </is>
      </c>
      <c r="C322" s="5" t="inlineStr">
        <is>
          <t>GRD</t>
        </is>
      </c>
      <c r="D322" s="5" t="inlineStr">
        <is>
          <t>Grenada</t>
        </is>
      </c>
      <c r="E322" s="5" t="n">
        <v>2021</v>
      </c>
      <c r="F322" s="5" t="n">
        <v>0.15</v>
      </c>
      <c r="G322" s="5" t="n">
        <v>5.897</v>
      </c>
      <c r="H322" s="5" t="n">
        <v>1.143</v>
      </c>
      <c r="I322" s="5" t="n">
        <v>0</v>
      </c>
      <c r="J322" s="5" t="n">
        <v>5.897</v>
      </c>
      <c r="K322" s="5" t="n">
        <v>0</v>
      </c>
      <c r="L322" s="5" t="n">
        <v>1</v>
      </c>
      <c r="M322" s="5" t="n">
        <v>7.964</v>
      </c>
      <c r="N322" s="5" t="n">
        <v>3.43</v>
      </c>
      <c r="O322" s="5" t="n">
        <v>0</v>
      </c>
      <c r="P322" s="5" t="n">
        <v>7.964</v>
      </c>
      <c r="Q322" s="5" t="n">
        <v>0</v>
      </c>
      <c r="R322" s="5" t="n">
        <v>1</v>
      </c>
      <c r="S322" s="5" t="n">
        <v>11.613</v>
      </c>
      <c r="T322" s="5" t="n">
        <v>6.86</v>
      </c>
      <c r="U322" s="5" t="n">
        <v>0</v>
      </c>
      <c r="V322" s="5" t="n">
        <v>13.355</v>
      </c>
      <c r="W322" s="5" t="n">
        <v>0.15</v>
      </c>
      <c r="X322" s="5" t="n">
        <v>1</v>
      </c>
      <c r="Y322" s="5" t="n">
        <v>17.127</v>
      </c>
      <c r="Z322" s="5" t="n">
        <v>2.304</v>
      </c>
      <c r="AA322" s="5" t="n">
        <v>0</v>
      </c>
      <c r="AB322" s="5" t="n">
        <v>17.127</v>
      </c>
      <c r="AC322" s="5" t="n">
        <v>0</v>
      </c>
      <c r="AD322" s="5" t="n">
        <v>1</v>
      </c>
      <c r="AE322" s="5" t="n">
        <v>18.27</v>
      </c>
      <c r="AF322" s="5" t="n">
        <v>4.278</v>
      </c>
      <c r="AG322" s="5" t="n">
        <v>0</v>
      </c>
      <c r="AH322" s="5" t="n">
        <v>18.27</v>
      </c>
      <c r="AI322" s="5" t="n">
        <v>0</v>
      </c>
      <c r="AJ322" s="5" t="n">
        <v>1</v>
      </c>
      <c r="AK322" s="5" t="n">
        <v>25.13</v>
      </c>
      <c r="AL322" s="5" t="n">
        <v>13.503</v>
      </c>
      <c r="AM322" s="5" t="n">
        <v>0</v>
      </c>
      <c r="AN322" s="5" t="n">
        <v>28.899</v>
      </c>
      <c r="AO322" s="5" t="n">
        <v>0.15</v>
      </c>
      <c r="AP322" s="5" t="n">
        <v>1</v>
      </c>
      <c r="AQ322" s="5" t="n">
        <v>1.224</v>
      </c>
      <c r="AR322" s="5" t="n">
        <v>0.224</v>
      </c>
      <c r="AS322" s="5" t="n">
        <v>0.048</v>
      </c>
      <c r="AT322" s="5" t="n">
        <v>1.272</v>
      </c>
      <c r="AU322" s="5" t="n">
        <v>0</v>
      </c>
      <c r="AV322" s="5" t="n">
        <v>1</v>
      </c>
      <c r="AW322" s="5" t="n">
        <v>1.099</v>
      </c>
      <c r="AX322" s="5" t="n">
        <v>0.212</v>
      </c>
      <c r="AY322" s="5" t="n">
        <v>0.062</v>
      </c>
      <c r="AZ322" s="5" t="n">
        <v>1.161</v>
      </c>
      <c r="BA322" s="5" t="n">
        <v>0</v>
      </c>
      <c r="BB322" s="5" t="n">
        <v>1</v>
      </c>
      <c r="BC322" s="5" t="n">
        <v>0.458</v>
      </c>
      <c r="BD322" s="5" t="n">
        <v>0.114</v>
      </c>
      <c r="BE322" s="5" t="n">
        <v>0.266</v>
      </c>
      <c r="BF322" s="5" t="n">
        <v>0.832</v>
      </c>
      <c r="BG322" s="5" t="n">
        <v>0.15</v>
      </c>
      <c r="BH322" s="5" t="n">
        <v>1</v>
      </c>
      <c r="BI322" s="5" t="n">
        <v>0.491</v>
      </c>
      <c r="BJ322" s="5" t="n">
        <v>0.114</v>
      </c>
      <c r="BK322" s="5" t="n">
        <v>0.237</v>
      </c>
      <c r="BL322" s="5" t="n">
        <v>0.838</v>
      </c>
      <c r="BM322" s="5" t="n">
        <v>0.15</v>
      </c>
      <c r="BN322" s="5" t="n">
        <v>1</v>
      </c>
      <c r="BO322" s="5" t="n">
        <v>0</v>
      </c>
      <c r="BP322" s="5" t="n">
        <v>0</v>
      </c>
      <c r="BQ322" s="5" t="n">
        <v>0.263</v>
      </c>
      <c r="BR322" s="5" t="n">
        <v>0</v>
      </c>
      <c r="BS322" s="5" t="n">
        <v>1</v>
      </c>
      <c r="BT322" s="5" t="n">
        <v>0</v>
      </c>
      <c r="BU322" s="5" t="n">
        <v>0</v>
      </c>
      <c r="BV322" s="5" t="n">
        <v>0.294</v>
      </c>
      <c r="BW322" s="5" t="n">
        <v>0.15</v>
      </c>
      <c r="BX322" s="5" t="n">
        <v>1</v>
      </c>
      <c r="BY322" s="5" t="n">
        <v>11.787</v>
      </c>
      <c r="BZ322" s="5" t="n">
        <v>0</v>
      </c>
      <c r="CA322" s="5" t="n">
        <v>11.787</v>
      </c>
      <c r="CB322" s="5" t="n">
        <v>0</v>
      </c>
      <c r="CC322" s="5" t="n">
        <v>78.125</v>
      </c>
      <c r="CD322" s="5" t="n">
        <v>7.95</v>
      </c>
      <c r="CE322" s="5" t="n">
        <v>34.476</v>
      </c>
      <c r="CF322" s="5" t="n">
        <v>129.492</v>
      </c>
      <c r="CG322" s="5" t="n">
        <v>0.15</v>
      </c>
      <c r="CH322" s="5" t="n">
        <v>1</v>
      </c>
      <c r="CI322" s="5" t="n">
        <v>0</v>
      </c>
      <c r="CJ322" s="5" t="n">
        <v>0</v>
      </c>
      <c r="CK322" s="5" t="n">
        <v>0</v>
      </c>
      <c r="CL322" s="5" t="n">
        <v>0</v>
      </c>
      <c r="CM322" s="5" t="n">
        <v>0</v>
      </c>
      <c r="CN322" s="5" t="n">
        <v>0</v>
      </c>
      <c r="CO322" s="5" t="n">
        <v>0</v>
      </c>
      <c r="CP322" s="5" t="n">
        <v>0</v>
      </c>
      <c r="CQ322" s="5" t="n">
        <v>1.198</v>
      </c>
      <c r="CR322" s="5" t="n">
        <v>0</v>
      </c>
      <c r="CS322" s="5" t="n">
        <v>4.776</v>
      </c>
      <c r="CT322" s="5" t="n">
        <v>4.753</v>
      </c>
      <c r="CU322" s="5" t="n">
        <v>15.983</v>
      </c>
    </row>
    <row r="323">
      <c r="A323" s="5" t="inlineStr">
        <is>
          <t>GRD2022</t>
        </is>
      </c>
      <c r="B323" s="5" t="inlineStr">
        <is>
          <t>GRD</t>
        </is>
      </c>
      <c r="C323" s="5" t="inlineStr">
        <is>
          <t>GRD</t>
        </is>
      </c>
      <c r="D323" s="5" t="inlineStr">
        <is>
          <t>Grenada</t>
        </is>
      </c>
      <c r="E323" s="5" t="n">
        <v>2022</v>
      </c>
      <c r="F323" s="5" t="n">
        <v>0.15</v>
      </c>
      <c r="G323" s="5" t="n">
        <v>11.72</v>
      </c>
      <c r="H323" s="5" t="n">
        <v>1.235</v>
      </c>
      <c r="I323" s="5" t="n">
        <v>0</v>
      </c>
      <c r="J323" s="5" t="n">
        <v>11.72</v>
      </c>
      <c r="K323" s="5" t="n">
        <v>0</v>
      </c>
      <c r="L323" s="5" t="n">
        <v>1</v>
      </c>
      <c r="M323" s="5" t="n">
        <v>9.782999999999999</v>
      </c>
      <c r="N323" s="5" t="n">
        <v>3.704</v>
      </c>
      <c r="O323" s="5" t="n">
        <v>0</v>
      </c>
      <c r="P323" s="5" t="n">
        <v>9.782999999999999</v>
      </c>
      <c r="Q323" s="5" t="n">
        <v>0</v>
      </c>
      <c r="R323" s="5" t="n">
        <v>1</v>
      </c>
      <c r="S323" s="5" t="n">
        <v>17.893</v>
      </c>
      <c r="T323" s="5" t="n">
        <v>7.408</v>
      </c>
      <c r="U323" s="5" t="n">
        <v>0.199</v>
      </c>
      <c r="V323" s="5" t="n">
        <v>20.577</v>
      </c>
      <c r="W323" s="5" t="n">
        <v>0.15</v>
      </c>
      <c r="X323" s="5" t="n">
        <v>1</v>
      </c>
      <c r="Y323" s="5" t="n">
        <v>30.728</v>
      </c>
      <c r="Z323" s="5" t="n">
        <v>4.133</v>
      </c>
      <c r="AA323" s="5" t="n">
        <v>0</v>
      </c>
      <c r="AB323" s="5" t="n">
        <v>30.728</v>
      </c>
      <c r="AC323" s="5" t="n">
        <v>0</v>
      </c>
      <c r="AD323" s="5" t="n">
        <v>1</v>
      </c>
      <c r="AE323" s="5" t="n">
        <v>31.963</v>
      </c>
      <c r="AF323" s="5" t="n">
        <v>7.485</v>
      </c>
      <c r="AG323" s="5" t="n">
        <v>0</v>
      </c>
      <c r="AH323" s="5" t="n">
        <v>31.963</v>
      </c>
      <c r="AI323" s="5" t="n">
        <v>0</v>
      </c>
      <c r="AJ323" s="5" t="n">
        <v>1</v>
      </c>
      <c r="AK323" s="5" t="n">
        <v>39.371</v>
      </c>
      <c r="AL323" s="5" t="n">
        <v>21.155</v>
      </c>
      <c r="AM323" s="5" t="n">
        <v>0.437</v>
      </c>
      <c r="AN323" s="5" t="n">
        <v>45.277</v>
      </c>
      <c r="AO323" s="5" t="n">
        <v>0.15</v>
      </c>
      <c r="AP323" s="5" t="n">
        <v>1</v>
      </c>
      <c r="AQ323" s="5" t="n">
        <v>1.085</v>
      </c>
      <c r="AR323" s="5" t="n">
        <v>0.155</v>
      </c>
      <c r="AS323" s="5" t="n">
        <v>0.067</v>
      </c>
      <c r="AT323" s="5" t="n">
        <v>1.152</v>
      </c>
      <c r="AU323" s="5" t="n">
        <v>0</v>
      </c>
      <c r="AV323" s="5" t="n">
        <v>1</v>
      </c>
      <c r="AW323" s="5" t="n">
        <v>1.101</v>
      </c>
      <c r="AX323" s="5" t="n">
        <v>0.143</v>
      </c>
      <c r="AY323" s="5" t="n">
        <v>0.101</v>
      </c>
      <c r="AZ323" s="5" t="n">
        <v>1.202</v>
      </c>
      <c r="BA323" s="5" t="n">
        <v>0</v>
      </c>
      <c r="BB323" s="5" t="n">
        <v>1</v>
      </c>
      <c r="BC323" s="5" t="n">
        <v>0.62</v>
      </c>
      <c r="BD323" s="5" t="n">
        <v>0.123</v>
      </c>
      <c r="BE323" s="5" t="n">
        <v>0.103</v>
      </c>
      <c r="BF323" s="5" t="n">
        <v>0.832</v>
      </c>
      <c r="BG323" s="5" t="n">
        <v>0.15</v>
      </c>
      <c r="BH323" s="5" t="n">
        <v>1</v>
      </c>
      <c r="BI323" s="5" t="n">
        <v>0.608</v>
      </c>
      <c r="BJ323" s="5" t="n">
        <v>0.123</v>
      </c>
      <c r="BK323" s="5" t="n">
        <v>0.5580000000000001</v>
      </c>
      <c r="BL323" s="5" t="n">
        <v>1.341</v>
      </c>
      <c r="BM323" s="5" t="n">
        <v>0.15</v>
      </c>
      <c r="BN323" s="5" t="n">
        <v>1</v>
      </c>
      <c r="BO323" s="5" t="n">
        <v>0</v>
      </c>
      <c r="BP323" s="5" t="n">
        <v>0</v>
      </c>
      <c r="BQ323" s="5" t="n">
        <v>0.376</v>
      </c>
      <c r="BR323" s="5" t="n">
        <v>0</v>
      </c>
      <c r="BS323" s="5" t="n">
        <v>1</v>
      </c>
      <c r="BT323" s="5" t="n">
        <v>0</v>
      </c>
      <c r="BU323" s="5" t="n">
        <v>0</v>
      </c>
      <c r="BV323" s="5" t="n">
        <v>0.408</v>
      </c>
      <c r="BW323" s="5" t="n">
        <v>0.075</v>
      </c>
      <c r="BX323" s="5" t="n">
        <v>1</v>
      </c>
      <c r="BY323" s="5" t="n">
        <v>12.729</v>
      </c>
      <c r="BZ323" s="5" t="n">
        <v>0</v>
      </c>
      <c r="CA323" s="5" t="n">
        <v>12.729</v>
      </c>
      <c r="CB323" s="5" t="n">
        <v>0</v>
      </c>
      <c r="CC323" s="5" t="n">
        <v>97.90000000000001</v>
      </c>
      <c r="CD323" s="5" t="n">
        <v>7.95</v>
      </c>
      <c r="CE323" s="5" t="n">
        <v>35.467</v>
      </c>
      <c r="CF323" s="5" t="n">
        <v>153.372</v>
      </c>
      <c r="CG323" s="5" t="n">
        <v>0.15</v>
      </c>
      <c r="CH323" s="5" t="n">
        <v>1</v>
      </c>
      <c r="CI323" s="5" t="n">
        <v>0</v>
      </c>
      <c r="CJ323" s="5" t="n">
        <v>0</v>
      </c>
      <c r="CK323" s="5" t="n">
        <v>0</v>
      </c>
      <c r="CL323" s="5" t="n">
        <v>0</v>
      </c>
      <c r="CM323" s="5" t="n">
        <v>0</v>
      </c>
      <c r="CN323" s="5" t="n">
        <v>0</v>
      </c>
      <c r="CO323" s="5" t="n">
        <v>0</v>
      </c>
      <c r="CP323" s="5" t="n">
        <v>0</v>
      </c>
      <c r="CQ323" s="5" t="n">
        <v>1.294</v>
      </c>
      <c r="CR323" s="5" t="n">
        <v>0</v>
      </c>
      <c r="CS323" s="5" t="n">
        <v>5.158</v>
      </c>
      <c r="CT323" s="5" t="n">
        <v>10.485</v>
      </c>
      <c r="CU323" s="5" t="n">
        <v>29.494</v>
      </c>
    </row>
    <row r="324">
      <c r="A324" s="5" t="inlineStr">
        <is>
          <t>GRD2023</t>
        </is>
      </c>
      <c r="B324" s="5" t="inlineStr">
        <is>
          <t>GRD</t>
        </is>
      </c>
      <c r="C324" s="5" t="inlineStr">
        <is>
          <t>GRD</t>
        </is>
      </c>
      <c r="D324" s="5" t="inlineStr">
        <is>
          <t>Grenada</t>
        </is>
      </c>
      <c r="E324" s="5" t="n">
        <v>2023</v>
      </c>
      <c r="F324" s="5" t="n">
        <v>0.15</v>
      </c>
      <c r="G324" s="5" t="n">
        <v>6.147</v>
      </c>
      <c r="H324" s="5" t="n">
        <v>1.286</v>
      </c>
      <c r="I324" s="5" t="n">
        <v>0</v>
      </c>
      <c r="J324" s="5" t="n">
        <v>6.147</v>
      </c>
      <c r="K324" s="5" t="n">
        <v>0</v>
      </c>
      <c r="L324" s="5" t="n">
        <v>1</v>
      </c>
      <c r="M324" s="5" t="n">
        <v>7.886</v>
      </c>
      <c r="N324" s="5" t="n">
        <v>3.857</v>
      </c>
      <c r="O324" s="5" t="n">
        <v>0</v>
      </c>
      <c r="P324" s="5" t="n">
        <v>7.886</v>
      </c>
      <c r="Q324" s="5" t="n">
        <v>0</v>
      </c>
      <c r="R324" s="5" t="n">
        <v>1</v>
      </c>
      <c r="S324" s="5" t="n">
        <v>12.575</v>
      </c>
      <c r="T324" s="5" t="n">
        <v>7.714</v>
      </c>
      <c r="U324" s="5" t="n">
        <v>0.209</v>
      </c>
      <c r="V324" s="5" t="n">
        <v>14.461</v>
      </c>
      <c r="W324" s="5" t="n">
        <v>0.15</v>
      </c>
      <c r="X324" s="5" t="n">
        <v>1</v>
      </c>
      <c r="Y324" s="5" t="n">
        <v>12.478</v>
      </c>
      <c r="Z324" s="5" t="n">
        <v>1.678</v>
      </c>
      <c r="AA324" s="5" t="n">
        <v>0</v>
      </c>
      <c r="AB324" s="5" t="n">
        <v>12.478</v>
      </c>
      <c r="AC324" s="5" t="n">
        <v>0</v>
      </c>
      <c r="AD324" s="5" t="n">
        <v>1</v>
      </c>
      <c r="AE324" s="5" t="n">
        <v>13.763</v>
      </c>
      <c r="AF324" s="5" t="n">
        <v>3.223</v>
      </c>
      <c r="AG324" s="5" t="n">
        <v>0</v>
      </c>
      <c r="AH324" s="5" t="n">
        <v>13.763</v>
      </c>
      <c r="AI324" s="5" t="n">
        <v>0</v>
      </c>
      <c r="AJ324" s="5" t="n">
        <v>1</v>
      </c>
      <c r="AK324" s="5" t="n">
        <v>21.477</v>
      </c>
      <c r="AL324" s="5" t="n">
        <v>11.54</v>
      </c>
      <c r="AM324" s="5" t="n">
        <v>0.357</v>
      </c>
      <c r="AN324" s="5" t="n">
        <v>24.699</v>
      </c>
      <c r="AO324" s="5" t="n">
        <v>0.15</v>
      </c>
      <c r="AP324" s="5" t="n">
        <v>1</v>
      </c>
      <c r="AQ324" s="5" t="n">
        <v>0.9389999999999999</v>
      </c>
      <c r="AR324" s="5" t="n">
        <v>0.158</v>
      </c>
      <c r="AS324" s="5" t="n">
        <v>0.338</v>
      </c>
      <c r="AT324" s="5" t="n">
        <v>1.277</v>
      </c>
      <c r="AU324" s="5" t="n">
        <v>0</v>
      </c>
      <c r="AV324" s="5" t="n">
        <v>1</v>
      </c>
      <c r="AW324" s="5" t="n">
        <v>0.919</v>
      </c>
      <c r="AX324" s="5" t="n">
        <v>0.157</v>
      </c>
      <c r="AY324" s="5" t="n">
        <v>0.346</v>
      </c>
      <c r="AZ324" s="5" t="n">
        <v>1.265</v>
      </c>
      <c r="BA324" s="5" t="n">
        <v>0</v>
      </c>
      <c r="BB324" s="5" t="n">
        <v>1</v>
      </c>
      <c r="BC324" s="5" t="n">
        <v>0.554</v>
      </c>
      <c r="BD324" s="5" t="n">
        <v>0.129</v>
      </c>
      <c r="BE324" s="5" t="n">
        <v>0.169</v>
      </c>
      <c r="BF324" s="5" t="n">
        <v>0.832</v>
      </c>
      <c r="BG324" s="5" t="n">
        <v>0.15</v>
      </c>
      <c r="BH324" s="5" t="n">
        <v>1</v>
      </c>
      <c r="BI324" s="5" t="n">
        <v>0.5570000000000001</v>
      </c>
      <c r="BJ324" s="5" t="n">
        <v>0.129</v>
      </c>
      <c r="BK324" s="5" t="n">
        <v>0.471</v>
      </c>
      <c r="BL324" s="5" t="n">
        <v>1.182</v>
      </c>
      <c r="BM324" s="5" t="n">
        <v>0.15</v>
      </c>
      <c r="BN324" s="5" t="n">
        <v>1</v>
      </c>
      <c r="BO324" s="5" t="n">
        <v>0</v>
      </c>
      <c r="BP324" s="5" t="n">
        <v>0</v>
      </c>
      <c r="BQ324" s="5" t="n">
        <v>0.349</v>
      </c>
      <c r="BR324" s="5" t="n">
        <v>0</v>
      </c>
      <c r="BS324" s="5" t="n">
        <v>1</v>
      </c>
      <c r="BT324" s="5" t="n">
        <v>0</v>
      </c>
      <c r="BU324" s="5" t="n">
        <v>0</v>
      </c>
      <c r="BV324" s="5" t="n">
        <v>0.38</v>
      </c>
      <c r="BW324" s="5" t="n">
        <v>0.075</v>
      </c>
      <c r="BX324" s="5" t="n">
        <v>1</v>
      </c>
      <c r="BY324" s="5" t="n">
        <v>13.254</v>
      </c>
      <c r="BZ324" s="5" t="n">
        <v>0</v>
      </c>
      <c r="CA324" s="5" t="n">
        <v>13.254</v>
      </c>
      <c r="CB324" s="5" t="n">
        <v>0</v>
      </c>
      <c r="CC324" s="5" t="n">
        <v>83.248</v>
      </c>
      <c r="CD324" s="5" t="n">
        <v>7.95</v>
      </c>
      <c r="CE324" s="5" t="n">
        <v>28.379</v>
      </c>
      <c r="CF324" s="5" t="n">
        <v>128.371</v>
      </c>
      <c r="CG324" s="5" t="n">
        <v>0.15</v>
      </c>
      <c r="CH324" s="5" t="n">
        <v>1</v>
      </c>
      <c r="CI324" s="5" t="n">
        <v>0</v>
      </c>
      <c r="CJ324" s="5" t="n">
        <v>0</v>
      </c>
      <c r="CK324" s="5" t="n">
        <v>0</v>
      </c>
      <c r="CL324" s="5" t="n">
        <v>0</v>
      </c>
      <c r="CM324" s="5" t="n">
        <v>0</v>
      </c>
      <c r="CN324" s="5" t="n">
        <v>0</v>
      </c>
      <c r="CO324" s="5" t="n">
        <v>0</v>
      </c>
      <c r="CP324" s="5" t="n">
        <v>0</v>
      </c>
      <c r="CQ324" s="5" t="n">
        <v>1.348</v>
      </c>
      <c r="CR324" s="5" t="n">
        <v>0</v>
      </c>
      <c r="CS324" s="5" t="n">
        <v>5.37</v>
      </c>
      <c r="CT324" s="5" t="n">
        <v>4.861</v>
      </c>
      <c r="CU324" s="5" t="n">
        <v>11.192</v>
      </c>
    </row>
    <row r="325">
      <c r="A325" s="5" t="inlineStr">
        <is>
          <t>GRD2024</t>
        </is>
      </c>
      <c r="B325" s="5" t="inlineStr">
        <is>
          <t>GRD</t>
        </is>
      </c>
      <c r="C325" s="5" t="inlineStr">
        <is>
          <t>GRD</t>
        </is>
      </c>
      <c r="D325" s="5" t="inlineStr">
        <is>
          <t>Grenada</t>
        </is>
      </c>
      <c r="E325" s="5" t="n">
        <v>2024</v>
      </c>
      <c r="F325" s="5" t="n">
        <v>0.15</v>
      </c>
      <c r="G325" s="5" t="n">
        <v>5.575</v>
      </c>
      <c r="H325" s="5" t="n">
        <v>1.324</v>
      </c>
      <c r="I325" s="5" t="n">
        <v>0</v>
      </c>
      <c r="J325" s="5" t="n">
        <v>5.575</v>
      </c>
      <c r="K325" s="5" t="n">
        <v>0</v>
      </c>
      <c r="L325" s="5" t="n">
        <v>1</v>
      </c>
      <c r="M325" s="5" t="n">
        <v>7.124</v>
      </c>
      <c r="N325" s="5" t="n">
        <v>3.971</v>
      </c>
      <c r="O325" s="5" t="n">
        <v>0</v>
      </c>
      <c r="P325" s="5" t="n">
        <v>7.124</v>
      </c>
      <c r="Q325" s="5" t="n">
        <v>0</v>
      </c>
      <c r="R325" s="5" t="n">
        <v>1</v>
      </c>
      <c r="S325" s="5" t="n">
        <v>12.193</v>
      </c>
      <c r="T325" s="5" t="n">
        <v>7.942</v>
      </c>
      <c r="U325" s="5" t="n">
        <v>0.249</v>
      </c>
      <c r="V325" s="5" t="n">
        <v>14.022</v>
      </c>
      <c r="W325" s="5" t="n">
        <v>0.15</v>
      </c>
      <c r="X325" s="5" t="n">
        <v>1</v>
      </c>
      <c r="Y325" s="5" t="n">
        <v>11.447</v>
      </c>
      <c r="Z325" s="5" t="n">
        <v>1.54</v>
      </c>
      <c r="AA325" s="5" t="n">
        <v>0</v>
      </c>
      <c r="AB325" s="5" t="n">
        <v>11.447</v>
      </c>
      <c r="AC325" s="5" t="n">
        <v>0</v>
      </c>
      <c r="AD325" s="5" t="n">
        <v>1</v>
      </c>
      <c r="AE325" s="5" t="n">
        <v>12.771</v>
      </c>
      <c r="AF325" s="5" t="n">
        <v>2.991</v>
      </c>
      <c r="AG325" s="5" t="n">
        <v>0</v>
      </c>
      <c r="AH325" s="5" t="n">
        <v>12.771</v>
      </c>
      <c r="AI325" s="5" t="n">
        <v>0</v>
      </c>
      <c r="AJ325" s="5" t="n">
        <v>1</v>
      </c>
      <c r="AK325" s="5" t="n">
        <v>20.712</v>
      </c>
      <c r="AL325" s="5" t="n">
        <v>11.129</v>
      </c>
      <c r="AM325" s="5" t="n">
        <v>0.423</v>
      </c>
      <c r="AN325" s="5" t="n">
        <v>23.819</v>
      </c>
      <c r="AO325" s="5" t="n">
        <v>0.15</v>
      </c>
      <c r="AP325" s="5" t="n">
        <v>1</v>
      </c>
      <c r="AQ325" s="5" t="n">
        <v>0.922</v>
      </c>
      <c r="AR325" s="5" t="n">
        <v>0.168</v>
      </c>
      <c r="AS325" s="5" t="n">
        <v>0.335</v>
      </c>
      <c r="AT325" s="5" t="n">
        <v>1.257</v>
      </c>
      <c r="AU325" s="5" t="n">
        <v>0</v>
      </c>
      <c r="AV325" s="5" t="n">
        <v>1</v>
      </c>
      <c r="AW325" s="5" t="n">
        <v>0.863</v>
      </c>
      <c r="AX325" s="5" t="n">
        <v>0.158</v>
      </c>
      <c r="AY325" s="5" t="n">
        <v>0.35</v>
      </c>
      <c r="AZ325" s="5" t="n">
        <v>1.214</v>
      </c>
      <c r="BA325" s="5" t="n">
        <v>0</v>
      </c>
      <c r="BB325" s="5" t="n">
        <v>1</v>
      </c>
      <c r="BC325" s="5" t="n">
        <v>0.534</v>
      </c>
      <c r="BD325" s="5" t="n">
        <v>0.132</v>
      </c>
      <c r="BE325" s="5" t="n">
        <v>0.19</v>
      </c>
      <c r="BF325" s="5" t="n">
        <v>0.832</v>
      </c>
      <c r="BG325" s="5" t="n">
        <v>0.15</v>
      </c>
      <c r="BH325" s="5" t="n">
        <v>1</v>
      </c>
      <c r="BI325" s="5" t="n">
        <v>0.5679999999999999</v>
      </c>
      <c r="BJ325" s="5" t="n">
        <v>0.132</v>
      </c>
      <c r="BK325" s="5" t="n">
        <v>0.364</v>
      </c>
      <c r="BL325" s="5" t="n">
        <v>1.072</v>
      </c>
      <c r="BM325" s="5" t="n">
        <v>0.15</v>
      </c>
      <c r="BN325" s="5" t="n">
        <v>1</v>
      </c>
      <c r="BO325" s="5" t="n">
        <v>0</v>
      </c>
      <c r="BP325" s="5" t="n">
        <v>0</v>
      </c>
      <c r="BQ325" s="5" t="n">
        <v>0.33</v>
      </c>
      <c r="BR325" s="5" t="n">
        <v>0</v>
      </c>
      <c r="BS325" s="5" t="n">
        <v>1</v>
      </c>
      <c r="BT325" s="5" t="n">
        <v>0</v>
      </c>
      <c r="BU325" s="5" t="n">
        <v>0</v>
      </c>
      <c r="BV325" s="5" t="n">
        <v>0.361</v>
      </c>
      <c r="BW325" s="5" t="n">
        <v>0.075</v>
      </c>
      <c r="BX325" s="5" t="n">
        <v>1</v>
      </c>
      <c r="BY325" s="5" t="n">
        <v>13.646</v>
      </c>
      <c r="BZ325" s="5" t="n">
        <v>0</v>
      </c>
      <c r="CA325" s="5" t="n">
        <v>13.646</v>
      </c>
      <c r="CB325" s="5" t="n">
        <v>0</v>
      </c>
      <c r="CC325" s="5" t="n">
        <v>82.58799999999999</v>
      </c>
      <c r="CD325" s="5" t="n">
        <v>7.95</v>
      </c>
      <c r="CE325" s="5" t="n">
        <v>31.916</v>
      </c>
      <c r="CF325" s="5" t="n">
        <v>129.043</v>
      </c>
      <c r="CG325" s="5" t="n">
        <v>0.15</v>
      </c>
      <c r="CH325" s="5" t="n">
        <v>1</v>
      </c>
      <c r="CI325" s="5" t="n">
        <v>0</v>
      </c>
      <c r="CJ325" s="5" t="n">
        <v>0</v>
      </c>
      <c r="CK325" s="5" t="n">
        <v>0</v>
      </c>
      <c r="CL325" s="5" t="n">
        <v>0</v>
      </c>
      <c r="CM325" s="5" t="n">
        <v>0</v>
      </c>
      <c r="CN325" s="5" t="n">
        <v>0</v>
      </c>
      <c r="CO325" s="5" t="n">
        <v>0</v>
      </c>
      <c r="CP325" s="5" t="n">
        <v>0</v>
      </c>
      <c r="CQ325" s="5" t="n">
        <v>1.387</v>
      </c>
      <c r="CR325" s="5" t="n">
        <v>0</v>
      </c>
      <c r="CS325" s="5" t="n">
        <v>5.529</v>
      </c>
      <c r="CT325" s="5" t="n">
        <v>4.251</v>
      </c>
      <c r="CU325" s="5" t="n">
        <v>10.123</v>
      </c>
    </row>
    <row r="326">
      <c r="A326" s="5" t="inlineStr">
        <is>
          <t>GUM2021</t>
        </is>
      </c>
      <c r="B326" s="5" t="inlineStr">
        <is>
          <t>GUM</t>
        </is>
      </c>
      <c r="C326" s="5" t="inlineStr">
        <is>
          <t>GUM</t>
        </is>
      </c>
      <c r="D326" s="5" t="inlineStr">
        <is>
          <t>Guam</t>
        </is>
      </c>
      <c r="E326" s="5" t="n">
        <v>2021</v>
      </c>
      <c r="F326" s="5" t="n">
        <v>0.04</v>
      </c>
      <c r="G326" s="5" t="n">
        <v>4.747</v>
      </c>
      <c r="H326" s="5" t="n">
        <v>1.143</v>
      </c>
      <c r="I326" s="5" t="n">
        <v>0</v>
      </c>
      <c r="J326" s="5" t="n">
        <v>4.747</v>
      </c>
      <c r="K326" s="5" t="n">
        <v>0</v>
      </c>
      <c r="L326" s="5" t="n">
        <v>1</v>
      </c>
      <c r="M326" s="5" t="n">
        <v>7.964</v>
      </c>
      <c r="N326" s="5" t="n">
        <v>3.43</v>
      </c>
      <c r="O326" s="5" t="n">
        <v>0</v>
      </c>
      <c r="P326" s="5" t="n">
        <v>7.964</v>
      </c>
      <c r="Q326" s="5" t="n">
        <v>0</v>
      </c>
      <c r="R326" s="5" t="n">
        <v>1</v>
      </c>
      <c r="S326" s="5" t="n">
        <v>10.464</v>
      </c>
      <c r="T326" s="5" t="n">
        <v>6.86</v>
      </c>
      <c r="U326" s="5" t="n">
        <v>0</v>
      </c>
      <c r="V326" s="5" t="n">
        <v>10.883</v>
      </c>
      <c r="W326" s="5" t="n">
        <v>0.04</v>
      </c>
      <c r="X326" s="5" t="n">
        <v>1</v>
      </c>
      <c r="Y326" s="5" t="n">
        <v>10.551</v>
      </c>
      <c r="Z326" s="5" t="n">
        <v>1.302</v>
      </c>
      <c r="AA326" s="5" t="n">
        <v>0</v>
      </c>
      <c r="AB326" s="5" t="n">
        <v>10.551</v>
      </c>
      <c r="AC326" s="5" t="n">
        <v>0</v>
      </c>
      <c r="AD326" s="5" t="n">
        <v>1</v>
      </c>
      <c r="AE326" s="5" t="n">
        <v>11.694</v>
      </c>
      <c r="AF326" s="5" t="n">
        <v>2.549</v>
      </c>
      <c r="AG326" s="5" t="n">
        <v>0</v>
      </c>
      <c r="AH326" s="5" t="n">
        <v>11.694</v>
      </c>
      <c r="AI326" s="5" t="n">
        <v>0</v>
      </c>
      <c r="AJ326" s="5" t="n">
        <v>1</v>
      </c>
      <c r="AK326" s="5" t="n">
        <v>18.554</v>
      </c>
      <c r="AL326" s="5" t="n">
        <v>9.627000000000001</v>
      </c>
      <c r="AM326" s="5" t="n">
        <v>0</v>
      </c>
      <c r="AN326" s="5" t="n">
        <v>19.296</v>
      </c>
      <c r="AO326" s="5" t="n">
        <v>0.04</v>
      </c>
      <c r="AP326" s="5" t="n">
        <v>1</v>
      </c>
      <c r="AQ326" s="5" t="n">
        <v>0.621</v>
      </c>
      <c r="AR326" s="5" t="n">
        <v>0.114</v>
      </c>
      <c r="AS326" s="5" t="n">
        <v>0</v>
      </c>
      <c r="AT326" s="5" t="n">
        <v>0.645</v>
      </c>
      <c r="AU326" s="5" t="n">
        <v>0.04</v>
      </c>
      <c r="AV326" s="5" t="n">
        <v>1</v>
      </c>
      <c r="AW326" s="5" t="n">
        <v>0.593</v>
      </c>
      <c r="AX326" s="5" t="n">
        <v>0.114</v>
      </c>
      <c r="AY326" s="5" t="n">
        <v>0</v>
      </c>
      <c r="AZ326" s="5" t="n">
        <v>0.617</v>
      </c>
      <c r="BA326" s="5" t="n">
        <v>0.04</v>
      </c>
      <c r="BB326" s="5" t="n">
        <v>1</v>
      </c>
      <c r="BC326" s="5" t="n">
        <v>0.44</v>
      </c>
      <c r="BD326" s="5" t="n">
        <v>0.114</v>
      </c>
      <c r="BE326" s="5" t="n">
        <v>0</v>
      </c>
      <c r="BF326" s="5" t="n">
        <v>0.457</v>
      </c>
      <c r="BG326" s="5" t="n">
        <v>0.04</v>
      </c>
      <c r="BH326" s="5" t="n">
        <v>1</v>
      </c>
      <c r="BI326" s="5" t="n">
        <v>0.5600000000000001</v>
      </c>
      <c r="BJ326" s="5" t="n">
        <v>0.114</v>
      </c>
      <c r="BK326" s="5" t="n">
        <v>0</v>
      </c>
      <c r="BL326" s="5" t="n">
        <v>0.583</v>
      </c>
      <c r="BM326" s="5" t="n">
        <v>0.04</v>
      </c>
      <c r="BN326" s="5" t="n">
        <v>1</v>
      </c>
      <c r="BO326" s="5" t="n">
        <v>0</v>
      </c>
      <c r="BP326" s="5" t="n">
        <v>0</v>
      </c>
      <c r="BQ326" s="5" t="n">
        <v>0</v>
      </c>
      <c r="BR326" s="5" t="n">
        <v>0</v>
      </c>
      <c r="BS326" s="5" t="n">
        <v>1</v>
      </c>
      <c r="BT326" s="5" t="n">
        <v>0</v>
      </c>
      <c r="BU326" s="5" t="n">
        <v>0</v>
      </c>
      <c r="BV326" s="5" t="n">
        <v>0</v>
      </c>
      <c r="BW326" s="5" t="n">
        <v>0.04</v>
      </c>
      <c r="BX326" s="5" t="n">
        <v>1</v>
      </c>
      <c r="BY326" s="5" t="n">
        <v>11.787</v>
      </c>
      <c r="BZ326" s="5" t="n">
        <v>0</v>
      </c>
      <c r="CA326" s="5" t="n">
        <v>11.787</v>
      </c>
      <c r="CB326" s="5" t="n">
        <v>0</v>
      </c>
      <c r="CC326" s="5" t="n">
        <v>81.69499999999999</v>
      </c>
      <c r="CD326" s="5" t="n">
        <v>7.95</v>
      </c>
      <c r="CE326" s="5" t="n">
        <v>0</v>
      </c>
      <c r="CF326" s="5" t="n">
        <v>84.96299999999999</v>
      </c>
      <c r="CG326" s="5" t="n">
        <v>0.04</v>
      </c>
      <c r="CH326" s="5" t="n">
        <v>1</v>
      </c>
      <c r="CI326" s="5" t="n">
        <v>0</v>
      </c>
      <c r="CJ326" s="5" t="n">
        <v>0</v>
      </c>
      <c r="CK326" s="5" t="n">
        <v>0</v>
      </c>
      <c r="CL326" s="5" t="n">
        <v>0</v>
      </c>
      <c r="CM326" s="5" t="n">
        <v>0</v>
      </c>
      <c r="CN326" s="5" t="n">
        <v>0</v>
      </c>
      <c r="CO326" s="5" t="n">
        <v>0</v>
      </c>
      <c r="CP326" s="5" t="n">
        <v>0</v>
      </c>
      <c r="CQ326" s="5" t="n">
        <v>1.198</v>
      </c>
      <c r="CR326" s="5" t="n">
        <v>0</v>
      </c>
      <c r="CS326" s="5" t="n">
        <v>4.776</v>
      </c>
      <c r="CT326" s="5" t="n">
        <v>3.604</v>
      </c>
      <c r="CU326" s="5" t="n">
        <v>9.407999999999999</v>
      </c>
    </row>
    <row r="327">
      <c r="A327" s="5" t="inlineStr">
        <is>
          <t>GUM2022</t>
        </is>
      </c>
      <c r="B327" s="5" t="inlineStr">
        <is>
          <t>GUM</t>
        </is>
      </c>
      <c r="C327" s="5" t="inlineStr">
        <is>
          <t>GUM</t>
        </is>
      </c>
      <c r="D327" s="5" t="inlineStr">
        <is>
          <t>Guam</t>
        </is>
      </c>
      <c r="E327" s="5" t="n">
        <v>2022</v>
      </c>
      <c r="F327" s="5" t="n">
        <v>0.04</v>
      </c>
      <c r="G327" s="5" t="n">
        <v>8.788</v>
      </c>
      <c r="H327" s="5" t="n">
        <v>1.235</v>
      </c>
      <c r="I327" s="5" t="n">
        <v>0</v>
      </c>
      <c r="J327" s="5" t="n">
        <v>8.788</v>
      </c>
      <c r="K327" s="5" t="n">
        <v>0</v>
      </c>
      <c r="L327" s="5" t="n">
        <v>1</v>
      </c>
      <c r="M327" s="5" t="n">
        <v>9.782999999999999</v>
      </c>
      <c r="N327" s="5" t="n">
        <v>3.704</v>
      </c>
      <c r="O327" s="5" t="n">
        <v>0</v>
      </c>
      <c r="P327" s="5" t="n">
        <v>9.782999999999999</v>
      </c>
      <c r="Q327" s="5" t="n">
        <v>0</v>
      </c>
      <c r="R327" s="5" t="n">
        <v>1</v>
      </c>
      <c r="S327" s="5" t="n">
        <v>14.962</v>
      </c>
      <c r="T327" s="5" t="n">
        <v>7.408</v>
      </c>
      <c r="U327" s="5" t="n">
        <v>0.044</v>
      </c>
      <c r="V327" s="5" t="n">
        <v>15.56</v>
      </c>
      <c r="W327" s="5" t="n">
        <v>0.04</v>
      </c>
      <c r="X327" s="5" t="n">
        <v>1</v>
      </c>
      <c r="Y327" s="5" t="n">
        <v>17.332</v>
      </c>
      <c r="Z327" s="5" t="n">
        <v>2.139</v>
      </c>
      <c r="AA327" s="5" t="n">
        <v>0</v>
      </c>
      <c r="AB327" s="5" t="n">
        <v>17.332</v>
      </c>
      <c r="AC327" s="5" t="n">
        <v>0</v>
      </c>
      <c r="AD327" s="5" t="n">
        <v>1</v>
      </c>
      <c r="AE327" s="5" t="n">
        <v>18.566</v>
      </c>
      <c r="AF327" s="5" t="n">
        <v>4.048</v>
      </c>
      <c r="AG327" s="5" t="n">
        <v>0</v>
      </c>
      <c r="AH327" s="5" t="n">
        <v>18.566</v>
      </c>
      <c r="AI327" s="5" t="n">
        <v>0</v>
      </c>
      <c r="AJ327" s="5" t="n">
        <v>1</v>
      </c>
      <c r="AK327" s="5" t="n">
        <v>25.974</v>
      </c>
      <c r="AL327" s="5" t="n">
        <v>13.478</v>
      </c>
      <c r="AM327" s="5" t="n">
        <v>0.077</v>
      </c>
      <c r="AN327" s="5" t="n">
        <v>27.013</v>
      </c>
      <c r="AO327" s="5" t="n">
        <v>0.04</v>
      </c>
      <c r="AP327" s="5" t="n">
        <v>1</v>
      </c>
      <c r="AQ327" s="5" t="n">
        <v>0.847</v>
      </c>
      <c r="AR327" s="5" t="n">
        <v>0.123</v>
      </c>
      <c r="AS327" s="5" t="n">
        <v>0.003</v>
      </c>
      <c r="AT327" s="5" t="n">
        <v>0.881</v>
      </c>
      <c r="AU327" s="5" t="n">
        <v>0.04</v>
      </c>
      <c r="AV327" s="5" t="n">
        <v>1</v>
      </c>
      <c r="AW327" s="5" t="n">
        <v>0.947</v>
      </c>
      <c r="AX327" s="5" t="n">
        <v>0.123</v>
      </c>
      <c r="AY327" s="5" t="n">
        <v>0.003</v>
      </c>
      <c r="AZ327" s="5" t="n">
        <v>0.985</v>
      </c>
      <c r="BA327" s="5" t="n">
        <v>0.04</v>
      </c>
      <c r="BB327" s="5" t="n">
        <v>1</v>
      </c>
      <c r="BC327" s="5" t="n">
        <v>0.589</v>
      </c>
      <c r="BD327" s="5" t="n">
        <v>0.123</v>
      </c>
      <c r="BE327" s="5" t="n">
        <v>0.002</v>
      </c>
      <c r="BF327" s="5" t="n">
        <v>0.612</v>
      </c>
      <c r="BG327" s="5" t="n">
        <v>0.04</v>
      </c>
      <c r="BH327" s="5" t="n">
        <v>1</v>
      </c>
      <c r="BI327" s="5" t="n">
        <v>0.6889999999999999</v>
      </c>
      <c r="BJ327" s="5" t="n">
        <v>0.123</v>
      </c>
      <c r="BK327" s="5" t="n">
        <v>0.002</v>
      </c>
      <c r="BL327" s="5" t="n">
        <v>0.716</v>
      </c>
      <c r="BM327" s="5" t="n">
        <v>0.04</v>
      </c>
      <c r="BN327" s="5" t="n">
        <v>1</v>
      </c>
      <c r="BO327" s="5" t="n">
        <v>0</v>
      </c>
      <c r="BP327" s="5" t="n">
        <v>0</v>
      </c>
      <c r="BQ327" s="5" t="n">
        <v>0</v>
      </c>
      <c r="BR327" s="5" t="n">
        <v>0</v>
      </c>
      <c r="BS327" s="5" t="n">
        <v>1</v>
      </c>
      <c r="BT327" s="5" t="n">
        <v>0</v>
      </c>
      <c r="BU327" s="5" t="n">
        <v>0</v>
      </c>
      <c r="BV327" s="5" t="n">
        <v>0</v>
      </c>
      <c r="BW327" s="5" t="n">
        <v>0.04</v>
      </c>
      <c r="BX327" s="5" t="n">
        <v>1</v>
      </c>
      <c r="BY327" s="5" t="n">
        <v>12.729</v>
      </c>
      <c r="BZ327" s="5" t="n">
        <v>0</v>
      </c>
      <c r="CA327" s="5" t="n">
        <v>12.729</v>
      </c>
      <c r="CB327" s="5" t="n">
        <v>0</v>
      </c>
      <c r="CC327" s="5" t="n">
        <v>102.477</v>
      </c>
      <c r="CD327" s="5" t="n">
        <v>7.95</v>
      </c>
      <c r="CE327" s="5" t="n">
        <v>0.303</v>
      </c>
      <c r="CF327" s="5" t="n">
        <v>106.576</v>
      </c>
      <c r="CG327" s="5" t="n">
        <v>0.04</v>
      </c>
      <c r="CH327" s="5" t="n">
        <v>1</v>
      </c>
      <c r="CI327" s="5" t="n">
        <v>0</v>
      </c>
      <c r="CJ327" s="5" t="n">
        <v>0</v>
      </c>
      <c r="CK327" s="5" t="n">
        <v>0</v>
      </c>
      <c r="CL327" s="5" t="n">
        <v>0</v>
      </c>
      <c r="CM327" s="5" t="n">
        <v>0</v>
      </c>
      <c r="CN327" s="5" t="n">
        <v>0</v>
      </c>
      <c r="CO327" s="5" t="n">
        <v>0</v>
      </c>
      <c r="CP327" s="5" t="n">
        <v>0</v>
      </c>
      <c r="CQ327" s="5" t="n">
        <v>1.294</v>
      </c>
      <c r="CR327" s="5" t="n">
        <v>0</v>
      </c>
      <c r="CS327" s="5" t="n">
        <v>5.158</v>
      </c>
      <c r="CT327" s="5" t="n">
        <v>7.554</v>
      </c>
      <c r="CU327" s="5" t="n">
        <v>16.097</v>
      </c>
    </row>
    <row r="328">
      <c r="A328" s="5" t="inlineStr">
        <is>
          <t>GUM2023</t>
        </is>
      </c>
      <c r="B328" s="5" t="inlineStr">
        <is>
          <t>GUM</t>
        </is>
      </c>
      <c r="C328" s="5" t="inlineStr">
        <is>
          <t>GUM</t>
        </is>
      </c>
      <c r="D328" s="5" t="inlineStr">
        <is>
          <t>Guam</t>
        </is>
      </c>
      <c r="E328" s="5" t="n">
        <v>2023</v>
      </c>
      <c r="F328" s="5" t="n">
        <v>0.04</v>
      </c>
      <c r="G328" s="5" t="n">
        <v>5.77</v>
      </c>
      <c r="H328" s="5" t="n">
        <v>1.286</v>
      </c>
      <c r="I328" s="5" t="n">
        <v>0</v>
      </c>
      <c r="J328" s="5" t="n">
        <v>5.77</v>
      </c>
      <c r="K328" s="5" t="n">
        <v>0</v>
      </c>
      <c r="L328" s="5" t="n">
        <v>1</v>
      </c>
      <c r="M328" s="5" t="n">
        <v>7.886</v>
      </c>
      <c r="N328" s="5" t="n">
        <v>3.857</v>
      </c>
      <c r="O328" s="5" t="n">
        <v>0</v>
      </c>
      <c r="P328" s="5" t="n">
        <v>7.886</v>
      </c>
      <c r="Q328" s="5" t="n">
        <v>0</v>
      </c>
      <c r="R328" s="5" t="n">
        <v>1</v>
      </c>
      <c r="S328" s="5" t="n">
        <v>12.198</v>
      </c>
      <c r="T328" s="5" t="n">
        <v>7.714</v>
      </c>
      <c r="U328" s="5" t="n">
        <v>0.054</v>
      </c>
      <c r="V328" s="5" t="n">
        <v>12.686</v>
      </c>
      <c r="W328" s="5" t="n">
        <v>0.04</v>
      </c>
      <c r="X328" s="5" t="n">
        <v>1</v>
      </c>
      <c r="Y328" s="5" t="n">
        <v>13.814</v>
      </c>
      <c r="Z328" s="5" t="n">
        <v>1.705</v>
      </c>
      <c r="AA328" s="5" t="n">
        <v>0</v>
      </c>
      <c r="AB328" s="5" t="n">
        <v>13.814</v>
      </c>
      <c r="AC328" s="5" t="n">
        <v>0</v>
      </c>
      <c r="AD328" s="5" t="n">
        <v>1</v>
      </c>
      <c r="AE328" s="5" t="n">
        <v>15.1</v>
      </c>
      <c r="AF328" s="5" t="n">
        <v>3.292</v>
      </c>
      <c r="AG328" s="5" t="n">
        <v>0</v>
      </c>
      <c r="AH328" s="5" t="n">
        <v>15.1</v>
      </c>
      <c r="AI328" s="5" t="n">
        <v>0</v>
      </c>
      <c r="AJ328" s="5" t="n">
        <v>1</v>
      </c>
      <c r="AK328" s="5" t="n">
        <v>22.814</v>
      </c>
      <c r="AL328" s="5" t="n">
        <v>11.838</v>
      </c>
      <c r="AM328" s="5" t="n">
        <v>0.101</v>
      </c>
      <c r="AN328" s="5" t="n">
        <v>23.726</v>
      </c>
      <c r="AO328" s="5" t="n">
        <v>0.04</v>
      </c>
      <c r="AP328" s="5" t="n">
        <v>1</v>
      </c>
      <c r="AQ328" s="5" t="n">
        <v>0.749</v>
      </c>
      <c r="AR328" s="5" t="n">
        <v>0.129</v>
      </c>
      <c r="AS328" s="5" t="n">
        <v>0.003</v>
      </c>
      <c r="AT328" s="5" t="n">
        <v>0.779</v>
      </c>
      <c r="AU328" s="5" t="n">
        <v>0.04</v>
      </c>
      <c r="AV328" s="5" t="n">
        <v>1</v>
      </c>
      <c r="AW328" s="5" t="n">
        <v>0.783</v>
      </c>
      <c r="AX328" s="5" t="n">
        <v>0.129</v>
      </c>
      <c r="AY328" s="5" t="n">
        <v>0.003</v>
      </c>
      <c r="AZ328" s="5" t="n">
        <v>0.8139999999999999</v>
      </c>
      <c r="BA328" s="5" t="n">
        <v>0.04</v>
      </c>
      <c r="BB328" s="5" t="n">
        <v>1</v>
      </c>
      <c r="BC328" s="5" t="n">
        <v>0.527</v>
      </c>
      <c r="BD328" s="5" t="n">
        <v>0.129</v>
      </c>
      <c r="BE328" s="5" t="n">
        <v>0.002</v>
      </c>
      <c r="BF328" s="5" t="n">
        <v>0.549</v>
      </c>
      <c r="BG328" s="5" t="n">
        <v>0.04</v>
      </c>
      <c r="BH328" s="5" t="n">
        <v>1</v>
      </c>
      <c r="BI328" s="5" t="n">
        <v>0.64</v>
      </c>
      <c r="BJ328" s="5" t="n">
        <v>0.129</v>
      </c>
      <c r="BK328" s="5" t="n">
        <v>0.003</v>
      </c>
      <c r="BL328" s="5" t="n">
        <v>0.665</v>
      </c>
      <c r="BM328" s="5" t="n">
        <v>0.04</v>
      </c>
      <c r="BN328" s="5" t="n">
        <v>1</v>
      </c>
      <c r="BO328" s="5" t="n">
        <v>0</v>
      </c>
      <c r="BP328" s="5" t="n">
        <v>0</v>
      </c>
      <c r="BQ328" s="5" t="n">
        <v>0</v>
      </c>
      <c r="BR328" s="5" t="n">
        <v>0</v>
      </c>
      <c r="BS328" s="5" t="n">
        <v>1</v>
      </c>
      <c r="BT328" s="5" t="n">
        <v>0</v>
      </c>
      <c r="BU328" s="5" t="n">
        <v>0</v>
      </c>
      <c r="BV328" s="5" t="n">
        <v>0</v>
      </c>
      <c r="BW328" s="5" t="n">
        <v>0.04</v>
      </c>
      <c r="BX328" s="5" t="n">
        <v>1</v>
      </c>
      <c r="BY328" s="5" t="n">
        <v>13.254</v>
      </c>
      <c r="BZ328" s="5" t="n">
        <v>0</v>
      </c>
      <c r="CA328" s="5" t="n">
        <v>13.254</v>
      </c>
      <c r="CB328" s="5" t="n">
        <v>0</v>
      </c>
      <c r="CC328" s="5" t="n">
        <v>87.07899999999999</v>
      </c>
      <c r="CD328" s="5" t="n">
        <v>7.95</v>
      </c>
      <c r="CE328" s="5" t="n">
        <v>0.386</v>
      </c>
      <c r="CF328" s="5" t="n">
        <v>90.562</v>
      </c>
      <c r="CG328" s="5" t="n">
        <v>0.04</v>
      </c>
      <c r="CH328" s="5" t="n">
        <v>1</v>
      </c>
      <c r="CI328" s="5" t="n">
        <v>0</v>
      </c>
      <c r="CJ328" s="5" t="n">
        <v>0</v>
      </c>
      <c r="CK328" s="5" t="n">
        <v>0</v>
      </c>
      <c r="CL328" s="5" t="n">
        <v>0</v>
      </c>
      <c r="CM328" s="5" t="n">
        <v>0</v>
      </c>
      <c r="CN328" s="5" t="n">
        <v>0</v>
      </c>
      <c r="CO328" s="5" t="n">
        <v>0</v>
      </c>
      <c r="CP328" s="5" t="n">
        <v>0</v>
      </c>
      <c r="CQ328" s="5" t="n">
        <v>1.348</v>
      </c>
      <c r="CR328" s="5" t="n">
        <v>0</v>
      </c>
      <c r="CS328" s="5" t="n">
        <v>5.37</v>
      </c>
      <c r="CT328" s="5" t="n">
        <v>4.484</v>
      </c>
      <c r="CU328" s="5" t="n">
        <v>12.529</v>
      </c>
    </row>
    <row r="329">
      <c r="A329" s="5" t="inlineStr">
        <is>
          <t>GUM2024</t>
        </is>
      </c>
      <c r="B329" s="5" t="inlineStr">
        <is>
          <t>GUM</t>
        </is>
      </c>
      <c r="C329" s="5" t="inlineStr">
        <is>
          <t>GUM</t>
        </is>
      </c>
      <c r="D329" s="5" t="inlineStr">
        <is>
          <t>Guam</t>
        </is>
      </c>
      <c r="E329" s="5" t="n">
        <v>2024</v>
      </c>
      <c r="F329" s="5" t="n">
        <v>0.04</v>
      </c>
      <c r="G329" s="5" t="n">
        <v>4.833</v>
      </c>
      <c r="H329" s="5" t="n">
        <v>1.324</v>
      </c>
      <c r="I329" s="5" t="n">
        <v>0</v>
      </c>
      <c r="J329" s="5" t="n">
        <v>4.833</v>
      </c>
      <c r="K329" s="5" t="n">
        <v>0</v>
      </c>
      <c r="L329" s="5" t="n">
        <v>1</v>
      </c>
      <c r="M329" s="5" t="n">
        <v>7.124</v>
      </c>
      <c r="N329" s="5" t="n">
        <v>3.971</v>
      </c>
      <c r="O329" s="5" t="n">
        <v>0</v>
      </c>
      <c r="P329" s="5" t="n">
        <v>7.124</v>
      </c>
      <c r="Q329" s="5" t="n">
        <v>0</v>
      </c>
      <c r="R329" s="5" t="n">
        <v>1</v>
      </c>
      <c r="S329" s="5" t="n">
        <v>11.451</v>
      </c>
      <c r="T329" s="5" t="n">
        <v>7.942</v>
      </c>
      <c r="U329" s="5" t="n">
        <v>0.062</v>
      </c>
      <c r="V329" s="5" t="n">
        <v>11.909</v>
      </c>
      <c r="W329" s="5" t="n">
        <v>0.04</v>
      </c>
      <c r="X329" s="5" t="n">
        <v>1</v>
      </c>
      <c r="Y329" s="5" t="n">
        <v>12.219</v>
      </c>
      <c r="Z329" s="5" t="n">
        <v>1.508</v>
      </c>
      <c r="AA329" s="5" t="n">
        <v>0</v>
      </c>
      <c r="AB329" s="5" t="n">
        <v>12.219</v>
      </c>
      <c r="AC329" s="5" t="n">
        <v>0</v>
      </c>
      <c r="AD329" s="5" t="n">
        <v>1</v>
      </c>
      <c r="AE329" s="5" t="n">
        <v>13.543</v>
      </c>
      <c r="AF329" s="5" t="n">
        <v>2.952</v>
      </c>
      <c r="AG329" s="5" t="n">
        <v>0</v>
      </c>
      <c r="AH329" s="5" t="n">
        <v>13.543</v>
      </c>
      <c r="AI329" s="5" t="n">
        <v>0</v>
      </c>
      <c r="AJ329" s="5" t="n">
        <v>1</v>
      </c>
      <c r="AK329" s="5" t="n">
        <v>21.484</v>
      </c>
      <c r="AL329" s="5" t="n">
        <v>11.148</v>
      </c>
      <c r="AM329" s="5" t="n">
        <v>0.117</v>
      </c>
      <c r="AN329" s="5" t="n">
        <v>22.344</v>
      </c>
      <c r="AO329" s="5" t="n">
        <v>0.04</v>
      </c>
      <c r="AP329" s="5" t="n">
        <v>1</v>
      </c>
      <c r="AQ329" s="5" t="n">
        <v>0.72</v>
      </c>
      <c r="AR329" s="5" t="n">
        <v>0.132</v>
      </c>
      <c r="AS329" s="5" t="n">
        <v>0.004</v>
      </c>
      <c r="AT329" s="5" t="n">
        <v>0.749</v>
      </c>
      <c r="AU329" s="5" t="n">
        <v>0.04</v>
      </c>
      <c r="AV329" s="5" t="n">
        <v>1</v>
      </c>
      <c r="AW329" s="5" t="n">
        <v>0.734</v>
      </c>
      <c r="AX329" s="5" t="n">
        <v>0.132</v>
      </c>
      <c r="AY329" s="5" t="n">
        <v>0.004</v>
      </c>
      <c r="AZ329" s="5" t="n">
        <v>0.763</v>
      </c>
      <c r="BA329" s="5" t="n">
        <v>0.04</v>
      </c>
      <c r="BB329" s="5" t="n">
        <v>1</v>
      </c>
      <c r="BC329" s="5" t="n">
        <v>0.51</v>
      </c>
      <c r="BD329" s="5" t="n">
        <v>0.132</v>
      </c>
      <c r="BE329" s="5" t="n">
        <v>0.003</v>
      </c>
      <c r="BF329" s="5" t="n">
        <v>0.531</v>
      </c>
      <c r="BG329" s="5" t="n">
        <v>0.04</v>
      </c>
      <c r="BH329" s="5" t="n">
        <v>1</v>
      </c>
      <c r="BI329" s="5" t="n">
        <v>0.652</v>
      </c>
      <c r="BJ329" s="5" t="n">
        <v>0.132</v>
      </c>
      <c r="BK329" s="5" t="n">
        <v>0.004</v>
      </c>
      <c r="BL329" s="5" t="n">
        <v>0.678</v>
      </c>
      <c r="BM329" s="5" t="n">
        <v>0.04</v>
      </c>
      <c r="BN329" s="5" t="n">
        <v>1</v>
      </c>
      <c r="BO329" s="5" t="n">
        <v>0</v>
      </c>
      <c r="BP329" s="5" t="n">
        <v>0</v>
      </c>
      <c r="BQ329" s="5" t="n">
        <v>0</v>
      </c>
      <c r="BR329" s="5" t="n">
        <v>0</v>
      </c>
      <c r="BS329" s="5" t="n">
        <v>1</v>
      </c>
      <c r="BT329" s="5" t="n">
        <v>0</v>
      </c>
      <c r="BU329" s="5" t="n">
        <v>0</v>
      </c>
      <c r="BV329" s="5" t="n">
        <v>0</v>
      </c>
      <c r="BW329" s="5" t="n">
        <v>0.04</v>
      </c>
      <c r="BX329" s="5" t="n">
        <v>1</v>
      </c>
      <c r="BY329" s="5" t="n">
        <v>13.646</v>
      </c>
      <c r="BZ329" s="5" t="n">
        <v>0</v>
      </c>
      <c r="CA329" s="5" t="n">
        <v>13.646</v>
      </c>
      <c r="CB329" s="5" t="n">
        <v>0</v>
      </c>
      <c r="CC329" s="5" t="n">
        <v>86.38500000000001</v>
      </c>
      <c r="CD329" s="5" t="n">
        <v>7.95</v>
      </c>
      <c r="CE329" s="5" t="n">
        <v>0.471</v>
      </c>
      <c r="CF329" s="5" t="n">
        <v>89.84099999999999</v>
      </c>
      <c r="CG329" s="5" t="n">
        <v>0.04</v>
      </c>
      <c r="CH329" s="5" t="n">
        <v>1</v>
      </c>
      <c r="CI329" s="5" t="n">
        <v>0</v>
      </c>
      <c r="CJ329" s="5" t="n">
        <v>0</v>
      </c>
      <c r="CK329" s="5" t="n">
        <v>0</v>
      </c>
      <c r="CL329" s="5" t="n">
        <v>0</v>
      </c>
      <c r="CM329" s="5" t="n">
        <v>0</v>
      </c>
      <c r="CN329" s="5" t="n">
        <v>0</v>
      </c>
      <c r="CO329" s="5" t="n">
        <v>0</v>
      </c>
      <c r="CP329" s="5" t="n">
        <v>0</v>
      </c>
      <c r="CQ329" s="5" t="n">
        <v>1.387</v>
      </c>
      <c r="CR329" s="5" t="n">
        <v>0</v>
      </c>
      <c r="CS329" s="5" t="n">
        <v>5.529</v>
      </c>
      <c r="CT329" s="5" t="n">
        <v>3.509</v>
      </c>
      <c r="CU329" s="5" t="n">
        <v>10.896</v>
      </c>
    </row>
    <row r="330">
      <c r="A330" s="5" t="inlineStr">
        <is>
          <t>GTM2021</t>
        </is>
      </c>
      <c r="B330" s="5" t="inlineStr">
        <is>
          <t>GTM</t>
        </is>
      </c>
      <c r="C330" s="5" t="inlineStr">
        <is>
          <t>GTM</t>
        </is>
      </c>
      <c r="D330" s="5" t="inlineStr">
        <is>
          <t>Guatemala</t>
        </is>
      </c>
      <c r="E330" s="5" t="n">
        <v>2021</v>
      </c>
      <c r="F330" s="5" t="n">
        <v>0.12</v>
      </c>
      <c r="G330" s="5" t="n">
        <v>5.897</v>
      </c>
      <c r="H330" s="5" t="n">
        <v>1.143</v>
      </c>
      <c r="I330" s="5" t="n">
        <v>0.238</v>
      </c>
      <c r="J330" s="5" t="n">
        <v>6.134</v>
      </c>
      <c r="K330" s="5" t="n">
        <v>0</v>
      </c>
      <c r="L330" s="5" t="n">
        <v>1</v>
      </c>
      <c r="M330" s="5" t="n">
        <v>7.964</v>
      </c>
      <c r="N330" s="5" t="n">
        <v>3.43</v>
      </c>
      <c r="O330" s="5" t="n">
        <v>0</v>
      </c>
      <c r="P330" s="5" t="n">
        <v>7.964</v>
      </c>
      <c r="Q330" s="5" t="n">
        <v>0</v>
      </c>
      <c r="R330" s="5" t="n">
        <v>1</v>
      </c>
      <c r="S330" s="5" t="n">
        <v>11.613</v>
      </c>
      <c r="T330" s="5" t="n">
        <v>6.86</v>
      </c>
      <c r="U330" s="5" t="n">
        <v>0</v>
      </c>
      <c r="V330" s="5" t="n">
        <v>13.007</v>
      </c>
      <c r="W330" s="5" t="n">
        <v>0.12</v>
      </c>
      <c r="X330" s="5" t="n">
        <v>1</v>
      </c>
      <c r="Y330" s="5" t="n">
        <v>5.347</v>
      </c>
      <c r="Z330" s="5" t="n">
        <v>0.389</v>
      </c>
      <c r="AA330" s="5" t="n">
        <v>0</v>
      </c>
      <c r="AB330" s="5" t="n">
        <v>5.347</v>
      </c>
      <c r="AC330" s="5" t="n">
        <v>0</v>
      </c>
      <c r="AD330" s="5" t="n">
        <v>1</v>
      </c>
      <c r="AE330" s="5" t="n">
        <v>5.919</v>
      </c>
      <c r="AF330" s="5" t="n">
        <v>0.796</v>
      </c>
      <c r="AG330" s="5" t="n">
        <v>0</v>
      </c>
      <c r="AH330" s="5" t="n">
        <v>5.919</v>
      </c>
      <c r="AI330" s="5" t="n">
        <v>0</v>
      </c>
      <c r="AJ330" s="5" t="n">
        <v>1</v>
      </c>
      <c r="AK330" s="5" t="n">
        <v>9.349</v>
      </c>
      <c r="AL330" s="5" t="n">
        <v>3.497</v>
      </c>
      <c r="AM330" s="5" t="n">
        <v>0</v>
      </c>
      <c r="AN330" s="5" t="n">
        <v>10.471</v>
      </c>
      <c r="AO330" s="5" t="n">
        <v>0.12</v>
      </c>
      <c r="AP330" s="5" t="n">
        <v>1</v>
      </c>
      <c r="AQ330" s="5" t="n">
        <v>0.649</v>
      </c>
      <c r="AR330" s="5" t="n">
        <v>0.114</v>
      </c>
      <c r="AS330" s="5" t="n">
        <v>0.169</v>
      </c>
      <c r="AT330" s="5" t="n">
        <v>0.917</v>
      </c>
      <c r="AU330" s="5" t="n">
        <v>0.12</v>
      </c>
      <c r="AV330" s="5" t="n">
        <v>1</v>
      </c>
      <c r="AW330" s="5" t="n">
        <v>0.577</v>
      </c>
      <c r="AX330" s="5" t="n">
        <v>0.114</v>
      </c>
      <c r="AY330" s="5" t="n">
        <v>0.104</v>
      </c>
      <c r="AZ330" s="5" t="n">
        <v>0.763</v>
      </c>
      <c r="BA330" s="5" t="n">
        <v>0.12</v>
      </c>
      <c r="BB330" s="5" t="n">
        <v>1</v>
      </c>
      <c r="BC330" s="5" t="n">
        <v>0.458</v>
      </c>
      <c r="BD330" s="5" t="n">
        <v>0.114</v>
      </c>
      <c r="BE330" s="5" t="n">
        <v>-0.059</v>
      </c>
      <c r="BF330" s="5" t="n">
        <v>0.447</v>
      </c>
      <c r="BG330" s="5" t="n">
        <v>0</v>
      </c>
      <c r="BH330" s="5" t="n">
        <v>0</v>
      </c>
      <c r="BI330" s="5" t="n">
        <v>0.491</v>
      </c>
      <c r="BJ330" s="5" t="n">
        <v>0.114</v>
      </c>
      <c r="BK330" s="5" t="n">
        <v>0.415</v>
      </c>
      <c r="BL330" s="5" t="n">
        <v>1.015</v>
      </c>
      <c r="BM330" s="5" t="n">
        <v>0.12</v>
      </c>
      <c r="BN330" s="5" t="n">
        <v>1</v>
      </c>
      <c r="BO330" s="5" t="n">
        <v>0</v>
      </c>
      <c r="BP330" s="5" t="n">
        <v>0</v>
      </c>
      <c r="BQ330" s="5" t="n">
        <v>0.132</v>
      </c>
      <c r="BR330" s="5" t="n">
        <v>0</v>
      </c>
      <c r="BS330" s="5" t="n">
        <v>1</v>
      </c>
      <c r="BT330" s="5" t="n">
        <v>0</v>
      </c>
      <c r="BU330" s="5" t="n">
        <v>0</v>
      </c>
      <c r="BV330" s="5" t="n">
        <v>0.223</v>
      </c>
      <c r="BW330" s="5" t="n">
        <v>0.12</v>
      </c>
      <c r="BX330" s="5" t="n">
        <v>0.833</v>
      </c>
      <c r="BY330" s="5" t="n">
        <v>11.787</v>
      </c>
      <c r="BZ330" s="5" t="n">
        <v>0</v>
      </c>
      <c r="CA330" s="5" t="n">
        <v>11.787</v>
      </c>
      <c r="CB330" s="5" t="n">
        <v>0</v>
      </c>
      <c r="CC330" s="5" t="n">
        <v>78.125</v>
      </c>
      <c r="CD330" s="5" t="n">
        <v>7.95</v>
      </c>
      <c r="CE330" s="5" t="n">
        <v>6.6</v>
      </c>
      <c r="CF330" s="5" t="n">
        <v>94.892</v>
      </c>
      <c r="CG330" s="5" t="n">
        <v>0.12</v>
      </c>
      <c r="CH330" s="5" t="n">
        <v>1</v>
      </c>
      <c r="CI330" s="5" t="n">
        <v>0</v>
      </c>
      <c r="CJ330" s="5" t="n">
        <v>0</v>
      </c>
      <c r="CK330" s="5" t="n">
        <v>0</v>
      </c>
      <c r="CL330" s="5" t="n">
        <v>0</v>
      </c>
      <c r="CM330" s="5" t="n">
        <v>0</v>
      </c>
      <c r="CN330" s="5" t="n">
        <v>0</v>
      </c>
      <c r="CO330" s="5" t="n">
        <v>0</v>
      </c>
      <c r="CP330" s="5" t="n">
        <v>0</v>
      </c>
      <c r="CQ330" s="5" t="n">
        <v>1.198</v>
      </c>
      <c r="CR330" s="5" t="n">
        <v>1</v>
      </c>
      <c r="CS330" s="5" t="n">
        <v>4.776</v>
      </c>
      <c r="CT330" s="5" t="n">
        <v>4.753</v>
      </c>
      <c r="CU330" s="5" t="n">
        <v>15.983</v>
      </c>
    </row>
    <row r="331">
      <c r="A331" s="5" t="inlineStr">
        <is>
          <t>GTM2022</t>
        </is>
      </c>
      <c r="B331" s="5" t="inlineStr">
        <is>
          <t>GTM</t>
        </is>
      </c>
      <c r="C331" s="5" t="inlineStr">
        <is>
          <t>GTM</t>
        </is>
      </c>
      <c r="D331" s="5" t="inlineStr">
        <is>
          <t>Guatemala</t>
        </is>
      </c>
      <c r="E331" s="5" t="n">
        <v>2022</v>
      </c>
      <c r="F331" s="5" t="n">
        <v>0.12</v>
      </c>
      <c r="G331" s="5" t="n">
        <v>11.72</v>
      </c>
      <c r="H331" s="5" t="n">
        <v>1.235</v>
      </c>
      <c r="I331" s="5" t="n">
        <v>0.524</v>
      </c>
      <c r="J331" s="5" t="n">
        <v>12.244</v>
      </c>
      <c r="K331" s="5" t="n">
        <v>0</v>
      </c>
      <c r="L331" s="5" t="n">
        <v>1</v>
      </c>
      <c r="M331" s="5" t="n">
        <v>9.782999999999999</v>
      </c>
      <c r="N331" s="5" t="n">
        <v>3.704</v>
      </c>
      <c r="O331" s="5" t="n">
        <v>0</v>
      </c>
      <c r="P331" s="5" t="n">
        <v>9.782999999999999</v>
      </c>
      <c r="Q331" s="5" t="n">
        <v>0</v>
      </c>
      <c r="R331" s="5" t="n">
        <v>1</v>
      </c>
      <c r="S331" s="5" t="n">
        <v>17.893</v>
      </c>
      <c r="T331" s="5" t="n">
        <v>7.408</v>
      </c>
      <c r="U331" s="5" t="n">
        <v>0.159</v>
      </c>
      <c r="V331" s="5" t="n">
        <v>20.041</v>
      </c>
      <c r="W331" s="5" t="n">
        <v>0.12</v>
      </c>
      <c r="X331" s="5" t="n">
        <v>1</v>
      </c>
      <c r="Y331" s="5" t="n">
        <v>5.775</v>
      </c>
      <c r="Z331" s="5" t="n">
        <v>0.42</v>
      </c>
      <c r="AA331" s="5" t="n">
        <v>0</v>
      </c>
      <c r="AB331" s="5" t="n">
        <v>5.775</v>
      </c>
      <c r="AC331" s="5" t="n">
        <v>0</v>
      </c>
      <c r="AD331" s="5" t="n">
        <v>1</v>
      </c>
      <c r="AE331" s="5" t="n">
        <v>6.392</v>
      </c>
      <c r="AF331" s="5" t="n">
        <v>0.86</v>
      </c>
      <c r="AG331" s="5" t="n">
        <v>0</v>
      </c>
      <c r="AH331" s="5" t="n">
        <v>6.392</v>
      </c>
      <c r="AI331" s="5" t="n">
        <v>0</v>
      </c>
      <c r="AJ331" s="5" t="n">
        <v>1</v>
      </c>
      <c r="AK331" s="5" t="n">
        <v>10.096</v>
      </c>
      <c r="AL331" s="5" t="n">
        <v>3.776</v>
      </c>
      <c r="AM331" s="5" t="n">
        <v>0.09</v>
      </c>
      <c r="AN331" s="5" t="n">
        <v>11.308</v>
      </c>
      <c r="AO331" s="5" t="n">
        <v>0.12</v>
      </c>
      <c r="AP331" s="5" t="n">
        <v>1</v>
      </c>
      <c r="AQ331" s="5" t="n">
        <v>0.896</v>
      </c>
      <c r="AR331" s="5" t="n">
        <v>0.123</v>
      </c>
      <c r="AS331" s="5" t="n">
        <v>0.161</v>
      </c>
      <c r="AT331" s="5" t="n">
        <v>1.183</v>
      </c>
      <c r="AU331" s="5" t="n">
        <v>0.12</v>
      </c>
      <c r="AV331" s="5" t="n">
        <v>1</v>
      </c>
      <c r="AW331" s="5" t="n">
        <v>0.89</v>
      </c>
      <c r="AX331" s="5" t="n">
        <v>0.123</v>
      </c>
      <c r="AY331" s="5" t="n">
        <v>0.131</v>
      </c>
      <c r="AZ331" s="5" t="n">
        <v>1.144</v>
      </c>
      <c r="BA331" s="5" t="n">
        <v>0.12</v>
      </c>
      <c r="BB331" s="5" t="n">
        <v>1</v>
      </c>
      <c r="BC331" s="5" t="n">
        <v>0.62</v>
      </c>
      <c r="BD331" s="5" t="n">
        <v>0.123</v>
      </c>
      <c r="BE331" s="5" t="n">
        <v>-0.207</v>
      </c>
      <c r="BF331" s="5" t="n">
        <v>0.463</v>
      </c>
      <c r="BG331" s="5" t="n">
        <v>0</v>
      </c>
      <c r="BH331" s="5" t="n">
        <v>0</v>
      </c>
      <c r="BI331" s="5" t="n">
        <v>0.608</v>
      </c>
      <c r="BJ331" s="5" t="n">
        <v>0.123</v>
      </c>
      <c r="BK331" s="5" t="n">
        <v>0.529</v>
      </c>
      <c r="BL331" s="5" t="n">
        <v>1.273</v>
      </c>
      <c r="BM331" s="5" t="n">
        <v>0.12</v>
      </c>
      <c r="BN331" s="5" t="n">
        <v>1</v>
      </c>
      <c r="BO331" s="5" t="n">
        <v>0</v>
      </c>
      <c r="BP331" s="5" t="n">
        <v>0</v>
      </c>
      <c r="BQ331" s="5" t="n">
        <v>0.141</v>
      </c>
      <c r="BR331" s="5" t="n">
        <v>0</v>
      </c>
      <c r="BS331" s="5" t="n">
        <v>1</v>
      </c>
      <c r="BT331" s="5" t="n">
        <v>0</v>
      </c>
      <c r="BU331" s="5" t="n">
        <v>0</v>
      </c>
      <c r="BV331" s="5" t="n">
        <v>0.133</v>
      </c>
      <c r="BW331" s="5" t="n">
        <v>0.12</v>
      </c>
      <c r="BX331" s="5" t="n">
        <v>0.833</v>
      </c>
      <c r="BY331" s="5" t="n">
        <v>12.729</v>
      </c>
      <c r="BZ331" s="5" t="n">
        <v>0</v>
      </c>
      <c r="CA331" s="5" t="n">
        <v>12.729</v>
      </c>
      <c r="CB331" s="5" t="n">
        <v>0</v>
      </c>
      <c r="CC331" s="5" t="n">
        <v>97.90000000000001</v>
      </c>
      <c r="CD331" s="5" t="n">
        <v>7.95</v>
      </c>
      <c r="CE331" s="5" t="n">
        <v>6.598</v>
      </c>
      <c r="CF331" s="5" t="n">
        <v>116.007</v>
      </c>
      <c r="CG331" s="5" t="n">
        <v>0.12</v>
      </c>
      <c r="CH331" s="5" t="n">
        <v>1</v>
      </c>
      <c r="CI331" s="5" t="n">
        <v>0</v>
      </c>
      <c r="CJ331" s="5" t="n">
        <v>0</v>
      </c>
      <c r="CK331" s="5" t="n">
        <v>0</v>
      </c>
      <c r="CL331" s="5" t="n">
        <v>0</v>
      </c>
      <c r="CM331" s="5" t="n">
        <v>0</v>
      </c>
      <c r="CN331" s="5" t="n">
        <v>0</v>
      </c>
      <c r="CO331" s="5" t="n">
        <v>0</v>
      </c>
      <c r="CP331" s="5" t="n">
        <v>0</v>
      </c>
      <c r="CQ331" s="5" t="n">
        <v>1.294</v>
      </c>
      <c r="CR331" s="5" t="n">
        <v>1</v>
      </c>
      <c r="CS331" s="5" t="n">
        <v>5.158</v>
      </c>
      <c r="CT331" s="5" t="n">
        <v>10.485</v>
      </c>
      <c r="CU331" s="5" t="n">
        <v>29.494</v>
      </c>
    </row>
    <row r="332">
      <c r="A332" s="5" t="inlineStr">
        <is>
          <t>GTM2023</t>
        </is>
      </c>
      <c r="B332" s="5" t="inlineStr">
        <is>
          <t>GTM</t>
        </is>
      </c>
      <c r="C332" s="5" t="inlineStr">
        <is>
          <t>GTM</t>
        </is>
      </c>
      <c r="D332" s="5" t="inlineStr">
        <is>
          <t>Guatemala</t>
        </is>
      </c>
      <c r="E332" s="5" t="n">
        <v>2023</v>
      </c>
      <c r="F332" s="5" t="n">
        <v>0.12</v>
      </c>
      <c r="G332" s="5" t="n">
        <v>5.295</v>
      </c>
      <c r="H332" s="5" t="n">
        <v>1.154</v>
      </c>
      <c r="I332" s="5" t="n">
        <v>0.193</v>
      </c>
      <c r="J332" s="5" t="n">
        <v>5.488</v>
      </c>
      <c r="K332" s="5" t="n">
        <v>0</v>
      </c>
      <c r="L332" s="5" t="n">
        <v>1</v>
      </c>
      <c r="M332" s="5" t="n">
        <v>6.941</v>
      </c>
      <c r="N332" s="5" t="n">
        <v>3.462</v>
      </c>
      <c r="O332" s="5" t="n">
        <v>0</v>
      </c>
      <c r="P332" s="5" t="n">
        <v>6.941</v>
      </c>
      <c r="Q332" s="5" t="n">
        <v>0</v>
      </c>
      <c r="R332" s="5" t="n">
        <v>1</v>
      </c>
      <c r="S332" s="5" t="n">
        <v>11.065</v>
      </c>
      <c r="T332" s="5" t="n">
        <v>6.924</v>
      </c>
      <c r="U332" s="5" t="n">
        <v>0.147</v>
      </c>
      <c r="V332" s="5" t="n">
        <v>12.393</v>
      </c>
      <c r="W332" s="5" t="n">
        <v>0.12</v>
      </c>
      <c r="X332" s="5" t="n">
        <v>1</v>
      </c>
      <c r="Y332" s="5" t="n">
        <v>6.013</v>
      </c>
      <c r="Z332" s="5" t="n">
        <v>0.438</v>
      </c>
      <c r="AA332" s="5" t="n">
        <v>0</v>
      </c>
      <c r="AB332" s="5" t="n">
        <v>6.013</v>
      </c>
      <c r="AC332" s="5" t="n">
        <v>0</v>
      </c>
      <c r="AD332" s="5" t="n">
        <v>1</v>
      </c>
      <c r="AE332" s="5" t="n">
        <v>6.656</v>
      </c>
      <c r="AF332" s="5" t="n">
        <v>0.895</v>
      </c>
      <c r="AG332" s="5" t="n">
        <v>0</v>
      </c>
      <c r="AH332" s="5" t="n">
        <v>6.656</v>
      </c>
      <c r="AI332" s="5" t="n">
        <v>0</v>
      </c>
      <c r="AJ332" s="5" t="n">
        <v>1</v>
      </c>
      <c r="AK332" s="5" t="n">
        <v>10.513</v>
      </c>
      <c r="AL332" s="5" t="n">
        <v>3.932</v>
      </c>
      <c r="AM332" s="5" t="n">
        <v>0.14</v>
      </c>
      <c r="AN332" s="5" t="n">
        <v>11.775</v>
      </c>
      <c r="AO332" s="5" t="n">
        <v>0.12</v>
      </c>
      <c r="AP332" s="5" t="n">
        <v>1</v>
      </c>
      <c r="AQ332" s="5" t="n">
        <v>0.791</v>
      </c>
      <c r="AR332" s="5" t="n">
        <v>0.129</v>
      </c>
      <c r="AS332" s="5" t="n">
        <v>0.227</v>
      </c>
      <c r="AT332" s="5" t="n">
        <v>1.14</v>
      </c>
      <c r="AU332" s="5" t="n">
        <v>0.12</v>
      </c>
      <c r="AV332" s="5" t="n">
        <v>1</v>
      </c>
      <c r="AW332" s="5" t="n">
        <v>0.618</v>
      </c>
      <c r="AX332" s="5" t="n">
        <v>0.129</v>
      </c>
      <c r="AY332" s="5" t="n">
        <v>0.349</v>
      </c>
      <c r="AZ332" s="5" t="n">
        <v>1.083</v>
      </c>
      <c r="BA332" s="5" t="n">
        <v>0.12</v>
      </c>
      <c r="BB332" s="5" t="n">
        <v>1</v>
      </c>
      <c r="BC332" s="5" t="n">
        <v>0.554</v>
      </c>
      <c r="BD332" s="5" t="n">
        <v>0.129</v>
      </c>
      <c r="BE332" s="5" t="n">
        <v>-0.139</v>
      </c>
      <c r="BF332" s="5" t="n">
        <v>0.465</v>
      </c>
      <c r="BG332" s="5" t="n">
        <v>0</v>
      </c>
      <c r="BH332" s="5" t="n">
        <v>0</v>
      </c>
      <c r="BI332" s="5" t="n">
        <v>0.5570000000000001</v>
      </c>
      <c r="BJ332" s="5" t="n">
        <v>0.129</v>
      </c>
      <c r="BK332" s="5" t="n">
        <v>0.571</v>
      </c>
      <c r="BL332" s="5" t="n">
        <v>1.264</v>
      </c>
      <c r="BM332" s="5" t="n">
        <v>0.12</v>
      </c>
      <c r="BN332" s="5" t="n">
        <v>1</v>
      </c>
      <c r="BO332" s="5" t="n">
        <v>0</v>
      </c>
      <c r="BP332" s="5" t="n">
        <v>0</v>
      </c>
      <c r="BQ332" s="5" t="n">
        <v>0.127</v>
      </c>
      <c r="BR332" s="5" t="n">
        <v>0</v>
      </c>
      <c r="BS332" s="5" t="n">
        <v>1</v>
      </c>
      <c r="BT332" s="5" t="n">
        <v>0</v>
      </c>
      <c r="BU332" s="5" t="n">
        <v>0</v>
      </c>
      <c r="BV332" s="5" t="n">
        <v>0.115</v>
      </c>
      <c r="BW332" s="5" t="n">
        <v>0.12</v>
      </c>
      <c r="BX332" s="5" t="n">
        <v>0.833</v>
      </c>
      <c r="BY332" s="5" t="n">
        <v>13.254</v>
      </c>
      <c r="BZ332" s="5" t="n">
        <v>0</v>
      </c>
      <c r="CA332" s="5" t="n">
        <v>13.254</v>
      </c>
      <c r="CB332" s="5" t="n">
        <v>0</v>
      </c>
      <c r="CC332" s="5" t="n">
        <v>83.248</v>
      </c>
      <c r="CD332" s="5" t="n">
        <v>7.95</v>
      </c>
      <c r="CE332" s="5" t="n">
        <v>9.125999999999999</v>
      </c>
      <c r="CF332" s="5" t="n">
        <v>102.103</v>
      </c>
      <c r="CG332" s="5" t="n">
        <v>0.12</v>
      </c>
      <c r="CH332" s="5" t="n">
        <v>1</v>
      </c>
      <c r="CI332" s="5" t="n">
        <v>0</v>
      </c>
      <c r="CJ332" s="5" t="n">
        <v>0</v>
      </c>
      <c r="CK332" s="5" t="n">
        <v>0</v>
      </c>
      <c r="CL332" s="5" t="n">
        <v>0</v>
      </c>
      <c r="CM332" s="5" t="n">
        <v>0</v>
      </c>
      <c r="CN332" s="5" t="n">
        <v>0</v>
      </c>
      <c r="CO332" s="5" t="n">
        <v>0</v>
      </c>
      <c r="CP332" s="5" t="n">
        <v>0.205</v>
      </c>
      <c r="CQ332" s="5" t="n">
        <v>1.348</v>
      </c>
      <c r="CR332" s="5" t="n">
        <v>1</v>
      </c>
      <c r="CS332" s="5" t="n">
        <v>5.37</v>
      </c>
      <c r="CT332" s="5" t="n">
        <v>4.861</v>
      </c>
      <c r="CU332" s="5" t="n">
        <v>11.192</v>
      </c>
    </row>
    <row r="333">
      <c r="A333" s="5" t="inlineStr">
        <is>
          <t>GTM2024</t>
        </is>
      </c>
      <c r="B333" s="5" t="inlineStr">
        <is>
          <t>GTM</t>
        </is>
      </c>
      <c r="C333" s="5" t="inlineStr">
        <is>
          <t>GTM</t>
        </is>
      </c>
      <c r="D333" s="5" t="inlineStr">
        <is>
          <t>Guatemala</t>
        </is>
      </c>
      <c r="E333" s="5" t="n">
        <v>2024</v>
      </c>
      <c r="F333" s="5" t="n">
        <v>0.12</v>
      </c>
      <c r="G333" s="5" t="n">
        <v>4.852</v>
      </c>
      <c r="H333" s="5" t="n">
        <v>1.188</v>
      </c>
      <c r="I333" s="5" t="n">
        <v>0.169</v>
      </c>
      <c r="J333" s="5" t="n">
        <v>5.021</v>
      </c>
      <c r="K333" s="5" t="n">
        <v>0</v>
      </c>
      <c r="L333" s="5" t="n">
        <v>1</v>
      </c>
      <c r="M333" s="5" t="n">
        <v>6.355</v>
      </c>
      <c r="N333" s="5" t="n">
        <v>3.564</v>
      </c>
      <c r="O333" s="5" t="n">
        <v>0</v>
      </c>
      <c r="P333" s="5" t="n">
        <v>6.355</v>
      </c>
      <c r="Q333" s="5" t="n">
        <v>0</v>
      </c>
      <c r="R333" s="5" t="n">
        <v>1</v>
      </c>
      <c r="S333" s="5" t="n">
        <v>10.792</v>
      </c>
      <c r="T333" s="5" t="n">
        <v>7.128</v>
      </c>
      <c r="U333" s="5" t="n">
        <v>0.176</v>
      </c>
      <c r="V333" s="5" t="n">
        <v>12.087</v>
      </c>
      <c r="W333" s="5" t="n">
        <v>0.12</v>
      </c>
      <c r="X333" s="5" t="n">
        <v>1</v>
      </c>
      <c r="Y333" s="5" t="n">
        <v>6.191</v>
      </c>
      <c r="Z333" s="5" t="n">
        <v>0.451</v>
      </c>
      <c r="AA333" s="5" t="n">
        <v>0</v>
      </c>
      <c r="AB333" s="5" t="n">
        <v>6.191</v>
      </c>
      <c r="AC333" s="5" t="n">
        <v>0</v>
      </c>
      <c r="AD333" s="5" t="n">
        <v>1</v>
      </c>
      <c r="AE333" s="5" t="n">
        <v>6.853</v>
      </c>
      <c r="AF333" s="5" t="n">
        <v>0.922</v>
      </c>
      <c r="AG333" s="5" t="n">
        <v>0</v>
      </c>
      <c r="AH333" s="5" t="n">
        <v>6.853</v>
      </c>
      <c r="AI333" s="5" t="n">
        <v>0</v>
      </c>
      <c r="AJ333" s="5" t="n">
        <v>1</v>
      </c>
      <c r="AK333" s="5" t="n">
        <v>10.823</v>
      </c>
      <c r="AL333" s="5" t="n">
        <v>4.048</v>
      </c>
      <c r="AM333" s="5" t="n">
        <v>0.177</v>
      </c>
      <c r="AN333" s="5" t="n">
        <v>12.122</v>
      </c>
      <c r="AO333" s="5" t="n">
        <v>0.12</v>
      </c>
      <c r="AP333" s="5" t="n">
        <v>1</v>
      </c>
      <c r="AQ333" s="5" t="n">
        <v>0.756</v>
      </c>
      <c r="AR333" s="5" t="n">
        <v>0.132</v>
      </c>
      <c r="AS333" s="5" t="n">
        <v>0.201</v>
      </c>
      <c r="AT333" s="5" t="n">
        <v>1.072</v>
      </c>
      <c r="AU333" s="5" t="n">
        <v>0.12</v>
      </c>
      <c r="AV333" s="5" t="n">
        <v>1</v>
      </c>
      <c r="AW333" s="5" t="n">
        <v>0.655</v>
      </c>
      <c r="AX333" s="5" t="n">
        <v>0.132</v>
      </c>
      <c r="AY333" s="5" t="n">
        <v>0.232</v>
      </c>
      <c r="AZ333" s="5" t="n">
        <v>0.994</v>
      </c>
      <c r="BA333" s="5" t="n">
        <v>0.12</v>
      </c>
      <c r="BB333" s="5" t="n">
        <v>1</v>
      </c>
      <c r="BC333" s="5" t="n">
        <v>0.534</v>
      </c>
      <c r="BD333" s="5" t="n">
        <v>0.132</v>
      </c>
      <c r="BE333" s="5" t="n">
        <v>-0.164</v>
      </c>
      <c r="BF333" s="5" t="n">
        <v>0.413</v>
      </c>
      <c r="BG333" s="5" t="n">
        <v>0</v>
      </c>
      <c r="BH333" s="5" t="n">
        <v>0</v>
      </c>
      <c r="BI333" s="5" t="n">
        <v>0.5679999999999999</v>
      </c>
      <c r="BJ333" s="5" t="n">
        <v>0.132</v>
      </c>
      <c r="BK333" s="5" t="n">
        <v>0.5570000000000001</v>
      </c>
      <c r="BL333" s="5" t="n">
        <v>1.26</v>
      </c>
      <c r="BM333" s="5" t="n">
        <v>0.12</v>
      </c>
      <c r="BN333" s="5" t="n">
        <v>1</v>
      </c>
      <c r="BO333" s="5" t="n">
        <v>0</v>
      </c>
      <c r="BP333" s="5" t="n">
        <v>0</v>
      </c>
      <c r="BQ333" s="5" t="n">
        <v>0.156</v>
      </c>
      <c r="BR333" s="5" t="n">
        <v>0</v>
      </c>
      <c r="BS333" s="5" t="n">
        <v>1</v>
      </c>
      <c r="BT333" s="5" t="n">
        <v>0</v>
      </c>
      <c r="BU333" s="5" t="n">
        <v>0</v>
      </c>
      <c r="BV333" s="5" t="n">
        <v>0.209</v>
      </c>
      <c r="BW333" s="5" t="n">
        <v>0.12</v>
      </c>
      <c r="BX333" s="5" t="n">
        <v>0.833</v>
      </c>
      <c r="BY333" s="5" t="n">
        <v>13.646</v>
      </c>
      <c r="BZ333" s="5" t="n">
        <v>0</v>
      </c>
      <c r="CA333" s="5" t="n">
        <v>13.646</v>
      </c>
      <c r="CB333" s="5" t="n">
        <v>0</v>
      </c>
      <c r="CC333" s="5" t="n">
        <v>82.58799999999999</v>
      </c>
      <c r="CD333" s="5" t="n">
        <v>7.95</v>
      </c>
      <c r="CE333" s="5" t="n">
        <v>9.972</v>
      </c>
      <c r="CF333" s="5" t="n">
        <v>101.999</v>
      </c>
      <c r="CG333" s="5" t="n">
        <v>0.12</v>
      </c>
      <c r="CH333" s="5" t="n">
        <v>1</v>
      </c>
      <c r="CI333" s="5" t="n">
        <v>0</v>
      </c>
      <c r="CJ333" s="5" t="n">
        <v>0</v>
      </c>
      <c r="CK333" s="5" t="n">
        <v>0</v>
      </c>
      <c r="CL333" s="5" t="n">
        <v>0</v>
      </c>
      <c r="CM333" s="5" t="n">
        <v>0</v>
      </c>
      <c r="CN333" s="5" t="n">
        <v>0</v>
      </c>
      <c r="CO333" s="5" t="n">
        <v>0</v>
      </c>
      <c r="CP333" s="5" t="n">
        <v>0.205</v>
      </c>
      <c r="CQ333" s="5" t="n">
        <v>1.387</v>
      </c>
      <c r="CR333" s="5" t="n">
        <v>1</v>
      </c>
      <c r="CS333" s="5" t="n">
        <v>5.529</v>
      </c>
      <c r="CT333" s="5" t="n">
        <v>4.251</v>
      </c>
      <c r="CU333" s="5" t="n">
        <v>10.123</v>
      </c>
    </row>
    <row r="334">
      <c r="A334" s="5" t="inlineStr">
        <is>
          <t>GIN2021</t>
        </is>
      </c>
      <c r="B334" s="5" t="inlineStr">
        <is>
          <t>GIN</t>
        </is>
      </c>
      <c r="C334" s="5" t="inlineStr">
        <is>
          <t>GIN</t>
        </is>
      </c>
      <c r="D334" s="5" t="inlineStr">
        <is>
          <t>Guinea</t>
        </is>
      </c>
      <c r="E334" s="5" t="n">
        <v>2021</v>
      </c>
      <c r="F334" s="5" t="n">
        <v>0.18</v>
      </c>
      <c r="G334" s="5" t="n">
        <v>5.897</v>
      </c>
      <c r="H334" s="5" t="n">
        <v>1.143</v>
      </c>
      <c r="I334" s="5" t="n">
        <v>0</v>
      </c>
      <c r="J334" s="5" t="n">
        <v>5.897</v>
      </c>
      <c r="K334" s="5" t="n">
        <v>0</v>
      </c>
      <c r="L334" s="5" t="n">
        <v>1</v>
      </c>
      <c r="M334" s="5" t="n">
        <v>7.964</v>
      </c>
      <c r="N334" s="5" t="n">
        <v>3.43</v>
      </c>
      <c r="O334" s="5" t="n">
        <v>0</v>
      </c>
      <c r="P334" s="5" t="n">
        <v>7.964</v>
      </c>
      <c r="Q334" s="5" t="n">
        <v>0</v>
      </c>
      <c r="R334" s="5" t="n">
        <v>1</v>
      </c>
      <c r="S334" s="5" t="n">
        <v>11.613</v>
      </c>
      <c r="T334" s="5" t="n">
        <v>6.86</v>
      </c>
      <c r="U334" s="5" t="n">
        <v>0</v>
      </c>
      <c r="V334" s="5" t="n">
        <v>13.704</v>
      </c>
      <c r="W334" s="5" t="n">
        <v>0.18</v>
      </c>
      <c r="X334" s="5" t="n">
        <v>1</v>
      </c>
      <c r="Y334" s="5" t="n">
        <v>13.209</v>
      </c>
      <c r="Z334" s="5" t="n">
        <v>1.785</v>
      </c>
      <c r="AA334" s="5" t="n">
        <v>0</v>
      </c>
      <c r="AB334" s="5" t="n">
        <v>13.209</v>
      </c>
      <c r="AC334" s="5" t="n">
        <v>0</v>
      </c>
      <c r="AD334" s="5" t="n">
        <v>1</v>
      </c>
      <c r="AE334" s="5" t="n">
        <v>14.352</v>
      </c>
      <c r="AF334" s="5" t="n">
        <v>3.356</v>
      </c>
      <c r="AG334" s="5" t="n">
        <v>0</v>
      </c>
      <c r="AH334" s="5" t="n">
        <v>14.352</v>
      </c>
      <c r="AI334" s="5" t="n">
        <v>0</v>
      </c>
      <c r="AJ334" s="5" t="n">
        <v>1</v>
      </c>
      <c r="AK334" s="5" t="n">
        <v>21.212</v>
      </c>
      <c r="AL334" s="5" t="n">
        <v>11.298</v>
      </c>
      <c r="AM334" s="5" t="n">
        <v>0</v>
      </c>
      <c r="AN334" s="5" t="n">
        <v>25.03</v>
      </c>
      <c r="AO334" s="5" t="n">
        <v>0.18</v>
      </c>
      <c r="AP334" s="5" t="n">
        <v>1</v>
      </c>
      <c r="AQ334" s="5" t="n">
        <v>0.619</v>
      </c>
      <c r="AR334" s="5" t="n">
        <v>0.114</v>
      </c>
      <c r="AS334" s="5" t="n">
        <v>0.358</v>
      </c>
      <c r="AT334" s="5" t="n">
        <v>1.153</v>
      </c>
      <c r="AU334" s="5" t="n">
        <v>0.18</v>
      </c>
      <c r="AV334" s="5" t="n">
        <v>1</v>
      </c>
      <c r="AW334" s="5" t="n">
        <v>0.599</v>
      </c>
      <c r="AX334" s="5" t="n">
        <v>0.114</v>
      </c>
      <c r="AY334" s="5" t="n">
        <v>0.315</v>
      </c>
      <c r="AZ334" s="5" t="n">
        <v>1.079</v>
      </c>
      <c r="BA334" s="5" t="n">
        <v>0.18</v>
      </c>
      <c r="BB334" s="5" t="n">
        <v>1</v>
      </c>
      <c r="BC334" s="5" t="n">
        <v>0.439</v>
      </c>
      <c r="BD334" s="5" t="n">
        <v>0.114</v>
      </c>
      <c r="BE334" s="5" t="n">
        <v>0</v>
      </c>
      <c r="BF334" s="5" t="n">
        <v>0.518</v>
      </c>
      <c r="BG334" s="5" t="n">
        <v>0.18</v>
      </c>
      <c r="BH334" s="5" t="n">
        <v>1</v>
      </c>
      <c r="BI334" s="5" t="n">
        <v>0.505</v>
      </c>
      <c r="BJ334" s="5" t="n">
        <v>0.114</v>
      </c>
      <c r="BK334" s="5" t="n">
        <v>0.418</v>
      </c>
      <c r="BL334" s="5" t="n">
        <v>1.089</v>
      </c>
      <c r="BM334" s="5" t="n">
        <v>0.18</v>
      </c>
      <c r="BN334" s="5" t="n">
        <v>1</v>
      </c>
      <c r="BO334" s="5" t="n">
        <v>0</v>
      </c>
      <c r="BP334" s="5" t="n">
        <v>0</v>
      </c>
      <c r="BQ334" s="5" t="n">
        <v>0.185</v>
      </c>
      <c r="BR334" s="5" t="n">
        <v>0</v>
      </c>
      <c r="BS334" s="5" t="n">
        <v>1</v>
      </c>
      <c r="BT334" s="5" t="n">
        <v>0</v>
      </c>
      <c r="BU334" s="5" t="n">
        <v>0</v>
      </c>
      <c r="BV334" s="5" t="n">
        <v>0.039</v>
      </c>
      <c r="BW334" s="5" t="n">
        <v>0.18</v>
      </c>
      <c r="BX334" s="5" t="n">
        <v>1</v>
      </c>
      <c r="BY334" s="5" t="n">
        <v>11.787</v>
      </c>
      <c r="BZ334" s="5" t="n">
        <v>0</v>
      </c>
      <c r="CA334" s="5" t="n">
        <v>11.787</v>
      </c>
      <c r="CB334" s="5" t="n">
        <v>0</v>
      </c>
      <c r="CC334" s="5" t="n">
        <v>78.125</v>
      </c>
      <c r="CD334" s="5" t="n">
        <v>7.95</v>
      </c>
      <c r="CE334" s="5" t="n">
        <v>0</v>
      </c>
      <c r="CF334" s="5" t="n">
        <v>92.188</v>
      </c>
      <c r="CG334" s="5" t="n">
        <v>0.18</v>
      </c>
      <c r="CH334" s="5" t="n">
        <v>1</v>
      </c>
      <c r="CI334" s="5" t="n">
        <v>0</v>
      </c>
      <c r="CJ334" s="5" t="n">
        <v>0</v>
      </c>
      <c r="CK334" s="5" t="n">
        <v>0</v>
      </c>
      <c r="CL334" s="5" t="n">
        <v>0</v>
      </c>
      <c r="CM334" s="5" t="n">
        <v>0</v>
      </c>
      <c r="CN334" s="5" t="n">
        <v>0</v>
      </c>
      <c r="CO334" s="5" t="n">
        <v>0</v>
      </c>
      <c r="CP334" s="5" t="n">
        <v>0</v>
      </c>
      <c r="CQ334" s="5" t="n">
        <v>1.198</v>
      </c>
      <c r="CR334" s="5" t="n">
        <v>0</v>
      </c>
      <c r="CS334" s="5" t="n">
        <v>4.776</v>
      </c>
      <c r="CT334" s="5" t="n">
        <v>4.753</v>
      </c>
      <c r="CU334" s="5" t="n">
        <v>15.162</v>
      </c>
    </row>
    <row r="335">
      <c r="A335" s="5" t="inlineStr">
        <is>
          <t>GIN2022</t>
        </is>
      </c>
      <c r="B335" s="5" t="inlineStr">
        <is>
          <t>GIN</t>
        </is>
      </c>
      <c r="C335" s="5" t="inlineStr">
        <is>
          <t>GIN</t>
        </is>
      </c>
      <c r="D335" s="5" t="inlineStr">
        <is>
          <t>Guinea</t>
        </is>
      </c>
      <c r="E335" s="5" t="n">
        <v>2022</v>
      </c>
      <c r="F335" s="5" t="n">
        <v>0.18</v>
      </c>
      <c r="G335" s="5" t="n">
        <v>11.72</v>
      </c>
      <c r="H335" s="5" t="n">
        <v>1.235</v>
      </c>
      <c r="I335" s="5" t="n">
        <v>0</v>
      </c>
      <c r="J335" s="5" t="n">
        <v>11.72</v>
      </c>
      <c r="K335" s="5" t="n">
        <v>0</v>
      </c>
      <c r="L335" s="5" t="n">
        <v>1</v>
      </c>
      <c r="M335" s="5" t="n">
        <v>9.782999999999999</v>
      </c>
      <c r="N335" s="5" t="n">
        <v>3.704</v>
      </c>
      <c r="O335" s="5" t="n">
        <v>0</v>
      </c>
      <c r="P335" s="5" t="n">
        <v>9.782999999999999</v>
      </c>
      <c r="Q335" s="5" t="n">
        <v>0</v>
      </c>
      <c r="R335" s="5" t="n">
        <v>1</v>
      </c>
      <c r="S335" s="5" t="n">
        <v>17.893</v>
      </c>
      <c r="T335" s="5" t="n">
        <v>7.408</v>
      </c>
      <c r="U335" s="5" t="n">
        <v>0.238</v>
      </c>
      <c r="V335" s="5" t="n">
        <v>21.114</v>
      </c>
      <c r="W335" s="5" t="n">
        <v>0.18</v>
      </c>
      <c r="X335" s="5" t="n">
        <v>1</v>
      </c>
      <c r="Y335" s="5" t="n">
        <v>25.267</v>
      </c>
      <c r="Z335" s="5" t="n">
        <v>3.415</v>
      </c>
      <c r="AA335" s="5" t="n">
        <v>0</v>
      </c>
      <c r="AB335" s="5" t="n">
        <v>25.267</v>
      </c>
      <c r="AC335" s="5" t="n">
        <v>0</v>
      </c>
      <c r="AD335" s="5" t="n">
        <v>1</v>
      </c>
      <c r="AE335" s="5" t="n">
        <v>26.501</v>
      </c>
      <c r="AF335" s="5" t="n">
        <v>6.197</v>
      </c>
      <c r="AG335" s="5" t="n">
        <v>0</v>
      </c>
      <c r="AH335" s="5" t="n">
        <v>26.501</v>
      </c>
      <c r="AI335" s="5" t="n">
        <v>0</v>
      </c>
      <c r="AJ335" s="5" t="n">
        <v>1</v>
      </c>
      <c r="AK335" s="5" t="n">
        <v>33.91</v>
      </c>
      <c r="AL335" s="5" t="n">
        <v>18.06</v>
      </c>
      <c r="AM335" s="5" t="n">
        <v>0.452</v>
      </c>
      <c r="AN335" s="5" t="n">
        <v>40.013</v>
      </c>
      <c r="AO335" s="5" t="n">
        <v>0.18</v>
      </c>
      <c r="AP335" s="5" t="n">
        <v>1</v>
      </c>
      <c r="AQ335" s="5" t="n">
        <v>0.861</v>
      </c>
      <c r="AR335" s="5" t="n">
        <v>0.123</v>
      </c>
      <c r="AS335" s="5" t="n">
        <v>0.374</v>
      </c>
      <c r="AT335" s="5" t="n">
        <v>1.438</v>
      </c>
      <c r="AU335" s="5" t="n">
        <v>0.18</v>
      </c>
      <c r="AV335" s="5" t="n">
        <v>1</v>
      </c>
      <c r="AW335" s="5" t="n">
        <v>0.986</v>
      </c>
      <c r="AX335" s="5" t="n">
        <v>0.123</v>
      </c>
      <c r="AY335" s="5" t="n">
        <v>0.248</v>
      </c>
      <c r="AZ335" s="5" t="n">
        <v>1.438</v>
      </c>
      <c r="BA335" s="5" t="n">
        <v>0.18</v>
      </c>
      <c r="BB335" s="5" t="n">
        <v>1</v>
      </c>
      <c r="BC335" s="5" t="n">
        <v>0.598</v>
      </c>
      <c r="BD335" s="5" t="n">
        <v>0.123</v>
      </c>
      <c r="BE335" s="5" t="n">
        <v>0.008</v>
      </c>
      <c r="BF335" s="5" t="n">
        <v>0.705</v>
      </c>
      <c r="BG335" s="5" t="n">
        <v>0.18</v>
      </c>
      <c r="BH335" s="5" t="n">
        <v>1</v>
      </c>
      <c r="BI335" s="5" t="n">
        <v>0.612</v>
      </c>
      <c r="BJ335" s="5" t="n">
        <v>0.123</v>
      </c>
      <c r="BK335" s="5" t="n">
        <v>0.41</v>
      </c>
      <c r="BL335" s="5" t="n">
        <v>1.191</v>
      </c>
      <c r="BM335" s="5" t="n">
        <v>0.18</v>
      </c>
      <c r="BN335" s="5" t="n">
        <v>1</v>
      </c>
      <c r="BO335" s="5" t="n">
        <v>0</v>
      </c>
      <c r="BP335" s="5" t="n">
        <v>0</v>
      </c>
      <c r="BQ335" s="5" t="n">
        <v>0.207</v>
      </c>
      <c r="BR335" s="5" t="n">
        <v>0</v>
      </c>
      <c r="BS335" s="5" t="n">
        <v>1</v>
      </c>
      <c r="BT335" s="5" t="n">
        <v>0</v>
      </c>
      <c r="BU335" s="5" t="n">
        <v>0</v>
      </c>
      <c r="BV335" s="5" t="n">
        <v>0.044</v>
      </c>
      <c r="BW335" s="5" t="n">
        <v>0.18</v>
      </c>
      <c r="BX335" s="5" t="n">
        <v>1</v>
      </c>
      <c r="BY335" s="5" t="n">
        <v>12.729</v>
      </c>
      <c r="BZ335" s="5" t="n">
        <v>0</v>
      </c>
      <c r="CA335" s="5" t="n">
        <v>12.729</v>
      </c>
      <c r="CB335" s="5" t="n">
        <v>0</v>
      </c>
      <c r="CC335" s="5" t="n">
        <v>97.90000000000001</v>
      </c>
      <c r="CD335" s="5" t="n">
        <v>7.95</v>
      </c>
      <c r="CE335" s="5" t="n">
        <v>1.304</v>
      </c>
      <c r="CF335" s="5" t="n">
        <v>115.522</v>
      </c>
      <c r="CG335" s="5" t="n">
        <v>0.18</v>
      </c>
      <c r="CH335" s="5" t="n">
        <v>1</v>
      </c>
      <c r="CI335" s="5" t="n">
        <v>0</v>
      </c>
      <c r="CJ335" s="5" t="n">
        <v>0</v>
      </c>
      <c r="CK335" s="5" t="n">
        <v>0</v>
      </c>
      <c r="CL335" s="5" t="n">
        <v>0</v>
      </c>
      <c r="CM335" s="5" t="n">
        <v>0</v>
      </c>
      <c r="CN335" s="5" t="n">
        <v>0</v>
      </c>
      <c r="CO335" s="5" t="n">
        <v>0</v>
      </c>
      <c r="CP335" s="5" t="n">
        <v>0</v>
      </c>
      <c r="CQ335" s="5" t="n">
        <v>1.294</v>
      </c>
      <c r="CR335" s="5" t="n">
        <v>0</v>
      </c>
      <c r="CS335" s="5" t="n">
        <v>5.158</v>
      </c>
      <c r="CT335" s="5" t="n">
        <v>10.485</v>
      </c>
      <c r="CU335" s="5" t="n">
        <v>31.326</v>
      </c>
    </row>
    <row r="336">
      <c r="A336" s="5" t="inlineStr">
        <is>
          <t>GIN2023</t>
        </is>
      </c>
      <c r="B336" s="5" t="inlineStr">
        <is>
          <t>GIN</t>
        </is>
      </c>
      <c r="C336" s="5" t="inlineStr">
        <is>
          <t>GIN</t>
        </is>
      </c>
      <c r="D336" s="5" t="inlineStr">
        <is>
          <t>Guinea</t>
        </is>
      </c>
      <c r="E336" s="5" t="n">
        <v>2023</v>
      </c>
      <c r="F336" s="5" t="n">
        <v>0.18</v>
      </c>
      <c r="G336" s="5" t="n">
        <v>6.147</v>
      </c>
      <c r="H336" s="5" t="n">
        <v>1.286</v>
      </c>
      <c r="I336" s="5" t="n">
        <v>0</v>
      </c>
      <c r="J336" s="5" t="n">
        <v>6.147</v>
      </c>
      <c r="K336" s="5" t="n">
        <v>0</v>
      </c>
      <c r="L336" s="5" t="n">
        <v>1</v>
      </c>
      <c r="M336" s="5" t="n">
        <v>7.886</v>
      </c>
      <c r="N336" s="5" t="n">
        <v>3.857</v>
      </c>
      <c r="O336" s="5" t="n">
        <v>0</v>
      </c>
      <c r="P336" s="5" t="n">
        <v>7.886</v>
      </c>
      <c r="Q336" s="5" t="n">
        <v>0</v>
      </c>
      <c r="R336" s="5" t="n">
        <v>1</v>
      </c>
      <c r="S336" s="5" t="n">
        <v>12.575</v>
      </c>
      <c r="T336" s="5" t="n">
        <v>7.714</v>
      </c>
      <c r="U336" s="5" t="n">
        <v>0.251</v>
      </c>
      <c r="V336" s="5" t="n">
        <v>14.839</v>
      </c>
      <c r="W336" s="5" t="n">
        <v>0.18</v>
      </c>
      <c r="X336" s="5" t="n">
        <v>1</v>
      </c>
      <c r="Y336" s="5" t="n">
        <v>10.86</v>
      </c>
      <c r="Z336" s="5" t="n">
        <v>1.468</v>
      </c>
      <c r="AA336" s="5" t="n">
        <v>0</v>
      </c>
      <c r="AB336" s="5" t="n">
        <v>10.86</v>
      </c>
      <c r="AC336" s="5" t="n">
        <v>0</v>
      </c>
      <c r="AD336" s="5" t="n">
        <v>1</v>
      </c>
      <c r="AE336" s="5" t="n">
        <v>12.146</v>
      </c>
      <c r="AF336" s="5" t="n">
        <v>2.84</v>
      </c>
      <c r="AG336" s="5" t="n">
        <v>0</v>
      </c>
      <c r="AH336" s="5" t="n">
        <v>12.146</v>
      </c>
      <c r="AI336" s="5" t="n">
        <v>0</v>
      </c>
      <c r="AJ336" s="5" t="n">
        <v>1</v>
      </c>
      <c r="AK336" s="5" t="n">
        <v>19.86</v>
      </c>
      <c r="AL336" s="5" t="n">
        <v>10.577</v>
      </c>
      <c r="AM336" s="5" t="n">
        <v>0.396</v>
      </c>
      <c r="AN336" s="5" t="n">
        <v>23.434</v>
      </c>
      <c r="AO336" s="5" t="n">
        <v>0.18</v>
      </c>
      <c r="AP336" s="5" t="n">
        <v>1</v>
      </c>
      <c r="AQ336" s="5" t="n">
        <v>0.76</v>
      </c>
      <c r="AR336" s="5" t="n">
        <v>0.129</v>
      </c>
      <c r="AS336" s="5" t="n">
        <v>0.416</v>
      </c>
      <c r="AT336" s="5" t="n">
        <v>1.361</v>
      </c>
      <c r="AU336" s="5" t="n">
        <v>0.18</v>
      </c>
      <c r="AV336" s="5" t="n">
        <v>1</v>
      </c>
      <c r="AW336" s="5" t="n">
        <v>0.8110000000000001</v>
      </c>
      <c r="AX336" s="5" t="n">
        <v>0.129</v>
      </c>
      <c r="AY336" s="5" t="n">
        <v>0.333</v>
      </c>
      <c r="AZ336" s="5" t="n">
        <v>1.324</v>
      </c>
      <c r="BA336" s="5" t="n">
        <v>0.18</v>
      </c>
      <c r="BB336" s="5" t="n">
        <v>1</v>
      </c>
      <c r="BC336" s="5" t="n">
        <v>0.535</v>
      </c>
      <c r="BD336" s="5" t="n">
        <v>0.129</v>
      </c>
      <c r="BE336" s="5" t="n">
        <v>0.011</v>
      </c>
      <c r="BF336" s="5" t="n">
        <v>0.631</v>
      </c>
      <c r="BG336" s="5" t="n">
        <v>0.18</v>
      </c>
      <c r="BH336" s="5" t="n">
        <v>1</v>
      </c>
      <c r="BI336" s="5" t="n">
        <v>0.579</v>
      </c>
      <c r="BJ336" s="5" t="n">
        <v>0.129</v>
      </c>
      <c r="BK336" s="5" t="n">
        <v>0.482</v>
      </c>
      <c r="BL336" s="5" t="n">
        <v>1.227</v>
      </c>
      <c r="BM336" s="5" t="n">
        <v>0.18</v>
      </c>
      <c r="BN336" s="5" t="n">
        <v>1</v>
      </c>
      <c r="BO336" s="5" t="n">
        <v>0</v>
      </c>
      <c r="BP336" s="5" t="n">
        <v>0</v>
      </c>
      <c r="BQ336" s="5" t="n">
        <v>0.212</v>
      </c>
      <c r="BR336" s="5" t="n">
        <v>0</v>
      </c>
      <c r="BS336" s="5" t="n">
        <v>1</v>
      </c>
      <c r="BT336" s="5" t="n">
        <v>0</v>
      </c>
      <c r="BU336" s="5" t="n">
        <v>0</v>
      </c>
      <c r="BV336" s="5" t="n">
        <v>0.045</v>
      </c>
      <c r="BW336" s="5" t="n">
        <v>0.18</v>
      </c>
      <c r="BX336" s="5" t="n">
        <v>1</v>
      </c>
      <c r="BY336" s="5" t="n">
        <v>13.254</v>
      </c>
      <c r="BZ336" s="5" t="n">
        <v>0</v>
      </c>
      <c r="CA336" s="5" t="n">
        <v>13.254</v>
      </c>
      <c r="CB336" s="5" t="n">
        <v>0</v>
      </c>
      <c r="CC336" s="5" t="n">
        <v>83.248</v>
      </c>
      <c r="CD336" s="5" t="n">
        <v>7.95</v>
      </c>
      <c r="CE336" s="5" t="n">
        <v>1.659</v>
      </c>
      <c r="CF336" s="5" t="n">
        <v>98.233</v>
      </c>
      <c r="CG336" s="5" t="n">
        <v>0.18</v>
      </c>
      <c r="CH336" s="5" t="n">
        <v>1</v>
      </c>
      <c r="CI336" s="5" t="n">
        <v>0</v>
      </c>
      <c r="CJ336" s="5" t="n">
        <v>0</v>
      </c>
      <c r="CK336" s="5" t="n">
        <v>0</v>
      </c>
      <c r="CL336" s="5" t="n">
        <v>0</v>
      </c>
      <c r="CM336" s="5" t="n">
        <v>0</v>
      </c>
      <c r="CN336" s="5" t="n">
        <v>0</v>
      </c>
      <c r="CO336" s="5" t="n">
        <v>0</v>
      </c>
      <c r="CP336" s="5" t="n">
        <v>0</v>
      </c>
      <c r="CQ336" s="5" t="n">
        <v>1.348</v>
      </c>
      <c r="CR336" s="5" t="n">
        <v>0</v>
      </c>
      <c r="CS336" s="5" t="n">
        <v>5.37</v>
      </c>
      <c r="CT336" s="5" t="n">
        <v>4.861</v>
      </c>
      <c r="CU336" s="5" t="n">
        <v>11.622</v>
      </c>
    </row>
    <row r="337">
      <c r="A337" s="5" t="inlineStr">
        <is>
          <t>GIN2024</t>
        </is>
      </c>
      <c r="B337" s="5" t="inlineStr">
        <is>
          <t>GIN</t>
        </is>
      </c>
      <c r="C337" s="5" t="inlineStr">
        <is>
          <t>GIN</t>
        </is>
      </c>
      <c r="D337" s="5" t="inlineStr">
        <is>
          <t>Guinea</t>
        </is>
      </c>
      <c r="E337" s="5" t="n">
        <v>2024</v>
      </c>
      <c r="F337" s="5" t="n">
        <v>0.18</v>
      </c>
      <c r="G337" s="5" t="n">
        <v>5.575</v>
      </c>
      <c r="H337" s="5" t="n">
        <v>1.324</v>
      </c>
      <c r="I337" s="5" t="n">
        <v>0</v>
      </c>
      <c r="J337" s="5" t="n">
        <v>5.575</v>
      </c>
      <c r="K337" s="5" t="n">
        <v>0</v>
      </c>
      <c r="L337" s="5" t="n">
        <v>1</v>
      </c>
      <c r="M337" s="5" t="n">
        <v>7.124</v>
      </c>
      <c r="N337" s="5" t="n">
        <v>3.971</v>
      </c>
      <c r="O337" s="5" t="n">
        <v>0</v>
      </c>
      <c r="P337" s="5" t="n">
        <v>7.124</v>
      </c>
      <c r="Q337" s="5" t="n">
        <v>0</v>
      </c>
      <c r="R337" s="5" t="n">
        <v>1</v>
      </c>
      <c r="S337" s="5" t="n">
        <v>12.193</v>
      </c>
      <c r="T337" s="5" t="n">
        <v>7.942</v>
      </c>
      <c r="U337" s="5" t="n">
        <v>0.299</v>
      </c>
      <c r="V337" s="5" t="n">
        <v>14.388</v>
      </c>
      <c r="W337" s="5" t="n">
        <v>0.18</v>
      </c>
      <c r="X337" s="5" t="n">
        <v>1</v>
      </c>
      <c r="Y337" s="5" t="n">
        <v>9.858000000000001</v>
      </c>
      <c r="Z337" s="5" t="n">
        <v>1.332</v>
      </c>
      <c r="AA337" s="5" t="n">
        <v>0</v>
      </c>
      <c r="AB337" s="5" t="n">
        <v>9.858000000000001</v>
      </c>
      <c r="AC337" s="5" t="n">
        <v>0</v>
      </c>
      <c r="AD337" s="5" t="n">
        <v>1</v>
      </c>
      <c r="AE337" s="5" t="n">
        <v>11.182</v>
      </c>
      <c r="AF337" s="5" t="n">
        <v>2.615</v>
      </c>
      <c r="AG337" s="5" t="n">
        <v>0</v>
      </c>
      <c r="AH337" s="5" t="n">
        <v>11.182</v>
      </c>
      <c r="AI337" s="5" t="n">
        <v>0</v>
      </c>
      <c r="AJ337" s="5" t="n">
        <v>1</v>
      </c>
      <c r="AK337" s="5" t="n">
        <v>19.123</v>
      </c>
      <c r="AL337" s="5" t="n">
        <v>10.185</v>
      </c>
      <c r="AM337" s="5" t="n">
        <v>0.469</v>
      </c>
      <c r="AN337" s="5" t="n">
        <v>22.566</v>
      </c>
      <c r="AO337" s="5" t="n">
        <v>0.18</v>
      </c>
      <c r="AP337" s="5" t="n">
        <v>1</v>
      </c>
      <c r="AQ337" s="5" t="n">
        <v>0.724</v>
      </c>
      <c r="AR337" s="5" t="n">
        <v>0.132</v>
      </c>
      <c r="AS337" s="5" t="n">
        <v>0.441</v>
      </c>
      <c r="AT337" s="5" t="n">
        <v>1.342</v>
      </c>
      <c r="AU337" s="5" t="n">
        <v>0.18</v>
      </c>
      <c r="AV337" s="5" t="n">
        <v>1</v>
      </c>
      <c r="AW337" s="5" t="n">
        <v>0.75</v>
      </c>
      <c r="AX337" s="5" t="n">
        <v>0.132</v>
      </c>
      <c r="AY337" s="5" t="n">
        <v>0.374</v>
      </c>
      <c r="AZ337" s="5" t="n">
        <v>1.294</v>
      </c>
      <c r="BA337" s="5" t="n">
        <v>0.18</v>
      </c>
      <c r="BB337" s="5" t="n">
        <v>1</v>
      </c>
      <c r="BC337" s="5" t="n">
        <v>0.513</v>
      </c>
      <c r="BD337" s="5" t="n">
        <v>0.132</v>
      </c>
      <c r="BE337" s="5" t="n">
        <v>0.013</v>
      </c>
      <c r="BF337" s="5" t="n">
        <v>0.605</v>
      </c>
      <c r="BG337" s="5" t="n">
        <v>0.18</v>
      </c>
      <c r="BH337" s="5" t="n">
        <v>1</v>
      </c>
      <c r="BI337" s="5" t="n">
        <v>0.591</v>
      </c>
      <c r="BJ337" s="5" t="n">
        <v>0.132</v>
      </c>
      <c r="BK337" s="5" t="n">
        <v>0.505</v>
      </c>
      <c r="BL337" s="5" t="n">
        <v>1.263</v>
      </c>
      <c r="BM337" s="5" t="n">
        <v>0.18</v>
      </c>
      <c r="BN337" s="5" t="n">
        <v>1</v>
      </c>
      <c r="BO337" s="5" t="n">
        <v>0</v>
      </c>
      <c r="BP337" s="5" t="n">
        <v>0</v>
      </c>
      <c r="BQ337" s="5" t="n">
        <v>0.218</v>
      </c>
      <c r="BR337" s="5" t="n">
        <v>0</v>
      </c>
      <c r="BS337" s="5" t="n">
        <v>1</v>
      </c>
      <c r="BT337" s="5" t="n">
        <v>0</v>
      </c>
      <c r="BU337" s="5" t="n">
        <v>0</v>
      </c>
      <c r="BV337" s="5" t="n">
        <v>0.046</v>
      </c>
      <c r="BW337" s="5" t="n">
        <v>0.18</v>
      </c>
      <c r="BX337" s="5" t="n">
        <v>1</v>
      </c>
      <c r="BY337" s="5" t="n">
        <v>13.646</v>
      </c>
      <c r="BZ337" s="5" t="n">
        <v>0</v>
      </c>
      <c r="CA337" s="5" t="n">
        <v>13.646</v>
      </c>
      <c r="CB337" s="5" t="n">
        <v>0</v>
      </c>
      <c r="CC337" s="5" t="n">
        <v>82.58799999999999</v>
      </c>
      <c r="CD337" s="5" t="n">
        <v>7.95</v>
      </c>
      <c r="CE337" s="5" t="n">
        <v>2.025</v>
      </c>
      <c r="CF337" s="5" t="n">
        <v>97.45399999999999</v>
      </c>
      <c r="CG337" s="5" t="n">
        <v>0.18</v>
      </c>
      <c r="CH337" s="5" t="n">
        <v>1</v>
      </c>
      <c r="CI337" s="5" t="n">
        <v>0</v>
      </c>
      <c r="CJ337" s="5" t="n">
        <v>0</v>
      </c>
      <c r="CK337" s="5" t="n">
        <v>0</v>
      </c>
      <c r="CL337" s="5" t="n">
        <v>0</v>
      </c>
      <c r="CM337" s="5" t="n">
        <v>0</v>
      </c>
      <c r="CN337" s="5" t="n">
        <v>0</v>
      </c>
      <c r="CO337" s="5" t="n">
        <v>0</v>
      </c>
      <c r="CP337" s="5" t="n">
        <v>0</v>
      </c>
      <c r="CQ337" s="5" t="n">
        <v>1.387</v>
      </c>
      <c r="CR337" s="5" t="n">
        <v>0</v>
      </c>
      <c r="CS337" s="5" t="n">
        <v>5.529</v>
      </c>
      <c r="CT337" s="5" t="n">
        <v>4.251</v>
      </c>
      <c r="CU337" s="5" t="n">
        <v>10.168</v>
      </c>
    </row>
    <row r="338">
      <c r="A338" s="5" t="inlineStr">
        <is>
          <t>GNB2021</t>
        </is>
      </c>
      <c r="B338" s="5" t="inlineStr">
        <is>
          <t>GNB</t>
        </is>
      </c>
      <c r="C338" s="5" t="inlineStr">
        <is>
          <t>GNB</t>
        </is>
      </c>
      <c r="D338" s="5" t="inlineStr">
        <is>
          <t>Guinea-Bissau</t>
        </is>
      </c>
      <c r="E338" s="5" t="n">
        <v>2021</v>
      </c>
      <c r="F338" s="5" t="n">
        <v>0.17</v>
      </c>
      <c r="G338" s="5" t="n">
        <v>5.897</v>
      </c>
      <c r="H338" s="5" t="n">
        <v>1.143</v>
      </c>
      <c r="I338" s="5" t="n">
        <v>0</v>
      </c>
      <c r="J338" s="5" t="n">
        <v>5.897</v>
      </c>
      <c r="K338" s="5" t="n">
        <v>0</v>
      </c>
      <c r="L338" s="5" t="n">
        <v>1</v>
      </c>
      <c r="M338" s="5" t="n">
        <v>7.964</v>
      </c>
      <c r="N338" s="5" t="n">
        <v>3.43</v>
      </c>
      <c r="O338" s="5" t="n">
        <v>0</v>
      </c>
      <c r="P338" s="5" t="n">
        <v>7.964</v>
      </c>
      <c r="Q338" s="5" t="n">
        <v>0</v>
      </c>
      <c r="R338" s="5" t="n">
        <v>1</v>
      </c>
      <c r="S338" s="5" t="n">
        <v>11.613</v>
      </c>
      <c r="T338" s="5" t="n">
        <v>6.86</v>
      </c>
      <c r="U338" s="5" t="n">
        <v>0</v>
      </c>
      <c r="V338" s="5" t="n">
        <v>13.588</v>
      </c>
      <c r="W338" s="5" t="n">
        <v>0.17</v>
      </c>
      <c r="X338" s="5" t="n">
        <v>1</v>
      </c>
      <c r="Y338" s="5" t="n">
        <v>16.305</v>
      </c>
      <c r="Z338" s="5" t="n">
        <v>2.204</v>
      </c>
      <c r="AA338" s="5" t="n">
        <v>0</v>
      </c>
      <c r="AB338" s="5" t="n">
        <v>16.305</v>
      </c>
      <c r="AC338" s="5" t="n">
        <v>0</v>
      </c>
      <c r="AD338" s="5" t="n">
        <v>1</v>
      </c>
      <c r="AE338" s="5" t="n">
        <v>17.449</v>
      </c>
      <c r="AF338" s="5" t="n">
        <v>4.08</v>
      </c>
      <c r="AG338" s="5" t="n">
        <v>0</v>
      </c>
      <c r="AH338" s="5" t="n">
        <v>17.449</v>
      </c>
      <c r="AI338" s="5" t="n">
        <v>0</v>
      </c>
      <c r="AJ338" s="5" t="n">
        <v>1</v>
      </c>
      <c r="AK338" s="5" t="n">
        <v>24.309</v>
      </c>
      <c r="AL338" s="5" t="n">
        <v>12.947</v>
      </c>
      <c r="AM338" s="5" t="n">
        <v>0</v>
      </c>
      <c r="AN338" s="5" t="n">
        <v>28.441</v>
      </c>
      <c r="AO338" s="5" t="n">
        <v>0.17</v>
      </c>
      <c r="AP338" s="5" t="n">
        <v>1</v>
      </c>
      <c r="AQ338" s="5" t="n">
        <v>0.619</v>
      </c>
      <c r="AR338" s="5" t="n">
        <v>0.114</v>
      </c>
      <c r="AS338" s="5" t="n">
        <v>0.378</v>
      </c>
      <c r="AT338" s="5" t="n">
        <v>1.187</v>
      </c>
      <c r="AU338" s="5" t="n">
        <v>0.19</v>
      </c>
      <c r="AV338" s="5" t="n">
        <v>1</v>
      </c>
      <c r="AW338" s="5" t="n">
        <v>0.599</v>
      </c>
      <c r="AX338" s="5" t="n">
        <v>0.114</v>
      </c>
      <c r="AY338" s="5" t="n">
        <v>0.411</v>
      </c>
      <c r="AZ338" s="5" t="n">
        <v>1.203</v>
      </c>
      <c r="BA338" s="5" t="n">
        <v>0.19</v>
      </c>
      <c r="BB338" s="5" t="n">
        <v>1</v>
      </c>
      <c r="BC338" s="5" t="n">
        <v>0.439</v>
      </c>
      <c r="BD338" s="5" t="n">
        <v>0.114</v>
      </c>
      <c r="BE338" s="5" t="n">
        <v>0</v>
      </c>
      <c r="BF338" s="5" t="n">
        <v>0.514</v>
      </c>
      <c r="BG338" s="5" t="n">
        <v>0.17</v>
      </c>
      <c r="BH338" s="5" t="n">
        <v>1</v>
      </c>
      <c r="BI338" s="5" t="n">
        <v>0.505</v>
      </c>
      <c r="BJ338" s="5" t="n">
        <v>0.114</v>
      </c>
      <c r="BK338" s="5" t="n">
        <v>0.099</v>
      </c>
      <c r="BL338" s="5" t="n">
        <v>0.706</v>
      </c>
      <c r="BM338" s="5" t="n">
        <v>0.17</v>
      </c>
      <c r="BN338" s="5" t="n">
        <v>1</v>
      </c>
      <c r="BO338" s="5" t="n">
        <v>0</v>
      </c>
      <c r="BP338" s="5" t="n">
        <v>0</v>
      </c>
      <c r="BQ338" s="5" t="n">
        <v>0.361</v>
      </c>
      <c r="BR338" s="5" t="n">
        <v>0</v>
      </c>
      <c r="BS338" s="5" t="n">
        <v>1</v>
      </c>
      <c r="BT338" s="5" t="n">
        <v>0</v>
      </c>
      <c r="BU338" s="5" t="n">
        <v>0</v>
      </c>
      <c r="BV338" s="5" t="n">
        <v>0.361</v>
      </c>
      <c r="BW338" s="5" t="n">
        <v>0.17</v>
      </c>
      <c r="BX338" s="5" t="n">
        <v>1</v>
      </c>
      <c r="BY338" s="5" t="n">
        <v>11.787</v>
      </c>
      <c r="BZ338" s="5" t="n">
        <v>0</v>
      </c>
      <c r="CA338" s="5" t="n">
        <v>11.787</v>
      </c>
      <c r="CB338" s="5" t="n">
        <v>0</v>
      </c>
      <c r="CC338" s="5" t="n">
        <v>78.125</v>
      </c>
      <c r="CD338" s="5" t="n">
        <v>7.95</v>
      </c>
      <c r="CE338" s="5" t="n">
        <v>0</v>
      </c>
      <c r="CF338" s="5" t="n">
        <v>91.40600000000001</v>
      </c>
      <c r="CG338" s="5" t="n">
        <v>0.17</v>
      </c>
      <c r="CH338" s="5" t="n">
        <v>1</v>
      </c>
      <c r="CI338" s="5" t="n">
        <v>0</v>
      </c>
      <c r="CJ338" s="5" t="n">
        <v>0</v>
      </c>
      <c r="CK338" s="5" t="n">
        <v>0</v>
      </c>
      <c r="CL338" s="5" t="n">
        <v>0</v>
      </c>
      <c r="CM338" s="5" t="n">
        <v>0</v>
      </c>
      <c r="CN338" s="5" t="n">
        <v>0</v>
      </c>
      <c r="CO338" s="5" t="n">
        <v>0</v>
      </c>
      <c r="CP338" s="5" t="n">
        <v>0</v>
      </c>
      <c r="CQ338" s="5" t="n">
        <v>1.198</v>
      </c>
      <c r="CR338" s="5" t="n">
        <v>0</v>
      </c>
      <c r="CS338" s="5" t="n">
        <v>4.776</v>
      </c>
      <c r="CT338" s="5" t="n">
        <v>4.753</v>
      </c>
      <c r="CU338" s="5" t="n">
        <v>15.162</v>
      </c>
    </row>
    <row r="339">
      <c r="A339" s="5" t="inlineStr">
        <is>
          <t>GNB2022</t>
        </is>
      </c>
      <c r="B339" s="5" t="inlineStr">
        <is>
          <t>GNB</t>
        </is>
      </c>
      <c r="C339" s="5" t="inlineStr">
        <is>
          <t>GNB</t>
        </is>
      </c>
      <c r="D339" s="5" t="inlineStr">
        <is>
          <t>Guinea-Bissau</t>
        </is>
      </c>
      <c r="E339" s="5" t="n">
        <v>2022</v>
      </c>
      <c r="F339" s="5" t="n">
        <v>0.17</v>
      </c>
      <c r="G339" s="5" t="n">
        <v>11.72</v>
      </c>
      <c r="H339" s="5" t="n">
        <v>1.235</v>
      </c>
      <c r="I339" s="5" t="n">
        <v>0</v>
      </c>
      <c r="J339" s="5" t="n">
        <v>11.72</v>
      </c>
      <c r="K339" s="5" t="n">
        <v>0</v>
      </c>
      <c r="L339" s="5" t="n">
        <v>1</v>
      </c>
      <c r="M339" s="5" t="n">
        <v>9.782999999999999</v>
      </c>
      <c r="N339" s="5" t="n">
        <v>3.704</v>
      </c>
      <c r="O339" s="5" t="n">
        <v>0</v>
      </c>
      <c r="P339" s="5" t="n">
        <v>9.782999999999999</v>
      </c>
      <c r="Q339" s="5" t="n">
        <v>0</v>
      </c>
      <c r="R339" s="5" t="n">
        <v>1</v>
      </c>
      <c r="S339" s="5" t="n">
        <v>17.893</v>
      </c>
      <c r="T339" s="5" t="n">
        <v>7.408</v>
      </c>
      <c r="U339" s="5" t="n">
        <v>0.225</v>
      </c>
      <c r="V339" s="5" t="n">
        <v>20.935</v>
      </c>
      <c r="W339" s="5" t="n">
        <v>0.17</v>
      </c>
      <c r="X339" s="5" t="n">
        <v>1</v>
      </c>
      <c r="Y339" s="5" t="n">
        <v>32.56</v>
      </c>
      <c r="Z339" s="5" t="n">
        <v>4.401</v>
      </c>
      <c r="AA339" s="5" t="n">
        <v>0</v>
      </c>
      <c r="AB339" s="5" t="n">
        <v>32.56</v>
      </c>
      <c r="AC339" s="5" t="n">
        <v>0</v>
      </c>
      <c r="AD339" s="5" t="n">
        <v>1</v>
      </c>
      <c r="AE339" s="5" t="n">
        <v>33.795</v>
      </c>
      <c r="AF339" s="5" t="n">
        <v>7.902</v>
      </c>
      <c r="AG339" s="5" t="n">
        <v>0</v>
      </c>
      <c r="AH339" s="5" t="n">
        <v>33.795</v>
      </c>
      <c r="AI339" s="5" t="n">
        <v>0</v>
      </c>
      <c r="AJ339" s="5" t="n">
        <v>1</v>
      </c>
      <c r="AK339" s="5" t="n">
        <v>41.203</v>
      </c>
      <c r="AL339" s="5" t="n">
        <v>21.945</v>
      </c>
      <c r="AM339" s="5" t="n">
        <v>0.518</v>
      </c>
      <c r="AN339" s="5" t="n">
        <v>48.208</v>
      </c>
      <c r="AO339" s="5" t="n">
        <v>0.17</v>
      </c>
      <c r="AP339" s="5" t="n">
        <v>1</v>
      </c>
      <c r="AQ339" s="5" t="n">
        <v>0.861</v>
      </c>
      <c r="AR339" s="5" t="n">
        <v>0.123</v>
      </c>
      <c r="AS339" s="5" t="n">
        <v>0.239</v>
      </c>
      <c r="AT339" s="5" t="n">
        <v>1.291</v>
      </c>
      <c r="AU339" s="5" t="n">
        <v>0.19</v>
      </c>
      <c r="AV339" s="5" t="n">
        <v>1</v>
      </c>
      <c r="AW339" s="5" t="n">
        <v>0.986</v>
      </c>
      <c r="AX339" s="5" t="n">
        <v>0.123</v>
      </c>
      <c r="AY339" s="5" t="n">
        <v>0.146</v>
      </c>
      <c r="AZ339" s="5" t="n">
        <v>1.329</v>
      </c>
      <c r="BA339" s="5" t="n">
        <v>0.19</v>
      </c>
      <c r="BB339" s="5" t="n">
        <v>1</v>
      </c>
      <c r="BC339" s="5" t="n">
        <v>0.598</v>
      </c>
      <c r="BD339" s="5" t="n">
        <v>0.123</v>
      </c>
      <c r="BE339" s="5" t="n">
        <v>0.008</v>
      </c>
      <c r="BF339" s="5" t="n">
        <v>0.699</v>
      </c>
      <c r="BG339" s="5" t="n">
        <v>0.17</v>
      </c>
      <c r="BH339" s="5" t="n">
        <v>1</v>
      </c>
      <c r="BI339" s="5" t="n">
        <v>0.612</v>
      </c>
      <c r="BJ339" s="5" t="n">
        <v>0.123</v>
      </c>
      <c r="BK339" s="5" t="n">
        <v>0.106</v>
      </c>
      <c r="BL339" s="5" t="n">
        <v>0.83</v>
      </c>
      <c r="BM339" s="5" t="n">
        <v>0.17</v>
      </c>
      <c r="BN339" s="5" t="n">
        <v>1</v>
      </c>
      <c r="BO339" s="5" t="n">
        <v>0</v>
      </c>
      <c r="BP339" s="5" t="n">
        <v>0</v>
      </c>
      <c r="BQ339" s="5" t="n">
        <v>0.389</v>
      </c>
      <c r="BR339" s="5" t="n">
        <v>0</v>
      </c>
      <c r="BS339" s="5" t="n">
        <v>1</v>
      </c>
      <c r="BT339" s="5" t="n">
        <v>0</v>
      </c>
      <c r="BU339" s="5" t="n">
        <v>0</v>
      </c>
      <c r="BV339" s="5" t="n">
        <v>0.389</v>
      </c>
      <c r="BW339" s="5" t="n">
        <v>0.17</v>
      </c>
      <c r="BX339" s="5" t="n">
        <v>1</v>
      </c>
      <c r="BY339" s="5" t="n">
        <v>12.729</v>
      </c>
      <c r="BZ339" s="5" t="n">
        <v>0</v>
      </c>
      <c r="CA339" s="5" t="n">
        <v>12.729</v>
      </c>
      <c r="CB339" s="5" t="n">
        <v>0</v>
      </c>
      <c r="CC339" s="5" t="n">
        <v>97.90000000000001</v>
      </c>
      <c r="CD339" s="5" t="n">
        <v>7.95</v>
      </c>
      <c r="CE339" s="5" t="n">
        <v>1.232</v>
      </c>
      <c r="CF339" s="5" t="n">
        <v>114.543</v>
      </c>
      <c r="CG339" s="5" t="n">
        <v>0.17</v>
      </c>
      <c r="CH339" s="5" t="n">
        <v>1</v>
      </c>
      <c r="CI339" s="5" t="n">
        <v>0</v>
      </c>
      <c r="CJ339" s="5" t="n">
        <v>0</v>
      </c>
      <c r="CK339" s="5" t="n">
        <v>0</v>
      </c>
      <c r="CL339" s="5" t="n">
        <v>0</v>
      </c>
      <c r="CM339" s="5" t="n">
        <v>0</v>
      </c>
      <c r="CN339" s="5" t="n">
        <v>0</v>
      </c>
      <c r="CO339" s="5" t="n">
        <v>0</v>
      </c>
      <c r="CP339" s="5" t="n">
        <v>0</v>
      </c>
      <c r="CQ339" s="5" t="n">
        <v>1.294</v>
      </c>
      <c r="CR339" s="5" t="n">
        <v>0</v>
      </c>
      <c r="CS339" s="5" t="n">
        <v>5.158</v>
      </c>
      <c r="CT339" s="5" t="n">
        <v>10.485</v>
      </c>
      <c r="CU339" s="5" t="n">
        <v>31.326</v>
      </c>
    </row>
    <row r="340">
      <c r="A340" s="5" t="inlineStr">
        <is>
          <t>GNB2023</t>
        </is>
      </c>
      <c r="B340" s="5" t="inlineStr">
        <is>
          <t>GNB</t>
        </is>
      </c>
      <c r="C340" s="5" t="inlineStr">
        <is>
          <t>GNB</t>
        </is>
      </c>
      <c r="D340" s="5" t="inlineStr">
        <is>
          <t>Guinea-Bissau</t>
        </is>
      </c>
      <c r="E340" s="5" t="n">
        <v>2023</v>
      </c>
      <c r="F340" s="5" t="n">
        <v>0.17</v>
      </c>
      <c r="G340" s="5" t="n">
        <v>6.147</v>
      </c>
      <c r="H340" s="5" t="n">
        <v>1.286</v>
      </c>
      <c r="I340" s="5" t="n">
        <v>0</v>
      </c>
      <c r="J340" s="5" t="n">
        <v>6.147</v>
      </c>
      <c r="K340" s="5" t="n">
        <v>0</v>
      </c>
      <c r="L340" s="5" t="n">
        <v>1</v>
      </c>
      <c r="M340" s="5" t="n">
        <v>7.886</v>
      </c>
      <c r="N340" s="5" t="n">
        <v>3.857</v>
      </c>
      <c r="O340" s="5" t="n">
        <v>0</v>
      </c>
      <c r="P340" s="5" t="n">
        <v>7.886</v>
      </c>
      <c r="Q340" s="5" t="n">
        <v>0</v>
      </c>
      <c r="R340" s="5" t="n">
        <v>1</v>
      </c>
      <c r="S340" s="5" t="n">
        <v>12.575</v>
      </c>
      <c r="T340" s="5" t="n">
        <v>7.714</v>
      </c>
      <c r="U340" s="5" t="n">
        <v>0.237</v>
      </c>
      <c r="V340" s="5" t="n">
        <v>14.713</v>
      </c>
      <c r="W340" s="5" t="n">
        <v>0.17</v>
      </c>
      <c r="X340" s="5" t="n">
        <v>1</v>
      </c>
      <c r="Y340" s="5" t="n">
        <v>12.908</v>
      </c>
      <c r="Z340" s="5" t="n">
        <v>1.745</v>
      </c>
      <c r="AA340" s="5" t="n">
        <v>0</v>
      </c>
      <c r="AB340" s="5" t="n">
        <v>12.908</v>
      </c>
      <c r="AC340" s="5" t="n">
        <v>0</v>
      </c>
      <c r="AD340" s="5" t="n">
        <v>1</v>
      </c>
      <c r="AE340" s="5" t="n">
        <v>14.194</v>
      </c>
      <c r="AF340" s="5" t="n">
        <v>3.319</v>
      </c>
      <c r="AG340" s="5" t="n">
        <v>0</v>
      </c>
      <c r="AH340" s="5" t="n">
        <v>14.194</v>
      </c>
      <c r="AI340" s="5" t="n">
        <v>0</v>
      </c>
      <c r="AJ340" s="5" t="n">
        <v>1</v>
      </c>
      <c r="AK340" s="5" t="n">
        <v>21.908</v>
      </c>
      <c r="AL340" s="5" t="n">
        <v>11.668</v>
      </c>
      <c r="AM340" s="5" t="n">
        <v>0.412</v>
      </c>
      <c r="AN340" s="5" t="n">
        <v>25.632</v>
      </c>
      <c r="AO340" s="5" t="n">
        <v>0.17</v>
      </c>
      <c r="AP340" s="5" t="n">
        <v>1</v>
      </c>
      <c r="AQ340" s="5" t="n">
        <v>0.76</v>
      </c>
      <c r="AR340" s="5" t="n">
        <v>0.129</v>
      </c>
      <c r="AS340" s="5" t="n">
        <v>0.387</v>
      </c>
      <c r="AT340" s="5" t="n">
        <v>1.337</v>
      </c>
      <c r="AU340" s="5" t="n">
        <v>0.19</v>
      </c>
      <c r="AV340" s="5" t="n">
        <v>1</v>
      </c>
      <c r="AW340" s="5" t="n">
        <v>0.8110000000000001</v>
      </c>
      <c r="AX340" s="5" t="n">
        <v>0.129</v>
      </c>
      <c r="AY340" s="5" t="n">
        <v>0.36</v>
      </c>
      <c r="AZ340" s="5" t="n">
        <v>1.365</v>
      </c>
      <c r="BA340" s="5" t="n">
        <v>0.19</v>
      </c>
      <c r="BB340" s="5" t="n">
        <v>1</v>
      </c>
      <c r="BC340" s="5" t="n">
        <v>0.535</v>
      </c>
      <c r="BD340" s="5" t="n">
        <v>0.129</v>
      </c>
      <c r="BE340" s="5" t="n">
        <v>0.01</v>
      </c>
      <c r="BF340" s="5" t="n">
        <v>0.626</v>
      </c>
      <c r="BG340" s="5" t="n">
        <v>0.17</v>
      </c>
      <c r="BH340" s="5" t="n">
        <v>1</v>
      </c>
      <c r="BI340" s="5" t="n">
        <v>0.579</v>
      </c>
      <c r="BJ340" s="5" t="n">
        <v>0.129</v>
      </c>
      <c r="BK340" s="5" t="n">
        <v>0.122</v>
      </c>
      <c r="BL340" s="5" t="n">
        <v>0.806</v>
      </c>
      <c r="BM340" s="5" t="n">
        <v>0.17</v>
      </c>
      <c r="BN340" s="5" t="n">
        <v>1</v>
      </c>
      <c r="BO340" s="5" t="n">
        <v>0</v>
      </c>
      <c r="BP340" s="5" t="n">
        <v>0</v>
      </c>
      <c r="BQ340" s="5" t="n">
        <v>0.406</v>
      </c>
      <c r="BR340" s="5" t="n">
        <v>0</v>
      </c>
      <c r="BS340" s="5" t="n">
        <v>1</v>
      </c>
      <c r="BT340" s="5" t="n">
        <v>0</v>
      </c>
      <c r="BU340" s="5" t="n">
        <v>0</v>
      </c>
      <c r="BV340" s="5" t="n">
        <v>0.406</v>
      </c>
      <c r="BW340" s="5" t="n">
        <v>0.17</v>
      </c>
      <c r="BX340" s="5" t="n">
        <v>1</v>
      </c>
      <c r="BY340" s="5" t="n">
        <v>13.254</v>
      </c>
      <c r="BZ340" s="5" t="n">
        <v>0</v>
      </c>
      <c r="CA340" s="5" t="n">
        <v>13.254</v>
      </c>
      <c r="CB340" s="5" t="n">
        <v>0</v>
      </c>
      <c r="CC340" s="5" t="n">
        <v>83.248</v>
      </c>
      <c r="CD340" s="5" t="n">
        <v>7.95</v>
      </c>
      <c r="CE340" s="5" t="n">
        <v>1.567</v>
      </c>
      <c r="CF340" s="5" t="n">
        <v>97.40000000000001</v>
      </c>
      <c r="CG340" s="5" t="n">
        <v>0.17</v>
      </c>
      <c r="CH340" s="5" t="n">
        <v>1</v>
      </c>
      <c r="CI340" s="5" t="n">
        <v>0</v>
      </c>
      <c r="CJ340" s="5" t="n">
        <v>0</v>
      </c>
      <c r="CK340" s="5" t="n">
        <v>0</v>
      </c>
      <c r="CL340" s="5" t="n">
        <v>0</v>
      </c>
      <c r="CM340" s="5" t="n">
        <v>0</v>
      </c>
      <c r="CN340" s="5" t="n">
        <v>0</v>
      </c>
      <c r="CO340" s="5" t="n">
        <v>0</v>
      </c>
      <c r="CP340" s="5" t="n">
        <v>0</v>
      </c>
      <c r="CQ340" s="5" t="n">
        <v>1.348</v>
      </c>
      <c r="CR340" s="5" t="n">
        <v>0</v>
      </c>
      <c r="CS340" s="5" t="n">
        <v>5.37</v>
      </c>
      <c r="CT340" s="5" t="n">
        <v>4.861</v>
      </c>
      <c r="CU340" s="5" t="n">
        <v>11.622</v>
      </c>
    </row>
    <row r="341">
      <c r="A341" s="5" t="inlineStr">
        <is>
          <t>GNB2024</t>
        </is>
      </c>
      <c r="B341" s="5" t="inlineStr">
        <is>
          <t>GNB</t>
        </is>
      </c>
      <c r="C341" s="5" t="inlineStr">
        <is>
          <t>GNB</t>
        </is>
      </c>
      <c r="D341" s="5" t="inlineStr">
        <is>
          <t>Guinea-Bissau</t>
        </is>
      </c>
      <c r="E341" s="5" t="n">
        <v>2024</v>
      </c>
      <c r="F341" s="5" t="n">
        <v>0.17</v>
      </c>
      <c r="G341" s="5" t="n">
        <v>5.575</v>
      </c>
      <c r="H341" s="5" t="n">
        <v>1.324</v>
      </c>
      <c r="I341" s="5" t="n">
        <v>0</v>
      </c>
      <c r="J341" s="5" t="n">
        <v>5.575</v>
      </c>
      <c r="K341" s="5" t="n">
        <v>0</v>
      </c>
      <c r="L341" s="5" t="n">
        <v>1</v>
      </c>
      <c r="M341" s="5" t="n">
        <v>7.124</v>
      </c>
      <c r="N341" s="5" t="n">
        <v>3.971</v>
      </c>
      <c r="O341" s="5" t="n">
        <v>0</v>
      </c>
      <c r="P341" s="5" t="n">
        <v>7.124</v>
      </c>
      <c r="Q341" s="5" t="n">
        <v>0</v>
      </c>
      <c r="R341" s="5" t="n">
        <v>1</v>
      </c>
      <c r="S341" s="5" t="n">
        <v>12.193</v>
      </c>
      <c r="T341" s="5" t="n">
        <v>7.942</v>
      </c>
      <c r="U341" s="5" t="n">
        <v>0.282</v>
      </c>
      <c r="V341" s="5" t="n">
        <v>14.266</v>
      </c>
      <c r="W341" s="5" t="n">
        <v>0.17</v>
      </c>
      <c r="X341" s="5" t="n">
        <v>1</v>
      </c>
      <c r="Y341" s="5" t="n">
        <v>11.492</v>
      </c>
      <c r="Z341" s="5" t="n">
        <v>1.553</v>
      </c>
      <c r="AA341" s="5" t="n">
        <v>0</v>
      </c>
      <c r="AB341" s="5" t="n">
        <v>11.492</v>
      </c>
      <c r="AC341" s="5" t="n">
        <v>0</v>
      </c>
      <c r="AD341" s="5" t="n">
        <v>1</v>
      </c>
      <c r="AE341" s="5" t="n">
        <v>12.815</v>
      </c>
      <c r="AF341" s="5" t="n">
        <v>2.997</v>
      </c>
      <c r="AG341" s="5" t="n">
        <v>0</v>
      </c>
      <c r="AH341" s="5" t="n">
        <v>12.815</v>
      </c>
      <c r="AI341" s="5" t="n">
        <v>0</v>
      </c>
      <c r="AJ341" s="5" t="n">
        <v>1</v>
      </c>
      <c r="AK341" s="5" t="n">
        <v>20.757</v>
      </c>
      <c r="AL341" s="5" t="n">
        <v>11.055</v>
      </c>
      <c r="AM341" s="5" t="n">
        <v>0.481</v>
      </c>
      <c r="AN341" s="5" t="n">
        <v>24.286</v>
      </c>
      <c r="AO341" s="5" t="n">
        <v>0.17</v>
      </c>
      <c r="AP341" s="5" t="n">
        <v>1</v>
      </c>
      <c r="AQ341" s="5" t="n">
        <v>0.724</v>
      </c>
      <c r="AR341" s="5" t="n">
        <v>0.132</v>
      </c>
      <c r="AS341" s="5" t="n">
        <v>0.46</v>
      </c>
      <c r="AT341" s="5" t="n">
        <v>1.374</v>
      </c>
      <c r="AU341" s="5" t="n">
        <v>0.19</v>
      </c>
      <c r="AV341" s="5" t="n">
        <v>1</v>
      </c>
      <c r="AW341" s="5" t="n">
        <v>0.75</v>
      </c>
      <c r="AX341" s="5" t="n">
        <v>0.132</v>
      </c>
      <c r="AY341" s="5" t="n">
        <v>0.455</v>
      </c>
      <c r="AZ341" s="5" t="n">
        <v>1.397</v>
      </c>
      <c r="BA341" s="5" t="n">
        <v>0.19</v>
      </c>
      <c r="BB341" s="5" t="n">
        <v>1</v>
      </c>
      <c r="BC341" s="5" t="n">
        <v>0.513</v>
      </c>
      <c r="BD341" s="5" t="n">
        <v>0.132</v>
      </c>
      <c r="BE341" s="5" t="n">
        <v>0.012</v>
      </c>
      <c r="BF341" s="5" t="n">
        <v>0.6</v>
      </c>
      <c r="BG341" s="5" t="n">
        <v>0.17</v>
      </c>
      <c r="BH341" s="5" t="n">
        <v>1</v>
      </c>
      <c r="BI341" s="5" t="n">
        <v>0.591</v>
      </c>
      <c r="BJ341" s="5" t="n">
        <v>0.132</v>
      </c>
      <c r="BK341" s="5" t="n">
        <v>0.13</v>
      </c>
      <c r="BL341" s="5" t="n">
        <v>0.824</v>
      </c>
      <c r="BM341" s="5" t="n">
        <v>0.17</v>
      </c>
      <c r="BN341" s="5" t="n">
        <v>1</v>
      </c>
      <c r="BO341" s="5" t="n">
        <v>0</v>
      </c>
      <c r="BP341" s="5" t="n">
        <v>0</v>
      </c>
      <c r="BQ341" s="5" t="n">
        <v>0.418</v>
      </c>
      <c r="BR341" s="5" t="n">
        <v>0</v>
      </c>
      <c r="BS341" s="5" t="n">
        <v>1</v>
      </c>
      <c r="BT341" s="5" t="n">
        <v>0</v>
      </c>
      <c r="BU341" s="5" t="n">
        <v>0</v>
      </c>
      <c r="BV341" s="5" t="n">
        <v>0.418</v>
      </c>
      <c r="BW341" s="5" t="n">
        <v>0.17</v>
      </c>
      <c r="BX341" s="5" t="n">
        <v>1</v>
      </c>
      <c r="BY341" s="5" t="n">
        <v>13.646</v>
      </c>
      <c r="BZ341" s="5" t="n">
        <v>0</v>
      </c>
      <c r="CA341" s="5" t="n">
        <v>13.646</v>
      </c>
      <c r="CB341" s="5" t="n">
        <v>0</v>
      </c>
      <c r="CC341" s="5" t="n">
        <v>82.58799999999999</v>
      </c>
      <c r="CD341" s="5" t="n">
        <v>7.95</v>
      </c>
      <c r="CE341" s="5" t="n">
        <v>1.912</v>
      </c>
      <c r="CF341" s="5" t="n">
        <v>96.628</v>
      </c>
      <c r="CG341" s="5" t="n">
        <v>0.17</v>
      </c>
      <c r="CH341" s="5" t="n">
        <v>1</v>
      </c>
      <c r="CI341" s="5" t="n">
        <v>0</v>
      </c>
      <c r="CJ341" s="5" t="n">
        <v>0</v>
      </c>
      <c r="CK341" s="5" t="n">
        <v>0</v>
      </c>
      <c r="CL341" s="5" t="n">
        <v>0</v>
      </c>
      <c r="CM341" s="5" t="n">
        <v>0</v>
      </c>
      <c r="CN341" s="5" t="n">
        <v>0</v>
      </c>
      <c r="CO341" s="5" t="n">
        <v>0</v>
      </c>
      <c r="CP341" s="5" t="n">
        <v>0</v>
      </c>
      <c r="CQ341" s="5" t="n">
        <v>1.387</v>
      </c>
      <c r="CR341" s="5" t="n">
        <v>0</v>
      </c>
      <c r="CS341" s="5" t="n">
        <v>5.529</v>
      </c>
      <c r="CT341" s="5" t="n">
        <v>4.251</v>
      </c>
      <c r="CU341" s="5" t="n">
        <v>10.168</v>
      </c>
    </row>
    <row r="342">
      <c r="A342" s="5" t="inlineStr">
        <is>
          <t>GUY2021</t>
        </is>
      </c>
      <c r="B342" s="5" t="inlineStr">
        <is>
          <t>GUY</t>
        </is>
      </c>
      <c r="C342" s="5" t="inlineStr">
        <is>
          <t>GUY</t>
        </is>
      </c>
      <c r="D342" s="5" t="inlineStr">
        <is>
          <t>Guyana</t>
        </is>
      </c>
      <c r="E342" s="5" t="n">
        <v>2021</v>
      </c>
      <c r="F342" s="5" t="n">
        <v>0.16</v>
      </c>
      <c r="G342" s="5" t="n">
        <v>5.897</v>
      </c>
      <c r="H342" s="5" t="n">
        <v>1.143</v>
      </c>
      <c r="I342" s="5" t="n">
        <v>0</v>
      </c>
      <c r="J342" s="5" t="n">
        <v>5.897</v>
      </c>
      <c r="K342" s="5" t="n">
        <v>0</v>
      </c>
      <c r="L342" s="5" t="n">
        <v>1</v>
      </c>
      <c r="M342" s="5" t="n">
        <v>7.964</v>
      </c>
      <c r="N342" s="5" t="n">
        <v>3.43</v>
      </c>
      <c r="O342" s="5" t="n">
        <v>0</v>
      </c>
      <c r="P342" s="5" t="n">
        <v>7.964</v>
      </c>
      <c r="Q342" s="5" t="n">
        <v>0</v>
      </c>
      <c r="R342" s="5" t="n">
        <v>1</v>
      </c>
      <c r="S342" s="5" t="n">
        <v>11.613</v>
      </c>
      <c r="T342" s="5" t="n">
        <v>6.86</v>
      </c>
      <c r="U342" s="5" t="n">
        <v>0</v>
      </c>
      <c r="V342" s="5" t="n">
        <v>13.471</v>
      </c>
      <c r="W342" s="5" t="n">
        <v>0.16</v>
      </c>
      <c r="X342" s="5" t="n">
        <v>1</v>
      </c>
      <c r="Y342" s="5" t="n">
        <v>14.024</v>
      </c>
      <c r="Z342" s="5" t="n">
        <v>1.883</v>
      </c>
      <c r="AA342" s="5" t="n">
        <v>0</v>
      </c>
      <c r="AB342" s="5" t="n">
        <v>14.024</v>
      </c>
      <c r="AC342" s="5" t="n">
        <v>0</v>
      </c>
      <c r="AD342" s="5" t="n">
        <v>1</v>
      </c>
      <c r="AE342" s="5" t="n">
        <v>15.167</v>
      </c>
      <c r="AF342" s="5" t="n">
        <v>3.546</v>
      </c>
      <c r="AG342" s="5" t="n">
        <v>0</v>
      </c>
      <c r="AH342" s="5" t="n">
        <v>15.167</v>
      </c>
      <c r="AI342" s="5" t="n">
        <v>0</v>
      </c>
      <c r="AJ342" s="5" t="n">
        <v>1</v>
      </c>
      <c r="AK342" s="5" t="n">
        <v>22.027</v>
      </c>
      <c r="AL342" s="5" t="n">
        <v>11.827</v>
      </c>
      <c r="AM342" s="5" t="n">
        <v>0</v>
      </c>
      <c r="AN342" s="5" t="n">
        <v>25.551</v>
      </c>
      <c r="AO342" s="5" t="n">
        <v>0.16</v>
      </c>
      <c r="AP342" s="5" t="n">
        <v>1</v>
      </c>
      <c r="AQ342" s="5" t="n">
        <v>0.64</v>
      </c>
      <c r="AR342" s="5" t="n">
        <v>0.117</v>
      </c>
      <c r="AS342" s="5" t="n">
        <v>0.121</v>
      </c>
      <c r="AT342" s="5" t="n">
        <v>0.883</v>
      </c>
      <c r="AU342" s="5" t="n">
        <v>0.16</v>
      </c>
      <c r="AV342" s="5" t="n">
        <v>1</v>
      </c>
      <c r="AW342" s="5" t="n">
        <v>0.44</v>
      </c>
      <c r="AX342" s="5" t="n">
        <v>0.08500000000000001</v>
      </c>
      <c r="AY342" s="5" t="n">
        <v>0.283</v>
      </c>
      <c r="AZ342" s="5" t="n">
        <v>0.838</v>
      </c>
      <c r="BA342" s="5" t="n">
        <v>0.16</v>
      </c>
      <c r="BB342" s="5" t="n">
        <v>1</v>
      </c>
      <c r="BC342" s="5" t="n">
        <v>0.458</v>
      </c>
      <c r="BD342" s="5" t="n">
        <v>0.114</v>
      </c>
      <c r="BE342" s="5" t="n">
        <v>0</v>
      </c>
      <c r="BF342" s="5" t="n">
        <v>0.531</v>
      </c>
      <c r="BG342" s="5" t="n">
        <v>0.16</v>
      </c>
      <c r="BH342" s="5" t="n">
        <v>1</v>
      </c>
      <c r="BI342" s="5" t="n">
        <v>0.491</v>
      </c>
      <c r="BJ342" s="5" t="n">
        <v>0.114</v>
      </c>
      <c r="BK342" s="5" t="n">
        <v>0.003</v>
      </c>
      <c r="BL342" s="5" t="n">
        <v>0.573</v>
      </c>
      <c r="BM342" s="5" t="n">
        <v>0.16</v>
      </c>
      <c r="BN342" s="5" t="n">
        <v>1</v>
      </c>
      <c r="BO342" s="5" t="n">
        <v>0</v>
      </c>
      <c r="BP342" s="5" t="n">
        <v>0</v>
      </c>
      <c r="BQ342" s="5" t="n">
        <v>0.257</v>
      </c>
      <c r="BR342" s="5" t="n">
        <v>0</v>
      </c>
      <c r="BS342" s="5" t="n">
        <v>0.833</v>
      </c>
      <c r="BT342" s="5" t="n">
        <v>0</v>
      </c>
      <c r="BU342" s="5" t="n">
        <v>0</v>
      </c>
      <c r="BV342" s="5" t="n">
        <v>0.309</v>
      </c>
      <c r="BW342" s="5" t="n">
        <v>0</v>
      </c>
      <c r="BX342" s="5" t="n">
        <v>1</v>
      </c>
      <c r="BY342" s="5" t="n">
        <v>11.787</v>
      </c>
      <c r="BZ342" s="5" t="n">
        <v>0</v>
      </c>
      <c r="CA342" s="5" t="n">
        <v>11.787</v>
      </c>
      <c r="CB342" s="5" t="n">
        <v>0</v>
      </c>
      <c r="CC342" s="5" t="n">
        <v>78.125</v>
      </c>
      <c r="CD342" s="5" t="n">
        <v>7.95</v>
      </c>
      <c r="CE342" s="5" t="n">
        <v>40.179</v>
      </c>
      <c r="CF342" s="5" t="n">
        <v>137.232</v>
      </c>
      <c r="CG342" s="5" t="n">
        <v>0.16</v>
      </c>
      <c r="CH342" s="5" t="n">
        <v>1</v>
      </c>
      <c r="CI342" s="5" t="n">
        <v>0</v>
      </c>
      <c r="CJ342" s="5" t="n">
        <v>0</v>
      </c>
      <c r="CK342" s="5" t="n">
        <v>0</v>
      </c>
      <c r="CL342" s="5" t="n">
        <v>0</v>
      </c>
      <c r="CM342" s="5" t="n">
        <v>0</v>
      </c>
      <c r="CN342" s="5" t="n">
        <v>0</v>
      </c>
      <c r="CO342" s="5" t="n">
        <v>0</v>
      </c>
      <c r="CP342" s="5" t="n">
        <v>0</v>
      </c>
      <c r="CQ342" s="5" t="n">
        <v>1.198</v>
      </c>
      <c r="CR342" s="5" t="n">
        <v>0</v>
      </c>
      <c r="CS342" s="5" t="n">
        <v>3.568</v>
      </c>
      <c r="CT342" s="5" t="n">
        <v>4.753</v>
      </c>
      <c r="CU342" s="5" t="n">
        <v>15.983</v>
      </c>
    </row>
    <row r="343">
      <c r="A343" s="5" t="inlineStr">
        <is>
          <t>GUY2022</t>
        </is>
      </c>
      <c r="B343" s="5" t="inlineStr">
        <is>
          <t>GUY</t>
        </is>
      </c>
      <c r="C343" s="5" t="inlineStr">
        <is>
          <t>GUY</t>
        </is>
      </c>
      <c r="D343" s="5" t="inlineStr">
        <is>
          <t>Guyana</t>
        </is>
      </c>
      <c r="E343" s="5" t="n">
        <v>2022</v>
      </c>
      <c r="F343" s="5" t="n">
        <v>0.16</v>
      </c>
      <c r="G343" s="5" t="n">
        <v>11.72</v>
      </c>
      <c r="H343" s="5" t="n">
        <v>1.235</v>
      </c>
      <c r="I343" s="5" t="n">
        <v>0</v>
      </c>
      <c r="J343" s="5" t="n">
        <v>11.72</v>
      </c>
      <c r="K343" s="5" t="n">
        <v>0</v>
      </c>
      <c r="L343" s="5" t="n">
        <v>1</v>
      </c>
      <c r="M343" s="5" t="n">
        <v>9.782999999999999</v>
      </c>
      <c r="N343" s="5" t="n">
        <v>3.704</v>
      </c>
      <c r="O343" s="5" t="n">
        <v>0</v>
      </c>
      <c r="P343" s="5" t="n">
        <v>9.782999999999999</v>
      </c>
      <c r="Q343" s="5" t="n">
        <v>0</v>
      </c>
      <c r="R343" s="5" t="n">
        <v>1</v>
      </c>
      <c r="S343" s="5" t="n">
        <v>17.893</v>
      </c>
      <c r="T343" s="5" t="n">
        <v>7.408</v>
      </c>
      <c r="U343" s="5" t="n">
        <v>0.212</v>
      </c>
      <c r="V343" s="5" t="n">
        <v>20.756</v>
      </c>
      <c r="W343" s="5" t="n">
        <v>0.16</v>
      </c>
      <c r="X343" s="5" t="n">
        <v>1</v>
      </c>
      <c r="Y343" s="5" t="n">
        <v>24.111</v>
      </c>
      <c r="Z343" s="5" t="n">
        <v>3.237</v>
      </c>
      <c r="AA343" s="5" t="n">
        <v>0</v>
      </c>
      <c r="AB343" s="5" t="n">
        <v>24.111</v>
      </c>
      <c r="AC343" s="5" t="n">
        <v>0</v>
      </c>
      <c r="AD343" s="5" t="n">
        <v>1</v>
      </c>
      <c r="AE343" s="5" t="n">
        <v>25.339</v>
      </c>
      <c r="AF343" s="5" t="n">
        <v>5.925</v>
      </c>
      <c r="AG343" s="5" t="n">
        <v>0</v>
      </c>
      <c r="AH343" s="5" t="n">
        <v>25.339</v>
      </c>
      <c r="AI343" s="5" t="n">
        <v>0</v>
      </c>
      <c r="AJ343" s="5" t="n">
        <v>1</v>
      </c>
      <c r="AK343" s="5" t="n">
        <v>32.709</v>
      </c>
      <c r="AL343" s="5" t="n">
        <v>17.562</v>
      </c>
      <c r="AM343" s="5" t="n">
        <v>0.387</v>
      </c>
      <c r="AN343" s="5" t="n">
        <v>37.942</v>
      </c>
      <c r="AO343" s="5" t="n">
        <v>0.16</v>
      </c>
      <c r="AP343" s="5" t="n">
        <v>1</v>
      </c>
      <c r="AQ343" s="5" t="n">
        <v>0.6860000000000001</v>
      </c>
      <c r="AR343" s="5" t="n">
        <v>0.098</v>
      </c>
      <c r="AS343" s="5" t="n">
        <v>0.231</v>
      </c>
      <c r="AT343" s="5" t="n">
        <v>1.064</v>
      </c>
      <c r="AU343" s="5" t="n">
        <v>0.16</v>
      </c>
      <c r="AV343" s="5" t="n">
        <v>1</v>
      </c>
      <c r="AW343" s="5" t="n">
        <v>0.453</v>
      </c>
      <c r="AX343" s="5" t="n">
        <v>0.059</v>
      </c>
      <c r="AY343" s="5" t="n">
        <v>0.537</v>
      </c>
      <c r="AZ343" s="5" t="n">
        <v>1.148</v>
      </c>
      <c r="BA343" s="5" t="n">
        <v>0.16</v>
      </c>
      <c r="BB343" s="5" t="n">
        <v>1</v>
      </c>
      <c r="BC343" s="5" t="n">
        <v>0.62</v>
      </c>
      <c r="BD343" s="5" t="n">
        <v>0.123</v>
      </c>
      <c r="BE343" s="5" t="n">
        <v>0.007</v>
      </c>
      <c r="BF343" s="5" t="n">
        <v>0.72</v>
      </c>
      <c r="BG343" s="5" t="n">
        <v>0.16</v>
      </c>
      <c r="BH343" s="5" t="n">
        <v>1</v>
      </c>
      <c r="BI343" s="5" t="n">
        <v>0.608</v>
      </c>
      <c r="BJ343" s="5" t="n">
        <v>0.123</v>
      </c>
      <c r="BK343" s="5" t="n">
        <v>0.284</v>
      </c>
      <c r="BL343" s="5" t="n">
        <v>1.035</v>
      </c>
      <c r="BM343" s="5" t="n">
        <v>0.16</v>
      </c>
      <c r="BN343" s="5" t="n">
        <v>1</v>
      </c>
      <c r="BO343" s="5" t="n">
        <v>0</v>
      </c>
      <c r="BP343" s="5" t="n">
        <v>0</v>
      </c>
      <c r="BQ343" s="5" t="n">
        <v>0.277</v>
      </c>
      <c r="BR343" s="5" t="n">
        <v>0</v>
      </c>
      <c r="BS343" s="5" t="n">
        <v>0.833</v>
      </c>
      <c r="BT343" s="5" t="n">
        <v>0</v>
      </c>
      <c r="BU343" s="5" t="n">
        <v>0</v>
      </c>
      <c r="BV343" s="5" t="n">
        <v>0.333</v>
      </c>
      <c r="BW343" s="5" t="n">
        <v>0</v>
      </c>
      <c r="BX343" s="5" t="n">
        <v>1</v>
      </c>
      <c r="BY343" s="5" t="n">
        <v>12.729</v>
      </c>
      <c r="BZ343" s="5" t="n">
        <v>0</v>
      </c>
      <c r="CA343" s="5" t="n">
        <v>12.729</v>
      </c>
      <c r="CB343" s="5" t="n">
        <v>0</v>
      </c>
      <c r="CC343" s="5" t="n">
        <v>97.90000000000001</v>
      </c>
      <c r="CD343" s="5" t="n">
        <v>7.95</v>
      </c>
      <c r="CE343" s="5" t="n">
        <v>43.175</v>
      </c>
      <c r="CF343" s="5" t="n">
        <v>161.731</v>
      </c>
      <c r="CG343" s="5" t="n">
        <v>0.16</v>
      </c>
      <c r="CH343" s="5" t="n">
        <v>1</v>
      </c>
      <c r="CI343" s="5" t="n">
        <v>0</v>
      </c>
      <c r="CJ343" s="5" t="n">
        <v>0</v>
      </c>
      <c r="CK343" s="5" t="n">
        <v>0</v>
      </c>
      <c r="CL343" s="5" t="n">
        <v>0</v>
      </c>
      <c r="CM343" s="5" t="n">
        <v>0</v>
      </c>
      <c r="CN343" s="5" t="n">
        <v>0</v>
      </c>
      <c r="CO343" s="5" t="n">
        <v>0</v>
      </c>
      <c r="CP343" s="5" t="n">
        <v>0</v>
      </c>
      <c r="CQ343" s="5" t="n">
        <v>1.294</v>
      </c>
      <c r="CR343" s="5" t="n">
        <v>0.011</v>
      </c>
      <c r="CS343" s="5" t="n">
        <v>3.854</v>
      </c>
      <c r="CT343" s="5" t="n">
        <v>10.485</v>
      </c>
      <c r="CU343" s="5" t="n">
        <v>29.494</v>
      </c>
    </row>
    <row r="344">
      <c r="A344" s="5" t="inlineStr">
        <is>
          <t>GUY2023</t>
        </is>
      </c>
      <c r="B344" s="5" t="inlineStr">
        <is>
          <t>GUY</t>
        </is>
      </c>
      <c r="C344" s="5" t="inlineStr">
        <is>
          <t>GUY</t>
        </is>
      </c>
      <c r="D344" s="5" t="inlineStr">
        <is>
          <t>Guyana</t>
        </is>
      </c>
      <c r="E344" s="5" t="n">
        <v>2023</v>
      </c>
      <c r="F344" s="5" t="n">
        <v>0.16</v>
      </c>
      <c r="G344" s="5" t="n">
        <v>6.147</v>
      </c>
      <c r="H344" s="5" t="n">
        <v>1.286</v>
      </c>
      <c r="I344" s="5" t="n">
        <v>0</v>
      </c>
      <c r="J344" s="5" t="n">
        <v>6.147</v>
      </c>
      <c r="K344" s="5" t="n">
        <v>0</v>
      </c>
      <c r="L344" s="5" t="n">
        <v>1</v>
      </c>
      <c r="M344" s="5" t="n">
        <v>7.886</v>
      </c>
      <c r="N344" s="5" t="n">
        <v>3.857</v>
      </c>
      <c r="O344" s="5" t="n">
        <v>0</v>
      </c>
      <c r="P344" s="5" t="n">
        <v>7.886</v>
      </c>
      <c r="Q344" s="5" t="n">
        <v>0</v>
      </c>
      <c r="R344" s="5" t="n">
        <v>1</v>
      </c>
      <c r="S344" s="5" t="n">
        <v>12.575</v>
      </c>
      <c r="T344" s="5" t="n">
        <v>7.714</v>
      </c>
      <c r="U344" s="5" t="n">
        <v>0.223</v>
      </c>
      <c r="V344" s="5" t="n">
        <v>14.587</v>
      </c>
      <c r="W344" s="5" t="n">
        <v>0.16</v>
      </c>
      <c r="X344" s="5" t="n">
        <v>1</v>
      </c>
      <c r="Y344" s="5" t="n">
        <v>10.683</v>
      </c>
      <c r="Z344" s="5" t="n">
        <v>1.434</v>
      </c>
      <c r="AA344" s="5" t="n">
        <v>0</v>
      </c>
      <c r="AB344" s="5" t="n">
        <v>10.683</v>
      </c>
      <c r="AC344" s="5" t="n">
        <v>0</v>
      </c>
      <c r="AD344" s="5" t="n">
        <v>1</v>
      </c>
      <c r="AE344" s="5" t="n">
        <v>11.969</v>
      </c>
      <c r="AF344" s="5" t="n">
        <v>2.799</v>
      </c>
      <c r="AG344" s="5" t="n">
        <v>0</v>
      </c>
      <c r="AH344" s="5" t="n">
        <v>11.969</v>
      </c>
      <c r="AI344" s="5" t="n">
        <v>0</v>
      </c>
      <c r="AJ344" s="5" t="n">
        <v>1</v>
      </c>
      <c r="AK344" s="5" t="n">
        <v>19.683</v>
      </c>
      <c r="AL344" s="5" t="n">
        <v>10.568</v>
      </c>
      <c r="AM344" s="5" t="n">
        <v>0.349</v>
      </c>
      <c r="AN344" s="5" t="n">
        <v>22.832</v>
      </c>
      <c r="AO344" s="5" t="n">
        <v>0.16</v>
      </c>
      <c r="AP344" s="5" t="n">
        <v>1</v>
      </c>
      <c r="AQ344" s="5" t="n">
        <v>0.726</v>
      </c>
      <c r="AR344" s="5" t="n">
        <v>0.122</v>
      </c>
      <c r="AS344" s="5" t="n">
        <v>0.126</v>
      </c>
      <c r="AT344" s="5" t="n">
        <v>0.989</v>
      </c>
      <c r="AU344" s="5" t="n">
        <v>0.16</v>
      </c>
      <c r="AV344" s="5" t="n">
        <v>1</v>
      </c>
      <c r="AW344" s="5" t="n">
        <v>0.947</v>
      </c>
      <c r="AX344" s="5" t="n">
        <v>0.162</v>
      </c>
      <c r="AY344" s="5" t="n">
        <v>0.08699999999999999</v>
      </c>
      <c r="AZ344" s="5" t="n">
        <v>1.2</v>
      </c>
      <c r="BA344" s="5" t="n">
        <v>0.16</v>
      </c>
      <c r="BB344" s="5" t="n">
        <v>1</v>
      </c>
      <c r="BC344" s="5" t="n">
        <v>0.554</v>
      </c>
      <c r="BD344" s="5" t="n">
        <v>0.129</v>
      </c>
      <c r="BE344" s="5" t="n">
        <v>0.01</v>
      </c>
      <c r="BF344" s="5" t="n">
        <v>0.643</v>
      </c>
      <c r="BG344" s="5" t="n">
        <v>0.16</v>
      </c>
      <c r="BH344" s="5" t="n">
        <v>1</v>
      </c>
      <c r="BI344" s="5" t="n">
        <v>0.5570000000000001</v>
      </c>
      <c r="BJ344" s="5" t="n">
        <v>0.129</v>
      </c>
      <c r="BK344" s="5" t="n">
        <v>0.414</v>
      </c>
      <c r="BL344" s="5" t="n">
        <v>1.127</v>
      </c>
      <c r="BM344" s="5" t="n">
        <v>0.16</v>
      </c>
      <c r="BN344" s="5" t="n">
        <v>1</v>
      </c>
      <c r="BO344" s="5" t="n">
        <v>0</v>
      </c>
      <c r="BP344" s="5" t="n">
        <v>0</v>
      </c>
      <c r="BQ344" s="5" t="n">
        <v>0.288</v>
      </c>
      <c r="BR344" s="5" t="n">
        <v>0</v>
      </c>
      <c r="BS344" s="5" t="n">
        <v>0.833</v>
      </c>
      <c r="BT344" s="5" t="n">
        <v>0</v>
      </c>
      <c r="BU344" s="5" t="n">
        <v>0</v>
      </c>
      <c r="BV344" s="5" t="n">
        <v>0.347</v>
      </c>
      <c r="BW344" s="5" t="n">
        <v>0</v>
      </c>
      <c r="BX344" s="5" t="n">
        <v>1</v>
      </c>
      <c r="BY344" s="5" t="n">
        <v>13.254</v>
      </c>
      <c r="BZ344" s="5" t="n">
        <v>0</v>
      </c>
      <c r="CA344" s="5" t="n">
        <v>13.254</v>
      </c>
      <c r="CB344" s="5" t="n">
        <v>0</v>
      </c>
      <c r="CC344" s="5" t="n">
        <v>83.248</v>
      </c>
      <c r="CD344" s="5" t="n">
        <v>7.95</v>
      </c>
      <c r="CE344" s="5" t="n">
        <v>48.102</v>
      </c>
      <c r="CF344" s="5" t="n">
        <v>149.714</v>
      </c>
      <c r="CG344" s="5" t="n">
        <v>0.16</v>
      </c>
      <c r="CH344" s="5" t="n">
        <v>1</v>
      </c>
      <c r="CI344" s="5" t="n">
        <v>0</v>
      </c>
      <c r="CJ344" s="5" t="n">
        <v>0</v>
      </c>
      <c r="CK344" s="5" t="n">
        <v>0</v>
      </c>
      <c r="CL344" s="5" t="n">
        <v>0</v>
      </c>
      <c r="CM344" s="5" t="n">
        <v>0</v>
      </c>
      <c r="CN344" s="5" t="n">
        <v>0</v>
      </c>
      <c r="CO344" s="5" t="n">
        <v>0</v>
      </c>
      <c r="CP344" s="5" t="n">
        <v>0</v>
      </c>
      <c r="CQ344" s="5" t="n">
        <v>1.348</v>
      </c>
      <c r="CR344" s="5" t="n">
        <v>0</v>
      </c>
      <c r="CS344" s="5" t="n">
        <v>4.013</v>
      </c>
      <c r="CT344" s="5" t="n">
        <v>4.861</v>
      </c>
      <c r="CU344" s="5" t="n">
        <v>11.192</v>
      </c>
    </row>
    <row r="345">
      <c r="A345" s="5" t="inlineStr">
        <is>
          <t>GUY2024</t>
        </is>
      </c>
      <c r="B345" s="5" t="inlineStr">
        <is>
          <t>GUY</t>
        </is>
      </c>
      <c r="C345" s="5" t="inlineStr">
        <is>
          <t>GUY</t>
        </is>
      </c>
      <c r="D345" s="5" t="inlineStr">
        <is>
          <t>Guyana</t>
        </is>
      </c>
      <c r="E345" s="5" t="n">
        <v>2024</v>
      </c>
      <c r="F345" s="5" t="n">
        <v>0.16</v>
      </c>
      <c r="G345" s="5" t="n">
        <v>5.575</v>
      </c>
      <c r="H345" s="5" t="n">
        <v>1.324</v>
      </c>
      <c r="I345" s="5" t="n">
        <v>0</v>
      </c>
      <c r="J345" s="5" t="n">
        <v>5.575</v>
      </c>
      <c r="K345" s="5" t="n">
        <v>0</v>
      </c>
      <c r="L345" s="5" t="n">
        <v>1</v>
      </c>
      <c r="M345" s="5" t="n">
        <v>7.124</v>
      </c>
      <c r="N345" s="5" t="n">
        <v>3.971</v>
      </c>
      <c r="O345" s="5" t="n">
        <v>0</v>
      </c>
      <c r="P345" s="5" t="n">
        <v>7.124</v>
      </c>
      <c r="Q345" s="5" t="n">
        <v>0</v>
      </c>
      <c r="R345" s="5" t="n">
        <v>1</v>
      </c>
      <c r="S345" s="5" t="n">
        <v>12.193</v>
      </c>
      <c r="T345" s="5" t="n">
        <v>7.942</v>
      </c>
      <c r="U345" s="5" t="n">
        <v>0.266</v>
      </c>
      <c r="V345" s="5" t="n">
        <v>14.144</v>
      </c>
      <c r="W345" s="5" t="n">
        <v>0.16</v>
      </c>
      <c r="X345" s="5" t="n">
        <v>1</v>
      </c>
      <c r="Y345" s="5" t="n">
        <v>11.344</v>
      </c>
      <c r="Z345" s="5" t="n">
        <v>1.523</v>
      </c>
      <c r="AA345" s="5" t="n">
        <v>0</v>
      </c>
      <c r="AB345" s="5" t="n">
        <v>11.344</v>
      </c>
      <c r="AC345" s="5" t="n">
        <v>0</v>
      </c>
      <c r="AD345" s="5" t="n">
        <v>1</v>
      </c>
      <c r="AE345" s="5" t="n">
        <v>12.667</v>
      </c>
      <c r="AF345" s="5" t="n">
        <v>2.962</v>
      </c>
      <c r="AG345" s="5" t="n">
        <v>0</v>
      </c>
      <c r="AH345" s="5" t="n">
        <v>12.667</v>
      </c>
      <c r="AI345" s="5" t="n">
        <v>0</v>
      </c>
      <c r="AJ345" s="5" t="n">
        <v>1</v>
      </c>
      <c r="AK345" s="5" t="n">
        <v>20.609</v>
      </c>
      <c r="AL345" s="5" t="n">
        <v>11.066</v>
      </c>
      <c r="AM345" s="5" t="n">
        <v>0.449</v>
      </c>
      <c r="AN345" s="5" t="n">
        <v>23.907</v>
      </c>
      <c r="AO345" s="5" t="n">
        <v>0.16</v>
      </c>
      <c r="AP345" s="5" t="n">
        <v>1</v>
      </c>
      <c r="AQ345" s="5" t="n">
        <v>0.827</v>
      </c>
      <c r="AR345" s="5" t="n">
        <v>0.15</v>
      </c>
      <c r="AS345" s="5" t="n">
        <v>0.025</v>
      </c>
      <c r="AT345" s="5" t="n">
        <v>0.989</v>
      </c>
      <c r="AU345" s="5" t="n">
        <v>0.16</v>
      </c>
      <c r="AV345" s="5" t="n">
        <v>1</v>
      </c>
      <c r="AW345" s="5" t="n">
        <v>1.04</v>
      </c>
      <c r="AX345" s="5" t="n">
        <v>0.191</v>
      </c>
      <c r="AY345" s="5" t="n">
        <v>-0.007</v>
      </c>
      <c r="AZ345" s="5" t="n">
        <v>1.199</v>
      </c>
      <c r="BA345" s="5" t="n">
        <v>0.16</v>
      </c>
      <c r="BB345" s="5" t="n">
        <v>1</v>
      </c>
      <c r="BC345" s="5" t="n">
        <v>0.534</v>
      </c>
      <c r="BD345" s="5" t="n">
        <v>0.132</v>
      </c>
      <c r="BE345" s="5" t="n">
        <v>0.012</v>
      </c>
      <c r="BF345" s="5" t="n">
        <v>0.619</v>
      </c>
      <c r="BG345" s="5" t="n">
        <v>0.16</v>
      </c>
      <c r="BH345" s="5" t="n">
        <v>1</v>
      </c>
      <c r="BI345" s="5" t="n">
        <v>0.5679999999999999</v>
      </c>
      <c r="BJ345" s="5" t="n">
        <v>0.132</v>
      </c>
      <c r="BK345" s="5" t="n">
        <v>0.404</v>
      </c>
      <c r="BL345" s="5" t="n">
        <v>1.127</v>
      </c>
      <c r="BM345" s="5" t="n">
        <v>0.16</v>
      </c>
      <c r="BN345" s="5" t="n">
        <v>1</v>
      </c>
      <c r="BO345" s="5" t="n">
        <v>0</v>
      </c>
      <c r="BP345" s="5" t="n">
        <v>0</v>
      </c>
      <c r="BQ345" s="5" t="n">
        <v>0.297</v>
      </c>
      <c r="BR345" s="5" t="n">
        <v>0</v>
      </c>
      <c r="BS345" s="5" t="n">
        <v>0.833</v>
      </c>
      <c r="BT345" s="5" t="n">
        <v>0</v>
      </c>
      <c r="BU345" s="5" t="n">
        <v>0</v>
      </c>
      <c r="BV345" s="5" t="n">
        <v>0.357</v>
      </c>
      <c r="BW345" s="5" t="n">
        <v>0</v>
      </c>
      <c r="BX345" s="5" t="n">
        <v>1</v>
      </c>
      <c r="BY345" s="5" t="n">
        <v>13.646</v>
      </c>
      <c r="BZ345" s="5" t="n">
        <v>0</v>
      </c>
      <c r="CA345" s="5" t="n">
        <v>13.646</v>
      </c>
      <c r="CB345" s="5" t="n">
        <v>0</v>
      </c>
      <c r="CC345" s="5" t="n">
        <v>82.58799999999999</v>
      </c>
      <c r="CD345" s="5" t="n">
        <v>7.95</v>
      </c>
      <c r="CE345" s="5" t="n">
        <v>50.436</v>
      </c>
      <c r="CF345" s="5" t="n">
        <v>151.016</v>
      </c>
      <c r="CG345" s="5" t="n">
        <v>0.16</v>
      </c>
      <c r="CH345" s="5" t="n">
        <v>1</v>
      </c>
      <c r="CI345" s="5" t="n">
        <v>0</v>
      </c>
      <c r="CJ345" s="5" t="n">
        <v>0</v>
      </c>
      <c r="CK345" s="5" t="n">
        <v>0</v>
      </c>
      <c r="CL345" s="5" t="n">
        <v>0</v>
      </c>
      <c r="CM345" s="5" t="n">
        <v>0</v>
      </c>
      <c r="CN345" s="5" t="n">
        <v>0</v>
      </c>
      <c r="CO345" s="5" t="n">
        <v>0</v>
      </c>
      <c r="CP345" s="5" t="n">
        <v>0</v>
      </c>
      <c r="CQ345" s="5" t="n">
        <v>1.387</v>
      </c>
      <c r="CR345" s="5" t="n">
        <v>0</v>
      </c>
      <c r="CS345" s="5" t="n">
        <v>4.131</v>
      </c>
      <c r="CT345" s="5" t="n">
        <v>4.251</v>
      </c>
      <c r="CU345" s="5" t="n">
        <v>10.123</v>
      </c>
    </row>
    <row r="346">
      <c r="A346" s="5" t="inlineStr">
        <is>
          <t>HTI2021</t>
        </is>
      </c>
      <c r="B346" s="5" t="inlineStr">
        <is>
          <t>HTI</t>
        </is>
      </c>
      <c r="C346" s="5" t="inlineStr">
        <is>
          <t>HTI</t>
        </is>
      </c>
      <c r="D346" s="5" t="inlineStr">
        <is>
          <t>Haiti</t>
        </is>
      </c>
      <c r="E346" s="5" t="n">
        <v>2021</v>
      </c>
      <c r="F346" s="5" t="n">
        <v>0</v>
      </c>
      <c r="G346" s="5" t="n">
        <v>5.897</v>
      </c>
      <c r="H346" s="5" t="n">
        <v>1.143</v>
      </c>
      <c r="I346" s="5" t="n">
        <v>0</v>
      </c>
      <c r="J346" s="5" t="n">
        <v>5.897</v>
      </c>
      <c r="K346" s="5" t="n">
        <v>0</v>
      </c>
      <c r="L346" s="5" t="n">
        <v>1</v>
      </c>
      <c r="M346" s="5" t="n">
        <v>7.964</v>
      </c>
      <c r="N346" s="5" t="n">
        <v>3.43</v>
      </c>
      <c r="O346" s="5" t="n">
        <v>0</v>
      </c>
      <c r="P346" s="5" t="n">
        <v>7.964</v>
      </c>
      <c r="Q346" s="5" t="n">
        <v>0</v>
      </c>
      <c r="R346" s="5" t="n">
        <v>1</v>
      </c>
      <c r="S346" s="5" t="n">
        <v>11.613</v>
      </c>
      <c r="T346" s="5" t="n">
        <v>6.86</v>
      </c>
      <c r="U346" s="5" t="n">
        <v>0</v>
      </c>
      <c r="V346" s="5" t="n">
        <v>11.613</v>
      </c>
      <c r="W346" s="5" t="n">
        <v>0</v>
      </c>
      <c r="X346" s="5" t="n">
        <v>1</v>
      </c>
      <c r="Y346" s="5" t="n">
        <v>17.127</v>
      </c>
      <c r="Z346" s="5" t="n">
        <v>2.304</v>
      </c>
      <c r="AA346" s="5" t="n">
        <v>0</v>
      </c>
      <c r="AB346" s="5" t="n">
        <v>17.127</v>
      </c>
      <c r="AC346" s="5" t="n">
        <v>0</v>
      </c>
      <c r="AD346" s="5" t="n">
        <v>1</v>
      </c>
      <c r="AE346" s="5" t="n">
        <v>18.27</v>
      </c>
      <c r="AF346" s="5" t="n">
        <v>4.278</v>
      </c>
      <c r="AG346" s="5" t="n">
        <v>0</v>
      </c>
      <c r="AH346" s="5" t="n">
        <v>18.27</v>
      </c>
      <c r="AI346" s="5" t="n">
        <v>0</v>
      </c>
      <c r="AJ346" s="5" t="n">
        <v>1</v>
      </c>
      <c r="AK346" s="5" t="n">
        <v>25.13</v>
      </c>
      <c r="AL346" s="5" t="n">
        <v>13.503</v>
      </c>
      <c r="AM346" s="5" t="n">
        <v>0</v>
      </c>
      <c r="AN346" s="5" t="n">
        <v>25.13</v>
      </c>
      <c r="AO346" s="5" t="n">
        <v>0</v>
      </c>
      <c r="AP346" s="5" t="n">
        <v>1</v>
      </c>
      <c r="AQ346" s="5" t="n">
        <v>0.649</v>
      </c>
      <c r="AR346" s="5" t="n">
        <v>0.114</v>
      </c>
      <c r="AS346" s="5" t="n">
        <v>0.182</v>
      </c>
      <c r="AT346" s="5" t="n">
        <v>0.831</v>
      </c>
      <c r="AU346" s="5" t="n">
        <v>0</v>
      </c>
      <c r="AV346" s="5" t="n">
        <v>1</v>
      </c>
      <c r="AW346" s="5" t="n">
        <v>0.577</v>
      </c>
      <c r="AX346" s="5" t="n">
        <v>0.114</v>
      </c>
      <c r="AY346" s="5" t="n">
        <v>0.034</v>
      </c>
      <c r="AZ346" s="5" t="n">
        <v>0.61</v>
      </c>
      <c r="BA346" s="5" t="n">
        <v>0</v>
      </c>
      <c r="BB346" s="5" t="n">
        <v>1</v>
      </c>
      <c r="BC346" s="5" t="n">
        <v>0.458</v>
      </c>
      <c r="BD346" s="5" t="n">
        <v>0.114</v>
      </c>
      <c r="BE346" s="5" t="n">
        <v>0</v>
      </c>
      <c r="BF346" s="5" t="n">
        <v>0.458</v>
      </c>
      <c r="BG346" s="5" t="n">
        <v>0</v>
      </c>
      <c r="BH346" s="5" t="n">
        <v>1</v>
      </c>
      <c r="BI346" s="5" t="n">
        <v>0.491</v>
      </c>
      <c r="BJ346" s="5" t="n">
        <v>0.114</v>
      </c>
      <c r="BK346" s="5" t="n">
        <v>0.013</v>
      </c>
      <c r="BL346" s="5" t="n">
        <v>0.504</v>
      </c>
      <c r="BM346" s="5" t="n">
        <v>0</v>
      </c>
      <c r="BN346" s="5" t="n">
        <v>1</v>
      </c>
      <c r="BO346" s="5" t="n">
        <v>0</v>
      </c>
      <c r="BP346" s="5" t="n">
        <v>0</v>
      </c>
      <c r="BQ346" s="5" t="n">
        <v>0.139</v>
      </c>
      <c r="BR346" s="5" t="n">
        <v>0</v>
      </c>
      <c r="BS346" s="5" t="n">
        <v>1</v>
      </c>
      <c r="BT346" s="5" t="n">
        <v>0</v>
      </c>
      <c r="BU346" s="5" t="n">
        <v>0</v>
      </c>
      <c r="BV346" s="5" t="n">
        <v>0.079</v>
      </c>
      <c r="BW346" s="5" t="n">
        <v>0</v>
      </c>
      <c r="BX346" s="5" t="n">
        <v>1</v>
      </c>
      <c r="BY346" s="5" t="n">
        <v>11.787</v>
      </c>
      <c r="BZ346" s="5" t="n">
        <v>0</v>
      </c>
      <c r="CA346" s="5" t="n">
        <v>11.787</v>
      </c>
      <c r="CB346" s="5" t="n">
        <v>0</v>
      </c>
      <c r="CC346" s="5" t="n">
        <v>78.125</v>
      </c>
      <c r="CD346" s="5" t="n">
        <v>7.95</v>
      </c>
      <c r="CE346" s="5" t="n">
        <v>90.447</v>
      </c>
      <c r="CF346" s="5" t="n">
        <v>168.572</v>
      </c>
      <c r="CG346" s="5" t="n">
        <v>0</v>
      </c>
      <c r="CH346" s="5" t="n">
        <v>1</v>
      </c>
      <c r="CI346" s="5" t="n">
        <v>0</v>
      </c>
      <c r="CJ346" s="5" t="n">
        <v>0</v>
      </c>
      <c r="CK346" s="5" t="n">
        <v>0</v>
      </c>
      <c r="CL346" s="5" t="n">
        <v>0</v>
      </c>
      <c r="CM346" s="5" t="n">
        <v>0</v>
      </c>
      <c r="CN346" s="5" t="n">
        <v>0</v>
      </c>
      <c r="CO346" s="5" t="n">
        <v>0</v>
      </c>
      <c r="CP346" s="5" t="n">
        <v>0</v>
      </c>
      <c r="CQ346" s="5" t="n">
        <v>1.198</v>
      </c>
      <c r="CR346" s="5" t="n">
        <v>0</v>
      </c>
      <c r="CS346" s="5" t="n">
        <v>4.776</v>
      </c>
      <c r="CT346" s="5" t="n">
        <v>4.753</v>
      </c>
      <c r="CU346" s="5" t="n">
        <v>15.983</v>
      </c>
    </row>
    <row r="347">
      <c r="A347" s="5" t="inlineStr">
        <is>
          <t>HTI2022</t>
        </is>
      </c>
      <c r="B347" s="5" t="inlineStr">
        <is>
          <t>HTI</t>
        </is>
      </c>
      <c r="C347" s="5" t="inlineStr">
        <is>
          <t>HTI</t>
        </is>
      </c>
      <c r="D347" s="5" t="inlineStr">
        <is>
          <t>Haiti</t>
        </is>
      </c>
      <c r="E347" s="5" t="n">
        <v>2022</v>
      </c>
      <c r="F347" s="5" t="n">
        <v>0</v>
      </c>
      <c r="G347" s="5" t="n">
        <v>11.72</v>
      </c>
      <c r="H347" s="5" t="n">
        <v>1.235</v>
      </c>
      <c r="I347" s="5" t="n">
        <v>0</v>
      </c>
      <c r="J347" s="5" t="n">
        <v>11.72</v>
      </c>
      <c r="K347" s="5" t="n">
        <v>0</v>
      </c>
      <c r="L347" s="5" t="n">
        <v>1</v>
      </c>
      <c r="M347" s="5" t="n">
        <v>9.782999999999999</v>
      </c>
      <c r="N347" s="5" t="n">
        <v>3.704</v>
      </c>
      <c r="O347" s="5" t="n">
        <v>0</v>
      </c>
      <c r="P347" s="5" t="n">
        <v>9.782999999999999</v>
      </c>
      <c r="Q347" s="5" t="n">
        <v>0</v>
      </c>
      <c r="R347" s="5" t="n">
        <v>1</v>
      </c>
      <c r="S347" s="5" t="n">
        <v>17.893</v>
      </c>
      <c r="T347" s="5" t="n">
        <v>7.408</v>
      </c>
      <c r="U347" s="5" t="n">
        <v>0</v>
      </c>
      <c r="V347" s="5" t="n">
        <v>17.893</v>
      </c>
      <c r="W347" s="5" t="n">
        <v>0</v>
      </c>
      <c r="X347" s="5" t="n">
        <v>1</v>
      </c>
      <c r="Y347" s="5" t="n">
        <v>30.728</v>
      </c>
      <c r="Z347" s="5" t="n">
        <v>4.133</v>
      </c>
      <c r="AA347" s="5" t="n">
        <v>0</v>
      </c>
      <c r="AB347" s="5" t="n">
        <v>30.728</v>
      </c>
      <c r="AC347" s="5" t="n">
        <v>0</v>
      </c>
      <c r="AD347" s="5" t="n">
        <v>1</v>
      </c>
      <c r="AE347" s="5" t="n">
        <v>31.963</v>
      </c>
      <c r="AF347" s="5" t="n">
        <v>7.485</v>
      </c>
      <c r="AG347" s="5" t="n">
        <v>0</v>
      </c>
      <c r="AH347" s="5" t="n">
        <v>31.963</v>
      </c>
      <c r="AI347" s="5" t="n">
        <v>0</v>
      </c>
      <c r="AJ347" s="5" t="n">
        <v>1</v>
      </c>
      <c r="AK347" s="5" t="n">
        <v>39.371</v>
      </c>
      <c r="AL347" s="5" t="n">
        <v>21.155</v>
      </c>
      <c r="AM347" s="5" t="n">
        <v>0</v>
      </c>
      <c r="AN347" s="5" t="n">
        <v>39.371</v>
      </c>
      <c r="AO347" s="5" t="n">
        <v>0</v>
      </c>
      <c r="AP347" s="5" t="n">
        <v>1</v>
      </c>
      <c r="AQ347" s="5" t="n">
        <v>0.896</v>
      </c>
      <c r="AR347" s="5" t="n">
        <v>0.123</v>
      </c>
      <c r="AS347" s="5" t="n">
        <v>0.181</v>
      </c>
      <c r="AT347" s="5" t="n">
        <v>1.077</v>
      </c>
      <c r="AU347" s="5" t="n">
        <v>0</v>
      </c>
      <c r="AV347" s="5" t="n">
        <v>1</v>
      </c>
      <c r="AW347" s="5" t="n">
        <v>0.89</v>
      </c>
      <c r="AX347" s="5" t="n">
        <v>0.123</v>
      </c>
      <c r="AY347" s="5" t="n">
        <v>-0.094</v>
      </c>
      <c r="AZ347" s="5" t="n">
        <v>0.796</v>
      </c>
      <c r="BA347" s="5" t="n">
        <v>0</v>
      </c>
      <c r="BB347" s="5" t="n">
        <v>1</v>
      </c>
      <c r="BC347" s="5" t="n">
        <v>0.62</v>
      </c>
      <c r="BD347" s="5" t="n">
        <v>0.123</v>
      </c>
      <c r="BE347" s="5" t="n">
        <v>0</v>
      </c>
      <c r="BF347" s="5" t="n">
        <v>0.62</v>
      </c>
      <c r="BG347" s="5" t="n">
        <v>0</v>
      </c>
      <c r="BH347" s="5" t="n">
        <v>1</v>
      </c>
      <c r="BI347" s="5" t="n">
        <v>0.608</v>
      </c>
      <c r="BJ347" s="5" t="n">
        <v>0.123</v>
      </c>
      <c r="BK347" s="5" t="n">
        <v>-0.063</v>
      </c>
      <c r="BL347" s="5" t="n">
        <v>0.545</v>
      </c>
      <c r="BM347" s="5" t="n">
        <v>0</v>
      </c>
      <c r="BN347" s="5" t="n">
        <v>1</v>
      </c>
      <c r="BO347" s="5" t="n">
        <v>0</v>
      </c>
      <c r="BP347" s="5" t="n">
        <v>0</v>
      </c>
      <c r="BQ347" s="5" t="n">
        <v>0.115</v>
      </c>
      <c r="BR347" s="5" t="n">
        <v>0</v>
      </c>
      <c r="BS347" s="5" t="n">
        <v>1</v>
      </c>
      <c r="BT347" s="5" t="n">
        <v>0</v>
      </c>
      <c r="BU347" s="5" t="n">
        <v>0</v>
      </c>
      <c r="BV347" s="5" t="n">
        <v>0.065</v>
      </c>
      <c r="BW347" s="5" t="n">
        <v>0</v>
      </c>
      <c r="BX347" s="5" t="n">
        <v>1</v>
      </c>
      <c r="BY347" s="5" t="n">
        <v>12.729</v>
      </c>
      <c r="BZ347" s="5" t="n">
        <v>0</v>
      </c>
      <c r="CA347" s="5" t="n">
        <v>12.729</v>
      </c>
      <c r="CB347" s="5" t="n">
        <v>0</v>
      </c>
      <c r="CC347" s="5" t="n">
        <v>97.90000000000001</v>
      </c>
      <c r="CD347" s="5" t="n">
        <v>7.95</v>
      </c>
      <c r="CE347" s="5" t="n">
        <v>97.675</v>
      </c>
      <c r="CF347" s="5" t="n">
        <v>195.575</v>
      </c>
      <c r="CG347" s="5" t="n">
        <v>0</v>
      </c>
      <c r="CH347" s="5" t="n">
        <v>1</v>
      </c>
      <c r="CI347" s="5" t="n">
        <v>0</v>
      </c>
      <c r="CJ347" s="5" t="n">
        <v>0</v>
      </c>
      <c r="CK347" s="5" t="n">
        <v>0</v>
      </c>
      <c r="CL347" s="5" t="n">
        <v>0</v>
      </c>
      <c r="CM347" s="5" t="n">
        <v>0</v>
      </c>
      <c r="CN347" s="5" t="n">
        <v>0</v>
      </c>
      <c r="CO347" s="5" t="n">
        <v>0</v>
      </c>
      <c r="CP347" s="5" t="n">
        <v>0</v>
      </c>
      <c r="CQ347" s="5" t="n">
        <v>1.294</v>
      </c>
      <c r="CR347" s="5" t="n">
        <v>0</v>
      </c>
      <c r="CS347" s="5" t="n">
        <v>5.158</v>
      </c>
      <c r="CT347" s="5" t="n">
        <v>10.485</v>
      </c>
      <c r="CU347" s="5" t="n">
        <v>29.494</v>
      </c>
    </row>
    <row r="348">
      <c r="A348" s="5" t="inlineStr">
        <is>
          <t>HTI2023</t>
        </is>
      </c>
      <c r="B348" s="5" t="inlineStr">
        <is>
          <t>HTI</t>
        </is>
      </c>
      <c r="C348" s="5" t="inlineStr">
        <is>
          <t>HTI</t>
        </is>
      </c>
      <c r="D348" s="5" t="inlineStr">
        <is>
          <t>Haiti</t>
        </is>
      </c>
      <c r="E348" s="5" t="n">
        <v>2023</v>
      </c>
      <c r="F348" s="5" t="n">
        <v>0</v>
      </c>
      <c r="G348" s="5" t="n">
        <v>6.147</v>
      </c>
      <c r="H348" s="5" t="n">
        <v>1.286</v>
      </c>
      <c r="I348" s="5" t="n">
        <v>0</v>
      </c>
      <c r="J348" s="5" t="n">
        <v>6.147</v>
      </c>
      <c r="K348" s="5" t="n">
        <v>0</v>
      </c>
      <c r="L348" s="5" t="n">
        <v>1</v>
      </c>
      <c r="M348" s="5" t="n">
        <v>7.886</v>
      </c>
      <c r="N348" s="5" t="n">
        <v>3.857</v>
      </c>
      <c r="O348" s="5" t="n">
        <v>0</v>
      </c>
      <c r="P348" s="5" t="n">
        <v>7.886</v>
      </c>
      <c r="Q348" s="5" t="n">
        <v>0</v>
      </c>
      <c r="R348" s="5" t="n">
        <v>1</v>
      </c>
      <c r="S348" s="5" t="n">
        <v>12.575</v>
      </c>
      <c r="T348" s="5" t="n">
        <v>7.714</v>
      </c>
      <c r="U348" s="5" t="n">
        <v>0</v>
      </c>
      <c r="V348" s="5" t="n">
        <v>12.575</v>
      </c>
      <c r="W348" s="5" t="n">
        <v>0</v>
      </c>
      <c r="X348" s="5" t="n">
        <v>1</v>
      </c>
      <c r="Y348" s="5" t="n">
        <v>12.478</v>
      </c>
      <c r="Z348" s="5" t="n">
        <v>1.678</v>
      </c>
      <c r="AA348" s="5" t="n">
        <v>0</v>
      </c>
      <c r="AB348" s="5" t="n">
        <v>12.478</v>
      </c>
      <c r="AC348" s="5" t="n">
        <v>0</v>
      </c>
      <c r="AD348" s="5" t="n">
        <v>1</v>
      </c>
      <c r="AE348" s="5" t="n">
        <v>13.763</v>
      </c>
      <c r="AF348" s="5" t="n">
        <v>3.223</v>
      </c>
      <c r="AG348" s="5" t="n">
        <v>0</v>
      </c>
      <c r="AH348" s="5" t="n">
        <v>13.763</v>
      </c>
      <c r="AI348" s="5" t="n">
        <v>0</v>
      </c>
      <c r="AJ348" s="5" t="n">
        <v>1</v>
      </c>
      <c r="AK348" s="5" t="n">
        <v>21.477</v>
      </c>
      <c r="AL348" s="5" t="n">
        <v>11.54</v>
      </c>
      <c r="AM348" s="5" t="n">
        <v>0</v>
      </c>
      <c r="AN348" s="5" t="n">
        <v>21.477</v>
      </c>
      <c r="AO348" s="5" t="n">
        <v>0</v>
      </c>
      <c r="AP348" s="5" t="n">
        <v>1</v>
      </c>
      <c r="AQ348" s="5" t="n">
        <v>0.791</v>
      </c>
      <c r="AR348" s="5" t="n">
        <v>0.129</v>
      </c>
      <c r="AS348" s="5" t="n">
        <v>0.2</v>
      </c>
      <c r="AT348" s="5" t="n">
        <v>0.991</v>
      </c>
      <c r="AU348" s="5" t="n">
        <v>0</v>
      </c>
      <c r="AV348" s="5" t="n">
        <v>1</v>
      </c>
      <c r="AW348" s="5" t="n">
        <v>0.618</v>
      </c>
      <c r="AX348" s="5" t="n">
        <v>0.129</v>
      </c>
      <c r="AY348" s="5" t="n">
        <v>0.053</v>
      </c>
      <c r="AZ348" s="5" t="n">
        <v>0.671</v>
      </c>
      <c r="BA348" s="5" t="n">
        <v>0</v>
      </c>
      <c r="BB348" s="5" t="n">
        <v>1</v>
      </c>
      <c r="BC348" s="5" t="n">
        <v>0.554</v>
      </c>
      <c r="BD348" s="5" t="n">
        <v>0.129</v>
      </c>
      <c r="BE348" s="5" t="n">
        <v>0</v>
      </c>
      <c r="BF348" s="5" t="n">
        <v>0.554</v>
      </c>
      <c r="BG348" s="5" t="n">
        <v>0</v>
      </c>
      <c r="BH348" s="5" t="n">
        <v>1</v>
      </c>
      <c r="BI348" s="5" t="n">
        <v>0.5570000000000001</v>
      </c>
      <c r="BJ348" s="5" t="n">
        <v>0.129</v>
      </c>
      <c r="BK348" s="5" t="n">
        <v>0.01</v>
      </c>
      <c r="BL348" s="5" t="n">
        <v>0.5669999999999999</v>
      </c>
      <c r="BM348" s="5" t="n">
        <v>0</v>
      </c>
      <c r="BN348" s="5" t="n">
        <v>1</v>
      </c>
      <c r="BO348" s="5" t="n">
        <v>0</v>
      </c>
      <c r="BP348" s="5" t="n">
        <v>0</v>
      </c>
      <c r="BQ348" s="5" t="n">
        <v>0.165</v>
      </c>
      <c r="BR348" s="5" t="n">
        <v>0</v>
      </c>
      <c r="BS348" s="5" t="n">
        <v>1</v>
      </c>
      <c r="BT348" s="5" t="n">
        <v>0</v>
      </c>
      <c r="BU348" s="5" t="n">
        <v>0</v>
      </c>
      <c r="BV348" s="5" t="n">
        <v>0.113</v>
      </c>
      <c r="BW348" s="5" t="n">
        <v>0</v>
      </c>
      <c r="BX348" s="5" t="n">
        <v>1</v>
      </c>
      <c r="BY348" s="5" t="n">
        <v>13.254</v>
      </c>
      <c r="BZ348" s="5" t="n">
        <v>0</v>
      </c>
      <c r="CA348" s="5" t="n">
        <v>13.254</v>
      </c>
      <c r="CB348" s="5" t="n">
        <v>0</v>
      </c>
      <c r="CC348" s="5" t="n">
        <v>83.248</v>
      </c>
      <c r="CD348" s="5" t="n">
        <v>7.95</v>
      </c>
      <c r="CE348" s="5" t="n">
        <v>101.707</v>
      </c>
      <c r="CF348" s="5" t="n">
        <v>184.955</v>
      </c>
      <c r="CG348" s="5" t="n">
        <v>0</v>
      </c>
      <c r="CH348" s="5" t="n">
        <v>1</v>
      </c>
      <c r="CI348" s="5" t="n">
        <v>0</v>
      </c>
      <c r="CJ348" s="5" t="n">
        <v>0</v>
      </c>
      <c r="CK348" s="5" t="n">
        <v>0</v>
      </c>
      <c r="CL348" s="5" t="n">
        <v>0</v>
      </c>
      <c r="CM348" s="5" t="n">
        <v>0</v>
      </c>
      <c r="CN348" s="5" t="n">
        <v>0</v>
      </c>
      <c r="CO348" s="5" t="n">
        <v>0</v>
      </c>
      <c r="CP348" s="5" t="n">
        <v>0</v>
      </c>
      <c r="CQ348" s="5" t="n">
        <v>1.348</v>
      </c>
      <c r="CR348" s="5" t="n">
        <v>0</v>
      </c>
      <c r="CS348" s="5" t="n">
        <v>5.37</v>
      </c>
      <c r="CT348" s="5" t="n">
        <v>4.861</v>
      </c>
      <c r="CU348" s="5" t="n">
        <v>11.192</v>
      </c>
    </row>
    <row r="349">
      <c r="A349" s="5" t="inlineStr">
        <is>
          <t>HTI2024</t>
        </is>
      </c>
      <c r="B349" s="5" t="inlineStr">
        <is>
          <t>HTI</t>
        </is>
      </c>
      <c r="C349" s="5" t="inlineStr">
        <is>
          <t>HTI</t>
        </is>
      </c>
      <c r="D349" s="5" t="inlineStr">
        <is>
          <t>Haiti</t>
        </is>
      </c>
      <c r="E349" s="5" t="n">
        <v>2024</v>
      </c>
      <c r="F349" s="5" t="n">
        <v>0</v>
      </c>
      <c r="G349" s="5" t="n">
        <v>5.575</v>
      </c>
      <c r="H349" s="5" t="n">
        <v>1.324</v>
      </c>
      <c r="I349" s="5" t="n">
        <v>0</v>
      </c>
      <c r="J349" s="5" t="n">
        <v>5.575</v>
      </c>
      <c r="K349" s="5" t="n">
        <v>0</v>
      </c>
      <c r="L349" s="5" t="n">
        <v>1</v>
      </c>
      <c r="M349" s="5" t="n">
        <v>7.124</v>
      </c>
      <c r="N349" s="5" t="n">
        <v>3.971</v>
      </c>
      <c r="O349" s="5" t="n">
        <v>0</v>
      </c>
      <c r="P349" s="5" t="n">
        <v>7.124</v>
      </c>
      <c r="Q349" s="5" t="n">
        <v>0</v>
      </c>
      <c r="R349" s="5" t="n">
        <v>1</v>
      </c>
      <c r="S349" s="5" t="n">
        <v>12.193</v>
      </c>
      <c r="T349" s="5" t="n">
        <v>7.942</v>
      </c>
      <c r="U349" s="5" t="n">
        <v>0</v>
      </c>
      <c r="V349" s="5" t="n">
        <v>12.193</v>
      </c>
      <c r="W349" s="5" t="n">
        <v>0</v>
      </c>
      <c r="X349" s="5" t="n">
        <v>1</v>
      </c>
      <c r="Y349" s="5" t="n">
        <v>11.447</v>
      </c>
      <c r="Z349" s="5" t="n">
        <v>1.54</v>
      </c>
      <c r="AA349" s="5" t="n">
        <v>0</v>
      </c>
      <c r="AB349" s="5" t="n">
        <v>11.447</v>
      </c>
      <c r="AC349" s="5" t="n">
        <v>0</v>
      </c>
      <c r="AD349" s="5" t="n">
        <v>1</v>
      </c>
      <c r="AE349" s="5" t="n">
        <v>12.771</v>
      </c>
      <c r="AF349" s="5" t="n">
        <v>2.991</v>
      </c>
      <c r="AG349" s="5" t="n">
        <v>0</v>
      </c>
      <c r="AH349" s="5" t="n">
        <v>12.771</v>
      </c>
      <c r="AI349" s="5" t="n">
        <v>0</v>
      </c>
      <c r="AJ349" s="5" t="n">
        <v>1</v>
      </c>
      <c r="AK349" s="5" t="n">
        <v>20.712</v>
      </c>
      <c r="AL349" s="5" t="n">
        <v>11.129</v>
      </c>
      <c r="AM349" s="5" t="n">
        <v>0</v>
      </c>
      <c r="AN349" s="5" t="n">
        <v>20.712</v>
      </c>
      <c r="AO349" s="5" t="n">
        <v>0</v>
      </c>
      <c r="AP349" s="5" t="n">
        <v>1</v>
      </c>
      <c r="AQ349" s="5" t="n">
        <v>0.756</v>
      </c>
      <c r="AR349" s="5" t="n">
        <v>0.132</v>
      </c>
      <c r="AS349" s="5" t="n">
        <v>0.21</v>
      </c>
      <c r="AT349" s="5" t="n">
        <v>0.966</v>
      </c>
      <c r="AU349" s="5" t="n">
        <v>0</v>
      </c>
      <c r="AV349" s="5" t="n">
        <v>1</v>
      </c>
      <c r="AW349" s="5" t="n">
        <v>0.655</v>
      </c>
      <c r="AX349" s="5" t="n">
        <v>0.132</v>
      </c>
      <c r="AY349" s="5" t="n">
        <v>0.045</v>
      </c>
      <c r="AZ349" s="5" t="n">
        <v>0.7</v>
      </c>
      <c r="BA349" s="5" t="n">
        <v>0</v>
      </c>
      <c r="BB349" s="5" t="n">
        <v>1</v>
      </c>
      <c r="BC349" s="5" t="n">
        <v>0.534</v>
      </c>
      <c r="BD349" s="5" t="n">
        <v>0.132</v>
      </c>
      <c r="BE349" s="5" t="n">
        <v>0</v>
      </c>
      <c r="BF349" s="5" t="n">
        <v>0.534</v>
      </c>
      <c r="BG349" s="5" t="n">
        <v>0</v>
      </c>
      <c r="BH349" s="5" t="n">
        <v>1</v>
      </c>
      <c r="BI349" s="5" t="n">
        <v>0.5679999999999999</v>
      </c>
      <c r="BJ349" s="5" t="n">
        <v>0.132</v>
      </c>
      <c r="BK349" s="5" t="n">
        <v>0.016</v>
      </c>
      <c r="BL349" s="5" t="n">
        <v>0.584</v>
      </c>
      <c r="BM349" s="5" t="n">
        <v>0</v>
      </c>
      <c r="BN349" s="5" t="n">
        <v>1</v>
      </c>
      <c r="BO349" s="5" t="n">
        <v>0</v>
      </c>
      <c r="BP349" s="5" t="n">
        <v>0</v>
      </c>
      <c r="BQ349" s="5" t="n">
        <v>0.17</v>
      </c>
      <c r="BR349" s="5" t="n">
        <v>0</v>
      </c>
      <c r="BS349" s="5" t="n">
        <v>1</v>
      </c>
      <c r="BT349" s="5" t="n">
        <v>0</v>
      </c>
      <c r="BU349" s="5" t="n">
        <v>0</v>
      </c>
      <c r="BV349" s="5" t="n">
        <v>0.116</v>
      </c>
      <c r="BW349" s="5" t="n">
        <v>0</v>
      </c>
      <c r="BX349" s="5" t="n">
        <v>1</v>
      </c>
      <c r="BY349" s="5" t="n">
        <v>13.646</v>
      </c>
      <c r="BZ349" s="5" t="n">
        <v>0</v>
      </c>
      <c r="CA349" s="5" t="n">
        <v>13.646</v>
      </c>
      <c r="CB349" s="5" t="n">
        <v>0</v>
      </c>
      <c r="CC349" s="5" t="n">
        <v>82.58799999999999</v>
      </c>
      <c r="CD349" s="5" t="n">
        <v>7.95</v>
      </c>
      <c r="CE349" s="5" t="n">
        <v>104.709</v>
      </c>
      <c r="CF349" s="5" t="n">
        <v>187.297</v>
      </c>
      <c r="CG349" s="5" t="n">
        <v>0</v>
      </c>
      <c r="CH349" s="5" t="n">
        <v>1</v>
      </c>
      <c r="CI349" s="5" t="n">
        <v>0</v>
      </c>
      <c r="CJ349" s="5" t="n">
        <v>0</v>
      </c>
      <c r="CK349" s="5" t="n">
        <v>0</v>
      </c>
      <c r="CL349" s="5" t="n">
        <v>0</v>
      </c>
      <c r="CM349" s="5" t="n">
        <v>0</v>
      </c>
      <c r="CN349" s="5" t="n">
        <v>0</v>
      </c>
      <c r="CO349" s="5" t="n">
        <v>0</v>
      </c>
      <c r="CP349" s="5" t="n">
        <v>0</v>
      </c>
      <c r="CQ349" s="5" t="n">
        <v>1.387</v>
      </c>
      <c r="CR349" s="5" t="n">
        <v>0</v>
      </c>
      <c r="CS349" s="5" t="n">
        <v>5.529</v>
      </c>
      <c r="CT349" s="5" t="n">
        <v>4.251</v>
      </c>
      <c r="CU349" s="5" t="n">
        <v>10.123</v>
      </c>
    </row>
    <row r="350">
      <c r="A350" s="5" t="inlineStr">
        <is>
          <t>HND2021</t>
        </is>
      </c>
      <c r="B350" s="5" t="inlineStr">
        <is>
          <t>HND</t>
        </is>
      </c>
      <c r="C350" s="5" t="inlineStr">
        <is>
          <t>HND</t>
        </is>
      </c>
      <c r="D350" s="5" t="inlineStr">
        <is>
          <t>Honduras</t>
        </is>
      </c>
      <c r="E350" s="5" t="n">
        <v>2021</v>
      </c>
      <c r="F350" s="5" t="n">
        <v>0.15</v>
      </c>
      <c r="G350" s="5" t="n">
        <v>5.897</v>
      </c>
      <c r="H350" s="5" t="n">
        <v>1.143</v>
      </c>
      <c r="I350" s="5" t="n">
        <v>0</v>
      </c>
      <c r="J350" s="5" t="n">
        <v>5.897</v>
      </c>
      <c r="K350" s="5" t="n">
        <v>0</v>
      </c>
      <c r="L350" s="5" t="n">
        <v>1</v>
      </c>
      <c r="M350" s="5" t="n">
        <v>7.964</v>
      </c>
      <c r="N350" s="5" t="n">
        <v>3.43</v>
      </c>
      <c r="O350" s="5" t="n">
        <v>0</v>
      </c>
      <c r="P350" s="5" t="n">
        <v>7.964</v>
      </c>
      <c r="Q350" s="5" t="n">
        <v>0</v>
      </c>
      <c r="R350" s="5" t="n">
        <v>1</v>
      </c>
      <c r="S350" s="5" t="n">
        <v>11.613</v>
      </c>
      <c r="T350" s="5" t="n">
        <v>6.86</v>
      </c>
      <c r="U350" s="5" t="n">
        <v>0</v>
      </c>
      <c r="V350" s="5" t="n">
        <v>13.355</v>
      </c>
      <c r="W350" s="5" t="n">
        <v>0.15</v>
      </c>
      <c r="X350" s="5" t="n">
        <v>1</v>
      </c>
      <c r="Y350" s="5" t="n">
        <v>4.284</v>
      </c>
      <c r="Z350" s="5" t="n">
        <v>0.576</v>
      </c>
      <c r="AA350" s="5" t="n">
        <v>0</v>
      </c>
      <c r="AB350" s="5" t="n">
        <v>4.284</v>
      </c>
      <c r="AC350" s="5" t="n">
        <v>0</v>
      </c>
      <c r="AD350" s="5" t="n">
        <v>1</v>
      </c>
      <c r="AE350" s="5" t="n">
        <v>5.427</v>
      </c>
      <c r="AF350" s="5" t="n">
        <v>1.271</v>
      </c>
      <c r="AG350" s="5" t="n">
        <v>0</v>
      </c>
      <c r="AH350" s="5" t="n">
        <v>5.427</v>
      </c>
      <c r="AI350" s="5" t="n">
        <v>0</v>
      </c>
      <c r="AJ350" s="5" t="n">
        <v>1</v>
      </c>
      <c r="AK350" s="5" t="n">
        <v>12.287</v>
      </c>
      <c r="AL350" s="5" t="n">
        <v>6.602</v>
      </c>
      <c r="AM350" s="5" t="n">
        <v>0</v>
      </c>
      <c r="AN350" s="5" t="n">
        <v>14.13</v>
      </c>
      <c r="AO350" s="5" t="n">
        <v>0.15</v>
      </c>
      <c r="AP350" s="5" t="n">
        <v>1</v>
      </c>
      <c r="AQ350" s="5" t="n">
        <v>0.649</v>
      </c>
      <c r="AR350" s="5" t="n">
        <v>0.114</v>
      </c>
      <c r="AS350" s="5" t="n">
        <v>0.361</v>
      </c>
      <c r="AT350" s="5" t="n">
        <v>1.01</v>
      </c>
      <c r="AU350" s="5" t="n">
        <v>0</v>
      </c>
      <c r="AV350" s="5" t="n">
        <v>1</v>
      </c>
      <c r="AW350" s="5" t="n">
        <v>0.577</v>
      </c>
      <c r="AX350" s="5" t="n">
        <v>0.114</v>
      </c>
      <c r="AY350" s="5" t="n">
        <v>0.308</v>
      </c>
      <c r="AZ350" s="5" t="n">
        <v>0.885</v>
      </c>
      <c r="BA350" s="5" t="n">
        <v>0</v>
      </c>
      <c r="BB350" s="5" t="n">
        <v>1</v>
      </c>
      <c r="BC350" s="5" t="n">
        <v>0.458</v>
      </c>
      <c r="BD350" s="5" t="n">
        <v>0.114</v>
      </c>
      <c r="BE350" s="5" t="n">
        <v>0.046</v>
      </c>
      <c r="BF350" s="5" t="n">
        <v>0.505</v>
      </c>
      <c r="BG350" s="5" t="n">
        <v>0</v>
      </c>
      <c r="BH350" s="5" t="n">
        <v>0</v>
      </c>
      <c r="BI350" s="5" t="n">
        <v>0.491</v>
      </c>
      <c r="BJ350" s="5" t="n">
        <v>0.114</v>
      </c>
      <c r="BK350" s="5" t="n">
        <v>0.178</v>
      </c>
      <c r="BL350" s="5" t="n">
        <v>0.669</v>
      </c>
      <c r="BM350" s="5" t="n">
        <v>0</v>
      </c>
      <c r="BN350" s="5" t="n">
        <v>1</v>
      </c>
      <c r="BO350" s="5" t="n">
        <v>0</v>
      </c>
      <c r="BP350" s="5" t="n">
        <v>0</v>
      </c>
      <c r="BQ350" s="5" t="n">
        <v>0.139</v>
      </c>
      <c r="BR350" s="5" t="n">
        <v>0</v>
      </c>
      <c r="BS350" s="5" t="n">
        <v>0.5</v>
      </c>
      <c r="BT350" s="5" t="n">
        <v>0</v>
      </c>
      <c r="BU350" s="5" t="n">
        <v>0</v>
      </c>
      <c r="BV350" s="5" t="n">
        <v>0.164</v>
      </c>
      <c r="BW350" s="5" t="n">
        <v>0</v>
      </c>
      <c r="BX350" s="5" t="n">
        <v>0.5</v>
      </c>
      <c r="BY350" s="5" t="n">
        <v>11.787</v>
      </c>
      <c r="BZ350" s="5" t="n">
        <v>0</v>
      </c>
      <c r="CA350" s="5" t="n">
        <v>11.787</v>
      </c>
      <c r="CB350" s="5" t="n">
        <v>0</v>
      </c>
      <c r="CC350" s="5" t="n">
        <v>78.125</v>
      </c>
      <c r="CD350" s="5" t="n">
        <v>7.95</v>
      </c>
      <c r="CE350" s="5" t="n">
        <v>0</v>
      </c>
      <c r="CF350" s="5" t="n">
        <v>89.84399999999999</v>
      </c>
      <c r="CG350" s="5" t="n">
        <v>0.15</v>
      </c>
      <c r="CH350" s="5" t="n">
        <v>1</v>
      </c>
      <c r="CI350" s="5" t="n">
        <v>0</v>
      </c>
      <c r="CJ350" s="5" t="n">
        <v>0</v>
      </c>
      <c r="CK350" s="5" t="n">
        <v>0</v>
      </c>
      <c r="CL350" s="5" t="n">
        <v>0</v>
      </c>
      <c r="CM350" s="5" t="n">
        <v>0</v>
      </c>
      <c r="CN350" s="5" t="n">
        <v>0</v>
      </c>
      <c r="CO350" s="5" t="n">
        <v>0</v>
      </c>
      <c r="CP350" s="5" t="n">
        <v>0</v>
      </c>
      <c r="CQ350" s="5" t="n">
        <v>1.198</v>
      </c>
      <c r="CR350" s="5" t="n">
        <v>0</v>
      </c>
      <c r="CS350" s="5" t="n">
        <v>4.776</v>
      </c>
      <c r="CT350" s="5" t="n">
        <v>4.753</v>
      </c>
      <c r="CU350" s="5" t="n">
        <v>15.983</v>
      </c>
    </row>
    <row r="351">
      <c r="A351" s="5" t="inlineStr">
        <is>
          <t>HND2022</t>
        </is>
      </c>
      <c r="B351" s="5" t="inlineStr">
        <is>
          <t>HND</t>
        </is>
      </c>
      <c r="C351" s="5" t="inlineStr">
        <is>
          <t>HND</t>
        </is>
      </c>
      <c r="D351" s="5" t="inlineStr">
        <is>
          <t>Honduras</t>
        </is>
      </c>
      <c r="E351" s="5" t="n">
        <v>2022</v>
      </c>
      <c r="F351" s="5" t="n">
        <v>0.15</v>
      </c>
      <c r="G351" s="5" t="n">
        <v>11.72</v>
      </c>
      <c r="H351" s="5" t="n">
        <v>1.235</v>
      </c>
      <c r="I351" s="5" t="n">
        <v>0</v>
      </c>
      <c r="J351" s="5" t="n">
        <v>11.72</v>
      </c>
      <c r="K351" s="5" t="n">
        <v>0</v>
      </c>
      <c r="L351" s="5" t="n">
        <v>1</v>
      </c>
      <c r="M351" s="5" t="n">
        <v>9.782999999999999</v>
      </c>
      <c r="N351" s="5" t="n">
        <v>3.704</v>
      </c>
      <c r="O351" s="5" t="n">
        <v>0</v>
      </c>
      <c r="P351" s="5" t="n">
        <v>9.782999999999999</v>
      </c>
      <c r="Q351" s="5" t="n">
        <v>0</v>
      </c>
      <c r="R351" s="5" t="n">
        <v>1</v>
      </c>
      <c r="S351" s="5" t="n">
        <v>17.893</v>
      </c>
      <c r="T351" s="5" t="n">
        <v>7.408</v>
      </c>
      <c r="U351" s="5" t="n">
        <v>0.199</v>
      </c>
      <c r="V351" s="5" t="n">
        <v>20.577</v>
      </c>
      <c r="W351" s="5" t="n">
        <v>0.15</v>
      </c>
      <c r="X351" s="5" t="n">
        <v>1</v>
      </c>
      <c r="Y351" s="5" t="n">
        <v>4.627</v>
      </c>
      <c r="Z351" s="5" t="n">
        <v>0.622</v>
      </c>
      <c r="AA351" s="5" t="n">
        <v>0</v>
      </c>
      <c r="AB351" s="5" t="n">
        <v>4.627</v>
      </c>
      <c r="AC351" s="5" t="n">
        <v>0</v>
      </c>
      <c r="AD351" s="5" t="n">
        <v>1</v>
      </c>
      <c r="AE351" s="5" t="n">
        <v>5.861</v>
      </c>
      <c r="AF351" s="5" t="n">
        <v>1.373</v>
      </c>
      <c r="AG351" s="5" t="n">
        <v>0</v>
      </c>
      <c r="AH351" s="5" t="n">
        <v>5.861</v>
      </c>
      <c r="AI351" s="5" t="n">
        <v>0</v>
      </c>
      <c r="AJ351" s="5" t="n">
        <v>1</v>
      </c>
      <c r="AK351" s="5" t="n">
        <v>13.269</v>
      </c>
      <c r="AL351" s="5" t="n">
        <v>7.13</v>
      </c>
      <c r="AM351" s="5" t="n">
        <v>0.147</v>
      </c>
      <c r="AN351" s="5" t="n">
        <v>15.26</v>
      </c>
      <c r="AO351" s="5" t="n">
        <v>0.15</v>
      </c>
      <c r="AP351" s="5" t="n">
        <v>1</v>
      </c>
      <c r="AQ351" s="5" t="n">
        <v>0.896</v>
      </c>
      <c r="AR351" s="5" t="n">
        <v>0.123</v>
      </c>
      <c r="AS351" s="5" t="n">
        <v>0.269</v>
      </c>
      <c r="AT351" s="5" t="n">
        <v>1.165</v>
      </c>
      <c r="AU351" s="5" t="n">
        <v>0</v>
      </c>
      <c r="AV351" s="5" t="n">
        <v>1</v>
      </c>
      <c r="AW351" s="5" t="n">
        <v>0.89</v>
      </c>
      <c r="AX351" s="5" t="n">
        <v>0.123</v>
      </c>
      <c r="AY351" s="5" t="n">
        <v>0.309</v>
      </c>
      <c r="AZ351" s="5" t="n">
        <v>1.199</v>
      </c>
      <c r="BA351" s="5" t="n">
        <v>0</v>
      </c>
      <c r="BB351" s="5" t="n">
        <v>1</v>
      </c>
      <c r="BC351" s="5" t="n">
        <v>0.62</v>
      </c>
      <c r="BD351" s="5" t="n">
        <v>0.123</v>
      </c>
      <c r="BE351" s="5" t="n">
        <v>-0.109</v>
      </c>
      <c r="BF351" s="5" t="n">
        <v>0.512</v>
      </c>
      <c r="BG351" s="5" t="n">
        <v>0</v>
      </c>
      <c r="BH351" s="5" t="n">
        <v>0</v>
      </c>
      <c r="BI351" s="5" t="n">
        <v>0.608</v>
      </c>
      <c r="BJ351" s="5" t="n">
        <v>0.123</v>
      </c>
      <c r="BK351" s="5" t="n">
        <v>0.471</v>
      </c>
      <c r="BL351" s="5" t="n">
        <v>1.079</v>
      </c>
      <c r="BM351" s="5" t="n">
        <v>0</v>
      </c>
      <c r="BN351" s="5" t="n">
        <v>1</v>
      </c>
      <c r="BO351" s="5" t="n">
        <v>0</v>
      </c>
      <c r="BP351" s="5" t="n">
        <v>0</v>
      </c>
      <c r="BQ351" s="5" t="n">
        <v>0.136</v>
      </c>
      <c r="BR351" s="5" t="n">
        <v>0</v>
      </c>
      <c r="BS351" s="5" t="n">
        <v>0.5</v>
      </c>
      <c r="BT351" s="5" t="n">
        <v>0</v>
      </c>
      <c r="BU351" s="5" t="n">
        <v>0</v>
      </c>
      <c r="BV351" s="5" t="n">
        <v>0.161</v>
      </c>
      <c r="BW351" s="5" t="n">
        <v>0</v>
      </c>
      <c r="BX351" s="5" t="n">
        <v>0.5</v>
      </c>
      <c r="BY351" s="5" t="n">
        <v>12.729</v>
      </c>
      <c r="BZ351" s="5" t="n">
        <v>0</v>
      </c>
      <c r="CA351" s="5" t="n">
        <v>12.729</v>
      </c>
      <c r="CB351" s="5" t="n">
        <v>0</v>
      </c>
      <c r="CC351" s="5" t="n">
        <v>97.90000000000001</v>
      </c>
      <c r="CD351" s="5" t="n">
        <v>7.95</v>
      </c>
      <c r="CE351" s="5" t="n">
        <v>1.087</v>
      </c>
      <c r="CF351" s="5" t="n">
        <v>112.585</v>
      </c>
      <c r="CG351" s="5" t="n">
        <v>0.15</v>
      </c>
      <c r="CH351" s="5" t="n">
        <v>1</v>
      </c>
      <c r="CI351" s="5" t="n">
        <v>0</v>
      </c>
      <c r="CJ351" s="5" t="n">
        <v>0</v>
      </c>
      <c r="CK351" s="5" t="n">
        <v>0</v>
      </c>
      <c r="CL351" s="5" t="n">
        <v>0</v>
      </c>
      <c r="CM351" s="5" t="n">
        <v>0</v>
      </c>
      <c r="CN351" s="5" t="n">
        <v>0</v>
      </c>
      <c r="CO351" s="5" t="n">
        <v>0</v>
      </c>
      <c r="CP351" s="5" t="n">
        <v>0</v>
      </c>
      <c r="CQ351" s="5" t="n">
        <v>1.294</v>
      </c>
      <c r="CR351" s="5" t="n">
        <v>0</v>
      </c>
      <c r="CS351" s="5" t="n">
        <v>5.158</v>
      </c>
      <c r="CT351" s="5" t="n">
        <v>10.485</v>
      </c>
      <c r="CU351" s="5" t="n">
        <v>29.494</v>
      </c>
    </row>
    <row r="352">
      <c r="A352" s="5" t="inlineStr">
        <is>
          <t>HND2023</t>
        </is>
      </c>
      <c r="B352" s="5" t="inlineStr">
        <is>
          <t>HND</t>
        </is>
      </c>
      <c r="C352" s="5" t="inlineStr">
        <is>
          <t>HND</t>
        </is>
      </c>
      <c r="D352" s="5" t="inlineStr">
        <is>
          <t>Honduras</t>
        </is>
      </c>
      <c r="E352" s="5" t="n">
        <v>2023</v>
      </c>
      <c r="F352" s="5" t="n">
        <v>0.15</v>
      </c>
      <c r="G352" s="5" t="n">
        <v>6.147</v>
      </c>
      <c r="H352" s="5" t="n">
        <v>1.286</v>
      </c>
      <c r="I352" s="5" t="n">
        <v>0</v>
      </c>
      <c r="J352" s="5" t="n">
        <v>6.147</v>
      </c>
      <c r="K352" s="5" t="n">
        <v>0</v>
      </c>
      <c r="L352" s="5" t="n">
        <v>1</v>
      </c>
      <c r="M352" s="5" t="n">
        <v>7.886</v>
      </c>
      <c r="N352" s="5" t="n">
        <v>3.857</v>
      </c>
      <c r="O352" s="5" t="n">
        <v>0</v>
      </c>
      <c r="P352" s="5" t="n">
        <v>7.886</v>
      </c>
      <c r="Q352" s="5" t="n">
        <v>0</v>
      </c>
      <c r="R352" s="5" t="n">
        <v>1</v>
      </c>
      <c r="S352" s="5" t="n">
        <v>12.575</v>
      </c>
      <c r="T352" s="5" t="n">
        <v>7.714</v>
      </c>
      <c r="U352" s="5" t="n">
        <v>0.209</v>
      </c>
      <c r="V352" s="5" t="n">
        <v>14.461</v>
      </c>
      <c r="W352" s="5" t="n">
        <v>0.15</v>
      </c>
      <c r="X352" s="5" t="n">
        <v>1</v>
      </c>
      <c r="Y352" s="5" t="n">
        <v>4.818</v>
      </c>
      <c r="Z352" s="5" t="n">
        <v>0.648</v>
      </c>
      <c r="AA352" s="5" t="n">
        <v>0</v>
      </c>
      <c r="AB352" s="5" t="n">
        <v>4.818</v>
      </c>
      <c r="AC352" s="5" t="n">
        <v>0</v>
      </c>
      <c r="AD352" s="5" t="n">
        <v>1</v>
      </c>
      <c r="AE352" s="5" t="n">
        <v>6.103</v>
      </c>
      <c r="AF352" s="5" t="n">
        <v>1.429</v>
      </c>
      <c r="AG352" s="5" t="n">
        <v>0</v>
      </c>
      <c r="AH352" s="5" t="n">
        <v>6.103</v>
      </c>
      <c r="AI352" s="5" t="n">
        <v>0</v>
      </c>
      <c r="AJ352" s="5" t="n">
        <v>1</v>
      </c>
      <c r="AK352" s="5" t="n">
        <v>13.817</v>
      </c>
      <c r="AL352" s="5" t="n">
        <v>7.424</v>
      </c>
      <c r="AM352" s="5" t="n">
        <v>0.229</v>
      </c>
      <c r="AN352" s="5" t="n">
        <v>15.89</v>
      </c>
      <c r="AO352" s="5" t="n">
        <v>0.15</v>
      </c>
      <c r="AP352" s="5" t="n">
        <v>1</v>
      </c>
      <c r="AQ352" s="5" t="n">
        <v>0.791</v>
      </c>
      <c r="AR352" s="5" t="n">
        <v>0.129</v>
      </c>
      <c r="AS352" s="5" t="n">
        <v>0.28</v>
      </c>
      <c r="AT352" s="5" t="n">
        <v>1.071</v>
      </c>
      <c r="AU352" s="5" t="n">
        <v>0</v>
      </c>
      <c r="AV352" s="5" t="n">
        <v>1</v>
      </c>
      <c r="AW352" s="5" t="n">
        <v>0.618</v>
      </c>
      <c r="AX352" s="5" t="n">
        <v>0.129</v>
      </c>
      <c r="AY352" s="5" t="n">
        <v>0.389</v>
      </c>
      <c r="AZ352" s="5" t="n">
        <v>1.007</v>
      </c>
      <c r="BA352" s="5" t="n">
        <v>0</v>
      </c>
      <c r="BB352" s="5" t="n">
        <v>1</v>
      </c>
      <c r="BC352" s="5" t="n">
        <v>0.554</v>
      </c>
      <c r="BD352" s="5" t="n">
        <v>0.129</v>
      </c>
      <c r="BE352" s="5" t="n">
        <v>-0.08</v>
      </c>
      <c r="BF352" s="5" t="n">
        <v>0.474</v>
      </c>
      <c r="BG352" s="5" t="n">
        <v>0</v>
      </c>
      <c r="BH352" s="5" t="n">
        <v>0</v>
      </c>
      <c r="BI352" s="5" t="n">
        <v>0.5570000000000001</v>
      </c>
      <c r="BJ352" s="5" t="n">
        <v>0.129</v>
      </c>
      <c r="BK352" s="5" t="n">
        <v>0.381</v>
      </c>
      <c r="BL352" s="5" t="n">
        <v>0.9389999999999999</v>
      </c>
      <c r="BM352" s="5" t="n">
        <v>0</v>
      </c>
      <c r="BN352" s="5" t="n">
        <v>1</v>
      </c>
      <c r="BO352" s="5" t="n">
        <v>0</v>
      </c>
      <c r="BP352" s="5" t="n">
        <v>0</v>
      </c>
      <c r="BQ352" s="5" t="n">
        <v>0.194</v>
      </c>
      <c r="BR352" s="5" t="n">
        <v>0</v>
      </c>
      <c r="BS352" s="5" t="n">
        <v>0.5</v>
      </c>
      <c r="BT352" s="5" t="n">
        <v>0</v>
      </c>
      <c r="BU352" s="5" t="n">
        <v>0</v>
      </c>
      <c r="BV352" s="5" t="n">
        <v>0.184</v>
      </c>
      <c r="BW352" s="5" t="n">
        <v>0</v>
      </c>
      <c r="BX352" s="5" t="n">
        <v>0.5</v>
      </c>
      <c r="BY352" s="5" t="n">
        <v>13.254</v>
      </c>
      <c r="BZ352" s="5" t="n">
        <v>0</v>
      </c>
      <c r="CA352" s="5" t="n">
        <v>13.254</v>
      </c>
      <c r="CB352" s="5" t="n">
        <v>0</v>
      </c>
      <c r="CC352" s="5" t="n">
        <v>83.248</v>
      </c>
      <c r="CD352" s="5" t="n">
        <v>7.95</v>
      </c>
      <c r="CE352" s="5" t="n">
        <v>1.383</v>
      </c>
      <c r="CF352" s="5" t="n">
        <v>95.735</v>
      </c>
      <c r="CG352" s="5" t="n">
        <v>0.15</v>
      </c>
      <c r="CH352" s="5" t="n">
        <v>1</v>
      </c>
      <c r="CI352" s="5" t="n">
        <v>0</v>
      </c>
      <c r="CJ352" s="5" t="n">
        <v>0</v>
      </c>
      <c r="CK352" s="5" t="n">
        <v>0</v>
      </c>
      <c r="CL352" s="5" t="n">
        <v>0</v>
      </c>
      <c r="CM352" s="5" t="n">
        <v>0</v>
      </c>
      <c r="CN352" s="5" t="n">
        <v>0</v>
      </c>
      <c r="CO352" s="5" t="n">
        <v>0</v>
      </c>
      <c r="CP352" s="5" t="n">
        <v>0</v>
      </c>
      <c r="CQ352" s="5" t="n">
        <v>1.348</v>
      </c>
      <c r="CR352" s="5" t="n">
        <v>0</v>
      </c>
      <c r="CS352" s="5" t="n">
        <v>5.37</v>
      </c>
      <c r="CT352" s="5" t="n">
        <v>4.861</v>
      </c>
      <c r="CU352" s="5" t="n">
        <v>11.192</v>
      </c>
    </row>
    <row r="353">
      <c r="A353" s="5" t="inlineStr">
        <is>
          <t>HND2024</t>
        </is>
      </c>
      <c r="B353" s="5" t="inlineStr">
        <is>
          <t>HND</t>
        </is>
      </c>
      <c r="C353" s="5" t="inlineStr">
        <is>
          <t>HND</t>
        </is>
      </c>
      <c r="D353" s="5" t="inlineStr">
        <is>
          <t>Honduras</t>
        </is>
      </c>
      <c r="E353" s="5" t="n">
        <v>2024</v>
      </c>
      <c r="F353" s="5" t="n">
        <v>0.15</v>
      </c>
      <c r="G353" s="5" t="n">
        <v>5.575</v>
      </c>
      <c r="H353" s="5" t="n">
        <v>1.324</v>
      </c>
      <c r="I353" s="5" t="n">
        <v>0</v>
      </c>
      <c r="J353" s="5" t="n">
        <v>5.575</v>
      </c>
      <c r="K353" s="5" t="n">
        <v>0</v>
      </c>
      <c r="L353" s="5" t="n">
        <v>1</v>
      </c>
      <c r="M353" s="5" t="n">
        <v>7.124</v>
      </c>
      <c r="N353" s="5" t="n">
        <v>3.971</v>
      </c>
      <c r="O353" s="5" t="n">
        <v>0</v>
      </c>
      <c r="P353" s="5" t="n">
        <v>7.124</v>
      </c>
      <c r="Q353" s="5" t="n">
        <v>0</v>
      </c>
      <c r="R353" s="5" t="n">
        <v>1</v>
      </c>
      <c r="S353" s="5" t="n">
        <v>12.193</v>
      </c>
      <c r="T353" s="5" t="n">
        <v>7.942</v>
      </c>
      <c r="U353" s="5" t="n">
        <v>0.249</v>
      </c>
      <c r="V353" s="5" t="n">
        <v>14.022</v>
      </c>
      <c r="W353" s="5" t="n">
        <v>0.15</v>
      </c>
      <c r="X353" s="5" t="n">
        <v>1</v>
      </c>
      <c r="Y353" s="5" t="n">
        <v>4.96</v>
      </c>
      <c r="Z353" s="5" t="n">
        <v>0.667</v>
      </c>
      <c r="AA353" s="5" t="n">
        <v>0</v>
      </c>
      <c r="AB353" s="5" t="n">
        <v>4.96</v>
      </c>
      <c r="AC353" s="5" t="n">
        <v>0</v>
      </c>
      <c r="AD353" s="5" t="n">
        <v>1</v>
      </c>
      <c r="AE353" s="5" t="n">
        <v>6.283</v>
      </c>
      <c r="AF353" s="5" t="n">
        <v>1.471</v>
      </c>
      <c r="AG353" s="5" t="n">
        <v>0</v>
      </c>
      <c r="AH353" s="5" t="n">
        <v>6.283</v>
      </c>
      <c r="AI353" s="5" t="n">
        <v>0</v>
      </c>
      <c r="AJ353" s="5" t="n">
        <v>1</v>
      </c>
      <c r="AK353" s="5" t="n">
        <v>14.225</v>
      </c>
      <c r="AL353" s="5" t="n">
        <v>7.643</v>
      </c>
      <c r="AM353" s="5" t="n">
        <v>0.291</v>
      </c>
      <c r="AN353" s="5" t="n">
        <v>16.359</v>
      </c>
      <c r="AO353" s="5" t="n">
        <v>0.15</v>
      </c>
      <c r="AP353" s="5" t="n">
        <v>1</v>
      </c>
      <c r="AQ353" s="5" t="n">
        <v>0.756</v>
      </c>
      <c r="AR353" s="5" t="n">
        <v>0.132</v>
      </c>
      <c r="AS353" s="5" t="n">
        <v>0.26</v>
      </c>
      <c r="AT353" s="5" t="n">
        <v>1.016</v>
      </c>
      <c r="AU353" s="5" t="n">
        <v>0</v>
      </c>
      <c r="AV353" s="5" t="n">
        <v>1</v>
      </c>
      <c r="AW353" s="5" t="n">
        <v>0.655</v>
      </c>
      <c r="AX353" s="5" t="n">
        <v>0.132</v>
      </c>
      <c r="AY353" s="5" t="n">
        <v>0.27</v>
      </c>
      <c r="AZ353" s="5" t="n">
        <v>0.926</v>
      </c>
      <c r="BA353" s="5" t="n">
        <v>0</v>
      </c>
      <c r="BB353" s="5" t="n">
        <v>1</v>
      </c>
      <c r="BC353" s="5" t="n">
        <v>0.534</v>
      </c>
      <c r="BD353" s="5" t="n">
        <v>0.132</v>
      </c>
      <c r="BE353" s="5" t="n">
        <v>-0.055</v>
      </c>
      <c r="BF353" s="5" t="n">
        <v>0.479</v>
      </c>
      <c r="BG353" s="5" t="n">
        <v>0</v>
      </c>
      <c r="BH353" s="5" t="n">
        <v>0</v>
      </c>
      <c r="BI353" s="5" t="n">
        <v>0.5679999999999999</v>
      </c>
      <c r="BJ353" s="5" t="n">
        <v>0.132</v>
      </c>
      <c r="BK353" s="5" t="n">
        <v>0.282</v>
      </c>
      <c r="BL353" s="5" t="n">
        <v>0.85</v>
      </c>
      <c r="BM353" s="5" t="n">
        <v>0</v>
      </c>
      <c r="BN353" s="5" t="n">
        <v>1</v>
      </c>
      <c r="BO353" s="5" t="n">
        <v>0</v>
      </c>
      <c r="BP353" s="5" t="n">
        <v>0</v>
      </c>
      <c r="BQ353" s="5" t="n">
        <v>0.177</v>
      </c>
      <c r="BR353" s="5" t="n">
        <v>0</v>
      </c>
      <c r="BS353" s="5" t="n">
        <v>0.5</v>
      </c>
      <c r="BT353" s="5" t="n">
        <v>0</v>
      </c>
      <c r="BU353" s="5" t="n">
        <v>0</v>
      </c>
      <c r="BV353" s="5" t="n">
        <v>0.21</v>
      </c>
      <c r="BW353" s="5" t="n">
        <v>0</v>
      </c>
      <c r="BX353" s="5" t="n">
        <v>0.5</v>
      </c>
      <c r="BY353" s="5" t="n">
        <v>13.646</v>
      </c>
      <c r="BZ353" s="5" t="n">
        <v>0</v>
      </c>
      <c r="CA353" s="5" t="n">
        <v>13.646</v>
      </c>
      <c r="CB353" s="5" t="n">
        <v>0</v>
      </c>
      <c r="CC353" s="5" t="n">
        <v>82.58799999999999</v>
      </c>
      <c r="CD353" s="5" t="n">
        <v>7.95</v>
      </c>
      <c r="CE353" s="5" t="n">
        <v>1.687</v>
      </c>
      <c r="CF353" s="5" t="n">
        <v>94.976</v>
      </c>
      <c r="CG353" s="5" t="n">
        <v>0.15</v>
      </c>
      <c r="CH353" s="5" t="n">
        <v>1</v>
      </c>
      <c r="CI353" s="5" t="n">
        <v>0</v>
      </c>
      <c r="CJ353" s="5" t="n">
        <v>0</v>
      </c>
      <c r="CK353" s="5" t="n">
        <v>0</v>
      </c>
      <c r="CL353" s="5" t="n">
        <v>0</v>
      </c>
      <c r="CM353" s="5" t="n">
        <v>0</v>
      </c>
      <c r="CN353" s="5" t="n">
        <v>0</v>
      </c>
      <c r="CO353" s="5" t="n">
        <v>0</v>
      </c>
      <c r="CP353" s="5" t="n">
        <v>0</v>
      </c>
      <c r="CQ353" s="5" t="n">
        <v>1.387</v>
      </c>
      <c r="CR353" s="5" t="n">
        <v>0</v>
      </c>
      <c r="CS353" s="5" t="n">
        <v>5.529</v>
      </c>
      <c r="CT353" s="5" t="n">
        <v>4.251</v>
      </c>
      <c r="CU353" s="5" t="n">
        <v>10.123</v>
      </c>
    </row>
    <row r="354">
      <c r="A354" s="5" t="inlineStr">
        <is>
          <t>HKG2021</t>
        </is>
      </c>
      <c r="B354" s="5" t="inlineStr">
        <is>
          <t>HKG</t>
        </is>
      </c>
      <c r="C354" s="5" t="inlineStr">
        <is>
          <t>HKG</t>
        </is>
      </c>
      <c r="D354" s="5" t="inlineStr">
        <is>
          <t>Hong Kong SAR</t>
        </is>
      </c>
      <c r="E354" s="5" t="n">
        <v>2021</v>
      </c>
      <c r="F354" s="5" t="n">
        <v>0</v>
      </c>
      <c r="G354" s="5" t="n">
        <v>4.747</v>
      </c>
      <c r="H354" s="5" t="n">
        <v>1.143</v>
      </c>
      <c r="I354" s="5" t="n">
        <v>0</v>
      </c>
      <c r="J354" s="5" t="n">
        <v>4.747</v>
      </c>
      <c r="K354" s="5" t="n">
        <v>0</v>
      </c>
      <c r="L354" s="5" t="n">
        <v>1</v>
      </c>
      <c r="M354" s="5" t="n">
        <v>7.964</v>
      </c>
      <c r="N354" s="5" t="n">
        <v>3.43</v>
      </c>
      <c r="O354" s="5" t="n">
        <v>0</v>
      </c>
      <c r="P354" s="5" t="n">
        <v>7.964</v>
      </c>
      <c r="Q354" s="5" t="n">
        <v>0</v>
      </c>
      <c r="R354" s="5" t="n">
        <v>1</v>
      </c>
      <c r="S354" s="5" t="n">
        <v>10.464</v>
      </c>
      <c r="T354" s="5" t="n">
        <v>6.86</v>
      </c>
      <c r="U354" s="5" t="n">
        <v>0</v>
      </c>
      <c r="V354" s="5" t="n">
        <v>10.464</v>
      </c>
      <c r="W354" s="5" t="n">
        <v>0</v>
      </c>
      <c r="X354" s="5" t="n">
        <v>1</v>
      </c>
      <c r="Y354" s="5" t="n">
        <v>39.729</v>
      </c>
      <c r="Z354" s="5" t="n">
        <v>4.388</v>
      </c>
      <c r="AA354" s="5" t="n">
        <v>-2.984</v>
      </c>
      <c r="AB354" s="5" t="n">
        <v>36.745</v>
      </c>
      <c r="AC354" s="5" t="n">
        <v>0</v>
      </c>
      <c r="AD354" s="5" t="n">
        <v>1</v>
      </c>
      <c r="AE354" s="5" t="n">
        <v>39.686</v>
      </c>
      <c r="AF354" s="5" t="n">
        <v>7.809</v>
      </c>
      <c r="AG354" s="5" t="n">
        <v>-2.941</v>
      </c>
      <c r="AH354" s="5" t="n">
        <v>36.745</v>
      </c>
      <c r="AI354" s="5" t="n">
        <v>0</v>
      </c>
      <c r="AJ354" s="5" t="n">
        <v>1</v>
      </c>
      <c r="AK354" s="5" t="n">
        <v>44.125</v>
      </c>
      <c r="AL354" s="5" t="n">
        <v>21.657</v>
      </c>
      <c r="AM354" s="5" t="n">
        <v>-6.361</v>
      </c>
      <c r="AN354" s="5" t="n">
        <v>37.763</v>
      </c>
      <c r="AO354" s="5" t="n">
        <v>0</v>
      </c>
      <c r="AP354" s="5" t="n">
        <v>1</v>
      </c>
      <c r="AQ354" s="5" t="n">
        <v>0.621</v>
      </c>
      <c r="AR354" s="5" t="n">
        <v>0.114</v>
      </c>
      <c r="AS354" s="5" t="n">
        <v>1.889</v>
      </c>
      <c r="AT354" s="5" t="n">
        <v>2.51</v>
      </c>
      <c r="AU354" s="5" t="n">
        <v>0</v>
      </c>
      <c r="AV354" s="5" t="n">
        <v>1</v>
      </c>
      <c r="AW354" s="5" t="n">
        <v>0.593</v>
      </c>
      <c r="AX354" s="5" t="n">
        <v>0.114</v>
      </c>
      <c r="AY354" s="5" t="n">
        <v>1.54</v>
      </c>
      <c r="AZ354" s="5" t="n">
        <v>2.133</v>
      </c>
      <c r="BA354" s="5" t="n">
        <v>0</v>
      </c>
      <c r="BB354" s="5" t="n">
        <v>1</v>
      </c>
      <c r="BC354" s="5" t="n">
        <v>0.44</v>
      </c>
      <c r="BD354" s="5" t="n">
        <v>0.114</v>
      </c>
      <c r="BE354" s="5" t="n">
        <v>1.705</v>
      </c>
      <c r="BF354" s="5" t="n">
        <v>2.145</v>
      </c>
      <c r="BG354" s="5" t="n">
        <v>0</v>
      </c>
      <c r="BH354" s="5" t="n">
        <v>1</v>
      </c>
      <c r="BI354" s="5" t="n">
        <v>0.5600000000000001</v>
      </c>
      <c r="BJ354" s="5" t="n">
        <v>0.114</v>
      </c>
      <c r="BK354" s="5" t="n">
        <v>0</v>
      </c>
      <c r="BL354" s="5" t="n">
        <v>0.5600000000000001</v>
      </c>
      <c r="BM354" s="5" t="n">
        <v>0</v>
      </c>
      <c r="BN354" s="5" t="n">
        <v>1</v>
      </c>
      <c r="BO354" s="5" t="n">
        <v>0</v>
      </c>
      <c r="BP354" s="5" t="n">
        <v>0</v>
      </c>
      <c r="BQ354" s="5" t="n">
        <v>0.15</v>
      </c>
      <c r="BR354" s="5" t="n">
        <v>0</v>
      </c>
      <c r="BS354" s="5" t="n">
        <v>0.833</v>
      </c>
      <c r="BT354" s="5" t="n">
        <v>0</v>
      </c>
      <c r="BU354" s="5" t="n">
        <v>0</v>
      </c>
      <c r="BV354" s="5" t="n">
        <v>0.152</v>
      </c>
      <c r="BW354" s="5" t="n">
        <v>0</v>
      </c>
      <c r="BX354" s="5" t="n">
        <v>1</v>
      </c>
      <c r="BY354" s="5" t="n">
        <v>11.787</v>
      </c>
      <c r="BZ354" s="5" t="n">
        <v>0</v>
      </c>
      <c r="CA354" s="5" t="n">
        <v>11.787</v>
      </c>
      <c r="CB354" s="5" t="n">
        <v>0</v>
      </c>
      <c r="CC354" s="5" t="n">
        <v>81.69499999999999</v>
      </c>
      <c r="CD354" s="5" t="n">
        <v>7.95</v>
      </c>
      <c r="CE354" s="5" t="n">
        <v>0</v>
      </c>
      <c r="CF354" s="5" t="n">
        <v>81.69499999999999</v>
      </c>
      <c r="CG354" s="5" t="n">
        <v>0</v>
      </c>
      <c r="CH354" s="5" t="n">
        <v>1</v>
      </c>
      <c r="CI354" s="5" t="n">
        <v>0</v>
      </c>
      <c r="CJ354" s="5" t="n">
        <v>0</v>
      </c>
      <c r="CK354" s="5" t="n">
        <v>0</v>
      </c>
      <c r="CL354" s="5" t="n">
        <v>0</v>
      </c>
      <c r="CM354" s="5" t="n">
        <v>0</v>
      </c>
      <c r="CN354" s="5" t="n">
        <v>0</v>
      </c>
      <c r="CO354" s="5" t="n">
        <v>0</v>
      </c>
      <c r="CP354" s="5" t="n">
        <v>0</v>
      </c>
      <c r="CQ354" s="5" t="n">
        <v>1.198</v>
      </c>
      <c r="CR354" s="5" t="n">
        <v>0</v>
      </c>
      <c r="CS354" s="5" t="n">
        <v>4.776</v>
      </c>
      <c r="CT354" s="5" t="n">
        <v>3.604</v>
      </c>
      <c r="CU354" s="5" t="n">
        <v>9.127000000000001</v>
      </c>
    </row>
    <row r="355">
      <c r="A355" s="5" t="inlineStr">
        <is>
          <t>HKG2022</t>
        </is>
      </c>
      <c r="B355" s="5" t="inlineStr">
        <is>
          <t>HKG</t>
        </is>
      </c>
      <c r="C355" s="5" t="inlineStr">
        <is>
          <t>HKG</t>
        </is>
      </c>
      <c r="D355" s="5" t="inlineStr">
        <is>
          <t>Hong Kong SAR</t>
        </is>
      </c>
      <c r="E355" s="5" t="n">
        <v>2022</v>
      </c>
      <c r="F355" s="5" t="n">
        <v>0</v>
      </c>
      <c r="G355" s="5" t="n">
        <v>8.788</v>
      </c>
      <c r="H355" s="5" t="n">
        <v>1.235</v>
      </c>
      <c r="I355" s="5" t="n">
        <v>0</v>
      </c>
      <c r="J355" s="5" t="n">
        <v>8.788</v>
      </c>
      <c r="K355" s="5" t="n">
        <v>0</v>
      </c>
      <c r="L355" s="5" t="n">
        <v>1</v>
      </c>
      <c r="M355" s="5" t="n">
        <v>9.782999999999999</v>
      </c>
      <c r="N355" s="5" t="n">
        <v>3.704</v>
      </c>
      <c r="O355" s="5" t="n">
        <v>0</v>
      </c>
      <c r="P355" s="5" t="n">
        <v>9.782999999999999</v>
      </c>
      <c r="Q355" s="5" t="n">
        <v>0</v>
      </c>
      <c r="R355" s="5" t="n">
        <v>1</v>
      </c>
      <c r="S355" s="5" t="n">
        <v>14.962</v>
      </c>
      <c r="T355" s="5" t="n">
        <v>7.408</v>
      </c>
      <c r="U355" s="5" t="n">
        <v>0</v>
      </c>
      <c r="V355" s="5" t="n">
        <v>14.962</v>
      </c>
      <c r="W355" s="5" t="n">
        <v>0</v>
      </c>
      <c r="X355" s="5" t="n">
        <v>1</v>
      </c>
      <c r="Y355" s="5" t="n">
        <v>42.267</v>
      </c>
      <c r="Z355" s="5" t="n">
        <v>4.434</v>
      </c>
      <c r="AA355" s="5" t="n">
        <v>-2.985</v>
      </c>
      <c r="AB355" s="5" t="n">
        <v>39.283</v>
      </c>
      <c r="AC355" s="5" t="n">
        <v>0</v>
      </c>
      <c r="AD355" s="5" t="n">
        <v>1</v>
      </c>
      <c r="AE355" s="5" t="n">
        <v>42.315</v>
      </c>
      <c r="AF355" s="5" t="n">
        <v>7.844</v>
      </c>
      <c r="AG355" s="5" t="n">
        <v>-3.032</v>
      </c>
      <c r="AH355" s="5" t="n">
        <v>39.283</v>
      </c>
      <c r="AI355" s="5" t="n">
        <v>0</v>
      </c>
      <c r="AJ355" s="5" t="n">
        <v>1</v>
      </c>
      <c r="AK355" s="5" t="n">
        <v>47.254</v>
      </c>
      <c r="AL355" s="5" t="n">
        <v>22.566</v>
      </c>
      <c r="AM355" s="5" t="n">
        <v>-7.404</v>
      </c>
      <c r="AN355" s="5" t="n">
        <v>39.85</v>
      </c>
      <c r="AO355" s="5" t="n">
        <v>0</v>
      </c>
      <c r="AP355" s="5" t="n">
        <v>1</v>
      </c>
      <c r="AQ355" s="5" t="n">
        <v>0.847</v>
      </c>
      <c r="AR355" s="5" t="n">
        <v>0.123</v>
      </c>
      <c r="AS355" s="5" t="n">
        <v>2.052</v>
      </c>
      <c r="AT355" s="5" t="n">
        <v>2.899</v>
      </c>
      <c r="AU355" s="5" t="n">
        <v>0</v>
      </c>
      <c r="AV355" s="5" t="n">
        <v>1</v>
      </c>
      <c r="AW355" s="5" t="n">
        <v>0.947</v>
      </c>
      <c r="AX355" s="5" t="n">
        <v>0.123</v>
      </c>
      <c r="AY355" s="5" t="n">
        <v>1.685</v>
      </c>
      <c r="AZ355" s="5" t="n">
        <v>2.632</v>
      </c>
      <c r="BA355" s="5" t="n">
        <v>0</v>
      </c>
      <c r="BB355" s="5" t="n">
        <v>1</v>
      </c>
      <c r="BC355" s="5" t="n">
        <v>0.589</v>
      </c>
      <c r="BD355" s="5" t="n">
        <v>0.123</v>
      </c>
      <c r="BE355" s="5" t="n">
        <v>1.74</v>
      </c>
      <c r="BF355" s="5" t="n">
        <v>2.329</v>
      </c>
      <c r="BG355" s="5" t="n">
        <v>0</v>
      </c>
      <c r="BH355" s="5" t="n">
        <v>1</v>
      </c>
      <c r="BI355" s="5" t="n">
        <v>0.6889999999999999</v>
      </c>
      <c r="BJ355" s="5" t="n">
        <v>0.123</v>
      </c>
      <c r="BK355" s="5" t="n">
        <v>0</v>
      </c>
      <c r="BL355" s="5" t="n">
        <v>0.6889999999999999</v>
      </c>
      <c r="BM355" s="5" t="n">
        <v>0</v>
      </c>
      <c r="BN355" s="5" t="n">
        <v>1</v>
      </c>
      <c r="BO355" s="5" t="n">
        <v>0</v>
      </c>
      <c r="BP355" s="5" t="n">
        <v>0</v>
      </c>
      <c r="BQ355" s="5" t="n">
        <v>0.164</v>
      </c>
      <c r="BR355" s="5" t="n">
        <v>0</v>
      </c>
      <c r="BS355" s="5" t="n">
        <v>0.833</v>
      </c>
      <c r="BT355" s="5" t="n">
        <v>0</v>
      </c>
      <c r="BU355" s="5" t="n">
        <v>0</v>
      </c>
      <c r="BV355" s="5" t="n">
        <v>0.17</v>
      </c>
      <c r="BW355" s="5" t="n">
        <v>0</v>
      </c>
      <c r="BX355" s="5" t="n">
        <v>1</v>
      </c>
      <c r="BY355" s="5" t="n">
        <v>12.729</v>
      </c>
      <c r="BZ355" s="5" t="n">
        <v>0</v>
      </c>
      <c r="CA355" s="5" t="n">
        <v>12.729</v>
      </c>
      <c r="CB355" s="5" t="n">
        <v>0</v>
      </c>
      <c r="CC355" s="5" t="n">
        <v>102.477</v>
      </c>
      <c r="CD355" s="5" t="n">
        <v>7.95</v>
      </c>
      <c r="CE355" s="5" t="n">
        <v>0</v>
      </c>
      <c r="CF355" s="5" t="n">
        <v>102.477</v>
      </c>
      <c r="CG355" s="5" t="n">
        <v>0</v>
      </c>
      <c r="CH355" s="5" t="n">
        <v>1</v>
      </c>
      <c r="CI355" s="5" t="n">
        <v>0</v>
      </c>
      <c r="CJ355" s="5" t="n">
        <v>0</v>
      </c>
      <c r="CK355" s="5" t="n">
        <v>0</v>
      </c>
      <c r="CL355" s="5" t="n">
        <v>0</v>
      </c>
      <c r="CM355" s="5" t="n">
        <v>0</v>
      </c>
      <c r="CN355" s="5" t="n">
        <v>0</v>
      </c>
      <c r="CO355" s="5" t="n">
        <v>0</v>
      </c>
      <c r="CP355" s="5" t="n">
        <v>0</v>
      </c>
      <c r="CQ355" s="5" t="n">
        <v>1.294</v>
      </c>
      <c r="CR355" s="5" t="n">
        <v>0</v>
      </c>
      <c r="CS355" s="5" t="n">
        <v>5.158</v>
      </c>
      <c r="CT355" s="5" t="n">
        <v>7.554</v>
      </c>
      <c r="CU355" s="5" t="n">
        <v>11.574</v>
      </c>
    </row>
    <row r="356">
      <c r="A356" s="5" t="inlineStr">
        <is>
          <t>HKG2023</t>
        </is>
      </c>
      <c r="B356" s="5" t="inlineStr">
        <is>
          <t>HKG</t>
        </is>
      </c>
      <c r="C356" s="5" t="inlineStr">
        <is>
          <t>HKG</t>
        </is>
      </c>
      <c r="D356" s="5" t="inlineStr">
        <is>
          <t>Hong Kong SAR</t>
        </is>
      </c>
      <c r="E356" s="5" t="n">
        <v>2023</v>
      </c>
      <c r="F356" s="5" t="n">
        <v>0</v>
      </c>
      <c r="G356" s="5" t="n">
        <v>5.77</v>
      </c>
      <c r="H356" s="5" t="n">
        <v>1.286</v>
      </c>
      <c r="I356" s="5" t="n">
        <v>0</v>
      </c>
      <c r="J356" s="5" t="n">
        <v>5.77</v>
      </c>
      <c r="K356" s="5" t="n">
        <v>0</v>
      </c>
      <c r="L356" s="5" t="n">
        <v>1</v>
      </c>
      <c r="M356" s="5" t="n">
        <v>7.886</v>
      </c>
      <c r="N356" s="5" t="n">
        <v>3.857</v>
      </c>
      <c r="O356" s="5" t="n">
        <v>0</v>
      </c>
      <c r="P356" s="5" t="n">
        <v>7.886</v>
      </c>
      <c r="Q356" s="5" t="n">
        <v>0</v>
      </c>
      <c r="R356" s="5" t="n">
        <v>1</v>
      </c>
      <c r="S356" s="5" t="n">
        <v>12.198</v>
      </c>
      <c r="T356" s="5" t="n">
        <v>7.714</v>
      </c>
      <c r="U356" s="5" t="n">
        <v>0</v>
      </c>
      <c r="V356" s="5" t="n">
        <v>12.198</v>
      </c>
      <c r="W356" s="5" t="n">
        <v>0</v>
      </c>
      <c r="X356" s="5" t="n">
        <v>1</v>
      </c>
      <c r="Y356" s="5" t="n">
        <v>35.424</v>
      </c>
      <c r="Z356" s="5" t="n">
        <v>3.968</v>
      </c>
      <c r="AA356" s="5" t="n">
        <v>3.114</v>
      </c>
      <c r="AB356" s="5" t="n">
        <v>38.538</v>
      </c>
      <c r="AC356" s="5" t="n">
        <v>0</v>
      </c>
      <c r="AD356" s="5" t="n">
        <v>1</v>
      </c>
      <c r="AE356" s="5" t="n">
        <v>35.523</v>
      </c>
      <c r="AF356" s="5" t="n">
        <v>7.075</v>
      </c>
      <c r="AG356" s="5" t="n">
        <v>3.015</v>
      </c>
      <c r="AH356" s="5" t="n">
        <v>38.538</v>
      </c>
      <c r="AI356" s="5" t="n">
        <v>0</v>
      </c>
      <c r="AJ356" s="5" t="n">
        <v>1</v>
      </c>
      <c r="AK356" s="5" t="n">
        <v>40.666</v>
      </c>
      <c r="AL356" s="5" t="n">
        <v>20.145</v>
      </c>
      <c r="AM356" s="5" t="n">
        <v>-1.125</v>
      </c>
      <c r="AN356" s="5" t="n">
        <v>39.54</v>
      </c>
      <c r="AO356" s="5" t="n">
        <v>0</v>
      </c>
      <c r="AP356" s="5" t="n">
        <v>1</v>
      </c>
      <c r="AQ356" s="5" t="n">
        <v>0.749</v>
      </c>
      <c r="AR356" s="5" t="n">
        <v>0.129</v>
      </c>
      <c r="AS356" s="5" t="n">
        <v>2.268</v>
      </c>
      <c r="AT356" s="5" t="n">
        <v>3.016</v>
      </c>
      <c r="AU356" s="5" t="n">
        <v>0</v>
      </c>
      <c r="AV356" s="5" t="n">
        <v>1</v>
      </c>
      <c r="AW356" s="5" t="n">
        <v>0.783</v>
      </c>
      <c r="AX356" s="5" t="n">
        <v>0.129</v>
      </c>
      <c r="AY356" s="5" t="n">
        <v>1.983</v>
      </c>
      <c r="AZ356" s="5" t="n">
        <v>2.765</v>
      </c>
      <c r="BA356" s="5" t="n">
        <v>0</v>
      </c>
      <c r="BB356" s="5" t="n">
        <v>1</v>
      </c>
      <c r="BC356" s="5" t="n">
        <v>0.527</v>
      </c>
      <c r="BD356" s="5" t="n">
        <v>0.129</v>
      </c>
      <c r="BE356" s="5" t="n">
        <v>1.888</v>
      </c>
      <c r="BF356" s="5" t="n">
        <v>2.416</v>
      </c>
      <c r="BG356" s="5" t="n">
        <v>0</v>
      </c>
      <c r="BH356" s="5" t="n">
        <v>1</v>
      </c>
      <c r="BI356" s="5" t="n">
        <v>0.64</v>
      </c>
      <c r="BJ356" s="5" t="n">
        <v>0.129</v>
      </c>
      <c r="BK356" s="5" t="n">
        <v>0</v>
      </c>
      <c r="BL356" s="5" t="n">
        <v>0.64</v>
      </c>
      <c r="BM356" s="5" t="n">
        <v>0</v>
      </c>
      <c r="BN356" s="5" t="n">
        <v>1</v>
      </c>
      <c r="BO356" s="5" t="n">
        <v>0</v>
      </c>
      <c r="BP356" s="5" t="n">
        <v>0</v>
      </c>
      <c r="BQ356" s="5" t="n">
        <v>0.184</v>
      </c>
      <c r="BR356" s="5" t="n">
        <v>0</v>
      </c>
      <c r="BS356" s="5" t="n">
        <v>0.833</v>
      </c>
      <c r="BT356" s="5" t="n">
        <v>0</v>
      </c>
      <c r="BU356" s="5" t="n">
        <v>0</v>
      </c>
      <c r="BV356" s="5" t="n">
        <v>0.198</v>
      </c>
      <c r="BW356" s="5" t="n">
        <v>0</v>
      </c>
      <c r="BX356" s="5" t="n">
        <v>1</v>
      </c>
      <c r="BY356" s="5" t="n">
        <v>13.254</v>
      </c>
      <c r="BZ356" s="5" t="n">
        <v>0</v>
      </c>
      <c r="CA356" s="5" t="n">
        <v>13.254</v>
      </c>
      <c r="CB356" s="5" t="n">
        <v>0</v>
      </c>
      <c r="CC356" s="5" t="n">
        <v>87.07899999999999</v>
      </c>
      <c r="CD356" s="5" t="n">
        <v>7.95</v>
      </c>
      <c r="CE356" s="5" t="n">
        <v>0</v>
      </c>
      <c r="CF356" s="5" t="n">
        <v>87.07899999999999</v>
      </c>
      <c r="CG356" s="5" t="n">
        <v>0</v>
      </c>
      <c r="CH356" s="5" t="n">
        <v>1</v>
      </c>
      <c r="CI356" s="5" t="n">
        <v>0</v>
      </c>
      <c r="CJ356" s="5" t="n">
        <v>0</v>
      </c>
      <c r="CK356" s="5" t="n">
        <v>0</v>
      </c>
      <c r="CL356" s="5" t="n">
        <v>0</v>
      </c>
      <c r="CM356" s="5" t="n">
        <v>0</v>
      </c>
      <c r="CN356" s="5" t="n">
        <v>0</v>
      </c>
      <c r="CO356" s="5" t="n">
        <v>0</v>
      </c>
      <c r="CP356" s="5" t="n">
        <v>0</v>
      </c>
      <c r="CQ356" s="5" t="n">
        <v>1.348</v>
      </c>
      <c r="CR356" s="5" t="n">
        <v>0</v>
      </c>
      <c r="CS356" s="5" t="n">
        <v>4.68</v>
      </c>
      <c r="CT356" s="5" t="n">
        <v>4.484</v>
      </c>
      <c r="CU356" s="5" t="n">
        <v>4.68</v>
      </c>
    </row>
    <row r="357">
      <c r="A357" s="5" t="inlineStr">
        <is>
          <t>HKG2024</t>
        </is>
      </c>
      <c r="B357" s="5" t="inlineStr">
        <is>
          <t>HKG</t>
        </is>
      </c>
      <c r="C357" s="5" t="inlineStr">
        <is>
          <t>HKG</t>
        </is>
      </c>
      <c r="D357" s="5" t="inlineStr">
        <is>
          <t>Hong Kong SAR</t>
        </is>
      </c>
      <c r="E357" s="5" t="n">
        <v>2024</v>
      </c>
      <c r="F357" s="5" t="n">
        <v>0</v>
      </c>
      <c r="G357" s="5" t="n">
        <v>4.833</v>
      </c>
      <c r="H357" s="5" t="n">
        <v>1.324</v>
      </c>
      <c r="I357" s="5" t="n">
        <v>0</v>
      </c>
      <c r="J357" s="5" t="n">
        <v>4.833</v>
      </c>
      <c r="K357" s="5" t="n">
        <v>0</v>
      </c>
      <c r="L357" s="5" t="n">
        <v>1</v>
      </c>
      <c r="M357" s="5" t="n">
        <v>7.124</v>
      </c>
      <c r="N357" s="5" t="n">
        <v>3.971</v>
      </c>
      <c r="O357" s="5" t="n">
        <v>0</v>
      </c>
      <c r="P357" s="5" t="n">
        <v>7.124</v>
      </c>
      <c r="Q357" s="5" t="n">
        <v>0</v>
      </c>
      <c r="R357" s="5" t="n">
        <v>1</v>
      </c>
      <c r="S357" s="5" t="n">
        <v>11.451</v>
      </c>
      <c r="T357" s="5" t="n">
        <v>7.942</v>
      </c>
      <c r="U357" s="5" t="n">
        <v>0</v>
      </c>
      <c r="V357" s="5" t="n">
        <v>11.451</v>
      </c>
      <c r="W357" s="5" t="n">
        <v>0</v>
      </c>
      <c r="X357" s="5" t="n">
        <v>1</v>
      </c>
      <c r="Y357" s="5" t="n">
        <v>39.742</v>
      </c>
      <c r="Z357" s="5" t="n">
        <v>5.018</v>
      </c>
      <c r="AA357" s="5" t="n">
        <v>0</v>
      </c>
      <c r="AB357" s="5" t="n">
        <v>39.742</v>
      </c>
      <c r="AC357" s="5" t="n">
        <v>0</v>
      </c>
      <c r="AD357" s="5" t="n">
        <v>1</v>
      </c>
      <c r="AE357" s="5" t="n">
        <v>39.742</v>
      </c>
      <c r="AF357" s="5" t="n">
        <v>8.706</v>
      </c>
      <c r="AG357" s="5" t="n">
        <v>0</v>
      </c>
      <c r="AH357" s="5" t="n">
        <v>39.742</v>
      </c>
      <c r="AI357" s="5" t="n">
        <v>0</v>
      </c>
      <c r="AJ357" s="5" t="n">
        <v>1</v>
      </c>
      <c r="AK357" s="5" t="n">
        <v>44.582</v>
      </c>
      <c r="AL357" s="5" t="n">
        <v>22.676</v>
      </c>
      <c r="AM357" s="5" t="n">
        <v>-3.843</v>
      </c>
      <c r="AN357" s="5" t="n">
        <v>40.739</v>
      </c>
      <c r="AO357" s="5" t="n">
        <v>0</v>
      </c>
      <c r="AP357" s="5" t="n">
        <v>1</v>
      </c>
      <c r="AQ357" s="5" t="n">
        <v>0.72</v>
      </c>
      <c r="AR357" s="5" t="n">
        <v>0.132</v>
      </c>
      <c r="AS357" s="5" t="n">
        <v>2.506</v>
      </c>
      <c r="AT357" s="5" t="n">
        <v>3.226</v>
      </c>
      <c r="AU357" s="5" t="n">
        <v>0</v>
      </c>
      <c r="AV357" s="5" t="n">
        <v>1</v>
      </c>
      <c r="AW357" s="5" t="n">
        <v>0.734</v>
      </c>
      <c r="AX357" s="5" t="n">
        <v>0.132</v>
      </c>
      <c r="AY357" s="5" t="n">
        <v>2.349</v>
      </c>
      <c r="AZ357" s="5" t="n">
        <v>3.083</v>
      </c>
      <c r="BA357" s="5" t="n">
        <v>0</v>
      </c>
      <c r="BB357" s="5" t="n">
        <v>1</v>
      </c>
      <c r="BC357" s="5" t="n">
        <v>0.51</v>
      </c>
      <c r="BD357" s="5" t="n">
        <v>0.132</v>
      </c>
      <c r="BE357" s="5" t="n">
        <v>1.973</v>
      </c>
      <c r="BF357" s="5" t="n">
        <v>2.483</v>
      </c>
      <c r="BG357" s="5" t="n">
        <v>0</v>
      </c>
      <c r="BH357" s="5" t="n">
        <v>1</v>
      </c>
      <c r="BI357" s="5" t="n">
        <v>0.652</v>
      </c>
      <c r="BJ357" s="5" t="n">
        <v>0.132</v>
      </c>
      <c r="BK357" s="5" t="n">
        <v>0</v>
      </c>
      <c r="BL357" s="5" t="n">
        <v>0.652</v>
      </c>
      <c r="BM357" s="5" t="n">
        <v>0</v>
      </c>
      <c r="BN357" s="5" t="n">
        <v>1</v>
      </c>
      <c r="BO357" s="5" t="n">
        <v>0</v>
      </c>
      <c r="BP357" s="5" t="n">
        <v>0</v>
      </c>
      <c r="BQ357" s="5" t="n">
        <v>0.17</v>
      </c>
      <c r="BR357" s="5" t="n">
        <v>0</v>
      </c>
      <c r="BS357" s="5" t="n">
        <v>0.833</v>
      </c>
      <c r="BT357" s="5" t="n">
        <v>0</v>
      </c>
      <c r="BU357" s="5" t="n">
        <v>0</v>
      </c>
      <c r="BV357" s="5" t="n">
        <v>0.179</v>
      </c>
      <c r="BW357" s="5" t="n">
        <v>0</v>
      </c>
      <c r="BX357" s="5" t="n">
        <v>1</v>
      </c>
      <c r="BY357" s="5" t="n">
        <v>13.646</v>
      </c>
      <c r="BZ357" s="5" t="n">
        <v>0</v>
      </c>
      <c r="CA357" s="5" t="n">
        <v>13.646</v>
      </c>
      <c r="CB357" s="5" t="n">
        <v>0</v>
      </c>
      <c r="CC357" s="5" t="n">
        <v>86.38500000000001</v>
      </c>
      <c r="CD357" s="5" t="n">
        <v>7.95</v>
      </c>
      <c r="CE357" s="5" t="n">
        <v>0</v>
      </c>
      <c r="CF357" s="5" t="n">
        <v>86.38500000000001</v>
      </c>
      <c r="CG357" s="5" t="n">
        <v>0</v>
      </c>
      <c r="CH357" s="5" t="n">
        <v>1</v>
      </c>
      <c r="CI357" s="5" t="n">
        <v>0</v>
      </c>
      <c r="CJ357" s="5" t="n">
        <v>0</v>
      </c>
      <c r="CK357" s="5" t="n">
        <v>0</v>
      </c>
      <c r="CL357" s="5" t="n">
        <v>0</v>
      </c>
      <c r="CM357" s="5" t="n">
        <v>0</v>
      </c>
      <c r="CN357" s="5" t="n">
        <v>0</v>
      </c>
      <c r="CO357" s="5" t="n">
        <v>0</v>
      </c>
      <c r="CP357" s="5" t="n">
        <v>0</v>
      </c>
      <c r="CQ357" s="5" t="n">
        <v>1.387</v>
      </c>
      <c r="CR357" s="5" t="n">
        <v>0</v>
      </c>
      <c r="CS357" s="5" t="n">
        <v>4.07</v>
      </c>
      <c r="CT357" s="5" t="n">
        <v>3.509</v>
      </c>
      <c r="CU357" s="5" t="n">
        <v>4.07</v>
      </c>
    </row>
    <row r="358">
      <c r="A358" s="5" t="inlineStr">
        <is>
          <t>HUN2021</t>
        </is>
      </c>
      <c r="B358" s="5" t="inlineStr">
        <is>
          <t>HUN</t>
        </is>
      </c>
      <c r="C358" s="5" t="inlineStr">
        <is>
          <t>HUN</t>
        </is>
      </c>
      <c r="D358" s="5" t="inlineStr">
        <is>
          <t>Hungary</t>
        </is>
      </c>
      <c r="E358" s="5" t="n">
        <v>2021</v>
      </c>
      <c r="F358" s="5" t="n">
        <v>0.27</v>
      </c>
      <c r="G358" s="5" t="n">
        <v>4.784</v>
      </c>
      <c r="H358" s="5" t="n">
        <v>0.9320000000000001</v>
      </c>
      <c r="I358" s="5" t="n">
        <v>1.023</v>
      </c>
      <c r="J358" s="5" t="n">
        <v>5.807</v>
      </c>
      <c r="K358" s="5" t="n">
        <v>0</v>
      </c>
      <c r="L358" s="5" t="n">
        <v>1</v>
      </c>
      <c r="M358" s="5" t="n">
        <v>7.131</v>
      </c>
      <c r="N358" s="5" t="n">
        <v>2.796</v>
      </c>
      <c r="O358" s="5" t="n">
        <v>1.06</v>
      </c>
      <c r="P358" s="5" t="n">
        <v>8.192</v>
      </c>
      <c r="Q358" s="5" t="n">
        <v>0</v>
      </c>
      <c r="R358" s="5" t="n">
        <v>1</v>
      </c>
      <c r="S358" s="5" t="n">
        <v>5.602</v>
      </c>
      <c r="T358" s="5" t="n">
        <v>3.472</v>
      </c>
      <c r="U358" s="5" t="n">
        <v>0.036</v>
      </c>
      <c r="V358" s="5" t="n">
        <v>7.16</v>
      </c>
      <c r="W358" s="5" t="n">
        <v>0.27</v>
      </c>
      <c r="X358" s="5" t="n">
        <v>1</v>
      </c>
      <c r="Y358" s="5" t="n">
        <v>17.959</v>
      </c>
      <c r="Z358" s="5" t="n">
        <v>1.984</v>
      </c>
      <c r="AA358" s="5" t="n">
        <v>-6.131</v>
      </c>
      <c r="AB358" s="5" t="n">
        <v>11.828</v>
      </c>
      <c r="AC358" s="5" t="n">
        <v>0</v>
      </c>
      <c r="AD358" s="5" t="n">
        <v>1</v>
      </c>
      <c r="AE358" s="5" t="n">
        <v>17.915</v>
      </c>
      <c r="AF358" s="5" t="n">
        <v>3.525</v>
      </c>
      <c r="AG358" s="5" t="n">
        <v>-6.087</v>
      </c>
      <c r="AH358" s="5" t="n">
        <v>11.828</v>
      </c>
      <c r="AI358" s="5" t="n">
        <v>0</v>
      </c>
      <c r="AJ358" s="5" t="n">
        <v>1</v>
      </c>
      <c r="AK358" s="5" t="n">
        <v>20.226</v>
      </c>
      <c r="AL358" s="5" t="n">
        <v>9.927</v>
      </c>
      <c r="AM358" s="5" t="n">
        <v>-12.316</v>
      </c>
      <c r="AN358" s="5" t="n">
        <v>10.046</v>
      </c>
      <c r="AO358" s="5" t="n">
        <v>0</v>
      </c>
      <c r="AP358" s="5" t="n">
        <v>0</v>
      </c>
      <c r="AQ358" s="5" t="n">
        <v>0.619</v>
      </c>
      <c r="AR358" s="5" t="n">
        <v>0.114</v>
      </c>
      <c r="AS358" s="5" t="n">
        <v>0.526</v>
      </c>
      <c r="AT358" s="5" t="n">
        <v>1.455</v>
      </c>
      <c r="AU358" s="5" t="n">
        <v>0.27</v>
      </c>
      <c r="AV358" s="5" t="n">
        <v>1</v>
      </c>
      <c r="AW358" s="5" t="n">
        <v>0.599</v>
      </c>
      <c r="AX358" s="5" t="n">
        <v>0.114</v>
      </c>
      <c r="AY358" s="5" t="n">
        <v>0.5580000000000001</v>
      </c>
      <c r="AZ358" s="5" t="n">
        <v>1.47</v>
      </c>
      <c r="BA358" s="5" t="n">
        <v>0.27</v>
      </c>
      <c r="BB358" s="5" t="n">
        <v>1</v>
      </c>
      <c r="BC358" s="5" t="n">
        <v>0.439</v>
      </c>
      <c r="BD358" s="5" t="n">
        <v>0.114</v>
      </c>
      <c r="BE358" s="5" t="n">
        <v>0.284</v>
      </c>
      <c r="BF358" s="5" t="n">
        <v>0.919</v>
      </c>
      <c r="BG358" s="5" t="n">
        <v>0.27</v>
      </c>
      <c r="BH358" s="5" t="n">
        <v>1</v>
      </c>
      <c r="BI358" s="5" t="n">
        <v>0.505</v>
      </c>
      <c r="BJ358" s="5" t="n">
        <v>0.114</v>
      </c>
      <c r="BK358" s="5" t="n">
        <v>0.653</v>
      </c>
      <c r="BL358" s="5" t="n">
        <v>1.471</v>
      </c>
      <c r="BM358" s="5" t="n">
        <v>0.27</v>
      </c>
      <c r="BN358" s="5" t="n">
        <v>1</v>
      </c>
      <c r="BO358" s="5" t="n">
        <v>0</v>
      </c>
      <c r="BP358" s="5" t="n">
        <v>0.008</v>
      </c>
      <c r="BQ358" s="5" t="n">
        <v>0.098</v>
      </c>
      <c r="BR358" s="5" t="n">
        <v>0</v>
      </c>
      <c r="BS358" s="5" t="n">
        <v>0.833</v>
      </c>
      <c r="BT358" s="5" t="n">
        <v>0</v>
      </c>
      <c r="BU358" s="5" t="n">
        <v>0</v>
      </c>
      <c r="BV358" s="5" t="n">
        <v>0.119</v>
      </c>
      <c r="BW358" s="5" t="n">
        <v>0.27</v>
      </c>
      <c r="BX358" s="5" t="n">
        <v>1</v>
      </c>
      <c r="BY358" s="5" t="n">
        <v>11.787</v>
      </c>
      <c r="BZ358" s="5" t="n">
        <v>0</v>
      </c>
      <c r="CA358" s="5" t="n">
        <v>11.787</v>
      </c>
      <c r="CB358" s="5" t="n">
        <v>0</v>
      </c>
      <c r="CC358" s="5" t="n">
        <v>78.125</v>
      </c>
      <c r="CD358" s="5" t="n">
        <v>7.95</v>
      </c>
      <c r="CE358" s="5" t="n">
        <v>110.456</v>
      </c>
      <c r="CF358" s="5" t="n">
        <v>239.498</v>
      </c>
      <c r="CG358" s="5" t="n">
        <v>0.27</v>
      </c>
      <c r="CH358" s="5" t="n">
        <v>1</v>
      </c>
      <c r="CI358" s="5" t="n">
        <v>0</v>
      </c>
      <c r="CJ358" s="5" t="n">
        <v>0</v>
      </c>
      <c r="CK358" s="5" t="n">
        <v>0</v>
      </c>
      <c r="CL358" s="5" t="n">
        <v>0</v>
      </c>
      <c r="CM358" s="5" t="n">
        <v>0</v>
      </c>
      <c r="CN358" s="5" t="n">
        <v>0</v>
      </c>
      <c r="CO358" s="5" t="n">
        <v>0</v>
      </c>
      <c r="CP358" s="5" t="n">
        <v>0.37</v>
      </c>
      <c r="CQ358" s="5" t="n">
        <v>1.198</v>
      </c>
      <c r="CR358" s="5" t="n">
        <v>0</v>
      </c>
      <c r="CS358" s="5" t="n">
        <v>3.093</v>
      </c>
      <c r="CT358" s="5" t="n">
        <v>5.408</v>
      </c>
      <c r="CU358" s="5" t="n">
        <v>12.007</v>
      </c>
    </row>
    <row r="359">
      <c r="A359" s="5" t="inlineStr">
        <is>
          <t>HUN2022</t>
        </is>
      </c>
      <c r="B359" s="5" t="inlineStr">
        <is>
          <t>HUN</t>
        </is>
      </c>
      <c r="C359" s="5" t="inlineStr">
        <is>
          <t>HUN</t>
        </is>
      </c>
      <c r="D359" s="5" t="inlineStr">
        <is>
          <t>Hungary</t>
        </is>
      </c>
      <c r="E359" s="5" t="n">
        <v>2022</v>
      </c>
      <c r="F359" s="5" t="n">
        <v>0.27</v>
      </c>
      <c r="G359" s="5" t="n">
        <v>4.052</v>
      </c>
      <c r="H359" s="5" t="n">
        <v>0.928</v>
      </c>
      <c r="I359" s="5" t="n">
        <v>8.752000000000001</v>
      </c>
      <c r="J359" s="5" t="n">
        <v>12.804</v>
      </c>
      <c r="K359" s="5" t="n">
        <v>0</v>
      </c>
      <c r="L359" s="5" t="n">
        <v>1</v>
      </c>
      <c r="M359" s="5" t="n">
        <v>8.563000000000001</v>
      </c>
      <c r="N359" s="5" t="n">
        <v>2.785</v>
      </c>
      <c r="O359" s="5" t="n">
        <v>8.436999999999999</v>
      </c>
      <c r="P359" s="5" t="n">
        <v>17</v>
      </c>
      <c r="Q359" s="5" t="n">
        <v>0</v>
      </c>
      <c r="R359" s="5" t="n">
        <v>1</v>
      </c>
      <c r="S359" s="5" t="n">
        <v>5.701</v>
      </c>
      <c r="T359" s="5" t="n">
        <v>2.792</v>
      </c>
      <c r="U359" s="5" t="n">
        <v>0.038</v>
      </c>
      <c r="V359" s="5" t="n">
        <v>7.288</v>
      </c>
      <c r="W359" s="5" t="n">
        <v>0.27</v>
      </c>
      <c r="X359" s="5" t="n">
        <v>1</v>
      </c>
      <c r="Y359" s="5" t="n">
        <v>43.743</v>
      </c>
      <c r="Z359" s="5" t="n">
        <v>4.589</v>
      </c>
      <c r="AA359" s="5" t="n">
        <v>-7.658</v>
      </c>
      <c r="AB359" s="5" t="n">
        <v>36.085</v>
      </c>
      <c r="AC359" s="5" t="n">
        <v>0</v>
      </c>
      <c r="AD359" s="5" t="n">
        <v>1</v>
      </c>
      <c r="AE359" s="5" t="n">
        <v>43.791</v>
      </c>
      <c r="AF359" s="5" t="n">
        <v>8.118</v>
      </c>
      <c r="AG359" s="5" t="n">
        <v>-7.706</v>
      </c>
      <c r="AH359" s="5" t="n">
        <v>36.085</v>
      </c>
      <c r="AI359" s="5" t="n">
        <v>0</v>
      </c>
      <c r="AJ359" s="5" t="n">
        <v>1</v>
      </c>
      <c r="AK359" s="5" t="n">
        <v>46.65</v>
      </c>
      <c r="AL359" s="5" t="n">
        <v>22.277</v>
      </c>
      <c r="AM359" s="5" t="n">
        <v>-39.278</v>
      </c>
      <c r="AN359" s="5" t="n">
        <v>9.363</v>
      </c>
      <c r="AO359" s="5" t="n">
        <v>0</v>
      </c>
      <c r="AP359" s="5" t="n">
        <v>0</v>
      </c>
      <c r="AQ359" s="5" t="n">
        <v>0.861</v>
      </c>
      <c r="AR359" s="5" t="n">
        <v>0.123</v>
      </c>
      <c r="AS359" s="5" t="n">
        <v>0.251</v>
      </c>
      <c r="AT359" s="5" t="n">
        <v>1.412</v>
      </c>
      <c r="AU359" s="5" t="n">
        <v>0.27</v>
      </c>
      <c r="AV359" s="5" t="n">
        <v>1</v>
      </c>
      <c r="AW359" s="5" t="n">
        <v>0.986</v>
      </c>
      <c r="AX359" s="5" t="n">
        <v>0.123</v>
      </c>
      <c r="AY359" s="5" t="n">
        <v>0.265</v>
      </c>
      <c r="AZ359" s="5" t="n">
        <v>1.589</v>
      </c>
      <c r="BA359" s="5" t="n">
        <v>0.27</v>
      </c>
      <c r="BB359" s="5" t="n">
        <v>1</v>
      </c>
      <c r="BC359" s="5" t="n">
        <v>0.598</v>
      </c>
      <c r="BD359" s="5" t="n">
        <v>0.123</v>
      </c>
      <c r="BE359" s="5" t="n">
        <v>0.194</v>
      </c>
      <c r="BF359" s="5" t="n">
        <v>1.006</v>
      </c>
      <c r="BG359" s="5" t="n">
        <v>0.27</v>
      </c>
      <c r="BH359" s="5" t="n">
        <v>1</v>
      </c>
      <c r="BI359" s="5" t="n">
        <v>0.612</v>
      </c>
      <c r="BJ359" s="5" t="n">
        <v>0.123</v>
      </c>
      <c r="BK359" s="5" t="n">
        <v>0.613</v>
      </c>
      <c r="BL359" s="5" t="n">
        <v>1.556</v>
      </c>
      <c r="BM359" s="5" t="n">
        <v>0.27</v>
      </c>
      <c r="BN359" s="5" t="n">
        <v>1</v>
      </c>
      <c r="BO359" s="5" t="n">
        <v>0</v>
      </c>
      <c r="BP359" s="5" t="n">
        <v>-0.002</v>
      </c>
      <c r="BQ359" s="5" t="n">
        <v>0.223</v>
      </c>
      <c r="BR359" s="5" t="n">
        <v>0</v>
      </c>
      <c r="BS359" s="5" t="n">
        <v>0.833</v>
      </c>
      <c r="BT359" s="5" t="n">
        <v>0</v>
      </c>
      <c r="BU359" s="5" t="n">
        <v>0</v>
      </c>
      <c r="BV359" s="5" t="n">
        <v>0.107</v>
      </c>
      <c r="BW359" s="5" t="n">
        <v>0.27</v>
      </c>
      <c r="BX359" s="5" t="n">
        <v>1</v>
      </c>
      <c r="BY359" s="5" t="n">
        <v>12.729</v>
      </c>
      <c r="BZ359" s="5" t="n">
        <v>0</v>
      </c>
      <c r="CA359" s="5" t="n">
        <v>12.729</v>
      </c>
      <c r="CB359" s="5" t="n">
        <v>0</v>
      </c>
      <c r="CC359" s="5" t="n">
        <v>97.90000000000001</v>
      </c>
      <c r="CD359" s="5" t="n">
        <v>7.95</v>
      </c>
      <c r="CE359" s="5" t="n">
        <v>128.96</v>
      </c>
      <c r="CF359" s="5" t="n">
        <v>288.112</v>
      </c>
      <c r="CG359" s="5" t="n">
        <v>0.27</v>
      </c>
      <c r="CH359" s="5" t="n">
        <v>1</v>
      </c>
      <c r="CI359" s="5" t="n">
        <v>0</v>
      </c>
      <c r="CJ359" s="5" t="n">
        <v>0</v>
      </c>
      <c r="CK359" s="5" t="n">
        <v>0</v>
      </c>
      <c r="CL359" s="5" t="n">
        <v>0</v>
      </c>
      <c r="CM359" s="5" t="n">
        <v>0</v>
      </c>
      <c r="CN359" s="5" t="n">
        <v>0</v>
      </c>
      <c r="CO359" s="5" t="n">
        <v>0</v>
      </c>
      <c r="CP359" s="5" t="n">
        <v>0.496</v>
      </c>
      <c r="CQ359" s="5" t="n">
        <v>1.294</v>
      </c>
      <c r="CR359" s="5" t="n">
        <v>0</v>
      </c>
      <c r="CS359" s="5" t="n">
        <v>3.34</v>
      </c>
      <c r="CT359" s="5" t="n">
        <v>4.925</v>
      </c>
      <c r="CU359" s="5" t="n">
        <v>37.7</v>
      </c>
    </row>
    <row r="360">
      <c r="A360" s="5" t="inlineStr">
        <is>
          <t>HUN2023</t>
        </is>
      </c>
      <c r="B360" s="5" t="inlineStr">
        <is>
          <t>HUN</t>
        </is>
      </c>
      <c r="C360" s="5" t="inlineStr">
        <is>
          <t>HUN</t>
        </is>
      </c>
      <c r="D360" s="5" t="inlineStr">
        <is>
          <t>Hungary</t>
        </is>
      </c>
      <c r="E360" s="5" t="n">
        <v>2023</v>
      </c>
      <c r="F360" s="5" t="n">
        <v>0.27</v>
      </c>
      <c r="G360" s="5" t="n">
        <v>2.574</v>
      </c>
      <c r="H360" s="5" t="n">
        <v>0.868</v>
      </c>
      <c r="I360" s="5" t="n">
        <v>10.142</v>
      </c>
      <c r="J360" s="5" t="n">
        <v>12.717</v>
      </c>
      <c r="K360" s="5" t="n">
        <v>0</v>
      </c>
      <c r="L360" s="5" t="n">
        <v>1</v>
      </c>
      <c r="M360" s="5" t="n">
        <v>5.996</v>
      </c>
      <c r="N360" s="5" t="n">
        <v>2.605</v>
      </c>
      <c r="O360" s="5" t="n">
        <v>9.769</v>
      </c>
      <c r="P360" s="5" t="n">
        <v>15.765</v>
      </c>
      <c r="Q360" s="5" t="n">
        <v>0</v>
      </c>
      <c r="R360" s="5" t="n">
        <v>1</v>
      </c>
      <c r="S360" s="5" t="n">
        <v>7.537</v>
      </c>
      <c r="T360" s="5" t="n">
        <v>4.727</v>
      </c>
      <c r="U360" s="5" t="n">
        <v>0.04</v>
      </c>
      <c r="V360" s="5" t="n">
        <v>9.622</v>
      </c>
      <c r="W360" s="5" t="n">
        <v>0.27</v>
      </c>
      <c r="X360" s="5" t="n">
        <v>1</v>
      </c>
      <c r="Y360" s="5" t="n">
        <v>19.798</v>
      </c>
      <c r="Z360" s="5" t="n">
        <v>2.218</v>
      </c>
      <c r="AA360" s="5" t="n">
        <v>13.859</v>
      </c>
      <c r="AB360" s="5" t="n">
        <v>33.657</v>
      </c>
      <c r="AC360" s="5" t="n">
        <v>0</v>
      </c>
      <c r="AD360" s="5" t="n">
        <v>1</v>
      </c>
      <c r="AE360" s="5" t="n">
        <v>19.896</v>
      </c>
      <c r="AF360" s="5" t="n">
        <v>3.963</v>
      </c>
      <c r="AG360" s="5" t="n">
        <v>13.76</v>
      </c>
      <c r="AH360" s="5" t="n">
        <v>33.657</v>
      </c>
      <c r="AI360" s="5" t="n">
        <v>0</v>
      </c>
      <c r="AJ360" s="5" t="n">
        <v>1</v>
      </c>
      <c r="AK360" s="5" t="n">
        <v>23.062</v>
      </c>
      <c r="AL360" s="5" t="n">
        <v>11.424</v>
      </c>
      <c r="AM360" s="5" t="n">
        <v>-15.123</v>
      </c>
      <c r="AN360" s="5" t="n">
        <v>10.082</v>
      </c>
      <c r="AO360" s="5" t="n">
        <v>0</v>
      </c>
      <c r="AP360" s="5" t="n">
        <v>0</v>
      </c>
      <c r="AQ360" s="5" t="n">
        <v>0.76</v>
      </c>
      <c r="AR360" s="5" t="n">
        <v>0.129</v>
      </c>
      <c r="AS360" s="5" t="n">
        <v>0.589</v>
      </c>
      <c r="AT360" s="5" t="n">
        <v>1.713</v>
      </c>
      <c r="AU360" s="5" t="n">
        <v>0.27</v>
      </c>
      <c r="AV360" s="5" t="n">
        <v>1</v>
      </c>
      <c r="AW360" s="5" t="n">
        <v>0.8110000000000001</v>
      </c>
      <c r="AX360" s="5" t="n">
        <v>0.129</v>
      </c>
      <c r="AY360" s="5" t="n">
        <v>0.569</v>
      </c>
      <c r="AZ360" s="5" t="n">
        <v>1.754</v>
      </c>
      <c r="BA360" s="5" t="n">
        <v>0.27</v>
      </c>
      <c r="BB360" s="5" t="n">
        <v>1</v>
      </c>
      <c r="BC360" s="5" t="n">
        <v>0.535</v>
      </c>
      <c r="BD360" s="5" t="n">
        <v>0.129</v>
      </c>
      <c r="BE360" s="5" t="n">
        <v>0.208</v>
      </c>
      <c r="BF360" s="5" t="n">
        <v>0.9429999999999999</v>
      </c>
      <c r="BG360" s="5" t="n">
        <v>0.27</v>
      </c>
      <c r="BH360" s="5" t="n">
        <v>1</v>
      </c>
      <c r="BI360" s="5" t="n">
        <v>0.579</v>
      </c>
      <c r="BJ360" s="5" t="n">
        <v>0.129</v>
      </c>
      <c r="BK360" s="5" t="n">
        <v>0.8</v>
      </c>
      <c r="BL360" s="5" t="n">
        <v>1.752</v>
      </c>
      <c r="BM360" s="5" t="n">
        <v>0.27</v>
      </c>
      <c r="BN360" s="5" t="n">
        <v>1</v>
      </c>
      <c r="BO360" s="5" t="n">
        <v>0</v>
      </c>
      <c r="BP360" s="5" t="n">
        <v>0.008999999999999999</v>
      </c>
      <c r="BQ360" s="5" t="n">
        <v>0.262</v>
      </c>
      <c r="BR360" s="5" t="n">
        <v>0</v>
      </c>
      <c r="BS360" s="5" t="n">
        <v>0.833</v>
      </c>
      <c r="BT360" s="5" t="n">
        <v>0</v>
      </c>
      <c r="BU360" s="5" t="n">
        <v>0</v>
      </c>
      <c r="BV360" s="5" t="n">
        <v>0.124</v>
      </c>
      <c r="BW360" s="5" t="n">
        <v>0.27</v>
      </c>
      <c r="BX360" s="5" t="n">
        <v>1</v>
      </c>
      <c r="BY360" s="5" t="n">
        <v>13.254</v>
      </c>
      <c r="BZ360" s="5" t="n">
        <v>0</v>
      </c>
      <c r="CA360" s="5" t="n">
        <v>13.254</v>
      </c>
      <c r="CB360" s="5" t="n">
        <v>0</v>
      </c>
      <c r="CC360" s="5" t="n">
        <v>83.248</v>
      </c>
      <c r="CD360" s="5" t="n">
        <v>7.95</v>
      </c>
      <c r="CE360" s="5" t="n">
        <v>172.959</v>
      </c>
      <c r="CF360" s="5" t="n">
        <v>325.383</v>
      </c>
      <c r="CG360" s="5" t="n">
        <v>0.27</v>
      </c>
      <c r="CH360" s="5" t="n">
        <v>1</v>
      </c>
      <c r="CI360" s="5" t="n">
        <v>0</v>
      </c>
      <c r="CJ360" s="5" t="n">
        <v>0</v>
      </c>
      <c r="CK360" s="5" t="n">
        <v>0</v>
      </c>
      <c r="CL360" s="5" t="n">
        <v>0</v>
      </c>
      <c r="CM360" s="5" t="n">
        <v>0</v>
      </c>
      <c r="CN360" s="5" t="n">
        <v>0</v>
      </c>
      <c r="CO360" s="5" t="n">
        <v>0</v>
      </c>
      <c r="CP360" s="5" t="n">
        <v>0.649</v>
      </c>
      <c r="CQ360" s="5" t="n">
        <v>1.348</v>
      </c>
      <c r="CR360" s="5" t="n">
        <v>0</v>
      </c>
      <c r="CS360" s="5" t="n">
        <v>3.478</v>
      </c>
      <c r="CT360" s="5" t="n">
        <v>2.37</v>
      </c>
      <c r="CU360" s="5" t="n">
        <v>13.704</v>
      </c>
    </row>
    <row r="361">
      <c r="A361" s="5" t="inlineStr">
        <is>
          <t>HUN2024</t>
        </is>
      </c>
      <c r="B361" s="5" t="inlineStr">
        <is>
          <t>HUN</t>
        </is>
      </c>
      <c r="C361" s="5" t="inlineStr">
        <is>
          <t>HUN</t>
        </is>
      </c>
      <c r="D361" s="5" t="inlineStr">
        <is>
          <t>Hungary</t>
        </is>
      </c>
      <c r="E361" s="5" t="n">
        <v>2024</v>
      </c>
      <c r="F361" s="5" t="n">
        <v>0.27</v>
      </c>
      <c r="G361" s="5" t="n">
        <v>2.445</v>
      </c>
      <c r="H361" s="5" t="n">
        <v>0.894</v>
      </c>
      <c r="I361" s="5" t="n">
        <v>9.936</v>
      </c>
      <c r="J361" s="5" t="n">
        <v>12.382</v>
      </c>
      <c r="K361" s="5" t="n">
        <v>0</v>
      </c>
      <c r="L361" s="5" t="n">
        <v>1</v>
      </c>
      <c r="M361" s="5" t="n">
        <v>6.327</v>
      </c>
      <c r="N361" s="5" t="n">
        <v>2.682</v>
      </c>
      <c r="O361" s="5" t="n">
        <v>6.436</v>
      </c>
      <c r="P361" s="5" t="n">
        <v>12.763</v>
      </c>
      <c r="Q361" s="5" t="n">
        <v>0</v>
      </c>
      <c r="R361" s="5" t="n">
        <v>1</v>
      </c>
      <c r="S361" s="5" t="n">
        <v>3.262</v>
      </c>
      <c r="T361" s="5" t="n">
        <v>2.16</v>
      </c>
      <c r="U361" s="5" t="n">
        <v>4.042</v>
      </c>
      <c r="V361" s="5" t="n">
        <v>9.276999999999999</v>
      </c>
      <c r="W361" s="5" t="n">
        <v>0.27</v>
      </c>
      <c r="X361" s="5" t="n">
        <v>1</v>
      </c>
      <c r="Y361" s="5" t="n">
        <v>17.328</v>
      </c>
      <c r="Z361" s="5" t="n">
        <v>2.188</v>
      </c>
      <c r="AA361" s="5" t="n">
        <v>4.862</v>
      </c>
      <c r="AB361" s="5" t="n">
        <v>22.19</v>
      </c>
      <c r="AC361" s="5" t="n">
        <v>0</v>
      </c>
      <c r="AD361" s="5" t="n">
        <v>1</v>
      </c>
      <c r="AE361" s="5" t="n">
        <v>17.328</v>
      </c>
      <c r="AF361" s="5" t="n">
        <v>3.796</v>
      </c>
      <c r="AG361" s="5" t="n">
        <v>4.862</v>
      </c>
      <c r="AH361" s="5" t="n">
        <v>22.19</v>
      </c>
      <c r="AI361" s="5" t="n">
        <v>0</v>
      </c>
      <c r="AJ361" s="5" t="n">
        <v>1</v>
      </c>
      <c r="AK361" s="5" t="n">
        <v>17.328</v>
      </c>
      <c r="AL361" s="5" t="n">
        <v>8.813000000000001</v>
      </c>
      <c r="AM361" s="5" t="n">
        <v>-10.343</v>
      </c>
      <c r="AN361" s="5" t="n">
        <v>8.871</v>
      </c>
      <c r="AO361" s="5" t="n">
        <v>0</v>
      </c>
      <c r="AP361" s="5" t="n">
        <v>0</v>
      </c>
      <c r="AQ361" s="5" t="n">
        <v>0.724</v>
      </c>
      <c r="AR361" s="5" t="n">
        <v>0.132</v>
      </c>
      <c r="AS361" s="5" t="n">
        <v>0.596</v>
      </c>
      <c r="AT361" s="5" t="n">
        <v>1.677</v>
      </c>
      <c r="AU361" s="5" t="n">
        <v>0.27</v>
      </c>
      <c r="AV361" s="5" t="n">
        <v>1</v>
      </c>
      <c r="AW361" s="5" t="n">
        <v>0.75</v>
      </c>
      <c r="AX361" s="5" t="n">
        <v>0.132</v>
      </c>
      <c r="AY361" s="5" t="n">
        <v>0.6</v>
      </c>
      <c r="AZ361" s="5" t="n">
        <v>1.714</v>
      </c>
      <c r="BA361" s="5" t="n">
        <v>0.27</v>
      </c>
      <c r="BB361" s="5" t="n">
        <v>1</v>
      </c>
      <c r="BC361" s="5" t="n">
        <v>0.513</v>
      </c>
      <c r="BD361" s="5" t="n">
        <v>0.132</v>
      </c>
      <c r="BE361" s="5" t="n">
        <v>0.243</v>
      </c>
      <c r="BF361" s="5" t="n">
        <v>0.96</v>
      </c>
      <c r="BG361" s="5" t="n">
        <v>0.27</v>
      </c>
      <c r="BH361" s="5" t="n">
        <v>1</v>
      </c>
      <c r="BI361" s="5" t="n">
        <v>0.591</v>
      </c>
      <c r="BJ361" s="5" t="n">
        <v>0.132</v>
      </c>
      <c r="BK361" s="5" t="n">
        <v>0.674</v>
      </c>
      <c r="BL361" s="5" t="n">
        <v>1.607</v>
      </c>
      <c r="BM361" s="5" t="n">
        <v>0.27</v>
      </c>
      <c r="BN361" s="5" t="n">
        <v>1</v>
      </c>
      <c r="BO361" s="5" t="n">
        <v>0</v>
      </c>
      <c r="BP361" s="5" t="n">
        <v>0.02</v>
      </c>
      <c r="BQ361" s="5" t="n">
        <v>0.193</v>
      </c>
      <c r="BR361" s="5" t="n">
        <v>0</v>
      </c>
      <c r="BS361" s="5" t="n">
        <v>0.833</v>
      </c>
      <c r="BT361" s="5" t="n">
        <v>0</v>
      </c>
      <c r="BU361" s="5" t="n">
        <v>0</v>
      </c>
      <c r="BV361" s="5" t="n">
        <v>0.115</v>
      </c>
      <c r="BW361" s="5" t="n">
        <v>0.27</v>
      </c>
      <c r="BX361" s="5" t="n">
        <v>1</v>
      </c>
      <c r="BY361" s="5" t="n">
        <v>13.646</v>
      </c>
      <c r="BZ361" s="5" t="n">
        <v>0</v>
      </c>
      <c r="CA361" s="5" t="n">
        <v>13.646</v>
      </c>
      <c r="CB361" s="5" t="n">
        <v>0</v>
      </c>
      <c r="CC361" s="5" t="n">
        <v>82.58799999999999</v>
      </c>
      <c r="CD361" s="5" t="n">
        <v>7.95</v>
      </c>
      <c r="CE361" s="5" t="n">
        <v>154.404</v>
      </c>
      <c r="CF361" s="5" t="n">
        <v>300.979</v>
      </c>
      <c r="CG361" s="5" t="n">
        <v>0.27</v>
      </c>
      <c r="CH361" s="5" t="n">
        <v>1</v>
      </c>
      <c r="CI361" s="5" t="n">
        <v>0</v>
      </c>
      <c r="CJ361" s="5" t="n">
        <v>0</v>
      </c>
      <c r="CK361" s="5" t="n">
        <v>0</v>
      </c>
      <c r="CL361" s="5" t="n">
        <v>0</v>
      </c>
      <c r="CM361" s="5" t="n">
        <v>0</v>
      </c>
      <c r="CN361" s="5" t="n">
        <v>0</v>
      </c>
      <c r="CO361" s="5" t="n">
        <v>0</v>
      </c>
      <c r="CP361" s="5" t="n">
        <v>0.649</v>
      </c>
      <c r="CQ361" s="5" t="n">
        <v>1.387</v>
      </c>
      <c r="CR361" s="5" t="n">
        <v>0</v>
      </c>
      <c r="CS361" s="5" t="n">
        <v>3.581</v>
      </c>
      <c r="CT361" s="5" t="n">
        <v>1.854</v>
      </c>
      <c r="CU361" s="5" t="n">
        <v>9.872999999999999</v>
      </c>
    </row>
    <row r="362">
      <c r="A362" s="5" t="inlineStr">
        <is>
          <t>ISL2021</t>
        </is>
      </c>
      <c r="B362" s="5" t="inlineStr">
        <is>
          <t>ISL</t>
        </is>
      </c>
      <c r="C362" s="5" t="inlineStr">
        <is>
          <t>ISL</t>
        </is>
      </c>
      <c r="D362" s="5" t="inlineStr">
        <is>
          <t>Iceland</t>
        </is>
      </c>
      <c r="E362" s="5" t="n">
        <v>2021</v>
      </c>
      <c r="F362" s="5" t="n">
        <v>0.24</v>
      </c>
      <c r="G362" s="5" t="n">
        <v>6.008</v>
      </c>
      <c r="H362" s="5" t="n">
        <v>1.143</v>
      </c>
      <c r="I362" s="5" t="n">
        <v>2.593</v>
      </c>
      <c r="J362" s="5" t="n">
        <v>8.601000000000001</v>
      </c>
      <c r="K362" s="5" t="n">
        <v>0</v>
      </c>
      <c r="L362" s="5" t="n">
        <v>1</v>
      </c>
      <c r="M362" s="5" t="n">
        <v>7.964</v>
      </c>
      <c r="N362" s="5" t="n">
        <v>3.43</v>
      </c>
      <c r="O362" s="5" t="n">
        <v>2.547</v>
      </c>
      <c r="P362" s="5" t="n">
        <v>10.512</v>
      </c>
      <c r="Q362" s="5" t="n">
        <v>0</v>
      </c>
      <c r="R362" s="5" t="n">
        <v>1</v>
      </c>
      <c r="S362" s="5" t="n">
        <v>11.725</v>
      </c>
      <c r="T362" s="5" t="n">
        <v>6.86</v>
      </c>
      <c r="U362" s="5" t="n">
        <v>0</v>
      </c>
      <c r="V362" s="5" t="n">
        <v>14.539</v>
      </c>
      <c r="W362" s="5" t="n">
        <v>0.24</v>
      </c>
      <c r="X362" s="5" t="n">
        <v>1</v>
      </c>
      <c r="Y362" s="5" t="n">
        <v>13.336</v>
      </c>
      <c r="Z362" s="5" t="n">
        <v>1.946</v>
      </c>
      <c r="AA362" s="5" t="n">
        <v>1.968</v>
      </c>
      <c r="AB362" s="5" t="n">
        <v>15.304</v>
      </c>
      <c r="AC362" s="5" t="n">
        <v>0</v>
      </c>
      <c r="AD362" s="5" t="n">
        <v>1</v>
      </c>
      <c r="AE362" s="5" t="n">
        <v>14.48</v>
      </c>
      <c r="AF362" s="5" t="n">
        <v>3.623</v>
      </c>
      <c r="AG362" s="5" t="n">
        <v>1.969</v>
      </c>
      <c r="AH362" s="5" t="n">
        <v>16.448</v>
      </c>
      <c r="AI362" s="5" t="n">
        <v>0</v>
      </c>
      <c r="AJ362" s="5" t="n">
        <v>1</v>
      </c>
      <c r="AK362" s="5" t="n">
        <v>21.34</v>
      </c>
      <c r="AL362" s="5" t="n">
        <v>11.853</v>
      </c>
      <c r="AM362" s="5" t="n">
        <v>0.624</v>
      </c>
      <c r="AN362" s="5" t="n">
        <v>27.235</v>
      </c>
      <c r="AO362" s="5" t="n">
        <v>0.24</v>
      </c>
      <c r="AP362" s="5" t="n">
        <v>1</v>
      </c>
      <c r="AQ362" s="5" t="n">
        <v>0.619</v>
      </c>
      <c r="AR362" s="5" t="n">
        <v>0.114</v>
      </c>
      <c r="AS362" s="5" t="n">
        <v>0.9360000000000001</v>
      </c>
      <c r="AT362" s="5" t="n">
        <v>1.928</v>
      </c>
      <c r="AU362" s="5" t="n">
        <v>0.24</v>
      </c>
      <c r="AV362" s="5" t="n">
        <v>1</v>
      </c>
      <c r="AW362" s="5" t="n">
        <v>0.599</v>
      </c>
      <c r="AX362" s="5" t="n">
        <v>0.114</v>
      </c>
      <c r="AY362" s="5" t="n">
        <v>0.865</v>
      </c>
      <c r="AZ362" s="5" t="n">
        <v>1.816</v>
      </c>
      <c r="BA362" s="5" t="n">
        <v>0.24</v>
      </c>
      <c r="BB362" s="5" t="n">
        <v>1</v>
      </c>
      <c r="BC362" s="5" t="n">
        <v>0.439</v>
      </c>
      <c r="BD362" s="5" t="n">
        <v>0.114</v>
      </c>
      <c r="BE362" s="5" t="n">
        <v>0.019</v>
      </c>
      <c r="BF362" s="5" t="n">
        <v>0.5669999999999999</v>
      </c>
      <c r="BG362" s="5" t="n">
        <v>0.24</v>
      </c>
      <c r="BH362" s="5" t="n">
        <v>1</v>
      </c>
      <c r="BI362" s="5" t="n">
        <v>0.505</v>
      </c>
      <c r="BJ362" s="5" t="n">
        <v>0.114</v>
      </c>
      <c r="BK362" s="5" t="n">
        <v>0.453</v>
      </c>
      <c r="BL362" s="5" t="n">
        <v>1.188</v>
      </c>
      <c r="BM362" s="5" t="n">
        <v>0.24</v>
      </c>
      <c r="BN362" s="5" t="n">
        <v>1</v>
      </c>
      <c r="BO362" s="5" t="n">
        <v>0</v>
      </c>
      <c r="BP362" s="5" t="n">
        <v>0.004</v>
      </c>
      <c r="BQ362" s="5" t="n">
        <v>0.057</v>
      </c>
      <c r="BR362" s="5" t="n">
        <v>0</v>
      </c>
      <c r="BS362" s="5" t="n">
        <v>1</v>
      </c>
      <c r="BT362" s="5" t="n">
        <v>0</v>
      </c>
      <c r="BU362" s="5" t="n">
        <v>0.003</v>
      </c>
      <c r="BV362" s="5" t="n">
        <v>0.162</v>
      </c>
      <c r="BW362" s="5" t="n">
        <v>0.24</v>
      </c>
      <c r="BX362" s="5" t="n">
        <v>0.833</v>
      </c>
      <c r="BY362" s="5" t="n">
        <v>11.787</v>
      </c>
      <c r="BZ362" s="5" t="n">
        <v>0</v>
      </c>
      <c r="CA362" s="5" t="n">
        <v>11.787</v>
      </c>
      <c r="CB362" s="5" t="n">
        <v>0</v>
      </c>
      <c r="CC362" s="5" t="n">
        <v>78.125</v>
      </c>
      <c r="CD362" s="5" t="n">
        <v>7.95</v>
      </c>
      <c r="CE362" s="5" t="n">
        <v>77.274</v>
      </c>
      <c r="CF362" s="5" t="n">
        <v>192.695</v>
      </c>
      <c r="CG362" s="5" t="n">
        <v>0.24</v>
      </c>
      <c r="CH362" s="5" t="n">
        <v>1</v>
      </c>
      <c r="CI362" s="5" t="n">
        <v>0</v>
      </c>
      <c r="CJ362" s="5" t="n">
        <v>0</v>
      </c>
      <c r="CK362" s="5" t="n">
        <v>0</v>
      </c>
      <c r="CL362" s="5" t="n">
        <v>0</v>
      </c>
      <c r="CM362" s="5" t="n">
        <v>0</v>
      </c>
      <c r="CN362" s="5" t="n">
        <v>0</v>
      </c>
      <c r="CO362" s="5" t="n">
        <v>0</v>
      </c>
      <c r="CP362" s="5" t="n">
        <v>0</v>
      </c>
      <c r="CQ362" s="5" t="n">
        <v>1.198</v>
      </c>
      <c r="CR362" s="5" t="n">
        <v>0</v>
      </c>
      <c r="CS362" s="5" t="n">
        <v>4.776</v>
      </c>
      <c r="CT362" s="5" t="n">
        <v>4.865</v>
      </c>
      <c r="CU362" s="5" t="n">
        <v>15.658</v>
      </c>
    </row>
    <row r="363">
      <c r="A363" s="5" t="inlineStr">
        <is>
          <t>ISL2022</t>
        </is>
      </c>
      <c r="B363" s="5" t="inlineStr">
        <is>
          <t>ISL</t>
        </is>
      </c>
      <c r="C363" s="5" t="inlineStr">
        <is>
          <t>ISL</t>
        </is>
      </c>
      <c r="D363" s="5" t="inlineStr">
        <is>
          <t>Iceland</t>
        </is>
      </c>
      <c r="E363" s="5" t="n">
        <v>2022</v>
      </c>
      <c r="F363" s="5" t="n">
        <v>0.24</v>
      </c>
      <c r="G363" s="5" t="n">
        <v>12.793</v>
      </c>
      <c r="H363" s="5" t="n">
        <v>1.235</v>
      </c>
      <c r="I363" s="5" t="n">
        <v>8.414</v>
      </c>
      <c r="J363" s="5" t="n">
        <v>21.207</v>
      </c>
      <c r="K363" s="5" t="n">
        <v>0</v>
      </c>
      <c r="L363" s="5" t="n">
        <v>1</v>
      </c>
      <c r="M363" s="5" t="n">
        <v>9.782999999999999</v>
      </c>
      <c r="N363" s="5" t="n">
        <v>3.704</v>
      </c>
      <c r="O363" s="5" t="n">
        <v>8.266</v>
      </c>
      <c r="P363" s="5" t="n">
        <v>18.049</v>
      </c>
      <c r="Q363" s="5" t="n">
        <v>0</v>
      </c>
      <c r="R363" s="5" t="n">
        <v>1</v>
      </c>
      <c r="S363" s="5" t="n">
        <v>18.967</v>
      </c>
      <c r="T363" s="5" t="n">
        <v>7.408</v>
      </c>
      <c r="U363" s="5" t="n">
        <v>0.337</v>
      </c>
      <c r="V363" s="5" t="n">
        <v>23.519</v>
      </c>
      <c r="W363" s="5" t="n">
        <v>0.24</v>
      </c>
      <c r="X363" s="5" t="n">
        <v>1</v>
      </c>
      <c r="Y363" s="5" t="n">
        <v>12.446</v>
      </c>
      <c r="Z363" s="5" t="n">
        <v>1.816</v>
      </c>
      <c r="AA363" s="5" t="n">
        <v>6.829</v>
      </c>
      <c r="AB363" s="5" t="n">
        <v>19.275</v>
      </c>
      <c r="AC363" s="5" t="n">
        <v>0</v>
      </c>
      <c r="AD363" s="5" t="n">
        <v>1</v>
      </c>
      <c r="AE363" s="5" t="n">
        <v>13.68</v>
      </c>
      <c r="AF363" s="5" t="n">
        <v>3.423</v>
      </c>
      <c r="AG363" s="5" t="n">
        <v>6.831</v>
      </c>
      <c r="AH363" s="5" t="n">
        <v>20.511</v>
      </c>
      <c r="AI363" s="5" t="n">
        <v>0</v>
      </c>
      <c r="AJ363" s="5" t="n">
        <v>1</v>
      </c>
      <c r="AK363" s="5" t="n">
        <v>21.089</v>
      </c>
      <c r="AL363" s="5" t="n">
        <v>11.713</v>
      </c>
      <c r="AM363" s="5" t="n">
        <v>2.41</v>
      </c>
      <c r="AN363" s="5" t="n">
        <v>28.63</v>
      </c>
      <c r="AO363" s="5" t="n">
        <v>0.24</v>
      </c>
      <c r="AP363" s="5" t="n">
        <v>1</v>
      </c>
      <c r="AQ363" s="5" t="n">
        <v>0.861</v>
      </c>
      <c r="AR363" s="5" t="n">
        <v>0.123</v>
      </c>
      <c r="AS363" s="5" t="n">
        <v>0.993</v>
      </c>
      <c r="AT363" s="5" t="n">
        <v>2.299</v>
      </c>
      <c r="AU363" s="5" t="n">
        <v>0.24</v>
      </c>
      <c r="AV363" s="5" t="n">
        <v>1</v>
      </c>
      <c r="AW363" s="5" t="n">
        <v>0.986</v>
      </c>
      <c r="AX363" s="5" t="n">
        <v>0.123</v>
      </c>
      <c r="AY363" s="5" t="n">
        <v>0.852</v>
      </c>
      <c r="AZ363" s="5" t="n">
        <v>2.279</v>
      </c>
      <c r="BA363" s="5" t="n">
        <v>0.24</v>
      </c>
      <c r="BB363" s="5" t="n">
        <v>1</v>
      </c>
      <c r="BC363" s="5" t="n">
        <v>0.598</v>
      </c>
      <c r="BD363" s="5" t="n">
        <v>0.123</v>
      </c>
      <c r="BE363" s="5" t="n">
        <v>0.07099999999999999</v>
      </c>
      <c r="BF363" s="5" t="n">
        <v>0.8139999999999999</v>
      </c>
      <c r="BG363" s="5" t="n">
        <v>0.24</v>
      </c>
      <c r="BH363" s="5" t="n">
        <v>1</v>
      </c>
      <c r="BI363" s="5" t="n">
        <v>0.612</v>
      </c>
      <c r="BJ363" s="5" t="n">
        <v>0.123</v>
      </c>
      <c r="BK363" s="5" t="n">
        <v>0.301</v>
      </c>
      <c r="BL363" s="5" t="n">
        <v>1.132</v>
      </c>
      <c r="BM363" s="5" t="n">
        <v>0.24</v>
      </c>
      <c r="BN363" s="5" t="n">
        <v>1</v>
      </c>
      <c r="BO363" s="5" t="n">
        <v>0</v>
      </c>
      <c r="BP363" s="5" t="n">
        <v>0.002</v>
      </c>
      <c r="BQ363" s="5" t="n">
        <v>0.06900000000000001</v>
      </c>
      <c r="BR363" s="5" t="n">
        <v>0</v>
      </c>
      <c r="BS363" s="5" t="n">
        <v>1</v>
      </c>
      <c r="BT363" s="5" t="n">
        <v>0</v>
      </c>
      <c r="BU363" s="5" t="n">
        <v>0.003</v>
      </c>
      <c r="BV363" s="5" t="n">
        <v>0.162</v>
      </c>
      <c r="BW363" s="5" t="n">
        <v>0.24</v>
      </c>
      <c r="BX363" s="5" t="n">
        <v>0.833</v>
      </c>
      <c r="BY363" s="5" t="n">
        <v>12.729</v>
      </c>
      <c r="BZ363" s="5" t="n">
        <v>0</v>
      </c>
      <c r="CA363" s="5" t="n">
        <v>12.729</v>
      </c>
      <c r="CB363" s="5" t="n">
        <v>0</v>
      </c>
      <c r="CC363" s="5" t="n">
        <v>97.90000000000001</v>
      </c>
      <c r="CD363" s="5" t="n">
        <v>7.95</v>
      </c>
      <c r="CE363" s="5" t="n">
        <v>50.254</v>
      </c>
      <c r="CF363" s="5" t="n">
        <v>183.711</v>
      </c>
      <c r="CG363" s="5" t="n">
        <v>0.24</v>
      </c>
      <c r="CH363" s="5" t="n">
        <v>1</v>
      </c>
      <c r="CI363" s="5" t="n">
        <v>0</v>
      </c>
      <c r="CJ363" s="5" t="n">
        <v>0</v>
      </c>
      <c r="CK363" s="5" t="n">
        <v>0</v>
      </c>
      <c r="CL363" s="5" t="n">
        <v>0</v>
      </c>
      <c r="CM363" s="5" t="n">
        <v>0</v>
      </c>
      <c r="CN363" s="5" t="n">
        <v>0</v>
      </c>
      <c r="CO363" s="5" t="n">
        <v>0</v>
      </c>
      <c r="CP363" s="5" t="n">
        <v>0</v>
      </c>
      <c r="CQ363" s="5" t="n">
        <v>1.294</v>
      </c>
      <c r="CR363" s="5" t="n">
        <v>0</v>
      </c>
      <c r="CS363" s="5" t="n">
        <v>5.158</v>
      </c>
      <c r="CT363" s="5" t="n">
        <v>11.559</v>
      </c>
      <c r="CU363" s="5" t="n">
        <v>29.266</v>
      </c>
    </row>
    <row r="364">
      <c r="A364" s="5" t="inlineStr">
        <is>
          <t>ISL2023</t>
        </is>
      </c>
      <c r="B364" s="5" t="inlineStr">
        <is>
          <t>ISL</t>
        </is>
      </c>
      <c r="C364" s="5" t="inlineStr">
        <is>
          <t>ISL</t>
        </is>
      </c>
      <c r="D364" s="5" t="inlineStr">
        <is>
          <t>Iceland</t>
        </is>
      </c>
      <c r="E364" s="5" t="n">
        <v>2023</v>
      </c>
      <c r="F364" s="5" t="n">
        <v>0.24</v>
      </c>
      <c r="G364" s="5" t="n">
        <v>6.426</v>
      </c>
      <c r="H364" s="5" t="n">
        <v>1.286</v>
      </c>
      <c r="I364" s="5" t="n">
        <v>9.750999999999999</v>
      </c>
      <c r="J364" s="5" t="n">
        <v>16.177</v>
      </c>
      <c r="K364" s="5" t="n">
        <v>0</v>
      </c>
      <c r="L364" s="5" t="n">
        <v>1</v>
      </c>
      <c r="M364" s="5" t="n">
        <v>7.886</v>
      </c>
      <c r="N364" s="5" t="n">
        <v>3.857</v>
      </c>
      <c r="O364" s="5" t="n">
        <v>9.579000000000001</v>
      </c>
      <c r="P364" s="5" t="n">
        <v>17.465</v>
      </c>
      <c r="Q364" s="5" t="n">
        <v>0</v>
      </c>
      <c r="R364" s="5" t="n">
        <v>1</v>
      </c>
      <c r="S364" s="5" t="n">
        <v>12.854</v>
      </c>
      <c r="T364" s="5" t="n">
        <v>7.714</v>
      </c>
      <c r="U364" s="5" t="n">
        <v>0.342</v>
      </c>
      <c r="V364" s="5" t="n">
        <v>15.939</v>
      </c>
      <c r="W364" s="5" t="n">
        <v>0.24</v>
      </c>
      <c r="X364" s="5" t="n">
        <v>1</v>
      </c>
      <c r="Y364" s="5" t="n">
        <v>12.546</v>
      </c>
      <c r="Z364" s="5" t="n">
        <v>1.83</v>
      </c>
      <c r="AA364" s="5" t="n">
        <v>7.71</v>
      </c>
      <c r="AB364" s="5" t="n">
        <v>20.256</v>
      </c>
      <c r="AC364" s="5" t="n">
        <v>0</v>
      </c>
      <c r="AD364" s="5" t="n">
        <v>1</v>
      </c>
      <c r="AE364" s="5" t="n">
        <v>13.832</v>
      </c>
      <c r="AF364" s="5" t="n">
        <v>3.461</v>
      </c>
      <c r="AG364" s="5" t="n">
        <v>7.713</v>
      </c>
      <c r="AH364" s="5" t="n">
        <v>21.545</v>
      </c>
      <c r="AI364" s="5" t="n">
        <v>0</v>
      </c>
      <c r="AJ364" s="5" t="n">
        <v>1</v>
      </c>
      <c r="AK364" s="5" t="n">
        <v>21.546</v>
      </c>
      <c r="AL364" s="5" t="n">
        <v>11.967</v>
      </c>
      <c r="AM364" s="5" t="n">
        <v>2.744</v>
      </c>
      <c r="AN364" s="5" t="n">
        <v>29.339</v>
      </c>
      <c r="AO364" s="5" t="n">
        <v>0.24</v>
      </c>
      <c r="AP364" s="5" t="n">
        <v>1</v>
      </c>
      <c r="AQ364" s="5" t="n">
        <v>0.76</v>
      </c>
      <c r="AR364" s="5" t="n">
        <v>0.129</v>
      </c>
      <c r="AS364" s="5" t="n">
        <v>1.085</v>
      </c>
      <c r="AT364" s="5" t="n">
        <v>2.289</v>
      </c>
      <c r="AU364" s="5" t="n">
        <v>0.24</v>
      </c>
      <c r="AV364" s="5" t="n">
        <v>1</v>
      </c>
      <c r="AW364" s="5" t="n">
        <v>0.8110000000000001</v>
      </c>
      <c r="AX364" s="5" t="n">
        <v>0.129</v>
      </c>
      <c r="AY364" s="5" t="n">
        <v>1.042</v>
      </c>
      <c r="AZ364" s="5" t="n">
        <v>2.298</v>
      </c>
      <c r="BA364" s="5" t="n">
        <v>0.24</v>
      </c>
      <c r="BB364" s="5" t="n">
        <v>1</v>
      </c>
      <c r="BC364" s="5" t="n">
        <v>0.535</v>
      </c>
      <c r="BD364" s="5" t="n">
        <v>0.129</v>
      </c>
      <c r="BE364" s="5" t="n">
        <v>0.078</v>
      </c>
      <c r="BF364" s="5" t="n">
        <v>0.741</v>
      </c>
      <c r="BG364" s="5" t="n">
        <v>0.24</v>
      </c>
      <c r="BH364" s="5" t="n">
        <v>1</v>
      </c>
      <c r="BI364" s="5" t="n">
        <v>0.579</v>
      </c>
      <c r="BJ364" s="5" t="n">
        <v>0.129</v>
      </c>
      <c r="BK364" s="5" t="n">
        <v>0.458</v>
      </c>
      <c r="BL364" s="5" t="n">
        <v>1.286</v>
      </c>
      <c r="BM364" s="5" t="n">
        <v>0.24</v>
      </c>
      <c r="BN364" s="5" t="n">
        <v>1</v>
      </c>
      <c r="BO364" s="5" t="n">
        <v>0</v>
      </c>
      <c r="BP364" s="5" t="n">
        <v>0.002</v>
      </c>
      <c r="BQ364" s="5" t="n">
        <v>0.073</v>
      </c>
      <c r="BR364" s="5" t="n">
        <v>0</v>
      </c>
      <c r="BS364" s="5" t="n">
        <v>1</v>
      </c>
      <c r="BT364" s="5" t="n">
        <v>0</v>
      </c>
      <c r="BU364" s="5" t="n">
        <v>0.003</v>
      </c>
      <c r="BV364" s="5" t="n">
        <v>0.17</v>
      </c>
      <c r="BW364" s="5" t="n">
        <v>0.24</v>
      </c>
      <c r="BX364" s="5" t="n">
        <v>0.833</v>
      </c>
      <c r="BY364" s="5" t="n">
        <v>13.254</v>
      </c>
      <c r="BZ364" s="5" t="n">
        <v>0</v>
      </c>
      <c r="CA364" s="5" t="n">
        <v>13.254</v>
      </c>
      <c r="CB364" s="5" t="n">
        <v>0</v>
      </c>
      <c r="CC364" s="5" t="n">
        <v>83.248</v>
      </c>
      <c r="CD364" s="5" t="n">
        <v>7.95</v>
      </c>
      <c r="CE364" s="5" t="n">
        <v>85.05500000000001</v>
      </c>
      <c r="CF364" s="5" t="n">
        <v>208.696</v>
      </c>
      <c r="CG364" s="5" t="n">
        <v>0.24</v>
      </c>
      <c r="CH364" s="5" t="n">
        <v>1</v>
      </c>
      <c r="CI364" s="5" t="n">
        <v>0</v>
      </c>
      <c r="CJ364" s="5" t="n">
        <v>0</v>
      </c>
      <c r="CK364" s="5" t="n">
        <v>0</v>
      </c>
      <c r="CL364" s="5" t="n">
        <v>0</v>
      </c>
      <c r="CM364" s="5" t="n">
        <v>0</v>
      </c>
      <c r="CN364" s="5" t="n">
        <v>0</v>
      </c>
      <c r="CO364" s="5" t="n">
        <v>0</v>
      </c>
      <c r="CP364" s="5" t="n">
        <v>0</v>
      </c>
      <c r="CQ364" s="5" t="n">
        <v>1.348</v>
      </c>
      <c r="CR364" s="5" t="n">
        <v>0</v>
      </c>
      <c r="CS364" s="5" t="n">
        <v>5.37</v>
      </c>
      <c r="CT364" s="5" t="n">
        <v>5.14</v>
      </c>
      <c r="CU364" s="5" t="n">
        <v>11.72</v>
      </c>
    </row>
    <row r="365">
      <c r="A365" s="5" t="inlineStr">
        <is>
          <t>ISL2024</t>
        </is>
      </c>
      <c r="B365" s="5" t="inlineStr">
        <is>
          <t>ISL</t>
        </is>
      </c>
      <c r="C365" s="5" t="inlineStr">
        <is>
          <t>ISL</t>
        </is>
      </c>
      <c r="D365" s="5" t="inlineStr">
        <is>
          <t>Iceland</t>
        </is>
      </c>
      <c r="E365" s="5" t="n">
        <v>2024</v>
      </c>
      <c r="F365" s="5" t="n">
        <v>0.24</v>
      </c>
      <c r="G365" s="5" t="n">
        <v>5.346</v>
      </c>
      <c r="H365" s="5" t="n">
        <v>1.324</v>
      </c>
      <c r="I365" s="5" t="n">
        <v>6.39</v>
      </c>
      <c r="J365" s="5" t="n">
        <v>11.736</v>
      </c>
      <c r="K365" s="5" t="n">
        <v>0</v>
      </c>
      <c r="L365" s="5" t="n">
        <v>1</v>
      </c>
      <c r="M365" s="5" t="n">
        <v>7.124</v>
      </c>
      <c r="N365" s="5" t="n">
        <v>3.971</v>
      </c>
      <c r="O365" s="5" t="n">
        <v>6.278</v>
      </c>
      <c r="P365" s="5" t="n">
        <v>13.401</v>
      </c>
      <c r="Q365" s="5" t="n">
        <v>0</v>
      </c>
      <c r="R365" s="5" t="n">
        <v>1</v>
      </c>
      <c r="S365" s="5" t="n">
        <v>11.964</v>
      </c>
      <c r="T365" s="5" t="n">
        <v>7.942</v>
      </c>
      <c r="U365" s="5" t="n">
        <v>0.391</v>
      </c>
      <c r="V365" s="5" t="n">
        <v>14.835</v>
      </c>
      <c r="W365" s="5" t="n">
        <v>0.24</v>
      </c>
      <c r="X365" s="5" t="n">
        <v>1</v>
      </c>
      <c r="Y365" s="5" t="n">
        <v>10.08</v>
      </c>
      <c r="Z365" s="5" t="n">
        <v>1.471</v>
      </c>
      <c r="AA365" s="5" t="n">
        <v>5.867</v>
      </c>
      <c r="AB365" s="5" t="n">
        <v>15.947</v>
      </c>
      <c r="AC365" s="5" t="n">
        <v>0</v>
      </c>
      <c r="AD365" s="5" t="n">
        <v>1</v>
      </c>
      <c r="AE365" s="5" t="n">
        <v>11.404</v>
      </c>
      <c r="AF365" s="5" t="n">
        <v>2.853</v>
      </c>
      <c r="AG365" s="5" t="n">
        <v>5.869</v>
      </c>
      <c r="AH365" s="5" t="n">
        <v>17.273</v>
      </c>
      <c r="AI365" s="5" t="n">
        <v>0</v>
      </c>
      <c r="AJ365" s="5" t="n">
        <v>1</v>
      </c>
      <c r="AK365" s="5" t="n">
        <v>19.345</v>
      </c>
      <c r="AL365" s="5" t="n">
        <v>10.745</v>
      </c>
      <c r="AM365" s="5" t="n">
        <v>2.905</v>
      </c>
      <c r="AN365" s="5" t="n">
        <v>26.717</v>
      </c>
      <c r="AO365" s="5" t="n">
        <v>0.24</v>
      </c>
      <c r="AP365" s="5" t="n">
        <v>1</v>
      </c>
      <c r="AQ365" s="5" t="n">
        <v>0.724</v>
      </c>
      <c r="AR365" s="5" t="n">
        <v>0.132</v>
      </c>
      <c r="AS365" s="5" t="n">
        <v>1.097</v>
      </c>
      <c r="AT365" s="5" t="n">
        <v>2.259</v>
      </c>
      <c r="AU365" s="5" t="n">
        <v>0.24</v>
      </c>
      <c r="AV365" s="5" t="n">
        <v>1</v>
      </c>
      <c r="AW365" s="5" t="n">
        <v>0.75</v>
      </c>
      <c r="AX365" s="5" t="n">
        <v>0.132</v>
      </c>
      <c r="AY365" s="5" t="n">
        <v>1.096</v>
      </c>
      <c r="AZ365" s="5" t="n">
        <v>2.289</v>
      </c>
      <c r="BA365" s="5" t="n">
        <v>0.24</v>
      </c>
      <c r="BB365" s="5" t="n">
        <v>1</v>
      </c>
      <c r="BC365" s="5" t="n">
        <v>0.513</v>
      </c>
      <c r="BD365" s="5" t="n">
        <v>0.132</v>
      </c>
      <c r="BE365" s="5" t="n">
        <v>0.08400000000000001</v>
      </c>
      <c r="BF365" s="5" t="n">
        <v>0.717</v>
      </c>
      <c r="BG365" s="5" t="n">
        <v>0.24</v>
      </c>
      <c r="BH365" s="5" t="n">
        <v>1</v>
      </c>
      <c r="BI365" s="5" t="n">
        <v>0.591</v>
      </c>
      <c r="BJ365" s="5" t="n">
        <v>0.132</v>
      </c>
      <c r="BK365" s="5" t="n">
        <v>0.466</v>
      </c>
      <c r="BL365" s="5" t="n">
        <v>1.312</v>
      </c>
      <c r="BM365" s="5" t="n">
        <v>0.24</v>
      </c>
      <c r="BN365" s="5" t="n">
        <v>1</v>
      </c>
      <c r="BO365" s="5" t="n">
        <v>0</v>
      </c>
      <c r="BP365" s="5" t="n">
        <v>0.002</v>
      </c>
      <c r="BQ365" s="5" t="n">
        <v>0.081</v>
      </c>
      <c r="BR365" s="5" t="n">
        <v>0</v>
      </c>
      <c r="BS365" s="5" t="n">
        <v>1</v>
      </c>
      <c r="BT365" s="5" t="n">
        <v>0</v>
      </c>
      <c r="BU365" s="5" t="n">
        <v>0.003</v>
      </c>
      <c r="BV365" s="5" t="n">
        <v>0.19</v>
      </c>
      <c r="BW365" s="5" t="n">
        <v>0.24</v>
      </c>
      <c r="BX365" s="5" t="n">
        <v>0.833</v>
      </c>
      <c r="BY365" s="5" t="n">
        <v>13.646</v>
      </c>
      <c r="BZ365" s="5" t="n">
        <v>0</v>
      </c>
      <c r="CA365" s="5" t="n">
        <v>13.646</v>
      </c>
      <c r="CB365" s="5" t="n">
        <v>0</v>
      </c>
      <c r="CC365" s="5" t="n">
        <v>82.58799999999999</v>
      </c>
      <c r="CD365" s="5" t="n">
        <v>7.95</v>
      </c>
      <c r="CE365" s="5" t="n">
        <v>89.01000000000001</v>
      </c>
      <c r="CF365" s="5" t="n">
        <v>212.781</v>
      </c>
      <c r="CG365" s="5" t="n">
        <v>0.24</v>
      </c>
      <c r="CH365" s="5" t="n">
        <v>1</v>
      </c>
      <c r="CI365" s="5" t="n">
        <v>0</v>
      </c>
      <c r="CJ365" s="5" t="n">
        <v>0</v>
      </c>
      <c r="CK365" s="5" t="n">
        <v>0</v>
      </c>
      <c r="CL365" s="5" t="n">
        <v>0</v>
      </c>
      <c r="CM365" s="5" t="n">
        <v>0</v>
      </c>
      <c r="CN365" s="5" t="n">
        <v>0</v>
      </c>
      <c r="CO365" s="5" t="n">
        <v>0</v>
      </c>
      <c r="CP365" s="5" t="n">
        <v>0</v>
      </c>
      <c r="CQ365" s="5" t="n">
        <v>1.387</v>
      </c>
      <c r="CR365" s="5" t="n">
        <v>0</v>
      </c>
      <c r="CS365" s="5" t="n">
        <v>5.529</v>
      </c>
      <c r="CT365" s="5" t="n">
        <v>4.022</v>
      </c>
      <c r="CU365" s="5" t="n">
        <v>9.494999999999999</v>
      </c>
    </row>
    <row r="366">
      <c r="A366" s="5" t="inlineStr">
        <is>
          <t>IND2021</t>
        </is>
      </c>
      <c r="B366" s="5" t="inlineStr">
        <is>
          <t>IND</t>
        </is>
      </c>
      <c r="C366" s="5" t="inlineStr">
        <is>
          <t>IND</t>
        </is>
      </c>
      <c r="D366" s="5" t="inlineStr">
        <is>
          <t>India</t>
        </is>
      </c>
      <c r="E366" s="5" t="n">
        <v>2021</v>
      </c>
      <c r="F366" s="5" t="n">
        <v>0.18</v>
      </c>
      <c r="G366" s="5" t="n">
        <v>2.467</v>
      </c>
      <c r="H366" s="5" t="n">
        <v>0.722</v>
      </c>
      <c r="I366" s="5" t="n">
        <v>0.407</v>
      </c>
      <c r="J366" s="5" t="n">
        <v>2.873</v>
      </c>
      <c r="K366" s="5" t="n">
        <v>0</v>
      </c>
      <c r="L366" s="5" t="n">
        <v>1</v>
      </c>
      <c r="M366" s="5" t="n">
        <v>3.936</v>
      </c>
      <c r="N366" s="5" t="n">
        <v>2.166</v>
      </c>
      <c r="O366" s="5" t="n">
        <v>0.352</v>
      </c>
      <c r="P366" s="5" t="n">
        <v>4.288</v>
      </c>
      <c r="Q366" s="5" t="n">
        <v>0</v>
      </c>
      <c r="R366" s="5" t="n">
        <v>1</v>
      </c>
      <c r="S366" s="5" t="n">
        <v>6.077</v>
      </c>
      <c r="T366" s="5" t="n">
        <v>4.332</v>
      </c>
      <c r="U366" s="5" t="n">
        <v>0.401</v>
      </c>
      <c r="V366" s="5" t="n">
        <v>7.643</v>
      </c>
      <c r="W366" s="5" t="n">
        <v>0.18</v>
      </c>
      <c r="X366" s="5" t="n">
        <v>1</v>
      </c>
      <c r="Y366" s="5" t="n">
        <v>11.183</v>
      </c>
      <c r="Z366" s="5" t="n">
        <v>0.993</v>
      </c>
      <c r="AA366" s="5" t="n">
        <v>-8.353</v>
      </c>
      <c r="AB366" s="5" t="n">
        <v>2.83</v>
      </c>
      <c r="AC366" s="5" t="n">
        <v>0</v>
      </c>
      <c r="AD366" s="5" t="n">
        <v>0</v>
      </c>
      <c r="AE366" s="5" t="n">
        <v>12.04</v>
      </c>
      <c r="AF366" s="5" t="n">
        <v>1.945</v>
      </c>
      <c r="AG366" s="5" t="n">
        <v>-9.210000000000001</v>
      </c>
      <c r="AH366" s="5" t="n">
        <v>2.83</v>
      </c>
      <c r="AI366" s="5" t="n">
        <v>0</v>
      </c>
      <c r="AJ366" s="5" t="n">
        <v>0</v>
      </c>
      <c r="AK366" s="5" t="n">
        <v>17.18</v>
      </c>
      <c r="AL366" s="5" t="n">
        <v>7.291</v>
      </c>
      <c r="AM366" s="5" t="n">
        <v>-14.197</v>
      </c>
      <c r="AN366" s="5" t="n">
        <v>2.983</v>
      </c>
      <c r="AO366" s="5" t="n">
        <v>0</v>
      </c>
      <c r="AP366" s="5" t="n">
        <v>0</v>
      </c>
      <c r="AQ366" s="5" t="n">
        <v>0.51</v>
      </c>
      <c r="AR366" s="5" t="n">
        <v>0.093</v>
      </c>
      <c r="AS366" s="5" t="n">
        <v>0.619</v>
      </c>
      <c r="AT366" s="5" t="n">
        <v>1.332</v>
      </c>
      <c r="AU366" s="5" t="n">
        <v>0.18</v>
      </c>
      <c r="AV366" s="5" t="n">
        <v>1</v>
      </c>
      <c r="AW366" s="5" t="n">
        <v>0.506</v>
      </c>
      <c r="AX366" s="5" t="n">
        <v>0.098</v>
      </c>
      <c r="AY366" s="5" t="n">
        <v>0.516</v>
      </c>
      <c r="AZ366" s="5" t="n">
        <v>1.206</v>
      </c>
      <c r="BA366" s="5" t="n">
        <v>0.18</v>
      </c>
      <c r="BB366" s="5" t="n">
        <v>1</v>
      </c>
      <c r="BC366" s="5" t="n">
        <v>0.452</v>
      </c>
      <c r="BD366" s="5" t="n">
        <v>0.117</v>
      </c>
      <c r="BE366" s="5" t="n">
        <v>0.18</v>
      </c>
      <c r="BF366" s="5" t="n">
        <v>0.745</v>
      </c>
      <c r="BG366" s="5" t="n">
        <v>0.18</v>
      </c>
      <c r="BH366" s="5" t="n">
        <v>1</v>
      </c>
      <c r="BI366" s="5" t="n">
        <v>0.212</v>
      </c>
      <c r="BJ366" s="5" t="n">
        <v>0.047</v>
      </c>
      <c r="BK366" s="5" t="n">
        <v>0.157</v>
      </c>
      <c r="BL366" s="5" t="n">
        <v>0.436</v>
      </c>
      <c r="BM366" s="5" t="n">
        <v>0.18</v>
      </c>
      <c r="BN366" s="5" t="n">
        <v>1</v>
      </c>
      <c r="BO366" s="5" t="n">
        <v>0</v>
      </c>
      <c r="BP366" s="5" t="n">
        <v>-0.01</v>
      </c>
      <c r="BQ366" s="5" t="n">
        <v>0.09</v>
      </c>
      <c r="BR366" s="5" t="n">
        <v>0</v>
      </c>
      <c r="BS366" s="5" t="n">
        <v>1</v>
      </c>
      <c r="BT366" s="5" t="n">
        <v>0</v>
      </c>
      <c r="BU366" s="5" t="n">
        <v>-0.01</v>
      </c>
      <c r="BV366" s="5" t="n">
        <v>0.049</v>
      </c>
      <c r="BW366" s="5" t="n">
        <v>0</v>
      </c>
      <c r="BX366" s="5" t="n">
        <v>0.833</v>
      </c>
      <c r="BY366" s="5" t="n">
        <v>11.787</v>
      </c>
      <c r="BZ366" s="5" t="n">
        <v>0</v>
      </c>
      <c r="CA366" s="5" t="n">
        <v>11.787</v>
      </c>
      <c r="CB366" s="5" t="n">
        <v>0</v>
      </c>
      <c r="CC366" s="5" t="n">
        <v>40.451</v>
      </c>
      <c r="CD366" s="5" t="n">
        <v>-33.294</v>
      </c>
      <c r="CE366" s="5" t="n">
        <v>32.351</v>
      </c>
      <c r="CF366" s="5" t="n">
        <v>85.90600000000001</v>
      </c>
      <c r="CG366" s="5" t="n">
        <v>0.18</v>
      </c>
      <c r="CH366" s="5" t="n">
        <v>1</v>
      </c>
      <c r="CI366" s="5" t="n">
        <v>0</v>
      </c>
      <c r="CJ366" s="5" t="n">
        <v>0</v>
      </c>
      <c r="CK366" s="5" t="n">
        <v>0</v>
      </c>
      <c r="CL366" s="5" t="n">
        <v>0.008999999999999999</v>
      </c>
      <c r="CM366" s="5" t="n">
        <v>0</v>
      </c>
      <c r="CN366" s="5" t="n">
        <v>0</v>
      </c>
      <c r="CO366" s="5" t="n">
        <v>0</v>
      </c>
      <c r="CP366" s="5" t="n">
        <v>0.737</v>
      </c>
      <c r="CQ366" s="5" t="n">
        <v>1.108</v>
      </c>
      <c r="CR366" s="5" t="n">
        <v>0.501</v>
      </c>
      <c r="CS366" s="5" t="n">
        <v>4.438</v>
      </c>
      <c r="CT366" s="5" t="n">
        <v>3.529</v>
      </c>
      <c r="CU366" s="5" t="n">
        <v>16.25</v>
      </c>
    </row>
    <row r="367">
      <c r="A367" s="5" t="inlineStr">
        <is>
          <t>IND2022</t>
        </is>
      </c>
      <c r="B367" s="5" t="inlineStr">
        <is>
          <t>IND</t>
        </is>
      </c>
      <c r="C367" s="5" t="inlineStr">
        <is>
          <t>IND</t>
        </is>
      </c>
      <c r="D367" s="5" t="inlineStr">
        <is>
          <t>India</t>
        </is>
      </c>
      <c r="E367" s="5" t="n">
        <v>2022</v>
      </c>
      <c r="F367" s="5" t="n">
        <v>0.18</v>
      </c>
      <c r="G367" s="5" t="n">
        <v>3.116</v>
      </c>
      <c r="H367" s="5" t="n">
        <v>0.782</v>
      </c>
      <c r="I367" s="5" t="n">
        <v>0.443</v>
      </c>
      <c r="J367" s="5" t="n">
        <v>3.559</v>
      </c>
      <c r="K367" s="5" t="n">
        <v>0</v>
      </c>
      <c r="L367" s="5" t="n">
        <v>1</v>
      </c>
      <c r="M367" s="5" t="n">
        <v>4.748</v>
      </c>
      <c r="N367" s="5" t="n">
        <v>2.346</v>
      </c>
      <c r="O367" s="5" t="n">
        <v>0.396</v>
      </c>
      <c r="P367" s="5" t="n">
        <v>5.143</v>
      </c>
      <c r="Q367" s="5" t="n">
        <v>0</v>
      </c>
      <c r="R367" s="5" t="n">
        <v>1</v>
      </c>
      <c r="S367" s="5" t="n">
        <v>7.025</v>
      </c>
      <c r="T367" s="5" t="n">
        <v>4.691</v>
      </c>
      <c r="U367" s="5" t="n">
        <v>0.537</v>
      </c>
      <c r="V367" s="5" t="n">
        <v>8.805999999999999</v>
      </c>
      <c r="W367" s="5" t="n">
        <v>0.18</v>
      </c>
      <c r="X367" s="5" t="n">
        <v>1</v>
      </c>
      <c r="Y367" s="5" t="n">
        <v>15.918</v>
      </c>
      <c r="Z367" s="5" t="n">
        <v>1.414</v>
      </c>
      <c r="AA367" s="5" t="n">
        <v>-10.308</v>
      </c>
      <c r="AB367" s="5" t="n">
        <v>5.61</v>
      </c>
      <c r="AC367" s="5" t="n">
        <v>0</v>
      </c>
      <c r="AD367" s="5" t="n">
        <v>0</v>
      </c>
      <c r="AE367" s="5" t="n">
        <v>16.816</v>
      </c>
      <c r="AF367" s="5" t="n">
        <v>2.716</v>
      </c>
      <c r="AG367" s="5" t="n">
        <v>-11.206</v>
      </c>
      <c r="AH367" s="5" t="n">
        <v>5.61</v>
      </c>
      <c r="AI367" s="5" t="n">
        <v>0</v>
      </c>
      <c r="AJ367" s="5" t="n">
        <v>0</v>
      </c>
      <c r="AK367" s="5" t="n">
        <v>22.199</v>
      </c>
      <c r="AL367" s="5" t="n">
        <v>9.422000000000001</v>
      </c>
      <c r="AM367" s="5" t="n">
        <v>-16.282</v>
      </c>
      <c r="AN367" s="5" t="n">
        <v>5.918</v>
      </c>
      <c r="AO367" s="5" t="n">
        <v>0</v>
      </c>
      <c r="AP367" s="5" t="n">
        <v>0</v>
      </c>
      <c r="AQ367" s="5" t="n">
        <v>0.644</v>
      </c>
      <c r="AR367" s="5" t="n">
        <v>0.092</v>
      </c>
      <c r="AS367" s="5" t="n">
        <v>0.489</v>
      </c>
      <c r="AT367" s="5" t="n">
        <v>1.336</v>
      </c>
      <c r="AU367" s="5" t="n">
        <v>0.18</v>
      </c>
      <c r="AV367" s="5" t="n">
        <v>1</v>
      </c>
      <c r="AW367" s="5" t="n">
        <v>0.574</v>
      </c>
      <c r="AX367" s="5" t="n">
        <v>0.075</v>
      </c>
      <c r="AY367" s="5" t="n">
        <v>0.436</v>
      </c>
      <c r="AZ367" s="5" t="n">
        <v>1.192</v>
      </c>
      <c r="BA367" s="5" t="n">
        <v>0.18</v>
      </c>
      <c r="BB367" s="5" t="n">
        <v>1</v>
      </c>
      <c r="BC367" s="5" t="n">
        <v>0.5</v>
      </c>
      <c r="BD367" s="5" t="n">
        <v>0.103</v>
      </c>
      <c r="BE367" s="5" t="n">
        <v>0.224</v>
      </c>
      <c r="BF367" s="5" t="n">
        <v>0.855</v>
      </c>
      <c r="BG367" s="5" t="n">
        <v>0.18</v>
      </c>
      <c r="BH367" s="5" t="n">
        <v>1</v>
      </c>
      <c r="BI367" s="5" t="n">
        <v>0.375</v>
      </c>
      <c r="BJ367" s="5" t="n">
        <v>0.073</v>
      </c>
      <c r="BK367" s="5" t="n">
        <v>0.223</v>
      </c>
      <c r="BL367" s="5" t="n">
        <v>0.706</v>
      </c>
      <c r="BM367" s="5" t="n">
        <v>0.18</v>
      </c>
      <c r="BN367" s="5" t="n">
        <v>1</v>
      </c>
      <c r="BO367" s="5" t="n">
        <v>0</v>
      </c>
      <c r="BP367" s="5" t="n">
        <v>-0.013</v>
      </c>
      <c r="BQ367" s="5" t="n">
        <v>0.13</v>
      </c>
      <c r="BR367" s="5" t="n">
        <v>0</v>
      </c>
      <c r="BS367" s="5" t="n">
        <v>1</v>
      </c>
      <c r="BT367" s="5" t="n">
        <v>0</v>
      </c>
      <c r="BU367" s="5" t="n">
        <v>-0.013</v>
      </c>
      <c r="BV367" s="5" t="n">
        <v>0.067</v>
      </c>
      <c r="BW367" s="5" t="n">
        <v>0</v>
      </c>
      <c r="BX367" s="5" t="n">
        <v>0.833</v>
      </c>
      <c r="BY367" s="5" t="n">
        <v>12.729</v>
      </c>
      <c r="BZ367" s="5" t="n">
        <v>0</v>
      </c>
      <c r="CA367" s="5" t="n">
        <v>12.729</v>
      </c>
      <c r="CB367" s="5" t="n">
        <v>0</v>
      </c>
      <c r="CC367" s="5" t="n">
        <v>81.131</v>
      </c>
      <c r="CD367" s="5" t="n">
        <v>-13.396</v>
      </c>
      <c r="CE367" s="5" t="n">
        <v>48.289</v>
      </c>
      <c r="CF367" s="5" t="n">
        <v>152.715</v>
      </c>
      <c r="CG367" s="5" t="n">
        <v>0.18</v>
      </c>
      <c r="CH367" s="5" t="n">
        <v>1</v>
      </c>
      <c r="CI367" s="5" t="n">
        <v>0</v>
      </c>
      <c r="CJ367" s="5" t="n">
        <v>0</v>
      </c>
      <c r="CK367" s="5" t="n">
        <v>0</v>
      </c>
      <c r="CL367" s="5" t="n">
        <v>0.01</v>
      </c>
      <c r="CM367" s="5" t="n">
        <v>0</v>
      </c>
      <c r="CN367" s="5" t="n">
        <v>0</v>
      </c>
      <c r="CO367" s="5" t="n">
        <v>0</v>
      </c>
      <c r="CP367" s="5" t="n">
        <v>0.733</v>
      </c>
      <c r="CQ367" s="5" t="n">
        <v>1.197</v>
      </c>
      <c r="CR367" s="5" t="n">
        <v>0.547</v>
      </c>
      <c r="CS367" s="5" t="n">
        <v>4.792</v>
      </c>
      <c r="CT367" s="5" t="n">
        <v>5.463</v>
      </c>
      <c r="CU367" s="5" t="n">
        <v>27.353</v>
      </c>
    </row>
    <row r="368">
      <c r="A368" s="5" t="inlineStr">
        <is>
          <t>IND2023</t>
        </is>
      </c>
      <c r="B368" s="5" t="inlineStr">
        <is>
          <t>IND</t>
        </is>
      </c>
      <c r="C368" s="5" t="inlineStr">
        <is>
          <t>IND</t>
        </is>
      </c>
      <c r="D368" s="5" t="inlineStr">
        <is>
          <t>India</t>
        </is>
      </c>
      <c r="E368" s="5" t="n">
        <v>2023</v>
      </c>
      <c r="F368" s="5" t="n">
        <v>0.18</v>
      </c>
      <c r="G368" s="5" t="n">
        <v>2.673</v>
      </c>
      <c r="H368" s="5" t="n">
        <v>0.8090000000000001</v>
      </c>
      <c r="I368" s="5" t="n">
        <v>0.375</v>
      </c>
      <c r="J368" s="5" t="n">
        <v>3.048</v>
      </c>
      <c r="K368" s="5" t="n">
        <v>0</v>
      </c>
      <c r="L368" s="5" t="n">
        <v>1</v>
      </c>
      <c r="M368" s="5" t="n">
        <v>4.372</v>
      </c>
      <c r="N368" s="5" t="n">
        <v>2.427</v>
      </c>
      <c r="O368" s="5" t="n">
        <v>0.332</v>
      </c>
      <c r="P368" s="5" t="n">
        <v>4.704</v>
      </c>
      <c r="Q368" s="5" t="n">
        <v>0</v>
      </c>
      <c r="R368" s="5" t="n">
        <v>1</v>
      </c>
      <c r="S368" s="5" t="n">
        <v>6.718</v>
      </c>
      <c r="T368" s="5" t="n">
        <v>4.854</v>
      </c>
      <c r="U368" s="5" t="n">
        <v>0.511</v>
      </c>
      <c r="V368" s="5" t="n">
        <v>8.364000000000001</v>
      </c>
      <c r="W368" s="5" t="n">
        <v>0.18</v>
      </c>
      <c r="X368" s="5" t="n">
        <v>1</v>
      </c>
      <c r="Y368" s="5" t="n">
        <v>9.414</v>
      </c>
      <c r="Z368" s="5" t="n">
        <v>0.836</v>
      </c>
      <c r="AA368" s="5" t="n">
        <v>-1.504</v>
      </c>
      <c r="AB368" s="5" t="n">
        <v>7.91</v>
      </c>
      <c r="AC368" s="5" t="n">
        <v>0</v>
      </c>
      <c r="AD368" s="5" t="n">
        <v>0</v>
      </c>
      <c r="AE368" s="5" t="n">
        <v>10.369</v>
      </c>
      <c r="AF368" s="5" t="n">
        <v>1.675</v>
      </c>
      <c r="AG368" s="5" t="n">
        <v>-2.459</v>
      </c>
      <c r="AH368" s="5" t="n">
        <v>7.91</v>
      </c>
      <c r="AI368" s="5" t="n">
        <v>0</v>
      </c>
      <c r="AJ368" s="5" t="n">
        <v>0</v>
      </c>
      <c r="AK368" s="5" t="n">
        <v>16.1</v>
      </c>
      <c r="AL368" s="5" t="n">
        <v>6.833</v>
      </c>
      <c r="AM368" s="5" t="n">
        <v>-7.75</v>
      </c>
      <c r="AN368" s="5" t="n">
        <v>8.35</v>
      </c>
      <c r="AO368" s="5" t="n">
        <v>0</v>
      </c>
      <c r="AP368" s="5" t="n">
        <v>0</v>
      </c>
      <c r="AQ368" s="5" t="n">
        <v>0.613</v>
      </c>
      <c r="AR368" s="5" t="n">
        <v>0.103</v>
      </c>
      <c r="AS368" s="5" t="n">
        <v>0.456</v>
      </c>
      <c r="AT368" s="5" t="n">
        <v>1.261</v>
      </c>
      <c r="AU368" s="5" t="n">
        <v>0.18</v>
      </c>
      <c r="AV368" s="5" t="n">
        <v>1</v>
      </c>
      <c r="AW368" s="5" t="n">
        <v>0.5620000000000001</v>
      </c>
      <c r="AX368" s="5" t="n">
        <v>0.096</v>
      </c>
      <c r="AY368" s="5" t="n">
        <v>0.397</v>
      </c>
      <c r="AZ368" s="5" t="n">
        <v>1.132</v>
      </c>
      <c r="BA368" s="5" t="n">
        <v>0.18</v>
      </c>
      <c r="BB368" s="5" t="n">
        <v>1</v>
      </c>
      <c r="BC368" s="5" t="n">
        <v>0.419</v>
      </c>
      <c r="BD368" s="5" t="n">
        <v>0.101</v>
      </c>
      <c r="BE368" s="5" t="n">
        <v>0.19</v>
      </c>
      <c r="BF368" s="5" t="n">
        <v>0.719</v>
      </c>
      <c r="BG368" s="5" t="n">
        <v>0.18</v>
      </c>
      <c r="BH368" s="5" t="n">
        <v>1</v>
      </c>
      <c r="BI368" s="5" t="n">
        <v>0.331</v>
      </c>
      <c r="BJ368" s="5" t="n">
        <v>0.07199999999999999</v>
      </c>
      <c r="BK368" s="5" t="n">
        <v>0.201</v>
      </c>
      <c r="BL368" s="5" t="n">
        <v>0.628</v>
      </c>
      <c r="BM368" s="5" t="n">
        <v>0.18</v>
      </c>
      <c r="BN368" s="5" t="n">
        <v>1</v>
      </c>
      <c r="BO368" s="5" t="n">
        <v>0</v>
      </c>
      <c r="BP368" s="5" t="n">
        <v>-0.02</v>
      </c>
      <c r="BQ368" s="5" t="n">
        <v>0.12</v>
      </c>
      <c r="BR368" s="5" t="n">
        <v>0</v>
      </c>
      <c r="BS368" s="5" t="n">
        <v>1</v>
      </c>
      <c r="BT368" s="5" t="n">
        <v>0</v>
      </c>
      <c r="BU368" s="5" t="n">
        <v>-0.02</v>
      </c>
      <c r="BV368" s="5" t="n">
        <v>0.08400000000000001</v>
      </c>
      <c r="BW368" s="5" t="n">
        <v>0</v>
      </c>
      <c r="BX368" s="5" t="n">
        <v>0.833</v>
      </c>
      <c r="BY368" s="5" t="n">
        <v>13.254</v>
      </c>
      <c r="BZ368" s="5" t="n">
        <v>0</v>
      </c>
      <c r="CA368" s="5" t="n">
        <v>13.254</v>
      </c>
      <c r="CB368" s="5" t="n">
        <v>0</v>
      </c>
      <c r="CC368" s="5" t="n">
        <v>71.121</v>
      </c>
      <c r="CD368" s="5" t="n">
        <v>-8.007999999999999</v>
      </c>
      <c r="CE368" s="5" t="n">
        <v>41.536</v>
      </c>
      <c r="CF368" s="5" t="n">
        <v>132.935</v>
      </c>
      <c r="CG368" s="5" t="n">
        <v>0.18</v>
      </c>
      <c r="CH368" s="5" t="n">
        <v>1</v>
      </c>
      <c r="CI368" s="5" t="n">
        <v>0</v>
      </c>
      <c r="CJ368" s="5" t="n">
        <v>0</v>
      </c>
      <c r="CK368" s="5" t="n">
        <v>0</v>
      </c>
      <c r="CL368" s="5" t="n">
        <v>0.011</v>
      </c>
      <c r="CM368" s="5" t="n">
        <v>0</v>
      </c>
      <c r="CN368" s="5" t="n">
        <v>0</v>
      </c>
      <c r="CO368" s="5" t="n">
        <v>0</v>
      </c>
      <c r="CP368" s="5" t="n">
        <v>0.742</v>
      </c>
      <c r="CQ368" s="5" t="n">
        <v>1.246</v>
      </c>
      <c r="CR368" s="5" t="n">
        <v>0.514</v>
      </c>
      <c r="CS368" s="5" t="n">
        <v>4.99</v>
      </c>
      <c r="CT368" s="5" t="n">
        <v>3.638</v>
      </c>
      <c r="CU368" s="5" t="n">
        <v>12.13</v>
      </c>
    </row>
    <row r="369">
      <c r="A369" s="5" t="inlineStr">
        <is>
          <t>IND2024</t>
        </is>
      </c>
      <c r="B369" s="5" t="inlineStr">
        <is>
          <t>IND</t>
        </is>
      </c>
      <c r="C369" s="5" t="inlineStr">
        <is>
          <t>IND</t>
        </is>
      </c>
      <c r="D369" s="5" t="inlineStr">
        <is>
          <t>India</t>
        </is>
      </c>
      <c r="E369" s="5" t="n">
        <v>2024</v>
      </c>
      <c r="F369" s="5" t="n">
        <v>0.18</v>
      </c>
      <c r="G369" s="5" t="n">
        <v>2.629</v>
      </c>
      <c r="H369" s="5" t="n">
        <v>0.833</v>
      </c>
      <c r="I369" s="5" t="n">
        <v>0.374</v>
      </c>
      <c r="J369" s="5" t="n">
        <v>3.003</v>
      </c>
      <c r="K369" s="5" t="n">
        <v>0</v>
      </c>
      <c r="L369" s="5" t="n">
        <v>1</v>
      </c>
      <c r="M369" s="5" t="n">
        <v>4.396</v>
      </c>
      <c r="N369" s="5" t="n">
        <v>2.498</v>
      </c>
      <c r="O369" s="5" t="n">
        <v>0.331</v>
      </c>
      <c r="P369" s="5" t="n">
        <v>4.727</v>
      </c>
      <c r="Q369" s="5" t="n">
        <v>0</v>
      </c>
      <c r="R369" s="5" t="n">
        <v>1</v>
      </c>
      <c r="S369" s="5" t="n">
        <v>6.793</v>
      </c>
      <c r="T369" s="5" t="n">
        <v>4.997</v>
      </c>
      <c r="U369" s="5" t="n">
        <v>0.544</v>
      </c>
      <c r="V369" s="5" t="n">
        <v>8.451000000000001</v>
      </c>
      <c r="W369" s="5" t="n">
        <v>0.18</v>
      </c>
      <c r="X369" s="5" t="n">
        <v>1</v>
      </c>
      <c r="Y369" s="5" t="n">
        <v>8.808999999999999</v>
      </c>
      <c r="Z369" s="5" t="n">
        <v>0.782</v>
      </c>
      <c r="AA369" s="5" t="n">
        <v>-1.189</v>
      </c>
      <c r="AB369" s="5" t="n">
        <v>7.62</v>
      </c>
      <c r="AC369" s="5" t="n">
        <v>0</v>
      </c>
      <c r="AD369" s="5" t="n">
        <v>0</v>
      </c>
      <c r="AE369" s="5" t="n">
        <v>9.792</v>
      </c>
      <c r="AF369" s="5" t="n">
        <v>1.582</v>
      </c>
      <c r="AG369" s="5" t="n">
        <v>-2.172</v>
      </c>
      <c r="AH369" s="5" t="n">
        <v>7.62</v>
      </c>
      <c r="AI369" s="5" t="n">
        <v>0</v>
      </c>
      <c r="AJ369" s="5" t="n">
        <v>0</v>
      </c>
      <c r="AK369" s="5" t="n">
        <v>15.692</v>
      </c>
      <c r="AL369" s="5" t="n">
        <v>6.66</v>
      </c>
      <c r="AM369" s="5" t="n">
        <v>-7.654</v>
      </c>
      <c r="AN369" s="5" t="n">
        <v>8.038</v>
      </c>
      <c r="AO369" s="5" t="n">
        <v>0</v>
      </c>
      <c r="AP369" s="5" t="n">
        <v>0</v>
      </c>
      <c r="AQ369" s="5" t="n">
        <v>0.598</v>
      </c>
      <c r="AR369" s="5" t="n">
        <v>0.109</v>
      </c>
      <c r="AS369" s="5" t="n">
        <v>0.433</v>
      </c>
      <c r="AT369" s="5" t="n">
        <v>1.216</v>
      </c>
      <c r="AU369" s="5" t="n">
        <v>0.18</v>
      </c>
      <c r="AV369" s="5" t="n">
        <v>1</v>
      </c>
      <c r="AW369" s="5" t="n">
        <v>0.539</v>
      </c>
      <c r="AX369" s="5" t="n">
        <v>0.099</v>
      </c>
      <c r="AY369" s="5" t="n">
        <v>0.385</v>
      </c>
      <c r="AZ369" s="5" t="n">
        <v>1.091</v>
      </c>
      <c r="BA369" s="5" t="n">
        <v>0.18</v>
      </c>
      <c r="BB369" s="5" t="n">
        <v>1</v>
      </c>
      <c r="BC369" s="5" t="n">
        <v>0.408</v>
      </c>
      <c r="BD369" s="5" t="n">
        <v>0.105</v>
      </c>
      <c r="BE369" s="5" t="n">
        <v>0.183</v>
      </c>
      <c r="BF369" s="5" t="n">
        <v>0.697</v>
      </c>
      <c r="BG369" s="5" t="n">
        <v>0.18</v>
      </c>
      <c r="BH369" s="5" t="n">
        <v>1</v>
      </c>
      <c r="BI369" s="5" t="n">
        <v>0.287</v>
      </c>
      <c r="BJ369" s="5" t="n">
        <v>0.063</v>
      </c>
      <c r="BK369" s="5" t="n">
        <v>0.193</v>
      </c>
      <c r="BL369" s="5" t="n">
        <v>0.5669999999999999</v>
      </c>
      <c r="BM369" s="5" t="n">
        <v>0.18</v>
      </c>
      <c r="BN369" s="5" t="n">
        <v>1</v>
      </c>
      <c r="BO369" s="5" t="n">
        <v>0</v>
      </c>
      <c r="BP369" s="5" t="n">
        <v>-0.021</v>
      </c>
      <c r="BQ369" s="5" t="n">
        <v>0.11</v>
      </c>
      <c r="BR369" s="5" t="n">
        <v>0</v>
      </c>
      <c r="BS369" s="5" t="n">
        <v>1</v>
      </c>
      <c r="BT369" s="5" t="n">
        <v>0</v>
      </c>
      <c r="BU369" s="5" t="n">
        <v>-0.021</v>
      </c>
      <c r="BV369" s="5" t="n">
        <v>0.08400000000000001</v>
      </c>
      <c r="BW369" s="5" t="n">
        <v>0</v>
      </c>
      <c r="BX369" s="5" t="n">
        <v>0.833</v>
      </c>
      <c r="BY369" s="5" t="n">
        <v>13.646</v>
      </c>
      <c r="BZ369" s="5" t="n">
        <v>0</v>
      </c>
      <c r="CA369" s="5" t="n">
        <v>13.646</v>
      </c>
      <c r="CB369" s="5" t="n">
        <v>0</v>
      </c>
      <c r="CC369" s="5" t="n">
        <v>61.32</v>
      </c>
      <c r="CD369" s="5" t="n">
        <v>-17.116</v>
      </c>
      <c r="CE369" s="5" t="n">
        <v>38.337</v>
      </c>
      <c r="CF369" s="5" t="n">
        <v>117.594</v>
      </c>
      <c r="CG369" s="5" t="n">
        <v>0.18</v>
      </c>
      <c r="CH369" s="5" t="n">
        <v>1</v>
      </c>
      <c r="CI369" s="5" t="n">
        <v>0</v>
      </c>
      <c r="CJ369" s="5" t="n">
        <v>0</v>
      </c>
      <c r="CK369" s="5" t="n">
        <v>0</v>
      </c>
      <c r="CL369" s="5" t="n">
        <v>0.011</v>
      </c>
      <c r="CM369" s="5" t="n">
        <v>0</v>
      </c>
      <c r="CN369" s="5" t="n">
        <v>0</v>
      </c>
      <c r="CO369" s="5" t="n">
        <v>0</v>
      </c>
      <c r="CP369" s="5" t="n">
        <v>0.742</v>
      </c>
      <c r="CQ369" s="5" t="n">
        <v>1.283</v>
      </c>
      <c r="CR369" s="5" t="n">
        <v>0.514</v>
      </c>
      <c r="CS369" s="5" t="n">
        <v>5.137</v>
      </c>
      <c r="CT369" s="5" t="n">
        <v>3.269</v>
      </c>
      <c r="CU369" s="5" t="n">
        <v>10.67</v>
      </c>
    </row>
    <row r="370">
      <c r="A370" s="5" t="inlineStr">
        <is>
          <t>IDN2021</t>
        </is>
      </c>
      <c r="B370" s="5" t="inlineStr">
        <is>
          <t>IDN</t>
        </is>
      </c>
      <c r="C370" s="5" t="inlineStr">
        <is>
          <t>IDN</t>
        </is>
      </c>
      <c r="D370" s="5" t="inlineStr">
        <is>
          <t>Indonesia</t>
        </is>
      </c>
      <c r="E370" s="5" t="n">
        <v>2021</v>
      </c>
      <c r="F370" s="5" t="n">
        <v>0.1</v>
      </c>
      <c r="G370" s="5" t="n">
        <v>2.859</v>
      </c>
      <c r="H370" s="5" t="n">
        <v>0.626</v>
      </c>
      <c r="I370" s="5" t="n">
        <v>-0.4</v>
      </c>
      <c r="J370" s="5" t="n">
        <v>2.459</v>
      </c>
      <c r="K370" s="5" t="n">
        <v>0</v>
      </c>
      <c r="L370" s="5" t="n">
        <v>1</v>
      </c>
      <c r="M370" s="5" t="n">
        <v>2.814</v>
      </c>
      <c r="N370" s="5" t="n">
        <v>1.275</v>
      </c>
      <c r="O370" s="5" t="n">
        <v>-0.209</v>
      </c>
      <c r="P370" s="5" t="n">
        <v>2.604</v>
      </c>
      <c r="Q370" s="5" t="n">
        <v>0</v>
      </c>
      <c r="R370" s="5" t="n">
        <v>1</v>
      </c>
      <c r="S370" s="5" t="n">
        <v>2.584</v>
      </c>
      <c r="T370" s="5" t="n">
        <v>1.601</v>
      </c>
      <c r="U370" s="5" t="n">
        <v>0.032</v>
      </c>
      <c r="V370" s="5" t="n">
        <v>2.877</v>
      </c>
      <c r="W370" s="5" t="n">
        <v>0.1</v>
      </c>
      <c r="X370" s="5" t="n">
        <v>1</v>
      </c>
      <c r="Y370" s="5" t="n">
        <v>4.121</v>
      </c>
      <c r="Z370" s="5" t="n">
        <v>0.455</v>
      </c>
      <c r="AA370" s="5" t="n">
        <v>1.561</v>
      </c>
      <c r="AB370" s="5" t="n">
        <v>5.683</v>
      </c>
      <c r="AC370" s="5" t="n">
        <v>0</v>
      </c>
      <c r="AD370" s="5" t="n">
        <v>1</v>
      </c>
      <c r="AE370" s="5" t="n">
        <v>4.693</v>
      </c>
      <c r="AF370" s="5" t="n">
        <v>0.918</v>
      </c>
      <c r="AG370" s="5" t="n">
        <v>0.989</v>
      </c>
      <c r="AH370" s="5" t="n">
        <v>5.683</v>
      </c>
      <c r="AI370" s="5" t="n">
        <v>0</v>
      </c>
      <c r="AJ370" s="5" t="n">
        <v>1</v>
      </c>
      <c r="AK370" s="5" t="n">
        <v>8.122999999999999</v>
      </c>
      <c r="AL370" s="5" t="n">
        <v>3.855</v>
      </c>
      <c r="AM370" s="5" t="n">
        <v>2.387</v>
      </c>
      <c r="AN370" s="5" t="n">
        <v>11.561</v>
      </c>
      <c r="AO370" s="5" t="n">
        <v>0.1</v>
      </c>
      <c r="AP370" s="5" t="n">
        <v>1</v>
      </c>
      <c r="AQ370" s="5" t="n">
        <v>0.621</v>
      </c>
      <c r="AR370" s="5" t="n">
        <v>0.114</v>
      </c>
      <c r="AS370" s="5" t="n">
        <v>-0.178</v>
      </c>
      <c r="AT370" s="5" t="n">
        <v>0.495</v>
      </c>
      <c r="AU370" s="5" t="n">
        <v>0</v>
      </c>
      <c r="AV370" s="5" t="n">
        <v>0</v>
      </c>
      <c r="AW370" s="5" t="n">
        <v>0.593</v>
      </c>
      <c r="AX370" s="5" t="n">
        <v>0.114</v>
      </c>
      <c r="AY370" s="5" t="n">
        <v>-0.225</v>
      </c>
      <c r="AZ370" s="5" t="n">
        <v>0.405</v>
      </c>
      <c r="BA370" s="5" t="n">
        <v>0</v>
      </c>
      <c r="BB370" s="5" t="n">
        <v>0</v>
      </c>
      <c r="BC370" s="5" t="n">
        <v>0.44</v>
      </c>
      <c r="BD370" s="5" t="n">
        <v>0.114</v>
      </c>
      <c r="BE370" s="5" t="n">
        <v>-0.293</v>
      </c>
      <c r="BF370" s="5" t="n">
        <v>0.161</v>
      </c>
      <c r="BG370" s="5" t="n">
        <v>0</v>
      </c>
      <c r="BH370" s="5" t="n">
        <v>0</v>
      </c>
      <c r="BI370" s="5" t="n">
        <v>0.5600000000000001</v>
      </c>
      <c r="BJ370" s="5" t="n">
        <v>0.114</v>
      </c>
      <c r="BK370" s="5" t="n">
        <v>-0.398</v>
      </c>
      <c r="BL370" s="5" t="n">
        <v>0.179</v>
      </c>
      <c r="BM370" s="5" t="n">
        <v>0</v>
      </c>
      <c r="BN370" s="5" t="n">
        <v>0</v>
      </c>
      <c r="BO370" s="5" t="n">
        <v>0</v>
      </c>
      <c r="BP370" s="5" t="n">
        <v>-0.005</v>
      </c>
      <c r="BQ370" s="5" t="n">
        <v>0.076</v>
      </c>
      <c r="BR370" s="5" t="n">
        <v>0</v>
      </c>
      <c r="BS370" s="5" t="n">
        <v>0.667</v>
      </c>
      <c r="BT370" s="5" t="n">
        <v>0</v>
      </c>
      <c r="BU370" s="5" t="n">
        <v>-0.005</v>
      </c>
      <c r="BV370" s="5" t="n">
        <v>0.07199999999999999</v>
      </c>
      <c r="BW370" s="5" t="n">
        <v>0</v>
      </c>
      <c r="BX370" s="5" t="n">
        <v>0.667</v>
      </c>
      <c r="BY370" s="5" t="n">
        <v>11.787</v>
      </c>
      <c r="BZ370" s="5" t="n">
        <v>0</v>
      </c>
      <c r="CA370" s="5" t="n">
        <v>11.787</v>
      </c>
      <c r="CB370" s="5" t="n">
        <v>0</v>
      </c>
      <c r="CC370" s="5" t="n">
        <v>81.69499999999999</v>
      </c>
      <c r="CD370" s="5" t="n">
        <v>7.95</v>
      </c>
      <c r="CE370" s="5" t="n">
        <v>-56.426</v>
      </c>
      <c r="CF370" s="5" t="n">
        <v>27.797</v>
      </c>
      <c r="CG370" s="5" t="n">
        <v>0</v>
      </c>
      <c r="CH370" s="5" t="n">
        <v>0</v>
      </c>
      <c r="CI370" s="5" t="n">
        <v>0</v>
      </c>
      <c r="CJ370" s="5" t="n">
        <v>0</v>
      </c>
      <c r="CK370" s="5" t="n">
        <v>0</v>
      </c>
      <c r="CL370" s="5" t="n">
        <v>5.263</v>
      </c>
      <c r="CM370" s="5" t="n">
        <v>0</v>
      </c>
      <c r="CN370" s="5" t="n">
        <v>0.302</v>
      </c>
      <c r="CO370" s="5" t="n">
        <v>0.22</v>
      </c>
      <c r="CP370" s="5" t="n">
        <v>0</v>
      </c>
      <c r="CQ370" s="5" t="n">
        <v>1.137</v>
      </c>
      <c r="CR370" s="5" t="n">
        <v>1</v>
      </c>
      <c r="CS370" s="5" t="n">
        <v>3.55</v>
      </c>
      <c r="CT370" s="5" t="n">
        <v>4.633</v>
      </c>
      <c r="CU370" s="5" t="n">
        <v>14.129</v>
      </c>
    </row>
    <row r="371">
      <c r="A371" s="5" t="inlineStr">
        <is>
          <t>IDN2022</t>
        </is>
      </c>
      <c r="B371" s="5" t="inlineStr">
        <is>
          <t>IDN</t>
        </is>
      </c>
      <c r="C371" s="5" t="inlineStr">
        <is>
          <t>IDN</t>
        </is>
      </c>
      <c r="D371" s="5" t="inlineStr">
        <is>
          <t>Indonesia</t>
        </is>
      </c>
      <c r="E371" s="5" t="n">
        <v>2022</v>
      </c>
      <c r="F371" s="5" t="n">
        <v>0.11</v>
      </c>
      <c r="G371" s="5" t="n">
        <v>2.78</v>
      </c>
      <c r="H371" s="5" t="n">
        <v>0.432</v>
      </c>
      <c r="I371" s="5" t="n">
        <v>-0.181</v>
      </c>
      <c r="J371" s="5" t="n">
        <v>2.598</v>
      </c>
      <c r="K371" s="5" t="n">
        <v>0</v>
      </c>
      <c r="L371" s="5" t="n">
        <v>1</v>
      </c>
      <c r="M371" s="5" t="n">
        <v>2.967</v>
      </c>
      <c r="N371" s="5" t="n">
        <v>1.225</v>
      </c>
      <c r="O371" s="5" t="n">
        <v>-0.105</v>
      </c>
      <c r="P371" s="5" t="n">
        <v>2.863</v>
      </c>
      <c r="Q371" s="5" t="n">
        <v>0</v>
      </c>
      <c r="R371" s="5" t="n">
        <v>1</v>
      </c>
      <c r="S371" s="5" t="n">
        <v>2.909</v>
      </c>
      <c r="T371" s="5" t="n">
        <v>1.425</v>
      </c>
      <c r="U371" s="5" t="n">
        <v>0.059</v>
      </c>
      <c r="V371" s="5" t="n">
        <v>3.241</v>
      </c>
      <c r="W371" s="5" t="n">
        <v>0.1</v>
      </c>
      <c r="X371" s="5" t="n">
        <v>1</v>
      </c>
      <c r="Y371" s="5" t="n">
        <v>4.451</v>
      </c>
      <c r="Z371" s="5" t="n">
        <v>0.491</v>
      </c>
      <c r="AA371" s="5" t="n">
        <v>0.855</v>
      </c>
      <c r="AB371" s="5" t="n">
        <v>5.306</v>
      </c>
      <c r="AC371" s="5" t="n">
        <v>0</v>
      </c>
      <c r="AD371" s="5" t="n">
        <v>1</v>
      </c>
      <c r="AE371" s="5" t="n">
        <v>5.068</v>
      </c>
      <c r="AF371" s="5" t="n">
        <v>0.992</v>
      </c>
      <c r="AG371" s="5" t="n">
        <v>1.068</v>
      </c>
      <c r="AH371" s="5" t="n">
        <v>6.137</v>
      </c>
      <c r="AI371" s="5" t="n">
        <v>0</v>
      </c>
      <c r="AJ371" s="5" t="n">
        <v>1</v>
      </c>
      <c r="AK371" s="5" t="n">
        <v>8.772</v>
      </c>
      <c r="AL371" s="5" t="n">
        <v>4.163</v>
      </c>
      <c r="AM371" s="5" t="n">
        <v>2.662</v>
      </c>
      <c r="AN371" s="5" t="n">
        <v>12.485</v>
      </c>
      <c r="AO371" s="5" t="n">
        <v>0.1</v>
      </c>
      <c r="AP371" s="5" t="n">
        <v>1</v>
      </c>
      <c r="AQ371" s="5" t="n">
        <v>0.847</v>
      </c>
      <c r="AR371" s="5" t="n">
        <v>0.123</v>
      </c>
      <c r="AS371" s="5" t="n">
        <v>-0.189</v>
      </c>
      <c r="AT371" s="5" t="n">
        <v>0.737</v>
      </c>
      <c r="AU371" s="5" t="n">
        <v>0</v>
      </c>
      <c r="AV371" s="5" t="n">
        <v>0</v>
      </c>
      <c r="AW371" s="5" t="n">
        <v>0.947</v>
      </c>
      <c r="AX371" s="5" t="n">
        <v>0.123</v>
      </c>
      <c r="AY371" s="5" t="n">
        <v>-0.42</v>
      </c>
      <c r="AZ371" s="5" t="n">
        <v>0.579</v>
      </c>
      <c r="BA371" s="5" t="n">
        <v>0</v>
      </c>
      <c r="BB371" s="5" t="n">
        <v>0</v>
      </c>
      <c r="BC371" s="5" t="n">
        <v>0.589</v>
      </c>
      <c r="BD371" s="5" t="n">
        <v>0.123</v>
      </c>
      <c r="BE371" s="5" t="n">
        <v>-0.447</v>
      </c>
      <c r="BF371" s="5" t="n">
        <v>0.155</v>
      </c>
      <c r="BG371" s="5" t="n">
        <v>0</v>
      </c>
      <c r="BH371" s="5" t="n">
        <v>0</v>
      </c>
      <c r="BI371" s="5" t="n">
        <v>0.6889999999999999</v>
      </c>
      <c r="BJ371" s="5" t="n">
        <v>0.123</v>
      </c>
      <c r="BK371" s="5" t="n">
        <v>-0.542</v>
      </c>
      <c r="BL371" s="5" t="n">
        <v>0.161</v>
      </c>
      <c r="BM371" s="5" t="n">
        <v>0</v>
      </c>
      <c r="BN371" s="5" t="n">
        <v>0</v>
      </c>
      <c r="BO371" s="5" t="n">
        <v>0</v>
      </c>
      <c r="BP371" s="5" t="n">
        <v>-0.023</v>
      </c>
      <c r="BQ371" s="5" t="n">
        <v>0.073</v>
      </c>
      <c r="BR371" s="5" t="n">
        <v>0</v>
      </c>
      <c r="BS371" s="5" t="n">
        <v>0.667</v>
      </c>
      <c r="BT371" s="5" t="n">
        <v>0</v>
      </c>
      <c r="BU371" s="5" t="n">
        <v>-0.023</v>
      </c>
      <c r="BV371" s="5" t="n">
        <v>0.076</v>
      </c>
      <c r="BW371" s="5" t="n">
        <v>0</v>
      </c>
      <c r="BX371" s="5" t="n">
        <v>0.667</v>
      </c>
      <c r="BY371" s="5" t="n">
        <v>12.729</v>
      </c>
      <c r="BZ371" s="5" t="n">
        <v>0</v>
      </c>
      <c r="CA371" s="5" t="n">
        <v>12.729</v>
      </c>
      <c r="CB371" s="5" t="n">
        <v>0</v>
      </c>
      <c r="CC371" s="5" t="n">
        <v>102.477</v>
      </c>
      <c r="CD371" s="5" t="n">
        <v>7.95</v>
      </c>
      <c r="CE371" s="5" t="n">
        <v>-78.348</v>
      </c>
      <c r="CF371" s="5" t="n">
        <v>26.783</v>
      </c>
      <c r="CG371" s="5" t="n">
        <v>0</v>
      </c>
      <c r="CH371" s="5" t="n">
        <v>0</v>
      </c>
      <c r="CI371" s="5" t="n">
        <v>0</v>
      </c>
      <c r="CJ371" s="5" t="n">
        <v>0</v>
      </c>
      <c r="CK371" s="5" t="n">
        <v>0</v>
      </c>
      <c r="CL371" s="5" t="n">
        <v>5.683</v>
      </c>
      <c r="CM371" s="5" t="n">
        <v>0</v>
      </c>
      <c r="CN371" s="5" t="n">
        <v>0.322</v>
      </c>
      <c r="CO371" s="5" t="n">
        <v>0.226</v>
      </c>
      <c r="CP371" s="5" t="n">
        <v>0</v>
      </c>
      <c r="CQ371" s="5" t="n">
        <v>1.227</v>
      </c>
      <c r="CR371" s="5" t="n">
        <v>1</v>
      </c>
      <c r="CS371" s="5" t="n">
        <v>3.834</v>
      </c>
      <c r="CT371" s="5" t="n">
        <v>7.75</v>
      </c>
      <c r="CU371" s="5" t="n">
        <v>28.059</v>
      </c>
    </row>
    <row r="372">
      <c r="A372" s="5" t="inlineStr">
        <is>
          <t>IDN2023</t>
        </is>
      </c>
      <c r="B372" s="5" t="inlineStr">
        <is>
          <t>IDN</t>
        </is>
      </c>
      <c r="C372" s="5" t="inlineStr">
        <is>
          <t>IDN</t>
        </is>
      </c>
      <c r="D372" s="5" t="inlineStr">
        <is>
          <t>Indonesia</t>
        </is>
      </c>
      <c r="E372" s="5" t="n">
        <v>2023</v>
      </c>
      <c r="F372" s="5" t="n">
        <v>0.11</v>
      </c>
      <c r="G372" s="5" t="n">
        <v>2.765</v>
      </c>
      <c r="H372" s="5" t="n">
        <v>0.63</v>
      </c>
      <c r="I372" s="5" t="n">
        <v>0.08599999999999999</v>
      </c>
      <c r="J372" s="5" t="n">
        <v>2.85</v>
      </c>
      <c r="K372" s="5" t="n">
        <v>0</v>
      </c>
      <c r="L372" s="5" t="n">
        <v>1</v>
      </c>
      <c r="M372" s="5" t="n">
        <v>2.926</v>
      </c>
      <c r="N372" s="5" t="n">
        <v>1.451</v>
      </c>
      <c r="O372" s="5" t="n">
        <v>0</v>
      </c>
      <c r="P372" s="5" t="n">
        <v>2.926</v>
      </c>
      <c r="Q372" s="5" t="n">
        <v>0</v>
      </c>
      <c r="R372" s="5" t="n">
        <v>1</v>
      </c>
      <c r="S372" s="5" t="n">
        <v>2.96</v>
      </c>
      <c r="T372" s="5" t="n">
        <v>1.856</v>
      </c>
      <c r="U372" s="5" t="n">
        <v>0.061</v>
      </c>
      <c r="V372" s="5" t="n">
        <v>3.287</v>
      </c>
      <c r="W372" s="5" t="n">
        <v>0.1</v>
      </c>
      <c r="X372" s="5" t="n">
        <v>1</v>
      </c>
      <c r="Y372" s="5" t="n">
        <v>4.635</v>
      </c>
      <c r="Z372" s="5" t="n">
        <v>0.512</v>
      </c>
      <c r="AA372" s="5" t="n">
        <v>0.191</v>
      </c>
      <c r="AB372" s="5" t="n">
        <v>4.826</v>
      </c>
      <c r="AC372" s="5" t="n">
        <v>0</v>
      </c>
      <c r="AD372" s="5" t="n">
        <v>1</v>
      </c>
      <c r="AE372" s="5" t="n">
        <v>5.277</v>
      </c>
      <c r="AF372" s="5" t="n">
        <v>1.033</v>
      </c>
      <c r="AG372" s="5" t="n">
        <v>1.113</v>
      </c>
      <c r="AH372" s="5" t="n">
        <v>6.39</v>
      </c>
      <c r="AI372" s="5" t="n">
        <v>0</v>
      </c>
      <c r="AJ372" s="5" t="n">
        <v>1</v>
      </c>
      <c r="AK372" s="5" t="n">
        <v>9.134</v>
      </c>
      <c r="AL372" s="5" t="n">
        <v>4.335</v>
      </c>
      <c r="AM372" s="5" t="n">
        <v>2.815</v>
      </c>
      <c r="AN372" s="5" t="n">
        <v>13.001</v>
      </c>
      <c r="AO372" s="5" t="n">
        <v>0.1</v>
      </c>
      <c r="AP372" s="5" t="n">
        <v>1</v>
      </c>
      <c r="AQ372" s="5" t="n">
        <v>0.749</v>
      </c>
      <c r="AR372" s="5" t="n">
        <v>0.129</v>
      </c>
      <c r="AS372" s="5" t="n">
        <v>-0.128</v>
      </c>
      <c r="AT372" s="5" t="n">
        <v>0.696</v>
      </c>
      <c r="AU372" s="5" t="n">
        <v>0</v>
      </c>
      <c r="AV372" s="5" t="n">
        <v>0</v>
      </c>
      <c r="AW372" s="5" t="n">
        <v>0.783</v>
      </c>
      <c r="AX372" s="5" t="n">
        <v>0.129</v>
      </c>
      <c r="AY372" s="5" t="n">
        <v>-0.294</v>
      </c>
      <c r="AZ372" s="5" t="n">
        <v>0.538</v>
      </c>
      <c r="BA372" s="5" t="n">
        <v>0</v>
      </c>
      <c r="BB372" s="5" t="n">
        <v>0</v>
      </c>
      <c r="BC372" s="5" t="n">
        <v>0.527</v>
      </c>
      <c r="BD372" s="5" t="n">
        <v>0.129</v>
      </c>
      <c r="BE372" s="5" t="n">
        <v>-0.39</v>
      </c>
      <c r="BF372" s="5" t="n">
        <v>0.151</v>
      </c>
      <c r="BG372" s="5" t="n">
        <v>0</v>
      </c>
      <c r="BH372" s="5" t="n">
        <v>0</v>
      </c>
      <c r="BI372" s="5" t="n">
        <v>0.64</v>
      </c>
      <c r="BJ372" s="5" t="n">
        <v>0.129</v>
      </c>
      <c r="BK372" s="5" t="n">
        <v>-0.468</v>
      </c>
      <c r="BL372" s="5" t="n">
        <v>0.189</v>
      </c>
      <c r="BM372" s="5" t="n">
        <v>0</v>
      </c>
      <c r="BN372" s="5" t="n">
        <v>0</v>
      </c>
      <c r="BO372" s="5" t="n">
        <v>0</v>
      </c>
      <c r="BP372" s="5" t="n">
        <v>-0.002</v>
      </c>
      <c r="BQ372" s="5" t="n">
        <v>0.07099999999999999</v>
      </c>
      <c r="BR372" s="5" t="n">
        <v>0</v>
      </c>
      <c r="BS372" s="5" t="n">
        <v>0.667</v>
      </c>
      <c r="BT372" s="5" t="n">
        <v>0</v>
      </c>
      <c r="BU372" s="5" t="n">
        <v>-0.002</v>
      </c>
      <c r="BV372" s="5" t="n">
        <v>0.076</v>
      </c>
      <c r="BW372" s="5" t="n">
        <v>0</v>
      </c>
      <c r="BX372" s="5" t="n">
        <v>0.667</v>
      </c>
      <c r="BY372" s="5" t="n">
        <v>13.254</v>
      </c>
      <c r="BZ372" s="5" t="n">
        <v>0</v>
      </c>
      <c r="CA372" s="5" t="n">
        <v>13.254</v>
      </c>
      <c r="CB372" s="5" t="n">
        <v>0</v>
      </c>
      <c r="CC372" s="5" t="n">
        <v>87.07899999999999</v>
      </c>
      <c r="CD372" s="5" t="n">
        <v>7.95</v>
      </c>
      <c r="CE372" s="5" t="n">
        <v>-63.524</v>
      </c>
      <c r="CF372" s="5" t="n">
        <v>26.146</v>
      </c>
      <c r="CG372" s="5" t="n">
        <v>0</v>
      </c>
      <c r="CH372" s="5" t="n">
        <v>0</v>
      </c>
      <c r="CI372" s="5" t="n">
        <v>0</v>
      </c>
      <c r="CJ372" s="5" t="n">
        <v>0</v>
      </c>
      <c r="CK372" s="5" t="n">
        <v>0</v>
      </c>
      <c r="CL372" s="5" t="n">
        <v>5.918</v>
      </c>
      <c r="CM372" s="5" t="n">
        <v>0</v>
      </c>
      <c r="CN372" s="5" t="n">
        <v>0.337</v>
      </c>
      <c r="CO372" s="5" t="n">
        <v>0.232</v>
      </c>
      <c r="CP372" s="5" t="n">
        <v>0</v>
      </c>
      <c r="CQ372" s="5" t="n">
        <v>1.278</v>
      </c>
      <c r="CR372" s="5" t="n">
        <v>1</v>
      </c>
      <c r="CS372" s="5" t="n">
        <v>3.992</v>
      </c>
      <c r="CT372" s="5" t="n">
        <v>5.207</v>
      </c>
      <c r="CU372" s="5" t="n">
        <v>9.260999999999999</v>
      </c>
    </row>
    <row r="373">
      <c r="A373" s="5" t="inlineStr">
        <is>
          <t>IDN2024</t>
        </is>
      </c>
      <c r="B373" s="5" t="inlineStr">
        <is>
          <t>IDN</t>
        </is>
      </c>
      <c r="C373" s="5" t="inlineStr">
        <is>
          <t>IDN</t>
        </is>
      </c>
      <c r="D373" s="5" t="inlineStr">
        <is>
          <t>Indonesia</t>
        </is>
      </c>
      <c r="E373" s="5" t="n">
        <v>2024</v>
      </c>
      <c r="F373" s="5" t="n">
        <v>0.11</v>
      </c>
      <c r="G373" s="5" t="n">
        <v>2.672</v>
      </c>
      <c r="H373" s="5" t="n">
        <v>0.677</v>
      </c>
      <c r="I373" s="5" t="n">
        <v>0.08</v>
      </c>
      <c r="J373" s="5" t="n">
        <v>2.752</v>
      </c>
      <c r="K373" s="5" t="n">
        <v>0</v>
      </c>
      <c r="L373" s="5" t="n">
        <v>1</v>
      </c>
      <c r="M373" s="5" t="n">
        <v>2.98</v>
      </c>
      <c r="N373" s="5" t="n">
        <v>1.623</v>
      </c>
      <c r="O373" s="5" t="n">
        <v>0</v>
      </c>
      <c r="P373" s="5" t="n">
        <v>2.98</v>
      </c>
      <c r="Q373" s="5" t="n">
        <v>0</v>
      </c>
      <c r="R373" s="5" t="n">
        <v>1</v>
      </c>
      <c r="S373" s="5" t="n">
        <v>2.971</v>
      </c>
      <c r="T373" s="5" t="n">
        <v>1.967</v>
      </c>
      <c r="U373" s="5" t="n">
        <v>0.059</v>
      </c>
      <c r="V373" s="5" t="n">
        <v>3.288</v>
      </c>
      <c r="W373" s="5" t="n">
        <v>0.1</v>
      </c>
      <c r="X373" s="5" t="n">
        <v>1</v>
      </c>
      <c r="Y373" s="5" t="n">
        <v>4.771</v>
      </c>
      <c r="Z373" s="5" t="n">
        <v>0.527</v>
      </c>
      <c r="AA373" s="5" t="n">
        <v>0.197</v>
      </c>
      <c r="AB373" s="5" t="n">
        <v>4.968</v>
      </c>
      <c r="AC373" s="5" t="n">
        <v>0</v>
      </c>
      <c r="AD373" s="5" t="n">
        <v>1</v>
      </c>
      <c r="AE373" s="5" t="n">
        <v>5.433</v>
      </c>
      <c r="AF373" s="5" t="n">
        <v>1.063</v>
      </c>
      <c r="AG373" s="5" t="n">
        <v>1.145</v>
      </c>
      <c r="AH373" s="5" t="n">
        <v>6.579</v>
      </c>
      <c r="AI373" s="5" t="n">
        <v>0</v>
      </c>
      <c r="AJ373" s="5" t="n">
        <v>1</v>
      </c>
      <c r="AK373" s="5" t="n">
        <v>9.404</v>
      </c>
      <c r="AL373" s="5" t="n">
        <v>4.463</v>
      </c>
      <c r="AM373" s="5" t="n">
        <v>2.929</v>
      </c>
      <c r="AN373" s="5" t="n">
        <v>13.384</v>
      </c>
      <c r="AO373" s="5" t="n">
        <v>0.1</v>
      </c>
      <c r="AP373" s="5" t="n">
        <v>1</v>
      </c>
      <c r="AQ373" s="5" t="n">
        <v>0.72</v>
      </c>
      <c r="AR373" s="5" t="n">
        <v>0.132</v>
      </c>
      <c r="AS373" s="5" t="n">
        <v>-0.15</v>
      </c>
      <c r="AT373" s="5" t="n">
        <v>0.639</v>
      </c>
      <c r="AU373" s="5" t="n">
        <v>0</v>
      </c>
      <c r="AV373" s="5" t="n">
        <v>0</v>
      </c>
      <c r="AW373" s="5" t="n">
        <v>0.734</v>
      </c>
      <c r="AX373" s="5" t="n">
        <v>0.132</v>
      </c>
      <c r="AY373" s="5" t="n">
        <v>-0.209</v>
      </c>
      <c r="AZ373" s="5" t="n">
        <v>0.577</v>
      </c>
      <c r="BA373" s="5" t="n">
        <v>0</v>
      </c>
      <c r="BB373" s="5" t="n">
        <v>0</v>
      </c>
      <c r="BC373" s="5" t="n">
        <v>0.51</v>
      </c>
      <c r="BD373" s="5" t="n">
        <v>0.132</v>
      </c>
      <c r="BE373" s="5" t="n">
        <v>-0.356</v>
      </c>
      <c r="BF373" s="5" t="n">
        <v>0.155</v>
      </c>
      <c r="BG373" s="5" t="n">
        <v>0</v>
      </c>
      <c r="BH373" s="5" t="n">
        <v>0</v>
      </c>
      <c r="BI373" s="5" t="n">
        <v>0.652</v>
      </c>
      <c r="BJ373" s="5" t="n">
        <v>0.132</v>
      </c>
      <c r="BK373" s="5" t="n">
        <v>-0.458</v>
      </c>
      <c r="BL373" s="5" t="n">
        <v>0.194</v>
      </c>
      <c r="BM373" s="5" t="n">
        <v>0</v>
      </c>
      <c r="BN373" s="5" t="n">
        <v>0</v>
      </c>
      <c r="BO373" s="5" t="n">
        <v>0</v>
      </c>
      <c r="BP373" s="5" t="n">
        <v>-0.002</v>
      </c>
      <c r="BQ373" s="5" t="n">
        <v>0.067</v>
      </c>
      <c r="BR373" s="5" t="n">
        <v>0</v>
      </c>
      <c r="BS373" s="5" t="n">
        <v>0.667</v>
      </c>
      <c r="BT373" s="5" t="n">
        <v>0</v>
      </c>
      <c r="BU373" s="5" t="n">
        <v>-0.002</v>
      </c>
      <c r="BV373" s="5" t="n">
        <v>0.073</v>
      </c>
      <c r="BW373" s="5" t="n">
        <v>0</v>
      </c>
      <c r="BX373" s="5" t="n">
        <v>0.667</v>
      </c>
      <c r="BY373" s="5" t="n">
        <v>13.646</v>
      </c>
      <c r="BZ373" s="5" t="n">
        <v>0</v>
      </c>
      <c r="CA373" s="5" t="n">
        <v>13.646</v>
      </c>
      <c r="CB373" s="5" t="n">
        <v>0</v>
      </c>
      <c r="CC373" s="5" t="n">
        <v>86.38500000000001</v>
      </c>
      <c r="CD373" s="5" t="n">
        <v>7.95</v>
      </c>
      <c r="CE373" s="5" t="n">
        <v>-59.592</v>
      </c>
      <c r="CF373" s="5" t="n">
        <v>26.794</v>
      </c>
      <c r="CG373" s="5" t="n">
        <v>0</v>
      </c>
      <c r="CH373" s="5" t="n">
        <v>0</v>
      </c>
      <c r="CI373" s="5" t="n">
        <v>0</v>
      </c>
      <c r="CJ373" s="5" t="n">
        <v>0</v>
      </c>
      <c r="CK373" s="5" t="n">
        <v>0</v>
      </c>
      <c r="CL373" s="5" t="n">
        <v>6.093</v>
      </c>
      <c r="CM373" s="5" t="n">
        <v>0</v>
      </c>
      <c r="CN373" s="5" t="n">
        <v>0.363</v>
      </c>
      <c r="CO373" s="5" t="n">
        <v>0.229</v>
      </c>
      <c r="CP373" s="5" t="n">
        <v>0</v>
      </c>
      <c r="CQ373" s="5" t="n">
        <v>1.316</v>
      </c>
      <c r="CR373" s="5" t="n">
        <v>1</v>
      </c>
      <c r="CS373" s="5" t="n">
        <v>4.11</v>
      </c>
      <c r="CT373" s="5" t="n">
        <v>3.682</v>
      </c>
      <c r="CU373" s="5" t="n">
        <v>7.598</v>
      </c>
    </row>
    <row r="374">
      <c r="A374" s="5" t="inlineStr">
        <is>
          <t>IRN2021</t>
        </is>
      </c>
      <c r="B374" s="5" t="inlineStr">
        <is>
          <t>IRN</t>
        </is>
      </c>
      <c r="C374" s="5" t="inlineStr">
        <is>
          <t>IRN</t>
        </is>
      </c>
      <c r="D374" s="5" t="inlineStr">
        <is>
          <t>Iran</t>
        </is>
      </c>
      <c r="E374" s="5" t="n">
        <v>2021</v>
      </c>
      <c r="F374" s="5" t="n">
        <v>0.09</v>
      </c>
      <c r="G374" s="5" t="n">
        <v>3.05</v>
      </c>
      <c r="H374" s="5" t="n">
        <v>0.843</v>
      </c>
      <c r="I374" s="5" t="n">
        <v>0.077</v>
      </c>
      <c r="J374" s="5" t="n">
        <v>3.127</v>
      </c>
      <c r="K374" s="5" t="n">
        <v>0</v>
      </c>
      <c r="L374" s="5" t="n">
        <v>1</v>
      </c>
      <c r="M374" s="5" t="n">
        <v>4.662</v>
      </c>
      <c r="N374" s="5" t="n">
        <v>2.528</v>
      </c>
      <c r="O374" s="5" t="n">
        <v>0.08400000000000001</v>
      </c>
      <c r="P374" s="5" t="n">
        <v>4.746</v>
      </c>
      <c r="Q374" s="5" t="n">
        <v>0</v>
      </c>
      <c r="R374" s="5" t="n">
        <v>1</v>
      </c>
      <c r="S374" s="5" t="n">
        <v>7.262</v>
      </c>
      <c r="T374" s="5" t="n">
        <v>5.055</v>
      </c>
      <c r="U374" s="5" t="n">
        <v>0.077</v>
      </c>
      <c r="V374" s="5" t="n">
        <v>8</v>
      </c>
      <c r="W374" s="5" t="n">
        <v>0.09</v>
      </c>
      <c r="X374" s="5" t="n">
        <v>1</v>
      </c>
      <c r="Y374" s="5" t="n">
        <v>2.987</v>
      </c>
      <c r="Z374" s="5" t="n">
        <v>0.455</v>
      </c>
      <c r="AA374" s="5" t="n">
        <v>-1.246</v>
      </c>
      <c r="AB374" s="5" t="n">
        <v>1.741</v>
      </c>
      <c r="AC374" s="5" t="n">
        <v>0</v>
      </c>
      <c r="AD374" s="5" t="n">
        <v>0</v>
      </c>
      <c r="AE374" s="5" t="n">
        <v>3.56</v>
      </c>
      <c r="AF374" s="5" t="n">
        <v>0.922</v>
      </c>
      <c r="AG374" s="5" t="n">
        <v>-2.36</v>
      </c>
      <c r="AH374" s="5" t="n">
        <v>1.2</v>
      </c>
      <c r="AI374" s="5" t="n">
        <v>0</v>
      </c>
      <c r="AJ374" s="5" t="n">
        <v>0</v>
      </c>
      <c r="AK374" s="5" t="n">
        <v>6.997</v>
      </c>
      <c r="AL374" s="5" t="n">
        <v>3.924</v>
      </c>
      <c r="AM374" s="5" t="n">
        <v>-2.583</v>
      </c>
      <c r="AN374" s="5" t="n">
        <v>4.414</v>
      </c>
      <c r="AO374" s="5" t="n">
        <v>0</v>
      </c>
      <c r="AP374" s="5" t="n">
        <v>0</v>
      </c>
      <c r="AQ374" s="5" t="n">
        <v>0.469</v>
      </c>
      <c r="AR374" s="5" t="n">
        <v>0.114</v>
      </c>
      <c r="AS374" s="5" t="n">
        <v>-0.249</v>
      </c>
      <c r="AT374" s="5" t="n">
        <v>0.24</v>
      </c>
      <c r="AU374" s="5" t="n">
        <v>0</v>
      </c>
      <c r="AV374" s="5" t="n">
        <v>0</v>
      </c>
      <c r="AW374" s="5" t="n">
        <v>0.449</v>
      </c>
      <c r="AX374" s="5" t="n">
        <v>0.114</v>
      </c>
      <c r="AY374" s="5" t="n">
        <v>-0.391</v>
      </c>
      <c r="AZ374" s="5" t="n">
        <v>0.064</v>
      </c>
      <c r="BA374" s="5" t="n">
        <v>0</v>
      </c>
      <c r="BB374" s="5" t="n">
        <v>0</v>
      </c>
      <c r="BC374" s="5" t="n">
        <v>0.342</v>
      </c>
      <c r="BD374" s="5" t="n">
        <v>0.114</v>
      </c>
      <c r="BE374" s="5" t="n">
        <v>0</v>
      </c>
      <c r="BF374" s="5" t="n">
        <v>0.373</v>
      </c>
      <c r="BG374" s="5" t="n">
        <v>0.09</v>
      </c>
      <c r="BH374" s="5" t="n">
        <v>1</v>
      </c>
      <c r="BI374" s="5" t="n">
        <v>0.426</v>
      </c>
      <c r="BJ374" s="5" t="n">
        <v>0.114</v>
      </c>
      <c r="BK374" s="5" t="n">
        <v>0</v>
      </c>
      <c r="BL374" s="5" t="n">
        <v>0.465</v>
      </c>
      <c r="BM374" s="5" t="n">
        <v>0.09</v>
      </c>
      <c r="BN374" s="5" t="n">
        <v>1</v>
      </c>
      <c r="BO374" s="5" t="n">
        <v>0</v>
      </c>
      <c r="BP374" s="5" t="n">
        <v>-0.073</v>
      </c>
      <c r="BQ374" s="5" t="n">
        <v>0.018</v>
      </c>
      <c r="BR374" s="5" t="n">
        <v>0</v>
      </c>
      <c r="BS374" s="5" t="n">
        <v>1</v>
      </c>
      <c r="BT374" s="5" t="n">
        <v>0</v>
      </c>
      <c r="BU374" s="5" t="n">
        <v>-0.073</v>
      </c>
      <c r="BV374" s="5" t="n">
        <v>0.032</v>
      </c>
      <c r="BW374" s="5" t="n">
        <v>0</v>
      </c>
      <c r="BX374" s="5" t="n">
        <v>0.833</v>
      </c>
      <c r="BY374" s="5" t="n">
        <v>11.787</v>
      </c>
      <c r="BZ374" s="5" t="n">
        <v>0</v>
      </c>
      <c r="CA374" s="5" t="n">
        <v>11.787</v>
      </c>
      <c r="CB374" s="5" t="n">
        <v>0</v>
      </c>
      <c r="CC374" s="5" t="n">
        <v>59.572</v>
      </c>
      <c r="CD374" s="5" t="n">
        <v>7.95</v>
      </c>
      <c r="CE374" s="5" t="n">
        <v>0</v>
      </c>
      <c r="CF374" s="5" t="n">
        <v>64.93300000000001</v>
      </c>
      <c r="CG374" s="5" t="n">
        <v>0.09</v>
      </c>
      <c r="CH374" s="5" t="n">
        <v>1</v>
      </c>
      <c r="CI374" s="5" t="n">
        <v>0</v>
      </c>
      <c r="CJ374" s="5" t="n">
        <v>0</v>
      </c>
      <c r="CK374" s="5" t="n">
        <v>0</v>
      </c>
      <c r="CL374" s="5" t="n">
        <v>0</v>
      </c>
      <c r="CM374" s="5" t="n">
        <v>0</v>
      </c>
      <c r="CN374" s="5" t="n">
        <v>0</v>
      </c>
      <c r="CO374" s="5" t="n">
        <v>0</v>
      </c>
      <c r="CP374" s="5" t="n">
        <v>0.526</v>
      </c>
      <c r="CQ374" s="5" t="n">
        <v>1.198</v>
      </c>
      <c r="CR374" s="5" t="n">
        <v>0.998</v>
      </c>
      <c r="CS374" s="5" t="n">
        <v>2.399</v>
      </c>
      <c r="CT374" s="5" t="n">
        <v>3.327</v>
      </c>
      <c r="CU374" s="5" t="n">
        <v>9.891</v>
      </c>
    </row>
    <row r="375">
      <c r="A375" s="5" t="inlineStr">
        <is>
          <t>IRN2022</t>
        </is>
      </c>
      <c r="B375" s="5" t="inlineStr">
        <is>
          <t>IRN</t>
        </is>
      </c>
      <c r="C375" s="5" t="inlineStr">
        <is>
          <t>IRN</t>
        </is>
      </c>
      <c r="D375" s="5" t="inlineStr">
        <is>
          <t>Iran</t>
        </is>
      </c>
      <c r="E375" s="5" t="n">
        <v>2022</v>
      </c>
      <c r="F375" s="5" t="n">
        <v>0.09</v>
      </c>
      <c r="G375" s="5" t="n">
        <v>4.998</v>
      </c>
      <c r="H375" s="5" t="n">
        <v>0.903</v>
      </c>
      <c r="I375" s="5" t="n">
        <v>0.18</v>
      </c>
      <c r="J375" s="5" t="n">
        <v>5.178</v>
      </c>
      <c r="K375" s="5" t="n">
        <v>0</v>
      </c>
      <c r="L375" s="5" t="n">
        <v>1</v>
      </c>
      <c r="M375" s="5" t="n">
        <v>5.375</v>
      </c>
      <c r="N375" s="5" t="n">
        <v>2.71</v>
      </c>
      <c r="O375" s="5" t="n">
        <v>0.118</v>
      </c>
      <c r="P375" s="5" t="n">
        <v>5.494</v>
      </c>
      <c r="Q375" s="5" t="n">
        <v>0</v>
      </c>
      <c r="R375" s="5" t="n">
        <v>1</v>
      </c>
      <c r="S375" s="5" t="n">
        <v>9.513999999999999</v>
      </c>
      <c r="T375" s="5" t="n">
        <v>5.42</v>
      </c>
      <c r="U375" s="5" t="n">
        <v>0.244</v>
      </c>
      <c r="V375" s="5" t="n">
        <v>10.567</v>
      </c>
      <c r="W375" s="5" t="n">
        <v>0.09</v>
      </c>
      <c r="X375" s="5" t="n">
        <v>1</v>
      </c>
      <c r="Y375" s="5" t="n">
        <v>3.21</v>
      </c>
      <c r="Z375" s="5" t="n">
        <v>0.489</v>
      </c>
      <c r="AA375" s="5" t="n">
        <v>-1.345</v>
      </c>
      <c r="AB375" s="5" t="n">
        <v>1.865</v>
      </c>
      <c r="AC375" s="5" t="n">
        <v>0</v>
      </c>
      <c r="AD375" s="5" t="n">
        <v>0</v>
      </c>
      <c r="AE375" s="5" t="n">
        <v>3.828</v>
      </c>
      <c r="AF375" s="5" t="n">
        <v>0.992</v>
      </c>
      <c r="AG375" s="5" t="n">
        <v>-2.549</v>
      </c>
      <c r="AH375" s="5" t="n">
        <v>1.28</v>
      </c>
      <c r="AI375" s="5" t="n">
        <v>0</v>
      </c>
      <c r="AJ375" s="5" t="n">
        <v>0</v>
      </c>
      <c r="AK375" s="5" t="n">
        <v>7.54</v>
      </c>
      <c r="AL375" s="5" t="n">
        <v>4.228</v>
      </c>
      <c r="AM375" s="5" t="n">
        <v>-2.789</v>
      </c>
      <c r="AN375" s="5" t="n">
        <v>4.751</v>
      </c>
      <c r="AO375" s="5" t="n">
        <v>0</v>
      </c>
      <c r="AP375" s="5" t="n">
        <v>0</v>
      </c>
      <c r="AQ375" s="5" t="n">
        <v>0.63</v>
      </c>
      <c r="AR375" s="5" t="n">
        <v>0.123</v>
      </c>
      <c r="AS375" s="5" t="n">
        <v>-0.42</v>
      </c>
      <c r="AT375" s="5" t="n">
        <v>0.229</v>
      </c>
      <c r="AU375" s="5" t="n">
        <v>0</v>
      </c>
      <c r="AV375" s="5" t="n">
        <v>0</v>
      </c>
      <c r="AW375" s="5" t="n">
        <v>0.7</v>
      </c>
      <c r="AX375" s="5" t="n">
        <v>0.123</v>
      </c>
      <c r="AY375" s="5" t="n">
        <v>-0.642</v>
      </c>
      <c r="AZ375" s="5" t="n">
        <v>0.062</v>
      </c>
      <c r="BA375" s="5" t="n">
        <v>0</v>
      </c>
      <c r="BB375" s="5" t="n">
        <v>0</v>
      </c>
      <c r="BC375" s="5" t="n">
        <v>0.449</v>
      </c>
      <c r="BD375" s="5" t="n">
        <v>0.123</v>
      </c>
      <c r="BE375" s="5" t="n">
        <v>0.003</v>
      </c>
      <c r="BF375" s="5" t="n">
        <v>0.489</v>
      </c>
      <c r="BG375" s="5" t="n">
        <v>0.09</v>
      </c>
      <c r="BH375" s="5" t="n">
        <v>1</v>
      </c>
      <c r="BI375" s="5" t="n">
        <v>0.519</v>
      </c>
      <c r="BJ375" s="5" t="n">
        <v>0.123</v>
      </c>
      <c r="BK375" s="5" t="n">
        <v>0.003</v>
      </c>
      <c r="BL375" s="5" t="n">
        <v>0.5659999999999999</v>
      </c>
      <c r="BM375" s="5" t="n">
        <v>0.09</v>
      </c>
      <c r="BN375" s="5" t="n">
        <v>1</v>
      </c>
      <c r="BO375" s="5" t="n">
        <v>0</v>
      </c>
      <c r="BP375" s="5" t="n">
        <v>-0.073</v>
      </c>
      <c r="BQ375" s="5" t="n">
        <v>0.017</v>
      </c>
      <c r="BR375" s="5" t="n">
        <v>0</v>
      </c>
      <c r="BS375" s="5" t="n">
        <v>1</v>
      </c>
      <c r="BT375" s="5" t="n">
        <v>0</v>
      </c>
      <c r="BU375" s="5" t="n">
        <v>-0.073</v>
      </c>
      <c r="BV375" s="5" t="n">
        <v>0.031</v>
      </c>
      <c r="BW375" s="5" t="n">
        <v>0</v>
      </c>
      <c r="BX375" s="5" t="n">
        <v>0.833</v>
      </c>
      <c r="BY375" s="5" t="n">
        <v>12.729</v>
      </c>
      <c r="BZ375" s="5" t="n">
        <v>0</v>
      </c>
      <c r="CA375" s="5" t="n">
        <v>12.729</v>
      </c>
      <c r="CB375" s="5" t="n">
        <v>0</v>
      </c>
      <c r="CC375" s="5" t="n">
        <v>74.119</v>
      </c>
      <c r="CD375" s="5" t="n">
        <v>7.95</v>
      </c>
      <c r="CE375" s="5" t="n">
        <v>0.494</v>
      </c>
      <c r="CF375" s="5" t="n">
        <v>80.789</v>
      </c>
      <c r="CG375" s="5" t="n">
        <v>0.09</v>
      </c>
      <c r="CH375" s="5" t="n">
        <v>1</v>
      </c>
      <c r="CI375" s="5" t="n">
        <v>0</v>
      </c>
      <c r="CJ375" s="5" t="n">
        <v>0</v>
      </c>
      <c r="CK375" s="5" t="n">
        <v>0</v>
      </c>
      <c r="CL375" s="5" t="n">
        <v>0</v>
      </c>
      <c r="CM375" s="5" t="n">
        <v>0</v>
      </c>
      <c r="CN375" s="5" t="n">
        <v>0</v>
      </c>
      <c r="CO375" s="5" t="n">
        <v>0</v>
      </c>
      <c r="CP375" s="5" t="n">
        <v>0.537</v>
      </c>
      <c r="CQ375" s="5" t="n">
        <v>1.294</v>
      </c>
      <c r="CR375" s="5" t="n">
        <v>0.998</v>
      </c>
      <c r="CS375" s="5" t="n">
        <v>2.591</v>
      </c>
      <c r="CT375" s="5" t="n">
        <v>7.34</v>
      </c>
      <c r="CU375" s="5" t="n">
        <v>19.642</v>
      </c>
    </row>
    <row r="376">
      <c r="A376" s="5" t="inlineStr">
        <is>
          <t>IRN2023</t>
        </is>
      </c>
      <c r="B376" s="5" t="inlineStr">
        <is>
          <t>IRN</t>
        </is>
      </c>
      <c r="C376" s="5" t="inlineStr">
        <is>
          <t>IRN</t>
        </is>
      </c>
      <c r="D376" s="5" t="inlineStr">
        <is>
          <t>Iran</t>
        </is>
      </c>
      <c r="E376" s="5" t="n">
        <v>2023</v>
      </c>
      <c r="F376" s="5" t="n">
        <v>0.09</v>
      </c>
      <c r="G376" s="5" t="n">
        <v>2.89</v>
      </c>
      <c r="H376" s="5" t="n">
        <v>0.857</v>
      </c>
      <c r="I376" s="5" t="n">
        <v>0.063</v>
      </c>
      <c r="J376" s="5" t="n">
        <v>2.952</v>
      </c>
      <c r="K376" s="5" t="n">
        <v>0</v>
      </c>
      <c r="L376" s="5" t="n">
        <v>1</v>
      </c>
      <c r="M376" s="5" t="n">
        <v>4.41</v>
      </c>
      <c r="N376" s="5" t="n">
        <v>2.571</v>
      </c>
      <c r="O376" s="5" t="n">
        <v>0.059</v>
      </c>
      <c r="P376" s="5" t="n">
        <v>4.469</v>
      </c>
      <c r="Q376" s="5" t="n">
        <v>0</v>
      </c>
      <c r="R376" s="5" t="n">
        <v>1</v>
      </c>
      <c r="S376" s="5" t="n">
        <v>7.176</v>
      </c>
      <c r="T376" s="5" t="n">
        <v>5.143</v>
      </c>
      <c r="U376" s="5" t="n">
        <v>0.135</v>
      </c>
      <c r="V376" s="5" t="n">
        <v>7.89</v>
      </c>
      <c r="W376" s="5" t="n">
        <v>0.09</v>
      </c>
      <c r="X376" s="5" t="n">
        <v>1</v>
      </c>
      <c r="Y376" s="5" t="n">
        <v>3.342</v>
      </c>
      <c r="Z376" s="5" t="n">
        <v>0.509</v>
      </c>
      <c r="AA376" s="5" t="n">
        <v>-0.9320000000000001</v>
      </c>
      <c r="AB376" s="5" t="n">
        <v>2.41</v>
      </c>
      <c r="AC376" s="5" t="n">
        <v>0</v>
      </c>
      <c r="AD376" s="5" t="n">
        <v>0</v>
      </c>
      <c r="AE376" s="5" t="n">
        <v>3.986</v>
      </c>
      <c r="AF376" s="5" t="n">
        <v>1.033</v>
      </c>
      <c r="AG376" s="5" t="n">
        <v>-2.186</v>
      </c>
      <c r="AH376" s="5" t="n">
        <v>1.801</v>
      </c>
      <c r="AI376" s="5" t="n">
        <v>0</v>
      </c>
      <c r="AJ376" s="5" t="n">
        <v>0</v>
      </c>
      <c r="AK376" s="5" t="n">
        <v>7.851</v>
      </c>
      <c r="AL376" s="5" t="n">
        <v>4.403</v>
      </c>
      <c r="AM376" s="5" t="n">
        <v>-2.907</v>
      </c>
      <c r="AN376" s="5" t="n">
        <v>4.944</v>
      </c>
      <c r="AO376" s="5" t="n">
        <v>0</v>
      </c>
      <c r="AP376" s="5" t="n">
        <v>0</v>
      </c>
      <c r="AQ376" s="5" t="n">
        <v>0.5629999999999999</v>
      </c>
      <c r="AR376" s="5" t="n">
        <v>0.129</v>
      </c>
      <c r="AS376" s="5" t="n">
        <v>-0.303</v>
      </c>
      <c r="AT376" s="5" t="n">
        <v>0.283</v>
      </c>
      <c r="AU376" s="5" t="n">
        <v>0</v>
      </c>
      <c r="AV376" s="5" t="n">
        <v>0</v>
      </c>
      <c r="AW376" s="5" t="n">
        <v>0.586</v>
      </c>
      <c r="AX376" s="5" t="n">
        <v>0.129</v>
      </c>
      <c r="AY376" s="5" t="n">
        <v>-0.528</v>
      </c>
      <c r="AZ376" s="5" t="n">
        <v>0.063</v>
      </c>
      <c r="BA376" s="5" t="n">
        <v>0</v>
      </c>
      <c r="BB376" s="5" t="n">
        <v>0</v>
      </c>
      <c r="BC376" s="5" t="n">
        <v>0.408</v>
      </c>
      <c r="BD376" s="5" t="n">
        <v>0.129</v>
      </c>
      <c r="BE376" s="5" t="n">
        <v>0.004</v>
      </c>
      <c r="BF376" s="5" t="n">
        <v>0.444</v>
      </c>
      <c r="BG376" s="5" t="n">
        <v>0.09</v>
      </c>
      <c r="BH376" s="5" t="n">
        <v>1</v>
      </c>
      <c r="BI376" s="5" t="n">
        <v>0.486</v>
      </c>
      <c r="BJ376" s="5" t="n">
        <v>0.129</v>
      </c>
      <c r="BK376" s="5" t="n">
        <v>0.005</v>
      </c>
      <c r="BL376" s="5" t="n">
        <v>0.53</v>
      </c>
      <c r="BM376" s="5" t="n">
        <v>0.09</v>
      </c>
      <c r="BN376" s="5" t="n">
        <v>1</v>
      </c>
      <c r="BO376" s="5" t="n">
        <v>0</v>
      </c>
      <c r="BP376" s="5" t="n">
        <v>-0.073</v>
      </c>
      <c r="BQ376" s="5" t="n">
        <v>0.018</v>
      </c>
      <c r="BR376" s="5" t="n">
        <v>0</v>
      </c>
      <c r="BS376" s="5" t="n">
        <v>1</v>
      </c>
      <c r="BT376" s="5" t="n">
        <v>0</v>
      </c>
      <c r="BU376" s="5" t="n">
        <v>-0.073</v>
      </c>
      <c r="BV376" s="5" t="n">
        <v>0.031</v>
      </c>
      <c r="BW376" s="5" t="n">
        <v>0</v>
      </c>
      <c r="BX376" s="5" t="n">
        <v>0.833</v>
      </c>
      <c r="BY376" s="5" t="n">
        <v>13.254</v>
      </c>
      <c r="BZ376" s="5" t="n">
        <v>0</v>
      </c>
      <c r="CA376" s="5" t="n">
        <v>13.254</v>
      </c>
      <c r="CB376" s="5" t="n">
        <v>0</v>
      </c>
      <c r="CC376" s="5" t="n">
        <v>63.34</v>
      </c>
      <c r="CD376" s="5" t="n">
        <v>7.95</v>
      </c>
      <c r="CE376" s="5" t="n">
        <v>0.631</v>
      </c>
      <c r="CF376" s="5" t="n">
        <v>69.041</v>
      </c>
      <c r="CG376" s="5" t="n">
        <v>0.09</v>
      </c>
      <c r="CH376" s="5" t="n">
        <v>1</v>
      </c>
      <c r="CI376" s="5" t="n">
        <v>0</v>
      </c>
      <c r="CJ376" s="5" t="n">
        <v>0</v>
      </c>
      <c r="CK376" s="5" t="n">
        <v>0</v>
      </c>
      <c r="CL376" s="5" t="n">
        <v>0</v>
      </c>
      <c r="CM376" s="5" t="n">
        <v>0</v>
      </c>
      <c r="CN376" s="5" t="n">
        <v>0</v>
      </c>
      <c r="CO376" s="5" t="n">
        <v>0</v>
      </c>
      <c r="CP376" s="5" t="n">
        <v>0.667</v>
      </c>
      <c r="CQ376" s="5" t="n">
        <v>1.348</v>
      </c>
      <c r="CR376" s="5" t="n">
        <v>0.998</v>
      </c>
      <c r="CS376" s="5" t="n">
        <v>2.698</v>
      </c>
      <c r="CT376" s="5" t="n">
        <v>3.403</v>
      </c>
      <c r="CU376" s="5" t="n">
        <v>6.483</v>
      </c>
    </row>
    <row r="377">
      <c r="A377" s="5" t="inlineStr">
        <is>
          <t>IRN2024</t>
        </is>
      </c>
      <c r="B377" s="5" t="inlineStr">
        <is>
          <t>IRN</t>
        </is>
      </c>
      <c r="C377" s="5" t="inlineStr">
        <is>
          <t>IRN</t>
        </is>
      </c>
      <c r="D377" s="5" t="inlineStr">
        <is>
          <t>Iran</t>
        </is>
      </c>
      <c r="E377" s="5" t="n">
        <v>2024</v>
      </c>
      <c r="F377" s="5" t="n">
        <v>0.09</v>
      </c>
      <c r="G377" s="5" t="n">
        <v>2.799</v>
      </c>
      <c r="H377" s="5" t="n">
        <v>0.882</v>
      </c>
      <c r="I377" s="5" t="n">
        <v>0.049</v>
      </c>
      <c r="J377" s="5" t="n">
        <v>2.848</v>
      </c>
      <c r="K377" s="5" t="n">
        <v>0</v>
      </c>
      <c r="L377" s="5" t="n">
        <v>1</v>
      </c>
      <c r="M377" s="5" t="n">
        <v>4.308</v>
      </c>
      <c r="N377" s="5" t="n">
        <v>2.647</v>
      </c>
      <c r="O377" s="5" t="n">
        <v>0.041</v>
      </c>
      <c r="P377" s="5" t="n">
        <v>4.349</v>
      </c>
      <c r="Q377" s="5" t="n">
        <v>0</v>
      </c>
      <c r="R377" s="5" t="n">
        <v>1</v>
      </c>
      <c r="S377" s="5" t="n">
        <v>7.212</v>
      </c>
      <c r="T377" s="5" t="n">
        <v>5.295</v>
      </c>
      <c r="U377" s="5" t="n">
        <v>0.138</v>
      </c>
      <c r="V377" s="5" t="n">
        <v>7.914</v>
      </c>
      <c r="W377" s="5" t="n">
        <v>0.09</v>
      </c>
      <c r="X377" s="5" t="n">
        <v>1</v>
      </c>
      <c r="Y377" s="5" t="n">
        <v>3.441</v>
      </c>
      <c r="Z377" s="5" t="n">
        <v>0.524</v>
      </c>
      <c r="AA377" s="5" t="n">
        <v>-0.96</v>
      </c>
      <c r="AB377" s="5" t="n">
        <v>2.481</v>
      </c>
      <c r="AC377" s="5" t="n">
        <v>0</v>
      </c>
      <c r="AD377" s="5" t="n">
        <v>0</v>
      </c>
      <c r="AE377" s="5" t="n">
        <v>4.104</v>
      </c>
      <c r="AF377" s="5" t="n">
        <v>1.063</v>
      </c>
      <c r="AG377" s="5" t="n">
        <v>-2.25</v>
      </c>
      <c r="AH377" s="5" t="n">
        <v>1.854</v>
      </c>
      <c r="AI377" s="5" t="n">
        <v>0</v>
      </c>
      <c r="AJ377" s="5" t="n">
        <v>0</v>
      </c>
      <c r="AK377" s="5" t="n">
        <v>8.083</v>
      </c>
      <c r="AL377" s="5" t="n">
        <v>4.533</v>
      </c>
      <c r="AM377" s="5" t="n">
        <v>-2.879</v>
      </c>
      <c r="AN377" s="5" t="n">
        <v>5.204</v>
      </c>
      <c r="AO377" s="5" t="n">
        <v>0</v>
      </c>
      <c r="AP377" s="5" t="n">
        <v>0</v>
      </c>
      <c r="AQ377" s="5" t="n">
        <v>0.544</v>
      </c>
      <c r="AR377" s="5" t="n">
        <v>0.132</v>
      </c>
      <c r="AS377" s="5" t="n">
        <v>-0.284</v>
      </c>
      <c r="AT377" s="5" t="n">
        <v>0.283</v>
      </c>
      <c r="AU377" s="5" t="n">
        <v>0</v>
      </c>
      <c r="AV377" s="5" t="n">
        <v>0</v>
      </c>
      <c r="AW377" s="5" t="n">
        <v>0.553</v>
      </c>
      <c r="AX377" s="5" t="n">
        <v>0.132</v>
      </c>
      <c r="AY377" s="5" t="n">
        <v>-0.495</v>
      </c>
      <c r="AZ377" s="5" t="n">
        <v>0.063</v>
      </c>
      <c r="BA377" s="5" t="n">
        <v>0</v>
      </c>
      <c r="BB377" s="5" t="n">
        <v>0</v>
      </c>
      <c r="BC377" s="5" t="n">
        <v>0.397</v>
      </c>
      <c r="BD377" s="5" t="n">
        <v>0.132</v>
      </c>
      <c r="BE377" s="5" t="n">
        <v>0.005</v>
      </c>
      <c r="BF377" s="5" t="n">
        <v>0.433</v>
      </c>
      <c r="BG377" s="5" t="n">
        <v>0.09</v>
      </c>
      <c r="BH377" s="5" t="n">
        <v>1</v>
      </c>
      <c r="BI377" s="5" t="n">
        <v>0.496</v>
      </c>
      <c r="BJ377" s="5" t="n">
        <v>0.132</v>
      </c>
      <c r="BK377" s="5" t="n">
        <v>0.006</v>
      </c>
      <c r="BL377" s="5" t="n">
        <v>0.541</v>
      </c>
      <c r="BM377" s="5" t="n">
        <v>0.09</v>
      </c>
      <c r="BN377" s="5" t="n">
        <v>1</v>
      </c>
      <c r="BO377" s="5" t="n">
        <v>0</v>
      </c>
      <c r="BP377" s="5" t="n">
        <v>-0.075</v>
      </c>
      <c r="BQ377" s="5" t="n">
        <v>0.019</v>
      </c>
      <c r="BR377" s="5" t="n">
        <v>0</v>
      </c>
      <c r="BS377" s="5" t="n">
        <v>1</v>
      </c>
      <c r="BT377" s="5" t="n">
        <v>0</v>
      </c>
      <c r="BU377" s="5" t="n">
        <v>-0.075</v>
      </c>
      <c r="BV377" s="5" t="n">
        <v>0.039</v>
      </c>
      <c r="BW377" s="5" t="n">
        <v>0</v>
      </c>
      <c r="BX377" s="5" t="n">
        <v>0.833</v>
      </c>
      <c r="BY377" s="5" t="n">
        <v>13.646</v>
      </c>
      <c r="BZ377" s="5" t="n">
        <v>0</v>
      </c>
      <c r="CA377" s="5" t="n">
        <v>13.646</v>
      </c>
      <c r="CB377" s="5" t="n">
        <v>0</v>
      </c>
      <c r="CC377" s="5" t="n">
        <v>62.855</v>
      </c>
      <c r="CD377" s="5" t="n">
        <v>7.95</v>
      </c>
      <c r="CE377" s="5" t="n">
        <v>0.771</v>
      </c>
      <c r="CF377" s="5" t="n">
        <v>68.512</v>
      </c>
      <c r="CG377" s="5" t="n">
        <v>0.09</v>
      </c>
      <c r="CH377" s="5" t="n">
        <v>1</v>
      </c>
      <c r="CI377" s="5" t="n">
        <v>0</v>
      </c>
      <c r="CJ377" s="5" t="n">
        <v>0</v>
      </c>
      <c r="CK377" s="5" t="n">
        <v>0</v>
      </c>
      <c r="CL377" s="5" t="n">
        <v>0</v>
      </c>
      <c r="CM377" s="5" t="n">
        <v>0</v>
      </c>
      <c r="CN377" s="5" t="n">
        <v>0</v>
      </c>
      <c r="CO377" s="5" t="n">
        <v>0</v>
      </c>
      <c r="CP377" s="5" t="n">
        <v>0.667</v>
      </c>
      <c r="CQ377" s="5" t="n">
        <v>1.387</v>
      </c>
      <c r="CR377" s="5" t="n">
        <v>0.998</v>
      </c>
      <c r="CS377" s="5" t="n">
        <v>2.778</v>
      </c>
      <c r="CT377" s="5" t="n">
        <v>2.976</v>
      </c>
      <c r="CU377" s="5" t="n">
        <v>5.319</v>
      </c>
    </row>
    <row r="378">
      <c r="A378" s="5" t="inlineStr">
        <is>
          <t>IRQ2021</t>
        </is>
      </c>
      <c r="B378" s="5" t="inlineStr">
        <is>
          <t>IRQ</t>
        </is>
      </c>
      <c r="C378" s="5" t="inlineStr">
        <is>
          <t>IRQ</t>
        </is>
      </c>
      <c r="D378" s="5" t="inlineStr">
        <is>
          <t>Iraq</t>
        </is>
      </c>
      <c r="E378" s="5" t="n">
        <v>2021</v>
      </c>
      <c r="F378" s="5" t="n">
        <v>0</v>
      </c>
      <c r="G378" s="5" t="n">
        <v>5.897</v>
      </c>
      <c r="H378" s="5" t="n">
        <v>1.143</v>
      </c>
      <c r="I378" s="5" t="n">
        <v>0.233</v>
      </c>
      <c r="J378" s="5" t="n">
        <v>6.13</v>
      </c>
      <c r="K378" s="5" t="n">
        <v>0</v>
      </c>
      <c r="L378" s="5" t="n">
        <v>1</v>
      </c>
      <c r="M378" s="5" t="n">
        <v>7.964</v>
      </c>
      <c r="N378" s="5" t="n">
        <v>3.43</v>
      </c>
      <c r="O378" s="5" t="n">
        <v>0.252</v>
      </c>
      <c r="P378" s="5" t="n">
        <v>8.217000000000001</v>
      </c>
      <c r="Q378" s="5" t="n">
        <v>0</v>
      </c>
      <c r="R378" s="5" t="n">
        <v>1</v>
      </c>
      <c r="S378" s="5" t="n">
        <v>11.613</v>
      </c>
      <c r="T378" s="5" t="n">
        <v>6.86</v>
      </c>
      <c r="U378" s="5" t="n">
        <v>0.233</v>
      </c>
      <c r="V378" s="5" t="n">
        <v>11.846</v>
      </c>
      <c r="W378" s="5" t="n">
        <v>0</v>
      </c>
      <c r="X378" s="5" t="n">
        <v>1</v>
      </c>
      <c r="Y378" s="5" t="n">
        <v>7.559</v>
      </c>
      <c r="Z378" s="5" t="n">
        <v>0.788</v>
      </c>
      <c r="AA378" s="5" t="n">
        <v>-2.972</v>
      </c>
      <c r="AB378" s="5" t="n">
        <v>4.588</v>
      </c>
      <c r="AC378" s="5" t="n">
        <v>0</v>
      </c>
      <c r="AD378" s="5" t="n">
        <v>0</v>
      </c>
      <c r="AE378" s="5" t="n">
        <v>8.419</v>
      </c>
      <c r="AF378" s="5" t="n">
        <v>1.557</v>
      </c>
      <c r="AG378" s="5" t="n">
        <v>-4.373</v>
      </c>
      <c r="AH378" s="5" t="n">
        <v>4.046</v>
      </c>
      <c r="AI378" s="5" t="n">
        <v>0</v>
      </c>
      <c r="AJ378" s="5" t="n">
        <v>0</v>
      </c>
      <c r="AK378" s="5" t="n">
        <v>13.577</v>
      </c>
      <c r="AL378" s="5" t="n">
        <v>6.201</v>
      </c>
      <c r="AM378" s="5" t="n">
        <v>0</v>
      </c>
      <c r="AN378" s="5" t="n">
        <v>13.577</v>
      </c>
      <c r="AO378" s="5" t="n">
        <v>0</v>
      </c>
      <c r="AP378" s="5" t="n">
        <v>1</v>
      </c>
      <c r="AQ378" s="5" t="n">
        <v>0.621</v>
      </c>
      <c r="AR378" s="5" t="n">
        <v>0.114</v>
      </c>
      <c r="AS378" s="5" t="n">
        <v>-0.264</v>
      </c>
      <c r="AT378" s="5" t="n">
        <v>0.357</v>
      </c>
      <c r="AU378" s="5" t="n">
        <v>0</v>
      </c>
      <c r="AV378" s="5" t="n">
        <v>0</v>
      </c>
      <c r="AW378" s="5" t="n">
        <v>0.593</v>
      </c>
      <c r="AX378" s="5" t="n">
        <v>0.114</v>
      </c>
      <c r="AY378" s="5" t="n">
        <v>-0.381</v>
      </c>
      <c r="AZ378" s="5" t="n">
        <v>0.212</v>
      </c>
      <c r="BA378" s="5" t="n">
        <v>0</v>
      </c>
      <c r="BB378" s="5" t="n">
        <v>0</v>
      </c>
      <c r="BC378" s="5" t="n">
        <v>0.44</v>
      </c>
      <c r="BD378" s="5" t="n">
        <v>0.114</v>
      </c>
      <c r="BE378" s="5" t="n">
        <v>0</v>
      </c>
      <c r="BF378" s="5" t="n">
        <v>0.44</v>
      </c>
      <c r="BG378" s="5" t="n">
        <v>0</v>
      </c>
      <c r="BH378" s="5" t="n">
        <v>1</v>
      </c>
      <c r="BI378" s="5" t="n">
        <v>0.5600000000000001</v>
      </c>
      <c r="BJ378" s="5" t="n">
        <v>0.114</v>
      </c>
      <c r="BK378" s="5" t="n">
        <v>0</v>
      </c>
      <c r="BL378" s="5" t="n">
        <v>0.5600000000000001</v>
      </c>
      <c r="BM378" s="5" t="n">
        <v>0</v>
      </c>
      <c r="BN378" s="5" t="n">
        <v>1</v>
      </c>
      <c r="BO378" s="5" t="n">
        <v>0</v>
      </c>
      <c r="BP378" s="5" t="n">
        <v>0</v>
      </c>
      <c r="BQ378" s="5" t="n">
        <v>0.041</v>
      </c>
      <c r="BR378" s="5" t="n">
        <v>0</v>
      </c>
      <c r="BS378" s="5" t="n">
        <v>0.667</v>
      </c>
      <c r="BT378" s="5" t="n">
        <v>0</v>
      </c>
      <c r="BU378" s="5" t="n">
        <v>0</v>
      </c>
      <c r="BV378" s="5" t="n">
        <v>0.024</v>
      </c>
      <c r="BW378" s="5" t="n">
        <v>0</v>
      </c>
      <c r="BX378" s="5" t="n">
        <v>0.833</v>
      </c>
      <c r="BY378" s="5" t="n">
        <v>11.787</v>
      </c>
      <c r="BZ378" s="5" t="n">
        <v>0</v>
      </c>
      <c r="CA378" s="5" t="n">
        <v>11.787</v>
      </c>
      <c r="CB378" s="5" t="n">
        <v>0</v>
      </c>
      <c r="CC378" s="5" t="n">
        <v>81.69499999999999</v>
      </c>
      <c r="CD378" s="5" t="n">
        <v>7.95</v>
      </c>
      <c r="CE378" s="5" t="n">
        <v>0</v>
      </c>
      <c r="CF378" s="5" t="n">
        <v>81.69499999999999</v>
      </c>
      <c r="CG378" s="5" t="n">
        <v>0</v>
      </c>
      <c r="CH378" s="5" t="n">
        <v>1</v>
      </c>
      <c r="CI378" s="5" t="n">
        <v>0</v>
      </c>
      <c r="CJ378" s="5" t="n">
        <v>0</v>
      </c>
      <c r="CK378" s="5" t="n">
        <v>0</v>
      </c>
      <c r="CL378" s="5" t="n">
        <v>0</v>
      </c>
      <c r="CM378" s="5" t="n">
        <v>0</v>
      </c>
      <c r="CN378" s="5" t="n">
        <v>0</v>
      </c>
      <c r="CO378" s="5" t="n">
        <v>0</v>
      </c>
      <c r="CP378" s="5" t="n">
        <v>0</v>
      </c>
      <c r="CQ378" s="5" t="n">
        <v>1.198</v>
      </c>
      <c r="CR378" s="5" t="n">
        <v>0.496</v>
      </c>
      <c r="CS378" s="5" t="n">
        <v>3.207</v>
      </c>
      <c r="CT378" s="5" t="n">
        <v>4.753</v>
      </c>
      <c r="CU378" s="5" t="n">
        <v>14.162</v>
      </c>
    </row>
    <row r="379">
      <c r="A379" s="5" t="inlineStr">
        <is>
          <t>IRQ2022</t>
        </is>
      </c>
      <c r="B379" s="5" t="inlineStr">
        <is>
          <t>IRQ</t>
        </is>
      </c>
      <c r="C379" s="5" t="inlineStr">
        <is>
          <t>IRQ</t>
        </is>
      </c>
      <c r="D379" s="5" t="inlineStr">
        <is>
          <t>Iraq</t>
        </is>
      </c>
      <c r="E379" s="5" t="n">
        <v>2022</v>
      </c>
      <c r="F379" s="5" t="n">
        <v>0</v>
      </c>
      <c r="G379" s="5" t="n">
        <v>11.72</v>
      </c>
      <c r="H379" s="5" t="n">
        <v>1.235</v>
      </c>
      <c r="I379" s="5" t="n">
        <v>0.555</v>
      </c>
      <c r="J379" s="5" t="n">
        <v>12.275</v>
      </c>
      <c r="K379" s="5" t="n">
        <v>0</v>
      </c>
      <c r="L379" s="5" t="n">
        <v>1</v>
      </c>
      <c r="M379" s="5" t="n">
        <v>9.782999999999999</v>
      </c>
      <c r="N379" s="5" t="n">
        <v>3.704</v>
      </c>
      <c r="O379" s="5" t="n">
        <v>0.365</v>
      </c>
      <c r="P379" s="5" t="n">
        <v>10.148</v>
      </c>
      <c r="Q379" s="5" t="n">
        <v>0</v>
      </c>
      <c r="R379" s="5" t="n">
        <v>1</v>
      </c>
      <c r="S379" s="5" t="n">
        <v>17.893</v>
      </c>
      <c r="T379" s="5" t="n">
        <v>7.408</v>
      </c>
      <c r="U379" s="5" t="n">
        <v>0.555</v>
      </c>
      <c r="V379" s="5" t="n">
        <v>18.448</v>
      </c>
      <c r="W379" s="5" t="n">
        <v>0</v>
      </c>
      <c r="X379" s="5" t="n">
        <v>1</v>
      </c>
      <c r="Y379" s="5" t="n">
        <v>12.691</v>
      </c>
      <c r="Z379" s="5" t="n">
        <v>1.323</v>
      </c>
      <c r="AA379" s="5" t="n">
        <v>-7.177</v>
      </c>
      <c r="AB379" s="5" t="n">
        <v>5.514</v>
      </c>
      <c r="AC379" s="5" t="n">
        <v>0</v>
      </c>
      <c r="AD379" s="5" t="n">
        <v>0</v>
      </c>
      <c r="AE379" s="5" t="n">
        <v>13.61</v>
      </c>
      <c r="AF379" s="5" t="n">
        <v>2.516</v>
      </c>
      <c r="AG379" s="5" t="n">
        <v>-8.682</v>
      </c>
      <c r="AH379" s="5" t="n">
        <v>4.929</v>
      </c>
      <c r="AI379" s="5" t="n">
        <v>0</v>
      </c>
      <c r="AJ379" s="5" t="n">
        <v>0</v>
      </c>
      <c r="AK379" s="5" t="n">
        <v>19.125</v>
      </c>
      <c r="AL379" s="5" t="n">
        <v>8.734</v>
      </c>
      <c r="AM379" s="5" t="n">
        <v>0</v>
      </c>
      <c r="AN379" s="5" t="n">
        <v>19.125</v>
      </c>
      <c r="AO379" s="5" t="n">
        <v>0</v>
      </c>
      <c r="AP379" s="5" t="n">
        <v>1</v>
      </c>
      <c r="AQ379" s="5" t="n">
        <v>0.847</v>
      </c>
      <c r="AR379" s="5" t="n">
        <v>0.123</v>
      </c>
      <c r="AS379" s="5" t="n">
        <v>-0.407</v>
      </c>
      <c r="AT379" s="5" t="n">
        <v>0.44</v>
      </c>
      <c r="AU379" s="5" t="n">
        <v>0</v>
      </c>
      <c r="AV379" s="5" t="n">
        <v>0</v>
      </c>
      <c r="AW379" s="5" t="n">
        <v>0.947</v>
      </c>
      <c r="AX379" s="5" t="n">
        <v>0.123</v>
      </c>
      <c r="AY379" s="5" t="n">
        <v>-0.646</v>
      </c>
      <c r="AZ379" s="5" t="n">
        <v>0.301</v>
      </c>
      <c r="BA379" s="5" t="n">
        <v>0</v>
      </c>
      <c r="BB379" s="5" t="n">
        <v>0</v>
      </c>
      <c r="BC379" s="5" t="n">
        <v>0.589</v>
      </c>
      <c r="BD379" s="5" t="n">
        <v>0.123</v>
      </c>
      <c r="BE379" s="5" t="n">
        <v>0</v>
      </c>
      <c r="BF379" s="5" t="n">
        <v>0.589</v>
      </c>
      <c r="BG379" s="5" t="n">
        <v>0</v>
      </c>
      <c r="BH379" s="5" t="n">
        <v>1</v>
      </c>
      <c r="BI379" s="5" t="n">
        <v>0.6889999999999999</v>
      </c>
      <c r="BJ379" s="5" t="n">
        <v>0.123</v>
      </c>
      <c r="BK379" s="5" t="n">
        <v>0</v>
      </c>
      <c r="BL379" s="5" t="n">
        <v>0.6889999999999999</v>
      </c>
      <c r="BM379" s="5" t="n">
        <v>0</v>
      </c>
      <c r="BN379" s="5" t="n">
        <v>1</v>
      </c>
      <c r="BO379" s="5" t="n">
        <v>0</v>
      </c>
      <c r="BP379" s="5" t="n">
        <v>0</v>
      </c>
      <c r="BQ379" s="5" t="n">
        <v>0.041</v>
      </c>
      <c r="BR379" s="5" t="n">
        <v>0</v>
      </c>
      <c r="BS379" s="5" t="n">
        <v>0.667</v>
      </c>
      <c r="BT379" s="5" t="n">
        <v>0</v>
      </c>
      <c r="BU379" s="5" t="n">
        <v>0</v>
      </c>
      <c r="BV379" s="5" t="n">
        <v>0.007</v>
      </c>
      <c r="BW379" s="5" t="n">
        <v>0</v>
      </c>
      <c r="BX379" s="5" t="n">
        <v>0.833</v>
      </c>
      <c r="BY379" s="5" t="n">
        <v>12.729</v>
      </c>
      <c r="BZ379" s="5" t="n">
        <v>0</v>
      </c>
      <c r="CA379" s="5" t="n">
        <v>12.729</v>
      </c>
      <c r="CB379" s="5" t="n">
        <v>0</v>
      </c>
      <c r="CC379" s="5" t="n">
        <v>102.477</v>
      </c>
      <c r="CD379" s="5" t="n">
        <v>7.95</v>
      </c>
      <c r="CE379" s="5" t="n">
        <v>0</v>
      </c>
      <c r="CF379" s="5" t="n">
        <v>102.477</v>
      </c>
      <c r="CG379" s="5" t="n">
        <v>0</v>
      </c>
      <c r="CH379" s="5" t="n">
        <v>1</v>
      </c>
      <c r="CI379" s="5" t="n">
        <v>0</v>
      </c>
      <c r="CJ379" s="5" t="n">
        <v>0</v>
      </c>
      <c r="CK379" s="5" t="n">
        <v>0</v>
      </c>
      <c r="CL379" s="5" t="n">
        <v>0</v>
      </c>
      <c r="CM379" s="5" t="n">
        <v>0</v>
      </c>
      <c r="CN379" s="5" t="n">
        <v>0</v>
      </c>
      <c r="CO379" s="5" t="n">
        <v>0</v>
      </c>
      <c r="CP379" s="5" t="n">
        <v>0</v>
      </c>
      <c r="CQ379" s="5" t="n">
        <v>1.294</v>
      </c>
      <c r="CR379" s="5" t="n">
        <v>0.511</v>
      </c>
      <c r="CS379" s="5" t="n">
        <v>3.463</v>
      </c>
      <c r="CT379" s="5" t="n">
        <v>10.485</v>
      </c>
      <c r="CU379" s="5" t="n">
        <v>30.326</v>
      </c>
    </row>
    <row r="380">
      <c r="A380" s="5" t="inlineStr">
        <is>
          <t>IRQ2023</t>
        </is>
      </c>
      <c r="B380" s="5" t="inlineStr">
        <is>
          <t>IRQ</t>
        </is>
      </c>
      <c r="C380" s="5" t="inlineStr">
        <is>
          <t>IRQ</t>
        </is>
      </c>
      <c r="D380" s="5" t="inlineStr">
        <is>
          <t>Iraq</t>
        </is>
      </c>
      <c r="E380" s="5" t="n">
        <v>2023</v>
      </c>
      <c r="F380" s="5" t="n">
        <v>0</v>
      </c>
      <c r="G380" s="5" t="n">
        <v>6.147</v>
      </c>
      <c r="H380" s="5" t="n">
        <v>1.286</v>
      </c>
      <c r="I380" s="5" t="n">
        <v>0.268</v>
      </c>
      <c r="J380" s="5" t="n">
        <v>6.415</v>
      </c>
      <c r="K380" s="5" t="n">
        <v>0</v>
      </c>
      <c r="L380" s="5" t="n">
        <v>1</v>
      </c>
      <c r="M380" s="5" t="n">
        <v>7.886</v>
      </c>
      <c r="N380" s="5" t="n">
        <v>3.857</v>
      </c>
      <c r="O380" s="5" t="n">
        <v>0.252</v>
      </c>
      <c r="P380" s="5" t="n">
        <v>8.138</v>
      </c>
      <c r="Q380" s="5" t="n">
        <v>0</v>
      </c>
      <c r="R380" s="5" t="n">
        <v>1</v>
      </c>
      <c r="S380" s="5" t="n">
        <v>12.575</v>
      </c>
      <c r="T380" s="5" t="n">
        <v>7.714</v>
      </c>
      <c r="U380" s="5" t="n">
        <v>0.268</v>
      </c>
      <c r="V380" s="5" t="n">
        <v>12.843</v>
      </c>
      <c r="W380" s="5" t="n">
        <v>0</v>
      </c>
      <c r="X380" s="5" t="n">
        <v>1</v>
      </c>
      <c r="Y380" s="5" t="n">
        <v>6.738</v>
      </c>
      <c r="Z380" s="5" t="n">
        <v>0.702</v>
      </c>
      <c r="AA380" s="5" t="n">
        <v>-1.579</v>
      </c>
      <c r="AB380" s="5" t="n">
        <v>5.159</v>
      </c>
      <c r="AC380" s="5" t="n">
        <v>0</v>
      </c>
      <c r="AD380" s="5" t="n">
        <v>0</v>
      </c>
      <c r="AE380" s="5" t="n">
        <v>7.696</v>
      </c>
      <c r="AF380" s="5" t="n">
        <v>1.423</v>
      </c>
      <c r="AG380" s="5" t="n">
        <v>-3.146</v>
      </c>
      <c r="AH380" s="5" t="n">
        <v>4.55</v>
      </c>
      <c r="AI380" s="5" t="n">
        <v>0</v>
      </c>
      <c r="AJ380" s="5" t="n">
        <v>0</v>
      </c>
      <c r="AK380" s="5" t="n">
        <v>13.442</v>
      </c>
      <c r="AL380" s="5" t="n">
        <v>6.139</v>
      </c>
      <c r="AM380" s="5" t="n">
        <v>0</v>
      </c>
      <c r="AN380" s="5" t="n">
        <v>13.442</v>
      </c>
      <c r="AO380" s="5" t="n">
        <v>0</v>
      </c>
      <c r="AP380" s="5" t="n">
        <v>1</v>
      </c>
      <c r="AQ380" s="5" t="n">
        <v>0.749</v>
      </c>
      <c r="AR380" s="5" t="n">
        <v>0.129</v>
      </c>
      <c r="AS380" s="5" t="n">
        <v>-0.378</v>
      </c>
      <c r="AT380" s="5" t="n">
        <v>0.371</v>
      </c>
      <c r="AU380" s="5" t="n">
        <v>0</v>
      </c>
      <c r="AV380" s="5" t="n">
        <v>0</v>
      </c>
      <c r="AW380" s="5" t="n">
        <v>0.783</v>
      </c>
      <c r="AX380" s="5" t="n">
        <v>0.129</v>
      </c>
      <c r="AY380" s="5" t="n">
        <v>-0.513</v>
      </c>
      <c r="AZ380" s="5" t="n">
        <v>0.269</v>
      </c>
      <c r="BA380" s="5" t="n">
        <v>0</v>
      </c>
      <c r="BB380" s="5" t="n">
        <v>0</v>
      </c>
      <c r="BC380" s="5" t="n">
        <v>0.527</v>
      </c>
      <c r="BD380" s="5" t="n">
        <v>0.129</v>
      </c>
      <c r="BE380" s="5" t="n">
        <v>0</v>
      </c>
      <c r="BF380" s="5" t="n">
        <v>0.527</v>
      </c>
      <c r="BG380" s="5" t="n">
        <v>0</v>
      </c>
      <c r="BH380" s="5" t="n">
        <v>1</v>
      </c>
      <c r="BI380" s="5" t="n">
        <v>0.64</v>
      </c>
      <c r="BJ380" s="5" t="n">
        <v>0.129</v>
      </c>
      <c r="BK380" s="5" t="n">
        <v>0</v>
      </c>
      <c r="BL380" s="5" t="n">
        <v>0.64</v>
      </c>
      <c r="BM380" s="5" t="n">
        <v>0</v>
      </c>
      <c r="BN380" s="5" t="n">
        <v>1</v>
      </c>
      <c r="BO380" s="5" t="n">
        <v>0</v>
      </c>
      <c r="BP380" s="5" t="n">
        <v>0</v>
      </c>
      <c r="BQ380" s="5" t="n">
        <v>0.045</v>
      </c>
      <c r="BR380" s="5" t="n">
        <v>0</v>
      </c>
      <c r="BS380" s="5" t="n">
        <v>0.667</v>
      </c>
      <c r="BT380" s="5" t="n">
        <v>0</v>
      </c>
      <c r="BU380" s="5" t="n">
        <v>0</v>
      </c>
      <c r="BV380" s="5" t="n">
        <v>0.007</v>
      </c>
      <c r="BW380" s="5" t="n">
        <v>0</v>
      </c>
      <c r="BX380" s="5" t="n">
        <v>0.833</v>
      </c>
      <c r="BY380" s="5" t="n">
        <v>13.254</v>
      </c>
      <c r="BZ380" s="5" t="n">
        <v>0</v>
      </c>
      <c r="CA380" s="5" t="n">
        <v>13.254</v>
      </c>
      <c r="CB380" s="5" t="n">
        <v>0</v>
      </c>
      <c r="CC380" s="5" t="n">
        <v>87.07899999999999</v>
      </c>
      <c r="CD380" s="5" t="n">
        <v>7.95</v>
      </c>
      <c r="CE380" s="5" t="n">
        <v>0</v>
      </c>
      <c r="CF380" s="5" t="n">
        <v>87.07899999999999</v>
      </c>
      <c r="CG380" s="5" t="n">
        <v>0</v>
      </c>
      <c r="CH380" s="5" t="n">
        <v>1</v>
      </c>
      <c r="CI380" s="5" t="n">
        <v>0</v>
      </c>
      <c r="CJ380" s="5" t="n">
        <v>0</v>
      </c>
      <c r="CK380" s="5" t="n">
        <v>0</v>
      </c>
      <c r="CL380" s="5" t="n">
        <v>0</v>
      </c>
      <c r="CM380" s="5" t="n">
        <v>0</v>
      </c>
      <c r="CN380" s="5" t="n">
        <v>0</v>
      </c>
      <c r="CO380" s="5" t="n">
        <v>0</v>
      </c>
      <c r="CP380" s="5" t="n">
        <v>0</v>
      </c>
      <c r="CQ380" s="5" t="n">
        <v>1.348</v>
      </c>
      <c r="CR380" s="5" t="n">
        <v>0.51</v>
      </c>
      <c r="CS380" s="5" t="n">
        <v>3.606</v>
      </c>
      <c r="CT380" s="5" t="n">
        <v>4.861</v>
      </c>
      <c r="CU380" s="5" t="n">
        <v>10.622</v>
      </c>
    </row>
    <row r="381">
      <c r="A381" s="5" t="inlineStr">
        <is>
          <t>IRQ2024</t>
        </is>
      </c>
      <c r="B381" s="5" t="inlineStr">
        <is>
          <t>IRQ</t>
        </is>
      </c>
      <c r="C381" s="5" t="inlineStr">
        <is>
          <t>IRQ</t>
        </is>
      </c>
      <c r="D381" s="5" t="inlineStr">
        <is>
          <t>Iraq</t>
        </is>
      </c>
      <c r="E381" s="5" t="n">
        <v>2024</v>
      </c>
      <c r="F381" s="5" t="n">
        <v>0</v>
      </c>
      <c r="G381" s="5" t="n">
        <v>5.575</v>
      </c>
      <c r="H381" s="5" t="n">
        <v>1.324</v>
      </c>
      <c r="I381" s="5" t="n">
        <v>0.208</v>
      </c>
      <c r="J381" s="5" t="n">
        <v>5.783</v>
      </c>
      <c r="K381" s="5" t="n">
        <v>0</v>
      </c>
      <c r="L381" s="5" t="n">
        <v>1</v>
      </c>
      <c r="M381" s="5" t="n">
        <v>7.124</v>
      </c>
      <c r="N381" s="5" t="n">
        <v>3.971</v>
      </c>
      <c r="O381" s="5" t="n">
        <v>0.176</v>
      </c>
      <c r="P381" s="5" t="n">
        <v>7.299</v>
      </c>
      <c r="Q381" s="5" t="n">
        <v>0</v>
      </c>
      <c r="R381" s="5" t="n">
        <v>1</v>
      </c>
      <c r="S381" s="5" t="n">
        <v>12.193</v>
      </c>
      <c r="T381" s="5" t="n">
        <v>7.942</v>
      </c>
      <c r="U381" s="5" t="n">
        <v>0.208</v>
      </c>
      <c r="V381" s="5" t="n">
        <v>12.401</v>
      </c>
      <c r="W381" s="5" t="n">
        <v>0</v>
      </c>
      <c r="X381" s="5" t="n">
        <v>1</v>
      </c>
      <c r="Y381" s="5" t="n">
        <v>6.389</v>
      </c>
      <c r="Z381" s="5" t="n">
        <v>0.666</v>
      </c>
      <c r="AA381" s="5" t="n">
        <v>-1.078</v>
      </c>
      <c r="AB381" s="5" t="n">
        <v>5.311</v>
      </c>
      <c r="AC381" s="5" t="n">
        <v>0</v>
      </c>
      <c r="AD381" s="5" t="n">
        <v>0</v>
      </c>
      <c r="AE381" s="5" t="n">
        <v>7.375</v>
      </c>
      <c r="AF381" s="5" t="n">
        <v>1.364</v>
      </c>
      <c r="AG381" s="5" t="n">
        <v>-2.691</v>
      </c>
      <c r="AH381" s="5" t="n">
        <v>4.684</v>
      </c>
      <c r="AI381" s="5" t="n">
        <v>0</v>
      </c>
      <c r="AJ381" s="5" t="n">
        <v>0</v>
      </c>
      <c r="AK381" s="5" t="n">
        <v>13.291</v>
      </c>
      <c r="AL381" s="5" t="n">
        <v>6.07</v>
      </c>
      <c r="AM381" s="5" t="n">
        <v>0</v>
      </c>
      <c r="AN381" s="5" t="n">
        <v>13.291</v>
      </c>
      <c r="AO381" s="5" t="n">
        <v>0</v>
      </c>
      <c r="AP381" s="5" t="n">
        <v>1</v>
      </c>
      <c r="AQ381" s="5" t="n">
        <v>0.72</v>
      </c>
      <c r="AR381" s="5" t="n">
        <v>0.132</v>
      </c>
      <c r="AS381" s="5" t="n">
        <v>-0.346</v>
      </c>
      <c r="AT381" s="5" t="n">
        <v>0.374</v>
      </c>
      <c r="AU381" s="5" t="n">
        <v>0</v>
      </c>
      <c r="AV381" s="5" t="n">
        <v>0</v>
      </c>
      <c r="AW381" s="5" t="n">
        <v>0.734</v>
      </c>
      <c r="AX381" s="5" t="n">
        <v>0.132</v>
      </c>
      <c r="AY381" s="5" t="n">
        <v>-0.472</v>
      </c>
      <c r="AZ381" s="5" t="n">
        <v>0.262</v>
      </c>
      <c r="BA381" s="5" t="n">
        <v>0</v>
      </c>
      <c r="BB381" s="5" t="n">
        <v>0</v>
      </c>
      <c r="BC381" s="5" t="n">
        <v>0.51</v>
      </c>
      <c r="BD381" s="5" t="n">
        <v>0.132</v>
      </c>
      <c r="BE381" s="5" t="n">
        <v>0</v>
      </c>
      <c r="BF381" s="5" t="n">
        <v>0.51</v>
      </c>
      <c r="BG381" s="5" t="n">
        <v>0</v>
      </c>
      <c r="BH381" s="5" t="n">
        <v>1</v>
      </c>
      <c r="BI381" s="5" t="n">
        <v>0.652</v>
      </c>
      <c r="BJ381" s="5" t="n">
        <v>0.132</v>
      </c>
      <c r="BK381" s="5" t="n">
        <v>0</v>
      </c>
      <c r="BL381" s="5" t="n">
        <v>0.652</v>
      </c>
      <c r="BM381" s="5" t="n">
        <v>0</v>
      </c>
      <c r="BN381" s="5" t="n">
        <v>1</v>
      </c>
      <c r="BO381" s="5" t="n">
        <v>0</v>
      </c>
      <c r="BP381" s="5" t="n">
        <v>0</v>
      </c>
      <c r="BQ381" s="5" t="n">
        <v>0.046</v>
      </c>
      <c r="BR381" s="5" t="n">
        <v>0</v>
      </c>
      <c r="BS381" s="5" t="n">
        <v>0.667</v>
      </c>
      <c r="BT381" s="5" t="n">
        <v>0</v>
      </c>
      <c r="BU381" s="5" t="n">
        <v>0</v>
      </c>
      <c r="BV381" s="5" t="n">
        <v>0.011</v>
      </c>
      <c r="BW381" s="5" t="n">
        <v>0</v>
      </c>
      <c r="BX381" s="5" t="n">
        <v>0.833</v>
      </c>
      <c r="BY381" s="5" t="n">
        <v>13.646</v>
      </c>
      <c r="BZ381" s="5" t="n">
        <v>0</v>
      </c>
      <c r="CA381" s="5" t="n">
        <v>13.646</v>
      </c>
      <c r="CB381" s="5" t="n">
        <v>0</v>
      </c>
      <c r="CC381" s="5" t="n">
        <v>86.38500000000001</v>
      </c>
      <c r="CD381" s="5" t="n">
        <v>7.95</v>
      </c>
      <c r="CE381" s="5" t="n">
        <v>0</v>
      </c>
      <c r="CF381" s="5" t="n">
        <v>86.38500000000001</v>
      </c>
      <c r="CG381" s="5" t="n">
        <v>0</v>
      </c>
      <c r="CH381" s="5" t="n">
        <v>1</v>
      </c>
      <c r="CI381" s="5" t="n">
        <v>0</v>
      </c>
      <c r="CJ381" s="5" t="n">
        <v>0</v>
      </c>
      <c r="CK381" s="5" t="n">
        <v>0</v>
      </c>
      <c r="CL381" s="5" t="n">
        <v>0</v>
      </c>
      <c r="CM381" s="5" t="n">
        <v>0</v>
      </c>
      <c r="CN381" s="5" t="n">
        <v>0</v>
      </c>
      <c r="CO381" s="5" t="n">
        <v>0</v>
      </c>
      <c r="CP381" s="5" t="n">
        <v>0</v>
      </c>
      <c r="CQ381" s="5" t="n">
        <v>1.387</v>
      </c>
      <c r="CR381" s="5" t="n">
        <v>0.51</v>
      </c>
      <c r="CS381" s="5" t="n">
        <v>3.712</v>
      </c>
      <c r="CT381" s="5" t="n">
        <v>4.251</v>
      </c>
      <c r="CU381" s="5" t="n">
        <v>9.167999999999999</v>
      </c>
    </row>
    <row r="382">
      <c r="A382" s="5" t="inlineStr">
        <is>
          <t>IRL2021</t>
        </is>
      </c>
      <c r="B382" s="5" t="inlineStr">
        <is>
          <t>IRL</t>
        </is>
      </c>
      <c r="C382" s="5" t="inlineStr">
        <is>
          <t>IRL</t>
        </is>
      </c>
      <c r="D382" s="5" t="inlineStr">
        <is>
          <t>Ireland</t>
        </is>
      </c>
      <c r="E382" s="5" t="n">
        <v>2021</v>
      </c>
      <c r="F382" s="5" t="n">
        <v>0</v>
      </c>
      <c r="G382" s="5" t="n">
        <v>5.803</v>
      </c>
      <c r="H382" s="5" t="n">
        <v>1.009</v>
      </c>
      <c r="I382" s="5" t="n">
        <v>2.635</v>
      </c>
      <c r="J382" s="5" t="n">
        <v>8.439</v>
      </c>
      <c r="K382" s="5" t="n">
        <v>0</v>
      </c>
      <c r="L382" s="5" t="n">
        <v>1</v>
      </c>
      <c r="M382" s="5" t="n">
        <v>6.777</v>
      </c>
      <c r="N382" s="5" t="n">
        <v>3.027</v>
      </c>
      <c r="O382" s="5" t="n">
        <v>4.103</v>
      </c>
      <c r="P382" s="5" t="n">
        <v>10.88</v>
      </c>
      <c r="Q382" s="5" t="n">
        <v>0</v>
      </c>
      <c r="R382" s="5" t="n">
        <v>1</v>
      </c>
      <c r="S382" s="5" t="n">
        <v>20.489</v>
      </c>
      <c r="T382" s="5" t="n">
        <v>12.697</v>
      </c>
      <c r="U382" s="5" t="n">
        <v>1.67</v>
      </c>
      <c r="V382" s="5" t="n">
        <v>22.159</v>
      </c>
      <c r="W382" s="5" t="n">
        <v>0</v>
      </c>
      <c r="X382" s="5" t="n">
        <v>1</v>
      </c>
      <c r="Y382" s="5" t="n">
        <v>17.723</v>
      </c>
      <c r="Z382" s="5" t="n">
        <v>1.958</v>
      </c>
      <c r="AA382" s="5" t="n">
        <v>-1.64</v>
      </c>
      <c r="AB382" s="5" t="n">
        <v>16.083</v>
      </c>
      <c r="AC382" s="5" t="n">
        <v>0</v>
      </c>
      <c r="AD382" s="5" t="n">
        <v>1</v>
      </c>
      <c r="AE382" s="5" t="n">
        <v>17.679</v>
      </c>
      <c r="AF382" s="5" t="n">
        <v>3.479</v>
      </c>
      <c r="AG382" s="5" t="n">
        <v>-1.597</v>
      </c>
      <c r="AH382" s="5" t="n">
        <v>16.083</v>
      </c>
      <c r="AI382" s="5" t="n">
        <v>0</v>
      </c>
      <c r="AJ382" s="5" t="n">
        <v>1</v>
      </c>
      <c r="AK382" s="5" t="n">
        <v>27.839</v>
      </c>
      <c r="AL382" s="5" t="n">
        <v>13.664</v>
      </c>
      <c r="AM382" s="5" t="n">
        <v>-4.796</v>
      </c>
      <c r="AN382" s="5" t="n">
        <v>23.043</v>
      </c>
      <c r="AO382" s="5" t="n">
        <v>0</v>
      </c>
      <c r="AP382" s="5" t="n">
        <v>1</v>
      </c>
      <c r="AQ382" s="5" t="n">
        <v>0.619</v>
      </c>
      <c r="AR382" s="5" t="n">
        <v>0.114</v>
      </c>
      <c r="AS382" s="5" t="n">
        <v>1.173</v>
      </c>
      <c r="AT382" s="5" t="n">
        <v>1.792</v>
      </c>
      <c r="AU382" s="5" t="n">
        <v>0</v>
      </c>
      <c r="AV382" s="5" t="n">
        <v>1</v>
      </c>
      <c r="AW382" s="5" t="n">
        <v>0.599</v>
      </c>
      <c r="AX382" s="5" t="n">
        <v>0.114</v>
      </c>
      <c r="AY382" s="5" t="n">
        <v>1.073</v>
      </c>
      <c r="AZ382" s="5" t="n">
        <v>1.673</v>
      </c>
      <c r="BA382" s="5" t="n">
        <v>0</v>
      </c>
      <c r="BB382" s="5" t="n">
        <v>1</v>
      </c>
      <c r="BC382" s="5" t="n">
        <v>0.439</v>
      </c>
      <c r="BD382" s="5" t="n">
        <v>0.114</v>
      </c>
      <c r="BE382" s="5" t="n">
        <v>0.034</v>
      </c>
      <c r="BF382" s="5" t="n">
        <v>0.473</v>
      </c>
      <c r="BG382" s="5" t="n">
        <v>0</v>
      </c>
      <c r="BH382" s="5" t="n">
        <v>1</v>
      </c>
      <c r="BI382" s="5" t="n">
        <v>0.505</v>
      </c>
      <c r="BJ382" s="5" t="n">
        <v>0.114</v>
      </c>
      <c r="BK382" s="5" t="n">
        <v>0.533</v>
      </c>
      <c r="BL382" s="5" t="n">
        <v>1.038</v>
      </c>
      <c r="BM382" s="5" t="n">
        <v>0</v>
      </c>
      <c r="BN382" s="5" t="n">
        <v>1</v>
      </c>
      <c r="BO382" s="5" t="n">
        <v>0</v>
      </c>
      <c r="BP382" s="5" t="n">
        <v>0.008</v>
      </c>
      <c r="BQ382" s="5" t="n">
        <v>0.151</v>
      </c>
      <c r="BR382" s="5" t="n">
        <v>0</v>
      </c>
      <c r="BS382" s="5" t="n">
        <v>1</v>
      </c>
      <c r="BT382" s="5" t="n">
        <v>0</v>
      </c>
      <c r="BU382" s="5" t="n">
        <v>0.022</v>
      </c>
      <c r="BV382" s="5" t="n">
        <v>0.327</v>
      </c>
      <c r="BW382" s="5" t="n">
        <v>0</v>
      </c>
      <c r="BX382" s="5" t="n">
        <v>0.833</v>
      </c>
      <c r="BY382" s="5" t="n">
        <v>11.787</v>
      </c>
      <c r="BZ382" s="5" t="n">
        <v>0</v>
      </c>
      <c r="CA382" s="5" t="n">
        <v>11.787</v>
      </c>
      <c r="CB382" s="5" t="n">
        <v>0</v>
      </c>
      <c r="CC382" s="5" t="n">
        <v>78.125</v>
      </c>
      <c r="CD382" s="5" t="n">
        <v>7.95</v>
      </c>
      <c r="CE382" s="5" t="n">
        <v>67.696</v>
      </c>
      <c r="CF382" s="5" t="n">
        <v>145.821</v>
      </c>
      <c r="CG382" s="5" t="n">
        <v>0</v>
      </c>
      <c r="CH382" s="5" t="n">
        <v>1</v>
      </c>
      <c r="CI382" s="5" t="n">
        <v>0</v>
      </c>
      <c r="CJ382" s="5" t="n">
        <v>0</v>
      </c>
      <c r="CK382" s="5" t="n">
        <v>0</v>
      </c>
      <c r="CL382" s="5" t="n">
        <v>0</v>
      </c>
      <c r="CM382" s="5" t="n">
        <v>0</v>
      </c>
      <c r="CN382" s="5" t="n">
        <v>0.102</v>
      </c>
      <c r="CO382" s="5" t="n">
        <v>0</v>
      </c>
      <c r="CP382" s="5" t="n">
        <v>0.235</v>
      </c>
      <c r="CQ382" s="5" t="n">
        <v>1.198</v>
      </c>
      <c r="CR382" s="5" t="n">
        <v>0</v>
      </c>
      <c r="CS382" s="5" t="n">
        <v>5.769</v>
      </c>
      <c r="CT382" s="5" t="n">
        <v>5.9</v>
      </c>
      <c r="CU382" s="5" t="n">
        <v>12.069</v>
      </c>
    </row>
    <row r="383">
      <c r="A383" s="5" t="inlineStr">
        <is>
          <t>IRL2022</t>
        </is>
      </c>
      <c r="B383" s="5" t="inlineStr">
        <is>
          <t>IRL</t>
        </is>
      </c>
      <c r="C383" s="5" t="inlineStr">
        <is>
          <t>IRL</t>
        </is>
      </c>
      <c r="D383" s="5" t="inlineStr">
        <is>
          <t>Ireland</t>
        </is>
      </c>
      <c r="E383" s="5" t="n">
        <v>2022</v>
      </c>
      <c r="F383" s="5" t="n">
        <v>0.23</v>
      </c>
      <c r="G383" s="5" t="n">
        <v>11.617</v>
      </c>
      <c r="H383" s="5" t="n">
        <v>1.151</v>
      </c>
      <c r="I383" s="5" t="n">
        <v>12.568</v>
      </c>
      <c r="J383" s="5" t="n">
        <v>24.185</v>
      </c>
      <c r="K383" s="5" t="n">
        <v>0</v>
      </c>
      <c r="L383" s="5" t="n">
        <v>1</v>
      </c>
      <c r="M383" s="5" t="n">
        <v>8.882999999999999</v>
      </c>
      <c r="N383" s="5" t="n">
        <v>3.453</v>
      </c>
      <c r="O383" s="5" t="n">
        <v>8.948</v>
      </c>
      <c r="P383" s="5" t="n">
        <v>17.831</v>
      </c>
      <c r="Q383" s="5" t="n">
        <v>0</v>
      </c>
      <c r="R383" s="5" t="n">
        <v>1</v>
      </c>
      <c r="S383" s="5" t="n">
        <v>20.869</v>
      </c>
      <c r="T383" s="5" t="n">
        <v>10.221</v>
      </c>
      <c r="U383" s="5" t="n">
        <v>2.732</v>
      </c>
      <c r="V383" s="5" t="n">
        <v>29.029</v>
      </c>
      <c r="W383" s="5" t="n">
        <v>0.23</v>
      </c>
      <c r="X383" s="5" t="n">
        <v>1</v>
      </c>
      <c r="Y383" s="5" t="n">
        <v>28.249</v>
      </c>
      <c r="Z383" s="5" t="n">
        <v>2.963</v>
      </c>
      <c r="AA383" s="5" t="n">
        <v>-1.596</v>
      </c>
      <c r="AB383" s="5" t="n">
        <v>26.653</v>
      </c>
      <c r="AC383" s="5" t="n">
        <v>0</v>
      </c>
      <c r="AD383" s="5" t="n">
        <v>1</v>
      </c>
      <c r="AE383" s="5" t="n">
        <v>28.296</v>
      </c>
      <c r="AF383" s="5" t="n">
        <v>5.246</v>
      </c>
      <c r="AG383" s="5" t="n">
        <v>-1.643</v>
      </c>
      <c r="AH383" s="5" t="n">
        <v>26.653</v>
      </c>
      <c r="AI383" s="5" t="n">
        <v>0</v>
      </c>
      <c r="AJ383" s="5" t="n">
        <v>1</v>
      </c>
      <c r="AK383" s="5" t="n">
        <v>39.005</v>
      </c>
      <c r="AL383" s="5" t="n">
        <v>18.626</v>
      </c>
      <c r="AM383" s="5" t="n">
        <v>-10.578</v>
      </c>
      <c r="AN383" s="5" t="n">
        <v>34.965</v>
      </c>
      <c r="AO383" s="5" t="n">
        <v>0.23</v>
      </c>
      <c r="AP383" s="5" t="n">
        <v>1</v>
      </c>
      <c r="AQ383" s="5" t="n">
        <v>0.861</v>
      </c>
      <c r="AR383" s="5" t="n">
        <v>0.123</v>
      </c>
      <c r="AS383" s="5" t="n">
        <v>0.723</v>
      </c>
      <c r="AT383" s="5" t="n">
        <v>1.949</v>
      </c>
      <c r="AU383" s="5" t="n">
        <v>0.23</v>
      </c>
      <c r="AV383" s="5" t="n">
        <v>1</v>
      </c>
      <c r="AW383" s="5" t="n">
        <v>0.986</v>
      </c>
      <c r="AX383" s="5" t="n">
        <v>0.123</v>
      </c>
      <c r="AY383" s="5" t="n">
        <v>0.634</v>
      </c>
      <c r="AZ383" s="5" t="n">
        <v>1.993</v>
      </c>
      <c r="BA383" s="5" t="n">
        <v>0.23</v>
      </c>
      <c r="BB383" s="5" t="n">
        <v>1</v>
      </c>
      <c r="BC383" s="5" t="n">
        <v>0.598</v>
      </c>
      <c r="BD383" s="5" t="n">
        <v>0.123</v>
      </c>
      <c r="BE383" s="5" t="n">
        <v>0.067</v>
      </c>
      <c r="BF383" s="5" t="n">
        <v>0.804</v>
      </c>
      <c r="BG383" s="5" t="n">
        <v>0.23</v>
      </c>
      <c r="BH383" s="5" t="n">
        <v>1</v>
      </c>
      <c r="BI383" s="5" t="n">
        <v>0.612</v>
      </c>
      <c r="BJ383" s="5" t="n">
        <v>0.123</v>
      </c>
      <c r="BK383" s="5" t="n">
        <v>0.614</v>
      </c>
      <c r="BL383" s="5" t="n">
        <v>1.509</v>
      </c>
      <c r="BM383" s="5" t="n">
        <v>0.23</v>
      </c>
      <c r="BN383" s="5" t="n">
        <v>1</v>
      </c>
      <c r="BO383" s="5" t="n">
        <v>0</v>
      </c>
      <c r="BP383" s="5" t="n">
        <v>0.004</v>
      </c>
      <c r="BQ383" s="5" t="n">
        <v>0.222</v>
      </c>
      <c r="BR383" s="5" t="n">
        <v>0</v>
      </c>
      <c r="BS383" s="5" t="n">
        <v>1</v>
      </c>
      <c r="BT383" s="5" t="n">
        <v>0</v>
      </c>
      <c r="BU383" s="5" t="n">
        <v>-0.077</v>
      </c>
      <c r="BV383" s="5" t="n">
        <v>0.292</v>
      </c>
      <c r="BW383" s="5" t="n">
        <v>0.23</v>
      </c>
      <c r="BX383" s="5" t="n">
        <v>0.833</v>
      </c>
      <c r="BY383" s="5" t="n">
        <v>12.729</v>
      </c>
      <c r="BZ383" s="5" t="n">
        <v>0</v>
      </c>
      <c r="CA383" s="5" t="n">
        <v>12.729</v>
      </c>
      <c r="CB383" s="5" t="n">
        <v>0</v>
      </c>
      <c r="CC383" s="5" t="n">
        <v>97.90000000000001</v>
      </c>
      <c r="CD383" s="5" t="n">
        <v>7.95</v>
      </c>
      <c r="CE383" s="5" t="n">
        <v>101.769</v>
      </c>
      <c r="CF383" s="5" t="n">
        <v>245.593</v>
      </c>
      <c r="CG383" s="5" t="n">
        <v>0.23</v>
      </c>
      <c r="CH383" s="5" t="n">
        <v>1</v>
      </c>
      <c r="CI383" s="5" t="n">
        <v>0</v>
      </c>
      <c r="CJ383" s="5" t="n">
        <v>0</v>
      </c>
      <c r="CK383" s="5" t="n">
        <v>0</v>
      </c>
      <c r="CL383" s="5" t="n">
        <v>0</v>
      </c>
      <c r="CM383" s="5" t="n">
        <v>0</v>
      </c>
      <c r="CN383" s="5" t="n">
        <v>0.11</v>
      </c>
      <c r="CO383" s="5" t="n">
        <v>0</v>
      </c>
      <c r="CP383" s="5" t="n">
        <v>0.136</v>
      </c>
      <c r="CQ383" s="5" t="n">
        <v>1.294</v>
      </c>
      <c r="CR383" s="5" t="n">
        <v>0</v>
      </c>
      <c r="CS383" s="5" t="n">
        <v>6.23</v>
      </c>
      <c r="CT383" s="5" t="n">
        <v>11.905</v>
      </c>
      <c r="CU383" s="5" t="n">
        <v>22.503</v>
      </c>
    </row>
    <row r="384">
      <c r="A384" s="5" t="inlineStr">
        <is>
          <t>IRL2023</t>
        </is>
      </c>
      <c r="B384" s="5" t="inlineStr">
        <is>
          <t>IRL</t>
        </is>
      </c>
      <c r="C384" s="5" t="inlineStr">
        <is>
          <t>IRL</t>
        </is>
      </c>
      <c r="D384" s="5" t="inlineStr">
        <is>
          <t>Ireland</t>
        </is>
      </c>
      <c r="E384" s="5" t="n">
        <v>2023</v>
      </c>
      <c r="F384" s="5" t="n">
        <v>0.23</v>
      </c>
      <c r="G384" s="5" t="n">
        <v>7.473</v>
      </c>
      <c r="H384" s="5" t="n">
        <v>0.999</v>
      </c>
      <c r="I384" s="5" t="n">
        <v>14.645</v>
      </c>
      <c r="J384" s="5" t="n">
        <v>22.118</v>
      </c>
      <c r="K384" s="5" t="n">
        <v>0</v>
      </c>
      <c r="L384" s="5" t="n">
        <v>1</v>
      </c>
      <c r="M384" s="5" t="n">
        <v>5.831</v>
      </c>
      <c r="N384" s="5" t="n">
        <v>2.997</v>
      </c>
      <c r="O384" s="5" t="n">
        <v>9.936</v>
      </c>
      <c r="P384" s="5" t="n">
        <v>15.767</v>
      </c>
      <c r="Q384" s="5" t="n">
        <v>0</v>
      </c>
      <c r="R384" s="5" t="n">
        <v>1</v>
      </c>
      <c r="S384" s="5" t="n">
        <v>28.627</v>
      </c>
      <c r="T384" s="5" t="n">
        <v>17.952</v>
      </c>
      <c r="U384" s="5" t="n">
        <v>3.417</v>
      </c>
      <c r="V384" s="5" t="n">
        <v>39.415</v>
      </c>
      <c r="W384" s="5" t="n">
        <v>0.23</v>
      </c>
      <c r="X384" s="5" t="n">
        <v>1</v>
      </c>
      <c r="Y384" s="5" t="n">
        <v>18.781</v>
      </c>
      <c r="Z384" s="5" t="n">
        <v>2.104</v>
      </c>
      <c r="AA384" s="5" t="n">
        <v>8.837999999999999</v>
      </c>
      <c r="AB384" s="5" t="n">
        <v>27.619</v>
      </c>
      <c r="AC384" s="5" t="n">
        <v>0</v>
      </c>
      <c r="AD384" s="5" t="n">
        <v>1</v>
      </c>
      <c r="AE384" s="5" t="n">
        <v>18.88</v>
      </c>
      <c r="AF384" s="5" t="n">
        <v>3.76</v>
      </c>
      <c r="AG384" s="5" t="n">
        <v>8.739000000000001</v>
      </c>
      <c r="AH384" s="5" t="n">
        <v>27.619</v>
      </c>
      <c r="AI384" s="5" t="n">
        <v>0</v>
      </c>
      <c r="AJ384" s="5" t="n">
        <v>1</v>
      </c>
      <c r="AK384" s="5" t="n">
        <v>29.894</v>
      </c>
      <c r="AL384" s="5" t="n">
        <v>14.809</v>
      </c>
      <c r="AM384" s="5" t="n">
        <v>7.994</v>
      </c>
      <c r="AN384" s="5" t="n">
        <v>46.602</v>
      </c>
      <c r="AO384" s="5" t="n">
        <v>0.23</v>
      </c>
      <c r="AP384" s="5" t="n">
        <v>1</v>
      </c>
      <c r="AQ384" s="5" t="n">
        <v>0.76</v>
      </c>
      <c r="AR384" s="5" t="n">
        <v>0.129</v>
      </c>
      <c r="AS384" s="5" t="n">
        <v>0.714</v>
      </c>
      <c r="AT384" s="5" t="n">
        <v>1.814</v>
      </c>
      <c r="AU384" s="5" t="n">
        <v>0.23</v>
      </c>
      <c r="AV384" s="5" t="n">
        <v>1</v>
      </c>
      <c r="AW384" s="5" t="n">
        <v>0.8110000000000001</v>
      </c>
      <c r="AX384" s="5" t="n">
        <v>0.129</v>
      </c>
      <c r="AY384" s="5" t="n">
        <v>0.648</v>
      </c>
      <c r="AZ384" s="5" t="n">
        <v>1.795</v>
      </c>
      <c r="BA384" s="5" t="n">
        <v>0.23</v>
      </c>
      <c r="BB384" s="5" t="n">
        <v>1</v>
      </c>
      <c r="BC384" s="5" t="n">
        <v>0.535</v>
      </c>
      <c r="BD384" s="5" t="n">
        <v>0.129</v>
      </c>
      <c r="BE384" s="5" t="n">
        <v>0.082</v>
      </c>
      <c r="BF384" s="5" t="n">
        <v>0.74</v>
      </c>
      <c r="BG384" s="5" t="n">
        <v>0.23</v>
      </c>
      <c r="BH384" s="5" t="n">
        <v>1</v>
      </c>
      <c r="BI384" s="5" t="n">
        <v>0.579</v>
      </c>
      <c r="BJ384" s="5" t="n">
        <v>0.129</v>
      </c>
      <c r="BK384" s="5" t="n">
        <v>0.502</v>
      </c>
      <c r="BL384" s="5" t="n">
        <v>1.33</v>
      </c>
      <c r="BM384" s="5" t="n">
        <v>0.23</v>
      </c>
      <c r="BN384" s="5" t="n">
        <v>1</v>
      </c>
      <c r="BO384" s="5" t="n">
        <v>0</v>
      </c>
      <c r="BP384" s="5" t="n">
        <v>-0.008</v>
      </c>
      <c r="BQ384" s="5" t="n">
        <v>0.236</v>
      </c>
      <c r="BR384" s="5" t="n">
        <v>0</v>
      </c>
      <c r="BS384" s="5" t="n">
        <v>1</v>
      </c>
      <c r="BT384" s="5" t="n">
        <v>0</v>
      </c>
      <c r="BU384" s="5" t="n">
        <v>-0.168</v>
      </c>
      <c r="BV384" s="5" t="n">
        <v>0.353</v>
      </c>
      <c r="BW384" s="5" t="n">
        <v>0.23</v>
      </c>
      <c r="BX384" s="5" t="n">
        <v>0.833</v>
      </c>
      <c r="BY384" s="5" t="n">
        <v>13.254</v>
      </c>
      <c r="BZ384" s="5" t="n">
        <v>0</v>
      </c>
      <c r="CA384" s="5" t="n">
        <v>13.254</v>
      </c>
      <c r="CB384" s="5" t="n">
        <v>0</v>
      </c>
      <c r="CC384" s="5" t="n">
        <v>83.248</v>
      </c>
      <c r="CD384" s="5" t="n">
        <v>7.95</v>
      </c>
      <c r="CE384" s="5" t="n">
        <v>98.267</v>
      </c>
      <c r="CF384" s="5" t="n">
        <v>223.263</v>
      </c>
      <c r="CG384" s="5" t="n">
        <v>0.23</v>
      </c>
      <c r="CH384" s="5" t="n">
        <v>1</v>
      </c>
      <c r="CI384" s="5" t="n">
        <v>0</v>
      </c>
      <c r="CJ384" s="5" t="n">
        <v>0</v>
      </c>
      <c r="CK384" s="5" t="n">
        <v>0</v>
      </c>
      <c r="CL384" s="5" t="n">
        <v>0</v>
      </c>
      <c r="CM384" s="5" t="n">
        <v>0</v>
      </c>
      <c r="CN384" s="5" t="n">
        <v>0.096</v>
      </c>
      <c r="CO384" s="5" t="n">
        <v>0</v>
      </c>
      <c r="CP384" s="5" t="n">
        <v>0.446</v>
      </c>
      <c r="CQ384" s="5" t="n">
        <v>1.348</v>
      </c>
      <c r="CR384" s="5" t="n">
        <v>0</v>
      </c>
      <c r="CS384" s="5" t="n">
        <v>6.487</v>
      </c>
      <c r="CT384" s="5" t="n">
        <v>10.597</v>
      </c>
      <c r="CU384" s="5" t="n">
        <v>12.985</v>
      </c>
    </row>
    <row r="385">
      <c r="A385" s="5" t="inlineStr">
        <is>
          <t>IRL2024</t>
        </is>
      </c>
      <c r="B385" s="5" t="inlineStr">
        <is>
          <t>IRL</t>
        </is>
      </c>
      <c r="C385" s="5" t="inlineStr">
        <is>
          <t>IRL</t>
        </is>
      </c>
      <c r="D385" s="5" t="inlineStr">
        <is>
          <t>Ireland</t>
        </is>
      </c>
      <c r="E385" s="5" t="n">
        <v>2024</v>
      </c>
      <c r="F385" s="5" t="n">
        <v>0.23</v>
      </c>
      <c r="G385" s="5" t="n">
        <v>5.075</v>
      </c>
      <c r="H385" s="5" t="n">
        <v>1.029</v>
      </c>
      <c r="I385" s="5" t="n">
        <v>12.071</v>
      </c>
      <c r="J385" s="5" t="n">
        <v>17.146</v>
      </c>
      <c r="K385" s="5" t="n">
        <v>0</v>
      </c>
      <c r="L385" s="5" t="n">
        <v>1</v>
      </c>
      <c r="M385" s="5" t="n">
        <v>5.452</v>
      </c>
      <c r="N385" s="5" t="n">
        <v>3.086</v>
      </c>
      <c r="O385" s="5" t="n">
        <v>6.981</v>
      </c>
      <c r="P385" s="5" t="n">
        <v>12.433</v>
      </c>
      <c r="Q385" s="5" t="n">
        <v>0</v>
      </c>
      <c r="R385" s="5" t="n">
        <v>1</v>
      </c>
      <c r="S385" s="5" t="n">
        <v>23.818</v>
      </c>
      <c r="T385" s="5" t="n">
        <v>15.769</v>
      </c>
      <c r="U385" s="5" t="n">
        <v>4.016</v>
      </c>
      <c r="V385" s="5" t="n">
        <v>34.236</v>
      </c>
      <c r="W385" s="5" t="n">
        <v>0.23</v>
      </c>
      <c r="X385" s="5" t="n">
        <v>1</v>
      </c>
      <c r="Y385" s="5" t="n">
        <v>17.553</v>
      </c>
      <c r="Z385" s="5" t="n">
        <v>2.216</v>
      </c>
      <c r="AA385" s="5" t="n">
        <v>6.446</v>
      </c>
      <c r="AB385" s="5" t="n">
        <v>23.998</v>
      </c>
      <c r="AC385" s="5" t="n">
        <v>0</v>
      </c>
      <c r="AD385" s="5" t="n">
        <v>1</v>
      </c>
      <c r="AE385" s="5" t="n">
        <v>17.553</v>
      </c>
      <c r="AF385" s="5" t="n">
        <v>3.845</v>
      </c>
      <c r="AG385" s="5" t="n">
        <v>6.446</v>
      </c>
      <c r="AH385" s="5" t="n">
        <v>23.998</v>
      </c>
      <c r="AI385" s="5" t="n">
        <v>0</v>
      </c>
      <c r="AJ385" s="5" t="n">
        <v>1</v>
      </c>
      <c r="AK385" s="5" t="n">
        <v>29.169</v>
      </c>
      <c r="AL385" s="5" t="n">
        <v>14.836</v>
      </c>
      <c r="AM385" s="5" t="n">
        <v>2.827</v>
      </c>
      <c r="AN385" s="5" t="n">
        <v>39.354</v>
      </c>
      <c r="AO385" s="5" t="n">
        <v>0.23</v>
      </c>
      <c r="AP385" s="5" t="n">
        <v>1</v>
      </c>
      <c r="AQ385" s="5" t="n">
        <v>0.724</v>
      </c>
      <c r="AR385" s="5" t="n">
        <v>0.132</v>
      </c>
      <c r="AS385" s="5" t="n">
        <v>0.8139999999999999</v>
      </c>
      <c r="AT385" s="5" t="n">
        <v>1.892</v>
      </c>
      <c r="AU385" s="5" t="n">
        <v>0.23</v>
      </c>
      <c r="AV385" s="5" t="n">
        <v>1</v>
      </c>
      <c r="AW385" s="5" t="n">
        <v>0.75</v>
      </c>
      <c r="AX385" s="5" t="n">
        <v>0.132</v>
      </c>
      <c r="AY385" s="5" t="n">
        <v>0.746</v>
      </c>
      <c r="AZ385" s="5" t="n">
        <v>1.84</v>
      </c>
      <c r="BA385" s="5" t="n">
        <v>0.23</v>
      </c>
      <c r="BB385" s="5" t="n">
        <v>1</v>
      </c>
      <c r="BC385" s="5" t="n">
        <v>0.513</v>
      </c>
      <c r="BD385" s="5" t="n">
        <v>0.132</v>
      </c>
      <c r="BE385" s="5" t="n">
        <v>0.095</v>
      </c>
      <c r="BF385" s="5" t="n">
        <v>0.725</v>
      </c>
      <c r="BG385" s="5" t="n">
        <v>0.23</v>
      </c>
      <c r="BH385" s="5" t="n">
        <v>1</v>
      </c>
      <c r="BI385" s="5" t="n">
        <v>0.591</v>
      </c>
      <c r="BJ385" s="5" t="n">
        <v>0.132</v>
      </c>
      <c r="BK385" s="5" t="n">
        <v>0.486</v>
      </c>
      <c r="BL385" s="5" t="n">
        <v>1.325</v>
      </c>
      <c r="BM385" s="5" t="n">
        <v>0.23</v>
      </c>
      <c r="BN385" s="5" t="n">
        <v>1</v>
      </c>
      <c r="BO385" s="5" t="n">
        <v>0</v>
      </c>
      <c r="BP385" s="5" t="n">
        <v>0.003</v>
      </c>
      <c r="BQ385" s="5" t="n">
        <v>0.227</v>
      </c>
      <c r="BR385" s="5" t="n">
        <v>0</v>
      </c>
      <c r="BS385" s="5" t="n">
        <v>1</v>
      </c>
      <c r="BT385" s="5" t="n">
        <v>0</v>
      </c>
      <c r="BU385" s="5" t="n">
        <v>-0.131</v>
      </c>
      <c r="BV385" s="5" t="n">
        <v>0.305</v>
      </c>
      <c r="BW385" s="5" t="n">
        <v>0.23</v>
      </c>
      <c r="BX385" s="5" t="n">
        <v>0.833</v>
      </c>
      <c r="BY385" s="5" t="n">
        <v>13.646</v>
      </c>
      <c r="BZ385" s="5" t="n">
        <v>0</v>
      </c>
      <c r="CA385" s="5" t="n">
        <v>13.646</v>
      </c>
      <c r="CB385" s="5" t="n">
        <v>0</v>
      </c>
      <c r="CC385" s="5" t="n">
        <v>82.58799999999999</v>
      </c>
      <c r="CD385" s="5" t="n">
        <v>7.95</v>
      </c>
      <c r="CE385" s="5" t="n">
        <v>83.56</v>
      </c>
      <c r="CF385" s="5" t="n">
        <v>204.361</v>
      </c>
      <c r="CG385" s="5" t="n">
        <v>0.23</v>
      </c>
      <c r="CH385" s="5" t="n">
        <v>1</v>
      </c>
      <c r="CI385" s="5" t="n">
        <v>0</v>
      </c>
      <c r="CJ385" s="5" t="n">
        <v>0</v>
      </c>
      <c r="CK385" s="5" t="n">
        <v>0</v>
      </c>
      <c r="CL385" s="5" t="n">
        <v>0</v>
      </c>
      <c r="CM385" s="5" t="n">
        <v>0</v>
      </c>
      <c r="CN385" s="5" t="n">
        <v>0.098</v>
      </c>
      <c r="CO385" s="5" t="n">
        <v>0</v>
      </c>
      <c r="CP385" s="5" t="n">
        <v>0.446</v>
      </c>
      <c r="CQ385" s="5" t="n">
        <v>1.387</v>
      </c>
      <c r="CR385" s="5" t="n">
        <v>0</v>
      </c>
      <c r="CS385" s="5" t="n">
        <v>6.679</v>
      </c>
      <c r="CT385" s="5" t="n">
        <v>6.185</v>
      </c>
      <c r="CU385" s="5" t="n">
        <v>9.958</v>
      </c>
    </row>
    <row r="386">
      <c r="A386" s="5" t="inlineStr">
        <is>
          <t>IMN2021</t>
        </is>
      </c>
      <c r="B386" s="5" t="inlineStr">
        <is>
          <t>IMN</t>
        </is>
      </c>
      <c r="C386" s="5" t="inlineStr">
        <is>
          <t>IMN</t>
        </is>
      </c>
      <c r="D386" s="5" t="inlineStr">
        <is>
          <t>Isle of Man</t>
        </is>
      </c>
      <c r="E386" s="5" t="n">
        <v>2021</v>
      </c>
      <c r="F386" s="5" t="n">
        <v>0.2</v>
      </c>
      <c r="G386" s="5" t="n">
        <v>5.553</v>
      </c>
      <c r="H386" s="5" t="n">
        <v>1.143</v>
      </c>
      <c r="I386" s="5" t="n">
        <v>0</v>
      </c>
      <c r="J386" s="5" t="n">
        <v>5.553</v>
      </c>
      <c r="K386" s="5" t="n">
        <v>0</v>
      </c>
      <c r="L386" s="5" t="n">
        <v>1</v>
      </c>
      <c r="M386" s="5" t="n">
        <v>7.964</v>
      </c>
      <c r="N386" s="5" t="n">
        <v>3.43</v>
      </c>
      <c r="O386" s="5" t="n">
        <v>0</v>
      </c>
      <c r="P386" s="5" t="n">
        <v>7.964</v>
      </c>
      <c r="Q386" s="5" t="n">
        <v>0</v>
      </c>
      <c r="R386" s="5" t="n">
        <v>1</v>
      </c>
      <c r="S386" s="5" t="n">
        <v>11.27</v>
      </c>
      <c r="T386" s="5" t="n">
        <v>6.86</v>
      </c>
      <c r="U386" s="5" t="n">
        <v>0</v>
      </c>
      <c r="V386" s="5" t="n">
        <v>13.524</v>
      </c>
      <c r="W386" s="5" t="n">
        <v>0.2</v>
      </c>
      <c r="X386" s="5" t="n">
        <v>1</v>
      </c>
      <c r="Y386" s="5" t="n">
        <v>16.305</v>
      </c>
      <c r="Z386" s="5" t="n">
        <v>2.204</v>
      </c>
      <c r="AA386" s="5" t="n">
        <v>0</v>
      </c>
      <c r="AB386" s="5" t="n">
        <v>16.305</v>
      </c>
      <c r="AC386" s="5" t="n">
        <v>0</v>
      </c>
      <c r="AD386" s="5" t="n">
        <v>1</v>
      </c>
      <c r="AE386" s="5" t="n">
        <v>17.449</v>
      </c>
      <c r="AF386" s="5" t="n">
        <v>4.08</v>
      </c>
      <c r="AG386" s="5" t="n">
        <v>0</v>
      </c>
      <c r="AH386" s="5" t="n">
        <v>17.449</v>
      </c>
      <c r="AI386" s="5" t="n">
        <v>0</v>
      </c>
      <c r="AJ386" s="5" t="n">
        <v>1</v>
      </c>
      <c r="AK386" s="5" t="n">
        <v>24.309</v>
      </c>
      <c r="AL386" s="5" t="n">
        <v>12.947</v>
      </c>
      <c r="AM386" s="5" t="n">
        <v>0</v>
      </c>
      <c r="AN386" s="5" t="n">
        <v>29.17</v>
      </c>
      <c r="AO386" s="5" t="n">
        <v>0.2</v>
      </c>
      <c r="AP386" s="5" t="n">
        <v>1</v>
      </c>
      <c r="AQ386" s="5" t="n">
        <v>0.619</v>
      </c>
      <c r="AR386" s="5" t="n">
        <v>0.114</v>
      </c>
      <c r="AS386" s="5" t="n">
        <v>0</v>
      </c>
      <c r="AT386" s="5" t="n">
        <v>0.743</v>
      </c>
      <c r="AU386" s="5" t="n">
        <v>0.2</v>
      </c>
      <c r="AV386" s="5" t="n">
        <v>1</v>
      </c>
      <c r="AW386" s="5" t="n">
        <v>0.599</v>
      </c>
      <c r="AX386" s="5" t="n">
        <v>0.114</v>
      </c>
      <c r="AY386" s="5" t="n">
        <v>0</v>
      </c>
      <c r="AZ386" s="5" t="n">
        <v>0.719</v>
      </c>
      <c r="BA386" s="5" t="n">
        <v>0.2</v>
      </c>
      <c r="BB386" s="5" t="n">
        <v>1</v>
      </c>
      <c r="BC386" s="5" t="n">
        <v>0.439</v>
      </c>
      <c r="BD386" s="5" t="n">
        <v>0.114</v>
      </c>
      <c r="BE386" s="5" t="n">
        <v>0</v>
      </c>
      <c r="BF386" s="5" t="n">
        <v>0.527</v>
      </c>
      <c r="BG386" s="5" t="n">
        <v>0.2</v>
      </c>
      <c r="BH386" s="5" t="n">
        <v>1</v>
      </c>
      <c r="BI386" s="5" t="n">
        <v>0.505</v>
      </c>
      <c r="BJ386" s="5" t="n">
        <v>0.114</v>
      </c>
      <c r="BK386" s="5" t="n">
        <v>0</v>
      </c>
      <c r="BL386" s="5" t="n">
        <v>0.606</v>
      </c>
      <c r="BM386" s="5" t="n">
        <v>0.2</v>
      </c>
      <c r="BN386" s="5" t="n">
        <v>1</v>
      </c>
      <c r="BO386" s="5" t="n">
        <v>0</v>
      </c>
      <c r="BP386" s="5" t="n">
        <v>0</v>
      </c>
      <c r="BQ386" s="5" t="n">
        <v>0</v>
      </c>
      <c r="BR386" s="5" t="n">
        <v>0</v>
      </c>
      <c r="BS386" s="5" t="n">
        <v>1</v>
      </c>
      <c r="BT386" s="5" t="n">
        <v>0</v>
      </c>
      <c r="BU386" s="5" t="n">
        <v>0</v>
      </c>
      <c r="BV386" s="5" t="n">
        <v>0</v>
      </c>
      <c r="BW386" s="5" t="n">
        <v>0.2</v>
      </c>
      <c r="BX386" s="5" t="n">
        <v>1</v>
      </c>
      <c r="BY386" s="5" t="n">
        <v>11.787</v>
      </c>
      <c r="BZ386" s="5" t="n">
        <v>0</v>
      </c>
      <c r="CA386" s="5" t="n">
        <v>11.787</v>
      </c>
      <c r="CB386" s="5" t="n">
        <v>0</v>
      </c>
      <c r="CC386" s="5" t="n">
        <v>78.125</v>
      </c>
      <c r="CD386" s="5" t="n">
        <v>7.95</v>
      </c>
      <c r="CE386" s="5" t="n">
        <v>0</v>
      </c>
      <c r="CF386" s="5" t="n">
        <v>93.75</v>
      </c>
      <c r="CG386" s="5" t="n">
        <v>0.2</v>
      </c>
      <c r="CH386" s="5" t="n">
        <v>1</v>
      </c>
      <c r="CI386" s="5" t="n">
        <v>0</v>
      </c>
      <c r="CJ386" s="5" t="n">
        <v>0</v>
      </c>
      <c r="CK386" s="5" t="n">
        <v>0</v>
      </c>
      <c r="CL386" s="5" t="n">
        <v>0</v>
      </c>
      <c r="CM386" s="5" t="n">
        <v>0</v>
      </c>
      <c r="CN386" s="5" t="n">
        <v>0</v>
      </c>
      <c r="CO386" s="5" t="n">
        <v>0</v>
      </c>
      <c r="CP386" s="5" t="n">
        <v>0</v>
      </c>
      <c r="CQ386" s="5" t="n">
        <v>1.198</v>
      </c>
      <c r="CR386" s="5" t="n">
        <v>0</v>
      </c>
      <c r="CS386" s="5" t="n">
        <v>4.776</v>
      </c>
      <c r="CT386" s="5" t="n">
        <v>4.41</v>
      </c>
      <c r="CU386" s="5" t="n">
        <v>15.162</v>
      </c>
    </row>
    <row r="387">
      <c r="A387" s="5" t="inlineStr">
        <is>
          <t>IMN2022</t>
        </is>
      </c>
      <c r="B387" s="5" t="inlineStr">
        <is>
          <t>IMN</t>
        </is>
      </c>
      <c r="C387" s="5" t="inlineStr">
        <is>
          <t>IMN</t>
        </is>
      </c>
      <c r="D387" s="5" t="inlineStr">
        <is>
          <t>Isle of Man</t>
        </is>
      </c>
      <c r="E387" s="5" t="n">
        <v>2022</v>
      </c>
      <c r="F387" s="5" t="n">
        <v>0.2</v>
      </c>
      <c r="G387" s="5" t="n">
        <v>7.077</v>
      </c>
      <c r="H387" s="5" t="n">
        <v>1.235</v>
      </c>
      <c r="I387" s="5" t="n">
        <v>0</v>
      </c>
      <c r="J387" s="5" t="n">
        <v>7.077</v>
      </c>
      <c r="K387" s="5" t="n">
        <v>0</v>
      </c>
      <c r="L387" s="5" t="n">
        <v>1</v>
      </c>
      <c r="M387" s="5" t="n">
        <v>9.782999999999999</v>
      </c>
      <c r="N387" s="5" t="n">
        <v>3.704</v>
      </c>
      <c r="O387" s="5" t="n">
        <v>0</v>
      </c>
      <c r="P387" s="5" t="n">
        <v>9.782999999999999</v>
      </c>
      <c r="Q387" s="5" t="n">
        <v>0</v>
      </c>
      <c r="R387" s="5" t="n">
        <v>1</v>
      </c>
      <c r="S387" s="5" t="n">
        <v>13.25</v>
      </c>
      <c r="T387" s="5" t="n">
        <v>7.408</v>
      </c>
      <c r="U387" s="5" t="n">
        <v>0.196</v>
      </c>
      <c r="V387" s="5" t="n">
        <v>15.9</v>
      </c>
      <c r="W387" s="5" t="n">
        <v>0.2</v>
      </c>
      <c r="X387" s="5" t="n">
        <v>1</v>
      </c>
      <c r="Y387" s="5" t="n">
        <v>32.56</v>
      </c>
      <c r="Z387" s="5" t="n">
        <v>4.401</v>
      </c>
      <c r="AA387" s="5" t="n">
        <v>0</v>
      </c>
      <c r="AB387" s="5" t="n">
        <v>32.56</v>
      </c>
      <c r="AC387" s="5" t="n">
        <v>0</v>
      </c>
      <c r="AD387" s="5" t="n">
        <v>1</v>
      </c>
      <c r="AE387" s="5" t="n">
        <v>33.795</v>
      </c>
      <c r="AF387" s="5" t="n">
        <v>7.902</v>
      </c>
      <c r="AG387" s="5" t="n">
        <v>0</v>
      </c>
      <c r="AH387" s="5" t="n">
        <v>33.795</v>
      </c>
      <c r="AI387" s="5" t="n">
        <v>0</v>
      </c>
      <c r="AJ387" s="5" t="n">
        <v>1</v>
      </c>
      <c r="AK387" s="5" t="n">
        <v>41.203</v>
      </c>
      <c r="AL387" s="5" t="n">
        <v>21.945</v>
      </c>
      <c r="AM387" s="5" t="n">
        <v>0.61</v>
      </c>
      <c r="AN387" s="5" t="n">
        <v>49.444</v>
      </c>
      <c r="AO387" s="5" t="n">
        <v>0.2</v>
      </c>
      <c r="AP387" s="5" t="n">
        <v>1</v>
      </c>
      <c r="AQ387" s="5" t="n">
        <v>0.861</v>
      </c>
      <c r="AR387" s="5" t="n">
        <v>0.123</v>
      </c>
      <c r="AS387" s="5" t="n">
        <v>0.013</v>
      </c>
      <c r="AT387" s="5" t="n">
        <v>1.033</v>
      </c>
      <c r="AU387" s="5" t="n">
        <v>0.2</v>
      </c>
      <c r="AV387" s="5" t="n">
        <v>1</v>
      </c>
      <c r="AW387" s="5" t="n">
        <v>0.986</v>
      </c>
      <c r="AX387" s="5" t="n">
        <v>0.123</v>
      </c>
      <c r="AY387" s="5" t="n">
        <v>0.015</v>
      </c>
      <c r="AZ387" s="5" t="n">
        <v>1.183</v>
      </c>
      <c r="BA387" s="5" t="n">
        <v>0.2</v>
      </c>
      <c r="BB387" s="5" t="n">
        <v>1</v>
      </c>
      <c r="BC387" s="5" t="n">
        <v>0.598</v>
      </c>
      <c r="BD387" s="5" t="n">
        <v>0.123</v>
      </c>
      <c r="BE387" s="5" t="n">
        <v>0.008999999999999999</v>
      </c>
      <c r="BF387" s="5" t="n">
        <v>0.717</v>
      </c>
      <c r="BG387" s="5" t="n">
        <v>0.2</v>
      </c>
      <c r="BH387" s="5" t="n">
        <v>1</v>
      </c>
      <c r="BI387" s="5" t="n">
        <v>0.612</v>
      </c>
      <c r="BJ387" s="5" t="n">
        <v>0.123</v>
      </c>
      <c r="BK387" s="5" t="n">
        <v>0.008999999999999999</v>
      </c>
      <c r="BL387" s="5" t="n">
        <v>0.735</v>
      </c>
      <c r="BM387" s="5" t="n">
        <v>0.2</v>
      </c>
      <c r="BN387" s="5" t="n">
        <v>1</v>
      </c>
      <c r="BO387" s="5" t="n">
        <v>0</v>
      </c>
      <c r="BP387" s="5" t="n">
        <v>0</v>
      </c>
      <c r="BQ387" s="5" t="n">
        <v>0</v>
      </c>
      <c r="BR387" s="5" t="n">
        <v>0</v>
      </c>
      <c r="BS387" s="5" t="n">
        <v>1</v>
      </c>
      <c r="BT387" s="5" t="n">
        <v>0</v>
      </c>
      <c r="BU387" s="5" t="n">
        <v>0</v>
      </c>
      <c r="BV387" s="5" t="n">
        <v>0</v>
      </c>
      <c r="BW387" s="5" t="n">
        <v>0.2</v>
      </c>
      <c r="BX387" s="5" t="n">
        <v>1</v>
      </c>
      <c r="BY387" s="5" t="n">
        <v>12.729</v>
      </c>
      <c r="BZ387" s="5" t="n">
        <v>0</v>
      </c>
      <c r="CA387" s="5" t="n">
        <v>12.729</v>
      </c>
      <c r="CB387" s="5" t="n">
        <v>0</v>
      </c>
      <c r="CC387" s="5" t="n">
        <v>97.90000000000001</v>
      </c>
      <c r="CD387" s="5" t="n">
        <v>7.95</v>
      </c>
      <c r="CE387" s="5" t="n">
        <v>1.449</v>
      </c>
      <c r="CF387" s="5" t="n">
        <v>117.48</v>
      </c>
      <c r="CG387" s="5" t="n">
        <v>0.2</v>
      </c>
      <c r="CH387" s="5" t="n">
        <v>1</v>
      </c>
      <c r="CI387" s="5" t="n">
        <v>0</v>
      </c>
      <c r="CJ387" s="5" t="n">
        <v>0</v>
      </c>
      <c r="CK387" s="5" t="n">
        <v>0</v>
      </c>
      <c r="CL387" s="5" t="n">
        <v>0</v>
      </c>
      <c r="CM387" s="5" t="n">
        <v>0</v>
      </c>
      <c r="CN387" s="5" t="n">
        <v>0</v>
      </c>
      <c r="CO387" s="5" t="n">
        <v>0</v>
      </c>
      <c r="CP387" s="5" t="n">
        <v>0</v>
      </c>
      <c r="CQ387" s="5" t="n">
        <v>1.294</v>
      </c>
      <c r="CR387" s="5" t="n">
        <v>0</v>
      </c>
      <c r="CS387" s="5" t="n">
        <v>5.158</v>
      </c>
      <c r="CT387" s="5" t="n">
        <v>5.842</v>
      </c>
      <c r="CU387" s="5" t="n">
        <v>31.326</v>
      </c>
    </row>
    <row r="388">
      <c r="A388" s="5" t="inlineStr">
        <is>
          <t>IMN2023</t>
        </is>
      </c>
      <c r="B388" s="5" t="inlineStr">
        <is>
          <t>IMN</t>
        </is>
      </c>
      <c r="C388" s="5" t="inlineStr">
        <is>
          <t>IMN</t>
        </is>
      </c>
      <c r="D388" s="5" t="inlineStr">
        <is>
          <t>Isle of Man</t>
        </is>
      </c>
      <c r="E388" s="5" t="n">
        <v>2023</v>
      </c>
      <c r="F388" s="5" t="n">
        <v>0.2</v>
      </c>
      <c r="G388" s="5" t="n">
        <v>4.752</v>
      </c>
      <c r="H388" s="5" t="n">
        <v>1.286</v>
      </c>
      <c r="I388" s="5" t="n">
        <v>0</v>
      </c>
      <c r="J388" s="5" t="n">
        <v>4.752</v>
      </c>
      <c r="K388" s="5" t="n">
        <v>0</v>
      </c>
      <c r="L388" s="5" t="n">
        <v>1</v>
      </c>
      <c r="M388" s="5" t="n">
        <v>7.886</v>
      </c>
      <c r="N388" s="5" t="n">
        <v>3.857</v>
      </c>
      <c r="O388" s="5" t="n">
        <v>0</v>
      </c>
      <c r="P388" s="5" t="n">
        <v>7.886</v>
      </c>
      <c r="Q388" s="5" t="n">
        <v>0</v>
      </c>
      <c r="R388" s="5" t="n">
        <v>1</v>
      </c>
      <c r="S388" s="5" t="n">
        <v>11.18</v>
      </c>
      <c r="T388" s="5" t="n">
        <v>7.714</v>
      </c>
      <c r="U388" s="5" t="n">
        <v>0.248</v>
      </c>
      <c r="V388" s="5" t="n">
        <v>13.416</v>
      </c>
      <c r="W388" s="5" t="n">
        <v>0.2</v>
      </c>
      <c r="X388" s="5" t="n">
        <v>1</v>
      </c>
      <c r="Y388" s="5" t="n">
        <v>12.908</v>
      </c>
      <c r="Z388" s="5" t="n">
        <v>1.745</v>
      </c>
      <c r="AA388" s="5" t="n">
        <v>0</v>
      </c>
      <c r="AB388" s="5" t="n">
        <v>12.908</v>
      </c>
      <c r="AC388" s="5" t="n">
        <v>0</v>
      </c>
      <c r="AD388" s="5" t="n">
        <v>1</v>
      </c>
      <c r="AE388" s="5" t="n">
        <v>14.194</v>
      </c>
      <c r="AF388" s="5" t="n">
        <v>3.319</v>
      </c>
      <c r="AG388" s="5" t="n">
        <v>0</v>
      </c>
      <c r="AH388" s="5" t="n">
        <v>14.194</v>
      </c>
      <c r="AI388" s="5" t="n">
        <v>0</v>
      </c>
      <c r="AJ388" s="5" t="n">
        <v>1</v>
      </c>
      <c r="AK388" s="5" t="n">
        <v>21.908</v>
      </c>
      <c r="AL388" s="5" t="n">
        <v>11.668</v>
      </c>
      <c r="AM388" s="5" t="n">
        <v>0.485</v>
      </c>
      <c r="AN388" s="5" t="n">
        <v>26.289</v>
      </c>
      <c r="AO388" s="5" t="n">
        <v>0.2</v>
      </c>
      <c r="AP388" s="5" t="n">
        <v>1</v>
      </c>
      <c r="AQ388" s="5" t="n">
        <v>0.76</v>
      </c>
      <c r="AR388" s="5" t="n">
        <v>0.129</v>
      </c>
      <c r="AS388" s="5" t="n">
        <v>0.017</v>
      </c>
      <c r="AT388" s="5" t="n">
        <v>0.913</v>
      </c>
      <c r="AU388" s="5" t="n">
        <v>0.2</v>
      </c>
      <c r="AV388" s="5" t="n">
        <v>1</v>
      </c>
      <c r="AW388" s="5" t="n">
        <v>0.8110000000000001</v>
      </c>
      <c r="AX388" s="5" t="n">
        <v>0.129</v>
      </c>
      <c r="AY388" s="5" t="n">
        <v>0.018</v>
      </c>
      <c r="AZ388" s="5" t="n">
        <v>0.974</v>
      </c>
      <c r="BA388" s="5" t="n">
        <v>0.2</v>
      </c>
      <c r="BB388" s="5" t="n">
        <v>1</v>
      </c>
      <c r="BC388" s="5" t="n">
        <v>0.535</v>
      </c>
      <c r="BD388" s="5" t="n">
        <v>0.129</v>
      </c>
      <c r="BE388" s="5" t="n">
        <v>0.012</v>
      </c>
      <c r="BF388" s="5" t="n">
        <v>0.642</v>
      </c>
      <c r="BG388" s="5" t="n">
        <v>0.2</v>
      </c>
      <c r="BH388" s="5" t="n">
        <v>1</v>
      </c>
      <c r="BI388" s="5" t="n">
        <v>0.579</v>
      </c>
      <c r="BJ388" s="5" t="n">
        <v>0.129</v>
      </c>
      <c r="BK388" s="5" t="n">
        <v>0.013</v>
      </c>
      <c r="BL388" s="5" t="n">
        <v>0.695</v>
      </c>
      <c r="BM388" s="5" t="n">
        <v>0.2</v>
      </c>
      <c r="BN388" s="5" t="n">
        <v>1</v>
      </c>
      <c r="BO388" s="5" t="n">
        <v>0</v>
      </c>
      <c r="BP388" s="5" t="n">
        <v>0</v>
      </c>
      <c r="BQ388" s="5" t="n">
        <v>0</v>
      </c>
      <c r="BR388" s="5" t="n">
        <v>0</v>
      </c>
      <c r="BS388" s="5" t="n">
        <v>1</v>
      </c>
      <c r="BT388" s="5" t="n">
        <v>0</v>
      </c>
      <c r="BU388" s="5" t="n">
        <v>0</v>
      </c>
      <c r="BV388" s="5" t="n">
        <v>0</v>
      </c>
      <c r="BW388" s="5" t="n">
        <v>0.2</v>
      </c>
      <c r="BX388" s="5" t="n">
        <v>1</v>
      </c>
      <c r="BY388" s="5" t="n">
        <v>13.254</v>
      </c>
      <c r="BZ388" s="5" t="n">
        <v>0</v>
      </c>
      <c r="CA388" s="5" t="n">
        <v>13.254</v>
      </c>
      <c r="CB388" s="5" t="n">
        <v>0</v>
      </c>
      <c r="CC388" s="5" t="n">
        <v>83.248</v>
      </c>
      <c r="CD388" s="5" t="n">
        <v>7.95</v>
      </c>
      <c r="CE388" s="5" t="n">
        <v>1.843</v>
      </c>
      <c r="CF388" s="5" t="n">
        <v>99.898</v>
      </c>
      <c r="CG388" s="5" t="n">
        <v>0.2</v>
      </c>
      <c r="CH388" s="5" t="n">
        <v>1</v>
      </c>
      <c r="CI388" s="5" t="n">
        <v>0</v>
      </c>
      <c r="CJ388" s="5" t="n">
        <v>0</v>
      </c>
      <c r="CK388" s="5" t="n">
        <v>0</v>
      </c>
      <c r="CL388" s="5" t="n">
        <v>0</v>
      </c>
      <c r="CM388" s="5" t="n">
        <v>0</v>
      </c>
      <c r="CN388" s="5" t="n">
        <v>0</v>
      </c>
      <c r="CO388" s="5" t="n">
        <v>0</v>
      </c>
      <c r="CP388" s="5" t="n">
        <v>0</v>
      </c>
      <c r="CQ388" s="5" t="n">
        <v>1.348</v>
      </c>
      <c r="CR388" s="5" t="n">
        <v>0</v>
      </c>
      <c r="CS388" s="5" t="n">
        <v>5.37</v>
      </c>
      <c r="CT388" s="5" t="n">
        <v>3.466</v>
      </c>
      <c r="CU388" s="5" t="n">
        <v>11.622</v>
      </c>
    </row>
    <row r="389">
      <c r="A389" s="5" t="inlineStr">
        <is>
          <t>IMN2024</t>
        </is>
      </c>
      <c r="B389" s="5" t="inlineStr">
        <is>
          <t>IMN</t>
        </is>
      </c>
      <c r="C389" s="5" t="inlineStr">
        <is>
          <t>IMN</t>
        </is>
      </c>
      <c r="D389" s="5" t="inlineStr">
        <is>
          <t>Isle of Man</t>
        </is>
      </c>
      <c r="E389" s="5" t="n">
        <v>2024</v>
      </c>
      <c r="F389" s="5" t="n">
        <v>0.2</v>
      </c>
      <c r="G389" s="5" t="n">
        <v>4.351</v>
      </c>
      <c r="H389" s="5" t="n">
        <v>1.324</v>
      </c>
      <c r="I389" s="5" t="n">
        <v>0</v>
      </c>
      <c r="J389" s="5" t="n">
        <v>4.351</v>
      </c>
      <c r="K389" s="5" t="n">
        <v>0</v>
      </c>
      <c r="L389" s="5" t="n">
        <v>1</v>
      </c>
      <c r="M389" s="5" t="n">
        <v>7.124</v>
      </c>
      <c r="N389" s="5" t="n">
        <v>3.971</v>
      </c>
      <c r="O389" s="5" t="n">
        <v>0</v>
      </c>
      <c r="P389" s="5" t="n">
        <v>7.124</v>
      </c>
      <c r="Q389" s="5" t="n">
        <v>0</v>
      </c>
      <c r="R389" s="5" t="n">
        <v>1</v>
      </c>
      <c r="S389" s="5" t="n">
        <v>10.969</v>
      </c>
      <c r="T389" s="5" t="n">
        <v>7.942</v>
      </c>
      <c r="U389" s="5" t="n">
        <v>0.299</v>
      </c>
      <c r="V389" s="5" t="n">
        <v>13.162</v>
      </c>
      <c r="W389" s="5" t="n">
        <v>0.2</v>
      </c>
      <c r="X389" s="5" t="n">
        <v>1</v>
      </c>
      <c r="Y389" s="5" t="n">
        <v>11.492</v>
      </c>
      <c r="Z389" s="5" t="n">
        <v>1.553</v>
      </c>
      <c r="AA389" s="5" t="n">
        <v>0</v>
      </c>
      <c r="AB389" s="5" t="n">
        <v>11.492</v>
      </c>
      <c r="AC389" s="5" t="n">
        <v>0</v>
      </c>
      <c r="AD389" s="5" t="n">
        <v>1</v>
      </c>
      <c r="AE389" s="5" t="n">
        <v>12.815</v>
      </c>
      <c r="AF389" s="5" t="n">
        <v>2.997</v>
      </c>
      <c r="AG389" s="5" t="n">
        <v>0</v>
      </c>
      <c r="AH389" s="5" t="n">
        <v>12.815</v>
      </c>
      <c r="AI389" s="5" t="n">
        <v>0</v>
      </c>
      <c r="AJ389" s="5" t="n">
        <v>1</v>
      </c>
      <c r="AK389" s="5" t="n">
        <v>20.757</v>
      </c>
      <c r="AL389" s="5" t="n">
        <v>11.055</v>
      </c>
      <c r="AM389" s="5" t="n">
        <v>0.5649999999999999</v>
      </c>
      <c r="AN389" s="5" t="n">
        <v>24.909</v>
      </c>
      <c r="AO389" s="5" t="n">
        <v>0.2</v>
      </c>
      <c r="AP389" s="5" t="n">
        <v>1</v>
      </c>
      <c r="AQ389" s="5" t="n">
        <v>0.724</v>
      </c>
      <c r="AR389" s="5" t="n">
        <v>0.132</v>
      </c>
      <c r="AS389" s="5" t="n">
        <v>0.02</v>
      </c>
      <c r="AT389" s="5" t="n">
        <v>0.869</v>
      </c>
      <c r="AU389" s="5" t="n">
        <v>0.2</v>
      </c>
      <c r="AV389" s="5" t="n">
        <v>1</v>
      </c>
      <c r="AW389" s="5" t="n">
        <v>0.75</v>
      </c>
      <c r="AX389" s="5" t="n">
        <v>0.132</v>
      </c>
      <c r="AY389" s="5" t="n">
        <v>0.02</v>
      </c>
      <c r="AZ389" s="5" t="n">
        <v>0.9</v>
      </c>
      <c r="BA389" s="5" t="n">
        <v>0.2</v>
      </c>
      <c r="BB389" s="5" t="n">
        <v>1</v>
      </c>
      <c r="BC389" s="5" t="n">
        <v>0.513</v>
      </c>
      <c r="BD389" s="5" t="n">
        <v>0.132</v>
      </c>
      <c r="BE389" s="5" t="n">
        <v>0.014</v>
      </c>
      <c r="BF389" s="5" t="n">
        <v>0.616</v>
      </c>
      <c r="BG389" s="5" t="n">
        <v>0.2</v>
      </c>
      <c r="BH389" s="5" t="n">
        <v>1</v>
      </c>
      <c r="BI389" s="5" t="n">
        <v>0.591</v>
      </c>
      <c r="BJ389" s="5" t="n">
        <v>0.132</v>
      </c>
      <c r="BK389" s="5" t="n">
        <v>0.016</v>
      </c>
      <c r="BL389" s="5" t="n">
        <v>0.71</v>
      </c>
      <c r="BM389" s="5" t="n">
        <v>0.2</v>
      </c>
      <c r="BN389" s="5" t="n">
        <v>1</v>
      </c>
      <c r="BO389" s="5" t="n">
        <v>0</v>
      </c>
      <c r="BP389" s="5" t="n">
        <v>0</v>
      </c>
      <c r="BQ389" s="5" t="n">
        <v>0</v>
      </c>
      <c r="BR389" s="5" t="n">
        <v>0</v>
      </c>
      <c r="BS389" s="5" t="n">
        <v>1</v>
      </c>
      <c r="BT389" s="5" t="n">
        <v>0</v>
      </c>
      <c r="BU389" s="5" t="n">
        <v>0</v>
      </c>
      <c r="BV389" s="5" t="n">
        <v>0</v>
      </c>
      <c r="BW389" s="5" t="n">
        <v>0.2</v>
      </c>
      <c r="BX389" s="5" t="n">
        <v>1</v>
      </c>
      <c r="BY389" s="5" t="n">
        <v>13.646</v>
      </c>
      <c r="BZ389" s="5" t="n">
        <v>0</v>
      </c>
      <c r="CA389" s="5" t="n">
        <v>13.646</v>
      </c>
      <c r="CB389" s="5" t="n">
        <v>0</v>
      </c>
      <c r="CC389" s="5" t="n">
        <v>82.58799999999999</v>
      </c>
      <c r="CD389" s="5" t="n">
        <v>7.95</v>
      </c>
      <c r="CE389" s="5" t="n">
        <v>2.25</v>
      </c>
      <c r="CF389" s="5" t="n">
        <v>99.10599999999999</v>
      </c>
      <c r="CG389" s="5" t="n">
        <v>0.2</v>
      </c>
      <c r="CH389" s="5" t="n">
        <v>1</v>
      </c>
      <c r="CI389" s="5" t="n">
        <v>0</v>
      </c>
      <c r="CJ389" s="5" t="n">
        <v>0</v>
      </c>
      <c r="CK389" s="5" t="n">
        <v>0</v>
      </c>
      <c r="CL389" s="5" t="n">
        <v>0</v>
      </c>
      <c r="CM389" s="5" t="n">
        <v>0</v>
      </c>
      <c r="CN389" s="5" t="n">
        <v>0</v>
      </c>
      <c r="CO389" s="5" t="n">
        <v>0</v>
      </c>
      <c r="CP389" s="5" t="n">
        <v>0</v>
      </c>
      <c r="CQ389" s="5" t="n">
        <v>1.387</v>
      </c>
      <c r="CR389" s="5" t="n">
        <v>0</v>
      </c>
      <c r="CS389" s="5" t="n">
        <v>5.529</v>
      </c>
      <c r="CT389" s="5" t="n">
        <v>3.027</v>
      </c>
      <c r="CU389" s="5" t="n">
        <v>10.168</v>
      </c>
    </row>
    <row r="390">
      <c r="A390" s="5" t="inlineStr">
        <is>
          <t>ISR2021</t>
        </is>
      </c>
      <c r="B390" s="5" t="inlineStr">
        <is>
          <t>ISR</t>
        </is>
      </c>
      <c r="C390" s="5" t="inlineStr">
        <is>
          <t>ISR</t>
        </is>
      </c>
      <c r="D390" s="5" t="inlineStr">
        <is>
          <t>Israel</t>
        </is>
      </c>
      <c r="E390" s="5" t="n">
        <v>2021</v>
      </c>
      <c r="F390" s="5" t="n">
        <v>0.17</v>
      </c>
      <c r="G390" s="5" t="n">
        <v>5.897</v>
      </c>
      <c r="H390" s="5" t="n">
        <v>1.143</v>
      </c>
      <c r="I390" s="5" t="n">
        <v>-4.577</v>
      </c>
      <c r="J390" s="5" t="n">
        <v>1.319</v>
      </c>
      <c r="K390" s="5" t="n">
        <v>0</v>
      </c>
      <c r="L390" s="5" t="n">
        <v>1</v>
      </c>
      <c r="M390" s="5" t="n">
        <v>1.311</v>
      </c>
      <c r="N390" s="5" t="n">
        <v>0.594</v>
      </c>
      <c r="O390" s="5" t="n">
        <v>0.008</v>
      </c>
      <c r="P390" s="5" t="n">
        <v>1.319</v>
      </c>
      <c r="Q390" s="5" t="n">
        <v>0</v>
      </c>
      <c r="R390" s="5" t="n">
        <v>1</v>
      </c>
      <c r="S390" s="5" t="n">
        <v>11.613</v>
      </c>
      <c r="T390" s="5" t="n">
        <v>6.86</v>
      </c>
      <c r="U390" s="5" t="n">
        <v>0</v>
      </c>
      <c r="V390" s="5" t="n">
        <v>13.588</v>
      </c>
      <c r="W390" s="5" t="n">
        <v>0.17</v>
      </c>
      <c r="X390" s="5" t="n">
        <v>1</v>
      </c>
      <c r="Y390" s="5" t="n">
        <v>2.463</v>
      </c>
      <c r="Z390" s="5" t="n">
        <v>0.275</v>
      </c>
      <c r="AA390" s="5" t="n">
        <v>-0.33</v>
      </c>
      <c r="AB390" s="5" t="n">
        <v>2.133</v>
      </c>
      <c r="AC390" s="5" t="n">
        <v>0</v>
      </c>
      <c r="AD390" s="5" t="n">
        <v>1</v>
      </c>
      <c r="AE390" s="5" t="n">
        <v>3.044</v>
      </c>
      <c r="AF390" s="5" t="n">
        <v>0.601</v>
      </c>
      <c r="AG390" s="5" t="n">
        <v>0.126</v>
      </c>
      <c r="AH390" s="5" t="n">
        <v>3.17</v>
      </c>
      <c r="AI390" s="5" t="n">
        <v>0</v>
      </c>
      <c r="AJ390" s="5" t="n">
        <v>1</v>
      </c>
      <c r="AK390" s="5" t="n">
        <v>6.529</v>
      </c>
      <c r="AL390" s="5" t="n">
        <v>3.106</v>
      </c>
      <c r="AM390" s="5" t="n">
        <v>0.142</v>
      </c>
      <c r="AN390" s="5" t="n">
        <v>7.805</v>
      </c>
      <c r="AO390" s="5" t="n">
        <v>0.17</v>
      </c>
      <c r="AP390" s="5" t="n">
        <v>1</v>
      </c>
      <c r="AQ390" s="5" t="n">
        <v>0.621</v>
      </c>
      <c r="AR390" s="5" t="n">
        <v>0.114</v>
      </c>
      <c r="AS390" s="5" t="n">
        <v>1.063</v>
      </c>
      <c r="AT390" s="5" t="n">
        <v>1.97</v>
      </c>
      <c r="AU390" s="5" t="n">
        <v>0.17</v>
      </c>
      <c r="AV390" s="5" t="n">
        <v>1</v>
      </c>
      <c r="AW390" s="5" t="n">
        <v>0.593</v>
      </c>
      <c r="AX390" s="5" t="n">
        <v>0.114</v>
      </c>
      <c r="AY390" s="5" t="n">
        <v>1.006</v>
      </c>
      <c r="AZ390" s="5" t="n">
        <v>1.871</v>
      </c>
      <c r="BA390" s="5" t="n">
        <v>0.17</v>
      </c>
      <c r="BB390" s="5" t="n">
        <v>1</v>
      </c>
      <c r="BC390" s="5" t="n">
        <v>0.44</v>
      </c>
      <c r="BD390" s="5" t="n">
        <v>0.114</v>
      </c>
      <c r="BE390" s="5" t="n">
        <v>0.406</v>
      </c>
      <c r="BF390" s="5" t="n">
        <v>0.99</v>
      </c>
      <c r="BG390" s="5" t="n">
        <v>0.17</v>
      </c>
      <c r="BH390" s="5" t="n">
        <v>1</v>
      </c>
      <c r="BI390" s="5" t="n">
        <v>0.5600000000000001</v>
      </c>
      <c r="BJ390" s="5" t="n">
        <v>0.114</v>
      </c>
      <c r="BK390" s="5" t="n">
        <v>0.676</v>
      </c>
      <c r="BL390" s="5" t="n">
        <v>1.447</v>
      </c>
      <c r="BM390" s="5" t="n">
        <v>0.17</v>
      </c>
      <c r="BN390" s="5" t="n">
        <v>1</v>
      </c>
      <c r="BO390" s="5" t="n">
        <v>0</v>
      </c>
      <c r="BP390" s="5" t="n">
        <v>0.02</v>
      </c>
      <c r="BQ390" s="5" t="n">
        <v>0.142</v>
      </c>
      <c r="BR390" s="5" t="n">
        <v>0</v>
      </c>
      <c r="BS390" s="5" t="n">
        <v>1</v>
      </c>
      <c r="BT390" s="5" t="n">
        <v>0</v>
      </c>
      <c r="BU390" s="5" t="n">
        <v>0</v>
      </c>
      <c r="BV390" s="5" t="n">
        <v>0.17</v>
      </c>
      <c r="BW390" s="5" t="n">
        <v>0.17</v>
      </c>
      <c r="BX390" s="5" t="n">
        <v>0.833</v>
      </c>
      <c r="BY390" s="5" t="n">
        <v>11.787</v>
      </c>
      <c r="BZ390" s="5" t="n">
        <v>0</v>
      </c>
      <c r="CA390" s="5" t="n">
        <v>11.787</v>
      </c>
      <c r="CB390" s="5" t="n">
        <v>0</v>
      </c>
      <c r="CC390" s="5" t="n">
        <v>81.69499999999999</v>
      </c>
      <c r="CD390" s="5" t="n">
        <v>7.95</v>
      </c>
      <c r="CE390" s="5" t="n">
        <v>1.553</v>
      </c>
      <c r="CF390" s="5" t="n">
        <v>97.40000000000001</v>
      </c>
      <c r="CG390" s="5" t="n">
        <v>0.17</v>
      </c>
      <c r="CH390" s="5" t="n">
        <v>1</v>
      </c>
      <c r="CI390" s="5" t="n">
        <v>0</v>
      </c>
      <c r="CJ390" s="5" t="n">
        <v>0</v>
      </c>
      <c r="CK390" s="5" t="n">
        <v>0</v>
      </c>
      <c r="CL390" s="5" t="n">
        <v>0</v>
      </c>
      <c r="CM390" s="5" t="n">
        <v>0</v>
      </c>
      <c r="CN390" s="5" t="n">
        <v>0.132</v>
      </c>
      <c r="CO390" s="5" t="n">
        <v>0</v>
      </c>
      <c r="CP390" s="5" t="n">
        <v>0</v>
      </c>
      <c r="CQ390" s="5" t="n">
        <v>1.198</v>
      </c>
      <c r="CR390" s="5" t="n">
        <v>0.984</v>
      </c>
      <c r="CS390" s="5" t="n">
        <v>1.882</v>
      </c>
      <c r="CT390" s="5" t="n">
        <v>4.753</v>
      </c>
      <c r="CU390" s="5" t="n">
        <v>14.129</v>
      </c>
    </row>
    <row r="391">
      <c r="A391" s="5" t="inlineStr">
        <is>
          <t>ISR2022</t>
        </is>
      </c>
      <c r="B391" s="5" t="inlineStr">
        <is>
          <t>ISR</t>
        </is>
      </c>
      <c r="C391" s="5" t="inlineStr">
        <is>
          <t>ISR</t>
        </is>
      </c>
      <c r="D391" s="5" t="inlineStr">
        <is>
          <t>Israel</t>
        </is>
      </c>
      <c r="E391" s="5" t="n">
        <v>2022</v>
      </c>
      <c r="F391" s="5" t="n">
        <v>0.17</v>
      </c>
      <c r="G391" s="5" t="n">
        <v>11.72</v>
      </c>
      <c r="H391" s="5" t="n">
        <v>1.235</v>
      </c>
      <c r="I391" s="5" t="n">
        <v>0.643</v>
      </c>
      <c r="J391" s="5" t="n">
        <v>12.363</v>
      </c>
      <c r="K391" s="5" t="n">
        <v>0</v>
      </c>
      <c r="L391" s="5" t="n">
        <v>1</v>
      </c>
      <c r="M391" s="5" t="n">
        <v>1.611</v>
      </c>
      <c r="N391" s="5" t="n">
        <v>0.665</v>
      </c>
      <c r="O391" s="5" t="n">
        <v>0.6830000000000001</v>
      </c>
      <c r="P391" s="5" t="n">
        <v>2.294</v>
      </c>
      <c r="Q391" s="5" t="n">
        <v>0</v>
      </c>
      <c r="R391" s="5" t="n">
        <v>1</v>
      </c>
      <c r="S391" s="5" t="n">
        <v>17.893</v>
      </c>
      <c r="T391" s="5" t="n">
        <v>7.408</v>
      </c>
      <c r="U391" s="5" t="n">
        <v>0.225</v>
      </c>
      <c r="V391" s="5" t="n">
        <v>20.935</v>
      </c>
      <c r="W391" s="5" t="n">
        <v>0.17</v>
      </c>
      <c r="X391" s="5" t="n">
        <v>1</v>
      </c>
      <c r="Y391" s="5" t="n">
        <v>2.652</v>
      </c>
      <c r="Z391" s="5" t="n">
        <v>0.296</v>
      </c>
      <c r="AA391" s="5" t="n">
        <v>-0.292</v>
      </c>
      <c r="AB391" s="5" t="n">
        <v>2.359</v>
      </c>
      <c r="AC391" s="5" t="n">
        <v>0</v>
      </c>
      <c r="AD391" s="5" t="n">
        <v>1</v>
      </c>
      <c r="AE391" s="5" t="n">
        <v>3.272</v>
      </c>
      <c r="AF391" s="5" t="n">
        <v>0.646</v>
      </c>
      <c r="AG391" s="5" t="n">
        <v>0.123</v>
      </c>
      <c r="AH391" s="5" t="n">
        <v>3.395</v>
      </c>
      <c r="AI391" s="5" t="n">
        <v>0</v>
      </c>
      <c r="AJ391" s="5" t="n">
        <v>1</v>
      </c>
      <c r="AK391" s="5" t="n">
        <v>6.99</v>
      </c>
      <c r="AL391" s="5" t="n">
        <v>3.326</v>
      </c>
      <c r="AM391" s="5" t="n">
        <v>0.228</v>
      </c>
      <c r="AN391" s="5" t="n">
        <v>8.34</v>
      </c>
      <c r="AO391" s="5" t="n">
        <v>0.17</v>
      </c>
      <c r="AP391" s="5" t="n">
        <v>1</v>
      </c>
      <c r="AQ391" s="5" t="n">
        <v>0.847</v>
      </c>
      <c r="AR391" s="5" t="n">
        <v>0.123</v>
      </c>
      <c r="AS391" s="5" t="n">
        <v>0.953</v>
      </c>
      <c r="AT391" s="5" t="n">
        <v>2.106</v>
      </c>
      <c r="AU391" s="5" t="n">
        <v>0.17</v>
      </c>
      <c r="AV391" s="5" t="n">
        <v>1</v>
      </c>
      <c r="AW391" s="5" t="n">
        <v>0.947</v>
      </c>
      <c r="AX391" s="5" t="n">
        <v>0.123</v>
      </c>
      <c r="AY391" s="5" t="n">
        <v>0.763</v>
      </c>
      <c r="AZ391" s="5" t="n">
        <v>2.001</v>
      </c>
      <c r="BA391" s="5" t="n">
        <v>0.17</v>
      </c>
      <c r="BB391" s="5" t="n">
        <v>1</v>
      </c>
      <c r="BC391" s="5" t="n">
        <v>0.589</v>
      </c>
      <c r="BD391" s="5" t="n">
        <v>0.123</v>
      </c>
      <c r="BE391" s="5" t="n">
        <v>0.347</v>
      </c>
      <c r="BF391" s="5" t="n">
        <v>1.095</v>
      </c>
      <c r="BG391" s="5" t="n">
        <v>0.17</v>
      </c>
      <c r="BH391" s="5" t="n">
        <v>1</v>
      </c>
      <c r="BI391" s="5" t="n">
        <v>0.6889999999999999</v>
      </c>
      <c r="BJ391" s="5" t="n">
        <v>0.123</v>
      </c>
      <c r="BK391" s="5" t="n">
        <v>1.123</v>
      </c>
      <c r="BL391" s="5" t="n">
        <v>2.12</v>
      </c>
      <c r="BM391" s="5" t="n">
        <v>0.17</v>
      </c>
      <c r="BN391" s="5" t="n">
        <v>1</v>
      </c>
      <c r="BO391" s="5" t="n">
        <v>0</v>
      </c>
      <c r="BP391" s="5" t="n">
        <v>0.023</v>
      </c>
      <c r="BQ391" s="5" t="n">
        <v>0.172</v>
      </c>
      <c r="BR391" s="5" t="n">
        <v>0</v>
      </c>
      <c r="BS391" s="5" t="n">
        <v>1</v>
      </c>
      <c r="BT391" s="5" t="n">
        <v>0</v>
      </c>
      <c r="BU391" s="5" t="n">
        <v>0</v>
      </c>
      <c r="BV391" s="5" t="n">
        <v>0.175</v>
      </c>
      <c r="BW391" s="5" t="n">
        <v>0.17</v>
      </c>
      <c r="BX391" s="5" t="n">
        <v>0.833</v>
      </c>
      <c r="BY391" s="5" t="n">
        <v>12.729</v>
      </c>
      <c r="BZ391" s="5" t="n">
        <v>0</v>
      </c>
      <c r="CA391" s="5" t="n">
        <v>12.729</v>
      </c>
      <c r="CB391" s="5" t="n">
        <v>0</v>
      </c>
      <c r="CC391" s="5" t="n">
        <v>102.477</v>
      </c>
      <c r="CD391" s="5" t="n">
        <v>7.95</v>
      </c>
      <c r="CE391" s="5" t="n">
        <v>0.511</v>
      </c>
      <c r="CF391" s="5" t="n">
        <v>118.999</v>
      </c>
      <c r="CG391" s="5" t="n">
        <v>0.17</v>
      </c>
      <c r="CH391" s="5" t="n">
        <v>1</v>
      </c>
      <c r="CI391" s="5" t="n">
        <v>0</v>
      </c>
      <c r="CJ391" s="5" t="n">
        <v>0</v>
      </c>
      <c r="CK391" s="5" t="n">
        <v>0</v>
      </c>
      <c r="CL391" s="5" t="n">
        <v>0</v>
      </c>
      <c r="CM391" s="5" t="n">
        <v>0</v>
      </c>
      <c r="CN391" s="5" t="n">
        <v>0.157</v>
      </c>
      <c r="CO391" s="5" t="n">
        <v>0</v>
      </c>
      <c r="CP391" s="5" t="n">
        <v>0</v>
      </c>
      <c r="CQ391" s="5" t="n">
        <v>1.294</v>
      </c>
      <c r="CR391" s="5" t="n">
        <v>0.996</v>
      </c>
      <c r="CS391" s="5" t="n">
        <v>2.032</v>
      </c>
      <c r="CT391" s="5" t="n">
        <v>10.485</v>
      </c>
      <c r="CU391" s="5" t="n">
        <v>28.059</v>
      </c>
    </row>
    <row r="392">
      <c r="A392" s="5" t="inlineStr">
        <is>
          <t>ISR2023</t>
        </is>
      </c>
      <c r="B392" s="5" t="inlineStr">
        <is>
          <t>ISR</t>
        </is>
      </c>
      <c r="C392" s="5" t="inlineStr">
        <is>
          <t>ISR</t>
        </is>
      </c>
      <c r="D392" s="5" t="inlineStr">
        <is>
          <t>Israel</t>
        </is>
      </c>
      <c r="E392" s="5" t="n">
        <v>2023</v>
      </c>
      <c r="F392" s="5" t="n">
        <v>0.17</v>
      </c>
      <c r="G392" s="5" t="n">
        <v>5.796</v>
      </c>
      <c r="H392" s="5" t="n">
        <v>1.231</v>
      </c>
      <c r="I392" s="5" t="n">
        <v>0.012</v>
      </c>
      <c r="J392" s="5" t="n">
        <v>5.807</v>
      </c>
      <c r="K392" s="5" t="n">
        <v>0</v>
      </c>
      <c r="L392" s="5" t="n">
        <v>1</v>
      </c>
      <c r="M392" s="5" t="n">
        <v>1.234</v>
      </c>
      <c r="N392" s="5" t="n">
        <v>0.612</v>
      </c>
      <c r="O392" s="5" t="n">
        <v>1.359</v>
      </c>
      <c r="P392" s="5" t="n">
        <v>2.593</v>
      </c>
      <c r="Q392" s="5" t="n">
        <v>0</v>
      </c>
      <c r="R392" s="5" t="n">
        <v>1</v>
      </c>
      <c r="S392" s="5" t="n">
        <v>11.952</v>
      </c>
      <c r="T392" s="5" t="n">
        <v>7.388</v>
      </c>
      <c r="U392" s="5" t="n">
        <v>0.225</v>
      </c>
      <c r="V392" s="5" t="n">
        <v>13.984</v>
      </c>
      <c r="W392" s="5" t="n">
        <v>0.17</v>
      </c>
      <c r="X392" s="5" t="n">
        <v>1</v>
      </c>
      <c r="Y392" s="5" t="n">
        <v>2.759</v>
      </c>
      <c r="Z392" s="5" t="n">
        <v>0.308</v>
      </c>
      <c r="AA392" s="5" t="n">
        <v>-0.255</v>
      </c>
      <c r="AB392" s="5" t="n">
        <v>2.504</v>
      </c>
      <c r="AC392" s="5" t="n">
        <v>0</v>
      </c>
      <c r="AD392" s="5" t="n">
        <v>1</v>
      </c>
      <c r="AE392" s="5" t="n">
        <v>3.402</v>
      </c>
      <c r="AF392" s="5" t="n">
        <v>0.671</v>
      </c>
      <c r="AG392" s="5" t="n">
        <v>0.12</v>
      </c>
      <c r="AH392" s="5" t="n">
        <v>3.522</v>
      </c>
      <c r="AI392" s="5" t="n">
        <v>0</v>
      </c>
      <c r="AJ392" s="5" t="n">
        <v>1</v>
      </c>
      <c r="AK392" s="5" t="n">
        <v>7.259</v>
      </c>
      <c r="AL392" s="5" t="n">
        <v>3.453</v>
      </c>
      <c r="AM392" s="5" t="n">
        <v>0.274</v>
      </c>
      <c r="AN392" s="5" t="n">
        <v>8.65</v>
      </c>
      <c r="AO392" s="5" t="n">
        <v>0.17</v>
      </c>
      <c r="AP392" s="5" t="n">
        <v>1</v>
      </c>
      <c r="AQ392" s="5" t="n">
        <v>0.749</v>
      </c>
      <c r="AR392" s="5" t="n">
        <v>0.129</v>
      </c>
      <c r="AS392" s="5" t="n">
        <v>0.904</v>
      </c>
      <c r="AT392" s="5" t="n">
        <v>1.933</v>
      </c>
      <c r="AU392" s="5" t="n">
        <v>0.17</v>
      </c>
      <c r="AV392" s="5" t="n">
        <v>1</v>
      </c>
      <c r="AW392" s="5" t="n">
        <v>0.783</v>
      </c>
      <c r="AX392" s="5" t="n">
        <v>0.129</v>
      </c>
      <c r="AY392" s="5" t="n">
        <v>0.787</v>
      </c>
      <c r="AZ392" s="5" t="n">
        <v>1.836</v>
      </c>
      <c r="BA392" s="5" t="n">
        <v>0.17</v>
      </c>
      <c r="BB392" s="5" t="n">
        <v>1</v>
      </c>
      <c r="BC392" s="5" t="n">
        <v>0.527</v>
      </c>
      <c r="BD392" s="5" t="n">
        <v>0.129</v>
      </c>
      <c r="BE392" s="5" t="n">
        <v>0.257</v>
      </c>
      <c r="BF392" s="5" t="n">
        <v>0.918</v>
      </c>
      <c r="BG392" s="5" t="n">
        <v>0.17</v>
      </c>
      <c r="BH392" s="5" t="n">
        <v>1</v>
      </c>
      <c r="BI392" s="5" t="n">
        <v>0.64</v>
      </c>
      <c r="BJ392" s="5" t="n">
        <v>0.129</v>
      </c>
      <c r="BK392" s="5" t="n">
        <v>1.078</v>
      </c>
      <c r="BL392" s="5" t="n">
        <v>2.01</v>
      </c>
      <c r="BM392" s="5" t="n">
        <v>0.17</v>
      </c>
      <c r="BN392" s="5" t="n">
        <v>1</v>
      </c>
      <c r="BO392" s="5" t="n">
        <v>0</v>
      </c>
      <c r="BP392" s="5" t="n">
        <v>0.024</v>
      </c>
      <c r="BQ392" s="5" t="n">
        <v>0.133</v>
      </c>
      <c r="BR392" s="5" t="n">
        <v>0</v>
      </c>
      <c r="BS392" s="5" t="n">
        <v>1</v>
      </c>
      <c r="BT392" s="5" t="n">
        <v>0</v>
      </c>
      <c r="BU392" s="5" t="n">
        <v>0</v>
      </c>
      <c r="BV392" s="5" t="n">
        <v>0.172</v>
      </c>
      <c r="BW392" s="5" t="n">
        <v>0.17</v>
      </c>
      <c r="BX392" s="5" t="n">
        <v>0.833</v>
      </c>
      <c r="BY392" s="5" t="n">
        <v>13.254</v>
      </c>
      <c r="BZ392" s="5" t="n">
        <v>0</v>
      </c>
      <c r="CA392" s="5" t="n">
        <v>13.254</v>
      </c>
      <c r="CB392" s="5" t="n">
        <v>0</v>
      </c>
      <c r="CC392" s="5" t="n">
        <v>87.07899999999999</v>
      </c>
      <c r="CD392" s="5" t="n">
        <v>7.95</v>
      </c>
      <c r="CE392" s="5" t="n">
        <v>0.824</v>
      </c>
      <c r="CF392" s="5" t="n">
        <v>100.946</v>
      </c>
      <c r="CG392" s="5" t="n">
        <v>0.17</v>
      </c>
      <c r="CH392" s="5" t="n">
        <v>1</v>
      </c>
      <c r="CI392" s="5" t="n">
        <v>0</v>
      </c>
      <c r="CJ392" s="5" t="n">
        <v>0</v>
      </c>
      <c r="CK392" s="5" t="n">
        <v>0</v>
      </c>
      <c r="CL392" s="5" t="n">
        <v>0</v>
      </c>
      <c r="CM392" s="5" t="n">
        <v>0</v>
      </c>
      <c r="CN392" s="5" t="n">
        <v>0.178</v>
      </c>
      <c r="CO392" s="5" t="n">
        <v>0</v>
      </c>
      <c r="CP392" s="5" t="n">
        <v>0.08500000000000001</v>
      </c>
      <c r="CQ392" s="5" t="n">
        <v>1.348</v>
      </c>
      <c r="CR392" s="5" t="n">
        <v>1</v>
      </c>
      <c r="CS392" s="5" t="n">
        <v>2.116</v>
      </c>
      <c r="CT392" s="5" t="n">
        <v>4.861</v>
      </c>
      <c r="CU392" s="5" t="n">
        <v>9.260999999999999</v>
      </c>
    </row>
    <row r="393">
      <c r="A393" s="5" t="inlineStr">
        <is>
          <t>ISR2024</t>
        </is>
      </c>
      <c r="B393" s="5" t="inlineStr">
        <is>
          <t>ISR</t>
        </is>
      </c>
      <c r="C393" s="5" t="inlineStr">
        <is>
          <t>ISR</t>
        </is>
      </c>
      <c r="D393" s="5" t="inlineStr">
        <is>
          <t>Israel</t>
        </is>
      </c>
      <c r="E393" s="5" t="n">
        <v>2024</v>
      </c>
      <c r="F393" s="5" t="n">
        <v>0.17</v>
      </c>
      <c r="G393" s="5" t="n">
        <v>5.277</v>
      </c>
      <c r="H393" s="5" t="n">
        <v>1.268</v>
      </c>
      <c r="I393" s="5" t="n">
        <v>0.012</v>
      </c>
      <c r="J393" s="5" t="n">
        <v>5.289</v>
      </c>
      <c r="K393" s="5" t="n">
        <v>0</v>
      </c>
      <c r="L393" s="5" t="n">
        <v>1</v>
      </c>
      <c r="M393" s="5" t="n">
        <v>1.121</v>
      </c>
      <c r="N393" s="5" t="n">
        <v>0.61</v>
      </c>
      <c r="O393" s="5" t="n">
        <v>1.399</v>
      </c>
      <c r="P393" s="5" t="n">
        <v>2.519</v>
      </c>
      <c r="Q393" s="5" t="n">
        <v>0</v>
      </c>
      <c r="R393" s="5" t="n">
        <v>1</v>
      </c>
      <c r="S393" s="5" t="n">
        <v>11.615</v>
      </c>
      <c r="T393" s="5" t="n">
        <v>7.606</v>
      </c>
      <c r="U393" s="5" t="n">
        <v>0.269</v>
      </c>
      <c r="V393" s="5" t="n">
        <v>13.59</v>
      </c>
      <c r="W393" s="5" t="n">
        <v>0.17</v>
      </c>
      <c r="X393" s="5" t="n">
        <v>1</v>
      </c>
      <c r="Y393" s="5" t="n">
        <v>2.84</v>
      </c>
      <c r="Z393" s="5" t="n">
        <v>0.317</v>
      </c>
      <c r="AA393" s="5" t="n">
        <v>-0.263</v>
      </c>
      <c r="AB393" s="5" t="n">
        <v>2.578</v>
      </c>
      <c r="AC393" s="5" t="n">
        <v>0</v>
      </c>
      <c r="AD393" s="5" t="n">
        <v>1</v>
      </c>
      <c r="AE393" s="5" t="n">
        <v>3.502</v>
      </c>
      <c r="AF393" s="5" t="n">
        <v>0.6909999999999999</v>
      </c>
      <c r="AG393" s="5" t="n">
        <v>0.124</v>
      </c>
      <c r="AH393" s="5" t="n">
        <v>3.626</v>
      </c>
      <c r="AI393" s="5" t="n">
        <v>0</v>
      </c>
      <c r="AJ393" s="5" t="n">
        <v>1</v>
      </c>
      <c r="AK393" s="5" t="n">
        <v>7.473</v>
      </c>
      <c r="AL393" s="5" t="n">
        <v>3.555</v>
      </c>
      <c r="AM393" s="5" t="n">
        <v>0.315</v>
      </c>
      <c r="AN393" s="5" t="n">
        <v>8.904999999999999</v>
      </c>
      <c r="AO393" s="5" t="n">
        <v>0.17</v>
      </c>
      <c r="AP393" s="5" t="n">
        <v>1</v>
      </c>
      <c r="AQ393" s="5" t="n">
        <v>0.72</v>
      </c>
      <c r="AR393" s="5" t="n">
        <v>0.132</v>
      </c>
      <c r="AS393" s="5" t="n">
        <v>1.046</v>
      </c>
      <c r="AT393" s="5" t="n">
        <v>2.066</v>
      </c>
      <c r="AU393" s="5" t="n">
        <v>0.17</v>
      </c>
      <c r="AV393" s="5" t="n">
        <v>1</v>
      </c>
      <c r="AW393" s="5" t="n">
        <v>0.734</v>
      </c>
      <c r="AX393" s="5" t="n">
        <v>0.132</v>
      </c>
      <c r="AY393" s="5" t="n">
        <v>0.944</v>
      </c>
      <c r="AZ393" s="5" t="n">
        <v>1.963</v>
      </c>
      <c r="BA393" s="5" t="n">
        <v>0.17</v>
      </c>
      <c r="BB393" s="5" t="n">
        <v>1</v>
      </c>
      <c r="BC393" s="5" t="n">
        <v>0.51</v>
      </c>
      <c r="BD393" s="5" t="n">
        <v>0.132</v>
      </c>
      <c r="BE393" s="5" t="n">
        <v>0.281</v>
      </c>
      <c r="BF393" s="5" t="n">
        <v>0.926</v>
      </c>
      <c r="BG393" s="5" t="n">
        <v>0.17</v>
      </c>
      <c r="BH393" s="5" t="n">
        <v>1</v>
      </c>
      <c r="BI393" s="5" t="n">
        <v>0.652</v>
      </c>
      <c r="BJ393" s="5" t="n">
        <v>0.132</v>
      </c>
      <c r="BK393" s="5" t="n">
        <v>1.351</v>
      </c>
      <c r="BL393" s="5" t="n">
        <v>2.344</v>
      </c>
      <c r="BM393" s="5" t="n">
        <v>0.17</v>
      </c>
      <c r="BN393" s="5" t="n">
        <v>1</v>
      </c>
      <c r="BO393" s="5" t="n">
        <v>0</v>
      </c>
      <c r="BP393" s="5" t="n">
        <v>0.025</v>
      </c>
      <c r="BQ393" s="5" t="n">
        <v>0.093</v>
      </c>
      <c r="BR393" s="5" t="n">
        <v>0</v>
      </c>
      <c r="BS393" s="5" t="n">
        <v>1</v>
      </c>
      <c r="BT393" s="5" t="n">
        <v>0</v>
      </c>
      <c r="BU393" s="5" t="n">
        <v>0</v>
      </c>
      <c r="BV393" s="5" t="n">
        <v>0.174</v>
      </c>
      <c r="BW393" s="5" t="n">
        <v>0.17</v>
      </c>
      <c r="BX393" s="5" t="n">
        <v>0.833</v>
      </c>
      <c r="BY393" s="5" t="n">
        <v>13.646</v>
      </c>
      <c r="BZ393" s="5" t="n">
        <v>0</v>
      </c>
      <c r="CA393" s="5" t="n">
        <v>13.646</v>
      </c>
      <c r="CB393" s="5" t="n">
        <v>0</v>
      </c>
      <c r="CC393" s="5" t="n">
        <v>86.38500000000001</v>
      </c>
      <c r="CD393" s="5" t="n">
        <v>7.95</v>
      </c>
      <c r="CE393" s="5" t="n">
        <v>1.158</v>
      </c>
      <c r="CF393" s="5" t="n">
        <v>100.107</v>
      </c>
      <c r="CG393" s="5" t="n">
        <v>0.17</v>
      </c>
      <c r="CH393" s="5" t="n">
        <v>1</v>
      </c>
      <c r="CI393" s="5" t="n">
        <v>0</v>
      </c>
      <c r="CJ393" s="5" t="n">
        <v>0</v>
      </c>
      <c r="CK393" s="5" t="n">
        <v>0</v>
      </c>
      <c r="CL393" s="5" t="n">
        <v>0</v>
      </c>
      <c r="CM393" s="5" t="n">
        <v>0</v>
      </c>
      <c r="CN393" s="5" t="n">
        <v>0.212</v>
      </c>
      <c r="CO393" s="5" t="n">
        <v>0</v>
      </c>
      <c r="CP393" s="5" t="n">
        <v>0.08500000000000001</v>
      </c>
      <c r="CQ393" s="5" t="n">
        <v>1.387</v>
      </c>
      <c r="CR393" s="5" t="n">
        <v>1</v>
      </c>
      <c r="CS393" s="5" t="n">
        <v>2.179</v>
      </c>
      <c r="CT393" s="5" t="n">
        <v>4.251</v>
      </c>
      <c r="CU393" s="5" t="n">
        <v>7.598</v>
      </c>
    </row>
    <row r="394">
      <c r="A394" s="5" t="inlineStr">
        <is>
          <t>ITA2021</t>
        </is>
      </c>
      <c r="B394" s="5" t="inlineStr">
        <is>
          <t>ITA</t>
        </is>
      </c>
      <c r="C394" s="5" t="inlineStr">
        <is>
          <t>ITA</t>
        </is>
      </c>
      <c r="D394" s="5" t="inlineStr">
        <is>
          <t>Italy</t>
        </is>
      </c>
      <c r="E394" s="5" t="n">
        <v>2021</v>
      </c>
      <c r="F394" s="5" t="n">
        <v>0.22</v>
      </c>
      <c r="G394" s="5" t="n">
        <v>6.008</v>
      </c>
      <c r="H394" s="5" t="n">
        <v>1.143</v>
      </c>
      <c r="I394" s="5" t="n">
        <v>1.659</v>
      </c>
      <c r="J394" s="5" t="n">
        <v>7.668</v>
      </c>
      <c r="K394" s="5" t="n">
        <v>0</v>
      </c>
      <c r="L394" s="5" t="n">
        <v>1</v>
      </c>
      <c r="M394" s="5" t="n">
        <v>7.964</v>
      </c>
      <c r="N394" s="5" t="n">
        <v>3.43</v>
      </c>
      <c r="O394" s="5" t="n">
        <v>1.702</v>
      </c>
      <c r="P394" s="5" t="n">
        <v>9.666</v>
      </c>
      <c r="Q394" s="5" t="n">
        <v>0</v>
      </c>
      <c r="R394" s="5" t="n">
        <v>1</v>
      </c>
      <c r="S394" s="5" t="n">
        <v>11.725</v>
      </c>
      <c r="T394" s="5" t="n">
        <v>6.86</v>
      </c>
      <c r="U394" s="5" t="n">
        <v>0</v>
      </c>
      <c r="V394" s="5" t="n">
        <v>14.305</v>
      </c>
      <c r="W394" s="5" t="n">
        <v>0.22</v>
      </c>
      <c r="X394" s="5" t="n">
        <v>1</v>
      </c>
      <c r="Y394" s="5" t="n">
        <v>20.005</v>
      </c>
      <c r="Z394" s="5" t="n">
        <v>2.21</v>
      </c>
      <c r="AA394" s="5" t="n">
        <v>-8.103</v>
      </c>
      <c r="AB394" s="5" t="n">
        <v>11.901</v>
      </c>
      <c r="AC394" s="5" t="n">
        <v>0</v>
      </c>
      <c r="AD394" s="5" t="n">
        <v>1</v>
      </c>
      <c r="AE394" s="5" t="n">
        <v>19.961</v>
      </c>
      <c r="AF394" s="5" t="n">
        <v>3.928</v>
      </c>
      <c r="AG394" s="5" t="n">
        <v>-8.06</v>
      </c>
      <c r="AH394" s="5" t="n">
        <v>11.901</v>
      </c>
      <c r="AI394" s="5" t="n">
        <v>0</v>
      </c>
      <c r="AJ394" s="5" t="n">
        <v>1</v>
      </c>
      <c r="AK394" s="5" t="n">
        <v>28.296</v>
      </c>
      <c r="AL394" s="5" t="n">
        <v>13.888</v>
      </c>
      <c r="AM394" s="5" t="n">
        <v>-5.3</v>
      </c>
      <c r="AN394" s="5" t="n">
        <v>28.055</v>
      </c>
      <c r="AO394" s="5" t="n">
        <v>0.22</v>
      </c>
      <c r="AP394" s="5" t="n">
        <v>1</v>
      </c>
      <c r="AQ394" s="5" t="n">
        <v>0.619</v>
      </c>
      <c r="AR394" s="5" t="n">
        <v>0.114</v>
      </c>
      <c r="AS394" s="5" t="n">
        <v>0.956</v>
      </c>
      <c r="AT394" s="5" t="n">
        <v>1.922</v>
      </c>
      <c r="AU394" s="5" t="n">
        <v>0.22</v>
      </c>
      <c r="AV394" s="5" t="n">
        <v>1</v>
      </c>
      <c r="AW394" s="5" t="n">
        <v>0.599</v>
      </c>
      <c r="AX394" s="5" t="n">
        <v>0.114</v>
      </c>
      <c r="AY394" s="5" t="n">
        <v>0.841</v>
      </c>
      <c r="AZ394" s="5" t="n">
        <v>1.758</v>
      </c>
      <c r="BA394" s="5" t="n">
        <v>0.22</v>
      </c>
      <c r="BB394" s="5" t="n">
        <v>1</v>
      </c>
      <c r="BC394" s="5" t="n">
        <v>0.439</v>
      </c>
      <c r="BD394" s="5" t="n">
        <v>0.114</v>
      </c>
      <c r="BE394" s="5" t="n">
        <v>0.244</v>
      </c>
      <c r="BF394" s="5" t="n">
        <v>0.833</v>
      </c>
      <c r="BG394" s="5" t="n">
        <v>0.22</v>
      </c>
      <c r="BH394" s="5" t="n">
        <v>1</v>
      </c>
      <c r="BI394" s="5" t="n">
        <v>0.505</v>
      </c>
      <c r="BJ394" s="5" t="n">
        <v>0.114</v>
      </c>
      <c r="BK394" s="5" t="n">
        <v>0.744</v>
      </c>
      <c r="BL394" s="5" t="n">
        <v>1.523</v>
      </c>
      <c r="BM394" s="5" t="n">
        <v>0.22</v>
      </c>
      <c r="BN394" s="5" t="n">
        <v>1</v>
      </c>
      <c r="BO394" s="5" t="n">
        <v>0</v>
      </c>
      <c r="BP394" s="5" t="n">
        <v>0.024</v>
      </c>
      <c r="BQ394" s="5" t="n">
        <v>0.15</v>
      </c>
      <c r="BR394" s="5" t="n">
        <v>0</v>
      </c>
      <c r="BS394" s="5" t="n">
        <v>1</v>
      </c>
      <c r="BT394" s="5" t="n">
        <v>0</v>
      </c>
      <c r="BU394" s="5" t="n">
        <v>0.06</v>
      </c>
      <c r="BV394" s="5" t="n">
        <v>0.273</v>
      </c>
      <c r="BW394" s="5" t="n">
        <v>0.22</v>
      </c>
      <c r="BX394" s="5" t="n">
        <v>1</v>
      </c>
      <c r="BY394" s="5" t="n">
        <v>11.787</v>
      </c>
      <c r="BZ394" s="5" t="n">
        <v>0</v>
      </c>
      <c r="CA394" s="5" t="n">
        <v>11.787</v>
      </c>
      <c r="CB394" s="5" t="n">
        <v>0</v>
      </c>
      <c r="CC394" s="5" t="n">
        <v>78.125</v>
      </c>
      <c r="CD394" s="5" t="n">
        <v>7.95</v>
      </c>
      <c r="CE394" s="5" t="n">
        <v>125.913</v>
      </c>
      <c r="CF394" s="5" t="n">
        <v>248.926</v>
      </c>
      <c r="CG394" s="5" t="n">
        <v>0.22</v>
      </c>
      <c r="CH394" s="5" t="n">
        <v>1</v>
      </c>
      <c r="CI394" s="5" t="n">
        <v>0</v>
      </c>
      <c r="CJ394" s="5" t="n">
        <v>0</v>
      </c>
      <c r="CK394" s="5" t="n">
        <v>0</v>
      </c>
      <c r="CL394" s="5" t="n">
        <v>0</v>
      </c>
      <c r="CM394" s="5" t="n">
        <v>0</v>
      </c>
      <c r="CN394" s="5" t="n">
        <v>0.012</v>
      </c>
      <c r="CO394" s="5" t="n">
        <v>0</v>
      </c>
      <c r="CP394" s="5" t="n">
        <v>0</v>
      </c>
      <c r="CQ394" s="5" t="n">
        <v>1.198</v>
      </c>
      <c r="CR394" s="5" t="n">
        <v>0</v>
      </c>
      <c r="CS394" s="5" t="n">
        <v>8.928000000000001</v>
      </c>
      <c r="CT394" s="5" t="n">
        <v>4.865</v>
      </c>
      <c r="CU394" s="5" t="n">
        <v>15.302</v>
      </c>
    </row>
    <row r="395">
      <c r="A395" s="5" t="inlineStr">
        <is>
          <t>ITA2022</t>
        </is>
      </c>
      <c r="B395" s="5" t="inlineStr">
        <is>
          <t>ITA</t>
        </is>
      </c>
      <c r="C395" s="5" t="inlineStr">
        <is>
          <t>ITA</t>
        </is>
      </c>
      <c r="D395" s="5" t="inlineStr">
        <is>
          <t>Italy</t>
        </is>
      </c>
      <c r="E395" s="5" t="n">
        <v>2022</v>
      </c>
      <c r="F395" s="5" t="n">
        <v>0.22</v>
      </c>
      <c r="G395" s="5" t="n">
        <v>12.793</v>
      </c>
      <c r="H395" s="5" t="n">
        <v>1.235</v>
      </c>
      <c r="I395" s="5" t="n">
        <v>8.537000000000001</v>
      </c>
      <c r="J395" s="5" t="n">
        <v>21.331</v>
      </c>
      <c r="K395" s="5" t="n">
        <v>0</v>
      </c>
      <c r="L395" s="5" t="n">
        <v>1</v>
      </c>
      <c r="M395" s="5" t="n">
        <v>9.782999999999999</v>
      </c>
      <c r="N395" s="5" t="n">
        <v>3.704</v>
      </c>
      <c r="O395" s="5" t="n">
        <v>8.579000000000001</v>
      </c>
      <c r="P395" s="5" t="n">
        <v>18.361</v>
      </c>
      <c r="Q395" s="5" t="n">
        <v>0</v>
      </c>
      <c r="R395" s="5" t="n">
        <v>1</v>
      </c>
      <c r="S395" s="5" t="n">
        <v>18.967</v>
      </c>
      <c r="T395" s="5" t="n">
        <v>7.408</v>
      </c>
      <c r="U395" s="5" t="n">
        <v>0.309</v>
      </c>
      <c r="V395" s="5" t="n">
        <v>23.14</v>
      </c>
      <c r="W395" s="5" t="n">
        <v>0.22</v>
      </c>
      <c r="X395" s="5" t="n">
        <v>1</v>
      </c>
      <c r="Y395" s="5" t="n">
        <v>41.268</v>
      </c>
      <c r="Z395" s="5" t="n">
        <v>4.329</v>
      </c>
      <c r="AA395" s="5" t="n">
        <v>-9.202</v>
      </c>
      <c r="AB395" s="5" t="n">
        <v>32.066</v>
      </c>
      <c r="AC395" s="5" t="n">
        <v>0</v>
      </c>
      <c r="AD395" s="5" t="n">
        <v>1</v>
      </c>
      <c r="AE395" s="5" t="n">
        <v>41.316</v>
      </c>
      <c r="AF395" s="5" t="n">
        <v>7.659</v>
      </c>
      <c r="AG395" s="5" t="n">
        <v>-9.249000000000001</v>
      </c>
      <c r="AH395" s="5" t="n">
        <v>32.066</v>
      </c>
      <c r="AI395" s="5" t="n">
        <v>0</v>
      </c>
      <c r="AJ395" s="5" t="n">
        <v>1</v>
      </c>
      <c r="AK395" s="5" t="n">
        <v>50.199</v>
      </c>
      <c r="AL395" s="5" t="n">
        <v>23.972</v>
      </c>
      <c r="AM395" s="5" t="n">
        <v>-22.673</v>
      </c>
      <c r="AN395" s="5" t="n">
        <v>33.581</v>
      </c>
      <c r="AO395" s="5" t="n">
        <v>0.22</v>
      </c>
      <c r="AP395" s="5" t="n">
        <v>1</v>
      </c>
      <c r="AQ395" s="5" t="n">
        <v>0.861</v>
      </c>
      <c r="AR395" s="5" t="n">
        <v>0.123</v>
      </c>
      <c r="AS395" s="5" t="n">
        <v>0.705</v>
      </c>
      <c r="AT395" s="5" t="n">
        <v>1.91</v>
      </c>
      <c r="AU395" s="5" t="n">
        <v>0.22</v>
      </c>
      <c r="AV395" s="5" t="n">
        <v>1</v>
      </c>
      <c r="AW395" s="5" t="n">
        <v>0.986</v>
      </c>
      <c r="AX395" s="5" t="n">
        <v>0.123</v>
      </c>
      <c r="AY395" s="5" t="n">
        <v>0.581</v>
      </c>
      <c r="AZ395" s="5" t="n">
        <v>1.912</v>
      </c>
      <c r="BA395" s="5" t="n">
        <v>0.22</v>
      </c>
      <c r="BB395" s="5" t="n">
        <v>1</v>
      </c>
      <c r="BC395" s="5" t="n">
        <v>0.598</v>
      </c>
      <c r="BD395" s="5" t="n">
        <v>0.123</v>
      </c>
      <c r="BE395" s="5" t="n">
        <v>0.105</v>
      </c>
      <c r="BF395" s="5" t="n">
        <v>0.857</v>
      </c>
      <c r="BG395" s="5" t="n">
        <v>0.22</v>
      </c>
      <c r="BH395" s="5" t="n">
        <v>1</v>
      </c>
      <c r="BI395" s="5" t="n">
        <v>0.612</v>
      </c>
      <c r="BJ395" s="5" t="n">
        <v>0.123</v>
      </c>
      <c r="BK395" s="5" t="n">
        <v>0.91</v>
      </c>
      <c r="BL395" s="5" t="n">
        <v>1.858</v>
      </c>
      <c r="BM395" s="5" t="n">
        <v>0.22</v>
      </c>
      <c r="BN395" s="5" t="n">
        <v>1</v>
      </c>
      <c r="BO395" s="5" t="n">
        <v>0</v>
      </c>
      <c r="BP395" s="5" t="n">
        <v>0.003</v>
      </c>
      <c r="BQ395" s="5" t="n">
        <v>0.275</v>
      </c>
      <c r="BR395" s="5" t="n">
        <v>0</v>
      </c>
      <c r="BS395" s="5" t="n">
        <v>1</v>
      </c>
      <c r="BT395" s="5" t="n">
        <v>0</v>
      </c>
      <c r="BU395" s="5" t="n">
        <v>0.016</v>
      </c>
      <c r="BV395" s="5" t="n">
        <v>0.356</v>
      </c>
      <c r="BW395" s="5" t="n">
        <v>0.22</v>
      </c>
      <c r="BX395" s="5" t="n">
        <v>1</v>
      </c>
      <c r="BY395" s="5" t="n">
        <v>12.729</v>
      </c>
      <c r="BZ395" s="5" t="n">
        <v>0</v>
      </c>
      <c r="CA395" s="5" t="n">
        <v>12.729</v>
      </c>
      <c r="CB395" s="5" t="n">
        <v>0</v>
      </c>
      <c r="CC395" s="5" t="n">
        <v>97.90000000000001</v>
      </c>
      <c r="CD395" s="5" t="n">
        <v>7.95</v>
      </c>
      <c r="CE395" s="5" t="n">
        <v>177.071</v>
      </c>
      <c r="CF395" s="5" t="n">
        <v>335.464</v>
      </c>
      <c r="CG395" s="5" t="n">
        <v>0.22</v>
      </c>
      <c r="CH395" s="5" t="n">
        <v>1</v>
      </c>
      <c r="CI395" s="5" t="n">
        <v>0</v>
      </c>
      <c r="CJ395" s="5" t="n">
        <v>0</v>
      </c>
      <c r="CK395" s="5" t="n">
        <v>0</v>
      </c>
      <c r="CL395" s="5" t="n">
        <v>0</v>
      </c>
      <c r="CM395" s="5" t="n">
        <v>0</v>
      </c>
      <c r="CN395" s="5" t="n">
        <v>0.013</v>
      </c>
      <c r="CO395" s="5" t="n">
        <v>0</v>
      </c>
      <c r="CP395" s="5" t="n">
        <v>0</v>
      </c>
      <c r="CQ395" s="5" t="n">
        <v>1.294</v>
      </c>
      <c r="CR395" s="5" t="n">
        <v>0</v>
      </c>
      <c r="CS395" s="5" t="n">
        <v>9.641999999999999</v>
      </c>
      <c r="CT395" s="5" t="n">
        <v>11.559</v>
      </c>
      <c r="CU395" s="5" t="n">
        <v>36.473</v>
      </c>
    </row>
    <row r="396">
      <c r="A396" s="5" t="inlineStr">
        <is>
          <t>ITA2023</t>
        </is>
      </c>
      <c r="B396" s="5" t="inlineStr">
        <is>
          <t>ITA</t>
        </is>
      </c>
      <c r="C396" s="5" t="inlineStr">
        <is>
          <t>ITA</t>
        </is>
      </c>
      <c r="D396" s="5" t="inlineStr">
        <is>
          <t>Italy</t>
        </is>
      </c>
      <c r="E396" s="5" t="n">
        <v>2023</v>
      </c>
      <c r="F396" s="5" t="n">
        <v>0.22</v>
      </c>
      <c r="G396" s="5" t="n">
        <v>6.42</v>
      </c>
      <c r="H396" s="5" t="n">
        <v>1.285</v>
      </c>
      <c r="I396" s="5" t="n">
        <v>9.959</v>
      </c>
      <c r="J396" s="5" t="n">
        <v>16.379</v>
      </c>
      <c r="K396" s="5" t="n">
        <v>0</v>
      </c>
      <c r="L396" s="5" t="n">
        <v>1</v>
      </c>
      <c r="M396" s="5" t="n">
        <v>7.88</v>
      </c>
      <c r="N396" s="5" t="n">
        <v>3.854</v>
      </c>
      <c r="O396" s="5" t="n">
        <v>9.890000000000001</v>
      </c>
      <c r="P396" s="5" t="n">
        <v>17.77</v>
      </c>
      <c r="Q396" s="5" t="n">
        <v>0</v>
      </c>
      <c r="R396" s="5" t="n">
        <v>1</v>
      </c>
      <c r="S396" s="5" t="n">
        <v>12.844</v>
      </c>
      <c r="T396" s="5" t="n">
        <v>7.709</v>
      </c>
      <c r="U396" s="5" t="n">
        <v>0.313</v>
      </c>
      <c r="V396" s="5" t="n">
        <v>15.67</v>
      </c>
      <c r="W396" s="5" t="n">
        <v>0.22</v>
      </c>
      <c r="X396" s="5" t="n">
        <v>1</v>
      </c>
      <c r="Y396" s="5" t="n">
        <v>17.593</v>
      </c>
      <c r="Z396" s="5" t="n">
        <v>1.971</v>
      </c>
      <c r="AA396" s="5" t="n">
        <v>11.014</v>
      </c>
      <c r="AB396" s="5" t="n">
        <v>28.607</v>
      </c>
      <c r="AC396" s="5" t="n">
        <v>0</v>
      </c>
      <c r="AD396" s="5" t="n">
        <v>1</v>
      </c>
      <c r="AE396" s="5" t="n">
        <v>17.692</v>
      </c>
      <c r="AF396" s="5" t="n">
        <v>3.524</v>
      </c>
      <c r="AG396" s="5" t="n">
        <v>10.915</v>
      </c>
      <c r="AH396" s="5" t="n">
        <v>28.607</v>
      </c>
      <c r="AI396" s="5" t="n">
        <v>0</v>
      </c>
      <c r="AJ396" s="5" t="n">
        <v>1</v>
      </c>
      <c r="AK396" s="5" t="n">
        <v>26.881</v>
      </c>
      <c r="AL396" s="5" t="n">
        <v>13.316</v>
      </c>
      <c r="AM396" s="5" t="n">
        <v>1.772</v>
      </c>
      <c r="AN396" s="5" t="n">
        <v>34.957</v>
      </c>
      <c r="AO396" s="5" t="n">
        <v>0.22</v>
      </c>
      <c r="AP396" s="5" t="n">
        <v>1</v>
      </c>
      <c r="AQ396" s="5" t="n">
        <v>0.76</v>
      </c>
      <c r="AR396" s="5" t="n">
        <v>0.129</v>
      </c>
      <c r="AS396" s="5" t="n">
        <v>0.894</v>
      </c>
      <c r="AT396" s="5" t="n">
        <v>2.018</v>
      </c>
      <c r="AU396" s="5" t="n">
        <v>0.22</v>
      </c>
      <c r="AV396" s="5" t="n">
        <v>1</v>
      </c>
      <c r="AW396" s="5" t="n">
        <v>0.8110000000000001</v>
      </c>
      <c r="AX396" s="5" t="n">
        <v>0.129</v>
      </c>
      <c r="AY396" s="5" t="n">
        <v>0.779</v>
      </c>
      <c r="AZ396" s="5" t="n">
        <v>1.941</v>
      </c>
      <c r="BA396" s="5" t="n">
        <v>0.22</v>
      </c>
      <c r="BB396" s="5" t="n">
        <v>1</v>
      </c>
      <c r="BC396" s="5" t="n">
        <v>0.535</v>
      </c>
      <c r="BD396" s="5" t="n">
        <v>0.129</v>
      </c>
      <c r="BE396" s="5" t="n">
        <v>0.13</v>
      </c>
      <c r="BF396" s="5" t="n">
        <v>0.8110000000000001</v>
      </c>
      <c r="BG396" s="5" t="n">
        <v>0.22</v>
      </c>
      <c r="BH396" s="5" t="n">
        <v>1</v>
      </c>
      <c r="BI396" s="5" t="n">
        <v>0.579</v>
      </c>
      <c r="BJ396" s="5" t="n">
        <v>0.129</v>
      </c>
      <c r="BK396" s="5" t="n">
        <v>0.799</v>
      </c>
      <c r="BL396" s="5" t="n">
        <v>1.682</v>
      </c>
      <c r="BM396" s="5" t="n">
        <v>0.22</v>
      </c>
      <c r="BN396" s="5" t="n">
        <v>1</v>
      </c>
      <c r="BO396" s="5" t="n">
        <v>0</v>
      </c>
      <c r="BP396" s="5" t="n">
        <v>0.018</v>
      </c>
      <c r="BQ396" s="5" t="n">
        <v>0.211</v>
      </c>
      <c r="BR396" s="5" t="n">
        <v>0</v>
      </c>
      <c r="BS396" s="5" t="n">
        <v>1</v>
      </c>
      <c r="BT396" s="5" t="n">
        <v>0</v>
      </c>
      <c r="BU396" s="5" t="n">
        <v>0.039</v>
      </c>
      <c r="BV396" s="5" t="n">
        <v>0.385</v>
      </c>
      <c r="BW396" s="5" t="n">
        <v>0.22</v>
      </c>
      <c r="BX396" s="5" t="n">
        <v>1</v>
      </c>
      <c r="BY396" s="5" t="n">
        <v>13.254</v>
      </c>
      <c r="BZ396" s="5" t="n">
        <v>0</v>
      </c>
      <c r="CA396" s="5" t="n">
        <v>13.254</v>
      </c>
      <c r="CB396" s="5" t="n">
        <v>0</v>
      </c>
      <c r="CC396" s="5" t="n">
        <v>83.248</v>
      </c>
      <c r="CD396" s="5" t="n">
        <v>7.95</v>
      </c>
      <c r="CE396" s="5" t="n">
        <v>174.803</v>
      </c>
      <c r="CF396" s="5" t="n">
        <v>314.822</v>
      </c>
      <c r="CG396" s="5" t="n">
        <v>0.22</v>
      </c>
      <c r="CH396" s="5" t="n">
        <v>1</v>
      </c>
      <c r="CI396" s="5" t="n">
        <v>0</v>
      </c>
      <c r="CJ396" s="5" t="n">
        <v>0</v>
      </c>
      <c r="CK396" s="5" t="n">
        <v>0</v>
      </c>
      <c r="CL396" s="5" t="n">
        <v>0</v>
      </c>
      <c r="CM396" s="5" t="n">
        <v>0</v>
      </c>
      <c r="CN396" s="5" t="n">
        <v>0.012</v>
      </c>
      <c r="CO396" s="5" t="n">
        <v>0</v>
      </c>
      <c r="CP396" s="5" t="n">
        <v>0.001</v>
      </c>
      <c r="CQ396" s="5" t="n">
        <v>1.348</v>
      </c>
      <c r="CR396" s="5" t="n">
        <v>0</v>
      </c>
      <c r="CS396" s="5" t="n">
        <v>10.04</v>
      </c>
      <c r="CT396" s="5" t="n">
        <v>5.14</v>
      </c>
      <c r="CU396" s="5" t="n">
        <v>12.748</v>
      </c>
    </row>
    <row r="397">
      <c r="A397" s="5" t="inlineStr">
        <is>
          <t>ITA2024</t>
        </is>
      </c>
      <c r="B397" s="5" t="inlineStr">
        <is>
          <t>ITA</t>
        </is>
      </c>
      <c r="C397" s="5" t="inlineStr">
        <is>
          <t>ITA</t>
        </is>
      </c>
      <c r="D397" s="5" t="inlineStr">
        <is>
          <t>Italy</t>
        </is>
      </c>
      <c r="E397" s="5" t="n">
        <v>2024</v>
      </c>
      <c r="F397" s="5" t="n">
        <v>0.22</v>
      </c>
      <c r="G397" s="5" t="n">
        <v>5.342</v>
      </c>
      <c r="H397" s="5" t="n">
        <v>1.323</v>
      </c>
      <c r="I397" s="5" t="n">
        <v>6.7</v>
      </c>
      <c r="J397" s="5" t="n">
        <v>12.042</v>
      </c>
      <c r="K397" s="5" t="n">
        <v>0</v>
      </c>
      <c r="L397" s="5" t="n">
        <v>1</v>
      </c>
      <c r="M397" s="5" t="n">
        <v>7.119</v>
      </c>
      <c r="N397" s="5" t="n">
        <v>3.968</v>
      </c>
      <c r="O397" s="5" t="n">
        <v>6.566</v>
      </c>
      <c r="P397" s="5" t="n">
        <v>13.685</v>
      </c>
      <c r="Q397" s="5" t="n">
        <v>0</v>
      </c>
      <c r="R397" s="5" t="n">
        <v>1</v>
      </c>
      <c r="S397" s="5" t="n">
        <v>11.955</v>
      </c>
      <c r="T397" s="5" t="n">
        <v>7.936</v>
      </c>
      <c r="U397" s="5" t="n">
        <v>0.358</v>
      </c>
      <c r="V397" s="5" t="n">
        <v>14.585</v>
      </c>
      <c r="W397" s="5" t="n">
        <v>0.22</v>
      </c>
      <c r="X397" s="5" t="n">
        <v>1</v>
      </c>
      <c r="Y397" s="5" t="n">
        <v>15.923</v>
      </c>
      <c r="Z397" s="5" t="n">
        <v>2.011</v>
      </c>
      <c r="AA397" s="5" t="n">
        <v>4.577</v>
      </c>
      <c r="AB397" s="5" t="n">
        <v>20.5</v>
      </c>
      <c r="AC397" s="5" t="n">
        <v>0</v>
      </c>
      <c r="AD397" s="5" t="n">
        <v>1</v>
      </c>
      <c r="AE397" s="5" t="n">
        <v>15.923</v>
      </c>
      <c r="AF397" s="5" t="n">
        <v>3.488</v>
      </c>
      <c r="AG397" s="5" t="n">
        <v>4.577</v>
      </c>
      <c r="AH397" s="5" t="n">
        <v>20.5</v>
      </c>
      <c r="AI397" s="5" t="n">
        <v>0</v>
      </c>
      <c r="AJ397" s="5" t="n">
        <v>1</v>
      </c>
      <c r="AK397" s="5" t="n">
        <v>28.511</v>
      </c>
      <c r="AL397" s="5" t="n">
        <v>14.501</v>
      </c>
      <c r="AM397" s="5" t="n">
        <v>5.087</v>
      </c>
      <c r="AN397" s="5" t="n">
        <v>40.99</v>
      </c>
      <c r="AO397" s="5" t="n">
        <v>0.22</v>
      </c>
      <c r="AP397" s="5" t="n">
        <v>1</v>
      </c>
      <c r="AQ397" s="5" t="n">
        <v>0.724</v>
      </c>
      <c r="AR397" s="5" t="n">
        <v>0.132</v>
      </c>
      <c r="AS397" s="5" t="n">
        <v>0.891</v>
      </c>
      <c r="AT397" s="5" t="n">
        <v>1.971</v>
      </c>
      <c r="AU397" s="5" t="n">
        <v>0.22</v>
      </c>
      <c r="AV397" s="5" t="n">
        <v>1</v>
      </c>
      <c r="AW397" s="5" t="n">
        <v>0.75</v>
      </c>
      <c r="AX397" s="5" t="n">
        <v>0.132</v>
      </c>
      <c r="AY397" s="5" t="n">
        <v>0.773</v>
      </c>
      <c r="AZ397" s="5" t="n">
        <v>1.858</v>
      </c>
      <c r="BA397" s="5" t="n">
        <v>0.22</v>
      </c>
      <c r="BB397" s="5" t="n">
        <v>1</v>
      </c>
      <c r="BC397" s="5" t="n">
        <v>0.513</v>
      </c>
      <c r="BD397" s="5" t="n">
        <v>0.132</v>
      </c>
      <c r="BE397" s="5" t="n">
        <v>0.129</v>
      </c>
      <c r="BF397" s="5" t="n">
        <v>0.784</v>
      </c>
      <c r="BG397" s="5" t="n">
        <v>0.22</v>
      </c>
      <c r="BH397" s="5" t="n">
        <v>1</v>
      </c>
      <c r="BI397" s="5" t="n">
        <v>0.591</v>
      </c>
      <c r="BJ397" s="5" t="n">
        <v>0.132</v>
      </c>
      <c r="BK397" s="5" t="n">
        <v>0.711</v>
      </c>
      <c r="BL397" s="5" t="n">
        <v>1.589</v>
      </c>
      <c r="BM397" s="5" t="n">
        <v>0.22</v>
      </c>
      <c r="BN397" s="5" t="n">
        <v>1</v>
      </c>
      <c r="BO397" s="5" t="n">
        <v>0</v>
      </c>
      <c r="BP397" s="5" t="n">
        <v>0.022</v>
      </c>
      <c r="BQ397" s="5" t="n">
        <v>0.176</v>
      </c>
      <c r="BR397" s="5" t="n">
        <v>0</v>
      </c>
      <c r="BS397" s="5" t="n">
        <v>1</v>
      </c>
      <c r="BT397" s="5" t="n">
        <v>0</v>
      </c>
      <c r="BU397" s="5" t="n">
        <v>0.06</v>
      </c>
      <c r="BV397" s="5" t="n">
        <v>0.346</v>
      </c>
      <c r="BW397" s="5" t="n">
        <v>0.22</v>
      </c>
      <c r="BX397" s="5" t="n">
        <v>1</v>
      </c>
      <c r="BY397" s="5" t="n">
        <v>13.646</v>
      </c>
      <c r="BZ397" s="5" t="n">
        <v>0</v>
      </c>
      <c r="CA397" s="5" t="n">
        <v>13.646</v>
      </c>
      <c r="CB397" s="5" t="n">
        <v>0</v>
      </c>
      <c r="CC397" s="5" t="n">
        <v>82.58799999999999</v>
      </c>
      <c r="CD397" s="5" t="n">
        <v>7.95</v>
      </c>
      <c r="CE397" s="5" t="n">
        <v>151.239</v>
      </c>
      <c r="CF397" s="5" t="n">
        <v>285.269</v>
      </c>
      <c r="CG397" s="5" t="n">
        <v>0.22</v>
      </c>
      <c r="CH397" s="5" t="n">
        <v>1</v>
      </c>
      <c r="CI397" s="5" t="n">
        <v>0</v>
      </c>
      <c r="CJ397" s="5" t="n">
        <v>0</v>
      </c>
      <c r="CK397" s="5" t="n">
        <v>0</v>
      </c>
      <c r="CL397" s="5" t="n">
        <v>0</v>
      </c>
      <c r="CM397" s="5" t="n">
        <v>0</v>
      </c>
      <c r="CN397" s="5" t="n">
        <v>0.012</v>
      </c>
      <c r="CO397" s="5" t="n">
        <v>0</v>
      </c>
      <c r="CP397" s="5" t="n">
        <v>0.001</v>
      </c>
      <c r="CQ397" s="5" t="n">
        <v>1.387</v>
      </c>
      <c r="CR397" s="5" t="n">
        <v>0</v>
      </c>
      <c r="CS397" s="5" t="n">
        <v>10.336</v>
      </c>
      <c r="CT397" s="5" t="n">
        <v>4.022</v>
      </c>
      <c r="CU397" s="5" t="n">
        <v>10.977</v>
      </c>
    </row>
    <row r="398">
      <c r="A398" s="5" t="inlineStr">
        <is>
          <t>JAM2021</t>
        </is>
      </c>
      <c r="B398" s="5" t="inlineStr">
        <is>
          <t>JAM</t>
        </is>
      </c>
      <c r="C398" s="5" t="inlineStr">
        <is>
          <t>JAM</t>
        </is>
      </c>
      <c r="D398" s="5" t="inlineStr">
        <is>
          <t>Jamaica</t>
        </is>
      </c>
      <c r="E398" s="5" t="n">
        <v>2021</v>
      </c>
      <c r="F398" s="5" t="n">
        <v>0.15</v>
      </c>
      <c r="G398" s="5" t="n">
        <v>5.316</v>
      </c>
      <c r="H398" s="5" t="n">
        <v>1.063</v>
      </c>
      <c r="I398" s="5" t="n">
        <v>0</v>
      </c>
      <c r="J398" s="5" t="n">
        <v>5.316</v>
      </c>
      <c r="K398" s="5" t="n">
        <v>0</v>
      </c>
      <c r="L398" s="5" t="n">
        <v>1</v>
      </c>
      <c r="M398" s="5" t="n">
        <v>7.253</v>
      </c>
      <c r="N398" s="5" t="n">
        <v>3.188</v>
      </c>
      <c r="O398" s="5" t="n">
        <v>0.195</v>
      </c>
      <c r="P398" s="5" t="n">
        <v>7.448</v>
      </c>
      <c r="Q398" s="5" t="n">
        <v>0</v>
      </c>
      <c r="R398" s="5" t="n">
        <v>1</v>
      </c>
      <c r="S398" s="5" t="n">
        <v>10.63</v>
      </c>
      <c r="T398" s="5" t="n">
        <v>6.377</v>
      </c>
      <c r="U398" s="5" t="n">
        <v>0</v>
      </c>
      <c r="V398" s="5" t="n">
        <v>12.224</v>
      </c>
      <c r="W398" s="5" t="n">
        <v>0.15</v>
      </c>
      <c r="X398" s="5" t="n">
        <v>1</v>
      </c>
      <c r="Y398" s="5" t="n">
        <v>17.125</v>
      </c>
      <c r="Z398" s="5" t="n">
        <v>2.298</v>
      </c>
      <c r="AA398" s="5" t="n">
        <v>0.031</v>
      </c>
      <c r="AB398" s="5" t="n">
        <v>17.156</v>
      </c>
      <c r="AC398" s="5" t="n">
        <v>0</v>
      </c>
      <c r="AD398" s="5" t="n">
        <v>1</v>
      </c>
      <c r="AE398" s="5" t="n">
        <v>18.268</v>
      </c>
      <c r="AF398" s="5" t="n">
        <v>4.27</v>
      </c>
      <c r="AG398" s="5" t="n">
        <v>0</v>
      </c>
      <c r="AH398" s="5" t="n">
        <v>18.268</v>
      </c>
      <c r="AI398" s="5" t="n">
        <v>0</v>
      </c>
      <c r="AJ398" s="5" t="n">
        <v>1</v>
      </c>
      <c r="AK398" s="5" t="n">
        <v>25.128</v>
      </c>
      <c r="AL398" s="5" t="n">
        <v>13.489</v>
      </c>
      <c r="AM398" s="5" t="n">
        <v>0</v>
      </c>
      <c r="AN398" s="5" t="n">
        <v>28.897</v>
      </c>
      <c r="AO398" s="5" t="n">
        <v>0.15</v>
      </c>
      <c r="AP398" s="5" t="n">
        <v>1</v>
      </c>
      <c r="AQ398" s="5" t="n">
        <v>0.649</v>
      </c>
      <c r="AR398" s="5" t="n">
        <v>0.114</v>
      </c>
      <c r="AS398" s="5" t="n">
        <v>0.379</v>
      </c>
      <c r="AT398" s="5" t="n">
        <v>1.182</v>
      </c>
      <c r="AU398" s="5" t="n">
        <v>0.15</v>
      </c>
      <c r="AV398" s="5" t="n">
        <v>1</v>
      </c>
      <c r="AW398" s="5" t="n">
        <v>0.577</v>
      </c>
      <c r="AX398" s="5" t="n">
        <v>0.114</v>
      </c>
      <c r="AY398" s="5" t="n">
        <v>0.38</v>
      </c>
      <c r="AZ398" s="5" t="n">
        <v>1.1</v>
      </c>
      <c r="BA398" s="5" t="n">
        <v>0.15</v>
      </c>
      <c r="BB398" s="5" t="n">
        <v>1</v>
      </c>
      <c r="BC398" s="5" t="n">
        <v>0.458</v>
      </c>
      <c r="BD398" s="5" t="n">
        <v>0.114</v>
      </c>
      <c r="BE398" s="5" t="n">
        <v>-0.123</v>
      </c>
      <c r="BF398" s="5" t="n">
        <v>0.386</v>
      </c>
      <c r="BG398" s="5" t="n">
        <v>0</v>
      </c>
      <c r="BH398" s="5" t="n">
        <v>0</v>
      </c>
      <c r="BI398" s="5" t="n">
        <v>0.491</v>
      </c>
      <c r="BJ398" s="5" t="n">
        <v>0.114</v>
      </c>
      <c r="BK398" s="5" t="n">
        <v>0.308</v>
      </c>
      <c r="BL398" s="5" t="n">
        <v>0.919</v>
      </c>
      <c r="BM398" s="5" t="n">
        <v>0.15</v>
      </c>
      <c r="BN398" s="5" t="n">
        <v>1</v>
      </c>
      <c r="BO398" s="5" t="n">
        <v>0</v>
      </c>
      <c r="BP398" s="5" t="n">
        <v>0</v>
      </c>
      <c r="BQ398" s="5" t="n">
        <v>0.187</v>
      </c>
      <c r="BR398" s="5" t="n">
        <v>0</v>
      </c>
      <c r="BS398" s="5" t="n">
        <v>0.667</v>
      </c>
      <c r="BT398" s="5" t="n">
        <v>0</v>
      </c>
      <c r="BU398" s="5" t="n">
        <v>0</v>
      </c>
      <c r="BV398" s="5" t="n">
        <v>0.746</v>
      </c>
      <c r="BW398" s="5" t="n">
        <v>0.15</v>
      </c>
      <c r="BX398" s="5" t="n">
        <v>0.667</v>
      </c>
      <c r="BY398" s="5" t="n">
        <v>11.787</v>
      </c>
      <c r="BZ398" s="5" t="n">
        <v>0</v>
      </c>
      <c r="CA398" s="5" t="n">
        <v>11.787</v>
      </c>
      <c r="CB398" s="5" t="n">
        <v>0</v>
      </c>
      <c r="CC398" s="5" t="n">
        <v>78.125</v>
      </c>
      <c r="CD398" s="5" t="n">
        <v>7.95</v>
      </c>
      <c r="CE398" s="5" t="n">
        <v>-25.568</v>
      </c>
      <c r="CF398" s="5" t="n">
        <v>52.557</v>
      </c>
      <c r="CG398" s="5" t="n">
        <v>0</v>
      </c>
      <c r="CH398" s="5" t="n">
        <v>0</v>
      </c>
      <c r="CI398" s="5" t="n">
        <v>0</v>
      </c>
      <c r="CJ398" s="5" t="n">
        <v>0</v>
      </c>
      <c r="CK398" s="5" t="n">
        <v>0</v>
      </c>
      <c r="CL398" s="5" t="n">
        <v>0</v>
      </c>
      <c r="CM398" s="5" t="n">
        <v>0</v>
      </c>
      <c r="CN398" s="5" t="n">
        <v>0</v>
      </c>
      <c r="CO398" s="5" t="n">
        <v>0</v>
      </c>
      <c r="CP398" s="5" t="n">
        <v>0.141</v>
      </c>
      <c r="CQ398" s="5" t="n">
        <v>1.198</v>
      </c>
      <c r="CR398" s="5" t="n">
        <v>0</v>
      </c>
      <c r="CS398" s="5" t="n">
        <v>4.776</v>
      </c>
      <c r="CT398" s="5" t="n">
        <v>4.753</v>
      </c>
      <c r="CU398" s="5" t="n">
        <v>15.983</v>
      </c>
    </row>
    <row r="399">
      <c r="A399" s="5" t="inlineStr">
        <is>
          <t>JAM2022</t>
        </is>
      </c>
      <c r="B399" s="5" t="inlineStr">
        <is>
          <t>JAM</t>
        </is>
      </c>
      <c r="C399" s="5" t="inlineStr">
        <is>
          <t>JAM</t>
        </is>
      </c>
      <c r="D399" s="5" t="inlineStr">
        <is>
          <t>Jamaica</t>
        </is>
      </c>
      <c r="E399" s="5" t="n">
        <v>2022</v>
      </c>
      <c r="F399" s="5" t="n">
        <v>0.15</v>
      </c>
      <c r="G399" s="5" t="n">
        <v>10.338</v>
      </c>
      <c r="H399" s="5" t="n">
        <v>1.148</v>
      </c>
      <c r="I399" s="5" t="n">
        <v>0</v>
      </c>
      <c r="J399" s="5" t="n">
        <v>10.338</v>
      </c>
      <c r="K399" s="5" t="n">
        <v>0</v>
      </c>
      <c r="L399" s="5" t="n">
        <v>1</v>
      </c>
      <c r="M399" s="5" t="n">
        <v>8.848000000000001</v>
      </c>
      <c r="N399" s="5" t="n">
        <v>3.443</v>
      </c>
      <c r="O399" s="5" t="n">
        <v>0.261</v>
      </c>
      <c r="P399" s="5" t="n">
        <v>9.109</v>
      </c>
      <c r="Q399" s="5" t="n">
        <v>0</v>
      </c>
      <c r="R399" s="5" t="n">
        <v>1</v>
      </c>
      <c r="S399" s="5" t="n">
        <v>16.077</v>
      </c>
      <c r="T399" s="5" t="n">
        <v>6.886</v>
      </c>
      <c r="U399" s="5" t="n">
        <v>0.178</v>
      </c>
      <c r="V399" s="5" t="n">
        <v>18.489</v>
      </c>
      <c r="W399" s="5" t="n">
        <v>0.15</v>
      </c>
      <c r="X399" s="5" t="n">
        <v>1</v>
      </c>
      <c r="Y399" s="5" t="n">
        <v>30.657</v>
      </c>
      <c r="Z399" s="5" t="n">
        <v>4.114</v>
      </c>
      <c r="AA399" s="5" t="n">
        <v>0.031</v>
      </c>
      <c r="AB399" s="5" t="n">
        <v>30.688</v>
      </c>
      <c r="AC399" s="5" t="n">
        <v>0</v>
      </c>
      <c r="AD399" s="5" t="n">
        <v>1</v>
      </c>
      <c r="AE399" s="5" t="n">
        <v>31.89</v>
      </c>
      <c r="AF399" s="5" t="n">
        <v>7.453</v>
      </c>
      <c r="AG399" s="5" t="n">
        <v>0.015</v>
      </c>
      <c r="AH399" s="5" t="n">
        <v>31.906</v>
      </c>
      <c r="AI399" s="5" t="n">
        <v>0</v>
      </c>
      <c r="AJ399" s="5" t="n">
        <v>1</v>
      </c>
      <c r="AK399" s="5" t="n">
        <v>39.288</v>
      </c>
      <c r="AL399" s="5" t="n">
        <v>21.091</v>
      </c>
      <c r="AM399" s="5" t="n">
        <v>0.436</v>
      </c>
      <c r="AN399" s="5" t="n">
        <v>45.182</v>
      </c>
      <c r="AO399" s="5" t="n">
        <v>0.15</v>
      </c>
      <c r="AP399" s="5" t="n">
        <v>1</v>
      </c>
      <c r="AQ399" s="5" t="n">
        <v>0.896</v>
      </c>
      <c r="AR399" s="5" t="n">
        <v>0.123</v>
      </c>
      <c r="AS399" s="5" t="n">
        <v>0.428</v>
      </c>
      <c r="AT399" s="5" t="n">
        <v>1.523</v>
      </c>
      <c r="AU399" s="5" t="n">
        <v>0.15</v>
      </c>
      <c r="AV399" s="5" t="n">
        <v>1</v>
      </c>
      <c r="AW399" s="5" t="n">
        <v>0.89</v>
      </c>
      <c r="AX399" s="5" t="n">
        <v>0.123</v>
      </c>
      <c r="AY399" s="5" t="n">
        <v>0.519</v>
      </c>
      <c r="AZ399" s="5" t="n">
        <v>1.621</v>
      </c>
      <c r="BA399" s="5" t="n">
        <v>0.15</v>
      </c>
      <c r="BB399" s="5" t="n">
        <v>1</v>
      </c>
      <c r="BC399" s="5" t="n">
        <v>0.62</v>
      </c>
      <c r="BD399" s="5" t="n">
        <v>0.123</v>
      </c>
      <c r="BE399" s="5" t="n">
        <v>-0.274</v>
      </c>
      <c r="BF399" s="5" t="n">
        <v>0.399</v>
      </c>
      <c r="BG399" s="5" t="n">
        <v>0</v>
      </c>
      <c r="BH399" s="5" t="n">
        <v>0</v>
      </c>
      <c r="BI399" s="5" t="n">
        <v>0.608</v>
      </c>
      <c r="BJ399" s="5" t="n">
        <v>0.123</v>
      </c>
      <c r="BK399" s="5" t="n">
        <v>0.667</v>
      </c>
      <c r="BL399" s="5" t="n">
        <v>1.466</v>
      </c>
      <c r="BM399" s="5" t="n">
        <v>0.15</v>
      </c>
      <c r="BN399" s="5" t="n">
        <v>1</v>
      </c>
      <c r="BO399" s="5" t="n">
        <v>0</v>
      </c>
      <c r="BP399" s="5" t="n">
        <v>0</v>
      </c>
      <c r="BQ399" s="5" t="n">
        <v>0.21</v>
      </c>
      <c r="BR399" s="5" t="n">
        <v>0</v>
      </c>
      <c r="BS399" s="5" t="n">
        <v>0.667</v>
      </c>
      <c r="BT399" s="5" t="n">
        <v>0</v>
      </c>
      <c r="BU399" s="5" t="n">
        <v>0</v>
      </c>
      <c r="BV399" s="5" t="n">
        <v>0.704</v>
      </c>
      <c r="BW399" s="5" t="n">
        <v>0.15</v>
      </c>
      <c r="BX399" s="5" t="n">
        <v>0.667</v>
      </c>
      <c r="BY399" s="5" t="n">
        <v>12.729</v>
      </c>
      <c r="BZ399" s="5" t="n">
        <v>0</v>
      </c>
      <c r="CA399" s="5" t="n">
        <v>12.729</v>
      </c>
      <c r="CB399" s="5" t="n">
        <v>0</v>
      </c>
      <c r="CC399" s="5" t="n">
        <v>97.90000000000001</v>
      </c>
      <c r="CD399" s="5" t="n">
        <v>7.95</v>
      </c>
      <c r="CE399" s="5" t="n">
        <v>-33.629</v>
      </c>
      <c r="CF399" s="5" t="n">
        <v>64.271</v>
      </c>
      <c r="CG399" s="5" t="n">
        <v>0</v>
      </c>
      <c r="CH399" s="5" t="n">
        <v>0</v>
      </c>
      <c r="CI399" s="5" t="n">
        <v>0</v>
      </c>
      <c r="CJ399" s="5" t="n">
        <v>0</v>
      </c>
      <c r="CK399" s="5" t="n">
        <v>0</v>
      </c>
      <c r="CL399" s="5" t="n">
        <v>0</v>
      </c>
      <c r="CM399" s="5" t="n">
        <v>0</v>
      </c>
      <c r="CN399" s="5" t="n">
        <v>0</v>
      </c>
      <c r="CO399" s="5" t="n">
        <v>0</v>
      </c>
      <c r="CP399" s="5" t="n">
        <v>0.141</v>
      </c>
      <c r="CQ399" s="5" t="n">
        <v>1.294</v>
      </c>
      <c r="CR399" s="5" t="n">
        <v>0.003</v>
      </c>
      <c r="CS399" s="5" t="n">
        <v>5.158</v>
      </c>
      <c r="CT399" s="5" t="n">
        <v>10.485</v>
      </c>
      <c r="CU399" s="5" t="n">
        <v>29.494</v>
      </c>
    </row>
    <row r="400">
      <c r="A400" s="5" t="inlineStr">
        <is>
          <t>JAM2023</t>
        </is>
      </c>
      <c r="B400" s="5" t="inlineStr">
        <is>
          <t>JAM</t>
        </is>
      </c>
      <c r="C400" s="5" t="inlineStr">
        <is>
          <t>JAM</t>
        </is>
      </c>
      <c r="D400" s="5" t="inlineStr">
        <is>
          <t>Jamaica</t>
        </is>
      </c>
      <c r="E400" s="5" t="n">
        <v>2023</v>
      </c>
      <c r="F400" s="5" t="n">
        <v>0.15</v>
      </c>
      <c r="G400" s="5" t="n">
        <v>6.147</v>
      </c>
      <c r="H400" s="5" t="n">
        <v>1.286</v>
      </c>
      <c r="I400" s="5" t="n">
        <v>0</v>
      </c>
      <c r="J400" s="5" t="n">
        <v>6.147</v>
      </c>
      <c r="K400" s="5" t="n">
        <v>0</v>
      </c>
      <c r="L400" s="5" t="n">
        <v>1</v>
      </c>
      <c r="M400" s="5" t="n">
        <v>7.886</v>
      </c>
      <c r="N400" s="5" t="n">
        <v>3.857</v>
      </c>
      <c r="O400" s="5" t="n">
        <v>0.201</v>
      </c>
      <c r="P400" s="5" t="n">
        <v>8.087999999999999</v>
      </c>
      <c r="Q400" s="5" t="n">
        <v>0</v>
      </c>
      <c r="R400" s="5" t="n">
        <v>1</v>
      </c>
      <c r="S400" s="5" t="n">
        <v>12.575</v>
      </c>
      <c r="T400" s="5" t="n">
        <v>7.714</v>
      </c>
      <c r="U400" s="5" t="n">
        <v>0.209</v>
      </c>
      <c r="V400" s="5" t="n">
        <v>14.461</v>
      </c>
      <c r="W400" s="5" t="n">
        <v>0.15</v>
      </c>
      <c r="X400" s="5" t="n">
        <v>1</v>
      </c>
      <c r="Y400" s="5" t="n">
        <v>12.478</v>
      </c>
      <c r="Z400" s="5" t="n">
        <v>1.674</v>
      </c>
      <c r="AA400" s="5" t="n">
        <v>0.031</v>
      </c>
      <c r="AB400" s="5" t="n">
        <v>12.508</v>
      </c>
      <c r="AC400" s="5" t="n">
        <v>0</v>
      </c>
      <c r="AD400" s="5" t="n">
        <v>1</v>
      </c>
      <c r="AE400" s="5" t="n">
        <v>13.763</v>
      </c>
      <c r="AF400" s="5" t="n">
        <v>3.217</v>
      </c>
      <c r="AG400" s="5" t="n">
        <v>0.031</v>
      </c>
      <c r="AH400" s="5" t="n">
        <v>13.794</v>
      </c>
      <c r="AI400" s="5" t="n">
        <v>0</v>
      </c>
      <c r="AJ400" s="5" t="n">
        <v>1</v>
      </c>
      <c r="AK400" s="5" t="n">
        <v>21.477</v>
      </c>
      <c r="AL400" s="5" t="n">
        <v>11.53</v>
      </c>
      <c r="AM400" s="5" t="n">
        <v>0.357</v>
      </c>
      <c r="AN400" s="5" t="n">
        <v>24.699</v>
      </c>
      <c r="AO400" s="5" t="n">
        <v>0.15</v>
      </c>
      <c r="AP400" s="5" t="n">
        <v>1</v>
      </c>
      <c r="AQ400" s="5" t="n">
        <v>0.791</v>
      </c>
      <c r="AR400" s="5" t="n">
        <v>0.129</v>
      </c>
      <c r="AS400" s="5" t="n">
        <v>0.399</v>
      </c>
      <c r="AT400" s="5" t="n">
        <v>1.368</v>
      </c>
      <c r="AU400" s="5" t="n">
        <v>0.15</v>
      </c>
      <c r="AV400" s="5" t="n">
        <v>1</v>
      </c>
      <c r="AW400" s="5" t="n">
        <v>0.618</v>
      </c>
      <c r="AX400" s="5" t="n">
        <v>0.129</v>
      </c>
      <c r="AY400" s="5" t="n">
        <v>0.614</v>
      </c>
      <c r="AZ400" s="5" t="n">
        <v>1.417</v>
      </c>
      <c r="BA400" s="5" t="n">
        <v>0.15</v>
      </c>
      <c r="BB400" s="5" t="n">
        <v>1</v>
      </c>
      <c r="BC400" s="5" t="n">
        <v>0.554</v>
      </c>
      <c r="BD400" s="5" t="n">
        <v>0.129</v>
      </c>
      <c r="BE400" s="5" t="n">
        <v>-0.216</v>
      </c>
      <c r="BF400" s="5" t="n">
        <v>0.389</v>
      </c>
      <c r="BG400" s="5" t="n">
        <v>0</v>
      </c>
      <c r="BH400" s="5" t="n">
        <v>0</v>
      </c>
      <c r="BI400" s="5" t="n">
        <v>0.5570000000000001</v>
      </c>
      <c r="BJ400" s="5" t="n">
        <v>0.129</v>
      </c>
      <c r="BK400" s="5" t="n">
        <v>0.733</v>
      </c>
      <c r="BL400" s="5" t="n">
        <v>1.484</v>
      </c>
      <c r="BM400" s="5" t="n">
        <v>0.15</v>
      </c>
      <c r="BN400" s="5" t="n">
        <v>1</v>
      </c>
      <c r="BO400" s="5" t="n">
        <v>0</v>
      </c>
      <c r="BP400" s="5" t="n">
        <v>0</v>
      </c>
      <c r="BQ400" s="5" t="n">
        <v>0.21</v>
      </c>
      <c r="BR400" s="5" t="n">
        <v>0</v>
      </c>
      <c r="BS400" s="5" t="n">
        <v>0.667</v>
      </c>
      <c r="BT400" s="5" t="n">
        <v>0</v>
      </c>
      <c r="BU400" s="5" t="n">
        <v>0</v>
      </c>
      <c r="BV400" s="5" t="n">
        <v>0.704</v>
      </c>
      <c r="BW400" s="5" t="n">
        <v>0.15</v>
      </c>
      <c r="BX400" s="5" t="n">
        <v>0.667</v>
      </c>
      <c r="BY400" s="5" t="n">
        <v>13.254</v>
      </c>
      <c r="BZ400" s="5" t="n">
        <v>0</v>
      </c>
      <c r="CA400" s="5" t="n">
        <v>13.254</v>
      </c>
      <c r="CB400" s="5" t="n">
        <v>0</v>
      </c>
      <c r="CC400" s="5" t="n">
        <v>83.248</v>
      </c>
      <c r="CD400" s="5" t="n">
        <v>7.95</v>
      </c>
      <c r="CE400" s="5" t="n">
        <v>-26.705</v>
      </c>
      <c r="CF400" s="5" t="n">
        <v>56.543</v>
      </c>
      <c r="CG400" s="5" t="n">
        <v>0</v>
      </c>
      <c r="CH400" s="5" t="n">
        <v>0</v>
      </c>
      <c r="CI400" s="5" t="n">
        <v>0</v>
      </c>
      <c r="CJ400" s="5" t="n">
        <v>0</v>
      </c>
      <c r="CK400" s="5" t="n">
        <v>0</v>
      </c>
      <c r="CL400" s="5" t="n">
        <v>0</v>
      </c>
      <c r="CM400" s="5" t="n">
        <v>0</v>
      </c>
      <c r="CN400" s="5" t="n">
        <v>0</v>
      </c>
      <c r="CO400" s="5" t="n">
        <v>0</v>
      </c>
      <c r="CP400" s="5" t="n">
        <v>0</v>
      </c>
      <c r="CQ400" s="5" t="n">
        <v>1.348</v>
      </c>
      <c r="CR400" s="5" t="n">
        <v>0</v>
      </c>
      <c r="CS400" s="5" t="n">
        <v>5.37</v>
      </c>
      <c r="CT400" s="5" t="n">
        <v>4.861</v>
      </c>
      <c r="CU400" s="5" t="n">
        <v>11.192</v>
      </c>
    </row>
    <row r="401">
      <c r="A401" s="5" t="inlineStr">
        <is>
          <t>JAM2024</t>
        </is>
      </c>
      <c r="B401" s="5" t="inlineStr">
        <is>
          <t>JAM</t>
        </is>
      </c>
      <c r="C401" s="5" t="inlineStr">
        <is>
          <t>JAM</t>
        </is>
      </c>
      <c r="D401" s="5" t="inlineStr">
        <is>
          <t>Jamaica</t>
        </is>
      </c>
      <c r="E401" s="5" t="n">
        <v>2024</v>
      </c>
      <c r="F401" s="5" t="n">
        <v>0.15</v>
      </c>
      <c r="G401" s="5" t="n">
        <v>5.575</v>
      </c>
      <c r="H401" s="5" t="n">
        <v>1.324</v>
      </c>
      <c r="I401" s="5" t="n">
        <v>0</v>
      </c>
      <c r="J401" s="5" t="n">
        <v>5.575</v>
      </c>
      <c r="K401" s="5" t="n">
        <v>0</v>
      </c>
      <c r="L401" s="5" t="n">
        <v>1</v>
      </c>
      <c r="M401" s="5" t="n">
        <v>7.124</v>
      </c>
      <c r="N401" s="5" t="n">
        <v>3.971</v>
      </c>
      <c r="O401" s="5" t="n">
        <v>0.158</v>
      </c>
      <c r="P401" s="5" t="n">
        <v>7.281</v>
      </c>
      <c r="Q401" s="5" t="n">
        <v>0</v>
      </c>
      <c r="R401" s="5" t="n">
        <v>1</v>
      </c>
      <c r="S401" s="5" t="n">
        <v>12.193</v>
      </c>
      <c r="T401" s="5" t="n">
        <v>7.942</v>
      </c>
      <c r="U401" s="5" t="n">
        <v>0.249</v>
      </c>
      <c r="V401" s="5" t="n">
        <v>14.022</v>
      </c>
      <c r="W401" s="5" t="n">
        <v>0.15</v>
      </c>
      <c r="X401" s="5" t="n">
        <v>1</v>
      </c>
      <c r="Y401" s="5" t="n">
        <v>11.447</v>
      </c>
      <c r="Z401" s="5" t="n">
        <v>1.536</v>
      </c>
      <c r="AA401" s="5" t="n">
        <v>0.032</v>
      </c>
      <c r="AB401" s="5" t="n">
        <v>11.479</v>
      </c>
      <c r="AC401" s="5" t="n">
        <v>0</v>
      </c>
      <c r="AD401" s="5" t="n">
        <v>1</v>
      </c>
      <c r="AE401" s="5" t="n">
        <v>12.771</v>
      </c>
      <c r="AF401" s="5" t="n">
        <v>2.985</v>
      </c>
      <c r="AG401" s="5" t="n">
        <v>0.032</v>
      </c>
      <c r="AH401" s="5" t="n">
        <v>12.802</v>
      </c>
      <c r="AI401" s="5" t="n">
        <v>0</v>
      </c>
      <c r="AJ401" s="5" t="n">
        <v>1</v>
      </c>
      <c r="AK401" s="5" t="n">
        <v>20.712</v>
      </c>
      <c r="AL401" s="5" t="n">
        <v>11.119</v>
      </c>
      <c r="AM401" s="5" t="n">
        <v>0.423</v>
      </c>
      <c r="AN401" s="5" t="n">
        <v>23.819</v>
      </c>
      <c r="AO401" s="5" t="n">
        <v>0.15</v>
      </c>
      <c r="AP401" s="5" t="n">
        <v>1</v>
      </c>
      <c r="AQ401" s="5" t="n">
        <v>0.756</v>
      </c>
      <c r="AR401" s="5" t="n">
        <v>0.132</v>
      </c>
      <c r="AS401" s="5" t="n">
        <v>0.412</v>
      </c>
      <c r="AT401" s="5" t="n">
        <v>1.343</v>
      </c>
      <c r="AU401" s="5" t="n">
        <v>0.15</v>
      </c>
      <c r="AV401" s="5" t="n">
        <v>1</v>
      </c>
      <c r="AW401" s="5" t="n">
        <v>0.655</v>
      </c>
      <c r="AX401" s="5" t="n">
        <v>0.132</v>
      </c>
      <c r="AY401" s="5" t="n">
        <v>0.477</v>
      </c>
      <c r="AZ401" s="5" t="n">
        <v>1.302</v>
      </c>
      <c r="BA401" s="5" t="n">
        <v>0.15</v>
      </c>
      <c r="BB401" s="5" t="n">
        <v>1</v>
      </c>
      <c r="BC401" s="5" t="n">
        <v>0.534</v>
      </c>
      <c r="BD401" s="5" t="n">
        <v>0.132</v>
      </c>
      <c r="BE401" s="5" t="n">
        <v>-0.186</v>
      </c>
      <c r="BF401" s="5" t="n">
        <v>0.399</v>
      </c>
      <c r="BG401" s="5" t="n">
        <v>0</v>
      </c>
      <c r="BH401" s="5" t="n">
        <v>0</v>
      </c>
      <c r="BI401" s="5" t="n">
        <v>0.5679999999999999</v>
      </c>
      <c r="BJ401" s="5" t="n">
        <v>0.132</v>
      </c>
      <c r="BK401" s="5" t="n">
        <v>0.544</v>
      </c>
      <c r="BL401" s="5" t="n">
        <v>1.279</v>
      </c>
      <c r="BM401" s="5" t="n">
        <v>0.15</v>
      </c>
      <c r="BN401" s="5" t="n">
        <v>1</v>
      </c>
      <c r="BO401" s="5" t="n">
        <v>0</v>
      </c>
      <c r="BP401" s="5" t="n">
        <v>0</v>
      </c>
      <c r="BQ401" s="5" t="n">
        <v>0.182</v>
      </c>
      <c r="BR401" s="5" t="n">
        <v>0</v>
      </c>
      <c r="BS401" s="5" t="n">
        <v>0.667</v>
      </c>
      <c r="BT401" s="5" t="n">
        <v>0</v>
      </c>
      <c r="BU401" s="5" t="n">
        <v>0</v>
      </c>
      <c r="BV401" s="5" t="n">
        <v>0.741</v>
      </c>
      <c r="BW401" s="5" t="n">
        <v>0.15</v>
      </c>
      <c r="BX401" s="5" t="n">
        <v>0.667</v>
      </c>
      <c r="BY401" s="5" t="n">
        <v>13.646</v>
      </c>
      <c r="BZ401" s="5" t="n">
        <v>0</v>
      </c>
      <c r="CA401" s="5" t="n">
        <v>13.646</v>
      </c>
      <c r="CB401" s="5" t="n">
        <v>0</v>
      </c>
      <c r="CC401" s="5" t="n">
        <v>82.58799999999999</v>
      </c>
      <c r="CD401" s="5" t="n">
        <v>7.95</v>
      </c>
      <c r="CE401" s="5" t="n">
        <v>-26.107</v>
      </c>
      <c r="CF401" s="5" t="n">
        <v>56.481</v>
      </c>
      <c r="CG401" s="5" t="n">
        <v>0</v>
      </c>
      <c r="CH401" s="5" t="n">
        <v>0</v>
      </c>
      <c r="CI401" s="5" t="n">
        <v>0</v>
      </c>
      <c r="CJ401" s="5" t="n">
        <v>0</v>
      </c>
      <c r="CK401" s="5" t="n">
        <v>0</v>
      </c>
      <c r="CL401" s="5" t="n">
        <v>0</v>
      </c>
      <c r="CM401" s="5" t="n">
        <v>0</v>
      </c>
      <c r="CN401" s="5" t="n">
        <v>0</v>
      </c>
      <c r="CO401" s="5" t="n">
        <v>0</v>
      </c>
      <c r="CP401" s="5" t="n">
        <v>0</v>
      </c>
      <c r="CQ401" s="5" t="n">
        <v>1.387</v>
      </c>
      <c r="CR401" s="5" t="n">
        <v>0</v>
      </c>
      <c r="CS401" s="5" t="n">
        <v>5.529</v>
      </c>
      <c r="CT401" s="5" t="n">
        <v>4.251</v>
      </c>
      <c r="CU401" s="5" t="n">
        <v>10.123</v>
      </c>
    </row>
    <row r="402">
      <c r="A402" s="5" t="inlineStr">
        <is>
          <t>JPN2021</t>
        </is>
      </c>
      <c r="B402" s="5" t="inlineStr">
        <is>
          <t>JPN</t>
        </is>
      </c>
      <c r="C402" s="5" t="inlineStr">
        <is>
          <t>JPN</t>
        </is>
      </c>
      <c r="D402" s="5" t="inlineStr">
        <is>
          <t>Japan</t>
        </is>
      </c>
      <c r="E402" s="5" t="n">
        <v>2021</v>
      </c>
      <c r="F402" s="5" t="n">
        <v>0.1</v>
      </c>
      <c r="G402" s="5" t="n">
        <v>4.565</v>
      </c>
      <c r="H402" s="5" t="n">
        <v>0.999</v>
      </c>
      <c r="I402" s="5" t="n">
        <v>0.425</v>
      </c>
      <c r="J402" s="5" t="n">
        <v>4.99</v>
      </c>
      <c r="K402" s="5" t="n">
        <v>0</v>
      </c>
      <c r="L402" s="5" t="n">
        <v>1</v>
      </c>
      <c r="M402" s="5" t="n">
        <v>4.633</v>
      </c>
      <c r="N402" s="5" t="n">
        <v>2.1</v>
      </c>
      <c r="O402" s="5" t="n">
        <v>0.357</v>
      </c>
      <c r="P402" s="5" t="n">
        <v>4.99</v>
      </c>
      <c r="Q402" s="5" t="n">
        <v>0</v>
      </c>
      <c r="R402" s="5" t="n">
        <v>1</v>
      </c>
      <c r="S402" s="5" t="n">
        <v>11.632</v>
      </c>
      <c r="T402" s="5" t="n">
        <v>6.86</v>
      </c>
      <c r="U402" s="5" t="n">
        <v>0.393</v>
      </c>
      <c r="V402" s="5" t="n">
        <v>13.228</v>
      </c>
      <c r="W402" s="5" t="n">
        <v>0.1</v>
      </c>
      <c r="X402" s="5" t="n">
        <v>1</v>
      </c>
      <c r="Y402" s="5" t="n">
        <v>20.239</v>
      </c>
      <c r="Z402" s="5" t="n">
        <v>2.236</v>
      </c>
      <c r="AA402" s="5" t="n">
        <v>1.91</v>
      </c>
      <c r="AB402" s="5" t="n">
        <v>22.149</v>
      </c>
      <c r="AC402" s="5" t="n">
        <v>0</v>
      </c>
      <c r="AD402" s="5" t="n">
        <v>1</v>
      </c>
      <c r="AE402" s="5" t="n">
        <v>20.221</v>
      </c>
      <c r="AF402" s="5" t="n">
        <v>3.979</v>
      </c>
      <c r="AG402" s="5" t="n">
        <v>1.928</v>
      </c>
      <c r="AH402" s="5" t="n">
        <v>22.149</v>
      </c>
      <c r="AI402" s="5" t="n">
        <v>0</v>
      </c>
      <c r="AJ402" s="5" t="n">
        <v>1</v>
      </c>
      <c r="AK402" s="5" t="n">
        <v>24.579</v>
      </c>
      <c r="AL402" s="5" t="n">
        <v>12.064</v>
      </c>
      <c r="AM402" s="5" t="n">
        <v>1.76</v>
      </c>
      <c r="AN402" s="5" t="n">
        <v>28.974</v>
      </c>
      <c r="AO402" s="5" t="n">
        <v>0.1</v>
      </c>
      <c r="AP402" s="5" t="n">
        <v>1</v>
      </c>
      <c r="AQ402" s="5" t="n">
        <v>0.621</v>
      </c>
      <c r="AR402" s="5" t="n">
        <v>0.114</v>
      </c>
      <c r="AS402" s="5" t="n">
        <v>0.572</v>
      </c>
      <c r="AT402" s="5" t="n">
        <v>1.312</v>
      </c>
      <c r="AU402" s="5" t="n">
        <v>0.1</v>
      </c>
      <c r="AV402" s="5" t="n">
        <v>1</v>
      </c>
      <c r="AW402" s="5" t="n">
        <v>0.593</v>
      </c>
      <c r="AX402" s="5" t="n">
        <v>0.114</v>
      </c>
      <c r="AY402" s="5" t="n">
        <v>0.47</v>
      </c>
      <c r="AZ402" s="5" t="n">
        <v>1.169</v>
      </c>
      <c r="BA402" s="5" t="n">
        <v>0.1</v>
      </c>
      <c r="BB402" s="5" t="n">
        <v>1</v>
      </c>
      <c r="BC402" s="5" t="n">
        <v>0.44</v>
      </c>
      <c r="BD402" s="5" t="n">
        <v>0.114</v>
      </c>
      <c r="BE402" s="5" t="n">
        <v>0.468</v>
      </c>
      <c r="BF402" s="5" t="n">
        <v>0.999</v>
      </c>
      <c r="BG402" s="5" t="n">
        <v>0.1</v>
      </c>
      <c r="BH402" s="5" t="n">
        <v>1</v>
      </c>
      <c r="BI402" s="5" t="n">
        <v>0.5600000000000001</v>
      </c>
      <c r="BJ402" s="5" t="n">
        <v>0.114</v>
      </c>
      <c r="BK402" s="5" t="n">
        <v>0.175</v>
      </c>
      <c r="BL402" s="5" t="n">
        <v>0.8080000000000001</v>
      </c>
      <c r="BM402" s="5" t="n">
        <v>0.1</v>
      </c>
      <c r="BN402" s="5" t="n">
        <v>1</v>
      </c>
      <c r="BO402" s="5" t="n">
        <v>0</v>
      </c>
      <c r="BP402" s="5" t="n">
        <v>0.003</v>
      </c>
      <c r="BQ402" s="5" t="n">
        <v>0.136</v>
      </c>
      <c r="BR402" s="5" t="n">
        <v>0</v>
      </c>
      <c r="BS402" s="5" t="n">
        <v>1</v>
      </c>
      <c r="BT402" s="5" t="n">
        <v>0</v>
      </c>
      <c r="BU402" s="5" t="n">
        <v>0.004</v>
      </c>
      <c r="BV402" s="5" t="n">
        <v>0.236</v>
      </c>
      <c r="BW402" s="5" t="n">
        <v>0.1</v>
      </c>
      <c r="BX402" s="5" t="n">
        <v>0.833</v>
      </c>
      <c r="BY402" s="5" t="n">
        <v>11.787</v>
      </c>
      <c r="BZ402" s="5" t="n">
        <v>0</v>
      </c>
      <c r="CA402" s="5" t="n">
        <v>11.787</v>
      </c>
      <c r="CB402" s="5" t="n">
        <v>0</v>
      </c>
      <c r="CC402" s="5" t="n">
        <v>81.69499999999999</v>
      </c>
      <c r="CD402" s="5" t="n">
        <v>7.95</v>
      </c>
      <c r="CE402" s="5" t="n">
        <v>9.481</v>
      </c>
      <c r="CF402" s="5" t="n">
        <v>100.294</v>
      </c>
      <c r="CG402" s="5" t="n">
        <v>0.1</v>
      </c>
      <c r="CH402" s="5" t="n">
        <v>1</v>
      </c>
      <c r="CI402" s="5" t="n">
        <v>0</v>
      </c>
      <c r="CJ402" s="5" t="n">
        <v>0</v>
      </c>
      <c r="CK402" s="5" t="n">
        <v>0</v>
      </c>
      <c r="CL402" s="5" t="n">
        <v>0</v>
      </c>
      <c r="CM402" s="5" t="n">
        <v>0</v>
      </c>
      <c r="CN402" s="5" t="n">
        <v>0.705</v>
      </c>
      <c r="CO402" s="5" t="n">
        <v>0.111</v>
      </c>
      <c r="CP402" s="5" t="n">
        <v>0</v>
      </c>
      <c r="CQ402" s="5" t="n">
        <v>1.198</v>
      </c>
      <c r="CR402" s="5" t="n">
        <v>0</v>
      </c>
      <c r="CS402" s="5" t="n">
        <v>2.122</v>
      </c>
      <c r="CT402" s="5" t="n">
        <v>4.772</v>
      </c>
      <c r="CU402" s="5" t="n">
        <v>9.760999999999999</v>
      </c>
    </row>
    <row r="403">
      <c r="A403" s="5" t="inlineStr">
        <is>
          <t>JPN2022</t>
        </is>
      </c>
      <c r="B403" s="5" t="inlineStr">
        <is>
          <t>JPN</t>
        </is>
      </c>
      <c r="C403" s="5" t="inlineStr">
        <is>
          <t>JPN</t>
        </is>
      </c>
      <c r="D403" s="5" t="inlineStr">
        <is>
          <t>Japan</t>
        </is>
      </c>
      <c r="E403" s="5" t="n">
        <v>2022</v>
      </c>
      <c r="F403" s="5" t="n">
        <v>0.1</v>
      </c>
      <c r="G403" s="5" t="n">
        <v>10.216</v>
      </c>
      <c r="H403" s="5" t="n">
        <v>1.586</v>
      </c>
      <c r="I403" s="5" t="n">
        <v>0.423</v>
      </c>
      <c r="J403" s="5" t="n">
        <v>10.638</v>
      </c>
      <c r="K403" s="5" t="n">
        <v>0</v>
      </c>
      <c r="L403" s="5" t="n">
        <v>1</v>
      </c>
      <c r="M403" s="5" t="n">
        <v>10.181</v>
      </c>
      <c r="N403" s="5" t="n">
        <v>4.204</v>
      </c>
      <c r="O403" s="5" t="n">
        <v>0.458</v>
      </c>
      <c r="P403" s="5" t="n">
        <v>10.638</v>
      </c>
      <c r="Q403" s="5" t="n">
        <v>0</v>
      </c>
      <c r="R403" s="5" t="n">
        <v>1</v>
      </c>
      <c r="S403" s="5" t="n">
        <v>17.555</v>
      </c>
      <c r="T403" s="5" t="n">
        <v>7.408</v>
      </c>
      <c r="U403" s="5" t="n">
        <v>0.528</v>
      </c>
      <c r="V403" s="5" t="n">
        <v>19.744</v>
      </c>
      <c r="W403" s="5" t="n">
        <v>0.1</v>
      </c>
      <c r="X403" s="5" t="n">
        <v>1</v>
      </c>
      <c r="Y403" s="5" t="n">
        <v>27.894</v>
      </c>
      <c r="Z403" s="5" t="n">
        <v>2.926</v>
      </c>
      <c r="AA403" s="5" t="n">
        <v>-2.103</v>
      </c>
      <c r="AB403" s="5" t="n">
        <v>25.791</v>
      </c>
      <c r="AC403" s="5" t="n">
        <v>0</v>
      </c>
      <c r="AD403" s="5" t="n">
        <v>1</v>
      </c>
      <c r="AE403" s="5" t="n">
        <v>27.968</v>
      </c>
      <c r="AF403" s="5" t="n">
        <v>5.185</v>
      </c>
      <c r="AG403" s="5" t="n">
        <v>-2.177</v>
      </c>
      <c r="AH403" s="5" t="n">
        <v>25.791</v>
      </c>
      <c r="AI403" s="5" t="n">
        <v>0</v>
      </c>
      <c r="AJ403" s="5" t="n">
        <v>1</v>
      </c>
      <c r="AK403" s="5" t="n">
        <v>32.874</v>
      </c>
      <c r="AL403" s="5" t="n">
        <v>15.699</v>
      </c>
      <c r="AM403" s="5" t="n">
        <v>-1.572</v>
      </c>
      <c r="AN403" s="5" t="n">
        <v>34.433</v>
      </c>
      <c r="AO403" s="5" t="n">
        <v>0.1</v>
      </c>
      <c r="AP403" s="5" t="n">
        <v>1</v>
      </c>
      <c r="AQ403" s="5" t="n">
        <v>0.847</v>
      </c>
      <c r="AR403" s="5" t="n">
        <v>0.123</v>
      </c>
      <c r="AS403" s="5" t="n">
        <v>0.247</v>
      </c>
      <c r="AT403" s="5" t="n">
        <v>1.203</v>
      </c>
      <c r="AU403" s="5" t="n">
        <v>0.1</v>
      </c>
      <c r="AV403" s="5" t="n">
        <v>1</v>
      </c>
      <c r="AW403" s="5" t="n">
        <v>0.947</v>
      </c>
      <c r="AX403" s="5" t="n">
        <v>0.123</v>
      </c>
      <c r="AY403" s="5" t="n">
        <v>0.043</v>
      </c>
      <c r="AZ403" s="5" t="n">
        <v>1.088</v>
      </c>
      <c r="BA403" s="5" t="n">
        <v>0.1</v>
      </c>
      <c r="BB403" s="5" t="n">
        <v>1</v>
      </c>
      <c r="BC403" s="5" t="n">
        <v>0.589</v>
      </c>
      <c r="BD403" s="5" t="n">
        <v>0.123</v>
      </c>
      <c r="BE403" s="5" t="n">
        <v>0.299</v>
      </c>
      <c r="BF403" s="5" t="n">
        <v>0.976</v>
      </c>
      <c r="BG403" s="5" t="n">
        <v>0.1</v>
      </c>
      <c r="BH403" s="5" t="n">
        <v>1</v>
      </c>
      <c r="BI403" s="5" t="n">
        <v>0.6889999999999999</v>
      </c>
      <c r="BJ403" s="5" t="n">
        <v>0.123</v>
      </c>
      <c r="BK403" s="5" t="n">
        <v>0.04</v>
      </c>
      <c r="BL403" s="5" t="n">
        <v>0.802</v>
      </c>
      <c r="BM403" s="5" t="n">
        <v>0.1</v>
      </c>
      <c r="BN403" s="5" t="n">
        <v>1</v>
      </c>
      <c r="BO403" s="5" t="n">
        <v>0</v>
      </c>
      <c r="BP403" s="5" t="n">
        <v>0.003</v>
      </c>
      <c r="BQ403" s="5" t="n">
        <v>0.157</v>
      </c>
      <c r="BR403" s="5" t="n">
        <v>0</v>
      </c>
      <c r="BS403" s="5" t="n">
        <v>1</v>
      </c>
      <c r="BT403" s="5" t="n">
        <v>0</v>
      </c>
      <c r="BU403" s="5" t="n">
        <v>0.004</v>
      </c>
      <c r="BV403" s="5" t="n">
        <v>0.235</v>
      </c>
      <c r="BW403" s="5" t="n">
        <v>0.1</v>
      </c>
      <c r="BX403" s="5" t="n">
        <v>0.833</v>
      </c>
      <c r="BY403" s="5" t="n">
        <v>12.729</v>
      </c>
      <c r="BZ403" s="5" t="n">
        <v>0</v>
      </c>
      <c r="CA403" s="5" t="n">
        <v>12.729</v>
      </c>
      <c r="CB403" s="5" t="n">
        <v>0</v>
      </c>
      <c r="CC403" s="5" t="n">
        <v>102.477</v>
      </c>
      <c r="CD403" s="5" t="n">
        <v>7.95</v>
      </c>
      <c r="CE403" s="5" t="n">
        <v>-12.53</v>
      </c>
      <c r="CF403" s="5" t="n">
        <v>98.941</v>
      </c>
      <c r="CG403" s="5" t="n">
        <v>0.1</v>
      </c>
      <c r="CH403" s="5" t="n">
        <v>1</v>
      </c>
      <c r="CI403" s="5" t="n">
        <v>0</v>
      </c>
      <c r="CJ403" s="5" t="n">
        <v>0</v>
      </c>
      <c r="CK403" s="5" t="n">
        <v>0</v>
      </c>
      <c r="CL403" s="5" t="n">
        <v>0</v>
      </c>
      <c r="CM403" s="5" t="n">
        <v>0</v>
      </c>
      <c r="CN403" s="5" t="n">
        <v>0.758</v>
      </c>
      <c r="CO403" s="5" t="n">
        <v>0.114</v>
      </c>
      <c r="CP403" s="5" t="n">
        <v>0</v>
      </c>
      <c r="CQ403" s="5" t="n">
        <v>1.294</v>
      </c>
      <c r="CR403" s="5" t="n">
        <v>0</v>
      </c>
      <c r="CS403" s="5" t="n">
        <v>2.292</v>
      </c>
      <c r="CT403" s="5" t="n">
        <v>10.146</v>
      </c>
      <c r="CU403" s="5" t="n">
        <v>17.325</v>
      </c>
    </row>
    <row r="404">
      <c r="A404" s="5" t="inlineStr">
        <is>
          <t>JPN2023</t>
        </is>
      </c>
      <c r="B404" s="5" t="inlineStr">
        <is>
          <t>JPN</t>
        </is>
      </c>
      <c r="C404" s="5" t="inlineStr">
        <is>
          <t>JPN</t>
        </is>
      </c>
      <c r="D404" s="5" t="inlineStr">
        <is>
          <t>Japan</t>
        </is>
      </c>
      <c r="E404" s="5" t="n">
        <v>2023</v>
      </c>
      <c r="F404" s="5" t="n">
        <v>0.1</v>
      </c>
      <c r="G404" s="5" t="n">
        <v>8.067</v>
      </c>
      <c r="H404" s="5" t="n">
        <v>1.837</v>
      </c>
      <c r="I404" s="5" t="n">
        <v>0.387</v>
      </c>
      <c r="J404" s="5" t="n">
        <v>8.452999999999999</v>
      </c>
      <c r="K404" s="5" t="n">
        <v>0</v>
      </c>
      <c r="L404" s="5" t="n">
        <v>1</v>
      </c>
      <c r="M404" s="5" t="n">
        <v>8.089</v>
      </c>
      <c r="N404" s="5" t="n">
        <v>4.012</v>
      </c>
      <c r="O404" s="5" t="n">
        <v>0.364</v>
      </c>
      <c r="P404" s="5" t="n">
        <v>8.452999999999999</v>
      </c>
      <c r="Q404" s="5" t="n">
        <v>0</v>
      </c>
      <c r="R404" s="5" t="n">
        <v>1</v>
      </c>
      <c r="S404" s="5" t="n">
        <v>14.993</v>
      </c>
      <c r="T404" s="5" t="n">
        <v>7.714</v>
      </c>
      <c r="U404" s="5" t="n">
        <v>0.532</v>
      </c>
      <c r="V404" s="5" t="n">
        <v>16.89</v>
      </c>
      <c r="W404" s="5" t="n">
        <v>0.1</v>
      </c>
      <c r="X404" s="5" t="n">
        <v>1</v>
      </c>
      <c r="Y404" s="5" t="n">
        <v>23.48</v>
      </c>
      <c r="Z404" s="5" t="n">
        <v>2.63</v>
      </c>
      <c r="AA404" s="5" t="n">
        <v>-0.545</v>
      </c>
      <c r="AB404" s="5" t="n">
        <v>22.934</v>
      </c>
      <c r="AC404" s="5" t="n">
        <v>0</v>
      </c>
      <c r="AD404" s="5" t="n">
        <v>1</v>
      </c>
      <c r="AE404" s="5" t="n">
        <v>23.604</v>
      </c>
      <c r="AF404" s="5" t="n">
        <v>4.701</v>
      </c>
      <c r="AG404" s="5" t="n">
        <v>-0.67</v>
      </c>
      <c r="AH404" s="5" t="n">
        <v>22.934</v>
      </c>
      <c r="AI404" s="5" t="n">
        <v>0</v>
      </c>
      <c r="AJ404" s="5" t="n">
        <v>1</v>
      </c>
      <c r="AK404" s="5" t="n">
        <v>28.646</v>
      </c>
      <c r="AL404" s="5" t="n">
        <v>14.191</v>
      </c>
      <c r="AM404" s="5" t="n">
        <v>-7.275</v>
      </c>
      <c r="AN404" s="5" t="n">
        <v>23.508</v>
      </c>
      <c r="AO404" s="5" t="n">
        <v>0.1</v>
      </c>
      <c r="AP404" s="5" t="n">
        <v>1</v>
      </c>
      <c r="AQ404" s="5" t="n">
        <v>0.749</v>
      </c>
      <c r="AR404" s="5" t="n">
        <v>0.129</v>
      </c>
      <c r="AS404" s="5" t="n">
        <v>0.285</v>
      </c>
      <c r="AT404" s="5" t="n">
        <v>1.137</v>
      </c>
      <c r="AU404" s="5" t="n">
        <v>0.1</v>
      </c>
      <c r="AV404" s="5" t="n">
        <v>1</v>
      </c>
      <c r="AW404" s="5" t="n">
        <v>0.783</v>
      </c>
      <c r="AX404" s="5" t="n">
        <v>0.129</v>
      </c>
      <c r="AY404" s="5" t="n">
        <v>0.16</v>
      </c>
      <c r="AZ404" s="5" t="n">
        <v>1.037</v>
      </c>
      <c r="BA404" s="5" t="n">
        <v>0.1</v>
      </c>
      <c r="BB404" s="5" t="n">
        <v>1</v>
      </c>
      <c r="BC404" s="5" t="n">
        <v>0.527</v>
      </c>
      <c r="BD404" s="5" t="n">
        <v>0.129</v>
      </c>
      <c r="BE404" s="5" t="n">
        <v>0.288</v>
      </c>
      <c r="BF404" s="5" t="n">
        <v>0.897</v>
      </c>
      <c r="BG404" s="5" t="n">
        <v>0.1</v>
      </c>
      <c r="BH404" s="5" t="n">
        <v>1</v>
      </c>
      <c r="BI404" s="5" t="n">
        <v>0.64</v>
      </c>
      <c r="BJ404" s="5" t="n">
        <v>0.129</v>
      </c>
      <c r="BK404" s="5" t="n">
        <v>0.051</v>
      </c>
      <c r="BL404" s="5" t="n">
        <v>0.76</v>
      </c>
      <c r="BM404" s="5" t="n">
        <v>0.1</v>
      </c>
      <c r="BN404" s="5" t="n">
        <v>1</v>
      </c>
      <c r="BO404" s="5" t="n">
        <v>0</v>
      </c>
      <c r="BP404" s="5" t="n">
        <v>0.008</v>
      </c>
      <c r="BQ404" s="5" t="n">
        <v>0.162</v>
      </c>
      <c r="BR404" s="5" t="n">
        <v>0</v>
      </c>
      <c r="BS404" s="5" t="n">
        <v>1</v>
      </c>
      <c r="BT404" s="5" t="n">
        <v>0</v>
      </c>
      <c r="BU404" s="5" t="n">
        <v>0.004</v>
      </c>
      <c r="BV404" s="5" t="n">
        <v>0.188</v>
      </c>
      <c r="BW404" s="5" t="n">
        <v>0.1</v>
      </c>
      <c r="BX404" s="5" t="n">
        <v>0.833</v>
      </c>
      <c r="BY404" s="5" t="n">
        <v>13.254</v>
      </c>
      <c r="BZ404" s="5" t="n">
        <v>0</v>
      </c>
      <c r="CA404" s="5" t="n">
        <v>13.254</v>
      </c>
      <c r="CB404" s="5" t="n">
        <v>0</v>
      </c>
      <c r="CC404" s="5" t="n">
        <v>87.07899999999999</v>
      </c>
      <c r="CD404" s="5" t="n">
        <v>7.95</v>
      </c>
      <c r="CE404" s="5" t="n">
        <v>-0.6879999999999999</v>
      </c>
      <c r="CF404" s="5" t="n">
        <v>95.03</v>
      </c>
      <c r="CG404" s="5" t="n">
        <v>0.1</v>
      </c>
      <c r="CH404" s="5" t="n">
        <v>1</v>
      </c>
      <c r="CI404" s="5" t="n">
        <v>0</v>
      </c>
      <c r="CJ404" s="5" t="n">
        <v>0</v>
      </c>
      <c r="CK404" s="5" t="n">
        <v>0</v>
      </c>
      <c r="CL404" s="5" t="n">
        <v>0</v>
      </c>
      <c r="CM404" s="5" t="n">
        <v>0</v>
      </c>
      <c r="CN404" s="5" t="n">
        <v>0.733</v>
      </c>
      <c r="CO404" s="5" t="n">
        <v>0.1</v>
      </c>
      <c r="CP404" s="5" t="n">
        <v>0</v>
      </c>
      <c r="CQ404" s="5" t="n">
        <v>1.348</v>
      </c>
      <c r="CR404" s="5" t="n">
        <v>0</v>
      </c>
      <c r="CS404" s="5" t="n">
        <v>2.387</v>
      </c>
      <c r="CT404" s="5" t="n">
        <v>7.279</v>
      </c>
      <c r="CU404" s="5" t="n">
        <v>12.859</v>
      </c>
    </row>
    <row r="405">
      <c r="A405" s="5" t="inlineStr">
        <is>
          <t>JPN2024</t>
        </is>
      </c>
      <c r="B405" s="5" t="inlineStr">
        <is>
          <t>JPN</t>
        </is>
      </c>
      <c r="C405" s="5" t="inlineStr">
        <is>
          <t>JPN</t>
        </is>
      </c>
      <c r="D405" s="5" t="inlineStr">
        <is>
          <t>Japan</t>
        </is>
      </c>
      <c r="E405" s="5" t="n">
        <v>2024</v>
      </c>
      <c r="F405" s="5" t="n">
        <v>0.1</v>
      </c>
      <c r="G405" s="5" t="n">
        <v>7.372</v>
      </c>
      <c r="H405" s="5" t="n">
        <v>1.868</v>
      </c>
      <c r="I405" s="5" t="n">
        <v>0.369</v>
      </c>
      <c r="J405" s="5" t="n">
        <v>7.741</v>
      </c>
      <c r="K405" s="5" t="n">
        <v>0</v>
      </c>
      <c r="L405" s="5" t="n">
        <v>1</v>
      </c>
      <c r="M405" s="5" t="n">
        <v>7.404</v>
      </c>
      <c r="N405" s="5" t="n">
        <v>4.033</v>
      </c>
      <c r="O405" s="5" t="n">
        <v>0.336</v>
      </c>
      <c r="P405" s="5" t="n">
        <v>7.741</v>
      </c>
      <c r="Q405" s="5" t="n">
        <v>0</v>
      </c>
      <c r="R405" s="5" t="n">
        <v>1</v>
      </c>
      <c r="S405" s="5" t="n">
        <v>13.453</v>
      </c>
      <c r="T405" s="5" t="n">
        <v>7.942</v>
      </c>
      <c r="U405" s="5" t="n">
        <v>0.532</v>
      </c>
      <c r="V405" s="5" t="n">
        <v>15.177</v>
      </c>
      <c r="W405" s="5" t="n">
        <v>0.1</v>
      </c>
      <c r="X405" s="5" t="n">
        <v>1</v>
      </c>
      <c r="Y405" s="5" t="n">
        <v>20.53</v>
      </c>
      <c r="Z405" s="5" t="n">
        <v>2.592</v>
      </c>
      <c r="AA405" s="5" t="n">
        <v>0.276</v>
      </c>
      <c r="AB405" s="5" t="n">
        <v>20.806</v>
      </c>
      <c r="AC405" s="5" t="n">
        <v>0</v>
      </c>
      <c r="AD405" s="5" t="n">
        <v>1</v>
      </c>
      <c r="AE405" s="5" t="n">
        <v>20.553</v>
      </c>
      <c r="AF405" s="5" t="n">
        <v>4.502</v>
      </c>
      <c r="AG405" s="5" t="n">
        <v>0.253</v>
      </c>
      <c r="AH405" s="5" t="n">
        <v>20.806</v>
      </c>
      <c r="AI405" s="5" t="n">
        <v>0</v>
      </c>
      <c r="AJ405" s="5" t="n">
        <v>1</v>
      </c>
      <c r="AK405" s="5" t="n">
        <v>22.154</v>
      </c>
      <c r="AL405" s="5" t="n">
        <v>11.268</v>
      </c>
      <c r="AM405" s="5" t="n">
        <v>-1.61</v>
      </c>
      <c r="AN405" s="5" t="n">
        <v>22.598</v>
      </c>
      <c r="AO405" s="5" t="n">
        <v>0.1</v>
      </c>
      <c r="AP405" s="5" t="n">
        <v>1</v>
      </c>
      <c r="AQ405" s="5" t="n">
        <v>0.72</v>
      </c>
      <c r="AR405" s="5" t="n">
        <v>0.132</v>
      </c>
      <c r="AS405" s="5" t="n">
        <v>0.254</v>
      </c>
      <c r="AT405" s="5" t="n">
        <v>1.072</v>
      </c>
      <c r="AU405" s="5" t="n">
        <v>0.1</v>
      </c>
      <c r="AV405" s="5" t="n">
        <v>1</v>
      </c>
      <c r="AW405" s="5" t="n">
        <v>0.734</v>
      </c>
      <c r="AX405" s="5" t="n">
        <v>0.132</v>
      </c>
      <c r="AY405" s="5" t="n">
        <v>0.155</v>
      </c>
      <c r="AZ405" s="5" t="n">
        <v>0.977</v>
      </c>
      <c r="BA405" s="5" t="n">
        <v>0.1</v>
      </c>
      <c r="BB405" s="5" t="n">
        <v>1</v>
      </c>
      <c r="BC405" s="5" t="n">
        <v>0.51</v>
      </c>
      <c r="BD405" s="5" t="n">
        <v>0.132</v>
      </c>
      <c r="BE405" s="5" t="n">
        <v>0.281</v>
      </c>
      <c r="BF405" s="5" t="n">
        <v>0.87</v>
      </c>
      <c r="BG405" s="5" t="n">
        <v>0.1</v>
      </c>
      <c r="BH405" s="5" t="n">
        <v>1</v>
      </c>
      <c r="BI405" s="5" t="n">
        <v>0.652</v>
      </c>
      <c r="BJ405" s="5" t="n">
        <v>0.132</v>
      </c>
      <c r="BK405" s="5" t="n">
        <v>-0.004</v>
      </c>
      <c r="BL405" s="5" t="n">
        <v>0.713</v>
      </c>
      <c r="BM405" s="5" t="n">
        <v>0.1</v>
      </c>
      <c r="BN405" s="5" t="n">
        <v>1</v>
      </c>
      <c r="BO405" s="5" t="n">
        <v>0</v>
      </c>
      <c r="BP405" s="5" t="n">
        <v>0.007</v>
      </c>
      <c r="BQ405" s="5" t="n">
        <v>0.135</v>
      </c>
      <c r="BR405" s="5" t="n">
        <v>0</v>
      </c>
      <c r="BS405" s="5" t="n">
        <v>1</v>
      </c>
      <c r="BT405" s="5" t="n">
        <v>0</v>
      </c>
      <c r="BU405" s="5" t="n">
        <v>0.004</v>
      </c>
      <c r="BV405" s="5" t="n">
        <v>0.189</v>
      </c>
      <c r="BW405" s="5" t="n">
        <v>0.1</v>
      </c>
      <c r="BX405" s="5" t="n">
        <v>0.833</v>
      </c>
      <c r="BY405" s="5" t="n">
        <v>13.646</v>
      </c>
      <c r="BZ405" s="5" t="n">
        <v>0</v>
      </c>
      <c r="CA405" s="5" t="n">
        <v>13.646</v>
      </c>
      <c r="CB405" s="5" t="n">
        <v>0</v>
      </c>
      <c r="CC405" s="5" t="n">
        <v>86.38500000000001</v>
      </c>
      <c r="CD405" s="5" t="n">
        <v>7.95</v>
      </c>
      <c r="CE405" s="5" t="n">
        <v>-3.654</v>
      </c>
      <c r="CF405" s="5" t="n">
        <v>91.005</v>
      </c>
      <c r="CG405" s="5" t="n">
        <v>0.1</v>
      </c>
      <c r="CH405" s="5" t="n">
        <v>1</v>
      </c>
      <c r="CI405" s="5" t="n">
        <v>0</v>
      </c>
      <c r="CJ405" s="5" t="n">
        <v>0</v>
      </c>
      <c r="CK405" s="5" t="n">
        <v>0</v>
      </c>
      <c r="CL405" s="5" t="n">
        <v>0</v>
      </c>
      <c r="CM405" s="5" t="n">
        <v>0</v>
      </c>
      <c r="CN405" s="5" t="n">
        <v>0.725</v>
      </c>
      <c r="CO405" s="5" t="n">
        <v>0.102</v>
      </c>
      <c r="CP405" s="5" t="n">
        <v>0</v>
      </c>
      <c r="CQ405" s="5" t="n">
        <v>1.387</v>
      </c>
      <c r="CR405" s="5" t="n">
        <v>0</v>
      </c>
      <c r="CS405" s="5" t="n">
        <v>2.457</v>
      </c>
      <c r="CT405" s="5" t="n">
        <v>5.511</v>
      </c>
      <c r="CU405" s="5" t="n">
        <v>11.183</v>
      </c>
    </row>
    <row r="406">
      <c r="A406" s="5" t="inlineStr">
        <is>
          <t>JOR2021</t>
        </is>
      </c>
      <c r="B406" s="5" t="inlineStr">
        <is>
          <t>JOR</t>
        </is>
      </c>
      <c r="C406" s="5" t="inlineStr">
        <is>
          <t>JOR</t>
        </is>
      </c>
      <c r="D406" s="5" t="inlineStr">
        <is>
          <t>Jordan</t>
        </is>
      </c>
      <c r="E406" s="5" t="n">
        <v>2021</v>
      </c>
      <c r="F406" s="5" t="n">
        <v>0.16</v>
      </c>
      <c r="G406" s="5" t="n">
        <v>5.897</v>
      </c>
      <c r="H406" s="5" t="n">
        <v>1.143</v>
      </c>
      <c r="I406" s="5" t="n">
        <v>0</v>
      </c>
      <c r="J406" s="5" t="n">
        <v>5.897</v>
      </c>
      <c r="K406" s="5" t="n">
        <v>0</v>
      </c>
      <c r="L406" s="5" t="n">
        <v>1</v>
      </c>
      <c r="M406" s="5" t="n">
        <v>7.964</v>
      </c>
      <c r="N406" s="5" t="n">
        <v>3.43</v>
      </c>
      <c r="O406" s="5" t="n">
        <v>0</v>
      </c>
      <c r="P406" s="5" t="n">
        <v>7.964</v>
      </c>
      <c r="Q406" s="5" t="n">
        <v>0</v>
      </c>
      <c r="R406" s="5" t="n">
        <v>1</v>
      </c>
      <c r="S406" s="5" t="n">
        <v>11.613</v>
      </c>
      <c r="T406" s="5" t="n">
        <v>6.86</v>
      </c>
      <c r="U406" s="5" t="n">
        <v>0</v>
      </c>
      <c r="V406" s="5" t="n">
        <v>13.471</v>
      </c>
      <c r="W406" s="5" t="n">
        <v>0.16</v>
      </c>
      <c r="X406" s="5" t="n">
        <v>1</v>
      </c>
      <c r="Y406" s="5" t="n">
        <v>12.117</v>
      </c>
      <c r="Z406" s="5" t="n">
        <v>1.947</v>
      </c>
      <c r="AA406" s="5" t="n">
        <v>-5.436</v>
      </c>
      <c r="AB406" s="5" t="n">
        <v>6.681</v>
      </c>
      <c r="AC406" s="5" t="n">
        <v>0</v>
      </c>
      <c r="AD406" s="5" t="n">
        <v>0</v>
      </c>
      <c r="AE406" s="5" t="n">
        <v>13.261</v>
      </c>
      <c r="AF406" s="5" t="n">
        <v>3.587</v>
      </c>
      <c r="AG406" s="5" t="n">
        <v>-6.58</v>
      </c>
      <c r="AH406" s="5" t="n">
        <v>6.681</v>
      </c>
      <c r="AI406" s="5" t="n">
        <v>0</v>
      </c>
      <c r="AJ406" s="5" t="n">
        <v>0</v>
      </c>
      <c r="AK406" s="5" t="n">
        <v>20.12</v>
      </c>
      <c r="AL406" s="5" t="n">
        <v>11.609</v>
      </c>
      <c r="AM406" s="5" t="n">
        <v>-12.82</v>
      </c>
      <c r="AN406" s="5" t="n">
        <v>7.3</v>
      </c>
      <c r="AO406" s="5" t="n">
        <v>0</v>
      </c>
      <c r="AP406" s="5" t="n">
        <v>0</v>
      </c>
      <c r="AQ406" s="5" t="n">
        <v>0.621</v>
      </c>
      <c r="AR406" s="5" t="n">
        <v>0.114</v>
      </c>
      <c r="AS406" s="5" t="n">
        <v>0.612</v>
      </c>
      <c r="AT406" s="5" t="n">
        <v>1.43</v>
      </c>
      <c r="AU406" s="5" t="n">
        <v>0.16</v>
      </c>
      <c r="AV406" s="5" t="n">
        <v>1</v>
      </c>
      <c r="AW406" s="5" t="n">
        <v>0.593</v>
      </c>
      <c r="AX406" s="5" t="n">
        <v>0.114</v>
      </c>
      <c r="AY406" s="5" t="n">
        <v>0.11</v>
      </c>
      <c r="AZ406" s="5" t="n">
        <v>0.8149999999999999</v>
      </c>
      <c r="BA406" s="5" t="n">
        <v>0.16</v>
      </c>
      <c r="BB406" s="5" t="n">
        <v>1</v>
      </c>
      <c r="BC406" s="5" t="n">
        <v>0.44</v>
      </c>
      <c r="BD406" s="5" t="n">
        <v>0.114</v>
      </c>
      <c r="BE406" s="5" t="n">
        <v>-0.076</v>
      </c>
      <c r="BF406" s="5" t="n">
        <v>0.423</v>
      </c>
      <c r="BG406" s="5" t="n">
        <v>0</v>
      </c>
      <c r="BH406" s="5" t="n">
        <v>0</v>
      </c>
      <c r="BI406" s="5" t="n">
        <v>0.5600000000000001</v>
      </c>
      <c r="BJ406" s="5" t="n">
        <v>0.114</v>
      </c>
      <c r="BK406" s="5" t="n">
        <v>0.105</v>
      </c>
      <c r="BL406" s="5" t="n">
        <v>0.772</v>
      </c>
      <c r="BM406" s="5" t="n">
        <v>0.16</v>
      </c>
      <c r="BN406" s="5" t="n">
        <v>1</v>
      </c>
      <c r="BO406" s="5" t="n">
        <v>0</v>
      </c>
      <c r="BP406" s="5" t="n">
        <v>0</v>
      </c>
      <c r="BQ406" s="5" t="n">
        <v>0.2</v>
      </c>
      <c r="BR406" s="5" t="n">
        <v>0</v>
      </c>
      <c r="BS406" s="5" t="n">
        <v>0.333</v>
      </c>
      <c r="BT406" s="5" t="n">
        <v>0</v>
      </c>
      <c r="BU406" s="5" t="n">
        <v>0</v>
      </c>
      <c r="BV406" s="5" t="n">
        <v>0.25</v>
      </c>
      <c r="BW406" s="5" t="n">
        <v>0.16</v>
      </c>
      <c r="BX406" s="5" t="n">
        <v>0.5</v>
      </c>
      <c r="BY406" s="5" t="n">
        <v>11.787</v>
      </c>
      <c r="BZ406" s="5" t="n">
        <v>0</v>
      </c>
      <c r="CA406" s="5" t="n">
        <v>11.787</v>
      </c>
      <c r="CB406" s="5" t="n">
        <v>0</v>
      </c>
      <c r="CC406" s="5" t="n">
        <v>81.69499999999999</v>
      </c>
      <c r="CD406" s="5" t="n">
        <v>7.95</v>
      </c>
      <c r="CE406" s="5" t="n">
        <v>-19.9</v>
      </c>
      <c r="CF406" s="5" t="n">
        <v>71.68300000000001</v>
      </c>
      <c r="CG406" s="5" t="n">
        <v>0</v>
      </c>
      <c r="CH406" s="5" t="n">
        <v>1</v>
      </c>
      <c r="CI406" s="5" t="n">
        <v>0</v>
      </c>
      <c r="CJ406" s="5" t="n">
        <v>0</v>
      </c>
      <c r="CK406" s="5" t="n">
        <v>0</v>
      </c>
      <c r="CL406" s="5" t="n">
        <v>0</v>
      </c>
      <c r="CM406" s="5" t="n">
        <v>0</v>
      </c>
      <c r="CN406" s="5" t="n">
        <v>0</v>
      </c>
      <c r="CO406" s="5" t="n">
        <v>0</v>
      </c>
      <c r="CP406" s="5" t="n">
        <v>0</v>
      </c>
      <c r="CQ406" s="5" t="n">
        <v>1.198</v>
      </c>
      <c r="CR406" s="5" t="n">
        <v>0</v>
      </c>
      <c r="CS406" s="5" t="n">
        <v>5.028</v>
      </c>
      <c r="CT406" s="5" t="n">
        <v>4.753</v>
      </c>
      <c r="CU406" s="5" t="n">
        <v>14.162</v>
      </c>
    </row>
    <row r="407">
      <c r="A407" s="5" t="inlineStr">
        <is>
          <t>JOR2022</t>
        </is>
      </c>
      <c r="B407" s="5" t="inlineStr">
        <is>
          <t>JOR</t>
        </is>
      </c>
      <c r="C407" s="5" t="inlineStr">
        <is>
          <t>JOR</t>
        </is>
      </c>
      <c r="D407" s="5" t="inlineStr">
        <is>
          <t>Jordan</t>
        </is>
      </c>
      <c r="E407" s="5" t="n">
        <v>2022</v>
      </c>
      <c r="F407" s="5" t="n">
        <v>0.16</v>
      </c>
      <c r="G407" s="5" t="n">
        <v>11.72</v>
      </c>
      <c r="H407" s="5" t="n">
        <v>1.235</v>
      </c>
      <c r="I407" s="5" t="n">
        <v>0</v>
      </c>
      <c r="J407" s="5" t="n">
        <v>11.72</v>
      </c>
      <c r="K407" s="5" t="n">
        <v>0</v>
      </c>
      <c r="L407" s="5" t="n">
        <v>1</v>
      </c>
      <c r="M407" s="5" t="n">
        <v>9.782999999999999</v>
      </c>
      <c r="N407" s="5" t="n">
        <v>3.704</v>
      </c>
      <c r="O407" s="5" t="n">
        <v>0</v>
      </c>
      <c r="P407" s="5" t="n">
        <v>9.782999999999999</v>
      </c>
      <c r="Q407" s="5" t="n">
        <v>0</v>
      </c>
      <c r="R407" s="5" t="n">
        <v>1</v>
      </c>
      <c r="S407" s="5" t="n">
        <v>17.893</v>
      </c>
      <c r="T407" s="5" t="n">
        <v>7.408</v>
      </c>
      <c r="U407" s="5" t="n">
        <v>0.212</v>
      </c>
      <c r="V407" s="5" t="n">
        <v>20.756</v>
      </c>
      <c r="W407" s="5" t="n">
        <v>0.16</v>
      </c>
      <c r="X407" s="5" t="n">
        <v>1</v>
      </c>
      <c r="Y407" s="5" t="n">
        <v>23.109</v>
      </c>
      <c r="Z407" s="5" t="n">
        <v>3.713</v>
      </c>
      <c r="AA407" s="5" t="n">
        <v>-15.732</v>
      </c>
      <c r="AB407" s="5" t="n">
        <v>7.377</v>
      </c>
      <c r="AC407" s="5" t="n">
        <v>0</v>
      </c>
      <c r="AD407" s="5" t="n">
        <v>0</v>
      </c>
      <c r="AE407" s="5" t="n">
        <v>24.32</v>
      </c>
      <c r="AF407" s="5" t="n">
        <v>6.578</v>
      </c>
      <c r="AG407" s="5" t="n">
        <v>-16.943</v>
      </c>
      <c r="AH407" s="5" t="n">
        <v>7.377</v>
      </c>
      <c r="AI407" s="5" t="n">
        <v>0</v>
      </c>
      <c r="AJ407" s="5" t="n">
        <v>0</v>
      </c>
      <c r="AK407" s="5" t="n">
        <v>31.586</v>
      </c>
      <c r="AL407" s="5" t="n">
        <v>18.225</v>
      </c>
      <c r="AM407" s="5" t="n">
        <v>-13.845</v>
      </c>
      <c r="AN407" s="5" t="n">
        <v>17.741</v>
      </c>
      <c r="AO407" s="5" t="n">
        <v>0</v>
      </c>
      <c r="AP407" s="5" t="n">
        <v>0</v>
      </c>
      <c r="AQ407" s="5" t="n">
        <v>0.847</v>
      </c>
      <c r="AR407" s="5" t="n">
        <v>0.123</v>
      </c>
      <c r="AS407" s="5" t="n">
        <v>0.5620000000000001</v>
      </c>
      <c r="AT407" s="5" t="n">
        <v>1.634</v>
      </c>
      <c r="AU407" s="5" t="n">
        <v>0.16</v>
      </c>
      <c r="AV407" s="5" t="n">
        <v>1</v>
      </c>
      <c r="AW407" s="5" t="n">
        <v>0.947</v>
      </c>
      <c r="AX407" s="5" t="n">
        <v>0.123</v>
      </c>
      <c r="AY407" s="5" t="n">
        <v>-0.073</v>
      </c>
      <c r="AZ407" s="5" t="n">
        <v>1.014</v>
      </c>
      <c r="BA407" s="5" t="n">
        <v>0.16</v>
      </c>
      <c r="BB407" s="5" t="n">
        <v>1</v>
      </c>
      <c r="BC407" s="5" t="n">
        <v>0.589</v>
      </c>
      <c r="BD407" s="5" t="n">
        <v>0.123</v>
      </c>
      <c r="BE407" s="5" t="n">
        <v>-0.224</v>
      </c>
      <c r="BF407" s="5" t="n">
        <v>0.423</v>
      </c>
      <c r="BG407" s="5" t="n">
        <v>0</v>
      </c>
      <c r="BH407" s="5" t="n">
        <v>0</v>
      </c>
      <c r="BI407" s="5" t="n">
        <v>0.6889999999999999</v>
      </c>
      <c r="BJ407" s="5" t="n">
        <v>0.123</v>
      </c>
      <c r="BK407" s="5" t="n">
        <v>0.183</v>
      </c>
      <c r="BL407" s="5" t="n">
        <v>1.011</v>
      </c>
      <c r="BM407" s="5" t="n">
        <v>0.16</v>
      </c>
      <c r="BN407" s="5" t="n">
        <v>1</v>
      </c>
      <c r="BO407" s="5" t="n">
        <v>0</v>
      </c>
      <c r="BP407" s="5" t="n">
        <v>0</v>
      </c>
      <c r="BQ407" s="5" t="n">
        <v>0.2</v>
      </c>
      <c r="BR407" s="5" t="n">
        <v>0</v>
      </c>
      <c r="BS407" s="5" t="n">
        <v>0.333</v>
      </c>
      <c r="BT407" s="5" t="n">
        <v>0</v>
      </c>
      <c r="BU407" s="5" t="n">
        <v>0</v>
      </c>
      <c r="BV407" s="5" t="n">
        <v>0.25</v>
      </c>
      <c r="BW407" s="5" t="n">
        <v>0.16</v>
      </c>
      <c r="BX407" s="5" t="n">
        <v>0.5</v>
      </c>
      <c r="BY407" s="5" t="n">
        <v>12.729</v>
      </c>
      <c r="BZ407" s="5" t="n">
        <v>0</v>
      </c>
      <c r="CA407" s="5" t="n">
        <v>12.729</v>
      </c>
      <c r="CB407" s="5" t="n">
        <v>0</v>
      </c>
      <c r="CC407" s="5" t="n">
        <v>102.477</v>
      </c>
      <c r="CD407" s="5" t="n">
        <v>7.95</v>
      </c>
      <c r="CE407" s="5" t="n">
        <v>-27.42</v>
      </c>
      <c r="CF407" s="5" t="n">
        <v>87.066</v>
      </c>
      <c r="CG407" s="5" t="n">
        <v>0</v>
      </c>
      <c r="CH407" s="5" t="n">
        <v>1</v>
      </c>
      <c r="CI407" s="5" t="n">
        <v>0</v>
      </c>
      <c r="CJ407" s="5" t="n">
        <v>0</v>
      </c>
      <c r="CK407" s="5" t="n">
        <v>0</v>
      </c>
      <c r="CL407" s="5" t="n">
        <v>0</v>
      </c>
      <c r="CM407" s="5" t="n">
        <v>0</v>
      </c>
      <c r="CN407" s="5" t="n">
        <v>0</v>
      </c>
      <c r="CO407" s="5" t="n">
        <v>0</v>
      </c>
      <c r="CP407" s="5" t="n">
        <v>0</v>
      </c>
      <c r="CQ407" s="5" t="n">
        <v>1.294</v>
      </c>
      <c r="CR407" s="5" t="n">
        <v>0.038</v>
      </c>
      <c r="CS407" s="5" t="n">
        <v>5.43</v>
      </c>
      <c r="CT407" s="5" t="n">
        <v>10.485</v>
      </c>
      <c r="CU407" s="5" t="n">
        <v>30.326</v>
      </c>
    </row>
    <row r="408">
      <c r="A408" s="5" t="inlineStr">
        <is>
          <t>JOR2023</t>
        </is>
      </c>
      <c r="B408" s="5" t="inlineStr">
        <is>
          <t>JOR</t>
        </is>
      </c>
      <c r="C408" s="5" t="inlineStr">
        <is>
          <t>JOR</t>
        </is>
      </c>
      <c r="D408" s="5" t="inlineStr">
        <is>
          <t>Jordan</t>
        </is>
      </c>
      <c r="E408" s="5" t="n">
        <v>2023</v>
      </c>
      <c r="F408" s="5" t="n">
        <v>0.16</v>
      </c>
      <c r="G408" s="5" t="n">
        <v>6.147</v>
      </c>
      <c r="H408" s="5" t="n">
        <v>1.286</v>
      </c>
      <c r="I408" s="5" t="n">
        <v>0</v>
      </c>
      <c r="J408" s="5" t="n">
        <v>6.147</v>
      </c>
      <c r="K408" s="5" t="n">
        <v>0</v>
      </c>
      <c r="L408" s="5" t="n">
        <v>1</v>
      </c>
      <c r="M408" s="5" t="n">
        <v>7.886</v>
      </c>
      <c r="N408" s="5" t="n">
        <v>3.857</v>
      </c>
      <c r="O408" s="5" t="n">
        <v>0</v>
      </c>
      <c r="P408" s="5" t="n">
        <v>7.886</v>
      </c>
      <c r="Q408" s="5" t="n">
        <v>0</v>
      </c>
      <c r="R408" s="5" t="n">
        <v>1</v>
      </c>
      <c r="S408" s="5" t="n">
        <v>12.575</v>
      </c>
      <c r="T408" s="5" t="n">
        <v>7.714</v>
      </c>
      <c r="U408" s="5" t="n">
        <v>0.223</v>
      </c>
      <c r="V408" s="5" t="n">
        <v>14.587</v>
      </c>
      <c r="W408" s="5" t="n">
        <v>0.16</v>
      </c>
      <c r="X408" s="5" t="n">
        <v>1</v>
      </c>
      <c r="Y408" s="5" t="n">
        <v>9.709</v>
      </c>
      <c r="Z408" s="5" t="n">
        <v>1.56</v>
      </c>
      <c r="AA408" s="5" t="n">
        <v>-3.112</v>
      </c>
      <c r="AB408" s="5" t="n">
        <v>6.597</v>
      </c>
      <c r="AC408" s="5" t="n">
        <v>0</v>
      </c>
      <c r="AD408" s="5" t="n">
        <v>0</v>
      </c>
      <c r="AE408" s="5" t="n">
        <v>10.969</v>
      </c>
      <c r="AF408" s="5" t="n">
        <v>2.967</v>
      </c>
      <c r="AG408" s="5" t="n">
        <v>-4.372</v>
      </c>
      <c r="AH408" s="5" t="n">
        <v>6.597</v>
      </c>
      <c r="AI408" s="5" t="n">
        <v>0</v>
      </c>
      <c r="AJ408" s="5" t="n">
        <v>0</v>
      </c>
      <c r="AK408" s="5" t="n">
        <v>18.53</v>
      </c>
      <c r="AL408" s="5" t="n">
        <v>10.692</v>
      </c>
      <c r="AM408" s="5" t="n">
        <v>-14.984</v>
      </c>
      <c r="AN408" s="5" t="n">
        <v>4.114</v>
      </c>
      <c r="AO408" s="5" t="n">
        <v>0</v>
      </c>
      <c r="AP408" s="5" t="n">
        <v>0</v>
      </c>
      <c r="AQ408" s="5" t="n">
        <v>0.749</v>
      </c>
      <c r="AR408" s="5" t="n">
        <v>0.129</v>
      </c>
      <c r="AS408" s="5" t="n">
        <v>0.673</v>
      </c>
      <c r="AT408" s="5" t="n">
        <v>1.649</v>
      </c>
      <c r="AU408" s="5" t="n">
        <v>0.16</v>
      </c>
      <c r="AV408" s="5" t="n">
        <v>1</v>
      </c>
      <c r="AW408" s="5" t="n">
        <v>0.783</v>
      </c>
      <c r="AX408" s="5" t="n">
        <v>0.129</v>
      </c>
      <c r="AY408" s="5" t="n">
        <v>0.154</v>
      </c>
      <c r="AZ408" s="5" t="n">
        <v>1.086</v>
      </c>
      <c r="BA408" s="5" t="n">
        <v>0.16</v>
      </c>
      <c r="BB408" s="5" t="n">
        <v>1</v>
      </c>
      <c r="BC408" s="5" t="n">
        <v>0.527</v>
      </c>
      <c r="BD408" s="5" t="n">
        <v>0.129</v>
      </c>
      <c r="BE408" s="5" t="n">
        <v>-0.163</v>
      </c>
      <c r="BF408" s="5" t="n">
        <v>0.423</v>
      </c>
      <c r="BG408" s="5" t="n">
        <v>0</v>
      </c>
      <c r="BH408" s="5" t="n">
        <v>0</v>
      </c>
      <c r="BI408" s="5" t="n">
        <v>0.64</v>
      </c>
      <c r="BJ408" s="5" t="n">
        <v>0.129</v>
      </c>
      <c r="BK408" s="5" t="n">
        <v>0.113</v>
      </c>
      <c r="BL408" s="5" t="n">
        <v>0.873</v>
      </c>
      <c r="BM408" s="5" t="n">
        <v>0.16</v>
      </c>
      <c r="BN408" s="5" t="n">
        <v>1</v>
      </c>
      <c r="BO408" s="5" t="n">
        <v>0</v>
      </c>
      <c r="BP408" s="5" t="n">
        <v>0</v>
      </c>
      <c r="BQ408" s="5" t="n">
        <v>0.2</v>
      </c>
      <c r="BR408" s="5" t="n">
        <v>0</v>
      </c>
      <c r="BS408" s="5" t="n">
        <v>0.333</v>
      </c>
      <c r="BT408" s="5" t="n">
        <v>0</v>
      </c>
      <c r="BU408" s="5" t="n">
        <v>0</v>
      </c>
      <c r="BV408" s="5" t="n">
        <v>0.25</v>
      </c>
      <c r="BW408" s="5" t="n">
        <v>0.16</v>
      </c>
      <c r="BX408" s="5" t="n">
        <v>0.5</v>
      </c>
      <c r="BY408" s="5" t="n">
        <v>13.254</v>
      </c>
      <c r="BZ408" s="5" t="n">
        <v>0</v>
      </c>
      <c r="CA408" s="5" t="n">
        <v>13.254</v>
      </c>
      <c r="CB408" s="5" t="n">
        <v>0</v>
      </c>
      <c r="CC408" s="5" t="n">
        <v>87.07899999999999</v>
      </c>
      <c r="CD408" s="5" t="n">
        <v>7.95</v>
      </c>
      <c r="CE408" s="5" t="n">
        <v>-18.965</v>
      </c>
      <c r="CF408" s="5" t="n">
        <v>79.012</v>
      </c>
      <c r="CG408" s="5" t="n">
        <v>0</v>
      </c>
      <c r="CH408" s="5" t="n">
        <v>1</v>
      </c>
      <c r="CI408" s="5" t="n">
        <v>0</v>
      </c>
      <c r="CJ408" s="5" t="n">
        <v>0</v>
      </c>
      <c r="CK408" s="5" t="n">
        <v>0</v>
      </c>
      <c r="CL408" s="5" t="n">
        <v>0</v>
      </c>
      <c r="CM408" s="5" t="n">
        <v>0</v>
      </c>
      <c r="CN408" s="5" t="n">
        <v>0</v>
      </c>
      <c r="CO408" s="5" t="n">
        <v>0</v>
      </c>
      <c r="CP408" s="5" t="n">
        <v>0</v>
      </c>
      <c r="CQ408" s="5" t="n">
        <v>1.348</v>
      </c>
      <c r="CR408" s="5" t="n">
        <v>0.04</v>
      </c>
      <c r="CS408" s="5" t="n">
        <v>5.654</v>
      </c>
      <c r="CT408" s="5" t="n">
        <v>4.861</v>
      </c>
      <c r="CU408" s="5" t="n">
        <v>10.622</v>
      </c>
    </row>
    <row r="409">
      <c r="A409" s="5" t="inlineStr">
        <is>
          <t>JOR2024</t>
        </is>
      </c>
      <c r="B409" s="5" t="inlineStr">
        <is>
          <t>JOR</t>
        </is>
      </c>
      <c r="C409" s="5" t="inlineStr">
        <is>
          <t>JOR</t>
        </is>
      </c>
      <c r="D409" s="5" t="inlineStr">
        <is>
          <t>Jordan</t>
        </is>
      </c>
      <c r="E409" s="5" t="n">
        <v>2024</v>
      </c>
      <c r="F409" s="5" t="n">
        <v>0.16</v>
      </c>
      <c r="G409" s="5" t="n">
        <v>5.575</v>
      </c>
      <c r="H409" s="5" t="n">
        <v>1.324</v>
      </c>
      <c r="I409" s="5" t="n">
        <v>0</v>
      </c>
      <c r="J409" s="5" t="n">
        <v>5.575</v>
      </c>
      <c r="K409" s="5" t="n">
        <v>0</v>
      </c>
      <c r="L409" s="5" t="n">
        <v>1</v>
      </c>
      <c r="M409" s="5" t="n">
        <v>7.124</v>
      </c>
      <c r="N409" s="5" t="n">
        <v>3.971</v>
      </c>
      <c r="O409" s="5" t="n">
        <v>0</v>
      </c>
      <c r="P409" s="5" t="n">
        <v>7.124</v>
      </c>
      <c r="Q409" s="5" t="n">
        <v>0</v>
      </c>
      <c r="R409" s="5" t="n">
        <v>1</v>
      </c>
      <c r="S409" s="5" t="n">
        <v>12.193</v>
      </c>
      <c r="T409" s="5" t="n">
        <v>7.942</v>
      </c>
      <c r="U409" s="5" t="n">
        <v>0.266</v>
      </c>
      <c r="V409" s="5" t="n">
        <v>14.144</v>
      </c>
      <c r="W409" s="5" t="n">
        <v>0.16</v>
      </c>
      <c r="X409" s="5" t="n">
        <v>1</v>
      </c>
      <c r="Y409" s="5" t="n">
        <v>8.787000000000001</v>
      </c>
      <c r="Z409" s="5" t="n">
        <v>1.412</v>
      </c>
      <c r="AA409" s="5" t="n">
        <v>-2.038</v>
      </c>
      <c r="AB409" s="5" t="n">
        <v>6.749</v>
      </c>
      <c r="AC409" s="5" t="n">
        <v>0</v>
      </c>
      <c r="AD409" s="5" t="n">
        <v>0</v>
      </c>
      <c r="AE409" s="5" t="n">
        <v>10.084</v>
      </c>
      <c r="AF409" s="5" t="n">
        <v>2.727</v>
      </c>
      <c r="AG409" s="5" t="n">
        <v>-3.335</v>
      </c>
      <c r="AH409" s="5" t="n">
        <v>6.749</v>
      </c>
      <c r="AI409" s="5" t="n">
        <v>0</v>
      </c>
      <c r="AJ409" s="5" t="n">
        <v>0</v>
      </c>
      <c r="AK409" s="5" t="n">
        <v>17.868</v>
      </c>
      <c r="AL409" s="5" t="n">
        <v>10.31</v>
      </c>
      <c r="AM409" s="5" t="n">
        <v>-14.396</v>
      </c>
      <c r="AN409" s="5" t="n">
        <v>4.028</v>
      </c>
      <c r="AO409" s="5" t="n">
        <v>0</v>
      </c>
      <c r="AP409" s="5" t="n">
        <v>0</v>
      </c>
      <c r="AQ409" s="5" t="n">
        <v>0.72</v>
      </c>
      <c r="AR409" s="5" t="n">
        <v>0.132</v>
      </c>
      <c r="AS409" s="5" t="n">
        <v>0.667</v>
      </c>
      <c r="AT409" s="5" t="n">
        <v>1.608</v>
      </c>
      <c r="AU409" s="5" t="n">
        <v>0.16</v>
      </c>
      <c r="AV409" s="5" t="n">
        <v>1</v>
      </c>
      <c r="AW409" s="5" t="n">
        <v>0.734</v>
      </c>
      <c r="AX409" s="5" t="n">
        <v>0.132</v>
      </c>
      <c r="AY409" s="5" t="n">
        <v>0.122</v>
      </c>
      <c r="AZ409" s="5" t="n">
        <v>0.993</v>
      </c>
      <c r="BA409" s="5" t="n">
        <v>0.16</v>
      </c>
      <c r="BB409" s="5" t="n">
        <v>1</v>
      </c>
      <c r="BC409" s="5" t="n">
        <v>0.51</v>
      </c>
      <c r="BD409" s="5" t="n">
        <v>0.132</v>
      </c>
      <c r="BE409" s="5" t="n">
        <v>-0.146</v>
      </c>
      <c r="BF409" s="5" t="n">
        <v>0.423</v>
      </c>
      <c r="BG409" s="5" t="n">
        <v>0</v>
      </c>
      <c r="BH409" s="5" t="n">
        <v>0</v>
      </c>
      <c r="BI409" s="5" t="n">
        <v>0.652</v>
      </c>
      <c r="BJ409" s="5" t="n">
        <v>0.132</v>
      </c>
      <c r="BK409" s="5" t="n">
        <v>0.101</v>
      </c>
      <c r="BL409" s="5" t="n">
        <v>0.873</v>
      </c>
      <c r="BM409" s="5" t="n">
        <v>0.16</v>
      </c>
      <c r="BN409" s="5" t="n">
        <v>1</v>
      </c>
      <c r="BO409" s="5" t="n">
        <v>0</v>
      </c>
      <c r="BP409" s="5" t="n">
        <v>0</v>
      </c>
      <c r="BQ409" s="5" t="n">
        <v>0.197</v>
      </c>
      <c r="BR409" s="5" t="n">
        <v>0</v>
      </c>
      <c r="BS409" s="5" t="n">
        <v>0.333</v>
      </c>
      <c r="BT409" s="5" t="n">
        <v>0</v>
      </c>
      <c r="BU409" s="5" t="n">
        <v>0</v>
      </c>
      <c r="BV409" s="5" t="n">
        <v>0.223</v>
      </c>
      <c r="BW409" s="5" t="n">
        <v>0.16</v>
      </c>
      <c r="BX409" s="5" t="n">
        <v>0.5</v>
      </c>
      <c r="BY409" s="5" t="n">
        <v>13.646</v>
      </c>
      <c r="BZ409" s="5" t="n">
        <v>0</v>
      </c>
      <c r="CA409" s="5" t="n">
        <v>13.646</v>
      </c>
      <c r="CB409" s="5" t="n">
        <v>0</v>
      </c>
      <c r="CC409" s="5" t="n">
        <v>86.38500000000001</v>
      </c>
      <c r="CD409" s="5" t="n">
        <v>7.95</v>
      </c>
      <c r="CE409" s="5" t="n">
        <v>-16.132</v>
      </c>
      <c r="CF409" s="5" t="n">
        <v>81.494</v>
      </c>
      <c r="CG409" s="5" t="n">
        <v>0</v>
      </c>
      <c r="CH409" s="5" t="n">
        <v>1</v>
      </c>
      <c r="CI409" s="5" t="n">
        <v>0</v>
      </c>
      <c r="CJ409" s="5" t="n">
        <v>0</v>
      </c>
      <c r="CK409" s="5" t="n">
        <v>0</v>
      </c>
      <c r="CL409" s="5" t="n">
        <v>0</v>
      </c>
      <c r="CM409" s="5" t="n">
        <v>0</v>
      </c>
      <c r="CN409" s="5" t="n">
        <v>0</v>
      </c>
      <c r="CO409" s="5" t="n">
        <v>0</v>
      </c>
      <c r="CP409" s="5" t="n">
        <v>0</v>
      </c>
      <c r="CQ409" s="5" t="n">
        <v>1.387</v>
      </c>
      <c r="CR409" s="5" t="n">
        <v>0.04</v>
      </c>
      <c r="CS409" s="5" t="n">
        <v>5.821</v>
      </c>
      <c r="CT409" s="5" t="n">
        <v>4.251</v>
      </c>
      <c r="CU409" s="5" t="n">
        <v>9.167999999999999</v>
      </c>
    </row>
    <row r="410">
      <c r="A410" s="5" t="inlineStr">
        <is>
          <t>KAZ2021</t>
        </is>
      </c>
      <c r="B410" s="5" t="inlineStr">
        <is>
          <t>KAZ</t>
        </is>
      </c>
      <c r="C410" s="5" t="inlineStr">
        <is>
          <t>KAZ</t>
        </is>
      </c>
      <c r="D410" s="5" t="inlineStr">
        <is>
          <t>Kazakhstan</t>
        </is>
      </c>
      <c r="E410" s="5" t="n">
        <v>2021</v>
      </c>
      <c r="F410" s="5" t="n">
        <v>0.12</v>
      </c>
      <c r="G410" s="5" t="n">
        <v>3.092</v>
      </c>
      <c r="H410" s="5" t="n">
        <v>0.588</v>
      </c>
      <c r="I410" s="5" t="n">
        <v>1.063</v>
      </c>
      <c r="J410" s="5" t="n">
        <v>4.155</v>
      </c>
      <c r="K410" s="5" t="n">
        <v>0</v>
      </c>
      <c r="L410" s="5" t="n">
        <v>1</v>
      </c>
      <c r="M410" s="5" t="n">
        <v>3.058</v>
      </c>
      <c r="N410" s="5" t="n">
        <v>1.764</v>
      </c>
      <c r="O410" s="5" t="n">
        <v>0.067</v>
      </c>
      <c r="P410" s="5" t="n">
        <v>3.125</v>
      </c>
      <c r="Q410" s="5" t="n">
        <v>0</v>
      </c>
      <c r="R410" s="5" t="n">
        <v>1</v>
      </c>
      <c r="S410" s="5" t="n">
        <v>1.004</v>
      </c>
      <c r="T410" s="5" t="n">
        <v>0.622</v>
      </c>
      <c r="U410" s="5" t="n">
        <v>0.003</v>
      </c>
      <c r="V410" s="5" t="n">
        <v>1.128</v>
      </c>
      <c r="W410" s="5" t="n">
        <v>0.12</v>
      </c>
      <c r="X410" s="5" t="n">
        <v>1</v>
      </c>
      <c r="Y410" s="5" t="n">
        <v>7.283</v>
      </c>
      <c r="Z410" s="5" t="n">
        <v>1.041</v>
      </c>
      <c r="AA410" s="5" t="n">
        <v>-6.017</v>
      </c>
      <c r="AB410" s="5" t="n">
        <v>1.266</v>
      </c>
      <c r="AC410" s="5" t="n">
        <v>0</v>
      </c>
      <c r="AD410" s="5" t="n">
        <v>0</v>
      </c>
      <c r="AE410" s="5" t="n">
        <v>7.922</v>
      </c>
      <c r="AF410" s="5" t="n">
        <v>1.932</v>
      </c>
      <c r="AG410" s="5" t="n">
        <v>-6.656</v>
      </c>
      <c r="AH410" s="5" t="n">
        <v>1.266</v>
      </c>
      <c r="AI410" s="5" t="n">
        <v>0</v>
      </c>
      <c r="AJ410" s="5" t="n">
        <v>0</v>
      </c>
      <c r="AK410" s="5" t="n">
        <v>11.757</v>
      </c>
      <c r="AL410" s="5" t="n">
        <v>6.311</v>
      </c>
      <c r="AM410" s="5" t="n">
        <v>-10.356</v>
      </c>
      <c r="AN410" s="5" t="n">
        <v>1.569</v>
      </c>
      <c r="AO410" s="5" t="n">
        <v>0</v>
      </c>
      <c r="AP410" s="5" t="n">
        <v>0</v>
      </c>
      <c r="AQ410" s="5" t="n">
        <v>0.619</v>
      </c>
      <c r="AR410" s="5" t="n">
        <v>0.114</v>
      </c>
      <c r="AS410" s="5" t="n">
        <v>-0.241</v>
      </c>
      <c r="AT410" s="5" t="n">
        <v>0.423</v>
      </c>
      <c r="AU410" s="5" t="n">
        <v>0</v>
      </c>
      <c r="AV410" s="5" t="n">
        <v>0</v>
      </c>
      <c r="AW410" s="5" t="n">
        <v>0.599</v>
      </c>
      <c r="AX410" s="5" t="n">
        <v>0.114</v>
      </c>
      <c r="AY410" s="5" t="n">
        <v>-0.14</v>
      </c>
      <c r="AZ410" s="5" t="n">
        <v>0.515</v>
      </c>
      <c r="BA410" s="5" t="n">
        <v>0</v>
      </c>
      <c r="BB410" s="5" t="n">
        <v>1</v>
      </c>
      <c r="BC410" s="5" t="n">
        <v>0.439</v>
      </c>
      <c r="BD410" s="5" t="n">
        <v>0.114</v>
      </c>
      <c r="BE410" s="5" t="n">
        <v>-0.349</v>
      </c>
      <c r="BF410" s="5" t="n">
        <v>0.09</v>
      </c>
      <c r="BG410" s="5" t="n">
        <v>0</v>
      </c>
      <c r="BH410" s="5" t="n">
        <v>0</v>
      </c>
      <c r="BI410" s="5" t="n">
        <v>0.505</v>
      </c>
      <c r="BJ410" s="5" t="n">
        <v>0.114</v>
      </c>
      <c r="BK410" s="5" t="n">
        <v>0.004</v>
      </c>
      <c r="BL410" s="5" t="n">
        <v>0.57</v>
      </c>
      <c r="BM410" s="5" t="n">
        <v>0.12</v>
      </c>
      <c r="BN410" s="5" t="n">
        <v>1</v>
      </c>
      <c r="BO410" s="5" t="n">
        <v>0</v>
      </c>
      <c r="BP410" s="5" t="n">
        <v>-0.039</v>
      </c>
      <c r="BQ410" s="5" t="n">
        <v>0.059</v>
      </c>
      <c r="BR410" s="5" t="n">
        <v>0</v>
      </c>
      <c r="BS410" s="5" t="n">
        <v>0.833</v>
      </c>
      <c r="BT410" s="5" t="n">
        <v>0</v>
      </c>
      <c r="BU410" s="5" t="n">
        <v>-0.039</v>
      </c>
      <c r="BV410" s="5" t="n">
        <v>0.037</v>
      </c>
      <c r="BW410" s="5" t="n">
        <v>0</v>
      </c>
      <c r="BX410" s="5" t="n">
        <v>0.667</v>
      </c>
      <c r="BY410" s="5" t="n">
        <v>11.787</v>
      </c>
      <c r="BZ410" s="5" t="n">
        <v>0</v>
      </c>
      <c r="CA410" s="5" t="n">
        <v>11.787</v>
      </c>
      <c r="CB410" s="5" t="n">
        <v>0</v>
      </c>
      <c r="CC410" s="5" t="n">
        <v>78.125</v>
      </c>
      <c r="CD410" s="5" t="n">
        <v>7.95</v>
      </c>
      <c r="CE410" s="5" t="n">
        <v>-2.386</v>
      </c>
      <c r="CF410" s="5" t="n">
        <v>84.828</v>
      </c>
      <c r="CG410" s="5" t="n">
        <v>0.12</v>
      </c>
      <c r="CH410" s="5" t="n">
        <v>1</v>
      </c>
      <c r="CI410" s="5" t="n">
        <v>0</v>
      </c>
      <c r="CJ410" s="5" t="n">
        <v>0</v>
      </c>
      <c r="CK410" s="5" t="n">
        <v>0</v>
      </c>
      <c r="CL410" s="5" t="n">
        <v>0</v>
      </c>
      <c r="CM410" s="5" t="n">
        <v>0</v>
      </c>
      <c r="CN410" s="5" t="n">
        <v>0</v>
      </c>
      <c r="CO410" s="5" t="n">
        <v>0</v>
      </c>
      <c r="CP410" s="5" t="n">
        <v>0.971</v>
      </c>
      <c r="CQ410" s="5" t="n">
        <v>1.198</v>
      </c>
      <c r="CR410" s="5" t="n">
        <v>0.882</v>
      </c>
      <c r="CS410" s="5" t="n">
        <v>6.634</v>
      </c>
      <c r="CT410" s="5" t="n">
        <v>4.41</v>
      </c>
      <c r="CU410" s="5" t="n">
        <v>14.129</v>
      </c>
    </row>
    <row r="411">
      <c r="A411" s="5" t="inlineStr">
        <is>
          <t>KAZ2022</t>
        </is>
      </c>
      <c r="B411" s="5" t="inlineStr">
        <is>
          <t>KAZ</t>
        </is>
      </c>
      <c r="C411" s="5" t="inlineStr">
        <is>
          <t>KAZ</t>
        </is>
      </c>
      <c r="D411" s="5" t="inlineStr">
        <is>
          <t>Kazakhstan</t>
        </is>
      </c>
      <c r="E411" s="5" t="n">
        <v>2022</v>
      </c>
      <c r="F411" s="5" t="n">
        <v>0.12</v>
      </c>
      <c r="G411" s="5" t="n">
        <v>3.29</v>
      </c>
      <c r="H411" s="5" t="n">
        <v>0.625</v>
      </c>
      <c r="I411" s="5" t="n">
        <v>1.186</v>
      </c>
      <c r="J411" s="5" t="n">
        <v>4.476</v>
      </c>
      <c r="K411" s="5" t="n">
        <v>0</v>
      </c>
      <c r="L411" s="5" t="n">
        <v>1</v>
      </c>
      <c r="M411" s="5" t="n">
        <v>3.233</v>
      </c>
      <c r="N411" s="5" t="n">
        <v>1.876</v>
      </c>
      <c r="O411" s="5" t="n">
        <v>0.107</v>
      </c>
      <c r="P411" s="5" t="n">
        <v>3.34</v>
      </c>
      <c r="Q411" s="5" t="n">
        <v>0</v>
      </c>
      <c r="R411" s="5" t="n">
        <v>1</v>
      </c>
      <c r="S411" s="5" t="n">
        <v>1.007</v>
      </c>
      <c r="T411" s="5" t="n">
        <v>0.493</v>
      </c>
      <c r="U411" s="5" t="n">
        <v>0.004</v>
      </c>
      <c r="V411" s="5" t="n">
        <v>1.133</v>
      </c>
      <c r="W411" s="5" t="n">
        <v>0.12</v>
      </c>
      <c r="X411" s="5" t="n">
        <v>1</v>
      </c>
      <c r="Y411" s="5" t="n">
        <v>7.793</v>
      </c>
      <c r="Z411" s="5" t="n">
        <v>1.114</v>
      </c>
      <c r="AA411" s="5" t="n">
        <v>-6.568</v>
      </c>
      <c r="AB411" s="5" t="n">
        <v>1.226</v>
      </c>
      <c r="AC411" s="5" t="n">
        <v>0</v>
      </c>
      <c r="AD411" s="5" t="n">
        <v>0</v>
      </c>
      <c r="AE411" s="5" t="n">
        <v>8.445</v>
      </c>
      <c r="AF411" s="5" t="n">
        <v>2.06</v>
      </c>
      <c r="AG411" s="5" t="n">
        <v>-7.22</v>
      </c>
      <c r="AH411" s="5" t="n">
        <v>1.226</v>
      </c>
      <c r="AI411" s="5" t="n">
        <v>0</v>
      </c>
      <c r="AJ411" s="5" t="n">
        <v>0</v>
      </c>
      <c r="AK411" s="5" t="n">
        <v>12.359</v>
      </c>
      <c r="AL411" s="5" t="n">
        <v>6.633</v>
      </c>
      <c r="AM411" s="5" t="n">
        <v>-11.021</v>
      </c>
      <c r="AN411" s="5" t="n">
        <v>1.498</v>
      </c>
      <c r="AO411" s="5" t="n">
        <v>0</v>
      </c>
      <c r="AP411" s="5" t="n">
        <v>0</v>
      </c>
      <c r="AQ411" s="5" t="n">
        <v>0.861</v>
      </c>
      <c r="AR411" s="5" t="n">
        <v>0.123</v>
      </c>
      <c r="AS411" s="5" t="n">
        <v>-0.492</v>
      </c>
      <c r="AT411" s="5" t="n">
        <v>0.413</v>
      </c>
      <c r="AU411" s="5" t="n">
        <v>0</v>
      </c>
      <c r="AV411" s="5" t="n">
        <v>0</v>
      </c>
      <c r="AW411" s="5" t="n">
        <v>0.986</v>
      </c>
      <c r="AX411" s="5" t="n">
        <v>0.123</v>
      </c>
      <c r="AY411" s="5" t="n">
        <v>-0.46</v>
      </c>
      <c r="AZ411" s="5" t="n">
        <v>0.589</v>
      </c>
      <c r="BA411" s="5" t="n">
        <v>0</v>
      </c>
      <c r="BB411" s="5" t="n">
        <v>1</v>
      </c>
      <c r="BC411" s="5" t="n">
        <v>0.598</v>
      </c>
      <c r="BD411" s="5" t="n">
        <v>0.123</v>
      </c>
      <c r="BE411" s="5" t="n">
        <v>-0.466</v>
      </c>
      <c r="BF411" s="5" t="n">
        <v>0.147</v>
      </c>
      <c r="BG411" s="5" t="n">
        <v>0</v>
      </c>
      <c r="BH411" s="5" t="n">
        <v>0</v>
      </c>
      <c r="BI411" s="5" t="n">
        <v>0.612</v>
      </c>
      <c r="BJ411" s="5" t="n">
        <v>0.123</v>
      </c>
      <c r="BK411" s="5" t="n">
        <v>0.016</v>
      </c>
      <c r="BL411" s="5" t="n">
        <v>0.697</v>
      </c>
      <c r="BM411" s="5" t="n">
        <v>0.12</v>
      </c>
      <c r="BN411" s="5" t="n">
        <v>1</v>
      </c>
      <c r="BO411" s="5" t="n">
        <v>0</v>
      </c>
      <c r="BP411" s="5" t="n">
        <v>-0.039</v>
      </c>
      <c r="BQ411" s="5" t="n">
        <v>0.055</v>
      </c>
      <c r="BR411" s="5" t="n">
        <v>0</v>
      </c>
      <c r="BS411" s="5" t="n">
        <v>0.833</v>
      </c>
      <c r="BT411" s="5" t="n">
        <v>0</v>
      </c>
      <c r="BU411" s="5" t="n">
        <v>-0.039</v>
      </c>
      <c r="BV411" s="5" t="n">
        <v>0.034</v>
      </c>
      <c r="BW411" s="5" t="n">
        <v>0</v>
      </c>
      <c r="BX411" s="5" t="n">
        <v>0.667</v>
      </c>
      <c r="BY411" s="5" t="n">
        <v>12.729</v>
      </c>
      <c r="BZ411" s="5" t="n">
        <v>0</v>
      </c>
      <c r="CA411" s="5" t="n">
        <v>12.729</v>
      </c>
      <c r="CB411" s="5" t="n">
        <v>0</v>
      </c>
      <c r="CC411" s="5" t="n">
        <v>97.90000000000001</v>
      </c>
      <c r="CD411" s="5" t="n">
        <v>7.95</v>
      </c>
      <c r="CE411" s="5" t="n">
        <v>-4.784</v>
      </c>
      <c r="CF411" s="5" t="n">
        <v>103.372</v>
      </c>
      <c r="CG411" s="5" t="n">
        <v>0.12</v>
      </c>
      <c r="CH411" s="5" t="n">
        <v>1</v>
      </c>
      <c r="CI411" s="5" t="n">
        <v>0</v>
      </c>
      <c r="CJ411" s="5" t="n">
        <v>0</v>
      </c>
      <c r="CK411" s="5" t="n">
        <v>0</v>
      </c>
      <c r="CL411" s="5" t="n">
        <v>0</v>
      </c>
      <c r="CM411" s="5" t="n">
        <v>0</v>
      </c>
      <c r="CN411" s="5" t="n">
        <v>0</v>
      </c>
      <c r="CO411" s="5" t="n">
        <v>0</v>
      </c>
      <c r="CP411" s="5" t="n">
        <v>0.987</v>
      </c>
      <c r="CQ411" s="5" t="n">
        <v>1.294</v>
      </c>
      <c r="CR411" s="5" t="n">
        <v>0.944</v>
      </c>
      <c r="CS411" s="5" t="n">
        <v>7.164</v>
      </c>
      <c r="CT411" s="5" t="n">
        <v>5.842</v>
      </c>
      <c r="CU411" s="5" t="n">
        <v>28.059</v>
      </c>
    </row>
    <row r="412">
      <c r="A412" s="5" t="inlineStr">
        <is>
          <t>KAZ2023</t>
        </is>
      </c>
      <c r="B412" s="5" t="inlineStr">
        <is>
          <t>KAZ</t>
        </is>
      </c>
      <c r="C412" s="5" t="inlineStr">
        <is>
          <t>KAZ</t>
        </is>
      </c>
      <c r="D412" s="5" t="inlineStr">
        <is>
          <t>Kazakhstan</t>
        </is>
      </c>
      <c r="E412" s="5" t="n">
        <v>2023</v>
      </c>
      <c r="F412" s="5" t="n">
        <v>0.12</v>
      </c>
      <c r="G412" s="5" t="n">
        <v>3.393</v>
      </c>
      <c r="H412" s="5" t="n">
        <v>0.652</v>
      </c>
      <c r="I412" s="5" t="n">
        <v>1.236</v>
      </c>
      <c r="J412" s="5" t="n">
        <v>4.63</v>
      </c>
      <c r="K412" s="5" t="n">
        <v>0</v>
      </c>
      <c r="L412" s="5" t="n">
        <v>1</v>
      </c>
      <c r="M412" s="5" t="n">
        <v>3.34</v>
      </c>
      <c r="N412" s="5" t="n">
        <v>1.955</v>
      </c>
      <c r="O412" s="5" t="n">
        <v>0.113</v>
      </c>
      <c r="P412" s="5" t="n">
        <v>3.453</v>
      </c>
      <c r="Q412" s="5" t="n">
        <v>0</v>
      </c>
      <c r="R412" s="5" t="n">
        <v>1</v>
      </c>
      <c r="S412" s="5" t="n">
        <v>1.098</v>
      </c>
      <c r="T412" s="5" t="n">
        <v>0.6889999999999999</v>
      </c>
      <c r="U412" s="5" t="n">
        <v>0.002</v>
      </c>
      <c r="V412" s="5" t="n">
        <v>1.233</v>
      </c>
      <c r="W412" s="5" t="n">
        <v>0.12</v>
      </c>
      <c r="X412" s="5" t="n">
        <v>1</v>
      </c>
      <c r="Y412" s="5" t="n">
        <v>8.026</v>
      </c>
      <c r="Z412" s="5" t="n">
        <v>1.147</v>
      </c>
      <c r="AA412" s="5" t="n">
        <v>-6.673</v>
      </c>
      <c r="AB412" s="5" t="n">
        <v>1.352</v>
      </c>
      <c r="AC412" s="5" t="n">
        <v>0</v>
      </c>
      <c r="AD412" s="5" t="n">
        <v>0</v>
      </c>
      <c r="AE412" s="5" t="n">
        <v>8.680999999999999</v>
      </c>
      <c r="AF412" s="5" t="n">
        <v>2.117</v>
      </c>
      <c r="AG412" s="5" t="n">
        <v>-7.329</v>
      </c>
      <c r="AH412" s="5" t="n">
        <v>1.352</v>
      </c>
      <c r="AI412" s="5" t="n">
        <v>0</v>
      </c>
      <c r="AJ412" s="5" t="n">
        <v>0</v>
      </c>
      <c r="AK412" s="5" t="n">
        <v>12.613</v>
      </c>
      <c r="AL412" s="5" t="n">
        <v>6.77</v>
      </c>
      <c r="AM412" s="5" t="n">
        <v>-11.139</v>
      </c>
      <c r="AN412" s="5" t="n">
        <v>1.652</v>
      </c>
      <c r="AO412" s="5" t="n">
        <v>0</v>
      </c>
      <c r="AP412" s="5" t="n">
        <v>0</v>
      </c>
      <c r="AQ412" s="5" t="n">
        <v>0.76</v>
      </c>
      <c r="AR412" s="5" t="n">
        <v>0.129</v>
      </c>
      <c r="AS412" s="5" t="n">
        <v>-0.341</v>
      </c>
      <c r="AT412" s="5" t="n">
        <v>0.47</v>
      </c>
      <c r="AU412" s="5" t="n">
        <v>0</v>
      </c>
      <c r="AV412" s="5" t="n">
        <v>0</v>
      </c>
      <c r="AW412" s="5" t="n">
        <v>0.8110000000000001</v>
      </c>
      <c r="AX412" s="5" t="n">
        <v>0.129</v>
      </c>
      <c r="AY412" s="5" t="n">
        <v>-0.165</v>
      </c>
      <c r="AZ412" s="5" t="n">
        <v>0.724</v>
      </c>
      <c r="BA412" s="5" t="n">
        <v>0</v>
      </c>
      <c r="BB412" s="5" t="n">
        <v>1</v>
      </c>
      <c r="BC412" s="5" t="n">
        <v>0.535</v>
      </c>
      <c r="BD412" s="5" t="n">
        <v>0.129</v>
      </c>
      <c r="BE412" s="5" t="n">
        <v>-0.391</v>
      </c>
      <c r="BF412" s="5" t="n">
        <v>0.161</v>
      </c>
      <c r="BG412" s="5" t="n">
        <v>0</v>
      </c>
      <c r="BH412" s="5" t="n">
        <v>0</v>
      </c>
      <c r="BI412" s="5" t="n">
        <v>0.579</v>
      </c>
      <c r="BJ412" s="5" t="n">
        <v>0.129</v>
      </c>
      <c r="BK412" s="5" t="n">
        <v>0.017</v>
      </c>
      <c r="BL412" s="5" t="n">
        <v>0.66</v>
      </c>
      <c r="BM412" s="5" t="n">
        <v>0.12</v>
      </c>
      <c r="BN412" s="5" t="n">
        <v>1</v>
      </c>
      <c r="BO412" s="5" t="n">
        <v>0</v>
      </c>
      <c r="BP412" s="5" t="n">
        <v>-0.039</v>
      </c>
      <c r="BQ412" s="5" t="n">
        <v>0.08400000000000001</v>
      </c>
      <c r="BR412" s="5" t="n">
        <v>0</v>
      </c>
      <c r="BS412" s="5" t="n">
        <v>0.833</v>
      </c>
      <c r="BT412" s="5" t="n">
        <v>0</v>
      </c>
      <c r="BU412" s="5" t="n">
        <v>-0.039</v>
      </c>
      <c r="BV412" s="5" t="n">
        <v>0.056</v>
      </c>
      <c r="BW412" s="5" t="n">
        <v>0</v>
      </c>
      <c r="BX412" s="5" t="n">
        <v>0.667</v>
      </c>
      <c r="BY412" s="5" t="n">
        <v>13.254</v>
      </c>
      <c r="BZ412" s="5" t="n">
        <v>0</v>
      </c>
      <c r="CA412" s="5" t="n">
        <v>13.254</v>
      </c>
      <c r="CB412" s="5" t="n">
        <v>0</v>
      </c>
      <c r="CC412" s="5" t="n">
        <v>83.248</v>
      </c>
      <c r="CD412" s="5" t="n">
        <v>7.95</v>
      </c>
      <c r="CE412" s="5" t="n">
        <v>-9.756</v>
      </c>
      <c r="CF412" s="5" t="n">
        <v>81.232</v>
      </c>
      <c r="CG412" s="5" t="n">
        <v>0.12</v>
      </c>
      <c r="CH412" s="5" t="n">
        <v>1</v>
      </c>
      <c r="CI412" s="5" t="n">
        <v>0</v>
      </c>
      <c r="CJ412" s="5" t="n">
        <v>0</v>
      </c>
      <c r="CK412" s="5" t="n">
        <v>0</v>
      </c>
      <c r="CL412" s="5" t="n">
        <v>0</v>
      </c>
      <c r="CM412" s="5" t="n">
        <v>0</v>
      </c>
      <c r="CN412" s="5" t="n">
        <v>0</v>
      </c>
      <c r="CO412" s="5" t="n">
        <v>0</v>
      </c>
      <c r="CP412" s="5" t="n">
        <v>0.986</v>
      </c>
      <c r="CQ412" s="5" t="n">
        <v>1.348</v>
      </c>
      <c r="CR412" s="5" t="n">
        <v>0.98</v>
      </c>
      <c r="CS412" s="5" t="n">
        <v>7.46</v>
      </c>
      <c r="CT412" s="5" t="n">
        <v>3.466</v>
      </c>
      <c r="CU412" s="5" t="n">
        <v>9.260999999999999</v>
      </c>
    </row>
    <row r="413">
      <c r="A413" s="5" t="inlineStr">
        <is>
          <t>KAZ2024</t>
        </is>
      </c>
      <c r="B413" s="5" t="inlineStr">
        <is>
          <t>KAZ</t>
        </is>
      </c>
      <c r="C413" s="5" t="inlineStr">
        <is>
          <t>KAZ</t>
        </is>
      </c>
      <c r="D413" s="5" t="inlineStr">
        <is>
          <t>Kazakhstan</t>
        </is>
      </c>
      <c r="E413" s="5" t="n">
        <v>2024</v>
      </c>
      <c r="F413" s="5" t="n">
        <v>0.12</v>
      </c>
      <c r="G413" s="5" t="n">
        <v>3.486</v>
      </c>
      <c r="H413" s="5" t="n">
        <v>0.671</v>
      </c>
      <c r="I413" s="5" t="n">
        <v>1.267</v>
      </c>
      <c r="J413" s="5" t="n">
        <v>4.753</v>
      </c>
      <c r="K413" s="5" t="n">
        <v>0</v>
      </c>
      <c r="L413" s="5" t="n">
        <v>1</v>
      </c>
      <c r="M413" s="5" t="n">
        <v>3.425</v>
      </c>
      <c r="N413" s="5" t="n">
        <v>2.013</v>
      </c>
      <c r="O413" s="5" t="n">
        <v>0.11</v>
      </c>
      <c r="P413" s="5" t="n">
        <v>3.535</v>
      </c>
      <c r="Q413" s="5" t="n">
        <v>0</v>
      </c>
      <c r="R413" s="5" t="n">
        <v>1</v>
      </c>
      <c r="S413" s="5" t="n">
        <v>1.167</v>
      </c>
      <c r="T413" s="5" t="n">
        <v>0.773</v>
      </c>
      <c r="U413" s="5" t="n">
        <v>0.002</v>
      </c>
      <c r="V413" s="5" t="n">
        <v>1.309</v>
      </c>
      <c r="W413" s="5" t="n">
        <v>0.12</v>
      </c>
      <c r="X413" s="5" t="n">
        <v>1</v>
      </c>
      <c r="Y413" s="5" t="n">
        <v>8.180999999999999</v>
      </c>
      <c r="Z413" s="5" t="n">
        <v>1.169</v>
      </c>
      <c r="AA413" s="5" t="n">
        <v>-6.675</v>
      </c>
      <c r="AB413" s="5" t="n">
        <v>1.506</v>
      </c>
      <c r="AC413" s="5" t="n">
        <v>0</v>
      </c>
      <c r="AD413" s="5" t="n">
        <v>0</v>
      </c>
      <c r="AE413" s="5" t="n">
        <v>8.856</v>
      </c>
      <c r="AF413" s="5" t="n">
        <v>2.16</v>
      </c>
      <c r="AG413" s="5" t="n">
        <v>-7.349</v>
      </c>
      <c r="AH413" s="5" t="n">
        <v>1.506</v>
      </c>
      <c r="AI413" s="5" t="n">
        <v>0</v>
      </c>
      <c r="AJ413" s="5" t="n">
        <v>0</v>
      </c>
      <c r="AK413" s="5" t="n">
        <v>12.904</v>
      </c>
      <c r="AL413" s="5" t="n">
        <v>6.926</v>
      </c>
      <c r="AM413" s="5" t="n">
        <v>-11.357</v>
      </c>
      <c r="AN413" s="5" t="n">
        <v>1.733</v>
      </c>
      <c r="AO413" s="5" t="n">
        <v>0</v>
      </c>
      <c r="AP413" s="5" t="n">
        <v>0</v>
      </c>
      <c r="AQ413" s="5" t="n">
        <v>0.724</v>
      </c>
      <c r="AR413" s="5" t="n">
        <v>0.132</v>
      </c>
      <c r="AS413" s="5" t="n">
        <v>-0.287</v>
      </c>
      <c r="AT413" s="5" t="n">
        <v>0.49</v>
      </c>
      <c r="AU413" s="5" t="n">
        <v>0</v>
      </c>
      <c r="AV413" s="5" t="n">
        <v>0</v>
      </c>
      <c r="AW413" s="5" t="n">
        <v>0.75</v>
      </c>
      <c r="AX413" s="5" t="n">
        <v>0.132</v>
      </c>
      <c r="AY413" s="5" t="n">
        <v>-0.121</v>
      </c>
      <c r="AZ413" s="5" t="n">
        <v>0.705</v>
      </c>
      <c r="BA413" s="5" t="n">
        <v>0</v>
      </c>
      <c r="BB413" s="5" t="n">
        <v>1</v>
      </c>
      <c r="BC413" s="5" t="n">
        <v>0.513</v>
      </c>
      <c r="BD413" s="5" t="n">
        <v>0.132</v>
      </c>
      <c r="BE413" s="5" t="n">
        <v>-0.356</v>
      </c>
      <c r="BF413" s="5" t="n">
        <v>0.176</v>
      </c>
      <c r="BG413" s="5" t="n">
        <v>0</v>
      </c>
      <c r="BH413" s="5" t="n">
        <v>0</v>
      </c>
      <c r="BI413" s="5" t="n">
        <v>0.591</v>
      </c>
      <c r="BJ413" s="5" t="n">
        <v>0.132</v>
      </c>
      <c r="BK413" s="5" t="n">
        <v>0.02</v>
      </c>
      <c r="BL413" s="5" t="n">
        <v>0.673</v>
      </c>
      <c r="BM413" s="5" t="n">
        <v>0.12</v>
      </c>
      <c r="BN413" s="5" t="n">
        <v>1</v>
      </c>
      <c r="BO413" s="5" t="n">
        <v>0</v>
      </c>
      <c r="BP413" s="5" t="n">
        <v>-0.041</v>
      </c>
      <c r="BQ413" s="5" t="n">
        <v>0.078</v>
      </c>
      <c r="BR413" s="5" t="n">
        <v>0</v>
      </c>
      <c r="BS413" s="5" t="n">
        <v>0.833</v>
      </c>
      <c r="BT413" s="5" t="n">
        <v>0</v>
      </c>
      <c r="BU413" s="5" t="n">
        <v>-0.041</v>
      </c>
      <c r="BV413" s="5" t="n">
        <v>0.058</v>
      </c>
      <c r="BW413" s="5" t="n">
        <v>0</v>
      </c>
      <c r="BX413" s="5" t="n">
        <v>0.667</v>
      </c>
      <c r="BY413" s="5" t="n">
        <v>13.646</v>
      </c>
      <c r="BZ413" s="5" t="n">
        <v>0</v>
      </c>
      <c r="CA413" s="5" t="n">
        <v>13.646</v>
      </c>
      <c r="CB413" s="5" t="n">
        <v>0</v>
      </c>
      <c r="CC413" s="5" t="n">
        <v>82.58799999999999</v>
      </c>
      <c r="CD413" s="5" t="n">
        <v>7.95</v>
      </c>
      <c r="CE413" s="5" t="n">
        <v>-9.571999999999999</v>
      </c>
      <c r="CF413" s="5" t="n">
        <v>80.46299999999999</v>
      </c>
      <c r="CG413" s="5" t="n">
        <v>0.12</v>
      </c>
      <c r="CH413" s="5" t="n">
        <v>1</v>
      </c>
      <c r="CI413" s="5" t="n">
        <v>0</v>
      </c>
      <c r="CJ413" s="5" t="n">
        <v>0</v>
      </c>
      <c r="CK413" s="5" t="n">
        <v>0</v>
      </c>
      <c r="CL413" s="5" t="n">
        <v>0</v>
      </c>
      <c r="CM413" s="5" t="n">
        <v>0</v>
      </c>
      <c r="CN413" s="5" t="n">
        <v>0</v>
      </c>
      <c r="CO413" s="5" t="n">
        <v>0</v>
      </c>
      <c r="CP413" s="5" t="n">
        <v>0.986</v>
      </c>
      <c r="CQ413" s="5" t="n">
        <v>1.387</v>
      </c>
      <c r="CR413" s="5" t="n">
        <v>0.98</v>
      </c>
      <c r="CS413" s="5" t="n">
        <v>7.598</v>
      </c>
      <c r="CT413" s="5" t="n">
        <v>3.027</v>
      </c>
      <c r="CU413" s="5" t="n">
        <v>7.598</v>
      </c>
    </row>
    <row r="414">
      <c r="A414" s="5" t="inlineStr">
        <is>
          <t>KEN2021</t>
        </is>
      </c>
      <c r="B414" s="5" t="inlineStr">
        <is>
          <t>KEN</t>
        </is>
      </c>
      <c r="C414" s="5" t="inlineStr">
        <is>
          <t>KEN</t>
        </is>
      </c>
      <c r="D414" s="5" t="inlineStr">
        <is>
          <t>Kenya</t>
        </is>
      </c>
      <c r="E414" s="5" t="n">
        <v>2021</v>
      </c>
      <c r="F414" s="5" t="n">
        <v>0.16</v>
      </c>
      <c r="G414" s="5" t="n">
        <v>5.897</v>
      </c>
      <c r="H414" s="5" t="n">
        <v>1.143</v>
      </c>
      <c r="I414" s="5" t="n">
        <v>0</v>
      </c>
      <c r="J414" s="5" t="n">
        <v>5.897</v>
      </c>
      <c r="K414" s="5" t="n">
        <v>0</v>
      </c>
      <c r="L414" s="5" t="n">
        <v>1</v>
      </c>
      <c r="M414" s="5" t="n">
        <v>7.964</v>
      </c>
      <c r="N414" s="5" t="n">
        <v>3.43</v>
      </c>
      <c r="O414" s="5" t="n">
        <v>0</v>
      </c>
      <c r="P414" s="5" t="n">
        <v>7.964</v>
      </c>
      <c r="Q414" s="5" t="n">
        <v>0</v>
      </c>
      <c r="R414" s="5" t="n">
        <v>1</v>
      </c>
      <c r="S414" s="5" t="n">
        <v>11.613</v>
      </c>
      <c r="T414" s="5" t="n">
        <v>6.86</v>
      </c>
      <c r="U414" s="5" t="n">
        <v>0</v>
      </c>
      <c r="V414" s="5" t="n">
        <v>12.542</v>
      </c>
      <c r="W414" s="5" t="n">
        <v>0.08</v>
      </c>
      <c r="X414" s="5" t="n">
        <v>1</v>
      </c>
      <c r="Y414" s="5" t="n">
        <v>4.783</v>
      </c>
      <c r="Z414" s="5" t="n">
        <v>0.646</v>
      </c>
      <c r="AA414" s="5" t="n">
        <v>0</v>
      </c>
      <c r="AB414" s="5" t="n">
        <v>4.783</v>
      </c>
      <c r="AC414" s="5" t="n">
        <v>0</v>
      </c>
      <c r="AD414" s="5" t="n">
        <v>1</v>
      </c>
      <c r="AE414" s="5" t="n">
        <v>5.926</v>
      </c>
      <c r="AF414" s="5" t="n">
        <v>1.386</v>
      </c>
      <c r="AG414" s="5" t="n">
        <v>0</v>
      </c>
      <c r="AH414" s="5" t="n">
        <v>5.926</v>
      </c>
      <c r="AI414" s="5" t="n">
        <v>0</v>
      </c>
      <c r="AJ414" s="5" t="n">
        <v>1</v>
      </c>
      <c r="AK414" s="5" t="n">
        <v>12.786</v>
      </c>
      <c r="AL414" s="5" t="n">
        <v>6.81</v>
      </c>
      <c r="AM414" s="5" t="n">
        <v>0</v>
      </c>
      <c r="AN414" s="5" t="n">
        <v>13.809</v>
      </c>
      <c r="AO414" s="5" t="n">
        <v>0.08</v>
      </c>
      <c r="AP414" s="5" t="n">
        <v>1</v>
      </c>
      <c r="AQ414" s="5" t="n">
        <v>0.508</v>
      </c>
      <c r="AR414" s="5" t="n">
        <v>0.093</v>
      </c>
      <c r="AS414" s="5" t="n">
        <v>0.554</v>
      </c>
      <c r="AT414" s="5" t="n">
        <v>1.147</v>
      </c>
      <c r="AU414" s="5" t="n">
        <v>0.08</v>
      </c>
      <c r="AV414" s="5" t="n">
        <v>1</v>
      </c>
      <c r="AW414" s="5" t="n">
        <v>0.585</v>
      </c>
      <c r="AX414" s="5" t="n">
        <v>0.113</v>
      </c>
      <c r="AY414" s="5" t="n">
        <v>0.332</v>
      </c>
      <c r="AZ414" s="5" t="n">
        <v>0.99</v>
      </c>
      <c r="BA414" s="5" t="n">
        <v>0.08</v>
      </c>
      <c r="BB414" s="5" t="n">
        <v>1</v>
      </c>
      <c r="BC414" s="5" t="n">
        <v>0.439</v>
      </c>
      <c r="BD414" s="5" t="n">
        <v>0.114</v>
      </c>
      <c r="BE414" s="5" t="n">
        <v>0.364</v>
      </c>
      <c r="BF414" s="5" t="n">
        <v>0.867</v>
      </c>
      <c r="BG414" s="5" t="n">
        <v>0.08</v>
      </c>
      <c r="BH414" s="5" t="n">
        <v>1</v>
      </c>
      <c r="BI414" s="5" t="n">
        <v>0.528</v>
      </c>
      <c r="BJ414" s="5" t="n">
        <v>0.117</v>
      </c>
      <c r="BK414" s="5" t="n">
        <v>0.318</v>
      </c>
      <c r="BL414" s="5" t="n">
        <v>0.914</v>
      </c>
      <c r="BM414" s="5" t="n">
        <v>0.08</v>
      </c>
      <c r="BN414" s="5" t="n">
        <v>1</v>
      </c>
      <c r="BO414" s="5" t="n">
        <v>0</v>
      </c>
      <c r="BP414" s="5" t="n">
        <v>0.08500000000000001</v>
      </c>
      <c r="BQ414" s="5" t="n">
        <v>0.31</v>
      </c>
      <c r="BR414" s="5" t="n">
        <v>0</v>
      </c>
      <c r="BS414" s="5" t="n">
        <v>0.667</v>
      </c>
      <c r="BT414" s="5" t="n">
        <v>0</v>
      </c>
      <c r="BU414" s="5" t="n">
        <v>0.08500000000000001</v>
      </c>
      <c r="BV414" s="5" t="n">
        <v>0.31</v>
      </c>
      <c r="BW414" s="5" t="n">
        <v>0.08</v>
      </c>
      <c r="BX414" s="5" t="n">
        <v>1</v>
      </c>
      <c r="BY414" s="5" t="n">
        <v>11.787</v>
      </c>
      <c r="BZ414" s="5" t="n">
        <v>0</v>
      </c>
      <c r="CA414" s="5" t="n">
        <v>11.787</v>
      </c>
      <c r="CB414" s="5" t="n">
        <v>0</v>
      </c>
      <c r="CC414" s="5" t="n">
        <v>78.125</v>
      </c>
      <c r="CD414" s="5" t="n">
        <v>7.95</v>
      </c>
      <c r="CE414" s="5" t="n">
        <v>56.411</v>
      </c>
      <c r="CF414" s="5" t="n">
        <v>145.299</v>
      </c>
      <c r="CG414" s="5" t="n">
        <v>0.08</v>
      </c>
      <c r="CH414" s="5" t="n">
        <v>1</v>
      </c>
      <c r="CI414" s="5" t="n">
        <v>0</v>
      </c>
      <c r="CJ414" s="5" t="n">
        <v>0</v>
      </c>
      <c r="CK414" s="5" t="n">
        <v>0</v>
      </c>
      <c r="CL414" s="5" t="n">
        <v>0</v>
      </c>
      <c r="CM414" s="5" t="n">
        <v>0</v>
      </c>
      <c r="CN414" s="5" t="n">
        <v>0</v>
      </c>
      <c r="CO414" s="5" t="n">
        <v>0</v>
      </c>
      <c r="CP414" s="5" t="n">
        <v>0</v>
      </c>
      <c r="CQ414" s="5" t="n">
        <v>1.198</v>
      </c>
      <c r="CR414" s="5" t="n">
        <v>0</v>
      </c>
      <c r="CS414" s="5" t="n">
        <v>4.776</v>
      </c>
      <c r="CT414" s="5" t="n">
        <v>4.753</v>
      </c>
      <c r="CU414" s="5" t="n">
        <v>15.162</v>
      </c>
    </row>
    <row r="415">
      <c r="A415" s="5" t="inlineStr">
        <is>
          <t>KEN2022</t>
        </is>
      </c>
      <c r="B415" s="5" t="inlineStr">
        <is>
          <t>KEN</t>
        </is>
      </c>
      <c r="C415" s="5" t="inlineStr">
        <is>
          <t>KEN</t>
        </is>
      </c>
      <c r="D415" s="5" t="inlineStr">
        <is>
          <t>Kenya</t>
        </is>
      </c>
      <c r="E415" s="5" t="n">
        <v>2022</v>
      </c>
      <c r="F415" s="5" t="n">
        <v>0.16</v>
      </c>
      <c r="G415" s="5" t="n">
        <v>11.72</v>
      </c>
      <c r="H415" s="5" t="n">
        <v>1.235</v>
      </c>
      <c r="I415" s="5" t="n">
        <v>0</v>
      </c>
      <c r="J415" s="5" t="n">
        <v>11.72</v>
      </c>
      <c r="K415" s="5" t="n">
        <v>0</v>
      </c>
      <c r="L415" s="5" t="n">
        <v>1</v>
      </c>
      <c r="M415" s="5" t="n">
        <v>9.782999999999999</v>
      </c>
      <c r="N415" s="5" t="n">
        <v>3.704</v>
      </c>
      <c r="O415" s="5" t="n">
        <v>0</v>
      </c>
      <c r="P415" s="5" t="n">
        <v>9.782999999999999</v>
      </c>
      <c r="Q415" s="5" t="n">
        <v>0</v>
      </c>
      <c r="R415" s="5" t="n">
        <v>1</v>
      </c>
      <c r="S415" s="5" t="n">
        <v>17.893</v>
      </c>
      <c r="T415" s="5" t="n">
        <v>7.408</v>
      </c>
      <c r="U415" s="5" t="n">
        <v>0.106</v>
      </c>
      <c r="V415" s="5" t="n">
        <v>19.325</v>
      </c>
      <c r="W415" s="5" t="n">
        <v>0.08</v>
      </c>
      <c r="X415" s="5" t="n">
        <v>1</v>
      </c>
      <c r="Y415" s="5" t="n">
        <v>6.819</v>
      </c>
      <c r="Z415" s="5" t="n">
        <v>0.922</v>
      </c>
      <c r="AA415" s="5" t="n">
        <v>0</v>
      </c>
      <c r="AB415" s="5" t="n">
        <v>6.819</v>
      </c>
      <c r="AC415" s="5" t="n">
        <v>0</v>
      </c>
      <c r="AD415" s="5" t="n">
        <v>1</v>
      </c>
      <c r="AE415" s="5" t="n">
        <v>8.053000000000001</v>
      </c>
      <c r="AF415" s="5" t="n">
        <v>1.883</v>
      </c>
      <c r="AG415" s="5" t="n">
        <v>0</v>
      </c>
      <c r="AH415" s="5" t="n">
        <v>8.053000000000001</v>
      </c>
      <c r="AI415" s="5" t="n">
        <v>0</v>
      </c>
      <c r="AJ415" s="5" t="n">
        <v>1</v>
      </c>
      <c r="AK415" s="5" t="n">
        <v>15.461</v>
      </c>
      <c r="AL415" s="5" t="n">
        <v>8.234999999999999</v>
      </c>
      <c r="AM415" s="5" t="n">
        <v>0.092</v>
      </c>
      <c r="AN415" s="5" t="n">
        <v>16.698</v>
      </c>
      <c r="AO415" s="5" t="n">
        <v>0.08</v>
      </c>
      <c r="AP415" s="5" t="n">
        <v>1</v>
      </c>
      <c r="AQ415" s="5" t="n">
        <v>0.53</v>
      </c>
      <c r="AR415" s="5" t="n">
        <v>0.076</v>
      </c>
      <c r="AS415" s="5" t="n">
        <v>0.703</v>
      </c>
      <c r="AT415" s="5" t="n">
        <v>1.332</v>
      </c>
      <c r="AU415" s="5" t="n">
        <v>0.08</v>
      </c>
      <c r="AV415" s="5" t="n">
        <v>1</v>
      </c>
      <c r="AW415" s="5" t="n">
        <v>0.486</v>
      </c>
      <c r="AX415" s="5" t="n">
        <v>0.063</v>
      </c>
      <c r="AY415" s="5" t="n">
        <v>0.608</v>
      </c>
      <c r="AZ415" s="5" t="n">
        <v>1.182</v>
      </c>
      <c r="BA415" s="5" t="n">
        <v>0.08</v>
      </c>
      <c r="BB415" s="5" t="n">
        <v>1</v>
      </c>
      <c r="BC415" s="5" t="n">
        <v>0.598</v>
      </c>
      <c r="BD415" s="5" t="n">
        <v>0.123</v>
      </c>
      <c r="BE415" s="5" t="n">
        <v>0.382</v>
      </c>
      <c r="BF415" s="5" t="n">
        <v>1.058</v>
      </c>
      <c r="BG415" s="5" t="n">
        <v>0.08</v>
      </c>
      <c r="BH415" s="5" t="n">
        <v>1</v>
      </c>
      <c r="BI415" s="5" t="n">
        <v>0.394</v>
      </c>
      <c r="BJ415" s="5" t="n">
        <v>0.077</v>
      </c>
      <c r="BK415" s="5" t="n">
        <v>0.604</v>
      </c>
      <c r="BL415" s="5" t="n">
        <v>1.078</v>
      </c>
      <c r="BM415" s="5" t="n">
        <v>0.08</v>
      </c>
      <c r="BN415" s="5" t="n">
        <v>1</v>
      </c>
      <c r="BO415" s="5" t="n">
        <v>0</v>
      </c>
      <c r="BP415" s="5" t="n">
        <v>0.114</v>
      </c>
      <c r="BQ415" s="5" t="n">
        <v>0.175</v>
      </c>
      <c r="BR415" s="5" t="n">
        <v>0</v>
      </c>
      <c r="BS415" s="5" t="n">
        <v>0.667</v>
      </c>
      <c r="BT415" s="5" t="n">
        <v>0</v>
      </c>
      <c r="BU415" s="5" t="n">
        <v>0.114</v>
      </c>
      <c r="BV415" s="5" t="n">
        <v>0.22</v>
      </c>
      <c r="BW415" s="5" t="n">
        <v>0.08</v>
      </c>
      <c r="BX415" s="5" t="n">
        <v>1</v>
      </c>
      <c r="BY415" s="5" t="n">
        <v>12.729</v>
      </c>
      <c r="BZ415" s="5" t="n">
        <v>0</v>
      </c>
      <c r="CA415" s="5" t="n">
        <v>12.729</v>
      </c>
      <c r="CB415" s="5" t="n">
        <v>0</v>
      </c>
      <c r="CC415" s="5" t="n">
        <v>97.90000000000001</v>
      </c>
      <c r="CD415" s="5" t="n">
        <v>7.95</v>
      </c>
      <c r="CE415" s="5" t="n">
        <v>61.206</v>
      </c>
      <c r="CF415" s="5" t="n">
        <v>171.834</v>
      </c>
      <c r="CG415" s="5" t="n">
        <v>0.08</v>
      </c>
      <c r="CH415" s="5" t="n">
        <v>1</v>
      </c>
      <c r="CI415" s="5" t="n">
        <v>0</v>
      </c>
      <c r="CJ415" s="5" t="n">
        <v>0</v>
      </c>
      <c r="CK415" s="5" t="n">
        <v>0</v>
      </c>
      <c r="CL415" s="5" t="n">
        <v>0</v>
      </c>
      <c r="CM415" s="5" t="n">
        <v>0</v>
      </c>
      <c r="CN415" s="5" t="n">
        <v>0</v>
      </c>
      <c r="CO415" s="5" t="n">
        <v>0</v>
      </c>
      <c r="CP415" s="5" t="n">
        <v>0</v>
      </c>
      <c r="CQ415" s="5" t="n">
        <v>1.294</v>
      </c>
      <c r="CR415" s="5" t="n">
        <v>0</v>
      </c>
      <c r="CS415" s="5" t="n">
        <v>5.158</v>
      </c>
      <c r="CT415" s="5" t="n">
        <v>10.485</v>
      </c>
      <c r="CU415" s="5" t="n">
        <v>31.326</v>
      </c>
    </row>
    <row r="416">
      <c r="A416" s="5" t="inlineStr">
        <is>
          <t>KEN2023</t>
        </is>
      </c>
      <c r="B416" s="5" t="inlineStr">
        <is>
          <t>KEN</t>
        </is>
      </c>
      <c r="C416" s="5" t="inlineStr">
        <is>
          <t>KEN</t>
        </is>
      </c>
      <c r="D416" s="5" t="inlineStr">
        <is>
          <t>Kenya</t>
        </is>
      </c>
      <c r="E416" s="5" t="n">
        <v>2023</v>
      </c>
      <c r="F416" s="5" t="n">
        <v>0.16</v>
      </c>
      <c r="G416" s="5" t="n">
        <v>6.147</v>
      </c>
      <c r="H416" s="5" t="n">
        <v>1.286</v>
      </c>
      <c r="I416" s="5" t="n">
        <v>0</v>
      </c>
      <c r="J416" s="5" t="n">
        <v>6.147</v>
      </c>
      <c r="K416" s="5" t="n">
        <v>0</v>
      </c>
      <c r="L416" s="5" t="n">
        <v>1</v>
      </c>
      <c r="M416" s="5" t="n">
        <v>7.886</v>
      </c>
      <c r="N416" s="5" t="n">
        <v>3.857</v>
      </c>
      <c r="O416" s="5" t="n">
        <v>0</v>
      </c>
      <c r="P416" s="5" t="n">
        <v>7.886</v>
      </c>
      <c r="Q416" s="5" t="n">
        <v>0</v>
      </c>
      <c r="R416" s="5" t="n">
        <v>1</v>
      </c>
      <c r="S416" s="5" t="n">
        <v>12.575</v>
      </c>
      <c r="T416" s="5" t="n">
        <v>7.714</v>
      </c>
      <c r="U416" s="5" t="n">
        <v>0.223</v>
      </c>
      <c r="V416" s="5" t="n">
        <v>14.587</v>
      </c>
      <c r="W416" s="5" t="n">
        <v>0.16</v>
      </c>
      <c r="X416" s="5" t="n">
        <v>1</v>
      </c>
      <c r="Y416" s="5" t="n">
        <v>9.321999999999999</v>
      </c>
      <c r="Z416" s="5" t="n">
        <v>1.26</v>
      </c>
      <c r="AA416" s="5" t="n">
        <v>0</v>
      </c>
      <c r="AB416" s="5" t="n">
        <v>9.321999999999999</v>
      </c>
      <c r="AC416" s="5" t="n">
        <v>0</v>
      </c>
      <c r="AD416" s="5" t="n">
        <v>1</v>
      </c>
      <c r="AE416" s="5" t="n">
        <v>10.607</v>
      </c>
      <c r="AF416" s="5" t="n">
        <v>2.48</v>
      </c>
      <c r="AG416" s="5" t="n">
        <v>0</v>
      </c>
      <c r="AH416" s="5" t="n">
        <v>10.607</v>
      </c>
      <c r="AI416" s="5" t="n">
        <v>0</v>
      </c>
      <c r="AJ416" s="5" t="n">
        <v>1</v>
      </c>
      <c r="AK416" s="5" t="n">
        <v>18.321</v>
      </c>
      <c r="AL416" s="5" t="n">
        <v>9.757999999999999</v>
      </c>
      <c r="AM416" s="5" t="n">
        <v>0.325</v>
      </c>
      <c r="AN416" s="5" t="n">
        <v>21.253</v>
      </c>
      <c r="AO416" s="5" t="n">
        <v>0.16</v>
      </c>
      <c r="AP416" s="5" t="n">
        <v>1</v>
      </c>
      <c r="AQ416" s="5" t="n">
        <v>0.705</v>
      </c>
      <c r="AR416" s="5" t="n">
        <v>0.119</v>
      </c>
      <c r="AS416" s="5" t="n">
        <v>0.494</v>
      </c>
      <c r="AT416" s="5" t="n">
        <v>1.39</v>
      </c>
      <c r="AU416" s="5" t="n">
        <v>0.16</v>
      </c>
      <c r="AV416" s="5" t="n">
        <v>1</v>
      </c>
      <c r="AW416" s="5" t="n">
        <v>0.704</v>
      </c>
      <c r="AX416" s="5" t="n">
        <v>0.121</v>
      </c>
      <c r="AY416" s="5" t="n">
        <v>0.407</v>
      </c>
      <c r="AZ416" s="5" t="n">
        <v>1.288</v>
      </c>
      <c r="BA416" s="5" t="n">
        <v>0.16</v>
      </c>
      <c r="BB416" s="5" t="n">
        <v>1</v>
      </c>
      <c r="BC416" s="5" t="n">
        <v>0.535</v>
      </c>
      <c r="BD416" s="5" t="n">
        <v>0.129</v>
      </c>
      <c r="BE416" s="5" t="n">
        <v>0.229</v>
      </c>
      <c r="BF416" s="5" t="n">
        <v>0.886</v>
      </c>
      <c r="BG416" s="5" t="n">
        <v>0.16</v>
      </c>
      <c r="BH416" s="5" t="n">
        <v>1</v>
      </c>
      <c r="BI416" s="5" t="n">
        <v>0.636</v>
      </c>
      <c r="BJ416" s="5" t="n">
        <v>0.138</v>
      </c>
      <c r="BK416" s="5" t="n">
        <v>0.42</v>
      </c>
      <c r="BL416" s="5" t="n">
        <v>1.226</v>
      </c>
      <c r="BM416" s="5" t="n">
        <v>0.16</v>
      </c>
      <c r="BN416" s="5" t="n">
        <v>1</v>
      </c>
      <c r="BO416" s="5" t="n">
        <v>0</v>
      </c>
      <c r="BP416" s="5" t="n">
        <v>0.11</v>
      </c>
      <c r="BQ416" s="5" t="n">
        <v>0.19</v>
      </c>
      <c r="BR416" s="5" t="n">
        <v>0</v>
      </c>
      <c r="BS416" s="5" t="n">
        <v>0.667</v>
      </c>
      <c r="BT416" s="5" t="n">
        <v>0</v>
      </c>
      <c r="BU416" s="5" t="n">
        <v>0.11</v>
      </c>
      <c r="BV416" s="5" t="n">
        <v>0.23</v>
      </c>
      <c r="BW416" s="5" t="n">
        <v>0.16</v>
      </c>
      <c r="BX416" s="5" t="n">
        <v>1</v>
      </c>
      <c r="BY416" s="5" t="n">
        <v>13.254</v>
      </c>
      <c r="BZ416" s="5" t="n">
        <v>0</v>
      </c>
      <c r="CA416" s="5" t="n">
        <v>13.254</v>
      </c>
      <c r="CB416" s="5" t="n">
        <v>0</v>
      </c>
      <c r="CC416" s="5" t="n">
        <v>83.248</v>
      </c>
      <c r="CD416" s="5" t="n">
        <v>7.95</v>
      </c>
      <c r="CE416" s="5" t="n">
        <v>85.47199999999999</v>
      </c>
      <c r="CF416" s="5" t="n">
        <v>195.715</v>
      </c>
      <c r="CG416" s="5" t="n">
        <v>0.16</v>
      </c>
      <c r="CH416" s="5" t="n">
        <v>1</v>
      </c>
      <c r="CI416" s="5" t="n">
        <v>0</v>
      </c>
      <c r="CJ416" s="5" t="n">
        <v>0</v>
      </c>
      <c r="CK416" s="5" t="n">
        <v>0</v>
      </c>
      <c r="CL416" s="5" t="n">
        <v>0</v>
      </c>
      <c r="CM416" s="5" t="n">
        <v>0</v>
      </c>
      <c r="CN416" s="5" t="n">
        <v>0</v>
      </c>
      <c r="CO416" s="5" t="n">
        <v>0</v>
      </c>
      <c r="CP416" s="5" t="n">
        <v>0</v>
      </c>
      <c r="CQ416" s="5" t="n">
        <v>1.348</v>
      </c>
      <c r="CR416" s="5" t="n">
        <v>0</v>
      </c>
      <c r="CS416" s="5" t="n">
        <v>5.37</v>
      </c>
      <c r="CT416" s="5" t="n">
        <v>4.861</v>
      </c>
      <c r="CU416" s="5" t="n">
        <v>11.622</v>
      </c>
    </row>
    <row r="417">
      <c r="A417" s="5" t="inlineStr">
        <is>
          <t>KEN2024</t>
        </is>
      </c>
      <c r="B417" s="5" t="inlineStr">
        <is>
          <t>KEN</t>
        </is>
      </c>
      <c r="C417" s="5" t="inlineStr">
        <is>
          <t>KEN</t>
        </is>
      </c>
      <c r="D417" s="5" t="inlineStr">
        <is>
          <t>Kenya</t>
        </is>
      </c>
      <c r="E417" s="5" t="n">
        <v>2024</v>
      </c>
      <c r="F417" s="5" t="n">
        <v>0.16</v>
      </c>
      <c r="G417" s="5" t="n">
        <v>5.575</v>
      </c>
      <c r="H417" s="5" t="n">
        <v>1.324</v>
      </c>
      <c r="I417" s="5" t="n">
        <v>0</v>
      </c>
      <c r="J417" s="5" t="n">
        <v>5.575</v>
      </c>
      <c r="K417" s="5" t="n">
        <v>0</v>
      </c>
      <c r="L417" s="5" t="n">
        <v>1</v>
      </c>
      <c r="M417" s="5" t="n">
        <v>7.124</v>
      </c>
      <c r="N417" s="5" t="n">
        <v>3.971</v>
      </c>
      <c r="O417" s="5" t="n">
        <v>0</v>
      </c>
      <c r="P417" s="5" t="n">
        <v>7.124</v>
      </c>
      <c r="Q417" s="5" t="n">
        <v>0</v>
      </c>
      <c r="R417" s="5" t="n">
        <v>1</v>
      </c>
      <c r="S417" s="5" t="n">
        <v>12.193</v>
      </c>
      <c r="T417" s="5" t="n">
        <v>7.942</v>
      </c>
      <c r="U417" s="5" t="n">
        <v>0.266</v>
      </c>
      <c r="V417" s="5" t="n">
        <v>14.144</v>
      </c>
      <c r="W417" s="5" t="n">
        <v>0.16</v>
      </c>
      <c r="X417" s="5" t="n">
        <v>1</v>
      </c>
      <c r="Y417" s="5" t="n">
        <v>8.831</v>
      </c>
      <c r="Z417" s="5" t="n">
        <v>1.193</v>
      </c>
      <c r="AA417" s="5" t="n">
        <v>0</v>
      </c>
      <c r="AB417" s="5" t="n">
        <v>8.831</v>
      </c>
      <c r="AC417" s="5" t="n">
        <v>0</v>
      </c>
      <c r="AD417" s="5" t="n">
        <v>1</v>
      </c>
      <c r="AE417" s="5" t="n">
        <v>10.154</v>
      </c>
      <c r="AF417" s="5" t="n">
        <v>2.374</v>
      </c>
      <c r="AG417" s="5" t="n">
        <v>0</v>
      </c>
      <c r="AH417" s="5" t="n">
        <v>10.154</v>
      </c>
      <c r="AI417" s="5" t="n">
        <v>0</v>
      </c>
      <c r="AJ417" s="5" t="n">
        <v>1</v>
      </c>
      <c r="AK417" s="5" t="n">
        <v>18.096</v>
      </c>
      <c r="AL417" s="5" t="n">
        <v>9.638</v>
      </c>
      <c r="AM417" s="5" t="n">
        <v>0.394</v>
      </c>
      <c r="AN417" s="5" t="n">
        <v>20.991</v>
      </c>
      <c r="AO417" s="5" t="n">
        <v>0.16</v>
      </c>
      <c r="AP417" s="5" t="n">
        <v>1</v>
      </c>
      <c r="AQ417" s="5" t="n">
        <v>0.645</v>
      </c>
      <c r="AR417" s="5" t="n">
        <v>0.117</v>
      </c>
      <c r="AS417" s="5" t="n">
        <v>0.583</v>
      </c>
      <c r="AT417" s="5" t="n">
        <v>1.425</v>
      </c>
      <c r="AU417" s="5" t="n">
        <v>0.16</v>
      </c>
      <c r="AV417" s="5" t="n">
        <v>1</v>
      </c>
      <c r="AW417" s="5" t="n">
        <v>0.748</v>
      </c>
      <c r="AX417" s="5" t="n">
        <v>0.137</v>
      </c>
      <c r="AY417" s="5" t="n">
        <v>0.393</v>
      </c>
      <c r="AZ417" s="5" t="n">
        <v>1.324</v>
      </c>
      <c r="BA417" s="5" t="n">
        <v>0.16</v>
      </c>
      <c r="BB417" s="5" t="n">
        <v>1</v>
      </c>
      <c r="BC417" s="5" t="n">
        <v>0.513</v>
      </c>
      <c r="BD417" s="5" t="n">
        <v>0.132</v>
      </c>
      <c r="BE417" s="5" t="n">
        <v>0.337</v>
      </c>
      <c r="BF417" s="5" t="n">
        <v>0.986</v>
      </c>
      <c r="BG417" s="5" t="n">
        <v>0.16</v>
      </c>
      <c r="BH417" s="5" t="n">
        <v>1</v>
      </c>
      <c r="BI417" s="5" t="n">
        <v>0.675</v>
      </c>
      <c r="BJ417" s="5" t="n">
        <v>0.148</v>
      </c>
      <c r="BK417" s="5" t="n">
        <v>0.401</v>
      </c>
      <c r="BL417" s="5" t="n">
        <v>1.248</v>
      </c>
      <c r="BM417" s="5" t="n">
        <v>0.16</v>
      </c>
      <c r="BN417" s="5" t="n">
        <v>1</v>
      </c>
      <c r="BO417" s="5" t="n">
        <v>0</v>
      </c>
      <c r="BP417" s="5" t="n">
        <v>0.089</v>
      </c>
      <c r="BQ417" s="5" t="n">
        <v>0.19</v>
      </c>
      <c r="BR417" s="5" t="n">
        <v>0</v>
      </c>
      <c r="BS417" s="5" t="n">
        <v>0.667</v>
      </c>
      <c r="BT417" s="5" t="n">
        <v>0</v>
      </c>
      <c r="BU417" s="5" t="n">
        <v>0.089</v>
      </c>
      <c r="BV417" s="5" t="n">
        <v>0.26</v>
      </c>
      <c r="BW417" s="5" t="n">
        <v>0.16</v>
      </c>
      <c r="BX417" s="5" t="n">
        <v>1</v>
      </c>
      <c r="BY417" s="5" t="n">
        <v>13.646</v>
      </c>
      <c r="BZ417" s="5" t="n">
        <v>0</v>
      </c>
      <c r="CA417" s="5" t="n">
        <v>13.646</v>
      </c>
      <c r="CB417" s="5" t="n">
        <v>0</v>
      </c>
      <c r="CC417" s="5" t="n">
        <v>82.58799999999999</v>
      </c>
      <c r="CD417" s="5" t="n">
        <v>7.95</v>
      </c>
      <c r="CE417" s="5" t="n">
        <v>88.598</v>
      </c>
      <c r="CF417" s="5" t="n">
        <v>198.575</v>
      </c>
      <c r="CG417" s="5" t="n">
        <v>0.16</v>
      </c>
      <c r="CH417" s="5" t="n">
        <v>1</v>
      </c>
      <c r="CI417" s="5" t="n">
        <v>0</v>
      </c>
      <c r="CJ417" s="5" t="n">
        <v>0</v>
      </c>
      <c r="CK417" s="5" t="n">
        <v>0</v>
      </c>
      <c r="CL417" s="5" t="n">
        <v>0</v>
      </c>
      <c r="CM417" s="5" t="n">
        <v>0</v>
      </c>
      <c r="CN417" s="5" t="n">
        <v>0</v>
      </c>
      <c r="CO417" s="5" t="n">
        <v>0</v>
      </c>
      <c r="CP417" s="5" t="n">
        <v>0</v>
      </c>
      <c r="CQ417" s="5" t="n">
        <v>1.387</v>
      </c>
      <c r="CR417" s="5" t="n">
        <v>0</v>
      </c>
      <c r="CS417" s="5" t="n">
        <v>5.529</v>
      </c>
      <c r="CT417" s="5" t="n">
        <v>4.251</v>
      </c>
      <c r="CU417" s="5" t="n">
        <v>10.168</v>
      </c>
    </row>
    <row r="418">
      <c r="A418" s="5" t="inlineStr">
        <is>
          <t>KIR2021</t>
        </is>
      </c>
      <c r="B418" s="5" t="inlineStr">
        <is>
          <t>KIR</t>
        </is>
      </c>
      <c r="C418" s="5" t="inlineStr">
        <is>
          <t>KIR</t>
        </is>
      </c>
      <c r="D418" s="5" t="inlineStr">
        <is>
          <t>Kiribati</t>
        </is>
      </c>
      <c r="E418" s="5" t="n">
        <v>2021</v>
      </c>
      <c r="F418" s="5" t="n">
        <v>0.125</v>
      </c>
      <c r="G418" s="5" t="n">
        <v>4.747</v>
      </c>
      <c r="H418" s="5" t="n">
        <v>1.143</v>
      </c>
      <c r="I418" s="5" t="n">
        <v>0</v>
      </c>
      <c r="J418" s="5" t="n">
        <v>4.747</v>
      </c>
      <c r="K418" s="5" t="n">
        <v>0</v>
      </c>
      <c r="L418" s="5" t="n">
        <v>1</v>
      </c>
      <c r="M418" s="5" t="n">
        <v>7.964</v>
      </c>
      <c r="N418" s="5" t="n">
        <v>3.43</v>
      </c>
      <c r="O418" s="5" t="n">
        <v>0</v>
      </c>
      <c r="P418" s="5" t="n">
        <v>7.964</v>
      </c>
      <c r="Q418" s="5" t="n">
        <v>0</v>
      </c>
      <c r="R418" s="5" t="n">
        <v>1</v>
      </c>
      <c r="S418" s="5" t="n">
        <v>10.464</v>
      </c>
      <c r="T418" s="5" t="n">
        <v>6.86</v>
      </c>
      <c r="U418" s="5" t="n">
        <v>0</v>
      </c>
      <c r="V418" s="5" t="n">
        <v>11.772</v>
      </c>
      <c r="W418" s="5" t="n">
        <v>0.125</v>
      </c>
      <c r="X418" s="5" t="n">
        <v>1</v>
      </c>
      <c r="Y418" s="5" t="n">
        <v>10.551</v>
      </c>
      <c r="Z418" s="5" t="n">
        <v>1.302</v>
      </c>
      <c r="AA418" s="5" t="n">
        <v>0</v>
      </c>
      <c r="AB418" s="5" t="n">
        <v>10.551</v>
      </c>
      <c r="AC418" s="5" t="n">
        <v>0</v>
      </c>
      <c r="AD418" s="5" t="n">
        <v>1</v>
      </c>
      <c r="AE418" s="5" t="n">
        <v>11.694</v>
      </c>
      <c r="AF418" s="5" t="n">
        <v>2.549</v>
      </c>
      <c r="AG418" s="5" t="n">
        <v>0</v>
      </c>
      <c r="AH418" s="5" t="n">
        <v>11.694</v>
      </c>
      <c r="AI418" s="5" t="n">
        <v>0</v>
      </c>
      <c r="AJ418" s="5" t="n">
        <v>1</v>
      </c>
      <c r="AK418" s="5" t="n">
        <v>18.554</v>
      </c>
      <c r="AL418" s="5" t="n">
        <v>9.627000000000001</v>
      </c>
      <c r="AM418" s="5" t="n">
        <v>0</v>
      </c>
      <c r="AN418" s="5" t="n">
        <v>20.873</v>
      </c>
      <c r="AO418" s="5" t="n">
        <v>0.125</v>
      </c>
      <c r="AP418" s="5" t="n">
        <v>1</v>
      </c>
      <c r="AQ418" s="5" t="n">
        <v>0.621</v>
      </c>
      <c r="AR418" s="5" t="n">
        <v>0.114</v>
      </c>
      <c r="AS418" s="5" t="n">
        <v>0</v>
      </c>
      <c r="AT418" s="5" t="n">
        <v>0.698</v>
      </c>
      <c r="AU418" s="5" t="n">
        <v>0.125</v>
      </c>
      <c r="AV418" s="5" t="n">
        <v>1</v>
      </c>
      <c r="AW418" s="5" t="n">
        <v>0.593</v>
      </c>
      <c r="AX418" s="5" t="n">
        <v>0.114</v>
      </c>
      <c r="AY418" s="5" t="n">
        <v>0</v>
      </c>
      <c r="AZ418" s="5" t="n">
        <v>0.667</v>
      </c>
      <c r="BA418" s="5" t="n">
        <v>0.125</v>
      </c>
      <c r="BB418" s="5" t="n">
        <v>1</v>
      </c>
      <c r="BC418" s="5" t="n">
        <v>0.44</v>
      </c>
      <c r="BD418" s="5" t="n">
        <v>0.114</v>
      </c>
      <c r="BE418" s="5" t="n">
        <v>0</v>
      </c>
      <c r="BF418" s="5" t="n">
        <v>0.495</v>
      </c>
      <c r="BG418" s="5" t="n">
        <v>0.125</v>
      </c>
      <c r="BH418" s="5" t="n">
        <v>1</v>
      </c>
      <c r="BI418" s="5" t="n">
        <v>0.5600000000000001</v>
      </c>
      <c r="BJ418" s="5" t="n">
        <v>0.114</v>
      </c>
      <c r="BK418" s="5" t="n">
        <v>0</v>
      </c>
      <c r="BL418" s="5" t="n">
        <v>0.63</v>
      </c>
      <c r="BM418" s="5" t="n">
        <v>0.125</v>
      </c>
      <c r="BN418" s="5" t="n">
        <v>1</v>
      </c>
      <c r="BO418" s="5" t="n">
        <v>0</v>
      </c>
      <c r="BP418" s="5" t="n">
        <v>0</v>
      </c>
      <c r="BQ418" s="5" t="n">
        <v>0</v>
      </c>
      <c r="BR418" s="5" t="n">
        <v>0</v>
      </c>
      <c r="BS418" s="5" t="n">
        <v>1</v>
      </c>
      <c r="BT418" s="5" t="n">
        <v>0</v>
      </c>
      <c r="BU418" s="5" t="n">
        <v>0</v>
      </c>
      <c r="BV418" s="5" t="n">
        <v>0</v>
      </c>
      <c r="BW418" s="5" t="n">
        <v>0.125</v>
      </c>
      <c r="BX418" s="5" t="n">
        <v>1</v>
      </c>
      <c r="BY418" s="5" t="n">
        <v>11.787</v>
      </c>
      <c r="BZ418" s="5" t="n">
        <v>0</v>
      </c>
      <c r="CA418" s="5" t="n">
        <v>11.787</v>
      </c>
      <c r="CB418" s="5" t="n">
        <v>0</v>
      </c>
      <c r="CC418" s="5" t="n">
        <v>81.69499999999999</v>
      </c>
      <c r="CD418" s="5" t="n">
        <v>7.95</v>
      </c>
      <c r="CE418" s="5" t="n">
        <v>0</v>
      </c>
      <c r="CF418" s="5" t="n">
        <v>91.907</v>
      </c>
      <c r="CG418" s="5" t="n">
        <v>0.125</v>
      </c>
      <c r="CH418" s="5" t="n">
        <v>1</v>
      </c>
      <c r="CI418" s="5" t="n">
        <v>0</v>
      </c>
      <c r="CJ418" s="5" t="n">
        <v>0</v>
      </c>
      <c r="CK418" s="5" t="n">
        <v>0</v>
      </c>
      <c r="CL418" s="5" t="n">
        <v>0</v>
      </c>
      <c r="CM418" s="5" t="n">
        <v>0</v>
      </c>
      <c r="CN418" s="5" t="n">
        <v>0</v>
      </c>
      <c r="CO418" s="5" t="n">
        <v>0</v>
      </c>
      <c r="CP418" s="5" t="n">
        <v>0</v>
      </c>
      <c r="CQ418" s="5" t="n">
        <v>1.198</v>
      </c>
      <c r="CR418" s="5" t="n">
        <v>0</v>
      </c>
      <c r="CS418" s="5" t="n">
        <v>4.776</v>
      </c>
      <c r="CT418" s="5" t="n">
        <v>3.604</v>
      </c>
      <c r="CU418" s="5" t="n">
        <v>9.407999999999999</v>
      </c>
    </row>
    <row r="419">
      <c r="A419" s="5" t="inlineStr">
        <is>
          <t>KIR2022</t>
        </is>
      </c>
      <c r="B419" s="5" t="inlineStr">
        <is>
          <t>KIR</t>
        </is>
      </c>
      <c r="C419" s="5" t="inlineStr">
        <is>
          <t>KIR</t>
        </is>
      </c>
      <c r="D419" s="5" t="inlineStr">
        <is>
          <t>Kiribati</t>
        </is>
      </c>
      <c r="E419" s="5" t="n">
        <v>2022</v>
      </c>
      <c r="F419" s="5" t="n">
        <v>0.125</v>
      </c>
      <c r="G419" s="5" t="n">
        <v>8.788</v>
      </c>
      <c r="H419" s="5" t="n">
        <v>1.235</v>
      </c>
      <c r="I419" s="5" t="n">
        <v>0</v>
      </c>
      <c r="J419" s="5" t="n">
        <v>8.788</v>
      </c>
      <c r="K419" s="5" t="n">
        <v>0</v>
      </c>
      <c r="L419" s="5" t="n">
        <v>1</v>
      </c>
      <c r="M419" s="5" t="n">
        <v>9.782999999999999</v>
      </c>
      <c r="N419" s="5" t="n">
        <v>3.704</v>
      </c>
      <c r="O419" s="5" t="n">
        <v>0</v>
      </c>
      <c r="P419" s="5" t="n">
        <v>9.782999999999999</v>
      </c>
      <c r="Q419" s="5" t="n">
        <v>0</v>
      </c>
      <c r="R419" s="5" t="n">
        <v>1</v>
      </c>
      <c r="S419" s="5" t="n">
        <v>14.962</v>
      </c>
      <c r="T419" s="5" t="n">
        <v>7.408</v>
      </c>
      <c r="U419" s="5" t="n">
        <v>0.138</v>
      </c>
      <c r="V419" s="5" t="n">
        <v>16.832</v>
      </c>
      <c r="W419" s="5" t="n">
        <v>0.125</v>
      </c>
      <c r="X419" s="5" t="n">
        <v>1</v>
      </c>
      <c r="Y419" s="5" t="n">
        <v>17.332</v>
      </c>
      <c r="Z419" s="5" t="n">
        <v>2.139</v>
      </c>
      <c r="AA419" s="5" t="n">
        <v>0</v>
      </c>
      <c r="AB419" s="5" t="n">
        <v>17.332</v>
      </c>
      <c r="AC419" s="5" t="n">
        <v>0</v>
      </c>
      <c r="AD419" s="5" t="n">
        <v>1</v>
      </c>
      <c r="AE419" s="5" t="n">
        <v>18.566</v>
      </c>
      <c r="AF419" s="5" t="n">
        <v>4.048</v>
      </c>
      <c r="AG419" s="5" t="n">
        <v>0</v>
      </c>
      <c r="AH419" s="5" t="n">
        <v>18.566</v>
      </c>
      <c r="AI419" s="5" t="n">
        <v>0</v>
      </c>
      <c r="AJ419" s="5" t="n">
        <v>1</v>
      </c>
      <c r="AK419" s="5" t="n">
        <v>25.974</v>
      </c>
      <c r="AL419" s="5" t="n">
        <v>13.478</v>
      </c>
      <c r="AM419" s="5" t="n">
        <v>0.24</v>
      </c>
      <c r="AN419" s="5" t="n">
        <v>29.221</v>
      </c>
      <c r="AO419" s="5" t="n">
        <v>0.125</v>
      </c>
      <c r="AP419" s="5" t="n">
        <v>1</v>
      </c>
      <c r="AQ419" s="5" t="n">
        <v>0.847</v>
      </c>
      <c r="AR419" s="5" t="n">
        <v>0.123</v>
      </c>
      <c r="AS419" s="5" t="n">
        <v>0.008</v>
      </c>
      <c r="AT419" s="5" t="n">
        <v>0.952</v>
      </c>
      <c r="AU419" s="5" t="n">
        <v>0.125</v>
      </c>
      <c r="AV419" s="5" t="n">
        <v>1</v>
      </c>
      <c r="AW419" s="5" t="n">
        <v>0.947</v>
      </c>
      <c r="AX419" s="5" t="n">
        <v>0.123</v>
      </c>
      <c r="AY419" s="5" t="n">
        <v>0.008999999999999999</v>
      </c>
      <c r="AZ419" s="5" t="n">
        <v>1.065</v>
      </c>
      <c r="BA419" s="5" t="n">
        <v>0.125</v>
      </c>
      <c r="BB419" s="5" t="n">
        <v>1</v>
      </c>
      <c r="BC419" s="5" t="n">
        <v>0.589</v>
      </c>
      <c r="BD419" s="5" t="n">
        <v>0.123</v>
      </c>
      <c r="BE419" s="5" t="n">
        <v>0.005</v>
      </c>
      <c r="BF419" s="5" t="n">
        <v>0.662</v>
      </c>
      <c r="BG419" s="5" t="n">
        <v>0.125</v>
      </c>
      <c r="BH419" s="5" t="n">
        <v>1</v>
      </c>
      <c r="BI419" s="5" t="n">
        <v>0.6889999999999999</v>
      </c>
      <c r="BJ419" s="5" t="n">
        <v>0.123</v>
      </c>
      <c r="BK419" s="5" t="n">
        <v>0.006</v>
      </c>
      <c r="BL419" s="5" t="n">
        <v>0.775</v>
      </c>
      <c r="BM419" s="5" t="n">
        <v>0.125</v>
      </c>
      <c r="BN419" s="5" t="n">
        <v>1</v>
      </c>
      <c r="BO419" s="5" t="n">
        <v>0</v>
      </c>
      <c r="BP419" s="5" t="n">
        <v>0</v>
      </c>
      <c r="BQ419" s="5" t="n">
        <v>0</v>
      </c>
      <c r="BR419" s="5" t="n">
        <v>0</v>
      </c>
      <c r="BS419" s="5" t="n">
        <v>1</v>
      </c>
      <c r="BT419" s="5" t="n">
        <v>0</v>
      </c>
      <c r="BU419" s="5" t="n">
        <v>0</v>
      </c>
      <c r="BV419" s="5" t="n">
        <v>0</v>
      </c>
      <c r="BW419" s="5" t="n">
        <v>0.125</v>
      </c>
      <c r="BX419" s="5" t="n">
        <v>1</v>
      </c>
      <c r="BY419" s="5" t="n">
        <v>12.729</v>
      </c>
      <c r="BZ419" s="5" t="n">
        <v>0</v>
      </c>
      <c r="CA419" s="5" t="n">
        <v>12.729</v>
      </c>
      <c r="CB419" s="5" t="n">
        <v>0</v>
      </c>
      <c r="CC419" s="5" t="n">
        <v>102.477</v>
      </c>
      <c r="CD419" s="5" t="n">
        <v>7.95</v>
      </c>
      <c r="CE419" s="5" t="n">
        <v>0.948</v>
      </c>
      <c r="CF419" s="5" t="n">
        <v>115.286</v>
      </c>
      <c r="CG419" s="5" t="n">
        <v>0.125</v>
      </c>
      <c r="CH419" s="5" t="n">
        <v>1</v>
      </c>
      <c r="CI419" s="5" t="n">
        <v>0</v>
      </c>
      <c r="CJ419" s="5" t="n">
        <v>0</v>
      </c>
      <c r="CK419" s="5" t="n">
        <v>0</v>
      </c>
      <c r="CL419" s="5" t="n">
        <v>0</v>
      </c>
      <c r="CM419" s="5" t="n">
        <v>0</v>
      </c>
      <c r="CN419" s="5" t="n">
        <v>0</v>
      </c>
      <c r="CO419" s="5" t="n">
        <v>0</v>
      </c>
      <c r="CP419" s="5" t="n">
        <v>0</v>
      </c>
      <c r="CQ419" s="5" t="n">
        <v>1.294</v>
      </c>
      <c r="CR419" s="5" t="n">
        <v>0</v>
      </c>
      <c r="CS419" s="5" t="n">
        <v>5.158</v>
      </c>
      <c r="CT419" s="5" t="n">
        <v>7.554</v>
      </c>
      <c r="CU419" s="5" t="n">
        <v>16.097</v>
      </c>
    </row>
    <row r="420">
      <c r="A420" s="5" t="inlineStr">
        <is>
          <t>KIR2023</t>
        </is>
      </c>
      <c r="B420" s="5" t="inlineStr">
        <is>
          <t>KIR</t>
        </is>
      </c>
      <c r="C420" s="5" t="inlineStr">
        <is>
          <t>KIR</t>
        </is>
      </c>
      <c r="D420" s="5" t="inlineStr">
        <is>
          <t>Kiribati</t>
        </is>
      </c>
      <c r="E420" s="5" t="n">
        <v>2023</v>
      </c>
      <c r="F420" s="5" t="n">
        <v>0.125</v>
      </c>
      <c r="G420" s="5" t="n">
        <v>5.77</v>
      </c>
      <c r="H420" s="5" t="n">
        <v>1.286</v>
      </c>
      <c r="I420" s="5" t="n">
        <v>0</v>
      </c>
      <c r="J420" s="5" t="n">
        <v>5.77</v>
      </c>
      <c r="K420" s="5" t="n">
        <v>0</v>
      </c>
      <c r="L420" s="5" t="n">
        <v>1</v>
      </c>
      <c r="M420" s="5" t="n">
        <v>7.886</v>
      </c>
      <c r="N420" s="5" t="n">
        <v>3.857</v>
      </c>
      <c r="O420" s="5" t="n">
        <v>0</v>
      </c>
      <c r="P420" s="5" t="n">
        <v>7.886</v>
      </c>
      <c r="Q420" s="5" t="n">
        <v>0</v>
      </c>
      <c r="R420" s="5" t="n">
        <v>1</v>
      </c>
      <c r="S420" s="5" t="n">
        <v>12.198</v>
      </c>
      <c r="T420" s="5" t="n">
        <v>7.714</v>
      </c>
      <c r="U420" s="5" t="n">
        <v>0.169</v>
      </c>
      <c r="V420" s="5" t="n">
        <v>13.723</v>
      </c>
      <c r="W420" s="5" t="n">
        <v>0.125</v>
      </c>
      <c r="X420" s="5" t="n">
        <v>1</v>
      </c>
      <c r="Y420" s="5" t="n">
        <v>13.814</v>
      </c>
      <c r="Z420" s="5" t="n">
        <v>1.705</v>
      </c>
      <c r="AA420" s="5" t="n">
        <v>0</v>
      </c>
      <c r="AB420" s="5" t="n">
        <v>13.814</v>
      </c>
      <c r="AC420" s="5" t="n">
        <v>0</v>
      </c>
      <c r="AD420" s="5" t="n">
        <v>1</v>
      </c>
      <c r="AE420" s="5" t="n">
        <v>15.1</v>
      </c>
      <c r="AF420" s="5" t="n">
        <v>3.292</v>
      </c>
      <c r="AG420" s="5" t="n">
        <v>0</v>
      </c>
      <c r="AH420" s="5" t="n">
        <v>15.1</v>
      </c>
      <c r="AI420" s="5" t="n">
        <v>0</v>
      </c>
      <c r="AJ420" s="5" t="n">
        <v>1</v>
      </c>
      <c r="AK420" s="5" t="n">
        <v>22.814</v>
      </c>
      <c r="AL420" s="5" t="n">
        <v>11.838</v>
      </c>
      <c r="AM420" s="5" t="n">
        <v>0.316</v>
      </c>
      <c r="AN420" s="5" t="n">
        <v>25.666</v>
      </c>
      <c r="AO420" s="5" t="n">
        <v>0.125</v>
      </c>
      <c r="AP420" s="5" t="n">
        <v>1</v>
      </c>
      <c r="AQ420" s="5" t="n">
        <v>0.749</v>
      </c>
      <c r="AR420" s="5" t="n">
        <v>0.129</v>
      </c>
      <c r="AS420" s="5" t="n">
        <v>0.01</v>
      </c>
      <c r="AT420" s="5" t="n">
        <v>0.842</v>
      </c>
      <c r="AU420" s="5" t="n">
        <v>0.125</v>
      </c>
      <c r="AV420" s="5" t="n">
        <v>1</v>
      </c>
      <c r="AW420" s="5" t="n">
        <v>0.783</v>
      </c>
      <c r="AX420" s="5" t="n">
        <v>0.129</v>
      </c>
      <c r="AY420" s="5" t="n">
        <v>0.011</v>
      </c>
      <c r="AZ420" s="5" t="n">
        <v>0.88</v>
      </c>
      <c r="BA420" s="5" t="n">
        <v>0.125</v>
      </c>
      <c r="BB420" s="5" t="n">
        <v>1</v>
      </c>
      <c r="BC420" s="5" t="n">
        <v>0.527</v>
      </c>
      <c r="BD420" s="5" t="n">
        <v>0.129</v>
      </c>
      <c r="BE420" s="5" t="n">
        <v>0.007</v>
      </c>
      <c r="BF420" s="5" t="n">
        <v>0.593</v>
      </c>
      <c r="BG420" s="5" t="n">
        <v>0.125</v>
      </c>
      <c r="BH420" s="5" t="n">
        <v>1</v>
      </c>
      <c r="BI420" s="5" t="n">
        <v>0.64</v>
      </c>
      <c r="BJ420" s="5" t="n">
        <v>0.129</v>
      </c>
      <c r="BK420" s="5" t="n">
        <v>0.008999999999999999</v>
      </c>
      <c r="BL420" s="5" t="n">
        <v>0.72</v>
      </c>
      <c r="BM420" s="5" t="n">
        <v>0.125</v>
      </c>
      <c r="BN420" s="5" t="n">
        <v>1</v>
      </c>
      <c r="BO420" s="5" t="n">
        <v>0</v>
      </c>
      <c r="BP420" s="5" t="n">
        <v>0</v>
      </c>
      <c r="BQ420" s="5" t="n">
        <v>0</v>
      </c>
      <c r="BR420" s="5" t="n">
        <v>0</v>
      </c>
      <c r="BS420" s="5" t="n">
        <v>1</v>
      </c>
      <c r="BT420" s="5" t="n">
        <v>0</v>
      </c>
      <c r="BU420" s="5" t="n">
        <v>0</v>
      </c>
      <c r="BV420" s="5" t="n">
        <v>0</v>
      </c>
      <c r="BW420" s="5" t="n">
        <v>0.125</v>
      </c>
      <c r="BX420" s="5" t="n">
        <v>1</v>
      </c>
      <c r="BY420" s="5" t="n">
        <v>13.254</v>
      </c>
      <c r="BZ420" s="5" t="n">
        <v>0</v>
      </c>
      <c r="CA420" s="5" t="n">
        <v>13.254</v>
      </c>
      <c r="CB420" s="5" t="n">
        <v>0</v>
      </c>
      <c r="CC420" s="5" t="n">
        <v>87.07899999999999</v>
      </c>
      <c r="CD420" s="5" t="n">
        <v>7.95</v>
      </c>
      <c r="CE420" s="5" t="n">
        <v>1.205</v>
      </c>
      <c r="CF420" s="5" t="n">
        <v>97.964</v>
      </c>
      <c r="CG420" s="5" t="n">
        <v>0.125</v>
      </c>
      <c r="CH420" s="5" t="n">
        <v>1</v>
      </c>
      <c r="CI420" s="5" t="n">
        <v>0</v>
      </c>
      <c r="CJ420" s="5" t="n">
        <v>0</v>
      </c>
      <c r="CK420" s="5" t="n">
        <v>0</v>
      </c>
      <c r="CL420" s="5" t="n">
        <v>0</v>
      </c>
      <c r="CM420" s="5" t="n">
        <v>0</v>
      </c>
      <c r="CN420" s="5" t="n">
        <v>0</v>
      </c>
      <c r="CO420" s="5" t="n">
        <v>0</v>
      </c>
      <c r="CP420" s="5" t="n">
        <v>0</v>
      </c>
      <c r="CQ420" s="5" t="n">
        <v>1.348</v>
      </c>
      <c r="CR420" s="5" t="n">
        <v>0</v>
      </c>
      <c r="CS420" s="5" t="n">
        <v>5.37</v>
      </c>
      <c r="CT420" s="5" t="n">
        <v>4.484</v>
      </c>
      <c r="CU420" s="5" t="n">
        <v>12.529</v>
      </c>
    </row>
    <row r="421">
      <c r="A421" s="5" t="inlineStr">
        <is>
          <t>KIR2024</t>
        </is>
      </c>
      <c r="B421" s="5" t="inlineStr">
        <is>
          <t>KIR</t>
        </is>
      </c>
      <c r="C421" s="5" t="inlineStr">
        <is>
          <t>KIR</t>
        </is>
      </c>
      <c r="D421" s="5" t="inlineStr">
        <is>
          <t>Kiribati</t>
        </is>
      </c>
      <c r="E421" s="5" t="n">
        <v>2024</v>
      </c>
      <c r="F421" s="5" t="n">
        <v>0.125</v>
      </c>
      <c r="G421" s="5" t="n">
        <v>4.833</v>
      </c>
      <c r="H421" s="5" t="n">
        <v>1.324</v>
      </c>
      <c r="I421" s="5" t="n">
        <v>0</v>
      </c>
      <c r="J421" s="5" t="n">
        <v>4.833</v>
      </c>
      <c r="K421" s="5" t="n">
        <v>0</v>
      </c>
      <c r="L421" s="5" t="n">
        <v>1</v>
      </c>
      <c r="M421" s="5" t="n">
        <v>7.124</v>
      </c>
      <c r="N421" s="5" t="n">
        <v>3.971</v>
      </c>
      <c r="O421" s="5" t="n">
        <v>0</v>
      </c>
      <c r="P421" s="5" t="n">
        <v>7.124</v>
      </c>
      <c r="Q421" s="5" t="n">
        <v>0</v>
      </c>
      <c r="R421" s="5" t="n">
        <v>1</v>
      </c>
      <c r="S421" s="5" t="n">
        <v>11.451</v>
      </c>
      <c r="T421" s="5" t="n">
        <v>7.942</v>
      </c>
      <c r="U421" s="5" t="n">
        <v>0.195</v>
      </c>
      <c r="V421" s="5" t="n">
        <v>12.882</v>
      </c>
      <c r="W421" s="5" t="n">
        <v>0.125</v>
      </c>
      <c r="X421" s="5" t="n">
        <v>1</v>
      </c>
      <c r="Y421" s="5" t="n">
        <v>12.219</v>
      </c>
      <c r="Z421" s="5" t="n">
        <v>1.508</v>
      </c>
      <c r="AA421" s="5" t="n">
        <v>0</v>
      </c>
      <c r="AB421" s="5" t="n">
        <v>12.219</v>
      </c>
      <c r="AC421" s="5" t="n">
        <v>0</v>
      </c>
      <c r="AD421" s="5" t="n">
        <v>1</v>
      </c>
      <c r="AE421" s="5" t="n">
        <v>13.543</v>
      </c>
      <c r="AF421" s="5" t="n">
        <v>2.952</v>
      </c>
      <c r="AG421" s="5" t="n">
        <v>0</v>
      </c>
      <c r="AH421" s="5" t="n">
        <v>13.543</v>
      </c>
      <c r="AI421" s="5" t="n">
        <v>0</v>
      </c>
      <c r="AJ421" s="5" t="n">
        <v>1</v>
      </c>
      <c r="AK421" s="5" t="n">
        <v>21.484</v>
      </c>
      <c r="AL421" s="5" t="n">
        <v>11.148</v>
      </c>
      <c r="AM421" s="5" t="n">
        <v>0.366</v>
      </c>
      <c r="AN421" s="5" t="n">
        <v>24.17</v>
      </c>
      <c r="AO421" s="5" t="n">
        <v>0.125</v>
      </c>
      <c r="AP421" s="5" t="n">
        <v>1</v>
      </c>
      <c r="AQ421" s="5" t="n">
        <v>0.72</v>
      </c>
      <c r="AR421" s="5" t="n">
        <v>0.132</v>
      </c>
      <c r="AS421" s="5" t="n">
        <v>0.012</v>
      </c>
      <c r="AT421" s="5" t="n">
        <v>0.8100000000000001</v>
      </c>
      <c r="AU421" s="5" t="n">
        <v>0.125</v>
      </c>
      <c r="AV421" s="5" t="n">
        <v>1</v>
      </c>
      <c r="AW421" s="5" t="n">
        <v>0.734</v>
      </c>
      <c r="AX421" s="5" t="n">
        <v>0.132</v>
      </c>
      <c r="AY421" s="5" t="n">
        <v>0.012</v>
      </c>
      <c r="AZ421" s="5" t="n">
        <v>0.825</v>
      </c>
      <c r="BA421" s="5" t="n">
        <v>0.125</v>
      </c>
      <c r="BB421" s="5" t="n">
        <v>1</v>
      </c>
      <c r="BC421" s="5" t="n">
        <v>0.51</v>
      </c>
      <c r="BD421" s="5" t="n">
        <v>0.132</v>
      </c>
      <c r="BE421" s="5" t="n">
        <v>0.008999999999999999</v>
      </c>
      <c r="BF421" s="5" t="n">
        <v>0.574</v>
      </c>
      <c r="BG421" s="5" t="n">
        <v>0.125</v>
      </c>
      <c r="BH421" s="5" t="n">
        <v>1</v>
      </c>
      <c r="BI421" s="5" t="n">
        <v>0.652</v>
      </c>
      <c r="BJ421" s="5" t="n">
        <v>0.132</v>
      </c>
      <c r="BK421" s="5" t="n">
        <v>0.011</v>
      </c>
      <c r="BL421" s="5" t="n">
        <v>0.734</v>
      </c>
      <c r="BM421" s="5" t="n">
        <v>0.125</v>
      </c>
      <c r="BN421" s="5" t="n">
        <v>1</v>
      </c>
      <c r="BO421" s="5" t="n">
        <v>0</v>
      </c>
      <c r="BP421" s="5" t="n">
        <v>0</v>
      </c>
      <c r="BQ421" s="5" t="n">
        <v>0</v>
      </c>
      <c r="BR421" s="5" t="n">
        <v>0</v>
      </c>
      <c r="BS421" s="5" t="n">
        <v>1</v>
      </c>
      <c r="BT421" s="5" t="n">
        <v>0</v>
      </c>
      <c r="BU421" s="5" t="n">
        <v>0</v>
      </c>
      <c r="BV421" s="5" t="n">
        <v>0</v>
      </c>
      <c r="BW421" s="5" t="n">
        <v>0.125</v>
      </c>
      <c r="BX421" s="5" t="n">
        <v>1</v>
      </c>
      <c r="BY421" s="5" t="n">
        <v>13.646</v>
      </c>
      <c r="BZ421" s="5" t="n">
        <v>0</v>
      </c>
      <c r="CA421" s="5" t="n">
        <v>13.646</v>
      </c>
      <c r="CB421" s="5" t="n">
        <v>0</v>
      </c>
      <c r="CC421" s="5" t="n">
        <v>86.38500000000001</v>
      </c>
      <c r="CD421" s="5" t="n">
        <v>7.95</v>
      </c>
      <c r="CE421" s="5" t="n">
        <v>1.471</v>
      </c>
      <c r="CF421" s="5" t="n">
        <v>97.184</v>
      </c>
      <c r="CG421" s="5" t="n">
        <v>0.125</v>
      </c>
      <c r="CH421" s="5" t="n">
        <v>1</v>
      </c>
      <c r="CI421" s="5" t="n">
        <v>0</v>
      </c>
      <c r="CJ421" s="5" t="n">
        <v>0</v>
      </c>
      <c r="CK421" s="5" t="n">
        <v>0</v>
      </c>
      <c r="CL421" s="5" t="n">
        <v>0</v>
      </c>
      <c r="CM421" s="5" t="n">
        <v>0</v>
      </c>
      <c r="CN421" s="5" t="n">
        <v>0</v>
      </c>
      <c r="CO421" s="5" t="n">
        <v>0</v>
      </c>
      <c r="CP421" s="5" t="n">
        <v>0</v>
      </c>
      <c r="CQ421" s="5" t="n">
        <v>1.387</v>
      </c>
      <c r="CR421" s="5" t="n">
        <v>0</v>
      </c>
      <c r="CS421" s="5" t="n">
        <v>5.529</v>
      </c>
      <c r="CT421" s="5" t="n">
        <v>3.509</v>
      </c>
      <c r="CU421" s="5" t="n">
        <v>10.896</v>
      </c>
    </row>
    <row r="422">
      <c r="A422" s="5" t="inlineStr">
        <is>
          <t>KOR2021</t>
        </is>
      </c>
      <c r="B422" s="5" t="inlineStr">
        <is>
          <t>KOR</t>
        </is>
      </c>
      <c r="C422" s="5" t="inlineStr">
        <is>
          <t>KOR</t>
        </is>
      </c>
      <c r="D422" s="5" t="inlineStr">
        <is>
          <t>Korea</t>
        </is>
      </c>
      <c r="E422" s="5" t="n">
        <v>2021</v>
      </c>
      <c r="F422" s="5" t="n">
        <v>0.1</v>
      </c>
      <c r="G422" s="5" t="n">
        <v>4.446</v>
      </c>
      <c r="H422" s="5" t="n">
        <v>0.973</v>
      </c>
      <c r="I422" s="5" t="n">
        <v>2.735</v>
      </c>
      <c r="J422" s="5" t="n">
        <v>7.181</v>
      </c>
      <c r="K422" s="5" t="n">
        <v>0</v>
      </c>
      <c r="L422" s="5" t="n">
        <v>1</v>
      </c>
      <c r="M422" s="5" t="n">
        <v>5.764</v>
      </c>
      <c r="N422" s="5" t="n">
        <v>2.612</v>
      </c>
      <c r="O422" s="5" t="n">
        <v>1.417</v>
      </c>
      <c r="P422" s="5" t="n">
        <v>7.181</v>
      </c>
      <c r="Q422" s="5" t="n">
        <v>0</v>
      </c>
      <c r="R422" s="5" t="n">
        <v>1</v>
      </c>
      <c r="S422" s="5" t="n">
        <v>11.463</v>
      </c>
      <c r="T422" s="5" t="n">
        <v>7.103</v>
      </c>
      <c r="U422" s="5" t="n">
        <v>-3.064</v>
      </c>
      <c r="V422" s="5" t="n">
        <v>8.398</v>
      </c>
      <c r="W422" s="5" t="n">
        <v>0</v>
      </c>
      <c r="X422" s="5" t="n">
        <v>0</v>
      </c>
      <c r="Y422" s="5" t="n">
        <v>13.956</v>
      </c>
      <c r="Z422" s="5" t="n">
        <v>1.542</v>
      </c>
      <c r="AA422" s="5" t="n">
        <v>0.147</v>
      </c>
      <c r="AB422" s="5" t="n">
        <v>14.103</v>
      </c>
      <c r="AC422" s="5" t="n">
        <v>0</v>
      </c>
      <c r="AD422" s="5" t="n">
        <v>1</v>
      </c>
      <c r="AE422" s="5" t="n">
        <v>14.038</v>
      </c>
      <c r="AF422" s="5" t="n">
        <v>2.762</v>
      </c>
      <c r="AG422" s="5" t="n">
        <v>1.631</v>
      </c>
      <c r="AH422" s="5" t="n">
        <v>15.669</v>
      </c>
      <c r="AI422" s="5" t="n">
        <v>0</v>
      </c>
      <c r="AJ422" s="5" t="n">
        <v>1</v>
      </c>
      <c r="AK422" s="5" t="n">
        <v>17.765</v>
      </c>
      <c r="AL422" s="5" t="n">
        <v>8.718999999999999</v>
      </c>
      <c r="AM422" s="5" t="n">
        <v>-5.204</v>
      </c>
      <c r="AN422" s="5" t="n">
        <v>13.817</v>
      </c>
      <c r="AO422" s="5" t="n">
        <v>0</v>
      </c>
      <c r="AP422" s="5" t="n">
        <v>0</v>
      </c>
      <c r="AQ422" s="5" t="n">
        <v>0.621</v>
      </c>
      <c r="AR422" s="5" t="n">
        <v>0.114</v>
      </c>
      <c r="AS422" s="5" t="n">
        <v>0.623</v>
      </c>
      <c r="AT422" s="5" t="n">
        <v>1.367</v>
      </c>
      <c r="AU422" s="5" t="n">
        <v>0.1</v>
      </c>
      <c r="AV422" s="5" t="n">
        <v>1</v>
      </c>
      <c r="AW422" s="5" t="n">
        <v>0.593</v>
      </c>
      <c r="AX422" s="5" t="n">
        <v>0.114</v>
      </c>
      <c r="AY422" s="5" t="n">
        <v>0.512</v>
      </c>
      <c r="AZ422" s="5" t="n">
        <v>1.216</v>
      </c>
      <c r="BA422" s="5" t="n">
        <v>0.1</v>
      </c>
      <c r="BB422" s="5" t="n">
        <v>1</v>
      </c>
      <c r="BC422" s="5" t="n">
        <v>0.44</v>
      </c>
      <c r="BD422" s="5" t="n">
        <v>0.114</v>
      </c>
      <c r="BE422" s="5" t="n">
        <v>0.141</v>
      </c>
      <c r="BF422" s="5" t="n">
        <v>0.639</v>
      </c>
      <c r="BG422" s="5" t="n">
        <v>0.1</v>
      </c>
      <c r="BH422" s="5" t="n">
        <v>1</v>
      </c>
      <c r="BI422" s="5" t="n">
        <v>0.5600000000000001</v>
      </c>
      <c r="BJ422" s="5" t="n">
        <v>0.114</v>
      </c>
      <c r="BK422" s="5" t="n">
        <v>0.192</v>
      </c>
      <c r="BL422" s="5" t="n">
        <v>0.828</v>
      </c>
      <c r="BM422" s="5" t="n">
        <v>0.1</v>
      </c>
      <c r="BN422" s="5" t="n">
        <v>1</v>
      </c>
      <c r="BO422" s="5" t="n">
        <v>0</v>
      </c>
      <c r="BP422" s="5" t="n">
        <v>0.003</v>
      </c>
      <c r="BQ422" s="5" t="n">
        <v>0.091</v>
      </c>
      <c r="BR422" s="5" t="n">
        <v>0</v>
      </c>
      <c r="BS422" s="5" t="n">
        <v>0.833</v>
      </c>
      <c r="BT422" s="5" t="n">
        <v>0</v>
      </c>
      <c r="BU422" s="5" t="n">
        <v>0.004</v>
      </c>
      <c r="BV422" s="5" t="n">
        <v>0.094</v>
      </c>
      <c r="BW422" s="5" t="n">
        <v>0</v>
      </c>
      <c r="BX422" s="5" t="n">
        <v>0.667</v>
      </c>
      <c r="BY422" s="5" t="n">
        <v>2.587</v>
      </c>
      <c r="BZ422" s="5" t="n">
        <v>0</v>
      </c>
      <c r="CA422" s="5" t="n">
        <v>2.587</v>
      </c>
      <c r="CB422" s="5" t="n">
        <v>0</v>
      </c>
      <c r="CC422" s="5" t="n">
        <v>81.69499999999999</v>
      </c>
      <c r="CD422" s="5" t="n">
        <v>7.95</v>
      </c>
      <c r="CE422" s="5" t="n">
        <v>-1.133</v>
      </c>
      <c r="CF422" s="5" t="n">
        <v>88.619</v>
      </c>
      <c r="CG422" s="5" t="n">
        <v>0.1</v>
      </c>
      <c r="CH422" s="5" t="n">
        <v>1</v>
      </c>
      <c r="CI422" s="5" t="n">
        <v>0</v>
      </c>
      <c r="CJ422" s="5" t="n">
        <v>0</v>
      </c>
      <c r="CK422" s="5" t="n">
        <v>0</v>
      </c>
      <c r="CL422" s="5" t="n">
        <v>0.029</v>
      </c>
      <c r="CM422" s="5" t="n">
        <v>0</v>
      </c>
      <c r="CN422" s="5" t="n">
        <v>0</v>
      </c>
      <c r="CO422" s="5" t="n">
        <v>0</v>
      </c>
      <c r="CP422" s="5" t="n">
        <v>0</v>
      </c>
      <c r="CQ422" s="5" t="n">
        <v>1.198</v>
      </c>
      <c r="CR422" s="5" t="n">
        <v>0</v>
      </c>
      <c r="CS422" s="5" t="n">
        <v>1.655</v>
      </c>
      <c r="CT422" s="5" t="n">
        <v>5.524</v>
      </c>
      <c r="CU422" s="5" t="n">
        <v>10.311</v>
      </c>
    </row>
    <row r="423">
      <c r="A423" s="5" t="inlineStr">
        <is>
          <t>KOR2022</t>
        </is>
      </c>
      <c r="B423" s="5" t="inlineStr">
        <is>
          <t>KOR</t>
        </is>
      </c>
      <c r="C423" s="5" t="inlineStr">
        <is>
          <t>KOR</t>
        </is>
      </c>
      <c r="D423" s="5" t="inlineStr">
        <is>
          <t>Korea</t>
        </is>
      </c>
      <c r="E423" s="5" t="n">
        <v>2022</v>
      </c>
      <c r="F423" s="5" t="n">
        <v>0.1</v>
      </c>
      <c r="G423" s="5" t="n">
        <v>3.98</v>
      </c>
      <c r="H423" s="5" t="n">
        <v>0.618</v>
      </c>
      <c r="I423" s="5" t="n">
        <v>3.182</v>
      </c>
      <c r="J423" s="5" t="n">
        <v>7.162</v>
      </c>
      <c r="K423" s="5" t="n">
        <v>0</v>
      </c>
      <c r="L423" s="5" t="n">
        <v>1</v>
      </c>
      <c r="M423" s="5" t="n">
        <v>4.988</v>
      </c>
      <c r="N423" s="5" t="n">
        <v>2.06</v>
      </c>
      <c r="O423" s="5" t="n">
        <v>2.174</v>
      </c>
      <c r="P423" s="5" t="n">
        <v>7.162</v>
      </c>
      <c r="Q423" s="5" t="n">
        <v>0</v>
      </c>
      <c r="R423" s="5" t="n">
        <v>1</v>
      </c>
      <c r="S423" s="5" t="n">
        <v>8.478</v>
      </c>
      <c r="T423" s="5" t="n">
        <v>4.152</v>
      </c>
      <c r="U423" s="5" t="n">
        <v>-1.275</v>
      </c>
      <c r="V423" s="5" t="n">
        <v>7.203</v>
      </c>
      <c r="W423" s="5" t="n">
        <v>0</v>
      </c>
      <c r="X423" s="5" t="n">
        <v>0</v>
      </c>
      <c r="Y423" s="5" t="n">
        <v>23.589</v>
      </c>
      <c r="Z423" s="5" t="n">
        <v>2.475</v>
      </c>
      <c r="AA423" s="5" t="n">
        <v>1.306</v>
      </c>
      <c r="AB423" s="5" t="n">
        <v>24.896</v>
      </c>
      <c r="AC423" s="5" t="n">
        <v>0</v>
      </c>
      <c r="AD423" s="5" t="n">
        <v>1</v>
      </c>
      <c r="AE423" s="5" t="n">
        <v>23.763</v>
      </c>
      <c r="AF423" s="5" t="n">
        <v>4.405</v>
      </c>
      <c r="AG423" s="5" t="n">
        <v>0.034</v>
      </c>
      <c r="AH423" s="5" t="n">
        <v>23.797</v>
      </c>
      <c r="AI423" s="5" t="n">
        <v>0</v>
      </c>
      <c r="AJ423" s="5" t="n">
        <v>1</v>
      </c>
      <c r="AK423" s="5" t="n">
        <v>28.038</v>
      </c>
      <c r="AL423" s="5" t="n">
        <v>13.389</v>
      </c>
      <c r="AM423" s="5" t="n">
        <v>-15.252</v>
      </c>
      <c r="AN423" s="5" t="n">
        <v>14.064</v>
      </c>
      <c r="AO423" s="5" t="n">
        <v>0</v>
      </c>
      <c r="AP423" s="5" t="n">
        <v>0</v>
      </c>
      <c r="AQ423" s="5" t="n">
        <v>0.847</v>
      </c>
      <c r="AR423" s="5" t="n">
        <v>0.123</v>
      </c>
      <c r="AS423" s="5" t="n">
        <v>0.406</v>
      </c>
      <c r="AT423" s="5" t="n">
        <v>1.378</v>
      </c>
      <c r="AU423" s="5" t="n">
        <v>0.1</v>
      </c>
      <c r="AV423" s="5" t="n">
        <v>1</v>
      </c>
      <c r="AW423" s="5" t="n">
        <v>0.947</v>
      </c>
      <c r="AX423" s="5" t="n">
        <v>0.123</v>
      </c>
      <c r="AY423" s="5" t="n">
        <v>0.351</v>
      </c>
      <c r="AZ423" s="5" t="n">
        <v>1.427</v>
      </c>
      <c r="BA423" s="5" t="n">
        <v>0.1</v>
      </c>
      <c r="BB423" s="5" t="n">
        <v>1</v>
      </c>
      <c r="BC423" s="5" t="n">
        <v>0.589</v>
      </c>
      <c r="BD423" s="5" t="n">
        <v>0.123</v>
      </c>
      <c r="BE423" s="5" t="n">
        <v>0.015</v>
      </c>
      <c r="BF423" s="5" t="n">
        <v>0.664</v>
      </c>
      <c r="BG423" s="5" t="n">
        <v>0.1</v>
      </c>
      <c r="BH423" s="5" t="n">
        <v>1</v>
      </c>
      <c r="BI423" s="5" t="n">
        <v>0.6889999999999999</v>
      </c>
      <c r="BJ423" s="5" t="n">
        <v>0.123</v>
      </c>
      <c r="BK423" s="5" t="n">
        <v>0.354</v>
      </c>
      <c r="BL423" s="5" t="n">
        <v>1.147</v>
      </c>
      <c r="BM423" s="5" t="n">
        <v>0.1</v>
      </c>
      <c r="BN423" s="5" t="n">
        <v>1</v>
      </c>
      <c r="BO423" s="5" t="n">
        <v>0</v>
      </c>
      <c r="BP423" s="5" t="n">
        <v>0.003</v>
      </c>
      <c r="BQ423" s="5" t="n">
        <v>0.094</v>
      </c>
      <c r="BR423" s="5" t="n">
        <v>0</v>
      </c>
      <c r="BS423" s="5" t="n">
        <v>0.833</v>
      </c>
      <c r="BT423" s="5" t="n">
        <v>0</v>
      </c>
      <c r="BU423" s="5" t="n">
        <v>0.003</v>
      </c>
      <c r="BV423" s="5" t="n">
        <v>0.092</v>
      </c>
      <c r="BW423" s="5" t="n">
        <v>0</v>
      </c>
      <c r="BX423" s="5" t="n">
        <v>0.667</v>
      </c>
      <c r="BY423" s="5" t="n">
        <v>2.794</v>
      </c>
      <c r="BZ423" s="5" t="n">
        <v>0</v>
      </c>
      <c r="CA423" s="5" t="n">
        <v>2.794</v>
      </c>
      <c r="CB423" s="5" t="n">
        <v>0</v>
      </c>
      <c r="CC423" s="5" t="n">
        <v>102.477</v>
      </c>
      <c r="CD423" s="5" t="n">
        <v>7.95</v>
      </c>
      <c r="CE423" s="5" t="n">
        <v>-5.812</v>
      </c>
      <c r="CF423" s="5" t="n">
        <v>106.331</v>
      </c>
      <c r="CG423" s="5" t="n">
        <v>0.1</v>
      </c>
      <c r="CH423" s="5" t="n">
        <v>1</v>
      </c>
      <c r="CI423" s="5" t="n">
        <v>0</v>
      </c>
      <c r="CJ423" s="5" t="n">
        <v>0</v>
      </c>
      <c r="CK423" s="5" t="n">
        <v>0</v>
      </c>
      <c r="CL423" s="5" t="n">
        <v>0.031</v>
      </c>
      <c r="CM423" s="5" t="n">
        <v>0</v>
      </c>
      <c r="CN423" s="5" t="n">
        <v>0</v>
      </c>
      <c r="CO423" s="5" t="n">
        <v>0</v>
      </c>
      <c r="CP423" s="5" t="n">
        <v>0</v>
      </c>
      <c r="CQ423" s="5" t="n">
        <v>1.294</v>
      </c>
      <c r="CR423" s="5" t="n">
        <v>0</v>
      </c>
      <c r="CS423" s="5" t="n">
        <v>1.788</v>
      </c>
      <c r="CT423" s="5" t="n">
        <v>11.201</v>
      </c>
      <c r="CU423" s="5" t="n">
        <v>19.853</v>
      </c>
    </row>
    <row r="424">
      <c r="A424" s="5" t="inlineStr">
        <is>
          <t>KOR2023</t>
        </is>
      </c>
      <c r="B424" s="5" t="inlineStr">
        <is>
          <t>KOR</t>
        </is>
      </c>
      <c r="C424" s="5" t="inlineStr">
        <is>
          <t>KOR</t>
        </is>
      </c>
      <c r="D424" s="5" t="inlineStr">
        <is>
          <t>Korea</t>
        </is>
      </c>
      <c r="E424" s="5" t="n">
        <v>2023</v>
      </c>
      <c r="F424" s="5" t="n">
        <v>0.1</v>
      </c>
      <c r="G424" s="5" t="n">
        <v>4.112</v>
      </c>
      <c r="H424" s="5" t="n">
        <v>0.9370000000000001</v>
      </c>
      <c r="I424" s="5" t="n">
        <v>2.31</v>
      </c>
      <c r="J424" s="5" t="n">
        <v>6.422</v>
      </c>
      <c r="K424" s="5" t="n">
        <v>0</v>
      </c>
      <c r="L424" s="5" t="n">
        <v>1</v>
      </c>
      <c r="M424" s="5" t="n">
        <v>5.052</v>
      </c>
      <c r="N424" s="5" t="n">
        <v>2.505</v>
      </c>
      <c r="O424" s="5" t="n">
        <v>1.371</v>
      </c>
      <c r="P424" s="5" t="n">
        <v>6.422</v>
      </c>
      <c r="Q424" s="5" t="n">
        <v>0</v>
      </c>
      <c r="R424" s="5" t="n">
        <v>1</v>
      </c>
      <c r="S424" s="5" t="n">
        <v>8.856999999999999</v>
      </c>
      <c r="T424" s="5" t="n">
        <v>5.554</v>
      </c>
      <c r="U424" s="5" t="n">
        <v>-0.821</v>
      </c>
      <c r="V424" s="5" t="n">
        <v>8.035</v>
      </c>
      <c r="W424" s="5" t="n">
        <v>0</v>
      </c>
      <c r="X424" s="5" t="n">
        <v>0</v>
      </c>
      <c r="Y424" s="5" t="n">
        <v>18.667</v>
      </c>
      <c r="Z424" s="5" t="n">
        <v>2.091</v>
      </c>
      <c r="AA424" s="5" t="n">
        <v>3.185</v>
      </c>
      <c r="AB424" s="5" t="n">
        <v>21.852</v>
      </c>
      <c r="AC424" s="5" t="n">
        <v>0</v>
      </c>
      <c r="AD424" s="5" t="n">
        <v>1</v>
      </c>
      <c r="AE424" s="5" t="n">
        <v>18.892</v>
      </c>
      <c r="AF424" s="5" t="n">
        <v>3.763</v>
      </c>
      <c r="AG424" s="5" t="n">
        <v>1.952</v>
      </c>
      <c r="AH424" s="5" t="n">
        <v>20.844</v>
      </c>
      <c r="AI424" s="5" t="n">
        <v>0</v>
      </c>
      <c r="AJ424" s="5" t="n">
        <v>1</v>
      </c>
      <c r="AK424" s="5" t="n">
        <v>23.473</v>
      </c>
      <c r="AL424" s="5" t="n">
        <v>11.628</v>
      </c>
      <c r="AM424" s="5" t="n">
        <v>-7.703</v>
      </c>
      <c r="AN424" s="5" t="n">
        <v>17.346</v>
      </c>
      <c r="AO424" s="5" t="n">
        <v>0</v>
      </c>
      <c r="AP424" s="5" t="n">
        <v>0</v>
      </c>
      <c r="AQ424" s="5" t="n">
        <v>0.749</v>
      </c>
      <c r="AR424" s="5" t="n">
        <v>0.129</v>
      </c>
      <c r="AS424" s="5" t="n">
        <v>0.373</v>
      </c>
      <c r="AT424" s="5" t="n">
        <v>1.234</v>
      </c>
      <c r="AU424" s="5" t="n">
        <v>0.1</v>
      </c>
      <c r="AV424" s="5" t="n">
        <v>1</v>
      </c>
      <c r="AW424" s="5" t="n">
        <v>0.783</v>
      </c>
      <c r="AX424" s="5" t="n">
        <v>0.129</v>
      </c>
      <c r="AY424" s="5" t="n">
        <v>0.304</v>
      </c>
      <c r="AZ424" s="5" t="n">
        <v>1.195</v>
      </c>
      <c r="BA424" s="5" t="n">
        <v>0.1</v>
      </c>
      <c r="BB424" s="5" t="n">
        <v>1</v>
      </c>
      <c r="BC424" s="5" t="n">
        <v>0.527</v>
      </c>
      <c r="BD424" s="5" t="n">
        <v>0.129</v>
      </c>
      <c r="BE424" s="5" t="n">
        <v>-0.019</v>
      </c>
      <c r="BF424" s="5" t="n">
        <v>0.5590000000000001</v>
      </c>
      <c r="BG424" s="5" t="n">
        <v>0.1</v>
      </c>
      <c r="BH424" s="5" t="n">
        <v>1</v>
      </c>
      <c r="BI424" s="5" t="n">
        <v>0.64</v>
      </c>
      <c r="BJ424" s="5" t="n">
        <v>0.129</v>
      </c>
      <c r="BK424" s="5" t="n">
        <v>0.338</v>
      </c>
      <c r="BL424" s="5" t="n">
        <v>1.076</v>
      </c>
      <c r="BM424" s="5" t="n">
        <v>0.1</v>
      </c>
      <c r="BN424" s="5" t="n">
        <v>1</v>
      </c>
      <c r="BO424" s="5" t="n">
        <v>0</v>
      </c>
      <c r="BP424" s="5" t="n">
        <v>0.006</v>
      </c>
      <c r="BQ424" s="5" t="n">
        <v>0.118</v>
      </c>
      <c r="BR424" s="5" t="n">
        <v>0</v>
      </c>
      <c r="BS424" s="5" t="n">
        <v>0.833</v>
      </c>
      <c r="BT424" s="5" t="n">
        <v>0</v>
      </c>
      <c r="BU424" s="5" t="n">
        <v>0.004</v>
      </c>
      <c r="BV424" s="5" t="n">
        <v>0.115</v>
      </c>
      <c r="BW424" s="5" t="n">
        <v>0</v>
      </c>
      <c r="BX424" s="5" t="n">
        <v>0.667</v>
      </c>
      <c r="BY424" s="5" t="n">
        <v>2.909</v>
      </c>
      <c r="BZ424" s="5" t="n">
        <v>0</v>
      </c>
      <c r="CA424" s="5" t="n">
        <v>2.909</v>
      </c>
      <c r="CB424" s="5" t="n">
        <v>0</v>
      </c>
      <c r="CC424" s="5" t="n">
        <v>87.07899999999999</v>
      </c>
      <c r="CD424" s="5" t="n">
        <v>7.95</v>
      </c>
      <c r="CE424" s="5" t="n">
        <v>1.761</v>
      </c>
      <c r="CF424" s="5" t="n">
        <v>97.724</v>
      </c>
      <c r="CG424" s="5" t="n">
        <v>0.1</v>
      </c>
      <c r="CH424" s="5" t="n">
        <v>1</v>
      </c>
      <c r="CI424" s="5" t="n">
        <v>0</v>
      </c>
      <c r="CJ424" s="5" t="n">
        <v>0</v>
      </c>
      <c r="CK424" s="5" t="n">
        <v>0</v>
      </c>
      <c r="CL424" s="5" t="n">
        <v>0.032</v>
      </c>
      <c r="CM424" s="5" t="n">
        <v>0</v>
      </c>
      <c r="CN424" s="5" t="n">
        <v>0</v>
      </c>
      <c r="CO424" s="5" t="n">
        <v>0</v>
      </c>
      <c r="CP424" s="5" t="n">
        <v>0</v>
      </c>
      <c r="CQ424" s="5" t="n">
        <v>1.348</v>
      </c>
      <c r="CR424" s="5" t="n">
        <v>0</v>
      </c>
      <c r="CS424" s="5" t="n">
        <v>1.861</v>
      </c>
      <c r="CT424" s="5" t="n">
        <v>6.044</v>
      </c>
      <c r="CU424" s="5" t="n">
        <v>14.879</v>
      </c>
    </row>
    <row r="425">
      <c r="A425" s="5" t="inlineStr">
        <is>
          <t>KOR2024</t>
        </is>
      </c>
      <c r="B425" s="5" t="inlineStr">
        <is>
          <t>KOR</t>
        </is>
      </c>
      <c r="C425" s="5" t="inlineStr">
        <is>
          <t>KOR</t>
        </is>
      </c>
      <c r="D425" s="5" t="inlineStr">
        <is>
          <t>Korea</t>
        </is>
      </c>
      <c r="E425" s="5" t="n">
        <v>2024</v>
      </c>
      <c r="F425" s="5" t="n">
        <v>0.1</v>
      </c>
      <c r="G425" s="5" t="n">
        <v>3.912</v>
      </c>
      <c r="H425" s="5" t="n">
        <v>0.991</v>
      </c>
      <c r="I425" s="5" t="n">
        <v>1.843</v>
      </c>
      <c r="J425" s="5" t="n">
        <v>5.755</v>
      </c>
      <c r="K425" s="5" t="n">
        <v>0</v>
      </c>
      <c r="L425" s="5" t="n">
        <v>1</v>
      </c>
      <c r="M425" s="5" t="n">
        <v>4.883</v>
      </c>
      <c r="N425" s="5" t="n">
        <v>2.66</v>
      </c>
      <c r="O425" s="5" t="n">
        <v>0.873</v>
      </c>
      <c r="P425" s="5" t="n">
        <v>5.755</v>
      </c>
      <c r="Q425" s="5" t="n">
        <v>0</v>
      </c>
      <c r="R425" s="5" t="n">
        <v>1</v>
      </c>
      <c r="S425" s="5" t="n">
        <v>9.073</v>
      </c>
      <c r="T425" s="5" t="n">
        <v>6.007</v>
      </c>
      <c r="U425" s="5" t="n">
        <v>-1.293</v>
      </c>
      <c r="V425" s="5" t="n">
        <v>7.78</v>
      </c>
      <c r="W425" s="5" t="n">
        <v>0</v>
      </c>
      <c r="X425" s="5" t="n">
        <v>0</v>
      </c>
      <c r="Y425" s="5" t="n">
        <v>14.959</v>
      </c>
      <c r="Z425" s="5" t="n">
        <v>1.889</v>
      </c>
      <c r="AA425" s="5" t="n">
        <v>0.919</v>
      </c>
      <c r="AB425" s="5" t="n">
        <v>15.878</v>
      </c>
      <c r="AC425" s="5" t="n">
        <v>0</v>
      </c>
      <c r="AD425" s="5" t="n">
        <v>1</v>
      </c>
      <c r="AE425" s="5" t="n">
        <v>16.804</v>
      </c>
      <c r="AF425" s="5" t="n">
        <v>3.681</v>
      </c>
      <c r="AG425" s="5" t="n">
        <v>1.372</v>
      </c>
      <c r="AH425" s="5" t="n">
        <v>18.176</v>
      </c>
      <c r="AI425" s="5" t="n">
        <v>0</v>
      </c>
      <c r="AJ425" s="5" t="n">
        <v>1</v>
      </c>
      <c r="AK425" s="5" t="n">
        <v>20.889</v>
      </c>
      <c r="AL425" s="5" t="n">
        <v>10.624</v>
      </c>
      <c r="AM425" s="5" t="n">
        <v>-5.023</v>
      </c>
      <c r="AN425" s="5" t="n">
        <v>17.452</v>
      </c>
      <c r="AO425" s="5" t="n">
        <v>0</v>
      </c>
      <c r="AP425" s="5" t="n">
        <v>0</v>
      </c>
      <c r="AQ425" s="5" t="n">
        <v>0.72</v>
      </c>
      <c r="AR425" s="5" t="n">
        <v>0.132</v>
      </c>
      <c r="AS425" s="5" t="n">
        <v>0.354</v>
      </c>
      <c r="AT425" s="5" t="n">
        <v>1.182</v>
      </c>
      <c r="AU425" s="5" t="n">
        <v>0.1</v>
      </c>
      <c r="AV425" s="5" t="n">
        <v>1</v>
      </c>
      <c r="AW425" s="5" t="n">
        <v>0.734</v>
      </c>
      <c r="AX425" s="5" t="n">
        <v>0.132</v>
      </c>
      <c r="AY425" s="5" t="n">
        <v>0.27</v>
      </c>
      <c r="AZ425" s="5" t="n">
        <v>1.105</v>
      </c>
      <c r="BA425" s="5" t="n">
        <v>0.1</v>
      </c>
      <c r="BB425" s="5" t="n">
        <v>1</v>
      </c>
      <c r="BC425" s="5" t="n">
        <v>0.51</v>
      </c>
      <c r="BD425" s="5" t="n">
        <v>0.132</v>
      </c>
      <c r="BE425" s="5" t="n">
        <v>-0.005</v>
      </c>
      <c r="BF425" s="5" t="n">
        <v>0.556</v>
      </c>
      <c r="BG425" s="5" t="n">
        <v>0.1</v>
      </c>
      <c r="BH425" s="5" t="n">
        <v>1</v>
      </c>
      <c r="BI425" s="5" t="n">
        <v>0.652</v>
      </c>
      <c r="BJ425" s="5" t="n">
        <v>0.132</v>
      </c>
      <c r="BK425" s="5" t="n">
        <v>0.249</v>
      </c>
      <c r="BL425" s="5" t="n">
        <v>0.991</v>
      </c>
      <c r="BM425" s="5" t="n">
        <v>0.1</v>
      </c>
      <c r="BN425" s="5" t="n">
        <v>1</v>
      </c>
      <c r="BO425" s="5" t="n">
        <v>0</v>
      </c>
      <c r="BP425" s="5" t="n">
        <v>0.004</v>
      </c>
      <c r="BQ425" s="5" t="n">
        <v>0.116</v>
      </c>
      <c r="BR425" s="5" t="n">
        <v>0</v>
      </c>
      <c r="BS425" s="5" t="n">
        <v>0.833</v>
      </c>
      <c r="BT425" s="5" t="n">
        <v>0</v>
      </c>
      <c r="BU425" s="5" t="n">
        <v>0.004</v>
      </c>
      <c r="BV425" s="5" t="n">
        <v>0.115</v>
      </c>
      <c r="BW425" s="5" t="n">
        <v>0</v>
      </c>
      <c r="BX425" s="5" t="n">
        <v>0.667</v>
      </c>
      <c r="BY425" s="5" t="n">
        <v>2.995</v>
      </c>
      <c r="BZ425" s="5" t="n">
        <v>0</v>
      </c>
      <c r="CA425" s="5" t="n">
        <v>2.995</v>
      </c>
      <c r="CB425" s="5" t="n">
        <v>0</v>
      </c>
      <c r="CC425" s="5" t="n">
        <v>86.38500000000001</v>
      </c>
      <c r="CD425" s="5" t="n">
        <v>7.95</v>
      </c>
      <c r="CE425" s="5" t="n">
        <v>-6.537</v>
      </c>
      <c r="CF425" s="5" t="n">
        <v>87.833</v>
      </c>
      <c r="CG425" s="5" t="n">
        <v>0.1</v>
      </c>
      <c r="CH425" s="5" t="n">
        <v>1</v>
      </c>
      <c r="CI425" s="5" t="n">
        <v>0</v>
      </c>
      <c r="CJ425" s="5" t="n">
        <v>0</v>
      </c>
      <c r="CK425" s="5" t="n">
        <v>0</v>
      </c>
      <c r="CL425" s="5" t="n">
        <v>0.033</v>
      </c>
      <c r="CM425" s="5" t="n">
        <v>0</v>
      </c>
      <c r="CN425" s="5" t="n">
        <v>0</v>
      </c>
      <c r="CO425" s="5" t="n">
        <v>0</v>
      </c>
      <c r="CP425" s="5" t="n">
        <v>0</v>
      </c>
      <c r="CQ425" s="5" t="n">
        <v>1.387</v>
      </c>
      <c r="CR425" s="5" t="n">
        <v>0</v>
      </c>
      <c r="CS425" s="5" t="n">
        <v>1.916</v>
      </c>
      <c r="CT425" s="5" t="n">
        <v>5.005</v>
      </c>
      <c r="CU425" s="5" t="n">
        <v>11.813</v>
      </c>
    </row>
    <row r="426">
      <c r="A426" s="5" t="inlineStr">
        <is>
          <t>PRK2021</t>
        </is>
      </c>
      <c r="B426" s="5" t="inlineStr">
        <is>
          <t>PRK</t>
        </is>
      </c>
      <c r="C426" s="5" t="inlineStr">
        <is>
          <t>PRK</t>
        </is>
      </c>
      <c r="D426" s="5" t="inlineStr">
        <is>
          <t>Korea, Dem. People's Rep.</t>
        </is>
      </c>
      <c r="E426" s="5" t="n">
        <v>2021</v>
      </c>
      <c r="F426" s="5" t="n">
        <v>0</v>
      </c>
      <c r="G426" s="5" t="n">
        <v>1.785</v>
      </c>
      <c r="H426" s="5" t="n">
        <v>0.575</v>
      </c>
      <c r="I426" s="5" t="n">
        <v>0</v>
      </c>
      <c r="J426" s="5" t="n">
        <v>1.785</v>
      </c>
      <c r="K426" s="5" t="n">
        <v>0</v>
      </c>
      <c r="L426" s="5" t="n">
        <v>1</v>
      </c>
      <c r="M426" s="5" t="n">
        <v>2.939</v>
      </c>
      <c r="N426" s="5" t="n">
        <v>1.724</v>
      </c>
      <c r="O426" s="5" t="n">
        <v>0</v>
      </c>
      <c r="P426" s="5" t="n">
        <v>2.939</v>
      </c>
      <c r="Q426" s="5" t="n">
        <v>0</v>
      </c>
      <c r="R426" s="5" t="n">
        <v>1</v>
      </c>
      <c r="S426" s="5" t="n">
        <v>4.658</v>
      </c>
      <c r="T426" s="5" t="n">
        <v>3.447</v>
      </c>
      <c r="U426" s="5" t="n">
        <v>0</v>
      </c>
      <c r="V426" s="5" t="n">
        <v>4.658</v>
      </c>
      <c r="W426" s="5" t="n">
        <v>0</v>
      </c>
      <c r="X426" s="5" t="n">
        <v>1</v>
      </c>
      <c r="Y426" s="5" t="n">
        <v>10.551</v>
      </c>
      <c r="Z426" s="5" t="n">
        <v>1.302</v>
      </c>
      <c r="AA426" s="5" t="n">
        <v>0</v>
      </c>
      <c r="AB426" s="5" t="n">
        <v>10.551</v>
      </c>
      <c r="AC426" s="5" t="n">
        <v>0</v>
      </c>
      <c r="AD426" s="5" t="n">
        <v>1</v>
      </c>
      <c r="AE426" s="5" t="n">
        <v>11.694</v>
      </c>
      <c r="AF426" s="5" t="n">
        <v>2.549</v>
      </c>
      <c r="AG426" s="5" t="n">
        <v>0</v>
      </c>
      <c r="AH426" s="5" t="n">
        <v>11.694</v>
      </c>
      <c r="AI426" s="5" t="n">
        <v>0</v>
      </c>
      <c r="AJ426" s="5" t="n">
        <v>1</v>
      </c>
      <c r="AK426" s="5" t="n">
        <v>18.554</v>
      </c>
      <c r="AL426" s="5" t="n">
        <v>9.627000000000001</v>
      </c>
      <c r="AM426" s="5" t="n">
        <v>0</v>
      </c>
      <c r="AN426" s="5" t="n">
        <v>18.554</v>
      </c>
      <c r="AO426" s="5" t="n">
        <v>0</v>
      </c>
      <c r="AP426" s="5" t="n">
        <v>1</v>
      </c>
      <c r="AQ426" s="5" t="n">
        <v>0.621</v>
      </c>
      <c r="AR426" s="5" t="n">
        <v>0.114</v>
      </c>
      <c r="AS426" s="5" t="n">
        <v>0</v>
      </c>
      <c r="AT426" s="5" t="n">
        <v>0.621</v>
      </c>
      <c r="AU426" s="5" t="n">
        <v>0</v>
      </c>
      <c r="AV426" s="5" t="n">
        <v>1</v>
      </c>
      <c r="AW426" s="5" t="n">
        <v>0.593</v>
      </c>
      <c r="AX426" s="5" t="n">
        <v>0.114</v>
      </c>
      <c r="AY426" s="5" t="n">
        <v>0</v>
      </c>
      <c r="AZ426" s="5" t="n">
        <v>0.593</v>
      </c>
      <c r="BA426" s="5" t="n">
        <v>0</v>
      </c>
      <c r="BB426" s="5" t="n">
        <v>1</v>
      </c>
      <c r="BC426" s="5" t="n">
        <v>0.44</v>
      </c>
      <c r="BD426" s="5" t="n">
        <v>0.114</v>
      </c>
      <c r="BE426" s="5" t="n">
        <v>0</v>
      </c>
      <c r="BF426" s="5" t="n">
        <v>0.44</v>
      </c>
      <c r="BG426" s="5" t="n">
        <v>0</v>
      </c>
      <c r="BH426" s="5" t="n">
        <v>1</v>
      </c>
      <c r="BI426" s="5" t="n">
        <v>0.5600000000000001</v>
      </c>
      <c r="BJ426" s="5" t="n">
        <v>0.114</v>
      </c>
      <c r="BK426" s="5" t="n">
        <v>0</v>
      </c>
      <c r="BL426" s="5" t="n">
        <v>0.5600000000000001</v>
      </c>
      <c r="BM426" s="5" t="n">
        <v>0</v>
      </c>
      <c r="BN426" s="5" t="n">
        <v>1</v>
      </c>
      <c r="BO426" s="5" t="n">
        <v>0</v>
      </c>
      <c r="BP426" s="5" t="n">
        <v>0</v>
      </c>
      <c r="BQ426" s="5" t="n">
        <v>0</v>
      </c>
      <c r="BR426" s="5" t="n">
        <v>0</v>
      </c>
      <c r="BS426" s="5" t="n">
        <v>1</v>
      </c>
      <c r="BT426" s="5" t="n">
        <v>0</v>
      </c>
      <c r="BU426" s="5" t="n">
        <v>0</v>
      </c>
      <c r="BV426" s="5" t="n">
        <v>0</v>
      </c>
      <c r="BW426" s="5" t="n">
        <v>0</v>
      </c>
      <c r="BX426" s="5" t="n">
        <v>1</v>
      </c>
      <c r="BY426" s="5" t="n">
        <v>11.787</v>
      </c>
      <c r="BZ426" s="5" t="n">
        <v>0</v>
      </c>
      <c r="CA426" s="5" t="n">
        <v>11.787</v>
      </c>
      <c r="CB426" s="5" t="n">
        <v>0</v>
      </c>
      <c r="CC426" s="5" t="n">
        <v>81.69499999999999</v>
      </c>
      <c r="CD426" s="5" t="n">
        <v>7.95</v>
      </c>
      <c r="CE426" s="5" t="n">
        <v>0</v>
      </c>
      <c r="CF426" s="5" t="n">
        <v>81.69499999999999</v>
      </c>
      <c r="CG426" s="5" t="n">
        <v>0</v>
      </c>
      <c r="CH426" s="5" t="n">
        <v>1</v>
      </c>
      <c r="CI426" s="5" t="n">
        <v>0</v>
      </c>
      <c r="CJ426" s="5" t="n">
        <v>0</v>
      </c>
      <c r="CK426" s="5" t="n">
        <v>0</v>
      </c>
      <c r="CL426" s="5" t="n">
        <v>0</v>
      </c>
      <c r="CM426" s="5" t="n">
        <v>0</v>
      </c>
      <c r="CN426" s="5" t="n">
        <v>0</v>
      </c>
      <c r="CO426" s="5" t="n">
        <v>0</v>
      </c>
      <c r="CP426" s="5" t="n">
        <v>0.995</v>
      </c>
      <c r="CQ426" s="5" t="n">
        <v>1.198</v>
      </c>
      <c r="CR426" s="5" t="n">
        <v>0</v>
      </c>
      <c r="CS426" s="5" t="n">
        <v>4.776</v>
      </c>
      <c r="CT426" s="5" t="n">
        <v>3.604</v>
      </c>
      <c r="CU426" s="5" t="n">
        <v>9.407999999999999</v>
      </c>
    </row>
    <row r="427">
      <c r="A427" s="5" t="inlineStr">
        <is>
          <t>PRK2022</t>
        </is>
      </c>
      <c r="B427" s="5" t="inlineStr">
        <is>
          <t>PRK</t>
        </is>
      </c>
      <c r="C427" s="5" t="inlineStr">
        <is>
          <t>PRK</t>
        </is>
      </c>
      <c r="D427" s="5" t="inlineStr">
        <is>
          <t>Korea, Dem. People's Rep.</t>
        </is>
      </c>
      <c r="E427" s="5" t="n">
        <v>2022</v>
      </c>
      <c r="F427" s="5" t="n">
        <v>0</v>
      </c>
      <c r="G427" s="5" t="n">
        <v>1.928</v>
      </c>
      <c r="H427" s="5" t="n">
        <v>0.619</v>
      </c>
      <c r="I427" s="5" t="n">
        <v>0</v>
      </c>
      <c r="J427" s="5" t="n">
        <v>1.928</v>
      </c>
      <c r="K427" s="5" t="n">
        <v>0</v>
      </c>
      <c r="L427" s="5" t="n">
        <v>1</v>
      </c>
      <c r="M427" s="5" t="n">
        <v>3.162</v>
      </c>
      <c r="N427" s="5" t="n">
        <v>1.856</v>
      </c>
      <c r="O427" s="5" t="n">
        <v>0</v>
      </c>
      <c r="P427" s="5" t="n">
        <v>3.162</v>
      </c>
      <c r="Q427" s="5" t="n">
        <v>0</v>
      </c>
      <c r="R427" s="5" t="n">
        <v>1</v>
      </c>
      <c r="S427" s="5" t="n">
        <v>5.022</v>
      </c>
      <c r="T427" s="5" t="n">
        <v>3.713</v>
      </c>
      <c r="U427" s="5" t="n">
        <v>0</v>
      </c>
      <c r="V427" s="5" t="n">
        <v>5.022</v>
      </c>
      <c r="W427" s="5" t="n">
        <v>0</v>
      </c>
      <c r="X427" s="5" t="n">
        <v>1</v>
      </c>
      <c r="Y427" s="5" t="n">
        <v>17.332</v>
      </c>
      <c r="Z427" s="5" t="n">
        <v>2.139</v>
      </c>
      <c r="AA427" s="5" t="n">
        <v>0</v>
      </c>
      <c r="AB427" s="5" t="n">
        <v>17.332</v>
      </c>
      <c r="AC427" s="5" t="n">
        <v>0</v>
      </c>
      <c r="AD427" s="5" t="n">
        <v>1</v>
      </c>
      <c r="AE427" s="5" t="n">
        <v>18.566</v>
      </c>
      <c r="AF427" s="5" t="n">
        <v>4.048</v>
      </c>
      <c r="AG427" s="5" t="n">
        <v>0</v>
      </c>
      <c r="AH427" s="5" t="n">
        <v>18.566</v>
      </c>
      <c r="AI427" s="5" t="n">
        <v>0</v>
      </c>
      <c r="AJ427" s="5" t="n">
        <v>1</v>
      </c>
      <c r="AK427" s="5" t="n">
        <v>25.974</v>
      </c>
      <c r="AL427" s="5" t="n">
        <v>13.478</v>
      </c>
      <c r="AM427" s="5" t="n">
        <v>0</v>
      </c>
      <c r="AN427" s="5" t="n">
        <v>25.974</v>
      </c>
      <c r="AO427" s="5" t="n">
        <v>0</v>
      </c>
      <c r="AP427" s="5" t="n">
        <v>1</v>
      </c>
      <c r="AQ427" s="5" t="n">
        <v>0.847</v>
      </c>
      <c r="AR427" s="5" t="n">
        <v>0.123</v>
      </c>
      <c r="AS427" s="5" t="n">
        <v>0</v>
      </c>
      <c r="AT427" s="5" t="n">
        <v>0.847</v>
      </c>
      <c r="AU427" s="5" t="n">
        <v>0</v>
      </c>
      <c r="AV427" s="5" t="n">
        <v>1</v>
      </c>
      <c r="AW427" s="5" t="n">
        <v>0.947</v>
      </c>
      <c r="AX427" s="5" t="n">
        <v>0.123</v>
      </c>
      <c r="AY427" s="5" t="n">
        <v>0</v>
      </c>
      <c r="AZ427" s="5" t="n">
        <v>0.947</v>
      </c>
      <c r="BA427" s="5" t="n">
        <v>0</v>
      </c>
      <c r="BB427" s="5" t="n">
        <v>1</v>
      </c>
      <c r="BC427" s="5" t="n">
        <v>0.589</v>
      </c>
      <c r="BD427" s="5" t="n">
        <v>0.123</v>
      </c>
      <c r="BE427" s="5" t="n">
        <v>0</v>
      </c>
      <c r="BF427" s="5" t="n">
        <v>0.589</v>
      </c>
      <c r="BG427" s="5" t="n">
        <v>0</v>
      </c>
      <c r="BH427" s="5" t="n">
        <v>1</v>
      </c>
      <c r="BI427" s="5" t="n">
        <v>0.6889999999999999</v>
      </c>
      <c r="BJ427" s="5" t="n">
        <v>0.123</v>
      </c>
      <c r="BK427" s="5" t="n">
        <v>0</v>
      </c>
      <c r="BL427" s="5" t="n">
        <v>0.6889999999999999</v>
      </c>
      <c r="BM427" s="5" t="n">
        <v>0</v>
      </c>
      <c r="BN427" s="5" t="n">
        <v>1</v>
      </c>
      <c r="BO427" s="5" t="n">
        <v>0</v>
      </c>
      <c r="BP427" s="5" t="n">
        <v>0</v>
      </c>
      <c r="BQ427" s="5" t="n">
        <v>0</v>
      </c>
      <c r="BR427" s="5" t="n">
        <v>0</v>
      </c>
      <c r="BS427" s="5" t="n">
        <v>1</v>
      </c>
      <c r="BT427" s="5" t="n">
        <v>0</v>
      </c>
      <c r="BU427" s="5" t="n">
        <v>0</v>
      </c>
      <c r="BV427" s="5" t="n">
        <v>0</v>
      </c>
      <c r="BW427" s="5" t="n">
        <v>0</v>
      </c>
      <c r="BX427" s="5" t="n">
        <v>1</v>
      </c>
      <c r="BY427" s="5" t="n">
        <v>12.729</v>
      </c>
      <c r="BZ427" s="5" t="n">
        <v>0</v>
      </c>
      <c r="CA427" s="5" t="n">
        <v>12.729</v>
      </c>
      <c r="CB427" s="5" t="n">
        <v>0</v>
      </c>
      <c r="CC427" s="5" t="n">
        <v>102.477</v>
      </c>
      <c r="CD427" s="5" t="n">
        <v>7.95</v>
      </c>
      <c r="CE427" s="5" t="n">
        <v>0</v>
      </c>
      <c r="CF427" s="5" t="n">
        <v>102.477</v>
      </c>
      <c r="CG427" s="5" t="n">
        <v>0</v>
      </c>
      <c r="CH427" s="5" t="n">
        <v>1</v>
      </c>
      <c r="CI427" s="5" t="n">
        <v>0</v>
      </c>
      <c r="CJ427" s="5" t="n">
        <v>0</v>
      </c>
      <c r="CK427" s="5" t="n">
        <v>0</v>
      </c>
      <c r="CL427" s="5" t="n">
        <v>0</v>
      </c>
      <c r="CM427" s="5" t="n">
        <v>0</v>
      </c>
      <c r="CN427" s="5" t="n">
        <v>0</v>
      </c>
      <c r="CO427" s="5" t="n">
        <v>0</v>
      </c>
      <c r="CP427" s="5" t="n">
        <v>0.998</v>
      </c>
      <c r="CQ427" s="5" t="n">
        <v>1.294</v>
      </c>
      <c r="CR427" s="5" t="n">
        <v>0</v>
      </c>
      <c r="CS427" s="5" t="n">
        <v>5.158</v>
      </c>
      <c r="CT427" s="5" t="n">
        <v>7.554</v>
      </c>
      <c r="CU427" s="5" t="n">
        <v>16.097</v>
      </c>
    </row>
    <row r="428">
      <c r="A428" s="5" t="inlineStr">
        <is>
          <t>PRK2023</t>
        </is>
      </c>
      <c r="B428" s="5" t="inlineStr">
        <is>
          <t>PRK</t>
        </is>
      </c>
      <c r="C428" s="5" t="inlineStr">
        <is>
          <t>PRK</t>
        </is>
      </c>
      <c r="D428" s="5" t="inlineStr">
        <is>
          <t>Korea, Dem. People's Rep.</t>
        </is>
      </c>
      <c r="E428" s="5" t="n">
        <v>2023</v>
      </c>
      <c r="F428" s="5" t="n">
        <v>0</v>
      </c>
      <c r="G428" s="5" t="n">
        <v>1.99</v>
      </c>
      <c r="H428" s="5" t="n">
        <v>0.643</v>
      </c>
      <c r="I428" s="5" t="n">
        <v>0</v>
      </c>
      <c r="J428" s="5" t="n">
        <v>1.99</v>
      </c>
      <c r="K428" s="5" t="n">
        <v>0</v>
      </c>
      <c r="L428" s="5" t="n">
        <v>1</v>
      </c>
      <c r="M428" s="5" t="n">
        <v>3.276</v>
      </c>
      <c r="N428" s="5" t="n">
        <v>1.928</v>
      </c>
      <c r="O428" s="5" t="n">
        <v>0</v>
      </c>
      <c r="P428" s="5" t="n">
        <v>3.276</v>
      </c>
      <c r="Q428" s="5" t="n">
        <v>0</v>
      </c>
      <c r="R428" s="5" t="n">
        <v>1</v>
      </c>
      <c r="S428" s="5" t="n">
        <v>5.205</v>
      </c>
      <c r="T428" s="5" t="n">
        <v>3.857</v>
      </c>
      <c r="U428" s="5" t="n">
        <v>0</v>
      </c>
      <c r="V428" s="5" t="n">
        <v>5.205</v>
      </c>
      <c r="W428" s="5" t="n">
        <v>0</v>
      </c>
      <c r="X428" s="5" t="n">
        <v>1</v>
      </c>
      <c r="Y428" s="5" t="n">
        <v>13.814</v>
      </c>
      <c r="Z428" s="5" t="n">
        <v>1.705</v>
      </c>
      <c r="AA428" s="5" t="n">
        <v>0</v>
      </c>
      <c r="AB428" s="5" t="n">
        <v>13.814</v>
      </c>
      <c r="AC428" s="5" t="n">
        <v>0</v>
      </c>
      <c r="AD428" s="5" t="n">
        <v>1</v>
      </c>
      <c r="AE428" s="5" t="n">
        <v>15.1</v>
      </c>
      <c r="AF428" s="5" t="n">
        <v>3.292</v>
      </c>
      <c r="AG428" s="5" t="n">
        <v>0</v>
      </c>
      <c r="AH428" s="5" t="n">
        <v>15.1</v>
      </c>
      <c r="AI428" s="5" t="n">
        <v>0</v>
      </c>
      <c r="AJ428" s="5" t="n">
        <v>1</v>
      </c>
      <c r="AK428" s="5" t="n">
        <v>22.814</v>
      </c>
      <c r="AL428" s="5" t="n">
        <v>11.838</v>
      </c>
      <c r="AM428" s="5" t="n">
        <v>0</v>
      </c>
      <c r="AN428" s="5" t="n">
        <v>22.814</v>
      </c>
      <c r="AO428" s="5" t="n">
        <v>0</v>
      </c>
      <c r="AP428" s="5" t="n">
        <v>1</v>
      </c>
      <c r="AQ428" s="5" t="n">
        <v>0.749</v>
      </c>
      <c r="AR428" s="5" t="n">
        <v>0.129</v>
      </c>
      <c r="AS428" s="5" t="n">
        <v>0</v>
      </c>
      <c r="AT428" s="5" t="n">
        <v>0.749</v>
      </c>
      <c r="AU428" s="5" t="n">
        <v>0</v>
      </c>
      <c r="AV428" s="5" t="n">
        <v>1</v>
      </c>
      <c r="AW428" s="5" t="n">
        <v>0.783</v>
      </c>
      <c r="AX428" s="5" t="n">
        <v>0.129</v>
      </c>
      <c r="AY428" s="5" t="n">
        <v>0</v>
      </c>
      <c r="AZ428" s="5" t="n">
        <v>0.783</v>
      </c>
      <c r="BA428" s="5" t="n">
        <v>0</v>
      </c>
      <c r="BB428" s="5" t="n">
        <v>1</v>
      </c>
      <c r="BC428" s="5" t="n">
        <v>0.527</v>
      </c>
      <c r="BD428" s="5" t="n">
        <v>0.129</v>
      </c>
      <c r="BE428" s="5" t="n">
        <v>0</v>
      </c>
      <c r="BF428" s="5" t="n">
        <v>0.527</v>
      </c>
      <c r="BG428" s="5" t="n">
        <v>0</v>
      </c>
      <c r="BH428" s="5" t="n">
        <v>1</v>
      </c>
      <c r="BI428" s="5" t="n">
        <v>0.64</v>
      </c>
      <c r="BJ428" s="5" t="n">
        <v>0.129</v>
      </c>
      <c r="BK428" s="5" t="n">
        <v>0</v>
      </c>
      <c r="BL428" s="5" t="n">
        <v>0.64</v>
      </c>
      <c r="BM428" s="5" t="n">
        <v>0</v>
      </c>
      <c r="BN428" s="5" t="n">
        <v>1</v>
      </c>
      <c r="BO428" s="5" t="n">
        <v>0</v>
      </c>
      <c r="BP428" s="5" t="n">
        <v>0</v>
      </c>
      <c r="BQ428" s="5" t="n">
        <v>0</v>
      </c>
      <c r="BR428" s="5" t="n">
        <v>0</v>
      </c>
      <c r="BS428" s="5" t="n">
        <v>1</v>
      </c>
      <c r="BT428" s="5" t="n">
        <v>0</v>
      </c>
      <c r="BU428" s="5" t="n">
        <v>0</v>
      </c>
      <c r="BV428" s="5" t="n">
        <v>0</v>
      </c>
      <c r="BW428" s="5" t="n">
        <v>0</v>
      </c>
      <c r="BX428" s="5" t="n">
        <v>1</v>
      </c>
      <c r="BY428" s="5" t="n">
        <v>13.254</v>
      </c>
      <c r="BZ428" s="5" t="n">
        <v>0</v>
      </c>
      <c r="CA428" s="5" t="n">
        <v>13.254</v>
      </c>
      <c r="CB428" s="5" t="n">
        <v>0</v>
      </c>
      <c r="CC428" s="5" t="n">
        <v>87.07899999999999</v>
      </c>
      <c r="CD428" s="5" t="n">
        <v>7.95</v>
      </c>
      <c r="CE428" s="5" t="n">
        <v>0</v>
      </c>
      <c r="CF428" s="5" t="n">
        <v>87.07899999999999</v>
      </c>
      <c r="CG428" s="5" t="n">
        <v>0</v>
      </c>
      <c r="CH428" s="5" t="n">
        <v>1</v>
      </c>
      <c r="CI428" s="5" t="n">
        <v>0</v>
      </c>
      <c r="CJ428" s="5" t="n">
        <v>0</v>
      </c>
      <c r="CK428" s="5" t="n">
        <v>0</v>
      </c>
      <c r="CL428" s="5" t="n">
        <v>0</v>
      </c>
      <c r="CM428" s="5" t="n">
        <v>0</v>
      </c>
      <c r="CN428" s="5" t="n">
        <v>0</v>
      </c>
      <c r="CO428" s="5" t="n">
        <v>0</v>
      </c>
      <c r="CP428" s="5" t="n">
        <v>1</v>
      </c>
      <c r="CQ428" s="5" t="n">
        <v>1.348</v>
      </c>
      <c r="CR428" s="5" t="n">
        <v>0</v>
      </c>
      <c r="CS428" s="5" t="n">
        <v>5.37</v>
      </c>
      <c r="CT428" s="5" t="n">
        <v>4.484</v>
      </c>
      <c r="CU428" s="5" t="n">
        <v>12.529</v>
      </c>
    </row>
    <row r="429">
      <c r="A429" s="5" t="inlineStr">
        <is>
          <t>PRK2024</t>
        </is>
      </c>
      <c r="B429" s="5" t="inlineStr">
        <is>
          <t>PRK</t>
        </is>
      </c>
      <c r="C429" s="5" t="inlineStr">
        <is>
          <t>PRK</t>
        </is>
      </c>
      <c r="D429" s="5" t="inlineStr">
        <is>
          <t>Korea, Dem. People's Rep.</t>
        </is>
      </c>
      <c r="E429" s="5" t="n">
        <v>2024</v>
      </c>
      <c r="F429" s="5" t="n">
        <v>0</v>
      </c>
      <c r="G429" s="5" t="n">
        <v>2.049</v>
      </c>
      <c r="H429" s="5" t="n">
        <v>0.662</v>
      </c>
      <c r="I429" s="5" t="n">
        <v>0</v>
      </c>
      <c r="J429" s="5" t="n">
        <v>2.049</v>
      </c>
      <c r="K429" s="5" t="n">
        <v>0</v>
      </c>
      <c r="L429" s="5" t="n">
        <v>1</v>
      </c>
      <c r="M429" s="5" t="n">
        <v>3.373</v>
      </c>
      <c r="N429" s="5" t="n">
        <v>1.985</v>
      </c>
      <c r="O429" s="5" t="n">
        <v>0</v>
      </c>
      <c r="P429" s="5" t="n">
        <v>3.373</v>
      </c>
      <c r="Q429" s="5" t="n">
        <v>0</v>
      </c>
      <c r="R429" s="5" t="n">
        <v>1</v>
      </c>
      <c r="S429" s="5" t="n">
        <v>5.358</v>
      </c>
      <c r="T429" s="5" t="n">
        <v>3.971</v>
      </c>
      <c r="U429" s="5" t="n">
        <v>0</v>
      </c>
      <c r="V429" s="5" t="n">
        <v>5.358</v>
      </c>
      <c r="W429" s="5" t="n">
        <v>0</v>
      </c>
      <c r="X429" s="5" t="n">
        <v>1</v>
      </c>
      <c r="Y429" s="5" t="n">
        <v>12.219</v>
      </c>
      <c r="Z429" s="5" t="n">
        <v>1.508</v>
      </c>
      <c r="AA429" s="5" t="n">
        <v>0</v>
      </c>
      <c r="AB429" s="5" t="n">
        <v>12.219</v>
      </c>
      <c r="AC429" s="5" t="n">
        <v>0</v>
      </c>
      <c r="AD429" s="5" t="n">
        <v>1</v>
      </c>
      <c r="AE429" s="5" t="n">
        <v>13.543</v>
      </c>
      <c r="AF429" s="5" t="n">
        <v>2.952</v>
      </c>
      <c r="AG429" s="5" t="n">
        <v>0</v>
      </c>
      <c r="AH429" s="5" t="n">
        <v>13.543</v>
      </c>
      <c r="AI429" s="5" t="n">
        <v>0</v>
      </c>
      <c r="AJ429" s="5" t="n">
        <v>1</v>
      </c>
      <c r="AK429" s="5" t="n">
        <v>21.484</v>
      </c>
      <c r="AL429" s="5" t="n">
        <v>11.148</v>
      </c>
      <c r="AM429" s="5" t="n">
        <v>0</v>
      </c>
      <c r="AN429" s="5" t="n">
        <v>21.484</v>
      </c>
      <c r="AO429" s="5" t="n">
        <v>0</v>
      </c>
      <c r="AP429" s="5" t="n">
        <v>1</v>
      </c>
      <c r="AQ429" s="5" t="n">
        <v>0.72</v>
      </c>
      <c r="AR429" s="5" t="n">
        <v>0.132</v>
      </c>
      <c r="AS429" s="5" t="n">
        <v>0</v>
      </c>
      <c r="AT429" s="5" t="n">
        <v>0.72</v>
      </c>
      <c r="AU429" s="5" t="n">
        <v>0</v>
      </c>
      <c r="AV429" s="5" t="n">
        <v>1</v>
      </c>
      <c r="AW429" s="5" t="n">
        <v>0.734</v>
      </c>
      <c r="AX429" s="5" t="n">
        <v>0.132</v>
      </c>
      <c r="AY429" s="5" t="n">
        <v>0</v>
      </c>
      <c r="AZ429" s="5" t="n">
        <v>0.734</v>
      </c>
      <c r="BA429" s="5" t="n">
        <v>0</v>
      </c>
      <c r="BB429" s="5" t="n">
        <v>1</v>
      </c>
      <c r="BC429" s="5" t="n">
        <v>0.51</v>
      </c>
      <c r="BD429" s="5" t="n">
        <v>0.132</v>
      </c>
      <c r="BE429" s="5" t="n">
        <v>0</v>
      </c>
      <c r="BF429" s="5" t="n">
        <v>0.51</v>
      </c>
      <c r="BG429" s="5" t="n">
        <v>0</v>
      </c>
      <c r="BH429" s="5" t="n">
        <v>1</v>
      </c>
      <c r="BI429" s="5" t="n">
        <v>0.652</v>
      </c>
      <c r="BJ429" s="5" t="n">
        <v>0.132</v>
      </c>
      <c r="BK429" s="5" t="n">
        <v>0</v>
      </c>
      <c r="BL429" s="5" t="n">
        <v>0.652</v>
      </c>
      <c r="BM429" s="5" t="n">
        <v>0</v>
      </c>
      <c r="BN429" s="5" t="n">
        <v>1</v>
      </c>
      <c r="BO429" s="5" t="n">
        <v>0</v>
      </c>
      <c r="BP429" s="5" t="n">
        <v>0</v>
      </c>
      <c r="BQ429" s="5" t="n">
        <v>0</v>
      </c>
      <c r="BR429" s="5" t="n">
        <v>0</v>
      </c>
      <c r="BS429" s="5" t="n">
        <v>1</v>
      </c>
      <c r="BT429" s="5" t="n">
        <v>0</v>
      </c>
      <c r="BU429" s="5" t="n">
        <v>0</v>
      </c>
      <c r="BV429" s="5" t="n">
        <v>0</v>
      </c>
      <c r="BW429" s="5" t="n">
        <v>0</v>
      </c>
      <c r="BX429" s="5" t="n">
        <v>1</v>
      </c>
      <c r="BY429" s="5" t="n">
        <v>13.646</v>
      </c>
      <c r="BZ429" s="5" t="n">
        <v>0</v>
      </c>
      <c r="CA429" s="5" t="n">
        <v>13.646</v>
      </c>
      <c r="CB429" s="5" t="n">
        <v>0</v>
      </c>
      <c r="CC429" s="5" t="n">
        <v>86.38500000000001</v>
      </c>
      <c r="CD429" s="5" t="n">
        <v>7.95</v>
      </c>
      <c r="CE429" s="5" t="n">
        <v>0</v>
      </c>
      <c r="CF429" s="5" t="n">
        <v>86.38500000000001</v>
      </c>
      <c r="CG429" s="5" t="n">
        <v>0</v>
      </c>
      <c r="CH429" s="5" t="n">
        <v>1</v>
      </c>
      <c r="CI429" s="5" t="n">
        <v>0</v>
      </c>
      <c r="CJ429" s="5" t="n">
        <v>0</v>
      </c>
      <c r="CK429" s="5" t="n">
        <v>0</v>
      </c>
      <c r="CL429" s="5" t="n">
        <v>0</v>
      </c>
      <c r="CM429" s="5" t="n">
        <v>0</v>
      </c>
      <c r="CN429" s="5" t="n">
        <v>0</v>
      </c>
      <c r="CO429" s="5" t="n">
        <v>0</v>
      </c>
      <c r="CP429" s="5" t="n">
        <v>1</v>
      </c>
      <c r="CQ429" s="5" t="n">
        <v>1.387</v>
      </c>
      <c r="CR429" s="5" t="n">
        <v>0</v>
      </c>
      <c r="CS429" s="5" t="n">
        <v>5.529</v>
      </c>
      <c r="CT429" s="5" t="n">
        <v>3.509</v>
      </c>
      <c r="CU429" s="5" t="n">
        <v>10.896</v>
      </c>
    </row>
    <row r="430">
      <c r="A430" s="5" t="inlineStr">
        <is>
          <t>XKX2021</t>
        </is>
      </c>
      <c r="B430" s="5" t="inlineStr">
        <is>
          <t>XKX</t>
        </is>
      </c>
      <c r="C430" s="5" t="inlineStr">
        <is>
          <t>XKX</t>
        </is>
      </c>
      <c r="D430" s="5" t="inlineStr">
        <is>
          <t>Kosovo</t>
        </is>
      </c>
      <c r="E430" s="5" t="n">
        <v>2021</v>
      </c>
      <c r="F430" s="5" t="n">
        <v>0.18</v>
      </c>
      <c r="G430" s="5" t="n">
        <v>1.811</v>
      </c>
      <c r="H430" s="5" t="n">
        <v>0.578</v>
      </c>
      <c r="I430" s="5" t="n">
        <v>0</v>
      </c>
      <c r="J430" s="5" t="n">
        <v>1.812</v>
      </c>
      <c r="K430" s="5" t="n">
        <v>0</v>
      </c>
      <c r="L430" s="5" t="n">
        <v>1</v>
      </c>
      <c r="M430" s="5" t="n">
        <v>2.968</v>
      </c>
      <c r="N430" s="5" t="n">
        <v>1.734</v>
      </c>
      <c r="O430" s="5" t="n">
        <v>0</v>
      </c>
      <c r="P430" s="5" t="n">
        <v>2.969</v>
      </c>
      <c r="Q430" s="5" t="n">
        <v>0</v>
      </c>
      <c r="R430" s="5" t="n">
        <v>1</v>
      </c>
      <c r="S430" s="5" t="n">
        <v>4.701</v>
      </c>
      <c r="T430" s="5" t="n">
        <v>3.467</v>
      </c>
      <c r="U430" s="5" t="n">
        <v>0</v>
      </c>
      <c r="V430" s="5" t="n">
        <v>5.547</v>
      </c>
      <c r="W430" s="5" t="n">
        <v>0.18</v>
      </c>
      <c r="X430" s="5" t="n">
        <v>1</v>
      </c>
      <c r="Y430" s="5" t="n">
        <v>16.305</v>
      </c>
      <c r="Z430" s="5" t="n">
        <v>2.204</v>
      </c>
      <c r="AA430" s="5" t="n">
        <v>0.151</v>
      </c>
      <c r="AB430" s="5" t="n">
        <v>16.456</v>
      </c>
      <c r="AC430" s="5" t="n">
        <v>0</v>
      </c>
      <c r="AD430" s="5" t="n">
        <v>1</v>
      </c>
      <c r="AE430" s="5" t="n">
        <v>17.449</v>
      </c>
      <c r="AF430" s="5" t="n">
        <v>4.08</v>
      </c>
      <c r="AG430" s="5" t="n">
        <v>0.151</v>
      </c>
      <c r="AH430" s="5" t="n">
        <v>17.599</v>
      </c>
      <c r="AI430" s="5" t="n">
        <v>0</v>
      </c>
      <c r="AJ430" s="5" t="n">
        <v>1</v>
      </c>
      <c r="AK430" s="5" t="n">
        <v>24.309</v>
      </c>
      <c r="AL430" s="5" t="n">
        <v>12.947</v>
      </c>
      <c r="AM430" s="5" t="n">
        <v>0.151</v>
      </c>
      <c r="AN430" s="5" t="n">
        <v>28.862</v>
      </c>
      <c r="AO430" s="5" t="n">
        <v>0.18</v>
      </c>
      <c r="AP430" s="5" t="n">
        <v>1</v>
      </c>
      <c r="AQ430" s="5" t="n">
        <v>0.619</v>
      </c>
      <c r="AR430" s="5" t="n">
        <v>0.114</v>
      </c>
      <c r="AS430" s="5" t="n">
        <v>0.514</v>
      </c>
      <c r="AT430" s="5" t="n">
        <v>1.337</v>
      </c>
      <c r="AU430" s="5" t="n">
        <v>0.18</v>
      </c>
      <c r="AV430" s="5" t="n">
        <v>1</v>
      </c>
      <c r="AW430" s="5" t="n">
        <v>0.599</v>
      </c>
      <c r="AX430" s="5" t="n">
        <v>0.114</v>
      </c>
      <c r="AY430" s="5" t="n">
        <v>0.513</v>
      </c>
      <c r="AZ430" s="5" t="n">
        <v>1.313</v>
      </c>
      <c r="BA430" s="5" t="n">
        <v>0.18</v>
      </c>
      <c r="BB430" s="5" t="n">
        <v>1</v>
      </c>
      <c r="BC430" s="5" t="n">
        <v>0.439</v>
      </c>
      <c r="BD430" s="5" t="n">
        <v>0.114</v>
      </c>
      <c r="BE430" s="5" t="n">
        <v>0</v>
      </c>
      <c r="BF430" s="5" t="n">
        <v>0.518</v>
      </c>
      <c r="BG430" s="5" t="n">
        <v>0.18</v>
      </c>
      <c r="BH430" s="5" t="n">
        <v>1</v>
      </c>
      <c r="BI430" s="5" t="n">
        <v>0.505</v>
      </c>
      <c r="BJ430" s="5" t="n">
        <v>0.114</v>
      </c>
      <c r="BK430" s="5" t="n">
        <v>0</v>
      </c>
      <c r="BL430" s="5" t="n">
        <v>0.596</v>
      </c>
      <c r="BM430" s="5" t="n">
        <v>0.18</v>
      </c>
      <c r="BN430" s="5" t="n">
        <v>1</v>
      </c>
      <c r="BO430" s="5" t="n">
        <v>0</v>
      </c>
      <c r="BP430" s="5" t="n">
        <v>0</v>
      </c>
      <c r="BQ430" s="5" t="n">
        <v>0.081</v>
      </c>
      <c r="BR430" s="5" t="n">
        <v>0</v>
      </c>
      <c r="BS430" s="5" t="n">
        <v>0.667</v>
      </c>
      <c r="BT430" s="5" t="n">
        <v>0</v>
      </c>
      <c r="BU430" s="5" t="n">
        <v>0</v>
      </c>
      <c r="BV430" s="5" t="n">
        <v>0.07099999999999999</v>
      </c>
      <c r="BW430" s="5" t="n">
        <v>0.08</v>
      </c>
      <c r="BX430" s="5" t="n">
        <v>0.333</v>
      </c>
      <c r="BY430" s="5" t="n">
        <v>11.787</v>
      </c>
      <c r="BZ430" s="5" t="n">
        <v>0</v>
      </c>
      <c r="CA430" s="5" t="n">
        <v>11.787</v>
      </c>
      <c r="CB430" s="5" t="n">
        <v>0</v>
      </c>
      <c r="CC430" s="5" t="n">
        <v>78.125</v>
      </c>
      <c r="CD430" s="5" t="n">
        <v>7.95</v>
      </c>
      <c r="CE430" s="5" t="n">
        <v>0</v>
      </c>
      <c r="CF430" s="5" t="n">
        <v>92.188</v>
      </c>
      <c r="CG430" s="5" t="n">
        <v>0.18</v>
      </c>
      <c r="CH430" s="5" t="n">
        <v>1</v>
      </c>
      <c r="CI430" s="5" t="n">
        <v>0</v>
      </c>
      <c r="CJ430" s="5" t="n">
        <v>0</v>
      </c>
      <c r="CK430" s="5" t="n">
        <v>0</v>
      </c>
      <c r="CL430" s="5" t="n">
        <v>0</v>
      </c>
      <c r="CM430" s="5" t="n">
        <v>0</v>
      </c>
      <c r="CN430" s="5" t="n">
        <v>0</v>
      </c>
      <c r="CO430" s="5" t="n">
        <v>0</v>
      </c>
      <c r="CP430" s="5" t="n">
        <v>0.989</v>
      </c>
      <c r="CQ430" s="5" t="n">
        <v>1.198</v>
      </c>
      <c r="CR430" s="5" t="n">
        <v>0</v>
      </c>
      <c r="CS430" s="5" t="n">
        <v>4.776</v>
      </c>
      <c r="CT430" s="5" t="n">
        <v>4.41</v>
      </c>
      <c r="CU430" s="5" t="n">
        <v>15.162</v>
      </c>
    </row>
    <row r="431">
      <c r="A431" s="5" t="inlineStr">
        <is>
          <t>XKX2022</t>
        </is>
      </c>
      <c r="B431" s="5" t="inlineStr">
        <is>
          <t>XKX</t>
        </is>
      </c>
      <c r="C431" s="5" t="inlineStr">
        <is>
          <t>XKX</t>
        </is>
      </c>
      <c r="D431" s="5" t="inlineStr">
        <is>
          <t>Kosovo</t>
        </is>
      </c>
      <c r="E431" s="5" t="n">
        <v>2022</v>
      </c>
      <c r="F431" s="5" t="n">
        <v>0.18</v>
      </c>
      <c r="G431" s="5" t="n">
        <v>1.932</v>
      </c>
      <c r="H431" s="5" t="n">
        <v>0.62</v>
      </c>
      <c r="I431" s="5" t="n">
        <v>0</v>
      </c>
      <c r="J431" s="5" t="n">
        <v>1.932</v>
      </c>
      <c r="K431" s="5" t="n">
        <v>0</v>
      </c>
      <c r="L431" s="5" t="n">
        <v>1</v>
      </c>
      <c r="M431" s="5" t="n">
        <v>3.173</v>
      </c>
      <c r="N431" s="5" t="n">
        <v>1.859</v>
      </c>
      <c r="O431" s="5" t="n">
        <v>0</v>
      </c>
      <c r="P431" s="5" t="n">
        <v>3.173</v>
      </c>
      <c r="Q431" s="5" t="n">
        <v>0</v>
      </c>
      <c r="R431" s="5" t="n">
        <v>1</v>
      </c>
      <c r="S431" s="5" t="n">
        <v>5.031</v>
      </c>
      <c r="T431" s="5" t="n">
        <v>3.719</v>
      </c>
      <c r="U431" s="5" t="n">
        <v>0.067</v>
      </c>
      <c r="V431" s="5" t="n">
        <v>5.937</v>
      </c>
      <c r="W431" s="5" t="n">
        <v>0.18</v>
      </c>
      <c r="X431" s="5" t="n">
        <v>1</v>
      </c>
      <c r="Y431" s="5" t="n">
        <v>32.56</v>
      </c>
      <c r="Z431" s="5" t="n">
        <v>4.401</v>
      </c>
      <c r="AA431" s="5" t="n">
        <v>0.311</v>
      </c>
      <c r="AB431" s="5" t="n">
        <v>32.871</v>
      </c>
      <c r="AC431" s="5" t="n">
        <v>0</v>
      </c>
      <c r="AD431" s="5" t="n">
        <v>1</v>
      </c>
      <c r="AE431" s="5" t="n">
        <v>33.795</v>
      </c>
      <c r="AF431" s="5" t="n">
        <v>7.902</v>
      </c>
      <c r="AG431" s="5" t="n">
        <v>0.311</v>
      </c>
      <c r="AH431" s="5" t="n">
        <v>34.106</v>
      </c>
      <c r="AI431" s="5" t="n">
        <v>0</v>
      </c>
      <c r="AJ431" s="5" t="n">
        <v>1</v>
      </c>
      <c r="AK431" s="5" t="n">
        <v>41.203</v>
      </c>
      <c r="AL431" s="5" t="n">
        <v>21.945</v>
      </c>
      <c r="AM431" s="5" t="n">
        <v>0.864</v>
      </c>
      <c r="AN431" s="5" t="n">
        <v>48.987</v>
      </c>
      <c r="AO431" s="5" t="n">
        <v>0.18</v>
      </c>
      <c r="AP431" s="5" t="n">
        <v>1</v>
      </c>
      <c r="AQ431" s="5" t="n">
        <v>0.861</v>
      </c>
      <c r="AR431" s="5" t="n">
        <v>0.123</v>
      </c>
      <c r="AS431" s="5" t="n">
        <v>0.449</v>
      </c>
      <c r="AT431" s="5" t="n">
        <v>1.546</v>
      </c>
      <c r="AU431" s="5" t="n">
        <v>0.18</v>
      </c>
      <c r="AV431" s="5" t="n">
        <v>1</v>
      </c>
      <c r="AW431" s="5" t="n">
        <v>0.986</v>
      </c>
      <c r="AX431" s="5" t="n">
        <v>0.123</v>
      </c>
      <c r="AY431" s="5" t="n">
        <v>0.431</v>
      </c>
      <c r="AZ431" s="5" t="n">
        <v>1.672</v>
      </c>
      <c r="BA431" s="5" t="n">
        <v>0.18</v>
      </c>
      <c r="BB431" s="5" t="n">
        <v>1</v>
      </c>
      <c r="BC431" s="5" t="n">
        <v>0.598</v>
      </c>
      <c r="BD431" s="5" t="n">
        <v>0.123</v>
      </c>
      <c r="BE431" s="5" t="n">
        <v>0.008</v>
      </c>
      <c r="BF431" s="5" t="n">
        <v>0.705</v>
      </c>
      <c r="BG431" s="5" t="n">
        <v>0.18</v>
      </c>
      <c r="BH431" s="5" t="n">
        <v>1</v>
      </c>
      <c r="BI431" s="5" t="n">
        <v>0.612</v>
      </c>
      <c r="BJ431" s="5" t="n">
        <v>0.123</v>
      </c>
      <c r="BK431" s="5" t="n">
        <v>0.008</v>
      </c>
      <c r="BL431" s="5" t="n">
        <v>0.723</v>
      </c>
      <c r="BM431" s="5" t="n">
        <v>0.18</v>
      </c>
      <c r="BN431" s="5" t="n">
        <v>1</v>
      </c>
      <c r="BO431" s="5" t="n">
        <v>0</v>
      </c>
      <c r="BP431" s="5" t="n">
        <v>0</v>
      </c>
      <c r="BQ431" s="5" t="n">
        <v>0.07199999999999999</v>
      </c>
      <c r="BR431" s="5" t="n">
        <v>0</v>
      </c>
      <c r="BS431" s="5" t="n">
        <v>0.667</v>
      </c>
      <c r="BT431" s="5" t="n">
        <v>0</v>
      </c>
      <c r="BU431" s="5" t="n">
        <v>0</v>
      </c>
      <c r="BV431" s="5" t="n">
        <v>0.063</v>
      </c>
      <c r="BW431" s="5" t="n">
        <v>0.08</v>
      </c>
      <c r="BX431" s="5" t="n">
        <v>0.333</v>
      </c>
      <c r="BY431" s="5" t="n">
        <v>12.729</v>
      </c>
      <c r="BZ431" s="5" t="n">
        <v>0</v>
      </c>
      <c r="CA431" s="5" t="n">
        <v>12.729</v>
      </c>
      <c r="CB431" s="5" t="n">
        <v>0</v>
      </c>
      <c r="CC431" s="5" t="n">
        <v>97.90000000000001</v>
      </c>
      <c r="CD431" s="5" t="n">
        <v>7.95</v>
      </c>
      <c r="CE431" s="5" t="n">
        <v>1.304</v>
      </c>
      <c r="CF431" s="5" t="n">
        <v>115.522</v>
      </c>
      <c r="CG431" s="5" t="n">
        <v>0.18</v>
      </c>
      <c r="CH431" s="5" t="n">
        <v>1</v>
      </c>
      <c r="CI431" s="5" t="n">
        <v>0</v>
      </c>
      <c r="CJ431" s="5" t="n">
        <v>0</v>
      </c>
      <c r="CK431" s="5" t="n">
        <v>0</v>
      </c>
      <c r="CL431" s="5" t="n">
        <v>0</v>
      </c>
      <c r="CM431" s="5" t="n">
        <v>0</v>
      </c>
      <c r="CN431" s="5" t="n">
        <v>0</v>
      </c>
      <c r="CO431" s="5" t="n">
        <v>0</v>
      </c>
      <c r="CP431" s="5" t="n">
        <v>0.996</v>
      </c>
      <c r="CQ431" s="5" t="n">
        <v>1.294</v>
      </c>
      <c r="CR431" s="5" t="n">
        <v>0</v>
      </c>
      <c r="CS431" s="5" t="n">
        <v>5.158</v>
      </c>
      <c r="CT431" s="5" t="n">
        <v>5.842</v>
      </c>
      <c r="CU431" s="5" t="n">
        <v>31.326</v>
      </c>
    </row>
    <row r="432">
      <c r="A432" s="5" t="inlineStr">
        <is>
          <t>XKX2023</t>
        </is>
      </c>
      <c r="B432" s="5" t="inlineStr">
        <is>
          <t>XKX</t>
        </is>
      </c>
      <c r="C432" s="5" t="inlineStr">
        <is>
          <t>XKX</t>
        </is>
      </c>
      <c r="D432" s="5" t="inlineStr">
        <is>
          <t>Kosovo</t>
        </is>
      </c>
      <c r="E432" s="5" t="n">
        <v>2023</v>
      </c>
      <c r="F432" s="5" t="n">
        <v>0.18</v>
      </c>
      <c r="G432" s="5" t="n">
        <v>2.012</v>
      </c>
      <c r="H432" s="5" t="n">
        <v>0.648</v>
      </c>
      <c r="I432" s="5" t="n">
        <v>0</v>
      </c>
      <c r="J432" s="5" t="n">
        <v>2.012</v>
      </c>
      <c r="K432" s="5" t="n">
        <v>0</v>
      </c>
      <c r="L432" s="5" t="n">
        <v>1</v>
      </c>
      <c r="M432" s="5" t="n">
        <v>3.312</v>
      </c>
      <c r="N432" s="5" t="n">
        <v>1.944</v>
      </c>
      <c r="O432" s="5" t="n">
        <v>0</v>
      </c>
      <c r="P432" s="5" t="n">
        <v>3.312</v>
      </c>
      <c r="Q432" s="5" t="n">
        <v>0</v>
      </c>
      <c r="R432" s="5" t="n">
        <v>1</v>
      </c>
      <c r="S432" s="5" t="n">
        <v>5.251</v>
      </c>
      <c r="T432" s="5" t="n">
        <v>3.887</v>
      </c>
      <c r="U432" s="5" t="n">
        <v>0.105</v>
      </c>
      <c r="V432" s="5" t="n">
        <v>6.197</v>
      </c>
      <c r="W432" s="5" t="n">
        <v>0.18</v>
      </c>
      <c r="X432" s="5" t="n">
        <v>1</v>
      </c>
      <c r="Y432" s="5" t="n">
        <v>12.908</v>
      </c>
      <c r="Z432" s="5" t="n">
        <v>1.745</v>
      </c>
      <c r="AA432" s="5" t="n">
        <v>0.115</v>
      </c>
      <c r="AB432" s="5" t="n">
        <v>13.023</v>
      </c>
      <c r="AC432" s="5" t="n">
        <v>0</v>
      </c>
      <c r="AD432" s="5" t="n">
        <v>1</v>
      </c>
      <c r="AE432" s="5" t="n">
        <v>14.194</v>
      </c>
      <c r="AF432" s="5" t="n">
        <v>3.319</v>
      </c>
      <c r="AG432" s="5" t="n">
        <v>0.115</v>
      </c>
      <c r="AH432" s="5" t="n">
        <v>14.309</v>
      </c>
      <c r="AI432" s="5" t="n">
        <v>0</v>
      </c>
      <c r="AJ432" s="5" t="n">
        <v>1</v>
      </c>
      <c r="AK432" s="5" t="n">
        <v>21.908</v>
      </c>
      <c r="AL432" s="5" t="n">
        <v>11.668</v>
      </c>
      <c r="AM432" s="5" t="n">
        <v>0.554</v>
      </c>
      <c r="AN432" s="5" t="n">
        <v>25.987</v>
      </c>
      <c r="AO432" s="5" t="n">
        <v>0.18</v>
      </c>
      <c r="AP432" s="5" t="n">
        <v>1</v>
      </c>
      <c r="AQ432" s="5" t="n">
        <v>0.76</v>
      </c>
      <c r="AR432" s="5" t="n">
        <v>0.129</v>
      </c>
      <c r="AS432" s="5" t="n">
        <v>0.486</v>
      </c>
      <c r="AT432" s="5" t="n">
        <v>1.471</v>
      </c>
      <c r="AU432" s="5" t="n">
        <v>0.18</v>
      </c>
      <c r="AV432" s="5" t="n">
        <v>1</v>
      </c>
      <c r="AW432" s="5" t="n">
        <v>0.8110000000000001</v>
      </c>
      <c r="AX432" s="5" t="n">
        <v>0.129</v>
      </c>
      <c r="AY432" s="5" t="n">
        <v>0.453</v>
      </c>
      <c r="AZ432" s="5" t="n">
        <v>1.492</v>
      </c>
      <c r="BA432" s="5" t="n">
        <v>0.18</v>
      </c>
      <c r="BB432" s="5" t="n">
        <v>1</v>
      </c>
      <c r="BC432" s="5" t="n">
        <v>0.535</v>
      </c>
      <c r="BD432" s="5" t="n">
        <v>0.129</v>
      </c>
      <c r="BE432" s="5" t="n">
        <v>0.011</v>
      </c>
      <c r="BF432" s="5" t="n">
        <v>0.631</v>
      </c>
      <c r="BG432" s="5" t="n">
        <v>0.18</v>
      </c>
      <c r="BH432" s="5" t="n">
        <v>1</v>
      </c>
      <c r="BI432" s="5" t="n">
        <v>0.579</v>
      </c>
      <c r="BJ432" s="5" t="n">
        <v>0.129</v>
      </c>
      <c r="BK432" s="5" t="n">
        <v>0.012</v>
      </c>
      <c r="BL432" s="5" t="n">
        <v>0.6840000000000001</v>
      </c>
      <c r="BM432" s="5" t="n">
        <v>0.18</v>
      </c>
      <c r="BN432" s="5" t="n">
        <v>1</v>
      </c>
      <c r="BO432" s="5" t="n">
        <v>0</v>
      </c>
      <c r="BP432" s="5" t="n">
        <v>0</v>
      </c>
      <c r="BQ432" s="5" t="n">
        <v>0.082</v>
      </c>
      <c r="BR432" s="5" t="n">
        <v>0</v>
      </c>
      <c r="BS432" s="5" t="n">
        <v>0.667</v>
      </c>
      <c r="BT432" s="5" t="n">
        <v>0</v>
      </c>
      <c r="BU432" s="5" t="n">
        <v>0</v>
      </c>
      <c r="BV432" s="5" t="n">
        <v>0.076</v>
      </c>
      <c r="BW432" s="5" t="n">
        <v>0.08</v>
      </c>
      <c r="BX432" s="5" t="n">
        <v>0.333</v>
      </c>
      <c r="BY432" s="5" t="n">
        <v>13.254</v>
      </c>
      <c r="BZ432" s="5" t="n">
        <v>0</v>
      </c>
      <c r="CA432" s="5" t="n">
        <v>13.254</v>
      </c>
      <c r="CB432" s="5" t="n">
        <v>0</v>
      </c>
      <c r="CC432" s="5" t="n">
        <v>83.248</v>
      </c>
      <c r="CD432" s="5" t="n">
        <v>7.95</v>
      </c>
      <c r="CE432" s="5" t="n">
        <v>1.659</v>
      </c>
      <c r="CF432" s="5" t="n">
        <v>98.233</v>
      </c>
      <c r="CG432" s="5" t="n">
        <v>0.18</v>
      </c>
      <c r="CH432" s="5" t="n">
        <v>1</v>
      </c>
      <c r="CI432" s="5" t="n">
        <v>0</v>
      </c>
      <c r="CJ432" s="5" t="n">
        <v>0</v>
      </c>
      <c r="CK432" s="5" t="n">
        <v>0</v>
      </c>
      <c r="CL432" s="5" t="n">
        <v>0</v>
      </c>
      <c r="CM432" s="5" t="n">
        <v>0</v>
      </c>
      <c r="CN432" s="5" t="n">
        <v>0</v>
      </c>
      <c r="CO432" s="5" t="n">
        <v>0</v>
      </c>
      <c r="CP432" s="5" t="n">
        <v>0.992</v>
      </c>
      <c r="CQ432" s="5" t="n">
        <v>1.348</v>
      </c>
      <c r="CR432" s="5" t="n">
        <v>0</v>
      </c>
      <c r="CS432" s="5" t="n">
        <v>5.37</v>
      </c>
      <c r="CT432" s="5" t="n">
        <v>3.466</v>
      </c>
      <c r="CU432" s="5" t="n">
        <v>11.622</v>
      </c>
    </row>
    <row r="433">
      <c r="A433" s="5" t="inlineStr">
        <is>
          <t>XKX2024</t>
        </is>
      </c>
      <c r="B433" s="5" t="inlineStr">
        <is>
          <t>XKX</t>
        </is>
      </c>
      <c r="C433" s="5" t="inlineStr">
        <is>
          <t>XKX</t>
        </is>
      </c>
      <c r="D433" s="5" t="inlineStr">
        <is>
          <t>Kosovo</t>
        </is>
      </c>
      <c r="E433" s="5" t="n">
        <v>2024</v>
      </c>
      <c r="F433" s="5" t="n">
        <v>0.18</v>
      </c>
      <c r="G433" s="5" t="n">
        <v>2.067</v>
      </c>
      <c r="H433" s="5" t="n">
        <v>0.667</v>
      </c>
      <c r="I433" s="5" t="n">
        <v>0</v>
      </c>
      <c r="J433" s="5" t="n">
        <v>2.067</v>
      </c>
      <c r="K433" s="5" t="n">
        <v>0</v>
      </c>
      <c r="L433" s="5" t="n">
        <v>1</v>
      </c>
      <c r="M433" s="5" t="n">
        <v>3.402</v>
      </c>
      <c r="N433" s="5" t="n">
        <v>2.001</v>
      </c>
      <c r="O433" s="5" t="n">
        <v>0</v>
      </c>
      <c r="P433" s="5" t="n">
        <v>3.402</v>
      </c>
      <c r="Q433" s="5" t="n">
        <v>0</v>
      </c>
      <c r="R433" s="5" t="n">
        <v>1</v>
      </c>
      <c r="S433" s="5" t="n">
        <v>5.402</v>
      </c>
      <c r="T433" s="5" t="n">
        <v>4.002</v>
      </c>
      <c r="U433" s="5" t="n">
        <v>0.133</v>
      </c>
      <c r="V433" s="5" t="n">
        <v>6.375</v>
      </c>
      <c r="W433" s="5" t="n">
        <v>0.18</v>
      </c>
      <c r="X433" s="5" t="n">
        <v>1</v>
      </c>
      <c r="Y433" s="5" t="n">
        <v>11.492</v>
      </c>
      <c r="Z433" s="5" t="n">
        <v>1.553</v>
      </c>
      <c r="AA433" s="5" t="n">
        <v>0.101</v>
      </c>
      <c r="AB433" s="5" t="n">
        <v>11.593</v>
      </c>
      <c r="AC433" s="5" t="n">
        <v>0</v>
      </c>
      <c r="AD433" s="5" t="n">
        <v>1</v>
      </c>
      <c r="AE433" s="5" t="n">
        <v>12.815</v>
      </c>
      <c r="AF433" s="5" t="n">
        <v>2.997</v>
      </c>
      <c r="AG433" s="5" t="n">
        <v>0.101</v>
      </c>
      <c r="AH433" s="5" t="n">
        <v>12.916</v>
      </c>
      <c r="AI433" s="5" t="n">
        <v>0</v>
      </c>
      <c r="AJ433" s="5" t="n">
        <v>1</v>
      </c>
      <c r="AK433" s="5" t="n">
        <v>20.757</v>
      </c>
      <c r="AL433" s="5" t="n">
        <v>11.055</v>
      </c>
      <c r="AM433" s="5" t="n">
        <v>0.612</v>
      </c>
      <c r="AN433" s="5" t="n">
        <v>24.613</v>
      </c>
      <c r="AO433" s="5" t="n">
        <v>0.18</v>
      </c>
      <c r="AP433" s="5" t="n">
        <v>1</v>
      </c>
      <c r="AQ433" s="5" t="n">
        <v>0.724</v>
      </c>
      <c r="AR433" s="5" t="n">
        <v>0.132</v>
      </c>
      <c r="AS433" s="5" t="n">
        <v>0.385</v>
      </c>
      <c r="AT433" s="5" t="n">
        <v>1.309</v>
      </c>
      <c r="AU433" s="5" t="n">
        <v>0.18</v>
      </c>
      <c r="AV433" s="5" t="n">
        <v>1</v>
      </c>
      <c r="AW433" s="5" t="n">
        <v>0.75</v>
      </c>
      <c r="AX433" s="5" t="n">
        <v>0.132</v>
      </c>
      <c r="AY433" s="5" t="n">
        <v>0.322</v>
      </c>
      <c r="AZ433" s="5" t="n">
        <v>1.266</v>
      </c>
      <c r="BA433" s="5" t="n">
        <v>0.18</v>
      </c>
      <c r="BB433" s="5" t="n">
        <v>1</v>
      </c>
      <c r="BC433" s="5" t="n">
        <v>0.513</v>
      </c>
      <c r="BD433" s="5" t="n">
        <v>0.132</v>
      </c>
      <c r="BE433" s="5" t="n">
        <v>0.013</v>
      </c>
      <c r="BF433" s="5" t="n">
        <v>0.605</v>
      </c>
      <c r="BG433" s="5" t="n">
        <v>0.18</v>
      </c>
      <c r="BH433" s="5" t="n">
        <v>1</v>
      </c>
      <c r="BI433" s="5" t="n">
        <v>0.591</v>
      </c>
      <c r="BJ433" s="5" t="n">
        <v>0.132</v>
      </c>
      <c r="BK433" s="5" t="n">
        <v>0.014</v>
      </c>
      <c r="BL433" s="5" t="n">
        <v>0.698</v>
      </c>
      <c r="BM433" s="5" t="n">
        <v>0.18</v>
      </c>
      <c r="BN433" s="5" t="n">
        <v>1</v>
      </c>
      <c r="BO433" s="5" t="n">
        <v>0</v>
      </c>
      <c r="BP433" s="5" t="n">
        <v>0</v>
      </c>
      <c r="BQ433" s="5" t="n">
        <v>0.07199999999999999</v>
      </c>
      <c r="BR433" s="5" t="n">
        <v>0</v>
      </c>
      <c r="BS433" s="5" t="n">
        <v>0.667</v>
      </c>
      <c r="BT433" s="5" t="n">
        <v>0</v>
      </c>
      <c r="BU433" s="5" t="n">
        <v>0</v>
      </c>
      <c r="BV433" s="5" t="n">
        <v>0.078</v>
      </c>
      <c r="BW433" s="5" t="n">
        <v>0.08</v>
      </c>
      <c r="BX433" s="5" t="n">
        <v>0.333</v>
      </c>
      <c r="BY433" s="5" t="n">
        <v>13.646</v>
      </c>
      <c r="BZ433" s="5" t="n">
        <v>0</v>
      </c>
      <c r="CA433" s="5" t="n">
        <v>13.646</v>
      </c>
      <c r="CB433" s="5" t="n">
        <v>0</v>
      </c>
      <c r="CC433" s="5" t="n">
        <v>82.58799999999999</v>
      </c>
      <c r="CD433" s="5" t="n">
        <v>7.95</v>
      </c>
      <c r="CE433" s="5" t="n">
        <v>2.025</v>
      </c>
      <c r="CF433" s="5" t="n">
        <v>97.45399999999999</v>
      </c>
      <c r="CG433" s="5" t="n">
        <v>0.18</v>
      </c>
      <c r="CH433" s="5" t="n">
        <v>1</v>
      </c>
      <c r="CI433" s="5" t="n">
        <v>0</v>
      </c>
      <c r="CJ433" s="5" t="n">
        <v>0</v>
      </c>
      <c r="CK433" s="5" t="n">
        <v>0</v>
      </c>
      <c r="CL433" s="5" t="n">
        <v>0</v>
      </c>
      <c r="CM433" s="5" t="n">
        <v>0</v>
      </c>
      <c r="CN433" s="5" t="n">
        <v>0</v>
      </c>
      <c r="CO433" s="5" t="n">
        <v>0</v>
      </c>
      <c r="CP433" s="5" t="n">
        <v>0.992</v>
      </c>
      <c r="CQ433" s="5" t="n">
        <v>1.387</v>
      </c>
      <c r="CR433" s="5" t="n">
        <v>0</v>
      </c>
      <c r="CS433" s="5" t="n">
        <v>5.529</v>
      </c>
      <c r="CT433" s="5" t="n">
        <v>3.027</v>
      </c>
      <c r="CU433" s="5" t="n">
        <v>10.168</v>
      </c>
    </row>
    <row r="434">
      <c r="A434" s="5" t="inlineStr">
        <is>
          <t>KWT2021</t>
        </is>
      </c>
      <c r="B434" s="5" t="inlineStr">
        <is>
          <t>KWT</t>
        </is>
      </c>
      <c r="C434" s="5" t="inlineStr">
        <is>
          <t>KWT</t>
        </is>
      </c>
      <c r="D434" s="5" t="inlineStr">
        <is>
          <t>Kuwait</t>
        </is>
      </c>
      <c r="E434" s="5" t="n">
        <v>2021</v>
      </c>
      <c r="F434" s="5" t="n">
        <v>0</v>
      </c>
      <c r="G434" s="5" t="n">
        <v>5.897</v>
      </c>
      <c r="H434" s="5" t="n">
        <v>1.143</v>
      </c>
      <c r="I434" s="5" t="n">
        <v>0.238</v>
      </c>
      <c r="J434" s="5" t="n">
        <v>6.134</v>
      </c>
      <c r="K434" s="5" t="n">
        <v>0</v>
      </c>
      <c r="L434" s="5" t="n">
        <v>1</v>
      </c>
      <c r="M434" s="5" t="n">
        <v>7.964</v>
      </c>
      <c r="N434" s="5" t="n">
        <v>3.43</v>
      </c>
      <c r="O434" s="5" t="n">
        <v>0.227</v>
      </c>
      <c r="P434" s="5" t="n">
        <v>8.191000000000001</v>
      </c>
      <c r="Q434" s="5" t="n">
        <v>0</v>
      </c>
      <c r="R434" s="5" t="n">
        <v>1</v>
      </c>
      <c r="S434" s="5" t="n">
        <v>11.613</v>
      </c>
      <c r="T434" s="5" t="n">
        <v>6.86</v>
      </c>
      <c r="U434" s="5" t="n">
        <v>0.238</v>
      </c>
      <c r="V434" s="5" t="n">
        <v>11.851</v>
      </c>
      <c r="W434" s="5" t="n">
        <v>0</v>
      </c>
      <c r="X434" s="5" t="n">
        <v>1</v>
      </c>
      <c r="Y434" s="5" t="n">
        <v>5.535</v>
      </c>
      <c r="Z434" s="5" t="n">
        <v>0.602</v>
      </c>
      <c r="AA434" s="5" t="n">
        <v>-1.946</v>
      </c>
      <c r="AB434" s="5" t="n">
        <v>3.589</v>
      </c>
      <c r="AC434" s="5" t="n">
        <v>0</v>
      </c>
      <c r="AD434" s="5" t="n">
        <v>0</v>
      </c>
      <c r="AE434" s="5" t="n">
        <v>6.293</v>
      </c>
      <c r="AF434" s="5" t="n">
        <v>1.212</v>
      </c>
      <c r="AG434" s="5" t="n">
        <v>-3.253</v>
      </c>
      <c r="AH434" s="5" t="n">
        <v>3.04</v>
      </c>
      <c r="AI434" s="5" t="n">
        <v>0</v>
      </c>
      <c r="AJ434" s="5" t="n">
        <v>0</v>
      </c>
      <c r="AK434" s="5" t="n">
        <v>10.846</v>
      </c>
      <c r="AL434" s="5" t="n">
        <v>5.097</v>
      </c>
      <c r="AM434" s="5" t="n">
        <v>-2.153</v>
      </c>
      <c r="AN434" s="5" t="n">
        <v>8.694000000000001</v>
      </c>
      <c r="AO434" s="5" t="n">
        <v>0</v>
      </c>
      <c r="AP434" s="5" t="n">
        <v>0</v>
      </c>
      <c r="AQ434" s="5" t="n">
        <v>0.621</v>
      </c>
      <c r="AR434" s="5" t="n">
        <v>0.114</v>
      </c>
      <c r="AS434" s="5" t="n">
        <v>-0.272</v>
      </c>
      <c r="AT434" s="5" t="n">
        <v>0.348</v>
      </c>
      <c r="AU434" s="5" t="n">
        <v>0</v>
      </c>
      <c r="AV434" s="5" t="n">
        <v>0</v>
      </c>
      <c r="AW434" s="5" t="n">
        <v>0.593</v>
      </c>
      <c r="AX434" s="5" t="n">
        <v>0.114</v>
      </c>
      <c r="AY434" s="5" t="n">
        <v>-0.212</v>
      </c>
      <c r="AZ434" s="5" t="n">
        <v>0.381</v>
      </c>
      <c r="BA434" s="5" t="n">
        <v>0</v>
      </c>
      <c r="BB434" s="5" t="n">
        <v>0</v>
      </c>
      <c r="BC434" s="5" t="n">
        <v>0.44</v>
      </c>
      <c r="BD434" s="5" t="n">
        <v>0.114</v>
      </c>
      <c r="BE434" s="5" t="n">
        <v>0</v>
      </c>
      <c r="BF434" s="5" t="n">
        <v>0.44</v>
      </c>
      <c r="BG434" s="5" t="n">
        <v>0</v>
      </c>
      <c r="BH434" s="5" t="n">
        <v>1</v>
      </c>
      <c r="BI434" s="5" t="n">
        <v>0.5600000000000001</v>
      </c>
      <c r="BJ434" s="5" t="n">
        <v>0.114</v>
      </c>
      <c r="BK434" s="5" t="n">
        <v>-0.179</v>
      </c>
      <c r="BL434" s="5" t="n">
        <v>0.381</v>
      </c>
      <c r="BM434" s="5" t="n">
        <v>0</v>
      </c>
      <c r="BN434" s="5" t="n">
        <v>0</v>
      </c>
      <c r="BO434" s="5" t="n">
        <v>0</v>
      </c>
      <c r="BP434" s="5" t="n">
        <v>-0.073</v>
      </c>
      <c r="BQ434" s="5" t="n">
        <v>0.033</v>
      </c>
      <c r="BR434" s="5" t="n">
        <v>0</v>
      </c>
      <c r="BS434" s="5" t="n">
        <v>0.833</v>
      </c>
      <c r="BT434" s="5" t="n">
        <v>0</v>
      </c>
      <c r="BU434" s="5" t="n">
        <v>-0.073</v>
      </c>
      <c r="BV434" s="5" t="n">
        <v>0.016</v>
      </c>
      <c r="BW434" s="5" t="n">
        <v>0</v>
      </c>
      <c r="BX434" s="5" t="n">
        <v>0.833</v>
      </c>
      <c r="BY434" s="5" t="n">
        <v>11.787</v>
      </c>
      <c r="BZ434" s="5" t="n">
        <v>0</v>
      </c>
      <c r="CA434" s="5" t="n">
        <v>11.787</v>
      </c>
      <c r="CB434" s="5" t="n">
        <v>0</v>
      </c>
      <c r="CC434" s="5" t="n">
        <v>81.69499999999999</v>
      </c>
      <c r="CD434" s="5" t="n">
        <v>7.95</v>
      </c>
      <c r="CE434" s="5" t="n">
        <v>0</v>
      </c>
      <c r="CF434" s="5" t="n">
        <v>81.69499999999999</v>
      </c>
      <c r="CG434" s="5" t="n">
        <v>0</v>
      </c>
      <c r="CH434" s="5" t="n">
        <v>1</v>
      </c>
      <c r="CI434" s="5" t="n">
        <v>0</v>
      </c>
      <c r="CJ434" s="5" t="n">
        <v>0</v>
      </c>
      <c r="CK434" s="5" t="n">
        <v>0</v>
      </c>
      <c r="CL434" s="5" t="n">
        <v>0</v>
      </c>
      <c r="CM434" s="5" t="n">
        <v>0</v>
      </c>
      <c r="CN434" s="5" t="n">
        <v>0</v>
      </c>
      <c r="CO434" s="5" t="n">
        <v>0</v>
      </c>
      <c r="CP434" s="5" t="n">
        <v>0</v>
      </c>
      <c r="CQ434" s="5" t="n">
        <v>1.198</v>
      </c>
      <c r="CR434" s="5" t="n">
        <v>0.673</v>
      </c>
      <c r="CS434" s="5" t="n">
        <v>4.776</v>
      </c>
      <c r="CT434" s="5" t="n">
        <v>4.753</v>
      </c>
      <c r="CU434" s="5" t="n">
        <v>14.162</v>
      </c>
    </row>
    <row r="435">
      <c r="A435" s="5" t="inlineStr">
        <is>
          <t>KWT2022</t>
        </is>
      </c>
      <c r="B435" s="5" t="inlineStr">
        <is>
          <t>KWT</t>
        </is>
      </c>
      <c r="C435" s="5" t="inlineStr">
        <is>
          <t>KWT</t>
        </is>
      </c>
      <c r="D435" s="5" t="inlineStr">
        <is>
          <t>Kuwait</t>
        </is>
      </c>
      <c r="E435" s="5" t="n">
        <v>2022</v>
      </c>
      <c r="F435" s="5" t="n">
        <v>0</v>
      </c>
      <c r="G435" s="5" t="n">
        <v>11.72</v>
      </c>
      <c r="H435" s="5" t="n">
        <v>1.235</v>
      </c>
      <c r="I435" s="5" t="n">
        <v>0.5659999999999999</v>
      </c>
      <c r="J435" s="5" t="n">
        <v>12.286</v>
      </c>
      <c r="K435" s="5" t="n">
        <v>0</v>
      </c>
      <c r="L435" s="5" t="n">
        <v>1</v>
      </c>
      <c r="M435" s="5" t="n">
        <v>9.782999999999999</v>
      </c>
      <c r="N435" s="5" t="n">
        <v>3.704</v>
      </c>
      <c r="O435" s="5" t="n">
        <v>0.328</v>
      </c>
      <c r="P435" s="5" t="n">
        <v>10.111</v>
      </c>
      <c r="Q435" s="5" t="n">
        <v>0</v>
      </c>
      <c r="R435" s="5" t="n">
        <v>1</v>
      </c>
      <c r="S435" s="5" t="n">
        <v>17.893</v>
      </c>
      <c r="T435" s="5" t="n">
        <v>7.408</v>
      </c>
      <c r="U435" s="5" t="n">
        <v>0.5659999999999999</v>
      </c>
      <c r="V435" s="5" t="n">
        <v>18.459</v>
      </c>
      <c r="W435" s="5" t="n">
        <v>0</v>
      </c>
      <c r="X435" s="5" t="n">
        <v>1</v>
      </c>
      <c r="Y435" s="5" t="n">
        <v>9.510999999999999</v>
      </c>
      <c r="Z435" s="5" t="n">
        <v>1.035</v>
      </c>
      <c r="AA435" s="5" t="n">
        <v>-2.102</v>
      </c>
      <c r="AB435" s="5" t="n">
        <v>7.409</v>
      </c>
      <c r="AC435" s="5" t="n">
        <v>0</v>
      </c>
      <c r="AD435" s="5" t="n">
        <v>0</v>
      </c>
      <c r="AE435" s="5" t="n">
        <v>10.338</v>
      </c>
      <c r="AF435" s="5" t="n">
        <v>1.991</v>
      </c>
      <c r="AG435" s="5" t="n">
        <v>-3.513</v>
      </c>
      <c r="AH435" s="5" t="n">
        <v>6.824</v>
      </c>
      <c r="AI435" s="5" t="n">
        <v>0</v>
      </c>
      <c r="AJ435" s="5" t="n">
        <v>0</v>
      </c>
      <c r="AK435" s="5" t="n">
        <v>15.297</v>
      </c>
      <c r="AL435" s="5" t="n">
        <v>7.188</v>
      </c>
      <c r="AM435" s="5" t="n">
        <v>-2.02</v>
      </c>
      <c r="AN435" s="5" t="n">
        <v>13.277</v>
      </c>
      <c r="AO435" s="5" t="n">
        <v>0</v>
      </c>
      <c r="AP435" s="5" t="n">
        <v>0</v>
      </c>
      <c r="AQ435" s="5" t="n">
        <v>0.847</v>
      </c>
      <c r="AR435" s="5" t="n">
        <v>0.123</v>
      </c>
      <c r="AS435" s="5" t="n">
        <v>-0.504</v>
      </c>
      <c r="AT435" s="5" t="n">
        <v>0.343</v>
      </c>
      <c r="AU435" s="5" t="n">
        <v>0</v>
      </c>
      <c r="AV435" s="5" t="n">
        <v>0</v>
      </c>
      <c r="AW435" s="5" t="n">
        <v>0.947</v>
      </c>
      <c r="AX435" s="5" t="n">
        <v>0.123</v>
      </c>
      <c r="AY435" s="5" t="n">
        <v>-0.571</v>
      </c>
      <c r="AZ435" s="5" t="n">
        <v>0.376</v>
      </c>
      <c r="BA435" s="5" t="n">
        <v>0</v>
      </c>
      <c r="BB435" s="5" t="n">
        <v>0</v>
      </c>
      <c r="BC435" s="5" t="n">
        <v>0.589</v>
      </c>
      <c r="BD435" s="5" t="n">
        <v>0.123</v>
      </c>
      <c r="BE435" s="5" t="n">
        <v>0</v>
      </c>
      <c r="BF435" s="5" t="n">
        <v>0.589</v>
      </c>
      <c r="BG435" s="5" t="n">
        <v>0</v>
      </c>
      <c r="BH435" s="5" t="n">
        <v>1</v>
      </c>
      <c r="BI435" s="5" t="n">
        <v>0.6889999999999999</v>
      </c>
      <c r="BJ435" s="5" t="n">
        <v>0.123</v>
      </c>
      <c r="BK435" s="5" t="n">
        <v>-0.313</v>
      </c>
      <c r="BL435" s="5" t="n">
        <v>0.376</v>
      </c>
      <c r="BM435" s="5" t="n">
        <v>0</v>
      </c>
      <c r="BN435" s="5" t="n">
        <v>0</v>
      </c>
      <c r="BO435" s="5" t="n">
        <v>0</v>
      </c>
      <c r="BP435" s="5" t="n">
        <v>-0.073</v>
      </c>
      <c r="BQ435" s="5" t="n">
        <v>0.032</v>
      </c>
      <c r="BR435" s="5" t="n">
        <v>0</v>
      </c>
      <c r="BS435" s="5" t="n">
        <v>0.833</v>
      </c>
      <c r="BT435" s="5" t="n">
        <v>0</v>
      </c>
      <c r="BU435" s="5" t="n">
        <v>-0.073</v>
      </c>
      <c r="BV435" s="5" t="n">
        <v>0.016</v>
      </c>
      <c r="BW435" s="5" t="n">
        <v>0</v>
      </c>
      <c r="BX435" s="5" t="n">
        <v>0.833</v>
      </c>
      <c r="BY435" s="5" t="n">
        <v>12.729</v>
      </c>
      <c r="BZ435" s="5" t="n">
        <v>0</v>
      </c>
      <c r="CA435" s="5" t="n">
        <v>12.729</v>
      </c>
      <c r="CB435" s="5" t="n">
        <v>0</v>
      </c>
      <c r="CC435" s="5" t="n">
        <v>102.477</v>
      </c>
      <c r="CD435" s="5" t="n">
        <v>7.95</v>
      </c>
      <c r="CE435" s="5" t="n">
        <v>0</v>
      </c>
      <c r="CF435" s="5" t="n">
        <v>102.477</v>
      </c>
      <c r="CG435" s="5" t="n">
        <v>0</v>
      </c>
      <c r="CH435" s="5" t="n">
        <v>1</v>
      </c>
      <c r="CI435" s="5" t="n">
        <v>0</v>
      </c>
      <c r="CJ435" s="5" t="n">
        <v>0</v>
      </c>
      <c r="CK435" s="5" t="n">
        <v>0</v>
      </c>
      <c r="CL435" s="5" t="n">
        <v>0</v>
      </c>
      <c r="CM435" s="5" t="n">
        <v>0</v>
      </c>
      <c r="CN435" s="5" t="n">
        <v>0</v>
      </c>
      <c r="CO435" s="5" t="n">
        <v>0</v>
      </c>
      <c r="CP435" s="5" t="n">
        <v>0</v>
      </c>
      <c r="CQ435" s="5" t="n">
        <v>1.294</v>
      </c>
      <c r="CR435" s="5" t="n">
        <v>0.661</v>
      </c>
      <c r="CS435" s="5" t="n">
        <v>5.158</v>
      </c>
      <c r="CT435" s="5" t="n">
        <v>10.485</v>
      </c>
      <c r="CU435" s="5" t="n">
        <v>30.326</v>
      </c>
    </row>
    <row r="436">
      <c r="A436" s="5" t="inlineStr">
        <is>
          <t>KWT2023</t>
        </is>
      </c>
      <c r="B436" s="5" t="inlineStr">
        <is>
          <t>KWT</t>
        </is>
      </c>
      <c r="C436" s="5" t="inlineStr">
        <is>
          <t>KWT</t>
        </is>
      </c>
      <c r="D436" s="5" t="inlineStr">
        <is>
          <t>Kuwait</t>
        </is>
      </c>
      <c r="E436" s="5" t="n">
        <v>2023</v>
      </c>
      <c r="F436" s="5" t="n">
        <v>0</v>
      </c>
      <c r="G436" s="5" t="n">
        <v>6.147</v>
      </c>
      <c r="H436" s="5" t="n">
        <v>1.286</v>
      </c>
      <c r="I436" s="5" t="n">
        <v>0.273</v>
      </c>
      <c r="J436" s="5" t="n">
        <v>6.42</v>
      </c>
      <c r="K436" s="5" t="n">
        <v>0</v>
      </c>
      <c r="L436" s="5" t="n">
        <v>1</v>
      </c>
      <c r="M436" s="5" t="n">
        <v>7.886</v>
      </c>
      <c r="N436" s="5" t="n">
        <v>3.857</v>
      </c>
      <c r="O436" s="5" t="n">
        <v>0.227</v>
      </c>
      <c r="P436" s="5" t="n">
        <v>8.113</v>
      </c>
      <c r="Q436" s="5" t="n">
        <v>0</v>
      </c>
      <c r="R436" s="5" t="n">
        <v>1</v>
      </c>
      <c r="S436" s="5" t="n">
        <v>12.575</v>
      </c>
      <c r="T436" s="5" t="n">
        <v>7.714</v>
      </c>
      <c r="U436" s="5" t="n">
        <v>0.273</v>
      </c>
      <c r="V436" s="5" t="n">
        <v>12.848</v>
      </c>
      <c r="W436" s="5" t="n">
        <v>0</v>
      </c>
      <c r="X436" s="5" t="n">
        <v>1</v>
      </c>
      <c r="Y436" s="5" t="n">
        <v>6.804</v>
      </c>
      <c r="Z436" s="5" t="n">
        <v>0.741</v>
      </c>
      <c r="AA436" s="5" t="n">
        <v>-1.266</v>
      </c>
      <c r="AB436" s="5" t="n">
        <v>5.538</v>
      </c>
      <c r="AC436" s="5" t="n">
        <v>0</v>
      </c>
      <c r="AD436" s="5" t="n">
        <v>0</v>
      </c>
      <c r="AE436" s="5" t="n">
        <v>7.656</v>
      </c>
      <c r="AF436" s="5" t="n">
        <v>1.474</v>
      </c>
      <c r="AG436" s="5" t="n">
        <v>-2.727</v>
      </c>
      <c r="AH436" s="5" t="n">
        <v>4.929</v>
      </c>
      <c r="AI436" s="5" t="n">
        <v>0</v>
      </c>
      <c r="AJ436" s="5" t="n">
        <v>0</v>
      </c>
      <c r="AK436" s="5" t="n">
        <v>12.768</v>
      </c>
      <c r="AL436" s="5" t="n">
        <v>6</v>
      </c>
      <c r="AM436" s="5" t="n">
        <v>-2.487</v>
      </c>
      <c r="AN436" s="5" t="n">
        <v>10.282</v>
      </c>
      <c r="AO436" s="5" t="n">
        <v>0</v>
      </c>
      <c r="AP436" s="5" t="n">
        <v>0</v>
      </c>
      <c r="AQ436" s="5" t="n">
        <v>0.749</v>
      </c>
      <c r="AR436" s="5" t="n">
        <v>0.129</v>
      </c>
      <c r="AS436" s="5" t="n">
        <v>-0.407</v>
      </c>
      <c r="AT436" s="5" t="n">
        <v>0.342</v>
      </c>
      <c r="AU436" s="5" t="n">
        <v>0</v>
      </c>
      <c r="AV436" s="5" t="n">
        <v>0</v>
      </c>
      <c r="AW436" s="5" t="n">
        <v>0.783</v>
      </c>
      <c r="AX436" s="5" t="n">
        <v>0.129</v>
      </c>
      <c r="AY436" s="5" t="n">
        <v>-0.408</v>
      </c>
      <c r="AZ436" s="5" t="n">
        <v>0.374</v>
      </c>
      <c r="BA436" s="5" t="n">
        <v>0</v>
      </c>
      <c r="BB436" s="5" t="n">
        <v>0</v>
      </c>
      <c r="BC436" s="5" t="n">
        <v>0.527</v>
      </c>
      <c r="BD436" s="5" t="n">
        <v>0.129</v>
      </c>
      <c r="BE436" s="5" t="n">
        <v>0</v>
      </c>
      <c r="BF436" s="5" t="n">
        <v>0.527</v>
      </c>
      <c r="BG436" s="5" t="n">
        <v>0</v>
      </c>
      <c r="BH436" s="5" t="n">
        <v>1</v>
      </c>
      <c r="BI436" s="5" t="n">
        <v>0.64</v>
      </c>
      <c r="BJ436" s="5" t="n">
        <v>0.129</v>
      </c>
      <c r="BK436" s="5" t="n">
        <v>-0.265</v>
      </c>
      <c r="BL436" s="5" t="n">
        <v>0.374</v>
      </c>
      <c r="BM436" s="5" t="n">
        <v>0</v>
      </c>
      <c r="BN436" s="5" t="n">
        <v>0</v>
      </c>
      <c r="BO436" s="5" t="n">
        <v>0</v>
      </c>
      <c r="BP436" s="5" t="n">
        <v>-0.073</v>
      </c>
      <c r="BQ436" s="5" t="n">
        <v>0.033</v>
      </c>
      <c r="BR436" s="5" t="n">
        <v>0</v>
      </c>
      <c r="BS436" s="5" t="n">
        <v>0.833</v>
      </c>
      <c r="BT436" s="5" t="n">
        <v>0</v>
      </c>
      <c r="BU436" s="5" t="n">
        <v>-0.073</v>
      </c>
      <c r="BV436" s="5" t="n">
        <v>0.016</v>
      </c>
      <c r="BW436" s="5" t="n">
        <v>0</v>
      </c>
      <c r="BX436" s="5" t="n">
        <v>0.833</v>
      </c>
      <c r="BY436" s="5" t="n">
        <v>13.254</v>
      </c>
      <c r="BZ436" s="5" t="n">
        <v>0</v>
      </c>
      <c r="CA436" s="5" t="n">
        <v>13.254</v>
      </c>
      <c r="CB436" s="5" t="n">
        <v>0</v>
      </c>
      <c r="CC436" s="5" t="n">
        <v>87.07899999999999</v>
      </c>
      <c r="CD436" s="5" t="n">
        <v>7.95</v>
      </c>
      <c r="CE436" s="5" t="n">
        <v>0</v>
      </c>
      <c r="CF436" s="5" t="n">
        <v>87.07899999999999</v>
      </c>
      <c r="CG436" s="5" t="n">
        <v>0</v>
      </c>
      <c r="CH436" s="5" t="n">
        <v>1</v>
      </c>
      <c r="CI436" s="5" t="n">
        <v>0</v>
      </c>
      <c r="CJ436" s="5" t="n">
        <v>0</v>
      </c>
      <c r="CK436" s="5" t="n">
        <v>0</v>
      </c>
      <c r="CL436" s="5" t="n">
        <v>0</v>
      </c>
      <c r="CM436" s="5" t="n">
        <v>0</v>
      </c>
      <c r="CN436" s="5" t="n">
        <v>0</v>
      </c>
      <c r="CO436" s="5" t="n">
        <v>0</v>
      </c>
      <c r="CP436" s="5" t="n">
        <v>0</v>
      </c>
      <c r="CQ436" s="5" t="n">
        <v>1.348</v>
      </c>
      <c r="CR436" s="5" t="n">
        <v>0.675</v>
      </c>
      <c r="CS436" s="5" t="n">
        <v>5.37</v>
      </c>
      <c r="CT436" s="5" t="n">
        <v>4.861</v>
      </c>
      <c r="CU436" s="5" t="n">
        <v>10.622</v>
      </c>
    </row>
    <row r="437">
      <c r="A437" s="5" t="inlineStr">
        <is>
          <t>KWT2024</t>
        </is>
      </c>
      <c r="B437" s="5" t="inlineStr">
        <is>
          <t>KWT</t>
        </is>
      </c>
      <c r="C437" s="5" t="inlineStr">
        <is>
          <t>KWT</t>
        </is>
      </c>
      <c r="D437" s="5" t="inlineStr">
        <is>
          <t>Kuwait</t>
        </is>
      </c>
      <c r="E437" s="5" t="n">
        <v>2024</v>
      </c>
      <c r="F437" s="5" t="n">
        <v>0</v>
      </c>
      <c r="G437" s="5" t="n">
        <v>5.575</v>
      </c>
      <c r="H437" s="5" t="n">
        <v>1.324</v>
      </c>
      <c r="I437" s="5" t="n">
        <v>0.213</v>
      </c>
      <c r="J437" s="5" t="n">
        <v>5.787</v>
      </c>
      <c r="K437" s="5" t="n">
        <v>0</v>
      </c>
      <c r="L437" s="5" t="n">
        <v>1</v>
      </c>
      <c r="M437" s="5" t="n">
        <v>7.124</v>
      </c>
      <c r="N437" s="5" t="n">
        <v>3.971</v>
      </c>
      <c r="O437" s="5" t="n">
        <v>0.158</v>
      </c>
      <c r="P437" s="5" t="n">
        <v>7.281</v>
      </c>
      <c r="Q437" s="5" t="n">
        <v>0</v>
      </c>
      <c r="R437" s="5" t="n">
        <v>1</v>
      </c>
      <c r="S437" s="5" t="n">
        <v>12.193</v>
      </c>
      <c r="T437" s="5" t="n">
        <v>7.942</v>
      </c>
      <c r="U437" s="5" t="n">
        <v>0.213</v>
      </c>
      <c r="V437" s="5" t="n">
        <v>12.405</v>
      </c>
      <c r="W437" s="5" t="n">
        <v>0</v>
      </c>
      <c r="X437" s="5" t="n">
        <v>1</v>
      </c>
      <c r="Y437" s="5" t="n">
        <v>6.797</v>
      </c>
      <c r="Z437" s="5" t="n">
        <v>0.74</v>
      </c>
      <c r="AA437" s="5" t="n">
        <v>-1.303</v>
      </c>
      <c r="AB437" s="5" t="n">
        <v>5.493</v>
      </c>
      <c r="AC437" s="5" t="n">
        <v>0</v>
      </c>
      <c r="AD437" s="5" t="n">
        <v>0</v>
      </c>
      <c r="AE437" s="5" t="n">
        <v>7.674</v>
      </c>
      <c r="AF437" s="5" t="n">
        <v>1.478</v>
      </c>
      <c r="AG437" s="5" t="n">
        <v>-2.808</v>
      </c>
      <c r="AH437" s="5" t="n">
        <v>4.866</v>
      </c>
      <c r="AI437" s="5" t="n">
        <v>0</v>
      </c>
      <c r="AJ437" s="5" t="n">
        <v>0</v>
      </c>
      <c r="AK437" s="5" t="n">
        <v>12.937</v>
      </c>
      <c r="AL437" s="5" t="n">
        <v>6.079</v>
      </c>
      <c r="AM437" s="5" t="n">
        <v>-2.306</v>
      </c>
      <c r="AN437" s="5" t="n">
        <v>10.632</v>
      </c>
      <c r="AO437" s="5" t="n">
        <v>0</v>
      </c>
      <c r="AP437" s="5" t="n">
        <v>0</v>
      </c>
      <c r="AQ437" s="5" t="n">
        <v>0.72</v>
      </c>
      <c r="AR437" s="5" t="n">
        <v>0.132</v>
      </c>
      <c r="AS437" s="5" t="n">
        <v>-0.378</v>
      </c>
      <c r="AT437" s="5" t="n">
        <v>0.342</v>
      </c>
      <c r="AU437" s="5" t="n">
        <v>0</v>
      </c>
      <c r="AV437" s="5" t="n">
        <v>0</v>
      </c>
      <c r="AW437" s="5" t="n">
        <v>0.734</v>
      </c>
      <c r="AX437" s="5" t="n">
        <v>0.132</v>
      </c>
      <c r="AY437" s="5" t="n">
        <v>-0.359</v>
      </c>
      <c r="AZ437" s="5" t="n">
        <v>0.375</v>
      </c>
      <c r="BA437" s="5" t="n">
        <v>0</v>
      </c>
      <c r="BB437" s="5" t="n">
        <v>0</v>
      </c>
      <c r="BC437" s="5" t="n">
        <v>0.51</v>
      </c>
      <c r="BD437" s="5" t="n">
        <v>0.132</v>
      </c>
      <c r="BE437" s="5" t="n">
        <v>0</v>
      </c>
      <c r="BF437" s="5" t="n">
        <v>0.51</v>
      </c>
      <c r="BG437" s="5" t="n">
        <v>0</v>
      </c>
      <c r="BH437" s="5" t="n">
        <v>1</v>
      </c>
      <c r="BI437" s="5" t="n">
        <v>0.652</v>
      </c>
      <c r="BJ437" s="5" t="n">
        <v>0.132</v>
      </c>
      <c r="BK437" s="5" t="n">
        <v>-0.277</v>
      </c>
      <c r="BL437" s="5" t="n">
        <v>0.375</v>
      </c>
      <c r="BM437" s="5" t="n">
        <v>0</v>
      </c>
      <c r="BN437" s="5" t="n">
        <v>0</v>
      </c>
      <c r="BO437" s="5" t="n">
        <v>0</v>
      </c>
      <c r="BP437" s="5" t="n">
        <v>-0.075</v>
      </c>
      <c r="BQ437" s="5" t="n">
        <v>0.056</v>
      </c>
      <c r="BR437" s="5" t="n">
        <v>0</v>
      </c>
      <c r="BS437" s="5" t="n">
        <v>0.833</v>
      </c>
      <c r="BT437" s="5" t="n">
        <v>0</v>
      </c>
      <c r="BU437" s="5" t="n">
        <v>-0.075</v>
      </c>
      <c r="BV437" s="5" t="n">
        <v>0.029</v>
      </c>
      <c r="BW437" s="5" t="n">
        <v>0</v>
      </c>
      <c r="BX437" s="5" t="n">
        <v>0.833</v>
      </c>
      <c r="BY437" s="5" t="n">
        <v>13.646</v>
      </c>
      <c r="BZ437" s="5" t="n">
        <v>0</v>
      </c>
      <c r="CA437" s="5" t="n">
        <v>13.646</v>
      </c>
      <c r="CB437" s="5" t="n">
        <v>0</v>
      </c>
      <c r="CC437" s="5" t="n">
        <v>86.38500000000001</v>
      </c>
      <c r="CD437" s="5" t="n">
        <v>7.95</v>
      </c>
      <c r="CE437" s="5" t="n">
        <v>0</v>
      </c>
      <c r="CF437" s="5" t="n">
        <v>86.38500000000001</v>
      </c>
      <c r="CG437" s="5" t="n">
        <v>0</v>
      </c>
      <c r="CH437" s="5" t="n">
        <v>1</v>
      </c>
      <c r="CI437" s="5" t="n">
        <v>0</v>
      </c>
      <c r="CJ437" s="5" t="n">
        <v>0</v>
      </c>
      <c r="CK437" s="5" t="n">
        <v>0</v>
      </c>
      <c r="CL437" s="5" t="n">
        <v>0</v>
      </c>
      <c r="CM437" s="5" t="n">
        <v>0</v>
      </c>
      <c r="CN437" s="5" t="n">
        <v>0</v>
      </c>
      <c r="CO437" s="5" t="n">
        <v>0</v>
      </c>
      <c r="CP437" s="5" t="n">
        <v>0</v>
      </c>
      <c r="CQ437" s="5" t="n">
        <v>1.387</v>
      </c>
      <c r="CR437" s="5" t="n">
        <v>0.675</v>
      </c>
      <c r="CS437" s="5" t="n">
        <v>5.529</v>
      </c>
      <c r="CT437" s="5" t="n">
        <v>4.251</v>
      </c>
      <c r="CU437" s="5" t="n">
        <v>9.167999999999999</v>
      </c>
    </row>
    <row r="438">
      <c r="A438" s="5" t="inlineStr">
        <is>
          <t>KGZ2021</t>
        </is>
      </c>
      <c r="B438" s="5" t="inlineStr">
        <is>
          <t>KGZ</t>
        </is>
      </c>
      <c r="C438" s="5" t="inlineStr">
        <is>
          <t>KGZ</t>
        </is>
      </c>
      <c r="D438" s="5" t="inlineStr">
        <is>
          <t>Kyrgyz Republic</t>
        </is>
      </c>
      <c r="E438" s="5" t="n">
        <v>2021</v>
      </c>
      <c r="F438" s="5" t="n">
        <v>0.12</v>
      </c>
      <c r="G438" s="5" t="n">
        <v>3.218</v>
      </c>
      <c r="H438" s="5" t="n">
        <v>0.79</v>
      </c>
      <c r="I438" s="5" t="n">
        <v>0.042</v>
      </c>
      <c r="J438" s="5" t="n">
        <v>3.26</v>
      </c>
      <c r="K438" s="5" t="n">
        <v>0</v>
      </c>
      <c r="L438" s="5" t="n">
        <v>1</v>
      </c>
      <c r="M438" s="5" t="n">
        <v>4.846</v>
      </c>
      <c r="N438" s="5" t="n">
        <v>2.371</v>
      </c>
      <c r="O438" s="5" t="n">
        <v>0.08699999999999999</v>
      </c>
      <c r="P438" s="5" t="n">
        <v>4.933</v>
      </c>
      <c r="Q438" s="5" t="n">
        <v>0</v>
      </c>
      <c r="R438" s="5" t="n">
        <v>1</v>
      </c>
      <c r="S438" s="5" t="n">
        <v>1.718</v>
      </c>
      <c r="T438" s="5" t="n">
        <v>1.065</v>
      </c>
      <c r="U438" s="5" t="n">
        <v>0.042</v>
      </c>
      <c r="V438" s="5" t="n">
        <v>1.972</v>
      </c>
      <c r="W438" s="5" t="n">
        <v>0.12</v>
      </c>
      <c r="X438" s="5" t="n">
        <v>1</v>
      </c>
      <c r="Y438" s="5" t="n">
        <v>6.203</v>
      </c>
      <c r="Z438" s="5" t="n">
        <v>0.8070000000000001</v>
      </c>
      <c r="AA438" s="5" t="n">
        <v>0.719</v>
      </c>
      <c r="AB438" s="5" t="n">
        <v>6.922</v>
      </c>
      <c r="AC438" s="5" t="n">
        <v>0</v>
      </c>
      <c r="AD438" s="5" t="n">
        <v>1</v>
      </c>
      <c r="AE438" s="5" t="n">
        <v>7.317</v>
      </c>
      <c r="AF438" s="5" t="n">
        <v>1.655</v>
      </c>
      <c r="AG438" s="5" t="n">
        <v>0.719</v>
      </c>
      <c r="AH438" s="5" t="n">
        <v>8.036</v>
      </c>
      <c r="AI438" s="5" t="n">
        <v>0</v>
      </c>
      <c r="AJ438" s="5" t="n">
        <v>1</v>
      </c>
      <c r="AK438" s="5" t="n">
        <v>14</v>
      </c>
      <c r="AL438" s="5" t="n">
        <v>7.309</v>
      </c>
      <c r="AM438" s="5" t="n">
        <v>-9.162000000000001</v>
      </c>
      <c r="AN438" s="5" t="n">
        <v>5.419</v>
      </c>
      <c r="AO438" s="5" t="n">
        <v>0</v>
      </c>
      <c r="AP438" s="5" t="n">
        <v>0</v>
      </c>
      <c r="AQ438" s="5" t="n">
        <v>0.619</v>
      </c>
      <c r="AR438" s="5" t="n">
        <v>0.114</v>
      </c>
      <c r="AS438" s="5" t="n">
        <v>-0.081</v>
      </c>
      <c r="AT438" s="5" t="n">
        <v>0.603</v>
      </c>
      <c r="AU438" s="5" t="n">
        <v>0.12</v>
      </c>
      <c r="AV438" s="5" t="n">
        <v>1</v>
      </c>
      <c r="AW438" s="5" t="n">
        <v>0.599</v>
      </c>
      <c r="AX438" s="5" t="n">
        <v>0.114</v>
      </c>
      <c r="AY438" s="5" t="n">
        <v>-0.094</v>
      </c>
      <c r="AZ438" s="5" t="n">
        <v>0.5659999999999999</v>
      </c>
      <c r="BA438" s="5" t="n">
        <v>0.12</v>
      </c>
      <c r="BB438" s="5" t="n">
        <v>1</v>
      </c>
      <c r="BC438" s="5" t="n">
        <v>0.439</v>
      </c>
      <c r="BD438" s="5" t="n">
        <v>0.114</v>
      </c>
      <c r="BE438" s="5" t="n">
        <v>0.159</v>
      </c>
      <c r="BF438" s="5" t="n">
        <v>0.67</v>
      </c>
      <c r="BG438" s="5" t="n">
        <v>0.12</v>
      </c>
      <c r="BH438" s="5" t="n">
        <v>1</v>
      </c>
      <c r="BI438" s="5" t="n">
        <v>0.505</v>
      </c>
      <c r="BJ438" s="5" t="n">
        <v>0.114</v>
      </c>
      <c r="BK438" s="5" t="n">
        <v>0.04</v>
      </c>
      <c r="BL438" s="5" t="n">
        <v>0.61</v>
      </c>
      <c r="BM438" s="5" t="n">
        <v>0.12</v>
      </c>
      <c r="BN438" s="5" t="n">
        <v>1</v>
      </c>
      <c r="BO438" s="5" t="n">
        <v>0</v>
      </c>
      <c r="BP438" s="5" t="n">
        <v>0</v>
      </c>
      <c r="BQ438" s="5" t="n">
        <v>0.033</v>
      </c>
      <c r="BR438" s="5" t="n">
        <v>0</v>
      </c>
      <c r="BS438" s="5" t="n">
        <v>0.833</v>
      </c>
      <c r="BT438" s="5" t="n">
        <v>0</v>
      </c>
      <c r="BU438" s="5" t="n">
        <v>0</v>
      </c>
      <c r="BV438" s="5" t="n">
        <v>0.01</v>
      </c>
      <c r="BW438" s="5" t="n">
        <v>0.12</v>
      </c>
      <c r="BX438" s="5" t="n">
        <v>0.667</v>
      </c>
      <c r="BY438" s="5" t="n">
        <v>11.787</v>
      </c>
      <c r="BZ438" s="5" t="n">
        <v>0</v>
      </c>
      <c r="CA438" s="5" t="n">
        <v>11.787</v>
      </c>
      <c r="CB438" s="5" t="n">
        <v>0</v>
      </c>
      <c r="CC438" s="5" t="n">
        <v>78.125</v>
      </c>
      <c r="CD438" s="5" t="n">
        <v>7.95</v>
      </c>
      <c r="CE438" s="5" t="n">
        <v>3.664</v>
      </c>
      <c r="CF438" s="5" t="n">
        <v>91.604</v>
      </c>
      <c r="CG438" s="5" t="n">
        <v>0.12</v>
      </c>
      <c r="CH438" s="5" t="n">
        <v>1</v>
      </c>
      <c r="CI438" s="5" t="n">
        <v>0</v>
      </c>
      <c r="CJ438" s="5" t="n">
        <v>0</v>
      </c>
      <c r="CK438" s="5" t="n">
        <v>0</v>
      </c>
      <c r="CL438" s="5" t="n">
        <v>0</v>
      </c>
      <c r="CM438" s="5" t="n">
        <v>0</v>
      </c>
      <c r="CN438" s="5" t="n">
        <v>0</v>
      </c>
      <c r="CO438" s="5" t="n">
        <v>0</v>
      </c>
      <c r="CP438" s="5" t="n">
        <v>0.617</v>
      </c>
      <c r="CQ438" s="5" t="n">
        <v>1.198</v>
      </c>
      <c r="CR438" s="5" t="n">
        <v>0.051</v>
      </c>
      <c r="CS438" s="5" t="n">
        <v>4.776</v>
      </c>
      <c r="CT438" s="5" t="n">
        <v>4.41</v>
      </c>
      <c r="CU438" s="5" t="n">
        <v>15.162</v>
      </c>
    </row>
    <row r="439">
      <c r="A439" s="5" t="inlineStr">
        <is>
          <t>KGZ2022</t>
        </is>
      </c>
      <c r="B439" s="5" t="inlineStr">
        <is>
          <t>KGZ</t>
        </is>
      </c>
      <c r="C439" s="5" t="inlineStr">
        <is>
          <t>KGZ</t>
        </is>
      </c>
      <c r="D439" s="5" t="inlineStr">
        <is>
          <t>Kyrgyz Republic</t>
        </is>
      </c>
      <c r="E439" s="5" t="n">
        <v>2022</v>
      </c>
      <c r="F439" s="5" t="n">
        <v>0.12</v>
      </c>
      <c r="G439" s="5" t="n">
        <v>3.315</v>
      </c>
      <c r="H439" s="5" t="n">
        <v>0.785</v>
      </c>
      <c r="I439" s="5" t="n">
        <v>0.04</v>
      </c>
      <c r="J439" s="5" t="n">
        <v>3.355</v>
      </c>
      <c r="K439" s="5" t="n">
        <v>0</v>
      </c>
      <c r="L439" s="5" t="n">
        <v>1</v>
      </c>
      <c r="M439" s="5" t="n">
        <v>4.95</v>
      </c>
      <c r="N439" s="5" t="n">
        <v>2.355</v>
      </c>
      <c r="O439" s="5" t="n">
        <v>0.083</v>
      </c>
      <c r="P439" s="5" t="n">
        <v>5.033</v>
      </c>
      <c r="Q439" s="5" t="n">
        <v>0</v>
      </c>
      <c r="R439" s="5" t="n">
        <v>1</v>
      </c>
      <c r="S439" s="5" t="n">
        <v>1.947</v>
      </c>
      <c r="T439" s="5" t="n">
        <v>0.954</v>
      </c>
      <c r="U439" s="5" t="n">
        <v>0.04</v>
      </c>
      <c r="V439" s="5" t="n">
        <v>2.225</v>
      </c>
      <c r="W439" s="5" t="n">
        <v>0.12</v>
      </c>
      <c r="X439" s="5" t="n">
        <v>1</v>
      </c>
      <c r="Y439" s="5" t="n">
        <v>6.355</v>
      </c>
      <c r="Z439" s="5" t="n">
        <v>0.827</v>
      </c>
      <c r="AA439" s="5" t="n">
        <v>1.469</v>
      </c>
      <c r="AB439" s="5" t="n">
        <v>7.824</v>
      </c>
      <c r="AC439" s="5" t="n">
        <v>0</v>
      </c>
      <c r="AD439" s="5" t="n">
        <v>1</v>
      </c>
      <c r="AE439" s="5" t="n">
        <v>7.551</v>
      </c>
      <c r="AF439" s="5" t="n">
        <v>1.708</v>
      </c>
      <c r="AG439" s="5" t="n">
        <v>1.469</v>
      </c>
      <c r="AH439" s="5" t="n">
        <v>9.02</v>
      </c>
      <c r="AI439" s="5" t="n">
        <v>0</v>
      </c>
      <c r="AJ439" s="5" t="n">
        <v>1</v>
      </c>
      <c r="AK439" s="5" t="n">
        <v>14.729</v>
      </c>
      <c r="AL439" s="5" t="n">
        <v>7.689</v>
      </c>
      <c r="AM439" s="5" t="n">
        <v>-9.862</v>
      </c>
      <c r="AN439" s="5" t="n">
        <v>5.45</v>
      </c>
      <c r="AO439" s="5" t="n">
        <v>0</v>
      </c>
      <c r="AP439" s="5" t="n">
        <v>0</v>
      </c>
      <c r="AQ439" s="5" t="n">
        <v>0.861</v>
      </c>
      <c r="AR439" s="5" t="n">
        <v>0.123</v>
      </c>
      <c r="AS439" s="5" t="n">
        <v>-0.183</v>
      </c>
      <c r="AT439" s="5" t="n">
        <v>0.759</v>
      </c>
      <c r="AU439" s="5" t="n">
        <v>0.12</v>
      </c>
      <c r="AV439" s="5" t="n">
        <v>1</v>
      </c>
      <c r="AW439" s="5" t="n">
        <v>0.986</v>
      </c>
      <c r="AX439" s="5" t="n">
        <v>0.123</v>
      </c>
      <c r="AY439" s="5" t="n">
        <v>-0.253</v>
      </c>
      <c r="AZ439" s="5" t="n">
        <v>0.821</v>
      </c>
      <c r="BA439" s="5" t="n">
        <v>0.12</v>
      </c>
      <c r="BB439" s="5" t="n">
        <v>1</v>
      </c>
      <c r="BC439" s="5" t="n">
        <v>0.598</v>
      </c>
      <c r="BD439" s="5" t="n">
        <v>0.123</v>
      </c>
      <c r="BE439" s="5" t="n">
        <v>0.139</v>
      </c>
      <c r="BF439" s="5" t="n">
        <v>0.825</v>
      </c>
      <c r="BG439" s="5" t="n">
        <v>0.12</v>
      </c>
      <c r="BH439" s="5" t="n">
        <v>1</v>
      </c>
      <c r="BI439" s="5" t="n">
        <v>0.612</v>
      </c>
      <c r="BJ439" s="5" t="n">
        <v>0.123</v>
      </c>
      <c r="BK439" s="5" t="n">
        <v>0.049</v>
      </c>
      <c r="BL439" s="5" t="n">
        <v>0.734</v>
      </c>
      <c r="BM439" s="5" t="n">
        <v>0.12</v>
      </c>
      <c r="BN439" s="5" t="n">
        <v>1</v>
      </c>
      <c r="BO439" s="5" t="n">
        <v>0</v>
      </c>
      <c r="BP439" s="5" t="n">
        <v>0</v>
      </c>
      <c r="BQ439" s="5" t="n">
        <v>0.033</v>
      </c>
      <c r="BR439" s="5" t="n">
        <v>0</v>
      </c>
      <c r="BS439" s="5" t="n">
        <v>0.833</v>
      </c>
      <c r="BT439" s="5" t="n">
        <v>0</v>
      </c>
      <c r="BU439" s="5" t="n">
        <v>0</v>
      </c>
      <c r="BV439" s="5" t="n">
        <v>0.01</v>
      </c>
      <c r="BW439" s="5" t="n">
        <v>0.12</v>
      </c>
      <c r="BX439" s="5" t="n">
        <v>0.667</v>
      </c>
      <c r="BY439" s="5" t="n">
        <v>12.729</v>
      </c>
      <c r="BZ439" s="5" t="n">
        <v>0</v>
      </c>
      <c r="CA439" s="5" t="n">
        <v>12.729</v>
      </c>
      <c r="CB439" s="5" t="n">
        <v>0</v>
      </c>
      <c r="CC439" s="5" t="n">
        <v>97.90000000000001</v>
      </c>
      <c r="CD439" s="5" t="n">
        <v>7.95</v>
      </c>
      <c r="CE439" s="5" t="n">
        <v>5.369</v>
      </c>
      <c r="CF439" s="5" t="n">
        <v>114.643</v>
      </c>
      <c r="CG439" s="5" t="n">
        <v>0.12</v>
      </c>
      <c r="CH439" s="5" t="n">
        <v>1</v>
      </c>
      <c r="CI439" s="5" t="n">
        <v>0</v>
      </c>
      <c r="CJ439" s="5" t="n">
        <v>0</v>
      </c>
      <c r="CK439" s="5" t="n">
        <v>0</v>
      </c>
      <c r="CL439" s="5" t="n">
        <v>0</v>
      </c>
      <c r="CM439" s="5" t="n">
        <v>0</v>
      </c>
      <c r="CN439" s="5" t="n">
        <v>0</v>
      </c>
      <c r="CO439" s="5" t="n">
        <v>0</v>
      </c>
      <c r="CP439" s="5" t="n">
        <v>0.728</v>
      </c>
      <c r="CQ439" s="5" t="n">
        <v>1.294</v>
      </c>
      <c r="CR439" s="5" t="n">
        <v>0.062</v>
      </c>
      <c r="CS439" s="5" t="n">
        <v>5.158</v>
      </c>
      <c r="CT439" s="5" t="n">
        <v>5.842</v>
      </c>
      <c r="CU439" s="5" t="n">
        <v>31.326</v>
      </c>
    </row>
    <row r="440">
      <c r="A440" s="5" t="inlineStr">
        <is>
          <t>KGZ2023</t>
        </is>
      </c>
      <c r="B440" s="5" t="inlineStr">
        <is>
          <t>KGZ</t>
        </is>
      </c>
      <c r="C440" s="5" t="inlineStr">
        <is>
          <t>KGZ</t>
        </is>
      </c>
      <c r="D440" s="5" t="inlineStr">
        <is>
          <t>Kyrgyz Republic</t>
        </is>
      </c>
      <c r="E440" s="5" t="n">
        <v>2023</v>
      </c>
      <c r="F440" s="5" t="n">
        <v>0.12</v>
      </c>
      <c r="G440" s="5" t="n">
        <v>2.728</v>
      </c>
      <c r="H440" s="5" t="n">
        <v>0.8139999999999999</v>
      </c>
      <c r="I440" s="5" t="n">
        <v>0.023</v>
      </c>
      <c r="J440" s="5" t="n">
        <v>2.751</v>
      </c>
      <c r="K440" s="5" t="n">
        <v>0</v>
      </c>
      <c r="L440" s="5" t="n">
        <v>1</v>
      </c>
      <c r="M440" s="5" t="n">
        <v>4.507</v>
      </c>
      <c r="N440" s="5" t="n">
        <v>2.443</v>
      </c>
      <c r="O440" s="5" t="n">
        <v>0.054</v>
      </c>
      <c r="P440" s="5" t="n">
        <v>4.561</v>
      </c>
      <c r="Q440" s="5" t="n">
        <v>0</v>
      </c>
      <c r="R440" s="5" t="n">
        <v>1</v>
      </c>
      <c r="S440" s="5" t="n">
        <v>2.149</v>
      </c>
      <c r="T440" s="5" t="n">
        <v>1.347</v>
      </c>
      <c r="U440" s="5" t="n">
        <v>0.023</v>
      </c>
      <c r="V440" s="5" t="n">
        <v>2.432</v>
      </c>
      <c r="W440" s="5" t="n">
        <v>0.12</v>
      </c>
      <c r="X440" s="5" t="n">
        <v>1</v>
      </c>
      <c r="Y440" s="5" t="n">
        <v>4.551</v>
      </c>
      <c r="Z440" s="5" t="n">
        <v>0.592</v>
      </c>
      <c r="AA440" s="5" t="n">
        <v>0.548</v>
      </c>
      <c r="AB440" s="5" t="n">
        <v>5.098</v>
      </c>
      <c r="AC440" s="5" t="n">
        <v>0</v>
      </c>
      <c r="AD440" s="5" t="n">
        <v>1</v>
      </c>
      <c r="AE440" s="5" t="n">
        <v>5.799</v>
      </c>
      <c r="AF440" s="5" t="n">
        <v>1.312</v>
      </c>
      <c r="AG440" s="5" t="n">
        <v>0.548</v>
      </c>
      <c r="AH440" s="5" t="n">
        <v>6.347</v>
      </c>
      <c r="AI440" s="5" t="n">
        <v>0</v>
      </c>
      <c r="AJ440" s="5" t="n">
        <v>1</v>
      </c>
      <c r="AK440" s="5" t="n">
        <v>13.291</v>
      </c>
      <c r="AL440" s="5" t="n">
        <v>6.938</v>
      </c>
      <c r="AM440" s="5" t="n">
        <v>-8.300000000000001</v>
      </c>
      <c r="AN440" s="5" t="n">
        <v>5.59</v>
      </c>
      <c r="AO440" s="5" t="n">
        <v>0</v>
      </c>
      <c r="AP440" s="5" t="n">
        <v>0</v>
      </c>
      <c r="AQ440" s="5" t="n">
        <v>0.76</v>
      </c>
      <c r="AR440" s="5" t="n">
        <v>0.129</v>
      </c>
      <c r="AS440" s="5" t="n">
        <v>-0.16</v>
      </c>
      <c r="AT440" s="5" t="n">
        <v>0.672</v>
      </c>
      <c r="AU440" s="5" t="n">
        <v>0.12</v>
      </c>
      <c r="AV440" s="5" t="n">
        <v>1</v>
      </c>
      <c r="AW440" s="5" t="n">
        <v>0.8110000000000001</v>
      </c>
      <c r="AX440" s="5" t="n">
        <v>0.129</v>
      </c>
      <c r="AY440" s="5" t="n">
        <v>-0.08</v>
      </c>
      <c r="AZ440" s="5" t="n">
        <v>0.819</v>
      </c>
      <c r="BA440" s="5" t="n">
        <v>0.12</v>
      </c>
      <c r="BB440" s="5" t="n">
        <v>1</v>
      </c>
      <c r="BC440" s="5" t="n">
        <v>0.535</v>
      </c>
      <c r="BD440" s="5" t="n">
        <v>0.129</v>
      </c>
      <c r="BE440" s="5" t="n">
        <v>0.218</v>
      </c>
      <c r="BF440" s="5" t="n">
        <v>0.843</v>
      </c>
      <c r="BG440" s="5" t="n">
        <v>0.12</v>
      </c>
      <c r="BH440" s="5" t="n">
        <v>1</v>
      </c>
      <c r="BI440" s="5" t="n">
        <v>0.579</v>
      </c>
      <c r="BJ440" s="5" t="n">
        <v>0.129</v>
      </c>
      <c r="BK440" s="5" t="n">
        <v>0.049</v>
      </c>
      <c r="BL440" s="5" t="n">
        <v>0.695</v>
      </c>
      <c r="BM440" s="5" t="n">
        <v>0.12</v>
      </c>
      <c r="BN440" s="5" t="n">
        <v>1</v>
      </c>
      <c r="BO440" s="5" t="n">
        <v>0</v>
      </c>
      <c r="BP440" s="5" t="n">
        <v>0</v>
      </c>
      <c r="BQ440" s="5" t="n">
        <v>0.037</v>
      </c>
      <c r="BR440" s="5" t="n">
        <v>0</v>
      </c>
      <c r="BS440" s="5" t="n">
        <v>0.833</v>
      </c>
      <c r="BT440" s="5" t="n">
        <v>0</v>
      </c>
      <c r="BU440" s="5" t="n">
        <v>0</v>
      </c>
      <c r="BV440" s="5" t="n">
        <v>0.013</v>
      </c>
      <c r="BW440" s="5" t="n">
        <v>0.12</v>
      </c>
      <c r="BX440" s="5" t="n">
        <v>0.667</v>
      </c>
      <c r="BY440" s="5" t="n">
        <v>13.254</v>
      </c>
      <c r="BZ440" s="5" t="n">
        <v>0</v>
      </c>
      <c r="CA440" s="5" t="n">
        <v>13.254</v>
      </c>
      <c r="CB440" s="5" t="n">
        <v>0</v>
      </c>
      <c r="CC440" s="5" t="n">
        <v>83.248</v>
      </c>
      <c r="CD440" s="5" t="n">
        <v>7.95</v>
      </c>
      <c r="CE440" s="5" t="n">
        <v>4.919</v>
      </c>
      <c r="CF440" s="5" t="n">
        <v>97.452</v>
      </c>
      <c r="CG440" s="5" t="n">
        <v>0.12</v>
      </c>
      <c r="CH440" s="5" t="n">
        <v>1</v>
      </c>
      <c r="CI440" s="5" t="n">
        <v>0</v>
      </c>
      <c r="CJ440" s="5" t="n">
        <v>0</v>
      </c>
      <c r="CK440" s="5" t="n">
        <v>0</v>
      </c>
      <c r="CL440" s="5" t="n">
        <v>0</v>
      </c>
      <c r="CM440" s="5" t="n">
        <v>0</v>
      </c>
      <c r="CN440" s="5" t="n">
        <v>0</v>
      </c>
      <c r="CO440" s="5" t="n">
        <v>0</v>
      </c>
      <c r="CP440" s="5" t="n">
        <v>0.733</v>
      </c>
      <c r="CQ440" s="5" t="n">
        <v>1.348</v>
      </c>
      <c r="CR440" s="5" t="n">
        <v>0.058</v>
      </c>
      <c r="CS440" s="5" t="n">
        <v>5.37</v>
      </c>
      <c r="CT440" s="5" t="n">
        <v>3.466</v>
      </c>
      <c r="CU440" s="5" t="n">
        <v>11.622</v>
      </c>
    </row>
    <row r="441">
      <c r="A441" s="5" t="inlineStr">
        <is>
          <t>KGZ2024</t>
        </is>
      </c>
      <c r="B441" s="5" t="inlineStr">
        <is>
          <t>KGZ</t>
        </is>
      </c>
      <c r="C441" s="5" t="inlineStr">
        <is>
          <t>KGZ</t>
        </is>
      </c>
      <c r="D441" s="5" t="inlineStr">
        <is>
          <t>Kyrgyz Republic</t>
        </is>
      </c>
      <c r="E441" s="5" t="n">
        <v>2024</v>
      </c>
      <c r="F441" s="5" t="n">
        <v>0.12</v>
      </c>
      <c r="G441" s="5" t="n">
        <v>2.664</v>
      </c>
      <c r="H441" s="5" t="n">
        <v>0.838</v>
      </c>
      <c r="I441" s="5" t="n">
        <v>0.02</v>
      </c>
      <c r="J441" s="5" t="n">
        <v>2.684</v>
      </c>
      <c r="K441" s="5" t="n">
        <v>0</v>
      </c>
      <c r="L441" s="5" t="n">
        <v>1</v>
      </c>
      <c r="M441" s="5" t="n">
        <v>4.374</v>
      </c>
      <c r="N441" s="5" t="n">
        <v>2.515</v>
      </c>
      <c r="O441" s="5" t="n">
        <v>0.042</v>
      </c>
      <c r="P441" s="5" t="n">
        <v>4.416</v>
      </c>
      <c r="Q441" s="5" t="n">
        <v>0</v>
      </c>
      <c r="R441" s="5" t="n">
        <v>1</v>
      </c>
      <c r="S441" s="5" t="n">
        <v>2.315</v>
      </c>
      <c r="T441" s="5" t="n">
        <v>1.533</v>
      </c>
      <c r="U441" s="5" t="n">
        <v>0.02</v>
      </c>
      <c r="V441" s="5" t="n">
        <v>2.616</v>
      </c>
      <c r="W441" s="5" t="n">
        <v>0.12</v>
      </c>
      <c r="X441" s="5" t="n">
        <v>1</v>
      </c>
      <c r="Y441" s="5" t="n">
        <v>4.685</v>
      </c>
      <c r="Z441" s="5" t="n">
        <v>0.61</v>
      </c>
      <c r="AA441" s="5" t="n">
        <v>0.479</v>
      </c>
      <c r="AB441" s="5" t="n">
        <v>5.164</v>
      </c>
      <c r="AC441" s="5" t="n">
        <v>0</v>
      </c>
      <c r="AD441" s="5" t="n">
        <v>1</v>
      </c>
      <c r="AE441" s="5" t="n">
        <v>5.97</v>
      </c>
      <c r="AF441" s="5" t="n">
        <v>1.351</v>
      </c>
      <c r="AG441" s="5" t="n">
        <v>0.479</v>
      </c>
      <c r="AH441" s="5" t="n">
        <v>6.45</v>
      </c>
      <c r="AI441" s="5" t="n">
        <v>0</v>
      </c>
      <c r="AJ441" s="5" t="n">
        <v>1</v>
      </c>
      <c r="AK441" s="5" t="n">
        <v>13.683</v>
      </c>
      <c r="AL441" s="5" t="n">
        <v>7.143</v>
      </c>
      <c r="AM441" s="5" t="n">
        <v>-8.122</v>
      </c>
      <c r="AN441" s="5" t="n">
        <v>6.228</v>
      </c>
      <c r="AO441" s="5" t="n">
        <v>0</v>
      </c>
      <c r="AP441" s="5" t="n">
        <v>0</v>
      </c>
      <c r="AQ441" s="5" t="n">
        <v>0.724</v>
      </c>
      <c r="AR441" s="5" t="n">
        <v>0.132</v>
      </c>
      <c r="AS441" s="5" t="n">
        <v>-0.057</v>
      </c>
      <c r="AT441" s="5" t="n">
        <v>0.748</v>
      </c>
      <c r="AU441" s="5" t="n">
        <v>0.12</v>
      </c>
      <c r="AV441" s="5" t="n">
        <v>1</v>
      </c>
      <c r="AW441" s="5" t="n">
        <v>0.75</v>
      </c>
      <c r="AX441" s="5" t="n">
        <v>0.132</v>
      </c>
      <c r="AY441" s="5" t="n">
        <v>0.01</v>
      </c>
      <c r="AZ441" s="5" t="n">
        <v>0.851</v>
      </c>
      <c r="BA441" s="5" t="n">
        <v>0.12</v>
      </c>
      <c r="BB441" s="5" t="n">
        <v>1</v>
      </c>
      <c r="BC441" s="5" t="n">
        <v>0.513</v>
      </c>
      <c r="BD441" s="5" t="n">
        <v>0.132</v>
      </c>
      <c r="BE441" s="5" t="n">
        <v>0.251</v>
      </c>
      <c r="BF441" s="5" t="n">
        <v>0.856</v>
      </c>
      <c r="BG441" s="5" t="n">
        <v>0.12</v>
      </c>
      <c r="BH441" s="5" t="n">
        <v>1</v>
      </c>
      <c r="BI441" s="5" t="n">
        <v>0.591</v>
      </c>
      <c r="BJ441" s="5" t="n">
        <v>0.132</v>
      </c>
      <c r="BK441" s="5" t="n">
        <v>0.052</v>
      </c>
      <c r="BL441" s="5" t="n">
        <v>0.709</v>
      </c>
      <c r="BM441" s="5" t="n">
        <v>0.12</v>
      </c>
      <c r="BN441" s="5" t="n">
        <v>1</v>
      </c>
      <c r="BO441" s="5" t="n">
        <v>0</v>
      </c>
      <c r="BP441" s="5" t="n">
        <v>0</v>
      </c>
      <c r="BQ441" s="5" t="n">
        <v>0.029</v>
      </c>
      <c r="BR441" s="5" t="n">
        <v>0</v>
      </c>
      <c r="BS441" s="5" t="n">
        <v>0.833</v>
      </c>
      <c r="BT441" s="5" t="n">
        <v>0</v>
      </c>
      <c r="BU441" s="5" t="n">
        <v>0</v>
      </c>
      <c r="BV441" s="5" t="n">
        <v>0.013</v>
      </c>
      <c r="BW441" s="5" t="n">
        <v>0.12</v>
      </c>
      <c r="BX441" s="5" t="n">
        <v>0.667</v>
      </c>
      <c r="BY441" s="5" t="n">
        <v>13.646</v>
      </c>
      <c r="BZ441" s="5" t="n">
        <v>0</v>
      </c>
      <c r="CA441" s="5" t="n">
        <v>13.646</v>
      </c>
      <c r="CB441" s="5" t="n">
        <v>0</v>
      </c>
      <c r="CC441" s="5" t="n">
        <v>82.58799999999999</v>
      </c>
      <c r="CD441" s="5" t="n">
        <v>7.95</v>
      </c>
      <c r="CE441" s="5" t="n">
        <v>5.146</v>
      </c>
      <c r="CF441" s="5" t="n">
        <v>96.682</v>
      </c>
      <c r="CG441" s="5" t="n">
        <v>0.12</v>
      </c>
      <c r="CH441" s="5" t="n">
        <v>1</v>
      </c>
      <c r="CI441" s="5" t="n">
        <v>0</v>
      </c>
      <c r="CJ441" s="5" t="n">
        <v>0</v>
      </c>
      <c r="CK441" s="5" t="n">
        <v>0</v>
      </c>
      <c r="CL441" s="5" t="n">
        <v>0</v>
      </c>
      <c r="CM441" s="5" t="n">
        <v>0</v>
      </c>
      <c r="CN441" s="5" t="n">
        <v>0</v>
      </c>
      <c r="CO441" s="5" t="n">
        <v>0</v>
      </c>
      <c r="CP441" s="5" t="n">
        <v>0.733</v>
      </c>
      <c r="CQ441" s="5" t="n">
        <v>1.387</v>
      </c>
      <c r="CR441" s="5" t="n">
        <v>0.058</v>
      </c>
      <c r="CS441" s="5" t="n">
        <v>5.529</v>
      </c>
      <c r="CT441" s="5" t="n">
        <v>3.027</v>
      </c>
      <c r="CU441" s="5" t="n">
        <v>10.168</v>
      </c>
    </row>
    <row r="442">
      <c r="A442" s="5" t="inlineStr">
        <is>
          <t>LAO2021</t>
        </is>
      </c>
      <c r="B442" s="5" t="inlineStr">
        <is>
          <t>LAO</t>
        </is>
      </c>
      <c r="C442" s="5" t="inlineStr">
        <is>
          <t>LAO</t>
        </is>
      </c>
      <c r="D442" s="5" t="inlineStr">
        <is>
          <t>Lao P.D.R.</t>
        </is>
      </c>
      <c r="E442" s="5" t="n">
        <v>2021</v>
      </c>
      <c r="F442" s="5" t="n">
        <v>0.1</v>
      </c>
      <c r="G442" s="5" t="n">
        <v>1.77</v>
      </c>
      <c r="H442" s="5" t="n">
        <v>0.572</v>
      </c>
      <c r="I442" s="5" t="n">
        <v>-1.157</v>
      </c>
      <c r="J442" s="5" t="n">
        <v>0.613</v>
      </c>
      <c r="K442" s="5" t="n">
        <v>0</v>
      </c>
      <c r="L442" s="5" t="n">
        <v>0</v>
      </c>
      <c r="M442" s="5" t="n">
        <v>2.913</v>
      </c>
      <c r="N442" s="5" t="n">
        <v>1.715</v>
      </c>
      <c r="O442" s="5" t="n">
        <v>-2.3</v>
      </c>
      <c r="P442" s="5" t="n">
        <v>0.613</v>
      </c>
      <c r="Q442" s="5" t="n">
        <v>0</v>
      </c>
      <c r="R442" s="5" t="n">
        <v>0</v>
      </c>
      <c r="S442" s="5" t="n">
        <v>4.628</v>
      </c>
      <c r="T442" s="5" t="n">
        <v>3.43</v>
      </c>
      <c r="U442" s="5" t="n">
        <v>0</v>
      </c>
      <c r="V442" s="5" t="n">
        <v>5.091</v>
      </c>
      <c r="W442" s="5" t="n">
        <v>0.1</v>
      </c>
      <c r="X442" s="5" t="n">
        <v>1</v>
      </c>
      <c r="Y442" s="5" t="n">
        <v>5.923</v>
      </c>
      <c r="Z442" s="5" t="n">
        <v>0.731</v>
      </c>
      <c r="AA442" s="5" t="n">
        <v>0</v>
      </c>
      <c r="AB442" s="5" t="n">
        <v>5.923</v>
      </c>
      <c r="AC442" s="5" t="n">
        <v>0</v>
      </c>
      <c r="AD442" s="5" t="n">
        <v>1</v>
      </c>
      <c r="AE442" s="5" t="n">
        <v>7.066</v>
      </c>
      <c r="AF442" s="5" t="n">
        <v>1.54</v>
      </c>
      <c r="AG442" s="5" t="n">
        <v>0</v>
      </c>
      <c r="AH442" s="5" t="n">
        <v>7.066</v>
      </c>
      <c r="AI442" s="5" t="n">
        <v>0</v>
      </c>
      <c r="AJ442" s="5" t="n">
        <v>1</v>
      </c>
      <c r="AK442" s="5" t="n">
        <v>13.926</v>
      </c>
      <c r="AL442" s="5" t="n">
        <v>7.226</v>
      </c>
      <c r="AM442" s="5" t="n">
        <v>0</v>
      </c>
      <c r="AN442" s="5" t="n">
        <v>15.318</v>
      </c>
      <c r="AO442" s="5" t="n">
        <v>0.1</v>
      </c>
      <c r="AP442" s="5" t="n">
        <v>1</v>
      </c>
      <c r="AQ442" s="5" t="n">
        <v>0.6</v>
      </c>
      <c r="AR442" s="5" t="n">
        <v>0.11</v>
      </c>
      <c r="AS442" s="5" t="n">
        <v>0.418</v>
      </c>
      <c r="AT442" s="5" t="n">
        <v>1.12</v>
      </c>
      <c r="AU442" s="5" t="n">
        <v>0.1</v>
      </c>
      <c r="AV442" s="5" t="n">
        <v>1</v>
      </c>
      <c r="AW442" s="5" t="n">
        <v>0.639</v>
      </c>
      <c r="AX442" s="5" t="n">
        <v>0.124</v>
      </c>
      <c r="AY442" s="5" t="n">
        <v>0.25</v>
      </c>
      <c r="AZ442" s="5" t="n">
        <v>0.979</v>
      </c>
      <c r="BA442" s="5" t="n">
        <v>0.1</v>
      </c>
      <c r="BB442" s="5" t="n">
        <v>1</v>
      </c>
      <c r="BC442" s="5" t="n">
        <v>0.44</v>
      </c>
      <c r="BD442" s="5" t="n">
        <v>0.114</v>
      </c>
      <c r="BE442" s="5" t="n">
        <v>0</v>
      </c>
      <c r="BF442" s="5" t="n">
        <v>0.484</v>
      </c>
      <c r="BG442" s="5" t="n">
        <v>0.1</v>
      </c>
      <c r="BH442" s="5" t="n">
        <v>1</v>
      </c>
      <c r="BI442" s="5" t="n">
        <v>0.5600000000000001</v>
      </c>
      <c r="BJ442" s="5" t="n">
        <v>0.114</v>
      </c>
      <c r="BK442" s="5" t="n">
        <v>0</v>
      </c>
      <c r="BL442" s="5" t="n">
        <v>0.616</v>
      </c>
      <c r="BM442" s="5" t="n">
        <v>0.1</v>
      </c>
      <c r="BN442" s="5" t="n">
        <v>1</v>
      </c>
      <c r="BO442" s="5" t="n">
        <v>0</v>
      </c>
      <c r="BP442" s="5" t="n">
        <v>0</v>
      </c>
      <c r="BQ442" s="5" t="n">
        <v>0.075</v>
      </c>
      <c r="BR442" s="5" t="n">
        <v>0</v>
      </c>
      <c r="BS442" s="5" t="n">
        <v>0.667</v>
      </c>
      <c r="BT442" s="5" t="n">
        <v>0</v>
      </c>
      <c r="BU442" s="5" t="n">
        <v>0</v>
      </c>
      <c r="BV442" s="5" t="n">
        <v>0.043</v>
      </c>
      <c r="BW442" s="5" t="n">
        <v>0.1</v>
      </c>
      <c r="BX442" s="5" t="n">
        <v>0.667</v>
      </c>
      <c r="BY442" s="5" t="n">
        <v>11.787</v>
      </c>
      <c r="BZ442" s="5" t="n">
        <v>0</v>
      </c>
      <c r="CA442" s="5" t="n">
        <v>11.787</v>
      </c>
      <c r="CB442" s="5" t="n">
        <v>0</v>
      </c>
      <c r="CC442" s="5" t="n">
        <v>81.69499999999999</v>
      </c>
      <c r="CD442" s="5" t="n">
        <v>7.95</v>
      </c>
      <c r="CE442" s="5" t="n">
        <v>13.857</v>
      </c>
      <c r="CF442" s="5" t="n">
        <v>105.107</v>
      </c>
      <c r="CG442" s="5" t="n">
        <v>0.1</v>
      </c>
      <c r="CH442" s="5" t="n">
        <v>1</v>
      </c>
      <c r="CI442" s="5" t="n">
        <v>0</v>
      </c>
      <c r="CJ442" s="5" t="n">
        <v>0</v>
      </c>
      <c r="CK442" s="5" t="n">
        <v>0</v>
      </c>
      <c r="CL442" s="5" t="n">
        <v>0</v>
      </c>
      <c r="CM442" s="5" t="n">
        <v>0</v>
      </c>
      <c r="CN442" s="5" t="n">
        <v>0</v>
      </c>
      <c r="CO442" s="5" t="n">
        <v>0</v>
      </c>
      <c r="CP442" s="5" t="n">
        <v>1</v>
      </c>
      <c r="CQ442" s="5" t="n">
        <v>1.198</v>
      </c>
      <c r="CR442" s="5" t="n">
        <v>0</v>
      </c>
      <c r="CS442" s="5" t="n">
        <v>4.776</v>
      </c>
      <c r="CT442" s="5" t="n">
        <v>3.604</v>
      </c>
      <c r="CU442" s="5" t="n">
        <v>9.407999999999999</v>
      </c>
    </row>
    <row r="443">
      <c r="A443" s="5" t="inlineStr">
        <is>
          <t>LAO2022</t>
        </is>
      </c>
      <c r="B443" s="5" t="inlineStr">
        <is>
          <t>LAO</t>
        </is>
      </c>
      <c r="C443" s="5" t="inlineStr">
        <is>
          <t>LAO</t>
        </is>
      </c>
      <c r="D443" s="5" t="inlineStr">
        <is>
          <t>Lao P.D.R.</t>
        </is>
      </c>
      <c r="E443" s="5" t="n">
        <v>2022</v>
      </c>
      <c r="F443" s="5" t="n">
        <v>0.1</v>
      </c>
      <c r="G443" s="5" t="n">
        <v>1.911</v>
      </c>
      <c r="H443" s="5" t="n">
        <v>0.617</v>
      </c>
      <c r="I443" s="5" t="n">
        <v>-1.249</v>
      </c>
      <c r="J443" s="5" t="n">
        <v>0.662</v>
      </c>
      <c r="K443" s="5" t="n">
        <v>0</v>
      </c>
      <c r="L443" s="5" t="n">
        <v>0</v>
      </c>
      <c r="M443" s="5" t="n">
        <v>3.146</v>
      </c>
      <c r="N443" s="5" t="n">
        <v>1.852</v>
      </c>
      <c r="O443" s="5" t="n">
        <v>-2.484</v>
      </c>
      <c r="P443" s="5" t="n">
        <v>0.662</v>
      </c>
      <c r="Q443" s="5" t="n">
        <v>0</v>
      </c>
      <c r="R443" s="5" t="n">
        <v>0</v>
      </c>
      <c r="S443" s="5" t="n">
        <v>4.998</v>
      </c>
      <c r="T443" s="5" t="n">
        <v>3.704</v>
      </c>
      <c r="U443" s="5" t="n">
        <v>0.037</v>
      </c>
      <c r="V443" s="5" t="n">
        <v>5.498</v>
      </c>
      <c r="W443" s="5" t="n">
        <v>0.1</v>
      </c>
      <c r="X443" s="5" t="n">
        <v>1</v>
      </c>
      <c r="Y443" s="5" t="n">
        <v>6.401</v>
      </c>
      <c r="Z443" s="5" t="n">
        <v>0.79</v>
      </c>
      <c r="AA443" s="5" t="n">
        <v>0</v>
      </c>
      <c r="AB443" s="5" t="n">
        <v>6.401</v>
      </c>
      <c r="AC443" s="5" t="n">
        <v>0</v>
      </c>
      <c r="AD443" s="5" t="n">
        <v>1</v>
      </c>
      <c r="AE443" s="5" t="n">
        <v>7.635</v>
      </c>
      <c r="AF443" s="5" t="n">
        <v>1.665</v>
      </c>
      <c r="AG443" s="5" t="n">
        <v>0</v>
      </c>
      <c r="AH443" s="5" t="n">
        <v>7.635</v>
      </c>
      <c r="AI443" s="5" t="n">
        <v>0</v>
      </c>
      <c r="AJ443" s="5" t="n">
        <v>1</v>
      </c>
      <c r="AK443" s="5" t="n">
        <v>15.043</v>
      </c>
      <c r="AL443" s="5" t="n">
        <v>7.806</v>
      </c>
      <c r="AM443" s="5" t="n">
        <v>0.111</v>
      </c>
      <c r="AN443" s="5" t="n">
        <v>16.548</v>
      </c>
      <c r="AO443" s="5" t="n">
        <v>0.1</v>
      </c>
      <c r="AP443" s="5" t="n">
        <v>1</v>
      </c>
      <c r="AQ443" s="5" t="n">
        <v>0.788</v>
      </c>
      <c r="AR443" s="5" t="n">
        <v>0.113</v>
      </c>
      <c r="AS443" s="5" t="n">
        <v>0.598</v>
      </c>
      <c r="AT443" s="5" t="n">
        <v>1.483</v>
      </c>
      <c r="AU443" s="5" t="n">
        <v>0.07000000000000001</v>
      </c>
      <c r="AV443" s="5" t="n">
        <v>1</v>
      </c>
      <c r="AW443" s="5" t="n">
        <v>0.839</v>
      </c>
      <c r="AX443" s="5" t="n">
        <v>0.109</v>
      </c>
      <c r="AY443" s="5" t="n">
        <v>0.362</v>
      </c>
      <c r="AZ443" s="5" t="n">
        <v>1.286</v>
      </c>
      <c r="BA443" s="5" t="n">
        <v>0.07000000000000001</v>
      </c>
      <c r="BB443" s="5" t="n">
        <v>1</v>
      </c>
      <c r="BC443" s="5" t="n">
        <v>0.589</v>
      </c>
      <c r="BD443" s="5" t="n">
        <v>0.123</v>
      </c>
      <c r="BE443" s="5" t="n">
        <v>0.004</v>
      </c>
      <c r="BF443" s="5" t="n">
        <v>0.647</v>
      </c>
      <c r="BG443" s="5" t="n">
        <v>0.1</v>
      </c>
      <c r="BH443" s="5" t="n">
        <v>1</v>
      </c>
      <c r="BI443" s="5" t="n">
        <v>0.6889999999999999</v>
      </c>
      <c r="BJ443" s="5" t="n">
        <v>0.123</v>
      </c>
      <c r="BK443" s="5" t="n">
        <v>0.005</v>
      </c>
      <c r="BL443" s="5" t="n">
        <v>0.758</v>
      </c>
      <c r="BM443" s="5" t="n">
        <v>0.1</v>
      </c>
      <c r="BN443" s="5" t="n">
        <v>1</v>
      </c>
      <c r="BO443" s="5" t="n">
        <v>0</v>
      </c>
      <c r="BP443" s="5" t="n">
        <v>0</v>
      </c>
      <c r="BQ443" s="5" t="n">
        <v>0.048</v>
      </c>
      <c r="BR443" s="5" t="n">
        <v>0</v>
      </c>
      <c r="BS443" s="5" t="n">
        <v>0.667</v>
      </c>
      <c r="BT443" s="5" t="n">
        <v>0</v>
      </c>
      <c r="BU443" s="5" t="n">
        <v>0</v>
      </c>
      <c r="BV443" s="5" t="n">
        <v>0.039</v>
      </c>
      <c r="BW443" s="5" t="n">
        <v>0.1</v>
      </c>
      <c r="BX443" s="5" t="n">
        <v>0.667</v>
      </c>
      <c r="BY443" s="5" t="n">
        <v>12.729</v>
      </c>
      <c r="BZ443" s="5" t="n">
        <v>0</v>
      </c>
      <c r="CA443" s="5" t="n">
        <v>12.729</v>
      </c>
      <c r="CB443" s="5" t="n">
        <v>0</v>
      </c>
      <c r="CC443" s="5" t="n">
        <v>102.477</v>
      </c>
      <c r="CD443" s="5" t="n">
        <v>7.95</v>
      </c>
      <c r="CE443" s="5" t="n">
        <v>14.528</v>
      </c>
      <c r="CF443" s="5" t="n">
        <v>127.76</v>
      </c>
      <c r="CG443" s="5" t="n">
        <v>0.1</v>
      </c>
      <c r="CH443" s="5" t="n">
        <v>1</v>
      </c>
      <c r="CI443" s="5" t="n">
        <v>0</v>
      </c>
      <c r="CJ443" s="5" t="n">
        <v>0</v>
      </c>
      <c r="CK443" s="5" t="n">
        <v>0</v>
      </c>
      <c r="CL443" s="5" t="n">
        <v>0</v>
      </c>
      <c r="CM443" s="5" t="n">
        <v>0</v>
      </c>
      <c r="CN443" s="5" t="n">
        <v>0</v>
      </c>
      <c r="CO443" s="5" t="n">
        <v>0</v>
      </c>
      <c r="CP443" s="5" t="n">
        <v>1</v>
      </c>
      <c r="CQ443" s="5" t="n">
        <v>1.294</v>
      </c>
      <c r="CR443" s="5" t="n">
        <v>0</v>
      </c>
      <c r="CS443" s="5" t="n">
        <v>5.158</v>
      </c>
      <c r="CT443" s="5" t="n">
        <v>7.554</v>
      </c>
      <c r="CU443" s="5" t="n">
        <v>16.097</v>
      </c>
    </row>
    <row r="444">
      <c r="A444" s="5" t="inlineStr">
        <is>
          <t>LAO2023</t>
        </is>
      </c>
      <c r="B444" s="5" t="inlineStr">
        <is>
          <t>LAO</t>
        </is>
      </c>
      <c r="C444" s="5" t="inlineStr">
        <is>
          <t>LAO</t>
        </is>
      </c>
      <c r="D444" s="5" t="inlineStr">
        <is>
          <t>Lao P.D.R.</t>
        </is>
      </c>
      <c r="E444" s="5" t="n">
        <v>2023</v>
      </c>
      <c r="F444" s="5" t="n">
        <v>0.1</v>
      </c>
      <c r="G444" s="5" t="n">
        <v>1.99</v>
      </c>
      <c r="H444" s="5" t="n">
        <v>0.643</v>
      </c>
      <c r="I444" s="5" t="n">
        <v>-1.301</v>
      </c>
      <c r="J444" s="5" t="n">
        <v>0.6889999999999999</v>
      </c>
      <c r="K444" s="5" t="n">
        <v>0</v>
      </c>
      <c r="L444" s="5" t="n">
        <v>0</v>
      </c>
      <c r="M444" s="5" t="n">
        <v>3.276</v>
      </c>
      <c r="N444" s="5" t="n">
        <v>1.928</v>
      </c>
      <c r="O444" s="5" t="n">
        <v>-2.587</v>
      </c>
      <c r="P444" s="5" t="n">
        <v>0.6889999999999999</v>
      </c>
      <c r="Q444" s="5" t="n">
        <v>0</v>
      </c>
      <c r="R444" s="5" t="n">
        <v>0</v>
      </c>
      <c r="S444" s="5" t="n">
        <v>5.205</v>
      </c>
      <c r="T444" s="5" t="n">
        <v>3.857</v>
      </c>
      <c r="U444" s="5" t="n">
        <v>0.058</v>
      </c>
      <c r="V444" s="5" t="n">
        <v>5.725</v>
      </c>
      <c r="W444" s="5" t="n">
        <v>0.1</v>
      </c>
      <c r="X444" s="5" t="n">
        <v>1</v>
      </c>
      <c r="Y444" s="5" t="n">
        <v>6.662</v>
      </c>
      <c r="Z444" s="5" t="n">
        <v>0.822</v>
      </c>
      <c r="AA444" s="5" t="n">
        <v>0</v>
      </c>
      <c r="AB444" s="5" t="n">
        <v>6.662</v>
      </c>
      <c r="AC444" s="5" t="n">
        <v>0</v>
      </c>
      <c r="AD444" s="5" t="n">
        <v>1</v>
      </c>
      <c r="AE444" s="5" t="n">
        <v>7.947</v>
      </c>
      <c r="AF444" s="5" t="n">
        <v>1.733</v>
      </c>
      <c r="AG444" s="5" t="n">
        <v>0</v>
      </c>
      <c r="AH444" s="5" t="n">
        <v>7.947</v>
      </c>
      <c r="AI444" s="5" t="n">
        <v>0</v>
      </c>
      <c r="AJ444" s="5" t="n">
        <v>1</v>
      </c>
      <c r="AK444" s="5" t="n">
        <v>15.661</v>
      </c>
      <c r="AL444" s="5" t="n">
        <v>8.125999999999999</v>
      </c>
      <c r="AM444" s="5" t="n">
        <v>0.173</v>
      </c>
      <c r="AN444" s="5" t="n">
        <v>17.227</v>
      </c>
      <c r="AO444" s="5" t="n">
        <v>0.1</v>
      </c>
      <c r="AP444" s="5" t="n">
        <v>1</v>
      </c>
      <c r="AQ444" s="5" t="n">
        <v>0.766</v>
      </c>
      <c r="AR444" s="5" t="n">
        <v>0.129</v>
      </c>
      <c r="AS444" s="5" t="n">
        <v>0.528</v>
      </c>
      <c r="AT444" s="5" t="n">
        <v>1.385</v>
      </c>
      <c r="AU444" s="5" t="n">
        <v>0.07000000000000001</v>
      </c>
      <c r="AV444" s="5" t="n">
        <v>1</v>
      </c>
      <c r="AW444" s="5" t="n">
        <v>0.765</v>
      </c>
      <c r="AX444" s="5" t="n">
        <v>0.131</v>
      </c>
      <c r="AY444" s="5" t="n">
        <v>0.319</v>
      </c>
      <c r="AZ444" s="5" t="n">
        <v>1.161</v>
      </c>
      <c r="BA444" s="5" t="n">
        <v>0.07000000000000001</v>
      </c>
      <c r="BB444" s="5" t="n">
        <v>1</v>
      </c>
      <c r="BC444" s="5" t="n">
        <v>0.527</v>
      </c>
      <c r="BD444" s="5" t="n">
        <v>0.129</v>
      </c>
      <c r="BE444" s="5" t="n">
        <v>0.006</v>
      </c>
      <c r="BF444" s="5" t="n">
        <v>0.58</v>
      </c>
      <c r="BG444" s="5" t="n">
        <v>0.1</v>
      </c>
      <c r="BH444" s="5" t="n">
        <v>1</v>
      </c>
      <c r="BI444" s="5" t="n">
        <v>0.64</v>
      </c>
      <c r="BJ444" s="5" t="n">
        <v>0.129</v>
      </c>
      <c r="BK444" s="5" t="n">
        <v>0.007</v>
      </c>
      <c r="BL444" s="5" t="n">
        <v>0.704</v>
      </c>
      <c r="BM444" s="5" t="n">
        <v>0.1</v>
      </c>
      <c r="BN444" s="5" t="n">
        <v>1</v>
      </c>
      <c r="BO444" s="5" t="n">
        <v>0</v>
      </c>
      <c r="BP444" s="5" t="n">
        <v>0</v>
      </c>
      <c r="BQ444" s="5" t="n">
        <v>0.039</v>
      </c>
      <c r="BR444" s="5" t="n">
        <v>0</v>
      </c>
      <c r="BS444" s="5" t="n">
        <v>0.667</v>
      </c>
      <c r="BT444" s="5" t="n">
        <v>0</v>
      </c>
      <c r="BU444" s="5" t="n">
        <v>0</v>
      </c>
      <c r="BV444" s="5" t="n">
        <v>0.032</v>
      </c>
      <c r="BW444" s="5" t="n">
        <v>0.1</v>
      </c>
      <c r="BX444" s="5" t="n">
        <v>0.667</v>
      </c>
      <c r="BY444" s="5" t="n">
        <v>13.254</v>
      </c>
      <c r="BZ444" s="5" t="n">
        <v>0</v>
      </c>
      <c r="CA444" s="5" t="n">
        <v>13.254</v>
      </c>
      <c r="CB444" s="5" t="n">
        <v>0</v>
      </c>
      <c r="CC444" s="5" t="n">
        <v>87.07899999999999</v>
      </c>
      <c r="CD444" s="5" t="n">
        <v>7.95</v>
      </c>
      <c r="CE444" s="5" t="n">
        <v>17.159</v>
      </c>
      <c r="CF444" s="5" t="n">
        <v>113.406</v>
      </c>
      <c r="CG444" s="5" t="n">
        <v>0.1</v>
      </c>
      <c r="CH444" s="5" t="n">
        <v>1</v>
      </c>
      <c r="CI444" s="5" t="n">
        <v>0</v>
      </c>
      <c r="CJ444" s="5" t="n">
        <v>0</v>
      </c>
      <c r="CK444" s="5" t="n">
        <v>0</v>
      </c>
      <c r="CL444" s="5" t="n">
        <v>0</v>
      </c>
      <c r="CM444" s="5" t="n">
        <v>0</v>
      </c>
      <c r="CN444" s="5" t="n">
        <v>0</v>
      </c>
      <c r="CO444" s="5" t="n">
        <v>0</v>
      </c>
      <c r="CP444" s="5" t="n">
        <v>1</v>
      </c>
      <c r="CQ444" s="5" t="n">
        <v>1.348</v>
      </c>
      <c r="CR444" s="5" t="n">
        <v>0</v>
      </c>
      <c r="CS444" s="5" t="n">
        <v>5.37</v>
      </c>
      <c r="CT444" s="5" t="n">
        <v>4.484</v>
      </c>
      <c r="CU444" s="5" t="n">
        <v>12.529</v>
      </c>
    </row>
    <row r="445">
      <c r="A445" s="5" t="inlineStr">
        <is>
          <t>LAO2024</t>
        </is>
      </c>
      <c r="B445" s="5" t="inlineStr">
        <is>
          <t>LAO</t>
        </is>
      </c>
      <c r="C445" s="5" t="inlineStr">
        <is>
          <t>LAO</t>
        </is>
      </c>
      <c r="D445" s="5" t="inlineStr">
        <is>
          <t>Lao P.D.R.</t>
        </is>
      </c>
      <c r="E445" s="5" t="n">
        <v>2024</v>
      </c>
      <c r="F445" s="5" t="n">
        <v>0.1</v>
      </c>
      <c r="G445" s="5" t="n">
        <v>2.049</v>
      </c>
      <c r="H445" s="5" t="n">
        <v>0.662</v>
      </c>
      <c r="I445" s="5" t="n">
        <v>-1.339</v>
      </c>
      <c r="J445" s="5" t="n">
        <v>0.71</v>
      </c>
      <c r="K445" s="5" t="n">
        <v>0</v>
      </c>
      <c r="L445" s="5" t="n">
        <v>0</v>
      </c>
      <c r="M445" s="5" t="n">
        <v>3.373</v>
      </c>
      <c r="N445" s="5" t="n">
        <v>1.985</v>
      </c>
      <c r="O445" s="5" t="n">
        <v>-2.663</v>
      </c>
      <c r="P445" s="5" t="n">
        <v>0.71</v>
      </c>
      <c r="Q445" s="5" t="n">
        <v>0</v>
      </c>
      <c r="R445" s="5" t="n">
        <v>0</v>
      </c>
      <c r="S445" s="5" t="n">
        <v>5.358</v>
      </c>
      <c r="T445" s="5" t="n">
        <v>3.971</v>
      </c>
      <c r="U445" s="5" t="n">
        <v>0.073</v>
      </c>
      <c r="V445" s="5" t="n">
        <v>5.894</v>
      </c>
      <c r="W445" s="5" t="n">
        <v>0.1</v>
      </c>
      <c r="X445" s="5" t="n">
        <v>1</v>
      </c>
      <c r="Y445" s="5" t="n">
        <v>6.857</v>
      </c>
      <c r="Z445" s="5" t="n">
        <v>0.846</v>
      </c>
      <c r="AA445" s="5" t="n">
        <v>0</v>
      </c>
      <c r="AB445" s="5" t="n">
        <v>6.857</v>
      </c>
      <c r="AC445" s="5" t="n">
        <v>0</v>
      </c>
      <c r="AD445" s="5" t="n">
        <v>1</v>
      </c>
      <c r="AE445" s="5" t="n">
        <v>8.18</v>
      </c>
      <c r="AF445" s="5" t="n">
        <v>1.783</v>
      </c>
      <c r="AG445" s="5" t="n">
        <v>0</v>
      </c>
      <c r="AH445" s="5" t="n">
        <v>8.18</v>
      </c>
      <c r="AI445" s="5" t="n">
        <v>0</v>
      </c>
      <c r="AJ445" s="5" t="n">
        <v>1</v>
      </c>
      <c r="AK445" s="5" t="n">
        <v>16.122</v>
      </c>
      <c r="AL445" s="5" t="n">
        <v>8.365</v>
      </c>
      <c r="AM445" s="5" t="n">
        <v>0.22</v>
      </c>
      <c r="AN445" s="5" t="n">
        <v>17.734</v>
      </c>
      <c r="AO445" s="5" t="n">
        <v>0.1</v>
      </c>
      <c r="AP445" s="5" t="n">
        <v>1</v>
      </c>
      <c r="AQ445" s="5" t="n">
        <v>0.78</v>
      </c>
      <c r="AR445" s="5" t="n">
        <v>0.142</v>
      </c>
      <c r="AS445" s="5" t="n">
        <v>0.529</v>
      </c>
      <c r="AT445" s="5" t="n">
        <v>1.439</v>
      </c>
      <c r="AU445" s="5" t="n">
        <v>0.1</v>
      </c>
      <c r="AV445" s="5" t="n">
        <v>1</v>
      </c>
      <c r="AW445" s="5" t="n">
        <v>0.711</v>
      </c>
      <c r="AX445" s="5" t="n">
        <v>0.131</v>
      </c>
      <c r="AY445" s="5" t="n">
        <v>0.302</v>
      </c>
      <c r="AZ445" s="5" t="n">
        <v>1.114</v>
      </c>
      <c r="BA445" s="5" t="n">
        <v>0.1</v>
      </c>
      <c r="BB445" s="5" t="n">
        <v>1</v>
      </c>
      <c r="BC445" s="5" t="n">
        <v>0.51</v>
      </c>
      <c r="BD445" s="5" t="n">
        <v>0.132</v>
      </c>
      <c r="BE445" s="5" t="n">
        <v>0.007</v>
      </c>
      <c r="BF445" s="5" t="n">
        <v>0.5610000000000001</v>
      </c>
      <c r="BG445" s="5" t="n">
        <v>0.1</v>
      </c>
      <c r="BH445" s="5" t="n">
        <v>1</v>
      </c>
      <c r="BI445" s="5" t="n">
        <v>0.652</v>
      </c>
      <c r="BJ445" s="5" t="n">
        <v>0.132</v>
      </c>
      <c r="BK445" s="5" t="n">
        <v>0.008999999999999999</v>
      </c>
      <c r="BL445" s="5" t="n">
        <v>0.717</v>
      </c>
      <c r="BM445" s="5" t="n">
        <v>0.1</v>
      </c>
      <c r="BN445" s="5" t="n">
        <v>1</v>
      </c>
      <c r="BO445" s="5" t="n">
        <v>0</v>
      </c>
      <c r="BP445" s="5" t="n">
        <v>0</v>
      </c>
      <c r="BQ445" s="5" t="n">
        <v>0.04</v>
      </c>
      <c r="BR445" s="5" t="n">
        <v>0</v>
      </c>
      <c r="BS445" s="5" t="n">
        <v>0.667</v>
      </c>
      <c r="BT445" s="5" t="n">
        <v>0</v>
      </c>
      <c r="BU445" s="5" t="n">
        <v>0</v>
      </c>
      <c r="BV445" s="5" t="n">
        <v>0.021</v>
      </c>
      <c r="BW445" s="5" t="n">
        <v>0.1</v>
      </c>
      <c r="BX445" s="5" t="n">
        <v>0.667</v>
      </c>
      <c r="BY445" s="5" t="n">
        <v>13.646</v>
      </c>
      <c r="BZ445" s="5" t="n">
        <v>0</v>
      </c>
      <c r="CA445" s="5" t="n">
        <v>13.646</v>
      </c>
      <c r="CB445" s="5" t="n">
        <v>0</v>
      </c>
      <c r="CC445" s="5" t="n">
        <v>86.38500000000001</v>
      </c>
      <c r="CD445" s="5" t="n">
        <v>7.95</v>
      </c>
      <c r="CE445" s="5" t="n">
        <v>18.192</v>
      </c>
      <c r="CF445" s="5" t="n">
        <v>113.489</v>
      </c>
      <c r="CG445" s="5" t="n">
        <v>0.1</v>
      </c>
      <c r="CH445" s="5" t="n">
        <v>1</v>
      </c>
      <c r="CI445" s="5" t="n">
        <v>0</v>
      </c>
      <c r="CJ445" s="5" t="n">
        <v>0</v>
      </c>
      <c r="CK445" s="5" t="n">
        <v>0</v>
      </c>
      <c r="CL445" s="5" t="n">
        <v>0</v>
      </c>
      <c r="CM445" s="5" t="n">
        <v>0</v>
      </c>
      <c r="CN445" s="5" t="n">
        <v>0</v>
      </c>
      <c r="CO445" s="5" t="n">
        <v>0</v>
      </c>
      <c r="CP445" s="5" t="n">
        <v>1</v>
      </c>
      <c r="CQ445" s="5" t="n">
        <v>1.387</v>
      </c>
      <c r="CR445" s="5" t="n">
        <v>0</v>
      </c>
      <c r="CS445" s="5" t="n">
        <v>5.529</v>
      </c>
      <c r="CT445" s="5" t="n">
        <v>3.509</v>
      </c>
      <c r="CU445" s="5" t="n">
        <v>10.896</v>
      </c>
    </row>
    <row r="446">
      <c r="A446" s="5" t="inlineStr">
        <is>
          <t>LVA2021</t>
        </is>
      </c>
      <c r="B446" s="5" t="inlineStr">
        <is>
          <t>LVA</t>
        </is>
      </c>
      <c r="C446" s="5" t="inlineStr">
        <is>
          <t>LVA</t>
        </is>
      </c>
      <c r="D446" s="5" t="inlineStr">
        <is>
          <t>Latvia</t>
        </is>
      </c>
      <c r="E446" s="5" t="n">
        <v>2021</v>
      </c>
      <c r="F446" s="5" t="n">
        <v>0.21</v>
      </c>
      <c r="G446" s="5" t="n">
        <v>7.696</v>
      </c>
      <c r="H446" s="5" t="n">
        <v>1.684</v>
      </c>
      <c r="I446" s="5" t="n">
        <v>1.122</v>
      </c>
      <c r="J446" s="5" t="n">
        <v>8.819000000000001</v>
      </c>
      <c r="K446" s="5" t="n">
        <v>0</v>
      </c>
      <c r="L446" s="5" t="n">
        <v>1</v>
      </c>
      <c r="M446" s="5" t="n">
        <v>12.8</v>
      </c>
      <c r="N446" s="5" t="n">
        <v>5.801</v>
      </c>
      <c r="O446" s="5" t="n">
        <v>1.88</v>
      </c>
      <c r="P446" s="5" t="n">
        <v>14.68</v>
      </c>
      <c r="Q446" s="5" t="n">
        <v>0</v>
      </c>
      <c r="R446" s="5" t="n">
        <v>1</v>
      </c>
      <c r="S446" s="5" t="n">
        <v>10.53</v>
      </c>
      <c r="T446" s="5" t="n">
        <v>6.526</v>
      </c>
      <c r="U446" s="5" t="n">
        <v>0.412</v>
      </c>
      <c r="V446" s="5" t="n">
        <v>13.24</v>
      </c>
      <c r="W446" s="5" t="n">
        <v>0.21</v>
      </c>
      <c r="X446" s="5" t="n">
        <v>1</v>
      </c>
      <c r="Y446" s="5" t="n">
        <v>19.845</v>
      </c>
      <c r="Z446" s="5" t="n">
        <v>2.192</v>
      </c>
      <c r="AA446" s="5" t="n">
        <v>-1.756</v>
      </c>
      <c r="AB446" s="5" t="n">
        <v>18.088</v>
      </c>
      <c r="AC446" s="5" t="n">
        <v>0</v>
      </c>
      <c r="AD446" s="5" t="n">
        <v>1</v>
      </c>
      <c r="AE446" s="5" t="n">
        <v>19.801</v>
      </c>
      <c r="AF446" s="5" t="n">
        <v>3.896</v>
      </c>
      <c r="AG446" s="5" t="n">
        <v>-1.713</v>
      </c>
      <c r="AH446" s="5" t="n">
        <v>18.088</v>
      </c>
      <c r="AI446" s="5" t="n">
        <v>0</v>
      </c>
      <c r="AJ446" s="5" t="n">
        <v>1</v>
      </c>
      <c r="AK446" s="5" t="n">
        <v>22.065</v>
      </c>
      <c r="AL446" s="5" t="n">
        <v>10.83</v>
      </c>
      <c r="AM446" s="5" t="n">
        <v>-12.148</v>
      </c>
      <c r="AN446" s="5" t="n">
        <v>12</v>
      </c>
      <c r="AO446" s="5" t="n">
        <v>0</v>
      </c>
      <c r="AP446" s="5" t="n">
        <v>0</v>
      </c>
      <c r="AQ446" s="5" t="n">
        <v>0.619</v>
      </c>
      <c r="AR446" s="5" t="n">
        <v>0.114</v>
      </c>
      <c r="AS446" s="5" t="n">
        <v>0.6889999999999999</v>
      </c>
      <c r="AT446" s="5" t="n">
        <v>1.583</v>
      </c>
      <c r="AU446" s="5" t="n">
        <v>0.21</v>
      </c>
      <c r="AV446" s="5" t="n">
        <v>1</v>
      </c>
      <c r="AW446" s="5" t="n">
        <v>0.599</v>
      </c>
      <c r="AX446" s="5" t="n">
        <v>0.114</v>
      </c>
      <c r="AY446" s="5" t="n">
        <v>0.602</v>
      </c>
      <c r="AZ446" s="5" t="n">
        <v>1.454</v>
      </c>
      <c r="BA446" s="5" t="n">
        <v>0.21</v>
      </c>
      <c r="BB446" s="5" t="n">
        <v>1</v>
      </c>
      <c r="BC446" s="5" t="n">
        <v>0.439</v>
      </c>
      <c r="BD446" s="5" t="n">
        <v>0.114</v>
      </c>
      <c r="BE446" s="5" t="n">
        <v>0.196</v>
      </c>
      <c r="BF446" s="5" t="n">
        <v>0.768</v>
      </c>
      <c r="BG446" s="5" t="n">
        <v>0.21</v>
      </c>
      <c r="BH446" s="5" t="n">
        <v>1</v>
      </c>
      <c r="BI446" s="5" t="n">
        <v>0.505</v>
      </c>
      <c r="BJ446" s="5" t="n">
        <v>0.114</v>
      </c>
      <c r="BK446" s="5" t="n">
        <v>0.388</v>
      </c>
      <c r="BL446" s="5" t="n">
        <v>1.08</v>
      </c>
      <c r="BM446" s="5" t="n">
        <v>0.21</v>
      </c>
      <c r="BN446" s="5" t="n">
        <v>1</v>
      </c>
      <c r="BO446" s="5" t="n">
        <v>0</v>
      </c>
      <c r="BP446" s="5" t="n">
        <v>0.015</v>
      </c>
      <c r="BQ446" s="5" t="n">
        <v>0.15</v>
      </c>
      <c r="BR446" s="5" t="n">
        <v>0</v>
      </c>
      <c r="BS446" s="5" t="n">
        <v>1</v>
      </c>
      <c r="BT446" s="5" t="n">
        <v>0</v>
      </c>
      <c r="BU446" s="5" t="n">
        <v>0.017</v>
      </c>
      <c r="BV446" s="5" t="n">
        <v>0.21</v>
      </c>
      <c r="BW446" s="5" t="n">
        <v>0.21</v>
      </c>
      <c r="BX446" s="5" t="n">
        <v>1</v>
      </c>
      <c r="BY446" s="5" t="n">
        <v>11.787</v>
      </c>
      <c r="BZ446" s="5" t="n">
        <v>0</v>
      </c>
      <c r="CA446" s="5" t="n">
        <v>11.787</v>
      </c>
      <c r="CB446" s="5" t="n">
        <v>0</v>
      </c>
      <c r="CC446" s="5" t="n">
        <v>78.125</v>
      </c>
      <c r="CD446" s="5" t="n">
        <v>7.95</v>
      </c>
      <c r="CE446" s="5" t="n">
        <v>46.319</v>
      </c>
      <c r="CF446" s="5" t="n">
        <v>150.577</v>
      </c>
      <c r="CG446" s="5" t="n">
        <v>0.21</v>
      </c>
      <c r="CH446" s="5" t="n">
        <v>1</v>
      </c>
      <c r="CI446" s="5" t="n">
        <v>0</v>
      </c>
      <c r="CJ446" s="5" t="n">
        <v>0</v>
      </c>
      <c r="CK446" s="5" t="n">
        <v>0</v>
      </c>
      <c r="CL446" s="5" t="n">
        <v>0</v>
      </c>
      <c r="CM446" s="5" t="n">
        <v>0</v>
      </c>
      <c r="CN446" s="5" t="n">
        <v>0</v>
      </c>
      <c r="CO446" s="5" t="n">
        <v>0</v>
      </c>
      <c r="CP446" s="5" t="n">
        <v>0</v>
      </c>
      <c r="CQ446" s="5" t="n">
        <v>1.198</v>
      </c>
      <c r="CR446" s="5" t="n">
        <v>0</v>
      </c>
      <c r="CS446" s="5" t="n">
        <v>4.776</v>
      </c>
      <c r="CT446" s="5" t="n">
        <v>3.196</v>
      </c>
      <c r="CU446" s="5" t="n">
        <v>9.923999999999999</v>
      </c>
    </row>
    <row r="447">
      <c r="A447" s="5" t="inlineStr">
        <is>
          <t>LVA2022</t>
        </is>
      </c>
      <c r="B447" s="5" t="inlineStr">
        <is>
          <t>LVA</t>
        </is>
      </c>
      <c r="C447" s="5" t="inlineStr">
        <is>
          <t>LVA</t>
        </is>
      </c>
      <c r="D447" s="5" t="inlineStr">
        <is>
          <t>Latvia</t>
        </is>
      </c>
      <c r="E447" s="5" t="n">
        <v>2022</v>
      </c>
      <c r="F447" s="5" t="n">
        <v>0.21</v>
      </c>
      <c r="G447" s="5" t="n">
        <v>14.772</v>
      </c>
      <c r="H447" s="5" t="n">
        <v>2.294</v>
      </c>
      <c r="I447" s="5" t="n">
        <v>9.361000000000001</v>
      </c>
      <c r="J447" s="5" t="n">
        <v>24.133</v>
      </c>
      <c r="K447" s="5" t="n">
        <v>0</v>
      </c>
      <c r="L447" s="5" t="n">
        <v>1</v>
      </c>
      <c r="M447" s="5" t="n">
        <v>24.235</v>
      </c>
      <c r="N447" s="5" t="n">
        <v>10.008</v>
      </c>
      <c r="O447" s="5" t="n">
        <v>8.893000000000001</v>
      </c>
      <c r="P447" s="5" t="n">
        <v>33.128</v>
      </c>
      <c r="Q447" s="5" t="n">
        <v>0</v>
      </c>
      <c r="R447" s="5" t="n">
        <v>1</v>
      </c>
      <c r="S447" s="5" t="n">
        <v>17.529</v>
      </c>
      <c r="T447" s="5" t="n">
        <v>8.585000000000001</v>
      </c>
      <c r="U447" s="5" t="n">
        <v>0.394</v>
      </c>
      <c r="V447" s="5" t="n">
        <v>21.687</v>
      </c>
      <c r="W447" s="5" t="n">
        <v>0.21</v>
      </c>
      <c r="X447" s="5" t="n">
        <v>1</v>
      </c>
      <c r="Y447" s="5" t="n">
        <v>44.636</v>
      </c>
      <c r="Z447" s="5" t="n">
        <v>4.683</v>
      </c>
      <c r="AA447" s="5" t="n">
        <v>-1.283</v>
      </c>
      <c r="AB447" s="5" t="n">
        <v>43.353</v>
      </c>
      <c r="AC447" s="5" t="n">
        <v>0</v>
      </c>
      <c r="AD447" s="5" t="n">
        <v>1</v>
      </c>
      <c r="AE447" s="5" t="n">
        <v>44.683</v>
      </c>
      <c r="AF447" s="5" t="n">
        <v>8.284000000000001</v>
      </c>
      <c r="AG447" s="5" t="n">
        <v>-1.331</v>
      </c>
      <c r="AH447" s="5" t="n">
        <v>43.353</v>
      </c>
      <c r="AI447" s="5" t="n">
        <v>0</v>
      </c>
      <c r="AJ447" s="5" t="n">
        <v>1</v>
      </c>
      <c r="AK447" s="5" t="n">
        <v>47.496</v>
      </c>
      <c r="AL447" s="5" t="n">
        <v>22.681</v>
      </c>
      <c r="AM447" s="5" t="n">
        <v>-28.421</v>
      </c>
      <c r="AN447" s="5" t="n">
        <v>23.08</v>
      </c>
      <c r="AO447" s="5" t="n">
        <v>0</v>
      </c>
      <c r="AP447" s="5" t="n">
        <v>0</v>
      </c>
      <c r="AQ447" s="5" t="n">
        <v>0.861</v>
      </c>
      <c r="AR447" s="5" t="n">
        <v>0.123</v>
      </c>
      <c r="AS447" s="5" t="n">
        <v>0.695</v>
      </c>
      <c r="AT447" s="5" t="n">
        <v>1.882</v>
      </c>
      <c r="AU447" s="5" t="n">
        <v>0.21</v>
      </c>
      <c r="AV447" s="5" t="n">
        <v>1</v>
      </c>
      <c r="AW447" s="5" t="n">
        <v>0.986</v>
      </c>
      <c r="AX447" s="5" t="n">
        <v>0.123</v>
      </c>
      <c r="AY447" s="5" t="n">
        <v>0.5629999999999999</v>
      </c>
      <c r="AZ447" s="5" t="n">
        <v>1.875</v>
      </c>
      <c r="BA447" s="5" t="n">
        <v>0.21</v>
      </c>
      <c r="BB447" s="5" t="n">
        <v>1</v>
      </c>
      <c r="BC447" s="5" t="n">
        <v>0.598</v>
      </c>
      <c r="BD447" s="5" t="n">
        <v>0.123</v>
      </c>
      <c r="BE447" s="5" t="n">
        <v>0.104</v>
      </c>
      <c r="BF447" s="5" t="n">
        <v>0.85</v>
      </c>
      <c r="BG447" s="5" t="n">
        <v>0.21</v>
      </c>
      <c r="BH447" s="5" t="n">
        <v>1</v>
      </c>
      <c r="BI447" s="5" t="n">
        <v>0.612</v>
      </c>
      <c r="BJ447" s="5" t="n">
        <v>0.123</v>
      </c>
      <c r="BK447" s="5" t="n">
        <v>0.646</v>
      </c>
      <c r="BL447" s="5" t="n">
        <v>1.523</v>
      </c>
      <c r="BM447" s="5" t="n">
        <v>0.21</v>
      </c>
      <c r="BN447" s="5" t="n">
        <v>1</v>
      </c>
      <c r="BO447" s="5" t="n">
        <v>0</v>
      </c>
      <c r="BP447" s="5" t="n">
        <v>-0.006</v>
      </c>
      <c r="BQ447" s="5" t="n">
        <v>0.162</v>
      </c>
      <c r="BR447" s="5" t="n">
        <v>0</v>
      </c>
      <c r="BS447" s="5" t="n">
        <v>1</v>
      </c>
      <c r="BT447" s="5" t="n">
        <v>0</v>
      </c>
      <c r="BU447" s="5" t="n">
        <v>-0.016</v>
      </c>
      <c r="BV447" s="5" t="n">
        <v>0.227</v>
      </c>
      <c r="BW447" s="5" t="n">
        <v>0.21</v>
      </c>
      <c r="BX447" s="5" t="n">
        <v>1</v>
      </c>
      <c r="BY447" s="5" t="n">
        <v>12.729</v>
      </c>
      <c r="BZ447" s="5" t="n">
        <v>0</v>
      </c>
      <c r="CA447" s="5" t="n">
        <v>12.729</v>
      </c>
      <c r="CB447" s="5" t="n">
        <v>0</v>
      </c>
      <c r="CC447" s="5" t="n">
        <v>97.90000000000001</v>
      </c>
      <c r="CD447" s="5" t="n">
        <v>7.95</v>
      </c>
      <c r="CE447" s="5" t="n">
        <v>117.716</v>
      </c>
      <c r="CF447" s="5" t="n">
        <v>260.896</v>
      </c>
      <c r="CG447" s="5" t="n">
        <v>0.21</v>
      </c>
      <c r="CH447" s="5" t="n">
        <v>1</v>
      </c>
      <c r="CI447" s="5" t="n">
        <v>0</v>
      </c>
      <c r="CJ447" s="5" t="n">
        <v>0</v>
      </c>
      <c r="CK447" s="5" t="n">
        <v>0</v>
      </c>
      <c r="CL447" s="5" t="n">
        <v>0</v>
      </c>
      <c r="CM447" s="5" t="n">
        <v>0</v>
      </c>
      <c r="CN447" s="5" t="n">
        <v>0</v>
      </c>
      <c r="CO447" s="5" t="n">
        <v>0</v>
      </c>
      <c r="CP447" s="5" t="n">
        <v>0</v>
      </c>
      <c r="CQ447" s="5" t="n">
        <v>1.294</v>
      </c>
      <c r="CR447" s="5" t="n">
        <v>0</v>
      </c>
      <c r="CS447" s="5" t="n">
        <v>5.158</v>
      </c>
      <c r="CT447" s="5" t="n">
        <v>8.084</v>
      </c>
      <c r="CU447" s="5" t="n">
        <v>34.623</v>
      </c>
    </row>
    <row r="448">
      <c r="A448" s="5" t="inlineStr">
        <is>
          <t>LVA2023</t>
        </is>
      </c>
      <c r="B448" s="5" t="inlineStr">
        <is>
          <t>LVA</t>
        </is>
      </c>
      <c r="C448" s="5" t="inlineStr">
        <is>
          <t>LVA</t>
        </is>
      </c>
      <c r="D448" s="5" t="inlineStr">
        <is>
          <t>Latvia</t>
        </is>
      </c>
      <c r="E448" s="5" t="n">
        <v>2023</v>
      </c>
      <c r="F448" s="5" t="n">
        <v>0.21</v>
      </c>
      <c r="G448" s="5" t="n">
        <v>11.055</v>
      </c>
      <c r="H448" s="5" t="n">
        <v>2.518</v>
      </c>
      <c r="I448" s="5" t="n">
        <v>10.692</v>
      </c>
      <c r="J448" s="5" t="n">
        <v>21.746</v>
      </c>
      <c r="K448" s="5" t="n">
        <v>0</v>
      </c>
      <c r="L448" s="5" t="n">
        <v>1</v>
      </c>
      <c r="M448" s="5" t="n">
        <v>18.447</v>
      </c>
      <c r="N448" s="5" t="n">
        <v>9.148999999999999</v>
      </c>
      <c r="O448" s="5" t="n">
        <v>10.159</v>
      </c>
      <c r="P448" s="5" t="n">
        <v>28.606</v>
      </c>
      <c r="Q448" s="5" t="n">
        <v>0</v>
      </c>
      <c r="R448" s="5" t="n">
        <v>1</v>
      </c>
      <c r="S448" s="5" t="n">
        <v>13.852</v>
      </c>
      <c r="T448" s="5" t="n">
        <v>8.686</v>
      </c>
      <c r="U448" s="5" t="n">
        <v>0.376</v>
      </c>
      <c r="V448" s="5" t="n">
        <v>17.216</v>
      </c>
      <c r="W448" s="5" t="n">
        <v>0.21</v>
      </c>
      <c r="X448" s="5" t="n">
        <v>1</v>
      </c>
      <c r="Y448" s="5" t="n">
        <v>24.508</v>
      </c>
      <c r="Z448" s="5" t="n">
        <v>2.745</v>
      </c>
      <c r="AA448" s="5" t="n">
        <v>8.243</v>
      </c>
      <c r="AB448" s="5" t="n">
        <v>32.751</v>
      </c>
      <c r="AC448" s="5" t="n">
        <v>0</v>
      </c>
      <c r="AD448" s="5" t="n">
        <v>1</v>
      </c>
      <c r="AE448" s="5" t="n">
        <v>24.607</v>
      </c>
      <c r="AF448" s="5" t="n">
        <v>4.901</v>
      </c>
      <c r="AG448" s="5" t="n">
        <v>8.144</v>
      </c>
      <c r="AH448" s="5" t="n">
        <v>32.751</v>
      </c>
      <c r="AI448" s="5" t="n">
        <v>0</v>
      </c>
      <c r="AJ448" s="5" t="n">
        <v>1</v>
      </c>
      <c r="AK448" s="5" t="n">
        <v>27.725</v>
      </c>
      <c r="AL448" s="5" t="n">
        <v>13.734</v>
      </c>
      <c r="AM448" s="5" t="n">
        <v>-11.619</v>
      </c>
      <c r="AN448" s="5" t="n">
        <v>19.487</v>
      </c>
      <c r="AO448" s="5" t="n">
        <v>0</v>
      </c>
      <c r="AP448" s="5" t="n">
        <v>0</v>
      </c>
      <c r="AQ448" s="5" t="n">
        <v>0.76</v>
      </c>
      <c r="AR448" s="5" t="n">
        <v>0.129</v>
      </c>
      <c r="AS448" s="5" t="n">
        <v>0.706</v>
      </c>
      <c r="AT448" s="5" t="n">
        <v>1.774</v>
      </c>
      <c r="AU448" s="5" t="n">
        <v>0.21</v>
      </c>
      <c r="AV448" s="5" t="n">
        <v>1</v>
      </c>
      <c r="AW448" s="5" t="n">
        <v>0.8110000000000001</v>
      </c>
      <c r="AX448" s="5" t="n">
        <v>0.129</v>
      </c>
      <c r="AY448" s="5" t="n">
        <v>0.613</v>
      </c>
      <c r="AZ448" s="5" t="n">
        <v>1.724</v>
      </c>
      <c r="BA448" s="5" t="n">
        <v>0.21</v>
      </c>
      <c r="BB448" s="5" t="n">
        <v>1</v>
      </c>
      <c r="BC448" s="5" t="n">
        <v>0.535</v>
      </c>
      <c r="BD448" s="5" t="n">
        <v>0.129</v>
      </c>
      <c r="BE448" s="5" t="n">
        <v>0.131</v>
      </c>
      <c r="BF448" s="5" t="n">
        <v>0.805</v>
      </c>
      <c r="BG448" s="5" t="n">
        <v>0.21</v>
      </c>
      <c r="BH448" s="5" t="n">
        <v>1</v>
      </c>
      <c r="BI448" s="5" t="n">
        <v>0.579</v>
      </c>
      <c r="BJ448" s="5" t="n">
        <v>0.129</v>
      </c>
      <c r="BK448" s="5" t="n">
        <v>0.582</v>
      </c>
      <c r="BL448" s="5" t="n">
        <v>1.406</v>
      </c>
      <c r="BM448" s="5" t="n">
        <v>0.21</v>
      </c>
      <c r="BN448" s="5" t="n">
        <v>1</v>
      </c>
      <c r="BO448" s="5" t="n">
        <v>0</v>
      </c>
      <c r="BP448" s="5" t="n">
        <v>-0.004</v>
      </c>
      <c r="BQ448" s="5" t="n">
        <v>0.169</v>
      </c>
      <c r="BR448" s="5" t="n">
        <v>0</v>
      </c>
      <c r="BS448" s="5" t="n">
        <v>1</v>
      </c>
      <c r="BT448" s="5" t="n">
        <v>0</v>
      </c>
      <c r="BU448" s="5" t="n">
        <v>-0.011</v>
      </c>
      <c r="BV448" s="5" t="n">
        <v>0.247</v>
      </c>
      <c r="BW448" s="5" t="n">
        <v>0.21</v>
      </c>
      <c r="BX448" s="5" t="n">
        <v>1</v>
      </c>
      <c r="BY448" s="5" t="n">
        <v>13.254</v>
      </c>
      <c r="BZ448" s="5" t="n">
        <v>0</v>
      </c>
      <c r="CA448" s="5" t="n">
        <v>13.254</v>
      </c>
      <c r="CB448" s="5" t="n">
        <v>0</v>
      </c>
      <c r="CC448" s="5" t="n">
        <v>83.248</v>
      </c>
      <c r="CD448" s="5" t="n">
        <v>7.95</v>
      </c>
      <c r="CE448" s="5" t="n">
        <v>117.476</v>
      </c>
      <c r="CF448" s="5" t="n">
        <v>242.876</v>
      </c>
      <c r="CG448" s="5" t="n">
        <v>0.21</v>
      </c>
      <c r="CH448" s="5" t="n">
        <v>1</v>
      </c>
      <c r="CI448" s="5" t="n">
        <v>0</v>
      </c>
      <c r="CJ448" s="5" t="n">
        <v>0</v>
      </c>
      <c r="CK448" s="5" t="n">
        <v>0</v>
      </c>
      <c r="CL448" s="5" t="n">
        <v>0</v>
      </c>
      <c r="CM448" s="5" t="n">
        <v>0</v>
      </c>
      <c r="CN448" s="5" t="n">
        <v>0</v>
      </c>
      <c r="CO448" s="5" t="n">
        <v>0</v>
      </c>
      <c r="CP448" s="5" t="n">
        <v>0</v>
      </c>
      <c r="CQ448" s="5" t="n">
        <v>1.348</v>
      </c>
      <c r="CR448" s="5" t="n">
        <v>0</v>
      </c>
      <c r="CS448" s="5" t="n">
        <v>5.37</v>
      </c>
      <c r="CT448" s="5" t="n">
        <v>5.839</v>
      </c>
      <c r="CU448" s="5" t="n">
        <v>14.444</v>
      </c>
    </row>
    <row r="449">
      <c r="A449" s="5" t="inlineStr">
        <is>
          <t>LVA2024</t>
        </is>
      </c>
      <c r="B449" s="5" t="inlineStr">
        <is>
          <t>LVA</t>
        </is>
      </c>
      <c r="C449" s="5" t="inlineStr">
        <is>
          <t>LVA</t>
        </is>
      </c>
      <c r="D449" s="5" t="inlineStr">
        <is>
          <t>Latvia</t>
        </is>
      </c>
      <c r="E449" s="5" t="n">
        <v>2024</v>
      </c>
      <c r="F449" s="5" t="n">
        <v>0.21</v>
      </c>
      <c r="G449" s="5" t="n">
        <v>10.254</v>
      </c>
      <c r="H449" s="5" t="n">
        <v>2.598</v>
      </c>
      <c r="I449" s="5" t="n">
        <v>7.508</v>
      </c>
      <c r="J449" s="5" t="n">
        <v>17.762</v>
      </c>
      <c r="K449" s="5" t="n">
        <v>0</v>
      </c>
      <c r="L449" s="5" t="n">
        <v>1</v>
      </c>
      <c r="M449" s="5" t="n">
        <v>17.287</v>
      </c>
      <c r="N449" s="5" t="n">
        <v>9.417</v>
      </c>
      <c r="O449" s="5" t="n">
        <v>6.896</v>
      </c>
      <c r="P449" s="5" t="n">
        <v>24.183</v>
      </c>
      <c r="Q449" s="5" t="n">
        <v>0</v>
      </c>
      <c r="R449" s="5" t="n">
        <v>1</v>
      </c>
      <c r="S449" s="5" t="n">
        <v>12.997</v>
      </c>
      <c r="T449" s="5" t="n">
        <v>8.605</v>
      </c>
      <c r="U449" s="5" t="n">
        <v>0.388</v>
      </c>
      <c r="V449" s="5" t="n">
        <v>16.196</v>
      </c>
      <c r="W449" s="5" t="n">
        <v>0.21</v>
      </c>
      <c r="X449" s="5" t="n">
        <v>1</v>
      </c>
      <c r="Y449" s="5" t="n">
        <v>25.808</v>
      </c>
      <c r="Z449" s="5" t="n">
        <v>3.259</v>
      </c>
      <c r="AA449" s="5" t="n">
        <v>4.103</v>
      </c>
      <c r="AB449" s="5" t="n">
        <v>29.911</v>
      </c>
      <c r="AC449" s="5" t="n">
        <v>0</v>
      </c>
      <c r="AD449" s="5" t="n">
        <v>1</v>
      </c>
      <c r="AE449" s="5" t="n">
        <v>25.808</v>
      </c>
      <c r="AF449" s="5" t="n">
        <v>5.653</v>
      </c>
      <c r="AG449" s="5" t="n">
        <v>4.103</v>
      </c>
      <c r="AH449" s="5" t="n">
        <v>29.911</v>
      </c>
      <c r="AI449" s="5" t="n">
        <v>0</v>
      </c>
      <c r="AJ449" s="5" t="n">
        <v>1</v>
      </c>
      <c r="AK449" s="5" t="n">
        <v>25.808</v>
      </c>
      <c r="AL449" s="5" t="n">
        <v>13.127</v>
      </c>
      <c r="AM449" s="5" t="n">
        <v>-9.726000000000001</v>
      </c>
      <c r="AN449" s="5" t="n">
        <v>19.46</v>
      </c>
      <c r="AO449" s="5" t="n">
        <v>0</v>
      </c>
      <c r="AP449" s="5" t="n">
        <v>0</v>
      </c>
      <c r="AQ449" s="5" t="n">
        <v>0.724</v>
      </c>
      <c r="AR449" s="5" t="n">
        <v>0.132</v>
      </c>
      <c r="AS449" s="5" t="n">
        <v>0.726</v>
      </c>
      <c r="AT449" s="5" t="n">
        <v>1.755</v>
      </c>
      <c r="AU449" s="5" t="n">
        <v>0.21</v>
      </c>
      <c r="AV449" s="5" t="n">
        <v>1</v>
      </c>
      <c r="AW449" s="5" t="n">
        <v>0.75</v>
      </c>
      <c r="AX449" s="5" t="n">
        <v>0.132</v>
      </c>
      <c r="AY449" s="5" t="n">
        <v>0.665</v>
      </c>
      <c r="AZ449" s="5" t="n">
        <v>1.712</v>
      </c>
      <c r="BA449" s="5" t="n">
        <v>0.21</v>
      </c>
      <c r="BB449" s="5" t="n">
        <v>1</v>
      </c>
      <c r="BC449" s="5" t="n">
        <v>0.513</v>
      </c>
      <c r="BD449" s="5" t="n">
        <v>0.132</v>
      </c>
      <c r="BE449" s="5" t="n">
        <v>0.152</v>
      </c>
      <c r="BF449" s="5" t="n">
        <v>0.805</v>
      </c>
      <c r="BG449" s="5" t="n">
        <v>0.21</v>
      </c>
      <c r="BH449" s="5" t="n">
        <v>1</v>
      </c>
      <c r="BI449" s="5" t="n">
        <v>0.591</v>
      </c>
      <c r="BJ449" s="5" t="n">
        <v>0.132</v>
      </c>
      <c r="BK449" s="5" t="n">
        <v>0.518</v>
      </c>
      <c r="BL449" s="5" t="n">
        <v>1.343</v>
      </c>
      <c r="BM449" s="5" t="n">
        <v>0.21</v>
      </c>
      <c r="BN449" s="5" t="n">
        <v>1</v>
      </c>
      <c r="BO449" s="5" t="n">
        <v>0</v>
      </c>
      <c r="BP449" s="5" t="n">
        <v>0.002</v>
      </c>
      <c r="BQ449" s="5" t="n">
        <v>0.185</v>
      </c>
      <c r="BR449" s="5" t="n">
        <v>0</v>
      </c>
      <c r="BS449" s="5" t="n">
        <v>1</v>
      </c>
      <c r="BT449" s="5" t="n">
        <v>0</v>
      </c>
      <c r="BU449" s="5" t="n">
        <v>-0.008</v>
      </c>
      <c r="BV449" s="5" t="n">
        <v>0.266</v>
      </c>
      <c r="BW449" s="5" t="n">
        <v>0.21</v>
      </c>
      <c r="BX449" s="5" t="n">
        <v>1</v>
      </c>
      <c r="BY449" s="5" t="n">
        <v>13.646</v>
      </c>
      <c r="BZ449" s="5" t="n">
        <v>0</v>
      </c>
      <c r="CA449" s="5" t="n">
        <v>13.646</v>
      </c>
      <c r="CB449" s="5" t="n">
        <v>0</v>
      </c>
      <c r="CC449" s="5" t="n">
        <v>82.58799999999999</v>
      </c>
      <c r="CD449" s="5" t="n">
        <v>7.95</v>
      </c>
      <c r="CE449" s="5" t="n">
        <v>104.908</v>
      </c>
      <c r="CF449" s="5" t="n">
        <v>226.87</v>
      </c>
      <c r="CG449" s="5" t="n">
        <v>0.21</v>
      </c>
      <c r="CH449" s="5" t="n">
        <v>1</v>
      </c>
      <c r="CI449" s="5" t="n">
        <v>0</v>
      </c>
      <c r="CJ449" s="5" t="n">
        <v>0</v>
      </c>
      <c r="CK449" s="5" t="n">
        <v>0</v>
      </c>
      <c r="CL449" s="5" t="n">
        <v>0</v>
      </c>
      <c r="CM449" s="5" t="n">
        <v>0</v>
      </c>
      <c r="CN449" s="5" t="n">
        <v>0</v>
      </c>
      <c r="CO449" s="5" t="n">
        <v>0</v>
      </c>
      <c r="CP449" s="5" t="n">
        <v>0</v>
      </c>
      <c r="CQ449" s="5" t="n">
        <v>1.387</v>
      </c>
      <c r="CR449" s="5" t="n">
        <v>0</v>
      </c>
      <c r="CS449" s="5" t="n">
        <v>5.529</v>
      </c>
      <c r="CT449" s="5" t="n">
        <v>6.097</v>
      </c>
      <c r="CU449" s="5" t="n">
        <v>10.123</v>
      </c>
    </row>
    <row r="450">
      <c r="A450" s="5" t="inlineStr">
        <is>
          <t>LBN2021</t>
        </is>
      </c>
      <c r="B450" s="5" t="inlineStr">
        <is>
          <t>LBN</t>
        </is>
      </c>
      <c r="C450" s="5" t="inlineStr">
        <is>
          <t>LBN</t>
        </is>
      </c>
      <c r="D450" s="5" t="inlineStr">
        <is>
          <t>Lebanon</t>
        </is>
      </c>
      <c r="E450" s="5" t="n">
        <v>2021</v>
      </c>
      <c r="F450" s="5" t="n">
        <v>0.11</v>
      </c>
      <c r="G450" s="5" t="n">
        <v>5.897</v>
      </c>
      <c r="H450" s="5" t="n">
        <v>1.143</v>
      </c>
      <c r="I450" s="5" t="n">
        <v>0</v>
      </c>
      <c r="J450" s="5" t="n">
        <v>5.897</v>
      </c>
      <c r="K450" s="5" t="n">
        <v>0</v>
      </c>
      <c r="L450" s="5" t="n">
        <v>1</v>
      </c>
      <c r="M450" s="5" t="n">
        <v>7.964</v>
      </c>
      <c r="N450" s="5" t="n">
        <v>3.43</v>
      </c>
      <c r="O450" s="5" t="n">
        <v>0</v>
      </c>
      <c r="P450" s="5" t="n">
        <v>7.964</v>
      </c>
      <c r="Q450" s="5" t="n">
        <v>0</v>
      </c>
      <c r="R450" s="5" t="n">
        <v>1</v>
      </c>
      <c r="S450" s="5" t="n">
        <v>11.613</v>
      </c>
      <c r="T450" s="5" t="n">
        <v>6.86</v>
      </c>
      <c r="U450" s="5" t="n">
        <v>0</v>
      </c>
      <c r="V450" s="5" t="n">
        <v>12.891</v>
      </c>
      <c r="W450" s="5" t="n">
        <v>0.11</v>
      </c>
      <c r="X450" s="5" t="n">
        <v>1</v>
      </c>
      <c r="Y450" s="5" t="n">
        <v>15.305</v>
      </c>
      <c r="Z450" s="5" t="n">
        <v>2.497</v>
      </c>
      <c r="AA450" s="5" t="n">
        <v>0</v>
      </c>
      <c r="AB450" s="5" t="n">
        <v>15.305</v>
      </c>
      <c r="AC450" s="5" t="n">
        <v>0</v>
      </c>
      <c r="AD450" s="5" t="n">
        <v>1</v>
      </c>
      <c r="AE450" s="5" t="n">
        <v>16.449</v>
      </c>
      <c r="AF450" s="5" t="n">
        <v>4.508</v>
      </c>
      <c r="AG450" s="5" t="n">
        <v>0</v>
      </c>
      <c r="AH450" s="5" t="n">
        <v>16.449</v>
      </c>
      <c r="AI450" s="5" t="n">
        <v>0</v>
      </c>
      <c r="AJ450" s="5" t="n">
        <v>1</v>
      </c>
      <c r="AK450" s="5" t="n">
        <v>23.309</v>
      </c>
      <c r="AL450" s="5" t="n">
        <v>13.555</v>
      </c>
      <c r="AM450" s="5" t="n">
        <v>0</v>
      </c>
      <c r="AN450" s="5" t="n">
        <v>25.872</v>
      </c>
      <c r="AO450" s="5" t="n">
        <v>0.11</v>
      </c>
      <c r="AP450" s="5" t="n">
        <v>1</v>
      </c>
      <c r="AQ450" s="5" t="n">
        <v>0.621</v>
      </c>
      <c r="AR450" s="5" t="n">
        <v>0.114</v>
      </c>
      <c r="AS450" s="5" t="n">
        <v>0.16</v>
      </c>
      <c r="AT450" s="5" t="n">
        <v>0.867</v>
      </c>
      <c r="AU450" s="5" t="n">
        <v>0.11</v>
      </c>
      <c r="AV450" s="5" t="n">
        <v>1</v>
      </c>
      <c r="AW450" s="5" t="n">
        <v>0.593</v>
      </c>
      <c r="AX450" s="5" t="n">
        <v>0.114</v>
      </c>
      <c r="AY450" s="5" t="n">
        <v>0.306</v>
      </c>
      <c r="AZ450" s="5" t="n">
        <v>0.998</v>
      </c>
      <c r="BA450" s="5" t="n">
        <v>0</v>
      </c>
      <c r="BB450" s="5" t="n">
        <v>1</v>
      </c>
      <c r="BC450" s="5" t="n">
        <v>0.44</v>
      </c>
      <c r="BD450" s="5" t="n">
        <v>0.114</v>
      </c>
      <c r="BE450" s="5" t="n">
        <v>-0.013</v>
      </c>
      <c r="BF450" s="5" t="n">
        <v>0.474</v>
      </c>
      <c r="BG450" s="5" t="n">
        <v>0.11</v>
      </c>
      <c r="BH450" s="5" t="n">
        <v>1</v>
      </c>
      <c r="BI450" s="5" t="n">
        <v>0.5600000000000001</v>
      </c>
      <c r="BJ450" s="5" t="n">
        <v>0.114</v>
      </c>
      <c r="BK450" s="5" t="n">
        <v>0</v>
      </c>
      <c r="BL450" s="5" t="n">
        <v>0.622</v>
      </c>
      <c r="BM450" s="5" t="n">
        <v>0.11</v>
      </c>
      <c r="BN450" s="5" t="n">
        <v>1</v>
      </c>
      <c r="BO450" s="5" t="n">
        <v>0</v>
      </c>
      <c r="BP450" s="5" t="n">
        <v>0</v>
      </c>
      <c r="BQ450" s="5" t="n">
        <v>0.076</v>
      </c>
      <c r="BR450" s="5" t="n">
        <v>0</v>
      </c>
      <c r="BS450" s="5" t="n">
        <v>0.667</v>
      </c>
      <c r="BT450" s="5" t="n">
        <v>0</v>
      </c>
      <c r="BU450" s="5" t="n">
        <v>0</v>
      </c>
      <c r="BV450" s="5" t="n">
        <v>0.036</v>
      </c>
      <c r="BW450" s="5" t="n">
        <v>0.11</v>
      </c>
      <c r="BX450" s="5" t="n">
        <v>0.667</v>
      </c>
      <c r="BY450" s="5" t="n">
        <v>11.787</v>
      </c>
      <c r="BZ450" s="5" t="n">
        <v>0</v>
      </c>
      <c r="CA450" s="5" t="n">
        <v>11.787</v>
      </c>
      <c r="CB450" s="5" t="n">
        <v>0</v>
      </c>
      <c r="CC450" s="5" t="n">
        <v>81.69499999999999</v>
      </c>
      <c r="CD450" s="5" t="n">
        <v>7.95</v>
      </c>
      <c r="CE450" s="5" t="n">
        <v>0</v>
      </c>
      <c r="CF450" s="5" t="n">
        <v>90.682</v>
      </c>
      <c r="CG450" s="5" t="n">
        <v>0.11</v>
      </c>
      <c r="CH450" s="5" t="n">
        <v>1</v>
      </c>
      <c r="CI450" s="5" t="n">
        <v>0</v>
      </c>
      <c r="CJ450" s="5" t="n">
        <v>0</v>
      </c>
      <c r="CK450" s="5" t="n">
        <v>0</v>
      </c>
      <c r="CL450" s="5" t="n">
        <v>0</v>
      </c>
      <c r="CM450" s="5" t="n">
        <v>0</v>
      </c>
      <c r="CN450" s="5" t="n">
        <v>0</v>
      </c>
      <c r="CO450" s="5" t="n">
        <v>0</v>
      </c>
      <c r="CP450" s="5" t="n">
        <v>0</v>
      </c>
      <c r="CQ450" s="5" t="n">
        <v>1.198</v>
      </c>
      <c r="CR450" s="5" t="n">
        <v>0</v>
      </c>
      <c r="CS450" s="5" t="n">
        <v>4.776</v>
      </c>
      <c r="CT450" s="5" t="n">
        <v>4.753</v>
      </c>
      <c r="CU450" s="5" t="n">
        <v>14.162</v>
      </c>
    </row>
    <row r="451">
      <c r="A451" s="5" t="inlineStr">
        <is>
          <t>LBN2022</t>
        </is>
      </c>
      <c r="B451" s="5" t="inlineStr">
        <is>
          <t>LBN</t>
        </is>
      </c>
      <c r="C451" s="5" t="inlineStr">
        <is>
          <t>LBN</t>
        </is>
      </c>
      <c r="D451" s="5" t="inlineStr">
        <is>
          <t>Lebanon</t>
        </is>
      </c>
      <c r="E451" s="5" t="n">
        <v>2022</v>
      </c>
      <c r="F451" s="5" t="n">
        <v>0.11</v>
      </c>
      <c r="G451" s="5" t="n">
        <v>11.72</v>
      </c>
      <c r="H451" s="5" t="n">
        <v>1.235</v>
      </c>
      <c r="I451" s="5" t="n">
        <v>0</v>
      </c>
      <c r="J451" s="5" t="n">
        <v>11.72</v>
      </c>
      <c r="K451" s="5" t="n">
        <v>0</v>
      </c>
      <c r="L451" s="5" t="n">
        <v>1</v>
      </c>
      <c r="M451" s="5" t="n">
        <v>9.782999999999999</v>
      </c>
      <c r="N451" s="5" t="n">
        <v>3.704</v>
      </c>
      <c r="O451" s="5" t="n">
        <v>0</v>
      </c>
      <c r="P451" s="5" t="n">
        <v>9.782999999999999</v>
      </c>
      <c r="Q451" s="5" t="n">
        <v>0</v>
      </c>
      <c r="R451" s="5" t="n">
        <v>1</v>
      </c>
      <c r="S451" s="5" t="n">
        <v>17.893</v>
      </c>
      <c r="T451" s="5" t="n">
        <v>7.408</v>
      </c>
      <c r="U451" s="5" t="n">
        <v>0.146</v>
      </c>
      <c r="V451" s="5" t="n">
        <v>19.862</v>
      </c>
      <c r="W451" s="5" t="n">
        <v>0.11</v>
      </c>
      <c r="X451" s="5" t="n">
        <v>1</v>
      </c>
      <c r="Y451" s="5" t="n">
        <v>31.56</v>
      </c>
      <c r="Z451" s="5" t="n">
        <v>5.148</v>
      </c>
      <c r="AA451" s="5" t="n">
        <v>0</v>
      </c>
      <c r="AB451" s="5" t="n">
        <v>31.56</v>
      </c>
      <c r="AC451" s="5" t="n">
        <v>0</v>
      </c>
      <c r="AD451" s="5" t="n">
        <v>1</v>
      </c>
      <c r="AE451" s="5" t="n">
        <v>32.795</v>
      </c>
      <c r="AF451" s="5" t="n">
        <v>8.988</v>
      </c>
      <c r="AG451" s="5" t="n">
        <v>0</v>
      </c>
      <c r="AH451" s="5" t="n">
        <v>32.795</v>
      </c>
      <c r="AI451" s="5" t="n">
        <v>0</v>
      </c>
      <c r="AJ451" s="5" t="n">
        <v>1</v>
      </c>
      <c r="AK451" s="5" t="n">
        <v>40.203</v>
      </c>
      <c r="AL451" s="5" t="n">
        <v>23.38</v>
      </c>
      <c r="AM451" s="5" t="n">
        <v>0.327</v>
      </c>
      <c r="AN451" s="5" t="n">
        <v>44.626</v>
      </c>
      <c r="AO451" s="5" t="n">
        <v>0.11</v>
      </c>
      <c r="AP451" s="5" t="n">
        <v>1</v>
      </c>
      <c r="AQ451" s="5" t="n">
        <v>0.847</v>
      </c>
      <c r="AR451" s="5" t="n">
        <v>0.123</v>
      </c>
      <c r="AS451" s="5" t="n">
        <v>0.164</v>
      </c>
      <c r="AT451" s="5" t="n">
        <v>1.113</v>
      </c>
      <c r="AU451" s="5" t="n">
        <v>0.11</v>
      </c>
      <c r="AV451" s="5" t="n">
        <v>1</v>
      </c>
      <c r="AW451" s="5" t="n">
        <v>0.947</v>
      </c>
      <c r="AX451" s="5" t="n">
        <v>0.123</v>
      </c>
      <c r="AY451" s="5" t="n">
        <v>0.124</v>
      </c>
      <c r="AZ451" s="5" t="n">
        <v>1.071</v>
      </c>
      <c r="BA451" s="5" t="n">
        <v>0</v>
      </c>
      <c r="BB451" s="5" t="n">
        <v>1</v>
      </c>
      <c r="BC451" s="5" t="n">
        <v>0.589</v>
      </c>
      <c r="BD451" s="5" t="n">
        <v>0.123</v>
      </c>
      <c r="BE451" s="5" t="n">
        <v>-0.02</v>
      </c>
      <c r="BF451" s="5" t="n">
        <v>0.625</v>
      </c>
      <c r="BG451" s="5" t="n">
        <v>0.11</v>
      </c>
      <c r="BH451" s="5" t="n">
        <v>1</v>
      </c>
      <c r="BI451" s="5" t="n">
        <v>0.6889999999999999</v>
      </c>
      <c r="BJ451" s="5" t="n">
        <v>0.123</v>
      </c>
      <c r="BK451" s="5" t="n">
        <v>0.006</v>
      </c>
      <c r="BL451" s="5" t="n">
        <v>0.765</v>
      </c>
      <c r="BM451" s="5" t="n">
        <v>0.11</v>
      </c>
      <c r="BN451" s="5" t="n">
        <v>1</v>
      </c>
      <c r="BO451" s="5" t="n">
        <v>0</v>
      </c>
      <c r="BP451" s="5" t="n">
        <v>0</v>
      </c>
      <c r="BQ451" s="5" t="n">
        <v>0.015</v>
      </c>
      <c r="BR451" s="5" t="n">
        <v>0</v>
      </c>
      <c r="BS451" s="5" t="n">
        <v>0.667</v>
      </c>
      <c r="BT451" s="5" t="n">
        <v>0</v>
      </c>
      <c r="BU451" s="5" t="n">
        <v>0</v>
      </c>
      <c r="BV451" s="5" t="n">
        <v>0.007</v>
      </c>
      <c r="BW451" s="5" t="n">
        <v>0.11</v>
      </c>
      <c r="BX451" s="5" t="n">
        <v>0.667</v>
      </c>
      <c r="BY451" s="5" t="n">
        <v>12.729</v>
      </c>
      <c r="BZ451" s="5" t="n">
        <v>0</v>
      </c>
      <c r="CA451" s="5" t="n">
        <v>12.729</v>
      </c>
      <c r="CB451" s="5" t="n">
        <v>0</v>
      </c>
      <c r="CC451" s="5" t="n">
        <v>102.477</v>
      </c>
      <c r="CD451" s="5" t="n">
        <v>7.95</v>
      </c>
      <c r="CE451" s="5" t="n">
        <v>0.834</v>
      </c>
      <c r="CF451" s="5" t="n">
        <v>113.749</v>
      </c>
      <c r="CG451" s="5" t="n">
        <v>0.11</v>
      </c>
      <c r="CH451" s="5" t="n">
        <v>1</v>
      </c>
      <c r="CI451" s="5" t="n">
        <v>0</v>
      </c>
      <c r="CJ451" s="5" t="n">
        <v>0</v>
      </c>
      <c r="CK451" s="5" t="n">
        <v>0</v>
      </c>
      <c r="CL451" s="5" t="n">
        <v>0</v>
      </c>
      <c r="CM451" s="5" t="n">
        <v>0</v>
      </c>
      <c r="CN451" s="5" t="n">
        <v>0</v>
      </c>
      <c r="CO451" s="5" t="n">
        <v>0</v>
      </c>
      <c r="CP451" s="5" t="n">
        <v>0</v>
      </c>
      <c r="CQ451" s="5" t="n">
        <v>1.294</v>
      </c>
      <c r="CR451" s="5" t="n">
        <v>0</v>
      </c>
      <c r="CS451" s="5" t="n">
        <v>5.158</v>
      </c>
      <c r="CT451" s="5" t="n">
        <v>10.485</v>
      </c>
      <c r="CU451" s="5" t="n">
        <v>30.326</v>
      </c>
    </row>
    <row r="452">
      <c r="A452" s="5" t="inlineStr">
        <is>
          <t>LBN2023</t>
        </is>
      </c>
      <c r="B452" s="5" t="inlineStr">
        <is>
          <t>LBN</t>
        </is>
      </c>
      <c r="C452" s="5" t="inlineStr">
        <is>
          <t>LBN</t>
        </is>
      </c>
      <c r="D452" s="5" t="inlineStr">
        <is>
          <t>Lebanon</t>
        </is>
      </c>
      <c r="E452" s="5" t="n">
        <v>2023</v>
      </c>
      <c r="F452" s="5" t="n">
        <v>0.11</v>
      </c>
      <c r="G452" s="5" t="n">
        <v>6.147</v>
      </c>
      <c r="H452" s="5" t="n">
        <v>1.4</v>
      </c>
      <c r="I452" s="5" t="n">
        <v>0</v>
      </c>
      <c r="J452" s="5" t="n">
        <v>6.147</v>
      </c>
      <c r="K452" s="5" t="n">
        <v>0</v>
      </c>
      <c r="L452" s="5" t="n">
        <v>1</v>
      </c>
      <c r="M452" s="5" t="n">
        <v>7.886</v>
      </c>
      <c r="N452" s="5" t="n">
        <v>3.911</v>
      </c>
      <c r="O452" s="5" t="n">
        <v>0</v>
      </c>
      <c r="P452" s="5" t="n">
        <v>7.886</v>
      </c>
      <c r="Q452" s="5" t="n">
        <v>0</v>
      </c>
      <c r="R452" s="5" t="n">
        <v>1</v>
      </c>
      <c r="S452" s="5" t="n">
        <v>12.575</v>
      </c>
      <c r="T452" s="5" t="n">
        <v>7.886</v>
      </c>
      <c r="U452" s="5" t="n">
        <v>0.153</v>
      </c>
      <c r="V452" s="5" t="n">
        <v>13.958</v>
      </c>
      <c r="W452" s="5" t="n">
        <v>0.11</v>
      </c>
      <c r="X452" s="5" t="n">
        <v>1</v>
      </c>
      <c r="Y452" s="5" t="n">
        <v>11.908</v>
      </c>
      <c r="Z452" s="5" t="n">
        <v>1.334</v>
      </c>
      <c r="AA452" s="5" t="n">
        <v>0</v>
      </c>
      <c r="AB452" s="5" t="n">
        <v>11.908</v>
      </c>
      <c r="AC452" s="5" t="n">
        <v>0</v>
      </c>
      <c r="AD452" s="5" t="n">
        <v>1</v>
      </c>
      <c r="AE452" s="5" t="n">
        <v>13.194</v>
      </c>
      <c r="AF452" s="5" t="n">
        <v>2.628</v>
      </c>
      <c r="AG452" s="5" t="n">
        <v>0</v>
      </c>
      <c r="AH452" s="5" t="n">
        <v>13.194</v>
      </c>
      <c r="AI452" s="5" t="n">
        <v>0</v>
      </c>
      <c r="AJ452" s="5" t="n">
        <v>1</v>
      </c>
      <c r="AK452" s="5" t="n">
        <v>20.908</v>
      </c>
      <c r="AL452" s="5" t="n">
        <v>10.357</v>
      </c>
      <c r="AM452" s="5" t="n">
        <v>0.255</v>
      </c>
      <c r="AN452" s="5" t="n">
        <v>23.207</v>
      </c>
      <c r="AO452" s="5" t="n">
        <v>0.11</v>
      </c>
      <c r="AP452" s="5" t="n">
        <v>1</v>
      </c>
      <c r="AQ452" s="5" t="n">
        <v>0.749</v>
      </c>
      <c r="AR452" s="5" t="n">
        <v>0.126</v>
      </c>
      <c r="AS452" s="5" t="n">
        <v>0.187</v>
      </c>
      <c r="AT452" s="5" t="n">
        <v>1.026</v>
      </c>
      <c r="AU452" s="5" t="n">
        <v>0.11</v>
      </c>
      <c r="AV452" s="5" t="n">
        <v>1</v>
      </c>
      <c r="AW452" s="5" t="n">
        <v>0.783</v>
      </c>
      <c r="AX452" s="5" t="n">
        <v>0.134</v>
      </c>
      <c r="AY452" s="5" t="n">
        <v>0.13</v>
      </c>
      <c r="AZ452" s="5" t="n">
        <v>0.912</v>
      </c>
      <c r="BA452" s="5" t="n">
        <v>0</v>
      </c>
      <c r="BB452" s="5" t="n">
        <v>1</v>
      </c>
      <c r="BC452" s="5" t="n">
        <v>0.527</v>
      </c>
      <c r="BD452" s="5" t="n">
        <v>0.127</v>
      </c>
      <c r="BE452" s="5" t="n">
        <v>-0.011</v>
      </c>
      <c r="BF452" s="5" t="n">
        <v>0.5659999999999999</v>
      </c>
      <c r="BG452" s="5" t="n">
        <v>0.11</v>
      </c>
      <c r="BH452" s="5" t="n">
        <v>1</v>
      </c>
      <c r="BI452" s="5" t="n">
        <v>0.64</v>
      </c>
      <c r="BJ452" s="5" t="n">
        <v>0.139</v>
      </c>
      <c r="BK452" s="5" t="n">
        <v>0.008</v>
      </c>
      <c r="BL452" s="5" t="n">
        <v>0.71</v>
      </c>
      <c r="BM452" s="5" t="n">
        <v>0.11</v>
      </c>
      <c r="BN452" s="5" t="n">
        <v>1</v>
      </c>
      <c r="BO452" s="5" t="n">
        <v>0</v>
      </c>
      <c r="BP452" s="5" t="n">
        <v>0</v>
      </c>
      <c r="BQ452" s="5" t="n">
        <v>0.013</v>
      </c>
      <c r="BR452" s="5" t="n">
        <v>0</v>
      </c>
      <c r="BS452" s="5" t="n">
        <v>0.667</v>
      </c>
      <c r="BT452" s="5" t="n">
        <v>0</v>
      </c>
      <c r="BU452" s="5" t="n">
        <v>0</v>
      </c>
      <c r="BV452" s="5" t="n">
        <v>0.01</v>
      </c>
      <c r="BW452" s="5" t="n">
        <v>0.11</v>
      </c>
      <c r="BX452" s="5" t="n">
        <v>0.667</v>
      </c>
      <c r="BY452" s="5" t="n">
        <v>13.254</v>
      </c>
      <c r="BZ452" s="5" t="n">
        <v>0</v>
      </c>
      <c r="CA452" s="5" t="n">
        <v>13.254</v>
      </c>
      <c r="CB452" s="5" t="n">
        <v>0</v>
      </c>
      <c r="CC452" s="5" t="n">
        <v>87.07899999999999</v>
      </c>
      <c r="CD452" s="5" t="n">
        <v>7.95</v>
      </c>
      <c r="CE452" s="5" t="n">
        <v>1.061</v>
      </c>
      <c r="CF452" s="5" t="n">
        <v>96.658</v>
      </c>
      <c r="CG452" s="5" t="n">
        <v>0.11</v>
      </c>
      <c r="CH452" s="5" t="n">
        <v>1</v>
      </c>
      <c r="CI452" s="5" t="n">
        <v>1</v>
      </c>
      <c r="CJ452" s="5" t="n">
        <v>1</v>
      </c>
      <c r="CK452" s="5" t="n">
        <v>0</v>
      </c>
      <c r="CL452" s="5" t="n">
        <v>0</v>
      </c>
      <c r="CM452" s="5" t="n">
        <v>0</v>
      </c>
      <c r="CN452" s="5" t="n">
        <v>0</v>
      </c>
      <c r="CO452" s="5" t="n">
        <v>0</v>
      </c>
      <c r="CP452" s="5" t="n">
        <v>0</v>
      </c>
      <c r="CQ452" s="5" t="n">
        <v>1.348</v>
      </c>
      <c r="CR452" s="5" t="n">
        <v>0</v>
      </c>
      <c r="CS452" s="5" t="n">
        <v>5.37</v>
      </c>
      <c r="CT452" s="5" t="n">
        <v>4.861</v>
      </c>
      <c r="CU452" s="5" t="n">
        <v>10.622</v>
      </c>
    </row>
    <row r="453">
      <c r="A453" s="5" t="inlineStr">
        <is>
          <t>LBN2024</t>
        </is>
      </c>
      <c r="B453" s="5" t="inlineStr">
        <is>
          <t>LBN</t>
        </is>
      </c>
      <c r="C453" s="5" t="inlineStr">
        <is>
          <t>LBN</t>
        </is>
      </c>
      <c r="D453" s="5" t="inlineStr">
        <is>
          <t>Lebanon</t>
        </is>
      </c>
      <c r="E453" s="5" t="n">
        <v>2024</v>
      </c>
      <c r="F453" s="5" t="n">
        <v>0.11</v>
      </c>
      <c r="G453" s="5" t="n">
        <v>5.575</v>
      </c>
      <c r="H453" s="5" t="n">
        <v>1.412</v>
      </c>
      <c r="I453" s="5" t="n">
        <v>0</v>
      </c>
      <c r="J453" s="5" t="n">
        <v>5.575</v>
      </c>
      <c r="K453" s="5" t="n">
        <v>0</v>
      </c>
      <c r="L453" s="5" t="n">
        <v>1</v>
      </c>
      <c r="M453" s="5" t="n">
        <v>7.124</v>
      </c>
      <c r="N453" s="5" t="n">
        <v>3.881</v>
      </c>
      <c r="O453" s="5" t="n">
        <v>0</v>
      </c>
      <c r="P453" s="5" t="n">
        <v>7.124</v>
      </c>
      <c r="Q453" s="5" t="n">
        <v>0</v>
      </c>
      <c r="R453" s="5" t="n">
        <v>1</v>
      </c>
      <c r="S453" s="5" t="n">
        <v>12.193</v>
      </c>
      <c r="T453" s="5" t="n">
        <v>8.071999999999999</v>
      </c>
      <c r="U453" s="5" t="n">
        <v>0.183</v>
      </c>
      <c r="V453" s="5" t="n">
        <v>13.534</v>
      </c>
      <c r="W453" s="5" t="n">
        <v>0.11</v>
      </c>
      <c r="X453" s="5" t="n">
        <v>1</v>
      </c>
      <c r="Y453" s="5" t="n">
        <v>10.492</v>
      </c>
      <c r="Z453" s="5" t="n">
        <v>1.325</v>
      </c>
      <c r="AA453" s="5" t="n">
        <v>0</v>
      </c>
      <c r="AB453" s="5" t="n">
        <v>10.492</v>
      </c>
      <c r="AC453" s="5" t="n">
        <v>0</v>
      </c>
      <c r="AD453" s="5" t="n">
        <v>1</v>
      </c>
      <c r="AE453" s="5" t="n">
        <v>11.815</v>
      </c>
      <c r="AF453" s="5" t="n">
        <v>2.588</v>
      </c>
      <c r="AG453" s="5" t="n">
        <v>0</v>
      </c>
      <c r="AH453" s="5" t="n">
        <v>11.815</v>
      </c>
      <c r="AI453" s="5" t="n">
        <v>0</v>
      </c>
      <c r="AJ453" s="5" t="n">
        <v>1</v>
      </c>
      <c r="AK453" s="5" t="n">
        <v>19.757</v>
      </c>
      <c r="AL453" s="5" t="n">
        <v>10.049</v>
      </c>
      <c r="AM453" s="5" t="n">
        <v>0.296</v>
      </c>
      <c r="AN453" s="5" t="n">
        <v>21.93</v>
      </c>
      <c r="AO453" s="5" t="n">
        <v>0.11</v>
      </c>
      <c r="AP453" s="5" t="n">
        <v>1</v>
      </c>
      <c r="AQ453" s="5" t="n">
        <v>0.72</v>
      </c>
      <c r="AR453" s="5" t="n">
        <v>0.131</v>
      </c>
      <c r="AS453" s="5" t="n">
        <v>0.199</v>
      </c>
      <c r="AT453" s="5" t="n">
        <v>1.005</v>
      </c>
      <c r="AU453" s="5" t="n">
        <v>0.11</v>
      </c>
      <c r="AV453" s="5" t="n">
        <v>1</v>
      </c>
      <c r="AW453" s="5" t="n">
        <v>0.734</v>
      </c>
      <c r="AX453" s="5" t="n">
        <v>0.135</v>
      </c>
      <c r="AY453" s="5" t="n">
        <v>0.047</v>
      </c>
      <c r="AZ453" s="5" t="n">
        <v>0.867</v>
      </c>
      <c r="BA453" s="5" t="n">
        <v>0</v>
      </c>
      <c r="BB453" s="5" t="n">
        <v>1</v>
      </c>
      <c r="BC453" s="5" t="n">
        <v>0.51</v>
      </c>
      <c r="BD453" s="5" t="n">
        <v>0.131</v>
      </c>
      <c r="BE453" s="5" t="n">
        <v>-0.007</v>
      </c>
      <c r="BF453" s="5" t="n">
        <v>0.55</v>
      </c>
      <c r="BG453" s="5" t="n">
        <v>0.11</v>
      </c>
      <c r="BH453" s="5" t="n">
        <v>1</v>
      </c>
      <c r="BI453" s="5" t="n">
        <v>0.652</v>
      </c>
      <c r="BJ453" s="5" t="n">
        <v>0.143</v>
      </c>
      <c r="BK453" s="5" t="n">
        <v>0.01</v>
      </c>
      <c r="BL453" s="5" t="n">
        <v>0.724</v>
      </c>
      <c r="BM453" s="5" t="n">
        <v>0.11</v>
      </c>
      <c r="BN453" s="5" t="n">
        <v>1</v>
      </c>
      <c r="BO453" s="5" t="n">
        <v>0</v>
      </c>
      <c r="BP453" s="5" t="n">
        <v>0</v>
      </c>
      <c r="BQ453" s="5" t="n">
        <v>0.014</v>
      </c>
      <c r="BR453" s="5" t="n">
        <v>0</v>
      </c>
      <c r="BS453" s="5" t="n">
        <v>0.667</v>
      </c>
      <c r="BT453" s="5" t="n">
        <v>0</v>
      </c>
      <c r="BU453" s="5" t="n">
        <v>0</v>
      </c>
      <c r="BV453" s="5" t="n">
        <v>0.01</v>
      </c>
      <c r="BW453" s="5" t="n">
        <v>0.11</v>
      </c>
      <c r="BX453" s="5" t="n">
        <v>0.667</v>
      </c>
      <c r="BY453" s="5" t="n">
        <v>13.646</v>
      </c>
      <c r="BZ453" s="5" t="n">
        <v>0</v>
      </c>
      <c r="CA453" s="5" t="n">
        <v>13.646</v>
      </c>
      <c r="CB453" s="5" t="n">
        <v>0</v>
      </c>
      <c r="CC453" s="5" t="n">
        <v>86.38500000000001</v>
      </c>
      <c r="CD453" s="5" t="n">
        <v>7.95</v>
      </c>
      <c r="CE453" s="5" t="n">
        <v>1.294</v>
      </c>
      <c r="CF453" s="5" t="n">
        <v>95.88800000000001</v>
      </c>
      <c r="CG453" s="5" t="n">
        <v>0.11</v>
      </c>
      <c r="CH453" s="5" t="n">
        <v>1</v>
      </c>
      <c r="CI453" s="5" t="n">
        <v>1</v>
      </c>
      <c r="CJ453" s="5" t="n">
        <v>1</v>
      </c>
      <c r="CK453" s="5" t="n">
        <v>0</v>
      </c>
      <c r="CL453" s="5" t="n">
        <v>0</v>
      </c>
      <c r="CM453" s="5" t="n">
        <v>0</v>
      </c>
      <c r="CN453" s="5" t="n">
        <v>0</v>
      </c>
      <c r="CO453" s="5" t="n">
        <v>0</v>
      </c>
      <c r="CP453" s="5" t="n">
        <v>0</v>
      </c>
      <c r="CQ453" s="5" t="n">
        <v>1.387</v>
      </c>
      <c r="CR453" s="5" t="n">
        <v>0</v>
      </c>
      <c r="CS453" s="5" t="n">
        <v>5.529</v>
      </c>
      <c r="CT453" s="5" t="n">
        <v>4.251</v>
      </c>
      <c r="CU453" s="5" t="n">
        <v>9.167999999999999</v>
      </c>
    </row>
    <row r="454">
      <c r="A454" s="5" t="inlineStr">
        <is>
          <t>LSO2021</t>
        </is>
      </c>
      <c r="B454" s="5" t="inlineStr">
        <is>
          <t>LSO</t>
        </is>
      </c>
      <c r="C454" s="5" t="inlineStr">
        <is>
          <t>LSO</t>
        </is>
      </c>
      <c r="D454" s="5" t="inlineStr">
        <is>
          <t>Lesotho</t>
        </is>
      </c>
      <c r="E454" s="5" t="n">
        <v>2021</v>
      </c>
      <c r="F454" s="5" t="n">
        <v>0.15</v>
      </c>
      <c r="G454" s="5" t="n">
        <v>5.897</v>
      </c>
      <c r="H454" s="5" t="n">
        <v>1.143</v>
      </c>
      <c r="I454" s="5" t="n">
        <v>0</v>
      </c>
      <c r="J454" s="5" t="n">
        <v>5.897</v>
      </c>
      <c r="K454" s="5" t="n">
        <v>0</v>
      </c>
      <c r="L454" s="5" t="n">
        <v>1</v>
      </c>
      <c r="M454" s="5" t="n">
        <v>7.964</v>
      </c>
      <c r="N454" s="5" t="n">
        <v>3.43</v>
      </c>
      <c r="O454" s="5" t="n">
        <v>0</v>
      </c>
      <c r="P454" s="5" t="n">
        <v>7.964</v>
      </c>
      <c r="Q454" s="5" t="n">
        <v>0</v>
      </c>
      <c r="R454" s="5" t="n">
        <v>1</v>
      </c>
      <c r="S454" s="5" t="n">
        <v>11.613</v>
      </c>
      <c r="T454" s="5" t="n">
        <v>6.86</v>
      </c>
      <c r="U454" s="5" t="n">
        <v>0</v>
      </c>
      <c r="V454" s="5" t="n">
        <v>13.355</v>
      </c>
      <c r="W454" s="5" t="n">
        <v>0.15</v>
      </c>
      <c r="X454" s="5" t="n">
        <v>1</v>
      </c>
      <c r="Y454" s="5" t="n">
        <v>16.305</v>
      </c>
      <c r="Z454" s="5" t="n">
        <v>2.204</v>
      </c>
      <c r="AA454" s="5" t="n">
        <v>0</v>
      </c>
      <c r="AB454" s="5" t="n">
        <v>16.305</v>
      </c>
      <c r="AC454" s="5" t="n">
        <v>0</v>
      </c>
      <c r="AD454" s="5" t="n">
        <v>1</v>
      </c>
      <c r="AE454" s="5" t="n">
        <v>17.448</v>
      </c>
      <c r="AF454" s="5" t="n">
        <v>4.08</v>
      </c>
      <c r="AG454" s="5" t="n">
        <v>0</v>
      </c>
      <c r="AH454" s="5" t="n">
        <v>17.448</v>
      </c>
      <c r="AI454" s="5" t="n">
        <v>0</v>
      </c>
      <c r="AJ454" s="5" t="n">
        <v>1</v>
      </c>
      <c r="AK454" s="5" t="n">
        <v>24.308</v>
      </c>
      <c r="AL454" s="5" t="n">
        <v>12.946</v>
      </c>
      <c r="AM454" s="5" t="n">
        <v>0</v>
      </c>
      <c r="AN454" s="5" t="n">
        <v>27.955</v>
      </c>
      <c r="AO454" s="5" t="n">
        <v>0.15</v>
      </c>
      <c r="AP454" s="5" t="n">
        <v>1</v>
      </c>
      <c r="AQ454" s="5" t="n">
        <v>0.619</v>
      </c>
      <c r="AR454" s="5" t="n">
        <v>0.114</v>
      </c>
      <c r="AS454" s="5" t="n">
        <v>0.192</v>
      </c>
      <c r="AT454" s="5" t="n">
        <v>0.9330000000000001</v>
      </c>
      <c r="AU454" s="5" t="n">
        <v>0.15</v>
      </c>
      <c r="AV454" s="5" t="n">
        <v>1</v>
      </c>
      <c r="AW454" s="5" t="n">
        <v>0.599</v>
      </c>
      <c r="AX454" s="5" t="n">
        <v>0.114</v>
      </c>
      <c r="AY454" s="5" t="n">
        <v>0.209</v>
      </c>
      <c r="AZ454" s="5" t="n">
        <v>0.929</v>
      </c>
      <c r="BA454" s="5" t="n">
        <v>0.15</v>
      </c>
      <c r="BB454" s="5" t="n">
        <v>1</v>
      </c>
      <c r="BC454" s="5" t="n">
        <v>0.439</v>
      </c>
      <c r="BD454" s="5" t="n">
        <v>0.114</v>
      </c>
      <c r="BE454" s="5" t="n">
        <v>0</v>
      </c>
      <c r="BF454" s="5" t="n">
        <v>0.505</v>
      </c>
      <c r="BG454" s="5" t="n">
        <v>0.15</v>
      </c>
      <c r="BH454" s="5" t="n">
        <v>1</v>
      </c>
      <c r="BI454" s="5" t="n">
        <v>0.505</v>
      </c>
      <c r="BJ454" s="5" t="n">
        <v>0.114</v>
      </c>
      <c r="BK454" s="5" t="n">
        <v>0.056</v>
      </c>
      <c r="BL454" s="5" t="n">
        <v>0.645</v>
      </c>
      <c r="BM454" s="5" t="n">
        <v>0.15</v>
      </c>
      <c r="BN454" s="5" t="n">
        <v>1</v>
      </c>
      <c r="BO454" s="5" t="n">
        <v>0</v>
      </c>
      <c r="BP454" s="5" t="n">
        <v>0</v>
      </c>
      <c r="BQ454" s="5" t="n">
        <v>0.019</v>
      </c>
      <c r="BR454" s="5" t="n">
        <v>0</v>
      </c>
      <c r="BS454" s="5" t="n">
        <v>1</v>
      </c>
      <c r="BT454" s="5" t="n">
        <v>0</v>
      </c>
      <c r="BU454" s="5" t="n">
        <v>0</v>
      </c>
      <c r="BV454" s="5" t="n">
        <v>0.1</v>
      </c>
      <c r="BW454" s="5" t="n">
        <v>0.15</v>
      </c>
      <c r="BX454" s="5" t="n">
        <v>0.833</v>
      </c>
      <c r="BY454" s="5" t="n">
        <v>11.787</v>
      </c>
      <c r="BZ454" s="5" t="n">
        <v>0</v>
      </c>
      <c r="CA454" s="5" t="n">
        <v>11.787</v>
      </c>
      <c r="CB454" s="5" t="n">
        <v>0</v>
      </c>
      <c r="CC454" s="5" t="n">
        <v>78.125</v>
      </c>
      <c r="CD454" s="5" t="n">
        <v>7.95</v>
      </c>
      <c r="CE454" s="5" t="n">
        <v>9.135</v>
      </c>
      <c r="CF454" s="5" t="n">
        <v>100.349</v>
      </c>
      <c r="CG454" s="5" t="n">
        <v>0.15</v>
      </c>
      <c r="CH454" s="5" t="n">
        <v>1</v>
      </c>
      <c r="CI454" s="5" t="n">
        <v>0</v>
      </c>
      <c r="CJ454" s="5" t="n">
        <v>0</v>
      </c>
      <c r="CK454" s="5" t="n">
        <v>0</v>
      </c>
      <c r="CL454" s="5" t="n">
        <v>0</v>
      </c>
      <c r="CM454" s="5" t="n">
        <v>0</v>
      </c>
      <c r="CN454" s="5" t="n">
        <v>0</v>
      </c>
      <c r="CO454" s="5" t="n">
        <v>0</v>
      </c>
      <c r="CP454" s="5" t="n">
        <v>0</v>
      </c>
      <c r="CQ454" s="5" t="n">
        <v>1.198</v>
      </c>
      <c r="CR454" s="5" t="n">
        <v>0</v>
      </c>
      <c r="CS454" s="5" t="n">
        <v>4.776</v>
      </c>
      <c r="CT454" s="5" t="n">
        <v>4.753</v>
      </c>
      <c r="CU454" s="5" t="n">
        <v>15.162</v>
      </c>
    </row>
    <row r="455">
      <c r="A455" s="5" t="inlineStr">
        <is>
          <t>LSO2022</t>
        </is>
      </c>
      <c r="B455" s="5" t="inlineStr">
        <is>
          <t>LSO</t>
        </is>
      </c>
      <c r="C455" s="5" t="inlineStr">
        <is>
          <t>LSO</t>
        </is>
      </c>
      <c r="D455" s="5" t="inlineStr">
        <is>
          <t>Lesotho</t>
        </is>
      </c>
      <c r="E455" s="5" t="n">
        <v>2022</v>
      </c>
      <c r="F455" s="5" t="n">
        <v>0.15</v>
      </c>
      <c r="G455" s="5" t="n">
        <v>11.72</v>
      </c>
      <c r="H455" s="5" t="n">
        <v>1.235</v>
      </c>
      <c r="I455" s="5" t="n">
        <v>0</v>
      </c>
      <c r="J455" s="5" t="n">
        <v>11.72</v>
      </c>
      <c r="K455" s="5" t="n">
        <v>0</v>
      </c>
      <c r="L455" s="5" t="n">
        <v>1</v>
      </c>
      <c r="M455" s="5" t="n">
        <v>9.782999999999999</v>
      </c>
      <c r="N455" s="5" t="n">
        <v>3.704</v>
      </c>
      <c r="O455" s="5" t="n">
        <v>0</v>
      </c>
      <c r="P455" s="5" t="n">
        <v>9.782999999999999</v>
      </c>
      <c r="Q455" s="5" t="n">
        <v>0</v>
      </c>
      <c r="R455" s="5" t="n">
        <v>1</v>
      </c>
      <c r="S455" s="5" t="n">
        <v>17.893</v>
      </c>
      <c r="T455" s="5" t="n">
        <v>7.408</v>
      </c>
      <c r="U455" s="5" t="n">
        <v>0.199</v>
      </c>
      <c r="V455" s="5" t="n">
        <v>20.577</v>
      </c>
      <c r="W455" s="5" t="n">
        <v>0.15</v>
      </c>
      <c r="X455" s="5" t="n">
        <v>1</v>
      </c>
      <c r="Y455" s="5" t="n">
        <v>32.52</v>
      </c>
      <c r="Z455" s="5" t="n">
        <v>4.395</v>
      </c>
      <c r="AA455" s="5" t="n">
        <v>0</v>
      </c>
      <c r="AB455" s="5" t="n">
        <v>32.52</v>
      </c>
      <c r="AC455" s="5" t="n">
        <v>0</v>
      </c>
      <c r="AD455" s="5" t="n">
        <v>1</v>
      </c>
      <c r="AE455" s="5" t="n">
        <v>33.755</v>
      </c>
      <c r="AF455" s="5" t="n">
        <v>7.893</v>
      </c>
      <c r="AG455" s="5" t="n">
        <v>0</v>
      </c>
      <c r="AH455" s="5" t="n">
        <v>33.755</v>
      </c>
      <c r="AI455" s="5" t="n">
        <v>0</v>
      </c>
      <c r="AJ455" s="5" t="n">
        <v>1</v>
      </c>
      <c r="AK455" s="5" t="n">
        <v>41.163</v>
      </c>
      <c r="AL455" s="5" t="n">
        <v>21.923</v>
      </c>
      <c r="AM455" s="5" t="n">
        <v>0.457</v>
      </c>
      <c r="AN455" s="5" t="n">
        <v>47.338</v>
      </c>
      <c r="AO455" s="5" t="n">
        <v>0.15</v>
      </c>
      <c r="AP455" s="5" t="n">
        <v>1</v>
      </c>
      <c r="AQ455" s="5" t="n">
        <v>0.861</v>
      </c>
      <c r="AR455" s="5" t="n">
        <v>0.123</v>
      </c>
      <c r="AS455" s="5" t="n">
        <v>0.247</v>
      </c>
      <c r="AT455" s="5" t="n">
        <v>1.275</v>
      </c>
      <c r="AU455" s="5" t="n">
        <v>0.15</v>
      </c>
      <c r="AV455" s="5" t="n">
        <v>1</v>
      </c>
      <c r="AW455" s="5" t="n">
        <v>0.986</v>
      </c>
      <c r="AX455" s="5" t="n">
        <v>0.123</v>
      </c>
      <c r="AY455" s="5" t="n">
        <v>0.201</v>
      </c>
      <c r="AZ455" s="5" t="n">
        <v>1.366</v>
      </c>
      <c r="BA455" s="5" t="n">
        <v>0.15</v>
      </c>
      <c r="BB455" s="5" t="n">
        <v>1</v>
      </c>
      <c r="BC455" s="5" t="n">
        <v>0.598</v>
      </c>
      <c r="BD455" s="5" t="n">
        <v>0.123</v>
      </c>
      <c r="BE455" s="5" t="n">
        <v>0.007</v>
      </c>
      <c r="BF455" s="5" t="n">
        <v>0.6879999999999999</v>
      </c>
      <c r="BG455" s="5" t="n">
        <v>0.15</v>
      </c>
      <c r="BH455" s="5" t="n">
        <v>1</v>
      </c>
      <c r="BI455" s="5" t="n">
        <v>0.612</v>
      </c>
      <c r="BJ455" s="5" t="n">
        <v>0.123</v>
      </c>
      <c r="BK455" s="5" t="n">
        <v>0.271</v>
      </c>
      <c r="BL455" s="5" t="n">
        <v>1.016</v>
      </c>
      <c r="BM455" s="5" t="n">
        <v>0.15</v>
      </c>
      <c r="BN455" s="5" t="n">
        <v>1</v>
      </c>
      <c r="BO455" s="5" t="n">
        <v>0</v>
      </c>
      <c r="BP455" s="5" t="n">
        <v>0</v>
      </c>
      <c r="BQ455" s="5" t="n">
        <v>0.016</v>
      </c>
      <c r="BR455" s="5" t="n">
        <v>0</v>
      </c>
      <c r="BS455" s="5" t="n">
        <v>1</v>
      </c>
      <c r="BT455" s="5" t="n">
        <v>0</v>
      </c>
      <c r="BU455" s="5" t="n">
        <v>0</v>
      </c>
      <c r="BV455" s="5" t="n">
        <v>0.08799999999999999</v>
      </c>
      <c r="BW455" s="5" t="n">
        <v>0.15</v>
      </c>
      <c r="BX455" s="5" t="n">
        <v>0.833</v>
      </c>
      <c r="BY455" s="5" t="n">
        <v>12.729</v>
      </c>
      <c r="BZ455" s="5" t="n">
        <v>0</v>
      </c>
      <c r="CA455" s="5" t="n">
        <v>12.729</v>
      </c>
      <c r="CB455" s="5" t="n">
        <v>0</v>
      </c>
      <c r="CC455" s="5" t="n">
        <v>97.90000000000001</v>
      </c>
      <c r="CD455" s="5" t="n">
        <v>7.95</v>
      </c>
      <c r="CE455" s="5" t="n">
        <v>40.15</v>
      </c>
      <c r="CF455" s="5" t="n">
        <v>158.758</v>
      </c>
      <c r="CG455" s="5" t="n">
        <v>0.15</v>
      </c>
      <c r="CH455" s="5" t="n">
        <v>1</v>
      </c>
      <c r="CI455" s="5" t="n">
        <v>0</v>
      </c>
      <c r="CJ455" s="5" t="n">
        <v>0</v>
      </c>
      <c r="CK455" s="5" t="n">
        <v>0</v>
      </c>
      <c r="CL455" s="5" t="n">
        <v>0</v>
      </c>
      <c r="CM455" s="5" t="n">
        <v>0</v>
      </c>
      <c r="CN455" s="5" t="n">
        <v>0</v>
      </c>
      <c r="CO455" s="5" t="n">
        <v>0</v>
      </c>
      <c r="CP455" s="5" t="n">
        <v>0</v>
      </c>
      <c r="CQ455" s="5" t="n">
        <v>1.294</v>
      </c>
      <c r="CR455" s="5" t="n">
        <v>0</v>
      </c>
      <c r="CS455" s="5" t="n">
        <v>5.158</v>
      </c>
      <c r="CT455" s="5" t="n">
        <v>10.485</v>
      </c>
      <c r="CU455" s="5" t="n">
        <v>31.326</v>
      </c>
    </row>
    <row r="456">
      <c r="A456" s="5" t="inlineStr">
        <is>
          <t>LSO2023</t>
        </is>
      </c>
      <c r="B456" s="5" t="inlineStr">
        <is>
          <t>LSO</t>
        </is>
      </c>
      <c r="C456" s="5" t="inlineStr">
        <is>
          <t>LSO</t>
        </is>
      </c>
      <c r="D456" s="5" t="inlineStr">
        <is>
          <t>Lesotho</t>
        </is>
      </c>
      <c r="E456" s="5" t="n">
        <v>2023</v>
      </c>
      <c r="F456" s="5" t="n">
        <v>0.15</v>
      </c>
      <c r="G456" s="5" t="n">
        <v>6.147</v>
      </c>
      <c r="H456" s="5" t="n">
        <v>1.286</v>
      </c>
      <c r="I456" s="5" t="n">
        <v>0</v>
      </c>
      <c r="J456" s="5" t="n">
        <v>6.147</v>
      </c>
      <c r="K456" s="5" t="n">
        <v>0</v>
      </c>
      <c r="L456" s="5" t="n">
        <v>1</v>
      </c>
      <c r="M456" s="5" t="n">
        <v>7.886</v>
      </c>
      <c r="N456" s="5" t="n">
        <v>3.857</v>
      </c>
      <c r="O456" s="5" t="n">
        <v>0</v>
      </c>
      <c r="P456" s="5" t="n">
        <v>7.886</v>
      </c>
      <c r="Q456" s="5" t="n">
        <v>0</v>
      </c>
      <c r="R456" s="5" t="n">
        <v>1</v>
      </c>
      <c r="S456" s="5" t="n">
        <v>12.575</v>
      </c>
      <c r="T456" s="5" t="n">
        <v>7.714</v>
      </c>
      <c r="U456" s="5" t="n">
        <v>0.209</v>
      </c>
      <c r="V456" s="5" t="n">
        <v>14.461</v>
      </c>
      <c r="W456" s="5" t="n">
        <v>0.15</v>
      </c>
      <c r="X456" s="5" t="n">
        <v>1</v>
      </c>
      <c r="Y456" s="5" t="n">
        <v>12.907</v>
      </c>
      <c r="Z456" s="5" t="n">
        <v>1.744</v>
      </c>
      <c r="AA456" s="5" t="n">
        <v>0</v>
      </c>
      <c r="AB456" s="5" t="n">
        <v>12.907</v>
      </c>
      <c r="AC456" s="5" t="n">
        <v>0</v>
      </c>
      <c r="AD456" s="5" t="n">
        <v>1</v>
      </c>
      <c r="AE456" s="5" t="n">
        <v>14.193</v>
      </c>
      <c r="AF456" s="5" t="n">
        <v>3.319</v>
      </c>
      <c r="AG456" s="5" t="n">
        <v>0</v>
      </c>
      <c r="AH456" s="5" t="n">
        <v>14.193</v>
      </c>
      <c r="AI456" s="5" t="n">
        <v>0</v>
      </c>
      <c r="AJ456" s="5" t="n">
        <v>1</v>
      </c>
      <c r="AK456" s="5" t="n">
        <v>21.907</v>
      </c>
      <c r="AL456" s="5" t="n">
        <v>11.667</v>
      </c>
      <c r="AM456" s="5" t="n">
        <v>0.364</v>
      </c>
      <c r="AN456" s="5" t="n">
        <v>25.193</v>
      </c>
      <c r="AO456" s="5" t="n">
        <v>0.15</v>
      </c>
      <c r="AP456" s="5" t="n">
        <v>1</v>
      </c>
      <c r="AQ456" s="5" t="n">
        <v>0.76</v>
      </c>
      <c r="AR456" s="5" t="n">
        <v>0.129</v>
      </c>
      <c r="AS456" s="5" t="n">
        <v>0.228</v>
      </c>
      <c r="AT456" s="5" t="n">
        <v>1.136</v>
      </c>
      <c r="AU456" s="5" t="n">
        <v>0.15</v>
      </c>
      <c r="AV456" s="5" t="n">
        <v>1</v>
      </c>
      <c r="AW456" s="5" t="n">
        <v>0.8110000000000001</v>
      </c>
      <c r="AX456" s="5" t="n">
        <v>0.129</v>
      </c>
      <c r="AY456" s="5" t="n">
        <v>0.243</v>
      </c>
      <c r="AZ456" s="5" t="n">
        <v>1.213</v>
      </c>
      <c r="BA456" s="5" t="n">
        <v>0.15</v>
      </c>
      <c r="BB456" s="5" t="n">
        <v>1</v>
      </c>
      <c r="BC456" s="5" t="n">
        <v>0.535</v>
      </c>
      <c r="BD456" s="5" t="n">
        <v>0.129</v>
      </c>
      <c r="BE456" s="5" t="n">
        <v>0.008999999999999999</v>
      </c>
      <c r="BF456" s="5" t="n">
        <v>0.615</v>
      </c>
      <c r="BG456" s="5" t="n">
        <v>0.15</v>
      </c>
      <c r="BH456" s="5" t="n">
        <v>1</v>
      </c>
      <c r="BI456" s="5" t="n">
        <v>0.579</v>
      </c>
      <c r="BJ456" s="5" t="n">
        <v>0.129</v>
      </c>
      <c r="BK456" s="5" t="n">
        <v>0.219</v>
      </c>
      <c r="BL456" s="5" t="n">
        <v>0.918</v>
      </c>
      <c r="BM456" s="5" t="n">
        <v>0.15</v>
      </c>
      <c r="BN456" s="5" t="n">
        <v>1</v>
      </c>
      <c r="BO456" s="5" t="n">
        <v>0</v>
      </c>
      <c r="BP456" s="5" t="n">
        <v>0</v>
      </c>
      <c r="BQ456" s="5" t="n">
        <v>0.021</v>
      </c>
      <c r="BR456" s="5" t="n">
        <v>0</v>
      </c>
      <c r="BS456" s="5" t="n">
        <v>1</v>
      </c>
      <c r="BT456" s="5" t="n">
        <v>0</v>
      </c>
      <c r="BU456" s="5" t="n">
        <v>0</v>
      </c>
      <c r="BV456" s="5" t="n">
        <v>0.1</v>
      </c>
      <c r="BW456" s="5" t="n">
        <v>0.15</v>
      </c>
      <c r="BX456" s="5" t="n">
        <v>0.833</v>
      </c>
      <c r="BY456" s="5" t="n">
        <v>13.254</v>
      </c>
      <c r="BZ456" s="5" t="n">
        <v>0</v>
      </c>
      <c r="CA456" s="5" t="n">
        <v>13.254</v>
      </c>
      <c r="CB456" s="5" t="n">
        <v>0</v>
      </c>
      <c r="CC456" s="5" t="n">
        <v>83.248</v>
      </c>
      <c r="CD456" s="5" t="n">
        <v>7.95</v>
      </c>
      <c r="CE456" s="5" t="n">
        <v>43.547</v>
      </c>
      <c r="CF456" s="5" t="n">
        <v>145.815</v>
      </c>
      <c r="CG456" s="5" t="n">
        <v>0.15</v>
      </c>
      <c r="CH456" s="5" t="n">
        <v>1</v>
      </c>
      <c r="CI456" s="5" t="n">
        <v>0</v>
      </c>
      <c r="CJ456" s="5" t="n">
        <v>0</v>
      </c>
      <c r="CK456" s="5" t="n">
        <v>0</v>
      </c>
      <c r="CL456" s="5" t="n">
        <v>0</v>
      </c>
      <c r="CM456" s="5" t="n">
        <v>0</v>
      </c>
      <c r="CN456" s="5" t="n">
        <v>0</v>
      </c>
      <c r="CO456" s="5" t="n">
        <v>0</v>
      </c>
      <c r="CP456" s="5" t="n">
        <v>0</v>
      </c>
      <c r="CQ456" s="5" t="n">
        <v>1.348</v>
      </c>
      <c r="CR456" s="5" t="n">
        <v>0</v>
      </c>
      <c r="CS456" s="5" t="n">
        <v>5.37</v>
      </c>
      <c r="CT456" s="5" t="n">
        <v>4.861</v>
      </c>
      <c r="CU456" s="5" t="n">
        <v>11.622</v>
      </c>
    </row>
    <row r="457">
      <c r="A457" s="5" t="inlineStr">
        <is>
          <t>LSO2024</t>
        </is>
      </c>
      <c r="B457" s="5" t="inlineStr">
        <is>
          <t>LSO</t>
        </is>
      </c>
      <c r="C457" s="5" t="inlineStr">
        <is>
          <t>LSO</t>
        </is>
      </c>
      <c r="D457" s="5" t="inlineStr">
        <is>
          <t>Lesotho</t>
        </is>
      </c>
      <c r="E457" s="5" t="n">
        <v>2024</v>
      </c>
      <c r="F457" s="5" t="n">
        <v>0.15</v>
      </c>
      <c r="G457" s="5" t="n">
        <v>5.575</v>
      </c>
      <c r="H457" s="5" t="n">
        <v>1.324</v>
      </c>
      <c r="I457" s="5" t="n">
        <v>0</v>
      </c>
      <c r="J457" s="5" t="n">
        <v>5.575</v>
      </c>
      <c r="K457" s="5" t="n">
        <v>0</v>
      </c>
      <c r="L457" s="5" t="n">
        <v>1</v>
      </c>
      <c r="M457" s="5" t="n">
        <v>7.124</v>
      </c>
      <c r="N457" s="5" t="n">
        <v>3.971</v>
      </c>
      <c r="O457" s="5" t="n">
        <v>0</v>
      </c>
      <c r="P457" s="5" t="n">
        <v>7.124</v>
      </c>
      <c r="Q457" s="5" t="n">
        <v>0</v>
      </c>
      <c r="R457" s="5" t="n">
        <v>1</v>
      </c>
      <c r="S457" s="5" t="n">
        <v>12.193</v>
      </c>
      <c r="T457" s="5" t="n">
        <v>7.942</v>
      </c>
      <c r="U457" s="5" t="n">
        <v>0.249</v>
      </c>
      <c r="V457" s="5" t="n">
        <v>14.022</v>
      </c>
      <c r="W457" s="5" t="n">
        <v>0.15</v>
      </c>
      <c r="X457" s="5" t="n">
        <v>1</v>
      </c>
      <c r="Y457" s="5" t="n">
        <v>11.491</v>
      </c>
      <c r="Z457" s="5" t="n">
        <v>1.553</v>
      </c>
      <c r="AA457" s="5" t="n">
        <v>0</v>
      </c>
      <c r="AB457" s="5" t="n">
        <v>11.491</v>
      </c>
      <c r="AC457" s="5" t="n">
        <v>0</v>
      </c>
      <c r="AD457" s="5" t="n">
        <v>1</v>
      </c>
      <c r="AE457" s="5" t="n">
        <v>12.815</v>
      </c>
      <c r="AF457" s="5" t="n">
        <v>2.996</v>
      </c>
      <c r="AG457" s="5" t="n">
        <v>0</v>
      </c>
      <c r="AH457" s="5" t="n">
        <v>12.815</v>
      </c>
      <c r="AI457" s="5" t="n">
        <v>0</v>
      </c>
      <c r="AJ457" s="5" t="n">
        <v>1</v>
      </c>
      <c r="AK457" s="5" t="n">
        <v>20.756</v>
      </c>
      <c r="AL457" s="5" t="n">
        <v>11.055</v>
      </c>
      <c r="AM457" s="5" t="n">
        <v>0.424</v>
      </c>
      <c r="AN457" s="5" t="n">
        <v>23.87</v>
      </c>
      <c r="AO457" s="5" t="n">
        <v>0.15</v>
      </c>
      <c r="AP457" s="5" t="n">
        <v>1</v>
      </c>
      <c r="AQ457" s="5" t="n">
        <v>0.724</v>
      </c>
      <c r="AR457" s="5" t="n">
        <v>0.132</v>
      </c>
      <c r="AS457" s="5" t="n">
        <v>0.272</v>
      </c>
      <c r="AT457" s="5" t="n">
        <v>1.145</v>
      </c>
      <c r="AU457" s="5" t="n">
        <v>0.15</v>
      </c>
      <c r="AV457" s="5" t="n">
        <v>1</v>
      </c>
      <c r="AW457" s="5" t="n">
        <v>0.75</v>
      </c>
      <c r="AX457" s="5" t="n">
        <v>0.132</v>
      </c>
      <c r="AY457" s="5" t="n">
        <v>0.268</v>
      </c>
      <c r="AZ457" s="5" t="n">
        <v>1.17</v>
      </c>
      <c r="BA457" s="5" t="n">
        <v>0.15</v>
      </c>
      <c r="BB457" s="5" t="n">
        <v>1</v>
      </c>
      <c r="BC457" s="5" t="n">
        <v>0.513</v>
      </c>
      <c r="BD457" s="5" t="n">
        <v>0.132</v>
      </c>
      <c r="BE457" s="5" t="n">
        <v>0.01</v>
      </c>
      <c r="BF457" s="5" t="n">
        <v>0.59</v>
      </c>
      <c r="BG457" s="5" t="n">
        <v>0.15</v>
      </c>
      <c r="BH457" s="5" t="n">
        <v>1</v>
      </c>
      <c r="BI457" s="5" t="n">
        <v>0.591</v>
      </c>
      <c r="BJ457" s="5" t="n">
        <v>0.132</v>
      </c>
      <c r="BK457" s="5" t="n">
        <v>0.162</v>
      </c>
      <c r="BL457" s="5" t="n">
        <v>0.867</v>
      </c>
      <c r="BM457" s="5" t="n">
        <v>0.15</v>
      </c>
      <c r="BN457" s="5" t="n">
        <v>1</v>
      </c>
      <c r="BO457" s="5" t="n">
        <v>0</v>
      </c>
      <c r="BP457" s="5" t="n">
        <v>0</v>
      </c>
      <c r="BQ457" s="5" t="n">
        <v>0.019</v>
      </c>
      <c r="BR457" s="5" t="n">
        <v>0</v>
      </c>
      <c r="BS457" s="5" t="n">
        <v>1</v>
      </c>
      <c r="BT457" s="5" t="n">
        <v>0</v>
      </c>
      <c r="BU457" s="5" t="n">
        <v>0</v>
      </c>
      <c r="BV457" s="5" t="n">
        <v>0.096</v>
      </c>
      <c r="BW457" s="5" t="n">
        <v>0.15</v>
      </c>
      <c r="BX457" s="5" t="n">
        <v>0.833</v>
      </c>
      <c r="BY457" s="5" t="n">
        <v>13.646</v>
      </c>
      <c r="BZ457" s="5" t="n">
        <v>0</v>
      </c>
      <c r="CA457" s="5" t="n">
        <v>13.646</v>
      </c>
      <c r="CB457" s="5" t="n">
        <v>0</v>
      </c>
      <c r="CC457" s="5" t="n">
        <v>82.58799999999999</v>
      </c>
      <c r="CD457" s="5" t="n">
        <v>7.95</v>
      </c>
      <c r="CE457" s="5" t="n">
        <v>37.36</v>
      </c>
      <c r="CF457" s="5" t="n">
        <v>137.94</v>
      </c>
      <c r="CG457" s="5" t="n">
        <v>0.15</v>
      </c>
      <c r="CH457" s="5" t="n">
        <v>1</v>
      </c>
      <c r="CI457" s="5" t="n">
        <v>0</v>
      </c>
      <c r="CJ457" s="5" t="n">
        <v>0</v>
      </c>
      <c r="CK457" s="5" t="n">
        <v>0</v>
      </c>
      <c r="CL457" s="5" t="n">
        <v>0</v>
      </c>
      <c r="CM457" s="5" t="n">
        <v>0</v>
      </c>
      <c r="CN457" s="5" t="n">
        <v>0</v>
      </c>
      <c r="CO457" s="5" t="n">
        <v>0</v>
      </c>
      <c r="CP457" s="5" t="n">
        <v>0</v>
      </c>
      <c r="CQ457" s="5" t="n">
        <v>1.387</v>
      </c>
      <c r="CR457" s="5" t="n">
        <v>0</v>
      </c>
      <c r="CS457" s="5" t="n">
        <v>5.529</v>
      </c>
      <c r="CT457" s="5" t="n">
        <v>4.251</v>
      </c>
      <c r="CU457" s="5" t="n">
        <v>10.168</v>
      </c>
    </row>
    <row r="458">
      <c r="A458" s="5" t="inlineStr">
        <is>
          <t>LBR2021</t>
        </is>
      </c>
      <c r="B458" s="5" t="inlineStr">
        <is>
          <t>LBR</t>
        </is>
      </c>
      <c r="C458" s="5" t="inlineStr">
        <is>
          <t>LBR</t>
        </is>
      </c>
      <c r="D458" s="5" t="inlineStr">
        <is>
          <t>Liberia</t>
        </is>
      </c>
      <c r="E458" s="5" t="n">
        <v>2021</v>
      </c>
      <c r="F458" s="5" t="n">
        <v>0.1</v>
      </c>
      <c r="G458" s="5" t="n">
        <v>5.897</v>
      </c>
      <c r="H458" s="5" t="n">
        <v>1.143</v>
      </c>
      <c r="I458" s="5" t="n">
        <v>0</v>
      </c>
      <c r="J458" s="5" t="n">
        <v>5.897</v>
      </c>
      <c r="K458" s="5" t="n">
        <v>0</v>
      </c>
      <c r="L458" s="5" t="n">
        <v>1</v>
      </c>
      <c r="M458" s="5" t="n">
        <v>7.964</v>
      </c>
      <c r="N458" s="5" t="n">
        <v>3.43</v>
      </c>
      <c r="O458" s="5" t="n">
        <v>0</v>
      </c>
      <c r="P458" s="5" t="n">
        <v>7.964</v>
      </c>
      <c r="Q458" s="5" t="n">
        <v>0</v>
      </c>
      <c r="R458" s="5" t="n">
        <v>1</v>
      </c>
      <c r="S458" s="5" t="n">
        <v>11.613</v>
      </c>
      <c r="T458" s="5" t="n">
        <v>6.86</v>
      </c>
      <c r="U458" s="5" t="n">
        <v>0</v>
      </c>
      <c r="V458" s="5" t="n">
        <v>12.775</v>
      </c>
      <c r="W458" s="5" t="n">
        <v>0.1</v>
      </c>
      <c r="X458" s="5" t="n">
        <v>1</v>
      </c>
      <c r="Y458" s="5" t="n">
        <v>16.305</v>
      </c>
      <c r="Z458" s="5" t="n">
        <v>2.204</v>
      </c>
      <c r="AA458" s="5" t="n">
        <v>0</v>
      </c>
      <c r="AB458" s="5" t="n">
        <v>16.305</v>
      </c>
      <c r="AC458" s="5" t="n">
        <v>0</v>
      </c>
      <c r="AD458" s="5" t="n">
        <v>1</v>
      </c>
      <c r="AE458" s="5" t="n">
        <v>17.449</v>
      </c>
      <c r="AF458" s="5" t="n">
        <v>4.08</v>
      </c>
      <c r="AG458" s="5" t="n">
        <v>0</v>
      </c>
      <c r="AH458" s="5" t="n">
        <v>17.449</v>
      </c>
      <c r="AI458" s="5" t="n">
        <v>0</v>
      </c>
      <c r="AJ458" s="5" t="n">
        <v>1</v>
      </c>
      <c r="AK458" s="5" t="n">
        <v>24.309</v>
      </c>
      <c r="AL458" s="5" t="n">
        <v>12.947</v>
      </c>
      <c r="AM458" s="5" t="n">
        <v>0</v>
      </c>
      <c r="AN458" s="5" t="n">
        <v>26.739</v>
      </c>
      <c r="AO458" s="5" t="n">
        <v>0.1</v>
      </c>
      <c r="AP458" s="5" t="n">
        <v>1</v>
      </c>
      <c r="AQ458" s="5" t="n">
        <v>0.619</v>
      </c>
      <c r="AR458" s="5" t="n">
        <v>0.114</v>
      </c>
      <c r="AS458" s="5" t="n">
        <v>0.139</v>
      </c>
      <c r="AT458" s="5" t="n">
        <v>0.834</v>
      </c>
      <c r="AU458" s="5" t="n">
        <v>0.1</v>
      </c>
      <c r="AV458" s="5" t="n">
        <v>0</v>
      </c>
      <c r="AW458" s="5" t="n">
        <v>0.599</v>
      </c>
      <c r="AX458" s="5" t="n">
        <v>0.114</v>
      </c>
      <c r="AY458" s="5" t="n">
        <v>0.325</v>
      </c>
      <c r="AZ458" s="5" t="n">
        <v>1.017</v>
      </c>
      <c r="BA458" s="5" t="n">
        <v>0.1</v>
      </c>
      <c r="BB458" s="5" t="n">
        <v>1</v>
      </c>
      <c r="BC458" s="5" t="n">
        <v>0.439</v>
      </c>
      <c r="BD458" s="5" t="n">
        <v>0.114</v>
      </c>
      <c r="BE458" s="5" t="n">
        <v>0</v>
      </c>
      <c r="BF458" s="5" t="n">
        <v>0.483</v>
      </c>
      <c r="BG458" s="5" t="n">
        <v>0.1</v>
      </c>
      <c r="BH458" s="5" t="n">
        <v>1</v>
      </c>
      <c r="BI458" s="5" t="n">
        <v>0.505</v>
      </c>
      <c r="BJ458" s="5" t="n">
        <v>0.114</v>
      </c>
      <c r="BK458" s="5" t="n">
        <v>0.224</v>
      </c>
      <c r="BL458" s="5" t="n">
        <v>0.802</v>
      </c>
      <c r="BM458" s="5" t="n">
        <v>0.1</v>
      </c>
      <c r="BN458" s="5" t="n">
        <v>1</v>
      </c>
      <c r="BO458" s="5" t="n">
        <v>0</v>
      </c>
      <c r="BP458" s="5" t="n">
        <v>0</v>
      </c>
      <c r="BQ458" s="5" t="n">
        <v>0.179</v>
      </c>
      <c r="BR458" s="5" t="n">
        <v>0</v>
      </c>
      <c r="BS458" s="5" t="n">
        <v>0.833</v>
      </c>
      <c r="BT458" s="5" t="n">
        <v>0</v>
      </c>
      <c r="BU458" s="5" t="n">
        <v>0</v>
      </c>
      <c r="BV458" s="5" t="n">
        <v>0.213</v>
      </c>
      <c r="BW458" s="5" t="n">
        <v>0.1</v>
      </c>
      <c r="BX458" s="5" t="n">
        <v>0.833</v>
      </c>
      <c r="BY458" s="5" t="n">
        <v>11.787</v>
      </c>
      <c r="BZ458" s="5" t="n">
        <v>0</v>
      </c>
      <c r="CA458" s="5" t="n">
        <v>11.787</v>
      </c>
      <c r="CB458" s="5" t="n">
        <v>0</v>
      </c>
      <c r="CC458" s="5" t="n">
        <v>78.125</v>
      </c>
      <c r="CD458" s="5" t="n">
        <v>7.95</v>
      </c>
      <c r="CE458" s="5" t="n">
        <v>0</v>
      </c>
      <c r="CF458" s="5" t="n">
        <v>85.938</v>
      </c>
      <c r="CG458" s="5" t="n">
        <v>0.1</v>
      </c>
      <c r="CH458" s="5" t="n">
        <v>1</v>
      </c>
      <c r="CI458" s="5" t="n">
        <v>0</v>
      </c>
      <c r="CJ458" s="5" t="n">
        <v>0</v>
      </c>
      <c r="CK458" s="5" t="n">
        <v>0</v>
      </c>
      <c r="CL458" s="5" t="n">
        <v>0</v>
      </c>
      <c r="CM458" s="5" t="n">
        <v>0</v>
      </c>
      <c r="CN458" s="5" t="n">
        <v>0</v>
      </c>
      <c r="CO458" s="5" t="n">
        <v>0</v>
      </c>
      <c r="CP458" s="5" t="n">
        <v>0</v>
      </c>
      <c r="CQ458" s="5" t="n">
        <v>1.198</v>
      </c>
      <c r="CR458" s="5" t="n">
        <v>0</v>
      </c>
      <c r="CS458" s="5" t="n">
        <v>4.776</v>
      </c>
      <c r="CT458" s="5" t="n">
        <v>4.753</v>
      </c>
      <c r="CU458" s="5" t="n">
        <v>15.162</v>
      </c>
    </row>
    <row r="459">
      <c r="A459" s="5" t="inlineStr">
        <is>
          <t>LBR2022</t>
        </is>
      </c>
      <c r="B459" s="5" t="inlineStr">
        <is>
          <t>LBR</t>
        </is>
      </c>
      <c r="C459" s="5" t="inlineStr">
        <is>
          <t>LBR</t>
        </is>
      </c>
      <c r="D459" s="5" t="inlineStr">
        <is>
          <t>Liberia</t>
        </is>
      </c>
      <c r="E459" s="5" t="n">
        <v>2022</v>
      </c>
      <c r="F459" s="5" t="n">
        <v>0.1</v>
      </c>
      <c r="G459" s="5" t="n">
        <v>11.72</v>
      </c>
      <c r="H459" s="5" t="n">
        <v>1.235</v>
      </c>
      <c r="I459" s="5" t="n">
        <v>0</v>
      </c>
      <c r="J459" s="5" t="n">
        <v>11.72</v>
      </c>
      <c r="K459" s="5" t="n">
        <v>0</v>
      </c>
      <c r="L459" s="5" t="n">
        <v>1</v>
      </c>
      <c r="M459" s="5" t="n">
        <v>9.782999999999999</v>
      </c>
      <c r="N459" s="5" t="n">
        <v>3.704</v>
      </c>
      <c r="O459" s="5" t="n">
        <v>0</v>
      </c>
      <c r="P459" s="5" t="n">
        <v>9.782999999999999</v>
      </c>
      <c r="Q459" s="5" t="n">
        <v>0</v>
      </c>
      <c r="R459" s="5" t="n">
        <v>1</v>
      </c>
      <c r="S459" s="5" t="n">
        <v>17.893</v>
      </c>
      <c r="T459" s="5" t="n">
        <v>7.408</v>
      </c>
      <c r="U459" s="5" t="n">
        <v>0.132</v>
      </c>
      <c r="V459" s="5" t="n">
        <v>19.683</v>
      </c>
      <c r="W459" s="5" t="n">
        <v>0.1</v>
      </c>
      <c r="X459" s="5" t="n">
        <v>1</v>
      </c>
      <c r="Y459" s="5" t="n">
        <v>32.56</v>
      </c>
      <c r="Z459" s="5" t="n">
        <v>4.401</v>
      </c>
      <c r="AA459" s="5" t="n">
        <v>0</v>
      </c>
      <c r="AB459" s="5" t="n">
        <v>32.56</v>
      </c>
      <c r="AC459" s="5" t="n">
        <v>0</v>
      </c>
      <c r="AD459" s="5" t="n">
        <v>1</v>
      </c>
      <c r="AE459" s="5" t="n">
        <v>33.795</v>
      </c>
      <c r="AF459" s="5" t="n">
        <v>7.902</v>
      </c>
      <c r="AG459" s="5" t="n">
        <v>0</v>
      </c>
      <c r="AH459" s="5" t="n">
        <v>33.795</v>
      </c>
      <c r="AI459" s="5" t="n">
        <v>0</v>
      </c>
      <c r="AJ459" s="5" t="n">
        <v>1</v>
      </c>
      <c r="AK459" s="5" t="n">
        <v>41.203</v>
      </c>
      <c r="AL459" s="5" t="n">
        <v>21.945</v>
      </c>
      <c r="AM459" s="5" t="n">
        <v>0.305</v>
      </c>
      <c r="AN459" s="5" t="n">
        <v>45.324</v>
      </c>
      <c r="AO459" s="5" t="n">
        <v>0.1</v>
      </c>
      <c r="AP459" s="5" t="n">
        <v>1</v>
      </c>
      <c r="AQ459" s="5" t="n">
        <v>0.861</v>
      </c>
      <c r="AR459" s="5" t="n">
        <v>0.123</v>
      </c>
      <c r="AS459" s="5" t="n">
        <v>0.257</v>
      </c>
      <c r="AT459" s="5" t="n">
        <v>1.23</v>
      </c>
      <c r="AU459" s="5" t="n">
        <v>0.1</v>
      </c>
      <c r="AV459" s="5" t="n">
        <v>0</v>
      </c>
      <c r="AW459" s="5" t="n">
        <v>0.986</v>
      </c>
      <c r="AX459" s="5" t="n">
        <v>0.123</v>
      </c>
      <c r="AY459" s="5" t="n">
        <v>0.384</v>
      </c>
      <c r="AZ459" s="5" t="n">
        <v>1.507</v>
      </c>
      <c r="BA459" s="5" t="n">
        <v>0.1</v>
      </c>
      <c r="BB459" s="5" t="n">
        <v>1</v>
      </c>
      <c r="BC459" s="5" t="n">
        <v>0.598</v>
      </c>
      <c r="BD459" s="5" t="n">
        <v>0.123</v>
      </c>
      <c r="BE459" s="5" t="n">
        <v>0.004</v>
      </c>
      <c r="BF459" s="5" t="n">
        <v>0.658</v>
      </c>
      <c r="BG459" s="5" t="n">
        <v>0.1</v>
      </c>
      <c r="BH459" s="5" t="n">
        <v>1</v>
      </c>
      <c r="BI459" s="5" t="n">
        <v>0.612</v>
      </c>
      <c r="BJ459" s="5" t="n">
        <v>0.123</v>
      </c>
      <c r="BK459" s="5" t="n">
        <v>0.242</v>
      </c>
      <c r="BL459" s="5" t="n">
        <v>0.9330000000000001</v>
      </c>
      <c r="BM459" s="5" t="n">
        <v>0.1</v>
      </c>
      <c r="BN459" s="5" t="n">
        <v>1</v>
      </c>
      <c r="BO459" s="5" t="n">
        <v>0</v>
      </c>
      <c r="BP459" s="5" t="n">
        <v>0</v>
      </c>
      <c r="BQ459" s="5" t="n">
        <v>0.179</v>
      </c>
      <c r="BR459" s="5" t="n">
        <v>0</v>
      </c>
      <c r="BS459" s="5" t="n">
        <v>0.833</v>
      </c>
      <c r="BT459" s="5" t="n">
        <v>0</v>
      </c>
      <c r="BU459" s="5" t="n">
        <v>0</v>
      </c>
      <c r="BV459" s="5" t="n">
        <v>0.213</v>
      </c>
      <c r="BW459" s="5" t="n">
        <v>0.1</v>
      </c>
      <c r="BX459" s="5" t="n">
        <v>0.833</v>
      </c>
      <c r="BY459" s="5" t="n">
        <v>12.729</v>
      </c>
      <c r="BZ459" s="5" t="n">
        <v>0</v>
      </c>
      <c r="CA459" s="5" t="n">
        <v>12.729</v>
      </c>
      <c r="CB459" s="5" t="n">
        <v>0</v>
      </c>
      <c r="CC459" s="5" t="n">
        <v>97.90000000000001</v>
      </c>
      <c r="CD459" s="5" t="n">
        <v>7.95</v>
      </c>
      <c r="CE459" s="5" t="n">
        <v>0.725</v>
      </c>
      <c r="CF459" s="5" t="n">
        <v>107.69</v>
      </c>
      <c r="CG459" s="5" t="n">
        <v>0.1</v>
      </c>
      <c r="CH459" s="5" t="n">
        <v>1</v>
      </c>
      <c r="CI459" s="5" t="n">
        <v>0</v>
      </c>
      <c r="CJ459" s="5" t="n">
        <v>0</v>
      </c>
      <c r="CK459" s="5" t="n">
        <v>0</v>
      </c>
      <c r="CL459" s="5" t="n">
        <v>0</v>
      </c>
      <c r="CM459" s="5" t="n">
        <v>0</v>
      </c>
      <c r="CN459" s="5" t="n">
        <v>0</v>
      </c>
      <c r="CO459" s="5" t="n">
        <v>0</v>
      </c>
      <c r="CP459" s="5" t="n">
        <v>0</v>
      </c>
      <c r="CQ459" s="5" t="n">
        <v>1.294</v>
      </c>
      <c r="CR459" s="5" t="n">
        <v>0</v>
      </c>
      <c r="CS459" s="5" t="n">
        <v>5.158</v>
      </c>
      <c r="CT459" s="5" t="n">
        <v>10.485</v>
      </c>
      <c r="CU459" s="5" t="n">
        <v>31.326</v>
      </c>
    </row>
    <row r="460">
      <c r="A460" s="5" t="inlineStr">
        <is>
          <t>LBR2023</t>
        </is>
      </c>
      <c r="B460" s="5" t="inlineStr">
        <is>
          <t>LBR</t>
        </is>
      </c>
      <c r="C460" s="5" t="inlineStr">
        <is>
          <t>LBR</t>
        </is>
      </c>
      <c r="D460" s="5" t="inlineStr">
        <is>
          <t>Liberia</t>
        </is>
      </c>
      <c r="E460" s="5" t="n">
        <v>2023</v>
      </c>
      <c r="F460" s="5" t="n">
        <v>0.1</v>
      </c>
      <c r="G460" s="5" t="n">
        <v>6.147</v>
      </c>
      <c r="H460" s="5" t="n">
        <v>1.286</v>
      </c>
      <c r="I460" s="5" t="n">
        <v>0</v>
      </c>
      <c r="J460" s="5" t="n">
        <v>6.147</v>
      </c>
      <c r="K460" s="5" t="n">
        <v>0</v>
      </c>
      <c r="L460" s="5" t="n">
        <v>1</v>
      </c>
      <c r="M460" s="5" t="n">
        <v>7.886</v>
      </c>
      <c r="N460" s="5" t="n">
        <v>3.857</v>
      </c>
      <c r="O460" s="5" t="n">
        <v>0</v>
      </c>
      <c r="P460" s="5" t="n">
        <v>7.886</v>
      </c>
      <c r="Q460" s="5" t="n">
        <v>0</v>
      </c>
      <c r="R460" s="5" t="n">
        <v>1</v>
      </c>
      <c r="S460" s="5" t="n">
        <v>12.575</v>
      </c>
      <c r="T460" s="5" t="n">
        <v>7.714</v>
      </c>
      <c r="U460" s="5" t="n">
        <v>0.139</v>
      </c>
      <c r="V460" s="5" t="n">
        <v>13.833</v>
      </c>
      <c r="W460" s="5" t="n">
        <v>0.1</v>
      </c>
      <c r="X460" s="5" t="n">
        <v>1</v>
      </c>
      <c r="Y460" s="5" t="n">
        <v>12.908</v>
      </c>
      <c r="Z460" s="5" t="n">
        <v>1.745</v>
      </c>
      <c r="AA460" s="5" t="n">
        <v>0</v>
      </c>
      <c r="AB460" s="5" t="n">
        <v>12.908</v>
      </c>
      <c r="AC460" s="5" t="n">
        <v>0</v>
      </c>
      <c r="AD460" s="5" t="n">
        <v>1</v>
      </c>
      <c r="AE460" s="5" t="n">
        <v>14.194</v>
      </c>
      <c r="AF460" s="5" t="n">
        <v>3.319</v>
      </c>
      <c r="AG460" s="5" t="n">
        <v>0</v>
      </c>
      <c r="AH460" s="5" t="n">
        <v>14.194</v>
      </c>
      <c r="AI460" s="5" t="n">
        <v>0</v>
      </c>
      <c r="AJ460" s="5" t="n">
        <v>1</v>
      </c>
      <c r="AK460" s="5" t="n">
        <v>21.908</v>
      </c>
      <c r="AL460" s="5" t="n">
        <v>11.668</v>
      </c>
      <c r="AM460" s="5" t="n">
        <v>0.243</v>
      </c>
      <c r="AN460" s="5" t="n">
        <v>24.098</v>
      </c>
      <c r="AO460" s="5" t="n">
        <v>0.1</v>
      </c>
      <c r="AP460" s="5" t="n">
        <v>1</v>
      </c>
      <c r="AQ460" s="5" t="n">
        <v>0.76</v>
      </c>
      <c r="AR460" s="5" t="n">
        <v>0.129</v>
      </c>
      <c r="AS460" s="5" t="n">
        <v>-0.357</v>
      </c>
      <c r="AT460" s="5" t="n">
        <v>0.444</v>
      </c>
      <c r="AU460" s="5" t="n">
        <v>0.1</v>
      </c>
      <c r="AV460" s="5" t="n">
        <v>0</v>
      </c>
      <c r="AW460" s="5" t="n">
        <v>0.8110000000000001</v>
      </c>
      <c r="AX460" s="5" t="n">
        <v>0.129</v>
      </c>
      <c r="AY460" s="5" t="n">
        <v>0.474</v>
      </c>
      <c r="AZ460" s="5" t="n">
        <v>1.413</v>
      </c>
      <c r="BA460" s="5" t="n">
        <v>0.1</v>
      </c>
      <c r="BB460" s="5" t="n">
        <v>1</v>
      </c>
      <c r="BC460" s="5" t="n">
        <v>0.535</v>
      </c>
      <c r="BD460" s="5" t="n">
        <v>0.129</v>
      </c>
      <c r="BE460" s="5" t="n">
        <v>0.006</v>
      </c>
      <c r="BF460" s="5" t="n">
        <v>0.588</v>
      </c>
      <c r="BG460" s="5" t="n">
        <v>0.1</v>
      </c>
      <c r="BH460" s="5" t="n">
        <v>1</v>
      </c>
      <c r="BI460" s="5" t="n">
        <v>0.579</v>
      </c>
      <c r="BJ460" s="5" t="n">
        <v>0.129</v>
      </c>
      <c r="BK460" s="5" t="n">
        <v>0.26</v>
      </c>
      <c r="BL460" s="5" t="n">
        <v>0.913</v>
      </c>
      <c r="BM460" s="5" t="n">
        <v>0.1</v>
      </c>
      <c r="BN460" s="5" t="n">
        <v>1</v>
      </c>
      <c r="BO460" s="5" t="n">
        <v>0</v>
      </c>
      <c r="BP460" s="5" t="n">
        <v>0</v>
      </c>
      <c r="BQ460" s="5" t="n">
        <v>0.19</v>
      </c>
      <c r="BR460" s="5" t="n">
        <v>0</v>
      </c>
      <c r="BS460" s="5" t="n">
        <v>0.833</v>
      </c>
      <c r="BT460" s="5" t="n">
        <v>0</v>
      </c>
      <c r="BU460" s="5" t="n">
        <v>0</v>
      </c>
      <c r="BV460" s="5" t="n">
        <v>0.264</v>
      </c>
      <c r="BW460" s="5" t="n">
        <v>0.1</v>
      </c>
      <c r="BX460" s="5" t="n">
        <v>0.833</v>
      </c>
      <c r="BY460" s="5" t="n">
        <v>13.254</v>
      </c>
      <c r="BZ460" s="5" t="n">
        <v>0</v>
      </c>
      <c r="CA460" s="5" t="n">
        <v>13.254</v>
      </c>
      <c r="CB460" s="5" t="n">
        <v>0</v>
      </c>
      <c r="CC460" s="5" t="n">
        <v>83.248</v>
      </c>
      <c r="CD460" s="5" t="n">
        <v>7.95</v>
      </c>
      <c r="CE460" s="5" t="n">
        <v>0.922</v>
      </c>
      <c r="CF460" s="5" t="n">
        <v>91.57299999999999</v>
      </c>
      <c r="CG460" s="5" t="n">
        <v>0.1</v>
      </c>
      <c r="CH460" s="5" t="n">
        <v>1</v>
      </c>
      <c r="CI460" s="5" t="n">
        <v>0</v>
      </c>
      <c r="CJ460" s="5" t="n">
        <v>0</v>
      </c>
      <c r="CK460" s="5" t="n">
        <v>0</v>
      </c>
      <c r="CL460" s="5" t="n">
        <v>0</v>
      </c>
      <c r="CM460" s="5" t="n">
        <v>0</v>
      </c>
      <c r="CN460" s="5" t="n">
        <v>0</v>
      </c>
      <c r="CO460" s="5" t="n">
        <v>0</v>
      </c>
      <c r="CP460" s="5" t="n">
        <v>0</v>
      </c>
      <c r="CQ460" s="5" t="n">
        <v>1.348</v>
      </c>
      <c r="CR460" s="5" t="n">
        <v>0</v>
      </c>
      <c r="CS460" s="5" t="n">
        <v>5.37</v>
      </c>
      <c r="CT460" s="5" t="n">
        <v>4.861</v>
      </c>
      <c r="CU460" s="5" t="n">
        <v>11.622</v>
      </c>
    </row>
    <row r="461">
      <c r="A461" s="5" t="inlineStr">
        <is>
          <t>LBR2024</t>
        </is>
      </c>
      <c r="B461" s="5" t="inlineStr">
        <is>
          <t>LBR</t>
        </is>
      </c>
      <c r="C461" s="5" t="inlineStr">
        <is>
          <t>LBR</t>
        </is>
      </c>
      <c r="D461" s="5" t="inlineStr">
        <is>
          <t>Liberia</t>
        </is>
      </c>
      <c r="E461" s="5" t="n">
        <v>2024</v>
      </c>
      <c r="F461" s="5" t="n">
        <v>0.1</v>
      </c>
      <c r="G461" s="5" t="n">
        <v>5.575</v>
      </c>
      <c r="H461" s="5" t="n">
        <v>1.324</v>
      </c>
      <c r="I461" s="5" t="n">
        <v>0</v>
      </c>
      <c r="J461" s="5" t="n">
        <v>5.575</v>
      </c>
      <c r="K461" s="5" t="n">
        <v>0</v>
      </c>
      <c r="L461" s="5" t="n">
        <v>1</v>
      </c>
      <c r="M461" s="5" t="n">
        <v>7.124</v>
      </c>
      <c r="N461" s="5" t="n">
        <v>3.971</v>
      </c>
      <c r="O461" s="5" t="n">
        <v>0</v>
      </c>
      <c r="P461" s="5" t="n">
        <v>7.124</v>
      </c>
      <c r="Q461" s="5" t="n">
        <v>0</v>
      </c>
      <c r="R461" s="5" t="n">
        <v>1</v>
      </c>
      <c r="S461" s="5" t="n">
        <v>12.193</v>
      </c>
      <c r="T461" s="5" t="n">
        <v>7.942</v>
      </c>
      <c r="U461" s="5" t="n">
        <v>0.166</v>
      </c>
      <c r="V461" s="5" t="n">
        <v>13.412</v>
      </c>
      <c r="W461" s="5" t="n">
        <v>0.1</v>
      </c>
      <c r="X461" s="5" t="n">
        <v>1</v>
      </c>
      <c r="Y461" s="5" t="n">
        <v>11.492</v>
      </c>
      <c r="Z461" s="5" t="n">
        <v>1.553</v>
      </c>
      <c r="AA461" s="5" t="n">
        <v>0</v>
      </c>
      <c r="AB461" s="5" t="n">
        <v>11.492</v>
      </c>
      <c r="AC461" s="5" t="n">
        <v>0</v>
      </c>
      <c r="AD461" s="5" t="n">
        <v>1</v>
      </c>
      <c r="AE461" s="5" t="n">
        <v>12.815</v>
      </c>
      <c r="AF461" s="5" t="n">
        <v>2.997</v>
      </c>
      <c r="AG461" s="5" t="n">
        <v>0</v>
      </c>
      <c r="AH461" s="5" t="n">
        <v>12.815</v>
      </c>
      <c r="AI461" s="5" t="n">
        <v>0</v>
      </c>
      <c r="AJ461" s="5" t="n">
        <v>1</v>
      </c>
      <c r="AK461" s="5" t="n">
        <v>20.757</v>
      </c>
      <c r="AL461" s="5" t="n">
        <v>11.055</v>
      </c>
      <c r="AM461" s="5" t="n">
        <v>0.283</v>
      </c>
      <c r="AN461" s="5" t="n">
        <v>22.833</v>
      </c>
      <c r="AO461" s="5" t="n">
        <v>0.1</v>
      </c>
      <c r="AP461" s="5" t="n">
        <v>1</v>
      </c>
      <c r="AQ461" s="5" t="n">
        <v>0.724</v>
      </c>
      <c r="AR461" s="5" t="n">
        <v>0.132</v>
      </c>
      <c r="AS461" s="5" t="n">
        <v>-0.357</v>
      </c>
      <c r="AT461" s="5" t="n">
        <v>0.398</v>
      </c>
      <c r="AU461" s="5" t="n">
        <v>0.1</v>
      </c>
      <c r="AV461" s="5" t="n">
        <v>0</v>
      </c>
      <c r="AW461" s="5" t="n">
        <v>0.75</v>
      </c>
      <c r="AX461" s="5" t="n">
        <v>0.132</v>
      </c>
      <c r="AY461" s="5" t="n">
        <v>0.532</v>
      </c>
      <c r="AZ461" s="5" t="n">
        <v>1.391</v>
      </c>
      <c r="BA461" s="5" t="n">
        <v>0.1</v>
      </c>
      <c r="BB461" s="5" t="n">
        <v>1</v>
      </c>
      <c r="BC461" s="5" t="n">
        <v>0.513</v>
      </c>
      <c r="BD461" s="5" t="n">
        <v>0.132</v>
      </c>
      <c r="BE461" s="5" t="n">
        <v>0.007</v>
      </c>
      <c r="BF461" s="5" t="n">
        <v>0.5639999999999999</v>
      </c>
      <c r="BG461" s="5" t="n">
        <v>0.1</v>
      </c>
      <c r="BH461" s="5" t="n">
        <v>1</v>
      </c>
      <c r="BI461" s="5" t="n">
        <v>0.591</v>
      </c>
      <c r="BJ461" s="5" t="n">
        <v>0.132</v>
      </c>
      <c r="BK461" s="5" t="n">
        <v>0.27</v>
      </c>
      <c r="BL461" s="5" t="n">
        <v>0.9350000000000001</v>
      </c>
      <c r="BM461" s="5" t="n">
        <v>0.1</v>
      </c>
      <c r="BN461" s="5" t="n">
        <v>1</v>
      </c>
      <c r="BO461" s="5" t="n">
        <v>0</v>
      </c>
      <c r="BP461" s="5" t="n">
        <v>0</v>
      </c>
      <c r="BQ461" s="5" t="n">
        <v>0.196</v>
      </c>
      <c r="BR461" s="5" t="n">
        <v>0</v>
      </c>
      <c r="BS461" s="5" t="n">
        <v>0.833</v>
      </c>
      <c r="BT461" s="5" t="n">
        <v>0</v>
      </c>
      <c r="BU461" s="5" t="n">
        <v>0</v>
      </c>
      <c r="BV461" s="5" t="n">
        <v>0.272</v>
      </c>
      <c r="BW461" s="5" t="n">
        <v>0.1</v>
      </c>
      <c r="BX461" s="5" t="n">
        <v>0.833</v>
      </c>
      <c r="BY461" s="5" t="n">
        <v>13.646</v>
      </c>
      <c r="BZ461" s="5" t="n">
        <v>0</v>
      </c>
      <c r="CA461" s="5" t="n">
        <v>13.646</v>
      </c>
      <c r="CB461" s="5" t="n">
        <v>0</v>
      </c>
      <c r="CC461" s="5" t="n">
        <v>82.58799999999999</v>
      </c>
      <c r="CD461" s="5" t="n">
        <v>7.95</v>
      </c>
      <c r="CE461" s="5" t="n">
        <v>1.125</v>
      </c>
      <c r="CF461" s="5" t="n">
        <v>90.84699999999999</v>
      </c>
      <c r="CG461" s="5" t="n">
        <v>0.1</v>
      </c>
      <c r="CH461" s="5" t="n">
        <v>1</v>
      </c>
      <c r="CI461" s="5" t="n">
        <v>0</v>
      </c>
      <c r="CJ461" s="5" t="n">
        <v>0</v>
      </c>
      <c r="CK461" s="5" t="n">
        <v>0</v>
      </c>
      <c r="CL461" s="5" t="n">
        <v>0</v>
      </c>
      <c r="CM461" s="5" t="n">
        <v>0</v>
      </c>
      <c r="CN461" s="5" t="n">
        <v>0</v>
      </c>
      <c r="CO461" s="5" t="n">
        <v>0</v>
      </c>
      <c r="CP461" s="5" t="n">
        <v>0</v>
      </c>
      <c r="CQ461" s="5" t="n">
        <v>1.387</v>
      </c>
      <c r="CR461" s="5" t="n">
        <v>0</v>
      </c>
      <c r="CS461" s="5" t="n">
        <v>5.529</v>
      </c>
      <c r="CT461" s="5" t="n">
        <v>4.251</v>
      </c>
      <c r="CU461" s="5" t="n">
        <v>10.168</v>
      </c>
    </row>
    <row r="462">
      <c r="A462" s="5" t="inlineStr">
        <is>
          <t>LBY2021</t>
        </is>
      </c>
      <c r="B462" s="5" t="inlineStr">
        <is>
          <t>LBY</t>
        </is>
      </c>
      <c r="C462" s="5" t="inlineStr">
        <is>
          <t>LBY</t>
        </is>
      </c>
      <c r="D462" s="5" t="inlineStr">
        <is>
          <t>Libya</t>
        </is>
      </c>
      <c r="E462" s="5" t="n">
        <v>2021</v>
      </c>
      <c r="F462" s="5" t="n">
        <v>0</v>
      </c>
      <c r="G462" s="5" t="n">
        <v>5.897</v>
      </c>
      <c r="H462" s="5" t="n">
        <v>1.143</v>
      </c>
      <c r="I462" s="5" t="n">
        <v>0.233</v>
      </c>
      <c r="J462" s="5" t="n">
        <v>6.13</v>
      </c>
      <c r="K462" s="5" t="n">
        <v>0</v>
      </c>
      <c r="L462" s="5" t="n">
        <v>1</v>
      </c>
      <c r="M462" s="5" t="n">
        <v>7.964</v>
      </c>
      <c r="N462" s="5" t="n">
        <v>3.43</v>
      </c>
      <c r="O462" s="5" t="n">
        <v>0.252</v>
      </c>
      <c r="P462" s="5" t="n">
        <v>8.217000000000001</v>
      </c>
      <c r="Q462" s="5" t="n">
        <v>0</v>
      </c>
      <c r="R462" s="5" t="n">
        <v>1</v>
      </c>
      <c r="S462" s="5" t="n">
        <v>11.613</v>
      </c>
      <c r="T462" s="5" t="n">
        <v>6.86</v>
      </c>
      <c r="U462" s="5" t="n">
        <v>0.233</v>
      </c>
      <c r="V462" s="5" t="n">
        <v>11.846</v>
      </c>
      <c r="W462" s="5" t="n">
        <v>0</v>
      </c>
      <c r="X462" s="5" t="n">
        <v>1</v>
      </c>
      <c r="Y462" s="5" t="n">
        <v>7.447</v>
      </c>
      <c r="Z462" s="5" t="n">
        <v>0.8169999999999999</v>
      </c>
      <c r="AA462" s="5" t="n">
        <v>-6.685</v>
      </c>
      <c r="AB462" s="5" t="n">
        <v>0.761</v>
      </c>
      <c r="AC462" s="5" t="n">
        <v>0</v>
      </c>
      <c r="AD462" s="5" t="n">
        <v>0</v>
      </c>
      <c r="AE462" s="5" t="n">
        <v>8.018000000000001</v>
      </c>
      <c r="AF462" s="5" t="n">
        <v>1.559</v>
      </c>
      <c r="AG462" s="5" t="n">
        <v>-7.799</v>
      </c>
      <c r="AH462" s="5" t="n">
        <v>0.219</v>
      </c>
      <c r="AI462" s="5" t="n">
        <v>0</v>
      </c>
      <c r="AJ462" s="5" t="n">
        <v>0</v>
      </c>
      <c r="AK462" s="5" t="n">
        <v>11.448</v>
      </c>
      <c r="AL462" s="5" t="n">
        <v>5.4</v>
      </c>
      <c r="AM462" s="5" t="n">
        <v>-0.656</v>
      </c>
      <c r="AN462" s="5" t="n">
        <v>10.792</v>
      </c>
      <c r="AO462" s="5" t="n">
        <v>0</v>
      </c>
      <c r="AP462" s="5" t="n">
        <v>1</v>
      </c>
      <c r="AQ462" s="5" t="n">
        <v>0.621</v>
      </c>
      <c r="AR462" s="5" t="n">
        <v>0.114</v>
      </c>
      <c r="AS462" s="5" t="n">
        <v>-0.587</v>
      </c>
      <c r="AT462" s="5" t="n">
        <v>0.033</v>
      </c>
      <c r="AU462" s="5" t="n">
        <v>0</v>
      </c>
      <c r="AV462" s="5" t="n">
        <v>0</v>
      </c>
      <c r="AW462" s="5" t="n">
        <v>0.593</v>
      </c>
      <c r="AX462" s="5" t="n">
        <v>0.114</v>
      </c>
      <c r="AY462" s="5" t="n">
        <v>-0.5600000000000001</v>
      </c>
      <c r="AZ462" s="5" t="n">
        <v>0.033</v>
      </c>
      <c r="BA462" s="5" t="n">
        <v>0</v>
      </c>
      <c r="BB462" s="5" t="n">
        <v>0</v>
      </c>
      <c r="BC462" s="5" t="n">
        <v>0.44</v>
      </c>
      <c r="BD462" s="5" t="n">
        <v>0.114</v>
      </c>
      <c r="BE462" s="5" t="n">
        <v>-0.43</v>
      </c>
      <c r="BF462" s="5" t="n">
        <v>0.01</v>
      </c>
      <c r="BG462" s="5" t="n">
        <v>0</v>
      </c>
      <c r="BH462" s="5" t="n">
        <v>0</v>
      </c>
      <c r="BI462" s="5" t="n">
        <v>0.5600000000000001</v>
      </c>
      <c r="BJ462" s="5" t="n">
        <v>0.114</v>
      </c>
      <c r="BK462" s="5" t="n">
        <v>-0.54</v>
      </c>
      <c r="BL462" s="5" t="n">
        <v>0.02</v>
      </c>
      <c r="BM462" s="5" t="n">
        <v>0</v>
      </c>
      <c r="BN462" s="5" t="n">
        <v>0</v>
      </c>
      <c r="BO462" s="5" t="n">
        <v>0</v>
      </c>
      <c r="BP462" s="5" t="n">
        <v>-0.028</v>
      </c>
      <c r="BQ462" s="5" t="n">
        <v>0</v>
      </c>
      <c r="BR462" s="5" t="n">
        <v>0</v>
      </c>
      <c r="BS462" s="5" t="n">
        <v>1</v>
      </c>
      <c r="BT462" s="5" t="n">
        <v>0</v>
      </c>
      <c r="BU462" s="5" t="n">
        <v>-0.028</v>
      </c>
      <c r="BV462" s="5" t="n">
        <v>0.006</v>
      </c>
      <c r="BW462" s="5" t="n">
        <v>0</v>
      </c>
      <c r="BX462" s="5" t="n">
        <v>1</v>
      </c>
      <c r="BY462" s="5" t="n">
        <v>11.787</v>
      </c>
      <c r="BZ462" s="5" t="n">
        <v>0</v>
      </c>
      <c r="CA462" s="5" t="n">
        <v>11.787</v>
      </c>
      <c r="CB462" s="5" t="n">
        <v>0</v>
      </c>
      <c r="CC462" s="5" t="n">
        <v>81.69499999999999</v>
      </c>
      <c r="CD462" s="5" t="n">
        <v>7.95</v>
      </c>
      <c r="CE462" s="5" t="n">
        <v>-80.105</v>
      </c>
      <c r="CF462" s="5" t="n">
        <v>1.59</v>
      </c>
      <c r="CG462" s="5" t="n">
        <v>0</v>
      </c>
      <c r="CH462" s="5" t="n">
        <v>0</v>
      </c>
      <c r="CI462" s="5" t="n">
        <v>0</v>
      </c>
      <c r="CJ462" s="5" t="n">
        <v>0</v>
      </c>
      <c r="CK462" s="5" t="n">
        <v>0</v>
      </c>
      <c r="CL462" s="5" t="n">
        <v>0</v>
      </c>
      <c r="CM462" s="5" t="n">
        <v>0</v>
      </c>
      <c r="CN462" s="5" t="n">
        <v>0</v>
      </c>
      <c r="CO462" s="5" t="n">
        <v>0</v>
      </c>
      <c r="CP462" s="5" t="n">
        <v>0</v>
      </c>
      <c r="CQ462" s="5" t="n">
        <v>1.198</v>
      </c>
      <c r="CR462" s="5" t="n">
        <v>1</v>
      </c>
      <c r="CS462" s="5" t="n">
        <v>6.875</v>
      </c>
      <c r="CT462" s="5" t="n">
        <v>4.753</v>
      </c>
      <c r="CU462" s="5" t="n">
        <v>14.129</v>
      </c>
    </row>
    <row r="463">
      <c r="A463" s="5" t="inlineStr">
        <is>
          <t>LBY2022</t>
        </is>
      </c>
      <c r="B463" s="5" t="inlineStr">
        <is>
          <t>LBY</t>
        </is>
      </c>
      <c r="C463" s="5" t="inlineStr">
        <is>
          <t>LBY</t>
        </is>
      </c>
      <c r="D463" s="5" t="inlineStr">
        <is>
          <t>Libya</t>
        </is>
      </c>
      <c r="E463" s="5" t="n">
        <v>2022</v>
      </c>
      <c r="F463" s="5" t="n">
        <v>0</v>
      </c>
      <c r="G463" s="5" t="n">
        <v>11.72</v>
      </c>
      <c r="H463" s="5" t="n">
        <v>1.235</v>
      </c>
      <c r="I463" s="5" t="n">
        <v>0.555</v>
      </c>
      <c r="J463" s="5" t="n">
        <v>12.275</v>
      </c>
      <c r="K463" s="5" t="n">
        <v>0</v>
      </c>
      <c r="L463" s="5" t="n">
        <v>1</v>
      </c>
      <c r="M463" s="5" t="n">
        <v>9.782999999999999</v>
      </c>
      <c r="N463" s="5" t="n">
        <v>3.704</v>
      </c>
      <c r="O463" s="5" t="n">
        <v>0.365</v>
      </c>
      <c r="P463" s="5" t="n">
        <v>10.148</v>
      </c>
      <c r="Q463" s="5" t="n">
        <v>0</v>
      </c>
      <c r="R463" s="5" t="n">
        <v>1</v>
      </c>
      <c r="S463" s="5" t="n">
        <v>17.893</v>
      </c>
      <c r="T463" s="5" t="n">
        <v>7.408</v>
      </c>
      <c r="U463" s="5" t="n">
        <v>0.555</v>
      </c>
      <c r="V463" s="5" t="n">
        <v>18.448</v>
      </c>
      <c r="W463" s="5" t="n">
        <v>0</v>
      </c>
      <c r="X463" s="5" t="n">
        <v>1</v>
      </c>
      <c r="Y463" s="5" t="n">
        <v>8.042</v>
      </c>
      <c r="Z463" s="5" t="n">
        <v>0.882</v>
      </c>
      <c r="AA463" s="5" t="n">
        <v>-7.22</v>
      </c>
      <c r="AB463" s="5" t="n">
        <v>0.822</v>
      </c>
      <c r="AC463" s="5" t="n">
        <v>0</v>
      </c>
      <c r="AD463" s="5" t="n">
        <v>0</v>
      </c>
      <c r="AE463" s="5" t="n">
        <v>8.659000000000001</v>
      </c>
      <c r="AF463" s="5" t="n">
        <v>1.684</v>
      </c>
      <c r="AG463" s="5" t="n">
        <v>-8.422000000000001</v>
      </c>
      <c r="AH463" s="5" t="n">
        <v>0.237</v>
      </c>
      <c r="AI463" s="5" t="n">
        <v>0</v>
      </c>
      <c r="AJ463" s="5" t="n">
        <v>0</v>
      </c>
      <c r="AK463" s="5" t="n">
        <v>12.363</v>
      </c>
      <c r="AL463" s="5" t="n">
        <v>5.832</v>
      </c>
      <c r="AM463" s="5" t="n">
        <v>-1.667</v>
      </c>
      <c r="AN463" s="5" t="n">
        <v>10.696</v>
      </c>
      <c r="AO463" s="5" t="n">
        <v>0</v>
      </c>
      <c r="AP463" s="5" t="n">
        <v>1</v>
      </c>
      <c r="AQ463" s="5" t="n">
        <v>0.847</v>
      </c>
      <c r="AR463" s="5" t="n">
        <v>0.123</v>
      </c>
      <c r="AS463" s="5" t="n">
        <v>-0.8149999999999999</v>
      </c>
      <c r="AT463" s="5" t="n">
        <v>0.031</v>
      </c>
      <c r="AU463" s="5" t="n">
        <v>0</v>
      </c>
      <c r="AV463" s="5" t="n">
        <v>0</v>
      </c>
      <c r="AW463" s="5" t="n">
        <v>0.947</v>
      </c>
      <c r="AX463" s="5" t="n">
        <v>0.123</v>
      </c>
      <c r="AY463" s="5" t="n">
        <v>-0.916</v>
      </c>
      <c r="AZ463" s="5" t="n">
        <v>0.031</v>
      </c>
      <c r="BA463" s="5" t="n">
        <v>0</v>
      </c>
      <c r="BB463" s="5" t="n">
        <v>0</v>
      </c>
      <c r="BC463" s="5" t="n">
        <v>0.589</v>
      </c>
      <c r="BD463" s="5" t="n">
        <v>0.123</v>
      </c>
      <c r="BE463" s="5" t="n">
        <v>-0.579</v>
      </c>
      <c r="BF463" s="5" t="n">
        <v>0.01</v>
      </c>
      <c r="BG463" s="5" t="n">
        <v>0</v>
      </c>
      <c r="BH463" s="5" t="n">
        <v>0</v>
      </c>
      <c r="BI463" s="5" t="n">
        <v>0.6889999999999999</v>
      </c>
      <c r="BJ463" s="5" t="n">
        <v>0.123</v>
      </c>
      <c r="BK463" s="5" t="n">
        <v>-0.67</v>
      </c>
      <c r="BL463" s="5" t="n">
        <v>0.019</v>
      </c>
      <c r="BM463" s="5" t="n">
        <v>0</v>
      </c>
      <c r="BN463" s="5" t="n">
        <v>0</v>
      </c>
      <c r="BO463" s="5" t="n">
        <v>0</v>
      </c>
      <c r="BP463" s="5" t="n">
        <v>-0.104</v>
      </c>
      <c r="BQ463" s="5" t="n">
        <v>0</v>
      </c>
      <c r="BR463" s="5" t="n">
        <v>0</v>
      </c>
      <c r="BS463" s="5" t="n">
        <v>1</v>
      </c>
      <c r="BT463" s="5" t="n">
        <v>0</v>
      </c>
      <c r="BU463" s="5" t="n">
        <v>-0.104</v>
      </c>
      <c r="BV463" s="5" t="n">
        <v>0.005</v>
      </c>
      <c r="BW463" s="5" t="n">
        <v>0</v>
      </c>
      <c r="BX463" s="5" t="n">
        <v>1</v>
      </c>
      <c r="BY463" s="5" t="n">
        <v>12.729</v>
      </c>
      <c r="BZ463" s="5" t="n">
        <v>0</v>
      </c>
      <c r="CA463" s="5" t="n">
        <v>12.729</v>
      </c>
      <c r="CB463" s="5" t="n">
        <v>0</v>
      </c>
      <c r="CC463" s="5" t="n">
        <v>102.477</v>
      </c>
      <c r="CD463" s="5" t="n">
        <v>7.95</v>
      </c>
      <c r="CE463" s="5" t="n">
        <v>-100.887</v>
      </c>
      <c r="CF463" s="5" t="n">
        <v>1.59</v>
      </c>
      <c r="CG463" s="5" t="n">
        <v>0</v>
      </c>
      <c r="CH463" s="5" t="n">
        <v>0</v>
      </c>
      <c r="CI463" s="5" t="n">
        <v>0</v>
      </c>
      <c r="CJ463" s="5" t="n">
        <v>0</v>
      </c>
      <c r="CK463" s="5" t="n">
        <v>0</v>
      </c>
      <c r="CL463" s="5" t="n">
        <v>0</v>
      </c>
      <c r="CM463" s="5" t="n">
        <v>0</v>
      </c>
      <c r="CN463" s="5" t="n">
        <v>0</v>
      </c>
      <c r="CO463" s="5" t="n">
        <v>0</v>
      </c>
      <c r="CP463" s="5" t="n">
        <v>0</v>
      </c>
      <c r="CQ463" s="5" t="n">
        <v>1.294</v>
      </c>
      <c r="CR463" s="5" t="n">
        <v>1</v>
      </c>
      <c r="CS463" s="5" t="n">
        <v>7.424</v>
      </c>
      <c r="CT463" s="5" t="n">
        <v>10.485</v>
      </c>
      <c r="CU463" s="5" t="n">
        <v>28.059</v>
      </c>
    </row>
    <row r="464">
      <c r="A464" s="5" t="inlineStr">
        <is>
          <t>LBY2023</t>
        </is>
      </c>
      <c r="B464" s="5" t="inlineStr">
        <is>
          <t>LBY</t>
        </is>
      </c>
      <c r="C464" s="5" t="inlineStr">
        <is>
          <t>LBY</t>
        </is>
      </c>
      <c r="D464" s="5" t="inlineStr">
        <is>
          <t>Libya</t>
        </is>
      </c>
      <c r="E464" s="5" t="n">
        <v>2023</v>
      </c>
      <c r="F464" s="5" t="n">
        <v>0</v>
      </c>
      <c r="G464" s="5" t="n">
        <v>6.147</v>
      </c>
      <c r="H464" s="5" t="n">
        <v>1.286</v>
      </c>
      <c r="I464" s="5" t="n">
        <v>0.268</v>
      </c>
      <c r="J464" s="5" t="n">
        <v>6.415</v>
      </c>
      <c r="K464" s="5" t="n">
        <v>0</v>
      </c>
      <c r="L464" s="5" t="n">
        <v>1</v>
      </c>
      <c r="M464" s="5" t="n">
        <v>7.886</v>
      </c>
      <c r="N464" s="5" t="n">
        <v>3.857</v>
      </c>
      <c r="O464" s="5" t="n">
        <v>0.252</v>
      </c>
      <c r="P464" s="5" t="n">
        <v>8.138</v>
      </c>
      <c r="Q464" s="5" t="n">
        <v>0</v>
      </c>
      <c r="R464" s="5" t="n">
        <v>1</v>
      </c>
      <c r="S464" s="5" t="n">
        <v>12.575</v>
      </c>
      <c r="T464" s="5" t="n">
        <v>7.714</v>
      </c>
      <c r="U464" s="5" t="n">
        <v>0.268</v>
      </c>
      <c r="V464" s="5" t="n">
        <v>12.843</v>
      </c>
      <c r="W464" s="5" t="n">
        <v>0</v>
      </c>
      <c r="X464" s="5" t="n">
        <v>1</v>
      </c>
      <c r="Y464" s="5" t="n">
        <v>8.374000000000001</v>
      </c>
      <c r="Z464" s="5" t="n">
        <v>0.919</v>
      </c>
      <c r="AA464" s="5" t="n">
        <v>-7.527</v>
      </c>
      <c r="AB464" s="5" t="n">
        <v>0.846</v>
      </c>
      <c r="AC464" s="5" t="n">
        <v>0</v>
      </c>
      <c r="AD464" s="5" t="n">
        <v>0</v>
      </c>
      <c r="AE464" s="5" t="n">
        <v>9.016</v>
      </c>
      <c r="AF464" s="5" t="n">
        <v>1.753</v>
      </c>
      <c r="AG464" s="5" t="n">
        <v>-8.779999999999999</v>
      </c>
      <c r="AH464" s="5" t="n">
        <v>0.237</v>
      </c>
      <c r="AI464" s="5" t="n">
        <v>0</v>
      </c>
      <c r="AJ464" s="5" t="n">
        <v>0</v>
      </c>
      <c r="AK464" s="5" t="n">
        <v>12.873</v>
      </c>
      <c r="AL464" s="5" t="n">
        <v>6.073</v>
      </c>
      <c r="AM464" s="5" t="n">
        <v>-0.76</v>
      </c>
      <c r="AN464" s="5" t="n">
        <v>12.114</v>
      </c>
      <c r="AO464" s="5" t="n">
        <v>0</v>
      </c>
      <c r="AP464" s="5" t="n">
        <v>1</v>
      </c>
      <c r="AQ464" s="5" t="n">
        <v>0.749</v>
      </c>
      <c r="AR464" s="5" t="n">
        <v>0.129</v>
      </c>
      <c r="AS464" s="5" t="n">
        <v>-0.718</v>
      </c>
      <c r="AT464" s="5" t="n">
        <v>0.031</v>
      </c>
      <c r="AU464" s="5" t="n">
        <v>0</v>
      </c>
      <c r="AV464" s="5" t="n">
        <v>0</v>
      </c>
      <c r="AW464" s="5" t="n">
        <v>0.783</v>
      </c>
      <c r="AX464" s="5" t="n">
        <v>0.129</v>
      </c>
      <c r="AY464" s="5" t="n">
        <v>-0.751</v>
      </c>
      <c r="AZ464" s="5" t="n">
        <v>0.031</v>
      </c>
      <c r="BA464" s="5" t="n">
        <v>0</v>
      </c>
      <c r="BB464" s="5" t="n">
        <v>0</v>
      </c>
      <c r="BC464" s="5" t="n">
        <v>0.527</v>
      </c>
      <c r="BD464" s="5" t="n">
        <v>0.129</v>
      </c>
      <c r="BE464" s="5" t="n">
        <v>-0.513</v>
      </c>
      <c r="BF464" s="5" t="n">
        <v>0.014</v>
      </c>
      <c r="BG464" s="5" t="n">
        <v>0</v>
      </c>
      <c r="BH464" s="5" t="n">
        <v>0</v>
      </c>
      <c r="BI464" s="5" t="n">
        <v>0.64</v>
      </c>
      <c r="BJ464" s="5" t="n">
        <v>0.129</v>
      </c>
      <c r="BK464" s="5" t="n">
        <v>-0.621</v>
      </c>
      <c r="BL464" s="5" t="n">
        <v>0.019</v>
      </c>
      <c r="BM464" s="5" t="n">
        <v>0</v>
      </c>
      <c r="BN464" s="5" t="n">
        <v>0</v>
      </c>
      <c r="BO464" s="5" t="n">
        <v>0</v>
      </c>
      <c r="BP464" s="5" t="n">
        <v>-0.061</v>
      </c>
      <c r="BQ464" s="5" t="n">
        <v>0</v>
      </c>
      <c r="BR464" s="5" t="n">
        <v>0</v>
      </c>
      <c r="BS464" s="5" t="n">
        <v>1</v>
      </c>
      <c r="BT464" s="5" t="n">
        <v>0</v>
      </c>
      <c r="BU464" s="5" t="n">
        <v>-0.061</v>
      </c>
      <c r="BV464" s="5" t="n">
        <v>0.005</v>
      </c>
      <c r="BW464" s="5" t="n">
        <v>0</v>
      </c>
      <c r="BX464" s="5" t="n">
        <v>1</v>
      </c>
      <c r="BY464" s="5" t="n">
        <v>13.254</v>
      </c>
      <c r="BZ464" s="5" t="n">
        <v>0</v>
      </c>
      <c r="CA464" s="5" t="n">
        <v>13.254</v>
      </c>
      <c r="CB464" s="5" t="n">
        <v>0</v>
      </c>
      <c r="CC464" s="5" t="n">
        <v>87.07899999999999</v>
      </c>
      <c r="CD464" s="5" t="n">
        <v>7.95</v>
      </c>
      <c r="CE464" s="5" t="n">
        <v>-85.489</v>
      </c>
      <c r="CF464" s="5" t="n">
        <v>1.59</v>
      </c>
      <c r="CG464" s="5" t="n">
        <v>0</v>
      </c>
      <c r="CH464" s="5" t="n">
        <v>0</v>
      </c>
      <c r="CI464" s="5" t="n">
        <v>0</v>
      </c>
      <c r="CJ464" s="5" t="n">
        <v>0</v>
      </c>
      <c r="CK464" s="5" t="n">
        <v>0</v>
      </c>
      <c r="CL464" s="5" t="n">
        <v>0</v>
      </c>
      <c r="CM464" s="5" t="n">
        <v>0</v>
      </c>
      <c r="CN464" s="5" t="n">
        <v>0</v>
      </c>
      <c r="CO464" s="5" t="n">
        <v>0</v>
      </c>
      <c r="CP464" s="5" t="n">
        <v>0</v>
      </c>
      <c r="CQ464" s="5" t="n">
        <v>1.348</v>
      </c>
      <c r="CR464" s="5" t="n">
        <v>1</v>
      </c>
      <c r="CS464" s="5" t="n">
        <v>7.731</v>
      </c>
      <c r="CT464" s="5" t="n">
        <v>4.861</v>
      </c>
      <c r="CU464" s="5" t="n">
        <v>9.260999999999999</v>
      </c>
    </row>
    <row r="465">
      <c r="A465" s="5" t="inlineStr">
        <is>
          <t>LBY2024</t>
        </is>
      </c>
      <c r="B465" s="5" t="inlineStr">
        <is>
          <t>LBY</t>
        </is>
      </c>
      <c r="C465" s="5" t="inlineStr">
        <is>
          <t>LBY</t>
        </is>
      </c>
      <c r="D465" s="5" t="inlineStr">
        <is>
          <t>Libya</t>
        </is>
      </c>
      <c r="E465" s="5" t="n">
        <v>2024</v>
      </c>
      <c r="F465" s="5" t="n">
        <v>0</v>
      </c>
      <c r="G465" s="5" t="n">
        <v>5.575</v>
      </c>
      <c r="H465" s="5" t="n">
        <v>1.324</v>
      </c>
      <c r="I465" s="5" t="n">
        <v>0.208</v>
      </c>
      <c r="J465" s="5" t="n">
        <v>5.783</v>
      </c>
      <c r="K465" s="5" t="n">
        <v>0</v>
      </c>
      <c r="L465" s="5" t="n">
        <v>1</v>
      </c>
      <c r="M465" s="5" t="n">
        <v>7.124</v>
      </c>
      <c r="N465" s="5" t="n">
        <v>3.971</v>
      </c>
      <c r="O465" s="5" t="n">
        <v>0.176</v>
      </c>
      <c r="P465" s="5" t="n">
        <v>7.299</v>
      </c>
      <c r="Q465" s="5" t="n">
        <v>0</v>
      </c>
      <c r="R465" s="5" t="n">
        <v>1</v>
      </c>
      <c r="S465" s="5" t="n">
        <v>12.193</v>
      </c>
      <c r="T465" s="5" t="n">
        <v>7.942</v>
      </c>
      <c r="U465" s="5" t="n">
        <v>0.208</v>
      </c>
      <c r="V465" s="5" t="n">
        <v>12.401</v>
      </c>
      <c r="W465" s="5" t="n">
        <v>0</v>
      </c>
      <c r="X465" s="5" t="n">
        <v>1</v>
      </c>
      <c r="Y465" s="5" t="n">
        <v>8.26</v>
      </c>
      <c r="Z465" s="5" t="n">
        <v>0.906</v>
      </c>
      <c r="AA465" s="5" t="n">
        <v>-7.389</v>
      </c>
      <c r="AB465" s="5" t="n">
        <v>0.871</v>
      </c>
      <c r="AC465" s="5" t="n">
        <v>0</v>
      </c>
      <c r="AD465" s="5" t="n">
        <v>0</v>
      </c>
      <c r="AE465" s="5" t="n">
        <v>8.922000000000001</v>
      </c>
      <c r="AF465" s="5" t="n">
        <v>1.735</v>
      </c>
      <c r="AG465" s="5" t="n">
        <v>-8.678000000000001</v>
      </c>
      <c r="AH465" s="5" t="n">
        <v>0.244</v>
      </c>
      <c r="AI465" s="5" t="n">
        <v>0</v>
      </c>
      <c r="AJ465" s="5" t="n">
        <v>0</v>
      </c>
      <c r="AK465" s="5" t="n">
        <v>12.892</v>
      </c>
      <c r="AL465" s="5" t="n">
        <v>6.082</v>
      </c>
      <c r="AM465" s="5" t="n">
        <v>-0.696</v>
      </c>
      <c r="AN465" s="5" t="n">
        <v>12.197</v>
      </c>
      <c r="AO465" s="5" t="n">
        <v>0</v>
      </c>
      <c r="AP465" s="5" t="n">
        <v>1</v>
      </c>
      <c r="AQ465" s="5" t="n">
        <v>0.72</v>
      </c>
      <c r="AR465" s="5" t="n">
        <v>0.132</v>
      </c>
      <c r="AS465" s="5" t="n">
        <v>-0.6879999999999999</v>
      </c>
      <c r="AT465" s="5" t="n">
        <v>0.032</v>
      </c>
      <c r="AU465" s="5" t="n">
        <v>0</v>
      </c>
      <c r="AV465" s="5" t="n">
        <v>0</v>
      </c>
      <c r="AW465" s="5" t="n">
        <v>0.734</v>
      </c>
      <c r="AX465" s="5" t="n">
        <v>0.132</v>
      </c>
      <c r="AY465" s="5" t="n">
        <v>-0.702</v>
      </c>
      <c r="AZ465" s="5" t="n">
        <v>0.032</v>
      </c>
      <c r="BA465" s="5" t="n">
        <v>0</v>
      </c>
      <c r="BB465" s="5" t="n">
        <v>0</v>
      </c>
      <c r="BC465" s="5" t="n">
        <v>0.51</v>
      </c>
      <c r="BD465" s="5" t="n">
        <v>0.132</v>
      </c>
      <c r="BE465" s="5" t="n">
        <v>-0.496</v>
      </c>
      <c r="BF465" s="5" t="n">
        <v>0.014</v>
      </c>
      <c r="BG465" s="5" t="n">
        <v>0</v>
      </c>
      <c r="BH465" s="5" t="n">
        <v>0</v>
      </c>
      <c r="BI465" s="5" t="n">
        <v>0.652</v>
      </c>
      <c r="BJ465" s="5" t="n">
        <v>0.132</v>
      </c>
      <c r="BK465" s="5" t="n">
        <v>-0.633</v>
      </c>
      <c r="BL465" s="5" t="n">
        <v>0.019</v>
      </c>
      <c r="BM465" s="5" t="n">
        <v>0</v>
      </c>
      <c r="BN465" s="5" t="n">
        <v>0</v>
      </c>
      <c r="BO465" s="5" t="n">
        <v>0</v>
      </c>
      <c r="BP465" s="5" t="n">
        <v>-0.063</v>
      </c>
      <c r="BQ465" s="5" t="n">
        <v>0</v>
      </c>
      <c r="BR465" s="5" t="n">
        <v>0</v>
      </c>
      <c r="BS465" s="5" t="n">
        <v>1</v>
      </c>
      <c r="BT465" s="5" t="n">
        <v>0</v>
      </c>
      <c r="BU465" s="5" t="n">
        <v>-0.063</v>
      </c>
      <c r="BV465" s="5" t="n">
        <v>0.005</v>
      </c>
      <c r="BW465" s="5" t="n">
        <v>0</v>
      </c>
      <c r="BX465" s="5" t="n">
        <v>1</v>
      </c>
      <c r="BY465" s="5" t="n">
        <v>13.646</v>
      </c>
      <c r="BZ465" s="5" t="n">
        <v>0</v>
      </c>
      <c r="CA465" s="5" t="n">
        <v>13.646</v>
      </c>
      <c r="CB465" s="5" t="n">
        <v>0</v>
      </c>
      <c r="CC465" s="5" t="n">
        <v>86.38500000000001</v>
      </c>
      <c r="CD465" s="5" t="n">
        <v>7.95</v>
      </c>
      <c r="CE465" s="5" t="n">
        <v>-84.795</v>
      </c>
      <c r="CF465" s="5" t="n">
        <v>1.59</v>
      </c>
      <c r="CG465" s="5" t="n">
        <v>0</v>
      </c>
      <c r="CH465" s="5" t="n">
        <v>0</v>
      </c>
      <c r="CI465" s="5" t="n">
        <v>0</v>
      </c>
      <c r="CJ465" s="5" t="n">
        <v>0</v>
      </c>
      <c r="CK465" s="5" t="n">
        <v>0</v>
      </c>
      <c r="CL465" s="5" t="n">
        <v>0</v>
      </c>
      <c r="CM465" s="5" t="n">
        <v>0</v>
      </c>
      <c r="CN465" s="5" t="n">
        <v>0</v>
      </c>
      <c r="CO465" s="5" t="n">
        <v>0</v>
      </c>
      <c r="CP465" s="5" t="n">
        <v>0</v>
      </c>
      <c r="CQ465" s="5" t="n">
        <v>1.387</v>
      </c>
      <c r="CR465" s="5" t="n">
        <v>1</v>
      </c>
      <c r="CS465" s="5" t="n">
        <v>7.598</v>
      </c>
      <c r="CT465" s="5" t="n">
        <v>4.251</v>
      </c>
      <c r="CU465" s="5" t="n">
        <v>7.598</v>
      </c>
    </row>
    <row r="466">
      <c r="A466" s="5" t="inlineStr">
        <is>
          <t>LIE2021</t>
        </is>
      </c>
      <c r="B466" s="5" t="inlineStr">
        <is>
          <t>LIE</t>
        </is>
      </c>
      <c r="C466" s="5" t="inlineStr">
        <is>
          <t>LIE</t>
        </is>
      </c>
      <c r="D466" s="5" t="inlineStr">
        <is>
          <t>Liechtenstein</t>
        </is>
      </c>
      <c r="E466" s="5" t="n">
        <v>2021</v>
      </c>
      <c r="F466" s="5" t="n">
        <v>0.077</v>
      </c>
      <c r="G466" s="5" t="n">
        <v>5.553</v>
      </c>
      <c r="H466" s="5" t="n">
        <v>1.143</v>
      </c>
      <c r="I466" s="5" t="n">
        <v>3.278</v>
      </c>
      <c r="J466" s="5" t="n">
        <v>8.831</v>
      </c>
      <c r="K466" s="5" t="n">
        <v>0</v>
      </c>
      <c r="L466" s="5" t="n">
        <v>1</v>
      </c>
      <c r="M466" s="5" t="n">
        <v>7.964</v>
      </c>
      <c r="N466" s="5" t="n">
        <v>3.43</v>
      </c>
      <c r="O466" s="5" t="n">
        <v>3.269</v>
      </c>
      <c r="P466" s="5" t="n">
        <v>11.234</v>
      </c>
      <c r="Q466" s="5" t="n">
        <v>0</v>
      </c>
      <c r="R466" s="5" t="n">
        <v>1</v>
      </c>
      <c r="S466" s="5" t="n">
        <v>11.27</v>
      </c>
      <c r="T466" s="5" t="n">
        <v>6.86</v>
      </c>
      <c r="U466" s="5" t="n">
        <v>2.24</v>
      </c>
      <c r="V466" s="5" t="n">
        <v>14.55</v>
      </c>
      <c r="W466" s="5" t="n">
        <v>0.077</v>
      </c>
      <c r="X466" s="5" t="n">
        <v>1</v>
      </c>
      <c r="Y466" s="5" t="n">
        <v>27.896</v>
      </c>
      <c r="Z466" s="5" t="n">
        <v>3.081</v>
      </c>
      <c r="AA466" s="5" t="n">
        <v>-10.453</v>
      </c>
      <c r="AB466" s="5" t="n">
        <v>17.443</v>
      </c>
      <c r="AC466" s="5" t="n">
        <v>0</v>
      </c>
      <c r="AD466" s="5" t="n">
        <v>1</v>
      </c>
      <c r="AE466" s="5" t="n">
        <v>27.853</v>
      </c>
      <c r="AF466" s="5" t="n">
        <v>5.481</v>
      </c>
      <c r="AG466" s="5" t="n">
        <v>-10.41</v>
      </c>
      <c r="AH466" s="5" t="n">
        <v>17.443</v>
      </c>
      <c r="AI466" s="5" t="n">
        <v>0</v>
      </c>
      <c r="AJ466" s="5" t="n">
        <v>1</v>
      </c>
      <c r="AK466" s="5" t="n">
        <v>37.014</v>
      </c>
      <c r="AL466" s="5" t="n">
        <v>18.167</v>
      </c>
      <c r="AM466" s="5" t="n">
        <v>-15.073</v>
      </c>
      <c r="AN466" s="5" t="n">
        <v>23.631</v>
      </c>
      <c r="AO466" s="5" t="n">
        <v>0.077</v>
      </c>
      <c r="AP466" s="5" t="n">
        <v>1</v>
      </c>
      <c r="AQ466" s="5" t="n">
        <v>0.619</v>
      </c>
      <c r="AR466" s="5" t="n">
        <v>0.114</v>
      </c>
      <c r="AS466" s="5" t="n">
        <v>0.073</v>
      </c>
      <c r="AT466" s="5" t="n">
        <v>0.745</v>
      </c>
      <c r="AU466" s="5" t="n">
        <v>0.077</v>
      </c>
      <c r="AV466" s="5" t="n">
        <v>1</v>
      </c>
      <c r="AW466" s="5" t="n">
        <v>0.599</v>
      </c>
      <c r="AX466" s="5" t="n">
        <v>0.114</v>
      </c>
      <c r="AY466" s="5" t="n">
        <v>0.074</v>
      </c>
      <c r="AZ466" s="5" t="n">
        <v>0.725</v>
      </c>
      <c r="BA466" s="5" t="n">
        <v>0.077</v>
      </c>
      <c r="BB466" s="5" t="n">
        <v>1</v>
      </c>
      <c r="BC466" s="5" t="n">
        <v>0.439</v>
      </c>
      <c r="BD466" s="5" t="n">
        <v>0.114</v>
      </c>
      <c r="BE466" s="5" t="n">
        <v>0.046</v>
      </c>
      <c r="BF466" s="5" t="n">
        <v>0.523</v>
      </c>
      <c r="BG466" s="5" t="n">
        <v>0.077</v>
      </c>
      <c r="BH466" s="5" t="n">
        <v>1</v>
      </c>
      <c r="BI466" s="5" t="n">
        <v>0.505</v>
      </c>
      <c r="BJ466" s="5" t="n">
        <v>0.114</v>
      </c>
      <c r="BK466" s="5" t="n">
        <v>0.067</v>
      </c>
      <c r="BL466" s="5" t="n">
        <v>0.616</v>
      </c>
      <c r="BM466" s="5" t="n">
        <v>0.077</v>
      </c>
      <c r="BN466" s="5" t="n">
        <v>1</v>
      </c>
      <c r="BO466" s="5" t="n">
        <v>0</v>
      </c>
      <c r="BP466" s="5" t="n">
        <v>0</v>
      </c>
      <c r="BQ466" s="5" t="n">
        <v>0</v>
      </c>
      <c r="BR466" s="5" t="n">
        <v>0</v>
      </c>
      <c r="BS466" s="5" t="n">
        <v>1</v>
      </c>
      <c r="BT466" s="5" t="n">
        <v>0</v>
      </c>
      <c r="BU466" s="5" t="n">
        <v>0.016</v>
      </c>
      <c r="BV466" s="5" t="n">
        <v>0.248</v>
      </c>
      <c r="BW466" s="5" t="n">
        <v>0.077</v>
      </c>
      <c r="BX466" s="5" t="n">
        <v>1</v>
      </c>
      <c r="BY466" s="5" t="n">
        <v>11.787</v>
      </c>
      <c r="BZ466" s="5" t="n">
        <v>0</v>
      </c>
      <c r="CA466" s="5" t="n">
        <v>11.787</v>
      </c>
      <c r="CB466" s="5" t="n">
        <v>0</v>
      </c>
      <c r="CC466" s="5" t="n">
        <v>78.125</v>
      </c>
      <c r="CD466" s="5" t="n">
        <v>7.95</v>
      </c>
      <c r="CE466" s="5" t="n">
        <v>42.747</v>
      </c>
      <c r="CF466" s="5" t="n">
        <v>130.179</v>
      </c>
      <c r="CG466" s="5" t="n">
        <v>0.077</v>
      </c>
      <c r="CH466" s="5" t="n">
        <v>1</v>
      </c>
      <c r="CI466" s="5" t="n">
        <v>0</v>
      </c>
      <c r="CJ466" s="5" t="n">
        <v>0</v>
      </c>
      <c r="CK466" s="5" t="n">
        <v>0</v>
      </c>
      <c r="CL466" s="5" t="n">
        <v>0</v>
      </c>
      <c r="CM466" s="5" t="n">
        <v>0</v>
      </c>
      <c r="CN466" s="5" t="n">
        <v>0</v>
      </c>
      <c r="CO466" s="5" t="n">
        <v>0</v>
      </c>
      <c r="CP466" s="5" t="n">
        <v>0</v>
      </c>
      <c r="CQ466" s="5" t="n">
        <v>1.198</v>
      </c>
      <c r="CR466" s="5" t="n">
        <v>0</v>
      </c>
      <c r="CS466" s="5" t="n">
        <v>4.776</v>
      </c>
      <c r="CT466" s="5" t="n">
        <v>4.41</v>
      </c>
      <c r="CU466" s="5" t="n">
        <v>15.162</v>
      </c>
    </row>
    <row r="467">
      <c r="A467" s="5" t="inlineStr">
        <is>
          <t>LIE2022</t>
        </is>
      </c>
      <c r="B467" s="5" t="inlineStr">
        <is>
          <t>LIE</t>
        </is>
      </c>
      <c r="C467" s="5" t="inlineStr">
        <is>
          <t>LIE</t>
        </is>
      </c>
      <c r="D467" s="5" t="inlineStr">
        <is>
          <t>Liechtenstein</t>
        </is>
      </c>
      <c r="E467" s="5" t="n">
        <v>2022</v>
      </c>
      <c r="F467" s="5" t="n">
        <v>0.077</v>
      </c>
      <c r="G467" s="5" t="n">
        <v>7.077</v>
      </c>
      <c r="H467" s="5" t="n">
        <v>1.235</v>
      </c>
      <c r="I467" s="5" t="n">
        <v>8.454000000000001</v>
      </c>
      <c r="J467" s="5" t="n">
        <v>15.531</v>
      </c>
      <c r="K467" s="5" t="n">
        <v>0</v>
      </c>
      <c r="L467" s="5" t="n">
        <v>1</v>
      </c>
      <c r="M467" s="5" t="n">
        <v>9.782999999999999</v>
      </c>
      <c r="N467" s="5" t="n">
        <v>3.704</v>
      </c>
      <c r="O467" s="5" t="n">
        <v>8.411</v>
      </c>
      <c r="P467" s="5" t="n">
        <v>18.194</v>
      </c>
      <c r="Q467" s="5" t="n">
        <v>0</v>
      </c>
      <c r="R467" s="5" t="n">
        <v>1</v>
      </c>
      <c r="S467" s="5" t="n">
        <v>13.25</v>
      </c>
      <c r="T467" s="5" t="n">
        <v>7.408</v>
      </c>
      <c r="U467" s="5" t="n">
        <v>11.56</v>
      </c>
      <c r="V467" s="5" t="n">
        <v>26.569</v>
      </c>
      <c r="W467" s="5" t="n">
        <v>0.077</v>
      </c>
      <c r="X467" s="5" t="n">
        <v>1</v>
      </c>
      <c r="Y467" s="5" t="n">
        <v>44.151</v>
      </c>
      <c r="Z467" s="5" t="n">
        <v>4.632</v>
      </c>
      <c r="AA467" s="5" t="n">
        <v>-8.944000000000001</v>
      </c>
      <c r="AB467" s="5" t="n">
        <v>35.207</v>
      </c>
      <c r="AC467" s="5" t="n">
        <v>0</v>
      </c>
      <c r="AD467" s="5" t="n">
        <v>1</v>
      </c>
      <c r="AE467" s="5" t="n">
        <v>44.199</v>
      </c>
      <c r="AF467" s="5" t="n">
        <v>8.194000000000001</v>
      </c>
      <c r="AG467" s="5" t="n">
        <v>-8.99</v>
      </c>
      <c r="AH467" s="5" t="n">
        <v>35.209</v>
      </c>
      <c r="AI467" s="5" t="n">
        <v>0</v>
      </c>
      <c r="AJ467" s="5" t="n">
        <v>1</v>
      </c>
      <c r="AK467" s="5" t="n">
        <v>53.909</v>
      </c>
      <c r="AL467" s="5" t="n">
        <v>25.744</v>
      </c>
      <c r="AM467" s="5" t="n">
        <v>-13.26</v>
      </c>
      <c r="AN467" s="5" t="n">
        <v>43.778</v>
      </c>
      <c r="AO467" s="5" t="n">
        <v>0.077</v>
      </c>
      <c r="AP467" s="5" t="n">
        <v>1</v>
      </c>
      <c r="AQ467" s="5" t="n">
        <v>0.861</v>
      </c>
      <c r="AR467" s="5" t="n">
        <v>0.123</v>
      </c>
      <c r="AS467" s="5" t="n">
        <v>0.312</v>
      </c>
      <c r="AT467" s="5" t="n">
        <v>1.256</v>
      </c>
      <c r="AU467" s="5" t="n">
        <v>0.077</v>
      </c>
      <c r="AV467" s="5" t="n">
        <v>1</v>
      </c>
      <c r="AW467" s="5" t="n">
        <v>0.986</v>
      </c>
      <c r="AX467" s="5" t="n">
        <v>0.123</v>
      </c>
      <c r="AY467" s="5" t="n">
        <v>0.345</v>
      </c>
      <c r="AZ467" s="5" t="n">
        <v>1.425</v>
      </c>
      <c r="BA467" s="5" t="n">
        <v>0.077</v>
      </c>
      <c r="BB467" s="5" t="n">
        <v>1</v>
      </c>
      <c r="BC467" s="5" t="n">
        <v>0.598</v>
      </c>
      <c r="BD467" s="5" t="n">
        <v>0.123</v>
      </c>
      <c r="BE467" s="5" t="n">
        <v>0.22</v>
      </c>
      <c r="BF467" s="5" t="n">
        <v>0.876</v>
      </c>
      <c r="BG467" s="5" t="n">
        <v>0.077</v>
      </c>
      <c r="BH467" s="5" t="n">
        <v>1</v>
      </c>
      <c r="BI467" s="5" t="n">
        <v>0.612</v>
      </c>
      <c r="BJ467" s="5" t="n">
        <v>0.123</v>
      </c>
      <c r="BK467" s="5" t="n">
        <v>0.314</v>
      </c>
      <c r="BL467" s="5" t="n">
        <v>0.993</v>
      </c>
      <c r="BM467" s="5" t="n">
        <v>0.077</v>
      </c>
      <c r="BN467" s="5" t="n">
        <v>1</v>
      </c>
      <c r="BO467" s="5" t="n">
        <v>0</v>
      </c>
      <c r="BP467" s="5" t="n">
        <v>0</v>
      </c>
      <c r="BQ467" s="5" t="n">
        <v>0</v>
      </c>
      <c r="BR467" s="5" t="n">
        <v>0</v>
      </c>
      <c r="BS467" s="5" t="n">
        <v>1</v>
      </c>
      <c r="BT467" s="5" t="n">
        <v>0</v>
      </c>
      <c r="BU467" s="5" t="n">
        <v>0.016</v>
      </c>
      <c r="BV467" s="5" t="n">
        <v>0.238</v>
      </c>
      <c r="BW467" s="5" t="n">
        <v>0.077</v>
      </c>
      <c r="BX467" s="5" t="n">
        <v>1</v>
      </c>
      <c r="BY467" s="5" t="n">
        <v>12.729</v>
      </c>
      <c r="BZ467" s="5" t="n">
        <v>0</v>
      </c>
      <c r="CA467" s="5" t="n">
        <v>12.729</v>
      </c>
      <c r="CB467" s="5" t="n">
        <v>0</v>
      </c>
      <c r="CC467" s="5" t="n">
        <v>97.90000000000001</v>
      </c>
      <c r="CD467" s="5" t="n">
        <v>7.95</v>
      </c>
      <c r="CE467" s="5" t="n">
        <v>43.51</v>
      </c>
      <c r="CF467" s="5" t="n">
        <v>151.435</v>
      </c>
      <c r="CG467" s="5" t="n">
        <v>0.077</v>
      </c>
      <c r="CH467" s="5" t="n">
        <v>1</v>
      </c>
      <c r="CI467" s="5" t="n">
        <v>0</v>
      </c>
      <c r="CJ467" s="5" t="n">
        <v>0</v>
      </c>
      <c r="CK467" s="5" t="n">
        <v>0</v>
      </c>
      <c r="CL467" s="5" t="n">
        <v>0</v>
      </c>
      <c r="CM467" s="5" t="n">
        <v>0</v>
      </c>
      <c r="CN467" s="5" t="n">
        <v>0</v>
      </c>
      <c r="CO467" s="5" t="n">
        <v>0</v>
      </c>
      <c r="CP467" s="5" t="n">
        <v>0</v>
      </c>
      <c r="CQ467" s="5" t="n">
        <v>1.294</v>
      </c>
      <c r="CR467" s="5" t="n">
        <v>0</v>
      </c>
      <c r="CS467" s="5" t="n">
        <v>5.158</v>
      </c>
      <c r="CT467" s="5" t="n">
        <v>5.842</v>
      </c>
      <c r="CU467" s="5" t="n">
        <v>31.326</v>
      </c>
    </row>
    <row r="468">
      <c r="A468" s="5" t="inlineStr">
        <is>
          <t>LIE2023</t>
        </is>
      </c>
      <c r="B468" s="5" t="inlineStr">
        <is>
          <t>LIE</t>
        </is>
      </c>
      <c r="C468" s="5" t="inlineStr">
        <is>
          <t>LIE</t>
        </is>
      </c>
      <c r="D468" s="5" t="inlineStr">
        <is>
          <t>Liechtenstein</t>
        </is>
      </c>
      <c r="E468" s="5" t="n">
        <v>2023</v>
      </c>
      <c r="F468" s="5" t="n">
        <v>0.077</v>
      </c>
      <c r="G468" s="5" t="n">
        <v>4.752</v>
      </c>
      <c r="H468" s="5" t="n">
        <v>1.286</v>
      </c>
      <c r="I468" s="5" t="n">
        <v>9.773999999999999</v>
      </c>
      <c r="J468" s="5" t="n">
        <v>14.526</v>
      </c>
      <c r="K468" s="5" t="n">
        <v>0</v>
      </c>
      <c r="L468" s="5" t="n">
        <v>1</v>
      </c>
      <c r="M468" s="5" t="n">
        <v>7.886</v>
      </c>
      <c r="N468" s="5" t="n">
        <v>3.857</v>
      </c>
      <c r="O468" s="5" t="n">
        <v>9.721</v>
      </c>
      <c r="P468" s="5" t="n">
        <v>17.607</v>
      </c>
      <c r="Q468" s="5" t="n">
        <v>0</v>
      </c>
      <c r="R468" s="5" t="n">
        <v>1</v>
      </c>
      <c r="S468" s="5" t="n">
        <v>11.18</v>
      </c>
      <c r="T468" s="5" t="n">
        <v>7.714</v>
      </c>
      <c r="U468" s="5" t="n">
        <v>12.154</v>
      </c>
      <c r="V468" s="5" t="n">
        <v>24.918</v>
      </c>
      <c r="W468" s="5" t="n">
        <v>0.077</v>
      </c>
      <c r="X468" s="5" t="n">
        <v>1</v>
      </c>
      <c r="Y468" s="5" t="n">
        <v>24.499</v>
      </c>
      <c r="Z468" s="5" t="n">
        <v>2.744</v>
      </c>
      <c r="AA468" s="5" t="n">
        <v>23.233</v>
      </c>
      <c r="AB468" s="5" t="n">
        <v>47.732</v>
      </c>
      <c r="AC468" s="5" t="n">
        <v>0</v>
      </c>
      <c r="AD468" s="5" t="n">
        <v>1</v>
      </c>
      <c r="AE468" s="5" t="n">
        <v>24.598</v>
      </c>
      <c r="AF468" s="5" t="n">
        <v>4.899</v>
      </c>
      <c r="AG468" s="5" t="n">
        <v>23.137</v>
      </c>
      <c r="AH468" s="5" t="n">
        <v>47.734</v>
      </c>
      <c r="AI468" s="5" t="n">
        <v>0</v>
      </c>
      <c r="AJ468" s="5" t="n">
        <v>1</v>
      </c>
      <c r="AK468" s="5" t="n">
        <v>34.613</v>
      </c>
      <c r="AL468" s="5" t="n">
        <v>17.146</v>
      </c>
      <c r="AM468" s="5" t="n">
        <v>21.899</v>
      </c>
      <c r="AN468" s="5" t="n">
        <v>60.863</v>
      </c>
      <c r="AO468" s="5" t="n">
        <v>0.077</v>
      </c>
      <c r="AP468" s="5" t="n">
        <v>1</v>
      </c>
      <c r="AQ468" s="5" t="n">
        <v>0.76</v>
      </c>
      <c r="AR468" s="5" t="n">
        <v>0.129</v>
      </c>
      <c r="AS468" s="5" t="n">
        <v>0.324</v>
      </c>
      <c r="AT468" s="5" t="n">
        <v>1.158</v>
      </c>
      <c r="AU468" s="5" t="n">
        <v>0.077</v>
      </c>
      <c r="AV468" s="5" t="n">
        <v>1</v>
      </c>
      <c r="AW468" s="5" t="n">
        <v>0.8110000000000001</v>
      </c>
      <c r="AX468" s="5" t="n">
        <v>0.129</v>
      </c>
      <c r="AY468" s="5" t="n">
        <v>0.358</v>
      </c>
      <c r="AZ468" s="5" t="n">
        <v>1.248</v>
      </c>
      <c r="BA468" s="5" t="n">
        <v>0.077</v>
      </c>
      <c r="BB468" s="5" t="n">
        <v>1</v>
      </c>
      <c r="BC468" s="5" t="n">
        <v>0.535</v>
      </c>
      <c r="BD468" s="5" t="n">
        <v>0.129</v>
      </c>
      <c r="BE468" s="5" t="n">
        <v>0.23</v>
      </c>
      <c r="BF468" s="5" t="n">
        <v>0.8169999999999999</v>
      </c>
      <c r="BG468" s="5" t="n">
        <v>0.077</v>
      </c>
      <c r="BH468" s="5" t="n">
        <v>1</v>
      </c>
      <c r="BI468" s="5" t="n">
        <v>0.579</v>
      </c>
      <c r="BJ468" s="5" t="n">
        <v>0.129</v>
      </c>
      <c r="BK468" s="5" t="n">
        <v>0.33</v>
      </c>
      <c r="BL468" s="5" t="n">
        <v>0.972</v>
      </c>
      <c r="BM468" s="5" t="n">
        <v>0.077</v>
      </c>
      <c r="BN468" s="5" t="n">
        <v>1</v>
      </c>
      <c r="BO468" s="5" t="n">
        <v>0</v>
      </c>
      <c r="BP468" s="5" t="n">
        <v>0</v>
      </c>
      <c r="BQ468" s="5" t="n">
        <v>0</v>
      </c>
      <c r="BR468" s="5" t="n">
        <v>0</v>
      </c>
      <c r="BS468" s="5" t="n">
        <v>1</v>
      </c>
      <c r="BT468" s="5" t="n">
        <v>0</v>
      </c>
      <c r="BU468" s="5" t="n">
        <v>0.017</v>
      </c>
      <c r="BV468" s="5" t="n">
        <v>0.429</v>
      </c>
      <c r="BW468" s="5" t="n">
        <v>0.077</v>
      </c>
      <c r="BX468" s="5" t="n">
        <v>1</v>
      </c>
      <c r="BY468" s="5" t="n">
        <v>13.254</v>
      </c>
      <c r="BZ468" s="5" t="n">
        <v>0</v>
      </c>
      <c r="CA468" s="5" t="n">
        <v>13.254</v>
      </c>
      <c r="CB468" s="5" t="n">
        <v>0</v>
      </c>
      <c r="CC468" s="5" t="n">
        <v>83.248</v>
      </c>
      <c r="CD468" s="5" t="n">
        <v>7.95</v>
      </c>
      <c r="CE468" s="5" t="n">
        <v>49.955</v>
      </c>
      <c r="CF468" s="5" t="n">
        <v>142.247</v>
      </c>
      <c r="CG468" s="5" t="n">
        <v>0.077</v>
      </c>
      <c r="CH468" s="5" t="n">
        <v>1</v>
      </c>
      <c r="CI468" s="5" t="n">
        <v>0</v>
      </c>
      <c r="CJ468" s="5" t="n">
        <v>0</v>
      </c>
      <c r="CK468" s="5" t="n">
        <v>0</v>
      </c>
      <c r="CL468" s="5" t="n">
        <v>0</v>
      </c>
      <c r="CM468" s="5" t="n">
        <v>0</v>
      </c>
      <c r="CN468" s="5" t="n">
        <v>0</v>
      </c>
      <c r="CO468" s="5" t="n">
        <v>0</v>
      </c>
      <c r="CP468" s="5" t="n">
        <v>0</v>
      </c>
      <c r="CQ468" s="5" t="n">
        <v>1.348</v>
      </c>
      <c r="CR468" s="5" t="n">
        <v>0</v>
      </c>
      <c r="CS468" s="5" t="n">
        <v>5.37</v>
      </c>
      <c r="CT468" s="5" t="n">
        <v>3.466</v>
      </c>
      <c r="CU468" s="5" t="n">
        <v>11.622</v>
      </c>
    </row>
    <row r="469">
      <c r="A469" s="5" t="inlineStr">
        <is>
          <t>LIE2024</t>
        </is>
      </c>
      <c r="B469" s="5" t="inlineStr">
        <is>
          <t>LIE</t>
        </is>
      </c>
      <c r="C469" s="5" t="inlineStr">
        <is>
          <t>LIE</t>
        </is>
      </c>
      <c r="D469" s="5" t="inlineStr">
        <is>
          <t>Liechtenstein</t>
        </is>
      </c>
      <c r="E469" s="5" t="n">
        <v>2024</v>
      </c>
      <c r="F469" s="5" t="n">
        <v>0.077</v>
      </c>
      <c r="G469" s="5" t="n">
        <v>4.351</v>
      </c>
      <c r="H469" s="5" t="n">
        <v>1.324</v>
      </c>
      <c r="I469" s="5" t="n">
        <v>6.411</v>
      </c>
      <c r="J469" s="5" t="n">
        <v>10.762</v>
      </c>
      <c r="K469" s="5" t="n">
        <v>0</v>
      </c>
      <c r="L469" s="5" t="n">
        <v>1</v>
      </c>
      <c r="M469" s="5" t="n">
        <v>7.124</v>
      </c>
      <c r="N469" s="5" t="n">
        <v>3.971</v>
      </c>
      <c r="O469" s="5" t="n">
        <v>6.375</v>
      </c>
      <c r="P469" s="5" t="n">
        <v>13.499</v>
      </c>
      <c r="Q469" s="5" t="n">
        <v>0</v>
      </c>
      <c r="R469" s="5" t="n">
        <v>1</v>
      </c>
      <c r="S469" s="5" t="n">
        <v>10.969</v>
      </c>
      <c r="T469" s="5" t="n">
        <v>7.942</v>
      </c>
      <c r="U469" s="5" t="n">
        <v>12.675</v>
      </c>
      <c r="V469" s="5" t="n">
        <v>25.2</v>
      </c>
      <c r="W469" s="5" t="n">
        <v>0.077</v>
      </c>
      <c r="X469" s="5" t="n">
        <v>1</v>
      </c>
      <c r="Y469" s="5" t="n">
        <v>24.941</v>
      </c>
      <c r="Z469" s="5" t="n">
        <v>3.149</v>
      </c>
      <c r="AA469" s="5" t="n">
        <v>10.573</v>
      </c>
      <c r="AB469" s="5" t="n">
        <v>35.514</v>
      </c>
      <c r="AC469" s="5" t="n">
        <v>0</v>
      </c>
      <c r="AD469" s="5" t="n">
        <v>1</v>
      </c>
      <c r="AE469" s="5" t="n">
        <v>24.941</v>
      </c>
      <c r="AF469" s="5" t="n">
        <v>5.464</v>
      </c>
      <c r="AG469" s="5" t="n">
        <v>10.574</v>
      </c>
      <c r="AH469" s="5" t="n">
        <v>35.516</v>
      </c>
      <c r="AI469" s="5" t="n">
        <v>0</v>
      </c>
      <c r="AJ469" s="5" t="n">
        <v>1</v>
      </c>
      <c r="AK469" s="5" t="n">
        <v>36.821</v>
      </c>
      <c r="AL469" s="5" t="n">
        <v>18.728</v>
      </c>
      <c r="AM469" s="5" t="n">
        <v>6.906</v>
      </c>
      <c r="AN469" s="5" t="n">
        <v>47.094</v>
      </c>
      <c r="AO469" s="5" t="n">
        <v>0.077</v>
      </c>
      <c r="AP469" s="5" t="n">
        <v>1</v>
      </c>
      <c r="AQ469" s="5" t="n">
        <v>0.724</v>
      </c>
      <c r="AR469" s="5" t="n">
        <v>0.132</v>
      </c>
      <c r="AS469" s="5" t="n">
        <v>0.337</v>
      </c>
      <c r="AT469" s="5" t="n">
        <v>1.131</v>
      </c>
      <c r="AU469" s="5" t="n">
        <v>0.077</v>
      </c>
      <c r="AV469" s="5" t="n">
        <v>1</v>
      </c>
      <c r="AW469" s="5" t="n">
        <v>0.75</v>
      </c>
      <c r="AX469" s="5" t="n">
        <v>0.132</v>
      </c>
      <c r="AY469" s="5" t="n">
        <v>0.371</v>
      </c>
      <c r="AZ469" s="5" t="n">
        <v>1.195</v>
      </c>
      <c r="BA469" s="5" t="n">
        <v>0.077</v>
      </c>
      <c r="BB469" s="5" t="n">
        <v>1</v>
      </c>
      <c r="BC469" s="5" t="n">
        <v>0.513</v>
      </c>
      <c r="BD469" s="5" t="n">
        <v>0.132</v>
      </c>
      <c r="BE469" s="5" t="n">
        <v>0.239</v>
      </c>
      <c r="BF469" s="5" t="n">
        <v>0.802</v>
      </c>
      <c r="BG469" s="5" t="n">
        <v>0.077</v>
      </c>
      <c r="BH469" s="5" t="n">
        <v>1</v>
      </c>
      <c r="BI469" s="5" t="n">
        <v>0.591</v>
      </c>
      <c r="BJ469" s="5" t="n">
        <v>0.132</v>
      </c>
      <c r="BK469" s="5" t="n">
        <v>0.345</v>
      </c>
      <c r="BL469" s="5" t="n">
        <v>0.998</v>
      </c>
      <c r="BM469" s="5" t="n">
        <v>0.077</v>
      </c>
      <c r="BN469" s="5" t="n">
        <v>1</v>
      </c>
      <c r="BO469" s="5" t="n">
        <v>0</v>
      </c>
      <c r="BP469" s="5" t="n">
        <v>0</v>
      </c>
      <c r="BQ469" s="5" t="n">
        <v>0</v>
      </c>
      <c r="BR469" s="5" t="n">
        <v>0</v>
      </c>
      <c r="BS469" s="5" t="n">
        <v>1</v>
      </c>
      <c r="BT469" s="5" t="n">
        <v>0</v>
      </c>
      <c r="BU469" s="5" t="n">
        <v>0.017</v>
      </c>
      <c r="BV469" s="5" t="n">
        <v>0.341</v>
      </c>
      <c r="BW469" s="5" t="n">
        <v>0.077</v>
      </c>
      <c r="BX469" s="5" t="n">
        <v>1</v>
      </c>
      <c r="BY469" s="5" t="n">
        <v>13.646</v>
      </c>
      <c r="BZ469" s="5" t="n">
        <v>0</v>
      </c>
      <c r="CA469" s="5" t="n">
        <v>13.646</v>
      </c>
      <c r="CB469" s="5" t="n">
        <v>0</v>
      </c>
      <c r="CC469" s="5" t="n">
        <v>82.58799999999999</v>
      </c>
      <c r="CD469" s="5" t="n">
        <v>7.95</v>
      </c>
      <c r="CE469" s="5" t="n">
        <v>33.79</v>
      </c>
      <c r="CF469" s="5" t="n">
        <v>124.039</v>
      </c>
      <c r="CG469" s="5" t="n">
        <v>0.077</v>
      </c>
      <c r="CH469" s="5" t="n">
        <v>1</v>
      </c>
      <c r="CI469" s="5" t="n">
        <v>0</v>
      </c>
      <c r="CJ469" s="5" t="n">
        <v>0</v>
      </c>
      <c r="CK469" s="5" t="n">
        <v>0</v>
      </c>
      <c r="CL469" s="5" t="n">
        <v>0</v>
      </c>
      <c r="CM469" s="5" t="n">
        <v>0</v>
      </c>
      <c r="CN469" s="5" t="n">
        <v>0</v>
      </c>
      <c r="CO469" s="5" t="n">
        <v>0</v>
      </c>
      <c r="CP469" s="5" t="n">
        <v>0</v>
      </c>
      <c r="CQ469" s="5" t="n">
        <v>1.387</v>
      </c>
      <c r="CR469" s="5" t="n">
        <v>0</v>
      </c>
      <c r="CS469" s="5" t="n">
        <v>5.529</v>
      </c>
      <c r="CT469" s="5" t="n">
        <v>3.027</v>
      </c>
      <c r="CU469" s="5" t="n">
        <v>10.168</v>
      </c>
    </row>
    <row r="470">
      <c r="A470" s="5" t="inlineStr">
        <is>
          <t>LTU2021</t>
        </is>
      </c>
      <c r="B470" s="5" t="inlineStr">
        <is>
          <t>LTU</t>
        </is>
      </c>
      <c r="C470" s="5" t="inlineStr">
        <is>
          <t>LTU</t>
        </is>
      </c>
      <c r="D470" s="5" t="inlineStr">
        <is>
          <t>Lithuania</t>
        </is>
      </c>
      <c r="E470" s="5" t="n">
        <v>2021</v>
      </c>
      <c r="F470" s="5" t="n">
        <v>0.21</v>
      </c>
      <c r="G470" s="5" t="n">
        <v>4.161</v>
      </c>
      <c r="H470" s="5" t="n">
        <v>1.085</v>
      </c>
      <c r="I470" s="5" t="n">
        <v>0.629</v>
      </c>
      <c r="J470" s="5" t="n">
        <v>4.79</v>
      </c>
      <c r="K470" s="5" t="n">
        <v>0</v>
      </c>
      <c r="L470" s="5" t="n">
        <v>1</v>
      </c>
      <c r="M470" s="5" t="n">
        <v>7.446</v>
      </c>
      <c r="N470" s="5" t="n">
        <v>3.254</v>
      </c>
      <c r="O470" s="5" t="n">
        <v>0.718</v>
      </c>
      <c r="P470" s="5" t="n">
        <v>8.164</v>
      </c>
      <c r="Q470" s="5" t="n">
        <v>0</v>
      </c>
      <c r="R470" s="5" t="n">
        <v>1</v>
      </c>
      <c r="S470" s="5" t="n">
        <v>9.584</v>
      </c>
      <c r="T470" s="5" t="n">
        <v>6.508</v>
      </c>
      <c r="U470" s="5" t="n">
        <v>0.276</v>
      </c>
      <c r="V470" s="5" t="n">
        <v>11.93</v>
      </c>
      <c r="W470" s="5" t="n">
        <v>0.21</v>
      </c>
      <c r="X470" s="5" t="n">
        <v>1</v>
      </c>
      <c r="Y470" s="5" t="n">
        <v>10.282</v>
      </c>
      <c r="Z470" s="5" t="n">
        <v>1.136</v>
      </c>
      <c r="AA470" s="5" t="n">
        <v>6.572</v>
      </c>
      <c r="AB470" s="5" t="n">
        <v>16.854</v>
      </c>
      <c r="AC470" s="5" t="n">
        <v>0</v>
      </c>
      <c r="AD470" s="5" t="n">
        <v>1</v>
      </c>
      <c r="AE470" s="5" t="n">
        <v>10.239</v>
      </c>
      <c r="AF470" s="5" t="n">
        <v>2.015</v>
      </c>
      <c r="AG470" s="5" t="n">
        <v>6.616</v>
      </c>
      <c r="AH470" s="5" t="n">
        <v>16.854</v>
      </c>
      <c r="AI470" s="5" t="n">
        <v>0</v>
      </c>
      <c r="AJ470" s="5" t="n">
        <v>1</v>
      </c>
      <c r="AK470" s="5" t="n">
        <v>14.812</v>
      </c>
      <c r="AL470" s="5" t="n">
        <v>7.27</v>
      </c>
      <c r="AM470" s="5" t="n">
        <v>-5.467</v>
      </c>
      <c r="AN470" s="5" t="n">
        <v>11.308</v>
      </c>
      <c r="AO470" s="5" t="n">
        <v>0.21</v>
      </c>
      <c r="AP470" s="5" t="n">
        <v>1</v>
      </c>
      <c r="AQ470" s="5" t="n">
        <v>0.619</v>
      </c>
      <c r="AR470" s="5" t="n">
        <v>0.114</v>
      </c>
      <c r="AS470" s="5" t="n">
        <v>0.635</v>
      </c>
      <c r="AT470" s="5" t="n">
        <v>1.517</v>
      </c>
      <c r="AU470" s="5" t="n">
        <v>0.21</v>
      </c>
      <c r="AV470" s="5" t="n">
        <v>1</v>
      </c>
      <c r="AW470" s="5" t="n">
        <v>0.599</v>
      </c>
      <c r="AX470" s="5" t="n">
        <v>0.114</v>
      </c>
      <c r="AY470" s="5" t="n">
        <v>0.554</v>
      </c>
      <c r="AZ470" s="5" t="n">
        <v>1.395</v>
      </c>
      <c r="BA470" s="5" t="n">
        <v>0.21</v>
      </c>
      <c r="BB470" s="5" t="n">
        <v>1</v>
      </c>
      <c r="BC470" s="5" t="n">
        <v>0.439</v>
      </c>
      <c r="BD470" s="5" t="n">
        <v>0.114</v>
      </c>
      <c r="BE470" s="5" t="n">
        <v>0.18</v>
      </c>
      <c r="BF470" s="5" t="n">
        <v>0.749</v>
      </c>
      <c r="BG470" s="5" t="n">
        <v>0.21</v>
      </c>
      <c r="BH470" s="5" t="n">
        <v>1</v>
      </c>
      <c r="BI470" s="5" t="n">
        <v>0.505</v>
      </c>
      <c r="BJ470" s="5" t="n">
        <v>0.114</v>
      </c>
      <c r="BK470" s="5" t="n">
        <v>0.08599999999999999</v>
      </c>
      <c r="BL470" s="5" t="n">
        <v>0.715</v>
      </c>
      <c r="BM470" s="5" t="n">
        <v>0.21</v>
      </c>
      <c r="BN470" s="5" t="n">
        <v>1</v>
      </c>
      <c r="BO470" s="5" t="n">
        <v>0</v>
      </c>
      <c r="BP470" s="5" t="n">
        <v>0.013</v>
      </c>
      <c r="BQ470" s="5" t="n">
        <v>0.107</v>
      </c>
      <c r="BR470" s="5" t="n">
        <v>0</v>
      </c>
      <c r="BS470" s="5" t="n">
        <v>1</v>
      </c>
      <c r="BT470" s="5" t="n">
        <v>0</v>
      </c>
      <c r="BU470" s="5" t="n">
        <v>0.012</v>
      </c>
      <c r="BV470" s="5" t="n">
        <v>0.167</v>
      </c>
      <c r="BW470" s="5" t="n">
        <v>0.21</v>
      </c>
      <c r="BX470" s="5" t="n">
        <v>1</v>
      </c>
      <c r="BY470" s="5" t="n">
        <v>11.787</v>
      </c>
      <c r="BZ470" s="5" t="n">
        <v>0</v>
      </c>
      <c r="CA470" s="5" t="n">
        <v>11.787</v>
      </c>
      <c r="CB470" s="5" t="n">
        <v>0</v>
      </c>
      <c r="CC470" s="5" t="n">
        <v>78.125</v>
      </c>
      <c r="CD470" s="5" t="n">
        <v>7.95</v>
      </c>
      <c r="CE470" s="5" t="n">
        <v>18.405</v>
      </c>
      <c r="CF470" s="5" t="n">
        <v>116.802</v>
      </c>
      <c r="CG470" s="5" t="n">
        <v>0.21</v>
      </c>
      <c r="CH470" s="5" t="n">
        <v>1</v>
      </c>
      <c r="CI470" s="5" t="n">
        <v>0</v>
      </c>
      <c r="CJ470" s="5" t="n">
        <v>0</v>
      </c>
      <c r="CK470" s="5" t="n">
        <v>0</v>
      </c>
      <c r="CL470" s="5" t="n">
        <v>0</v>
      </c>
      <c r="CM470" s="5" t="n">
        <v>0</v>
      </c>
      <c r="CN470" s="5" t="n">
        <v>0</v>
      </c>
      <c r="CO470" s="5" t="n">
        <v>0</v>
      </c>
      <c r="CP470" s="5" t="n">
        <v>0.103</v>
      </c>
      <c r="CQ470" s="5" t="n">
        <v>1.198</v>
      </c>
      <c r="CR470" s="5" t="n">
        <v>0</v>
      </c>
      <c r="CS470" s="5" t="n">
        <v>4.776</v>
      </c>
      <c r="CT470" s="5" t="n">
        <v>3.291</v>
      </c>
      <c r="CU470" s="5" t="n">
        <v>9.837999999999999</v>
      </c>
    </row>
    <row r="471">
      <c r="A471" s="5" t="inlineStr">
        <is>
          <t>LTU2022</t>
        </is>
      </c>
      <c r="B471" s="5" t="inlineStr">
        <is>
          <t>LTU</t>
        </is>
      </c>
      <c r="C471" s="5" t="inlineStr">
        <is>
          <t>LTU</t>
        </is>
      </c>
      <c r="D471" s="5" t="inlineStr">
        <is>
          <t>Lithuania</t>
        </is>
      </c>
      <c r="E471" s="5" t="n">
        <v>2022</v>
      </c>
      <c r="F471" s="5" t="n">
        <v>0.21</v>
      </c>
      <c r="G471" s="5" t="n">
        <v>7.093</v>
      </c>
      <c r="H471" s="5" t="n">
        <v>1.235</v>
      </c>
      <c r="I471" s="5" t="n">
        <v>8.541</v>
      </c>
      <c r="J471" s="5" t="n">
        <v>15.634</v>
      </c>
      <c r="K471" s="5" t="n">
        <v>0</v>
      </c>
      <c r="L471" s="5" t="n">
        <v>1</v>
      </c>
      <c r="M471" s="5" t="n">
        <v>9.782999999999999</v>
      </c>
      <c r="N471" s="5" t="n">
        <v>3.704</v>
      </c>
      <c r="O471" s="5" t="n">
        <v>8.52</v>
      </c>
      <c r="P471" s="5" t="n">
        <v>18.303</v>
      </c>
      <c r="Q471" s="5" t="n">
        <v>0</v>
      </c>
      <c r="R471" s="5" t="n">
        <v>1</v>
      </c>
      <c r="S471" s="5" t="n">
        <v>13.266</v>
      </c>
      <c r="T471" s="5" t="n">
        <v>7.408</v>
      </c>
      <c r="U471" s="5" t="n">
        <v>0.579</v>
      </c>
      <c r="V471" s="5" t="n">
        <v>16.497</v>
      </c>
      <c r="W471" s="5" t="n">
        <v>0.21</v>
      </c>
      <c r="X471" s="5" t="n">
        <v>1</v>
      </c>
      <c r="Y471" s="5" t="n">
        <v>27.254</v>
      </c>
      <c r="Z471" s="5" t="n">
        <v>2.859</v>
      </c>
      <c r="AA471" s="5" t="n">
        <v>10.709</v>
      </c>
      <c r="AB471" s="5" t="n">
        <v>37.963</v>
      </c>
      <c r="AC471" s="5" t="n">
        <v>0</v>
      </c>
      <c r="AD471" s="5" t="n">
        <v>1</v>
      </c>
      <c r="AE471" s="5" t="n">
        <v>27.302</v>
      </c>
      <c r="AF471" s="5" t="n">
        <v>5.061</v>
      </c>
      <c r="AG471" s="5" t="n">
        <v>10.661</v>
      </c>
      <c r="AH471" s="5" t="n">
        <v>37.963</v>
      </c>
      <c r="AI471" s="5" t="n">
        <v>0</v>
      </c>
      <c r="AJ471" s="5" t="n">
        <v>1</v>
      </c>
      <c r="AK471" s="5" t="n">
        <v>32.241</v>
      </c>
      <c r="AL471" s="5" t="n">
        <v>15.396</v>
      </c>
      <c r="AM471" s="5" t="n">
        <v>-9.576000000000001</v>
      </c>
      <c r="AN471" s="5" t="n">
        <v>27.424</v>
      </c>
      <c r="AO471" s="5" t="n">
        <v>0.21</v>
      </c>
      <c r="AP471" s="5" t="n">
        <v>1</v>
      </c>
      <c r="AQ471" s="5" t="n">
        <v>0.861</v>
      </c>
      <c r="AR471" s="5" t="n">
        <v>0.123</v>
      </c>
      <c r="AS471" s="5" t="n">
        <v>0.625</v>
      </c>
      <c r="AT471" s="5" t="n">
        <v>1.799</v>
      </c>
      <c r="AU471" s="5" t="n">
        <v>0.21</v>
      </c>
      <c r="AV471" s="5" t="n">
        <v>1</v>
      </c>
      <c r="AW471" s="5" t="n">
        <v>0.986</v>
      </c>
      <c r="AX471" s="5" t="n">
        <v>0.123</v>
      </c>
      <c r="AY471" s="5" t="n">
        <v>0.537</v>
      </c>
      <c r="AZ471" s="5" t="n">
        <v>1.843</v>
      </c>
      <c r="BA471" s="5" t="n">
        <v>0.21</v>
      </c>
      <c r="BB471" s="5" t="n">
        <v>1</v>
      </c>
      <c r="BC471" s="5" t="n">
        <v>0.598</v>
      </c>
      <c r="BD471" s="5" t="n">
        <v>0.123</v>
      </c>
      <c r="BE471" s="5" t="n">
        <v>0.054</v>
      </c>
      <c r="BF471" s="5" t="n">
        <v>0.789</v>
      </c>
      <c r="BG471" s="5" t="n">
        <v>0.21</v>
      </c>
      <c r="BH471" s="5" t="n">
        <v>1</v>
      </c>
      <c r="BI471" s="5" t="n">
        <v>0.612</v>
      </c>
      <c r="BJ471" s="5" t="n">
        <v>0.123</v>
      </c>
      <c r="BK471" s="5" t="n">
        <v>0.414</v>
      </c>
      <c r="BL471" s="5" t="n">
        <v>1.242</v>
      </c>
      <c r="BM471" s="5" t="n">
        <v>0.21</v>
      </c>
      <c r="BN471" s="5" t="n">
        <v>1</v>
      </c>
      <c r="BO471" s="5" t="n">
        <v>0</v>
      </c>
      <c r="BP471" s="5" t="n">
        <v>0.002</v>
      </c>
      <c r="BQ471" s="5" t="n">
        <v>0.229</v>
      </c>
      <c r="BR471" s="5" t="n">
        <v>0</v>
      </c>
      <c r="BS471" s="5" t="n">
        <v>1</v>
      </c>
      <c r="BT471" s="5" t="n">
        <v>0</v>
      </c>
      <c r="BU471" s="5" t="n">
        <v>0.002</v>
      </c>
      <c r="BV471" s="5" t="n">
        <v>0.207</v>
      </c>
      <c r="BW471" s="5" t="n">
        <v>0.21</v>
      </c>
      <c r="BX471" s="5" t="n">
        <v>1</v>
      </c>
      <c r="BY471" s="5" t="n">
        <v>12.729</v>
      </c>
      <c r="BZ471" s="5" t="n">
        <v>0</v>
      </c>
      <c r="CA471" s="5" t="n">
        <v>12.729</v>
      </c>
      <c r="CB471" s="5" t="n">
        <v>0</v>
      </c>
      <c r="CC471" s="5" t="n">
        <v>97.90000000000001</v>
      </c>
      <c r="CD471" s="5" t="n">
        <v>7.95</v>
      </c>
      <c r="CE471" s="5" t="n">
        <v>98.617</v>
      </c>
      <c r="CF471" s="5" t="n">
        <v>237.786</v>
      </c>
      <c r="CG471" s="5" t="n">
        <v>0.21</v>
      </c>
      <c r="CH471" s="5" t="n">
        <v>1</v>
      </c>
      <c r="CI471" s="5" t="n">
        <v>0</v>
      </c>
      <c r="CJ471" s="5" t="n">
        <v>0</v>
      </c>
      <c r="CK471" s="5" t="n">
        <v>0</v>
      </c>
      <c r="CL471" s="5" t="n">
        <v>0</v>
      </c>
      <c r="CM471" s="5" t="n">
        <v>0</v>
      </c>
      <c r="CN471" s="5" t="n">
        <v>0</v>
      </c>
      <c r="CO471" s="5" t="n">
        <v>0</v>
      </c>
      <c r="CP471" s="5" t="n">
        <v>0</v>
      </c>
      <c r="CQ471" s="5" t="n">
        <v>1.294</v>
      </c>
      <c r="CR471" s="5" t="n">
        <v>0</v>
      </c>
      <c r="CS471" s="5" t="n">
        <v>5.158</v>
      </c>
      <c r="CT471" s="5" t="n">
        <v>5.858</v>
      </c>
      <c r="CU471" s="5" t="n">
        <v>26.718</v>
      </c>
    </row>
    <row r="472">
      <c r="A472" s="5" t="inlineStr">
        <is>
          <t>LTU2023</t>
        </is>
      </c>
      <c r="B472" s="5" t="inlineStr">
        <is>
          <t>LTU</t>
        </is>
      </c>
      <c r="C472" s="5" t="inlineStr">
        <is>
          <t>LTU</t>
        </is>
      </c>
      <c r="D472" s="5" t="inlineStr">
        <is>
          <t>Lithuania</t>
        </is>
      </c>
      <c r="E472" s="5" t="n">
        <v>2023</v>
      </c>
      <c r="F472" s="5" t="n">
        <v>0.21</v>
      </c>
      <c r="G472" s="5" t="n">
        <v>6.244</v>
      </c>
      <c r="H472" s="5" t="n">
        <v>1.207</v>
      </c>
      <c r="I472" s="5" t="n">
        <v>9.898</v>
      </c>
      <c r="J472" s="5" t="n">
        <v>16.143</v>
      </c>
      <c r="K472" s="5" t="n">
        <v>0</v>
      </c>
      <c r="L472" s="5" t="n">
        <v>1</v>
      </c>
      <c r="M472" s="5" t="n">
        <v>7.318</v>
      </c>
      <c r="N472" s="5" t="n">
        <v>3.62</v>
      </c>
      <c r="O472" s="5" t="n">
        <v>9.855</v>
      </c>
      <c r="P472" s="5" t="n">
        <v>17.174</v>
      </c>
      <c r="Q472" s="5" t="n">
        <v>0</v>
      </c>
      <c r="R472" s="5" t="n">
        <v>1</v>
      </c>
      <c r="S472" s="5" t="n">
        <v>12.277</v>
      </c>
      <c r="T472" s="5" t="n">
        <v>7.239</v>
      </c>
      <c r="U472" s="5" t="n">
        <v>0.755</v>
      </c>
      <c r="V472" s="5" t="n">
        <v>15.41</v>
      </c>
      <c r="W472" s="5" t="n">
        <v>0.21</v>
      </c>
      <c r="X472" s="5" t="n">
        <v>1</v>
      </c>
      <c r="Y472" s="5" t="n">
        <v>24.357</v>
      </c>
      <c r="Z472" s="5" t="n">
        <v>2.728</v>
      </c>
      <c r="AA472" s="5" t="n">
        <v>1.014</v>
      </c>
      <c r="AB472" s="5" t="n">
        <v>25.371</v>
      </c>
      <c r="AC472" s="5" t="n">
        <v>0</v>
      </c>
      <c r="AD472" s="5" t="n">
        <v>1</v>
      </c>
      <c r="AE472" s="5" t="n">
        <v>24.456</v>
      </c>
      <c r="AF472" s="5" t="n">
        <v>4.871</v>
      </c>
      <c r="AG472" s="5" t="n">
        <v>0.915</v>
      </c>
      <c r="AH472" s="5" t="n">
        <v>25.371</v>
      </c>
      <c r="AI472" s="5" t="n">
        <v>0</v>
      </c>
      <c r="AJ472" s="5" t="n">
        <v>1</v>
      </c>
      <c r="AK472" s="5" t="n">
        <v>29.599</v>
      </c>
      <c r="AL472" s="5" t="n">
        <v>14.662</v>
      </c>
      <c r="AM472" s="5" t="n">
        <v>11.385</v>
      </c>
      <c r="AN472" s="5" t="n">
        <v>49.591</v>
      </c>
      <c r="AO472" s="5" t="n">
        <v>0.21</v>
      </c>
      <c r="AP472" s="5" t="n">
        <v>1</v>
      </c>
      <c r="AQ472" s="5" t="n">
        <v>0.76</v>
      </c>
      <c r="AR472" s="5" t="n">
        <v>0.129</v>
      </c>
      <c r="AS472" s="5" t="n">
        <v>0.598</v>
      </c>
      <c r="AT472" s="5" t="n">
        <v>1.644</v>
      </c>
      <c r="AU472" s="5" t="n">
        <v>0.21</v>
      </c>
      <c r="AV472" s="5" t="n">
        <v>1</v>
      </c>
      <c r="AW472" s="5" t="n">
        <v>0.8110000000000001</v>
      </c>
      <c r="AX472" s="5" t="n">
        <v>0.129</v>
      </c>
      <c r="AY472" s="5" t="n">
        <v>0.526</v>
      </c>
      <c r="AZ472" s="5" t="n">
        <v>1.618</v>
      </c>
      <c r="BA472" s="5" t="n">
        <v>0.21</v>
      </c>
      <c r="BB472" s="5" t="n">
        <v>1</v>
      </c>
      <c r="BC472" s="5" t="n">
        <v>0.535</v>
      </c>
      <c r="BD472" s="5" t="n">
        <v>0.129</v>
      </c>
      <c r="BE472" s="5" t="n">
        <v>0.006</v>
      </c>
      <c r="BF472" s="5" t="n">
        <v>0.654</v>
      </c>
      <c r="BG472" s="5" t="n">
        <v>0.21</v>
      </c>
      <c r="BH472" s="5" t="n">
        <v>1</v>
      </c>
      <c r="BI472" s="5" t="n">
        <v>0.579</v>
      </c>
      <c r="BJ472" s="5" t="n">
        <v>0.129</v>
      </c>
      <c r="BK472" s="5" t="n">
        <v>0.279</v>
      </c>
      <c r="BL472" s="5" t="n">
        <v>1.038</v>
      </c>
      <c r="BM472" s="5" t="n">
        <v>0.21</v>
      </c>
      <c r="BN472" s="5" t="n">
        <v>1</v>
      </c>
      <c r="BO472" s="5" t="n">
        <v>0</v>
      </c>
      <c r="BP472" s="5" t="n">
        <v>-0.008</v>
      </c>
      <c r="BQ472" s="5" t="n">
        <v>0.138</v>
      </c>
      <c r="BR472" s="5" t="n">
        <v>0</v>
      </c>
      <c r="BS472" s="5" t="n">
        <v>1</v>
      </c>
      <c r="BT472" s="5" t="n">
        <v>0</v>
      </c>
      <c r="BU472" s="5" t="n">
        <v>-0.008999999999999999</v>
      </c>
      <c r="BV472" s="5" t="n">
        <v>0.273</v>
      </c>
      <c r="BW472" s="5" t="n">
        <v>0.21</v>
      </c>
      <c r="BX472" s="5" t="n">
        <v>1</v>
      </c>
      <c r="BY472" s="5" t="n">
        <v>13.254</v>
      </c>
      <c r="BZ472" s="5" t="n">
        <v>0</v>
      </c>
      <c r="CA472" s="5" t="n">
        <v>13.254</v>
      </c>
      <c r="CB472" s="5" t="n">
        <v>0</v>
      </c>
      <c r="CC472" s="5" t="n">
        <v>83.248</v>
      </c>
      <c r="CD472" s="5" t="n">
        <v>7.95</v>
      </c>
      <c r="CE472" s="5" t="n">
        <v>92.075</v>
      </c>
      <c r="CF472" s="5" t="n">
        <v>212.14</v>
      </c>
      <c r="CG472" s="5" t="n">
        <v>0.21</v>
      </c>
      <c r="CH472" s="5" t="n">
        <v>1</v>
      </c>
      <c r="CI472" s="5" t="n">
        <v>0</v>
      </c>
      <c r="CJ472" s="5" t="n">
        <v>0</v>
      </c>
      <c r="CK472" s="5" t="n">
        <v>0</v>
      </c>
      <c r="CL472" s="5" t="n">
        <v>0</v>
      </c>
      <c r="CM472" s="5" t="n">
        <v>0</v>
      </c>
      <c r="CN472" s="5" t="n">
        <v>0</v>
      </c>
      <c r="CO472" s="5" t="n">
        <v>0</v>
      </c>
      <c r="CP472" s="5" t="n">
        <v>0.123</v>
      </c>
      <c r="CQ472" s="5" t="n">
        <v>1.348</v>
      </c>
      <c r="CR472" s="5" t="n">
        <v>0</v>
      </c>
      <c r="CS472" s="5" t="n">
        <v>5.37</v>
      </c>
      <c r="CT472" s="5" t="n">
        <v>5.556</v>
      </c>
      <c r="CU472" s="5" t="n">
        <v>23.771</v>
      </c>
    </row>
    <row r="473">
      <c r="A473" s="5" t="inlineStr">
        <is>
          <t>LTU2024</t>
        </is>
      </c>
      <c r="B473" s="5" t="inlineStr">
        <is>
          <t>LTU</t>
        </is>
      </c>
      <c r="C473" s="5" t="inlineStr">
        <is>
          <t>LTU</t>
        </is>
      </c>
      <c r="D473" s="5" t="inlineStr">
        <is>
          <t>Lithuania</t>
        </is>
      </c>
      <c r="E473" s="5" t="n">
        <v>2024</v>
      </c>
      <c r="F473" s="5" t="n">
        <v>0.21</v>
      </c>
      <c r="G473" s="5" t="n">
        <v>5.582</v>
      </c>
      <c r="H473" s="5" t="n">
        <v>1.242</v>
      </c>
      <c r="I473" s="5" t="n">
        <v>6.487</v>
      </c>
      <c r="J473" s="5" t="n">
        <v>12.069</v>
      </c>
      <c r="K473" s="5" t="n">
        <v>0</v>
      </c>
      <c r="L473" s="5" t="n">
        <v>1</v>
      </c>
      <c r="M473" s="5" t="n">
        <v>6.662</v>
      </c>
      <c r="N473" s="5" t="n">
        <v>3.726</v>
      </c>
      <c r="O473" s="5" t="n">
        <v>6.49</v>
      </c>
      <c r="P473" s="5" t="n">
        <v>13.152</v>
      </c>
      <c r="Q473" s="5" t="n">
        <v>0</v>
      </c>
      <c r="R473" s="5" t="n">
        <v>1</v>
      </c>
      <c r="S473" s="5" t="n">
        <v>11.793</v>
      </c>
      <c r="T473" s="5" t="n">
        <v>7.453</v>
      </c>
      <c r="U473" s="5" t="n">
        <v>0.823</v>
      </c>
      <c r="V473" s="5" t="n">
        <v>14.841</v>
      </c>
      <c r="W473" s="5" t="n">
        <v>0.21</v>
      </c>
      <c r="X473" s="5" t="n">
        <v>1</v>
      </c>
      <c r="Y473" s="5" t="n">
        <v>12.917</v>
      </c>
      <c r="Z473" s="5" t="n">
        <v>1.631</v>
      </c>
      <c r="AA473" s="5" t="n">
        <v>4.143</v>
      </c>
      <c r="AB473" s="5" t="n">
        <v>17.06</v>
      </c>
      <c r="AC473" s="5" t="n">
        <v>0</v>
      </c>
      <c r="AD473" s="5" t="n">
        <v>1</v>
      </c>
      <c r="AE473" s="5" t="n">
        <v>12.917</v>
      </c>
      <c r="AF473" s="5" t="n">
        <v>2.83</v>
      </c>
      <c r="AG473" s="5" t="n">
        <v>4.143</v>
      </c>
      <c r="AH473" s="5" t="n">
        <v>17.06</v>
      </c>
      <c r="AI473" s="5" t="n">
        <v>0</v>
      </c>
      <c r="AJ473" s="5" t="n">
        <v>1</v>
      </c>
      <c r="AK473" s="5" t="n">
        <v>18.212</v>
      </c>
      <c r="AL473" s="5" t="n">
        <v>9.263</v>
      </c>
      <c r="AM473" s="5" t="n">
        <v>-1.627</v>
      </c>
      <c r="AN473" s="5" t="n">
        <v>20.067</v>
      </c>
      <c r="AO473" s="5" t="n">
        <v>0.21</v>
      </c>
      <c r="AP473" s="5" t="n">
        <v>1</v>
      </c>
      <c r="AQ473" s="5" t="n">
        <v>0.724</v>
      </c>
      <c r="AR473" s="5" t="n">
        <v>0.132</v>
      </c>
      <c r="AS473" s="5" t="n">
        <v>0.576</v>
      </c>
      <c r="AT473" s="5" t="n">
        <v>1.574</v>
      </c>
      <c r="AU473" s="5" t="n">
        <v>0.21</v>
      </c>
      <c r="AV473" s="5" t="n">
        <v>1</v>
      </c>
      <c r="AW473" s="5" t="n">
        <v>0.75</v>
      </c>
      <c r="AX473" s="5" t="n">
        <v>0.132</v>
      </c>
      <c r="AY473" s="5" t="n">
        <v>0.553</v>
      </c>
      <c r="AZ473" s="5" t="n">
        <v>1.576</v>
      </c>
      <c r="BA473" s="5" t="n">
        <v>0.21</v>
      </c>
      <c r="BB473" s="5" t="n">
        <v>1</v>
      </c>
      <c r="BC473" s="5" t="n">
        <v>0.513</v>
      </c>
      <c r="BD473" s="5" t="n">
        <v>0.132</v>
      </c>
      <c r="BE473" s="5" t="n">
        <v>0.064</v>
      </c>
      <c r="BF473" s="5" t="n">
        <v>0.698</v>
      </c>
      <c r="BG473" s="5" t="n">
        <v>0.21</v>
      </c>
      <c r="BH473" s="5" t="n">
        <v>1</v>
      </c>
      <c r="BI473" s="5" t="n">
        <v>0.591</v>
      </c>
      <c r="BJ473" s="5" t="n">
        <v>0.132</v>
      </c>
      <c r="BK473" s="5" t="n">
        <v>0.219</v>
      </c>
      <c r="BL473" s="5" t="n">
        <v>0.981</v>
      </c>
      <c r="BM473" s="5" t="n">
        <v>0.21</v>
      </c>
      <c r="BN473" s="5" t="n">
        <v>1</v>
      </c>
      <c r="BO473" s="5" t="n">
        <v>0</v>
      </c>
      <c r="BP473" s="5" t="n">
        <v>0</v>
      </c>
      <c r="BQ473" s="5" t="n">
        <v>0.156</v>
      </c>
      <c r="BR473" s="5" t="n">
        <v>0</v>
      </c>
      <c r="BS473" s="5" t="n">
        <v>1</v>
      </c>
      <c r="BT473" s="5" t="n">
        <v>0</v>
      </c>
      <c r="BU473" s="5" t="n">
        <v>0</v>
      </c>
      <c r="BV473" s="5" t="n">
        <v>0.241</v>
      </c>
      <c r="BW473" s="5" t="n">
        <v>0.21</v>
      </c>
      <c r="BX473" s="5" t="n">
        <v>1</v>
      </c>
      <c r="BY473" s="5" t="n">
        <v>13.646</v>
      </c>
      <c r="BZ473" s="5" t="n">
        <v>0</v>
      </c>
      <c r="CA473" s="5" t="n">
        <v>13.646</v>
      </c>
      <c r="CB473" s="5" t="n">
        <v>0</v>
      </c>
      <c r="CC473" s="5" t="n">
        <v>82.58799999999999</v>
      </c>
      <c r="CD473" s="5" t="n">
        <v>7.95</v>
      </c>
      <c r="CE473" s="5" t="n">
        <v>74.059</v>
      </c>
      <c r="CF473" s="5" t="n">
        <v>189.543</v>
      </c>
      <c r="CG473" s="5" t="n">
        <v>0.21</v>
      </c>
      <c r="CH473" s="5" t="n">
        <v>1</v>
      </c>
      <c r="CI473" s="5" t="n">
        <v>0</v>
      </c>
      <c r="CJ473" s="5" t="n">
        <v>0</v>
      </c>
      <c r="CK473" s="5" t="n">
        <v>0</v>
      </c>
      <c r="CL473" s="5" t="n">
        <v>0</v>
      </c>
      <c r="CM473" s="5" t="n">
        <v>0</v>
      </c>
      <c r="CN473" s="5" t="n">
        <v>0</v>
      </c>
      <c r="CO473" s="5" t="n">
        <v>0</v>
      </c>
      <c r="CP473" s="5" t="n">
        <v>0.123</v>
      </c>
      <c r="CQ473" s="5" t="n">
        <v>1.387</v>
      </c>
      <c r="CR473" s="5" t="n">
        <v>0</v>
      </c>
      <c r="CS473" s="5" t="n">
        <v>5.529</v>
      </c>
      <c r="CT473" s="5" t="n">
        <v>4.755</v>
      </c>
      <c r="CU473" s="5" t="n">
        <v>11.45</v>
      </c>
    </row>
    <row r="474">
      <c r="A474" s="5" t="inlineStr">
        <is>
          <t>LUX2021</t>
        </is>
      </c>
      <c r="B474" s="5" t="inlineStr">
        <is>
          <t>LUX</t>
        </is>
      </c>
      <c r="C474" s="5" t="inlineStr">
        <is>
          <t>LUX</t>
        </is>
      </c>
      <c r="D474" s="5" t="inlineStr">
        <is>
          <t>Luxembourg</t>
        </is>
      </c>
      <c r="E474" s="5" t="n">
        <v>2021</v>
      </c>
      <c r="F474" s="5" t="n">
        <v>0.17</v>
      </c>
      <c r="G474" s="5" t="n">
        <v>20.242</v>
      </c>
      <c r="H474" s="5" t="n">
        <v>1.128</v>
      </c>
      <c r="I474" s="5" t="n">
        <v>2.388</v>
      </c>
      <c r="J474" s="5" t="n">
        <v>22.63</v>
      </c>
      <c r="K474" s="5" t="n">
        <v>0</v>
      </c>
      <c r="L474" s="5" t="n">
        <v>1</v>
      </c>
      <c r="M474" s="5" t="n">
        <v>7.832</v>
      </c>
      <c r="N474" s="5" t="n">
        <v>3.385</v>
      </c>
      <c r="O474" s="5" t="n">
        <v>2.638</v>
      </c>
      <c r="P474" s="5" t="n">
        <v>10.47</v>
      </c>
      <c r="Q474" s="5" t="n">
        <v>0</v>
      </c>
      <c r="R474" s="5" t="n">
        <v>1</v>
      </c>
      <c r="S474" s="5" t="n">
        <v>25.883</v>
      </c>
      <c r="T474" s="5" t="n">
        <v>6.77</v>
      </c>
      <c r="U474" s="5" t="n">
        <v>0</v>
      </c>
      <c r="V474" s="5" t="n">
        <v>30.284</v>
      </c>
      <c r="W474" s="5" t="n">
        <v>0.17</v>
      </c>
      <c r="X474" s="5" t="n">
        <v>1</v>
      </c>
      <c r="Y474" s="5" t="n">
        <v>18.008</v>
      </c>
      <c r="Z474" s="5" t="n">
        <v>1.989</v>
      </c>
      <c r="AA474" s="5" t="n">
        <v>-3.858</v>
      </c>
      <c r="AB474" s="5" t="n">
        <v>14.15</v>
      </c>
      <c r="AC474" s="5" t="n">
        <v>0</v>
      </c>
      <c r="AD474" s="5" t="n">
        <v>1</v>
      </c>
      <c r="AE474" s="5" t="n">
        <v>17.964</v>
      </c>
      <c r="AF474" s="5" t="n">
        <v>3.535</v>
      </c>
      <c r="AG474" s="5" t="n">
        <v>-3.815</v>
      </c>
      <c r="AH474" s="5" t="n">
        <v>14.15</v>
      </c>
      <c r="AI474" s="5" t="n">
        <v>0</v>
      </c>
      <c r="AJ474" s="5" t="n">
        <v>1</v>
      </c>
      <c r="AK474" s="5" t="n">
        <v>22.537</v>
      </c>
      <c r="AL474" s="5" t="n">
        <v>11.061</v>
      </c>
      <c r="AM474" s="5" t="n">
        <v>-7.409</v>
      </c>
      <c r="AN474" s="5" t="n">
        <v>17.7</v>
      </c>
      <c r="AO474" s="5" t="n">
        <v>0</v>
      </c>
      <c r="AP474" s="5" t="n">
        <v>1</v>
      </c>
      <c r="AQ474" s="5" t="n">
        <v>0.619</v>
      </c>
      <c r="AR474" s="5" t="n">
        <v>0.114</v>
      </c>
      <c r="AS474" s="5" t="n">
        <v>0.727</v>
      </c>
      <c r="AT474" s="5" t="n">
        <v>1.575</v>
      </c>
      <c r="AU474" s="5" t="n">
        <v>0.17</v>
      </c>
      <c r="AV474" s="5" t="n">
        <v>1</v>
      </c>
      <c r="AW474" s="5" t="n">
        <v>0.599</v>
      </c>
      <c r="AX474" s="5" t="n">
        <v>0.114</v>
      </c>
      <c r="AY474" s="5" t="n">
        <v>0.638</v>
      </c>
      <c r="AZ474" s="5" t="n">
        <v>1.447</v>
      </c>
      <c r="BA474" s="5" t="n">
        <v>0.17</v>
      </c>
      <c r="BB474" s="5" t="n">
        <v>1</v>
      </c>
      <c r="BC474" s="5" t="n">
        <v>0.439</v>
      </c>
      <c r="BD474" s="5" t="n">
        <v>0.114</v>
      </c>
      <c r="BE474" s="5" t="n">
        <v>0.213</v>
      </c>
      <c r="BF474" s="5" t="n">
        <v>0.763</v>
      </c>
      <c r="BG474" s="5" t="n">
        <v>0.17</v>
      </c>
      <c r="BH474" s="5" t="n">
        <v>1</v>
      </c>
      <c r="BI474" s="5" t="n">
        <v>0.505</v>
      </c>
      <c r="BJ474" s="5" t="n">
        <v>0.114</v>
      </c>
      <c r="BK474" s="5" t="n">
        <v>0.166</v>
      </c>
      <c r="BL474" s="5" t="n">
        <v>0.785</v>
      </c>
      <c r="BM474" s="5" t="n">
        <v>0.17</v>
      </c>
      <c r="BN474" s="5" t="n">
        <v>1</v>
      </c>
      <c r="BO474" s="5" t="n">
        <v>0</v>
      </c>
      <c r="BP474" s="5" t="n">
        <v>0</v>
      </c>
      <c r="BQ474" s="5" t="n">
        <v>0.07000000000000001</v>
      </c>
      <c r="BR474" s="5" t="n">
        <v>0</v>
      </c>
      <c r="BS474" s="5" t="n">
        <v>1</v>
      </c>
      <c r="BT474" s="5" t="n">
        <v>0</v>
      </c>
      <c r="BU474" s="5" t="n">
        <v>0.044</v>
      </c>
      <c r="BV474" s="5" t="n">
        <v>0.235</v>
      </c>
      <c r="BW474" s="5" t="n">
        <v>0.17</v>
      </c>
      <c r="BX474" s="5" t="n">
        <v>0.833</v>
      </c>
      <c r="BY474" s="5" t="n">
        <v>11.787</v>
      </c>
      <c r="BZ474" s="5" t="n">
        <v>0</v>
      </c>
      <c r="CA474" s="5" t="n">
        <v>11.787</v>
      </c>
      <c r="CB474" s="5" t="n">
        <v>0</v>
      </c>
      <c r="CC474" s="5" t="n">
        <v>78.125</v>
      </c>
      <c r="CD474" s="5" t="n">
        <v>7.95</v>
      </c>
      <c r="CE474" s="5" t="n">
        <v>38.814</v>
      </c>
      <c r="CF474" s="5" t="n">
        <v>136.818</v>
      </c>
      <c r="CG474" s="5" t="n">
        <v>0.17</v>
      </c>
      <c r="CH474" s="5" t="n">
        <v>1</v>
      </c>
      <c r="CI474" s="5" t="n">
        <v>0</v>
      </c>
      <c r="CJ474" s="5" t="n">
        <v>0</v>
      </c>
      <c r="CK474" s="5" t="n">
        <v>0</v>
      </c>
      <c r="CL474" s="5" t="n">
        <v>0</v>
      </c>
      <c r="CM474" s="5" t="n">
        <v>0</v>
      </c>
      <c r="CN474" s="5" t="n">
        <v>0</v>
      </c>
      <c r="CO474" s="5" t="n">
        <v>0</v>
      </c>
      <c r="CP474" s="5" t="n">
        <v>0.026</v>
      </c>
      <c r="CQ474" s="5" t="n">
        <v>1.198</v>
      </c>
      <c r="CR474" s="5" t="n">
        <v>0</v>
      </c>
      <c r="CS474" s="5" t="n">
        <v>4.776</v>
      </c>
      <c r="CT474" s="5" t="n">
        <v>19.598</v>
      </c>
      <c r="CU474" s="5" t="n">
        <v>8.483000000000001</v>
      </c>
    </row>
    <row r="475">
      <c r="A475" s="5" t="inlineStr">
        <is>
          <t>LUX2022</t>
        </is>
      </c>
      <c r="B475" s="5" t="inlineStr">
        <is>
          <t>LUX</t>
        </is>
      </c>
      <c r="C475" s="5" t="inlineStr">
        <is>
          <t>LUX</t>
        </is>
      </c>
      <c r="D475" s="5" t="inlineStr">
        <is>
          <t>Luxembourg</t>
        </is>
      </c>
      <c r="E475" s="5" t="n">
        <v>2022</v>
      </c>
      <c r="F475" s="5" t="n">
        <v>0.17</v>
      </c>
      <c r="G475" s="5" t="n">
        <v>51.306</v>
      </c>
      <c r="H475" s="5" t="n">
        <v>1.235</v>
      </c>
      <c r="I475" s="5" t="n">
        <v>8.414</v>
      </c>
      <c r="J475" s="5" t="n">
        <v>59.72</v>
      </c>
      <c r="K475" s="5" t="n">
        <v>0</v>
      </c>
      <c r="L475" s="5" t="n">
        <v>1</v>
      </c>
      <c r="M475" s="5" t="n">
        <v>9.782999999999999</v>
      </c>
      <c r="N475" s="5" t="n">
        <v>3.704</v>
      </c>
      <c r="O475" s="5" t="n">
        <v>8.696</v>
      </c>
      <c r="P475" s="5" t="n">
        <v>18.479</v>
      </c>
      <c r="Q475" s="5" t="n">
        <v>0</v>
      </c>
      <c r="R475" s="5" t="n">
        <v>1</v>
      </c>
      <c r="S475" s="5" t="n">
        <v>57.479</v>
      </c>
      <c r="T475" s="5" t="n">
        <v>7.408</v>
      </c>
      <c r="U475" s="5" t="n">
        <v>4.097</v>
      </c>
      <c r="V475" s="5" t="n">
        <v>71.149</v>
      </c>
      <c r="W475" s="5" t="n">
        <v>0.17</v>
      </c>
      <c r="X475" s="5" t="n">
        <v>1</v>
      </c>
      <c r="Y475" s="5" t="n">
        <v>17.17</v>
      </c>
      <c r="Z475" s="5" t="n">
        <v>1.801</v>
      </c>
      <c r="AA475" s="5" t="n">
        <v>15.647</v>
      </c>
      <c r="AB475" s="5" t="n">
        <v>32.817</v>
      </c>
      <c r="AC475" s="5" t="n">
        <v>0</v>
      </c>
      <c r="AD475" s="5" t="n">
        <v>1</v>
      </c>
      <c r="AE475" s="5" t="n">
        <v>17.218</v>
      </c>
      <c r="AF475" s="5" t="n">
        <v>3.192</v>
      </c>
      <c r="AG475" s="5" t="n">
        <v>15.599</v>
      </c>
      <c r="AH475" s="5" t="n">
        <v>32.817</v>
      </c>
      <c r="AI475" s="5" t="n">
        <v>0</v>
      </c>
      <c r="AJ475" s="5" t="n">
        <v>1</v>
      </c>
      <c r="AK475" s="5" t="n">
        <v>22.157</v>
      </c>
      <c r="AL475" s="5" t="n">
        <v>10.581</v>
      </c>
      <c r="AM475" s="5" t="n">
        <v>-0.324</v>
      </c>
      <c r="AN475" s="5" t="n">
        <v>25.545</v>
      </c>
      <c r="AO475" s="5" t="n">
        <v>0</v>
      </c>
      <c r="AP475" s="5" t="n">
        <v>1</v>
      </c>
      <c r="AQ475" s="5" t="n">
        <v>0.861</v>
      </c>
      <c r="AR475" s="5" t="n">
        <v>0.123</v>
      </c>
      <c r="AS475" s="5" t="n">
        <v>0.648</v>
      </c>
      <c r="AT475" s="5" t="n">
        <v>1.765</v>
      </c>
      <c r="AU475" s="5" t="n">
        <v>0.17</v>
      </c>
      <c r="AV475" s="5" t="n">
        <v>1</v>
      </c>
      <c r="AW475" s="5" t="n">
        <v>0.986</v>
      </c>
      <c r="AX475" s="5" t="n">
        <v>0.123</v>
      </c>
      <c r="AY475" s="5" t="n">
        <v>0.584</v>
      </c>
      <c r="AZ475" s="5" t="n">
        <v>1.837</v>
      </c>
      <c r="BA475" s="5" t="n">
        <v>0.17</v>
      </c>
      <c r="BB475" s="5" t="n">
        <v>1</v>
      </c>
      <c r="BC475" s="5" t="n">
        <v>0.598</v>
      </c>
      <c r="BD475" s="5" t="n">
        <v>0.123</v>
      </c>
      <c r="BE475" s="5" t="n">
        <v>0.13</v>
      </c>
      <c r="BF475" s="5" t="n">
        <v>0.851</v>
      </c>
      <c r="BG475" s="5" t="n">
        <v>0.17</v>
      </c>
      <c r="BH475" s="5" t="n">
        <v>1</v>
      </c>
      <c r="BI475" s="5" t="n">
        <v>0.612</v>
      </c>
      <c r="BJ475" s="5" t="n">
        <v>0.123</v>
      </c>
      <c r="BK475" s="5" t="n">
        <v>0.455</v>
      </c>
      <c r="BL475" s="5" t="n">
        <v>1.248</v>
      </c>
      <c r="BM475" s="5" t="n">
        <v>0.17</v>
      </c>
      <c r="BN475" s="5" t="n">
        <v>1</v>
      </c>
      <c r="BO475" s="5" t="n">
        <v>0</v>
      </c>
      <c r="BP475" s="5" t="n">
        <v>0</v>
      </c>
      <c r="BQ475" s="5" t="n">
        <v>0.095</v>
      </c>
      <c r="BR475" s="5" t="n">
        <v>0</v>
      </c>
      <c r="BS475" s="5" t="n">
        <v>1</v>
      </c>
      <c r="BT475" s="5" t="n">
        <v>0</v>
      </c>
      <c r="BU475" s="5" t="n">
        <v>0.021</v>
      </c>
      <c r="BV475" s="5" t="n">
        <v>0.214</v>
      </c>
      <c r="BW475" s="5" t="n">
        <v>0.17</v>
      </c>
      <c r="BX475" s="5" t="n">
        <v>0.833</v>
      </c>
      <c r="BY475" s="5" t="n">
        <v>12.729</v>
      </c>
      <c r="BZ475" s="5" t="n">
        <v>0</v>
      </c>
      <c r="CA475" s="5" t="n">
        <v>12.729</v>
      </c>
      <c r="CB475" s="5" t="n">
        <v>0</v>
      </c>
      <c r="CC475" s="5" t="n">
        <v>97.90000000000001</v>
      </c>
      <c r="CD475" s="5" t="n">
        <v>7.95</v>
      </c>
      <c r="CE475" s="5" t="n">
        <v>105.678</v>
      </c>
      <c r="CF475" s="5" t="n">
        <v>238.187</v>
      </c>
      <c r="CG475" s="5" t="n">
        <v>0.17</v>
      </c>
      <c r="CH475" s="5" t="n">
        <v>1</v>
      </c>
      <c r="CI475" s="5" t="n">
        <v>0</v>
      </c>
      <c r="CJ475" s="5" t="n">
        <v>0</v>
      </c>
      <c r="CK475" s="5" t="n">
        <v>0</v>
      </c>
      <c r="CL475" s="5" t="n">
        <v>0</v>
      </c>
      <c r="CM475" s="5" t="n">
        <v>0</v>
      </c>
      <c r="CN475" s="5" t="n">
        <v>0</v>
      </c>
      <c r="CO475" s="5" t="n">
        <v>0</v>
      </c>
      <c r="CP475" s="5" t="n">
        <v>0</v>
      </c>
      <c r="CQ475" s="5" t="n">
        <v>1.294</v>
      </c>
      <c r="CR475" s="5" t="n">
        <v>0</v>
      </c>
      <c r="CS475" s="5" t="n">
        <v>5.158</v>
      </c>
      <c r="CT475" s="5" t="n">
        <v>50.071</v>
      </c>
      <c r="CU475" s="5" t="n">
        <v>7.554</v>
      </c>
    </row>
    <row r="476">
      <c r="A476" s="5" t="inlineStr">
        <is>
          <t>LUX2023</t>
        </is>
      </c>
      <c r="B476" s="5" t="inlineStr">
        <is>
          <t>LUX</t>
        </is>
      </c>
      <c r="C476" s="5" t="inlineStr">
        <is>
          <t>LUX</t>
        </is>
      </c>
      <c r="D476" s="5" t="inlineStr">
        <is>
          <t>Luxembourg</t>
        </is>
      </c>
      <c r="E476" s="5" t="n">
        <v>2023</v>
      </c>
      <c r="F476" s="5" t="n">
        <v>0.17</v>
      </c>
      <c r="G476" s="5" t="n">
        <v>25.29</v>
      </c>
      <c r="H476" s="5" t="n">
        <v>1.283</v>
      </c>
      <c r="I476" s="5" t="n">
        <v>9.750999999999999</v>
      </c>
      <c r="J476" s="5" t="n">
        <v>35.041</v>
      </c>
      <c r="K476" s="5" t="n">
        <v>0</v>
      </c>
      <c r="L476" s="5" t="n">
        <v>1</v>
      </c>
      <c r="M476" s="5" t="n">
        <v>7.869</v>
      </c>
      <c r="N476" s="5" t="n">
        <v>3.85</v>
      </c>
      <c r="O476" s="5" t="n">
        <v>10.033</v>
      </c>
      <c r="P476" s="5" t="n">
        <v>17.901</v>
      </c>
      <c r="Q476" s="5" t="n">
        <v>0</v>
      </c>
      <c r="R476" s="5" t="n">
        <v>1</v>
      </c>
      <c r="S476" s="5" t="n">
        <v>31.707</v>
      </c>
      <c r="T476" s="5" t="n">
        <v>7.699</v>
      </c>
      <c r="U476" s="5" t="n">
        <v>4.55</v>
      </c>
      <c r="V476" s="5" t="n">
        <v>41.636</v>
      </c>
      <c r="W476" s="5" t="n">
        <v>0.17</v>
      </c>
      <c r="X476" s="5" t="n">
        <v>1</v>
      </c>
      <c r="Y476" s="5" t="n">
        <v>17.42</v>
      </c>
      <c r="Z476" s="5" t="n">
        <v>1.951</v>
      </c>
      <c r="AA476" s="5" t="n">
        <v>19.513</v>
      </c>
      <c r="AB476" s="5" t="n">
        <v>36.933</v>
      </c>
      <c r="AC476" s="5" t="n">
        <v>0</v>
      </c>
      <c r="AD476" s="5" t="n">
        <v>1</v>
      </c>
      <c r="AE476" s="5" t="n">
        <v>17.519</v>
      </c>
      <c r="AF476" s="5" t="n">
        <v>3.489</v>
      </c>
      <c r="AG476" s="5" t="n">
        <v>19.415</v>
      </c>
      <c r="AH476" s="5" t="n">
        <v>36.933</v>
      </c>
      <c r="AI476" s="5" t="n">
        <v>0</v>
      </c>
      <c r="AJ476" s="5" t="n">
        <v>1</v>
      </c>
      <c r="AK476" s="5" t="n">
        <v>22.661</v>
      </c>
      <c r="AL476" s="5" t="n">
        <v>11.226</v>
      </c>
      <c r="AM476" s="5" t="n">
        <v>-0.518</v>
      </c>
      <c r="AN476" s="5" t="n">
        <v>25.908</v>
      </c>
      <c r="AO476" s="5" t="n">
        <v>0</v>
      </c>
      <c r="AP476" s="5" t="n">
        <v>1</v>
      </c>
      <c r="AQ476" s="5" t="n">
        <v>0.76</v>
      </c>
      <c r="AR476" s="5" t="n">
        <v>0.129</v>
      </c>
      <c r="AS476" s="5" t="n">
        <v>0.6899999999999999</v>
      </c>
      <c r="AT476" s="5" t="n">
        <v>1.697</v>
      </c>
      <c r="AU476" s="5" t="n">
        <v>0.17</v>
      </c>
      <c r="AV476" s="5" t="n">
        <v>1</v>
      </c>
      <c r="AW476" s="5" t="n">
        <v>0.8110000000000001</v>
      </c>
      <c r="AX476" s="5" t="n">
        <v>0.129</v>
      </c>
      <c r="AY476" s="5" t="n">
        <v>0.607</v>
      </c>
      <c r="AZ476" s="5" t="n">
        <v>1.659</v>
      </c>
      <c r="BA476" s="5" t="n">
        <v>0.17</v>
      </c>
      <c r="BB476" s="5" t="n">
        <v>1</v>
      </c>
      <c r="BC476" s="5" t="n">
        <v>0.535</v>
      </c>
      <c r="BD476" s="5" t="n">
        <v>0.129</v>
      </c>
      <c r="BE476" s="5" t="n">
        <v>0.112</v>
      </c>
      <c r="BF476" s="5" t="n">
        <v>0.757</v>
      </c>
      <c r="BG476" s="5" t="n">
        <v>0.17</v>
      </c>
      <c r="BH476" s="5" t="n">
        <v>1</v>
      </c>
      <c r="BI476" s="5" t="n">
        <v>0.579</v>
      </c>
      <c r="BJ476" s="5" t="n">
        <v>0.129</v>
      </c>
      <c r="BK476" s="5" t="n">
        <v>0.288</v>
      </c>
      <c r="BL476" s="5" t="n">
        <v>1.015</v>
      </c>
      <c r="BM476" s="5" t="n">
        <v>0.17</v>
      </c>
      <c r="BN476" s="5" t="n">
        <v>1</v>
      </c>
      <c r="BO476" s="5" t="n">
        <v>0</v>
      </c>
      <c r="BP476" s="5" t="n">
        <v>0</v>
      </c>
      <c r="BQ476" s="5" t="n">
        <v>0.175</v>
      </c>
      <c r="BR476" s="5" t="n">
        <v>0</v>
      </c>
      <c r="BS476" s="5" t="n">
        <v>1</v>
      </c>
      <c r="BT476" s="5" t="n">
        <v>0</v>
      </c>
      <c r="BU476" s="5" t="n">
        <v>-0.115</v>
      </c>
      <c r="BV476" s="5" t="n">
        <v>0.217</v>
      </c>
      <c r="BW476" s="5" t="n">
        <v>0.17</v>
      </c>
      <c r="BX476" s="5" t="n">
        <v>0.833</v>
      </c>
      <c r="BY476" s="5" t="n">
        <v>13.254</v>
      </c>
      <c r="BZ476" s="5" t="n">
        <v>0</v>
      </c>
      <c r="CA476" s="5" t="n">
        <v>13.254</v>
      </c>
      <c r="CB476" s="5" t="n">
        <v>0</v>
      </c>
      <c r="CC476" s="5" t="n">
        <v>83.248</v>
      </c>
      <c r="CD476" s="5" t="n">
        <v>7.95</v>
      </c>
      <c r="CE476" s="5" t="n">
        <v>101.368</v>
      </c>
      <c r="CF476" s="5" t="n">
        <v>216</v>
      </c>
      <c r="CG476" s="5" t="n">
        <v>0.17</v>
      </c>
      <c r="CH476" s="5" t="n">
        <v>1</v>
      </c>
      <c r="CI476" s="5" t="n">
        <v>0</v>
      </c>
      <c r="CJ476" s="5" t="n">
        <v>0</v>
      </c>
      <c r="CK476" s="5" t="n">
        <v>0</v>
      </c>
      <c r="CL476" s="5" t="n">
        <v>0</v>
      </c>
      <c r="CM476" s="5" t="n">
        <v>0</v>
      </c>
      <c r="CN476" s="5" t="n">
        <v>0</v>
      </c>
      <c r="CO476" s="5" t="n">
        <v>0</v>
      </c>
      <c r="CP476" s="5" t="n">
        <v>0.004</v>
      </c>
      <c r="CQ476" s="5" t="n">
        <v>1.348</v>
      </c>
      <c r="CR476" s="5" t="n">
        <v>0</v>
      </c>
      <c r="CS476" s="5" t="n">
        <v>5.37</v>
      </c>
      <c r="CT476" s="5" t="n">
        <v>24.093</v>
      </c>
      <c r="CU476" s="5" t="n">
        <v>7.753</v>
      </c>
    </row>
    <row r="477">
      <c r="A477" s="5" t="inlineStr">
        <is>
          <t>LUX2024</t>
        </is>
      </c>
      <c r="B477" s="5" t="inlineStr">
        <is>
          <t>LUX</t>
        </is>
      </c>
      <c r="C477" s="5" t="inlineStr">
        <is>
          <t>LUX</t>
        </is>
      </c>
      <c r="D477" s="5" t="inlineStr">
        <is>
          <t>Luxembourg</t>
        </is>
      </c>
      <c r="E477" s="5" t="n">
        <v>2024</v>
      </c>
      <c r="F477" s="5" t="n">
        <v>0.17</v>
      </c>
      <c r="G477" s="5" t="n">
        <v>20.108</v>
      </c>
      <c r="H477" s="5" t="n">
        <v>1.321</v>
      </c>
      <c r="I477" s="5" t="n">
        <v>6.39</v>
      </c>
      <c r="J477" s="5" t="n">
        <v>26.498</v>
      </c>
      <c r="K477" s="5" t="n">
        <v>0</v>
      </c>
      <c r="L477" s="5" t="n">
        <v>1</v>
      </c>
      <c r="M477" s="5" t="n">
        <v>7.109</v>
      </c>
      <c r="N477" s="5" t="n">
        <v>3.963</v>
      </c>
      <c r="O477" s="5" t="n">
        <v>6.649</v>
      </c>
      <c r="P477" s="5" t="n">
        <v>13.758</v>
      </c>
      <c r="Q477" s="5" t="n">
        <v>0</v>
      </c>
      <c r="R477" s="5" t="n">
        <v>1</v>
      </c>
      <c r="S477" s="5" t="n">
        <v>26.714</v>
      </c>
      <c r="T477" s="5" t="n">
        <v>7.927</v>
      </c>
      <c r="U477" s="5" t="n">
        <v>5.134</v>
      </c>
      <c r="V477" s="5" t="n">
        <v>36.419</v>
      </c>
      <c r="W477" s="5" t="n">
        <v>0.17</v>
      </c>
      <c r="X477" s="5" t="n">
        <v>1</v>
      </c>
      <c r="Y477" s="5" t="n">
        <v>20.004</v>
      </c>
      <c r="Z477" s="5" t="n">
        <v>2.526</v>
      </c>
      <c r="AA477" s="5" t="n">
        <v>5.192</v>
      </c>
      <c r="AB477" s="5" t="n">
        <v>25.196</v>
      </c>
      <c r="AC477" s="5" t="n">
        <v>0</v>
      </c>
      <c r="AD477" s="5" t="n">
        <v>1</v>
      </c>
      <c r="AE477" s="5" t="n">
        <v>20.004</v>
      </c>
      <c r="AF477" s="5" t="n">
        <v>4.382</v>
      </c>
      <c r="AG477" s="5" t="n">
        <v>5.192</v>
      </c>
      <c r="AH477" s="5" t="n">
        <v>25.196</v>
      </c>
      <c r="AI477" s="5" t="n">
        <v>0</v>
      </c>
      <c r="AJ477" s="5" t="n">
        <v>1</v>
      </c>
      <c r="AK477" s="5" t="n">
        <v>25.298</v>
      </c>
      <c r="AL477" s="5" t="n">
        <v>12.867</v>
      </c>
      <c r="AM477" s="5" t="n">
        <v>-4.546</v>
      </c>
      <c r="AN477" s="5" t="n">
        <v>24.28</v>
      </c>
      <c r="AO477" s="5" t="n">
        <v>0</v>
      </c>
      <c r="AP477" s="5" t="n">
        <v>1</v>
      </c>
      <c r="AQ477" s="5" t="n">
        <v>0.724</v>
      </c>
      <c r="AR477" s="5" t="n">
        <v>0.132</v>
      </c>
      <c r="AS477" s="5" t="n">
        <v>0.698</v>
      </c>
      <c r="AT477" s="5" t="n">
        <v>1.664</v>
      </c>
      <c r="AU477" s="5" t="n">
        <v>0.17</v>
      </c>
      <c r="AV477" s="5" t="n">
        <v>1</v>
      </c>
      <c r="AW477" s="5" t="n">
        <v>0.75</v>
      </c>
      <c r="AX477" s="5" t="n">
        <v>0.132</v>
      </c>
      <c r="AY477" s="5" t="n">
        <v>0.622</v>
      </c>
      <c r="AZ477" s="5" t="n">
        <v>1.606</v>
      </c>
      <c r="BA477" s="5" t="n">
        <v>0.17</v>
      </c>
      <c r="BB477" s="5" t="n">
        <v>1</v>
      </c>
      <c r="BC477" s="5" t="n">
        <v>0.513</v>
      </c>
      <c r="BD477" s="5" t="n">
        <v>0.132</v>
      </c>
      <c r="BE477" s="5" t="n">
        <v>0.16</v>
      </c>
      <c r="BF477" s="5" t="n">
        <v>0.787</v>
      </c>
      <c r="BG477" s="5" t="n">
        <v>0.17</v>
      </c>
      <c r="BH477" s="5" t="n">
        <v>1</v>
      </c>
      <c r="BI477" s="5" t="n">
        <v>0.591</v>
      </c>
      <c r="BJ477" s="5" t="n">
        <v>0.132</v>
      </c>
      <c r="BK477" s="5" t="n">
        <v>0.224</v>
      </c>
      <c r="BL477" s="5" t="n">
        <v>0.954</v>
      </c>
      <c r="BM477" s="5" t="n">
        <v>0.17</v>
      </c>
      <c r="BN477" s="5" t="n">
        <v>1</v>
      </c>
      <c r="BO477" s="5" t="n">
        <v>0</v>
      </c>
      <c r="BP477" s="5" t="n">
        <v>0</v>
      </c>
      <c r="BQ477" s="5" t="n">
        <v>0.147</v>
      </c>
      <c r="BR477" s="5" t="n">
        <v>0</v>
      </c>
      <c r="BS477" s="5" t="n">
        <v>1</v>
      </c>
      <c r="BT477" s="5" t="n">
        <v>0</v>
      </c>
      <c r="BU477" s="5" t="n">
        <v>-0.124</v>
      </c>
      <c r="BV477" s="5" t="n">
        <v>0.219</v>
      </c>
      <c r="BW477" s="5" t="n">
        <v>0.17</v>
      </c>
      <c r="BX477" s="5" t="n">
        <v>0.833</v>
      </c>
      <c r="BY477" s="5" t="n">
        <v>13.646</v>
      </c>
      <c r="BZ477" s="5" t="n">
        <v>0</v>
      </c>
      <c r="CA477" s="5" t="n">
        <v>13.646</v>
      </c>
      <c r="CB477" s="5" t="n">
        <v>0</v>
      </c>
      <c r="CC477" s="5" t="n">
        <v>82.58799999999999</v>
      </c>
      <c r="CD477" s="5" t="n">
        <v>7.95</v>
      </c>
      <c r="CE477" s="5" t="n">
        <v>81.879</v>
      </c>
      <c r="CF477" s="5" t="n">
        <v>192.427</v>
      </c>
      <c r="CG477" s="5" t="n">
        <v>0.17</v>
      </c>
      <c r="CH477" s="5" t="n">
        <v>1</v>
      </c>
      <c r="CI477" s="5" t="n">
        <v>0</v>
      </c>
      <c r="CJ477" s="5" t="n">
        <v>0</v>
      </c>
      <c r="CK477" s="5" t="n">
        <v>0</v>
      </c>
      <c r="CL477" s="5" t="n">
        <v>0</v>
      </c>
      <c r="CM477" s="5" t="n">
        <v>0</v>
      </c>
      <c r="CN477" s="5" t="n">
        <v>0</v>
      </c>
      <c r="CO477" s="5" t="n">
        <v>0</v>
      </c>
      <c r="CP477" s="5" t="n">
        <v>0.004</v>
      </c>
      <c r="CQ477" s="5" t="n">
        <v>1.387</v>
      </c>
      <c r="CR477" s="5" t="n">
        <v>0</v>
      </c>
      <c r="CS477" s="5" t="n">
        <v>5.529</v>
      </c>
      <c r="CT477" s="5" t="n">
        <v>18.853</v>
      </c>
      <c r="CU477" s="5" t="n">
        <v>7.81</v>
      </c>
    </row>
    <row r="478">
      <c r="A478" s="5" t="inlineStr">
        <is>
          <t>MAC2021</t>
        </is>
      </c>
      <c r="B478" s="5" t="inlineStr">
        <is>
          <t>MAC</t>
        </is>
      </c>
      <c r="C478" s="5" t="inlineStr">
        <is>
          <t>MAC</t>
        </is>
      </c>
      <c r="D478" s="5" t="inlineStr">
        <is>
          <t>Macao SAR</t>
        </is>
      </c>
      <c r="E478" s="5" t="n">
        <v>2021</v>
      </c>
      <c r="F478" s="5" t="n">
        <v>0</v>
      </c>
      <c r="G478" s="5" t="n">
        <v>4.747</v>
      </c>
      <c r="H478" s="5" t="n">
        <v>1.143</v>
      </c>
      <c r="I478" s="5" t="n">
        <v>0</v>
      </c>
      <c r="J478" s="5" t="n">
        <v>4.747</v>
      </c>
      <c r="K478" s="5" t="n">
        <v>0</v>
      </c>
      <c r="L478" s="5" t="n">
        <v>1</v>
      </c>
      <c r="M478" s="5" t="n">
        <v>7.964</v>
      </c>
      <c r="N478" s="5" t="n">
        <v>3.43</v>
      </c>
      <c r="O478" s="5" t="n">
        <v>0</v>
      </c>
      <c r="P478" s="5" t="n">
        <v>7.964</v>
      </c>
      <c r="Q478" s="5" t="n">
        <v>0</v>
      </c>
      <c r="R478" s="5" t="n">
        <v>1</v>
      </c>
      <c r="S478" s="5" t="n">
        <v>10.464</v>
      </c>
      <c r="T478" s="5" t="n">
        <v>6.86</v>
      </c>
      <c r="U478" s="5" t="n">
        <v>0</v>
      </c>
      <c r="V478" s="5" t="n">
        <v>10.464</v>
      </c>
      <c r="W478" s="5" t="n">
        <v>0</v>
      </c>
      <c r="X478" s="5" t="n">
        <v>1</v>
      </c>
      <c r="Y478" s="5" t="n">
        <v>10.551</v>
      </c>
      <c r="Z478" s="5" t="n">
        <v>1.302</v>
      </c>
      <c r="AA478" s="5" t="n">
        <v>0</v>
      </c>
      <c r="AB478" s="5" t="n">
        <v>10.551</v>
      </c>
      <c r="AC478" s="5" t="n">
        <v>0</v>
      </c>
      <c r="AD478" s="5" t="n">
        <v>1</v>
      </c>
      <c r="AE478" s="5" t="n">
        <v>11.694</v>
      </c>
      <c r="AF478" s="5" t="n">
        <v>2.549</v>
      </c>
      <c r="AG478" s="5" t="n">
        <v>0</v>
      </c>
      <c r="AH478" s="5" t="n">
        <v>11.694</v>
      </c>
      <c r="AI478" s="5" t="n">
        <v>0</v>
      </c>
      <c r="AJ478" s="5" t="n">
        <v>1</v>
      </c>
      <c r="AK478" s="5" t="n">
        <v>18.554</v>
      </c>
      <c r="AL478" s="5" t="n">
        <v>9.627000000000001</v>
      </c>
      <c r="AM478" s="5" t="n">
        <v>0</v>
      </c>
      <c r="AN478" s="5" t="n">
        <v>18.554</v>
      </c>
      <c r="AO478" s="5" t="n">
        <v>0</v>
      </c>
      <c r="AP478" s="5" t="n">
        <v>1</v>
      </c>
      <c r="AQ478" s="5" t="n">
        <v>0.621</v>
      </c>
      <c r="AR478" s="5" t="n">
        <v>0.114</v>
      </c>
      <c r="AS478" s="5" t="n">
        <v>0</v>
      </c>
      <c r="AT478" s="5" t="n">
        <v>0.621</v>
      </c>
      <c r="AU478" s="5" t="n">
        <v>0</v>
      </c>
      <c r="AV478" s="5" t="n">
        <v>1</v>
      </c>
      <c r="AW478" s="5" t="n">
        <v>0.593</v>
      </c>
      <c r="AX478" s="5" t="n">
        <v>0.114</v>
      </c>
      <c r="AY478" s="5" t="n">
        <v>0</v>
      </c>
      <c r="AZ478" s="5" t="n">
        <v>0.593</v>
      </c>
      <c r="BA478" s="5" t="n">
        <v>0</v>
      </c>
      <c r="BB478" s="5" t="n">
        <v>1</v>
      </c>
      <c r="BC478" s="5" t="n">
        <v>0.44</v>
      </c>
      <c r="BD478" s="5" t="n">
        <v>0.114</v>
      </c>
      <c r="BE478" s="5" t="n">
        <v>0</v>
      </c>
      <c r="BF478" s="5" t="n">
        <v>0.44</v>
      </c>
      <c r="BG478" s="5" t="n">
        <v>0</v>
      </c>
      <c r="BH478" s="5" t="n">
        <v>1</v>
      </c>
      <c r="BI478" s="5" t="n">
        <v>0.5600000000000001</v>
      </c>
      <c r="BJ478" s="5" t="n">
        <v>0.114</v>
      </c>
      <c r="BK478" s="5" t="n">
        <v>0</v>
      </c>
      <c r="BL478" s="5" t="n">
        <v>0.5600000000000001</v>
      </c>
      <c r="BM478" s="5" t="n">
        <v>0</v>
      </c>
      <c r="BN478" s="5" t="n">
        <v>1</v>
      </c>
      <c r="BO478" s="5" t="n">
        <v>0</v>
      </c>
      <c r="BP478" s="5" t="n">
        <v>0</v>
      </c>
      <c r="BQ478" s="5" t="n">
        <v>0.157</v>
      </c>
      <c r="BR478" s="5" t="n">
        <v>0</v>
      </c>
      <c r="BS478" s="5" t="n">
        <v>1</v>
      </c>
      <c r="BT478" s="5" t="n">
        <v>0</v>
      </c>
      <c r="BU478" s="5" t="n">
        <v>0</v>
      </c>
      <c r="BV478" s="5" t="n">
        <v>0.149</v>
      </c>
      <c r="BW478" s="5" t="n">
        <v>0</v>
      </c>
      <c r="BX478" s="5" t="n">
        <v>0.833</v>
      </c>
      <c r="BY478" s="5" t="n">
        <v>11.787</v>
      </c>
      <c r="BZ478" s="5" t="n">
        <v>0</v>
      </c>
      <c r="CA478" s="5" t="n">
        <v>11.787</v>
      </c>
      <c r="CB478" s="5" t="n">
        <v>0</v>
      </c>
      <c r="CC478" s="5" t="n">
        <v>81.69499999999999</v>
      </c>
      <c r="CD478" s="5" t="n">
        <v>7.95</v>
      </c>
      <c r="CE478" s="5" t="n">
        <v>0</v>
      </c>
      <c r="CF478" s="5" t="n">
        <v>81.69499999999999</v>
      </c>
      <c r="CG478" s="5" t="n">
        <v>0</v>
      </c>
      <c r="CH478" s="5" t="n">
        <v>1</v>
      </c>
      <c r="CI478" s="5" t="n">
        <v>0</v>
      </c>
      <c r="CJ478" s="5" t="n">
        <v>0</v>
      </c>
      <c r="CK478" s="5" t="n">
        <v>0</v>
      </c>
      <c r="CL478" s="5" t="n">
        <v>0</v>
      </c>
      <c r="CM478" s="5" t="n">
        <v>0</v>
      </c>
      <c r="CN478" s="5" t="n">
        <v>0</v>
      </c>
      <c r="CO478" s="5" t="n">
        <v>0</v>
      </c>
      <c r="CP478" s="5" t="n">
        <v>0</v>
      </c>
      <c r="CQ478" s="5" t="n">
        <v>1.198</v>
      </c>
      <c r="CR478" s="5" t="n">
        <v>0</v>
      </c>
      <c r="CS478" s="5" t="n">
        <v>4.776</v>
      </c>
      <c r="CT478" s="5" t="n">
        <v>3.604</v>
      </c>
      <c r="CU478" s="5" t="n">
        <v>9.407999999999999</v>
      </c>
    </row>
    <row r="479">
      <c r="A479" s="5" t="inlineStr">
        <is>
          <t>MAC2022</t>
        </is>
      </c>
      <c r="B479" s="5" t="inlineStr">
        <is>
          <t>MAC</t>
        </is>
      </c>
      <c r="C479" s="5" t="inlineStr">
        <is>
          <t>MAC</t>
        </is>
      </c>
      <c r="D479" s="5" t="inlineStr">
        <is>
          <t>Macao SAR</t>
        </is>
      </c>
      <c r="E479" s="5" t="n">
        <v>2022</v>
      </c>
      <c r="F479" s="5" t="n">
        <v>0</v>
      </c>
      <c r="G479" s="5" t="n">
        <v>8.788</v>
      </c>
      <c r="H479" s="5" t="n">
        <v>1.235</v>
      </c>
      <c r="I479" s="5" t="n">
        <v>0</v>
      </c>
      <c r="J479" s="5" t="n">
        <v>8.788</v>
      </c>
      <c r="K479" s="5" t="n">
        <v>0</v>
      </c>
      <c r="L479" s="5" t="n">
        <v>1</v>
      </c>
      <c r="M479" s="5" t="n">
        <v>9.782999999999999</v>
      </c>
      <c r="N479" s="5" t="n">
        <v>3.704</v>
      </c>
      <c r="O479" s="5" t="n">
        <v>0</v>
      </c>
      <c r="P479" s="5" t="n">
        <v>9.782999999999999</v>
      </c>
      <c r="Q479" s="5" t="n">
        <v>0</v>
      </c>
      <c r="R479" s="5" t="n">
        <v>1</v>
      </c>
      <c r="S479" s="5" t="n">
        <v>14.962</v>
      </c>
      <c r="T479" s="5" t="n">
        <v>7.408</v>
      </c>
      <c r="U479" s="5" t="n">
        <v>0</v>
      </c>
      <c r="V479" s="5" t="n">
        <v>14.962</v>
      </c>
      <c r="W479" s="5" t="n">
        <v>0</v>
      </c>
      <c r="X479" s="5" t="n">
        <v>1</v>
      </c>
      <c r="Y479" s="5" t="n">
        <v>17.332</v>
      </c>
      <c r="Z479" s="5" t="n">
        <v>2.139</v>
      </c>
      <c r="AA479" s="5" t="n">
        <v>0</v>
      </c>
      <c r="AB479" s="5" t="n">
        <v>17.332</v>
      </c>
      <c r="AC479" s="5" t="n">
        <v>0</v>
      </c>
      <c r="AD479" s="5" t="n">
        <v>1</v>
      </c>
      <c r="AE479" s="5" t="n">
        <v>18.566</v>
      </c>
      <c r="AF479" s="5" t="n">
        <v>4.048</v>
      </c>
      <c r="AG479" s="5" t="n">
        <v>0</v>
      </c>
      <c r="AH479" s="5" t="n">
        <v>18.566</v>
      </c>
      <c r="AI479" s="5" t="n">
        <v>0</v>
      </c>
      <c r="AJ479" s="5" t="n">
        <v>1</v>
      </c>
      <c r="AK479" s="5" t="n">
        <v>25.974</v>
      </c>
      <c r="AL479" s="5" t="n">
        <v>13.478</v>
      </c>
      <c r="AM479" s="5" t="n">
        <v>0</v>
      </c>
      <c r="AN479" s="5" t="n">
        <v>25.974</v>
      </c>
      <c r="AO479" s="5" t="n">
        <v>0</v>
      </c>
      <c r="AP479" s="5" t="n">
        <v>1</v>
      </c>
      <c r="AQ479" s="5" t="n">
        <v>0.847</v>
      </c>
      <c r="AR479" s="5" t="n">
        <v>0.123</v>
      </c>
      <c r="AS479" s="5" t="n">
        <v>0</v>
      </c>
      <c r="AT479" s="5" t="n">
        <v>0.847</v>
      </c>
      <c r="AU479" s="5" t="n">
        <v>0</v>
      </c>
      <c r="AV479" s="5" t="n">
        <v>1</v>
      </c>
      <c r="AW479" s="5" t="n">
        <v>0.947</v>
      </c>
      <c r="AX479" s="5" t="n">
        <v>0.123</v>
      </c>
      <c r="AY479" s="5" t="n">
        <v>0</v>
      </c>
      <c r="AZ479" s="5" t="n">
        <v>0.947</v>
      </c>
      <c r="BA479" s="5" t="n">
        <v>0</v>
      </c>
      <c r="BB479" s="5" t="n">
        <v>1</v>
      </c>
      <c r="BC479" s="5" t="n">
        <v>0.589</v>
      </c>
      <c r="BD479" s="5" t="n">
        <v>0.123</v>
      </c>
      <c r="BE479" s="5" t="n">
        <v>0</v>
      </c>
      <c r="BF479" s="5" t="n">
        <v>0.589</v>
      </c>
      <c r="BG479" s="5" t="n">
        <v>0</v>
      </c>
      <c r="BH479" s="5" t="n">
        <v>1</v>
      </c>
      <c r="BI479" s="5" t="n">
        <v>0.6889999999999999</v>
      </c>
      <c r="BJ479" s="5" t="n">
        <v>0.123</v>
      </c>
      <c r="BK479" s="5" t="n">
        <v>0</v>
      </c>
      <c r="BL479" s="5" t="n">
        <v>0.6889999999999999</v>
      </c>
      <c r="BM479" s="5" t="n">
        <v>0</v>
      </c>
      <c r="BN479" s="5" t="n">
        <v>1</v>
      </c>
      <c r="BO479" s="5" t="n">
        <v>0</v>
      </c>
      <c r="BP479" s="5" t="n">
        <v>0</v>
      </c>
      <c r="BQ479" s="5" t="n">
        <v>0.16</v>
      </c>
      <c r="BR479" s="5" t="n">
        <v>0</v>
      </c>
      <c r="BS479" s="5" t="n">
        <v>1</v>
      </c>
      <c r="BT479" s="5" t="n">
        <v>0</v>
      </c>
      <c r="BU479" s="5" t="n">
        <v>0</v>
      </c>
      <c r="BV479" s="5" t="n">
        <v>0.155</v>
      </c>
      <c r="BW479" s="5" t="n">
        <v>0</v>
      </c>
      <c r="BX479" s="5" t="n">
        <v>0.833</v>
      </c>
      <c r="BY479" s="5" t="n">
        <v>12.729</v>
      </c>
      <c r="BZ479" s="5" t="n">
        <v>0</v>
      </c>
      <c r="CA479" s="5" t="n">
        <v>12.729</v>
      </c>
      <c r="CB479" s="5" t="n">
        <v>0</v>
      </c>
      <c r="CC479" s="5" t="n">
        <v>102.477</v>
      </c>
      <c r="CD479" s="5" t="n">
        <v>7.95</v>
      </c>
      <c r="CE479" s="5" t="n">
        <v>0</v>
      </c>
      <c r="CF479" s="5" t="n">
        <v>102.477</v>
      </c>
      <c r="CG479" s="5" t="n">
        <v>0</v>
      </c>
      <c r="CH479" s="5" t="n">
        <v>1</v>
      </c>
      <c r="CI479" s="5" t="n">
        <v>0</v>
      </c>
      <c r="CJ479" s="5" t="n">
        <v>0</v>
      </c>
      <c r="CK479" s="5" t="n">
        <v>0</v>
      </c>
      <c r="CL479" s="5" t="n">
        <v>0</v>
      </c>
      <c r="CM479" s="5" t="n">
        <v>0</v>
      </c>
      <c r="CN479" s="5" t="n">
        <v>0</v>
      </c>
      <c r="CO479" s="5" t="n">
        <v>0</v>
      </c>
      <c r="CP479" s="5" t="n">
        <v>0</v>
      </c>
      <c r="CQ479" s="5" t="n">
        <v>1.294</v>
      </c>
      <c r="CR479" s="5" t="n">
        <v>0</v>
      </c>
      <c r="CS479" s="5" t="n">
        <v>5.158</v>
      </c>
      <c r="CT479" s="5" t="n">
        <v>7.554</v>
      </c>
      <c r="CU479" s="5" t="n">
        <v>16.097</v>
      </c>
    </row>
    <row r="480">
      <c r="A480" s="5" t="inlineStr">
        <is>
          <t>MAC2023</t>
        </is>
      </c>
      <c r="B480" s="5" t="inlineStr">
        <is>
          <t>MAC</t>
        </is>
      </c>
      <c r="C480" s="5" t="inlineStr">
        <is>
          <t>MAC</t>
        </is>
      </c>
      <c r="D480" s="5" t="inlineStr">
        <is>
          <t>Macao SAR</t>
        </is>
      </c>
      <c r="E480" s="5" t="n">
        <v>2023</v>
      </c>
      <c r="F480" s="5" t="n">
        <v>0</v>
      </c>
      <c r="G480" s="5" t="n">
        <v>5.77</v>
      </c>
      <c r="H480" s="5" t="n">
        <v>1.286</v>
      </c>
      <c r="I480" s="5" t="n">
        <v>0</v>
      </c>
      <c r="J480" s="5" t="n">
        <v>5.77</v>
      </c>
      <c r="K480" s="5" t="n">
        <v>0</v>
      </c>
      <c r="L480" s="5" t="n">
        <v>1</v>
      </c>
      <c r="M480" s="5" t="n">
        <v>7.886</v>
      </c>
      <c r="N480" s="5" t="n">
        <v>3.857</v>
      </c>
      <c r="O480" s="5" t="n">
        <v>0</v>
      </c>
      <c r="P480" s="5" t="n">
        <v>7.886</v>
      </c>
      <c r="Q480" s="5" t="n">
        <v>0</v>
      </c>
      <c r="R480" s="5" t="n">
        <v>1</v>
      </c>
      <c r="S480" s="5" t="n">
        <v>12.198</v>
      </c>
      <c r="T480" s="5" t="n">
        <v>7.714</v>
      </c>
      <c r="U480" s="5" t="n">
        <v>0</v>
      </c>
      <c r="V480" s="5" t="n">
        <v>12.198</v>
      </c>
      <c r="W480" s="5" t="n">
        <v>0</v>
      </c>
      <c r="X480" s="5" t="n">
        <v>1</v>
      </c>
      <c r="Y480" s="5" t="n">
        <v>13.814</v>
      </c>
      <c r="Z480" s="5" t="n">
        <v>1.705</v>
      </c>
      <c r="AA480" s="5" t="n">
        <v>0</v>
      </c>
      <c r="AB480" s="5" t="n">
        <v>13.814</v>
      </c>
      <c r="AC480" s="5" t="n">
        <v>0</v>
      </c>
      <c r="AD480" s="5" t="n">
        <v>1</v>
      </c>
      <c r="AE480" s="5" t="n">
        <v>15.1</v>
      </c>
      <c r="AF480" s="5" t="n">
        <v>3.292</v>
      </c>
      <c r="AG480" s="5" t="n">
        <v>0</v>
      </c>
      <c r="AH480" s="5" t="n">
        <v>15.1</v>
      </c>
      <c r="AI480" s="5" t="n">
        <v>0</v>
      </c>
      <c r="AJ480" s="5" t="n">
        <v>1</v>
      </c>
      <c r="AK480" s="5" t="n">
        <v>22.814</v>
      </c>
      <c r="AL480" s="5" t="n">
        <v>11.838</v>
      </c>
      <c r="AM480" s="5" t="n">
        <v>0</v>
      </c>
      <c r="AN480" s="5" t="n">
        <v>22.814</v>
      </c>
      <c r="AO480" s="5" t="n">
        <v>0</v>
      </c>
      <c r="AP480" s="5" t="n">
        <v>1</v>
      </c>
      <c r="AQ480" s="5" t="n">
        <v>0.749</v>
      </c>
      <c r="AR480" s="5" t="n">
        <v>0.129</v>
      </c>
      <c r="AS480" s="5" t="n">
        <v>0</v>
      </c>
      <c r="AT480" s="5" t="n">
        <v>0.749</v>
      </c>
      <c r="AU480" s="5" t="n">
        <v>0</v>
      </c>
      <c r="AV480" s="5" t="n">
        <v>1</v>
      </c>
      <c r="AW480" s="5" t="n">
        <v>0.783</v>
      </c>
      <c r="AX480" s="5" t="n">
        <v>0.129</v>
      </c>
      <c r="AY480" s="5" t="n">
        <v>0</v>
      </c>
      <c r="AZ480" s="5" t="n">
        <v>0.783</v>
      </c>
      <c r="BA480" s="5" t="n">
        <v>0</v>
      </c>
      <c r="BB480" s="5" t="n">
        <v>1</v>
      </c>
      <c r="BC480" s="5" t="n">
        <v>0.527</v>
      </c>
      <c r="BD480" s="5" t="n">
        <v>0.129</v>
      </c>
      <c r="BE480" s="5" t="n">
        <v>0</v>
      </c>
      <c r="BF480" s="5" t="n">
        <v>0.527</v>
      </c>
      <c r="BG480" s="5" t="n">
        <v>0</v>
      </c>
      <c r="BH480" s="5" t="n">
        <v>1</v>
      </c>
      <c r="BI480" s="5" t="n">
        <v>0.64</v>
      </c>
      <c r="BJ480" s="5" t="n">
        <v>0.129</v>
      </c>
      <c r="BK480" s="5" t="n">
        <v>0</v>
      </c>
      <c r="BL480" s="5" t="n">
        <v>0.64</v>
      </c>
      <c r="BM480" s="5" t="n">
        <v>0</v>
      </c>
      <c r="BN480" s="5" t="n">
        <v>1</v>
      </c>
      <c r="BO480" s="5" t="n">
        <v>0</v>
      </c>
      <c r="BP480" s="5" t="n">
        <v>0</v>
      </c>
      <c r="BQ480" s="5" t="n">
        <v>0.161</v>
      </c>
      <c r="BR480" s="5" t="n">
        <v>0</v>
      </c>
      <c r="BS480" s="5" t="n">
        <v>1</v>
      </c>
      <c r="BT480" s="5" t="n">
        <v>0</v>
      </c>
      <c r="BU480" s="5" t="n">
        <v>0</v>
      </c>
      <c r="BV480" s="5" t="n">
        <v>0.156</v>
      </c>
      <c r="BW480" s="5" t="n">
        <v>0</v>
      </c>
      <c r="BX480" s="5" t="n">
        <v>0.833</v>
      </c>
      <c r="BY480" s="5" t="n">
        <v>13.254</v>
      </c>
      <c r="BZ480" s="5" t="n">
        <v>0</v>
      </c>
      <c r="CA480" s="5" t="n">
        <v>13.254</v>
      </c>
      <c r="CB480" s="5" t="n">
        <v>0</v>
      </c>
      <c r="CC480" s="5" t="n">
        <v>87.07899999999999</v>
      </c>
      <c r="CD480" s="5" t="n">
        <v>7.95</v>
      </c>
      <c r="CE480" s="5" t="n">
        <v>0</v>
      </c>
      <c r="CF480" s="5" t="n">
        <v>87.07899999999999</v>
      </c>
      <c r="CG480" s="5" t="n">
        <v>0</v>
      </c>
      <c r="CH480" s="5" t="n">
        <v>1</v>
      </c>
      <c r="CI480" s="5" t="n">
        <v>0</v>
      </c>
      <c r="CJ480" s="5" t="n">
        <v>0</v>
      </c>
      <c r="CK480" s="5" t="n">
        <v>0</v>
      </c>
      <c r="CL480" s="5" t="n">
        <v>0</v>
      </c>
      <c r="CM480" s="5" t="n">
        <v>0</v>
      </c>
      <c r="CN480" s="5" t="n">
        <v>0</v>
      </c>
      <c r="CO480" s="5" t="n">
        <v>0</v>
      </c>
      <c r="CP480" s="5" t="n">
        <v>0</v>
      </c>
      <c r="CQ480" s="5" t="n">
        <v>1.348</v>
      </c>
      <c r="CR480" s="5" t="n">
        <v>0</v>
      </c>
      <c r="CS480" s="5" t="n">
        <v>5.37</v>
      </c>
      <c r="CT480" s="5" t="n">
        <v>4.484</v>
      </c>
      <c r="CU480" s="5" t="n">
        <v>12.529</v>
      </c>
    </row>
    <row r="481">
      <c r="A481" s="5" t="inlineStr">
        <is>
          <t>MAC2024</t>
        </is>
      </c>
      <c r="B481" s="5" t="inlineStr">
        <is>
          <t>MAC</t>
        </is>
      </c>
      <c r="C481" s="5" t="inlineStr">
        <is>
          <t>MAC</t>
        </is>
      </c>
      <c r="D481" s="5" t="inlineStr">
        <is>
          <t>Macao SAR</t>
        </is>
      </c>
      <c r="E481" s="5" t="n">
        <v>2024</v>
      </c>
      <c r="F481" s="5" t="n">
        <v>0</v>
      </c>
      <c r="G481" s="5" t="n">
        <v>4.833</v>
      </c>
      <c r="H481" s="5" t="n">
        <v>1.324</v>
      </c>
      <c r="I481" s="5" t="n">
        <v>0</v>
      </c>
      <c r="J481" s="5" t="n">
        <v>4.833</v>
      </c>
      <c r="K481" s="5" t="n">
        <v>0</v>
      </c>
      <c r="L481" s="5" t="n">
        <v>1</v>
      </c>
      <c r="M481" s="5" t="n">
        <v>7.124</v>
      </c>
      <c r="N481" s="5" t="n">
        <v>3.971</v>
      </c>
      <c r="O481" s="5" t="n">
        <v>0</v>
      </c>
      <c r="P481" s="5" t="n">
        <v>7.124</v>
      </c>
      <c r="Q481" s="5" t="n">
        <v>0</v>
      </c>
      <c r="R481" s="5" t="n">
        <v>1</v>
      </c>
      <c r="S481" s="5" t="n">
        <v>11.451</v>
      </c>
      <c r="T481" s="5" t="n">
        <v>7.942</v>
      </c>
      <c r="U481" s="5" t="n">
        <v>0</v>
      </c>
      <c r="V481" s="5" t="n">
        <v>11.451</v>
      </c>
      <c r="W481" s="5" t="n">
        <v>0</v>
      </c>
      <c r="X481" s="5" t="n">
        <v>1</v>
      </c>
      <c r="Y481" s="5" t="n">
        <v>12.219</v>
      </c>
      <c r="Z481" s="5" t="n">
        <v>1.508</v>
      </c>
      <c r="AA481" s="5" t="n">
        <v>0</v>
      </c>
      <c r="AB481" s="5" t="n">
        <v>12.219</v>
      </c>
      <c r="AC481" s="5" t="n">
        <v>0</v>
      </c>
      <c r="AD481" s="5" t="n">
        <v>1</v>
      </c>
      <c r="AE481" s="5" t="n">
        <v>13.543</v>
      </c>
      <c r="AF481" s="5" t="n">
        <v>2.952</v>
      </c>
      <c r="AG481" s="5" t="n">
        <v>0</v>
      </c>
      <c r="AH481" s="5" t="n">
        <v>13.543</v>
      </c>
      <c r="AI481" s="5" t="n">
        <v>0</v>
      </c>
      <c r="AJ481" s="5" t="n">
        <v>1</v>
      </c>
      <c r="AK481" s="5" t="n">
        <v>21.484</v>
      </c>
      <c r="AL481" s="5" t="n">
        <v>11.148</v>
      </c>
      <c r="AM481" s="5" t="n">
        <v>0</v>
      </c>
      <c r="AN481" s="5" t="n">
        <v>21.484</v>
      </c>
      <c r="AO481" s="5" t="n">
        <v>0</v>
      </c>
      <c r="AP481" s="5" t="n">
        <v>1</v>
      </c>
      <c r="AQ481" s="5" t="n">
        <v>0.72</v>
      </c>
      <c r="AR481" s="5" t="n">
        <v>0.132</v>
      </c>
      <c r="AS481" s="5" t="n">
        <v>0</v>
      </c>
      <c r="AT481" s="5" t="n">
        <v>0.72</v>
      </c>
      <c r="AU481" s="5" t="n">
        <v>0</v>
      </c>
      <c r="AV481" s="5" t="n">
        <v>1</v>
      </c>
      <c r="AW481" s="5" t="n">
        <v>0.734</v>
      </c>
      <c r="AX481" s="5" t="n">
        <v>0.132</v>
      </c>
      <c r="AY481" s="5" t="n">
        <v>0</v>
      </c>
      <c r="AZ481" s="5" t="n">
        <v>0.734</v>
      </c>
      <c r="BA481" s="5" t="n">
        <v>0</v>
      </c>
      <c r="BB481" s="5" t="n">
        <v>1</v>
      </c>
      <c r="BC481" s="5" t="n">
        <v>0.51</v>
      </c>
      <c r="BD481" s="5" t="n">
        <v>0.132</v>
      </c>
      <c r="BE481" s="5" t="n">
        <v>0</v>
      </c>
      <c r="BF481" s="5" t="n">
        <v>0.51</v>
      </c>
      <c r="BG481" s="5" t="n">
        <v>0</v>
      </c>
      <c r="BH481" s="5" t="n">
        <v>1</v>
      </c>
      <c r="BI481" s="5" t="n">
        <v>0.652</v>
      </c>
      <c r="BJ481" s="5" t="n">
        <v>0.132</v>
      </c>
      <c r="BK481" s="5" t="n">
        <v>0</v>
      </c>
      <c r="BL481" s="5" t="n">
        <v>0.652</v>
      </c>
      <c r="BM481" s="5" t="n">
        <v>0</v>
      </c>
      <c r="BN481" s="5" t="n">
        <v>1</v>
      </c>
      <c r="BO481" s="5" t="n">
        <v>0</v>
      </c>
      <c r="BP481" s="5" t="n">
        <v>0</v>
      </c>
      <c r="BQ481" s="5" t="n">
        <v>0.162</v>
      </c>
      <c r="BR481" s="5" t="n">
        <v>0</v>
      </c>
      <c r="BS481" s="5" t="n">
        <v>1</v>
      </c>
      <c r="BT481" s="5" t="n">
        <v>0</v>
      </c>
      <c r="BU481" s="5" t="n">
        <v>0</v>
      </c>
      <c r="BV481" s="5" t="n">
        <v>0.157</v>
      </c>
      <c r="BW481" s="5" t="n">
        <v>0</v>
      </c>
      <c r="BX481" s="5" t="n">
        <v>0.833</v>
      </c>
      <c r="BY481" s="5" t="n">
        <v>13.646</v>
      </c>
      <c r="BZ481" s="5" t="n">
        <v>0</v>
      </c>
      <c r="CA481" s="5" t="n">
        <v>13.646</v>
      </c>
      <c r="CB481" s="5" t="n">
        <v>0</v>
      </c>
      <c r="CC481" s="5" t="n">
        <v>86.38500000000001</v>
      </c>
      <c r="CD481" s="5" t="n">
        <v>7.95</v>
      </c>
      <c r="CE481" s="5" t="n">
        <v>0</v>
      </c>
      <c r="CF481" s="5" t="n">
        <v>86.38500000000001</v>
      </c>
      <c r="CG481" s="5" t="n">
        <v>0</v>
      </c>
      <c r="CH481" s="5" t="n">
        <v>1</v>
      </c>
      <c r="CI481" s="5" t="n">
        <v>0</v>
      </c>
      <c r="CJ481" s="5" t="n">
        <v>0</v>
      </c>
      <c r="CK481" s="5" t="n">
        <v>0</v>
      </c>
      <c r="CL481" s="5" t="n">
        <v>0</v>
      </c>
      <c r="CM481" s="5" t="n">
        <v>0</v>
      </c>
      <c r="CN481" s="5" t="n">
        <v>0</v>
      </c>
      <c r="CO481" s="5" t="n">
        <v>0</v>
      </c>
      <c r="CP481" s="5" t="n">
        <v>0</v>
      </c>
      <c r="CQ481" s="5" t="n">
        <v>1.387</v>
      </c>
      <c r="CR481" s="5" t="n">
        <v>0</v>
      </c>
      <c r="CS481" s="5" t="n">
        <v>5.529</v>
      </c>
      <c r="CT481" s="5" t="n">
        <v>3.509</v>
      </c>
      <c r="CU481" s="5" t="n">
        <v>10.896</v>
      </c>
    </row>
    <row r="482">
      <c r="A482" s="5" t="inlineStr">
        <is>
          <t>MDG2021</t>
        </is>
      </c>
      <c r="B482" s="5" t="inlineStr">
        <is>
          <t>MDG</t>
        </is>
      </c>
      <c r="C482" s="5" t="inlineStr">
        <is>
          <t>MDG</t>
        </is>
      </c>
      <c r="D482" s="5" t="inlineStr">
        <is>
          <t>Madagascar</t>
        </is>
      </c>
      <c r="E482" s="5" t="n">
        <v>2021</v>
      </c>
      <c r="F482" s="5" t="n">
        <v>0.2</v>
      </c>
      <c r="G482" s="5" t="n">
        <v>5.659</v>
      </c>
      <c r="H482" s="5" t="n">
        <v>1.238</v>
      </c>
      <c r="I482" s="5" t="n">
        <v>0.238</v>
      </c>
      <c r="J482" s="5" t="n">
        <v>5.897</v>
      </c>
      <c r="K482" s="5" t="n">
        <v>0</v>
      </c>
      <c r="L482" s="5" t="n">
        <v>1</v>
      </c>
      <c r="M482" s="5" t="n">
        <v>7.512</v>
      </c>
      <c r="N482" s="5" t="n">
        <v>3.404</v>
      </c>
      <c r="O482" s="5" t="n">
        <v>0.906</v>
      </c>
      <c r="P482" s="5" t="n">
        <v>8.417999999999999</v>
      </c>
      <c r="Q482" s="5" t="n">
        <v>0</v>
      </c>
      <c r="R482" s="5" t="n">
        <v>1</v>
      </c>
      <c r="S482" s="5" t="n">
        <v>11.376</v>
      </c>
      <c r="T482" s="5" t="n">
        <v>7.05</v>
      </c>
      <c r="U482" s="5" t="n">
        <v>0.238</v>
      </c>
      <c r="V482" s="5" t="n">
        <v>13.936</v>
      </c>
      <c r="W482" s="5" t="n">
        <v>0.2</v>
      </c>
      <c r="X482" s="5" t="n">
        <v>1</v>
      </c>
      <c r="Y482" s="5" t="n">
        <v>5.919</v>
      </c>
      <c r="Z482" s="5" t="n">
        <v>0.8</v>
      </c>
      <c r="AA482" s="5" t="n">
        <v>-0.002</v>
      </c>
      <c r="AB482" s="5" t="n">
        <v>5.917</v>
      </c>
      <c r="AC482" s="5" t="n">
        <v>0</v>
      </c>
      <c r="AD482" s="5" t="n">
        <v>1</v>
      </c>
      <c r="AE482" s="5" t="n">
        <v>7.062</v>
      </c>
      <c r="AF482" s="5" t="n">
        <v>1.651</v>
      </c>
      <c r="AG482" s="5" t="n">
        <v>-0.001</v>
      </c>
      <c r="AH482" s="5" t="n">
        <v>7.061</v>
      </c>
      <c r="AI482" s="5" t="n">
        <v>0</v>
      </c>
      <c r="AJ482" s="5" t="n">
        <v>1</v>
      </c>
      <c r="AK482" s="5" t="n">
        <v>13.922</v>
      </c>
      <c r="AL482" s="5" t="n">
        <v>7.415</v>
      </c>
      <c r="AM482" s="5" t="n">
        <v>-0.001</v>
      </c>
      <c r="AN482" s="5" t="n">
        <v>16.705</v>
      </c>
      <c r="AO482" s="5" t="n">
        <v>0.2</v>
      </c>
      <c r="AP482" s="5" t="n">
        <v>1</v>
      </c>
      <c r="AQ482" s="5" t="n">
        <v>0.619</v>
      </c>
      <c r="AR482" s="5" t="n">
        <v>0.113</v>
      </c>
      <c r="AS482" s="5" t="n">
        <v>0.273</v>
      </c>
      <c r="AT482" s="5" t="n">
        <v>1.071</v>
      </c>
      <c r="AU482" s="5" t="n">
        <v>0.2</v>
      </c>
      <c r="AV482" s="5" t="n">
        <v>1</v>
      </c>
      <c r="AW482" s="5" t="n">
        <v>0.503</v>
      </c>
      <c r="AX482" s="5" t="n">
        <v>0.097</v>
      </c>
      <c r="AY482" s="5" t="n">
        <v>0.237</v>
      </c>
      <c r="AZ482" s="5" t="n">
        <v>0.888</v>
      </c>
      <c r="BA482" s="5" t="n">
        <v>0.2</v>
      </c>
      <c r="BB482" s="5" t="n">
        <v>1</v>
      </c>
      <c r="BC482" s="5" t="n">
        <v>0.44</v>
      </c>
      <c r="BD482" s="5" t="n">
        <v>0.114</v>
      </c>
      <c r="BE482" s="5" t="n">
        <v>0.019</v>
      </c>
      <c r="BF482" s="5" t="n">
        <v>0.551</v>
      </c>
      <c r="BG482" s="5" t="n">
        <v>0.2</v>
      </c>
      <c r="BH482" s="5" t="n">
        <v>0</v>
      </c>
      <c r="BI482" s="5" t="n">
        <v>0.491</v>
      </c>
      <c r="BJ482" s="5" t="n">
        <v>0.109</v>
      </c>
      <c r="BK482" s="5" t="n">
        <v>-0.028</v>
      </c>
      <c r="BL482" s="5" t="n">
        <v>0.556</v>
      </c>
      <c r="BM482" s="5" t="n">
        <v>0.2</v>
      </c>
      <c r="BN482" s="5" t="n">
        <v>1</v>
      </c>
      <c r="BO482" s="5" t="n">
        <v>0</v>
      </c>
      <c r="BP482" s="5" t="n">
        <v>0</v>
      </c>
      <c r="BQ482" s="5" t="n">
        <v>0.117</v>
      </c>
      <c r="BR482" s="5" t="n">
        <v>0</v>
      </c>
      <c r="BS482" s="5" t="n">
        <v>0.667</v>
      </c>
      <c r="BT482" s="5" t="n">
        <v>0</v>
      </c>
      <c r="BU482" s="5" t="n">
        <v>0</v>
      </c>
      <c r="BV482" s="5" t="n">
        <v>0.153</v>
      </c>
      <c r="BW482" s="5" t="n">
        <v>0.2</v>
      </c>
      <c r="BX482" s="5" t="n">
        <v>0.833</v>
      </c>
      <c r="BY482" s="5" t="n">
        <v>11.787</v>
      </c>
      <c r="BZ482" s="5" t="n">
        <v>0</v>
      </c>
      <c r="CA482" s="5" t="n">
        <v>11.787</v>
      </c>
      <c r="CB482" s="5" t="n">
        <v>0</v>
      </c>
      <c r="CC482" s="5" t="n">
        <v>75.786</v>
      </c>
      <c r="CD482" s="5" t="n">
        <v>5.611</v>
      </c>
      <c r="CE482" s="5" t="n">
        <v>-2.098</v>
      </c>
      <c r="CF482" s="5" t="n">
        <v>88.426</v>
      </c>
      <c r="CG482" s="5" t="n">
        <v>0.2</v>
      </c>
      <c r="CH482" s="5" t="n">
        <v>1</v>
      </c>
      <c r="CI482" s="5" t="n">
        <v>0</v>
      </c>
      <c r="CJ482" s="5" t="n">
        <v>0</v>
      </c>
      <c r="CK482" s="5" t="n">
        <v>0</v>
      </c>
      <c r="CL482" s="5" t="n">
        <v>0</v>
      </c>
      <c r="CM482" s="5" t="n">
        <v>0</v>
      </c>
      <c r="CN482" s="5" t="n">
        <v>0</v>
      </c>
      <c r="CO482" s="5" t="n">
        <v>0</v>
      </c>
      <c r="CP482" s="5" t="n">
        <v>0</v>
      </c>
      <c r="CQ482" s="5" t="n">
        <v>1.198</v>
      </c>
      <c r="CR482" s="5" t="n">
        <v>0</v>
      </c>
      <c r="CS482" s="5" t="n">
        <v>4.776</v>
      </c>
      <c r="CT482" s="5" t="n">
        <v>4.753</v>
      </c>
      <c r="CU482" s="5" t="n">
        <v>15.162</v>
      </c>
    </row>
    <row r="483">
      <c r="A483" s="5" t="inlineStr">
        <is>
          <t>MDG2022</t>
        </is>
      </c>
      <c r="B483" s="5" t="inlineStr">
        <is>
          <t>MDG</t>
        </is>
      </c>
      <c r="C483" s="5" t="inlineStr">
        <is>
          <t>MDG</t>
        </is>
      </c>
      <c r="D483" s="5" t="inlineStr">
        <is>
          <t>Madagascar</t>
        </is>
      </c>
      <c r="E483" s="5" t="n">
        <v>2022</v>
      </c>
      <c r="F483" s="5" t="n">
        <v>0.2</v>
      </c>
      <c r="G483" s="5" t="n">
        <v>11.196</v>
      </c>
      <c r="H483" s="5" t="n">
        <v>1.739</v>
      </c>
      <c r="I483" s="5" t="n">
        <v>0.524</v>
      </c>
      <c r="J483" s="5" t="n">
        <v>11.72</v>
      </c>
      <c r="K483" s="5" t="n">
        <v>0</v>
      </c>
      <c r="L483" s="5" t="n">
        <v>1</v>
      </c>
      <c r="M483" s="5" t="n">
        <v>9.173999999999999</v>
      </c>
      <c r="N483" s="5" t="n">
        <v>3.788</v>
      </c>
      <c r="O483" s="5" t="n">
        <v>1.216</v>
      </c>
      <c r="P483" s="5" t="n">
        <v>10.39</v>
      </c>
      <c r="Q483" s="5" t="n">
        <v>0</v>
      </c>
      <c r="R483" s="5" t="n">
        <v>1</v>
      </c>
      <c r="S483" s="5" t="n">
        <v>17.104</v>
      </c>
      <c r="T483" s="5" t="n">
        <v>8.377000000000001</v>
      </c>
      <c r="U483" s="5" t="n">
        <v>0.789</v>
      </c>
      <c r="V483" s="5" t="n">
        <v>21.472</v>
      </c>
      <c r="W483" s="5" t="n">
        <v>0.2</v>
      </c>
      <c r="X483" s="5" t="n">
        <v>1</v>
      </c>
      <c r="Y483" s="5" t="n">
        <v>6.392</v>
      </c>
      <c r="Z483" s="5" t="n">
        <v>0.864</v>
      </c>
      <c r="AA483" s="5" t="n">
        <v>-0.002</v>
      </c>
      <c r="AB483" s="5" t="n">
        <v>6.39</v>
      </c>
      <c r="AC483" s="5" t="n">
        <v>0</v>
      </c>
      <c r="AD483" s="5" t="n">
        <v>1</v>
      </c>
      <c r="AE483" s="5" t="n">
        <v>7.627</v>
      </c>
      <c r="AF483" s="5" t="n">
        <v>1.783</v>
      </c>
      <c r="AG483" s="5" t="n">
        <v>-0.002</v>
      </c>
      <c r="AH483" s="5" t="n">
        <v>7.625</v>
      </c>
      <c r="AI483" s="5" t="n">
        <v>0</v>
      </c>
      <c r="AJ483" s="5" t="n">
        <v>1</v>
      </c>
      <c r="AK483" s="5" t="n">
        <v>15.035</v>
      </c>
      <c r="AL483" s="5" t="n">
        <v>8.007999999999999</v>
      </c>
      <c r="AM483" s="5" t="n">
        <v>-0.002</v>
      </c>
      <c r="AN483" s="5" t="n">
        <v>18.04</v>
      </c>
      <c r="AO483" s="5" t="n">
        <v>0.2</v>
      </c>
      <c r="AP483" s="5" t="n">
        <v>1</v>
      </c>
      <c r="AQ483" s="5" t="n">
        <v>0.861</v>
      </c>
      <c r="AR483" s="5" t="n">
        <v>0.123</v>
      </c>
      <c r="AS483" s="5" t="n">
        <v>0.149</v>
      </c>
      <c r="AT483" s="5" t="n">
        <v>1.212</v>
      </c>
      <c r="AU483" s="5" t="n">
        <v>0.2</v>
      </c>
      <c r="AV483" s="5" t="n">
        <v>1</v>
      </c>
      <c r="AW483" s="5" t="n">
        <v>0.8139999999999999</v>
      </c>
      <c r="AX483" s="5" t="n">
        <v>0.106</v>
      </c>
      <c r="AY483" s="5" t="n">
        <v>0.025</v>
      </c>
      <c r="AZ483" s="5" t="n">
        <v>1.006</v>
      </c>
      <c r="BA483" s="5" t="n">
        <v>0.2</v>
      </c>
      <c r="BB483" s="5" t="n">
        <v>1</v>
      </c>
      <c r="BC483" s="5" t="n">
        <v>0.592</v>
      </c>
      <c r="BD483" s="5" t="n">
        <v>0.122</v>
      </c>
      <c r="BE483" s="5" t="n">
        <v>-0.056</v>
      </c>
      <c r="BF483" s="5" t="n">
        <v>0.643</v>
      </c>
      <c r="BG483" s="5" t="n">
        <v>0.2</v>
      </c>
      <c r="BH483" s="5" t="n">
        <v>0</v>
      </c>
      <c r="BI483" s="5" t="n">
        <v>0.598</v>
      </c>
      <c r="BJ483" s="5" t="n">
        <v>0.117</v>
      </c>
      <c r="BK483" s="5" t="n">
        <v>-0.134</v>
      </c>
      <c r="BL483" s="5" t="n">
        <v>0.5570000000000001</v>
      </c>
      <c r="BM483" s="5" t="n">
        <v>0.2</v>
      </c>
      <c r="BN483" s="5" t="n">
        <v>1</v>
      </c>
      <c r="BO483" s="5" t="n">
        <v>0</v>
      </c>
      <c r="BP483" s="5" t="n">
        <v>0</v>
      </c>
      <c r="BQ483" s="5" t="n">
        <v>0.108</v>
      </c>
      <c r="BR483" s="5" t="n">
        <v>0</v>
      </c>
      <c r="BS483" s="5" t="n">
        <v>0.667</v>
      </c>
      <c r="BT483" s="5" t="n">
        <v>0</v>
      </c>
      <c r="BU483" s="5" t="n">
        <v>0</v>
      </c>
      <c r="BV483" s="5" t="n">
        <v>0.141</v>
      </c>
      <c r="BW483" s="5" t="n">
        <v>0.2</v>
      </c>
      <c r="BX483" s="5" t="n">
        <v>0.833</v>
      </c>
      <c r="BY483" s="5" t="n">
        <v>12.729</v>
      </c>
      <c r="BZ483" s="5" t="n">
        <v>0</v>
      </c>
      <c r="CA483" s="5" t="n">
        <v>12.729</v>
      </c>
      <c r="CB483" s="5" t="n">
        <v>0</v>
      </c>
      <c r="CC483" s="5" t="n">
        <v>94.901</v>
      </c>
      <c r="CD483" s="5" t="n">
        <v>4.952</v>
      </c>
      <c r="CE483" s="5" t="n">
        <v>-21.351</v>
      </c>
      <c r="CF483" s="5" t="n">
        <v>88.261</v>
      </c>
      <c r="CG483" s="5" t="n">
        <v>0.2</v>
      </c>
      <c r="CH483" s="5" t="n">
        <v>1</v>
      </c>
      <c r="CI483" s="5" t="n">
        <v>0</v>
      </c>
      <c r="CJ483" s="5" t="n">
        <v>0</v>
      </c>
      <c r="CK483" s="5" t="n">
        <v>0</v>
      </c>
      <c r="CL483" s="5" t="n">
        <v>0</v>
      </c>
      <c r="CM483" s="5" t="n">
        <v>0</v>
      </c>
      <c r="CN483" s="5" t="n">
        <v>0</v>
      </c>
      <c r="CO483" s="5" t="n">
        <v>0</v>
      </c>
      <c r="CP483" s="5" t="n">
        <v>0</v>
      </c>
      <c r="CQ483" s="5" t="n">
        <v>1.294</v>
      </c>
      <c r="CR483" s="5" t="n">
        <v>0</v>
      </c>
      <c r="CS483" s="5" t="n">
        <v>5.158</v>
      </c>
      <c r="CT483" s="5" t="n">
        <v>10.485</v>
      </c>
      <c r="CU483" s="5" t="n">
        <v>31.326</v>
      </c>
    </row>
    <row r="484">
      <c r="A484" s="5" t="inlineStr">
        <is>
          <t>MDG2023</t>
        </is>
      </c>
      <c r="B484" s="5" t="inlineStr">
        <is>
          <t>MDG</t>
        </is>
      </c>
      <c r="C484" s="5" t="inlineStr">
        <is>
          <t>MDG</t>
        </is>
      </c>
      <c r="D484" s="5" t="inlineStr">
        <is>
          <t>Madagascar</t>
        </is>
      </c>
      <c r="E484" s="5" t="n">
        <v>2023</v>
      </c>
      <c r="F484" s="5" t="n">
        <v>0.2</v>
      </c>
      <c r="G484" s="5" t="n">
        <v>5.904</v>
      </c>
      <c r="H484" s="5" t="n">
        <v>1.345</v>
      </c>
      <c r="I484" s="5" t="n">
        <v>0.243</v>
      </c>
      <c r="J484" s="5" t="n">
        <v>6.147</v>
      </c>
      <c r="K484" s="5" t="n">
        <v>0</v>
      </c>
      <c r="L484" s="5" t="n">
        <v>1</v>
      </c>
      <c r="M484" s="5" t="n">
        <v>7.483</v>
      </c>
      <c r="N484" s="5" t="n">
        <v>3.711</v>
      </c>
      <c r="O484" s="5" t="n">
        <v>0.806</v>
      </c>
      <c r="P484" s="5" t="n">
        <v>8.289</v>
      </c>
      <c r="Q484" s="5" t="n">
        <v>0</v>
      </c>
      <c r="R484" s="5" t="n">
        <v>1</v>
      </c>
      <c r="S484" s="5" t="n">
        <v>12.054</v>
      </c>
      <c r="T484" s="5" t="n">
        <v>7.559</v>
      </c>
      <c r="U484" s="5" t="n">
        <v>0.521</v>
      </c>
      <c r="V484" s="5" t="n">
        <v>15.09</v>
      </c>
      <c r="W484" s="5" t="n">
        <v>0.2</v>
      </c>
      <c r="X484" s="5" t="n">
        <v>1</v>
      </c>
      <c r="Y484" s="5" t="n">
        <v>6.656</v>
      </c>
      <c r="Z484" s="5" t="n">
        <v>0.9</v>
      </c>
      <c r="AA484" s="5" t="n">
        <v>-0.002</v>
      </c>
      <c r="AB484" s="5" t="n">
        <v>6.654</v>
      </c>
      <c r="AC484" s="5" t="n">
        <v>0</v>
      </c>
      <c r="AD484" s="5" t="n">
        <v>1</v>
      </c>
      <c r="AE484" s="5" t="n">
        <v>7.942</v>
      </c>
      <c r="AF484" s="5" t="n">
        <v>1.857</v>
      </c>
      <c r="AG484" s="5" t="n">
        <v>-0.002</v>
      </c>
      <c r="AH484" s="5" t="n">
        <v>7.94</v>
      </c>
      <c r="AI484" s="5" t="n">
        <v>0</v>
      </c>
      <c r="AJ484" s="5" t="n">
        <v>1</v>
      </c>
      <c r="AK484" s="5" t="n">
        <v>15.656</v>
      </c>
      <c r="AL484" s="5" t="n">
        <v>8.337999999999999</v>
      </c>
      <c r="AM484" s="5" t="n">
        <v>-0.002</v>
      </c>
      <c r="AN484" s="5" t="n">
        <v>18.784</v>
      </c>
      <c r="AO484" s="5" t="n">
        <v>0.2</v>
      </c>
      <c r="AP484" s="5" t="n">
        <v>1</v>
      </c>
      <c r="AQ484" s="5" t="n">
        <v>0.761</v>
      </c>
      <c r="AR484" s="5" t="n">
        <v>0.128</v>
      </c>
      <c r="AS484" s="5" t="n">
        <v>0.349</v>
      </c>
      <c r="AT484" s="5" t="n">
        <v>1.332</v>
      </c>
      <c r="AU484" s="5" t="n">
        <v>0.2</v>
      </c>
      <c r="AV484" s="5" t="n">
        <v>1</v>
      </c>
      <c r="AW484" s="5" t="n">
        <v>0.675</v>
      </c>
      <c r="AX484" s="5" t="n">
        <v>0.116</v>
      </c>
      <c r="AY484" s="5" t="n">
        <v>0.247</v>
      </c>
      <c r="AZ484" s="5" t="n">
        <v>1.106</v>
      </c>
      <c r="BA484" s="5" t="n">
        <v>0.2</v>
      </c>
      <c r="BB484" s="5" t="n">
        <v>1</v>
      </c>
      <c r="BC484" s="5" t="n">
        <v>0.527</v>
      </c>
      <c r="BD484" s="5" t="n">
        <v>0.127</v>
      </c>
      <c r="BE484" s="5" t="n">
        <v>-0.138</v>
      </c>
      <c r="BF484" s="5" t="n">
        <v>0.467</v>
      </c>
      <c r="BG484" s="5" t="n">
        <v>0.2</v>
      </c>
      <c r="BH484" s="5" t="n">
        <v>0</v>
      </c>
      <c r="BI484" s="5" t="n">
        <v>0.5639999999999999</v>
      </c>
      <c r="BJ484" s="5" t="n">
        <v>0.123</v>
      </c>
      <c r="BK484" s="5" t="n">
        <v>-0.107</v>
      </c>
      <c r="BL484" s="5" t="n">
        <v>0.549</v>
      </c>
      <c r="BM484" s="5" t="n">
        <v>0.2</v>
      </c>
      <c r="BN484" s="5" t="n">
        <v>1</v>
      </c>
      <c r="BO484" s="5" t="n">
        <v>0</v>
      </c>
      <c r="BP484" s="5" t="n">
        <v>0</v>
      </c>
      <c r="BQ484" s="5" t="n">
        <v>0.112</v>
      </c>
      <c r="BR484" s="5" t="n">
        <v>0</v>
      </c>
      <c r="BS484" s="5" t="n">
        <v>0.667</v>
      </c>
      <c r="BT484" s="5" t="n">
        <v>0</v>
      </c>
      <c r="BU484" s="5" t="n">
        <v>0</v>
      </c>
      <c r="BV484" s="5" t="n">
        <v>0.13</v>
      </c>
      <c r="BW484" s="5" t="n">
        <v>0.2</v>
      </c>
      <c r="BX484" s="5" t="n">
        <v>0.833</v>
      </c>
      <c r="BY484" s="5" t="n">
        <v>13.254</v>
      </c>
      <c r="BZ484" s="5" t="n">
        <v>0</v>
      </c>
      <c r="CA484" s="5" t="n">
        <v>13.254</v>
      </c>
      <c r="CB484" s="5" t="n">
        <v>0</v>
      </c>
      <c r="CC484" s="5" t="n">
        <v>80.739</v>
      </c>
      <c r="CD484" s="5" t="n">
        <v>5.441</v>
      </c>
      <c r="CE484" s="5" t="n">
        <v>-8.051</v>
      </c>
      <c r="CF484" s="5" t="n">
        <v>87.22499999999999</v>
      </c>
      <c r="CG484" s="5" t="n">
        <v>0.2</v>
      </c>
      <c r="CH484" s="5" t="n">
        <v>1</v>
      </c>
      <c r="CI484" s="5" t="n">
        <v>0</v>
      </c>
      <c r="CJ484" s="5" t="n">
        <v>0</v>
      </c>
      <c r="CK484" s="5" t="n">
        <v>0</v>
      </c>
      <c r="CL484" s="5" t="n">
        <v>0</v>
      </c>
      <c r="CM484" s="5" t="n">
        <v>0</v>
      </c>
      <c r="CN484" s="5" t="n">
        <v>0</v>
      </c>
      <c r="CO484" s="5" t="n">
        <v>0</v>
      </c>
      <c r="CP484" s="5" t="n">
        <v>0</v>
      </c>
      <c r="CQ484" s="5" t="n">
        <v>1.348</v>
      </c>
      <c r="CR484" s="5" t="n">
        <v>0</v>
      </c>
      <c r="CS484" s="5" t="n">
        <v>5.37</v>
      </c>
      <c r="CT484" s="5" t="n">
        <v>4.861</v>
      </c>
      <c r="CU484" s="5" t="n">
        <v>11.622</v>
      </c>
    </row>
    <row r="485">
      <c r="A485" s="5" t="inlineStr">
        <is>
          <t>MDG2024</t>
        </is>
      </c>
      <c r="B485" s="5" t="inlineStr">
        <is>
          <t>MDG</t>
        </is>
      </c>
      <c r="C485" s="5" t="inlineStr">
        <is>
          <t>MDG</t>
        </is>
      </c>
      <c r="D485" s="5" t="inlineStr">
        <is>
          <t>Madagascar</t>
        </is>
      </c>
      <c r="E485" s="5" t="n">
        <v>2024</v>
      </c>
      <c r="F485" s="5" t="n">
        <v>0.2</v>
      </c>
      <c r="G485" s="5" t="n">
        <v>5.362</v>
      </c>
      <c r="H485" s="5" t="n">
        <v>1.358</v>
      </c>
      <c r="I485" s="5" t="n">
        <v>0.213</v>
      </c>
      <c r="J485" s="5" t="n">
        <v>5.575</v>
      </c>
      <c r="K485" s="5" t="n">
        <v>0</v>
      </c>
      <c r="L485" s="5" t="n">
        <v>1</v>
      </c>
      <c r="M485" s="5" t="n">
        <v>6.83</v>
      </c>
      <c r="N485" s="5" t="n">
        <v>3.72</v>
      </c>
      <c r="O485" s="5" t="n">
        <v>0.632</v>
      </c>
      <c r="P485" s="5" t="n">
        <v>7.462</v>
      </c>
      <c r="Q485" s="5" t="n">
        <v>0</v>
      </c>
      <c r="R485" s="5" t="n">
        <v>1</v>
      </c>
      <c r="S485" s="5" t="n">
        <v>11.65</v>
      </c>
      <c r="T485" s="5" t="n">
        <v>7.713</v>
      </c>
      <c r="U485" s="5" t="n">
        <v>0.546</v>
      </c>
      <c r="V485" s="5" t="n">
        <v>14.635</v>
      </c>
      <c r="W485" s="5" t="n">
        <v>0.2</v>
      </c>
      <c r="X485" s="5" t="n">
        <v>1</v>
      </c>
      <c r="Y485" s="5" t="n">
        <v>6.853</v>
      </c>
      <c r="Z485" s="5" t="n">
        <v>0.926</v>
      </c>
      <c r="AA485" s="5" t="n">
        <v>0</v>
      </c>
      <c r="AB485" s="5" t="n">
        <v>6.853</v>
      </c>
      <c r="AC485" s="5" t="n">
        <v>0</v>
      </c>
      <c r="AD485" s="5" t="n">
        <v>1</v>
      </c>
      <c r="AE485" s="5" t="n">
        <v>8.176</v>
      </c>
      <c r="AF485" s="5" t="n">
        <v>1.912</v>
      </c>
      <c r="AG485" s="5" t="n">
        <v>0.001</v>
      </c>
      <c r="AH485" s="5" t="n">
        <v>8.177</v>
      </c>
      <c r="AI485" s="5" t="n">
        <v>0</v>
      </c>
      <c r="AJ485" s="5" t="n">
        <v>1</v>
      </c>
      <c r="AK485" s="5" t="n">
        <v>16.118</v>
      </c>
      <c r="AL485" s="5" t="n">
        <v>8.584</v>
      </c>
      <c r="AM485" s="5" t="n">
        <v>0.004</v>
      </c>
      <c r="AN485" s="5" t="n">
        <v>19.346</v>
      </c>
      <c r="AO485" s="5" t="n">
        <v>0.2</v>
      </c>
      <c r="AP485" s="5" t="n">
        <v>1</v>
      </c>
      <c r="AQ485" s="5" t="n">
        <v>0.6840000000000001</v>
      </c>
      <c r="AR485" s="5" t="n">
        <v>0.124</v>
      </c>
      <c r="AS485" s="5" t="n">
        <v>0.362</v>
      </c>
      <c r="AT485" s="5" t="n">
        <v>1.255</v>
      </c>
      <c r="AU485" s="5" t="n">
        <v>0.2</v>
      </c>
      <c r="AV485" s="5" t="n">
        <v>1</v>
      </c>
      <c r="AW485" s="5" t="n">
        <v>0.593</v>
      </c>
      <c r="AX485" s="5" t="n">
        <v>0.109</v>
      </c>
      <c r="AY485" s="5" t="n">
        <v>0.276</v>
      </c>
      <c r="AZ485" s="5" t="n">
        <v>1.043</v>
      </c>
      <c r="BA485" s="5" t="n">
        <v>0.2</v>
      </c>
      <c r="BB485" s="5" t="n">
        <v>1</v>
      </c>
      <c r="BC485" s="5" t="n">
        <v>0.505</v>
      </c>
      <c r="BD485" s="5" t="n">
        <v>0.13</v>
      </c>
      <c r="BE485" s="5" t="n">
        <v>-0.142</v>
      </c>
      <c r="BF485" s="5" t="n">
        <v>0.436</v>
      </c>
      <c r="BG485" s="5" t="n">
        <v>0.2</v>
      </c>
      <c r="BH485" s="5" t="n">
        <v>0</v>
      </c>
      <c r="BI485" s="5" t="n">
        <v>0.5600000000000001</v>
      </c>
      <c r="BJ485" s="5" t="n">
        <v>0.123</v>
      </c>
      <c r="BK485" s="5" t="n">
        <v>-0.129</v>
      </c>
      <c r="BL485" s="5" t="n">
        <v>0.517</v>
      </c>
      <c r="BM485" s="5" t="n">
        <v>0.2</v>
      </c>
      <c r="BN485" s="5" t="n">
        <v>1</v>
      </c>
      <c r="BO485" s="5" t="n">
        <v>0</v>
      </c>
      <c r="BP485" s="5" t="n">
        <v>0</v>
      </c>
      <c r="BQ485" s="5" t="n">
        <v>0.178</v>
      </c>
      <c r="BR485" s="5" t="n">
        <v>0</v>
      </c>
      <c r="BS485" s="5" t="n">
        <v>0.667</v>
      </c>
      <c r="BT485" s="5" t="n">
        <v>0</v>
      </c>
      <c r="BU485" s="5" t="n">
        <v>0</v>
      </c>
      <c r="BV485" s="5" t="n">
        <v>0.128</v>
      </c>
      <c r="BW485" s="5" t="n">
        <v>0.2</v>
      </c>
      <c r="BX485" s="5" t="n">
        <v>0.833</v>
      </c>
      <c r="BY485" s="5" t="n">
        <v>13.646</v>
      </c>
      <c r="BZ485" s="5" t="n">
        <v>0</v>
      </c>
      <c r="CA485" s="5" t="n">
        <v>13.646</v>
      </c>
      <c r="CB485" s="5" t="n">
        <v>0</v>
      </c>
      <c r="CC485" s="5" t="n">
        <v>78.089</v>
      </c>
      <c r="CD485" s="5" t="n">
        <v>3.451</v>
      </c>
      <c r="CE485" s="5" t="n">
        <v>-4.42</v>
      </c>
      <c r="CF485" s="5" t="n">
        <v>88.40300000000001</v>
      </c>
      <c r="CG485" s="5" t="n">
        <v>0.2</v>
      </c>
      <c r="CH485" s="5" t="n">
        <v>1</v>
      </c>
      <c r="CI485" s="5" t="n">
        <v>0</v>
      </c>
      <c r="CJ485" s="5" t="n">
        <v>0</v>
      </c>
      <c r="CK485" s="5" t="n">
        <v>0</v>
      </c>
      <c r="CL485" s="5" t="n">
        <v>0</v>
      </c>
      <c r="CM485" s="5" t="n">
        <v>0</v>
      </c>
      <c r="CN485" s="5" t="n">
        <v>0</v>
      </c>
      <c r="CO485" s="5" t="n">
        <v>0</v>
      </c>
      <c r="CP485" s="5" t="n">
        <v>0</v>
      </c>
      <c r="CQ485" s="5" t="n">
        <v>1.387</v>
      </c>
      <c r="CR485" s="5" t="n">
        <v>0</v>
      </c>
      <c r="CS485" s="5" t="n">
        <v>5.529</v>
      </c>
      <c r="CT485" s="5" t="n">
        <v>4.251</v>
      </c>
      <c r="CU485" s="5" t="n">
        <v>10.168</v>
      </c>
    </row>
    <row r="486">
      <c r="A486" s="5" t="inlineStr">
        <is>
          <t>MWI2021</t>
        </is>
      </c>
      <c r="B486" s="5" t="inlineStr">
        <is>
          <t>MWI</t>
        </is>
      </c>
      <c r="C486" s="5" t="inlineStr">
        <is>
          <t>MWI</t>
        </is>
      </c>
      <c r="D486" s="5" t="inlineStr">
        <is>
          <t>Malawi</t>
        </is>
      </c>
      <c r="E486" s="5" t="n">
        <v>2021</v>
      </c>
      <c r="F486" s="5" t="n">
        <v>0.165</v>
      </c>
      <c r="G486" s="5" t="n">
        <v>5.897</v>
      </c>
      <c r="H486" s="5" t="n">
        <v>1.143</v>
      </c>
      <c r="I486" s="5" t="n">
        <v>0</v>
      </c>
      <c r="J486" s="5" t="n">
        <v>5.897</v>
      </c>
      <c r="K486" s="5" t="n">
        <v>0</v>
      </c>
      <c r="L486" s="5" t="n">
        <v>1</v>
      </c>
      <c r="M486" s="5" t="n">
        <v>7.964</v>
      </c>
      <c r="N486" s="5" t="n">
        <v>3.43</v>
      </c>
      <c r="O486" s="5" t="n">
        <v>0</v>
      </c>
      <c r="P486" s="5" t="n">
        <v>7.964</v>
      </c>
      <c r="Q486" s="5" t="n">
        <v>0</v>
      </c>
      <c r="R486" s="5" t="n">
        <v>1</v>
      </c>
      <c r="S486" s="5" t="n">
        <v>11.613</v>
      </c>
      <c r="T486" s="5" t="n">
        <v>6.86</v>
      </c>
      <c r="U486" s="5" t="n">
        <v>0</v>
      </c>
      <c r="V486" s="5" t="n">
        <v>13.53</v>
      </c>
      <c r="W486" s="5" t="n">
        <v>0.165</v>
      </c>
      <c r="X486" s="5" t="n">
        <v>1</v>
      </c>
      <c r="Y486" s="5" t="n">
        <v>16.297</v>
      </c>
      <c r="Z486" s="5" t="n">
        <v>2.203</v>
      </c>
      <c r="AA486" s="5" t="n">
        <v>0</v>
      </c>
      <c r="AB486" s="5" t="n">
        <v>16.297</v>
      </c>
      <c r="AC486" s="5" t="n">
        <v>0</v>
      </c>
      <c r="AD486" s="5" t="n">
        <v>1</v>
      </c>
      <c r="AE486" s="5" t="n">
        <v>17.44</v>
      </c>
      <c r="AF486" s="5" t="n">
        <v>4.078</v>
      </c>
      <c r="AG486" s="5" t="n">
        <v>0</v>
      </c>
      <c r="AH486" s="5" t="n">
        <v>17.44</v>
      </c>
      <c r="AI486" s="5" t="n">
        <v>0</v>
      </c>
      <c r="AJ486" s="5" t="n">
        <v>1</v>
      </c>
      <c r="AK486" s="5" t="n">
        <v>24.3</v>
      </c>
      <c r="AL486" s="5" t="n">
        <v>12.942</v>
      </c>
      <c r="AM486" s="5" t="n">
        <v>0</v>
      </c>
      <c r="AN486" s="5" t="n">
        <v>28.309</v>
      </c>
      <c r="AO486" s="5" t="n">
        <v>0.165</v>
      </c>
      <c r="AP486" s="5" t="n">
        <v>1</v>
      </c>
      <c r="AQ486" s="5" t="n">
        <v>0.619</v>
      </c>
      <c r="AR486" s="5" t="n">
        <v>0.114</v>
      </c>
      <c r="AS486" s="5" t="n">
        <v>0.398</v>
      </c>
      <c r="AT486" s="5" t="n">
        <v>1.19</v>
      </c>
      <c r="AU486" s="5" t="n">
        <v>0.17</v>
      </c>
      <c r="AV486" s="5" t="n">
        <v>1</v>
      </c>
      <c r="AW486" s="5" t="n">
        <v>0.599</v>
      </c>
      <c r="AX486" s="5" t="n">
        <v>0.114</v>
      </c>
      <c r="AY486" s="5" t="n">
        <v>0.409</v>
      </c>
      <c r="AZ486" s="5" t="n">
        <v>1.18</v>
      </c>
      <c r="BA486" s="5" t="n">
        <v>0.17</v>
      </c>
      <c r="BB486" s="5" t="n">
        <v>1</v>
      </c>
      <c r="BC486" s="5" t="n">
        <v>0.439</v>
      </c>
      <c r="BD486" s="5" t="n">
        <v>0.114</v>
      </c>
      <c r="BE486" s="5" t="n">
        <v>0.823</v>
      </c>
      <c r="BF486" s="5" t="n">
        <v>1.471</v>
      </c>
      <c r="BG486" s="5" t="n">
        <v>0.165</v>
      </c>
      <c r="BH486" s="5" t="n">
        <v>1</v>
      </c>
      <c r="BI486" s="5" t="n">
        <v>0.505</v>
      </c>
      <c r="BJ486" s="5" t="n">
        <v>0.114</v>
      </c>
      <c r="BK486" s="5" t="n">
        <v>0.276</v>
      </c>
      <c r="BL486" s="5" t="n">
        <v>0.91</v>
      </c>
      <c r="BM486" s="5" t="n">
        <v>0.165</v>
      </c>
      <c r="BN486" s="5" t="n">
        <v>1</v>
      </c>
      <c r="BO486" s="5" t="n">
        <v>0</v>
      </c>
      <c r="BP486" s="5" t="n">
        <v>0</v>
      </c>
      <c r="BQ486" s="5" t="n">
        <v>0.142</v>
      </c>
      <c r="BR486" s="5" t="n">
        <v>0</v>
      </c>
      <c r="BS486" s="5" t="n">
        <v>0.833</v>
      </c>
      <c r="BT486" s="5" t="n">
        <v>0</v>
      </c>
      <c r="BU486" s="5" t="n">
        <v>0</v>
      </c>
      <c r="BV486" s="5" t="n">
        <v>0.081</v>
      </c>
      <c r="BW486" s="5" t="n">
        <v>0.165</v>
      </c>
      <c r="BX486" s="5" t="n">
        <v>0.833</v>
      </c>
      <c r="BY486" s="5" t="n">
        <v>11.787</v>
      </c>
      <c r="BZ486" s="5" t="n">
        <v>0</v>
      </c>
      <c r="CA486" s="5" t="n">
        <v>11.787</v>
      </c>
      <c r="CB486" s="5" t="n">
        <v>0</v>
      </c>
      <c r="CC486" s="5" t="n">
        <v>78.125</v>
      </c>
      <c r="CD486" s="5" t="n">
        <v>7.95</v>
      </c>
      <c r="CE486" s="5" t="n">
        <v>44.918</v>
      </c>
      <c r="CF486" s="5" t="n">
        <v>143.345</v>
      </c>
      <c r="CG486" s="5" t="n">
        <v>0.165</v>
      </c>
      <c r="CH486" s="5" t="n">
        <v>1</v>
      </c>
      <c r="CI486" s="5" t="n">
        <v>0</v>
      </c>
      <c r="CJ486" s="5" t="n">
        <v>0</v>
      </c>
      <c r="CK486" s="5" t="n">
        <v>0</v>
      </c>
      <c r="CL486" s="5" t="n">
        <v>0</v>
      </c>
      <c r="CM486" s="5" t="n">
        <v>0</v>
      </c>
      <c r="CN486" s="5" t="n">
        <v>0</v>
      </c>
      <c r="CO486" s="5" t="n">
        <v>0</v>
      </c>
      <c r="CP486" s="5" t="n">
        <v>0</v>
      </c>
      <c r="CQ486" s="5" t="n">
        <v>1.198</v>
      </c>
      <c r="CR486" s="5" t="n">
        <v>0</v>
      </c>
      <c r="CS486" s="5" t="n">
        <v>4.776</v>
      </c>
      <c r="CT486" s="5" t="n">
        <v>4.753</v>
      </c>
      <c r="CU486" s="5" t="n">
        <v>15.162</v>
      </c>
    </row>
    <row r="487">
      <c r="A487" s="5" t="inlineStr">
        <is>
          <t>MWI2022</t>
        </is>
      </c>
      <c r="B487" s="5" t="inlineStr">
        <is>
          <t>MWI</t>
        </is>
      </c>
      <c r="C487" s="5" t="inlineStr">
        <is>
          <t>MWI</t>
        </is>
      </c>
      <c r="D487" s="5" t="inlineStr">
        <is>
          <t>Malawi</t>
        </is>
      </c>
      <c r="E487" s="5" t="n">
        <v>2022</v>
      </c>
      <c r="F487" s="5" t="n">
        <v>0.165</v>
      </c>
      <c r="G487" s="5" t="n">
        <v>11.72</v>
      </c>
      <c r="H487" s="5" t="n">
        <v>1.235</v>
      </c>
      <c r="I487" s="5" t="n">
        <v>0</v>
      </c>
      <c r="J487" s="5" t="n">
        <v>11.72</v>
      </c>
      <c r="K487" s="5" t="n">
        <v>0</v>
      </c>
      <c r="L487" s="5" t="n">
        <v>1</v>
      </c>
      <c r="M487" s="5" t="n">
        <v>9.782999999999999</v>
      </c>
      <c r="N487" s="5" t="n">
        <v>3.704</v>
      </c>
      <c r="O487" s="5" t="n">
        <v>0</v>
      </c>
      <c r="P487" s="5" t="n">
        <v>9.782999999999999</v>
      </c>
      <c r="Q487" s="5" t="n">
        <v>0</v>
      </c>
      <c r="R487" s="5" t="n">
        <v>1</v>
      </c>
      <c r="S487" s="5" t="n">
        <v>17.893</v>
      </c>
      <c r="T487" s="5" t="n">
        <v>7.408</v>
      </c>
      <c r="U487" s="5" t="n">
        <v>0.219</v>
      </c>
      <c r="V487" s="5" t="n">
        <v>20.846</v>
      </c>
      <c r="W487" s="5" t="n">
        <v>0.165</v>
      </c>
      <c r="X487" s="5" t="n">
        <v>1</v>
      </c>
      <c r="Y487" s="5" t="n">
        <v>32.539</v>
      </c>
      <c r="Z487" s="5" t="n">
        <v>4.398</v>
      </c>
      <c r="AA487" s="5" t="n">
        <v>0</v>
      </c>
      <c r="AB487" s="5" t="n">
        <v>32.539</v>
      </c>
      <c r="AC487" s="5" t="n">
        <v>0</v>
      </c>
      <c r="AD487" s="5" t="n">
        <v>1</v>
      </c>
      <c r="AE487" s="5" t="n">
        <v>33.774</v>
      </c>
      <c r="AF487" s="5" t="n">
        <v>7.897</v>
      </c>
      <c r="AG487" s="5" t="n">
        <v>0</v>
      </c>
      <c r="AH487" s="5" t="n">
        <v>33.774</v>
      </c>
      <c r="AI487" s="5" t="n">
        <v>0</v>
      </c>
      <c r="AJ487" s="5" t="n">
        <v>1</v>
      </c>
      <c r="AK487" s="5" t="n">
        <v>41.182</v>
      </c>
      <c r="AL487" s="5" t="n">
        <v>21.933</v>
      </c>
      <c r="AM487" s="5" t="n">
        <v>0.503</v>
      </c>
      <c r="AN487" s="5" t="n">
        <v>47.977</v>
      </c>
      <c r="AO487" s="5" t="n">
        <v>0.165</v>
      </c>
      <c r="AP487" s="5" t="n">
        <v>1</v>
      </c>
      <c r="AQ487" s="5" t="n">
        <v>0.861</v>
      </c>
      <c r="AR487" s="5" t="n">
        <v>0.123</v>
      </c>
      <c r="AS487" s="5" t="n">
        <v>0.583</v>
      </c>
      <c r="AT487" s="5" t="n">
        <v>1.69</v>
      </c>
      <c r="AU487" s="5" t="n">
        <v>0.17</v>
      </c>
      <c r="AV487" s="5" t="n">
        <v>1</v>
      </c>
      <c r="AW487" s="5" t="n">
        <v>0.986</v>
      </c>
      <c r="AX487" s="5" t="n">
        <v>0.123</v>
      </c>
      <c r="AY487" s="5" t="n">
        <v>0.501</v>
      </c>
      <c r="AZ487" s="5" t="n">
        <v>1.74</v>
      </c>
      <c r="BA487" s="5" t="n">
        <v>0.17</v>
      </c>
      <c r="BB487" s="5" t="n">
        <v>1</v>
      </c>
      <c r="BC487" s="5" t="n">
        <v>0.598</v>
      </c>
      <c r="BD487" s="5" t="n">
        <v>0.123</v>
      </c>
      <c r="BE487" s="5" t="n">
        <v>0.73</v>
      </c>
      <c r="BF487" s="5" t="n">
        <v>1.547</v>
      </c>
      <c r="BG487" s="5" t="n">
        <v>0.165</v>
      </c>
      <c r="BH487" s="5" t="n">
        <v>1</v>
      </c>
      <c r="BI487" s="5" t="n">
        <v>0.612</v>
      </c>
      <c r="BJ487" s="5" t="n">
        <v>0.123</v>
      </c>
      <c r="BK487" s="5" t="n">
        <v>0.383</v>
      </c>
      <c r="BL487" s="5" t="n">
        <v>1.16</v>
      </c>
      <c r="BM487" s="5" t="n">
        <v>0.165</v>
      </c>
      <c r="BN487" s="5" t="n">
        <v>1</v>
      </c>
      <c r="BO487" s="5" t="n">
        <v>0</v>
      </c>
      <c r="BP487" s="5" t="n">
        <v>0</v>
      </c>
      <c r="BQ487" s="5" t="n">
        <v>0.12</v>
      </c>
      <c r="BR487" s="5" t="n">
        <v>0</v>
      </c>
      <c r="BS487" s="5" t="n">
        <v>0.833</v>
      </c>
      <c r="BT487" s="5" t="n">
        <v>0</v>
      </c>
      <c r="BU487" s="5" t="n">
        <v>0</v>
      </c>
      <c r="BV487" s="5" t="n">
        <v>0.06900000000000001</v>
      </c>
      <c r="BW487" s="5" t="n">
        <v>0.165</v>
      </c>
      <c r="BX487" s="5" t="n">
        <v>0.833</v>
      </c>
      <c r="BY487" s="5" t="n">
        <v>12.729</v>
      </c>
      <c r="BZ487" s="5" t="n">
        <v>0</v>
      </c>
      <c r="CA487" s="5" t="n">
        <v>12.729</v>
      </c>
      <c r="CB487" s="5" t="n">
        <v>0</v>
      </c>
      <c r="CC487" s="5" t="n">
        <v>97.90000000000001</v>
      </c>
      <c r="CD487" s="5" t="n">
        <v>7.95</v>
      </c>
      <c r="CE487" s="5" t="n">
        <v>58.218</v>
      </c>
      <c r="CF487" s="5" t="n">
        <v>181.878</v>
      </c>
      <c r="CG487" s="5" t="n">
        <v>0.165</v>
      </c>
      <c r="CH487" s="5" t="n">
        <v>1</v>
      </c>
      <c r="CI487" s="5" t="n">
        <v>0</v>
      </c>
      <c r="CJ487" s="5" t="n">
        <v>0</v>
      </c>
      <c r="CK487" s="5" t="n">
        <v>0</v>
      </c>
      <c r="CL487" s="5" t="n">
        <v>0</v>
      </c>
      <c r="CM487" s="5" t="n">
        <v>0</v>
      </c>
      <c r="CN487" s="5" t="n">
        <v>0</v>
      </c>
      <c r="CO487" s="5" t="n">
        <v>0</v>
      </c>
      <c r="CP487" s="5" t="n">
        <v>0</v>
      </c>
      <c r="CQ487" s="5" t="n">
        <v>1.294</v>
      </c>
      <c r="CR487" s="5" t="n">
        <v>0</v>
      </c>
      <c r="CS487" s="5" t="n">
        <v>5.158</v>
      </c>
      <c r="CT487" s="5" t="n">
        <v>10.485</v>
      </c>
      <c r="CU487" s="5" t="n">
        <v>31.326</v>
      </c>
    </row>
    <row r="488">
      <c r="A488" s="5" t="inlineStr">
        <is>
          <t>MWI2023</t>
        </is>
      </c>
      <c r="B488" s="5" t="inlineStr">
        <is>
          <t>MWI</t>
        </is>
      </c>
      <c r="C488" s="5" t="inlineStr">
        <is>
          <t>MWI</t>
        </is>
      </c>
      <c r="D488" s="5" t="inlineStr">
        <is>
          <t>Malawi</t>
        </is>
      </c>
      <c r="E488" s="5" t="n">
        <v>2023</v>
      </c>
      <c r="F488" s="5" t="n">
        <v>0.165</v>
      </c>
      <c r="G488" s="5" t="n">
        <v>6.147</v>
      </c>
      <c r="H488" s="5" t="n">
        <v>1.286</v>
      </c>
      <c r="I488" s="5" t="n">
        <v>0</v>
      </c>
      <c r="J488" s="5" t="n">
        <v>6.147</v>
      </c>
      <c r="K488" s="5" t="n">
        <v>0</v>
      </c>
      <c r="L488" s="5" t="n">
        <v>1</v>
      </c>
      <c r="M488" s="5" t="n">
        <v>7.886</v>
      </c>
      <c r="N488" s="5" t="n">
        <v>3.857</v>
      </c>
      <c r="O488" s="5" t="n">
        <v>0</v>
      </c>
      <c r="P488" s="5" t="n">
        <v>7.886</v>
      </c>
      <c r="Q488" s="5" t="n">
        <v>0</v>
      </c>
      <c r="R488" s="5" t="n">
        <v>1</v>
      </c>
      <c r="S488" s="5" t="n">
        <v>12.575</v>
      </c>
      <c r="T488" s="5" t="n">
        <v>7.714</v>
      </c>
      <c r="U488" s="5" t="n">
        <v>0.23</v>
      </c>
      <c r="V488" s="5" t="n">
        <v>14.65</v>
      </c>
      <c r="W488" s="5" t="n">
        <v>0.165</v>
      </c>
      <c r="X488" s="5" t="n">
        <v>1</v>
      </c>
      <c r="Y488" s="5" t="n">
        <v>12.835</v>
      </c>
      <c r="Z488" s="5" t="n">
        <v>1.735</v>
      </c>
      <c r="AA488" s="5" t="n">
        <v>0</v>
      </c>
      <c r="AB488" s="5" t="n">
        <v>12.835</v>
      </c>
      <c r="AC488" s="5" t="n">
        <v>0</v>
      </c>
      <c r="AD488" s="5" t="n">
        <v>1</v>
      </c>
      <c r="AE488" s="5" t="n">
        <v>14.121</v>
      </c>
      <c r="AF488" s="5" t="n">
        <v>3.302</v>
      </c>
      <c r="AG488" s="5" t="n">
        <v>0</v>
      </c>
      <c r="AH488" s="5" t="n">
        <v>14.121</v>
      </c>
      <c r="AI488" s="5" t="n">
        <v>0</v>
      </c>
      <c r="AJ488" s="5" t="n">
        <v>1</v>
      </c>
      <c r="AK488" s="5" t="n">
        <v>21.835</v>
      </c>
      <c r="AL488" s="5" t="n">
        <v>11.629</v>
      </c>
      <c r="AM488" s="5" t="n">
        <v>0.399</v>
      </c>
      <c r="AN488" s="5" t="n">
        <v>25.437</v>
      </c>
      <c r="AO488" s="5" t="n">
        <v>0.165</v>
      </c>
      <c r="AP488" s="5" t="n">
        <v>1</v>
      </c>
      <c r="AQ488" s="5" t="n">
        <v>0.76</v>
      </c>
      <c r="AR488" s="5" t="n">
        <v>0.129</v>
      </c>
      <c r="AS488" s="5" t="n">
        <v>0.547</v>
      </c>
      <c r="AT488" s="5" t="n">
        <v>1.53</v>
      </c>
      <c r="AU488" s="5" t="n">
        <v>0.17</v>
      </c>
      <c r="AV488" s="5" t="n">
        <v>1</v>
      </c>
      <c r="AW488" s="5" t="n">
        <v>0.8110000000000001</v>
      </c>
      <c r="AX488" s="5" t="n">
        <v>0.129</v>
      </c>
      <c r="AY488" s="5" t="n">
        <v>0.719</v>
      </c>
      <c r="AZ488" s="5" t="n">
        <v>1.79</v>
      </c>
      <c r="BA488" s="5" t="n">
        <v>0.17</v>
      </c>
      <c r="BB488" s="5" t="n">
        <v>1</v>
      </c>
      <c r="BC488" s="5" t="n">
        <v>0.535</v>
      </c>
      <c r="BD488" s="5" t="n">
        <v>0.129</v>
      </c>
      <c r="BE488" s="5" t="n">
        <v>0.62</v>
      </c>
      <c r="BF488" s="5" t="n">
        <v>1.345</v>
      </c>
      <c r="BG488" s="5" t="n">
        <v>0.165</v>
      </c>
      <c r="BH488" s="5" t="n">
        <v>1</v>
      </c>
      <c r="BI488" s="5" t="n">
        <v>0.579</v>
      </c>
      <c r="BJ488" s="5" t="n">
        <v>0.129</v>
      </c>
      <c r="BK488" s="5" t="n">
        <v>0.442</v>
      </c>
      <c r="BL488" s="5" t="n">
        <v>1.19</v>
      </c>
      <c r="BM488" s="5" t="n">
        <v>0.165</v>
      </c>
      <c r="BN488" s="5" t="n">
        <v>1</v>
      </c>
      <c r="BO488" s="5" t="n">
        <v>0</v>
      </c>
      <c r="BP488" s="5" t="n">
        <v>0</v>
      </c>
      <c r="BQ488" s="5" t="n">
        <v>0.136</v>
      </c>
      <c r="BR488" s="5" t="n">
        <v>0</v>
      </c>
      <c r="BS488" s="5" t="n">
        <v>0.833</v>
      </c>
      <c r="BT488" s="5" t="n">
        <v>0</v>
      </c>
      <c r="BU488" s="5" t="n">
        <v>0</v>
      </c>
      <c r="BV488" s="5" t="n">
        <v>0.07099999999999999</v>
      </c>
      <c r="BW488" s="5" t="n">
        <v>0.165</v>
      </c>
      <c r="BX488" s="5" t="n">
        <v>0.833</v>
      </c>
      <c r="BY488" s="5" t="n">
        <v>13.254</v>
      </c>
      <c r="BZ488" s="5" t="n">
        <v>0</v>
      </c>
      <c r="CA488" s="5" t="n">
        <v>13.254</v>
      </c>
      <c r="CB488" s="5" t="n">
        <v>0</v>
      </c>
      <c r="CC488" s="5" t="n">
        <v>83.248</v>
      </c>
      <c r="CD488" s="5" t="n">
        <v>7.95</v>
      </c>
      <c r="CE488" s="5" t="n">
        <v>78.599</v>
      </c>
      <c r="CF488" s="5" t="n">
        <v>188.551</v>
      </c>
      <c r="CG488" s="5" t="n">
        <v>0.165</v>
      </c>
      <c r="CH488" s="5" t="n">
        <v>1</v>
      </c>
      <c r="CI488" s="5" t="n">
        <v>0</v>
      </c>
      <c r="CJ488" s="5" t="n">
        <v>0</v>
      </c>
      <c r="CK488" s="5" t="n">
        <v>0</v>
      </c>
      <c r="CL488" s="5" t="n">
        <v>0</v>
      </c>
      <c r="CM488" s="5" t="n">
        <v>0</v>
      </c>
      <c r="CN488" s="5" t="n">
        <v>0</v>
      </c>
      <c r="CO488" s="5" t="n">
        <v>0</v>
      </c>
      <c r="CP488" s="5" t="n">
        <v>0</v>
      </c>
      <c r="CQ488" s="5" t="n">
        <v>1.348</v>
      </c>
      <c r="CR488" s="5" t="n">
        <v>0</v>
      </c>
      <c r="CS488" s="5" t="n">
        <v>5.37</v>
      </c>
      <c r="CT488" s="5" t="n">
        <v>4.861</v>
      </c>
      <c r="CU488" s="5" t="n">
        <v>11.622</v>
      </c>
    </row>
    <row r="489">
      <c r="A489" s="5" t="inlineStr">
        <is>
          <t>MWI2024</t>
        </is>
      </c>
      <c r="B489" s="5" t="inlineStr">
        <is>
          <t>MWI</t>
        </is>
      </c>
      <c r="C489" s="5" t="inlineStr">
        <is>
          <t>MWI</t>
        </is>
      </c>
      <c r="D489" s="5" t="inlineStr">
        <is>
          <t>Malawi</t>
        </is>
      </c>
      <c r="E489" s="5" t="n">
        <v>2024</v>
      </c>
      <c r="F489" s="5" t="n">
        <v>0.165</v>
      </c>
      <c r="G489" s="5" t="n">
        <v>5.575</v>
      </c>
      <c r="H489" s="5" t="n">
        <v>1.324</v>
      </c>
      <c r="I489" s="5" t="n">
        <v>0</v>
      </c>
      <c r="J489" s="5" t="n">
        <v>5.575</v>
      </c>
      <c r="K489" s="5" t="n">
        <v>0</v>
      </c>
      <c r="L489" s="5" t="n">
        <v>1</v>
      </c>
      <c r="M489" s="5" t="n">
        <v>7.124</v>
      </c>
      <c r="N489" s="5" t="n">
        <v>3.971</v>
      </c>
      <c r="O489" s="5" t="n">
        <v>0</v>
      </c>
      <c r="P489" s="5" t="n">
        <v>7.124</v>
      </c>
      <c r="Q489" s="5" t="n">
        <v>0</v>
      </c>
      <c r="R489" s="5" t="n">
        <v>1</v>
      </c>
      <c r="S489" s="5" t="n">
        <v>12.193</v>
      </c>
      <c r="T489" s="5" t="n">
        <v>7.942</v>
      </c>
      <c r="U489" s="5" t="n">
        <v>0.274</v>
      </c>
      <c r="V489" s="5" t="n">
        <v>14.205</v>
      </c>
      <c r="W489" s="5" t="n">
        <v>0.165</v>
      </c>
      <c r="X489" s="5" t="n">
        <v>1</v>
      </c>
      <c r="Y489" s="5" t="n">
        <v>11.438</v>
      </c>
      <c r="Z489" s="5" t="n">
        <v>1.546</v>
      </c>
      <c r="AA489" s="5" t="n">
        <v>0</v>
      </c>
      <c r="AB489" s="5" t="n">
        <v>11.438</v>
      </c>
      <c r="AC489" s="5" t="n">
        <v>0</v>
      </c>
      <c r="AD489" s="5" t="n">
        <v>1</v>
      </c>
      <c r="AE489" s="5" t="n">
        <v>12.761</v>
      </c>
      <c r="AF489" s="5" t="n">
        <v>2.984</v>
      </c>
      <c r="AG489" s="5" t="n">
        <v>0</v>
      </c>
      <c r="AH489" s="5" t="n">
        <v>12.761</v>
      </c>
      <c r="AI489" s="5" t="n">
        <v>0</v>
      </c>
      <c r="AJ489" s="5" t="n">
        <v>1</v>
      </c>
      <c r="AK489" s="5" t="n">
        <v>20.703</v>
      </c>
      <c r="AL489" s="5" t="n">
        <v>11.026</v>
      </c>
      <c r="AM489" s="5" t="n">
        <v>0.465</v>
      </c>
      <c r="AN489" s="5" t="n">
        <v>24.119</v>
      </c>
      <c r="AO489" s="5" t="n">
        <v>0.165</v>
      </c>
      <c r="AP489" s="5" t="n">
        <v>1</v>
      </c>
      <c r="AQ489" s="5" t="n">
        <v>0.724</v>
      </c>
      <c r="AR489" s="5" t="n">
        <v>0.132</v>
      </c>
      <c r="AS489" s="5" t="n">
        <v>0.532</v>
      </c>
      <c r="AT489" s="5" t="n">
        <v>1.47</v>
      </c>
      <c r="AU489" s="5" t="n">
        <v>0.17</v>
      </c>
      <c r="AV489" s="5" t="n">
        <v>1</v>
      </c>
      <c r="AW489" s="5" t="n">
        <v>0.75</v>
      </c>
      <c r="AX489" s="5" t="n">
        <v>0.132</v>
      </c>
      <c r="AY489" s="5" t="n">
        <v>0.609</v>
      </c>
      <c r="AZ489" s="5" t="n">
        <v>1.59</v>
      </c>
      <c r="BA489" s="5" t="n">
        <v>0.17</v>
      </c>
      <c r="BB489" s="5" t="n">
        <v>1</v>
      </c>
      <c r="BC489" s="5" t="n">
        <v>0.513</v>
      </c>
      <c r="BD489" s="5" t="n">
        <v>0.132</v>
      </c>
      <c r="BE489" s="5" t="n">
        <v>0.437</v>
      </c>
      <c r="BF489" s="5" t="n">
        <v>1.107</v>
      </c>
      <c r="BG489" s="5" t="n">
        <v>0.165</v>
      </c>
      <c r="BH489" s="5" t="n">
        <v>1</v>
      </c>
      <c r="BI489" s="5" t="n">
        <v>0.591</v>
      </c>
      <c r="BJ489" s="5" t="n">
        <v>0.132</v>
      </c>
      <c r="BK489" s="5" t="n">
        <v>0.361</v>
      </c>
      <c r="BL489" s="5" t="n">
        <v>1.11</v>
      </c>
      <c r="BM489" s="5" t="n">
        <v>0.165</v>
      </c>
      <c r="BN489" s="5" t="n">
        <v>1</v>
      </c>
      <c r="BO489" s="5" t="n">
        <v>0</v>
      </c>
      <c r="BP489" s="5" t="n">
        <v>0</v>
      </c>
      <c r="BQ489" s="5" t="n">
        <v>0.159</v>
      </c>
      <c r="BR489" s="5" t="n">
        <v>0</v>
      </c>
      <c r="BS489" s="5" t="n">
        <v>0.833</v>
      </c>
      <c r="BT489" s="5" t="n">
        <v>0</v>
      </c>
      <c r="BU489" s="5" t="n">
        <v>0</v>
      </c>
      <c r="BV489" s="5" t="n">
        <v>0.064</v>
      </c>
      <c r="BW489" s="5" t="n">
        <v>0.165</v>
      </c>
      <c r="BX489" s="5" t="n">
        <v>0.833</v>
      </c>
      <c r="BY489" s="5" t="n">
        <v>13.646</v>
      </c>
      <c r="BZ489" s="5" t="n">
        <v>0</v>
      </c>
      <c r="CA489" s="5" t="n">
        <v>13.646</v>
      </c>
      <c r="CB489" s="5" t="n">
        <v>0</v>
      </c>
      <c r="CC489" s="5" t="n">
        <v>82.58799999999999</v>
      </c>
      <c r="CD489" s="5" t="n">
        <v>7.95</v>
      </c>
      <c r="CE489" s="5" t="n">
        <v>67.48399999999999</v>
      </c>
      <c r="CF489" s="5" t="n">
        <v>174.834</v>
      </c>
      <c r="CG489" s="5" t="n">
        <v>0.165</v>
      </c>
      <c r="CH489" s="5" t="n">
        <v>1</v>
      </c>
      <c r="CI489" s="5" t="n">
        <v>0</v>
      </c>
      <c r="CJ489" s="5" t="n">
        <v>0</v>
      </c>
      <c r="CK489" s="5" t="n">
        <v>0</v>
      </c>
      <c r="CL489" s="5" t="n">
        <v>0</v>
      </c>
      <c r="CM489" s="5" t="n">
        <v>0</v>
      </c>
      <c r="CN489" s="5" t="n">
        <v>0</v>
      </c>
      <c r="CO489" s="5" t="n">
        <v>0</v>
      </c>
      <c r="CP489" s="5" t="n">
        <v>0</v>
      </c>
      <c r="CQ489" s="5" t="n">
        <v>1.387</v>
      </c>
      <c r="CR489" s="5" t="n">
        <v>0</v>
      </c>
      <c r="CS489" s="5" t="n">
        <v>5.529</v>
      </c>
      <c r="CT489" s="5" t="n">
        <v>4.251</v>
      </c>
      <c r="CU489" s="5" t="n">
        <v>10.168</v>
      </c>
    </row>
    <row r="490">
      <c r="A490" s="5" t="inlineStr">
        <is>
          <t>MYS2021</t>
        </is>
      </c>
      <c r="B490" s="5" t="inlineStr">
        <is>
          <t>MYS</t>
        </is>
      </c>
      <c r="C490" s="5" t="inlineStr">
        <is>
          <t>MYS</t>
        </is>
      </c>
      <c r="D490" s="5" t="inlineStr">
        <is>
          <t>Malaysia</t>
        </is>
      </c>
      <c r="E490" s="5" t="n">
        <v>2021</v>
      </c>
      <c r="F490" s="5" t="n">
        <v>0.1</v>
      </c>
      <c r="G490" s="5" t="n">
        <v>4.452</v>
      </c>
      <c r="H490" s="5" t="n">
        <v>1.087</v>
      </c>
      <c r="I490" s="5" t="n">
        <v>0</v>
      </c>
      <c r="J490" s="5" t="n">
        <v>4.452</v>
      </c>
      <c r="K490" s="5" t="n">
        <v>0</v>
      </c>
      <c r="L490" s="5" t="n">
        <v>1</v>
      </c>
      <c r="M490" s="5" t="n">
        <v>7.463</v>
      </c>
      <c r="N490" s="5" t="n">
        <v>3.26</v>
      </c>
      <c r="O490" s="5" t="n">
        <v>0</v>
      </c>
      <c r="P490" s="5" t="n">
        <v>7.463</v>
      </c>
      <c r="Q490" s="5" t="n">
        <v>0</v>
      </c>
      <c r="R490" s="5" t="n">
        <v>1</v>
      </c>
      <c r="S490" s="5" t="n">
        <v>9.884</v>
      </c>
      <c r="T490" s="5" t="n">
        <v>6.519</v>
      </c>
      <c r="U490" s="5" t="n">
        <v>0</v>
      </c>
      <c r="V490" s="5" t="n">
        <v>9.884</v>
      </c>
      <c r="W490" s="5" t="n">
        <v>0</v>
      </c>
      <c r="X490" s="5" t="n">
        <v>1</v>
      </c>
      <c r="Y490" s="5" t="n">
        <v>6.618</v>
      </c>
      <c r="Z490" s="5" t="n">
        <v>0.855</v>
      </c>
      <c r="AA490" s="5" t="n">
        <v>-0.017</v>
      </c>
      <c r="AB490" s="5" t="n">
        <v>6.601</v>
      </c>
      <c r="AC490" s="5" t="n">
        <v>0</v>
      </c>
      <c r="AD490" s="5" t="n">
        <v>1</v>
      </c>
      <c r="AE490" s="5" t="n">
        <v>7.298</v>
      </c>
      <c r="AF490" s="5" t="n">
        <v>1.639</v>
      </c>
      <c r="AG490" s="5" t="n">
        <v>-0.5600000000000001</v>
      </c>
      <c r="AH490" s="5" t="n">
        <v>6.738</v>
      </c>
      <c r="AI490" s="5" t="n">
        <v>0</v>
      </c>
      <c r="AJ490" s="5" t="n">
        <v>1</v>
      </c>
      <c r="AK490" s="5" t="n">
        <v>11.375</v>
      </c>
      <c r="AL490" s="5" t="n">
        <v>5.865</v>
      </c>
      <c r="AM490" s="5" t="n">
        <v>-5.676</v>
      </c>
      <c r="AN490" s="5" t="n">
        <v>6.268</v>
      </c>
      <c r="AO490" s="5" t="n">
        <v>0</v>
      </c>
      <c r="AP490" s="5" t="n">
        <v>0</v>
      </c>
      <c r="AQ490" s="5" t="n">
        <v>0.621</v>
      </c>
      <c r="AR490" s="5" t="n">
        <v>0.114</v>
      </c>
      <c r="AS490" s="5" t="n">
        <v>-0.131</v>
      </c>
      <c r="AT490" s="5" t="n">
        <v>0.489</v>
      </c>
      <c r="AU490" s="5" t="n">
        <v>0</v>
      </c>
      <c r="AV490" s="5" t="n">
        <v>0</v>
      </c>
      <c r="AW490" s="5" t="n">
        <v>0.593</v>
      </c>
      <c r="AX490" s="5" t="n">
        <v>0.114</v>
      </c>
      <c r="AY490" s="5" t="n">
        <v>-0.077</v>
      </c>
      <c r="AZ490" s="5" t="n">
        <v>0.516</v>
      </c>
      <c r="BA490" s="5" t="n">
        <v>0</v>
      </c>
      <c r="BB490" s="5" t="n">
        <v>0</v>
      </c>
      <c r="BC490" s="5" t="n">
        <v>0.44</v>
      </c>
      <c r="BD490" s="5" t="n">
        <v>0.114</v>
      </c>
      <c r="BE490" s="5" t="n">
        <v>-0.09</v>
      </c>
      <c r="BF490" s="5" t="n">
        <v>0.35</v>
      </c>
      <c r="BG490" s="5" t="n">
        <v>0</v>
      </c>
      <c r="BH490" s="5" t="n">
        <v>0</v>
      </c>
      <c r="BI490" s="5" t="n">
        <v>0.5600000000000001</v>
      </c>
      <c r="BJ490" s="5" t="n">
        <v>0.114</v>
      </c>
      <c r="BK490" s="5" t="n">
        <v>0.001</v>
      </c>
      <c r="BL490" s="5" t="n">
        <v>0.5620000000000001</v>
      </c>
      <c r="BM490" s="5" t="n">
        <v>0</v>
      </c>
      <c r="BN490" s="5" t="n">
        <v>1</v>
      </c>
      <c r="BO490" s="5" t="n">
        <v>0</v>
      </c>
      <c r="BP490" s="5" t="n">
        <v>0</v>
      </c>
      <c r="BQ490" s="5" t="n">
        <v>0.092</v>
      </c>
      <c r="BR490" s="5" t="n">
        <v>0</v>
      </c>
      <c r="BS490" s="5" t="n">
        <v>0.333</v>
      </c>
      <c r="BT490" s="5" t="n">
        <v>0</v>
      </c>
      <c r="BU490" s="5" t="n">
        <v>0</v>
      </c>
      <c r="BV490" s="5" t="n">
        <v>0.053</v>
      </c>
      <c r="BW490" s="5" t="n">
        <v>0.1</v>
      </c>
      <c r="BX490" s="5" t="n">
        <v>0.333</v>
      </c>
      <c r="BY490" s="5" t="n">
        <v>11.787</v>
      </c>
      <c r="BZ490" s="5" t="n">
        <v>0</v>
      </c>
      <c r="CA490" s="5" t="n">
        <v>11.787</v>
      </c>
      <c r="CB490" s="5" t="n">
        <v>0</v>
      </c>
      <c r="CC490" s="5" t="n">
        <v>81.69499999999999</v>
      </c>
      <c r="CD490" s="5" t="n">
        <v>7.95</v>
      </c>
      <c r="CE490" s="5" t="n">
        <v>0.211</v>
      </c>
      <c r="CF490" s="5" t="n">
        <v>90.09699999999999</v>
      </c>
      <c r="CG490" s="5" t="n">
        <v>0.1</v>
      </c>
      <c r="CH490" s="5" t="n">
        <v>1</v>
      </c>
      <c r="CI490" s="5" t="n">
        <v>0</v>
      </c>
      <c r="CJ490" s="5" t="n">
        <v>0</v>
      </c>
      <c r="CK490" s="5" t="n">
        <v>0</v>
      </c>
      <c r="CL490" s="5" t="n">
        <v>0</v>
      </c>
      <c r="CM490" s="5" t="n">
        <v>0</v>
      </c>
      <c r="CN490" s="5" t="n">
        <v>0</v>
      </c>
      <c r="CO490" s="5" t="n">
        <v>0</v>
      </c>
      <c r="CP490" s="5" t="n">
        <v>0.099</v>
      </c>
      <c r="CQ490" s="5" t="n">
        <v>1.198</v>
      </c>
      <c r="CR490" s="5" t="n">
        <v>0.8110000000000001</v>
      </c>
      <c r="CS490" s="5" t="n">
        <v>4.606</v>
      </c>
      <c r="CT490" s="5" t="n">
        <v>3.604</v>
      </c>
      <c r="CU490" s="5" t="n">
        <v>14.129</v>
      </c>
    </row>
    <row r="491">
      <c r="A491" s="5" t="inlineStr">
        <is>
          <t>MYS2022</t>
        </is>
      </c>
      <c r="B491" s="5" t="inlineStr">
        <is>
          <t>MYS</t>
        </is>
      </c>
      <c r="C491" s="5" t="inlineStr">
        <is>
          <t>MYS</t>
        </is>
      </c>
      <c r="D491" s="5" t="inlineStr">
        <is>
          <t>Malaysia</t>
        </is>
      </c>
      <c r="E491" s="5" t="n">
        <v>2022</v>
      </c>
      <c r="F491" s="5" t="n">
        <v>0.1</v>
      </c>
      <c r="G491" s="5" t="n">
        <v>8.189</v>
      </c>
      <c r="H491" s="5" t="n">
        <v>1.181</v>
      </c>
      <c r="I491" s="5" t="n">
        <v>0</v>
      </c>
      <c r="J491" s="5" t="n">
        <v>8.189</v>
      </c>
      <c r="K491" s="5" t="n">
        <v>0</v>
      </c>
      <c r="L491" s="5" t="n">
        <v>1</v>
      </c>
      <c r="M491" s="5" t="n">
        <v>9.205</v>
      </c>
      <c r="N491" s="5" t="n">
        <v>3.543</v>
      </c>
      <c r="O491" s="5" t="n">
        <v>0</v>
      </c>
      <c r="P491" s="5" t="n">
        <v>9.205</v>
      </c>
      <c r="Q491" s="5" t="n">
        <v>0</v>
      </c>
      <c r="R491" s="5" t="n">
        <v>1</v>
      </c>
      <c r="S491" s="5" t="n">
        <v>14.094</v>
      </c>
      <c r="T491" s="5" t="n">
        <v>7.086</v>
      </c>
      <c r="U491" s="5" t="n">
        <v>0</v>
      </c>
      <c r="V491" s="5" t="n">
        <v>14.094</v>
      </c>
      <c r="W491" s="5" t="n">
        <v>0</v>
      </c>
      <c r="X491" s="5" t="n">
        <v>1</v>
      </c>
      <c r="Y491" s="5" t="n">
        <v>11.476</v>
      </c>
      <c r="Z491" s="5" t="n">
        <v>1.482</v>
      </c>
      <c r="AA491" s="5" t="n">
        <v>-4.347</v>
      </c>
      <c r="AB491" s="5" t="n">
        <v>7.129</v>
      </c>
      <c r="AC491" s="5" t="n">
        <v>0</v>
      </c>
      <c r="AD491" s="5" t="n">
        <v>1</v>
      </c>
      <c r="AE491" s="5" t="n">
        <v>12.252</v>
      </c>
      <c r="AF491" s="5" t="n">
        <v>2.751</v>
      </c>
      <c r="AG491" s="5" t="n">
        <v>-4.173</v>
      </c>
      <c r="AH491" s="5" t="n">
        <v>8.079000000000001</v>
      </c>
      <c r="AI491" s="5" t="n">
        <v>0</v>
      </c>
      <c r="AJ491" s="5" t="n">
        <v>1</v>
      </c>
      <c r="AK491" s="5" t="n">
        <v>16.907</v>
      </c>
      <c r="AL491" s="5" t="n">
        <v>8.718</v>
      </c>
      <c r="AM491" s="5" t="n">
        <v>-10.079</v>
      </c>
      <c r="AN491" s="5" t="n">
        <v>7.511</v>
      </c>
      <c r="AO491" s="5" t="n">
        <v>0</v>
      </c>
      <c r="AP491" s="5" t="n">
        <v>0</v>
      </c>
      <c r="AQ491" s="5" t="n">
        <v>0.847</v>
      </c>
      <c r="AR491" s="5" t="n">
        <v>0.123</v>
      </c>
      <c r="AS491" s="5" t="n">
        <v>-0.381</v>
      </c>
      <c r="AT491" s="5" t="n">
        <v>0.466</v>
      </c>
      <c r="AU491" s="5" t="n">
        <v>0</v>
      </c>
      <c r="AV491" s="5" t="n">
        <v>0</v>
      </c>
      <c r="AW491" s="5" t="n">
        <v>0.947</v>
      </c>
      <c r="AX491" s="5" t="n">
        <v>0.123</v>
      </c>
      <c r="AY491" s="5" t="n">
        <v>-0.458</v>
      </c>
      <c r="AZ491" s="5" t="n">
        <v>0.489</v>
      </c>
      <c r="BA491" s="5" t="n">
        <v>0</v>
      </c>
      <c r="BB491" s="5" t="n">
        <v>0</v>
      </c>
      <c r="BC491" s="5" t="n">
        <v>0.589</v>
      </c>
      <c r="BD491" s="5" t="n">
        <v>0.123</v>
      </c>
      <c r="BE491" s="5" t="n">
        <v>-0.252</v>
      </c>
      <c r="BF491" s="5" t="n">
        <v>0.337</v>
      </c>
      <c r="BG491" s="5" t="n">
        <v>0</v>
      </c>
      <c r="BH491" s="5" t="n">
        <v>0</v>
      </c>
      <c r="BI491" s="5" t="n">
        <v>0.6889999999999999</v>
      </c>
      <c r="BJ491" s="5" t="n">
        <v>0.123</v>
      </c>
      <c r="BK491" s="5" t="n">
        <v>0.002</v>
      </c>
      <c r="BL491" s="5" t="n">
        <v>0.6909999999999999</v>
      </c>
      <c r="BM491" s="5" t="n">
        <v>0</v>
      </c>
      <c r="BN491" s="5" t="n">
        <v>1</v>
      </c>
      <c r="BO491" s="5" t="n">
        <v>0</v>
      </c>
      <c r="BP491" s="5" t="n">
        <v>-0.014</v>
      </c>
      <c r="BQ491" s="5" t="n">
        <v>0.08599999999999999</v>
      </c>
      <c r="BR491" s="5" t="n">
        <v>0</v>
      </c>
      <c r="BS491" s="5" t="n">
        <v>0.333</v>
      </c>
      <c r="BT491" s="5" t="n">
        <v>0</v>
      </c>
      <c r="BU491" s="5" t="n">
        <v>-0.014</v>
      </c>
      <c r="BV491" s="5" t="n">
        <v>0.05</v>
      </c>
      <c r="BW491" s="5" t="n">
        <v>0.1</v>
      </c>
      <c r="BX491" s="5" t="n">
        <v>0.333</v>
      </c>
      <c r="BY491" s="5" t="n">
        <v>12.729</v>
      </c>
      <c r="BZ491" s="5" t="n">
        <v>0</v>
      </c>
      <c r="CA491" s="5" t="n">
        <v>12.729</v>
      </c>
      <c r="CB491" s="5" t="n">
        <v>0</v>
      </c>
      <c r="CC491" s="5" t="n">
        <v>102.477</v>
      </c>
      <c r="CD491" s="5" t="n">
        <v>7.95</v>
      </c>
      <c r="CE491" s="5" t="n">
        <v>-2.479</v>
      </c>
      <c r="CF491" s="5" t="n">
        <v>109.189</v>
      </c>
      <c r="CG491" s="5" t="n">
        <v>0.1</v>
      </c>
      <c r="CH491" s="5" t="n">
        <v>1</v>
      </c>
      <c r="CI491" s="5" t="n">
        <v>0</v>
      </c>
      <c r="CJ491" s="5" t="n">
        <v>0</v>
      </c>
      <c r="CK491" s="5" t="n">
        <v>0</v>
      </c>
      <c r="CL491" s="5" t="n">
        <v>0</v>
      </c>
      <c r="CM491" s="5" t="n">
        <v>0</v>
      </c>
      <c r="CN491" s="5" t="n">
        <v>0</v>
      </c>
      <c r="CO491" s="5" t="n">
        <v>0</v>
      </c>
      <c r="CP491" s="5" t="n">
        <v>0.08699999999999999</v>
      </c>
      <c r="CQ491" s="5" t="n">
        <v>1.294</v>
      </c>
      <c r="CR491" s="5" t="n">
        <v>0.743</v>
      </c>
      <c r="CS491" s="5" t="n">
        <v>4.974</v>
      </c>
      <c r="CT491" s="5" t="n">
        <v>7.554</v>
      </c>
      <c r="CU491" s="5" t="n">
        <v>28.059</v>
      </c>
    </row>
    <row r="492">
      <c r="A492" s="5" t="inlineStr">
        <is>
          <t>MYS2023</t>
        </is>
      </c>
      <c r="B492" s="5" t="inlineStr">
        <is>
          <t>MYS</t>
        </is>
      </c>
      <c r="C492" s="5" t="inlineStr">
        <is>
          <t>MYS</t>
        </is>
      </c>
      <c r="D492" s="5" t="inlineStr">
        <is>
          <t>Malaysia</t>
        </is>
      </c>
      <c r="E492" s="5" t="n">
        <v>2023</v>
      </c>
      <c r="F492" s="5" t="n">
        <v>0.1</v>
      </c>
      <c r="G492" s="5" t="n">
        <v>5.398</v>
      </c>
      <c r="H492" s="5" t="n">
        <v>1.222</v>
      </c>
      <c r="I492" s="5" t="n">
        <v>0</v>
      </c>
      <c r="J492" s="5" t="n">
        <v>5.398</v>
      </c>
      <c r="K492" s="5" t="n">
        <v>0</v>
      </c>
      <c r="L492" s="5" t="n">
        <v>1</v>
      </c>
      <c r="M492" s="5" t="n">
        <v>7.432</v>
      </c>
      <c r="N492" s="5" t="n">
        <v>3.667</v>
      </c>
      <c r="O492" s="5" t="n">
        <v>0</v>
      </c>
      <c r="P492" s="5" t="n">
        <v>7.432</v>
      </c>
      <c r="Q492" s="5" t="n">
        <v>0</v>
      </c>
      <c r="R492" s="5" t="n">
        <v>1</v>
      </c>
      <c r="S492" s="5" t="n">
        <v>11.509</v>
      </c>
      <c r="T492" s="5" t="n">
        <v>7.334</v>
      </c>
      <c r="U492" s="5" t="n">
        <v>0</v>
      </c>
      <c r="V492" s="5" t="n">
        <v>11.509</v>
      </c>
      <c r="W492" s="5" t="n">
        <v>0</v>
      </c>
      <c r="X492" s="5" t="n">
        <v>1</v>
      </c>
      <c r="Y492" s="5" t="n">
        <v>6.841</v>
      </c>
      <c r="Z492" s="5" t="n">
        <v>0.884</v>
      </c>
      <c r="AA492" s="5" t="n">
        <v>0.582</v>
      </c>
      <c r="AB492" s="5" t="n">
        <v>7.423</v>
      </c>
      <c r="AC492" s="5" t="n">
        <v>0</v>
      </c>
      <c r="AD492" s="5" t="n">
        <v>1</v>
      </c>
      <c r="AE492" s="5" t="n">
        <v>7.623</v>
      </c>
      <c r="AF492" s="5" t="n">
        <v>1.712</v>
      </c>
      <c r="AG492" s="5" t="n">
        <v>0.173</v>
      </c>
      <c r="AH492" s="5" t="n">
        <v>7.796</v>
      </c>
      <c r="AI492" s="5" t="n">
        <v>0</v>
      </c>
      <c r="AJ492" s="5" t="n">
        <v>1</v>
      </c>
      <c r="AK492" s="5" t="n">
        <v>12.312</v>
      </c>
      <c r="AL492" s="5" t="n">
        <v>6.349</v>
      </c>
      <c r="AM492" s="5" t="n">
        <v>-5.723</v>
      </c>
      <c r="AN492" s="5" t="n">
        <v>7.248</v>
      </c>
      <c r="AO492" s="5" t="n">
        <v>0</v>
      </c>
      <c r="AP492" s="5" t="n">
        <v>0</v>
      </c>
      <c r="AQ492" s="5" t="n">
        <v>0.749</v>
      </c>
      <c r="AR492" s="5" t="n">
        <v>0.129</v>
      </c>
      <c r="AS492" s="5" t="n">
        <v>-0.299</v>
      </c>
      <c r="AT492" s="5" t="n">
        <v>0.449</v>
      </c>
      <c r="AU492" s="5" t="n">
        <v>0</v>
      </c>
      <c r="AV492" s="5" t="n">
        <v>0</v>
      </c>
      <c r="AW492" s="5" t="n">
        <v>0.783</v>
      </c>
      <c r="AX492" s="5" t="n">
        <v>0.129</v>
      </c>
      <c r="AY492" s="5" t="n">
        <v>-0.311</v>
      </c>
      <c r="AZ492" s="5" t="n">
        <v>0.471</v>
      </c>
      <c r="BA492" s="5" t="n">
        <v>0</v>
      </c>
      <c r="BB492" s="5" t="n">
        <v>0</v>
      </c>
      <c r="BC492" s="5" t="n">
        <v>0.527</v>
      </c>
      <c r="BD492" s="5" t="n">
        <v>0.129</v>
      </c>
      <c r="BE492" s="5" t="n">
        <v>-0.198</v>
      </c>
      <c r="BF492" s="5" t="n">
        <v>0.329</v>
      </c>
      <c r="BG492" s="5" t="n">
        <v>0</v>
      </c>
      <c r="BH492" s="5" t="n">
        <v>0</v>
      </c>
      <c r="BI492" s="5" t="n">
        <v>0.64</v>
      </c>
      <c r="BJ492" s="5" t="n">
        <v>0.129</v>
      </c>
      <c r="BK492" s="5" t="n">
        <v>0.002</v>
      </c>
      <c r="BL492" s="5" t="n">
        <v>0.641</v>
      </c>
      <c r="BM492" s="5" t="n">
        <v>0</v>
      </c>
      <c r="BN492" s="5" t="n">
        <v>1</v>
      </c>
      <c r="BO492" s="5" t="n">
        <v>0</v>
      </c>
      <c r="BP492" s="5" t="n">
        <v>0</v>
      </c>
      <c r="BQ492" s="5" t="n">
        <v>0.081</v>
      </c>
      <c r="BR492" s="5" t="n">
        <v>0</v>
      </c>
      <c r="BS492" s="5" t="n">
        <v>0.333</v>
      </c>
      <c r="BT492" s="5" t="n">
        <v>0</v>
      </c>
      <c r="BU492" s="5" t="n">
        <v>0</v>
      </c>
      <c r="BV492" s="5" t="n">
        <v>0.046</v>
      </c>
      <c r="BW492" s="5" t="n">
        <v>0.1</v>
      </c>
      <c r="BX492" s="5" t="n">
        <v>0.333</v>
      </c>
      <c r="BY492" s="5" t="n">
        <v>13.254</v>
      </c>
      <c r="BZ492" s="5" t="n">
        <v>0</v>
      </c>
      <c r="CA492" s="5" t="n">
        <v>13.254</v>
      </c>
      <c r="CB492" s="5" t="n">
        <v>0</v>
      </c>
      <c r="CC492" s="5" t="n">
        <v>87.07899999999999</v>
      </c>
      <c r="CD492" s="5" t="n">
        <v>7.95</v>
      </c>
      <c r="CE492" s="5" t="n">
        <v>-2.476</v>
      </c>
      <c r="CF492" s="5" t="n">
        <v>92.044</v>
      </c>
      <c r="CG492" s="5" t="n">
        <v>0.1</v>
      </c>
      <c r="CH492" s="5" t="n">
        <v>1</v>
      </c>
      <c r="CI492" s="5" t="n">
        <v>0</v>
      </c>
      <c r="CJ492" s="5" t="n">
        <v>0</v>
      </c>
      <c r="CK492" s="5" t="n">
        <v>0</v>
      </c>
      <c r="CL492" s="5" t="n">
        <v>0</v>
      </c>
      <c r="CM492" s="5" t="n">
        <v>0</v>
      </c>
      <c r="CN492" s="5" t="n">
        <v>0</v>
      </c>
      <c r="CO492" s="5" t="n">
        <v>0</v>
      </c>
      <c r="CP492" s="5" t="n">
        <v>0.099</v>
      </c>
      <c r="CQ492" s="5" t="n">
        <v>1.348</v>
      </c>
      <c r="CR492" s="5" t="n">
        <v>0.784</v>
      </c>
      <c r="CS492" s="5" t="n">
        <v>5.179</v>
      </c>
      <c r="CT492" s="5" t="n">
        <v>4.484</v>
      </c>
      <c r="CU492" s="5" t="n">
        <v>9.260999999999999</v>
      </c>
    </row>
    <row r="493">
      <c r="A493" s="5" t="inlineStr">
        <is>
          <t>MYS2024</t>
        </is>
      </c>
      <c r="B493" s="5" t="inlineStr">
        <is>
          <t>MYS</t>
        </is>
      </c>
      <c r="C493" s="5" t="inlineStr">
        <is>
          <t>MYS</t>
        </is>
      </c>
      <c r="D493" s="5" t="inlineStr">
        <is>
          <t>Malaysia</t>
        </is>
      </c>
      <c r="E493" s="5" t="n">
        <v>2024</v>
      </c>
      <c r="F493" s="5" t="n">
        <v>0.1</v>
      </c>
      <c r="G493" s="5" t="n">
        <v>4.558</v>
      </c>
      <c r="H493" s="5" t="n">
        <v>1.258</v>
      </c>
      <c r="I493" s="5" t="n">
        <v>0</v>
      </c>
      <c r="J493" s="5" t="n">
        <v>4.558</v>
      </c>
      <c r="K493" s="5" t="n">
        <v>0</v>
      </c>
      <c r="L493" s="5" t="n">
        <v>1</v>
      </c>
      <c r="M493" s="5" t="n">
        <v>6.754</v>
      </c>
      <c r="N493" s="5" t="n">
        <v>3.775</v>
      </c>
      <c r="O493" s="5" t="n">
        <v>0</v>
      </c>
      <c r="P493" s="5" t="n">
        <v>6.754</v>
      </c>
      <c r="Q493" s="5" t="n">
        <v>0</v>
      </c>
      <c r="R493" s="5" t="n">
        <v>1</v>
      </c>
      <c r="S493" s="5" t="n">
        <v>10.851</v>
      </c>
      <c r="T493" s="5" t="n">
        <v>7.55</v>
      </c>
      <c r="U493" s="5" t="n">
        <v>0</v>
      </c>
      <c r="V493" s="5" t="n">
        <v>10.851</v>
      </c>
      <c r="W493" s="5" t="n">
        <v>0</v>
      </c>
      <c r="X493" s="5" t="n">
        <v>1</v>
      </c>
      <c r="Y493" s="5" t="n">
        <v>6.626</v>
      </c>
      <c r="Z493" s="5" t="n">
        <v>0.856</v>
      </c>
      <c r="AA493" s="5" t="n">
        <v>1.017</v>
      </c>
      <c r="AB493" s="5" t="n">
        <v>7.642</v>
      </c>
      <c r="AC493" s="5" t="n">
        <v>0</v>
      </c>
      <c r="AD493" s="5" t="n">
        <v>1</v>
      </c>
      <c r="AE493" s="5" t="n">
        <v>7.43</v>
      </c>
      <c r="AF493" s="5" t="n">
        <v>1.669</v>
      </c>
      <c r="AG493" s="5" t="n">
        <v>0.339</v>
      </c>
      <c r="AH493" s="5" t="n">
        <v>7.769</v>
      </c>
      <c r="AI493" s="5" t="n">
        <v>0</v>
      </c>
      <c r="AJ493" s="5" t="n">
        <v>1</v>
      </c>
      <c r="AK493" s="5" t="n">
        <v>12.258</v>
      </c>
      <c r="AL493" s="5" t="n">
        <v>6.321</v>
      </c>
      <c r="AM493" s="5" t="n">
        <v>-5.692</v>
      </c>
      <c r="AN493" s="5" t="n">
        <v>7.223</v>
      </c>
      <c r="AO493" s="5" t="n">
        <v>0</v>
      </c>
      <c r="AP493" s="5" t="n">
        <v>0</v>
      </c>
      <c r="AQ493" s="5" t="n">
        <v>0.72</v>
      </c>
      <c r="AR493" s="5" t="n">
        <v>0.132</v>
      </c>
      <c r="AS493" s="5" t="n">
        <v>-0.272</v>
      </c>
      <c r="AT493" s="5" t="n">
        <v>0.448</v>
      </c>
      <c r="AU493" s="5" t="n">
        <v>0</v>
      </c>
      <c r="AV493" s="5" t="n">
        <v>0</v>
      </c>
      <c r="AW493" s="5" t="n">
        <v>0.734</v>
      </c>
      <c r="AX493" s="5" t="n">
        <v>0.132</v>
      </c>
      <c r="AY493" s="5" t="n">
        <v>-0.149</v>
      </c>
      <c r="AZ493" s="5" t="n">
        <v>0.585</v>
      </c>
      <c r="BA493" s="5" t="n">
        <v>0</v>
      </c>
      <c r="BB493" s="5" t="n">
        <v>0</v>
      </c>
      <c r="BC493" s="5" t="n">
        <v>0.51</v>
      </c>
      <c r="BD493" s="5" t="n">
        <v>0.132</v>
      </c>
      <c r="BE493" s="5" t="n">
        <v>-0.182</v>
      </c>
      <c r="BF493" s="5" t="n">
        <v>0.329</v>
      </c>
      <c r="BG493" s="5" t="n">
        <v>0</v>
      </c>
      <c r="BH493" s="5" t="n">
        <v>0</v>
      </c>
      <c r="BI493" s="5" t="n">
        <v>0.652</v>
      </c>
      <c r="BJ493" s="5" t="n">
        <v>0.132</v>
      </c>
      <c r="BK493" s="5" t="n">
        <v>0.002</v>
      </c>
      <c r="BL493" s="5" t="n">
        <v>0.654</v>
      </c>
      <c r="BM493" s="5" t="n">
        <v>0</v>
      </c>
      <c r="BN493" s="5" t="n">
        <v>1</v>
      </c>
      <c r="BO493" s="5" t="n">
        <v>0</v>
      </c>
      <c r="BP493" s="5" t="n">
        <v>0</v>
      </c>
      <c r="BQ493" s="5" t="n">
        <v>0.11</v>
      </c>
      <c r="BR493" s="5" t="n">
        <v>0</v>
      </c>
      <c r="BS493" s="5" t="n">
        <v>0.333</v>
      </c>
      <c r="BT493" s="5" t="n">
        <v>0</v>
      </c>
      <c r="BU493" s="5" t="n">
        <v>0</v>
      </c>
      <c r="BV493" s="5" t="n">
        <v>0.043</v>
      </c>
      <c r="BW493" s="5" t="n">
        <v>0.1</v>
      </c>
      <c r="BX493" s="5" t="n">
        <v>0.333</v>
      </c>
      <c r="BY493" s="5" t="n">
        <v>13.646</v>
      </c>
      <c r="BZ493" s="5" t="n">
        <v>0</v>
      </c>
      <c r="CA493" s="5" t="n">
        <v>13.646</v>
      </c>
      <c r="CB493" s="5" t="n">
        <v>0</v>
      </c>
      <c r="CC493" s="5" t="n">
        <v>86.38500000000001</v>
      </c>
      <c r="CD493" s="5" t="n">
        <v>7.95</v>
      </c>
      <c r="CE493" s="5" t="n">
        <v>-2.383</v>
      </c>
      <c r="CF493" s="5" t="n">
        <v>91.161</v>
      </c>
      <c r="CG493" s="5" t="n">
        <v>0.1</v>
      </c>
      <c r="CH493" s="5" t="n">
        <v>1</v>
      </c>
      <c r="CI493" s="5" t="n">
        <v>0</v>
      </c>
      <c r="CJ493" s="5" t="n">
        <v>0</v>
      </c>
      <c r="CK493" s="5" t="n">
        <v>0</v>
      </c>
      <c r="CL493" s="5" t="n">
        <v>0</v>
      </c>
      <c r="CM493" s="5" t="n">
        <v>0</v>
      </c>
      <c r="CN493" s="5" t="n">
        <v>0</v>
      </c>
      <c r="CO493" s="5" t="n">
        <v>0</v>
      </c>
      <c r="CP493" s="5" t="n">
        <v>0.099</v>
      </c>
      <c r="CQ493" s="5" t="n">
        <v>1.387</v>
      </c>
      <c r="CR493" s="5" t="n">
        <v>0.784</v>
      </c>
      <c r="CS493" s="5" t="n">
        <v>5.332</v>
      </c>
      <c r="CT493" s="5" t="n">
        <v>3.509</v>
      </c>
      <c r="CU493" s="5" t="n">
        <v>7.598</v>
      </c>
    </row>
    <row r="494">
      <c r="A494" s="5" t="inlineStr">
        <is>
          <t>MDV2021</t>
        </is>
      </c>
      <c r="B494" s="5" t="inlineStr">
        <is>
          <t>MDV</t>
        </is>
      </c>
      <c r="C494" s="5" t="inlineStr">
        <is>
          <t>MDV</t>
        </is>
      </c>
      <c r="D494" s="5" t="inlineStr">
        <is>
          <t>Maldives</t>
        </is>
      </c>
      <c r="E494" s="5" t="n">
        <v>2021</v>
      </c>
      <c r="F494" s="5" t="n">
        <v>0.06</v>
      </c>
      <c r="G494" s="5" t="n">
        <v>4.747</v>
      </c>
      <c r="H494" s="5" t="n">
        <v>1.143</v>
      </c>
      <c r="I494" s="5" t="n">
        <v>0</v>
      </c>
      <c r="J494" s="5" t="n">
        <v>4.747</v>
      </c>
      <c r="K494" s="5" t="n">
        <v>0</v>
      </c>
      <c r="L494" s="5" t="n">
        <v>1</v>
      </c>
      <c r="M494" s="5" t="n">
        <v>7.964</v>
      </c>
      <c r="N494" s="5" t="n">
        <v>3.43</v>
      </c>
      <c r="O494" s="5" t="n">
        <v>0</v>
      </c>
      <c r="P494" s="5" t="n">
        <v>7.964</v>
      </c>
      <c r="Q494" s="5" t="n">
        <v>0</v>
      </c>
      <c r="R494" s="5" t="n">
        <v>1</v>
      </c>
      <c r="S494" s="5" t="n">
        <v>10.464</v>
      </c>
      <c r="T494" s="5" t="n">
        <v>6.86</v>
      </c>
      <c r="U494" s="5" t="n">
        <v>0</v>
      </c>
      <c r="V494" s="5" t="n">
        <v>11.092</v>
      </c>
      <c r="W494" s="5" t="n">
        <v>0.06</v>
      </c>
      <c r="X494" s="5" t="n">
        <v>1</v>
      </c>
      <c r="Y494" s="5" t="n">
        <v>17.987</v>
      </c>
      <c r="Z494" s="5" t="n">
        <v>2.1</v>
      </c>
      <c r="AA494" s="5" t="n">
        <v>0</v>
      </c>
      <c r="AB494" s="5" t="n">
        <v>17.987</v>
      </c>
      <c r="AC494" s="5" t="n">
        <v>0</v>
      </c>
      <c r="AD494" s="5" t="n">
        <v>1</v>
      </c>
      <c r="AE494" s="5" t="n">
        <v>19.13</v>
      </c>
      <c r="AF494" s="5" t="n">
        <v>3.956</v>
      </c>
      <c r="AG494" s="5" t="n">
        <v>0</v>
      </c>
      <c r="AH494" s="5" t="n">
        <v>19.13</v>
      </c>
      <c r="AI494" s="5" t="n">
        <v>0</v>
      </c>
      <c r="AJ494" s="5" t="n">
        <v>1</v>
      </c>
      <c r="AK494" s="5" t="n">
        <v>25.99</v>
      </c>
      <c r="AL494" s="5" t="n">
        <v>12.953</v>
      </c>
      <c r="AM494" s="5" t="n">
        <v>0</v>
      </c>
      <c r="AN494" s="5" t="n">
        <v>27.549</v>
      </c>
      <c r="AO494" s="5" t="n">
        <v>0.06</v>
      </c>
      <c r="AP494" s="5" t="n">
        <v>1</v>
      </c>
      <c r="AQ494" s="5" t="n">
        <v>0.621</v>
      </c>
      <c r="AR494" s="5" t="n">
        <v>0.114</v>
      </c>
      <c r="AS494" s="5" t="n">
        <v>0.128</v>
      </c>
      <c r="AT494" s="5" t="n">
        <v>0.748</v>
      </c>
      <c r="AU494" s="5" t="n">
        <v>0</v>
      </c>
      <c r="AV494" s="5" t="n">
        <v>1</v>
      </c>
      <c r="AW494" s="5" t="n">
        <v>0.593</v>
      </c>
      <c r="AX494" s="5" t="n">
        <v>0.114</v>
      </c>
      <c r="AY494" s="5" t="n">
        <v>0.093</v>
      </c>
      <c r="AZ494" s="5" t="n">
        <v>0.6860000000000001</v>
      </c>
      <c r="BA494" s="5" t="n">
        <v>0</v>
      </c>
      <c r="BB494" s="5" t="n">
        <v>1</v>
      </c>
      <c r="BC494" s="5" t="n">
        <v>0.44</v>
      </c>
      <c r="BD494" s="5" t="n">
        <v>0.114</v>
      </c>
      <c r="BE494" s="5" t="n">
        <v>0.419</v>
      </c>
      <c r="BF494" s="5" t="n">
        <v>0.911</v>
      </c>
      <c r="BG494" s="5" t="n">
        <v>0.06</v>
      </c>
      <c r="BH494" s="5" t="n">
        <v>1</v>
      </c>
      <c r="BI494" s="5" t="n">
        <v>0.5600000000000001</v>
      </c>
      <c r="BJ494" s="5" t="n">
        <v>0.114</v>
      </c>
      <c r="BK494" s="5" t="n">
        <v>0</v>
      </c>
      <c r="BL494" s="5" t="n">
        <v>0.594</v>
      </c>
      <c r="BM494" s="5" t="n">
        <v>0.06</v>
      </c>
      <c r="BN494" s="5" t="n">
        <v>1</v>
      </c>
      <c r="BO494" s="5" t="n">
        <v>0</v>
      </c>
      <c r="BP494" s="5" t="n">
        <v>0</v>
      </c>
      <c r="BQ494" s="5" t="n">
        <v>0.215</v>
      </c>
      <c r="BR494" s="5" t="n">
        <v>0</v>
      </c>
      <c r="BS494" s="5" t="n">
        <v>0.833</v>
      </c>
      <c r="BT494" s="5" t="n">
        <v>0</v>
      </c>
      <c r="BU494" s="5" t="n">
        <v>0</v>
      </c>
      <c r="BV494" s="5" t="n">
        <v>0.15</v>
      </c>
      <c r="BW494" s="5" t="n">
        <v>0</v>
      </c>
      <c r="BX494" s="5" t="n">
        <v>0.833</v>
      </c>
      <c r="BY494" s="5" t="n">
        <v>11.787</v>
      </c>
      <c r="BZ494" s="5" t="n">
        <v>0</v>
      </c>
      <c r="CA494" s="5" t="n">
        <v>11.787</v>
      </c>
      <c r="CB494" s="5" t="n">
        <v>0</v>
      </c>
      <c r="CC494" s="5" t="n">
        <v>81.69499999999999</v>
      </c>
      <c r="CD494" s="5" t="n">
        <v>7.95</v>
      </c>
      <c r="CE494" s="5" t="n">
        <v>0</v>
      </c>
      <c r="CF494" s="5" t="n">
        <v>86.59699999999999</v>
      </c>
      <c r="CG494" s="5" t="n">
        <v>0.06</v>
      </c>
      <c r="CH494" s="5" t="n">
        <v>1</v>
      </c>
      <c r="CI494" s="5" t="n">
        <v>0</v>
      </c>
      <c r="CJ494" s="5" t="n">
        <v>0</v>
      </c>
      <c r="CK494" s="5" t="n">
        <v>0</v>
      </c>
      <c r="CL494" s="5" t="n">
        <v>0</v>
      </c>
      <c r="CM494" s="5" t="n">
        <v>0</v>
      </c>
      <c r="CN494" s="5" t="n">
        <v>0</v>
      </c>
      <c r="CO494" s="5" t="n">
        <v>0</v>
      </c>
      <c r="CP494" s="5" t="n">
        <v>0</v>
      </c>
      <c r="CQ494" s="5" t="n">
        <v>1.198</v>
      </c>
      <c r="CR494" s="5" t="n">
        <v>0</v>
      </c>
      <c r="CS494" s="5" t="n">
        <v>4.776</v>
      </c>
      <c r="CT494" s="5" t="n">
        <v>3.604</v>
      </c>
      <c r="CU494" s="5" t="n">
        <v>16.843</v>
      </c>
    </row>
    <row r="495">
      <c r="A495" s="5" t="inlineStr">
        <is>
          <t>MDV2022</t>
        </is>
      </c>
      <c r="B495" s="5" t="inlineStr">
        <is>
          <t>MDV</t>
        </is>
      </c>
      <c r="C495" s="5" t="inlineStr">
        <is>
          <t>MDV</t>
        </is>
      </c>
      <c r="D495" s="5" t="inlineStr">
        <is>
          <t>Maldives</t>
        </is>
      </c>
      <c r="E495" s="5" t="n">
        <v>2022</v>
      </c>
      <c r="F495" s="5" t="n">
        <v>0.06</v>
      </c>
      <c r="G495" s="5" t="n">
        <v>8.788</v>
      </c>
      <c r="H495" s="5" t="n">
        <v>1.235</v>
      </c>
      <c r="I495" s="5" t="n">
        <v>0</v>
      </c>
      <c r="J495" s="5" t="n">
        <v>8.788</v>
      </c>
      <c r="K495" s="5" t="n">
        <v>0</v>
      </c>
      <c r="L495" s="5" t="n">
        <v>1</v>
      </c>
      <c r="M495" s="5" t="n">
        <v>9.782999999999999</v>
      </c>
      <c r="N495" s="5" t="n">
        <v>3.704</v>
      </c>
      <c r="O495" s="5" t="n">
        <v>0</v>
      </c>
      <c r="P495" s="5" t="n">
        <v>9.782999999999999</v>
      </c>
      <c r="Q495" s="5" t="n">
        <v>0</v>
      </c>
      <c r="R495" s="5" t="n">
        <v>1</v>
      </c>
      <c r="S495" s="5" t="n">
        <v>14.962</v>
      </c>
      <c r="T495" s="5" t="n">
        <v>7.408</v>
      </c>
      <c r="U495" s="5" t="n">
        <v>0.066</v>
      </c>
      <c r="V495" s="5" t="n">
        <v>15.86</v>
      </c>
      <c r="W495" s="5" t="n">
        <v>0.06</v>
      </c>
      <c r="X495" s="5" t="n">
        <v>1</v>
      </c>
      <c r="Y495" s="5" t="n">
        <v>31.383</v>
      </c>
      <c r="Z495" s="5" t="n">
        <v>3.665</v>
      </c>
      <c r="AA495" s="5" t="n">
        <v>0</v>
      </c>
      <c r="AB495" s="5" t="n">
        <v>31.383</v>
      </c>
      <c r="AC495" s="5" t="n">
        <v>0</v>
      </c>
      <c r="AD495" s="5" t="n">
        <v>1</v>
      </c>
      <c r="AE495" s="5" t="n">
        <v>32.618</v>
      </c>
      <c r="AF495" s="5" t="n">
        <v>6.745</v>
      </c>
      <c r="AG495" s="5" t="n">
        <v>0</v>
      </c>
      <c r="AH495" s="5" t="n">
        <v>32.618</v>
      </c>
      <c r="AI495" s="5" t="n">
        <v>0</v>
      </c>
      <c r="AJ495" s="5" t="n">
        <v>1</v>
      </c>
      <c r="AK495" s="5" t="n">
        <v>40.026</v>
      </c>
      <c r="AL495" s="5" t="n">
        <v>19.948</v>
      </c>
      <c r="AM495" s="5" t="n">
        <v>0.178</v>
      </c>
      <c r="AN495" s="5" t="n">
        <v>42.428</v>
      </c>
      <c r="AO495" s="5" t="n">
        <v>0.06</v>
      </c>
      <c r="AP495" s="5" t="n">
        <v>1</v>
      </c>
      <c r="AQ495" s="5" t="n">
        <v>0.847</v>
      </c>
      <c r="AR495" s="5" t="n">
        <v>0.123</v>
      </c>
      <c r="AS495" s="5" t="n">
        <v>0.138</v>
      </c>
      <c r="AT495" s="5" t="n">
        <v>0.985</v>
      </c>
      <c r="AU495" s="5" t="n">
        <v>0</v>
      </c>
      <c r="AV495" s="5" t="n">
        <v>1</v>
      </c>
      <c r="AW495" s="5" t="n">
        <v>0.947</v>
      </c>
      <c r="AX495" s="5" t="n">
        <v>0.123</v>
      </c>
      <c r="AY495" s="5" t="n">
        <v>0.053</v>
      </c>
      <c r="AZ495" s="5" t="n">
        <v>1</v>
      </c>
      <c r="BA495" s="5" t="n">
        <v>0</v>
      </c>
      <c r="BB495" s="5" t="n">
        <v>1</v>
      </c>
      <c r="BC495" s="5" t="n">
        <v>0.589</v>
      </c>
      <c r="BD495" s="5" t="n">
        <v>0.123</v>
      </c>
      <c r="BE495" s="5" t="n">
        <v>0.451</v>
      </c>
      <c r="BF495" s="5" t="n">
        <v>1.097</v>
      </c>
      <c r="BG495" s="5" t="n">
        <v>0.06</v>
      </c>
      <c r="BH495" s="5" t="n">
        <v>1</v>
      </c>
      <c r="BI495" s="5" t="n">
        <v>0.6889999999999999</v>
      </c>
      <c r="BJ495" s="5" t="n">
        <v>0.123</v>
      </c>
      <c r="BK495" s="5" t="n">
        <v>0.003</v>
      </c>
      <c r="BL495" s="5" t="n">
        <v>0.73</v>
      </c>
      <c r="BM495" s="5" t="n">
        <v>0.06</v>
      </c>
      <c r="BN495" s="5" t="n">
        <v>1</v>
      </c>
      <c r="BO495" s="5" t="n">
        <v>0</v>
      </c>
      <c r="BP495" s="5" t="n">
        <v>0</v>
      </c>
      <c r="BQ495" s="5" t="n">
        <v>0.232</v>
      </c>
      <c r="BR495" s="5" t="n">
        <v>0</v>
      </c>
      <c r="BS495" s="5" t="n">
        <v>0.833</v>
      </c>
      <c r="BT495" s="5" t="n">
        <v>0</v>
      </c>
      <c r="BU495" s="5" t="n">
        <v>0</v>
      </c>
      <c r="BV495" s="5" t="n">
        <v>0.128</v>
      </c>
      <c r="BW495" s="5" t="n">
        <v>0</v>
      </c>
      <c r="BX495" s="5" t="n">
        <v>0.833</v>
      </c>
      <c r="BY495" s="5" t="n">
        <v>12.729</v>
      </c>
      <c r="BZ495" s="5" t="n">
        <v>0</v>
      </c>
      <c r="CA495" s="5" t="n">
        <v>12.729</v>
      </c>
      <c r="CB495" s="5" t="n">
        <v>0</v>
      </c>
      <c r="CC495" s="5" t="n">
        <v>102.477</v>
      </c>
      <c r="CD495" s="5" t="n">
        <v>7.95</v>
      </c>
      <c r="CE495" s="5" t="n">
        <v>0.455</v>
      </c>
      <c r="CF495" s="5" t="n">
        <v>108.625</v>
      </c>
      <c r="CG495" s="5" t="n">
        <v>0.06</v>
      </c>
      <c r="CH495" s="5" t="n">
        <v>1</v>
      </c>
      <c r="CI495" s="5" t="n">
        <v>0</v>
      </c>
      <c r="CJ495" s="5" t="n">
        <v>0</v>
      </c>
      <c r="CK495" s="5" t="n">
        <v>0</v>
      </c>
      <c r="CL495" s="5" t="n">
        <v>0</v>
      </c>
      <c r="CM495" s="5" t="n">
        <v>0</v>
      </c>
      <c r="CN495" s="5" t="n">
        <v>0</v>
      </c>
      <c r="CO495" s="5" t="n">
        <v>0</v>
      </c>
      <c r="CP495" s="5" t="n">
        <v>0</v>
      </c>
      <c r="CQ495" s="5" t="n">
        <v>1.294</v>
      </c>
      <c r="CR495" s="5" t="n">
        <v>0</v>
      </c>
      <c r="CS495" s="5" t="n">
        <v>5.158</v>
      </c>
      <c r="CT495" s="5" t="n">
        <v>7.554</v>
      </c>
      <c r="CU495" s="5" t="n">
        <v>30.149</v>
      </c>
    </row>
    <row r="496">
      <c r="A496" s="5" t="inlineStr">
        <is>
          <t>MDV2023</t>
        </is>
      </c>
      <c r="B496" s="5" t="inlineStr">
        <is>
          <t>MDV</t>
        </is>
      </c>
      <c r="C496" s="5" t="inlineStr">
        <is>
          <t>MDV</t>
        </is>
      </c>
      <c r="D496" s="5" t="inlineStr">
        <is>
          <t>Maldives</t>
        </is>
      </c>
      <c r="E496" s="5" t="n">
        <v>2023</v>
      </c>
      <c r="F496" s="5" t="n">
        <v>0.06</v>
      </c>
      <c r="G496" s="5" t="n">
        <v>5.77</v>
      </c>
      <c r="H496" s="5" t="n">
        <v>1.286</v>
      </c>
      <c r="I496" s="5" t="n">
        <v>0</v>
      </c>
      <c r="J496" s="5" t="n">
        <v>5.77</v>
      </c>
      <c r="K496" s="5" t="n">
        <v>0</v>
      </c>
      <c r="L496" s="5" t="n">
        <v>1</v>
      </c>
      <c r="M496" s="5" t="n">
        <v>7.886</v>
      </c>
      <c r="N496" s="5" t="n">
        <v>3.857</v>
      </c>
      <c r="O496" s="5" t="n">
        <v>0</v>
      </c>
      <c r="P496" s="5" t="n">
        <v>7.886</v>
      </c>
      <c r="Q496" s="5" t="n">
        <v>0</v>
      </c>
      <c r="R496" s="5" t="n">
        <v>1</v>
      </c>
      <c r="S496" s="5" t="n">
        <v>12.198</v>
      </c>
      <c r="T496" s="5" t="n">
        <v>7.714</v>
      </c>
      <c r="U496" s="5" t="n">
        <v>0.081</v>
      </c>
      <c r="V496" s="5" t="n">
        <v>12.93</v>
      </c>
      <c r="W496" s="5" t="n">
        <v>0.06</v>
      </c>
      <c r="X496" s="5" t="n">
        <v>1</v>
      </c>
      <c r="Y496" s="5" t="n">
        <v>13.678</v>
      </c>
      <c r="Z496" s="5" t="n">
        <v>1.597</v>
      </c>
      <c r="AA496" s="5" t="n">
        <v>0</v>
      </c>
      <c r="AB496" s="5" t="n">
        <v>13.678</v>
      </c>
      <c r="AC496" s="5" t="n">
        <v>0</v>
      </c>
      <c r="AD496" s="5" t="n">
        <v>1</v>
      </c>
      <c r="AE496" s="5" t="n">
        <v>14.963</v>
      </c>
      <c r="AF496" s="5" t="n">
        <v>3.094</v>
      </c>
      <c r="AG496" s="5" t="n">
        <v>0</v>
      </c>
      <c r="AH496" s="5" t="n">
        <v>14.963</v>
      </c>
      <c r="AI496" s="5" t="n">
        <v>0</v>
      </c>
      <c r="AJ496" s="5" t="n">
        <v>1</v>
      </c>
      <c r="AK496" s="5" t="n">
        <v>22.677</v>
      </c>
      <c r="AL496" s="5" t="n">
        <v>11.302</v>
      </c>
      <c r="AM496" s="5" t="n">
        <v>0.151</v>
      </c>
      <c r="AN496" s="5" t="n">
        <v>24.038</v>
      </c>
      <c r="AO496" s="5" t="n">
        <v>0.06</v>
      </c>
      <c r="AP496" s="5" t="n">
        <v>1</v>
      </c>
      <c r="AQ496" s="5" t="n">
        <v>0.749</v>
      </c>
      <c r="AR496" s="5" t="n">
        <v>0.129</v>
      </c>
      <c r="AS496" s="5" t="n">
        <v>0.144</v>
      </c>
      <c r="AT496" s="5" t="n">
        <v>0.892</v>
      </c>
      <c r="AU496" s="5" t="n">
        <v>0</v>
      </c>
      <c r="AV496" s="5" t="n">
        <v>1</v>
      </c>
      <c r="AW496" s="5" t="n">
        <v>0.783</v>
      </c>
      <c r="AX496" s="5" t="n">
        <v>0.129</v>
      </c>
      <c r="AY496" s="5" t="n">
        <v>0.24</v>
      </c>
      <c r="AZ496" s="5" t="n">
        <v>1.022</v>
      </c>
      <c r="BA496" s="5" t="n">
        <v>0</v>
      </c>
      <c r="BB496" s="5" t="n">
        <v>1</v>
      </c>
      <c r="BC496" s="5" t="n">
        <v>0.527</v>
      </c>
      <c r="BD496" s="5" t="n">
        <v>0.129</v>
      </c>
      <c r="BE496" s="5" t="n">
        <v>0.476</v>
      </c>
      <c r="BF496" s="5" t="n">
        <v>1.057</v>
      </c>
      <c r="BG496" s="5" t="n">
        <v>0.06</v>
      </c>
      <c r="BH496" s="5" t="n">
        <v>1</v>
      </c>
      <c r="BI496" s="5" t="n">
        <v>0.64</v>
      </c>
      <c r="BJ496" s="5" t="n">
        <v>0.129</v>
      </c>
      <c r="BK496" s="5" t="n">
        <v>0.004</v>
      </c>
      <c r="BL496" s="5" t="n">
        <v>0.678</v>
      </c>
      <c r="BM496" s="5" t="n">
        <v>0.06</v>
      </c>
      <c r="BN496" s="5" t="n">
        <v>1</v>
      </c>
      <c r="BO496" s="5" t="n">
        <v>0</v>
      </c>
      <c r="BP496" s="5" t="n">
        <v>0</v>
      </c>
      <c r="BQ496" s="5" t="n">
        <v>0.242</v>
      </c>
      <c r="BR496" s="5" t="n">
        <v>0</v>
      </c>
      <c r="BS496" s="5" t="n">
        <v>0.833</v>
      </c>
      <c r="BT496" s="5" t="n">
        <v>0</v>
      </c>
      <c r="BU496" s="5" t="n">
        <v>0</v>
      </c>
      <c r="BV496" s="5" t="n">
        <v>0.101</v>
      </c>
      <c r="BW496" s="5" t="n">
        <v>0</v>
      </c>
      <c r="BX496" s="5" t="n">
        <v>0.833</v>
      </c>
      <c r="BY496" s="5" t="n">
        <v>13.254</v>
      </c>
      <c r="BZ496" s="5" t="n">
        <v>0</v>
      </c>
      <c r="CA496" s="5" t="n">
        <v>13.254</v>
      </c>
      <c r="CB496" s="5" t="n">
        <v>0</v>
      </c>
      <c r="CC496" s="5" t="n">
        <v>87.07899999999999</v>
      </c>
      <c r="CD496" s="5" t="n">
        <v>7.95</v>
      </c>
      <c r="CE496" s="5" t="n">
        <v>0.578</v>
      </c>
      <c r="CF496" s="5" t="n">
        <v>92.304</v>
      </c>
      <c r="CG496" s="5" t="n">
        <v>0.06</v>
      </c>
      <c r="CH496" s="5" t="n">
        <v>1</v>
      </c>
      <c r="CI496" s="5" t="n">
        <v>0</v>
      </c>
      <c r="CJ496" s="5" t="n">
        <v>0</v>
      </c>
      <c r="CK496" s="5" t="n">
        <v>0</v>
      </c>
      <c r="CL496" s="5" t="n">
        <v>0</v>
      </c>
      <c r="CM496" s="5" t="n">
        <v>0</v>
      </c>
      <c r="CN496" s="5" t="n">
        <v>0</v>
      </c>
      <c r="CO496" s="5" t="n">
        <v>0</v>
      </c>
      <c r="CP496" s="5" t="n">
        <v>0</v>
      </c>
      <c r="CQ496" s="5" t="n">
        <v>1.348</v>
      </c>
      <c r="CR496" s="5" t="n">
        <v>0</v>
      </c>
      <c r="CS496" s="5" t="n">
        <v>5.37</v>
      </c>
      <c r="CT496" s="5" t="n">
        <v>4.484</v>
      </c>
      <c r="CU496" s="5" t="n">
        <v>12.392</v>
      </c>
    </row>
    <row r="497">
      <c r="A497" s="5" t="inlineStr">
        <is>
          <t>MDV2024</t>
        </is>
      </c>
      <c r="B497" s="5" t="inlineStr">
        <is>
          <t>MDV</t>
        </is>
      </c>
      <c r="C497" s="5" t="inlineStr">
        <is>
          <t>MDV</t>
        </is>
      </c>
      <c r="D497" s="5" t="inlineStr">
        <is>
          <t>Maldives</t>
        </is>
      </c>
      <c r="E497" s="5" t="n">
        <v>2024</v>
      </c>
      <c r="F497" s="5" t="n">
        <v>0.06</v>
      </c>
      <c r="G497" s="5" t="n">
        <v>4.833</v>
      </c>
      <c r="H497" s="5" t="n">
        <v>1.324</v>
      </c>
      <c r="I497" s="5" t="n">
        <v>0</v>
      </c>
      <c r="J497" s="5" t="n">
        <v>4.833</v>
      </c>
      <c r="K497" s="5" t="n">
        <v>0</v>
      </c>
      <c r="L497" s="5" t="n">
        <v>1</v>
      </c>
      <c r="M497" s="5" t="n">
        <v>7.124</v>
      </c>
      <c r="N497" s="5" t="n">
        <v>3.971</v>
      </c>
      <c r="O497" s="5" t="n">
        <v>0</v>
      </c>
      <c r="P497" s="5" t="n">
        <v>7.124</v>
      </c>
      <c r="Q497" s="5" t="n">
        <v>0</v>
      </c>
      <c r="R497" s="5" t="n">
        <v>1</v>
      </c>
      <c r="S497" s="5" t="n">
        <v>11.451</v>
      </c>
      <c r="T497" s="5" t="n">
        <v>7.942</v>
      </c>
      <c r="U497" s="5" t="n">
        <v>0.094</v>
      </c>
      <c r="V497" s="5" t="n">
        <v>12.138</v>
      </c>
      <c r="W497" s="5" t="n">
        <v>0.06</v>
      </c>
      <c r="X497" s="5" t="n">
        <v>1</v>
      </c>
      <c r="Y497" s="5" t="n">
        <v>12.116</v>
      </c>
      <c r="Z497" s="5" t="n">
        <v>1.415</v>
      </c>
      <c r="AA497" s="5" t="n">
        <v>0</v>
      </c>
      <c r="AB497" s="5" t="n">
        <v>12.116</v>
      </c>
      <c r="AC497" s="5" t="n">
        <v>0</v>
      </c>
      <c r="AD497" s="5" t="n">
        <v>1</v>
      </c>
      <c r="AE497" s="5" t="n">
        <v>13.439</v>
      </c>
      <c r="AF497" s="5" t="n">
        <v>2.779</v>
      </c>
      <c r="AG497" s="5" t="n">
        <v>0</v>
      </c>
      <c r="AH497" s="5" t="n">
        <v>13.439</v>
      </c>
      <c r="AI497" s="5" t="n">
        <v>0</v>
      </c>
      <c r="AJ497" s="5" t="n">
        <v>1</v>
      </c>
      <c r="AK497" s="5" t="n">
        <v>21.381</v>
      </c>
      <c r="AL497" s="5" t="n">
        <v>10.656</v>
      </c>
      <c r="AM497" s="5" t="n">
        <v>0.175</v>
      </c>
      <c r="AN497" s="5" t="n">
        <v>22.664</v>
      </c>
      <c r="AO497" s="5" t="n">
        <v>0.06</v>
      </c>
      <c r="AP497" s="5" t="n">
        <v>1</v>
      </c>
      <c r="AQ497" s="5" t="n">
        <v>0.72</v>
      </c>
      <c r="AR497" s="5" t="n">
        <v>0.132</v>
      </c>
      <c r="AS497" s="5" t="n">
        <v>0.148</v>
      </c>
      <c r="AT497" s="5" t="n">
        <v>0.868</v>
      </c>
      <c r="AU497" s="5" t="n">
        <v>0</v>
      </c>
      <c r="AV497" s="5" t="n">
        <v>1</v>
      </c>
      <c r="AW497" s="5" t="n">
        <v>0.734</v>
      </c>
      <c r="AX497" s="5" t="n">
        <v>0.132</v>
      </c>
      <c r="AY497" s="5" t="n">
        <v>0.201</v>
      </c>
      <c r="AZ497" s="5" t="n">
        <v>0.9350000000000001</v>
      </c>
      <c r="BA497" s="5" t="n">
        <v>0</v>
      </c>
      <c r="BB497" s="5" t="n">
        <v>1</v>
      </c>
      <c r="BC497" s="5" t="n">
        <v>0.51</v>
      </c>
      <c r="BD497" s="5" t="n">
        <v>0.132</v>
      </c>
      <c r="BE497" s="5" t="n">
        <v>0.493</v>
      </c>
      <c r="BF497" s="5" t="n">
        <v>1.055</v>
      </c>
      <c r="BG497" s="5" t="n">
        <v>0.06</v>
      </c>
      <c r="BH497" s="5" t="n">
        <v>1</v>
      </c>
      <c r="BI497" s="5" t="n">
        <v>0.652</v>
      </c>
      <c r="BJ497" s="5" t="n">
        <v>0.132</v>
      </c>
      <c r="BK497" s="5" t="n">
        <v>0.005</v>
      </c>
      <c r="BL497" s="5" t="n">
        <v>0.6909999999999999</v>
      </c>
      <c r="BM497" s="5" t="n">
        <v>0.06</v>
      </c>
      <c r="BN497" s="5" t="n">
        <v>1</v>
      </c>
      <c r="BO497" s="5" t="n">
        <v>0</v>
      </c>
      <c r="BP497" s="5" t="n">
        <v>0</v>
      </c>
      <c r="BQ497" s="5" t="n">
        <v>0.249</v>
      </c>
      <c r="BR497" s="5" t="n">
        <v>0</v>
      </c>
      <c r="BS497" s="5" t="n">
        <v>0.833</v>
      </c>
      <c r="BT497" s="5" t="n">
        <v>0</v>
      </c>
      <c r="BU497" s="5" t="n">
        <v>0</v>
      </c>
      <c r="BV497" s="5" t="n">
        <v>0.106</v>
      </c>
      <c r="BW497" s="5" t="n">
        <v>0</v>
      </c>
      <c r="BX497" s="5" t="n">
        <v>0.833</v>
      </c>
      <c r="BY497" s="5" t="n">
        <v>13.646</v>
      </c>
      <c r="BZ497" s="5" t="n">
        <v>0</v>
      </c>
      <c r="CA497" s="5" t="n">
        <v>13.646</v>
      </c>
      <c r="CB497" s="5" t="n">
        <v>0</v>
      </c>
      <c r="CC497" s="5" t="n">
        <v>86.38500000000001</v>
      </c>
      <c r="CD497" s="5" t="n">
        <v>7.95</v>
      </c>
      <c r="CE497" s="5" t="n">
        <v>0.706</v>
      </c>
      <c r="CF497" s="5" t="n">
        <v>91.569</v>
      </c>
      <c r="CG497" s="5" t="n">
        <v>0.06</v>
      </c>
      <c r="CH497" s="5" t="n">
        <v>1</v>
      </c>
      <c r="CI497" s="5" t="n">
        <v>0</v>
      </c>
      <c r="CJ497" s="5" t="n">
        <v>0</v>
      </c>
      <c r="CK497" s="5" t="n">
        <v>0</v>
      </c>
      <c r="CL497" s="5" t="n">
        <v>0</v>
      </c>
      <c r="CM497" s="5" t="n">
        <v>0</v>
      </c>
      <c r="CN497" s="5" t="n">
        <v>0</v>
      </c>
      <c r="CO497" s="5" t="n">
        <v>0</v>
      </c>
      <c r="CP497" s="5" t="n">
        <v>0</v>
      </c>
      <c r="CQ497" s="5" t="n">
        <v>1.387</v>
      </c>
      <c r="CR497" s="5" t="n">
        <v>0</v>
      </c>
      <c r="CS497" s="5" t="n">
        <v>5.529</v>
      </c>
      <c r="CT497" s="5" t="n">
        <v>3.509</v>
      </c>
      <c r="CU497" s="5" t="n">
        <v>10.792</v>
      </c>
    </row>
    <row r="498">
      <c r="A498" s="5" t="inlineStr">
        <is>
          <t>MLI2021</t>
        </is>
      </c>
      <c r="B498" s="5" t="inlineStr">
        <is>
          <t>MLI</t>
        </is>
      </c>
      <c r="C498" s="5" t="inlineStr">
        <is>
          <t>MLI</t>
        </is>
      </c>
      <c r="D498" s="5" t="inlineStr">
        <is>
          <t>Mali</t>
        </is>
      </c>
      <c r="E498" s="5" t="n">
        <v>2021</v>
      </c>
      <c r="F498" s="5" t="n">
        <v>0.18</v>
      </c>
      <c r="G498" s="5" t="n">
        <v>5.659</v>
      </c>
      <c r="H498" s="5" t="n">
        <v>1.238</v>
      </c>
      <c r="I498" s="5" t="n">
        <v>0.238</v>
      </c>
      <c r="J498" s="5" t="n">
        <v>5.897</v>
      </c>
      <c r="K498" s="5" t="n">
        <v>0</v>
      </c>
      <c r="L498" s="5" t="n">
        <v>1</v>
      </c>
      <c r="M498" s="5" t="n">
        <v>7.737</v>
      </c>
      <c r="N498" s="5" t="n">
        <v>3.507</v>
      </c>
      <c r="O498" s="5" t="n">
        <v>0.227</v>
      </c>
      <c r="P498" s="5" t="n">
        <v>7.964</v>
      </c>
      <c r="Q498" s="5" t="n">
        <v>0</v>
      </c>
      <c r="R498" s="5" t="n">
        <v>1</v>
      </c>
      <c r="S498" s="5" t="n">
        <v>11.613</v>
      </c>
      <c r="T498" s="5" t="n">
        <v>6.86</v>
      </c>
      <c r="U498" s="5" t="n">
        <v>-8.686999999999999</v>
      </c>
      <c r="V498" s="5" t="n">
        <v>2.926</v>
      </c>
      <c r="W498" s="5" t="n">
        <v>0</v>
      </c>
      <c r="X498" s="5" t="n">
        <v>0</v>
      </c>
      <c r="Y498" s="5" t="n">
        <v>16.305</v>
      </c>
      <c r="Z498" s="5" t="n">
        <v>2.204</v>
      </c>
      <c r="AA498" s="5" t="n">
        <v>0</v>
      </c>
      <c r="AB498" s="5" t="n">
        <v>16.305</v>
      </c>
      <c r="AC498" s="5" t="n">
        <v>0</v>
      </c>
      <c r="AD498" s="5" t="n">
        <v>1</v>
      </c>
      <c r="AE498" s="5" t="n">
        <v>17.449</v>
      </c>
      <c r="AF498" s="5" t="n">
        <v>4.08</v>
      </c>
      <c r="AG498" s="5" t="n">
        <v>0</v>
      </c>
      <c r="AH498" s="5" t="n">
        <v>17.449</v>
      </c>
      <c r="AI498" s="5" t="n">
        <v>0</v>
      </c>
      <c r="AJ498" s="5" t="n">
        <v>1</v>
      </c>
      <c r="AK498" s="5" t="n">
        <v>24.309</v>
      </c>
      <c r="AL498" s="5" t="n">
        <v>12.947</v>
      </c>
      <c r="AM498" s="5" t="n">
        <v>0</v>
      </c>
      <c r="AN498" s="5" t="n">
        <v>28.684</v>
      </c>
      <c r="AO498" s="5" t="n">
        <v>0.18</v>
      </c>
      <c r="AP498" s="5" t="n">
        <v>1</v>
      </c>
      <c r="AQ498" s="5" t="n">
        <v>0.579</v>
      </c>
      <c r="AR498" s="5" t="n">
        <v>0.106</v>
      </c>
      <c r="AS498" s="5" t="n">
        <v>0.479</v>
      </c>
      <c r="AT498" s="5" t="n">
        <v>1.248</v>
      </c>
      <c r="AU498" s="5" t="n">
        <v>0.18</v>
      </c>
      <c r="AV498" s="5" t="n">
        <v>1</v>
      </c>
      <c r="AW498" s="5" t="n">
        <v>0.551</v>
      </c>
      <c r="AX498" s="5" t="n">
        <v>0.106</v>
      </c>
      <c r="AY498" s="5" t="n">
        <v>0.364</v>
      </c>
      <c r="AZ498" s="5" t="n">
        <v>1.079</v>
      </c>
      <c r="BA498" s="5" t="n">
        <v>0.18</v>
      </c>
      <c r="BB498" s="5" t="n">
        <v>1</v>
      </c>
      <c r="BC498" s="5" t="n">
        <v>0.424</v>
      </c>
      <c r="BD498" s="5" t="n">
        <v>0.109</v>
      </c>
      <c r="BE498" s="5" t="n">
        <v>0.016</v>
      </c>
      <c r="BF498" s="5" t="n">
        <v>0.519</v>
      </c>
      <c r="BG498" s="5" t="n">
        <v>0.18</v>
      </c>
      <c r="BH498" s="5" t="n">
        <v>1</v>
      </c>
      <c r="BI498" s="5" t="n">
        <v>0.473</v>
      </c>
      <c r="BJ498" s="5" t="n">
        <v>0.105</v>
      </c>
      <c r="BK498" s="5" t="n">
        <v>0.884</v>
      </c>
      <c r="BL498" s="5" t="n">
        <v>1.601</v>
      </c>
      <c r="BM498" s="5" t="n">
        <v>0.18</v>
      </c>
      <c r="BN498" s="5" t="n">
        <v>1</v>
      </c>
      <c r="BO498" s="5" t="n">
        <v>0</v>
      </c>
      <c r="BP498" s="5" t="n">
        <v>0</v>
      </c>
      <c r="BQ498" s="5" t="n">
        <v>0.183</v>
      </c>
      <c r="BR498" s="5" t="n">
        <v>0</v>
      </c>
      <c r="BS498" s="5" t="n">
        <v>1</v>
      </c>
      <c r="BT498" s="5" t="n">
        <v>0</v>
      </c>
      <c r="BU498" s="5" t="n">
        <v>0</v>
      </c>
      <c r="BV498" s="5" t="n">
        <v>0.214</v>
      </c>
      <c r="BW498" s="5" t="n">
        <v>0.18</v>
      </c>
      <c r="BX498" s="5" t="n">
        <v>0.833</v>
      </c>
      <c r="BY498" s="5" t="n">
        <v>11.787</v>
      </c>
      <c r="BZ498" s="5" t="n">
        <v>0</v>
      </c>
      <c r="CA498" s="5" t="n">
        <v>11.787</v>
      </c>
      <c r="CB498" s="5" t="n">
        <v>0</v>
      </c>
      <c r="CC498" s="5" t="n">
        <v>72.456</v>
      </c>
      <c r="CD498" s="5" t="n">
        <v>2.281</v>
      </c>
      <c r="CE498" s="5" t="n">
        <v>143.319</v>
      </c>
      <c r="CF498" s="5" t="n">
        <v>254.615</v>
      </c>
      <c r="CG498" s="5" t="n">
        <v>0.18</v>
      </c>
      <c r="CH498" s="5" t="n">
        <v>1</v>
      </c>
      <c r="CI498" s="5" t="n">
        <v>0</v>
      </c>
      <c r="CJ498" s="5" t="n">
        <v>0</v>
      </c>
      <c r="CK498" s="5" t="n">
        <v>0</v>
      </c>
      <c r="CL498" s="5" t="n">
        <v>0</v>
      </c>
      <c r="CM498" s="5" t="n">
        <v>0.109</v>
      </c>
      <c r="CN498" s="5" t="n">
        <v>0</v>
      </c>
      <c r="CO498" s="5" t="n">
        <v>0</v>
      </c>
      <c r="CP498" s="5" t="n">
        <v>0</v>
      </c>
      <c r="CQ498" s="5" t="n">
        <v>1.198</v>
      </c>
      <c r="CR498" s="5" t="n">
        <v>0</v>
      </c>
      <c r="CS498" s="5" t="n">
        <v>4.776</v>
      </c>
      <c r="CT498" s="5" t="n">
        <v>4.753</v>
      </c>
      <c r="CU498" s="5" t="n">
        <v>15.162</v>
      </c>
    </row>
    <row r="499">
      <c r="A499" s="5" t="inlineStr">
        <is>
          <t>MLI2022</t>
        </is>
      </c>
      <c r="B499" s="5" t="inlineStr">
        <is>
          <t>MLI</t>
        </is>
      </c>
      <c r="C499" s="5" t="inlineStr">
        <is>
          <t>MLI</t>
        </is>
      </c>
      <c r="D499" s="5" t="inlineStr">
        <is>
          <t>Mali</t>
        </is>
      </c>
      <c r="E499" s="5" t="n">
        <v>2022</v>
      </c>
      <c r="F499" s="5" t="n">
        <v>0.18</v>
      </c>
      <c r="G499" s="5" t="n">
        <v>11.196</v>
      </c>
      <c r="H499" s="5" t="n">
        <v>1.739</v>
      </c>
      <c r="I499" s="5" t="n">
        <v>0.524</v>
      </c>
      <c r="J499" s="5" t="n">
        <v>11.72</v>
      </c>
      <c r="K499" s="5" t="n">
        <v>0</v>
      </c>
      <c r="L499" s="5" t="n">
        <v>1</v>
      </c>
      <c r="M499" s="5" t="n">
        <v>9.478999999999999</v>
      </c>
      <c r="N499" s="5" t="n">
        <v>3.914</v>
      </c>
      <c r="O499" s="5" t="n">
        <v>0.304</v>
      </c>
      <c r="P499" s="5" t="n">
        <v>9.782999999999999</v>
      </c>
      <c r="Q499" s="5" t="n">
        <v>0</v>
      </c>
      <c r="R499" s="5" t="n">
        <v>1</v>
      </c>
      <c r="S499" s="5" t="n">
        <v>17.893</v>
      </c>
      <c r="T499" s="5" t="n">
        <v>7.408</v>
      </c>
      <c r="U499" s="5" t="n">
        <v>-14.799</v>
      </c>
      <c r="V499" s="5" t="n">
        <v>3.094</v>
      </c>
      <c r="W499" s="5" t="n">
        <v>0</v>
      </c>
      <c r="X499" s="5" t="n">
        <v>0</v>
      </c>
      <c r="Y499" s="5" t="n">
        <v>32.56</v>
      </c>
      <c r="Z499" s="5" t="n">
        <v>4.401</v>
      </c>
      <c r="AA499" s="5" t="n">
        <v>0</v>
      </c>
      <c r="AB499" s="5" t="n">
        <v>32.56</v>
      </c>
      <c r="AC499" s="5" t="n">
        <v>0</v>
      </c>
      <c r="AD499" s="5" t="n">
        <v>1</v>
      </c>
      <c r="AE499" s="5" t="n">
        <v>33.795</v>
      </c>
      <c r="AF499" s="5" t="n">
        <v>7.902</v>
      </c>
      <c r="AG499" s="5" t="n">
        <v>0</v>
      </c>
      <c r="AH499" s="5" t="n">
        <v>33.795</v>
      </c>
      <c r="AI499" s="5" t="n">
        <v>0</v>
      </c>
      <c r="AJ499" s="5" t="n">
        <v>1</v>
      </c>
      <c r="AK499" s="5" t="n">
        <v>41.203</v>
      </c>
      <c r="AL499" s="5" t="n">
        <v>21.945</v>
      </c>
      <c r="AM499" s="5" t="n">
        <v>0</v>
      </c>
      <c r="AN499" s="5" t="n">
        <v>48.62</v>
      </c>
      <c r="AO499" s="5" t="n">
        <v>0.18</v>
      </c>
      <c r="AP499" s="5" t="n">
        <v>1</v>
      </c>
      <c r="AQ499" s="5" t="n">
        <v>0.804</v>
      </c>
      <c r="AR499" s="5" t="n">
        <v>0.115</v>
      </c>
      <c r="AS499" s="5" t="n">
        <v>0.127</v>
      </c>
      <c r="AT499" s="5" t="n">
        <v>1.098</v>
      </c>
      <c r="AU499" s="5" t="n">
        <v>0.18</v>
      </c>
      <c r="AV499" s="5" t="n">
        <v>1</v>
      </c>
      <c r="AW499" s="5" t="n">
        <v>0.9</v>
      </c>
      <c r="AX499" s="5" t="n">
        <v>0.117</v>
      </c>
      <c r="AY499" s="5" t="n">
        <v>-0.091</v>
      </c>
      <c r="AZ499" s="5" t="n">
        <v>0.955</v>
      </c>
      <c r="BA499" s="5" t="n">
        <v>0.18</v>
      </c>
      <c r="BB499" s="5" t="n">
        <v>1</v>
      </c>
      <c r="BC499" s="5" t="n">
        <v>0.5669999999999999</v>
      </c>
      <c r="BD499" s="5" t="n">
        <v>0.117</v>
      </c>
      <c r="BE499" s="5" t="n">
        <v>0.032</v>
      </c>
      <c r="BF499" s="5" t="n">
        <v>0.707</v>
      </c>
      <c r="BG499" s="5" t="n">
        <v>0.18</v>
      </c>
      <c r="BH499" s="5" t="n">
        <v>1</v>
      </c>
      <c r="BI499" s="5" t="n">
        <v>0.573</v>
      </c>
      <c r="BJ499" s="5" t="n">
        <v>0.112</v>
      </c>
      <c r="BK499" s="5" t="n">
        <v>0.649</v>
      </c>
      <c r="BL499" s="5" t="n">
        <v>1.443</v>
      </c>
      <c r="BM499" s="5" t="n">
        <v>0.18</v>
      </c>
      <c r="BN499" s="5" t="n">
        <v>1</v>
      </c>
      <c r="BO499" s="5" t="n">
        <v>0</v>
      </c>
      <c r="BP499" s="5" t="n">
        <v>0</v>
      </c>
      <c r="BQ499" s="5" t="n">
        <v>0.177</v>
      </c>
      <c r="BR499" s="5" t="n">
        <v>0</v>
      </c>
      <c r="BS499" s="5" t="n">
        <v>1</v>
      </c>
      <c r="BT499" s="5" t="n">
        <v>0</v>
      </c>
      <c r="BU499" s="5" t="n">
        <v>0</v>
      </c>
      <c r="BV499" s="5" t="n">
        <v>0.215</v>
      </c>
      <c r="BW499" s="5" t="n">
        <v>0.18</v>
      </c>
      <c r="BX499" s="5" t="n">
        <v>0.833</v>
      </c>
      <c r="BY499" s="5" t="n">
        <v>12.729</v>
      </c>
      <c r="BZ499" s="5" t="n">
        <v>0</v>
      </c>
      <c r="CA499" s="5" t="n">
        <v>12.729</v>
      </c>
      <c r="CB499" s="5" t="n">
        <v>0</v>
      </c>
      <c r="CC499" s="5" t="n">
        <v>90.634</v>
      </c>
      <c r="CD499" s="5" t="n">
        <v>0.6840000000000001</v>
      </c>
      <c r="CE499" s="5" t="n">
        <v>103.785</v>
      </c>
      <c r="CF499" s="5" t="n">
        <v>229.415</v>
      </c>
      <c r="CG499" s="5" t="n">
        <v>0.18</v>
      </c>
      <c r="CH499" s="5" t="n">
        <v>1</v>
      </c>
      <c r="CI499" s="5" t="n">
        <v>0</v>
      </c>
      <c r="CJ499" s="5" t="n">
        <v>0</v>
      </c>
      <c r="CK499" s="5" t="n">
        <v>0</v>
      </c>
      <c r="CL499" s="5" t="n">
        <v>0</v>
      </c>
      <c r="CM499" s="5" t="n">
        <v>0.042</v>
      </c>
      <c r="CN499" s="5" t="n">
        <v>0</v>
      </c>
      <c r="CO499" s="5" t="n">
        <v>0</v>
      </c>
      <c r="CP499" s="5" t="n">
        <v>0</v>
      </c>
      <c r="CQ499" s="5" t="n">
        <v>1.294</v>
      </c>
      <c r="CR499" s="5" t="n">
        <v>0</v>
      </c>
      <c r="CS499" s="5" t="n">
        <v>5.158</v>
      </c>
      <c r="CT499" s="5" t="n">
        <v>10.485</v>
      </c>
      <c r="CU499" s="5" t="n">
        <v>31.326</v>
      </c>
    </row>
    <row r="500">
      <c r="A500" s="5" t="inlineStr">
        <is>
          <t>MLI2023</t>
        </is>
      </c>
      <c r="B500" s="5" t="inlineStr">
        <is>
          <t>MLI</t>
        </is>
      </c>
      <c r="C500" s="5" t="inlineStr">
        <is>
          <t>MLI</t>
        </is>
      </c>
      <c r="D500" s="5" t="inlineStr">
        <is>
          <t>Mali</t>
        </is>
      </c>
      <c r="E500" s="5" t="n">
        <v>2023</v>
      </c>
      <c r="F500" s="5" t="n">
        <v>0.18</v>
      </c>
      <c r="G500" s="5" t="n">
        <v>5.904</v>
      </c>
      <c r="H500" s="5" t="n">
        <v>1.345</v>
      </c>
      <c r="I500" s="5" t="n">
        <v>0.243</v>
      </c>
      <c r="J500" s="5" t="n">
        <v>6.147</v>
      </c>
      <c r="K500" s="5" t="n">
        <v>0</v>
      </c>
      <c r="L500" s="5" t="n">
        <v>1</v>
      </c>
      <c r="M500" s="5" t="n">
        <v>7.685</v>
      </c>
      <c r="N500" s="5" t="n">
        <v>3.811</v>
      </c>
      <c r="O500" s="5" t="n">
        <v>0.201</v>
      </c>
      <c r="P500" s="5" t="n">
        <v>7.886</v>
      </c>
      <c r="Q500" s="5" t="n">
        <v>0</v>
      </c>
      <c r="R500" s="5" t="n">
        <v>1</v>
      </c>
      <c r="S500" s="5" t="n">
        <v>12.575</v>
      </c>
      <c r="T500" s="5" t="n">
        <v>7.714</v>
      </c>
      <c r="U500" s="5" t="n">
        <v>-8.887</v>
      </c>
      <c r="V500" s="5" t="n">
        <v>3.688</v>
      </c>
      <c r="W500" s="5" t="n">
        <v>0</v>
      </c>
      <c r="X500" s="5" t="n">
        <v>0</v>
      </c>
      <c r="Y500" s="5" t="n">
        <v>12.908</v>
      </c>
      <c r="Z500" s="5" t="n">
        <v>1.745</v>
      </c>
      <c r="AA500" s="5" t="n">
        <v>0</v>
      </c>
      <c r="AB500" s="5" t="n">
        <v>12.908</v>
      </c>
      <c r="AC500" s="5" t="n">
        <v>0</v>
      </c>
      <c r="AD500" s="5" t="n">
        <v>1</v>
      </c>
      <c r="AE500" s="5" t="n">
        <v>14.194</v>
      </c>
      <c r="AF500" s="5" t="n">
        <v>3.319</v>
      </c>
      <c r="AG500" s="5" t="n">
        <v>0</v>
      </c>
      <c r="AH500" s="5" t="n">
        <v>14.194</v>
      </c>
      <c r="AI500" s="5" t="n">
        <v>0</v>
      </c>
      <c r="AJ500" s="5" t="n">
        <v>1</v>
      </c>
      <c r="AK500" s="5" t="n">
        <v>21.908</v>
      </c>
      <c r="AL500" s="5" t="n">
        <v>11.668</v>
      </c>
      <c r="AM500" s="5" t="n">
        <v>0</v>
      </c>
      <c r="AN500" s="5" t="n">
        <v>25.851</v>
      </c>
      <c r="AO500" s="5" t="n">
        <v>0.18</v>
      </c>
      <c r="AP500" s="5" t="n">
        <v>1</v>
      </c>
      <c r="AQ500" s="5" t="n">
        <v>0.71</v>
      </c>
      <c r="AR500" s="5" t="n">
        <v>0.12</v>
      </c>
      <c r="AS500" s="5" t="n">
        <v>0.529</v>
      </c>
      <c r="AT500" s="5" t="n">
        <v>1.462</v>
      </c>
      <c r="AU500" s="5" t="n">
        <v>0.18</v>
      </c>
      <c r="AV500" s="5" t="n">
        <v>1</v>
      </c>
      <c r="AW500" s="5" t="n">
        <v>0.743</v>
      </c>
      <c r="AX500" s="5" t="n">
        <v>0.127</v>
      </c>
      <c r="AY500" s="5" t="n">
        <v>0.44</v>
      </c>
      <c r="AZ500" s="5" t="n">
        <v>1.396</v>
      </c>
      <c r="BA500" s="5" t="n">
        <v>0.18</v>
      </c>
      <c r="BB500" s="5" t="n">
        <v>1</v>
      </c>
      <c r="BC500" s="5" t="n">
        <v>0.505</v>
      </c>
      <c r="BD500" s="5" t="n">
        <v>0.121</v>
      </c>
      <c r="BE500" s="5" t="n">
        <v>0.031</v>
      </c>
      <c r="BF500" s="5" t="n">
        <v>0.633</v>
      </c>
      <c r="BG500" s="5" t="n">
        <v>0.18</v>
      </c>
      <c r="BH500" s="5" t="n">
        <v>1</v>
      </c>
      <c r="BI500" s="5" t="n">
        <v>0.543</v>
      </c>
      <c r="BJ500" s="5" t="n">
        <v>0.118</v>
      </c>
      <c r="BK500" s="5" t="n">
        <v>0.544</v>
      </c>
      <c r="BL500" s="5" t="n">
        <v>1.283</v>
      </c>
      <c r="BM500" s="5" t="n">
        <v>0.18</v>
      </c>
      <c r="BN500" s="5" t="n">
        <v>1</v>
      </c>
      <c r="BO500" s="5" t="n">
        <v>0</v>
      </c>
      <c r="BP500" s="5" t="n">
        <v>0</v>
      </c>
      <c r="BQ500" s="5" t="n">
        <v>0.185</v>
      </c>
      <c r="BR500" s="5" t="n">
        <v>0</v>
      </c>
      <c r="BS500" s="5" t="n">
        <v>1</v>
      </c>
      <c r="BT500" s="5" t="n">
        <v>0</v>
      </c>
      <c r="BU500" s="5" t="n">
        <v>0</v>
      </c>
      <c r="BV500" s="5" t="n">
        <v>0.226</v>
      </c>
      <c r="BW500" s="5" t="n">
        <v>0.18</v>
      </c>
      <c r="BX500" s="5" t="n">
        <v>0.833</v>
      </c>
      <c r="BY500" s="5" t="n">
        <v>13.254</v>
      </c>
      <c r="BZ500" s="5" t="n">
        <v>0</v>
      </c>
      <c r="CA500" s="5" t="n">
        <v>13.254</v>
      </c>
      <c r="CB500" s="5" t="n">
        <v>0</v>
      </c>
      <c r="CC500" s="5" t="n">
        <v>77.166</v>
      </c>
      <c r="CD500" s="5" t="n">
        <v>1.868</v>
      </c>
      <c r="CE500" s="5" t="n">
        <v>95.66200000000001</v>
      </c>
      <c r="CF500" s="5" t="n">
        <v>203.937</v>
      </c>
      <c r="CG500" s="5" t="n">
        <v>0.18</v>
      </c>
      <c r="CH500" s="5" t="n">
        <v>1</v>
      </c>
      <c r="CI500" s="5" t="n">
        <v>0</v>
      </c>
      <c r="CJ500" s="5" t="n">
        <v>0</v>
      </c>
      <c r="CK500" s="5" t="n">
        <v>0</v>
      </c>
      <c r="CL500" s="5" t="n">
        <v>0</v>
      </c>
      <c r="CM500" s="5" t="n">
        <v>0.076</v>
      </c>
      <c r="CN500" s="5" t="n">
        <v>0</v>
      </c>
      <c r="CO500" s="5" t="n">
        <v>0</v>
      </c>
      <c r="CP500" s="5" t="n">
        <v>0</v>
      </c>
      <c r="CQ500" s="5" t="n">
        <v>1.348</v>
      </c>
      <c r="CR500" s="5" t="n">
        <v>0</v>
      </c>
      <c r="CS500" s="5" t="n">
        <v>5.37</v>
      </c>
      <c r="CT500" s="5" t="n">
        <v>4.861</v>
      </c>
      <c r="CU500" s="5" t="n">
        <v>11.622</v>
      </c>
    </row>
    <row r="501">
      <c r="A501" s="5" t="inlineStr">
        <is>
          <t>MLI2024</t>
        </is>
      </c>
      <c r="B501" s="5" t="inlineStr">
        <is>
          <t>MLI</t>
        </is>
      </c>
      <c r="C501" s="5" t="inlineStr">
        <is>
          <t>MLI</t>
        </is>
      </c>
      <c r="D501" s="5" t="inlineStr">
        <is>
          <t>Mali</t>
        </is>
      </c>
      <c r="E501" s="5" t="n">
        <v>2024</v>
      </c>
      <c r="F501" s="5" t="n">
        <v>0.18</v>
      </c>
      <c r="G501" s="5" t="n">
        <v>5.362</v>
      </c>
      <c r="H501" s="5" t="n">
        <v>1.358</v>
      </c>
      <c r="I501" s="5" t="n">
        <v>0.213</v>
      </c>
      <c r="J501" s="5" t="n">
        <v>5.575</v>
      </c>
      <c r="K501" s="5" t="n">
        <v>0</v>
      </c>
      <c r="L501" s="5" t="n">
        <v>1</v>
      </c>
      <c r="M501" s="5" t="n">
        <v>6.987</v>
      </c>
      <c r="N501" s="5" t="n">
        <v>3.806</v>
      </c>
      <c r="O501" s="5" t="n">
        <v>0.158</v>
      </c>
      <c r="P501" s="5" t="n">
        <v>7.145</v>
      </c>
      <c r="Q501" s="5" t="n">
        <v>0</v>
      </c>
      <c r="R501" s="5" t="n">
        <v>1</v>
      </c>
      <c r="S501" s="5" t="n">
        <v>12.193</v>
      </c>
      <c r="T501" s="5" t="n">
        <v>7.942</v>
      </c>
      <c r="U501" s="5" t="n">
        <v>-9.286</v>
      </c>
      <c r="V501" s="5" t="n">
        <v>2.907</v>
      </c>
      <c r="W501" s="5" t="n">
        <v>0</v>
      </c>
      <c r="X501" s="5" t="n">
        <v>0</v>
      </c>
      <c r="Y501" s="5" t="n">
        <v>11.492</v>
      </c>
      <c r="Z501" s="5" t="n">
        <v>1.553</v>
      </c>
      <c r="AA501" s="5" t="n">
        <v>0</v>
      </c>
      <c r="AB501" s="5" t="n">
        <v>11.492</v>
      </c>
      <c r="AC501" s="5" t="n">
        <v>0</v>
      </c>
      <c r="AD501" s="5" t="n">
        <v>1</v>
      </c>
      <c r="AE501" s="5" t="n">
        <v>12.815</v>
      </c>
      <c r="AF501" s="5" t="n">
        <v>2.997</v>
      </c>
      <c r="AG501" s="5" t="n">
        <v>0.001</v>
      </c>
      <c r="AH501" s="5" t="n">
        <v>12.816</v>
      </c>
      <c r="AI501" s="5" t="n">
        <v>0</v>
      </c>
      <c r="AJ501" s="5" t="n">
        <v>1</v>
      </c>
      <c r="AK501" s="5" t="n">
        <v>20.757</v>
      </c>
      <c r="AL501" s="5" t="n">
        <v>11.055</v>
      </c>
      <c r="AM501" s="5" t="n">
        <v>0.004</v>
      </c>
      <c r="AN501" s="5" t="n">
        <v>24.498</v>
      </c>
      <c r="AO501" s="5" t="n">
        <v>0.18</v>
      </c>
      <c r="AP501" s="5" t="n">
        <v>1</v>
      </c>
      <c r="AQ501" s="5" t="n">
        <v>0.678</v>
      </c>
      <c r="AR501" s="5" t="n">
        <v>0.123</v>
      </c>
      <c r="AS501" s="5" t="n">
        <v>0.522</v>
      </c>
      <c r="AT501" s="5" t="n">
        <v>1.415</v>
      </c>
      <c r="AU501" s="5" t="n">
        <v>0.18</v>
      </c>
      <c r="AV501" s="5" t="n">
        <v>1</v>
      </c>
      <c r="AW501" s="5" t="n">
        <v>0.6879999999999999</v>
      </c>
      <c r="AX501" s="5" t="n">
        <v>0.126</v>
      </c>
      <c r="AY501" s="5" t="n">
        <v>0.466</v>
      </c>
      <c r="AZ501" s="5" t="n">
        <v>1.362</v>
      </c>
      <c r="BA501" s="5" t="n">
        <v>0.18</v>
      </c>
      <c r="BB501" s="5" t="n">
        <v>1</v>
      </c>
      <c r="BC501" s="5" t="n">
        <v>0.482</v>
      </c>
      <c r="BD501" s="5" t="n">
        <v>0.124</v>
      </c>
      <c r="BE501" s="5" t="n">
        <v>0.032</v>
      </c>
      <c r="BF501" s="5" t="n">
        <v>0.607</v>
      </c>
      <c r="BG501" s="5" t="n">
        <v>0.18</v>
      </c>
      <c r="BH501" s="5" t="n">
        <v>1</v>
      </c>
      <c r="BI501" s="5" t="n">
        <v>0.526</v>
      </c>
      <c r="BJ501" s="5" t="n">
        <v>0.116</v>
      </c>
      <c r="BK501" s="5" t="n">
        <v>0.593</v>
      </c>
      <c r="BL501" s="5" t="n">
        <v>1.321</v>
      </c>
      <c r="BM501" s="5" t="n">
        <v>0.18</v>
      </c>
      <c r="BN501" s="5" t="n">
        <v>1</v>
      </c>
      <c r="BO501" s="5" t="n">
        <v>0</v>
      </c>
      <c r="BP501" s="5" t="n">
        <v>0</v>
      </c>
      <c r="BQ501" s="5" t="n">
        <v>0.171</v>
      </c>
      <c r="BR501" s="5" t="n">
        <v>0</v>
      </c>
      <c r="BS501" s="5" t="n">
        <v>1</v>
      </c>
      <c r="BT501" s="5" t="n">
        <v>0</v>
      </c>
      <c r="BU501" s="5" t="n">
        <v>0</v>
      </c>
      <c r="BV501" s="5" t="n">
        <v>0.236</v>
      </c>
      <c r="BW501" s="5" t="n">
        <v>0.18</v>
      </c>
      <c r="BX501" s="5" t="n">
        <v>0.833</v>
      </c>
      <c r="BY501" s="5" t="n">
        <v>13.646</v>
      </c>
      <c r="BZ501" s="5" t="n">
        <v>0</v>
      </c>
      <c r="CA501" s="5" t="n">
        <v>13.646</v>
      </c>
      <c r="CB501" s="5" t="n">
        <v>0</v>
      </c>
      <c r="CC501" s="5" t="n">
        <v>76.56</v>
      </c>
      <c r="CD501" s="5" t="n">
        <v>1.922</v>
      </c>
      <c r="CE501" s="5" t="n">
        <v>78.998</v>
      </c>
      <c r="CF501" s="5" t="n">
        <v>183.559</v>
      </c>
      <c r="CG501" s="5" t="n">
        <v>0.18</v>
      </c>
      <c r="CH501" s="5" t="n">
        <v>1</v>
      </c>
      <c r="CI501" s="5" t="n">
        <v>0</v>
      </c>
      <c r="CJ501" s="5" t="n">
        <v>0</v>
      </c>
      <c r="CK501" s="5" t="n">
        <v>0</v>
      </c>
      <c r="CL501" s="5" t="n">
        <v>0</v>
      </c>
      <c r="CM501" s="5" t="n">
        <v>0.095</v>
      </c>
      <c r="CN501" s="5" t="n">
        <v>0</v>
      </c>
      <c r="CO501" s="5" t="n">
        <v>0</v>
      </c>
      <c r="CP501" s="5" t="n">
        <v>0</v>
      </c>
      <c r="CQ501" s="5" t="n">
        <v>1.387</v>
      </c>
      <c r="CR501" s="5" t="n">
        <v>0</v>
      </c>
      <c r="CS501" s="5" t="n">
        <v>5.529</v>
      </c>
      <c r="CT501" s="5" t="n">
        <v>4.251</v>
      </c>
      <c r="CU501" s="5" t="n">
        <v>10.168</v>
      </c>
    </row>
    <row r="502">
      <c r="A502" s="5" t="inlineStr">
        <is>
          <t>MLT2021</t>
        </is>
      </c>
      <c r="B502" s="5" t="inlineStr">
        <is>
          <t>MLT</t>
        </is>
      </c>
      <c r="C502" s="5" t="inlineStr">
        <is>
          <t>MLT</t>
        </is>
      </c>
      <c r="D502" s="5" t="inlineStr">
        <is>
          <t>Malta</t>
        </is>
      </c>
      <c r="E502" s="5" t="n">
        <v>2021</v>
      </c>
      <c r="F502" s="5" t="n">
        <v>0.18</v>
      </c>
      <c r="G502" s="5" t="n">
        <v>5.897</v>
      </c>
      <c r="H502" s="5" t="n">
        <v>1.143</v>
      </c>
      <c r="I502" s="5" t="n">
        <v>2.365</v>
      </c>
      <c r="J502" s="5" t="n">
        <v>8.262</v>
      </c>
      <c r="K502" s="5" t="n">
        <v>0</v>
      </c>
      <c r="L502" s="5" t="n">
        <v>1</v>
      </c>
      <c r="M502" s="5" t="n">
        <v>7.964</v>
      </c>
      <c r="N502" s="5" t="n">
        <v>3.43</v>
      </c>
      <c r="O502" s="5" t="n">
        <v>2.41</v>
      </c>
      <c r="P502" s="5" t="n">
        <v>10.375</v>
      </c>
      <c r="Q502" s="5" t="n">
        <v>0</v>
      </c>
      <c r="R502" s="5" t="n">
        <v>1</v>
      </c>
      <c r="S502" s="5" t="n">
        <v>11.613</v>
      </c>
      <c r="T502" s="5" t="n">
        <v>6.86</v>
      </c>
      <c r="U502" s="5" t="n">
        <v>0</v>
      </c>
      <c r="V502" s="5" t="n">
        <v>13.704</v>
      </c>
      <c r="W502" s="5" t="n">
        <v>0.18</v>
      </c>
      <c r="X502" s="5" t="n">
        <v>1</v>
      </c>
      <c r="Y502" s="5" t="n">
        <v>15.305</v>
      </c>
      <c r="Z502" s="5" t="n">
        <v>1.143</v>
      </c>
      <c r="AA502" s="5" t="n">
        <v>1.399</v>
      </c>
      <c r="AB502" s="5" t="n">
        <v>16.705</v>
      </c>
      <c r="AC502" s="5" t="n">
        <v>0</v>
      </c>
      <c r="AD502" s="5" t="n">
        <v>1</v>
      </c>
      <c r="AE502" s="5" t="n">
        <v>16.449</v>
      </c>
      <c r="AF502" s="5" t="n">
        <v>2.287</v>
      </c>
      <c r="AG502" s="5" t="n">
        <v>1.399</v>
      </c>
      <c r="AH502" s="5" t="n">
        <v>17.848</v>
      </c>
      <c r="AI502" s="5" t="n">
        <v>0</v>
      </c>
      <c r="AJ502" s="5" t="n">
        <v>1</v>
      </c>
      <c r="AK502" s="5" t="n">
        <v>23.309</v>
      </c>
      <c r="AL502" s="5" t="n">
        <v>9.147</v>
      </c>
      <c r="AM502" s="5" t="n">
        <v>0</v>
      </c>
      <c r="AN502" s="5" t="n">
        <v>27.504</v>
      </c>
      <c r="AO502" s="5" t="n">
        <v>0.18</v>
      </c>
      <c r="AP502" s="5" t="n">
        <v>1</v>
      </c>
      <c r="AQ502" s="5" t="n">
        <v>0.621</v>
      </c>
      <c r="AR502" s="5" t="n">
        <v>0.114</v>
      </c>
      <c r="AS502" s="5" t="n">
        <v>0.723</v>
      </c>
      <c r="AT502" s="5" t="n">
        <v>1.585</v>
      </c>
      <c r="AU502" s="5" t="n">
        <v>0.18</v>
      </c>
      <c r="AV502" s="5" t="n">
        <v>1</v>
      </c>
      <c r="AW502" s="5" t="n">
        <v>0.593</v>
      </c>
      <c r="AX502" s="5" t="n">
        <v>0.114</v>
      </c>
      <c r="AY502" s="5" t="n">
        <v>0.62</v>
      </c>
      <c r="AZ502" s="5" t="n">
        <v>1.431</v>
      </c>
      <c r="BA502" s="5" t="n">
        <v>0.18</v>
      </c>
      <c r="BB502" s="5" t="n">
        <v>1</v>
      </c>
      <c r="BC502" s="5" t="n">
        <v>0.44</v>
      </c>
      <c r="BD502" s="5" t="n">
        <v>0.114</v>
      </c>
      <c r="BE502" s="5" t="n">
        <v>0.026</v>
      </c>
      <c r="BF502" s="5" t="n">
        <v>0.55</v>
      </c>
      <c r="BG502" s="5" t="n">
        <v>0.18</v>
      </c>
      <c r="BH502" s="5" t="n">
        <v>1</v>
      </c>
      <c r="BI502" s="5" t="n">
        <v>0.5600000000000001</v>
      </c>
      <c r="BJ502" s="5" t="n">
        <v>0.114</v>
      </c>
      <c r="BK502" s="5" t="n">
        <v>0.442</v>
      </c>
      <c r="BL502" s="5" t="n">
        <v>1.183</v>
      </c>
      <c r="BM502" s="5" t="n">
        <v>0.18</v>
      </c>
      <c r="BN502" s="5" t="n">
        <v>1</v>
      </c>
      <c r="BO502" s="5" t="n">
        <v>0</v>
      </c>
      <c r="BP502" s="5" t="n">
        <v>0.002</v>
      </c>
      <c r="BQ502" s="5" t="n">
        <v>0.128</v>
      </c>
      <c r="BR502" s="5" t="n">
        <v>0</v>
      </c>
      <c r="BS502" s="5" t="n">
        <v>1</v>
      </c>
      <c r="BT502" s="5" t="n">
        <v>0</v>
      </c>
      <c r="BU502" s="5" t="n">
        <v>0.002</v>
      </c>
      <c r="BV502" s="5" t="n">
        <v>0.154</v>
      </c>
      <c r="BW502" s="5" t="n">
        <v>0.18</v>
      </c>
      <c r="BX502" s="5" t="n">
        <v>0.667</v>
      </c>
      <c r="BY502" s="5" t="n">
        <v>11.787</v>
      </c>
      <c r="BZ502" s="5" t="n">
        <v>0</v>
      </c>
      <c r="CA502" s="5" t="n">
        <v>11.787</v>
      </c>
      <c r="CB502" s="5" t="n">
        <v>0</v>
      </c>
      <c r="CC502" s="5" t="n">
        <v>81.69499999999999</v>
      </c>
      <c r="CD502" s="5" t="n">
        <v>7.95</v>
      </c>
      <c r="CE502" s="5" t="n">
        <v>87.651</v>
      </c>
      <c r="CF502" s="5" t="n">
        <v>199.829</v>
      </c>
      <c r="CG502" s="5" t="n">
        <v>0.18</v>
      </c>
      <c r="CH502" s="5" t="n">
        <v>1</v>
      </c>
      <c r="CI502" s="5" t="n">
        <v>0</v>
      </c>
      <c r="CJ502" s="5" t="n">
        <v>0</v>
      </c>
      <c r="CK502" s="5" t="n">
        <v>0</v>
      </c>
      <c r="CL502" s="5" t="n">
        <v>0</v>
      </c>
      <c r="CM502" s="5" t="n">
        <v>0</v>
      </c>
      <c r="CN502" s="5" t="n">
        <v>0</v>
      </c>
      <c r="CO502" s="5" t="n">
        <v>0</v>
      </c>
      <c r="CP502" s="5" t="n">
        <v>0</v>
      </c>
      <c r="CQ502" s="5" t="n">
        <v>1.198</v>
      </c>
      <c r="CR502" s="5" t="n">
        <v>0</v>
      </c>
      <c r="CS502" s="5" t="n">
        <v>4.776</v>
      </c>
      <c r="CT502" s="5" t="n">
        <v>4.753</v>
      </c>
      <c r="CU502" s="5" t="n">
        <v>14.162</v>
      </c>
    </row>
    <row r="503">
      <c r="A503" s="5" t="inlineStr">
        <is>
          <t>MLT2022</t>
        </is>
      </c>
      <c r="B503" s="5" t="inlineStr">
        <is>
          <t>MLT</t>
        </is>
      </c>
      <c r="C503" s="5" t="inlineStr">
        <is>
          <t>MLT</t>
        </is>
      </c>
      <c r="D503" s="5" t="inlineStr">
        <is>
          <t>Malta</t>
        </is>
      </c>
      <c r="E503" s="5" t="n">
        <v>2022</v>
      </c>
      <c r="F503" s="5" t="n">
        <v>0.18</v>
      </c>
      <c r="G503" s="5" t="n">
        <v>11.72</v>
      </c>
      <c r="H503" s="5" t="n">
        <v>1.235</v>
      </c>
      <c r="I503" s="5" t="n">
        <v>8.16</v>
      </c>
      <c r="J503" s="5" t="n">
        <v>19.88</v>
      </c>
      <c r="K503" s="5" t="n">
        <v>0</v>
      </c>
      <c r="L503" s="5" t="n">
        <v>1</v>
      </c>
      <c r="M503" s="5" t="n">
        <v>9.782999999999999</v>
      </c>
      <c r="N503" s="5" t="n">
        <v>3.704</v>
      </c>
      <c r="O503" s="5" t="n">
        <v>8.315</v>
      </c>
      <c r="P503" s="5" t="n">
        <v>18.098</v>
      </c>
      <c r="Q503" s="5" t="n">
        <v>0</v>
      </c>
      <c r="R503" s="5" t="n">
        <v>1</v>
      </c>
      <c r="S503" s="5" t="n">
        <v>17.893</v>
      </c>
      <c r="T503" s="5" t="n">
        <v>7.408</v>
      </c>
      <c r="U503" s="5" t="n">
        <v>0.238</v>
      </c>
      <c r="V503" s="5" t="n">
        <v>21.114</v>
      </c>
      <c r="W503" s="5" t="n">
        <v>0.18</v>
      </c>
      <c r="X503" s="5" t="n">
        <v>1</v>
      </c>
      <c r="Y503" s="5" t="n">
        <v>31.56</v>
      </c>
      <c r="Z503" s="5" t="n">
        <v>1.235</v>
      </c>
      <c r="AA503" s="5" t="n">
        <v>4.828</v>
      </c>
      <c r="AB503" s="5" t="n">
        <v>36.388</v>
      </c>
      <c r="AC503" s="5" t="n">
        <v>0</v>
      </c>
      <c r="AD503" s="5" t="n">
        <v>1</v>
      </c>
      <c r="AE503" s="5" t="n">
        <v>32.795</v>
      </c>
      <c r="AF503" s="5" t="n">
        <v>2.469</v>
      </c>
      <c r="AG503" s="5" t="n">
        <v>4.828</v>
      </c>
      <c r="AH503" s="5" t="n">
        <v>37.623</v>
      </c>
      <c r="AI503" s="5" t="n">
        <v>0</v>
      </c>
      <c r="AJ503" s="5" t="n">
        <v>1</v>
      </c>
      <c r="AK503" s="5" t="n">
        <v>40.203</v>
      </c>
      <c r="AL503" s="5" t="n">
        <v>9.878</v>
      </c>
      <c r="AM503" s="5" t="n">
        <v>0.536</v>
      </c>
      <c r="AN503" s="5" t="n">
        <v>47.44</v>
      </c>
      <c r="AO503" s="5" t="n">
        <v>0.18</v>
      </c>
      <c r="AP503" s="5" t="n">
        <v>1</v>
      </c>
      <c r="AQ503" s="5" t="n">
        <v>0.847</v>
      </c>
      <c r="AR503" s="5" t="n">
        <v>0.123</v>
      </c>
      <c r="AS503" s="5" t="n">
        <v>0.349</v>
      </c>
      <c r="AT503" s="5" t="n">
        <v>1.411</v>
      </c>
      <c r="AU503" s="5" t="n">
        <v>0.18</v>
      </c>
      <c r="AV503" s="5" t="n">
        <v>1</v>
      </c>
      <c r="AW503" s="5" t="n">
        <v>0.947</v>
      </c>
      <c r="AX503" s="5" t="n">
        <v>0.123</v>
      </c>
      <c r="AY503" s="5" t="n">
        <v>0.133</v>
      </c>
      <c r="AZ503" s="5" t="n">
        <v>1.274</v>
      </c>
      <c r="BA503" s="5" t="n">
        <v>0.18</v>
      </c>
      <c r="BB503" s="5" t="n">
        <v>1</v>
      </c>
      <c r="BC503" s="5" t="n">
        <v>0.589</v>
      </c>
      <c r="BD503" s="5" t="n">
        <v>0.123</v>
      </c>
      <c r="BE503" s="5" t="n">
        <v>0.038</v>
      </c>
      <c r="BF503" s="5" t="n">
        <v>0.73</v>
      </c>
      <c r="BG503" s="5" t="n">
        <v>0.18</v>
      </c>
      <c r="BH503" s="5" t="n">
        <v>1</v>
      </c>
      <c r="BI503" s="5" t="n">
        <v>0.6889999999999999</v>
      </c>
      <c r="BJ503" s="5" t="n">
        <v>0.123</v>
      </c>
      <c r="BK503" s="5" t="n">
        <v>0.204</v>
      </c>
      <c r="BL503" s="5" t="n">
        <v>1.053</v>
      </c>
      <c r="BM503" s="5" t="n">
        <v>0.18</v>
      </c>
      <c r="BN503" s="5" t="n">
        <v>1</v>
      </c>
      <c r="BO503" s="5" t="n">
        <v>0</v>
      </c>
      <c r="BP503" s="5" t="n">
        <v>0.002</v>
      </c>
      <c r="BQ503" s="5" t="n">
        <v>0.1</v>
      </c>
      <c r="BR503" s="5" t="n">
        <v>0</v>
      </c>
      <c r="BS503" s="5" t="n">
        <v>1</v>
      </c>
      <c r="BT503" s="5" t="n">
        <v>0</v>
      </c>
      <c r="BU503" s="5" t="n">
        <v>0.002</v>
      </c>
      <c r="BV503" s="5" t="n">
        <v>0.136</v>
      </c>
      <c r="BW503" s="5" t="n">
        <v>0.18</v>
      </c>
      <c r="BX503" s="5" t="n">
        <v>0.667</v>
      </c>
      <c r="BY503" s="5" t="n">
        <v>12.729</v>
      </c>
      <c r="BZ503" s="5" t="n">
        <v>0</v>
      </c>
      <c r="CA503" s="5" t="n">
        <v>12.729</v>
      </c>
      <c r="CB503" s="5" t="n">
        <v>0</v>
      </c>
      <c r="CC503" s="5" t="n">
        <v>102.477</v>
      </c>
      <c r="CD503" s="5" t="n">
        <v>7.95</v>
      </c>
      <c r="CE503" s="5" t="n">
        <v>73.83799999999999</v>
      </c>
      <c r="CF503" s="5" t="n">
        <v>208.051</v>
      </c>
      <c r="CG503" s="5" t="n">
        <v>0.18</v>
      </c>
      <c r="CH503" s="5" t="n">
        <v>1</v>
      </c>
      <c r="CI503" s="5" t="n">
        <v>0</v>
      </c>
      <c r="CJ503" s="5" t="n">
        <v>0</v>
      </c>
      <c r="CK503" s="5" t="n">
        <v>0</v>
      </c>
      <c r="CL503" s="5" t="n">
        <v>0</v>
      </c>
      <c r="CM503" s="5" t="n">
        <v>0</v>
      </c>
      <c r="CN503" s="5" t="n">
        <v>0</v>
      </c>
      <c r="CO503" s="5" t="n">
        <v>0</v>
      </c>
      <c r="CP503" s="5" t="n">
        <v>0</v>
      </c>
      <c r="CQ503" s="5" t="n">
        <v>1.294</v>
      </c>
      <c r="CR503" s="5" t="n">
        <v>0</v>
      </c>
      <c r="CS503" s="5" t="n">
        <v>5.158</v>
      </c>
      <c r="CT503" s="5" t="n">
        <v>10.485</v>
      </c>
      <c r="CU503" s="5" t="n">
        <v>30.326</v>
      </c>
    </row>
    <row r="504">
      <c r="A504" s="5" t="inlineStr">
        <is>
          <t>MLT2023</t>
        </is>
      </c>
      <c r="B504" s="5" t="inlineStr">
        <is>
          <t>MLT</t>
        </is>
      </c>
      <c r="C504" s="5" t="inlineStr">
        <is>
          <t>MLT</t>
        </is>
      </c>
      <c r="D504" s="5" t="inlineStr">
        <is>
          <t>Malta</t>
        </is>
      </c>
      <c r="E504" s="5" t="n">
        <v>2023</v>
      </c>
      <c r="F504" s="5" t="n">
        <v>0.18</v>
      </c>
      <c r="G504" s="5" t="n">
        <v>6.147</v>
      </c>
      <c r="H504" s="5" t="n">
        <v>1.286</v>
      </c>
      <c r="I504" s="5" t="n">
        <v>9.457000000000001</v>
      </c>
      <c r="J504" s="5" t="n">
        <v>15.604</v>
      </c>
      <c r="K504" s="5" t="n">
        <v>0</v>
      </c>
      <c r="L504" s="5" t="n">
        <v>1</v>
      </c>
      <c r="M504" s="5" t="n">
        <v>7.886</v>
      </c>
      <c r="N504" s="5" t="n">
        <v>3.857</v>
      </c>
      <c r="O504" s="5" t="n">
        <v>9.635999999999999</v>
      </c>
      <c r="P504" s="5" t="n">
        <v>17.522</v>
      </c>
      <c r="Q504" s="5" t="n">
        <v>0</v>
      </c>
      <c r="R504" s="5" t="n">
        <v>1</v>
      </c>
      <c r="S504" s="5" t="n">
        <v>12.575</v>
      </c>
      <c r="T504" s="5" t="n">
        <v>7.714</v>
      </c>
      <c r="U504" s="5" t="n">
        <v>0.251</v>
      </c>
      <c r="V504" s="5" t="n">
        <v>14.839</v>
      </c>
      <c r="W504" s="5" t="n">
        <v>0.18</v>
      </c>
      <c r="X504" s="5" t="n">
        <v>1</v>
      </c>
      <c r="Y504" s="5" t="n">
        <v>11.908</v>
      </c>
      <c r="Z504" s="5" t="n">
        <v>1.246</v>
      </c>
      <c r="AA504" s="5" t="n">
        <v>5.595</v>
      </c>
      <c r="AB504" s="5" t="n">
        <v>17.503</v>
      </c>
      <c r="AC504" s="5" t="n">
        <v>0</v>
      </c>
      <c r="AD504" s="5" t="n">
        <v>1</v>
      </c>
      <c r="AE504" s="5" t="n">
        <v>13.194</v>
      </c>
      <c r="AF504" s="5" t="n">
        <v>2.493</v>
      </c>
      <c r="AG504" s="5" t="n">
        <v>5.595</v>
      </c>
      <c r="AH504" s="5" t="n">
        <v>18.788</v>
      </c>
      <c r="AI504" s="5" t="n">
        <v>0</v>
      </c>
      <c r="AJ504" s="5" t="n">
        <v>1</v>
      </c>
      <c r="AK504" s="5" t="n">
        <v>20.908</v>
      </c>
      <c r="AL504" s="5" t="n">
        <v>9.972</v>
      </c>
      <c r="AM504" s="5" t="n">
        <v>0.417</v>
      </c>
      <c r="AN504" s="5" t="n">
        <v>24.671</v>
      </c>
      <c r="AO504" s="5" t="n">
        <v>0.18</v>
      </c>
      <c r="AP504" s="5" t="n">
        <v>1</v>
      </c>
      <c r="AQ504" s="5" t="n">
        <v>0.749</v>
      </c>
      <c r="AR504" s="5" t="n">
        <v>0.129</v>
      </c>
      <c r="AS504" s="5" t="n">
        <v>0.479</v>
      </c>
      <c r="AT504" s="5" t="n">
        <v>1.449</v>
      </c>
      <c r="AU504" s="5" t="n">
        <v>0.18</v>
      </c>
      <c r="AV504" s="5" t="n">
        <v>1</v>
      </c>
      <c r="AW504" s="5" t="n">
        <v>0.783</v>
      </c>
      <c r="AX504" s="5" t="n">
        <v>0.129</v>
      </c>
      <c r="AY504" s="5" t="n">
        <v>0.326</v>
      </c>
      <c r="AZ504" s="5" t="n">
        <v>1.308</v>
      </c>
      <c r="BA504" s="5" t="n">
        <v>0.18</v>
      </c>
      <c r="BB504" s="5" t="n">
        <v>1</v>
      </c>
      <c r="BC504" s="5" t="n">
        <v>0.527</v>
      </c>
      <c r="BD504" s="5" t="n">
        <v>0.129</v>
      </c>
      <c r="BE504" s="5" t="n">
        <v>0.041</v>
      </c>
      <c r="BF504" s="5" t="n">
        <v>0.658</v>
      </c>
      <c r="BG504" s="5" t="n">
        <v>0.18</v>
      </c>
      <c r="BH504" s="5" t="n">
        <v>1</v>
      </c>
      <c r="BI504" s="5" t="n">
        <v>0.64</v>
      </c>
      <c r="BJ504" s="5" t="n">
        <v>0.129</v>
      </c>
      <c r="BK504" s="5" t="n">
        <v>0.277</v>
      </c>
      <c r="BL504" s="5" t="n">
        <v>1.081</v>
      </c>
      <c r="BM504" s="5" t="n">
        <v>0.18</v>
      </c>
      <c r="BN504" s="5" t="n">
        <v>1</v>
      </c>
      <c r="BO504" s="5" t="n">
        <v>0</v>
      </c>
      <c r="BP504" s="5" t="n">
        <v>0.002</v>
      </c>
      <c r="BQ504" s="5" t="n">
        <v>0.116</v>
      </c>
      <c r="BR504" s="5" t="n">
        <v>0</v>
      </c>
      <c r="BS504" s="5" t="n">
        <v>1</v>
      </c>
      <c r="BT504" s="5" t="n">
        <v>0</v>
      </c>
      <c r="BU504" s="5" t="n">
        <v>0.002</v>
      </c>
      <c r="BV504" s="5" t="n">
        <v>0.137</v>
      </c>
      <c r="BW504" s="5" t="n">
        <v>0.18</v>
      </c>
      <c r="BX504" s="5" t="n">
        <v>0.667</v>
      </c>
      <c r="BY504" s="5" t="n">
        <v>13.254</v>
      </c>
      <c r="BZ504" s="5" t="n">
        <v>0</v>
      </c>
      <c r="CA504" s="5" t="n">
        <v>13.254</v>
      </c>
      <c r="CB504" s="5" t="n">
        <v>0</v>
      </c>
      <c r="CC504" s="5" t="n">
        <v>87.07899999999999</v>
      </c>
      <c r="CD504" s="5" t="n">
        <v>7.95</v>
      </c>
      <c r="CE504" s="5" t="n">
        <v>98.506</v>
      </c>
      <c r="CF504" s="5" t="n">
        <v>218.991</v>
      </c>
      <c r="CG504" s="5" t="n">
        <v>0.18</v>
      </c>
      <c r="CH504" s="5" t="n">
        <v>1</v>
      </c>
      <c r="CI504" s="5" t="n">
        <v>0</v>
      </c>
      <c r="CJ504" s="5" t="n">
        <v>0</v>
      </c>
      <c r="CK504" s="5" t="n">
        <v>0</v>
      </c>
      <c r="CL504" s="5" t="n">
        <v>0</v>
      </c>
      <c r="CM504" s="5" t="n">
        <v>0</v>
      </c>
      <c r="CN504" s="5" t="n">
        <v>0</v>
      </c>
      <c r="CO504" s="5" t="n">
        <v>0</v>
      </c>
      <c r="CP504" s="5" t="n">
        <v>0</v>
      </c>
      <c r="CQ504" s="5" t="n">
        <v>1.348</v>
      </c>
      <c r="CR504" s="5" t="n">
        <v>0</v>
      </c>
      <c r="CS504" s="5" t="n">
        <v>5.37</v>
      </c>
      <c r="CT504" s="5" t="n">
        <v>4.861</v>
      </c>
      <c r="CU504" s="5" t="n">
        <v>10.622</v>
      </c>
    </row>
    <row r="505">
      <c r="A505" s="5" t="inlineStr">
        <is>
          <t>MLT2024</t>
        </is>
      </c>
      <c r="B505" s="5" t="inlineStr">
        <is>
          <t>MLT</t>
        </is>
      </c>
      <c r="C505" s="5" t="inlineStr">
        <is>
          <t>MLT</t>
        </is>
      </c>
      <c r="D505" s="5" t="inlineStr">
        <is>
          <t>Malta</t>
        </is>
      </c>
      <c r="E505" s="5" t="n">
        <v>2024</v>
      </c>
      <c r="F505" s="5" t="n">
        <v>0.18</v>
      </c>
      <c r="G505" s="5" t="n">
        <v>5.575</v>
      </c>
      <c r="H505" s="5" t="n">
        <v>1.324</v>
      </c>
      <c r="I505" s="5" t="n">
        <v>6.197</v>
      </c>
      <c r="J505" s="5" t="n">
        <v>11.772</v>
      </c>
      <c r="K505" s="5" t="n">
        <v>0</v>
      </c>
      <c r="L505" s="5" t="n">
        <v>1</v>
      </c>
      <c r="M505" s="5" t="n">
        <v>7.124</v>
      </c>
      <c r="N505" s="5" t="n">
        <v>3.971</v>
      </c>
      <c r="O505" s="5" t="n">
        <v>6.315</v>
      </c>
      <c r="P505" s="5" t="n">
        <v>13.439</v>
      </c>
      <c r="Q505" s="5" t="n">
        <v>0</v>
      </c>
      <c r="R505" s="5" t="n">
        <v>1</v>
      </c>
      <c r="S505" s="5" t="n">
        <v>12.193</v>
      </c>
      <c r="T505" s="5" t="n">
        <v>7.942</v>
      </c>
      <c r="U505" s="5" t="n">
        <v>0.299</v>
      </c>
      <c r="V505" s="5" t="n">
        <v>14.388</v>
      </c>
      <c r="W505" s="5" t="n">
        <v>0.18</v>
      </c>
      <c r="X505" s="5" t="n">
        <v>1</v>
      </c>
      <c r="Y505" s="5" t="n">
        <v>10.492</v>
      </c>
      <c r="Z505" s="5" t="n">
        <v>1.283</v>
      </c>
      <c r="AA505" s="5" t="n">
        <v>3.667</v>
      </c>
      <c r="AB505" s="5" t="n">
        <v>14.159</v>
      </c>
      <c r="AC505" s="5" t="n">
        <v>0</v>
      </c>
      <c r="AD505" s="5" t="n">
        <v>1</v>
      </c>
      <c r="AE505" s="5" t="n">
        <v>11.815</v>
      </c>
      <c r="AF505" s="5" t="n">
        <v>2.567</v>
      </c>
      <c r="AG505" s="5" t="n">
        <v>3.667</v>
      </c>
      <c r="AH505" s="5" t="n">
        <v>15.483</v>
      </c>
      <c r="AI505" s="5" t="n">
        <v>0</v>
      </c>
      <c r="AJ505" s="5" t="n">
        <v>1</v>
      </c>
      <c r="AK505" s="5" t="n">
        <v>19.757</v>
      </c>
      <c r="AL505" s="5" t="n">
        <v>10.266</v>
      </c>
      <c r="AM505" s="5" t="n">
        <v>0.484</v>
      </c>
      <c r="AN505" s="5" t="n">
        <v>23.313</v>
      </c>
      <c r="AO505" s="5" t="n">
        <v>0.18</v>
      </c>
      <c r="AP505" s="5" t="n">
        <v>1</v>
      </c>
      <c r="AQ505" s="5" t="n">
        <v>0.72</v>
      </c>
      <c r="AR505" s="5" t="n">
        <v>0.132</v>
      </c>
      <c r="AS505" s="5" t="n">
        <v>0.509</v>
      </c>
      <c r="AT505" s="5" t="n">
        <v>1.45</v>
      </c>
      <c r="AU505" s="5" t="n">
        <v>0.18</v>
      </c>
      <c r="AV505" s="5" t="n">
        <v>1</v>
      </c>
      <c r="AW505" s="5" t="n">
        <v>0.734</v>
      </c>
      <c r="AX505" s="5" t="n">
        <v>0.132</v>
      </c>
      <c r="AY505" s="5" t="n">
        <v>0.376</v>
      </c>
      <c r="AZ505" s="5" t="n">
        <v>1.31</v>
      </c>
      <c r="BA505" s="5" t="n">
        <v>0.18</v>
      </c>
      <c r="BB505" s="5" t="n">
        <v>1</v>
      </c>
      <c r="BC505" s="5" t="n">
        <v>0.51</v>
      </c>
      <c r="BD505" s="5" t="n">
        <v>0.132</v>
      </c>
      <c r="BE505" s="5" t="n">
        <v>0.043</v>
      </c>
      <c r="BF505" s="5" t="n">
        <v>0.638</v>
      </c>
      <c r="BG505" s="5" t="n">
        <v>0.18</v>
      </c>
      <c r="BH505" s="5" t="n">
        <v>1</v>
      </c>
      <c r="BI505" s="5" t="n">
        <v>0.652</v>
      </c>
      <c r="BJ505" s="5" t="n">
        <v>0.132</v>
      </c>
      <c r="BK505" s="5" t="n">
        <v>0.312</v>
      </c>
      <c r="BL505" s="5" t="n">
        <v>1.11</v>
      </c>
      <c r="BM505" s="5" t="n">
        <v>0.18</v>
      </c>
      <c r="BN505" s="5" t="n">
        <v>1</v>
      </c>
      <c r="BO505" s="5" t="n">
        <v>0</v>
      </c>
      <c r="BP505" s="5" t="n">
        <v>0.002</v>
      </c>
      <c r="BQ505" s="5" t="n">
        <v>0.112</v>
      </c>
      <c r="BR505" s="5" t="n">
        <v>0</v>
      </c>
      <c r="BS505" s="5" t="n">
        <v>1</v>
      </c>
      <c r="BT505" s="5" t="n">
        <v>0</v>
      </c>
      <c r="BU505" s="5" t="n">
        <v>0.002</v>
      </c>
      <c r="BV505" s="5" t="n">
        <v>0.139</v>
      </c>
      <c r="BW505" s="5" t="n">
        <v>0.18</v>
      </c>
      <c r="BX505" s="5" t="n">
        <v>0.667</v>
      </c>
      <c r="BY505" s="5" t="n">
        <v>13.646</v>
      </c>
      <c r="BZ505" s="5" t="n">
        <v>0</v>
      </c>
      <c r="CA505" s="5" t="n">
        <v>13.646</v>
      </c>
      <c r="CB505" s="5" t="n">
        <v>0</v>
      </c>
      <c r="CC505" s="5" t="n">
        <v>86.38500000000001</v>
      </c>
      <c r="CD505" s="5" t="n">
        <v>7.95</v>
      </c>
      <c r="CE505" s="5" t="n">
        <v>85.602</v>
      </c>
      <c r="CF505" s="5" t="n">
        <v>202.946</v>
      </c>
      <c r="CG505" s="5" t="n">
        <v>0.18</v>
      </c>
      <c r="CH505" s="5" t="n">
        <v>1</v>
      </c>
      <c r="CI505" s="5" t="n">
        <v>0</v>
      </c>
      <c r="CJ505" s="5" t="n">
        <v>0</v>
      </c>
      <c r="CK505" s="5" t="n">
        <v>0</v>
      </c>
      <c r="CL505" s="5" t="n">
        <v>0</v>
      </c>
      <c r="CM505" s="5" t="n">
        <v>0</v>
      </c>
      <c r="CN505" s="5" t="n">
        <v>0</v>
      </c>
      <c r="CO505" s="5" t="n">
        <v>0</v>
      </c>
      <c r="CP505" s="5" t="n">
        <v>0</v>
      </c>
      <c r="CQ505" s="5" t="n">
        <v>1.387</v>
      </c>
      <c r="CR505" s="5" t="n">
        <v>0</v>
      </c>
      <c r="CS505" s="5" t="n">
        <v>5.529</v>
      </c>
      <c r="CT505" s="5" t="n">
        <v>4.251</v>
      </c>
      <c r="CU505" s="5" t="n">
        <v>9.167999999999999</v>
      </c>
    </row>
    <row r="506">
      <c r="A506" s="5" t="inlineStr">
        <is>
          <t>MHL2021</t>
        </is>
      </c>
      <c r="B506" s="5" t="inlineStr">
        <is>
          <t>MHL</t>
        </is>
      </c>
      <c r="C506" s="5" t="inlineStr">
        <is>
          <t>MHL</t>
        </is>
      </c>
      <c r="D506" s="5" t="inlineStr">
        <is>
          <t>Marshall Islands</t>
        </is>
      </c>
      <c r="E506" s="5" t="n">
        <v>2021</v>
      </c>
      <c r="F506" s="5" t="n">
        <v>0</v>
      </c>
      <c r="G506" s="5" t="n">
        <v>4.747</v>
      </c>
      <c r="H506" s="5" t="n">
        <v>1.143</v>
      </c>
      <c r="I506" s="5" t="n">
        <v>0</v>
      </c>
      <c r="J506" s="5" t="n">
        <v>4.747</v>
      </c>
      <c r="K506" s="5" t="n">
        <v>0</v>
      </c>
      <c r="L506" s="5" t="n">
        <v>1</v>
      </c>
      <c r="M506" s="5" t="n">
        <v>7.964</v>
      </c>
      <c r="N506" s="5" t="n">
        <v>3.43</v>
      </c>
      <c r="O506" s="5" t="n">
        <v>0</v>
      </c>
      <c r="P506" s="5" t="n">
        <v>7.964</v>
      </c>
      <c r="Q506" s="5" t="n">
        <v>0</v>
      </c>
      <c r="R506" s="5" t="n">
        <v>1</v>
      </c>
      <c r="S506" s="5" t="n">
        <v>10.464</v>
      </c>
      <c r="T506" s="5" t="n">
        <v>6.86</v>
      </c>
      <c r="U506" s="5" t="n">
        <v>0</v>
      </c>
      <c r="V506" s="5" t="n">
        <v>10.464</v>
      </c>
      <c r="W506" s="5" t="n">
        <v>0</v>
      </c>
      <c r="X506" s="5" t="n">
        <v>1</v>
      </c>
      <c r="Y506" s="5" t="n">
        <v>10.551</v>
      </c>
      <c r="Z506" s="5" t="n">
        <v>1.302</v>
      </c>
      <c r="AA506" s="5" t="n">
        <v>0</v>
      </c>
      <c r="AB506" s="5" t="n">
        <v>10.551</v>
      </c>
      <c r="AC506" s="5" t="n">
        <v>0</v>
      </c>
      <c r="AD506" s="5" t="n">
        <v>1</v>
      </c>
      <c r="AE506" s="5" t="n">
        <v>11.694</v>
      </c>
      <c r="AF506" s="5" t="n">
        <v>2.549</v>
      </c>
      <c r="AG506" s="5" t="n">
        <v>0</v>
      </c>
      <c r="AH506" s="5" t="n">
        <v>11.694</v>
      </c>
      <c r="AI506" s="5" t="n">
        <v>0</v>
      </c>
      <c r="AJ506" s="5" t="n">
        <v>1</v>
      </c>
      <c r="AK506" s="5" t="n">
        <v>18.554</v>
      </c>
      <c r="AL506" s="5" t="n">
        <v>9.627000000000001</v>
      </c>
      <c r="AM506" s="5" t="n">
        <v>0</v>
      </c>
      <c r="AN506" s="5" t="n">
        <v>18.554</v>
      </c>
      <c r="AO506" s="5" t="n">
        <v>0</v>
      </c>
      <c r="AP506" s="5" t="n">
        <v>1</v>
      </c>
      <c r="AQ506" s="5" t="n">
        <v>0.621</v>
      </c>
      <c r="AR506" s="5" t="n">
        <v>0.114</v>
      </c>
      <c r="AS506" s="5" t="n">
        <v>0</v>
      </c>
      <c r="AT506" s="5" t="n">
        <v>0.621</v>
      </c>
      <c r="AU506" s="5" t="n">
        <v>0</v>
      </c>
      <c r="AV506" s="5" t="n">
        <v>1</v>
      </c>
      <c r="AW506" s="5" t="n">
        <v>0.593</v>
      </c>
      <c r="AX506" s="5" t="n">
        <v>0.114</v>
      </c>
      <c r="AY506" s="5" t="n">
        <v>0</v>
      </c>
      <c r="AZ506" s="5" t="n">
        <v>0.593</v>
      </c>
      <c r="BA506" s="5" t="n">
        <v>0</v>
      </c>
      <c r="BB506" s="5" t="n">
        <v>1</v>
      </c>
      <c r="BC506" s="5" t="n">
        <v>0.44</v>
      </c>
      <c r="BD506" s="5" t="n">
        <v>0.114</v>
      </c>
      <c r="BE506" s="5" t="n">
        <v>0</v>
      </c>
      <c r="BF506" s="5" t="n">
        <v>0.44</v>
      </c>
      <c r="BG506" s="5" t="n">
        <v>0</v>
      </c>
      <c r="BH506" s="5" t="n">
        <v>1</v>
      </c>
      <c r="BI506" s="5" t="n">
        <v>0.5600000000000001</v>
      </c>
      <c r="BJ506" s="5" t="n">
        <v>0.114</v>
      </c>
      <c r="BK506" s="5" t="n">
        <v>0</v>
      </c>
      <c r="BL506" s="5" t="n">
        <v>0.5600000000000001</v>
      </c>
      <c r="BM506" s="5" t="n">
        <v>0</v>
      </c>
      <c r="BN506" s="5" t="n">
        <v>1</v>
      </c>
      <c r="BO506" s="5" t="n">
        <v>0</v>
      </c>
      <c r="BP506" s="5" t="n">
        <v>0</v>
      </c>
      <c r="BQ506" s="5" t="n">
        <v>0</v>
      </c>
      <c r="BR506" s="5" t="n">
        <v>0</v>
      </c>
      <c r="BS506" s="5" t="n">
        <v>1</v>
      </c>
      <c r="BT506" s="5" t="n">
        <v>0</v>
      </c>
      <c r="BU506" s="5" t="n">
        <v>0</v>
      </c>
      <c r="BV506" s="5" t="n">
        <v>0</v>
      </c>
      <c r="BW506" s="5" t="n">
        <v>0</v>
      </c>
      <c r="BX506" s="5" t="n">
        <v>1</v>
      </c>
      <c r="BY506" s="5" t="n">
        <v>11.787</v>
      </c>
      <c r="BZ506" s="5" t="n">
        <v>0</v>
      </c>
      <c r="CA506" s="5" t="n">
        <v>11.787</v>
      </c>
      <c r="CB506" s="5" t="n">
        <v>0</v>
      </c>
      <c r="CC506" s="5" t="n">
        <v>81.69499999999999</v>
      </c>
      <c r="CD506" s="5" t="n">
        <v>7.95</v>
      </c>
      <c r="CE506" s="5" t="n">
        <v>0</v>
      </c>
      <c r="CF506" s="5" t="n">
        <v>81.69499999999999</v>
      </c>
      <c r="CG506" s="5" t="n">
        <v>0</v>
      </c>
      <c r="CH506" s="5" t="n">
        <v>1</v>
      </c>
      <c r="CI506" s="5" t="n">
        <v>0</v>
      </c>
      <c r="CJ506" s="5" t="n">
        <v>0</v>
      </c>
      <c r="CK506" s="5" t="n">
        <v>0</v>
      </c>
      <c r="CL506" s="5" t="n">
        <v>0</v>
      </c>
      <c r="CM506" s="5" t="n">
        <v>0</v>
      </c>
      <c r="CN506" s="5" t="n">
        <v>0</v>
      </c>
      <c r="CO506" s="5" t="n">
        <v>0</v>
      </c>
      <c r="CP506" s="5" t="n">
        <v>0</v>
      </c>
      <c r="CQ506" s="5" t="n">
        <v>1.198</v>
      </c>
      <c r="CR506" s="5" t="n">
        <v>0</v>
      </c>
      <c r="CS506" s="5" t="n">
        <v>4.776</v>
      </c>
      <c r="CT506" s="5" t="n">
        <v>3.604</v>
      </c>
      <c r="CU506" s="5" t="n">
        <v>9.407999999999999</v>
      </c>
    </row>
    <row r="507">
      <c r="A507" s="5" t="inlineStr">
        <is>
          <t>MHL2022</t>
        </is>
      </c>
      <c r="B507" s="5" t="inlineStr">
        <is>
          <t>MHL</t>
        </is>
      </c>
      <c r="C507" s="5" t="inlineStr">
        <is>
          <t>MHL</t>
        </is>
      </c>
      <c r="D507" s="5" t="inlineStr">
        <is>
          <t>Marshall Islands</t>
        </is>
      </c>
      <c r="E507" s="5" t="n">
        <v>2022</v>
      </c>
      <c r="F507" s="5" t="n">
        <v>0</v>
      </c>
      <c r="G507" s="5" t="n">
        <v>8.788</v>
      </c>
      <c r="H507" s="5" t="n">
        <v>1.235</v>
      </c>
      <c r="I507" s="5" t="n">
        <v>0</v>
      </c>
      <c r="J507" s="5" t="n">
        <v>8.788</v>
      </c>
      <c r="K507" s="5" t="n">
        <v>0</v>
      </c>
      <c r="L507" s="5" t="n">
        <v>1</v>
      </c>
      <c r="M507" s="5" t="n">
        <v>9.782999999999999</v>
      </c>
      <c r="N507" s="5" t="n">
        <v>3.704</v>
      </c>
      <c r="O507" s="5" t="n">
        <v>0</v>
      </c>
      <c r="P507" s="5" t="n">
        <v>9.782999999999999</v>
      </c>
      <c r="Q507" s="5" t="n">
        <v>0</v>
      </c>
      <c r="R507" s="5" t="n">
        <v>1</v>
      </c>
      <c r="S507" s="5" t="n">
        <v>14.962</v>
      </c>
      <c r="T507" s="5" t="n">
        <v>7.408</v>
      </c>
      <c r="U507" s="5" t="n">
        <v>0</v>
      </c>
      <c r="V507" s="5" t="n">
        <v>14.962</v>
      </c>
      <c r="W507" s="5" t="n">
        <v>0</v>
      </c>
      <c r="X507" s="5" t="n">
        <v>1</v>
      </c>
      <c r="Y507" s="5" t="n">
        <v>17.332</v>
      </c>
      <c r="Z507" s="5" t="n">
        <v>2.139</v>
      </c>
      <c r="AA507" s="5" t="n">
        <v>0</v>
      </c>
      <c r="AB507" s="5" t="n">
        <v>17.332</v>
      </c>
      <c r="AC507" s="5" t="n">
        <v>0</v>
      </c>
      <c r="AD507" s="5" t="n">
        <v>1</v>
      </c>
      <c r="AE507" s="5" t="n">
        <v>18.566</v>
      </c>
      <c r="AF507" s="5" t="n">
        <v>4.048</v>
      </c>
      <c r="AG507" s="5" t="n">
        <v>0</v>
      </c>
      <c r="AH507" s="5" t="n">
        <v>18.566</v>
      </c>
      <c r="AI507" s="5" t="n">
        <v>0</v>
      </c>
      <c r="AJ507" s="5" t="n">
        <v>1</v>
      </c>
      <c r="AK507" s="5" t="n">
        <v>25.974</v>
      </c>
      <c r="AL507" s="5" t="n">
        <v>13.478</v>
      </c>
      <c r="AM507" s="5" t="n">
        <v>0</v>
      </c>
      <c r="AN507" s="5" t="n">
        <v>25.974</v>
      </c>
      <c r="AO507" s="5" t="n">
        <v>0</v>
      </c>
      <c r="AP507" s="5" t="n">
        <v>1</v>
      </c>
      <c r="AQ507" s="5" t="n">
        <v>0.847</v>
      </c>
      <c r="AR507" s="5" t="n">
        <v>0.123</v>
      </c>
      <c r="AS507" s="5" t="n">
        <v>0</v>
      </c>
      <c r="AT507" s="5" t="n">
        <v>0.847</v>
      </c>
      <c r="AU507" s="5" t="n">
        <v>0</v>
      </c>
      <c r="AV507" s="5" t="n">
        <v>1</v>
      </c>
      <c r="AW507" s="5" t="n">
        <v>0.947</v>
      </c>
      <c r="AX507" s="5" t="n">
        <v>0.123</v>
      </c>
      <c r="AY507" s="5" t="n">
        <v>0</v>
      </c>
      <c r="AZ507" s="5" t="n">
        <v>0.947</v>
      </c>
      <c r="BA507" s="5" t="n">
        <v>0</v>
      </c>
      <c r="BB507" s="5" t="n">
        <v>1</v>
      </c>
      <c r="BC507" s="5" t="n">
        <v>0.589</v>
      </c>
      <c r="BD507" s="5" t="n">
        <v>0.123</v>
      </c>
      <c r="BE507" s="5" t="n">
        <v>0</v>
      </c>
      <c r="BF507" s="5" t="n">
        <v>0.589</v>
      </c>
      <c r="BG507" s="5" t="n">
        <v>0</v>
      </c>
      <c r="BH507" s="5" t="n">
        <v>1</v>
      </c>
      <c r="BI507" s="5" t="n">
        <v>0.6889999999999999</v>
      </c>
      <c r="BJ507" s="5" t="n">
        <v>0.123</v>
      </c>
      <c r="BK507" s="5" t="n">
        <v>0</v>
      </c>
      <c r="BL507" s="5" t="n">
        <v>0.6889999999999999</v>
      </c>
      <c r="BM507" s="5" t="n">
        <v>0</v>
      </c>
      <c r="BN507" s="5" t="n">
        <v>1</v>
      </c>
      <c r="BO507" s="5" t="n">
        <v>0</v>
      </c>
      <c r="BP507" s="5" t="n">
        <v>0</v>
      </c>
      <c r="BQ507" s="5" t="n">
        <v>0</v>
      </c>
      <c r="BR507" s="5" t="n">
        <v>0</v>
      </c>
      <c r="BS507" s="5" t="n">
        <v>1</v>
      </c>
      <c r="BT507" s="5" t="n">
        <v>0</v>
      </c>
      <c r="BU507" s="5" t="n">
        <v>0</v>
      </c>
      <c r="BV507" s="5" t="n">
        <v>0</v>
      </c>
      <c r="BW507" s="5" t="n">
        <v>0</v>
      </c>
      <c r="BX507" s="5" t="n">
        <v>1</v>
      </c>
      <c r="BY507" s="5" t="n">
        <v>12.729</v>
      </c>
      <c r="BZ507" s="5" t="n">
        <v>0</v>
      </c>
      <c r="CA507" s="5" t="n">
        <v>12.729</v>
      </c>
      <c r="CB507" s="5" t="n">
        <v>0</v>
      </c>
      <c r="CC507" s="5" t="n">
        <v>102.477</v>
      </c>
      <c r="CD507" s="5" t="n">
        <v>7.95</v>
      </c>
      <c r="CE507" s="5" t="n">
        <v>0</v>
      </c>
      <c r="CF507" s="5" t="n">
        <v>102.477</v>
      </c>
      <c r="CG507" s="5" t="n">
        <v>0</v>
      </c>
      <c r="CH507" s="5" t="n">
        <v>1</v>
      </c>
      <c r="CI507" s="5" t="n">
        <v>0</v>
      </c>
      <c r="CJ507" s="5" t="n">
        <v>0</v>
      </c>
      <c r="CK507" s="5" t="n">
        <v>0</v>
      </c>
      <c r="CL507" s="5" t="n">
        <v>0</v>
      </c>
      <c r="CM507" s="5" t="n">
        <v>0</v>
      </c>
      <c r="CN507" s="5" t="n">
        <v>0</v>
      </c>
      <c r="CO507" s="5" t="n">
        <v>0</v>
      </c>
      <c r="CP507" s="5" t="n">
        <v>0</v>
      </c>
      <c r="CQ507" s="5" t="n">
        <v>1.294</v>
      </c>
      <c r="CR507" s="5" t="n">
        <v>0</v>
      </c>
      <c r="CS507" s="5" t="n">
        <v>5.158</v>
      </c>
      <c r="CT507" s="5" t="n">
        <v>7.554</v>
      </c>
      <c r="CU507" s="5" t="n">
        <v>16.097</v>
      </c>
    </row>
    <row r="508">
      <c r="A508" s="5" t="inlineStr">
        <is>
          <t>MHL2023</t>
        </is>
      </c>
      <c r="B508" s="5" t="inlineStr">
        <is>
          <t>MHL</t>
        </is>
      </c>
      <c r="C508" s="5" t="inlineStr">
        <is>
          <t>MHL</t>
        </is>
      </c>
      <c r="D508" s="5" t="inlineStr">
        <is>
          <t>Marshall Islands</t>
        </is>
      </c>
      <c r="E508" s="5" t="n">
        <v>2023</v>
      </c>
      <c r="F508" s="5" t="n">
        <v>0</v>
      </c>
      <c r="G508" s="5" t="n">
        <v>5.77</v>
      </c>
      <c r="H508" s="5" t="n">
        <v>1.286</v>
      </c>
      <c r="I508" s="5" t="n">
        <v>0</v>
      </c>
      <c r="J508" s="5" t="n">
        <v>5.77</v>
      </c>
      <c r="K508" s="5" t="n">
        <v>0</v>
      </c>
      <c r="L508" s="5" t="n">
        <v>1</v>
      </c>
      <c r="M508" s="5" t="n">
        <v>7.886</v>
      </c>
      <c r="N508" s="5" t="n">
        <v>3.857</v>
      </c>
      <c r="O508" s="5" t="n">
        <v>0</v>
      </c>
      <c r="P508" s="5" t="n">
        <v>7.886</v>
      </c>
      <c r="Q508" s="5" t="n">
        <v>0</v>
      </c>
      <c r="R508" s="5" t="n">
        <v>1</v>
      </c>
      <c r="S508" s="5" t="n">
        <v>12.198</v>
      </c>
      <c r="T508" s="5" t="n">
        <v>7.714</v>
      </c>
      <c r="U508" s="5" t="n">
        <v>0</v>
      </c>
      <c r="V508" s="5" t="n">
        <v>12.198</v>
      </c>
      <c r="W508" s="5" t="n">
        <v>0</v>
      </c>
      <c r="X508" s="5" t="n">
        <v>1</v>
      </c>
      <c r="Y508" s="5" t="n">
        <v>13.814</v>
      </c>
      <c r="Z508" s="5" t="n">
        <v>1.705</v>
      </c>
      <c r="AA508" s="5" t="n">
        <v>0</v>
      </c>
      <c r="AB508" s="5" t="n">
        <v>13.814</v>
      </c>
      <c r="AC508" s="5" t="n">
        <v>0</v>
      </c>
      <c r="AD508" s="5" t="n">
        <v>1</v>
      </c>
      <c r="AE508" s="5" t="n">
        <v>15.1</v>
      </c>
      <c r="AF508" s="5" t="n">
        <v>3.292</v>
      </c>
      <c r="AG508" s="5" t="n">
        <v>0</v>
      </c>
      <c r="AH508" s="5" t="n">
        <v>15.1</v>
      </c>
      <c r="AI508" s="5" t="n">
        <v>0</v>
      </c>
      <c r="AJ508" s="5" t="n">
        <v>1</v>
      </c>
      <c r="AK508" s="5" t="n">
        <v>22.814</v>
      </c>
      <c r="AL508" s="5" t="n">
        <v>11.838</v>
      </c>
      <c r="AM508" s="5" t="n">
        <v>0</v>
      </c>
      <c r="AN508" s="5" t="n">
        <v>22.814</v>
      </c>
      <c r="AO508" s="5" t="n">
        <v>0</v>
      </c>
      <c r="AP508" s="5" t="n">
        <v>1</v>
      </c>
      <c r="AQ508" s="5" t="n">
        <v>0.749</v>
      </c>
      <c r="AR508" s="5" t="n">
        <v>0.129</v>
      </c>
      <c r="AS508" s="5" t="n">
        <v>0</v>
      </c>
      <c r="AT508" s="5" t="n">
        <v>0.749</v>
      </c>
      <c r="AU508" s="5" t="n">
        <v>0</v>
      </c>
      <c r="AV508" s="5" t="n">
        <v>1</v>
      </c>
      <c r="AW508" s="5" t="n">
        <v>0.783</v>
      </c>
      <c r="AX508" s="5" t="n">
        <v>0.129</v>
      </c>
      <c r="AY508" s="5" t="n">
        <v>0</v>
      </c>
      <c r="AZ508" s="5" t="n">
        <v>0.783</v>
      </c>
      <c r="BA508" s="5" t="n">
        <v>0</v>
      </c>
      <c r="BB508" s="5" t="n">
        <v>1</v>
      </c>
      <c r="BC508" s="5" t="n">
        <v>0.527</v>
      </c>
      <c r="BD508" s="5" t="n">
        <v>0.129</v>
      </c>
      <c r="BE508" s="5" t="n">
        <v>0</v>
      </c>
      <c r="BF508" s="5" t="n">
        <v>0.527</v>
      </c>
      <c r="BG508" s="5" t="n">
        <v>0</v>
      </c>
      <c r="BH508" s="5" t="n">
        <v>1</v>
      </c>
      <c r="BI508" s="5" t="n">
        <v>0.64</v>
      </c>
      <c r="BJ508" s="5" t="n">
        <v>0.129</v>
      </c>
      <c r="BK508" s="5" t="n">
        <v>0</v>
      </c>
      <c r="BL508" s="5" t="n">
        <v>0.64</v>
      </c>
      <c r="BM508" s="5" t="n">
        <v>0</v>
      </c>
      <c r="BN508" s="5" t="n">
        <v>1</v>
      </c>
      <c r="BO508" s="5" t="n">
        <v>0</v>
      </c>
      <c r="BP508" s="5" t="n">
        <v>0</v>
      </c>
      <c r="BQ508" s="5" t="n">
        <v>0</v>
      </c>
      <c r="BR508" s="5" t="n">
        <v>0</v>
      </c>
      <c r="BS508" s="5" t="n">
        <v>1</v>
      </c>
      <c r="BT508" s="5" t="n">
        <v>0</v>
      </c>
      <c r="BU508" s="5" t="n">
        <v>0</v>
      </c>
      <c r="BV508" s="5" t="n">
        <v>0</v>
      </c>
      <c r="BW508" s="5" t="n">
        <v>0</v>
      </c>
      <c r="BX508" s="5" t="n">
        <v>1</v>
      </c>
      <c r="BY508" s="5" t="n">
        <v>13.254</v>
      </c>
      <c r="BZ508" s="5" t="n">
        <v>0</v>
      </c>
      <c r="CA508" s="5" t="n">
        <v>13.254</v>
      </c>
      <c r="CB508" s="5" t="n">
        <v>0</v>
      </c>
      <c r="CC508" s="5" t="n">
        <v>87.07899999999999</v>
      </c>
      <c r="CD508" s="5" t="n">
        <v>7.95</v>
      </c>
      <c r="CE508" s="5" t="n">
        <v>0</v>
      </c>
      <c r="CF508" s="5" t="n">
        <v>87.07899999999999</v>
      </c>
      <c r="CG508" s="5" t="n">
        <v>0</v>
      </c>
      <c r="CH508" s="5" t="n">
        <v>1</v>
      </c>
      <c r="CI508" s="5" t="n">
        <v>0</v>
      </c>
      <c r="CJ508" s="5" t="n">
        <v>0</v>
      </c>
      <c r="CK508" s="5" t="n">
        <v>0</v>
      </c>
      <c r="CL508" s="5" t="n">
        <v>0</v>
      </c>
      <c r="CM508" s="5" t="n">
        <v>0</v>
      </c>
      <c r="CN508" s="5" t="n">
        <v>0</v>
      </c>
      <c r="CO508" s="5" t="n">
        <v>0</v>
      </c>
      <c r="CP508" s="5" t="n">
        <v>0</v>
      </c>
      <c r="CQ508" s="5" t="n">
        <v>1.348</v>
      </c>
      <c r="CR508" s="5" t="n">
        <v>0</v>
      </c>
      <c r="CS508" s="5" t="n">
        <v>5.37</v>
      </c>
      <c r="CT508" s="5" t="n">
        <v>4.484</v>
      </c>
      <c r="CU508" s="5" t="n">
        <v>12.529</v>
      </c>
    </row>
    <row r="509">
      <c r="A509" s="5" t="inlineStr">
        <is>
          <t>MHL2024</t>
        </is>
      </c>
      <c r="B509" s="5" t="inlineStr">
        <is>
          <t>MHL</t>
        </is>
      </c>
      <c r="C509" s="5" t="inlineStr">
        <is>
          <t>MHL</t>
        </is>
      </c>
      <c r="D509" s="5" t="inlineStr">
        <is>
          <t>Marshall Islands</t>
        </is>
      </c>
      <c r="E509" s="5" t="n">
        <v>2024</v>
      </c>
      <c r="F509" s="5" t="n">
        <v>0</v>
      </c>
      <c r="G509" s="5" t="n">
        <v>4.833</v>
      </c>
      <c r="H509" s="5" t="n">
        <v>1.324</v>
      </c>
      <c r="I509" s="5" t="n">
        <v>0</v>
      </c>
      <c r="J509" s="5" t="n">
        <v>4.833</v>
      </c>
      <c r="K509" s="5" t="n">
        <v>0</v>
      </c>
      <c r="L509" s="5" t="n">
        <v>1</v>
      </c>
      <c r="M509" s="5" t="n">
        <v>7.124</v>
      </c>
      <c r="N509" s="5" t="n">
        <v>3.971</v>
      </c>
      <c r="O509" s="5" t="n">
        <v>0</v>
      </c>
      <c r="P509" s="5" t="n">
        <v>7.124</v>
      </c>
      <c r="Q509" s="5" t="n">
        <v>0</v>
      </c>
      <c r="R509" s="5" t="n">
        <v>1</v>
      </c>
      <c r="S509" s="5" t="n">
        <v>11.451</v>
      </c>
      <c r="T509" s="5" t="n">
        <v>7.942</v>
      </c>
      <c r="U509" s="5" t="n">
        <v>0</v>
      </c>
      <c r="V509" s="5" t="n">
        <v>11.451</v>
      </c>
      <c r="W509" s="5" t="n">
        <v>0</v>
      </c>
      <c r="X509" s="5" t="n">
        <v>1</v>
      </c>
      <c r="Y509" s="5" t="n">
        <v>12.219</v>
      </c>
      <c r="Z509" s="5" t="n">
        <v>1.508</v>
      </c>
      <c r="AA509" s="5" t="n">
        <v>0</v>
      </c>
      <c r="AB509" s="5" t="n">
        <v>12.219</v>
      </c>
      <c r="AC509" s="5" t="n">
        <v>0</v>
      </c>
      <c r="AD509" s="5" t="n">
        <v>1</v>
      </c>
      <c r="AE509" s="5" t="n">
        <v>13.543</v>
      </c>
      <c r="AF509" s="5" t="n">
        <v>2.952</v>
      </c>
      <c r="AG509" s="5" t="n">
        <v>0</v>
      </c>
      <c r="AH509" s="5" t="n">
        <v>13.543</v>
      </c>
      <c r="AI509" s="5" t="n">
        <v>0</v>
      </c>
      <c r="AJ509" s="5" t="n">
        <v>1</v>
      </c>
      <c r="AK509" s="5" t="n">
        <v>21.484</v>
      </c>
      <c r="AL509" s="5" t="n">
        <v>11.148</v>
      </c>
      <c r="AM509" s="5" t="n">
        <v>0</v>
      </c>
      <c r="AN509" s="5" t="n">
        <v>21.484</v>
      </c>
      <c r="AO509" s="5" t="n">
        <v>0</v>
      </c>
      <c r="AP509" s="5" t="n">
        <v>1</v>
      </c>
      <c r="AQ509" s="5" t="n">
        <v>0.72</v>
      </c>
      <c r="AR509" s="5" t="n">
        <v>0.132</v>
      </c>
      <c r="AS509" s="5" t="n">
        <v>0</v>
      </c>
      <c r="AT509" s="5" t="n">
        <v>0.72</v>
      </c>
      <c r="AU509" s="5" t="n">
        <v>0</v>
      </c>
      <c r="AV509" s="5" t="n">
        <v>1</v>
      </c>
      <c r="AW509" s="5" t="n">
        <v>0.734</v>
      </c>
      <c r="AX509" s="5" t="n">
        <v>0.132</v>
      </c>
      <c r="AY509" s="5" t="n">
        <v>0</v>
      </c>
      <c r="AZ509" s="5" t="n">
        <v>0.734</v>
      </c>
      <c r="BA509" s="5" t="n">
        <v>0</v>
      </c>
      <c r="BB509" s="5" t="n">
        <v>1</v>
      </c>
      <c r="BC509" s="5" t="n">
        <v>0.51</v>
      </c>
      <c r="BD509" s="5" t="n">
        <v>0.132</v>
      </c>
      <c r="BE509" s="5" t="n">
        <v>0</v>
      </c>
      <c r="BF509" s="5" t="n">
        <v>0.51</v>
      </c>
      <c r="BG509" s="5" t="n">
        <v>0</v>
      </c>
      <c r="BH509" s="5" t="n">
        <v>1</v>
      </c>
      <c r="BI509" s="5" t="n">
        <v>0.652</v>
      </c>
      <c r="BJ509" s="5" t="n">
        <v>0.132</v>
      </c>
      <c r="BK509" s="5" t="n">
        <v>0</v>
      </c>
      <c r="BL509" s="5" t="n">
        <v>0.652</v>
      </c>
      <c r="BM509" s="5" t="n">
        <v>0</v>
      </c>
      <c r="BN509" s="5" t="n">
        <v>1</v>
      </c>
      <c r="BO509" s="5" t="n">
        <v>0</v>
      </c>
      <c r="BP509" s="5" t="n">
        <v>0</v>
      </c>
      <c r="BQ509" s="5" t="n">
        <v>0</v>
      </c>
      <c r="BR509" s="5" t="n">
        <v>0</v>
      </c>
      <c r="BS509" s="5" t="n">
        <v>1</v>
      </c>
      <c r="BT509" s="5" t="n">
        <v>0</v>
      </c>
      <c r="BU509" s="5" t="n">
        <v>0</v>
      </c>
      <c r="BV509" s="5" t="n">
        <v>0</v>
      </c>
      <c r="BW509" s="5" t="n">
        <v>0</v>
      </c>
      <c r="BX509" s="5" t="n">
        <v>1</v>
      </c>
      <c r="BY509" s="5" t="n">
        <v>13.646</v>
      </c>
      <c r="BZ509" s="5" t="n">
        <v>0</v>
      </c>
      <c r="CA509" s="5" t="n">
        <v>13.646</v>
      </c>
      <c r="CB509" s="5" t="n">
        <v>0</v>
      </c>
      <c r="CC509" s="5" t="n">
        <v>86.38500000000001</v>
      </c>
      <c r="CD509" s="5" t="n">
        <v>7.95</v>
      </c>
      <c r="CE509" s="5" t="n">
        <v>0</v>
      </c>
      <c r="CF509" s="5" t="n">
        <v>86.38500000000001</v>
      </c>
      <c r="CG509" s="5" t="n">
        <v>0</v>
      </c>
      <c r="CH509" s="5" t="n">
        <v>1</v>
      </c>
      <c r="CI509" s="5" t="n">
        <v>0</v>
      </c>
      <c r="CJ509" s="5" t="n">
        <v>0</v>
      </c>
      <c r="CK509" s="5" t="n">
        <v>0</v>
      </c>
      <c r="CL509" s="5" t="n">
        <v>0</v>
      </c>
      <c r="CM509" s="5" t="n">
        <v>0</v>
      </c>
      <c r="CN509" s="5" t="n">
        <v>0</v>
      </c>
      <c r="CO509" s="5" t="n">
        <v>0</v>
      </c>
      <c r="CP509" s="5" t="n">
        <v>0</v>
      </c>
      <c r="CQ509" s="5" t="n">
        <v>1.387</v>
      </c>
      <c r="CR509" s="5" t="n">
        <v>0</v>
      </c>
      <c r="CS509" s="5" t="n">
        <v>5.529</v>
      </c>
      <c r="CT509" s="5" t="n">
        <v>3.509</v>
      </c>
      <c r="CU509" s="5" t="n">
        <v>10.896</v>
      </c>
    </row>
    <row r="510">
      <c r="A510" s="5" t="inlineStr">
        <is>
          <t>MRT2021</t>
        </is>
      </c>
      <c r="B510" s="5" t="inlineStr">
        <is>
          <t>MRT</t>
        </is>
      </c>
      <c r="C510" s="5" t="inlineStr">
        <is>
          <t>MRT</t>
        </is>
      </c>
      <c r="D510" s="5" t="inlineStr">
        <is>
          <t>Mauritania</t>
        </is>
      </c>
      <c r="E510" s="5" t="n">
        <v>2021</v>
      </c>
      <c r="F510" s="5" t="n">
        <v>0.16</v>
      </c>
      <c r="G510" s="5" t="n">
        <v>5.897</v>
      </c>
      <c r="H510" s="5" t="n">
        <v>1.143</v>
      </c>
      <c r="I510" s="5" t="n">
        <v>0</v>
      </c>
      <c r="J510" s="5" t="n">
        <v>5.897</v>
      </c>
      <c r="K510" s="5" t="n">
        <v>0</v>
      </c>
      <c r="L510" s="5" t="n">
        <v>1</v>
      </c>
      <c r="M510" s="5" t="n">
        <v>7.964</v>
      </c>
      <c r="N510" s="5" t="n">
        <v>3.43</v>
      </c>
      <c r="O510" s="5" t="n">
        <v>0</v>
      </c>
      <c r="P510" s="5" t="n">
        <v>7.964</v>
      </c>
      <c r="Q510" s="5" t="n">
        <v>0</v>
      </c>
      <c r="R510" s="5" t="n">
        <v>1</v>
      </c>
      <c r="S510" s="5" t="n">
        <v>11.613</v>
      </c>
      <c r="T510" s="5" t="n">
        <v>6.86</v>
      </c>
      <c r="U510" s="5" t="n">
        <v>0</v>
      </c>
      <c r="V510" s="5" t="n">
        <v>13.471</v>
      </c>
      <c r="W510" s="5" t="n">
        <v>0.16</v>
      </c>
      <c r="X510" s="5" t="n">
        <v>1</v>
      </c>
      <c r="Y510" s="5" t="n">
        <v>6.913</v>
      </c>
      <c r="Z510" s="5" t="n">
        <v>0.9340000000000001</v>
      </c>
      <c r="AA510" s="5" t="n">
        <v>0</v>
      </c>
      <c r="AB510" s="5" t="n">
        <v>6.913</v>
      </c>
      <c r="AC510" s="5" t="n">
        <v>0</v>
      </c>
      <c r="AD510" s="5" t="n">
        <v>1</v>
      </c>
      <c r="AE510" s="5" t="n">
        <v>8.055999999999999</v>
      </c>
      <c r="AF510" s="5" t="n">
        <v>1.884</v>
      </c>
      <c r="AG510" s="5" t="n">
        <v>0</v>
      </c>
      <c r="AH510" s="5" t="n">
        <v>8.055999999999999</v>
      </c>
      <c r="AI510" s="5" t="n">
        <v>0</v>
      </c>
      <c r="AJ510" s="5" t="n">
        <v>1</v>
      </c>
      <c r="AK510" s="5" t="n">
        <v>14.916</v>
      </c>
      <c r="AL510" s="5" t="n">
        <v>7.944</v>
      </c>
      <c r="AM510" s="5" t="n">
        <v>0</v>
      </c>
      <c r="AN510" s="5" t="n">
        <v>17.303</v>
      </c>
      <c r="AO510" s="5" t="n">
        <v>0.16</v>
      </c>
      <c r="AP510" s="5" t="n">
        <v>1</v>
      </c>
      <c r="AQ510" s="5" t="n">
        <v>0.619</v>
      </c>
      <c r="AR510" s="5" t="n">
        <v>0.114</v>
      </c>
      <c r="AS510" s="5" t="n">
        <v>0.424</v>
      </c>
      <c r="AT510" s="5" t="n">
        <v>1.21</v>
      </c>
      <c r="AU510" s="5" t="n">
        <v>0.16</v>
      </c>
      <c r="AV510" s="5" t="n">
        <v>1</v>
      </c>
      <c r="AW510" s="5" t="n">
        <v>0.599</v>
      </c>
      <c r="AX510" s="5" t="n">
        <v>0.114</v>
      </c>
      <c r="AY510" s="5" t="n">
        <v>0.32</v>
      </c>
      <c r="AZ510" s="5" t="n">
        <v>1.067</v>
      </c>
      <c r="BA510" s="5" t="n">
        <v>0.16</v>
      </c>
      <c r="BB510" s="5" t="n">
        <v>1</v>
      </c>
      <c r="BC510" s="5" t="n">
        <v>0.439</v>
      </c>
      <c r="BD510" s="5" t="n">
        <v>0.114</v>
      </c>
      <c r="BE510" s="5" t="n">
        <v>-0.099</v>
      </c>
      <c r="BF510" s="5" t="n">
        <v>0.34</v>
      </c>
      <c r="BG510" s="5" t="n">
        <v>0</v>
      </c>
      <c r="BH510" s="5" t="n">
        <v>0</v>
      </c>
      <c r="BI510" s="5" t="n">
        <v>0.505</v>
      </c>
      <c r="BJ510" s="5" t="n">
        <v>0.114</v>
      </c>
      <c r="BK510" s="5" t="n">
        <v>0.659</v>
      </c>
      <c r="BL510" s="5" t="n">
        <v>1.35</v>
      </c>
      <c r="BM510" s="5" t="n">
        <v>0.16</v>
      </c>
      <c r="BN510" s="5" t="n">
        <v>1</v>
      </c>
      <c r="BO510" s="5" t="n">
        <v>0</v>
      </c>
      <c r="BP510" s="5" t="n">
        <v>0</v>
      </c>
      <c r="BQ510" s="5" t="n">
        <v>0.164</v>
      </c>
      <c r="BR510" s="5" t="n">
        <v>0</v>
      </c>
      <c r="BS510" s="5" t="n">
        <v>0.667</v>
      </c>
      <c r="BT510" s="5" t="n">
        <v>0</v>
      </c>
      <c r="BU510" s="5" t="n">
        <v>0</v>
      </c>
      <c r="BV510" s="5" t="n">
        <v>0.164</v>
      </c>
      <c r="BW510" s="5" t="n">
        <v>0</v>
      </c>
      <c r="BX510" s="5" t="n">
        <v>0.667</v>
      </c>
      <c r="BY510" s="5" t="n">
        <v>11.787</v>
      </c>
      <c r="BZ510" s="5" t="n">
        <v>0</v>
      </c>
      <c r="CA510" s="5" t="n">
        <v>11.787</v>
      </c>
      <c r="CB510" s="5" t="n">
        <v>0</v>
      </c>
      <c r="CC510" s="5" t="n">
        <v>78.125</v>
      </c>
      <c r="CD510" s="5" t="n">
        <v>7.95</v>
      </c>
      <c r="CE510" s="5" t="n">
        <v>0</v>
      </c>
      <c r="CF510" s="5" t="n">
        <v>90.625</v>
      </c>
      <c r="CG510" s="5" t="n">
        <v>0.16</v>
      </c>
      <c r="CH510" s="5" t="n">
        <v>1</v>
      </c>
      <c r="CI510" s="5" t="n">
        <v>0</v>
      </c>
      <c r="CJ510" s="5" t="n">
        <v>0</v>
      </c>
      <c r="CK510" s="5" t="n">
        <v>0</v>
      </c>
      <c r="CL510" s="5" t="n">
        <v>0</v>
      </c>
      <c r="CM510" s="5" t="n">
        <v>0</v>
      </c>
      <c r="CN510" s="5" t="n">
        <v>0</v>
      </c>
      <c r="CO510" s="5" t="n">
        <v>0</v>
      </c>
      <c r="CP510" s="5" t="n">
        <v>0</v>
      </c>
      <c r="CQ510" s="5" t="n">
        <v>1.198</v>
      </c>
      <c r="CR510" s="5" t="n">
        <v>0</v>
      </c>
      <c r="CS510" s="5" t="n">
        <v>4.949</v>
      </c>
      <c r="CT510" s="5" t="n">
        <v>4.753</v>
      </c>
      <c r="CU510" s="5" t="n">
        <v>15.162</v>
      </c>
    </row>
    <row r="511">
      <c r="A511" s="5" t="inlineStr">
        <is>
          <t>MRT2022</t>
        </is>
      </c>
      <c r="B511" s="5" t="inlineStr">
        <is>
          <t>MRT</t>
        </is>
      </c>
      <c r="C511" s="5" t="inlineStr">
        <is>
          <t>MRT</t>
        </is>
      </c>
      <c r="D511" s="5" t="inlineStr">
        <is>
          <t>Mauritania</t>
        </is>
      </c>
      <c r="E511" s="5" t="n">
        <v>2022</v>
      </c>
      <c r="F511" s="5" t="n">
        <v>0.16</v>
      </c>
      <c r="G511" s="5" t="n">
        <v>11.72</v>
      </c>
      <c r="H511" s="5" t="n">
        <v>1.235</v>
      </c>
      <c r="I511" s="5" t="n">
        <v>0</v>
      </c>
      <c r="J511" s="5" t="n">
        <v>11.72</v>
      </c>
      <c r="K511" s="5" t="n">
        <v>0</v>
      </c>
      <c r="L511" s="5" t="n">
        <v>1</v>
      </c>
      <c r="M511" s="5" t="n">
        <v>9.782999999999999</v>
      </c>
      <c r="N511" s="5" t="n">
        <v>3.704</v>
      </c>
      <c r="O511" s="5" t="n">
        <v>0</v>
      </c>
      <c r="P511" s="5" t="n">
        <v>9.782999999999999</v>
      </c>
      <c r="Q511" s="5" t="n">
        <v>0</v>
      </c>
      <c r="R511" s="5" t="n">
        <v>1</v>
      </c>
      <c r="S511" s="5" t="n">
        <v>17.893</v>
      </c>
      <c r="T511" s="5" t="n">
        <v>7.408</v>
      </c>
      <c r="U511" s="5" t="n">
        <v>0.212</v>
      </c>
      <c r="V511" s="5" t="n">
        <v>20.756</v>
      </c>
      <c r="W511" s="5" t="n">
        <v>0.16</v>
      </c>
      <c r="X511" s="5" t="n">
        <v>1</v>
      </c>
      <c r="Y511" s="5" t="n">
        <v>6.579</v>
      </c>
      <c r="Z511" s="5" t="n">
        <v>0.889</v>
      </c>
      <c r="AA511" s="5" t="n">
        <v>0</v>
      </c>
      <c r="AB511" s="5" t="n">
        <v>6.579</v>
      </c>
      <c r="AC511" s="5" t="n">
        <v>0</v>
      </c>
      <c r="AD511" s="5" t="n">
        <v>1</v>
      </c>
      <c r="AE511" s="5" t="n">
        <v>7.814</v>
      </c>
      <c r="AF511" s="5" t="n">
        <v>1.827</v>
      </c>
      <c r="AG511" s="5" t="n">
        <v>0</v>
      </c>
      <c r="AH511" s="5" t="n">
        <v>7.814</v>
      </c>
      <c r="AI511" s="5" t="n">
        <v>0</v>
      </c>
      <c r="AJ511" s="5" t="n">
        <v>1</v>
      </c>
      <c r="AK511" s="5" t="n">
        <v>15.222</v>
      </c>
      <c r="AL511" s="5" t="n">
        <v>8.106999999999999</v>
      </c>
      <c r="AM511" s="5" t="n">
        <v>0.18</v>
      </c>
      <c r="AN511" s="5" t="n">
        <v>17.657</v>
      </c>
      <c r="AO511" s="5" t="n">
        <v>0.16</v>
      </c>
      <c r="AP511" s="5" t="n">
        <v>1</v>
      </c>
      <c r="AQ511" s="5" t="n">
        <v>0.861</v>
      </c>
      <c r="AR511" s="5" t="n">
        <v>0.123</v>
      </c>
      <c r="AS511" s="5" t="n">
        <v>0.277</v>
      </c>
      <c r="AT511" s="5" t="n">
        <v>1.321</v>
      </c>
      <c r="AU511" s="5" t="n">
        <v>0.16</v>
      </c>
      <c r="AV511" s="5" t="n">
        <v>1</v>
      </c>
      <c r="AW511" s="5" t="n">
        <v>0.986</v>
      </c>
      <c r="AX511" s="5" t="n">
        <v>0.123</v>
      </c>
      <c r="AY511" s="5" t="n">
        <v>0.018</v>
      </c>
      <c r="AZ511" s="5" t="n">
        <v>1.164</v>
      </c>
      <c r="BA511" s="5" t="n">
        <v>0.16</v>
      </c>
      <c r="BB511" s="5" t="n">
        <v>1</v>
      </c>
      <c r="BC511" s="5" t="n">
        <v>0.598</v>
      </c>
      <c r="BD511" s="5" t="n">
        <v>0.123</v>
      </c>
      <c r="BE511" s="5" t="n">
        <v>-0.272</v>
      </c>
      <c r="BF511" s="5" t="n">
        <v>0.326</v>
      </c>
      <c r="BG511" s="5" t="n">
        <v>0</v>
      </c>
      <c r="BH511" s="5" t="n">
        <v>0</v>
      </c>
      <c r="BI511" s="5" t="n">
        <v>0.612</v>
      </c>
      <c r="BJ511" s="5" t="n">
        <v>0.123</v>
      </c>
      <c r="BK511" s="5" t="n">
        <v>0.505</v>
      </c>
      <c r="BL511" s="5" t="n">
        <v>1.296</v>
      </c>
      <c r="BM511" s="5" t="n">
        <v>0.16</v>
      </c>
      <c r="BN511" s="5" t="n">
        <v>1</v>
      </c>
      <c r="BO511" s="5" t="n">
        <v>0</v>
      </c>
      <c r="BP511" s="5" t="n">
        <v>0</v>
      </c>
      <c r="BQ511" s="5" t="n">
        <v>0.159</v>
      </c>
      <c r="BR511" s="5" t="n">
        <v>0</v>
      </c>
      <c r="BS511" s="5" t="n">
        <v>0.667</v>
      </c>
      <c r="BT511" s="5" t="n">
        <v>0</v>
      </c>
      <c r="BU511" s="5" t="n">
        <v>0</v>
      </c>
      <c r="BV511" s="5" t="n">
        <v>0.159</v>
      </c>
      <c r="BW511" s="5" t="n">
        <v>0</v>
      </c>
      <c r="BX511" s="5" t="n">
        <v>0.667</v>
      </c>
      <c r="BY511" s="5" t="n">
        <v>12.729</v>
      </c>
      <c r="BZ511" s="5" t="n">
        <v>0</v>
      </c>
      <c r="CA511" s="5" t="n">
        <v>12.729</v>
      </c>
      <c r="CB511" s="5" t="n">
        <v>0</v>
      </c>
      <c r="CC511" s="5" t="n">
        <v>97.90000000000001</v>
      </c>
      <c r="CD511" s="5" t="n">
        <v>7.95</v>
      </c>
      <c r="CE511" s="5" t="n">
        <v>1.159</v>
      </c>
      <c r="CF511" s="5" t="n">
        <v>113.564</v>
      </c>
      <c r="CG511" s="5" t="n">
        <v>0.16</v>
      </c>
      <c r="CH511" s="5" t="n">
        <v>1</v>
      </c>
      <c r="CI511" s="5" t="n">
        <v>0</v>
      </c>
      <c r="CJ511" s="5" t="n">
        <v>0</v>
      </c>
      <c r="CK511" s="5" t="n">
        <v>0</v>
      </c>
      <c r="CL511" s="5" t="n">
        <v>0</v>
      </c>
      <c r="CM511" s="5" t="n">
        <v>0</v>
      </c>
      <c r="CN511" s="5" t="n">
        <v>0</v>
      </c>
      <c r="CO511" s="5" t="n">
        <v>0</v>
      </c>
      <c r="CP511" s="5" t="n">
        <v>0</v>
      </c>
      <c r="CQ511" s="5" t="n">
        <v>1.294</v>
      </c>
      <c r="CR511" s="5" t="n">
        <v>0</v>
      </c>
      <c r="CS511" s="5" t="n">
        <v>5.344</v>
      </c>
      <c r="CT511" s="5" t="n">
        <v>10.485</v>
      </c>
      <c r="CU511" s="5" t="n">
        <v>31.326</v>
      </c>
    </row>
    <row r="512">
      <c r="A512" s="5" t="inlineStr">
        <is>
          <t>MRT2023</t>
        </is>
      </c>
      <c r="B512" s="5" t="inlineStr">
        <is>
          <t>MRT</t>
        </is>
      </c>
      <c r="C512" s="5" t="inlineStr">
        <is>
          <t>MRT</t>
        </is>
      </c>
      <c r="D512" s="5" t="inlineStr">
        <is>
          <t>Mauritania</t>
        </is>
      </c>
      <c r="E512" s="5" t="n">
        <v>2023</v>
      </c>
      <c r="F512" s="5" t="n">
        <v>0.16</v>
      </c>
      <c r="G512" s="5" t="n">
        <v>6.147</v>
      </c>
      <c r="H512" s="5" t="n">
        <v>1.286</v>
      </c>
      <c r="I512" s="5" t="n">
        <v>0</v>
      </c>
      <c r="J512" s="5" t="n">
        <v>6.147</v>
      </c>
      <c r="K512" s="5" t="n">
        <v>0</v>
      </c>
      <c r="L512" s="5" t="n">
        <v>1</v>
      </c>
      <c r="M512" s="5" t="n">
        <v>7.886</v>
      </c>
      <c r="N512" s="5" t="n">
        <v>3.857</v>
      </c>
      <c r="O512" s="5" t="n">
        <v>0</v>
      </c>
      <c r="P512" s="5" t="n">
        <v>7.886</v>
      </c>
      <c r="Q512" s="5" t="n">
        <v>0</v>
      </c>
      <c r="R512" s="5" t="n">
        <v>1</v>
      </c>
      <c r="S512" s="5" t="n">
        <v>12.575</v>
      </c>
      <c r="T512" s="5" t="n">
        <v>7.714</v>
      </c>
      <c r="U512" s="5" t="n">
        <v>0.223</v>
      </c>
      <c r="V512" s="5" t="n">
        <v>14.587</v>
      </c>
      <c r="W512" s="5" t="n">
        <v>0.16</v>
      </c>
      <c r="X512" s="5" t="n">
        <v>1</v>
      </c>
      <c r="Y512" s="5" t="n">
        <v>6.85</v>
      </c>
      <c r="Z512" s="5" t="n">
        <v>0.926</v>
      </c>
      <c r="AA512" s="5" t="n">
        <v>0</v>
      </c>
      <c r="AB512" s="5" t="n">
        <v>6.85</v>
      </c>
      <c r="AC512" s="5" t="n">
        <v>0</v>
      </c>
      <c r="AD512" s="5" t="n">
        <v>1</v>
      </c>
      <c r="AE512" s="5" t="n">
        <v>8.135999999999999</v>
      </c>
      <c r="AF512" s="5" t="n">
        <v>1.902</v>
      </c>
      <c r="AG512" s="5" t="n">
        <v>0</v>
      </c>
      <c r="AH512" s="5" t="n">
        <v>8.135999999999999</v>
      </c>
      <c r="AI512" s="5" t="n">
        <v>0</v>
      </c>
      <c r="AJ512" s="5" t="n">
        <v>1</v>
      </c>
      <c r="AK512" s="5" t="n">
        <v>15.85</v>
      </c>
      <c r="AL512" s="5" t="n">
        <v>8.442</v>
      </c>
      <c r="AM512" s="5" t="n">
        <v>0.281</v>
      </c>
      <c r="AN512" s="5" t="n">
        <v>18.386</v>
      </c>
      <c r="AO512" s="5" t="n">
        <v>0.16</v>
      </c>
      <c r="AP512" s="5" t="n">
        <v>1</v>
      </c>
      <c r="AQ512" s="5" t="n">
        <v>0.76</v>
      </c>
      <c r="AR512" s="5" t="n">
        <v>0.129</v>
      </c>
      <c r="AS512" s="5" t="n">
        <v>0.532</v>
      </c>
      <c r="AT512" s="5" t="n">
        <v>1.499</v>
      </c>
      <c r="AU512" s="5" t="n">
        <v>0.16</v>
      </c>
      <c r="AV512" s="5" t="n">
        <v>1</v>
      </c>
      <c r="AW512" s="5" t="n">
        <v>0.8110000000000001</v>
      </c>
      <c r="AX512" s="5" t="n">
        <v>0.129</v>
      </c>
      <c r="AY512" s="5" t="n">
        <v>0.329</v>
      </c>
      <c r="AZ512" s="5" t="n">
        <v>1.323</v>
      </c>
      <c r="BA512" s="5" t="n">
        <v>0.16</v>
      </c>
      <c r="BB512" s="5" t="n">
        <v>1</v>
      </c>
      <c r="BC512" s="5" t="n">
        <v>0.535</v>
      </c>
      <c r="BD512" s="5" t="n">
        <v>0.129</v>
      </c>
      <c r="BE512" s="5" t="n">
        <v>-0.211</v>
      </c>
      <c r="BF512" s="5" t="n">
        <v>0.324</v>
      </c>
      <c r="BG512" s="5" t="n">
        <v>0</v>
      </c>
      <c r="BH512" s="5" t="n">
        <v>0</v>
      </c>
      <c r="BI512" s="5" t="n">
        <v>0.579</v>
      </c>
      <c r="BJ512" s="5" t="n">
        <v>0.129</v>
      </c>
      <c r="BK512" s="5" t="n">
        <v>0.532</v>
      </c>
      <c r="BL512" s="5" t="n">
        <v>1.289</v>
      </c>
      <c r="BM512" s="5" t="n">
        <v>0.16</v>
      </c>
      <c r="BN512" s="5" t="n">
        <v>1</v>
      </c>
      <c r="BO512" s="5" t="n">
        <v>0</v>
      </c>
      <c r="BP512" s="5" t="n">
        <v>0</v>
      </c>
      <c r="BQ512" s="5" t="n">
        <v>0.165</v>
      </c>
      <c r="BR512" s="5" t="n">
        <v>0</v>
      </c>
      <c r="BS512" s="5" t="n">
        <v>0.667</v>
      </c>
      <c r="BT512" s="5" t="n">
        <v>0</v>
      </c>
      <c r="BU512" s="5" t="n">
        <v>0</v>
      </c>
      <c r="BV512" s="5" t="n">
        <v>0.165</v>
      </c>
      <c r="BW512" s="5" t="n">
        <v>0</v>
      </c>
      <c r="BX512" s="5" t="n">
        <v>0.667</v>
      </c>
      <c r="BY512" s="5" t="n">
        <v>13.254</v>
      </c>
      <c r="BZ512" s="5" t="n">
        <v>0</v>
      </c>
      <c r="CA512" s="5" t="n">
        <v>13.254</v>
      </c>
      <c r="CB512" s="5" t="n">
        <v>0</v>
      </c>
      <c r="CC512" s="5" t="n">
        <v>83.248</v>
      </c>
      <c r="CD512" s="5" t="n">
        <v>7.95</v>
      </c>
      <c r="CE512" s="5" t="n">
        <v>1.475</v>
      </c>
      <c r="CF512" s="5" t="n">
        <v>96.568</v>
      </c>
      <c r="CG512" s="5" t="n">
        <v>0.16</v>
      </c>
      <c r="CH512" s="5" t="n">
        <v>1</v>
      </c>
      <c r="CI512" s="5" t="n">
        <v>0</v>
      </c>
      <c r="CJ512" s="5" t="n">
        <v>0</v>
      </c>
      <c r="CK512" s="5" t="n">
        <v>0</v>
      </c>
      <c r="CL512" s="5" t="n">
        <v>0</v>
      </c>
      <c r="CM512" s="5" t="n">
        <v>0</v>
      </c>
      <c r="CN512" s="5" t="n">
        <v>0</v>
      </c>
      <c r="CO512" s="5" t="n">
        <v>0</v>
      </c>
      <c r="CP512" s="5" t="n">
        <v>0</v>
      </c>
      <c r="CQ512" s="5" t="n">
        <v>1.348</v>
      </c>
      <c r="CR512" s="5" t="n">
        <v>0</v>
      </c>
      <c r="CS512" s="5" t="n">
        <v>5.565</v>
      </c>
      <c r="CT512" s="5" t="n">
        <v>4.861</v>
      </c>
      <c r="CU512" s="5" t="n">
        <v>11.622</v>
      </c>
    </row>
    <row r="513">
      <c r="A513" s="5" t="inlineStr">
        <is>
          <t>MRT2024</t>
        </is>
      </c>
      <c r="B513" s="5" t="inlineStr">
        <is>
          <t>MRT</t>
        </is>
      </c>
      <c r="C513" s="5" t="inlineStr">
        <is>
          <t>MRT</t>
        </is>
      </c>
      <c r="D513" s="5" t="inlineStr">
        <is>
          <t>Mauritania</t>
        </is>
      </c>
      <c r="E513" s="5" t="n">
        <v>2024</v>
      </c>
      <c r="F513" s="5" t="n">
        <v>0.16</v>
      </c>
      <c r="G513" s="5" t="n">
        <v>5.575</v>
      </c>
      <c r="H513" s="5" t="n">
        <v>1.324</v>
      </c>
      <c r="I513" s="5" t="n">
        <v>0</v>
      </c>
      <c r="J513" s="5" t="n">
        <v>5.575</v>
      </c>
      <c r="K513" s="5" t="n">
        <v>0</v>
      </c>
      <c r="L513" s="5" t="n">
        <v>1</v>
      </c>
      <c r="M513" s="5" t="n">
        <v>7.124</v>
      </c>
      <c r="N513" s="5" t="n">
        <v>3.971</v>
      </c>
      <c r="O513" s="5" t="n">
        <v>0</v>
      </c>
      <c r="P513" s="5" t="n">
        <v>7.124</v>
      </c>
      <c r="Q513" s="5" t="n">
        <v>0</v>
      </c>
      <c r="R513" s="5" t="n">
        <v>1</v>
      </c>
      <c r="S513" s="5" t="n">
        <v>12.193</v>
      </c>
      <c r="T513" s="5" t="n">
        <v>7.942</v>
      </c>
      <c r="U513" s="5" t="n">
        <v>0.266</v>
      </c>
      <c r="V513" s="5" t="n">
        <v>14.144</v>
      </c>
      <c r="W513" s="5" t="n">
        <v>0.16</v>
      </c>
      <c r="X513" s="5" t="n">
        <v>1</v>
      </c>
      <c r="Y513" s="5" t="n">
        <v>7.053</v>
      </c>
      <c r="Z513" s="5" t="n">
        <v>0.953</v>
      </c>
      <c r="AA513" s="5" t="n">
        <v>0</v>
      </c>
      <c r="AB513" s="5" t="n">
        <v>7.053</v>
      </c>
      <c r="AC513" s="5" t="n">
        <v>0</v>
      </c>
      <c r="AD513" s="5" t="n">
        <v>1</v>
      </c>
      <c r="AE513" s="5" t="n">
        <v>8.375999999999999</v>
      </c>
      <c r="AF513" s="5" t="n">
        <v>1.959</v>
      </c>
      <c r="AG513" s="5" t="n">
        <v>0</v>
      </c>
      <c r="AH513" s="5" t="n">
        <v>8.375999999999999</v>
      </c>
      <c r="AI513" s="5" t="n">
        <v>0</v>
      </c>
      <c r="AJ513" s="5" t="n">
        <v>1</v>
      </c>
      <c r="AK513" s="5" t="n">
        <v>16.318</v>
      </c>
      <c r="AL513" s="5" t="n">
        <v>8.691000000000001</v>
      </c>
      <c r="AM513" s="5" t="n">
        <v>0.356</v>
      </c>
      <c r="AN513" s="5" t="n">
        <v>18.929</v>
      </c>
      <c r="AO513" s="5" t="n">
        <v>0.16</v>
      </c>
      <c r="AP513" s="5" t="n">
        <v>1</v>
      </c>
      <c r="AQ513" s="5" t="n">
        <v>0.724</v>
      </c>
      <c r="AR513" s="5" t="n">
        <v>0.132</v>
      </c>
      <c r="AS513" s="5" t="n">
        <v>0.383</v>
      </c>
      <c r="AT513" s="5" t="n">
        <v>1.285</v>
      </c>
      <c r="AU513" s="5" t="n">
        <v>0.16</v>
      </c>
      <c r="AV513" s="5" t="n">
        <v>1</v>
      </c>
      <c r="AW513" s="5" t="n">
        <v>0.75</v>
      </c>
      <c r="AX513" s="5" t="n">
        <v>0.132</v>
      </c>
      <c r="AY513" s="5" t="n">
        <v>0.286</v>
      </c>
      <c r="AZ513" s="5" t="n">
        <v>1.202</v>
      </c>
      <c r="BA513" s="5" t="n">
        <v>0.16</v>
      </c>
      <c r="BB513" s="5" t="n">
        <v>1</v>
      </c>
      <c r="BC513" s="5" t="n">
        <v>0.513</v>
      </c>
      <c r="BD513" s="5" t="n">
        <v>0.132</v>
      </c>
      <c r="BE513" s="5" t="n">
        <v>-0.194</v>
      </c>
      <c r="BF513" s="5" t="n">
        <v>0.319</v>
      </c>
      <c r="BG513" s="5" t="n">
        <v>0</v>
      </c>
      <c r="BH513" s="5" t="n">
        <v>0</v>
      </c>
      <c r="BI513" s="5" t="n">
        <v>0.591</v>
      </c>
      <c r="BJ513" s="5" t="n">
        <v>0.132</v>
      </c>
      <c r="BK513" s="5" t="n">
        <v>0.544</v>
      </c>
      <c r="BL513" s="5" t="n">
        <v>1.317</v>
      </c>
      <c r="BM513" s="5" t="n">
        <v>0.16</v>
      </c>
      <c r="BN513" s="5" t="n">
        <v>1</v>
      </c>
      <c r="BO513" s="5" t="n">
        <v>0</v>
      </c>
      <c r="BP513" s="5" t="n">
        <v>0</v>
      </c>
      <c r="BQ513" s="5" t="n">
        <v>0.17</v>
      </c>
      <c r="BR513" s="5" t="n">
        <v>0</v>
      </c>
      <c r="BS513" s="5" t="n">
        <v>0.667</v>
      </c>
      <c r="BT513" s="5" t="n">
        <v>0</v>
      </c>
      <c r="BU513" s="5" t="n">
        <v>0</v>
      </c>
      <c r="BV513" s="5" t="n">
        <v>0.17</v>
      </c>
      <c r="BW513" s="5" t="n">
        <v>0</v>
      </c>
      <c r="BX513" s="5" t="n">
        <v>0.667</v>
      </c>
      <c r="BY513" s="5" t="n">
        <v>13.646</v>
      </c>
      <c r="BZ513" s="5" t="n">
        <v>0</v>
      </c>
      <c r="CA513" s="5" t="n">
        <v>13.646</v>
      </c>
      <c r="CB513" s="5" t="n">
        <v>0</v>
      </c>
      <c r="CC513" s="5" t="n">
        <v>82.58799999999999</v>
      </c>
      <c r="CD513" s="5" t="n">
        <v>7.95</v>
      </c>
      <c r="CE513" s="5" t="n">
        <v>1.8</v>
      </c>
      <c r="CF513" s="5" t="n">
        <v>95.80200000000001</v>
      </c>
      <c r="CG513" s="5" t="n">
        <v>0.16</v>
      </c>
      <c r="CH513" s="5" t="n">
        <v>1</v>
      </c>
      <c r="CI513" s="5" t="n">
        <v>0</v>
      </c>
      <c r="CJ513" s="5" t="n">
        <v>0</v>
      </c>
      <c r="CK513" s="5" t="n">
        <v>0</v>
      </c>
      <c r="CL513" s="5" t="n">
        <v>0</v>
      </c>
      <c r="CM513" s="5" t="n">
        <v>0</v>
      </c>
      <c r="CN513" s="5" t="n">
        <v>0</v>
      </c>
      <c r="CO513" s="5" t="n">
        <v>0</v>
      </c>
      <c r="CP513" s="5" t="n">
        <v>0</v>
      </c>
      <c r="CQ513" s="5" t="n">
        <v>1.387</v>
      </c>
      <c r="CR513" s="5" t="n">
        <v>0</v>
      </c>
      <c r="CS513" s="5" t="n">
        <v>5.729</v>
      </c>
      <c r="CT513" s="5" t="n">
        <v>4.251</v>
      </c>
      <c r="CU513" s="5" t="n">
        <v>10.168</v>
      </c>
    </row>
    <row r="514">
      <c r="A514" s="5" t="inlineStr">
        <is>
          <t>MUS2021</t>
        </is>
      </c>
      <c r="B514" s="5" t="inlineStr">
        <is>
          <t>MUS</t>
        </is>
      </c>
      <c r="C514" s="5" t="inlineStr">
        <is>
          <t>MUS</t>
        </is>
      </c>
      <c r="D514" s="5" t="inlineStr">
        <is>
          <t>Mauritius</t>
        </is>
      </c>
      <c r="E514" s="5" t="n">
        <v>2021</v>
      </c>
      <c r="F514" s="5" t="n">
        <v>0.15</v>
      </c>
      <c r="G514" s="5" t="n">
        <v>5.897</v>
      </c>
      <c r="H514" s="5" t="n">
        <v>1.143</v>
      </c>
      <c r="I514" s="5" t="n">
        <v>0</v>
      </c>
      <c r="J514" s="5" t="n">
        <v>5.897</v>
      </c>
      <c r="K514" s="5" t="n">
        <v>0</v>
      </c>
      <c r="L514" s="5" t="n">
        <v>1</v>
      </c>
      <c r="M514" s="5" t="n">
        <v>7.964</v>
      </c>
      <c r="N514" s="5" t="n">
        <v>3.43</v>
      </c>
      <c r="O514" s="5" t="n">
        <v>0.227</v>
      </c>
      <c r="P514" s="5" t="n">
        <v>8.192</v>
      </c>
      <c r="Q514" s="5" t="n">
        <v>0</v>
      </c>
      <c r="R514" s="5" t="n">
        <v>1</v>
      </c>
      <c r="S514" s="5" t="n">
        <v>11.613</v>
      </c>
      <c r="T514" s="5" t="n">
        <v>6.86</v>
      </c>
      <c r="U514" s="5" t="n">
        <v>0</v>
      </c>
      <c r="V514" s="5" t="n">
        <v>13.355</v>
      </c>
      <c r="W514" s="5" t="n">
        <v>0.15</v>
      </c>
      <c r="X514" s="5" t="n">
        <v>1</v>
      </c>
      <c r="Y514" s="5" t="n">
        <v>6.258</v>
      </c>
      <c r="Z514" s="5" t="n">
        <v>0.846</v>
      </c>
      <c r="AA514" s="5" t="n">
        <v>0</v>
      </c>
      <c r="AB514" s="5" t="n">
        <v>6.258</v>
      </c>
      <c r="AC514" s="5" t="n">
        <v>0</v>
      </c>
      <c r="AD514" s="5" t="n">
        <v>1</v>
      </c>
      <c r="AE514" s="5" t="n">
        <v>7.401</v>
      </c>
      <c r="AF514" s="5" t="n">
        <v>1.731</v>
      </c>
      <c r="AG514" s="5" t="n">
        <v>0</v>
      </c>
      <c r="AH514" s="5" t="n">
        <v>7.401</v>
      </c>
      <c r="AI514" s="5" t="n">
        <v>0</v>
      </c>
      <c r="AJ514" s="5" t="n">
        <v>1</v>
      </c>
      <c r="AK514" s="5" t="n">
        <v>14.261</v>
      </c>
      <c r="AL514" s="5" t="n">
        <v>7.595</v>
      </c>
      <c r="AM514" s="5" t="n">
        <v>0</v>
      </c>
      <c r="AN514" s="5" t="n">
        <v>16.401</v>
      </c>
      <c r="AO514" s="5" t="n">
        <v>0.15</v>
      </c>
      <c r="AP514" s="5" t="n">
        <v>1</v>
      </c>
      <c r="AQ514" s="5" t="n">
        <v>0.601</v>
      </c>
      <c r="AR514" s="5" t="n">
        <v>0.11</v>
      </c>
      <c r="AS514" s="5" t="n">
        <v>0.301</v>
      </c>
      <c r="AT514" s="5" t="n">
        <v>1.047</v>
      </c>
      <c r="AU514" s="5" t="n">
        <v>0.16</v>
      </c>
      <c r="AV514" s="5" t="n">
        <v>1</v>
      </c>
      <c r="AW514" s="5" t="n">
        <v>0.586</v>
      </c>
      <c r="AX514" s="5" t="n">
        <v>0.113</v>
      </c>
      <c r="AY514" s="5" t="n">
        <v>0.21</v>
      </c>
      <c r="AZ514" s="5" t="n">
        <v>0.922</v>
      </c>
      <c r="BA514" s="5" t="n">
        <v>0.16</v>
      </c>
      <c r="BB514" s="5" t="n">
        <v>1</v>
      </c>
      <c r="BC514" s="5" t="n">
        <v>0.329</v>
      </c>
      <c r="BD514" s="5" t="n">
        <v>0.08500000000000001</v>
      </c>
      <c r="BE514" s="5" t="n">
        <v>0.005</v>
      </c>
      <c r="BF514" s="5" t="n">
        <v>0.334</v>
      </c>
      <c r="BG514" s="5" t="n">
        <v>0</v>
      </c>
      <c r="BH514" s="5" t="n">
        <v>1</v>
      </c>
      <c r="BI514" s="5" t="n">
        <v>0.885</v>
      </c>
      <c r="BJ514" s="5" t="n">
        <v>0.196</v>
      </c>
      <c r="BK514" s="5" t="n">
        <v>0.122</v>
      </c>
      <c r="BL514" s="5" t="n">
        <v>1.168</v>
      </c>
      <c r="BM514" s="5" t="n">
        <v>0.16</v>
      </c>
      <c r="BN514" s="5" t="n">
        <v>1</v>
      </c>
      <c r="BO514" s="5" t="n">
        <v>0</v>
      </c>
      <c r="BP514" s="5" t="n">
        <v>0</v>
      </c>
      <c r="BQ514" s="5" t="n">
        <v>0.13</v>
      </c>
      <c r="BR514" s="5" t="n">
        <v>0</v>
      </c>
      <c r="BS514" s="5" t="n">
        <v>0.333</v>
      </c>
      <c r="BT514" s="5" t="n">
        <v>0</v>
      </c>
      <c r="BU514" s="5" t="n">
        <v>0</v>
      </c>
      <c r="BV514" s="5" t="n">
        <v>0.145</v>
      </c>
      <c r="BW514" s="5" t="n">
        <v>0.15</v>
      </c>
      <c r="BX514" s="5" t="n">
        <v>0.5</v>
      </c>
      <c r="BY514" s="5" t="n">
        <v>11.787</v>
      </c>
      <c r="BZ514" s="5" t="n">
        <v>0</v>
      </c>
      <c r="CA514" s="5" t="n">
        <v>11.787</v>
      </c>
      <c r="CB514" s="5" t="n">
        <v>0</v>
      </c>
      <c r="CC514" s="5" t="n">
        <v>72.879</v>
      </c>
      <c r="CD514" s="5" t="n">
        <v>2.704</v>
      </c>
      <c r="CE514" s="5" t="n">
        <v>12.966</v>
      </c>
      <c r="CF514" s="5" t="n">
        <v>85.846</v>
      </c>
      <c r="CG514" s="5" t="n">
        <v>0</v>
      </c>
      <c r="CH514" s="5" t="n">
        <v>1</v>
      </c>
      <c r="CI514" s="5" t="n">
        <v>0</v>
      </c>
      <c r="CJ514" s="5" t="n">
        <v>0</v>
      </c>
      <c r="CK514" s="5" t="n">
        <v>0</v>
      </c>
      <c r="CL514" s="5" t="n">
        <v>0</v>
      </c>
      <c r="CM514" s="5" t="n">
        <v>0</v>
      </c>
      <c r="CN514" s="5" t="n">
        <v>0</v>
      </c>
      <c r="CO514" s="5" t="n">
        <v>0</v>
      </c>
      <c r="CP514" s="5" t="n">
        <v>0</v>
      </c>
      <c r="CQ514" s="5" t="n">
        <v>1.198</v>
      </c>
      <c r="CR514" s="5" t="n">
        <v>0</v>
      </c>
      <c r="CS514" s="5" t="n">
        <v>4.776</v>
      </c>
      <c r="CT514" s="5" t="n">
        <v>4.753</v>
      </c>
      <c r="CU514" s="5" t="n">
        <v>15.162</v>
      </c>
    </row>
    <row r="515">
      <c r="A515" s="5" t="inlineStr">
        <is>
          <t>MUS2022</t>
        </is>
      </c>
      <c r="B515" s="5" t="inlineStr">
        <is>
          <t>MUS</t>
        </is>
      </c>
      <c r="C515" s="5" t="inlineStr">
        <is>
          <t>MUS</t>
        </is>
      </c>
      <c r="D515" s="5" t="inlineStr">
        <is>
          <t>Mauritius</t>
        </is>
      </c>
      <c r="E515" s="5" t="n">
        <v>2022</v>
      </c>
      <c r="F515" s="5" t="n">
        <v>0.15</v>
      </c>
      <c r="G515" s="5" t="n">
        <v>11.72</v>
      </c>
      <c r="H515" s="5" t="n">
        <v>1.235</v>
      </c>
      <c r="I515" s="5" t="n">
        <v>0</v>
      </c>
      <c r="J515" s="5" t="n">
        <v>11.72</v>
      </c>
      <c r="K515" s="5" t="n">
        <v>0</v>
      </c>
      <c r="L515" s="5" t="n">
        <v>1</v>
      </c>
      <c r="M515" s="5" t="n">
        <v>9.782999999999999</v>
      </c>
      <c r="N515" s="5" t="n">
        <v>3.704</v>
      </c>
      <c r="O515" s="5" t="n">
        <v>0.245</v>
      </c>
      <c r="P515" s="5" t="n">
        <v>10.028</v>
      </c>
      <c r="Q515" s="5" t="n">
        <v>0</v>
      </c>
      <c r="R515" s="5" t="n">
        <v>1</v>
      </c>
      <c r="S515" s="5" t="n">
        <v>17.893</v>
      </c>
      <c r="T515" s="5" t="n">
        <v>7.408</v>
      </c>
      <c r="U515" s="5" t="n">
        <v>0.199</v>
      </c>
      <c r="V515" s="5" t="n">
        <v>20.577</v>
      </c>
      <c r="W515" s="5" t="n">
        <v>0.15</v>
      </c>
      <c r="X515" s="5" t="n">
        <v>1</v>
      </c>
      <c r="Y515" s="5" t="n">
        <v>6.392</v>
      </c>
      <c r="Z515" s="5" t="n">
        <v>0.864</v>
      </c>
      <c r="AA515" s="5" t="n">
        <v>0</v>
      </c>
      <c r="AB515" s="5" t="n">
        <v>6.392</v>
      </c>
      <c r="AC515" s="5" t="n">
        <v>0</v>
      </c>
      <c r="AD515" s="5" t="n">
        <v>1</v>
      </c>
      <c r="AE515" s="5" t="n">
        <v>7.627</v>
      </c>
      <c r="AF515" s="5" t="n">
        <v>1.783</v>
      </c>
      <c r="AG515" s="5" t="n">
        <v>0</v>
      </c>
      <c r="AH515" s="5" t="n">
        <v>7.627</v>
      </c>
      <c r="AI515" s="5" t="n">
        <v>0</v>
      </c>
      <c r="AJ515" s="5" t="n">
        <v>1</v>
      </c>
      <c r="AK515" s="5" t="n">
        <v>15.035</v>
      </c>
      <c r="AL515" s="5" t="n">
        <v>8.007999999999999</v>
      </c>
      <c r="AM515" s="5" t="n">
        <v>0.167</v>
      </c>
      <c r="AN515" s="5" t="n">
        <v>17.29</v>
      </c>
      <c r="AO515" s="5" t="n">
        <v>0.15</v>
      </c>
      <c r="AP515" s="5" t="n">
        <v>1</v>
      </c>
      <c r="AQ515" s="5" t="n">
        <v>0.526</v>
      </c>
      <c r="AR515" s="5" t="n">
        <v>0.075</v>
      </c>
      <c r="AS515" s="5" t="n">
        <v>0.326</v>
      </c>
      <c r="AT515" s="5" t="n">
        <v>0.988</v>
      </c>
      <c r="AU515" s="5" t="n">
        <v>0.16</v>
      </c>
      <c r="AV515" s="5" t="n">
        <v>1</v>
      </c>
      <c r="AW515" s="5" t="n">
        <v>0.515</v>
      </c>
      <c r="AX515" s="5" t="n">
        <v>0.067</v>
      </c>
      <c r="AY515" s="5" t="n">
        <v>0.235</v>
      </c>
      <c r="AZ515" s="5" t="n">
        <v>0.87</v>
      </c>
      <c r="BA515" s="5" t="n">
        <v>0.16</v>
      </c>
      <c r="BB515" s="5" t="n">
        <v>1</v>
      </c>
      <c r="BC515" s="5" t="n">
        <v>0.309</v>
      </c>
      <c r="BD515" s="5" t="n">
        <v>0.064</v>
      </c>
      <c r="BE515" s="5" t="n">
        <v>0.006</v>
      </c>
      <c r="BF515" s="5" t="n">
        <v>0.315</v>
      </c>
      <c r="BG515" s="5" t="n">
        <v>0</v>
      </c>
      <c r="BH515" s="5" t="n">
        <v>1</v>
      </c>
      <c r="BI515" s="5" t="n">
        <v>0.844</v>
      </c>
      <c r="BJ515" s="5" t="n">
        <v>0.165</v>
      </c>
      <c r="BK515" s="5" t="n">
        <v>0.106</v>
      </c>
      <c r="BL515" s="5" t="n">
        <v>1.102</v>
      </c>
      <c r="BM515" s="5" t="n">
        <v>0.16</v>
      </c>
      <c r="BN515" s="5" t="n">
        <v>1</v>
      </c>
      <c r="BO515" s="5" t="n">
        <v>0</v>
      </c>
      <c r="BP515" s="5" t="n">
        <v>0</v>
      </c>
      <c r="BQ515" s="5" t="n">
        <v>0.122</v>
      </c>
      <c r="BR515" s="5" t="n">
        <v>0</v>
      </c>
      <c r="BS515" s="5" t="n">
        <v>0.333</v>
      </c>
      <c r="BT515" s="5" t="n">
        <v>0</v>
      </c>
      <c r="BU515" s="5" t="n">
        <v>0</v>
      </c>
      <c r="BV515" s="5" t="n">
        <v>0.137</v>
      </c>
      <c r="BW515" s="5" t="n">
        <v>0.15</v>
      </c>
      <c r="BX515" s="5" t="n">
        <v>0.5</v>
      </c>
      <c r="BY515" s="5" t="n">
        <v>12.729</v>
      </c>
      <c r="BZ515" s="5" t="n">
        <v>0</v>
      </c>
      <c r="CA515" s="5" t="n">
        <v>12.729</v>
      </c>
      <c r="CB515" s="5" t="n">
        <v>0</v>
      </c>
      <c r="CC515" s="5" t="n">
        <v>74.241</v>
      </c>
      <c r="CD515" s="5" t="n">
        <v>-15.709</v>
      </c>
      <c r="CE515" s="5" t="n">
        <v>13.531</v>
      </c>
      <c r="CF515" s="5" t="n">
        <v>87.77200000000001</v>
      </c>
      <c r="CG515" s="5" t="n">
        <v>0</v>
      </c>
      <c r="CH515" s="5" t="n">
        <v>1</v>
      </c>
      <c r="CI515" s="5" t="n">
        <v>0</v>
      </c>
      <c r="CJ515" s="5" t="n">
        <v>0</v>
      </c>
      <c r="CK515" s="5" t="n">
        <v>0</v>
      </c>
      <c r="CL515" s="5" t="n">
        <v>0</v>
      </c>
      <c r="CM515" s="5" t="n">
        <v>0</v>
      </c>
      <c r="CN515" s="5" t="n">
        <v>0</v>
      </c>
      <c r="CO515" s="5" t="n">
        <v>0</v>
      </c>
      <c r="CP515" s="5" t="n">
        <v>0</v>
      </c>
      <c r="CQ515" s="5" t="n">
        <v>1.294</v>
      </c>
      <c r="CR515" s="5" t="n">
        <v>0</v>
      </c>
      <c r="CS515" s="5" t="n">
        <v>5.158</v>
      </c>
      <c r="CT515" s="5" t="n">
        <v>10.485</v>
      </c>
      <c r="CU515" s="5" t="n">
        <v>31.326</v>
      </c>
    </row>
    <row r="516">
      <c r="A516" s="5" t="inlineStr">
        <is>
          <t>MUS2023</t>
        </is>
      </c>
      <c r="B516" s="5" t="inlineStr">
        <is>
          <t>MUS</t>
        </is>
      </c>
      <c r="C516" s="5" t="inlineStr">
        <is>
          <t>MUS</t>
        </is>
      </c>
      <c r="D516" s="5" t="inlineStr">
        <is>
          <t>Mauritius</t>
        </is>
      </c>
      <c r="E516" s="5" t="n">
        <v>2023</v>
      </c>
      <c r="F516" s="5" t="n">
        <v>0.15</v>
      </c>
      <c r="G516" s="5" t="n">
        <v>5.882</v>
      </c>
      <c r="H516" s="5" t="n">
        <v>1.245</v>
      </c>
      <c r="I516" s="5" t="n">
        <v>0</v>
      </c>
      <c r="J516" s="5" t="n">
        <v>5.882</v>
      </c>
      <c r="K516" s="5" t="n">
        <v>0</v>
      </c>
      <c r="L516" s="5" t="n">
        <v>1</v>
      </c>
      <c r="M516" s="5" t="n">
        <v>7.592</v>
      </c>
      <c r="N516" s="5" t="n">
        <v>3.734</v>
      </c>
      <c r="O516" s="5" t="n">
        <v>0.255</v>
      </c>
      <c r="P516" s="5" t="n">
        <v>7.848</v>
      </c>
      <c r="Q516" s="5" t="n">
        <v>0</v>
      </c>
      <c r="R516" s="5" t="n">
        <v>1</v>
      </c>
      <c r="S516" s="5" t="n">
        <v>12.105</v>
      </c>
      <c r="T516" s="5" t="n">
        <v>7.468</v>
      </c>
      <c r="U516" s="5" t="n">
        <v>0.201</v>
      </c>
      <c r="V516" s="5" t="n">
        <v>13.921</v>
      </c>
      <c r="W516" s="5" t="n">
        <v>0.15</v>
      </c>
      <c r="X516" s="5" t="n">
        <v>1</v>
      </c>
      <c r="Y516" s="5" t="n">
        <v>6.656</v>
      </c>
      <c r="Z516" s="5" t="n">
        <v>0.9</v>
      </c>
      <c r="AA516" s="5" t="n">
        <v>0</v>
      </c>
      <c r="AB516" s="5" t="n">
        <v>6.656</v>
      </c>
      <c r="AC516" s="5" t="n">
        <v>0</v>
      </c>
      <c r="AD516" s="5" t="n">
        <v>1</v>
      </c>
      <c r="AE516" s="5" t="n">
        <v>7.942</v>
      </c>
      <c r="AF516" s="5" t="n">
        <v>1.857</v>
      </c>
      <c r="AG516" s="5" t="n">
        <v>0</v>
      </c>
      <c r="AH516" s="5" t="n">
        <v>7.942</v>
      </c>
      <c r="AI516" s="5" t="n">
        <v>0</v>
      </c>
      <c r="AJ516" s="5" t="n">
        <v>1</v>
      </c>
      <c r="AK516" s="5" t="n">
        <v>15.656</v>
      </c>
      <c r="AL516" s="5" t="n">
        <v>8.337999999999999</v>
      </c>
      <c r="AM516" s="5" t="n">
        <v>0.26</v>
      </c>
      <c r="AN516" s="5" t="n">
        <v>18.004</v>
      </c>
      <c r="AO516" s="5" t="n">
        <v>0.15</v>
      </c>
      <c r="AP516" s="5" t="n">
        <v>1</v>
      </c>
      <c r="AQ516" s="5" t="n">
        <v>0.743</v>
      </c>
      <c r="AR516" s="5" t="n">
        <v>0.125</v>
      </c>
      <c r="AS516" s="5" t="n">
        <v>0.336</v>
      </c>
      <c r="AT516" s="5" t="n">
        <v>1.251</v>
      </c>
      <c r="AU516" s="5" t="n">
        <v>0.16</v>
      </c>
      <c r="AV516" s="5" t="n">
        <v>1</v>
      </c>
      <c r="AW516" s="5" t="n">
        <v>0.647</v>
      </c>
      <c r="AX516" s="5" t="n">
        <v>0.111</v>
      </c>
      <c r="AY516" s="5" t="n">
        <v>0.305</v>
      </c>
      <c r="AZ516" s="5" t="n">
        <v>1.104</v>
      </c>
      <c r="BA516" s="5" t="n">
        <v>0.16</v>
      </c>
      <c r="BB516" s="5" t="n">
        <v>1</v>
      </c>
      <c r="BC516" s="5" t="n">
        <v>0.302</v>
      </c>
      <c r="BD516" s="5" t="n">
        <v>0.073</v>
      </c>
      <c r="BE516" s="5" t="n">
        <v>0.005</v>
      </c>
      <c r="BF516" s="5" t="n">
        <v>0.308</v>
      </c>
      <c r="BG516" s="5" t="n">
        <v>0</v>
      </c>
      <c r="BH516" s="5" t="n">
        <v>1</v>
      </c>
      <c r="BI516" s="5" t="n">
        <v>0.779</v>
      </c>
      <c r="BJ516" s="5" t="n">
        <v>0.17</v>
      </c>
      <c r="BK516" s="5" t="n">
        <v>0.148</v>
      </c>
      <c r="BL516" s="5" t="n">
        <v>1.076</v>
      </c>
      <c r="BM516" s="5" t="n">
        <v>0.16</v>
      </c>
      <c r="BN516" s="5" t="n">
        <v>1</v>
      </c>
      <c r="BO516" s="5" t="n">
        <v>0</v>
      </c>
      <c r="BP516" s="5" t="n">
        <v>0</v>
      </c>
      <c r="BQ516" s="5" t="n">
        <v>0.128</v>
      </c>
      <c r="BR516" s="5" t="n">
        <v>0</v>
      </c>
      <c r="BS516" s="5" t="n">
        <v>0.333</v>
      </c>
      <c r="BT516" s="5" t="n">
        <v>0</v>
      </c>
      <c r="BU516" s="5" t="n">
        <v>0</v>
      </c>
      <c r="BV516" s="5" t="n">
        <v>0.135</v>
      </c>
      <c r="BW516" s="5" t="n">
        <v>0.15</v>
      </c>
      <c r="BX516" s="5" t="n">
        <v>0.5</v>
      </c>
      <c r="BY516" s="5" t="n">
        <v>13.254</v>
      </c>
      <c r="BZ516" s="5" t="n">
        <v>0</v>
      </c>
      <c r="CA516" s="5" t="n">
        <v>13.254</v>
      </c>
      <c r="CB516" s="5" t="n">
        <v>0</v>
      </c>
      <c r="CC516" s="5" t="n">
        <v>97.506</v>
      </c>
      <c r="CD516" s="5" t="n">
        <v>22.208</v>
      </c>
      <c r="CE516" s="5" t="n">
        <v>15.104</v>
      </c>
      <c r="CF516" s="5" t="n">
        <v>112.61</v>
      </c>
      <c r="CG516" s="5" t="n">
        <v>0</v>
      </c>
      <c r="CH516" s="5" t="n">
        <v>1</v>
      </c>
      <c r="CI516" s="5" t="n">
        <v>0</v>
      </c>
      <c r="CJ516" s="5" t="n">
        <v>0</v>
      </c>
      <c r="CK516" s="5" t="n">
        <v>0</v>
      </c>
      <c r="CL516" s="5" t="n">
        <v>0</v>
      </c>
      <c r="CM516" s="5" t="n">
        <v>0</v>
      </c>
      <c r="CN516" s="5" t="n">
        <v>0</v>
      </c>
      <c r="CO516" s="5" t="n">
        <v>0</v>
      </c>
      <c r="CP516" s="5" t="n">
        <v>0.064</v>
      </c>
      <c r="CQ516" s="5" t="n">
        <v>1.348</v>
      </c>
      <c r="CR516" s="5" t="n">
        <v>0</v>
      </c>
      <c r="CS516" s="5" t="n">
        <v>5.37</v>
      </c>
      <c r="CT516" s="5" t="n">
        <v>4.861</v>
      </c>
      <c r="CU516" s="5" t="n">
        <v>11.622</v>
      </c>
    </row>
    <row r="517">
      <c r="A517" s="5" t="inlineStr">
        <is>
          <t>MUS2024</t>
        </is>
      </c>
      <c r="B517" s="5" t="inlineStr">
        <is>
          <t>MUS</t>
        </is>
      </c>
      <c r="C517" s="5" t="inlineStr">
        <is>
          <t>MUS</t>
        </is>
      </c>
      <c r="D517" s="5" t="inlineStr">
        <is>
          <t>Mauritius</t>
        </is>
      </c>
      <c r="E517" s="5" t="n">
        <v>2024</v>
      </c>
      <c r="F517" s="5" t="n">
        <v>0.15</v>
      </c>
      <c r="G517" s="5" t="n">
        <v>5.35</v>
      </c>
      <c r="H517" s="5" t="n">
        <v>1.281</v>
      </c>
      <c r="I517" s="5" t="n">
        <v>0</v>
      </c>
      <c r="J517" s="5" t="n">
        <v>5.35</v>
      </c>
      <c r="K517" s="5" t="n">
        <v>0</v>
      </c>
      <c r="L517" s="5" t="n">
        <v>1</v>
      </c>
      <c r="M517" s="5" t="n">
        <v>6.884</v>
      </c>
      <c r="N517" s="5" t="n">
        <v>3.844</v>
      </c>
      <c r="O517" s="5" t="n">
        <v>0.263</v>
      </c>
      <c r="P517" s="5" t="n">
        <v>7.147</v>
      </c>
      <c r="Q517" s="5" t="n">
        <v>0</v>
      </c>
      <c r="R517" s="5" t="n">
        <v>1</v>
      </c>
      <c r="S517" s="5" t="n">
        <v>11.757</v>
      </c>
      <c r="T517" s="5" t="n">
        <v>7.689</v>
      </c>
      <c r="U517" s="5" t="n">
        <v>0.24</v>
      </c>
      <c r="V517" s="5" t="n">
        <v>13.521</v>
      </c>
      <c r="W517" s="5" t="n">
        <v>0.15</v>
      </c>
      <c r="X517" s="5" t="n">
        <v>1</v>
      </c>
      <c r="Y517" s="5" t="n">
        <v>3.781</v>
      </c>
      <c r="Z517" s="5" t="n">
        <v>0.511</v>
      </c>
      <c r="AA517" s="5" t="n">
        <v>0</v>
      </c>
      <c r="AB517" s="5" t="n">
        <v>3.781</v>
      </c>
      <c r="AC517" s="5" t="n">
        <v>0</v>
      </c>
      <c r="AD517" s="5" t="n">
        <v>1</v>
      </c>
      <c r="AE517" s="5" t="n">
        <v>5.104</v>
      </c>
      <c r="AF517" s="5" t="n">
        <v>1.194</v>
      </c>
      <c r="AG517" s="5" t="n">
        <v>0</v>
      </c>
      <c r="AH517" s="5" t="n">
        <v>5.104</v>
      </c>
      <c r="AI517" s="5" t="n">
        <v>0</v>
      </c>
      <c r="AJ517" s="5" t="n">
        <v>1</v>
      </c>
      <c r="AK517" s="5" t="n">
        <v>13.046</v>
      </c>
      <c r="AL517" s="5" t="n">
        <v>6.948</v>
      </c>
      <c r="AM517" s="5" t="n">
        <v>0.267</v>
      </c>
      <c r="AN517" s="5" t="n">
        <v>15.003</v>
      </c>
      <c r="AO517" s="5" t="n">
        <v>0.15</v>
      </c>
      <c r="AP517" s="5" t="n">
        <v>1</v>
      </c>
      <c r="AQ517" s="5" t="n">
        <v>0.712</v>
      </c>
      <c r="AR517" s="5" t="n">
        <v>0.129</v>
      </c>
      <c r="AS517" s="5" t="n">
        <v>0.34</v>
      </c>
      <c r="AT517" s="5" t="n">
        <v>1.22</v>
      </c>
      <c r="AU517" s="5" t="n">
        <v>0.16</v>
      </c>
      <c r="AV517" s="5" t="n">
        <v>1</v>
      </c>
      <c r="AW517" s="5" t="n">
        <v>0.648</v>
      </c>
      <c r="AX517" s="5" t="n">
        <v>0.119</v>
      </c>
      <c r="AY517" s="5" t="n">
        <v>0.279</v>
      </c>
      <c r="AZ517" s="5" t="n">
        <v>1.076</v>
      </c>
      <c r="BA517" s="5" t="n">
        <v>0.16</v>
      </c>
      <c r="BB517" s="5" t="n">
        <v>1</v>
      </c>
      <c r="BC517" s="5" t="n">
        <v>0.295</v>
      </c>
      <c r="BD517" s="5" t="n">
        <v>0.076</v>
      </c>
      <c r="BE517" s="5" t="n">
        <v>0.005</v>
      </c>
      <c r="BF517" s="5" t="n">
        <v>0.3</v>
      </c>
      <c r="BG517" s="5" t="n">
        <v>0</v>
      </c>
      <c r="BH517" s="5" t="n">
        <v>1</v>
      </c>
      <c r="BI517" s="5" t="n">
        <v>0.758</v>
      </c>
      <c r="BJ517" s="5" t="n">
        <v>0.167</v>
      </c>
      <c r="BK517" s="5" t="n">
        <v>0.146</v>
      </c>
      <c r="BL517" s="5" t="n">
        <v>1.049</v>
      </c>
      <c r="BM517" s="5" t="n">
        <v>0.16</v>
      </c>
      <c r="BN517" s="5" t="n">
        <v>1</v>
      </c>
      <c r="BO517" s="5" t="n">
        <v>0</v>
      </c>
      <c r="BP517" s="5" t="n">
        <v>0</v>
      </c>
      <c r="BQ517" s="5" t="n">
        <v>0.136</v>
      </c>
      <c r="BR517" s="5" t="n">
        <v>0</v>
      </c>
      <c r="BS517" s="5" t="n">
        <v>0.333</v>
      </c>
      <c r="BT517" s="5" t="n">
        <v>0</v>
      </c>
      <c r="BU517" s="5" t="n">
        <v>0</v>
      </c>
      <c r="BV517" s="5" t="n">
        <v>0.132</v>
      </c>
      <c r="BW517" s="5" t="n">
        <v>0.15</v>
      </c>
      <c r="BX517" s="5" t="n">
        <v>0.5</v>
      </c>
      <c r="BY517" s="5" t="n">
        <v>13.646</v>
      </c>
      <c r="BZ517" s="5" t="n">
        <v>0</v>
      </c>
      <c r="CA517" s="5" t="n">
        <v>13.646</v>
      </c>
      <c r="CB517" s="5" t="n">
        <v>0</v>
      </c>
      <c r="CC517" s="5" t="n">
        <v>100.885</v>
      </c>
      <c r="CD517" s="5" t="n">
        <v>26.247</v>
      </c>
      <c r="CE517" s="5" t="n">
        <v>15.313</v>
      </c>
      <c r="CF517" s="5" t="n">
        <v>116.198</v>
      </c>
      <c r="CG517" s="5" t="n">
        <v>0</v>
      </c>
      <c r="CH517" s="5" t="n">
        <v>1</v>
      </c>
      <c r="CI517" s="5" t="n">
        <v>0</v>
      </c>
      <c r="CJ517" s="5" t="n">
        <v>0</v>
      </c>
      <c r="CK517" s="5" t="n">
        <v>0</v>
      </c>
      <c r="CL517" s="5" t="n">
        <v>0</v>
      </c>
      <c r="CM517" s="5" t="n">
        <v>0</v>
      </c>
      <c r="CN517" s="5" t="n">
        <v>0</v>
      </c>
      <c r="CO517" s="5" t="n">
        <v>0</v>
      </c>
      <c r="CP517" s="5" t="n">
        <v>0.064</v>
      </c>
      <c r="CQ517" s="5" t="n">
        <v>1.387</v>
      </c>
      <c r="CR517" s="5" t="n">
        <v>0</v>
      </c>
      <c r="CS517" s="5" t="n">
        <v>5.529</v>
      </c>
      <c r="CT517" s="5" t="n">
        <v>4.251</v>
      </c>
      <c r="CU517" s="5" t="n">
        <v>10.168</v>
      </c>
    </row>
    <row r="518">
      <c r="A518" s="5" t="inlineStr">
        <is>
          <t>MEX2021</t>
        </is>
      </c>
      <c r="B518" s="5" t="inlineStr">
        <is>
          <t>MEX</t>
        </is>
      </c>
      <c r="C518" s="5" t="inlineStr">
        <is>
          <t>MEX</t>
        </is>
      </c>
      <c r="D518" s="5" t="inlineStr">
        <is>
          <t>Mexico</t>
        </is>
      </c>
      <c r="E518" s="5" t="n">
        <v>2021</v>
      </c>
      <c r="F518" s="5" t="n">
        <v>0.16</v>
      </c>
      <c r="G518" s="5" t="n">
        <v>2.755</v>
      </c>
      <c r="H518" s="5" t="n">
        <v>0.603</v>
      </c>
      <c r="I518" s="5" t="n">
        <v>0.047</v>
      </c>
      <c r="J518" s="5" t="n">
        <v>2.802</v>
      </c>
      <c r="K518" s="5" t="n">
        <v>0</v>
      </c>
      <c r="L518" s="5" t="n">
        <v>1</v>
      </c>
      <c r="M518" s="5" t="n">
        <v>3.178</v>
      </c>
      <c r="N518" s="5" t="n">
        <v>1.44</v>
      </c>
      <c r="O518" s="5" t="n">
        <v>0.049</v>
      </c>
      <c r="P518" s="5" t="n">
        <v>3.227</v>
      </c>
      <c r="Q518" s="5" t="n">
        <v>0</v>
      </c>
      <c r="R518" s="5" t="n">
        <v>1</v>
      </c>
      <c r="S518" s="5" t="n">
        <v>8.807</v>
      </c>
      <c r="T518" s="5" t="n">
        <v>5.482</v>
      </c>
      <c r="U518" s="5" t="n">
        <v>0.047</v>
      </c>
      <c r="V518" s="5" t="n">
        <v>10.27</v>
      </c>
      <c r="W518" s="5" t="n">
        <v>0.16</v>
      </c>
      <c r="X518" s="5" t="n">
        <v>1</v>
      </c>
      <c r="Y518" s="5" t="n">
        <v>5.149</v>
      </c>
      <c r="Z518" s="5" t="n">
        <v>0.569</v>
      </c>
      <c r="AA518" s="5" t="n">
        <v>0.034</v>
      </c>
      <c r="AB518" s="5" t="n">
        <v>5.182</v>
      </c>
      <c r="AC518" s="5" t="n">
        <v>0</v>
      </c>
      <c r="AD518" s="5" t="n">
        <v>1</v>
      </c>
      <c r="AE518" s="5" t="n">
        <v>14.015</v>
      </c>
      <c r="AF518" s="5" t="n">
        <v>2.758</v>
      </c>
      <c r="AG518" s="5" t="n">
        <v>-7.356</v>
      </c>
      <c r="AH518" s="5" t="n">
        <v>6.659</v>
      </c>
      <c r="AI518" s="5" t="n">
        <v>0</v>
      </c>
      <c r="AJ518" s="5" t="n">
        <v>1</v>
      </c>
      <c r="AK518" s="5" t="n">
        <v>19.346</v>
      </c>
      <c r="AL518" s="5" t="n">
        <v>9.494999999999999</v>
      </c>
      <c r="AM518" s="5" t="n">
        <v>-4.052</v>
      </c>
      <c r="AN518" s="5" t="n">
        <v>17.741</v>
      </c>
      <c r="AO518" s="5" t="n">
        <v>0.16</v>
      </c>
      <c r="AP518" s="5" t="n">
        <v>1</v>
      </c>
      <c r="AQ518" s="5" t="n">
        <v>0.649</v>
      </c>
      <c r="AR518" s="5" t="n">
        <v>0.114</v>
      </c>
      <c r="AS518" s="5" t="n">
        <v>0.204</v>
      </c>
      <c r="AT518" s="5" t="n">
        <v>0.99</v>
      </c>
      <c r="AU518" s="5" t="n">
        <v>0.16</v>
      </c>
      <c r="AV518" s="5" t="n">
        <v>1</v>
      </c>
      <c r="AW518" s="5" t="n">
        <v>0.577</v>
      </c>
      <c r="AX518" s="5" t="n">
        <v>0.114</v>
      </c>
      <c r="AY518" s="5" t="n">
        <v>0.335</v>
      </c>
      <c r="AZ518" s="5" t="n">
        <v>1.058</v>
      </c>
      <c r="BA518" s="5" t="n">
        <v>0.16</v>
      </c>
      <c r="BB518" s="5" t="n">
        <v>1</v>
      </c>
      <c r="BC518" s="5" t="n">
        <v>0.458</v>
      </c>
      <c r="BD518" s="5" t="n">
        <v>0.114</v>
      </c>
      <c r="BE518" s="5" t="n">
        <v>0.114</v>
      </c>
      <c r="BF518" s="5" t="n">
        <v>0.663</v>
      </c>
      <c r="BG518" s="5" t="n">
        <v>0.16</v>
      </c>
      <c r="BH518" s="5" t="n">
        <v>1</v>
      </c>
      <c r="BI518" s="5" t="n">
        <v>0.491</v>
      </c>
      <c r="BJ518" s="5" t="n">
        <v>0.114</v>
      </c>
      <c r="BK518" s="5" t="n">
        <v>0.285</v>
      </c>
      <c r="BL518" s="5" t="n">
        <v>0.9</v>
      </c>
      <c r="BM518" s="5" t="n">
        <v>0.16</v>
      </c>
      <c r="BN518" s="5" t="n">
        <v>1</v>
      </c>
      <c r="BO518" s="5" t="n">
        <v>0</v>
      </c>
      <c r="BP518" s="5" t="n">
        <v>-0.007</v>
      </c>
      <c r="BQ518" s="5" t="n">
        <v>0.101</v>
      </c>
      <c r="BR518" s="5" t="n">
        <v>0</v>
      </c>
      <c r="BS518" s="5" t="n">
        <v>1</v>
      </c>
      <c r="BT518" s="5" t="n">
        <v>0</v>
      </c>
      <c r="BU518" s="5" t="n">
        <v>-0.007</v>
      </c>
      <c r="BV518" s="5" t="n">
        <v>0.109</v>
      </c>
      <c r="BW518" s="5" t="n">
        <v>0.16</v>
      </c>
      <c r="BX518" s="5" t="n">
        <v>0.667</v>
      </c>
      <c r="BY518" s="5" t="n">
        <v>11.787</v>
      </c>
      <c r="BZ518" s="5" t="n">
        <v>0</v>
      </c>
      <c r="CA518" s="5" t="n">
        <v>11.787</v>
      </c>
      <c r="CB518" s="5" t="n">
        <v>0</v>
      </c>
      <c r="CC518" s="5" t="n">
        <v>78.125</v>
      </c>
      <c r="CD518" s="5" t="n">
        <v>7.95</v>
      </c>
      <c r="CE518" s="5" t="n">
        <v>-26.724</v>
      </c>
      <c r="CF518" s="5" t="n">
        <v>59.625</v>
      </c>
      <c r="CG518" s="5" t="n">
        <v>0</v>
      </c>
      <c r="CH518" s="5" t="n">
        <v>1</v>
      </c>
      <c r="CI518" s="5" t="n">
        <v>0</v>
      </c>
      <c r="CJ518" s="5" t="n">
        <v>0</v>
      </c>
      <c r="CK518" s="5" t="n">
        <v>0</v>
      </c>
      <c r="CL518" s="5" t="n">
        <v>0</v>
      </c>
      <c r="CM518" s="5" t="n">
        <v>0</v>
      </c>
      <c r="CN518" s="5" t="n">
        <v>1.744</v>
      </c>
      <c r="CO518" s="5" t="n">
        <v>6.028</v>
      </c>
      <c r="CP518" s="5" t="n">
        <v>0</v>
      </c>
      <c r="CQ518" s="5" t="n">
        <v>1.198</v>
      </c>
      <c r="CR518" s="5" t="n">
        <v>0</v>
      </c>
      <c r="CS518" s="5" t="n">
        <v>6.891</v>
      </c>
      <c r="CT518" s="5" t="n">
        <v>4.753</v>
      </c>
      <c r="CU518" s="5" t="n">
        <v>15.983</v>
      </c>
    </row>
    <row r="519">
      <c r="A519" s="5" t="inlineStr">
        <is>
          <t>MEX2022</t>
        </is>
      </c>
      <c r="B519" s="5" t="inlineStr">
        <is>
          <t>MEX</t>
        </is>
      </c>
      <c r="C519" s="5" t="inlineStr">
        <is>
          <t>MEX</t>
        </is>
      </c>
      <c r="D519" s="5" t="inlineStr">
        <is>
          <t>Mexico</t>
        </is>
      </c>
      <c r="E519" s="5" t="n">
        <v>2022</v>
      </c>
      <c r="F519" s="5" t="n">
        <v>0.16</v>
      </c>
      <c r="G519" s="5" t="n">
        <v>6.927</v>
      </c>
      <c r="H519" s="5" t="n">
        <v>1.076</v>
      </c>
      <c r="I519" s="5" t="n">
        <v>0.017</v>
      </c>
      <c r="J519" s="5" t="n">
        <v>6.944</v>
      </c>
      <c r="K519" s="5" t="n">
        <v>0</v>
      </c>
      <c r="L519" s="5" t="n">
        <v>1</v>
      </c>
      <c r="M519" s="5" t="n">
        <v>4.787</v>
      </c>
      <c r="N519" s="5" t="n">
        <v>1.977</v>
      </c>
      <c r="O519" s="5" t="n">
        <v>0.018</v>
      </c>
      <c r="P519" s="5" t="n">
        <v>4.805</v>
      </c>
      <c r="Q519" s="5" t="n">
        <v>0</v>
      </c>
      <c r="R519" s="5" t="n">
        <v>1</v>
      </c>
      <c r="S519" s="5" t="n">
        <v>13.543</v>
      </c>
      <c r="T519" s="5" t="n">
        <v>6.158</v>
      </c>
      <c r="U519" s="5" t="n">
        <v>0.178</v>
      </c>
      <c r="V519" s="5" t="n">
        <v>15.729</v>
      </c>
      <c r="W519" s="5" t="n">
        <v>0.16</v>
      </c>
      <c r="X519" s="5" t="n">
        <v>1</v>
      </c>
      <c r="Y519" s="5" t="n">
        <v>5.125</v>
      </c>
      <c r="Z519" s="5" t="n">
        <v>0.538</v>
      </c>
      <c r="AA519" s="5" t="n">
        <v>0.058</v>
      </c>
      <c r="AB519" s="5" t="n">
        <v>5.184</v>
      </c>
      <c r="AC519" s="5" t="n">
        <v>0</v>
      </c>
      <c r="AD519" s="5" t="n">
        <v>1</v>
      </c>
      <c r="AE519" s="5" t="n">
        <v>27.708</v>
      </c>
      <c r="AF519" s="5" t="n">
        <v>5.137</v>
      </c>
      <c r="AG519" s="5" t="n">
        <v>-19.093</v>
      </c>
      <c r="AH519" s="5" t="n">
        <v>8.615</v>
      </c>
      <c r="AI519" s="5" t="n">
        <v>0</v>
      </c>
      <c r="AJ519" s="5" t="n">
        <v>1</v>
      </c>
      <c r="AK519" s="5" t="n">
        <v>33.587</v>
      </c>
      <c r="AL519" s="5" t="n">
        <v>16.039</v>
      </c>
      <c r="AM519" s="5" t="n">
        <v>-16.538</v>
      </c>
      <c r="AN519" s="5" t="n">
        <v>19.777</v>
      </c>
      <c r="AO519" s="5" t="n">
        <v>0.16</v>
      </c>
      <c r="AP519" s="5" t="n">
        <v>1</v>
      </c>
      <c r="AQ519" s="5" t="n">
        <v>0.896</v>
      </c>
      <c r="AR519" s="5" t="n">
        <v>0.123</v>
      </c>
      <c r="AS519" s="5" t="n">
        <v>0.012</v>
      </c>
      <c r="AT519" s="5" t="n">
        <v>1.053</v>
      </c>
      <c r="AU519" s="5" t="n">
        <v>0.16</v>
      </c>
      <c r="AV519" s="5" t="n">
        <v>1</v>
      </c>
      <c r="AW519" s="5" t="n">
        <v>0.89</v>
      </c>
      <c r="AX519" s="5" t="n">
        <v>0.123</v>
      </c>
      <c r="AY519" s="5" t="n">
        <v>0.083</v>
      </c>
      <c r="AZ519" s="5" t="n">
        <v>1.129</v>
      </c>
      <c r="BA519" s="5" t="n">
        <v>0.16</v>
      </c>
      <c r="BB519" s="5" t="n">
        <v>1</v>
      </c>
      <c r="BC519" s="5" t="n">
        <v>0.62</v>
      </c>
      <c r="BD519" s="5" t="n">
        <v>0.123</v>
      </c>
      <c r="BE519" s="5" t="n">
        <v>-0.028</v>
      </c>
      <c r="BF519" s="5" t="n">
        <v>0.6870000000000001</v>
      </c>
      <c r="BG519" s="5" t="n">
        <v>0.16</v>
      </c>
      <c r="BH519" s="5" t="n">
        <v>1</v>
      </c>
      <c r="BI519" s="5" t="n">
        <v>0.608</v>
      </c>
      <c r="BJ519" s="5" t="n">
        <v>0.123</v>
      </c>
      <c r="BK519" s="5" t="n">
        <v>0.189</v>
      </c>
      <c r="BL519" s="5" t="n">
        <v>0.924</v>
      </c>
      <c r="BM519" s="5" t="n">
        <v>0.16</v>
      </c>
      <c r="BN519" s="5" t="n">
        <v>1</v>
      </c>
      <c r="BO519" s="5" t="n">
        <v>0</v>
      </c>
      <c r="BP519" s="5" t="n">
        <v>-0.011</v>
      </c>
      <c r="BQ519" s="5" t="n">
        <v>0.08599999999999999</v>
      </c>
      <c r="BR519" s="5" t="n">
        <v>0</v>
      </c>
      <c r="BS519" s="5" t="n">
        <v>1</v>
      </c>
      <c r="BT519" s="5" t="n">
        <v>0</v>
      </c>
      <c r="BU519" s="5" t="n">
        <v>-0.011</v>
      </c>
      <c r="BV519" s="5" t="n">
        <v>0.116</v>
      </c>
      <c r="BW519" s="5" t="n">
        <v>0.16</v>
      </c>
      <c r="BX519" s="5" t="n">
        <v>0.667</v>
      </c>
      <c r="BY519" s="5" t="n">
        <v>12.729</v>
      </c>
      <c r="BZ519" s="5" t="n">
        <v>0</v>
      </c>
      <c r="CA519" s="5" t="n">
        <v>12.729</v>
      </c>
      <c r="CB519" s="5" t="n">
        <v>0</v>
      </c>
      <c r="CC519" s="5" t="n">
        <v>97.90000000000001</v>
      </c>
      <c r="CD519" s="5" t="n">
        <v>7.95</v>
      </c>
      <c r="CE519" s="5" t="n">
        <v>-14.562</v>
      </c>
      <c r="CF519" s="5" t="n">
        <v>96.672</v>
      </c>
      <c r="CG519" s="5" t="n">
        <v>0</v>
      </c>
      <c r="CH519" s="5" t="n">
        <v>1</v>
      </c>
      <c r="CI519" s="5" t="n">
        <v>0</v>
      </c>
      <c r="CJ519" s="5" t="n">
        <v>0</v>
      </c>
      <c r="CK519" s="5" t="n">
        <v>0</v>
      </c>
      <c r="CL519" s="5" t="n">
        <v>0</v>
      </c>
      <c r="CM519" s="5" t="n">
        <v>0</v>
      </c>
      <c r="CN519" s="5" t="n">
        <v>2.163</v>
      </c>
      <c r="CO519" s="5" t="n">
        <v>6.73</v>
      </c>
      <c r="CP519" s="5" t="n">
        <v>0</v>
      </c>
      <c r="CQ519" s="5" t="n">
        <v>1.294</v>
      </c>
      <c r="CR519" s="5" t="n">
        <v>0</v>
      </c>
      <c r="CS519" s="5" t="n">
        <v>7.442</v>
      </c>
      <c r="CT519" s="5" t="n">
        <v>10.485</v>
      </c>
      <c r="CU519" s="5" t="n">
        <v>29.494</v>
      </c>
    </row>
    <row r="520">
      <c r="A520" s="5" t="inlineStr">
        <is>
          <t>MEX2023</t>
        </is>
      </c>
      <c r="B520" s="5" t="inlineStr">
        <is>
          <t>MEX</t>
        </is>
      </c>
      <c r="C520" s="5" t="inlineStr">
        <is>
          <t>MEX</t>
        </is>
      </c>
      <c r="D520" s="5" t="inlineStr">
        <is>
          <t>Mexico</t>
        </is>
      </c>
      <c r="E520" s="5" t="n">
        <v>2023</v>
      </c>
      <c r="F520" s="5" t="n">
        <v>0.16</v>
      </c>
      <c r="G520" s="5" t="n">
        <v>3.215</v>
      </c>
      <c r="H520" s="5" t="n">
        <v>0.732</v>
      </c>
      <c r="I520" s="5" t="n">
        <v>0.021</v>
      </c>
      <c r="J520" s="5" t="n">
        <v>3.236</v>
      </c>
      <c r="K520" s="5" t="n">
        <v>0</v>
      </c>
      <c r="L520" s="5" t="n">
        <v>1</v>
      </c>
      <c r="M520" s="5" t="n">
        <v>3.523</v>
      </c>
      <c r="N520" s="5" t="n">
        <v>1.747</v>
      </c>
      <c r="O520" s="5" t="n">
        <v>0.022</v>
      </c>
      <c r="P520" s="5" t="n">
        <v>3.545</v>
      </c>
      <c r="Q520" s="5" t="n">
        <v>0</v>
      </c>
      <c r="R520" s="5" t="n">
        <v>1</v>
      </c>
      <c r="S520" s="5" t="n">
        <v>10.007</v>
      </c>
      <c r="T520" s="5" t="n">
        <v>6.37</v>
      </c>
      <c r="U520" s="5" t="n">
        <v>0.198</v>
      </c>
      <c r="V520" s="5" t="n">
        <v>11.632</v>
      </c>
      <c r="W520" s="5" t="n">
        <v>0.16</v>
      </c>
      <c r="X520" s="5" t="n">
        <v>1</v>
      </c>
      <c r="Y520" s="5" t="n">
        <v>5.575</v>
      </c>
      <c r="Z520" s="5" t="n">
        <v>0.625</v>
      </c>
      <c r="AA520" s="5" t="n">
        <v>0.083</v>
      </c>
      <c r="AB520" s="5" t="n">
        <v>5.659</v>
      </c>
      <c r="AC520" s="5" t="n">
        <v>0</v>
      </c>
      <c r="AD520" s="5" t="n">
        <v>1</v>
      </c>
      <c r="AE520" s="5" t="n">
        <v>9.507999999999999</v>
      </c>
      <c r="AF520" s="5" t="n">
        <v>1.894</v>
      </c>
      <c r="AG520" s="5" t="n">
        <v>-3.056</v>
      </c>
      <c r="AH520" s="5" t="n">
        <v>6.452</v>
      </c>
      <c r="AI520" s="5" t="n">
        <v>0</v>
      </c>
      <c r="AJ520" s="5" t="n">
        <v>1</v>
      </c>
      <c r="AK520" s="5" t="n">
        <v>15.693</v>
      </c>
      <c r="AL520" s="5" t="n">
        <v>7.774</v>
      </c>
      <c r="AM520" s="5" t="n">
        <v>0.774</v>
      </c>
      <c r="AN520" s="5" t="n">
        <v>19.103</v>
      </c>
      <c r="AO520" s="5" t="n">
        <v>0.16</v>
      </c>
      <c r="AP520" s="5" t="n">
        <v>1</v>
      </c>
      <c r="AQ520" s="5" t="n">
        <v>0.791</v>
      </c>
      <c r="AR520" s="5" t="n">
        <v>0.129</v>
      </c>
      <c r="AS520" s="5" t="n">
        <v>0.29</v>
      </c>
      <c r="AT520" s="5" t="n">
        <v>1.253</v>
      </c>
      <c r="AU520" s="5" t="n">
        <v>0.16</v>
      </c>
      <c r="AV520" s="5" t="n">
        <v>1</v>
      </c>
      <c r="AW520" s="5" t="n">
        <v>0.618</v>
      </c>
      <c r="AX520" s="5" t="n">
        <v>0.129</v>
      </c>
      <c r="AY520" s="5" t="n">
        <v>0.528</v>
      </c>
      <c r="AZ520" s="5" t="n">
        <v>1.329</v>
      </c>
      <c r="BA520" s="5" t="n">
        <v>0.16</v>
      </c>
      <c r="BB520" s="5" t="n">
        <v>1</v>
      </c>
      <c r="BC520" s="5" t="n">
        <v>0.554</v>
      </c>
      <c r="BD520" s="5" t="n">
        <v>0.129</v>
      </c>
      <c r="BE520" s="5" t="n">
        <v>-0.093</v>
      </c>
      <c r="BF520" s="5" t="n">
        <v>0.535</v>
      </c>
      <c r="BG520" s="5" t="n">
        <v>0.16</v>
      </c>
      <c r="BH520" s="5" t="n">
        <v>1</v>
      </c>
      <c r="BI520" s="5" t="n">
        <v>0.5570000000000001</v>
      </c>
      <c r="BJ520" s="5" t="n">
        <v>0.129</v>
      </c>
      <c r="BK520" s="5" t="n">
        <v>0.383</v>
      </c>
      <c r="BL520" s="5" t="n">
        <v>1.091</v>
      </c>
      <c r="BM520" s="5" t="n">
        <v>0.16</v>
      </c>
      <c r="BN520" s="5" t="n">
        <v>1</v>
      </c>
      <c r="BO520" s="5" t="n">
        <v>0</v>
      </c>
      <c r="BP520" s="5" t="n">
        <v>-0.002</v>
      </c>
      <c r="BQ520" s="5" t="n">
        <v>0.121</v>
      </c>
      <c r="BR520" s="5" t="n">
        <v>0</v>
      </c>
      <c r="BS520" s="5" t="n">
        <v>1</v>
      </c>
      <c r="BT520" s="5" t="n">
        <v>0</v>
      </c>
      <c r="BU520" s="5" t="n">
        <v>-0.002</v>
      </c>
      <c r="BV520" s="5" t="n">
        <v>0.136</v>
      </c>
      <c r="BW520" s="5" t="n">
        <v>0.16</v>
      </c>
      <c r="BX520" s="5" t="n">
        <v>0.667</v>
      </c>
      <c r="BY520" s="5" t="n">
        <v>13.254</v>
      </c>
      <c r="BZ520" s="5" t="n">
        <v>0</v>
      </c>
      <c r="CA520" s="5" t="n">
        <v>13.254</v>
      </c>
      <c r="CB520" s="5" t="n">
        <v>0</v>
      </c>
      <c r="CC520" s="5" t="n">
        <v>83.248</v>
      </c>
      <c r="CD520" s="5" t="n">
        <v>7.95</v>
      </c>
      <c r="CE520" s="5" t="n">
        <v>15.09</v>
      </c>
      <c r="CF520" s="5" t="n">
        <v>114.072</v>
      </c>
      <c r="CG520" s="5" t="n">
        <v>0</v>
      </c>
      <c r="CH520" s="5" t="n">
        <v>1</v>
      </c>
      <c r="CI520" s="5" t="n">
        <v>0</v>
      </c>
      <c r="CJ520" s="5" t="n">
        <v>0</v>
      </c>
      <c r="CK520" s="5" t="n">
        <v>0</v>
      </c>
      <c r="CL520" s="5" t="n">
        <v>0</v>
      </c>
      <c r="CM520" s="5" t="n">
        <v>0</v>
      </c>
      <c r="CN520" s="5" t="n">
        <v>2.334</v>
      </c>
      <c r="CO520" s="5" t="n">
        <v>7.113</v>
      </c>
      <c r="CP520" s="5" t="n">
        <v>0</v>
      </c>
      <c r="CQ520" s="5" t="n">
        <v>1.348</v>
      </c>
      <c r="CR520" s="5" t="n">
        <v>0</v>
      </c>
      <c r="CS520" s="5" t="n">
        <v>7.749</v>
      </c>
      <c r="CT520" s="5" t="n">
        <v>4.861</v>
      </c>
      <c r="CU520" s="5" t="n">
        <v>11.192</v>
      </c>
    </row>
    <row r="521">
      <c r="A521" s="5" t="inlineStr">
        <is>
          <t>MEX2024</t>
        </is>
      </c>
      <c r="B521" s="5" t="inlineStr">
        <is>
          <t>MEX</t>
        </is>
      </c>
      <c r="C521" s="5" t="inlineStr">
        <is>
          <t>MEX</t>
        </is>
      </c>
      <c r="D521" s="5" t="inlineStr">
        <is>
          <t>Mexico</t>
        </is>
      </c>
      <c r="E521" s="5" t="n">
        <v>2024</v>
      </c>
      <c r="F521" s="5" t="n">
        <v>0.16</v>
      </c>
      <c r="G521" s="5" t="n">
        <v>2.863</v>
      </c>
      <c r="H521" s="5" t="n">
        <v>0.725</v>
      </c>
      <c r="I521" s="5" t="n">
        <v>0.025</v>
      </c>
      <c r="J521" s="5" t="n">
        <v>2.888</v>
      </c>
      <c r="K521" s="5" t="n">
        <v>0</v>
      </c>
      <c r="L521" s="5" t="n">
        <v>1</v>
      </c>
      <c r="M521" s="5" t="n">
        <v>3.06</v>
      </c>
      <c r="N521" s="5" t="n">
        <v>1.667</v>
      </c>
      <c r="O521" s="5" t="n">
        <v>0.026</v>
      </c>
      <c r="P521" s="5" t="n">
        <v>3.085</v>
      </c>
      <c r="Q521" s="5" t="n">
        <v>0</v>
      </c>
      <c r="R521" s="5" t="n">
        <v>1</v>
      </c>
      <c r="S521" s="5" t="n">
        <v>9.811</v>
      </c>
      <c r="T521" s="5" t="n">
        <v>6.558</v>
      </c>
      <c r="U521" s="5" t="n">
        <v>0.239</v>
      </c>
      <c r="V521" s="5" t="n">
        <v>11.41</v>
      </c>
      <c r="W521" s="5" t="n">
        <v>0.16</v>
      </c>
      <c r="X521" s="5" t="n">
        <v>1</v>
      </c>
      <c r="Y521" s="5" t="n">
        <v>4.758</v>
      </c>
      <c r="Z521" s="5" t="n">
        <v>0.601</v>
      </c>
      <c r="AA521" s="5" t="n">
        <v>0.08599999999999999</v>
      </c>
      <c r="AB521" s="5" t="n">
        <v>4.844</v>
      </c>
      <c r="AC521" s="5" t="n">
        <v>0</v>
      </c>
      <c r="AD521" s="5" t="n">
        <v>1</v>
      </c>
      <c r="AE521" s="5" t="n">
        <v>3.757</v>
      </c>
      <c r="AF521" s="5" t="n">
        <v>0.823</v>
      </c>
      <c r="AG521" s="5" t="n">
        <v>0.08599999999999999</v>
      </c>
      <c r="AH521" s="5" t="n">
        <v>3.843</v>
      </c>
      <c r="AI521" s="5" t="n">
        <v>0</v>
      </c>
      <c r="AJ521" s="5" t="n">
        <v>1</v>
      </c>
      <c r="AK521" s="5" t="n">
        <v>10.459</v>
      </c>
      <c r="AL521" s="5" t="n">
        <v>5.32</v>
      </c>
      <c r="AM521" s="5" t="n">
        <v>0</v>
      </c>
      <c r="AN521" s="5" t="n">
        <v>12.132</v>
      </c>
      <c r="AO521" s="5" t="n">
        <v>0.16</v>
      </c>
      <c r="AP521" s="5" t="n">
        <v>1</v>
      </c>
      <c r="AQ521" s="5" t="n">
        <v>0.756</v>
      </c>
      <c r="AR521" s="5" t="n">
        <v>0.132</v>
      </c>
      <c r="AS521" s="5" t="n">
        <v>0.336</v>
      </c>
      <c r="AT521" s="5" t="n">
        <v>1.267</v>
      </c>
      <c r="AU521" s="5" t="n">
        <v>0.16</v>
      </c>
      <c r="AV521" s="5" t="n">
        <v>1</v>
      </c>
      <c r="AW521" s="5" t="n">
        <v>0.655</v>
      </c>
      <c r="AX521" s="5" t="n">
        <v>0.132</v>
      </c>
      <c r="AY521" s="5" t="n">
        <v>0.504</v>
      </c>
      <c r="AZ521" s="5" t="n">
        <v>1.344</v>
      </c>
      <c r="BA521" s="5" t="n">
        <v>0.16</v>
      </c>
      <c r="BB521" s="5" t="n">
        <v>1</v>
      </c>
      <c r="BC521" s="5" t="n">
        <v>0.534</v>
      </c>
      <c r="BD521" s="5" t="n">
        <v>0.132</v>
      </c>
      <c r="BE521" s="5" t="n">
        <v>-0.046</v>
      </c>
      <c r="BF521" s="5" t="n">
        <v>0.5649999999999999</v>
      </c>
      <c r="BG521" s="5" t="n">
        <v>0.16</v>
      </c>
      <c r="BH521" s="5" t="n">
        <v>1</v>
      </c>
      <c r="BI521" s="5" t="n">
        <v>0.5679999999999999</v>
      </c>
      <c r="BJ521" s="5" t="n">
        <v>0.132</v>
      </c>
      <c r="BK521" s="5" t="n">
        <v>0.237</v>
      </c>
      <c r="BL521" s="5" t="n">
        <v>0.9340000000000001</v>
      </c>
      <c r="BM521" s="5" t="n">
        <v>0.16</v>
      </c>
      <c r="BN521" s="5" t="n">
        <v>1</v>
      </c>
      <c r="BO521" s="5" t="n">
        <v>0</v>
      </c>
      <c r="BP521" s="5" t="n">
        <v>-0.002</v>
      </c>
      <c r="BQ521" s="5" t="n">
        <v>0.147</v>
      </c>
      <c r="BR521" s="5" t="n">
        <v>0</v>
      </c>
      <c r="BS521" s="5" t="n">
        <v>1</v>
      </c>
      <c r="BT521" s="5" t="n">
        <v>0</v>
      </c>
      <c r="BU521" s="5" t="n">
        <v>-0.002</v>
      </c>
      <c r="BV521" s="5" t="n">
        <v>0.131</v>
      </c>
      <c r="BW521" s="5" t="n">
        <v>0.16</v>
      </c>
      <c r="BX521" s="5" t="n">
        <v>0.667</v>
      </c>
      <c r="BY521" s="5" t="n">
        <v>13.646</v>
      </c>
      <c r="BZ521" s="5" t="n">
        <v>0</v>
      </c>
      <c r="CA521" s="5" t="n">
        <v>13.646</v>
      </c>
      <c r="CB521" s="5" t="n">
        <v>0</v>
      </c>
      <c r="CC521" s="5" t="n">
        <v>82.58799999999999</v>
      </c>
      <c r="CD521" s="5" t="n">
        <v>7.95</v>
      </c>
      <c r="CE521" s="5" t="n">
        <v>1.588</v>
      </c>
      <c r="CF521" s="5" t="n">
        <v>97.64400000000001</v>
      </c>
      <c r="CG521" s="5" t="n">
        <v>0</v>
      </c>
      <c r="CH521" s="5" t="n">
        <v>1</v>
      </c>
      <c r="CI521" s="5" t="n">
        <v>0</v>
      </c>
      <c r="CJ521" s="5" t="n">
        <v>0</v>
      </c>
      <c r="CK521" s="5" t="n">
        <v>0</v>
      </c>
      <c r="CL521" s="5" t="n">
        <v>0</v>
      </c>
      <c r="CM521" s="5" t="n">
        <v>0</v>
      </c>
      <c r="CN521" s="5" t="n">
        <v>2.582</v>
      </c>
      <c r="CO521" s="5" t="n">
        <v>7.288</v>
      </c>
      <c r="CP521" s="5" t="n">
        <v>0</v>
      </c>
      <c r="CQ521" s="5" t="n">
        <v>1.387</v>
      </c>
      <c r="CR521" s="5" t="n">
        <v>0</v>
      </c>
      <c r="CS521" s="5" t="n">
        <v>7.978</v>
      </c>
      <c r="CT521" s="5" t="n">
        <v>4.251</v>
      </c>
      <c r="CU521" s="5" t="n">
        <v>10.123</v>
      </c>
    </row>
    <row r="522">
      <c r="A522" s="5" t="inlineStr">
        <is>
          <t>FSM2021</t>
        </is>
      </c>
      <c r="B522" s="5" t="inlineStr">
        <is>
          <t>FSM</t>
        </is>
      </c>
      <c r="C522" s="5" t="inlineStr">
        <is>
          <t>FSM</t>
        </is>
      </c>
      <c r="D522" s="5" t="inlineStr">
        <is>
          <t>Micronesia</t>
        </is>
      </c>
      <c r="E522" s="5" t="n">
        <v>2021</v>
      </c>
      <c r="F522" s="5" t="n">
        <v>0</v>
      </c>
      <c r="G522" s="5" t="n">
        <v>4.747</v>
      </c>
      <c r="H522" s="5" t="n">
        <v>1.143</v>
      </c>
      <c r="I522" s="5" t="n">
        <v>0</v>
      </c>
      <c r="J522" s="5" t="n">
        <v>4.747</v>
      </c>
      <c r="K522" s="5" t="n">
        <v>0</v>
      </c>
      <c r="L522" s="5" t="n">
        <v>1</v>
      </c>
      <c r="M522" s="5" t="n">
        <v>7.964</v>
      </c>
      <c r="N522" s="5" t="n">
        <v>3.43</v>
      </c>
      <c r="O522" s="5" t="n">
        <v>0</v>
      </c>
      <c r="P522" s="5" t="n">
        <v>7.964</v>
      </c>
      <c r="Q522" s="5" t="n">
        <v>0</v>
      </c>
      <c r="R522" s="5" t="n">
        <v>1</v>
      </c>
      <c r="S522" s="5" t="n">
        <v>10.464</v>
      </c>
      <c r="T522" s="5" t="n">
        <v>6.86</v>
      </c>
      <c r="U522" s="5" t="n">
        <v>0</v>
      </c>
      <c r="V522" s="5" t="n">
        <v>10.464</v>
      </c>
      <c r="W522" s="5" t="n">
        <v>0</v>
      </c>
      <c r="X522" s="5" t="n">
        <v>1</v>
      </c>
      <c r="Y522" s="5" t="n">
        <v>10.551</v>
      </c>
      <c r="Z522" s="5" t="n">
        <v>1.302</v>
      </c>
      <c r="AA522" s="5" t="n">
        <v>0</v>
      </c>
      <c r="AB522" s="5" t="n">
        <v>10.551</v>
      </c>
      <c r="AC522" s="5" t="n">
        <v>0</v>
      </c>
      <c r="AD522" s="5" t="n">
        <v>1</v>
      </c>
      <c r="AE522" s="5" t="n">
        <v>11.694</v>
      </c>
      <c r="AF522" s="5" t="n">
        <v>2.549</v>
      </c>
      <c r="AG522" s="5" t="n">
        <v>0</v>
      </c>
      <c r="AH522" s="5" t="n">
        <v>11.694</v>
      </c>
      <c r="AI522" s="5" t="n">
        <v>0</v>
      </c>
      <c r="AJ522" s="5" t="n">
        <v>1</v>
      </c>
      <c r="AK522" s="5" t="n">
        <v>18.554</v>
      </c>
      <c r="AL522" s="5" t="n">
        <v>9.627000000000001</v>
      </c>
      <c r="AM522" s="5" t="n">
        <v>0</v>
      </c>
      <c r="AN522" s="5" t="n">
        <v>18.554</v>
      </c>
      <c r="AO522" s="5" t="n">
        <v>0</v>
      </c>
      <c r="AP522" s="5" t="n">
        <v>1</v>
      </c>
      <c r="AQ522" s="5" t="n">
        <v>0.621</v>
      </c>
      <c r="AR522" s="5" t="n">
        <v>0.114</v>
      </c>
      <c r="AS522" s="5" t="n">
        <v>0.726</v>
      </c>
      <c r="AT522" s="5" t="n">
        <v>1.346</v>
      </c>
      <c r="AU522" s="5" t="n">
        <v>0</v>
      </c>
      <c r="AV522" s="5" t="n">
        <v>1</v>
      </c>
      <c r="AW522" s="5" t="n">
        <v>0.593</v>
      </c>
      <c r="AX522" s="5" t="n">
        <v>0.114</v>
      </c>
      <c r="AY522" s="5" t="n">
        <v>0.877</v>
      </c>
      <c r="AZ522" s="5" t="n">
        <v>1.471</v>
      </c>
      <c r="BA522" s="5" t="n">
        <v>0</v>
      </c>
      <c r="BB522" s="5" t="n">
        <v>1</v>
      </c>
      <c r="BC522" s="5" t="n">
        <v>0.44</v>
      </c>
      <c r="BD522" s="5" t="n">
        <v>0.114</v>
      </c>
      <c r="BE522" s="5" t="n">
        <v>0</v>
      </c>
      <c r="BF522" s="5" t="n">
        <v>0.44</v>
      </c>
      <c r="BG522" s="5" t="n">
        <v>0</v>
      </c>
      <c r="BH522" s="5" t="n">
        <v>1</v>
      </c>
      <c r="BI522" s="5" t="n">
        <v>0.5600000000000001</v>
      </c>
      <c r="BJ522" s="5" t="n">
        <v>0.114</v>
      </c>
      <c r="BK522" s="5" t="n">
        <v>0.042</v>
      </c>
      <c r="BL522" s="5" t="n">
        <v>0.603</v>
      </c>
      <c r="BM522" s="5" t="n">
        <v>0</v>
      </c>
      <c r="BN522" s="5" t="n">
        <v>1</v>
      </c>
      <c r="BO522" s="5" t="n">
        <v>0</v>
      </c>
      <c r="BP522" s="5" t="n">
        <v>0</v>
      </c>
      <c r="BQ522" s="5" t="n">
        <v>0.471</v>
      </c>
      <c r="BR522" s="5" t="n">
        <v>0</v>
      </c>
      <c r="BS522" s="5" t="n">
        <v>1</v>
      </c>
      <c r="BT522" s="5" t="n">
        <v>0</v>
      </c>
      <c r="BU522" s="5" t="n">
        <v>0</v>
      </c>
      <c r="BV522" s="5" t="n">
        <v>0.435</v>
      </c>
      <c r="BW522" s="5" t="n">
        <v>0</v>
      </c>
      <c r="BX522" s="5" t="n">
        <v>1</v>
      </c>
      <c r="BY522" s="5" t="n">
        <v>11.787</v>
      </c>
      <c r="BZ522" s="5" t="n">
        <v>0</v>
      </c>
      <c r="CA522" s="5" t="n">
        <v>11.787</v>
      </c>
      <c r="CB522" s="5" t="n">
        <v>0</v>
      </c>
      <c r="CC522" s="5" t="n">
        <v>81.69499999999999</v>
      </c>
      <c r="CD522" s="5" t="n">
        <v>7.95</v>
      </c>
      <c r="CE522" s="5" t="n">
        <v>0</v>
      </c>
      <c r="CF522" s="5" t="n">
        <v>81.69499999999999</v>
      </c>
      <c r="CG522" s="5" t="n">
        <v>0</v>
      </c>
      <c r="CH522" s="5" t="n">
        <v>1</v>
      </c>
      <c r="CI522" s="5" t="n">
        <v>0</v>
      </c>
      <c r="CJ522" s="5" t="n">
        <v>0</v>
      </c>
      <c r="CK522" s="5" t="n">
        <v>0</v>
      </c>
      <c r="CL522" s="5" t="n">
        <v>0</v>
      </c>
      <c r="CM522" s="5" t="n">
        <v>0</v>
      </c>
      <c r="CN522" s="5" t="n">
        <v>0</v>
      </c>
      <c r="CO522" s="5" t="n">
        <v>0</v>
      </c>
      <c r="CP522" s="5" t="n">
        <v>0</v>
      </c>
      <c r="CQ522" s="5" t="n">
        <v>1.198</v>
      </c>
      <c r="CR522" s="5" t="n">
        <v>0</v>
      </c>
      <c r="CS522" s="5" t="n">
        <v>4.776</v>
      </c>
      <c r="CT522" s="5" t="n">
        <v>3.604</v>
      </c>
      <c r="CU522" s="5" t="n">
        <v>9.407999999999999</v>
      </c>
    </row>
    <row r="523">
      <c r="A523" s="5" t="inlineStr">
        <is>
          <t>FSM2022</t>
        </is>
      </c>
      <c r="B523" s="5" t="inlineStr">
        <is>
          <t>FSM</t>
        </is>
      </c>
      <c r="C523" s="5" t="inlineStr">
        <is>
          <t>FSM</t>
        </is>
      </c>
      <c r="D523" s="5" t="inlineStr">
        <is>
          <t>Micronesia</t>
        </is>
      </c>
      <c r="E523" s="5" t="n">
        <v>2022</v>
      </c>
      <c r="F523" s="5" t="n">
        <v>0</v>
      </c>
      <c r="G523" s="5" t="n">
        <v>8.788</v>
      </c>
      <c r="H523" s="5" t="n">
        <v>1.235</v>
      </c>
      <c r="I523" s="5" t="n">
        <v>0</v>
      </c>
      <c r="J523" s="5" t="n">
        <v>8.788</v>
      </c>
      <c r="K523" s="5" t="n">
        <v>0</v>
      </c>
      <c r="L523" s="5" t="n">
        <v>1</v>
      </c>
      <c r="M523" s="5" t="n">
        <v>9.782999999999999</v>
      </c>
      <c r="N523" s="5" t="n">
        <v>3.704</v>
      </c>
      <c r="O523" s="5" t="n">
        <v>0</v>
      </c>
      <c r="P523" s="5" t="n">
        <v>9.782999999999999</v>
      </c>
      <c r="Q523" s="5" t="n">
        <v>0</v>
      </c>
      <c r="R523" s="5" t="n">
        <v>1</v>
      </c>
      <c r="S523" s="5" t="n">
        <v>14.962</v>
      </c>
      <c r="T523" s="5" t="n">
        <v>7.408</v>
      </c>
      <c r="U523" s="5" t="n">
        <v>0</v>
      </c>
      <c r="V523" s="5" t="n">
        <v>14.962</v>
      </c>
      <c r="W523" s="5" t="n">
        <v>0</v>
      </c>
      <c r="X523" s="5" t="n">
        <v>1</v>
      </c>
      <c r="Y523" s="5" t="n">
        <v>17.332</v>
      </c>
      <c r="Z523" s="5" t="n">
        <v>2.139</v>
      </c>
      <c r="AA523" s="5" t="n">
        <v>0</v>
      </c>
      <c r="AB523" s="5" t="n">
        <v>17.332</v>
      </c>
      <c r="AC523" s="5" t="n">
        <v>0</v>
      </c>
      <c r="AD523" s="5" t="n">
        <v>1</v>
      </c>
      <c r="AE523" s="5" t="n">
        <v>18.566</v>
      </c>
      <c r="AF523" s="5" t="n">
        <v>4.048</v>
      </c>
      <c r="AG523" s="5" t="n">
        <v>0</v>
      </c>
      <c r="AH523" s="5" t="n">
        <v>18.566</v>
      </c>
      <c r="AI523" s="5" t="n">
        <v>0</v>
      </c>
      <c r="AJ523" s="5" t="n">
        <v>1</v>
      </c>
      <c r="AK523" s="5" t="n">
        <v>25.974</v>
      </c>
      <c r="AL523" s="5" t="n">
        <v>13.478</v>
      </c>
      <c r="AM523" s="5" t="n">
        <v>0</v>
      </c>
      <c r="AN523" s="5" t="n">
        <v>25.974</v>
      </c>
      <c r="AO523" s="5" t="n">
        <v>0</v>
      </c>
      <c r="AP523" s="5" t="n">
        <v>1</v>
      </c>
      <c r="AQ523" s="5" t="n">
        <v>0.847</v>
      </c>
      <c r="AR523" s="5" t="n">
        <v>0.123</v>
      </c>
      <c r="AS523" s="5" t="n">
        <v>0.784</v>
      </c>
      <c r="AT523" s="5" t="n">
        <v>1.63</v>
      </c>
      <c r="AU523" s="5" t="n">
        <v>0</v>
      </c>
      <c r="AV523" s="5" t="n">
        <v>1</v>
      </c>
      <c r="AW523" s="5" t="n">
        <v>0.947</v>
      </c>
      <c r="AX523" s="5" t="n">
        <v>0.123</v>
      </c>
      <c r="AY523" s="5" t="n">
        <v>0.948</v>
      </c>
      <c r="AZ523" s="5" t="n">
        <v>1.894</v>
      </c>
      <c r="BA523" s="5" t="n">
        <v>0</v>
      </c>
      <c r="BB523" s="5" t="n">
        <v>1</v>
      </c>
      <c r="BC523" s="5" t="n">
        <v>0.589</v>
      </c>
      <c r="BD523" s="5" t="n">
        <v>0.123</v>
      </c>
      <c r="BE523" s="5" t="n">
        <v>0</v>
      </c>
      <c r="BF523" s="5" t="n">
        <v>0.589</v>
      </c>
      <c r="BG523" s="5" t="n">
        <v>0</v>
      </c>
      <c r="BH523" s="5" t="n">
        <v>1</v>
      </c>
      <c r="BI523" s="5" t="n">
        <v>0.6889999999999999</v>
      </c>
      <c r="BJ523" s="5" t="n">
        <v>0.123</v>
      </c>
      <c r="BK523" s="5" t="n">
        <v>0.049</v>
      </c>
      <c r="BL523" s="5" t="n">
        <v>0.738</v>
      </c>
      <c r="BM523" s="5" t="n">
        <v>0</v>
      </c>
      <c r="BN523" s="5" t="n">
        <v>1</v>
      </c>
      <c r="BO523" s="5" t="n">
        <v>0</v>
      </c>
      <c r="BP523" s="5" t="n">
        <v>0</v>
      </c>
      <c r="BQ523" s="5" t="n">
        <v>0.509</v>
      </c>
      <c r="BR523" s="5" t="n">
        <v>0</v>
      </c>
      <c r="BS523" s="5" t="n">
        <v>1</v>
      </c>
      <c r="BT523" s="5" t="n">
        <v>0</v>
      </c>
      <c r="BU523" s="5" t="n">
        <v>0</v>
      </c>
      <c r="BV523" s="5" t="n">
        <v>0.47</v>
      </c>
      <c r="BW523" s="5" t="n">
        <v>0</v>
      </c>
      <c r="BX523" s="5" t="n">
        <v>1</v>
      </c>
      <c r="BY523" s="5" t="n">
        <v>12.729</v>
      </c>
      <c r="BZ523" s="5" t="n">
        <v>0</v>
      </c>
      <c r="CA523" s="5" t="n">
        <v>12.729</v>
      </c>
      <c r="CB523" s="5" t="n">
        <v>0</v>
      </c>
      <c r="CC523" s="5" t="n">
        <v>102.477</v>
      </c>
      <c r="CD523" s="5" t="n">
        <v>7.95</v>
      </c>
      <c r="CE523" s="5" t="n">
        <v>0</v>
      </c>
      <c r="CF523" s="5" t="n">
        <v>102.477</v>
      </c>
      <c r="CG523" s="5" t="n">
        <v>0</v>
      </c>
      <c r="CH523" s="5" t="n">
        <v>1</v>
      </c>
      <c r="CI523" s="5" t="n">
        <v>0</v>
      </c>
      <c r="CJ523" s="5" t="n">
        <v>0</v>
      </c>
      <c r="CK523" s="5" t="n">
        <v>0</v>
      </c>
      <c r="CL523" s="5" t="n">
        <v>0</v>
      </c>
      <c r="CM523" s="5" t="n">
        <v>0</v>
      </c>
      <c r="CN523" s="5" t="n">
        <v>0</v>
      </c>
      <c r="CO523" s="5" t="n">
        <v>0</v>
      </c>
      <c r="CP523" s="5" t="n">
        <v>0</v>
      </c>
      <c r="CQ523" s="5" t="n">
        <v>1.294</v>
      </c>
      <c r="CR523" s="5" t="n">
        <v>0</v>
      </c>
      <c r="CS523" s="5" t="n">
        <v>5.158</v>
      </c>
      <c r="CT523" s="5" t="n">
        <v>7.554</v>
      </c>
      <c r="CU523" s="5" t="n">
        <v>16.097</v>
      </c>
    </row>
    <row r="524">
      <c r="A524" s="5" t="inlineStr">
        <is>
          <t>FSM2023</t>
        </is>
      </c>
      <c r="B524" s="5" t="inlineStr">
        <is>
          <t>FSM</t>
        </is>
      </c>
      <c r="C524" s="5" t="inlineStr">
        <is>
          <t>FSM</t>
        </is>
      </c>
      <c r="D524" s="5" t="inlineStr">
        <is>
          <t>Micronesia</t>
        </is>
      </c>
      <c r="E524" s="5" t="n">
        <v>2023</v>
      </c>
      <c r="F524" s="5" t="n">
        <v>0</v>
      </c>
      <c r="G524" s="5" t="n">
        <v>5.77</v>
      </c>
      <c r="H524" s="5" t="n">
        <v>1.286</v>
      </c>
      <c r="I524" s="5" t="n">
        <v>0</v>
      </c>
      <c r="J524" s="5" t="n">
        <v>5.77</v>
      </c>
      <c r="K524" s="5" t="n">
        <v>0</v>
      </c>
      <c r="L524" s="5" t="n">
        <v>1</v>
      </c>
      <c r="M524" s="5" t="n">
        <v>7.886</v>
      </c>
      <c r="N524" s="5" t="n">
        <v>3.857</v>
      </c>
      <c r="O524" s="5" t="n">
        <v>0</v>
      </c>
      <c r="P524" s="5" t="n">
        <v>7.886</v>
      </c>
      <c r="Q524" s="5" t="n">
        <v>0</v>
      </c>
      <c r="R524" s="5" t="n">
        <v>1</v>
      </c>
      <c r="S524" s="5" t="n">
        <v>12.198</v>
      </c>
      <c r="T524" s="5" t="n">
        <v>7.714</v>
      </c>
      <c r="U524" s="5" t="n">
        <v>0</v>
      </c>
      <c r="V524" s="5" t="n">
        <v>12.198</v>
      </c>
      <c r="W524" s="5" t="n">
        <v>0</v>
      </c>
      <c r="X524" s="5" t="n">
        <v>1</v>
      </c>
      <c r="Y524" s="5" t="n">
        <v>13.814</v>
      </c>
      <c r="Z524" s="5" t="n">
        <v>1.705</v>
      </c>
      <c r="AA524" s="5" t="n">
        <v>0</v>
      </c>
      <c r="AB524" s="5" t="n">
        <v>13.814</v>
      </c>
      <c r="AC524" s="5" t="n">
        <v>0</v>
      </c>
      <c r="AD524" s="5" t="n">
        <v>1</v>
      </c>
      <c r="AE524" s="5" t="n">
        <v>15.1</v>
      </c>
      <c r="AF524" s="5" t="n">
        <v>3.292</v>
      </c>
      <c r="AG524" s="5" t="n">
        <v>0</v>
      </c>
      <c r="AH524" s="5" t="n">
        <v>15.1</v>
      </c>
      <c r="AI524" s="5" t="n">
        <v>0</v>
      </c>
      <c r="AJ524" s="5" t="n">
        <v>1</v>
      </c>
      <c r="AK524" s="5" t="n">
        <v>22.814</v>
      </c>
      <c r="AL524" s="5" t="n">
        <v>11.838</v>
      </c>
      <c r="AM524" s="5" t="n">
        <v>0</v>
      </c>
      <c r="AN524" s="5" t="n">
        <v>22.814</v>
      </c>
      <c r="AO524" s="5" t="n">
        <v>0</v>
      </c>
      <c r="AP524" s="5" t="n">
        <v>1</v>
      </c>
      <c r="AQ524" s="5" t="n">
        <v>0.749</v>
      </c>
      <c r="AR524" s="5" t="n">
        <v>0.129</v>
      </c>
      <c r="AS524" s="5" t="n">
        <v>0.8159999999999999</v>
      </c>
      <c r="AT524" s="5" t="n">
        <v>1.565</v>
      </c>
      <c r="AU524" s="5" t="n">
        <v>0</v>
      </c>
      <c r="AV524" s="5" t="n">
        <v>1</v>
      </c>
      <c r="AW524" s="5" t="n">
        <v>0.783</v>
      </c>
      <c r="AX524" s="5" t="n">
        <v>0.129</v>
      </c>
      <c r="AY524" s="5" t="n">
        <v>0.987</v>
      </c>
      <c r="AZ524" s="5" t="n">
        <v>1.769</v>
      </c>
      <c r="BA524" s="5" t="n">
        <v>0</v>
      </c>
      <c r="BB524" s="5" t="n">
        <v>1</v>
      </c>
      <c r="BC524" s="5" t="n">
        <v>0.527</v>
      </c>
      <c r="BD524" s="5" t="n">
        <v>0.129</v>
      </c>
      <c r="BE524" s="5" t="n">
        <v>0</v>
      </c>
      <c r="BF524" s="5" t="n">
        <v>0.527</v>
      </c>
      <c r="BG524" s="5" t="n">
        <v>0</v>
      </c>
      <c r="BH524" s="5" t="n">
        <v>1</v>
      </c>
      <c r="BI524" s="5" t="n">
        <v>0.64</v>
      </c>
      <c r="BJ524" s="5" t="n">
        <v>0.129</v>
      </c>
      <c r="BK524" s="5" t="n">
        <v>0.048</v>
      </c>
      <c r="BL524" s="5" t="n">
        <v>0.6879999999999999</v>
      </c>
      <c r="BM524" s="5" t="n">
        <v>0</v>
      </c>
      <c r="BN524" s="5" t="n">
        <v>1</v>
      </c>
      <c r="BO524" s="5" t="n">
        <v>0</v>
      </c>
      <c r="BP524" s="5" t="n">
        <v>0</v>
      </c>
      <c r="BQ524" s="5" t="n">
        <v>0.53</v>
      </c>
      <c r="BR524" s="5" t="n">
        <v>0</v>
      </c>
      <c r="BS524" s="5" t="n">
        <v>1</v>
      </c>
      <c r="BT524" s="5" t="n">
        <v>0</v>
      </c>
      <c r="BU524" s="5" t="n">
        <v>0</v>
      </c>
      <c r="BV524" s="5" t="n">
        <v>0.49</v>
      </c>
      <c r="BW524" s="5" t="n">
        <v>0</v>
      </c>
      <c r="BX524" s="5" t="n">
        <v>1</v>
      </c>
      <c r="BY524" s="5" t="n">
        <v>13.254</v>
      </c>
      <c r="BZ524" s="5" t="n">
        <v>0</v>
      </c>
      <c r="CA524" s="5" t="n">
        <v>13.254</v>
      </c>
      <c r="CB524" s="5" t="n">
        <v>0</v>
      </c>
      <c r="CC524" s="5" t="n">
        <v>87.07899999999999</v>
      </c>
      <c r="CD524" s="5" t="n">
        <v>7.95</v>
      </c>
      <c r="CE524" s="5" t="n">
        <v>0</v>
      </c>
      <c r="CF524" s="5" t="n">
        <v>87.07899999999999</v>
      </c>
      <c r="CG524" s="5" t="n">
        <v>0</v>
      </c>
      <c r="CH524" s="5" t="n">
        <v>1</v>
      </c>
      <c r="CI524" s="5" t="n">
        <v>0</v>
      </c>
      <c r="CJ524" s="5" t="n">
        <v>0</v>
      </c>
      <c r="CK524" s="5" t="n">
        <v>0</v>
      </c>
      <c r="CL524" s="5" t="n">
        <v>0</v>
      </c>
      <c r="CM524" s="5" t="n">
        <v>0</v>
      </c>
      <c r="CN524" s="5" t="n">
        <v>0</v>
      </c>
      <c r="CO524" s="5" t="n">
        <v>0</v>
      </c>
      <c r="CP524" s="5" t="n">
        <v>0</v>
      </c>
      <c r="CQ524" s="5" t="n">
        <v>1.348</v>
      </c>
      <c r="CR524" s="5" t="n">
        <v>0</v>
      </c>
      <c r="CS524" s="5" t="n">
        <v>5.37</v>
      </c>
      <c r="CT524" s="5" t="n">
        <v>4.484</v>
      </c>
      <c r="CU524" s="5" t="n">
        <v>12.529</v>
      </c>
    </row>
    <row r="525">
      <c r="A525" s="5" t="inlineStr">
        <is>
          <t>FSM2024</t>
        </is>
      </c>
      <c r="B525" s="5" t="inlineStr">
        <is>
          <t>FSM</t>
        </is>
      </c>
      <c r="C525" s="5" t="inlineStr">
        <is>
          <t>FSM</t>
        </is>
      </c>
      <c r="D525" s="5" t="inlineStr">
        <is>
          <t>Micronesia</t>
        </is>
      </c>
      <c r="E525" s="5" t="n">
        <v>2024</v>
      </c>
      <c r="F525" s="5" t="n">
        <v>0</v>
      </c>
      <c r="G525" s="5" t="n">
        <v>4.833</v>
      </c>
      <c r="H525" s="5" t="n">
        <v>1.324</v>
      </c>
      <c r="I525" s="5" t="n">
        <v>0</v>
      </c>
      <c r="J525" s="5" t="n">
        <v>4.833</v>
      </c>
      <c r="K525" s="5" t="n">
        <v>0</v>
      </c>
      <c r="L525" s="5" t="n">
        <v>1</v>
      </c>
      <c r="M525" s="5" t="n">
        <v>7.124</v>
      </c>
      <c r="N525" s="5" t="n">
        <v>3.971</v>
      </c>
      <c r="O525" s="5" t="n">
        <v>0</v>
      </c>
      <c r="P525" s="5" t="n">
        <v>7.124</v>
      </c>
      <c r="Q525" s="5" t="n">
        <v>0</v>
      </c>
      <c r="R525" s="5" t="n">
        <v>1</v>
      </c>
      <c r="S525" s="5" t="n">
        <v>11.451</v>
      </c>
      <c r="T525" s="5" t="n">
        <v>7.942</v>
      </c>
      <c r="U525" s="5" t="n">
        <v>0</v>
      </c>
      <c r="V525" s="5" t="n">
        <v>11.451</v>
      </c>
      <c r="W525" s="5" t="n">
        <v>0</v>
      </c>
      <c r="X525" s="5" t="n">
        <v>1</v>
      </c>
      <c r="Y525" s="5" t="n">
        <v>12.219</v>
      </c>
      <c r="Z525" s="5" t="n">
        <v>1.508</v>
      </c>
      <c r="AA525" s="5" t="n">
        <v>0</v>
      </c>
      <c r="AB525" s="5" t="n">
        <v>12.219</v>
      </c>
      <c r="AC525" s="5" t="n">
        <v>0</v>
      </c>
      <c r="AD525" s="5" t="n">
        <v>1</v>
      </c>
      <c r="AE525" s="5" t="n">
        <v>13.543</v>
      </c>
      <c r="AF525" s="5" t="n">
        <v>2.952</v>
      </c>
      <c r="AG525" s="5" t="n">
        <v>0</v>
      </c>
      <c r="AH525" s="5" t="n">
        <v>13.543</v>
      </c>
      <c r="AI525" s="5" t="n">
        <v>0</v>
      </c>
      <c r="AJ525" s="5" t="n">
        <v>1</v>
      </c>
      <c r="AK525" s="5" t="n">
        <v>21.484</v>
      </c>
      <c r="AL525" s="5" t="n">
        <v>11.148</v>
      </c>
      <c r="AM525" s="5" t="n">
        <v>0</v>
      </c>
      <c r="AN525" s="5" t="n">
        <v>21.484</v>
      </c>
      <c r="AO525" s="5" t="n">
        <v>0</v>
      </c>
      <c r="AP525" s="5" t="n">
        <v>1</v>
      </c>
      <c r="AQ525" s="5" t="n">
        <v>0.72</v>
      </c>
      <c r="AR525" s="5" t="n">
        <v>0.132</v>
      </c>
      <c r="AS525" s="5" t="n">
        <v>0.84</v>
      </c>
      <c r="AT525" s="5" t="n">
        <v>1.56</v>
      </c>
      <c r="AU525" s="5" t="n">
        <v>0</v>
      </c>
      <c r="AV525" s="5" t="n">
        <v>1</v>
      </c>
      <c r="AW525" s="5" t="n">
        <v>0.734</v>
      </c>
      <c r="AX525" s="5" t="n">
        <v>0.132</v>
      </c>
      <c r="AY525" s="5" t="n">
        <v>1.016</v>
      </c>
      <c r="AZ525" s="5" t="n">
        <v>1.749</v>
      </c>
      <c r="BA525" s="5" t="n">
        <v>0</v>
      </c>
      <c r="BB525" s="5" t="n">
        <v>1</v>
      </c>
      <c r="BC525" s="5" t="n">
        <v>0.51</v>
      </c>
      <c r="BD525" s="5" t="n">
        <v>0.132</v>
      </c>
      <c r="BE525" s="5" t="n">
        <v>0</v>
      </c>
      <c r="BF525" s="5" t="n">
        <v>0.51</v>
      </c>
      <c r="BG525" s="5" t="n">
        <v>0</v>
      </c>
      <c r="BH525" s="5" t="n">
        <v>1</v>
      </c>
      <c r="BI525" s="5" t="n">
        <v>0.652</v>
      </c>
      <c r="BJ525" s="5" t="n">
        <v>0.132</v>
      </c>
      <c r="BK525" s="5" t="n">
        <v>0.049</v>
      </c>
      <c r="BL525" s="5" t="n">
        <v>0.702</v>
      </c>
      <c r="BM525" s="5" t="n">
        <v>0</v>
      </c>
      <c r="BN525" s="5" t="n">
        <v>1</v>
      </c>
      <c r="BO525" s="5" t="n">
        <v>0</v>
      </c>
      <c r="BP525" s="5" t="n">
        <v>0</v>
      </c>
      <c r="BQ525" s="5" t="n">
        <v>0.545</v>
      </c>
      <c r="BR525" s="5" t="n">
        <v>0</v>
      </c>
      <c r="BS525" s="5" t="n">
        <v>1</v>
      </c>
      <c r="BT525" s="5" t="n">
        <v>0</v>
      </c>
      <c r="BU525" s="5" t="n">
        <v>0</v>
      </c>
      <c r="BV525" s="5" t="n">
        <v>0.504</v>
      </c>
      <c r="BW525" s="5" t="n">
        <v>0</v>
      </c>
      <c r="BX525" s="5" t="n">
        <v>1</v>
      </c>
      <c r="BY525" s="5" t="n">
        <v>13.646</v>
      </c>
      <c r="BZ525" s="5" t="n">
        <v>0</v>
      </c>
      <c r="CA525" s="5" t="n">
        <v>13.646</v>
      </c>
      <c r="CB525" s="5" t="n">
        <v>0</v>
      </c>
      <c r="CC525" s="5" t="n">
        <v>86.38500000000001</v>
      </c>
      <c r="CD525" s="5" t="n">
        <v>7.95</v>
      </c>
      <c r="CE525" s="5" t="n">
        <v>0</v>
      </c>
      <c r="CF525" s="5" t="n">
        <v>86.38500000000001</v>
      </c>
      <c r="CG525" s="5" t="n">
        <v>0</v>
      </c>
      <c r="CH525" s="5" t="n">
        <v>1</v>
      </c>
      <c r="CI525" s="5" t="n">
        <v>0</v>
      </c>
      <c r="CJ525" s="5" t="n">
        <v>0</v>
      </c>
      <c r="CK525" s="5" t="n">
        <v>0</v>
      </c>
      <c r="CL525" s="5" t="n">
        <v>0</v>
      </c>
      <c r="CM525" s="5" t="n">
        <v>0</v>
      </c>
      <c r="CN525" s="5" t="n">
        <v>0</v>
      </c>
      <c r="CO525" s="5" t="n">
        <v>0</v>
      </c>
      <c r="CP525" s="5" t="n">
        <v>0</v>
      </c>
      <c r="CQ525" s="5" t="n">
        <v>1.387</v>
      </c>
      <c r="CR525" s="5" t="n">
        <v>0</v>
      </c>
      <c r="CS525" s="5" t="n">
        <v>5.529</v>
      </c>
      <c r="CT525" s="5" t="n">
        <v>3.509</v>
      </c>
      <c r="CU525" s="5" t="n">
        <v>10.896</v>
      </c>
    </row>
    <row r="526">
      <c r="A526" s="5" t="inlineStr">
        <is>
          <t>MDA2021</t>
        </is>
      </c>
      <c r="B526" s="5" t="inlineStr">
        <is>
          <t>MDA</t>
        </is>
      </c>
      <c r="C526" s="5" t="inlineStr">
        <is>
          <t>MDA</t>
        </is>
      </c>
      <c r="D526" s="5" t="inlineStr">
        <is>
          <t>Moldova</t>
        </is>
      </c>
      <c r="E526" s="5" t="n">
        <v>2021</v>
      </c>
      <c r="F526" s="5" t="n">
        <v>0.2</v>
      </c>
      <c r="G526" s="5" t="n">
        <v>4.851</v>
      </c>
      <c r="H526" s="5" t="n">
        <v>1.037</v>
      </c>
      <c r="I526" s="5" t="n">
        <v>0</v>
      </c>
      <c r="J526" s="5" t="n">
        <v>4.851</v>
      </c>
      <c r="K526" s="5" t="n">
        <v>0</v>
      </c>
      <c r="L526" s="5" t="n">
        <v>1</v>
      </c>
      <c r="M526" s="5" t="n">
        <v>7.026</v>
      </c>
      <c r="N526" s="5" t="n">
        <v>3.111</v>
      </c>
      <c r="O526" s="5" t="n">
        <v>0</v>
      </c>
      <c r="P526" s="5" t="n">
        <v>7.026</v>
      </c>
      <c r="Q526" s="5" t="n">
        <v>0</v>
      </c>
      <c r="R526" s="5" t="n">
        <v>1</v>
      </c>
      <c r="S526" s="5" t="n">
        <v>10.036</v>
      </c>
      <c r="T526" s="5" t="n">
        <v>6.223</v>
      </c>
      <c r="U526" s="5" t="n">
        <v>0</v>
      </c>
      <c r="V526" s="5" t="n">
        <v>12.044</v>
      </c>
      <c r="W526" s="5" t="n">
        <v>0.2</v>
      </c>
      <c r="X526" s="5" t="n">
        <v>1</v>
      </c>
      <c r="Y526" s="5" t="n">
        <v>10.315</v>
      </c>
      <c r="Z526" s="5" t="n">
        <v>1.139</v>
      </c>
      <c r="AA526" s="5" t="n">
        <v>-0.163</v>
      </c>
      <c r="AB526" s="5" t="n">
        <v>10.152</v>
      </c>
      <c r="AC526" s="5" t="n">
        <v>0</v>
      </c>
      <c r="AD526" s="5" t="n">
        <v>1</v>
      </c>
      <c r="AE526" s="5" t="n">
        <v>10.579</v>
      </c>
      <c r="AF526" s="5" t="n">
        <v>2.082</v>
      </c>
      <c r="AG526" s="5" t="n">
        <v>-0.115</v>
      </c>
      <c r="AH526" s="5" t="n">
        <v>10.465</v>
      </c>
      <c r="AI526" s="5" t="n">
        <v>0</v>
      </c>
      <c r="AJ526" s="5" t="n">
        <v>1</v>
      </c>
      <c r="AK526" s="5" t="n">
        <v>13.004</v>
      </c>
      <c r="AL526" s="5" t="n">
        <v>6.382</v>
      </c>
      <c r="AM526" s="5" t="n">
        <v>-2.299</v>
      </c>
      <c r="AN526" s="5" t="n">
        <v>11.561</v>
      </c>
      <c r="AO526" s="5" t="n">
        <v>0</v>
      </c>
      <c r="AP526" s="5" t="n">
        <v>1</v>
      </c>
      <c r="AQ526" s="5" t="n">
        <v>0.619</v>
      </c>
      <c r="AR526" s="5" t="n">
        <v>0.114</v>
      </c>
      <c r="AS526" s="5" t="n">
        <v>0.295</v>
      </c>
      <c r="AT526" s="5" t="n">
        <v>1.097</v>
      </c>
      <c r="AU526" s="5" t="n">
        <v>0.2</v>
      </c>
      <c r="AV526" s="5" t="n">
        <v>1</v>
      </c>
      <c r="AW526" s="5" t="n">
        <v>0.599</v>
      </c>
      <c r="AX526" s="5" t="n">
        <v>0.114</v>
      </c>
      <c r="AY526" s="5" t="n">
        <v>0.159</v>
      </c>
      <c r="AZ526" s="5" t="n">
        <v>0.91</v>
      </c>
      <c r="BA526" s="5" t="n">
        <v>0.2</v>
      </c>
      <c r="BB526" s="5" t="n">
        <v>1</v>
      </c>
      <c r="BC526" s="5" t="n">
        <v>0.439</v>
      </c>
      <c r="BD526" s="5" t="n">
        <v>0.114</v>
      </c>
      <c r="BE526" s="5" t="n">
        <v>0.168</v>
      </c>
      <c r="BF526" s="5" t="n">
        <v>0.655</v>
      </c>
      <c r="BG526" s="5" t="n">
        <v>0.08</v>
      </c>
      <c r="BH526" s="5" t="n">
        <v>1</v>
      </c>
      <c r="BI526" s="5" t="n">
        <v>0.505</v>
      </c>
      <c r="BJ526" s="5" t="n">
        <v>0.114</v>
      </c>
      <c r="BK526" s="5" t="n">
        <v>0</v>
      </c>
      <c r="BL526" s="5" t="n">
        <v>0.606</v>
      </c>
      <c r="BM526" s="5" t="n">
        <v>0.2</v>
      </c>
      <c r="BN526" s="5" t="n">
        <v>1</v>
      </c>
      <c r="BO526" s="5" t="n">
        <v>0</v>
      </c>
      <c r="BP526" s="5" t="n">
        <v>0</v>
      </c>
      <c r="BQ526" s="5" t="n">
        <v>0.065</v>
      </c>
      <c r="BR526" s="5" t="n">
        <v>0</v>
      </c>
      <c r="BS526" s="5" t="n">
        <v>1</v>
      </c>
      <c r="BT526" s="5" t="n">
        <v>0</v>
      </c>
      <c r="BU526" s="5" t="n">
        <v>0</v>
      </c>
      <c r="BV526" s="5" t="n">
        <v>0.094</v>
      </c>
      <c r="BW526" s="5" t="n">
        <v>0</v>
      </c>
      <c r="BX526" s="5" t="n">
        <v>1</v>
      </c>
      <c r="BY526" s="5" t="n">
        <v>11.787</v>
      </c>
      <c r="BZ526" s="5" t="n">
        <v>0</v>
      </c>
      <c r="CA526" s="5" t="n">
        <v>11.787</v>
      </c>
      <c r="CB526" s="5" t="n">
        <v>0</v>
      </c>
      <c r="CC526" s="5" t="n">
        <v>78.125</v>
      </c>
      <c r="CD526" s="5" t="n">
        <v>7.95</v>
      </c>
      <c r="CE526" s="5" t="n">
        <v>0</v>
      </c>
      <c r="CF526" s="5" t="n">
        <v>93.75</v>
      </c>
      <c r="CG526" s="5" t="n">
        <v>0.2</v>
      </c>
      <c r="CH526" s="5" t="n">
        <v>1</v>
      </c>
      <c r="CI526" s="5" t="n">
        <v>0</v>
      </c>
      <c r="CJ526" s="5" t="n">
        <v>0</v>
      </c>
      <c r="CK526" s="5" t="n">
        <v>0</v>
      </c>
      <c r="CL526" s="5" t="n">
        <v>0</v>
      </c>
      <c r="CM526" s="5" t="n">
        <v>0</v>
      </c>
      <c r="CN526" s="5" t="n">
        <v>0</v>
      </c>
      <c r="CO526" s="5" t="n">
        <v>0</v>
      </c>
      <c r="CP526" s="5" t="n">
        <v>0.186</v>
      </c>
      <c r="CQ526" s="5" t="n">
        <v>1.198</v>
      </c>
      <c r="CR526" s="5" t="n">
        <v>0</v>
      </c>
      <c r="CS526" s="5" t="n">
        <v>4.776</v>
      </c>
      <c r="CT526" s="5" t="n">
        <v>4.41</v>
      </c>
      <c r="CU526" s="5" t="n">
        <v>22.69</v>
      </c>
    </row>
    <row r="527">
      <c r="A527" s="5" t="inlineStr">
        <is>
          <t>MDA2022</t>
        </is>
      </c>
      <c r="B527" s="5" t="inlineStr">
        <is>
          <t>MDA</t>
        </is>
      </c>
      <c r="C527" s="5" t="inlineStr">
        <is>
          <t>MDA</t>
        </is>
      </c>
      <c r="D527" s="5" t="inlineStr">
        <is>
          <t>Moldova</t>
        </is>
      </c>
      <c r="E527" s="5" t="n">
        <v>2022</v>
      </c>
      <c r="F527" s="5" t="n">
        <v>0.2</v>
      </c>
      <c r="G527" s="5" t="n">
        <v>7.077</v>
      </c>
      <c r="H527" s="5" t="n">
        <v>1.235</v>
      </c>
      <c r="I527" s="5" t="n">
        <v>0</v>
      </c>
      <c r="J527" s="5" t="n">
        <v>7.077</v>
      </c>
      <c r="K527" s="5" t="n">
        <v>0</v>
      </c>
      <c r="L527" s="5" t="n">
        <v>1</v>
      </c>
      <c r="M527" s="5" t="n">
        <v>9.782999999999999</v>
      </c>
      <c r="N527" s="5" t="n">
        <v>3.704</v>
      </c>
      <c r="O527" s="5" t="n">
        <v>0</v>
      </c>
      <c r="P527" s="5" t="n">
        <v>9.782999999999999</v>
      </c>
      <c r="Q527" s="5" t="n">
        <v>0</v>
      </c>
      <c r="R527" s="5" t="n">
        <v>1</v>
      </c>
      <c r="S527" s="5" t="n">
        <v>13.25</v>
      </c>
      <c r="T527" s="5" t="n">
        <v>7.408</v>
      </c>
      <c r="U527" s="5" t="n">
        <v>0.196</v>
      </c>
      <c r="V527" s="5" t="n">
        <v>15.9</v>
      </c>
      <c r="W527" s="5" t="n">
        <v>0.2</v>
      </c>
      <c r="X527" s="5" t="n">
        <v>1</v>
      </c>
      <c r="Y527" s="5" t="n">
        <v>34.875</v>
      </c>
      <c r="Z527" s="5" t="n">
        <v>3.659</v>
      </c>
      <c r="AA527" s="5" t="n">
        <v>0.04</v>
      </c>
      <c r="AB527" s="5" t="n">
        <v>34.914</v>
      </c>
      <c r="AC527" s="5" t="n">
        <v>0</v>
      </c>
      <c r="AD527" s="5" t="n">
        <v>1</v>
      </c>
      <c r="AE527" s="5" t="n">
        <v>35.592</v>
      </c>
      <c r="AF527" s="5" t="n">
        <v>6.598</v>
      </c>
      <c r="AG527" s="5" t="n">
        <v>-0.023</v>
      </c>
      <c r="AH527" s="5" t="n">
        <v>35.569</v>
      </c>
      <c r="AI527" s="5" t="n">
        <v>0</v>
      </c>
      <c r="AJ527" s="5" t="n">
        <v>1</v>
      </c>
      <c r="AK527" s="5" t="n">
        <v>38.086</v>
      </c>
      <c r="AL527" s="5" t="n">
        <v>18.187</v>
      </c>
      <c r="AM527" s="5" t="n">
        <v>-2.101</v>
      </c>
      <c r="AN527" s="5" t="n">
        <v>38.864</v>
      </c>
      <c r="AO527" s="5" t="n">
        <v>0</v>
      </c>
      <c r="AP527" s="5" t="n">
        <v>1</v>
      </c>
      <c r="AQ527" s="5" t="n">
        <v>0.861</v>
      </c>
      <c r="AR527" s="5" t="n">
        <v>0.123</v>
      </c>
      <c r="AS527" s="5" t="n">
        <v>0.296</v>
      </c>
      <c r="AT527" s="5" t="n">
        <v>1.388</v>
      </c>
      <c r="AU527" s="5" t="n">
        <v>0.2</v>
      </c>
      <c r="AV527" s="5" t="n">
        <v>1</v>
      </c>
      <c r="AW527" s="5" t="n">
        <v>0.986</v>
      </c>
      <c r="AX527" s="5" t="n">
        <v>0.123</v>
      </c>
      <c r="AY527" s="5" t="n">
        <v>0.144</v>
      </c>
      <c r="AZ527" s="5" t="n">
        <v>1.356</v>
      </c>
      <c r="BA527" s="5" t="n">
        <v>0.2</v>
      </c>
      <c r="BB527" s="5" t="n">
        <v>1</v>
      </c>
      <c r="BC527" s="5" t="n">
        <v>0.598</v>
      </c>
      <c r="BD527" s="5" t="n">
        <v>0.123</v>
      </c>
      <c r="BE527" s="5" t="n">
        <v>0.179</v>
      </c>
      <c r="BF527" s="5" t="n">
        <v>0.839</v>
      </c>
      <c r="BG527" s="5" t="n">
        <v>0.08</v>
      </c>
      <c r="BH527" s="5" t="n">
        <v>1</v>
      </c>
      <c r="BI527" s="5" t="n">
        <v>0.612</v>
      </c>
      <c r="BJ527" s="5" t="n">
        <v>0.123</v>
      </c>
      <c r="BK527" s="5" t="n">
        <v>0.008999999999999999</v>
      </c>
      <c r="BL527" s="5" t="n">
        <v>0.735</v>
      </c>
      <c r="BM527" s="5" t="n">
        <v>0.2</v>
      </c>
      <c r="BN527" s="5" t="n">
        <v>1</v>
      </c>
      <c r="BO527" s="5" t="n">
        <v>0</v>
      </c>
      <c r="BP527" s="5" t="n">
        <v>0</v>
      </c>
      <c r="BQ527" s="5" t="n">
        <v>0.123</v>
      </c>
      <c r="BR527" s="5" t="n">
        <v>0</v>
      </c>
      <c r="BS527" s="5" t="n">
        <v>1</v>
      </c>
      <c r="BT527" s="5" t="n">
        <v>0</v>
      </c>
      <c r="BU527" s="5" t="n">
        <v>0</v>
      </c>
      <c r="BV527" s="5" t="n">
        <v>0.15</v>
      </c>
      <c r="BW527" s="5" t="n">
        <v>0</v>
      </c>
      <c r="BX527" s="5" t="n">
        <v>1</v>
      </c>
      <c r="BY527" s="5" t="n">
        <v>12.729</v>
      </c>
      <c r="BZ527" s="5" t="n">
        <v>0</v>
      </c>
      <c r="CA527" s="5" t="n">
        <v>12.729</v>
      </c>
      <c r="CB527" s="5" t="n">
        <v>0</v>
      </c>
      <c r="CC527" s="5" t="n">
        <v>97.90000000000001</v>
      </c>
      <c r="CD527" s="5" t="n">
        <v>7.95</v>
      </c>
      <c r="CE527" s="5" t="n">
        <v>1.449</v>
      </c>
      <c r="CF527" s="5" t="n">
        <v>117.48</v>
      </c>
      <c r="CG527" s="5" t="n">
        <v>0.2</v>
      </c>
      <c r="CH527" s="5" t="n">
        <v>1</v>
      </c>
      <c r="CI527" s="5" t="n">
        <v>0</v>
      </c>
      <c r="CJ527" s="5" t="n">
        <v>0</v>
      </c>
      <c r="CK527" s="5" t="n">
        <v>0</v>
      </c>
      <c r="CL527" s="5" t="n">
        <v>0</v>
      </c>
      <c r="CM527" s="5" t="n">
        <v>0</v>
      </c>
      <c r="CN527" s="5" t="n">
        <v>0</v>
      </c>
      <c r="CO527" s="5" t="n">
        <v>0</v>
      </c>
      <c r="CP527" s="5" t="n">
        <v>0</v>
      </c>
      <c r="CQ527" s="5" t="n">
        <v>1.294</v>
      </c>
      <c r="CR527" s="5" t="n">
        <v>0</v>
      </c>
      <c r="CS527" s="5" t="n">
        <v>5.158</v>
      </c>
      <c r="CT527" s="5" t="n">
        <v>5.842</v>
      </c>
      <c r="CU527" s="5" t="n">
        <v>25.012</v>
      </c>
    </row>
    <row r="528">
      <c r="A528" s="5" t="inlineStr">
        <is>
          <t>MDA2023</t>
        </is>
      </c>
      <c r="B528" s="5" t="inlineStr">
        <is>
          <t>MDA</t>
        </is>
      </c>
      <c r="C528" s="5" t="inlineStr">
        <is>
          <t>MDA</t>
        </is>
      </c>
      <c r="D528" s="5" t="inlineStr">
        <is>
          <t>Moldova</t>
        </is>
      </c>
      <c r="E528" s="5" t="n">
        <v>2023</v>
      </c>
      <c r="F528" s="5" t="n">
        <v>0.2</v>
      </c>
      <c r="G528" s="5" t="n">
        <v>4.618</v>
      </c>
      <c r="H528" s="5" t="n">
        <v>1.255</v>
      </c>
      <c r="I528" s="5" t="n">
        <v>0</v>
      </c>
      <c r="J528" s="5" t="n">
        <v>4.618</v>
      </c>
      <c r="K528" s="5" t="n">
        <v>0</v>
      </c>
      <c r="L528" s="5" t="n">
        <v>1</v>
      </c>
      <c r="M528" s="5" t="n">
        <v>7.663</v>
      </c>
      <c r="N528" s="5" t="n">
        <v>3.764</v>
      </c>
      <c r="O528" s="5" t="n">
        <v>0</v>
      </c>
      <c r="P528" s="5" t="n">
        <v>7.663</v>
      </c>
      <c r="Q528" s="5" t="n">
        <v>0</v>
      </c>
      <c r="R528" s="5" t="n">
        <v>1</v>
      </c>
      <c r="S528" s="5" t="n">
        <v>10.89</v>
      </c>
      <c r="T528" s="5" t="n">
        <v>7.527</v>
      </c>
      <c r="U528" s="5" t="n">
        <v>0.241</v>
      </c>
      <c r="V528" s="5" t="n">
        <v>13.068</v>
      </c>
      <c r="W528" s="5" t="n">
        <v>0.2</v>
      </c>
      <c r="X528" s="5" t="n">
        <v>1</v>
      </c>
      <c r="Y528" s="5" t="n">
        <v>39.349</v>
      </c>
      <c r="Z528" s="5" t="n">
        <v>4.408</v>
      </c>
      <c r="AA528" s="5" t="n">
        <v>-0.002</v>
      </c>
      <c r="AB528" s="5" t="n">
        <v>39.347</v>
      </c>
      <c r="AC528" s="5" t="n">
        <v>0</v>
      </c>
      <c r="AD528" s="5" t="n">
        <v>1</v>
      </c>
      <c r="AE528" s="5" t="n">
        <v>40.519</v>
      </c>
      <c r="AF528" s="5" t="n">
        <v>8.07</v>
      </c>
      <c r="AG528" s="5" t="n">
        <v>-0.001</v>
      </c>
      <c r="AH528" s="5" t="n">
        <v>40.518</v>
      </c>
      <c r="AI528" s="5" t="n">
        <v>0</v>
      </c>
      <c r="AJ528" s="5" t="n">
        <v>1</v>
      </c>
      <c r="AK528" s="5" t="n">
        <v>43.54</v>
      </c>
      <c r="AL528" s="5" t="n">
        <v>21.569</v>
      </c>
      <c r="AM528" s="5" t="n">
        <v>-1.995</v>
      </c>
      <c r="AN528" s="5" t="n">
        <v>44.869</v>
      </c>
      <c r="AO528" s="5" t="n">
        <v>0</v>
      </c>
      <c r="AP528" s="5" t="n">
        <v>1</v>
      </c>
      <c r="AQ528" s="5" t="n">
        <v>0.76</v>
      </c>
      <c r="AR528" s="5" t="n">
        <v>0.129</v>
      </c>
      <c r="AS528" s="5" t="n">
        <v>0.358</v>
      </c>
      <c r="AT528" s="5" t="n">
        <v>1.342</v>
      </c>
      <c r="AU528" s="5" t="n">
        <v>0.2</v>
      </c>
      <c r="AV528" s="5" t="n">
        <v>1</v>
      </c>
      <c r="AW528" s="5" t="n">
        <v>0.8110000000000001</v>
      </c>
      <c r="AX528" s="5" t="n">
        <v>0.129</v>
      </c>
      <c r="AY528" s="5" t="n">
        <v>0.18</v>
      </c>
      <c r="AZ528" s="5" t="n">
        <v>1.19</v>
      </c>
      <c r="BA528" s="5" t="n">
        <v>0.2</v>
      </c>
      <c r="BB528" s="5" t="n">
        <v>1</v>
      </c>
      <c r="BC528" s="5" t="n">
        <v>0.535</v>
      </c>
      <c r="BD528" s="5" t="n">
        <v>0.129</v>
      </c>
      <c r="BE528" s="5" t="n">
        <v>0.21</v>
      </c>
      <c r="BF528" s="5" t="n">
        <v>0.804</v>
      </c>
      <c r="BG528" s="5" t="n">
        <v>0.08</v>
      </c>
      <c r="BH528" s="5" t="n">
        <v>1</v>
      </c>
      <c r="BI528" s="5" t="n">
        <v>0.579</v>
      </c>
      <c r="BJ528" s="5" t="n">
        <v>0.129</v>
      </c>
      <c r="BK528" s="5" t="n">
        <v>0.013</v>
      </c>
      <c r="BL528" s="5" t="n">
        <v>0.695</v>
      </c>
      <c r="BM528" s="5" t="n">
        <v>0.2</v>
      </c>
      <c r="BN528" s="5" t="n">
        <v>1</v>
      </c>
      <c r="BO528" s="5" t="n">
        <v>0</v>
      </c>
      <c r="BP528" s="5" t="n">
        <v>0</v>
      </c>
      <c r="BQ528" s="5" t="n">
        <v>0.121</v>
      </c>
      <c r="BR528" s="5" t="n">
        <v>0</v>
      </c>
      <c r="BS528" s="5" t="n">
        <v>1</v>
      </c>
      <c r="BT528" s="5" t="n">
        <v>0</v>
      </c>
      <c r="BU528" s="5" t="n">
        <v>0.002</v>
      </c>
      <c r="BV528" s="5" t="n">
        <v>0.168</v>
      </c>
      <c r="BW528" s="5" t="n">
        <v>0</v>
      </c>
      <c r="BX528" s="5" t="n">
        <v>1</v>
      </c>
      <c r="BY528" s="5" t="n">
        <v>13.254</v>
      </c>
      <c r="BZ528" s="5" t="n">
        <v>0</v>
      </c>
      <c r="CA528" s="5" t="n">
        <v>13.254</v>
      </c>
      <c r="CB528" s="5" t="n">
        <v>0</v>
      </c>
      <c r="CC528" s="5" t="n">
        <v>83.248</v>
      </c>
      <c r="CD528" s="5" t="n">
        <v>7.95</v>
      </c>
      <c r="CE528" s="5" t="n">
        <v>1.843</v>
      </c>
      <c r="CF528" s="5" t="n">
        <v>99.898</v>
      </c>
      <c r="CG528" s="5" t="n">
        <v>0.2</v>
      </c>
      <c r="CH528" s="5" t="n">
        <v>1</v>
      </c>
      <c r="CI528" s="5" t="n">
        <v>0</v>
      </c>
      <c r="CJ528" s="5" t="n">
        <v>0</v>
      </c>
      <c r="CK528" s="5" t="n">
        <v>0</v>
      </c>
      <c r="CL528" s="5" t="n">
        <v>0</v>
      </c>
      <c r="CM528" s="5" t="n">
        <v>0</v>
      </c>
      <c r="CN528" s="5" t="n">
        <v>0</v>
      </c>
      <c r="CO528" s="5" t="n">
        <v>0</v>
      </c>
      <c r="CP528" s="5" t="n">
        <v>0.048</v>
      </c>
      <c r="CQ528" s="5" t="n">
        <v>1.348</v>
      </c>
      <c r="CR528" s="5" t="n">
        <v>0</v>
      </c>
      <c r="CS528" s="5" t="n">
        <v>5.37</v>
      </c>
      <c r="CT528" s="5" t="n">
        <v>3.466</v>
      </c>
      <c r="CU528" s="5" t="n">
        <v>12.34</v>
      </c>
    </row>
    <row r="529">
      <c r="A529" s="5" t="inlineStr">
        <is>
          <t>MDA2024</t>
        </is>
      </c>
      <c r="B529" s="5" t="inlineStr">
        <is>
          <t>MDA</t>
        </is>
      </c>
      <c r="C529" s="5" t="inlineStr">
        <is>
          <t>MDA</t>
        </is>
      </c>
      <c r="D529" s="5" t="inlineStr">
        <is>
          <t>Moldova</t>
        </is>
      </c>
      <c r="E529" s="5" t="n">
        <v>2024</v>
      </c>
      <c r="F529" s="5" t="n">
        <v>0.2</v>
      </c>
      <c r="G529" s="5" t="n">
        <v>4.239</v>
      </c>
      <c r="H529" s="5" t="n">
        <v>1.292</v>
      </c>
      <c r="I529" s="5" t="n">
        <v>0</v>
      </c>
      <c r="J529" s="5" t="n">
        <v>4.239</v>
      </c>
      <c r="K529" s="5" t="n">
        <v>0</v>
      </c>
      <c r="L529" s="5" t="n">
        <v>1</v>
      </c>
      <c r="M529" s="5" t="n">
        <v>6.942</v>
      </c>
      <c r="N529" s="5" t="n">
        <v>3.875</v>
      </c>
      <c r="O529" s="5" t="n">
        <v>0</v>
      </c>
      <c r="P529" s="5" t="n">
        <v>6.942</v>
      </c>
      <c r="Q529" s="5" t="n">
        <v>0</v>
      </c>
      <c r="R529" s="5" t="n">
        <v>1</v>
      </c>
      <c r="S529" s="5" t="n">
        <v>10.697</v>
      </c>
      <c r="T529" s="5" t="n">
        <v>7.749</v>
      </c>
      <c r="U529" s="5" t="n">
        <v>0.291</v>
      </c>
      <c r="V529" s="5" t="n">
        <v>12.836</v>
      </c>
      <c r="W529" s="5" t="n">
        <v>0.2</v>
      </c>
      <c r="X529" s="5" t="n">
        <v>1</v>
      </c>
      <c r="Y529" s="5" t="n">
        <v>20.206</v>
      </c>
      <c r="Z529" s="5" t="n">
        <v>2.551</v>
      </c>
      <c r="AA529" s="5" t="n">
        <v>-0.002</v>
      </c>
      <c r="AB529" s="5" t="n">
        <v>20.204</v>
      </c>
      <c r="AC529" s="5" t="n">
        <v>0</v>
      </c>
      <c r="AD529" s="5" t="n">
        <v>1</v>
      </c>
      <c r="AE529" s="5" t="n">
        <v>22.26</v>
      </c>
      <c r="AF529" s="5" t="n">
        <v>4.876</v>
      </c>
      <c r="AG529" s="5" t="n">
        <v>-0.001</v>
      </c>
      <c r="AH529" s="5" t="n">
        <v>22.259</v>
      </c>
      <c r="AI529" s="5" t="n">
        <v>0</v>
      </c>
      <c r="AJ529" s="5" t="n">
        <v>1</v>
      </c>
      <c r="AK529" s="5" t="n">
        <v>27.474</v>
      </c>
      <c r="AL529" s="5" t="n">
        <v>13.974</v>
      </c>
      <c r="AM529" s="5" t="n">
        <v>-0.584</v>
      </c>
      <c r="AN529" s="5" t="n">
        <v>29.041</v>
      </c>
      <c r="AO529" s="5" t="n">
        <v>0</v>
      </c>
      <c r="AP529" s="5" t="n">
        <v>1</v>
      </c>
      <c r="AQ529" s="5" t="n">
        <v>0.724</v>
      </c>
      <c r="AR529" s="5" t="n">
        <v>0.132</v>
      </c>
      <c r="AS529" s="5" t="n">
        <v>0.41</v>
      </c>
      <c r="AT529" s="5" t="n">
        <v>1.362</v>
      </c>
      <c r="AU529" s="5" t="n">
        <v>0.2</v>
      </c>
      <c r="AV529" s="5" t="n">
        <v>1</v>
      </c>
      <c r="AW529" s="5" t="n">
        <v>0.75</v>
      </c>
      <c r="AX529" s="5" t="n">
        <v>0.132</v>
      </c>
      <c r="AY529" s="5" t="n">
        <v>0.217</v>
      </c>
      <c r="AZ529" s="5" t="n">
        <v>1.161</v>
      </c>
      <c r="BA529" s="5" t="n">
        <v>0.2</v>
      </c>
      <c r="BB529" s="5" t="n">
        <v>1</v>
      </c>
      <c r="BC529" s="5" t="n">
        <v>0.513</v>
      </c>
      <c r="BD529" s="5" t="n">
        <v>0.132</v>
      </c>
      <c r="BE529" s="5" t="n">
        <v>0.212</v>
      </c>
      <c r="BF529" s="5" t="n">
        <v>0.783</v>
      </c>
      <c r="BG529" s="5" t="n">
        <v>0.08</v>
      </c>
      <c r="BH529" s="5" t="n">
        <v>1</v>
      </c>
      <c r="BI529" s="5" t="n">
        <v>0.591</v>
      </c>
      <c r="BJ529" s="5" t="n">
        <v>0.132</v>
      </c>
      <c r="BK529" s="5" t="n">
        <v>0.016</v>
      </c>
      <c r="BL529" s="5" t="n">
        <v>0.71</v>
      </c>
      <c r="BM529" s="5" t="n">
        <v>0.2</v>
      </c>
      <c r="BN529" s="5" t="n">
        <v>1</v>
      </c>
      <c r="BO529" s="5" t="n">
        <v>0</v>
      </c>
      <c r="BP529" s="5" t="n">
        <v>0</v>
      </c>
      <c r="BQ529" s="5" t="n">
        <v>0.095</v>
      </c>
      <c r="BR529" s="5" t="n">
        <v>0</v>
      </c>
      <c r="BS529" s="5" t="n">
        <v>1</v>
      </c>
      <c r="BT529" s="5" t="n">
        <v>0</v>
      </c>
      <c r="BU529" s="5" t="n">
        <v>0.002</v>
      </c>
      <c r="BV529" s="5" t="n">
        <v>0.14</v>
      </c>
      <c r="BW529" s="5" t="n">
        <v>0</v>
      </c>
      <c r="BX529" s="5" t="n">
        <v>1</v>
      </c>
      <c r="BY529" s="5" t="n">
        <v>13.646</v>
      </c>
      <c r="BZ529" s="5" t="n">
        <v>0</v>
      </c>
      <c r="CA529" s="5" t="n">
        <v>13.646</v>
      </c>
      <c r="CB529" s="5" t="n">
        <v>0</v>
      </c>
      <c r="CC529" s="5" t="n">
        <v>82.58799999999999</v>
      </c>
      <c r="CD529" s="5" t="n">
        <v>7.95</v>
      </c>
      <c r="CE529" s="5" t="n">
        <v>2.25</v>
      </c>
      <c r="CF529" s="5" t="n">
        <v>99.10599999999999</v>
      </c>
      <c r="CG529" s="5" t="n">
        <v>0.2</v>
      </c>
      <c r="CH529" s="5" t="n">
        <v>1</v>
      </c>
      <c r="CI529" s="5" t="n">
        <v>0</v>
      </c>
      <c r="CJ529" s="5" t="n">
        <v>0</v>
      </c>
      <c r="CK529" s="5" t="n">
        <v>0</v>
      </c>
      <c r="CL529" s="5" t="n">
        <v>0</v>
      </c>
      <c r="CM529" s="5" t="n">
        <v>0</v>
      </c>
      <c r="CN529" s="5" t="n">
        <v>0</v>
      </c>
      <c r="CO529" s="5" t="n">
        <v>0</v>
      </c>
      <c r="CP529" s="5" t="n">
        <v>0.048</v>
      </c>
      <c r="CQ529" s="5" t="n">
        <v>1.387</v>
      </c>
      <c r="CR529" s="5" t="n">
        <v>0</v>
      </c>
      <c r="CS529" s="5" t="n">
        <v>5.529</v>
      </c>
      <c r="CT529" s="5" t="n">
        <v>3.027</v>
      </c>
      <c r="CU529" s="5" t="n">
        <v>10.432</v>
      </c>
    </row>
    <row r="530">
      <c r="A530" s="5" t="inlineStr">
        <is>
          <t>MCO2021</t>
        </is>
      </c>
      <c r="B530" s="5" t="inlineStr">
        <is>
          <t>MCO</t>
        </is>
      </c>
      <c r="C530" s="5" t="inlineStr">
        <is>
          <t>MCO</t>
        </is>
      </c>
      <c r="D530" s="5" t="inlineStr">
        <is>
          <t>Monaco</t>
        </is>
      </c>
      <c r="E530" s="5" t="n">
        <v>2021</v>
      </c>
      <c r="F530" s="5" t="n">
        <v>0.2</v>
      </c>
      <c r="G530" s="5" t="n">
        <v>5.553</v>
      </c>
      <c r="H530" s="5" t="n">
        <v>1.143</v>
      </c>
      <c r="I530" s="5" t="n">
        <v>0</v>
      </c>
      <c r="J530" s="5" t="n">
        <v>5.553</v>
      </c>
      <c r="K530" s="5" t="n">
        <v>0</v>
      </c>
      <c r="L530" s="5" t="n">
        <v>1</v>
      </c>
      <c r="M530" s="5" t="n">
        <v>7.964</v>
      </c>
      <c r="N530" s="5" t="n">
        <v>3.43</v>
      </c>
      <c r="O530" s="5" t="n">
        <v>0</v>
      </c>
      <c r="P530" s="5" t="n">
        <v>7.964</v>
      </c>
      <c r="Q530" s="5" t="n">
        <v>0</v>
      </c>
      <c r="R530" s="5" t="n">
        <v>1</v>
      </c>
      <c r="S530" s="5" t="n">
        <v>11.27</v>
      </c>
      <c r="T530" s="5" t="n">
        <v>6.86</v>
      </c>
      <c r="U530" s="5" t="n">
        <v>0</v>
      </c>
      <c r="V530" s="5" t="n">
        <v>13.524</v>
      </c>
      <c r="W530" s="5" t="n">
        <v>0.2</v>
      </c>
      <c r="X530" s="5" t="n">
        <v>1</v>
      </c>
      <c r="Y530" s="5" t="n">
        <v>16.305</v>
      </c>
      <c r="Z530" s="5" t="n">
        <v>2.204</v>
      </c>
      <c r="AA530" s="5" t="n">
        <v>0</v>
      </c>
      <c r="AB530" s="5" t="n">
        <v>16.305</v>
      </c>
      <c r="AC530" s="5" t="n">
        <v>0</v>
      </c>
      <c r="AD530" s="5" t="n">
        <v>1</v>
      </c>
      <c r="AE530" s="5" t="n">
        <v>17.449</v>
      </c>
      <c r="AF530" s="5" t="n">
        <v>4.08</v>
      </c>
      <c r="AG530" s="5" t="n">
        <v>0</v>
      </c>
      <c r="AH530" s="5" t="n">
        <v>17.449</v>
      </c>
      <c r="AI530" s="5" t="n">
        <v>0</v>
      </c>
      <c r="AJ530" s="5" t="n">
        <v>1</v>
      </c>
      <c r="AK530" s="5" t="n">
        <v>24.309</v>
      </c>
      <c r="AL530" s="5" t="n">
        <v>12.947</v>
      </c>
      <c r="AM530" s="5" t="n">
        <v>0</v>
      </c>
      <c r="AN530" s="5" t="n">
        <v>29.17</v>
      </c>
      <c r="AO530" s="5" t="n">
        <v>0.2</v>
      </c>
      <c r="AP530" s="5" t="n">
        <v>1</v>
      </c>
      <c r="AQ530" s="5" t="n">
        <v>0.619</v>
      </c>
      <c r="AR530" s="5" t="n">
        <v>0.114</v>
      </c>
      <c r="AS530" s="5" t="n">
        <v>0</v>
      </c>
      <c r="AT530" s="5" t="n">
        <v>0.743</v>
      </c>
      <c r="AU530" s="5" t="n">
        <v>0.2</v>
      </c>
      <c r="AV530" s="5" t="n">
        <v>1</v>
      </c>
      <c r="AW530" s="5" t="n">
        <v>0.599</v>
      </c>
      <c r="AX530" s="5" t="n">
        <v>0.114</v>
      </c>
      <c r="AY530" s="5" t="n">
        <v>0</v>
      </c>
      <c r="AZ530" s="5" t="n">
        <v>0.719</v>
      </c>
      <c r="BA530" s="5" t="n">
        <v>0.2</v>
      </c>
      <c r="BB530" s="5" t="n">
        <v>1</v>
      </c>
      <c r="BC530" s="5" t="n">
        <v>0.439</v>
      </c>
      <c r="BD530" s="5" t="n">
        <v>0.114</v>
      </c>
      <c r="BE530" s="5" t="n">
        <v>0</v>
      </c>
      <c r="BF530" s="5" t="n">
        <v>0.527</v>
      </c>
      <c r="BG530" s="5" t="n">
        <v>0.2</v>
      </c>
      <c r="BH530" s="5" t="n">
        <v>1</v>
      </c>
      <c r="BI530" s="5" t="n">
        <v>0.505</v>
      </c>
      <c r="BJ530" s="5" t="n">
        <v>0.114</v>
      </c>
      <c r="BK530" s="5" t="n">
        <v>0</v>
      </c>
      <c r="BL530" s="5" t="n">
        <v>0.606</v>
      </c>
      <c r="BM530" s="5" t="n">
        <v>0.2</v>
      </c>
      <c r="BN530" s="5" t="n">
        <v>1</v>
      </c>
      <c r="BO530" s="5" t="n">
        <v>0</v>
      </c>
      <c r="BP530" s="5" t="n">
        <v>0</v>
      </c>
      <c r="BQ530" s="5" t="n">
        <v>0</v>
      </c>
      <c r="BR530" s="5" t="n">
        <v>0</v>
      </c>
      <c r="BS530" s="5" t="n">
        <v>1</v>
      </c>
      <c r="BT530" s="5" t="n">
        <v>0</v>
      </c>
      <c r="BU530" s="5" t="n">
        <v>0</v>
      </c>
      <c r="BV530" s="5" t="n">
        <v>0</v>
      </c>
      <c r="BW530" s="5" t="n">
        <v>0.2</v>
      </c>
      <c r="BX530" s="5" t="n">
        <v>1</v>
      </c>
      <c r="BY530" s="5" t="n">
        <v>11.787</v>
      </c>
      <c r="BZ530" s="5" t="n">
        <v>0</v>
      </c>
      <c r="CA530" s="5" t="n">
        <v>11.787</v>
      </c>
      <c r="CB530" s="5" t="n">
        <v>0</v>
      </c>
      <c r="CC530" s="5" t="n">
        <v>78.125</v>
      </c>
      <c r="CD530" s="5" t="n">
        <v>7.95</v>
      </c>
      <c r="CE530" s="5" t="n">
        <v>0</v>
      </c>
      <c r="CF530" s="5" t="n">
        <v>93.75</v>
      </c>
      <c r="CG530" s="5" t="n">
        <v>0.2</v>
      </c>
      <c r="CH530" s="5" t="n">
        <v>1</v>
      </c>
      <c r="CI530" s="5" t="n">
        <v>0</v>
      </c>
      <c r="CJ530" s="5" t="n">
        <v>0</v>
      </c>
      <c r="CK530" s="5" t="n">
        <v>0</v>
      </c>
      <c r="CL530" s="5" t="n">
        <v>0</v>
      </c>
      <c r="CM530" s="5" t="n">
        <v>0</v>
      </c>
      <c r="CN530" s="5" t="n">
        <v>0</v>
      </c>
      <c r="CO530" s="5" t="n">
        <v>0</v>
      </c>
      <c r="CP530" s="5" t="n">
        <v>0</v>
      </c>
      <c r="CQ530" s="5" t="n">
        <v>1.198</v>
      </c>
      <c r="CR530" s="5" t="n">
        <v>0</v>
      </c>
      <c r="CS530" s="5" t="n">
        <v>4.776</v>
      </c>
      <c r="CT530" s="5" t="n">
        <v>4.41</v>
      </c>
      <c r="CU530" s="5" t="n">
        <v>15.162</v>
      </c>
    </row>
    <row r="531">
      <c r="A531" s="5" t="inlineStr">
        <is>
          <t>MCO2022</t>
        </is>
      </c>
      <c r="B531" s="5" t="inlineStr">
        <is>
          <t>MCO</t>
        </is>
      </c>
      <c r="C531" s="5" t="inlineStr">
        <is>
          <t>MCO</t>
        </is>
      </c>
      <c r="D531" s="5" t="inlineStr">
        <is>
          <t>Monaco</t>
        </is>
      </c>
      <c r="E531" s="5" t="n">
        <v>2022</v>
      </c>
      <c r="F531" s="5" t="n">
        <v>0.2</v>
      </c>
      <c r="G531" s="5" t="n">
        <v>7.077</v>
      </c>
      <c r="H531" s="5" t="n">
        <v>1.235</v>
      </c>
      <c r="I531" s="5" t="n">
        <v>0</v>
      </c>
      <c r="J531" s="5" t="n">
        <v>7.077</v>
      </c>
      <c r="K531" s="5" t="n">
        <v>0</v>
      </c>
      <c r="L531" s="5" t="n">
        <v>1</v>
      </c>
      <c r="M531" s="5" t="n">
        <v>9.782999999999999</v>
      </c>
      <c r="N531" s="5" t="n">
        <v>3.704</v>
      </c>
      <c r="O531" s="5" t="n">
        <v>0</v>
      </c>
      <c r="P531" s="5" t="n">
        <v>9.782999999999999</v>
      </c>
      <c r="Q531" s="5" t="n">
        <v>0</v>
      </c>
      <c r="R531" s="5" t="n">
        <v>1</v>
      </c>
      <c r="S531" s="5" t="n">
        <v>13.25</v>
      </c>
      <c r="T531" s="5" t="n">
        <v>7.408</v>
      </c>
      <c r="U531" s="5" t="n">
        <v>0.196</v>
      </c>
      <c r="V531" s="5" t="n">
        <v>15.9</v>
      </c>
      <c r="W531" s="5" t="n">
        <v>0.2</v>
      </c>
      <c r="X531" s="5" t="n">
        <v>1</v>
      </c>
      <c r="Y531" s="5" t="n">
        <v>32.56</v>
      </c>
      <c r="Z531" s="5" t="n">
        <v>4.401</v>
      </c>
      <c r="AA531" s="5" t="n">
        <v>0</v>
      </c>
      <c r="AB531" s="5" t="n">
        <v>32.56</v>
      </c>
      <c r="AC531" s="5" t="n">
        <v>0</v>
      </c>
      <c r="AD531" s="5" t="n">
        <v>1</v>
      </c>
      <c r="AE531" s="5" t="n">
        <v>33.795</v>
      </c>
      <c r="AF531" s="5" t="n">
        <v>7.902</v>
      </c>
      <c r="AG531" s="5" t="n">
        <v>0</v>
      </c>
      <c r="AH531" s="5" t="n">
        <v>33.795</v>
      </c>
      <c r="AI531" s="5" t="n">
        <v>0</v>
      </c>
      <c r="AJ531" s="5" t="n">
        <v>1</v>
      </c>
      <c r="AK531" s="5" t="n">
        <v>41.203</v>
      </c>
      <c r="AL531" s="5" t="n">
        <v>21.945</v>
      </c>
      <c r="AM531" s="5" t="n">
        <v>0.61</v>
      </c>
      <c r="AN531" s="5" t="n">
        <v>49.444</v>
      </c>
      <c r="AO531" s="5" t="n">
        <v>0.2</v>
      </c>
      <c r="AP531" s="5" t="n">
        <v>1</v>
      </c>
      <c r="AQ531" s="5" t="n">
        <v>0.861</v>
      </c>
      <c r="AR531" s="5" t="n">
        <v>0.123</v>
      </c>
      <c r="AS531" s="5" t="n">
        <v>0.013</v>
      </c>
      <c r="AT531" s="5" t="n">
        <v>1.033</v>
      </c>
      <c r="AU531" s="5" t="n">
        <v>0.2</v>
      </c>
      <c r="AV531" s="5" t="n">
        <v>1</v>
      </c>
      <c r="AW531" s="5" t="n">
        <v>0.986</v>
      </c>
      <c r="AX531" s="5" t="n">
        <v>0.123</v>
      </c>
      <c r="AY531" s="5" t="n">
        <v>0.015</v>
      </c>
      <c r="AZ531" s="5" t="n">
        <v>1.183</v>
      </c>
      <c r="BA531" s="5" t="n">
        <v>0.2</v>
      </c>
      <c r="BB531" s="5" t="n">
        <v>1</v>
      </c>
      <c r="BC531" s="5" t="n">
        <v>0.598</v>
      </c>
      <c r="BD531" s="5" t="n">
        <v>0.123</v>
      </c>
      <c r="BE531" s="5" t="n">
        <v>0.008999999999999999</v>
      </c>
      <c r="BF531" s="5" t="n">
        <v>0.717</v>
      </c>
      <c r="BG531" s="5" t="n">
        <v>0.2</v>
      </c>
      <c r="BH531" s="5" t="n">
        <v>1</v>
      </c>
      <c r="BI531" s="5" t="n">
        <v>0.612</v>
      </c>
      <c r="BJ531" s="5" t="n">
        <v>0.123</v>
      </c>
      <c r="BK531" s="5" t="n">
        <v>0.008999999999999999</v>
      </c>
      <c r="BL531" s="5" t="n">
        <v>0.735</v>
      </c>
      <c r="BM531" s="5" t="n">
        <v>0.2</v>
      </c>
      <c r="BN531" s="5" t="n">
        <v>1</v>
      </c>
      <c r="BO531" s="5" t="n">
        <v>0</v>
      </c>
      <c r="BP531" s="5" t="n">
        <v>0</v>
      </c>
      <c r="BQ531" s="5" t="n">
        <v>0</v>
      </c>
      <c r="BR531" s="5" t="n">
        <v>0</v>
      </c>
      <c r="BS531" s="5" t="n">
        <v>1</v>
      </c>
      <c r="BT531" s="5" t="n">
        <v>0</v>
      </c>
      <c r="BU531" s="5" t="n">
        <v>0</v>
      </c>
      <c r="BV531" s="5" t="n">
        <v>0</v>
      </c>
      <c r="BW531" s="5" t="n">
        <v>0.2</v>
      </c>
      <c r="BX531" s="5" t="n">
        <v>1</v>
      </c>
      <c r="BY531" s="5" t="n">
        <v>12.729</v>
      </c>
      <c r="BZ531" s="5" t="n">
        <v>0</v>
      </c>
      <c r="CA531" s="5" t="n">
        <v>12.729</v>
      </c>
      <c r="CB531" s="5" t="n">
        <v>0</v>
      </c>
      <c r="CC531" s="5" t="n">
        <v>97.90000000000001</v>
      </c>
      <c r="CD531" s="5" t="n">
        <v>7.95</v>
      </c>
      <c r="CE531" s="5" t="n">
        <v>1.449</v>
      </c>
      <c r="CF531" s="5" t="n">
        <v>117.48</v>
      </c>
      <c r="CG531" s="5" t="n">
        <v>0.2</v>
      </c>
      <c r="CH531" s="5" t="n">
        <v>1</v>
      </c>
      <c r="CI531" s="5" t="n">
        <v>0</v>
      </c>
      <c r="CJ531" s="5" t="n">
        <v>0</v>
      </c>
      <c r="CK531" s="5" t="n">
        <v>0</v>
      </c>
      <c r="CL531" s="5" t="n">
        <v>0</v>
      </c>
      <c r="CM531" s="5" t="n">
        <v>0</v>
      </c>
      <c r="CN531" s="5" t="n">
        <v>0</v>
      </c>
      <c r="CO531" s="5" t="n">
        <v>0</v>
      </c>
      <c r="CP531" s="5" t="n">
        <v>0</v>
      </c>
      <c r="CQ531" s="5" t="n">
        <v>1.294</v>
      </c>
      <c r="CR531" s="5" t="n">
        <v>0</v>
      </c>
      <c r="CS531" s="5" t="n">
        <v>5.158</v>
      </c>
      <c r="CT531" s="5" t="n">
        <v>5.842</v>
      </c>
      <c r="CU531" s="5" t="n">
        <v>31.326</v>
      </c>
    </row>
    <row r="532">
      <c r="A532" s="5" t="inlineStr">
        <is>
          <t>MCO2023</t>
        </is>
      </c>
      <c r="B532" s="5" t="inlineStr">
        <is>
          <t>MCO</t>
        </is>
      </c>
      <c r="C532" s="5" t="inlineStr">
        <is>
          <t>MCO</t>
        </is>
      </c>
      <c r="D532" s="5" t="inlineStr">
        <is>
          <t>Monaco</t>
        </is>
      </c>
      <c r="E532" s="5" t="n">
        <v>2023</v>
      </c>
      <c r="F532" s="5" t="n">
        <v>0.2</v>
      </c>
      <c r="G532" s="5" t="n">
        <v>4.752</v>
      </c>
      <c r="H532" s="5" t="n">
        <v>1.286</v>
      </c>
      <c r="I532" s="5" t="n">
        <v>0</v>
      </c>
      <c r="J532" s="5" t="n">
        <v>4.752</v>
      </c>
      <c r="K532" s="5" t="n">
        <v>0</v>
      </c>
      <c r="L532" s="5" t="n">
        <v>1</v>
      </c>
      <c r="M532" s="5" t="n">
        <v>7.886</v>
      </c>
      <c r="N532" s="5" t="n">
        <v>3.857</v>
      </c>
      <c r="O532" s="5" t="n">
        <v>0</v>
      </c>
      <c r="P532" s="5" t="n">
        <v>7.886</v>
      </c>
      <c r="Q532" s="5" t="n">
        <v>0</v>
      </c>
      <c r="R532" s="5" t="n">
        <v>1</v>
      </c>
      <c r="S532" s="5" t="n">
        <v>11.18</v>
      </c>
      <c r="T532" s="5" t="n">
        <v>7.714</v>
      </c>
      <c r="U532" s="5" t="n">
        <v>0.248</v>
      </c>
      <c r="V532" s="5" t="n">
        <v>13.416</v>
      </c>
      <c r="W532" s="5" t="n">
        <v>0.2</v>
      </c>
      <c r="X532" s="5" t="n">
        <v>1</v>
      </c>
      <c r="Y532" s="5" t="n">
        <v>12.908</v>
      </c>
      <c r="Z532" s="5" t="n">
        <v>1.745</v>
      </c>
      <c r="AA532" s="5" t="n">
        <v>0</v>
      </c>
      <c r="AB532" s="5" t="n">
        <v>12.908</v>
      </c>
      <c r="AC532" s="5" t="n">
        <v>0</v>
      </c>
      <c r="AD532" s="5" t="n">
        <v>1</v>
      </c>
      <c r="AE532" s="5" t="n">
        <v>14.194</v>
      </c>
      <c r="AF532" s="5" t="n">
        <v>3.319</v>
      </c>
      <c r="AG532" s="5" t="n">
        <v>0</v>
      </c>
      <c r="AH532" s="5" t="n">
        <v>14.194</v>
      </c>
      <c r="AI532" s="5" t="n">
        <v>0</v>
      </c>
      <c r="AJ532" s="5" t="n">
        <v>1</v>
      </c>
      <c r="AK532" s="5" t="n">
        <v>21.908</v>
      </c>
      <c r="AL532" s="5" t="n">
        <v>11.668</v>
      </c>
      <c r="AM532" s="5" t="n">
        <v>0.485</v>
      </c>
      <c r="AN532" s="5" t="n">
        <v>26.289</v>
      </c>
      <c r="AO532" s="5" t="n">
        <v>0.2</v>
      </c>
      <c r="AP532" s="5" t="n">
        <v>1</v>
      </c>
      <c r="AQ532" s="5" t="n">
        <v>0.76</v>
      </c>
      <c r="AR532" s="5" t="n">
        <v>0.129</v>
      </c>
      <c r="AS532" s="5" t="n">
        <v>0.017</v>
      </c>
      <c r="AT532" s="5" t="n">
        <v>0.913</v>
      </c>
      <c r="AU532" s="5" t="n">
        <v>0.2</v>
      </c>
      <c r="AV532" s="5" t="n">
        <v>1</v>
      </c>
      <c r="AW532" s="5" t="n">
        <v>0.8110000000000001</v>
      </c>
      <c r="AX532" s="5" t="n">
        <v>0.129</v>
      </c>
      <c r="AY532" s="5" t="n">
        <v>0.018</v>
      </c>
      <c r="AZ532" s="5" t="n">
        <v>0.974</v>
      </c>
      <c r="BA532" s="5" t="n">
        <v>0.2</v>
      </c>
      <c r="BB532" s="5" t="n">
        <v>1</v>
      </c>
      <c r="BC532" s="5" t="n">
        <v>0.535</v>
      </c>
      <c r="BD532" s="5" t="n">
        <v>0.129</v>
      </c>
      <c r="BE532" s="5" t="n">
        <v>0.012</v>
      </c>
      <c r="BF532" s="5" t="n">
        <v>0.642</v>
      </c>
      <c r="BG532" s="5" t="n">
        <v>0.2</v>
      </c>
      <c r="BH532" s="5" t="n">
        <v>1</v>
      </c>
      <c r="BI532" s="5" t="n">
        <v>0.579</v>
      </c>
      <c r="BJ532" s="5" t="n">
        <v>0.129</v>
      </c>
      <c r="BK532" s="5" t="n">
        <v>0.013</v>
      </c>
      <c r="BL532" s="5" t="n">
        <v>0.695</v>
      </c>
      <c r="BM532" s="5" t="n">
        <v>0.2</v>
      </c>
      <c r="BN532" s="5" t="n">
        <v>1</v>
      </c>
      <c r="BO532" s="5" t="n">
        <v>0</v>
      </c>
      <c r="BP532" s="5" t="n">
        <v>0</v>
      </c>
      <c r="BQ532" s="5" t="n">
        <v>0</v>
      </c>
      <c r="BR532" s="5" t="n">
        <v>0</v>
      </c>
      <c r="BS532" s="5" t="n">
        <v>1</v>
      </c>
      <c r="BT532" s="5" t="n">
        <v>0</v>
      </c>
      <c r="BU532" s="5" t="n">
        <v>0</v>
      </c>
      <c r="BV532" s="5" t="n">
        <v>0</v>
      </c>
      <c r="BW532" s="5" t="n">
        <v>0.2</v>
      </c>
      <c r="BX532" s="5" t="n">
        <v>1</v>
      </c>
      <c r="BY532" s="5" t="n">
        <v>13.254</v>
      </c>
      <c r="BZ532" s="5" t="n">
        <v>0</v>
      </c>
      <c r="CA532" s="5" t="n">
        <v>13.254</v>
      </c>
      <c r="CB532" s="5" t="n">
        <v>0</v>
      </c>
      <c r="CC532" s="5" t="n">
        <v>83.248</v>
      </c>
      <c r="CD532" s="5" t="n">
        <v>7.95</v>
      </c>
      <c r="CE532" s="5" t="n">
        <v>1.843</v>
      </c>
      <c r="CF532" s="5" t="n">
        <v>99.898</v>
      </c>
      <c r="CG532" s="5" t="n">
        <v>0.2</v>
      </c>
      <c r="CH532" s="5" t="n">
        <v>1</v>
      </c>
      <c r="CI532" s="5" t="n">
        <v>0</v>
      </c>
      <c r="CJ532" s="5" t="n">
        <v>0</v>
      </c>
      <c r="CK532" s="5" t="n">
        <v>0</v>
      </c>
      <c r="CL532" s="5" t="n">
        <v>0</v>
      </c>
      <c r="CM532" s="5" t="n">
        <v>0</v>
      </c>
      <c r="CN532" s="5" t="n">
        <v>0</v>
      </c>
      <c r="CO532" s="5" t="n">
        <v>0</v>
      </c>
      <c r="CP532" s="5" t="n">
        <v>0</v>
      </c>
      <c r="CQ532" s="5" t="n">
        <v>1.348</v>
      </c>
      <c r="CR532" s="5" t="n">
        <v>0</v>
      </c>
      <c r="CS532" s="5" t="n">
        <v>5.37</v>
      </c>
      <c r="CT532" s="5" t="n">
        <v>3.466</v>
      </c>
      <c r="CU532" s="5" t="n">
        <v>11.622</v>
      </c>
    </row>
    <row r="533">
      <c r="A533" s="5" t="inlineStr">
        <is>
          <t>MCO2024</t>
        </is>
      </c>
      <c r="B533" s="5" t="inlineStr">
        <is>
          <t>MCO</t>
        </is>
      </c>
      <c r="C533" s="5" t="inlineStr">
        <is>
          <t>MCO</t>
        </is>
      </c>
      <c r="D533" s="5" t="inlineStr">
        <is>
          <t>Monaco</t>
        </is>
      </c>
      <c r="E533" s="5" t="n">
        <v>2024</v>
      </c>
      <c r="F533" s="5" t="n">
        <v>0.2</v>
      </c>
      <c r="G533" s="5" t="n">
        <v>4.351</v>
      </c>
      <c r="H533" s="5" t="n">
        <v>1.324</v>
      </c>
      <c r="I533" s="5" t="n">
        <v>0</v>
      </c>
      <c r="J533" s="5" t="n">
        <v>4.351</v>
      </c>
      <c r="K533" s="5" t="n">
        <v>0</v>
      </c>
      <c r="L533" s="5" t="n">
        <v>1</v>
      </c>
      <c r="M533" s="5" t="n">
        <v>7.124</v>
      </c>
      <c r="N533" s="5" t="n">
        <v>3.971</v>
      </c>
      <c r="O533" s="5" t="n">
        <v>0</v>
      </c>
      <c r="P533" s="5" t="n">
        <v>7.124</v>
      </c>
      <c r="Q533" s="5" t="n">
        <v>0</v>
      </c>
      <c r="R533" s="5" t="n">
        <v>1</v>
      </c>
      <c r="S533" s="5" t="n">
        <v>10.969</v>
      </c>
      <c r="T533" s="5" t="n">
        <v>7.942</v>
      </c>
      <c r="U533" s="5" t="n">
        <v>0.299</v>
      </c>
      <c r="V533" s="5" t="n">
        <v>13.162</v>
      </c>
      <c r="W533" s="5" t="n">
        <v>0.2</v>
      </c>
      <c r="X533" s="5" t="n">
        <v>1</v>
      </c>
      <c r="Y533" s="5" t="n">
        <v>11.492</v>
      </c>
      <c r="Z533" s="5" t="n">
        <v>1.553</v>
      </c>
      <c r="AA533" s="5" t="n">
        <v>0</v>
      </c>
      <c r="AB533" s="5" t="n">
        <v>11.492</v>
      </c>
      <c r="AC533" s="5" t="n">
        <v>0</v>
      </c>
      <c r="AD533" s="5" t="n">
        <v>1</v>
      </c>
      <c r="AE533" s="5" t="n">
        <v>12.815</v>
      </c>
      <c r="AF533" s="5" t="n">
        <v>2.997</v>
      </c>
      <c r="AG533" s="5" t="n">
        <v>0</v>
      </c>
      <c r="AH533" s="5" t="n">
        <v>12.815</v>
      </c>
      <c r="AI533" s="5" t="n">
        <v>0</v>
      </c>
      <c r="AJ533" s="5" t="n">
        <v>1</v>
      </c>
      <c r="AK533" s="5" t="n">
        <v>20.757</v>
      </c>
      <c r="AL533" s="5" t="n">
        <v>11.055</v>
      </c>
      <c r="AM533" s="5" t="n">
        <v>0.5649999999999999</v>
      </c>
      <c r="AN533" s="5" t="n">
        <v>24.909</v>
      </c>
      <c r="AO533" s="5" t="n">
        <v>0.2</v>
      </c>
      <c r="AP533" s="5" t="n">
        <v>1</v>
      </c>
      <c r="AQ533" s="5" t="n">
        <v>0.724</v>
      </c>
      <c r="AR533" s="5" t="n">
        <v>0.132</v>
      </c>
      <c r="AS533" s="5" t="n">
        <v>0.02</v>
      </c>
      <c r="AT533" s="5" t="n">
        <v>0.869</v>
      </c>
      <c r="AU533" s="5" t="n">
        <v>0.2</v>
      </c>
      <c r="AV533" s="5" t="n">
        <v>1</v>
      </c>
      <c r="AW533" s="5" t="n">
        <v>0.75</v>
      </c>
      <c r="AX533" s="5" t="n">
        <v>0.132</v>
      </c>
      <c r="AY533" s="5" t="n">
        <v>0.02</v>
      </c>
      <c r="AZ533" s="5" t="n">
        <v>0.9</v>
      </c>
      <c r="BA533" s="5" t="n">
        <v>0.2</v>
      </c>
      <c r="BB533" s="5" t="n">
        <v>1</v>
      </c>
      <c r="BC533" s="5" t="n">
        <v>0.513</v>
      </c>
      <c r="BD533" s="5" t="n">
        <v>0.132</v>
      </c>
      <c r="BE533" s="5" t="n">
        <v>0.014</v>
      </c>
      <c r="BF533" s="5" t="n">
        <v>0.616</v>
      </c>
      <c r="BG533" s="5" t="n">
        <v>0.2</v>
      </c>
      <c r="BH533" s="5" t="n">
        <v>1</v>
      </c>
      <c r="BI533" s="5" t="n">
        <v>0.591</v>
      </c>
      <c r="BJ533" s="5" t="n">
        <v>0.132</v>
      </c>
      <c r="BK533" s="5" t="n">
        <v>0.016</v>
      </c>
      <c r="BL533" s="5" t="n">
        <v>0.71</v>
      </c>
      <c r="BM533" s="5" t="n">
        <v>0.2</v>
      </c>
      <c r="BN533" s="5" t="n">
        <v>1</v>
      </c>
      <c r="BO533" s="5" t="n">
        <v>0</v>
      </c>
      <c r="BP533" s="5" t="n">
        <v>0</v>
      </c>
      <c r="BQ533" s="5" t="n">
        <v>0</v>
      </c>
      <c r="BR533" s="5" t="n">
        <v>0</v>
      </c>
      <c r="BS533" s="5" t="n">
        <v>1</v>
      </c>
      <c r="BT533" s="5" t="n">
        <v>0</v>
      </c>
      <c r="BU533" s="5" t="n">
        <v>0</v>
      </c>
      <c r="BV533" s="5" t="n">
        <v>0</v>
      </c>
      <c r="BW533" s="5" t="n">
        <v>0.2</v>
      </c>
      <c r="BX533" s="5" t="n">
        <v>1</v>
      </c>
      <c r="BY533" s="5" t="n">
        <v>13.646</v>
      </c>
      <c r="BZ533" s="5" t="n">
        <v>0</v>
      </c>
      <c r="CA533" s="5" t="n">
        <v>13.646</v>
      </c>
      <c r="CB533" s="5" t="n">
        <v>0</v>
      </c>
      <c r="CC533" s="5" t="n">
        <v>82.58799999999999</v>
      </c>
      <c r="CD533" s="5" t="n">
        <v>7.95</v>
      </c>
      <c r="CE533" s="5" t="n">
        <v>2.25</v>
      </c>
      <c r="CF533" s="5" t="n">
        <v>99.10599999999999</v>
      </c>
      <c r="CG533" s="5" t="n">
        <v>0.2</v>
      </c>
      <c r="CH533" s="5" t="n">
        <v>1</v>
      </c>
      <c r="CI533" s="5" t="n">
        <v>0</v>
      </c>
      <c r="CJ533" s="5" t="n">
        <v>0</v>
      </c>
      <c r="CK533" s="5" t="n">
        <v>0</v>
      </c>
      <c r="CL533" s="5" t="n">
        <v>0</v>
      </c>
      <c r="CM533" s="5" t="n">
        <v>0</v>
      </c>
      <c r="CN533" s="5" t="n">
        <v>0</v>
      </c>
      <c r="CO533" s="5" t="n">
        <v>0</v>
      </c>
      <c r="CP533" s="5" t="n">
        <v>0</v>
      </c>
      <c r="CQ533" s="5" t="n">
        <v>1.387</v>
      </c>
      <c r="CR533" s="5" t="n">
        <v>0</v>
      </c>
      <c r="CS533" s="5" t="n">
        <v>5.529</v>
      </c>
      <c r="CT533" s="5" t="n">
        <v>3.027</v>
      </c>
      <c r="CU533" s="5" t="n">
        <v>10.168</v>
      </c>
    </row>
    <row r="534">
      <c r="A534" s="5" t="inlineStr">
        <is>
          <t>MNG2021</t>
        </is>
      </c>
      <c r="B534" s="5" t="inlineStr">
        <is>
          <t>MNG</t>
        </is>
      </c>
      <c r="C534" s="5" t="inlineStr">
        <is>
          <t>MNG</t>
        </is>
      </c>
      <c r="D534" s="5" t="inlineStr">
        <is>
          <t>Mongolia</t>
        </is>
      </c>
      <c r="E534" s="5" t="n">
        <v>2021</v>
      </c>
      <c r="F534" s="5" t="n">
        <v>0.1</v>
      </c>
      <c r="G534" s="5" t="n">
        <v>1.772</v>
      </c>
      <c r="H534" s="5" t="n">
        <v>0.572</v>
      </c>
      <c r="I534" s="5" t="n">
        <v>0</v>
      </c>
      <c r="J534" s="5" t="n">
        <v>1.772</v>
      </c>
      <c r="K534" s="5" t="n">
        <v>0</v>
      </c>
      <c r="L534" s="5" t="n">
        <v>1</v>
      </c>
      <c r="M534" s="5" t="n">
        <v>2.917</v>
      </c>
      <c r="N534" s="5" t="n">
        <v>1.716</v>
      </c>
      <c r="O534" s="5" t="n">
        <v>0</v>
      </c>
      <c r="P534" s="5" t="n">
        <v>2.917</v>
      </c>
      <c r="Q534" s="5" t="n">
        <v>0</v>
      </c>
      <c r="R534" s="5" t="n">
        <v>1</v>
      </c>
      <c r="S534" s="5" t="n">
        <v>4.632</v>
      </c>
      <c r="T534" s="5" t="n">
        <v>3.432</v>
      </c>
      <c r="U534" s="5" t="n">
        <v>0</v>
      </c>
      <c r="V534" s="5" t="n">
        <v>5.096</v>
      </c>
      <c r="W534" s="5" t="n">
        <v>0.1</v>
      </c>
      <c r="X534" s="5" t="n">
        <v>1</v>
      </c>
      <c r="Y534" s="5" t="n">
        <v>10.541</v>
      </c>
      <c r="Z534" s="5" t="n">
        <v>1.301</v>
      </c>
      <c r="AA534" s="5" t="n">
        <v>0</v>
      </c>
      <c r="AB534" s="5" t="n">
        <v>10.541</v>
      </c>
      <c r="AC534" s="5" t="n">
        <v>0</v>
      </c>
      <c r="AD534" s="5" t="n">
        <v>1</v>
      </c>
      <c r="AE534" s="5" t="n">
        <v>11.684</v>
      </c>
      <c r="AF534" s="5" t="n">
        <v>2.547</v>
      </c>
      <c r="AG534" s="5" t="n">
        <v>0</v>
      </c>
      <c r="AH534" s="5" t="n">
        <v>11.684</v>
      </c>
      <c r="AI534" s="5" t="n">
        <v>0</v>
      </c>
      <c r="AJ534" s="5" t="n">
        <v>1</v>
      </c>
      <c r="AK534" s="5" t="n">
        <v>18.544</v>
      </c>
      <c r="AL534" s="5" t="n">
        <v>9.622</v>
      </c>
      <c r="AM534" s="5" t="n">
        <v>0</v>
      </c>
      <c r="AN534" s="5" t="n">
        <v>20.399</v>
      </c>
      <c r="AO534" s="5" t="n">
        <v>0.1</v>
      </c>
      <c r="AP534" s="5" t="n">
        <v>1</v>
      </c>
      <c r="AQ534" s="5" t="n">
        <v>0.621</v>
      </c>
      <c r="AR534" s="5" t="n">
        <v>0.114</v>
      </c>
      <c r="AS534" s="5" t="n">
        <v>-0.066</v>
      </c>
      <c r="AT534" s="5" t="n">
        <v>0.61</v>
      </c>
      <c r="AU534" s="5" t="n">
        <v>0.1</v>
      </c>
      <c r="AV534" s="5" t="n">
        <v>1</v>
      </c>
      <c r="AW534" s="5" t="n">
        <v>0.593</v>
      </c>
      <c r="AX534" s="5" t="n">
        <v>0.114</v>
      </c>
      <c r="AY534" s="5" t="n">
        <v>0.156</v>
      </c>
      <c r="AZ534" s="5" t="n">
        <v>0.824</v>
      </c>
      <c r="BA534" s="5" t="n">
        <v>0.1</v>
      </c>
      <c r="BB534" s="5" t="n">
        <v>1</v>
      </c>
      <c r="BC534" s="5" t="n">
        <v>0.44</v>
      </c>
      <c r="BD534" s="5" t="n">
        <v>0.114</v>
      </c>
      <c r="BE534" s="5" t="n">
        <v>0</v>
      </c>
      <c r="BF534" s="5" t="n">
        <v>0.484</v>
      </c>
      <c r="BG534" s="5" t="n">
        <v>0.1</v>
      </c>
      <c r="BH534" s="5" t="n">
        <v>1</v>
      </c>
      <c r="BI534" s="5" t="n">
        <v>0.5600000000000001</v>
      </c>
      <c r="BJ534" s="5" t="n">
        <v>0.114</v>
      </c>
      <c r="BK534" s="5" t="n">
        <v>0</v>
      </c>
      <c r="BL534" s="5" t="n">
        <v>0.616</v>
      </c>
      <c r="BM534" s="5" t="n">
        <v>0.1</v>
      </c>
      <c r="BN534" s="5" t="n">
        <v>1</v>
      </c>
      <c r="BO534" s="5" t="n">
        <v>0</v>
      </c>
      <c r="BP534" s="5" t="n">
        <v>0</v>
      </c>
      <c r="BQ534" s="5" t="n">
        <v>0.063</v>
      </c>
      <c r="BR534" s="5" t="n">
        <v>0</v>
      </c>
      <c r="BS534" s="5" t="n">
        <v>0.667</v>
      </c>
      <c r="BT534" s="5" t="n">
        <v>0</v>
      </c>
      <c r="BU534" s="5" t="n">
        <v>0</v>
      </c>
      <c r="BV534" s="5" t="n">
        <v>0.047</v>
      </c>
      <c r="BW534" s="5" t="n">
        <v>0</v>
      </c>
      <c r="BX534" s="5" t="n">
        <v>0.667</v>
      </c>
      <c r="BY534" s="5" t="n">
        <v>11.787</v>
      </c>
      <c r="BZ534" s="5" t="n">
        <v>0</v>
      </c>
      <c r="CA534" s="5" t="n">
        <v>11.787</v>
      </c>
      <c r="CB534" s="5" t="n">
        <v>0</v>
      </c>
      <c r="CC534" s="5" t="n">
        <v>81.69499999999999</v>
      </c>
      <c r="CD534" s="5" t="n">
        <v>7.95</v>
      </c>
      <c r="CE534" s="5" t="n">
        <v>0</v>
      </c>
      <c r="CF534" s="5" t="n">
        <v>89.86499999999999</v>
      </c>
      <c r="CG534" s="5" t="n">
        <v>0.1</v>
      </c>
      <c r="CH534" s="5" t="n">
        <v>1</v>
      </c>
      <c r="CI534" s="5" t="n">
        <v>0</v>
      </c>
      <c r="CJ534" s="5" t="n">
        <v>0</v>
      </c>
      <c r="CK534" s="5" t="n">
        <v>0</v>
      </c>
      <c r="CL534" s="5" t="n">
        <v>0</v>
      </c>
      <c r="CM534" s="5" t="n">
        <v>0</v>
      </c>
      <c r="CN534" s="5" t="n">
        <v>0</v>
      </c>
      <c r="CO534" s="5" t="n">
        <v>0</v>
      </c>
      <c r="CP534" s="5" t="n">
        <v>0.999</v>
      </c>
      <c r="CQ534" s="5" t="n">
        <v>1.198</v>
      </c>
      <c r="CR534" s="5" t="n">
        <v>0</v>
      </c>
      <c r="CS534" s="5" t="n">
        <v>4.776</v>
      </c>
      <c r="CT534" s="5" t="n">
        <v>3.604</v>
      </c>
      <c r="CU534" s="5" t="n">
        <v>9.407999999999999</v>
      </c>
    </row>
    <row r="535">
      <c r="A535" s="5" t="inlineStr">
        <is>
          <t>MNG2022</t>
        </is>
      </c>
      <c r="B535" s="5" t="inlineStr">
        <is>
          <t>MNG</t>
        </is>
      </c>
      <c r="C535" s="5" t="inlineStr">
        <is>
          <t>MNG</t>
        </is>
      </c>
      <c r="D535" s="5" t="inlineStr">
        <is>
          <t>Mongolia</t>
        </is>
      </c>
      <c r="E535" s="5" t="n">
        <v>2022</v>
      </c>
      <c r="F535" s="5" t="n">
        <v>0.1</v>
      </c>
      <c r="G535" s="5" t="n">
        <v>1.925</v>
      </c>
      <c r="H535" s="5" t="n">
        <v>0.619</v>
      </c>
      <c r="I535" s="5" t="n">
        <v>0</v>
      </c>
      <c r="J535" s="5" t="n">
        <v>1.925</v>
      </c>
      <c r="K535" s="5" t="n">
        <v>0</v>
      </c>
      <c r="L535" s="5" t="n">
        <v>1</v>
      </c>
      <c r="M535" s="5" t="n">
        <v>3.16</v>
      </c>
      <c r="N535" s="5" t="n">
        <v>1.856</v>
      </c>
      <c r="O535" s="5" t="n">
        <v>0</v>
      </c>
      <c r="P535" s="5" t="n">
        <v>3.16</v>
      </c>
      <c r="Q535" s="5" t="n">
        <v>0</v>
      </c>
      <c r="R535" s="5" t="n">
        <v>1</v>
      </c>
      <c r="S535" s="5" t="n">
        <v>5.019</v>
      </c>
      <c r="T535" s="5" t="n">
        <v>3.712</v>
      </c>
      <c r="U535" s="5" t="n">
        <v>0.037</v>
      </c>
      <c r="V535" s="5" t="n">
        <v>5.52</v>
      </c>
      <c r="W535" s="5" t="n">
        <v>0.1</v>
      </c>
      <c r="X535" s="5" t="n">
        <v>1</v>
      </c>
      <c r="Y535" s="5" t="n">
        <v>17.308</v>
      </c>
      <c r="Z535" s="5" t="n">
        <v>2.136</v>
      </c>
      <c r="AA535" s="5" t="n">
        <v>0</v>
      </c>
      <c r="AB535" s="5" t="n">
        <v>17.308</v>
      </c>
      <c r="AC535" s="5" t="n">
        <v>0</v>
      </c>
      <c r="AD535" s="5" t="n">
        <v>1</v>
      </c>
      <c r="AE535" s="5" t="n">
        <v>18.543</v>
      </c>
      <c r="AF535" s="5" t="n">
        <v>4.043</v>
      </c>
      <c r="AG535" s="5" t="n">
        <v>0</v>
      </c>
      <c r="AH535" s="5" t="n">
        <v>18.543</v>
      </c>
      <c r="AI535" s="5" t="n">
        <v>0</v>
      </c>
      <c r="AJ535" s="5" t="n">
        <v>1</v>
      </c>
      <c r="AK535" s="5" t="n">
        <v>25.951</v>
      </c>
      <c r="AL535" s="5" t="n">
        <v>13.466</v>
      </c>
      <c r="AM535" s="5" t="n">
        <v>0.192</v>
      </c>
      <c r="AN535" s="5" t="n">
        <v>28.546</v>
      </c>
      <c r="AO535" s="5" t="n">
        <v>0.1</v>
      </c>
      <c r="AP535" s="5" t="n">
        <v>1</v>
      </c>
      <c r="AQ535" s="5" t="n">
        <v>0.847</v>
      </c>
      <c r="AR535" s="5" t="n">
        <v>0.123</v>
      </c>
      <c r="AS535" s="5" t="n">
        <v>-0.146</v>
      </c>
      <c r="AT535" s="5" t="n">
        <v>0.771</v>
      </c>
      <c r="AU535" s="5" t="n">
        <v>0.1</v>
      </c>
      <c r="AV535" s="5" t="n">
        <v>1</v>
      </c>
      <c r="AW535" s="5" t="n">
        <v>0.947</v>
      </c>
      <c r="AX535" s="5" t="n">
        <v>0.123</v>
      </c>
      <c r="AY535" s="5" t="n">
        <v>0.077</v>
      </c>
      <c r="AZ535" s="5" t="n">
        <v>1.126</v>
      </c>
      <c r="BA535" s="5" t="n">
        <v>0.1</v>
      </c>
      <c r="BB535" s="5" t="n">
        <v>1</v>
      </c>
      <c r="BC535" s="5" t="n">
        <v>0.589</v>
      </c>
      <c r="BD535" s="5" t="n">
        <v>0.123</v>
      </c>
      <c r="BE535" s="5" t="n">
        <v>0.004</v>
      </c>
      <c r="BF535" s="5" t="n">
        <v>0.647</v>
      </c>
      <c r="BG535" s="5" t="n">
        <v>0.1</v>
      </c>
      <c r="BH535" s="5" t="n">
        <v>1</v>
      </c>
      <c r="BI535" s="5" t="n">
        <v>0.6889999999999999</v>
      </c>
      <c r="BJ535" s="5" t="n">
        <v>0.123</v>
      </c>
      <c r="BK535" s="5" t="n">
        <v>0.005</v>
      </c>
      <c r="BL535" s="5" t="n">
        <v>0.758</v>
      </c>
      <c r="BM535" s="5" t="n">
        <v>0.1</v>
      </c>
      <c r="BN535" s="5" t="n">
        <v>1</v>
      </c>
      <c r="BO535" s="5" t="n">
        <v>0</v>
      </c>
      <c r="BP535" s="5" t="n">
        <v>0</v>
      </c>
      <c r="BQ535" s="5" t="n">
        <v>0.057</v>
      </c>
      <c r="BR535" s="5" t="n">
        <v>0</v>
      </c>
      <c r="BS535" s="5" t="n">
        <v>0.667</v>
      </c>
      <c r="BT535" s="5" t="n">
        <v>0</v>
      </c>
      <c r="BU535" s="5" t="n">
        <v>0</v>
      </c>
      <c r="BV535" s="5" t="n">
        <v>0.043</v>
      </c>
      <c r="BW535" s="5" t="n">
        <v>0</v>
      </c>
      <c r="BX535" s="5" t="n">
        <v>0.667</v>
      </c>
      <c r="BY535" s="5" t="n">
        <v>12.729</v>
      </c>
      <c r="BZ535" s="5" t="n">
        <v>0</v>
      </c>
      <c r="CA535" s="5" t="n">
        <v>12.729</v>
      </c>
      <c r="CB535" s="5" t="n">
        <v>0</v>
      </c>
      <c r="CC535" s="5" t="n">
        <v>102.477</v>
      </c>
      <c r="CD535" s="5" t="n">
        <v>7.95</v>
      </c>
      <c r="CE535" s="5" t="n">
        <v>0.758</v>
      </c>
      <c r="CF535" s="5" t="n">
        <v>112.724</v>
      </c>
      <c r="CG535" s="5" t="n">
        <v>0.1</v>
      </c>
      <c r="CH535" s="5" t="n">
        <v>1</v>
      </c>
      <c r="CI535" s="5" t="n">
        <v>0</v>
      </c>
      <c r="CJ535" s="5" t="n">
        <v>0</v>
      </c>
      <c r="CK535" s="5" t="n">
        <v>0</v>
      </c>
      <c r="CL535" s="5" t="n">
        <v>0</v>
      </c>
      <c r="CM535" s="5" t="n">
        <v>0</v>
      </c>
      <c r="CN535" s="5" t="n">
        <v>0</v>
      </c>
      <c r="CO535" s="5" t="n">
        <v>0</v>
      </c>
      <c r="CP535" s="5" t="n">
        <v>0.998</v>
      </c>
      <c r="CQ535" s="5" t="n">
        <v>1.294</v>
      </c>
      <c r="CR535" s="5" t="n">
        <v>0</v>
      </c>
      <c r="CS535" s="5" t="n">
        <v>5.158</v>
      </c>
      <c r="CT535" s="5" t="n">
        <v>7.554</v>
      </c>
      <c r="CU535" s="5" t="n">
        <v>16.097</v>
      </c>
    </row>
    <row r="536">
      <c r="A536" s="5" t="inlineStr">
        <is>
          <t>MNG2023</t>
        </is>
      </c>
      <c r="B536" s="5" t="inlineStr">
        <is>
          <t>MNG</t>
        </is>
      </c>
      <c r="C536" s="5" t="inlineStr">
        <is>
          <t>MNG</t>
        </is>
      </c>
      <c r="D536" s="5" t="inlineStr">
        <is>
          <t>Mongolia</t>
        </is>
      </c>
      <c r="E536" s="5" t="n">
        <v>2023</v>
      </c>
      <c r="F536" s="5" t="n">
        <v>0.1</v>
      </c>
      <c r="G536" s="5" t="n">
        <v>1.998</v>
      </c>
      <c r="H536" s="5" t="n">
        <v>0.644</v>
      </c>
      <c r="I536" s="5" t="n">
        <v>0</v>
      </c>
      <c r="J536" s="5" t="n">
        <v>1.998</v>
      </c>
      <c r="K536" s="5" t="n">
        <v>0</v>
      </c>
      <c r="L536" s="5" t="n">
        <v>1</v>
      </c>
      <c r="M536" s="5" t="n">
        <v>3.285</v>
      </c>
      <c r="N536" s="5" t="n">
        <v>1.932</v>
      </c>
      <c r="O536" s="5" t="n">
        <v>0</v>
      </c>
      <c r="P536" s="5" t="n">
        <v>3.285</v>
      </c>
      <c r="Q536" s="5" t="n">
        <v>0</v>
      </c>
      <c r="R536" s="5" t="n">
        <v>1</v>
      </c>
      <c r="S536" s="5" t="n">
        <v>5.218</v>
      </c>
      <c r="T536" s="5" t="n">
        <v>3.864</v>
      </c>
      <c r="U536" s="5" t="n">
        <v>0.058</v>
      </c>
      <c r="V536" s="5" t="n">
        <v>5.74</v>
      </c>
      <c r="W536" s="5" t="n">
        <v>0.1</v>
      </c>
      <c r="X536" s="5" t="n">
        <v>1</v>
      </c>
      <c r="Y536" s="5" t="n">
        <v>13.799</v>
      </c>
      <c r="Z536" s="5" t="n">
        <v>1.703</v>
      </c>
      <c r="AA536" s="5" t="n">
        <v>0</v>
      </c>
      <c r="AB536" s="5" t="n">
        <v>13.799</v>
      </c>
      <c r="AC536" s="5" t="n">
        <v>0</v>
      </c>
      <c r="AD536" s="5" t="n">
        <v>1</v>
      </c>
      <c r="AE536" s="5" t="n">
        <v>15.085</v>
      </c>
      <c r="AF536" s="5" t="n">
        <v>3.289</v>
      </c>
      <c r="AG536" s="5" t="n">
        <v>0</v>
      </c>
      <c r="AH536" s="5" t="n">
        <v>15.085</v>
      </c>
      <c r="AI536" s="5" t="n">
        <v>0</v>
      </c>
      <c r="AJ536" s="5" t="n">
        <v>1</v>
      </c>
      <c r="AK536" s="5" t="n">
        <v>22.799</v>
      </c>
      <c r="AL536" s="5" t="n">
        <v>11.83</v>
      </c>
      <c r="AM536" s="5" t="n">
        <v>0.252</v>
      </c>
      <c r="AN536" s="5" t="n">
        <v>25.078</v>
      </c>
      <c r="AO536" s="5" t="n">
        <v>0.1</v>
      </c>
      <c r="AP536" s="5" t="n">
        <v>1</v>
      </c>
      <c r="AQ536" s="5" t="n">
        <v>0.749</v>
      </c>
      <c r="AR536" s="5" t="n">
        <v>0.129</v>
      </c>
      <c r="AS536" s="5" t="n">
        <v>-0.107</v>
      </c>
      <c r="AT536" s="5" t="n">
        <v>0.705</v>
      </c>
      <c r="AU536" s="5" t="n">
        <v>0.1</v>
      </c>
      <c r="AV536" s="5" t="n">
        <v>1</v>
      </c>
      <c r="AW536" s="5" t="n">
        <v>0.783</v>
      </c>
      <c r="AX536" s="5" t="n">
        <v>0.129</v>
      </c>
      <c r="AY536" s="5" t="n">
        <v>0.18</v>
      </c>
      <c r="AZ536" s="5" t="n">
        <v>1.059</v>
      </c>
      <c r="BA536" s="5" t="n">
        <v>0.1</v>
      </c>
      <c r="BB536" s="5" t="n">
        <v>1</v>
      </c>
      <c r="BC536" s="5" t="n">
        <v>0.527</v>
      </c>
      <c r="BD536" s="5" t="n">
        <v>0.129</v>
      </c>
      <c r="BE536" s="5" t="n">
        <v>0.006</v>
      </c>
      <c r="BF536" s="5" t="n">
        <v>0.58</v>
      </c>
      <c r="BG536" s="5" t="n">
        <v>0.1</v>
      </c>
      <c r="BH536" s="5" t="n">
        <v>1</v>
      </c>
      <c r="BI536" s="5" t="n">
        <v>0.64</v>
      </c>
      <c r="BJ536" s="5" t="n">
        <v>0.129</v>
      </c>
      <c r="BK536" s="5" t="n">
        <v>0.007</v>
      </c>
      <c r="BL536" s="5" t="n">
        <v>0.704</v>
      </c>
      <c r="BM536" s="5" t="n">
        <v>0.1</v>
      </c>
      <c r="BN536" s="5" t="n">
        <v>1</v>
      </c>
      <c r="BO536" s="5" t="n">
        <v>0</v>
      </c>
      <c r="BP536" s="5" t="n">
        <v>0</v>
      </c>
      <c r="BQ536" s="5" t="n">
        <v>0.054</v>
      </c>
      <c r="BR536" s="5" t="n">
        <v>0</v>
      </c>
      <c r="BS536" s="5" t="n">
        <v>0.667</v>
      </c>
      <c r="BT536" s="5" t="n">
        <v>0</v>
      </c>
      <c r="BU536" s="5" t="n">
        <v>0</v>
      </c>
      <c r="BV536" s="5" t="n">
        <v>0.04</v>
      </c>
      <c r="BW536" s="5" t="n">
        <v>0</v>
      </c>
      <c r="BX536" s="5" t="n">
        <v>0.667</v>
      </c>
      <c r="BY536" s="5" t="n">
        <v>13.254</v>
      </c>
      <c r="BZ536" s="5" t="n">
        <v>0</v>
      </c>
      <c r="CA536" s="5" t="n">
        <v>13.254</v>
      </c>
      <c r="CB536" s="5" t="n">
        <v>0</v>
      </c>
      <c r="CC536" s="5" t="n">
        <v>87.07899999999999</v>
      </c>
      <c r="CD536" s="5" t="n">
        <v>7.95</v>
      </c>
      <c r="CE536" s="5" t="n">
        <v>0.964</v>
      </c>
      <c r="CF536" s="5" t="n">
        <v>95.78700000000001</v>
      </c>
      <c r="CG536" s="5" t="n">
        <v>0.1</v>
      </c>
      <c r="CH536" s="5" t="n">
        <v>1</v>
      </c>
      <c r="CI536" s="5" t="n">
        <v>0</v>
      </c>
      <c r="CJ536" s="5" t="n">
        <v>0</v>
      </c>
      <c r="CK536" s="5" t="n">
        <v>0</v>
      </c>
      <c r="CL536" s="5" t="n">
        <v>0</v>
      </c>
      <c r="CM536" s="5" t="n">
        <v>0</v>
      </c>
      <c r="CN536" s="5" t="n">
        <v>0</v>
      </c>
      <c r="CO536" s="5" t="n">
        <v>0</v>
      </c>
      <c r="CP536" s="5" t="n">
        <v>0.998</v>
      </c>
      <c r="CQ536" s="5" t="n">
        <v>1.348</v>
      </c>
      <c r="CR536" s="5" t="n">
        <v>0</v>
      </c>
      <c r="CS536" s="5" t="n">
        <v>5.37</v>
      </c>
      <c r="CT536" s="5" t="n">
        <v>4.484</v>
      </c>
      <c r="CU536" s="5" t="n">
        <v>12.529</v>
      </c>
    </row>
    <row r="537">
      <c r="A537" s="5" t="inlineStr">
        <is>
          <t>MNG2024</t>
        </is>
      </c>
      <c r="B537" s="5" t="inlineStr">
        <is>
          <t>MNG</t>
        </is>
      </c>
      <c r="C537" s="5" t="inlineStr">
        <is>
          <t>MNG</t>
        </is>
      </c>
      <c r="D537" s="5" t="inlineStr">
        <is>
          <t>Mongolia</t>
        </is>
      </c>
      <c r="E537" s="5" t="n">
        <v>2024</v>
      </c>
      <c r="F537" s="5" t="n">
        <v>0.1</v>
      </c>
      <c r="G537" s="5" t="n">
        <v>2.054</v>
      </c>
      <c r="H537" s="5" t="n">
        <v>0.663</v>
      </c>
      <c r="I537" s="5" t="n">
        <v>0</v>
      </c>
      <c r="J537" s="5" t="n">
        <v>2.054</v>
      </c>
      <c r="K537" s="5" t="n">
        <v>0</v>
      </c>
      <c r="L537" s="5" t="n">
        <v>1</v>
      </c>
      <c r="M537" s="5" t="n">
        <v>3.38</v>
      </c>
      <c r="N537" s="5" t="n">
        <v>1.989</v>
      </c>
      <c r="O537" s="5" t="n">
        <v>0</v>
      </c>
      <c r="P537" s="5" t="n">
        <v>3.38</v>
      </c>
      <c r="Q537" s="5" t="n">
        <v>0</v>
      </c>
      <c r="R537" s="5" t="n">
        <v>1</v>
      </c>
      <c r="S537" s="5" t="n">
        <v>5.37</v>
      </c>
      <c r="T537" s="5" t="n">
        <v>3.978</v>
      </c>
      <c r="U537" s="5" t="n">
        <v>0.073</v>
      </c>
      <c r="V537" s="5" t="n">
        <v>5.907</v>
      </c>
      <c r="W537" s="5" t="n">
        <v>0.1</v>
      </c>
      <c r="X537" s="5" t="n">
        <v>1</v>
      </c>
      <c r="Y537" s="5" t="n">
        <v>12.208</v>
      </c>
      <c r="Z537" s="5" t="n">
        <v>1.506</v>
      </c>
      <c r="AA537" s="5" t="n">
        <v>0</v>
      </c>
      <c r="AB537" s="5" t="n">
        <v>12.208</v>
      </c>
      <c r="AC537" s="5" t="n">
        <v>0</v>
      </c>
      <c r="AD537" s="5" t="n">
        <v>1</v>
      </c>
      <c r="AE537" s="5" t="n">
        <v>13.531</v>
      </c>
      <c r="AF537" s="5" t="n">
        <v>2.95</v>
      </c>
      <c r="AG537" s="5" t="n">
        <v>0</v>
      </c>
      <c r="AH537" s="5" t="n">
        <v>13.531</v>
      </c>
      <c r="AI537" s="5" t="n">
        <v>0</v>
      </c>
      <c r="AJ537" s="5" t="n">
        <v>1</v>
      </c>
      <c r="AK537" s="5" t="n">
        <v>21.473</v>
      </c>
      <c r="AL537" s="5" t="n">
        <v>11.142</v>
      </c>
      <c r="AM537" s="5" t="n">
        <v>0.292</v>
      </c>
      <c r="AN537" s="5" t="n">
        <v>23.62</v>
      </c>
      <c r="AO537" s="5" t="n">
        <v>0.1</v>
      </c>
      <c r="AP537" s="5" t="n">
        <v>1</v>
      </c>
      <c r="AQ537" s="5" t="n">
        <v>0.72</v>
      </c>
      <c r="AR537" s="5" t="n">
        <v>0.132</v>
      </c>
      <c r="AS537" s="5" t="n">
        <v>-0.064</v>
      </c>
      <c r="AT537" s="5" t="n">
        <v>0.721</v>
      </c>
      <c r="AU537" s="5" t="n">
        <v>0.1</v>
      </c>
      <c r="AV537" s="5" t="n">
        <v>1</v>
      </c>
      <c r="AW537" s="5" t="n">
        <v>0.734</v>
      </c>
      <c r="AX537" s="5" t="n">
        <v>0.132</v>
      </c>
      <c r="AY537" s="5" t="n">
        <v>0.196</v>
      </c>
      <c r="AZ537" s="5" t="n">
        <v>1.023</v>
      </c>
      <c r="BA537" s="5" t="n">
        <v>0.1</v>
      </c>
      <c r="BB537" s="5" t="n">
        <v>1</v>
      </c>
      <c r="BC537" s="5" t="n">
        <v>0.51</v>
      </c>
      <c r="BD537" s="5" t="n">
        <v>0.132</v>
      </c>
      <c r="BE537" s="5" t="n">
        <v>0.007</v>
      </c>
      <c r="BF537" s="5" t="n">
        <v>0.5610000000000001</v>
      </c>
      <c r="BG537" s="5" t="n">
        <v>0.1</v>
      </c>
      <c r="BH537" s="5" t="n">
        <v>1</v>
      </c>
      <c r="BI537" s="5" t="n">
        <v>0.652</v>
      </c>
      <c r="BJ537" s="5" t="n">
        <v>0.132</v>
      </c>
      <c r="BK537" s="5" t="n">
        <v>0.008999999999999999</v>
      </c>
      <c r="BL537" s="5" t="n">
        <v>0.717</v>
      </c>
      <c r="BM537" s="5" t="n">
        <v>0.1</v>
      </c>
      <c r="BN537" s="5" t="n">
        <v>1</v>
      </c>
      <c r="BO537" s="5" t="n">
        <v>0</v>
      </c>
      <c r="BP537" s="5" t="n">
        <v>0</v>
      </c>
      <c r="BQ537" s="5" t="n">
        <v>0.055</v>
      </c>
      <c r="BR537" s="5" t="n">
        <v>0</v>
      </c>
      <c r="BS537" s="5" t="n">
        <v>0.667</v>
      </c>
      <c r="BT537" s="5" t="n">
        <v>0</v>
      </c>
      <c r="BU537" s="5" t="n">
        <v>0</v>
      </c>
      <c r="BV537" s="5" t="n">
        <v>0.041</v>
      </c>
      <c r="BW537" s="5" t="n">
        <v>0</v>
      </c>
      <c r="BX537" s="5" t="n">
        <v>0.667</v>
      </c>
      <c r="BY537" s="5" t="n">
        <v>13.646</v>
      </c>
      <c r="BZ537" s="5" t="n">
        <v>0</v>
      </c>
      <c r="CA537" s="5" t="n">
        <v>13.646</v>
      </c>
      <c r="CB537" s="5" t="n">
        <v>0</v>
      </c>
      <c r="CC537" s="5" t="n">
        <v>86.38500000000001</v>
      </c>
      <c r="CD537" s="5" t="n">
        <v>7.95</v>
      </c>
      <c r="CE537" s="5" t="n">
        <v>1.177</v>
      </c>
      <c r="CF537" s="5" t="n">
        <v>95.024</v>
      </c>
      <c r="CG537" s="5" t="n">
        <v>0.1</v>
      </c>
      <c r="CH537" s="5" t="n">
        <v>1</v>
      </c>
      <c r="CI537" s="5" t="n">
        <v>0</v>
      </c>
      <c r="CJ537" s="5" t="n">
        <v>0</v>
      </c>
      <c r="CK537" s="5" t="n">
        <v>0</v>
      </c>
      <c r="CL537" s="5" t="n">
        <v>0</v>
      </c>
      <c r="CM537" s="5" t="n">
        <v>0</v>
      </c>
      <c r="CN537" s="5" t="n">
        <v>0</v>
      </c>
      <c r="CO537" s="5" t="n">
        <v>0</v>
      </c>
      <c r="CP537" s="5" t="n">
        <v>0.998</v>
      </c>
      <c r="CQ537" s="5" t="n">
        <v>1.387</v>
      </c>
      <c r="CR537" s="5" t="n">
        <v>0</v>
      </c>
      <c r="CS537" s="5" t="n">
        <v>5.529</v>
      </c>
      <c r="CT537" s="5" t="n">
        <v>3.509</v>
      </c>
      <c r="CU537" s="5" t="n">
        <v>10.896</v>
      </c>
    </row>
    <row r="538">
      <c r="A538" s="5" t="inlineStr">
        <is>
          <t>MNE2021</t>
        </is>
      </c>
      <c r="B538" s="5" t="inlineStr">
        <is>
          <t>MNE</t>
        </is>
      </c>
      <c r="C538" s="5" t="inlineStr">
        <is>
          <t>MNE</t>
        </is>
      </c>
      <c r="D538" s="5" t="inlineStr">
        <is>
          <t>Montenegro, Rep. of</t>
        </is>
      </c>
      <c r="E538" s="5" t="n">
        <v>2021</v>
      </c>
      <c r="F538" s="5" t="n">
        <v>0.21</v>
      </c>
      <c r="G538" s="5" t="n">
        <v>1.77</v>
      </c>
      <c r="H538" s="5" t="n">
        <v>0.572</v>
      </c>
      <c r="I538" s="5" t="n">
        <v>0</v>
      </c>
      <c r="J538" s="5" t="n">
        <v>1.77</v>
      </c>
      <c r="K538" s="5" t="n">
        <v>0</v>
      </c>
      <c r="L538" s="5" t="n">
        <v>1</v>
      </c>
      <c r="M538" s="5" t="n">
        <v>2.913</v>
      </c>
      <c r="N538" s="5" t="n">
        <v>1.715</v>
      </c>
      <c r="O538" s="5" t="n">
        <v>0</v>
      </c>
      <c r="P538" s="5" t="n">
        <v>2.913</v>
      </c>
      <c r="Q538" s="5" t="n">
        <v>0</v>
      </c>
      <c r="R538" s="5" t="n">
        <v>1</v>
      </c>
      <c r="S538" s="5" t="n">
        <v>4.628</v>
      </c>
      <c r="T538" s="5" t="n">
        <v>3.43</v>
      </c>
      <c r="U538" s="5" t="n">
        <v>0</v>
      </c>
      <c r="V538" s="5" t="n">
        <v>5.6</v>
      </c>
      <c r="W538" s="5" t="n">
        <v>0.21</v>
      </c>
      <c r="X538" s="5" t="n">
        <v>1</v>
      </c>
      <c r="Y538" s="5" t="n">
        <v>16.305</v>
      </c>
      <c r="Z538" s="5" t="n">
        <v>1.143</v>
      </c>
      <c r="AA538" s="5" t="n">
        <v>0.606</v>
      </c>
      <c r="AB538" s="5" t="n">
        <v>16.912</v>
      </c>
      <c r="AC538" s="5" t="n">
        <v>0</v>
      </c>
      <c r="AD538" s="5" t="n">
        <v>1</v>
      </c>
      <c r="AE538" s="5" t="n">
        <v>17.449</v>
      </c>
      <c r="AF538" s="5" t="n">
        <v>2.287</v>
      </c>
      <c r="AG538" s="5" t="n">
        <v>0.606</v>
      </c>
      <c r="AH538" s="5" t="n">
        <v>18.055</v>
      </c>
      <c r="AI538" s="5" t="n">
        <v>0</v>
      </c>
      <c r="AJ538" s="5" t="n">
        <v>1</v>
      </c>
      <c r="AK538" s="5" t="n">
        <v>24.309</v>
      </c>
      <c r="AL538" s="5" t="n">
        <v>9.147</v>
      </c>
      <c r="AM538" s="5" t="n">
        <v>0</v>
      </c>
      <c r="AN538" s="5" t="n">
        <v>29.413</v>
      </c>
      <c r="AO538" s="5" t="n">
        <v>0.21</v>
      </c>
      <c r="AP538" s="5" t="n">
        <v>1</v>
      </c>
      <c r="AQ538" s="5" t="n">
        <v>0.619</v>
      </c>
      <c r="AR538" s="5" t="n">
        <v>0.114</v>
      </c>
      <c r="AS538" s="5" t="n">
        <v>0.6860000000000001</v>
      </c>
      <c r="AT538" s="5" t="n">
        <v>1.579</v>
      </c>
      <c r="AU538" s="5" t="n">
        <v>0.21</v>
      </c>
      <c r="AV538" s="5" t="n">
        <v>1</v>
      </c>
      <c r="AW538" s="5" t="n">
        <v>0.599</v>
      </c>
      <c r="AX538" s="5" t="n">
        <v>0.114</v>
      </c>
      <c r="AY538" s="5" t="n">
        <v>0.5610000000000001</v>
      </c>
      <c r="AZ538" s="5" t="n">
        <v>1.404</v>
      </c>
      <c r="BA538" s="5" t="n">
        <v>0.21</v>
      </c>
      <c r="BB538" s="5" t="n">
        <v>1</v>
      </c>
      <c r="BC538" s="5" t="n">
        <v>0.439</v>
      </c>
      <c r="BD538" s="5" t="n">
        <v>0.114</v>
      </c>
      <c r="BE538" s="5" t="n">
        <v>0.189</v>
      </c>
      <c r="BF538" s="5" t="n">
        <v>0.76</v>
      </c>
      <c r="BG538" s="5" t="n">
        <v>0.21</v>
      </c>
      <c r="BH538" s="5" t="n">
        <v>1</v>
      </c>
      <c r="BI538" s="5" t="n">
        <v>0.505</v>
      </c>
      <c r="BJ538" s="5" t="n">
        <v>0.114</v>
      </c>
      <c r="BK538" s="5" t="n">
        <v>0</v>
      </c>
      <c r="BL538" s="5" t="n">
        <v>0.611</v>
      </c>
      <c r="BM538" s="5" t="n">
        <v>0.21</v>
      </c>
      <c r="BN538" s="5" t="n">
        <v>1</v>
      </c>
      <c r="BO538" s="5" t="n">
        <v>0</v>
      </c>
      <c r="BP538" s="5" t="n">
        <v>0.01</v>
      </c>
      <c r="BQ538" s="5" t="n">
        <v>0.068</v>
      </c>
      <c r="BR538" s="5" t="n">
        <v>0</v>
      </c>
      <c r="BS538" s="5" t="n">
        <v>1</v>
      </c>
      <c r="BT538" s="5" t="n">
        <v>0</v>
      </c>
      <c r="BU538" s="5" t="n">
        <v>0.005</v>
      </c>
      <c r="BV538" s="5" t="n">
        <v>0.116</v>
      </c>
      <c r="BW538" s="5" t="n">
        <v>0.21</v>
      </c>
      <c r="BX538" s="5" t="n">
        <v>0.5</v>
      </c>
      <c r="BY538" s="5" t="n">
        <v>11.787</v>
      </c>
      <c r="BZ538" s="5" t="n">
        <v>0</v>
      </c>
      <c r="CA538" s="5" t="n">
        <v>11.787</v>
      </c>
      <c r="CB538" s="5" t="n">
        <v>0</v>
      </c>
      <c r="CC538" s="5" t="n">
        <v>78.125</v>
      </c>
      <c r="CD538" s="5" t="n">
        <v>7.95</v>
      </c>
      <c r="CE538" s="5" t="n">
        <v>102.185</v>
      </c>
      <c r="CF538" s="5" t="n">
        <v>218.175</v>
      </c>
      <c r="CG538" s="5" t="n">
        <v>0.21</v>
      </c>
      <c r="CH538" s="5" t="n">
        <v>1</v>
      </c>
      <c r="CI538" s="5" t="n">
        <v>0</v>
      </c>
      <c r="CJ538" s="5" t="n">
        <v>0</v>
      </c>
      <c r="CK538" s="5" t="n">
        <v>0</v>
      </c>
      <c r="CL538" s="5" t="n">
        <v>0</v>
      </c>
      <c r="CM538" s="5" t="n">
        <v>0</v>
      </c>
      <c r="CN538" s="5" t="n">
        <v>0</v>
      </c>
      <c r="CO538" s="5" t="n">
        <v>0</v>
      </c>
      <c r="CP538" s="5" t="n">
        <v>1</v>
      </c>
      <c r="CQ538" s="5" t="n">
        <v>1.198</v>
      </c>
      <c r="CR538" s="5" t="n">
        <v>0</v>
      </c>
      <c r="CS538" s="5" t="n">
        <v>4.776</v>
      </c>
      <c r="CT538" s="5" t="n">
        <v>4.41</v>
      </c>
      <c r="CU538" s="5" t="n">
        <v>15.162</v>
      </c>
    </row>
    <row r="539">
      <c r="A539" s="5" t="inlineStr">
        <is>
          <t>MNE2022</t>
        </is>
      </c>
      <c r="B539" s="5" t="inlineStr">
        <is>
          <t>MNE</t>
        </is>
      </c>
      <c r="C539" s="5" t="inlineStr">
        <is>
          <t>MNE</t>
        </is>
      </c>
      <c r="D539" s="5" t="inlineStr">
        <is>
          <t>Montenegro, Rep. of</t>
        </is>
      </c>
      <c r="E539" s="5" t="n">
        <v>2022</v>
      </c>
      <c r="F539" s="5" t="n">
        <v>0.21</v>
      </c>
      <c r="G539" s="5" t="n">
        <v>1.911</v>
      </c>
      <c r="H539" s="5" t="n">
        <v>0.617</v>
      </c>
      <c r="I539" s="5" t="n">
        <v>0</v>
      </c>
      <c r="J539" s="5" t="n">
        <v>1.911</v>
      </c>
      <c r="K539" s="5" t="n">
        <v>0</v>
      </c>
      <c r="L539" s="5" t="n">
        <v>1</v>
      </c>
      <c r="M539" s="5" t="n">
        <v>3.146</v>
      </c>
      <c r="N539" s="5" t="n">
        <v>1.852</v>
      </c>
      <c r="O539" s="5" t="n">
        <v>0</v>
      </c>
      <c r="P539" s="5" t="n">
        <v>3.146</v>
      </c>
      <c r="Q539" s="5" t="n">
        <v>0</v>
      </c>
      <c r="R539" s="5" t="n">
        <v>1</v>
      </c>
      <c r="S539" s="5" t="n">
        <v>4.998</v>
      </c>
      <c r="T539" s="5" t="n">
        <v>3.704</v>
      </c>
      <c r="U539" s="5" t="n">
        <v>0.078</v>
      </c>
      <c r="V539" s="5" t="n">
        <v>6.048</v>
      </c>
      <c r="W539" s="5" t="n">
        <v>0.21</v>
      </c>
      <c r="X539" s="5" t="n">
        <v>1</v>
      </c>
      <c r="Y539" s="5" t="n">
        <v>32.56</v>
      </c>
      <c r="Z539" s="5" t="n">
        <v>1.235</v>
      </c>
      <c r="AA539" s="5" t="n">
        <v>1.253</v>
      </c>
      <c r="AB539" s="5" t="n">
        <v>33.813</v>
      </c>
      <c r="AC539" s="5" t="n">
        <v>0</v>
      </c>
      <c r="AD539" s="5" t="n">
        <v>1</v>
      </c>
      <c r="AE539" s="5" t="n">
        <v>33.795</v>
      </c>
      <c r="AF539" s="5" t="n">
        <v>2.469</v>
      </c>
      <c r="AG539" s="5" t="n">
        <v>1.253</v>
      </c>
      <c r="AH539" s="5" t="n">
        <v>35.048</v>
      </c>
      <c r="AI539" s="5" t="n">
        <v>0</v>
      </c>
      <c r="AJ539" s="5" t="n">
        <v>1</v>
      </c>
      <c r="AK539" s="5" t="n">
        <v>41.203</v>
      </c>
      <c r="AL539" s="5" t="n">
        <v>9.878</v>
      </c>
      <c r="AM539" s="5" t="n">
        <v>0.64</v>
      </c>
      <c r="AN539" s="5" t="n">
        <v>49.856</v>
      </c>
      <c r="AO539" s="5" t="n">
        <v>0.21</v>
      </c>
      <c r="AP539" s="5" t="n">
        <v>1</v>
      </c>
      <c r="AQ539" s="5" t="n">
        <v>0.861</v>
      </c>
      <c r="AR539" s="5" t="n">
        <v>0.123</v>
      </c>
      <c r="AS539" s="5" t="n">
        <v>0.456</v>
      </c>
      <c r="AT539" s="5" t="n">
        <v>1.593</v>
      </c>
      <c r="AU539" s="5" t="n">
        <v>0.21</v>
      </c>
      <c r="AV539" s="5" t="n">
        <v>1</v>
      </c>
      <c r="AW539" s="5" t="n">
        <v>0.986</v>
      </c>
      <c r="AX539" s="5" t="n">
        <v>0.123</v>
      </c>
      <c r="AY539" s="5" t="n">
        <v>0.38</v>
      </c>
      <c r="AZ539" s="5" t="n">
        <v>1.653</v>
      </c>
      <c r="BA539" s="5" t="n">
        <v>0.21</v>
      </c>
      <c r="BB539" s="5" t="n">
        <v>1</v>
      </c>
      <c r="BC539" s="5" t="n">
        <v>0.598</v>
      </c>
      <c r="BD539" s="5" t="n">
        <v>0.123</v>
      </c>
      <c r="BE539" s="5" t="n">
        <v>0.195</v>
      </c>
      <c r="BF539" s="5" t="n">
        <v>0.944</v>
      </c>
      <c r="BG539" s="5" t="n">
        <v>0.21</v>
      </c>
      <c r="BH539" s="5" t="n">
        <v>1</v>
      </c>
      <c r="BI539" s="5" t="n">
        <v>0.612</v>
      </c>
      <c r="BJ539" s="5" t="n">
        <v>0.123</v>
      </c>
      <c r="BK539" s="5" t="n">
        <v>0.01</v>
      </c>
      <c r="BL539" s="5" t="n">
        <v>0.741</v>
      </c>
      <c r="BM539" s="5" t="n">
        <v>0.21</v>
      </c>
      <c r="BN539" s="5" t="n">
        <v>1</v>
      </c>
      <c r="BO539" s="5" t="n">
        <v>0</v>
      </c>
      <c r="BP539" s="5" t="n">
        <v>0.008999999999999999</v>
      </c>
      <c r="BQ539" s="5" t="n">
        <v>0.064</v>
      </c>
      <c r="BR539" s="5" t="n">
        <v>0</v>
      </c>
      <c r="BS539" s="5" t="n">
        <v>1</v>
      </c>
      <c r="BT539" s="5" t="n">
        <v>0</v>
      </c>
      <c r="BU539" s="5" t="n">
        <v>0.005</v>
      </c>
      <c r="BV539" s="5" t="n">
        <v>0.102</v>
      </c>
      <c r="BW539" s="5" t="n">
        <v>0.21</v>
      </c>
      <c r="BX539" s="5" t="n">
        <v>0.5</v>
      </c>
      <c r="BY539" s="5" t="n">
        <v>12.729</v>
      </c>
      <c r="BZ539" s="5" t="n">
        <v>0</v>
      </c>
      <c r="CA539" s="5" t="n">
        <v>12.729</v>
      </c>
      <c r="CB539" s="5" t="n">
        <v>0</v>
      </c>
      <c r="CC539" s="5" t="n">
        <v>97.90000000000001</v>
      </c>
      <c r="CD539" s="5" t="n">
        <v>7.95</v>
      </c>
      <c r="CE539" s="5" t="n">
        <v>131.354</v>
      </c>
      <c r="CF539" s="5" t="n">
        <v>277.397</v>
      </c>
      <c r="CG539" s="5" t="n">
        <v>0.21</v>
      </c>
      <c r="CH539" s="5" t="n">
        <v>1</v>
      </c>
      <c r="CI539" s="5" t="n">
        <v>0</v>
      </c>
      <c r="CJ539" s="5" t="n">
        <v>0</v>
      </c>
      <c r="CK539" s="5" t="n">
        <v>0</v>
      </c>
      <c r="CL539" s="5" t="n">
        <v>0</v>
      </c>
      <c r="CM539" s="5" t="n">
        <v>0</v>
      </c>
      <c r="CN539" s="5" t="n">
        <v>0</v>
      </c>
      <c r="CO539" s="5" t="n">
        <v>0</v>
      </c>
      <c r="CP539" s="5" t="n">
        <v>1</v>
      </c>
      <c r="CQ539" s="5" t="n">
        <v>1.294</v>
      </c>
      <c r="CR539" s="5" t="n">
        <v>0</v>
      </c>
      <c r="CS539" s="5" t="n">
        <v>5.158</v>
      </c>
      <c r="CT539" s="5" t="n">
        <v>5.842</v>
      </c>
      <c r="CU539" s="5" t="n">
        <v>31.326</v>
      </c>
    </row>
    <row r="540">
      <c r="A540" s="5" t="inlineStr">
        <is>
          <t>MNE2023</t>
        </is>
      </c>
      <c r="B540" s="5" t="inlineStr">
        <is>
          <t>MNE</t>
        </is>
      </c>
      <c r="C540" s="5" t="inlineStr">
        <is>
          <t>MNE</t>
        </is>
      </c>
      <c r="D540" s="5" t="inlineStr">
        <is>
          <t>Montenegro, Rep. of</t>
        </is>
      </c>
      <c r="E540" s="5" t="n">
        <v>2023</v>
      </c>
      <c r="F540" s="5" t="n">
        <v>0.21</v>
      </c>
      <c r="G540" s="5" t="n">
        <v>1.99</v>
      </c>
      <c r="H540" s="5" t="n">
        <v>0.643</v>
      </c>
      <c r="I540" s="5" t="n">
        <v>2.612</v>
      </c>
      <c r="J540" s="5" t="n">
        <v>4.602</v>
      </c>
      <c r="K540" s="5" t="n">
        <v>0</v>
      </c>
      <c r="L540" s="5" t="n">
        <v>1</v>
      </c>
      <c r="M540" s="5" t="n">
        <v>3.276</v>
      </c>
      <c r="N540" s="5" t="n">
        <v>1.928</v>
      </c>
      <c r="O540" s="5" t="n">
        <v>2.595</v>
      </c>
      <c r="P540" s="5" t="n">
        <v>5.871</v>
      </c>
      <c r="Q540" s="5" t="n">
        <v>0</v>
      </c>
      <c r="R540" s="5" t="n">
        <v>1</v>
      </c>
      <c r="S540" s="5" t="n">
        <v>5.205</v>
      </c>
      <c r="T540" s="5" t="n">
        <v>3.857</v>
      </c>
      <c r="U540" s="5" t="n">
        <v>0.121</v>
      </c>
      <c r="V540" s="5" t="n">
        <v>6.297</v>
      </c>
      <c r="W540" s="5" t="n">
        <v>0.21</v>
      </c>
      <c r="X540" s="5" t="n">
        <v>1</v>
      </c>
      <c r="Y540" s="5" t="n">
        <v>12.908</v>
      </c>
      <c r="Z540" s="5" t="n">
        <v>1.286</v>
      </c>
      <c r="AA540" s="5" t="n">
        <v>1.964</v>
      </c>
      <c r="AB540" s="5" t="n">
        <v>14.872</v>
      </c>
      <c r="AC540" s="5" t="n">
        <v>0</v>
      </c>
      <c r="AD540" s="5" t="n">
        <v>1</v>
      </c>
      <c r="AE540" s="5" t="n">
        <v>14.194</v>
      </c>
      <c r="AF540" s="5" t="n">
        <v>2.571</v>
      </c>
      <c r="AG540" s="5" t="n">
        <v>1.964</v>
      </c>
      <c r="AH540" s="5" t="n">
        <v>16.158</v>
      </c>
      <c r="AI540" s="5" t="n">
        <v>0</v>
      </c>
      <c r="AJ540" s="5" t="n">
        <v>1</v>
      </c>
      <c r="AK540" s="5" t="n">
        <v>21.908</v>
      </c>
      <c r="AL540" s="5" t="n">
        <v>10.285</v>
      </c>
      <c r="AM540" s="5" t="n">
        <v>0.509</v>
      </c>
      <c r="AN540" s="5" t="n">
        <v>26.508</v>
      </c>
      <c r="AO540" s="5" t="n">
        <v>0.21</v>
      </c>
      <c r="AP540" s="5" t="n">
        <v>1</v>
      </c>
      <c r="AQ540" s="5" t="n">
        <v>0.76</v>
      </c>
      <c r="AR540" s="5" t="n">
        <v>0.129</v>
      </c>
      <c r="AS540" s="5" t="n">
        <v>0.613</v>
      </c>
      <c r="AT540" s="5" t="n">
        <v>1.662</v>
      </c>
      <c r="AU540" s="5" t="n">
        <v>0.21</v>
      </c>
      <c r="AV540" s="5" t="n">
        <v>1</v>
      </c>
      <c r="AW540" s="5" t="n">
        <v>0.8110000000000001</v>
      </c>
      <c r="AX540" s="5" t="n">
        <v>0.129</v>
      </c>
      <c r="AY540" s="5" t="n">
        <v>0.507</v>
      </c>
      <c r="AZ540" s="5" t="n">
        <v>1.595</v>
      </c>
      <c r="BA540" s="5" t="n">
        <v>0.21</v>
      </c>
      <c r="BB540" s="5" t="n">
        <v>1</v>
      </c>
      <c r="BC540" s="5" t="n">
        <v>0.535</v>
      </c>
      <c r="BD540" s="5" t="n">
        <v>0.129</v>
      </c>
      <c r="BE540" s="5" t="n">
        <v>0.222</v>
      </c>
      <c r="BF540" s="5" t="n">
        <v>0.896</v>
      </c>
      <c r="BG540" s="5" t="n">
        <v>0.21</v>
      </c>
      <c r="BH540" s="5" t="n">
        <v>1</v>
      </c>
      <c r="BI540" s="5" t="n">
        <v>0.579</v>
      </c>
      <c r="BJ540" s="5" t="n">
        <v>0.129</v>
      </c>
      <c r="BK540" s="5" t="n">
        <v>0.013</v>
      </c>
      <c r="BL540" s="5" t="n">
        <v>0.701</v>
      </c>
      <c r="BM540" s="5" t="n">
        <v>0.21</v>
      </c>
      <c r="BN540" s="5" t="n">
        <v>1</v>
      </c>
      <c r="BO540" s="5" t="n">
        <v>0</v>
      </c>
      <c r="BP540" s="5" t="n">
        <v>0.005</v>
      </c>
      <c r="BQ540" s="5" t="n">
        <v>0.059</v>
      </c>
      <c r="BR540" s="5" t="n">
        <v>0</v>
      </c>
      <c r="BS540" s="5" t="n">
        <v>1</v>
      </c>
      <c r="BT540" s="5" t="n">
        <v>0</v>
      </c>
      <c r="BU540" s="5" t="n">
        <v>-0.005</v>
      </c>
      <c r="BV540" s="5" t="n">
        <v>0.105</v>
      </c>
      <c r="BW540" s="5" t="n">
        <v>0.21</v>
      </c>
      <c r="BX540" s="5" t="n">
        <v>0.5</v>
      </c>
      <c r="BY540" s="5" t="n">
        <v>13.254</v>
      </c>
      <c r="BZ540" s="5" t="n">
        <v>0</v>
      </c>
      <c r="CA540" s="5" t="n">
        <v>13.254</v>
      </c>
      <c r="CB540" s="5" t="n">
        <v>0</v>
      </c>
      <c r="CC540" s="5" t="n">
        <v>83.248</v>
      </c>
      <c r="CD540" s="5" t="n">
        <v>7.95</v>
      </c>
      <c r="CE540" s="5" t="n">
        <v>123.229</v>
      </c>
      <c r="CF540" s="5" t="n">
        <v>249.837</v>
      </c>
      <c r="CG540" s="5" t="n">
        <v>0.21</v>
      </c>
      <c r="CH540" s="5" t="n">
        <v>1</v>
      </c>
      <c r="CI540" s="5" t="n">
        <v>0</v>
      </c>
      <c r="CJ540" s="5" t="n">
        <v>0</v>
      </c>
      <c r="CK540" s="5" t="n">
        <v>0</v>
      </c>
      <c r="CL540" s="5" t="n">
        <v>0</v>
      </c>
      <c r="CM540" s="5" t="n">
        <v>0</v>
      </c>
      <c r="CN540" s="5" t="n">
        <v>0</v>
      </c>
      <c r="CO540" s="5" t="n">
        <v>0</v>
      </c>
      <c r="CP540" s="5" t="n">
        <v>1</v>
      </c>
      <c r="CQ540" s="5" t="n">
        <v>1.348</v>
      </c>
      <c r="CR540" s="5" t="n">
        <v>0</v>
      </c>
      <c r="CS540" s="5" t="n">
        <v>5.37</v>
      </c>
      <c r="CT540" s="5" t="n">
        <v>3.466</v>
      </c>
      <c r="CU540" s="5" t="n">
        <v>11.622</v>
      </c>
    </row>
    <row r="541">
      <c r="A541" s="5" t="inlineStr">
        <is>
          <t>MNE2024</t>
        </is>
      </c>
      <c r="B541" s="5" t="inlineStr">
        <is>
          <t>MNE</t>
        </is>
      </c>
      <c r="C541" s="5" t="inlineStr">
        <is>
          <t>MNE</t>
        </is>
      </c>
      <c r="D541" s="5" t="inlineStr">
        <is>
          <t>Montenegro, Rep. of</t>
        </is>
      </c>
      <c r="E541" s="5" t="n">
        <v>2024</v>
      </c>
      <c r="F541" s="5" t="n">
        <v>0.21</v>
      </c>
      <c r="G541" s="5" t="n">
        <v>2.049</v>
      </c>
      <c r="H541" s="5" t="n">
        <v>0.662</v>
      </c>
      <c r="I541" s="5" t="n">
        <v>2.689</v>
      </c>
      <c r="J541" s="5" t="n">
        <v>4.738</v>
      </c>
      <c r="K541" s="5" t="n">
        <v>0</v>
      </c>
      <c r="L541" s="5" t="n">
        <v>1</v>
      </c>
      <c r="M541" s="5" t="n">
        <v>3.373</v>
      </c>
      <c r="N541" s="5" t="n">
        <v>1.985</v>
      </c>
      <c r="O541" s="5" t="n">
        <v>2.671</v>
      </c>
      <c r="P541" s="5" t="n">
        <v>6.044</v>
      </c>
      <c r="Q541" s="5" t="n">
        <v>0</v>
      </c>
      <c r="R541" s="5" t="n">
        <v>1</v>
      </c>
      <c r="S541" s="5" t="n">
        <v>5.358</v>
      </c>
      <c r="T541" s="5" t="n">
        <v>3.971</v>
      </c>
      <c r="U541" s="5" t="n">
        <v>0.153</v>
      </c>
      <c r="V541" s="5" t="n">
        <v>6.483</v>
      </c>
      <c r="W541" s="5" t="n">
        <v>0.21</v>
      </c>
      <c r="X541" s="5" t="n">
        <v>1</v>
      </c>
      <c r="Y541" s="5" t="n">
        <v>11.492</v>
      </c>
      <c r="Z541" s="5" t="n">
        <v>1.324</v>
      </c>
      <c r="AA541" s="5" t="n">
        <v>1.95</v>
      </c>
      <c r="AB541" s="5" t="n">
        <v>13.442</v>
      </c>
      <c r="AC541" s="5" t="n">
        <v>0</v>
      </c>
      <c r="AD541" s="5" t="n">
        <v>1</v>
      </c>
      <c r="AE541" s="5" t="n">
        <v>12.815</v>
      </c>
      <c r="AF541" s="5" t="n">
        <v>2.647</v>
      </c>
      <c r="AG541" s="5" t="n">
        <v>1.95</v>
      </c>
      <c r="AH541" s="5" t="n">
        <v>14.766</v>
      </c>
      <c r="AI541" s="5" t="n">
        <v>0</v>
      </c>
      <c r="AJ541" s="5" t="n">
        <v>1</v>
      </c>
      <c r="AK541" s="5" t="n">
        <v>20.757</v>
      </c>
      <c r="AL541" s="5" t="n">
        <v>10.589</v>
      </c>
      <c r="AM541" s="5" t="n">
        <v>0.594</v>
      </c>
      <c r="AN541" s="5" t="n">
        <v>25.116</v>
      </c>
      <c r="AO541" s="5" t="n">
        <v>0.21</v>
      </c>
      <c r="AP541" s="5" t="n">
        <v>1</v>
      </c>
      <c r="AQ541" s="5" t="n">
        <v>0.724</v>
      </c>
      <c r="AR541" s="5" t="n">
        <v>0.132</v>
      </c>
      <c r="AS541" s="5" t="n">
        <v>0.625</v>
      </c>
      <c r="AT541" s="5" t="n">
        <v>1.632</v>
      </c>
      <c r="AU541" s="5" t="n">
        <v>0.21</v>
      </c>
      <c r="AV541" s="5" t="n">
        <v>1</v>
      </c>
      <c r="AW541" s="5" t="n">
        <v>0.75</v>
      </c>
      <c r="AX541" s="5" t="n">
        <v>0.132</v>
      </c>
      <c r="AY541" s="5" t="n">
        <v>0.511</v>
      </c>
      <c r="AZ541" s="5" t="n">
        <v>1.526</v>
      </c>
      <c r="BA541" s="5" t="n">
        <v>0.21</v>
      </c>
      <c r="BB541" s="5" t="n">
        <v>1</v>
      </c>
      <c r="BC541" s="5" t="n">
        <v>0.513</v>
      </c>
      <c r="BD541" s="5" t="n">
        <v>0.132</v>
      </c>
      <c r="BE541" s="5" t="n">
        <v>0.239</v>
      </c>
      <c r="BF541" s="5" t="n">
        <v>0.884</v>
      </c>
      <c r="BG541" s="5" t="n">
        <v>0.21</v>
      </c>
      <c r="BH541" s="5" t="n">
        <v>1</v>
      </c>
      <c r="BI541" s="5" t="n">
        <v>0.591</v>
      </c>
      <c r="BJ541" s="5" t="n">
        <v>0.132</v>
      </c>
      <c r="BK541" s="5" t="n">
        <v>0.017</v>
      </c>
      <c r="BL541" s="5" t="n">
        <v>0.716</v>
      </c>
      <c r="BM541" s="5" t="n">
        <v>0.21</v>
      </c>
      <c r="BN541" s="5" t="n">
        <v>1</v>
      </c>
      <c r="BO541" s="5" t="n">
        <v>0</v>
      </c>
      <c r="BP541" s="5" t="n">
        <v>0.005</v>
      </c>
      <c r="BQ541" s="5" t="n">
        <v>0.055</v>
      </c>
      <c r="BR541" s="5" t="n">
        <v>0</v>
      </c>
      <c r="BS541" s="5" t="n">
        <v>1</v>
      </c>
      <c r="BT541" s="5" t="n">
        <v>0</v>
      </c>
      <c r="BU541" s="5" t="n">
        <v>-0.008999999999999999</v>
      </c>
      <c r="BV541" s="5" t="n">
        <v>0.107</v>
      </c>
      <c r="BW541" s="5" t="n">
        <v>0.21</v>
      </c>
      <c r="BX541" s="5" t="n">
        <v>0.5</v>
      </c>
      <c r="BY541" s="5" t="n">
        <v>13.646</v>
      </c>
      <c r="BZ541" s="5" t="n">
        <v>0</v>
      </c>
      <c r="CA541" s="5" t="n">
        <v>13.646</v>
      </c>
      <c r="CB541" s="5" t="n">
        <v>0</v>
      </c>
      <c r="CC541" s="5" t="n">
        <v>82.58799999999999</v>
      </c>
      <c r="CD541" s="5" t="n">
        <v>7.95</v>
      </c>
      <c r="CE541" s="5" t="n">
        <v>112.451</v>
      </c>
      <c r="CF541" s="5" t="n">
        <v>235.997</v>
      </c>
      <c r="CG541" s="5" t="n">
        <v>0.21</v>
      </c>
      <c r="CH541" s="5" t="n">
        <v>1</v>
      </c>
      <c r="CI541" s="5" t="n">
        <v>0</v>
      </c>
      <c r="CJ541" s="5" t="n">
        <v>0</v>
      </c>
      <c r="CK541" s="5" t="n">
        <v>0</v>
      </c>
      <c r="CL541" s="5" t="n">
        <v>0</v>
      </c>
      <c r="CM541" s="5" t="n">
        <v>0</v>
      </c>
      <c r="CN541" s="5" t="n">
        <v>0</v>
      </c>
      <c r="CO541" s="5" t="n">
        <v>0</v>
      </c>
      <c r="CP541" s="5" t="n">
        <v>1</v>
      </c>
      <c r="CQ541" s="5" t="n">
        <v>1.387</v>
      </c>
      <c r="CR541" s="5" t="n">
        <v>0</v>
      </c>
      <c r="CS541" s="5" t="n">
        <v>5.529</v>
      </c>
      <c r="CT541" s="5" t="n">
        <v>3.027</v>
      </c>
      <c r="CU541" s="5" t="n">
        <v>10.168</v>
      </c>
    </row>
    <row r="542">
      <c r="A542" s="5" t="inlineStr">
        <is>
          <t>MSR2021</t>
        </is>
      </c>
      <c r="B542" s="5" t="inlineStr">
        <is>
          <t>MSR</t>
        </is>
      </c>
      <c r="C542" s="5" t="inlineStr">
        <is>
          <t>MSR</t>
        </is>
      </c>
      <c r="D542" s="5" t="inlineStr">
        <is>
          <t>Montserrat</t>
        </is>
      </c>
      <c r="E542" s="5" t="n">
        <v>2021</v>
      </c>
      <c r="F542" s="5" t="n">
        <v>0</v>
      </c>
      <c r="G542" s="5" t="n">
        <v>5.897</v>
      </c>
      <c r="H542" s="5" t="n">
        <v>1.143</v>
      </c>
      <c r="I542" s="5" t="n">
        <v>0</v>
      </c>
      <c r="J542" s="5" t="n">
        <v>5.897</v>
      </c>
      <c r="K542" s="5" t="n">
        <v>0</v>
      </c>
      <c r="L542" s="5" t="n">
        <v>1</v>
      </c>
      <c r="M542" s="5" t="n">
        <v>7.964</v>
      </c>
      <c r="N542" s="5" t="n">
        <v>3.43</v>
      </c>
      <c r="O542" s="5" t="n">
        <v>0</v>
      </c>
      <c r="P542" s="5" t="n">
        <v>7.964</v>
      </c>
      <c r="Q542" s="5" t="n">
        <v>0</v>
      </c>
      <c r="R542" s="5" t="n">
        <v>1</v>
      </c>
      <c r="S542" s="5" t="n">
        <v>11.613</v>
      </c>
      <c r="T542" s="5" t="n">
        <v>6.86</v>
      </c>
      <c r="U542" s="5" t="n">
        <v>0</v>
      </c>
      <c r="V542" s="5" t="n">
        <v>11.613</v>
      </c>
      <c r="W542" s="5" t="n">
        <v>0</v>
      </c>
      <c r="X542" s="5" t="n">
        <v>1</v>
      </c>
      <c r="Y542" s="5" t="n">
        <v>5.849</v>
      </c>
      <c r="Z542" s="5" t="n">
        <v>0.787</v>
      </c>
      <c r="AA542" s="5" t="n">
        <v>0</v>
      </c>
      <c r="AB542" s="5" t="n">
        <v>5.849</v>
      </c>
      <c r="AC542" s="5" t="n">
        <v>0</v>
      </c>
      <c r="AD542" s="5" t="n">
        <v>1</v>
      </c>
      <c r="AE542" s="5" t="n">
        <v>6.992</v>
      </c>
      <c r="AF542" s="5" t="n">
        <v>1.637</v>
      </c>
      <c r="AG542" s="5" t="n">
        <v>0</v>
      </c>
      <c r="AH542" s="5" t="n">
        <v>6.992</v>
      </c>
      <c r="AI542" s="5" t="n">
        <v>0</v>
      </c>
      <c r="AJ542" s="5" t="n">
        <v>1</v>
      </c>
      <c r="AK542" s="5" t="n">
        <v>13.852</v>
      </c>
      <c r="AL542" s="5" t="n">
        <v>7.443</v>
      </c>
      <c r="AM542" s="5" t="n">
        <v>0</v>
      </c>
      <c r="AN542" s="5" t="n">
        <v>13.852</v>
      </c>
      <c r="AO542" s="5" t="n">
        <v>0</v>
      </c>
      <c r="AP542" s="5" t="n">
        <v>1</v>
      </c>
      <c r="AQ542" s="5" t="n">
        <v>0.649</v>
      </c>
      <c r="AR542" s="5" t="n">
        <v>0.114</v>
      </c>
      <c r="AS542" s="5" t="n">
        <v>0.896</v>
      </c>
      <c r="AT542" s="5" t="n">
        <v>1.545</v>
      </c>
      <c r="AU542" s="5" t="n">
        <v>0</v>
      </c>
      <c r="AV542" s="5" t="n">
        <v>1</v>
      </c>
      <c r="AW542" s="5" t="n">
        <v>0.577</v>
      </c>
      <c r="AX542" s="5" t="n">
        <v>0.114</v>
      </c>
      <c r="AY542" s="5" t="n">
        <v>0.6870000000000001</v>
      </c>
      <c r="AZ542" s="5" t="n">
        <v>1.264</v>
      </c>
      <c r="BA542" s="5" t="n">
        <v>0</v>
      </c>
      <c r="BB542" s="5" t="n">
        <v>1</v>
      </c>
      <c r="BC542" s="5" t="n">
        <v>0.458</v>
      </c>
      <c r="BD542" s="5" t="n">
        <v>0.114</v>
      </c>
      <c r="BE542" s="5" t="n">
        <v>0.504</v>
      </c>
      <c r="BF542" s="5" t="n">
        <v>0.962</v>
      </c>
      <c r="BG542" s="5" t="n">
        <v>0</v>
      </c>
      <c r="BH542" s="5" t="n">
        <v>1</v>
      </c>
      <c r="BI542" s="5" t="n">
        <v>0.491</v>
      </c>
      <c r="BJ542" s="5" t="n">
        <v>0.114</v>
      </c>
      <c r="BK542" s="5" t="n">
        <v>0</v>
      </c>
      <c r="BL542" s="5" t="n">
        <v>0.491</v>
      </c>
      <c r="BM542" s="5" t="n">
        <v>0</v>
      </c>
      <c r="BN542" s="5" t="n">
        <v>1</v>
      </c>
      <c r="BO542" s="5" t="n">
        <v>0</v>
      </c>
      <c r="BP542" s="5" t="n">
        <v>0</v>
      </c>
      <c r="BQ542" s="5" t="n">
        <v>0</v>
      </c>
      <c r="BR542" s="5" t="n">
        <v>0</v>
      </c>
      <c r="BS542" s="5" t="n">
        <v>1</v>
      </c>
      <c r="BT542" s="5" t="n">
        <v>0</v>
      </c>
      <c r="BU542" s="5" t="n">
        <v>0</v>
      </c>
      <c r="BV542" s="5" t="n">
        <v>0</v>
      </c>
      <c r="BW542" s="5" t="n">
        <v>0</v>
      </c>
      <c r="BX542" s="5" t="n">
        <v>1</v>
      </c>
      <c r="BY542" s="5" t="n">
        <v>11.787</v>
      </c>
      <c r="BZ542" s="5" t="n">
        <v>0</v>
      </c>
      <c r="CA542" s="5" t="n">
        <v>11.787</v>
      </c>
      <c r="CB542" s="5" t="n">
        <v>0</v>
      </c>
      <c r="CC542" s="5" t="n">
        <v>78.125</v>
      </c>
      <c r="CD542" s="5" t="n">
        <v>7.95</v>
      </c>
      <c r="CE542" s="5" t="n">
        <v>0</v>
      </c>
      <c r="CF542" s="5" t="n">
        <v>78.125</v>
      </c>
      <c r="CG542" s="5" t="n">
        <v>0</v>
      </c>
      <c r="CH542" s="5" t="n">
        <v>1</v>
      </c>
      <c r="CI542" s="5" t="n">
        <v>0</v>
      </c>
      <c r="CJ542" s="5" t="n">
        <v>0</v>
      </c>
      <c r="CK542" s="5" t="n">
        <v>0</v>
      </c>
      <c r="CL542" s="5" t="n">
        <v>0</v>
      </c>
      <c r="CM542" s="5" t="n">
        <v>0</v>
      </c>
      <c r="CN542" s="5" t="n">
        <v>0</v>
      </c>
      <c r="CO542" s="5" t="n">
        <v>0</v>
      </c>
      <c r="CP542" s="5" t="n">
        <v>0</v>
      </c>
      <c r="CQ542" s="5" t="n">
        <v>1.198</v>
      </c>
      <c r="CR542" s="5" t="n">
        <v>0</v>
      </c>
      <c r="CS542" s="5" t="n">
        <v>4.776</v>
      </c>
      <c r="CT542" s="5" t="n">
        <v>4.753</v>
      </c>
      <c r="CU542" s="5" t="n">
        <v>15.983</v>
      </c>
    </row>
    <row r="543">
      <c r="A543" s="5" t="inlineStr">
        <is>
          <t>MSR2022</t>
        </is>
      </c>
      <c r="B543" s="5" t="inlineStr">
        <is>
          <t>MSR</t>
        </is>
      </c>
      <c r="C543" s="5" t="inlineStr">
        <is>
          <t>MSR</t>
        </is>
      </c>
      <c r="D543" s="5" t="inlineStr">
        <is>
          <t>Montserrat</t>
        </is>
      </c>
      <c r="E543" s="5" t="n">
        <v>2022</v>
      </c>
      <c r="F543" s="5" t="n">
        <v>0</v>
      </c>
      <c r="G543" s="5" t="n">
        <v>11.72</v>
      </c>
      <c r="H543" s="5" t="n">
        <v>1.235</v>
      </c>
      <c r="I543" s="5" t="n">
        <v>0</v>
      </c>
      <c r="J543" s="5" t="n">
        <v>11.72</v>
      </c>
      <c r="K543" s="5" t="n">
        <v>0</v>
      </c>
      <c r="L543" s="5" t="n">
        <v>1</v>
      </c>
      <c r="M543" s="5" t="n">
        <v>9.782999999999999</v>
      </c>
      <c r="N543" s="5" t="n">
        <v>3.704</v>
      </c>
      <c r="O543" s="5" t="n">
        <v>0</v>
      </c>
      <c r="P543" s="5" t="n">
        <v>9.782999999999999</v>
      </c>
      <c r="Q543" s="5" t="n">
        <v>0</v>
      </c>
      <c r="R543" s="5" t="n">
        <v>1</v>
      </c>
      <c r="S543" s="5" t="n">
        <v>17.893</v>
      </c>
      <c r="T543" s="5" t="n">
        <v>7.408</v>
      </c>
      <c r="U543" s="5" t="n">
        <v>0</v>
      </c>
      <c r="V543" s="5" t="n">
        <v>17.893</v>
      </c>
      <c r="W543" s="5" t="n">
        <v>0</v>
      </c>
      <c r="X543" s="5" t="n">
        <v>1</v>
      </c>
      <c r="Y543" s="5" t="n">
        <v>6.316</v>
      </c>
      <c r="Z543" s="5" t="n">
        <v>0.85</v>
      </c>
      <c r="AA543" s="5" t="n">
        <v>0</v>
      </c>
      <c r="AB543" s="5" t="n">
        <v>6.316</v>
      </c>
      <c r="AC543" s="5" t="n">
        <v>0</v>
      </c>
      <c r="AD543" s="5" t="n">
        <v>1</v>
      </c>
      <c r="AE543" s="5" t="n">
        <v>7.551</v>
      </c>
      <c r="AF543" s="5" t="n">
        <v>1.768</v>
      </c>
      <c r="AG543" s="5" t="n">
        <v>0</v>
      </c>
      <c r="AH543" s="5" t="n">
        <v>7.551</v>
      </c>
      <c r="AI543" s="5" t="n">
        <v>0</v>
      </c>
      <c r="AJ543" s="5" t="n">
        <v>1</v>
      </c>
      <c r="AK543" s="5" t="n">
        <v>14.959</v>
      </c>
      <c r="AL543" s="5" t="n">
        <v>8.038</v>
      </c>
      <c r="AM543" s="5" t="n">
        <v>0</v>
      </c>
      <c r="AN543" s="5" t="n">
        <v>14.959</v>
      </c>
      <c r="AO543" s="5" t="n">
        <v>0</v>
      </c>
      <c r="AP543" s="5" t="n">
        <v>1</v>
      </c>
      <c r="AQ543" s="5" t="n">
        <v>0.896</v>
      </c>
      <c r="AR543" s="5" t="n">
        <v>0.123</v>
      </c>
      <c r="AS543" s="5" t="n">
        <v>0.968</v>
      </c>
      <c r="AT543" s="5" t="n">
        <v>1.864</v>
      </c>
      <c r="AU543" s="5" t="n">
        <v>0</v>
      </c>
      <c r="AV543" s="5" t="n">
        <v>1</v>
      </c>
      <c r="AW543" s="5" t="n">
        <v>0.89</v>
      </c>
      <c r="AX543" s="5" t="n">
        <v>0.123</v>
      </c>
      <c r="AY543" s="5" t="n">
        <v>0.742</v>
      </c>
      <c r="AZ543" s="5" t="n">
        <v>1.632</v>
      </c>
      <c r="BA543" s="5" t="n">
        <v>0</v>
      </c>
      <c r="BB543" s="5" t="n">
        <v>1</v>
      </c>
      <c r="BC543" s="5" t="n">
        <v>0.62</v>
      </c>
      <c r="BD543" s="5" t="n">
        <v>0.123</v>
      </c>
      <c r="BE543" s="5" t="n">
        <v>0.514</v>
      </c>
      <c r="BF543" s="5" t="n">
        <v>1.134</v>
      </c>
      <c r="BG543" s="5" t="n">
        <v>0</v>
      </c>
      <c r="BH543" s="5" t="n">
        <v>1</v>
      </c>
      <c r="BI543" s="5" t="n">
        <v>0.608</v>
      </c>
      <c r="BJ543" s="5" t="n">
        <v>0.123</v>
      </c>
      <c r="BK543" s="5" t="n">
        <v>0</v>
      </c>
      <c r="BL543" s="5" t="n">
        <v>0.608</v>
      </c>
      <c r="BM543" s="5" t="n">
        <v>0</v>
      </c>
      <c r="BN543" s="5" t="n">
        <v>1</v>
      </c>
      <c r="BO543" s="5" t="n">
        <v>0</v>
      </c>
      <c r="BP543" s="5" t="n">
        <v>0</v>
      </c>
      <c r="BQ543" s="5" t="n">
        <v>0</v>
      </c>
      <c r="BR543" s="5" t="n">
        <v>0</v>
      </c>
      <c r="BS543" s="5" t="n">
        <v>1</v>
      </c>
      <c r="BT543" s="5" t="n">
        <v>0</v>
      </c>
      <c r="BU543" s="5" t="n">
        <v>0</v>
      </c>
      <c r="BV543" s="5" t="n">
        <v>0</v>
      </c>
      <c r="BW543" s="5" t="n">
        <v>0</v>
      </c>
      <c r="BX543" s="5" t="n">
        <v>1</v>
      </c>
      <c r="BY543" s="5" t="n">
        <v>12.729</v>
      </c>
      <c r="BZ543" s="5" t="n">
        <v>0</v>
      </c>
      <c r="CA543" s="5" t="n">
        <v>12.729</v>
      </c>
      <c r="CB543" s="5" t="n">
        <v>0</v>
      </c>
      <c r="CC543" s="5" t="n">
        <v>97.90000000000001</v>
      </c>
      <c r="CD543" s="5" t="n">
        <v>7.95</v>
      </c>
      <c r="CE543" s="5" t="n">
        <v>0</v>
      </c>
      <c r="CF543" s="5" t="n">
        <v>97.90000000000001</v>
      </c>
      <c r="CG543" s="5" t="n">
        <v>0</v>
      </c>
      <c r="CH543" s="5" t="n">
        <v>1</v>
      </c>
      <c r="CI543" s="5" t="n">
        <v>0</v>
      </c>
      <c r="CJ543" s="5" t="n">
        <v>0</v>
      </c>
      <c r="CK543" s="5" t="n">
        <v>0</v>
      </c>
      <c r="CL543" s="5" t="n">
        <v>0</v>
      </c>
      <c r="CM543" s="5" t="n">
        <v>0</v>
      </c>
      <c r="CN543" s="5" t="n">
        <v>0</v>
      </c>
      <c r="CO543" s="5" t="n">
        <v>0</v>
      </c>
      <c r="CP543" s="5" t="n">
        <v>0</v>
      </c>
      <c r="CQ543" s="5" t="n">
        <v>1.294</v>
      </c>
      <c r="CR543" s="5" t="n">
        <v>0</v>
      </c>
      <c r="CS543" s="5" t="n">
        <v>5.158</v>
      </c>
      <c r="CT543" s="5" t="n">
        <v>10.485</v>
      </c>
      <c r="CU543" s="5" t="n">
        <v>29.494</v>
      </c>
    </row>
    <row r="544">
      <c r="A544" s="5" t="inlineStr">
        <is>
          <t>MSR2023</t>
        </is>
      </c>
      <c r="B544" s="5" t="inlineStr">
        <is>
          <t>MSR</t>
        </is>
      </c>
      <c r="C544" s="5" t="inlineStr">
        <is>
          <t>MSR</t>
        </is>
      </c>
      <c r="D544" s="5" t="inlineStr">
        <is>
          <t>Montserrat</t>
        </is>
      </c>
      <c r="E544" s="5" t="n">
        <v>2023</v>
      </c>
      <c r="F544" s="5" t="n">
        <v>0</v>
      </c>
      <c r="G544" s="5" t="n">
        <v>6.147</v>
      </c>
      <c r="H544" s="5" t="n">
        <v>1.286</v>
      </c>
      <c r="I544" s="5" t="n">
        <v>0</v>
      </c>
      <c r="J544" s="5" t="n">
        <v>6.147</v>
      </c>
      <c r="K544" s="5" t="n">
        <v>0</v>
      </c>
      <c r="L544" s="5" t="n">
        <v>1</v>
      </c>
      <c r="M544" s="5" t="n">
        <v>7.886</v>
      </c>
      <c r="N544" s="5" t="n">
        <v>3.857</v>
      </c>
      <c r="O544" s="5" t="n">
        <v>0</v>
      </c>
      <c r="P544" s="5" t="n">
        <v>7.886</v>
      </c>
      <c r="Q544" s="5" t="n">
        <v>0</v>
      </c>
      <c r="R544" s="5" t="n">
        <v>1</v>
      </c>
      <c r="S544" s="5" t="n">
        <v>12.575</v>
      </c>
      <c r="T544" s="5" t="n">
        <v>7.714</v>
      </c>
      <c r="U544" s="5" t="n">
        <v>0</v>
      </c>
      <c r="V544" s="5" t="n">
        <v>12.575</v>
      </c>
      <c r="W544" s="5" t="n">
        <v>0</v>
      </c>
      <c r="X544" s="5" t="n">
        <v>1</v>
      </c>
      <c r="Y544" s="5" t="n">
        <v>6.577</v>
      </c>
      <c r="Z544" s="5" t="n">
        <v>0.885</v>
      </c>
      <c r="AA544" s="5" t="n">
        <v>0</v>
      </c>
      <c r="AB544" s="5" t="n">
        <v>6.577</v>
      </c>
      <c r="AC544" s="5" t="n">
        <v>0</v>
      </c>
      <c r="AD544" s="5" t="n">
        <v>1</v>
      </c>
      <c r="AE544" s="5" t="n">
        <v>7.862</v>
      </c>
      <c r="AF544" s="5" t="n">
        <v>1.841</v>
      </c>
      <c r="AG544" s="5" t="n">
        <v>0</v>
      </c>
      <c r="AH544" s="5" t="n">
        <v>7.862</v>
      </c>
      <c r="AI544" s="5" t="n">
        <v>0</v>
      </c>
      <c r="AJ544" s="5" t="n">
        <v>1</v>
      </c>
      <c r="AK544" s="5" t="n">
        <v>15.576</v>
      </c>
      <c r="AL544" s="5" t="n">
        <v>8.369999999999999</v>
      </c>
      <c r="AM544" s="5" t="n">
        <v>0</v>
      </c>
      <c r="AN544" s="5" t="n">
        <v>15.576</v>
      </c>
      <c r="AO544" s="5" t="n">
        <v>0</v>
      </c>
      <c r="AP544" s="5" t="n">
        <v>1</v>
      </c>
      <c r="AQ544" s="5" t="n">
        <v>0.791</v>
      </c>
      <c r="AR544" s="5" t="n">
        <v>0.129</v>
      </c>
      <c r="AS544" s="5" t="n">
        <v>1.007</v>
      </c>
      <c r="AT544" s="5" t="n">
        <v>1.798</v>
      </c>
      <c r="AU544" s="5" t="n">
        <v>0</v>
      </c>
      <c r="AV544" s="5" t="n">
        <v>1</v>
      </c>
      <c r="AW544" s="5" t="n">
        <v>0.618</v>
      </c>
      <c r="AX544" s="5" t="n">
        <v>0.129</v>
      </c>
      <c r="AY544" s="5" t="n">
        <v>0.773</v>
      </c>
      <c r="AZ544" s="5" t="n">
        <v>1.391</v>
      </c>
      <c r="BA544" s="5" t="n">
        <v>0</v>
      </c>
      <c r="BB544" s="5" t="n">
        <v>1</v>
      </c>
      <c r="BC544" s="5" t="n">
        <v>0.554</v>
      </c>
      <c r="BD544" s="5" t="n">
        <v>0.129</v>
      </c>
      <c r="BE544" s="5" t="n">
        <v>0.5570000000000001</v>
      </c>
      <c r="BF544" s="5" t="n">
        <v>1.112</v>
      </c>
      <c r="BG544" s="5" t="n">
        <v>0</v>
      </c>
      <c r="BH544" s="5" t="n">
        <v>1</v>
      </c>
      <c r="BI544" s="5" t="n">
        <v>0.5570000000000001</v>
      </c>
      <c r="BJ544" s="5" t="n">
        <v>0.129</v>
      </c>
      <c r="BK544" s="5" t="n">
        <v>0</v>
      </c>
      <c r="BL544" s="5" t="n">
        <v>0.5570000000000001</v>
      </c>
      <c r="BM544" s="5" t="n">
        <v>0</v>
      </c>
      <c r="BN544" s="5" t="n">
        <v>1</v>
      </c>
      <c r="BO544" s="5" t="n">
        <v>0</v>
      </c>
      <c r="BP544" s="5" t="n">
        <v>0</v>
      </c>
      <c r="BQ544" s="5" t="n">
        <v>0</v>
      </c>
      <c r="BR544" s="5" t="n">
        <v>0</v>
      </c>
      <c r="BS544" s="5" t="n">
        <v>1</v>
      </c>
      <c r="BT544" s="5" t="n">
        <v>0</v>
      </c>
      <c r="BU544" s="5" t="n">
        <v>0</v>
      </c>
      <c r="BV544" s="5" t="n">
        <v>0</v>
      </c>
      <c r="BW544" s="5" t="n">
        <v>0</v>
      </c>
      <c r="BX544" s="5" t="n">
        <v>1</v>
      </c>
      <c r="BY544" s="5" t="n">
        <v>13.254</v>
      </c>
      <c r="BZ544" s="5" t="n">
        <v>0</v>
      </c>
      <c r="CA544" s="5" t="n">
        <v>13.254</v>
      </c>
      <c r="CB544" s="5" t="n">
        <v>0</v>
      </c>
      <c r="CC544" s="5" t="n">
        <v>83.248</v>
      </c>
      <c r="CD544" s="5" t="n">
        <v>7.95</v>
      </c>
      <c r="CE544" s="5" t="n">
        <v>0</v>
      </c>
      <c r="CF544" s="5" t="n">
        <v>83.248</v>
      </c>
      <c r="CG544" s="5" t="n">
        <v>0</v>
      </c>
      <c r="CH544" s="5" t="n">
        <v>1</v>
      </c>
      <c r="CI544" s="5" t="n">
        <v>0</v>
      </c>
      <c r="CJ544" s="5" t="n">
        <v>0</v>
      </c>
      <c r="CK544" s="5" t="n">
        <v>0</v>
      </c>
      <c r="CL544" s="5" t="n">
        <v>0</v>
      </c>
      <c r="CM544" s="5" t="n">
        <v>0</v>
      </c>
      <c r="CN544" s="5" t="n">
        <v>0</v>
      </c>
      <c r="CO544" s="5" t="n">
        <v>0</v>
      </c>
      <c r="CP544" s="5" t="n">
        <v>0</v>
      </c>
      <c r="CQ544" s="5" t="n">
        <v>1.348</v>
      </c>
      <c r="CR544" s="5" t="n">
        <v>0</v>
      </c>
      <c r="CS544" s="5" t="n">
        <v>5.37</v>
      </c>
      <c r="CT544" s="5" t="n">
        <v>4.861</v>
      </c>
      <c r="CU544" s="5" t="n">
        <v>11.192</v>
      </c>
    </row>
    <row r="545">
      <c r="A545" s="5" t="inlineStr">
        <is>
          <t>MSR2024</t>
        </is>
      </c>
      <c r="B545" s="5" t="inlineStr">
        <is>
          <t>MSR</t>
        </is>
      </c>
      <c r="C545" s="5" t="inlineStr">
        <is>
          <t>MSR</t>
        </is>
      </c>
      <c r="D545" s="5" t="inlineStr">
        <is>
          <t>Montserrat</t>
        </is>
      </c>
      <c r="E545" s="5" t="n">
        <v>2024</v>
      </c>
      <c r="F545" s="5" t="n">
        <v>0</v>
      </c>
      <c r="G545" s="5" t="n">
        <v>5.575</v>
      </c>
      <c r="H545" s="5" t="n">
        <v>1.324</v>
      </c>
      <c r="I545" s="5" t="n">
        <v>0</v>
      </c>
      <c r="J545" s="5" t="n">
        <v>5.575</v>
      </c>
      <c r="K545" s="5" t="n">
        <v>0</v>
      </c>
      <c r="L545" s="5" t="n">
        <v>1</v>
      </c>
      <c r="M545" s="5" t="n">
        <v>7.124</v>
      </c>
      <c r="N545" s="5" t="n">
        <v>3.971</v>
      </c>
      <c r="O545" s="5" t="n">
        <v>0</v>
      </c>
      <c r="P545" s="5" t="n">
        <v>7.124</v>
      </c>
      <c r="Q545" s="5" t="n">
        <v>0</v>
      </c>
      <c r="R545" s="5" t="n">
        <v>1</v>
      </c>
      <c r="S545" s="5" t="n">
        <v>12.193</v>
      </c>
      <c r="T545" s="5" t="n">
        <v>7.942</v>
      </c>
      <c r="U545" s="5" t="n">
        <v>0</v>
      </c>
      <c r="V545" s="5" t="n">
        <v>12.193</v>
      </c>
      <c r="W545" s="5" t="n">
        <v>0</v>
      </c>
      <c r="X545" s="5" t="n">
        <v>1</v>
      </c>
      <c r="Y545" s="5" t="n">
        <v>6.771</v>
      </c>
      <c r="Z545" s="5" t="n">
        <v>0.911</v>
      </c>
      <c r="AA545" s="5" t="n">
        <v>0</v>
      </c>
      <c r="AB545" s="5" t="n">
        <v>6.771</v>
      </c>
      <c r="AC545" s="5" t="n">
        <v>0</v>
      </c>
      <c r="AD545" s="5" t="n">
        <v>1</v>
      </c>
      <c r="AE545" s="5" t="n">
        <v>8.095000000000001</v>
      </c>
      <c r="AF545" s="5" t="n">
        <v>1.896</v>
      </c>
      <c r="AG545" s="5" t="n">
        <v>0</v>
      </c>
      <c r="AH545" s="5" t="n">
        <v>8.095000000000001</v>
      </c>
      <c r="AI545" s="5" t="n">
        <v>0</v>
      </c>
      <c r="AJ545" s="5" t="n">
        <v>1</v>
      </c>
      <c r="AK545" s="5" t="n">
        <v>16.036</v>
      </c>
      <c r="AL545" s="5" t="n">
        <v>8.617000000000001</v>
      </c>
      <c r="AM545" s="5" t="n">
        <v>0</v>
      </c>
      <c r="AN545" s="5" t="n">
        <v>16.036</v>
      </c>
      <c r="AO545" s="5" t="n">
        <v>0</v>
      </c>
      <c r="AP545" s="5" t="n">
        <v>1</v>
      </c>
      <c r="AQ545" s="5" t="n">
        <v>0.756</v>
      </c>
      <c r="AR545" s="5" t="n">
        <v>0.132</v>
      </c>
      <c r="AS545" s="5" t="n">
        <v>1.037</v>
      </c>
      <c r="AT545" s="5" t="n">
        <v>1.793</v>
      </c>
      <c r="AU545" s="5" t="n">
        <v>0</v>
      </c>
      <c r="AV545" s="5" t="n">
        <v>1</v>
      </c>
      <c r="AW545" s="5" t="n">
        <v>0.655</v>
      </c>
      <c r="AX545" s="5" t="n">
        <v>0.132</v>
      </c>
      <c r="AY545" s="5" t="n">
        <v>0.796</v>
      </c>
      <c r="AZ545" s="5" t="n">
        <v>1.451</v>
      </c>
      <c r="BA545" s="5" t="n">
        <v>0</v>
      </c>
      <c r="BB545" s="5" t="n">
        <v>1</v>
      </c>
      <c r="BC545" s="5" t="n">
        <v>0.534</v>
      </c>
      <c r="BD545" s="5" t="n">
        <v>0.132</v>
      </c>
      <c r="BE545" s="5" t="n">
        <v>0.583</v>
      </c>
      <c r="BF545" s="5" t="n">
        <v>1.116</v>
      </c>
      <c r="BG545" s="5" t="n">
        <v>0</v>
      </c>
      <c r="BH545" s="5" t="n">
        <v>1</v>
      </c>
      <c r="BI545" s="5" t="n">
        <v>0.5679999999999999</v>
      </c>
      <c r="BJ545" s="5" t="n">
        <v>0.132</v>
      </c>
      <c r="BK545" s="5" t="n">
        <v>0</v>
      </c>
      <c r="BL545" s="5" t="n">
        <v>0.5679999999999999</v>
      </c>
      <c r="BM545" s="5" t="n">
        <v>0</v>
      </c>
      <c r="BN545" s="5" t="n">
        <v>1</v>
      </c>
      <c r="BO545" s="5" t="n">
        <v>0</v>
      </c>
      <c r="BP545" s="5" t="n">
        <v>0</v>
      </c>
      <c r="BQ545" s="5" t="n">
        <v>0</v>
      </c>
      <c r="BR545" s="5" t="n">
        <v>0</v>
      </c>
      <c r="BS545" s="5" t="n">
        <v>1</v>
      </c>
      <c r="BT545" s="5" t="n">
        <v>0</v>
      </c>
      <c r="BU545" s="5" t="n">
        <v>0</v>
      </c>
      <c r="BV545" s="5" t="n">
        <v>0</v>
      </c>
      <c r="BW545" s="5" t="n">
        <v>0</v>
      </c>
      <c r="BX545" s="5" t="n">
        <v>1</v>
      </c>
      <c r="BY545" s="5" t="n">
        <v>13.646</v>
      </c>
      <c r="BZ545" s="5" t="n">
        <v>0</v>
      </c>
      <c r="CA545" s="5" t="n">
        <v>13.646</v>
      </c>
      <c r="CB545" s="5" t="n">
        <v>0</v>
      </c>
      <c r="CC545" s="5" t="n">
        <v>82.58799999999999</v>
      </c>
      <c r="CD545" s="5" t="n">
        <v>7.95</v>
      </c>
      <c r="CE545" s="5" t="n">
        <v>0</v>
      </c>
      <c r="CF545" s="5" t="n">
        <v>82.58799999999999</v>
      </c>
      <c r="CG545" s="5" t="n">
        <v>0</v>
      </c>
      <c r="CH545" s="5" t="n">
        <v>1</v>
      </c>
      <c r="CI545" s="5" t="n">
        <v>0</v>
      </c>
      <c r="CJ545" s="5" t="n">
        <v>0</v>
      </c>
      <c r="CK545" s="5" t="n">
        <v>0</v>
      </c>
      <c r="CL545" s="5" t="n">
        <v>0</v>
      </c>
      <c r="CM545" s="5" t="n">
        <v>0</v>
      </c>
      <c r="CN545" s="5" t="n">
        <v>0</v>
      </c>
      <c r="CO545" s="5" t="n">
        <v>0</v>
      </c>
      <c r="CP545" s="5" t="n">
        <v>0</v>
      </c>
      <c r="CQ545" s="5" t="n">
        <v>1.387</v>
      </c>
      <c r="CR545" s="5" t="n">
        <v>0</v>
      </c>
      <c r="CS545" s="5" t="n">
        <v>5.529</v>
      </c>
      <c r="CT545" s="5" t="n">
        <v>4.251</v>
      </c>
      <c r="CU545" s="5" t="n">
        <v>10.123</v>
      </c>
    </row>
    <row r="546">
      <c r="A546" s="5" t="inlineStr">
        <is>
          <t>MAR2021</t>
        </is>
      </c>
      <c r="B546" s="5" t="inlineStr">
        <is>
          <t>MAR</t>
        </is>
      </c>
      <c r="C546" s="5" t="inlineStr">
        <is>
          <t>MAR</t>
        </is>
      </c>
      <c r="D546" s="5" t="inlineStr">
        <is>
          <t>Morocco</t>
        </is>
      </c>
      <c r="E546" s="5" t="n">
        <v>2021</v>
      </c>
      <c r="F546" s="5" t="n">
        <v>0.2</v>
      </c>
      <c r="G546" s="5" t="n">
        <v>7.191</v>
      </c>
      <c r="H546" s="5" t="n">
        <v>1.573</v>
      </c>
      <c r="I546" s="5" t="n">
        <v>0.119</v>
      </c>
      <c r="J546" s="5" t="n">
        <v>7.31</v>
      </c>
      <c r="K546" s="5" t="n">
        <v>0</v>
      </c>
      <c r="L546" s="5" t="n">
        <v>1</v>
      </c>
      <c r="M546" s="5" t="n">
        <v>7.447</v>
      </c>
      <c r="N546" s="5" t="n">
        <v>3.375</v>
      </c>
      <c r="O546" s="5" t="n">
        <v>0.339</v>
      </c>
      <c r="P546" s="5" t="n">
        <v>7.787</v>
      </c>
      <c r="Q546" s="5" t="n">
        <v>0</v>
      </c>
      <c r="R546" s="5" t="n">
        <v>1</v>
      </c>
      <c r="S546" s="5" t="n">
        <v>11.613</v>
      </c>
      <c r="T546" s="5" t="n">
        <v>6.86</v>
      </c>
      <c r="U546" s="5" t="n">
        <v>0</v>
      </c>
      <c r="V546" s="5" t="n">
        <v>11.613</v>
      </c>
      <c r="W546" s="5" t="n">
        <v>0</v>
      </c>
      <c r="X546" s="5" t="n">
        <v>1</v>
      </c>
      <c r="Y546" s="5" t="n">
        <v>4.568</v>
      </c>
      <c r="Z546" s="5" t="n">
        <v>0.725</v>
      </c>
      <c r="AA546" s="5" t="n">
        <v>0.311</v>
      </c>
      <c r="AB546" s="5" t="n">
        <v>4.879</v>
      </c>
      <c r="AC546" s="5" t="n">
        <v>0</v>
      </c>
      <c r="AD546" s="5" t="n">
        <v>1</v>
      </c>
      <c r="AE546" s="5" t="n">
        <v>5.642</v>
      </c>
      <c r="AF546" s="5" t="n">
        <v>1.509</v>
      </c>
      <c r="AG546" s="5" t="n">
        <v>0.311</v>
      </c>
      <c r="AH546" s="5" t="n">
        <v>5.952</v>
      </c>
      <c r="AI546" s="5" t="n">
        <v>0</v>
      </c>
      <c r="AJ546" s="5" t="n">
        <v>1</v>
      </c>
      <c r="AK546" s="5" t="n">
        <v>12.08</v>
      </c>
      <c r="AL546" s="5" t="n">
        <v>6.925</v>
      </c>
      <c r="AM546" s="5" t="n">
        <v>0</v>
      </c>
      <c r="AN546" s="5" t="n">
        <v>12.08</v>
      </c>
      <c r="AO546" s="5" t="n">
        <v>0</v>
      </c>
      <c r="AP546" s="5" t="n">
        <v>1</v>
      </c>
      <c r="AQ546" s="5" t="n">
        <v>0.621</v>
      </c>
      <c r="AR546" s="5" t="n">
        <v>0.114</v>
      </c>
      <c r="AS546" s="5" t="n">
        <v>0.504</v>
      </c>
      <c r="AT546" s="5" t="n">
        <v>1.237</v>
      </c>
      <c r="AU546" s="5" t="n">
        <v>0.1</v>
      </c>
      <c r="AV546" s="5" t="n">
        <v>1</v>
      </c>
      <c r="AW546" s="5" t="n">
        <v>0.593</v>
      </c>
      <c r="AX546" s="5" t="n">
        <v>0.114</v>
      </c>
      <c r="AY546" s="5" t="n">
        <v>0.351</v>
      </c>
      <c r="AZ546" s="5" t="n">
        <v>1.038</v>
      </c>
      <c r="BA546" s="5" t="n">
        <v>0.1</v>
      </c>
      <c r="BB546" s="5" t="n">
        <v>1</v>
      </c>
      <c r="BC546" s="5" t="n">
        <v>0.44</v>
      </c>
      <c r="BD546" s="5" t="n">
        <v>0.114</v>
      </c>
      <c r="BE546" s="5" t="n">
        <v>-0.251</v>
      </c>
      <c r="BF546" s="5" t="n">
        <v>0.189</v>
      </c>
      <c r="BG546" s="5" t="n">
        <v>0</v>
      </c>
      <c r="BH546" s="5" t="n">
        <v>0</v>
      </c>
      <c r="BI546" s="5" t="n">
        <v>0.5600000000000001</v>
      </c>
      <c r="BJ546" s="5" t="n">
        <v>0.114</v>
      </c>
      <c r="BK546" s="5" t="n">
        <v>0.035</v>
      </c>
      <c r="BL546" s="5" t="n">
        <v>0.595</v>
      </c>
      <c r="BM546" s="5" t="n">
        <v>0</v>
      </c>
      <c r="BN546" s="5" t="n">
        <v>1</v>
      </c>
      <c r="BO546" s="5" t="n">
        <v>0</v>
      </c>
      <c r="BP546" s="5" t="n">
        <v>0</v>
      </c>
      <c r="BQ546" s="5" t="n">
        <v>0.108</v>
      </c>
      <c r="BR546" s="5" t="n">
        <v>0</v>
      </c>
      <c r="BS546" s="5" t="n">
        <v>0.833</v>
      </c>
      <c r="BT546" s="5" t="n">
        <v>0</v>
      </c>
      <c r="BU546" s="5" t="n">
        <v>0</v>
      </c>
      <c r="BV546" s="5" t="n">
        <v>0.1</v>
      </c>
      <c r="BW546" s="5" t="n">
        <v>0</v>
      </c>
      <c r="BX546" s="5" t="n">
        <v>0.833</v>
      </c>
      <c r="BY546" s="5" t="n">
        <v>11.787</v>
      </c>
      <c r="BZ546" s="5" t="n">
        <v>0</v>
      </c>
      <c r="CA546" s="5" t="n">
        <v>11.787</v>
      </c>
      <c r="CB546" s="5" t="n">
        <v>0</v>
      </c>
      <c r="CC546" s="5" t="n">
        <v>81.69499999999999</v>
      </c>
      <c r="CD546" s="5" t="n">
        <v>7.95</v>
      </c>
      <c r="CE546" s="5" t="n">
        <v>-3.099</v>
      </c>
      <c r="CF546" s="5" t="n">
        <v>78.596</v>
      </c>
      <c r="CG546" s="5" t="n">
        <v>0</v>
      </c>
      <c r="CH546" s="5" t="n">
        <v>1</v>
      </c>
      <c r="CI546" s="5" t="n">
        <v>0</v>
      </c>
      <c r="CJ546" s="5" t="n">
        <v>0</v>
      </c>
      <c r="CK546" s="5" t="n">
        <v>0</v>
      </c>
      <c r="CL546" s="5" t="n">
        <v>0</v>
      </c>
      <c r="CM546" s="5" t="n">
        <v>0</v>
      </c>
      <c r="CN546" s="5" t="n">
        <v>0</v>
      </c>
      <c r="CO546" s="5" t="n">
        <v>0</v>
      </c>
      <c r="CP546" s="5" t="n">
        <v>0</v>
      </c>
      <c r="CQ546" s="5" t="n">
        <v>1.198</v>
      </c>
      <c r="CR546" s="5" t="n">
        <v>0.123</v>
      </c>
      <c r="CS546" s="5" t="n">
        <v>5.407</v>
      </c>
      <c r="CT546" s="5" t="n">
        <v>4.753</v>
      </c>
      <c r="CU546" s="5" t="n">
        <v>14.162</v>
      </c>
    </row>
    <row r="547">
      <c r="A547" s="5" t="inlineStr">
        <is>
          <t>MAR2022</t>
        </is>
      </c>
      <c r="B547" s="5" t="inlineStr">
        <is>
          <t>MAR</t>
        </is>
      </c>
      <c r="C547" s="5" t="inlineStr">
        <is>
          <t>MAR</t>
        </is>
      </c>
      <c r="D547" s="5" t="inlineStr">
        <is>
          <t>Morocco</t>
        </is>
      </c>
      <c r="E547" s="5" t="n">
        <v>2022</v>
      </c>
      <c r="F547" s="5" t="n">
        <v>0.2</v>
      </c>
      <c r="G547" s="5" t="n">
        <v>13.009</v>
      </c>
      <c r="H547" s="5" t="n">
        <v>2.02</v>
      </c>
      <c r="I547" s="5" t="n">
        <v>0.262</v>
      </c>
      <c r="J547" s="5" t="n">
        <v>13.271</v>
      </c>
      <c r="K547" s="5" t="n">
        <v>0</v>
      </c>
      <c r="L547" s="5" t="n">
        <v>1</v>
      </c>
      <c r="M547" s="5" t="n">
        <v>9.262</v>
      </c>
      <c r="N547" s="5" t="n">
        <v>3.825</v>
      </c>
      <c r="O547" s="5" t="n">
        <v>0.365</v>
      </c>
      <c r="P547" s="5" t="n">
        <v>9.627000000000001</v>
      </c>
      <c r="Q547" s="5" t="n">
        <v>0</v>
      </c>
      <c r="R547" s="5" t="n">
        <v>1</v>
      </c>
      <c r="S547" s="5" t="n">
        <v>17.886</v>
      </c>
      <c r="T547" s="5" t="n">
        <v>7.406</v>
      </c>
      <c r="U547" s="5" t="n">
        <v>0</v>
      </c>
      <c r="V547" s="5" t="n">
        <v>17.886</v>
      </c>
      <c r="W547" s="5" t="n">
        <v>0</v>
      </c>
      <c r="X547" s="5" t="n">
        <v>1</v>
      </c>
      <c r="Y547" s="5" t="n">
        <v>6.885</v>
      </c>
      <c r="Z547" s="5" t="n">
        <v>1.092</v>
      </c>
      <c r="AA547" s="5" t="n">
        <v>0.526</v>
      </c>
      <c r="AB547" s="5" t="n">
        <v>7.411</v>
      </c>
      <c r="AC547" s="5" t="n">
        <v>0</v>
      </c>
      <c r="AD547" s="5" t="n">
        <v>1</v>
      </c>
      <c r="AE547" s="5" t="n">
        <v>7.931</v>
      </c>
      <c r="AF547" s="5" t="n">
        <v>2.122</v>
      </c>
      <c r="AG547" s="5" t="n">
        <v>0.526</v>
      </c>
      <c r="AH547" s="5" t="n">
        <v>8.457000000000001</v>
      </c>
      <c r="AI547" s="5" t="n">
        <v>0</v>
      </c>
      <c r="AJ547" s="5" t="n">
        <v>1</v>
      </c>
      <c r="AK547" s="5" t="n">
        <v>14.207</v>
      </c>
      <c r="AL547" s="5" t="n">
        <v>8.144</v>
      </c>
      <c r="AM547" s="5" t="n">
        <v>0</v>
      </c>
      <c r="AN547" s="5" t="n">
        <v>14.207</v>
      </c>
      <c r="AO547" s="5" t="n">
        <v>0</v>
      </c>
      <c r="AP547" s="5" t="n">
        <v>1</v>
      </c>
      <c r="AQ547" s="5" t="n">
        <v>0.847</v>
      </c>
      <c r="AR547" s="5" t="n">
        <v>0.123</v>
      </c>
      <c r="AS547" s="5" t="n">
        <v>0.46</v>
      </c>
      <c r="AT547" s="5" t="n">
        <v>1.437</v>
      </c>
      <c r="AU547" s="5" t="n">
        <v>0.1</v>
      </c>
      <c r="AV547" s="5" t="n">
        <v>1</v>
      </c>
      <c r="AW547" s="5" t="n">
        <v>0.947</v>
      </c>
      <c r="AX547" s="5" t="n">
        <v>0.123</v>
      </c>
      <c r="AY547" s="5" t="n">
        <v>0.201</v>
      </c>
      <c r="AZ547" s="5" t="n">
        <v>1.262</v>
      </c>
      <c r="BA547" s="5" t="n">
        <v>0.1</v>
      </c>
      <c r="BB547" s="5" t="n">
        <v>1</v>
      </c>
      <c r="BC547" s="5" t="n">
        <v>0.589</v>
      </c>
      <c r="BD547" s="5" t="n">
        <v>0.123</v>
      </c>
      <c r="BE547" s="5" t="n">
        <v>-0.421</v>
      </c>
      <c r="BF547" s="5" t="n">
        <v>0.167</v>
      </c>
      <c r="BG547" s="5" t="n">
        <v>0</v>
      </c>
      <c r="BH547" s="5" t="n">
        <v>0</v>
      </c>
      <c r="BI547" s="5" t="n">
        <v>0.6889999999999999</v>
      </c>
      <c r="BJ547" s="5" t="n">
        <v>0.123</v>
      </c>
      <c r="BK547" s="5" t="n">
        <v>0.044</v>
      </c>
      <c r="BL547" s="5" t="n">
        <v>0.733</v>
      </c>
      <c r="BM547" s="5" t="n">
        <v>0</v>
      </c>
      <c r="BN547" s="5" t="n">
        <v>1</v>
      </c>
      <c r="BO547" s="5" t="n">
        <v>0</v>
      </c>
      <c r="BP547" s="5" t="n">
        <v>0</v>
      </c>
      <c r="BQ547" s="5" t="n">
        <v>0.1</v>
      </c>
      <c r="BR547" s="5" t="n">
        <v>0</v>
      </c>
      <c r="BS547" s="5" t="n">
        <v>0.833</v>
      </c>
      <c r="BT547" s="5" t="n">
        <v>0</v>
      </c>
      <c r="BU547" s="5" t="n">
        <v>0</v>
      </c>
      <c r="BV547" s="5" t="n">
        <v>0.089</v>
      </c>
      <c r="BW547" s="5" t="n">
        <v>0</v>
      </c>
      <c r="BX547" s="5" t="n">
        <v>0.833</v>
      </c>
      <c r="BY547" s="5" t="n">
        <v>12.729</v>
      </c>
      <c r="BZ547" s="5" t="n">
        <v>0</v>
      </c>
      <c r="CA547" s="5" t="n">
        <v>12.729</v>
      </c>
      <c r="CB547" s="5" t="n">
        <v>0</v>
      </c>
      <c r="CC547" s="5" t="n">
        <v>102.477</v>
      </c>
      <c r="CD547" s="5" t="n">
        <v>7.95</v>
      </c>
      <c r="CE547" s="5" t="n">
        <v>-3.347</v>
      </c>
      <c r="CF547" s="5" t="n">
        <v>99.129</v>
      </c>
      <c r="CG547" s="5" t="n">
        <v>0</v>
      </c>
      <c r="CH547" s="5" t="n">
        <v>1</v>
      </c>
      <c r="CI547" s="5" t="n">
        <v>0</v>
      </c>
      <c r="CJ547" s="5" t="n">
        <v>0</v>
      </c>
      <c r="CK547" s="5" t="n">
        <v>0</v>
      </c>
      <c r="CL547" s="5" t="n">
        <v>0</v>
      </c>
      <c r="CM547" s="5" t="n">
        <v>0</v>
      </c>
      <c r="CN547" s="5" t="n">
        <v>0</v>
      </c>
      <c r="CO547" s="5" t="n">
        <v>0</v>
      </c>
      <c r="CP547" s="5" t="n">
        <v>0</v>
      </c>
      <c r="CQ547" s="5" t="n">
        <v>1.294</v>
      </c>
      <c r="CR547" s="5" t="n">
        <v>0.306</v>
      </c>
      <c r="CS547" s="5" t="n">
        <v>5.839</v>
      </c>
      <c r="CT547" s="5" t="n">
        <v>10.485</v>
      </c>
      <c r="CU547" s="5" t="n">
        <v>30.326</v>
      </c>
    </row>
    <row r="548">
      <c r="A548" s="5" t="inlineStr">
        <is>
          <t>MAR2023</t>
        </is>
      </c>
      <c r="B548" s="5" t="inlineStr">
        <is>
          <t>MAR</t>
        </is>
      </c>
      <c r="C548" s="5" t="inlineStr">
        <is>
          <t>MAR</t>
        </is>
      </c>
      <c r="D548" s="5" t="inlineStr">
        <is>
          <t>Morocco</t>
        </is>
      </c>
      <c r="E548" s="5" t="n">
        <v>2023</v>
      </c>
      <c r="F548" s="5" t="n">
        <v>0.2</v>
      </c>
      <c r="G548" s="5" t="n">
        <v>7.441</v>
      </c>
      <c r="H548" s="5" t="n">
        <v>1.695</v>
      </c>
      <c r="I548" s="5" t="n">
        <v>0.122</v>
      </c>
      <c r="J548" s="5" t="n">
        <v>7.562</v>
      </c>
      <c r="K548" s="5" t="n">
        <v>0</v>
      </c>
      <c r="L548" s="5" t="n">
        <v>1</v>
      </c>
      <c r="M548" s="5" t="n">
        <v>7.369</v>
      </c>
      <c r="N548" s="5" t="n">
        <v>3.655</v>
      </c>
      <c r="O548" s="5" t="n">
        <v>0.301</v>
      </c>
      <c r="P548" s="5" t="n">
        <v>7.67</v>
      </c>
      <c r="Q548" s="5" t="n">
        <v>0</v>
      </c>
      <c r="R548" s="5" t="n">
        <v>1</v>
      </c>
      <c r="S548" s="5" t="n">
        <v>12.575</v>
      </c>
      <c r="T548" s="5" t="n">
        <v>7.714</v>
      </c>
      <c r="U548" s="5" t="n">
        <v>0</v>
      </c>
      <c r="V548" s="5" t="n">
        <v>12.575</v>
      </c>
      <c r="W548" s="5" t="n">
        <v>0</v>
      </c>
      <c r="X548" s="5" t="n">
        <v>1</v>
      </c>
      <c r="Y548" s="5" t="n">
        <v>3.884</v>
      </c>
      <c r="Z548" s="5" t="n">
        <v>0.616</v>
      </c>
      <c r="AA548" s="5" t="n">
        <v>0.252</v>
      </c>
      <c r="AB548" s="5" t="n">
        <v>4.136</v>
      </c>
      <c r="AC548" s="5" t="n">
        <v>0</v>
      </c>
      <c r="AD548" s="5" t="n">
        <v>1</v>
      </c>
      <c r="AE548" s="5" t="n">
        <v>5.137</v>
      </c>
      <c r="AF548" s="5" t="n">
        <v>1.374</v>
      </c>
      <c r="AG548" s="5" t="n">
        <v>0.252</v>
      </c>
      <c r="AH548" s="5" t="n">
        <v>5.389</v>
      </c>
      <c r="AI548" s="5" t="n">
        <v>0</v>
      </c>
      <c r="AJ548" s="5" t="n">
        <v>1</v>
      </c>
      <c r="AK548" s="5" t="n">
        <v>12.653</v>
      </c>
      <c r="AL548" s="5" t="n">
        <v>7.254</v>
      </c>
      <c r="AM548" s="5" t="n">
        <v>0</v>
      </c>
      <c r="AN548" s="5" t="n">
        <v>12.653</v>
      </c>
      <c r="AO548" s="5" t="n">
        <v>0</v>
      </c>
      <c r="AP548" s="5" t="n">
        <v>1</v>
      </c>
      <c r="AQ548" s="5" t="n">
        <v>0.749</v>
      </c>
      <c r="AR548" s="5" t="n">
        <v>0.129</v>
      </c>
      <c r="AS548" s="5" t="n">
        <v>0.574</v>
      </c>
      <c r="AT548" s="5" t="n">
        <v>1.455</v>
      </c>
      <c r="AU548" s="5" t="n">
        <v>0.1</v>
      </c>
      <c r="AV548" s="5" t="n">
        <v>1</v>
      </c>
      <c r="AW548" s="5" t="n">
        <v>0.783</v>
      </c>
      <c r="AX548" s="5" t="n">
        <v>0.129</v>
      </c>
      <c r="AY548" s="5" t="n">
        <v>0.397</v>
      </c>
      <c r="AZ548" s="5" t="n">
        <v>1.297</v>
      </c>
      <c r="BA548" s="5" t="n">
        <v>0.1</v>
      </c>
      <c r="BB548" s="5" t="n">
        <v>1</v>
      </c>
      <c r="BC548" s="5" t="n">
        <v>0.527</v>
      </c>
      <c r="BD548" s="5" t="n">
        <v>0.129</v>
      </c>
      <c r="BE548" s="5" t="n">
        <v>-0.36</v>
      </c>
      <c r="BF548" s="5" t="n">
        <v>0.168</v>
      </c>
      <c r="BG548" s="5" t="n">
        <v>0</v>
      </c>
      <c r="BH548" s="5" t="n">
        <v>0</v>
      </c>
      <c r="BI548" s="5" t="n">
        <v>0.64</v>
      </c>
      <c r="BJ548" s="5" t="n">
        <v>0.129</v>
      </c>
      <c r="BK548" s="5" t="n">
        <v>0.04</v>
      </c>
      <c r="BL548" s="5" t="n">
        <v>0.68</v>
      </c>
      <c r="BM548" s="5" t="n">
        <v>0</v>
      </c>
      <c r="BN548" s="5" t="n">
        <v>1</v>
      </c>
      <c r="BO548" s="5" t="n">
        <v>0</v>
      </c>
      <c r="BP548" s="5" t="n">
        <v>0</v>
      </c>
      <c r="BQ548" s="5" t="n">
        <v>0.1</v>
      </c>
      <c r="BR548" s="5" t="n">
        <v>0</v>
      </c>
      <c r="BS548" s="5" t="n">
        <v>0.833</v>
      </c>
      <c r="BT548" s="5" t="n">
        <v>0</v>
      </c>
      <c r="BU548" s="5" t="n">
        <v>0</v>
      </c>
      <c r="BV548" s="5" t="n">
        <v>0.089</v>
      </c>
      <c r="BW548" s="5" t="n">
        <v>0.14</v>
      </c>
      <c r="BX548" s="5" t="n">
        <v>0.833</v>
      </c>
      <c r="BY548" s="5" t="n">
        <v>13.254</v>
      </c>
      <c r="BZ548" s="5" t="n">
        <v>0</v>
      </c>
      <c r="CA548" s="5" t="n">
        <v>13.254</v>
      </c>
      <c r="CB548" s="5" t="n">
        <v>0</v>
      </c>
      <c r="CC548" s="5" t="n">
        <v>87.07899999999999</v>
      </c>
      <c r="CD548" s="5" t="n">
        <v>7.95</v>
      </c>
      <c r="CE548" s="5" t="n">
        <v>-3.485</v>
      </c>
      <c r="CF548" s="5" t="n">
        <v>83.59399999999999</v>
      </c>
      <c r="CG548" s="5" t="n">
        <v>0</v>
      </c>
      <c r="CH548" s="5" t="n">
        <v>1</v>
      </c>
      <c r="CI548" s="5" t="n">
        <v>0</v>
      </c>
      <c r="CJ548" s="5" t="n">
        <v>0</v>
      </c>
      <c r="CK548" s="5" t="n">
        <v>0</v>
      </c>
      <c r="CL548" s="5" t="n">
        <v>0</v>
      </c>
      <c r="CM548" s="5" t="n">
        <v>0</v>
      </c>
      <c r="CN548" s="5" t="n">
        <v>0</v>
      </c>
      <c r="CO548" s="5" t="n">
        <v>0</v>
      </c>
      <c r="CP548" s="5" t="n">
        <v>0</v>
      </c>
      <c r="CQ548" s="5" t="n">
        <v>1.348</v>
      </c>
      <c r="CR548" s="5" t="n">
        <v>0.051</v>
      </c>
      <c r="CS548" s="5" t="n">
        <v>6.08</v>
      </c>
      <c r="CT548" s="5" t="n">
        <v>4.861</v>
      </c>
      <c r="CU548" s="5" t="n">
        <v>10.622</v>
      </c>
    </row>
    <row r="549">
      <c r="A549" s="5" t="inlineStr">
        <is>
          <t>MAR2024</t>
        </is>
      </c>
      <c r="B549" s="5" t="inlineStr">
        <is>
          <t>MAR</t>
        </is>
      </c>
      <c r="C549" s="5" t="inlineStr">
        <is>
          <t>MAR</t>
        </is>
      </c>
      <c r="D549" s="5" t="inlineStr">
        <is>
          <t>Morocco</t>
        </is>
      </c>
      <c r="E549" s="5" t="n">
        <v>2024</v>
      </c>
      <c r="F549" s="5" t="n">
        <v>0.2</v>
      </c>
      <c r="G549" s="5" t="n">
        <v>6.869</v>
      </c>
      <c r="H549" s="5" t="n">
        <v>1.74</v>
      </c>
      <c r="I549" s="5" t="n">
        <v>0.106</v>
      </c>
      <c r="J549" s="5" t="n">
        <v>6.975</v>
      </c>
      <c r="K549" s="5" t="n">
        <v>0</v>
      </c>
      <c r="L549" s="5" t="n">
        <v>1</v>
      </c>
      <c r="M549" s="5" t="n">
        <v>6.606</v>
      </c>
      <c r="N549" s="5" t="n">
        <v>3.599</v>
      </c>
      <c r="O549" s="5" t="n">
        <v>0.285</v>
      </c>
      <c r="P549" s="5" t="n">
        <v>6.892</v>
      </c>
      <c r="Q549" s="5" t="n">
        <v>0</v>
      </c>
      <c r="R549" s="5" t="n">
        <v>1</v>
      </c>
      <c r="S549" s="5" t="n">
        <v>12.193</v>
      </c>
      <c r="T549" s="5" t="n">
        <v>7.942</v>
      </c>
      <c r="U549" s="5" t="n">
        <v>0</v>
      </c>
      <c r="V549" s="5" t="n">
        <v>12.193</v>
      </c>
      <c r="W549" s="5" t="n">
        <v>0</v>
      </c>
      <c r="X549" s="5" t="n">
        <v>1</v>
      </c>
      <c r="Y549" s="5" t="n">
        <v>3.999</v>
      </c>
      <c r="Z549" s="5" t="n">
        <v>0.634</v>
      </c>
      <c r="AA549" s="5" t="n">
        <v>0.217</v>
      </c>
      <c r="AB549" s="5" t="n">
        <v>4.216</v>
      </c>
      <c r="AC549" s="5" t="n">
        <v>0</v>
      </c>
      <c r="AD549" s="5" t="n">
        <v>1</v>
      </c>
      <c r="AE549" s="5" t="n">
        <v>5.289</v>
      </c>
      <c r="AF549" s="5" t="n">
        <v>1.415</v>
      </c>
      <c r="AG549" s="5" t="n">
        <v>0.217</v>
      </c>
      <c r="AH549" s="5" t="n">
        <v>5.506</v>
      </c>
      <c r="AI549" s="5" t="n">
        <v>0</v>
      </c>
      <c r="AJ549" s="5" t="n">
        <v>1</v>
      </c>
      <c r="AK549" s="5" t="n">
        <v>13.026</v>
      </c>
      <c r="AL549" s="5" t="n">
        <v>7.468</v>
      </c>
      <c r="AM549" s="5" t="n">
        <v>0</v>
      </c>
      <c r="AN549" s="5" t="n">
        <v>13.026</v>
      </c>
      <c r="AO549" s="5" t="n">
        <v>0</v>
      </c>
      <c r="AP549" s="5" t="n">
        <v>1</v>
      </c>
      <c r="AQ549" s="5" t="n">
        <v>0.72</v>
      </c>
      <c r="AR549" s="5" t="n">
        <v>0.132</v>
      </c>
      <c r="AS549" s="5" t="n">
        <v>0.614</v>
      </c>
      <c r="AT549" s="5" t="n">
        <v>1.447</v>
      </c>
      <c r="AU549" s="5" t="n">
        <v>0.1</v>
      </c>
      <c r="AV549" s="5" t="n">
        <v>1</v>
      </c>
      <c r="AW549" s="5" t="n">
        <v>0.734</v>
      </c>
      <c r="AX549" s="5" t="n">
        <v>0.132</v>
      </c>
      <c r="AY549" s="5" t="n">
        <v>0.462</v>
      </c>
      <c r="AZ549" s="5" t="n">
        <v>1.298</v>
      </c>
      <c r="BA549" s="5" t="n">
        <v>0.1</v>
      </c>
      <c r="BB549" s="5" t="n">
        <v>1</v>
      </c>
      <c r="BC549" s="5" t="n">
        <v>0.51</v>
      </c>
      <c r="BD549" s="5" t="n">
        <v>0.132</v>
      </c>
      <c r="BE549" s="5" t="n">
        <v>-0.344</v>
      </c>
      <c r="BF549" s="5" t="n">
        <v>0.166</v>
      </c>
      <c r="BG549" s="5" t="n">
        <v>0</v>
      </c>
      <c r="BH549" s="5" t="n">
        <v>0</v>
      </c>
      <c r="BI549" s="5" t="n">
        <v>0.652</v>
      </c>
      <c r="BJ549" s="5" t="n">
        <v>0.132</v>
      </c>
      <c r="BK549" s="5" t="n">
        <v>0.041</v>
      </c>
      <c r="BL549" s="5" t="n">
        <v>0.6929999999999999</v>
      </c>
      <c r="BM549" s="5" t="n">
        <v>0</v>
      </c>
      <c r="BN549" s="5" t="n">
        <v>1</v>
      </c>
      <c r="BO549" s="5" t="n">
        <v>0</v>
      </c>
      <c r="BP549" s="5" t="n">
        <v>0</v>
      </c>
      <c r="BQ549" s="5" t="n">
        <v>0.099</v>
      </c>
      <c r="BR549" s="5" t="n">
        <v>0</v>
      </c>
      <c r="BS549" s="5" t="n">
        <v>0.833</v>
      </c>
      <c r="BT549" s="5" t="n">
        <v>0</v>
      </c>
      <c r="BU549" s="5" t="n">
        <v>0</v>
      </c>
      <c r="BV549" s="5" t="n">
        <v>0.09</v>
      </c>
      <c r="BW549" s="5" t="n">
        <v>0.16</v>
      </c>
      <c r="BX549" s="5" t="n">
        <v>0.833</v>
      </c>
      <c r="BY549" s="5" t="n">
        <v>13.646</v>
      </c>
      <c r="BZ549" s="5" t="n">
        <v>0</v>
      </c>
      <c r="CA549" s="5" t="n">
        <v>13.646</v>
      </c>
      <c r="CB549" s="5" t="n">
        <v>0</v>
      </c>
      <c r="CC549" s="5" t="n">
        <v>86.38500000000001</v>
      </c>
      <c r="CD549" s="5" t="n">
        <v>7.95</v>
      </c>
      <c r="CE549" s="5" t="n">
        <v>-3.588</v>
      </c>
      <c r="CF549" s="5" t="n">
        <v>82.797</v>
      </c>
      <c r="CG549" s="5" t="n">
        <v>0</v>
      </c>
      <c r="CH549" s="5" t="n">
        <v>1</v>
      </c>
      <c r="CI549" s="5" t="n">
        <v>0</v>
      </c>
      <c r="CJ549" s="5" t="n">
        <v>0</v>
      </c>
      <c r="CK549" s="5" t="n">
        <v>0</v>
      </c>
      <c r="CL549" s="5" t="n">
        <v>0</v>
      </c>
      <c r="CM549" s="5" t="n">
        <v>0</v>
      </c>
      <c r="CN549" s="5" t="n">
        <v>0</v>
      </c>
      <c r="CO549" s="5" t="n">
        <v>0</v>
      </c>
      <c r="CP549" s="5" t="n">
        <v>0</v>
      </c>
      <c r="CQ549" s="5" t="n">
        <v>1.387</v>
      </c>
      <c r="CR549" s="5" t="n">
        <v>0.051</v>
      </c>
      <c r="CS549" s="5" t="n">
        <v>6.26</v>
      </c>
      <c r="CT549" s="5" t="n">
        <v>4.251</v>
      </c>
      <c r="CU549" s="5" t="n">
        <v>9.167999999999999</v>
      </c>
    </row>
    <row r="550">
      <c r="A550" s="5" t="inlineStr">
        <is>
          <t>MOZ2021</t>
        </is>
      </c>
      <c r="B550" s="5" t="inlineStr">
        <is>
          <t>MOZ</t>
        </is>
      </c>
      <c r="C550" s="5" t="inlineStr">
        <is>
          <t>MOZ</t>
        </is>
      </c>
      <c r="D550" s="5" t="inlineStr">
        <is>
          <t>Mozambique</t>
        </is>
      </c>
      <c r="E550" s="5" t="n">
        <v>2021</v>
      </c>
      <c r="F550" s="5" t="n">
        <v>0.17</v>
      </c>
      <c r="G550" s="5" t="n">
        <v>1.77</v>
      </c>
      <c r="H550" s="5" t="n">
        <v>0.572</v>
      </c>
      <c r="I550" s="5" t="n">
        <v>0</v>
      </c>
      <c r="J550" s="5" t="n">
        <v>1.77</v>
      </c>
      <c r="K550" s="5" t="n">
        <v>0</v>
      </c>
      <c r="L550" s="5" t="n">
        <v>1</v>
      </c>
      <c r="M550" s="5" t="n">
        <v>2.913</v>
      </c>
      <c r="N550" s="5" t="n">
        <v>1.715</v>
      </c>
      <c r="O550" s="5" t="n">
        <v>0</v>
      </c>
      <c r="P550" s="5" t="n">
        <v>2.913</v>
      </c>
      <c r="Q550" s="5" t="n">
        <v>0</v>
      </c>
      <c r="R550" s="5" t="n">
        <v>1</v>
      </c>
      <c r="S550" s="5" t="n">
        <v>4.628</v>
      </c>
      <c r="T550" s="5" t="n">
        <v>3.43</v>
      </c>
      <c r="U550" s="5" t="n">
        <v>0</v>
      </c>
      <c r="V550" s="5" t="n">
        <v>5.415</v>
      </c>
      <c r="W550" s="5" t="n">
        <v>0.17</v>
      </c>
      <c r="X550" s="5" t="n">
        <v>1</v>
      </c>
      <c r="Y550" s="5" t="n">
        <v>3.661</v>
      </c>
      <c r="Z550" s="5" t="n">
        <v>0.402</v>
      </c>
      <c r="AA550" s="5" t="n">
        <v>0</v>
      </c>
      <c r="AB550" s="5" t="n">
        <v>3.661</v>
      </c>
      <c r="AC550" s="5" t="n">
        <v>0</v>
      </c>
      <c r="AD550" s="5" t="n">
        <v>1</v>
      </c>
      <c r="AE550" s="5" t="n">
        <v>4.233</v>
      </c>
      <c r="AF550" s="5" t="n">
        <v>0.823</v>
      </c>
      <c r="AG550" s="5" t="n">
        <v>0</v>
      </c>
      <c r="AH550" s="5" t="n">
        <v>4.233</v>
      </c>
      <c r="AI550" s="5" t="n">
        <v>0</v>
      </c>
      <c r="AJ550" s="5" t="n">
        <v>1</v>
      </c>
      <c r="AK550" s="5" t="n">
        <v>7.663</v>
      </c>
      <c r="AL550" s="5" t="n">
        <v>3.615</v>
      </c>
      <c r="AM550" s="5" t="n">
        <v>0</v>
      </c>
      <c r="AN550" s="5" t="n">
        <v>8.965999999999999</v>
      </c>
      <c r="AO550" s="5" t="n">
        <v>0.17</v>
      </c>
      <c r="AP550" s="5" t="n">
        <v>1</v>
      </c>
      <c r="AQ550" s="5" t="n">
        <v>0.619</v>
      </c>
      <c r="AR550" s="5" t="n">
        <v>0.114</v>
      </c>
      <c r="AS550" s="5" t="n">
        <v>0.282</v>
      </c>
      <c r="AT550" s="5" t="n">
        <v>1.055</v>
      </c>
      <c r="AU550" s="5" t="n">
        <v>0.17</v>
      </c>
      <c r="AV550" s="5" t="n">
        <v>1</v>
      </c>
      <c r="AW550" s="5" t="n">
        <v>0.599</v>
      </c>
      <c r="AX550" s="5" t="n">
        <v>0.114</v>
      </c>
      <c r="AY550" s="5" t="n">
        <v>0.206</v>
      </c>
      <c r="AZ550" s="5" t="n">
        <v>0.9429999999999999</v>
      </c>
      <c r="BA550" s="5" t="n">
        <v>0.17</v>
      </c>
      <c r="BB550" s="5" t="n">
        <v>1</v>
      </c>
      <c r="BC550" s="5" t="n">
        <v>0.439</v>
      </c>
      <c r="BD550" s="5" t="n">
        <v>0.114</v>
      </c>
      <c r="BE550" s="5" t="n">
        <v>0.115</v>
      </c>
      <c r="BF550" s="5" t="n">
        <v>0.553</v>
      </c>
      <c r="BG550" s="5" t="n">
        <v>0</v>
      </c>
      <c r="BH550" s="5" t="n">
        <v>1</v>
      </c>
      <c r="BI550" s="5" t="n">
        <v>0.505</v>
      </c>
      <c r="BJ550" s="5" t="n">
        <v>0.114</v>
      </c>
      <c r="BK550" s="5" t="n">
        <v>0.228</v>
      </c>
      <c r="BL550" s="5" t="n">
        <v>0.732</v>
      </c>
      <c r="BM550" s="5" t="n">
        <v>0</v>
      </c>
      <c r="BN550" s="5" t="n">
        <v>1</v>
      </c>
      <c r="BO550" s="5" t="n">
        <v>0</v>
      </c>
      <c r="BP550" s="5" t="n">
        <v>0</v>
      </c>
      <c r="BQ550" s="5" t="n">
        <v>0.08799999999999999</v>
      </c>
      <c r="BR550" s="5" t="n">
        <v>0</v>
      </c>
      <c r="BS550" s="5" t="n">
        <v>0.667</v>
      </c>
      <c r="BT550" s="5" t="n">
        <v>0</v>
      </c>
      <c r="BU550" s="5" t="n">
        <v>0</v>
      </c>
      <c r="BV550" s="5" t="n">
        <v>0.119</v>
      </c>
      <c r="BW550" s="5" t="n">
        <v>0.17</v>
      </c>
      <c r="BX550" s="5" t="n">
        <v>1</v>
      </c>
      <c r="BY550" s="5" t="n">
        <v>11.787</v>
      </c>
      <c r="BZ550" s="5" t="n">
        <v>0</v>
      </c>
      <c r="CA550" s="5" t="n">
        <v>11.787</v>
      </c>
      <c r="CB550" s="5" t="n">
        <v>0</v>
      </c>
      <c r="CC550" s="5" t="n">
        <v>78.125</v>
      </c>
      <c r="CD550" s="5" t="n">
        <v>7.95</v>
      </c>
      <c r="CE550" s="5" t="n">
        <v>13.469</v>
      </c>
      <c r="CF550" s="5" t="n">
        <v>107.165</v>
      </c>
      <c r="CG550" s="5" t="n">
        <v>0.17</v>
      </c>
      <c r="CH550" s="5" t="n">
        <v>1</v>
      </c>
      <c r="CI550" s="5" t="n">
        <v>0</v>
      </c>
      <c r="CJ550" s="5" t="n">
        <v>0</v>
      </c>
      <c r="CK550" s="5" t="n">
        <v>0</v>
      </c>
      <c r="CL550" s="5" t="n">
        <v>0</v>
      </c>
      <c r="CM550" s="5" t="n">
        <v>0</v>
      </c>
      <c r="CN550" s="5" t="n">
        <v>0</v>
      </c>
      <c r="CO550" s="5" t="n">
        <v>0</v>
      </c>
      <c r="CP550" s="5" t="n">
        <v>1</v>
      </c>
      <c r="CQ550" s="5" t="n">
        <v>1.198</v>
      </c>
      <c r="CR550" s="5" t="n">
        <v>1</v>
      </c>
      <c r="CS550" s="5" t="n">
        <v>3.09</v>
      </c>
      <c r="CT550" s="5" t="n">
        <v>4.753</v>
      </c>
      <c r="CU550" s="5" t="n">
        <v>14.129</v>
      </c>
    </row>
    <row r="551">
      <c r="A551" s="5" t="inlineStr">
        <is>
          <t>MOZ2022</t>
        </is>
      </c>
      <c r="B551" s="5" t="inlineStr">
        <is>
          <t>MOZ</t>
        </is>
      </c>
      <c r="C551" s="5" t="inlineStr">
        <is>
          <t>MOZ</t>
        </is>
      </c>
      <c r="D551" s="5" t="inlineStr">
        <is>
          <t>Mozambique</t>
        </is>
      </c>
      <c r="E551" s="5" t="n">
        <v>2022</v>
      </c>
      <c r="F551" s="5" t="n">
        <v>0.17</v>
      </c>
      <c r="G551" s="5" t="n">
        <v>1.911</v>
      </c>
      <c r="H551" s="5" t="n">
        <v>0.617</v>
      </c>
      <c r="I551" s="5" t="n">
        <v>0</v>
      </c>
      <c r="J551" s="5" t="n">
        <v>1.911</v>
      </c>
      <c r="K551" s="5" t="n">
        <v>0</v>
      </c>
      <c r="L551" s="5" t="n">
        <v>1</v>
      </c>
      <c r="M551" s="5" t="n">
        <v>3.146</v>
      </c>
      <c r="N551" s="5" t="n">
        <v>1.852</v>
      </c>
      <c r="O551" s="5" t="n">
        <v>0</v>
      </c>
      <c r="P551" s="5" t="n">
        <v>3.146</v>
      </c>
      <c r="Q551" s="5" t="n">
        <v>0</v>
      </c>
      <c r="R551" s="5" t="n">
        <v>1</v>
      </c>
      <c r="S551" s="5" t="n">
        <v>4.998</v>
      </c>
      <c r="T551" s="5" t="n">
        <v>3.704</v>
      </c>
      <c r="U551" s="5" t="n">
        <v>0.063</v>
      </c>
      <c r="V551" s="5" t="n">
        <v>5.848</v>
      </c>
      <c r="W551" s="5" t="n">
        <v>0.17</v>
      </c>
      <c r="X551" s="5" t="n">
        <v>1</v>
      </c>
      <c r="Y551" s="5" t="n">
        <v>3.954</v>
      </c>
      <c r="Z551" s="5" t="n">
        <v>0.434</v>
      </c>
      <c r="AA551" s="5" t="n">
        <v>0</v>
      </c>
      <c r="AB551" s="5" t="n">
        <v>3.954</v>
      </c>
      <c r="AC551" s="5" t="n">
        <v>0</v>
      </c>
      <c r="AD551" s="5" t="n">
        <v>1</v>
      </c>
      <c r="AE551" s="5" t="n">
        <v>4.571</v>
      </c>
      <c r="AF551" s="5" t="n">
        <v>0.889</v>
      </c>
      <c r="AG551" s="5" t="n">
        <v>0</v>
      </c>
      <c r="AH551" s="5" t="n">
        <v>4.571</v>
      </c>
      <c r="AI551" s="5" t="n">
        <v>0</v>
      </c>
      <c r="AJ551" s="5" t="n">
        <v>1</v>
      </c>
      <c r="AK551" s="5" t="n">
        <v>8.276</v>
      </c>
      <c r="AL551" s="5" t="n">
        <v>3.904</v>
      </c>
      <c r="AM551" s="5" t="n">
        <v>0.104</v>
      </c>
      <c r="AN551" s="5" t="n">
        <v>9.682</v>
      </c>
      <c r="AO551" s="5" t="n">
        <v>0.17</v>
      </c>
      <c r="AP551" s="5" t="n">
        <v>1</v>
      </c>
      <c r="AQ551" s="5" t="n">
        <v>0.861</v>
      </c>
      <c r="AR551" s="5" t="n">
        <v>0.123</v>
      </c>
      <c r="AS551" s="5" t="n">
        <v>0.303</v>
      </c>
      <c r="AT551" s="5" t="n">
        <v>1.362</v>
      </c>
      <c r="AU551" s="5" t="n">
        <v>0.17</v>
      </c>
      <c r="AV551" s="5" t="n">
        <v>1</v>
      </c>
      <c r="AW551" s="5" t="n">
        <v>0.986</v>
      </c>
      <c r="AX551" s="5" t="n">
        <v>0.123</v>
      </c>
      <c r="AY551" s="5" t="n">
        <v>0.191</v>
      </c>
      <c r="AZ551" s="5" t="n">
        <v>1.378</v>
      </c>
      <c r="BA551" s="5" t="n">
        <v>0.17</v>
      </c>
      <c r="BB551" s="5" t="n">
        <v>1</v>
      </c>
      <c r="BC551" s="5" t="n">
        <v>0.598</v>
      </c>
      <c r="BD551" s="5" t="n">
        <v>0.123</v>
      </c>
      <c r="BE551" s="5" t="n">
        <v>0.162</v>
      </c>
      <c r="BF551" s="5" t="n">
        <v>0.759</v>
      </c>
      <c r="BG551" s="5" t="n">
        <v>0</v>
      </c>
      <c r="BH551" s="5" t="n">
        <v>1</v>
      </c>
      <c r="BI551" s="5" t="n">
        <v>0.612</v>
      </c>
      <c r="BJ551" s="5" t="n">
        <v>0.123</v>
      </c>
      <c r="BK551" s="5" t="n">
        <v>0.571</v>
      </c>
      <c r="BL551" s="5" t="n">
        <v>1.184</v>
      </c>
      <c r="BM551" s="5" t="n">
        <v>0</v>
      </c>
      <c r="BN551" s="5" t="n">
        <v>1</v>
      </c>
      <c r="BO551" s="5" t="n">
        <v>0</v>
      </c>
      <c r="BP551" s="5" t="n">
        <v>0</v>
      </c>
      <c r="BQ551" s="5" t="n">
        <v>0.09</v>
      </c>
      <c r="BR551" s="5" t="n">
        <v>0</v>
      </c>
      <c r="BS551" s="5" t="n">
        <v>0.667</v>
      </c>
      <c r="BT551" s="5" t="n">
        <v>0</v>
      </c>
      <c r="BU551" s="5" t="n">
        <v>0</v>
      </c>
      <c r="BV551" s="5" t="n">
        <v>0.094</v>
      </c>
      <c r="BW551" s="5" t="n">
        <v>0.17</v>
      </c>
      <c r="BX551" s="5" t="n">
        <v>1</v>
      </c>
      <c r="BY551" s="5" t="n">
        <v>12.729</v>
      </c>
      <c r="BZ551" s="5" t="n">
        <v>0</v>
      </c>
      <c r="CA551" s="5" t="n">
        <v>12.729</v>
      </c>
      <c r="CB551" s="5" t="n">
        <v>0</v>
      </c>
      <c r="CC551" s="5" t="n">
        <v>97.90000000000001</v>
      </c>
      <c r="CD551" s="5" t="n">
        <v>7.95</v>
      </c>
      <c r="CE551" s="5" t="n">
        <v>60.244</v>
      </c>
      <c r="CF551" s="5" t="n">
        <v>185.028</v>
      </c>
      <c r="CG551" s="5" t="n">
        <v>0.17</v>
      </c>
      <c r="CH551" s="5" t="n">
        <v>1</v>
      </c>
      <c r="CI551" s="5" t="n">
        <v>0</v>
      </c>
      <c r="CJ551" s="5" t="n">
        <v>0</v>
      </c>
      <c r="CK551" s="5" t="n">
        <v>0</v>
      </c>
      <c r="CL551" s="5" t="n">
        <v>0</v>
      </c>
      <c r="CM551" s="5" t="n">
        <v>0</v>
      </c>
      <c r="CN551" s="5" t="n">
        <v>0</v>
      </c>
      <c r="CO551" s="5" t="n">
        <v>0</v>
      </c>
      <c r="CP551" s="5" t="n">
        <v>1</v>
      </c>
      <c r="CQ551" s="5" t="n">
        <v>1.294</v>
      </c>
      <c r="CR551" s="5" t="n">
        <v>1</v>
      </c>
      <c r="CS551" s="5" t="n">
        <v>3.337</v>
      </c>
      <c r="CT551" s="5" t="n">
        <v>10.485</v>
      </c>
      <c r="CU551" s="5" t="n">
        <v>28.059</v>
      </c>
    </row>
    <row r="552">
      <c r="A552" s="5" t="inlineStr">
        <is>
          <t>MOZ2023</t>
        </is>
      </c>
      <c r="B552" s="5" t="inlineStr">
        <is>
          <t>MOZ</t>
        </is>
      </c>
      <c r="C552" s="5" t="inlineStr">
        <is>
          <t>MOZ</t>
        </is>
      </c>
      <c r="D552" s="5" t="inlineStr">
        <is>
          <t>Mozambique</t>
        </is>
      </c>
      <c r="E552" s="5" t="n">
        <v>2023</v>
      </c>
      <c r="F552" s="5" t="n">
        <v>0.17</v>
      </c>
      <c r="G552" s="5" t="n">
        <v>1.99</v>
      </c>
      <c r="H552" s="5" t="n">
        <v>0.643</v>
      </c>
      <c r="I552" s="5" t="n">
        <v>0</v>
      </c>
      <c r="J552" s="5" t="n">
        <v>1.99</v>
      </c>
      <c r="K552" s="5" t="n">
        <v>0</v>
      </c>
      <c r="L552" s="5" t="n">
        <v>1</v>
      </c>
      <c r="M552" s="5" t="n">
        <v>3.276</v>
      </c>
      <c r="N552" s="5" t="n">
        <v>1.928</v>
      </c>
      <c r="O552" s="5" t="n">
        <v>0</v>
      </c>
      <c r="P552" s="5" t="n">
        <v>3.276</v>
      </c>
      <c r="Q552" s="5" t="n">
        <v>0</v>
      </c>
      <c r="R552" s="5" t="n">
        <v>1</v>
      </c>
      <c r="S552" s="5" t="n">
        <v>5.205</v>
      </c>
      <c r="T552" s="5" t="n">
        <v>3.857</v>
      </c>
      <c r="U552" s="5" t="n">
        <v>0.098</v>
      </c>
      <c r="V552" s="5" t="n">
        <v>6.089</v>
      </c>
      <c r="W552" s="5" t="n">
        <v>0.17</v>
      </c>
      <c r="X552" s="5" t="n">
        <v>1</v>
      </c>
      <c r="Y552" s="5" t="n">
        <v>4.117</v>
      </c>
      <c r="Z552" s="5" t="n">
        <v>0.452</v>
      </c>
      <c r="AA552" s="5" t="n">
        <v>0</v>
      </c>
      <c r="AB552" s="5" t="n">
        <v>4.117</v>
      </c>
      <c r="AC552" s="5" t="n">
        <v>0</v>
      </c>
      <c r="AD552" s="5" t="n">
        <v>1</v>
      </c>
      <c r="AE552" s="5" t="n">
        <v>4.76</v>
      </c>
      <c r="AF552" s="5" t="n">
        <v>0.926</v>
      </c>
      <c r="AG552" s="5" t="n">
        <v>0</v>
      </c>
      <c r="AH552" s="5" t="n">
        <v>4.76</v>
      </c>
      <c r="AI552" s="5" t="n">
        <v>0</v>
      </c>
      <c r="AJ552" s="5" t="n">
        <v>1</v>
      </c>
      <c r="AK552" s="5" t="n">
        <v>8.617000000000001</v>
      </c>
      <c r="AL552" s="5" t="n">
        <v>4.065</v>
      </c>
      <c r="AM552" s="5" t="n">
        <v>0.162</v>
      </c>
      <c r="AN552" s="5" t="n">
        <v>10.082</v>
      </c>
      <c r="AO552" s="5" t="n">
        <v>0.17</v>
      </c>
      <c r="AP552" s="5" t="n">
        <v>1</v>
      </c>
      <c r="AQ552" s="5" t="n">
        <v>0.76</v>
      </c>
      <c r="AR552" s="5" t="n">
        <v>0.129</v>
      </c>
      <c r="AS552" s="5" t="n">
        <v>0.393</v>
      </c>
      <c r="AT552" s="5" t="n">
        <v>1.35</v>
      </c>
      <c r="AU552" s="5" t="n">
        <v>0.17</v>
      </c>
      <c r="AV552" s="5" t="n">
        <v>1</v>
      </c>
      <c r="AW552" s="5" t="n">
        <v>0.8110000000000001</v>
      </c>
      <c r="AX552" s="5" t="n">
        <v>0.129</v>
      </c>
      <c r="AY552" s="5" t="n">
        <v>0.409</v>
      </c>
      <c r="AZ552" s="5" t="n">
        <v>1.428</v>
      </c>
      <c r="BA552" s="5" t="n">
        <v>0.17</v>
      </c>
      <c r="BB552" s="5" t="n">
        <v>1</v>
      </c>
      <c r="BC552" s="5" t="n">
        <v>0.535</v>
      </c>
      <c r="BD552" s="5" t="n">
        <v>0.129</v>
      </c>
      <c r="BE552" s="5" t="n">
        <v>0.152</v>
      </c>
      <c r="BF552" s="5" t="n">
        <v>0.6870000000000001</v>
      </c>
      <c r="BG552" s="5" t="n">
        <v>0</v>
      </c>
      <c r="BH552" s="5" t="n">
        <v>1</v>
      </c>
      <c r="BI552" s="5" t="n">
        <v>0.579</v>
      </c>
      <c r="BJ552" s="5" t="n">
        <v>0.129</v>
      </c>
      <c r="BK552" s="5" t="n">
        <v>0.783</v>
      </c>
      <c r="BL552" s="5" t="n">
        <v>1.363</v>
      </c>
      <c r="BM552" s="5" t="n">
        <v>0</v>
      </c>
      <c r="BN552" s="5" t="n">
        <v>1</v>
      </c>
      <c r="BO552" s="5" t="n">
        <v>0</v>
      </c>
      <c r="BP552" s="5" t="n">
        <v>0</v>
      </c>
      <c r="BQ552" s="5" t="n">
        <v>0.09</v>
      </c>
      <c r="BR552" s="5" t="n">
        <v>0</v>
      </c>
      <c r="BS552" s="5" t="n">
        <v>0.667</v>
      </c>
      <c r="BT552" s="5" t="n">
        <v>0</v>
      </c>
      <c r="BU552" s="5" t="n">
        <v>0</v>
      </c>
      <c r="BV552" s="5" t="n">
        <v>0.146</v>
      </c>
      <c r="BW552" s="5" t="n">
        <v>0.17</v>
      </c>
      <c r="BX552" s="5" t="n">
        <v>1</v>
      </c>
      <c r="BY552" s="5" t="n">
        <v>13.254</v>
      </c>
      <c r="BZ552" s="5" t="n">
        <v>0</v>
      </c>
      <c r="CA552" s="5" t="n">
        <v>13.254</v>
      </c>
      <c r="CB552" s="5" t="n">
        <v>0</v>
      </c>
      <c r="CC552" s="5" t="n">
        <v>83.248</v>
      </c>
      <c r="CD552" s="5" t="n">
        <v>7.95</v>
      </c>
      <c r="CE552" s="5" t="n">
        <v>109.708</v>
      </c>
      <c r="CF552" s="5" t="n">
        <v>225.758</v>
      </c>
      <c r="CG552" s="5" t="n">
        <v>0.17</v>
      </c>
      <c r="CH552" s="5" t="n">
        <v>1</v>
      </c>
      <c r="CI552" s="5" t="n">
        <v>0</v>
      </c>
      <c r="CJ552" s="5" t="n">
        <v>0</v>
      </c>
      <c r="CK552" s="5" t="n">
        <v>0</v>
      </c>
      <c r="CL552" s="5" t="n">
        <v>0</v>
      </c>
      <c r="CM552" s="5" t="n">
        <v>0</v>
      </c>
      <c r="CN552" s="5" t="n">
        <v>0</v>
      </c>
      <c r="CO552" s="5" t="n">
        <v>0</v>
      </c>
      <c r="CP552" s="5" t="n">
        <v>1</v>
      </c>
      <c r="CQ552" s="5" t="n">
        <v>1.348</v>
      </c>
      <c r="CR552" s="5" t="n">
        <v>1</v>
      </c>
      <c r="CS552" s="5" t="n">
        <v>3.474</v>
      </c>
      <c r="CT552" s="5" t="n">
        <v>4.861</v>
      </c>
      <c r="CU552" s="5" t="n">
        <v>9.260999999999999</v>
      </c>
    </row>
    <row r="553">
      <c r="A553" s="5" t="inlineStr">
        <is>
          <t>MOZ2024</t>
        </is>
      </c>
      <c r="B553" s="5" t="inlineStr">
        <is>
          <t>MOZ</t>
        </is>
      </c>
      <c r="C553" s="5" t="inlineStr">
        <is>
          <t>MOZ</t>
        </is>
      </c>
      <c r="D553" s="5" t="inlineStr">
        <is>
          <t>Mozambique</t>
        </is>
      </c>
      <c r="E553" s="5" t="n">
        <v>2024</v>
      </c>
      <c r="F553" s="5" t="n">
        <v>0.17</v>
      </c>
      <c r="G553" s="5" t="n">
        <v>2.049</v>
      </c>
      <c r="H553" s="5" t="n">
        <v>0.662</v>
      </c>
      <c r="I553" s="5" t="n">
        <v>0</v>
      </c>
      <c r="J553" s="5" t="n">
        <v>2.049</v>
      </c>
      <c r="K553" s="5" t="n">
        <v>0</v>
      </c>
      <c r="L553" s="5" t="n">
        <v>1</v>
      </c>
      <c r="M553" s="5" t="n">
        <v>3.373</v>
      </c>
      <c r="N553" s="5" t="n">
        <v>1.985</v>
      </c>
      <c r="O553" s="5" t="n">
        <v>0</v>
      </c>
      <c r="P553" s="5" t="n">
        <v>3.373</v>
      </c>
      <c r="Q553" s="5" t="n">
        <v>0</v>
      </c>
      <c r="R553" s="5" t="n">
        <v>1</v>
      </c>
      <c r="S553" s="5" t="n">
        <v>5.358</v>
      </c>
      <c r="T553" s="5" t="n">
        <v>3.971</v>
      </c>
      <c r="U553" s="5" t="n">
        <v>0.124</v>
      </c>
      <c r="V553" s="5" t="n">
        <v>6.269</v>
      </c>
      <c r="W553" s="5" t="n">
        <v>0.17</v>
      </c>
      <c r="X553" s="5" t="n">
        <v>1</v>
      </c>
      <c r="Y553" s="5" t="n">
        <v>4.239</v>
      </c>
      <c r="Z553" s="5" t="n">
        <v>0.465</v>
      </c>
      <c r="AA553" s="5" t="n">
        <v>0</v>
      </c>
      <c r="AB553" s="5" t="n">
        <v>4.239</v>
      </c>
      <c r="AC553" s="5" t="n">
        <v>0</v>
      </c>
      <c r="AD553" s="5" t="n">
        <v>1</v>
      </c>
      <c r="AE553" s="5" t="n">
        <v>4.901</v>
      </c>
      <c r="AF553" s="5" t="n">
        <v>0.953</v>
      </c>
      <c r="AG553" s="5" t="n">
        <v>0</v>
      </c>
      <c r="AH553" s="5" t="n">
        <v>4.901</v>
      </c>
      <c r="AI553" s="5" t="n">
        <v>0</v>
      </c>
      <c r="AJ553" s="5" t="n">
        <v>1</v>
      </c>
      <c r="AK553" s="5" t="n">
        <v>8.871</v>
      </c>
      <c r="AL553" s="5" t="n">
        <v>4.185</v>
      </c>
      <c r="AM553" s="5" t="n">
        <v>0.205</v>
      </c>
      <c r="AN553" s="5" t="n">
        <v>10.38</v>
      </c>
      <c r="AO553" s="5" t="n">
        <v>0.17</v>
      </c>
      <c r="AP553" s="5" t="n">
        <v>1</v>
      </c>
      <c r="AQ553" s="5" t="n">
        <v>0.724</v>
      </c>
      <c r="AR553" s="5" t="n">
        <v>0.132</v>
      </c>
      <c r="AS553" s="5" t="n">
        <v>0.439</v>
      </c>
      <c r="AT553" s="5" t="n">
        <v>1.35</v>
      </c>
      <c r="AU553" s="5" t="n">
        <v>0.16</v>
      </c>
      <c r="AV553" s="5" t="n">
        <v>1</v>
      </c>
      <c r="AW553" s="5" t="n">
        <v>0.75</v>
      </c>
      <c r="AX553" s="5" t="n">
        <v>0.132</v>
      </c>
      <c r="AY553" s="5" t="n">
        <v>0.48</v>
      </c>
      <c r="AZ553" s="5" t="n">
        <v>1.428</v>
      </c>
      <c r="BA553" s="5" t="n">
        <v>0.16</v>
      </c>
      <c r="BB553" s="5" t="n">
        <v>1</v>
      </c>
      <c r="BC553" s="5" t="n">
        <v>0.513</v>
      </c>
      <c r="BD553" s="5" t="n">
        <v>0.132</v>
      </c>
      <c r="BE553" s="5" t="n">
        <v>0.174</v>
      </c>
      <c r="BF553" s="5" t="n">
        <v>0.6870000000000001</v>
      </c>
      <c r="BG553" s="5" t="n">
        <v>0</v>
      </c>
      <c r="BH553" s="5" t="n">
        <v>1</v>
      </c>
      <c r="BI553" s="5" t="n">
        <v>0.591</v>
      </c>
      <c r="BJ553" s="5" t="n">
        <v>0.132</v>
      </c>
      <c r="BK553" s="5" t="n">
        <v>0.771</v>
      </c>
      <c r="BL553" s="5" t="n">
        <v>1.362</v>
      </c>
      <c r="BM553" s="5" t="n">
        <v>0</v>
      </c>
      <c r="BN553" s="5" t="n">
        <v>1</v>
      </c>
      <c r="BO553" s="5" t="n">
        <v>0</v>
      </c>
      <c r="BP553" s="5" t="n">
        <v>0</v>
      </c>
      <c r="BQ553" s="5" t="n">
        <v>0.08500000000000001</v>
      </c>
      <c r="BR553" s="5" t="n">
        <v>0</v>
      </c>
      <c r="BS553" s="5" t="n">
        <v>0.667</v>
      </c>
      <c r="BT553" s="5" t="n">
        <v>0</v>
      </c>
      <c r="BU553" s="5" t="n">
        <v>0</v>
      </c>
      <c r="BV553" s="5" t="n">
        <v>0.109</v>
      </c>
      <c r="BW553" s="5" t="n">
        <v>0.17</v>
      </c>
      <c r="BX553" s="5" t="n">
        <v>1</v>
      </c>
      <c r="BY553" s="5" t="n">
        <v>13.646</v>
      </c>
      <c r="BZ553" s="5" t="n">
        <v>0</v>
      </c>
      <c r="CA553" s="5" t="n">
        <v>13.646</v>
      </c>
      <c r="CB553" s="5" t="n">
        <v>0</v>
      </c>
      <c r="CC553" s="5" t="n">
        <v>82.58799999999999</v>
      </c>
      <c r="CD553" s="5" t="n">
        <v>7.95</v>
      </c>
      <c r="CE553" s="5" t="n">
        <v>111.418</v>
      </c>
      <c r="CF553" s="5" t="n">
        <v>226.986</v>
      </c>
      <c r="CG553" s="5" t="n">
        <v>0.17</v>
      </c>
      <c r="CH553" s="5" t="n">
        <v>1</v>
      </c>
      <c r="CI553" s="5" t="n">
        <v>0</v>
      </c>
      <c r="CJ553" s="5" t="n">
        <v>0</v>
      </c>
      <c r="CK553" s="5" t="n">
        <v>0</v>
      </c>
      <c r="CL553" s="5" t="n">
        <v>0</v>
      </c>
      <c r="CM553" s="5" t="n">
        <v>0</v>
      </c>
      <c r="CN553" s="5" t="n">
        <v>0</v>
      </c>
      <c r="CO553" s="5" t="n">
        <v>0</v>
      </c>
      <c r="CP553" s="5" t="n">
        <v>1</v>
      </c>
      <c r="CQ553" s="5" t="n">
        <v>1.387</v>
      </c>
      <c r="CR553" s="5" t="n">
        <v>1</v>
      </c>
      <c r="CS553" s="5" t="n">
        <v>3.577</v>
      </c>
      <c r="CT553" s="5" t="n">
        <v>4.251</v>
      </c>
      <c r="CU553" s="5" t="n">
        <v>7.598</v>
      </c>
    </row>
    <row r="554">
      <c r="A554" s="5" t="inlineStr">
        <is>
          <t>MMR2021</t>
        </is>
      </c>
      <c r="B554" s="5" t="inlineStr">
        <is>
          <t>MMR</t>
        </is>
      </c>
      <c r="C554" s="5" t="inlineStr">
        <is>
          <t>MMR</t>
        </is>
      </c>
      <c r="D554" s="5" t="inlineStr">
        <is>
          <t>Myanmar</t>
        </is>
      </c>
      <c r="E554" s="5" t="n">
        <v>2021</v>
      </c>
      <c r="F554" s="5" t="n">
        <v>0</v>
      </c>
      <c r="G554" s="5" t="n">
        <v>3.117</v>
      </c>
      <c r="H554" s="5" t="n">
        <v>0.83</v>
      </c>
      <c r="I554" s="5" t="n">
        <v>0</v>
      </c>
      <c r="J554" s="5" t="n">
        <v>3.117</v>
      </c>
      <c r="K554" s="5" t="n">
        <v>0</v>
      </c>
      <c r="L554" s="5" t="n">
        <v>1</v>
      </c>
      <c r="M554" s="5" t="n">
        <v>5.199</v>
      </c>
      <c r="N554" s="5" t="n">
        <v>2.491</v>
      </c>
      <c r="O554" s="5" t="n">
        <v>0</v>
      </c>
      <c r="P554" s="5" t="n">
        <v>5.199</v>
      </c>
      <c r="Q554" s="5" t="n">
        <v>0</v>
      </c>
      <c r="R554" s="5" t="n">
        <v>1</v>
      </c>
      <c r="S554" s="5" t="n">
        <v>7.269</v>
      </c>
      <c r="T554" s="5" t="n">
        <v>4.982</v>
      </c>
      <c r="U554" s="5" t="n">
        <v>0</v>
      </c>
      <c r="V554" s="5" t="n">
        <v>7.269</v>
      </c>
      <c r="W554" s="5" t="n">
        <v>0</v>
      </c>
      <c r="X554" s="5" t="n">
        <v>1</v>
      </c>
      <c r="Y554" s="5" t="n">
        <v>5.305</v>
      </c>
      <c r="Z554" s="5" t="n">
        <v>0.582</v>
      </c>
      <c r="AA554" s="5" t="n">
        <v>0</v>
      </c>
      <c r="AB554" s="5" t="n">
        <v>5.305</v>
      </c>
      <c r="AC554" s="5" t="n">
        <v>0</v>
      </c>
      <c r="AD554" s="5" t="n">
        <v>1</v>
      </c>
      <c r="AE554" s="5" t="n">
        <v>5.877</v>
      </c>
      <c r="AF554" s="5" t="n">
        <v>1.143</v>
      </c>
      <c r="AG554" s="5" t="n">
        <v>0</v>
      </c>
      <c r="AH554" s="5" t="n">
        <v>5.877</v>
      </c>
      <c r="AI554" s="5" t="n">
        <v>0</v>
      </c>
      <c r="AJ554" s="5" t="n">
        <v>1</v>
      </c>
      <c r="AK554" s="5" t="n">
        <v>9.307</v>
      </c>
      <c r="AL554" s="5" t="n">
        <v>4.39</v>
      </c>
      <c r="AM554" s="5" t="n">
        <v>0</v>
      </c>
      <c r="AN554" s="5" t="n">
        <v>9.307</v>
      </c>
      <c r="AO554" s="5" t="n">
        <v>0</v>
      </c>
      <c r="AP554" s="5" t="n">
        <v>1</v>
      </c>
      <c r="AQ554" s="5" t="n">
        <v>0.621</v>
      </c>
      <c r="AR554" s="5" t="n">
        <v>0.114</v>
      </c>
      <c r="AS554" s="5" t="n">
        <v>0.036</v>
      </c>
      <c r="AT554" s="5" t="n">
        <v>0.657</v>
      </c>
      <c r="AU554" s="5" t="n">
        <v>0</v>
      </c>
      <c r="AV554" s="5" t="n">
        <v>1</v>
      </c>
      <c r="AW554" s="5" t="n">
        <v>0.593</v>
      </c>
      <c r="AX554" s="5" t="n">
        <v>0.114</v>
      </c>
      <c r="AY554" s="5" t="n">
        <v>-0.047</v>
      </c>
      <c r="AZ554" s="5" t="n">
        <v>0.546</v>
      </c>
      <c r="BA554" s="5" t="n">
        <v>0</v>
      </c>
      <c r="BB554" s="5" t="n">
        <v>1</v>
      </c>
      <c r="BC554" s="5" t="n">
        <v>0.44</v>
      </c>
      <c r="BD554" s="5" t="n">
        <v>0.114</v>
      </c>
      <c r="BE554" s="5" t="n">
        <v>0</v>
      </c>
      <c r="BF554" s="5" t="n">
        <v>0.44</v>
      </c>
      <c r="BG554" s="5" t="n">
        <v>0</v>
      </c>
      <c r="BH554" s="5" t="n">
        <v>1</v>
      </c>
      <c r="BI554" s="5" t="n">
        <v>0.5600000000000001</v>
      </c>
      <c r="BJ554" s="5" t="n">
        <v>0.114</v>
      </c>
      <c r="BK554" s="5" t="n">
        <v>0</v>
      </c>
      <c r="BL554" s="5" t="n">
        <v>0.5600000000000001</v>
      </c>
      <c r="BM554" s="5" t="n">
        <v>0</v>
      </c>
      <c r="BN554" s="5" t="n">
        <v>1</v>
      </c>
      <c r="BO554" s="5" t="n">
        <v>0</v>
      </c>
      <c r="BP554" s="5" t="n">
        <v>0</v>
      </c>
      <c r="BQ554" s="5" t="n">
        <v>0.081</v>
      </c>
      <c r="BR554" s="5" t="n">
        <v>0</v>
      </c>
      <c r="BS554" s="5" t="n">
        <v>0.833</v>
      </c>
      <c r="BT554" s="5" t="n">
        <v>0</v>
      </c>
      <c r="BU554" s="5" t="n">
        <v>0</v>
      </c>
      <c r="BV554" s="5" t="n">
        <v>0.021</v>
      </c>
      <c r="BW554" s="5" t="n">
        <v>0</v>
      </c>
      <c r="BX554" s="5" t="n">
        <v>0.667</v>
      </c>
      <c r="BY554" s="5" t="n">
        <v>11.787</v>
      </c>
      <c r="BZ554" s="5" t="n">
        <v>0</v>
      </c>
      <c r="CA554" s="5" t="n">
        <v>11.787</v>
      </c>
      <c r="CB554" s="5" t="n">
        <v>0</v>
      </c>
      <c r="CC554" s="5" t="n">
        <v>81.69499999999999</v>
      </c>
      <c r="CD554" s="5" t="n">
        <v>7.95</v>
      </c>
      <c r="CE554" s="5" t="n">
        <v>0</v>
      </c>
      <c r="CF554" s="5" t="n">
        <v>81.69499999999999</v>
      </c>
      <c r="CG554" s="5" t="n">
        <v>0</v>
      </c>
      <c r="CH554" s="5" t="n">
        <v>1</v>
      </c>
      <c r="CI554" s="5" t="n">
        <v>0</v>
      </c>
      <c r="CJ554" s="5" t="n">
        <v>0</v>
      </c>
      <c r="CK554" s="5" t="n">
        <v>0</v>
      </c>
      <c r="CL554" s="5" t="n">
        <v>0</v>
      </c>
      <c r="CM554" s="5" t="n">
        <v>0</v>
      </c>
      <c r="CN554" s="5" t="n">
        <v>0</v>
      </c>
      <c r="CO554" s="5" t="n">
        <v>0</v>
      </c>
      <c r="CP554" s="5" t="n">
        <v>0.548</v>
      </c>
      <c r="CQ554" s="5" t="n">
        <v>1.198</v>
      </c>
      <c r="CR554" s="5" t="n">
        <v>1</v>
      </c>
      <c r="CS554" s="5" t="n">
        <v>4.733</v>
      </c>
      <c r="CT554" s="5" t="n">
        <v>3.604</v>
      </c>
      <c r="CU554" s="5" t="n">
        <v>14.129</v>
      </c>
    </row>
    <row r="555">
      <c r="A555" s="5" t="inlineStr">
        <is>
          <t>MMR2022</t>
        </is>
      </c>
      <c r="B555" s="5" t="inlineStr">
        <is>
          <t>MMR</t>
        </is>
      </c>
      <c r="C555" s="5" t="inlineStr">
        <is>
          <t>MMR</t>
        </is>
      </c>
      <c r="D555" s="5" t="inlineStr">
        <is>
          <t>Myanmar</t>
        </is>
      </c>
      <c r="E555" s="5" t="n">
        <v>2022</v>
      </c>
      <c r="F555" s="5" t="n">
        <v>0</v>
      </c>
      <c r="G555" s="5" t="n">
        <v>1.912</v>
      </c>
      <c r="H555" s="5" t="n">
        <v>0.617</v>
      </c>
      <c r="I555" s="5" t="n">
        <v>0</v>
      </c>
      <c r="J555" s="5" t="n">
        <v>1.912</v>
      </c>
      <c r="K555" s="5" t="n">
        <v>0</v>
      </c>
      <c r="L555" s="5" t="n">
        <v>1</v>
      </c>
      <c r="M555" s="5" t="n">
        <v>3.147</v>
      </c>
      <c r="N555" s="5" t="n">
        <v>1.852</v>
      </c>
      <c r="O555" s="5" t="n">
        <v>0</v>
      </c>
      <c r="P555" s="5" t="n">
        <v>3.147</v>
      </c>
      <c r="Q555" s="5" t="n">
        <v>0</v>
      </c>
      <c r="R555" s="5" t="n">
        <v>1</v>
      </c>
      <c r="S555" s="5" t="n">
        <v>4.999</v>
      </c>
      <c r="T555" s="5" t="n">
        <v>3.704</v>
      </c>
      <c r="U555" s="5" t="n">
        <v>0</v>
      </c>
      <c r="V555" s="5" t="n">
        <v>4.999</v>
      </c>
      <c r="W555" s="5" t="n">
        <v>0</v>
      </c>
      <c r="X555" s="5" t="n">
        <v>1</v>
      </c>
      <c r="Y555" s="5" t="n">
        <v>5.729</v>
      </c>
      <c r="Z555" s="5" t="n">
        <v>0.629</v>
      </c>
      <c r="AA555" s="5" t="n">
        <v>0</v>
      </c>
      <c r="AB555" s="5" t="n">
        <v>5.729</v>
      </c>
      <c r="AC555" s="5" t="n">
        <v>0</v>
      </c>
      <c r="AD555" s="5" t="n">
        <v>1</v>
      </c>
      <c r="AE555" s="5" t="n">
        <v>6.347</v>
      </c>
      <c r="AF555" s="5" t="n">
        <v>1.234</v>
      </c>
      <c r="AG555" s="5" t="n">
        <v>0</v>
      </c>
      <c r="AH555" s="5" t="n">
        <v>6.347</v>
      </c>
      <c r="AI555" s="5" t="n">
        <v>0</v>
      </c>
      <c r="AJ555" s="5" t="n">
        <v>1</v>
      </c>
      <c r="AK555" s="5" t="n">
        <v>10.051</v>
      </c>
      <c r="AL555" s="5" t="n">
        <v>4.741</v>
      </c>
      <c r="AM555" s="5" t="n">
        <v>0</v>
      </c>
      <c r="AN555" s="5" t="n">
        <v>10.051</v>
      </c>
      <c r="AO555" s="5" t="n">
        <v>0</v>
      </c>
      <c r="AP555" s="5" t="n">
        <v>1</v>
      </c>
      <c r="AQ555" s="5" t="n">
        <v>0.847</v>
      </c>
      <c r="AR555" s="5" t="n">
        <v>0.123</v>
      </c>
      <c r="AS555" s="5" t="n">
        <v>0.129</v>
      </c>
      <c r="AT555" s="5" t="n">
        <v>0.975</v>
      </c>
      <c r="AU555" s="5" t="n">
        <v>0</v>
      </c>
      <c r="AV555" s="5" t="n">
        <v>1</v>
      </c>
      <c r="AW555" s="5" t="n">
        <v>0.947</v>
      </c>
      <c r="AX555" s="5" t="n">
        <v>0.123</v>
      </c>
      <c r="AY555" s="5" t="n">
        <v>0.109</v>
      </c>
      <c r="AZ555" s="5" t="n">
        <v>1.056</v>
      </c>
      <c r="BA555" s="5" t="n">
        <v>0</v>
      </c>
      <c r="BB555" s="5" t="n">
        <v>1</v>
      </c>
      <c r="BC555" s="5" t="n">
        <v>0.589</v>
      </c>
      <c r="BD555" s="5" t="n">
        <v>0.123</v>
      </c>
      <c r="BE555" s="5" t="n">
        <v>0</v>
      </c>
      <c r="BF555" s="5" t="n">
        <v>0.589</v>
      </c>
      <c r="BG555" s="5" t="n">
        <v>0</v>
      </c>
      <c r="BH555" s="5" t="n">
        <v>1</v>
      </c>
      <c r="BI555" s="5" t="n">
        <v>0.6889999999999999</v>
      </c>
      <c r="BJ555" s="5" t="n">
        <v>0.123</v>
      </c>
      <c r="BK555" s="5" t="n">
        <v>0</v>
      </c>
      <c r="BL555" s="5" t="n">
        <v>0.6889999999999999</v>
      </c>
      <c r="BM555" s="5" t="n">
        <v>0</v>
      </c>
      <c r="BN555" s="5" t="n">
        <v>1</v>
      </c>
      <c r="BO555" s="5" t="n">
        <v>0</v>
      </c>
      <c r="BP555" s="5" t="n">
        <v>0</v>
      </c>
      <c r="BQ555" s="5" t="n">
        <v>0.07000000000000001</v>
      </c>
      <c r="BR555" s="5" t="n">
        <v>0</v>
      </c>
      <c r="BS555" s="5" t="n">
        <v>0.833</v>
      </c>
      <c r="BT555" s="5" t="n">
        <v>0</v>
      </c>
      <c r="BU555" s="5" t="n">
        <v>0</v>
      </c>
      <c r="BV555" s="5" t="n">
        <v>0.018</v>
      </c>
      <c r="BW555" s="5" t="n">
        <v>0</v>
      </c>
      <c r="BX555" s="5" t="n">
        <v>0.667</v>
      </c>
      <c r="BY555" s="5" t="n">
        <v>12.729</v>
      </c>
      <c r="BZ555" s="5" t="n">
        <v>0</v>
      </c>
      <c r="CA555" s="5" t="n">
        <v>12.729</v>
      </c>
      <c r="CB555" s="5" t="n">
        <v>0</v>
      </c>
      <c r="CC555" s="5" t="n">
        <v>102.477</v>
      </c>
      <c r="CD555" s="5" t="n">
        <v>7.95</v>
      </c>
      <c r="CE555" s="5" t="n">
        <v>0</v>
      </c>
      <c r="CF555" s="5" t="n">
        <v>102.477</v>
      </c>
      <c r="CG555" s="5" t="n">
        <v>0</v>
      </c>
      <c r="CH555" s="5" t="n">
        <v>1</v>
      </c>
      <c r="CI555" s="5" t="n">
        <v>0</v>
      </c>
      <c r="CJ555" s="5" t="n">
        <v>0</v>
      </c>
      <c r="CK555" s="5" t="n">
        <v>0</v>
      </c>
      <c r="CL555" s="5" t="n">
        <v>0</v>
      </c>
      <c r="CM555" s="5" t="n">
        <v>0</v>
      </c>
      <c r="CN555" s="5" t="n">
        <v>0</v>
      </c>
      <c r="CO555" s="5" t="n">
        <v>0</v>
      </c>
      <c r="CP555" s="5" t="n">
        <v>1</v>
      </c>
      <c r="CQ555" s="5" t="n">
        <v>1.294</v>
      </c>
      <c r="CR555" s="5" t="n">
        <v>1</v>
      </c>
      <c r="CS555" s="5" t="n">
        <v>5.112</v>
      </c>
      <c r="CT555" s="5" t="n">
        <v>7.554</v>
      </c>
      <c r="CU555" s="5" t="n">
        <v>28.059</v>
      </c>
    </row>
    <row r="556">
      <c r="A556" s="5" t="inlineStr">
        <is>
          <t>MMR2023</t>
        </is>
      </c>
      <c r="B556" s="5" t="inlineStr">
        <is>
          <t>MMR</t>
        </is>
      </c>
      <c r="C556" s="5" t="inlineStr">
        <is>
          <t>MMR</t>
        </is>
      </c>
      <c r="D556" s="5" t="inlineStr">
        <is>
          <t>Myanmar</t>
        </is>
      </c>
      <c r="E556" s="5" t="n">
        <v>2023</v>
      </c>
      <c r="F556" s="5" t="n">
        <v>0</v>
      </c>
      <c r="G556" s="5" t="n">
        <v>1.99</v>
      </c>
      <c r="H556" s="5" t="n">
        <v>0.643</v>
      </c>
      <c r="I556" s="5" t="n">
        <v>0</v>
      </c>
      <c r="J556" s="5" t="n">
        <v>1.99</v>
      </c>
      <c r="K556" s="5" t="n">
        <v>0</v>
      </c>
      <c r="L556" s="5" t="n">
        <v>1</v>
      </c>
      <c r="M556" s="5" t="n">
        <v>3.276</v>
      </c>
      <c r="N556" s="5" t="n">
        <v>1.928</v>
      </c>
      <c r="O556" s="5" t="n">
        <v>0</v>
      </c>
      <c r="P556" s="5" t="n">
        <v>3.276</v>
      </c>
      <c r="Q556" s="5" t="n">
        <v>0</v>
      </c>
      <c r="R556" s="5" t="n">
        <v>1</v>
      </c>
      <c r="S556" s="5" t="n">
        <v>5.205</v>
      </c>
      <c r="T556" s="5" t="n">
        <v>3.857</v>
      </c>
      <c r="U556" s="5" t="n">
        <v>0</v>
      </c>
      <c r="V556" s="5" t="n">
        <v>5.205</v>
      </c>
      <c r="W556" s="5" t="n">
        <v>0</v>
      </c>
      <c r="X556" s="5" t="n">
        <v>1</v>
      </c>
      <c r="Y556" s="5" t="n">
        <v>5.966</v>
      </c>
      <c r="Z556" s="5" t="n">
        <v>0.655</v>
      </c>
      <c r="AA556" s="5" t="n">
        <v>0</v>
      </c>
      <c r="AB556" s="5" t="n">
        <v>5.966</v>
      </c>
      <c r="AC556" s="5" t="n">
        <v>0</v>
      </c>
      <c r="AD556" s="5" t="n">
        <v>1</v>
      </c>
      <c r="AE556" s="5" t="n">
        <v>6.608</v>
      </c>
      <c r="AF556" s="5" t="n">
        <v>1.285</v>
      </c>
      <c r="AG556" s="5" t="n">
        <v>0</v>
      </c>
      <c r="AH556" s="5" t="n">
        <v>6.608</v>
      </c>
      <c r="AI556" s="5" t="n">
        <v>0</v>
      </c>
      <c r="AJ556" s="5" t="n">
        <v>1</v>
      </c>
      <c r="AK556" s="5" t="n">
        <v>10.465</v>
      </c>
      <c r="AL556" s="5" t="n">
        <v>4.937</v>
      </c>
      <c r="AM556" s="5" t="n">
        <v>0</v>
      </c>
      <c r="AN556" s="5" t="n">
        <v>10.465</v>
      </c>
      <c r="AO556" s="5" t="n">
        <v>0</v>
      </c>
      <c r="AP556" s="5" t="n">
        <v>1</v>
      </c>
      <c r="AQ556" s="5" t="n">
        <v>0.749</v>
      </c>
      <c r="AR556" s="5" t="n">
        <v>0.129</v>
      </c>
      <c r="AS556" s="5" t="n">
        <v>0.581</v>
      </c>
      <c r="AT556" s="5" t="n">
        <v>1.33</v>
      </c>
      <c r="AU556" s="5" t="n">
        <v>0</v>
      </c>
      <c r="AV556" s="5" t="n">
        <v>1</v>
      </c>
      <c r="AW556" s="5" t="n">
        <v>0.783</v>
      </c>
      <c r="AX556" s="5" t="n">
        <v>0.129</v>
      </c>
      <c r="AY556" s="5" t="n">
        <v>0.49</v>
      </c>
      <c r="AZ556" s="5" t="n">
        <v>1.272</v>
      </c>
      <c r="BA556" s="5" t="n">
        <v>0</v>
      </c>
      <c r="BB556" s="5" t="n">
        <v>1</v>
      </c>
      <c r="BC556" s="5" t="n">
        <v>0.527</v>
      </c>
      <c r="BD556" s="5" t="n">
        <v>0.129</v>
      </c>
      <c r="BE556" s="5" t="n">
        <v>0</v>
      </c>
      <c r="BF556" s="5" t="n">
        <v>0.527</v>
      </c>
      <c r="BG556" s="5" t="n">
        <v>0</v>
      </c>
      <c r="BH556" s="5" t="n">
        <v>1</v>
      </c>
      <c r="BI556" s="5" t="n">
        <v>0.64</v>
      </c>
      <c r="BJ556" s="5" t="n">
        <v>0.129</v>
      </c>
      <c r="BK556" s="5" t="n">
        <v>0</v>
      </c>
      <c r="BL556" s="5" t="n">
        <v>0.64</v>
      </c>
      <c r="BM556" s="5" t="n">
        <v>0</v>
      </c>
      <c r="BN556" s="5" t="n">
        <v>1</v>
      </c>
      <c r="BO556" s="5" t="n">
        <v>0</v>
      </c>
      <c r="BP556" s="5" t="n">
        <v>0</v>
      </c>
      <c r="BQ556" s="5" t="n">
        <v>0.064</v>
      </c>
      <c r="BR556" s="5" t="n">
        <v>0</v>
      </c>
      <c r="BS556" s="5" t="n">
        <v>0.833</v>
      </c>
      <c r="BT556" s="5" t="n">
        <v>0</v>
      </c>
      <c r="BU556" s="5" t="n">
        <v>0</v>
      </c>
      <c r="BV556" s="5" t="n">
        <v>0.017</v>
      </c>
      <c r="BW556" s="5" t="n">
        <v>0</v>
      </c>
      <c r="BX556" s="5" t="n">
        <v>0.667</v>
      </c>
      <c r="BY556" s="5" t="n">
        <v>13.254</v>
      </c>
      <c r="BZ556" s="5" t="n">
        <v>0</v>
      </c>
      <c r="CA556" s="5" t="n">
        <v>13.254</v>
      </c>
      <c r="CB556" s="5" t="n">
        <v>0</v>
      </c>
      <c r="CC556" s="5" t="n">
        <v>87.07899999999999</v>
      </c>
      <c r="CD556" s="5" t="n">
        <v>7.95</v>
      </c>
      <c r="CE556" s="5" t="n">
        <v>0</v>
      </c>
      <c r="CF556" s="5" t="n">
        <v>87.07899999999999</v>
      </c>
      <c r="CG556" s="5" t="n">
        <v>0</v>
      </c>
      <c r="CH556" s="5" t="n">
        <v>1</v>
      </c>
      <c r="CI556" s="5" t="n">
        <v>0</v>
      </c>
      <c r="CJ556" s="5" t="n">
        <v>0</v>
      </c>
      <c r="CK556" s="5" t="n">
        <v>0</v>
      </c>
      <c r="CL556" s="5" t="n">
        <v>0</v>
      </c>
      <c r="CM556" s="5" t="n">
        <v>0</v>
      </c>
      <c r="CN556" s="5" t="n">
        <v>0</v>
      </c>
      <c r="CO556" s="5" t="n">
        <v>0</v>
      </c>
      <c r="CP556" s="5" t="n">
        <v>1</v>
      </c>
      <c r="CQ556" s="5" t="n">
        <v>1.348</v>
      </c>
      <c r="CR556" s="5" t="n">
        <v>1</v>
      </c>
      <c r="CS556" s="5" t="n">
        <v>5.323</v>
      </c>
      <c r="CT556" s="5" t="n">
        <v>4.484</v>
      </c>
      <c r="CU556" s="5" t="n">
        <v>9.260999999999999</v>
      </c>
    </row>
    <row r="557">
      <c r="A557" s="5" t="inlineStr">
        <is>
          <t>MMR2024</t>
        </is>
      </c>
      <c r="B557" s="5" t="inlineStr">
        <is>
          <t>MMR</t>
        </is>
      </c>
      <c r="C557" s="5" t="inlineStr">
        <is>
          <t>MMR</t>
        </is>
      </c>
      <c r="D557" s="5" t="inlineStr">
        <is>
          <t>Myanmar</t>
        </is>
      </c>
      <c r="E557" s="5" t="n">
        <v>2024</v>
      </c>
      <c r="F557" s="5" t="n">
        <v>0</v>
      </c>
      <c r="G557" s="5" t="n">
        <v>2.049</v>
      </c>
      <c r="H557" s="5" t="n">
        <v>0.662</v>
      </c>
      <c r="I557" s="5" t="n">
        <v>0</v>
      </c>
      <c r="J557" s="5" t="n">
        <v>2.049</v>
      </c>
      <c r="K557" s="5" t="n">
        <v>0</v>
      </c>
      <c r="L557" s="5" t="n">
        <v>1</v>
      </c>
      <c r="M557" s="5" t="n">
        <v>3.373</v>
      </c>
      <c r="N557" s="5" t="n">
        <v>1.985</v>
      </c>
      <c r="O557" s="5" t="n">
        <v>0</v>
      </c>
      <c r="P557" s="5" t="n">
        <v>3.373</v>
      </c>
      <c r="Q557" s="5" t="n">
        <v>0</v>
      </c>
      <c r="R557" s="5" t="n">
        <v>1</v>
      </c>
      <c r="S557" s="5" t="n">
        <v>5.358</v>
      </c>
      <c r="T557" s="5" t="n">
        <v>3.971</v>
      </c>
      <c r="U557" s="5" t="n">
        <v>0</v>
      </c>
      <c r="V557" s="5" t="n">
        <v>5.358</v>
      </c>
      <c r="W557" s="5" t="n">
        <v>0</v>
      </c>
      <c r="X557" s="5" t="n">
        <v>1</v>
      </c>
      <c r="Y557" s="5" t="n">
        <v>6.142</v>
      </c>
      <c r="Z557" s="5" t="n">
        <v>0.674</v>
      </c>
      <c r="AA557" s="5" t="n">
        <v>0</v>
      </c>
      <c r="AB557" s="5" t="n">
        <v>6.142</v>
      </c>
      <c r="AC557" s="5" t="n">
        <v>0</v>
      </c>
      <c r="AD557" s="5" t="n">
        <v>1</v>
      </c>
      <c r="AE557" s="5" t="n">
        <v>6.804</v>
      </c>
      <c r="AF557" s="5" t="n">
        <v>1.323</v>
      </c>
      <c r="AG557" s="5" t="n">
        <v>0</v>
      </c>
      <c r="AH557" s="5" t="n">
        <v>6.804</v>
      </c>
      <c r="AI557" s="5" t="n">
        <v>0</v>
      </c>
      <c r="AJ557" s="5" t="n">
        <v>1</v>
      </c>
      <c r="AK557" s="5" t="n">
        <v>10.774</v>
      </c>
      <c r="AL557" s="5" t="n">
        <v>5.083</v>
      </c>
      <c r="AM557" s="5" t="n">
        <v>0</v>
      </c>
      <c r="AN557" s="5" t="n">
        <v>10.774</v>
      </c>
      <c r="AO557" s="5" t="n">
        <v>0</v>
      </c>
      <c r="AP557" s="5" t="n">
        <v>1</v>
      </c>
      <c r="AQ557" s="5" t="n">
        <v>0.72</v>
      </c>
      <c r="AR557" s="5" t="n">
        <v>0.132</v>
      </c>
      <c r="AS557" s="5" t="n">
        <v>0.673</v>
      </c>
      <c r="AT557" s="5" t="n">
        <v>1.392</v>
      </c>
      <c r="AU557" s="5" t="n">
        <v>0</v>
      </c>
      <c r="AV557" s="5" t="n">
        <v>1</v>
      </c>
      <c r="AW557" s="5" t="n">
        <v>0.734</v>
      </c>
      <c r="AX557" s="5" t="n">
        <v>0.132</v>
      </c>
      <c r="AY557" s="5" t="n">
        <v>0.377</v>
      </c>
      <c r="AZ557" s="5" t="n">
        <v>1.111</v>
      </c>
      <c r="BA557" s="5" t="n">
        <v>0</v>
      </c>
      <c r="BB557" s="5" t="n">
        <v>1</v>
      </c>
      <c r="BC557" s="5" t="n">
        <v>0.51</v>
      </c>
      <c r="BD557" s="5" t="n">
        <v>0.132</v>
      </c>
      <c r="BE557" s="5" t="n">
        <v>0</v>
      </c>
      <c r="BF557" s="5" t="n">
        <v>0.51</v>
      </c>
      <c r="BG557" s="5" t="n">
        <v>0</v>
      </c>
      <c r="BH557" s="5" t="n">
        <v>1</v>
      </c>
      <c r="BI557" s="5" t="n">
        <v>0.652</v>
      </c>
      <c r="BJ557" s="5" t="n">
        <v>0.132</v>
      </c>
      <c r="BK557" s="5" t="n">
        <v>0</v>
      </c>
      <c r="BL557" s="5" t="n">
        <v>0.652</v>
      </c>
      <c r="BM557" s="5" t="n">
        <v>0</v>
      </c>
      <c r="BN557" s="5" t="n">
        <v>1</v>
      </c>
      <c r="BO557" s="5" t="n">
        <v>0</v>
      </c>
      <c r="BP557" s="5" t="n">
        <v>0</v>
      </c>
      <c r="BQ557" s="5" t="n">
        <v>0.066</v>
      </c>
      <c r="BR557" s="5" t="n">
        <v>0</v>
      </c>
      <c r="BS557" s="5" t="n">
        <v>0.833</v>
      </c>
      <c r="BT557" s="5" t="n">
        <v>0</v>
      </c>
      <c r="BU557" s="5" t="n">
        <v>0</v>
      </c>
      <c r="BV557" s="5" t="n">
        <v>0.017</v>
      </c>
      <c r="BW557" s="5" t="n">
        <v>0</v>
      </c>
      <c r="BX557" s="5" t="n">
        <v>0.667</v>
      </c>
      <c r="BY557" s="5" t="n">
        <v>13.646</v>
      </c>
      <c r="BZ557" s="5" t="n">
        <v>0</v>
      </c>
      <c r="CA557" s="5" t="n">
        <v>13.646</v>
      </c>
      <c r="CB557" s="5" t="n">
        <v>0</v>
      </c>
      <c r="CC557" s="5" t="n">
        <v>86.38500000000001</v>
      </c>
      <c r="CD557" s="5" t="n">
        <v>7.95</v>
      </c>
      <c r="CE557" s="5" t="n">
        <v>0</v>
      </c>
      <c r="CF557" s="5" t="n">
        <v>86.38500000000001</v>
      </c>
      <c r="CG557" s="5" t="n">
        <v>0</v>
      </c>
      <c r="CH557" s="5" t="n">
        <v>1</v>
      </c>
      <c r="CI557" s="5" t="n">
        <v>0</v>
      </c>
      <c r="CJ557" s="5" t="n">
        <v>0</v>
      </c>
      <c r="CK557" s="5" t="n">
        <v>0</v>
      </c>
      <c r="CL557" s="5" t="n">
        <v>0</v>
      </c>
      <c r="CM557" s="5" t="n">
        <v>0</v>
      </c>
      <c r="CN557" s="5" t="n">
        <v>0</v>
      </c>
      <c r="CO557" s="5" t="n">
        <v>0</v>
      </c>
      <c r="CP557" s="5" t="n">
        <v>1</v>
      </c>
      <c r="CQ557" s="5" t="n">
        <v>1.387</v>
      </c>
      <c r="CR557" s="5" t="n">
        <v>1</v>
      </c>
      <c r="CS557" s="5" t="n">
        <v>5.48</v>
      </c>
      <c r="CT557" s="5" t="n">
        <v>3.509</v>
      </c>
      <c r="CU557" s="5" t="n">
        <v>7.598</v>
      </c>
    </row>
    <row r="558">
      <c r="A558" s="5" t="inlineStr">
        <is>
          <t>NAM2021</t>
        </is>
      </c>
      <c r="B558" s="5" t="inlineStr">
        <is>
          <t>NAM</t>
        </is>
      </c>
      <c r="C558" s="5" t="inlineStr">
        <is>
          <t>NAM</t>
        </is>
      </c>
      <c r="D558" s="5" t="inlineStr">
        <is>
          <t>Namibia</t>
        </is>
      </c>
      <c r="E558" s="5" t="n">
        <v>2021</v>
      </c>
      <c r="F558" s="5" t="n">
        <v>0.15</v>
      </c>
      <c r="G558" s="5" t="n">
        <v>5.897</v>
      </c>
      <c r="H558" s="5" t="n">
        <v>1.143</v>
      </c>
      <c r="I558" s="5" t="n">
        <v>0</v>
      </c>
      <c r="J558" s="5" t="n">
        <v>5.897</v>
      </c>
      <c r="K558" s="5" t="n">
        <v>0</v>
      </c>
      <c r="L558" s="5" t="n">
        <v>1</v>
      </c>
      <c r="M558" s="5" t="n">
        <v>7.964</v>
      </c>
      <c r="N558" s="5" t="n">
        <v>3.43</v>
      </c>
      <c r="O558" s="5" t="n">
        <v>0</v>
      </c>
      <c r="P558" s="5" t="n">
        <v>7.964</v>
      </c>
      <c r="Q558" s="5" t="n">
        <v>0</v>
      </c>
      <c r="R558" s="5" t="n">
        <v>1</v>
      </c>
      <c r="S558" s="5" t="n">
        <v>11.613</v>
      </c>
      <c r="T558" s="5" t="n">
        <v>6.86</v>
      </c>
      <c r="U558" s="5" t="n">
        <v>0</v>
      </c>
      <c r="V558" s="5" t="n">
        <v>13.355</v>
      </c>
      <c r="W558" s="5" t="n">
        <v>0.15</v>
      </c>
      <c r="X558" s="5" t="n">
        <v>1</v>
      </c>
      <c r="Y558" s="5" t="n">
        <v>16.268</v>
      </c>
      <c r="Z558" s="5" t="n">
        <v>2.199</v>
      </c>
      <c r="AA558" s="5" t="n">
        <v>0</v>
      </c>
      <c r="AB558" s="5" t="n">
        <v>16.268</v>
      </c>
      <c r="AC558" s="5" t="n">
        <v>0</v>
      </c>
      <c r="AD558" s="5" t="n">
        <v>1</v>
      </c>
      <c r="AE558" s="5" t="n">
        <v>17.411</v>
      </c>
      <c r="AF558" s="5" t="n">
        <v>4.071</v>
      </c>
      <c r="AG558" s="5" t="n">
        <v>0</v>
      </c>
      <c r="AH558" s="5" t="n">
        <v>17.411</v>
      </c>
      <c r="AI558" s="5" t="n">
        <v>0</v>
      </c>
      <c r="AJ558" s="5" t="n">
        <v>1</v>
      </c>
      <c r="AK558" s="5" t="n">
        <v>24.271</v>
      </c>
      <c r="AL558" s="5" t="n">
        <v>12.927</v>
      </c>
      <c r="AM558" s="5" t="n">
        <v>0</v>
      </c>
      <c r="AN558" s="5" t="n">
        <v>27.911</v>
      </c>
      <c r="AO558" s="5" t="n">
        <v>0.15</v>
      </c>
      <c r="AP558" s="5" t="n">
        <v>1</v>
      </c>
      <c r="AQ558" s="5" t="n">
        <v>0.619</v>
      </c>
      <c r="AR558" s="5" t="n">
        <v>0.114</v>
      </c>
      <c r="AS558" s="5" t="n">
        <v>0.171</v>
      </c>
      <c r="AT558" s="5" t="n">
        <v>0.909</v>
      </c>
      <c r="AU558" s="5" t="n">
        <v>0.15</v>
      </c>
      <c r="AV558" s="5" t="n">
        <v>1</v>
      </c>
      <c r="AW558" s="5" t="n">
        <v>0.599</v>
      </c>
      <c r="AX558" s="5" t="n">
        <v>0.114</v>
      </c>
      <c r="AY558" s="5" t="n">
        <v>0.189</v>
      </c>
      <c r="AZ558" s="5" t="n">
        <v>0.907</v>
      </c>
      <c r="BA558" s="5" t="n">
        <v>0.15</v>
      </c>
      <c r="BB558" s="5" t="n">
        <v>1</v>
      </c>
      <c r="BC558" s="5" t="n">
        <v>0.439</v>
      </c>
      <c r="BD558" s="5" t="n">
        <v>0.114</v>
      </c>
      <c r="BE558" s="5" t="n">
        <v>0</v>
      </c>
      <c r="BF558" s="5" t="n">
        <v>0.505</v>
      </c>
      <c r="BG558" s="5" t="n">
        <v>0.15</v>
      </c>
      <c r="BH558" s="5" t="n">
        <v>1</v>
      </c>
      <c r="BI558" s="5" t="n">
        <v>0.505</v>
      </c>
      <c r="BJ558" s="5" t="n">
        <v>0.114</v>
      </c>
      <c r="BK558" s="5" t="n">
        <v>0</v>
      </c>
      <c r="BL558" s="5" t="n">
        <v>0.58</v>
      </c>
      <c r="BM558" s="5" t="n">
        <v>0.15</v>
      </c>
      <c r="BN558" s="5" t="n">
        <v>1</v>
      </c>
      <c r="BO558" s="5" t="n">
        <v>0</v>
      </c>
      <c r="BP558" s="5" t="n">
        <v>0</v>
      </c>
      <c r="BQ558" s="5" t="n">
        <v>0.148</v>
      </c>
      <c r="BR558" s="5" t="n">
        <v>0</v>
      </c>
      <c r="BS558" s="5" t="n">
        <v>0.833</v>
      </c>
      <c r="BT558" s="5" t="n">
        <v>0</v>
      </c>
      <c r="BU558" s="5" t="n">
        <v>0</v>
      </c>
      <c r="BV558" s="5" t="n">
        <v>0.138</v>
      </c>
      <c r="BW558" s="5" t="n">
        <v>0.15</v>
      </c>
      <c r="BX558" s="5" t="n">
        <v>1</v>
      </c>
      <c r="BY558" s="5" t="n">
        <v>11.787</v>
      </c>
      <c r="BZ558" s="5" t="n">
        <v>0</v>
      </c>
      <c r="CA558" s="5" t="n">
        <v>11.787</v>
      </c>
      <c r="CB558" s="5" t="n">
        <v>0</v>
      </c>
      <c r="CC558" s="5" t="n">
        <v>78.125</v>
      </c>
      <c r="CD558" s="5" t="n">
        <v>7.95</v>
      </c>
      <c r="CE558" s="5" t="n">
        <v>0</v>
      </c>
      <c r="CF558" s="5" t="n">
        <v>89.84399999999999</v>
      </c>
      <c r="CG558" s="5" t="n">
        <v>0.15</v>
      </c>
      <c r="CH558" s="5" t="n">
        <v>1</v>
      </c>
      <c r="CI558" s="5" t="n">
        <v>0</v>
      </c>
      <c r="CJ558" s="5" t="n">
        <v>0</v>
      </c>
      <c r="CK558" s="5" t="n">
        <v>0</v>
      </c>
      <c r="CL558" s="5" t="n">
        <v>0</v>
      </c>
      <c r="CM558" s="5" t="n">
        <v>0</v>
      </c>
      <c r="CN558" s="5" t="n">
        <v>0</v>
      </c>
      <c r="CO558" s="5" t="n">
        <v>0</v>
      </c>
      <c r="CP558" s="5" t="n">
        <v>0</v>
      </c>
      <c r="CQ558" s="5" t="n">
        <v>1.198</v>
      </c>
      <c r="CR558" s="5" t="n">
        <v>0</v>
      </c>
      <c r="CS558" s="5" t="n">
        <v>10.295</v>
      </c>
      <c r="CT558" s="5" t="n">
        <v>4.753</v>
      </c>
      <c r="CU558" s="5" t="n">
        <v>15.162</v>
      </c>
    </row>
    <row r="559">
      <c r="A559" s="5" t="inlineStr">
        <is>
          <t>NAM2022</t>
        </is>
      </c>
      <c r="B559" s="5" t="inlineStr">
        <is>
          <t>NAM</t>
        </is>
      </c>
      <c r="C559" s="5" t="inlineStr">
        <is>
          <t>NAM</t>
        </is>
      </c>
      <c r="D559" s="5" t="inlineStr">
        <is>
          <t>Namibia</t>
        </is>
      </c>
      <c r="E559" s="5" t="n">
        <v>2022</v>
      </c>
      <c r="F559" s="5" t="n">
        <v>0.15</v>
      </c>
      <c r="G559" s="5" t="n">
        <v>11.72</v>
      </c>
      <c r="H559" s="5" t="n">
        <v>1.235</v>
      </c>
      <c r="I559" s="5" t="n">
        <v>0</v>
      </c>
      <c r="J559" s="5" t="n">
        <v>11.72</v>
      </c>
      <c r="K559" s="5" t="n">
        <v>0</v>
      </c>
      <c r="L559" s="5" t="n">
        <v>1</v>
      </c>
      <c r="M559" s="5" t="n">
        <v>9.782999999999999</v>
      </c>
      <c r="N559" s="5" t="n">
        <v>3.704</v>
      </c>
      <c r="O559" s="5" t="n">
        <v>0</v>
      </c>
      <c r="P559" s="5" t="n">
        <v>9.782999999999999</v>
      </c>
      <c r="Q559" s="5" t="n">
        <v>0</v>
      </c>
      <c r="R559" s="5" t="n">
        <v>1</v>
      </c>
      <c r="S559" s="5" t="n">
        <v>17.893</v>
      </c>
      <c r="T559" s="5" t="n">
        <v>7.408</v>
      </c>
      <c r="U559" s="5" t="n">
        <v>0.199</v>
      </c>
      <c r="V559" s="5" t="n">
        <v>20.577</v>
      </c>
      <c r="W559" s="5" t="n">
        <v>0.15</v>
      </c>
      <c r="X559" s="5" t="n">
        <v>1</v>
      </c>
      <c r="Y559" s="5" t="n">
        <v>32.398</v>
      </c>
      <c r="Z559" s="5" t="n">
        <v>4.379</v>
      </c>
      <c r="AA559" s="5" t="n">
        <v>0</v>
      </c>
      <c r="AB559" s="5" t="n">
        <v>32.398</v>
      </c>
      <c r="AC559" s="5" t="n">
        <v>0</v>
      </c>
      <c r="AD559" s="5" t="n">
        <v>1</v>
      </c>
      <c r="AE559" s="5" t="n">
        <v>33.633</v>
      </c>
      <c r="AF559" s="5" t="n">
        <v>7.864</v>
      </c>
      <c r="AG559" s="5" t="n">
        <v>0</v>
      </c>
      <c r="AH559" s="5" t="n">
        <v>33.633</v>
      </c>
      <c r="AI559" s="5" t="n">
        <v>0</v>
      </c>
      <c r="AJ559" s="5" t="n">
        <v>1</v>
      </c>
      <c r="AK559" s="5" t="n">
        <v>41.041</v>
      </c>
      <c r="AL559" s="5" t="n">
        <v>21.858</v>
      </c>
      <c r="AM559" s="5" t="n">
        <v>0.456</v>
      </c>
      <c r="AN559" s="5" t="n">
        <v>47.197</v>
      </c>
      <c r="AO559" s="5" t="n">
        <v>0.15</v>
      </c>
      <c r="AP559" s="5" t="n">
        <v>1</v>
      </c>
      <c r="AQ559" s="5" t="n">
        <v>0.861</v>
      </c>
      <c r="AR559" s="5" t="n">
        <v>0.123</v>
      </c>
      <c r="AS559" s="5" t="n">
        <v>0.154</v>
      </c>
      <c r="AT559" s="5" t="n">
        <v>1.167</v>
      </c>
      <c r="AU559" s="5" t="n">
        <v>0.15</v>
      </c>
      <c r="AV559" s="5" t="n">
        <v>1</v>
      </c>
      <c r="AW559" s="5" t="n">
        <v>0.986</v>
      </c>
      <c r="AX559" s="5" t="n">
        <v>0.123</v>
      </c>
      <c r="AY559" s="5" t="n">
        <v>0.105</v>
      </c>
      <c r="AZ559" s="5" t="n">
        <v>1.255</v>
      </c>
      <c r="BA559" s="5" t="n">
        <v>0.15</v>
      </c>
      <c r="BB559" s="5" t="n">
        <v>1</v>
      </c>
      <c r="BC559" s="5" t="n">
        <v>0.598</v>
      </c>
      <c r="BD559" s="5" t="n">
        <v>0.123</v>
      </c>
      <c r="BE559" s="5" t="n">
        <v>0.007</v>
      </c>
      <c r="BF559" s="5" t="n">
        <v>0.6879999999999999</v>
      </c>
      <c r="BG559" s="5" t="n">
        <v>0.15</v>
      </c>
      <c r="BH559" s="5" t="n">
        <v>1</v>
      </c>
      <c r="BI559" s="5" t="n">
        <v>0.612</v>
      </c>
      <c r="BJ559" s="5" t="n">
        <v>0.123</v>
      </c>
      <c r="BK559" s="5" t="n">
        <v>0.007</v>
      </c>
      <c r="BL559" s="5" t="n">
        <v>0.704</v>
      </c>
      <c r="BM559" s="5" t="n">
        <v>0.15</v>
      </c>
      <c r="BN559" s="5" t="n">
        <v>1</v>
      </c>
      <c r="BO559" s="5" t="n">
        <v>0</v>
      </c>
      <c r="BP559" s="5" t="n">
        <v>0</v>
      </c>
      <c r="BQ559" s="5" t="n">
        <v>0.136</v>
      </c>
      <c r="BR559" s="5" t="n">
        <v>0</v>
      </c>
      <c r="BS559" s="5" t="n">
        <v>0.833</v>
      </c>
      <c r="BT559" s="5" t="n">
        <v>0</v>
      </c>
      <c r="BU559" s="5" t="n">
        <v>0</v>
      </c>
      <c r="BV559" s="5" t="n">
        <v>0.127</v>
      </c>
      <c r="BW559" s="5" t="n">
        <v>0.15</v>
      </c>
      <c r="BX559" s="5" t="n">
        <v>1</v>
      </c>
      <c r="BY559" s="5" t="n">
        <v>12.729</v>
      </c>
      <c r="BZ559" s="5" t="n">
        <v>0</v>
      </c>
      <c r="CA559" s="5" t="n">
        <v>12.729</v>
      </c>
      <c r="CB559" s="5" t="n">
        <v>0</v>
      </c>
      <c r="CC559" s="5" t="n">
        <v>97.90000000000001</v>
      </c>
      <c r="CD559" s="5" t="n">
        <v>7.95</v>
      </c>
      <c r="CE559" s="5" t="n">
        <v>1.087</v>
      </c>
      <c r="CF559" s="5" t="n">
        <v>112.585</v>
      </c>
      <c r="CG559" s="5" t="n">
        <v>0.15</v>
      </c>
      <c r="CH559" s="5" t="n">
        <v>1</v>
      </c>
      <c r="CI559" s="5" t="n">
        <v>0</v>
      </c>
      <c r="CJ559" s="5" t="n">
        <v>0</v>
      </c>
      <c r="CK559" s="5" t="n">
        <v>0</v>
      </c>
      <c r="CL559" s="5" t="n">
        <v>0</v>
      </c>
      <c r="CM559" s="5" t="n">
        <v>0</v>
      </c>
      <c r="CN559" s="5" t="n">
        <v>0</v>
      </c>
      <c r="CO559" s="5" t="n">
        <v>0</v>
      </c>
      <c r="CP559" s="5" t="n">
        <v>0</v>
      </c>
      <c r="CQ559" s="5" t="n">
        <v>1.294</v>
      </c>
      <c r="CR559" s="5" t="n">
        <v>0</v>
      </c>
      <c r="CS559" s="5" t="n">
        <v>11.117</v>
      </c>
      <c r="CT559" s="5" t="n">
        <v>10.485</v>
      </c>
      <c r="CU559" s="5" t="n">
        <v>31.326</v>
      </c>
    </row>
    <row r="560">
      <c r="A560" s="5" t="inlineStr">
        <is>
          <t>NAM2023</t>
        </is>
      </c>
      <c r="B560" s="5" t="inlineStr">
        <is>
          <t>NAM</t>
        </is>
      </c>
      <c r="C560" s="5" t="inlineStr">
        <is>
          <t>NAM</t>
        </is>
      </c>
      <c r="D560" s="5" t="inlineStr">
        <is>
          <t>Namibia</t>
        </is>
      </c>
      <c r="E560" s="5" t="n">
        <v>2023</v>
      </c>
      <c r="F560" s="5" t="n">
        <v>0.15</v>
      </c>
      <c r="G560" s="5" t="n">
        <v>6.147</v>
      </c>
      <c r="H560" s="5" t="n">
        <v>1.286</v>
      </c>
      <c r="I560" s="5" t="n">
        <v>0</v>
      </c>
      <c r="J560" s="5" t="n">
        <v>6.147</v>
      </c>
      <c r="K560" s="5" t="n">
        <v>0</v>
      </c>
      <c r="L560" s="5" t="n">
        <v>1</v>
      </c>
      <c r="M560" s="5" t="n">
        <v>7.886</v>
      </c>
      <c r="N560" s="5" t="n">
        <v>3.857</v>
      </c>
      <c r="O560" s="5" t="n">
        <v>0</v>
      </c>
      <c r="P560" s="5" t="n">
        <v>7.886</v>
      </c>
      <c r="Q560" s="5" t="n">
        <v>0</v>
      </c>
      <c r="R560" s="5" t="n">
        <v>1</v>
      </c>
      <c r="S560" s="5" t="n">
        <v>12.575</v>
      </c>
      <c r="T560" s="5" t="n">
        <v>7.714</v>
      </c>
      <c r="U560" s="5" t="n">
        <v>0.209</v>
      </c>
      <c r="V560" s="5" t="n">
        <v>14.461</v>
      </c>
      <c r="W560" s="5" t="n">
        <v>0.15</v>
      </c>
      <c r="X560" s="5" t="n">
        <v>1</v>
      </c>
      <c r="Y560" s="5" t="n">
        <v>12.851</v>
      </c>
      <c r="Z560" s="5" t="n">
        <v>1.737</v>
      </c>
      <c r="AA560" s="5" t="n">
        <v>0</v>
      </c>
      <c r="AB560" s="5" t="n">
        <v>12.851</v>
      </c>
      <c r="AC560" s="5" t="n">
        <v>0</v>
      </c>
      <c r="AD560" s="5" t="n">
        <v>1</v>
      </c>
      <c r="AE560" s="5" t="n">
        <v>14.136</v>
      </c>
      <c r="AF560" s="5" t="n">
        <v>3.306</v>
      </c>
      <c r="AG560" s="5" t="n">
        <v>0</v>
      </c>
      <c r="AH560" s="5" t="n">
        <v>14.136</v>
      </c>
      <c r="AI560" s="5" t="n">
        <v>0</v>
      </c>
      <c r="AJ560" s="5" t="n">
        <v>1</v>
      </c>
      <c r="AK560" s="5" t="n">
        <v>21.85</v>
      </c>
      <c r="AL560" s="5" t="n">
        <v>11.637</v>
      </c>
      <c r="AM560" s="5" t="n">
        <v>0.363</v>
      </c>
      <c r="AN560" s="5" t="n">
        <v>25.128</v>
      </c>
      <c r="AO560" s="5" t="n">
        <v>0.15</v>
      </c>
      <c r="AP560" s="5" t="n">
        <v>1</v>
      </c>
      <c r="AQ560" s="5" t="n">
        <v>0.76</v>
      </c>
      <c r="AR560" s="5" t="n">
        <v>0.129</v>
      </c>
      <c r="AS560" s="5" t="n">
        <v>0.196</v>
      </c>
      <c r="AT560" s="5" t="n">
        <v>1.1</v>
      </c>
      <c r="AU560" s="5" t="n">
        <v>0.15</v>
      </c>
      <c r="AV560" s="5" t="n">
        <v>1</v>
      </c>
      <c r="AW560" s="5" t="n">
        <v>0.8110000000000001</v>
      </c>
      <c r="AX560" s="5" t="n">
        <v>0.129</v>
      </c>
      <c r="AY560" s="5" t="n">
        <v>0.162</v>
      </c>
      <c r="AZ560" s="5" t="n">
        <v>1.12</v>
      </c>
      <c r="BA560" s="5" t="n">
        <v>0.15</v>
      </c>
      <c r="BB560" s="5" t="n">
        <v>1</v>
      </c>
      <c r="BC560" s="5" t="n">
        <v>0.535</v>
      </c>
      <c r="BD560" s="5" t="n">
        <v>0.129</v>
      </c>
      <c r="BE560" s="5" t="n">
        <v>0.008999999999999999</v>
      </c>
      <c r="BF560" s="5" t="n">
        <v>0.615</v>
      </c>
      <c r="BG560" s="5" t="n">
        <v>0.15</v>
      </c>
      <c r="BH560" s="5" t="n">
        <v>1</v>
      </c>
      <c r="BI560" s="5" t="n">
        <v>0.579</v>
      </c>
      <c r="BJ560" s="5" t="n">
        <v>0.129</v>
      </c>
      <c r="BK560" s="5" t="n">
        <v>0.01</v>
      </c>
      <c r="BL560" s="5" t="n">
        <v>0.666</v>
      </c>
      <c r="BM560" s="5" t="n">
        <v>0.15</v>
      </c>
      <c r="BN560" s="5" t="n">
        <v>1</v>
      </c>
      <c r="BO560" s="5" t="n">
        <v>0</v>
      </c>
      <c r="BP560" s="5" t="n">
        <v>0</v>
      </c>
      <c r="BQ560" s="5" t="n">
        <v>0.08699999999999999</v>
      </c>
      <c r="BR560" s="5" t="n">
        <v>0</v>
      </c>
      <c r="BS560" s="5" t="n">
        <v>0.833</v>
      </c>
      <c r="BT560" s="5" t="n">
        <v>0</v>
      </c>
      <c r="BU560" s="5" t="n">
        <v>0</v>
      </c>
      <c r="BV560" s="5" t="n">
        <v>0.131</v>
      </c>
      <c r="BW560" s="5" t="n">
        <v>0.15</v>
      </c>
      <c r="BX560" s="5" t="n">
        <v>1</v>
      </c>
      <c r="BY560" s="5" t="n">
        <v>13.254</v>
      </c>
      <c r="BZ560" s="5" t="n">
        <v>0</v>
      </c>
      <c r="CA560" s="5" t="n">
        <v>13.254</v>
      </c>
      <c r="CB560" s="5" t="n">
        <v>0</v>
      </c>
      <c r="CC560" s="5" t="n">
        <v>83.248</v>
      </c>
      <c r="CD560" s="5" t="n">
        <v>7.95</v>
      </c>
      <c r="CE560" s="5" t="n">
        <v>1.383</v>
      </c>
      <c r="CF560" s="5" t="n">
        <v>95.735</v>
      </c>
      <c r="CG560" s="5" t="n">
        <v>0.15</v>
      </c>
      <c r="CH560" s="5" t="n">
        <v>1</v>
      </c>
      <c r="CI560" s="5" t="n">
        <v>0</v>
      </c>
      <c r="CJ560" s="5" t="n">
        <v>0</v>
      </c>
      <c r="CK560" s="5" t="n">
        <v>0</v>
      </c>
      <c r="CL560" s="5" t="n">
        <v>0</v>
      </c>
      <c r="CM560" s="5" t="n">
        <v>0</v>
      </c>
      <c r="CN560" s="5" t="n">
        <v>0</v>
      </c>
      <c r="CO560" s="5" t="n">
        <v>0</v>
      </c>
      <c r="CP560" s="5" t="n">
        <v>0</v>
      </c>
      <c r="CQ560" s="5" t="n">
        <v>1.348</v>
      </c>
      <c r="CR560" s="5" t="n">
        <v>0</v>
      </c>
      <c r="CS560" s="5" t="n">
        <v>11.576</v>
      </c>
      <c r="CT560" s="5" t="n">
        <v>4.861</v>
      </c>
      <c r="CU560" s="5" t="n">
        <v>11.622</v>
      </c>
    </row>
    <row r="561">
      <c r="A561" s="5" t="inlineStr">
        <is>
          <t>NAM2024</t>
        </is>
      </c>
      <c r="B561" s="5" t="inlineStr">
        <is>
          <t>NAM</t>
        </is>
      </c>
      <c r="C561" s="5" t="inlineStr">
        <is>
          <t>NAM</t>
        </is>
      </c>
      <c r="D561" s="5" t="inlineStr">
        <is>
          <t>Namibia</t>
        </is>
      </c>
      <c r="E561" s="5" t="n">
        <v>2024</v>
      </c>
      <c r="F561" s="5" t="n">
        <v>0.15</v>
      </c>
      <c r="G561" s="5" t="n">
        <v>5.575</v>
      </c>
      <c r="H561" s="5" t="n">
        <v>1.324</v>
      </c>
      <c r="I561" s="5" t="n">
        <v>0</v>
      </c>
      <c r="J561" s="5" t="n">
        <v>5.575</v>
      </c>
      <c r="K561" s="5" t="n">
        <v>0</v>
      </c>
      <c r="L561" s="5" t="n">
        <v>1</v>
      </c>
      <c r="M561" s="5" t="n">
        <v>7.124</v>
      </c>
      <c r="N561" s="5" t="n">
        <v>3.971</v>
      </c>
      <c r="O561" s="5" t="n">
        <v>0</v>
      </c>
      <c r="P561" s="5" t="n">
        <v>7.124</v>
      </c>
      <c r="Q561" s="5" t="n">
        <v>0</v>
      </c>
      <c r="R561" s="5" t="n">
        <v>1</v>
      </c>
      <c r="S561" s="5" t="n">
        <v>12.193</v>
      </c>
      <c r="T561" s="5" t="n">
        <v>7.942</v>
      </c>
      <c r="U561" s="5" t="n">
        <v>0.249</v>
      </c>
      <c r="V561" s="5" t="n">
        <v>14.022</v>
      </c>
      <c r="W561" s="5" t="n">
        <v>0.15</v>
      </c>
      <c r="X561" s="5" t="n">
        <v>1</v>
      </c>
      <c r="Y561" s="5" t="n">
        <v>11.442</v>
      </c>
      <c r="Z561" s="5" t="n">
        <v>1.546</v>
      </c>
      <c r="AA561" s="5" t="n">
        <v>0</v>
      </c>
      <c r="AB561" s="5" t="n">
        <v>11.442</v>
      </c>
      <c r="AC561" s="5" t="n">
        <v>0</v>
      </c>
      <c r="AD561" s="5" t="n">
        <v>1</v>
      </c>
      <c r="AE561" s="5" t="n">
        <v>12.766</v>
      </c>
      <c r="AF561" s="5" t="n">
        <v>2.985</v>
      </c>
      <c r="AG561" s="5" t="n">
        <v>0</v>
      </c>
      <c r="AH561" s="5" t="n">
        <v>12.766</v>
      </c>
      <c r="AI561" s="5" t="n">
        <v>0</v>
      </c>
      <c r="AJ561" s="5" t="n">
        <v>1</v>
      </c>
      <c r="AK561" s="5" t="n">
        <v>20.707</v>
      </c>
      <c r="AL561" s="5" t="n">
        <v>11.029</v>
      </c>
      <c r="AM561" s="5" t="n">
        <v>0.423</v>
      </c>
      <c r="AN561" s="5" t="n">
        <v>23.813</v>
      </c>
      <c r="AO561" s="5" t="n">
        <v>0.15</v>
      </c>
      <c r="AP561" s="5" t="n">
        <v>1</v>
      </c>
      <c r="AQ561" s="5" t="n">
        <v>0.724</v>
      </c>
      <c r="AR561" s="5" t="n">
        <v>0.132</v>
      </c>
      <c r="AS561" s="5" t="n">
        <v>0.291</v>
      </c>
      <c r="AT561" s="5" t="n">
        <v>1.168</v>
      </c>
      <c r="AU561" s="5" t="n">
        <v>0.15</v>
      </c>
      <c r="AV561" s="5" t="n">
        <v>1</v>
      </c>
      <c r="AW561" s="5" t="n">
        <v>0.75</v>
      </c>
      <c r="AX561" s="5" t="n">
        <v>0.132</v>
      </c>
      <c r="AY561" s="5" t="n">
        <v>0.246</v>
      </c>
      <c r="AZ561" s="5" t="n">
        <v>1.146</v>
      </c>
      <c r="BA561" s="5" t="n">
        <v>0.15</v>
      </c>
      <c r="BB561" s="5" t="n">
        <v>1</v>
      </c>
      <c r="BC561" s="5" t="n">
        <v>0.513</v>
      </c>
      <c r="BD561" s="5" t="n">
        <v>0.132</v>
      </c>
      <c r="BE561" s="5" t="n">
        <v>0.01</v>
      </c>
      <c r="BF561" s="5" t="n">
        <v>0.59</v>
      </c>
      <c r="BG561" s="5" t="n">
        <v>0.15</v>
      </c>
      <c r="BH561" s="5" t="n">
        <v>1</v>
      </c>
      <c r="BI561" s="5" t="n">
        <v>0.591</v>
      </c>
      <c r="BJ561" s="5" t="n">
        <v>0.132</v>
      </c>
      <c r="BK561" s="5" t="n">
        <v>0.012</v>
      </c>
      <c r="BL561" s="5" t="n">
        <v>0.68</v>
      </c>
      <c r="BM561" s="5" t="n">
        <v>0.15</v>
      </c>
      <c r="BN561" s="5" t="n">
        <v>1</v>
      </c>
      <c r="BO561" s="5" t="n">
        <v>0</v>
      </c>
      <c r="BP561" s="5" t="n">
        <v>0</v>
      </c>
      <c r="BQ561" s="5" t="n">
        <v>0.089</v>
      </c>
      <c r="BR561" s="5" t="n">
        <v>0</v>
      </c>
      <c r="BS561" s="5" t="n">
        <v>0.833</v>
      </c>
      <c r="BT561" s="5" t="n">
        <v>0</v>
      </c>
      <c r="BU561" s="5" t="n">
        <v>0</v>
      </c>
      <c r="BV561" s="5" t="n">
        <v>0.148</v>
      </c>
      <c r="BW561" s="5" t="n">
        <v>0.15</v>
      </c>
      <c r="BX561" s="5" t="n">
        <v>1</v>
      </c>
      <c r="BY561" s="5" t="n">
        <v>13.646</v>
      </c>
      <c r="BZ561" s="5" t="n">
        <v>0</v>
      </c>
      <c r="CA561" s="5" t="n">
        <v>13.646</v>
      </c>
      <c r="CB561" s="5" t="n">
        <v>0</v>
      </c>
      <c r="CC561" s="5" t="n">
        <v>82.58799999999999</v>
      </c>
      <c r="CD561" s="5" t="n">
        <v>7.95</v>
      </c>
      <c r="CE561" s="5" t="n">
        <v>1.687</v>
      </c>
      <c r="CF561" s="5" t="n">
        <v>94.976</v>
      </c>
      <c r="CG561" s="5" t="n">
        <v>0.15</v>
      </c>
      <c r="CH561" s="5" t="n">
        <v>1</v>
      </c>
      <c r="CI561" s="5" t="n">
        <v>0</v>
      </c>
      <c r="CJ561" s="5" t="n">
        <v>0</v>
      </c>
      <c r="CK561" s="5" t="n">
        <v>0</v>
      </c>
      <c r="CL561" s="5" t="n">
        <v>0</v>
      </c>
      <c r="CM561" s="5" t="n">
        <v>0</v>
      </c>
      <c r="CN561" s="5" t="n">
        <v>0</v>
      </c>
      <c r="CO561" s="5" t="n">
        <v>0</v>
      </c>
      <c r="CP561" s="5" t="n">
        <v>0</v>
      </c>
      <c r="CQ561" s="5" t="n">
        <v>1.387</v>
      </c>
      <c r="CR561" s="5" t="n">
        <v>0</v>
      </c>
      <c r="CS561" s="5" t="n">
        <v>10.168</v>
      </c>
      <c r="CT561" s="5" t="n">
        <v>4.251</v>
      </c>
      <c r="CU561" s="5" t="n">
        <v>10.168</v>
      </c>
    </row>
    <row r="562">
      <c r="A562" s="5" t="inlineStr">
        <is>
          <t>NRU2021</t>
        </is>
      </c>
      <c r="B562" s="5" t="inlineStr">
        <is>
          <t>NRU</t>
        </is>
      </c>
      <c r="C562" s="5" t="inlineStr">
        <is>
          <t>NRU</t>
        </is>
      </c>
      <c r="D562" s="5" t="inlineStr">
        <is>
          <t>Nauru</t>
        </is>
      </c>
      <c r="E562" s="5" t="n">
        <v>2021</v>
      </c>
      <c r="F562" s="5" t="n">
        <v>0</v>
      </c>
      <c r="G562" s="5" t="n">
        <v>4.747</v>
      </c>
      <c r="H562" s="5" t="n">
        <v>1.143</v>
      </c>
      <c r="I562" s="5" t="n">
        <v>0</v>
      </c>
      <c r="J562" s="5" t="n">
        <v>4.747</v>
      </c>
      <c r="K562" s="5" t="n">
        <v>0</v>
      </c>
      <c r="L562" s="5" t="n">
        <v>1</v>
      </c>
      <c r="M562" s="5" t="n">
        <v>7.964</v>
      </c>
      <c r="N562" s="5" t="n">
        <v>3.43</v>
      </c>
      <c r="O562" s="5" t="n">
        <v>0</v>
      </c>
      <c r="P562" s="5" t="n">
        <v>7.964</v>
      </c>
      <c r="Q562" s="5" t="n">
        <v>0</v>
      </c>
      <c r="R562" s="5" t="n">
        <v>1</v>
      </c>
      <c r="S562" s="5" t="n">
        <v>10.464</v>
      </c>
      <c r="T562" s="5" t="n">
        <v>6.86</v>
      </c>
      <c r="U562" s="5" t="n">
        <v>0</v>
      </c>
      <c r="V562" s="5" t="n">
        <v>10.464</v>
      </c>
      <c r="W562" s="5" t="n">
        <v>0</v>
      </c>
      <c r="X562" s="5" t="n">
        <v>1</v>
      </c>
      <c r="Y562" s="5" t="n">
        <v>10.551</v>
      </c>
      <c r="Z562" s="5" t="n">
        <v>1.302</v>
      </c>
      <c r="AA562" s="5" t="n">
        <v>0</v>
      </c>
      <c r="AB562" s="5" t="n">
        <v>10.551</v>
      </c>
      <c r="AC562" s="5" t="n">
        <v>0</v>
      </c>
      <c r="AD562" s="5" t="n">
        <v>1</v>
      </c>
      <c r="AE562" s="5" t="n">
        <v>11.694</v>
      </c>
      <c r="AF562" s="5" t="n">
        <v>2.549</v>
      </c>
      <c r="AG562" s="5" t="n">
        <v>0</v>
      </c>
      <c r="AH562" s="5" t="n">
        <v>11.694</v>
      </c>
      <c r="AI562" s="5" t="n">
        <v>0</v>
      </c>
      <c r="AJ562" s="5" t="n">
        <v>1</v>
      </c>
      <c r="AK562" s="5" t="n">
        <v>18.554</v>
      </c>
      <c r="AL562" s="5" t="n">
        <v>9.627000000000001</v>
      </c>
      <c r="AM562" s="5" t="n">
        <v>0</v>
      </c>
      <c r="AN562" s="5" t="n">
        <v>18.554</v>
      </c>
      <c r="AO562" s="5" t="n">
        <v>0</v>
      </c>
      <c r="AP562" s="5" t="n">
        <v>1</v>
      </c>
      <c r="AQ562" s="5" t="n">
        <v>0.621</v>
      </c>
      <c r="AR562" s="5" t="n">
        <v>0.114</v>
      </c>
      <c r="AS562" s="5" t="n">
        <v>0</v>
      </c>
      <c r="AT562" s="5" t="n">
        <v>0.621</v>
      </c>
      <c r="AU562" s="5" t="n">
        <v>0</v>
      </c>
      <c r="AV562" s="5" t="n">
        <v>1</v>
      </c>
      <c r="AW562" s="5" t="n">
        <v>0.593</v>
      </c>
      <c r="AX562" s="5" t="n">
        <v>0.114</v>
      </c>
      <c r="AY562" s="5" t="n">
        <v>0</v>
      </c>
      <c r="AZ562" s="5" t="n">
        <v>0.593</v>
      </c>
      <c r="BA562" s="5" t="n">
        <v>0</v>
      </c>
      <c r="BB562" s="5" t="n">
        <v>1</v>
      </c>
      <c r="BC562" s="5" t="n">
        <v>0.44</v>
      </c>
      <c r="BD562" s="5" t="n">
        <v>0.114</v>
      </c>
      <c r="BE562" s="5" t="n">
        <v>0</v>
      </c>
      <c r="BF562" s="5" t="n">
        <v>0.44</v>
      </c>
      <c r="BG562" s="5" t="n">
        <v>0</v>
      </c>
      <c r="BH562" s="5" t="n">
        <v>1</v>
      </c>
      <c r="BI562" s="5" t="n">
        <v>0.5600000000000001</v>
      </c>
      <c r="BJ562" s="5" t="n">
        <v>0.114</v>
      </c>
      <c r="BK562" s="5" t="n">
        <v>0</v>
      </c>
      <c r="BL562" s="5" t="n">
        <v>0.5600000000000001</v>
      </c>
      <c r="BM562" s="5" t="n">
        <v>0</v>
      </c>
      <c r="BN562" s="5" t="n">
        <v>1</v>
      </c>
      <c r="BO562" s="5" t="n">
        <v>0</v>
      </c>
      <c r="BP562" s="5" t="n">
        <v>0</v>
      </c>
      <c r="BQ562" s="5" t="n">
        <v>0</v>
      </c>
      <c r="BR562" s="5" t="n">
        <v>0</v>
      </c>
      <c r="BS562" s="5" t="n">
        <v>1</v>
      </c>
      <c r="BT562" s="5" t="n">
        <v>0</v>
      </c>
      <c r="BU562" s="5" t="n">
        <v>0</v>
      </c>
      <c r="BV562" s="5" t="n">
        <v>0</v>
      </c>
      <c r="BW562" s="5" t="n">
        <v>0</v>
      </c>
      <c r="BX562" s="5" t="n">
        <v>1</v>
      </c>
      <c r="BY562" s="5" t="n">
        <v>11.787</v>
      </c>
      <c r="BZ562" s="5" t="n">
        <v>0</v>
      </c>
      <c r="CA562" s="5" t="n">
        <v>11.787</v>
      </c>
      <c r="CB562" s="5" t="n">
        <v>0</v>
      </c>
      <c r="CC562" s="5" t="n">
        <v>81.69499999999999</v>
      </c>
      <c r="CD562" s="5" t="n">
        <v>7.95</v>
      </c>
      <c r="CE562" s="5" t="n">
        <v>0</v>
      </c>
      <c r="CF562" s="5" t="n">
        <v>81.69499999999999</v>
      </c>
      <c r="CG562" s="5" t="n">
        <v>0</v>
      </c>
      <c r="CH562" s="5" t="n">
        <v>1</v>
      </c>
      <c r="CI562" s="5" t="n">
        <v>0</v>
      </c>
      <c r="CJ562" s="5" t="n">
        <v>0</v>
      </c>
      <c r="CK562" s="5" t="n">
        <v>0</v>
      </c>
      <c r="CL562" s="5" t="n">
        <v>0</v>
      </c>
      <c r="CM562" s="5" t="n">
        <v>0</v>
      </c>
      <c r="CN562" s="5" t="n">
        <v>0</v>
      </c>
      <c r="CO562" s="5" t="n">
        <v>0</v>
      </c>
      <c r="CP562" s="5" t="n">
        <v>0</v>
      </c>
      <c r="CQ562" s="5" t="n">
        <v>1.198</v>
      </c>
      <c r="CR562" s="5" t="n">
        <v>0</v>
      </c>
      <c r="CS562" s="5" t="n">
        <v>4.776</v>
      </c>
      <c r="CT562" s="5" t="n">
        <v>3.604</v>
      </c>
      <c r="CU562" s="5" t="n">
        <v>9.407999999999999</v>
      </c>
    </row>
    <row r="563">
      <c r="A563" s="5" t="inlineStr">
        <is>
          <t>NRU2022</t>
        </is>
      </c>
      <c r="B563" s="5" t="inlineStr">
        <is>
          <t>NRU</t>
        </is>
      </c>
      <c r="C563" s="5" t="inlineStr">
        <is>
          <t>NRU</t>
        </is>
      </c>
      <c r="D563" s="5" t="inlineStr">
        <is>
          <t>Nauru</t>
        </is>
      </c>
      <c r="E563" s="5" t="n">
        <v>2022</v>
      </c>
      <c r="F563" s="5" t="n">
        <v>0</v>
      </c>
      <c r="G563" s="5" t="n">
        <v>8.788</v>
      </c>
      <c r="H563" s="5" t="n">
        <v>1.235</v>
      </c>
      <c r="I563" s="5" t="n">
        <v>0</v>
      </c>
      <c r="J563" s="5" t="n">
        <v>8.788</v>
      </c>
      <c r="K563" s="5" t="n">
        <v>0</v>
      </c>
      <c r="L563" s="5" t="n">
        <v>1</v>
      </c>
      <c r="M563" s="5" t="n">
        <v>9.782999999999999</v>
      </c>
      <c r="N563" s="5" t="n">
        <v>3.704</v>
      </c>
      <c r="O563" s="5" t="n">
        <v>0</v>
      </c>
      <c r="P563" s="5" t="n">
        <v>9.782999999999999</v>
      </c>
      <c r="Q563" s="5" t="n">
        <v>0</v>
      </c>
      <c r="R563" s="5" t="n">
        <v>1</v>
      </c>
      <c r="S563" s="5" t="n">
        <v>14.962</v>
      </c>
      <c r="T563" s="5" t="n">
        <v>7.408</v>
      </c>
      <c r="U563" s="5" t="n">
        <v>0</v>
      </c>
      <c r="V563" s="5" t="n">
        <v>14.962</v>
      </c>
      <c r="W563" s="5" t="n">
        <v>0</v>
      </c>
      <c r="X563" s="5" t="n">
        <v>1</v>
      </c>
      <c r="Y563" s="5" t="n">
        <v>17.332</v>
      </c>
      <c r="Z563" s="5" t="n">
        <v>2.139</v>
      </c>
      <c r="AA563" s="5" t="n">
        <v>0</v>
      </c>
      <c r="AB563" s="5" t="n">
        <v>17.332</v>
      </c>
      <c r="AC563" s="5" t="n">
        <v>0</v>
      </c>
      <c r="AD563" s="5" t="n">
        <v>1</v>
      </c>
      <c r="AE563" s="5" t="n">
        <v>18.566</v>
      </c>
      <c r="AF563" s="5" t="n">
        <v>4.048</v>
      </c>
      <c r="AG563" s="5" t="n">
        <v>0</v>
      </c>
      <c r="AH563" s="5" t="n">
        <v>18.566</v>
      </c>
      <c r="AI563" s="5" t="n">
        <v>0</v>
      </c>
      <c r="AJ563" s="5" t="n">
        <v>1</v>
      </c>
      <c r="AK563" s="5" t="n">
        <v>25.974</v>
      </c>
      <c r="AL563" s="5" t="n">
        <v>13.478</v>
      </c>
      <c r="AM563" s="5" t="n">
        <v>0</v>
      </c>
      <c r="AN563" s="5" t="n">
        <v>25.974</v>
      </c>
      <c r="AO563" s="5" t="n">
        <v>0</v>
      </c>
      <c r="AP563" s="5" t="n">
        <v>1</v>
      </c>
      <c r="AQ563" s="5" t="n">
        <v>0.847</v>
      </c>
      <c r="AR563" s="5" t="n">
        <v>0.123</v>
      </c>
      <c r="AS563" s="5" t="n">
        <v>0</v>
      </c>
      <c r="AT563" s="5" t="n">
        <v>0.847</v>
      </c>
      <c r="AU563" s="5" t="n">
        <v>0</v>
      </c>
      <c r="AV563" s="5" t="n">
        <v>1</v>
      </c>
      <c r="AW563" s="5" t="n">
        <v>0.947</v>
      </c>
      <c r="AX563" s="5" t="n">
        <v>0.123</v>
      </c>
      <c r="AY563" s="5" t="n">
        <v>0</v>
      </c>
      <c r="AZ563" s="5" t="n">
        <v>0.947</v>
      </c>
      <c r="BA563" s="5" t="n">
        <v>0</v>
      </c>
      <c r="BB563" s="5" t="n">
        <v>1</v>
      </c>
      <c r="BC563" s="5" t="n">
        <v>0.589</v>
      </c>
      <c r="BD563" s="5" t="n">
        <v>0.123</v>
      </c>
      <c r="BE563" s="5" t="n">
        <v>0</v>
      </c>
      <c r="BF563" s="5" t="n">
        <v>0.589</v>
      </c>
      <c r="BG563" s="5" t="n">
        <v>0</v>
      </c>
      <c r="BH563" s="5" t="n">
        <v>1</v>
      </c>
      <c r="BI563" s="5" t="n">
        <v>0.6889999999999999</v>
      </c>
      <c r="BJ563" s="5" t="n">
        <v>0.123</v>
      </c>
      <c r="BK563" s="5" t="n">
        <v>0</v>
      </c>
      <c r="BL563" s="5" t="n">
        <v>0.6889999999999999</v>
      </c>
      <c r="BM563" s="5" t="n">
        <v>0</v>
      </c>
      <c r="BN563" s="5" t="n">
        <v>1</v>
      </c>
      <c r="BO563" s="5" t="n">
        <v>0</v>
      </c>
      <c r="BP563" s="5" t="n">
        <v>0</v>
      </c>
      <c r="BQ563" s="5" t="n">
        <v>0</v>
      </c>
      <c r="BR563" s="5" t="n">
        <v>0</v>
      </c>
      <c r="BS563" s="5" t="n">
        <v>1</v>
      </c>
      <c r="BT563" s="5" t="n">
        <v>0</v>
      </c>
      <c r="BU563" s="5" t="n">
        <v>0</v>
      </c>
      <c r="BV563" s="5" t="n">
        <v>0</v>
      </c>
      <c r="BW563" s="5" t="n">
        <v>0</v>
      </c>
      <c r="BX563" s="5" t="n">
        <v>1</v>
      </c>
      <c r="BY563" s="5" t="n">
        <v>12.729</v>
      </c>
      <c r="BZ563" s="5" t="n">
        <v>0</v>
      </c>
      <c r="CA563" s="5" t="n">
        <v>12.729</v>
      </c>
      <c r="CB563" s="5" t="n">
        <v>0</v>
      </c>
      <c r="CC563" s="5" t="n">
        <v>102.477</v>
      </c>
      <c r="CD563" s="5" t="n">
        <v>7.95</v>
      </c>
      <c r="CE563" s="5" t="n">
        <v>0</v>
      </c>
      <c r="CF563" s="5" t="n">
        <v>102.477</v>
      </c>
      <c r="CG563" s="5" t="n">
        <v>0</v>
      </c>
      <c r="CH563" s="5" t="n">
        <v>1</v>
      </c>
      <c r="CI563" s="5" t="n">
        <v>0</v>
      </c>
      <c r="CJ563" s="5" t="n">
        <v>0</v>
      </c>
      <c r="CK563" s="5" t="n">
        <v>0</v>
      </c>
      <c r="CL563" s="5" t="n">
        <v>0</v>
      </c>
      <c r="CM563" s="5" t="n">
        <v>0</v>
      </c>
      <c r="CN563" s="5" t="n">
        <v>0</v>
      </c>
      <c r="CO563" s="5" t="n">
        <v>0</v>
      </c>
      <c r="CP563" s="5" t="n">
        <v>0</v>
      </c>
      <c r="CQ563" s="5" t="n">
        <v>1.294</v>
      </c>
      <c r="CR563" s="5" t="n">
        <v>0</v>
      </c>
      <c r="CS563" s="5" t="n">
        <v>5.158</v>
      </c>
      <c r="CT563" s="5" t="n">
        <v>7.554</v>
      </c>
      <c r="CU563" s="5" t="n">
        <v>16.097</v>
      </c>
    </row>
    <row r="564">
      <c r="A564" s="5" t="inlineStr">
        <is>
          <t>NRU2023</t>
        </is>
      </c>
      <c r="B564" s="5" t="inlineStr">
        <is>
          <t>NRU</t>
        </is>
      </c>
      <c r="C564" s="5" t="inlineStr">
        <is>
          <t>NRU</t>
        </is>
      </c>
      <c r="D564" s="5" t="inlineStr">
        <is>
          <t>Nauru</t>
        </is>
      </c>
      <c r="E564" s="5" t="n">
        <v>2023</v>
      </c>
      <c r="F564" s="5" t="n">
        <v>0</v>
      </c>
      <c r="G564" s="5" t="n">
        <v>5.77</v>
      </c>
      <c r="H564" s="5" t="n">
        <v>1.286</v>
      </c>
      <c r="I564" s="5" t="n">
        <v>0</v>
      </c>
      <c r="J564" s="5" t="n">
        <v>5.77</v>
      </c>
      <c r="K564" s="5" t="n">
        <v>0</v>
      </c>
      <c r="L564" s="5" t="n">
        <v>1</v>
      </c>
      <c r="M564" s="5" t="n">
        <v>7.886</v>
      </c>
      <c r="N564" s="5" t="n">
        <v>3.857</v>
      </c>
      <c r="O564" s="5" t="n">
        <v>0</v>
      </c>
      <c r="P564" s="5" t="n">
        <v>7.886</v>
      </c>
      <c r="Q564" s="5" t="n">
        <v>0</v>
      </c>
      <c r="R564" s="5" t="n">
        <v>1</v>
      </c>
      <c r="S564" s="5" t="n">
        <v>12.198</v>
      </c>
      <c r="T564" s="5" t="n">
        <v>7.714</v>
      </c>
      <c r="U564" s="5" t="n">
        <v>0</v>
      </c>
      <c r="V564" s="5" t="n">
        <v>12.198</v>
      </c>
      <c r="W564" s="5" t="n">
        <v>0</v>
      </c>
      <c r="X564" s="5" t="n">
        <v>1</v>
      </c>
      <c r="Y564" s="5" t="n">
        <v>13.814</v>
      </c>
      <c r="Z564" s="5" t="n">
        <v>1.705</v>
      </c>
      <c r="AA564" s="5" t="n">
        <v>0</v>
      </c>
      <c r="AB564" s="5" t="n">
        <v>13.814</v>
      </c>
      <c r="AC564" s="5" t="n">
        <v>0</v>
      </c>
      <c r="AD564" s="5" t="n">
        <v>1</v>
      </c>
      <c r="AE564" s="5" t="n">
        <v>15.1</v>
      </c>
      <c r="AF564" s="5" t="n">
        <v>3.292</v>
      </c>
      <c r="AG564" s="5" t="n">
        <v>0</v>
      </c>
      <c r="AH564" s="5" t="n">
        <v>15.1</v>
      </c>
      <c r="AI564" s="5" t="n">
        <v>0</v>
      </c>
      <c r="AJ564" s="5" t="n">
        <v>1</v>
      </c>
      <c r="AK564" s="5" t="n">
        <v>22.814</v>
      </c>
      <c r="AL564" s="5" t="n">
        <v>11.838</v>
      </c>
      <c r="AM564" s="5" t="n">
        <v>0</v>
      </c>
      <c r="AN564" s="5" t="n">
        <v>22.814</v>
      </c>
      <c r="AO564" s="5" t="n">
        <v>0</v>
      </c>
      <c r="AP564" s="5" t="n">
        <v>1</v>
      </c>
      <c r="AQ564" s="5" t="n">
        <v>0.749</v>
      </c>
      <c r="AR564" s="5" t="n">
        <v>0.129</v>
      </c>
      <c r="AS564" s="5" t="n">
        <v>0</v>
      </c>
      <c r="AT564" s="5" t="n">
        <v>0.749</v>
      </c>
      <c r="AU564" s="5" t="n">
        <v>0</v>
      </c>
      <c r="AV564" s="5" t="n">
        <v>1</v>
      </c>
      <c r="AW564" s="5" t="n">
        <v>0.783</v>
      </c>
      <c r="AX564" s="5" t="n">
        <v>0.129</v>
      </c>
      <c r="AY564" s="5" t="n">
        <v>0</v>
      </c>
      <c r="AZ564" s="5" t="n">
        <v>0.783</v>
      </c>
      <c r="BA564" s="5" t="n">
        <v>0</v>
      </c>
      <c r="BB564" s="5" t="n">
        <v>1</v>
      </c>
      <c r="BC564" s="5" t="n">
        <v>0.527</v>
      </c>
      <c r="BD564" s="5" t="n">
        <v>0.129</v>
      </c>
      <c r="BE564" s="5" t="n">
        <v>0</v>
      </c>
      <c r="BF564" s="5" t="n">
        <v>0.527</v>
      </c>
      <c r="BG564" s="5" t="n">
        <v>0</v>
      </c>
      <c r="BH564" s="5" t="n">
        <v>1</v>
      </c>
      <c r="BI564" s="5" t="n">
        <v>0.64</v>
      </c>
      <c r="BJ564" s="5" t="n">
        <v>0.129</v>
      </c>
      <c r="BK564" s="5" t="n">
        <v>0</v>
      </c>
      <c r="BL564" s="5" t="n">
        <v>0.64</v>
      </c>
      <c r="BM564" s="5" t="n">
        <v>0</v>
      </c>
      <c r="BN564" s="5" t="n">
        <v>1</v>
      </c>
      <c r="BO564" s="5" t="n">
        <v>0</v>
      </c>
      <c r="BP564" s="5" t="n">
        <v>0</v>
      </c>
      <c r="BQ564" s="5" t="n">
        <v>0</v>
      </c>
      <c r="BR564" s="5" t="n">
        <v>0</v>
      </c>
      <c r="BS564" s="5" t="n">
        <v>1</v>
      </c>
      <c r="BT564" s="5" t="n">
        <v>0</v>
      </c>
      <c r="BU564" s="5" t="n">
        <v>0</v>
      </c>
      <c r="BV564" s="5" t="n">
        <v>0</v>
      </c>
      <c r="BW564" s="5" t="n">
        <v>0</v>
      </c>
      <c r="BX564" s="5" t="n">
        <v>1</v>
      </c>
      <c r="BY564" s="5" t="n">
        <v>13.254</v>
      </c>
      <c r="BZ564" s="5" t="n">
        <v>0</v>
      </c>
      <c r="CA564" s="5" t="n">
        <v>13.254</v>
      </c>
      <c r="CB564" s="5" t="n">
        <v>0</v>
      </c>
      <c r="CC564" s="5" t="n">
        <v>87.07899999999999</v>
      </c>
      <c r="CD564" s="5" t="n">
        <v>7.95</v>
      </c>
      <c r="CE564" s="5" t="n">
        <v>0</v>
      </c>
      <c r="CF564" s="5" t="n">
        <v>87.07899999999999</v>
      </c>
      <c r="CG564" s="5" t="n">
        <v>0</v>
      </c>
      <c r="CH564" s="5" t="n">
        <v>1</v>
      </c>
      <c r="CI564" s="5" t="n">
        <v>0</v>
      </c>
      <c r="CJ564" s="5" t="n">
        <v>0</v>
      </c>
      <c r="CK564" s="5" t="n">
        <v>0</v>
      </c>
      <c r="CL564" s="5" t="n">
        <v>0</v>
      </c>
      <c r="CM564" s="5" t="n">
        <v>0</v>
      </c>
      <c r="CN564" s="5" t="n">
        <v>0</v>
      </c>
      <c r="CO564" s="5" t="n">
        <v>0</v>
      </c>
      <c r="CP564" s="5" t="n">
        <v>0</v>
      </c>
      <c r="CQ564" s="5" t="n">
        <v>1.348</v>
      </c>
      <c r="CR564" s="5" t="n">
        <v>0</v>
      </c>
      <c r="CS564" s="5" t="n">
        <v>5.37</v>
      </c>
      <c r="CT564" s="5" t="n">
        <v>4.484</v>
      </c>
      <c r="CU564" s="5" t="n">
        <v>12.529</v>
      </c>
    </row>
    <row r="565">
      <c r="A565" s="5" t="inlineStr">
        <is>
          <t>NRU2024</t>
        </is>
      </c>
      <c r="B565" s="5" t="inlineStr">
        <is>
          <t>NRU</t>
        </is>
      </c>
      <c r="C565" s="5" t="inlineStr">
        <is>
          <t>NRU</t>
        </is>
      </c>
      <c r="D565" s="5" t="inlineStr">
        <is>
          <t>Nauru</t>
        </is>
      </c>
      <c r="E565" s="5" t="n">
        <v>2024</v>
      </c>
      <c r="F565" s="5" t="n">
        <v>0</v>
      </c>
      <c r="G565" s="5" t="n">
        <v>4.833</v>
      </c>
      <c r="H565" s="5" t="n">
        <v>1.324</v>
      </c>
      <c r="I565" s="5" t="n">
        <v>0</v>
      </c>
      <c r="J565" s="5" t="n">
        <v>4.833</v>
      </c>
      <c r="K565" s="5" t="n">
        <v>0</v>
      </c>
      <c r="L565" s="5" t="n">
        <v>1</v>
      </c>
      <c r="M565" s="5" t="n">
        <v>7.124</v>
      </c>
      <c r="N565" s="5" t="n">
        <v>3.971</v>
      </c>
      <c r="O565" s="5" t="n">
        <v>0</v>
      </c>
      <c r="P565" s="5" t="n">
        <v>7.124</v>
      </c>
      <c r="Q565" s="5" t="n">
        <v>0</v>
      </c>
      <c r="R565" s="5" t="n">
        <v>1</v>
      </c>
      <c r="S565" s="5" t="n">
        <v>11.451</v>
      </c>
      <c r="T565" s="5" t="n">
        <v>7.942</v>
      </c>
      <c r="U565" s="5" t="n">
        <v>0</v>
      </c>
      <c r="V565" s="5" t="n">
        <v>11.451</v>
      </c>
      <c r="W565" s="5" t="n">
        <v>0</v>
      </c>
      <c r="X565" s="5" t="n">
        <v>1</v>
      </c>
      <c r="Y565" s="5" t="n">
        <v>12.219</v>
      </c>
      <c r="Z565" s="5" t="n">
        <v>1.508</v>
      </c>
      <c r="AA565" s="5" t="n">
        <v>0</v>
      </c>
      <c r="AB565" s="5" t="n">
        <v>12.219</v>
      </c>
      <c r="AC565" s="5" t="n">
        <v>0</v>
      </c>
      <c r="AD565" s="5" t="n">
        <v>1</v>
      </c>
      <c r="AE565" s="5" t="n">
        <v>13.543</v>
      </c>
      <c r="AF565" s="5" t="n">
        <v>2.952</v>
      </c>
      <c r="AG565" s="5" t="n">
        <v>0</v>
      </c>
      <c r="AH565" s="5" t="n">
        <v>13.543</v>
      </c>
      <c r="AI565" s="5" t="n">
        <v>0</v>
      </c>
      <c r="AJ565" s="5" t="n">
        <v>1</v>
      </c>
      <c r="AK565" s="5" t="n">
        <v>21.484</v>
      </c>
      <c r="AL565" s="5" t="n">
        <v>11.148</v>
      </c>
      <c r="AM565" s="5" t="n">
        <v>0</v>
      </c>
      <c r="AN565" s="5" t="n">
        <v>21.484</v>
      </c>
      <c r="AO565" s="5" t="n">
        <v>0</v>
      </c>
      <c r="AP565" s="5" t="n">
        <v>1</v>
      </c>
      <c r="AQ565" s="5" t="n">
        <v>0.72</v>
      </c>
      <c r="AR565" s="5" t="n">
        <v>0.132</v>
      </c>
      <c r="AS565" s="5" t="n">
        <v>0</v>
      </c>
      <c r="AT565" s="5" t="n">
        <v>0.72</v>
      </c>
      <c r="AU565" s="5" t="n">
        <v>0</v>
      </c>
      <c r="AV565" s="5" t="n">
        <v>1</v>
      </c>
      <c r="AW565" s="5" t="n">
        <v>0.734</v>
      </c>
      <c r="AX565" s="5" t="n">
        <v>0.132</v>
      </c>
      <c r="AY565" s="5" t="n">
        <v>0</v>
      </c>
      <c r="AZ565" s="5" t="n">
        <v>0.734</v>
      </c>
      <c r="BA565" s="5" t="n">
        <v>0</v>
      </c>
      <c r="BB565" s="5" t="n">
        <v>1</v>
      </c>
      <c r="BC565" s="5" t="n">
        <v>0.51</v>
      </c>
      <c r="BD565" s="5" t="n">
        <v>0.132</v>
      </c>
      <c r="BE565" s="5" t="n">
        <v>0</v>
      </c>
      <c r="BF565" s="5" t="n">
        <v>0.51</v>
      </c>
      <c r="BG565" s="5" t="n">
        <v>0</v>
      </c>
      <c r="BH565" s="5" t="n">
        <v>1</v>
      </c>
      <c r="BI565" s="5" t="n">
        <v>0.652</v>
      </c>
      <c r="BJ565" s="5" t="n">
        <v>0.132</v>
      </c>
      <c r="BK565" s="5" t="n">
        <v>0</v>
      </c>
      <c r="BL565" s="5" t="n">
        <v>0.652</v>
      </c>
      <c r="BM565" s="5" t="n">
        <v>0</v>
      </c>
      <c r="BN565" s="5" t="n">
        <v>1</v>
      </c>
      <c r="BO565" s="5" t="n">
        <v>0</v>
      </c>
      <c r="BP565" s="5" t="n">
        <v>0</v>
      </c>
      <c r="BQ565" s="5" t="n">
        <v>0</v>
      </c>
      <c r="BR565" s="5" t="n">
        <v>0</v>
      </c>
      <c r="BS565" s="5" t="n">
        <v>1</v>
      </c>
      <c r="BT565" s="5" t="n">
        <v>0</v>
      </c>
      <c r="BU565" s="5" t="n">
        <v>0</v>
      </c>
      <c r="BV565" s="5" t="n">
        <v>0</v>
      </c>
      <c r="BW565" s="5" t="n">
        <v>0</v>
      </c>
      <c r="BX565" s="5" t="n">
        <v>1</v>
      </c>
      <c r="BY565" s="5" t="n">
        <v>13.646</v>
      </c>
      <c r="BZ565" s="5" t="n">
        <v>0</v>
      </c>
      <c r="CA565" s="5" t="n">
        <v>13.646</v>
      </c>
      <c r="CB565" s="5" t="n">
        <v>0</v>
      </c>
      <c r="CC565" s="5" t="n">
        <v>86.38500000000001</v>
      </c>
      <c r="CD565" s="5" t="n">
        <v>7.95</v>
      </c>
      <c r="CE565" s="5" t="n">
        <v>0</v>
      </c>
      <c r="CF565" s="5" t="n">
        <v>86.38500000000001</v>
      </c>
      <c r="CG565" s="5" t="n">
        <v>0</v>
      </c>
      <c r="CH565" s="5" t="n">
        <v>1</v>
      </c>
      <c r="CI565" s="5" t="n">
        <v>0</v>
      </c>
      <c r="CJ565" s="5" t="n">
        <v>0</v>
      </c>
      <c r="CK565" s="5" t="n">
        <v>0</v>
      </c>
      <c r="CL565" s="5" t="n">
        <v>0</v>
      </c>
      <c r="CM565" s="5" t="n">
        <v>0</v>
      </c>
      <c r="CN565" s="5" t="n">
        <v>0</v>
      </c>
      <c r="CO565" s="5" t="n">
        <v>0</v>
      </c>
      <c r="CP565" s="5" t="n">
        <v>0</v>
      </c>
      <c r="CQ565" s="5" t="n">
        <v>1.387</v>
      </c>
      <c r="CR565" s="5" t="n">
        <v>0</v>
      </c>
      <c r="CS565" s="5" t="n">
        <v>5.529</v>
      </c>
      <c r="CT565" s="5" t="n">
        <v>3.509</v>
      </c>
      <c r="CU565" s="5" t="n">
        <v>10.896</v>
      </c>
    </row>
    <row r="566">
      <c r="A566" s="5" t="inlineStr">
        <is>
          <t>NPL2021</t>
        </is>
      </c>
      <c r="B566" s="5" t="inlineStr">
        <is>
          <t>NPL</t>
        </is>
      </c>
      <c r="C566" s="5" t="inlineStr">
        <is>
          <t>NPL</t>
        </is>
      </c>
      <c r="D566" s="5" t="inlineStr">
        <is>
          <t>Nepal</t>
        </is>
      </c>
      <c r="E566" s="5" t="n">
        <v>2021</v>
      </c>
      <c r="F566" s="5" t="n">
        <v>0.13</v>
      </c>
      <c r="G566" s="5" t="n">
        <v>4.736</v>
      </c>
      <c r="H566" s="5" t="n">
        <v>1.141</v>
      </c>
      <c r="I566" s="5" t="n">
        <v>0</v>
      </c>
      <c r="J566" s="5" t="n">
        <v>4.736</v>
      </c>
      <c r="K566" s="5" t="n">
        <v>0</v>
      </c>
      <c r="L566" s="5" t="n">
        <v>1</v>
      </c>
      <c r="M566" s="5" t="n">
        <v>7.946</v>
      </c>
      <c r="N566" s="5" t="n">
        <v>3.424</v>
      </c>
      <c r="O566" s="5" t="n">
        <v>0</v>
      </c>
      <c r="P566" s="5" t="n">
        <v>7.946</v>
      </c>
      <c r="Q566" s="5" t="n">
        <v>0</v>
      </c>
      <c r="R566" s="5" t="n">
        <v>1</v>
      </c>
      <c r="S566" s="5" t="n">
        <v>10.442</v>
      </c>
      <c r="T566" s="5" t="n">
        <v>6.847</v>
      </c>
      <c r="U566" s="5" t="n">
        <v>0</v>
      </c>
      <c r="V566" s="5" t="n">
        <v>11.8</v>
      </c>
      <c r="W566" s="5" t="n">
        <v>0.13</v>
      </c>
      <c r="X566" s="5" t="n">
        <v>1</v>
      </c>
      <c r="Y566" s="5" t="n">
        <v>5.581</v>
      </c>
      <c r="Z566" s="5" t="n">
        <v>0.652</v>
      </c>
      <c r="AA566" s="5" t="n">
        <v>0</v>
      </c>
      <c r="AB566" s="5" t="n">
        <v>5.581</v>
      </c>
      <c r="AC566" s="5" t="n">
        <v>0</v>
      </c>
      <c r="AD566" s="5" t="n">
        <v>1</v>
      </c>
      <c r="AE566" s="5" t="n">
        <v>6.724</v>
      </c>
      <c r="AF566" s="5" t="n">
        <v>1.39</v>
      </c>
      <c r="AG566" s="5" t="n">
        <v>0</v>
      </c>
      <c r="AH566" s="5" t="n">
        <v>6.724</v>
      </c>
      <c r="AI566" s="5" t="n">
        <v>0</v>
      </c>
      <c r="AJ566" s="5" t="n">
        <v>1</v>
      </c>
      <c r="AK566" s="5" t="n">
        <v>13.584</v>
      </c>
      <c r="AL566" s="5" t="n">
        <v>6.77</v>
      </c>
      <c r="AM566" s="5" t="n">
        <v>0</v>
      </c>
      <c r="AN566" s="5" t="n">
        <v>15.35</v>
      </c>
      <c r="AO566" s="5" t="n">
        <v>0.13</v>
      </c>
      <c r="AP566" s="5" t="n">
        <v>1</v>
      </c>
      <c r="AQ566" s="5" t="n">
        <v>0.621</v>
      </c>
      <c r="AR566" s="5" t="n">
        <v>0.114</v>
      </c>
      <c r="AS566" s="5" t="n">
        <v>0.315</v>
      </c>
      <c r="AT566" s="5" t="n">
        <v>1.057</v>
      </c>
      <c r="AU566" s="5" t="n">
        <v>0.13</v>
      </c>
      <c r="AV566" s="5" t="n">
        <v>1</v>
      </c>
      <c r="AW566" s="5" t="n">
        <v>0.593</v>
      </c>
      <c r="AX566" s="5" t="n">
        <v>0.114</v>
      </c>
      <c r="AY566" s="5" t="n">
        <v>0.219</v>
      </c>
      <c r="AZ566" s="5" t="n">
        <v>0.918</v>
      </c>
      <c r="BA566" s="5" t="n">
        <v>0.13</v>
      </c>
      <c r="BB566" s="5" t="n">
        <v>1</v>
      </c>
      <c r="BC566" s="5" t="n">
        <v>0.44</v>
      </c>
      <c r="BD566" s="5" t="n">
        <v>0.114</v>
      </c>
      <c r="BE566" s="5" t="n">
        <v>0.327</v>
      </c>
      <c r="BF566" s="5" t="n">
        <v>0.867</v>
      </c>
      <c r="BG566" s="5" t="n">
        <v>0.13</v>
      </c>
      <c r="BH566" s="5" t="n">
        <v>1</v>
      </c>
      <c r="BI566" s="5" t="n">
        <v>0.5600000000000001</v>
      </c>
      <c r="BJ566" s="5" t="n">
        <v>0.114</v>
      </c>
      <c r="BK566" s="5" t="n">
        <v>0.363</v>
      </c>
      <c r="BL566" s="5" t="n">
        <v>0.923</v>
      </c>
      <c r="BM566" s="5" t="n">
        <v>0</v>
      </c>
      <c r="BN566" s="5" t="n">
        <v>1</v>
      </c>
      <c r="BO566" s="5" t="n">
        <v>0</v>
      </c>
      <c r="BP566" s="5" t="n">
        <v>0</v>
      </c>
      <c r="BQ566" s="5" t="n">
        <v>0.07099999999999999</v>
      </c>
      <c r="BR566" s="5" t="n">
        <v>0</v>
      </c>
      <c r="BS566" s="5" t="n">
        <v>0.833</v>
      </c>
      <c r="BT566" s="5" t="n">
        <v>0</v>
      </c>
      <c r="BU566" s="5" t="n">
        <v>0</v>
      </c>
      <c r="BV566" s="5" t="n">
        <v>0.08</v>
      </c>
      <c r="BW566" s="5" t="n">
        <v>0</v>
      </c>
      <c r="BX566" s="5" t="n">
        <v>0.833</v>
      </c>
      <c r="BY566" s="5" t="n">
        <v>11.787</v>
      </c>
      <c r="BZ566" s="5" t="n">
        <v>0</v>
      </c>
      <c r="CA566" s="5" t="n">
        <v>11.787</v>
      </c>
      <c r="CB566" s="5" t="n">
        <v>0</v>
      </c>
      <c r="CC566" s="5" t="n">
        <v>81.69499999999999</v>
      </c>
      <c r="CD566" s="5" t="n">
        <v>7.95</v>
      </c>
      <c r="CE566" s="5" t="n">
        <v>46.545</v>
      </c>
      <c r="CF566" s="5" t="n">
        <v>144.912</v>
      </c>
      <c r="CG566" s="5" t="n">
        <v>0.13</v>
      </c>
      <c r="CH566" s="5" t="n">
        <v>1</v>
      </c>
      <c r="CI566" s="5" t="n">
        <v>0</v>
      </c>
      <c r="CJ566" s="5" t="n">
        <v>0</v>
      </c>
      <c r="CK566" s="5" t="n">
        <v>0</v>
      </c>
      <c r="CL566" s="5" t="n">
        <v>0</v>
      </c>
      <c r="CM566" s="5" t="n">
        <v>0</v>
      </c>
      <c r="CN566" s="5" t="n">
        <v>0</v>
      </c>
      <c r="CO566" s="5" t="n">
        <v>0</v>
      </c>
      <c r="CP566" s="5" t="n">
        <v>0.004</v>
      </c>
      <c r="CQ566" s="5" t="n">
        <v>1.198</v>
      </c>
      <c r="CR566" s="5" t="n">
        <v>0</v>
      </c>
      <c r="CS566" s="5" t="n">
        <v>4.776</v>
      </c>
      <c r="CT566" s="5" t="n">
        <v>3.604</v>
      </c>
      <c r="CU566" s="5" t="n">
        <v>16.843</v>
      </c>
    </row>
    <row r="567">
      <c r="A567" s="5" t="inlineStr">
        <is>
          <t>NPL2022</t>
        </is>
      </c>
      <c r="B567" s="5" t="inlineStr">
        <is>
          <t>NPL</t>
        </is>
      </c>
      <c r="C567" s="5" t="inlineStr">
        <is>
          <t>NPL</t>
        </is>
      </c>
      <c r="D567" s="5" t="inlineStr">
        <is>
          <t>Nepal</t>
        </is>
      </c>
      <c r="E567" s="5" t="n">
        <v>2022</v>
      </c>
      <c r="F567" s="5" t="n">
        <v>0.13</v>
      </c>
      <c r="G567" s="5" t="n">
        <v>8.75</v>
      </c>
      <c r="H567" s="5" t="n">
        <v>1.231</v>
      </c>
      <c r="I567" s="5" t="n">
        <v>0</v>
      </c>
      <c r="J567" s="5" t="n">
        <v>8.75</v>
      </c>
      <c r="K567" s="5" t="n">
        <v>0</v>
      </c>
      <c r="L567" s="5" t="n">
        <v>1</v>
      </c>
      <c r="M567" s="5" t="n">
        <v>9.746</v>
      </c>
      <c r="N567" s="5" t="n">
        <v>3.694</v>
      </c>
      <c r="O567" s="5" t="n">
        <v>0</v>
      </c>
      <c r="P567" s="5" t="n">
        <v>9.746</v>
      </c>
      <c r="Q567" s="5" t="n">
        <v>0</v>
      </c>
      <c r="R567" s="5" t="n">
        <v>1</v>
      </c>
      <c r="S567" s="5" t="n">
        <v>14.906</v>
      </c>
      <c r="T567" s="5" t="n">
        <v>7.387</v>
      </c>
      <c r="U567" s="5" t="n">
        <v>0.143</v>
      </c>
      <c r="V567" s="5" t="n">
        <v>16.844</v>
      </c>
      <c r="W567" s="5" t="n">
        <v>0.13</v>
      </c>
      <c r="X567" s="5" t="n">
        <v>1</v>
      </c>
      <c r="Y567" s="5" t="n">
        <v>6.027</v>
      </c>
      <c r="Z567" s="5" t="n">
        <v>0.704</v>
      </c>
      <c r="AA567" s="5" t="n">
        <v>0</v>
      </c>
      <c r="AB567" s="5" t="n">
        <v>6.027</v>
      </c>
      <c r="AC567" s="5" t="n">
        <v>0</v>
      </c>
      <c r="AD567" s="5" t="n">
        <v>1</v>
      </c>
      <c r="AE567" s="5" t="n">
        <v>7.262</v>
      </c>
      <c r="AF567" s="5" t="n">
        <v>1.502</v>
      </c>
      <c r="AG567" s="5" t="n">
        <v>0</v>
      </c>
      <c r="AH567" s="5" t="n">
        <v>7.262</v>
      </c>
      <c r="AI567" s="5" t="n">
        <v>0</v>
      </c>
      <c r="AJ567" s="5" t="n">
        <v>1</v>
      </c>
      <c r="AK567" s="5" t="n">
        <v>14.67</v>
      </c>
      <c r="AL567" s="5" t="n">
        <v>7.311</v>
      </c>
      <c r="AM567" s="5" t="n">
        <v>0.141</v>
      </c>
      <c r="AN567" s="5" t="n">
        <v>16.577</v>
      </c>
      <c r="AO567" s="5" t="n">
        <v>0.13</v>
      </c>
      <c r="AP567" s="5" t="n">
        <v>1</v>
      </c>
      <c r="AQ567" s="5" t="n">
        <v>0.847</v>
      </c>
      <c r="AR567" s="5" t="n">
        <v>0.123</v>
      </c>
      <c r="AS567" s="5" t="n">
        <v>0.349</v>
      </c>
      <c r="AT567" s="5" t="n">
        <v>1.351</v>
      </c>
      <c r="AU567" s="5" t="n">
        <v>0.13</v>
      </c>
      <c r="AV567" s="5" t="n">
        <v>1</v>
      </c>
      <c r="AW567" s="5" t="n">
        <v>0.947</v>
      </c>
      <c r="AX567" s="5" t="n">
        <v>0.123</v>
      </c>
      <c r="AY567" s="5" t="n">
        <v>0.178</v>
      </c>
      <c r="AZ567" s="5" t="n">
        <v>1.271</v>
      </c>
      <c r="BA567" s="5" t="n">
        <v>0.13</v>
      </c>
      <c r="BB567" s="5" t="n">
        <v>1</v>
      </c>
      <c r="BC567" s="5" t="n">
        <v>0.589</v>
      </c>
      <c r="BD567" s="5" t="n">
        <v>0.123</v>
      </c>
      <c r="BE567" s="5" t="n">
        <v>0.231</v>
      </c>
      <c r="BF567" s="5" t="n">
        <v>0.926</v>
      </c>
      <c r="BG567" s="5" t="n">
        <v>0.13</v>
      </c>
      <c r="BH567" s="5" t="n">
        <v>1</v>
      </c>
      <c r="BI567" s="5" t="n">
        <v>0.6889999999999999</v>
      </c>
      <c r="BJ567" s="5" t="n">
        <v>0.123</v>
      </c>
      <c r="BK567" s="5" t="n">
        <v>0.585</v>
      </c>
      <c r="BL567" s="5" t="n">
        <v>1.274</v>
      </c>
      <c r="BM567" s="5" t="n">
        <v>0</v>
      </c>
      <c r="BN567" s="5" t="n">
        <v>1</v>
      </c>
      <c r="BO567" s="5" t="n">
        <v>0</v>
      </c>
      <c r="BP567" s="5" t="n">
        <v>0</v>
      </c>
      <c r="BQ567" s="5" t="n">
        <v>0.073</v>
      </c>
      <c r="BR567" s="5" t="n">
        <v>0</v>
      </c>
      <c r="BS567" s="5" t="n">
        <v>0.833</v>
      </c>
      <c r="BT567" s="5" t="n">
        <v>0</v>
      </c>
      <c r="BU567" s="5" t="n">
        <v>0</v>
      </c>
      <c r="BV567" s="5" t="n">
        <v>0.046</v>
      </c>
      <c r="BW567" s="5" t="n">
        <v>0</v>
      </c>
      <c r="BX567" s="5" t="n">
        <v>0.833</v>
      </c>
      <c r="BY567" s="5" t="n">
        <v>12.729</v>
      </c>
      <c r="BZ567" s="5" t="n">
        <v>0</v>
      </c>
      <c r="CA567" s="5" t="n">
        <v>12.729</v>
      </c>
      <c r="CB567" s="5" t="n">
        <v>0</v>
      </c>
      <c r="CC567" s="5" t="n">
        <v>102.477</v>
      </c>
      <c r="CD567" s="5" t="n">
        <v>7.95</v>
      </c>
      <c r="CE567" s="5" t="n">
        <v>75.86499999999999</v>
      </c>
      <c r="CF567" s="5" t="n">
        <v>201.526</v>
      </c>
      <c r="CG567" s="5" t="n">
        <v>0.13</v>
      </c>
      <c r="CH567" s="5" t="n">
        <v>1</v>
      </c>
      <c r="CI567" s="5" t="n">
        <v>0</v>
      </c>
      <c r="CJ567" s="5" t="n">
        <v>0</v>
      </c>
      <c r="CK567" s="5" t="n">
        <v>0</v>
      </c>
      <c r="CL567" s="5" t="n">
        <v>0</v>
      </c>
      <c r="CM567" s="5" t="n">
        <v>0</v>
      </c>
      <c r="CN567" s="5" t="n">
        <v>0</v>
      </c>
      <c r="CO567" s="5" t="n">
        <v>0</v>
      </c>
      <c r="CP567" s="5" t="n">
        <v>0.006</v>
      </c>
      <c r="CQ567" s="5" t="n">
        <v>1.294</v>
      </c>
      <c r="CR567" s="5" t="n">
        <v>0</v>
      </c>
      <c r="CS567" s="5" t="n">
        <v>5.158</v>
      </c>
      <c r="CT567" s="5" t="n">
        <v>7.554</v>
      </c>
      <c r="CU567" s="5" t="n">
        <v>30.149</v>
      </c>
    </row>
    <row r="568">
      <c r="A568" s="5" t="inlineStr">
        <is>
          <t>NPL2023</t>
        </is>
      </c>
      <c r="B568" s="5" t="inlineStr">
        <is>
          <t>NPL</t>
        </is>
      </c>
      <c r="C568" s="5" t="inlineStr">
        <is>
          <t>NPL</t>
        </is>
      </c>
      <c r="D568" s="5" t="inlineStr">
        <is>
          <t>Nepal</t>
        </is>
      </c>
      <c r="E568" s="5" t="n">
        <v>2023</v>
      </c>
      <c r="F568" s="5" t="n">
        <v>0.13</v>
      </c>
      <c r="G568" s="5" t="n">
        <v>5.749</v>
      </c>
      <c r="H568" s="5" t="n">
        <v>1.282</v>
      </c>
      <c r="I568" s="5" t="n">
        <v>0</v>
      </c>
      <c r="J568" s="5" t="n">
        <v>5.749</v>
      </c>
      <c r="K568" s="5" t="n">
        <v>0</v>
      </c>
      <c r="L568" s="5" t="n">
        <v>1</v>
      </c>
      <c r="M568" s="5" t="n">
        <v>7.861</v>
      </c>
      <c r="N568" s="5" t="n">
        <v>3.846</v>
      </c>
      <c r="O568" s="5" t="n">
        <v>0</v>
      </c>
      <c r="P568" s="5" t="n">
        <v>7.861</v>
      </c>
      <c r="Q568" s="5" t="n">
        <v>0</v>
      </c>
      <c r="R568" s="5" t="n">
        <v>1</v>
      </c>
      <c r="S568" s="5" t="n">
        <v>12.16</v>
      </c>
      <c r="T568" s="5" t="n">
        <v>7.693</v>
      </c>
      <c r="U568" s="5" t="n">
        <v>0.175</v>
      </c>
      <c r="V568" s="5" t="n">
        <v>13.741</v>
      </c>
      <c r="W568" s="5" t="n">
        <v>0.13</v>
      </c>
      <c r="X568" s="5" t="n">
        <v>1</v>
      </c>
      <c r="Y568" s="5" t="n">
        <v>6.276</v>
      </c>
      <c r="Z568" s="5" t="n">
        <v>0.733</v>
      </c>
      <c r="AA568" s="5" t="n">
        <v>0</v>
      </c>
      <c r="AB568" s="5" t="n">
        <v>6.276</v>
      </c>
      <c r="AC568" s="5" t="n">
        <v>0</v>
      </c>
      <c r="AD568" s="5" t="n">
        <v>1</v>
      </c>
      <c r="AE568" s="5" t="n">
        <v>7.561</v>
      </c>
      <c r="AF568" s="5" t="n">
        <v>1.564</v>
      </c>
      <c r="AG568" s="5" t="n">
        <v>0</v>
      </c>
      <c r="AH568" s="5" t="n">
        <v>7.561</v>
      </c>
      <c r="AI568" s="5" t="n">
        <v>0</v>
      </c>
      <c r="AJ568" s="5" t="n">
        <v>1</v>
      </c>
      <c r="AK568" s="5" t="n">
        <v>15.275</v>
      </c>
      <c r="AL568" s="5" t="n">
        <v>7.613</v>
      </c>
      <c r="AM568" s="5" t="n">
        <v>0.22</v>
      </c>
      <c r="AN568" s="5" t="n">
        <v>17.261</v>
      </c>
      <c r="AO568" s="5" t="n">
        <v>0.13</v>
      </c>
      <c r="AP568" s="5" t="n">
        <v>1</v>
      </c>
      <c r="AQ568" s="5" t="n">
        <v>0.749</v>
      </c>
      <c r="AR568" s="5" t="n">
        <v>0.129</v>
      </c>
      <c r="AS568" s="5" t="n">
        <v>0.427</v>
      </c>
      <c r="AT568" s="5" t="n">
        <v>1.329</v>
      </c>
      <c r="AU568" s="5" t="n">
        <v>0.13</v>
      </c>
      <c r="AV568" s="5" t="n">
        <v>1</v>
      </c>
      <c r="AW568" s="5" t="n">
        <v>0.783</v>
      </c>
      <c r="AX568" s="5" t="n">
        <v>0.129</v>
      </c>
      <c r="AY568" s="5" t="n">
        <v>0.328</v>
      </c>
      <c r="AZ568" s="5" t="n">
        <v>1.255</v>
      </c>
      <c r="BA568" s="5" t="n">
        <v>0.13</v>
      </c>
      <c r="BB568" s="5" t="n">
        <v>1</v>
      </c>
      <c r="BC568" s="5" t="n">
        <v>0.527</v>
      </c>
      <c r="BD568" s="5" t="n">
        <v>0.129</v>
      </c>
      <c r="BE568" s="5" t="n">
        <v>0.294</v>
      </c>
      <c r="BF568" s="5" t="n">
        <v>0.928</v>
      </c>
      <c r="BG568" s="5" t="n">
        <v>0.13</v>
      </c>
      <c r="BH568" s="5" t="n">
        <v>1</v>
      </c>
      <c r="BI568" s="5" t="n">
        <v>0.64</v>
      </c>
      <c r="BJ568" s="5" t="n">
        <v>0.129</v>
      </c>
      <c r="BK568" s="5" t="n">
        <v>0.618</v>
      </c>
      <c r="BL568" s="5" t="n">
        <v>1.258</v>
      </c>
      <c r="BM568" s="5" t="n">
        <v>0</v>
      </c>
      <c r="BN568" s="5" t="n">
        <v>1</v>
      </c>
      <c r="BO568" s="5" t="n">
        <v>0</v>
      </c>
      <c r="BP568" s="5" t="n">
        <v>0</v>
      </c>
      <c r="BQ568" s="5" t="n">
        <v>0.063</v>
      </c>
      <c r="BR568" s="5" t="n">
        <v>0</v>
      </c>
      <c r="BS568" s="5" t="n">
        <v>0.833</v>
      </c>
      <c r="BT568" s="5" t="n">
        <v>0</v>
      </c>
      <c r="BU568" s="5" t="n">
        <v>0</v>
      </c>
      <c r="BV568" s="5" t="n">
        <v>0.064</v>
      </c>
      <c r="BW568" s="5" t="n">
        <v>0</v>
      </c>
      <c r="BX568" s="5" t="n">
        <v>0.833</v>
      </c>
      <c r="BY568" s="5" t="n">
        <v>13.254</v>
      </c>
      <c r="BZ568" s="5" t="n">
        <v>0</v>
      </c>
      <c r="CA568" s="5" t="n">
        <v>13.254</v>
      </c>
      <c r="CB568" s="5" t="n">
        <v>0</v>
      </c>
      <c r="CC568" s="5" t="n">
        <v>87.07899999999999</v>
      </c>
      <c r="CD568" s="5" t="n">
        <v>7.95</v>
      </c>
      <c r="CE568" s="5" t="n">
        <v>89.206</v>
      </c>
      <c r="CF568" s="5" t="n">
        <v>199.202</v>
      </c>
      <c r="CG568" s="5" t="n">
        <v>0.13</v>
      </c>
      <c r="CH568" s="5" t="n">
        <v>1</v>
      </c>
      <c r="CI568" s="5" t="n">
        <v>0</v>
      </c>
      <c r="CJ568" s="5" t="n">
        <v>0</v>
      </c>
      <c r="CK568" s="5" t="n">
        <v>0</v>
      </c>
      <c r="CL568" s="5" t="n">
        <v>0</v>
      </c>
      <c r="CM568" s="5" t="n">
        <v>0</v>
      </c>
      <c r="CN568" s="5" t="n">
        <v>0</v>
      </c>
      <c r="CO568" s="5" t="n">
        <v>0</v>
      </c>
      <c r="CP568" s="5" t="n">
        <v>0.006</v>
      </c>
      <c r="CQ568" s="5" t="n">
        <v>1.348</v>
      </c>
      <c r="CR568" s="5" t="n">
        <v>0</v>
      </c>
      <c r="CS568" s="5" t="n">
        <v>5.37</v>
      </c>
      <c r="CT568" s="5" t="n">
        <v>4.484</v>
      </c>
      <c r="CU568" s="5" t="n">
        <v>12.392</v>
      </c>
    </row>
    <row r="569">
      <c r="A569" s="5" t="inlineStr">
        <is>
          <t>NPL2024</t>
        </is>
      </c>
      <c r="B569" s="5" t="inlineStr">
        <is>
          <t>NPL</t>
        </is>
      </c>
      <c r="C569" s="5" t="inlineStr">
        <is>
          <t>NPL</t>
        </is>
      </c>
      <c r="D569" s="5" t="inlineStr">
        <is>
          <t>Nepal</t>
        </is>
      </c>
      <c r="E569" s="5" t="n">
        <v>2024</v>
      </c>
      <c r="F569" s="5" t="n">
        <v>0.13</v>
      </c>
      <c r="G569" s="5" t="n">
        <v>4.817</v>
      </c>
      <c r="H569" s="5" t="n">
        <v>1.32</v>
      </c>
      <c r="I569" s="5" t="n">
        <v>0</v>
      </c>
      <c r="J569" s="5" t="n">
        <v>4.817</v>
      </c>
      <c r="K569" s="5" t="n">
        <v>0</v>
      </c>
      <c r="L569" s="5" t="n">
        <v>1</v>
      </c>
      <c r="M569" s="5" t="n">
        <v>7.103</v>
      </c>
      <c r="N569" s="5" t="n">
        <v>3.96</v>
      </c>
      <c r="O569" s="5" t="n">
        <v>0</v>
      </c>
      <c r="P569" s="5" t="n">
        <v>7.103</v>
      </c>
      <c r="Q569" s="5" t="n">
        <v>0</v>
      </c>
      <c r="R569" s="5" t="n">
        <v>1</v>
      </c>
      <c r="S569" s="5" t="n">
        <v>11.417</v>
      </c>
      <c r="T569" s="5" t="n">
        <v>7.92</v>
      </c>
      <c r="U569" s="5" t="n">
        <v>0.202</v>
      </c>
      <c r="V569" s="5" t="n">
        <v>12.901</v>
      </c>
      <c r="W569" s="5" t="n">
        <v>0.13</v>
      </c>
      <c r="X569" s="5" t="n">
        <v>1</v>
      </c>
      <c r="Y569" s="5" t="n">
        <v>6.461</v>
      </c>
      <c r="Z569" s="5" t="n">
        <v>0.755</v>
      </c>
      <c r="AA569" s="5" t="n">
        <v>0</v>
      </c>
      <c r="AB569" s="5" t="n">
        <v>6.461</v>
      </c>
      <c r="AC569" s="5" t="n">
        <v>0</v>
      </c>
      <c r="AD569" s="5" t="n">
        <v>1</v>
      </c>
      <c r="AE569" s="5" t="n">
        <v>7.785</v>
      </c>
      <c r="AF569" s="5" t="n">
        <v>1.61</v>
      </c>
      <c r="AG569" s="5" t="n">
        <v>0</v>
      </c>
      <c r="AH569" s="5" t="n">
        <v>7.785</v>
      </c>
      <c r="AI569" s="5" t="n">
        <v>0</v>
      </c>
      <c r="AJ569" s="5" t="n">
        <v>1</v>
      </c>
      <c r="AK569" s="5" t="n">
        <v>15.726</v>
      </c>
      <c r="AL569" s="5" t="n">
        <v>7.837</v>
      </c>
      <c r="AM569" s="5" t="n">
        <v>0.278</v>
      </c>
      <c r="AN569" s="5" t="n">
        <v>17.771</v>
      </c>
      <c r="AO569" s="5" t="n">
        <v>0.13</v>
      </c>
      <c r="AP569" s="5" t="n">
        <v>1</v>
      </c>
      <c r="AQ569" s="5" t="n">
        <v>0.72</v>
      </c>
      <c r="AR569" s="5" t="n">
        <v>0.132</v>
      </c>
      <c r="AS569" s="5" t="n">
        <v>0.387</v>
      </c>
      <c r="AT569" s="5" t="n">
        <v>1.251</v>
      </c>
      <c r="AU569" s="5" t="n">
        <v>0.13</v>
      </c>
      <c r="AV569" s="5" t="n">
        <v>1</v>
      </c>
      <c r="AW569" s="5" t="n">
        <v>0.734</v>
      </c>
      <c r="AX569" s="5" t="n">
        <v>0.132</v>
      </c>
      <c r="AY569" s="5" t="n">
        <v>0.301</v>
      </c>
      <c r="AZ569" s="5" t="n">
        <v>1.17</v>
      </c>
      <c r="BA569" s="5" t="n">
        <v>0.13</v>
      </c>
      <c r="BB569" s="5" t="n">
        <v>1</v>
      </c>
      <c r="BC569" s="5" t="n">
        <v>0.51</v>
      </c>
      <c r="BD569" s="5" t="n">
        <v>0.132</v>
      </c>
      <c r="BE569" s="5" t="n">
        <v>0.325</v>
      </c>
      <c r="BF569" s="5" t="n">
        <v>0.944</v>
      </c>
      <c r="BG569" s="5" t="n">
        <v>0.13</v>
      </c>
      <c r="BH569" s="5" t="n">
        <v>1</v>
      </c>
      <c r="BI569" s="5" t="n">
        <v>0.652</v>
      </c>
      <c r="BJ569" s="5" t="n">
        <v>0.132</v>
      </c>
      <c r="BK569" s="5" t="n">
        <v>0.518</v>
      </c>
      <c r="BL569" s="5" t="n">
        <v>1.17</v>
      </c>
      <c r="BM569" s="5" t="n">
        <v>0</v>
      </c>
      <c r="BN569" s="5" t="n">
        <v>1</v>
      </c>
      <c r="BO569" s="5" t="n">
        <v>0</v>
      </c>
      <c r="BP569" s="5" t="n">
        <v>0</v>
      </c>
      <c r="BQ569" s="5" t="n">
        <v>0.068</v>
      </c>
      <c r="BR569" s="5" t="n">
        <v>0</v>
      </c>
      <c r="BS569" s="5" t="n">
        <v>0.833</v>
      </c>
      <c r="BT569" s="5" t="n">
        <v>0</v>
      </c>
      <c r="BU569" s="5" t="n">
        <v>0</v>
      </c>
      <c r="BV569" s="5" t="n">
        <v>0.058</v>
      </c>
      <c r="BW569" s="5" t="n">
        <v>0</v>
      </c>
      <c r="BX569" s="5" t="n">
        <v>0.833</v>
      </c>
      <c r="BY569" s="5" t="n">
        <v>13.646</v>
      </c>
      <c r="BZ569" s="5" t="n">
        <v>0</v>
      </c>
      <c r="CA569" s="5" t="n">
        <v>13.646</v>
      </c>
      <c r="CB569" s="5" t="n">
        <v>0</v>
      </c>
      <c r="CC569" s="5" t="n">
        <v>86.38500000000001</v>
      </c>
      <c r="CD569" s="5" t="n">
        <v>7.95</v>
      </c>
      <c r="CE569" s="5" t="n">
        <v>95.377</v>
      </c>
      <c r="CF569" s="5" t="n">
        <v>201.818</v>
      </c>
      <c r="CG569" s="5" t="n">
        <v>0.13</v>
      </c>
      <c r="CH569" s="5" t="n">
        <v>1</v>
      </c>
      <c r="CI569" s="5" t="n">
        <v>0</v>
      </c>
      <c r="CJ569" s="5" t="n">
        <v>0</v>
      </c>
      <c r="CK569" s="5" t="n">
        <v>0</v>
      </c>
      <c r="CL569" s="5" t="n">
        <v>0</v>
      </c>
      <c r="CM569" s="5" t="n">
        <v>0</v>
      </c>
      <c r="CN569" s="5" t="n">
        <v>0</v>
      </c>
      <c r="CO569" s="5" t="n">
        <v>0</v>
      </c>
      <c r="CP569" s="5" t="n">
        <v>0.006</v>
      </c>
      <c r="CQ569" s="5" t="n">
        <v>1.387</v>
      </c>
      <c r="CR569" s="5" t="n">
        <v>0</v>
      </c>
      <c r="CS569" s="5" t="n">
        <v>5.529</v>
      </c>
      <c r="CT569" s="5" t="n">
        <v>3.509</v>
      </c>
      <c r="CU569" s="5" t="n">
        <v>10.792</v>
      </c>
    </row>
    <row r="570">
      <c r="A570" s="5" t="inlineStr">
        <is>
          <t>NLD2021</t>
        </is>
      </c>
      <c r="B570" s="5" t="inlineStr">
        <is>
          <t>NLD</t>
        </is>
      </c>
      <c r="C570" s="5" t="inlineStr">
        <is>
          <t>NLD</t>
        </is>
      </c>
      <c r="D570" s="5" t="inlineStr">
        <is>
          <t>Netherlands</t>
        </is>
      </c>
      <c r="E570" s="5" t="n">
        <v>2021</v>
      </c>
      <c r="F570" s="5" t="n">
        <v>0.21</v>
      </c>
      <c r="G570" s="5" t="n">
        <v>5.795</v>
      </c>
      <c r="H570" s="5" t="n">
        <v>1.143</v>
      </c>
      <c r="I570" s="5" t="n">
        <v>1.676</v>
      </c>
      <c r="J570" s="5" t="n">
        <v>7.47</v>
      </c>
      <c r="K570" s="5" t="n">
        <v>0</v>
      </c>
      <c r="L570" s="5" t="n">
        <v>1</v>
      </c>
      <c r="M570" s="5" t="n">
        <v>8.943</v>
      </c>
      <c r="N570" s="5" t="n">
        <v>3.43</v>
      </c>
      <c r="O570" s="5" t="n">
        <v>1.76</v>
      </c>
      <c r="P570" s="5" t="n">
        <v>10.704</v>
      </c>
      <c r="Q570" s="5" t="n">
        <v>0</v>
      </c>
      <c r="R570" s="5" t="n">
        <v>1</v>
      </c>
      <c r="S570" s="5" t="n">
        <v>11.511</v>
      </c>
      <c r="T570" s="5" t="n">
        <v>6.86</v>
      </c>
      <c r="U570" s="5" t="n">
        <v>1.068</v>
      </c>
      <c r="V570" s="5" t="n">
        <v>15.221</v>
      </c>
      <c r="W570" s="5" t="n">
        <v>0.21</v>
      </c>
      <c r="X570" s="5" t="n">
        <v>1</v>
      </c>
      <c r="Y570" s="5" t="n">
        <v>17.804</v>
      </c>
      <c r="Z570" s="5" t="n">
        <v>1.967</v>
      </c>
      <c r="AA570" s="5" t="n">
        <v>-2.505</v>
      </c>
      <c r="AB570" s="5" t="n">
        <v>15.299</v>
      </c>
      <c r="AC570" s="5" t="n">
        <v>0</v>
      </c>
      <c r="AD570" s="5" t="n">
        <v>1</v>
      </c>
      <c r="AE570" s="5" t="n">
        <v>17.76</v>
      </c>
      <c r="AF570" s="5" t="n">
        <v>3.495</v>
      </c>
      <c r="AG570" s="5" t="n">
        <v>-2.462</v>
      </c>
      <c r="AH570" s="5" t="n">
        <v>15.299</v>
      </c>
      <c r="AI570" s="5" t="n">
        <v>0</v>
      </c>
      <c r="AJ570" s="5" t="n">
        <v>1</v>
      </c>
      <c r="AK570" s="5" t="n">
        <v>27.505</v>
      </c>
      <c r="AL570" s="5" t="n">
        <v>13.5</v>
      </c>
      <c r="AM570" s="5" t="n">
        <v>0.432</v>
      </c>
      <c r="AN570" s="5" t="n">
        <v>33.804</v>
      </c>
      <c r="AO570" s="5" t="n">
        <v>0.21</v>
      </c>
      <c r="AP570" s="5" t="n">
        <v>1</v>
      </c>
      <c r="AQ570" s="5" t="n">
        <v>0.637</v>
      </c>
      <c r="AR570" s="5" t="n">
        <v>0.114</v>
      </c>
      <c r="AS570" s="5" t="n">
        <v>1.14</v>
      </c>
      <c r="AT570" s="5" t="n">
        <v>2.15</v>
      </c>
      <c r="AU570" s="5" t="n">
        <v>0.21</v>
      </c>
      <c r="AV570" s="5" t="n">
        <v>1</v>
      </c>
      <c r="AW570" s="5" t="n">
        <v>0.599</v>
      </c>
      <c r="AX570" s="5" t="n">
        <v>0.114</v>
      </c>
      <c r="AY570" s="5" t="n">
        <v>0.832</v>
      </c>
      <c r="AZ570" s="5" t="n">
        <v>1.732</v>
      </c>
      <c r="BA570" s="5" t="n">
        <v>0.21</v>
      </c>
      <c r="BB570" s="5" t="n">
        <v>1</v>
      </c>
      <c r="BC570" s="5" t="n">
        <v>0.45</v>
      </c>
      <c r="BD570" s="5" t="n">
        <v>0.114</v>
      </c>
      <c r="BE570" s="5" t="n">
        <v>0.315</v>
      </c>
      <c r="BF570" s="5" t="n">
        <v>0.926</v>
      </c>
      <c r="BG570" s="5" t="n">
        <v>0.21</v>
      </c>
      <c r="BH570" s="5" t="n">
        <v>1</v>
      </c>
      <c r="BI570" s="5" t="n">
        <v>0.505</v>
      </c>
      <c r="BJ570" s="5" t="n">
        <v>0.114</v>
      </c>
      <c r="BK570" s="5" t="n">
        <v>0.75</v>
      </c>
      <c r="BL570" s="5" t="n">
        <v>1.519</v>
      </c>
      <c r="BM570" s="5" t="n">
        <v>0.21</v>
      </c>
      <c r="BN570" s="5" t="n">
        <v>1</v>
      </c>
      <c r="BO570" s="5" t="n">
        <v>0</v>
      </c>
      <c r="BP570" s="5" t="n">
        <v>0.012</v>
      </c>
      <c r="BQ570" s="5" t="n">
        <v>0.1</v>
      </c>
      <c r="BR570" s="5" t="n">
        <v>0</v>
      </c>
      <c r="BS570" s="5" t="n">
        <v>1</v>
      </c>
      <c r="BT570" s="5" t="n">
        <v>0</v>
      </c>
      <c r="BU570" s="5" t="n">
        <v>-0.035</v>
      </c>
      <c r="BV570" s="5" t="n">
        <v>0.161</v>
      </c>
      <c r="BW570" s="5" t="n">
        <v>0.21</v>
      </c>
      <c r="BX570" s="5" t="n">
        <v>1</v>
      </c>
      <c r="BY570" s="5" t="n">
        <v>11.787</v>
      </c>
      <c r="BZ570" s="5" t="n">
        <v>0</v>
      </c>
      <c r="CA570" s="5" t="n">
        <v>11.787</v>
      </c>
      <c r="CB570" s="5" t="n">
        <v>0</v>
      </c>
      <c r="CC570" s="5" t="n">
        <v>73.012</v>
      </c>
      <c r="CD570" s="5" t="n">
        <v>7.95</v>
      </c>
      <c r="CE570" s="5" t="n">
        <v>134.248</v>
      </c>
      <c r="CF570" s="5" t="n">
        <v>250.785</v>
      </c>
      <c r="CG570" s="5" t="n">
        <v>0.21</v>
      </c>
      <c r="CH570" s="5" t="n">
        <v>1</v>
      </c>
      <c r="CI570" s="5" t="n">
        <v>0</v>
      </c>
      <c r="CJ570" s="5" t="n">
        <v>0</v>
      </c>
      <c r="CK570" s="5" t="n">
        <v>0</v>
      </c>
      <c r="CL570" s="5" t="n">
        <v>0</v>
      </c>
      <c r="CM570" s="5" t="n">
        <v>0</v>
      </c>
      <c r="CN570" s="5" t="n">
        <v>0</v>
      </c>
      <c r="CO570" s="5" t="n">
        <v>0</v>
      </c>
      <c r="CP570" s="5" t="n">
        <v>0</v>
      </c>
      <c r="CQ570" s="5" t="n">
        <v>1.198</v>
      </c>
      <c r="CR570" s="5" t="n">
        <v>0</v>
      </c>
      <c r="CS570" s="5" t="n">
        <v>4.446</v>
      </c>
      <c r="CT570" s="5" t="n">
        <v>4.651</v>
      </c>
      <c r="CU570" s="5" t="n">
        <v>15.087</v>
      </c>
    </row>
    <row r="571">
      <c r="A571" s="5" t="inlineStr">
        <is>
          <t>NLD2022</t>
        </is>
      </c>
      <c r="B571" s="5" t="inlineStr">
        <is>
          <t>NLD</t>
        </is>
      </c>
      <c r="C571" s="5" t="inlineStr">
        <is>
          <t>NLD</t>
        </is>
      </c>
      <c r="D571" s="5" t="inlineStr">
        <is>
          <t>Netherlands</t>
        </is>
      </c>
      <c r="E571" s="5" t="n">
        <v>2022</v>
      </c>
      <c r="F571" s="5" t="n">
        <v>0.21</v>
      </c>
      <c r="G571" s="5" t="n">
        <v>12.95</v>
      </c>
      <c r="H571" s="5" t="n">
        <v>1.235</v>
      </c>
      <c r="I571" s="5" t="n">
        <v>8.159000000000001</v>
      </c>
      <c r="J571" s="5" t="n">
        <v>21.109</v>
      </c>
      <c r="K571" s="5" t="n">
        <v>0</v>
      </c>
      <c r="L571" s="5" t="n">
        <v>1</v>
      </c>
      <c r="M571" s="5" t="n">
        <v>15.919</v>
      </c>
      <c r="N571" s="5" t="n">
        <v>3.704</v>
      </c>
      <c r="O571" s="5" t="n">
        <v>8.298</v>
      </c>
      <c r="P571" s="5" t="n">
        <v>24.218</v>
      </c>
      <c r="Q571" s="5" t="n">
        <v>0</v>
      </c>
      <c r="R571" s="5" t="n">
        <v>1</v>
      </c>
      <c r="S571" s="5" t="n">
        <v>19.123</v>
      </c>
      <c r="T571" s="5" t="n">
        <v>7.408</v>
      </c>
      <c r="U571" s="5" t="n">
        <v>1.411</v>
      </c>
      <c r="V571" s="5" t="n">
        <v>24.466</v>
      </c>
      <c r="W571" s="5" t="n">
        <v>0.21</v>
      </c>
      <c r="X571" s="5" t="n">
        <v>1</v>
      </c>
      <c r="Y571" s="5" t="n">
        <v>38.49</v>
      </c>
      <c r="Z571" s="5" t="n">
        <v>4.038</v>
      </c>
      <c r="AA571" s="5" t="n">
        <v>-12.196</v>
      </c>
      <c r="AB571" s="5" t="n">
        <v>26.295</v>
      </c>
      <c r="AC571" s="5" t="n">
        <v>0</v>
      </c>
      <c r="AD571" s="5" t="n">
        <v>1</v>
      </c>
      <c r="AE571" s="5" t="n">
        <v>38.538</v>
      </c>
      <c r="AF571" s="5" t="n">
        <v>7.144</v>
      </c>
      <c r="AG571" s="5" t="n">
        <v>-12.243</v>
      </c>
      <c r="AH571" s="5" t="n">
        <v>26.295</v>
      </c>
      <c r="AI571" s="5" t="n">
        <v>0</v>
      </c>
      <c r="AJ571" s="5" t="n">
        <v>1</v>
      </c>
      <c r="AK571" s="5" t="n">
        <v>48.832</v>
      </c>
      <c r="AL571" s="5" t="n">
        <v>23.319</v>
      </c>
      <c r="AM571" s="5" t="n">
        <v>-10.527</v>
      </c>
      <c r="AN571" s="5" t="n">
        <v>46.348</v>
      </c>
      <c r="AO571" s="5" t="n">
        <v>0.21</v>
      </c>
      <c r="AP571" s="5" t="n">
        <v>1</v>
      </c>
      <c r="AQ571" s="5" t="n">
        <v>0.92</v>
      </c>
      <c r="AR571" s="5" t="n">
        <v>0.123</v>
      </c>
      <c r="AS571" s="5" t="n">
        <v>0.885</v>
      </c>
      <c r="AT571" s="5" t="n">
        <v>2.184</v>
      </c>
      <c r="AU571" s="5" t="n">
        <v>0.21</v>
      </c>
      <c r="AV571" s="5" t="n">
        <v>1</v>
      </c>
      <c r="AW571" s="5" t="n">
        <v>0.986</v>
      </c>
      <c r="AX571" s="5" t="n">
        <v>0.123</v>
      </c>
      <c r="AY571" s="5" t="n">
        <v>0.716</v>
      </c>
      <c r="AZ571" s="5" t="n">
        <v>2.06</v>
      </c>
      <c r="BA571" s="5" t="n">
        <v>0.21</v>
      </c>
      <c r="BB571" s="5" t="n">
        <v>1</v>
      </c>
      <c r="BC571" s="5" t="n">
        <v>0.636</v>
      </c>
      <c r="BD571" s="5" t="n">
        <v>0.123</v>
      </c>
      <c r="BE571" s="5" t="n">
        <v>0.171</v>
      </c>
      <c r="BF571" s="5" t="n">
        <v>0.975</v>
      </c>
      <c r="BG571" s="5" t="n">
        <v>0.21</v>
      </c>
      <c r="BH571" s="5" t="n">
        <v>1</v>
      </c>
      <c r="BI571" s="5" t="n">
        <v>0.612</v>
      </c>
      <c r="BJ571" s="5" t="n">
        <v>0.123</v>
      </c>
      <c r="BK571" s="5" t="n">
        <v>0.995</v>
      </c>
      <c r="BL571" s="5" t="n">
        <v>1.945</v>
      </c>
      <c r="BM571" s="5" t="n">
        <v>0.21</v>
      </c>
      <c r="BN571" s="5" t="n">
        <v>1</v>
      </c>
      <c r="BO571" s="5" t="n">
        <v>0</v>
      </c>
      <c r="BP571" s="5" t="n">
        <v>0.011</v>
      </c>
      <c r="BQ571" s="5" t="n">
        <v>0.169</v>
      </c>
      <c r="BR571" s="5" t="n">
        <v>0</v>
      </c>
      <c r="BS571" s="5" t="n">
        <v>1</v>
      </c>
      <c r="BT571" s="5" t="n">
        <v>0</v>
      </c>
      <c r="BU571" s="5" t="n">
        <v>-0.199</v>
      </c>
      <c r="BV571" s="5" t="n">
        <v>0.095</v>
      </c>
      <c r="BW571" s="5" t="n">
        <v>0.21</v>
      </c>
      <c r="BX571" s="5" t="n">
        <v>1</v>
      </c>
      <c r="BY571" s="5" t="n">
        <v>12.729</v>
      </c>
      <c r="BZ571" s="5" t="n">
        <v>0</v>
      </c>
      <c r="CA571" s="5" t="n">
        <v>12.729</v>
      </c>
      <c r="CB571" s="5" t="n">
        <v>0</v>
      </c>
      <c r="CC571" s="5" t="n">
        <v>90.494</v>
      </c>
      <c r="CD571" s="5" t="n">
        <v>7.95</v>
      </c>
      <c r="CE571" s="5" t="n">
        <v>198.331</v>
      </c>
      <c r="CF571" s="5" t="n">
        <v>349.478</v>
      </c>
      <c r="CG571" s="5" t="n">
        <v>0.21</v>
      </c>
      <c r="CH571" s="5" t="n">
        <v>1</v>
      </c>
      <c r="CI571" s="5" t="n">
        <v>0</v>
      </c>
      <c r="CJ571" s="5" t="n">
        <v>0</v>
      </c>
      <c r="CK571" s="5" t="n">
        <v>0</v>
      </c>
      <c r="CL571" s="5" t="n">
        <v>0</v>
      </c>
      <c r="CM571" s="5" t="n">
        <v>0</v>
      </c>
      <c r="CN571" s="5" t="n">
        <v>0</v>
      </c>
      <c r="CO571" s="5" t="n">
        <v>0</v>
      </c>
      <c r="CP571" s="5" t="n">
        <v>0</v>
      </c>
      <c r="CQ571" s="5" t="n">
        <v>1.294</v>
      </c>
      <c r="CR571" s="5" t="n">
        <v>0</v>
      </c>
      <c r="CS571" s="5" t="n">
        <v>4.801</v>
      </c>
      <c r="CT571" s="5" t="n">
        <v>11.715</v>
      </c>
      <c r="CU571" s="5" t="n">
        <v>35.682</v>
      </c>
    </row>
    <row r="572">
      <c r="A572" s="5" t="inlineStr">
        <is>
          <t>NLD2023</t>
        </is>
      </c>
      <c r="B572" s="5" t="inlineStr">
        <is>
          <t>NLD</t>
        </is>
      </c>
      <c r="C572" s="5" t="inlineStr">
        <is>
          <t>NLD</t>
        </is>
      </c>
      <c r="D572" s="5" t="inlineStr">
        <is>
          <t>Netherlands</t>
        </is>
      </c>
      <c r="E572" s="5" t="n">
        <v>2023</v>
      </c>
      <c r="F572" s="5" t="n">
        <v>0.21</v>
      </c>
      <c r="G572" s="5" t="n">
        <v>7.262</v>
      </c>
      <c r="H572" s="5" t="n">
        <v>1.286</v>
      </c>
      <c r="I572" s="5" t="n">
        <v>9.456</v>
      </c>
      <c r="J572" s="5" t="n">
        <v>16.718</v>
      </c>
      <c r="K572" s="5" t="n">
        <v>0</v>
      </c>
      <c r="L572" s="5" t="n">
        <v>1</v>
      </c>
      <c r="M572" s="5" t="n">
        <v>10.341</v>
      </c>
      <c r="N572" s="5" t="n">
        <v>3.857</v>
      </c>
      <c r="O572" s="5" t="n">
        <v>9.605</v>
      </c>
      <c r="P572" s="5" t="n">
        <v>19.945</v>
      </c>
      <c r="Q572" s="5" t="n">
        <v>0</v>
      </c>
      <c r="R572" s="5" t="n">
        <v>1</v>
      </c>
      <c r="S572" s="5" t="n">
        <v>13.69</v>
      </c>
      <c r="T572" s="5" t="n">
        <v>7.714</v>
      </c>
      <c r="U572" s="5" t="n">
        <v>1.471</v>
      </c>
      <c r="V572" s="5" t="n">
        <v>17.928</v>
      </c>
      <c r="W572" s="5" t="n">
        <v>0.21</v>
      </c>
      <c r="X572" s="5" t="n">
        <v>1</v>
      </c>
      <c r="Y572" s="5" t="n">
        <v>15.112</v>
      </c>
      <c r="Z572" s="5" t="n">
        <v>1.693</v>
      </c>
      <c r="AA572" s="5" t="n">
        <v>13.057</v>
      </c>
      <c r="AB572" s="5" t="n">
        <v>28.169</v>
      </c>
      <c r="AC572" s="5" t="n">
        <v>0</v>
      </c>
      <c r="AD572" s="5" t="n">
        <v>1</v>
      </c>
      <c r="AE572" s="5" t="n">
        <v>15.211</v>
      </c>
      <c r="AF572" s="5" t="n">
        <v>3.029</v>
      </c>
      <c r="AG572" s="5" t="n">
        <v>12.958</v>
      </c>
      <c r="AH572" s="5" t="n">
        <v>28.169</v>
      </c>
      <c r="AI572" s="5" t="n">
        <v>0</v>
      </c>
      <c r="AJ572" s="5" t="n">
        <v>1</v>
      </c>
      <c r="AK572" s="5" t="n">
        <v>25.81</v>
      </c>
      <c r="AL572" s="5" t="n">
        <v>12.786</v>
      </c>
      <c r="AM572" s="5" t="n">
        <v>17.476</v>
      </c>
      <c r="AN572" s="5" t="n">
        <v>52.376</v>
      </c>
      <c r="AO572" s="5" t="n">
        <v>0.21</v>
      </c>
      <c r="AP572" s="5" t="n">
        <v>1</v>
      </c>
      <c r="AQ572" s="5" t="n">
        <v>0.789</v>
      </c>
      <c r="AR572" s="5" t="n">
        <v>0.129</v>
      </c>
      <c r="AS572" s="5" t="n">
        <v>0.929</v>
      </c>
      <c r="AT572" s="5" t="n">
        <v>2.078</v>
      </c>
      <c r="AU572" s="5" t="n">
        <v>0.21</v>
      </c>
      <c r="AV572" s="5" t="n">
        <v>1</v>
      </c>
      <c r="AW572" s="5" t="n">
        <v>0.8110000000000001</v>
      </c>
      <c r="AX572" s="5" t="n">
        <v>0.129</v>
      </c>
      <c r="AY572" s="5" t="n">
        <v>0.721</v>
      </c>
      <c r="AZ572" s="5" t="n">
        <v>1.854</v>
      </c>
      <c r="BA572" s="5" t="n">
        <v>0.21</v>
      </c>
      <c r="BB572" s="5" t="n">
        <v>1</v>
      </c>
      <c r="BC572" s="5" t="n">
        <v>0.553</v>
      </c>
      <c r="BD572" s="5" t="n">
        <v>0.129</v>
      </c>
      <c r="BE572" s="5" t="n">
        <v>0.148</v>
      </c>
      <c r="BF572" s="5" t="n">
        <v>0.848</v>
      </c>
      <c r="BG572" s="5" t="n">
        <v>0.21</v>
      </c>
      <c r="BH572" s="5" t="n">
        <v>1</v>
      </c>
      <c r="BI572" s="5" t="n">
        <v>0.579</v>
      </c>
      <c r="BJ572" s="5" t="n">
        <v>0.129</v>
      </c>
      <c r="BK572" s="5" t="n">
        <v>1.036</v>
      </c>
      <c r="BL572" s="5" t="n">
        <v>1.954</v>
      </c>
      <c r="BM572" s="5" t="n">
        <v>0.21</v>
      </c>
      <c r="BN572" s="5" t="n">
        <v>1</v>
      </c>
      <c r="BO572" s="5" t="n">
        <v>0</v>
      </c>
      <c r="BP572" s="5" t="n">
        <v>0.013</v>
      </c>
      <c r="BQ572" s="5" t="n">
        <v>0.214</v>
      </c>
      <c r="BR572" s="5" t="n">
        <v>0</v>
      </c>
      <c r="BS572" s="5" t="n">
        <v>1</v>
      </c>
      <c r="BT572" s="5" t="n">
        <v>0</v>
      </c>
      <c r="BU572" s="5" t="n">
        <v>-0.102</v>
      </c>
      <c r="BV572" s="5" t="n">
        <v>0.341</v>
      </c>
      <c r="BW572" s="5" t="n">
        <v>0.21</v>
      </c>
      <c r="BX572" s="5" t="n">
        <v>1</v>
      </c>
      <c r="BY572" s="5" t="n">
        <v>13.254</v>
      </c>
      <c r="BZ572" s="5" t="n">
        <v>0</v>
      </c>
      <c r="CA572" s="5" t="n">
        <v>13.254</v>
      </c>
      <c r="CB572" s="5" t="n">
        <v>0</v>
      </c>
      <c r="CC572" s="5" t="n">
        <v>79.035</v>
      </c>
      <c r="CD572" s="5" t="n">
        <v>7.95</v>
      </c>
      <c r="CE572" s="5" t="n">
        <v>230.132</v>
      </c>
      <c r="CF572" s="5" t="n">
        <v>374.092</v>
      </c>
      <c r="CG572" s="5" t="n">
        <v>0.21</v>
      </c>
      <c r="CH572" s="5" t="n">
        <v>1</v>
      </c>
      <c r="CI572" s="5" t="n">
        <v>0</v>
      </c>
      <c r="CJ572" s="5" t="n">
        <v>0</v>
      </c>
      <c r="CK572" s="5" t="n">
        <v>0</v>
      </c>
      <c r="CL572" s="5" t="n">
        <v>0</v>
      </c>
      <c r="CM572" s="5" t="n">
        <v>0</v>
      </c>
      <c r="CN572" s="5" t="n">
        <v>0</v>
      </c>
      <c r="CO572" s="5" t="n">
        <v>0</v>
      </c>
      <c r="CP572" s="5" t="n">
        <v>0</v>
      </c>
      <c r="CQ572" s="5" t="n">
        <v>1.348</v>
      </c>
      <c r="CR572" s="5" t="n">
        <v>0</v>
      </c>
      <c r="CS572" s="5" t="n">
        <v>4.999</v>
      </c>
      <c r="CT572" s="5" t="n">
        <v>5.976</v>
      </c>
      <c r="CU572" s="5" t="n">
        <v>12.253</v>
      </c>
    </row>
    <row r="573">
      <c r="A573" s="5" t="inlineStr">
        <is>
          <t>NLD2024</t>
        </is>
      </c>
      <c r="B573" s="5" t="inlineStr">
        <is>
          <t>NLD</t>
        </is>
      </c>
      <c r="C573" s="5" t="inlineStr">
        <is>
          <t>NLD</t>
        </is>
      </c>
      <c r="D573" s="5" t="inlineStr">
        <is>
          <t>Netherlands</t>
        </is>
      </c>
      <c r="E573" s="5" t="n">
        <v>2024</v>
      </c>
      <c r="F573" s="5" t="n">
        <v>0.21</v>
      </c>
      <c r="G573" s="5" t="n">
        <v>6.635</v>
      </c>
      <c r="H573" s="5" t="n">
        <v>1.324</v>
      </c>
      <c r="I573" s="5" t="n">
        <v>6.197</v>
      </c>
      <c r="J573" s="5" t="n">
        <v>12.833</v>
      </c>
      <c r="K573" s="5" t="n">
        <v>0</v>
      </c>
      <c r="L573" s="5" t="n">
        <v>1</v>
      </c>
      <c r="M573" s="5" t="n">
        <v>9.912000000000001</v>
      </c>
      <c r="N573" s="5" t="n">
        <v>3.971</v>
      </c>
      <c r="O573" s="5" t="n">
        <v>6.318</v>
      </c>
      <c r="P573" s="5" t="n">
        <v>16.231</v>
      </c>
      <c r="Q573" s="5" t="n">
        <v>0</v>
      </c>
      <c r="R573" s="5" t="n">
        <v>1</v>
      </c>
      <c r="S573" s="5" t="n">
        <v>13.253</v>
      </c>
      <c r="T573" s="5" t="n">
        <v>7.942</v>
      </c>
      <c r="U573" s="5" t="n">
        <v>1.572</v>
      </c>
      <c r="V573" s="5" t="n">
        <v>17.44</v>
      </c>
      <c r="W573" s="5" t="n">
        <v>0.21</v>
      </c>
      <c r="X573" s="5" t="n">
        <v>1</v>
      </c>
      <c r="Y573" s="5" t="n">
        <v>12.708</v>
      </c>
      <c r="Z573" s="5" t="n">
        <v>1.605</v>
      </c>
      <c r="AA573" s="5" t="n">
        <v>11.561</v>
      </c>
      <c r="AB573" s="5" t="n">
        <v>24.269</v>
      </c>
      <c r="AC573" s="5" t="n">
        <v>0</v>
      </c>
      <c r="AD573" s="5" t="n">
        <v>1</v>
      </c>
      <c r="AE573" s="5" t="n">
        <v>12.708</v>
      </c>
      <c r="AF573" s="5" t="n">
        <v>2.784</v>
      </c>
      <c r="AG573" s="5" t="n">
        <v>11.561</v>
      </c>
      <c r="AH573" s="5" t="n">
        <v>24.269</v>
      </c>
      <c r="AI573" s="5" t="n">
        <v>0</v>
      </c>
      <c r="AJ573" s="5" t="n">
        <v>1</v>
      </c>
      <c r="AK573" s="5" t="n">
        <v>23.009</v>
      </c>
      <c r="AL573" s="5" t="n">
        <v>11.703</v>
      </c>
      <c r="AM573" s="5" t="n">
        <v>17.943</v>
      </c>
      <c r="AN573" s="5" t="n">
        <v>49.551</v>
      </c>
      <c r="AO573" s="5" t="n">
        <v>0.21</v>
      </c>
      <c r="AP573" s="5" t="n">
        <v>1</v>
      </c>
      <c r="AQ573" s="5" t="n">
        <v>0.751</v>
      </c>
      <c r="AR573" s="5" t="n">
        <v>0.132</v>
      </c>
      <c r="AS573" s="5" t="n">
        <v>1.012</v>
      </c>
      <c r="AT573" s="5" t="n">
        <v>2.132</v>
      </c>
      <c r="AU573" s="5" t="n">
        <v>0.21</v>
      </c>
      <c r="AV573" s="5" t="n">
        <v>1</v>
      </c>
      <c r="AW573" s="5" t="n">
        <v>0.75</v>
      </c>
      <c r="AX573" s="5" t="n">
        <v>0.132</v>
      </c>
      <c r="AY573" s="5" t="n">
        <v>0.793</v>
      </c>
      <c r="AZ573" s="5" t="n">
        <v>1.867</v>
      </c>
      <c r="BA573" s="5" t="n">
        <v>0.21</v>
      </c>
      <c r="BB573" s="5" t="n">
        <v>1</v>
      </c>
      <c r="BC573" s="5" t="n">
        <v>0.53</v>
      </c>
      <c r="BD573" s="5" t="n">
        <v>0.132</v>
      </c>
      <c r="BE573" s="5" t="n">
        <v>0.181</v>
      </c>
      <c r="BF573" s="5" t="n">
        <v>0.86</v>
      </c>
      <c r="BG573" s="5" t="n">
        <v>0.21</v>
      </c>
      <c r="BH573" s="5" t="n">
        <v>1</v>
      </c>
      <c r="BI573" s="5" t="n">
        <v>0.591</v>
      </c>
      <c r="BJ573" s="5" t="n">
        <v>0.132</v>
      </c>
      <c r="BK573" s="5" t="n">
        <v>1.01</v>
      </c>
      <c r="BL573" s="5" t="n">
        <v>1.938</v>
      </c>
      <c r="BM573" s="5" t="n">
        <v>0.21</v>
      </c>
      <c r="BN573" s="5" t="n">
        <v>1</v>
      </c>
      <c r="BO573" s="5" t="n">
        <v>0</v>
      </c>
      <c r="BP573" s="5" t="n">
        <v>0.015</v>
      </c>
      <c r="BQ573" s="5" t="n">
        <v>0.168</v>
      </c>
      <c r="BR573" s="5" t="n">
        <v>0</v>
      </c>
      <c r="BS573" s="5" t="n">
        <v>1</v>
      </c>
      <c r="BT573" s="5" t="n">
        <v>0</v>
      </c>
      <c r="BU573" s="5" t="n">
        <v>-0.078</v>
      </c>
      <c r="BV573" s="5" t="n">
        <v>0.262</v>
      </c>
      <c r="BW573" s="5" t="n">
        <v>0.21</v>
      </c>
      <c r="BX573" s="5" t="n">
        <v>1</v>
      </c>
      <c r="BY573" s="5" t="n">
        <v>13.646</v>
      </c>
      <c r="BZ573" s="5" t="n">
        <v>0</v>
      </c>
      <c r="CA573" s="5" t="n">
        <v>13.646</v>
      </c>
      <c r="CB573" s="5" t="n">
        <v>0</v>
      </c>
      <c r="CC573" s="5" t="n">
        <v>78.41200000000001</v>
      </c>
      <c r="CD573" s="5" t="n">
        <v>7.95</v>
      </c>
      <c r="CE573" s="5" t="n">
        <v>228.151</v>
      </c>
      <c r="CF573" s="5" t="n">
        <v>370.941</v>
      </c>
      <c r="CG573" s="5" t="n">
        <v>0.21</v>
      </c>
      <c r="CH573" s="5" t="n">
        <v>1</v>
      </c>
      <c r="CI573" s="5" t="n">
        <v>0</v>
      </c>
      <c r="CJ573" s="5" t="n">
        <v>0</v>
      </c>
      <c r="CK573" s="5" t="n">
        <v>0</v>
      </c>
      <c r="CL573" s="5" t="n">
        <v>0</v>
      </c>
      <c r="CM573" s="5" t="n">
        <v>0</v>
      </c>
      <c r="CN573" s="5" t="n">
        <v>0</v>
      </c>
      <c r="CO573" s="5" t="n">
        <v>0</v>
      </c>
      <c r="CP573" s="5" t="n">
        <v>0</v>
      </c>
      <c r="CQ573" s="5" t="n">
        <v>1.387</v>
      </c>
      <c r="CR573" s="5" t="n">
        <v>0</v>
      </c>
      <c r="CS573" s="5" t="n">
        <v>5.147</v>
      </c>
      <c r="CT573" s="5" t="n">
        <v>5.312</v>
      </c>
      <c r="CU573" s="5" t="n">
        <v>10.135</v>
      </c>
    </row>
    <row r="574">
      <c r="A574" s="5" t="inlineStr">
        <is>
          <t>NCL2021</t>
        </is>
      </c>
      <c r="B574" s="5" t="inlineStr">
        <is>
          <t>NCL</t>
        </is>
      </c>
      <c r="C574" s="5" t="inlineStr">
        <is>
          <t>NCL</t>
        </is>
      </c>
      <c r="D574" s="5" t="inlineStr">
        <is>
          <t>New Caledonia</t>
        </is>
      </c>
      <c r="E574" s="5" t="n">
        <v>2021</v>
      </c>
      <c r="F574" s="5" t="n">
        <v>0.11</v>
      </c>
      <c r="G574" s="5" t="n">
        <v>4.747</v>
      </c>
      <c r="H574" s="5" t="n">
        <v>1.143</v>
      </c>
      <c r="I574" s="5" t="n">
        <v>0</v>
      </c>
      <c r="J574" s="5" t="n">
        <v>4.747</v>
      </c>
      <c r="K574" s="5" t="n">
        <v>0</v>
      </c>
      <c r="L574" s="5" t="n">
        <v>1</v>
      </c>
      <c r="M574" s="5" t="n">
        <v>7.964</v>
      </c>
      <c r="N574" s="5" t="n">
        <v>3.43</v>
      </c>
      <c r="O574" s="5" t="n">
        <v>0</v>
      </c>
      <c r="P574" s="5" t="n">
        <v>7.964</v>
      </c>
      <c r="Q574" s="5" t="n">
        <v>0</v>
      </c>
      <c r="R574" s="5" t="n">
        <v>1</v>
      </c>
      <c r="S574" s="5" t="n">
        <v>10.464</v>
      </c>
      <c r="T574" s="5" t="n">
        <v>6.86</v>
      </c>
      <c r="U574" s="5" t="n">
        <v>0</v>
      </c>
      <c r="V574" s="5" t="n">
        <v>11.615</v>
      </c>
      <c r="W574" s="5" t="n">
        <v>0.11</v>
      </c>
      <c r="X574" s="5" t="n">
        <v>1</v>
      </c>
      <c r="Y574" s="5" t="n">
        <v>5.626</v>
      </c>
      <c r="Z574" s="5" t="n">
        <v>0.694</v>
      </c>
      <c r="AA574" s="5" t="n">
        <v>0</v>
      </c>
      <c r="AB574" s="5" t="n">
        <v>5.626</v>
      </c>
      <c r="AC574" s="5" t="n">
        <v>0</v>
      </c>
      <c r="AD574" s="5" t="n">
        <v>1</v>
      </c>
      <c r="AE574" s="5" t="n">
        <v>6.769</v>
      </c>
      <c r="AF574" s="5" t="n">
        <v>1.476</v>
      </c>
      <c r="AG574" s="5" t="n">
        <v>0</v>
      </c>
      <c r="AH574" s="5" t="n">
        <v>6.769</v>
      </c>
      <c r="AI574" s="5" t="n">
        <v>0</v>
      </c>
      <c r="AJ574" s="5" t="n">
        <v>1</v>
      </c>
      <c r="AK574" s="5" t="n">
        <v>13.629</v>
      </c>
      <c r="AL574" s="5" t="n">
        <v>7.072</v>
      </c>
      <c r="AM574" s="5" t="n">
        <v>0</v>
      </c>
      <c r="AN574" s="5" t="n">
        <v>15.128</v>
      </c>
      <c r="AO574" s="5" t="n">
        <v>0.11</v>
      </c>
      <c r="AP574" s="5" t="n">
        <v>1</v>
      </c>
      <c r="AQ574" s="5" t="n">
        <v>0.621</v>
      </c>
      <c r="AR574" s="5" t="n">
        <v>0.114</v>
      </c>
      <c r="AS574" s="5" t="n">
        <v>0</v>
      </c>
      <c r="AT574" s="5" t="n">
        <v>0.6889999999999999</v>
      </c>
      <c r="AU574" s="5" t="n">
        <v>0.11</v>
      </c>
      <c r="AV574" s="5" t="n">
        <v>1</v>
      </c>
      <c r="AW574" s="5" t="n">
        <v>0.593</v>
      </c>
      <c r="AX574" s="5" t="n">
        <v>0.114</v>
      </c>
      <c r="AY574" s="5" t="n">
        <v>0</v>
      </c>
      <c r="AZ574" s="5" t="n">
        <v>0.658</v>
      </c>
      <c r="BA574" s="5" t="n">
        <v>0.11</v>
      </c>
      <c r="BB574" s="5" t="n">
        <v>1</v>
      </c>
      <c r="BC574" s="5" t="n">
        <v>0.44</v>
      </c>
      <c r="BD574" s="5" t="n">
        <v>0.114</v>
      </c>
      <c r="BE574" s="5" t="n">
        <v>0</v>
      </c>
      <c r="BF574" s="5" t="n">
        <v>0.488</v>
      </c>
      <c r="BG574" s="5" t="n">
        <v>0.11</v>
      </c>
      <c r="BH574" s="5" t="n">
        <v>1</v>
      </c>
      <c r="BI574" s="5" t="n">
        <v>0.5600000000000001</v>
      </c>
      <c r="BJ574" s="5" t="n">
        <v>0.114</v>
      </c>
      <c r="BK574" s="5" t="n">
        <v>0</v>
      </c>
      <c r="BL574" s="5" t="n">
        <v>0.622</v>
      </c>
      <c r="BM574" s="5" t="n">
        <v>0.11</v>
      </c>
      <c r="BN574" s="5" t="n">
        <v>1</v>
      </c>
      <c r="BO574" s="5" t="n">
        <v>0</v>
      </c>
      <c r="BP574" s="5" t="n">
        <v>0</v>
      </c>
      <c r="BQ574" s="5" t="n">
        <v>0</v>
      </c>
      <c r="BR574" s="5" t="n">
        <v>0</v>
      </c>
      <c r="BS574" s="5" t="n">
        <v>1</v>
      </c>
      <c r="BT574" s="5" t="n">
        <v>0</v>
      </c>
      <c r="BU574" s="5" t="n">
        <v>0</v>
      </c>
      <c r="BV574" s="5" t="n">
        <v>0</v>
      </c>
      <c r="BW574" s="5" t="n">
        <v>0.11</v>
      </c>
      <c r="BX574" s="5" t="n">
        <v>1</v>
      </c>
      <c r="BY574" s="5" t="n">
        <v>11.787</v>
      </c>
      <c r="BZ574" s="5" t="n">
        <v>0</v>
      </c>
      <c r="CA574" s="5" t="n">
        <v>11.787</v>
      </c>
      <c r="CB574" s="5" t="n">
        <v>0</v>
      </c>
      <c r="CC574" s="5" t="n">
        <v>81.69499999999999</v>
      </c>
      <c r="CD574" s="5" t="n">
        <v>7.95</v>
      </c>
      <c r="CE574" s="5" t="n">
        <v>0</v>
      </c>
      <c r="CF574" s="5" t="n">
        <v>90.682</v>
      </c>
      <c r="CG574" s="5" t="n">
        <v>0.11</v>
      </c>
      <c r="CH574" s="5" t="n">
        <v>1</v>
      </c>
      <c r="CI574" s="5" t="n">
        <v>0</v>
      </c>
      <c r="CJ574" s="5" t="n">
        <v>0</v>
      </c>
      <c r="CK574" s="5" t="n">
        <v>0</v>
      </c>
      <c r="CL574" s="5" t="n">
        <v>0</v>
      </c>
      <c r="CM574" s="5" t="n">
        <v>0</v>
      </c>
      <c r="CN574" s="5" t="n">
        <v>0</v>
      </c>
      <c r="CO574" s="5" t="n">
        <v>0</v>
      </c>
      <c r="CP574" s="5" t="n">
        <v>0</v>
      </c>
      <c r="CQ574" s="5" t="n">
        <v>1.198</v>
      </c>
      <c r="CR574" s="5" t="n">
        <v>0</v>
      </c>
      <c r="CS574" s="5" t="n">
        <v>4.776</v>
      </c>
      <c r="CT574" s="5" t="n">
        <v>3.604</v>
      </c>
      <c r="CU574" s="5" t="n">
        <v>9.407999999999999</v>
      </c>
    </row>
    <row r="575">
      <c r="A575" s="5" t="inlineStr">
        <is>
          <t>NCL2022</t>
        </is>
      </c>
      <c r="B575" s="5" t="inlineStr">
        <is>
          <t>NCL</t>
        </is>
      </c>
      <c r="C575" s="5" t="inlineStr">
        <is>
          <t>NCL</t>
        </is>
      </c>
      <c r="D575" s="5" t="inlineStr">
        <is>
          <t>New Caledonia</t>
        </is>
      </c>
      <c r="E575" s="5" t="n">
        <v>2022</v>
      </c>
      <c r="F575" s="5" t="n">
        <v>0.11</v>
      </c>
      <c r="G575" s="5" t="n">
        <v>8.788</v>
      </c>
      <c r="H575" s="5" t="n">
        <v>1.235</v>
      </c>
      <c r="I575" s="5" t="n">
        <v>0</v>
      </c>
      <c r="J575" s="5" t="n">
        <v>8.788</v>
      </c>
      <c r="K575" s="5" t="n">
        <v>0</v>
      </c>
      <c r="L575" s="5" t="n">
        <v>1</v>
      </c>
      <c r="M575" s="5" t="n">
        <v>9.782999999999999</v>
      </c>
      <c r="N575" s="5" t="n">
        <v>3.704</v>
      </c>
      <c r="O575" s="5" t="n">
        <v>0</v>
      </c>
      <c r="P575" s="5" t="n">
        <v>9.782999999999999</v>
      </c>
      <c r="Q575" s="5" t="n">
        <v>0</v>
      </c>
      <c r="R575" s="5" t="n">
        <v>1</v>
      </c>
      <c r="S575" s="5" t="n">
        <v>14.962</v>
      </c>
      <c r="T575" s="5" t="n">
        <v>7.408</v>
      </c>
      <c r="U575" s="5" t="n">
        <v>0.122</v>
      </c>
      <c r="V575" s="5" t="n">
        <v>16.608</v>
      </c>
      <c r="W575" s="5" t="n">
        <v>0.11</v>
      </c>
      <c r="X575" s="5" t="n">
        <v>1</v>
      </c>
      <c r="Y575" s="5" t="n">
        <v>6.599</v>
      </c>
      <c r="Z575" s="5" t="n">
        <v>0.8139999999999999</v>
      </c>
      <c r="AA575" s="5" t="n">
        <v>0</v>
      </c>
      <c r="AB575" s="5" t="n">
        <v>6.599</v>
      </c>
      <c r="AC575" s="5" t="n">
        <v>0</v>
      </c>
      <c r="AD575" s="5" t="n">
        <v>1</v>
      </c>
      <c r="AE575" s="5" t="n">
        <v>7.834</v>
      </c>
      <c r="AF575" s="5" t="n">
        <v>1.708</v>
      </c>
      <c r="AG575" s="5" t="n">
        <v>0</v>
      </c>
      <c r="AH575" s="5" t="n">
        <v>7.834</v>
      </c>
      <c r="AI575" s="5" t="n">
        <v>0</v>
      </c>
      <c r="AJ575" s="5" t="n">
        <v>1</v>
      </c>
      <c r="AK575" s="5" t="n">
        <v>15.242</v>
      </c>
      <c r="AL575" s="5" t="n">
        <v>7.909</v>
      </c>
      <c r="AM575" s="5" t="n">
        <v>0.124</v>
      </c>
      <c r="AN575" s="5" t="n">
        <v>16.919</v>
      </c>
      <c r="AO575" s="5" t="n">
        <v>0.11</v>
      </c>
      <c r="AP575" s="5" t="n">
        <v>1</v>
      </c>
      <c r="AQ575" s="5" t="n">
        <v>0.847</v>
      </c>
      <c r="AR575" s="5" t="n">
        <v>0.123</v>
      </c>
      <c r="AS575" s="5" t="n">
        <v>0.007</v>
      </c>
      <c r="AT575" s="5" t="n">
        <v>0.9399999999999999</v>
      </c>
      <c r="AU575" s="5" t="n">
        <v>0.11</v>
      </c>
      <c r="AV575" s="5" t="n">
        <v>1</v>
      </c>
      <c r="AW575" s="5" t="n">
        <v>0.947</v>
      </c>
      <c r="AX575" s="5" t="n">
        <v>0.123</v>
      </c>
      <c r="AY575" s="5" t="n">
        <v>0.008</v>
      </c>
      <c r="AZ575" s="5" t="n">
        <v>1.051</v>
      </c>
      <c r="BA575" s="5" t="n">
        <v>0.11</v>
      </c>
      <c r="BB575" s="5" t="n">
        <v>1</v>
      </c>
      <c r="BC575" s="5" t="n">
        <v>0.589</v>
      </c>
      <c r="BD575" s="5" t="n">
        <v>0.123</v>
      </c>
      <c r="BE575" s="5" t="n">
        <v>0.005</v>
      </c>
      <c r="BF575" s="5" t="n">
        <v>0.653</v>
      </c>
      <c r="BG575" s="5" t="n">
        <v>0.11</v>
      </c>
      <c r="BH575" s="5" t="n">
        <v>1</v>
      </c>
      <c r="BI575" s="5" t="n">
        <v>0.6889999999999999</v>
      </c>
      <c r="BJ575" s="5" t="n">
        <v>0.123</v>
      </c>
      <c r="BK575" s="5" t="n">
        <v>0.006</v>
      </c>
      <c r="BL575" s="5" t="n">
        <v>0.765</v>
      </c>
      <c r="BM575" s="5" t="n">
        <v>0.11</v>
      </c>
      <c r="BN575" s="5" t="n">
        <v>1</v>
      </c>
      <c r="BO575" s="5" t="n">
        <v>0</v>
      </c>
      <c r="BP575" s="5" t="n">
        <v>0</v>
      </c>
      <c r="BQ575" s="5" t="n">
        <v>0</v>
      </c>
      <c r="BR575" s="5" t="n">
        <v>0</v>
      </c>
      <c r="BS575" s="5" t="n">
        <v>1</v>
      </c>
      <c r="BT575" s="5" t="n">
        <v>0</v>
      </c>
      <c r="BU575" s="5" t="n">
        <v>0</v>
      </c>
      <c r="BV575" s="5" t="n">
        <v>0</v>
      </c>
      <c r="BW575" s="5" t="n">
        <v>0.11</v>
      </c>
      <c r="BX575" s="5" t="n">
        <v>1</v>
      </c>
      <c r="BY575" s="5" t="n">
        <v>12.729</v>
      </c>
      <c r="BZ575" s="5" t="n">
        <v>0</v>
      </c>
      <c r="CA575" s="5" t="n">
        <v>12.729</v>
      </c>
      <c r="CB575" s="5" t="n">
        <v>0</v>
      </c>
      <c r="CC575" s="5" t="n">
        <v>102.477</v>
      </c>
      <c r="CD575" s="5" t="n">
        <v>7.95</v>
      </c>
      <c r="CE575" s="5" t="n">
        <v>0.834</v>
      </c>
      <c r="CF575" s="5" t="n">
        <v>113.749</v>
      </c>
      <c r="CG575" s="5" t="n">
        <v>0.11</v>
      </c>
      <c r="CH575" s="5" t="n">
        <v>1</v>
      </c>
      <c r="CI575" s="5" t="n">
        <v>0</v>
      </c>
      <c r="CJ575" s="5" t="n">
        <v>0</v>
      </c>
      <c r="CK575" s="5" t="n">
        <v>0</v>
      </c>
      <c r="CL575" s="5" t="n">
        <v>0</v>
      </c>
      <c r="CM575" s="5" t="n">
        <v>0</v>
      </c>
      <c r="CN575" s="5" t="n">
        <v>0</v>
      </c>
      <c r="CO575" s="5" t="n">
        <v>0</v>
      </c>
      <c r="CP575" s="5" t="n">
        <v>0</v>
      </c>
      <c r="CQ575" s="5" t="n">
        <v>1.294</v>
      </c>
      <c r="CR575" s="5" t="n">
        <v>0</v>
      </c>
      <c r="CS575" s="5" t="n">
        <v>5.158</v>
      </c>
      <c r="CT575" s="5" t="n">
        <v>7.554</v>
      </c>
      <c r="CU575" s="5" t="n">
        <v>16.097</v>
      </c>
    </row>
    <row r="576">
      <c r="A576" s="5" t="inlineStr">
        <is>
          <t>NCL2023</t>
        </is>
      </c>
      <c r="B576" s="5" t="inlineStr">
        <is>
          <t>NCL</t>
        </is>
      </c>
      <c r="C576" s="5" t="inlineStr">
        <is>
          <t>NCL</t>
        </is>
      </c>
      <c r="D576" s="5" t="inlineStr">
        <is>
          <t>New Caledonia</t>
        </is>
      </c>
      <c r="E576" s="5" t="n">
        <v>2023</v>
      </c>
      <c r="F576" s="5" t="n">
        <v>0.11</v>
      </c>
      <c r="G576" s="5" t="n">
        <v>5.77</v>
      </c>
      <c r="H576" s="5" t="n">
        <v>1.286</v>
      </c>
      <c r="I576" s="5" t="n">
        <v>0</v>
      </c>
      <c r="J576" s="5" t="n">
        <v>5.77</v>
      </c>
      <c r="K576" s="5" t="n">
        <v>0</v>
      </c>
      <c r="L576" s="5" t="n">
        <v>1</v>
      </c>
      <c r="M576" s="5" t="n">
        <v>7.886</v>
      </c>
      <c r="N576" s="5" t="n">
        <v>3.857</v>
      </c>
      <c r="O576" s="5" t="n">
        <v>0</v>
      </c>
      <c r="P576" s="5" t="n">
        <v>7.886</v>
      </c>
      <c r="Q576" s="5" t="n">
        <v>0</v>
      </c>
      <c r="R576" s="5" t="n">
        <v>1</v>
      </c>
      <c r="S576" s="5" t="n">
        <v>12.198</v>
      </c>
      <c r="T576" s="5" t="n">
        <v>7.714</v>
      </c>
      <c r="U576" s="5" t="n">
        <v>0.149</v>
      </c>
      <c r="V576" s="5" t="n">
        <v>13.54</v>
      </c>
      <c r="W576" s="5" t="n">
        <v>0.11</v>
      </c>
      <c r="X576" s="5" t="n">
        <v>1</v>
      </c>
      <c r="Y576" s="5" t="n">
        <v>6.498</v>
      </c>
      <c r="Z576" s="5" t="n">
        <v>0.802</v>
      </c>
      <c r="AA576" s="5" t="n">
        <v>0</v>
      </c>
      <c r="AB576" s="5" t="n">
        <v>6.498</v>
      </c>
      <c r="AC576" s="5" t="n">
        <v>0</v>
      </c>
      <c r="AD576" s="5" t="n">
        <v>1</v>
      </c>
      <c r="AE576" s="5" t="n">
        <v>7.784</v>
      </c>
      <c r="AF576" s="5" t="n">
        <v>1.697</v>
      </c>
      <c r="AG576" s="5" t="n">
        <v>0</v>
      </c>
      <c r="AH576" s="5" t="n">
        <v>7.784</v>
      </c>
      <c r="AI576" s="5" t="n">
        <v>0</v>
      </c>
      <c r="AJ576" s="5" t="n">
        <v>1</v>
      </c>
      <c r="AK576" s="5" t="n">
        <v>15.498</v>
      </c>
      <c r="AL576" s="5" t="n">
        <v>8.042</v>
      </c>
      <c r="AM576" s="5" t="n">
        <v>0.189</v>
      </c>
      <c r="AN576" s="5" t="n">
        <v>17.202</v>
      </c>
      <c r="AO576" s="5" t="n">
        <v>0.11</v>
      </c>
      <c r="AP576" s="5" t="n">
        <v>1</v>
      </c>
      <c r="AQ576" s="5" t="n">
        <v>0.749</v>
      </c>
      <c r="AR576" s="5" t="n">
        <v>0.129</v>
      </c>
      <c r="AS576" s="5" t="n">
        <v>0.008999999999999999</v>
      </c>
      <c r="AT576" s="5" t="n">
        <v>0.831</v>
      </c>
      <c r="AU576" s="5" t="n">
        <v>0.11</v>
      </c>
      <c r="AV576" s="5" t="n">
        <v>1</v>
      </c>
      <c r="AW576" s="5" t="n">
        <v>0.783</v>
      </c>
      <c r="AX576" s="5" t="n">
        <v>0.129</v>
      </c>
      <c r="AY576" s="5" t="n">
        <v>0.01</v>
      </c>
      <c r="AZ576" s="5" t="n">
        <v>0.869</v>
      </c>
      <c r="BA576" s="5" t="n">
        <v>0.11</v>
      </c>
      <c r="BB576" s="5" t="n">
        <v>1</v>
      </c>
      <c r="BC576" s="5" t="n">
        <v>0.527</v>
      </c>
      <c r="BD576" s="5" t="n">
        <v>0.129</v>
      </c>
      <c r="BE576" s="5" t="n">
        <v>0.006</v>
      </c>
      <c r="BF576" s="5" t="n">
        <v>0.585</v>
      </c>
      <c r="BG576" s="5" t="n">
        <v>0.11</v>
      </c>
      <c r="BH576" s="5" t="n">
        <v>1</v>
      </c>
      <c r="BI576" s="5" t="n">
        <v>0.64</v>
      </c>
      <c r="BJ576" s="5" t="n">
        <v>0.129</v>
      </c>
      <c r="BK576" s="5" t="n">
        <v>0.008</v>
      </c>
      <c r="BL576" s="5" t="n">
        <v>0.71</v>
      </c>
      <c r="BM576" s="5" t="n">
        <v>0.11</v>
      </c>
      <c r="BN576" s="5" t="n">
        <v>1</v>
      </c>
      <c r="BO576" s="5" t="n">
        <v>0</v>
      </c>
      <c r="BP576" s="5" t="n">
        <v>0</v>
      </c>
      <c r="BQ576" s="5" t="n">
        <v>0</v>
      </c>
      <c r="BR576" s="5" t="n">
        <v>0</v>
      </c>
      <c r="BS576" s="5" t="n">
        <v>1</v>
      </c>
      <c r="BT576" s="5" t="n">
        <v>0</v>
      </c>
      <c r="BU576" s="5" t="n">
        <v>0</v>
      </c>
      <c r="BV576" s="5" t="n">
        <v>0</v>
      </c>
      <c r="BW576" s="5" t="n">
        <v>0.11</v>
      </c>
      <c r="BX576" s="5" t="n">
        <v>1</v>
      </c>
      <c r="BY576" s="5" t="n">
        <v>13.254</v>
      </c>
      <c r="BZ576" s="5" t="n">
        <v>0</v>
      </c>
      <c r="CA576" s="5" t="n">
        <v>13.254</v>
      </c>
      <c r="CB576" s="5" t="n">
        <v>0</v>
      </c>
      <c r="CC576" s="5" t="n">
        <v>87.07899999999999</v>
      </c>
      <c r="CD576" s="5" t="n">
        <v>7.95</v>
      </c>
      <c r="CE576" s="5" t="n">
        <v>1.061</v>
      </c>
      <c r="CF576" s="5" t="n">
        <v>96.658</v>
      </c>
      <c r="CG576" s="5" t="n">
        <v>0.11</v>
      </c>
      <c r="CH576" s="5" t="n">
        <v>1</v>
      </c>
      <c r="CI576" s="5" t="n">
        <v>0</v>
      </c>
      <c r="CJ576" s="5" t="n">
        <v>0</v>
      </c>
      <c r="CK576" s="5" t="n">
        <v>0</v>
      </c>
      <c r="CL576" s="5" t="n">
        <v>0</v>
      </c>
      <c r="CM576" s="5" t="n">
        <v>0</v>
      </c>
      <c r="CN576" s="5" t="n">
        <v>0</v>
      </c>
      <c r="CO576" s="5" t="n">
        <v>0</v>
      </c>
      <c r="CP576" s="5" t="n">
        <v>0</v>
      </c>
      <c r="CQ576" s="5" t="n">
        <v>1.348</v>
      </c>
      <c r="CR576" s="5" t="n">
        <v>0</v>
      </c>
      <c r="CS576" s="5" t="n">
        <v>5.37</v>
      </c>
      <c r="CT576" s="5" t="n">
        <v>4.484</v>
      </c>
      <c r="CU576" s="5" t="n">
        <v>12.529</v>
      </c>
    </row>
    <row r="577">
      <c r="A577" s="5" t="inlineStr">
        <is>
          <t>NCL2024</t>
        </is>
      </c>
      <c r="B577" s="5" t="inlineStr">
        <is>
          <t>NCL</t>
        </is>
      </c>
      <c r="C577" s="5" t="inlineStr">
        <is>
          <t>NCL</t>
        </is>
      </c>
      <c r="D577" s="5" t="inlineStr">
        <is>
          <t>New Caledonia</t>
        </is>
      </c>
      <c r="E577" s="5" t="n">
        <v>2024</v>
      </c>
      <c r="F577" s="5" t="n">
        <v>0.11</v>
      </c>
      <c r="G577" s="5" t="n">
        <v>4.833</v>
      </c>
      <c r="H577" s="5" t="n">
        <v>1.324</v>
      </c>
      <c r="I577" s="5" t="n">
        <v>0</v>
      </c>
      <c r="J577" s="5" t="n">
        <v>4.833</v>
      </c>
      <c r="K577" s="5" t="n">
        <v>0</v>
      </c>
      <c r="L577" s="5" t="n">
        <v>1</v>
      </c>
      <c r="M577" s="5" t="n">
        <v>7.124</v>
      </c>
      <c r="N577" s="5" t="n">
        <v>3.971</v>
      </c>
      <c r="O577" s="5" t="n">
        <v>0</v>
      </c>
      <c r="P577" s="5" t="n">
        <v>7.124</v>
      </c>
      <c r="Q577" s="5" t="n">
        <v>0</v>
      </c>
      <c r="R577" s="5" t="n">
        <v>1</v>
      </c>
      <c r="S577" s="5" t="n">
        <v>11.451</v>
      </c>
      <c r="T577" s="5" t="n">
        <v>7.942</v>
      </c>
      <c r="U577" s="5" t="n">
        <v>0.172</v>
      </c>
      <c r="V577" s="5" t="n">
        <v>12.71</v>
      </c>
      <c r="W577" s="5" t="n">
        <v>0.11</v>
      </c>
      <c r="X577" s="5" t="n">
        <v>1</v>
      </c>
      <c r="Y577" s="5" t="n">
        <v>6.513</v>
      </c>
      <c r="Z577" s="5" t="n">
        <v>0.804</v>
      </c>
      <c r="AA577" s="5" t="n">
        <v>0</v>
      </c>
      <c r="AB577" s="5" t="n">
        <v>6.513</v>
      </c>
      <c r="AC577" s="5" t="n">
        <v>0</v>
      </c>
      <c r="AD577" s="5" t="n">
        <v>1</v>
      </c>
      <c r="AE577" s="5" t="n">
        <v>7.837</v>
      </c>
      <c r="AF577" s="5" t="n">
        <v>1.708</v>
      </c>
      <c r="AG577" s="5" t="n">
        <v>0</v>
      </c>
      <c r="AH577" s="5" t="n">
        <v>7.837</v>
      </c>
      <c r="AI577" s="5" t="n">
        <v>0</v>
      </c>
      <c r="AJ577" s="5" t="n">
        <v>1</v>
      </c>
      <c r="AK577" s="5" t="n">
        <v>15.778</v>
      </c>
      <c r="AL577" s="5" t="n">
        <v>8.186999999999999</v>
      </c>
      <c r="AM577" s="5" t="n">
        <v>0.236</v>
      </c>
      <c r="AN577" s="5" t="n">
        <v>17.514</v>
      </c>
      <c r="AO577" s="5" t="n">
        <v>0.11</v>
      </c>
      <c r="AP577" s="5" t="n">
        <v>1</v>
      </c>
      <c r="AQ577" s="5" t="n">
        <v>0.72</v>
      </c>
      <c r="AR577" s="5" t="n">
        <v>0.132</v>
      </c>
      <c r="AS577" s="5" t="n">
        <v>0.011</v>
      </c>
      <c r="AT577" s="5" t="n">
        <v>0.799</v>
      </c>
      <c r="AU577" s="5" t="n">
        <v>0.11</v>
      </c>
      <c r="AV577" s="5" t="n">
        <v>1</v>
      </c>
      <c r="AW577" s="5" t="n">
        <v>0.734</v>
      </c>
      <c r="AX577" s="5" t="n">
        <v>0.132</v>
      </c>
      <c r="AY577" s="5" t="n">
        <v>0.011</v>
      </c>
      <c r="AZ577" s="5" t="n">
        <v>0.8139999999999999</v>
      </c>
      <c r="BA577" s="5" t="n">
        <v>0.11</v>
      </c>
      <c r="BB577" s="5" t="n">
        <v>1</v>
      </c>
      <c r="BC577" s="5" t="n">
        <v>0.51</v>
      </c>
      <c r="BD577" s="5" t="n">
        <v>0.132</v>
      </c>
      <c r="BE577" s="5" t="n">
        <v>0.008</v>
      </c>
      <c r="BF577" s="5" t="n">
        <v>0.5659999999999999</v>
      </c>
      <c r="BG577" s="5" t="n">
        <v>0.11</v>
      </c>
      <c r="BH577" s="5" t="n">
        <v>1</v>
      </c>
      <c r="BI577" s="5" t="n">
        <v>0.652</v>
      </c>
      <c r="BJ577" s="5" t="n">
        <v>0.132</v>
      </c>
      <c r="BK577" s="5" t="n">
        <v>0.01</v>
      </c>
      <c r="BL577" s="5" t="n">
        <v>0.724</v>
      </c>
      <c r="BM577" s="5" t="n">
        <v>0.11</v>
      </c>
      <c r="BN577" s="5" t="n">
        <v>1</v>
      </c>
      <c r="BO577" s="5" t="n">
        <v>0</v>
      </c>
      <c r="BP577" s="5" t="n">
        <v>0</v>
      </c>
      <c r="BQ577" s="5" t="n">
        <v>0</v>
      </c>
      <c r="BR577" s="5" t="n">
        <v>0</v>
      </c>
      <c r="BS577" s="5" t="n">
        <v>1</v>
      </c>
      <c r="BT577" s="5" t="n">
        <v>0</v>
      </c>
      <c r="BU577" s="5" t="n">
        <v>0</v>
      </c>
      <c r="BV577" s="5" t="n">
        <v>0</v>
      </c>
      <c r="BW577" s="5" t="n">
        <v>0.11</v>
      </c>
      <c r="BX577" s="5" t="n">
        <v>1</v>
      </c>
      <c r="BY577" s="5" t="n">
        <v>13.646</v>
      </c>
      <c r="BZ577" s="5" t="n">
        <v>0</v>
      </c>
      <c r="CA577" s="5" t="n">
        <v>13.646</v>
      </c>
      <c r="CB577" s="5" t="n">
        <v>0</v>
      </c>
      <c r="CC577" s="5" t="n">
        <v>86.38500000000001</v>
      </c>
      <c r="CD577" s="5" t="n">
        <v>7.95</v>
      </c>
      <c r="CE577" s="5" t="n">
        <v>1.294</v>
      </c>
      <c r="CF577" s="5" t="n">
        <v>95.88800000000001</v>
      </c>
      <c r="CG577" s="5" t="n">
        <v>0.11</v>
      </c>
      <c r="CH577" s="5" t="n">
        <v>1</v>
      </c>
      <c r="CI577" s="5" t="n">
        <v>0</v>
      </c>
      <c r="CJ577" s="5" t="n">
        <v>0</v>
      </c>
      <c r="CK577" s="5" t="n">
        <v>0</v>
      </c>
      <c r="CL577" s="5" t="n">
        <v>0</v>
      </c>
      <c r="CM577" s="5" t="n">
        <v>0</v>
      </c>
      <c r="CN577" s="5" t="n">
        <v>0</v>
      </c>
      <c r="CO577" s="5" t="n">
        <v>0</v>
      </c>
      <c r="CP577" s="5" t="n">
        <v>0</v>
      </c>
      <c r="CQ577" s="5" t="n">
        <v>1.387</v>
      </c>
      <c r="CR577" s="5" t="n">
        <v>0</v>
      </c>
      <c r="CS577" s="5" t="n">
        <v>5.529</v>
      </c>
      <c r="CT577" s="5" t="n">
        <v>3.509</v>
      </c>
      <c r="CU577" s="5" t="n">
        <v>10.896</v>
      </c>
    </row>
    <row r="578">
      <c r="A578" s="5" t="inlineStr">
        <is>
          <t>NZL2021</t>
        </is>
      </c>
      <c r="B578" s="5" t="inlineStr">
        <is>
          <t>NZL</t>
        </is>
      </c>
      <c r="C578" s="5" t="inlineStr">
        <is>
          <t>NZL</t>
        </is>
      </c>
      <c r="D578" s="5" t="inlineStr">
        <is>
          <t>New Zealand</t>
        </is>
      </c>
      <c r="E578" s="5" t="n">
        <v>2021</v>
      </c>
      <c r="F578" s="5" t="n">
        <v>0.15</v>
      </c>
      <c r="G578" s="5" t="n">
        <v>3.496</v>
      </c>
      <c r="H578" s="5" t="n">
        <v>0.903</v>
      </c>
      <c r="I578" s="5" t="n">
        <v>1.873</v>
      </c>
      <c r="J578" s="5" t="n">
        <v>5.369</v>
      </c>
      <c r="K578" s="5" t="n">
        <v>0</v>
      </c>
      <c r="L578" s="5" t="n">
        <v>1</v>
      </c>
      <c r="M578" s="5" t="n">
        <v>5.842</v>
      </c>
      <c r="N578" s="5" t="n">
        <v>2.709</v>
      </c>
      <c r="O578" s="5" t="n">
        <v>1.883</v>
      </c>
      <c r="P578" s="5" t="n">
        <v>7.725</v>
      </c>
      <c r="Q578" s="5" t="n">
        <v>0</v>
      </c>
      <c r="R578" s="5" t="n">
        <v>1</v>
      </c>
      <c r="S578" s="5" t="n">
        <v>8.012</v>
      </c>
      <c r="T578" s="5" t="n">
        <v>5.419</v>
      </c>
      <c r="U578" s="5" t="n">
        <v>1.928</v>
      </c>
      <c r="V578" s="5" t="n">
        <v>11.431</v>
      </c>
      <c r="W578" s="5" t="n">
        <v>0.15</v>
      </c>
      <c r="X578" s="5" t="n">
        <v>1</v>
      </c>
      <c r="Y578" s="5" t="n">
        <v>5.849</v>
      </c>
      <c r="Z578" s="5" t="n">
        <v>0.646</v>
      </c>
      <c r="AA578" s="5" t="n">
        <v>2.404</v>
      </c>
      <c r="AB578" s="5" t="n">
        <v>8.253</v>
      </c>
      <c r="AC578" s="5" t="n">
        <v>0</v>
      </c>
      <c r="AD578" s="5" t="n">
        <v>1</v>
      </c>
      <c r="AE578" s="5" t="n">
        <v>5.779</v>
      </c>
      <c r="AF578" s="5" t="n">
        <v>1.137</v>
      </c>
      <c r="AG578" s="5" t="n">
        <v>2.475</v>
      </c>
      <c r="AH578" s="5" t="n">
        <v>8.253</v>
      </c>
      <c r="AI578" s="5" t="n">
        <v>0</v>
      </c>
      <c r="AJ578" s="5" t="n">
        <v>1</v>
      </c>
      <c r="AK578" s="5" t="n">
        <v>22.175</v>
      </c>
      <c r="AL578" s="5" t="n">
        <v>10.884</v>
      </c>
      <c r="AM578" s="5" t="n">
        <v>1.9</v>
      </c>
      <c r="AN578" s="5" t="n">
        <v>27.686</v>
      </c>
      <c r="AO578" s="5" t="n">
        <v>0.15</v>
      </c>
      <c r="AP578" s="5" t="n">
        <v>1</v>
      </c>
      <c r="AQ578" s="5" t="n">
        <v>0.621</v>
      </c>
      <c r="AR578" s="5" t="n">
        <v>0.114</v>
      </c>
      <c r="AS578" s="5" t="n">
        <v>0.737</v>
      </c>
      <c r="AT578" s="5" t="n">
        <v>1.562</v>
      </c>
      <c r="AU578" s="5" t="n">
        <v>0.15</v>
      </c>
      <c r="AV578" s="5" t="n">
        <v>1</v>
      </c>
      <c r="AW578" s="5" t="n">
        <v>0.593</v>
      </c>
      <c r="AX578" s="5" t="n">
        <v>0.114</v>
      </c>
      <c r="AY578" s="5" t="n">
        <v>0.28</v>
      </c>
      <c r="AZ578" s="5" t="n">
        <v>1.004</v>
      </c>
      <c r="BA578" s="5" t="n">
        <v>0.15</v>
      </c>
      <c r="BB578" s="5" t="n">
        <v>1</v>
      </c>
      <c r="BC578" s="5" t="n">
        <v>0.44</v>
      </c>
      <c r="BD578" s="5" t="n">
        <v>0.114</v>
      </c>
      <c r="BE578" s="5" t="n">
        <v>0.536</v>
      </c>
      <c r="BF578" s="5" t="n">
        <v>1.122</v>
      </c>
      <c r="BG578" s="5" t="n">
        <v>0.15</v>
      </c>
      <c r="BH578" s="5" t="n">
        <v>1</v>
      </c>
      <c r="BI578" s="5" t="n">
        <v>0.5600000000000001</v>
      </c>
      <c r="BJ578" s="5" t="n">
        <v>0.114</v>
      </c>
      <c r="BK578" s="5" t="n">
        <v>-0.023</v>
      </c>
      <c r="BL578" s="5" t="n">
        <v>0.618</v>
      </c>
      <c r="BM578" s="5" t="n">
        <v>0.15</v>
      </c>
      <c r="BN578" s="5" t="n">
        <v>1</v>
      </c>
      <c r="BO578" s="5" t="n">
        <v>0</v>
      </c>
      <c r="BP578" s="5" t="n">
        <v>0.008999999999999999</v>
      </c>
      <c r="BQ578" s="5" t="n">
        <v>0.113</v>
      </c>
      <c r="BR578" s="5" t="n">
        <v>0</v>
      </c>
      <c r="BS578" s="5" t="n">
        <v>1</v>
      </c>
      <c r="BT578" s="5" t="n">
        <v>0</v>
      </c>
      <c r="BU578" s="5" t="n">
        <v>0</v>
      </c>
      <c r="BV578" s="5" t="n">
        <v>0.203</v>
      </c>
      <c r="BW578" s="5" t="n">
        <v>0.15</v>
      </c>
      <c r="BX578" s="5" t="n">
        <v>0.667</v>
      </c>
      <c r="BY578" s="5" t="n">
        <v>11.787</v>
      </c>
      <c r="BZ578" s="5" t="n">
        <v>0</v>
      </c>
      <c r="CA578" s="5" t="n">
        <v>11.787</v>
      </c>
      <c r="CB578" s="5" t="n">
        <v>0</v>
      </c>
      <c r="CC578" s="5" t="n">
        <v>81.69499999999999</v>
      </c>
      <c r="CD578" s="5" t="n">
        <v>7.95</v>
      </c>
      <c r="CE578" s="5" t="n">
        <v>-8.095000000000001</v>
      </c>
      <c r="CF578" s="5" t="n">
        <v>84.64</v>
      </c>
      <c r="CG578" s="5" t="n">
        <v>0</v>
      </c>
      <c r="CH578" s="5" t="n">
        <v>1</v>
      </c>
      <c r="CI578" s="5" t="n">
        <v>0</v>
      </c>
      <c r="CJ578" s="5" t="n">
        <v>0</v>
      </c>
      <c r="CK578" s="5" t="n">
        <v>0</v>
      </c>
      <c r="CL578" s="5" t="n">
        <v>0</v>
      </c>
      <c r="CM578" s="5" t="n">
        <v>0</v>
      </c>
      <c r="CN578" s="5" t="n">
        <v>0</v>
      </c>
      <c r="CO578" s="5" t="n">
        <v>0</v>
      </c>
      <c r="CP578" s="5" t="n">
        <v>0.42</v>
      </c>
      <c r="CQ578" s="5" t="n">
        <v>1.198</v>
      </c>
      <c r="CR578" s="5" t="n">
        <v>0</v>
      </c>
      <c r="CS578" s="5" t="n">
        <v>5.042</v>
      </c>
      <c r="CT578" s="5" t="n">
        <v>3.604</v>
      </c>
      <c r="CU578" s="5" t="n">
        <v>9.407999999999999</v>
      </c>
    </row>
    <row r="579">
      <c r="A579" s="5" t="inlineStr">
        <is>
          <t>NZL2022</t>
        </is>
      </c>
      <c r="B579" s="5" t="inlineStr">
        <is>
          <t>NZL</t>
        </is>
      </c>
      <c r="C579" s="5" t="inlineStr">
        <is>
          <t>NZL</t>
        </is>
      </c>
      <c r="D579" s="5" t="inlineStr">
        <is>
          <t>New Zealand</t>
        </is>
      </c>
      <c r="E579" s="5" t="n">
        <v>2022</v>
      </c>
      <c r="F579" s="5" t="n">
        <v>0.15</v>
      </c>
      <c r="G579" s="5" t="n">
        <v>4.368</v>
      </c>
      <c r="H579" s="5" t="n">
        <v>0.838</v>
      </c>
      <c r="I579" s="5" t="n">
        <v>4.962</v>
      </c>
      <c r="J579" s="5" t="n">
        <v>9.33</v>
      </c>
      <c r="K579" s="5" t="n">
        <v>0</v>
      </c>
      <c r="L579" s="5" t="n">
        <v>1</v>
      </c>
      <c r="M579" s="5" t="n">
        <v>5.517</v>
      </c>
      <c r="N579" s="5" t="n">
        <v>2.514</v>
      </c>
      <c r="O579" s="5" t="n">
        <v>4.989</v>
      </c>
      <c r="P579" s="5" t="n">
        <v>10.506</v>
      </c>
      <c r="Q579" s="5" t="n">
        <v>0</v>
      </c>
      <c r="R579" s="5" t="n">
        <v>1</v>
      </c>
      <c r="S579" s="5" t="n">
        <v>8.558</v>
      </c>
      <c r="T579" s="5" t="n">
        <v>5.027</v>
      </c>
      <c r="U579" s="5" t="n">
        <v>5.26</v>
      </c>
      <c r="V579" s="5" t="n">
        <v>15.716</v>
      </c>
      <c r="W579" s="5" t="n">
        <v>0.15</v>
      </c>
      <c r="X579" s="5" t="n">
        <v>1</v>
      </c>
      <c r="Y579" s="5" t="n">
        <v>12.63</v>
      </c>
      <c r="Z579" s="5" t="n">
        <v>1.325</v>
      </c>
      <c r="AA579" s="5" t="n">
        <v>-1.354</v>
      </c>
      <c r="AB579" s="5" t="n">
        <v>11.276</v>
      </c>
      <c r="AC579" s="5" t="n">
        <v>0</v>
      </c>
      <c r="AD579" s="5" t="n">
        <v>1</v>
      </c>
      <c r="AE579" s="5" t="n">
        <v>12.651</v>
      </c>
      <c r="AF579" s="5" t="n">
        <v>2.345</v>
      </c>
      <c r="AG579" s="5" t="n">
        <v>-1.374</v>
      </c>
      <c r="AH579" s="5" t="n">
        <v>11.276</v>
      </c>
      <c r="AI579" s="5" t="n">
        <v>0</v>
      </c>
      <c r="AJ579" s="5" t="n">
        <v>1</v>
      </c>
      <c r="AK579" s="5" t="n">
        <v>29.595</v>
      </c>
      <c r="AL579" s="5" t="n">
        <v>14.133</v>
      </c>
      <c r="AM579" s="5" t="n">
        <v>-6.076</v>
      </c>
      <c r="AN579" s="5" t="n">
        <v>27.047</v>
      </c>
      <c r="AO579" s="5" t="n">
        <v>0.15</v>
      </c>
      <c r="AP579" s="5" t="n">
        <v>1</v>
      </c>
      <c r="AQ579" s="5" t="n">
        <v>0.847</v>
      </c>
      <c r="AR579" s="5" t="n">
        <v>0.123</v>
      </c>
      <c r="AS579" s="5" t="n">
        <v>0.63</v>
      </c>
      <c r="AT579" s="5" t="n">
        <v>1.699</v>
      </c>
      <c r="AU579" s="5" t="n">
        <v>0.15</v>
      </c>
      <c r="AV579" s="5" t="n">
        <v>1</v>
      </c>
      <c r="AW579" s="5" t="n">
        <v>0.947</v>
      </c>
      <c r="AX579" s="5" t="n">
        <v>0.123</v>
      </c>
      <c r="AY579" s="5" t="n">
        <v>0.347</v>
      </c>
      <c r="AZ579" s="5" t="n">
        <v>1.488</v>
      </c>
      <c r="BA579" s="5" t="n">
        <v>0.15</v>
      </c>
      <c r="BB579" s="5" t="n">
        <v>1</v>
      </c>
      <c r="BC579" s="5" t="n">
        <v>0.589</v>
      </c>
      <c r="BD579" s="5" t="n">
        <v>0.123</v>
      </c>
      <c r="BE579" s="5" t="n">
        <v>0.516</v>
      </c>
      <c r="BF579" s="5" t="n">
        <v>1.27</v>
      </c>
      <c r="BG579" s="5" t="n">
        <v>0.15</v>
      </c>
      <c r="BH579" s="5" t="n">
        <v>1</v>
      </c>
      <c r="BI579" s="5" t="n">
        <v>0.6889999999999999</v>
      </c>
      <c r="BJ579" s="5" t="n">
        <v>0.123</v>
      </c>
      <c r="BK579" s="5" t="n">
        <v>-0.081</v>
      </c>
      <c r="BL579" s="5" t="n">
        <v>0.699</v>
      </c>
      <c r="BM579" s="5" t="n">
        <v>0.15</v>
      </c>
      <c r="BN579" s="5" t="n">
        <v>1</v>
      </c>
      <c r="BO579" s="5" t="n">
        <v>0</v>
      </c>
      <c r="BP579" s="5" t="n">
        <v>0</v>
      </c>
      <c r="BQ579" s="5" t="n">
        <v>0.102</v>
      </c>
      <c r="BR579" s="5" t="n">
        <v>0</v>
      </c>
      <c r="BS579" s="5" t="n">
        <v>1</v>
      </c>
      <c r="BT579" s="5" t="n">
        <v>0</v>
      </c>
      <c r="BU579" s="5" t="n">
        <v>0</v>
      </c>
      <c r="BV579" s="5" t="n">
        <v>0.187</v>
      </c>
      <c r="BW579" s="5" t="n">
        <v>0.15</v>
      </c>
      <c r="BX579" s="5" t="n">
        <v>0.667</v>
      </c>
      <c r="BY579" s="5" t="n">
        <v>12.729</v>
      </c>
      <c r="BZ579" s="5" t="n">
        <v>0</v>
      </c>
      <c r="CA579" s="5" t="n">
        <v>12.729</v>
      </c>
      <c r="CB579" s="5" t="n">
        <v>0</v>
      </c>
      <c r="CC579" s="5" t="n">
        <v>102.477</v>
      </c>
      <c r="CD579" s="5" t="n">
        <v>7.95</v>
      </c>
      <c r="CE579" s="5" t="n">
        <v>-23.306</v>
      </c>
      <c r="CF579" s="5" t="n">
        <v>91.04600000000001</v>
      </c>
      <c r="CG579" s="5" t="n">
        <v>0</v>
      </c>
      <c r="CH579" s="5" t="n">
        <v>1</v>
      </c>
      <c r="CI579" s="5" t="n">
        <v>0</v>
      </c>
      <c r="CJ579" s="5" t="n">
        <v>0</v>
      </c>
      <c r="CK579" s="5" t="n">
        <v>0</v>
      </c>
      <c r="CL579" s="5" t="n">
        <v>0</v>
      </c>
      <c r="CM579" s="5" t="n">
        <v>0</v>
      </c>
      <c r="CN579" s="5" t="n">
        <v>0</v>
      </c>
      <c r="CO579" s="5" t="n">
        <v>0</v>
      </c>
      <c r="CP579" s="5" t="n">
        <v>0.643</v>
      </c>
      <c r="CQ579" s="5" t="n">
        <v>1.294</v>
      </c>
      <c r="CR579" s="5" t="n">
        <v>0</v>
      </c>
      <c r="CS579" s="5" t="n">
        <v>5.445</v>
      </c>
      <c r="CT579" s="5" t="n">
        <v>7.554</v>
      </c>
      <c r="CU579" s="5" t="n">
        <v>16.097</v>
      </c>
    </row>
    <row r="580">
      <c r="A580" s="5" t="inlineStr">
        <is>
          <t>NZL2023</t>
        </is>
      </c>
      <c r="B580" s="5" t="inlineStr">
        <is>
          <t>NZL</t>
        </is>
      </c>
      <c r="C580" s="5" t="inlineStr">
        <is>
          <t>NZL</t>
        </is>
      </c>
      <c r="D580" s="5" t="inlineStr">
        <is>
          <t>New Zealand</t>
        </is>
      </c>
      <c r="E580" s="5" t="n">
        <v>2023</v>
      </c>
      <c r="F580" s="5" t="n">
        <v>0.15</v>
      </c>
      <c r="G580" s="5" t="n">
        <v>2.517</v>
      </c>
      <c r="H580" s="5" t="n">
        <v>0.732</v>
      </c>
      <c r="I580" s="5" t="n">
        <v>3.358</v>
      </c>
      <c r="J580" s="5" t="n">
        <v>5.875</v>
      </c>
      <c r="K580" s="5" t="n">
        <v>0</v>
      </c>
      <c r="L580" s="5" t="n">
        <v>1</v>
      </c>
      <c r="M580" s="5" t="n">
        <v>3.919</v>
      </c>
      <c r="N580" s="5" t="n">
        <v>2.197</v>
      </c>
      <c r="O580" s="5" t="n">
        <v>3.376</v>
      </c>
      <c r="P580" s="5" t="n">
        <v>7.295</v>
      </c>
      <c r="Q580" s="5" t="n">
        <v>0</v>
      </c>
      <c r="R580" s="5" t="n">
        <v>1</v>
      </c>
      <c r="S580" s="5" t="n">
        <v>6.18</v>
      </c>
      <c r="T580" s="5" t="n">
        <v>4.395</v>
      </c>
      <c r="U580" s="5" t="n">
        <v>3.617</v>
      </c>
      <c r="V580" s="5" t="n">
        <v>11.082</v>
      </c>
      <c r="W580" s="5" t="n">
        <v>0.15</v>
      </c>
      <c r="X580" s="5" t="n">
        <v>1</v>
      </c>
      <c r="Y580" s="5" t="n">
        <v>9.112</v>
      </c>
      <c r="Z580" s="5" t="n">
        <v>1.021</v>
      </c>
      <c r="AA580" s="5" t="n">
        <v>0.12</v>
      </c>
      <c r="AB580" s="5" t="n">
        <v>9.231999999999999</v>
      </c>
      <c r="AC580" s="5" t="n">
        <v>0</v>
      </c>
      <c r="AD580" s="5" t="n">
        <v>1</v>
      </c>
      <c r="AE580" s="5" t="n">
        <v>9.183999999999999</v>
      </c>
      <c r="AF580" s="5" t="n">
        <v>1.829</v>
      </c>
      <c r="AG580" s="5" t="n">
        <v>0.048</v>
      </c>
      <c r="AH580" s="5" t="n">
        <v>9.231999999999999</v>
      </c>
      <c r="AI580" s="5" t="n">
        <v>0</v>
      </c>
      <c r="AJ580" s="5" t="n">
        <v>1</v>
      </c>
      <c r="AK580" s="5" t="n">
        <v>26.435</v>
      </c>
      <c r="AL580" s="5" t="n">
        <v>13.095</v>
      </c>
      <c r="AM580" s="5" t="n">
        <v>-1.395</v>
      </c>
      <c r="AN580" s="5" t="n">
        <v>28.795</v>
      </c>
      <c r="AO580" s="5" t="n">
        <v>0.15</v>
      </c>
      <c r="AP580" s="5" t="n">
        <v>1</v>
      </c>
      <c r="AQ580" s="5" t="n">
        <v>0.749</v>
      </c>
      <c r="AR580" s="5" t="n">
        <v>0.129</v>
      </c>
      <c r="AS580" s="5" t="n">
        <v>0.623</v>
      </c>
      <c r="AT580" s="5" t="n">
        <v>1.577</v>
      </c>
      <c r="AU580" s="5" t="n">
        <v>0.15</v>
      </c>
      <c r="AV580" s="5" t="n">
        <v>1</v>
      </c>
      <c r="AW580" s="5" t="n">
        <v>0.783</v>
      </c>
      <c r="AX580" s="5" t="n">
        <v>0.129</v>
      </c>
      <c r="AY580" s="5" t="n">
        <v>0.31</v>
      </c>
      <c r="AZ580" s="5" t="n">
        <v>1.257</v>
      </c>
      <c r="BA580" s="5" t="n">
        <v>0.15</v>
      </c>
      <c r="BB580" s="5" t="n">
        <v>1</v>
      </c>
      <c r="BC580" s="5" t="n">
        <v>0.527</v>
      </c>
      <c r="BD580" s="5" t="n">
        <v>0.129</v>
      </c>
      <c r="BE580" s="5" t="n">
        <v>0.577</v>
      </c>
      <c r="BF580" s="5" t="n">
        <v>1.271</v>
      </c>
      <c r="BG580" s="5" t="n">
        <v>0.15</v>
      </c>
      <c r="BH580" s="5" t="n">
        <v>1</v>
      </c>
      <c r="BI580" s="5" t="n">
        <v>0.64</v>
      </c>
      <c r="BJ580" s="5" t="n">
        <v>0.129</v>
      </c>
      <c r="BK580" s="5" t="n">
        <v>-0.031</v>
      </c>
      <c r="BL580" s="5" t="n">
        <v>0.7</v>
      </c>
      <c r="BM580" s="5" t="n">
        <v>0.15</v>
      </c>
      <c r="BN580" s="5" t="n">
        <v>1</v>
      </c>
      <c r="BO580" s="5" t="n">
        <v>0</v>
      </c>
      <c r="BP580" s="5" t="n">
        <v>0</v>
      </c>
      <c r="BQ580" s="5" t="n">
        <v>0.098</v>
      </c>
      <c r="BR580" s="5" t="n">
        <v>0</v>
      </c>
      <c r="BS580" s="5" t="n">
        <v>1</v>
      </c>
      <c r="BT580" s="5" t="n">
        <v>0</v>
      </c>
      <c r="BU580" s="5" t="n">
        <v>0</v>
      </c>
      <c r="BV580" s="5" t="n">
        <v>0.188</v>
      </c>
      <c r="BW580" s="5" t="n">
        <v>0.15</v>
      </c>
      <c r="BX580" s="5" t="n">
        <v>0.667</v>
      </c>
      <c r="BY580" s="5" t="n">
        <v>13.254</v>
      </c>
      <c r="BZ580" s="5" t="n">
        <v>0</v>
      </c>
      <c r="CA580" s="5" t="n">
        <v>13.254</v>
      </c>
      <c r="CB580" s="5" t="n">
        <v>0</v>
      </c>
      <c r="CC580" s="5" t="n">
        <v>87.07899999999999</v>
      </c>
      <c r="CD580" s="5" t="n">
        <v>7.95</v>
      </c>
      <c r="CE580" s="5" t="n">
        <v>-7.863</v>
      </c>
      <c r="CF580" s="5" t="n">
        <v>91.098</v>
      </c>
      <c r="CG580" s="5" t="n">
        <v>0</v>
      </c>
      <c r="CH580" s="5" t="n">
        <v>1</v>
      </c>
      <c r="CI580" s="5" t="n">
        <v>0</v>
      </c>
      <c r="CJ580" s="5" t="n">
        <v>0</v>
      </c>
      <c r="CK580" s="5" t="n">
        <v>0</v>
      </c>
      <c r="CL580" s="5" t="n">
        <v>0</v>
      </c>
      <c r="CM580" s="5" t="n">
        <v>0</v>
      </c>
      <c r="CN580" s="5" t="n">
        <v>0</v>
      </c>
      <c r="CO580" s="5" t="n">
        <v>0</v>
      </c>
      <c r="CP580" s="5" t="n">
        <v>0.861</v>
      </c>
      <c r="CQ580" s="5" t="n">
        <v>1.348</v>
      </c>
      <c r="CR580" s="5" t="n">
        <v>0</v>
      </c>
      <c r="CS580" s="5" t="n">
        <v>5.669</v>
      </c>
      <c r="CT580" s="5" t="n">
        <v>4.484</v>
      </c>
      <c r="CU580" s="5" t="n">
        <v>12.529</v>
      </c>
    </row>
    <row r="581">
      <c r="A581" s="5" t="inlineStr">
        <is>
          <t>NZL2024</t>
        </is>
      </c>
      <c r="B581" s="5" t="inlineStr">
        <is>
          <t>NZL</t>
        </is>
      </c>
      <c r="C581" s="5" t="inlineStr">
        <is>
          <t>NZL</t>
        </is>
      </c>
      <c r="D581" s="5" t="inlineStr">
        <is>
          <t>New Zealand</t>
        </is>
      </c>
      <c r="E581" s="5" t="n">
        <v>2024</v>
      </c>
      <c r="F581" s="5" t="n">
        <v>0.15</v>
      </c>
      <c r="G581" s="5" t="n">
        <v>2.437</v>
      </c>
      <c r="H581" s="5" t="n">
        <v>0.754</v>
      </c>
      <c r="I581" s="5" t="n">
        <v>3.548</v>
      </c>
      <c r="J581" s="5" t="n">
        <v>5.986</v>
      </c>
      <c r="K581" s="5" t="n">
        <v>0</v>
      </c>
      <c r="L581" s="5" t="n">
        <v>1</v>
      </c>
      <c r="M581" s="5" t="n">
        <v>3.896</v>
      </c>
      <c r="N581" s="5" t="n">
        <v>2.262</v>
      </c>
      <c r="O581" s="5" t="n">
        <v>3.568</v>
      </c>
      <c r="P581" s="5" t="n">
        <v>7.463</v>
      </c>
      <c r="Q581" s="5" t="n">
        <v>0</v>
      </c>
      <c r="R581" s="5" t="n">
        <v>1</v>
      </c>
      <c r="S581" s="5" t="n">
        <v>6.208</v>
      </c>
      <c r="T581" s="5" t="n">
        <v>4.524</v>
      </c>
      <c r="U581" s="5" t="n">
        <v>3.855</v>
      </c>
      <c r="V581" s="5" t="n">
        <v>11.34</v>
      </c>
      <c r="W581" s="5" t="n">
        <v>0.15</v>
      </c>
      <c r="X581" s="5" t="n">
        <v>1</v>
      </c>
      <c r="Y581" s="5" t="n">
        <v>9.395</v>
      </c>
      <c r="Z581" s="5" t="n">
        <v>1.186</v>
      </c>
      <c r="AA581" s="5" t="n">
        <v>2.1</v>
      </c>
      <c r="AB581" s="5" t="n">
        <v>11.495</v>
      </c>
      <c r="AC581" s="5" t="n">
        <v>0</v>
      </c>
      <c r="AD581" s="5" t="n">
        <v>1</v>
      </c>
      <c r="AE581" s="5" t="n">
        <v>9.364000000000001</v>
      </c>
      <c r="AF581" s="5" t="n">
        <v>2.051</v>
      </c>
      <c r="AG581" s="5" t="n">
        <v>2.131</v>
      </c>
      <c r="AH581" s="5" t="n">
        <v>11.495</v>
      </c>
      <c r="AI581" s="5" t="n">
        <v>0</v>
      </c>
      <c r="AJ581" s="5" t="n">
        <v>1</v>
      </c>
      <c r="AK581" s="5" t="n">
        <v>24.008</v>
      </c>
      <c r="AL581" s="5" t="n">
        <v>12.211</v>
      </c>
      <c r="AM581" s="5" t="n">
        <v>0.103</v>
      </c>
      <c r="AN581" s="5" t="n">
        <v>27.728</v>
      </c>
      <c r="AO581" s="5" t="n">
        <v>0.15</v>
      </c>
      <c r="AP581" s="5" t="n">
        <v>1</v>
      </c>
      <c r="AQ581" s="5" t="n">
        <v>0.72</v>
      </c>
      <c r="AR581" s="5" t="n">
        <v>0.132</v>
      </c>
      <c r="AS581" s="5" t="n">
        <v>0.677</v>
      </c>
      <c r="AT581" s="5" t="n">
        <v>1.606</v>
      </c>
      <c r="AU581" s="5" t="n">
        <v>0.15</v>
      </c>
      <c r="AV581" s="5" t="n">
        <v>1</v>
      </c>
      <c r="AW581" s="5" t="n">
        <v>0.734</v>
      </c>
      <c r="AX581" s="5" t="n">
        <v>0.132</v>
      </c>
      <c r="AY581" s="5" t="n">
        <v>0.312</v>
      </c>
      <c r="AZ581" s="5" t="n">
        <v>1.203</v>
      </c>
      <c r="BA581" s="5" t="n">
        <v>0.15</v>
      </c>
      <c r="BB581" s="5" t="n">
        <v>1</v>
      </c>
      <c r="BC581" s="5" t="n">
        <v>0.51</v>
      </c>
      <c r="BD581" s="5" t="n">
        <v>0.132</v>
      </c>
      <c r="BE581" s="5" t="n">
        <v>0.614</v>
      </c>
      <c r="BF581" s="5" t="n">
        <v>1.293</v>
      </c>
      <c r="BG581" s="5" t="n">
        <v>0.15</v>
      </c>
      <c r="BH581" s="5" t="n">
        <v>1</v>
      </c>
      <c r="BI581" s="5" t="n">
        <v>0.652</v>
      </c>
      <c r="BJ581" s="5" t="n">
        <v>0.132</v>
      </c>
      <c r="BK581" s="5" t="n">
        <v>-0.033</v>
      </c>
      <c r="BL581" s="5" t="n">
        <v>0.712</v>
      </c>
      <c r="BM581" s="5" t="n">
        <v>0.15</v>
      </c>
      <c r="BN581" s="5" t="n">
        <v>1</v>
      </c>
      <c r="BO581" s="5" t="n">
        <v>0</v>
      </c>
      <c r="BP581" s="5" t="n">
        <v>0</v>
      </c>
      <c r="BQ581" s="5" t="n">
        <v>0.1</v>
      </c>
      <c r="BR581" s="5" t="n">
        <v>0</v>
      </c>
      <c r="BS581" s="5" t="n">
        <v>1</v>
      </c>
      <c r="BT581" s="5" t="n">
        <v>0</v>
      </c>
      <c r="BU581" s="5" t="n">
        <v>0</v>
      </c>
      <c r="BV581" s="5" t="n">
        <v>0.191</v>
      </c>
      <c r="BW581" s="5" t="n">
        <v>0.15</v>
      </c>
      <c r="BX581" s="5" t="n">
        <v>0.667</v>
      </c>
      <c r="BY581" s="5" t="n">
        <v>13.646</v>
      </c>
      <c r="BZ581" s="5" t="n">
        <v>0</v>
      </c>
      <c r="CA581" s="5" t="n">
        <v>13.646</v>
      </c>
      <c r="CB581" s="5" t="n">
        <v>0</v>
      </c>
      <c r="CC581" s="5" t="n">
        <v>86.38500000000001</v>
      </c>
      <c r="CD581" s="5" t="n">
        <v>7.95</v>
      </c>
      <c r="CE581" s="5" t="n">
        <v>-5.777</v>
      </c>
      <c r="CF581" s="5" t="n">
        <v>92.699</v>
      </c>
      <c r="CG581" s="5" t="n">
        <v>0</v>
      </c>
      <c r="CH581" s="5" t="n">
        <v>1</v>
      </c>
      <c r="CI581" s="5" t="n">
        <v>0</v>
      </c>
      <c r="CJ581" s="5" t="n">
        <v>0</v>
      </c>
      <c r="CK581" s="5" t="n">
        <v>0</v>
      </c>
      <c r="CL581" s="5" t="n">
        <v>0</v>
      </c>
      <c r="CM581" s="5" t="n">
        <v>0</v>
      </c>
      <c r="CN581" s="5" t="n">
        <v>0</v>
      </c>
      <c r="CO581" s="5" t="n">
        <v>0</v>
      </c>
      <c r="CP581" s="5" t="n">
        <v>0.861</v>
      </c>
      <c r="CQ581" s="5" t="n">
        <v>1.387</v>
      </c>
      <c r="CR581" s="5" t="n">
        <v>0</v>
      </c>
      <c r="CS581" s="5" t="n">
        <v>5.837</v>
      </c>
      <c r="CT581" s="5" t="n">
        <v>3.509</v>
      </c>
      <c r="CU581" s="5" t="n">
        <v>10.896</v>
      </c>
    </row>
    <row r="582">
      <c r="A582" s="5" t="inlineStr">
        <is>
          <t>NIC2021</t>
        </is>
      </c>
      <c r="B582" s="5" t="inlineStr">
        <is>
          <t>NIC</t>
        </is>
      </c>
      <c r="C582" s="5" t="inlineStr">
        <is>
          <t>NIC</t>
        </is>
      </c>
      <c r="D582" s="5" t="inlineStr">
        <is>
          <t>Nicaragua</t>
        </is>
      </c>
      <c r="E582" s="5" t="n">
        <v>2021</v>
      </c>
      <c r="F582" s="5" t="n">
        <v>0.15</v>
      </c>
      <c r="G582" s="5" t="n">
        <v>5.897</v>
      </c>
      <c r="H582" s="5" t="n">
        <v>1.143</v>
      </c>
      <c r="I582" s="5" t="n">
        <v>0</v>
      </c>
      <c r="J582" s="5" t="n">
        <v>5.897</v>
      </c>
      <c r="K582" s="5" t="n">
        <v>0</v>
      </c>
      <c r="L582" s="5" t="n">
        <v>1</v>
      </c>
      <c r="M582" s="5" t="n">
        <v>7.964</v>
      </c>
      <c r="N582" s="5" t="n">
        <v>3.43</v>
      </c>
      <c r="O582" s="5" t="n">
        <v>0</v>
      </c>
      <c r="P582" s="5" t="n">
        <v>7.964</v>
      </c>
      <c r="Q582" s="5" t="n">
        <v>0</v>
      </c>
      <c r="R582" s="5" t="n">
        <v>1</v>
      </c>
      <c r="S582" s="5" t="n">
        <v>11.613</v>
      </c>
      <c r="T582" s="5" t="n">
        <v>6.86</v>
      </c>
      <c r="U582" s="5" t="n">
        <v>0</v>
      </c>
      <c r="V582" s="5" t="n">
        <v>13.355</v>
      </c>
      <c r="W582" s="5" t="n">
        <v>0.15</v>
      </c>
      <c r="X582" s="5" t="n">
        <v>1</v>
      </c>
      <c r="Y582" s="5" t="n">
        <v>5.261</v>
      </c>
      <c r="Z582" s="5" t="n">
        <v>0.708</v>
      </c>
      <c r="AA582" s="5" t="n">
        <v>0</v>
      </c>
      <c r="AB582" s="5" t="n">
        <v>5.261</v>
      </c>
      <c r="AC582" s="5" t="n">
        <v>0</v>
      </c>
      <c r="AD582" s="5" t="n">
        <v>1</v>
      </c>
      <c r="AE582" s="5" t="n">
        <v>6.404</v>
      </c>
      <c r="AF582" s="5" t="n">
        <v>1.5</v>
      </c>
      <c r="AG582" s="5" t="n">
        <v>0</v>
      </c>
      <c r="AH582" s="5" t="n">
        <v>6.404</v>
      </c>
      <c r="AI582" s="5" t="n">
        <v>0</v>
      </c>
      <c r="AJ582" s="5" t="n">
        <v>1</v>
      </c>
      <c r="AK582" s="5" t="n">
        <v>13.264</v>
      </c>
      <c r="AL582" s="5" t="n">
        <v>7.127</v>
      </c>
      <c r="AM582" s="5" t="n">
        <v>0</v>
      </c>
      <c r="AN582" s="5" t="n">
        <v>15.253</v>
      </c>
      <c r="AO582" s="5" t="n">
        <v>0.15</v>
      </c>
      <c r="AP582" s="5" t="n">
        <v>1</v>
      </c>
      <c r="AQ582" s="5" t="n">
        <v>0.649</v>
      </c>
      <c r="AR582" s="5" t="n">
        <v>0.114</v>
      </c>
      <c r="AS582" s="5" t="n">
        <v>0.281</v>
      </c>
      <c r="AT582" s="5" t="n">
        <v>1.07</v>
      </c>
      <c r="AU582" s="5" t="n">
        <v>0.15</v>
      </c>
      <c r="AV582" s="5" t="n">
        <v>1</v>
      </c>
      <c r="AW582" s="5" t="n">
        <v>0.577</v>
      </c>
      <c r="AX582" s="5" t="n">
        <v>0.114</v>
      </c>
      <c r="AY582" s="5" t="n">
        <v>0.217</v>
      </c>
      <c r="AZ582" s="5" t="n">
        <v>0.913</v>
      </c>
      <c r="BA582" s="5" t="n">
        <v>0.15</v>
      </c>
      <c r="BB582" s="5" t="n">
        <v>1</v>
      </c>
      <c r="BC582" s="5" t="n">
        <v>0.458</v>
      </c>
      <c r="BD582" s="5" t="n">
        <v>0.114</v>
      </c>
      <c r="BE582" s="5" t="n">
        <v>0.08500000000000001</v>
      </c>
      <c r="BF582" s="5" t="n">
        <v>0.624</v>
      </c>
      <c r="BG582" s="5" t="n">
        <v>0.15</v>
      </c>
      <c r="BH582" s="5" t="n">
        <v>1</v>
      </c>
      <c r="BI582" s="5" t="n">
        <v>0.491</v>
      </c>
      <c r="BJ582" s="5" t="n">
        <v>0.114</v>
      </c>
      <c r="BK582" s="5" t="n">
        <v>0.292</v>
      </c>
      <c r="BL582" s="5" t="n">
        <v>0.901</v>
      </c>
      <c r="BM582" s="5" t="n">
        <v>0.15</v>
      </c>
      <c r="BN582" s="5" t="n">
        <v>1</v>
      </c>
      <c r="BO582" s="5" t="n">
        <v>0</v>
      </c>
      <c r="BP582" s="5" t="n">
        <v>0</v>
      </c>
      <c r="BQ582" s="5" t="n">
        <v>0.179</v>
      </c>
      <c r="BR582" s="5" t="n">
        <v>0</v>
      </c>
      <c r="BS582" s="5" t="n">
        <v>0.667</v>
      </c>
      <c r="BT582" s="5" t="n">
        <v>0</v>
      </c>
      <c r="BU582" s="5" t="n">
        <v>0</v>
      </c>
      <c r="BV582" s="5" t="n">
        <v>0.179</v>
      </c>
      <c r="BW582" s="5" t="n">
        <v>0.15</v>
      </c>
      <c r="BX582" s="5" t="n">
        <v>0.833</v>
      </c>
      <c r="BY582" s="5" t="n">
        <v>11.787</v>
      </c>
      <c r="BZ582" s="5" t="n">
        <v>0</v>
      </c>
      <c r="CA582" s="5" t="n">
        <v>11.787</v>
      </c>
      <c r="CB582" s="5" t="n">
        <v>0</v>
      </c>
      <c r="CC582" s="5" t="n">
        <v>78.125</v>
      </c>
      <c r="CD582" s="5" t="n">
        <v>7.95</v>
      </c>
      <c r="CE582" s="5" t="n">
        <v>1.58</v>
      </c>
      <c r="CF582" s="5" t="n">
        <v>91.66</v>
      </c>
      <c r="CG582" s="5" t="n">
        <v>0.15</v>
      </c>
      <c r="CH582" s="5" t="n">
        <v>1</v>
      </c>
      <c r="CI582" s="5" t="n">
        <v>0</v>
      </c>
      <c r="CJ582" s="5" t="n">
        <v>0</v>
      </c>
      <c r="CK582" s="5" t="n">
        <v>0</v>
      </c>
      <c r="CL582" s="5" t="n">
        <v>0</v>
      </c>
      <c r="CM582" s="5" t="n">
        <v>0</v>
      </c>
      <c r="CN582" s="5" t="n">
        <v>0</v>
      </c>
      <c r="CO582" s="5" t="n">
        <v>0</v>
      </c>
      <c r="CP582" s="5" t="n">
        <v>0</v>
      </c>
      <c r="CQ582" s="5" t="n">
        <v>1.198</v>
      </c>
      <c r="CR582" s="5" t="n">
        <v>0</v>
      </c>
      <c r="CS582" s="5" t="n">
        <v>4.776</v>
      </c>
      <c r="CT582" s="5" t="n">
        <v>4.753</v>
      </c>
      <c r="CU582" s="5" t="n">
        <v>15.983</v>
      </c>
    </row>
    <row r="583">
      <c r="A583" s="5" t="inlineStr">
        <is>
          <t>NIC2022</t>
        </is>
      </c>
      <c r="B583" s="5" t="inlineStr">
        <is>
          <t>NIC</t>
        </is>
      </c>
      <c r="C583" s="5" t="inlineStr">
        <is>
          <t>NIC</t>
        </is>
      </c>
      <c r="D583" s="5" t="inlineStr">
        <is>
          <t>Nicaragua</t>
        </is>
      </c>
      <c r="E583" s="5" t="n">
        <v>2022</v>
      </c>
      <c r="F583" s="5" t="n">
        <v>0.15</v>
      </c>
      <c r="G583" s="5" t="n">
        <v>11.72</v>
      </c>
      <c r="H583" s="5" t="n">
        <v>1.235</v>
      </c>
      <c r="I583" s="5" t="n">
        <v>0</v>
      </c>
      <c r="J583" s="5" t="n">
        <v>11.72</v>
      </c>
      <c r="K583" s="5" t="n">
        <v>0</v>
      </c>
      <c r="L583" s="5" t="n">
        <v>1</v>
      </c>
      <c r="M583" s="5" t="n">
        <v>9.782999999999999</v>
      </c>
      <c r="N583" s="5" t="n">
        <v>3.704</v>
      </c>
      <c r="O583" s="5" t="n">
        <v>0</v>
      </c>
      <c r="P583" s="5" t="n">
        <v>9.782999999999999</v>
      </c>
      <c r="Q583" s="5" t="n">
        <v>0</v>
      </c>
      <c r="R583" s="5" t="n">
        <v>1</v>
      </c>
      <c r="S583" s="5" t="n">
        <v>17.893</v>
      </c>
      <c r="T583" s="5" t="n">
        <v>7.408</v>
      </c>
      <c r="U583" s="5" t="n">
        <v>0.199</v>
      </c>
      <c r="V583" s="5" t="n">
        <v>20.577</v>
      </c>
      <c r="W583" s="5" t="n">
        <v>0.15</v>
      </c>
      <c r="X583" s="5" t="n">
        <v>1</v>
      </c>
      <c r="Y583" s="5" t="n">
        <v>5.681</v>
      </c>
      <c r="Z583" s="5" t="n">
        <v>0.764</v>
      </c>
      <c r="AA583" s="5" t="n">
        <v>0</v>
      </c>
      <c r="AB583" s="5" t="n">
        <v>5.681</v>
      </c>
      <c r="AC583" s="5" t="n">
        <v>0</v>
      </c>
      <c r="AD583" s="5" t="n">
        <v>1</v>
      </c>
      <c r="AE583" s="5" t="n">
        <v>6.916</v>
      </c>
      <c r="AF583" s="5" t="n">
        <v>1.619</v>
      </c>
      <c r="AG583" s="5" t="n">
        <v>0</v>
      </c>
      <c r="AH583" s="5" t="n">
        <v>6.916</v>
      </c>
      <c r="AI583" s="5" t="n">
        <v>0</v>
      </c>
      <c r="AJ583" s="5" t="n">
        <v>1</v>
      </c>
      <c r="AK583" s="5" t="n">
        <v>14.324</v>
      </c>
      <c r="AL583" s="5" t="n">
        <v>7.697</v>
      </c>
      <c r="AM583" s="5" t="n">
        <v>0.159</v>
      </c>
      <c r="AN583" s="5" t="n">
        <v>16.472</v>
      </c>
      <c r="AO583" s="5" t="n">
        <v>0.15</v>
      </c>
      <c r="AP583" s="5" t="n">
        <v>1</v>
      </c>
      <c r="AQ583" s="5" t="n">
        <v>0.896</v>
      </c>
      <c r="AR583" s="5" t="n">
        <v>0.123</v>
      </c>
      <c r="AS583" s="5" t="n">
        <v>0.234</v>
      </c>
      <c r="AT583" s="5" t="n">
        <v>1.3</v>
      </c>
      <c r="AU583" s="5" t="n">
        <v>0.15</v>
      </c>
      <c r="AV583" s="5" t="n">
        <v>1</v>
      </c>
      <c r="AW583" s="5" t="n">
        <v>0.89</v>
      </c>
      <c r="AX583" s="5" t="n">
        <v>0.123</v>
      </c>
      <c r="AY583" s="5" t="n">
        <v>0.134</v>
      </c>
      <c r="AZ583" s="5" t="n">
        <v>1.178</v>
      </c>
      <c r="BA583" s="5" t="n">
        <v>0.15</v>
      </c>
      <c r="BB583" s="5" t="n">
        <v>1</v>
      </c>
      <c r="BC583" s="5" t="n">
        <v>0.62</v>
      </c>
      <c r="BD583" s="5" t="n">
        <v>0.123</v>
      </c>
      <c r="BE583" s="5" t="n">
        <v>-0.044</v>
      </c>
      <c r="BF583" s="5" t="n">
        <v>0.663</v>
      </c>
      <c r="BG583" s="5" t="n">
        <v>0.15</v>
      </c>
      <c r="BH583" s="5" t="n">
        <v>1</v>
      </c>
      <c r="BI583" s="5" t="n">
        <v>0.608</v>
      </c>
      <c r="BJ583" s="5" t="n">
        <v>0.123</v>
      </c>
      <c r="BK583" s="5" t="n">
        <v>0.597</v>
      </c>
      <c r="BL583" s="5" t="n">
        <v>1.386</v>
      </c>
      <c r="BM583" s="5" t="n">
        <v>0.15</v>
      </c>
      <c r="BN583" s="5" t="n">
        <v>1</v>
      </c>
      <c r="BO583" s="5" t="n">
        <v>0</v>
      </c>
      <c r="BP583" s="5" t="n">
        <v>0</v>
      </c>
      <c r="BQ583" s="5" t="n">
        <v>0.179</v>
      </c>
      <c r="BR583" s="5" t="n">
        <v>0</v>
      </c>
      <c r="BS583" s="5" t="n">
        <v>0.667</v>
      </c>
      <c r="BT583" s="5" t="n">
        <v>0</v>
      </c>
      <c r="BU583" s="5" t="n">
        <v>0</v>
      </c>
      <c r="BV583" s="5" t="n">
        <v>0.177</v>
      </c>
      <c r="BW583" s="5" t="n">
        <v>0.15</v>
      </c>
      <c r="BX583" s="5" t="n">
        <v>0.833</v>
      </c>
      <c r="BY583" s="5" t="n">
        <v>12.729</v>
      </c>
      <c r="BZ583" s="5" t="n">
        <v>0</v>
      </c>
      <c r="CA583" s="5" t="n">
        <v>12.729</v>
      </c>
      <c r="CB583" s="5" t="n">
        <v>0</v>
      </c>
      <c r="CC583" s="5" t="n">
        <v>97.90000000000001</v>
      </c>
      <c r="CD583" s="5" t="n">
        <v>7.95</v>
      </c>
      <c r="CE583" s="5" t="n">
        <v>1.027</v>
      </c>
      <c r="CF583" s="5" t="n">
        <v>112.517</v>
      </c>
      <c r="CG583" s="5" t="n">
        <v>0.15</v>
      </c>
      <c r="CH583" s="5" t="n">
        <v>1</v>
      </c>
      <c r="CI583" s="5" t="n">
        <v>0</v>
      </c>
      <c r="CJ583" s="5" t="n">
        <v>0</v>
      </c>
      <c r="CK583" s="5" t="n">
        <v>0</v>
      </c>
      <c r="CL583" s="5" t="n">
        <v>0</v>
      </c>
      <c r="CM583" s="5" t="n">
        <v>0</v>
      </c>
      <c r="CN583" s="5" t="n">
        <v>0</v>
      </c>
      <c r="CO583" s="5" t="n">
        <v>0</v>
      </c>
      <c r="CP583" s="5" t="n">
        <v>0</v>
      </c>
      <c r="CQ583" s="5" t="n">
        <v>1.294</v>
      </c>
      <c r="CR583" s="5" t="n">
        <v>0</v>
      </c>
      <c r="CS583" s="5" t="n">
        <v>5.158</v>
      </c>
      <c r="CT583" s="5" t="n">
        <v>10.485</v>
      </c>
      <c r="CU583" s="5" t="n">
        <v>29.494</v>
      </c>
    </row>
    <row r="584">
      <c r="A584" s="5" t="inlineStr">
        <is>
          <t>NIC2023</t>
        </is>
      </c>
      <c r="B584" s="5" t="inlineStr">
        <is>
          <t>NIC</t>
        </is>
      </c>
      <c r="C584" s="5" t="inlineStr">
        <is>
          <t>NIC</t>
        </is>
      </c>
      <c r="D584" s="5" t="inlineStr">
        <is>
          <t>Nicaragua</t>
        </is>
      </c>
      <c r="E584" s="5" t="n">
        <v>2023</v>
      </c>
      <c r="F584" s="5" t="n">
        <v>0.15</v>
      </c>
      <c r="G584" s="5" t="n">
        <v>6.147</v>
      </c>
      <c r="H584" s="5" t="n">
        <v>1.286</v>
      </c>
      <c r="I584" s="5" t="n">
        <v>0</v>
      </c>
      <c r="J584" s="5" t="n">
        <v>6.147</v>
      </c>
      <c r="K584" s="5" t="n">
        <v>0</v>
      </c>
      <c r="L584" s="5" t="n">
        <v>1</v>
      </c>
      <c r="M584" s="5" t="n">
        <v>7.886</v>
      </c>
      <c r="N584" s="5" t="n">
        <v>3.857</v>
      </c>
      <c r="O584" s="5" t="n">
        <v>0</v>
      </c>
      <c r="P584" s="5" t="n">
        <v>7.886</v>
      </c>
      <c r="Q584" s="5" t="n">
        <v>0</v>
      </c>
      <c r="R584" s="5" t="n">
        <v>1</v>
      </c>
      <c r="S584" s="5" t="n">
        <v>12.575</v>
      </c>
      <c r="T584" s="5" t="n">
        <v>7.714</v>
      </c>
      <c r="U584" s="5" t="n">
        <v>0.209</v>
      </c>
      <c r="V584" s="5" t="n">
        <v>14.461</v>
      </c>
      <c r="W584" s="5" t="n">
        <v>0.15</v>
      </c>
      <c r="X584" s="5" t="n">
        <v>1</v>
      </c>
      <c r="Y584" s="5" t="n">
        <v>5.916</v>
      </c>
      <c r="Z584" s="5" t="n">
        <v>0.796</v>
      </c>
      <c r="AA584" s="5" t="n">
        <v>0</v>
      </c>
      <c r="AB584" s="5" t="n">
        <v>5.916</v>
      </c>
      <c r="AC584" s="5" t="n">
        <v>0</v>
      </c>
      <c r="AD584" s="5" t="n">
        <v>1</v>
      </c>
      <c r="AE584" s="5" t="n">
        <v>7.201</v>
      </c>
      <c r="AF584" s="5" t="n">
        <v>1.686</v>
      </c>
      <c r="AG584" s="5" t="n">
        <v>0</v>
      </c>
      <c r="AH584" s="5" t="n">
        <v>7.201</v>
      </c>
      <c r="AI584" s="5" t="n">
        <v>0</v>
      </c>
      <c r="AJ584" s="5" t="n">
        <v>1</v>
      </c>
      <c r="AK584" s="5" t="n">
        <v>14.915</v>
      </c>
      <c r="AL584" s="5" t="n">
        <v>8.013999999999999</v>
      </c>
      <c r="AM584" s="5" t="n">
        <v>0.248</v>
      </c>
      <c r="AN584" s="5" t="n">
        <v>17.152</v>
      </c>
      <c r="AO584" s="5" t="n">
        <v>0.15</v>
      </c>
      <c r="AP584" s="5" t="n">
        <v>1</v>
      </c>
      <c r="AQ584" s="5" t="n">
        <v>0.791</v>
      </c>
      <c r="AR584" s="5" t="n">
        <v>0.129</v>
      </c>
      <c r="AS584" s="5" t="n">
        <v>0.345</v>
      </c>
      <c r="AT584" s="5" t="n">
        <v>1.306</v>
      </c>
      <c r="AU584" s="5" t="n">
        <v>0.15</v>
      </c>
      <c r="AV584" s="5" t="n">
        <v>1</v>
      </c>
      <c r="AW584" s="5" t="n">
        <v>0.618</v>
      </c>
      <c r="AX584" s="5" t="n">
        <v>0.129</v>
      </c>
      <c r="AY584" s="5" t="n">
        <v>0.423</v>
      </c>
      <c r="AZ584" s="5" t="n">
        <v>1.197</v>
      </c>
      <c r="BA584" s="5" t="n">
        <v>0.15</v>
      </c>
      <c r="BB584" s="5" t="n">
        <v>1</v>
      </c>
      <c r="BC584" s="5" t="n">
        <v>0.554</v>
      </c>
      <c r="BD584" s="5" t="n">
        <v>0.129</v>
      </c>
      <c r="BE584" s="5" t="n">
        <v>0.017</v>
      </c>
      <c r="BF584" s="5" t="n">
        <v>0.657</v>
      </c>
      <c r="BG584" s="5" t="n">
        <v>0.15</v>
      </c>
      <c r="BH584" s="5" t="n">
        <v>1</v>
      </c>
      <c r="BI584" s="5" t="n">
        <v>0.5570000000000001</v>
      </c>
      <c r="BJ584" s="5" t="n">
        <v>0.129</v>
      </c>
      <c r="BK584" s="5" t="n">
        <v>0.651</v>
      </c>
      <c r="BL584" s="5" t="n">
        <v>1.389</v>
      </c>
      <c r="BM584" s="5" t="n">
        <v>0.15</v>
      </c>
      <c r="BN584" s="5" t="n">
        <v>1</v>
      </c>
      <c r="BO584" s="5" t="n">
        <v>0</v>
      </c>
      <c r="BP584" s="5" t="n">
        <v>0</v>
      </c>
      <c r="BQ584" s="5" t="n">
        <v>0.176</v>
      </c>
      <c r="BR584" s="5" t="n">
        <v>0</v>
      </c>
      <c r="BS584" s="5" t="n">
        <v>0.667</v>
      </c>
      <c r="BT584" s="5" t="n">
        <v>0</v>
      </c>
      <c r="BU584" s="5" t="n">
        <v>0</v>
      </c>
      <c r="BV584" s="5" t="n">
        <v>0.174</v>
      </c>
      <c r="BW584" s="5" t="n">
        <v>0.15</v>
      </c>
      <c r="BX584" s="5" t="n">
        <v>0.833</v>
      </c>
      <c r="BY584" s="5" t="n">
        <v>13.254</v>
      </c>
      <c r="BZ584" s="5" t="n">
        <v>0</v>
      </c>
      <c r="CA584" s="5" t="n">
        <v>13.254</v>
      </c>
      <c r="CB584" s="5" t="n">
        <v>0</v>
      </c>
      <c r="CC584" s="5" t="n">
        <v>83.248</v>
      </c>
      <c r="CD584" s="5" t="n">
        <v>7.95</v>
      </c>
      <c r="CE584" s="5" t="n">
        <v>3.799</v>
      </c>
      <c r="CF584" s="5" t="n">
        <v>98.46899999999999</v>
      </c>
      <c r="CG584" s="5" t="n">
        <v>0.15</v>
      </c>
      <c r="CH584" s="5" t="n">
        <v>1</v>
      </c>
      <c r="CI584" s="5" t="n">
        <v>0</v>
      </c>
      <c r="CJ584" s="5" t="n">
        <v>0</v>
      </c>
      <c r="CK584" s="5" t="n">
        <v>0</v>
      </c>
      <c r="CL584" s="5" t="n">
        <v>0</v>
      </c>
      <c r="CM584" s="5" t="n">
        <v>0</v>
      </c>
      <c r="CN584" s="5" t="n">
        <v>0</v>
      </c>
      <c r="CO584" s="5" t="n">
        <v>0</v>
      </c>
      <c r="CP584" s="5" t="n">
        <v>0</v>
      </c>
      <c r="CQ584" s="5" t="n">
        <v>1.348</v>
      </c>
      <c r="CR584" s="5" t="n">
        <v>0</v>
      </c>
      <c r="CS584" s="5" t="n">
        <v>5.37</v>
      </c>
      <c r="CT584" s="5" t="n">
        <v>4.861</v>
      </c>
      <c r="CU584" s="5" t="n">
        <v>11.192</v>
      </c>
    </row>
    <row r="585">
      <c r="A585" s="5" t="inlineStr">
        <is>
          <t>NIC2024</t>
        </is>
      </c>
      <c r="B585" s="5" t="inlineStr">
        <is>
          <t>NIC</t>
        </is>
      </c>
      <c r="C585" s="5" t="inlineStr">
        <is>
          <t>NIC</t>
        </is>
      </c>
      <c r="D585" s="5" t="inlineStr">
        <is>
          <t>Nicaragua</t>
        </is>
      </c>
      <c r="E585" s="5" t="n">
        <v>2024</v>
      </c>
      <c r="F585" s="5" t="n">
        <v>0.15</v>
      </c>
      <c r="G585" s="5" t="n">
        <v>5.575</v>
      </c>
      <c r="H585" s="5" t="n">
        <v>1.324</v>
      </c>
      <c r="I585" s="5" t="n">
        <v>0</v>
      </c>
      <c r="J585" s="5" t="n">
        <v>5.575</v>
      </c>
      <c r="K585" s="5" t="n">
        <v>0</v>
      </c>
      <c r="L585" s="5" t="n">
        <v>1</v>
      </c>
      <c r="M585" s="5" t="n">
        <v>7.124</v>
      </c>
      <c r="N585" s="5" t="n">
        <v>3.971</v>
      </c>
      <c r="O585" s="5" t="n">
        <v>0</v>
      </c>
      <c r="P585" s="5" t="n">
        <v>7.124</v>
      </c>
      <c r="Q585" s="5" t="n">
        <v>0</v>
      </c>
      <c r="R585" s="5" t="n">
        <v>1</v>
      </c>
      <c r="S585" s="5" t="n">
        <v>12.193</v>
      </c>
      <c r="T585" s="5" t="n">
        <v>7.942</v>
      </c>
      <c r="U585" s="5" t="n">
        <v>0.249</v>
      </c>
      <c r="V585" s="5" t="n">
        <v>14.022</v>
      </c>
      <c r="W585" s="5" t="n">
        <v>0.15</v>
      </c>
      <c r="X585" s="5" t="n">
        <v>1</v>
      </c>
      <c r="Y585" s="5" t="n">
        <v>6.09</v>
      </c>
      <c r="Z585" s="5" t="n">
        <v>0.819</v>
      </c>
      <c r="AA585" s="5" t="n">
        <v>0</v>
      </c>
      <c r="AB585" s="5" t="n">
        <v>6.09</v>
      </c>
      <c r="AC585" s="5" t="n">
        <v>0</v>
      </c>
      <c r="AD585" s="5" t="n">
        <v>1</v>
      </c>
      <c r="AE585" s="5" t="n">
        <v>7.414</v>
      </c>
      <c r="AF585" s="5" t="n">
        <v>1.736</v>
      </c>
      <c r="AG585" s="5" t="n">
        <v>0</v>
      </c>
      <c r="AH585" s="5" t="n">
        <v>7.414</v>
      </c>
      <c r="AI585" s="5" t="n">
        <v>0</v>
      </c>
      <c r="AJ585" s="5" t="n">
        <v>1</v>
      </c>
      <c r="AK585" s="5" t="n">
        <v>15.355</v>
      </c>
      <c r="AL585" s="5" t="n">
        <v>8.250999999999999</v>
      </c>
      <c r="AM585" s="5" t="n">
        <v>0.314</v>
      </c>
      <c r="AN585" s="5" t="n">
        <v>17.659</v>
      </c>
      <c r="AO585" s="5" t="n">
        <v>0.15</v>
      </c>
      <c r="AP585" s="5" t="n">
        <v>1</v>
      </c>
      <c r="AQ585" s="5" t="n">
        <v>0.756</v>
      </c>
      <c r="AR585" s="5" t="n">
        <v>0.132</v>
      </c>
      <c r="AS585" s="5" t="n">
        <v>0.381</v>
      </c>
      <c r="AT585" s="5" t="n">
        <v>1.308</v>
      </c>
      <c r="AU585" s="5" t="n">
        <v>0.15</v>
      </c>
      <c r="AV585" s="5" t="n">
        <v>1</v>
      </c>
      <c r="AW585" s="5" t="n">
        <v>0.655</v>
      </c>
      <c r="AX585" s="5" t="n">
        <v>0.132</v>
      </c>
      <c r="AY585" s="5" t="n">
        <v>0.387</v>
      </c>
      <c r="AZ585" s="5" t="n">
        <v>1.199</v>
      </c>
      <c r="BA585" s="5" t="n">
        <v>0.15</v>
      </c>
      <c r="BB585" s="5" t="n">
        <v>1</v>
      </c>
      <c r="BC585" s="5" t="n">
        <v>0.534</v>
      </c>
      <c r="BD585" s="5" t="n">
        <v>0.132</v>
      </c>
      <c r="BE585" s="5" t="n">
        <v>0.036</v>
      </c>
      <c r="BF585" s="5" t="n">
        <v>0.655</v>
      </c>
      <c r="BG585" s="5" t="n">
        <v>0.15</v>
      </c>
      <c r="BH585" s="5" t="n">
        <v>1</v>
      </c>
      <c r="BI585" s="5" t="n">
        <v>0.5679999999999999</v>
      </c>
      <c r="BJ585" s="5" t="n">
        <v>0.132</v>
      </c>
      <c r="BK585" s="5" t="n">
        <v>0.591</v>
      </c>
      <c r="BL585" s="5" t="n">
        <v>1.333</v>
      </c>
      <c r="BM585" s="5" t="n">
        <v>0.15</v>
      </c>
      <c r="BN585" s="5" t="n">
        <v>1</v>
      </c>
      <c r="BO585" s="5" t="n">
        <v>0</v>
      </c>
      <c r="BP585" s="5" t="n">
        <v>0</v>
      </c>
      <c r="BQ585" s="5" t="n">
        <v>0.183</v>
      </c>
      <c r="BR585" s="5" t="n">
        <v>0</v>
      </c>
      <c r="BS585" s="5" t="n">
        <v>0.667</v>
      </c>
      <c r="BT585" s="5" t="n">
        <v>0</v>
      </c>
      <c r="BU585" s="5" t="n">
        <v>0</v>
      </c>
      <c r="BV585" s="5" t="n">
        <v>0.183</v>
      </c>
      <c r="BW585" s="5" t="n">
        <v>0.15</v>
      </c>
      <c r="BX585" s="5" t="n">
        <v>0.833</v>
      </c>
      <c r="BY585" s="5" t="n">
        <v>13.646</v>
      </c>
      <c r="BZ585" s="5" t="n">
        <v>0</v>
      </c>
      <c r="CA585" s="5" t="n">
        <v>13.646</v>
      </c>
      <c r="CB585" s="5" t="n">
        <v>0</v>
      </c>
      <c r="CC585" s="5" t="n">
        <v>82.58799999999999</v>
      </c>
      <c r="CD585" s="5" t="n">
        <v>7.95</v>
      </c>
      <c r="CE585" s="5" t="n">
        <v>4.599</v>
      </c>
      <c r="CF585" s="5" t="n">
        <v>98.258</v>
      </c>
      <c r="CG585" s="5" t="n">
        <v>0.15</v>
      </c>
      <c r="CH585" s="5" t="n">
        <v>1</v>
      </c>
      <c r="CI585" s="5" t="n">
        <v>0</v>
      </c>
      <c r="CJ585" s="5" t="n">
        <v>0</v>
      </c>
      <c r="CK585" s="5" t="n">
        <v>0</v>
      </c>
      <c r="CL585" s="5" t="n">
        <v>0</v>
      </c>
      <c r="CM585" s="5" t="n">
        <v>0</v>
      </c>
      <c r="CN585" s="5" t="n">
        <v>0</v>
      </c>
      <c r="CO585" s="5" t="n">
        <v>0</v>
      </c>
      <c r="CP585" s="5" t="n">
        <v>0</v>
      </c>
      <c r="CQ585" s="5" t="n">
        <v>1.387</v>
      </c>
      <c r="CR585" s="5" t="n">
        <v>0</v>
      </c>
      <c r="CS585" s="5" t="n">
        <v>5.529</v>
      </c>
      <c r="CT585" s="5" t="n">
        <v>4.251</v>
      </c>
      <c r="CU585" s="5" t="n">
        <v>10.123</v>
      </c>
    </row>
    <row r="586">
      <c r="A586" s="5" t="inlineStr">
        <is>
          <t>NER2021</t>
        </is>
      </c>
      <c r="B586" s="5" t="inlineStr">
        <is>
          <t>NER</t>
        </is>
      </c>
      <c r="C586" s="5" t="inlineStr">
        <is>
          <t>NER</t>
        </is>
      </c>
      <c r="D586" s="5" t="inlineStr">
        <is>
          <t>Niger</t>
        </is>
      </c>
      <c r="E586" s="5" t="n">
        <v>2021</v>
      </c>
      <c r="F586" s="5" t="n">
        <v>0.19</v>
      </c>
      <c r="G586" s="5" t="n">
        <v>1.77</v>
      </c>
      <c r="H586" s="5" t="n">
        <v>0.572</v>
      </c>
      <c r="I586" s="5" t="n">
        <v>0</v>
      </c>
      <c r="J586" s="5" t="n">
        <v>1.77</v>
      </c>
      <c r="K586" s="5" t="n">
        <v>0</v>
      </c>
      <c r="L586" s="5" t="n">
        <v>1</v>
      </c>
      <c r="M586" s="5" t="n">
        <v>2.913</v>
      </c>
      <c r="N586" s="5" t="n">
        <v>1.715</v>
      </c>
      <c r="O586" s="5" t="n">
        <v>0</v>
      </c>
      <c r="P586" s="5" t="n">
        <v>2.913</v>
      </c>
      <c r="Q586" s="5" t="n">
        <v>0</v>
      </c>
      <c r="R586" s="5" t="n">
        <v>1</v>
      </c>
      <c r="S586" s="5" t="n">
        <v>4.628</v>
      </c>
      <c r="T586" s="5" t="n">
        <v>3.43</v>
      </c>
      <c r="U586" s="5" t="n">
        <v>0</v>
      </c>
      <c r="V586" s="5" t="n">
        <v>5.508</v>
      </c>
      <c r="W586" s="5" t="n">
        <v>0.19</v>
      </c>
      <c r="X586" s="5" t="n">
        <v>1</v>
      </c>
      <c r="Y586" s="5" t="n">
        <v>5.347</v>
      </c>
      <c r="Z586" s="5" t="n">
        <v>0.393</v>
      </c>
      <c r="AA586" s="5" t="n">
        <v>0</v>
      </c>
      <c r="AB586" s="5" t="n">
        <v>5.347</v>
      </c>
      <c r="AC586" s="5" t="n">
        <v>0</v>
      </c>
      <c r="AD586" s="5" t="n">
        <v>1</v>
      </c>
      <c r="AE586" s="5" t="n">
        <v>5.919</v>
      </c>
      <c r="AF586" s="5" t="n">
        <v>0.8</v>
      </c>
      <c r="AG586" s="5" t="n">
        <v>0</v>
      </c>
      <c r="AH586" s="5" t="n">
        <v>5.919</v>
      </c>
      <c r="AI586" s="5" t="n">
        <v>0</v>
      </c>
      <c r="AJ586" s="5" t="n">
        <v>1</v>
      </c>
      <c r="AK586" s="5" t="n">
        <v>9.349</v>
      </c>
      <c r="AL586" s="5" t="n">
        <v>3.473</v>
      </c>
      <c r="AM586" s="5" t="n">
        <v>0</v>
      </c>
      <c r="AN586" s="5" t="n">
        <v>11.125</v>
      </c>
      <c r="AO586" s="5" t="n">
        <v>0.19</v>
      </c>
      <c r="AP586" s="5" t="n">
        <v>1</v>
      </c>
      <c r="AQ586" s="5" t="n">
        <v>0.619</v>
      </c>
      <c r="AR586" s="5" t="n">
        <v>0.114</v>
      </c>
      <c r="AS586" s="5" t="n">
        <v>0.199</v>
      </c>
      <c r="AT586" s="5" t="n">
        <v>0.974</v>
      </c>
      <c r="AU586" s="5" t="n">
        <v>0.19</v>
      </c>
      <c r="AV586" s="5" t="n">
        <v>1</v>
      </c>
      <c r="AW586" s="5" t="n">
        <v>0.599</v>
      </c>
      <c r="AX586" s="5" t="n">
        <v>0.114</v>
      </c>
      <c r="AY586" s="5" t="n">
        <v>0.367</v>
      </c>
      <c r="AZ586" s="5" t="n">
        <v>1.151</v>
      </c>
      <c r="BA586" s="5" t="n">
        <v>0.19</v>
      </c>
      <c r="BB586" s="5" t="n">
        <v>1</v>
      </c>
      <c r="BC586" s="5" t="n">
        <v>0.439</v>
      </c>
      <c r="BD586" s="5" t="n">
        <v>0.114</v>
      </c>
      <c r="BE586" s="5" t="n">
        <v>-0.2</v>
      </c>
      <c r="BF586" s="5" t="n">
        <v>0.285</v>
      </c>
      <c r="BG586" s="5" t="n">
        <v>0</v>
      </c>
      <c r="BH586" s="5" t="n">
        <v>0</v>
      </c>
      <c r="BI586" s="5" t="n">
        <v>0.505</v>
      </c>
      <c r="BJ586" s="5" t="n">
        <v>0.114</v>
      </c>
      <c r="BK586" s="5" t="n">
        <v>0.247</v>
      </c>
      <c r="BL586" s="5" t="n">
        <v>0.895</v>
      </c>
      <c r="BM586" s="5" t="n">
        <v>0.19</v>
      </c>
      <c r="BN586" s="5" t="n">
        <v>1</v>
      </c>
      <c r="BO586" s="5" t="n">
        <v>0</v>
      </c>
      <c r="BP586" s="5" t="n">
        <v>0</v>
      </c>
      <c r="BQ586" s="5" t="n">
        <v>0.131</v>
      </c>
      <c r="BR586" s="5" t="n">
        <v>0</v>
      </c>
      <c r="BS586" s="5" t="n">
        <v>0.167</v>
      </c>
      <c r="BT586" s="5" t="n">
        <v>0</v>
      </c>
      <c r="BU586" s="5" t="n">
        <v>0</v>
      </c>
      <c r="BV586" s="5" t="n">
        <v>0.155</v>
      </c>
      <c r="BW586" s="5" t="n">
        <v>0.19</v>
      </c>
      <c r="BX586" s="5" t="n">
        <v>0.167</v>
      </c>
      <c r="BY586" s="5" t="n">
        <v>11.787</v>
      </c>
      <c r="BZ586" s="5" t="n">
        <v>0</v>
      </c>
      <c r="CA586" s="5" t="n">
        <v>11.787</v>
      </c>
      <c r="CB586" s="5" t="n">
        <v>0</v>
      </c>
      <c r="CC586" s="5" t="n">
        <v>78.125</v>
      </c>
      <c r="CD586" s="5" t="n">
        <v>7.95</v>
      </c>
      <c r="CE586" s="5" t="n">
        <v>41.386</v>
      </c>
      <c r="CF586" s="5" t="n">
        <v>142.218</v>
      </c>
      <c r="CG586" s="5" t="n">
        <v>0.19</v>
      </c>
      <c r="CH586" s="5" t="n">
        <v>1</v>
      </c>
      <c r="CI586" s="5" t="n">
        <v>0</v>
      </c>
      <c r="CJ586" s="5" t="n">
        <v>0</v>
      </c>
      <c r="CK586" s="5" t="n">
        <v>0</v>
      </c>
      <c r="CL586" s="5" t="n">
        <v>0</v>
      </c>
      <c r="CM586" s="5" t="n">
        <v>0</v>
      </c>
      <c r="CN586" s="5" t="n">
        <v>0</v>
      </c>
      <c r="CO586" s="5" t="n">
        <v>0</v>
      </c>
      <c r="CP586" s="5" t="n">
        <v>1</v>
      </c>
      <c r="CQ586" s="5" t="n">
        <v>1.198</v>
      </c>
      <c r="CR586" s="5" t="n">
        <v>1</v>
      </c>
      <c r="CS586" s="5" t="n">
        <v>4.776</v>
      </c>
      <c r="CT586" s="5" t="n">
        <v>4.753</v>
      </c>
      <c r="CU586" s="5" t="n">
        <v>15.162</v>
      </c>
    </row>
    <row r="587">
      <c r="A587" s="5" t="inlineStr">
        <is>
          <t>NER2022</t>
        </is>
      </c>
      <c r="B587" s="5" t="inlineStr">
        <is>
          <t>NER</t>
        </is>
      </c>
      <c r="C587" s="5" t="inlineStr">
        <is>
          <t>NER</t>
        </is>
      </c>
      <c r="D587" s="5" t="inlineStr">
        <is>
          <t>Niger</t>
        </is>
      </c>
      <c r="E587" s="5" t="n">
        <v>2022</v>
      </c>
      <c r="F587" s="5" t="n">
        <v>0.19</v>
      </c>
      <c r="G587" s="5" t="n">
        <v>1.911</v>
      </c>
      <c r="H587" s="5" t="n">
        <v>0.617</v>
      </c>
      <c r="I587" s="5" t="n">
        <v>0</v>
      </c>
      <c r="J587" s="5" t="n">
        <v>1.911</v>
      </c>
      <c r="K587" s="5" t="n">
        <v>0</v>
      </c>
      <c r="L587" s="5" t="n">
        <v>1</v>
      </c>
      <c r="M587" s="5" t="n">
        <v>3.146</v>
      </c>
      <c r="N587" s="5" t="n">
        <v>1.852</v>
      </c>
      <c r="O587" s="5" t="n">
        <v>0</v>
      </c>
      <c r="P587" s="5" t="n">
        <v>3.146</v>
      </c>
      <c r="Q587" s="5" t="n">
        <v>0</v>
      </c>
      <c r="R587" s="5" t="n">
        <v>1</v>
      </c>
      <c r="S587" s="5" t="n">
        <v>4.998</v>
      </c>
      <c r="T587" s="5" t="n">
        <v>3.704</v>
      </c>
      <c r="U587" s="5" t="n">
        <v>0.07000000000000001</v>
      </c>
      <c r="V587" s="5" t="n">
        <v>5.948</v>
      </c>
      <c r="W587" s="5" t="n">
        <v>0.19</v>
      </c>
      <c r="X587" s="5" t="n">
        <v>1</v>
      </c>
      <c r="Y587" s="5" t="n">
        <v>5.775</v>
      </c>
      <c r="Z587" s="5" t="n">
        <v>0.425</v>
      </c>
      <c r="AA587" s="5" t="n">
        <v>0</v>
      </c>
      <c r="AB587" s="5" t="n">
        <v>5.775</v>
      </c>
      <c r="AC587" s="5" t="n">
        <v>0</v>
      </c>
      <c r="AD587" s="5" t="n">
        <v>1</v>
      </c>
      <c r="AE587" s="5" t="n">
        <v>6.392</v>
      </c>
      <c r="AF587" s="5" t="n">
        <v>0.864</v>
      </c>
      <c r="AG587" s="5" t="n">
        <v>0</v>
      </c>
      <c r="AH587" s="5" t="n">
        <v>6.392</v>
      </c>
      <c r="AI587" s="5" t="n">
        <v>0</v>
      </c>
      <c r="AJ587" s="5" t="n">
        <v>1</v>
      </c>
      <c r="AK587" s="5" t="n">
        <v>10.096</v>
      </c>
      <c r="AL587" s="5" t="n">
        <v>3.751</v>
      </c>
      <c r="AM587" s="5" t="n">
        <v>0.142</v>
      </c>
      <c r="AN587" s="5" t="n">
        <v>12.015</v>
      </c>
      <c r="AO587" s="5" t="n">
        <v>0.19</v>
      </c>
      <c r="AP587" s="5" t="n">
        <v>1</v>
      </c>
      <c r="AQ587" s="5" t="n">
        <v>0.861</v>
      </c>
      <c r="AR587" s="5" t="n">
        <v>0.123</v>
      </c>
      <c r="AS587" s="5" t="n">
        <v>-0.134</v>
      </c>
      <c r="AT587" s="5" t="n">
        <v>0.866</v>
      </c>
      <c r="AU587" s="5" t="n">
        <v>0.19</v>
      </c>
      <c r="AV587" s="5" t="n">
        <v>1</v>
      </c>
      <c r="AW587" s="5" t="n">
        <v>0.986</v>
      </c>
      <c r="AX587" s="5" t="n">
        <v>0.123</v>
      </c>
      <c r="AY587" s="5" t="n">
        <v>-0.127</v>
      </c>
      <c r="AZ587" s="5" t="n">
        <v>1.023</v>
      </c>
      <c r="BA587" s="5" t="n">
        <v>0.19</v>
      </c>
      <c r="BB587" s="5" t="n">
        <v>1</v>
      </c>
      <c r="BC587" s="5" t="n">
        <v>0.598</v>
      </c>
      <c r="BD587" s="5" t="n">
        <v>0.123</v>
      </c>
      <c r="BE587" s="5" t="n">
        <v>-0.385</v>
      </c>
      <c r="BF587" s="5" t="n">
        <v>0.253</v>
      </c>
      <c r="BG587" s="5" t="n">
        <v>0</v>
      </c>
      <c r="BH587" s="5" t="n">
        <v>0</v>
      </c>
      <c r="BI587" s="5" t="n">
        <v>0.612</v>
      </c>
      <c r="BJ587" s="5" t="n">
        <v>0.123</v>
      </c>
      <c r="BK587" s="5" t="n">
        <v>0.057</v>
      </c>
      <c r="BL587" s="5" t="n">
        <v>0.796</v>
      </c>
      <c r="BM587" s="5" t="n">
        <v>0.19</v>
      </c>
      <c r="BN587" s="5" t="n">
        <v>1</v>
      </c>
      <c r="BO587" s="5" t="n">
        <v>0</v>
      </c>
      <c r="BP587" s="5" t="n">
        <v>0</v>
      </c>
      <c r="BQ587" s="5" t="n">
        <v>0.116</v>
      </c>
      <c r="BR587" s="5" t="n">
        <v>0</v>
      </c>
      <c r="BS587" s="5" t="n">
        <v>0.167</v>
      </c>
      <c r="BT587" s="5" t="n">
        <v>0</v>
      </c>
      <c r="BU587" s="5" t="n">
        <v>0</v>
      </c>
      <c r="BV587" s="5" t="n">
        <v>0.138</v>
      </c>
      <c r="BW587" s="5" t="n">
        <v>0.19</v>
      </c>
      <c r="BX587" s="5" t="n">
        <v>0.167</v>
      </c>
      <c r="BY587" s="5" t="n">
        <v>12.729</v>
      </c>
      <c r="BZ587" s="5" t="n">
        <v>0</v>
      </c>
      <c r="CA587" s="5" t="n">
        <v>12.729</v>
      </c>
      <c r="CB587" s="5" t="n">
        <v>0</v>
      </c>
      <c r="CC587" s="5" t="n">
        <v>97.90000000000001</v>
      </c>
      <c r="CD587" s="5" t="n">
        <v>7.95</v>
      </c>
      <c r="CE587" s="5" t="n">
        <v>8.346</v>
      </c>
      <c r="CF587" s="5" t="n">
        <v>126.433</v>
      </c>
      <c r="CG587" s="5" t="n">
        <v>0.19</v>
      </c>
      <c r="CH587" s="5" t="n">
        <v>1</v>
      </c>
      <c r="CI587" s="5" t="n">
        <v>0</v>
      </c>
      <c r="CJ587" s="5" t="n">
        <v>0</v>
      </c>
      <c r="CK587" s="5" t="n">
        <v>0</v>
      </c>
      <c r="CL587" s="5" t="n">
        <v>0</v>
      </c>
      <c r="CM587" s="5" t="n">
        <v>0</v>
      </c>
      <c r="CN587" s="5" t="n">
        <v>0</v>
      </c>
      <c r="CO587" s="5" t="n">
        <v>0</v>
      </c>
      <c r="CP587" s="5" t="n">
        <v>1</v>
      </c>
      <c r="CQ587" s="5" t="n">
        <v>1.294</v>
      </c>
      <c r="CR587" s="5" t="n">
        <v>1</v>
      </c>
      <c r="CS587" s="5" t="n">
        <v>5.158</v>
      </c>
      <c r="CT587" s="5" t="n">
        <v>10.485</v>
      </c>
      <c r="CU587" s="5" t="n">
        <v>31.326</v>
      </c>
    </row>
    <row r="588">
      <c r="A588" s="5" t="inlineStr">
        <is>
          <t>NER2023</t>
        </is>
      </c>
      <c r="B588" s="5" t="inlineStr">
        <is>
          <t>NER</t>
        </is>
      </c>
      <c r="C588" s="5" t="inlineStr">
        <is>
          <t>NER</t>
        </is>
      </c>
      <c r="D588" s="5" t="inlineStr">
        <is>
          <t>Niger</t>
        </is>
      </c>
      <c r="E588" s="5" t="n">
        <v>2023</v>
      </c>
      <c r="F588" s="5" t="n">
        <v>0.19</v>
      </c>
      <c r="G588" s="5" t="n">
        <v>1.99</v>
      </c>
      <c r="H588" s="5" t="n">
        <v>0.643</v>
      </c>
      <c r="I588" s="5" t="n">
        <v>0</v>
      </c>
      <c r="J588" s="5" t="n">
        <v>1.99</v>
      </c>
      <c r="K588" s="5" t="n">
        <v>0</v>
      </c>
      <c r="L588" s="5" t="n">
        <v>1</v>
      </c>
      <c r="M588" s="5" t="n">
        <v>3.276</v>
      </c>
      <c r="N588" s="5" t="n">
        <v>1.928</v>
      </c>
      <c r="O588" s="5" t="n">
        <v>0</v>
      </c>
      <c r="P588" s="5" t="n">
        <v>3.276</v>
      </c>
      <c r="Q588" s="5" t="n">
        <v>0</v>
      </c>
      <c r="R588" s="5" t="n">
        <v>1</v>
      </c>
      <c r="S588" s="5" t="n">
        <v>5.205</v>
      </c>
      <c r="T588" s="5" t="n">
        <v>3.857</v>
      </c>
      <c r="U588" s="5" t="n">
        <v>0.109</v>
      </c>
      <c r="V588" s="5" t="n">
        <v>6.193</v>
      </c>
      <c r="W588" s="5" t="n">
        <v>0.19</v>
      </c>
      <c r="X588" s="5" t="n">
        <v>1</v>
      </c>
      <c r="Y588" s="5" t="n">
        <v>6.013</v>
      </c>
      <c r="Z588" s="5" t="n">
        <v>0.442</v>
      </c>
      <c r="AA588" s="5" t="n">
        <v>0</v>
      </c>
      <c r="AB588" s="5" t="n">
        <v>6.013</v>
      </c>
      <c r="AC588" s="5" t="n">
        <v>0</v>
      </c>
      <c r="AD588" s="5" t="n">
        <v>1</v>
      </c>
      <c r="AE588" s="5" t="n">
        <v>6.656</v>
      </c>
      <c r="AF588" s="5" t="n">
        <v>0.9</v>
      </c>
      <c r="AG588" s="5" t="n">
        <v>0</v>
      </c>
      <c r="AH588" s="5" t="n">
        <v>6.656</v>
      </c>
      <c r="AI588" s="5" t="n">
        <v>0</v>
      </c>
      <c r="AJ588" s="5" t="n">
        <v>1</v>
      </c>
      <c r="AK588" s="5" t="n">
        <v>10.513</v>
      </c>
      <c r="AL588" s="5" t="n">
        <v>3.906</v>
      </c>
      <c r="AM588" s="5" t="n">
        <v>0.221</v>
      </c>
      <c r="AN588" s="5" t="n">
        <v>12.511</v>
      </c>
      <c r="AO588" s="5" t="n">
        <v>0.19</v>
      </c>
      <c r="AP588" s="5" t="n">
        <v>1</v>
      </c>
      <c r="AQ588" s="5" t="n">
        <v>0.76</v>
      </c>
      <c r="AR588" s="5" t="n">
        <v>0.129</v>
      </c>
      <c r="AS588" s="5" t="n">
        <v>-0.037</v>
      </c>
      <c r="AT588" s="5" t="n">
        <v>0.861</v>
      </c>
      <c r="AU588" s="5" t="n">
        <v>0.19</v>
      </c>
      <c r="AV588" s="5" t="n">
        <v>1</v>
      </c>
      <c r="AW588" s="5" t="n">
        <v>0.8110000000000001</v>
      </c>
      <c r="AX588" s="5" t="n">
        <v>0.129</v>
      </c>
      <c r="AY588" s="5" t="n">
        <v>0.06</v>
      </c>
      <c r="AZ588" s="5" t="n">
        <v>1.037</v>
      </c>
      <c r="BA588" s="5" t="n">
        <v>0.19</v>
      </c>
      <c r="BB588" s="5" t="n">
        <v>1</v>
      </c>
      <c r="BC588" s="5" t="n">
        <v>0.535</v>
      </c>
      <c r="BD588" s="5" t="n">
        <v>0.129</v>
      </c>
      <c r="BE588" s="5" t="n">
        <v>-0.316</v>
      </c>
      <c r="BF588" s="5" t="n">
        <v>0.26</v>
      </c>
      <c r="BG588" s="5" t="n">
        <v>0</v>
      </c>
      <c r="BH588" s="5" t="n">
        <v>0</v>
      </c>
      <c r="BI588" s="5" t="n">
        <v>0.579</v>
      </c>
      <c r="BJ588" s="5" t="n">
        <v>0.129</v>
      </c>
      <c r="BK588" s="5" t="n">
        <v>0.109</v>
      </c>
      <c r="BL588" s="5" t="n">
        <v>0.819</v>
      </c>
      <c r="BM588" s="5" t="n">
        <v>0.19</v>
      </c>
      <c r="BN588" s="5" t="n">
        <v>1</v>
      </c>
      <c r="BO588" s="5" t="n">
        <v>0</v>
      </c>
      <c r="BP588" s="5" t="n">
        <v>0</v>
      </c>
      <c r="BQ588" s="5" t="n">
        <v>0.12</v>
      </c>
      <c r="BR588" s="5" t="n">
        <v>0</v>
      </c>
      <c r="BS588" s="5" t="n">
        <v>0.167</v>
      </c>
      <c r="BT588" s="5" t="n">
        <v>0</v>
      </c>
      <c r="BU588" s="5" t="n">
        <v>0</v>
      </c>
      <c r="BV588" s="5" t="n">
        <v>0.142</v>
      </c>
      <c r="BW588" s="5" t="n">
        <v>0.19</v>
      </c>
      <c r="BX588" s="5" t="n">
        <v>0.167</v>
      </c>
      <c r="BY588" s="5" t="n">
        <v>13.254</v>
      </c>
      <c r="BZ588" s="5" t="n">
        <v>0</v>
      </c>
      <c r="CA588" s="5" t="n">
        <v>13.254</v>
      </c>
      <c r="CB588" s="5" t="n">
        <v>0</v>
      </c>
      <c r="CC588" s="5" t="n">
        <v>83.248</v>
      </c>
      <c r="CD588" s="5" t="n">
        <v>7.95</v>
      </c>
      <c r="CE588" s="5" t="n">
        <v>26.009</v>
      </c>
      <c r="CF588" s="5" t="n">
        <v>130.016</v>
      </c>
      <c r="CG588" s="5" t="n">
        <v>0.19</v>
      </c>
      <c r="CH588" s="5" t="n">
        <v>1</v>
      </c>
      <c r="CI588" s="5" t="n">
        <v>0</v>
      </c>
      <c r="CJ588" s="5" t="n">
        <v>0</v>
      </c>
      <c r="CK588" s="5" t="n">
        <v>0</v>
      </c>
      <c r="CL588" s="5" t="n">
        <v>0</v>
      </c>
      <c r="CM588" s="5" t="n">
        <v>0</v>
      </c>
      <c r="CN588" s="5" t="n">
        <v>0</v>
      </c>
      <c r="CO588" s="5" t="n">
        <v>0</v>
      </c>
      <c r="CP588" s="5" t="n">
        <v>1</v>
      </c>
      <c r="CQ588" s="5" t="n">
        <v>1.348</v>
      </c>
      <c r="CR588" s="5" t="n">
        <v>1</v>
      </c>
      <c r="CS588" s="5" t="n">
        <v>5.37</v>
      </c>
      <c r="CT588" s="5" t="n">
        <v>4.861</v>
      </c>
      <c r="CU588" s="5" t="n">
        <v>11.622</v>
      </c>
    </row>
    <row r="589">
      <c r="A589" s="5" t="inlineStr">
        <is>
          <t>NER2024</t>
        </is>
      </c>
      <c r="B589" s="5" t="inlineStr">
        <is>
          <t>NER</t>
        </is>
      </c>
      <c r="C589" s="5" t="inlineStr">
        <is>
          <t>NER</t>
        </is>
      </c>
      <c r="D589" s="5" t="inlineStr">
        <is>
          <t>Niger</t>
        </is>
      </c>
      <c r="E589" s="5" t="n">
        <v>2024</v>
      </c>
      <c r="F589" s="5" t="n">
        <v>0.19</v>
      </c>
      <c r="G589" s="5" t="n">
        <v>2.049</v>
      </c>
      <c r="H589" s="5" t="n">
        <v>0.662</v>
      </c>
      <c r="I589" s="5" t="n">
        <v>0</v>
      </c>
      <c r="J589" s="5" t="n">
        <v>2.049</v>
      </c>
      <c r="K589" s="5" t="n">
        <v>0</v>
      </c>
      <c r="L589" s="5" t="n">
        <v>1</v>
      </c>
      <c r="M589" s="5" t="n">
        <v>3.373</v>
      </c>
      <c r="N589" s="5" t="n">
        <v>1.985</v>
      </c>
      <c r="O589" s="5" t="n">
        <v>0</v>
      </c>
      <c r="P589" s="5" t="n">
        <v>3.373</v>
      </c>
      <c r="Q589" s="5" t="n">
        <v>0</v>
      </c>
      <c r="R589" s="5" t="n">
        <v>1</v>
      </c>
      <c r="S589" s="5" t="n">
        <v>5.358</v>
      </c>
      <c r="T589" s="5" t="n">
        <v>3.971</v>
      </c>
      <c r="U589" s="5" t="n">
        <v>0.139</v>
      </c>
      <c r="V589" s="5" t="n">
        <v>6.376</v>
      </c>
      <c r="W589" s="5" t="n">
        <v>0.19</v>
      </c>
      <c r="X589" s="5" t="n">
        <v>1</v>
      </c>
      <c r="Y589" s="5" t="n">
        <v>6.191</v>
      </c>
      <c r="Z589" s="5" t="n">
        <v>0.455</v>
      </c>
      <c r="AA589" s="5" t="n">
        <v>0</v>
      </c>
      <c r="AB589" s="5" t="n">
        <v>6.191</v>
      </c>
      <c r="AC589" s="5" t="n">
        <v>0</v>
      </c>
      <c r="AD589" s="5" t="n">
        <v>1</v>
      </c>
      <c r="AE589" s="5" t="n">
        <v>6.853</v>
      </c>
      <c r="AF589" s="5" t="n">
        <v>0.926</v>
      </c>
      <c r="AG589" s="5" t="n">
        <v>0</v>
      </c>
      <c r="AH589" s="5" t="n">
        <v>6.853</v>
      </c>
      <c r="AI589" s="5" t="n">
        <v>0</v>
      </c>
      <c r="AJ589" s="5" t="n">
        <v>1</v>
      </c>
      <c r="AK589" s="5" t="n">
        <v>10.823</v>
      </c>
      <c r="AL589" s="5" t="n">
        <v>4.021</v>
      </c>
      <c r="AM589" s="5" t="n">
        <v>0.28</v>
      </c>
      <c r="AN589" s="5" t="n">
        <v>12.88</v>
      </c>
      <c r="AO589" s="5" t="n">
        <v>0.19</v>
      </c>
      <c r="AP589" s="5" t="n">
        <v>1</v>
      </c>
      <c r="AQ589" s="5" t="n">
        <v>0.724</v>
      </c>
      <c r="AR589" s="5" t="n">
        <v>0.132</v>
      </c>
      <c r="AS589" s="5" t="n">
        <v>-0.006</v>
      </c>
      <c r="AT589" s="5" t="n">
        <v>0.855</v>
      </c>
      <c r="AU589" s="5" t="n">
        <v>0.19</v>
      </c>
      <c r="AV589" s="5" t="n">
        <v>1</v>
      </c>
      <c r="AW589" s="5" t="n">
        <v>0.75</v>
      </c>
      <c r="AX589" s="5" t="n">
        <v>0.132</v>
      </c>
      <c r="AY589" s="5" t="n">
        <v>0.261</v>
      </c>
      <c r="AZ589" s="5" t="n">
        <v>1.204</v>
      </c>
      <c r="BA589" s="5" t="n">
        <v>0.19</v>
      </c>
      <c r="BB589" s="5" t="n">
        <v>1</v>
      </c>
      <c r="BC589" s="5" t="n">
        <v>0.513</v>
      </c>
      <c r="BD589" s="5" t="n">
        <v>0.132</v>
      </c>
      <c r="BE589" s="5" t="n">
        <v>-0.294</v>
      </c>
      <c r="BF589" s="5" t="n">
        <v>0.261</v>
      </c>
      <c r="BG589" s="5" t="n">
        <v>0</v>
      </c>
      <c r="BH589" s="5" t="n">
        <v>0</v>
      </c>
      <c r="BI589" s="5" t="n">
        <v>0.591</v>
      </c>
      <c r="BJ589" s="5" t="n">
        <v>0.132</v>
      </c>
      <c r="BK589" s="5" t="n">
        <v>0.134</v>
      </c>
      <c r="BL589" s="5" t="n">
        <v>0.841</v>
      </c>
      <c r="BM589" s="5" t="n">
        <v>0.19</v>
      </c>
      <c r="BN589" s="5" t="n">
        <v>1</v>
      </c>
      <c r="BO589" s="5" t="n">
        <v>0</v>
      </c>
      <c r="BP589" s="5" t="n">
        <v>0</v>
      </c>
      <c r="BQ589" s="5" t="n">
        <v>0.123</v>
      </c>
      <c r="BR589" s="5" t="n">
        <v>0</v>
      </c>
      <c r="BS589" s="5" t="n">
        <v>0.167</v>
      </c>
      <c r="BT589" s="5" t="n">
        <v>0</v>
      </c>
      <c r="BU589" s="5" t="n">
        <v>0</v>
      </c>
      <c r="BV589" s="5" t="n">
        <v>0.146</v>
      </c>
      <c r="BW589" s="5" t="n">
        <v>0.19</v>
      </c>
      <c r="BX589" s="5" t="n">
        <v>0.167</v>
      </c>
      <c r="BY589" s="5" t="n">
        <v>13.646</v>
      </c>
      <c r="BZ589" s="5" t="n">
        <v>0</v>
      </c>
      <c r="CA589" s="5" t="n">
        <v>13.646</v>
      </c>
      <c r="CB589" s="5" t="n">
        <v>0</v>
      </c>
      <c r="CC589" s="5" t="n">
        <v>82.58799999999999</v>
      </c>
      <c r="CD589" s="5" t="n">
        <v>7.95</v>
      </c>
      <c r="CE589" s="5" t="n">
        <v>32.064</v>
      </c>
      <c r="CF589" s="5" t="n">
        <v>132.994</v>
      </c>
      <c r="CG589" s="5" t="n">
        <v>0.19</v>
      </c>
      <c r="CH589" s="5" t="n">
        <v>1</v>
      </c>
      <c r="CI589" s="5" t="n">
        <v>0</v>
      </c>
      <c r="CJ589" s="5" t="n">
        <v>0</v>
      </c>
      <c r="CK589" s="5" t="n">
        <v>0</v>
      </c>
      <c r="CL589" s="5" t="n">
        <v>0</v>
      </c>
      <c r="CM589" s="5" t="n">
        <v>0</v>
      </c>
      <c r="CN589" s="5" t="n">
        <v>0</v>
      </c>
      <c r="CO589" s="5" t="n">
        <v>0</v>
      </c>
      <c r="CP589" s="5" t="n">
        <v>1</v>
      </c>
      <c r="CQ589" s="5" t="n">
        <v>1.387</v>
      </c>
      <c r="CR589" s="5" t="n">
        <v>1</v>
      </c>
      <c r="CS589" s="5" t="n">
        <v>5.529</v>
      </c>
      <c r="CT589" s="5" t="n">
        <v>4.251</v>
      </c>
      <c r="CU589" s="5" t="n">
        <v>10.168</v>
      </c>
    </row>
    <row r="590">
      <c r="A590" s="5" t="inlineStr">
        <is>
          <t>NGA2021</t>
        </is>
      </c>
      <c r="B590" s="5" t="inlineStr">
        <is>
          <t>NGA</t>
        </is>
      </c>
      <c r="C590" s="5" t="inlineStr">
        <is>
          <t>NGA</t>
        </is>
      </c>
      <c r="D590" s="5" t="inlineStr">
        <is>
          <t>Nigeria</t>
        </is>
      </c>
      <c r="E590" s="5" t="n">
        <v>2021</v>
      </c>
      <c r="F590" s="5" t="n">
        <v>0.075</v>
      </c>
      <c r="G590" s="5" t="n">
        <v>1.77</v>
      </c>
      <c r="H590" s="5" t="n">
        <v>0.572</v>
      </c>
      <c r="I590" s="5" t="n">
        <v>0</v>
      </c>
      <c r="J590" s="5" t="n">
        <v>1.77</v>
      </c>
      <c r="K590" s="5" t="n">
        <v>0</v>
      </c>
      <c r="L590" s="5" t="n">
        <v>1</v>
      </c>
      <c r="M590" s="5" t="n">
        <v>2.913</v>
      </c>
      <c r="N590" s="5" t="n">
        <v>1.715</v>
      </c>
      <c r="O590" s="5" t="n">
        <v>0</v>
      </c>
      <c r="P590" s="5" t="n">
        <v>2.913</v>
      </c>
      <c r="Q590" s="5" t="n">
        <v>0</v>
      </c>
      <c r="R590" s="5" t="n">
        <v>1</v>
      </c>
      <c r="S590" s="5" t="n">
        <v>4.628</v>
      </c>
      <c r="T590" s="5" t="n">
        <v>3.43</v>
      </c>
      <c r="U590" s="5" t="n">
        <v>0</v>
      </c>
      <c r="V590" s="5" t="n">
        <v>4.975</v>
      </c>
      <c r="W590" s="5" t="n">
        <v>0.075</v>
      </c>
      <c r="X590" s="5" t="n">
        <v>1</v>
      </c>
      <c r="Y590" s="5" t="n">
        <v>4.26</v>
      </c>
      <c r="Z590" s="5" t="n">
        <v>0.471</v>
      </c>
      <c r="AA590" s="5" t="n">
        <v>0</v>
      </c>
      <c r="AB590" s="5" t="n">
        <v>4.26</v>
      </c>
      <c r="AC590" s="5" t="n">
        <v>0</v>
      </c>
      <c r="AD590" s="5" t="n">
        <v>1</v>
      </c>
      <c r="AE590" s="5" t="n">
        <v>4.467</v>
      </c>
      <c r="AF590" s="5" t="n">
        <v>0.879</v>
      </c>
      <c r="AG590" s="5" t="n">
        <v>0</v>
      </c>
      <c r="AH590" s="5" t="n">
        <v>4.467</v>
      </c>
      <c r="AI590" s="5" t="n">
        <v>0</v>
      </c>
      <c r="AJ590" s="5" t="n">
        <v>1</v>
      </c>
      <c r="AK590" s="5" t="n">
        <v>11.001</v>
      </c>
      <c r="AL590" s="5" t="n">
        <v>5.4</v>
      </c>
      <c r="AM590" s="5" t="n">
        <v>0</v>
      </c>
      <c r="AN590" s="5" t="n">
        <v>11.827</v>
      </c>
      <c r="AO590" s="5" t="n">
        <v>0.075</v>
      </c>
      <c r="AP590" s="5" t="n">
        <v>1</v>
      </c>
      <c r="AQ590" s="5" t="n">
        <v>0.676</v>
      </c>
      <c r="AR590" s="5" t="n">
        <v>0.124</v>
      </c>
      <c r="AS590" s="5" t="n">
        <v>-0.287</v>
      </c>
      <c r="AT590" s="5" t="n">
        <v>0.418</v>
      </c>
      <c r="AU590" s="5" t="n">
        <v>0</v>
      </c>
      <c r="AV590" s="5" t="n">
        <v>0</v>
      </c>
      <c r="AW590" s="5" t="n">
        <v>0.619</v>
      </c>
      <c r="AX590" s="5" t="n">
        <v>0.12</v>
      </c>
      <c r="AY590" s="5" t="n">
        <v>0.012</v>
      </c>
      <c r="AZ590" s="5" t="n">
        <v>0.678</v>
      </c>
      <c r="BA590" s="5" t="n">
        <v>0.075</v>
      </c>
      <c r="BB590" s="5" t="n">
        <v>1</v>
      </c>
      <c r="BC590" s="5" t="n">
        <v>0.434</v>
      </c>
      <c r="BD590" s="5" t="n">
        <v>0.112</v>
      </c>
      <c r="BE590" s="5" t="n">
        <v>0.004</v>
      </c>
      <c r="BF590" s="5" t="n">
        <v>0.471</v>
      </c>
      <c r="BG590" s="5" t="n">
        <v>0.075</v>
      </c>
      <c r="BH590" s="5" t="n">
        <v>1</v>
      </c>
      <c r="BI590" s="5" t="n">
        <v>0.477</v>
      </c>
      <c r="BJ590" s="5" t="n">
        <v>0.105</v>
      </c>
      <c r="BK590" s="5" t="n">
        <v>0.008</v>
      </c>
      <c r="BL590" s="5" t="n">
        <v>0.521</v>
      </c>
      <c r="BM590" s="5" t="n">
        <v>0.075</v>
      </c>
      <c r="BN590" s="5" t="n">
        <v>1</v>
      </c>
      <c r="BO590" s="5" t="n">
        <v>0</v>
      </c>
      <c r="BP590" s="5" t="n">
        <v>-0.016</v>
      </c>
      <c r="BQ590" s="5" t="n">
        <v>0.137</v>
      </c>
      <c r="BR590" s="5" t="n">
        <v>0</v>
      </c>
      <c r="BS590" s="5" t="n">
        <v>0.833</v>
      </c>
      <c r="BT590" s="5" t="n">
        <v>0</v>
      </c>
      <c r="BU590" s="5" t="n">
        <v>-0.016</v>
      </c>
      <c r="BV590" s="5" t="n">
        <v>0.107</v>
      </c>
      <c r="BW590" s="5" t="n">
        <v>0</v>
      </c>
      <c r="BX590" s="5" t="n">
        <v>0.833</v>
      </c>
      <c r="BY590" s="5" t="n">
        <v>11.787</v>
      </c>
      <c r="BZ590" s="5" t="n">
        <v>0</v>
      </c>
      <c r="CA590" s="5" t="n">
        <v>11.787</v>
      </c>
      <c r="CB590" s="5" t="n">
        <v>0</v>
      </c>
      <c r="CC590" s="5" t="n">
        <v>78.125</v>
      </c>
      <c r="CD590" s="5" t="n">
        <v>7.95</v>
      </c>
      <c r="CE590" s="5" t="n">
        <v>67.154</v>
      </c>
      <c r="CF590" s="5" t="n">
        <v>156.175</v>
      </c>
      <c r="CG590" s="5" t="n">
        <v>0.075</v>
      </c>
      <c r="CH590" s="5" t="n">
        <v>1</v>
      </c>
      <c r="CI590" s="5" t="n">
        <v>0</v>
      </c>
      <c r="CJ590" s="5" t="n">
        <v>0</v>
      </c>
      <c r="CK590" s="5" t="n">
        <v>0</v>
      </c>
      <c r="CL590" s="5" t="n">
        <v>0</v>
      </c>
      <c r="CM590" s="5" t="n">
        <v>0</v>
      </c>
      <c r="CN590" s="5" t="n">
        <v>0</v>
      </c>
      <c r="CO590" s="5" t="n">
        <v>0</v>
      </c>
      <c r="CP590" s="5" t="n">
        <v>1</v>
      </c>
      <c r="CQ590" s="5" t="n">
        <v>1.198</v>
      </c>
      <c r="CR590" s="5" t="n">
        <v>0</v>
      </c>
      <c r="CS590" s="5" t="n">
        <v>4.578</v>
      </c>
      <c r="CT590" s="5" t="n">
        <v>4.753</v>
      </c>
      <c r="CU590" s="5" t="n">
        <v>15.629</v>
      </c>
    </row>
    <row r="591">
      <c r="A591" s="5" t="inlineStr">
        <is>
          <t>NGA2022</t>
        </is>
      </c>
      <c r="B591" s="5" t="inlineStr">
        <is>
          <t>NGA</t>
        </is>
      </c>
      <c r="C591" s="5" t="inlineStr">
        <is>
          <t>NGA</t>
        </is>
      </c>
      <c r="D591" s="5" t="inlineStr">
        <is>
          <t>Nigeria</t>
        </is>
      </c>
      <c r="E591" s="5" t="n">
        <v>2022</v>
      </c>
      <c r="F591" s="5" t="n">
        <v>0.075</v>
      </c>
      <c r="G591" s="5" t="n">
        <v>1.911</v>
      </c>
      <c r="H591" s="5" t="n">
        <v>0.617</v>
      </c>
      <c r="I591" s="5" t="n">
        <v>0</v>
      </c>
      <c r="J591" s="5" t="n">
        <v>1.911</v>
      </c>
      <c r="K591" s="5" t="n">
        <v>0</v>
      </c>
      <c r="L591" s="5" t="n">
        <v>1</v>
      </c>
      <c r="M591" s="5" t="n">
        <v>3.146</v>
      </c>
      <c r="N591" s="5" t="n">
        <v>1.852</v>
      </c>
      <c r="O591" s="5" t="n">
        <v>0</v>
      </c>
      <c r="P591" s="5" t="n">
        <v>3.146</v>
      </c>
      <c r="Q591" s="5" t="n">
        <v>0</v>
      </c>
      <c r="R591" s="5" t="n">
        <v>1</v>
      </c>
      <c r="S591" s="5" t="n">
        <v>4.998</v>
      </c>
      <c r="T591" s="5" t="n">
        <v>3.704</v>
      </c>
      <c r="U591" s="5" t="n">
        <v>0.028</v>
      </c>
      <c r="V591" s="5" t="n">
        <v>5.373</v>
      </c>
      <c r="W591" s="5" t="n">
        <v>0.075</v>
      </c>
      <c r="X591" s="5" t="n">
        <v>1</v>
      </c>
      <c r="Y591" s="5" t="n">
        <v>4.351</v>
      </c>
      <c r="Z591" s="5" t="n">
        <v>0.456</v>
      </c>
      <c r="AA591" s="5" t="n">
        <v>0</v>
      </c>
      <c r="AB591" s="5" t="n">
        <v>4.351</v>
      </c>
      <c r="AC591" s="5" t="n">
        <v>0</v>
      </c>
      <c r="AD591" s="5" t="n">
        <v>1</v>
      </c>
      <c r="AE591" s="5" t="n">
        <v>4.649</v>
      </c>
      <c r="AF591" s="5" t="n">
        <v>0.862</v>
      </c>
      <c r="AG591" s="5" t="n">
        <v>0</v>
      </c>
      <c r="AH591" s="5" t="n">
        <v>4.649</v>
      </c>
      <c r="AI591" s="5" t="n">
        <v>0</v>
      </c>
      <c r="AJ591" s="5" t="n">
        <v>1</v>
      </c>
      <c r="AK591" s="5" t="n">
        <v>11.681</v>
      </c>
      <c r="AL591" s="5" t="n">
        <v>5.578</v>
      </c>
      <c r="AM591" s="5" t="n">
        <v>0</v>
      </c>
      <c r="AN591" s="5" t="n">
        <v>12.558</v>
      </c>
      <c r="AO591" s="5" t="n">
        <v>0.075</v>
      </c>
      <c r="AP591" s="5" t="n">
        <v>1</v>
      </c>
      <c r="AQ591" s="5" t="n">
        <v>0.979</v>
      </c>
      <c r="AR591" s="5" t="n">
        <v>0.14</v>
      </c>
      <c r="AS591" s="5" t="n">
        <v>-0.573</v>
      </c>
      <c r="AT591" s="5" t="n">
        <v>0.436</v>
      </c>
      <c r="AU591" s="5" t="n">
        <v>0</v>
      </c>
      <c r="AV591" s="5" t="n">
        <v>0</v>
      </c>
      <c r="AW591" s="5" t="n">
        <v>1.078</v>
      </c>
      <c r="AX591" s="5" t="n">
        <v>0.14</v>
      </c>
      <c r="AY591" s="5" t="n">
        <v>0.018</v>
      </c>
      <c r="AZ591" s="5" t="n">
        <v>1.178</v>
      </c>
      <c r="BA591" s="5" t="n">
        <v>0.075</v>
      </c>
      <c r="BB591" s="5" t="n">
        <v>1</v>
      </c>
      <c r="BC591" s="5" t="n">
        <v>0.526</v>
      </c>
      <c r="BD591" s="5" t="n">
        <v>0.108</v>
      </c>
      <c r="BE591" s="5" t="n">
        <v>0.005</v>
      </c>
      <c r="BF591" s="5" t="n">
        <v>0.571</v>
      </c>
      <c r="BG591" s="5" t="n">
        <v>0.075</v>
      </c>
      <c r="BH591" s="5" t="n">
        <v>1</v>
      </c>
      <c r="BI591" s="5" t="n">
        <v>0.801</v>
      </c>
      <c r="BJ591" s="5" t="n">
        <v>0.156</v>
      </c>
      <c r="BK591" s="5" t="n">
        <v>0.008</v>
      </c>
      <c r="BL591" s="5" t="n">
        <v>0.87</v>
      </c>
      <c r="BM591" s="5" t="n">
        <v>0.075</v>
      </c>
      <c r="BN591" s="5" t="n">
        <v>1</v>
      </c>
      <c r="BO591" s="5" t="n">
        <v>0</v>
      </c>
      <c r="BP591" s="5" t="n">
        <v>-0.016</v>
      </c>
      <c r="BQ591" s="5" t="n">
        <v>0.127</v>
      </c>
      <c r="BR591" s="5" t="n">
        <v>0</v>
      </c>
      <c r="BS591" s="5" t="n">
        <v>0.833</v>
      </c>
      <c r="BT591" s="5" t="n">
        <v>0</v>
      </c>
      <c r="BU591" s="5" t="n">
        <v>-0.016</v>
      </c>
      <c r="BV591" s="5" t="n">
        <v>0.119</v>
      </c>
      <c r="BW591" s="5" t="n">
        <v>0</v>
      </c>
      <c r="BX591" s="5" t="n">
        <v>0.833</v>
      </c>
      <c r="BY591" s="5" t="n">
        <v>12.729</v>
      </c>
      <c r="BZ591" s="5" t="n">
        <v>0</v>
      </c>
      <c r="CA591" s="5" t="n">
        <v>12.729</v>
      </c>
      <c r="CB591" s="5" t="n">
        <v>0</v>
      </c>
      <c r="CC591" s="5" t="n">
        <v>97.90000000000001</v>
      </c>
      <c r="CD591" s="5" t="n">
        <v>7.95</v>
      </c>
      <c r="CE591" s="5" t="n">
        <v>170.073</v>
      </c>
      <c r="CF591" s="5" t="n">
        <v>288.071</v>
      </c>
      <c r="CG591" s="5" t="n">
        <v>0.075</v>
      </c>
      <c r="CH591" s="5" t="n">
        <v>1</v>
      </c>
      <c r="CI591" s="5" t="n">
        <v>0</v>
      </c>
      <c r="CJ591" s="5" t="n">
        <v>0</v>
      </c>
      <c r="CK591" s="5" t="n">
        <v>0</v>
      </c>
      <c r="CL591" s="5" t="n">
        <v>0</v>
      </c>
      <c r="CM591" s="5" t="n">
        <v>0</v>
      </c>
      <c r="CN591" s="5" t="n">
        <v>0</v>
      </c>
      <c r="CO591" s="5" t="n">
        <v>0</v>
      </c>
      <c r="CP591" s="5" t="n">
        <v>1</v>
      </c>
      <c r="CQ591" s="5" t="n">
        <v>1.294</v>
      </c>
      <c r="CR591" s="5" t="n">
        <v>0</v>
      </c>
      <c r="CS591" s="5" t="n">
        <v>4.944</v>
      </c>
      <c r="CT591" s="5" t="n">
        <v>10.485</v>
      </c>
      <c r="CU591" s="5" t="n">
        <v>29.559</v>
      </c>
    </row>
    <row r="592">
      <c r="A592" s="5" t="inlineStr">
        <is>
          <t>NGA2023</t>
        </is>
      </c>
      <c r="B592" s="5" t="inlineStr">
        <is>
          <t>NGA</t>
        </is>
      </c>
      <c r="C592" s="5" t="inlineStr">
        <is>
          <t>NGA</t>
        </is>
      </c>
      <c r="D592" s="5" t="inlineStr">
        <is>
          <t>Nigeria</t>
        </is>
      </c>
      <c r="E592" s="5" t="n">
        <v>2023</v>
      </c>
      <c r="F592" s="5" t="n">
        <v>0.075</v>
      </c>
      <c r="G592" s="5" t="n">
        <v>1.99</v>
      </c>
      <c r="H592" s="5" t="n">
        <v>0.643</v>
      </c>
      <c r="I592" s="5" t="n">
        <v>0</v>
      </c>
      <c r="J592" s="5" t="n">
        <v>1.99</v>
      </c>
      <c r="K592" s="5" t="n">
        <v>0</v>
      </c>
      <c r="L592" s="5" t="n">
        <v>1</v>
      </c>
      <c r="M592" s="5" t="n">
        <v>3.276</v>
      </c>
      <c r="N592" s="5" t="n">
        <v>1.928</v>
      </c>
      <c r="O592" s="5" t="n">
        <v>0</v>
      </c>
      <c r="P592" s="5" t="n">
        <v>3.276</v>
      </c>
      <c r="Q592" s="5" t="n">
        <v>0</v>
      </c>
      <c r="R592" s="5" t="n">
        <v>1</v>
      </c>
      <c r="S592" s="5" t="n">
        <v>5.205</v>
      </c>
      <c r="T592" s="5" t="n">
        <v>3.857</v>
      </c>
      <c r="U592" s="5" t="n">
        <v>0.043</v>
      </c>
      <c r="V592" s="5" t="n">
        <v>5.595</v>
      </c>
      <c r="W592" s="5" t="n">
        <v>0.075</v>
      </c>
      <c r="X592" s="5" t="n">
        <v>1</v>
      </c>
      <c r="Y592" s="5" t="n">
        <v>4.402</v>
      </c>
      <c r="Z592" s="5" t="n">
        <v>0.493</v>
      </c>
      <c r="AA592" s="5" t="n">
        <v>0</v>
      </c>
      <c r="AB592" s="5" t="n">
        <v>4.402</v>
      </c>
      <c r="AC592" s="5" t="n">
        <v>0</v>
      </c>
      <c r="AD592" s="5" t="n">
        <v>1</v>
      </c>
      <c r="AE592" s="5" t="n">
        <v>4.751</v>
      </c>
      <c r="AF592" s="5" t="n">
        <v>0.946</v>
      </c>
      <c r="AG592" s="5" t="n">
        <v>0</v>
      </c>
      <c r="AH592" s="5" t="n">
        <v>4.751</v>
      </c>
      <c r="AI592" s="5" t="n">
        <v>0</v>
      </c>
      <c r="AJ592" s="5" t="n">
        <v>1</v>
      </c>
      <c r="AK592" s="5" t="n">
        <v>12.061</v>
      </c>
      <c r="AL592" s="5" t="n">
        <v>5.975</v>
      </c>
      <c r="AM592" s="5" t="n">
        <v>0</v>
      </c>
      <c r="AN592" s="5" t="n">
        <v>12.965</v>
      </c>
      <c r="AO592" s="5" t="n">
        <v>0.075</v>
      </c>
      <c r="AP592" s="5" t="n">
        <v>1</v>
      </c>
      <c r="AQ592" s="5" t="n">
        <v>0.835</v>
      </c>
      <c r="AR592" s="5" t="n">
        <v>0.141</v>
      </c>
      <c r="AS592" s="5" t="n">
        <v>-0.183</v>
      </c>
      <c r="AT592" s="5" t="n">
        <v>0.702</v>
      </c>
      <c r="AU592" s="5" t="n">
        <v>0</v>
      </c>
      <c r="AV592" s="5" t="n">
        <v>0</v>
      </c>
      <c r="AW592" s="5" t="n">
        <v>0.864</v>
      </c>
      <c r="AX592" s="5" t="n">
        <v>0.148</v>
      </c>
      <c r="AY592" s="5" t="n">
        <v>0.014</v>
      </c>
      <c r="AZ592" s="5" t="n">
        <v>0.945</v>
      </c>
      <c r="BA592" s="5" t="n">
        <v>0.075</v>
      </c>
      <c r="BB592" s="5" t="n">
        <v>1</v>
      </c>
      <c r="BC592" s="5" t="n">
        <v>0.42</v>
      </c>
      <c r="BD592" s="5" t="n">
        <v>0.101</v>
      </c>
      <c r="BE592" s="5" t="n">
        <v>0.004</v>
      </c>
      <c r="BF592" s="5" t="n">
        <v>0.456</v>
      </c>
      <c r="BG592" s="5" t="n">
        <v>0.075</v>
      </c>
      <c r="BH592" s="5" t="n">
        <v>1</v>
      </c>
      <c r="BI592" s="5" t="n">
        <v>0.6830000000000001</v>
      </c>
      <c r="BJ592" s="5" t="n">
        <v>0.149</v>
      </c>
      <c r="BK592" s="5" t="n">
        <v>0.008</v>
      </c>
      <c r="BL592" s="5" t="n">
        <v>0.742</v>
      </c>
      <c r="BM592" s="5" t="n">
        <v>0.075</v>
      </c>
      <c r="BN592" s="5" t="n">
        <v>1</v>
      </c>
      <c r="BO592" s="5" t="n">
        <v>0</v>
      </c>
      <c r="BP592" s="5" t="n">
        <v>-0.016</v>
      </c>
      <c r="BQ592" s="5" t="n">
        <v>0.08400000000000001</v>
      </c>
      <c r="BR592" s="5" t="n">
        <v>0</v>
      </c>
      <c r="BS592" s="5" t="n">
        <v>0.833</v>
      </c>
      <c r="BT592" s="5" t="n">
        <v>0</v>
      </c>
      <c r="BU592" s="5" t="n">
        <v>-0.016</v>
      </c>
      <c r="BV592" s="5" t="n">
        <v>0.078</v>
      </c>
      <c r="BW592" s="5" t="n">
        <v>0</v>
      </c>
      <c r="BX592" s="5" t="n">
        <v>0.833</v>
      </c>
      <c r="BY592" s="5" t="n">
        <v>13.254</v>
      </c>
      <c r="BZ592" s="5" t="n">
        <v>0</v>
      </c>
      <c r="CA592" s="5" t="n">
        <v>13.254</v>
      </c>
      <c r="CB592" s="5" t="n">
        <v>0</v>
      </c>
      <c r="CC592" s="5" t="n">
        <v>83.248</v>
      </c>
      <c r="CD592" s="5" t="n">
        <v>7.95</v>
      </c>
      <c r="CE592" s="5" t="n">
        <v>200.582</v>
      </c>
      <c r="CF592" s="5" t="n">
        <v>305.117</v>
      </c>
      <c r="CG592" s="5" t="n">
        <v>0.075</v>
      </c>
      <c r="CH592" s="5" t="n">
        <v>1</v>
      </c>
      <c r="CI592" s="5" t="n">
        <v>0</v>
      </c>
      <c r="CJ592" s="5" t="n">
        <v>0</v>
      </c>
      <c r="CK592" s="5" t="n">
        <v>0</v>
      </c>
      <c r="CL592" s="5" t="n">
        <v>0</v>
      </c>
      <c r="CM592" s="5" t="n">
        <v>0</v>
      </c>
      <c r="CN592" s="5" t="n">
        <v>0</v>
      </c>
      <c r="CO592" s="5" t="n">
        <v>0</v>
      </c>
      <c r="CP592" s="5" t="n">
        <v>1</v>
      </c>
      <c r="CQ592" s="5" t="n">
        <v>1.348</v>
      </c>
      <c r="CR592" s="5" t="n">
        <v>0</v>
      </c>
      <c r="CS592" s="5" t="n">
        <v>5.148</v>
      </c>
      <c r="CT592" s="5" t="n">
        <v>4.861</v>
      </c>
      <c r="CU592" s="5" t="n">
        <v>10.761</v>
      </c>
    </row>
    <row r="593">
      <c r="A593" s="5" t="inlineStr">
        <is>
          <t>NGA2024</t>
        </is>
      </c>
      <c r="B593" s="5" t="inlineStr">
        <is>
          <t>NGA</t>
        </is>
      </c>
      <c r="C593" s="5" t="inlineStr">
        <is>
          <t>NGA</t>
        </is>
      </c>
      <c r="D593" s="5" t="inlineStr">
        <is>
          <t>Nigeria</t>
        </is>
      </c>
      <c r="E593" s="5" t="n">
        <v>2024</v>
      </c>
      <c r="F593" s="5" t="n">
        <v>0.075</v>
      </c>
      <c r="G593" s="5" t="n">
        <v>2.049</v>
      </c>
      <c r="H593" s="5" t="n">
        <v>0.662</v>
      </c>
      <c r="I593" s="5" t="n">
        <v>0</v>
      </c>
      <c r="J593" s="5" t="n">
        <v>2.049</v>
      </c>
      <c r="K593" s="5" t="n">
        <v>0</v>
      </c>
      <c r="L593" s="5" t="n">
        <v>1</v>
      </c>
      <c r="M593" s="5" t="n">
        <v>3.373</v>
      </c>
      <c r="N593" s="5" t="n">
        <v>1.985</v>
      </c>
      <c r="O593" s="5" t="n">
        <v>0</v>
      </c>
      <c r="P593" s="5" t="n">
        <v>3.373</v>
      </c>
      <c r="Q593" s="5" t="n">
        <v>0</v>
      </c>
      <c r="R593" s="5" t="n">
        <v>1</v>
      </c>
      <c r="S593" s="5" t="n">
        <v>5.358</v>
      </c>
      <c r="T593" s="5" t="n">
        <v>3.971</v>
      </c>
      <c r="U593" s="5" t="n">
        <v>0.055</v>
      </c>
      <c r="V593" s="5" t="n">
        <v>5.76</v>
      </c>
      <c r="W593" s="5" t="n">
        <v>0.075</v>
      </c>
      <c r="X593" s="5" t="n">
        <v>1</v>
      </c>
      <c r="Y593" s="5" t="n">
        <v>4.62</v>
      </c>
      <c r="Z593" s="5" t="n">
        <v>0.583</v>
      </c>
      <c r="AA593" s="5" t="n">
        <v>0</v>
      </c>
      <c r="AB593" s="5" t="n">
        <v>4.62</v>
      </c>
      <c r="AC593" s="5" t="n">
        <v>0</v>
      </c>
      <c r="AD593" s="5" t="n">
        <v>1</v>
      </c>
      <c r="AE593" s="5" t="n">
        <v>5.007</v>
      </c>
      <c r="AF593" s="5" t="n">
        <v>1.097</v>
      </c>
      <c r="AG593" s="5" t="n">
        <v>0</v>
      </c>
      <c r="AH593" s="5" t="n">
        <v>5.007</v>
      </c>
      <c r="AI593" s="5" t="n">
        <v>0</v>
      </c>
      <c r="AJ593" s="5" t="n">
        <v>1</v>
      </c>
      <c r="AK593" s="5" t="n">
        <v>13.449</v>
      </c>
      <c r="AL593" s="5" t="n">
        <v>6.84</v>
      </c>
      <c r="AM593" s="5" t="n">
        <v>0</v>
      </c>
      <c r="AN593" s="5" t="n">
        <v>13.449</v>
      </c>
      <c r="AO593" s="5" t="n">
        <v>0</v>
      </c>
      <c r="AP593" s="5" t="n">
        <v>1</v>
      </c>
      <c r="AQ593" s="5" t="n">
        <v>0.866</v>
      </c>
      <c r="AR593" s="5" t="n">
        <v>0.157</v>
      </c>
      <c r="AS593" s="5" t="n">
        <v>-0.274</v>
      </c>
      <c r="AT593" s="5" t="n">
        <v>0.592</v>
      </c>
      <c r="AU593" s="5" t="n">
        <v>0</v>
      </c>
      <c r="AV593" s="5" t="n">
        <v>0</v>
      </c>
      <c r="AW593" s="5" t="n">
        <v>0.877</v>
      </c>
      <c r="AX593" s="5" t="n">
        <v>0.161</v>
      </c>
      <c r="AY593" s="5" t="n">
        <v>0.013</v>
      </c>
      <c r="AZ593" s="5" t="n">
        <v>0.89</v>
      </c>
      <c r="BA593" s="5" t="n">
        <v>0</v>
      </c>
      <c r="BB593" s="5" t="n">
        <v>1</v>
      </c>
      <c r="BC593" s="5" t="n">
        <v>0.513</v>
      </c>
      <c r="BD593" s="5" t="n">
        <v>0.132</v>
      </c>
      <c r="BE593" s="5" t="n">
        <v>0.004</v>
      </c>
      <c r="BF593" s="5" t="n">
        <v>0.517</v>
      </c>
      <c r="BG593" s="5" t="n">
        <v>0</v>
      </c>
      <c r="BH593" s="5" t="n">
        <v>1</v>
      </c>
      <c r="BI593" s="5" t="n">
        <v>0.714</v>
      </c>
      <c r="BJ593" s="5" t="n">
        <v>0.157</v>
      </c>
      <c r="BK593" s="5" t="n">
        <v>0.008</v>
      </c>
      <c r="BL593" s="5" t="n">
        <v>0.722</v>
      </c>
      <c r="BM593" s="5" t="n">
        <v>0</v>
      </c>
      <c r="BN593" s="5" t="n">
        <v>1</v>
      </c>
      <c r="BO593" s="5" t="n">
        <v>0</v>
      </c>
      <c r="BP593" s="5" t="n">
        <v>-0.016</v>
      </c>
      <c r="BQ593" s="5" t="n">
        <v>0.126</v>
      </c>
      <c r="BR593" s="5" t="n">
        <v>0</v>
      </c>
      <c r="BS593" s="5" t="n">
        <v>0.833</v>
      </c>
      <c r="BT593" s="5" t="n">
        <v>0</v>
      </c>
      <c r="BU593" s="5" t="n">
        <v>-0.016</v>
      </c>
      <c r="BV593" s="5" t="n">
        <v>0.07000000000000001</v>
      </c>
      <c r="BW593" s="5" t="n">
        <v>0</v>
      </c>
      <c r="BX593" s="5" t="n">
        <v>0.833</v>
      </c>
      <c r="BY593" s="5" t="n">
        <v>13.646</v>
      </c>
      <c r="BZ593" s="5" t="n">
        <v>0</v>
      </c>
      <c r="CA593" s="5" t="n">
        <v>13.646</v>
      </c>
      <c r="CB593" s="5" t="n">
        <v>0</v>
      </c>
      <c r="CC593" s="5" t="n">
        <v>82.58799999999999</v>
      </c>
      <c r="CD593" s="5" t="n">
        <v>7.95</v>
      </c>
      <c r="CE593" s="5" t="n">
        <v>210.682</v>
      </c>
      <c r="CF593" s="5" t="n">
        <v>312.077</v>
      </c>
      <c r="CG593" s="5" t="n">
        <v>0.075</v>
      </c>
      <c r="CH593" s="5" t="n">
        <v>1</v>
      </c>
      <c r="CI593" s="5" t="n">
        <v>0</v>
      </c>
      <c r="CJ593" s="5" t="n">
        <v>0</v>
      </c>
      <c r="CK593" s="5" t="n">
        <v>0</v>
      </c>
      <c r="CL593" s="5" t="n">
        <v>0</v>
      </c>
      <c r="CM593" s="5" t="n">
        <v>0</v>
      </c>
      <c r="CN593" s="5" t="n">
        <v>0</v>
      </c>
      <c r="CO593" s="5" t="n">
        <v>0</v>
      </c>
      <c r="CP593" s="5" t="n">
        <v>1</v>
      </c>
      <c r="CQ593" s="5" t="n">
        <v>1.387</v>
      </c>
      <c r="CR593" s="5" t="n">
        <v>0</v>
      </c>
      <c r="CS593" s="5" t="n">
        <v>5.3</v>
      </c>
      <c r="CT593" s="5" t="n">
        <v>4.251</v>
      </c>
      <c r="CU593" s="5" t="n">
        <v>9.098000000000001</v>
      </c>
    </row>
    <row r="594">
      <c r="A594" s="5" t="inlineStr">
        <is>
          <t>MKD2021</t>
        </is>
      </c>
      <c r="B594" s="5" t="inlineStr">
        <is>
          <t>MKD</t>
        </is>
      </c>
      <c r="C594" s="5" t="inlineStr">
        <is>
          <t>MKD</t>
        </is>
      </c>
      <c r="D594" s="5" t="inlineStr">
        <is>
          <t>North Macedonia</t>
        </is>
      </c>
      <c r="E594" s="5" t="n">
        <v>2021</v>
      </c>
      <c r="F594" s="5" t="n">
        <v>0.18</v>
      </c>
      <c r="G594" s="5" t="n">
        <v>2.429</v>
      </c>
      <c r="H594" s="5" t="n">
        <v>0.671</v>
      </c>
      <c r="I594" s="5" t="n">
        <v>0</v>
      </c>
      <c r="J594" s="5" t="n">
        <v>2.429</v>
      </c>
      <c r="K594" s="5" t="n">
        <v>0</v>
      </c>
      <c r="L594" s="5" t="n">
        <v>1</v>
      </c>
      <c r="M594" s="5" t="n">
        <v>3.793</v>
      </c>
      <c r="N594" s="5" t="n">
        <v>2.014</v>
      </c>
      <c r="O594" s="5" t="n">
        <v>0</v>
      </c>
      <c r="P594" s="5" t="n">
        <v>3.793</v>
      </c>
      <c r="Q594" s="5" t="n">
        <v>0</v>
      </c>
      <c r="R594" s="5" t="n">
        <v>1</v>
      </c>
      <c r="S594" s="5" t="n">
        <v>5.785</v>
      </c>
      <c r="T594" s="5" t="n">
        <v>4.027</v>
      </c>
      <c r="U594" s="5" t="n">
        <v>0</v>
      </c>
      <c r="V594" s="5" t="n">
        <v>6.826</v>
      </c>
      <c r="W594" s="5" t="n">
        <v>0.18</v>
      </c>
      <c r="X594" s="5" t="n">
        <v>1</v>
      </c>
      <c r="Y594" s="5" t="n">
        <v>12.393</v>
      </c>
      <c r="Z594" s="5" t="n">
        <v>1.369</v>
      </c>
      <c r="AA594" s="5" t="n">
        <v>-3.434</v>
      </c>
      <c r="AB594" s="5" t="n">
        <v>8.959</v>
      </c>
      <c r="AC594" s="5" t="n">
        <v>0</v>
      </c>
      <c r="AD594" s="5" t="n">
        <v>1</v>
      </c>
      <c r="AE594" s="5" t="n">
        <v>12.35</v>
      </c>
      <c r="AF594" s="5" t="n">
        <v>2.43</v>
      </c>
      <c r="AG594" s="5" t="n">
        <v>-3.391</v>
      </c>
      <c r="AH594" s="5" t="n">
        <v>8.959</v>
      </c>
      <c r="AI594" s="5" t="n">
        <v>0</v>
      </c>
      <c r="AJ594" s="5" t="n">
        <v>1</v>
      </c>
      <c r="AK594" s="5" t="n">
        <v>18.855</v>
      </c>
      <c r="AL594" s="5" t="n">
        <v>9.254</v>
      </c>
      <c r="AM594" s="5" t="n">
        <v>-4.125</v>
      </c>
      <c r="AN594" s="5" t="n">
        <v>17.38</v>
      </c>
      <c r="AO594" s="5" t="n">
        <v>0.18</v>
      </c>
      <c r="AP594" s="5" t="n">
        <v>1</v>
      </c>
      <c r="AQ594" s="5" t="n">
        <v>0.619</v>
      </c>
      <c r="AR594" s="5" t="n">
        <v>0.114</v>
      </c>
      <c r="AS594" s="5" t="n">
        <v>0.511</v>
      </c>
      <c r="AT594" s="5" t="n">
        <v>1.333</v>
      </c>
      <c r="AU594" s="5" t="n">
        <v>0.18</v>
      </c>
      <c r="AV594" s="5" t="n">
        <v>1</v>
      </c>
      <c r="AW594" s="5" t="n">
        <v>0.599</v>
      </c>
      <c r="AX594" s="5" t="n">
        <v>0.114</v>
      </c>
      <c r="AY594" s="5" t="n">
        <v>0.385</v>
      </c>
      <c r="AZ594" s="5" t="n">
        <v>1.162</v>
      </c>
      <c r="BA594" s="5" t="n">
        <v>0.18</v>
      </c>
      <c r="BB594" s="5" t="n">
        <v>1</v>
      </c>
      <c r="BC594" s="5" t="n">
        <v>0.439</v>
      </c>
      <c r="BD594" s="5" t="n">
        <v>0.114</v>
      </c>
      <c r="BE594" s="5" t="n">
        <v>0.145</v>
      </c>
      <c r="BF594" s="5" t="n">
        <v>0.6889999999999999</v>
      </c>
      <c r="BG594" s="5" t="n">
        <v>0.18</v>
      </c>
      <c r="BH594" s="5" t="n">
        <v>1</v>
      </c>
      <c r="BI594" s="5" t="n">
        <v>0.505</v>
      </c>
      <c r="BJ594" s="5" t="n">
        <v>0.114</v>
      </c>
      <c r="BK594" s="5" t="n">
        <v>0</v>
      </c>
      <c r="BL594" s="5" t="n">
        <v>0.596</v>
      </c>
      <c r="BM594" s="5" t="n">
        <v>0.18</v>
      </c>
      <c r="BN594" s="5" t="n">
        <v>1</v>
      </c>
      <c r="BO594" s="5" t="n">
        <v>0</v>
      </c>
      <c r="BP594" s="5" t="n">
        <v>0</v>
      </c>
      <c r="BQ594" s="5" t="n">
        <v>0.099</v>
      </c>
      <c r="BR594" s="5" t="n">
        <v>0</v>
      </c>
      <c r="BS594" s="5" t="n">
        <v>1</v>
      </c>
      <c r="BT594" s="5" t="n">
        <v>0</v>
      </c>
      <c r="BU594" s="5" t="n">
        <v>0</v>
      </c>
      <c r="BV594" s="5" t="n">
        <v>0.099</v>
      </c>
      <c r="BW594" s="5" t="n">
        <v>0.18</v>
      </c>
      <c r="BX594" s="5" t="n">
        <v>0.833</v>
      </c>
      <c r="BY594" s="5" t="n">
        <v>11.787</v>
      </c>
      <c r="BZ594" s="5" t="n">
        <v>0</v>
      </c>
      <c r="CA594" s="5" t="n">
        <v>11.787</v>
      </c>
      <c r="CB594" s="5" t="n">
        <v>0</v>
      </c>
      <c r="CC594" s="5" t="n">
        <v>78.125</v>
      </c>
      <c r="CD594" s="5" t="n">
        <v>7.95</v>
      </c>
      <c r="CE594" s="5" t="n">
        <v>71.649</v>
      </c>
      <c r="CF594" s="5" t="n">
        <v>176.733</v>
      </c>
      <c r="CG594" s="5" t="n">
        <v>0.18</v>
      </c>
      <c r="CH594" s="5" t="n">
        <v>1</v>
      </c>
      <c r="CI594" s="5" t="n">
        <v>0</v>
      </c>
      <c r="CJ594" s="5" t="n">
        <v>0</v>
      </c>
      <c r="CK594" s="5" t="n">
        <v>0</v>
      </c>
      <c r="CL594" s="5" t="n">
        <v>0</v>
      </c>
      <c r="CM594" s="5" t="n">
        <v>0</v>
      </c>
      <c r="CN594" s="5" t="n">
        <v>0</v>
      </c>
      <c r="CO594" s="5" t="n">
        <v>0</v>
      </c>
      <c r="CP594" s="5" t="n">
        <v>0.826</v>
      </c>
      <c r="CQ594" s="5" t="n">
        <v>1.198</v>
      </c>
      <c r="CR594" s="5" t="n">
        <v>0</v>
      </c>
      <c r="CS594" s="5" t="n">
        <v>4.776</v>
      </c>
      <c r="CT594" s="5" t="n">
        <v>4.41</v>
      </c>
      <c r="CU594" s="5" t="n">
        <v>7.753</v>
      </c>
    </row>
    <row r="595">
      <c r="A595" s="5" t="inlineStr">
        <is>
          <t>MKD2022</t>
        </is>
      </c>
      <c r="B595" s="5" t="inlineStr">
        <is>
          <t>MKD</t>
        </is>
      </c>
      <c r="C595" s="5" t="inlineStr">
        <is>
          <t>MKD</t>
        </is>
      </c>
      <c r="D595" s="5" t="inlineStr">
        <is>
          <t>North Macedonia</t>
        </is>
      </c>
      <c r="E595" s="5" t="n">
        <v>2022</v>
      </c>
      <c r="F595" s="5" t="n">
        <v>0.18</v>
      </c>
      <c r="G595" s="5" t="n">
        <v>2.758</v>
      </c>
      <c r="H595" s="5" t="n">
        <v>0.719</v>
      </c>
      <c r="I595" s="5" t="n">
        <v>0</v>
      </c>
      <c r="J595" s="5" t="n">
        <v>2.758</v>
      </c>
      <c r="K595" s="5" t="n">
        <v>0</v>
      </c>
      <c r="L595" s="5" t="n">
        <v>1</v>
      </c>
      <c r="M595" s="5" t="n">
        <v>4.234</v>
      </c>
      <c r="N595" s="5" t="n">
        <v>2.156</v>
      </c>
      <c r="O595" s="5" t="n">
        <v>0</v>
      </c>
      <c r="P595" s="5" t="n">
        <v>4.234</v>
      </c>
      <c r="Q595" s="5" t="n">
        <v>0</v>
      </c>
      <c r="R595" s="5" t="n">
        <v>1</v>
      </c>
      <c r="S595" s="5" t="n">
        <v>6.351</v>
      </c>
      <c r="T595" s="5" t="n">
        <v>4.311</v>
      </c>
      <c r="U595" s="5" t="n">
        <v>0.08500000000000001</v>
      </c>
      <c r="V595" s="5" t="n">
        <v>7.495</v>
      </c>
      <c r="W595" s="5" t="n">
        <v>0.18</v>
      </c>
      <c r="X595" s="5" t="n">
        <v>1</v>
      </c>
      <c r="Y595" s="5" t="n">
        <v>34.673</v>
      </c>
      <c r="Z595" s="5" t="n">
        <v>3.637</v>
      </c>
      <c r="AA595" s="5" t="n">
        <v>-2.016</v>
      </c>
      <c r="AB595" s="5" t="n">
        <v>32.656</v>
      </c>
      <c r="AC595" s="5" t="n">
        <v>0</v>
      </c>
      <c r="AD595" s="5" t="n">
        <v>1</v>
      </c>
      <c r="AE595" s="5" t="n">
        <v>34.721</v>
      </c>
      <c r="AF595" s="5" t="n">
        <v>6.437</v>
      </c>
      <c r="AG595" s="5" t="n">
        <v>-2.064</v>
      </c>
      <c r="AH595" s="5" t="n">
        <v>32.656</v>
      </c>
      <c r="AI595" s="5" t="n">
        <v>0</v>
      </c>
      <c r="AJ595" s="5" t="n">
        <v>1</v>
      </c>
      <c r="AK595" s="5" t="n">
        <v>41.774</v>
      </c>
      <c r="AL595" s="5" t="n">
        <v>19.949</v>
      </c>
      <c r="AM595" s="5" t="n">
        <v>-9.423</v>
      </c>
      <c r="AN595" s="5" t="n">
        <v>38.174</v>
      </c>
      <c r="AO595" s="5" t="n">
        <v>0.18</v>
      </c>
      <c r="AP595" s="5" t="n">
        <v>1</v>
      </c>
      <c r="AQ595" s="5" t="n">
        <v>0.861</v>
      </c>
      <c r="AR595" s="5" t="n">
        <v>0.123</v>
      </c>
      <c r="AS595" s="5" t="n">
        <v>0.414</v>
      </c>
      <c r="AT595" s="5" t="n">
        <v>1.505</v>
      </c>
      <c r="AU595" s="5" t="n">
        <v>0.18</v>
      </c>
      <c r="AV595" s="5" t="n">
        <v>1</v>
      </c>
      <c r="AW595" s="5" t="n">
        <v>0.986</v>
      </c>
      <c r="AX595" s="5" t="n">
        <v>0.123</v>
      </c>
      <c r="AY595" s="5" t="n">
        <v>0.295</v>
      </c>
      <c r="AZ595" s="5" t="n">
        <v>1.512</v>
      </c>
      <c r="BA595" s="5" t="n">
        <v>0.18</v>
      </c>
      <c r="BB595" s="5" t="n">
        <v>1</v>
      </c>
      <c r="BC595" s="5" t="n">
        <v>0.598</v>
      </c>
      <c r="BD595" s="5" t="n">
        <v>0.123</v>
      </c>
      <c r="BE595" s="5" t="n">
        <v>0.114</v>
      </c>
      <c r="BF595" s="5" t="n">
        <v>0.84</v>
      </c>
      <c r="BG595" s="5" t="n">
        <v>0.18</v>
      </c>
      <c r="BH595" s="5" t="n">
        <v>1</v>
      </c>
      <c r="BI595" s="5" t="n">
        <v>0.612</v>
      </c>
      <c r="BJ595" s="5" t="n">
        <v>0.123</v>
      </c>
      <c r="BK595" s="5" t="n">
        <v>0.008</v>
      </c>
      <c r="BL595" s="5" t="n">
        <v>0.723</v>
      </c>
      <c r="BM595" s="5" t="n">
        <v>0.18</v>
      </c>
      <c r="BN595" s="5" t="n">
        <v>1</v>
      </c>
      <c r="BO595" s="5" t="n">
        <v>0</v>
      </c>
      <c r="BP595" s="5" t="n">
        <v>0</v>
      </c>
      <c r="BQ595" s="5" t="n">
        <v>0.27</v>
      </c>
      <c r="BR595" s="5" t="n">
        <v>0</v>
      </c>
      <c r="BS595" s="5" t="n">
        <v>1</v>
      </c>
      <c r="BT595" s="5" t="n">
        <v>0</v>
      </c>
      <c r="BU595" s="5" t="n">
        <v>0</v>
      </c>
      <c r="BV595" s="5" t="n">
        <v>0.104</v>
      </c>
      <c r="BW595" s="5" t="n">
        <v>0.18</v>
      </c>
      <c r="BX595" s="5" t="n">
        <v>0.833</v>
      </c>
      <c r="BY595" s="5" t="n">
        <v>12.729</v>
      </c>
      <c r="BZ595" s="5" t="n">
        <v>0</v>
      </c>
      <c r="CA595" s="5" t="n">
        <v>12.729</v>
      </c>
      <c r="CB595" s="5" t="n">
        <v>0</v>
      </c>
      <c r="CC595" s="5" t="n">
        <v>97.90000000000001</v>
      </c>
      <c r="CD595" s="5" t="n">
        <v>7.95</v>
      </c>
      <c r="CE595" s="5" t="n">
        <v>99.20699999999999</v>
      </c>
      <c r="CF595" s="5" t="n">
        <v>232.586</v>
      </c>
      <c r="CG595" s="5" t="n">
        <v>0.18</v>
      </c>
      <c r="CH595" s="5" t="n">
        <v>1</v>
      </c>
      <c r="CI595" s="5" t="n">
        <v>0</v>
      </c>
      <c r="CJ595" s="5" t="n">
        <v>0</v>
      </c>
      <c r="CK595" s="5" t="n">
        <v>0</v>
      </c>
      <c r="CL595" s="5" t="n">
        <v>0</v>
      </c>
      <c r="CM595" s="5" t="n">
        <v>0</v>
      </c>
      <c r="CN595" s="5" t="n">
        <v>0</v>
      </c>
      <c r="CO595" s="5" t="n">
        <v>0</v>
      </c>
      <c r="CP595" s="5" t="n">
        <v>0.836</v>
      </c>
      <c r="CQ595" s="5" t="n">
        <v>1.294</v>
      </c>
      <c r="CR595" s="5" t="n">
        <v>0</v>
      </c>
      <c r="CS595" s="5" t="n">
        <v>5.158</v>
      </c>
      <c r="CT595" s="5" t="n">
        <v>5.842</v>
      </c>
      <c r="CU595" s="5" t="n">
        <v>29.941</v>
      </c>
    </row>
    <row r="596">
      <c r="A596" s="5" t="inlineStr">
        <is>
          <t>MKD2023</t>
        </is>
      </c>
      <c r="B596" s="5" t="inlineStr">
        <is>
          <t>MKD</t>
        </is>
      </c>
      <c r="C596" s="5" t="inlineStr">
        <is>
          <t>MKD</t>
        </is>
      </c>
      <c r="D596" s="5" t="inlineStr">
        <is>
          <t>North Macedonia</t>
        </is>
      </c>
      <c r="E596" s="5" t="n">
        <v>2023</v>
      </c>
      <c r="F596" s="5" t="n">
        <v>0.18</v>
      </c>
      <c r="G596" s="5" t="n">
        <v>2.76</v>
      </c>
      <c r="H596" s="5" t="n">
        <v>0.822</v>
      </c>
      <c r="I596" s="5" t="n">
        <v>0</v>
      </c>
      <c r="J596" s="5" t="n">
        <v>2.76</v>
      </c>
      <c r="K596" s="5" t="n">
        <v>0</v>
      </c>
      <c r="L596" s="5" t="n">
        <v>1</v>
      </c>
      <c r="M596" s="5" t="n">
        <v>4.561</v>
      </c>
      <c r="N596" s="5" t="n">
        <v>2.466</v>
      </c>
      <c r="O596" s="5" t="n">
        <v>0</v>
      </c>
      <c r="P596" s="5" t="n">
        <v>4.561</v>
      </c>
      <c r="Q596" s="5" t="n">
        <v>0</v>
      </c>
      <c r="R596" s="5" t="n">
        <v>1</v>
      </c>
      <c r="S596" s="5" t="n">
        <v>6.87</v>
      </c>
      <c r="T596" s="5" t="n">
        <v>4.932</v>
      </c>
      <c r="U596" s="5" t="n">
        <v>0.137</v>
      </c>
      <c r="V596" s="5" t="n">
        <v>8.106999999999999</v>
      </c>
      <c r="W596" s="5" t="n">
        <v>0.18</v>
      </c>
      <c r="X596" s="5" t="n">
        <v>1</v>
      </c>
      <c r="Y596" s="5" t="n">
        <v>15.063</v>
      </c>
      <c r="Z596" s="5" t="n">
        <v>1.687</v>
      </c>
      <c r="AA596" s="5" t="n">
        <v>3.549</v>
      </c>
      <c r="AB596" s="5" t="n">
        <v>18.613</v>
      </c>
      <c r="AC596" s="5" t="n">
        <v>0</v>
      </c>
      <c r="AD596" s="5" t="n">
        <v>1</v>
      </c>
      <c r="AE596" s="5" t="n">
        <v>15.162</v>
      </c>
      <c r="AF596" s="5" t="n">
        <v>3.02</v>
      </c>
      <c r="AG596" s="5" t="n">
        <v>3.45</v>
      </c>
      <c r="AH596" s="5" t="n">
        <v>18.613</v>
      </c>
      <c r="AI596" s="5" t="n">
        <v>0</v>
      </c>
      <c r="AJ596" s="5" t="n">
        <v>1</v>
      </c>
      <c r="AK596" s="5" t="n">
        <v>22.521</v>
      </c>
      <c r="AL596" s="5" t="n">
        <v>11.156</v>
      </c>
      <c r="AM596" s="5" t="n">
        <v>2.295</v>
      </c>
      <c r="AN596" s="5" t="n">
        <v>29.283</v>
      </c>
      <c r="AO596" s="5" t="n">
        <v>0.18</v>
      </c>
      <c r="AP596" s="5" t="n">
        <v>1</v>
      </c>
      <c r="AQ596" s="5" t="n">
        <v>0.76</v>
      </c>
      <c r="AR596" s="5" t="n">
        <v>0.129</v>
      </c>
      <c r="AS596" s="5" t="n">
        <v>0.458</v>
      </c>
      <c r="AT596" s="5" t="n">
        <v>1.438</v>
      </c>
      <c r="AU596" s="5" t="n">
        <v>0.18</v>
      </c>
      <c r="AV596" s="5" t="n">
        <v>1</v>
      </c>
      <c r="AW596" s="5" t="n">
        <v>0.8110000000000001</v>
      </c>
      <c r="AX596" s="5" t="n">
        <v>0.129</v>
      </c>
      <c r="AY596" s="5" t="n">
        <v>0.328</v>
      </c>
      <c r="AZ596" s="5" t="n">
        <v>1.345</v>
      </c>
      <c r="BA596" s="5" t="n">
        <v>0.18</v>
      </c>
      <c r="BB596" s="5" t="n">
        <v>1</v>
      </c>
      <c r="BC596" s="5" t="n">
        <v>0.535</v>
      </c>
      <c r="BD596" s="5" t="n">
        <v>0.129</v>
      </c>
      <c r="BE596" s="5" t="n">
        <v>0.139</v>
      </c>
      <c r="BF596" s="5" t="n">
        <v>0.795</v>
      </c>
      <c r="BG596" s="5" t="n">
        <v>0.18</v>
      </c>
      <c r="BH596" s="5" t="n">
        <v>1</v>
      </c>
      <c r="BI596" s="5" t="n">
        <v>0.579</v>
      </c>
      <c r="BJ596" s="5" t="n">
        <v>0.129</v>
      </c>
      <c r="BK596" s="5" t="n">
        <v>0.012</v>
      </c>
      <c r="BL596" s="5" t="n">
        <v>0.6840000000000001</v>
      </c>
      <c r="BM596" s="5" t="n">
        <v>0.18</v>
      </c>
      <c r="BN596" s="5" t="n">
        <v>1</v>
      </c>
      <c r="BO596" s="5" t="n">
        <v>0</v>
      </c>
      <c r="BP596" s="5" t="n">
        <v>0</v>
      </c>
      <c r="BQ596" s="5" t="n">
        <v>0.144</v>
      </c>
      <c r="BR596" s="5" t="n">
        <v>0</v>
      </c>
      <c r="BS596" s="5" t="n">
        <v>1</v>
      </c>
      <c r="BT596" s="5" t="n">
        <v>0</v>
      </c>
      <c r="BU596" s="5" t="n">
        <v>0</v>
      </c>
      <c r="BV596" s="5" t="n">
        <v>0.12</v>
      </c>
      <c r="BW596" s="5" t="n">
        <v>0.18</v>
      </c>
      <c r="BX596" s="5" t="n">
        <v>0.833</v>
      </c>
      <c r="BY596" s="5" t="n">
        <v>13.254</v>
      </c>
      <c r="BZ596" s="5" t="n">
        <v>0</v>
      </c>
      <c r="CA596" s="5" t="n">
        <v>13.254</v>
      </c>
      <c r="CB596" s="5" t="n">
        <v>0</v>
      </c>
      <c r="CC596" s="5" t="n">
        <v>83.248</v>
      </c>
      <c r="CD596" s="5" t="n">
        <v>7.95</v>
      </c>
      <c r="CE596" s="5" t="n">
        <v>95.69199999999999</v>
      </c>
      <c r="CF596" s="5" t="n">
        <v>211.15</v>
      </c>
      <c r="CG596" s="5" t="n">
        <v>0.18</v>
      </c>
      <c r="CH596" s="5" t="n">
        <v>1</v>
      </c>
      <c r="CI596" s="5" t="n">
        <v>0</v>
      </c>
      <c r="CJ596" s="5" t="n">
        <v>0</v>
      </c>
      <c r="CK596" s="5" t="n">
        <v>0</v>
      </c>
      <c r="CL596" s="5" t="n">
        <v>0</v>
      </c>
      <c r="CM596" s="5" t="n">
        <v>0</v>
      </c>
      <c r="CN596" s="5" t="n">
        <v>0</v>
      </c>
      <c r="CO596" s="5" t="n">
        <v>0</v>
      </c>
      <c r="CP596" s="5" t="n">
        <v>0.721</v>
      </c>
      <c r="CQ596" s="5" t="n">
        <v>1.348</v>
      </c>
      <c r="CR596" s="5" t="n">
        <v>0</v>
      </c>
      <c r="CS596" s="5" t="n">
        <v>5.37</v>
      </c>
      <c r="CT596" s="5" t="n">
        <v>3.466</v>
      </c>
      <c r="CU596" s="5" t="n">
        <v>10.281</v>
      </c>
    </row>
    <row r="597">
      <c r="A597" s="5" t="inlineStr">
        <is>
          <t>MKD2024</t>
        </is>
      </c>
      <c r="B597" s="5" t="inlineStr">
        <is>
          <t>MKD</t>
        </is>
      </c>
      <c r="C597" s="5" t="inlineStr">
        <is>
          <t>MKD</t>
        </is>
      </c>
      <c r="D597" s="5" t="inlineStr">
        <is>
          <t>North Macedonia</t>
        </is>
      </c>
      <c r="E597" s="5" t="n">
        <v>2024</v>
      </c>
      <c r="F597" s="5" t="n">
        <v>0.18</v>
      </c>
      <c r="G597" s="5" t="n">
        <v>2.691</v>
      </c>
      <c r="H597" s="5" t="n">
        <v>0.846</v>
      </c>
      <c r="I597" s="5" t="n">
        <v>0</v>
      </c>
      <c r="J597" s="5" t="n">
        <v>2.691</v>
      </c>
      <c r="K597" s="5" t="n">
        <v>0</v>
      </c>
      <c r="L597" s="5" t="n">
        <v>1</v>
      </c>
      <c r="M597" s="5" t="n">
        <v>4.418</v>
      </c>
      <c r="N597" s="5" t="n">
        <v>2.539</v>
      </c>
      <c r="O597" s="5" t="n">
        <v>0</v>
      </c>
      <c r="P597" s="5" t="n">
        <v>4.418</v>
      </c>
      <c r="Q597" s="5" t="n">
        <v>0</v>
      </c>
      <c r="R597" s="5" t="n">
        <v>1</v>
      </c>
      <c r="S597" s="5" t="n">
        <v>6.922</v>
      </c>
      <c r="T597" s="5" t="n">
        <v>5.078</v>
      </c>
      <c r="U597" s="5" t="n">
        <v>0.17</v>
      </c>
      <c r="V597" s="5" t="n">
        <v>8.167999999999999</v>
      </c>
      <c r="W597" s="5" t="n">
        <v>0.18</v>
      </c>
      <c r="X597" s="5" t="n">
        <v>1</v>
      </c>
      <c r="Y597" s="5" t="n">
        <v>14.265</v>
      </c>
      <c r="Z597" s="5" t="n">
        <v>1.801</v>
      </c>
      <c r="AA597" s="5" t="n">
        <v>0.174</v>
      </c>
      <c r="AB597" s="5" t="n">
        <v>14.439</v>
      </c>
      <c r="AC597" s="5" t="n">
        <v>0</v>
      </c>
      <c r="AD597" s="5" t="n">
        <v>1</v>
      </c>
      <c r="AE597" s="5" t="n">
        <v>14.265</v>
      </c>
      <c r="AF597" s="5" t="n">
        <v>3.125</v>
      </c>
      <c r="AG597" s="5" t="n">
        <v>0.174</v>
      </c>
      <c r="AH597" s="5" t="n">
        <v>14.439</v>
      </c>
      <c r="AI597" s="5" t="n">
        <v>0</v>
      </c>
      <c r="AJ597" s="5" t="n">
        <v>1</v>
      </c>
      <c r="AK597" s="5" t="n">
        <v>25.345</v>
      </c>
      <c r="AL597" s="5" t="n">
        <v>12.891</v>
      </c>
      <c r="AM597" s="5" t="n">
        <v>0.174</v>
      </c>
      <c r="AN597" s="5" t="n">
        <v>30.112</v>
      </c>
      <c r="AO597" s="5" t="n">
        <v>0.18</v>
      </c>
      <c r="AP597" s="5" t="n">
        <v>1</v>
      </c>
      <c r="AQ597" s="5" t="n">
        <v>0.724</v>
      </c>
      <c r="AR597" s="5" t="n">
        <v>0.132</v>
      </c>
      <c r="AS597" s="5" t="n">
        <v>0.468</v>
      </c>
      <c r="AT597" s="5" t="n">
        <v>1.406</v>
      </c>
      <c r="AU597" s="5" t="n">
        <v>0.18</v>
      </c>
      <c r="AV597" s="5" t="n">
        <v>1</v>
      </c>
      <c r="AW597" s="5" t="n">
        <v>0.75</v>
      </c>
      <c r="AX597" s="5" t="n">
        <v>0.132</v>
      </c>
      <c r="AY597" s="5" t="n">
        <v>0.34</v>
      </c>
      <c r="AZ597" s="5" t="n">
        <v>1.287</v>
      </c>
      <c r="BA597" s="5" t="n">
        <v>0.18</v>
      </c>
      <c r="BB597" s="5" t="n">
        <v>1</v>
      </c>
      <c r="BC597" s="5" t="n">
        <v>0.513</v>
      </c>
      <c r="BD597" s="5" t="n">
        <v>0.132</v>
      </c>
      <c r="BE597" s="5" t="n">
        <v>0.141</v>
      </c>
      <c r="BF597" s="5" t="n">
        <v>0.771</v>
      </c>
      <c r="BG597" s="5" t="n">
        <v>0.18</v>
      </c>
      <c r="BH597" s="5" t="n">
        <v>1</v>
      </c>
      <c r="BI597" s="5" t="n">
        <v>0.591</v>
      </c>
      <c r="BJ597" s="5" t="n">
        <v>0.132</v>
      </c>
      <c r="BK597" s="5" t="n">
        <v>0.014</v>
      </c>
      <c r="BL597" s="5" t="n">
        <v>0.698</v>
      </c>
      <c r="BM597" s="5" t="n">
        <v>0.18</v>
      </c>
      <c r="BN597" s="5" t="n">
        <v>1</v>
      </c>
      <c r="BO597" s="5" t="n">
        <v>0</v>
      </c>
      <c r="BP597" s="5" t="n">
        <v>0</v>
      </c>
      <c r="BQ597" s="5" t="n">
        <v>0.089</v>
      </c>
      <c r="BR597" s="5" t="n">
        <v>0</v>
      </c>
      <c r="BS597" s="5" t="n">
        <v>1</v>
      </c>
      <c r="BT597" s="5" t="n">
        <v>0</v>
      </c>
      <c r="BU597" s="5" t="n">
        <v>0</v>
      </c>
      <c r="BV597" s="5" t="n">
        <v>0.118</v>
      </c>
      <c r="BW597" s="5" t="n">
        <v>0.18</v>
      </c>
      <c r="BX597" s="5" t="n">
        <v>0.833</v>
      </c>
      <c r="BY597" s="5" t="n">
        <v>13.646</v>
      </c>
      <c r="BZ597" s="5" t="n">
        <v>0</v>
      </c>
      <c r="CA597" s="5" t="n">
        <v>13.646</v>
      </c>
      <c r="CB597" s="5" t="n">
        <v>0</v>
      </c>
      <c r="CC597" s="5" t="n">
        <v>82.58799999999999</v>
      </c>
      <c r="CD597" s="5" t="n">
        <v>7.95</v>
      </c>
      <c r="CE597" s="5" t="n">
        <v>88.624</v>
      </c>
      <c r="CF597" s="5" t="n">
        <v>202.03</v>
      </c>
      <c r="CG597" s="5" t="n">
        <v>0.18</v>
      </c>
      <c r="CH597" s="5" t="n">
        <v>1</v>
      </c>
      <c r="CI597" s="5" t="n">
        <v>0</v>
      </c>
      <c r="CJ597" s="5" t="n">
        <v>0</v>
      </c>
      <c r="CK597" s="5" t="n">
        <v>0</v>
      </c>
      <c r="CL597" s="5" t="n">
        <v>0</v>
      </c>
      <c r="CM597" s="5" t="n">
        <v>0</v>
      </c>
      <c r="CN597" s="5" t="n">
        <v>0</v>
      </c>
      <c r="CO597" s="5" t="n">
        <v>0</v>
      </c>
      <c r="CP597" s="5" t="n">
        <v>0.721</v>
      </c>
      <c r="CQ597" s="5" t="n">
        <v>1.387</v>
      </c>
      <c r="CR597" s="5" t="n">
        <v>0</v>
      </c>
      <c r="CS597" s="5" t="n">
        <v>5.529</v>
      </c>
      <c r="CT597" s="5" t="n">
        <v>3.027</v>
      </c>
      <c r="CU597" s="5" t="n">
        <v>8.691000000000001</v>
      </c>
    </row>
    <row r="598">
      <c r="A598" s="5" t="inlineStr">
        <is>
          <t>MNP2021</t>
        </is>
      </c>
      <c r="B598" s="5" t="inlineStr">
        <is>
          <t>MNP</t>
        </is>
      </c>
      <c r="C598" s="5" t="inlineStr">
        <is>
          <t>MNP</t>
        </is>
      </c>
      <c r="D598" s="5" t="inlineStr">
        <is>
          <t>Northern Mariana Islands</t>
        </is>
      </c>
      <c r="E598" s="5" t="n">
        <v>2021</v>
      </c>
      <c r="F598" s="5" t="n">
        <v>0.05</v>
      </c>
      <c r="G598" s="5" t="n">
        <v>4.747</v>
      </c>
      <c r="H598" s="5" t="n">
        <v>1.143</v>
      </c>
      <c r="I598" s="5" t="n">
        <v>0</v>
      </c>
      <c r="J598" s="5" t="n">
        <v>4.747</v>
      </c>
      <c r="K598" s="5" t="n">
        <v>0</v>
      </c>
      <c r="L598" s="5" t="n">
        <v>1</v>
      </c>
      <c r="M598" s="5" t="n">
        <v>7.964</v>
      </c>
      <c r="N598" s="5" t="n">
        <v>3.43</v>
      </c>
      <c r="O598" s="5" t="n">
        <v>0</v>
      </c>
      <c r="P598" s="5" t="n">
        <v>7.964</v>
      </c>
      <c r="Q598" s="5" t="n">
        <v>0</v>
      </c>
      <c r="R598" s="5" t="n">
        <v>1</v>
      </c>
      <c r="S598" s="5" t="n">
        <v>10.464</v>
      </c>
      <c r="T598" s="5" t="n">
        <v>6.86</v>
      </c>
      <c r="U598" s="5" t="n">
        <v>0</v>
      </c>
      <c r="V598" s="5" t="n">
        <v>10.987</v>
      </c>
      <c r="W598" s="5" t="n">
        <v>0.05</v>
      </c>
      <c r="X598" s="5" t="n">
        <v>1</v>
      </c>
      <c r="Y598" s="5" t="n">
        <v>10.551</v>
      </c>
      <c r="Z598" s="5" t="n">
        <v>1.302</v>
      </c>
      <c r="AA598" s="5" t="n">
        <v>0</v>
      </c>
      <c r="AB598" s="5" t="n">
        <v>10.551</v>
      </c>
      <c r="AC598" s="5" t="n">
        <v>0</v>
      </c>
      <c r="AD598" s="5" t="n">
        <v>1</v>
      </c>
      <c r="AE598" s="5" t="n">
        <v>11.694</v>
      </c>
      <c r="AF598" s="5" t="n">
        <v>2.549</v>
      </c>
      <c r="AG598" s="5" t="n">
        <v>0</v>
      </c>
      <c r="AH598" s="5" t="n">
        <v>11.694</v>
      </c>
      <c r="AI598" s="5" t="n">
        <v>0</v>
      </c>
      <c r="AJ598" s="5" t="n">
        <v>1</v>
      </c>
      <c r="AK598" s="5" t="n">
        <v>18.554</v>
      </c>
      <c r="AL598" s="5" t="n">
        <v>9.627000000000001</v>
      </c>
      <c r="AM598" s="5" t="n">
        <v>0</v>
      </c>
      <c r="AN598" s="5" t="n">
        <v>19.482</v>
      </c>
      <c r="AO598" s="5" t="n">
        <v>0.05</v>
      </c>
      <c r="AP598" s="5" t="n">
        <v>1</v>
      </c>
      <c r="AQ598" s="5" t="n">
        <v>0.621</v>
      </c>
      <c r="AR598" s="5" t="n">
        <v>0.114</v>
      </c>
      <c r="AS598" s="5" t="n">
        <v>0</v>
      </c>
      <c r="AT598" s="5" t="n">
        <v>0.652</v>
      </c>
      <c r="AU598" s="5" t="n">
        <v>0.05</v>
      </c>
      <c r="AV598" s="5" t="n">
        <v>1</v>
      </c>
      <c r="AW598" s="5" t="n">
        <v>0.593</v>
      </c>
      <c r="AX598" s="5" t="n">
        <v>0.114</v>
      </c>
      <c r="AY598" s="5" t="n">
        <v>0</v>
      </c>
      <c r="AZ598" s="5" t="n">
        <v>0.623</v>
      </c>
      <c r="BA598" s="5" t="n">
        <v>0.05</v>
      </c>
      <c r="BB598" s="5" t="n">
        <v>1</v>
      </c>
      <c r="BC598" s="5" t="n">
        <v>0.44</v>
      </c>
      <c r="BD598" s="5" t="n">
        <v>0.114</v>
      </c>
      <c r="BE598" s="5" t="n">
        <v>0</v>
      </c>
      <c r="BF598" s="5" t="n">
        <v>0.462</v>
      </c>
      <c r="BG598" s="5" t="n">
        <v>0.05</v>
      </c>
      <c r="BH598" s="5" t="n">
        <v>1</v>
      </c>
      <c r="BI598" s="5" t="n">
        <v>0.5600000000000001</v>
      </c>
      <c r="BJ598" s="5" t="n">
        <v>0.114</v>
      </c>
      <c r="BK598" s="5" t="n">
        <v>0</v>
      </c>
      <c r="BL598" s="5" t="n">
        <v>0.588</v>
      </c>
      <c r="BM598" s="5" t="n">
        <v>0.05</v>
      </c>
      <c r="BN598" s="5" t="n">
        <v>1</v>
      </c>
      <c r="BO598" s="5" t="n">
        <v>0</v>
      </c>
      <c r="BP598" s="5" t="n">
        <v>0</v>
      </c>
      <c r="BQ598" s="5" t="n">
        <v>0</v>
      </c>
      <c r="BR598" s="5" t="n">
        <v>0</v>
      </c>
      <c r="BS598" s="5" t="n">
        <v>1</v>
      </c>
      <c r="BT598" s="5" t="n">
        <v>0</v>
      </c>
      <c r="BU598" s="5" t="n">
        <v>0</v>
      </c>
      <c r="BV598" s="5" t="n">
        <v>0</v>
      </c>
      <c r="BW598" s="5" t="n">
        <v>0.05</v>
      </c>
      <c r="BX598" s="5" t="n">
        <v>1</v>
      </c>
      <c r="BY598" s="5" t="n">
        <v>11.787</v>
      </c>
      <c r="BZ598" s="5" t="n">
        <v>0</v>
      </c>
      <c r="CA598" s="5" t="n">
        <v>11.787</v>
      </c>
      <c r="CB598" s="5" t="n">
        <v>0</v>
      </c>
      <c r="CC598" s="5" t="n">
        <v>81.69499999999999</v>
      </c>
      <c r="CD598" s="5" t="n">
        <v>7.95</v>
      </c>
      <c r="CE598" s="5" t="n">
        <v>0</v>
      </c>
      <c r="CF598" s="5" t="n">
        <v>85.78</v>
      </c>
      <c r="CG598" s="5" t="n">
        <v>0.05</v>
      </c>
      <c r="CH598" s="5" t="n">
        <v>1</v>
      </c>
      <c r="CI598" s="5" t="n">
        <v>0</v>
      </c>
      <c r="CJ598" s="5" t="n">
        <v>0</v>
      </c>
      <c r="CK598" s="5" t="n">
        <v>0</v>
      </c>
      <c r="CL598" s="5" t="n">
        <v>0</v>
      </c>
      <c r="CM598" s="5" t="n">
        <v>0</v>
      </c>
      <c r="CN598" s="5" t="n">
        <v>0</v>
      </c>
      <c r="CO598" s="5" t="n">
        <v>0</v>
      </c>
      <c r="CP598" s="5" t="n">
        <v>0</v>
      </c>
      <c r="CQ598" s="5" t="n">
        <v>1.198</v>
      </c>
      <c r="CR598" s="5" t="n">
        <v>0</v>
      </c>
      <c r="CS598" s="5" t="n">
        <v>4.776</v>
      </c>
      <c r="CT598" s="5" t="n">
        <v>3.604</v>
      </c>
      <c r="CU598" s="5" t="n">
        <v>9.407999999999999</v>
      </c>
    </row>
    <row r="599">
      <c r="A599" s="5" t="inlineStr">
        <is>
          <t>MNP2022</t>
        </is>
      </c>
      <c r="B599" s="5" t="inlineStr">
        <is>
          <t>MNP</t>
        </is>
      </c>
      <c r="C599" s="5" t="inlineStr">
        <is>
          <t>MNP</t>
        </is>
      </c>
      <c r="D599" s="5" t="inlineStr">
        <is>
          <t>Northern Mariana Islands</t>
        </is>
      </c>
      <c r="E599" s="5" t="n">
        <v>2022</v>
      </c>
      <c r="F599" s="5" t="n">
        <v>0.05</v>
      </c>
      <c r="G599" s="5" t="n">
        <v>8.788</v>
      </c>
      <c r="H599" s="5" t="n">
        <v>1.235</v>
      </c>
      <c r="I599" s="5" t="n">
        <v>0</v>
      </c>
      <c r="J599" s="5" t="n">
        <v>8.788</v>
      </c>
      <c r="K599" s="5" t="n">
        <v>0</v>
      </c>
      <c r="L599" s="5" t="n">
        <v>1</v>
      </c>
      <c r="M599" s="5" t="n">
        <v>9.782999999999999</v>
      </c>
      <c r="N599" s="5" t="n">
        <v>3.704</v>
      </c>
      <c r="O599" s="5" t="n">
        <v>0</v>
      </c>
      <c r="P599" s="5" t="n">
        <v>9.782999999999999</v>
      </c>
      <c r="Q599" s="5" t="n">
        <v>0</v>
      </c>
      <c r="R599" s="5" t="n">
        <v>1</v>
      </c>
      <c r="S599" s="5" t="n">
        <v>14.962</v>
      </c>
      <c r="T599" s="5" t="n">
        <v>7.408</v>
      </c>
      <c r="U599" s="5" t="n">
        <v>0.055</v>
      </c>
      <c r="V599" s="5" t="n">
        <v>15.71</v>
      </c>
      <c r="W599" s="5" t="n">
        <v>0.05</v>
      </c>
      <c r="X599" s="5" t="n">
        <v>1</v>
      </c>
      <c r="Y599" s="5" t="n">
        <v>17.332</v>
      </c>
      <c r="Z599" s="5" t="n">
        <v>2.139</v>
      </c>
      <c r="AA599" s="5" t="n">
        <v>0</v>
      </c>
      <c r="AB599" s="5" t="n">
        <v>17.332</v>
      </c>
      <c r="AC599" s="5" t="n">
        <v>0</v>
      </c>
      <c r="AD599" s="5" t="n">
        <v>1</v>
      </c>
      <c r="AE599" s="5" t="n">
        <v>18.566</v>
      </c>
      <c r="AF599" s="5" t="n">
        <v>4.048</v>
      </c>
      <c r="AG599" s="5" t="n">
        <v>0</v>
      </c>
      <c r="AH599" s="5" t="n">
        <v>18.566</v>
      </c>
      <c r="AI599" s="5" t="n">
        <v>0</v>
      </c>
      <c r="AJ599" s="5" t="n">
        <v>1</v>
      </c>
      <c r="AK599" s="5" t="n">
        <v>25.974</v>
      </c>
      <c r="AL599" s="5" t="n">
        <v>13.478</v>
      </c>
      <c r="AM599" s="5" t="n">
        <v>0.096</v>
      </c>
      <c r="AN599" s="5" t="n">
        <v>27.273</v>
      </c>
      <c r="AO599" s="5" t="n">
        <v>0.05</v>
      </c>
      <c r="AP599" s="5" t="n">
        <v>1</v>
      </c>
      <c r="AQ599" s="5" t="n">
        <v>0.847</v>
      </c>
      <c r="AR599" s="5" t="n">
        <v>0.123</v>
      </c>
      <c r="AS599" s="5" t="n">
        <v>0.003</v>
      </c>
      <c r="AT599" s="5" t="n">
        <v>0.889</v>
      </c>
      <c r="AU599" s="5" t="n">
        <v>0.05</v>
      </c>
      <c r="AV599" s="5" t="n">
        <v>1</v>
      </c>
      <c r="AW599" s="5" t="n">
        <v>0.947</v>
      </c>
      <c r="AX599" s="5" t="n">
        <v>0.123</v>
      </c>
      <c r="AY599" s="5" t="n">
        <v>0.004</v>
      </c>
      <c r="AZ599" s="5" t="n">
        <v>0.994</v>
      </c>
      <c r="BA599" s="5" t="n">
        <v>0.05</v>
      </c>
      <c r="BB599" s="5" t="n">
        <v>1</v>
      </c>
      <c r="BC599" s="5" t="n">
        <v>0.589</v>
      </c>
      <c r="BD599" s="5" t="n">
        <v>0.123</v>
      </c>
      <c r="BE599" s="5" t="n">
        <v>0.002</v>
      </c>
      <c r="BF599" s="5" t="n">
        <v>0.618</v>
      </c>
      <c r="BG599" s="5" t="n">
        <v>0.05</v>
      </c>
      <c r="BH599" s="5" t="n">
        <v>1</v>
      </c>
      <c r="BI599" s="5" t="n">
        <v>0.6889999999999999</v>
      </c>
      <c r="BJ599" s="5" t="n">
        <v>0.123</v>
      </c>
      <c r="BK599" s="5" t="n">
        <v>0.003</v>
      </c>
      <c r="BL599" s="5" t="n">
        <v>0.723</v>
      </c>
      <c r="BM599" s="5" t="n">
        <v>0.05</v>
      </c>
      <c r="BN599" s="5" t="n">
        <v>1</v>
      </c>
      <c r="BO599" s="5" t="n">
        <v>0</v>
      </c>
      <c r="BP599" s="5" t="n">
        <v>0</v>
      </c>
      <c r="BQ599" s="5" t="n">
        <v>0</v>
      </c>
      <c r="BR599" s="5" t="n">
        <v>0</v>
      </c>
      <c r="BS599" s="5" t="n">
        <v>1</v>
      </c>
      <c r="BT599" s="5" t="n">
        <v>0</v>
      </c>
      <c r="BU599" s="5" t="n">
        <v>0</v>
      </c>
      <c r="BV599" s="5" t="n">
        <v>0</v>
      </c>
      <c r="BW599" s="5" t="n">
        <v>0.05</v>
      </c>
      <c r="BX599" s="5" t="n">
        <v>1</v>
      </c>
      <c r="BY599" s="5" t="n">
        <v>12.729</v>
      </c>
      <c r="BZ599" s="5" t="n">
        <v>0</v>
      </c>
      <c r="CA599" s="5" t="n">
        <v>12.729</v>
      </c>
      <c r="CB599" s="5" t="n">
        <v>0</v>
      </c>
      <c r="CC599" s="5" t="n">
        <v>102.477</v>
      </c>
      <c r="CD599" s="5" t="n">
        <v>7.95</v>
      </c>
      <c r="CE599" s="5" t="n">
        <v>0.379</v>
      </c>
      <c r="CF599" s="5" t="n">
        <v>107.6</v>
      </c>
      <c r="CG599" s="5" t="n">
        <v>0.05</v>
      </c>
      <c r="CH599" s="5" t="n">
        <v>1</v>
      </c>
      <c r="CI599" s="5" t="n">
        <v>0</v>
      </c>
      <c r="CJ599" s="5" t="n">
        <v>0</v>
      </c>
      <c r="CK599" s="5" t="n">
        <v>0</v>
      </c>
      <c r="CL599" s="5" t="n">
        <v>0</v>
      </c>
      <c r="CM599" s="5" t="n">
        <v>0</v>
      </c>
      <c r="CN599" s="5" t="n">
        <v>0</v>
      </c>
      <c r="CO599" s="5" t="n">
        <v>0</v>
      </c>
      <c r="CP599" s="5" t="n">
        <v>0</v>
      </c>
      <c r="CQ599" s="5" t="n">
        <v>1.294</v>
      </c>
      <c r="CR599" s="5" t="n">
        <v>0</v>
      </c>
      <c r="CS599" s="5" t="n">
        <v>5.158</v>
      </c>
      <c r="CT599" s="5" t="n">
        <v>7.554</v>
      </c>
      <c r="CU599" s="5" t="n">
        <v>16.097</v>
      </c>
    </row>
    <row r="600">
      <c r="A600" s="5" t="inlineStr">
        <is>
          <t>MNP2023</t>
        </is>
      </c>
      <c r="B600" s="5" t="inlineStr">
        <is>
          <t>MNP</t>
        </is>
      </c>
      <c r="C600" s="5" t="inlineStr">
        <is>
          <t>MNP</t>
        </is>
      </c>
      <c r="D600" s="5" t="inlineStr">
        <is>
          <t>Northern Mariana Islands</t>
        </is>
      </c>
      <c r="E600" s="5" t="n">
        <v>2023</v>
      </c>
      <c r="F600" s="5" t="n">
        <v>0.05</v>
      </c>
      <c r="G600" s="5" t="n">
        <v>5.77</v>
      </c>
      <c r="H600" s="5" t="n">
        <v>1.286</v>
      </c>
      <c r="I600" s="5" t="n">
        <v>0</v>
      </c>
      <c r="J600" s="5" t="n">
        <v>5.77</v>
      </c>
      <c r="K600" s="5" t="n">
        <v>0</v>
      </c>
      <c r="L600" s="5" t="n">
        <v>1</v>
      </c>
      <c r="M600" s="5" t="n">
        <v>7.886</v>
      </c>
      <c r="N600" s="5" t="n">
        <v>3.857</v>
      </c>
      <c r="O600" s="5" t="n">
        <v>0</v>
      </c>
      <c r="P600" s="5" t="n">
        <v>7.886</v>
      </c>
      <c r="Q600" s="5" t="n">
        <v>0</v>
      </c>
      <c r="R600" s="5" t="n">
        <v>1</v>
      </c>
      <c r="S600" s="5" t="n">
        <v>12.198</v>
      </c>
      <c r="T600" s="5" t="n">
        <v>7.714</v>
      </c>
      <c r="U600" s="5" t="n">
        <v>0.068</v>
      </c>
      <c r="V600" s="5" t="n">
        <v>12.808</v>
      </c>
      <c r="W600" s="5" t="n">
        <v>0.05</v>
      </c>
      <c r="X600" s="5" t="n">
        <v>1</v>
      </c>
      <c r="Y600" s="5" t="n">
        <v>13.814</v>
      </c>
      <c r="Z600" s="5" t="n">
        <v>1.705</v>
      </c>
      <c r="AA600" s="5" t="n">
        <v>0</v>
      </c>
      <c r="AB600" s="5" t="n">
        <v>13.814</v>
      </c>
      <c r="AC600" s="5" t="n">
        <v>0</v>
      </c>
      <c r="AD600" s="5" t="n">
        <v>1</v>
      </c>
      <c r="AE600" s="5" t="n">
        <v>15.1</v>
      </c>
      <c r="AF600" s="5" t="n">
        <v>3.292</v>
      </c>
      <c r="AG600" s="5" t="n">
        <v>0</v>
      </c>
      <c r="AH600" s="5" t="n">
        <v>15.1</v>
      </c>
      <c r="AI600" s="5" t="n">
        <v>0</v>
      </c>
      <c r="AJ600" s="5" t="n">
        <v>1</v>
      </c>
      <c r="AK600" s="5" t="n">
        <v>22.814</v>
      </c>
      <c r="AL600" s="5" t="n">
        <v>11.838</v>
      </c>
      <c r="AM600" s="5" t="n">
        <v>0.126</v>
      </c>
      <c r="AN600" s="5" t="n">
        <v>23.955</v>
      </c>
      <c r="AO600" s="5" t="n">
        <v>0.05</v>
      </c>
      <c r="AP600" s="5" t="n">
        <v>1</v>
      </c>
      <c r="AQ600" s="5" t="n">
        <v>0.749</v>
      </c>
      <c r="AR600" s="5" t="n">
        <v>0.129</v>
      </c>
      <c r="AS600" s="5" t="n">
        <v>0.004</v>
      </c>
      <c r="AT600" s="5" t="n">
        <v>0.786</v>
      </c>
      <c r="AU600" s="5" t="n">
        <v>0.05</v>
      </c>
      <c r="AV600" s="5" t="n">
        <v>1</v>
      </c>
      <c r="AW600" s="5" t="n">
        <v>0.783</v>
      </c>
      <c r="AX600" s="5" t="n">
        <v>0.129</v>
      </c>
      <c r="AY600" s="5" t="n">
        <v>0.004</v>
      </c>
      <c r="AZ600" s="5" t="n">
        <v>0.822</v>
      </c>
      <c r="BA600" s="5" t="n">
        <v>0.05</v>
      </c>
      <c r="BB600" s="5" t="n">
        <v>1</v>
      </c>
      <c r="BC600" s="5" t="n">
        <v>0.527</v>
      </c>
      <c r="BD600" s="5" t="n">
        <v>0.129</v>
      </c>
      <c r="BE600" s="5" t="n">
        <v>0.003</v>
      </c>
      <c r="BF600" s="5" t="n">
        <v>0.554</v>
      </c>
      <c r="BG600" s="5" t="n">
        <v>0.05</v>
      </c>
      <c r="BH600" s="5" t="n">
        <v>1</v>
      </c>
      <c r="BI600" s="5" t="n">
        <v>0.64</v>
      </c>
      <c r="BJ600" s="5" t="n">
        <v>0.129</v>
      </c>
      <c r="BK600" s="5" t="n">
        <v>0.004</v>
      </c>
      <c r="BL600" s="5" t="n">
        <v>0.672</v>
      </c>
      <c r="BM600" s="5" t="n">
        <v>0.05</v>
      </c>
      <c r="BN600" s="5" t="n">
        <v>1</v>
      </c>
      <c r="BO600" s="5" t="n">
        <v>0</v>
      </c>
      <c r="BP600" s="5" t="n">
        <v>0</v>
      </c>
      <c r="BQ600" s="5" t="n">
        <v>0</v>
      </c>
      <c r="BR600" s="5" t="n">
        <v>0</v>
      </c>
      <c r="BS600" s="5" t="n">
        <v>1</v>
      </c>
      <c r="BT600" s="5" t="n">
        <v>0</v>
      </c>
      <c r="BU600" s="5" t="n">
        <v>0</v>
      </c>
      <c r="BV600" s="5" t="n">
        <v>0</v>
      </c>
      <c r="BW600" s="5" t="n">
        <v>0.05</v>
      </c>
      <c r="BX600" s="5" t="n">
        <v>1</v>
      </c>
      <c r="BY600" s="5" t="n">
        <v>13.254</v>
      </c>
      <c r="BZ600" s="5" t="n">
        <v>0</v>
      </c>
      <c r="CA600" s="5" t="n">
        <v>13.254</v>
      </c>
      <c r="CB600" s="5" t="n">
        <v>0</v>
      </c>
      <c r="CC600" s="5" t="n">
        <v>87.07899999999999</v>
      </c>
      <c r="CD600" s="5" t="n">
        <v>7.95</v>
      </c>
      <c r="CE600" s="5" t="n">
        <v>0.482</v>
      </c>
      <c r="CF600" s="5" t="n">
        <v>91.43300000000001</v>
      </c>
      <c r="CG600" s="5" t="n">
        <v>0.05</v>
      </c>
      <c r="CH600" s="5" t="n">
        <v>1</v>
      </c>
      <c r="CI600" s="5" t="n">
        <v>0</v>
      </c>
      <c r="CJ600" s="5" t="n">
        <v>0</v>
      </c>
      <c r="CK600" s="5" t="n">
        <v>0</v>
      </c>
      <c r="CL600" s="5" t="n">
        <v>0</v>
      </c>
      <c r="CM600" s="5" t="n">
        <v>0</v>
      </c>
      <c r="CN600" s="5" t="n">
        <v>0</v>
      </c>
      <c r="CO600" s="5" t="n">
        <v>0</v>
      </c>
      <c r="CP600" s="5" t="n">
        <v>0</v>
      </c>
      <c r="CQ600" s="5" t="n">
        <v>1.348</v>
      </c>
      <c r="CR600" s="5" t="n">
        <v>0</v>
      </c>
      <c r="CS600" s="5" t="n">
        <v>5.37</v>
      </c>
      <c r="CT600" s="5" t="n">
        <v>4.484</v>
      </c>
      <c r="CU600" s="5" t="n">
        <v>12.529</v>
      </c>
    </row>
    <row r="601">
      <c r="A601" s="5" t="inlineStr">
        <is>
          <t>MNP2024</t>
        </is>
      </c>
      <c r="B601" s="5" t="inlineStr">
        <is>
          <t>MNP</t>
        </is>
      </c>
      <c r="C601" s="5" t="inlineStr">
        <is>
          <t>MNP</t>
        </is>
      </c>
      <c r="D601" s="5" t="inlineStr">
        <is>
          <t>Northern Mariana Islands</t>
        </is>
      </c>
      <c r="E601" s="5" t="n">
        <v>2024</v>
      </c>
      <c r="F601" s="5" t="n">
        <v>0.05</v>
      </c>
      <c r="G601" s="5" t="n">
        <v>4.833</v>
      </c>
      <c r="H601" s="5" t="n">
        <v>1.324</v>
      </c>
      <c r="I601" s="5" t="n">
        <v>0</v>
      </c>
      <c r="J601" s="5" t="n">
        <v>4.833</v>
      </c>
      <c r="K601" s="5" t="n">
        <v>0</v>
      </c>
      <c r="L601" s="5" t="n">
        <v>1</v>
      </c>
      <c r="M601" s="5" t="n">
        <v>7.124</v>
      </c>
      <c r="N601" s="5" t="n">
        <v>3.971</v>
      </c>
      <c r="O601" s="5" t="n">
        <v>0</v>
      </c>
      <c r="P601" s="5" t="n">
        <v>7.124</v>
      </c>
      <c r="Q601" s="5" t="n">
        <v>0</v>
      </c>
      <c r="R601" s="5" t="n">
        <v>1</v>
      </c>
      <c r="S601" s="5" t="n">
        <v>11.451</v>
      </c>
      <c r="T601" s="5" t="n">
        <v>7.942</v>
      </c>
      <c r="U601" s="5" t="n">
        <v>0.078</v>
      </c>
      <c r="V601" s="5" t="n">
        <v>12.023</v>
      </c>
      <c r="W601" s="5" t="n">
        <v>0.05</v>
      </c>
      <c r="X601" s="5" t="n">
        <v>1</v>
      </c>
      <c r="Y601" s="5" t="n">
        <v>12.219</v>
      </c>
      <c r="Z601" s="5" t="n">
        <v>1.508</v>
      </c>
      <c r="AA601" s="5" t="n">
        <v>0</v>
      </c>
      <c r="AB601" s="5" t="n">
        <v>12.219</v>
      </c>
      <c r="AC601" s="5" t="n">
        <v>0</v>
      </c>
      <c r="AD601" s="5" t="n">
        <v>1</v>
      </c>
      <c r="AE601" s="5" t="n">
        <v>13.543</v>
      </c>
      <c r="AF601" s="5" t="n">
        <v>2.952</v>
      </c>
      <c r="AG601" s="5" t="n">
        <v>0</v>
      </c>
      <c r="AH601" s="5" t="n">
        <v>13.543</v>
      </c>
      <c r="AI601" s="5" t="n">
        <v>0</v>
      </c>
      <c r="AJ601" s="5" t="n">
        <v>1</v>
      </c>
      <c r="AK601" s="5" t="n">
        <v>21.484</v>
      </c>
      <c r="AL601" s="5" t="n">
        <v>11.148</v>
      </c>
      <c r="AM601" s="5" t="n">
        <v>0.146</v>
      </c>
      <c r="AN601" s="5" t="n">
        <v>22.559</v>
      </c>
      <c r="AO601" s="5" t="n">
        <v>0.05</v>
      </c>
      <c r="AP601" s="5" t="n">
        <v>1</v>
      </c>
      <c r="AQ601" s="5" t="n">
        <v>0.72</v>
      </c>
      <c r="AR601" s="5" t="n">
        <v>0.132</v>
      </c>
      <c r="AS601" s="5" t="n">
        <v>0.005</v>
      </c>
      <c r="AT601" s="5" t="n">
        <v>0.756</v>
      </c>
      <c r="AU601" s="5" t="n">
        <v>0.05</v>
      </c>
      <c r="AV601" s="5" t="n">
        <v>1</v>
      </c>
      <c r="AW601" s="5" t="n">
        <v>0.734</v>
      </c>
      <c r="AX601" s="5" t="n">
        <v>0.132</v>
      </c>
      <c r="AY601" s="5" t="n">
        <v>0.005</v>
      </c>
      <c r="AZ601" s="5" t="n">
        <v>0.77</v>
      </c>
      <c r="BA601" s="5" t="n">
        <v>0.05</v>
      </c>
      <c r="BB601" s="5" t="n">
        <v>1</v>
      </c>
      <c r="BC601" s="5" t="n">
        <v>0.51</v>
      </c>
      <c r="BD601" s="5" t="n">
        <v>0.132</v>
      </c>
      <c r="BE601" s="5" t="n">
        <v>0.003</v>
      </c>
      <c r="BF601" s="5" t="n">
        <v>0.536</v>
      </c>
      <c r="BG601" s="5" t="n">
        <v>0.05</v>
      </c>
      <c r="BH601" s="5" t="n">
        <v>1</v>
      </c>
      <c r="BI601" s="5" t="n">
        <v>0.652</v>
      </c>
      <c r="BJ601" s="5" t="n">
        <v>0.132</v>
      </c>
      <c r="BK601" s="5" t="n">
        <v>0.004</v>
      </c>
      <c r="BL601" s="5" t="n">
        <v>0.6850000000000001</v>
      </c>
      <c r="BM601" s="5" t="n">
        <v>0.05</v>
      </c>
      <c r="BN601" s="5" t="n">
        <v>1</v>
      </c>
      <c r="BO601" s="5" t="n">
        <v>0</v>
      </c>
      <c r="BP601" s="5" t="n">
        <v>0</v>
      </c>
      <c r="BQ601" s="5" t="n">
        <v>0</v>
      </c>
      <c r="BR601" s="5" t="n">
        <v>0</v>
      </c>
      <c r="BS601" s="5" t="n">
        <v>1</v>
      </c>
      <c r="BT601" s="5" t="n">
        <v>0</v>
      </c>
      <c r="BU601" s="5" t="n">
        <v>0</v>
      </c>
      <c r="BV601" s="5" t="n">
        <v>0</v>
      </c>
      <c r="BW601" s="5" t="n">
        <v>0.05</v>
      </c>
      <c r="BX601" s="5" t="n">
        <v>1</v>
      </c>
      <c r="BY601" s="5" t="n">
        <v>13.646</v>
      </c>
      <c r="BZ601" s="5" t="n">
        <v>0</v>
      </c>
      <c r="CA601" s="5" t="n">
        <v>13.646</v>
      </c>
      <c r="CB601" s="5" t="n">
        <v>0</v>
      </c>
      <c r="CC601" s="5" t="n">
        <v>86.38500000000001</v>
      </c>
      <c r="CD601" s="5" t="n">
        <v>7.95</v>
      </c>
      <c r="CE601" s="5" t="n">
        <v>0.588</v>
      </c>
      <c r="CF601" s="5" t="n">
        <v>90.705</v>
      </c>
      <c r="CG601" s="5" t="n">
        <v>0.05</v>
      </c>
      <c r="CH601" s="5" t="n">
        <v>1</v>
      </c>
      <c r="CI601" s="5" t="n">
        <v>0</v>
      </c>
      <c r="CJ601" s="5" t="n">
        <v>0</v>
      </c>
      <c r="CK601" s="5" t="n">
        <v>0</v>
      </c>
      <c r="CL601" s="5" t="n">
        <v>0</v>
      </c>
      <c r="CM601" s="5" t="n">
        <v>0</v>
      </c>
      <c r="CN601" s="5" t="n">
        <v>0</v>
      </c>
      <c r="CO601" s="5" t="n">
        <v>0</v>
      </c>
      <c r="CP601" s="5" t="n">
        <v>0</v>
      </c>
      <c r="CQ601" s="5" t="n">
        <v>1.387</v>
      </c>
      <c r="CR601" s="5" t="n">
        <v>0</v>
      </c>
      <c r="CS601" s="5" t="n">
        <v>5.529</v>
      </c>
      <c r="CT601" s="5" t="n">
        <v>3.509</v>
      </c>
      <c r="CU601" s="5" t="n">
        <v>10.896</v>
      </c>
    </row>
    <row r="602">
      <c r="A602" s="5" t="inlineStr">
        <is>
          <t>NOR2021</t>
        </is>
      </c>
      <c r="B602" s="5" t="inlineStr">
        <is>
          <t>NOR</t>
        </is>
      </c>
      <c r="C602" s="5" t="inlineStr">
        <is>
          <t>NOR</t>
        </is>
      </c>
      <c r="D602" s="5" t="inlineStr">
        <is>
          <t>Norway</t>
        </is>
      </c>
      <c r="E602" s="5" t="n">
        <v>2021</v>
      </c>
      <c r="F602" s="5" t="n">
        <v>0.25</v>
      </c>
      <c r="G602" s="5" t="n">
        <v>5.82</v>
      </c>
      <c r="H602" s="5" t="n">
        <v>1.124</v>
      </c>
      <c r="I602" s="5" t="n">
        <v>1.208</v>
      </c>
      <c r="J602" s="5" t="n">
        <v>7.028</v>
      </c>
      <c r="K602" s="5" t="n">
        <v>0</v>
      </c>
      <c r="L602" s="5" t="n">
        <v>1</v>
      </c>
      <c r="M602" s="5" t="n">
        <v>7.793</v>
      </c>
      <c r="N602" s="5" t="n">
        <v>3.372</v>
      </c>
      <c r="O602" s="5" t="n">
        <v>1.226</v>
      </c>
      <c r="P602" s="5" t="n">
        <v>9.019</v>
      </c>
      <c r="Q602" s="5" t="n">
        <v>0</v>
      </c>
      <c r="R602" s="5" t="n">
        <v>1</v>
      </c>
      <c r="S602" s="5" t="n">
        <v>11.44</v>
      </c>
      <c r="T602" s="5" t="n">
        <v>6.744</v>
      </c>
      <c r="U602" s="5" t="n">
        <v>0.514</v>
      </c>
      <c r="V602" s="5" t="n">
        <v>14.943</v>
      </c>
      <c r="W602" s="5" t="n">
        <v>0.25</v>
      </c>
      <c r="X602" s="5" t="n">
        <v>1</v>
      </c>
      <c r="Y602" s="5" t="n">
        <v>3.092</v>
      </c>
      <c r="Z602" s="5" t="n">
        <v>0.248</v>
      </c>
      <c r="AA602" s="5" t="n">
        <v>1.698</v>
      </c>
      <c r="AB602" s="5" t="n">
        <v>4.79</v>
      </c>
      <c r="AC602" s="5" t="n">
        <v>0</v>
      </c>
      <c r="AD602" s="5" t="n">
        <v>1</v>
      </c>
      <c r="AE602" s="5" t="n">
        <v>3.679</v>
      </c>
      <c r="AF602" s="5" t="n">
        <v>0.54</v>
      </c>
      <c r="AG602" s="5" t="n">
        <v>1.698</v>
      </c>
      <c r="AH602" s="5" t="n">
        <v>5.378</v>
      </c>
      <c r="AI602" s="5" t="n">
        <v>0</v>
      </c>
      <c r="AJ602" s="5" t="n">
        <v>1</v>
      </c>
      <c r="AK602" s="5" t="n">
        <v>7.202</v>
      </c>
      <c r="AL602" s="5" t="n">
        <v>2.852</v>
      </c>
      <c r="AM602" s="5" t="n">
        <v>0.984</v>
      </c>
      <c r="AN602" s="5" t="n">
        <v>10.232</v>
      </c>
      <c r="AO602" s="5" t="n">
        <v>0.25</v>
      </c>
      <c r="AP602" s="5" t="n">
        <v>1</v>
      </c>
      <c r="AQ602" s="5" t="n">
        <v>0.619</v>
      </c>
      <c r="AR602" s="5" t="n">
        <v>0.114</v>
      </c>
      <c r="AS602" s="5" t="n">
        <v>1.021</v>
      </c>
      <c r="AT602" s="5" t="n">
        <v>2.05</v>
      </c>
      <c r="AU602" s="5" t="n">
        <v>0.25</v>
      </c>
      <c r="AV602" s="5" t="n">
        <v>1</v>
      </c>
      <c r="AW602" s="5" t="n">
        <v>0.599</v>
      </c>
      <c r="AX602" s="5" t="n">
        <v>0.114</v>
      </c>
      <c r="AY602" s="5" t="n">
        <v>0.882</v>
      </c>
      <c r="AZ602" s="5" t="n">
        <v>1.852</v>
      </c>
      <c r="BA602" s="5" t="n">
        <v>0.25</v>
      </c>
      <c r="BB602" s="5" t="n">
        <v>1</v>
      </c>
      <c r="BC602" s="5" t="n">
        <v>0.439</v>
      </c>
      <c r="BD602" s="5" t="n">
        <v>0.114</v>
      </c>
      <c r="BE602" s="5" t="n">
        <v>0.029</v>
      </c>
      <c r="BF602" s="5" t="n">
        <v>0.585</v>
      </c>
      <c r="BG602" s="5" t="n">
        <v>0.25</v>
      </c>
      <c r="BH602" s="5" t="n">
        <v>1</v>
      </c>
      <c r="BI602" s="5" t="n">
        <v>0.505</v>
      </c>
      <c r="BJ602" s="5" t="n">
        <v>0.114</v>
      </c>
      <c r="BK602" s="5" t="n">
        <v>0.833</v>
      </c>
      <c r="BL602" s="5" t="n">
        <v>1.672</v>
      </c>
      <c r="BM602" s="5" t="n">
        <v>0.25</v>
      </c>
      <c r="BN602" s="5" t="n">
        <v>1</v>
      </c>
      <c r="BO602" s="5" t="n">
        <v>0</v>
      </c>
      <c r="BP602" s="5" t="n">
        <v>0.011</v>
      </c>
      <c r="BQ602" s="5" t="n">
        <v>0.092</v>
      </c>
      <c r="BR602" s="5" t="n">
        <v>0</v>
      </c>
      <c r="BS602" s="5" t="n">
        <v>1</v>
      </c>
      <c r="BT602" s="5" t="n">
        <v>0</v>
      </c>
      <c r="BU602" s="5" t="n">
        <v>0.02</v>
      </c>
      <c r="BV602" s="5" t="n">
        <v>0.238</v>
      </c>
      <c r="BW602" s="5" t="n">
        <v>0.25</v>
      </c>
      <c r="BX602" s="5" t="n">
        <v>1</v>
      </c>
      <c r="BY602" s="5" t="n">
        <v>11.787</v>
      </c>
      <c r="BZ602" s="5" t="n">
        <v>0</v>
      </c>
      <c r="CA602" s="5" t="n">
        <v>11.787</v>
      </c>
      <c r="CB602" s="5" t="n">
        <v>0</v>
      </c>
      <c r="CC602" s="5" t="n">
        <v>78.125</v>
      </c>
      <c r="CD602" s="5" t="n">
        <v>7.95</v>
      </c>
      <c r="CE602" s="5" t="n">
        <v>65.407</v>
      </c>
      <c r="CF602" s="5" t="n">
        <v>179.415</v>
      </c>
      <c r="CG602" s="5" t="n">
        <v>0.25</v>
      </c>
      <c r="CH602" s="5" t="n">
        <v>1</v>
      </c>
      <c r="CI602" s="5" t="n">
        <v>0</v>
      </c>
      <c r="CJ602" s="5" t="n">
        <v>0</v>
      </c>
      <c r="CK602" s="5" t="n">
        <v>0</v>
      </c>
      <c r="CL602" s="5" t="n">
        <v>0</v>
      </c>
      <c r="CM602" s="5" t="n">
        <v>0</v>
      </c>
      <c r="CN602" s="5" t="n">
        <v>0.001</v>
      </c>
      <c r="CO602" s="5" t="n">
        <v>0.001</v>
      </c>
      <c r="CP602" s="5" t="n">
        <v>0.034</v>
      </c>
      <c r="CQ602" s="5" t="n">
        <v>1.198</v>
      </c>
      <c r="CR602" s="5" t="n">
        <v>0.973</v>
      </c>
      <c r="CS602" s="5" t="n">
        <v>2.211</v>
      </c>
      <c r="CT602" s="5" t="n">
        <v>4.819</v>
      </c>
      <c r="CU602" s="5" t="n">
        <v>13.099</v>
      </c>
    </row>
    <row r="603">
      <c r="A603" s="5" t="inlineStr">
        <is>
          <t>NOR2022</t>
        </is>
      </c>
      <c r="B603" s="5" t="inlineStr">
        <is>
          <t>NOR</t>
        </is>
      </c>
      <c r="C603" s="5" t="inlineStr">
        <is>
          <t>NOR</t>
        </is>
      </c>
      <c r="D603" s="5" t="inlineStr">
        <is>
          <t>Norway</t>
        </is>
      </c>
      <c r="E603" s="5" t="n">
        <v>2022</v>
      </c>
      <c r="F603" s="5" t="n">
        <v>0.25</v>
      </c>
      <c r="G603" s="5" t="n">
        <v>12.798</v>
      </c>
      <c r="H603" s="5" t="n">
        <v>1.235</v>
      </c>
      <c r="I603" s="5" t="n">
        <v>8.159000000000001</v>
      </c>
      <c r="J603" s="5" t="n">
        <v>20.957</v>
      </c>
      <c r="K603" s="5" t="n">
        <v>0</v>
      </c>
      <c r="L603" s="5" t="n">
        <v>1</v>
      </c>
      <c r="M603" s="5" t="n">
        <v>9.782999999999999</v>
      </c>
      <c r="N603" s="5" t="n">
        <v>3.704</v>
      </c>
      <c r="O603" s="5" t="n">
        <v>8.284000000000001</v>
      </c>
      <c r="P603" s="5" t="n">
        <v>18.067</v>
      </c>
      <c r="Q603" s="5" t="n">
        <v>0</v>
      </c>
      <c r="R603" s="5" t="n">
        <v>1</v>
      </c>
      <c r="S603" s="5" t="n">
        <v>18.971</v>
      </c>
      <c r="T603" s="5" t="n">
        <v>7.408</v>
      </c>
      <c r="U603" s="5" t="n">
        <v>2.969</v>
      </c>
      <c r="V603" s="5" t="n">
        <v>26.927</v>
      </c>
      <c r="W603" s="5" t="n">
        <v>0.25</v>
      </c>
      <c r="X603" s="5" t="n">
        <v>1</v>
      </c>
      <c r="Y603" s="5" t="n">
        <v>3.365</v>
      </c>
      <c r="Z603" s="5" t="n">
        <v>0.27</v>
      </c>
      <c r="AA603" s="5" t="n">
        <v>7.049</v>
      </c>
      <c r="AB603" s="5" t="n">
        <v>10.414</v>
      </c>
      <c r="AC603" s="5" t="n">
        <v>0</v>
      </c>
      <c r="AD603" s="5" t="n">
        <v>1</v>
      </c>
      <c r="AE603" s="5" t="n">
        <v>3.991</v>
      </c>
      <c r="AF603" s="5" t="n">
        <v>0.586</v>
      </c>
      <c r="AG603" s="5" t="n">
        <v>7.049</v>
      </c>
      <c r="AH603" s="5" t="n">
        <v>11.04</v>
      </c>
      <c r="AI603" s="5" t="n">
        <v>0</v>
      </c>
      <c r="AJ603" s="5" t="n">
        <v>1</v>
      </c>
      <c r="AK603" s="5" t="n">
        <v>7.748</v>
      </c>
      <c r="AL603" s="5" t="n">
        <v>3.068</v>
      </c>
      <c r="AM603" s="5" t="n">
        <v>2.405</v>
      </c>
      <c r="AN603" s="5" t="n">
        <v>12.462</v>
      </c>
      <c r="AO603" s="5" t="n">
        <v>0.25</v>
      </c>
      <c r="AP603" s="5" t="n">
        <v>1</v>
      </c>
      <c r="AQ603" s="5" t="n">
        <v>0.861</v>
      </c>
      <c r="AR603" s="5" t="n">
        <v>0.123</v>
      </c>
      <c r="AS603" s="5" t="n">
        <v>0.991</v>
      </c>
      <c r="AT603" s="5" t="n">
        <v>2.315</v>
      </c>
      <c r="AU603" s="5" t="n">
        <v>0.25</v>
      </c>
      <c r="AV603" s="5" t="n">
        <v>1</v>
      </c>
      <c r="AW603" s="5" t="n">
        <v>0.986</v>
      </c>
      <c r="AX603" s="5" t="n">
        <v>0.123</v>
      </c>
      <c r="AY603" s="5" t="n">
        <v>0.85</v>
      </c>
      <c r="AZ603" s="5" t="n">
        <v>2.296</v>
      </c>
      <c r="BA603" s="5" t="n">
        <v>0.25</v>
      </c>
      <c r="BB603" s="5" t="n">
        <v>1</v>
      </c>
      <c r="BC603" s="5" t="n">
        <v>0.598</v>
      </c>
      <c r="BD603" s="5" t="n">
        <v>0.123</v>
      </c>
      <c r="BE603" s="5" t="n">
        <v>0.078</v>
      </c>
      <c r="BF603" s="5" t="n">
        <v>0.83</v>
      </c>
      <c r="BG603" s="5" t="n">
        <v>0.25</v>
      </c>
      <c r="BH603" s="5" t="n">
        <v>1</v>
      </c>
      <c r="BI603" s="5" t="n">
        <v>0.612</v>
      </c>
      <c r="BJ603" s="5" t="n">
        <v>0.123</v>
      </c>
      <c r="BK603" s="5" t="n">
        <v>0.899</v>
      </c>
      <c r="BL603" s="5" t="n">
        <v>1.889</v>
      </c>
      <c r="BM603" s="5" t="n">
        <v>0.25</v>
      </c>
      <c r="BN603" s="5" t="n">
        <v>1</v>
      </c>
      <c r="BO603" s="5" t="n">
        <v>0</v>
      </c>
      <c r="BP603" s="5" t="n">
        <v>0.01</v>
      </c>
      <c r="BQ603" s="5" t="n">
        <v>0.162</v>
      </c>
      <c r="BR603" s="5" t="n">
        <v>0</v>
      </c>
      <c r="BS603" s="5" t="n">
        <v>1</v>
      </c>
      <c r="BT603" s="5" t="n">
        <v>0</v>
      </c>
      <c r="BU603" s="5" t="n">
        <v>-0.065</v>
      </c>
      <c r="BV603" s="5" t="n">
        <v>0.226</v>
      </c>
      <c r="BW603" s="5" t="n">
        <v>0.25</v>
      </c>
      <c r="BX603" s="5" t="n">
        <v>1</v>
      </c>
      <c r="BY603" s="5" t="n">
        <v>12.729</v>
      </c>
      <c r="BZ603" s="5" t="n">
        <v>0</v>
      </c>
      <c r="CA603" s="5" t="n">
        <v>12.729</v>
      </c>
      <c r="CB603" s="5" t="n">
        <v>0</v>
      </c>
      <c r="CC603" s="5" t="n">
        <v>97.90000000000001</v>
      </c>
      <c r="CD603" s="5" t="n">
        <v>7.95</v>
      </c>
      <c r="CE603" s="5" t="n">
        <v>121.228</v>
      </c>
      <c r="CF603" s="5" t="n">
        <v>273.91</v>
      </c>
      <c r="CG603" s="5" t="n">
        <v>0.25</v>
      </c>
      <c r="CH603" s="5" t="n">
        <v>1</v>
      </c>
      <c r="CI603" s="5" t="n">
        <v>0</v>
      </c>
      <c r="CJ603" s="5" t="n">
        <v>0</v>
      </c>
      <c r="CK603" s="5" t="n">
        <v>0</v>
      </c>
      <c r="CL603" s="5" t="n">
        <v>0</v>
      </c>
      <c r="CM603" s="5" t="n">
        <v>0</v>
      </c>
      <c r="CN603" s="5" t="n">
        <v>0.001</v>
      </c>
      <c r="CO603" s="5" t="n">
        <v>0.001</v>
      </c>
      <c r="CP603" s="5" t="n">
        <v>0</v>
      </c>
      <c r="CQ603" s="5" t="n">
        <v>1.294</v>
      </c>
      <c r="CR603" s="5" t="n">
        <v>0.986</v>
      </c>
      <c r="CS603" s="5" t="n">
        <v>2.388</v>
      </c>
      <c r="CT603" s="5" t="n">
        <v>11.563</v>
      </c>
      <c r="CU603" s="5" t="n">
        <v>26.643</v>
      </c>
    </row>
    <row r="604">
      <c r="A604" s="5" t="inlineStr">
        <is>
          <t>NOR2023</t>
        </is>
      </c>
      <c r="B604" s="5" t="inlineStr">
        <is>
          <t>NOR</t>
        </is>
      </c>
      <c r="C604" s="5" t="inlineStr">
        <is>
          <t>NOR</t>
        </is>
      </c>
      <c r="D604" s="5" t="inlineStr">
        <is>
          <t>Norway</t>
        </is>
      </c>
      <c r="E604" s="5" t="n">
        <v>2023</v>
      </c>
      <c r="F604" s="5" t="n">
        <v>0.25</v>
      </c>
      <c r="G604" s="5" t="n">
        <v>6.174</v>
      </c>
      <c r="H604" s="5" t="n">
        <v>1.254</v>
      </c>
      <c r="I604" s="5" t="n">
        <v>9.456</v>
      </c>
      <c r="J604" s="5" t="n">
        <v>15.63</v>
      </c>
      <c r="K604" s="5" t="n">
        <v>0</v>
      </c>
      <c r="L604" s="5" t="n">
        <v>1</v>
      </c>
      <c r="M604" s="5" t="n">
        <v>7.66</v>
      </c>
      <c r="N604" s="5" t="n">
        <v>3.763</v>
      </c>
      <c r="O604" s="5" t="n">
        <v>9.601000000000001</v>
      </c>
      <c r="P604" s="5" t="n">
        <v>17.261</v>
      </c>
      <c r="Q604" s="5" t="n">
        <v>0</v>
      </c>
      <c r="R604" s="5" t="n">
        <v>1</v>
      </c>
      <c r="S604" s="5" t="n">
        <v>12.445</v>
      </c>
      <c r="T604" s="5" t="n">
        <v>7.525</v>
      </c>
      <c r="U604" s="5" t="n">
        <v>5.099</v>
      </c>
      <c r="V604" s="5" t="n">
        <v>21.338</v>
      </c>
      <c r="W604" s="5" t="n">
        <v>0.25</v>
      </c>
      <c r="X604" s="5" t="n">
        <v>1</v>
      </c>
      <c r="Y604" s="5" t="n">
        <v>3.328</v>
      </c>
      <c r="Z604" s="5" t="n">
        <v>0.267</v>
      </c>
      <c r="AA604" s="5" t="n">
        <v>7.838</v>
      </c>
      <c r="AB604" s="5" t="n">
        <v>11.166</v>
      </c>
      <c r="AC604" s="5" t="n">
        <v>0</v>
      </c>
      <c r="AD604" s="5" t="n">
        <v>1</v>
      </c>
      <c r="AE604" s="5" t="n">
        <v>3.984</v>
      </c>
      <c r="AF604" s="5" t="n">
        <v>0.585</v>
      </c>
      <c r="AG604" s="5" t="n">
        <v>7.838</v>
      </c>
      <c r="AH604" s="5" t="n">
        <v>11.822</v>
      </c>
      <c r="AI604" s="5" t="n">
        <v>0</v>
      </c>
      <c r="AJ604" s="5" t="n">
        <v>1</v>
      </c>
      <c r="AK604" s="5" t="n">
        <v>7.918</v>
      </c>
      <c r="AL604" s="5" t="n">
        <v>3.135</v>
      </c>
      <c r="AM604" s="5" t="n">
        <v>2.524</v>
      </c>
      <c r="AN604" s="5" t="n">
        <v>12.701</v>
      </c>
      <c r="AO604" s="5" t="n">
        <v>0.25</v>
      </c>
      <c r="AP604" s="5" t="n">
        <v>1</v>
      </c>
      <c r="AQ604" s="5" t="n">
        <v>0.76</v>
      </c>
      <c r="AR604" s="5" t="n">
        <v>0.129</v>
      </c>
      <c r="AS604" s="5" t="n">
        <v>0.955</v>
      </c>
      <c r="AT604" s="5" t="n">
        <v>2.144</v>
      </c>
      <c r="AU604" s="5" t="n">
        <v>0.25</v>
      </c>
      <c r="AV604" s="5" t="n">
        <v>1</v>
      </c>
      <c r="AW604" s="5" t="n">
        <v>0.8110000000000001</v>
      </c>
      <c r="AX604" s="5" t="n">
        <v>0.129</v>
      </c>
      <c r="AY604" s="5" t="n">
        <v>0.767</v>
      </c>
      <c r="AZ604" s="5" t="n">
        <v>1.972</v>
      </c>
      <c r="BA604" s="5" t="n">
        <v>0.25</v>
      </c>
      <c r="BB604" s="5" t="n">
        <v>1</v>
      </c>
      <c r="BC604" s="5" t="n">
        <v>0.535</v>
      </c>
      <c r="BD604" s="5" t="n">
        <v>0.129</v>
      </c>
      <c r="BE604" s="5" t="n">
        <v>0.083</v>
      </c>
      <c r="BF604" s="5" t="n">
        <v>0.752</v>
      </c>
      <c r="BG604" s="5" t="n">
        <v>0.25</v>
      </c>
      <c r="BH604" s="5" t="n">
        <v>1</v>
      </c>
      <c r="BI604" s="5" t="n">
        <v>0.579</v>
      </c>
      <c r="BJ604" s="5" t="n">
        <v>0.129</v>
      </c>
      <c r="BK604" s="5" t="n">
        <v>0.912</v>
      </c>
      <c r="BL604" s="5" t="n">
        <v>1.864</v>
      </c>
      <c r="BM604" s="5" t="n">
        <v>0.25</v>
      </c>
      <c r="BN604" s="5" t="n">
        <v>1</v>
      </c>
      <c r="BO604" s="5" t="n">
        <v>0</v>
      </c>
      <c r="BP604" s="5" t="n">
        <v>0.008999999999999999</v>
      </c>
      <c r="BQ604" s="5" t="n">
        <v>0.08599999999999999</v>
      </c>
      <c r="BR604" s="5" t="n">
        <v>0</v>
      </c>
      <c r="BS604" s="5" t="n">
        <v>1</v>
      </c>
      <c r="BT604" s="5" t="n">
        <v>0</v>
      </c>
      <c r="BU604" s="5" t="n">
        <v>-0.005</v>
      </c>
      <c r="BV604" s="5" t="n">
        <v>0.205</v>
      </c>
      <c r="BW604" s="5" t="n">
        <v>0.25</v>
      </c>
      <c r="BX604" s="5" t="n">
        <v>1</v>
      </c>
      <c r="BY604" s="5" t="n">
        <v>13.254</v>
      </c>
      <c r="BZ604" s="5" t="n">
        <v>0</v>
      </c>
      <c r="CA604" s="5" t="n">
        <v>13.254</v>
      </c>
      <c r="CB604" s="5" t="n">
        <v>0</v>
      </c>
      <c r="CC604" s="5" t="n">
        <v>83.248</v>
      </c>
      <c r="CD604" s="5" t="n">
        <v>7.95</v>
      </c>
      <c r="CE604" s="5" t="n">
        <v>112.488</v>
      </c>
      <c r="CF604" s="5" t="n">
        <v>244.67</v>
      </c>
      <c r="CG604" s="5" t="n">
        <v>0.25</v>
      </c>
      <c r="CH604" s="5" t="n">
        <v>1</v>
      </c>
      <c r="CI604" s="5" t="n">
        <v>0</v>
      </c>
      <c r="CJ604" s="5" t="n">
        <v>0</v>
      </c>
      <c r="CK604" s="5" t="n">
        <v>0</v>
      </c>
      <c r="CL604" s="5" t="n">
        <v>0</v>
      </c>
      <c r="CM604" s="5" t="n">
        <v>0</v>
      </c>
      <c r="CN604" s="5" t="n">
        <v>0.001</v>
      </c>
      <c r="CO604" s="5" t="n">
        <v>0.001</v>
      </c>
      <c r="CP604" s="5" t="n">
        <v>0.049</v>
      </c>
      <c r="CQ604" s="5" t="n">
        <v>1.348</v>
      </c>
      <c r="CR604" s="5" t="n">
        <v>0.98</v>
      </c>
      <c r="CS604" s="5" t="n">
        <v>2.487</v>
      </c>
      <c r="CT604" s="5" t="n">
        <v>5.104</v>
      </c>
      <c r="CU604" s="5" t="n">
        <v>11.809</v>
      </c>
    </row>
    <row r="605">
      <c r="A605" s="5" t="inlineStr">
        <is>
          <t>NOR2024</t>
        </is>
      </c>
      <c r="B605" s="5" t="inlineStr">
        <is>
          <t>NOR</t>
        </is>
      </c>
      <c r="C605" s="5" t="inlineStr">
        <is>
          <t>NOR</t>
        </is>
      </c>
      <c r="D605" s="5" t="inlineStr">
        <is>
          <t>Norway</t>
        </is>
      </c>
      <c r="E605" s="5" t="n">
        <v>2024</v>
      </c>
      <c r="F605" s="5" t="n">
        <v>0.25</v>
      </c>
      <c r="G605" s="5" t="n">
        <v>5.604</v>
      </c>
      <c r="H605" s="5" t="n">
        <v>1.291</v>
      </c>
      <c r="I605" s="5" t="n">
        <v>6.197</v>
      </c>
      <c r="J605" s="5" t="n">
        <v>11.801</v>
      </c>
      <c r="K605" s="5" t="n">
        <v>0</v>
      </c>
      <c r="L605" s="5" t="n">
        <v>1</v>
      </c>
      <c r="M605" s="5" t="n">
        <v>6.94</v>
      </c>
      <c r="N605" s="5" t="n">
        <v>3.874</v>
      </c>
      <c r="O605" s="5" t="n">
        <v>6.292</v>
      </c>
      <c r="P605" s="5" t="n">
        <v>13.232</v>
      </c>
      <c r="Q605" s="5" t="n">
        <v>0</v>
      </c>
      <c r="R605" s="5" t="n">
        <v>1</v>
      </c>
      <c r="S605" s="5" t="n">
        <v>12.06</v>
      </c>
      <c r="T605" s="5" t="n">
        <v>7.747</v>
      </c>
      <c r="U605" s="5" t="n">
        <v>5.335</v>
      </c>
      <c r="V605" s="5" t="n">
        <v>21.028</v>
      </c>
      <c r="W605" s="5" t="n">
        <v>0.25</v>
      </c>
      <c r="X605" s="5" t="n">
        <v>1</v>
      </c>
      <c r="Y605" s="5" t="n">
        <v>3.383</v>
      </c>
      <c r="Z605" s="5" t="n">
        <v>0.271</v>
      </c>
      <c r="AA605" s="5" t="n">
        <v>6.301</v>
      </c>
      <c r="AB605" s="5" t="n">
        <v>9.683999999999999</v>
      </c>
      <c r="AC605" s="5" t="n">
        <v>0</v>
      </c>
      <c r="AD605" s="5" t="n">
        <v>1</v>
      </c>
      <c r="AE605" s="5" t="n">
        <v>4.058</v>
      </c>
      <c r="AF605" s="5" t="n">
        <v>0.596</v>
      </c>
      <c r="AG605" s="5" t="n">
        <v>6.301</v>
      </c>
      <c r="AH605" s="5" t="n">
        <v>10.359</v>
      </c>
      <c r="AI605" s="5" t="n">
        <v>0</v>
      </c>
      <c r="AJ605" s="5" t="n">
        <v>1</v>
      </c>
      <c r="AK605" s="5" t="n">
        <v>8.108000000000001</v>
      </c>
      <c r="AL605" s="5" t="n">
        <v>3.211</v>
      </c>
      <c r="AM605" s="5" t="n">
        <v>3</v>
      </c>
      <c r="AN605" s="5" t="n">
        <v>13.428</v>
      </c>
      <c r="AO605" s="5" t="n">
        <v>0.25</v>
      </c>
      <c r="AP605" s="5" t="n">
        <v>1</v>
      </c>
      <c r="AQ605" s="5" t="n">
        <v>0.724</v>
      </c>
      <c r="AR605" s="5" t="n">
        <v>0.132</v>
      </c>
      <c r="AS605" s="5" t="n">
        <v>0.909</v>
      </c>
      <c r="AT605" s="5" t="n">
        <v>2.041</v>
      </c>
      <c r="AU605" s="5" t="n">
        <v>0.25</v>
      </c>
      <c r="AV605" s="5" t="n">
        <v>1</v>
      </c>
      <c r="AW605" s="5" t="n">
        <v>0.75</v>
      </c>
      <c r="AX605" s="5" t="n">
        <v>0.132</v>
      </c>
      <c r="AY605" s="5" t="n">
        <v>0.764</v>
      </c>
      <c r="AZ605" s="5" t="n">
        <v>1.893</v>
      </c>
      <c r="BA605" s="5" t="n">
        <v>0.25</v>
      </c>
      <c r="BB605" s="5" t="n">
        <v>1</v>
      </c>
      <c r="BC605" s="5" t="n">
        <v>0.513</v>
      </c>
      <c r="BD605" s="5" t="n">
        <v>0.132</v>
      </c>
      <c r="BE605" s="5" t="n">
        <v>0.098</v>
      </c>
      <c r="BF605" s="5" t="n">
        <v>0.739</v>
      </c>
      <c r="BG605" s="5" t="n">
        <v>0.25</v>
      </c>
      <c r="BH605" s="5" t="n">
        <v>1</v>
      </c>
      <c r="BI605" s="5" t="n">
        <v>0.591</v>
      </c>
      <c r="BJ605" s="5" t="n">
        <v>0.132</v>
      </c>
      <c r="BK605" s="5" t="n">
        <v>1.019</v>
      </c>
      <c r="BL605" s="5" t="n">
        <v>2.013</v>
      </c>
      <c r="BM605" s="5" t="n">
        <v>0.25</v>
      </c>
      <c r="BN605" s="5" t="n">
        <v>1</v>
      </c>
      <c r="BO605" s="5" t="n">
        <v>0</v>
      </c>
      <c r="BP605" s="5" t="n">
        <v>0.008999999999999999</v>
      </c>
      <c r="BQ605" s="5" t="n">
        <v>0.064</v>
      </c>
      <c r="BR605" s="5" t="n">
        <v>0</v>
      </c>
      <c r="BS605" s="5" t="n">
        <v>1</v>
      </c>
      <c r="BT605" s="5" t="n">
        <v>0</v>
      </c>
      <c r="BU605" s="5" t="n">
        <v>0.008</v>
      </c>
      <c r="BV605" s="5" t="n">
        <v>0.211</v>
      </c>
      <c r="BW605" s="5" t="n">
        <v>0.25</v>
      </c>
      <c r="BX605" s="5" t="n">
        <v>1</v>
      </c>
      <c r="BY605" s="5" t="n">
        <v>13.646</v>
      </c>
      <c r="BZ605" s="5" t="n">
        <v>0</v>
      </c>
      <c r="CA605" s="5" t="n">
        <v>13.646</v>
      </c>
      <c r="CB605" s="5" t="n">
        <v>0</v>
      </c>
      <c r="CC605" s="5" t="n">
        <v>82.58799999999999</v>
      </c>
      <c r="CD605" s="5" t="n">
        <v>7.95</v>
      </c>
      <c r="CE605" s="5" t="n">
        <v>94.55500000000001</v>
      </c>
      <c r="CF605" s="5" t="n">
        <v>221.429</v>
      </c>
      <c r="CG605" s="5" t="n">
        <v>0.25</v>
      </c>
      <c r="CH605" s="5" t="n">
        <v>1</v>
      </c>
      <c r="CI605" s="5" t="n">
        <v>0</v>
      </c>
      <c r="CJ605" s="5" t="n">
        <v>0</v>
      </c>
      <c r="CK605" s="5" t="n">
        <v>0</v>
      </c>
      <c r="CL605" s="5" t="n">
        <v>0</v>
      </c>
      <c r="CM605" s="5" t="n">
        <v>0</v>
      </c>
      <c r="CN605" s="5" t="n">
        <v>0.001</v>
      </c>
      <c r="CO605" s="5" t="n">
        <v>0.001</v>
      </c>
      <c r="CP605" s="5" t="n">
        <v>0.049</v>
      </c>
      <c r="CQ605" s="5" t="n">
        <v>1.387</v>
      </c>
      <c r="CR605" s="5" t="n">
        <v>0.98</v>
      </c>
      <c r="CS605" s="5" t="n">
        <v>2.56</v>
      </c>
      <c r="CT605" s="5" t="n">
        <v>4.463</v>
      </c>
      <c r="CU605" s="5" t="n">
        <v>9.983000000000001</v>
      </c>
    </row>
    <row r="606">
      <c r="A606" s="5" t="inlineStr">
        <is>
          <t>OMN2021</t>
        </is>
      </c>
      <c r="B606" s="5" t="inlineStr">
        <is>
          <t>OMN</t>
        </is>
      </c>
      <c r="C606" s="5" t="inlineStr">
        <is>
          <t>OMN</t>
        </is>
      </c>
      <c r="D606" s="5" t="inlineStr">
        <is>
          <t>Oman</t>
        </is>
      </c>
      <c r="E606" s="5" t="n">
        <v>2021</v>
      </c>
      <c r="F606" s="5" t="n">
        <v>0.05</v>
      </c>
      <c r="G606" s="5" t="n">
        <v>5.897</v>
      </c>
      <c r="H606" s="5" t="n">
        <v>1.143</v>
      </c>
      <c r="I606" s="5" t="n">
        <v>0.238</v>
      </c>
      <c r="J606" s="5" t="n">
        <v>6.134</v>
      </c>
      <c r="K606" s="5" t="n">
        <v>0</v>
      </c>
      <c r="L606" s="5" t="n">
        <v>1</v>
      </c>
      <c r="M606" s="5" t="n">
        <v>7.964</v>
      </c>
      <c r="N606" s="5" t="n">
        <v>3.43</v>
      </c>
      <c r="O606" s="5" t="n">
        <v>0.227</v>
      </c>
      <c r="P606" s="5" t="n">
        <v>8.191000000000001</v>
      </c>
      <c r="Q606" s="5" t="n">
        <v>0</v>
      </c>
      <c r="R606" s="5" t="n">
        <v>1</v>
      </c>
      <c r="S606" s="5" t="n">
        <v>11.613</v>
      </c>
      <c r="T606" s="5" t="n">
        <v>6.86</v>
      </c>
      <c r="U606" s="5" t="n">
        <v>0.238</v>
      </c>
      <c r="V606" s="5" t="n">
        <v>12.444</v>
      </c>
      <c r="W606" s="5" t="n">
        <v>0.05</v>
      </c>
      <c r="X606" s="5" t="n">
        <v>1</v>
      </c>
      <c r="Y606" s="5" t="n">
        <v>5.869</v>
      </c>
      <c r="Z606" s="5" t="n">
        <v>0.6879999999999999</v>
      </c>
      <c r="AA606" s="5" t="n">
        <v>-2.666</v>
      </c>
      <c r="AB606" s="5" t="n">
        <v>3.202</v>
      </c>
      <c r="AC606" s="5" t="n">
        <v>0</v>
      </c>
      <c r="AD606" s="5" t="n">
        <v>0</v>
      </c>
      <c r="AE606" s="5" t="n">
        <v>6.472</v>
      </c>
      <c r="AF606" s="5" t="n">
        <v>1.334</v>
      </c>
      <c r="AG606" s="5" t="n">
        <v>-3.437</v>
      </c>
      <c r="AH606" s="5" t="n">
        <v>3.034</v>
      </c>
      <c r="AI606" s="5" t="n">
        <v>0</v>
      </c>
      <c r="AJ606" s="5" t="n">
        <v>0</v>
      </c>
      <c r="AK606" s="5" t="n">
        <v>10.091</v>
      </c>
      <c r="AL606" s="5" t="n">
        <v>4.936</v>
      </c>
      <c r="AM606" s="5" t="n">
        <v>0.037</v>
      </c>
      <c r="AN606" s="5" t="n">
        <v>10.635</v>
      </c>
      <c r="AO606" s="5" t="n">
        <v>0.05</v>
      </c>
      <c r="AP606" s="5" t="n">
        <v>1</v>
      </c>
      <c r="AQ606" s="5" t="n">
        <v>0.621</v>
      </c>
      <c r="AR606" s="5" t="n">
        <v>0.114</v>
      </c>
      <c r="AS606" s="5" t="n">
        <v>-0.061</v>
      </c>
      <c r="AT606" s="5" t="n">
        <v>0.588</v>
      </c>
      <c r="AU606" s="5" t="n">
        <v>0</v>
      </c>
      <c r="AV606" s="5" t="n">
        <v>0</v>
      </c>
      <c r="AW606" s="5" t="n">
        <v>0.593</v>
      </c>
      <c r="AX606" s="5" t="n">
        <v>0.114</v>
      </c>
      <c r="AY606" s="5" t="n">
        <v>-0.004</v>
      </c>
      <c r="AZ606" s="5" t="n">
        <v>0.619</v>
      </c>
      <c r="BA606" s="5" t="n">
        <v>0.05</v>
      </c>
      <c r="BB606" s="5" t="n">
        <v>1</v>
      </c>
      <c r="BC606" s="5" t="n">
        <v>0.44</v>
      </c>
      <c r="BD606" s="5" t="n">
        <v>0.114</v>
      </c>
      <c r="BE606" s="5" t="n">
        <v>0</v>
      </c>
      <c r="BF606" s="5" t="n">
        <v>0.462</v>
      </c>
      <c r="BG606" s="5" t="n">
        <v>0.05</v>
      </c>
      <c r="BH606" s="5" t="n">
        <v>1</v>
      </c>
      <c r="BI606" s="5" t="n">
        <v>0.5600000000000001</v>
      </c>
      <c r="BJ606" s="5" t="n">
        <v>0.114</v>
      </c>
      <c r="BK606" s="5" t="n">
        <v>0</v>
      </c>
      <c r="BL606" s="5" t="n">
        <v>0.588</v>
      </c>
      <c r="BM606" s="5" t="n">
        <v>0.05</v>
      </c>
      <c r="BN606" s="5" t="n">
        <v>1</v>
      </c>
      <c r="BO606" s="5" t="n">
        <v>0</v>
      </c>
      <c r="BP606" s="5" t="n">
        <v>0</v>
      </c>
      <c r="BQ606" s="5" t="n">
        <v>0.065</v>
      </c>
      <c r="BR606" s="5" t="n">
        <v>0</v>
      </c>
      <c r="BS606" s="5" t="n">
        <v>0.667</v>
      </c>
      <c r="BT606" s="5" t="n">
        <v>0</v>
      </c>
      <c r="BU606" s="5" t="n">
        <v>0</v>
      </c>
      <c r="BV606" s="5" t="n">
        <v>0.052</v>
      </c>
      <c r="BW606" s="5" t="n">
        <v>0.05</v>
      </c>
      <c r="BX606" s="5" t="n">
        <v>0.833</v>
      </c>
      <c r="BY606" s="5" t="n">
        <v>11.787</v>
      </c>
      <c r="BZ606" s="5" t="n">
        <v>0</v>
      </c>
      <c r="CA606" s="5" t="n">
        <v>11.787</v>
      </c>
      <c r="CB606" s="5" t="n">
        <v>0</v>
      </c>
      <c r="CC606" s="5" t="n">
        <v>81.69499999999999</v>
      </c>
      <c r="CD606" s="5" t="n">
        <v>7.95</v>
      </c>
      <c r="CE606" s="5" t="n">
        <v>0</v>
      </c>
      <c r="CF606" s="5" t="n">
        <v>85.78</v>
      </c>
      <c r="CG606" s="5" t="n">
        <v>0.05</v>
      </c>
      <c r="CH606" s="5" t="n">
        <v>1</v>
      </c>
      <c r="CI606" s="5" t="n">
        <v>0</v>
      </c>
      <c r="CJ606" s="5" t="n">
        <v>0</v>
      </c>
      <c r="CK606" s="5" t="n">
        <v>0</v>
      </c>
      <c r="CL606" s="5" t="n">
        <v>0</v>
      </c>
      <c r="CM606" s="5" t="n">
        <v>0</v>
      </c>
      <c r="CN606" s="5" t="n">
        <v>0</v>
      </c>
      <c r="CO606" s="5" t="n">
        <v>0</v>
      </c>
      <c r="CP606" s="5" t="n">
        <v>0</v>
      </c>
      <c r="CQ606" s="5" t="n">
        <v>1.198</v>
      </c>
      <c r="CR606" s="5" t="n">
        <v>0.945</v>
      </c>
      <c r="CS606" s="5" t="n">
        <v>4.908</v>
      </c>
      <c r="CT606" s="5" t="n">
        <v>4.753</v>
      </c>
      <c r="CU606" s="5" t="n">
        <v>14.129</v>
      </c>
    </row>
    <row r="607">
      <c r="A607" s="5" t="inlineStr">
        <is>
          <t>OMN2022</t>
        </is>
      </c>
      <c r="B607" s="5" t="inlineStr">
        <is>
          <t>OMN</t>
        </is>
      </c>
      <c r="C607" s="5" t="inlineStr">
        <is>
          <t>OMN</t>
        </is>
      </c>
      <c r="D607" s="5" t="inlineStr">
        <is>
          <t>Oman</t>
        </is>
      </c>
      <c r="E607" s="5" t="n">
        <v>2022</v>
      </c>
      <c r="F607" s="5" t="n">
        <v>0.05</v>
      </c>
      <c r="G607" s="5" t="n">
        <v>11.72</v>
      </c>
      <c r="H607" s="5" t="n">
        <v>1.235</v>
      </c>
      <c r="I607" s="5" t="n">
        <v>0.5659999999999999</v>
      </c>
      <c r="J607" s="5" t="n">
        <v>12.286</v>
      </c>
      <c r="K607" s="5" t="n">
        <v>0</v>
      </c>
      <c r="L607" s="5" t="n">
        <v>1</v>
      </c>
      <c r="M607" s="5" t="n">
        <v>9.782999999999999</v>
      </c>
      <c r="N607" s="5" t="n">
        <v>3.704</v>
      </c>
      <c r="O607" s="5" t="n">
        <v>0.328</v>
      </c>
      <c r="P607" s="5" t="n">
        <v>10.111</v>
      </c>
      <c r="Q607" s="5" t="n">
        <v>0</v>
      </c>
      <c r="R607" s="5" t="n">
        <v>1</v>
      </c>
      <c r="S607" s="5" t="n">
        <v>17.893</v>
      </c>
      <c r="T607" s="5" t="n">
        <v>7.408</v>
      </c>
      <c r="U607" s="5" t="n">
        <v>0.634</v>
      </c>
      <c r="V607" s="5" t="n">
        <v>19.382</v>
      </c>
      <c r="W607" s="5" t="n">
        <v>0.05</v>
      </c>
      <c r="X607" s="5" t="n">
        <v>1</v>
      </c>
      <c r="Y607" s="5" t="n">
        <v>6.876</v>
      </c>
      <c r="Z607" s="5" t="n">
        <v>0.806</v>
      </c>
      <c r="AA607" s="5" t="n">
        <v>-2.879</v>
      </c>
      <c r="AB607" s="5" t="n">
        <v>3.997</v>
      </c>
      <c r="AC607" s="5" t="n">
        <v>0</v>
      </c>
      <c r="AD607" s="5" t="n">
        <v>0</v>
      </c>
      <c r="AE607" s="5" t="n">
        <v>7.528</v>
      </c>
      <c r="AF607" s="5" t="n">
        <v>1.552</v>
      </c>
      <c r="AG607" s="5" t="n">
        <v>-4.115</v>
      </c>
      <c r="AH607" s="5" t="n">
        <v>3.412</v>
      </c>
      <c r="AI607" s="5" t="n">
        <v>0</v>
      </c>
      <c r="AJ607" s="5" t="n">
        <v>0</v>
      </c>
      <c r="AK607" s="5" t="n">
        <v>11.434</v>
      </c>
      <c r="AL607" s="5" t="n">
        <v>5.593</v>
      </c>
      <c r="AM607" s="5" t="n">
        <v>0.121</v>
      </c>
      <c r="AN607" s="5" t="n">
        <v>12.088</v>
      </c>
      <c r="AO607" s="5" t="n">
        <v>0.05</v>
      </c>
      <c r="AP607" s="5" t="n">
        <v>1</v>
      </c>
      <c r="AQ607" s="5" t="n">
        <v>0.847</v>
      </c>
      <c r="AR607" s="5" t="n">
        <v>0.123</v>
      </c>
      <c r="AS607" s="5" t="n">
        <v>-0.255</v>
      </c>
      <c r="AT607" s="5" t="n">
        <v>0.622</v>
      </c>
      <c r="AU607" s="5" t="n">
        <v>0</v>
      </c>
      <c r="AV607" s="5" t="n">
        <v>0</v>
      </c>
      <c r="AW607" s="5" t="n">
        <v>0.947</v>
      </c>
      <c r="AX607" s="5" t="n">
        <v>0.123</v>
      </c>
      <c r="AY607" s="5" t="n">
        <v>-0.308</v>
      </c>
      <c r="AZ607" s="5" t="n">
        <v>0.671</v>
      </c>
      <c r="BA607" s="5" t="n">
        <v>0.05</v>
      </c>
      <c r="BB607" s="5" t="n">
        <v>1</v>
      </c>
      <c r="BC607" s="5" t="n">
        <v>0.589</v>
      </c>
      <c r="BD607" s="5" t="n">
        <v>0.123</v>
      </c>
      <c r="BE607" s="5" t="n">
        <v>0.002</v>
      </c>
      <c r="BF607" s="5" t="n">
        <v>0.618</v>
      </c>
      <c r="BG607" s="5" t="n">
        <v>0.05</v>
      </c>
      <c r="BH607" s="5" t="n">
        <v>1</v>
      </c>
      <c r="BI607" s="5" t="n">
        <v>0.6889999999999999</v>
      </c>
      <c r="BJ607" s="5" t="n">
        <v>0.123</v>
      </c>
      <c r="BK607" s="5" t="n">
        <v>0.003</v>
      </c>
      <c r="BL607" s="5" t="n">
        <v>0.723</v>
      </c>
      <c r="BM607" s="5" t="n">
        <v>0.05</v>
      </c>
      <c r="BN607" s="5" t="n">
        <v>1</v>
      </c>
      <c r="BO607" s="5" t="n">
        <v>0</v>
      </c>
      <c r="BP607" s="5" t="n">
        <v>0</v>
      </c>
      <c r="BQ607" s="5" t="n">
        <v>0.065</v>
      </c>
      <c r="BR607" s="5" t="n">
        <v>0</v>
      </c>
      <c r="BS607" s="5" t="n">
        <v>0.667</v>
      </c>
      <c r="BT607" s="5" t="n">
        <v>0</v>
      </c>
      <c r="BU607" s="5" t="n">
        <v>0</v>
      </c>
      <c r="BV607" s="5" t="n">
        <v>0.055</v>
      </c>
      <c r="BW607" s="5" t="n">
        <v>0.05</v>
      </c>
      <c r="BX607" s="5" t="n">
        <v>0.833</v>
      </c>
      <c r="BY607" s="5" t="n">
        <v>12.729</v>
      </c>
      <c r="BZ607" s="5" t="n">
        <v>0</v>
      </c>
      <c r="CA607" s="5" t="n">
        <v>12.729</v>
      </c>
      <c r="CB607" s="5" t="n">
        <v>0</v>
      </c>
      <c r="CC607" s="5" t="n">
        <v>102.477</v>
      </c>
      <c r="CD607" s="5" t="n">
        <v>7.95</v>
      </c>
      <c r="CE607" s="5" t="n">
        <v>0.379</v>
      </c>
      <c r="CF607" s="5" t="n">
        <v>107.6</v>
      </c>
      <c r="CG607" s="5" t="n">
        <v>0.05</v>
      </c>
      <c r="CH607" s="5" t="n">
        <v>1</v>
      </c>
      <c r="CI607" s="5" t="n">
        <v>0</v>
      </c>
      <c r="CJ607" s="5" t="n">
        <v>0</v>
      </c>
      <c r="CK607" s="5" t="n">
        <v>0</v>
      </c>
      <c r="CL607" s="5" t="n">
        <v>0</v>
      </c>
      <c r="CM607" s="5" t="n">
        <v>0</v>
      </c>
      <c r="CN607" s="5" t="n">
        <v>0</v>
      </c>
      <c r="CO607" s="5" t="n">
        <v>0</v>
      </c>
      <c r="CP607" s="5" t="n">
        <v>0</v>
      </c>
      <c r="CQ607" s="5" t="n">
        <v>1.294</v>
      </c>
      <c r="CR607" s="5" t="n">
        <v>0.945</v>
      </c>
      <c r="CS607" s="5" t="n">
        <v>5.3</v>
      </c>
      <c r="CT607" s="5" t="n">
        <v>10.485</v>
      </c>
      <c r="CU607" s="5" t="n">
        <v>28.059</v>
      </c>
    </row>
    <row r="608">
      <c r="A608" s="5" t="inlineStr">
        <is>
          <t>OMN2023</t>
        </is>
      </c>
      <c r="B608" s="5" t="inlineStr">
        <is>
          <t>OMN</t>
        </is>
      </c>
      <c r="C608" s="5" t="inlineStr">
        <is>
          <t>OMN</t>
        </is>
      </c>
      <c r="D608" s="5" t="inlineStr">
        <is>
          <t>Oman</t>
        </is>
      </c>
      <c r="E608" s="5" t="n">
        <v>2023</v>
      </c>
      <c r="F608" s="5" t="n">
        <v>0.05</v>
      </c>
      <c r="G608" s="5" t="n">
        <v>6.147</v>
      </c>
      <c r="H608" s="5" t="n">
        <v>1.286</v>
      </c>
      <c r="I608" s="5" t="n">
        <v>0.273</v>
      </c>
      <c r="J608" s="5" t="n">
        <v>6.42</v>
      </c>
      <c r="K608" s="5" t="n">
        <v>0</v>
      </c>
      <c r="L608" s="5" t="n">
        <v>1</v>
      </c>
      <c r="M608" s="5" t="n">
        <v>7.886</v>
      </c>
      <c r="N608" s="5" t="n">
        <v>3.857</v>
      </c>
      <c r="O608" s="5" t="n">
        <v>0.227</v>
      </c>
      <c r="P608" s="5" t="n">
        <v>8.113</v>
      </c>
      <c r="Q608" s="5" t="n">
        <v>0</v>
      </c>
      <c r="R608" s="5" t="n">
        <v>1</v>
      </c>
      <c r="S608" s="5" t="n">
        <v>12.575</v>
      </c>
      <c r="T608" s="5" t="n">
        <v>7.714</v>
      </c>
      <c r="U608" s="5" t="n">
        <v>0.344</v>
      </c>
      <c r="V608" s="5" t="n">
        <v>13.491</v>
      </c>
      <c r="W608" s="5" t="n">
        <v>0.05</v>
      </c>
      <c r="X608" s="5" t="n">
        <v>1</v>
      </c>
      <c r="Y608" s="5" t="n">
        <v>6.442</v>
      </c>
      <c r="Z608" s="5" t="n">
        <v>0.755</v>
      </c>
      <c r="AA608" s="5" t="n">
        <v>-2.421</v>
      </c>
      <c r="AB608" s="5" t="n">
        <v>4.021</v>
      </c>
      <c r="AC608" s="5" t="n">
        <v>0</v>
      </c>
      <c r="AD608" s="5" t="n">
        <v>0</v>
      </c>
      <c r="AE608" s="5" t="n">
        <v>7.128</v>
      </c>
      <c r="AF608" s="5" t="n">
        <v>1.469</v>
      </c>
      <c r="AG608" s="5" t="n">
        <v>-3.716</v>
      </c>
      <c r="AH608" s="5" t="n">
        <v>3.412</v>
      </c>
      <c r="AI608" s="5" t="n">
        <v>0</v>
      </c>
      <c r="AJ608" s="5" t="n">
        <v>0</v>
      </c>
      <c r="AK608" s="5" t="n">
        <v>11.241</v>
      </c>
      <c r="AL608" s="5" t="n">
        <v>5.499</v>
      </c>
      <c r="AM608" s="5" t="n">
        <v>0.095</v>
      </c>
      <c r="AN608" s="5" t="n">
        <v>11.838</v>
      </c>
      <c r="AO608" s="5" t="n">
        <v>0.05</v>
      </c>
      <c r="AP608" s="5" t="n">
        <v>1</v>
      </c>
      <c r="AQ608" s="5" t="n">
        <v>0.749</v>
      </c>
      <c r="AR608" s="5" t="n">
        <v>0.129</v>
      </c>
      <c r="AS608" s="5" t="n">
        <v>-0.157</v>
      </c>
      <c r="AT608" s="5" t="n">
        <v>0.622</v>
      </c>
      <c r="AU608" s="5" t="n">
        <v>0</v>
      </c>
      <c r="AV608" s="5" t="n">
        <v>0</v>
      </c>
      <c r="AW608" s="5" t="n">
        <v>0.783</v>
      </c>
      <c r="AX608" s="5" t="n">
        <v>0.129</v>
      </c>
      <c r="AY608" s="5" t="n">
        <v>-0.143</v>
      </c>
      <c r="AZ608" s="5" t="n">
        <v>0.671</v>
      </c>
      <c r="BA608" s="5" t="n">
        <v>0.05</v>
      </c>
      <c r="BB608" s="5" t="n">
        <v>1</v>
      </c>
      <c r="BC608" s="5" t="n">
        <v>0.527</v>
      </c>
      <c r="BD608" s="5" t="n">
        <v>0.129</v>
      </c>
      <c r="BE608" s="5" t="n">
        <v>0.003</v>
      </c>
      <c r="BF608" s="5" t="n">
        <v>0.554</v>
      </c>
      <c r="BG608" s="5" t="n">
        <v>0.05</v>
      </c>
      <c r="BH608" s="5" t="n">
        <v>1</v>
      </c>
      <c r="BI608" s="5" t="n">
        <v>0.64</v>
      </c>
      <c r="BJ608" s="5" t="n">
        <v>0.129</v>
      </c>
      <c r="BK608" s="5" t="n">
        <v>0.004</v>
      </c>
      <c r="BL608" s="5" t="n">
        <v>0.672</v>
      </c>
      <c r="BM608" s="5" t="n">
        <v>0.05</v>
      </c>
      <c r="BN608" s="5" t="n">
        <v>1</v>
      </c>
      <c r="BO608" s="5" t="n">
        <v>0</v>
      </c>
      <c r="BP608" s="5" t="n">
        <v>0</v>
      </c>
      <c r="BQ608" s="5" t="n">
        <v>0.12</v>
      </c>
      <c r="BR608" s="5" t="n">
        <v>0</v>
      </c>
      <c r="BS608" s="5" t="n">
        <v>0.667</v>
      </c>
      <c r="BT608" s="5" t="n">
        <v>0</v>
      </c>
      <c r="BU608" s="5" t="n">
        <v>0</v>
      </c>
      <c r="BV608" s="5" t="n">
        <v>0.036</v>
      </c>
      <c r="BW608" s="5" t="n">
        <v>0.05</v>
      </c>
      <c r="BX608" s="5" t="n">
        <v>0.833</v>
      </c>
      <c r="BY608" s="5" t="n">
        <v>13.254</v>
      </c>
      <c r="BZ608" s="5" t="n">
        <v>0</v>
      </c>
      <c r="CA608" s="5" t="n">
        <v>13.254</v>
      </c>
      <c r="CB608" s="5" t="n">
        <v>0</v>
      </c>
      <c r="CC608" s="5" t="n">
        <v>87.07899999999999</v>
      </c>
      <c r="CD608" s="5" t="n">
        <v>7.95</v>
      </c>
      <c r="CE608" s="5" t="n">
        <v>0.482</v>
      </c>
      <c r="CF608" s="5" t="n">
        <v>91.43300000000001</v>
      </c>
      <c r="CG608" s="5" t="n">
        <v>0.05</v>
      </c>
      <c r="CH608" s="5" t="n">
        <v>1</v>
      </c>
      <c r="CI608" s="5" t="n">
        <v>0</v>
      </c>
      <c r="CJ608" s="5" t="n">
        <v>0</v>
      </c>
      <c r="CK608" s="5" t="n">
        <v>0</v>
      </c>
      <c r="CL608" s="5" t="n">
        <v>0</v>
      </c>
      <c r="CM608" s="5" t="n">
        <v>0</v>
      </c>
      <c r="CN608" s="5" t="n">
        <v>0</v>
      </c>
      <c r="CO608" s="5" t="n">
        <v>0</v>
      </c>
      <c r="CP608" s="5" t="n">
        <v>0</v>
      </c>
      <c r="CQ608" s="5" t="n">
        <v>1.348</v>
      </c>
      <c r="CR608" s="5" t="n">
        <v>0.9330000000000001</v>
      </c>
      <c r="CS608" s="5" t="n">
        <v>5.519</v>
      </c>
      <c r="CT608" s="5" t="n">
        <v>4.861</v>
      </c>
      <c r="CU608" s="5" t="n">
        <v>9.260999999999999</v>
      </c>
    </row>
    <row r="609">
      <c r="A609" s="5" t="inlineStr">
        <is>
          <t>OMN2024</t>
        </is>
      </c>
      <c r="B609" s="5" t="inlineStr">
        <is>
          <t>OMN</t>
        </is>
      </c>
      <c r="C609" s="5" t="inlineStr">
        <is>
          <t>OMN</t>
        </is>
      </c>
      <c r="D609" s="5" t="inlineStr">
        <is>
          <t>Oman</t>
        </is>
      </c>
      <c r="E609" s="5" t="n">
        <v>2024</v>
      </c>
      <c r="F609" s="5" t="n">
        <v>0.05</v>
      </c>
      <c r="G609" s="5" t="n">
        <v>5.575</v>
      </c>
      <c r="H609" s="5" t="n">
        <v>1.324</v>
      </c>
      <c r="I609" s="5" t="n">
        <v>0.213</v>
      </c>
      <c r="J609" s="5" t="n">
        <v>5.787</v>
      </c>
      <c r="K609" s="5" t="n">
        <v>0</v>
      </c>
      <c r="L609" s="5" t="n">
        <v>1</v>
      </c>
      <c r="M609" s="5" t="n">
        <v>7.124</v>
      </c>
      <c r="N609" s="5" t="n">
        <v>3.971</v>
      </c>
      <c r="O609" s="5" t="n">
        <v>0.158</v>
      </c>
      <c r="P609" s="5" t="n">
        <v>7.281</v>
      </c>
      <c r="Q609" s="5" t="n">
        <v>0</v>
      </c>
      <c r="R609" s="5" t="n">
        <v>1</v>
      </c>
      <c r="S609" s="5" t="n">
        <v>12.193</v>
      </c>
      <c r="T609" s="5" t="n">
        <v>7.942</v>
      </c>
      <c r="U609" s="5" t="n">
        <v>0.297</v>
      </c>
      <c r="V609" s="5" t="n">
        <v>13.026</v>
      </c>
      <c r="W609" s="5" t="n">
        <v>0.05</v>
      </c>
      <c r="X609" s="5" t="n">
        <v>1</v>
      </c>
      <c r="Y609" s="5" t="n">
        <v>6.506</v>
      </c>
      <c r="Z609" s="5" t="n">
        <v>0.762</v>
      </c>
      <c r="AA609" s="5" t="n">
        <v>-2.492</v>
      </c>
      <c r="AB609" s="5" t="n">
        <v>4.014</v>
      </c>
      <c r="AC609" s="5" t="n">
        <v>0</v>
      </c>
      <c r="AD609" s="5" t="n">
        <v>0</v>
      </c>
      <c r="AE609" s="5" t="n">
        <v>7.212</v>
      </c>
      <c r="AF609" s="5" t="n">
        <v>1.487</v>
      </c>
      <c r="AG609" s="5" t="n">
        <v>-3.699</v>
      </c>
      <c r="AH609" s="5" t="n">
        <v>3.513</v>
      </c>
      <c r="AI609" s="5" t="n">
        <v>0</v>
      </c>
      <c r="AJ609" s="5" t="n">
        <v>0</v>
      </c>
      <c r="AK609" s="5" t="n">
        <v>11.447</v>
      </c>
      <c r="AL609" s="5" t="n">
        <v>5.599</v>
      </c>
      <c r="AM609" s="5" t="n">
        <v>0.103</v>
      </c>
      <c r="AN609" s="5" t="n">
        <v>12.046</v>
      </c>
      <c r="AO609" s="5" t="n">
        <v>0.05</v>
      </c>
      <c r="AP609" s="5" t="n">
        <v>1</v>
      </c>
      <c r="AQ609" s="5" t="n">
        <v>0.72</v>
      </c>
      <c r="AR609" s="5" t="n">
        <v>0.132</v>
      </c>
      <c r="AS609" s="5" t="n">
        <v>-0.128</v>
      </c>
      <c r="AT609" s="5" t="n">
        <v>0.622</v>
      </c>
      <c r="AU609" s="5" t="n">
        <v>0</v>
      </c>
      <c r="AV609" s="5" t="n">
        <v>0</v>
      </c>
      <c r="AW609" s="5" t="n">
        <v>0.734</v>
      </c>
      <c r="AX609" s="5" t="n">
        <v>0.132</v>
      </c>
      <c r="AY609" s="5" t="n">
        <v>-0.095</v>
      </c>
      <c r="AZ609" s="5" t="n">
        <v>0.671</v>
      </c>
      <c r="BA609" s="5" t="n">
        <v>0.05</v>
      </c>
      <c r="BB609" s="5" t="n">
        <v>1</v>
      </c>
      <c r="BC609" s="5" t="n">
        <v>0.51</v>
      </c>
      <c r="BD609" s="5" t="n">
        <v>0.132</v>
      </c>
      <c r="BE609" s="5" t="n">
        <v>0.003</v>
      </c>
      <c r="BF609" s="5" t="n">
        <v>0.536</v>
      </c>
      <c r="BG609" s="5" t="n">
        <v>0.05</v>
      </c>
      <c r="BH609" s="5" t="n">
        <v>1</v>
      </c>
      <c r="BI609" s="5" t="n">
        <v>0.652</v>
      </c>
      <c r="BJ609" s="5" t="n">
        <v>0.132</v>
      </c>
      <c r="BK609" s="5" t="n">
        <v>0.004</v>
      </c>
      <c r="BL609" s="5" t="n">
        <v>0.6850000000000001</v>
      </c>
      <c r="BM609" s="5" t="n">
        <v>0.05</v>
      </c>
      <c r="BN609" s="5" t="n">
        <v>1</v>
      </c>
      <c r="BO609" s="5" t="n">
        <v>0</v>
      </c>
      <c r="BP609" s="5" t="n">
        <v>0</v>
      </c>
      <c r="BQ609" s="5" t="n">
        <v>0.09</v>
      </c>
      <c r="BR609" s="5" t="n">
        <v>0</v>
      </c>
      <c r="BS609" s="5" t="n">
        <v>0.667</v>
      </c>
      <c r="BT609" s="5" t="n">
        <v>0</v>
      </c>
      <c r="BU609" s="5" t="n">
        <v>0</v>
      </c>
      <c r="BV609" s="5" t="n">
        <v>0.048</v>
      </c>
      <c r="BW609" s="5" t="n">
        <v>0.05</v>
      </c>
      <c r="BX609" s="5" t="n">
        <v>0.833</v>
      </c>
      <c r="BY609" s="5" t="n">
        <v>13.646</v>
      </c>
      <c r="BZ609" s="5" t="n">
        <v>0</v>
      </c>
      <c r="CA609" s="5" t="n">
        <v>13.646</v>
      </c>
      <c r="CB609" s="5" t="n">
        <v>0</v>
      </c>
      <c r="CC609" s="5" t="n">
        <v>86.38500000000001</v>
      </c>
      <c r="CD609" s="5" t="n">
        <v>7.95</v>
      </c>
      <c r="CE609" s="5" t="n">
        <v>0.588</v>
      </c>
      <c r="CF609" s="5" t="n">
        <v>90.705</v>
      </c>
      <c r="CG609" s="5" t="n">
        <v>0.05</v>
      </c>
      <c r="CH609" s="5" t="n">
        <v>1</v>
      </c>
      <c r="CI609" s="5" t="n">
        <v>0</v>
      </c>
      <c r="CJ609" s="5" t="n">
        <v>0</v>
      </c>
      <c r="CK609" s="5" t="n">
        <v>0</v>
      </c>
      <c r="CL609" s="5" t="n">
        <v>0</v>
      </c>
      <c r="CM609" s="5" t="n">
        <v>0</v>
      </c>
      <c r="CN609" s="5" t="n">
        <v>0</v>
      </c>
      <c r="CO609" s="5" t="n">
        <v>0</v>
      </c>
      <c r="CP609" s="5" t="n">
        <v>0</v>
      </c>
      <c r="CQ609" s="5" t="n">
        <v>1.387</v>
      </c>
      <c r="CR609" s="5" t="n">
        <v>0.9330000000000001</v>
      </c>
      <c r="CS609" s="5" t="n">
        <v>5.681</v>
      </c>
      <c r="CT609" s="5" t="n">
        <v>4.251</v>
      </c>
      <c r="CU609" s="5" t="n">
        <v>7.598</v>
      </c>
    </row>
    <row r="610">
      <c r="A610" s="5" t="inlineStr">
        <is>
          <t>PAK2021</t>
        </is>
      </c>
      <c r="B610" s="5" t="inlineStr">
        <is>
          <t>PAK</t>
        </is>
      </c>
      <c r="C610" s="5" t="inlineStr">
        <is>
          <t>PAK</t>
        </is>
      </c>
      <c r="D610" s="5" t="inlineStr">
        <is>
          <t>Pakistan</t>
        </is>
      </c>
      <c r="E610" s="5" t="n">
        <v>2021</v>
      </c>
      <c r="F610" s="5" t="n">
        <v>0.17</v>
      </c>
      <c r="G610" s="5" t="n">
        <v>4.075</v>
      </c>
      <c r="H610" s="5" t="n">
        <v>1.014</v>
      </c>
      <c r="I610" s="5" t="n">
        <v>0.08400000000000001</v>
      </c>
      <c r="J610" s="5" t="n">
        <v>4.158</v>
      </c>
      <c r="K610" s="5" t="n">
        <v>0</v>
      </c>
      <c r="L610" s="5" t="n">
        <v>1</v>
      </c>
      <c r="M610" s="5" t="n">
        <v>6.823</v>
      </c>
      <c r="N610" s="5" t="n">
        <v>3.042</v>
      </c>
      <c r="O610" s="5" t="n">
        <v>0.105</v>
      </c>
      <c r="P610" s="5" t="n">
        <v>6.928</v>
      </c>
      <c r="Q610" s="5" t="n">
        <v>0</v>
      </c>
      <c r="R610" s="5" t="n">
        <v>1</v>
      </c>
      <c r="S610" s="5" t="n">
        <v>9.145</v>
      </c>
      <c r="T610" s="5" t="n">
        <v>6.085</v>
      </c>
      <c r="U610" s="5" t="n">
        <v>0.08400000000000001</v>
      </c>
      <c r="V610" s="5" t="n">
        <v>10.798</v>
      </c>
      <c r="W610" s="5" t="n">
        <v>0.17</v>
      </c>
      <c r="X610" s="5" t="n">
        <v>1</v>
      </c>
      <c r="Y610" s="5" t="n">
        <v>4.212</v>
      </c>
      <c r="Z610" s="5" t="n">
        <v>0.464</v>
      </c>
      <c r="AA610" s="5" t="n">
        <v>2.346</v>
      </c>
      <c r="AB610" s="5" t="n">
        <v>6.558</v>
      </c>
      <c r="AC610" s="5" t="n">
        <v>0</v>
      </c>
      <c r="AD610" s="5" t="n">
        <v>1</v>
      </c>
      <c r="AE610" s="5" t="n">
        <v>4.963</v>
      </c>
      <c r="AF610" s="5" t="n">
        <v>0.962</v>
      </c>
      <c r="AG610" s="5" t="n">
        <v>1.169</v>
      </c>
      <c r="AH610" s="5" t="n">
        <v>6.132</v>
      </c>
      <c r="AI610" s="5" t="n">
        <v>0</v>
      </c>
      <c r="AJ610" s="5" t="n">
        <v>1</v>
      </c>
      <c r="AK610" s="5" t="n">
        <v>9.471</v>
      </c>
      <c r="AL610" s="5" t="n">
        <v>4.441</v>
      </c>
      <c r="AM610" s="5" t="n">
        <v>-7.979</v>
      </c>
      <c r="AN610" s="5" t="n">
        <v>1.745</v>
      </c>
      <c r="AO610" s="5" t="n">
        <v>0</v>
      </c>
      <c r="AP610" s="5" t="n">
        <v>0</v>
      </c>
      <c r="AQ610" s="5" t="n">
        <v>0.621</v>
      </c>
      <c r="AR610" s="5" t="n">
        <v>0.114</v>
      </c>
      <c r="AS610" s="5" t="n">
        <v>-0.051</v>
      </c>
      <c r="AT610" s="5" t="n">
        <v>0.666</v>
      </c>
      <c r="AU610" s="5" t="n">
        <v>0.17</v>
      </c>
      <c r="AV610" s="5" t="n">
        <v>1</v>
      </c>
      <c r="AW610" s="5" t="n">
        <v>0.593</v>
      </c>
      <c r="AX610" s="5" t="n">
        <v>0.114</v>
      </c>
      <c r="AY610" s="5" t="n">
        <v>-0.012</v>
      </c>
      <c r="AZ610" s="5" t="n">
        <v>0.68</v>
      </c>
      <c r="BA610" s="5" t="n">
        <v>0.17</v>
      </c>
      <c r="BB610" s="5" t="n">
        <v>1</v>
      </c>
      <c r="BC610" s="5" t="n">
        <v>0.44</v>
      </c>
      <c r="BD610" s="5" t="n">
        <v>0.114</v>
      </c>
      <c r="BE610" s="5" t="n">
        <v>0.024</v>
      </c>
      <c r="BF610" s="5" t="n">
        <v>0.543</v>
      </c>
      <c r="BG610" s="5" t="n">
        <v>0.17</v>
      </c>
      <c r="BH610" s="5" t="n">
        <v>1</v>
      </c>
      <c r="BI610" s="5" t="n">
        <v>0.5600000000000001</v>
      </c>
      <c r="BJ610" s="5" t="n">
        <v>0.114</v>
      </c>
      <c r="BK610" s="5" t="n">
        <v>-0.14</v>
      </c>
      <c r="BL610" s="5" t="n">
        <v>0.491</v>
      </c>
      <c r="BM610" s="5" t="n">
        <v>0</v>
      </c>
      <c r="BN610" s="5" t="n">
        <v>0</v>
      </c>
      <c r="BO610" s="5" t="n">
        <v>0</v>
      </c>
      <c r="BP610" s="5" t="n">
        <v>-0.008999999999999999</v>
      </c>
      <c r="BQ610" s="5" t="n">
        <v>0.107</v>
      </c>
      <c r="BR610" s="5" t="n">
        <v>0</v>
      </c>
      <c r="BS610" s="5" t="n">
        <v>1</v>
      </c>
      <c r="BT610" s="5" t="n">
        <v>0</v>
      </c>
      <c r="BU610" s="5" t="n">
        <v>-0.008999999999999999</v>
      </c>
      <c r="BV610" s="5" t="n">
        <v>0.108</v>
      </c>
      <c r="BW610" s="5" t="n">
        <v>0</v>
      </c>
      <c r="BX610" s="5" t="n">
        <v>1</v>
      </c>
      <c r="BY610" s="5" t="n">
        <v>11.787</v>
      </c>
      <c r="BZ610" s="5" t="n">
        <v>0</v>
      </c>
      <c r="CA610" s="5" t="n">
        <v>11.787</v>
      </c>
      <c r="CB610" s="5" t="n">
        <v>0</v>
      </c>
      <c r="CC610" s="5" t="n">
        <v>81.69499999999999</v>
      </c>
      <c r="CD610" s="5" t="n">
        <v>7.95</v>
      </c>
      <c r="CE610" s="5" t="n">
        <v>45.811</v>
      </c>
      <c r="CF610" s="5" t="n">
        <v>149.182</v>
      </c>
      <c r="CG610" s="5" t="n">
        <v>0.17</v>
      </c>
      <c r="CH610" s="5" t="n">
        <v>1</v>
      </c>
      <c r="CI610" s="5" t="n">
        <v>0</v>
      </c>
      <c r="CJ610" s="5" t="n">
        <v>0</v>
      </c>
      <c r="CK610" s="5" t="n">
        <v>0</v>
      </c>
      <c r="CL610" s="5" t="n">
        <v>0</v>
      </c>
      <c r="CM610" s="5" t="n">
        <v>0</v>
      </c>
      <c r="CN610" s="5" t="n">
        <v>0</v>
      </c>
      <c r="CO610" s="5" t="n">
        <v>0</v>
      </c>
      <c r="CP610" s="5" t="n">
        <v>0.226</v>
      </c>
      <c r="CQ610" s="5" t="n">
        <v>1.198</v>
      </c>
      <c r="CR610" s="5" t="n">
        <v>0.6860000000000001</v>
      </c>
      <c r="CS610" s="5" t="n">
        <v>2.13</v>
      </c>
      <c r="CT610" s="5" t="n">
        <v>3.604</v>
      </c>
      <c r="CU610" s="5" t="n">
        <v>6.361</v>
      </c>
    </row>
    <row r="611">
      <c r="A611" s="5" t="inlineStr">
        <is>
          <t>PAK2022</t>
        </is>
      </c>
      <c r="B611" s="5" t="inlineStr">
        <is>
          <t>PAK</t>
        </is>
      </c>
      <c r="C611" s="5" t="inlineStr">
        <is>
          <t>PAK</t>
        </is>
      </c>
      <c r="D611" s="5" t="inlineStr">
        <is>
          <t>Pakistan</t>
        </is>
      </c>
      <c r="E611" s="5" t="n">
        <v>2022</v>
      </c>
      <c r="F611" s="5" t="n">
        <v>0.17</v>
      </c>
      <c r="G611" s="5" t="n">
        <v>7.234</v>
      </c>
      <c r="H611" s="5" t="n">
        <v>1.095</v>
      </c>
      <c r="I611" s="5" t="n">
        <v>0.189</v>
      </c>
      <c r="J611" s="5" t="n">
        <v>7.424</v>
      </c>
      <c r="K611" s="5" t="n">
        <v>0</v>
      </c>
      <c r="L611" s="5" t="n">
        <v>1</v>
      </c>
      <c r="M611" s="5" t="n">
        <v>8.282999999999999</v>
      </c>
      <c r="N611" s="5" t="n">
        <v>3.286</v>
      </c>
      <c r="O611" s="5" t="n">
        <v>0.152</v>
      </c>
      <c r="P611" s="5" t="n">
        <v>8.435</v>
      </c>
      <c r="Q611" s="5" t="n">
        <v>0</v>
      </c>
      <c r="R611" s="5" t="n">
        <v>1</v>
      </c>
      <c r="S611" s="5" t="n">
        <v>12.71</v>
      </c>
      <c r="T611" s="5" t="n">
        <v>6.571</v>
      </c>
      <c r="U611" s="5" t="n">
        <v>0.352</v>
      </c>
      <c r="V611" s="5" t="n">
        <v>15.093</v>
      </c>
      <c r="W611" s="5" t="n">
        <v>0.17</v>
      </c>
      <c r="X611" s="5" t="n">
        <v>1</v>
      </c>
      <c r="Y611" s="5" t="n">
        <v>5.475</v>
      </c>
      <c r="Z611" s="5" t="n">
        <v>0.603</v>
      </c>
      <c r="AA611" s="5" t="n">
        <v>2.534</v>
      </c>
      <c r="AB611" s="5" t="n">
        <v>8.007999999999999</v>
      </c>
      <c r="AC611" s="5" t="n">
        <v>0</v>
      </c>
      <c r="AD611" s="5" t="n">
        <v>1</v>
      </c>
      <c r="AE611" s="5" t="n">
        <v>6.255</v>
      </c>
      <c r="AF611" s="5" t="n">
        <v>1.213</v>
      </c>
      <c r="AG611" s="5" t="n">
        <v>-1.379</v>
      </c>
      <c r="AH611" s="5" t="n">
        <v>4.876</v>
      </c>
      <c r="AI611" s="5" t="n">
        <v>0</v>
      </c>
      <c r="AJ611" s="5" t="n">
        <v>1</v>
      </c>
      <c r="AK611" s="5" t="n">
        <v>10.935</v>
      </c>
      <c r="AL611" s="5" t="n">
        <v>5.127</v>
      </c>
      <c r="AM611" s="5" t="n">
        <v>-9.749000000000001</v>
      </c>
      <c r="AN611" s="5" t="n">
        <v>1.388</v>
      </c>
      <c r="AO611" s="5" t="n">
        <v>0</v>
      </c>
      <c r="AP611" s="5" t="n">
        <v>0</v>
      </c>
      <c r="AQ611" s="5" t="n">
        <v>0.847</v>
      </c>
      <c r="AR611" s="5" t="n">
        <v>0.123</v>
      </c>
      <c r="AS611" s="5" t="n">
        <v>-0.047</v>
      </c>
      <c r="AT611" s="5" t="n">
        <v>0.9360000000000001</v>
      </c>
      <c r="AU611" s="5" t="n">
        <v>0.17</v>
      </c>
      <c r="AV611" s="5" t="n">
        <v>1</v>
      </c>
      <c r="AW611" s="5" t="n">
        <v>0.947</v>
      </c>
      <c r="AX611" s="5" t="n">
        <v>0.123</v>
      </c>
      <c r="AY611" s="5" t="n">
        <v>-0.143</v>
      </c>
      <c r="AZ611" s="5" t="n">
        <v>0.9409999999999999</v>
      </c>
      <c r="BA611" s="5" t="n">
        <v>0.17</v>
      </c>
      <c r="BB611" s="5" t="n">
        <v>1</v>
      </c>
      <c r="BC611" s="5" t="n">
        <v>0.589</v>
      </c>
      <c r="BD611" s="5" t="n">
        <v>0.123</v>
      </c>
      <c r="BE611" s="5" t="n">
        <v>-0.06900000000000001</v>
      </c>
      <c r="BF611" s="5" t="n">
        <v>0.607</v>
      </c>
      <c r="BG611" s="5" t="n">
        <v>0.17</v>
      </c>
      <c r="BH611" s="5" t="n">
        <v>1</v>
      </c>
      <c r="BI611" s="5" t="n">
        <v>0.6889999999999999</v>
      </c>
      <c r="BJ611" s="5" t="n">
        <v>0.123</v>
      </c>
      <c r="BK611" s="5" t="n">
        <v>-0.049</v>
      </c>
      <c r="BL611" s="5" t="n">
        <v>0.749</v>
      </c>
      <c r="BM611" s="5" t="n">
        <v>0</v>
      </c>
      <c r="BN611" s="5" t="n">
        <v>0</v>
      </c>
      <c r="BO611" s="5" t="n">
        <v>0</v>
      </c>
      <c r="BP611" s="5" t="n">
        <v>-0.052</v>
      </c>
      <c r="BQ611" s="5" t="n">
        <v>0.124</v>
      </c>
      <c r="BR611" s="5" t="n">
        <v>0</v>
      </c>
      <c r="BS611" s="5" t="n">
        <v>1</v>
      </c>
      <c r="BT611" s="5" t="n">
        <v>0</v>
      </c>
      <c r="BU611" s="5" t="n">
        <v>-0.052</v>
      </c>
      <c r="BV611" s="5" t="n">
        <v>0.114</v>
      </c>
      <c r="BW611" s="5" t="n">
        <v>0</v>
      </c>
      <c r="BX611" s="5" t="n">
        <v>1</v>
      </c>
      <c r="BY611" s="5" t="n">
        <v>12.729</v>
      </c>
      <c r="BZ611" s="5" t="n">
        <v>0</v>
      </c>
      <c r="CA611" s="5" t="n">
        <v>12.729</v>
      </c>
      <c r="CB611" s="5" t="n">
        <v>0</v>
      </c>
      <c r="CC611" s="5" t="n">
        <v>102.477</v>
      </c>
      <c r="CD611" s="5" t="n">
        <v>7.95</v>
      </c>
      <c r="CE611" s="5" t="n">
        <v>49.287</v>
      </c>
      <c r="CF611" s="5" t="n">
        <v>175.357</v>
      </c>
      <c r="CG611" s="5" t="n">
        <v>0.17</v>
      </c>
      <c r="CH611" s="5" t="n">
        <v>1</v>
      </c>
      <c r="CI611" s="5" t="n">
        <v>0</v>
      </c>
      <c r="CJ611" s="5" t="n">
        <v>0</v>
      </c>
      <c r="CK611" s="5" t="n">
        <v>0</v>
      </c>
      <c r="CL611" s="5" t="n">
        <v>0</v>
      </c>
      <c r="CM611" s="5" t="n">
        <v>0</v>
      </c>
      <c r="CN611" s="5" t="n">
        <v>0</v>
      </c>
      <c r="CO611" s="5" t="n">
        <v>0</v>
      </c>
      <c r="CP611" s="5" t="n">
        <v>0.226</v>
      </c>
      <c r="CQ611" s="5" t="n">
        <v>1.294</v>
      </c>
      <c r="CR611" s="5" t="n">
        <v>0.736</v>
      </c>
      <c r="CS611" s="5" t="n">
        <v>2.3</v>
      </c>
      <c r="CT611" s="5" t="n">
        <v>7.554</v>
      </c>
      <c r="CU611" s="5" t="n">
        <v>11.388</v>
      </c>
    </row>
    <row r="612">
      <c r="A612" s="5" t="inlineStr">
        <is>
          <t>PAK2023</t>
        </is>
      </c>
      <c r="B612" s="5" t="inlineStr">
        <is>
          <t>PAK</t>
        </is>
      </c>
      <c r="C612" s="5" t="inlineStr">
        <is>
          <t>PAK</t>
        </is>
      </c>
      <c r="D612" s="5" t="inlineStr">
        <is>
          <t>Pakistan</t>
        </is>
      </c>
      <c r="E612" s="5" t="n">
        <v>2023</v>
      </c>
      <c r="F612" s="5" t="n">
        <v>0.17</v>
      </c>
      <c r="G612" s="5" t="n">
        <v>4.916</v>
      </c>
      <c r="H612" s="5" t="n">
        <v>1.14</v>
      </c>
      <c r="I612" s="5" t="n">
        <v>0.117</v>
      </c>
      <c r="J612" s="5" t="n">
        <v>5.033</v>
      </c>
      <c r="K612" s="5" t="n">
        <v>0</v>
      </c>
      <c r="L612" s="5" t="n">
        <v>1</v>
      </c>
      <c r="M612" s="5" t="n">
        <v>6.844</v>
      </c>
      <c r="N612" s="5" t="n">
        <v>3.421</v>
      </c>
      <c r="O612" s="5" t="n">
        <v>0.105</v>
      </c>
      <c r="P612" s="5" t="n">
        <v>6.95</v>
      </c>
      <c r="Q612" s="5" t="n">
        <v>0</v>
      </c>
      <c r="R612" s="5" t="n">
        <v>1</v>
      </c>
      <c r="S612" s="5" t="n">
        <v>10.618</v>
      </c>
      <c r="T612" s="5" t="n">
        <v>6.842</v>
      </c>
      <c r="U612" s="5" t="n">
        <v>0.319</v>
      </c>
      <c r="V612" s="5" t="n">
        <v>12.56</v>
      </c>
      <c r="W612" s="5" t="n">
        <v>0.17</v>
      </c>
      <c r="X612" s="5" t="n">
        <v>1</v>
      </c>
      <c r="Y612" s="5" t="n">
        <v>3.79</v>
      </c>
      <c r="Z612" s="5" t="n">
        <v>0.417</v>
      </c>
      <c r="AA612" s="5" t="n">
        <v>2.638</v>
      </c>
      <c r="AB612" s="5" t="n">
        <v>6.429</v>
      </c>
      <c r="AC612" s="5" t="n">
        <v>0</v>
      </c>
      <c r="AD612" s="5" t="n">
        <v>1</v>
      </c>
      <c r="AE612" s="5" t="n">
        <v>4.603</v>
      </c>
      <c r="AF612" s="5" t="n">
        <v>0.892</v>
      </c>
      <c r="AG612" s="5" t="n">
        <v>0.044</v>
      </c>
      <c r="AH612" s="5" t="n">
        <v>4.647</v>
      </c>
      <c r="AI612" s="5" t="n">
        <v>0</v>
      </c>
      <c r="AJ612" s="5" t="n">
        <v>1</v>
      </c>
      <c r="AK612" s="5" t="n">
        <v>9.477</v>
      </c>
      <c r="AL612" s="5" t="n">
        <v>4.444</v>
      </c>
      <c r="AM612" s="5" t="n">
        <v>-8.023</v>
      </c>
      <c r="AN612" s="5" t="n">
        <v>1.701</v>
      </c>
      <c r="AO612" s="5" t="n">
        <v>0</v>
      </c>
      <c r="AP612" s="5" t="n">
        <v>0</v>
      </c>
      <c r="AQ612" s="5" t="n">
        <v>0.749</v>
      </c>
      <c r="AR612" s="5" t="n">
        <v>0.129</v>
      </c>
      <c r="AS612" s="5" t="n">
        <v>-0.032</v>
      </c>
      <c r="AT612" s="5" t="n">
        <v>0.839</v>
      </c>
      <c r="AU612" s="5" t="n">
        <v>0.17</v>
      </c>
      <c r="AV612" s="5" t="n">
        <v>1</v>
      </c>
      <c r="AW612" s="5" t="n">
        <v>0.783</v>
      </c>
      <c r="AX612" s="5" t="n">
        <v>0.129</v>
      </c>
      <c r="AY612" s="5" t="n">
        <v>-0.04</v>
      </c>
      <c r="AZ612" s="5" t="n">
        <v>0.868</v>
      </c>
      <c r="BA612" s="5" t="n">
        <v>0.17</v>
      </c>
      <c r="BB612" s="5" t="n">
        <v>1</v>
      </c>
      <c r="BC612" s="5" t="n">
        <v>0.527</v>
      </c>
      <c r="BD612" s="5" t="n">
        <v>0.129</v>
      </c>
      <c r="BE612" s="5" t="n">
        <v>-0.063</v>
      </c>
      <c r="BF612" s="5" t="n">
        <v>0.543</v>
      </c>
      <c r="BG612" s="5" t="n">
        <v>0.17</v>
      </c>
      <c r="BH612" s="5" t="n">
        <v>1</v>
      </c>
      <c r="BI612" s="5" t="n">
        <v>0.64</v>
      </c>
      <c r="BJ612" s="5" t="n">
        <v>0.129</v>
      </c>
      <c r="BK612" s="5" t="n">
        <v>-0.097</v>
      </c>
      <c r="BL612" s="5" t="n">
        <v>0.634</v>
      </c>
      <c r="BM612" s="5" t="n">
        <v>0</v>
      </c>
      <c r="BN612" s="5" t="n">
        <v>0</v>
      </c>
      <c r="BO612" s="5" t="n">
        <v>0</v>
      </c>
      <c r="BP612" s="5" t="n">
        <v>-0.016</v>
      </c>
      <c r="BQ612" s="5" t="n">
        <v>0.093</v>
      </c>
      <c r="BR612" s="5" t="n">
        <v>0</v>
      </c>
      <c r="BS612" s="5" t="n">
        <v>1</v>
      </c>
      <c r="BT612" s="5" t="n">
        <v>0</v>
      </c>
      <c r="BU612" s="5" t="n">
        <v>-0.016</v>
      </c>
      <c r="BV612" s="5" t="n">
        <v>0.08500000000000001</v>
      </c>
      <c r="BW612" s="5" t="n">
        <v>0</v>
      </c>
      <c r="BX612" s="5" t="n">
        <v>1</v>
      </c>
      <c r="BY612" s="5" t="n">
        <v>13.254</v>
      </c>
      <c r="BZ612" s="5" t="n">
        <v>0</v>
      </c>
      <c r="CA612" s="5" t="n">
        <v>13.254</v>
      </c>
      <c r="CB612" s="5" t="n">
        <v>0</v>
      </c>
      <c r="CC612" s="5" t="n">
        <v>87.07899999999999</v>
      </c>
      <c r="CD612" s="5" t="n">
        <v>7.95</v>
      </c>
      <c r="CE612" s="5" t="n">
        <v>54.831</v>
      </c>
      <c r="CF612" s="5" t="n">
        <v>162.968</v>
      </c>
      <c r="CG612" s="5" t="n">
        <v>0.17</v>
      </c>
      <c r="CH612" s="5" t="n">
        <v>1</v>
      </c>
      <c r="CI612" s="5" t="n">
        <v>0</v>
      </c>
      <c r="CJ612" s="5" t="n">
        <v>0</v>
      </c>
      <c r="CK612" s="5" t="n">
        <v>0</v>
      </c>
      <c r="CL612" s="5" t="n">
        <v>0</v>
      </c>
      <c r="CM612" s="5" t="n">
        <v>0</v>
      </c>
      <c r="CN612" s="5" t="n">
        <v>0</v>
      </c>
      <c r="CO612" s="5" t="n">
        <v>0</v>
      </c>
      <c r="CP612" s="5" t="n">
        <v>0.226</v>
      </c>
      <c r="CQ612" s="5" t="n">
        <v>1.348</v>
      </c>
      <c r="CR612" s="5" t="n">
        <v>0.736</v>
      </c>
      <c r="CS612" s="5" t="n">
        <v>2.395</v>
      </c>
      <c r="CT612" s="5" t="n">
        <v>4.484</v>
      </c>
      <c r="CU612" s="5" t="n">
        <v>4.605</v>
      </c>
    </row>
    <row r="613">
      <c r="A613" s="5" t="inlineStr">
        <is>
          <t>PAK2024</t>
        </is>
      </c>
      <c r="B613" s="5" t="inlineStr">
        <is>
          <t>PAK</t>
        </is>
      </c>
      <c r="C613" s="5" t="inlineStr">
        <is>
          <t>PAK</t>
        </is>
      </c>
      <c r="D613" s="5" t="inlineStr">
        <is>
          <t>Pakistan</t>
        </is>
      </c>
      <c r="E613" s="5" t="n">
        <v>2024</v>
      </c>
      <c r="F613" s="5" t="n">
        <v>0.17</v>
      </c>
      <c r="G613" s="5" t="n">
        <v>4.204</v>
      </c>
      <c r="H613" s="5" t="n">
        <v>1.174</v>
      </c>
      <c r="I613" s="5" t="n">
        <v>0.081</v>
      </c>
      <c r="J613" s="5" t="n">
        <v>4.285</v>
      </c>
      <c r="K613" s="5" t="n">
        <v>0</v>
      </c>
      <c r="L613" s="5" t="n">
        <v>1</v>
      </c>
      <c r="M613" s="5" t="n">
        <v>6.276</v>
      </c>
      <c r="N613" s="5" t="n">
        <v>3.522</v>
      </c>
      <c r="O613" s="5" t="n">
        <v>0.073</v>
      </c>
      <c r="P613" s="5" t="n">
        <v>6.349</v>
      </c>
      <c r="Q613" s="5" t="n">
        <v>0</v>
      </c>
      <c r="R613" s="5" t="n">
        <v>1</v>
      </c>
      <c r="S613" s="5" t="n">
        <v>10.074</v>
      </c>
      <c r="T613" s="5" t="n">
        <v>7.044</v>
      </c>
      <c r="U613" s="5" t="n">
        <v>0.317</v>
      </c>
      <c r="V613" s="5" t="n">
        <v>11.882</v>
      </c>
      <c r="W613" s="5" t="n">
        <v>0.17</v>
      </c>
      <c r="X613" s="5" t="n">
        <v>1</v>
      </c>
      <c r="Y613" s="5" t="n">
        <v>3.708</v>
      </c>
      <c r="Z613" s="5" t="n">
        <v>0.408</v>
      </c>
      <c r="AA613" s="5" t="n">
        <v>2.716</v>
      </c>
      <c r="AB613" s="5" t="n">
        <v>6.424</v>
      </c>
      <c r="AC613" s="5" t="n">
        <v>0</v>
      </c>
      <c r="AD613" s="5" t="n">
        <v>1</v>
      </c>
      <c r="AE613" s="5" t="n">
        <v>4.545</v>
      </c>
      <c r="AF613" s="5" t="n">
        <v>0.881</v>
      </c>
      <c r="AG613" s="5" t="n">
        <v>4.236</v>
      </c>
      <c r="AH613" s="5" t="n">
        <v>8.779999999999999</v>
      </c>
      <c r="AI613" s="5" t="n">
        <v>0</v>
      </c>
      <c r="AJ613" s="5" t="n">
        <v>1</v>
      </c>
      <c r="AK613" s="5" t="n">
        <v>9.563000000000001</v>
      </c>
      <c r="AL613" s="5" t="n">
        <v>4.484</v>
      </c>
      <c r="AM613" s="5" t="n">
        <v>-6.01</v>
      </c>
      <c r="AN613" s="5" t="n">
        <v>4.157</v>
      </c>
      <c r="AO613" s="5" t="n">
        <v>0</v>
      </c>
      <c r="AP613" s="5" t="n">
        <v>0</v>
      </c>
      <c r="AQ613" s="5" t="n">
        <v>0.72</v>
      </c>
      <c r="AR613" s="5" t="n">
        <v>0.132</v>
      </c>
      <c r="AS613" s="5" t="n">
        <v>0.004</v>
      </c>
      <c r="AT613" s="5" t="n">
        <v>0.847</v>
      </c>
      <c r="AU613" s="5" t="n">
        <v>0.17</v>
      </c>
      <c r="AV613" s="5" t="n">
        <v>1</v>
      </c>
      <c r="AW613" s="5" t="n">
        <v>0.734</v>
      </c>
      <c r="AX613" s="5" t="n">
        <v>0.132</v>
      </c>
      <c r="AY613" s="5" t="n">
        <v>-0.015</v>
      </c>
      <c r="AZ613" s="5" t="n">
        <v>0.84</v>
      </c>
      <c r="BA613" s="5" t="n">
        <v>0.17</v>
      </c>
      <c r="BB613" s="5" t="n">
        <v>1</v>
      </c>
      <c r="BC613" s="5" t="n">
        <v>0.51</v>
      </c>
      <c r="BD613" s="5" t="n">
        <v>0.132</v>
      </c>
      <c r="BE613" s="5" t="n">
        <v>-0.028</v>
      </c>
      <c r="BF613" s="5" t="n">
        <v>0.5639999999999999</v>
      </c>
      <c r="BG613" s="5" t="n">
        <v>0.17</v>
      </c>
      <c r="BH613" s="5" t="n">
        <v>1</v>
      </c>
      <c r="BI613" s="5" t="n">
        <v>0.652</v>
      </c>
      <c r="BJ613" s="5" t="n">
        <v>0.132</v>
      </c>
      <c r="BK613" s="5" t="n">
        <v>-0.162</v>
      </c>
      <c r="BL613" s="5" t="n">
        <v>0.573</v>
      </c>
      <c r="BM613" s="5" t="n">
        <v>0</v>
      </c>
      <c r="BN613" s="5" t="n">
        <v>0</v>
      </c>
      <c r="BO613" s="5" t="n">
        <v>0</v>
      </c>
      <c r="BP613" s="5" t="n">
        <v>-0.017</v>
      </c>
      <c r="BQ613" s="5" t="n">
        <v>0.143</v>
      </c>
      <c r="BR613" s="5" t="n">
        <v>0</v>
      </c>
      <c r="BS613" s="5" t="n">
        <v>1</v>
      </c>
      <c r="BT613" s="5" t="n">
        <v>0</v>
      </c>
      <c r="BU613" s="5" t="n">
        <v>-0.017</v>
      </c>
      <c r="BV613" s="5" t="n">
        <v>0.122</v>
      </c>
      <c r="BW613" s="5" t="n">
        <v>0</v>
      </c>
      <c r="BX613" s="5" t="n">
        <v>1</v>
      </c>
      <c r="BY613" s="5" t="n">
        <v>13.646</v>
      </c>
      <c r="BZ613" s="5" t="n">
        <v>0</v>
      </c>
      <c r="CA613" s="5" t="n">
        <v>13.646</v>
      </c>
      <c r="CB613" s="5" t="n">
        <v>0</v>
      </c>
      <c r="CC613" s="5" t="n">
        <v>86.38500000000001</v>
      </c>
      <c r="CD613" s="5" t="n">
        <v>7.95</v>
      </c>
      <c r="CE613" s="5" t="n">
        <v>57.481</v>
      </c>
      <c r="CF613" s="5" t="n">
        <v>164.514</v>
      </c>
      <c r="CG613" s="5" t="n">
        <v>0.17</v>
      </c>
      <c r="CH613" s="5" t="n">
        <v>1</v>
      </c>
      <c r="CI613" s="5" t="n">
        <v>0</v>
      </c>
      <c r="CJ613" s="5" t="n">
        <v>0</v>
      </c>
      <c r="CK613" s="5" t="n">
        <v>0</v>
      </c>
      <c r="CL613" s="5" t="n">
        <v>0</v>
      </c>
      <c r="CM613" s="5" t="n">
        <v>0</v>
      </c>
      <c r="CN613" s="5" t="n">
        <v>0</v>
      </c>
      <c r="CO613" s="5" t="n">
        <v>0</v>
      </c>
      <c r="CP613" s="5" t="n">
        <v>0.226</v>
      </c>
      <c r="CQ613" s="5" t="n">
        <v>1.387</v>
      </c>
      <c r="CR613" s="5" t="n">
        <v>0.736</v>
      </c>
      <c r="CS613" s="5" t="n">
        <v>2.466</v>
      </c>
      <c r="CT613" s="5" t="n">
        <v>3.509</v>
      </c>
      <c r="CU613" s="5" t="n">
        <v>4.004</v>
      </c>
    </row>
    <row r="614">
      <c r="A614" s="5" t="inlineStr">
        <is>
          <t>PLW2021</t>
        </is>
      </c>
      <c r="B614" s="5" t="inlineStr">
        <is>
          <t>PLW</t>
        </is>
      </c>
      <c r="C614" s="5" t="inlineStr">
        <is>
          <t>PLW</t>
        </is>
      </c>
      <c r="D614" s="5" t="inlineStr">
        <is>
          <t>Palau</t>
        </is>
      </c>
      <c r="E614" s="5" t="n">
        <v>2021</v>
      </c>
      <c r="F614" s="5" t="n">
        <v>0</v>
      </c>
      <c r="G614" s="5" t="n">
        <v>4.747</v>
      </c>
      <c r="H614" s="5" t="n">
        <v>1.143</v>
      </c>
      <c r="I614" s="5" t="n">
        <v>0</v>
      </c>
      <c r="J614" s="5" t="n">
        <v>4.747</v>
      </c>
      <c r="K614" s="5" t="n">
        <v>0</v>
      </c>
      <c r="L614" s="5" t="n">
        <v>1</v>
      </c>
      <c r="M614" s="5" t="n">
        <v>7.964</v>
      </c>
      <c r="N614" s="5" t="n">
        <v>3.43</v>
      </c>
      <c r="O614" s="5" t="n">
        <v>0</v>
      </c>
      <c r="P614" s="5" t="n">
        <v>7.964</v>
      </c>
      <c r="Q614" s="5" t="n">
        <v>0</v>
      </c>
      <c r="R614" s="5" t="n">
        <v>1</v>
      </c>
      <c r="S614" s="5" t="n">
        <v>10.464</v>
      </c>
      <c r="T614" s="5" t="n">
        <v>6.86</v>
      </c>
      <c r="U614" s="5" t="n">
        <v>0</v>
      </c>
      <c r="V614" s="5" t="n">
        <v>10.464</v>
      </c>
      <c r="W614" s="5" t="n">
        <v>0</v>
      </c>
      <c r="X614" s="5" t="n">
        <v>1</v>
      </c>
      <c r="Y614" s="5" t="n">
        <v>4.333</v>
      </c>
      <c r="Z614" s="5" t="n">
        <v>0.535</v>
      </c>
      <c r="AA614" s="5" t="n">
        <v>0</v>
      </c>
      <c r="AB614" s="5" t="n">
        <v>4.333</v>
      </c>
      <c r="AC614" s="5" t="n">
        <v>0</v>
      </c>
      <c r="AD614" s="5" t="n">
        <v>1</v>
      </c>
      <c r="AE614" s="5" t="n">
        <v>5.477</v>
      </c>
      <c r="AF614" s="5" t="n">
        <v>1.194</v>
      </c>
      <c r="AG614" s="5" t="n">
        <v>0</v>
      </c>
      <c r="AH614" s="5" t="n">
        <v>5.477</v>
      </c>
      <c r="AI614" s="5" t="n">
        <v>0</v>
      </c>
      <c r="AJ614" s="5" t="n">
        <v>1</v>
      </c>
      <c r="AK614" s="5" t="n">
        <v>12.337</v>
      </c>
      <c r="AL614" s="5" t="n">
        <v>6.401</v>
      </c>
      <c r="AM614" s="5" t="n">
        <v>0</v>
      </c>
      <c r="AN614" s="5" t="n">
        <v>12.337</v>
      </c>
      <c r="AO614" s="5" t="n">
        <v>0</v>
      </c>
      <c r="AP614" s="5" t="n">
        <v>1</v>
      </c>
      <c r="AQ614" s="5" t="n">
        <v>0.621</v>
      </c>
      <c r="AR614" s="5" t="n">
        <v>0.114</v>
      </c>
      <c r="AS614" s="5" t="n">
        <v>0.712</v>
      </c>
      <c r="AT614" s="5" t="n">
        <v>1.332</v>
      </c>
      <c r="AU614" s="5" t="n">
        <v>0</v>
      </c>
      <c r="AV614" s="5" t="n">
        <v>1</v>
      </c>
      <c r="AW614" s="5" t="n">
        <v>0.593</v>
      </c>
      <c r="AX614" s="5" t="n">
        <v>0.114</v>
      </c>
      <c r="AY614" s="5" t="n">
        <v>0.753</v>
      </c>
      <c r="AZ614" s="5" t="n">
        <v>1.346</v>
      </c>
      <c r="BA614" s="5" t="n">
        <v>0</v>
      </c>
      <c r="BB614" s="5" t="n">
        <v>1</v>
      </c>
      <c r="BC614" s="5" t="n">
        <v>0.44</v>
      </c>
      <c r="BD614" s="5" t="n">
        <v>0.114</v>
      </c>
      <c r="BE614" s="5" t="n">
        <v>0.888</v>
      </c>
      <c r="BF614" s="5" t="n">
        <v>1.328</v>
      </c>
      <c r="BG614" s="5" t="n">
        <v>0</v>
      </c>
      <c r="BH614" s="5" t="n">
        <v>1</v>
      </c>
      <c r="BI614" s="5" t="n">
        <v>0.5600000000000001</v>
      </c>
      <c r="BJ614" s="5" t="n">
        <v>0.114</v>
      </c>
      <c r="BK614" s="5" t="n">
        <v>1.65</v>
      </c>
      <c r="BL614" s="5" t="n">
        <v>2.211</v>
      </c>
      <c r="BM614" s="5" t="n">
        <v>0</v>
      </c>
      <c r="BN614" s="5" t="n">
        <v>1</v>
      </c>
      <c r="BO614" s="5" t="n">
        <v>0</v>
      </c>
      <c r="BP614" s="5" t="n">
        <v>0</v>
      </c>
      <c r="BQ614" s="5" t="n">
        <v>0</v>
      </c>
      <c r="BR614" s="5" t="n">
        <v>0</v>
      </c>
      <c r="BS614" s="5" t="n">
        <v>1</v>
      </c>
      <c r="BT614" s="5" t="n">
        <v>0</v>
      </c>
      <c r="BU614" s="5" t="n">
        <v>0</v>
      </c>
      <c r="BV614" s="5" t="n">
        <v>0</v>
      </c>
      <c r="BW614" s="5" t="n">
        <v>0</v>
      </c>
      <c r="BX614" s="5" t="n">
        <v>1</v>
      </c>
      <c r="BY614" s="5" t="n">
        <v>11.787</v>
      </c>
      <c r="BZ614" s="5" t="n">
        <v>0</v>
      </c>
      <c r="CA614" s="5" t="n">
        <v>11.787</v>
      </c>
      <c r="CB614" s="5" t="n">
        <v>0</v>
      </c>
      <c r="CC614" s="5" t="n">
        <v>81.69499999999999</v>
      </c>
      <c r="CD614" s="5" t="n">
        <v>7.95</v>
      </c>
      <c r="CE614" s="5" t="n">
        <v>0</v>
      </c>
      <c r="CF614" s="5" t="n">
        <v>81.69499999999999</v>
      </c>
      <c r="CG614" s="5" t="n">
        <v>0</v>
      </c>
      <c r="CH614" s="5" t="n">
        <v>1</v>
      </c>
      <c r="CI614" s="5" t="n">
        <v>0</v>
      </c>
      <c r="CJ614" s="5" t="n">
        <v>0</v>
      </c>
      <c r="CK614" s="5" t="n">
        <v>0</v>
      </c>
      <c r="CL614" s="5" t="n">
        <v>0</v>
      </c>
      <c r="CM614" s="5" t="n">
        <v>0</v>
      </c>
      <c r="CN614" s="5" t="n">
        <v>0</v>
      </c>
      <c r="CO614" s="5" t="n">
        <v>0</v>
      </c>
      <c r="CP614" s="5" t="n">
        <v>0</v>
      </c>
      <c r="CQ614" s="5" t="n">
        <v>1.198</v>
      </c>
      <c r="CR614" s="5" t="n">
        <v>0</v>
      </c>
      <c r="CS614" s="5" t="n">
        <v>4.776</v>
      </c>
      <c r="CT614" s="5" t="n">
        <v>3.604</v>
      </c>
      <c r="CU614" s="5" t="n">
        <v>9.407999999999999</v>
      </c>
    </row>
    <row r="615">
      <c r="A615" s="5" t="inlineStr">
        <is>
          <t>PLW2022</t>
        </is>
      </c>
      <c r="B615" s="5" t="inlineStr">
        <is>
          <t>PLW</t>
        </is>
      </c>
      <c r="C615" s="5" t="inlineStr">
        <is>
          <t>PLW</t>
        </is>
      </c>
      <c r="D615" s="5" t="inlineStr">
        <is>
          <t>Palau</t>
        </is>
      </c>
      <c r="E615" s="5" t="n">
        <v>2022</v>
      </c>
      <c r="F615" s="5" t="n">
        <v>0</v>
      </c>
      <c r="G615" s="5" t="n">
        <v>8.788</v>
      </c>
      <c r="H615" s="5" t="n">
        <v>1.235</v>
      </c>
      <c r="I615" s="5" t="n">
        <v>0</v>
      </c>
      <c r="J615" s="5" t="n">
        <v>8.788</v>
      </c>
      <c r="K615" s="5" t="n">
        <v>0</v>
      </c>
      <c r="L615" s="5" t="n">
        <v>1</v>
      </c>
      <c r="M615" s="5" t="n">
        <v>9.782999999999999</v>
      </c>
      <c r="N615" s="5" t="n">
        <v>3.704</v>
      </c>
      <c r="O615" s="5" t="n">
        <v>0</v>
      </c>
      <c r="P615" s="5" t="n">
        <v>9.782999999999999</v>
      </c>
      <c r="Q615" s="5" t="n">
        <v>0</v>
      </c>
      <c r="R615" s="5" t="n">
        <v>1</v>
      </c>
      <c r="S615" s="5" t="n">
        <v>14.962</v>
      </c>
      <c r="T615" s="5" t="n">
        <v>7.408</v>
      </c>
      <c r="U615" s="5" t="n">
        <v>0</v>
      </c>
      <c r="V615" s="5" t="n">
        <v>14.962</v>
      </c>
      <c r="W615" s="5" t="n">
        <v>0</v>
      </c>
      <c r="X615" s="5" t="n">
        <v>1</v>
      </c>
      <c r="Y615" s="5" t="n">
        <v>4.68</v>
      </c>
      <c r="Z615" s="5" t="n">
        <v>0.577</v>
      </c>
      <c r="AA615" s="5" t="n">
        <v>0</v>
      </c>
      <c r="AB615" s="5" t="n">
        <v>4.68</v>
      </c>
      <c r="AC615" s="5" t="n">
        <v>0</v>
      </c>
      <c r="AD615" s="5" t="n">
        <v>1</v>
      </c>
      <c r="AE615" s="5" t="n">
        <v>5.914</v>
      </c>
      <c r="AF615" s="5" t="n">
        <v>1.289</v>
      </c>
      <c r="AG615" s="5" t="n">
        <v>0</v>
      </c>
      <c r="AH615" s="5" t="n">
        <v>5.914</v>
      </c>
      <c r="AI615" s="5" t="n">
        <v>0</v>
      </c>
      <c r="AJ615" s="5" t="n">
        <v>1</v>
      </c>
      <c r="AK615" s="5" t="n">
        <v>13.322</v>
      </c>
      <c r="AL615" s="5" t="n">
        <v>6.913</v>
      </c>
      <c r="AM615" s="5" t="n">
        <v>0</v>
      </c>
      <c r="AN615" s="5" t="n">
        <v>13.322</v>
      </c>
      <c r="AO615" s="5" t="n">
        <v>0</v>
      </c>
      <c r="AP615" s="5" t="n">
        <v>1</v>
      </c>
      <c r="AQ615" s="5" t="n">
        <v>0.847</v>
      </c>
      <c r="AR615" s="5" t="n">
        <v>0.123</v>
      </c>
      <c r="AS615" s="5" t="n">
        <v>0.733</v>
      </c>
      <c r="AT615" s="5" t="n">
        <v>1.579</v>
      </c>
      <c r="AU615" s="5" t="n">
        <v>0</v>
      </c>
      <c r="AV615" s="5" t="n">
        <v>1</v>
      </c>
      <c r="AW615" s="5" t="n">
        <v>0.947</v>
      </c>
      <c r="AX615" s="5" t="n">
        <v>0.123</v>
      </c>
      <c r="AY615" s="5" t="n">
        <v>0.8090000000000001</v>
      </c>
      <c r="AZ615" s="5" t="n">
        <v>1.756</v>
      </c>
      <c r="BA615" s="5" t="n">
        <v>0</v>
      </c>
      <c r="BB615" s="5" t="n">
        <v>1</v>
      </c>
      <c r="BC615" s="5" t="n">
        <v>0.589</v>
      </c>
      <c r="BD615" s="5" t="n">
        <v>0.123</v>
      </c>
      <c r="BE615" s="5" t="n">
        <v>0.973</v>
      </c>
      <c r="BF615" s="5" t="n">
        <v>1.561</v>
      </c>
      <c r="BG615" s="5" t="n">
        <v>0</v>
      </c>
      <c r="BH615" s="5" t="n">
        <v>1</v>
      </c>
      <c r="BI615" s="5" t="n">
        <v>0.6889999999999999</v>
      </c>
      <c r="BJ615" s="5" t="n">
        <v>0.123</v>
      </c>
      <c r="BK615" s="5" t="n">
        <v>1.676</v>
      </c>
      <c r="BL615" s="5" t="n">
        <v>2.365</v>
      </c>
      <c r="BM615" s="5" t="n">
        <v>0</v>
      </c>
      <c r="BN615" s="5" t="n">
        <v>1</v>
      </c>
      <c r="BO615" s="5" t="n">
        <v>0</v>
      </c>
      <c r="BP615" s="5" t="n">
        <v>0</v>
      </c>
      <c r="BQ615" s="5" t="n">
        <v>0</v>
      </c>
      <c r="BR615" s="5" t="n">
        <v>0</v>
      </c>
      <c r="BS615" s="5" t="n">
        <v>1</v>
      </c>
      <c r="BT615" s="5" t="n">
        <v>0</v>
      </c>
      <c r="BU615" s="5" t="n">
        <v>0</v>
      </c>
      <c r="BV615" s="5" t="n">
        <v>0</v>
      </c>
      <c r="BW615" s="5" t="n">
        <v>0</v>
      </c>
      <c r="BX615" s="5" t="n">
        <v>1</v>
      </c>
      <c r="BY615" s="5" t="n">
        <v>12.729</v>
      </c>
      <c r="BZ615" s="5" t="n">
        <v>0</v>
      </c>
      <c r="CA615" s="5" t="n">
        <v>12.729</v>
      </c>
      <c r="CB615" s="5" t="n">
        <v>0</v>
      </c>
      <c r="CC615" s="5" t="n">
        <v>102.477</v>
      </c>
      <c r="CD615" s="5" t="n">
        <v>7.95</v>
      </c>
      <c r="CE615" s="5" t="n">
        <v>0</v>
      </c>
      <c r="CF615" s="5" t="n">
        <v>102.477</v>
      </c>
      <c r="CG615" s="5" t="n">
        <v>0</v>
      </c>
      <c r="CH615" s="5" t="n">
        <v>1</v>
      </c>
      <c r="CI615" s="5" t="n">
        <v>0</v>
      </c>
      <c r="CJ615" s="5" t="n">
        <v>0</v>
      </c>
      <c r="CK615" s="5" t="n">
        <v>0</v>
      </c>
      <c r="CL615" s="5" t="n">
        <v>0</v>
      </c>
      <c r="CM615" s="5" t="n">
        <v>0</v>
      </c>
      <c r="CN615" s="5" t="n">
        <v>0</v>
      </c>
      <c r="CO615" s="5" t="n">
        <v>0</v>
      </c>
      <c r="CP615" s="5" t="n">
        <v>0</v>
      </c>
      <c r="CQ615" s="5" t="n">
        <v>1.294</v>
      </c>
      <c r="CR615" s="5" t="n">
        <v>0</v>
      </c>
      <c r="CS615" s="5" t="n">
        <v>5.158</v>
      </c>
      <c r="CT615" s="5" t="n">
        <v>7.554</v>
      </c>
      <c r="CU615" s="5" t="n">
        <v>16.097</v>
      </c>
    </row>
    <row r="616">
      <c r="A616" s="5" t="inlineStr">
        <is>
          <t>PLW2023</t>
        </is>
      </c>
      <c r="B616" s="5" t="inlineStr">
        <is>
          <t>PLW</t>
        </is>
      </c>
      <c r="C616" s="5" t="inlineStr">
        <is>
          <t>PLW</t>
        </is>
      </c>
      <c r="D616" s="5" t="inlineStr">
        <is>
          <t>Palau</t>
        </is>
      </c>
      <c r="E616" s="5" t="n">
        <v>2023</v>
      </c>
      <c r="F616" s="5" t="n">
        <v>0</v>
      </c>
      <c r="G616" s="5" t="n">
        <v>5.77</v>
      </c>
      <c r="H616" s="5" t="n">
        <v>1.286</v>
      </c>
      <c r="I616" s="5" t="n">
        <v>0</v>
      </c>
      <c r="J616" s="5" t="n">
        <v>5.77</v>
      </c>
      <c r="K616" s="5" t="n">
        <v>0</v>
      </c>
      <c r="L616" s="5" t="n">
        <v>1</v>
      </c>
      <c r="M616" s="5" t="n">
        <v>7.886</v>
      </c>
      <c r="N616" s="5" t="n">
        <v>3.857</v>
      </c>
      <c r="O616" s="5" t="n">
        <v>0</v>
      </c>
      <c r="P616" s="5" t="n">
        <v>7.886</v>
      </c>
      <c r="Q616" s="5" t="n">
        <v>0</v>
      </c>
      <c r="R616" s="5" t="n">
        <v>1</v>
      </c>
      <c r="S616" s="5" t="n">
        <v>12.198</v>
      </c>
      <c r="T616" s="5" t="n">
        <v>7.714</v>
      </c>
      <c r="U616" s="5" t="n">
        <v>0</v>
      </c>
      <c r="V616" s="5" t="n">
        <v>12.198</v>
      </c>
      <c r="W616" s="5" t="n">
        <v>0</v>
      </c>
      <c r="X616" s="5" t="n">
        <v>1</v>
      </c>
      <c r="Y616" s="5" t="n">
        <v>4.873</v>
      </c>
      <c r="Z616" s="5" t="n">
        <v>0.601</v>
      </c>
      <c r="AA616" s="5" t="n">
        <v>0</v>
      </c>
      <c r="AB616" s="5" t="n">
        <v>4.873</v>
      </c>
      <c r="AC616" s="5" t="n">
        <v>0</v>
      </c>
      <c r="AD616" s="5" t="n">
        <v>1</v>
      </c>
      <c r="AE616" s="5" t="n">
        <v>6.158</v>
      </c>
      <c r="AF616" s="5" t="n">
        <v>1.343</v>
      </c>
      <c r="AG616" s="5" t="n">
        <v>0</v>
      </c>
      <c r="AH616" s="5" t="n">
        <v>6.158</v>
      </c>
      <c r="AI616" s="5" t="n">
        <v>0</v>
      </c>
      <c r="AJ616" s="5" t="n">
        <v>1</v>
      </c>
      <c r="AK616" s="5" t="n">
        <v>13.872</v>
      </c>
      <c r="AL616" s="5" t="n">
        <v>7.198</v>
      </c>
      <c r="AM616" s="5" t="n">
        <v>0</v>
      </c>
      <c r="AN616" s="5" t="n">
        <v>13.872</v>
      </c>
      <c r="AO616" s="5" t="n">
        <v>0</v>
      </c>
      <c r="AP616" s="5" t="n">
        <v>1</v>
      </c>
      <c r="AQ616" s="5" t="n">
        <v>0.749</v>
      </c>
      <c r="AR616" s="5" t="n">
        <v>0.129</v>
      </c>
      <c r="AS616" s="5" t="n">
        <v>0.802</v>
      </c>
      <c r="AT616" s="5" t="n">
        <v>1.551</v>
      </c>
      <c r="AU616" s="5" t="n">
        <v>0</v>
      </c>
      <c r="AV616" s="5" t="n">
        <v>1</v>
      </c>
      <c r="AW616" s="5" t="n">
        <v>0.783</v>
      </c>
      <c r="AX616" s="5" t="n">
        <v>0.129</v>
      </c>
      <c r="AY616" s="5" t="n">
        <v>0.896</v>
      </c>
      <c r="AZ616" s="5" t="n">
        <v>1.678</v>
      </c>
      <c r="BA616" s="5" t="n">
        <v>0</v>
      </c>
      <c r="BB616" s="5" t="n">
        <v>1</v>
      </c>
      <c r="BC616" s="5" t="n">
        <v>0.527</v>
      </c>
      <c r="BD616" s="5" t="n">
        <v>0.129</v>
      </c>
      <c r="BE616" s="5" t="n">
        <v>1.071</v>
      </c>
      <c r="BF616" s="5" t="n">
        <v>1.599</v>
      </c>
      <c r="BG616" s="5" t="n">
        <v>0</v>
      </c>
      <c r="BH616" s="5" t="n">
        <v>1</v>
      </c>
      <c r="BI616" s="5" t="n">
        <v>0.64</v>
      </c>
      <c r="BJ616" s="5" t="n">
        <v>0.129</v>
      </c>
      <c r="BK616" s="5" t="n">
        <v>1.823</v>
      </c>
      <c r="BL616" s="5" t="n">
        <v>2.463</v>
      </c>
      <c r="BM616" s="5" t="n">
        <v>0</v>
      </c>
      <c r="BN616" s="5" t="n">
        <v>1</v>
      </c>
      <c r="BO616" s="5" t="n">
        <v>0</v>
      </c>
      <c r="BP616" s="5" t="n">
        <v>0</v>
      </c>
      <c r="BQ616" s="5" t="n">
        <v>0</v>
      </c>
      <c r="BR616" s="5" t="n">
        <v>0</v>
      </c>
      <c r="BS616" s="5" t="n">
        <v>1</v>
      </c>
      <c r="BT616" s="5" t="n">
        <v>0</v>
      </c>
      <c r="BU616" s="5" t="n">
        <v>0</v>
      </c>
      <c r="BV616" s="5" t="n">
        <v>0</v>
      </c>
      <c r="BW616" s="5" t="n">
        <v>0</v>
      </c>
      <c r="BX616" s="5" t="n">
        <v>1</v>
      </c>
      <c r="BY616" s="5" t="n">
        <v>13.254</v>
      </c>
      <c r="BZ616" s="5" t="n">
        <v>0</v>
      </c>
      <c r="CA616" s="5" t="n">
        <v>13.254</v>
      </c>
      <c r="CB616" s="5" t="n">
        <v>0</v>
      </c>
      <c r="CC616" s="5" t="n">
        <v>87.07899999999999</v>
      </c>
      <c r="CD616" s="5" t="n">
        <v>7.95</v>
      </c>
      <c r="CE616" s="5" t="n">
        <v>0</v>
      </c>
      <c r="CF616" s="5" t="n">
        <v>87.07899999999999</v>
      </c>
      <c r="CG616" s="5" t="n">
        <v>0</v>
      </c>
      <c r="CH616" s="5" t="n">
        <v>1</v>
      </c>
      <c r="CI616" s="5" t="n">
        <v>0</v>
      </c>
      <c r="CJ616" s="5" t="n">
        <v>0</v>
      </c>
      <c r="CK616" s="5" t="n">
        <v>0</v>
      </c>
      <c r="CL616" s="5" t="n">
        <v>0</v>
      </c>
      <c r="CM616" s="5" t="n">
        <v>0</v>
      </c>
      <c r="CN616" s="5" t="n">
        <v>0</v>
      </c>
      <c r="CO616" s="5" t="n">
        <v>0</v>
      </c>
      <c r="CP616" s="5" t="n">
        <v>0</v>
      </c>
      <c r="CQ616" s="5" t="n">
        <v>1.348</v>
      </c>
      <c r="CR616" s="5" t="n">
        <v>0</v>
      </c>
      <c r="CS616" s="5" t="n">
        <v>5.37</v>
      </c>
      <c r="CT616" s="5" t="n">
        <v>4.484</v>
      </c>
      <c r="CU616" s="5" t="n">
        <v>12.529</v>
      </c>
    </row>
    <row r="617">
      <c r="A617" s="5" t="inlineStr">
        <is>
          <t>PLW2024</t>
        </is>
      </c>
      <c r="B617" s="5" t="inlineStr">
        <is>
          <t>PLW</t>
        </is>
      </c>
      <c r="C617" s="5" t="inlineStr">
        <is>
          <t>PLW</t>
        </is>
      </c>
      <c r="D617" s="5" t="inlineStr">
        <is>
          <t>Palau</t>
        </is>
      </c>
      <c r="E617" s="5" t="n">
        <v>2024</v>
      </c>
      <c r="F617" s="5" t="n">
        <v>0</v>
      </c>
      <c r="G617" s="5" t="n">
        <v>4.833</v>
      </c>
      <c r="H617" s="5" t="n">
        <v>1.324</v>
      </c>
      <c r="I617" s="5" t="n">
        <v>0</v>
      </c>
      <c r="J617" s="5" t="n">
        <v>4.833</v>
      </c>
      <c r="K617" s="5" t="n">
        <v>0</v>
      </c>
      <c r="L617" s="5" t="n">
        <v>1</v>
      </c>
      <c r="M617" s="5" t="n">
        <v>7.124</v>
      </c>
      <c r="N617" s="5" t="n">
        <v>3.971</v>
      </c>
      <c r="O617" s="5" t="n">
        <v>0</v>
      </c>
      <c r="P617" s="5" t="n">
        <v>7.124</v>
      </c>
      <c r="Q617" s="5" t="n">
        <v>0</v>
      </c>
      <c r="R617" s="5" t="n">
        <v>1</v>
      </c>
      <c r="S617" s="5" t="n">
        <v>11.451</v>
      </c>
      <c r="T617" s="5" t="n">
        <v>7.942</v>
      </c>
      <c r="U617" s="5" t="n">
        <v>0</v>
      </c>
      <c r="V617" s="5" t="n">
        <v>11.451</v>
      </c>
      <c r="W617" s="5" t="n">
        <v>0</v>
      </c>
      <c r="X617" s="5" t="n">
        <v>1</v>
      </c>
      <c r="Y617" s="5" t="n">
        <v>5.017</v>
      </c>
      <c r="Z617" s="5" t="n">
        <v>0.619</v>
      </c>
      <c r="AA617" s="5" t="n">
        <v>0</v>
      </c>
      <c r="AB617" s="5" t="n">
        <v>5.017</v>
      </c>
      <c r="AC617" s="5" t="n">
        <v>0</v>
      </c>
      <c r="AD617" s="5" t="n">
        <v>1</v>
      </c>
      <c r="AE617" s="5" t="n">
        <v>6.34</v>
      </c>
      <c r="AF617" s="5" t="n">
        <v>1.382</v>
      </c>
      <c r="AG617" s="5" t="n">
        <v>0</v>
      </c>
      <c r="AH617" s="5" t="n">
        <v>6.34</v>
      </c>
      <c r="AI617" s="5" t="n">
        <v>0</v>
      </c>
      <c r="AJ617" s="5" t="n">
        <v>1</v>
      </c>
      <c r="AK617" s="5" t="n">
        <v>14.282</v>
      </c>
      <c r="AL617" s="5" t="n">
        <v>7.411</v>
      </c>
      <c r="AM617" s="5" t="n">
        <v>0</v>
      </c>
      <c r="AN617" s="5" t="n">
        <v>14.282</v>
      </c>
      <c r="AO617" s="5" t="n">
        <v>0</v>
      </c>
      <c r="AP617" s="5" t="n">
        <v>1</v>
      </c>
      <c r="AQ617" s="5" t="n">
        <v>0.72</v>
      </c>
      <c r="AR617" s="5" t="n">
        <v>0.132</v>
      </c>
      <c r="AS617" s="5" t="n">
        <v>0.841</v>
      </c>
      <c r="AT617" s="5" t="n">
        <v>1.561</v>
      </c>
      <c r="AU617" s="5" t="n">
        <v>0</v>
      </c>
      <c r="AV617" s="5" t="n">
        <v>1</v>
      </c>
      <c r="AW617" s="5" t="n">
        <v>0.734</v>
      </c>
      <c r="AX617" s="5" t="n">
        <v>0.132</v>
      </c>
      <c r="AY617" s="5" t="n">
        <v>0.9409999999999999</v>
      </c>
      <c r="AZ617" s="5" t="n">
        <v>1.675</v>
      </c>
      <c r="BA617" s="5" t="n">
        <v>0</v>
      </c>
      <c r="BB617" s="5" t="n">
        <v>1</v>
      </c>
      <c r="BC617" s="5" t="n">
        <v>0.51</v>
      </c>
      <c r="BD617" s="5" t="n">
        <v>0.132</v>
      </c>
      <c r="BE617" s="5" t="n">
        <v>1.125</v>
      </c>
      <c r="BF617" s="5" t="n">
        <v>1.636</v>
      </c>
      <c r="BG617" s="5" t="n">
        <v>0</v>
      </c>
      <c r="BH617" s="5" t="n">
        <v>1</v>
      </c>
      <c r="BI617" s="5" t="n">
        <v>0.652</v>
      </c>
      <c r="BJ617" s="5" t="n">
        <v>0.132</v>
      </c>
      <c r="BK617" s="5" t="n">
        <v>1.883</v>
      </c>
      <c r="BL617" s="5" t="n">
        <v>2.535</v>
      </c>
      <c r="BM617" s="5" t="n">
        <v>0</v>
      </c>
      <c r="BN617" s="5" t="n">
        <v>1</v>
      </c>
      <c r="BO617" s="5" t="n">
        <v>0</v>
      </c>
      <c r="BP617" s="5" t="n">
        <v>0</v>
      </c>
      <c r="BQ617" s="5" t="n">
        <v>0</v>
      </c>
      <c r="BR617" s="5" t="n">
        <v>0</v>
      </c>
      <c r="BS617" s="5" t="n">
        <v>1</v>
      </c>
      <c r="BT617" s="5" t="n">
        <v>0</v>
      </c>
      <c r="BU617" s="5" t="n">
        <v>0</v>
      </c>
      <c r="BV617" s="5" t="n">
        <v>0</v>
      </c>
      <c r="BW617" s="5" t="n">
        <v>0</v>
      </c>
      <c r="BX617" s="5" t="n">
        <v>1</v>
      </c>
      <c r="BY617" s="5" t="n">
        <v>13.646</v>
      </c>
      <c r="BZ617" s="5" t="n">
        <v>0</v>
      </c>
      <c r="CA617" s="5" t="n">
        <v>13.646</v>
      </c>
      <c r="CB617" s="5" t="n">
        <v>0</v>
      </c>
      <c r="CC617" s="5" t="n">
        <v>86.38500000000001</v>
      </c>
      <c r="CD617" s="5" t="n">
        <v>7.95</v>
      </c>
      <c r="CE617" s="5" t="n">
        <v>0</v>
      </c>
      <c r="CF617" s="5" t="n">
        <v>86.38500000000001</v>
      </c>
      <c r="CG617" s="5" t="n">
        <v>0</v>
      </c>
      <c r="CH617" s="5" t="n">
        <v>1</v>
      </c>
      <c r="CI617" s="5" t="n">
        <v>0</v>
      </c>
      <c r="CJ617" s="5" t="n">
        <v>0</v>
      </c>
      <c r="CK617" s="5" t="n">
        <v>0</v>
      </c>
      <c r="CL617" s="5" t="n">
        <v>0</v>
      </c>
      <c r="CM617" s="5" t="n">
        <v>0</v>
      </c>
      <c r="CN617" s="5" t="n">
        <v>0</v>
      </c>
      <c r="CO617" s="5" t="n">
        <v>0</v>
      </c>
      <c r="CP617" s="5" t="n">
        <v>0</v>
      </c>
      <c r="CQ617" s="5" t="n">
        <v>1.387</v>
      </c>
      <c r="CR617" s="5" t="n">
        <v>0</v>
      </c>
      <c r="CS617" s="5" t="n">
        <v>5.529</v>
      </c>
      <c r="CT617" s="5" t="n">
        <v>3.509</v>
      </c>
      <c r="CU617" s="5" t="n">
        <v>10.896</v>
      </c>
    </row>
    <row r="618">
      <c r="A618" s="5" t="inlineStr">
        <is>
          <t>PAN2021</t>
        </is>
      </c>
      <c r="B618" s="5" t="inlineStr">
        <is>
          <t>PAN</t>
        </is>
      </c>
      <c r="C618" s="5" t="inlineStr">
        <is>
          <t>PAN</t>
        </is>
      </c>
      <c r="D618" s="5" t="inlineStr">
        <is>
          <t>Panama</t>
        </is>
      </c>
      <c r="E618" s="5" t="n">
        <v>2021</v>
      </c>
      <c r="F618" s="5" t="n">
        <v>0.07000000000000001</v>
      </c>
      <c r="G618" s="5" t="n">
        <v>5.897</v>
      </c>
      <c r="H618" s="5" t="n">
        <v>1.143</v>
      </c>
      <c r="I618" s="5" t="n">
        <v>0</v>
      </c>
      <c r="J618" s="5" t="n">
        <v>5.897</v>
      </c>
      <c r="K618" s="5" t="n">
        <v>0</v>
      </c>
      <c r="L618" s="5" t="n">
        <v>1</v>
      </c>
      <c r="M618" s="5" t="n">
        <v>7.964</v>
      </c>
      <c r="N618" s="5" t="n">
        <v>3.43</v>
      </c>
      <c r="O618" s="5" t="n">
        <v>0.227</v>
      </c>
      <c r="P618" s="5" t="n">
        <v>8.191000000000001</v>
      </c>
      <c r="Q618" s="5" t="n">
        <v>0</v>
      </c>
      <c r="R618" s="5" t="n">
        <v>1</v>
      </c>
      <c r="S618" s="5" t="n">
        <v>11.613</v>
      </c>
      <c r="T618" s="5" t="n">
        <v>6.86</v>
      </c>
      <c r="U618" s="5" t="n">
        <v>0</v>
      </c>
      <c r="V618" s="5" t="n">
        <v>12.426</v>
      </c>
      <c r="W618" s="5" t="n">
        <v>0.07000000000000001</v>
      </c>
      <c r="X618" s="5" t="n">
        <v>1</v>
      </c>
      <c r="Y618" s="5" t="n">
        <v>5.919</v>
      </c>
      <c r="Z618" s="5" t="n">
        <v>0.796</v>
      </c>
      <c r="AA618" s="5" t="n">
        <v>0</v>
      </c>
      <c r="AB618" s="5" t="n">
        <v>5.919</v>
      </c>
      <c r="AC618" s="5" t="n">
        <v>0</v>
      </c>
      <c r="AD618" s="5" t="n">
        <v>1</v>
      </c>
      <c r="AE618" s="5" t="n">
        <v>7.062</v>
      </c>
      <c r="AF618" s="5" t="n">
        <v>1.654</v>
      </c>
      <c r="AG618" s="5" t="n">
        <v>0</v>
      </c>
      <c r="AH618" s="5" t="n">
        <v>7.062</v>
      </c>
      <c r="AI618" s="5" t="n">
        <v>0</v>
      </c>
      <c r="AJ618" s="5" t="n">
        <v>1</v>
      </c>
      <c r="AK618" s="5" t="n">
        <v>13.922</v>
      </c>
      <c r="AL618" s="5" t="n">
        <v>7.481</v>
      </c>
      <c r="AM618" s="5" t="n">
        <v>0</v>
      </c>
      <c r="AN618" s="5" t="n">
        <v>14.897</v>
      </c>
      <c r="AO618" s="5" t="n">
        <v>0.07000000000000001</v>
      </c>
      <c r="AP618" s="5" t="n">
        <v>1</v>
      </c>
      <c r="AQ618" s="5" t="n">
        <v>0.649</v>
      </c>
      <c r="AR618" s="5" t="n">
        <v>0.114</v>
      </c>
      <c r="AS618" s="5" t="n">
        <v>0.143</v>
      </c>
      <c r="AT618" s="5" t="n">
        <v>0.847</v>
      </c>
      <c r="AU618" s="5" t="n">
        <v>0.07000000000000001</v>
      </c>
      <c r="AV618" s="5" t="n">
        <v>1</v>
      </c>
      <c r="AW618" s="5" t="n">
        <v>0.577</v>
      </c>
      <c r="AX618" s="5" t="n">
        <v>0.114</v>
      </c>
      <c r="AY618" s="5" t="n">
        <v>0.118</v>
      </c>
      <c r="AZ618" s="5" t="n">
        <v>0.743</v>
      </c>
      <c r="BA618" s="5" t="n">
        <v>0.07000000000000001</v>
      </c>
      <c r="BB618" s="5" t="n">
        <v>1</v>
      </c>
      <c r="BC618" s="5" t="n">
        <v>0.458</v>
      </c>
      <c r="BD618" s="5" t="n">
        <v>0.114</v>
      </c>
      <c r="BE618" s="5" t="n">
        <v>-0.07199999999999999</v>
      </c>
      <c r="BF618" s="5" t="n">
        <v>0.386</v>
      </c>
      <c r="BG618" s="5" t="n">
        <v>0</v>
      </c>
      <c r="BH618" s="5" t="n">
        <v>0</v>
      </c>
      <c r="BI618" s="5" t="n">
        <v>0.491</v>
      </c>
      <c r="BJ618" s="5" t="n">
        <v>0.114</v>
      </c>
      <c r="BK618" s="5" t="n">
        <v>0.07000000000000001</v>
      </c>
      <c r="BL618" s="5" t="n">
        <v>0.6</v>
      </c>
      <c r="BM618" s="5" t="n">
        <v>0.07000000000000001</v>
      </c>
      <c r="BN618" s="5" t="n">
        <v>1</v>
      </c>
      <c r="BO618" s="5" t="n">
        <v>0</v>
      </c>
      <c r="BP618" s="5" t="n">
        <v>0</v>
      </c>
      <c r="BQ618" s="5" t="n">
        <v>0.153</v>
      </c>
      <c r="BR618" s="5" t="n">
        <v>0</v>
      </c>
      <c r="BS618" s="5" t="n">
        <v>1</v>
      </c>
      <c r="BT618" s="5" t="n">
        <v>0</v>
      </c>
      <c r="BU618" s="5" t="n">
        <v>0</v>
      </c>
      <c r="BV618" s="5" t="n">
        <v>0.177</v>
      </c>
      <c r="BW618" s="5" t="n">
        <v>0.07000000000000001</v>
      </c>
      <c r="BX618" s="5" t="n">
        <v>1</v>
      </c>
      <c r="BY618" s="5" t="n">
        <v>11.787</v>
      </c>
      <c r="BZ618" s="5" t="n">
        <v>0</v>
      </c>
      <c r="CA618" s="5" t="n">
        <v>11.787</v>
      </c>
      <c r="CB618" s="5" t="n">
        <v>0</v>
      </c>
      <c r="CC618" s="5" t="n">
        <v>78.125</v>
      </c>
      <c r="CD618" s="5" t="n">
        <v>7.95</v>
      </c>
      <c r="CE618" s="5" t="n">
        <v>-2.731</v>
      </c>
      <c r="CF618" s="5" t="n">
        <v>75.39400000000001</v>
      </c>
      <c r="CG618" s="5" t="n">
        <v>0</v>
      </c>
      <c r="CH618" s="5" t="n">
        <v>1</v>
      </c>
      <c r="CI618" s="5" t="n">
        <v>0</v>
      </c>
      <c r="CJ618" s="5" t="n">
        <v>0</v>
      </c>
      <c r="CK618" s="5" t="n">
        <v>0</v>
      </c>
      <c r="CL618" s="5" t="n">
        <v>0</v>
      </c>
      <c r="CM618" s="5" t="n">
        <v>0</v>
      </c>
      <c r="CN618" s="5" t="n">
        <v>0</v>
      </c>
      <c r="CO618" s="5" t="n">
        <v>0</v>
      </c>
      <c r="CP618" s="5" t="n">
        <v>0</v>
      </c>
      <c r="CQ618" s="5" t="n">
        <v>1.198</v>
      </c>
      <c r="CR618" s="5" t="n">
        <v>0</v>
      </c>
      <c r="CS618" s="5" t="n">
        <v>4.776</v>
      </c>
      <c r="CT618" s="5" t="n">
        <v>4.753</v>
      </c>
      <c r="CU618" s="5" t="n">
        <v>15.983</v>
      </c>
    </row>
    <row r="619">
      <c r="A619" s="5" t="inlineStr">
        <is>
          <t>PAN2022</t>
        </is>
      </c>
      <c r="B619" s="5" t="inlineStr">
        <is>
          <t>PAN</t>
        </is>
      </c>
      <c r="C619" s="5" t="inlineStr">
        <is>
          <t>PAN</t>
        </is>
      </c>
      <c r="D619" s="5" t="inlineStr">
        <is>
          <t>Panama</t>
        </is>
      </c>
      <c r="E619" s="5" t="n">
        <v>2022</v>
      </c>
      <c r="F619" s="5" t="n">
        <v>0.07000000000000001</v>
      </c>
      <c r="G619" s="5" t="n">
        <v>11.72</v>
      </c>
      <c r="H619" s="5" t="n">
        <v>1.235</v>
      </c>
      <c r="I619" s="5" t="n">
        <v>0</v>
      </c>
      <c r="J619" s="5" t="n">
        <v>11.72</v>
      </c>
      <c r="K619" s="5" t="n">
        <v>0</v>
      </c>
      <c r="L619" s="5" t="n">
        <v>1</v>
      </c>
      <c r="M619" s="5" t="n">
        <v>9.782999999999999</v>
      </c>
      <c r="N619" s="5" t="n">
        <v>3.704</v>
      </c>
      <c r="O619" s="5" t="n">
        <v>0.304</v>
      </c>
      <c r="P619" s="5" t="n">
        <v>10.087</v>
      </c>
      <c r="Q619" s="5" t="n">
        <v>0</v>
      </c>
      <c r="R619" s="5" t="n">
        <v>1</v>
      </c>
      <c r="S619" s="5" t="n">
        <v>17.893</v>
      </c>
      <c r="T619" s="5" t="n">
        <v>7.408</v>
      </c>
      <c r="U619" s="5" t="n">
        <v>0.093</v>
      </c>
      <c r="V619" s="5" t="n">
        <v>19.146</v>
      </c>
      <c r="W619" s="5" t="n">
        <v>0.07000000000000001</v>
      </c>
      <c r="X619" s="5" t="n">
        <v>1</v>
      </c>
      <c r="Y619" s="5" t="n">
        <v>6.392</v>
      </c>
      <c r="Z619" s="5" t="n">
        <v>0.86</v>
      </c>
      <c r="AA619" s="5" t="n">
        <v>0</v>
      </c>
      <c r="AB619" s="5" t="n">
        <v>6.392</v>
      </c>
      <c r="AC619" s="5" t="n">
        <v>0</v>
      </c>
      <c r="AD619" s="5" t="n">
        <v>1</v>
      </c>
      <c r="AE619" s="5" t="n">
        <v>7.627</v>
      </c>
      <c r="AF619" s="5" t="n">
        <v>1.786</v>
      </c>
      <c r="AG619" s="5" t="n">
        <v>0</v>
      </c>
      <c r="AH619" s="5" t="n">
        <v>7.627</v>
      </c>
      <c r="AI619" s="5" t="n">
        <v>0</v>
      </c>
      <c r="AJ619" s="5" t="n">
        <v>1</v>
      </c>
      <c r="AK619" s="5" t="n">
        <v>15.035</v>
      </c>
      <c r="AL619" s="5" t="n">
        <v>8.079000000000001</v>
      </c>
      <c r="AM619" s="5" t="n">
        <v>0.078</v>
      </c>
      <c r="AN619" s="5" t="n">
        <v>16.088</v>
      </c>
      <c r="AO619" s="5" t="n">
        <v>0.07000000000000001</v>
      </c>
      <c r="AP619" s="5" t="n">
        <v>1</v>
      </c>
      <c r="AQ619" s="5" t="n">
        <v>0.896</v>
      </c>
      <c r="AR619" s="5" t="n">
        <v>0.123</v>
      </c>
      <c r="AS619" s="5" t="n">
        <v>0.054</v>
      </c>
      <c r="AT619" s="5" t="n">
        <v>1.017</v>
      </c>
      <c r="AU619" s="5" t="n">
        <v>0.07000000000000001</v>
      </c>
      <c r="AV619" s="5" t="n">
        <v>1</v>
      </c>
      <c r="AW619" s="5" t="n">
        <v>0.89</v>
      </c>
      <c r="AX619" s="5" t="n">
        <v>0.123</v>
      </c>
      <c r="AY619" s="5" t="n">
        <v>0.053</v>
      </c>
      <c r="AZ619" s="5" t="n">
        <v>1.009</v>
      </c>
      <c r="BA619" s="5" t="n">
        <v>0.07000000000000001</v>
      </c>
      <c r="BB619" s="5" t="n">
        <v>1</v>
      </c>
      <c r="BC619" s="5" t="n">
        <v>0.62</v>
      </c>
      <c r="BD619" s="5" t="n">
        <v>0.123</v>
      </c>
      <c r="BE619" s="5" t="n">
        <v>-0.078</v>
      </c>
      <c r="BF619" s="5" t="n">
        <v>0.542</v>
      </c>
      <c r="BG619" s="5" t="n">
        <v>0</v>
      </c>
      <c r="BH619" s="5" t="n">
        <v>0</v>
      </c>
      <c r="BI619" s="5" t="n">
        <v>0.608</v>
      </c>
      <c r="BJ619" s="5" t="n">
        <v>0.123</v>
      </c>
      <c r="BK619" s="5" t="n">
        <v>0.074</v>
      </c>
      <c r="BL619" s="5" t="n">
        <v>0.726</v>
      </c>
      <c r="BM619" s="5" t="n">
        <v>0.07000000000000001</v>
      </c>
      <c r="BN619" s="5" t="n">
        <v>1</v>
      </c>
      <c r="BO619" s="5" t="n">
        <v>0</v>
      </c>
      <c r="BP619" s="5" t="n">
        <v>0</v>
      </c>
      <c r="BQ619" s="5" t="n">
        <v>0.169</v>
      </c>
      <c r="BR619" s="5" t="n">
        <v>0</v>
      </c>
      <c r="BS619" s="5" t="n">
        <v>1</v>
      </c>
      <c r="BT619" s="5" t="n">
        <v>0</v>
      </c>
      <c r="BU619" s="5" t="n">
        <v>0</v>
      </c>
      <c r="BV619" s="5" t="n">
        <v>0.205</v>
      </c>
      <c r="BW619" s="5" t="n">
        <v>0.07000000000000001</v>
      </c>
      <c r="BX619" s="5" t="n">
        <v>1</v>
      </c>
      <c r="BY619" s="5" t="n">
        <v>12.729</v>
      </c>
      <c r="BZ619" s="5" t="n">
        <v>0</v>
      </c>
      <c r="CA619" s="5" t="n">
        <v>12.729</v>
      </c>
      <c r="CB619" s="5" t="n">
        <v>0</v>
      </c>
      <c r="CC619" s="5" t="n">
        <v>97.90000000000001</v>
      </c>
      <c r="CD619" s="5" t="n">
        <v>7.95</v>
      </c>
      <c r="CE619" s="5" t="n">
        <v>-2.949</v>
      </c>
      <c r="CF619" s="5" t="n">
        <v>94.95099999999999</v>
      </c>
      <c r="CG619" s="5" t="n">
        <v>0</v>
      </c>
      <c r="CH619" s="5" t="n">
        <v>1</v>
      </c>
      <c r="CI619" s="5" t="n">
        <v>0</v>
      </c>
      <c r="CJ619" s="5" t="n">
        <v>0</v>
      </c>
      <c r="CK619" s="5" t="n">
        <v>0</v>
      </c>
      <c r="CL619" s="5" t="n">
        <v>0</v>
      </c>
      <c r="CM619" s="5" t="n">
        <v>0</v>
      </c>
      <c r="CN619" s="5" t="n">
        <v>0</v>
      </c>
      <c r="CO619" s="5" t="n">
        <v>0</v>
      </c>
      <c r="CP619" s="5" t="n">
        <v>0</v>
      </c>
      <c r="CQ619" s="5" t="n">
        <v>1.294</v>
      </c>
      <c r="CR619" s="5" t="n">
        <v>0</v>
      </c>
      <c r="CS619" s="5" t="n">
        <v>5.158</v>
      </c>
      <c r="CT619" s="5" t="n">
        <v>10.485</v>
      </c>
      <c r="CU619" s="5" t="n">
        <v>29.494</v>
      </c>
    </row>
    <row r="620">
      <c r="A620" s="5" t="inlineStr">
        <is>
          <t>PAN2023</t>
        </is>
      </c>
      <c r="B620" s="5" t="inlineStr">
        <is>
          <t>PAN</t>
        </is>
      </c>
      <c r="C620" s="5" t="inlineStr">
        <is>
          <t>PAN</t>
        </is>
      </c>
      <c r="D620" s="5" t="inlineStr">
        <is>
          <t>Panama</t>
        </is>
      </c>
      <c r="E620" s="5" t="n">
        <v>2023</v>
      </c>
      <c r="F620" s="5" t="n">
        <v>0.07000000000000001</v>
      </c>
      <c r="G620" s="5" t="n">
        <v>6.147</v>
      </c>
      <c r="H620" s="5" t="n">
        <v>1.286</v>
      </c>
      <c r="I620" s="5" t="n">
        <v>0</v>
      </c>
      <c r="J620" s="5" t="n">
        <v>6.147</v>
      </c>
      <c r="K620" s="5" t="n">
        <v>0</v>
      </c>
      <c r="L620" s="5" t="n">
        <v>1</v>
      </c>
      <c r="M620" s="5" t="n">
        <v>7.886</v>
      </c>
      <c r="N620" s="5" t="n">
        <v>3.857</v>
      </c>
      <c r="O620" s="5" t="n">
        <v>0.201</v>
      </c>
      <c r="P620" s="5" t="n">
        <v>8.087999999999999</v>
      </c>
      <c r="Q620" s="5" t="n">
        <v>0</v>
      </c>
      <c r="R620" s="5" t="n">
        <v>1</v>
      </c>
      <c r="S620" s="5" t="n">
        <v>12.575</v>
      </c>
      <c r="T620" s="5" t="n">
        <v>7.714</v>
      </c>
      <c r="U620" s="5" t="n">
        <v>0.097</v>
      </c>
      <c r="V620" s="5" t="n">
        <v>13.455</v>
      </c>
      <c r="W620" s="5" t="n">
        <v>0.07000000000000001</v>
      </c>
      <c r="X620" s="5" t="n">
        <v>1</v>
      </c>
      <c r="Y620" s="5" t="n">
        <v>6.656</v>
      </c>
      <c r="Z620" s="5" t="n">
        <v>0.895</v>
      </c>
      <c r="AA620" s="5" t="n">
        <v>0</v>
      </c>
      <c r="AB620" s="5" t="n">
        <v>6.656</v>
      </c>
      <c r="AC620" s="5" t="n">
        <v>0</v>
      </c>
      <c r="AD620" s="5" t="n">
        <v>1</v>
      </c>
      <c r="AE620" s="5" t="n">
        <v>7.942</v>
      </c>
      <c r="AF620" s="5" t="n">
        <v>1.86</v>
      </c>
      <c r="AG620" s="5" t="n">
        <v>0</v>
      </c>
      <c r="AH620" s="5" t="n">
        <v>7.942</v>
      </c>
      <c r="AI620" s="5" t="n">
        <v>0</v>
      </c>
      <c r="AJ620" s="5" t="n">
        <v>1</v>
      </c>
      <c r="AK620" s="5" t="n">
        <v>15.656</v>
      </c>
      <c r="AL620" s="5" t="n">
        <v>8.412000000000001</v>
      </c>
      <c r="AM620" s="5" t="n">
        <v>0.121</v>
      </c>
      <c r="AN620" s="5" t="n">
        <v>16.752</v>
      </c>
      <c r="AO620" s="5" t="n">
        <v>0.07000000000000001</v>
      </c>
      <c r="AP620" s="5" t="n">
        <v>1</v>
      </c>
      <c r="AQ620" s="5" t="n">
        <v>0.791</v>
      </c>
      <c r="AR620" s="5" t="n">
        <v>0.129</v>
      </c>
      <c r="AS620" s="5" t="n">
        <v>0.103</v>
      </c>
      <c r="AT620" s="5" t="n">
        <v>0.957</v>
      </c>
      <c r="AU620" s="5" t="n">
        <v>0.07000000000000001</v>
      </c>
      <c r="AV620" s="5" t="n">
        <v>1</v>
      </c>
      <c r="AW620" s="5" t="n">
        <v>0.618</v>
      </c>
      <c r="AX620" s="5" t="n">
        <v>0.129</v>
      </c>
      <c r="AY620" s="5" t="n">
        <v>0.256</v>
      </c>
      <c r="AZ620" s="5" t="n">
        <v>0.9350000000000001</v>
      </c>
      <c r="BA620" s="5" t="n">
        <v>0.07000000000000001</v>
      </c>
      <c r="BB620" s="5" t="n">
        <v>1</v>
      </c>
      <c r="BC620" s="5" t="n">
        <v>0.554</v>
      </c>
      <c r="BD620" s="5" t="n">
        <v>0.129</v>
      </c>
      <c r="BE620" s="5" t="n">
        <v>-0.081</v>
      </c>
      <c r="BF620" s="5" t="n">
        <v>0.473</v>
      </c>
      <c r="BG620" s="5" t="n">
        <v>0</v>
      </c>
      <c r="BH620" s="5" t="n">
        <v>0</v>
      </c>
      <c r="BI620" s="5" t="n">
        <v>0.5570000000000001</v>
      </c>
      <c r="BJ620" s="5" t="n">
        <v>0.129</v>
      </c>
      <c r="BK620" s="5" t="n">
        <v>0.083</v>
      </c>
      <c r="BL620" s="5" t="n">
        <v>0.68</v>
      </c>
      <c r="BM620" s="5" t="n">
        <v>0.07000000000000001</v>
      </c>
      <c r="BN620" s="5" t="n">
        <v>1</v>
      </c>
      <c r="BO620" s="5" t="n">
        <v>0</v>
      </c>
      <c r="BP620" s="5" t="n">
        <v>0</v>
      </c>
      <c r="BQ620" s="5" t="n">
        <v>0.21</v>
      </c>
      <c r="BR620" s="5" t="n">
        <v>0</v>
      </c>
      <c r="BS620" s="5" t="n">
        <v>1</v>
      </c>
      <c r="BT620" s="5" t="n">
        <v>0</v>
      </c>
      <c r="BU620" s="5" t="n">
        <v>0</v>
      </c>
      <c r="BV620" s="5" t="n">
        <v>0.193</v>
      </c>
      <c r="BW620" s="5" t="n">
        <v>0.07000000000000001</v>
      </c>
      <c r="BX620" s="5" t="n">
        <v>1</v>
      </c>
      <c r="BY620" s="5" t="n">
        <v>13.254</v>
      </c>
      <c r="BZ620" s="5" t="n">
        <v>0</v>
      </c>
      <c r="CA620" s="5" t="n">
        <v>13.254</v>
      </c>
      <c r="CB620" s="5" t="n">
        <v>0</v>
      </c>
      <c r="CC620" s="5" t="n">
        <v>83.248</v>
      </c>
      <c r="CD620" s="5" t="n">
        <v>7.95</v>
      </c>
      <c r="CE620" s="5" t="n">
        <v>-3.071</v>
      </c>
      <c r="CF620" s="5" t="n">
        <v>80.17700000000001</v>
      </c>
      <c r="CG620" s="5" t="n">
        <v>0</v>
      </c>
      <c r="CH620" s="5" t="n">
        <v>1</v>
      </c>
      <c r="CI620" s="5" t="n">
        <v>0</v>
      </c>
      <c r="CJ620" s="5" t="n">
        <v>0</v>
      </c>
      <c r="CK620" s="5" t="n">
        <v>0</v>
      </c>
      <c r="CL620" s="5" t="n">
        <v>0</v>
      </c>
      <c r="CM620" s="5" t="n">
        <v>0</v>
      </c>
      <c r="CN620" s="5" t="n">
        <v>0</v>
      </c>
      <c r="CO620" s="5" t="n">
        <v>0</v>
      </c>
      <c r="CP620" s="5" t="n">
        <v>0</v>
      </c>
      <c r="CQ620" s="5" t="n">
        <v>1.348</v>
      </c>
      <c r="CR620" s="5" t="n">
        <v>0</v>
      </c>
      <c r="CS620" s="5" t="n">
        <v>5.37</v>
      </c>
      <c r="CT620" s="5" t="n">
        <v>4.861</v>
      </c>
      <c r="CU620" s="5" t="n">
        <v>11.192</v>
      </c>
    </row>
    <row r="621">
      <c r="A621" s="5" t="inlineStr">
        <is>
          <t>PAN2024</t>
        </is>
      </c>
      <c r="B621" s="5" t="inlineStr">
        <is>
          <t>PAN</t>
        </is>
      </c>
      <c r="C621" s="5" t="inlineStr">
        <is>
          <t>PAN</t>
        </is>
      </c>
      <c r="D621" s="5" t="inlineStr">
        <is>
          <t>Panama</t>
        </is>
      </c>
      <c r="E621" s="5" t="n">
        <v>2024</v>
      </c>
      <c r="F621" s="5" t="n">
        <v>0.07000000000000001</v>
      </c>
      <c r="G621" s="5" t="n">
        <v>5.575</v>
      </c>
      <c r="H621" s="5" t="n">
        <v>1.324</v>
      </c>
      <c r="I621" s="5" t="n">
        <v>0</v>
      </c>
      <c r="J621" s="5" t="n">
        <v>5.575</v>
      </c>
      <c r="K621" s="5" t="n">
        <v>0</v>
      </c>
      <c r="L621" s="5" t="n">
        <v>1</v>
      </c>
      <c r="M621" s="5" t="n">
        <v>7.124</v>
      </c>
      <c r="N621" s="5" t="n">
        <v>3.971</v>
      </c>
      <c r="O621" s="5" t="n">
        <v>0.158</v>
      </c>
      <c r="P621" s="5" t="n">
        <v>7.281</v>
      </c>
      <c r="Q621" s="5" t="n">
        <v>0</v>
      </c>
      <c r="R621" s="5" t="n">
        <v>1</v>
      </c>
      <c r="S621" s="5" t="n">
        <v>12.193</v>
      </c>
      <c r="T621" s="5" t="n">
        <v>7.942</v>
      </c>
      <c r="U621" s="5" t="n">
        <v>0.116</v>
      </c>
      <c r="V621" s="5" t="n">
        <v>13.046</v>
      </c>
      <c r="W621" s="5" t="n">
        <v>0.07000000000000001</v>
      </c>
      <c r="X621" s="5" t="n">
        <v>1</v>
      </c>
      <c r="Y621" s="5" t="n">
        <v>6.853</v>
      </c>
      <c r="Z621" s="5" t="n">
        <v>0.922</v>
      </c>
      <c r="AA621" s="5" t="n">
        <v>0</v>
      </c>
      <c r="AB621" s="5" t="n">
        <v>6.853</v>
      </c>
      <c r="AC621" s="5" t="n">
        <v>0</v>
      </c>
      <c r="AD621" s="5" t="n">
        <v>1</v>
      </c>
      <c r="AE621" s="5" t="n">
        <v>8.176</v>
      </c>
      <c r="AF621" s="5" t="n">
        <v>1.915</v>
      </c>
      <c r="AG621" s="5" t="n">
        <v>0</v>
      </c>
      <c r="AH621" s="5" t="n">
        <v>8.176</v>
      </c>
      <c r="AI621" s="5" t="n">
        <v>0</v>
      </c>
      <c r="AJ621" s="5" t="n">
        <v>1</v>
      </c>
      <c r="AK621" s="5" t="n">
        <v>16.118</v>
      </c>
      <c r="AL621" s="5" t="n">
        <v>8.66</v>
      </c>
      <c r="AM621" s="5" t="n">
        <v>0.154</v>
      </c>
      <c r="AN621" s="5" t="n">
        <v>17.246</v>
      </c>
      <c r="AO621" s="5" t="n">
        <v>0.07000000000000001</v>
      </c>
      <c r="AP621" s="5" t="n">
        <v>1</v>
      </c>
      <c r="AQ621" s="5" t="n">
        <v>0.756</v>
      </c>
      <c r="AR621" s="5" t="n">
        <v>0.132</v>
      </c>
      <c r="AS621" s="5" t="n">
        <v>0.121</v>
      </c>
      <c r="AT621" s="5" t="n">
        <v>0.9389999999999999</v>
      </c>
      <c r="AU621" s="5" t="n">
        <v>0.07000000000000001</v>
      </c>
      <c r="AV621" s="5" t="n">
        <v>1</v>
      </c>
      <c r="AW621" s="5" t="n">
        <v>0.655</v>
      </c>
      <c r="AX621" s="5" t="n">
        <v>0.132</v>
      </c>
      <c r="AY621" s="5" t="n">
        <v>0.154</v>
      </c>
      <c r="AZ621" s="5" t="n">
        <v>0.865</v>
      </c>
      <c r="BA621" s="5" t="n">
        <v>0.07000000000000001</v>
      </c>
      <c r="BB621" s="5" t="n">
        <v>1</v>
      </c>
      <c r="BC621" s="5" t="n">
        <v>0.534</v>
      </c>
      <c r="BD621" s="5" t="n">
        <v>0.132</v>
      </c>
      <c r="BE621" s="5" t="n">
        <v>-0.08400000000000001</v>
      </c>
      <c r="BF621" s="5" t="n">
        <v>0.45</v>
      </c>
      <c r="BG621" s="5" t="n">
        <v>0</v>
      </c>
      <c r="BH621" s="5" t="n">
        <v>0</v>
      </c>
      <c r="BI621" s="5" t="n">
        <v>0.5679999999999999</v>
      </c>
      <c r="BJ621" s="5" t="n">
        <v>0.132</v>
      </c>
      <c r="BK621" s="5" t="n">
        <v>0.08699999999999999</v>
      </c>
      <c r="BL621" s="5" t="n">
        <v>0.694</v>
      </c>
      <c r="BM621" s="5" t="n">
        <v>0.07000000000000001</v>
      </c>
      <c r="BN621" s="5" t="n">
        <v>1</v>
      </c>
      <c r="BO621" s="5" t="n">
        <v>0</v>
      </c>
      <c r="BP621" s="5" t="n">
        <v>0</v>
      </c>
      <c r="BQ621" s="5" t="n">
        <v>0.179</v>
      </c>
      <c r="BR621" s="5" t="n">
        <v>0</v>
      </c>
      <c r="BS621" s="5" t="n">
        <v>1</v>
      </c>
      <c r="BT621" s="5" t="n">
        <v>0</v>
      </c>
      <c r="BU621" s="5" t="n">
        <v>0</v>
      </c>
      <c r="BV621" s="5" t="n">
        <v>0.179</v>
      </c>
      <c r="BW621" s="5" t="n">
        <v>0.07000000000000001</v>
      </c>
      <c r="BX621" s="5" t="n">
        <v>1</v>
      </c>
      <c r="BY621" s="5" t="n">
        <v>13.646</v>
      </c>
      <c r="BZ621" s="5" t="n">
        <v>0</v>
      </c>
      <c r="CA621" s="5" t="n">
        <v>13.646</v>
      </c>
      <c r="CB621" s="5" t="n">
        <v>0</v>
      </c>
      <c r="CC621" s="5" t="n">
        <v>82.58799999999999</v>
      </c>
      <c r="CD621" s="5" t="n">
        <v>7.95</v>
      </c>
      <c r="CE621" s="5" t="n">
        <v>-3.161</v>
      </c>
      <c r="CF621" s="5" t="n">
        <v>79.42700000000001</v>
      </c>
      <c r="CG621" s="5" t="n">
        <v>0</v>
      </c>
      <c r="CH621" s="5" t="n">
        <v>1</v>
      </c>
      <c r="CI621" s="5" t="n">
        <v>0</v>
      </c>
      <c r="CJ621" s="5" t="n">
        <v>0</v>
      </c>
      <c r="CK621" s="5" t="n">
        <v>0</v>
      </c>
      <c r="CL621" s="5" t="n">
        <v>0</v>
      </c>
      <c r="CM621" s="5" t="n">
        <v>0</v>
      </c>
      <c r="CN621" s="5" t="n">
        <v>0</v>
      </c>
      <c r="CO621" s="5" t="n">
        <v>0</v>
      </c>
      <c r="CP621" s="5" t="n">
        <v>0</v>
      </c>
      <c r="CQ621" s="5" t="n">
        <v>1.387</v>
      </c>
      <c r="CR621" s="5" t="n">
        <v>0</v>
      </c>
      <c r="CS621" s="5" t="n">
        <v>5.529</v>
      </c>
      <c r="CT621" s="5" t="n">
        <v>4.251</v>
      </c>
      <c r="CU621" s="5" t="n">
        <v>10.123</v>
      </c>
    </row>
    <row r="622">
      <c r="A622" s="5" t="inlineStr">
        <is>
          <t>PNG2021</t>
        </is>
      </c>
      <c r="B622" s="5" t="inlineStr">
        <is>
          <t>PNG</t>
        </is>
      </c>
      <c r="C622" s="5" t="inlineStr">
        <is>
          <t>PNG</t>
        </is>
      </c>
      <c r="D622" s="5" t="inlineStr">
        <is>
          <t>Papua New Guinea</t>
        </is>
      </c>
      <c r="E622" s="5" t="n">
        <v>2021</v>
      </c>
      <c r="F622" s="5" t="n">
        <v>0.1</v>
      </c>
      <c r="G622" s="5" t="n">
        <v>4.747</v>
      </c>
      <c r="H622" s="5" t="n">
        <v>1.143</v>
      </c>
      <c r="I622" s="5" t="n">
        <v>0</v>
      </c>
      <c r="J622" s="5" t="n">
        <v>4.747</v>
      </c>
      <c r="K622" s="5" t="n">
        <v>0</v>
      </c>
      <c r="L622" s="5" t="n">
        <v>1</v>
      </c>
      <c r="M622" s="5" t="n">
        <v>7.964</v>
      </c>
      <c r="N622" s="5" t="n">
        <v>3.43</v>
      </c>
      <c r="O622" s="5" t="n">
        <v>0</v>
      </c>
      <c r="P622" s="5" t="n">
        <v>7.964</v>
      </c>
      <c r="Q622" s="5" t="n">
        <v>0</v>
      </c>
      <c r="R622" s="5" t="n">
        <v>1</v>
      </c>
      <c r="S622" s="5" t="n">
        <v>10.464</v>
      </c>
      <c r="T622" s="5" t="n">
        <v>6.86</v>
      </c>
      <c r="U622" s="5" t="n">
        <v>0</v>
      </c>
      <c r="V622" s="5" t="n">
        <v>11.51</v>
      </c>
      <c r="W622" s="5" t="n">
        <v>0.1</v>
      </c>
      <c r="X622" s="5" t="n">
        <v>1</v>
      </c>
      <c r="Y622" s="5" t="n">
        <v>10.251</v>
      </c>
      <c r="Z622" s="5" t="n">
        <v>1.265</v>
      </c>
      <c r="AA622" s="5" t="n">
        <v>0</v>
      </c>
      <c r="AB622" s="5" t="n">
        <v>10.251</v>
      </c>
      <c r="AC622" s="5" t="n">
        <v>0</v>
      </c>
      <c r="AD622" s="5" t="n">
        <v>1</v>
      </c>
      <c r="AE622" s="5" t="n">
        <v>11.395</v>
      </c>
      <c r="AF622" s="5" t="n">
        <v>2.484</v>
      </c>
      <c r="AG622" s="5" t="n">
        <v>0</v>
      </c>
      <c r="AH622" s="5" t="n">
        <v>11.395</v>
      </c>
      <c r="AI622" s="5" t="n">
        <v>0</v>
      </c>
      <c r="AJ622" s="5" t="n">
        <v>1</v>
      </c>
      <c r="AK622" s="5" t="n">
        <v>18.255</v>
      </c>
      <c r="AL622" s="5" t="n">
        <v>9.472</v>
      </c>
      <c r="AM622" s="5" t="n">
        <v>0</v>
      </c>
      <c r="AN622" s="5" t="n">
        <v>20.08</v>
      </c>
      <c r="AO622" s="5" t="n">
        <v>0.1</v>
      </c>
      <c r="AP622" s="5" t="n">
        <v>1</v>
      </c>
      <c r="AQ622" s="5" t="n">
        <v>0.621</v>
      </c>
      <c r="AR622" s="5" t="n">
        <v>0.114</v>
      </c>
      <c r="AS622" s="5" t="n">
        <v>0.381</v>
      </c>
      <c r="AT622" s="5" t="n">
        <v>1.102</v>
      </c>
      <c r="AU622" s="5" t="n">
        <v>0.1</v>
      </c>
      <c r="AV622" s="5" t="n">
        <v>1</v>
      </c>
      <c r="AW622" s="5" t="n">
        <v>0.593</v>
      </c>
      <c r="AX622" s="5" t="n">
        <v>0.114</v>
      </c>
      <c r="AY622" s="5" t="n">
        <v>0.238</v>
      </c>
      <c r="AZ622" s="5" t="n">
        <v>0.915</v>
      </c>
      <c r="BA622" s="5" t="n">
        <v>0.1</v>
      </c>
      <c r="BB622" s="5" t="n">
        <v>1</v>
      </c>
      <c r="BC622" s="5" t="n">
        <v>0.44</v>
      </c>
      <c r="BD622" s="5" t="n">
        <v>0.114</v>
      </c>
      <c r="BE622" s="5" t="n">
        <v>0</v>
      </c>
      <c r="BF622" s="5" t="n">
        <v>0.484</v>
      </c>
      <c r="BG622" s="5" t="n">
        <v>0.1</v>
      </c>
      <c r="BH622" s="5" t="n">
        <v>1</v>
      </c>
      <c r="BI622" s="5" t="n">
        <v>0.5600000000000001</v>
      </c>
      <c r="BJ622" s="5" t="n">
        <v>0.114</v>
      </c>
      <c r="BK622" s="5" t="n">
        <v>0.164</v>
      </c>
      <c r="BL622" s="5" t="n">
        <v>0.797</v>
      </c>
      <c r="BM622" s="5" t="n">
        <v>0.1</v>
      </c>
      <c r="BN622" s="5" t="n">
        <v>1</v>
      </c>
      <c r="BO622" s="5" t="n">
        <v>0</v>
      </c>
      <c r="BP622" s="5" t="n">
        <v>0</v>
      </c>
      <c r="BQ622" s="5" t="n">
        <v>0.181</v>
      </c>
      <c r="BR622" s="5" t="n">
        <v>0</v>
      </c>
      <c r="BS622" s="5" t="n">
        <v>0.333</v>
      </c>
      <c r="BT622" s="5" t="n">
        <v>0</v>
      </c>
      <c r="BU622" s="5" t="n">
        <v>0</v>
      </c>
      <c r="BV622" s="5" t="n">
        <v>0.253</v>
      </c>
      <c r="BW622" s="5" t="n">
        <v>0.1</v>
      </c>
      <c r="BX622" s="5" t="n">
        <v>0.333</v>
      </c>
      <c r="BY622" s="5" t="n">
        <v>11.787</v>
      </c>
      <c r="BZ622" s="5" t="n">
        <v>0</v>
      </c>
      <c r="CA622" s="5" t="n">
        <v>11.787</v>
      </c>
      <c r="CB622" s="5" t="n">
        <v>0</v>
      </c>
      <c r="CC622" s="5" t="n">
        <v>81.69499999999999</v>
      </c>
      <c r="CD622" s="5" t="n">
        <v>7.95</v>
      </c>
      <c r="CE622" s="5" t="n">
        <v>33.284</v>
      </c>
      <c r="CF622" s="5" t="n">
        <v>126.477</v>
      </c>
      <c r="CG622" s="5" t="n">
        <v>0.1</v>
      </c>
      <c r="CH622" s="5" t="n">
        <v>1</v>
      </c>
      <c r="CI622" s="5" t="n">
        <v>0</v>
      </c>
      <c r="CJ622" s="5" t="n">
        <v>0</v>
      </c>
      <c r="CK622" s="5" t="n">
        <v>0</v>
      </c>
      <c r="CL622" s="5" t="n">
        <v>0</v>
      </c>
      <c r="CM622" s="5" t="n">
        <v>0</v>
      </c>
      <c r="CN622" s="5" t="n">
        <v>0</v>
      </c>
      <c r="CO622" s="5" t="n">
        <v>0</v>
      </c>
      <c r="CP622" s="5" t="n">
        <v>0</v>
      </c>
      <c r="CQ622" s="5" t="n">
        <v>1.198</v>
      </c>
      <c r="CR622" s="5" t="n">
        <v>0</v>
      </c>
      <c r="CS622" s="5" t="n">
        <v>3.279</v>
      </c>
      <c r="CT622" s="5" t="n">
        <v>3.604</v>
      </c>
      <c r="CU622" s="5" t="n">
        <v>9.407999999999999</v>
      </c>
    </row>
    <row r="623">
      <c r="A623" s="5" t="inlineStr">
        <is>
          <t>PNG2022</t>
        </is>
      </c>
      <c r="B623" s="5" t="inlineStr">
        <is>
          <t>PNG</t>
        </is>
      </c>
      <c r="C623" s="5" t="inlineStr">
        <is>
          <t>PNG</t>
        </is>
      </c>
      <c r="D623" s="5" t="inlineStr">
        <is>
          <t>Papua New Guinea</t>
        </is>
      </c>
      <c r="E623" s="5" t="n">
        <v>2022</v>
      </c>
      <c r="F623" s="5" t="n">
        <v>0.1</v>
      </c>
      <c r="G623" s="5" t="n">
        <v>8.788</v>
      </c>
      <c r="H623" s="5" t="n">
        <v>1.235</v>
      </c>
      <c r="I623" s="5" t="n">
        <v>0</v>
      </c>
      <c r="J623" s="5" t="n">
        <v>8.788</v>
      </c>
      <c r="K623" s="5" t="n">
        <v>0</v>
      </c>
      <c r="L623" s="5" t="n">
        <v>1</v>
      </c>
      <c r="M623" s="5" t="n">
        <v>9.782999999999999</v>
      </c>
      <c r="N623" s="5" t="n">
        <v>3.704</v>
      </c>
      <c r="O623" s="5" t="n">
        <v>0</v>
      </c>
      <c r="P623" s="5" t="n">
        <v>9.782999999999999</v>
      </c>
      <c r="Q623" s="5" t="n">
        <v>0</v>
      </c>
      <c r="R623" s="5" t="n">
        <v>1</v>
      </c>
      <c r="S623" s="5" t="n">
        <v>14.962</v>
      </c>
      <c r="T623" s="5" t="n">
        <v>7.408</v>
      </c>
      <c r="U623" s="5" t="n">
        <v>0.111</v>
      </c>
      <c r="V623" s="5" t="n">
        <v>16.458</v>
      </c>
      <c r="W623" s="5" t="n">
        <v>0.1</v>
      </c>
      <c r="X623" s="5" t="n">
        <v>1</v>
      </c>
      <c r="Y623" s="5" t="n">
        <v>16.718</v>
      </c>
      <c r="Z623" s="5" t="n">
        <v>2.063</v>
      </c>
      <c r="AA623" s="5" t="n">
        <v>0</v>
      </c>
      <c r="AB623" s="5" t="n">
        <v>16.718</v>
      </c>
      <c r="AC623" s="5" t="n">
        <v>0</v>
      </c>
      <c r="AD623" s="5" t="n">
        <v>1</v>
      </c>
      <c r="AE623" s="5" t="n">
        <v>17.953</v>
      </c>
      <c r="AF623" s="5" t="n">
        <v>3.914</v>
      </c>
      <c r="AG623" s="5" t="n">
        <v>0</v>
      </c>
      <c r="AH623" s="5" t="n">
        <v>17.953</v>
      </c>
      <c r="AI623" s="5" t="n">
        <v>0</v>
      </c>
      <c r="AJ623" s="5" t="n">
        <v>1</v>
      </c>
      <c r="AK623" s="5" t="n">
        <v>25.361</v>
      </c>
      <c r="AL623" s="5" t="n">
        <v>13.159</v>
      </c>
      <c r="AM623" s="5" t="n">
        <v>0.188</v>
      </c>
      <c r="AN623" s="5" t="n">
        <v>27.897</v>
      </c>
      <c r="AO623" s="5" t="n">
        <v>0.1</v>
      </c>
      <c r="AP623" s="5" t="n">
        <v>1</v>
      </c>
      <c r="AQ623" s="5" t="n">
        <v>0.847</v>
      </c>
      <c r="AR623" s="5" t="n">
        <v>0.123</v>
      </c>
      <c r="AS623" s="5" t="n">
        <v>0.268</v>
      </c>
      <c r="AT623" s="5" t="n">
        <v>1.226</v>
      </c>
      <c r="AU623" s="5" t="n">
        <v>0.1</v>
      </c>
      <c r="AV623" s="5" t="n">
        <v>1</v>
      </c>
      <c r="AW623" s="5" t="n">
        <v>0.947</v>
      </c>
      <c r="AX623" s="5" t="n">
        <v>0.123</v>
      </c>
      <c r="AY623" s="5" t="n">
        <v>0.129</v>
      </c>
      <c r="AZ623" s="5" t="n">
        <v>1.184</v>
      </c>
      <c r="BA623" s="5" t="n">
        <v>0.1</v>
      </c>
      <c r="BB623" s="5" t="n">
        <v>1</v>
      </c>
      <c r="BC623" s="5" t="n">
        <v>0.589</v>
      </c>
      <c r="BD623" s="5" t="n">
        <v>0.123</v>
      </c>
      <c r="BE623" s="5" t="n">
        <v>0.004</v>
      </c>
      <c r="BF623" s="5" t="n">
        <v>0.647</v>
      </c>
      <c r="BG623" s="5" t="n">
        <v>0.1</v>
      </c>
      <c r="BH623" s="5" t="n">
        <v>1</v>
      </c>
      <c r="BI623" s="5" t="n">
        <v>0.6889999999999999</v>
      </c>
      <c r="BJ623" s="5" t="n">
        <v>0.123</v>
      </c>
      <c r="BK623" s="5" t="n">
        <v>0.354</v>
      </c>
      <c r="BL623" s="5" t="n">
        <v>1.148</v>
      </c>
      <c r="BM623" s="5" t="n">
        <v>0.1</v>
      </c>
      <c r="BN623" s="5" t="n">
        <v>1</v>
      </c>
      <c r="BO623" s="5" t="n">
        <v>0</v>
      </c>
      <c r="BP623" s="5" t="n">
        <v>0</v>
      </c>
      <c r="BQ623" s="5" t="n">
        <v>0.181</v>
      </c>
      <c r="BR623" s="5" t="n">
        <v>0</v>
      </c>
      <c r="BS623" s="5" t="n">
        <v>0.333</v>
      </c>
      <c r="BT623" s="5" t="n">
        <v>0</v>
      </c>
      <c r="BU623" s="5" t="n">
        <v>0</v>
      </c>
      <c r="BV623" s="5" t="n">
        <v>0.252</v>
      </c>
      <c r="BW623" s="5" t="n">
        <v>0.1</v>
      </c>
      <c r="BX623" s="5" t="n">
        <v>0.333</v>
      </c>
      <c r="BY623" s="5" t="n">
        <v>12.729</v>
      </c>
      <c r="BZ623" s="5" t="n">
        <v>0</v>
      </c>
      <c r="CA623" s="5" t="n">
        <v>12.729</v>
      </c>
      <c r="CB623" s="5" t="n">
        <v>0</v>
      </c>
      <c r="CC623" s="5" t="n">
        <v>102.477</v>
      </c>
      <c r="CD623" s="5" t="n">
        <v>7.95</v>
      </c>
      <c r="CE623" s="5" t="n">
        <v>63.302</v>
      </c>
      <c r="CF623" s="5" t="n">
        <v>182.356</v>
      </c>
      <c r="CG623" s="5" t="n">
        <v>0.1</v>
      </c>
      <c r="CH623" s="5" t="n">
        <v>1</v>
      </c>
      <c r="CI623" s="5" t="n">
        <v>0</v>
      </c>
      <c r="CJ623" s="5" t="n">
        <v>0</v>
      </c>
      <c r="CK623" s="5" t="n">
        <v>0</v>
      </c>
      <c r="CL623" s="5" t="n">
        <v>0</v>
      </c>
      <c r="CM623" s="5" t="n">
        <v>0</v>
      </c>
      <c r="CN623" s="5" t="n">
        <v>0</v>
      </c>
      <c r="CO623" s="5" t="n">
        <v>0</v>
      </c>
      <c r="CP623" s="5" t="n">
        <v>0</v>
      </c>
      <c r="CQ623" s="5" t="n">
        <v>1.294</v>
      </c>
      <c r="CR623" s="5" t="n">
        <v>0</v>
      </c>
      <c r="CS623" s="5" t="n">
        <v>3.541</v>
      </c>
      <c r="CT623" s="5" t="n">
        <v>7.554</v>
      </c>
      <c r="CU623" s="5" t="n">
        <v>16.097</v>
      </c>
    </row>
    <row r="624">
      <c r="A624" s="5" t="inlineStr">
        <is>
          <t>PNG2023</t>
        </is>
      </c>
      <c r="B624" s="5" t="inlineStr">
        <is>
          <t>PNG</t>
        </is>
      </c>
      <c r="C624" s="5" t="inlineStr">
        <is>
          <t>PNG</t>
        </is>
      </c>
      <c r="D624" s="5" t="inlineStr">
        <is>
          <t>Papua New Guinea</t>
        </is>
      </c>
      <c r="E624" s="5" t="n">
        <v>2023</v>
      </c>
      <c r="F624" s="5" t="n">
        <v>0.1</v>
      </c>
      <c r="G624" s="5" t="n">
        <v>5.77</v>
      </c>
      <c r="H624" s="5" t="n">
        <v>1.286</v>
      </c>
      <c r="I624" s="5" t="n">
        <v>0</v>
      </c>
      <c r="J624" s="5" t="n">
        <v>5.77</v>
      </c>
      <c r="K624" s="5" t="n">
        <v>0</v>
      </c>
      <c r="L624" s="5" t="n">
        <v>1</v>
      </c>
      <c r="M624" s="5" t="n">
        <v>7.886</v>
      </c>
      <c r="N624" s="5" t="n">
        <v>3.857</v>
      </c>
      <c r="O624" s="5" t="n">
        <v>0</v>
      </c>
      <c r="P624" s="5" t="n">
        <v>7.886</v>
      </c>
      <c r="Q624" s="5" t="n">
        <v>0</v>
      </c>
      <c r="R624" s="5" t="n">
        <v>1</v>
      </c>
      <c r="S624" s="5" t="n">
        <v>12.198</v>
      </c>
      <c r="T624" s="5" t="n">
        <v>7.714</v>
      </c>
      <c r="U624" s="5" t="n">
        <v>0.135</v>
      </c>
      <c r="V624" s="5" t="n">
        <v>13.418</v>
      </c>
      <c r="W624" s="5" t="n">
        <v>0.1</v>
      </c>
      <c r="X624" s="5" t="n">
        <v>1</v>
      </c>
      <c r="Y624" s="5" t="n">
        <v>13.382</v>
      </c>
      <c r="Z624" s="5" t="n">
        <v>1.651</v>
      </c>
      <c r="AA624" s="5" t="n">
        <v>0</v>
      </c>
      <c r="AB624" s="5" t="n">
        <v>13.382</v>
      </c>
      <c r="AC624" s="5" t="n">
        <v>0</v>
      </c>
      <c r="AD624" s="5" t="n">
        <v>1</v>
      </c>
      <c r="AE624" s="5" t="n">
        <v>14.668</v>
      </c>
      <c r="AF624" s="5" t="n">
        <v>3.198</v>
      </c>
      <c r="AG624" s="5" t="n">
        <v>0</v>
      </c>
      <c r="AH624" s="5" t="n">
        <v>14.668</v>
      </c>
      <c r="AI624" s="5" t="n">
        <v>0</v>
      </c>
      <c r="AJ624" s="5" t="n">
        <v>1</v>
      </c>
      <c r="AK624" s="5" t="n">
        <v>22.382</v>
      </c>
      <c r="AL624" s="5" t="n">
        <v>11.613</v>
      </c>
      <c r="AM624" s="5" t="n">
        <v>0.248</v>
      </c>
      <c r="AN624" s="5" t="n">
        <v>24.62</v>
      </c>
      <c r="AO624" s="5" t="n">
        <v>0.1</v>
      </c>
      <c r="AP624" s="5" t="n">
        <v>1</v>
      </c>
      <c r="AQ624" s="5" t="n">
        <v>0.749</v>
      </c>
      <c r="AR624" s="5" t="n">
        <v>0.129</v>
      </c>
      <c r="AS624" s="5" t="n">
        <v>0.347</v>
      </c>
      <c r="AT624" s="5" t="n">
        <v>1.206</v>
      </c>
      <c r="AU624" s="5" t="n">
        <v>0.1</v>
      </c>
      <c r="AV624" s="5" t="n">
        <v>1</v>
      </c>
      <c r="AW624" s="5" t="n">
        <v>0.783</v>
      </c>
      <c r="AX624" s="5" t="n">
        <v>0.129</v>
      </c>
      <c r="AY624" s="5" t="n">
        <v>0.29</v>
      </c>
      <c r="AZ624" s="5" t="n">
        <v>1.18</v>
      </c>
      <c r="BA624" s="5" t="n">
        <v>0.1</v>
      </c>
      <c r="BB624" s="5" t="n">
        <v>1</v>
      </c>
      <c r="BC624" s="5" t="n">
        <v>0.527</v>
      </c>
      <c r="BD624" s="5" t="n">
        <v>0.129</v>
      </c>
      <c r="BE624" s="5" t="n">
        <v>0.006</v>
      </c>
      <c r="BF624" s="5" t="n">
        <v>0.58</v>
      </c>
      <c r="BG624" s="5" t="n">
        <v>0.1</v>
      </c>
      <c r="BH624" s="5" t="n">
        <v>1</v>
      </c>
      <c r="BI624" s="5" t="n">
        <v>0.64</v>
      </c>
      <c r="BJ624" s="5" t="n">
        <v>0.129</v>
      </c>
      <c r="BK624" s="5" t="n">
        <v>0.367</v>
      </c>
      <c r="BL624" s="5" t="n">
        <v>1.107</v>
      </c>
      <c r="BM624" s="5" t="n">
        <v>0.1</v>
      </c>
      <c r="BN624" s="5" t="n">
        <v>1</v>
      </c>
      <c r="BO624" s="5" t="n">
        <v>0</v>
      </c>
      <c r="BP624" s="5" t="n">
        <v>0</v>
      </c>
      <c r="BQ624" s="5" t="n">
        <v>0.18</v>
      </c>
      <c r="BR624" s="5" t="n">
        <v>0</v>
      </c>
      <c r="BS624" s="5" t="n">
        <v>0.333</v>
      </c>
      <c r="BT624" s="5" t="n">
        <v>0</v>
      </c>
      <c r="BU624" s="5" t="n">
        <v>0</v>
      </c>
      <c r="BV624" s="5" t="n">
        <v>0.25</v>
      </c>
      <c r="BW624" s="5" t="n">
        <v>0.1</v>
      </c>
      <c r="BX624" s="5" t="n">
        <v>0.333</v>
      </c>
      <c r="BY624" s="5" t="n">
        <v>13.254</v>
      </c>
      <c r="BZ624" s="5" t="n">
        <v>0</v>
      </c>
      <c r="CA624" s="5" t="n">
        <v>13.254</v>
      </c>
      <c r="CB624" s="5" t="n">
        <v>0</v>
      </c>
      <c r="CC624" s="5" t="n">
        <v>87.07899999999999</v>
      </c>
      <c r="CD624" s="5" t="n">
        <v>7.95</v>
      </c>
      <c r="CE624" s="5" t="n">
        <v>73.708</v>
      </c>
      <c r="CF624" s="5" t="n">
        <v>176.866</v>
      </c>
      <c r="CG624" s="5" t="n">
        <v>0.1</v>
      </c>
      <c r="CH624" s="5" t="n">
        <v>1</v>
      </c>
      <c r="CI624" s="5" t="n">
        <v>0</v>
      </c>
      <c r="CJ624" s="5" t="n">
        <v>0</v>
      </c>
      <c r="CK624" s="5" t="n">
        <v>0</v>
      </c>
      <c r="CL624" s="5" t="n">
        <v>0</v>
      </c>
      <c r="CM624" s="5" t="n">
        <v>0</v>
      </c>
      <c r="CN624" s="5" t="n">
        <v>0</v>
      </c>
      <c r="CO624" s="5" t="n">
        <v>0</v>
      </c>
      <c r="CP624" s="5" t="n">
        <v>0</v>
      </c>
      <c r="CQ624" s="5" t="n">
        <v>1.348</v>
      </c>
      <c r="CR624" s="5" t="n">
        <v>0</v>
      </c>
      <c r="CS624" s="5" t="n">
        <v>3.687</v>
      </c>
      <c r="CT624" s="5" t="n">
        <v>4.484</v>
      </c>
      <c r="CU624" s="5" t="n">
        <v>12.529</v>
      </c>
    </row>
    <row r="625">
      <c r="A625" s="5" t="inlineStr">
        <is>
          <t>PNG2024</t>
        </is>
      </c>
      <c r="B625" s="5" t="inlineStr">
        <is>
          <t>PNG</t>
        </is>
      </c>
      <c r="C625" s="5" t="inlineStr">
        <is>
          <t>PNG</t>
        </is>
      </c>
      <c r="D625" s="5" t="inlineStr">
        <is>
          <t>Papua New Guinea</t>
        </is>
      </c>
      <c r="E625" s="5" t="n">
        <v>2024</v>
      </c>
      <c r="F625" s="5" t="n">
        <v>0.1</v>
      </c>
      <c r="G625" s="5" t="n">
        <v>4.833</v>
      </c>
      <c r="H625" s="5" t="n">
        <v>1.324</v>
      </c>
      <c r="I625" s="5" t="n">
        <v>0</v>
      </c>
      <c r="J625" s="5" t="n">
        <v>4.833</v>
      </c>
      <c r="K625" s="5" t="n">
        <v>0</v>
      </c>
      <c r="L625" s="5" t="n">
        <v>1</v>
      </c>
      <c r="M625" s="5" t="n">
        <v>7.124</v>
      </c>
      <c r="N625" s="5" t="n">
        <v>3.971</v>
      </c>
      <c r="O625" s="5" t="n">
        <v>0</v>
      </c>
      <c r="P625" s="5" t="n">
        <v>7.124</v>
      </c>
      <c r="Q625" s="5" t="n">
        <v>0</v>
      </c>
      <c r="R625" s="5" t="n">
        <v>1</v>
      </c>
      <c r="S625" s="5" t="n">
        <v>11.451</v>
      </c>
      <c r="T625" s="5" t="n">
        <v>7.942</v>
      </c>
      <c r="U625" s="5" t="n">
        <v>0.156</v>
      </c>
      <c r="V625" s="5" t="n">
        <v>12.596</v>
      </c>
      <c r="W625" s="5" t="n">
        <v>0.1</v>
      </c>
      <c r="X625" s="5" t="n">
        <v>1</v>
      </c>
      <c r="Y625" s="5" t="n">
        <v>11.872</v>
      </c>
      <c r="Z625" s="5" t="n">
        <v>1.465</v>
      </c>
      <c r="AA625" s="5" t="n">
        <v>0</v>
      </c>
      <c r="AB625" s="5" t="n">
        <v>11.872</v>
      </c>
      <c r="AC625" s="5" t="n">
        <v>0</v>
      </c>
      <c r="AD625" s="5" t="n">
        <v>1</v>
      </c>
      <c r="AE625" s="5" t="n">
        <v>13.196</v>
      </c>
      <c r="AF625" s="5" t="n">
        <v>2.877</v>
      </c>
      <c r="AG625" s="5" t="n">
        <v>0</v>
      </c>
      <c r="AH625" s="5" t="n">
        <v>13.196</v>
      </c>
      <c r="AI625" s="5" t="n">
        <v>0</v>
      </c>
      <c r="AJ625" s="5" t="n">
        <v>1</v>
      </c>
      <c r="AK625" s="5" t="n">
        <v>21.137</v>
      </c>
      <c r="AL625" s="5" t="n">
        <v>10.968</v>
      </c>
      <c r="AM625" s="5" t="n">
        <v>0.288</v>
      </c>
      <c r="AN625" s="5" t="n">
        <v>23.251</v>
      </c>
      <c r="AO625" s="5" t="n">
        <v>0.1</v>
      </c>
      <c r="AP625" s="5" t="n">
        <v>1</v>
      </c>
      <c r="AQ625" s="5" t="n">
        <v>0.72</v>
      </c>
      <c r="AR625" s="5" t="n">
        <v>0.132</v>
      </c>
      <c r="AS625" s="5" t="n">
        <v>0.4</v>
      </c>
      <c r="AT625" s="5" t="n">
        <v>1.231</v>
      </c>
      <c r="AU625" s="5" t="n">
        <v>0.1</v>
      </c>
      <c r="AV625" s="5" t="n">
        <v>1</v>
      </c>
      <c r="AW625" s="5" t="n">
        <v>0.734</v>
      </c>
      <c r="AX625" s="5" t="n">
        <v>0.132</v>
      </c>
      <c r="AY625" s="5" t="n">
        <v>0.286</v>
      </c>
      <c r="AZ625" s="5" t="n">
        <v>1.121</v>
      </c>
      <c r="BA625" s="5" t="n">
        <v>0.1</v>
      </c>
      <c r="BB625" s="5" t="n">
        <v>1</v>
      </c>
      <c r="BC625" s="5" t="n">
        <v>0.51</v>
      </c>
      <c r="BD625" s="5" t="n">
        <v>0.132</v>
      </c>
      <c r="BE625" s="5" t="n">
        <v>0.007</v>
      </c>
      <c r="BF625" s="5" t="n">
        <v>0.5610000000000001</v>
      </c>
      <c r="BG625" s="5" t="n">
        <v>0.1</v>
      </c>
      <c r="BH625" s="5" t="n">
        <v>1</v>
      </c>
      <c r="BI625" s="5" t="n">
        <v>0.652</v>
      </c>
      <c r="BJ625" s="5" t="n">
        <v>0.132</v>
      </c>
      <c r="BK625" s="5" t="n">
        <v>0.274</v>
      </c>
      <c r="BL625" s="5" t="n">
        <v>1.019</v>
      </c>
      <c r="BM625" s="5" t="n">
        <v>0.1</v>
      </c>
      <c r="BN625" s="5" t="n">
        <v>1</v>
      </c>
      <c r="BO625" s="5" t="n">
        <v>0</v>
      </c>
      <c r="BP625" s="5" t="n">
        <v>0</v>
      </c>
      <c r="BQ625" s="5" t="n">
        <v>0.185</v>
      </c>
      <c r="BR625" s="5" t="n">
        <v>0</v>
      </c>
      <c r="BS625" s="5" t="n">
        <v>0.333</v>
      </c>
      <c r="BT625" s="5" t="n">
        <v>0</v>
      </c>
      <c r="BU625" s="5" t="n">
        <v>0</v>
      </c>
      <c r="BV625" s="5" t="n">
        <v>0.258</v>
      </c>
      <c r="BW625" s="5" t="n">
        <v>0.1</v>
      </c>
      <c r="BX625" s="5" t="n">
        <v>0.333</v>
      </c>
      <c r="BY625" s="5" t="n">
        <v>13.646</v>
      </c>
      <c r="BZ625" s="5" t="n">
        <v>0</v>
      </c>
      <c r="CA625" s="5" t="n">
        <v>13.646</v>
      </c>
      <c r="CB625" s="5" t="n">
        <v>0</v>
      </c>
      <c r="CC625" s="5" t="n">
        <v>86.38500000000001</v>
      </c>
      <c r="CD625" s="5" t="n">
        <v>7.95</v>
      </c>
      <c r="CE625" s="5" t="n">
        <v>60.985</v>
      </c>
      <c r="CF625" s="5" t="n">
        <v>162.107</v>
      </c>
      <c r="CG625" s="5" t="n">
        <v>0.1</v>
      </c>
      <c r="CH625" s="5" t="n">
        <v>1</v>
      </c>
      <c r="CI625" s="5" t="n">
        <v>0</v>
      </c>
      <c r="CJ625" s="5" t="n">
        <v>0</v>
      </c>
      <c r="CK625" s="5" t="n">
        <v>0</v>
      </c>
      <c r="CL625" s="5" t="n">
        <v>0</v>
      </c>
      <c r="CM625" s="5" t="n">
        <v>0</v>
      </c>
      <c r="CN625" s="5" t="n">
        <v>0</v>
      </c>
      <c r="CO625" s="5" t="n">
        <v>0</v>
      </c>
      <c r="CP625" s="5" t="n">
        <v>0</v>
      </c>
      <c r="CQ625" s="5" t="n">
        <v>1.387</v>
      </c>
      <c r="CR625" s="5" t="n">
        <v>0</v>
      </c>
      <c r="CS625" s="5" t="n">
        <v>3.796</v>
      </c>
      <c r="CT625" s="5" t="n">
        <v>3.509</v>
      </c>
      <c r="CU625" s="5" t="n">
        <v>10.896</v>
      </c>
    </row>
    <row r="626">
      <c r="A626" s="5" t="inlineStr">
        <is>
          <t>PRY2021</t>
        </is>
      </c>
      <c r="B626" s="5" t="inlineStr">
        <is>
          <t>PRY</t>
        </is>
      </c>
      <c r="C626" s="5" t="inlineStr">
        <is>
          <t>PRY</t>
        </is>
      </c>
      <c r="D626" s="5" t="inlineStr">
        <is>
          <t>Paraguay</t>
        </is>
      </c>
      <c r="E626" s="5" t="n">
        <v>2021</v>
      </c>
      <c r="F626" s="5" t="n">
        <v>0.1</v>
      </c>
      <c r="G626" s="5" t="n">
        <v>5.897</v>
      </c>
      <c r="H626" s="5" t="n">
        <v>1.143</v>
      </c>
      <c r="I626" s="5" t="n">
        <v>0</v>
      </c>
      <c r="J626" s="5" t="n">
        <v>5.897</v>
      </c>
      <c r="K626" s="5" t="n">
        <v>0</v>
      </c>
      <c r="L626" s="5" t="n">
        <v>1</v>
      </c>
      <c r="M626" s="5" t="n">
        <v>7.964</v>
      </c>
      <c r="N626" s="5" t="n">
        <v>3.43</v>
      </c>
      <c r="O626" s="5" t="n">
        <v>0</v>
      </c>
      <c r="P626" s="5" t="n">
        <v>7.964</v>
      </c>
      <c r="Q626" s="5" t="n">
        <v>0</v>
      </c>
      <c r="R626" s="5" t="n">
        <v>1</v>
      </c>
      <c r="S626" s="5" t="n">
        <v>11.613</v>
      </c>
      <c r="T626" s="5" t="n">
        <v>6.86</v>
      </c>
      <c r="U626" s="5" t="n">
        <v>0</v>
      </c>
      <c r="V626" s="5" t="n">
        <v>12.775</v>
      </c>
      <c r="W626" s="5" t="n">
        <v>0.1</v>
      </c>
      <c r="X626" s="5" t="n">
        <v>1</v>
      </c>
      <c r="Y626" s="5" t="n">
        <v>17.127</v>
      </c>
      <c r="Z626" s="5" t="n">
        <v>2.304</v>
      </c>
      <c r="AA626" s="5" t="n">
        <v>0</v>
      </c>
      <c r="AB626" s="5" t="n">
        <v>17.127</v>
      </c>
      <c r="AC626" s="5" t="n">
        <v>0</v>
      </c>
      <c r="AD626" s="5" t="n">
        <v>1</v>
      </c>
      <c r="AE626" s="5" t="n">
        <v>18.27</v>
      </c>
      <c r="AF626" s="5" t="n">
        <v>4.278</v>
      </c>
      <c r="AG626" s="5" t="n">
        <v>0</v>
      </c>
      <c r="AH626" s="5" t="n">
        <v>18.27</v>
      </c>
      <c r="AI626" s="5" t="n">
        <v>0</v>
      </c>
      <c r="AJ626" s="5" t="n">
        <v>1</v>
      </c>
      <c r="AK626" s="5" t="n">
        <v>25.13</v>
      </c>
      <c r="AL626" s="5" t="n">
        <v>13.503</v>
      </c>
      <c r="AM626" s="5" t="n">
        <v>0</v>
      </c>
      <c r="AN626" s="5" t="n">
        <v>27.643</v>
      </c>
      <c r="AO626" s="5" t="n">
        <v>0.1</v>
      </c>
      <c r="AP626" s="5" t="n">
        <v>1</v>
      </c>
      <c r="AQ626" s="5" t="n">
        <v>0.649</v>
      </c>
      <c r="AR626" s="5" t="n">
        <v>0.114</v>
      </c>
      <c r="AS626" s="5" t="n">
        <v>0.237</v>
      </c>
      <c r="AT626" s="5" t="n">
        <v>0.886</v>
      </c>
      <c r="AU626" s="5" t="n">
        <v>0</v>
      </c>
      <c r="AV626" s="5" t="n">
        <v>1</v>
      </c>
      <c r="AW626" s="5" t="n">
        <v>0.577</v>
      </c>
      <c r="AX626" s="5" t="n">
        <v>0.114</v>
      </c>
      <c r="AY626" s="5" t="n">
        <v>0.224</v>
      </c>
      <c r="AZ626" s="5" t="n">
        <v>0.801</v>
      </c>
      <c r="BA626" s="5" t="n">
        <v>0</v>
      </c>
      <c r="BB626" s="5" t="n">
        <v>1</v>
      </c>
      <c r="BC626" s="5" t="n">
        <v>0.458</v>
      </c>
      <c r="BD626" s="5" t="n">
        <v>0.114</v>
      </c>
      <c r="BE626" s="5" t="n">
        <v>0.089</v>
      </c>
      <c r="BF626" s="5" t="n">
        <v>0.547</v>
      </c>
      <c r="BG626" s="5" t="n">
        <v>0</v>
      </c>
      <c r="BH626" s="5" t="n">
        <v>1</v>
      </c>
      <c r="BI626" s="5" t="n">
        <v>0.491</v>
      </c>
      <c r="BJ626" s="5" t="n">
        <v>0.114</v>
      </c>
      <c r="BK626" s="5" t="n">
        <v>0.55</v>
      </c>
      <c r="BL626" s="5" t="n">
        <v>1.041</v>
      </c>
      <c r="BM626" s="5" t="n">
        <v>0</v>
      </c>
      <c r="BN626" s="5" t="n">
        <v>1</v>
      </c>
      <c r="BO626" s="5" t="n">
        <v>0</v>
      </c>
      <c r="BP626" s="5" t="n">
        <v>0</v>
      </c>
      <c r="BQ626" s="5" t="n">
        <v>0.061</v>
      </c>
      <c r="BR626" s="5" t="n">
        <v>0</v>
      </c>
      <c r="BS626" s="5" t="n">
        <v>0.833</v>
      </c>
      <c r="BT626" s="5" t="n">
        <v>0</v>
      </c>
      <c r="BU626" s="5" t="n">
        <v>0</v>
      </c>
      <c r="BV626" s="5" t="n">
        <v>0.057</v>
      </c>
      <c r="BW626" s="5" t="n">
        <v>0.1</v>
      </c>
      <c r="BX626" s="5" t="n">
        <v>0.833</v>
      </c>
      <c r="BY626" s="5" t="n">
        <v>11.787</v>
      </c>
      <c r="BZ626" s="5" t="n">
        <v>0</v>
      </c>
      <c r="CA626" s="5" t="n">
        <v>11.787</v>
      </c>
      <c r="CB626" s="5" t="n">
        <v>0</v>
      </c>
      <c r="CC626" s="5" t="n">
        <v>78.125</v>
      </c>
      <c r="CD626" s="5" t="n">
        <v>7.95</v>
      </c>
      <c r="CE626" s="5" t="n">
        <v>78.56399999999999</v>
      </c>
      <c r="CF626" s="5" t="n">
        <v>172.358</v>
      </c>
      <c r="CG626" s="5" t="n">
        <v>0.1</v>
      </c>
      <c r="CH626" s="5" t="n">
        <v>1</v>
      </c>
      <c r="CI626" s="5" t="n">
        <v>0</v>
      </c>
      <c r="CJ626" s="5" t="n">
        <v>0</v>
      </c>
      <c r="CK626" s="5" t="n">
        <v>0</v>
      </c>
      <c r="CL626" s="5" t="n">
        <v>0</v>
      </c>
      <c r="CM626" s="5" t="n">
        <v>0</v>
      </c>
      <c r="CN626" s="5" t="n">
        <v>0</v>
      </c>
      <c r="CO626" s="5" t="n">
        <v>0</v>
      </c>
      <c r="CP626" s="5" t="n">
        <v>0</v>
      </c>
      <c r="CQ626" s="5" t="n">
        <v>1.198</v>
      </c>
      <c r="CR626" s="5" t="n">
        <v>0</v>
      </c>
      <c r="CS626" s="5" t="n">
        <v>4.776</v>
      </c>
      <c r="CT626" s="5" t="n">
        <v>4.753</v>
      </c>
      <c r="CU626" s="5" t="n">
        <v>15.983</v>
      </c>
    </row>
    <row r="627">
      <c r="A627" s="5" t="inlineStr">
        <is>
          <t>PRY2022</t>
        </is>
      </c>
      <c r="B627" s="5" t="inlineStr">
        <is>
          <t>PRY</t>
        </is>
      </c>
      <c r="C627" s="5" t="inlineStr">
        <is>
          <t>PRY</t>
        </is>
      </c>
      <c r="D627" s="5" t="inlineStr">
        <is>
          <t>Paraguay</t>
        </is>
      </c>
      <c r="E627" s="5" t="n">
        <v>2022</v>
      </c>
      <c r="F627" s="5" t="n">
        <v>0.1</v>
      </c>
      <c r="G627" s="5" t="n">
        <v>11.72</v>
      </c>
      <c r="H627" s="5" t="n">
        <v>1.235</v>
      </c>
      <c r="I627" s="5" t="n">
        <v>0</v>
      </c>
      <c r="J627" s="5" t="n">
        <v>11.72</v>
      </c>
      <c r="K627" s="5" t="n">
        <v>0</v>
      </c>
      <c r="L627" s="5" t="n">
        <v>1</v>
      </c>
      <c r="M627" s="5" t="n">
        <v>9.782999999999999</v>
      </c>
      <c r="N627" s="5" t="n">
        <v>3.704</v>
      </c>
      <c r="O627" s="5" t="n">
        <v>0</v>
      </c>
      <c r="P627" s="5" t="n">
        <v>9.782999999999999</v>
      </c>
      <c r="Q627" s="5" t="n">
        <v>0</v>
      </c>
      <c r="R627" s="5" t="n">
        <v>1</v>
      </c>
      <c r="S627" s="5" t="n">
        <v>17.893</v>
      </c>
      <c r="T627" s="5" t="n">
        <v>7.408</v>
      </c>
      <c r="U627" s="5" t="n">
        <v>0.132</v>
      </c>
      <c r="V627" s="5" t="n">
        <v>19.683</v>
      </c>
      <c r="W627" s="5" t="n">
        <v>0.1</v>
      </c>
      <c r="X627" s="5" t="n">
        <v>1</v>
      </c>
      <c r="Y627" s="5" t="n">
        <v>30.728</v>
      </c>
      <c r="Z627" s="5" t="n">
        <v>4.133</v>
      </c>
      <c r="AA627" s="5" t="n">
        <v>0</v>
      </c>
      <c r="AB627" s="5" t="n">
        <v>30.728</v>
      </c>
      <c r="AC627" s="5" t="n">
        <v>0</v>
      </c>
      <c r="AD627" s="5" t="n">
        <v>1</v>
      </c>
      <c r="AE627" s="5" t="n">
        <v>31.963</v>
      </c>
      <c r="AF627" s="5" t="n">
        <v>7.485</v>
      </c>
      <c r="AG627" s="5" t="n">
        <v>0</v>
      </c>
      <c r="AH627" s="5" t="n">
        <v>31.963</v>
      </c>
      <c r="AI627" s="5" t="n">
        <v>0</v>
      </c>
      <c r="AJ627" s="5" t="n">
        <v>1</v>
      </c>
      <c r="AK627" s="5" t="n">
        <v>39.371</v>
      </c>
      <c r="AL627" s="5" t="n">
        <v>21.155</v>
      </c>
      <c r="AM627" s="5" t="n">
        <v>0.291</v>
      </c>
      <c r="AN627" s="5" t="n">
        <v>43.308</v>
      </c>
      <c r="AO627" s="5" t="n">
        <v>0.1</v>
      </c>
      <c r="AP627" s="5" t="n">
        <v>1</v>
      </c>
      <c r="AQ627" s="5" t="n">
        <v>0.896</v>
      </c>
      <c r="AR627" s="5" t="n">
        <v>0.123</v>
      </c>
      <c r="AS627" s="5" t="n">
        <v>0.211</v>
      </c>
      <c r="AT627" s="5" t="n">
        <v>1.107</v>
      </c>
      <c r="AU627" s="5" t="n">
        <v>0</v>
      </c>
      <c r="AV627" s="5" t="n">
        <v>1</v>
      </c>
      <c r="AW627" s="5" t="n">
        <v>0.89</v>
      </c>
      <c r="AX627" s="5" t="n">
        <v>0.123</v>
      </c>
      <c r="AY627" s="5" t="n">
        <v>0.149</v>
      </c>
      <c r="AZ627" s="5" t="n">
        <v>1.039</v>
      </c>
      <c r="BA627" s="5" t="n">
        <v>0</v>
      </c>
      <c r="BB627" s="5" t="n">
        <v>1</v>
      </c>
      <c r="BC627" s="5" t="n">
        <v>0.62</v>
      </c>
      <c r="BD627" s="5" t="n">
        <v>0.123</v>
      </c>
      <c r="BE627" s="5" t="n">
        <v>0.096</v>
      </c>
      <c r="BF627" s="5" t="n">
        <v>0.716</v>
      </c>
      <c r="BG627" s="5" t="n">
        <v>0</v>
      </c>
      <c r="BH627" s="5" t="n">
        <v>1</v>
      </c>
      <c r="BI627" s="5" t="n">
        <v>0.608</v>
      </c>
      <c r="BJ627" s="5" t="n">
        <v>0.123</v>
      </c>
      <c r="BK627" s="5" t="n">
        <v>0.594</v>
      </c>
      <c r="BL627" s="5" t="n">
        <v>1.201</v>
      </c>
      <c r="BM627" s="5" t="n">
        <v>0</v>
      </c>
      <c r="BN627" s="5" t="n">
        <v>1</v>
      </c>
      <c r="BO627" s="5" t="n">
        <v>0</v>
      </c>
      <c r="BP627" s="5" t="n">
        <v>0</v>
      </c>
      <c r="BQ627" s="5" t="n">
        <v>0.04</v>
      </c>
      <c r="BR627" s="5" t="n">
        <v>0</v>
      </c>
      <c r="BS627" s="5" t="n">
        <v>0.833</v>
      </c>
      <c r="BT627" s="5" t="n">
        <v>0</v>
      </c>
      <c r="BU627" s="5" t="n">
        <v>0</v>
      </c>
      <c r="BV627" s="5" t="n">
        <v>0.034</v>
      </c>
      <c r="BW627" s="5" t="n">
        <v>0.1</v>
      </c>
      <c r="BX627" s="5" t="n">
        <v>0.833</v>
      </c>
      <c r="BY627" s="5" t="n">
        <v>12.729</v>
      </c>
      <c r="BZ627" s="5" t="n">
        <v>0</v>
      </c>
      <c r="CA627" s="5" t="n">
        <v>12.729</v>
      </c>
      <c r="CB627" s="5" t="n">
        <v>0</v>
      </c>
      <c r="CC627" s="5" t="n">
        <v>97.90000000000001</v>
      </c>
      <c r="CD627" s="5" t="n">
        <v>7.95</v>
      </c>
      <c r="CE627" s="5" t="n">
        <v>84.95699999999999</v>
      </c>
      <c r="CF627" s="5" t="n">
        <v>199.665</v>
      </c>
      <c r="CG627" s="5" t="n">
        <v>0.1</v>
      </c>
      <c r="CH627" s="5" t="n">
        <v>1</v>
      </c>
      <c r="CI627" s="5" t="n">
        <v>0</v>
      </c>
      <c r="CJ627" s="5" t="n">
        <v>0</v>
      </c>
      <c r="CK627" s="5" t="n">
        <v>0</v>
      </c>
      <c r="CL627" s="5" t="n">
        <v>0</v>
      </c>
      <c r="CM627" s="5" t="n">
        <v>0</v>
      </c>
      <c r="CN627" s="5" t="n">
        <v>0</v>
      </c>
      <c r="CO627" s="5" t="n">
        <v>0</v>
      </c>
      <c r="CP627" s="5" t="n">
        <v>0</v>
      </c>
      <c r="CQ627" s="5" t="n">
        <v>1.294</v>
      </c>
      <c r="CR627" s="5" t="n">
        <v>0</v>
      </c>
      <c r="CS627" s="5" t="n">
        <v>5.158</v>
      </c>
      <c r="CT627" s="5" t="n">
        <v>10.485</v>
      </c>
      <c r="CU627" s="5" t="n">
        <v>29.494</v>
      </c>
    </row>
    <row r="628">
      <c r="A628" s="5" t="inlineStr">
        <is>
          <t>PRY2023</t>
        </is>
      </c>
      <c r="B628" s="5" t="inlineStr">
        <is>
          <t>PRY</t>
        </is>
      </c>
      <c r="C628" s="5" t="inlineStr">
        <is>
          <t>PRY</t>
        </is>
      </c>
      <c r="D628" s="5" t="inlineStr">
        <is>
          <t>Paraguay</t>
        </is>
      </c>
      <c r="E628" s="5" t="n">
        <v>2023</v>
      </c>
      <c r="F628" s="5" t="n">
        <v>0.1</v>
      </c>
      <c r="G628" s="5" t="n">
        <v>6.147</v>
      </c>
      <c r="H628" s="5" t="n">
        <v>1.286</v>
      </c>
      <c r="I628" s="5" t="n">
        <v>0</v>
      </c>
      <c r="J628" s="5" t="n">
        <v>6.147</v>
      </c>
      <c r="K628" s="5" t="n">
        <v>0</v>
      </c>
      <c r="L628" s="5" t="n">
        <v>1</v>
      </c>
      <c r="M628" s="5" t="n">
        <v>7.886</v>
      </c>
      <c r="N628" s="5" t="n">
        <v>3.857</v>
      </c>
      <c r="O628" s="5" t="n">
        <v>0</v>
      </c>
      <c r="P628" s="5" t="n">
        <v>7.886</v>
      </c>
      <c r="Q628" s="5" t="n">
        <v>0</v>
      </c>
      <c r="R628" s="5" t="n">
        <v>1</v>
      </c>
      <c r="S628" s="5" t="n">
        <v>12.575</v>
      </c>
      <c r="T628" s="5" t="n">
        <v>7.714</v>
      </c>
      <c r="U628" s="5" t="n">
        <v>0.139</v>
      </c>
      <c r="V628" s="5" t="n">
        <v>13.833</v>
      </c>
      <c r="W628" s="5" t="n">
        <v>0.1</v>
      </c>
      <c r="X628" s="5" t="n">
        <v>1</v>
      </c>
      <c r="Y628" s="5" t="n">
        <v>12.478</v>
      </c>
      <c r="Z628" s="5" t="n">
        <v>1.678</v>
      </c>
      <c r="AA628" s="5" t="n">
        <v>0</v>
      </c>
      <c r="AB628" s="5" t="n">
        <v>12.478</v>
      </c>
      <c r="AC628" s="5" t="n">
        <v>0</v>
      </c>
      <c r="AD628" s="5" t="n">
        <v>1</v>
      </c>
      <c r="AE628" s="5" t="n">
        <v>13.763</v>
      </c>
      <c r="AF628" s="5" t="n">
        <v>3.223</v>
      </c>
      <c r="AG628" s="5" t="n">
        <v>0</v>
      </c>
      <c r="AH628" s="5" t="n">
        <v>13.763</v>
      </c>
      <c r="AI628" s="5" t="n">
        <v>0</v>
      </c>
      <c r="AJ628" s="5" t="n">
        <v>1</v>
      </c>
      <c r="AK628" s="5" t="n">
        <v>21.477</v>
      </c>
      <c r="AL628" s="5" t="n">
        <v>11.54</v>
      </c>
      <c r="AM628" s="5" t="n">
        <v>0.238</v>
      </c>
      <c r="AN628" s="5" t="n">
        <v>23.625</v>
      </c>
      <c r="AO628" s="5" t="n">
        <v>0.1</v>
      </c>
      <c r="AP628" s="5" t="n">
        <v>1</v>
      </c>
      <c r="AQ628" s="5" t="n">
        <v>0.791</v>
      </c>
      <c r="AR628" s="5" t="n">
        <v>0.129</v>
      </c>
      <c r="AS628" s="5" t="n">
        <v>0.124</v>
      </c>
      <c r="AT628" s="5" t="n">
        <v>0.915</v>
      </c>
      <c r="AU628" s="5" t="n">
        <v>0</v>
      </c>
      <c r="AV628" s="5" t="n">
        <v>1</v>
      </c>
      <c r="AW628" s="5" t="n">
        <v>0.618</v>
      </c>
      <c r="AX628" s="5" t="n">
        <v>0.129</v>
      </c>
      <c r="AY628" s="5" t="n">
        <v>0.442</v>
      </c>
      <c r="AZ628" s="5" t="n">
        <v>1.06</v>
      </c>
      <c r="BA628" s="5" t="n">
        <v>0</v>
      </c>
      <c r="BB628" s="5" t="n">
        <v>1</v>
      </c>
      <c r="BC628" s="5" t="n">
        <v>0.554</v>
      </c>
      <c r="BD628" s="5" t="n">
        <v>0.129</v>
      </c>
      <c r="BE628" s="5" t="n">
        <v>0.1</v>
      </c>
      <c r="BF628" s="5" t="n">
        <v>0.655</v>
      </c>
      <c r="BG628" s="5" t="n">
        <v>0</v>
      </c>
      <c r="BH628" s="5" t="n">
        <v>1</v>
      </c>
      <c r="BI628" s="5" t="n">
        <v>0.5570000000000001</v>
      </c>
      <c r="BJ628" s="5" t="n">
        <v>0.129</v>
      </c>
      <c r="BK628" s="5" t="n">
        <v>0.618</v>
      </c>
      <c r="BL628" s="5" t="n">
        <v>1.176</v>
      </c>
      <c r="BM628" s="5" t="n">
        <v>0</v>
      </c>
      <c r="BN628" s="5" t="n">
        <v>1</v>
      </c>
      <c r="BO628" s="5" t="n">
        <v>0</v>
      </c>
      <c r="BP628" s="5" t="n">
        <v>0</v>
      </c>
      <c r="BQ628" s="5" t="n">
        <v>0.04</v>
      </c>
      <c r="BR628" s="5" t="n">
        <v>0</v>
      </c>
      <c r="BS628" s="5" t="n">
        <v>0.833</v>
      </c>
      <c r="BT628" s="5" t="n">
        <v>0</v>
      </c>
      <c r="BU628" s="5" t="n">
        <v>0</v>
      </c>
      <c r="BV628" s="5" t="n">
        <v>0.035</v>
      </c>
      <c r="BW628" s="5" t="n">
        <v>0.1</v>
      </c>
      <c r="BX628" s="5" t="n">
        <v>0.833</v>
      </c>
      <c r="BY628" s="5" t="n">
        <v>13.254</v>
      </c>
      <c r="BZ628" s="5" t="n">
        <v>0</v>
      </c>
      <c r="CA628" s="5" t="n">
        <v>13.254</v>
      </c>
      <c r="CB628" s="5" t="n">
        <v>0</v>
      </c>
      <c r="CC628" s="5" t="n">
        <v>83.248</v>
      </c>
      <c r="CD628" s="5" t="n">
        <v>7.95</v>
      </c>
      <c r="CE628" s="5" t="n">
        <v>90.669</v>
      </c>
      <c r="CF628" s="5" t="n">
        <v>189.213</v>
      </c>
      <c r="CG628" s="5" t="n">
        <v>0.1</v>
      </c>
      <c r="CH628" s="5" t="n">
        <v>1</v>
      </c>
      <c r="CI628" s="5" t="n">
        <v>0</v>
      </c>
      <c r="CJ628" s="5" t="n">
        <v>0</v>
      </c>
      <c r="CK628" s="5" t="n">
        <v>0</v>
      </c>
      <c r="CL628" s="5" t="n">
        <v>0</v>
      </c>
      <c r="CM628" s="5" t="n">
        <v>0</v>
      </c>
      <c r="CN628" s="5" t="n">
        <v>0</v>
      </c>
      <c r="CO628" s="5" t="n">
        <v>0</v>
      </c>
      <c r="CP628" s="5" t="n">
        <v>0</v>
      </c>
      <c r="CQ628" s="5" t="n">
        <v>1.348</v>
      </c>
      <c r="CR628" s="5" t="n">
        <v>0</v>
      </c>
      <c r="CS628" s="5" t="n">
        <v>5.37</v>
      </c>
      <c r="CT628" s="5" t="n">
        <v>4.861</v>
      </c>
      <c r="CU628" s="5" t="n">
        <v>11.192</v>
      </c>
    </row>
    <row r="629">
      <c r="A629" s="5" t="inlineStr">
        <is>
          <t>PRY2024</t>
        </is>
      </c>
      <c r="B629" s="5" t="inlineStr">
        <is>
          <t>PRY</t>
        </is>
      </c>
      <c r="C629" s="5" t="inlineStr">
        <is>
          <t>PRY</t>
        </is>
      </c>
      <c r="D629" s="5" t="inlineStr">
        <is>
          <t>Paraguay</t>
        </is>
      </c>
      <c r="E629" s="5" t="n">
        <v>2024</v>
      </c>
      <c r="F629" s="5" t="n">
        <v>0.1</v>
      </c>
      <c r="G629" s="5" t="n">
        <v>5.575</v>
      </c>
      <c r="H629" s="5" t="n">
        <v>1.324</v>
      </c>
      <c r="I629" s="5" t="n">
        <v>0</v>
      </c>
      <c r="J629" s="5" t="n">
        <v>5.575</v>
      </c>
      <c r="K629" s="5" t="n">
        <v>0</v>
      </c>
      <c r="L629" s="5" t="n">
        <v>1</v>
      </c>
      <c r="M629" s="5" t="n">
        <v>7.124</v>
      </c>
      <c r="N629" s="5" t="n">
        <v>3.971</v>
      </c>
      <c r="O629" s="5" t="n">
        <v>0</v>
      </c>
      <c r="P629" s="5" t="n">
        <v>7.124</v>
      </c>
      <c r="Q629" s="5" t="n">
        <v>0</v>
      </c>
      <c r="R629" s="5" t="n">
        <v>1</v>
      </c>
      <c r="S629" s="5" t="n">
        <v>12.193</v>
      </c>
      <c r="T629" s="5" t="n">
        <v>7.942</v>
      </c>
      <c r="U629" s="5" t="n">
        <v>0.166</v>
      </c>
      <c r="V629" s="5" t="n">
        <v>13.412</v>
      </c>
      <c r="W629" s="5" t="n">
        <v>0.1</v>
      </c>
      <c r="X629" s="5" t="n">
        <v>1</v>
      </c>
      <c r="Y629" s="5" t="n">
        <v>11.447</v>
      </c>
      <c r="Z629" s="5" t="n">
        <v>1.54</v>
      </c>
      <c r="AA629" s="5" t="n">
        <v>0</v>
      </c>
      <c r="AB629" s="5" t="n">
        <v>11.447</v>
      </c>
      <c r="AC629" s="5" t="n">
        <v>0</v>
      </c>
      <c r="AD629" s="5" t="n">
        <v>1</v>
      </c>
      <c r="AE629" s="5" t="n">
        <v>12.771</v>
      </c>
      <c r="AF629" s="5" t="n">
        <v>2.991</v>
      </c>
      <c r="AG629" s="5" t="n">
        <v>0</v>
      </c>
      <c r="AH629" s="5" t="n">
        <v>12.771</v>
      </c>
      <c r="AI629" s="5" t="n">
        <v>0</v>
      </c>
      <c r="AJ629" s="5" t="n">
        <v>1</v>
      </c>
      <c r="AK629" s="5" t="n">
        <v>20.712</v>
      </c>
      <c r="AL629" s="5" t="n">
        <v>11.129</v>
      </c>
      <c r="AM629" s="5" t="n">
        <v>0.282</v>
      </c>
      <c r="AN629" s="5" t="n">
        <v>22.784</v>
      </c>
      <c r="AO629" s="5" t="n">
        <v>0.1</v>
      </c>
      <c r="AP629" s="5" t="n">
        <v>1</v>
      </c>
      <c r="AQ629" s="5" t="n">
        <v>0.756</v>
      </c>
      <c r="AR629" s="5" t="n">
        <v>0.132</v>
      </c>
      <c r="AS629" s="5" t="n">
        <v>-0.024</v>
      </c>
      <c r="AT629" s="5" t="n">
        <v>0.732</v>
      </c>
      <c r="AU629" s="5" t="n">
        <v>0</v>
      </c>
      <c r="AV629" s="5" t="n">
        <v>1</v>
      </c>
      <c r="AW629" s="5" t="n">
        <v>0.655</v>
      </c>
      <c r="AX629" s="5" t="n">
        <v>0.132</v>
      </c>
      <c r="AY629" s="5" t="n">
        <v>0.362</v>
      </c>
      <c r="AZ629" s="5" t="n">
        <v>1.017</v>
      </c>
      <c r="BA629" s="5" t="n">
        <v>0</v>
      </c>
      <c r="BB629" s="5" t="n">
        <v>1</v>
      </c>
      <c r="BC629" s="5" t="n">
        <v>0.534</v>
      </c>
      <c r="BD629" s="5" t="n">
        <v>0.132</v>
      </c>
      <c r="BE629" s="5" t="n">
        <v>0.103</v>
      </c>
      <c r="BF629" s="5" t="n">
        <v>0.637</v>
      </c>
      <c r="BG629" s="5" t="n">
        <v>0</v>
      </c>
      <c r="BH629" s="5" t="n">
        <v>1</v>
      </c>
      <c r="BI629" s="5" t="n">
        <v>0.5679999999999999</v>
      </c>
      <c r="BJ629" s="5" t="n">
        <v>0.132</v>
      </c>
      <c r="BK629" s="5" t="n">
        <v>0.637</v>
      </c>
      <c r="BL629" s="5" t="n">
        <v>1.204</v>
      </c>
      <c r="BM629" s="5" t="n">
        <v>0</v>
      </c>
      <c r="BN629" s="5" t="n">
        <v>1</v>
      </c>
      <c r="BO629" s="5" t="n">
        <v>0</v>
      </c>
      <c r="BP629" s="5" t="n">
        <v>0</v>
      </c>
      <c r="BQ629" s="5" t="n">
        <v>0.041</v>
      </c>
      <c r="BR629" s="5" t="n">
        <v>0</v>
      </c>
      <c r="BS629" s="5" t="n">
        <v>0.833</v>
      </c>
      <c r="BT629" s="5" t="n">
        <v>0</v>
      </c>
      <c r="BU629" s="5" t="n">
        <v>0</v>
      </c>
      <c r="BV629" s="5" t="n">
        <v>0.046</v>
      </c>
      <c r="BW629" s="5" t="n">
        <v>0.1</v>
      </c>
      <c r="BX629" s="5" t="n">
        <v>0.833</v>
      </c>
      <c r="BY629" s="5" t="n">
        <v>13.646</v>
      </c>
      <c r="BZ629" s="5" t="n">
        <v>0</v>
      </c>
      <c r="CA629" s="5" t="n">
        <v>13.646</v>
      </c>
      <c r="CB629" s="5" t="n">
        <v>0</v>
      </c>
      <c r="CC629" s="5" t="n">
        <v>82.58799999999999</v>
      </c>
      <c r="CD629" s="5" t="n">
        <v>7.95</v>
      </c>
      <c r="CE629" s="5" t="n">
        <v>94.041</v>
      </c>
      <c r="CF629" s="5" t="n">
        <v>191.681</v>
      </c>
      <c r="CG629" s="5" t="n">
        <v>0.1</v>
      </c>
      <c r="CH629" s="5" t="n">
        <v>1</v>
      </c>
      <c r="CI629" s="5" t="n">
        <v>0</v>
      </c>
      <c r="CJ629" s="5" t="n">
        <v>0</v>
      </c>
      <c r="CK629" s="5" t="n">
        <v>0</v>
      </c>
      <c r="CL629" s="5" t="n">
        <v>0</v>
      </c>
      <c r="CM629" s="5" t="n">
        <v>0</v>
      </c>
      <c r="CN629" s="5" t="n">
        <v>0</v>
      </c>
      <c r="CO629" s="5" t="n">
        <v>0</v>
      </c>
      <c r="CP629" s="5" t="n">
        <v>0</v>
      </c>
      <c r="CQ629" s="5" t="n">
        <v>1.387</v>
      </c>
      <c r="CR629" s="5" t="n">
        <v>0</v>
      </c>
      <c r="CS629" s="5" t="n">
        <v>5.529</v>
      </c>
      <c r="CT629" s="5" t="n">
        <v>4.251</v>
      </c>
      <c r="CU629" s="5" t="n">
        <v>10.123</v>
      </c>
    </row>
    <row r="630">
      <c r="A630" s="5" t="inlineStr">
        <is>
          <t>PER2021</t>
        </is>
      </c>
      <c r="B630" s="5" t="inlineStr">
        <is>
          <t>PER</t>
        </is>
      </c>
      <c r="C630" s="5" t="inlineStr">
        <is>
          <t>PER</t>
        </is>
      </c>
      <c r="D630" s="5" t="inlineStr">
        <is>
          <t>Peru</t>
        </is>
      </c>
      <c r="E630" s="5" t="n">
        <v>2021</v>
      </c>
      <c r="F630" s="5" t="n">
        <v>0.18</v>
      </c>
      <c r="G630" s="5" t="n">
        <v>3.135</v>
      </c>
      <c r="H630" s="5" t="n">
        <v>0.761</v>
      </c>
      <c r="I630" s="5" t="n">
        <v>0.485</v>
      </c>
      <c r="J630" s="5" t="n">
        <v>3.62</v>
      </c>
      <c r="K630" s="5" t="n">
        <v>0</v>
      </c>
      <c r="L630" s="5" t="n">
        <v>1</v>
      </c>
      <c r="M630" s="5" t="n">
        <v>4.584</v>
      </c>
      <c r="N630" s="5" t="n">
        <v>2.282</v>
      </c>
      <c r="O630" s="5" t="n">
        <v>0.451</v>
      </c>
      <c r="P630" s="5" t="n">
        <v>5.035</v>
      </c>
      <c r="Q630" s="5" t="n">
        <v>0</v>
      </c>
      <c r="R630" s="5" t="n">
        <v>1</v>
      </c>
      <c r="S630" s="5" t="n">
        <v>6.938</v>
      </c>
      <c r="T630" s="5" t="n">
        <v>4.564</v>
      </c>
      <c r="U630" s="5" t="n">
        <v>0.485</v>
      </c>
      <c r="V630" s="5" t="n">
        <v>8.76</v>
      </c>
      <c r="W630" s="5" t="n">
        <v>0.18</v>
      </c>
      <c r="X630" s="5" t="n">
        <v>1</v>
      </c>
      <c r="Y630" s="5" t="n">
        <v>4.539</v>
      </c>
      <c r="Z630" s="5" t="n">
        <v>0.498</v>
      </c>
      <c r="AA630" s="5" t="n">
        <v>0</v>
      </c>
      <c r="AB630" s="5" t="n">
        <v>4.539</v>
      </c>
      <c r="AC630" s="5" t="n">
        <v>0</v>
      </c>
      <c r="AD630" s="5" t="n">
        <v>1</v>
      </c>
      <c r="AE630" s="5" t="n">
        <v>5.111</v>
      </c>
      <c r="AF630" s="5" t="n">
        <v>0.994</v>
      </c>
      <c r="AG630" s="5" t="n">
        <v>0</v>
      </c>
      <c r="AH630" s="5" t="n">
        <v>5.111</v>
      </c>
      <c r="AI630" s="5" t="n">
        <v>0</v>
      </c>
      <c r="AJ630" s="5" t="n">
        <v>1</v>
      </c>
      <c r="AK630" s="5" t="n">
        <v>8.541</v>
      </c>
      <c r="AL630" s="5" t="n">
        <v>4.029</v>
      </c>
      <c r="AM630" s="5" t="n">
        <v>0</v>
      </c>
      <c r="AN630" s="5" t="n">
        <v>10.078</v>
      </c>
      <c r="AO630" s="5" t="n">
        <v>0.18</v>
      </c>
      <c r="AP630" s="5" t="n">
        <v>1</v>
      </c>
      <c r="AQ630" s="5" t="n">
        <v>0.649</v>
      </c>
      <c r="AR630" s="5" t="n">
        <v>0.114</v>
      </c>
      <c r="AS630" s="5" t="n">
        <v>0.193</v>
      </c>
      <c r="AT630" s="5" t="n">
        <v>0.993</v>
      </c>
      <c r="AU630" s="5" t="n">
        <v>0.18</v>
      </c>
      <c r="AV630" s="5" t="n">
        <v>1</v>
      </c>
      <c r="AW630" s="5" t="n">
        <v>0.577</v>
      </c>
      <c r="AX630" s="5" t="n">
        <v>0.114</v>
      </c>
      <c r="AY630" s="5" t="n">
        <v>0.256</v>
      </c>
      <c r="AZ630" s="5" t="n">
        <v>0.983</v>
      </c>
      <c r="BA630" s="5" t="n">
        <v>0.18</v>
      </c>
      <c r="BB630" s="5" t="n">
        <v>1</v>
      </c>
      <c r="BC630" s="5" t="n">
        <v>0.458</v>
      </c>
      <c r="BD630" s="5" t="n">
        <v>0.114</v>
      </c>
      <c r="BE630" s="5" t="n">
        <v>0.08599999999999999</v>
      </c>
      <c r="BF630" s="5" t="n">
        <v>0.642</v>
      </c>
      <c r="BG630" s="5" t="n">
        <v>0.18</v>
      </c>
      <c r="BH630" s="5" t="n">
        <v>1</v>
      </c>
      <c r="BI630" s="5" t="n">
        <v>0.491</v>
      </c>
      <c r="BJ630" s="5" t="n">
        <v>0.114</v>
      </c>
      <c r="BK630" s="5" t="n">
        <v>0.336</v>
      </c>
      <c r="BL630" s="5" t="n">
        <v>0.976</v>
      </c>
      <c r="BM630" s="5" t="n">
        <v>0.18</v>
      </c>
      <c r="BN630" s="5" t="n">
        <v>1</v>
      </c>
      <c r="BO630" s="5" t="n">
        <v>0</v>
      </c>
      <c r="BP630" s="5" t="n">
        <v>0</v>
      </c>
      <c r="BQ630" s="5" t="n">
        <v>0.091</v>
      </c>
      <c r="BR630" s="5" t="n">
        <v>0</v>
      </c>
      <c r="BS630" s="5" t="n">
        <v>1</v>
      </c>
      <c r="BT630" s="5" t="n">
        <v>0</v>
      </c>
      <c r="BU630" s="5" t="n">
        <v>0</v>
      </c>
      <c r="BV630" s="5" t="n">
        <v>0.153</v>
      </c>
      <c r="BW630" s="5" t="n">
        <v>0.18</v>
      </c>
      <c r="BX630" s="5" t="n">
        <v>0.833</v>
      </c>
      <c r="BY630" s="5" t="n">
        <v>11.787</v>
      </c>
      <c r="BZ630" s="5" t="n">
        <v>0</v>
      </c>
      <c r="CA630" s="5" t="n">
        <v>11.787</v>
      </c>
      <c r="CB630" s="5" t="n">
        <v>0</v>
      </c>
      <c r="CC630" s="5" t="n">
        <v>78.125</v>
      </c>
      <c r="CD630" s="5" t="n">
        <v>7.95</v>
      </c>
      <c r="CE630" s="5" t="n">
        <v>21.472</v>
      </c>
      <c r="CF630" s="5" t="n">
        <v>117.525</v>
      </c>
      <c r="CG630" s="5" t="n">
        <v>0.18</v>
      </c>
      <c r="CH630" s="5" t="n">
        <v>1</v>
      </c>
      <c r="CI630" s="5" t="n">
        <v>0</v>
      </c>
      <c r="CJ630" s="5" t="n">
        <v>0</v>
      </c>
      <c r="CK630" s="5" t="n">
        <v>0</v>
      </c>
      <c r="CL630" s="5" t="n">
        <v>0</v>
      </c>
      <c r="CM630" s="5" t="n">
        <v>0</v>
      </c>
      <c r="CN630" s="5" t="n">
        <v>0</v>
      </c>
      <c r="CO630" s="5" t="n">
        <v>0</v>
      </c>
      <c r="CP630" s="5" t="n">
        <v>0.669</v>
      </c>
      <c r="CQ630" s="5" t="n">
        <v>1.198</v>
      </c>
      <c r="CR630" s="5" t="n">
        <v>1</v>
      </c>
      <c r="CS630" s="5" t="n">
        <v>3.967</v>
      </c>
      <c r="CT630" s="5" t="n">
        <v>4.753</v>
      </c>
      <c r="CU630" s="5" t="n">
        <v>14.129</v>
      </c>
    </row>
    <row r="631">
      <c r="A631" s="5" t="inlineStr">
        <is>
          <t>PER2022</t>
        </is>
      </c>
      <c r="B631" s="5" t="inlineStr">
        <is>
          <t>PER</t>
        </is>
      </c>
      <c r="C631" s="5" t="inlineStr">
        <is>
          <t>PER</t>
        </is>
      </c>
      <c r="D631" s="5" t="inlineStr">
        <is>
          <t>Peru</t>
        </is>
      </c>
      <c r="E631" s="5" t="n">
        <v>2022</v>
      </c>
      <c r="F631" s="5" t="n">
        <v>0.18</v>
      </c>
      <c r="G631" s="5" t="n">
        <v>6.429</v>
      </c>
      <c r="H631" s="5" t="n">
        <v>0.902</v>
      </c>
      <c r="I631" s="5" t="n">
        <v>0.494</v>
      </c>
      <c r="J631" s="5" t="n">
        <v>6.923</v>
      </c>
      <c r="K631" s="5" t="n">
        <v>0</v>
      </c>
      <c r="L631" s="5" t="n">
        <v>1</v>
      </c>
      <c r="M631" s="5" t="n">
        <v>6.203</v>
      </c>
      <c r="N631" s="5" t="n">
        <v>2.705</v>
      </c>
      <c r="O631" s="5" t="n">
        <v>0.476</v>
      </c>
      <c r="P631" s="5" t="n">
        <v>6.678</v>
      </c>
      <c r="Q631" s="5" t="n">
        <v>0</v>
      </c>
      <c r="R631" s="5" t="n">
        <v>1</v>
      </c>
      <c r="S631" s="5" t="n">
        <v>10.937</v>
      </c>
      <c r="T631" s="5" t="n">
        <v>5.41</v>
      </c>
      <c r="U631" s="5" t="n">
        <v>0.646</v>
      </c>
      <c r="V631" s="5" t="n">
        <v>13.489</v>
      </c>
      <c r="W631" s="5" t="n">
        <v>0.18</v>
      </c>
      <c r="X631" s="5" t="n">
        <v>1</v>
      </c>
      <c r="Y631" s="5" t="n">
        <v>4.902</v>
      </c>
      <c r="Z631" s="5" t="n">
        <v>0.538</v>
      </c>
      <c r="AA631" s="5" t="n">
        <v>0</v>
      </c>
      <c r="AB631" s="5" t="n">
        <v>4.902</v>
      </c>
      <c r="AC631" s="5" t="n">
        <v>0</v>
      </c>
      <c r="AD631" s="5" t="n">
        <v>1</v>
      </c>
      <c r="AE631" s="5" t="n">
        <v>5.519</v>
      </c>
      <c r="AF631" s="5" t="n">
        <v>1.073</v>
      </c>
      <c r="AG631" s="5" t="n">
        <v>0</v>
      </c>
      <c r="AH631" s="5" t="n">
        <v>5.519</v>
      </c>
      <c r="AI631" s="5" t="n">
        <v>0</v>
      </c>
      <c r="AJ631" s="5" t="n">
        <v>1</v>
      </c>
      <c r="AK631" s="5" t="n">
        <v>9.223000000000001</v>
      </c>
      <c r="AL631" s="5" t="n">
        <v>4.351</v>
      </c>
      <c r="AM631" s="5" t="n">
        <v>0.123</v>
      </c>
      <c r="AN631" s="5" t="n">
        <v>10.884</v>
      </c>
      <c r="AO631" s="5" t="n">
        <v>0.18</v>
      </c>
      <c r="AP631" s="5" t="n">
        <v>1</v>
      </c>
      <c r="AQ631" s="5" t="n">
        <v>0.896</v>
      </c>
      <c r="AR631" s="5" t="n">
        <v>0.123</v>
      </c>
      <c r="AS631" s="5" t="n">
        <v>0.234</v>
      </c>
      <c r="AT631" s="5" t="n">
        <v>1.333</v>
      </c>
      <c r="AU631" s="5" t="n">
        <v>0.18</v>
      </c>
      <c r="AV631" s="5" t="n">
        <v>1</v>
      </c>
      <c r="AW631" s="5" t="n">
        <v>0.89</v>
      </c>
      <c r="AX631" s="5" t="n">
        <v>0.123</v>
      </c>
      <c r="AY631" s="5" t="n">
        <v>0.141</v>
      </c>
      <c r="AZ631" s="5" t="n">
        <v>1.217</v>
      </c>
      <c r="BA631" s="5" t="n">
        <v>0.18</v>
      </c>
      <c r="BB631" s="5" t="n">
        <v>1</v>
      </c>
      <c r="BC631" s="5" t="n">
        <v>0.62</v>
      </c>
      <c r="BD631" s="5" t="n">
        <v>0.123</v>
      </c>
      <c r="BE631" s="5" t="n">
        <v>0.033</v>
      </c>
      <c r="BF631" s="5" t="n">
        <v>0.771</v>
      </c>
      <c r="BG631" s="5" t="n">
        <v>0.18</v>
      </c>
      <c r="BH631" s="5" t="n">
        <v>1</v>
      </c>
      <c r="BI631" s="5" t="n">
        <v>0.608</v>
      </c>
      <c r="BJ631" s="5" t="n">
        <v>0.123</v>
      </c>
      <c r="BK631" s="5" t="n">
        <v>0.364</v>
      </c>
      <c r="BL631" s="5" t="n">
        <v>1.131</v>
      </c>
      <c r="BM631" s="5" t="n">
        <v>0.18</v>
      </c>
      <c r="BN631" s="5" t="n">
        <v>1</v>
      </c>
      <c r="BO631" s="5" t="n">
        <v>0</v>
      </c>
      <c r="BP631" s="5" t="n">
        <v>0</v>
      </c>
      <c r="BQ631" s="5" t="n">
        <v>0.045</v>
      </c>
      <c r="BR631" s="5" t="n">
        <v>0</v>
      </c>
      <c r="BS631" s="5" t="n">
        <v>1</v>
      </c>
      <c r="BT631" s="5" t="n">
        <v>0</v>
      </c>
      <c r="BU631" s="5" t="n">
        <v>0</v>
      </c>
      <c r="BV631" s="5" t="n">
        <v>0.233</v>
      </c>
      <c r="BW631" s="5" t="n">
        <v>0.18</v>
      </c>
      <c r="BX631" s="5" t="n">
        <v>0.833</v>
      </c>
      <c r="BY631" s="5" t="n">
        <v>12.729</v>
      </c>
      <c r="BZ631" s="5" t="n">
        <v>0</v>
      </c>
      <c r="CA631" s="5" t="n">
        <v>12.729</v>
      </c>
      <c r="CB631" s="5" t="n">
        <v>0</v>
      </c>
      <c r="CC631" s="5" t="n">
        <v>97.90000000000001</v>
      </c>
      <c r="CD631" s="5" t="n">
        <v>7.95</v>
      </c>
      <c r="CE631" s="5" t="n">
        <v>35.826</v>
      </c>
      <c r="CF631" s="5" t="n">
        <v>157.797</v>
      </c>
      <c r="CG631" s="5" t="n">
        <v>0.18</v>
      </c>
      <c r="CH631" s="5" t="n">
        <v>1</v>
      </c>
      <c r="CI631" s="5" t="n">
        <v>0</v>
      </c>
      <c r="CJ631" s="5" t="n">
        <v>0</v>
      </c>
      <c r="CK631" s="5" t="n">
        <v>0</v>
      </c>
      <c r="CL631" s="5" t="n">
        <v>0</v>
      </c>
      <c r="CM631" s="5" t="n">
        <v>0</v>
      </c>
      <c r="CN631" s="5" t="n">
        <v>0</v>
      </c>
      <c r="CO631" s="5" t="n">
        <v>0</v>
      </c>
      <c r="CP631" s="5" t="n">
        <v>0.539</v>
      </c>
      <c r="CQ631" s="5" t="n">
        <v>1.294</v>
      </c>
      <c r="CR631" s="5" t="n">
        <v>1</v>
      </c>
      <c r="CS631" s="5" t="n">
        <v>4.285</v>
      </c>
      <c r="CT631" s="5" t="n">
        <v>10.485</v>
      </c>
      <c r="CU631" s="5" t="n">
        <v>28.059</v>
      </c>
    </row>
    <row r="632">
      <c r="A632" s="5" t="inlineStr">
        <is>
          <t>PER2023</t>
        </is>
      </c>
      <c r="B632" s="5" t="inlineStr">
        <is>
          <t>PER</t>
        </is>
      </c>
      <c r="C632" s="5" t="inlineStr">
        <is>
          <t>PER</t>
        </is>
      </c>
      <c r="D632" s="5" t="inlineStr">
        <is>
          <t>Peru</t>
        </is>
      </c>
      <c r="E632" s="5" t="n">
        <v>2023</v>
      </c>
      <c r="F632" s="5" t="n">
        <v>0.18</v>
      </c>
      <c r="G632" s="5" t="n">
        <v>3.901</v>
      </c>
      <c r="H632" s="5" t="n">
        <v>0.9379999999999999</v>
      </c>
      <c r="I632" s="5" t="n">
        <v>0.503</v>
      </c>
      <c r="J632" s="5" t="n">
        <v>4.404</v>
      </c>
      <c r="K632" s="5" t="n">
        <v>0</v>
      </c>
      <c r="L632" s="5" t="n">
        <v>1</v>
      </c>
      <c r="M632" s="5" t="n">
        <v>5.396</v>
      </c>
      <c r="N632" s="5" t="n">
        <v>2.815</v>
      </c>
      <c r="O632" s="5" t="n">
        <v>0.5</v>
      </c>
      <c r="P632" s="5" t="n">
        <v>5.896</v>
      </c>
      <c r="Q632" s="5" t="n">
        <v>0</v>
      </c>
      <c r="R632" s="5" t="n">
        <v>1</v>
      </c>
      <c r="S632" s="5" t="n">
        <v>8.593</v>
      </c>
      <c r="T632" s="5" t="n">
        <v>5.63</v>
      </c>
      <c r="U632" s="5" t="n">
        <v>0.6840000000000001</v>
      </c>
      <c r="V632" s="5" t="n">
        <v>10.734</v>
      </c>
      <c r="W632" s="5" t="n">
        <v>0.18</v>
      </c>
      <c r="X632" s="5" t="n">
        <v>1</v>
      </c>
      <c r="Y632" s="5" t="n">
        <v>5.104</v>
      </c>
      <c r="Z632" s="5" t="n">
        <v>0.5600000000000001</v>
      </c>
      <c r="AA632" s="5" t="n">
        <v>0</v>
      </c>
      <c r="AB632" s="5" t="n">
        <v>5.104</v>
      </c>
      <c r="AC632" s="5" t="n">
        <v>0</v>
      </c>
      <c r="AD632" s="5" t="n">
        <v>1</v>
      </c>
      <c r="AE632" s="5" t="n">
        <v>5.747</v>
      </c>
      <c r="AF632" s="5" t="n">
        <v>1.118</v>
      </c>
      <c r="AG632" s="5" t="n">
        <v>0</v>
      </c>
      <c r="AH632" s="5" t="n">
        <v>5.747</v>
      </c>
      <c r="AI632" s="5" t="n">
        <v>0</v>
      </c>
      <c r="AJ632" s="5" t="n">
        <v>1</v>
      </c>
      <c r="AK632" s="5" t="n">
        <v>9.603999999999999</v>
      </c>
      <c r="AL632" s="5" t="n">
        <v>4.53</v>
      </c>
      <c r="AM632" s="5" t="n">
        <v>0.191</v>
      </c>
      <c r="AN632" s="5" t="n">
        <v>11.333</v>
      </c>
      <c r="AO632" s="5" t="n">
        <v>0.18</v>
      </c>
      <c r="AP632" s="5" t="n">
        <v>1</v>
      </c>
      <c r="AQ632" s="5" t="n">
        <v>0.791</v>
      </c>
      <c r="AR632" s="5" t="n">
        <v>0.129</v>
      </c>
      <c r="AS632" s="5" t="n">
        <v>0.23</v>
      </c>
      <c r="AT632" s="5" t="n">
        <v>1.205</v>
      </c>
      <c r="AU632" s="5" t="n">
        <v>0.18</v>
      </c>
      <c r="AV632" s="5" t="n">
        <v>1</v>
      </c>
      <c r="AW632" s="5" t="n">
        <v>0.618</v>
      </c>
      <c r="AX632" s="5" t="n">
        <v>0.129</v>
      </c>
      <c r="AY632" s="5" t="n">
        <v>0.424</v>
      </c>
      <c r="AZ632" s="5" t="n">
        <v>1.23</v>
      </c>
      <c r="BA632" s="5" t="n">
        <v>0.18</v>
      </c>
      <c r="BB632" s="5" t="n">
        <v>1</v>
      </c>
      <c r="BC632" s="5" t="n">
        <v>0.554</v>
      </c>
      <c r="BD632" s="5" t="n">
        <v>0.129</v>
      </c>
      <c r="BE632" s="5" t="n">
        <v>0.035</v>
      </c>
      <c r="BF632" s="5" t="n">
        <v>0.696</v>
      </c>
      <c r="BG632" s="5" t="n">
        <v>0.18</v>
      </c>
      <c r="BH632" s="5" t="n">
        <v>1</v>
      </c>
      <c r="BI632" s="5" t="n">
        <v>0.5570000000000001</v>
      </c>
      <c r="BJ632" s="5" t="n">
        <v>0.129</v>
      </c>
      <c r="BK632" s="5" t="n">
        <v>0.395</v>
      </c>
      <c r="BL632" s="5" t="n">
        <v>1.102</v>
      </c>
      <c r="BM632" s="5" t="n">
        <v>0.18</v>
      </c>
      <c r="BN632" s="5" t="n">
        <v>1</v>
      </c>
      <c r="BO632" s="5" t="n">
        <v>0</v>
      </c>
      <c r="BP632" s="5" t="n">
        <v>0</v>
      </c>
      <c r="BQ632" s="5" t="n">
        <v>0.041</v>
      </c>
      <c r="BR632" s="5" t="n">
        <v>0</v>
      </c>
      <c r="BS632" s="5" t="n">
        <v>1</v>
      </c>
      <c r="BT632" s="5" t="n">
        <v>0</v>
      </c>
      <c r="BU632" s="5" t="n">
        <v>0</v>
      </c>
      <c r="BV632" s="5" t="n">
        <v>0.184</v>
      </c>
      <c r="BW632" s="5" t="n">
        <v>0.18</v>
      </c>
      <c r="BX632" s="5" t="n">
        <v>0.833</v>
      </c>
      <c r="BY632" s="5" t="n">
        <v>13.254</v>
      </c>
      <c r="BZ632" s="5" t="n">
        <v>0</v>
      </c>
      <c r="CA632" s="5" t="n">
        <v>13.254</v>
      </c>
      <c r="CB632" s="5" t="n">
        <v>0</v>
      </c>
      <c r="CC632" s="5" t="n">
        <v>83.248</v>
      </c>
      <c r="CD632" s="5" t="n">
        <v>7.95</v>
      </c>
      <c r="CE632" s="5" t="n">
        <v>40.454</v>
      </c>
      <c r="CF632" s="5" t="n">
        <v>145.968</v>
      </c>
      <c r="CG632" s="5" t="n">
        <v>0.18</v>
      </c>
      <c r="CH632" s="5" t="n">
        <v>1</v>
      </c>
      <c r="CI632" s="5" t="n">
        <v>0</v>
      </c>
      <c r="CJ632" s="5" t="n">
        <v>0</v>
      </c>
      <c r="CK632" s="5" t="n">
        <v>0</v>
      </c>
      <c r="CL632" s="5" t="n">
        <v>0</v>
      </c>
      <c r="CM632" s="5" t="n">
        <v>0</v>
      </c>
      <c r="CN632" s="5" t="n">
        <v>0</v>
      </c>
      <c r="CO632" s="5" t="n">
        <v>0</v>
      </c>
      <c r="CP632" s="5" t="n">
        <v>0.54</v>
      </c>
      <c r="CQ632" s="5" t="n">
        <v>1.348</v>
      </c>
      <c r="CR632" s="5" t="n">
        <v>1</v>
      </c>
      <c r="CS632" s="5" t="n">
        <v>4.461</v>
      </c>
      <c r="CT632" s="5" t="n">
        <v>4.861</v>
      </c>
      <c r="CU632" s="5" t="n">
        <v>9.260999999999999</v>
      </c>
    </row>
    <row r="633">
      <c r="A633" s="5" t="inlineStr">
        <is>
          <t>PER2024</t>
        </is>
      </c>
      <c r="B633" s="5" t="inlineStr">
        <is>
          <t>PER</t>
        </is>
      </c>
      <c r="C633" s="5" t="inlineStr">
        <is>
          <t>PER</t>
        </is>
      </c>
      <c r="D633" s="5" t="inlineStr">
        <is>
          <t>Peru</t>
        </is>
      </c>
      <c r="E633" s="5" t="n">
        <v>2024</v>
      </c>
      <c r="F633" s="5" t="n">
        <v>0.18</v>
      </c>
      <c r="G633" s="5" t="n">
        <v>3.67</v>
      </c>
      <c r="H633" s="5" t="n">
        <v>0.966</v>
      </c>
      <c r="I633" s="5" t="n">
        <v>0.518</v>
      </c>
      <c r="J633" s="5" t="n">
        <v>4.188</v>
      </c>
      <c r="K633" s="5" t="n">
        <v>0</v>
      </c>
      <c r="L633" s="5" t="n">
        <v>1</v>
      </c>
      <c r="M633" s="5" t="n">
        <v>5.097</v>
      </c>
      <c r="N633" s="5" t="n">
        <v>2.898</v>
      </c>
      <c r="O633" s="5" t="n">
        <v>0.515</v>
      </c>
      <c r="P633" s="5" t="n">
        <v>5.612</v>
      </c>
      <c r="Q633" s="5" t="n">
        <v>0</v>
      </c>
      <c r="R633" s="5" t="n">
        <v>1</v>
      </c>
      <c r="S633" s="5" t="n">
        <v>8.500999999999999</v>
      </c>
      <c r="T633" s="5" t="n">
        <v>5.797</v>
      </c>
      <c r="U633" s="5" t="n">
        <v>0.739</v>
      </c>
      <c r="V633" s="5" t="n">
        <v>10.642</v>
      </c>
      <c r="W633" s="5" t="n">
        <v>0.18</v>
      </c>
      <c r="X633" s="5" t="n">
        <v>1</v>
      </c>
      <c r="Y633" s="5" t="n">
        <v>5.255</v>
      </c>
      <c r="Z633" s="5" t="n">
        <v>0.577</v>
      </c>
      <c r="AA633" s="5" t="n">
        <v>0</v>
      </c>
      <c r="AB633" s="5" t="n">
        <v>5.255</v>
      </c>
      <c r="AC633" s="5" t="n">
        <v>0</v>
      </c>
      <c r="AD633" s="5" t="n">
        <v>1</v>
      </c>
      <c r="AE633" s="5" t="n">
        <v>5.917</v>
      </c>
      <c r="AF633" s="5" t="n">
        <v>1.151</v>
      </c>
      <c r="AG633" s="5" t="n">
        <v>0</v>
      </c>
      <c r="AH633" s="5" t="n">
        <v>5.917</v>
      </c>
      <c r="AI633" s="5" t="n">
        <v>0</v>
      </c>
      <c r="AJ633" s="5" t="n">
        <v>1</v>
      </c>
      <c r="AK633" s="5" t="n">
        <v>9.888</v>
      </c>
      <c r="AL633" s="5" t="n">
        <v>4.664</v>
      </c>
      <c r="AM633" s="5" t="n">
        <v>0.242</v>
      </c>
      <c r="AN633" s="5" t="n">
        <v>11.667</v>
      </c>
      <c r="AO633" s="5" t="n">
        <v>0.18</v>
      </c>
      <c r="AP633" s="5" t="n">
        <v>1</v>
      </c>
      <c r="AQ633" s="5" t="n">
        <v>0.756</v>
      </c>
      <c r="AR633" s="5" t="n">
        <v>0.132</v>
      </c>
      <c r="AS633" s="5" t="n">
        <v>0.225</v>
      </c>
      <c r="AT633" s="5" t="n">
        <v>1.157</v>
      </c>
      <c r="AU633" s="5" t="n">
        <v>0.18</v>
      </c>
      <c r="AV633" s="5" t="n">
        <v>1</v>
      </c>
      <c r="AW633" s="5" t="n">
        <v>0.655</v>
      </c>
      <c r="AX633" s="5" t="n">
        <v>0.132</v>
      </c>
      <c r="AY633" s="5" t="n">
        <v>0.366</v>
      </c>
      <c r="AZ633" s="5" t="n">
        <v>1.205</v>
      </c>
      <c r="BA633" s="5" t="n">
        <v>0.18</v>
      </c>
      <c r="BB633" s="5" t="n">
        <v>1</v>
      </c>
      <c r="BC633" s="5" t="n">
        <v>0.534</v>
      </c>
      <c r="BD633" s="5" t="n">
        <v>0.132</v>
      </c>
      <c r="BE633" s="5" t="n">
        <v>0.062</v>
      </c>
      <c r="BF633" s="5" t="n">
        <v>0.702</v>
      </c>
      <c r="BG633" s="5" t="n">
        <v>0.18</v>
      </c>
      <c r="BH633" s="5" t="n">
        <v>1</v>
      </c>
      <c r="BI633" s="5" t="n">
        <v>0.5679999999999999</v>
      </c>
      <c r="BJ633" s="5" t="n">
        <v>0.132</v>
      </c>
      <c r="BK633" s="5" t="n">
        <v>0.412</v>
      </c>
      <c r="BL633" s="5" t="n">
        <v>1.129</v>
      </c>
      <c r="BM633" s="5" t="n">
        <v>0.18</v>
      </c>
      <c r="BN633" s="5" t="n">
        <v>1</v>
      </c>
      <c r="BO633" s="5" t="n">
        <v>0</v>
      </c>
      <c r="BP633" s="5" t="n">
        <v>0</v>
      </c>
      <c r="BQ633" s="5" t="n">
        <v>0.083</v>
      </c>
      <c r="BR633" s="5" t="n">
        <v>0</v>
      </c>
      <c r="BS633" s="5" t="n">
        <v>1</v>
      </c>
      <c r="BT633" s="5" t="n">
        <v>0</v>
      </c>
      <c r="BU633" s="5" t="n">
        <v>0</v>
      </c>
      <c r="BV633" s="5" t="n">
        <v>0.146</v>
      </c>
      <c r="BW633" s="5" t="n">
        <v>0.18</v>
      </c>
      <c r="BX633" s="5" t="n">
        <v>0.833</v>
      </c>
      <c r="BY633" s="5" t="n">
        <v>13.646</v>
      </c>
      <c r="BZ633" s="5" t="n">
        <v>0</v>
      </c>
      <c r="CA633" s="5" t="n">
        <v>13.646</v>
      </c>
      <c r="CB633" s="5" t="n">
        <v>0</v>
      </c>
      <c r="CC633" s="5" t="n">
        <v>82.58799999999999</v>
      </c>
      <c r="CD633" s="5" t="n">
        <v>7.95</v>
      </c>
      <c r="CE633" s="5" t="n">
        <v>42.429</v>
      </c>
      <c r="CF633" s="5" t="n">
        <v>147.52</v>
      </c>
      <c r="CG633" s="5" t="n">
        <v>0.18</v>
      </c>
      <c r="CH633" s="5" t="n">
        <v>1</v>
      </c>
      <c r="CI633" s="5" t="n">
        <v>0</v>
      </c>
      <c r="CJ633" s="5" t="n">
        <v>0</v>
      </c>
      <c r="CK633" s="5" t="n">
        <v>0</v>
      </c>
      <c r="CL633" s="5" t="n">
        <v>0</v>
      </c>
      <c r="CM633" s="5" t="n">
        <v>0</v>
      </c>
      <c r="CN633" s="5" t="n">
        <v>0</v>
      </c>
      <c r="CO633" s="5" t="n">
        <v>0</v>
      </c>
      <c r="CP633" s="5" t="n">
        <v>0.54</v>
      </c>
      <c r="CQ633" s="5" t="n">
        <v>1.387</v>
      </c>
      <c r="CR633" s="5" t="n">
        <v>1</v>
      </c>
      <c r="CS633" s="5" t="n">
        <v>4.593</v>
      </c>
      <c r="CT633" s="5" t="n">
        <v>4.251</v>
      </c>
      <c r="CU633" s="5" t="n">
        <v>7.598</v>
      </c>
    </row>
    <row r="634">
      <c r="A634" s="5" t="inlineStr">
        <is>
          <t>PHL2021</t>
        </is>
      </c>
      <c r="B634" s="5" t="inlineStr">
        <is>
          <t>PHL</t>
        </is>
      </c>
      <c r="C634" s="5" t="inlineStr">
        <is>
          <t>PHL</t>
        </is>
      </c>
      <c r="D634" s="5" t="inlineStr">
        <is>
          <t>Philippines</t>
        </is>
      </c>
      <c r="E634" s="5" t="n">
        <v>2021</v>
      </c>
      <c r="F634" s="5" t="n">
        <v>0.12</v>
      </c>
      <c r="G634" s="5" t="n">
        <v>4.668</v>
      </c>
      <c r="H634" s="5" t="n">
        <v>1.021</v>
      </c>
      <c r="I634" s="5" t="n">
        <v>0.366</v>
      </c>
      <c r="J634" s="5" t="n">
        <v>5.033</v>
      </c>
      <c r="K634" s="5" t="n">
        <v>0</v>
      </c>
      <c r="L634" s="5" t="n">
        <v>1</v>
      </c>
      <c r="M634" s="5" t="n">
        <v>3.11</v>
      </c>
      <c r="N634" s="5" t="n">
        <v>1.41</v>
      </c>
      <c r="O634" s="5" t="n">
        <v>0.179</v>
      </c>
      <c r="P634" s="5" t="n">
        <v>3.289</v>
      </c>
      <c r="Q634" s="5" t="n">
        <v>0</v>
      </c>
      <c r="R634" s="5" t="n">
        <v>1</v>
      </c>
      <c r="S634" s="5" t="n">
        <v>9.896000000000001</v>
      </c>
      <c r="T634" s="5" t="n">
        <v>6.526</v>
      </c>
      <c r="U634" s="5" t="n">
        <v>0</v>
      </c>
      <c r="V634" s="5" t="n">
        <v>11.083</v>
      </c>
      <c r="W634" s="5" t="n">
        <v>0.12</v>
      </c>
      <c r="X634" s="5" t="n">
        <v>1</v>
      </c>
      <c r="Y634" s="5" t="n">
        <v>5.197</v>
      </c>
      <c r="Z634" s="5" t="n">
        <v>0.354</v>
      </c>
      <c r="AA634" s="5" t="n">
        <v>2.12</v>
      </c>
      <c r="AB634" s="5" t="n">
        <v>7.317</v>
      </c>
      <c r="AC634" s="5" t="n">
        <v>0</v>
      </c>
      <c r="AD634" s="5" t="n">
        <v>1</v>
      </c>
      <c r="AE634" s="5" t="n">
        <v>5.769</v>
      </c>
      <c r="AF634" s="5" t="n">
        <v>0.731</v>
      </c>
      <c r="AG634" s="5" t="n">
        <v>3.83</v>
      </c>
      <c r="AH634" s="5" t="n">
        <v>9.599</v>
      </c>
      <c r="AI634" s="5" t="n">
        <v>0</v>
      </c>
      <c r="AJ634" s="5" t="n">
        <v>1</v>
      </c>
      <c r="AK634" s="5" t="n">
        <v>9.199</v>
      </c>
      <c r="AL634" s="5" t="n">
        <v>3.325</v>
      </c>
      <c r="AM634" s="5" t="n">
        <v>0</v>
      </c>
      <c r="AN634" s="5" t="n">
        <v>10.302</v>
      </c>
      <c r="AO634" s="5" t="n">
        <v>0.12</v>
      </c>
      <c r="AP634" s="5" t="n">
        <v>1</v>
      </c>
      <c r="AQ634" s="5" t="n">
        <v>0.805</v>
      </c>
      <c r="AR634" s="5" t="n">
        <v>0.147</v>
      </c>
      <c r="AS634" s="5" t="n">
        <v>0.203</v>
      </c>
      <c r="AT634" s="5" t="n">
        <v>1.129</v>
      </c>
      <c r="AU634" s="5" t="n">
        <v>0.12</v>
      </c>
      <c r="AV634" s="5" t="n">
        <v>1</v>
      </c>
      <c r="AW634" s="5" t="n">
        <v>0.656</v>
      </c>
      <c r="AX634" s="5" t="n">
        <v>0.127</v>
      </c>
      <c r="AY634" s="5" t="n">
        <v>0.122</v>
      </c>
      <c r="AZ634" s="5" t="n">
        <v>0.871</v>
      </c>
      <c r="BA634" s="5" t="n">
        <v>0.12</v>
      </c>
      <c r="BB634" s="5" t="n">
        <v>1</v>
      </c>
      <c r="BC634" s="5" t="n">
        <v>0.679</v>
      </c>
      <c r="BD634" s="5" t="n">
        <v>0.175</v>
      </c>
      <c r="BE634" s="5" t="n">
        <v>0.031</v>
      </c>
      <c r="BF634" s="5" t="n">
        <v>0.795</v>
      </c>
      <c r="BG634" s="5" t="n">
        <v>0.12</v>
      </c>
      <c r="BH634" s="5" t="n">
        <v>1</v>
      </c>
      <c r="BI634" s="5" t="n">
        <v>0.772</v>
      </c>
      <c r="BJ634" s="5" t="n">
        <v>0.171</v>
      </c>
      <c r="BK634" s="5" t="n">
        <v>0.102</v>
      </c>
      <c r="BL634" s="5" t="n">
        <v>0.979</v>
      </c>
      <c r="BM634" s="5" t="n">
        <v>0.12</v>
      </c>
      <c r="BN634" s="5" t="n">
        <v>1</v>
      </c>
      <c r="BO634" s="5" t="n">
        <v>0</v>
      </c>
      <c r="BP634" s="5" t="n">
        <v>0</v>
      </c>
      <c r="BQ634" s="5" t="n">
        <v>0.139</v>
      </c>
      <c r="BR634" s="5" t="n">
        <v>0</v>
      </c>
      <c r="BS634" s="5" t="n">
        <v>1</v>
      </c>
      <c r="BT634" s="5" t="n">
        <v>0</v>
      </c>
      <c r="BU634" s="5" t="n">
        <v>0.001</v>
      </c>
      <c r="BV634" s="5" t="n">
        <v>0.2</v>
      </c>
      <c r="BW634" s="5" t="n">
        <v>0</v>
      </c>
      <c r="BX634" s="5" t="n">
        <v>1</v>
      </c>
      <c r="BY634" s="5" t="n">
        <v>3.307</v>
      </c>
      <c r="BZ634" s="5" t="n">
        <v>0</v>
      </c>
      <c r="CA634" s="5" t="n">
        <v>3.307</v>
      </c>
      <c r="CB634" s="5" t="n">
        <v>0</v>
      </c>
      <c r="CC634" s="5" t="n">
        <v>118.117</v>
      </c>
      <c r="CD634" s="5" t="n">
        <v>44.372</v>
      </c>
      <c r="CE634" s="5" t="n">
        <v>19.369</v>
      </c>
      <c r="CF634" s="5" t="n">
        <v>153.984</v>
      </c>
      <c r="CG634" s="5" t="n">
        <v>0.12</v>
      </c>
      <c r="CH634" s="5" t="n">
        <v>1</v>
      </c>
      <c r="CI634" s="5" t="n">
        <v>0</v>
      </c>
      <c r="CJ634" s="5" t="n">
        <v>0</v>
      </c>
      <c r="CK634" s="5" t="n">
        <v>0</v>
      </c>
      <c r="CL634" s="5" t="n">
        <v>0</v>
      </c>
      <c r="CM634" s="5" t="n">
        <v>0</v>
      </c>
      <c r="CN634" s="5" t="n">
        <v>0</v>
      </c>
      <c r="CO634" s="5" t="n">
        <v>0</v>
      </c>
      <c r="CP634" s="5" t="n">
        <v>0</v>
      </c>
      <c r="CQ634" s="5" t="n">
        <v>1.198</v>
      </c>
      <c r="CR634" s="5" t="n">
        <v>1</v>
      </c>
      <c r="CS634" s="5" t="n">
        <v>4.625</v>
      </c>
      <c r="CT634" s="5" t="n">
        <v>3.604</v>
      </c>
      <c r="CU634" s="5" t="n">
        <v>9.407999999999999</v>
      </c>
    </row>
    <row r="635">
      <c r="A635" s="5" t="inlineStr">
        <is>
          <t>PHL2022</t>
        </is>
      </c>
      <c r="B635" s="5" t="inlineStr">
        <is>
          <t>PHL</t>
        </is>
      </c>
      <c r="C635" s="5" t="inlineStr">
        <is>
          <t>PHL</t>
        </is>
      </c>
      <c r="D635" s="5" t="inlineStr">
        <is>
          <t>Philippines</t>
        </is>
      </c>
      <c r="E635" s="5" t="n">
        <v>2022</v>
      </c>
      <c r="F635" s="5" t="n">
        <v>0.12</v>
      </c>
      <c r="G635" s="5" t="n">
        <v>8.343</v>
      </c>
      <c r="H635" s="5" t="n">
        <v>1.296</v>
      </c>
      <c r="I635" s="5" t="n">
        <v>0.608</v>
      </c>
      <c r="J635" s="5" t="n">
        <v>8.951000000000001</v>
      </c>
      <c r="K635" s="5" t="n">
        <v>0</v>
      </c>
      <c r="L635" s="5" t="n">
        <v>1</v>
      </c>
      <c r="M635" s="5" t="n">
        <v>3.808</v>
      </c>
      <c r="N635" s="5" t="n">
        <v>1.572</v>
      </c>
      <c r="O635" s="5" t="n">
        <v>0.185</v>
      </c>
      <c r="P635" s="5" t="n">
        <v>3.993</v>
      </c>
      <c r="Q635" s="5" t="n">
        <v>0</v>
      </c>
      <c r="R635" s="5" t="n">
        <v>1</v>
      </c>
      <c r="S635" s="5" t="n">
        <v>14.012</v>
      </c>
      <c r="T635" s="5" t="n">
        <v>7.055</v>
      </c>
      <c r="U635" s="5" t="n">
        <v>0.124</v>
      </c>
      <c r="V635" s="5" t="n">
        <v>15.694</v>
      </c>
      <c r="W635" s="5" t="n">
        <v>0.12</v>
      </c>
      <c r="X635" s="5" t="n">
        <v>1</v>
      </c>
      <c r="Y635" s="5" t="n">
        <v>5.612</v>
      </c>
      <c r="Z635" s="5" t="n">
        <v>0.382</v>
      </c>
      <c r="AA635" s="5" t="n">
        <v>2.29</v>
      </c>
      <c r="AB635" s="5" t="n">
        <v>7.902</v>
      </c>
      <c r="AC635" s="5" t="n">
        <v>0</v>
      </c>
      <c r="AD635" s="5" t="n">
        <v>1</v>
      </c>
      <c r="AE635" s="5" t="n">
        <v>6.23</v>
      </c>
      <c r="AF635" s="5" t="n">
        <v>0.79</v>
      </c>
      <c r="AG635" s="5" t="n">
        <v>4.137</v>
      </c>
      <c r="AH635" s="5" t="n">
        <v>10.366</v>
      </c>
      <c r="AI635" s="5" t="n">
        <v>0</v>
      </c>
      <c r="AJ635" s="5" t="n">
        <v>1</v>
      </c>
      <c r="AK635" s="5" t="n">
        <v>9.933999999999999</v>
      </c>
      <c r="AL635" s="5" t="n">
        <v>3.591</v>
      </c>
      <c r="AM635" s="5" t="n">
        <v>0.08799999999999999</v>
      </c>
      <c r="AN635" s="5" t="n">
        <v>11.126</v>
      </c>
      <c r="AO635" s="5" t="n">
        <v>0.12</v>
      </c>
      <c r="AP635" s="5" t="n">
        <v>1</v>
      </c>
      <c r="AQ635" s="5" t="n">
        <v>0.998</v>
      </c>
      <c r="AR635" s="5" t="n">
        <v>0.143</v>
      </c>
      <c r="AS635" s="5" t="n">
        <v>0.184</v>
      </c>
      <c r="AT635" s="5" t="n">
        <v>1.324</v>
      </c>
      <c r="AU635" s="5" t="n">
        <v>0.12</v>
      </c>
      <c r="AV635" s="5" t="n">
        <v>1</v>
      </c>
      <c r="AW635" s="5" t="n">
        <v>1.053</v>
      </c>
      <c r="AX635" s="5" t="n">
        <v>0.137</v>
      </c>
      <c r="AY635" s="5" t="n">
        <v>0.11</v>
      </c>
      <c r="AZ635" s="5" t="n">
        <v>1.303</v>
      </c>
      <c r="BA635" s="5" t="n">
        <v>0.12</v>
      </c>
      <c r="BB635" s="5" t="n">
        <v>1</v>
      </c>
      <c r="BC635" s="5" t="n">
        <v>0.828</v>
      </c>
      <c r="BD635" s="5" t="n">
        <v>0.171</v>
      </c>
      <c r="BE635" s="5" t="n">
        <v>0.036</v>
      </c>
      <c r="BF635" s="5" t="n">
        <v>0.958</v>
      </c>
      <c r="BG635" s="5" t="n">
        <v>0.12</v>
      </c>
      <c r="BH635" s="5" t="n">
        <v>1</v>
      </c>
      <c r="BI635" s="5" t="n">
        <v>1.138</v>
      </c>
      <c r="BJ635" s="5" t="n">
        <v>0.222</v>
      </c>
      <c r="BK635" s="5" t="n">
        <v>0.092</v>
      </c>
      <c r="BL635" s="5" t="n">
        <v>1.378</v>
      </c>
      <c r="BM635" s="5" t="n">
        <v>0.12</v>
      </c>
      <c r="BN635" s="5" t="n">
        <v>1</v>
      </c>
      <c r="BO635" s="5" t="n">
        <v>0</v>
      </c>
      <c r="BP635" s="5" t="n">
        <v>0</v>
      </c>
      <c r="BQ635" s="5" t="n">
        <v>0.141</v>
      </c>
      <c r="BR635" s="5" t="n">
        <v>0</v>
      </c>
      <c r="BS635" s="5" t="n">
        <v>1</v>
      </c>
      <c r="BT635" s="5" t="n">
        <v>0</v>
      </c>
      <c r="BU635" s="5" t="n">
        <v>0.001</v>
      </c>
      <c r="BV635" s="5" t="n">
        <v>0.187</v>
      </c>
      <c r="BW635" s="5" t="n">
        <v>0</v>
      </c>
      <c r="BX635" s="5" t="n">
        <v>1</v>
      </c>
      <c r="BY635" s="5" t="n">
        <v>3.571</v>
      </c>
      <c r="BZ635" s="5" t="n">
        <v>0</v>
      </c>
      <c r="CA635" s="5" t="n">
        <v>3.571</v>
      </c>
      <c r="CB635" s="5" t="n">
        <v>0</v>
      </c>
      <c r="CC635" s="5" t="n">
        <v>174.916</v>
      </c>
      <c r="CD635" s="5" t="n">
        <v>80.39</v>
      </c>
      <c r="CE635" s="5" t="n">
        <v>17.512</v>
      </c>
      <c r="CF635" s="5" t="n">
        <v>215.519</v>
      </c>
      <c r="CG635" s="5" t="n">
        <v>0.12</v>
      </c>
      <c r="CH635" s="5" t="n">
        <v>1</v>
      </c>
      <c r="CI635" s="5" t="n">
        <v>0</v>
      </c>
      <c r="CJ635" s="5" t="n">
        <v>0</v>
      </c>
      <c r="CK635" s="5" t="n">
        <v>0</v>
      </c>
      <c r="CL635" s="5" t="n">
        <v>0</v>
      </c>
      <c r="CM635" s="5" t="n">
        <v>0</v>
      </c>
      <c r="CN635" s="5" t="n">
        <v>0</v>
      </c>
      <c r="CO635" s="5" t="n">
        <v>0</v>
      </c>
      <c r="CP635" s="5" t="n">
        <v>0</v>
      </c>
      <c r="CQ635" s="5" t="n">
        <v>1.294</v>
      </c>
      <c r="CR635" s="5" t="n">
        <v>1</v>
      </c>
      <c r="CS635" s="5" t="n">
        <v>4.995</v>
      </c>
      <c r="CT635" s="5" t="n">
        <v>7.554</v>
      </c>
      <c r="CU635" s="5" t="n">
        <v>16.097</v>
      </c>
    </row>
    <row r="636">
      <c r="A636" s="5" t="inlineStr">
        <is>
          <t>PHL2023</t>
        </is>
      </c>
      <c r="B636" s="5" t="inlineStr">
        <is>
          <t>PHL</t>
        </is>
      </c>
      <c r="C636" s="5" t="inlineStr">
        <is>
          <t>PHL</t>
        </is>
      </c>
      <c r="D636" s="5" t="inlineStr">
        <is>
          <t>Philippines</t>
        </is>
      </c>
      <c r="E636" s="5" t="n">
        <v>2023</v>
      </c>
      <c r="F636" s="5" t="n">
        <v>0.12</v>
      </c>
      <c r="G636" s="5" t="n">
        <v>5.215</v>
      </c>
      <c r="H636" s="5" t="n">
        <v>1.188</v>
      </c>
      <c r="I636" s="5" t="n">
        <v>0.247</v>
      </c>
      <c r="J636" s="5" t="n">
        <v>5.462</v>
      </c>
      <c r="K636" s="5" t="n">
        <v>0</v>
      </c>
      <c r="L636" s="5" t="n">
        <v>1</v>
      </c>
      <c r="M636" s="5" t="n">
        <v>2.894</v>
      </c>
      <c r="N636" s="5" t="n">
        <v>1.435</v>
      </c>
      <c r="O636" s="5" t="n">
        <v>0.154</v>
      </c>
      <c r="P636" s="5" t="n">
        <v>3.048</v>
      </c>
      <c r="Q636" s="5" t="n">
        <v>0</v>
      </c>
      <c r="R636" s="5" t="n">
        <v>1</v>
      </c>
      <c r="S636" s="5" t="n">
        <v>10.783</v>
      </c>
      <c r="T636" s="5" t="n">
        <v>6.933</v>
      </c>
      <c r="U636" s="5" t="n">
        <v>0.143</v>
      </c>
      <c r="V636" s="5" t="n">
        <v>12.076</v>
      </c>
      <c r="W636" s="5" t="n">
        <v>0.12</v>
      </c>
      <c r="X636" s="5" t="n">
        <v>1</v>
      </c>
      <c r="Y636" s="5" t="n">
        <v>5.488</v>
      </c>
      <c r="Z636" s="5" t="n">
        <v>0.373</v>
      </c>
      <c r="AA636" s="5" t="n">
        <v>2.512</v>
      </c>
      <c r="AB636" s="5" t="n">
        <v>8</v>
      </c>
      <c r="AC636" s="5" t="n">
        <v>0</v>
      </c>
      <c r="AD636" s="5" t="n">
        <v>1</v>
      </c>
      <c r="AE636" s="5" t="n">
        <v>6.236</v>
      </c>
      <c r="AF636" s="5" t="n">
        <v>0.791</v>
      </c>
      <c r="AG636" s="5" t="n">
        <v>4.307</v>
      </c>
      <c r="AH636" s="5" t="n">
        <v>10.543</v>
      </c>
      <c r="AI636" s="5" t="n">
        <v>0</v>
      </c>
      <c r="AJ636" s="5" t="n">
        <v>1</v>
      </c>
      <c r="AK636" s="5" t="n">
        <v>10.726</v>
      </c>
      <c r="AL636" s="5" t="n">
        <v>3.878</v>
      </c>
      <c r="AM636" s="5" t="n">
        <v>0.143</v>
      </c>
      <c r="AN636" s="5" t="n">
        <v>12.013</v>
      </c>
      <c r="AO636" s="5" t="n">
        <v>0.12</v>
      </c>
      <c r="AP636" s="5" t="n">
        <v>1</v>
      </c>
      <c r="AQ636" s="5" t="n">
        <v>0.891</v>
      </c>
      <c r="AR636" s="5" t="n">
        <v>0.15</v>
      </c>
      <c r="AS636" s="5" t="n">
        <v>0.18</v>
      </c>
      <c r="AT636" s="5" t="n">
        <v>1.199</v>
      </c>
      <c r="AU636" s="5" t="n">
        <v>0.12</v>
      </c>
      <c r="AV636" s="5" t="n">
        <v>1</v>
      </c>
      <c r="AW636" s="5" t="n">
        <v>0.866</v>
      </c>
      <c r="AX636" s="5" t="n">
        <v>0.148</v>
      </c>
      <c r="AY636" s="5" t="n">
        <v>0.108</v>
      </c>
      <c r="AZ636" s="5" t="n">
        <v>1.091</v>
      </c>
      <c r="BA636" s="5" t="n">
        <v>0.12</v>
      </c>
      <c r="BB636" s="5" t="n">
        <v>1</v>
      </c>
      <c r="BC636" s="5" t="n">
        <v>0.767</v>
      </c>
      <c r="BD636" s="5" t="n">
        <v>0.184</v>
      </c>
      <c r="BE636" s="5" t="n">
        <v>0.038</v>
      </c>
      <c r="BF636" s="5" t="n">
        <v>0.889</v>
      </c>
      <c r="BG636" s="5" t="n">
        <v>0.12</v>
      </c>
      <c r="BH636" s="5" t="n">
        <v>1</v>
      </c>
      <c r="BI636" s="5" t="n">
        <v>1.079</v>
      </c>
      <c r="BJ636" s="5" t="n">
        <v>0.235</v>
      </c>
      <c r="BK636" s="5" t="n">
        <v>0.09</v>
      </c>
      <c r="BL636" s="5" t="n">
        <v>1.309</v>
      </c>
      <c r="BM636" s="5" t="n">
        <v>0.12</v>
      </c>
      <c r="BN636" s="5" t="n">
        <v>1</v>
      </c>
      <c r="BO636" s="5" t="n">
        <v>0</v>
      </c>
      <c r="BP636" s="5" t="n">
        <v>0</v>
      </c>
      <c r="BQ636" s="5" t="n">
        <v>0.164</v>
      </c>
      <c r="BR636" s="5" t="n">
        <v>0</v>
      </c>
      <c r="BS636" s="5" t="n">
        <v>1</v>
      </c>
      <c r="BT636" s="5" t="n">
        <v>0</v>
      </c>
      <c r="BU636" s="5" t="n">
        <v>0.001</v>
      </c>
      <c r="BV636" s="5" t="n">
        <v>0.213</v>
      </c>
      <c r="BW636" s="5" t="n">
        <v>0</v>
      </c>
      <c r="BX636" s="5" t="n">
        <v>1</v>
      </c>
      <c r="BY636" s="5" t="n">
        <v>3.718</v>
      </c>
      <c r="BZ636" s="5" t="n">
        <v>0</v>
      </c>
      <c r="CA636" s="5" t="n">
        <v>3.718</v>
      </c>
      <c r="CB636" s="5" t="n">
        <v>0</v>
      </c>
      <c r="CC636" s="5" t="n">
        <v>168.954</v>
      </c>
      <c r="CD636" s="5" t="n">
        <v>89.825</v>
      </c>
      <c r="CE636" s="5" t="n">
        <v>17.149</v>
      </c>
      <c r="CF636" s="5" t="n">
        <v>208.435</v>
      </c>
      <c r="CG636" s="5" t="n">
        <v>0.12</v>
      </c>
      <c r="CH636" s="5" t="n">
        <v>1</v>
      </c>
      <c r="CI636" s="5" t="n">
        <v>0</v>
      </c>
      <c r="CJ636" s="5" t="n">
        <v>0</v>
      </c>
      <c r="CK636" s="5" t="n">
        <v>0</v>
      </c>
      <c r="CL636" s="5" t="n">
        <v>0</v>
      </c>
      <c r="CM636" s="5" t="n">
        <v>0</v>
      </c>
      <c r="CN636" s="5" t="n">
        <v>0</v>
      </c>
      <c r="CO636" s="5" t="n">
        <v>0</v>
      </c>
      <c r="CP636" s="5" t="n">
        <v>0</v>
      </c>
      <c r="CQ636" s="5" t="n">
        <v>1.348</v>
      </c>
      <c r="CR636" s="5" t="n">
        <v>0.836</v>
      </c>
      <c r="CS636" s="5" t="n">
        <v>5.201</v>
      </c>
      <c r="CT636" s="5" t="n">
        <v>4.484</v>
      </c>
      <c r="CU636" s="5" t="n">
        <v>12.529</v>
      </c>
    </row>
    <row r="637">
      <c r="A637" s="5" t="inlineStr">
        <is>
          <t>PHL2024</t>
        </is>
      </c>
      <c r="B637" s="5" t="inlineStr">
        <is>
          <t>PHL</t>
        </is>
      </c>
      <c r="C637" s="5" t="inlineStr">
        <is>
          <t>PHL</t>
        </is>
      </c>
      <c r="D637" s="5" t="inlineStr">
        <is>
          <t>Philippines</t>
        </is>
      </c>
      <c r="E637" s="5" t="n">
        <v>2024</v>
      </c>
      <c r="F637" s="5" t="n">
        <v>0.12</v>
      </c>
      <c r="G637" s="5" t="n">
        <v>4.479</v>
      </c>
      <c r="H637" s="5" t="n">
        <v>1.135</v>
      </c>
      <c r="I637" s="5" t="n">
        <v>0.224</v>
      </c>
      <c r="J637" s="5" t="n">
        <v>4.703</v>
      </c>
      <c r="K637" s="5" t="n">
        <v>0</v>
      </c>
      <c r="L637" s="5" t="n">
        <v>1</v>
      </c>
      <c r="M637" s="5" t="n">
        <v>2.649</v>
      </c>
      <c r="N637" s="5" t="n">
        <v>1.443</v>
      </c>
      <c r="O637" s="5" t="n">
        <v>0.151</v>
      </c>
      <c r="P637" s="5" t="n">
        <v>2.799</v>
      </c>
      <c r="Q637" s="5" t="n">
        <v>0</v>
      </c>
      <c r="R637" s="5" t="n">
        <v>1</v>
      </c>
      <c r="S637" s="5" t="n">
        <v>10.217</v>
      </c>
      <c r="T637" s="5" t="n">
        <v>7.138</v>
      </c>
      <c r="U637" s="5" t="n">
        <v>0.167</v>
      </c>
      <c r="V637" s="5" t="n">
        <v>11.443</v>
      </c>
      <c r="W637" s="5" t="n">
        <v>0.12</v>
      </c>
      <c r="X637" s="5" t="n">
        <v>1</v>
      </c>
      <c r="Y637" s="5" t="n">
        <v>7.034</v>
      </c>
      <c r="Z637" s="5" t="n">
        <v>0.479</v>
      </c>
      <c r="AA637" s="5" t="n">
        <v>2.088</v>
      </c>
      <c r="AB637" s="5" t="n">
        <v>9.122999999999999</v>
      </c>
      <c r="AC637" s="5" t="n">
        <v>0</v>
      </c>
      <c r="AD637" s="5" t="n">
        <v>1</v>
      </c>
      <c r="AE637" s="5" t="n">
        <v>7.805</v>
      </c>
      <c r="AF637" s="5" t="n">
        <v>0.989</v>
      </c>
      <c r="AG637" s="5" t="n">
        <v>4.435</v>
      </c>
      <c r="AH637" s="5" t="n">
        <v>12.239</v>
      </c>
      <c r="AI637" s="5" t="n">
        <v>0</v>
      </c>
      <c r="AJ637" s="5" t="n">
        <v>1</v>
      </c>
      <c r="AK637" s="5" t="n">
        <v>12.427</v>
      </c>
      <c r="AL637" s="5" t="n">
        <v>4.493</v>
      </c>
      <c r="AM637" s="5" t="n">
        <v>0.203</v>
      </c>
      <c r="AN637" s="5" t="n">
        <v>13.918</v>
      </c>
      <c r="AO637" s="5" t="n">
        <v>0.12</v>
      </c>
      <c r="AP637" s="5" t="n">
        <v>1</v>
      </c>
      <c r="AQ637" s="5" t="n">
        <v>0.839</v>
      </c>
      <c r="AR637" s="5" t="n">
        <v>0.152</v>
      </c>
      <c r="AS637" s="5" t="n">
        <v>0.175</v>
      </c>
      <c r="AT637" s="5" t="n">
        <v>1.135</v>
      </c>
      <c r="AU637" s="5" t="n">
        <v>0.12</v>
      </c>
      <c r="AV637" s="5" t="n">
        <v>1</v>
      </c>
      <c r="AW637" s="5" t="n">
        <v>0.784</v>
      </c>
      <c r="AX637" s="5" t="n">
        <v>0.144</v>
      </c>
      <c r="AY637" s="5" t="n">
        <v>0.105</v>
      </c>
      <c r="AZ637" s="5" t="n">
        <v>0.996</v>
      </c>
      <c r="BA637" s="5" t="n">
        <v>0.12</v>
      </c>
      <c r="BB637" s="5" t="n">
        <v>1</v>
      </c>
      <c r="BC637" s="5" t="n">
        <v>0.749</v>
      </c>
      <c r="BD637" s="5" t="n">
        <v>0.192</v>
      </c>
      <c r="BE637" s="5" t="n">
        <v>0.039</v>
      </c>
      <c r="BF637" s="5" t="n">
        <v>0.869</v>
      </c>
      <c r="BG637" s="5" t="n">
        <v>0.12</v>
      </c>
      <c r="BH637" s="5" t="n">
        <v>1</v>
      </c>
      <c r="BI637" s="5" t="n">
        <v>1.037</v>
      </c>
      <c r="BJ637" s="5" t="n">
        <v>0.228</v>
      </c>
      <c r="BK637" s="5" t="n">
        <v>0.08699999999999999</v>
      </c>
      <c r="BL637" s="5" t="n">
        <v>1.259</v>
      </c>
      <c r="BM637" s="5" t="n">
        <v>0.12</v>
      </c>
      <c r="BN637" s="5" t="n">
        <v>1</v>
      </c>
      <c r="BO637" s="5" t="n">
        <v>0</v>
      </c>
      <c r="BP637" s="5" t="n">
        <v>0</v>
      </c>
      <c r="BQ637" s="5" t="n">
        <v>0.154</v>
      </c>
      <c r="BR637" s="5" t="n">
        <v>0</v>
      </c>
      <c r="BS637" s="5" t="n">
        <v>1</v>
      </c>
      <c r="BT637" s="5" t="n">
        <v>0</v>
      </c>
      <c r="BU637" s="5" t="n">
        <v>0.002</v>
      </c>
      <c r="BV637" s="5" t="n">
        <v>0.202</v>
      </c>
      <c r="BW637" s="5" t="n">
        <v>0</v>
      </c>
      <c r="BX637" s="5" t="n">
        <v>1</v>
      </c>
      <c r="BY637" s="5" t="n">
        <v>3.828</v>
      </c>
      <c r="BZ637" s="5" t="n">
        <v>0</v>
      </c>
      <c r="CA637" s="5" t="n">
        <v>3.828</v>
      </c>
      <c r="CB637" s="5" t="n">
        <v>0</v>
      </c>
      <c r="CC637" s="5" t="n">
        <v>162.963</v>
      </c>
      <c r="CD637" s="5" t="n">
        <v>84.52800000000001</v>
      </c>
      <c r="CE637" s="5" t="n">
        <v>16.652</v>
      </c>
      <c r="CF637" s="5" t="n">
        <v>201.169</v>
      </c>
      <c r="CG637" s="5" t="n">
        <v>0.12</v>
      </c>
      <c r="CH637" s="5" t="n">
        <v>1</v>
      </c>
      <c r="CI637" s="5" t="n">
        <v>0</v>
      </c>
      <c r="CJ637" s="5" t="n">
        <v>0</v>
      </c>
      <c r="CK637" s="5" t="n">
        <v>0</v>
      </c>
      <c r="CL637" s="5" t="n">
        <v>0</v>
      </c>
      <c r="CM637" s="5" t="n">
        <v>0</v>
      </c>
      <c r="CN637" s="5" t="n">
        <v>0</v>
      </c>
      <c r="CO637" s="5" t="n">
        <v>0</v>
      </c>
      <c r="CP637" s="5" t="n">
        <v>0</v>
      </c>
      <c r="CQ637" s="5" t="n">
        <v>1.387</v>
      </c>
      <c r="CR637" s="5" t="n">
        <v>0.836</v>
      </c>
      <c r="CS637" s="5" t="n">
        <v>5.355</v>
      </c>
      <c r="CT637" s="5" t="n">
        <v>3.509</v>
      </c>
      <c r="CU637" s="5" t="n">
        <v>10.896</v>
      </c>
    </row>
    <row r="638">
      <c r="A638" s="5" t="inlineStr">
        <is>
          <t>POL2021</t>
        </is>
      </c>
      <c r="B638" s="5" t="inlineStr">
        <is>
          <t>POL</t>
        </is>
      </c>
      <c r="C638" s="5" t="inlineStr">
        <is>
          <t>POL</t>
        </is>
      </c>
      <c r="D638" s="5" t="inlineStr">
        <is>
          <t>Poland</t>
        </is>
      </c>
      <c r="E638" s="5" t="n">
        <v>2021</v>
      </c>
      <c r="F638" s="5" t="n">
        <v>0.23</v>
      </c>
      <c r="G638" s="5" t="n">
        <v>7.076</v>
      </c>
      <c r="H638" s="5" t="n">
        <v>1.548</v>
      </c>
      <c r="I638" s="5" t="n">
        <v>1.879</v>
      </c>
      <c r="J638" s="5" t="n">
        <v>8.956</v>
      </c>
      <c r="K638" s="5" t="n">
        <v>0</v>
      </c>
      <c r="L638" s="5" t="n">
        <v>1</v>
      </c>
      <c r="M638" s="5" t="n">
        <v>9.444000000000001</v>
      </c>
      <c r="N638" s="5" t="n">
        <v>4.281</v>
      </c>
      <c r="O638" s="5" t="n">
        <v>1.964</v>
      </c>
      <c r="P638" s="5" t="n">
        <v>11.408</v>
      </c>
      <c r="Q638" s="5" t="n">
        <v>0</v>
      </c>
      <c r="R638" s="5" t="n">
        <v>1</v>
      </c>
      <c r="S638" s="5" t="n">
        <v>12.606</v>
      </c>
      <c r="T638" s="5" t="n">
        <v>7.812</v>
      </c>
      <c r="U638" s="5" t="n">
        <v>0.028</v>
      </c>
      <c r="V638" s="5" t="n">
        <v>15.539</v>
      </c>
      <c r="W638" s="5" t="n">
        <v>0.23</v>
      </c>
      <c r="X638" s="5" t="n">
        <v>1</v>
      </c>
      <c r="Y638" s="5" t="n">
        <v>22.447</v>
      </c>
      <c r="Z638" s="5" t="n">
        <v>2.479</v>
      </c>
      <c r="AA638" s="5" t="n">
        <v>-9.981</v>
      </c>
      <c r="AB638" s="5" t="n">
        <v>12.467</v>
      </c>
      <c r="AC638" s="5" t="n">
        <v>0</v>
      </c>
      <c r="AD638" s="5" t="n">
        <v>1</v>
      </c>
      <c r="AE638" s="5" t="n">
        <v>22.477</v>
      </c>
      <c r="AF638" s="5" t="n">
        <v>4.423</v>
      </c>
      <c r="AG638" s="5" t="n">
        <v>-10.01</v>
      </c>
      <c r="AH638" s="5" t="n">
        <v>12.467</v>
      </c>
      <c r="AI638" s="5" t="n">
        <v>0</v>
      </c>
      <c r="AJ638" s="5" t="n">
        <v>1</v>
      </c>
      <c r="AK638" s="5" t="n">
        <v>24.12</v>
      </c>
      <c r="AL638" s="5" t="n">
        <v>11.838</v>
      </c>
      <c r="AM638" s="5" t="n">
        <v>-12.784</v>
      </c>
      <c r="AN638" s="5" t="n">
        <v>13.944</v>
      </c>
      <c r="AO638" s="5" t="n">
        <v>0.23</v>
      </c>
      <c r="AP638" s="5" t="n">
        <v>1</v>
      </c>
      <c r="AQ638" s="5" t="n">
        <v>0.68</v>
      </c>
      <c r="AR638" s="5" t="n">
        <v>0.124</v>
      </c>
      <c r="AS638" s="5" t="n">
        <v>0.474</v>
      </c>
      <c r="AT638" s="5" t="n">
        <v>1.42</v>
      </c>
      <c r="AU638" s="5" t="n">
        <v>0.23</v>
      </c>
      <c r="AV638" s="5" t="n">
        <v>1</v>
      </c>
      <c r="AW638" s="5" t="n">
        <v>0.668</v>
      </c>
      <c r="AX638" s="5" t="n">
        <v>0.129</v>
      </c>
      <c r="AY638" s="5" t="n">
        <v>0.468</v>
      </c>
      <c r="AZ638" s="5" t="n">
        <v>1.397</v>
      </c>
      <c r="BA638" s="5" t="n">
        <v>0.23</v>
      </c>
      <c r="BB638" s="5" t="n">
        <v>1</v>
      </c>
      <c r="BC638" s="5" t="n">
        <v>0.439</v>
      </c>
      <c r="BD638" s="5" t="n">
        <v>0.114</v>
      </c>
      <c r="BE638" s="5" t="n">
        <v>0.126</v>
      </c>
      <c r="BF638" s="5" t="n">
        <v>0.695</v>
      </c>
      <c r="BG638" s="5" t="n">
        <v>0.23</v>
      </c>
      <c r="BH638" s="5" t="n">
        <v>1</v>
      </c>
      <c r="BI638" s="5" t="n">
        <v>0.505</v>
      </c>
      <c r="BJ638" s="5" t="n">
        <v>0.114</v>
      </c>
      <c r="BK638" s="5" t="n">
        <v>-0.018</v>
      </c>
      <c r="BL638" s="5" t="n">
        <v>0.599</v>
      </c>
      <c r="BM638" s="5" t="n">
        <v>0.23</v>
      </c>
      <c r="BN638" s="5" t="n">
        <v>1</v>
      </c>
      <c r="BO638" s="5" t="n">
        <v>0</v>
      </c>
      <c r="BP638" s="5" t="n">
        <v>0.041</v>
      </c>
      <c r="BQ638" s="5" t="n">
        <v>0.107</v>
      </c>
      <c r="BR638" s="5" t="n">
        <v>0</v>
      </c>
      <c r="BS638" s="5" t="n">
        <v>1</v>
      </c>
      <c r="BT638" s="5" t="n">
        <v>0</v>
      </c>
      <c r="BU638" s="5" t="n">
        <v>0.043</v>
      </c>
      <c r="BV638" s="5" t="n">
        <v>0.185</v>
      </c>
      <c r="BW638" s="5" t="n">
        <v>0.23</v>
      </c>
      <c r="BX638" s="5" t="n">
        <v>1</v>
      </c>
      <c r="BY638" s="5" t="n">
        <v>11.787</v>
      </c>
      <c r="BZ638" s="5" t="n">
        <v>0</v>
      </c>
      <c r="CA638" s="5" t="n">
        <v>11.787</v>
      </c>
      <c r="CB638" s="5" t="n">
        <v>0</v>
      </c>
      <c r="CC638" s="5" t="n">
        <v>78.125</v>
      </c>
      <c r="CD638" s="5" t="n">
        <v>7.95</v>
      </c>
      <c r="CE638" s="5" t="n">
        <v>49.868</v>
      </c>
      <c r="CF638" s="5" t="n">
        <v>157.432</v>
      </c>
      <c r="CG638" s="5" t="n">
        <v>0.23</v>
      </c>
      <c r="CH638" s="5" t="n">
        <v>1</v>
      </c>
      <c r="CI638" s="5" t="n">
        <v>0</v>
      </c>
      <c r="CJ638" s="5" t="n">
        <v>0</v>
      </c>
      <c r="CK638" s="5" t="n">
        <v>0</v>
      </c>
      <c r="CL638" s="5" t="n">
        <v>0.8179999999999999</v>
      </c>
      <c r="CM638" s="5" t="n">
        <v>0</v>
      </c>
      <c r="CN638" s="5" t="n">
        <v>0.008999999999999999</v>
      </c>
      <c r="CO638" s="5" t="n">
        <v>0</v>
      </c>
      <c r="CP638" s="5" t="n">
        <v>0</v>
      </c>
      <c r="CQ638" s="5" t="n">
        <v>1.198</v>
      </c>
      <c r="CR638" s="5" t="n">
        <v>0</v>
      </c>
      <c r="CS638" s="5" t="n">
        <v>3.981</v>
      </c>
      <c r="CT638" s="5" t="n">
        <v>3.456</v>
      </c>
      <c r="CU638" s="5" t="n">
        <v>12.489</v>
      </c>
    </row>
    <row r="639">
      <c r="A639" s="5" t="inlineStr">
        <is>
          <t>POL2022</t>
        </is>
      </c>
      <c r="B639" s="5" t="inlineStr">
        <is>
          <t>POL</t>
        </is>
      </c>
      <c r="C639" s="5" t="inlineStr">
        <is>
          <t>POL</t>
        </is>
      </c>
      <c r="D639" s="5" t="inlineStr">
        <is>
          <t>Poland</t>
        </is>
      </c>
      <c r="E639" s="5" t="n">
        <v>2022</v>
      </c>
      <c r="F639" s="5" t="n">
        <v>0.23</v>
      </c>
      <c r="G639" s="5" t="n">
        <v>14.057</v>
      </c>
      <c r="H639" s="5" t="n">
        <v>2.183</v>
      </c>
      <c r="I639" s="5" t="n">
        <v>8.353999999999999</v>
      </c>
      <c r="J639" s="5" t="n">
        <v>22.411</v>
      </c>
      <c r="K639" s="5" t="n">
        <v>0</v>
      </c>
      <c r="L639" s="5" t="n">
        <v>1</v>
      </c>
      <c r="M639" s="5" t="n">
        <v>11.627</v>
      </c>
      <c r="N639" s="5" t="n">
        <v>4.801</v>
      </c>
      <c r="O639" s="5" t="n">
        <v>8.336</v>
      </c>
      <c r="P639" s="5" t="n">
        <v>19.963</v>
      </c>
      <c r="Q639" s="5" t="n">
        <v>0</v>
      </c>
      <c r="R639" s="5" t="n">
        <v>1</v>
      </c>
      <c r="S639" s="5" t="n">
        <v>19.43</v>
      </c>
      <c r="T639" s="5" t="n">
        <v>9.516</v>
      </c>
      <c r="U639" s="5" t="n">
        <v>0.034</v>
      </c>
      <c r="V639" s="5" t="n">
        <v>23.941</v>
      </c>
      <c r="W639" s="5" t="n">
        <v>0.23</v>
      </c>
      <c r="X639" s="5" t="n">
        <v>1</v>
      </c>
      <c r="Y639" s="5" t="n">
        <v>39.508</v>
      </c>
      <c r="Z639" s="5" t="n">
        <v>4.145</v>
      </c>
      <c r="AA639" s="5" t="n">
        <v>-9.605</v>
      </c>
      <c r="AB639" s="5" t="n">
        <v>29.903</v>
      </c>
      <c r="AC639" s="5" t="n">
        <v>0</v>
      </c>
      <c r="AD639" s="5" t="n">
        <v>1</v>
      </c>
      <c r="AE639" s="5" t="n">
        <v>39.629</v>
      </c>
      <c r="AF639" s="5" t="n">
        <v>7.346</v>
      </c>
      <c r="AG639" s="5" t="n">
        <v>-9.725</v>
      </c>
      <c r="AH639" s="5" t="n">
        <v>29.903</v>
      </c>
      <c r="AI639" s="5" t="n">
        <v>0</v>
      </c>
      <c r="AJ639" s="5" t="n">
        <v>1</v>
      </c>
      <c r="AK639" s="5" t="n">
        <v>41.82</v>
      </c>
      <c r="AL639" s="5" t="n">
        <v>19.971</v>
      </c>
      <c r="AM639" s="5" t="n">
        <v>-27.066</v>
      </c>
      <c r="AN639" s="5" t="n">
        <v>16.119</v>
      </c>
      <c r="AO639" s="5" t="n">
        <v>0.093</v>
      </c>
      <c r="AP639" s="5" t="n">
        <v>1</v>
      </c>
      <c r="AQ639" s="5" t="n">
        <v>1.039</v>
      </c>
      <c r="AR639" s="5" t="n">
        <v>0.149</v>
      </c>
      <c r="AS639" s="5" t="n">
        <v>0.33</v>
      </c>
      <c r="AT639" s="5" t="n">
        <v>1.496</v>
      </c>
      <c r="AU639" s="5" t="n">
        <v>0.093</v>
      </c>
      <c r="AV639" s="5" t="n">
        <v>1</v>
      </c>
      <c r="AW639" s="5" t="n">
        <v>1.181</v>
      </c>
      <c r="AX639" s="5" t="n">
        <v>0.153</v>
      </c>
      <c r="AY639" s="5" t="n">
        <v>0.301</v>
      </c>
      <c r="AZ639" s="5" t="n">
        <v>1.619</v>
      </c>
      <c r="BA639" s="5" t="n">
        <v>0.093</v>
      </c>
      <c r="BB639" s="5" t="n">
        <v>1</v>
      </c>
      <c r="BC639" s="5" t="n">
        <v>0.598</v>
      </c>
      <c r="BD639" s="5" t="n">
        <v>0.123</v>
      </c>
      <c r="BE639" s="5" t="n">
        <v>0.07099999999999999</v>
      </c>
      <c r="BF639" s="5" t="n">
        <v>0.731</v>
      </c>
      <c r="BG639" s="5" t="n">
        <v>0.093</v>
      </c>
      <c r="BH639" s="5" t="n">
        <v>1</v>
      </c>
      <c r="BI639" s="5" t="n">
        <v>0.612</v>
      </c>
      <c r="BJ639" s="5" t="n">
        <v>0.123</v>
      </c>
      <c r="BK639" s="5" t="n">
        <v>0.292</v>
      </c>
      <c r="BL639" s="5" t="n">
        <v>1.112</v>
      </c>
      <c r="BM639" s="5" t="n">
        <v>0.23</v>
      </c>
      <c r="BN639" s="5" t="n">
        <v>1</v>
      </c>
      <c r="BO639" s="5" t="n">
        <v>0</v>
      </c>
      <c r="BP639" s="5" t="n">
        <v>0.052</v>
      </c>
      <c r="BQ639" s="5" t="n">
        <v>0.145</v>
      </c>
      <c r="BR639" s="5" t="n">
        <v>0</v>
      </c>
      <c r="BS639" s="5" t="n">
        <v>1</v>
      </c>
      <c r="BT639" s="5" t="n">
        <v>0</v>
      </c>
      <c r="BU639" s="5" t="n">
        <v>0.051</v>
      </c>
      <c r="BV639" s="5" t="n">
        <v>0.162</v>
      </c>
      <c r="BW639" s="5" t="n">
        <v>0.065</v>
      </c>
      <c r="BX639" s="5" t="n">
        <v>1</v>
      </c>
      <c r="BY639" s="5" t="n">
        <v>12.729</v>
      </c>
      <c r="BZ639" s="5" t="n">
        <v>0</v>
      </c>
      <c r="CA639" s="5" t="n">
        <v>12.729</v>
      </c>
      <c r="CB639" s="5" t="n">
        <v>0</v>
      </c>
      <c r="CC639" s="5" t="n">
        <v>97.90000000000001</v>
      </c>
      <c r="CD639" s="5" t="n">
        <v>7.95</v>
      </c>
      <c r="CE639" s="5" t="n">
        <v>124.162</v>
      </c>
      <c r="CF639" s="5" t="n">
        <v>273.136</v>
      </c>
      <c r="CG639" s="5" t="n">
        <v>0.23</v>
      </c>
      <c r="CH639" s="5" t="n">
        <v>1</v>
      </c>
      <c r="CI639" s="5" t="n">
        <v>0</v>
      </c>
      <c r="CJ639" s="5" t="n">
        <v>0</v>
      </c>
      <c r="CK639" s="5" t="n">
        <v>0</v>
      </c>
      <c r="CL639" s="5" t="n">
        <v>0.483</v>
      </c>
      <c r="CM639" s="5" t="n">
        <v>20</v>
      </c>
      <c r="CN639" s="5" t="n">
        <v>0.01</v>
      </c>
      <c r="CO639" s="5" t="n">
        <v>0</v>
      </c>
      <c r="CP639" s="5" t="n">
        <v>0</v>
      </c>
      <c r="CQ639" s="5" t="n">
        <v>1.294</v>
      </c>
      <c r="CR639" s="5" t="n">
        <v>0</v>
      </c>
      <c r="CS639" s="5" t="n">
        <v>4.299</v>
      </c>
      <c r="CT639" s="5" t="n">
        <v>9.295</v>
      </c>
      <c r="CU639" s="5" t="n">
        <v>29.459</v>
      </c>
    </row>
    <row r="640">
      <c r="A640" s="5" t="inlineStr">
        <is>
          <t>POL2023</t>
        </is>
      </c>
      <c r="B640" s="5" t="inlineStr">
        <is>
          <t>POL</t>
        </is>
      </c>
      <c r="C640" s="5" t="inlineStr">
        <is>
          <t>POL</t>
        </is>
      </c>
      <c r="D640" s="5" t="inlineStr">
        <is>
          <t>Poland</t>
        </is>
      </c>
      <c r="E640" s="5" t="n">
        <v>2023</v>
      </c>
      <c r="F640" s="5" t="n">
        <v>0.23</v>
      </c>
      <c r="G640" s="5" t="n">
        <v>7.369</v>
      </c>
      <c r="H640" s="5" t="n">
        <v>1.678</v>
      </c>
      <c r="I640" s="5" t="n">
        <v>9.680999999999999</v>
      </c>
      <c r="J640" s="5" t="n">
        <v>17.05</v>
      </c>
      <c r="K640" s="5" t="n">
        <v>0</v>
      </c>
      <c r="L640" s="5" t="n">
        <v>1</v>
      </c>
      <c r="M640" s="5" t="n">
        <v>9.352</v>
      </c>
      <c r="N640" s="5" t="n">
        <v>4.638</v>
      </c>
      <c r="O640" s="5" t="n">
        <v>9.641</v>
      </c>
      <c r="P640" s="5" t="n">
        <v>18.993</v>
      </c>
      <c r="Q640" s="5" t="n">
        <v>0</v>
      </c>
      <c r="R640" s="5" t="n">
        <v>1</v>
      </c>
      <c r="S640" s="5" t="n">
        <v>13.645</v>
      </c>
      <c r="T640" s="5" t="n">
        <v>8.557</v>
      </c>
      <c r="U640" s="5" t="n">
        <v>0.034</v>
      </c>
      <c r="V640" s="5" t="n">
        <v>16.825</v>
      </c>
      <c r="W640" s="5" t="n">
        <v>0.23</v>
      </c>
      <c r="X640" s="5" t="n">
        <v>1</v>
      </c>
      <c r="Y640" s="5" t="n">
        <v>20.215</v>
      </c>
      <c r="Z640" s="5" t="n">
        <v>2.264</v>
      </c>
      <c r="AA640" s="5" t="n">
        <v>13.865</v>
      </c>
      <c r="AB640" s="5" t="n">
        <v>34.08</v>
      </c>
      <c r="AC640" s="5" t="n">
        <v>0</v>
      </c>
      <c r="AD640" s="5" t="n">
        <v>1</v>
      </c>
      <c r="AE640" s="5" t="n">
        <v>20.387</v>
      </c>
      <c r="AF640" s="5" t="n">
        <v>4.06</v>
      </c>
      <c r="AG640" s="5" t="n">
        <v>13.693</v>
      </c>
      <c r="AH640" s="5" t="n">
        <v>34.08</v>
      </c>
      <c r="AI640" s="5" t="n">
        <v>0</v>
      </c>
      <c r="AJ640" s="5" t="n">
        <v>1</v>
      </c>
      <c r="AK640" s="5" t="n">
        <v>22.885</v>
      </c>
      <c r="AL640" s="5" t="n">
        <v>11.336</v>
      </c>
      <c r="AM640" s="5" t="n">
        <v>-5.636</v>
      </c>
      <c r="AN640" s="5" t="n">
        <v>21.216</v>
      </c>
      <c r="AO640" s="5" t="n">
        <v>0.23</v>
      </c>
      <c r="AP640" s="5" t="n">
        <v>1</v>
      </c>
      <c r="AQ640" s="5" t="n">
        <v>0.8110000000000001</v>
      </c>
      <c r="AR640" s="5" t="n">
        <v>0.137</v>
      </c>
      <c r="AS640" s="5" t="n">
        <v>0.45</v>
      </c>
      <c r="AT640" s="5" t="n">
        <v>1.551</v>
      </c>
      <c r="AU640" s="5" t="n">
        <v>0.23</v>
      </c>
      <c r="AV640" s="5" t="n">
        <v>1</v>
      </c>
      <c r="AW640" s="5" t="n">
        <v>0.865</v>
      </c>
      <c r="AX640" s="5" t="n">
        <v>0.148</v>
      </c>
      <c r="AY640" s="5" t="n">
        <v>0.413</v>
      </c>
      <c r="AZ640" s="5" t="n">
        <v>1.573</v>
      </c>
      <c r="BA640" s="5" t="n">
        <v>0.23</v>
      </c>
      <c r="BB640" s="5" t="n">
        <v>1</v>
      </c>
      <c r="BC640" s="5" t="n">
        <v>0.535</v>
      </c>
      <c r="BD640" s="5" t="n">
        <v>0.129</v>
      </c>
      <c r="BE640" s="5" t="n">
        <v>0.048</v>
      </c>
      <c r="BF640" s="5" t="n">
        <v>0.718</v>
      </c>
      <c r="BG640" s="5" t="n">
        <v>0.23</v>
      </c>
      <c r="BH640" s="5" t="n">
        <v>1</v>
      </c>
      <c r="BI640" s="5" t="n">
        <v>0.579</v>
      </c>
      <c r="BJ640" s="5" t="n">
        <v>0.129</v>
      </c>
      <c r="BK640" s="5" t="n">
        <v>0.226</v>
      </c>
      <c r="BL640" s="5" t="n">
        <v>0.99</v>
      </c>
      <c r="BM640" s="5" t="n">
        <v>0.23</v>
      </c>
      <c r="BN640" s="5" t="n">
        <v>1</v>
      </c>
      <c r="BO640" s="5" t="n">
        <v>0</v>
      </c>
      <c r="BP640" s="5" t="n">
        <v>0.075</v>
      </c>
      <c r="BQ640" s="5" t="n">
        <v>0.216</v>
      </c>
      <c r="BR640" s="5" t="n">
        <v>0</v>
      </c>
      <c r="BS640" s="5" t="n">
        <v>1</v>
      </c>
      <c r="BT640" s="5" t="n">
        <v>0</v>
      </c>
      <c r="BU640" s="5" t="n">
        <v>0.06</v>
      </c>
      <c r="BV640" s="5" t="n">
        <v>0.213</v>
      </c>
      <c r="BW640" s="5" t="n">
        <v>0.23</v>
      </c>
      <c r="BX640" s="5" t="n">
        <v>1</v>
      </c>
      <c r="BY640" s="5" t="n">
        <v>13.254</v>
      </c>
      <c r="BZ640" s="5" t="n">
        <v>0</v>
      </c>
      <c r="CA640" s="5" t="n">
        <v>13.254</v>
      </c>
      <c r="CB640" s="5" t="n">
        <v>0</v>
      </c>
      <c r="CC640" s="5" t="n">
        <v>83.248</v>
      </c>
      <c r="CD640" s="5" t="n">
        <v>7.95</v>
      </c>
      <c r="CE640" s="5" t="n">
        <v>124.29</v>
      </c>
      <c r="CF640" s="5" t="n">
        <v>255.271</v>
      </c>
      <c r="CG640" s="5" t="n">
        <v>0.23</v>
      </c>
      <c r="CH640" s="5" t="n">
        <v>1</v>
      </c>
      <c r="CI640" s="5" t="n">
        <v>0</v>
      </c>
      <c r="CJ640" s="5" t="n">
        <v>0</v>
      </c>
      <c r="CK640" s="5" t="n">
        <v>0</v>
      </c>
      <c r="CL640" s="5" t="n">
        <v>0.503</v>
      </c>
      <c r="CM640" s="5" t="n">
        <v>20.826</v>
      </c>
      <c r="CN640" s="5" t="n">
        <v>0.01</v>
      </c>
      <c r="CO640" s="5" t="n">
        <v>0</v>
      </c>
      <c r="CP640" s="5" t="n">
        <v>0</v>
      </c>
      <c r="CQ640" s="5" t="n">
        <v>1.348</v>
      </c>
      <c r="CR640" s="5" t="n">
        <v>0</v>
      </c>
      <c r="CS640" s="5" t="n">
        <v>4.477</v>
      </c>
      <c r="CT640" s="5" t="n">
        <v>7.086</v>
      </c>
      <c r="CU640" s="5" t="n">
        <v>10.115</v>
      </c>
    </row>
    <row r="641">
      <c r="A641" s="5" t="inlineStr">
        <is>
          <t>POL2024</t>
        </is>
      </c>
      <c r="B641" s="5" t="inlineStr">
        <is>
          <t>POL</t>
        </is>
      </c>
      <c r="C641" s="5" t="inlineStr">
        <is>
          <t>POL</t>
        </is>
      </c>
      <c r="D641" s="5" t="inlineStr">
        <is>
          <t>Poland</t>
        </is>
      </c>
      <c r="E641" s="5" t="n">
        <v>2024</v>
      </c>
      <c r="F641" s="5" t="n">
        <v>0.23</v>
      </c>
      <c r="G641" s="5" t="n">
        <v>6.682</v>
      </c>
      <c r="H641" s="5" t="n">
        <v>1.693</v>
      </c>
      <c r="I641" s="5" t="n">
        <v>6.347</v>
      </c>
      <c r="J641" s="5" t="n">
        <v>13.03</v>
      </c>
      <c r="K641" s="5" t="n">
        <v>0</v>
      </c>
      <c r="L641" s="5" t="n">
        <v>1</v>
      </c>
      <c r="M641" s="5" t="n">
        <v>8.462</v>
      </c>
      <c r="N641" s="5" t="n">
        <v>4.61</v>
      </c>
      <c r="O641" s="5" t="n">
        <v>6.358</v>
      </c>
      <c r="P641" s="5" t="n">
        <v>14.82</v>
      </c>
      <c r="Q641" s="5" t="n">
        <v>0</v>
      </c>
      <c r="R641" s="5" t="n">
        <v>1</v>
      </c>
      <c r="S641" s="5" t="n">
        <v>13.232</v>
      </c>
      <c r="T641" s="5" t="n">
        <v>8.76</v>
      </c>
      <c r="U641" s="5" t="n">
        <v>0.035</v>
      </c>
      <c r="V641" s="5" t="n">
        <v>16.318</v>
      </c>
      <c r="W641" s="5" t="n">
        <v>0.23</v>
      </c>
      <c r="X641" s="5" t="n">
        <v>1</v>
      </c>
      <c r="Y641" s="5" t="n">
        <v>21.212</v>
      </c>
      <c r="Z641" s="5" t="n">
        <v>2.678</v>
      </c>
      <c r="AA641" s="5" t="n">
        <v>4.393</v>
      </c>
      <c r="AB641" s="5" t="n">
        <v>25.605</v>
      </c>
      <c r="AC641" s="5" t="n">
        <v>0</v>
      </c>
      <c r="AD641" s="5" t="n">
        <v>1</v>
      </c>
      <c r="AE641" s="5" t="n">
        <v>21.653</v>
      </c>
      <c r="AF641" s="5" t="n">
        <v>4.743</v>
      </c>
      <c r="AG641" s="5" t="n">
        <v>3.952</v>
      </c>
      <c r="AH641" s="5" t="n">
        <v>25.605</v>
      </c>
      <c r="AI641" s="5" t="n">
        <v>0</v>
      </c>
      <c r="AJ641" s="5" t="n">
        <v>1</v>
      </c>
      <c r="AK641" s="5" t="n">
        <v>23.304</v>
      </c>
      <c r="AL641" s="5" t="n">
        <v>11.853</v>
      </c>
      <c r="AM641" s="5" t="n">
        <v>-4.083</v>
      </c>
      <c r="AN641" s="5" t="n">
        <v>23.641</v>
      </c>
      <c r="AO641" s="5" t="n">
        <v>0.23</v>
      </c>
      <c r="AP641" s="5" t="n">
        <v>1</v>
      </c>
      <c r="AQ641" s="5" t="n">
        <v>0.789</v>
      </c>
      <c r="AR641" s="5" t="n">
        <v>0.143</v>
      </c>
      <c r="AS641" s="5" t="n">
        <v>0.512</v>
      </c>
      <c r="AT641" s="5" t="n">
        <v>1.601</v>
      </c>
      <c r="AU641" s="5" t="n">
        <v>0.23</v>
      </c>
      <c r="AV641" s="5" t="n">
        <v>1</v>
      </c>
      <c r="AW641" s="5" t="n">
        <v>0.822</v>
      </c>
      <c r="AX641" s="5" t="n">
        <v>0.151</v>
      </c>
      <c r="AY641" s="5" t="n">
        <v>0.494</v>
      </c>
      <c r="AZ641" s="5" t="n">
        <v>1.618</v>
      </c>
      <c r="BA641" s="5" t="n">
        <v>0.23</v>
      </c>
      <c r="BB641" s="5" t="n">
        <v>1</v>
      </c>
      <c r="BC641" s="5" t="n">
        <v>0.513</v>
      </c>
      <c r="BD641" s="5" t="n">
        <v>0.132</v>
      </c>
      <c r="BE641" s="5" t="n">
        <v>0.079</v>
      </c>
      <c r="BF641" s="5" t="n">
        <v>0.728</v>
      </c>
      <c r="BG641" s="5" t="n">
        <v>0.23</v>
      </c>
      <c r="BH641" s="5" t="n">
        <v>1</v>
      </c>
      <c r="BI641" s="5" t="n">
        <v>0.591</v>
      </c>
      <c r="BJ641" s="5" t="n">
        <v>0.132</v>
      </c>
      <c r="BK641" s="5" t="n">
        <v>0.191</v>
      </c>
      <c r="BL641" s="5" t="n">
        <v>0.963</v>
      </c>
      <c r="BM641" s="5" t="n">
        <v>0.23</v>
      </c>
      <c r="BN641" s="5" t="n">
        <v>1</v>
      </c>
      <c r="BO641" s="5" t="n">
        <v>0</v>
      </c>
      <c r="BP641" s="5" t="n">
        <v>0.067</v>
      </c>
      <c r="BQ641" s="5" t="n">
        <v>0.182</v>
      </c>
      <c r="BR641" s="5" t="n">
        <v>0</v>
      </c>
      <c r="BS641" s="5" t="n">
        <v>1</v>
      </c>
      <c r="BT641" s="5" t="n">
        <v>0</v>
      </c>
      <c r="BU641" s="5" t="n">
        <v>0.06900000000000001</v>
      </c>
      <c r="BV641" s="5" t="n">
        <v>0.247</v>
      </c>
      <c r="BW641" s="5" t="n">
        <v>0.23</v>
      </c>
      <c r="BX641" s="5" t="n">
        <v>1</v>
      </c>
      <c r="BY641" s="5" t="n">
        <v>13.646</v>
      </c>
      <c r="BZ641" s="5" t="n">
        <v>0</v>
      </c>
      <c r="CA641" s="5" t="n">
        <v>13.646</v>
      </c>
      <c r="CB641" s="5" t="n">
        <v>0</v>
      </c>
      <c r="CC641" s="5" t="n">
        <v>82.58799999999999</v>
      </c>
      <c r="CD641" s="5" t="n">
        <v>7.95</v>
      </c>
      <c r="CE641" s="5" t="n">
        <v>102.469</v>
      </c>
      <c r="CF641" s="5" t="n">
        <v>227.62</v>
      </c>
      <c r="CG641" s="5" t="n">
        <v>0.23</v>
      </c>
      <c r="CH641" s="5" t="n">
        <v>1</v>
      </c>
      <c r="CI641" s="5" t="n">
        <v>0</v>
      </c>
      <c r="CJ641" s="5" t="n">
        <v>0</v>
      </c>
      <c r="CK641" s="5" t="n">
        <v>0</v>
      </c>
      <c r="CL641" s="5" t="n">
        <v>1.8</v>
      </c>
      <c r="CM641" s="5" t="n">
        <v>21.44</v>
      </c>
      <c r="CN641" s="5" t="n">
        <v>0.01</v>
      </c>
      <c r="CO641" s="5" t="n">
        <v>0</v>
      </c>
      <c r="CP641" s="5" t="n">
        <v>0</v>
      </c>
      <c r="CQ641" s="5" t="n">
        <v>1.387</v>
      </c>
      <c r="CR641" s="5" t="n">
        <v>0</v>
      </c>
      <c r="CS641" s="5" t="n">
        <v>4.609</v>
      </c>
      <c r="CT641" s="5" t="n">
        <v>4.705</v>
      </c>
      <c r="CU641" s="5" t="n">
        <v>8.551</v>
      </c>
    </row>
    <row r="642">
      <c r="A642" s="5" t="inlineStr">
        <is>
          <t>PRT2021</t>
        </is>
      </c>
      <c r="B642" s="5" t="inlineStr">
        <is>
          <t>PRT</t>
        </is>
      </c>
      <c r="C642" s="5" t="inlineStr">
        <is>
          <t>PRT</t>
        </is>
      </c>
      <c r="D642" s="5" t="inlineStr">
        <is>
          <t>Portugal</t>
        </is>
      </c>
      <c r="E642" s="5" t="n">
        <v>2021</v>
      </c>
      <c r="F642" s="5" t="n">
        <v>0.23</v>
      </c>
      <c r="G642" s="5" t="n">
        <v>3.432</v>
      </c>
      <c r="H642" s="5" t="n">
        <v>0.751</v>
      </c>
      <c r="I642" s="5" t="n">
        <v>1.422</v>
      </c>
      <c r="J642" s="5" t="n">
        <v>4.854</v>
      </c>
      <c r="K642" s="5" t="n">
        <v>0</v>
      </c>
      <c r="L642" s="5" t="n">
        <v>1</v>
      </c>
      <c r="M642" s="5" t="n">
        <v>6.871</v>
      </c>
      <c r="N642" s="5" t="n">
        <v>3.114</v>
      </c>
      <c r="O642" s="5" t="n">
        <v>2.495</v>
      </c>
      <c r="P642" s="5" t="n">
        <v>9.366</v>
      </c>
      <c r="Q642" s="5" t="n">
        <v>0</v>
      </c>
      <c r="R642" s="5" t="n">
        <v>1</v>
      </c>
      <c r="S642" s="5" t="n">
        <v>5.808</v>
      </c>
      <c r="T642" s="5" t="n">
        <v>3.586</v>
      </c>
      <c r="U642" s="5" t="n">
        <v>1.183</v>
      </c>
      <c r="V642" s="5" t="n">
        <v>8.599</v>
      </c>
      <c r="W642" s="5" t="n">
        <v>0.23</v>
      </c>
      <c r="X642" s="5" t="n">
        <v>1</v>
      </c>
      <c r="Y642" s="5" t="n">
        <v>11.872</v>
      </c>
      <c r="Z642" s="5" t="n">
        <v>1.311</v>
      </c>
      <c r="AA642" s="5" t="n">
        <v>-1.571</v>
      </c>
      <c r="AB642" s="5" t="n">
        <v>10.301</v>
      </c>
      <c r="AC642" s="5" t="n">
        <v>0</v>
      </c>
      <c r="AD642" s="5" t="n">
        <v>1</v>
      </c>
      <c r="AE642" s="5" t="n">
        <v>11.828</v>
      </c>
      <c r="AF642" s="5" t="n">
        <v>2.328</v>
      </c>
      <c r="AG642" s="5" t="n">
        <v>-1.528</v>
      </c>
      <c r="AH642" s="5" t="n">
        <v>10.301</v>
      </c>
      <c r="AI642" s="5" t="n">
        <v>0</v>
      </c>
      <c r="AJ642" s="5" t="n">
        <v>1</v>
      </c>
      <c r="AK642" s="5" t="n">
        <v>21.934</v>
      </c>
      <c r="AL642" s="5" t="n">
        <v>10.765</v>
      </c>
      <c r="AM642" s="5" t="n">
        <v>-1.437</v>
      </c>
      <c r="AN642" s="5" t="n">
        <v>25.21</v>
      </c>
      <c r="AO642" s="5" t="n">
        <v>0.23</v>
      </c>
      <c r="AP642" s="5" t="n">
        <v>1</v>
      </c>
      <c r="AQ642" s="5" t="n">
        <v>0.619</v>
      </c>
      <c r="AR642" s="5" t="n">
        <v>0.114</v>
      </c>
      <c r="AS642" s="5" t="n">
        <v>0.9399999999999999</v>
      </c>
      <c r="AT642" s="5" t="n">
        <v>1.918</v>
      </c>
      <c r="AU642" s="5" t="n">
        <v>0.23</v>
      </c>
      <c r="AV642" s="5" t="n">
        <v>1</v>
      </c>
      <c r="AW642" s="5" t="n">
        <v>0.599</v>
      </c>
      <c r="AX642" s="5" t="n">
        <v>0.114</v>
      </c>
      <c r="AY642" s="5" t="n">
        <v>0.772</v>
      </c>
      <c r="AZ642" s="5" t="n">
        <v>1.687</v>
      </c>
      <c r="BA642" s="5" t="n">
        <v>0.23</v>
      </c>
      <c r="BB642" s="5" t="n">
        <v>1</v>
      </c>
      <c r="BC642" s="5" t="n">
        <v>0.439</v>
      </c>
      <c r="BD642" s="5" t="n">
        <v>0.114</v>
      </c>
      <c r="BE642" s="5" t="n">
        <v>0.258</v>
      </c>
      <c r="BF642" s="5" t="n">
        <v>0.857</v>
      </c>
      <c r="BG642" s="5" t="n">
        <v>0.23</v>
      </c>
      <c r="BH642" s="5" t="n">
        <v>1</v>
      </c>
      <c r="BI642" s="5" t="n">
        <v>0.505</v>
      </c>
      <c r="BJ642" s="5" t="n">
        <v>0.114</v>
      </c>
      <c r="BK642" s="5" t="n">
        <v>0.668</v>
      </c>
      <c r="BL642" s="5" t="n">
        <v>1.442</v>
      </c>
      <c r="BM642" s="5" t="n">
        <v>0.23</v>
      </c>
      <c r="BN642" s="5" t="n">
        <v>1</v>
      </c>
      <c r="BO642" s="5" t="n">
        <v>0</v>
      </c>
      <c r="BP642" s="5" t="n">
        <v>0.028</v>
      </c>
      <c r="BQ642" s="5" t="n">
        <v>0.127</v>
      </c>
      <c r="BR642" s="5" t="n">
        <v>0</v>
      </c>
      <c r="BS642" s="5" t="n">
        <v>1</v>
      </c>
      <c r="BT642" s="5" t="n">
        <v>0</v>
      </c>
      <c r="BU642" s="5" t="n">
        <v>0.074</v>
      </c>
      <c r="BV642" s="5" t="n">
        <v>0.252</v>
      </c>
      <c r="BW642" s="5" t="n">
        <v>0.23</v>
      </c>
      <c r="BX642" s="5" t="n">
        <v>0.667</v>
      </c>
      <c r="BY642" s="5" t="n">
        <v>11.787</v>
      </c>
      <c r="BZ642" s="5" t="n">
        <v>0</v>
      </c>
      <c r="CA642" s="5" t="n">
        <v>11.787</v>
      </c>
      <c r="CB642" s="5" t="n">
        <v>0</v>
      </c>
      <c r="CC642" s="5" t="n">
        <v>78.125</v>
      </c>
      <c r="CD642" s="5" t="n">
        <v>7.95</v>
      </c>
      <c r="CE642" s="5" t="n">
        <v>113.66</v>
      </c>
      <c r="CF642" s="5" t="n">
        <v>235.895</v>
      </c>
      <c r="CG642" s="5" t="n">
        <v>0.23</v>
      </c>
      <c r="CH642" s="5" t="n">
        <v>1</v>
      </c>
      <c r="CI642" s="5" t="n">
        <v>0</v>
      </c>
      <c r="CJ642" s="5" t="n">
        <v>0</v>
      </c>
      <c r="CK642" s="5" t="n">
        <v>0</v>
      </c>
      <c r="CL642" s="5" t="n">
        <v>0</v>
      </c>
      <c r="CM642" s="5" t="n">
        <v>0</v>
      </c>
      <c r="CN642" s="5" t="n">
        <v>0</v>
      </c>
      <c r="CO642" s="5" t="n">
        <v>0</v>
      </c>
      <c r="CP642" s="5" t="n">
        <v>0</v>
      </c>
      <c r="CQ642" s="5" t="n">
        <v>1.198</v>
      </c>
      <c r="CR642" s="5" t="n">
        <v>0</v>
      </c>
      <c r="CS642" s="5" t="n">
        <v>4.776</v>
      </c>
      <c r="CT642" s="5" t="n">
        <v>23.769</v>
      </c>
      <c r="CU642" s="5" t="n">
        <v>8.331</v>
      </c>
    </row>
    <row r="643">
      <c r="A643" s="5" t="inlineStr">
        <is>
          <t>PRT2022</t>
        </is>
      </c>
      <c r="B643" s="5" t="inlineStr">
        <is>
          <t>PRT</t>
        </is>
      </c>
      <c r="C643" s="5" t="inlineStr">
        <is>
          <t>PRT</t>
        </is>
      </c>
      <c r="D643" s="5" t="inlineStr">
        <is>
          <t>Portugal</t>
        </is>
      </c>
      <c r="E643" s="5" t="n">
        <v>2022</v>
      </c>
      <c r="F643" s="5" t="n">
        <v>0.23</v>
      </c>
      <c r="G643" s="5" t="n">
        <v>3.23</v>
      </c>
      <c r="H643" s="5" t="n">
        <v>0.502</v>
      </c>
      <c r="I643" s="5" t="n">
        <v>8.583</v>
      </c>
      <c r="J643" s="5" t="n">
        <v>11.813</v>
      </c>
      <c r="K643" s="5" t="n">
        <v>0</v>
      </c>
      <c r="L643" s="5" t="n">
        <v>1</v>
      </c>
      <c r="M643" s="5" t="n">
        <v>7.063</v>
      </c>
      <c r="N643" s="5" t="n">
        <v>2.917</v>
      </c>
      <c r="O643" s="5" t="n">
        <v>8.829000000000001</v>
      </c>
      <c r="P643" s="5" t="n">
        <v>15.892</v>
      </c>
      <c r="Q643" s="5" t="n">
        <v>0</v>
      </c>
      <c r="R643" s="5" t="n">
        <v>1</v>
      </c>
      <c r="S643" s="5" t="n">
        <v>68.13500000000001</v>
      </c>
      <c r="T643" s="5" t="n">
        <v>7.408</v>
      </c>
      <c r="U643" s="5" t="n">
        <v>2.603</v>
      </c>
      <c r="V643" s="5" t="n">
        <v>85.55200000000001</v>
      </c>
      <c r="W643" s="5" t="n">
        <v>0.23</v>
      </c>
      <c r="X643" s="5" t="n">
        <v>1</v>
      </c>
      <c r="Y643" s="5" t="n">
        <v>24.702</v>
      </c>
      <c r="Z643" s="5" t="n">
        <v>2.591</v>
      </c>
      <c r="AA643" s="5" t="n">
        <v>4.965</v>
      </c>
      <c r="AB643" s="5" t="n">
        <v>29.666</v>
      </c>
      <c r="AC643" s="5" t="n">
        <v>0</v>
      </c>
      <c r="AD643" s="5" t="n">
        <v>1</v>
      </c>
      <c r="AE643" s="5" t="n">
        <v>24.749</v>
      </c>
      <c r="AF643" s="5" t="n">
        <v>4.588</v>
      </c>
      <c r="AG643" s="5" t="n">
        <v>4.917</v>
      </c>
      <c r="AH643" s="5" t="n">
        <v>29.666</v>
      </c>
      <c r="AI643" s="5" t="n">
        <v>0</v>
      </c>
      <c r="AJ643" s="5" t="n">
        <v>1</v>
      </c>
      <c r="AK643" s="5" t="n">
        <v>35.403</v>
      </c>
      <c r="AL643" s="5" t="n">
        <v>16.906</v>
      </c>
      <c r="AM643" s="5" t="n">
        <v>-10.27</v>
      </c>
      <c r="AN643" s="5" t="n">
        <v>30.914</v>
      </c>
      <c r="AO643" s="5" t="n">
        <v>0.23</v>
      </c>
      <c r="AP643" s="5" t="n">
        <v>1</v>
      </c>
      <c r="AQ643" s="5" t="n">
        <v>0.861</v>
      </c>
      <c r="AR643" s="5" t="n">
        <v>0.123</v>
      </c>
      <c r="AS643" s="5" t="n">
        <v>0.72</v>
      </c>
      <c r="AT643" s="5" t="n">
        <v>1.945</v>
      </c>
      <c r="AU643" s="5" t="n">
        <v>0.23</v>
      </c>
      <c r="AV643" s="5" t="n">
        <v>1</v>
      </c>
      <c r="AW643" s="5" t="n">
        <v>0.986</v>
      </c>
      <c r="AX643" s="5" t="n">
        <v>0.123</v>
      </c>
      <c r="AY643" s="5" t="n">
        <v>0.551</v>
      </c>
      <c r="AZ643" s="5" t="n">
        <v>1.891</v>
      </c>
      <c r="BA643" s="5" t="n">
        <v>0.23</v>
      </c>
      <c r="BB643" s="5" t="n">
        <v>1</v>
      </c>
      <c r="BC643" s="5" t="n">
        <v>0.598</v>
      </c>
      <c r="BD643" s="5" t="n">
        <v>0.123</v>
      </c>
      <c r="BE643" s="5" t="n">
        <v>0.168</v>
      </c>
      <c r="BF643" s="5" t="n">
        <v>0.9409999999999999</v>
      </c>
      <c r="BG643" s="5" t="n">
        <v>0.23</v>
      </c>
      <c r="BH643" s="5" t="n">
        <v>1</v>
      </c>
      <c r="BI643" s="5" t="n">
        <v>0.612</v>
      </c>
      <c r="BJ643" s="5" t="n">
        <v>0.123</v>
      </c>
      <c r="BK643" s="5" t="n">
        <v>0.874</v>
      </c>
      <c r="BL643" s="5" t="n">
        <v>1.828</v>
      </c>
      <c r="BM643" s="5" t="n">
        <v>0.23</v>
      </c>
      <c r="BN643" s="5" t="n">
        <v>1</v>
      </c>
      <c r="BO643" s="5" t="n">
        <v>0</v>
      </c>
      <c r="BP643" s="5" t="n">
        <v>-0.028</v>
      </c>
      <c r="BQ643" s="5" t="n">
        <v>0.152</v>
      </c>
      <c r="BR643" s="5" t="n">
        <v>0</v>
      </c>
      <c r="BS643" s="5" t="n">
        <v>1</v>
      </c>
      <c r="BT643" s="5" t="n">
        <v>0</v>
      </c>
      <c r="BU643" s="5" t="n">
        <v>0.002</v>
      </c>
      <c r="BV643" s="5" t="n">
        <v>0.233</v>
      </c>
      <c r="BW643" s="5" t="n">
        <v>0.23</v>
      </c>
      <c r="BX643" s="5" t="n">
        <v>0.667</v>
      </c>
      <c r="BY643" s="5" t="n">
        <v>12.729</v>
      </c>
      <c r="BZ643" s="5" t="n">
        <v>0</v>
      </c>
      <c r="CA643" s="5" t="n">
        <v>12.729</v>
      </c>
      <c r="CB643" s="5" t="n">
        <v>0</v>
      </c>
      <c r="CC643" s="5" t="n">
        <v>97.90000000000001</v>
      </c>
      <c r="CD643" s="5" t="n">
        <v>7.95</v>
      </c>
      <c r="CE643" s="5" t="n">
        <v>171.492</v>
      </c>
      <c r="CF643" s="5" t="n">
        <v>331.352</v>
      </c>
      <c r="CG643" s="5" t="n">
        <v>0.23</v>
      </c>
      <c r="CH643" s="5" t="n">
        <v>1</v>
      </c>
      <c r="CI643" s="5" t="n">
        <v>0</v>
      </c>
      <c r="CJ643" s="5" t="n">
        <v>0</v>
      </c>
      <c r="CK643" s="5" t="n">
        <v>0</v>
      </c>
      <c r="CL643" s="5" t="n">
        <v>0</v>
      </c>
      <c r="CM643" s="5" t="n">
        <v>0</v>
      </c>
      <c r="CN643" s="5" t="n">
        <v>0</v>
      </c>
      <c r="CO643" s="5" t="n">
        <v>0</v>
      </c>
      <c r="CP643" s="5" t="n">
        <v>0</v>
      </c>
      <c r="CQ643" s="5" t="n">
        <v>1.294</v>
      </c>
      <c r="CR643" s="5" t="n">
        <v>0</v>
      </c>
      <c r="CS643" s="5" t="n">
        <v>5.158</v>
      </c>
      <c r="CT643" s="5" t="n">
        <v>60.727</v>
      </c>
      <c r="CU643" s="5" t="n">
        <v>21.07</v>
      </c>
    </row>
    <row r="644">
      <c r="A644" s="5" t="inlineStr">
        <is>
          <t>PRT2023</t>
        </is>
      </c>
      <c r="B644" s="5" t="inlineStr">
        <is>
          <t>PRT</t>
        </is>
      </c>
      <c r="C644" s="5" t="inlineStr">
        <is>
          <t>PRT</t>
        </is>
      </c>
      <c r="D644" s="5" t="inlineStr">
        <is>
          <t>Portugal</t>
        </is>
      </c>
      <c r="E644" s="5" t="n">
        <v>2023</v>
      </c>
      <c r="F644" s="5" t="n">
        <v>0.23</v>
      </c>
      <c r="G644" s="5" t="n">
        <v>4.148</v>
      </c>
      <c r="H644" s="5" t="n">
        <v>0.945</v>
      </c>
      <c r="I644" s="5" t="n">
        <v>9.936999999999999</v>
      </c>
      <c r="J644" s="5" t="n">
        <v>14.084</v>
      </c>
      <c r="K644" s="5" t="n">
        <v>0</v>
      </c>
      <c r="L644" s="5" t="n">
        <v>1</v>
      </c>
      <c r="M644" s="5" t="n">
        <v>9.368</v>
      </c>
      <c r="N644" s="5" t="n">
        <v>4.646</v>
      </c>
      <c r="O644" s="5" t="n">
        <v>9.945</v>
      </c>
      <c r="P644" s="5" t="n">
        <v>19.313</v>
      </c>
      <c r="Q644" s="5" t="n">
        <v>0</v>
      </c>
      <c r="R644" s="5" t="n">
        <v>1</v>
      </c>
      <c r="S644" s="5" t="n">
        <v>30.904</v>
      </c>
      <c r="T644" s="5" t="n">
        <v>6.981</v>
      </c>
      <c r="U644" s="5" t="n">
        <v>2.279</v>
      </c>
      <c r="V644" s="5" t="n">
        <v>39.801</v>
      </c>
      <c r="W644" s="5" t="n">
        <v>0.23</v>
      </c>
      <c r="X644" s="5" t="n">
        <v>1</v>
      </c>
      <c r="Y644" s="5" t="n">
        <v>19.331</v>
      </c>
      <c r="Z644" s="5" t="n">
        <v>2.165</v>
      </c>
      <c r="AA644" s="5" t="n">
        <v>5.348</v>
      </c>
      <c r="AB644" s="5" t="n">
        <v>24.679</v>
      </c>
      <c r="AC644" s="5" t="n">
        <v>0</v>
      </c>
      <c r="AD644" s="5" t="n">
        <v>1</v>
      </c>
      <c r="AE644" s="5" t="n">
        <v>19.43</v>
      </c>
      <c r="AF644" s="5" t="n">
        <v>3.87</v>
      </c>
      <c r="AG644" s="5" t="n">
        <v>5.249</v>
      </c>
      <c r="AH644" s="5" t="n">
        <v>24.679</v>
      </c>
      <c r="AI644" s="5" t="n">
        <v>0</v>
      </c>
      <c r="AJ644" s="5" t="n">
        <v>1</v>
      </c>
      <c r="AK644" s="5" t="n">
        <v>30.389</v>
      </c>
      <c r="AL644" s="5" t="n">
        <v>15.054</v>
      </c>
      <c r="AM644" s="5" t="n">
        <v>3.557</v>
      </c>
      <c r="AN644" s="5" t="n">
        <v>41.754</v>
      </c>
      <c r="AO644" s="5" t="n">
        <v>0.23</v>
      </c>
      <c r="AP644" s="5" t="n">
        <v>1</v>
      </c>
      <c r="AQ644" s="5" t="n">
        <v>0.76</v>
      </c>
      <c r="AR644" s="5" t="n">
        <v>0.129</v>
      </c>
      <c r="AS644" s="5" t="n">
        <v>0.751</v>
      </c>
      <c r="AT644" s="5" t="n">
        <v>1.859</v>
      </c>
      <c r="AU644" s="5" t="n">
        <v>0.23</v>
      </c>
      <c r="AV644" s="5" t="n">
        <v>1</v>
      </c>
      <c r="AW644" s="5" t="n">
        <v>0.8110000000000001</v>
      </c>
      <c r="AX644" s="5" t="n">
        <v>0.129</v>
      </c>
      <c r="AY644" s="5" t="n">
        <v>0.586</v>
      </c>
      <c r="AZ644" s="5" t="n">
        <v>1.719</v>
      </c>
      <c r="BA644" s="5" t="n">
        <v>0.23</v>
      </c>
      <c r="BB644" s="5" t="n">
        <v>1</v>
      </c>
      <c r="BC644" s="5" t="n">
        <v>0.535</v>
      </c>
      <c r="BD644" s="5" t="n">
        <v>0.129</v>
      </c>
      <c r="BE644" s="5" t="n">
        <v>0.186</v>
      </c>
      <c r="BF644" s="5" t="n">
        <v>0.887</v>
      </c>
      <c r="BG644" s="5" t="n">
        <v>0.23</v>
      </c>
      <c r="BH644" s="5" t="n">
        <v>1</v>
      </c>
      <c r="BI644" s="5" t="n">
        <v>0.579</v>
      </c>
      <c r="BJ644" s="5" t="n">
        <v>0.129</v>
      </c>
      <c r="BK644" s="5" t="n">
        <v>0.821</v>
      </c>
      <c r="BL644" s="5" t="n">
        <v>1.722</v>
      </c>
      <c r="BM644" s="5" t="n">
        <v>0.23</v>
      </c>
      <c r="BN644" s="5" t="n">
        <v>1</v>
      </c>
      <c r="BO644" s="5" t="n">
        <v>0</v>
      </c>
      <c r="BP644" s="5" t="n">
        <v>-0.038</v>
      </c>
      <c r="BQ644" s="5" t="n">
        <v>0.094</v>
      </c>
      <c r="BR644" s="5" t="n">
        <v>0</v>
      </c>
      <c r="BS644" s="5" t="n">
        <v>1</v>
      </c>
      <c r="BT644" s="5" t="n">
        <v>0</v>
      </c>
      <c r="BU644" s="5" t="n">
        <v>-0.07099999999999999</v>
      </c>
      <c r="BV644" s="5" t="n">
        <v>0.236</v>
      </c>
      <c r="BW644" s="5" t="n">
        <v>0.23</v>
      </c>
      <c r="BX644" s="5" t="n">
        <v>0.667</v>
      </c>
      <c r="BY644" s="5" t="n">
        <v>13.254</v>
      </c>
      <c r="BZ644" s="5" t="n">
        <v>0</v>
      </c>
      <c r="CA644" s="5" t="n">
        <v>13.254</v>
      </c>
      <c r="CB644" s="5" t="n">
        <v>0</v>
      </c>
      <c r="CC644" s="5" t="n">
        <v>83.248</v>
      </c>
      <c r="CD644" s="5" t="n">
        <v>7.95</v>
      </c>
      <c r="CE644" s="5" t="n">
        <v>177.631</v>
      </c>
      <c r="CF644" s="5" t="n">
        <v>320.881</v>
      </c>
      <c r="CG644" s="5" t="n">
        <v>0.23</v>
      </c>
      <c r="CH644" s="5" t="n">
        <v>1</v>
      </c>
      <c r="CI644" s="5" t="n">
        <v>0</v>
      </c>
      <c r="CJ644" s="5" t="n">
        <v>0</v>
      </c>
      <c r="CK644" s="5" t="n">
        <v>0</v>
      </c>
      <c r="CL644" s="5" t="n">
        <v>0</v>
      </c>
      <c r="CM644" s="5" t="n">
        <v>0</v>
      </c>
      <c r="CN644" s="5" t="n">
        <v>0</v>
      </c>
      <c r="CO644" s="5" t="n">
        <v>0</v>
      </c>
      <c r="CP644" s="5" t="n">
        <v>0</v>
      </c>
      <c r="CQ644" s="5" t="n">
        <v>1.348</v>
      </c>
      <c r="CR644" s="5" t="n">
        <v>0</v>
      </c>
      <c r="CS644" s="5" t="n">
        <v>5.37</v>
      </c>
      <c r="CT644" s="5" t="n">
        <v>29.221</v>
      </c>
      <c r="CU644" s="5" t="n">
        <v>15.648</v>
      </c>
    </row>
    <row r="645">
      <c r="A645" s="5" t="inlineStr">
        <is>
          <t>PRT2024</t>
        </is>
      </c>
      <c r="B645" s="5" t="inlineStr">
        <is>
          <t>PRT</t>
        </is>
      </c>
      <c r="C645" s="5" t="inlineStr">
        <is>
          <t>PRT</t>
        </is>
      </c>
      <c r="D645" s="5" t="inlineStr">
        <is>
          <t>Portugal</t>
        </is>
      </c>
      <c r="E645" s="5" t="n">
        <v>2024</v>
      </c>
      <c r="F645" s="5" t="n">
        <v>0.23</v>
      </c>
      <c r="G645" s="5" t="n">
        <v>4.039</v>
      </c>
      <c r="H645" s="5" t="n">
        <v>1.023</v>
      </c>
      <c r="I645" s="5" t="n">
        <v>6.576</v>
      </c>
      <c r="J645" s="5" t="n">
        <v>10.615</v>
      </c>
      <c r="K645" s="5" t="n">
        <v>0</v>
      </c>
      <c r="L645" s="5" t="n">
        <v>1</v>
      </c>
      <c r="M645" s="5" t="n">
        <v>8.81</v>
      </c>
      <c r="N645" s="5" t="n">
        <v>4.799</v>
      </c>
      <c r="O645" s="5" t="n">
        <v>6.989</v>
      </c>
      <c r="P645" s="5" t="n">
        <v>15.799</v>
      </c>
      <c r="Q645" s="5" t="n">
        <v>0</v>
      </c>
      <c r="R645" s="5" t="n">
        <v>1</v>
      </c>
      <c r="S645" s="5" t="n">
        <v>25.97</v>
      </c>
      <c r="T645" s="5" t="n">
        <v>7.187</v>
      </c>
      <c r="U645" s="5" t="n">
        <v>2.358</v>
      </c>
      <c r="V645" s="5" t="n">
        <v>33.785</v>
      </c>
      <c r="W645" s="5" t="n">
        <v>0.23</v>
      </c>
      <c r="X645" s="5" t="n">
        <v>1</v>
      </c>
      <c r="Y645" s="5" t="n">
        <v>14.363</v>
      </c>
      <c r="Z645" s="5" t="n">
        <v>1.814</v>
      </c>
      <c r="AA645" s="5" t="n">
        <v>4.561</v>
      </c>
      <c r="AB645" s="5" t="n">
        <v>18.924</v>
      </c>
      <c r="AC645" s="5" t="n">
        <v>0</v>
      </c>
      <c r="AD645" s="5" t="n">
        <v>1</v>
      </c>
      <c r="AE645" s="5" t="n">
        <v>14.363</v>
      </c>
      <c r="AF645" s="5" t="n">
        <v>3.146</v>
      </c>
      <c r="AG645" s="5" t="n">
        <v>4.561</v>
      </c>
      <c r="AH645" s="5" t="n">
        <v>18.924</v>
      </c>
      <c r="AI645" s="5" t="n">
        <v>0</v>
      </c>
      <c r="AJ645" s="5" t="n">
        <v>1</v>
      </c>
      <c r="AK645" s="5" t="n">
        <v>26.173</v>
      </c>
      <c r="AL645" s="5" t="n">
        <v>13.312</v>
      </c>
      <c r="AM645" s="5" t="n">
        <v>5.094</v>
      </c>
      <c r="AN645" s="5" t="n">
        <v>38.458</v>
      </c>
      <c r="AO645" s="5" t="n">
        <v>0.23</v>
      </c>
      <c r="AP645" s="5" t="n">
        <v>1</v>
      </c>
      <c r="AQ645" s="5" t="n">
        <v>0.724</v>
      </c>
      <c r="AR645" s="5" t="n">
        <v>0.132</v>
      </c>
      <c r="AS645" s="5" t="n">
        <v>0.786</v>
      </c>
      <c r="AT645" s="5" t="n">
        <v>1.857</v>
      </c>
      <c r="AU645" s="5" t="n">
        <v>0.23</v>
      </c>
      <c r="AV645" s="5" t="n">
        <v>1</v>
      </c>
      <c r="AW645" s="5" t="n">
        <v>0.75</v>
      </c>
      <c r="AX645" s="5" t="n">
        <v>0.132</v>
      </c>
      <c r="AY645" s="5" t="n">
        <v>0.641</v>
      </c>
      <c r="AZ645" s="5" t="n">
        <v>1.711</v>
      </c>
      <c r="BA645" s="5" t="n">
        <v>0.23</v>
      </c>
      <c r="BB645" s="5" t="n">
        <v>1</v>
      </c>
      <c r="BC645" s="5" t="n">
        <v>0.513</v>
      </c>
      <c r="BD645" s="5" t="n">
        <v>0.132</v>
      </c>
      <c r="BE645" s="5" t="n">
        <v>0.238</v>
      </c>
      <c r="BF645" s="5" t="n">
        <v>0.924</v>
      </c>
      <c r="BG645" s="5" t="n">
        <v>0.23</v>
      </c>
      <c r="BH645" s="5" t="n">
        <v>1</v>
      </c>
      <c r="BI645" s="5" t="n">
        <v>0.591</v>
      </c>
      <c r="BJ645" s="5" t="n">
        <v>0.132</v>
      </c>
      <c r="BK645" s="5" t="n">
        <v>0.769</v>
      </c>
      <c r="BL645" s="5" t="n">
        <v>1.673</v>
      </c>
      <c r="BM645" s="5" t="n">
        <v>0.23</v>
      </c>
      <c r="BN645" s="5" t="n">
        <v>1</v>
      </c>
      <c r="BO645" s="5" t="n">
        <v>0</v>
      </c>
      <c r="BP645" s="5" t="n">
        <v>0.008</v>
      </c>
      <c r="BQ645" s="5" t="n">
        <v>0.108</v>
      </c>
      <c r="BR645" s="5" t="n">
        <v>0</v>
      </c>
      <c r="BS645" s="5" t="n">
        <v>1</v>
      </c>
      <c r="BT645" s="5" t="n">
        <v>0</v>
      </c>
      <c r="BU645" s="5" t="n">
        <v>0.041</v>
      </c>
      <c r="BV645" s="5" t="n">
        <v>0.273</v>
      </c>
      <c r="BW645" s="5" t="n">
        <v>0.23</v>
      </c>
      <c r="BX645" s="5" t="n">
        <v>0.667</v>
      </c>
      <c r="BY645" s="5" t="n">
        <v>13.646</v>
      </c>
      <c r="BZ645" s="5" t="n">
        <v>0</v>
      </c>
      <c r="CA645" s="5" t="n">
        <v>13.646</v>
      </c>
      <c r="CB645" s="5" t="n">
        <v>0</v>
      </c>
      <c r="CC645" s="5" t="n">
        <v>82.58799999999999</v>
      </c>
      <c r="CD645" s="5" t="n">
        <v>7.95</v>
      </c>
      <c r="CE645" s="5" t="n">
        <v>166.731</v>
      </c>
      <c r="CF645" s="5" t="n">
        <v>306.663</v>
      </c>
      <c r="CG645" s="5" t="n">
        <v>0.23</v>
      </c>
      <c r="CH645" s="5" t="n">
        <v>1</v>
      </c>
      <c r="CI645" s="5" t="n">
        <v>0</v>
      </c>
      <c r="CJ645" s="5" t="n">
        <v>0</v>
      </c>
      <c r="CK645" s="5" t="n">
        <v>0</v>
      </c>
      <c r="CL645" s="5" t="n">
        <v>0</v>
      </c>
      <c r="CM645" s="5" t="n">
        <v>0</v>
      </c>
      <c r="CN645" s="5" t="n">
        <v>0</v>
      </c>
      <c r="CO645" s="5" t="n">
        <v>0</v>
      </c>
      <c r="CP645" s="5" t="n">
        <v>0</v>
      </c>
      <c r="CQ645" s="5" t="n">
        <v>1.387</v>
      </c>
      <c r="CR645" s="5" t="n">
        <v>0</v>
      </c>
      <c r="CS645" s="5" t="n">
        <v>5.529</v>
      </c>
      <c r="CT645" s="5" t="n">
        <v>22.865</v>
      </c>
      <c r="CU645" s="5" t="n">
        <v>8.265000000000001</v>
      </c>
    </row>
    <row r="646">
      <c r="A646" s="5" t="inlineStr">
        <is>
          <t>PRI2021</t>
        </is>
      </c>
      <c r="B646" s="5" t="inlineStr">
        <is>
          <t>PRI</t>
        </is>
      </c>
      <c r="C646" s="5" t="inlineStr">
        <is>
          <t>PRI</t>
        </is>
      </c>
      <c r="D646" s="5" t="inlineStr">
        <is>
          <t>Puerto Rico</t>
        </is>
      </c>
      <c r="E646" s="5" t="n">
        <v>2021</v>
      </c>
      <c r="F646" s="5" t="n">
        <v>0.115</v>
      </c>
      <c r="G646" s="5" t="n">
        <v>5.897</v>
      </c>
      <c r="H646" s="5" t="n">
        <v>1.143</v>
      </c>
      <c r="I646" s="5" t="n">
        <v>0</v>
      </c>
      <c r="J646" s="5" t="n">
        <v>5.897</v>
      </c>
      <c r="K646" s="5" t="n">
        <v>0</v>
      </c>
      <c r="L646" s="5" t="n">
        <v>1</v>
      </c>
      <c r="M646" s="5" t="n">
        <v>7.964</v>
      </c>
      <c r="N646" s="5" t="n">
        <v>3.43</v>
      </c>
      <c r="O646" s="5" t="n">
        <v>0</v>
      </c>
      <c r="P646" s="5" t="n">
        <v>7.964</v>
      </c>
      <c r="Q646" s="5" t="n">
        <v>0</v>
      </c>
      <c r="R646" s="5" t="n">
        <v>1</v>
      </c>
      <c r="S646" s="5" t="n">
        <v>11.613</v>
      </c>
      <c r="T646" s="5" t="n">
        <v>6.86</v>
      </c>
      <c r="U646" s="5" t="n">
        <v>0</v>
      </c>
      <c r="V646" s="5" t="n">
        <v>12.949</v>
      </c>
      <c r="W646" s="5" t="n">
        <v>0.115</v>
      </c>
      <c r="X646" s="5" t="n">
        <v>1</v>
      </c>
      <c r="Y646" s="5" t="n">
        <v>17.127</v>
      </c>
      <c r="Z646" s="5" t="n">
        <v>2.304</v>
      </c>
      <c r="AA646" s="5" t="n">
        <v>0</v>
      </c>
      <c r="AB646" s="5" t="n">
        <v>17.127</v>
      </c>
      <c r="AC646" s="5" t="n">
        <v>0</v>
      </c>
      <c r="AD646" s="5" t="n">
        <v>1</v>
      </c>
      <c r="AE646" s="5" t="n">
        <v>18.27</v>
      </c>
      <c r="AF646" s="5" t="n">
        <v>4.278</v>
      </c>
      <c r="AG646" s="5" t="n">
        <v>0</v>
      </c>
      <c r="AH646" s="5" t="n">
        <v>18.27</v>
      </c>
      <c r="AI646" s="5" t="n">
        <v>0</v>
      </c>
      <c r="AJ646" s="5" t="n">
        <v>1</v>
      </c>
      <c r="AK646" s="5" t="n">
        <v>25.13</v>
      </c>
      <c r="AL646" s="5" t="n">
        <v>13.503</v>
      </c>
      <c r="AM646" s="5" t="n">
        <v>0</v>
      </c>
      <c r="AN646" s="5" t="n">
        <v>28.02</v>
      </c>
      <c r="AO646" s="5" t="n">
        <v>0.115</v>
      </c>
      <c r="AP646" s="5" t="n">
        <v>1</v>
      </c>
      <c r="AQ646" s="5" t="n">
        <v>0.649</v>
      </c>
      <c r="AR646" s="5" t="n">
        <v>0.114</v>
      </c>
      <c r="AS646" s="5" t="n">
        <v>0.123</v>
      </c>
      <c r="AT646" s="5" t="n">
        <v>0.861</v>
      </c>
      <c r="AU646" s="5" t="n">
        <v>0.115</v>
      </c>
      <c r="AV646" s="5" t="n">
        <v>1</v>
      </c>
      <c r="AW646" s="5" t="n">
        <v>0.577</v>
      </c>
      <c r="AX646" s="5" t="n">
        <v>0.114</v>
      </c>
      <c r="AY646" s="5" t="n">
        <v>0.052</v>
      </c>
      <c r="AZ646" s="5" t="n">
        <v>0.701</v>
      </c>
      <c r="BA646" s="5" t="n">
        <v>0.115</v>
      </c>
      <c r="BB646" s="5" t="n">
        <v>1</v>
      </c>
      <c r="BC646" s="5" t="n">
        <v>0.458</v>
      </c>
      <c r="BD646" s="5" t="n">
        <v>0.114</v>
      </c>
      <c r="BE646" s="5" t="n">
        <v>0</v>
      </c>
      <c r="BF646" s="5" t="n">
        <v>0.511</v>
      </c>
      <c r="BG646" s="5" t="n">
        <v>0.115</v>
      </c>
      <c r="BH646" s="5" t="n">
        <v>1</v>
      </c>
      <c r="BI646" s="5" t="n">
        <v>0.491</v>
      </c>
      <c r="BJ646" s="5" t="n">
        <v>0.114</v>
      </c>
      <c r="BK646" s="5" t="n">
        <v>0</v>
      </c>
      <c r="BL646" s="5" t="n">
        <v>0.548</v>
      </c>
      <c r="BM646" s="5" t="n">
        <v>0.115</v>
      </c>
      <c r="BN646" s="5" t="n">
        <v>1</v>
      </c>
      <c r="BO646" s="5" t="n">
        <v>0</v>
      </c>
      <c r="BP646" s="5" t="n">
        <v>0</v>
      </c>
      <c r="BQ646" s="5" t="n">
        <v>0</v>
      </c>
      <c r="BR646" s="5" t="n">
        <v>0</v>
      </c>
      <c r="BS646" s="5" t="n">
        <v>1</v>
      </c>
      <c r="BT646" s="5" t="n">
        <v>0</v>
      </c>
      <c r="BU646" s="5" t="n">
        <v>0</v>
      </c>
      <c r="BV646" s="5" t="n">
        <v>0</v>
      </c>
      <c r="BW646" s="5" t="n">
        <v>0.115</v>
      </c>
      <c r="BX646" s="5" t="n">
        <v>1</v>
      </c>
      <c r="BY646" s="5" t="n">
        <v>11.787</v>
      </c>
      <c r="BZ646" s="5" t="n">
        <v>0</v>
      </c>
      <c r="CA646" s="5" t="n">
        <v>11.787</v>
      </c>
      <c r="CB646" s="5" t="n">
        <v>0</v>
      </c>
      <c r="CC646" s="5" t="n">
        <v>78.125</v>
      </c>
      <c r="CD646" s="5" t="n">
        <v>7.95</v>
      </c>
      <c r="CE646" s="5" t="n">
        <v>0</v>
      </c>
      <c r="CF646" s="5" t="n">
        <v>87.10899999999999</v>
      </c>
      <c r="CG646" s="5" t="n">
        <v>0.115</v>
      </c>
      <c r="CH646" s="5" t="n">
        <v>1</v>
      </c>
      <c r="CI646" s="5" t="n">
        <v>0</v>
      </c>
      <c r="CJ646" s="5" t="n">
        <v>0</v>
      </c>
      <c r="CK646" s="5" t="n">
        <v>0</v>
      </c>
      <c r="CL646" s="5" t="n">
        <v>0</v>
      </c>
      <c r="CM646" s="5" t="n">
        <v>0</v>
      </c>
      <c r="CN646" s="5" t="n">
        <v>0</v>
      </c>
      <c r="CO646" s="5" t="n">
        <v>0</v>
      </c>
      <c r="CP646" s="5" t="n">
        <v>0</v>
      </c>
      <c r="CQ646" s="5" t="n">
        <v>1.198</v>
      </c>
      <c r="CR646" s="5" t="n">
        <v>0</v>
      </c>
      <c r="CS646" s="5" t="n">
        <v>4.776</v>
      </c>
      <c r="CT646" s="5" t="n">
        <v>4.753</v>
      </c>
      <c r="CU646" s="5" t="n">
        <v>15.983</v>
      </c>
    </row>
    <row r="647">
      <c r="A647" s="5" t="inlineStr">
        <is>
          <t>PRI2022</t>
        </is>
      </c>
      <c r="B647" s="5" t="inlineStr">
        <is>
          <t>PRI</t>
        </is>
      </c>
      <c r="C647" s="5" t="inlineStr">
        <is>
          <t>PRI</t>
        </is>
      </c>
      <c r="D647" s="5" t="inlineStr">
        <is>
          <t>Puerto Rico</t>
        </is>
      </c>
      <c r="E647" s="5" t="n">
        <v>2022</v>
      </c>
      <c r="F647" s="5" t="n">
        <v>0.115</v>
      </c>
      <c r="G647" s="5" t="n">
        <v>11.72</v>
      </c>
      <c r="H647" s="5" t="n">
        <v>1.235</v>
      </c>
      <c r="I647" s="5" t="n">
        <v>0</v>
      </c>
      <c r="J647" s="5" t="n">
        <v>11.72</v>
      </c>
      <c r="K647" s="5" t="n">
        <v>0</v>
      </c>
      <c r="L647" s="5" t="n">
        <v>1</v>
      </c>
      <c r="M647" s="5" t="n">
        <v>9.782999999999999</v>
      </c>
      <c r="N647" s="5" t="n">
        <v>3.704</v>
      </c>
      <c r="O647" s="5" t="n">
        <v>0</v>
      </c>
      <c r="P647" s="5" t="n">
        <v>9.782999999999999</v>
      </c>
      <c r="Q647" s="5" t="n">
        <v>0</v>
      </c>
      <c r="R647" s="5" t="n">
        <v>1</v>
      </c>
      <c r="S647" s="5" t="n">
        <v>17.893</v>
      </c>
      <c r="T647" s="5" t="n">
        <v>7.408</v>
      </c>
      <c r="U647" s="5" t="n">
        <v>0.152</v>
      </c>
      <c r="V647" s="5" t="n">
        <v>19.951</v>
      </c>
      <c r="W647" s="5" t="n">
        <v>0.115</v>
      </c>
      <c r="X647" s="5" t="n">
        <v>1</v>
      </c>
      <c r="Y647" s="5" t="n">
        <v>30.728</v>
      </c>
      <c r="Z647" s="5" t="n">
        <v>4.133</v>
      </c>
      <c r="AA647" s="5" t="n">
        <v>0</v>
      </c>
      <c r="AB647" s="5" t="n">
        <v>30.728</v>
      </c>
      <c r="AC647" s="5" t="n">
        <v>0</v>
      </c>
      <c r="AD647" s="5" t="n">
        <v>1</v>
      </c>
      <c r="AE647" s="5" t="n">
        <v>31.963</v>
      </c>
      <c r="AF647" s="5" t="n">
        <v>7.485</v>
      </c>
      <c r="AG647" s="5" t="n">
        <v>0</v>
      </c>
      <c r="AH647" s="5" t="n">
        <v>31.963</v>
      </c>
      <c r="AI647" s="5" t="n">
        <v>0</v>
      </c>
      <c r="AJ647" s="5" t="n">
        <v>1</v>
      </c>
      <c r="AK647" s="5" t="n">
        <v>39.371</v>
      </c>
      <c r="AL647" s="5" t="n">
        <v>21.155</v>
      </c>
      <c r="AM647" s="5" t="n">
        <v>0.335</v>
      </c>
      <c r="AN647" s="5" t="n">
        <v>43.899</v>
      </c>
      <c r="AO647" s="5" t="n">
        <v>0.115</v>
      </c>
      <c r="AP647" s="5" t="n">
        <v>1</v>
      </c>
      <c r="AQ647" s="5" t="n">
        <v>0.896</v>
      </c>
      <c r="AR647" s="5" t="n">
        <v>0.123</v>
      </c>
      <c r="AS647" s="5" t="n">
        <v>0.14</v>
      </c>
      <c r="AT647" s="5" t="n">
        <v>1.155</v>
      </c>
      <c r="AU647" s="5" t="n">
        <v>0.115</v>
      </c>
      <c r="AV647" s="5" t="n">
        <v>1</v>
      </c>
      <c r="AW647" s="5" t="n">
        <v>0.89</v>
      </c>
      <c r="AX647" s="5" t="n">
        <v>0.123</v>
      </c>
      <c r="AY647" s="5" t="n">
        <v>0.167</v>
      </c>
      <c r="AZ647" s="5" t="n">
        <v>1.179</v>
      </c>
      <c r="BA647" s="5" t="n">
        <v>0.115</v>
      </c>
      <c r="BB647" s="5" t="n">
        <v>1</v>
      </c>
      <c r="BC647" s="5" t="n">
        <v>0.62</v>
      </c>
      <c r="BD647" s="5" t="n">
        <v>0.123</v>
      </c>
      <c r="BE647" s="5" t="n">
        <v>0.005</v>
      </c>
      <c r="BF647" s="5" t="n">
        <v>0.6919999999999999</v>
      </c>
      <c r="BG647" s="5" t="n">
        <v>0.115</v>
      </c>
      <c r="BH647" s="5" t="n">
        <v>1</v>
      </c>
      <c r="BI647" s="5" t="n">
        <v>0.608</v>
      </c>
      <c r="BJ647" s="5" t="n">
        <v>0.123</v>
      </c>
      <c r="BK647" s="5" t="n">
        <v>0.005</v>
      </c>
      <c r="BL647" s="5" t="n">
        <v>0.677</v>
      </c>
      <c r="BM647" s="5" t="n">
        <v>0.115</v>
      </c>
      <c r="BN647" s="5" t="n">
        <v>1</v>
      </c>
      <c r="BO647" s="5" t="n">
        <v>0</v>
      </c>
      <c r="BP647" s="5" t="n">
        <v>0</v>
      </c>
      <c r="BQ647" s="5" t="n">
        <v>0</v>
      </c>
      <c r="BR647" s="5" t="n">
        <v>0</v>
      </c>
      <c r="BS647" s="5" t="n">
        <v>1</v>
      </c>
      <c r="BT647" s="5" t="n">
        <v>0</v>
      </c>
      <c r="BU647" s="5" t="n">
        <v>0</v>
      </c>
      <c r="BV647" s="5" t="n">
        <v>0</v>
      </c>
      <c r="BW647" s="5" t="n">
        <v>0.115</v>
      </c>
      <c r="BX647" s="5" t="n">
        <v>1</v>
      </c>
      <c r="BY647" s="5" t="n">
        <v>12.729</v>
      </c>
      <c r="BZ647" s="5" t="n">
        <v>0</v>
      </c>
      <c r="CA647" s="5" t="n">
        <v>12.729</v>
      </c>
      <c r="CB647" s="5" t="n">
        <v>0</v>
      </c>
      <c r="CC647" s="5" t="n">
        <v>97.90000000000001</v>
      </c>
      <c r="CD647" s="5" t="n">
        <v>7.95</v>
      </c>
      <c r="CE647" s="5" t="n">
        <v>0.833</v>
      </c>
      <c r="CF647" s="5" t="n">
        <v>109.159</v>
      </c>
      <c r="CG647" s="5" t="n">
        <v>0.115</v>
      </c>
      <c r="CH647" s="5" t="n">
        <v>1</v>
      </c>
      <c r="CI647" s="5" t="n">
        <v>0</v>
      </c>
      <c r="CJ647" s="5" t="n">
        <v>0</v>
      </c>
      <c r="CK647" s="5" t="n">
        <v>0</v>
      </c>
      <c r="CL647" s="5" t="n">
        <v>0</v>
      </c>
      <c r="CM647" s="5" t="n">
        <v>0</v>
      </c>
      <c r="CN647" s="5" t="n">
        <v>0</v>
      </c>
      <c r="CO647" s="5" t="n">
        <v>0</v>
      </c>
      <c r="CP647" s="5" t="n">
        <v>0</v>
      </c>
      <c r="CQ647" s="5" t="n">
        <v>1.294</v>
      </c>
      <c r="CR647" s="5" t="n">
        <v>0</v>
      </c>
      <c r="CS647" s="5" t="n">
        <v>5.158</v>
      </c>
      <c r="CT647" s="5" t="n">
        <v>10.485</v>
      </c>
      <c r="CU647" s="5" t="n">
        <v>29.494</v>
      </c>
    </row>
    <row r="648">
      <c r="A648" s="5" t="inlineStr">
        <is>
          <t>PRI2023</t>
        </is>
      </c>
      <c r="B648" s="5" t="inlineStr">
        <is>
          <t>PRI</t>
        </is>
      </c>
      <c r="C648" s="5" t="inlineStr">
        <is>
          <t>PRI</t>
        </is>
      </c>
      <c r="D648" s="5" t="inlineStr">
        <is>
          <t>Puerto Rico</t>
        </is>
      </c>
      <c r="E648" s="5" t="n">
        <v>2023</v>
      </c>
      <c r="F648" s="5" t="n">
        <v>0.115</v>
      </c>
      <c r="G648" s="5" t="n">
        <v>6.147</v>
      </c>
      <c r="H648" s="5" t="n">
        <v>1.286</v>
      </c>
      <c r="I648" s="5" t="n">
        <v>0</v>
      </c>
      <c r="J648" s="5" t="n">
        <v>6.147</v>
      </c>
      <c r="K648" s="5" t="n">
        <v>0</v>
      </c>
      <c r="L648" s="5" t="n">
        <v>1</v>
      </c>
      <c r="M648" s="5" t="n">
        <v>7.886</v>
      </c>
      <c r="N648" s="5" t="n">
        <v>3.857</v>
      </c>
      <c r="O648" s="5" t="n">
        <v>0</v>
      </c>
      <c r="P648" s="5" t="n">
        <v>7.886</v>
      </c>
      <c r="Q648" s="5" t="n">
        <v>0</v>
      </c>
      <c r="R648" s="5" t="n">
        <v>1</v>
      </c>
      <c r="S648" s="5" t="n">
        <v>12.575</v>
      </c>
      <c r="T648" s="5" t="n">
        <v>7.714</v>
      </c>
      <c r="U648" s="5" t="n">
        <v>0.16</v>
      </c>
      <c r="V648" s="5" t="n">
        <v>14.021</v>
      </c>
      <c r="W648" s="5" t="n">
        <v>0.115</v>
      </c>
      <c r="X648" s="5" t="n">
        <v>1</v>
      </c>
      <c r="Y648" s="5" t="n">
        <v>12.478</v>
      </c>
      <c r="Z648" s="5" t="n">
        <v>1.678</v>
      </c>
      <c r="AA648" s="5" t="n">
        <v>0</v>
      </c>
      <c r="AB648" s="5" t="n">
        <v>12.478</v>
      </c>
      <c r="AC648" s="5" t="n">
        <v>0</v>
      </c>
      <c r="AD648" s="5" t="n">
        <v>1</v>
      </c>
      <c r="AE648" s="5" t="n">
        <v>13.763</v>
      </c>
      <c r="AF648" s="5" t="n">
        <v>3.223</v>
      </c>
      <c r="AG648" s="5" t="n">
        <v>0</v>
      </c>
      <c r="AH648" s="5" t="n">
        <v>13.763</v>
      </c>
      <c r="AI648" s="5" t="n">
        <v>0</v>
      </c>
      <c r="AJ648" s="5" t="n">
        <v>1</v>
      </c>
      <c r="AK648" s="5" t="n">
        <v>21.477</v>
      </c>
      <c r="AL648" s="5" t="n">
        <v>11.54</v>
      </c>
      <c r="AM648" s="5" t="n">
        <v>0.273</v>
      </c>
      <c r="AN648" s="5" t="n">
        <v>23.947</v>
      </c>
      <c r="AO648" s="5" t="n">
        <v>0.115</v>
      </c>
      <c r="AP648" s="5" t="n">
        <v>1</v>
      </c>
      <c r="AQ648" s="5" t="n">
        <v>0.791</v>
      </c>
      <c r="AR648" s="5" t="n">
        <v>0.129</v>
      </c>
      <c r="AS648" s="5" t="n">
        <v>0.139</v>
      </c>
      <c r="AT648" s="5" t="n">
        <v>1.037</v>
      </c>
      <c r="AU648" s="5" t="n">
        <v>0.115</v>
      </c>
      <c r="AV648" s="5" t="n">
        <v>1</v>
      </c>
      <c r="AW648" s="5" t="n">
        <v>0.618</v>
      </c>
      <c r="AX648" s="5" t="n">
        <v>0.129</v>
      </c>
      <c r="AY648" s="5" t="n">
        <v>0.264</v>
      </c>
      <c r="AZ648" s="5" t="n">
        <v>0.984</v>
      </c>
      <c r="BA648" s="5" t="n">
        <v>0.115</v>
      </c>
      <c r="BB648" s="5" t="n">
        <v>1</v>
      </c>
      <c r="BC648" s="5" t="n">
        <v>0.554</v>
      </c>
      <c r="BD648" s="5" t="n">
        <v>0.129</v>
      </c>
      <c r="BE648" s="5" t="n">
        <v>0.007</v>
      </c>
      <c r="BF648" s="5" t="n">
        <v>0.618</v>
      </c>
      <c r="BG648" s="5" t="n">
        <v>0.115</v>
      </c>
      <c r="BH648" s="5" t="n">
        <v>1</v>
      </c>
      <c r="BI648" s="5" t="n">
        <v>0.5570000000000001</v>
      </c>
      <c r="BJ648" s="5" t="n">
        <v>0.129</v>
      </c>
      <c r="BK648" s="5" t="n">
        <v>0.007</v>
      </c>
      <c r="BL648" s="5" t="n">
        <v>0.621</v>
      </c>
      <c r="BM648" s="5" t="n">
        <v>0.115</v>
      </c>
      <c r="BN648" s="5" t="n">
        <v>1</v>
      </c>
      <c r="BO648" s="5" t="n">
        <v>0</v>
      </c>
      <c r="BP648" s="5" t="n">
        <v>0</v>
      </c>
      <c r="BQ648" s="5" t="n">
        <v>0</v>
      </c>
      <c r="BR648" s="5" t="n">
        <v>0</v>
      </c>
      <c r="BS648" s="5" t="n">
        <v>1</v>
      </c>
      <c r="BT648" s="5" t="n">
        <v>0</v>
      </c>
      <c r="BU648" s="5" t="n">
        <v>0</v>
      </c>
      <c r="BV648" s="5" t="n">
        <v>0</v>
      </c>
      <c r="BW648" s="5" t="n">
        <v>0.115</v>
      </c>
      <c r="BX648" s="5" t="n">
        <v>1</v>
      </c>
      <c r="BY648" s="5" t="n">
        <v>13.254</v>
      </c>
      <c r="BZ648" s="5" t="n">
        <v>0</v>
      </c>
      <c r="CA648" s="5" t="n">
        <v>13.254</v>
      </c>
      <c r="CB648" s="5" t="n">
        <v>0</v>
      </c>
      <c r="CC648" s="5" t="n">
        <v>83.248</v>
      </c>
      <c r="CD648" s="5" t="n">
        <v>7.95</v>
      </c>
      <c r="CE648" s="5" t="n">
        <v>1.06</v>
      </c>
      <c r="CF648" s="5" t="n">
        <v>92.822</v>
      </c>
      <c r="CG648" s="5" t="n">
        <v>0.115</v>
      </c>
      <c r="CH648" s="5" t="n">
        <v>1</v>
      </c>
      <c r="CI648" s="5" t="n">
        <v>0</v>
      </c>
      <c r="CJ648" s="5" t="n">
        <v>0</v>
      </c>
      <c r="CK648" s="5" t="n">
        <v>0</v>
      </c>
      <c r="CL648" s="5" t="n">
        <v>0</v>
      </c>
      <c r="CM648" s="5" t="n">
        <v>0</v>
      </c>
      <c r="CN648" s="5" t="n">
        <v>0</v>
      </c>
      <c r="CO648" s="5" t="n">
        <v>0</v>
      </c>
      <c r="CP648" s="5" t="n">
        <v>0</v>
      </c>
      <c r="CQ648" s="5" t="n">
        <v>1.348</v>
      </c>
      <c r="CR648" s="5" t="n">
        <v>0</v>
      </c>
      <c r="CS648" s="5" t="n">
        <v>5.37</v>
      </c>
      <c r="CT648" s="5" t="n">
        <v>4.861</v>
      </c>
      <c r="CU648" s="5" t="n">
        <v>11.192</v>
      </c>
    </row>
    <row r="649">
      <c r="A649" s="5" t="inlineStr">
        <is>
          <t>PRI2024</t>
        </is>
      </c>
      <c r="B649" s="5" t="inlineStr">
        <is>
          <t>PRI</t>
        </is>
      </c>
      <c r="C649" s="5" t="inlineStr">
        <is>
          <t>PRI</t>
        </is>
      </c>
      <c r="D649" s="5" t="inlineStr">
        <is>
          <t>Puerto Rico</t>
        </is>
      </c>
      <c r="E649" s="5" t="n">
        <v>2024</v>
      </c>
      <c r="F649" s="5" t="n">
        <v>0.115</v>
      </c>
      <c r="G649" s="5" t="n">
        <v>5.575</v>
      </c>
      <c r="H649" s="5" t="n">
        <v>1.324</v>
      </c>
      <c r="I649" s="5" t="n">
        <v>0</v>
      </c>
      <c r="J649" s="5" t="n">
        <v>5.575</v>
      </c>
      <c r="K649" s="5" t="n">
        <v>0</v>
      </c>
      <c r="L649" s="5" t="n">
        <v>1</v>
      </c>
      <c r="M649" s="5" t="n">
        <v>7.124</v>
      </c>
      <c r="N649" s="5" t="n">
        <v>3.971</v>
      </c>
      <c r="O649" s="5" t="n">
        <v>0</v>
      </c>
      <c r="P649" s="5" t="n">
        <v>7.124</v>
      </c>
      <c r="Q649" s="5" t="n">
        <v>0</v>
      </c>
      <c r="R649" s="5" t="n">
        <v>1</v>
      </c>
      <c r="S649" s="5" t="n">
        <v>12.193</v>
      </c>
      <c r="T649" s="5" t="n">
        <v>7.942</v>
      </c>
      <c r="U649" s="5" t="n">
        <v>0.191</v>
      </c>
      <c r="V649" s="5" t="n">
        <v>13.595</v>
      </c>
      <c r="W649" s="5" t="n">
        <v>0.115</v>
      </c>
      <c r="X649" s="5" t="n">
        <v>1</v>
      </c>
      <c r="Y649" s="5" t="n">
        <v>11.447</v>
      </c>
      <c r="Z649" s="5" t="n">
        <v>1.54</v>
      </c>
      <c r="AA649" s="5" t="n">
        <v>0</v>
      </c>
      <c r="AB649" s="5" t="n">
        <v>11.447</v>
      </c>
      <c r="AC649" s="5" t="n">
        <v>0</v>
      </c>
      <c r="AD649" s="5" t="n">
        <v>1</v>
      </c>
      <c r="AE649" s="5" t="n">
        <v>12.771</v>
      </c>
      <c r="AF649" s="5" t="n">
        <v>2.991</v>
      </c>
      <c r="AG649" s="5" t="n">
        <v>0</v>
      </c>
      <c r="AH649" s="5" t="n">
        <v>12.771</v>
      </c>
      <c r="AI649" s="5" t="n">
        <v>0</v>
      </c>
      <c r="AJ649" s="5" t="n">
        <v>1</v>
      </c>
      <c r="AK649" s="5" t="n">
        <v>20.712</v>
      </c>
      <c r="AL649" s="5" t="n">
        <v>11.129</v>
      </c>
      <c r="AM649" s="5" t="n">
        <v>0.324</v>
      </c>
      <c r="AN649" s="5" t="n">
        <v>23.094</v>
      </c>
      <c r="AO649" s="5" t="n">
        <v>0.115</v>
      </c>
      <c r="AP649" s="5" t="n">
        <v>1</v>
      </c>
      <c r="AQ649" s="5" t="n">
        <v>0.756</v>
      </c>
      <c r="AR649" s="5" t="n">
        <v>0.132</v>
      </c>
      <c r="AS649" s="5" t="n">
        <v>0.141</v>
      </c>
      <c r="AT649" s="5" t="n">
        <v>1</v>
      </c>
      <c r="AU649" s="5" t="n">
        <v>0.115</v>
      </c>
      <c r="AV649" s="5" t="n">
        <v>1</v>
      </c>
      <c r="AW649" s="5" t="n">
        <v>0.655</v>
      </c>
      <c r="AX649" s="5" t="n">
        <v>0.132</v>
      </c>
      <c r="AY649" s="5" t="n">
        <v>0.126</v>
      </c>
      <c r="AZ649" s="5" t="n">
        <v>0.871</v>
      </c>
      <c r="BA649" s="5" t="n">
        <v>0.115</v>
      </c>
      <c r="BB649" s="5" t="n">
        <v>1</v>
      </c>
      <c r="BC649" s="5" t="n">
        <v>0.534</v>
      </c>
      <c r="BD649" s="5" t="n">
        <v>0.132</v>
      </c>
      <c r="BE649" s="5" t="n">
        <v>0.008</v>
      </c>
      <c r="BF649" s="5" t="n">
        <v>0.595</v>
      </c>
      <c r="BG649" s="5" t="n">
        <v>0.115</v>
      </c>
      <c r="BH649" s="5" t="n">
        <v>1</v>
      </c>
      <c r="BI649" s="5" t="n">
        <v>0.5679999999999999</v>
      </c>
      <c r="BJ649" s="5" t="n">
        <v>0.132</v>
      </c>
      <c r="BK649" s="5" t="n">
        <v>0.008999999999999999</v>
      </c>
      <c r="BL649" s="5" t="n">
        <v>0.633</v>
      </c>
      <c r="BM649" s="5" t="n">
        <v>0.115</v>
      </c>
      <c r="BN649" s="5" t="n">
        <v>1</v>
      </c>
      <c r="BO649" s="5" t="n">
        <v>0</v>
      </c>
      <c r="BP649" s="5" t="n">
        <v>0</v>
      </c>
      <c r="BQ649" s="5" t="n">
        <v>0</v>
      </c>
      <c r="BR649" s="5" t="n">
        <v>0</v>
      </c>
      <c r="BS649" s="5" t="n">
        <v>1</v>
      </c>
      <c r="BT649" s="5" t="n">
        <v>0</v>
      </c>
      <c r="BU649" s="5" t="n">
        <v>0</v>
      </c>
      <c r="BV649" s="5" t="n">
        <v>0</v>
      </c>
      <c r="BW649" s="5" t="n">
        <v>0.115</v>
      </c>
      <c r="BX649" s="5" t="n">
        <v>1</v>
      </c>
      <c r="BY649" s="5" t="n">
        <v>13.646</v>
      </c>
      <c r="BZ649" s="5" t="n">
        <v>0</v>
      </c>
      <c r="CA649" s="5" t="n">
        <v>13.646</v>
      </c>
      <c r="CB649" s="5" t="n">
        <v>0</v>
      </c>
      <c r="CC649" s="5" t="n">
        <v>82.58799999999999</v>
      </c>
      <c r="CD649" s="5" t="n">
        <v>7.95</v>
      </c>
      <c r="CE649" s="5" t="n">
        <v>1.294</v>
      </c>
      <c r="CF649" s="5" t="n">
        <v>92.086</v>
      </c>
      <c r="CG649" s="5" t="n">
        <v>0.115</v>
      </c>
      <c r="CH649" s="5" t="n">
        <v>1</v>
      </c>
      <c r="CI649" s="5" t="n">
        <v>0</v>
      </c>
      <c r="CJ649" s="5" t="n">
        <v>0</v>
      </c>
      <c r="CK649" s="5" t="n">
        <v>0</v>
      </c>
      <c r="CL649" s="5" t="n">
        <v>0</v>
      </c>
      <c r="CM649" s="5" t="n">
        <v>0</v>
      </c>
      <c r="CN649" s="5" t="n">
        <v>0</v>
      </c>
      <c r="CO649" s="5" t="n">
        <v>0</v>
      </c>
      <c r="CP649" s="5" t="n">
        <v>0</v>
      </c>
      <c r="CQ649" s="5" t="n">
        <v>1.387</v>
      </c>
      <c r="CR649" s="5" t="n">
        <v>0</v>
      </c>
      <c r="CS649" s="5" t="n">
        <v>5.529</v>
      </c>
      <c r="CT649" s="5" t="n">
        <v>4.251</v>
      </c>
      <c r="CU649" s="5" t="n">
        <v>10.123</v>
      </c>
    </row>
    <row r="650">
      <c r="A650" s="5" t="inlineStr">
        <is>
          <t>QAT2021</t>
        </is>
      </c>
      <c r="B650" s="5" t="inlineStr">
        <is>
          <t>QAT</t>
        </is>
      </c>
      <c r="C650" s="5" t="inlineStr">
        <is>
          <t>QAT</t>
        </is>
      </c>
      <c r="D650" s="5" t="inlineStr">
        <is>
          <t>Qatar</t>
        </is>
      </c>
      <c r="E650" s="5" t="n">
        <v>2021</v>
      </c>
      <c r="F650" s="5" t="n">
        <v>0</v>
      </c>
      <c r="G650" s="5" t="n">
        <v>5.897</v>
      </c>
      <c r="H650" s="5" t="n">
        <v>1.143</v>
      </c>
      <c r="I650" s="5" t="n">
        <v>0.238</v>
      </c>
      <c r="J650" s="5" t="n">
        <v>6.134</v>
      </c>
      <c r="K650" s="5" t="n">
        <v>0</v>
      </c>
      <c r="L650" s="5" t="n">
        <v>1</v>
      </c>
      <c r="M650" s="5" t="n">
        <v>7.964</v>
      </c>
      <c r="N650" s="5" t="n">
        <v>3.43</v>
      </c>
      <c r="O650" s="5" t="n">
        <v>0.227</v>
      </c>
      <c r="P650" s="5" t="n">
        <v>8.191000000000001</v>
      </c>
      <c r="Q650" s="5" t="n">
        <v>0</v>
      </c>
      <c r="R650" s="5" t="n">
        <v>1</v>
      </c>
      <c r="S650" s="5" t="n">
        <v>11.613</v>
      </c>
      <c r="T650" s="5" t="n">
        <v>6.86</v>
      </c>
      <c r="U650" s="5" t="n">
        <v>0.238</v>
      </c>
      <c r="V650" s="5" t="n">
        <v>11.851</v>
      </c>
      <c r="W650" s="5" t="n">
        <v>0</v>
      </c>
      <c r="X650" s="5" t="n">
        <v>1</v>
      </c>
      <c r="Y650" s="5" t="n">
        <v>1.802</v>
      </c>
      <c r="Z650" s="5" t="n">
        <v>0</v>
      </c>
      <c r="AA650" s="5" t="n">
        <v>-0.837</v>
      </c>
      <c r="AB650" s="5" t="n">
        <v>0.965</v>
      </c>
      <c r="AC650" s="5" t="n">
        <v>0</v>
      </c>
      <c r="AD650" s="5" t="n">
        <v>0</v>
      </c>
      <c r="AE650" s="5" t="n">
        <v>1.802</v>
      </c>
      <c r="AF650" s="5" t="n">
        <v>0</v>
      </c>
      <c r="AG650" s="5" t="n">
        <v>-0.837</v>
      </c>
      <c r="AH650" s="5" t="n">
        <v>0.965</v>
      </c>
      <c r="AI650" s="5" t="n">
        <v>0</v>
      </c>
      <c r="AJ650" s="5" t="n">
        <v>0</v>
      </c>
      <c r="AK650" s="5" t="n">
        <v>5.232</v>
      </c>
      <c r="AL650" s="5" t="n">
        <v>1.855</v>
      </c>
      <c r="AM650" s="5" t="n">
        <v>-0.493</v>
      </c>
      <c r="AN650" s="5" t="n">
        <v>4.739</v>
      </c>
      <c r="AO650" s="5" t="n">
        <v>0</v>
      </c>
      <c r="AP650" s="5" t="n">
        <v>1</v>
      </c>
      <c r="AQ650" s="5" t="n">
        <v>0.621</v>
      </c>
      <c r="AR650" s="5" t="n">
        <v>0.114</v>
      </c>
      <c r="AS650" s="5" t="n">
        <v>-0.104</v>
      </c>
      <c r="AT650" s="5" t="n">
        <v>0.516</v>
      </c>
      <c r="AU650" s="5" t="n">
        <v>0</v>
      </c>
      <c r="AV650" s="5" t="n">
        <v>0</v>
      </c>
      <c r="AW650" s="5" t="n">
        <v>0.593</v>
      </c>
      <c r="AX650" s="5" t="n">
        <v>0.114</v>
      </c>
      <c r="AY650" s="5" t="n">
        <v>-0.106</v>
      </c>
      <c r="AZ650" s="5" t="n">
        <v>0.487</v>
      </c>
      <c r="BA650" s="5" t="n">
        <v>0</v>
      </c>
      <c r="BB650" s="5" t="n">
        <v>0</v>
      </c>
      <c r="BC650" s="5" t="n">
        <v>0.44</v>
      </c>
      <c r="BD650" s="5" t="n">
        <v>0.114</v>
      </c>
      <c r="BE650" s="5" t="n">
        <v>0</v>
      </c>
      <c r="BF650" s="5" t="n">
        <v>0.44</v>
      </c>
      <c r="BG650" s="5" t="n">
        <v>0</v>
      </c>
      <c r="BH650" s="5" t="n">
        <v>1</v>
      </c>
      <c r="BI650" s="5" t="n">
        <v>0.5600000000000001</v>
      </c>
      <c r="BJ650" s="5" t="n">
        <v>0.114</v>
      </c>
      <c r="BK650" s="5" t="n">
        <v>0</v>
      </c>
      <c r="BL650" s="5" t="n">
        <v>0.5600000000000001</v>
      </c>
      <c r="BM650" s="5" t="n">
        <v>0</v>
      </c>
      <c r="BN650" s="5" t="n">
        <v>1</v>
      </c>
      <c r="BO650" s="5" t="n">
        <v>0</v>
      </c>
      <c r="BP650" s="5" t="n">
        <v>-0.038</v>
      </c>
      <c r="BQ650" s="5" t="n">
        <v>0.035</v>
      </c>
      <c r="BR650" s="5" t="n">
        <v>0</v>
      </c>
      <c r="BS650" s="5" t="n">
        <v>0.333</v>
      </c>
      <c r="BT650" s="5" t="n">
        <v>0</v>
      </c>
      <c r="BU650" s="5" t="n">
        <v>-0.038</v>
      </c>
      <c r="BV650" s="5" t="n">
        <v>0.038</v>
      </c>
      <c r="BW650" s="5" t="n">
        <v>0</v>
      </c>
      <c r="BX650" s="5" t="n">
        <v>0</v>
      </c>
      <c r="BY650" s="5" t="n">
        <v>11.787</v>
      </c>
      <c r="BZ650" s="5" t="n">
        <v>0</v>
      </c>
      <c r="CA650" s="5" t="n">
        <v>11.787</v>
      </c>
      <c r="CB650" s="5" t="n">
        <v>0</v>
      </c>
      <c r="CC650" s="5" t="n">
        <v>81.69499999999999</v>
      </c>
      <c r="CD650" s="5" t="n">
        <v>7.95</v>
      </c>
      <c r="CE650" s="5" t="n">
        <v>0</v>
      </c>
      <c r="CF650" s="5" t="n">
        <v>81.69499999999999</v>
      </c>
      <c r="CG650" s="5" t="n">
        <v>0</v>
      </c>
      <c r="CH650" s="5" t="n">
        <v>1</v>
      </c>
      <c r="CI650" s="5" t="n">
        <v>0</v>
      </c>
      <c r="CJ650" s="5" t="n">
        <v>0</v>
      </c>
      <c r="CK650" s="5" t="n">
        <v>0</v>
      </c>
      <c r="CL650" s="5" t="n">
        <v>0</v>
      </c>
      <c r="CM650" s="5" t="n">
        <v>0</v>
      </c>
      <c r="CN650" s="5" t="n">
        <v>0</v>
      </c>
      <c r="CO650" s="5" t="n">
        <v>0</v>
      </c>
      <c r="CP650" s="5" t="n">
        <v>0</v>
      </c>
      <c r="CQ650" s="5" t="n">
        <v>1.198</v>
      </c>
      <c r="CR650" s="5" t="n">
        <v>1</v>
      </c>
      <c r="CS650" s="5" t="n">
        <v>1.802</v>
      </c>
      <c r="CT650" s="5" t="n">
        <v>4.753</v>
      </c>
      <c r="CU650" s="5" t="n">
        <v>15.929</v>
      </c>
    </row>
    <row r="651">
      <c r="A651" s="5" t="inlineStr">
        <is>
          <t>QAT2022</t>
        </is>
      </c>
      <c r="B651" s="5" t="inlineStr">
        <is>
          <t>QAT</t>
        </is>
      </c>
      <c r="C651" s="5" t="inlineStr">
        <is>
          <t>QAT</t>
        </is>
      </c>
      <c r="D651" s="5" t="inlineStr">
        <is>
          <t>Qatar</t>
        </is>
      </c>
      <c r="E651" s="5" t="n">
        <v>2022</v>
      </c>
      <c r="F651" s="5" t="n">
        <v>0</v>
      </c>
      <c r="G651" s="5" t="n">
        <v>11.72</v>
      </c>
      <c r="H651" s="5" t="n">
        <v>1.235</v>
      </c>
      <c r="I651" s="5" t="n">
        <v>0.5659999999999999</v>
      </c>
      <c r="J651" s="5" t="n">
        <v>12.286</v>
      </c>
      <c r="K651" s="5" t="n">
        <v>0</v>
      </c>
      <c r="L651" s="5" t="n">
        <v>1</v>
      </c>
      <c r="M651" s="5" t="n">
        <v>9.782999999999999</v>
      </c>
      <c r="N651" s="5" t="n">
        <v>3.704</v>
      </c>
      <c r="O651" s="5" t="n">
        <v>0.328</v>
      </c>
      <c r="P651" s="5" t="n">
        <v>10.111</v>
      </c>
      <c r="Q651" s="5" t="n">
        <v>0</v>
      </c>
      <c r="R651" s="5" t="n">
        <v>1</v>
      </c>
      <c r="S651" s="5" t="n">
        <v>17.893</v>
      </c>
      <c r="T651" s="5" t="n">
        <v>7.408</v>
      </c>
      <c r="U651" s="5" t="n">
        <v>0.5659999999999999</v>
      </c>
      <c r="V651" s="5" t="n">
        <v>18.459</v>
      </c>
      <c r="W651" s="5" t="n">
        <v>0</v>
      </c>
      <c r="X651" s="5" t="n">
        <v>1</v>
      </c>
      <c r="Y651" s="5" t="n">
        <v>1.946</v>
      </c>
      <c r="Z651" s="5" t="n">
        <v>0</v>
      </c>
      <c r="AA651" s="5" t="n">
        <v>-0.904</v>
      </c>
      <c r="AB651" s="5" t="n">
        <v>1.043</v>
      </c>
      <c r="AC651" s="5" t="n">
        <v>0</v>
      </c>
      <c r="AD651" s="5" t="n">
        <v>0</v>
      </c>
      <c r="AE651" s="5" t="n">
        <v>1.946</v>
      </c>
      <c r="AF651" s="5" t="n">
        <v>0</v>
      </c>
      <c r="AG651" s="5" t="n">
        <v>-0.904</v>
      </c>
      <c r="AH651" s="5" t="n">
        <v>1.043</v>
      </c>
      <c r="AI651" s="5" t="n">
        <v>0</v>
      </c>
      <c r="AJ651" s="5" t="n">
        <v>0</v>
      </c>
      <c r="AK651" s="5" t="n">
        <v>5.65</v>
      </c>
      <c r="AL651" s="5" t="n">
        <v>2.003</v>
      </c>
      <c r="AM651" s="5" t="n">
        <v>-0.532</v>
      </c>
      <c r="AN651" s="5" t="n">
        <v>5.118</v>
      </c>
      <c r="AO651" s="5" t="n">
        <v>0</v>
      </c>
      <c r="AP651" s="5" t="n">
        <v>1</v>
      </c>
      <c r="AQ651" s="5" t="n">
        <v>0.847</v>
      </c>
      <c r="AR651" s="5" t="n">
        <v>0.123</v>
      </c>
      <c r="AS651" s="5" t="n">
        <v>-0.27</v>
      </c>
      <c r="AT651" s="5" t="n">
        <v>0.577</v>
      </c>
      <c r="AU651" s="5" t="n">
        <v>0</v>
      </c>
      <c r="AV651" s="5" t="n">
        <v>0</v>
      </c>
      <c r="AW651" s="5" t="n">
        <v>0.947</v>
      </c>
      <c r="AX651" s="5" t="n">
        <v>0.123</v>
      </c>
      <c r="AY651" s="5" t="n">
        <v>-0.384</v>
      </c>
      <c r="AZ651" s="5" t="n">
        <v>0.5629999999999999</v>
      </c>
      <c r="BA651" s="5" t="n">
        <v>0</v>
      </c>
      <c r="BB651" s="5" t="n">
        <v>0</v>
      </c>
      <c r="BC651" s="5" t="n">
        <v>0.589</v>
      </c>
      <c r="BD651" s="5" t="n">
        <v>0.123</v>
      </c>
      <c r="BE651" s="5" t="n">
        <v>0</v>
      </c>
      <c r="BF651" s="5" t="n">
        <v>0.589</v>
      </c>
      <c r="BG651" s="5" t="n">
        <v>0</v>
      </c>
      <c r="BH651" s="5" t="n">
        <v>1</v>
      </c>
      <c r="BI651" s="5" t="n">
        <v>0.6889999999999999</v>
      </c>
      <c r="BJ651" s="5" t="n">
        <v>0.123</v>
      </c>
      <c r="BK651" s="5" t="n">
        <v>0</v>
      </c>
      <c r="BL651" s="5" t="n">
        <v>0.6889999999999999</v>
      </c>
      <c r="BM651" s="5" t="n">
        <v>0</v>
      </c>
      <c r="BN651" s="5" t="n">
        <v>1</v>
      </c>
      <c r="BO651" s="5" t="n">
        <v>0</v>
      </c>
      <c r="BP651" s="5" t="n">
        <v>-0.038</v>
      </c>
      <c r="BQ651" s="5" t="n">
        <v>0.035</v>
      </c>
      <c r="BR651" s="5" t="n">
        <v>0</v>
      </c>
      <c r="BS651" s="5" t="n">
        <v>0.333</v>
      </c>
      <c r="BT651" s="5" t="n">
        <v>0</v>
      </c>
      <c r="BU651" s="5" t="n">
        <v>-0.038</v>
      </c>
      <c r="BV651" s="5" t="n">
        <v>0.038</v>
      </c>
      <c r="BW651" s="5" t="n">
        <v>0</v>
      </c>
      <c r="BX651" s="5" t="n">
        <v>0</v>
      </c>
      <c r="BY651" s="5" t="n">
        <v>12.729</v>
      </c>
      <c r="BZ651" s="5" t="n">
        <v>0</v>
      </c>
      <c r="CA651" s="5" t="n">
        <v>12.729</v>
      </c>
      <c r="CB651" s="5" t="n">
        <v>0</v>
      </c>
      <c r="CC651" s="5" t="n">
        <v>102.477</v>
      </c>
      <c r="CD651" s="5" t="n">
        <v>7.95</v>
      </c>
      <c r="CE651" s="5" t="n">
        <v>0</v>
      </c>
      <c r="CF651" s="5" t="n">
        <v>102.477</v>
      </c>
      <c r="CG651" s="5" t="n">
        <v>0</v>
      </c>
      <c r="CH651" s="5" t="n">
        <v>1</v>
      </c>
      <c r="CI651" s="5" t="n">
        <v>0</v>
      </c>
      <c r="CJ651" s="5" t="n">
        <v>0</v>
      </c>
      <c r="CK651" s="5" t="n">
        <v>0</v>
      </c>
      <c r="CL651" s="5" t="n">
        <v>0</v>
      </c>
      <c r="CM651" s="5" t="n">
        <v>0</v>
      </c>
      <c r="CN651" s="5" t="n">
        <v>0</v>
      </c>
      <c r="CO651" s="5" t="n">
        <v>0</v>
      </c>
      <c r="CP651" s="5" t="n">
        <v>0</v>
      </c>
      <c r="CQ651" s="5" t="n">
        <v>1.294</v>
      </c>
      <c r="CR651" s="5" t="n">
        <v>1</v>
      </c>
      <c r="CS651" s="5" t="n">
        <v>1.946</v>
      </c>
      <c r="CT651" s="5" t="n">
        <v>10.485</v>
      </c>
      <c r="CU651" s="5" t="n">
        <v>29.859</v>
      </c>
    </row>
    <row r="652">
      <c r="A652" s="5" t="inlineStr">
        <is>
          <t>QAT2023</t>
        </is>
      </c>
      <c r="B652" s="5" t="inlineStr">
        <is>
          <t>QAT</t>
        </is>
      </c>
      <c r="C652" s="5" t="inlineStr">
        <is>
          <t>QAT</t>
        </is>
      </c>
      <c r="D652" s="5" t="inlineStr">
        <is>
          <t>Qatar</t>
        </is>
      </c>
      <c r="E652" s="5" t="n">
        <v>2023</v>
      </c>
      <c r="F652" s="5" t="n">
        <v>0</v>
      </c>
      <c r="G652" s="5" t="n">
        <v>6.147</v>
      </c>
      <c r="H652" s="5" t="n">
        <v>1.286</v>
      </c>
      <c r="I652" s="5" t="n">
        <v>0.273</v>
      </c>
      <c r="J652" s="5" t="n">
        <v>6.42</v>
      </c>
      <c r="K652" s="5" t="n">
        <v>0</v>
      </c>
      <c r="L652" s="5" t="n">
        <v>1</v>
      </c>
      <c r="M652" s="5" t="n">
        <v>7.886</v>
      </c>
      <c r="N652" s="5" t="n">
        <v>3.857</v>
      </c>
      <c r="O652" s="5" t="n">
        <v>0.227</v>
      </c>
      <c r="P652" s="5" t="n">
        <v>8.113</v>
      </c>
      <c r="Q652" s="5" t="n">
        <v>0</v>
      </c>
      <c r="R652" s="5" t="n">
        <v>1</v>
      </c>
      <c r="S652" s="5" t="n">
        <v>12.575</v>
      </c>
      <c r="T652" s="5" t="n">
        <v>7.714</v>
      </c>
      <c r="U652" s="5" t="n">
        <v>0.273</v>
      </c>
      <c r="V652" s="5" t="n">
        <v>12.848</v>
      </c>
      <c r="W652" s="5" t="n">
        <v>0</v>
      </c>
      <c r="X652" s="5" t="n">
        <v>1</v>
      </c>
      <c r="Y652" s="5" t="n">
        <v>2.027</v>
      </c>
      <c r="Z652" s="5" t="n">
        <v>0</v>
      </c>
      <c r="AA652" s="5" t="n">
        <v>-0.984</v>
      </c>
      <c r="AB652" s="5" t="n">
        <v>1.043</v>
      </c>
      <c r="AC652" s="5" t="n">
        <v>0</v>
      </c>
      <c r="AD652" s="5" t="n">
        <v>0</v>
      </c>
      <c r="AE652" s="5" t="n">
        <v>2.027</v>
      </c>
      <c r="AF652" s="5" t="n">
        <v>0</v>
      </c>
      <c r="AG652" s="5" t="n">
        <v>-0.984</v>
      </c>
      <c r="AH652" s="5" t="n">
        <v>1.043</v>
      </c>
      <c r="AI652" s="5" t="n">
        <v>0</v>
      </c>
      <c r="AJ652" s="5" t="n">
        <v>0</v>
      </c>
      <c r="AK652" s="5" t="n">
        <v>5.884</v>
      </c>
      <c r="AL652" s="5" t="n">
        <v>2.086</v>
      </c>
      <c r="AM652" s="5" t="n">
        <v>-0.554</v>
      </c>
      <c r="AN652" s="5" t="n">
        <v>5.329</v>
      </c>
      <c r="AO652" s="5" t="n">
        <v>0</v>
      </c>
      <c r="AP652" s="5" t="n">
        <v>1</v>
      </c>
      <c r="AQ652" s="5" t="n">
        <v>0.749</v>
      </c>
      <c r="AR652" s="5" t="n">
        <v>0.129</v>
      </c>
      <c r="AS652" s="5" t="n">
        <v>-0.172</v>
      </c>
      <c r="AT652" s="5" t="n">
        <v>0.577</v>
      </c>
      <c r="AU652" s="5" t="n">
        <v>0</v>
      </c>
      <c r="AV652" s="5" t="n">
        <v>0</v>
      </c>
      <c r="AW652" s="5" t="n">
        <v>0.783</v>
      </c>
      <c r="AX652" s="5" t="n">
        <v>0.129</v>
      </c>
      <c r="AY652" s="5" t="n">
        <v>-0.219</v>
      </c>
      <c r="AZ652" s="5" t="n">
        <v>0.5629999999999999</v>
      </c>
      <c r="BA652" s="5" t="n">
        <v>0</v>
      </c>
      <c r="BB652" s="5" t="n">
        <v>0</v>
      </c>
      <c r="BC652" s="5" t="n">
        <v>0.527</v>
      </c>
      <c r="BD652" s="5" t="n">
        <v>0.129</v>
      </c>
      <c r="BE652" s="5" t="n">
        <v>0</v>
      </c>
      <c r="BF652" s="5" t="n">
        <v>0.527</v>
      </c>
      <c r="BG652" s="5" t="n">
        <v>0</v>
      </c>
      <c r="BH652" s="5" t="n">
        <v>1</v>
      </c>
      <c r="BI652" s="5" t="n">
        <v>0.64</v>
      </c>
      <c r="BJ652" s="5" t="n">
        <v>0.129</v>
      </c>
      <c r="BK652" s="5" t="n">
        <v>0</v>
      </c>
      <c r="BL652" s="5" t="n">
        <v>0.64</v>
      </c>
      <c r="BM652" s="5" t="n">
        <v>0</v>
      </c>
      <c r="BN652" s="5" t="n">
        <v>1</v>
      </c>
      <c r="BO652" s="5" t="n">
        <v>0</v>
      </c>
      <c r="BP652" s="5" t="n">
        <v>-0.038</v>
      </c>
      <c r="BQ652" s="5" t="n">
        <v>0.036</v>
      </c>
      <c r="BR652" s="5" t="n">
        <v>0</v>
      </c>
      <c r="BS652" s="5" t="n">
        <v>0.333</v>
      </c>
      <c r="BT652" s="5" t="n">
        <v>0</v>
      </c>
      <c r="BU652" s="5" t="n">
        <v>-0.038</v>
      </c>
      <c r="BV652" s="5" t="n">
        <v>0.038</v>
      </c>
      <c r="BW652" s="5" t="n">
        <v>0</v>
      </c>
      <c r="BX652" s="5" t="n">
        <v>0</v>
      </c>
      <c r="BY652" s="5" t="n">
        <v>13.254</v>
      </c>
      <c r="BZ652" s="5" t="n">
        <v>0</v>
      </c>
      <c r="CA652" s="5" t="n">
        <v>13.254</v>
      </c>
      <c r="CB652" s="5" t="n">
        <v>0</v>
      </c>
      <c r="CC652" s="5" t="n">
        <v>87.07899999999999</v>
      </c>
      <c r="CD652" s="5" t="n">
        <v>7.95</v>
      </c>
      <c r="CE652" s="5" t="n">
        <v>0</v>
      </c>
      <c r="CF652" s="5" t="n">
        <v>87.07899999999999</v>
      </c>
      <c r="CG652" s="5" t="n">
        <v>0</v>
      </c>
      <c r="CH652" s="5" t="n">
        <v>1</v>
      </c>
      <c r="CI652" s="5" t="n">
        <v>0</v>
      </c>
      <c r="CJ652" s="5" t="n">
        <v>0</v>
      </c>
      <c r="CK652" s="5" t="n">
        <v>0</v>
      </c>
      <c r="CL652" s="5" t="n">
        <v>0</v>
      </c>
      <c r="CM652" s="5" t="n">
        <v>0</v>
      </c>
      <c r="CN652" s="5" t="n">
        <v>0</v>
      </c>
      <c r="CO652" s="5" t="n">
        <v>0</v>
      </c>
      <c r="CP652" s="5" t="n">
        <v>0</v>
      </c>
      <c r="CQ652" s="5" t="n">
        <v>1.348</v>
      </c>
      <c r="CR652" s="5" t="n">
        <v>1</v>
      </c>
      <c r="CS652" s="5" t="n">
        <v>2.027</v>
      </c>
      <c r="CT652" s="5" t="n">
        <v>4.861</v>
      </c>
      <c r="CU652" s="5" t="n">
        <v>11.061</v>
      </c>
    </row>
    <row r="653">
      <c r="A653" s="5" t="inlineStr">
        <is>
          <t>QAT2024</t>
        </is>
      </c>
      <c r="B653" s="5" t="inlineStr">
        <is>
          <t>QAT</t>
        </is>
      </c>
      <c r="C653" s="5" t="inlineStr">
        <is>
          <t>QAT</t>
        </is>
      </c>
      <c r="D653" s="5" t="inlineStr">
        <is>
          <t>Qatar</t>
        </is>
      </c>
      <c r="E653" s="5" t="n">
        <v>2024</v>
      </c>
      <c r="F653" s="5" t="n">
        <v>0</v>
      </c>
      <c r="G653" s="5" t="n">
        <v>5.575</v>
      </c>
      <c r="H653" s="5" t="n">
        <v>1.324</v>
      </c>
      <c r="I653" s="5" t="n">
        <v>0.213</v>
      </c>
      <c r="J653" s="5" t="n">
        <v>5.787</v>
      </c>
      <c r="K653" s="5" t="n">
        <v>0</v>
      </c>
      <c r="L653" s="5" t="n">
        <v>1</v>
      </c>
      <c r="M653" s="5" t="n">
        <v>7.124</v>
      </c>
      <c r="N653" s="5" t="n">
        <v>3.971</v>
      </c>
      <c r="O653" s="5" t="n">
        <v>0.158</v>
      </c>
      <c r="P653" s="5" t="n">
        <v>7.281</v>
      </c>
      <c r="Q653" s="5" t="n">
        <v>0</v>
      </c>
      <c r="R653" s="5" t="n">
        <v>1</v>
      </c>
      <c r="S653" s="5" t="n">
        <v>12.193</v>
      </c>
      <c r="T653" s="5" t="n">
        <v>7.942</v>
      </c>
      <c r="U653" s="5" t="n">
        <v>0.213</v>
      </c>
      <c r="V653" s="5" t="n">
        <v>12.405</v>
      </c>
      <c r="W653" s="5" t="n">
        <v>0</v>
      </c>
      <c r="X653" s="5" t="n">
        <v>1</v>
      </c>
      <c r="Y653" s="5" t="n">
        <v>2.086</v>
      </c>
      <c r="Z653" s="5" t="n">
        <v>0</v>
      </c>
      <c r="AA653" s="5" t="n">
        <v>-1.013</v>
      </c>
      <c r="AB653" s="5" t="n">
        <v>1.073</v>
      </c>
      <c r="AC653" s="5" t="n">
        <v>0</v>
      </c>
      <c r="AD653" s="5" t="n">
        <v>0</v>
      </c>
      <c r="AE653" s="5" t="n">
        <v>2.086</v>
      </c>
      <c r="AF653" s="5" t="n">
        <v>0</v>
      </c>
      <c r="AG653" s="5" t="n">
        <v>-1.013</v>
      </c>
      <c r="AH653" s="5" t="n">
        <v>1.073</v>
      </c>
      <c r="AI653" s="5" t="n">
        <v>0</v>
      </c>
      <c r="AJ653" s="5" t="n">
        <v>0</v>
      </c>
      <c r="AK653" s="5" t="n">
        <v>6.057</v>
      </c>
      <c r="AL653" s="5" t="n">
        <v>2.147</v>
      </c>
      <c r="AM653" s="5" t="n">
        <v>-0.507</v>
      </c>
      <c r="AN653" s="5" t="n">
        <v>5.55</v>
      </c>
      <c r="AO653" s="5" t="n">
        <v>0</v>
      </c>
      <c r="AP653" s="5" t="n">
        <v>1</v>
      </c>
      <c r="AQ653" s="5" t="n">
        <v>0.72</v>
      </c>
      <c r="AR653" s="5" t="n">
        <v>0.132</v>
      </c>
      <c r="AS653" s="5" t="n">
        <v>-0.144</v>
      </c>
      <c r="AT653" s="5" t="n">
        <v>0.576</v>
      </c>
      <c r="AU653" s="5" t="n">
        <v>0</v>
      </c>
      <c r="AV653" s="5" t="n">
        <v>0</v>
      </c>
      <c r="AW653" s="5" t="n">
        <v>0.734</v>
      </c>
      <c r="AX653" s="5" t="n">
        <v>0.132</v>
      </c>
      <c r="AY653" s="5" t="n">
        <v>-0.172</v>
      </c>
      <c r="AZ653" s="5" t="n">
        <v>0.5620000000000001</v>
      </c>
      <c r="BA653" s="5" t="n">
        <v>0</v>
      </c>
      <c r="BB653" s="5" t="n">
        <v>0</v>
      </c>
      <c r="BC653" s="5" t="n">
        <v>0.51</v>
      </c>
      <c r="BD653" s="5" t="n">
        <v>0.132</v>
      </c>
      <c r="BE653" s="5" t="n">
        <v>0</v>
      </c>
      <c r="BF653" s="5" t="n">
        <v>0.51</v>
      </c>
      <c r="BG653" s="5" t="n">
        <v>0</v>
      </c>
      <c r="BH653" s="5" t="n">
        <v>1</v>
      </c>
      <c r="BI653" s="5" t="n">
        <v>0.652</v>
      </c>
      <c r="BJ653" s="5" t="n">
        <v>0.132</v>
      </c>
      <c r="BK653" s="5" t="n">
        <v>0</v>
      </c>
      <c r="BL653" s="5" t="n">
        <v>0.652</v>
      </c>
      <c r="BM653" s="5" t="n">
        <v>0</v>
      </c>
      <c r="BN653" s="5" t="n">
        <v>1</v>
      </c>
      <c r="BO653" s="5" t="n">
        <v>0</v>
      </c>
      <c r="BP653" s="5" t="n">
        <v>-0.039</v>
      </c>
      <c r="BQ653" s="5" t="n">
        <v>0.039</v>
      </c>
      <c r="BR653" s="5" t="n">
        <v>0</v>
      </c>
      <c r="BS653" s="5" t="n">
        <v>0.333</v>
      </c>
      <c r="BT653" s="5" t="n">
        <v>0</v>
      </c>
      <c r="BU653" s="5" t="n">
        <v>-0.039</v>
      </c>
      <c r="BV653" s="5" t="n">
        <v>0.038</v>
      </c>
      <c r="BW653" s="5" t="n">
        <v>0</v>
      </c>
      <c r="BX653" s="5" t="n">
        <v>0</v>
      </c>
      <c r="BY653" s="5" t="n">
        <v>13.646</v>
      </c>
      <c r="BZ653" s="5" t="n">
        <v>0</v>
      </c>
      <c r="CA653" s="5" t="n">
        <v>13.646</v>
      </c>
      <c r="CB653" s="5" t="n">
        <v>0</v>
      </c>
      <c r="CC653" s="5" t="n">
        <v>86.38500000000001</v>
      </c>
      <c r="CD653" s="5" t="n">
        <v>7.95</v>
      </c>
      <c r="CE653" s="5" t="n">
        <v>0</v>
      </c>
      <c r="CF653" s="5" t="n">
        <v>86.38500000000001</v>
      </c>
      <c r="CG653" s="5" t="n">
        <v>0</v>
      </c>
      <c r="CH653" s="5" t="n">
        <v>1</v>
      </c>
      <c r="CI653" s="5" t="n">
        <v>0</v>
      </c>
      <c r="CJ653" s="5" t="n">
        <v>0</v>
      </c>
      <c r="CK653" s="5" t="n">
        <v>0</v>
      </c>
      <c r="CL653" s="5" t="n">
        <v>0</v>
      </c>
      <c r="CM653" s="5" t="n">
        <v>0</v>
      </c>
      <c r="CN653" s="5" t="n">
        <v>0</v>
      </c>
      <c r="CO653" s="5" t="n">
        <v>0</v>
      </c>
      <c r="CP653" s="5" t="n">
        <v>0</v>
      </c>
      <c r="CQ653" s="5" t="n">
        <v>1.387</v>
      </c>
      <c r="CR653" s="5" t="n">
        <v>1</v>
      </c>
      <c r="CS653" s="5" t="n">
        <v>2.086</v>
      </c>
      <c r="CT653" s="5" t="n">
        <v>4.251</v>
      </c>
      <c r="CU653" s="5" t="n">
        <v>9.398</v>
      </c>
    </row>
    <row r="654">
      <c r="A654" s="5" t="inlineStr">
        <is>
          <t>ROU2021</t>
        </is>
      </c>
      <c r="B654" s="5" t="inlineStr">
        <is>
          <t>ROU</t>
        </is>
      </c>
      <c r="C654" s="5" t="inlineStr">
        <is>
          <t>ROU</t>
        </is>
      </c>
      <c r="D654" s="5" t="inlineStr">
        <is>
          <t>Romania</t>
        </is>
      </c>
      <c r="E654" s="5" t="n">
        <v>2021</v>
      </c>
      <c r="F654" s="5" t="n">
        <v>0.19</v>
      </c>
      <c r="G654" s="5" t="n">
        <v>2.657</v>
      </c>
      <c r="H654" s="5" t="n">
        <v>0.709</v>
      </c>
      <c r="I654" s="5" t="n">
        <v>0.8110000000000001</v>
      </c>
      <c r="J654" s="5" t="n">
        <v>3.469</v>
      </c>
      <c r="K654" s="5" t="n">
        <v>0</v>
      </c>
      <c r="L654" s="5" t="n">
        <v>1</v>
      </c>
      <c r="M654" s="5" t="n">
        <v>4.128</v>
      </c>
      <c r="N654" s="5" t="n">
        <v>2.127</v>
      </c>
      <c r="O654" s="5" t="n">
        <v>0.797</v>
      </c>
      <c r="P654" s="5" t="n">
        <v>4.925</v>
      </c>
      <c r="Q654" s="5" t="n">
        <v>0</v>
      </c>
      <c r="R654" s="5" t="n">
        <v>1</v>
      </c>
      <c r="S654" s="5" t="n">
        <v>6.203</v>
      </c>
      <c r="T654" s="5" t="n">
        <v>4.254</v>
      </c>
      <c r="U654" s="5" t="n">
        <v>0.281</v>
      </c>
      <c r="V654" s="5" t="n">
        <v>7.716</v>
      </c>
      <c r="W654" s="5" t="n">
        <v>0.19</v>
      </c>
      <c r="X654" s="5" t="n">
        <v>1</v>
      </c>
      <c r="Y654" s="5" t="n">
        <v>12.354</v>
      </c>
      <c r="Z654" s="5" t="n">
        <v>1.365</v>
      </c>
      <c r="AA654" s="5" t="n">
        <v>-0.743</v>
      </c>
      <c r="AB654" s="5" t="n">
        <v>11.611</v>
      </c>
      <c r="AC654" s="5" t="n">
        <v>0</v>
      </c>
      <c r="AD654" s="5" t="n">
        <v>1</v>
      </c>
      <c r="AE654" s="5" t="n">
        <v>12.31</v>
      </c>
      <c r="AF654" s="5" t="n">
        <v>2.422</v>
      </c>
      <c r="AG654" s="5" t="n">
        <v>-0.699</v>
      </c>
      <c r="AH654" s="5" t="n">
        <v>11.611</v>
      </c>
      <c r="AI654" s="5" t="n">
        <v>0</v>
      </c>
      <c r="AJ654" s="5" t="n">
        <v>1</v>
      </c>
      <c r="AK654" s="5" t="n">
        <v>15.241</v>
      </c>
      <c r="AL654" s="5" t="n">
        <v>7.481</v>
      </c>
      <c r="AM654" s="5" t="n">
        <v>-2.238</v>
      </c>
      <c r="AN654" s="5" t="n">
        <v>13.004</v>
      </c>
      <c r="AO654" s="5" t="n">
        <v>0</v>
      </c>
      <c r="AP654" s="5" t="n">
        <v>1</v>
      </c>
      <c r="AQ654" s="5" t="n">
        <v>0.619</v>
      </c>
      <c r="AR654" s="5" t="n">
        <v>0.114</v>
      </c>
      <c r="AS654" s="5" t="n">
        <v>0.631</v>
      </c>
      <c r="AT654" s="5" t="n">
        <v>1.373</v>
      </c>
      <c r="AU654" s="5" t="n">
        <v>0.098</v>
      </c>
      <c r="AV654" s="5" t="n">
        <v>1</v>
      </c>
      <c r="AW654" s="5" t="n">
        <v>0.599</v>
      </c>
      <c r="AX654" s="5" t="n">
        <v>0.114</v>
      </c>
      <c r="AY654" s="5" t="n">
        <v>0.623</v>
      </c>
      <c r="AZ654" s="5" t="n">
        <v>1.353</v>
      </c>
      <c r="BA654" s="5" t="n">
        <v>0.107</v>
      </c>
      <c r="BB654" s="5" t="n">
        <v>1</v>
      </c>
      <c r="BC654" s="5" t="n">
        <v>0.439</v>
      </c>
      <c r="BD654" s="5" t="n">
        <v>0.114</v>
      </c>
      <c r="BE654" s="5" t="n">
        <v>0.207</v>
      </c>
      <c r="BF654" s="5" t="n">
        <v>0.734</v>
      </c>
      <c r="BG654" s="5" t="n">
        <v>0.137</v>
      </c>
      <c r="BH654" s="5" t="n">
        <v>1</v>
      </c>
      <c r="BI654" s="5" t="n">
        <v>0.505</v>
      </c>
      <c r="BJ654" s="5" t="n">
        <v>0.114</v>
      </c>
      <c r="BK654" s="5" t="n">
        <v>0.442</v>
      </c>
      <c r="BL654" s="5" t="n">
        <v>1.126</v>
      </c>
      <c r="BM654" s="5" t="n">
        <v>0.19</v>
      </c>
      <c r="BN654" s="5" t="n">
        <v>1</v>
      </c>
      <c r="BO654" s="5" t="n">
        <v>0</v>
      </c>
      <c r="BP654" s="5" t="n">
        <v>0.018</v>
      </c>
      <c r="BQ654" s="5" t="n">
        <v>0.128</v>
      </c>
      <c r="BR654" s="5" t="n">
        <v>0</v>
      </c>
      <c r="BS654" s="5" t="n">
        <v>1</v>
      </c>
      <c r="BT654" s="5" t="n">
        <v>0</v>
      </c>
      <c r="BU654" s="5" t="n">
        <v>0.021</v>
      </c>
      <c r="BV654" s="5" t="n">
        <v>0.186</v>
      </c>
      <c r="BW654" s="5" t="n">
        <v>0.19</v>
      </c>
      <c r="BX654" s="5" t="n">
        <v>1</v>
      </c>
      <c r="BY654" s="5" t="n">
        <v>4.634</v>
      </c>
      <c r="BZ654" s="5" t="n">
        <v>0</v>
      </c>
      <c r="CA654" s="5" t="n">
        <v>4.634</v>
      </c>
      <c r="CB654" s="5" t="n">
        <v>0</v>
      </c>
      <c r="CC654" s="5" t="n">
        <v>78.125</v>
      </c>
      <c r="CD654" s="5" t="n">
        <v>7.95</v>
      </c>
      <c r="CE654" s="5" t="n">
        <v>76.261</v>
      </c>
      <c r="CF654" s="5" t="n">
        <v>183.72</v>
      </c>
      <c r="CG654" s="5" t="n">
        <v>0.19</v>
      </c>
      <c r="CH654" s="5" t="n">
        <v>1</v>
      </c>
      <c r="CI654" s="5" t="n">
        <v>0</v>
      </c>
      <c r="CJ654" s="5" t="n">
        <v>0</v>
      </c>
      <c r="CK654" s="5" t="n">
        <v>0</v>
      </c>
      <c r="CL654" s="5" t="n">
        <v>0</v>
      </c>
      <c r="CM654" s="5" t="n">
        <v>0.023</v>
      </c>
      <c r="CN654" s="5" t="n">
        <v>0.292</v>
      </c>
      <c r="CO654" s="5" t="n">
        <v>0</v>
      </c>
      <c r="CP654" s="5" t="n">
        <v>0.76</v>
      </c>
      <c r="CQ654" s="5" t="n">
        <v>1.198</v>
      </c>
      <c r="CR654" s="5" t="n">
        <v>0</v>
      </c>
      <c r="CS654" s="5" t="n">
        <v>1.301</v>
      </c>
      <c r="CT654" s="5" t="n">
        <v>4.318</v>
      </c>
      <c r="CU654" s="5" t="n">
        <v>1.301</v>
      </c>
    </row>
    <row r="655">
      <c r="A655" s="5" t="inlineStr">
        <is>
          <t>ROU2022</t>
        </is>
      </c>
      <c r="B655" s="5" t="inlineStr">
        <is>
          <t>ROU</t>
        </is>
      </c>
      <c r="C655" s="5" t="inlineStr">
        <is>
          <t>ROU</t>
        </is>
      </c>
      <c r="D655" s="5" t="inlineStr">
        <is>
          <t>Romania</t>
        </is>
      </c>
      <c r="E655" s="5" t="n">
        <v>2022</v>
      </c>
      <c r="F655" s="5" t="n">
        <v>0.19</v>
      </c>
      <c r="G655" s="5" t="n">
        <v>4.446</v>
      </c>
      <c r="H655" s="5" t="n">
        <v>0.749</v>
      </c>
      <c r="I655" s="5" t="n">
        <v>8.585000000000001</v>
      </c>
      <c r="J655" s="5" t="n">
        <v>13.031</v>
      </c>
      <c r="K655" s="5" t="n">
        <v>0</v>
      </c>
      <c r="L655" s="5" t="n">
        <v>1</v>
      </c>
      <c r="M655" s="5" t="n">
        <v>4.562</v>
      </c>
      <c r="N655" s="5" t="n">
        <v>2.247</v>
      </c>
      <c r="O655" s="5" t="n">
        <v>8.438000000000001</v>
      </c>
      <c r="P655" s="5" t="n">
        <v>13</v>
      </c>
      <c r="Q655" s="5" t="n">
        <v>0</v>
      </c>
      <c r="R655" s="5" t="n">
        <v>1</v>
      </c>
      <c r="S655" s="5" t="n">
        <v>8.191000000000001</v>
      </c>
      <c r="T655" s="5" t="n">
        <v>4.495</v>
      </c>
      <c r="U655" s="5" t="n">
        <v>0.423</v>
      </c>
      <c r="V655" s="5" t="n">
        <v>10.109</v>
      </c>
      <c r="W655" s="5" t="n">
        <v>0.19</v>
      </c>
      <c r="X655" s="5" t="n">
        <v>1</v>
      </c>
      <c r="Y655" s="5" t="n">
        <v>12.627</v>
      </c>
      <c r="Z655" s="5" t="n">
        <v>1.325</v>
      </c>
      <c r="AA655" s="5" t="n">
        <v>26.05</v>
      </c>
      <c r="AB655" s="5" t="n">
        <v>38.677</v>
      </c>
      <c r="AC655" s="5" t="n">
        <v>0</v>
      </c>
      <c r="AD655" s="5" t="n">
        <v>1</v>
      </c>
      <c r="AE655" s="5" t="n">
        <v>12.675</v>
      </c>
      <c r="AF655" s="5" t="n">
        <v>2.35</v>
      </c>
      <c r="AG655" s="5" t="n">
        <v>26.002</v>
      </c>
      <c r="AH655" s="5" t="n">
        <v>38.677</v>
      </c>
      <c r="AI655" s="5" t="n">
        <v>0</v>
      </c>
      <c r="AJ655" s="5" t="n">
        <v>1</v>
      </c>
      <c r="AK655" s="5" t="n">
        <v>15.823</v>
      </c>
      <c r="AL655" s="5" t="n">
        <v>7.556</v>
      </c>
      <c r="AM655" s="5" t="n">
        <v>11.613</v>
      </c>
      <c r="AN655" s="5" t="n">
        <v>27.436</v>
      </c>
      <c r="AO655" s="5" t="n">
        <v>0</v>
      </c>
      <c r="AP655" s="5" t="n">
        <v>1</v>
      </c>
      <c r="AQ655" s="5" t="n">
        <v>0.861</v>
      </c>
      <c r="AR655" s="5" t="n">
        <v>0.123</v>
      </c>
      <c r="AS655" s="5" t="n">
        <v>0.612</v>
      </c>
      <c r="AT655" s="5" t="n">
        <v>1.617</v>
      </c>
      <c r="AU655" s="5" t="n">
        <v>0.098</v>
      </c>
      <c r="AV655" s="5" t="n">
        <v>1</v>
      </c>
      <c r="AW655" s="5" t="n">
        <v>0.986</v>
      </c>
      <c r="AX655" s="5" t="n">
        <v>0.123</v>
      </c>
      <c r="AY655" s="5" t="n">
        <v>0.603</v>
      </c>
      <c r="AZ655" s="5" t="n">
        <v>1.759</v>
      </c>
      <c r="BA655" s="5" t="n">
        <v>0.107</v>
      </c>
      <c r="BB655" s="5" t="n">
        <v>1</v>
      </c>
      <c r="BC655" s="5" t="n">
        <v>0.598</v>
      </c>
      <c r="BD655" s="5" t="n">
        <v>0.123</v>
      </c>
      <c r="BE655" s="5" t="n">
        <v>0.159</v>
      </c>
      <c r="BF655" s="5" t="n">
        <v>0.86</v>
      </c>
      <c r="BG655" s="5" t="n">
        <v>0.137</v>
      </c>
      <c r="BH655" s="5" t="n">
        <v>1</v>
      </c>
      <c r="BI655" s="5" t="n">
        <v>0.612</v>
      </c>
      <c r="BJ655" s="5" t="n">
        <v>0.123</v>
      </c>
      <c r="BK655" s="5" t="n">
        <v>0.798</v>
      </c>
      <c r="BL655" s="5" t="n">
        <v>1.679</v>
      </c>
      <c r="BM655" s="5" t="n">
        <v>0.19</v>
      </c>
      <c r="BN655" s="5" t="n">
        <v>1</v>
      </c>
      <c r="BO655" s="5" t="n">
        <v>0</v>
      </c>
      <c r="BP655" s="5" t="n">
        <v>0.017</v>
      </c>
      <c r="BQ655" s="5" t="n">
        <v>0.238</v>
      </c>
      <c r="BR655" s="5" t="n">
        <v>0</v>
      </c>
      <c r="BS655" s="5" t="n">
        <v>1</v>
      </c>
      <c r="BT655" s="5" t="n">
        <v>0</v>
      </c>
      <c r="BU655" s="5" t="n">
        <v>0.021</v>
      </c>
      <c r="BV655" s="5" t="n">
        <v>0.304</v>
      </c>
      <c r="BW655" s="5" t="n">
        <v>0.19</v>
      </c>
      <c r="BX655" s="5" t="n">
        <v>1</v>
      </c>
      <c r="BY655" s="5" t="n">
        <v>5.005</v>
      </c>
      <c r="BZ655" s="5" t="n">
        <v>0</v>
      </c>
      <c r="CA655" s="5" t="n">
        <v>5.005</v>
      </c>
      <c r="CB655" s="5" t="n">
        <v>0</v>
      </c>
      <c r="CC655" s="5" t="n">
        <v>97.90000000000001</v>
      </c>
      <c r="CD655" s="5" t="n">
        <v>7.95</v>
      </c>
      <c r="CE655" s="5" t="n">
        <v>161.932</v>
      </c>
      <c r="CF655" s="5" t="n">
        <v>309.2</v>
      </c>
      <c r="CG655" s="5" t="n">
        <v>0.19</v>
      </c>
      <c r="CH655" s="5" t="n">
        <v>1</v>
      </c>
      <c r="CI655" s="5" t="n">
        <v>0</v>
      </c>
      <c r="CJ655" s="5" t="n">
        <v>0</v>
      </c>
      <c r="CK655" s="5" t="n">
        <v>0</v>
      </c>
      <c r="CL655" s="5" t="n">
        <v>0</v>
      </c>
      <c r="CM655" s="5" t="n">
        <v>0.025</v>
      </c>
      <c r="CN655" s="5" t="n">
        <v>0.314</v>
      </c>
      <c r="CO655" s="5" t="n">
        <v>0</v>
      </c>
      <c r="CP655" s="5" t="n">
        <v>0.787</v>
      </c>
      <c r="CQ655" s="5" t="n">
        <v>1.294</v>
      </c>
      <c r="CR655" s="5" t="n">
        <v>0</v>
      </c>
      <c r="CS655" s="5" t="n">
        <v>1.483</v>
      </c>
      <c r="CT655" s="5" t="n">
        <v>12.553</v>
      </c>
      <c r="CU655" s="5" t="n">
        <v>1.483</v>
      </c>
    </row>
    <row r="656">
      <c r="A656" s="5" t="inlineStr">
        <is>
          <t>ROU2023</t>
        </is>
      </c>
      <c r="B656" s="5" t="inlineStr">
        <is>
          <t>ROU</t>
        </is>
      </c>
      <c r="C656" s="5" t="inlineStr">
        <is>
          <t>ROU</t>
        </is>
      </c>
      <c r="D656" s="5" t="inlineStr">
        <is>
          <t>Romania</t>
        </is>
      </c>
      <c r="E656" s="5" t="n">
        <v>2023</v>
      </c>
      <c r="F656" s="5" t="n">
        <v>0.19</v>
      </c>
      <c r="G656" s="5" t="n">
        <v>3.52</v>
      </c>
      <c r="H656" s="5" t="n">
        <v>0.739</v>
      </c>
      <c r="I656" s="5" t="n">
        <v>9.664999999999999</v>
      </c>
      <c r="J656" s="5" t="n">
        <v>13.186</v>
      </c>
      <c r="K656" s="5" t="n">
        <v>0</v>
      </c>
      <c r="L656" s="5" t="n">
        <v>1</v>
      </c>
      <c r="M656" s="5" t="n">
        <v>3.968</v>
      </c>
      <c r="N656" s="5" t="n">
        <v>2.218</v>
      </c>
      <c r="O656" s="5" t="n">
        <v>9.726000000000001</v>
      </c>
      <c r="P656" s="5" t="n">
        <v>13.694</v>
      </c>
      <c r="Q656" s="5" t="n">
        <v>0</v>
      </c>
      <c r="R656" s="5" t="n">
        <v>1</v>
      </c>
      <c r="S656" s="5" t="n">
        <v>7.217</v>
      </c>
      <c r="T656" s="5" t="n">
        <v>4.436</v>
      </c>
      <c r="U656" s="5" t="n">
        <v>0.474</v>
      </c>
      <c r="V656" s="5" t="n">
        <v>8.964</v>
      </c>
      <c r="W656" s="5" t="n">
        <v>0.19</v>
      </c>
      <c r="X656" s="5" t="n">
        <v>1</v>
      </c>
      <c r="Y656" s="5" t="n">
        <v>12.508</v>
      </c>
      <c r="Z656" s="5" t="n">
        <v>1.401</v>
      </c>
      <c r="AA656" s="5" t="n">
        <v>10.124</v>
      </c>
      <c r="AB656" s="5" t="n">
        <v>22.631</v>
      </c>
      <c r="AC656" s="5" t="n">
        <v>0</v>
      </c>
      <c r="AD656" s="5" t="n">
        <v>1</v>
      </c>
      <c r="AE656" s="5" t="n">
        <v>12.607</v>
      </c>
      <c r="AF656" s="5" t="n">
        <v>2.511</v>
      </c>
      <c r="AG656" s="5" t="n">
        <v>10.025</v>
      </c>
      <c r="AH656" s="5" t="n">
        <v>22.631</v>
      </c>
      <c r="AI656" s="5" t="n">
        <v>0</v>
      </c>
      <c r="AJ656" s="5" t="n">
        <v>1</v>
      </c>
      <c r="AK656" s="5" t="n">
        <v>15.9</v>
      </c>
      <c r="AL656" s="5" t="n">
        <v>7.876</v>
      </c>
      <c r="AM656" s="5" t="n">
        <v>0.723</v>
      </c>
      <c r="AN656" s="5" t="n">
        <v>16.623</v>
      </c>
      <c r="AO656" s="5" t="n">
        <v>0</v>
      </c>
      <c r="AP656" s="5" t="n">
        <v>1</v>
      </c>
      <c r="AQ656" s="5" t="n">
        <v>0.76</v>
      </c>
      <c r="AR656" s="5" t="n">
        <v>0.129</v>
      </c>
      <c r="AS656" s="5" t="n">
        <v>0.59</v>
      </c>
      <c r="AT656" s="5" t="n">
        <v>1.483</v>
      </c>
      <c r="AU656" s="5" t="n">
        <v>0.098</v>
      </c>
      <c r="AV656" s="5" t="n">
        <v>1</v>
      </c>
      <c r="AW656" s="5" t="n">
        <v>0.8110000000000001</v>
      </c>
      <c r="AX656" s="5" t="n">
        <v>0.129</v>
      </c>
      <c r="AY656" s="5" t="n">
        <v>0.603</v>
      </c>
      <c r="AZ656" s="5" t="n">
        <v>1.565</v>
      </c>
      <c r="BA656" s="5" t="n">
        <v>0.107</v>
      </c>
      <c r="BB656" s="5" t="n">
        <v>1</v>
      </c>
      <c r="BC656" s="5" t="n">
        <v>0.535</v>
      </c>
      <c r="BD656" s="5" t="n">
        <v>0.129</v>
      </c>
      <c r="BE656" s="5" t="n">
        <v>0.17</v>
      </c>
      <c r="BF656" s="5" t="n">
        <v>0.802</v>
      </c>
      <c r="BG656" s="5" t="n">
        <v>0.137</v>
      </c>
      <c r="BH656" s="5" t="n">
        <v>1</v>
      </c>
      <c r="BI656" s="5" t="n">
        <v>0.579</v>
      </c>
      <c r="BJ656" s="5" t="n">
        <v>0.129</v>
      </c>
      <c r="BK656" s="5" t="n">
        <v>0.647</v>
      </c>
      <c r="BL656" s="5" t="n">
        <v>1.46</v>
      </c>
      <c r="BM656" s="5" t="n">
        <v>0.19</v>
      </c>
      <c r="BN656" s="5" t="n">
        <v>1</v>
      </c>
      <c r="BO656" s="5" t="n">
        <v>0</v>
      </c>
      <c r="BP656" s="5" t="n">
        <v>0.014</v>
      </c>
      <c r="BQ656" s="5" t="n">
        <v>0.173</v>
      </c>
      <c r="BR656" s="5" t="n">
        <v>0</v>
      </c>
      <c r="BS656" s="5" t="n">
        <v>1</v>
      </c>
      <c r="BT656" s="5" t="n">
        <v>0</v>
      </c>
      <c r="BU656" s="5" t="n">
        <v>0.017</v>
      </c>
      <c r="BV656" s="5" t="n">
        <v>0.206</v>
      </c>
      <c r="BW656" s="5" t="n">
        <v>0.19</v>
      </c>
      <c r="BX656" s="5" t="n">
        <v>1</v>
      </c>
      <c r="BY656" s="5" t="n">
        <v>5.211</v>
      </c>
      <c r="BZ656" s="5" t="n">
        <v>0</v>
      </c>
      <c r="CA656" s="5" t="n">
        <v>5.211</v>
      </c>
      <c r="CB656" s="5" t="n">
        <v>0</v>
      </c>
      <c r="CC656" s="5" t="n">
        <v>83.248</v>
      </c>
      <c r="CD656" s="5" t="n">
        <v>7.95</v>
      </c>
      <c r="CE656" s="5" t="n">
        <v>152.661</v>
      </c>
      <c r="CF656" s="5" t="n">
        <v>280.731</v>
      </c>
      <c r="CG656" s="5" t="n">
        <v>0.19</v>
      </c>
      <c r="CH656" s="5" t="n">
        <v>1</v>
      </c>
      <c r="CI656" s="5" t="n">
        <v>0</v>
      </c>
      <c r="CJ656" s="5" t="n">
        <v>0</v>
      </c>
      <c r="CK656" s="5" t="n">
        <v>0</v>
      </c>
      <c r="CL656" s="5" t="n">
        <v>0</v>
      </c>
      <c r="CM656" s="5" t="n">
        <v>0.026</v>
      </c>
      <c r="CN656" s="5" t="n">
        <v>0.328</v>
      </c>
      <c r="CO656" s="5" t="n">
        <v>0</v>
      </c>
      <c r="CP656" s="5" t="n">
        <v>0.85</v>
      </c>
      <c r="CQ656" s="5" t="n">
        <v>1.348</v>
      </c>
      <c r="CR656" s="5" t="n">
        <v>0</v>
      </c>
      <c r="CS656" s="5" t="n">
        <v>1.313</v>
      </c>
      <c r="CT656" s="5" t="n">
        <v>10.896</v>
      </c>
      <c r="CU656" s="5" t="n">
        <v>1.313</v>
      </c>
    </row>
    <row r="657">
      <c r="A657" s="5" t="inlineStr">
        <is>
          <t>ROU2024</t>
        </is>
      </c>
      <c r="B657" s="5" t="inlineStr">
        <is>
          <t>ROU</t>
        </is>
      </c>
      <c r="C657" s="5" t="inlineStr">
        <is>
          <t>ROU</t>
        </is>
      </c>
      <c r="D657" s="5" t="inlineStr">
        <is>
          <t>Romania</t>
        </is>
      </c>
      <c r="E657" s="5" t="n">
        <v>2024</v>
      </c>
      <c r="F657" s="5" t="n">
        <v>0.19</v>
      </c>
      <c r="G657" s="5" t="n">
        <v>3.141</v>
      </c>
      <c r="H657" s="5" t="n">
        <v>0.761</v>
      </c>
      <c r="I657" s="5" t="n">
        <v>6.237</v>
      </c>
      <c r="J657" s="5" t="n">
        <v>9.377000000000001</v>
      </c>
      <c r="K657" s="5" t="n">
        <v>0</v>
      </c>
      <c r="L657" s="5" t="n">
        <v>1</v>
      </c>
      <c r="M657" s="5" t="n">
        <v>3.936</v>
      </c>
      <c r="N657" s="5" t="n">
        <v>2.283</v>
      </c>
      <c r="O657" s="5" t="n">
        <v>6.357</v>
      </c>
      <c r="P657" s="5" t="n">
        <v>10.292</v>
      </c>
      <c r="Q657" s="5" t="n">
        <v>0</v>
      </c>
      <c r="R657" s="5" t="n">
        <v>1</v>
      </c>
      <c r="S657" s="5" t="n">
        <v>6.946</v>
      </c>
      <c r="T657" s="5" t="n">
        <v>4.567</v>
      </c>
      <c r="U657" s="5" t="n">
        <v>0.514</v>
      </c>
      <c r="V657" s="5" t="n">
        <v>8.653</v>
      </c>
      <c r="W657" s="5" t="n">
        <v>0.19</v>
      </c>
      <c r="X657" s="5" t="n">
        <v>1</v>
      </c>
      <c r="Y657" s="5" t="n">
        <v>14.578</v>
      </c>
      <c r="Z657" s="5" t="n">
        <v>1.841</v>
      </c>
      <c r="AA657" s="5" t="n">
        <v>3.912</v>
      </c>
      <c r="AB657" s="5" t="n">
        <v>18.49</v>
      </c>
      <c r="AC657" s="5" t="n">
        <v>0</v>
      </c>
      <c r="AD657" s="5" t="n">
        <v>1</v>
      </c>
      <c r="AE657" s="5" t="n">
        <v>14.578</v>
      </c>
      <c r="AF657" s="5" t="n">
        <v>3.193</v>
      </c>
      <c r="AG657" s="5" t="n">
        <v>3.912</v>
      </c>
      <c r="AH657" s="5" t="n">
        <v>18.49</v>
      </c>
      <c r="AI657" s="5" t="n">
        <v>0</v>
      </c>
      <c r="AJ657" s="5" t="n">
        <v>1</v>
      </c>
      <c r="AK657" s="5" t="n">
        <v>17.969</v>
      </c>
      <c r="AL657" s="5" t="n">
        <v>9.138999999999999</v>
      </c>
      <c r="AM657" s="5" t="n">
        <v>-1.107</v>
      </c>
      <c r="AN657" s="5" t="n">
        <v>16.862</v>
      </c>
      <c r="AO657" s="5" t="n">
        <v>0</v>
      </c>
      <c r="AP657" s="5" t="n">
        <v>1</v>
      </c>
      <c r="AQ657" s="5" t="n">
        <v>0.724</v>
      </c>
      <c r="AR657" s="5" t="n">
        <v>0.132</v>
      </c>
      <c r="AS657" s="5" t="n">
        <v>0.694</v>
      </c>
      <c r="AT657" s="5" t="n">
        <v>1.557</v>
      </c>
      <c r="AU657" s="5" t="n">
        <v>0.098</v>
      </c>
      <c r="AV657" s="5" t="n">
        <v>1</v>
      </c>
      <c r="AW657" s="5" t="n">
        <v>0.75</v>
      </c>
      <c r="AX657" s="5" t="n">
        <v>0.132</v>
      </c>
      <c r="AY657" s="5" t="n">
        <v>0.681</v>
      </c>
      <c r="AZ657" s="5" t="n">
        <v>1.583</v>
      </c>
      <c r="BA657" s="5" t="n">
        <v>0.107</v>
      </c>
      <c r="BB657" s="5" t="n">
        <v>1</v>
      </c>
      <c r="BC657" s="5" t="n">
        <v>0.513</v>
      </c>
      <c r="BD657" s="5" t="n">
        <v>0.132</v>
      </c>
      <c r="BE657" s="5" t="n">
        <v>0.148</v>
      </c>
      <c r="BF657" s="5" t="n">
        <v>0.752</v>
      </c>
      <c r="BG657" s="5" t="n">
        <v>0.137</v>
      </c>
      <c r="BH657" s="5" t="n">
        <v>1</v>
      </c>
      <c r="BI657" s="5" t="n">
        <v>0.591</v>
      </c>
      <c r="BJ657" s="5" t="n">
        <v>0.132</v>
      </c>
      <c r="BK657" s="5" t="n">
        <v>0.7</v>
      </c>
      <c r="BL657" s="5" t="n">
        <v>1.498</v>
      </c>
      <c r="BM657" s="5" t="n">
        <v>0.19</v>
      </c>
      <c r="BN657" s="5" t="n">
        <v>1</v>
      </c>
      <c r="BO657" s="5" t="n">
        <v>0</v>
      </c>
      <c r="BP657" s="5" t="n">
        <v>0.017</v>
      </c>
      <c r="BQ657" s="5" t="n">
        <v>0.167</v>
      </c>
      <c r="BR657" s="5" t="n">
        <v>0</v>
      </c>
      <c r="BS657" s="5" t="n">
        <v>1</v>
      </c>
      <c r="BT657" s="5" t="n">
        <v>0</v>
      </c>
      <c r="BU657" s="5" t="n">
        <v>0.02</v>
      </c>
      <c r="BV657" s="5" t="n">
        <v>0.203</v>
      </c>
      <c r="BW657" s="5" t="n">
        <v>0.19</v>
      </c>
      <c r="BX657" s="5" t="n">
        <v>1</v>
      </c>
      <c r="BY657" s="5" t="n">
        <v>5.365</v>
      </c>
      <c r="BZ657" s="5" t="n">
        <v>0</v>
      </c>
      <c r="CA657" s="5" t="n">
        <v>5.365</v>
      </c>
      <c r="CB657" s="5" t="n">
        <v>0</v>
      </c>
      <c r="CC657" s="5" t="n">
        <v>82.58799999999999</v>
      </c>
      <c r="CD657" s="5" t="n">
        <v>7.95</v>
      </c>
      <c r="CE657" s="5" t="n">
        <v>81.268</v>
      </c>
      <c r="CF657" s="5" t="n">
        <v>194.989</v>
      </c>
      <c r="CG657" s="5" t="n">
        <v>0.19</v>
      </c>
      <c r="CH657" s="5" t="n">
        <v>1</v>
      </c>
      <c r="CI657" s="5" t="n">
        <v>0</v>
      </c>
      <c r="CJ657" s="5" t="n">
        <v>0</v>
      </c>
      <c r="CK657" s="5" t="n">
        <v>0</v>
      </c>
      <c r="CL657" s="5" t="n">
        <v>0</v>
      </c>
      <c r="CM657" s="5" t="n">
        <v>0.027</v>
      </c>
      <c r="CN657" s="5" t="n">
        <v>0.313</v>
      </c>
      <c r="CO657" s="5" t="n">
        <v>0</v>
      </c>
      <c r="CP657" s="5" t="n">
        <v>0.85</v>
      </c>
      <c r="CQ657" s="5" t="n">
        <v>1.387</v>
      </c>
      <c r="CR657" s="5" t="n">
        <v>0</v>
      </c>
      <c r="CS657" s="5" t="n">
        <v>1.569</v>
      </c>
      <c r="CT657" s="5" t="n">
        <v>7.996</v>
      </c>
      <c r="CU657" s="5" t="n">
        <v>1.569</v>
      </c>
    </row>
    <row r="658">
      <c r="A658" s="5" t="inlineStr">
        <is>
          <t>RUS2021</t>
        </is>
      </c>
      <c r="B658" s="5" t="inlineStr">
        <is>
          <t>RUS</t>
        </is>
      </c>
      <c r="C658" s="5" t="inlineStr">
        <is>
          <t>RUS</t>
        </is>
      </c>
      <c r="D658" s="5" t="inlineStr">
        <is>
          <t>Russia</t>
        </is>
      </c>
      <c r="E658" s="5" t="n">
        <v>2021</v>
      </c>
      <c r="F658" s="5" t="n">
        <v>0.2</v>
      </c>
      <c r="G658" s="5" t="n">
        <v>1.501</v>
      </c>
      <c r="H658" s="5" t="n">
        <v>0.328</v>
      </c>
      <c r="I658" s="5" t="n">
        <v>0.008999999999999999</v>
      </c>
      <c r="J658" s="5" t="n">
        <v>1.51</v>
      </c>
      <c r="K658" s="5" t="n">
        <v>0</v>
      </c>
      <c r="L658" s="5" t="n">
        <v>1</v>
      </c>
      <c r="M658" s="5" t="n">
        <v>6.714</v>
      </c>
      <c r="N658" s="5" t="n">
        <v>3.043</v>
      </c>
      <c r="O658" s="5" t="n">
        <v>0.026</v>
      </c>
      <c r="P658" s="5" t="n">
        <v>6.74</v>
      </c>
      <c r="Q658" s="5" t="n">
        <v>0</v>
      </c>
      <c r="R658" s="5" t="n">
        <v>1</v>
      </c>
      <c r="S658" s="5" t="n">
        <v>2.561</v>
      </c>
      <c r="T658" s="5" t="n">
        <v>1.587</v>
      </c>
      <c r="U658" s="5" t="n">
        <v>0.014</v>
      </c>
      <c r="V658" s="5" t="n">
        <v>3.09</v>
      </c>
      <c r="W658" s="5" t="n">
        <v>0.2</v>
      </c>
      <c r="X658" s="5" t="n">
        <v>1</v>
      </c>
      <c r="Y658" s="5" t="n">
        <v>6.678</v>
      </c>
      <c r="Z658" s="5" t="n">
        <v>0</v>
      </c>
      <c r="AA658" s="5" t="n">
        <v>-4.088</v>
      </c>
      <c r="AB658" s="5" t="n">
        <v>2.59</v>
      </c>
      <c r="AC658" s="5" t="n">
        <v>0</v>
      </c>
      <c r="AD658" s="5" t="n">
        <v>1</v>
      </c>
      <c r="AE658" s="5" t="n">
        <v>6.678</v>
      </c>
      <c r="AF658" s="5" t="n">
        <v>0</v>
      </c>
      <c r="AG658" s="5" t="n">
        <v>-4.088</v>
      </c>
      <c r="AH658" s="5" t="n">
        <v>2.59</v>
      </c>
      <c r="AI658" s="5" t="n">
        <v>0</v>
      </c>
      <c r="AJ658" s="5" t="n">
        <v>1</v>
      </c>
      <c r="AK658" s="5" t="n">
        <v>10.16</v>
      </c>
      <c r="AL658" s="5" t="n">
        <v>4.418</v>
      </c>
      <c r="AM658" s="5" t="n">
        <v>-8.385</v>
      </c>
      <c r="AN658" s="5" t="n">
        <v>2.13</v>
      </c>
      <c r="AO658" s="5" t="n">
        <v>0</v>
      </c>
      <c r="AP658" s="5" t="n">
        <v>0</v>
      </c>
      <c r="AQ658" s="5" t="n">
        <v>0.614</v>
      </c>
      <c r="AR658" s="5" t="n">
        <v>0.112</v>
      </c>
      <c r="AS658" s="5" t="n">
        <v>-0.089</v>
      </c>
      <c r="AT658" s="5" t="n">
        <v>0.63</v>
      </c>
      <c r="AU658" s="5" t="n">
        <v>0.2</v>
      </c>
      <c r="AV658" s="5" t="n">
        <v>1</v>
      </c>
      <c r="AW658" s="5" t="n">
        <v>0.626</v>
      </c>
      <c r="AX658" s="5" t="n">
        <v>0.121</v>
      </c>
      <c r="AY658" s="5" t="n">
        <v>-0.008999999999999999</v>
      </c>
      <c r="AZ658" s="5" t="n">
        <v>0.74</v>
      </c>
      <c r="BA658" s="5" t="n">
        <v>0.2</v>
      </c>
      <c r="BB658" s="5" t="n">
        <v>1</v>
      </c>
      <c r="BC658" s="5" t="n">
        <v>0.439</v>
      </c>
      <c r="BD658" s="5" t="n">
        <v>0.114</v>
      </c>
      <c r="BE658" s="5" t="n">
        <v>-0.153</v>
      </c>
      <c r="BF658" s="5" t="n">
        <v>0.343</v>
      </c>
      <c r="BG658" s="5" t="n">
        <v>0</v>
      </c>
      <c r="BH658" s="5" t="n">
        <v>0</v>
      </c>
      <c r="BI658" s="5" t="n">
        <v>0.578</v>
      </c>
      <c r="BJ658" s="5" t="n">
        <v>0.128</v>
      </c>
      <c r="BK658" s="5" t="n">
        <v>-0.019</v>
      </c>
      <c r="BL658" s="5" t="n">
        <v>0.67</v>
      </c>
      <c r="BM658" s="5" t="n">
        <v>0.2</v>
      </c>
      <c r="BN658" s="5" t="n">
        <v>1</v>
      </c>
      <c r="BO658" s="5" t="n">
        <v>0</v>
      </c>
      <c r="BP658" s="5" t="n">
        <v>-0.035</v>
      </c>
      <c r="BQ658" s="5" t="n">
        <v>0.032</v>
      </c>
      <c r="BR658" s="5" t="n">
        <v>0</v>
      </c>
      <c r="BS658" s="5" t="n">
        <v>1</v>
      </c>
      <c r="BT658" s="5" t="n">
        <v>0</v>
      </c>
      <c r="BU658" s="5" t="n">
        <v>-0.035</v>
      </c>
      <c r="BV658" s="5" t="n">
        <v>0.048</v>
      </c>
      <c r="BW658" s="5" t="n">
        <v>0</v>
      </c>
      <c r="BX658" s="5" t="n">
        <v>1</v>
      </c>
      <c r="BY658" s="5" t="n">
        <v>1.431</v>
      </c>
      <c r="BZ658" s="5" t="n">
        <v>0</v>
      </c>
      <c r="CA658" s="5" t="n">
        <v>1.431</v>
      </c>
      <c r="CB658" s="5" t="n">
        <v>0</v>
      </c>
      <c r="CC658" s="5" t="n">
        <v>78.125</v>
      </c>
      <c r="CD658" s="5" t="n">
        <v>7.95</v>
      </c>
      <c r="CE658" s="5" t="n">
        <v>-22.475</v>
      </c>
      <c r="CF658" s="5" t="n">
        <v>66.78</v>
      </c>
      <c r="CG658" s="5" t="n">
        <v>0</v>
      </c>
      <c r="CH658" s="5" t="n">
        <v>1</v>
      </c>
      <c r="CI658" s="5" t="n">
        <v>0</v>
      </c>
      <c r="CJ658" s="5" t="n">
        <v>0</v>
      </c>
      <c r="CK658" s="5" t="n">
        <v>0</v>
      </c>
      <c r="CL658" s="5" t="n">
        <v>0.043</v>
      </c>
      <c r="CM658" s="5" t="n">
        <v>0</v>
      </c>
      <c r="CN658" s="5" t="n">
        <v>1.568</v>
      </c>
      <c r="CO658" s="5" t="n">
        <v>9.936999999999999</v>
      </c>
      <c r="CP658" s="5" t="n">
        <v>0</v>
      </c>
      <c r="CQ658" s="5" t="n">
        <v>1.137</v>
      </c>
      <c r="CR658" s="5" t="n">
        <v>0.985</v>
      </c>
      <c r="CS658" s="5" t="n">
        <v>6.678</v>
      </c>
      <c r="CT658" s="5" t="n">
        <v>3.312</v>
      </c>
      <c r="CU658" s="5" t="n">
        <v>7.249</v>
      </c>
    </row>
    <row r="659">
      <c r="A659" s="5" t="inlineStr">
        <is>
          <t>RUS2022</t>
        </is>
      </c>
      <c r="B659" s="5" t="inlineStr">
        <is>
          <t>RUS</t>
        </is>
      </c>
      <c r="C659" s="5" t="inlineStr">
        <is>
          <t>RUS</t>
        </is>
      </c>
      <c r="D659" s="5" t="inlineStr">
        <is>
          <t>Russia</t>
        </is>
      </c>
      <c r="E659" s="5" t="n">
        <v>2022</v>
      </c>
      <c r="F659" s="5" t="n">
        <v>0.2</v>
      </c>
      <c r="G659" s="5" t="n">
        <v>1.52</v>
      </c>
      <c r="H659" s="5" t="n">
        <v>0.236</v>
      </c>
      <c r="I659" s="5" t="n">
        <v>0.01</v>
      </c>
      <c r="J659" s="5" t="n">
        <v>1.53</v>
      </c>
      <c r="K659" s="5" t="n">
        <v>0</v>
      </c>
      <c r="L659" s="5" t="n">
        <v>1</v>
      </c>
      <c r="M659" s="5" t="n">
        <v>6.298</v>
      </c>
      <c r="N659" s="5" t="n">
        <v>2.601</v>
      </c>
      <c r="O659" s="5" t="n">
        <v>0.032</v>
      </c>
      <c r="P659" s="5" t="n">
        <v>6.33</v>
      </c>
      <c r="Q659" s="5" t="n">
        <v>0</v>
      </c>
      <c r="R659" s="5" t="n">
        <v>1</v>
      </c>
      <c r="S659" s="5" t="n">
        <v>3.075</v>
      </c>
      <c r="T659" s="5" t="n">
        <v>1.506</v>
      </c>
      <c r="U659" s="5" t="n">
        <v>0.017</v>
      </c>
      <c r="V659" s="5" t="n">
        <v>3.71</v>
      </c>
      <c r="W659" s="5" t="n">
        <v>0.2</v>
      </c>
      <c r="X659" s="5" t="n">
        <v>1</v>
      </c>
      <c r="Y659" s="5" t="n">
        <v>7.212</v>
      </c>
      <c r="Z659" s="5" t="n">
        <v>0</v>
      </c>
      <c r="AA659" s="5" t="n">
        <v>-4.202</v>
      </c>
      <c r="AB659" s="5" t="n">
        <v>3.01</v>
      </c>
      <c r="AC659" s="5" t="n">
        <v>0</v>
      </c>
      <c r="AD659" s="5" t="n">
        <v>1</v>
      </c>
      <c r="AE659" s="5" t="n">
        <v>7.212</v>
      </c>
      <c r="AF659" s="5" t="n">
        <v>0</v>
      </c>
      <c r="AG659" s="5" t="n">
        <v>-4.202</v>
      </c>
      <c r="AH659" s="5" t="n">
        <v>3.01</v>
      </c>
      <c r="AI659" s="5" t="n">
        <v>0</v>
      </c>
      <c r="AJ659" s="5" t="n">
        <v>1</v>
      </c>
      <c r="AK659" s="5" t="n">
        <v>10.972</v>
      </c>
      <c r="AL659" s="5" t="n">
        <v>4.771</v>
      </c>
      <c r="AM659" s="5" t="n">
        <v>-9.071999999999999</v>
      </c>
      <c r="AN659" s="5" t="n">
        <v>2.28</v>
      </c>
      <c r="AO659" s="5" t="n">
        <v>0</v>
      </c>
      <c r="AP659" s="5" t="n">
        <v>0</v>
      </c>
      <c r="AQ659" s="5" t="n">
        <v>0.528</v>
      </c>
      <c r="AR659" s="5" t="n">
        <v>0.076</v>
      </c>
      <c r="AS659" s="5" t="n">
        <v>0.031</v>
      </c>
      <c r="AT659" s="5" t="n">
        <v>0.67</v>
      </c>
      <c r="AU659" s="5" t="n">
        <v>0.2</v>
      </c>
      <c r="AV659" s="5" t="n">
        <v>1</v>
      </c>
      <c r="AW659" s="5" t="n">
        <v>0.826</v>
      </c>
      <c r="AX659" s="5" t="n">
        <v>0.107</v>
      </c>
      <c r="AY659" s="5" t="n">
        <v>-0.109</v>
      </c>
      <c r="AZ659" s="5" t="n">
        <v>0.86</v>
      </c>
      <c r="BA659" s="5" t="n">
        <v>0.2</v>
      </c>
      <c r="BB659" s="5" t="n">
        <v>1</v>
      </c>
      <c r="BC659" s="5" t="n">
        <v>0.598</v>
      </c>
      <c r="BD659" s="5" t="n">
        <v>0.123</v>
      </c>
      <c r="BE659" s="5" t="n">
        <v>-0.442</v>
      </c>
      <c r="BF659" s="5" t="n">
        <v>0.187</v>
      </c>
      <c r="BG659" s="5" t="n">
        <v>0</v>
      </c>
      <c r="BH659" s="5" t="n">
        <v>0</v>
      </c>
      <c r="BI659" s="5" t="n">
        <v>0.983</v>
      </c>
      <c r="BJ659" s="5" t="n">
        <v>0.192</v>
      </c>
      <c r="BK659" s="5" t="n">
        <v>-0.25</v>
      </c>
      <c r="BL659" s="5" t="n">
        <v>0.88</v>
      </c>
      <c r="BM659" s="5" t="n">
        <v>0.2</v>
      </c>
      <c r="BN659" s="5" t="n">
        <v>1</v>
      </c>
      <c r="BO659" s="5" t="n">
        <v>0</v>
      </c>
      <c r="BP659" s="5" t="n">
        <v>-0.035</v>
      </c>
      <c r="BQ659" s="5" t="n">
        <v>0.038</v>
      </c>
      <c r="BR659" s="5" t="n">
        <v>0</v>
      </c>
      <c r="BS659" s="5" t="n">
        <v>1</v>
      </c>
      <c r="BT659" s="5" t="n">
        <v>0</v>
      </c>
      <c r="BU659" s="5" t="n">
        <v>-0.035</v>
      </c>
      <c r="BV659" s="5" t="n">
        <v>0.057</v>
      </c>
      <c r="BW659" s="5" t="n">
        <v>0</v>
      </c>
      <c r="BX659" s="5" t="n">
        <v>1</v>
      </c>
      <c r="BY659" s="5" t="n">
        <v>1.545</v>
      </c>
      <c r="BZ659" s="5" t="n">
        <v>0</v>
      </c>
      <c r="CA659" s="5" t="n">
        <v>1.545</v>
      </c>
      <c r="CB659" s="5" t="n">
        <v>0</v>
      </c>
      <c r="CC659" s="5" t="n">
        <v>97.90000000000001</v>
      </c>
      <c r="CD659" s="5" t="n">
        <v>7.95</v>
      </c>
      <c r="CE659" s="5" t="n">
        <v>-68.75</v>
      </c>
      <c r="CF659" s="5" t="n">
        <v>34.98</v>
      </c>
      <c r="CG659" s="5" t="n">
        <v>0</v>
      </c>
      <c r="CH659" s="5" t="n">
        <v>1</v>
      </c>
      <c r="CI659" s="5" t="n">
        <v>0</v>
      </c>
      <c r="CJ659" s="5" t="n">
        <v>0</v>
      </c>
      <c r="CK659" s="5" t="n">
        <v>0</v>
      </c>
      <c r="CL659" s="5" t="n">
        <v>0.046</v>
      </c>
      <c r="CM659" s="5" t="n">
        <v>0</v>
      </c>
      <c r="CN659" s="5" t="n">
        <v>1.468</v>
      </c>
      <c r="CO659" s="5" t="n">
        <v>10.89</v>
      </c>
      <c r="CP659" s="5" t="n">
        <v>0</v>
      </c>
      <c r="CQ659" s="5" t="n">
        <v>1.227</v>
      </c>
      <c r="CR659" s="5" t="n">
        <v>0.985</v>
      </c>
      <c r="CS659" s="5" t="n">
        <v>7.212</v>
      </c>
      <c r="CT659" s="5" t="n">
        <v>4.358</v>
      </c>
      <c r="CU659" s="5" t="n">
        <v>10.577</v>
      </c>
    </row>
    <row r="660">
      <c r="A660" s="5" t="inlineStr">
        <is>
          <t>RUS2023</t>
        </is>
      </c>
      <c r="B660" s="5" t="inlineStr">
        <is>
          <t>RUS</t>
        </is>
      </c>
      <c r="C660" s="5" t="inlineStr">
        <is>
          <t>RUS</t>
        </is>
      </c>
      <c r="D660" s="5" t="inlineStr">
        <is>
          <t>Russia</t>
        </is>
      </c>
      <c r="E660" s="5" t="n">
        <v>2023</v>
      </c>
      <c r="F660" s="5" t="n">
        <v>0.2</v>
      </c>
      <c r="G660" s="5" t="n">
        <v>1.415</v>
      </c>
      <c r="H660" s="5" t="n">
        <v>0.322</v>
      </c>
      <c r="I660" s="5" t="n">
        <v>0.005</v>
      </c>
      <c r="J660" s="5" t="n">
        <v>1.42</v>
      </c>
      <c r="K660" s="5" t="n">
        <v>0</v>
      </c>
      <c r="L660" s="5" t="n">
        <v>1</v>
      </c>
      <c r="M660" s="5" t="n">
        <v>5.905</v>
      </c>
      <c r="N660" s="5" t="n">
        <v>2.929</v>
      </c>
      <c r="O660" s="5" t="n">
        <v>0.015</v>
      </c>
      <c r="P660" s="5" t="n">
        <v>5.92</v>
      </c>
      <c r="Q660" s="5" t="n">
        <v>0</v>
      </c>
      <c r="R660" s="5" t="n">
        <v>1</v>
      </c>
      <c r="S660" s="5" t="n">
        <v>2.442</v>
      </c>
      <c r="T660" s="5" t="n">
        <v>1.531</v>
      </c>
      <c r="U660" s="5" t="n">
        <v>0.008</v>
      </c>
      <c r="V660" s="5" t="n">
        <v>2.94</v>
      </c>
      <c r="W660" s="5" t="n">
        <v>0.2</v>
      </c>
      <c r="X660" s="5" t="n">
        <v>1</v>
      </c>
      <c r="Y660" s="5" t="n">
        <v>2.905</v>
      </c>
      <c r="Z660" s="5" t="n">
        <v>0</v>
      </c>
      <c r="AA660" s="5" t="n">
        <v>-0.485</v>
      </c>
      <c r="AB660" s="5" t="n">
        <v>2.42</v>
      </c>
      <c r="AC660" s="5" t="n">
        <v>0</v>
      </c>
      <c r="AD660" s="5" t="n">
        <v>1</v>
      </c>
      <c r="AE660" s="5" t="n">
        <v>2.905</v>
      </c>
      <c r="AF660" s="5" t="n">
        <v>0</v>
      </c>
      <c r="AG660" s="5" t="n">
        <v>-0.485</v>
      </c>
      <c r="AH660" s="5" t="n">
        <v>2.42</v>
      </c>
      <c r="AI660" s="5" t="n">
        <v>0</v>
      </c>
      <c r="AJ660" s="5" t="n">
        <v>1</v>
      </c>
      <c r="AK660" s="5" t="n">
        <v>6.805</v>
      </c>
      <c r="AL660" s="5" t="n">
        <v>2.959</v>
      </c>
      <c r="AM660" s="5" t="n">
        <v>-5.188</v>
      </c>
      <c r="AN660" s="5" t="n">
        <v>1.94</v>
      </c>
      <c r="AO660" s="5" t="n">
        <v>0</v>
      </c>
      <c r="AP660" s="5" t="n">
        <v>0</v>
      </c>
      <c r="AQ660" s="5" t="n">
        <v>0.626</v>
      </c>
      <c r="AR660" s="5" t="n">
        <v>0.106</v>
      </c>
      <c r="AS660" s="5" t="n">
        <v>-0.16</v>
      </c>
      <c r="AT660" s="5" t="n">
        <v>0.5600000000000001</v>
      </c>
      <c r="AU660" s="5" t="n">
        <v>0.2</v>
      </c>
      <c r="AV660" s="5" t="n">
        <v>1</v>
      </c>
      <c r="AW660" s="5" t="n">
        <v>0.746</v>
      </c>
      <c r="AX660" s="5" t="n">
        <v>0.128</v>
      </c>
      <c r="AY660" s="5" t="n">
        <v>-0.13</v>
      </c>
      <c r="AZ660" s="5" t="n">
        <v>0.74</v>
      </c>
      <c r="BA660" s="5" t="n">
        <v>0.2</v>
      </c>
      <c r="BB660" s="5" t="n">
        <v>1</v>
      </c>
      <c r="BC660" s="5" t="n">
        <v>0.454</v>
      </c>
      <c r="BD660" s="5" t="n">
        <v>0.129</v>
      </c>
      <c r="BE660" s="5" t="n">
        <v>-0.247</v>
      </c>
      <c r="BF660" s="5" t="n">
        <v>0.248</v>
      </c>
      <c r="BG660" s="5" t="n">
        <v>0</v>
      </c>
      <c r="BH660" s="5" t="n">
        <v>0</v>
      </c>
      <c r="BI660" s="5" t="n">
        <v>0.873</v>
      </c>
      <c r="BJ660" s="5" t="n">
        <v>0.19</v>
      </c>
      <c r="BK660" s="5" t="n">
        <v>-0.19</v>
      </c>
      <c r="BL660" s="5" t="n">
        <v>0.82</v>
      </c>
      <c r="BM660" s="5" t="n">
        <v>0.2</v>
      </c>
      <c r="BN660" s="5" t="n">
        <v>1</v>
      </c>
      <c r="BO660" s="5" t="n">
        <v>0</v>
      </c>
      <c r="BP660" s="5" t="n">
        <v>-0.035</v>
      </c>
      <c r="BQ660" s="5" t="n">
        <v>0.03</v>
      </c>
      <c r="BR660" s="5" t="n">
        <v>0</v>
      </c>
      <c r="BS660" s="5" t="n">
        <v>1</v>
      </c>
      <c r="BT660" s="5" t="n">
        <v>0</v>
      </c>
      <c r="BU660" s="5" t="n">
        <v>-0.035</v>
      </c>
      <c r="BV660" s="5" t="n">
        <v>0.045</v>
      </c>
      <c r="BW660" s="5" t="n">
        <v>0</v>
      </c>
      <c r="BX660" s="5" t="n">
        <v>1</v>
      </c>
      <c r="BY660" s="5" t="n">
        <v>1.609</v>
      </c>
      <c r="BZ660" s="5" t="n">
        <v>0</v>
      </c>
      <c r="CA660" s="5" t="n">
        <v>1.609</v>
      </c>
      <c r="CB660" s="5" t="n">
        <v>0</v>
      </c>
      <c r="CC660" s="5" t="n">
        <v>68.188</v>
      </c>
      <c r="CD660" s="5" t="n">
        <v>7.95</v>
      </c>
      <c r="CE660" s="5" t="n">
        <v>-24.463</v>
      </c>
      <c r="CF660" s="5" t="n">
        <v>52.47</v>
      </c>
      <c r="CG660" s="5" t="n">
        <v>0</v>
      </c>
      <c r="CH660" s="5" t="n">
        <v>1</v>
      </c>
      <c r="CI660" s="5" t="n">
        <v>0</v>
      </c>
      <c r="CJ660" s="5" t="n">
        <v>0</v>
      </c>
      <c r="CK660" s="5" t="n">
        <v>0</v>
      </c>
      <c r="CL660" s="5" t="n">
        <v>0.048</v>
      </c>
      <c r="CM660" s="5" t="n">
        <v>0</v>
      </c>
      <c r="CN660" s="5" t="n">
        <v>1.467</v>
      </c>
      <c r="CO660" s="5" t="n">
        <v>11.195</v>
      </c>
      <c r="CP660" s="5" t="n">
        <v>0</v>
      </c>
      <c r="CQ660" s="5" t="n">
        <v>1.278</v>
      </c>
      <c r="CR660" s="5" t="n">
        <v>0.989</v>
      </c>
      <c r="CS660" s="5" t="n">
        <v>2.905</v>
      </c>
      <c r="CT660" s="5" t="n">
        <v>2.138</v>
      </c>
      <c r="CU660" s="5" t="n">
        <v>2.905</v>
      </c>
    </row>
    <row r="661">
      <c r="A661" s="5" t="inlineStr">
        <is>
          <t>RUS2024</t>
        </is>
      </c>
      <c r="B661" s="5" t="inlineStr">
        <is>
          <t>RUS</t>
        </is>
      </c>
      <c r="C661" s="5" t="inlineStr">
        <is>
          <t>RUS</t>
        </is>
      </c>
      <c r="D661" s="5" t="inlineStr">
        <is>
          <t>Russia</t>
        </is>
      </c>
      <c r="E661" s="5" t="n">
        <v>2024</v>
      </c>
      <c r="F661" s="5" t="n">
        <v>0.2</v>
      </c>
      <c r="G661" s="5" t="n">
        <v>1.376</v>
      </c>
      <c r="H661" s="5" t="n">
        <v>0.349</v>
      </c>
      <c r="I661" s="5" t="n">
        <v>0.004</v>
      </c>
      <c r="J661" s="5" t="n">
        <v>1.38</v>
      </c>
      <c r="K661" s="5" t="n">
        <v>0</v>
      </c>
      <c r="L661" s="5" t="n">
        <v>1</v>
      </c>
      <c r="M661" s="5" t="n">
        <v>4.347</v>
      </c>
      <c r="N661" s="5" t="n">
        <v>2.368</v>
      </c>
      <c r="O661" s="5" t="n">
        <v>0.013</v>
      </c>
      <c r="P661" s="5" t="n">
        <v>4.36</v>
      </c>
      <c r="Q661" s="5" t="n">
        <v>0</v>
      </c>
      <c r="R661" s="5" t="n">
        <v>1</v>
      </c>
      <c r="S661" s="5" t="n">
        <v>2.593</v>
      </c>
      <c r="T661" s="5" t="n">
        <v>1.717</v>
      </c>
      <c r="U661" s="5" t="n">
        <v>0.007</v>
      </c>
      <c r="V661" s="5" t="n">
        <v>3.12</v>
      </c>
      <c r="W661" s="5" t="n">
        <v>0.2</v>
      </c>
      <c r="X661" s="5" t="n">
        <v>1</v>
      </c>
      <c r="Y661" s="5" t="n">
        <v>2.456</v>
      </c>
      <c r="Z661" s="5" t="n">
        <v>0</v>
      </c>
      <c r="AA661" s="5" t="n">
        <v>-0.106</v>
      </c>
      <c r="AB661" s="5" t="n">
        <v>2.35</v>
      </c>
      <c r="AC661" s="5" t="n">
        <v>0</v>
      </c>
      <c r="AD661" s="5" t="n">
        <v>1</v>
      </c>
      <c r="AE661" s="5" t="n">
        <v>2.456</v>
      </c>
      <c r="AF661" s="5" t="n">
        <v>0</v>
      </c>
      <c r="AG661" s="5" t="n">
        <v>-0.106</v>
      </c>
      <c r="AH661" s="5" t="n">
        <v>2.35</v>
      </c>
      <c r="AI661" s="5" t="n">
        <v>0</v>
      </c>
      <c r="AJ661" s="5" t="n">
        <v>1</v>
      </c>
      <c r="AK661" s="5" t="n">
        <v>6.471</v>
      </c>
      <c r="AL661" s="5" t="n">
        <v>2.814</v>
      </c>
      <c r="AM661" s="5" t="n">
        <v>-4.879</v>
      </c>
      <c r="AN661" s="5" t="n">
        <v>1.91</v>
      </c>
      <c r="AO661" s="5" t="n">
        <v>0</v>
      </c>
      <c r="AP661" s="5" t="n">
        <v>0</v>
      </c>
      <c r="AQ661" s="5" t="n">
        <v>0.55</v>
      </c>
      <c r="AR661" s="5" t="n">
        <v>0.1</v>
      </c>
      <c r="AS661" s="5" t="n">
        <v>-0.1</v>
      </c>
      <c r="AT661" s="5" t="n">
        <v>0.54</v>
      </c>
      <c r="AU661" s="5" t="n">
        <v>0.2</v>
      </c>
      <c r="AV661" s="5" t="n">
        <v>1</v>
      </c>
      <c r="AW661" s="5" t="n">
        <v>0.655</v>
      </c>
      <c r="AX661" s="5" t="n">
        <v>0.12</v>
      </c>
      <c r="AY661" s="5" t="n">
        <v>-0.08</v>
      </c>
      <c r="AZ661" s="5" t="n">
        <v>0.6899999999999999</v>
      </c>
      <c r="BA661" s="5" t="n">
        <v>0.2</v>
      </c>
      <c r="BB661" s="5" t="n">
        <v>1</v>
      </c>
      <c r="BC661" s="5" t="n">
        <v>0.437</v>
      </c>
      <c r="BD661" s="5" t="n">
        <v>0.132</v>
      </c>
      <c r="BE661" s="5" t="n">
        <v>-0.256</v>
      </c>
      <c r="BF661" s="5" t="n">
        <v>0.217</v>
      </c>
      <c r="BG661" s="5" t="n">
        <v>0</v>
      </c>
      <c r="BH661" s="5" t="n">
        <v>0</v>
      </c>
      <c r="BI661" s="5" t="n">
        <v>0.781</v>
      </c>
      <c r="BJ661" s="5" t="n">
        <v>0.172</v>
      </c>
      <c r="BK661" s="5" t="n">
        <v>-0.14</v>
      </c>
      <c r="BL661" s="5" t="n">
        <v>0.77</v>
      </c>
      <c r="BM661" s="5" t="n">
        <v>0.2</v>
      </c>
      <c r="BN661" s="5" t="n">
        <v>1</v>
      </c>
      <c r="BO661" s="5" t="n">
        <v>0</v>
      </c>
      <c r="BP661" s="5" t="n">
        <v>-0.036</v>
      </c>
      <c r="BQ661" s="5" t="n">
        <v>0.03</v>
      </c>
      <c r="BR661" s="5" t="n">
        <v>0</v>
      </c>
      <c r="BS661" s="5" t="n">
        <v>1</v>
      </c>
      <c r="BT661" s="5" t="n">
        <v>0</v>
      </c>
      <c r="BU661" s="5" t="n">
        <v>-0.036</v>
      </c>
      <c r="BV661" s="5" t="n">
        <v>0.043</v>
      </c>
      <c r="BW661" s="5" t="n">
        <v>0</v>
      </c>
      <c r="BX661" s="5" t="n">
        <v>1</v>
      </c>
      <c r="BY661" s="5" t="n">
        <v>1.657</v>
      </c>
      <c r="BZ661" s="5" t="n">
        <v>0</v>
      </c>
      <c r="CA661" s="5" t="n">
        <v>1.657</v>
      </c>
      <c r="CB661" s="5" t="n">
        <v>0</v>
      </c>
      <c r="CC661" s="5" t="n">
        <v>67.66</v>
      </c>
      <c r="CD661" s="5" t="n">
        <v>7.95</v>
      </c>
      <c r="CE661" s="5" t="n">
        <v>-14.66</v>
      </c>
      <c r="CF661" s="5" t="n">
        <v>63.6</v>
      </c>
      <c r="CG661" s="5" t="n">
        <v>0</v>
      </c>
      <c r="CH661" s="5" t="n">
        <v>1</v>
      </c>
      <c r="CI661" s="5" t="n">
        <v>0</v>
      </c>
      <c r="CJ661" s="5" t="n">
        <v>0</v>
      </c>
      <c r="CK661" s="5" t="n">
        <v>0</v>
      </c>
      <c r="CL661" s="5" t="n">
        <v>0.05</v>
      </c>
      <c r="CM661" s="5" t="n">
        <v>0</v>
      </c>
      <c r="CN661" s="5" t="n">
        <v>1.606</v>
      </c>
      <c r="CO661" s="5" t="n">
        <v>11.462</v>
      </c>
      <c r="CP661" s="5" t="n">
        <v>0</v>
      </c>
      <c r="CQ661" s="5" t="n">
        <v>1.316</v>
      </c>
      <c r="CR661" s="5" t="n">
        <v>0.989</v>
      </c>
      <c r="CS661" s="5" t="n">
        <v>2.456</v>
      </c>
      <c r="CT661" s="5" t="n">
        <v>1.895</v>
      </c>
      <c r="CU661" s="5" t="n">
        <v>2.456</v>
      </c>
    </row>
    <row r="662">
      <c r="A662" s="5" t="inlineStr">
        <is>
          <t>RWA2021</t>
        </is>
      </c>
      <c r="B662" s="5" t="inlineStr">
        <is>
          <t>RWA</t>
        </is>
      </c>
      <c r="C662" s="5" t="inlineStr">
        <is>
          <t>RWA</t>
        </is>
      </c>
      <c r="D662" s="5" t="inlineStr">
        <is>
          <t>Rwanda</t>
        </is>
      </c>
      <c r="E662" s="5" t="n">
        <v>2021</v>
      </c>
      <c r="F662" s="5" t="n">
        <v>0.18</v>
      </c>
      <c r="G662" s="5" t="n">
        <v>2.321</v>
      </c>
      <c r="H662" s="5" t="n">
        <v>0.508</v>
      </c>
      <c r="I662" s="5" t="n">
        <v>0</v>
      </c>
      <c r="J662" s="5" t="n">
        <v>2.321</v>
      </c>
      <c r="K662" s="5" t="n">
        <v>0</v>
      </c>
      <c r="L662" s="5" t="n">
        <v>1</v>
      </c>
      <c r="M662" s="5" t="n">
        <v>1.906</v>
      </c>
      <c r="N662" s="5" t="n">
        <v>0.864</v>
      </c>
      <c r="O662" s="5" t="n">
        <v>0</v>
      </c>
      <c r="P662" s="5" t="n">
        <v>1.906</v>
      </c>
      <c r="Q662" s="5" t="n">
        <v>0</v>
      </c>
      <c r="R662" s="5" t="n">
        <v>1</v>
      </c>
      <c r="S662" s="5" t="n">
        <v>1.733</v>
      </c>
      <c r="T662" s="5" t="n">
        <v>1.074</v>
      </c>
      <c r="U662" s="5" t="n">
        <v>0</v>
      </c>
      <c r="V662" s="5" t="n">
        <v>2.045</v>
      </c>
      <c r="W662" s="5" t="n">
        <v>0.18</v>
      </c>
      <c r="X662" s="5" t="n">
        <v>1</v>
      </c>
      <c r="Y662" s="5" t="n">
        <v>16.287</v>
      </c>
      <c r="Z662" s="5" t="n">
        <v>2.201</v>
      </c>
      <c r="AA662" s="5" t="n">
        <v>-8.888999999999999</v>
      </c>
      <c r="AB662" s="5" t="n">
        <v>7.397</v>
      </c>
      <c r="AC662" s="5" t="n">
        <v>0</v>
      </c>
      <c r="AD662" s="5" t="n">
        <v>0</v>
      </c>
      <c r="AE662" s="5" t="n">
        <v>17.43</v>
      </c>
      <c r="AF662" s="5" t="n">
        <v>4.076</v>
      </c>
      <c r="AG662" s="5" t="n">
        <v>-10.032</v>
      </c>
      <c r="AH662" s="5" t="n">
        <v>7.397</v>
      </c>
      <c r="AI662" s="5" t="n">
        <v>0</v>
      </c>
      <c r="AJ662" s="5" t="n">
        <v>0</v>
      </c>
      <c r="AK662" s="5" t="n">
        <v>24.29</v>
      </c>
      <c r="AL662" s="5" t="n">
        <v>12.937</v>
      </c>
      <c r="AM662" s="5" t="n">
        <v>-15.545</v>
      </c>
      <c r="AN662" s="5" t="n">
        <v>8.744999999999999</v>
      </c>
      <c r="AO662" s="5" t="n">
        <v>0</v>
      </c>
      <c r="AP662" s="5" t="n">
        <v>0</v>
      </c>
      <c r="AQ662" s="5" t="n">
        <v>0.619</v>
      </c>
      <c r="AR662" s="5" t="n">
        <v>0.114</v>
      </c>
      <c r="AS662" s="5" t="n">
        <v>0.266</v>
      </c>
      <c r="AT662" s="5" t="n">
        <v>1.044</v>
      </c>
      <c r="AU662" s="5" t="n">
        <v>0.18</v>
      </c>
      <c r="AV662" s="5" t="n">
        <v>1</v>
      </c>
      <c r="AW662" s="5" t="n">
        <v>0.599</v>
      </c>
      <c r="AX662" s="5" t="n">
        <v>0.114</v>
      </c>
      <c r="AY662" s="5" t="n">
        <v>0.298</v>
      </c>
      <c r="AZ662" s="5" t="n">
        <v>1.058</v>
      </c>
      <c r="BA662" s="5" t="n">
        <v>0.18</v>
      </c>
      <c r="BB662" s="5" t="n">
        <v>1</v>
      </c>
      <c r="BC662" s="5" t="n">
        <v>0.439</v>
      </c>
      <c r="BD662" s="5" t="n">
        <v>0.114</v>
      </c>
      <c r="BE662" s="5" t="n">
        <v>0.102</v>
      </c>
      <c r="BF662" s="5" t="n">
        <v>0.638</v>
      </c>
      <c r="BG662" s="5" t="n">
        <v>0.18</v>
      </c>
      <c r="BH662" s="5" t="n">
        <v>1</v>
      </c>
      <c r="BI662" s="5" t="n">
        <v>0.505</v>
      </c>
      <c r="BJ662" s="5" t="n">
        <v>0.114</v>
      </c>
      <c r="BK662" s="5" t="n">
        <v>0.06</v>
      </c>
      <c r="BL662" s="5" t="n">
        <v>0.666</v>
      </c>
      <c r="BM662" s="5" t="n">
        <v>0.18</v>
      </c>
      <c r="BN662" s="5" t="n">
        <v>1</v>
      </c>
      <c r="BO662" s="5" t="n">
        <v>0</v>
      </c>
      <c r="BP662" s="5" t="n">
        <v>0</v>
      </c>
      <c r="BQ662" s="5" t="n">
        <v>0.094</v>
      </c>
      <c r="BR662" s="5" t="n">
        <v>0</v>
      </c>
      <c r="BS662" s="5" t="n">
        <v>0.667</v>
      </c>
      <c r="BT662" s="5" t="n">
        <v>0</v>
      </c>
      <c r="BU662" s="5" t="n">
        <v>0</v>
      </c>
      <c r="BV662" s="5" t="n">
        <v>0.249</v>
      </c>
      <c r="BW662" s="5" t="n">
        <v>0.18</v>
      </c>
      <c r="BX662" s="5" t="n">
        <v>0.5</v>
      </c>
      <c r="BY662" s="5" t="n">
        <v>13.912</v>
      </c>
      <c r="BZ662" s="5" t="n">
        <v>0</v>
      </c>
      <c r="CA662" s="5" t="n">
        <v>13.912</v>
      </c>
      <c r="CB662" s="5" t="n">
        <v>0</v>
      </c>
      <c r="CC662" s="5" t="n">
        <v>78.125</v>
      </c>
      <c r="CD662" s="5" t="n">
        <v>7.95</v>
      </c>
      <c r="CE662" s="5" t="n">
        <v>18.221</v>
      </c>
      <c r="CF662" s="5" t="n">
        <v>113.689</v>
      </c>
      <c r="CG662" s="5" t="n">
        <v>0.18</v>
      </c>
      <c r="CH662" s="5" t="n">
        <v>1</v>
      </c>
      <c r="CI662" s="5" t="n">
        <v>0</v>
      </c>
      <c r="CJ662" s="5" t="n">
        <v>0</v>
      </c>
      <c r="CK662" s="5" t="n">
        <v>0</v>
      </c>
      <c r="CL662" s="5" t="n">
        <v>0</v>
      </c>
      <c r="CM662" s="5" t="n">
        <v>0</v>
      </c>
      <c r="CN662" s="5" t="n">
        <v>0</v>
      </c>
      <c r="CO662" s="5" t="n">
        <v>0</v>
      </c>
      <c r="CP662" s="5" t="n">
        <v>0</v>
      </c>
      <c r="CQ662" s="5" t="n">
        <v>1.198</v>
      </c>
      <c r="CR662" s="5" t="n">
        <v>0</v>
      </c>
      <c r="CS662" s="5" t="n">
        <v>4.776</v>
      </c>
      <c r="CT662" s="5" t="n">
        <v>4.753</v>
      </c>
      <c r="CU662" s="5" t="n">
        <v>15.162</v>
      </c>
    </row>
    <row r="663">
      <c r="A663" s="5" t="inlineStr">
        <is>
          <t>RWA2022</t>
        </is>
      </c>
      <c r="B663" s="5" t="inlineStr">
        <is>
          <t>RWA</t>
        </is>
      </c>
      <c r="C663" s="5" t="inlineStr">
        <is>
          <t>RWA</t>
        </is>
      </c>
      <c r="D663" s="5" t="inlineStr">
        <is>
          <t>Rwanda</t>
        </is>
      </c>
      <c r="E663" s="5" t="n">
        <v>2022</v>
      </c>
      <c r="F663" s="5" t="n">
        <v>0.18</v>
      </c>
      <c r="G663" s="5" t="n">
        <v>4.196</v>
      </c>
      <c r="H663" s="5" t="n">
        <v>0.652</v>
      </c>
      <c r="I663" s="5" t="n">
        <v>0</v>
      </c>
      <c r="J663" s="5" t="n">
        <v>4.196</v>
      </c>
      <c r="K663" s="5" t="n">
        <v>0</v>
      </c>
      <c r="L663" s="5" t="n">
        <v>1</v>
      </c>
      <c r="M663" s="5" t="n">
        <v>2.049</v>
      </c>
      <c r="N663" s="5" t="n">
        <v>0.846</v>
      </c>
      <c r="O663" s="5" t="n">
        <v>0</v>
      </c>
      <c r="P663" s="5" t="n">
        <v>2.049</v>
      </c>
      <c r="Q663" s="5" t="n">
        <v>0</v>
      </c>
      <c r="R663" s="5" t="n">
        <v>1</v>
      </c>
      <c r="S663" s="5" t="n">
        <v>2.168</v>
      </c>
      <c r="T663" s="5" t="n">
        <v>1.062</v>
      </c>
      <c r="U663" s="5" t="n">
        <v>0.029</v>
      </c>
      <c r="V663" s="5" t="n">
        <v>2.558</v>
      </c>
      <c r="W663" s="5" t="n">
        <v>0.18</v>
      </c>
      <c r="X663" s="5" t="n">
        <v>1</v>
      </c>
      <c r="Y663" s="5" t="n">
        <v>32.517</v>
      </c>
      <c r="Z663" s="5" t="n">
        <v>4.395</v>
      </c>
      <c r="AA663" s="5" t="n">
        <v>-19.662</v>
      </c>
      <c r="AB663" s="5" t="n">
        <v>12.855</v>
      </c>
      <c r="AC663" s="5" t="n">
        <v>0</v>
      </c>
      <c r="AD663" s="5" t="n">
        <v>0</v>
      </c>
      <c r="AE663" s="5" t="n">
        <v>33.751</v>
      </c>
      <c r="AF663" s="5" t="n">
        <v>7.892</v>
      </c>
      <c r="AG663" s="5" t="n">
        <v>-20.896</v>
      </c>
      <c r="AH663" s="5" t="n">
        <v>12.855</v>
      </c>
      <c r="AI663" s="5" t="n">
        <v>0</v>
      </c>
      <c r="AJ663" s="5" t="n">
        <v>0</v>
      </c>
      <c r="AK663" s="5" t="n">
        <v>41.16</v>
      </c>
      <c r="AL663" s="5" t="n">
        <v>21.921</v>
      </c>
      <c r="AM663" s="5" t="n">
        <v>-25.953</v>
      </c>
      <c r="AN663" s="5" t="n">
        <v>15.207</v>
      </c>
      <c r="AO663" s="5" t="n">
        <v>0</v>
      </c>
      <c r="AP663" s="5" t="n">
        <v>0</v>
      </c>
      <c r="AQ663" s="5" t="n">
        <v>0.861</v>
      </c>
      <c r="AR663" s="5" t="n">
        <v>0.123</v>
      </c>
      <c r="AS663" s="5" t="n">
        <v>0.252</v>
      </c>
      <c r="AT663" s="5" t="n">
        <v>1.313</v>
      </c>
      <c r="AU663" s="5" t="n">
        <v>0.18</v>
      </c>
      <c r="AV663" s="5" t="n">
        <v>1</v>
      </c>
      <c r="AW663" s="5" t="n">
        <v>0.986</v>
      </c>
      <c r="AX663" s="5" t="n">
        <v>0.123</v>
      </c>
      <c r="AY663" s="5" t="n">
        <v>0.156</v>
      </c>
      <c r="AZ663" s="5" t="n">
        <v>1.347</v>
      </c>
      <c r="BA663" s="5" t="n">
        <v>0.18</v>
      </c>
      <c r="BB663" s="5" t="n">
        <v>1</v>
      </c>
      <c r="BC663" s="5" t="n">
        <v>0.598</v>
      </c>
      <c r="BD663" s="5" t="n">
        <v>0.123</v>
      </c>
      <c r="BE663" s="5" t="n">
        <v>0.1</v>
      </c>
      <c r="BF663" s="5" t="n">
        <v>0.8129999999999999</v>
      </c>
      <c r="BG663" s="5" t="n">
        <v>0.18</v>
      </c>
      <c r="BH663" s="5" t="n">
        <v>1</v>
      </c>
      <c r="BI663" s="5" t="n">
        <v>0.612</v>
      </c>
      <c r="BJ663" s="5" t="n">
        <v>0.123</v>
      </c>
      <c r="BK663" s="5" t="n">
        <v>0.063</v>
      </c>
      <c r="BL663" s="5" t="n">
        <v>0.787</v>
      </c>
      <c r="BM663" s="5" t="n">
        <v>0.18</v>
      </c>
      <c r="BN663" s="5" t="n">
        <v>1</v>
      </c>
      <c r="BO663" s="5" t="n">
        <v>0</v>
      </c>
      <c r="BP663" s="5" t="n">
        <v>0</v>
      </c>
      <c r="BQ663" s="5" t="n">
        <v>0.103</v>
      </c>
      <c r="BR663" s="5" t="n">
        <v>0</v>
      </c>
      <c r="BS663" s="5" t="n">
        <v>0.667</v>
      </c>
      <c r="BT663" s="5" t="n">
        <v>0</v>
      </c>
      <c r="BU663" s="5" t="n">
        <v>0</v>
      </c>
      <c r="BV663" s="5" t="n">
        <v>0.241</v>
      </c>
      <c r="BW663" s="5" t="n">
        <v>0.18</v>
      </c>
      <c r="BX663" s="5" t="n">
        <v>0.5</v>
      </c>
      <c r="BY663" s="5" t="n">
        <v>15.024</v>
      </c>
      <c r="BZ663" s="5" t="n">
        <v>0</v>
      </c>
      <c r="CA663" s="5" t="n">
        <v>15.024</v>
      </c>
      <c r="CB663" s="5" t="n">
        <v>0</v>
      </c>
      <c r="CC663" s="5" t="n">
        <v>97.90000000000001</v>
      </c>
      <c r="CD663" s="5" t="n">
        <v>7.95</v>
      </c>
      <c r="CE663" s="5" t="n">
        <v>40.098</v>
      </c>
      <c r="CF663" s="5" t="n">
        <v>160.697</v>
      </c>
      <c r="CG663" s="5" t="n">
        <v>0.18</v>
      </c>
      <c r="CH663" s="5" t="n">
        <v>1</v>
      </c>
      <c r="CI663" s="5" t="n">
        <v>0</v>
      </c>
      <c r="CJ663" s="5" t="n">
        <v>0</v>
      </c>
      <c r="CK663" s="5" t="n">
        <v>0</v>
      </c>
      <c r="CL663" s="5" t="n">
        <v>0</v>
      </c>
      <c r="CM663" s="5" t="n">
        <v>0</v>
      </c>
      <c r="CN663" s="5" t="n">
        <v>0</v>
      </c>
      <c r="CO663" s="5" t="n">
        <v>0</v>
      </c>
      <c r="CP663" s="5" t="n">
        <v>0</v>
      </c>
      <c r="CQ663" s="5" t="n">
        <v>1.294</v>
      </c>
      <c r="CR663" s="5" t="n">
        <v>0</v>
      </c>
      <c r="CS663" s="5" t="n">
        <v>5.158</v>
      </c>
      <c r="CT663" s="5" t="n">
        <v>10.485</v>
      </c>
      <c r="CU663" s="5" t="n">
        <v>31.326</v>
      </c>
    </row>
    <row r="664">
      <c r="A664" s="5" t="inlineStr">
        <is>
          <t>RWA2023</t>
        </is>
      </c>
      <c r="B664" s="5" t="inlineStr">
        <is>
          <t>RWA</t>
        </is>
      </c>
      <c r="C664" s="5" t="inlineStr">
        <is>
          <t>RWA</t>
        </is>
      </c>
      <c r="D664" s="5" t="inlineStr">
        <is>
          <t>Rwanda</t>
        </is>
      </c>
      <c r="E664" s="5" t="n">
        <v>2023</v>
      </c>
      <c r="F664" s="5" t="n">
        <v>0.18</v>
      </c>
      <c r="G664" s="5" t="n">
        <v>4.84</v>
      </c>
      <c r="H664" s="5" t="n">
        <v>1.102</v>
      </c>
      <c r="I664" s="5" t="n">
        <v>0</v>
      </c>
      <c r="J664" s="5" t="n">
        <v>4.84</v>
      </c>
      <c r="K664" s="5" t="n">
        <v>0</v>
      </c>
      <c r="L664" s="5" t="n">
        <v>1</v>
      </c>
      <c r="M664" s="5" t="n">
        <v>2.898</v>
      </c>
      <c r="N664" s="5" t="n">
        <v>1.437</v>
      </c>
      <c r="O664" s="5" t="n">
        <v>0</v>
      </c>
      <c r="P664" s="5" t="n">
        <v>2.898</v>
      </c>
      <c r="Q664" s="5" t="n">
        <v>0</v>
      </c>
      <c r="R664" s="5" t="n">
        <v>1</v>
      </c>
      <c r="S664" s="5" t="n">
        <v>2.804</v>
      </c>
      <c r="T664" s="5" t="n">
        <v>1.759</v>
      </c>
      <c r="U664" s="5" t="n">
        <v>0.056</v>
      </c>
      <c r="V664" s="5" t="n">
        <v>3.309</v>
      </c>
      <c r="W664" s="5" t="n">
        <v>0.18</v>
      </c>
      <c r="X664" s="5" t="n">
        <v>1</v>
      </c>
      <c r="Y664" s="5" t="n">
        <v>12.895</v>
      </c>
      <c r="Z664" s="5" t="n">
        <v>1.743</v>
      </c>
      <c r="AA664" s="5" t="n">
        <v>-6.343</v>
      </c>
      <c r="AB664" s="5" t="n">
        <v>6.552</v>
      </c>
      <c r="AC664" s="5" t="n">
        <v>0</v>
      </c>
      <c r="AD664" s="5" t="n">
        <v>0</v>
      </c>
      <c r="AE664" s="5" t="n">
        <v>14.181</v>
      </c>
      <c r="AF664" s="5" t="n">
        <v>3.316</v>
      </c>
      <c r="AG664" s="5" t="n">
        <v>-7.629</v>
      </c>
      <c r="AH664" s="5" t="n">
        <v>6.552</v>
      </c>
      <c r="AI664" s="5" t="n">
        <v>0</v>
      </c>
      <c r="AJ664" s="5" t="n">
        <v>0</v>
      </c>
      <c r="AK664" s="5" t="n">
        <v>21.895</v>
      </c>
      <c r="AL664" s="5" t="n">
        <v>11.661</v>
      </c>
      <c r="AM664" s="5" t="n">
        <v>-14.154</v>
      </c>
      <c r="AN664" s="5" t="n">
        <v>7.741</v>
      </c>
      <c r="AO664" s="5" t="n">
        <v>0</v>
      </c>
      <c r="AP664" s="5" t="n">
        <v>0</v>
      </c>
      <c r="AQ664" s="5" t="n">
        <v>0.76</v>
      </c>
      <c r="AR664" s="5" t="n">
        <v>0.129</v>
      </c>
      <c r="AS664" s="5" t="n">
        <v>0.376</v>
      </c>
      <c r="AT664" s="5" t="n">
        <v>1.341</v>
      </c>
      <c r="AU664" s="5" t="n">
        <v>0.18</v>
      </c>
      <c r="AV664" s="5" t="n">
        <v>1</v>
      </c>
      <c r="AW664" s="5" t="n">
        <v>0.8110000000000001</v>
      </c>
      <c r="AX664" s="5" t="n">
        <v>0.129</v>
      </c>
      <c r="AY664" s="5" t="n">
        <v>0.333</v>
      </c>
      <c r="AZ664" s="5" t="n">
        <v>1.35</v>
      </c>
      <c r="BA664" s="5" t="n">
        <v>0.18</v>
      </c>
      <c r="BB664" s="5" t="n">
        <v>1</v>
      </c>
      <c r="BC664" s="5" t="n">
        <v>0.535</v>
      </c>
      <c r="BD664" s="5" t="n">
        <v>0.129</v>
      </c>
      <c r="BE664" s="5" t="n">
        <v>0.121</v>
      </c>
      <c r="BF664" s="5" t="n">
        <v>0.759</v>
      </c>
      <c r="BG664" s="5" t="n">
        <v>0.18</v>
      </c>
      <c r="BH664" s="5" t="n">
        <v>1</v>
      </c>
      <c r="BI664" s="5" t="n">
        <v>0.579</v>
      </c>
      <c r="BJ664" s="5" t="n">
        <v>0.129</v>
      </c>
      <c r="BK664" s="5" t="n">
        <v>0.078</v>
      </c>
      <c r="BL664" s="5" t="n">
        <v>0.761</v>
      </c>
      <c r="BM664" s="5" t="n">
        <v>0.18</v>
      </c>
      <c r="BN664" s="5" t="n">
        <v>1</v>
      </c>
      <c r="BO664" s="5" t="n">
        <v>0</v>
      </c>
      <c r="BP664" s="5" t="n">
        <v>0</v>
      </c>
      <c r="BQ664" s="5" t="n">
        <v>0.095</v>
      </c>
      <c r="BR664" s="5" t="n">
        <v>0</v>
      </c>
      <c r="BS664" s="5" t="n">
        <v>0.667</v>
      </c>
      <c r="BT664" s="5" t="n">
        <v>0</v>
      </c>
      <c r="BU664" s="5" t="n">
        <v>0</v>
      </c>
      <c r="BV664" s="5" t="n">
        <v>0.215</v>
      </c>
      <c r="BW664" s="5" t="n">
        <v>0.18</v>
      </c>
      <c r="BX664" s="5" t="n">
        <v>0.5</v>
      </c>
      <c r="BY664" s="5" t="n">
        <v>15.644</v>
      </c>
      <c r="BZ664" s="5" t="n">
        <v>0</v>
      </c>
      <c r="CA664" s="5" t="n">
        <v>15.644</v>
      </c>
      <c r="CB664" s="5" t="n">
        <v>0</v>
      </c>
      <c r="CC664" s="5" t="n">
        <v>83.248</v>
      </c>
      <c r="CD664" s="5" t="n">
        <v>7.95</v>
      </c>
      <c r="CE664" s="5" t="n">
        <v>41.036</v>
      </c>
      <c r="CF664" s="5" t="n">
        <v>143.79</v>
      </c>
      <c r="CG664" s="5" t="n">
        <v>0.18</v>
      </c>
      <c r="CH664" s="5" t="n">
        <v>1</v>
      </c>
      <c r="CI664" s="5" t="n">
        <v>0</v>
      </c>
      <c r="CJ664" s="5" t="n">
        <v>0</v>
      </c>
      <c r="CK664" s="5" t="n">
        <v>0</v>
      </c>
      <c r="CL664" s="5" t="n">
        <v>0</v>
      </c>
      <c r="CM664" s="5" t="n">
        <v>0</v>
      </c>
      <c r="CN664" s="5" t="n">
        <v>0</v>
      </c>
      <c r="CO664" s="5" t="n">
        <v>0</v>
      </c>
      <c r="CP664" s="5" t="n">
        <v>0</v>
      </c>
      <c r="CQ664" s="5" t="n">
        <v>1.348</v>
      </c>
      <c r="CR664" s="5" t="n">
        <v>0</v>
      </c>
      <c r="CS664" s="5" t="n">
        <v>5.37</v>
      </c>
      <c r="CT664" s="5" t="n">
        <v>4.861</v>
      </c>
      <c r="CU664" s="5" t="n">
        <v>11.622</v>
      </c>
    </row>
    <row r="665">
      <c r="A665" s="5" t="inlineStr">
        <is>
          <t>RWA2024</t>
        </is>
      </c>
      <c r="B665" s="5" t="inlineStr">
        <is>
          <t>RWA</t>
        </is>
      </c>
      <c r="C665" s="5" t="inlineStr">
        <is>
          <t>RWA</t>
        </is>
      </c>
      <c r="D665" s="5" t="inlineStr">
        <is>
          <t>Rwanda</t>
        </is>
      </c>
      <c r="E665" s="5" t="n">
        <v>2024</v>
      </c>
      <c r="F665" s="5" t="n">
        <v>0.18</v>
      </c>
      <c r="G665" s="5" t="n">
        <v>4.268</v>
      </c>
      <c r="H665" s="5" t="n">
        <v>1.081</v>
      </c>
      <c r="I665" s="5" t="n">
        <v>0</v>
      </c>
      <c r="J665" s="5" t="n">
        <v>4.268</v>
      </c>
      <c r="K665" s="5" t="n">
        <v>0</v>
      </c>
      <c r="L665" s="5" t="n">
        <v>1</v>
      </c>
      <c r="M665" s="5" t="n">
        <v>2.618</v>
      </c>
      <c r="N665" s="5" t="n">
        <v>1.426</v>
      </c>
      <c r="O665" s="5" t="n">
        <v>0</v>
      </c>
      <c r="P665" s="5" t="n">
        <v>2.618</v>
      </c>
      <c r="Q665" s="5" t="n">
        <v>0</v>
      </c>
      <c r="R665" s="5" t="n">
        <v>1</v>
      </c>
      <c r="S665" s="5" t="n">
        <v>2.719</v>
      </c>
      <c r="T665" s="5" t="n">
        <v>1.8</v>
      </c>
      <c r="U665" s="5" t="n">
        <v>0.067</v>
      </c>
      <c r="V665" s="5" t="n">
        <v>3.208</v>
      </c>
      <c r="W665" s="5" t="n">
        <v>0.18</v>
      </c>
      <c r="X665" s="5" t="n">
        <v>1</v>
      </c>
      <c r="Y665" s="5" t="n">
        <v>11.482</v>
      </c>
      <c r="Z665" s="5" t="n">
        <v>1.552</v>
      </c>
      <c r="AA665" s="5" t="n">
        <v>-5.321</v>
      </c>
      <c r="AB665" s="5" t="n">
        <v>6.161</v>
      </c>
      <c r="AC665" s="5" t="n">
        <v>0</v>
      </c>
      <c r="AD665" s="5" t="n">
        <v>0</v>
      </c>
      <c r="AE665" s="5" t="n">
        <v>12.805</v>
      </c>
      <c r="AF665" s="5" t="n">
        <v>2.994</v>
      </c>
      <c r="AG665" s="5" t="n">
        <v>-6.645</v>
      </c>
      <c r="AH665" s="5" t="n">
        <v>6.161</v>
      </c>
      <c r="AI665" s="5" t="n">
        <v>0</v>
      </c>
      <c r="AJ665" s="5" t="n">
        <v>0</v>
      </c>
      <c r="AK665" s="5" t="n">
        <v>20.747</v>
      </c>
      <c r="AL665" s="5" t="n">
        <v>11.05</v>
      </c>
      <c r="AM665" s="5" t="n">
        <v>-13.47</v>
      </c>
      <c r="AN665" s="5" t="n">
        <v>7.277</v>
      </c>
      <c r="AO665" s="5" t="n">
        <v>0</v>
      </c>
      <c r="AP665" s="5" t="n">
        <v>0</v>
      </c>
      <c r="AQ665" s="5" t="n">
        <v>0.724</v>
      </c>
      <c r="AR665" s="5" t="n">
        <v>0.132</v>
      </c>
      <c r="AS665" s="5" t="n">
        <v>0.292</v>
      </c>
      <c r="AT665" s="5" t="n">
        <v>1.199</v>
      </c>
      <c r="AU665" s="5" t="n">
        <v>0.18</v>
      </c>
      <c r="AV665" s="5" t="n">
        <v>1</v>
      </c>
      <c r="AW665" s="5" t="n">
        <v>0.75</v>
      </c>
      <c r="AX665" s="5" t="n">
        <v>0.132</v>
      </c>
      <c r="AY665" s="5" t="n">
        <v>0.307</v>
      </c>
      <c r="AZ665" s="5" t="n">
        <v>1.248</v>
      </c>
      <c r="BA665" s="5" t="n">
        <v>0.18</v>
      </c>
      <c r="BB665" s="5" t="n">
        <v>1</v>
      </c>
      <c r="BC665" s="5" t="n">
        <v>0.513</v>
      </c>
      <c r="BD665" s="5" t="n">
        <v>0.132</v>
      </c>
      <c r="BE665" s="5" t="n">
        <v>0.133</v>
      </c>
      <c r="BF665" s="5" t="n">
        <v>0.744</v>
      </c>
      <c r="BG665" s="5" t="n">
        <v>0.18</v>
      </c>
      <c r="BH665" s="5" t="n">
        <v>1</v>
      </c>
      <c r="BI665" s="5" t="n">
        <v>0.591</v>
      </c>
      <c r="BJ665" s="5" t="n">
        <v>0.132</v>
      </c>
      <c r="BK665" s="5" t="n">
        <v>0.08400000000000001</v>
      </c>
      <c r="BL665" s="5" t="n">
        <v>0.778</v>
      </c>
      <c r="BM665" s="5" t="n">
        <v>0.18</v>
      </c>
      <c r="BN665" s="5" t="n">
        <v>1</v>
      </c>
      <c r="BO665" s="5" t="n">
        <v>0</v>
      </c>
      <c r="BP665" s="5" t="n">
        <v>0</v>
      </c>
      <c r="BQ665" s="5" t="n">
        <v>0.054</v>
      </c>
      <c r="BR665" s="5" t="n">
        <v>0</v>
      </c>
      <c r="BS665" s="5" t="n">
        <v>0.667</v>
      </c>
      <c r="BT665" s="5" t="n">
        <v>0</v>
      </c>
      <c r="BU665" s="5" t="n">
        <v>0</v>
      </c>
      <c r="BV665" s="5" t="n">
        <v>0.165</v>
      </c>
      <c r="BW665" s="5" t="n">
        <v>0.18</v>
      </c>
      <c r="BX665" s="5" t="n">
        <v>0.5</v>
      </c>
      <c r="BY665" s="5" t="n">
        <v>16.106</v>
      </c>
      <c r="BZ665" s="5" t="n">
        <v>0</v>
      </c>
      <c r="CA665" s="5" t="n">
        <v>16.106</v>
      </c>
      <c r="CB665" s="5" t="n">
        <v>0</v>
      </c>
      <c r="CC665" s="5" t="n">
        <v>82.58799999999999</v>
      </c>
      <c r="CD665" s="5" t="n">
        <v>7.95</v>
      </c>
      <c r="CE665" s="5" t="n">
        <v>42.545</v>
      </c>
      <c r="CF665" s="5" t="n">
        <v>144.123</v>
      </c>
      <c r="CG665" s="5" t="n">
        <v>0.18</v>
      </c>
      <c r="CH665" s="5" t="n">
        <v>1</v>
      </c>
      <c r="CI665" s="5" t="n">
        <v>0</v>
      </c>
      <c r="CJ665" s="5" t="n">
        <v>0</v>
      </c>
      <c r="CK665" s="5" t="n">
        <v>0</v>
      </c>
      <c r="CL665" s="5" t="n">
        <v>0</v>
      </c>
      <c r="CM665" s="5" t="n">
        <v>0</v>
      </c>
      <c r="CN665" s="5" t="n">
        <v>0</v>
      </c>
      <c r="CO665" s="5" t="n">
        <v>0</v>
      </c>
      <c r="CP665" s="5" t="n">
        <v>0</v>
      </c>
      <c r="CQ665" s="5" t="n">
        <v>1.387</v>
      </c>
      <c r="CR665" s="5" t="n">
        <v>0</v>
      </c>
      <c r="CS665" s="5" t="n">
        <v>5.529</v>
      </c>
      <c r="CT665" s="5" t="n">
        <v>4.251</v>
      </c>
      <c r="CU665" s="5" t="n">
        <v>10.168</v>
      </c>
    </row>
    <row r="666">
      <c r="A666" s="5" t="inlineStr">
        <is>
          <t>WSM2021</t>
        </is>
      </c>
      <c r="B666" s="5" t="inlineStr">
        <is>
          <t>WSM</t>
        </is>
      </c>
      <c r="C666" s="5" t="inlineStr">
        <is>
          <t>WSM</t>
        </is>
      </c>
      <c r="D666" s="5" t="inlineStr">
        <is>
          <t>Samoa</t>
        </is>
      </c>
      <c r="E666" s="5" t="n">
        <v>2021</v>
      </c>
      <c r="F666" s="5" t="n">
        <v>0.15</v>
      </c>
      <c r="G666" s="5" t="n">
        <v>4.747</v>
      </c>
      <c r="H666" s="5" t="n">
        <v>1.143</v>
      </c>
      <c r="I666" s="5" t="n">
        <v>0</v>
      </c>
      <c r="J666" s="5" t="n">
        <v>4.747</v>
      </c>
      <c r="K666" s="5" t="n">
        <v>0</v>
      </c>
      <c r="L666" s="5" t="n">
        <v>1</v>
      </c>
      <c r="M666" s="5" t="n">
        <v>7.964</v>
      </c>
      <c r="N666" s="5" t="n">
        <v>3.43</v>
      </c>
      <c r="O666" s="5" t="n">
        <v>0</v>
      </c>
      <c r="P666" s="5" t="n">
        <v>7.964</v>
      </c>
      <c r="Q666" s="5" t="n">
        <v>0</v>
      </c>
      <c r="R666" s="5" t="n">
        <v>1</v>
      </c>
      <c r="S666" s="5" t="n">
        <v>10.464</v>
      </c>
      <c r="T666" s="5" t="n">
        <v>6.86</v>
      </c>
      <c r="U666" s="5" t="n">
        <v>0</v>
      </c>
      <c r="V666" s="5" t="n">
        <v>12.034</v>
      </c>
      <c r="W666" s="5" t="n">
        <v>0.15</v>
      </c>
      <c r="X666" s="5" t="n">
        <v>1</v>
      </c>
      <c r="Y666" s="5" t="n">
        <v>9.503</v>
      </c>
      <c r="Z666" s="5" t="n">
        <v>1.173</v>
      </c>
      <c r="AA666" s="5" t="n">
        <v>0</v>
      </c>
      <c r="AB666" s="5" t="n">
        <v>9.503</v>
      </c>
      <c r="AC666" s="5" t="n">
        <v>0</v>
      </c>
      <c r="AD666" s="5" t="n">
        <v>1</v>
      </c>
      <c r="AE666" s="5" t="n">
        <v>10.647</v>
      </c>
      <c r="AF666" s="5" t="n">
        <v>2.321</v>
      </c>
      <c r="AG666" s="5" t="n">
        <v>0</v>
      </c>
      <c r="AH666" s="5" t="n">
        <v>10.647</v>
      </c>
      <c r="AI666" s="5" t="n">
        <v>0</v>
      </c>
      <c r="AJ666" s="5" t="n">
        <v>1</v>
      </c>
      <c r="AK666" s="5" t="n">
        <v>17.507</v>
      </c>
      <c r="AL666" s="5" t="n">
        <v>9.084</v>
      </c>
      <c r="AM666" s="5" t="n">
        <v>0</v>
      </c>
      <c r="AN666" s="5" t="n">
        <v>20.132</v>
      </c>
      <c r="AO666" s="5" t="n">
        <v>0.15</v>
      </c>
      <c r="AP666" s="5" t="n">
        <v>1</v>
      </c>
      <c r="AQ666" s="5" t="n">
        <v>0.621</v>
      </c>
      <c r="AR666" s="5" t="n">
        <v>0.114</v>
      </c>
      <c r="AS666" s="5" t="n">
        <v>0</v>
      </c>
      <c r="AT666" s="5" t="n">
        <v>0.714</v>
      </c>
      <c r="AU666" s="5" t="n">
        <v>0.15</v>
      </c>
      <c r="AV666" s="5" t="n">
        <v>1</v>
      </c>
      <c r="AW666" s="5" t="n">
        <v>0.593</v>
      </c>
      <c r="AX666" s="5" t="n">
        <v>0.114</v>
      </c>
      <c r="AY666" s="5" t="n">
        <v>0</v>
      </c>
      <c r="AZ666" s="5" t="n">
        <v>0.6820000000000001</v>
      </c>
      <c r="BA666" s="5" t="n">
        <v>0.15</v>
      </c>
      <c r="BB666" s="5" t="n">
        <v>1</v>
      </c>
      <c r="BC666" s="5" t="n">
        <v>0.44</v>
      </c>
      <c r="BD666" s="5" t="n">
        <v>0.114</v>
      </c>
      <c r="BE666" s="5" t="n">
        <v>0</v>
      </c>
      <c r="BF666" s="5" t="n">
        <v>0.506</v>
      </c>
      <c r="BG666" s="5" t="n">
        <v>0.15</v>
      </c>
      <c r="BH666" s="5" t="n">
        <v>1</v>
      </c>
      <c r="BI666" s="5" t="n">
        <v>0.5600000000000001</v>
      </c>
      <c r="BJ666" s="5" t="n">
        <v>0.114</v>
      </c>
      <c r="BK666" s="5" t="n">
        <v>0</v>
      </c>
      <c r="BL666" s="5" t="n">
        <v>0.644</v>
      </c>
      <c r="BM666" s="5" t="n">
        <v>0.15</v>
      </c>
      <c r="BN666" s="5" t="n">
        <v>1</v>
      </c>
      <c r="BO666" s="5" t="n">
        <v>0</v>
      </c>
      <c r="BP666" s="5" t="n">
        <v>0</v>
      </c>
      <c r="BQ666" s="5" t="n">
        <v>0</v>
      </c>
      <c r="BR666" s="5" t="n">
        <v>0</v>
      </c>
      <c r="BS666" s="5" t="n">
        <v>1</v>
      </c>
      <c r="BT666" s="5" t="n">
        <v>0</v>
      </c>
      <c r="BU666" s="5" t="n">
        <v>0</v>
      </c>
      <c r="BV666" s="5" t="n">
        <v>0</v>
      </c>
      <c r="BW666" s="5" t="n">
        <v>0.15</v>
      </c>
      <c r="BX666" s="5" t="n">
        <v>1</v>
      </c>
      <c r="BY666" s="5" t="n">
        <v>11.787</v>
      </c>
      <c r="BZ666" s="5" t="n">
        <v>0</v>
      </c>
      <c r="CA666" s="5" t="n">
        <v>11.787</v>
      </c>
      <c r="CB666" s="5" t="n">
        <v>0</v>
      </c>
      <c r="CC666" s="5" t="n">
        <v>81.69499999999999</v>
      </c>
      <c r="CD666" s="5" t="n">
        <v>7.95</v>
      </c>
      <c r="CE666" s="5" t="n">
        <v>0</v>
      </c>
      <c r="CF666" s="5" t="n">
        <v>93.95</v>
      </c>
      <c r="CG666" s="5" t="n">
        <v>0.15</v>
      </c>
      <c r="CH666" s="5" t="n">
        <v>1</v>
      </c>
      <c r="CI666" s="5" t="n">
        <v>0</v>
      </c>
      <c r="CJ666" s="5" t="n">
        <v>0</v>
      </c>
      <c r="CK666" s="5" t="n">
        <v>0</v>
      </c>
      <c r="CL666" s="5" t="n">
        <v>0</v>
      </c>
      <c r="CM666" s="5" t="n">
        <v>0</v>
      </c>
      <c r="CN666" s="5" t="n">
        <v>0</v>
      </c>
      <c r="CO666" s="5" t="n">
        <v>0</v>
      </c>
      <c r="CP666" s="5" t="n">
        <v>0</v>
      </c>
      <c r="CQ666" s="5" t="n">
        <v>1.198</v>
      </c>
      <c r="CR666" s="5" t="n">
        <v>0</v>
      </c>
      <c r="CS666" s="5" t="n">
        <v>4.776</v>
      </c>
      <c r="CT666" s="5" t="n">
        <v>3.604</v>
      </c>
      <c r="CU666" s="5" t="n">
        <v>9.407999999999999</v>
      </c>
    </row>
    <row r="667">
      <c r="A667" s="5" t="inlineStr">
        <is>
          <t>WSM2022</t>
        </is>
      </c>
      <c r="B667" s="5" t="inlineStr">
        <is>
          <t>WSM</t>
        </is>
      </c>
      <c r="C667" s="5" t="inlineStr">
        <is>
          <t>WSM</t>
        </is>
      </c>
      <c r="D667" s="5" t="inlineStr">
        <is>
          <t>Samoa</t>
        </is>
      </c>
      <c r="E667" s="5" t="n">
        <v>2022</v>
      </c>
      <c r="F667" s="5" t="n">
        <v>0.15</v>
      </c>
      <c r="G667" s="5" t="n">
        <v>8.788</v>
      </c>
      <c r="H667" s="5" t="n">
        <v>1.235</v>
      </c>
      <c r="I667" s="5" t="n">
        <v>0</v>
      </c>
      <c r="J667" s="5" t="n">
        <v>8.788</v>
      </c>
      <c r="K667" s="5" t="n">
        <v>0</v>
      </c>
      <c r="L667" s="5" t="n">
        <v>1</v>
      </c>
      <c r="M667" s="5" t="n">
        <v>9.782999999999999</v>
      </c>
      <c r="N667" s="5" t="n">
        <v>3.704</v>
      </c>
      <c r="O667" s="5" t="n">
        <v>0</v>
      </c>
      <c r="P667" s="5" t="n">
        <v>9.782999999999999</v>
      </c>
      <c r="Q667" s="5" t="n">
        <v>0</v>
      </c>
      <c r="R667" s="5" t="n">
        <v>1</v>
      </c>
      <c r="S667" s="5" t="n">
        <v>14.962</v>
      </c>
      <c r="T667" s="5" t="n">
        <v>7.408</v>
      </c>
      <c r="U667" s="5" t="n">
        <v>0.166</v>
      </c>
      <c r="V667" s="5" t="n">
        <v>17.206</v>
      </c>
      <c r="W667" s="5" t="n">
        <v>0.15</v>
      </c>
      <c r="X667" s="5" t="n">
        <v>1</v>
      </c>
      <c r="Y667" s="5" t="n">
        <v>15.491</v>
      </c>
      <c r="Z667" s="5" t="n">
        <v>1.911</v>
      </c>
      <c r="AA667" s="5" t="n">
        <v>0</v>
      </c>
      <c r="AB667" s="5" t="n">
        <v>15.491</v>
      </c>
      <c r="AC667" s="5" t="n">
        <v>0</v>
      </c>
      <c r="AD667" s="5" t="n">
        <v>1</v>
      </c>
      <c r="AE667" s="5" t="n">
        <v>16.726</v>
      </c>
      <c r="AF667" s="5" t="n">
        <v>3.646</v>
      </c>
      <c r="AG667" s="5" t="n">
        <v>0</v>
      </c>
      <c r="AH667" s="5" t="n">
        <v>16.726</v>
      </c>
      <c r="AI667" s="5" t="n">
        <v>0</v>
      </c>
      <c r="AJ667" s="5" t="n">
        <v>1</v>
      </c>
      <c r="AK667" s="5" t="n">
        <v>24.134</v>
      </c>
      <c r="AL667" s="5" t="n">
        <v>12.523</v>
      </c>
      <c r="AM667" s="5" t="n">
        <v>0.268</v>
      </c>
      <c r="AN667" s="5" t="n">
        <v>27.754</v>
      </c>
      <c r="AO667" s="5" t="n">
        <v>0.15</v>
      </c>
      <c r="AP667" s="5" t="n">
        <v>1</v>
      </c>
      <c r="AQ667" s="5" t="n">
        <v>0.847</v>
      </c>
      <c r="AR667" s="5" t="n">
        <v>0.123</v>
      </c>
      <c r="AS667" s="5" t="n">
        <v>0.008999999999999999</v>
      </c>
      <c r="AT667" s="5" t="n">
        <v>0.974</v>
      </c>
      <c r="AU667" s="5" t="n">
        <v>0.15</v>
      </c>
      <c r="AV667" s="5" t="n">
        <v>1</v>
      </c>
      <c r="AW667" s="5" t="n">
        <v>0.947</v>
      </c>
      <c r="AX667" s="5" t="n">
        <v>0.123</v>
      </c>
      <c r="AY667" s="5" t="n">
        <v>0.011</v>
      </c>
      <c r="AZ667" s="5" t="n">
        <v>1.089</v>
      </c>
      <c r="BA667" s="5" t="n">
        <v>0.15</v>
      </c>
      <c r="BB667" s="5" t="n">
        <v>1</v>
      </c>
      <c r="BC667" s="5" t="n">
        <v>0.589</v>
      </c>
      <c r="BD667" s="5" t="n">
        <v>0.123</v>
      </c>
      <c r="BE667" s="5" t="n">
        <v>0.007</v>
      </c>
      <c r="BF667" s="5" t="n">
        <v>0.677</v>
      </c>
      <c r="BG667" s="5" t="n">
        <v>0.15</v>
      </c>
      <c r="BH667" s="5" t="n">
        <v>1</v>
      </c>
      <c r="BI667" s="5" t="n">
        <v>0.6889999999999999</v>
      </c>
      <c r="BJ667" s="5" t="n">
        <v>0.123</v>
      </c>
      <c r="BK667" s="5" t="n">
        <v>0.008</v>
      </c>
      <c r="BL667" s="5" t="n">
        <v>0.792</v>
      </c>
      <c r="BM667" s="5" t="n">
        <v>0.15</v>
      </c>
      <c r="BN667" s="5" t="n">
        <v>1</v>
      </c>
      <c r="BO667" s="5" t="n">
        <v>0</v>
      </c>
      <c r="BP667" s="5" t="n">
        <v>0</v>
      </c>
      <c r="BQ667" s="5" t="n">
        <v>0</v>
      </c>
      <c r="BR667" s="5" t="n">
        <v>0</v>
      </c>
      <c r="BS667" s="5" t="n">
        <v>1</v>
      </c>
      <c r="BT667" s="5" t="n">
        <v>0</v>
      </c>
      <c r="BU667" s="5" t="n">
        <v>0</v>
      </c>
      <c r="BV667" s="5" t="n">
        <v>0</v>
      </c>
      <c r="BW667" s="5" t="n">
        <v>0.15</v>
      </c>
      <c r="BX667" s="5" t="n">
        <v>1</v>
      </c>
      <c r="BY667" s="5" t="n">
        <v>12.729</v>
      </c>
      <c r="BZ667" s="5" t="n">
        <v>0</v>
      </c>
      <c r="CA667" s="5" t="n">
        <v>12.729</v>
      </c>
      <c r="CB667" s="5" t="n">
        <v>0</v>
      </c>
      <c r="CC667" s="5" t="n">
        <v>102.477</v>
      </c>
      <c r="CD667" s="5" t="n">
        <v>7.95</v>
      </c>
      <c r="CE667" s="5" t="n">
        <v>1.138</v>
      </c>
      <c r="CF667" s="5" t="n">
        <v>117.848</v>
      </c>
      <c r="CG667" s="5" t="n">
        <v>0.15</v>
      </c>
      <c r="CH667" s="5" t="n">
        <v>1</v>
      </c>
      <c r="CI667" s="5" t="n">
        <v>0</v>
      </c>
      <c r="CJ667" s="5" t="n">
        <v>0</v>
      </c>
      <c r="CK667" s="5" t="n">
        <v>0</v>
      </c>
      <c r="CL667" s="5" t="n">
        <v>0</v>
      </c>
      <c r="CM667" s="5" t="n">
        <v>0</v>
      </c>
      <c r="CN667" s="5" t="n">
        <v>0</v>
      </c>
      <c r="CO667" s="5" t="n">
        <v>0</v>
      </c>
      <c r="CP667" s="5" t="n">
        <v>0</v>
      </c>
      <c r="CQ667" s="5" t="n">
        <v>1.294</v>
      </c>
      <c r="CR667" s="5" t="n">
        <v>0</v>
      </c>
      <c r="CS667" s="5" t="n">
        <v>5.158</v>
      </c>
      <c r="CT667" s="5" t="n">
        <v>7.554</v>
      </c>
      <c r="CU667" s="5" t="n">
        <v>16.097</v>
      </c>
    </row>
    <row r="668">
      <c r="A668" s="5" t="inlineStr">
        <is>
          <t>WSM2023</t>
        </is>
      </c>
      <c r="B668" s="5" t="inlineStr">
        <is>
          <t>WSM</t>
        </is>
      </c>
      <c r="C668" s="5" t="inlineStr">
        <is>
          <t>WSM</t>
        </is>
      </c>
      <c r="D668" s="5" t="inlineStr">
        <is>
          <t>Samoa</t>
        </is>
      </c>
      <c r="E668" s="5" t="n">
        <v>2023</v>
      </c>
      <c r="F668" s="5" t="n">
        <v>0.15</v>
      </c>
      <c r="G668" s="5" t="n">
        <v>5.77</v>
      </c>
      <c r="H668" s="5" t="n">
        <v>1.286</v>
      </c>
      <c r="I668" s="5" t="n">
        <v>0</v>
      </c>
      <c r="J668" s="5" t="n">
        <v>5.77</v>
      </c>
      <c r="K668" s="5" t="n">
        <v>0</v>
      </c>
      <c r="L668" s="5" t="n">
        <v>1</v>
      </c>
      <c r="M668" s="5" t="n">
        <v>7.886</v>
      </c>
      <c r="N668" s="5" t="n">
        <v>3.857</v>
      </c>
      <c r="O668" s="5" t="n">
        <v>0</v>
      </c>
      <c r="P668" s="5" t="n">
        <v>7.886</v>
      </c>
      <c r="Q668" s="5" t="n">
        <v>0</v>
      </c>
      <c r="R668" s="5" t="n">
        <v>1</v>
      </c>
      <c r="S668" s="5" t="n">
        <v>12.198</v>
      </c>
      <c r="T668" s="5" t="n">
        <v>7.714</v>
      </c>
      <c r="U668" s="5" t="n">
        <v>0.203</v>
      </c>
      <c r="V668" s="5" t="n">
        <v>14.028</v>
      </c>
      <c r="W668" s="5" t="n">
        <v>0.15</v>
      </c>
      <c r="X668" s="5" t="n">
        <v>1</v>
      </c>
      <c r="Y668" s="5" t="n">
        <v>12.479</v>
      </c>
      <c r="Z668" s="5" t="n">
        <v>1.54</v>
      </c>
      <c r="AA668" s="5" t="n">
        <v>0</v>
      </c>
      <c r="AB668" s="5" t="n">
        <v>12.479</v>
      </c>
      <c r="AC668" s="5" t="n">
        <v>0</v>
      </c>
      <c r="AD668" s="5" t="n">
        <v>1</v>
      </c>
      <c r="AE668" s="5" t="n">
        <v>13.764</v>
      </c>
      <c r="AF668" s="5" t="n">
        <v>3.001</v>
      </c>
      <c r="AG668" s="5" t="n">
        <v>0</v>
      </c>
      <c r="AH668" s="5" t="n">
        <v>13.764</v>
      </c>
      <c r="AI668" s="5" t="n">
        <v>0</v>
      </c>
      <c r="AJ668" s="5" t="n">
        <v>1</v>
      </c>
      <c r="AK668" s="5" t="n">
        <v>21.478</v>
      </c>
      <c r="AL668" s="5" t="n">
        <v>11.145</v>
      </c>
      <c r="AM668" s="5" t="n">
        <v>0.357</v>
      </c>
      <c r="AN668" s="5" t="n">
        <v>24.7</v>
      </c>
      <c r="AO668" s="5" t="n">
        <v>0.15</v>
      </c>
      <c r="AP668" s="5" t="n">
        <v>1</v>
      </c>
      <c r="AQ668" s="5" t="n">
        <v>0.749</v>
      </c>
      <c r="AR668" s="5" t="n">
        <v>0.129</v>
      </c>
      <c r="AS668" s="5" t="n">
        <v>0.012</v>
      </c>
      <c r="AT668" s="5" t="n">
        <v>0.861</v>
      </c>
      <c r="AU668" s="5" t="n">
        <v>0.15</v>
      </c>
      <c r="AV668" s="5" t="n">
        <v>1</v>
      </c>
      <c r="AW668" s="5" t="n">
        <v>0.783</v>
      </c>
      <c r="AX668" s="5" t="n">
        <v>0.129</v>
      </c>
      <c r="AY668" s="5" t="n">
        <v>0.013</v>
      </c>
      <c r="AZ668" s="5" t="n">
        <v>0.9</v>
      </c>
      <c r="BA668" s="5" t="n">
        <v>0.15</v>
      </c>
      <c r="BB668" s="5" t="n">
        <v>1</v>
      </c>
      <c r="BC668" s="5" t="n">
        <v>0.527</v>
      </c>
      <c r="BD668" s="5" t="n">
        <v>0.129</v>
      </c>
      <c r="BE668" s="5" t="n">
        <v>0.008999999999999999</v>
      </c>
      <c r="BF668" s="5" t="n">
        <v>0.607</v>
      </c>
      <c r="BG668" s="5" t="n">
        <v>0.15</v>
      </c>
      <c r="BH668" s="5" t="n">
        <v>1</v>
      </c>
      <c r="BI668" s="5" t="n">
        <v>0.64</v>
      </c>
      <c r="BJ668" s="5" t="n">
        <v>0.129</v>
      </c>
      <c r="BK668" s="5" t="n">
        <v>0.011</v>
      </c>
      <c r="BL668" s="5" t="n">
        <v>0.736</v>
      </c>
      <c r="BM668" s="5" t="n">
        <v>0.15</v>
      </c>
      <c r="BN668" s="5" t="n">
        <v>1</v>
      </c>
      <c r="BO668" s="5" t="n">
        <v>0</v>
      </c>
      <c r="BP668" s="5" t="n">
        <v>0</v>
      </c>
      <c r="BQ668" s="5" t="n">
        <v>0</v>
      </c>
      <c r="BR668" s="5" t="n">
        <v>0</v>
      </c>
      <c r="BS668" s="5" t="n">
        <v>1</v>
      </c>
      <c r="BT668" s="5" t="n">
        <v>0</v>
      </c>
      <c r="BU668" s="5" t="n">
        <v>0</v>
      </c>
      <c r="BV668" s="5" t="n">
        <v>0</v>
      </c>
      <c r="BW668" s="5" t="n">
        <v>0.15</v>
      </c>
      <c r="BX668" s="5" t="n">
        <v>1</v>
      </c>
      <c r="BY668" s="5" t="n">
        <v>13.254</v>
      </c>
      <c r="BZ668" s="5" t="n">
        <v>0</v>
      </c>
      <c r="CA668" s="5" t="n">
        <v>13.254</v>
      </c>
      <c r="CB668" s="5" t="n">
        <v>0</v>
      </c>
      <c r="CC668" s="5" t="n">
        <v>87.07899999999999</v>
      </c>
      <c r="CD668" s="5" t="n">
        <v>7.95</v>
      </c>
      <c r="CE668" s="5" t="n">
        <v>1.446</v>
      </c>
      <c r="CF668" s="5" t="n">
        <v>100.141</v>
      </c>
      <c r="CG668" s="5" t="n">
        <v>0.15</v>
      </c>
      <c r="CH668" s="5" t="n">
        <v>1</v>
      </c>
      <c r="CI668" s="5" t="n">
        <v>0</v>
      </c>
      <c r="CJ668" s="5" t="n">
        <v>0</v>
      </c>
      <c r="CK668" s="5" t="n">
        <v>0</v>
      </c>
      <c r="CL668" s="5" t="n">
        <v>0</v>
      </c>
      <c r="CM668" s="5" t="n">
        <v>0</v>
      </c>
      <c r="CN668" s="5" t="n">
        <v>0</v>
      </c>
      <c r="CO668" s="5" t="n">
        <v>0</v>
      </c>
      <c r="CP668" s="5" t="n">
        <v>0</v>
      </c>
      <c r="CQ668" s="5" t="n">
        <v>1.348</v>
      </c>
      <c r="CR668" s="5" t="n">
        <v>0</v>
      </c>
      <c r="CS668" s="5" t="n">
        <v>5.37</v>
      </c>
      <c r="CT668" s="5" t="n">
        <v>4.484</v>
      </c>
      <c r="CU668" s="5" t="n">
        <v>12.529</v>
      </c>
    </row>
    <row r="669">
      <c r="A669" s="5" t="inlineStr">
        <is>
          <t>WSM2024</t>
        </is>
      </c>
      <c r="B669" s="5" t="inlineStr">
        <is>
          <t>WSM</t>
        </is>
      </c>
      <c r="C669" s="5" t="inlineStr">
        <is>
          <t>WSM</t>
        </is>
      </c>
      <c r="D669" s="5" t="inlineStr">
        <is>
          <t>Samoa</t>
        </is>
      </c>
      <c r="E669" s="5" t="n">
        <v>2024</v>
      </c>
      <c r="F669" s="5" t="n">
        <v>0.15</v>
      </c>
      <c r="G669" s="5" t="n">
        <v>4.833</v>
      </c>
      <c r="H669" s="5" t="n">
        <v>1.324</v>
      </c>
      <c r="I669" s="5" t="n">
        <v>0</v>
      </c>
      <c r="J669" s="5" t="n">
        <v>4.833</v>
      </c>
      <c r="K669" s="5" t="n">
        <v>0</v>
      </c>
      <c r="L669" s="5" t="n">
        <v>1</v>
      </c>
      <c r="M669" s="5" t="n">
        <v>7.124</v>
      </c>
      <c r="N669" s="5" t="n">
        <v>3.971</v>
      </c>
      <c r="O669" s="5" t="n">
        <v>0</v>
      </c>
      <c r="P669" s="5" t="n">
        <v>7.124</v>
      </c>
      <c r="Q669" s="5" t="n">
        <v>0</v>
      </c>
      <c r="R669" s="5" t="n">
        <v>1</v>
      </c>
      <c r="S669" s="5" t="n">
        <v>11.451</v>
      </c>
      <c r="T669" s="5" t="n">
        <v>7.942</v>
      </c>
      <c r="U669" s="5" t="n">
        <v>0.234</v>
      </c>
      <c r="V669" s="5" t="n">
        <v>13.168</v>
      </c>
      <c r="W669" s="5" t="n">
        <v>0.15</v>
      </c>
      <c r="X669" s="5" t="n">
        <v>1</v>
      </c>
      <c r="Y669" s="5" t="n">
        <v>11.218</v>
      </c>
      <c r="Z669" s="5" t="n">
        <v>1.384</v>
      </c>
      <c r="AA669" s="5" t="n">
        <v>0</v>
      </c>
      <c r="AB669" s="5" t="n">
        <v>11.218</v>
      </c>
      <c r="AC669" s="5" t="n">
        <v>0</v>
      </c>
      <c r="AD669" s="5" t="n">
        <v>1</v>
      </c>
      <c r="AE669" s="5" t="n">
        <v>12.541</v>
      </c>
      <c r="AF669" s="5" t="n">
        <v>2.734</v>
      </c>
      <c r="AG669" s="5" t="n">
        <v>0</v>
      </c>
      <c r="AH669" s="5" t="n">
        <v>12.541</v>
      </c>
      <c r="AI669" s="5" t="n">
        <v>0</v>
      </c>
      <c r="AJ669" s="5" t="n">
        <v>1</v>
      </c>
      <c r="AK669" s="5" t="n">
        <v>20.483</v>
      </c>
      <c r="AL669" s="5" t="n">
        <v>10.628</v>
      </c>
      <c r="AM669" s="5" t="n">
        <v>0.419</v>
      </c>
      <c r="AN669" s="5" t="n">
        <v>23.555</v>
      </c>
      <c r="AO669" s="5" t="n">
        <v>0.15</v>
      </c>
      <c r="AP669" s="5" t="n">
        <v>1</v>
      </c>
      <c r="AQ669" s="5" t="n">
        <v>0.72</v>
      </c>
      <c r="AR669" s="5" t="n">
        <v>0.132</v>
      </c>
      <c r="AS669" s="5" t="n">
        <v>0.015</v>
      </c>
      <c r="AT669" s="5" t="n">
        <v>0.828</v>
      </c>
      <c r="AU669" s="5" t="n">
        <v>0.15</v>
      </c>
      <c r="AV669" s="5" t="n">
        <v>1</v>
      </c>
      <c r="AW669" s="5" t="n">
        <v>0.734</v>
      </c>
      <c r="AX669" s="5" t="n">
        <v>0.132</v>
      </c>
      <c r="AY669" s="5" t="n">
        <v>0.015</v>
      </c>
      <c r="AZ669" s="5" t="n">
        <v>0.844</v>
      </c>
      <c r="BA669" s="5" t="n">
        <v>0.15</v>
      </c>
      <c r="BB669" s="5" t="n">
        <v>1</v>
      </c>
      <c r="BC669" s="5" t="n">
        <v>0.51</v>
      </c>
      <c r="BD669" s="5" t="n">
        <v>0.132</v>
      </c>
      <c r="BE669" s="5" t="n">
        <v>0.01</v>
      </c>
      <c r="BF669" s="5" t="n">
        <v>0.587</v>
      </c>
      <c r="BG669" s="5" t="n">
        <v>0.15</v>
      </c>
      <c r="BH669" s="5" t="n">
        <v>1</v>
      </c>
      <c r="BI669" s="5" t="n">
        <v>0.652</v>
      </c>
      <c r="BJ669" s="5" t="n">
        <v>0.132</v>
      </c>
      <c r="BK669" s="5" t="n">
        <v>0.013</v>
      </c>
      <c r="BL669" s="5" t="n">
        <v>0.75</v>
      </c>
      <c r="BM669" s="5" t="n">
        <v>0.15</v>
      </c>
      <c r="BN669" s="5" t="n">
        <v>1</v>
      </c>
      <c r="BO669" s="5" t="n">
        <v>0</v>
      </c>
      <c r="BP669" s="5" t="n">
        <v>0</v>
      </c>
      <c r="BQ669" s="5" t="n">
        <v>0</v>
      </c>
      <c r="BR669" s="5" t="n">
        <v>0</v>
      </c>
      <c r="BS669" s="5" t="n">
        <v>1</v>
      </c>
      <c r="BT669" s="5" t="n">
        <v>0</v>
      </c>
      <c r="BU669" s="5" t="n">
        <v>0</v>
      </c>
      <c r="BV669" s="5" t="n">
        <v>0</v>
      </c>
      <c r="BW669" s="5" t="n">
        <v>0.15</v>
      </c>
      <c r="BX669" s="5" t="n">
        <v>1</v>
      </c>
      <c r="BY669" s="5" t="n">
        <v>13.646</v>
      </c>
      <c r="BZ669" s="5" t="n">
        <v>0</v>
      </c>
      <c r="CA669" s="5" t="n">
        <v>13.646</v>
      </c>
      <c r="CB669" s="5" t="n">
        <v>0</v>
      </c>
      <c r="CC669" s="5" t="n">
        <v>86.38500000000001</v>
      </c>
      <c r="CD669" s="5" t="n">
        <v>7.95</v>
      </c>
      <c r="CE669" s="5" t="n">
        <v>1.765</v>
      </c>
      <c r="CF669" s="5" t="n">
        <v>99.343</v>
      </c>
      <c r="CG669" s="5" t="n">
        <v>0.15</v>
      </c>
      <c r="CH669" s="5" t="n">
        <v>1</v>
      </c>
      <c r="CI669" s="5" t="n">
        <v>0</v>
      </c>
      <c r="CJ669" s="5" t="n">
        <v>0</v>
      </c>
      <c r="CK669" s="5" t="n">
        <v>0</v>
      </c>
      <c r="CL669" s="5" t="n">
        <v>0</v>
      </c>
      <c r="CM669" s="5" t="n">
        <v>0</v>
      </c>
      <c r="CN669" s="5" t="n">
        <v>0</v>
      </c>
      <c r="CO669" s="5" t="n">
        <v>0</v>
      </c>
      <c r="CP669" s="5" t="n">
        <v>0</v>
      </c>
      <c r="CQ669" s="5" t="n">
        <v>1.387</v>
      </c>
      <c r="CR669" s="5" t="n">
        <v>0</v>
      </c>
      <c r="CS669" s="5" t="n">
        <v>5.529</v>
      </c>
      <c r="CT669" s="5" t="n">
        <v>3.509</v>
      </c>
      <c r="CU669" s="5" t="n">
        <v>10.896</v>
      </c>
    </row>
    <row r="670">
      <c r="A670" s="5" t="inlineStr">
        <is>
          <t>SMR2021</t>
        </is>
      </c>
      <c r="B670" s="5" t="inlineStr">
        <is>
          <t>SMR</t>
        </is>
      </c>
      <c r="C670" s="5" t="inlineStr">
        <is>
          <t>SMR</t>
        </is>
      </c>
      <c r="D670" s="5" t="inlineStr">
        <is>
          <t>San Marino</t>
        </is>
      </c>
      <c r="E670" s="5" t="n">
        <v>2021</v>
      </c>
      <c r="F670" s="5" t="n">
        <v>0</v>
      </c>
      <c r="G670" s="5" t="n">
        <v>5.553</v>
      </c>
      <c r="H670" s="5" t="n">
        <v>1.143</v>
      </c>
      <c r="I670" s="5" t="n">
        <v>0</v>
      </c>
      <c r="J670" s="5" t="n">
        <v>5.553</v>
      </c>
      <c r="K670" s="5" t="n">
        <v>0</v>
      </c>
      <c r="L670" s="5" t="n">
        <v>1</v>
      </c>
      <c r="M670" s="5" t="n">
        <v>7.964</v>
      </c>
      <c r="N670" s="5" t="n">
        <v>3.43</v>
      </c>
      <c r="O670" s="5" t="n">
        <v>0</v>
      </c>
      <c r="P670" s="5" t="n">
        <v>7.964</v>
      </c>
      <c r="Q670" s="5" t="n">
        <v>0</v>
      </c>
      <c r="R670" s="5" t="n">
        <v>1</v>
      </c>
      <c r="S670" s="5" t="n">
        <v>11.27</v>
      </c>
      <c r="T670" s="5" t="n">
        <v>6.86</v>
      </c>
      <c r="U670" s="5" t="n">
        <v>0</v>
      </c>
      <c r="V670" s="5" t="n">
        <v>11.27</v>
      </c>
      <c r="W670" s="5" t="n">
        <v>0</v>
      </c>
      <c r="X670" s="5" t="n">
        <v>1</v>
      </c>
      <c r="Y670" s="5" t="n">
        <v>16.305</v>
      </c>
      <c r="Z670" s="5" t="n">
        <v>2.204</v>
      </c>
      <c r="AA670" s="5" t="n">
        <v>0</v>
      </c>
      <c r="AB670" s="5" t="n">
        <v>16.305</v>
      </c>
      <c r="AC670" s="5" t="n">
        <v>0</v>
      </c>
      <c r="AD670" s="5" t="n">
        <v>1</v>
      </c>
      <c r="AE670" s="5" t="n">
        <v>17.449</v>
      </c>
      <c r="AF670" s="5" t="n">
        <v>4.08</v>
      </c>
      <c r="AG670" s="5" t="n">
        <v>0</v>
      </c>
      <c r="AH670" s="5" t="n">
        <v>17.449</v>
      </c>
      <c r="AI670" s="5" t="n">
        <v>0</v>
      </c>
      <c r="AJ670" s="5" t="n">
        <v>1</v>
      </c>
      <c r="AK670" s="5" t="n">
        <v>24.309</v>
      </c>
      <c r="AL670" s="5" t="n">
        <v>12.947</v>
      </c>
      <c r="AM670" s="5" t="n">
        <v>0</v>
      </c>
      <c r="AN670" s="5" t="n">
        <v>24.309</v>
      </c>
      <c r="AO670" s="5" t="n">
        <v>0</v>
      </c>
      <c r="AP670" s="5" t="n">
        <v>1</v>
      </c>
      <c r="AQ670" s="5" t="n">
        <v>0.619</v>
      </c>
      <c r="AR670" s="5" t="n">
        <v>0.114</v>
      </c>
      <c r="AS670" s="5" t="n">
        <v>0</v>
      </c>
      <c r="AT670" s="5" t="n">
        <v>0.619</v>
      </c>
      <c r="AU670" s="5" t="n">
        <v>0</v>
      </c>
      <c r="AV670" s="5" t="n">
        <v>1</v>
      </c>
      <c r="AW670" s="5" t="n">
        <v>0.599</v>
      </c>
      <c r="AX670" s="5" t="n">
        <v>0.114</v>
      </c>
      <c r="AY670" s="5" t="n">
        <v>0</v>
      </c>
      <c r="AZ670" s="5" t="n">
        <v>0.599</v>
      </c>
      <c r="BA670" s="5" t="n">
        <v>0</v>
      </c>
      <c r="BB670" s="5" t="n">
        <v>1</v>
      </c>
      <c r="BC670" s="5" t="n">
        <v>0.439</v>
      </c>
      <c r="BD670" s="5" t="n">
        <v>0.114</v>
      </c>
      <c r="BE670" s="5" t="n">
        <v>0</v>
      </c>
      <c r="BF670" s="5" t="n">
        <v>0.439</v>
      </c>
      <c r="BG670" s="5" t="n">
        <v>0</v>
      </c>
      <c r="BH670" s="5" t="n">
        <v>1</v>
      </c>
      <c r="BI670" s="5" t="n">
        <v>0.505</v>
      </c>
      <c r="BJ670" s="5" t="n">
        <v>0.114</v>
      </c>
      <c r="BK670" s="5" t="n">
        <v>0</v>
      </c>
      <c r="BL670" s="5" t="n">
        <v>0.505</v>
      </c>
      <c r="BM670" s="5" t="n">
        <v>0</v>
      </c>
      <c r="BN670" s="5" t="n">
        <v>1</v>
      </c>
      <c r="BO670" s="5" t="n">
        <v>0</v>
      </c>
      <c r="BP670" s="5" t="n">
        <v>0</v>
      </c>
      <c r="BQ670" s="5" t="n">
        <v>0</v>
      </c>
      <c r="BR670" s="5" t="n">
        <v>0</v>
      </c>
      <c r="BS670" s="5" t="n">
        <v>1</v>
      </c>
      <c r="BT670" s="5" t="n">
        <v>0</v>
      </c>
      <c r="BU670" s="5" t="n">
        <v>0</v>
      </c>
      <c r="BV670" s="5" t="n">
        <v>0</v>
      </c>
      <c r="BW670" s="5" t="n">
        <v>0</v>
      </c>
      <c r="BX670" s="5" t="n">
        <v>1</v>
      </c>
      <c r="BY670" s="5" t="n">
        <v>11.787</v>
      </c>
      <c r="BZ670" s="5" t="n">
        <v>0</v>
      </c>
      <c r="CA670" s="5" t="n">
        <v>11.787</v>
      </c>
      <c r="CB670" s="5" t="n">
        <v>0</v>
      </c>
      <c r="CC670" s="5" t="n">
        <v>78.125</v>
      </c>
      <c r="CD670" s="5" t="n">
        <v>7.95</v>
      </c>
      <c r="CE670" s="5" t="n">
        <v>0</v>
      </c>
      <c r="CF670" s="5" t="n">
        <v>78.125</v>
      </c>
      <c r="CG670" s="5" t="n">
        <v>0</v>
      </c>
      <c r="CH670" s="5" t="n">
        <v>1</v>
      </c>
      <c r="CI670" s="5" t="n">
        <v>0</v>
      </c>
      <c r="CJ670" s="5" t="n">
        <v>0</v>
      </c>
      <c r="CK670" s="5" t="n">
        <v>0</v>
      </c>
      <c r="CL670" s="5" t="n">
        <v>0</v>
      </c>
      <c r="CM670" s="5" t="n">
        <v>0</v>
      </c>
      <c r="CN670" s="5" t="n">
        <v>0</v>
      </c>
      <c r="CO670" s="5" t="n">
        <v>0</v>
      </c>
      <c r="CP670" s="5" t="n">
        <v>0</v>
      </c>
      <c r="CQ670" s="5" t="n">
        <v>1.198</v>
      </c>
      <c r="CR670" s="5" t="n">
        <v>0</v>
      </c>
      <c r="CS670" s="5" t="n">
        <v>4.776</v>
      </c>
      <c r="CT670" s="5" t="n">
        <v>4.41</v>
      </c>
      <c r="CU670" s="5" t="n">
        <v>15.162</v>
      </c>
    </row>
    <row r="671">
      <c r="A671" s="5" t="inlineStr">
        <is>
          <t>SMR2022</t>
        </is>
      </c>
      <c r="B671" s="5" t="inlineStr">
        <is>
          <t>SMR</t>
        </is>
      </c>
      <c r="C671" s="5" t="inlineStr">
        <is>
          <t>SMR</t>
        </is>
      </c>
      <c r="D671" s="5" t="inlineStr">
        <is>
          <t>San Marino</t>
        </is>
      </c>
      <c r="E671" s="5" t="n">
        <v>2022</v>
      </c>
      <c r="F671" s="5" t="n">
        <v>0</v>
      </c>
      <c r="G671" s="5" t="n">
        <v>7.077</v>
      </c>
      <c r="H671" s="5" t="n">
        <v>1.235</v>
      </c>
      <c r="I671" s="5" t="n">
        <v>0</v>
      </c>
      <c r="J671" s="5" t="n">
        <v>7.077</v>
      </c>
      <c r="K671" s="5" t="n">
        <v>0</v>
      </c>
      <c r="L671" s="5" t="n">
        <v>1</v>
      </c>
      <c r="M671" s="5" t="n">
        <v>9.782999999999999</v>
      </c>
      <c r="N671" s="5" t="n">
        <v>3.704</v>
      </c>
      <c r="O671" s="5" t="n">
        <v>0</v>
      </c>
      <c r="P671" s="5" t="n">
        <v>9.782999999999999</v>
      </c>
      <c r="Q671" s="5" t="n">
        <v>0</v>
      </c>
      <c r="R671" s="5" t="n">
        <v>1</v>
      </c>
      <c r="S671" s="5" t="n">
        <v>13.25</v>
      </c>
      <c r="T671" s="5" t="n">
        <v>7.408</v>
      </c>
      <c r="U671" s="5" t="n">
        <v>0</v>
      </c>
      <c r="V671" s="5" t="n">
        <v>13.25</v>
      </c>
      <c r="W671" s="5" t="n">
        <v>0</v>
      </c>
      <c r="X671" s="5" t="n">
        <v>1</v>
      </c>
      <c r="Y671" s="5" t="n">
        <v>32.56</v>
      </c>
      <c r="Z671" s="5" t="n">
        <v>4.401</v>
      </c>
      <c r="AA671" s="5" t="n">
        <v>0</v>
      </c>
      <c r="AB671" s="5" t="n">
        <v>32.56</v>
      </c>
      <c r="AC671" s="5" t="n">
        <v>0</v>
      </c>
      <c r="AD671" s="5" t="n">
        <v>1</v>
      </c>
      <c r="AE671" s="5" t="n">
        <v>33.795</v>
      </c>
      <c r="AF671" s="5" t="n">
        <v>7.902</v>
      </c>
      <c r="AG671" s="5" t="n">
        <v>0</v>
      </c>
      <c r="AH671" s="5" t="n">
        <v>33.795</v>
      </c>
      <c r="AI671" s="5" t="n">
        <v>0</v>
      </c>
      <c r="AJ671" s="5" t="n">
        <v>1</v>
      </c>
      <c r="AK671" s="5" t="n">
        <v>41.203</v>
      </c>
      <c r="AL671" s="5" t="n">
        <v>21.945</v>
      </c>
      <c r="AM671" s="5" t="n">
        <v>0</v>
      </c>
      <c r="AN671" s="5" t="n">
        <v>41.203</v>
      </c>
      <c r="AO671" s="5" t="n">
        <v>0</v>
      </c>
      <c r="AP671" s="5" t="n">
        <v>1</v>
      </c>
      <c r="AQ671" s="5" t="n">
        <v>0.861</v>
      </c>
      <c r="AR671" s="5" t="n">
        <v>0.123</v>
      </c>
      <c r="AS671" s="5" t="n">
        <v>0</v>
      </c>
      <c r="AT671" s="5" t="n">
        <v>0.861</v>
      </c>
      <c r="AU671" s="5" t="n">
        <v>0</v>
      </c>
      <c r="AV671" s="5" t="n">
        <v>1</v>
      </c>
      <c r="AW671" s="5" t="n">
        <v>0.986</v>
      </c>
      <c r="AX671" s="5" t="n">
        <v>0.123</v>
      </c>
      <c r="AY671" s="5" t="n">
        <v>0</v>
      </c>
      <c r="AZ671" s="5" t="n">
        <v>0.986</v>
      </c>
      <c r="BA671" s="5" t="n">
        <v>0</v>
      </c>
      <c r="BB671" s="5" t="n">
        <v>1</v>
      </c>
      <c r="BC671" s="5" t="n">
        <v>0.598</v>
      </c>
      <c r="BD671" s="5" t="n">
        <v>0.123</v>
      </c>
      <c r="BE671" s="5" t="n">
        <v>0</v>
      </c>
      <c r="BF671" s="5" t="n">
        <v>0.598</v>
      </c>
      <c r="BG671" s="5" t="n">
        <v>0</v>
      </c>
      <c r="BH671" s="5" t="n">
        <v>1</v>
      </c>
      <c r="BI671" s="5" t="n">
        <v>0.612</v>
      </c>
      <c r="BJ671" s="5" t="n">
        <v>0.123</v>
      </c>
      <c r="BK671" s="5" t="n">
        <v>0</v>
      </c>
      <c r="BL671" s="5" t="n">
        <v>0.612</v>
      </c>
      <c r="BM671" s="5" t="n">
        <v>0</v>
      </c>
      <c r="BN671" s="5" t="n">
        <v>1</v>
      </c>
      <c r="BO671" s="5" t="n">
        <v>0</v>
      </c>
      <c r="BP671" s="5" t="n">
        <v>0</v>
      </c>
      <c r="BQ671" s="5" t="n">
        <v>0</v>
      </c>
      <c r="BR671" s="5" t="n">
        <v>0</v>
      </c>
      <c r="BS671" s="5" t="n">
        <v>1</v>
      </c>
      <c r="BT671" s="5" t="n">
        <v>0</v>
      </c>
      <c r="BU671" s="5" t="n">
        <v>0</v>
      </c>
      <c r="BV671" s="5" t="n">
        <v>0</v>
      </c>
      <c r="BW671" s="5" t="n">
        <v>0</v>
      </c>
      <c r="BX671" s="5" t="n">
        <v>1</v>
      </c>
      <c r="BY671" s="5" t="n">
        <v>12.729</v>
      </c>
      <c r="BZ671" s="5" t="n">
        <v>0</v>
      </c>
      <c r="CA671" s="5" t="n">
        <v>12.729</v>
      </c>
      <c r="CB671" s="5" t="n">
        <v>0</v>
      </c>
      <c r="CC671" s="5" t="n">
        <v>97.90000000000001</v>
      </c>
      <c r="CD671" s="5" t="n">
        <v>7.95</v>
      </c>
      <c r="CE671" s="5" t="n">
        <v>0</v>
      </c>
      <c r="CF671" s="5" t="n">
        <v>97.90000000000001</v>
      </c>
      <c r="CG671" s="5" t="n">
        <v>0</v>
      </c>
      <c r="CH671" s="5" t="n">
        <v>1</v>
      </c>
      <c r="CI671" s="5" t="n">
        <v>0</v>
      </c>
      <c r="CJ671" s="5" t="n">
        <v>0</v>
      </c>
      <c r="CK671" s="5" t="n">
        <v>0</v>
      </c>
      <c r="CL671" s="5" t="n">
        <v>0</v>
      </c>
      <c r="CM671" s="5" t="n">
        <v>0</v>
      </c>
      <c r="CN671" s="5" t="n">
        <v>0</v>
      </c>
      <c r="CO671" s="5" t="n">
        <v>0</v>
      </c>
      <c r="CP671" s="5" t="n">
        <v>0</v>
      </c>
      <c r="CQ671" s="5" t="n">
        <v>1.294</v>
      </c>
      <c r="CR671" s="5" t="n">
        <v>0</v>
      </c>
      <c r="CS671" s="5" t="n">
        <v>5.158</v>
      </c>
      <c r="CT671" s="5" t="n">
        <v>5.842</v>
      </c>
      <c r="CU671" s="5" t="n">
        <v>31.326</v>
      </c>
    </row>
    <row r="672">
      <c r="A672" s="5" t="inlineStr">
        <is>
          <t>SMR2023</t>
        </is>
      </c>
      <c r="B672" s="5" t="inlineStr">
        <is>
          <t>SMR</t>
        </is>
      </c>
      <c r="C672" s="5" t="inlineStr">
        <is>
          <t>SMR</t>
        </is>
      </c>
      <c r="D672" s="5" t="inlineStr">
        <is>
          <t>San Marino</t>
        </is>
      </c>
      <c r="E672" s="5" t="n">
        <v>2023</v>
      </c>
      <c r="F672" s="5" t="n">
        <v>0</v>
      </c>
      <c r="G672" s="5" t="n">
        <v>4.752</v>
      </c>
      <c r="H672" s="5" t="n">
        <v>1.286</v>
      </c>
      <c r="I672" s="5" t="n">
        <v>0</v>
      </c>
      <c r="J672" s="5" t="n">
        <v>4.752</v>
      </c>
      <c r="K672" s="5" t="n">
        <v>0</v>
      </c>
      <c r="L672" s="5" t="n">
        <v>1</v>
      </c>
      <c r="M672" s="5" t="n">
        <v>7.886</v>
      </c>
      <c r="N672" s="5" t="n">
        <v>3.857</v>
      </c>
      <c r="O672" s="5" t="n">
        <v>0</v>
      </c>
      <c r="P672" s="5" t="n">
        <v>7.886</v>
      </c>
      <c r="Q672" s="5" t="n">
        <v>0</v>
      </c>
      <c r="R672" s="5" t="n">
        <v>1</v>
      </c>
      <c r="S672" s="5" t="n">
        <v>11.18</v>
      </c>
      <c r="T672" s="5" t="n">
        <v>7.714</v>
      </c>
      <c r="U672" s="5" t="n">
        <v>0</v>
      </c>
      <c r="V672" s="5" t="n">
        <v>11.18</v>
      </c>
      <c r="W672" s="5" t="n">
        <v>0</v>
      </c>
      <c r="X672" s="5" t="n">
        <v>1</v>
      </c>
      <c r="Y672" s="5" t="n">
        <v>12.908</v>
      </c>
      <c r="Z672" s="5" t="n">
        <v>1.745</v>
      </c>
      <c r="AA672" s="5" t="n">
        <v>0</v>
      </c>
      <c r="AB672" s="5" t="n">
        <v>12.908</v>
      </c>
      <c r="AC672" s="5" t="n">
        <v>0</v>
      </c>
      <c r="AD672" s="5" t="n">
        <v>1</v>
      </c>
      <c r="AE672" s="5" t="n">
        <v>14.194</v>
      </c>
      <c r="AF672" s="5" t="n">
        <v>3.319</v>
      </c>
      <c r="AG672" s="5" t="n">
        <v>0</v>
      </c>
      <c r="AH672" s="5" t="n">
        <v>14.194</v>
      </c>
      <c r="AI672" s="5" t="n">
        <v>0</v>
      </c>
      <c r="AJ672" s="5" t="n">
        <v>1</v>
      </c>
      <c r="AK672" s="5" t="n">
        <v>21.908</v>
      </c>
      <c r="AL672" s="5" t="n">
        <v>11.668</v>
      </c>
      <c r="AM672" s="5" t="n">
        <v>0</v>
      </c>
      <c r="AN672" s="5" t="n">
        <v>21.908</v>
      </c>
      <c r="AO672" s="5" t="n">
        <v>0</v>
      </c>
      <c r="AP672" s="5" t="n">
        <v>1</v>
      </c>
      <c r="AQ672" s="5" t="n">
        <v>0.76</v>
      </c>
      <c r="AR672" s="5" t="n">
        <v>0.129</v>
      </c>
      <c r="AS672" s="5" t="n">
        <v>0</v>
      </c>
      <c r="AT672" s="5" t="n">
        <v>0.76</v>
      </c>
      <c r="AU672" s="5" t="n">
        <v>0</v>
      </c>
      <c r="AV672" s="5" t="n">
        <v>1</v>
      </c>
      <c r="AW672" s="5" t="n">
        <v>0.8110000000000001</v>
      </c>
      <c r="AX672" s="5" t="n">
        <v>0.129</v>
      </c>
      <c r="AY672" s="5" t="n">
        <v>0</v>
      </c>
      <c r="AZ672" s="5" t="n">
        <v>0.8110000000000001</v>
      </c>
      <c r="BA672" s="5" t="n">
        <v>0</v>
      </c>
      <c r="BB672" s="5" t="n">
        <v>1</v>
      </c>
      <c r="BC672" s="5" t="n">
        <v>0.535</v>
      </c>
      <c r="BD672" s="5" t="n">
        <v>0.129</v>
      </c>
      <c r="BE672" s="5" t="n">
        <v>0</v>
      </c>
      <c r="BF672" s="5" t="n">
        <v>0.535</v>
      </c>
      <c r="BG672" s="5" t="n">
        <v>0</v>
      </c>
      <c r="BH672" s="5" t="n">
        <v>1</v>
      </c>
      <c r="BI672" s="5" t="n">
        <v>0.579</v>
      </c>
      <c r="BJ672" s="5" t="n">
        <v>0.129</v>
      </c>
      <c r="BK672" s="5" t="n">
        <v>0</v>
      </c>
      <c r="BL672" s="5" t="n">
        <v>0.579</v>
      </c>
      <c r="BM672" s="5" t="n">
        <v>0</v>
      </c>
      <c r="BN672" s="5" t="n">
        <v>1</v>
      </c>
      <c r="BO672" s="5" t="n">
        <v>0</v>
      </c>
      <c r="BP672" s="5" t="n">
        <v>0</v>
      </c>
      <c r="BQ672" s="5" t="n">
        <v>0</v>
      </c>
      <c r="BR672" s="5" t="n">
        <v>0</v>
      </c>
      <c r="BS672" s="5" t="n">
        <v>1</v>
      </c>
      <c r="BT672" s="5" t="n">
        <v>0</v>
      </c>
      <c r="BU672" s="5" t="n">
        <v>0</v>
      </c>
      <c r="BV672" s="5" t="n">
        <v>0</v>
      </c>
      <c r="BW672" s="5" t="n">
        <v>0</v>
      </c>
      <c r="BX672" s="5" t="n">
        <v>1</v>
      </c>
      <c r="BY672" s="5" t="n">
        <v>13.254</v>
      </c>
      <c r="BZ672" s="5" t="n">
        <v>0</v>
      </c>
      <c r="CA672" s="5" t="n">
        <v>13.254</v>
      </c>
      <c r="CB672" s="5" t="n">
        <v>0</v>
      </c>
      <c r="CC672" s="5" t="n">
        <v>83.248</v>
      </c>
      <c r="CD672" s="5" t="n">
        <v>7.95</v>
      </c>
      <c r="CE672" s="5" t="n">
        <v>0</v>
      </c>
      <c r="CF672" s="5" t="n">
        <v>83.248</v>
      </c>
      <c r="CG672" s="5" t="n">
        <v>0</v>
      </c>
      <c r="CH672" s="5" t="n">
        <v>1</v>
      </c>
      <c r="CI672" s="5" t="n">
        <v>0</v>
      </c>
      <c r="CJ672" s="5" t="n">
        <v>0</v>
      </c>
      <c r="CK672" s="5" t="n">
        <v>0</v>
      </c>
      <c r="CL672" s="5" t="n">
        <v>0</v>
      </c>
      <c r="CM672" s="5" t="n">
        <v>0</v>
      </c>
      <c r="CN672" s="5" t="n">
        <v>0</v>
      </c>
      <c r="CO672" s="5" t="n">
        <v>0</v>
      </c>
      <c r="CP672" s="5" t="n">
        <v>0</v>
      </c>
      <c r="CQ672" s="5" t="n">
        <v>1.348</v>
      </c>
      <c r="CR672" s="5" t="n">
        <v>0</v>
      </c>
      <c r="CS672" s="5" t="n">
        <v>5.37</v>
      </c>
      <c r="CT672" s="5" t="n">
        <v>3.466</v>
      </c>
      <c r="CU672" s="5" t="n">
        <v>11.622</v>
      </c>
    </row>
    <row r="673">
      <c r="A673" s="5" t="inlineStr">
        <is>
          <t>SMR2024</t>
        </is>
      </c>
      <c r="B673" s="5" t="inlineStr">
        <is>
          <t>SMR</t>
        </is>
      </c>
      <c r="C673" s="5" t="inlineStr">
        <is>
          <t>SMR</t>
        </is>
      </c>
      <c r="D673" s="5" t="inlineStr">
        <is>
          <t>San Marino</t>
        </is>
      </c>
      <c r="E673" s="5" t="n">
        <v>2024</v>
      </c>
      <c r="F673" s="5" t="n">
        <v>0</v>
      </c>
      <c r="G673" s="5" t="n">
        <v>4.351</v>
      </c>
      <c r="H673" s="5" t="n">
        <v>1.324</v>
      </c>
      <c r="I673" s="5" t="n">
        <v>0</v>
      </c>
      <c r="J673" s="5" t="n">
        <v>4.351</v>
      </c>
      <c r="K673" s="5" t="n">
        <v>0</v>
      </c>
      <c r="L673" s="5" t="n">
        <v>1</v>
      </c>
      <c r="M673" s="5" t="n">
        <v>7.124</v>
      </c>
      <c r="N673" s="5" t="n">
        <v>3.971</v>
      </c>
      <c r="O673" s="5" t="n">
        <v>0</v>
      </c>
      <c r="P673" s="5" t="n">
        <v>7.124</v>
      </c>
      <c r="Q673" s="5" t="n">
        <v>0</v>
      </c>
      <c r="R673" s="5" t="n">
        <v>1</v>
      </c>
      <c r="S673" s="5" t="n">
        <v>10.969</v>
      </c>
      <c r="T673" s="5" t="n">
        <v>7.942</v>
      </c>
      <c r="U673" s="5" t="n">
        <v>0</v>
      </c>
      <c r="V673" s="5" t="n">
        <v>10.969</v>
      </c>
      <c r="W673" s="5" t="n">
        <v>0</v>
      </c>
      <c r="X673" s="5" t="n">
        <v>1</v>
      </c>
      <c r="Y673" s="5" t="n">
        <v>11.492</v>
      </c>
      <c r="Z673" s="5" t="n">
        <v>1.553</v>
      </c>
      <c r="AA673" s="5" t="n">
        <v>0</v>
      </c>
      <c r="AB673" s="5" t="n">
        <v>11.492</v>
      </c>
      <c r="AC673" s="5" t="n">
        <v>0</v>
      </c>
      <c r="AD673" s="5" t="n">
        <v>1</v>
      </c>
      <c r="AE673" s="5" t="n">
        <v>12.815</v>
      </c>
      <c r="AF673" s="5" t="n">
        <v>2.997</v>
      </c>
      <c r="AG673" s="5" t="n">
        <v>0</v>
      </c>
      <c r="AH673" s="5" t="n">
        <v>12.815</v>
      </c>
      <c r="AI673" s="5" t="n">
        <v>0</v>
      </c>
      <c r="AJ673" s="5" t="n">
        <v>1</v>
      </c>
      <c r="AK673" s="5" t="n">
        <v>20.757</v>
      </c>
      <c r="AL673" s="5" t="n">
        <v>11.055</v>
      </c>
      <c r="AM673" s="5" t="n">
        <v>0</v>
      </c>
      <c r="AN673" s="5" t="n">
        <v>20.757</v>
      </c>
      <c r="AO673" s="5" t="n">
        <v>0</v>
      </c>
      <c r="AP673" s="5" t="n">
        <v>1</v>
      </c>
      <c r="AQ673" s="5" t="n">
        <v>0.724</v>
      </c>
      <c r="AR673" s="5" t="n">
        <v>0.132</v>
      </c>
      <c r="AS673" s="5" t="n">
        <v>0</v>
      </c>
      <c r="AT673" s="5" t="n">
        <v>0.724</v>
      </c>
      <c r="AU673" s="5" t="n">
        <v>0</v>
      </c>
      <c r="AV673" s="5" t="n">
        <v>1</v>
      </c>
      <c r="AW673" s="5" t="n">
        <v>0.75</v>
      </c>
      <c r="AX673" s="5" t="n">
        <v>0.132</v>
      </c>
      <c r="AY673" s="5" t="n">
        <v>0</v>
      </c>
      <c r="AZ673" s="5" t="n">
        <v>0.75</v>
      </c>
      <c r="BA673" s="5" t="n">
        <v>0</v>
      </c>
      <c r="BB673" s="5" t="n">
        <v>1</v>
      </c>
      <c r="BC673" s="5" t="n">
        <v>0.513</v>
      </c>
      <c r="BD673" s="5" t="n">
        <v>0.132</v>
      </c>
      <c r="BE673" s="5" t="n">
        <v>0</v>
      </c>
      <c r="BF673" s="5" t="n">
        <v>0.513</v>
      </c>
      <c r="BG673" s="5" t="n">
        <v>0</v>
      </c>
      <c r="BH673" s="5" t="n">
        <v>1</v>
      </c>
      <c r="BI673" s="5" t="n">
        <v>0.591</v>
      </c>
      <c r="BJ673" s="5" t="n">
        <v>0.132</v>
      </c>
      <c r="BK673" s="5" t="n">
        <v>0</v>
      </c>
      <c r="BL673" s="5" t="n">
        <v>0.591</v>
      </c>
      <c r="BM673" s="5" t="n">
        <v>0</v>
      </c>
      <c r="BN673" s="5" t="n">
        <v>1</v>
      </c>
      <c r="BO673" s="5" t="n">
        <v>0</v>
      </c>
      <c r="BP673" s="5" t="n">
        <v>0</v>
      </c>
      <c r="BQ673" s="5" t="n">
        <v>0</v>
      </c>
      <c r="BR673" s="5" t="n">
        <v>0</v>
      </c>
      <c r="BS673" s="5" t="n">
        <v>1</v>
      </c>
      <c r="BT673" s="5" t="n">
        <v>0</v>
      </c>
      <c r="BU673" s="5" t="n">
        <v>0</v>
      </c>
      <c r="BV673" s="5" t="n">
        <v>0</v>
      </c>
      <c r="BW673" s="5" t="n">
        <v>0</v>
      </c>
      <c r="BX673" s="5" t="n">
        <v>1</v>
      </c>
      <c r="BY673" s="5" t="n">
        <v>13.646</v>
      </c>
      <c r="BZ673" s="5" t="n">
        <v>0</v>
      </c>
      <c r="CA673" s="5" t="n">
        <v>13.646</v>
      </c>
      <c r="CB673" s="5" t="n">
        <v>0</v>
      </c>
      <c r="CC673" s="5" t="n">
        <v>82.58799999999999</v>
      </c>
      <c r="CD673" s="5" t="n">
        <v>7.95</v>
      </c>
      <c r="CE673" s="5" t="n">
        <v>0</v>
      </c>
      <c r="CF673" s="5" t="n">
        <v>82.58799999999999</v>
      </c>
      <c r="CG673" s="5" t="n">
        <v>0</v>
      </c>
      <c r="CH673" s="5" t="n">
        <v>1</v>
      </c>
      <c r="CI673" s="5" t="n">
        <v>0</v>
      </c>
      <c r="CJ673" s="5" t="n">
        <v>0</v>
      </c>
      <c r="CK673" s="5" t="n">
        <v>0</v>
      </c>
      <c r="CL673" s="5" t="n">
        <v>0</v>
      </c>
      <c r="CM673" s="5" t="n">
        <v>0</v>
      </c>
      <c r="CN673" s="5" t="n">
        <v>0</v>
      </c>
      <c r="CO673" s="5" t="n">
        <v>0</v>
      </c>
      <c r="CP673" s="5" t="n">
        <v>0</v>
      </c>
      <c r="CQ673" s="5" t="n">
        <v>1.387</v>
      </c>
      <c r="CR673" s="5" t="n">
        <v>0</v>
      </c>
      <c r="CS673" s="5" t="n">
        <v>5.529</v>
      </c>
      <c r="CT673" s="5" t="n">
        <v>3.027</v>
      </c>
      <c r="CU673" s="5" t="n">
        <v>10.168</v>
      </c>
    </row>
    <row r="674">
      <c r="A674" s="5" t="inlineStr">
        <is>
          <t>SAU2021</t>
        </is>
      </c>
      <c r="B674" s="5" t="inlineStr">
        <is>
          <t>SAU</t>
        </is>
      </c>
      <c r="C674" s="5" t="inlineStr">
        <is>
          <t>SAU</t>
        </is>
      </c>
      <c r="D674" s="5" t="inlineStr">
        <is>
          <t>Saudi Arabia</t>
        </is>
      </c>
      <c r="E674" s="5" t="n">
        <v>2021</v>
      </c>
      <c r="F674" s="5" t="n">
        <v>0.15</v>
      </c>
      <c r="G674" s="5" t="n">
        <v>5.897</v>
      </c>
      <c r="H674" s="5" t="n">
        <v>1.143</v>
      </c>
      <c r="I674" s="5" t="n">
        <v>0.238</v>
      </c>
      <c r="J674" s="5" t="n">
        <v>6.134</v>
      </c>
      <c r="K674" s="5" t="n">
        <v>0</v>
      </c>
      <c r="L674" s="5" t="n">
        <v>1</v>
      </c>
      <c r="M674" s="5" t="n">
        <v>7.964</v>
      </c>
      <c r="N674" s="5" t="n">
        <v>3.43</v>
      </c>
      <c r="O674" s="5" t="n">
        <v>0.227</v>
      </c>
      <c r="P674" s="5" t="n">
        <v>8.191000000000001</v>
      </c>
      <c r="Q674" s="5" t="n">
        <v>0</v>
      </c>
      <c r="R674" s="5" t="n">
        <v>1</v>
      </c>
      <c r="S674" s="5" t="n">
        <v>11.613</v>
      </c>
      <c r="T674" s="5" t="n">
        <v>6.86</v>
      </c>
      <c r="U674" s="5" t="n">
        <v>0.238</v>
      </c>
      <c r="V674" s="5" t="n">
        <v>13.629</v>
      </c>
      <c r="W674" s="5" t="n">
        <v>0.15</v>
      </c>
      <c r="X674" s="5" t="n">
        <v>1</v>
      </c>
      <c r="Y674" s="5" t="n">
        <v>4.013</v>
      </c>
      <c r="Z674" s="5" t="n">
        <v>0.364</v>
      </c>
      <c r="AA674" s="5" t="n">
        <v>-2.553</v>
      </c>
      <c r="AB674" s="5" t="n">
        <v>1.46</v>
      </c>
      <c r="AC674" s="5" t="n">
        <v>0</v>
      </c>
      <c r="AD674" s="5" t="n">
        <v>0</v>
      </c>
      <c r="AE674" s="5" t="n">
        <v>4.584</v>
      </c>
      <c r="AF674" s="5" t="n">
        <v>0.748</v>
      </c>
      <c r="AG674" s="5" t="n">
        <v>-3.355</v>
      </c>
      <c r="AH674" s="5" t="n">
        <v>1.229</v>
      </c>
      <c r="AI674" s="5" t="n">
        <v>0</v>
      </c>
      <c r="AJ674" s="5" t="n">
        <v>0</v>
      </c>
      <c r="AK674" s="5" t="n">
        <v>8.013999999999999</v>
      </c>
      <c r="AL674" s="5" t="n">
        <v>3.369</v>
      </c>
      <c r="AM674" s="5" t="n">
        <v>-3.326</v>
      </c>
      <c r="AN674" s="5" t="n">
        <v>4.689</v>
      </c>
      <c r="AO674" s="5" t="n">
        <v>0</v>
      </c>
      <c r="AP674" s="5" t="n">
        <v>0</v>
      </c>
      <c r="AQ674" s="5" t="n">
        <v>0.621</v>
      </c>
      <c r="AR674" s="5" t="n">
        <v>0.114</v>
      </c>
      <c r="AS674" s="5" t="n">
        <v>-0.11</v>
      </c>
      <c r="AT674" s="5" t="n">
        <v>0.587</v>
      </c>
      <c r="AU674" s="5" t="n">
        <v>0</v>
      </c>
      <c r="AV674" s="5" t="n">
        <v>0</v>
      </c>
      <c r="AW674" s="5" t="n">
        <v>0.593</v>
      </c>
      <c r="AX674" s="5" t="n">
        <v>0.114</v>
      </c>
      <c r="AY674" s="5" t="n">
        <v>-0.473</v>
      </c>
      <c r="AZ674" s="5" t="n">
        <v>0.139</v>
      </c>
      <c r="BA674" s="5" t="n">
        <v>0</v>
      </c>
      <c r="BB674" s="5" t="n">
        <v>0</v>
      </c>
      <c r="BC674" s="5" t="n">
        <v>0.44</v>
      </c>
      <c r="BD674" s="5" t="n">
        <v>0.114</v>
      </c>
      <c r="BE674" s="5" t="n">
        <v>-0.266</v>
      </c>
      <c r="BF674" s="5" t="n">
        <v>0.2</v>
      </c>
      <c r="BG674" s="5" t="n">
        <v>0</v>
      </c>
      <c r="BH674" s="5" t="n">
        <v>0</v>
      </c>
      <c r="BI674" s="5" t="n">
        <v>0.5600000000000001</v>
      </c>
      <c r="BJ674" s="5" t="n">
        <v>0.114</v>
      </c>
      <c r="BK674" s="5" t="n">
        <v>-0.398</v>
      </c>
      <c r="BL674" s="5" t="n">
        <v>0.187</v>
      </c>
      <c r="BM674" s="5" t="n">
        <v>0</v>
      </c>
      <c r="BN674" s="5" t="n">
        <v>0</v>
      </c>
      <c r="BO674" s="5" t="n">
        <v>0</v>
      </c>
      <c r="BP674" s="5" t="n">
        <v>-0.036</v>
      </c>
      <c r="BQ674" s="5" t="n">
        <v>0.048</v>
      </c>
      <c r="BR674" s="5" t="n">
        <v>0</v>
      </c>
      <c r="BS674" s="5" t="n">
        <v>0</v>
      </c>
      <c r="BT674" s="5" t="n">
        <v>0</v>
      </c>
      <c r="BU674" s="5" t="n">
        <v>-0.036</v>
      </c>
      <c r="BV674" s="5" t="n">
        <v>0.048</v>
      </c>
      <c r="BW674" s="5" t="n">
        <v>0</v>
      </c>
      <c r="BX674" s="5" t="n">
        <v>0.333</v>
      </c>
      <c r="BY674" s="5" t="n">
        <v>11.787</v>
      </c>
      <c r="BZ674" s="5" t="n">
        <v>0</v>
      </c>
      <c r="CA674" s="5" t="n">
        <v>11.787</v>
      </c>
      <c r="CB674" s="5" t="n">
        <v>0</v>
      </c>
      <c r="CC674" s="5" t="n">
        <v>81.69499999999999</v>
      </c>
      <c r="CD674" s="5" t="n">
        <v>7.95</v>
      </c>
      <c r="CE674" s="5" t="n">
        <v>-55.887</v>
      </c>
      <c r="CF674" s="5" t="n">
        <v>29.68</v>
      </c>
      <c r="CG674" s="5" t="n">
        <v>0</v>
      </c>
      <c r="CH674" s="5" t="n">
        <v>0</v>
      </c>
      <c r="CI674" s="5" t="n">
        <v>0</v>
      </c>
      <c r="CJ674" s="5" t="n">
        <v>0</v>
      </c>
      <c r="CK674" s="5" t="n">
        <v>0</v>
      </c>
      <c r="CL674" s="5" t="n">
        <v>0</v>
      </c>
      <c r="CM674" s="5" t="n">
        <v>0</v>
      </c>
      <c r="CN674" s="5" t="n">
        <v>0</v>
      </c>
      <c r="CO674" s="5" t="n">
        <v>0</v>
      </c>
      <c r="CP674" s="5" t="n">
        <v>0</v>
      </c>
      <c r="CQ674" s="5" t="n">
        <v>1.198</v>
      </c>
      <c r="CR674" s="5" t="n">
        <v>1</v>
      </c>
      <c r="CS674" s="5" t="n">
        <v>3.441</v>
      </c>
      <c r="CT674" s="5" t="n">
        <v>4.753</v>
      </c>
      <c r="CU674" s="5" t="n">
        <v>14.162</v>
      </c>
    </row>
    <row r="675">
      <c r="A675" s="5" t="inlineStr">
        <is>
          <t>SAU2022</t>
        </is>
      </c>
      <c r="B675" s="5" t="inlineStr">
        <is>
          <t>SAU</t>
        </is>
      </c>
      <c r="C675" s="5" t="inlineStr">
        <is>
          <t>SAU</t>
        </is>
      </c>
      <c r="D675" s="5" t="inlineStr">
        <is>
          <t>Saudi Arabia</t>
        </is>
      </c>
      <c r="E675" s="5" t="n">
        <v>2022</v>
      </c>
      <c r="F675" s="5" t="n">
        <v>0.15</v>
      </c>
      <c r="G675" s="5" t="n">
        <v>11.72</v>
      </c>
      <c r="H675" s="5" t="n">
        <v>1.235</v>
      </c>
      <c r="I675" s="5" t="n">
        <v>0.5659999999999999</v>
      </c>
      <c r="J675" s="5" t="n">
        <v>12.286</v>
      </c>
      <c r="K675" s="5" t="n">
        <v>0</v>
      </c>
      <c r="L675" s="5" t="n">
        <v>1</v>
      </c>
      <c r="M675" s="5" t="n">
        <v>9.782999999999999</v>
      </c>
      <c r="N675" s="5" t="n">
        <v>3.704</v>
      </c>
      <c r="O675" s="5" t="n">
        <v>0.328</v>
      </c>
      <c r="P675" s="5" t="n">
        <v>10.111</v>
      </c>
      <c r="Q675" s="5" t="n">
        <v>0</v>
      </c>
      <c r="R675" s="5" t="n">
        <v>1</v>
      </c>
      <c r="S675" s="5" t="n">
        <v>17.893</v>
      </c>
      <c r="T675" s="5" t="n">
        <v>7.408</v>
      </c>
      <c r="U675" s="5" t="n">
        <v>0.771</v>
      </c>
      <c r="V675" s="5" t="n">
        <v>21.228</v>
      </c>
      <c r="W675" s="5" t="n">
        <v>0.15</v>
      </c>
      <c r="X675" s="5" t="n">
        <v>1</v>
      </c>
      <c r="Y675" s="5" t="n">
        <v>4.334</v>
      </c>
      <c r="Z675" s="5" t="n">
        <v>0.393</v>
      </c>
      <c r="AA675" s="5" t="n">
        <v>-2.88</v>
      </c>
      <c r="AB675" s="5" t="n">
        <v>1.454</v>
      </c>
      <c r="AC675" s="5" t="n">
        <v>0</v>
      </c>
      <c r="AD675" s="5" t="n">
        <v>0</v>
      </c>
      <c r="AE675" s="5" t="n">
        <v>4.951</v>
      </c>
      <c r="AF675" s="5" t="n">
        <v>0.8080000000000001</v>
      </c>
      <c r="AG675" s="5" t="n">
        <v>-3.721</v>
      </c>
      <c r="AH675" s="5" t="n">
        <v>1.229</v>
      </c>
      <c r="AI675" s="5" t="n">
        <v>0</v>
      </c>
      <c r="AJ675" s="5" t="n">
        <v>0</v>
      </c>
      <c r="AK675" s="5" t="n">
        <v>8.654999999999999</v>
      </c>
      <c r="AL675" s="5" t="n">
        <v>3.639</v>
      </c>
      <c r="AM675" s="5" t="n">
        <v>-3.592</v>
      </c>
      <c r="AN675" s="5" t="n">
        <v>5.063</v>
      </c>
      <c r="AO675" s="5" t="n">
        <v>0</v>
      </c>
      <c r="AP675" s="5" t="n">
        <v>0</v>
      </c>
      <c r="AQ675" s="5" t="n">
        <v>0.847</v>
      </c>
      <c r="AR675" s="5" t="n">
        <v>0.123</v>
      </c>
      <c r="AS675" s="5" t="n">
        <v>-0.306</v>
      </c>
      <c r="AT675" s="5" t="n">
        <v>0.621</v>
      </c>
      <c r="AU675" s="5" t="n">
        <v>0</v>
      </c>
      <c r="AV675" s="5" t="n">
        <v>0</v>
      </c>
      <c r="AW675" s="5" t="n">
        <v>0.947</v>
      </c>
      <c r="AX675" s="5" t="n">
        <v>0.123</v>
      </c>
      <c r="AY675" s="5" t="n">
        <v>-0.801</v>
      </c>
      <c r="AZ675" s="5" t="n">
        <v>0.168</v>
      </c>
      <c r="BA675" s="5" t="n">
        <v>0</v>
      </c>
      <c r="BB675" s="5" t="n">
        <v>0</v>
      </c>
      <c r="BC675" s="5" t="n">
        <v>0.589</v>
      </c>
      <c r="BD675" s="5" t="n">
        <v>0.123</v>
      </c>
      <c r="BE675" s="5" t="n">
        <v>-0.394</v>
      </c>
      <c r="BF675" s="5" t="n">
        <v>0.223</v>
      </c>
      <c r="BG675" s="5" t="n">
        <v>0</v>
      </c>
      <c r="BH675" s="5" t="n">
        <v>0</v>
      </c>
      <c r="BI675" s="5" t="n">
        <v>0.6889999999999999</v>
      </c>
      <c r="BJ675" s="5" t="n">
        <v>0.123</v>
      </c>
      <c r="BK675" s="5" t="n">
        <v>-0.512</v>
      </c>
      <c r="BL675" s="5" t="n">
        <v>0.204</v>
      </c>
      <c r="BM675" s="5" t="n">
        <v>0</v>
      </c>
      <c r="BN675" s="5" t="n">
        <v>0</v>
      </c>
      <c r="BO675" s="5" t="n">
        <v>0</v>
      </c>
      <c r="BP675" s="5" t="n">
        <v>-0.036</v>
      </c>
      <c r="BQ675" s="5" t="n">
        <v>0.048</v>
      </c>
      <c r="BR675" s="5" t="n">
        <v>0</v>
      </c>
      <c r="BS675" s="5" t="n">
        <v>0</v>
      </c>
      <c r="BT675" s="5" t="n">
        <v>0</v>
      </c>
      <c r="BU675" s="5" t="n">
        <v>-0.036</v>
      </c>
      <c r="BV675" s="5" t="n">
        <v>0.064</v>
      </c>
      <c r="BW675" s="5" t="n">
        <v>0</v>
      </c>
      <c r="BX675" s="5" t="n">
        <v>0.333</v>
      </c>
      <c r="BY675" s="5" t="n">
        <v>12.729</v>
      </c>
      <c r="BZ675" s="5" t="n">
        <v>0</v>
      </c>
      <c r="CA675" s="5" t="n">
        <v>12.729</v>
      </c>
      <c r="CB675" s="5" t="n">
        <v>0</v>
      </c>
      <c r="CC675" s="5" t="n">
        <v>102.477</v>
      </c>
      <c r="CD675" s="5" t="n">
        <v>7.95</v>
      </c>
      <c r="CE675" s="5" t="n">
        <v>-74.36199999999999</v>
      </c>
      <c r="CF675" s="5" t="n">
        <v>32.331</v>
      </c>
      <c r="CG675" s="5" t="n">
        <v>0</v>
      </c>
      <c r="CH675" s="5" t="n">
        <v>0</v>
      </c>
      <c r="CI675" s="5" t="n">
        <v>0</v>
      </c>
      <c r="CJ675" s="5" t="n">
        <v>0</v>
      </c>
      <c r="CK675" s="5" t="n">
        <v>0</v>
      </c>
      <c r="CL675" s="5" t="n">
        <v>0</v>
      </c>
      <c r="CM675" s="5" t="n">
        <v>0</v>
      </c>
      <c r="CN675" s="5" t="n">
        <v>0</v>
      </c>
      <c r="CO675" s="5" t="n">
        <v>0</v>
      </c>
      <c r="CP675" s="5" t="n">
        <v>0</v>
      </c>
      <c r="CQ675" s="5" t="n">
        <v>1.294</v>
      </c>
      <c r="CR675" s="5" t="n">
        <v>1</v>
      </c>
      <c r="CS675" s="5" t="n">
        <v>3.716</v>
      </c>
      <c r="CT675" s="5" t="n">
        <v>10.485</v>
      </c>
      <c r="CU675" s="5" t="n">
        <v>30.326</v>
      </c>
    </row>
    <row r="676">
      <c r="A676" s="5" t="inlineStr">
        <is>
          <t>SAU2023</t>
        </is>
      </c>
      <c r="B676" s="5" t="inlineStr">
        <is>
          <t>SAU</t>
        </is>
      </c>
      <c r="C676" s="5" t="inlineStr">
        <is>
          <t>SAU</t>
        </is>
      </c>
      <c r="D676" s="5" t="inlineStr">
        <is>
          <t>Saudi Arabia</t>
        </is>
      </c>
      <c r="E676" s="5" t="n">
        <v>2023</v>
      </c>
      <c r="F676" s="5" t="n">
        <v>0.15</v>
      </c>
      <c r="G676" s="5" t="n">
        <v>6.147</v>
      </c>
      <c r="H676" s="5" t="n">
        <v>1.286</v>
      </c>
      <c r="I676" s="5" t="n">
        <v>0.273</v>
      </c>
      <c r="J676" s="5" t="n">
        <v>6.42</v>
      </c>
      <c r="K676" s="5" t="n">
        <v>0</v>
      </c>
      <c r="L676" s="5" t="n">
        <v>1</v>
      </c>
      <c r="M676" s="5" t="n">
        <v>7.886</v>
      </c>
      <c r="N676" s="5" t="n">
        <v>3.857</v>
      </c>
      <c r="O676" s="5" t="n">
        <v>0.227</v>
      </c>
      <c r="P676" s="5" t="n">
        <v>8.113</v>
      </c>
      <c r="Q676" s="5" t="n">
        <v>0</v>
      </c>
      <c r="R676" s="5" t="n">
        <v>1</v>
      </c>
      <c r="S676" s="5" t="n">
        <v>12.575</v>
      </c>
      <c r="T676" s="5" t="n">
        <v>7.714</v>
      </c>
      <c r="U676" s="5" t="n">
        <v>0.487</v>
      </c>
      <c r="V676" s="5" t="n">
        <v>14.776</v>
      </c>
      <c r="W676" s="5" t="n">
        <v>0.15</v>
      </c>
      <c r="X676" s="5" t="n">
        <v>1</v>
      </c>
      <c r="Y676" s="5" t="n">
        <v>4.512</v>
      </c>
      <c r="Z676" s="5" t="n">
        <v>0.409</v>
      </c>
      <c r="AA676" s="5" t="n">
        <v>-3.047</v>
      </c>
      <c r="AB676" s="5" t="n">
        <v>1.466</v>
      </c>
      <c r="AC676" s="5" t="n">
        <v>0</v>
      </c>
      <c r="AD676" s="5" t="n">
        <v>0</v>
      </c>
      <c r="AE676" s="5" t="n">
        <v>5.155</v>
      </c>
      <c r="AF676" s="5" t="n">
        <v>0.841</v>
      </c>
      <c r="AG676" s="5" t="n">
        <v>-3.926</v>
      </c>
      <c r="AH676" s="5" t="n">
        <v>1.229</v>
      </c>
      <c r="AI676" s="5" t="n">
        <v>0</v>
      </c>
      <c r="AJ676" s="5" t="n">
        <v>0</v>
      </c>
      <c r="AK676" s="5" t="n">
        <v>9.012</v>
      </c>
      <c r="AL676" s="5" t="n">
        <v>3.789</v>
      </c>
      <c r="AM676" s="5" t="n">
        <v>-3.74</v>
      </c>
      <c r="AN676" s="5" t="n">
        <v>5.272</v>
      </c>
      <c r="AO676" s="5" t="n">
        <v>0</v>
      </c>
      <c r="AP676" s="5" t="n">
        <v>0</v>
      </c>
      <c r="AQ676" s="5" t="n">
        <v>0.749</v>
      </c>
      <c r="AR676" s="5" t="n">
        <v>0.129</v>
      </c>
      <c r="AS676" s="5" t="n">
        <v>-0.209</v>
      </c>
      <c r="AT676" s="5" t="n">
        <v>0.621</v>
      </c>
      <c r="AU676" s="5" t="n">
        <v>0</v>
      </c>
      <c r="AV676" s="5" t="n">
        <v>0</v>
      </c>
      <c r="AW676" s="5" t="n">
        <v>0.783</v>
      </c>
      <c r="AX676" s="5" t="n">
        <v>0.129</v>
      </c>
      <c r="AY676" s="5" t="n">
        <v>-0.609</v>
      </c>
      <c r="AZ676" s="5" t="n">
        <v>0.2</v>
      </c>
      <c r="BA676" s="5" t="n">
        <v>0</v>
      </c>
      <c r="BB676" s="5" t="n">
        <v>0</v>
      </c>
      <c r="BC676" s="5" t="n">
        <v>0.527</v>
      </c>
      <c r="BD676" s="5" t="n">
        <v>0.129</v>
      </c>
      <c r="BE676" s="5" t="n">
        <v>-0.312</v>
      </c>
      <c r="BF676" s="5" t="n">
        <v>0.248</v>
      </c>
      <c r="BG676" s="5" t="n">
        <v>0</v>
      </c>
      <c r="BH676" s="5" t="n">
        <v>0</v>
      </c>
      <c r="BI676" s="5" t="n">
        <v>0.64</v>
      </c>
      <c r="BJ676" s="5" t="n">
        <v>0.129</v>
      </c>
      <c r="BK676" s="5" t="n">
        <v>-0.436</v>
      </c>
      <c r="BL676" s="5" t="n">
        <v>0.235</v>
      </c>
      <c r="BM676" s="5" t="n">
        <v>0</v>
      </c>
      <c r="BN676" s="5" t="n">
        <v>0</v>
      </c>
      <c r="BO676" s="5" t="n">
        <v>0</v>
      </c>
      <c r="BP676" s="5" t="n">
        <v>-0.036</v>
      </c>
      <c r="BQ676" s="5" t="n">
        <v>0.048</v>
      </c>
      <c r="BR676" s="5" t="n">
        <v>0</v>
      </c>
      <c r="BS676" s="5" t="n">
        <v>0</v>
      </c>
      <c r="BT676" s="5" t="n">
        <v>0</v>
      </c>
      <c r="BU676" s="5" t="n">
        <v>-0.036</v>
      </c>
      <c r="BV676" s="5" t="n">
        <v>0.064</v>
      </c>
      <c r="BW676" s="5" t="n">
        <v>0</v>
      </c>
      <c r="BX676" s="5" t="n">
        <v>0.333</v>
      </c>
      <c r="BY676" s="5" t="n">
        <v>13.254</v>
      </c>
      <c r="BZ676" s="5" t="n">
        <v>0</v>
      </c>
      <c r="CA676" s="5" t="n">
        <v>13.254</v>
      </c>
      <c r="CB676" s="5" t="n">
        <v>0</v>
      </c>
      <c r="CC676" s="5" t="n">
        <v>87.07899999999999</v>
      </c>
      <c r="CD676" s="5" t="n">
        <v>7.95</v>
      </c>
      <c r="CE676" s="5" t="n">
        <v>-54.713</v>
      </c>
      <c r="CF676" s="5" t="n">
        <v>37.221</v>
      </c>
      <c r="CG676" s="5" t="n">
        <v>0</v>
      </c>
      <c r="CH676" s="5" t="n">
        <v>0</v>
      </c>
      <c r="CI676" s="5" t="n">
        <v>0</v>
      </c>
      <c r="CJ676" s="5" t="n">
        <v>0</v>
      </c>
      <c r="CK676" s="5" t="n">
        <v>0</v>
      </c>
      <c r="CL676" s="5" t="n">
        <v>0</v>
      </c>
      <c r="CM676" s="5" t="n">
        <v>0</v>
      </c>
      <c r="CN676" s="5" t="n">
        <v>0</v>
      </c>
      <c r="CO676" s="5" t="n">
        <v>0</v>
      </c>
      <c r="CP676" s="5" t="n">
        <v>0</v>
      </c>
      <c r="CQ676" s="5" t="n">
        <v>1.348</v>
      </c>
      <c r="CR676" s="5" t="n">
        <v>1</v>
      </c>
      <c r="CS676" s="5" t="n">
        <v>3.87</v>
      </c>
      <c r="CT676" s="5" t="n">
        <v>4.861</v>
      </c>
      <c r="CU676" s="5" t="n">
        <v>10.622</v>
      </c>
    </row>
    <row r="677">
      <c r="A677" s="5" t="inlineStr">
        <is>
          <t>SAU2024</t>
        </is>
      </c>
      <c r="B677" s="5" t="inlineStr">
        <is>
          <t>SAU</t>
        </is>
      </c>
      <c r="C677" s="5" t="inlineStr">
        <is>
          <t>SAU</t>
        </is>
      </c>
      <c r="D677" s="5" t="inlineStr">
        <is>
          <t>Saudi Arabia</t>
        </is>
      </c>
      <c r="E677" s="5" t="n">
        <v>2024</v>
      </c>
      <c r="F677" s="5" t="n">
        <v>0.15</v>
      </c>
      <c r="G677" s="5" t="n">
        <v>5.575</v>
      </c>
      <c r="H677" s="5" t="n">
        <v>1.324</v>
      </c>
      <c r="I677" s="5" t="n">
        <v>0.213</v>
      </c>
      <c r="J677" s="5" t="n">
        <v>5.787</v>
      </c>
      <c r="K677" s="5" t="n">
        <v>0</v>
      </c>
      <c r="L677" s="5" t="n">
        <v>1</v>
      </c>
      <c r="M677" s="5" t="n">
        <v>7.124</v>
      </c>
      <c r="N677" s="5" t="n">
        <v>3.971</v>
      </c>
      <c r="O677" s="5" t="n">
        <v>0.158</v>
      </c>
      <c r="P677" s="5" t="n">
        <v>7.281</v>
      </c>
      <c r="Q677" s="5" t="n">
        <v>0</v>
      </c>
      <c r="R677" s="5" t="n">
        <v>1</v>
      </c>
      <c r="S677" s="5" t="n">
        <v>12.193</v>
      </c>
      <c r="T677" s="5" t="n">
        <v>7.942</v>
      </c>
      <c r="U677" s="5" t="n">
        <v>0.466</v>
      </c>
      <c r="V677" s="5" t="n">
        <v>14.266</v>
      </c>
      <c r="W677" s="5" t="n">
        <v>0.15</v>
      </c>
      <c r="X677" s="5" t="n">
        <v>1</v>
      </c>
      <c r="Y677" s="5" t="n">
        <v>4.646</v>
      </c>
      <c r="Z677" s="5" t="n">
        <v>0.421</v>
      </c>
      <c r="AA677" s="5" t="n">
        <v>-3.137</v>
      </c>
      <c r="AB677" s="5" t="n">
        <v>1.509</v>
      </c>
      <c r="AC677" s="5" t="n">
        <v>0</v>
      </c>
      <c r="AD677" s="5" t="n">
        <v>0</v>
      </c>
      <c r="AE677" s="5" t="n">
        <v>5.307</v>
      </c>
      <c r="AF677" s="5" t="n">
        <v>0.866</v>
      </c>
      <c r="AG677" s="5" t="n">
        <v>-4.042</v>
      </c>
      <c r="AH677" s="5" t="n">
        <v>1.266</v>
      </c>
      <c r="AI677" s="5" t="n">
        <v>0</v>
      </c>
      <c r="AJ677" s="5" t="n">
        <v>0</v>
      </c>
      <c r="AK677" s="5" t="n">
        <v>9.278</v>
      </c>
      <c r="AL677" s="5" t="n">
        <v>3.901</v>
      </c>
      <c r="AM677" s="5" t="n">
        <v>-3.969</v>
      </c>
      <c r="AN677" s="5" t="n">
        <v>5.309</v>
      </c>
      <c r="AO677" s="5" t="n">
        <v>0</v>
      </c>
      <c r="AP677" s="5" t="n">
        <v>0</v>
      </c>
      <c r="AQ677" s="5" t="n">
        <v>0.72</v>
      </c>
      <c r="AR677" s="5" t="n">
        <v>0.132</v>
      </c>
      <c r="AS677" s="5" t="n">
        <v>-0.18</v>
      </c>
      <c r="AT677" s="5" t="n">
        <v>0.621</v>
      </c>
      <c r="AU677" s="5" t="n">
        <v>0</v>
      </c>
      <c r="AV677" s="5" t="n">
        <v>0</v>
      </c>
      <c r="AW677" s="5" t="n">
        <v>0.734</v>
      </c>
      <c r="AX677" s="5" t="n">
        <v>0.132</v>
      </c>
      <c r="AY677" s="5" t="n">
        <v>-0.467</v>
      </c>
      <c r="AZ677" s="5" t="n">
        <v>0.307</v>
      </c>
      <c r="BA677" s="5" t="n">
        <v>0</v>
      </c>
      <c r="BB677" s="5" t="n">
        <v>0</v>
      </c>
      <c r="BC677" s="5" t="n">
        <v>0.51</v>
      </c>
      <c r="BD677" s="5" t="n">
        <v>0.132</v>
      </c>
      <c r="BE677" s="5" t="n">
        <v>-0.278</v>
      </c>
      <c r="BF677" s="5" t="n">
        <v>0.267</v>
      </c>
      <c r="BG677" s="5" t="n">
        <v>0</v>
      </c>
      <c r="BH677" s="5" t="n">
        <v>0</v>
      </c>
      <c r="BI677" s="5" t="n">
        <v>0.652</v>
      </c>
      <c r="BJ677" s="5" t="n">
        <v>0.132</v>
      </c>
      <c r="BK677" s="5" t="n">
        <v>-0.382</v>
      </c>
      <c r="BL677" s="5" t="n">
        <v>0.31</v>
      </c>
      <c r="BM677" s="5" t="n">
        <v>0</v>
      </c>
      <c r="BN677" s="5" t="n">
        <v>0</v>
      </c>
      <c r="BO677" s="5" t="n">
        <v>0</v>
      </c>
      <c r="BP677" s="5" t="n">
        <v>-0.037</v>
      </c>
      <c r="BQ677" s="5" t="n">
        <v>0.048</v>
      </c>
      <c r="BR677" s="5" t="n">
        <v>0</v>
      </c>
      <c r="BS677" s="5" t="n">
        <v>0</v>
      </c>
      <c r="BT677" s="5" t="n">
        <v>0</v>
      </c>
      <c r="BU677" s="5" t="n">
        <v>-0.037</v>
      </c>
      <c r="BV677" s="5" t="n">
        <v>0.057</v>
      </c>
      <c r="BW677" s="5" t="n">
        <v>0</v>
      </c>
      <c r="BX677" s="5" t="n">
        <v>0.333</v>
      </c>
      <c r="BY677" s="5" t="n">
        <v>13.646</v>
      </c>
      <c r="BZ677" s="5" t="n">
        <v>0</v>
      </c>
      <c r="CA677" s="5" t="n">
        <v>13.646</v>
      </c>
      <c r="CB677" s="5" t="n">
        <v>0</v>
      </c>
      <c r="CC677" s="5" t="n">
        <v>86.38500000000001</v>
      </c>
      <c r="CD677" s="5" t="n">
        <v>7.95</v>
      </c>
      <c r="CE677" s="5" t="n">
        <v>-37.7</v>
      </c>
      <c r="CF677" s="5" t="n">
        <v>55.988</v>
      </c>
      <c r="CG677" s="5" t="n">
        <v>0</v>
      </c>
      <c r="CH677" s="5" t="n">
        <v>0</v>
      </c>
      <c r="CI677" s="5" t="n">
        <v>0</v>
      </c>
      <c r="CJ677" s="5" t="n">
        <v>0</v>
      </c>
      <c r="CK677" s="5" t="n">
        <v>0</v>
      </c>
      <c r="CL677" s="5" t="n">
        <v>0</v>
      </c>
      <c r="CM677" s="5" t="n">
        <v>0</v>
      </c>
      <c r="CN677" s="5" t="n">
        <v>0</v>
      </c>
      <c r="CO677" s="5" t="n">
        <v>0</v>
      </c>
      <c r="CP677" s="5" t="n">
        <v>0</v>
      </c>
      <c r="CQ677" s="5" t="n">
        <v>1.387</v>
      </c>
      <c r="CR677" s="5" t="n">
        <v>1</v>
      </c>
      <c r="CS677" s="5" t="n">
        <v>3.984</v>
      </c>
      <c r="CT677" s="5" t="n">
        <v>4.251</v>
      </c>
      <c r="CU677" s="5" t="n">
        <v>9.167999999999999</v>
      </c>
    </row>
    <row r="678">
      <c r="A678" s="5" t="inlineStr">
        <is>
          <t>SEN2021</t>
        </is>
      </c>
      <c r="B678" s="5" t="inlineStr">
        <is>
          <t>SEN</t>
        </is>
      </c>
      <c r="C678" s="5" t="inlineStr">
        <is>
          <t>SEN</t>
        </is>
      </c>
      <c r="D678" s="5" t="inlineStr">
        <is>
          <t>Senegal</t>
        </is>
      </c>
      <c r="E678" s="5" t="n">
        <v>2021</v>
      </c>
      <c r="F678" s="5" t="n">
        <v>0.18</v>
      </c>
      <c r="G678" s="5" t="n">
        <v>5.897</v>
      </c>
      <c r="H678" s="5" t="n">
        <v>1.143</v>
      </c>
      <c r="I678" s="5" t="n">
        <v>0</v>
      </c>
      <c r="J678" s="5" t="n">
        <v>5.897</v>
      </c>
      <c r="K678" s="5" t="n">
        <v>0</v>
      </c>
      <c r="L678" s="5" t="n">
        <v>1</v>
      </c>
      <c r="M678" s="5" t="n">
        <v>7.964</v>
      </c>
      <c r="N678" s="5" t="n">
        <v>3.43</v>
      </c>
      <c r="O678" s="5" t="n">
        <v>0</v>
      </c>
      <c r="P678" s="5" t="n">
        <v>7.964</v>
      </c>
      <c r="Q678" s="5" t="n">
        <v>0</v>
      </c>
      <c r="R678" s="5" t="n">
        <v>1</v>
      </c>
      <c r="S678" s="5" t="n">
        <v>11.613</v>
      </c>
      <c r="T678" s="5" t="n">
        <v>6.86</v>
      </c>
      <c r="U678" s="5" t="n">
        <v>0</v>
      </c>
      <c r="V678" s="5" t="n">
        <v>13.704</v>
      </c>
      <c r="W678" s="5" t="n">
        <v>0.18</v>
      </c>
      <c r="X678" s="5" t="n">
        <v>1</v>
      </c>
      <c r="Y678" s="5" t="n">
        <v>4.848</v>
      </c>
      <c r="Z678" s="5" t="n">
        <v>0.356</v>
      </c>
      <c r="AA678" s="5" t="n">
        <v>0</v>
      </c>
      <c r="AB678" s="5" t="n">
        <v>4.848</v>
      </c>
      <c r="AC678" s="5" t="n">
        <v>0</v>
      </c>
      <c r="AD678" s="5" t="n">
        <v>1</v>
      </c>
      <c r="AE678" s="5" t="n">
        <v>5.42</v>
      </c>
      <c r="AF678" s="5" t="n">
        <v>0.733</v>
      </c>
      <c r="AG678" s="5" t="n">
        <v>0</v>
      </c>
      <c r="AH678" s="5" t="n">
        <v>5.42</v>
      </c>
      <c r="AI678" s="5" t="n">
        <v>0</v>
      </c>
      <c r="AJ678" s="5" t="n">
        <v>1</v>
      </c>
      <c r="AK678" s="5" t="n">
        <v>8.85</v>
      </c>
      <c r="AL678" s="5" t="n">
        <v>3.288</v>
      </c>
      <c r="AM678" s="5" t="n">
        <v>0</v>
      </c>
      <c r="AN678" s="5" t="n">
        <v>10.443</v>
      </c>
      <c r="AO678" s="5" t="n">
        <v>0.18</v>
      </c>
      <c r="AP678" s="5" t="n">
        <v>1</v>
      </c>
      <c r="AQ678" s="5" t="n">
        <v>0.619</v>
      </c>
      <c r="AR678" s="5" t="n">
        <v>0.114</v>
      </c>
      <c r="AS678" s="5" t="n">
        <v>0.469</v>
      </c>
      <c r="AT678" s="5" t="n">
        <v>1.284</v>
      </c>
      <c r="AU678" s="5" t="n">
        <v>0.18</v>
      </c>
      <c r="AV678" s="5" t="n">
        <v>1</v>
      </c>
      <c r="AW678" s="5" t="n">
        <v>0.599</v>
      </c>
      <c r="AX678" s="5" t="n">
        <v>0.114</v>
      </c>
      <c r="AY678" s="5" t="n">
        <v>0.401</v>
      </c>
      <c r="AZ678" s="5" t="n">
        <v>1.18</v>
      </c>
      <c r="BA678" s="5" t="n">
        <v>0.18</v>
      </c>
      <c r="BB678" s="5" t="n">
        <v>1</v>
      </c>
      <c r="BC678" s="5" t="n">
        <v>0.439</v>
      </c>
      <c r="BD678" s="5" t="n">
        <v>0.114</v>
      </c>
      <c r="BE678" s="5" t="n">
        <v>0.034</v>
      </c>
      <c r="BF678" s="5" t="n">
        <v>0.5580000000000001</v>
      </c>
      <c r="BG678" s="5" t="n">
        <v>0.18</v>
      </c>
      <c r="BH678" s="5" t="n">
        <v>1</v>
      </c>
      <c r="BI678" s="5" t="n">
        <v>0.505</v>
      </c>
      <c r="BJ678" s="5" t="n">
        <v>0.114</v>
      </c>
      <c r="BK678" s="5" t="n">
        <v>0.122</v>
      </c>
      <c r="BL678" s="5" t="n">
        <v>0.74</v>
      </c>
      <c r="BM678" s="5" t="n">
        <v>0.18</v>
      </c>
      <c r="BN678" s="5" t="n">
        <v>1</v>
      </c>
      <c r="BO678" s="5" t="n">
        <v>0</v>
      </c>
      <c r="BP678" s="5" t="n">
        <v>0</v>
      </c>
      <c r="BQ678" s="5" t="n">
        <v>0.153</v>
      </c>
      <c r="BR678" s="5" t="n">
        <v>0</v>
      </c>
      <c r="BS678" s="5" t="n">
        <v>0.667</v>
      </c>
      <c r="BT678" s="5" t="n">
        <v>0</v>
      </c>
      <c r="BU678" s="5" t="n">
        <v>0</v>
      </c>
      <c r="BV678" s="5" t="n">
        <v>0.207</v>
      </c>
      <c r="BW678" s="5" t="n">
        <v>0.18</v>
      </c>
      <c r="BX678" s="5" t="n">
        <v>0.833</v>
      </c>
      <c r="BY678" s="5" t="n">
        <v>11.787</v>
      </c>
      <c r="BZ678" s="5" t="n">
        <v>0</v>
      </c>
      <c r="CA678" s="5" t="n">
        <v>11.787</v>
      </c>
      <c r="CB678" s="5" t="n">
        <v>0</v>
      </c>
      <c r="CC678" s="5" t="n">
        <v>78.125</v>
      </c>
      <c r="CD678" s="5" t="n">
        <v>7.95</v>
      </c>
      <c r="CE678" s="5" t="n">
        <v>3.819</v>
      </c>
      <c r="CF678" s="5" t="n">
        <v>96.694</v>
      </c>
      <c r="CG678" s="5" t="n">
        <v>0.18</v>
      </c>
      <c r="CH678" s="5" t="n">
        <v>1</v>
      </c>
      <c r="CI678" s="5" t="n">
        <v>0</v>
      </c>
      <c r="CJ678" s="5" t="n">
        <v>0</v>
      </c>
      <c r="CK678" s="5" t="n">
        <v>0</v>
      </c>
      <c r="CL678" s="5" t="n">
        <v>0</v>
      </c>
      <c r="CM678" s="5" t="n">
        <v>0</v>
      </c>
      <c r="CN678" s="5" t="n">
        <v>0</v>
      </c>
      <c r="CO678" s="5" t="n">
        <v>0</v>
      </c>
      <c r="CP678" s="5" t="n">
        <v>0</v>
      </c>
      <c r="CQ678" s="5" t="n">
        <v>1.198</v>
      </c>
      <c r="CR678" s="5" t="n">
        <v>1</v>
      </c>
      <c r="CS678" s="5" t="n">
        <v>4.276</v>
      </c>
      <c r="CT678" s="5" t="n">
        <v>4.753</v>
      </c>
      <c r="CU678" s="5" t="n">
        <v>15.162</v>
      </c>
    </row>
    <row r="679">
      <c r="A679" s="5" t="inlineStr">
        <is>
          <t>SEN2022</t>
        </is>
      </c>
      <c r="B679" s="5" t="inlineStr">
        <is>
          <t>SEN</t>
        </is>
      </c>
      <c r="C679" s="5" t="inlineStr">
        <is>
          <t>SEN</t>
        </is>
      </c>
      <c r="D679" s="5" t="inlineStr">
        <is>
          <t>Senegal</t>
        </is>
      </c>
      <c r="E679" s="5" t="n">
        <v>2022</v>
      </c>
      <c r="F679" s="5" t="n">
        <v>0.18</v>
      </c>
      <c r="G679" s="5" t="n">
        <v>11.72</v>
      </c>
      <c r="H679" s="5" t="n">
        <v>1.235</v>
      </c>
      <c r="I679" s="5" t="n">
        <v>0</v>
      </c>
      <c r="J679" s="5" t="n">
        <v>11.72</v>
      </c>
      <c r="K679" s="5" t="n">
        <v>0</v>
      </c>
      <c r="L679" s="5" t="n">
        <v>1</v>
      </c>
      <c r="M679" s="5" t="n">
        <v>9.782999999999999</v>
      </c>
      <c r="N679" s="5" t="n">
        <v>3.704</v>
      </c>
      <c r="O679" s="5" t="n">
        <v>0</v>
      </c>
      <c r="P679" s="5" t="n">
        <v>9.782999999999999</v>
      </c>
      <c r="Q679" s="5" t="n">
        <v>0</v>
      </c>
      <c r="R679" s="5" t="n">
        <v>1</v>
      </c>
      <c r="S679" s="5" t="n">
        <v>17.893</v>
      </c>
      <c r="T679" s="5" t="n">
        <v>7.408</v>
      </c>
      <c r="U679" s="5" t="n">
        <v>0.238</v>
      </c>
      <c r="V679" s="5" t="n">
        <v>21.114</v>
      </c>
      <c r="W679" s="5" t="n">
        <v>0.18</v>
      </c>
      <c r="X679" s="5" t="n">
        <v>1</v>
      </c>
      <c r="Y679" s="5" t="n">
        <v>5.236</v>
      </c>
      <c r="Z679" s="5" t="n">
        <v>0.385</v>
      </c>
      <c r="AA679" s="5" t="n">
        <v>0</v>
      </c>
      <c r="AB679" s="5" t="n">
        <v>5.236</v>
      </c>
      <c r="AC679" s="5" t="n">
        <v>0</v>
      </c>
      <c r="AD679" s="5" t="n">
        <v>1</v>
      </c>
      <c r="AE679" s="5" t="n">
        <v>5.853</v>
      </c>
      <c r="AF679" s="5" t="n">
        <v>0.791</v>
      </c>
      <c r="AG679" s="5" t="n">
        <v>0</v>
      </c>
      <c r="AH679" s="5" t="n">
        <v>5.853</v>
      </c>
      <c r="AI679" s="5" t="n">
        <v>0</v>
      </c>
      <c r="AJ679" s="5" t="n">
        <v>1</v>
      </c>
      <c r="AK679" s="5" t="n">
        <v>9.557</v>
      </c>
      <c r="AL679" s="5" t="n">
        <v>3.55</v>
      </c>
      <c r="AM679" s="5" t="n">
        <v>0.127</v>
      </c>
      <c r="AN679" s="5" t="n">
        <v>11.277</v>
      </c>
      <c r="AO679" s="5" t="n">
        <v>0.18</v>
      </c>
      <c r="AP679" s="5" t="n">
        <v>1</v>
      </c>
      <c r="AQ679" s="5" t="n">
        <v>0.861</v>
      </c>
      <c r="AR679" s="5" t="n">
        <v>0.123</v>
      </c>
      <c r="AS679" s="5" t="n">
        <v>0.137</v>
      </c>
      <c r="AT679" s="5" t="n">
        <v>1.178</v>
      </c>
      <c r="AU679" s="5" t="n">
        <v>0.18</v>
      </c>
      <c r="AV679" s="5" t="n">
        <v>1</v>
      </c>
      <c r="AW679" s="5" t="n">
        <v>0.986</v>
      </c>
      <c r="AX679" s="5" t="n">
        <v>0.123</v>
      </c>
      <c r="AY679" s="5" t="n">
        <v>-0.096</v>
      </c>
      <c r="AZ679" s="5" t="n">
        <v>1.05</v>
      </c>
      <c r="BA679" s="5" t="n">
        <v>0.18</v>
      </c>
      <c r="BB679" s="5" t="n">
        <v>1</v>
      </c>
      <c r="BC679" s="5" t="n">
        <v>0.598</v>
      </c>
      <c r="BD679" s="5" t="n">
        <v>0.123</v>
      </c>
      <c r="BE679" s="5" t="n">
        <v>0.023</v>
      </c>
      <c r="BF679" s="5" t="n">
        <v>0.732</v>
      </c>
      <c r="BG679" s="5" t="n">
        <v>0.18</v>
      </c>
      <c r="BH679" s="5" t="n">
        <v>1</v>
      </c>
      <c r="BI679" s="5" t="n">
        <v>0.612</v>
      </c>
      <c r="BJ679" s="5" t="n">
        <v>0.123</v>
      </c>
      <c r="BK679" s="5" t="n">
        <v>-0.055</v>
      </c>
      <c r="BL679" s="5" t="n">
        <v>0.658</v>
      </c>
      <c r="BM679" s="5" t="n">
        <v>0.18</v>
      </c>
      <c r="BN679" s="5" t="n">
        <v>1</v>
      </c>
      <c r="BO679" s="5" t="n">
        <v>0</v>
      </c>
      <c r="BP679" s="5" t="n">
        <v>0</v>
      </c>
      <c r="BQ679" s="5" t="n">
        <v>0.136</v>
      </c>
      <c r="BR679" s="5" t="n">
        <v>0</v>
      </c>
      <c r="BS679" s="5" t="n">
        <v>0.667</v>
      </c>
      <c r="BT679" s="5" t="n">
        <v>0</v>
      </c>
      <c r="BU679" s="5" t="n">
        <v>0</v>
      </c>
      <c r="BV679" s="5" t="n">
        <v>0.184</v>
      </c>
      <c r="BW679" s="5" t="n">
        <v>0.18</v>
      </c>
      <c r="BX679" s="5" t="n">
        <v>0.833</v>
      </c>
      <c r="BY679" s="5" t="n">
        <v>12.729</v>
      </c>
      <c r="BZ679" s="5" t="n">
        <v>0</v>
      </c>
      <c r="CA679" s="5" t="n">
        <v>12.729</v>
      </c>
      <c r="CB679" s="5" t="n">
        <v>0</v>
      </c>
      <c r="CC679" s="5" t="n">
        <v>97.90000000000001</v>
      </c>
      <c r="CD679" s="5" t="n">
        <v>7.95</v>
      </c>
      <c r="CE679" s="5" t="n">
        <v>1.37</v>
      </c>
      <c r="CF679" s="5" t="n">
        <v>117.138</v>
      </c>
      <c r="CG679" s="5" t="n">
        <v>0.18</v>
      </c>
      <c r="CH679" s="5" t="n">
        <v>1</v>
      </c>
      <c r="CI679" s="5" t="n">
        <v>0</v>
      </c>
      <c r="CJ679" s="5" t="n">
        <v>0</v>
      </c>
      <c r="CK679" s="5" t="n">
        <v>0</v>
      </c>
      <c r="CL679" s="5" t="n">
        <v>0</v>
      </c>
      <c r="CM679" s="5" t="n">
        <v>0</v>
      </c>
      <c r="CN679" s="5" t="n">
        <v>0</v>
      </c>
      <c r="CO679" s="5" t="n">
        <v>0</v>
      </c>
      <c r="CP679" s="5" t="n">
        <v>0</v>
      </c>
      <c r="CQ679" s="5" t="n">
        <v>1.294</v>
      </c>
      <c r="CR679" s="5" t="n">
        <v>1</v>
      </c>
      <c r="CS679" s="5" t="n">
        <v>4.618</v>
      </c>
      <c r="CT679" s="5" t="n">
        <v>10.485</v>
      </c>
      <c r="CU679" s="5" t="n">
        <v>31.326</v>
      </c>
    </row>
    <row r="680">
      <c r="A680" s="5" t="inlineStr">
        <is>
          <t>SEN2023</t>
        </is>
      </c>
      <c r="B680" s="5" t="inlineStr">
        <is>
          <t>SEN</t>
        </is>
      </c>
      <c r="C680" s="5" t="inlineStr">
        <is>
          <t>SEN</t>
        </is>
      </c>
      <c r="D680" s="5" t="inlineStr">
        <is>
          <t>Senegal</t>
        </is>
      </c>
      <c r="E680" s="5" t="n">
        <v>2023</v>
      </c>
      <c r="F680" s="5" t="n">
        <v>0.18</v>
      </c>
      <c r="G680" s="5" t="n">
        <v>6.147</v>
      </c>
      <c r="H680" s="5" t="n">
        <v>1.286</v>
      </c>
      <c r="I680" s="5" t="n">
        <v>0</v>
      </c>
      <c r="J680" s="5" t="n">
        <v>6.147</v>
      </c>
      <c r="K680" s="5" t="n">
        <v>0</v>
      </c>
      <c r="L680" s="5" t="n">
        <v>1</v>
      </c>
      <c r="M680" s="5" t="n">
        <v>7.886</v>
      </c>
      <c r="N680" s="5" t="n">
        <v>3.857</v>
      </c>
      <c r="O680" s="5" t="n">
        <v>0</v>
      </c>
      <c r="P680" s="5" t="n">
        <v>7.886</v>
      </c>
      <c r="Q680" s="5" t="n">
        <v>0</v>
      </c>
      <c r="R680" s="5" t="n">
        <v>1</v>
      </c>
      <c r="S680" s="5" t="n">
        <v>12.575</v>
      </c>
      <c r="T680" s="5" t="n">
        <v>7.714</v>
      </c>
      <c r="U680" s="5" t="n">
        <v>0.251</v>
      </c>
      <c r="V680" s="5" t="n">
        <v>14.839</v>
      </c>
      <c r="W680" s="5" t="n">
        <v>0.18</v>
      </c>
      <c r="X680" s="5" t="n">
        <v>1</v>
      </c>
      <c r="Y680" s="5" t="n">
        <v>5.452</v>
      </c>
      <c r="Z680" s="5" t="n">
        <v>0.401</v>
      </c>
      <c r="AA680" s="5" t="n">
        <v>0</v>
      </c>
      <c r="AB680" s="5" t="n">
        <v>5.452</v>
      </c>
      <c r="AC680" s="5" t="n">
        <v>0</v>
      </c>
      <c r="AD680" s="5" t="n">
        <v>1</v>
      </c>
      <c r="AE680" s="5" t="n">
        <v>6.095</v>
      </c>
      <c r="AF680" s="5" t="n">
        <v>0.824</v>
      </c>
      <c r="AG680" s="5" t="n">
        <v>0</v>
      </c>
      <c r="AH680" s="5" t="n">
        <v>6.095</v>
      </c>
      <c r="AI680" s="5" t="n">
        <v>0</v>
      </c>
      <c r="AJ680" s="5" t="n">
        <v>1</v>
      </c>
      <c r="AK680" s="5" t="n">
        <v>9.952</v>
      </c>
      <c r="AL680" s="5" t="n">
        <v>3.697</v>
      </c>
      <c r="AM680" s="5" t="n">
        <v>0.198</v>
      </c>
      <c r="AN680" s="5" t="n">
        <v>11.743</v>
      </c>
      <c r="AO680" s="5" t="n">
        <v>0.18</v>
      </c>
      <c r="AP680" s="5" t="n">
        <v>1</v>
      </c>
      <c r="AQ680" s="5" t="n">
        <v>0.76</v>
      </c>
      <c r="AR680" s="5" t="n">
        <v>0.129</v>
      </c>
      <c r="AS680" s="5" t="n">
        <v>0.333</v>
      </c>
      <c r="AT680" s="5" t="n">
        <v>1.29</v>
      </c>
      <c r="AU680" s="5" t="n">
        <v>0.18</v>
      </c>
      <c r="AV680" s="5" t="n">
        <v>1</v>
      </c>
      <c r="AW680" s="5" t="n">
        <v>0.8110000000000001</v>
      </c>
      <c r="AX680" s="5" t="n">
        <v>0.129</v>
      </c>
      <c r="AY680" s="5" t="n">
        <v>0.242</v>
      </c>
      <c r="AZ680" s="5" t="n">
        <v>1.243</v>
      </c>
      <c r="BA680" s="5" t="n">
        <v>0.18</v>
      </c>
      <c r="BB680" s="5" t="n">
        <v>1</v>
      </c>
      <c r="BC680" s="5" t="n">
        <v>0.535</v>
      </c>
      <c r="BD680" s="5" t="n">
        <v>0.129</v>
      </c>
      <c r="BE680" s="5" t="n">
        <v>0</v>
      </c>
      <c r="BF680" s="5" t="n">
        <v>0.631</v>
      </c>
      <c r="BG680" s="5" t="n">
        <v>0.18</v>
      </c>
      <c r="BH680" s="5" t="n">
        <v>1</v>
      </c>
      <c r="BI680" s="5" t="n">
        <v>0.579</v>
      </c>
      <c r="BJ680" s="5" t="n">
        <v>0.129</v>
      </c>
      <c r="BK680" s="5" t="n">
        <v>-0.006</v>
      </c>
      <c r="BL680" s="5" t="n">
        <v>0.676</v>
      </c>
      <c r="BM680" s="5" t="n">
        <v>0.18</v>
      </c>
      <c r="BN680" s="5" t="n">
        <v>1</v>
      </c>
      <c r="BO680" s="5" t="n">
        <v>0</v>
      </c>
      <c r="BP680" s="5" t="n">
        <v>0</v>
      </c>
      <c r="BQ680" s="5" t="n">
        <v>0.13</v>
      </c>
      <c r="BR680" s="5" t="n">
        <v>0</v>
      </c>
      <c r="BS680" s="5" t="n">
        <v>0.667</v>
      </c>
      <c r="BT680" s="5" t="n">
        <v>0</v>
      </c>
      <c r="BU680" s="5" t="n">
        <v>0</v>
      </c>
      <c r="BV680" s="5" t="n">
        <v>0.192</v>
      </c>
      <c r="BW680" s="5" t="n">
        <v>0.18</v>
      </c>
      <c r="BX680" s="5" t="n">
        <v>0.833</v>
      </c>
      <c r="BY680" s="5" t="n">
        <v>13.254</v>
      </c>
      <c r="BZ680" s="5" t="n">
        <v>0</v>
      </c>
      <c r="CA680" s="5" t="n">
        <v>13.254</v>
      </c>
      <c r="CB680" s="5" t="n">
        <v>0</v>
      </c>
      <c r="CC680" s="5" t="n">
        <v>83.248</v>
      </c>
      <c r="CD680" s="5" t="n">
        <v>7.95</v>
      </c>
      <c r="CE680" s="5" t="n">
        <v>18.835</v>
      </c>
      <c r="CF680" s="5" t="n">
        <v>120.458</v>
      </c>
      <c r="CG680" s="5" t="n">
        <v>0.18</v>
      </c>
      <c r="CH680" s="5" t="n">
        <v>1</v>
      </c>
      <c r="CI680" s="5" t="n">
        <v>0</v>
      </c>
      <c r="CJ680" s="5" t="n">
        <v>0</v>
      </c>
      <c r="CK680" s="5" t="n">
        <v>0</v>
      </c>
      <c r="CL680" s="5" t="n">
        <v>0</v>
      </c>
      <c r="CM680" s="5" t="n">
        <v>0</v>
      </c>
      <c r="CN680" s="5" t="n">
        <v>0</v>
      </c>
      <c r="CO680" s="5" t="n">
        <v>0</v>
      </c>
      <c r="CP680" s="5" t="n">
        <v>0</v>
      </c>
      <c r="CQ680" s="5" t="n">
        <v>1.348</v>
      </c>
      <c r="CR680" s="5" t="n">
        <v>1</v>
      </c>
      <c r="CS680" s="5" t="n">
        <v>4.809</v>
      </c>
      <c r="CT680" s="5" t="n">
        <v>4.861</v>
      </c>
      <c r="CU680" s="5" t="n">
        <v>11.622</v>
      </c>
    </row>
    <row r="681">
      <c r="A681" s="5" t="inlineStr">
        <is>
          <t>SEN2024</t>
        </is>
      </c>
      <c r="B681" s="5" t="inlineStr">
        <is>
          <t>SEN</t>
        </is>
      </c>
      <c r="C681" s="5" t="inlineStr">
        <is>
          <t>SEN</t>
        </is>
      </c>
      <c r="D681" s="5" t="inlineStr">
        <is>
          <t>Senegal</t>
        </is>
      </c>
      <c r="E681" s="5" t="n">
        <v>2024</v>
      </c>
      <c r="F681" s="5" t="n">
        <v>0.18</v>
      </c>
      <c r="G681" s="5" t="n">
        <v>5.575</v>
      </c>
      <c r="H681" s="5" t="n">
        <v>1.324</v>
      </c>
      <c r="I681" s="5" t="n">
        <v>0</v>
      </c>
      <c r="J681" s="5" t="n">
        <v>5.575</v>
      </c>
      <c r="K681" s="5" t="n">
        <v>0</v>
      </c>
      <c r="L681" s="5" t="n">
        <v>1</v>
      </c>
      <c r="M681" s="5" t="n">
        <v>7.124</v>
      </c>
      <c r="N681" s="5" t="n">
        <v>3.971</v>
      </c>
      <c r="O681" s="5" t="n">
        <v>0</v>
      </c>
      <c r="P681" s="5" t="n">
        <v>7.124</v>
      </c>
      <c r="Q681" s="5" t="n">
        <v>0</v>
      </c>
      <c r="R681" s="5" t="n">
        <v>1</v>
      </c>
      <c r="S681" s="5" t="n">
        <v>12.193</v>
      </c>
      <c r="T681" s="5" t="n">
        <v>7.942</v>
      </c>
      <c r="U681" s="5" t="n">
        <v>0.299</v>
      </c>
      <c r="V681" s="5" t="n">
        <v>14.388</v>
      </c>
      <c r="W681" s="5" t="n">
        <v>0.18</v>
      </c>
      <c r="X681" s="5" t="n">
        <v>1</v>
      </c>
      <c r="Y681" s="5" t="n">
        <v>5.613</v>
      </c>
      <c r="Z681" s="5" t="n">
        <v>0.413</v>
      </c>
      <c r="AA681" s="5" t="n">
        <v>0</v>
      </c>
      <c r="AB681" s="5" t="n">
        <v>5.613</v>
      </c>
      <c r="AC681" s="5" t="n">
        <v>0</v>
      </c>
      <c r="AD681" s="5" t="n">
        <v>1</v>
      </c>
      <c r="AE681" s="5" t="n">
        <v>6.274</v>
      </c>
      <c r="AF681" s="5" t="n">
        <v>0.848</v>
      </c>
      <c r="AG681" s="5" t="n">
        <v>0</v>
      </c>
      <c r="AH681" s="5" t="n">
        <v>6.274</v>
      </c>
      <c r="AI681" s="5" t="n">
        <v>0</v>
      </c>
      <c r="AJ681" s="5" t="n">
        <v>1</v>
      </c>
      <c r="AK681" s="5" t="n">
        <v>10.245</v>
      </c>
      <c r="AL681" s="5" t="n">
        <v>3.806</v>
      </c>
      <c r="AM681" s="5" t="n">
        <v>0.251</v>
      </c>
      <c r="AN681" s="5" t="n">
        <v>12.089</v>
      </c>
      <c r="AO681" s="5" t="n">
        <v>0.18</v>
      </c>
      <c r="AP681" s="5" t="n">
        <v>1</v>
      </c>
      <c r="AQ681" s="5" t="n">
        <v>0.724</v>
      </c>
      <c r="AR681" s="5" t="n">
        <v>0.132</v>
      </c>
      <c r="AS681" s="5" t="n">
        <v>-0.022</v>
      </c>
      <c r="AT681" s="5" t="n">
        <v>0.829</v>
      </c>
      <c r="AU681" s="5" t="n">
        <v>0.18</v>
      </c>
      <c r="AV681" s="5" t="n">
        <v>1</v>
      </c>
      <c r="AW681" s="5" t="n">
        <v>0.75</v>
      </c>
      <c r="AX681" s="5" t="n">
        <v>0.132</v>
      </c>
      <c r="AY681" s="5" t="n">
        <v>0.304</v>
      </c>
      <c r="AZ681" s="5" t="n">
        <v>1.244</v>
      </c>
      <c r="BA681" s="5" t="n">
        <v>0.18</v>
      </c>
      <c r="BB681" s="5" t="n">
        <v>1</v>
      </c>
      <c r="BC681" s="5" t="n">
        <v>0.513</v>
      </c>
      <c r="BD681" s="5" t="n">
        <v>0.132</v>
      </c>
      <c r="BE681" s="5" t="n">
        <v>0.022</v>
      </c>
      <c r="BF681" s="5" t="n">
        <v>0.631</v>
      </c>
      <c r="BG681" s="5" t="n">
        <v>0.18</v>
      </c>
      <c r="BH681" s="5" t="n">
        <v>1</v>
      </c>
      <c r="BI681" s="5" t="n">
        <v>0.591</v>
      </c>
      <c r="BJ681" s="5" t="n">
        <v>0.132</v>
      </c>
      <c r="BK681" s="5" t="n">
        <v>-0.017</v>
      </c>
      <c r="BL681" s="5" t="n">
        <v>0.677</v>
      </c>
      <c r="BM681" s="5" t="n">
        <v>0.18</v>
      </c>
      <c r="BN681" s="5" t="n">
        <v>1</v>
      </c>
      <c r="BO681" s="5" t="n">
        <v>0</v>
      </c>
      <c r="BP681" s="5" t="n">
        <v>0</v>
      </c>
      <c r="BQ681" s="5" t="n">
        <v>0.164</v>
      </c>
      <c r="BR681" s="5" t="n">
        <v>0</v>
      </c>
      <c r="BS681" s="5" t="n">
        <v>0.667</v>
      </c>
      <c r="BT681" s="5" t="n">
        <v>0</v>
      </c>
      <c r="BU681" s="5" t="n">
        <v>0</v>
      </c>
      <c r="BV681" s="5" t="n">
        <v>0.204</v>
      </c>
      <c r="BW681" s="5" t="n">
        <v>0.18</v>
      </c>
      <c r="BX681" s="5" t="n">
        <v>0.833</v>
      </c>
      <c r="BY681" s="5" t="n">
        <v>13.646</v>
      </c>
      <c r="BZ681" s="5" t="n">
        <v>0</v>
      </c>
      <c r="CA681" s="5" t="n">
        <v>13.646</v>
      </c>
      <c r="CB681" s="5" t="n">
        <v>0</v>
      </c>
      <c r="CC681" s="5" t="n">
        <v>82.58799999999999</v>
      </c>
      <c r="CD681" s="5" t="n">
        <v>7.95</v>
      </c>
      <c r="CE681" s="5" t="n">
        <v>22.803</v>
      </c>
      <c r="CF681" s="5" t="n">
        <v>121.385</v>
      </c>
      <c r="CG681" s="5" t="n">
        <v>0.18</v>
      </c>
      <c r="CH681" s="5" t="n">
        <v>1</v>
      </c>
      <c r="CI681" s="5" t="n">
        <v>0</v>
      </c>
      <c r="CJ681" s="5" t="n">
        <v>0</v>
      </c>
      <c r="CK681" s="5" t="n">
        <v>0</v>
      </c>
      <c r="CL681" s="5" t="n">
        <v>0</v>
      </c>
      <c r="CM681" s="5" t="n">
        <v>0</v>
      </c>
      <c r="CN681" s="5" t="n">
        <v>0</v>
      </c>
      <c r="CO681" s="5" t="n">
        <v>0</v>
      </c>
      <c r="CP681" s="5" t="n">
        <v>0</v>
      </c>
      <c r="CQ681" s="5" t="n">
        <v>1.387</v>
      </c>
      <c r="CR681" s="5" t="n">
        <v>1</v>
      </c>
      <c r="CS681" s="5" t="n">
        <v>4.951</v>
      </c>
      <c r="CT681" s="5" t="n">
        <v>4.251</v>
      </c>
      <c r="CU681" s="5" t="n">
        <v>10.168</v>
      </c>
    </row>
    <row r="682">
      <c r="A682" s="5" t="inlineStr">
        <is>
          <t>SRB2021</t>
        </is>
      </c>
      <c r="B682" s="5" t="inlineStr">
        <is>
          <t>SRB</t>
        </is>
      </c>
      <c r="C682" s="5" t="inlineStr">
        <is>
          <t>SRB</t>
        </is>
      </c>
      <c r="D682" s="5" t="inlineStr">
        <is>
          <t>Serbia</t>
        </is>
      </c>
      <c r="E682" s="5" t="n">
        <v>2021</v>
      </c>
      <c r="F682" s="5" t="n">
        <v>0.2</v>
      </c>
      <c r="G682" s="5" t="n">
        <v>2.135</v>
      </c>
      <c r="H682" s="5" t="n">
        <v>0.627</v>
      </c>
      <c r="I682" s="5" t="n">
        <v>0.004</v>
      </c>
      <c r="J682" s="5" t="n">
        <v>2.14</v>
      </c>
      <c r="K682" s="5" t="n">
        <v>0</v>
      </c>
      <c r="L682" s="5" t="n">
        <v>1</v>
      </c>
      <c r="M682" s="5" t="n">
        <v>3.401</v>
      </c>
      <c r="N682" s="5" t="n">
        <v>1.881</v>
      </c>
      <c r="O682" s="5" t="n">
        <v>0.004</v>
      </c>
      <c r="P682" s="5" t="n">
        <v>3.405</v>
      </c>
      <c r="Q682" s="5" t="n">
        <v>0</v>
      </c>
      <c r="R682" s="5" t="n">
        <v>1</v>
      </c>
      <c r="S682" s="5" t="n">
        <v>6.051</v>
      </c>
      <c r="T682" s="5" t="n">
        <v>3.75</v>
      </c>
      <c r="U682" s="5" t="n">
        <v>0.004</v>
      </c>
      <c r="V682" s="5" t="n">
        <v>7.267</v>
      </c>
      <c r="W682" s="5" t="n">
        <v>0.2</v>
      </c>
      <c r="X682" s="5" t="n">
        <v>1</v>
      </c>
      <c r="Y682" s="5" t="n">
        <v>19.743</v>
      </c>
      <c r="Z682" s="5" t="n">
        <v>2.181</v>
      </c>
      <c r="AA682" s="5" t="n">
        <v>-9.276999999999999</v>
      </c>
      <c r="AB682" s="5" t="n">
        <v>10.466</v>
      </c>
      <c r="AC682" s="5" t="n">
        <v>0</v>
      </c>
      <c r="AD682" s="5" t="n">
        <v>1</v>
      </c>
      <c r="AE682" s="5" t="n">
        <v>19.7</v>
      </c>
      <c r="AF682" s="5" t="n">
        <v>3.877</v>
      </c>
      <c r="AG682" s="5" t="n">
        <v>-9.234</v>
      </c>
      <c r="AH682" s="5" t="n">
        <v>10.466</v>
      </c>
      <c r="AI682" s="5" t="n">
        <v>0</v>
      </c>
      <c r="AJ682" s="5" t="n">
        <v>1</v>
      </c>
      <c r="AK682" s="5" t="n">
        <v>23.335</v>
      </c>
      <c r="AL682" s="5" t="n">
        <v>11.453</v>
      </c>
      <c r="AM682" s="5" t="n">
        <v>-14.036</v>
      </c>
      <c r="AN682" s="5" t="n">
        <v>11.159</v>
      </c>
      <c r="AO682" s="5" t="n">
        <v>0</v>
      </c>
      <c r="AP682" s="5" t="n">
        <v>0</v>
      </c>
      <c r="AQ682" s="5" t="n">
        <v>0.619</v>
      </c>
      <c r="AR682" s="5" t="n">
        <v>0.114</v>
      </c>
      <c r="AS682" s="5" t="n">
        <v>0.655</v>
      </c>
      <c r="AT682" s="5" t="n">
        <v>1.529</v>
      </c>
      <c r="AU682" s="5" t="n">
        <v>0.2</v>
      </c>
      <c r="AV682" s="5" t="n">
        <v>1</v>
      </c>
      <c r="AW682" s="5" t="n">
        <v>0.599</v>
      </c>
      <c r="AX682" s="5" t="n">
        <v>0.114</v>
      </c>
      <c r="AY682" s="5" t="n">
        <v>0.716</v>
      </c>
      <c r="AZ682" s="5" t="n">
        <v>1.579</v>
      </c>
      <c r="BA682" s="5" t="n">
        <v>0.2</v>
      </c>
      <c r="BB682" s="5" t="n">
        <v>1</v>
      </c>
      <c r="BC682" s="5" t="n">
        <v>0.439</v>
      </c>
      <c r="BD682" s="5" t="n">
        <v>0.114</v>
      </c>
      <c r="BE682" s="5" t="n">
        <v>0.271</v>
      </c>
      <c r="BF682" s="5" t="n">
        <v>0.852</v>
      </c>
      <c r="BG682" s="5" t="n">
        <v>0.2</v>
      </c>
      <c r="BH682" s="5" t="n">
        <v>1</v>
      </c>
      <c r="BI682" s="5" t="n">
        <v>0.505</v>
      </c>
      <c r="BJ682" s="5" t="n">
        <v>0.114</v>
      </c>
      <c r="BK682" s="5" t="n">
        <v>0</v>
      </c>
      <c r="BL682" s="5" t="n">
        <v>0.606</v>
      </c>
      <c r="BM682" s="5" t="n">
        <v>0.2</v>
      </c>
      <c r="BN682" s="5" t="n">
        <v>1</v>
      </c>
      <c r="BO682" s="5" t="n">
        <v>0</v>
      </c>
      <c r="BP682" s="5" t="n">
        <v>0.01</v>
      </c>
      <c r="BQ682" s="5" t="n">
        <v>0.08599999999999999</v>
      </c>
      <c r="BR682" s="5" t="n">
        <v>0</v>
      </c>
      <c r="BS682" s="5" t="n">
        <v>1</v>
      </c>
      <c r="BT682" s="5" t="n">
        <v>0</v>
      </c>
      <c r="BU682" s="5" t="n">
        <v>0.01</v>
      </c>
      <c r="BV682" s="5" t="n">
        <v>0.095</v>
      </c>
      <c r="BW682" s="5" t="n">
        <v>0.2</v>
      </c>
      <c r="BX682" s="5" t="n">
        <v>1</v>
      </c>
      <c r="BY682" s="5" t="n">
        <v>11.787</v>
      </c>
      <c r="BZ682" s="5" t="n">
        <v>0</v>
      </c>
      <c r="CA682" s="5" t="n">
        <v>11.787</v>
      </c>
      <c r="CB682" s="5" t="n">
        <v>0</v>
      </c>
      <c r="CC682" s="5" t="n">
        <v>78.125</v>
      </c>
      <c r="CD682" s="5" t="n">
        <v>7.95</v>
      </c>
      <c r="CE682" s="5" t="n">
        <v>0</v>
      </c>
      <c r="CF682" s="5" t="n">
        <v>93.75</v>
      </c>
      <c r="CG682" s="5" t="n">
        <v>0.2</v>
      </c>
      <c r="CH682" s="5" t="n">
        <v>1</v>
      </c>
      <c r="CI682" s="5" t="n">
        <v>0</v>
      </c>
      <c r="CJ682" s="5" t="n">
        <v>0</v>
      </c>
      <c r="CK682" s="5" t="n">
        <v>0</v>
      </c>
      <c r="CL682" s="5" t="n">
        <v>0</v>
      </c>
      <c r="CM682" s="5" t="n">
        <v>0</v>
      </c>
      <c r="CN682" s="5" t="n">
        <v>0</v>
      </c>
      <c r="CO682" s="5" t="n">
        <v>0</v>
      </c>
      <c r="CP682" s="5" t="n">
        <v>0.903</v>
      </c>
      <c r="CQ682" s="5" t="n">
        <v>1.198</v>
      </c>
      <c r="CR682" s="5" t="n">
        <v>0</v>
      </c>
      <c r="CS682" s="5" t="n">
        <v>4.776</v>
      </c>
      <c r="CT682" s="5" t="n">
        <v>4.41</v>
      </c>
      <c r="CU682" s="5" t="n">
        <v>15.162</v>
      </c>
    </row>
    <row r="683">
      <c r="A683" s="5" t="inlineStr">
        <is>
          <t>SRB2022</t>
        </is>
      </c>
      <c r="B683" s="5" t="inlineStr">
        <is>
          <t>SRB</t>
        </is>
      </c>
      <c r="C683" s="5" t="inlineStr">
        <is>
          <t>SRB</t>
        </is>
      </c>
      <c r="D683" s="5" t="inlineStr">
        <is>
          <t>Serbia</t>
        </is>
      </c>
      <c r="E683" s="5" t="n">
        <v>2022</v>
      </c>
      <c r="F683" s="5" t="n">
        <v>0.2</v>
      </c>
      <c r="G683" s="5" t="n">
        <v>2.63</v>
      </c>
      <c r="H683" s="5" t="n">
        <v>0.703</v>
      </c>
      <c r="I683" s="5" t="n">
        <v>0.008</v>
      </c>
      <c r="J683" s="5" t="n">
        <v>2.638</v>
      </c>
      <c r="K683" s="5" t="n">
        <v>0</v>
      </c>
      <c r="L683" s="5" t="n">
        <v>1</v>
      </c>
      <c r="M683" s="5" t="n">
        <v>4.069</v>
      </c>
      <c r="N683" s="5" t="n">
        <v>2.11</v>
      </c>
      <c r="O683" s="5" t="n">
        <v>0.008</v>
      </c>
      <c r="P683" s="5" t="n">
        <v>4.078</v>
      </c>
      <c r="Q683" s="5" t="n">
        <v>0</v>
      </c>
      <c r="R683" s="5" t="n">
        <v>1</v>
      </c>
      <c r="S683" s="5" t="n">
        <v>6.928</v>
      </c>
      <c r="T683" s="5" t="n">
        <v>3.393</v>
      </c>
      <c r="U683" s="5" t="n">
        <v>0.111</v>
      </c>
      <c r="V683" s="5" t="n">
        <v>8.323</v>
      </c>
      <c r="W683" s="5" t="n">
        <v>0.2</v>
      </c>
      <c r="X683" s="5" t="n">
        <v>1</v>
      </c>
      <c r="Y683" s="5" t="n">
        <v>35.999</v>
      </c>
      <c r="Z683" s="5" t="n">
        <v>3.776</v>
      </c>
      <c r="AA683" s="5" t="n">
        <v>-24.578</v>
      </c>
      <c r="AB683" s="5" t="n">
        <v>11.42</v>
      </c>
      <c r="AC683" s="5" t="n">
        <v>0</v>
      </c>
      <c r="AD683" s="5" t="n">
        <v>1</v>
      </c>
      <c r="AE683" s="5" t="n">
        <v>36.046</v>
      </c>
      <c r="AF683" s="5" t="n">
        <v>6.682</v>
      </c>
      <c r="AG683" s="5" t="n">
        <v>-24.626</v>
      </c>
      <c r="AH683" s="5" t="n">
        <v>11.42</v>
      </c>
      <c r="AI683" s="5" t="n">
        <v>0</v>
      </c>
      <c r="AJ683" s="5" t="n">
        <v>1</v>
      </c>
      <c r="AK683" s="5" t="n">
        <v>40.23</v>
      </c>
      <c r="AL683" s="5" t="n">
        <v>19.211</v>
      </c>
      <c r="AM683" s="5" t="n">
        <v>-32.028</v>
      </c>
      <c r="AN683" s="5" t="n">
        <v>9.842000000000001</v>
      </c>
      <c r="AO683" s="5" t="n">
        <v>0</v>
      </c>
      <c r="AP683" s="5" t="n">
        <v>0</v>
      </c>
      <c r="AQ683" s="5" t="n">
        <v>0.861</v>
      </c>
      <c r="AR683" s="5" t="n">
        <v>0.123</v>
      </c>
      <c r="AS683" s="5" t="n">
        <v>0.425</v>
      </c>
      <c r="AT683" s="5" t="n">
        <v>1.543</v>
      </c>
      <c r="AU683" s="5" t="n">
        <v>0.2</v>
      </c>
      <c r="AV683" s="5" t="n">
        <v>1</v>
      </c>
      <c r="AW683" s="5" t="n">
        <v>0.986</v>
      </c>
      <c r="AX683" s="5" t="n">
        <v>0.123</v>
      </c>
      <c r="AY683" s="5" t="n">
        <v>0.437</v>
      </c>
      <c r="AZ683" s="5" t="n">
        <v>1.707</v>
      </c>
      <c r="BA683" s="5" t="n">
        <v>0.2</v>
      </c>
      <c r="BB683" s="5" t="n">
        <v>1</v>
      </c>
      <c r="BC683" s="5" t="n">
        <v>0.598</v>
      </c>
      <c r="BD683" s="5" t="n">
        <v>0.123</v>
      </c>
      <c r="BE683" s="5" t="n">
        <v>0.17</v>
      </c>
      <c r="BF683" s="5" t="n">
        <v>0.921</v>
      </c>
      <c r="BG683" s="5" t="n">
        <v>0.2</v>
      </c>
      <c r="BH683" s="5" t="n">
        <v>1</v>
      </c>
      <c r="BI683" s="5" t="n">
        <v>0.612</v>
      </c>
      <c r="BJ683" s="5" t="n">
        <v>0.123</v>
      </c>
      <c r="BK683" s="5" t="n">
        <v>0.008999999999999999</v>
      </c>
      <c r="BL683" s="5" t="n">
        <v>0.735</v>
      </c>
      <c r="BM683" s="5" t="n">
        <v>0.2</v>
      </c>
      <c r="BN683" s="5" t="n">
        <v>1</v>
      </c>
      <c r="BO683" s="5" t="n">
        <v>0</v>
      </c>
      <c r="BP683" s="5" t="n">
        <v>0.012</v>
      </c>
      <c r="BQ683" s="5" t="n">
        <v>0.093</v>
      </c>
      <c r="BR683" s="5" t="n">
        <v>0</v>
      </c>
      <c r="BS683" s="5" t="n">
        <v>1</v>
      </c>
      <c r="BT683" s="5" t="n">
        <v>0</v>
      </c>
      <c r="BU683" s="5" t="n">
        <v>0.01</v>
      </c>
      <c r="BV683" s="5" t="n">
        <v>0.08799999999999999</v>
      </c>
      <c r="BW683" s="5" t="n">
        <v>0.2</v>
      </c>
      <c r="BX683" s="5" t="n">
        <v>1</v>
      </c>
      <c r="BY683" s="5" t="n">
        <v>12.729</v>
      </c>
      <c r="BZ683" s="5" t="n">
        <v>0</v>
      </c>
      <c r="CA683" s="5" t="n">
        <v>12.729</v>
      </c>
      <c r="CB683" s="5" t="n">
        <v>0</v>
      </c>
      <c r="CC683" s="5" t="n">
        <v>97.90000000000001</v>
      </c>
      <c r="CD683" s="5" t="n">
        <v>7.95</v>
      </c>
      <c r="CE683" s="5" t="n">
        <v>1.449</v>
      </c>
      <c r="CF683" s="5" t="n">
        <v>117.48</v>
      </c>
      <c r="CG683" s="5" t="n">
        <v>0.2</v>
      </c>
      <c r="CH683" s="5" t="n">
        <v>1</v>
      </c>
      <c r="CI683" s="5" t="n">
        <v>0</v>
      </c>
      <c r="CJ683" s="5" t="n">
        <v>0</v>
      </c>
      <c r="CK683" s="5" t="n">
        <v>0</v>
      </c>
      <c r="CL683" s="5" t="n">
        <v>0</v>
      </c>
      <c r="CM683" s="5" t="n">
        <v>0</v>
      </c>
      <c r="CN683" s="5" t="n">
        <v>0</v>
      </c>
      <c r="CO683" s="5" t="n">
        <v>0</v>
      </c>
      <c r="CP683" s="5" t="n">
        <v>0.861</v>
      </c>
      <c r="CQ683" s="5" t="n">
        <v>1.294</v>
      </c>
      <c r="CR683" s="5" t="n">
        <v>0</v>
      </c>
      <c r="CS683" s="5" t="n">
        <v>5.158</v>
      </c>
      <c r="CT683" s="5" t="n">
        <v>5.842</v>
      </c>
      <c r="CU683" s="5" t="n">
        <v>31.326</v>
      </c>
    </row>
    <row r="684">
      <c r="A684" s="5" t="inlineStr">
        <is>
          <t>SRB2023</t>
        </is>
      </c>
      <c r="B684" s="5" t="inlineStr">
        <is>
          <t>SRB</t>
        </is>
      </c>
      <c r="C684" s="5" t="inlineStr">
        <is>
          <t>SRB</t>
        </is>
      </c>
      <c r="D684" s="5" t="inlineStr">
        <is>
          <t>Serbia</t>
        </is>
      </c>
      <c r="E684" s="5" t="n">
        <v>2023</v>
      </c>
      <c r="F684" s="5" t="n">
        <v>0.2</v>
      </c>
      <c r="G684" s="5" t="n">
        <v>2.484</v>
      </c>
      <c r="H684" s="5" t="n">
        <v>0.758</v>
      </c>
      <c r="I684" s="5" t="n">
        <v>0.006</v>
      </c>
      <c r="J684" s="5" t="n">
        <v>2.491</v>
      </c>
      <c r="K684" s="5" t="n">
        <v>0</v>
      </c>
      <c r="L684" s="5" t="n">
        <v>1</v>
      </c>
      <c r="M684" s="5" t="n">
        <v>4.101</v>
      </c>
      <c r="N684" s="5" t="n">
        <v>2.274</v>
      </c>
      <c r="O684" s="5" t="n">
        <v>0.007</v>
      </c>
      <c r="P684" s="5" t="n">
        <v>4.108</v>
      </c>
      <c r="Q684" s="5" t="n">
        <v>0</v>
      </c>
      <c r="R684" s="5" t="n">
        <v>1</v>
      </c>
      <c r="S684" s="5" t="n">
        <v>7.055</v>
      </c>
      <c r="T684" s="5" t="n">
        <v>4.424</v>
      </c>
      <c r="U684" s="5" t="n">
        <v>0.163</v>
      </c>
      <c r="V684" s="5" t="n">
        <v>8.474</v>
      </c>
      <c r="W684" s="5" t="n">
        <v>0.2</v>
      </c>
      <c r="X684" s="5" t="n">
        <v>1</v>
      </c>
      <c r="Y684" s="5" t="n">
        <v>16.346</v>
      </c>
      <c r="Z684" s="5" t="n">
        <v>1.831</v>
      </c>
      <c r="AA684" s="5" t="n">
        <v>-1.576</v>
      </c>
      <c r="AB684" s="5" t="n">
        <v>14.77</v>
      </c>
      <c r="AC684" s="5" t="n">
        <v>0</v>
      </c>
      <c r="AD684" s="5" t="n">
        <v>1</v>
      </c>
      <c r="AE684" s="5" t="n">
        <v>16.445</v>
      </c>
      <c r="AF684" s="5" t="n">
        <v>3.275</v>
      </c>
      <c r="AG684" s="5" t="n">
        <v>-1.675</v>
      </c>
      <c r="AH684" s="5" t="n">
        <v>14.77</v>
      </c>
      <c r="AI684" s="5" t="n">
        <v>0</v>
      </c>
      <c r="AJ684" s="5" t="n">
        <v>1</v>
      </c>
      <c r="AK684" s="5" t="n">
        <v>20.934</v>
      </c>
      <c r="AL684" s="5" t="n">
        <v>10.37</v>
      </c>
      <c r="AM684" s="5" t="n">
        <v>-9.712</v>
      </c>
      <c r="AN684" s="5" t="n">
        <v>13.467</v>
      </c>
      <c r="AO684" s="5" t="n">
        <v>0</v>
      </c>
      <c r="AP684" s="5" t="n">
        <v>0</v>
      </c>
      <c r="AQ684" s="5" t="n">
        <v>0.76</v>
      </c>
      <c r="AR684" s="5" t="n">
        <v>0.129</v>
      </c>
      <c r="AS684" s="5" t="n">
        <v>0.606</v>
      </c>
      <c r="AT684" s="5" t="n">
        <v>1.64</v>
      </c>
      <c r="AU684" s="5" t="n">
        <v>0.2</v>
      </c>
      <c r="AV684" s="5" t="n">
        <v>1</v>
      </c>
      <c r="AW684" s="5" t="n">
        <v>0.8110000000000001</v>
      </c>
      <c r="AX684" s="5" t="n">
        <v>0.129</v>
      </c>
      <c r="AY684" s="5" t="n">
        <v>0.651</v>
      </c>
      <c r="AZ684" s="5" t="n">
        <v>1.755</v>
      </c>
      <c r="BA684" s="5" t="n">
        <v>0.2</v>
      </c>
      <c r="BB684" s="5" t="n">
        <v>1</v>
      </c>
      <c r="BC684" s="5" t="n">
        <v>0.535</v>
      </c>
      <c r="BD684" s="5" t="n">
        <v>0.129</v>
      </c>
      <c r="BE684" s="5" t="n">
        <v>0.199</v>
      </c>
      <c r="BF684" s="5" t="n">
        <v>0.881</v>
      </c>
      <c r="BG684" s="5" t="n">
        <v>0.2</v>
      </c>
      <c r="BH684" s="5" t="n">
        <v>1</v>
      </c>
      <c r="BI684" s="5" t="n">
        <v>0.579</v>
      </c>
      <c r="BJ684" s="5" t="n">
        <v>0.129</v>
      </c>
      <c r="BK684" s="5" t="n">
        <v>0.013</v>
      </c>
      <c r="BL684" s="5" t="n">
        <v>0.695</v>
      </c>
      <c r="BM684" s="5" t="n">
        <v>0.2</v>
      </c>
      <c r="BN684" s="5" t="n">
        <v>1</v>
      </c>
      <c r="BO684" s="5" t="n">
        <v>0</v>
      </c>
      <c r="BP684" s="5" t="n">
        <v>0.018</v>
      </c>
      <c r="BQ684" s="5" t="n">
        <v>0.147</v>
      </c>
      <c r="BR684" s="5" t="n">
        <v>0</v>
      </c>
      <c r="BS684" s="5" t="n">
        <v>1</v>
      </c>
      <c r="BT684" s="5" t="n">
        <v>0</v>
      </c>
      <c r="BU684" s="5" t="n">
        <v>0.013</v>
      </c>
      <c r="BV684" s="5" t="n">
        <v>0.109</v>
      </c>
      <c r="BW684" s="5" t="n">
        <v>0.2</v>
      </c>
      <c r="BX684" s="5" t="n">
        <v>1</v>
      </c>
      <c r="BY684" s="5" t="n">
        <v>13.254</v>
      </c>
      <c r="BZ684" s="5" t="n">
        <v>0</v>
      </c>
      <c r="CA684" s="5" t="n">
        <v>13.254</v>
      </c>
      <c r="CB684" s="5" t="n">
        <v>0</v>
      </c>
      <c r="CC684" s="5" t="n">
        <v>83.248</v>
      </c>
      <c r="CD684" s="5" t="n">
        <v>7.95</v>
      </c>
      <c r="CE684" s="5" t="n">
        <v>1.843</v>
      </c>
      <c r="CF684" s="5" t="n">
        <v>99.898</v>
      </c>
      <c r="CG684" s="5" t="n">
        <v>0.2</v>
      </c>
      <c r="CH684" s="5" t="n">
        <v>1</v>
      </c>
      <c r="CI684" s="5" t="n">
        <v>0</v>
      </c>
      <c r="CJ684" s="5" t="n">
        <v>0</v>
      </c>
      <c r="CK684" s="5" t="n">
        <v>0</v>
      </c>
      <c r="CL684" s="5" t="n">
        <v>0</v>
      </c>
      <c r="CM684" s="5" t="n">
        <v>0</v>
      </c>
      <c r="CN684" s="5" t="n">
        <v>0</v>
      </c>
      <c r="CO684" s="5" t="n">
        <v>0</v>
      </c>
      <c r="CP684" s="5" t="n">
        <v>0.821</v>
      </c>
      <c r="CQ684" s="5" t="n">
        <v>1.348</v>
      </c>
      <c r="CR684" s="5" t="n">
        <v>0</v>
      </c>
      <c r="CS684" s="5" t="n">
        <v>5.37</v>
      </c>
      <c r="CT684" s="5" t="n">
        <v>3.466</v>
      </c>
      <c r="CU684" s="5" t="n">
        <v>11.622</v>
      </c>
    </row>
    <row r="685">
      <c r="A685" s="5" t="inlineStr">
        <is>
          <t>SRB2024</t>
        </is>
      </c>
      <c r="B685" s="5" t="inlineStr">
        <is>
          <t>SRB</t>
        </is>
      </c>
      <c r="C685" s="5" t="inlineStr">
        <is>
          <t>SRB</t>
        </is>
      </c>
      <c r="D685" s="5" t="inlineStr">
        <is>
          <t>Serbia</t>
        </is>
      </c>
      <c r="E685" s="5" t="n">
        <v>2024</v>
      </c>
      <c r="F685" s="5" t="n">
        <v>0.2</v>
      </c>
      <c r="G685" s="5" t="n">
        <v>2.461</v>
      </c>
      <c r="H685" s="5" t="n">
        <v>0.78</v>
      </c>
      <c r="I685" s="5" t="n">
        <v>0.005</v>
      </c>
      <c r="J685" s="5" t="n">
        <v>2.466</v>
      </c>
      <c r="K685" s="5" t="n">
        <v>0</v>
      </c>
      <c r="L685" s="5" t="n">
        <v>1</v>
      </c>
      <c r="M685" s="5" t="n">
        <v>4.044</v>
      </c>
      <c r="N685" s="5" t="n">
        <v>2.341</v>
      </c>
      <c r="O685" s="5" t="n">
        <v>0.006</v>
      </c>
      <c r="P685" s="5" t="n">
        <v>4.049</v>
      </c>
      <c r="Q685" s="5" t="n">
        <v>0</v>
      </c>
      <c r="R685" s="5" t="n">
        <v>1</v>
      </c>
      <c r="S685" s="5" t="n">
        <v>7.144</v>
      </c>
      <c r="T685" s="5" t="n">
        <v>4.729</v>
      </c>
      <c r="U685" s="5" t="n">
        <v>0.2</v>
      </c>
      <c r="V685" s="5" t="n">
        <v>8.579000000000001</v>
      </c>
      <c r="W685" s="5" t="n">
        <v>0.2</v>
      </c>
      <c r="X685" s="5" t="n">
        <v>1</v>
      </c>
      <c r="Y685" s="5" t="n">
        <v>14.922</v>
      </c>
      <c r="Z685" s="5" t="n">
        <v>1.884</v>
      </c>
      <c r="AA685" s="5" t="n">
        <v>0.505</v>
      </c>
      <c r="AB685" s="5" t="n">
        <v>15.427</v>
      </c>
      <c r="AC685" s="5" t="n">
        <v>0</v>
      </c>
      <c r="AD685" s="5" t="n">
        <v>1</v>
      </c>
      <c r="AE685" s="5" t="n">
        <v>14.922</v>
      </c>
      <c r="AF685" s="5" t="n">
        <v>3.269</v>
      </c>
      <c r="AG685" s="5" t="n">
        <v>0.505</v>
      </c>
      <c r="AH685" s="5" t="n">
        <v>15.427</v>
      </c>
      <c r="AI685" s="5" t="n">
        <v>0</v>
      </c>
      <c r="AJ685" s="5" t="n">
        <v>1</v>
      </c>
      <c r="AK685" s="5" t="n">
        <v>18.698</v>
      </c>
      <c r="AL685" s="5" t="n">
        <v>9.51</v>
      </c>
      <c r="AM685" s="5" t="n">
        <v>-6.417</v>
      </c>
      <c r="AN685" s="5" t="n">
        <v>14.737</v>
      </c>
      <c r="AO685" s="5" t="n">
        <v>0</v>
      </c>
      <c r="AP685" s="5" t="n">
        <v>0</v>
      </c>
      <c r="AQ685" s="5" t="n">
        <v>0.724</v>
      </c>
      <c r="AR685" s="5" t="n">
        <v>0.132</v>
      </c>
      <c r="AS685" s="5" t="n">
        <v>0.669</v>
      </c>
      <c r="AT685" s="5" t="n">
        <v>1.672</v>
      </c>
      <c r="AU685" s="5" t="n">
        <v>0.2</v>
      </c>
      <c r="AV685" s="5" t="n">
        <v>1</v>
      </c>
      <c r="AW685" s="5" t="n">
        <v>0.75</v>
      </c>
      <c r="AX685" s="5" t="n">
        <v>0.132</v>
      </c>
      <c r="AY685" s="5" t="n">
        <v>0.745</v>
      </c>
      <c r="AZ685" s="5" t="n">
        <v>1.794</v>
      </c>
      <c r="BA685" s="5" t="n">
        <v>0.2</v>
      </c>
      <c r="BB685" s="5" t="n">
        <v>1</v>
      </c>
      <c r="BC685" s="5" t="n">
        <v>0.513</v>
      </c>
      <c r="BD685" s="5" t="n">
        <v>0.132</v>
      </c>
      <c r="BE685" s="5" t="n">
        <v>0.216</v>
      </c>
      <c r="BF685" s="5" t="n">
        <v>0.875</v>
      </c>
      <c r="BG685" s="5" t="n">
        <v>0.2</v>
      </c>
      <c r="BH685" s="5" t="n">
        <v>1</v>
      </c>
      <c r="BI685" s="5" t="n">
        <v>0.591</v>
      </c>
      <c r="BJ685" s="5" t="n">
        <v>0.132</v>
      </c>
      <c r="BK685" s="5" t="n">
        <v>0.016</v>
      </c>
      <c r="BL685" s="5" t="n">
        <v>0.71</v>
      </c>
      <c r="BM685" s="5" t="n">
        <v>0.2</v>
      </c>
      <c r="BN685" s="5" t="n">
        <v>1</v>
      </c>
      <c r="BO685" s="5" t="n">
        <v>0</v>
      </c>
      <c r="BP685" s="5" t="n">
        <v>0.017</v>
      </c>
      <c r="BQ685" s="5" t="n">
        <v>0.145</v>
      </c>
      <c r="BR685" s="5" t="n">
        <v>0</v>
      </c>
      <c r="BS685" s="5" t="n">
        <v>1</v>
      </c>
      <c r="BT685" s="5" t="n">
        <v>0</v>
      </c>
      <c r="BU685" s="5" t="n">
        <v>0.014</v>
      </c>
      <c r="BV685" s="5" t="n">
        <v>0.119</v>
      </c>
      <c r="BW685" s="5" t="n">
        <v>0.2</v>
      </c>
      <c r="BX685" s="5" t="n">
        <v>1</v>
      </c>
      <c r="BY685" s="5" t="n">
        <v>13.646</v>
      </c>
      <c r="BZ685" s="5" t="n">
        <v>0</v>
      </c>
      <c r="CA685" s="5" t="n">
        <v>13.646</v>
      </c>
      <c r="CB685" s="5" t="n">
        <v>0</v>
      </c>
      <c r="CC685" s="5" t="n">
        <v>82.58799999999999</v>
      </c>
      <c r="CD685" s="5" t="n">
        <v>7.95</v>
      </c>
      <c r="CE685" s="5" t="n">
        <v>2.25</v>
      </c>
      <c r="CF685" s="5" t="n">
        <v>99.10599999999999</v>
      </c>
      <c r="CG685" s="5" t="n">
        <v>0.2</v>
      </c>
      <c r="CH685" s="5" t="n">
        <v>1</v>
      </c>
      <c r="CI685" s="5" t="n">
        <v>0</v>
      </c>
      <c r="CJ685" s="5" t="n">
        <v>0</v>
      </c>
      <c r="CK685" s="5" t="n">
        <v>0</v>
      </c>
      <c r="CL685" s="5" t="n">
        <v>0</v>
      </c>
      <c r="CM685" s="5" t="n">
        <v>0</v>
      </c>
      <c r="CN685" s="5" t="n">
        <v>0</v>
      </c>
      <c r="CO685" s="5" t="n">
        <v>0</v>
      </c>
      <c r="CP685" s="5" t="n">
        <v>0.821</v>
      </c>
      <c r="CQ685" s="5" t="n">
        <v>1.387</v>
      </c>
      <c r="CR685" s="5" t="n">
        <v>0</v>
      </c>
      <c r="CS685" s="5" t="n">
        <v>5.529</v>
      </c>
      <c r="CT685" s="5" t="n">
        <v>3.027</v>
      </c>
      <c r="CU685" s="5" t="n">
        <v>10.168</v>
      </c>
    </row>
    <row r="686">
      <c r="A686" s="5" t="inlineStr">
        <is>
          <t>SYC2021</t>
        </is>
      </c>
      <c r="B686" s="5" t="inlineStr">
        <is>
          <t>SYC</t>
        </is>
      </c>
      <c r="C686" s="5" t="inlineStr">
        <is>
          <t>SYC</t>
        </is>
      </c>
      <c r="D686" s="5" t="inlineStr">
        <is>
          <t>Seychelles</t>
        </is>
      </c>
      <c r="E686" s="5" t="n">
        <v>2021</v>
      </c>
      <c r="F686" s="5" t="n">
        <v>0.15</v>
      </c>
      <c r="G686" s="5" t="n">
        <v>5.897</v>
      </c>
      <c r="H686" s="5" t="n">
        <v>1.143</v>
      </c>
      <c r="I686" s="5" t="n">
        <v>0</v>
      </c>
      <c r="J686" s="5" t="n">
        <v>5.897</v>
      </c>
      <c r="K686" s="5" t="n">
        <v>0</v>
      </c>
      <c r="L686" s="5" t="n">
        <v>1</v>
      </c>
      <c r="M686" s="5" t="n">
        <v>7.964</v>
      </c>
      <c r="N686" s="5" t="n">
        <v>3.43</v>
      </c>
      <c r="O686" s="5" t="n">
        <v>0</v>
      </c>
      <c r="P686" s="5" t="n">
        <v>7.964</v>
      </c>
      <c r="Q686" s="5" t="n">
        <v>0</v>
      </c>
      <c r="R686" s="5" t="n">
        <v>1</v>
      </c>
      <c r="S686" s="5" t="n">
        <v>11.613</v>
      </c>
      <c r="T686" s="5" t="n">
        <v>6.86</v>
      </c>
      <c r="U686" s="5" t="n">
        <v>0</v>
      </c>
      <c r="V686" s="5" t="n">
        <v>13.355</v>
      </c>
      <c r="W686" s="5" t="n">
        <v>0.15</v>
      </c>
      <c r="X686" s="5" t="n">
        <v>1</v>
      </c>
      <c r="Y686" s="5" t="n">
        <v>8.823</v>
      </c>
      <c r="Z686" s="5" t="n">
        <v>1.192</v>
      </c>
      <c r="AA686" s="5" t="n">
        <v>0</v>
      </c>
      <c r="AB686" s="5" t="n">
        <v>8.823</v>
      </c>
      <c r="AC686" s="5" t="n">
        <v>0</v>
      </c>
      <c r="AD686" s="5" t="n">
        <v>1</v>
      </c>
      <c r="AE686" s="5" t="n">
        <v>9.965999999999999</v>
      </c>
      <c r="AF686" s="5" t="n">
        <v>2.33</v>
      </c>
      <c r="AG686" s="5" t="n">
        <v>0</v>
      </c>
      <c r="AH686" s="5" t="n">
        <v>9.965999999999999</v>
      </c>
      <c r="AI686" s="5" t="n">
        <v>0</v>
      </c>
      <c r="AJ686" s="5" t="n">
        <v>1</v>
      </c>
      <c r="AK686" s="5" t="n">
        <v>16.826</v>
      </c>
      <c r="AL686" s="5" t="n">
        <v>8.961</v>
      </c>
      <c r="AM686" s="5" t="n">
        <v>0</v>
      </c>
      <c r="AN686" s="5" t="n">
        <v>19.35</v>
      </c>
      <c r="AO686" s="5" t="n">
        <v>0.15</v>
      </c>
      <c r="AP686" s="5" t="n">
        <v>1</v>
      </c>
      <c r="AQ686" s="5" t="n">
        <v>0.619</v>
      </c>
      <c r="AR686" s="5" t="n">
        <v>0.114</v>
      </c>
      <c r="AS686" s="5" t="n">
        <v>0.446</v>
      </c>
      <c r="AT686" s="5" t="n">
        <v>1.225</v>
      </c>
      <c r="AU686" s="5" t="n">
        <v>0.15</v>
      </c>
      <c r="AV686" s="5" t="n">
        <v>1</v>
      </c>
      <c r="AW686" s="5" t="n">
        <v>0.599</v>
      </c>
      <c r="AX686" s="5" t="n">
        <v>0.114</v>
      </c>
      <c r="AY686" s="5" t="n">
        <v>0.414</v>
      </c>
      <c r="AZ686" s="5" t="n">
        <v>1.165</v>
      </c>
      <c r="BA686" s="5" t="n">
        <v>0.15</v>
      </c>
      <c r="BB686" s="5" t="n">
        <v>1</v>
      </c>
      <c r="BC686" s="5" t="n">
        <v>0.439</v>
      </c>
      <c r="BD686" s="5" t="n">
        <v>0.114</v>
      </c>
      <c r="BE686" s="5" t="n">
        <v>0.022</v>
      </c>
      <c r="BF686" s="5" t="n">
        <v>0.531</v>
      </c>
      <c r="BG686" s="5" t="n">
        <v>0.15</v>
      </c>
      <c r="BH686" s="5" t="n">
        <v>1</v>
      </c>
      <c r="BI686" s="5" t="n">
        <v>0.505</v>
      </c>
      <c r="BJ686" s="5" t="n">
        <v>0.114</v>
      </c>
      <c r="BK686" s="5" t="n">
        <v>0.991</v>
      </c>
      <c r="BL686" s="5" t="n">
        <v>1.72</v>
      </c>
      <c r="BM686" s="5" t="n">
        <v>0.15</v>
      </c>
      <c r="BN686" s="5" t="n">
        <v>1</v>
      </c>
      <c r="BO686" s="5" t="n">
        <v>0</v>
      </c>
      <c r="BP686" s="5" t="n">
        <v>0</v>
      </c>
      <c r="BQ686" s="5" t="n">
        <v>0</v>
      </c>
      <c r="BR686" s="5" t="n">
        <v>0</v>
      </c>
      <c r="BS686" s="5" t="n">
        <v>1</v>
      </c>
      <c r="BT686" s="5" t="n">
        <v>0</v>
      </c>
      <c r="BU686" s="5" t="n">
        <v>0</v>
      </c>
      <c r="BV686" s="5" t="n">
        <v>0</v>
      </c>
      <c r="BW686" s="5" t="n">
        <v>0.15</v>
      </c>
      <c r="BX686" s="5" t="n">
        <v>1</v>
      </c>
      <c r="BY686" s="5" t="n">
        <v>11.787</v>
      </c>
      <c r="BZ686" s="5" t="n">
        <v>0</v>
      </c>
      <c r="CA686" s="5" t="n">
        <v>11.787</v>
      </c>
      <c r="CB686" s="5" t="n">
        <v>0</v>
      </c>
      <c r="CC686" s="5" t="n">
        <v>78.125</v>
      </c>
      <c r="CD686" s="5" t="n">
        <v>7.95</v>
      </c>
      <c r="CE686" s="5" t="n">
        <v>0</v>
      </c>
      <c r="CF686" s="5" t="n">
        <v>89.84399999999999</v>
      </c>
      <c r="CG686" s="5" t="n">
        <v>0.15</v>
      </c>
      <c r="CH686" s="5" t="n">
        <v>1</v>
      </c>
      <c r="CI686" s="5" t="n">
        <v>0</v>
      </c>
      <c r="CJ686" s="5" t="n">
        <v>0</v>
      </c>
      <c r="CK686" s="5" t="n">
        <v>0</v>
      </c>
      <c r="CL686" s="5" t="n">
        <v>0</v>
      </c>
      <c r="CM686" s="5" t="n">
        <v>0</v>
      </c>
      <c r="CN686" s="5" t="n">
        <v>0</v>
      </c>
      <c r="CO686" s="5" t="n">
        <v>0</v>
      </c>
      <c r="CP686" s="5" t="n">
        <v>0</v>
      </c>
      <c r="CQ686" s="5" t="n">
        <v>1.198</v>
      </c>
      <c r="CR686" s="5" t="n">
        <v>0</v>
      </c>
      <c r="CS686" s="5" t="n">
        <v>4.776</v>
      </c>
      <c r="CT686" s="5" t="n">
        <v>4.753</v>
      </c>
      <c r="CU686" s="5" t="n">
        <v>15.162</v>
      </c>
    </row>
    <row r="687">
      <c r="A687" s="5" t="inlineStr">
        <is>
          <t>SYC2022</t>
        </is>
      </c>
      <c r="B687" s="5" t="inlineStr">
        <is>
          <t>SYC</t>
        </is>
      </c>
      <c r="C687" s="5" t="inlineStr">
        <is>
          <t>SYC</t>
        </is>
      </c>
      <c r="D687" s="5" t="inlineStr">
        <is>
          <t>Seychelles</t>
        </is>
      </c>
      <c r="E687" s="5" t="n">
        <v>2022</v>
      </c>
      <c r="F687" s="5" t="n">
        <v>0.15</v>
      </c>
      <c r="G687" s="5" t="n">
        <v>11.72</v>
      </c>
      <c r="H687" s="5" t="n">
        <v>1.235</v>
      </c>
      <c r="I687" s="5" t="n">
        <v>0</v>
      </c>
      <c r="J687" s="5" t="n">
        <v>11.72</v>
      </c>
      <c r="K687" s="5" t="n">
        <v>0</v>
      </c>
      <c r="L687" s="5" t="n">
        <v>1</v>
      </c>
      <c r="M687" s="5" t="n">
        <v>9.782999999999999</v>
      </c>
      <c r="N687" s="5" t="n">
        <v>3.704</v>
      </c>
      <c r="O687" s="5" t="n">
        <v>0</v>
      </c>
      <c r="P687" s="5" t="n">
        <v>9.782999999999999</v>
      </c>
      <c r="Q687" s="5" t="n">
        <v>0</v>
      </c>
      <c r="R687" s="5" t="n">
        <v>1</v>
      </c>
      <c r="S687" s="5" t="n">
        <v>17.893</v>
      </c>
      <c r="T687" s="5" t="n">
        <v>7.408</v>
      </c>
      <c r="U687" s="5" t="n">
        <v>0.199</v>
      </c>
      <c r="V687" s="5" t="n">
        <v>20.577</v>
      </c>
      <c r="W687" s="5" t="n">
        <v>0.15</v>
      </c>
      <c r="X687" s="5" t="n">
        <v>1</v>
      </c>
      <c r="Y687" s="5" t="n">
        <v>13.833</v>
      </c>
      <c r="Z687" s="5" t="n">
        <v>1.87</v>
      </c>
      <c r="AA687" s="5" t="n">
        <v>0</v>
      </c>
      <c r="AB687" s="5" t="n">
        <v>13.833</v>
      </c>
      <c r="AC687" s="5" t="n">
        <v>0</v>
      </c>
      <c r="AD687" s="5" t="n">
        <v>1</v>
      </c>
      <c r="AE687" s="5" t="n">
        <v>15.068</v>
      </c>
      <c r="AF687" s="5" t="n">
        <v>3.523</v>
      </c>
      <c r="AG687" s="5" t="n">
        <v>0</v>
      </c>
      <c r="AH687" s="5" t="n">
        <v>15.068</v>
      </c>
      <c r="AI687" s="5" t="n">
        <v>0</v>
      </c>
      <c r="AJ687" s="5" t="n">
        <v>1</v>
      </c>
      <c r="AK687" s="5" t="n">
        <v>22.476</v>
      </c>
      <c r="AL687" s="5" t="n">
        <v>11.97</v>
      </c>
      <c r="AM687" s="5" t="n">
        <v>0.25</v>
      </c>
      <c r="AN687" s="5" t="n">
        <v>25.847</v>
      </c>
      <c r="AO687" s="5" t="n">
        <v>0.15</v>
      </c>
      <c r="AP687" s="5" t="n">
        <v>1</v>
      </c>
      <c r="AQ687" s="5" t="n">
        <v>0.861</v>
      </c>
      <c r="AR687" s="5" t="n">
        <v>0.123</v>
      </c>
      <c r="AS687" s="5" t="n">
        <v>0.55</v>
      </c>
      <c r="AT687" s="5" t="n">
        <v>1.623</v>
      </c>
      <c r="AU687" s="5" t="n">
        <v>0.15</v>
      </c>
      <c r="AV687" s="5" t="n">
        <v>1</v>
      </c>
      <c r="AW687" s="5" t="n">
        <v>0.986</v>
      </c>
      <c r="AX687" s="5" t="n">
        <v>0.123</v>
      </c>
      <c r="AY687" s="5" t="n">
        <v>0.469</v>
      </c>
      <c r="AZ687" s="5" t="n">
        <v>1.673</v>
      </c>
      <c r="BA687" s="5" t="n">
        <v>0.15</v>
      </c>
      <c r="BB687" s="5" t="n">
        <v>1</v>
      </c>
      <c r="BC687" s="5" t="n">
        <v>0.598</v>
      </c>
      <c r="BD687" s="5" t="n">
        <v>0.123</v>
      </c>
      <c r="BE687" s="5" t="n">
        <v>-0.022</v>
      </c>
      <c r="BF687" s="5" t="n">
        <v>0.662</v>
      </c>
      <c r="BG687" s="5" t="n">
        <v>0.15</v>
      </c>
      <c r="BH687" s="5" t="n">
        <v>1</v>
      </c>
      <c r="BI687" s="5" t="n">
        <v>0.612</v>
      </c>
      <c r="BJ687" s="5" t="n">
        <v>0.123</v>
      </c>
      <c r="BK687" s="5" t="n">
        <v>1.08</v>
      </c>
      <c r="BL687" s="5" t="n">
        <v>1.925</v>
      </c>
      <c r="BM687" s="5" t="n">
        <v>0.15</v>
      </c>
      <c r="BN687" s="5" t="n">
        <v>1</v>
      </c>
      <c r="BO687" s="5" t="n">
        <v>0</v>
      </c>
      <c r="BP687" s="5" t="n">
        <v>0</v>
      </c>
      <c r="BQ687" s="5" t="n">
        <v>0</v>
      </c>
      <c r="BR687" s="5" t="n">
        <v>0</v>
      </c>
      <c r="BS687" s="5" t="n">
        <v>1</v>
      </c>
      <c r="BT687" s="5" t="n">
        <v>0</v>
      </c>
      <c r="BU687" s="5" t="n">
        <v>0</v>
      </c>
      <c r="BV687" s="5" t="n">
        <v>0</v>
      </c>
      <c r="BW687" s="5" t="n">
        <v>0.15</v>
      </c>
      <c r="BX687" s="5" t="n">
        <v>1</v>
      </c>
      <c r="BY687" s="5" t="n">
        <v>12.729</v>
      </c>
      <c r="BZ687" s="5" t="n">
        <v>0</v>
      </c>
      <c r="CA687" s="5" t="n">
        <v>12.729</v>
      </c>
      <c r="CB687" s="5" t="n">
        <v>0</v>
      </c>
      <c r="CC687" s="5" t="n">
        <v>97.90000000000001</v>
      </c>
      <c r="CD687" s="5" t="n">
        <v>7.95</v>
      </c>
      <c r="CE687" s="5" t="n">
        <v>1.087</v>
      </c>
      <c r="CF687" s="5" t="n">
        <v>112.585</v>
      </c>
      <c r="CG687" s="5" t="n">
        <v>0.15</v>
      </c>
      <c r="CH687" s="5" t="n">
        <v>1</v>
      </c>
      <c r="CI687" s="5" t="n">
        <v>0</v>
      </c>
      <c r="CJ687" s="5" t="n">
        <v>0</v>
      </c>
      <c r="CK687" s="5" t="n">
        <v>0</v>
      </c>
      <c r="CL687" s="5" t="n">
        <v>0</v>
      </c>
      <c r="CM687" s="5" t="n">
        <v>0</v>
      </c>
      <c r="CN687" s="5" t="n">
        <v>0</v>
      </c>
      <c r="CO687" s="5" t="n">
        <v>0</v>
      </c>
      <c r="CP687" s="5" t="n">
        <v>0</v>
      </c>
      <c r="CQ687" s="5" t="n">
        <v>1.294</v>
      </c>
      <c r="CR687" s="5" t="n">
        <v>0</v>
      </c>
      <c r="CS687" s="5" t="n">
        <v>5.158</v>
      </c>
      <c r="CT687" s="5" t="n">
        <v>10.485</v>
      </c>
      <c r="CU687" s="5" t="n">
        <v>31.326</v>
      </c>
    </row>
    <row r="688">
      <c r="A688" s="5" t="inlineStr">
        <is>
          <t>SYC2023</t>
        </is>
      </c>
      <c r="B688" s="5" t="inlineStr">
        <is>
          <t>SYC</t>
        </is>
      </c>
      <c r="C688" s="5" t="inlineStr">
        <is>
          <t>SYC</t>
        </is>
      </c>
      <c r="D688" s="5" t="inlineStr">
        <is>
          <t>Seychelles</t>
        </is>
      </c>
      <c r="E688" s="5" t="n">
        <v>2023</v>
      </c>
      <c r="F688" s="5" t="n">
        <v>0.15</v>
      </c>
      <c r="G688" s="5" t="n">
        <v>6.147</v>
      </c>
      <c r="H688" s="5" t="n">
        <v>1.286</v>
      </c>
      <c r="I688" s="5" t="n">
        <v>0</v>
      </c>
      <c r="J688" s="5" t="n">
        <v>6.147</v>
      </c>
      <c r="K688" s="5" t="n">
        <v>0</v>
      </c>
      <c r="L688" s="5" t="n">
        <v>1</v>
      </c>
      <c r="M688" s="5" t="n">
        <v>7.886</v>
      </c>
      <c r="N688" s="5" t="n">
        <v>3.857</v>
      </c>
      <c r="O688" s="5" t="n">
        <v>0</v>
      </c>
      <c r="P688" s="5" t="n">
        <v>7.886</v>
      </c>
      <c r="Q688" s="5" t="n">
        <v>0</v>
      </c>
      <c r="R688" s="5" t="n">
        <v>1</v>
      </c>
      <c r="S688" s="5" t="n">
        <v>12.575</v>
      </c>
      <c r="T688" s="5" t="n">
        <v>7.714</v>
      </c>
      <c r="U688" s="5" t="n">
        <v>0.209</v>
      </c>
      <c r="V688" s="5" t="n">
        <v>14.461</v>
      </c>
      <c r="W688" s="5" t="n">
        <v>0.15</v>
      </c>
      <c r="X688" s="5" t="n">
        <v>1</v>
      </c>
      <c r="Y688" s="5" t="n">
        <v>8.358000000000001</v>
      </c>
      <c r="Z688" s="5" t="n">
        <v>1.13</v>
      </c>
      <c r="AA688" s="5" t="n">
        <v>0</v>
      </c>
      <c r="AB688" s="5" t="n">
        <v>8.358000000000001</v>
      </c>
      <c r="AC688" s="5" t="n">
        <v>0</v>
      </c>
      <c r="AD688" s="5" t="n">
        <v>1</v>
      </c>
      <c r="AE688" s="5" t="n">
        <v>9.644</v>
      </c>
      <c r="AF688" s="5" t="n">
        <v>2.255</v>
      </c>
      <c r="AG688" s="5" t="n">
        <v>0</v>
      </c>
      <c r="AH688" s="5" t="n">
        <v>9.644</v>
      </c>
      <c r="AI688" s="5" t="n">
        <v>0</v>
      </c>
      <c r="AJ688" s="5" t="n">
        <v>1</v>
      </c>
      <c r="AK688" s="5" t="n">
        <v>17.358</v>
      </c>
      <c r="AL688" s="5" t="n">
        <v>9.244999999999999</v>
      </c>
      <c r="AM688" s="5" t="n">
        <v>0.288</v>
      </c>
      <c r="AN688" s="5" t="n">
        <v>19.962</v>
      </c>
      <c r="AO688" s="5" t="n">
        <v>0.15</v>
      </c>
      <c r="AP688" s="5" t="n">
        <v>1</v>
      </c>
      <c r="AQ688" s="5" t="n">
        <v>0.76</v>
      </c>
      <c r="AR688" s="5" t="n">
        <v>0.129</v>
      </c>
      <c r="AS688" s="5" t="n">
        <v>0.548</v>
      </c>
      <c r="AT688" s="5" t="n">
        <v>1.505</v>
      </c>
      <c r="AU688" s="5" t="n">
        <v>0.15</v>
      </c>
      <c r="AV688" s="5" t="n">
        <v>1</v>
      </c>
      <c r="AW688" s="5" t="n">
        <v>0.8110000000000001</v>
      </c>
      <c r="AX688" s="5" t="n">
        <v>0.129</v>
      </c>
      <c r="AY688" s="5" t="n">
        <v>0.538</v>
      </c>
      <c r="AZ688" s="5" t="n">
        <v>1.552</v>
      </c>
      <c r="BA688" s="5" t="n">
        <v>0.15</v>
      </c>
      <c r="BB688" s="5" t="n">
        <v>1</v>
      </c>
      <c r="BC688" s="5" t="n">
        <v>0.535</v>
      </c>
      <c r="BD688" s="5" t="n">
        <v>0.129</v>
      </c>
      <c r="BE688" s="5" t="n">
        <v>0.051</v>
      </c>
      <c r="BF688" s="5" t="n">
        <v>0.674</v>
      </c>
      <c r="BG688" s="5" t="n">
        <v>0.15</v>
      </c>
      <c r="BH688" s="5" t="n">
        <v>1</v>
      </c>
      <c r="BI688" s="5" t="n">
        <v>0.579</v>
      </c>
      <c r="BJ688" s="5" t="n">
        <v>0.129</v>
      </c>
      <c r="BK688" s="5" t="n">
        <v>1.141</v>
      </c>
      <c r="BL688" s="5" t="n">
        <v>1.946</v>
      </c>
      <c r="BM688" s="5" t="n">
        <v>0.15</v>
      </c>
      <c r="BN688" s="5" t="n">
        <v>1</v>
      </c>
      <c r="BO688" s="5" t="n">
        <v>0</v>
      </c>
      <c r="BP688" s="5" t="n">
        <v>0</v>
      </c>
      <c r="BQ688" s="5" t="n">
        <v>0</v>
      </c>
      <c r="BR688" s="5" t="n">
        <v>0</v>
      </c>
      <c r="BS688" s="5" t="n">
        <v>1</v>
      </c>
      <c r="BT688" s="5" t="n">
        <v>0</v>
      </c>
      <c r="BU688" s="5" t="n">
        <v>0</v>
      </c>
      <c r="BV688" s="5" t="n">
        <v>0</v>
      </c>
      <c r="BW688" s="5" t="n">
        <v>0.15</v>
      </c>
      <c r="BX688" s="5" t="n">
        <v>1</v>
      </c>
      <c r="BY688" s="5" t="n">
        <v>13.254</v>
      </c>
      <c r="BZ688" s="5" t="n">
        <v>0</v>
      </c>
      <c r="CA688" s="5" t="n">
        <v>13.254</v>
      </c>
      <c r="CB688" s="5" t="n">
        <v>0</v>
      </c>
      <c r="CC688" s="5" t="n">
        <v>83.248</v>
      </c>
      <c r="CD688" s="5" t="n">
        <v>7.95</v>
      </c>
      <c r="CE688" s="5" t="n">
        <v>1.383</v>
      </c>
      <c r="CF688" s="5" t="n">
        <v>95.735</v>
      </c>
      <c r="CG688" s="5" t="n">
        <v>0.15</v>
      </c>
      <c r="CH688" s="5" t="n">
        <v>1</v>
      </c>
      <c r="CI688" s="5" t="n">
        <v>0</v>
      </c>
      <c r="CJ688" s="5" t="n">
        <v>0</v>
      </c>
      <c r="CK688" s="5" t="n">
        <v>0</v>
      </c>
      <c r="CL688" s="5" t="n">
        <v>0</v>
      </c>
      <c r="CM688" s="5" t="n">
        <v>0</v>
      </c>
      <c r="CN688" s="5" t="n">
        <v>0</v>
      </c>
      <c r="CO688" s="5" t="n">
        <v>0</v>
      </c>
      <c r="CP688" s="5" t="n">
        <v>0</v>
      </c>
      <c r="CQ688" s="5" t="n">
        <v>1.348</v>
      </c>
      <c r="CR688" s="5" t="n">
        <v>0</v>
      </c>
      <c r="CS688" s="5" t="n">
        <v>5.37</v>
      </c>
      <c r="CT688" s="5" t="n">
        <v>4.861</v>
      </c>
      <c r="CU688" s="5" t="n">
        <v>11.622</v>
      </c>
    </row>
    <row r="689">
      <c r="A689" s="5" t="inlineStr">
        <is>
          <t>SYC2024</t>
        </is>
      </c>
      <c r="B689" s="5" t="inlineStr">
        <is>
          <t>SYC</t>
        </is>
      </c>
      <c r="C689" s="5" t="inlineStr">
        <is>
          <t>SYC</t>
        </is>
      </c>
      <c r="D689" s="5" t="inlineStr">
        <is>
          <t>Seychelles</t>
        </is>
      </c>
      <c r="E689" s="5" t="n">
        <v>2024</v>
      </c>
      <c r="F689" s="5" t="n">
        <v>0.15</v>
      </c>
      <c r="G689" s="5" t="n">
        <v>5.575</v>
      </c>
      <c r="H689" s="5" t="n">
        <v>1.324</v>
      </c>
      <c r="I689" s="5" t="n">
        <v>0</v>
      </c>
      <c r="J689" s="5" t="n">
        <v>5.575</v>
      </c>
      <c r="K689" s="5" t="n">
        <v>0</v>
      </c>
      <c r="L689" s="5" t="n">
        <v>1</v>
      </c>
      <c r="M689" s="5" t="n">
        <v>7.124</v>
      </c>
      <c r="N689" s="5" t="n">
        <v>3.971</v>
      </c>
      <c r="O689" s="5" t="n">
        <v>0</v>
      </c>
      <c r="P689" s="5" t="n">
        <v>7.124</v>
      </c>
      <c r="Q689" s="5" t="n">
        <v>0</v>
      </c>
      <c r="R689" s="5" t="n">
        <v>1</v>
      </c>
      <c r="S689" s="5" t="n">
        <v>12.193</v>
      </c>
      <c r="T689" s="5" t="n">
        <v>7.942</v>
      </c>
      <c r="U689" s="5" t="n">
        <v>0.249</v>
      </c>
      <c r="V689" s="5" t="n">
        <v>14.022</v>
      </c>
      <c r="W689" s="5" t="n">
        <v>0.15</v>
      </c>
      <c r="X689" s="5" t="n">
        <v>1</v>
      </c>
      <c r="Y689" s="5" t="n">
        <v>8.087</v>
      </c>
      <c r="Z689" s="5" t="n">
        <v>1.093</v>
      </c>
      <c r="AA689" s="5" t="n">
        <v>0</v>
      </c>
      <c r="AB689" s="5" t="n">
        <v>8.087</v>
      </c>
      <c r="AC689" s="5" t="n">
        <v>0</v>
      </c>
      <c r="AD689" s="5" t="n">
        <v>1</v>
      </c>
      <c r="AE689" s="5" t="n">
        <v>9.411</v>
      </c>
      <c r="AF689" s="5" t="n">
        <v>2.201</v>
      </c>
      <c r="AG689" s="5" t="n">
        <v>0</v>
      </c>
      <c r="AH689" s="5" t="n">
        <v>9.411</v>
      </c>
      <c r="AI689" s="5" t="n">
        <v>0</v>
      </c>
      <c r="AJ689" s="5" t="n">
        <v>1</v>
      </c>
      <c r="AK689" s="5" t="n">
        <v>17.353</v>
      </c>
      <c r="AL689" s="5" t="n">
        <v>9.242000000000001</v>
      </c>
      <c r="AM689" s="5" t="n">
        <v>0.355</v>
      </c>
      <c r="AN689" s="5" t="n">
        <v>19.956</v>
      </c>
      <c r="AO689" s="5" t="n">
        <v>0.15</v>
      </c>
      <c r="AP689" s="5" t="n">
        <v>1</v>
      </c>
      <c r="AQ689" s="5" t="n">
        <v>0.724</v>
      </c>
      <c r="AR689" s="5" t="n">
        <v>0.132</v>
      </c>
      <c r="AS689" s="5" t="n">
        <v>0.542</v>
      </c>
      <c r="AT689" s="5" t="n">
        <v>1.456</v>
      </c>
      <c r="AU689" s="5" t="n">
        <v>0.15</v>
      </c>
      <c r="AV689" s="5" t="n">
        <v>1</v>
      </c>
      <c r="AW689" s="5" t="n">
        <v>0.75</v>
      </c>
      <c r="AX689" s="5" t="n">
        <v>0.132</v>
      </c>
      <c r="AY689" s="5" t="n">
        <v>0.514</v>
      </c>
      <c r="AZ689" s="5" t="n">
        <v>1.454</v>
      </c>
      <c r="BA689" s="5" t="n">
        <v>0.15</v>
      </c>
      <c r="BB689" s="5" t="n">
        <v>1</v>
      </c>
      <c r="BC689" s="5" t="n">
        <v>0.513</v>
      </c>
      <c r="BD689" s="5" t="n">
        <v>0.132</v>
      </c>
      <c r="BE689" s="5" t="n">
        <v>0.053</v>
      </c>
      <c r="BF689" s="5" t="n">
        <v>0.65</v>
      </c>
      <c r="BG689" s="5" t="n">
        <v>0.15</v>
      </c>
      <c r="BH689" s="5" t="n">
        <v>1</v>
      </c>
      <c r="BI689" s="5" t="n">
        <v>0.591</v>
      </c>
      <c r="BJ689" s="5" t="n">
        <v>0.132</v>
      </c>
      <c r="BK689" s="5" t="n">
        <v>1.182</v>
      </c>
      <c r="BL689" s="5" t="n">
        <v>1.999</v>
      </c>
      <c r="BM689" s="5" t="n">
        <v>0.15</v>
      </c>
      <c r="BN689" s="5" t="n">
        <v>1</v>
      </c>
      <c r="BO689" s="5" t="n">
        <v>0</v>
      </c>
      <c r="BP689" s="5" t="n">
        <v>0</v>
      </c>
      <c r="BQ689" s="5" t="n">
        <v>0</v>
      </c>
      <c r="BR689" s="5" t="n">
        <v>0</v>
      </c>
      <c r="BS689" s="5" t="n">
        <v>1</v>
      </c>
      <c r="BT689" s="5" t="n">
        <v>0</v>
      </c>
      <c r="BU689" s="5" t="n">
        <v>0</v>
      </c>
      <c r="BV689" s="5" t="n">
        <v>0</v>
      </c>
      <c r="BW689" s="5" t="n">
        <v>0.15</v>
      </c>
      <c r="BX689" s="5" t="n">
        <v>1</v>
      </c>
      <c r="BY689" s="5" t="n">
        <v>13.646</v>
      </c>
      <c r="BZ689" s="5" t="n">
        <v>0</v>
      </c>
      <c r="CA689" s="5" t="n">
        <v>13.646</v>
      </c>
      <c r="CB689" s="5" t="n">
        <v>0</v>
      </c>
      <c r="CC689" s="5" t="n">
        <v>82.58799999999999</v>
      </c>
      <c r="CD689" s="5" t="n">
        <v>7.95</v>
      </c>
      <c r="CE689" s="5" t="n">
        <v>1.687</v>
      </c>
      <c r="CF689" s="5" t="n">
        <v>94.976</v>
      </c>
      <c r="CG689" s="5" t="n">
        <v>0.15</v>
      </c>
      <c r="CH689" s="5" t="n">
        <v>1</v>
      </c>
      <c r="CI689" s="5" t="n">
        <v>0</v>
      </c>
      <c r="CJ689" s="5" t="n">
        <v>0</v>
      </c>
      <c r="CK689" s="5" t="n">
        <v>0</v>
      </c>
      <c r="CL689" s="5" t="n">
        <v>0</v>
      </c>
      <c r="CM689" s="5" t="n">
        <v>0</v>
      </c>
      <c r="CN689" s="5" t="n">
        <v>0</v>
      </c>
      <c r="CO689" s="5" t="n">
        <v>0</v>
      </c>
      <c r="CP689" s="5" t="n">
        <v>0</v>
      </c>
      <c r="CQ689" s="5" t="n">
        <v>1.387</v>
      </c>
      <c r="CR689" s="5" t="n">
        <v>0</v>
      </c>
      <c r="CS689" s="5" t="n">
        <v>5.529</v>
      </c>
      <c r="CT689" s="5" t="n">
        <v>4.251</v>
      </c>
      <c r="CU689" s="5" t="n">
        <v>10.168</v>
      </c>
    </row>
    <row r="690">
      <c r="A690" s="5" t="inlineStr">
        <is>
          <t>SLE2021</t>
        </is>
      </c>
      <c r="B690" s="5" t="inlineStr">
        <is>
          <t>SLE</t>
        </is>
      </c>
      <c r="C690" s="5" t="inlineStr">
        <is>
          <t>SLE</t>
        </is>
      </c>
      <c r="D690" s="5" t="inlineStr">
        <is>
          <t>Sierra Leone</t>
        </is>
      </c>
      <c r="E690" s="5" t="n">
        <v>2021</v>
      </c>
      <c r="F690" s="5" t="n">
        <v>0.15</v>
      </c>
      <c r="G690" s="5" t="n">
        <v>5.897</v>
      </c>
      <c r="H690" s="5" t="n">
        <v>1.143</v>
      </c>
      <c r="I690" s="5" t="n">
        <v>0</v>
      </c>
      <c r="J690" s="5" t="n">
        <v>5.897</v>
      </c>
      <c r="K690" s="5" t="n">
        <v>0</v>
      </c>
      <c r="L690" s="5" t="n">
        <v>1</v>
      </c>
      <c r="M690" s="5" t="n">
        <v>7.964</v>
      </c>
      <c r="N690" s="5" t="n">
        <v>3.43</v>
      </c>
      <c r="O690" s="5" t="n">
        <v>0</v>
      </c>
      <c r="P690" s="5" t="n">
        <v>7.964</v>
      </c>
      <c r="Q690" s="5" t="n">
        <v>0</v>
      </c>
      <c r="R690" s="5" t="n">
        <v>1</v>
      </c>
      <c r="S690" s="5" t="n">
        <v>11.613</v>
      </c>
      <c r="T690" s="5" t="n">
        <v>6.86</v>
      </c>
      <c r="U690" s="5" t="n">
        <v>0</v>
      </c>
      <c r="V690" s="5" t="n">
        <v>13.355</v>
      </c>
      <c r="W690" s="5" t="n">
        <v>0.15</v>
      </c>
      <c r="X690" s="5" t="n">
        <v>1</v>
      </c>
      <c r="Y690" s="5" t="n">
        <v>16.305</v>
      </c>
      <c r="Z690" s="5" t="n">
        <v>2.204</v>
      </c>
      <c r="AA690" s="5" t="n">
        <v>0</v>
      </c>
      <c r="AB690" s="5" t="n">
        <v>16.305</v>
      </c>
      <c r="AC690" s="5" t="n">
        <v>0</v>
      </c>
      <c r="AD690" s="5" t="n">
        <v>1</v>
      </c>
      <c r="AE690" s="5" t="n">
        <v>17.449</v>
      </c>
      <c r="AF690" s="5" t="n">
        <v>4.08</v>
      </c>
      <c r="AG690" s="5" t="n">
        <v>0</v>
      </c>
      <c r="AH690" s="5" t="n">
        <v>17.449</v>
      </c>
      <c r="AI690" s="5" t="n">
        <v>0</v>
      </c>
      <c r="AJ690" s="5" t="n">
        <v>1</v>
      </c>
      <c r="AK690" s="5" t="n">
        <v>24.309</v>
      </c>
      <c r="AL690" s="5" t="n">
        <v>12.947</v>
      </c>
      <c r="AM690" s="5" t="n">
        <v>0</v>
      </c>
      <c r="AN690" s="5" t="n">
        <v>27.955</v>
      </c>
      <c r="AO690" s="5" t="n">
        <v>0.15</v>
      </c>
      <c r="AP690" s="5" t="n">
        <v>1</v>
      </c>
      <c r="AQ690" s="5" t="n">
        <v>0.525</v>
      </c>
      <c r="AR690" s="5" t="n">
        <v>0.096</v>
      </c>
      <c r="AS690" s="5" t="n">
        <v>0.179</v>
      </c>
      <c r="AT690" s="5" t="n">
        <v>0.704</v>
      </c>
      <c r="AU690" s="5" t="n">
        <v>0</v>
      </c>
      <c r="AV690" s="5" t="n">
        <v>1</v>
      </c>
      <c r="AW690" s="5" t="n">
        <v>1.053</v>
      </c>
      <c r="AX690" s="5" t="n">
        <v>0.204</v>
      </c>
      <c r="AY690" s="5" t="n">
        <v>0.202</v>
      </c>
      <c r="AZ690" s="5" t="n">
        <v>1.256</v>
      </c>
      <c r="BA690" s="5" t="n">
        <v>0</v>
      </c>
      <c r="BB690" s="5" t="n">
        <v>1</v>
      </c>
      <c r="BC690" s="5" t="n">
        <v>0.439</v>
      </c>
      <c r="BD690" s="5" t="n">
        <v>0.114</v>
      </c>
      <c r="BE690" s="5" t="n">
        <v>0</v>
      </c>
      <c r="BF690" s="5" t="n">
        <v>0.505</v>
      </c>
      <c r="BG690" s="5" t="n">
        <v>0.15</v>
      </c>
      <c r="BH690" s="5" t="n">
        <v>1</v>
      </c>
      <c r="BI690" s="5" t="n">
        <v>0.62</v>
      </c>
      <c r="BJ690" s="5" t="n">
        <v>0.137</v>
      </c>
      <c r="BK690" s="5" t="n">
        <v>0.103</v>
      </c>
      <c r="BL690" s="5" t="n">
        <v>0.723</v>
      </c>
      <c r="BM690" s="5" t="n">
        <v>0</v>
      </c>
      <c r="BN690" s="5" t="n">
        <v>1</v>
      </c>
      <c r="BO690" s="5" t="n">
        <v>0</v>
      </c>
      <c r="BP690" s="5" t="n">
        <v>0</v>
      </c>
      <c r="BQ690" s="5" t="n">
        <v>0.31</v>
      </c>
      <c r="BR690" s="5" t="n">
        <v>0</v>
      </c>
      <c r="BS690" s="5" t="n">
        <v>1</v>
      </c>
      <c r="BT690" s="5" t="n">
        <v>0</v>
      </c>
      <c r="BU690" s="5" t="n">
        <v>0</v>
      </c>
      <c r="BV690" s="5" t="n">
        <v>0.128</v>
      </c>
      <c r="BW690" s="5" t="n">
        <v>0.15</v>
      </c>
      <c r="BX690" s="5" t="n">
        <v>1</v>
      </c>
      <c r="BY690" s="5" t="n">
        <v>11.787</v>
      </c>
      <c r="BZ690" s="5" t="n">
        <v>0</v>
      </c>
      <c r="CA690" s="5" t="n">
        <v>11.787</v>
      </c>
      <c r="CB690" s="5" t="n">
        <v>0</v>
      </c>
      <c r="CC690" s="5" t="n">
        <v>87.935</v>
      </c>
      <c r="CD690" s="5" t="n">
        <v>17.76</v>
      </c>
      <c r="CE690" s="5" t="n">
        <v>26.959</v>
      </c>
      <c r="CF690" s="5" t="n">
        <v>114.894</v>
      </c>
      <c r="CG690" s="5" t="n">
        <v>0</v>
      </c>
      <c r="CH690" s="5" t="n">
        <v>1</v>
      </c>
      <c r="CI690" s="5" t="n">
        <v>0</v>
      </c>
      <c r="CJ690" s="5" t="n">
        <v>0</v>
      </c>
      <c r="CK690" s="5" t="n">
        <v>0</v>
      </c>
      <c r="CL690" s="5" t="n">
        <v>0</v>
      </c>
      <c r="CM690" s="5" t="n">
        <v>0</v>
      </c>
      <c r="CN690" s="5" t="n">
        <v>0</v>
      </c>
      <c r="CO690" s="5" t="n">
        <v>0</v>
      </c>
      <c r="CP690" s="5" t="n">
        <v>0</v>
      </c>
      <c r="CQ690" s="5" t="n">
        <v>1.198</v>
      </c>
      <c r="CR690" s="5" t="n">
        <v>0</v>
      </c>
      <c r="CS690" s="5" t="n">
        <v>4.776</v>
      </c>
      <c r="CT690" s="5" t="n">
        <v>4.753</v>
      </c>
      <c r="CU690" s="5" t="n">
        <v>15.162</v>
      </c>
    </row>
    <row r="691">
      <c r="A691" s="5" t="inlineStr">
        <is>
          <t>SLE2022</t>
        </is>
      </c>
      <c r="B691" s="5" t="inlineStr">
        <is>
          <t>SLE</t>
        </is>
      </c>
      <c r="C691" s="5" t="inlineStr">
        <is>
          <t>SLE</t>
        </is>
      </c>
      <c r="D691" s="5" t="inlineStr">
        <is>
          <t>Sierra Leone</t>
        </is>
      </c>
      <c r="E691" s="5" t="n">
        <v>2022</v>
      </c>
      <c r="F691" s="5" t="n">
        <v>0.15</v>
      </c>
      <c r="G691" s="5" t="n">
        <v>11.72</v>
      </c>
      <c r="H691" s="5" t="n">
        <v>1.235</v>
      </c>
      <c r="I691" s="5" t="n">
        <v>0</v>
      </c>
      <c r="J691" s="5" t="n">
        <v>11.72</v>
      </c>
      <c r="K691" s="5" t="n">
        <v>0</v>
      </c>
      <c r="L691" s="5" t="n">
        <v>1</v>
      </c>
      <c r="M691" s="5" t="n">
        <v>9.782999999999999</v>
      </c>
      <c r="N691" s="5" t="n">
        <v>3.704</v>
      </c>
      <c r="O691" s="5" t="n">
        <v>0</v>
      </c>
      <c r="P691" s="5" t="n">
        <v>9.782999999999999</v>
      </c>
      <c r="Q691" s="5" t="n">
        <v>0</v>
      </c>
      <c r="R691" s="5" t="n">
        <v>1</v>
      </c>
      <c r="S691" s="5" t="n">
        <v>17.893</v>
      </c>
      <c r="T691" s="5" t="n">
        <v>7.408</v>
      </c>
      <c r="U691" s="5" t="n">
        <v>0.199</v>
      </c>
      <c r="V691" s="5" t="n">
        <v>20.577</v>
      </c>
      <c r="W691" s="5" t="n">
        <v>0.15</v>
      </c>
      <c r="X691" s="5" t="n">
        <v>1</v>
      </c>
      <c r="Y691" s="5" t="n">
        <v>32.56</v>
      </c>
      <c r="Z691" s="5" t="n">
        <v>4.401</v>
      </c>
      <c r="AA691" s="5" t="n">
        <v>0</v>
      </c>
      <c r="AB691" s="5" t="n">
        <v>32.56</v>
      </c>
      <c r="AC691" s="5" t="n">
        <v>0</v>
      </c>
      <c r="AD691" s="5" t="n">
        <v>1</v>
      </c>
      <c r="AE691" s="5" t="n">
        <v>33.795</v>
      </c>
      <c r="AF691" s="5" t="n">
        <v>7.902</v>
      </c>
      <c r="AG691" s="5" t="n">
        <v>0</v>
      </c>
      <c r="AH691" s="5" t="n">
        <v>33.795</v>
      </c>
      <c r="AI691" s="5" t="n">
        <v>0</v>
      </c>
      <c r="AJ691" s="5" t="n">
        <v>1</v>
      </c>
      <c r="AK691" s="5" t="n">
        <v>41.203</v>
      </c>
      <c r="AL691" s="5" t="n">
        <v>21.945</v>
      </c>
      <c r="AM691" s="5" t="n">
        <v>0.457</v>
      </c>
      <c r="AN691" s="5" t="n">
        <v>47.384</v>
      </c>
      <c r="AO691" s="5" t="n">
        <v>0.15</v>
      </c>
      <c r="AP691" s="5" t="n">
        <v>1</v>
      </c>
      <c r="AQ691" s="5" t="n">
        <v>0.776</v>
      </c>
      <c r="AR691" s="5" t="n">
        <v>0.111</v>
      </c>
      <c r="AS691" s="5" t="n">
        <v>0.284</v>
      </c>
      <c r="AT691" s="5" t="n">
        <v>1.06</v>
      </c>
      <c r="AU691" s="5" t="n">
        <v>0</v>
      </c>
      <c r="AV691" s="5" t="n">
        <v>1</v>
      </c>
      <c r="AW691" s="5" t="n">
        <v>0.975</v>
      </c>
      <c r="AX691" s="5" t="n">
        <v>0.127</v>
      </c>
      <c r="AY691" s="5" t="n">
        <v>0.248</v>
      </c>
      <c r="AZ691" s="5" t="n">
        <v>1.223</v>
      </c>
      <c r="BA691" s="5" t="n">
        <v>0</v>
      </c>
      <c r="BB691" s="5" t="n">
        <v>1</v>
      </c>
      <c r="BC691" s="5" t="n">
        <v>0.598</v>
      </c>
      <c r="BD691" s="5" t="n">
        <v>0.123</v>
      </c>
      <c r="BE691" s="5" t="n">
        <v>0.007</v>
      </c>
      <c r="BF691" s="5" t="n">
        <v>0.6879999999999999</v>
      </c>
      <c r="BG691" s="5" t="n">
        <v>0.15</v>
      </c>
      <c r="BH691" s="5" t="n">
        <v>1</v>
      </c>
      <c r="BI691" s="5" t="n">
        <v>0.928</v>
      </c>
      <c r="BJ691" s="5" t="n">
        <v>0.181</v>
      </c>
      <c r="BK691" s="5" t="n">
        <v>0.155</v>
      </c>
      <c r="BL691" s="5" t="n">
        <v>1.083</v>
      </c>
      <c r="BM691" s="5" t="n">
        <v>0</v>
      </c>
      <c r="BN691" s="5" t="n">
        <v>1</v>
      </c>
      <c r="BO691" s="5" t="n">
        <v>0</v>
      </c>
      <c r="BP691" s="5" t="n">
        <v>0</v>
      </c>
      <c r="BQ691" s="5" t="n">
        <v>0.284</v>
      </c>
      <c r="BR691" s="5" t="n">
        <v>0</v>
      </c>
      <c r="BS691" s="5" t="n">
        <v>1</v>
      </c>
      <c r="BT691" s="5" t="n">
        <v>0</v>
      </c>
      <c r="BU691" s="5" t="n">
        <v>0</v>
      </c>
      <c r="BV691" s="5" t="n">
        <v>0.136</v>
      </c>
      <c r="BW691" s="5" t="n">
        <v>0.15</v>
      </c>
      <c r="BX691" s="5" t="n">
        <v>1</v>
      </c>
      <c r="BY691" s="5" t="n">
        <v>12.729</v>
      </c>
      <c r="BZ691" s="5" t="n">
        <v>0</v>
      </c>
      <c r="CA691" s="5" t="n">
        <v>12.729</v>
      </c>
      <c r="CB691" s="5" t="n">
        <v>0</v>
      </c>
      <c r="CC691" s="5" t="n">
        <v>121.934</v>
      </c>
      <c r="CD691" s="5" t="n">
        <v>31.984</v>
      </c>
      <c r="CE691" s="5" t="n">
        <v>39.589</v>
      </c>
      <c r="CF691" s="5" t="n">
        <v>161.523</v>
      </c>
      <c r="CG691" s="5" t="n">
        <v>0</v>
      </c>
      <c r="CH691" s="5" t="n">
        <v>1</v>
      </c>
      <c r="CI691" s="5" t="n">
        <v>0</v>
      </c>
      <c r="CJ691" s="5" t="n">
        <v>0</v>
      </c>
      <c r="CK691" s="5" t="n">
        <v>0</v>
      </c>
      <c r="CL691" s="5" t="n">
        <v>0</v>
      </c>
      <c r="CM691" s="5" t="n">
        <v>0</v>
      </c>
      <c r="CN691" s="5" t="n">
        <v>0</v>
      </c>
      <c r="CO691" s="5" t="n">
        <v>0</v>
      </c>
      <c r="CP691" s="5" t="n">
        <v>0</v>
      </c>
      <c r="CQ691" s="5" t="n">
        <v>1.294</v>
      </c>
      <c r="CR691" s="5" t="n">
        <v>0</v>
      </c>
      <c r="CS691" s="5" t="n">
        <v>5.158</v>
      </c>
      <c r="CT691" s="5" t="n">
        <v>10.485</v>
      </c>
      <c r="CU691" s="5" t="n">
        <v>31.326</v>
      </c>
    </row>
    <row r="692">
      <c r="A692" s="5" t="inlineStr">
        <is>
          <t>SLE2023</t>
        </is>
      </c>
      <c r="B692" s="5" t="inlineStr">
        <is>
          <t>SLE</t>
        </is>
      </c>
      <c r="C692" s="5" t="inlineStr">
        <is>
          <t>SLE</t>
        </is>
      </c>
      <c r="D692" s="5" t="inlineStr">
        <is>
          <t>Sierra Leone</t>
        </is>
      </c>
      <c r="E692" s="5" t="n">
        <v>2023</v>
      </c>
      <c r="F692" s="5" t="n">
        <v>0.15</v>
      </c>
      <c r="G692" s="5" t="n">
        <v>6.147</v>
      </c>
      <c r="H692" s="5" t="n">
        <v>1.286</v>
      </c>
      <c r="I692" s="5" t="n">
        <v>0</v>
      </c>
      <c r="J692" s="5" t="n">
        <v>6.147</v>
      </c>
      <c r="K692" s="5" t="n">
        <v>0</v>
      </c>
      <c r="L692" s="5" t="n">
        <v>1</v>
      </c>
      <c r="M692" s="5" t="n">
        <v>7.886</v>
      </c>
      <c r="N692" s="5" t="n">
        <v>3.857</v>
      </c>
      <c r="O692" s="5" t="n">
        <v>0</v>
      </c>
      <c r="P692" s="5" t="n">
        <v>7.886</v>
      </c>
      <c r="Q692" s="5" t="n">
        <v>0</v>
      </c>
      <c r="R692" s="5" t="n">
        <v>1</v>
      </c>
      <c r="S692" s="5" t="n">
        <v>12.575</v>
      </c>
      <c r="T692" s="5" t="n">
        <v>7.714</v>
      </c>
      <c r="U692" s="5" t="n">
        <v>0.209</v>
      </c>
      <c r="V692" s="5" t="n">
        <v>14.461</v>
      </c>
      <c r="W692" s="5" t="n">
        <v>0.15</v>
      </c>
      <c r="X692" s="5" t="n">
        <v>1</v>
      </c>
      <c r="Y692" s="5" t="n">
        <v>12.908</v>
      </c>
      <c r="Z692" s="5" t="n">
        <v>1.745</v>
      </c>
      <c r="AA692" s="5" t="n">
        <v>0</v>
      </c>
      <c r="AB692" s="5" t="n">
        <v>12.908</v>
      </c>
      <c r="AC692" s="5" t="n">
        <v>0</v>
      </c>
      <c r="AD692" s="5" t="n">
        <v>1</v>
      </c>
      <c r="AE692" s="5" t="n">
        <v>14.194</v>
      </c>
      <c r="AF692" s="5" t="n">
        <v>3.319</v>
      </c>
      <c r="AG692" s="5" t="n">
        <v>0</v>
      </c>
      <c r="AH692" s="5" t="n">
        <v>14.194</v>
      </c>
      <c r="AI692" s="5" t="n">
        <v>0</v>
      </c>
      <c r="AJ692" s="5" t="n">
        <v>1</v>
      </c>
      <c r="AK692" s="5" t="n">
        <v>21.908</v>
      </c>
      <c r="AL692" s="5" t="n">
        <v>11.668</v>
      </c>
      <c r="AM692" s="5" t="n">
        <v>0.364</v>
      </c>
      <c r="AN692" s="5" t="n">
        <v>25.194</v>
      </c>
      <c r="AO692" s="5" t="n">
        <v>0.15</v>
      </c>
      <c r="AP692" s="5" t="n">
        <v>1</v>
      </c>
      <c r="AQ692" s="5" t="n">
        <v>0.706</v>
      </c>
      <c r="AR692" s="5" t="n">
        <v>0.119</v>
      </c>
      <c r="AS692" s="5" t="n">
        <v>0.265</v>
      </c>
      <c r="AT692" s="5" t="n">
        <v>0.972</v>
      </c>
      <c r="AU692" s="5" t="n">
        <v>0</v>
      </c>
      <c r="AV692" s="5" t="n">
        <v>1</v>
      </c>
      <c r="AW692" s="5" t="n">
        <v>0.925</v>
      </c>
      <c r="AX692" s="5" t="n">
        <v>0.158</v>
      </c>
      <c r="AY692" s="5" t="n">
        <v>0.227</v>
      </c>
      <c r="AZ692" s="5" t="n">
        <v>1.151</v>
      </c>
      <c r="BA692" s="5" t="n">
        <v>0</v>
      </c>
      <c r="BB692" s="5" t="n">
        <v>1</v>
      </c>
      <c r="BC692" s="5" t="n">
        <v>0.535</v>
      </c>
      <c r="BD692" s="5" t="n">
        <v>0.129</v>
      </c>
      <c r="BE692" s="5" t="n">
        <v>0.008999999999999999</v>
      </c>
      <c r="BF692" s="5" t="n">
        <v>0.615</v>
      </c>
      <c r="BG692" s="5" t="n">
        <v>0.15</v>
      </c>
      <c r="BH692" s="5" t="n">
        <v>1</v>
      </c>
      <c r="BI692" s="5" t="n">
        <v>0.838</v>
      </c>
      <c r="BJ692" s="5" t="n">
        <v>0.182</v>
      </c>
      <c r="BK692" s="5" t="n">
        <v>0.146</v>
      </c>
      <c r="BL692" s="5" t="n">
        <v>0.983</v>
      </c>
      <c r="BM692" s="5" t="n">
        <v>0</v>
      </c>
      <c r="BN692" s="5" t="n">
        <v>1</v>
      </c>
      <c r="BO692" s="5" t="n">
        <v>0</v>
      </c>
      <c r="BP692" s="5" t="n">
        <v>0</v>
      </c>
      <c r="BQ692" s="5" t="n">
        <v>0.306</v>
      </c>
      <c r="BR692" s="5" t="n">
        <v>0</v>
      </c>
      <c r="BS692" s="5" t="n">
        <v>1</v>
      </c>
      <c r="BT692" s="5" t="n">
        <v>0</v>
      </c>
      <c r="BU692" s="5" t="n">
        <v>0</v>
      </c>
      <c r="BV692" s="5" t="n">
        <v>0.144</v>
      </c>
      <c r="BW692" s="5" t="n">
        <v>0.15</v>
      </c>
      <c r="BX692" s="5" t="n">
        <v>1</v>
      </c>
      <c r="BY692" s="5" t="n">
        <v>13.254</v>
      </c>
      <c r="BZ692" s="5" t="n">
        <v>0</v>
      </c>
      <c r="CA692" s="5" t="n">
        <v>13.254</v>
      </c>
      <c r="CB692" s="5" t="n">
        <v>0</v>
      </c>
      <c r="CC692" s="5" t="n">
        <v>119.788</v>
      </c>
      <c r="CD692" s="5" t="n">
        <v>44.49</v>
      </c>
      <c r="CE692" s="5" t="n">
        <v>39.215</v>
      </c>
      <c r="CF692" s="5" t="n">
        <v>159.003</v>
      </c>
      <c r="CG692" s="5" t="n">
        <v>0</v>
      </c>
      <c r="CH692" s="5" t="n">
        <v>1</v>
      </c>
      <c r="CI692" s="5" t="n">
        <v>0</v>
      </c>
      <c r="CJ692" s="5" t="n">
        <v>0</v>
      </c>
      <c r="CK692" s="5" t="n">
        <v>0</v>
      </c>
      <c r="CL692" s="5" t="n">
        <v>0</v>
      </c>
      <c r="CM692" s="5" t="n">
        <v>0</v>
      </c>
      <c r="CN692" s="5" t="n">
        <v>0</v>
      </c>
      <c r="CO692" s="5" t="n">
        <v>0</v>
      </c>
      <c r="CP692" s="5" t="n">
        <v>0</v>
      </c>
      <c r="CQ692" s="5" t="n">
        <v>1.348</v>
      </c>
      <c r="CR692" s="5" t="n">
        <v>0</v>
      </c>
      <c r="CS692" s="5" t="n">
        <v>5.37</v>
      </c>
      <c r="CT692" s="5" t="n">
        <v>4.861</v>
      </c>
      <c r="CU692" s="5" t="n">
        <v>11.622</v>
      </c>
    </row>
    <row r="693">
      <c r="A693" s="5" t="inlineStr">
        <is>
          <t>SLE2024</t>
        </is>
      </c>
      <c r="B693" s="5" t="inlineStr">
        <is>
          <t>SLE</t>
        </is>
      </c>
      <c r="C693" s="5" t="inlineStr">
        <is>
          <t>SLE</t>
        </is>
      </c>
      <c r="D693" s="5" t="inlineStr">
        <is>
          <t>Sierra Leone</t>
        </is>
      </c>
      <c r="E693" s="5" t="n">
        <v>2024</v>
      </c>
      <c r="F693" s="5" t="n">
        <v>0.15</v>
      </c>
      <c r="G693" s="5" t="n">
        <v>5.575</v>
      </c>
      <c r="H693" s="5" t="n">
        <v>1.324</v>
      </c>
      <c r="I693" s="5" t="n">
        <v>0</v>
      </c>
      <c r="J693" s="5" t="n">
        <v>5.575</v>
      </c>
      <c r="K693" s="5" t="n">
        <v>0</v>
      </c>
      <c r="L693" s="5" t="n">
        <v>1</v>
      </c>
      <c r="M693" s="5" t="n">
        <v>7.124</v>
      </c>
      <c r="N693" s="5" t="n">
        <v>3.971</v>
      </c>
      <c r="O693" s="5" t="n">
        <v>0</v>
      </c>
      <c r="P693" s="5" t="n">
        <v>7.124</v>
      </c>
      <c r="Q693" s="5" t="n">
        <v>0</v>
      </c>
      <c r="R693" s="5" t="n">
        <v>1</v>
      </c>
      <c r="S693" s="5" t="n">
        <v>12.193</v>
      </c>
      <c r="T693" s="5" t="n">
        <v>7.942</v>
      </c>
      <c r="U693" s="5" t="n">
        <v>0.249</v>
      </c>
      <c r="V693" s="5" t="n">
        <v>14.022</v>
      </c>
      <c r="W693" s="5" t="n">
        <v>0.15</v>
      </c>
      <c r="X693" s="5" t="n">
        <v>1</v>
      </c>
      <c r="Y693" s="5" t="n">
        <v>11.492</v>
      </c>
      <c r="Z693" s="5" t="n">
        <v>1.553</v>
      </c>
      <c r="AA693" s="5" t="n">
        <v>0</v>
      </c>
      <c r="AB693" s="5" t="n">
        <v>11.492</v>
      </c>
      <c r="AC693" s="5" t="n">
        <v>0</v>
      </c>
      <c r="AD693" s="5" t="n">
        <v>1</v>
      </c>
      <c r="AE693" s="5" t="n">
        <v>12.815</v>
      </c>
      <c r="AF693" s="5" t="n">
        <v>2.997</v>
      </c>
      <c r="AG693" s="5" t="n">
        <v>0</v>
      </c>
      <c r="AH693" s="5" t="n">
        <v>12.815</v>
      </c>
      <c r="AI693" s="5" t="n">
        <v>0</v>
      </c>
      <c r="AJ693" s="5" t="n">
        <v>1</v>
      </c>
      <c r="AK693" s="5" t="n">
        <v>20.757</v>
      </c>
      <c r="AL693" s="5" t="n">
        <v>11.055</v>
      </c>
      <c r="AM693" s="5" t="n">
        <v>0.424</v>
      </c>
      <c r="AN693" s="5" t="n">
        <v>23.871</v>
      </c>
      <c r="AO693" s="5" t="n">
        <v>0.15</v>
      </c>
      <c r="AP693" s="5" t="n">
        <v>1</v>
      </c>
      <c r="AQ693" s="5" t="n">
        <v>0.888</v>
      </c>
      <c r="AR693" s="5" t="n">
        <v>0.161</v>
      </c>
      <c r="AS693" s="5" t="n">
        <v>0.323</v>
      </c>
      <c r="AT693" s="5" t="n">
        <v>1.211</v>
      </c>
      <c r="AU693" s="5" t="n">
        <v>0</v>
      </c>
      <c r="AV693" s="5" t="n">
        <v>1</v>
      </c>
      <c r="AW693" s="5" t="n">
        <v>0.982</v>
      </c>
      <c r="AX693" s="5" t="n">
        <v>0.18</v>
      </c>
      <c r="AY693" s="5" t="n">
        <v>0.234</v>
      </c>
      <c r="AZ693" s="5" t="n">
        <v>1.216</v>
      </c>
      <c r="BA693" s="5" t="n">
        <v>0</v>
      </c>
      <c r="BB693" s="5" t="n">
        <v>1</v>
      </c>
      <c r="BC693" s="5" t="n">
        <v>0.513</v>
      </c>
      <c r="BD693" s="5" t="n">
        <v>0.132</v>
      </c>
      <c r="BE693" s="5" t="n">
        <v>0.01</v>
      </c>
      <c r="BF693" s="5" t="n">
        <v>0.59</v>
      </c>
      <c r="BG693" s="5" t="n">
        <v>0.15</v>
      </c>
      <c r="BH693" s="5" t="n">
        <v>1</v>
      </c>
      <c r="BI693" s="5" t="n">
        <v>0.998</v>
      </c>
      <c r="BJ693" s="5" t="n">
        <v>0.219</v>
      </c>
      <c r="BK693" s="5" t="n">
        <v>0.171</v>
      </c>
      <c r="BL693" s="5" t="n">
        <v>1.169</v>
      </c>
      <c r="BM693" s="5" t="n">
        <v>0</v>
      </c>
      <c r="BN693" s="5" t="n">
        <v>1</v>
      </c>
      <c r="BO693" s="5" t="n">
        <v>0</v>
      </c>
      <c r="BP693" s="5" t="n">
        <v>0</v>
      </c>
      <c r="BQ693" s="5" t="n">
        <v>0.43</v>
      </c>
      <c r="BR693" s="5" t="n">
        <v>0</v>
      </c>
      <c r="BS693" s="5" t="n">
        <v>1</v>
      </c>
      <c r="BT693" s="5" t="n">
        <v>0</v>
      </c>
      <c r="BU693" s="5" t="n">
        <v>0</v>
      </c>
      <c r="BV693" s="5" t="n">
        <v>0.213</v>
      </c>
      <c r="BW693" s="5" t="n">
        <v>0.15</v>
      </c>
      <c r="BX693" s="5" t="n">
        <v>1</v>
      </c>
      <c r="BY693" s="5" t="n">
        <v>13.646</v>
      </c>
      <c r="BZ693" s="5" t="n">
        <v>0</v>
      </c>
      <c r="CA693" s="5" t="n">
        <v>13.646</v>
      </c>
      <c r="CB693" s="5" t="n">
        <v>0</v>
      </c>
      <c r="CC693" s="5" t="n">
        <v>138.872</v>
      </c>
      <c r="CD693" s="5" t="n">
        <v>64.23399999999999</v>
      </c>
      <c r="CE693" s="5" t="n">
        <v>45.605</v>
      </c>
      <c r="CF693" s="5" t="n">
        <v>184.477</v>
      </c>
      <c r="CG693" s="5" t="n">
        <v>0</v>
      </c>
      <c r="CH693" s="5" t="n">
        <v>1</v>
      </c>
      <c r="CI693" s="5" t="n">
        <v>0</v>
      </c>
      <c r="CJ693" s="5" t="n">
        <v>0</v>
      </c>
      <c r="CK693" s="5" t="n">
        <v>0</v>
      </c>
      <c r="CL693" s="5" t="n">
        <v>0</v>
      </c>
      <c r="CM693" s="5" t="n">
        <v>0</v>
      </c>
      <c r="CN693" s="5" t="n">
        <v>0</v>
      </c>
      <c r="CO693" s="5" t="n">
        <v>0</v>
      </c>
      <c r="CP693" s="5" t="n">
        <v>0</v>
      </c>
      <c r="CQ693" s="5" t="n">
        <v>1.387</v>
      </c>
      <c r="CR693" s="5" t="n">
        <v>0</v>
      </c>
      <c r="CS693" s="5" t="n">
        <v>5.529</v>
      </c>
      <c r="CT693" s="5" t="n">
        <v>4.251</v>
      </c>
      <c r="CU693" s="5" t="n">
        <v>10.168</v>
      </c>
    </row>
    <row r="694">
      <c r="A694" s="5" t="inlineStr">
        <is>
          <t>SGP2021</t>
        </is>
      </c>
      <c r="B694" s="5" t="inlineStr">
        <is>
          <t>SGP</t>
        </is>
      </c>
      <c r="C694" s="5" t="inlineStr">
        <is>
          <t>SGP</t>
        </is>
      </c>
      <c r="D694" s="5" t="inlineStr">
        <is>
          <t>Singapore</t>
        </is>
      </c>
      <c r="E694" s="5" t="n">
        <v>2021</v>
      </c>
      <c r="F694" s="5" t="n">
        <v>0.07000000000000001</v>
      </c>
      <c r="G694" s="5" t="n">
        <v>4.747</v>
      </c>
      <c r="H694" s="5" t="n">
        <v>1.143</v>
      </c>
      <c r="I694" s="5" t="n">
        <v>0.279</v>
      </c>
      <c r="J694" s="5" t="n">
        <v>5.027</v>
      </c>
      <c r="K694" s="5" t="n">
        <v>0</v>
      </c>
      <c r="L694" s="5" t="n">
        <v>1</v>
      </c>
      <c r="M694" s="5" t="n">
        <v>7.964</v>
      </c>
      <c r="N694" s="5" t="n">
        <v>3.43</v>
      </c>
      <c r="O694" s="5" t="n">
        <v>0.28</v>
      </c>
      <c r="P694" s="5" t="n">
        <v>8.244999999999999</v>
      </c>
      <c r="Q694" s="5" t="n">
        <v>0</v>
      </c>
      <c r="R694" s="5" t="n">
        <v>1</v>
      </c>
      <c r="S694" s="5" t="n">
        <v>10.464</v>
      </c>
      <c r="T694" s="5" t="n">
        <v>6.86</v>
      </c>
      <c r="U694" s="5" t="n">
        <v>0</v>
      </c>
      <c r="V694" s="5" t="n">
        <v>11.196</v>
      </c>
      <c r="W694" s="5" t="n">
        <v>0.07000000000000001</v>
      </c>
      <c r="X694" s="5" t="n">
        <v>1</v>
      </c>
      <c r="Y694" s="5" t="n">
        <v>41.665</v>
      </c>
      <c r="Z694" s="5" t="n">
        <v>4.602</v>
      </c>
      <c r="AA694" s="5" t="n">
        <v>-4.965</v>
      </c>
      <c r="AB694" s="5" t="n">
        <v>36.7</v>
      </c>
      <c r="AC694" s="5" t="n">
        <v>0</v>
      </c>
      <c r="AD694" s="5" t="n">
        <v>1</v>
      </c>
      <c r="AE694" s="5" t="n">
        <v>41.622</v>
      </c>
      <c r="AF694" s="5" t="n">
        <v>8.19</v>
      </c>
      <c r="AG694" s="5" t="n">
        <v>-4.922</v>
      </c>
      <c r="AH694" s="5" t="n">
        <v>36.7</v>
      </c>
      <c r="AI694" s="5" t="n">
        <v>0</v>
      </c>
      <c r="AJ694" s="5" t="n">
        <v>1</v>
      </c>
      <c r="AK694" s="5" t="n">
        <v>45.721</v>
      </c>
      <c r="AL694" s="5" t="n">
        <v>22.44</v>
      </c>
      <c r="AM694" s="5" t="n">
        <v>-8.090999999999999</v>
      </c>
      <c r="AN694" s="5" t="n">
        <v>40.264</v>
      </c>
      <c r="AO694" s="5" t="n">
        <v>0</v>
      </c>
      <c r="AP694" s="5" t="n">
        <v>1</v>
      </c>
      <c r="AQ694" s="5" t="n">
        <v>0.624</v>
      </c>
      <c r="AR694" s="5" t="n">
        <v>0.114</v>
      </c>
      <c r="AS694" s="5" t="n">
        <v>0.997</v>
      </c>
      <c r="AT694" s="5" t="n">
        <v>1.751</v>
      </c>
      <c r="AU694" s="5" t="n">
        <v>0.08</v>
      </c>
      <c r="AV694" s="5" t="n">
        <v>1</v>
      </c>
      <c r="AW694" s="5" t="n">
        <v>0.593</v>
      </c>
      <c r="AX694" s="5" t="n">
        <v>0.114</v>
      </c>
      <c r="AY694" s="5" t="n">
        <v>0.742</v>
      </c>
      <c r="AZ694" s="5" t="n">
        <v>1.428</v>
      </c>
      <c r="BA694" s="5" t="n">
        <v>0.07000000000000001</v>
      </c>
      <c r="BB694" s="5" t="n">
        <v>1</v>
      </c>
      <c r="BC694" s="5" t="n">
        <v>0.442</v>
      </c>
      <c r="BD694" s="5" t="n">
        <v>0.114</v>
      </c>
      <c r="BE694" s="5" t="n">
        <v>0.856</v>
      </c>
      <c r="BF694" s="5" t="n">
        <v>1.389</v>
      </c>
      <c r="BG694" s="5" t="n">
        <v>0.07000000000000001</v>
      </c>
      <c r="BH694" s="5" t="n">
        <v>1</v>
      </c>
      <c r="BI694" s="5" t="n">
        <v>0.583</v>
      </c>
      <c r="BJ694" s="5" t="n">
        <v>0.114</v>
      </c>
      <c r="BK694" s="5" t="n">
        <v>0</v>
      </c>
      <c r="BL694" s="5" t="n">
        <v>0.623</v>
      </c>
      <c r="BM694" s="5" t="n">
        <v>0.07000000000000001</v>
      </c>
      <c r="BN694" s="5" t="n">
        <v>1</v>
      </c>
      <c r="BO694" s="5" t="n">
        <v>0</v>
      </c>
      <c r="BP694" s="5" t="n">
        <v>0</v>
      </c>
      <c r="BQ694" s="5" t="n">
        <v>0.127</v>
      </c>
      <c r="BR694" s="5" t="n">
        <v>0</v>
      </c>
      <c r="BS694" s="5" t="n">
        <v>1</v>
      </c>
      <c r="BT694" s="5" t="n">
        <v>0</v>
      </c>
      <c r="BU694" s="5" t="n">
        <v>0</v>
      </c>
      <c r="BV694" s="5" t="n">
        <v>0.169</v>
      </c>
      <c r="BW694" s="5" t="n">
        <v>0.07000000000000001</v>
      </c>
      <c r="BX694" s="5" t="n">
        <v>1</v>
      </c>
      <c r="BY694" s="5" t="n">
        <v>11.787</v>
      </c>
      <c r="BZ694" s="5" t="n">
        <v>0</v>
      </c>
      <c r="CA694" s="5" t="n">
        <v>11.787</v>
      </c>
      <c r="CB694" s="5" t="n">
        <v>0</v>
      </c>
      <c r="CC694" s="5" t="n">
        <v>73.753</v>
      </c>
      <c r="CD694" s="5" t="n">
        <v>7.95</v>
      </c>
      <c r="CE694" s="5" t="n">
        <v>1.538</v>
      </c>
      <c r="CF694" s="5" t="n">
        <v>80.56100000000001</v>
      </c>
      <c r="CG694" s="5" t="n">
        <v>0.07000000000000001</v>
      </c>
      <c r="CH694" s="5" t="n">
        <v>1</v>
      </c>
      <c r="CI694" s="5" t="n">
        <v>1</v>
      </c>
      <c r="CJ694" s="5" t="n">
        <v>1</v>
      </c>
      <c r="CK694" s="5" t="n">
        <v>0</v>
      </c>
      <c r="CL694" s="5" t="n">
        <v>0</v>
      </c>
      <c r="CM694" s="5" t="n">
        <v>0</v>
      </c>
      <c r="CN694" s="5" t="n">
        <v>0</v>
      </c>
      <c r="CO694" s="5" t="n">
        <v>0</v>
      </c>
      <c r="CP694" s="5" t="n">
        <v>0</v>
      </c>
      <c r="CQ694" s="5" t="n">
        <v>1.198</v>
      </c>
      <c r="CR694" s="5" t="n">
        <v>0</v>
      </c>
      <c r="CS694" s="5" t="n">
        <v>4.776</v>
      </c>
      <c r="CT694" s="5" t="n">
        <v>3.604</v>
      </c>
      <c r="CU694" s="5" t="n">
        <v>9.407999999999999</v>
      </c>
    </row>
    <row r="695">
      <c r="A695" s="5" t="inlineStr">
        <is>
          <t>SGP2022</t>
        </is>
      </c>
      <c r="B695" s="5" t="inlineStr">
        <is>
          <t>SGP</t>
        </is>
      </c>
      <c r="C695" s="5" t="inlineStr">
        <is>
          <t>SGP</t>
        </is>
      </c>
      <c r="D695" s="5" t="inlineStr">
        <is>
          <t>Singapore</t>
        </is>
      </c>
      <c r="E695" s="5" t="n">
        <v>2022</v>
      </c>
      <c r="F695" s="5" t="n">
        <v>0.07000000000000001</v>
      </c>
      <c r="G695" s="5" t="n">
        <v>8.788</v>
      </c>
      <c r="H695" s="5" t="n">
        <v>1.235</v>
      </c>
      <c r="I695" s="5" t="n">
        <v>0.314</v>
      </c>
      <c r="J695" s="5" t="n">
        <v>9.102</v>
      </c>
      <c r="K695" s="5" t="n">
        <v>0</v>
      </c>
      <c r="L695" s="5" t="n">
        <v>1</v>
      </c>
      <c r="M695" s="5" t="n">
        <v>9.782999999999999</v>
      </c>
      <c r="N695" s="5" t="n">
        <v>3.704</v>
      </c>
      <c r="O695" s="5" t="n">
        <v>0.315</v>
      </c>
      <c r="P695" s="5" t="n">
        <v>10.098</v>
      </c>
      <c r="Q695" s="5" t="n">
        <v>0</v>
      </c>
      <c r="R695" s="5" t="n">
        <v>1</v>
      </c>
      <c r="S695" s="5" t="n">
        <v>14.962</v>
      </c>
      <c r="T695" s="5" t="n">
        <v>7.408</v>
      </c>
      <c r="U695" s="5" t="n">
        <v>0.078</v>
      </c>
      <c r="V695" s="5" t="n">
        <v>16.009</v>
      </c>
      <c r="W695" s="5" t="n">
        <v>0.07000000000000001</v>
      </c>
      <c r="X695" s="5" t="n">
        <v>1</v>
      </c>
      <c r="Y695" s="5" t="n">
        <v>48.446</v>
      </c>
      <c r="Z695" s="5" t="n">
        <v>5.082</v>
      </c>
      <c r="AA695" s="5" t="n">
        <v>-4.674</v>
      </c>
      <c r="AB695" s="5" t="n">
        <v>43.772</v>
      </c>
      <c r="AC695" s="5" t="n">
        <v>0</v>
      </c>
      <c r="AD695" s="5" t="n">
        <v>1</v>
      </c>
      <c r="AE695" s="5" t="n">
        <v>48.494</v>
      </c>
      <c r="AF695" s="5" t="n">
        <v>8.99</v>
      </c>
      <c r="AG695" s="5" t="n">
        <v>-4.721</v>
      </c>
      <c r="AH695" s="5" t="n">
        <v>43.772</v>
      </c>
      <c r="AI695" s="5" t="n">
        <v>0</v>
      </c>
      <c r="AJ695" s="5" t="n">
        <v>1</v>
      </c>
      <c r="AK695" s="5" t="n">
        <v>53.141</v>
      </c>
      <c r="AL695" s="5" t="n">
        <v>25.377</v>
      </c>
      <c r="AM695" s="5" t="n">
        <v>-8.965999999999999</v>
      </c>
      <c r="AN695" s="5" t="n">
        <v>47.267</v>
      </c>
      <c r="AO695" s="5" t="n">
        <v>0</v>
      </c>
      <c r="AP695" s="5" t="n">
        <v>1</v>
      </c>
      <c r="AQ695" s="5" t="n">
        <v>0.855</v>
      </c>
      <c r="AR695" s="5" t="n">
        <v>0.123</v>
      </c>
      <c r="AS695" s="5" t="n">
        <v>1.026</v>
      </c>
      <c r="AT695" s="5" t="n">
        <v>2.031</v>
      </c>
      <c r="AU695" s="5" t="n">
        <v>0.08</v>
      </c>
      <c r="AV695" s="5" t="n">
        <v>1</v>
      </c>
      <c r="AW695" s="5" t="n">
        <v>0.947</v>
      </c>
      <c r="AX695" s="5" t="n">
        <v>0.123</v>
      </c>
      <c r="AY695" s="5" t="n">
        <v>0.847</v>
      </c>
      <c r="AZ695" s="5" t="n">
        <v>1.919</v>
      </c>
      <c r="BA695" s="5" t="n">
        <v>0.07000000000000001</v>
      </c>
      <c r="BB695" s="5" t="n">
        <v>1</v>
      </c>
      <c r="BC695" s="5" t="n">
        <v>0.594</v>
      </c>
      <c r="BD695" s="5" t="n">
        <v>0.123</v>
      </c>
      <c r="BE695" s="5" t="n">
        <v>0.924</v>
      </c>
      <c r="BF695" s="5" t="n">
        <v>1.616</v>
      </c>
      <c r="BG695" s="5" t="n">
        <v>0.07000000000000001</v>
      </c>
      <c r="BH695" s="5" t="n">
        <v>1</v>
      </c>
      <c r="BI695" s="5" t="n">
        <v>0.766</v>
      </c>
      <c r="BJ695" s="5" t="n">
        <v>0.123</v>
      </c>
      <c r="BK695" s="5" t="n">
        <v>0.004</v>
      </c>
      <c r="BL695" s="5" t="n">
        <v>0.819</v>
      </c>
      <c r="BM695" s="5" t="n">
        <v>0.07000000000000001</v>
      </c>
      <c r="BN695" s="5" t="n">
        <v>1</v>
      </c>
      <c r="BO695" s="5" t="n">
        <v>0</v>
      </c>
      <c r="BP695" s="5" t="n">
        <v>0</v>
      </c>
      <c r="BQ695" s="5" t="n">
        <v>0.161</v>
      </c>
      <c r="BR695" s="5" t="n">
        <v>0</v>
      </c>
      <c r="BS695" s="5" t="n">
        <v>1</v>
      </c>
      <c r="BT695" s="5" t="n">
        <v>0</v>
      </c>
      <c r="BU695" s="5" t="n">
        <v>0</v>
      </c>
      <c r="BV695" s="5" t="n">
        <v>0.205</v>
      </c>
      <c r="BW695" s="5" t="n">
        <v>0.07000000000000001</v>
      </c>
      <c r="BX695" s="5" t="n">
        <v>1</v>
      </c>
      <c r="BY695" s="5" t="n">
        <v>12.729</v>
      </c>
      <c r="BZ695" s="5" t="n">
        <v>0</v>
      </c>
      <c r="CA695" s="5" t="n">
        <v>12.729</v>
      </c>
      <c r="CB695" s="5" t="n">
        <v>0</v>
      </c>
      <c r="CC695" s="5" t="n">
        <v>89.188</v>
      </c>
      <c r="CD695" s="5" t="n">
        <v>7.95</v>
      </c>
      <c r="CE695" s="5" t="n">
        <v>2.027</v>
      </c>
      <c r="CF695" s="5" t="n">
        <v>97.09699999999999</v>
      </c>
      <c r="CG695" s="5" t="n">
        <v>0.07000000000000001</v>
      </c>
      <c r="CH695" s="5" t="n">
        <v>1</v>
      </c>
      <c r="CI695" s="5" t="n">
        <v>1</v>
      </c>
      <c r="CJ695" s="5" t="n">
        <v>1</v>
      </c>
      <c r="CK695" s="5" t="n">
        <v>0</v>
      </c>
      <c r="CL695" s="5" t="n">
        <v>0</v>
      </c>
      <c r="CM695" s="5" t="n">
        <v>0</v>
      </c>
      <c r="CN695" s="5" t="n">
        <v>0</v>
      </c>
      <c r="CO695" s="5" t="n">
        <v>0</v>
      </c>
      <c r="CP695" s="5" t="n">
        <v>0</v>
      </c>
      <c r="CQ695" s="5" t="n">
        <v>1.294</v>
      </c>
      <c r="CR695" s="5" t="n">
        <v>0</v>
      </c>
      <c r="CS695" s="5" t="n">
        <v>5.158</v>
      </c>
      <c r="CT695" s="5" t="n">
        <v>7.554</v>
      </c>
      <c r="CU695" s="5" t="n">
        <v>16.097</v>
      </c>
    </row>
    <row r="696">
      <c r="A696" s="5" t="inlineStr">
        <is>
          <t>SGP2023</t>
        </is>
      </c>
      <c r="B696" s="5" t="inlineStr">
        <is>
          <t>SGP</t>
        </is>
      </c>
      <c r="C696" s="5" t="inlineStr">
        <is>
          <t>SGP</t>
        </is>
      </c>
      <c r="D696" s="5" t="inlineStr">
        <is>
          <t>Singapore</t>
        </is>
      </c>
      <c r="E696" s="5" t="n">
        <v>2023</v>
      </c>
      <c r="F696" s="5" t="n">
        <v>0.07000000000000001</v>
      </c>
      <c r="G696" s="5" t="n">
        <v>5.77</v>
      </c>
      <c r="H696" s="5" t="n">
        <v>1.286</v>
      </c>
      <c r="I696" s="5" t="n">
        <v>0.334</v>
      </c>
      <c r="J696" s="5" t="n">
        <v>6.104</v>
      </c>
      <c r="K696" s="5" t="n">
        <v>0</v>
      </c>
      <c r="L696" s="5" t="n">
        <v>1</v>
      </c>
      <c r="M696" s="5" t="n">
        <v>7.886</v>
      </c>
      <c r="N696" s="5" t="n">
        <v>3.857</v>
      </c>
      <c r="O696" s="5" t="n">
        <v>0.335</v>
      </c>
      <c r="P696" s="5" t="n">
        <v>8.221</v>
      </c>
      <c r="Q696" s="5" t="n">
        <v>0</v>
      </c>
      <c r="R696" s="5" t="n">
        <v>1</v>
      </c>
      <c r="S696" s="5" t="n">
        <v>12.198</v>
      </c>
      <c r="T696" s="5" t="n">
        <v>7.714</v>
      </c>
      <c r="U696" s="5" t="n">
        <v>0.095</v>
      </c>
      <c r="V696" s="5" t="n">
        <v>13.052</v>
      </c>
      <c r="W696" s="5" t="n">
        <v>0.07000000000000001</v>
      </c>
      <c r="X696" s="5" t="n">
        <v>1</v>
      </c>
      <c r="Y696" s="5" t="n">
        <v>44.928</v>
      </c>
      <c r="Z696" s="5" t="n">
        <v>5.033</v>
      </c>
      <c r="AA696" s="5" t="n">
        <v>0.376</v>
      </c>
      <c r="AB696" s="5" t="n">
        <v>45.304</v>
      </c>
      <c r="AC696" s="5" t="n">
        <v>0</v>
      </c>
      <c r="AD696" s="5" t="n">
        <v>1</v>
      </c>
      <c r="AE696" s="5" t="n">
        <v>45.027</v>
      </c>
      <c r="AF696" s="5" t="n">
        <v>8.968</v>
      </c>
      <c r="AG696" s="5" t="n">
        <v>0.277</v>
      </c>
      <c r="AH696" s="5" t="n">
        <v>45.304</v>
      </c>
      <c r="AI696" s="5" t="n">
        <v>0</v>
      </c>
      <c r="AJ696" s="5" t="n">
        <v>1</v>
      </c>
      <c r="AK696" s="5" t="n">
        <v>49.981</v>
      </c>
      <c r="AL696" s="5" t="n">
        <v>24.759</v>
      </c>
      <c r="AM696" s="5" t="n">
        <v>-4.133</v>
      </c>
      <c r="AN696" s="5" t="n">
        <v>49.057</v>
      </c>
      <c r="AO696" s="5" t="n">
        <v>0</v>
      </c>
      <c r="AP696" s="5" t="n">
        <v>1</v>
      </c>
      <c r="AQ696" s="5" t="n">
        <v>0.752</v>
      </c>
      <c r="AR696" s="5" t="n">
        <v>0.129</v>
      </c>
      <c r="AS696" s="5" t="n">
        <v>1.101</v>
      </c>
      <c r="AT696" s="5" t="n">
        <v>2.001</v>
      </c>
      <c r="AU696" s="5" t="n">
        <v>0.08</v>
      </c>
      <c r="AV696" s="5" t="n">
        <v>1</v>
      </c>
      <c r="AW696" s="5" t="n">
        <v>0.783</v>
      </c>
      <c r="AX696" s="5" t="n">
        <v>0.129</v>
      </c>
      <c r="AY696" s="5" t="n">
        <v>0.925</v>
      </c>
      <c r="AZ696" s="5" t="n">
        <v>1.827</v>
      </c>
      <c r="BA696" s="5" t="n">
        <v>0.07000000000000001</v>
      </c>
      <c r="BB696" s="5" t="n">
        <v>1</v>
      </c>
      <c r="BC696" s="5" t="n">
        <v>0.529</v>
      </c>
      <c r="BD696" s="5" t="n">
        <v>0.129</v>
      </c>
      <c r="BE696" s="5" t="n">
        <v>0.972</v>
      </c>
      <c r="BF696" s="5" t="n">
        <v>1.594</v>
      </c>
      <c r="BG696" s="5" t="n">
        <v>0.07000000000000001</v>
      </c>
      <c r="BH696" s="5" t="n">
        <v>1</v>
      </c>
      <c r="BI696" s="5" t="n">
        <v>0.669</v>
      </c>
      <c r="BJ696" s="5" t="n">
        <v>0.129</v>
      </c>
      <c r="BK696" s="5" t="n">
        <v>0.005</v>
      </c>
      <c r="BL696" s="5" t="n">
        <v>0.715</v>
      </c>
      <c r="BM696" s="5" t="n">
        <v>0.07000000000000001</v>
      </c>
      <c r="BN696" s="5" t="n">
        <v>1</v>
      </c>
      <c r="BO696" s="5" t="n">
        <v>0</v>
      </c>
      <c r="BP696" s="5" t="n">
        <v>0</v>
      </c>
      <c r="BQ696" s="5" t="n">
        <v>0.243</v>
      </c>
      <c r="BR696" s="5" t="n">
        <v>0</v>
      </c>
      <c r="BS696" s="5" t="n">
        <v>1</v>
      </c>
      <c r="BT696" s="5" t="n">
        <v>0</v>
      </c>
      <c r="BU696" s="5" t="n">
        <v>0</v>
      </c>
      <c r="BV696" s="5" t="n">
        <v>0.227</v>
      </c>
      <c r="BW696" s="5" t="n">
        <v>0.07000000000000001</v>
      </c>
      <c r="BX696" s="5" t="n">
        <v>1</v>
      </c>
      <c r="BY696" s="5" t="n">
        <v>13.254</v>
      </c>
      <c r="BZ696" s="5" t="n">
        <v>0</v>
      </c>
      <c r="CA696" s="5" t="n">
        <v>13.254</v>
      </c>
      <c r="CB696" s="5" t="n">
        <v>0</v>
      </c>
      <c r="CC696" s="5" t="n">
        <v>72.967</v>
      </c>
      <c r="CD696" s="5" t="n">
        <v>7.95</v>
      </c>
      <c r="CE696" s="5" t="n">
        <v>2.247</v>
      </c>
      <c r="CF696" s="5" t="n">
        <v>79.86</v>
      </c>
      <c r="CG696" s="5" t="n">
        <v>0.07000000000000001</v>
      </c>
      <c r="CH696" s="5" t="n">
        <v>1</v>
      </c>
      <c r="CI696" s="5" t="n">
        <v>1</v>
      </c>
      <c r="CJ696" s="5" t="n">
        <v>1</v>
      </c>
      <c r="CK696" s="5" t="n">
        <v>0</v>
      </c>
      <c r="CL696" s="5" t="n">
        <v>0</v>
      </c>
      <c r="CM696" s="5" t="n">
        <v>0</v>
      </c>
      <c r="CN696" s="5" t="n">
        <v>0</v>
      </c>
      <c r="CO696" s="5" t="n">
        <v>0</v>
      </c>
      <c r="CP696" s="5" t="n">
        <v>0</v>
      </c>
      <c r="CQ696" s="5" t="n">
        <v>1.348</v>
      </c>
      <c r="CR696" s="5" t="n">
        <v>0</v>
      </c>
      <c r="CS696" s="5" t="n">
        <v>5.37</v>
      </c>
      <c r="CT696" s="5" t="n">
        <v>4.484</v>
      </c>
      <c r="CU696" s="5" t="n">
        <v>12.529</v>
      </c>
    </row>
    <row r="697">
      <c r="A697" s="5" t="inlineStr">
        <is>
          <t>SGP2024</t>
        </is>
      </c>
      <c r="B697" s="5" t="inlineStr">
        <is>
          <t>SGP</t>
        </is>
      </c>
      <c r="C697" s="5" t="inlineStr">
        <is>
          <t>SGP</t>
        </is>
      </c>
      <c r="D697" s="5" t="inlineStr">
        <is>
          <t>Singapore</t>
        </is>
      </c>
      <c r="E697" s="5" t="n">
        <v>2024</v>
      </c>
      <c r="F697" s="5" t="n">
        <v>0.07000000000000001</v>
      </c>
      <c r="G697" s="5" t="n">
        <v>4.833</v>
      </c>
      <c r="H697" s="5" t="n">
        <v>1.324</v>
      </c>
      <c r="I697" s="5" t="n">
        <v>1.689</v>
      </c>
      <c r="J697" s="5" t="n">
        <v>6.522</v>
      </c>
      <c r="K697" s="5" t="n">
        <v>0</v>
      </c>
      <c r="L697" s="5" t="n">
        <v>1</v>
      </c>
      <c r="M697" s="5" t="n">
        <v>7.124</v>
      </c>
      <c r="N697" s="5" t="n">
        <v>3.971</v>
      </c>
      <c r="O697" s="5" t="n">
        <v>1.695</v>
      </c>
      <c r="P697" s="5" t="n">
        <v>8.818</v>
      </c>
      <c r="Q697" s="5" t="n">
        <v>0</v>
      </c>
      <c r="R697" s="5" t="n">
        <v>1</v>
      </c>
      <c r="S697" s="5" t="n">
        <v>11.451</v>
      </c>
      <c r="T697" s="5" t="n">
        <v>7.942</v>
      </c>
      <c r="U697" s="5" t="n">
        <v>0.109</v>
      </c>
      <c r="V697" s="5" t="n">
        <v>12.252</v>
      </c>
      <c r="W697" s="5" t="n">
        <v>0.07000000000000001</v>
      </c>
      <c r="X697" s="5" t="n">
        <v>1</v>
      </c>
      <c r="Y697" s="5" t="n">
        <v>48.488</v>
      </c>
      <c r="Z697" s="5" t="n">
        <v>6.122</v>
      </c>
      <c r="AA697" s="5" t="n">
        <v>0</v>
      </c>
      <c r="AB697" s="5" t="n">
        <v>48.488</v>
      </c>
      <c r="AC697" s="5" t="n">
        <v>0</v>
      </c>
      <c r="AD697" s="5" t="n">
        <v>1</v>
      </c>
      <c r="AE697" s="5" t="n">
        <v>48.488</v>
      </c>
      <c r="AF697" s="5" t="n">
        <v>10.622</v>
      </c>
      <c r="AG697" s="5" t="n">
        <v>0</v>
      </c>
      <c r="AH697" s="5" t="n">
        <v>48.488</v>
      </c>
      <c r="AI697" s="5" t="n">
        <v>0</v>
      </c>
      <c r="AJ697" s="5" t="n">
        <v>1</v>
      </c>
      <c r="AK697" s="5" t="n">
        <v>53.142</v>
      </c>
      <c r="AL697" s="5" t="n">
        <v>27.029</v>
      </c>
      <c r="AM697" s="5" t="n">
        <v>-4.15</v>
      </c>
      <c r="AN697" s="5" t="n">
        <v>52.422</v>
      </c>
      <c r="AO697" s="5" t="n">
        <v>0</v>
      </c>
      <c r="AP697" s="5" t="n">
        <v>1</v>
      </c>
      <c r="AQ697" s="5" t="n">
        <v>0.723</v>
      </c>
      <c r="AR697" s="5" t="n">
        <v>0.132</v>
      </c>
      <c r="AS697" s="5" t="n">
        <v>1.167</v>
      </c>
      <c r="AT697" s="5" t="n">
        <v>2.06</v>
      </c>
      <c r="AU697" s="5" t="n">
        <v>0.09</v>
      </c>
      <c r="AV697" s="5" t="n">
        <v>1</v>
      </c>
      <c r="AW697" s="5" t="n">
        <v>0.734</v>
      </c>
      <c r="AX697" s="5" t="n">
        <v>0.132</v>
      </c>
      <c r="AY697" s="5" t="n">
        <v>1.03</v>
      </c>
      <c r="AZ697" s="5" t="n">
        <v>1.887</v>
      </c>
      <c r="BA697" s="5" t="n">
        <v>0.07000000000000001</v>
      </c>
      <c r="BB697" s="5" t="n">
        <v>1</v>
      </c>
      <c r="BC697" s="5" t="n">
        <v>0.512</v>
      </c>
      <c r="BD697" s="5" t="n">
        <v>0.132</v>
      </c>
      <c r="BE697" s="5" t="n">
        <v>1.005</v>
      </c>
      <c r="BF697" s="5" t="n">
        <v>1.608</v>
      </c>
      <c r="BG697" s="5" t="n">
        <v>0.07000000000000001</v>
      </c>
      <c r="BH697" s="5" t="n">
        <v>1</v>
      </c>
      <c r="BI697" s="5" t="n">
        <v>0.66</v>
      </c>
      <c r="BJ697" s="5" t="n">
        <v>0.132</v>
      </c>
      <c r="BK697" s="5" t="n">
        <v>0.006</v>
      </c>
      <c r="BL697" s="5" t="n">
        <v>0.707</v>
      </c>
      <c r="BM697" s="5" t="n">
        <v>0.07000000000000001</v>
      </c>
      <c r="BN697" s="5" t="n">
        <v>1</v>
      </c>
      <c r="BO697" s="5" t="n">
        <v>0</v>
      </c>
      <c r="BP697" s="5" t="n">
        <v>0</v>
      </c>
      <c r="BQ697" s="5" t="n">
        <v>0.207</v>
      </c>
      <c r="BR697" s="5" t="n">
        <v>0</v>
      </c>
      <c r="BS697" s="5" t="n">
        <v>1</v>
      </c>
      <c r="BT697" s="5" t="n">
        <v>0</v>
      </c>
      <c r="BU697" s="5" t="n">
        <v>0</v>
      </c>
      <c r="BV697" s="5" t="n">
        <v>0.231</v>
      </c>
      <c r="BW697" s="5" t="n">
        <v>0.07000000000000001</v>
      </c>
      <c r="BX697" s="5" t="n">
        <v>1</v>
      </c>
      <c r="BY697" s="5" t="n">
        <v>13.646</v>
      </c>
      <c r="BZ697" s="5" t="n">
        <v>0</v>
      </c>
      <c r="CA697" s="5" t="n">
        <v>13.646</v>
      </c>
      <c r="CB697" s="5" t="n">
        <v>0</v>
      </c>
      <c r="CC697" s="5" t="n">
        <v>71.05</v>
      </c>
      <c r="CD697" s="5" t="n">
        <v>7.95</v>
      </c>
      <c r="CE697" s="5" t="n">
        <v>9.138</v>
      </c>
      <c r="CF697" s="5" t="n">
        <v>84.991</v>
      </c>
      <c r="CG697" s="5" t="n">
        <v>0.07000000000000001</v>
      </c>
      <c r="CH697" s="5" t="n">
        <v>1</v>
      </c>
      <c r="CI697" s="5" t="n">
        <v>1</v>
      </c>
      <c r="CJ697" s="5" t="n">
        <v>1</v>
      </c>
      <c r="CK697" s="5" t="n">
        <v>0</v>
      </c>
      <c r="CL697" s="5" t="n">
        <v>0</v>
      </c>
      <c r="CM697" s="5" t="n">
        <v>0</v>
      </c>
      <c r="CN697" s="5" t="n">
        <v>0</v>
      </c>
      <c r="CO697" s="5" t="n">
        <v>0</v>
      </c>
      <c r="CP697" s="5" t="n">
        <v>0</v>
      </c>
      <c r="CQ697" s="5" t="n">
        <v>1.387</v>
      </c>
      <c r="CR697" s="5" t="n">
        <v>0</v>
      </c>
      <c r="CS697" s="5" t="n">
        <v>5.529</v>
      </c>
      <c r="CT697" s="5" t="n">
        <v>3.509</v>
      </c>
      <c r="CU697" s="5" t="n">
        <v>10.896</v>
      </c>
    </row>
    <row r="698">
      <c r="A698" s="5" t="inlineStr">
        <is>
          <t>SXM2021</t>
        </is>
      </c>
      <c r="B698" s="5" t="inlineStr">
        <is>
          <t>SXM</t>
        </is>
      </c>
      <c r="C698" s="5" t="inlineStr">
        <is>
          <t>SXM</t>
        </is>
      </c>
      <c r="D698" s="5" t="inlineStr">
        <is>
          <t>Sint Maarten (Dutch part)</t>
        </is>
      </c>
      <c r="E698" s="5" t="n">
        <v>2021</v>
      </c>
      <c r="F698" s="5" t="n">
        <v>0.05</v>
      </c>
      <c r="G698" s="5" t="n">
        <v>5.897</v>
      </c>
      <c r="H698" s="5" t="n">
        <v>1.143</v>
      </c>
      <c r="I698" s="5" t="n">
        <v>0</v>
      </c>
      <c r="J698" s="5" t="n">
        <v>5.897</v>
      </c>
      <c r="K698" s="5" t="n">
        <v>0</v>
      </c>
      <c r="L698" s="5" t="n">
        <v>1</v>
      </c>
      <c r="M698" s="5" t="n">
        <v>7.964</v>
      </c>
      <c r="N698" s="5" t="n">
        <v>3.43</v>
      </c>
      <c r="O698" s="5" t="n">
        <v>0</v>
      </c>
      <c r="P698" s="5" t="n">
        <v>7.964</v>
      </c>
      <c r="Q698" s="5" t="n">
        <v>0</v>
      </c>
      <c r="R698" s="5" t="n">
        <v>1</v>
      </c>
      <c r="S698" s="5" t="n">
        <v>11.613</v>
      </c>
      <c r="T698" s="5" t="n">
        <v>6.86</v>
      </c>
      <c r="U698" s="5" t="n">
        <v>0</v>
      </c>
      <c r="V698" s="5" t="n">
        <v>12.194</v>
      </c>
      <c r="W698" s="5" t="n">
        <v>0.05</v>
      </c>
      <c r="X698" s="5" t="n">
        <v>1</v>
      </c>
      <c r="Y698" s="5" t="n">
        <v>17.127</v>
      </c>
      <c r="Z698" s="5" t="n">
        <v>2.304</v>
      </c>
      <c r="AA698" s="5" t="n">
        <v>0</v>
      </c>
      <c r="AB698" s="5" t="n">
        <v>17.127</v>
      </c>
      <c r="AC698" s="5" t="n">
        <v>0</v>
      </c>
      <c r="AD698" s="5" t="n">
        <v>1</v>
      </c>
      <c r="AE698" s="5" t="n">
        <v>18.27</v>
      </c>
      <c r="AF698" s="5" t="n">
        <v>4.278</v>
      </c>
      <c r="AG698" s="5" t="n">
        <v>0</v>
      </c>
      <c r="AH698" s="5" t="n">
        <v>18.27</v>
      </c>
      <c r="AI698" s="5" t="n">
        <v>0</v>
      </c>
      <c r="AJ698" s="5" t="n">
        <v>1</v>
      </c>
      <c r="AK698" s="5" t="n">
        <v>25.13</v>
      </c>
      <c r="AL698" s="5" t="n">
        <v>13.503</v>
      </c>
      <c r="AM698" s="5" t="n">
        <v>0</v>
      </c>
      <c r="AN698" s="5" t="n">
        <v>26.386</v>
      </c>
      <c r="AO698" s="5" t="n">
        <v>0.05</v>
      </c>
      <c r="AP698" s="5" t="n">
        <v>1</v>
      </c>
      <c r="AQ698" s="5" t="n">
        <v>0.649</v>
      </c>
      <c r="AR698" s="5" t="n">
        <v>0.114</v>
      </c>
      <c r="AS698" s="5" t="n">
        <v>0</v>
      </c>
      <c r="AT698" s="5" t="n">
        <v>0.681</v>
      </c>
      <c r="AU698" s="5" t="n">
        <v>0.05</v>
      </c>
      <c r="AV698" s="5" t="n">
        <v>1</v>
      </c>
      <c r="AW698" s="5" t="n">
        <v>0.577</v>
      </c>
      <c r="AX698" s="5" t="n">
        <v>0.114</v>
      </c>
      <c r="AY698" s="5" t="n">
        <v>0</v>
      </c>
      <c r="AZ698" s="5" t="n">
        <v>0.605</v>
      </c>
      <c r="BA698" s="5" t="n">
        <v>0.05</v>
      </c>
      <c r="BB698" s="5" t="n">
        <v>1</v>
      </c>
      <c r="BC698" s="5" t="n">
        <v>0.458</v>
      </c>
      <c r="BD698" s="5" t="n">
        <v>0.114</v>
      </c>
      <c r="BE698" s="5" t="n">
        <v>0</v>
      </c>
      <c r="BF698" s="5" t="n">
        <v>0.481</v>
      </c>
      <c r="BG698" s="5" t="n">
        <v>0.05</v>
      </c>
      <c r="BH698" s="5" t="n">
        <v>1</v>
      </c>
      <c r="BI698" s="5" t="n">
        <v>0.491</v>
      </c>
      <c r="BJ698" s="5" t="n">
        <v>0.114</v>
      </c>
      <c r="BK698" s="5" t="n">
        <v>0</v>
      </c>
      <c r="BL698" s="5" t="n">
        <v>0.516</v>
      </c>
      <c r="BM698" s="5" t="n">
        <v>0.05</v>
      </c>
      <c r="BN698" s="5" t="n">
        <v>1</v>
      </c>
      <c r="BO698" s="5" t="n">
        <v>0</v>
      </c>
      <c r="BP698" s="5" t="n">
        <v>0</v>
      </c>
      <c r="BQ698" s="5" t="n">
        <v>0</v>
      </c>
      <c r="BR698" s="5" t="n">
        <v>0</v>
      </c>
      <c r="BS698" s="5" t="n">
        <v>1</v>
      </c>
      <c r="BT698" s="5" t="n">
        <v>0</v>
      </c>
      <c r="BU698" s="5" t="n">
        <v>0</v>
      </c>
      <c r="BV698" s="5" t="n">
        <v>0</v>
      </c>
      <c r="BW698" s="5" t="n">
        <v>0.05</v>
      </c>
      <c r="BX698" s="5" t="n">
        <v>1</v>
      </c>
      <c r="BY698" s="5" t="n">
        <v>11.787</v>
      </c>
      <c r="BZ698" s="5" t="n">
        <v>0</v>
      </c>
      <c r="CA698" s="5" t="n">
        <v>11.787</v>
      </c>
      <c r="CB698" s="5" t="n">
        <v>0</v>
      </c>
      <c r="CC698" s="5" t="n">
        <v>78.125</v>
      </c>
      <c r="CD698" s="5" t="n">
        <v>7.95</v>
      </c>
      <c r="CE698" s="5" t="n">
        <v>0</v>
      </c>
      <c r="CF698" s="5" t="n">
        <v>82.03100000000001</v>
      </c>
      <c r="CG698" s="5" t="n">
        <v>0.05</v>
      </c>
      <c r="CH698" s="5" t="n">
        <v>1</v>
      </c>
      <c r="CI698" s="5" t="n">
        <v>0</v>
      </c>
      <c r="CJ698" s="5" t="n">
        <v>0</v>
      </c>
      <c r="CK698" s="5" t="n">
        <v>0</v>
      </c>
      <c r="CL698" s="5" t="n">
        <v>0</v>
      </c>
      <c r="CM698" s="5" t="n">
        <v>0</v>
      </c>
      <c r="CN698" s="5" t="n">
        <v>0</v>
      </c>
      <c r="CO698" s="5" t="n">
        <v>0</v>
      </c>
      <c r="CP698" s="5" t="n">
        <v>0</v>
      </c>
      <c r="CQ698" s="5" t="n">
        <v>1.198</v>
      </c>
      <c r="CR698" s="5" t="n">
        <v>0</v>
      </c>
      <c r="CS698" s="5" t="n">
        <v>4.776</v>
      </c>
      <c r="CT698" s="5" t="n">
        <v>4.753</v>
      </c>
      <c r="CU698" s="5" t="n">
        <v>15.983</v>
      </c>
    </row>
    <row r="699">
      <c r="A699" s="5" t="inlineStr">
        <is>
          <t>SXM2022</t>
        </is>
      </c>
      <c r="B699" s="5" t="inlineStr">
        <is>
          <t>SXM</t>
        </is>
      </c>
      <c r="C699" s="5" t="inlineStr">
        <is>
          <t>SXM</t>
        </is>
      </c>
      <c r="D699" s="5" t="inlineStr">
        <is>
          <t>Sint Maarten (Dutch part)</t>
        </is>
      </c>
      <c r="E699" s="5" t="n">
        <v>2022</v>
      </c>
      <c r="F699" s="5" t="n">
        <v>0.05</v>
      </c>
      <c r="G699" s="5" t="n">
        <v>11.72</v>
      </c>
      <c r="H699" s="5" t="n">
        <v>1.235</v>
      </c>
      <c r="I699" s="5" t="n">
        <v>0</v>
      </c>
      <c r="J699" s="5" t="n">
        <v>11.72</v>
      </c>
      <c r="K699" s="5" t="n">
        <v>0</v>
      </c>
      <c r="L699" s="5" t="n">
        <v>1</v>
      </c>
      <c r="M699" s="5" t="n">
        <v>9.782999999999999</v>
      </c>
      <c r="N699" s="5" t="n">
        <v>3.704</v>
      </c>
      <c r="O699" s="5" t="n">
        <v>0</v>
      </c>
      <c r="P699" s="5" t="n">
        <v>9.782999999999999</v>
      </c>
      <c r="Q699" s="5" t="n">
        <v>0</v>
      </c>
      <c r="R699" s="5" t="n">
        <v>1</v>
      </c>
      <c r="S699" s="5" t="n">
        <v>17.893</v>
      </c>
      <c r="T699" s="5" t="n">
        <v>7.408</v>
      </c>
      <c r="U699" s="5" t="n">
        <v>0.066</v>
      </c>
      <c r="V699" s="5" t="n">
        <v>18.788</v>
      </c>
      <c r="W699" s="5" t="n">
        <v>0.05</v>
      </c>
      <c r="X699" s="5" t="n">
        <v>1</v>
      </c>
      <c r="Y699" s="5" t="n">
        <v>30.728</v>
      </c>
      <c r="Z699" s="5" t="n">
        <v>4.133</v>
      </c>
      <c r="AA699" s="5" t="n">
        <v>0</v>
      </c>
      <c r="AB699" s="5" t="n">
        <v>30.728</v>
      </c>
      <c r="AC699" s="5" t="n">
        <v>0</v>
      </c>
      <c r="AD699" s="5" t="n">
        <v>1</v>
      </c>
      <c r="AE699" s="5" t="n">
        <v>31.963</v>
      </c>
      <c r="AF699" s="5" t="n">
        <v>7.485</v>
      </c>
      <c r="AG699" s="5" t="n">
        <v>0</v>
      </c>
      <c r="AH699" s="5" t="n">
        <v>31.963</v>
      </c>
      <c r="AI699" s="5" t="n">
        <v>0</v>
      </c>
      <c r="AJ699" s="5" t="n">
        <v>1</v>
      </c>
      <c r="AK699" s="5" t="n">
        <v>39.371</v>
      </c>
      <c r="AL699" s="5" t="n">
        <v>21.155</v>
      </c>
      <c r="AM699" s="5" t="n">
        <v>0.146</v>
      </c>
      <c r="AN699" s="5" t="n">
        <v>41.34</v>
      </c>
      <c r="AO699" s="5" t="n">
        <v>0.05</v>
      </c>
      <c r="AP699" s="5" t="n">
        <v>1</v>
      </c>
      <c r="AQ699" s="5" t="n">
        <v>0.896</v>
      </c>
      <c r="AR699" s="5" t="n">
        <v>0.123</v>
      </c>
      <c r="AS699" s="5" t="n">
        <v>0.003</v>
      </c>
      <c r="AT699" s="5" t="n">
        <v>0.9409999999999999</v>
      </c>
      <c r="AU699" s="5" t="n">
        <v>0.05</v>
      </c>
      <c r="AV699" s="5" t="n">
        <v>1</v>
      </c>
      <c r="AW699" s="5" t="n">
        <v>0.89</v>
      </c>
      <c r="AX699" s="5" t="n">
        <v>0.123</v>
      </c>
      <c r="AY699" s="5" t="n">
        <v>0.003</v>
      </c>
      <c r="AZ699" s="5" t="n">
        <v>0.9350000000000001</v>
      </c>
      <c r="BA699" s="5" t="n">
        <v>0.05</v>
      </c>
      <c r="BB699" s="5" t="n">
        <v>1</v>
      </c>
      <c r="BC699" s="5" t="n">
        <v>0.62</v>
      </c>
      <c r="BD699" s="5" t="n">
        <v>0.123</v>
      </c>
      <c r="BE699" s="5" t="n">
        <v>0.002</v>
      </c>
      <c r="BF699" s="5" t="n">
        <v>0.651</v>
      </c>
      <c r="BG699" s="5" t="n">
        <v>0.05</v>
      </c>
      <c r="BH699" s="5" t="n">
        <v>1</v>
      </c>
      <c r="BI699" s="5" t="n">
        <v>0.608</v>
      </c>
      <c r="BJ699" s="5" t="n">
        <v>0.123</v>
      </c>
      <c r="BK699" s="5" t="n">
        <v>0.002</v>
      </c>
      <c r="BL699" s="5" t="n">
        <v>0.638</v>
      </c>
      <c r="BM699" s="5" t="n">
        <v>0.05</v>
      </c>
      <c r="BN699" s="5" t="n">
        <v>1</v>
      </c>
      <c r="BO699" s="5" t="n">
        <v>0</v>
      </c>
      <c r="BP699" s="5" t="n">
        <v>0</v>
      </c>
      <c r="BQ699" s="5" t="n">
        <v>0</v>
      </c>
      <c r="BR699" s="5" t="n">
        <v>0</v>
      </c>
      <c r="BS699" s="5" t="n">
        <v>1</v>
      </c>
      <c r="BT699" s="5" t="n">
        <v>0</v>
      </c>
      <c r="BU699" s="5" t="n">
        <v>0</v>
      </c>
      <c r="BV699" s="5" t="n">
        <v>0</v>
      </c>
      <c r="BW699" s="5" t="n">
        <v>0.05</v>
      </c>
      <c r="BX699" s="5" t="n">
        <v>1</v>
      </c>
      <c r="BY699" s="5" t="n">
        <v>12.729</v>
      </c>
      <c r="BZ699" s="5" t="n">
        <v>0</v>
      </c>
      <c r="CA699" s="5" t="n">
        <v>12.729</v>
      </c>
      <c r="CB699" s="5" t="n">
        <v>0</v>
      </c>
      <c r="CC699" s="5" t="n">
        <v>97.90000000000001</v>
      </c>
      <c r="CD699" s="5" t="n">
        <v>7.95</v>
      </c>
      <c r="CE699" s="5" t="n">
        <v>0.362</v>
      </c>
      <c r="CF699" s="5" t="n">
        <v>102.795</v>
      </c>
      <c r="CG699" s="5" t="n">
        <v>0.05</v>
      </c>
      <c r="CH699" s="5" t="n">
        <v>1</v>
      </c>
      <c r="CI699" s="5" t="n">
        <v>0</v>
      </c>
      <c r="CJ699" s="5" t="n">
        <v>0</v>
      </c>
      <c r="CK699" s="5" t="n">
        <v>0</v>
      </c>
      <c r="CL699" s="5" t="n">
        <v>0</v>
      </c>
      <c r="CM699" s="5" t="n">
        <v>0</v>
      </c>
      <c r="CN699" s="5" t="n">
        <v>0</v>
      </c>
      <c r="CO699" s="5" t="n">
        <v>0</v>
      </c>
      <c r="CP699" s="5" t="n">
        <v>0</v>
      </c>
      <c r="CQ699" s="5" t="n">
        <v>1.294</v>
      </c>
      <c r="CR699" s="5" t="n">
        <v>0</v>
      </c>
      <c r="CS699" s="5" t="n">
        <v>5.158</v>
      </c>
      <c r="CT699" s="5" t="n">
        <v>10.485</v>
      </c>
      <c r="CU699" s="5" t="n">
        <v>29.494</v>
      </c>
    </row>
    <row r="700">
      <c r="A700" s="5" t="inlineStr">
        <is>
          <t>SXM2023</t>
        </is>
      </c>
      <c r="B700" s="5" t="inlineStr">
        <is>
          <t>SXM</t>
        </is>
      </c>
      <c r="C700" s="5" t="inlineStr">
        <is>
          <t>SXM</t>
        </is>
      </c>
      <c r="D700" s="5" t="inlineStr">
        <is>
          <t>Sint Maarten (Dutch part)</t>
        </is>
      </c>
      <c r="E700" s="5" t="n">
        <v>2023</v>
      </c>
      <c r="F700" s="5" t="n">
        <v>0.05</v>
      </c>
      <c r="G700" s="5" t="n">
        <v>6.147</v>
      </c>
      <c r="H700" s="5" t="n">
        <v>1.286</v>
      </c>
      <c r="I700" s="5" t="n">
        <v>0</v>
      </c>
      <c r="J700" s="5" t="n">
        <v>6.147</v>
      </c>
      <c r="K700" s="5" t="n">
        <v>0</v>
      </c>
      <c r="L700" s="5" t="n">
        <v>1</v>
      </c>
      <c r="M700" s="5" t="n">
        <v>7.886</v>
      </c>
      <c r="N700" s="5" t="n">
        <v>3.857</v>
      </c>
      <c r="O700" s="5" t="n">
        <v>0</v>
      </c>
      <c r="P700" s="5" t="n">
        <v>7.886</v>
      </c>
      <c r="Q700" s="5" t="n">
        <v>0</v>
      </c>
      <c r="R700" s="5" t="n">
        <v>1</v>
      </c>
      <c r="S700" s="5" t="n">
        <v>12.575</v>
      </c>
      <c r="T700" s="5" t="n">
        <v>7.714</v>
      </c>
      <c r="U700" s="5" t="n">
        <v>0.07000000000000001</v>
      </c>
      <c r="V700" s="5" t="n">
        <v>13.204</v>
      </c>
      <c r="W700" s="5" t="n">
        <v>0.05</v>
      </c>
      <c r="X700" s="5" t="n">
        <v>1</v>
      </c>
      <c r="Y700" s="5" t="n">
        <v>12.478</v>
      </c>
      <c r="Z700" s="5" t="n">
        <v>1.678</v>
      </c>
      <c r="AA700" s="5" t="n">
        <v>0</v>
      </c>
      <c r="AB700" s="5" t="n">
        <v>12.478</v>
      </c>
      <c r="AC700" s="5" t="n">
        <v>0</v>
      </c>
      <c r="AD700" s="5" t="n">
        <v>1</v>
      </c>
      <c r="AE700" s="5" t="n">
        <v>13.763</v>
      </c>
      <c r="AF700" s="5" t="n">
        <v>3.223</v>
      </c>
      <c r="AG700" s="5" t="n">
        <v>0</v>
      </c>
      <c r="AH700" s="5" t="n">
        <v>13.763</v>
      </c>
      <c r="AI700" s="5" t="n">
        <v>0</v>
      </c>
      <c r="AJ700" s="5" t="n">
        <v>1</v>
      </c>
      <c r="AK700" s="5" t="n">
        <v>21.477</v>
      </c>
      <c r="AL700" s="5" t="n">
        <v>11.54</v>
      </c>
      <c r="AM700" s="5" t="n">
        <v>0.119</v>
      </c>
      <c r="AN700" s="5" t="n">
        <v>22.551</v>
      </c>
      <c r="AO700" s="5" t="n">
        <v>0.05</v>
      </c>
      <c r="AP700" s="5" t="n">
        <v>1</v>
      </c>
      <c r="AQ700" s="5" t="n">
        <v>0.791</v>
      </c>
      <c r="AR700" s="5" t="n">
        <v>0.129</v>
      </c>
      <c r="AS700" s="5" t="n">
        <v>0.004</v>
      </c>
      <c r="AT700" s="5" t="n">
        <v>0.83</v>
      </c>
      <c r="AU700" s="5" t="n">
        <v>0.05</v>
      </c>
      <c r="AV700" s="5" t="n">
        <v>1</v>
      </c>
      <c r="AW700" s="5" t="n">
        <v>0.618</v>
      </c>
      <c r="AX700" s="5" t="n">
        <v>0.129</v>
      </c>
      <c r="AY700" s="5" t="n">
        <v>0.003</v>
      </c>
      <c r="AZ700" s="5" t="n">
        <v>0.649</v>
      </c>
      <c r="BA700" s="5" t="n">
        <v>0.05</v>
      </c>
      <c r="BB700" s="5" t="n">
        <v>1</v>
      </c>
      <c r="BC700" s="5" t="n">
        <v>0.554</v>
      </c>
      <c r="BD700" s="5" t="n">
        <v>0.129</v>
      </c>
      <c r="BE700" s="5" t="n">
        <v>0.003</v>
      </c>
      <c r="BF700" s="5" t="n">
        <v>0.582</v>
      </c>
      <c r="BG700" s="5" t="n">
        <v>0.05</v>
      </c>
      <c r="BH700" s="5" t="n">
        <v>1</v>
      </c>
      <c r="BI700" s="5" t="n">
        <v>0.5570000000000001</v>
      </c>
      <c r="BJ700" s="5" t="n">
        <v>0.129</v>
      </c>
      <c r="BK700" s="5" t="n">
        <v>0.003</v>
      </c>
      <c r="BL700" s="5" t="n">
        <v>0.585</v>
      </c>
      <c r="BM700" s="5" t="n">
        <v>0.05</v>
      </c>
      <c r="BN700" s="5" t="n">
        <v>1</v>
      </c>
      <c r="BO700" s="5" t="n">
        <v>0</v>
      </c>
      <c r="BP700" s="5" t="n">
        <v>0</v>
      </c>
      <c r="BQ700" s="5" t="n">
        <v>0</v>
      </c>
      <c r="BR700" s="5" t="n">
        <v>0</v>
      </c>
      <c r="BS700" s="5" t="n">
        <v>1</v>
      </c>
      <c r="BT700" s="5" t="n">
        <v>0</v>
      </c>
      <c r="BU700" s="5" t="n">
        <v>0</v>
      </c>
      <c r="BV700" s="5" t="n">
        <v>0</v>
      </c>
      <c r="BW700" s="5" t="n">
        <v>0.05</v>
      </c>
      <c r="BX700" s="5" t="n">
        <v>1</v>
      </c>
      <c r="BY700" s="5" t="n">
        <v>13.254</v>
      </c>
      <c r="BZ700" s="5" t="n">
        <v>0</v>
      </c>
      <c r="CA700" s="5" t="n">
        <v>13.254</v>
      </c>
      <c r="CB700" s="5" t="n">
        <v>0</v>
      </c>
      <c r="CC700" s="5" t="n">
        <v>83.248</v>
      </c>
      <c r="CD700" s="5" t="n">
        <v>7.95</v>
      </c>
      <c r="CE700" s="5" t="n">
        <v>0.461</v>
      </c>
      <c r="CF700" s="5" t="n">
        <v>87.41</v>
      </c>
      <c r="CG700" s="5" t="n">
        <v>0.05</v>
      </c>
      <c r="CH700" s="5" t="n">
        <v>1</v>
      </c>
      <c r="CI700" s="5" t="n">
        <v>0</v>
      </c>
      <c r="CJ700" s="5" t="n">
        <v>0</v>
      </c>
      <c r="CK700" s="5" t="n">
        <v>0</v>
      </c>
      <c r="CL700" s="5" t="n">
        <v>0</v>
      </c>
      <c r="CM700" s="5" t="n">
        <v>0</v>
      </c>
      <c r="CN700" s="5" t="n">
        <v>0</v>
      </c>
      <c r="CO700" s="5" t="n">
        <v>0</v>
      </c>
      <c r="CP700" s="5" t="n">
        <v>0</v>
      </c>
      <c r="CQ700" s="5" t="n">
        <v>1.348</v>
      </c>
      <c r="CR700" s="5" t="n">
        <v>0</v>
      </c>
      <c r="CS700" s="5" t="n">
        <v>5.37</v>
      </c>
      <c r="CT700" s="5" t="n">
        <v>4.861</v>
      </c>
      <c r="CU700" s="5" t="n">
        <v>11.192</v>
      </c>
    </row>
    <row r="701">
      <c r="A701" s="5" t="inlineStr">
        <is>
          <t>SXM2024</t>
        </is>
      </c>
      <c r="B701" s="5" t="inlineStr">
        <is>
          <t>SXM</t>
        </is>
      </c>
      <c r="C701" s="5" t="inlineStr">
        <is>
          <t>SXM</t>
        </is>
      </c>
      <c r="D701" s="5" t="inlineStr">
        <is>
          <t>Sint Maarten (Dutch part)</t>
        </is>
      </c>
      <c r="E701" s="5" t="n">
        <v>2024</v>
      </c>
      <c r="F701" s="5" t="n">
        <v>0.05</v>
      </c>
      <c r="G701" s="5" t="n">
        <v>5.575</v>
      </c>
      <c r="H701" s="5" t="n">
        <v>1.324</v>
      </c>
      <c r="I701" s="5" t="n">
        <v>0</v>
      </c>
      <c r="J701" s="5" t="n">
        <v>5.575</v>
      </c>
      <c r="K701" s="5" t="n">
        <v>0</v>
      </c>
      <c r="L701" s="5" t="n">
        <v>1</v>
      </c>
      <c r="M701" s="5" t="n">
        <v>7.124</v>
      </c>
      <c r="N701" s="5" t="n">
        <v>3.971</v>
      </c>
      <c r="O701" s="5" t="n">
        <v>0</v>
      </c>
      <c r="P701" s="5" t="n">
        <v>7.124</v>
      </c>
      <c r="Q701" s="5" t="n">
        <v>0</v>
      </c>
      <c r="R701" s="5" t="n">
        <v>1</v>
      </c>
      <c r="S701" s="5" t="n">
        <v>12.193</v>
      </c>
      <c r="T701" s="5" t="n">
        <v>7.942</v>
      </c>
      <c r="U701" s="5" t="n">
        <v>0.083</v>
      </c>
      <c r="V701" s="5" t="n">
        <v>12.802</v>
      </c>
      <c r="W701" s="5" t="n">
        <v>0.05</v>
      </c>
      <c r="X701" s="5" t="n">
        <v>1</v>
      </c>
      <c r="Y701" s="5" t="n">
        <v>11.447</v>
      </c>
      <c r="Z701" s="5" t="n">
        <v>1.54</v>
      </c>
      <c r="AA701" s="5" t="n">
        <v>0</v>
      </c>
      <c r="AB701" s="5" t="n">
        <v>11.447</v>
      </c>
      <c r="AC701" s="5" t="n">
        <v>0</v>
      </c>
      <c r="AD701" s="5" t="n">
        <v>1</v>
      </c>
      <c r="AE701" s="5" t="n">
        <v>12.771</v>
      </c>
      <c r="AF701" s="5" t="n">
        <v>2.991</v>
      </c>
      <c r="AG701" s="5" t="n">
        <v>0</v>
      </c>
      <c r="AH701" s="5" t="n">
        <v>12.771</v>
      </c>
      <c r="AI701" s="5" t="n">
        <v>0</v>
      </c>
      <c r="AJ701" s="5" t="n">
        <v>1</v>
      </c>
      <c r="AK701" s="5" t="n">
        <v>20.712</v>
      </c>
      <c r="AL701" s="5" t="n">
        <v>11.129</v>
      </c>
      <c r="AM701" s="5" t="n">
        <v>0.141</v>
      </c>
      <c r="AN701" s="5" t="n">
        <v>21.748</v>
      </c>
      <c r="AO701" s="5" t="n">
        <v>0.05</v>
      </c>
      <c r="AP701" s="5" t="n">
        <v>1</v>
      </c>
      <c r="AQ701" s="5" t="n">
        <v>0.756</v>
      </c>
      <c r="AR701" s="5" t="n">
        <v>0.132</v>
      </c>
      <c r="AS701" s="5" t="n">
        <v>0.005</v>
      </c>
      <c r="AT701" s="5" t="n">
        <v>0.794</v>
      </c>
      <c r="AU701" s="5" t="n">
        <v>0.05</v>
      </c>
      <c r="AV701" s="5" t="n">
        <v>1</v>
      </c>
      <c r="AW701" s="5" t="n">
        <v>0.655</v>
      </c>
      <c r="AX701" s="5" t="n">
        <v>0.132</v>
      </c>
      <c r="AY701" s="5" t="n">
        <v>0.004</v>
      </c>
      <c r="AZ701" s="5" t="n">
        <v>0.6879999999999999</v>
      </c>
      <c r="BA701" s="5" t="n">
        <v>0.05</v>
      </c>
      <c r="BB701" s="5" t="n">
        <v>1</v>
      </c>
      <c r="BC701" s="5" t="n">
        <v>0.534</v>
      </c>
      <c r="BD701" s="5" t="n">
        <v>0.132</v>
      </c>
      <c r="BE701" s="5" t="n">
        <v>0.004</v>
      </c>
      <c r="BF701" s="5" t="n">
        <v>0.5600000000000001</v>
      </c>
      <c r="BG701" s="5" t="n">
        <v>0.05</v>
      </c>
      <c r="BH701" s="5" t="n">
        <v>1</v>
      </c>
      <c r="BI701" s="5" t="n">
        <v>0.5679999999999999</v>
      </c>
      <c r="BJ701" s="5" t="n">
        <v>0.132</v>
      </c>
      <c r="BK701" s="5" t="n">
        <v>0.004</v>
      </c>
      <c r="BL701" s="5" t="n">
        <v>0.596</v>
      </c>
      <c r="BM701" s="5" t="n">
        <v>0.05</v>
      </c>
      <c r="BN701" s="5" t="n">
        <v>1</v>
      </c>
      <c r="BO701" s="5" t="n">
        <v>0</v>
      </c>
      <c r="BP701" s="5" t="n">
        <v>0</v>
      </c>
      <c r="BQ701" s="5" t="n">
        <v>0</v>
      </c>
      <c r="BR701" s="5" t="n">
        <v>0</v>
      </c>
      <c r="BS701" s="5" t="n">
        <v>1</v>
      </c>
      <c r="BT701" s="5" t="n">
        <v>0</v>
      </c>
      <c r="BU701" s="5" t="n">
        <v>0</v>
      </c>
      <c r="BV701" s="5" t="n">
        <v>0</v>
      </c>
      <c r="BW701" s="5" t="n">
        <v>0.05</v>
      </c>
      <c r="BX701" s="5" t="n">
        <v>1</v>
      </c>
      <c r="BY701" s="5" t="n">
        <v>13.646</v>
      </c>
      <c r="BZ701" s="5" t="n">
        <v>0</v>
      </c>
      <c r="CA701" s="5" t="n">
        <v>13.646</v>
      </c>
      <c r="CB701" s="5" t="n">
        <v>0</v>
      </c>
      <c r="CC701" s="5" t="n">
        <v>82.58799999999999</v>
      </c>
      <c r="CD701" s="5" t="n">
        <v>7.95</v>
      </c>
      <c r="CE701" s="5" t="n">
        <v>0.5620000000000001</v>
      </c>
      <c r="CF701" s="5" t="n">
        <v>86.717</v>
      </c>
      <c r="CG701" s="5" t="n">
        <v>0.05</v>
      </c>
      <c r="CH701" s="5" t="n">
        <v>1</v>
      </c>
      <c r="CI701" s="5" t="n">
        <v>0</v>
      </c>
      <c r="CJ701" s="5" t="n">
        <v>0</v>
      </c>
      <c r="CK701" s="5" t="n">
        <v>0</v>
      </c>
      <c r="CL701" s="5" t="n">
        <v>0</v>
      </c>
      <c r="CM701" s="5" t="n">
        <v>0</v>
      </c>
      <c r="CN701" s="5" t="n">
        <v>0</v>
      </c>
      <c r="CO701" s="5" t="n">
        <v>0</v>
      </c>
      <c r="CP701" s="5" t="n">
        <v>0</v>
      </c>
      <c r="CQ701" s="5" t="n">
        <v>1.387</v>
      </c>
      <c r="CR701" s="5" t="n">
        <v>0</v>
      </c>
      <c r="CS701" s="5" t="n">
        <v>5.529</v>
      </c>
      <c r="CT701" s="5" t="n">
        <v>4.251</v>
      </c>
      <c r="CU701" s="5" t="n">
        <v>10.123</v>
      </c>
    </row>
    <row r="702">
      <c r="A702" s="5" t="inlineStr">
        <is>
          <t>SVK2021</t>
        </is>
      </c>
      <c r="B702" s="5" t="inlineStr">
        <is>
          <t>SVK</t>
        </is>
      </c>
      <c r="C702" s="5" t="inlineStr">
        <is>
          <t>SVK</t>
        </is>
      </c>
      <c r="D702" s="5" t="inlineStr">
        <is>
          <t>Slovak Republic</t>
        </is>
      </c>
      <c r="E702" s="5" t="n">
        <v>2021</v>
      </c>
      <c r="F702" s="5" t="n">
        <v>0.2</v>
      </c>
      <c r="G702" s="5" t="n">
        <v>10.192</v>
      </c>
      <c r="H702" s="5" t="n">
        <v>1.084</v>
      </c>
      <c r="I702" s="5" t="n">
        <v>-7.364</v>
      </c>
      <c r="J702" s="5" t="n">
        <v>2.829</v>
      </c>
      <c r="K702" s="5" t="n">
        <v>0</v>
      </c>
      <c r="L702" s="5" t="n">
        <v>1</v>
      </c>
      <c r="M702" s="5" t="n">
        <v>8.263</v>
      </c>
      <c r="N702" s="5" t="n">
        <v>3.253</v>
      </c>
      <c r="O702" s="5" t="n">
        <v>1.404</v>
      </c>
      <c r="P702" s="5" t="n">
        <v>9.667</v>
      </c>
      <c r="Q702" s="5" t="n">
        <v>0</v>
      </c>
      <c r="R702" s="5" t="n">
        <v>1</v>
      </c>
      <c r="S702" s="5" t="n">
        <v>6.098</v>
      </c>
      <c r="T702" s="5" t="n">
        <v>3.779</v>
      </c>
      <c r="U702" s="5" t="n">
        <v>0.007</v>
      </c>
      <c r="V702" s="5" t="n">
        <v>7.326</v>
      </c>
      <c r="W702" s="5" t="n">
        <v>0.2</v>
      </c>
      <c r="X702" s="5" t="n">
        <v>1</v>
      </c>
      <c r="Y702" s="5" t="n">
        <v>19.366</v>
      </c>
      <c r="Z702" s="5" t="n">
        <v>2.139</v>
      </c>
      <c r="AA702" s="5" t="n">
        <v>-8.664999999999999</v>
      </c>
      <c r="AB702" s="5" t="n">
        <v>10.701</v>
      </c>
      <c r="AC702" s="5" t="n">
        <v>0</v>
      </c>
      <c r="AD702" s="5" t="n">
        <v>1</v>
      </c>
      <c r="AE702" s="5" t="n">
        <v>19.322</v>
      </c>
      <c r="AF702" s="5" t="n">
        <v>3.802</v>
      </c>
      <c r="AG702" s="5" t="n">
        <v>-8.621</v>
      </c>
      <c r="AH702" s="5" t="n">
        <v>10.701</v>
      </c>
      <c r="AI702" s="5" t="n">
        <v>0</v>
      </c>
      <c r="AJ702" s="5" t="n">
        <v>1</v>
      </c>
      <c r="AK702" s="5" t="n">
        <v>21.746</v>
      </c>
      <c r="AL702" s="5" t="n">
        <v>10.673</v>
      </c>
      <c r="AM702" s="5" t="n">
        <v>-10.331</v>
      </c>
      <c r="AN702" s="5" t="n">
        <v>13.697</v>
      </c>
      <c r="AO702" s="5" t="n">
        <v>0</v>
      </c>
      <c r="AP702" s="5" t="n">
        <v>0</v>
      </c>
      <c r="AQ702" s="5" t="n">
        <v>0.619</v>
      </c>
      <c r="AR702" s="5" t="n">
        <v>0.114</v>
      </c>
      <c r="AS702" s="5" t="n">
        <v>0.746</v>
      </c>
      <c r="AT702" s="5" t="n">
        <v>1.638</v>
      </c>
      <c r="AU702" s="5" t="n">
        <v>0.2</v>
      </c>
      <c r="AV702" s="5" t="n">
        <v>1</v>
      </c>
      <c r="AW702" s="5" t="n">
        <v>0.599</v>
      </c>
      <c r="AX702" s="5" t="n">
        <v>0.114</v>
      </c>
      <c r="AY702" s="5" t="n">
        <v>0.621</v>
      </c>
      <c r="AZ702" s="5" t="n">
        <v>1.464</v>
      </c>
      <c r="BA702" s="5" t="n">
        <v>0.2</v>
      </c>
      <c r="BB702" s="5" t="n">
        <v>1</v>
      </c>
      <c r="BC702" s="5" t="n">
        <v>0.439</v>
      </c>
      <c r="BD702" s="5" t="n">
        <v>0.114</v>
      </c>
      <c r="BE702" s="5" t="n">
        <v>0.208</v>
      </c>
      <c r="BF702" s="5" t="n">
        <v>0.777</v>
      </c>
      <c r="BG702" s="5" t="n">
        <v>0.2</v>
      </c>
      <c r="BH702" s="5" t="n">
        <v>1</v>
      </c>
      <c r="BI702" s="5" t="n">
        <v>0.505</v>
      </c>
      <c r="BJ702" s="5" t="n">
        <v>0.114</v>
      </c>
      <c r="BK702" s="5" t="n">
        <v>0.107</v>
      </c>
      <c r="BL702" s="5" t="n">
        <v>0.734</v>
      </c>
      <c r="BM702" s="5" t="n">
        <v>0.2</v>
      </c>
      <c r="BN702" s="5" t="n">
        <v>1</v>
      </c>
      <c r="BO702" s="5" t="n">
        <v>0</v>
      </c>
      <c r="BP702" s="5" t="n">
        <v>0.041</v>
      </c>
      <c r="BQ702" s="5" t="n">
        <v>0.146</v>
      </c>
      <c r="BR702" s="5" t="n">
        <v>0</v>
      </c>
      <c r="BS702" s="5" t="n">
        <v>1</v>
      </c>
      <c r="BT702" s="5" t="n">
        <v>0</v>
      </c>
      <c r="BU702" s="5" t="n">
        <v>0.039</v>
      </c>
      <c r="BV702" s="5" t="n">
        <v>0.195</v>
      </c>
      <c r="BW702" s="5" t="n">
        <v>0.2</v>
      </c>
      <c r="BX702" s="5" t="n">
        <v>0.667</v>
      </c>
      <c r="BY702" s="5" t="n">
        <v>11.787</v>
      </c>
      <c r="BZ702" s="5" t="n">
        <v>0</v>
      </c>
      <c r="CA702" s="5" t="n">
        <v>11.787</v>
      </c>
      <c r="CB702" s="5" t="n">
        <v>0</v>
      </c>
      <c r="CC702" s="5" t="n">
        <v>78.125</v>
      </c>
      <c r="CD702" s="5" t="n">
        <v>7.95</v>
      </c>
      <c r="CE702" s="5" t="n">
        <v>17.499</v>
      </c>
      <c r="CF702" s="5" t="n">
        <v>114.748</v>
      </c>
      <c r="CG702" s="5" t="n">
        <v>0.2</v>
      </c>
      <c r="CH702" s="5" t="n">
        <v>1</v>
      </c>
      <c r="CI702" s="5" t="n">
        <v>0</v>
      </c>
      <c r="CJ702" s="5" t="n">
        <v>0</v>
      </c>
      <c r="CK702" s="5" t="n">
        <v>0</v>
      </c>
      <c r="CL702" s="5" t="n">
        <v>0</v>
      </c>
      <c r="CM702" s="5" t="n">
        <v>0</v>
      </c>
      <c r="CN702" s="5" t="n">
        <v>0</v>
      </c>
      <c r="CO702" s="5" t="n">
        <v>0</v>
      </c>
      <c r="CP702" s="5" t="n">
        <v>0.103</v>
      </c>
      <c r="CQ702" s="5" t="n">
        <v>1.198</v>
      </c>
      <c r="CR702" s="5" t="n">
        <v>0</v>
      </c>
      <c r="CS702" s="5" t="n">
        <v>4.776</v>
      </c>
      <c r="CT702" s="5" t="n">
        <v>5.309</v>
      </c>
      <c r="CU702" s="5" t="n">
        <v>11.629</v>
      </c>
    </row>
    <row r="703">
      <c r="A703" s="5" t="inlineStr">
        <is>
          <t>SVK2022</t>
        </is>
      </c>
      <c r="B703" s="5" t="inlineStr">
        <is>
          <t>SVK</t>
        </is>
      </c>
      <c r="C703" s="5" t="inlineStr">
        <is>
          <t>SVK</t>
        </is>
      </c>
      <c r="D703" s="5" t="inlineStr">
        <is>
          <t>Slovak Republic</t>
        </is>
      </c>
      <c r="E703" s="5" t="n">
        <v>2022</v>
      </c>
      <c r="F703" s="5" t="n">
        <v>0.2</v>
      </c>
      <c r="G703" s="5" t="n">
        <v>17.158</v>
      </c>
      <c r="H703" s="5" t="n">
        <v>1.225</v>
      </c>
      <c r="I703" s="5" t="n">
        <v>1.456</v>
      </c>
      <c r="J703" s="5" t="n">
        <v>18.614</v>
      </c>
      <c r="K703" s="5" t="n">
        <v>0</v>
      </c>
      <c r="L703" s="5" t="n">
        <v>1</v>
      </c>
      <c r="M703" s="5" t="n">
        <v>12.854</v>
      </c>
      <c r="N703" s="5" t="n">
        <v>3.675</v>
      </c>
      <c r="O703" s="5" t="n">
        <v>8.532</v>
      </c>
      <c r="P703" s="5" t="n">
        <v>21.386</v>
      </c>
      <c r="Q703" s="5" t="n">
        <v>0</v>
      </c>
      <c r="R703" s="5" t="n">
        <v>1</v>
      </c>
      <c r="S703" s="5" t="n">
        <v>6.9</v>
      </c>
      <c r="T703" s="5" t="n">
        <v>3.379</v>
      </c>
      <c r="U703" s="5" t="n">
        <v>0.008</v>
      </c>
      <c r="V703" s="5" t="n">
        <v>8.289999999999999</v>
      </c>
      <c r="W703" s="5" t="n">
        <v>0.2</v>
      </c>
      <c r="X703" s="5" t="n">
        <v>1</v>
      </c>
      <c r="Y703" s="5" t="n">
        <v>43.399</v>
      </c>
      <c r="Z703" s="5" t="n">
        <v>4.553</v>
      </c>
      <c r="AA703" s="5" t="n">
        <v>-18.486</v>
      </c>
      <c r="AB703" s="5" t="n">
        <v>24.913</v>
      </c>
      <c r="AC703" s="5" t="n">
        <v>0</v>
      </c>
      <c r="AD703" s="5" t="n">
        <v>1</v>
      </c>
      <c r="AE703" s="5" t="n">
        <v>43.447</v>
      </c>
      <c r="AF703" s="5" t="n">
        <v>8.054</v>
      </c>
      <c r="AG703" s="5" t="n">
        <v>-18.534</v>
      </c>
      <c r="AH703" s="5" t="n">
        <v>24.913</v>
      </c>
      <c r="AI703" s="5" t="n">
        <v>0</v>
      </c>
      <c r="AJ703" s="5" t="n">
        <v>1</v>
      </c>
      <c r="AK703" s="5" t="n">
        <v>46.419</v>
      </c>
      <c r="AL703" s="5" t="n">
        <v>22.167</v>
      </c>
      <c r="AM703" s="5" t="n">
        <v>-34.394</v>
      </c>
      <c r="AN703" s="5" t="n">
        <v>14.429</v>
      </c>
      <c r="AO703" s="5" t="n">
        <v>0</v>
      </c>
      <c r="AP703" s="5" t="n">
        <v>0</v>
      </c>
      <c r="AQ703" s="5" t="n">
        <v>0.861</v>
      </c>
      <c r="AR703" s="5" t="n">
        <v>0.123</v>
      </c>
      <c r="AS703" s="5" t="n">
        <v>0.623</v>
      </c>
      <c r="AT703" s="5" t="n">
        <v>1.78</v>
      </c>
      <c r="AU703" s="5" t="n">
        <v>0.2</v>
      </c>
      <c r="AV703" s="5" t="n">
        <v>1</v>
      </c>
      <c r="AW703" s="5" t="n">
        <v>0.986</v>
      </c>
      <c r="AX703" s="5" t="n">
        <v>0.123</v>
      </c>
      <c r="AY703" s="5" t="n">
        <v>0.52</v>
      </c>
      <c r="AZ703" s="5" t="n">
        <v>1.807</v>
      </c>
      <c r="BA703" s="5" t="n">
        <v>0.2</v>
      </c>
      <c r="BB703" s="5" t="n">
        <v>1</v>
      </c>
      <c r="BC703" s="5" t="n">
        <v>0.598</v>
      </c>
      <c r="BD703" s="5" t="n">
        <v>0.123</v>
      </c>
      <c r="BE703" s="5" t="n">
        <v>0.132</v>
      </c>
      <c r="BF703" s="5" t="n">
        <v>0.876</v>
      </c>
      <c r="BG703" s="5" t="n">
        <v>0.2</v>
      </c>
      <c r="BH703" s="5" t="n">
        <v>1</v>
      </c>
      <c r="BI703" s="5" t="n">
        <v>0.612</v>
      </c>
      <c r="BJ703" s="5" t="n">
        <v>0.123</v>
      </c>
      <c r="BK703" s="5" t="n">
        <v>0.089</v>
      </c>
      <c r="BL703" s="5" t="n">
        <v>0.842</v>
      </c>
      <c r="BM703" s="5" t="n">
        <v>0.2</v>
      </c>
      <c r="BN703" s="5" t="n">
        <v>1</v>
      </c>
      <c r="BO703" s="5" t="n">
        <v>0</v>
      </c>
      <c r="BP703" s="5" t="n">
        <v>0.024</v>
      </c>
      <c r="BQ703" s="5" t="n">
        <v>0.244</v>
      </c>
      <c r="BR703" s="5" t="n">
        <v>0</v>
      </c>
      <c r="BS703" s="5" t="n">
        <v>1</v>
      </c>
      <c r="BT703" s="5" t="n">
        <v>0</v>
      </c>
      <c r="BU703" s="5" t="n">
        <v>0.027</v>
      </c>
      <c r="BV703" s="5" t="n">
        <v>0.194</v>
      </c>
      <c r="BW703" s="5" t="n">
        <v>0.2</v>
      </c>
      <c r="BX703" s="5" t="n">
        <v>0.667</v>
      </c>
      <c r="BY703" s="5" t="n">
        <v>12.729</v>
      </c>
      <c r="BZ703" s="5" t="n">
        <v>0</v>
      </c>
      <c r="CA703" s="5" t="n">
        <v>12.729</v>
      </c>
      <c r="CB703" s="5" t="n">
        <v>0</v>
      </c>
      <c r="CC703" s="5" t="n">
        <v>97.90000000000001</v>
      </c>
      <c r="CD703" s="5" t="n">
        <v>7.95</v>
      </c>
      <c r="CE703" s="5" t="n">
        <v>41.988</v>
      </c>
      <c r="CF703" s="5" t="n">
        <v>167.866</v>
      </c>
      <c r="CG703" s="5" t="n">
        <v>0.2</v>
      </c>
      <c r="CH703" s="5" t="n">
        <v>1</v>
      </c>
      <c r="CI703" s="5" t="n">
        <v>0</v>
      </c>
      <c r="CJ703" s="5" t="n">
        <v>0</v>
      </c>
      <c r="CK703" s="5" t="n">
        <v>0</v>
      </c>
      <c r="CL703" s="5" t="n">
        <v>0</v>
      </c>
      <c r="CM703" s="5" t="n">
        <v>0</v>
      </c>
      <c r="CN703" s="5" t="n">
        <v>0</v>
      </c>
      <c r="CO703" s="5" t="n">
        <v>0</v>
      </c>
      <c r="CP703" s="5" t="n">
        <v>0.016</v>
      </c>
      <c r="CQ703" s="5" t="n">
        <v>1.294</v>
      </c>
      <c r="CR703" s="5" t="n">
        <v>0</v>
      </c>
      <c r="CS703" s="5" t="n">
        <v>5.158</v>
      </c>
      <c r="CT703" s="5" t="n">
        <v>11.532</v>
      </c>
      <c r="CU703" s="5" t="n">
        <v>35.571</v>
      </c>
    </row>
    <row r="704">
      <c r="A704" s="5" t="inlineStr">
        <is>
          <t>SVK2023</t>
        </is>
      </c>
      <c r="B704" s="5" t="inlineStr">
        <is>
          <t>SVK</t>
        </is>
      </c>
      <c r="C704" s="5" t="inlineStr">
        <is>
          <t>SVK</t>
        </is>
      </c>
      <c r="D704" s="5" t="inlineStr">
        <is>
          <t>Slovak Republic</t>
        </is>
      </c>
      <c r="E704" s="5" t="n">
        <v>2023</v>
      </c>
      <c r="F704" s="5" t="n">
        <v>0.2</v>
      </c>
      <c r="G704" s="5" t="n">
        <v>16.327</v>
      </c>
      <c r="H704" s="5" t="n">
        <v>1.228</v>
      </c>
      <c r="I704" s="5" t="n">
        <v>4.507</v>
      </c>
      <c r="J704" s="5" t="n">
        <v>20.834</v>
      </c>
      <c r="K704" s="5" t="n">
        <v>0</v>
      </c>
      <c r="L704" s="5" t="n">
        <v>1</v>
      </c>
      <c r="M704" s="5" t="n">
        <v>10.207</v>
      </c>
      <c r="N704" s="5" t="n">
        <v>3.685</v>
      </c>
      <c r="O704" s="5" t="n">
        <v>9.888</v>
      </c>
      <c r="P704" s="5" t="n">
        <v>20.095</v>
      </c>
      <c r="Q704" s="5" t="n">
        <v>0</v>
      </c>
      <c r="R704" s="5" t="n">
        <v>1</v>
      </c>
      <c r="S704" s="5" t="n">
        <v>9.571</v>
      </c>
      <c r="T704" s="5" t="n">
        <v>6.002</v>
      </c>
      <c r="U704" s="5" t="n">
        <v>0.01</v>
      </c>
      <c r="V704" s="5" t="n">
        <v>11.496</v>
      </c>
      <c r="W704" s="5" t="n">
        <v>0.2</v>
      </c>
      <c r="X704" s="5" t="n">
        <v>1</v>
      </c>
      <c r="Y704" s="5" t="n">
        <v>22.447</v>
      </c>
      <c r="Z704" s="5" t="n">
        <v>2.514</v>
      </c>
      <c r="AA704" s="5" t="n">
        <v>12.29</v>
      </c>
      <c r="AB704" s="5" t="n">
        <v>34.737</v>
      </c>
      <c r="AC704" s="5" t="n">
        <v>0</v>
      </c>
      <c r="AD704" s="5" t="n">
        <v>1</v>
      </c>
      <c r="AE704" s="5" t="n">
        <v>22.545</v>
      </c>
      <c r="AF704" s="5" t="n">
        <v>4.49</v>
      </c>
      <c r="AG704" s="5" t="n">
        <v>12.191</v>
      </c>
      <c r="AH704" s="5" t="n">
        <v>34.737</v>
      </c>
      <c r="AI704" s="5" t="n">
        <v>0</v>
      </c>
      <c r="AJ704" s="5" t="n">
        <v>1</v>
      </c>
      <c r="AK704" s="5" t="n">
        <v>25.823</v>
      </c>
      <c r="AL704" s="5" t="n">
        <v>12.792</v>
      </c>
      <c r="AM704" s="5" t="n">
        <v>-11.04</v>
      </c>
      <c r="AN704" s="5" t="n">
        <v>17.739</v>
      </c>
      <c r="AO704" s="5" t="n">
        <v>0</v>
      </c>
      <c r="AP704" s="5" t="n">
        <v>0</v>
      </c>
      <c r="AQ704" s="5" t="n">
        <v>0.76</v>
      </c>
      <c r="AR704" s="5" t="n">
        <v>0.129</v>
      </c>
      <c r="AS704" s="5" t="n">
        <v>0.674</v>
      </c>
      <c r="AT704" s="5" t="n">
        <v>1.722</v>
      </c>
      <c r="AU704" s="5" t="n">
        <v>0.2</v>
      </c>
      <c r="AV704" s="5" t="n">
        <v>1</v>
      </c>
      <c r="AW704" s="5" t="n">
        <v>0.8110000000000001</v>
      </c>
      <c r="AX704" s="5" t="n">
        <v>0.129</v>
      </c>
      <c r="AY704" s="5" t="n">
        <v>0.588</v>
      </c>
      <c r="AZ704" s="5" t="n">
        <v>1.679</v>
      </c>
      <c r="BA704" s="5" t="n">
        <v>0.2</v>
      </c>
      <c r="BB704" s="5" t="n">
        <v>1</v>
      </c>
      <c r="BC704" s="5" t="n">
        <v>0.535</v>
      </c>
      <c r="BD704" s="5" t="n">
        <v>0.129</v>
      </c>
      <c r="BE704" s="5" t="n">
        <v>0.117</v>
      </c>
      <c r="BF704" s="5" t="n">
        <v>0.783</v>
      </c>
      <c r="BG704" s="5" t="n">
        <v>0.2</v>
      </c>
      <c r="BH704" s="5" t="n">
        <v>1</v>
      </c>
      <c r="BI704" s="5" t="n">
        <v>0.579</v>
      </c>
      <c r="BJ704" s="5" t="n">
        <v>0.129</v>
      </c>
      <c r="BK704" s="5" t="n">
        <v>0.158</v>
      </c>
      <c r="BL704" s="5" t="n">
        <v>0.885</v>
      </c>
      <c r="BM704" s="5" t="n">
        <v>0.2</v>
      </c>
      <c r="BN704" s="5" t="n">
        <v>1</v>
      </c>
      <c r="BO704" s="5" t="n">
        <v>0</v>
      </c>
      <c r="BP704" s="5" t="n">
        <v>0.037</v>
      </c>
      <c r="BQ704" s="5" t="n">
        <v>0.253</v>
      </c>
      <c r="BR704" s="5" t="n">
        <v>0</v>
      </c>
      <c r="BS704" s="5" t="n">
        <v>1</v>
      </c>
      <c r="BT704" s="5" t="n">
        <v>0</v>
      </c>
      <c r="BU704" s="5" t="n">
        <v>0.035</v>
      </c>
      <c r="BV704" s="5" t="n">
        <v>0.207</v>
      </c>
      <c r="BW704" s="5" t="n">
        <v>0.2</v>
      </c>
      <c r="BX704" s="5" t="n">
        <v>0.667</v>
      </c>
      <c r="BY704" s="5" t="n">
        <v>13.254</v>
      </c>
      <c r="BZ704" s="5" t="n">
        <v>0</v>
      </c>
      <c r="CA704" s="5" t="n">
        <v>13.254</v>
      </c>
      <c r="CB704" s="5" t="n">
        <v>0</v>
      </c>
      <c r="CC704" s="5" t="n">
        <v>83.248</v>
      </c>
      <c r="CD704" s="5" t="n">
        <v>7.95</v>
      </c>
      <c r="CE704" s="5" t="n">
        <v>53.745</v>
      </c>
      <c r="CF704" s="5" t="n">
        <v>164.392</v>
      </c>
      <c r="CG704" s="5" t="n">
        <v>0.2</v>
      </c>
      <c r="CH704" s="5" t="n">
        <v>1</v>
      </c>
      <c r="CI704" s="5" t="n">
        <v>0</v>
      </c>
      <c r="CJ704" s="5" t="n">
        <v>0</v>
      </c>
      <c r="CK704" s="5" t="n">
        <v>0</v>
      </c>
      <c r="CL704" s="5" t="n">
        <v>0</v>
      </c>
      <c r="CM704" s="5" t="n">
        <v>0</v>
      </c>
      <c r="CN704" s="5" t="n">
        <v>0</v>
      </c>
      <c r="CO704" s="5" t="n">
        <v>0</v>
      </c>
      <c r="CP704" s="5" t="n">
        <v>0.089</v>
      </c>
      <c r="CQ704" s="5" t="n">
        <v>1.348</v>
      </c>
      <c r="CR704" s="5" t="n">
        <v>0</v>
      </c>
      <c r="CS704" s="5" t="n">
        <v>5.37</v>
      </c>
      <c r="CT704" s="5" t="n">
        <v>11.23</v>
      </c>
      <c r="CU704" s="5" t="n">
        <v>14.568</v>
      </c>
    </row>
    <row r="705">
      <c r="A705" s="5" t="inlineStr">
        <is>
          <t>SVK2024</t>
        </is>
      </c>
      <c r="B705" s="5" t="inlineStr">
        <is>
          <t>SVK</t>
        </is>
      </c>
      <c r="C705" s="5" t="inlineStr">
        <is>
          <t>SVK</t>
        </is>
      </c>
      <c r="D705" s="5" t="inlineStr">
        <is>
          <t>Slovak Republic</t>
        </is>
      </c>
      <c r="E705" s="5" t="n">
        <v>2024</v>
      </c>
      <c r="F705" s="5" t="n">
        <v>0.2</v>
      </c>
      <c r="G705" s="5" t="n">
        <v>14.427</v>
      </c>
      <c r="H705" s="5" t="n">
        <v>1.265</v>
      </c>
      <c r="I705" s="5" t="n">
        <v>1.156</v>
      </c>
      <c r="J705" s="5" t="n">
        <v>15.583</v>
      </c>
      <c r="K705" s="5" t="n">
        <v>0</v>
      </c>
      <c r="L705" s="5" t="n">
        <v>1</v>
      </c>
      <c r="M705" s="5" t="n">
        <v>10.275</v>
      </c>
      <c r="N705" s="5" t="n">
        <v>3.794</v>
      </c>
      <c r="O705" s="5" t="n">
        <v>6.48</v>
      </c>
      <c r="P705" s="5" t="n">
        <v>16.755</v>
      </c>
      <c r="Q705" s="5" t="n">
        <v>0</v>
      </c>
      <c r="R705" s="5" t="n">
        <v>1</v>
      </c>
      <c r="S705" s="5" t="n">
        <v>9.33</v>
      </c>
      <c r="T705" s="5" t="n">
        <v>6.177</v>
      </c>
      <c r="U705" s="5" t="n">
        <v>0.01</v>
      </c>
      <c r="V705" s="5" t="n">
        <v>11.208</v>
      </c>
      <c r="W705" s="5" t="n">
        <v>0.2</v>
      </c>
      <c r="X705" s="5" t="n">
        <v>1</v>
      </c>
      <c r="Y705" s="5" t="n">
        <v>21.08</v>
      </c>
      <c r="Z705" s="5" t="n">
        <v>2.662</v>
      </c>
      <c r="AA705" s="5" t="n">
        <v>4.065</v>
      </c>
      <c r="AB705" s="5" t="n">
        <v>25.144</v>
      </c>
      <c r="AC705" s="5" t="n">
        <v>0</v>
      </c>
      <c r="AD705" s="5" t="n">
        <v>1</v>
      </c>
      <c r="AE705" s="5" t="n">
        <v>21.08</v>
      </c>
      <c r="AF705" s="5" t="n">
        <v>4.618</v>
      </c>
      <c r="AG705" s="5" t="n">
        <v>4.065</v>
      </c>
      <c r="AH705" s="5" t="n">
        <v>25.144</v>
      </c>
      <c r="AI705" s="5" t="n">
        <v>0</v>
      </c>
      <c r="AJ705" s="5" t="n">
        <v>1</v>
      </c>
      <c r="AK705" s="5" t="n">
        <v>21.496</v>
      </c>
      <c r="AL705" s="5" t="n">
        <v>10.933</v>
      </c>
      <c r="AM705" s="5" t="n">
        <v>-6.649</v>
      </c>
      <c r="AN705" s="5" t="n">
        <v>17.815</v>
      </c>
      <c r="AO705" s="5" t="n">
        <v>0</v>
      </c>
      <c r="AP705" s="5" t="n">
        <v>0</v>
      </c>
      <c r="AQ705" s="5" t="n">
        <v>0.724</v>
      </c>
      <c r="AR705" s="5" t="n">
        <v>0.132</v>
      </c>
      <c r="AS705" s="5" t="n">
        <v>0.694</v>
      </c>
      <c r="AT705" s="5" t="n">
        <v>1.702</v>
      </c>
      <c r="AU705" s="5" t="n">
        <v>0.2</v>
      </c>
      <c r="AV705" s="5" t="n">
        <v>1</v>
      </c>
      <c r="AW705" s="5" t="n">
        <v>0.75</v>
      </c>
      <c r="AX705" s="5" t="n">
        <v>0.132</v>
      </c>
      <c r="AY705" s="5" t="n">
        <v>0.603</v>
      </c>
      <c r="AZ705" s="5" t="n">
        <v>1.624</v>
      </c>
      <c r="BA705" s="5" t="n">
        <v>0.2</v>
      </c>
      <c r="BB705" s="5" t="n">
        <v>1</v>
      </c>
      <c r="BC705" s="5" t="n">
        <v>0.513</v>
      </c>
      <c r="BD705" s="5" t="n">
        <v>0.132</v>
      </c>
      <c r="BE705" s="5" t="n">
        <v>0.128</v>
      </c>
      <c r="BF705" s="5" t="n">
        <v>0.77</v>
      </c>
      <c r="BG705" s="5" t="n">
        <v>0.2</v>
      </c>
      <c r="BH705" s="5" t="n">
        <v>1</v>
      </c>
      <c r="BI705" s="5" t="n">
        <v>0.591</v>
      </c>
      <c r="BJ705" s="5" t="n">
        <v>0.132</v>
      </c>
      <c r="BK705" s="5" t="n">
        <v>0.111</v>
      </c>
      <c r="BL705" s="5" t="n">
        <v>0.843</v>
      </c>
      <c r="BM705" s="5" t="n">
        <v>0.2</v>
      </c>
      <c r="BN705" s="5" t="n">
        <v>1</v>
      </c>
      <c r="BO705" s="5" t="n">
        <v>0</v>
      </c>
      <c r="BP705" s="5" t="n">
        <v>0.025</v>
      </c>
      <c r="BQ705" s="5" t="n">
        <v>0.186</v>
      </c>
      <c r="BR705" s="5" t="n">
        <v>0</v>
      </c>
      <c r="BS705" s="5" t="n">
        <v>1</v>
      </c>
      <c r="BT705" s="5" t="n">
        <v>0</v>
      </c>
      <c r="BU705" s="5" t="n">
        <v>0.028</v>
      </c>
      <c r="BV705" s="5" t="n">
        <v>0.194</v>
      </c>
      <c r="BW705" s="5" t="n">
        <v>0.2</v>
      </c>
      <c r="BX705" s="5" t="n">
        <v>0.667</v>
      </c>
      <c r="BY705" s="5" t="n">
        <v>13.646</v>
      </c>
      <c r="BZ705" s="5" t="n">
        <v>0</v>
      </c>
      <c r="CA705" s="5" t="n">
        <v>13.646</v>
      </c>
      <c r="CB705" s="5" t="n">
        <v>0</v>
      </c>
      <c r="CC705" s="5" t="n">
        <v>82.58799999999999</v>
      </c>
      <c r="CD705" s="5" t="n">
        <v>7.95</v>
      </c>
      <c r="CE705" s="5" t="n">
        <v>42.672</v>
      </c>
      <c r="CF705" s="5" t="n">
        <v>150.312</v>
      </c>
      <c r="CG705" s="5" t="n">
        <v>0.2</v>
      </c>
      <c r="CH705" s="5" t="n">
        <v>1</v>
      </c>
      <c r="CI705" s="5" t="n">
        <v>0</v>
      </c>
      <c r="CJ705" s="5" t="n">
        <v>0</v>
      </c>
      <c r="CK705" s="5" t="n">
        <v>0</v>
      </c>
      <c r="CL705" s="5" t="n">
        <v>0</v>
      </c>
      <c r="CM705" s="5" t="n">
        <v>0</v>
      </c>
      <c r="CN705" s="5" t="n">
        <v>0</v>
      </c>
      <c r="CO705" s="5" t="n">
        <v>0</v>
      </c>
      <c r="CP705" s="5" t="n">
        <v>0.089</v>
      </c>
      <c r="CQ705" s="5" t="n">
        <v>1.387</v>
      </c>
      <c r="CR705" s="5" t="n">
        <v>0</v>
      </c>
      <c r="CS705" s="5" t="n">
        <v>5.529</v>
      </c>
      <c r="CT705" s="5" t="n">
        <v>8.946999999999999</v>
      </c>
      <c r="CU705" s="5" t="n">
        <v>10.966</v>
      </c>
    </row>
    <row r="706">
      <c r="A706" s="5" t="inlineStr">
        <is>
          <t>SVN2021</t>
        </is>
      </c>
      <c r="B706" s="5" t="inlineStr">
        <is>
          <t>SVN</t>
        </is>
      </c>
      <c r="C706" s="5" t="inlineStr">
        <is>
          <t>SVN</t>
        </is>
      </c>
      <c r="D706" s="5" t="inlineStr">
        <is>
          <t>Slovenia</t>
        </is>
      </c>
      <c r="E706" s="5" t="n">
        <v>2021</v>
      </c>
      <c r="F706" s="5" t="n">
        <v>0.22</v>
      </c>
      <c r="G706" s="5" t="n">
        <v>2.58</v>
      </c>
      <c r="H706" s="5" t="n">
        <v>0.634</v>
      </c>
      <c r="I706" s="5" t="n">
        <v>1.787</v>
      </c>
      <c r="J706" s="5" t="n">
        <v>4.367</v>
      </c>
      <c r="K706" s="5" t="n">
        <v>0</v>
      </c>
      <c r="L706" s="5" t="n">
        <v>1</v>
      </c>
      <c r="M706" s="5" t="n">
        <v>3.466</v>
      </c>
      <c r="N706" s="5" t="n">
        <v>1.903</v>
      </c>
      <c r="O706" s="5" t="n">
        <v>2.137</v>
      </c>
      <c r="P706" s="5" t="n">
        <v>5.603</v>
      </c>
      <c r="Q706" s="5" t="n">
        <v>0</v>
      </c>
      <c r="R706" s="5" t="n">
        <v>1</v>
      </c>
      <c r="S706" s="5" t="n">
        <v>5.751</v>
      </c>
      <c r="T706" s="5" t="n">
        <v>3.805</v>
      </c>
      <c r="U706" s="5" t="n">
        <v>2.644</v>
      </c>
      <c r="V706" s="5" t="n">
        <v>10.242</v>
      </c>
      <c r="W706" s="5" t="n">
        <v>0.22</v>
      </c>
      <c r="X706" s="5" t="n">
        <v>1</v>
      </c>
      <c r="Y706" s="5" t="n">
        <v>10.622</v>
      </c>
      <c r="Z706" s="5" t="n">
        <v>1.173</v>
      </c>
      <c r="AA706" s="5" t="n">
        <v>3.015</v>
      </c>
      <c r="AB706" s="5" t="n">
        <v>13.637</v>
      </c>
      <c r="AC706" s="5" t="n">
        <v>0</v>
      </c>
      <c r="AD706" s="5" t="n">
        <v>1</v>
      </c>
      <c r="AE706" s="5" t="n">
        <v>10.579</v>
      </c>
      <c r="AF706" s="5" t="n">
        <v>2.082</v>
      </c>
      <c r="AG706" s="5" t="n">
        <v>3.059</v>
      </c>
      <c r="AH706" s="5" t="n">
        <v>13.637</v>
      </c>
      <c r="AI706" s="5" t="n">
        <v>0</v>
      </c>
      <c r="AJ706" s="5" t="n">
        <v>1</v>
      </c>
      <c r="AK706" s="5" t="n">
        <v>15.139</v>
      </c>
      <c r="AL706" s="5" t="n">
        <v>7.43</v>
      </c>
      <c r="AM706" s="5" t="n">
        <v>0.129</v>
      </c>
      <c r="AN706" s="5" t="n">
        <v>18.627</v>
      </c>
      <c r="AO706" s="5" t="n">
        <v>0.22</v>
      </c>
      <c r="AP706" s="5" t="n">
        <v>1</v>
      </c>
      <c r="AQ706" s="5" t="n">
        <v>0.619</v>
      </c>
      <c r="AR706" s="5" t="n">
        <v>0.114</v>
      </c>
      <c r="AS706" s="5" t="n">
        <v>0.5659999999999999</v>
      </c>
      <c r="AT706" s="5" t="n">
        <v>1.446</v>
      </c>
      <c r="AU706" s="5" t="n">
        <v>0.22</v>
      </c>
      <c r="AV706" s="5" t="n">
        <v>1</v>
      </c>
      <c r="AW706" s="5" t="n">
        <v>0.599</v>
      </c>
      <c r="AX706" s="5" t="n">
        <v>0.114</v>
      </c>
      <c r="AY706" s="5" t="n">
        <v>0.638</v>
      </c>
      <c r="AZ706" s="5" t="n">
        <v>1.509</v>
      </c>
      <c r="BA706" s="5" t="n">
        <v>0.22</v>
      </c>
      <c r="BB706" s="5" t="n">
        <v>1</v>
      </c>
      <c r="BC706" s="5" t="n">
        <v>0.439</v>
      </c>
      <c r="BD706" s="5" t="n">
        <v>0.114</v>
      </c>
      <c r="BE706" s="5" t="n">
        <v>0.248</v>
      </c>
      <c r="BF706" s="5" t="n">
        <v>0.838</v>
      </c>
      <c r="BG706" s="5" t="n">
        <v>0.22</v>
      </c>
      <c r="BH706" s="5" t="n">
        <v>1</v>
      </c>
      <c r="BI706" s="5" t="n">
        <v>0.505</v>
      </c>
      <c r="BJ706" s="5" t="n">
        <v>0.114</v>
      </c>
      <c r="BK706" s="5" t="n">
        <v>0.434</v>
      </c>
      <c r="BL706" s="5" t="n">
        <v>1.146</v>
      </c>
      <c r="BM706" s="5" t="n">
        <v>0.22</v>
      </c>
      <c r="BN706" s="5" t="n">
        <v>1</v>
      </c>
      <c r="BO706" s="5" t="n">
        <v>0</v>
      </c>
      <c r="BP706" s="5" t="n">
        <v>0.011</v>
      </c>
      <c r="BQ706" s="5" t="n">
        <v>0.098</v>
      </c>
      <c r="BR706" s="5" t="n">
        <v>0</v>
      </c>
      <c r="BS706" s="5" t="n">
        <v>1</v>
      </c>
      <c r="BT706" s="5" t="n">
        <v>0</v>
      </c>
      <c r="BU706" s="5" t="n">
        <v>0.025</v>
      </c>
      <c r="BV706" s="5" t="n">
        <v>0.199</v>
      </c>
      <c r="BW706" s="5" t="n">
        <v>0.22</v>
      </c>
      <c r="BX706" s="5" t="n">
        <v>1</v>
      </c>
      <c r="BY706" s="5" t="n">
        <v>11.787</v>
      </c>
      <c r="BZ706" s="5" t="n">
        <v>0</v>
      </c>
      <c r="CA706" s="5" t="n">
        <v>11.787</v>
      </c>
      <c r="CB706" s="5" t="n">
        <v>0</v>
      </c>
      <c r="CC706" s="5" t="n">
        <v>78.125</v>
      </c>
      <c r="CD706" s="5" t="n">
        <v>7.95</v>
      </c>
      <c r="CE706" s="5" t="n">
        <v>82.363</v>
      </c>
      <c r="CF706" s="5" t="n">
        <v>195.796</v>
      </c>
      <c r="CG706" s="5" t="n">
        <v>0.22</v>
      </c>
      <c r="CH706" s="5" t="n">
        <v>1</v>
      </c>
      <c r="CI706" s="5" t="n">
        <v>0</v>
      </c>
      <c r="CJ706" s="5" t="n">
        <v>0</v>
      </c>
      <c r="CK706" s="5" t="n">
        <v>0</v>
      </c>
      <c r="CL706" s="5" t="n">
        <v>0</v>
      </c>
      <c r="CM706" s="5" t="n">
        <v>0</v>
      </c>
      <c r="CN706" s="5" t="n">
        <v>0</v>
      </c>
      <c r="CO706" s="5" t="n">
        <v>0</v>
      </c>
      <c r="CP706" s="5" t="n">
        <v>0.891</v>
      </c>
      <c r="CQ706" s="5" t="n">
        <v>1.198</v>
      </c>
      <c r="CR706" s="5" t="n">
        <v>0</v>
      </c>
      <c r="CS706" s="5" t="n">
        <v>4.776</v>
      </c>
      <c r="CT706" s="5" t="n">
        <v>8.026</v>
      </c>
      <c r="CU706" s="5" t="n">
        <v>7.971</v>
      </c>
    </row>
    <row r="707">
      <c r="A707" s="5" t="inlineStr">
        <is>
          <t>SVN2022</t>
        </is>
      </c>
      <c r="B707" s="5" t="inlineStr">
        <is>
          <t>SVN</t>
        </is>
      </c>
      <c r="C707" s="5" t="inlineStr">
        <is>
          <t>SVN</t>
        </is>
      </c>
      <c r="D707" s="5" t="inlineStr">
        <is>
          <t>Slovenia</t>
        </is>
      </c>
      <c r="E707" s="5" t="n">
        <v>2022</v>
      </c>
      <c r="F707" s="5" t="n">
        <v>0.22</v>
      </c>
      <c r="G707" s="5" t="n">
        <v>7.491</v>
      </c>
      <c r="H707" s="5" t="n">
        <v>0.791</v>
      </c>
      <c r="I707" s="5" t="n">
        <v>8.552</v>
      </c>
      <c r="J707" s="5" t="n">
        <v>16.043</v>
      </c>
      <c r="K707" s="5" t="n">
        <v>0</v>
      </c>
      <c r="L707" s="5" t="n">
        <v>1</v>
      </c>
      <c r="M707" s="5" t="n">
        <v>5.014</v>
      </c>
      <c r="N707" s="5" t="n">
        <v>2.373</v>
      </c>
      <c r="O707" s="5" t="n">
        <v>8.77</v>
      </c>
      <c r="P707" s="5" t="n">
        <v>13.784</v>
      </c>
      <c r="Q707" s="5" t="n">
        <v>0</v>
      </c>
      <c r="R707" s="5" t="n">
        <v>1</v>
      </c>
      <c r="S707" s="5" t="n">
        <v>11.447</v>
      </c>
      <c r="T707" s="5" t="n">
        <v>4.746</v>
      </c>
      <c r="U707" s="5" t="n">
        <v>2.983</v>
      </c>
      <c r="V707" s="5" t="n">
        <v>17.323</v>
      </c>
      <c r="W707" s="5" t="n">
        <v>0.22</v>
      </c>
      <c r="X707" s="5" t="n">
        <v>1</v>
      </c>
      <c r="Y707" s="5" t="n">
        <v>28.201</v>
      </c>
      <c r="Z707" s="5" t="n">
        <v>2.958</v>
      </c>
      <c r="AA707" s="5" t="n">
        <v>-1.608</v>
      </c>
      <c r="AB707" s="5" t="n">
        <v>26.593</v>
      </c>
      <c r="AC707" s="5" t="n">
        <v>0</v>
      </c>
      <c r="AD707" s="5" t="n">
        <v>1</v>
      </c>
      <c r="AE707" s="5" t="n">
        <v>28.248</v>
      </c>
      <c r="AF707" s="5" t="n">
        <v>5.237</v>
      </c>
      <c r="AG707" s="5" t="n">
        <v>-1.656</v>
      </c>
      <c r="AH707" s="5" t="n">
        <v>26.593</v>
      </c>
      <c r="AI707" s="5" t="n">
        <v>0</v>
      </c>
      <c r="AJ707" s="5" t="n">
        <v>1</v>
      </c>
      <c r="AK707" s="5" t="n">
        <v>33.174</v>
      </c>
      <c r="AL707" s="5" t="n">
        <v>15.842</v>
      </c>
      <c r="AM707" s="5" t="n">
        <v>-13.604</v>
      </c>
      <c r="AN707" s="5" t="n">
        <v>23.875</v>
      </c>
      <c r="AO707" s="5" t="n">
        <v>0.22</v>
      </c>
      <c r="AP707" s="5" t="n">
        <v>1</v>
      </c>
      <c r="AQ707" s="5" t="n">
        <v>0.861</v>
      </c>
      <c r="AR707" s="5" t="n">
        <v>0.123</v>
      </c>
      <c r="AS707" s="5" t="n">
        <v>0.428</v>
      </c>
      <c r="AT707" s="5" t="n">
        <v>1.573</v>
      </c>
      <c r="AU707" s="5" t="n">
        <v>0.22</v>
      </c>
      <c r="AV707" s="5" t="n">
        <v>1</v>
      </c>
      <c r="AW707" s="5" t="n">
        <v>0.986</v>
      </c>
      <c r="AX707" s="5" t="n">
        <v>0.123</v>
      </c>
      <c r="AY707" s="5" t="n">
        <v>0.427</v>
      </c>
      <c r="AZ707" s="5" t="n">
        <v>1.724</v>
      </c>
      <c r="BA707" s="5" t="n">
        <v>0.22</v>
      </c>
      <c r="BB707" s="5" t="n">
        <v>1</v>
      </c>
      <c r="BC707" s="5" t="n">
        <v>0.598</v>
      </c>
      <c r="BD707" s="5" t="n">
        <v>0.123</v>
      </c>
      <c r="BE707" s="5" t="n">
        <v>0.244</v>
      </c>
      <c r="BF707" s="5" t="n">
        <v>1.027</v>
      </c>
      <c r="BG707" s="5" t="n">
        <v>0.22</v>
      </c>
      <c r="BH707" s="5" t="n">
        <v>1</v>
      </c>
      <c r="BI707" s="5" t="n">
        <v>0.612</v>
      </c>
      <c r="BJ707" s="5" t="n">
        <v>0.123</v>
      </c>
      <c r="BK707" s="5" t="n">
        <v>0.5</v>
      </c>
      <c r="BL707" s="5" t="n">
        <v>1.357</v>
      </c>
      <c r="BM707" s="5" t="n">
        <v>0.22</v>
      </c>
      <c r="BN707" s="5" t="n">
        <v>1</v>
      </c>
      <c r="BO707" s="5" t="n">
        <v>0</v>
      </c>
      <c r="BP707" s="5" t="n">
        <v>0.008</v>
      </c>
      <c r="BQ707" s="5" t="n">
        <v>0.18</v>
      </c>
      <c r="BR707" s="5" t="n">
        <v>0</v>
      </c>
      <c r="BS707" s="5" t="n">
        <v>1</v>
      </c>
      <c r="BT707" s="5" t="n">
        <v>0</v>
      </c>
      <c r="BU707" s="5" t="n">
        <v>0.014</v>
      </c>
      <c r="BV707" s="5" t="n">
        <v>0.176</v>
      </c>
      <c r="BW707" s="5" t="n">
        <v>0.22</v>
      </c>
      <c r="BX707" s="5" t="n">
        <v>1</v>
      </c>
      <c r="BY707" s="5" t="n">
        <v>12.729</v>
      </c>
      <c r="BZ707" s="5" t="n">
        <v>0</v>
      </c>
      <c r="CA707" s="5" t="n">
        <v>12.729</v>
      </c>
      <c r="CB707" s="5" t="n">
        <v>0</v>
      </c>
      <c r="CC707" s="5" t="n">
        <v>97.90000000000001</v>
      </c>
      <c r="CD707" s="5" t="n">
        <v>7.95</v>
      </c>
      <c r="CE707" s="5" t="n">
        <v>117.374</v>
      </c>
      <c r="CF707" s="5" t="n">
        <v>262.634</v>
      </c>
      <c r="CG707" s="5" t="n">
        <v>0.22</v>
      </c>
      <c r="CH707" s="5" t="n">
        <v>1</v>
      </c>
      <c r="CI707" s="5" t="n">
        <v>0</v>
      </c>
      <c r="CJ707" s="5" t="n">
        <v>0</v>
      </c>
      <c r="CK707" s="5" t="n">
        <v>0</v>
      </c>
      <c r="CL707" s="5" t="n">
        <v>0</v>
      </c>
      <c r="CM707" s="5" t="n">
        <v>0</v>
      </c>
      <c r="CN707" s="5" t="n">
        <v>0</v>
      </c>
      <c r="CO707" s="5" t="n">
        <v>0</v>
      </c>
      <c r="CP707" s="5" t="n">
        <v>0.719</v>
      </c>
      <c r="CQ707" s="5" t="n">
        <v>1.294</v>
      </c>
      <c r="CR707" s="5" t="n">
        <v>0</v>
      </c>
      <c r="CS707" s="5" t="n">
        <v>5.158</v>
      </c>
      <c r="CT707" s="5" t="n">
        <v>20.506</v>
      </c>
      <c r="CU707" s="5" t="n">
        <v>25.458</v>
      </c>
    </row>
    <row r="708">
      <c r="A708" s="5" t="inlineStr">
        <is>
          <t>SVN2023</t>
        </is>
      </c>
      <c r="B708" s="5" t="inlineStr">
        <is>
          <t>SVN</t>
        </is>
      </c>
      <c r="C708" s="5" t="inlineStr">
        <is>
          <t>SVN</t>
        </is>
      </c>
      <c r="D708" s="5" t="inlineStr">
        <is>
          <t>Slovenia</t>
        </is>
      </c>
      <c r="E708" s="5" t="n">
        <v>2023</v>
      </c>
      <c r="F708" s="5" t="n">
        <v>0.22</v>
      </c>
      <c r="G708" s="5" t="n">
        <v>4.555</v>
      </c>
      <c r="H708" s="5" t="n">
        <v>0.823</v>
      </c>
      <c r="I708" s="5" t="n">
        <v>9.911</v>
      </c>
      <c r="J708" s="5" t="n">
        <v>14.466</v>
      </c>
      <c r="K708" s="5" t="n">
        <v>0</v>
      </c>
      <c r="L708" s="5" t="n">
        <v>1</v>
      </c>
      <c r="M708" s="5" t="n">
        <v>4.566</v>
      </c>
      <c r="N708" s="5" t="n">
        <v>2.468</v>
      </c>
      <c r="O708" s="5" t="n">
        <v>10.093</v>
      </c>
      <c r="P708" s="5" t="n">
        <v>14.66</v>
      </c>
      <c r="Q708" s="5" t="n">
        <v>0</v>
      </c>
      <c r="R708" s="5" t="n">
        <v>1</v>
      </c>
      <c r="S708" s="5" t="n">
        <v>8.669</v>
      </c>
      <c r="T708" s="5" t="n">
        <v>4.937</v>
      </c>
      <c r="U708" s="5" t="n">
        <v>1.086</v>
      </c>
      <c r="V708" s="5" t="n">
        <v>11.618</v>
      </c>
      <c r="W708" s="5" t="n">
        <v>0.22</v>
      </c>
      <c r="X708" s="5" t="n">
        <v>1</v>
      </c>
      <c r="Y708" s="5" t="n">
        <v>22.754</v>
      </c>
      <c r="Z708" s="5" t="n">
        <v>2.549</v>
      </c>
      <c r="AA708" s="5" t="n">
        <v>5.215</v>
      </c>
      <c r="AB708" s="5" t="n">
        <v>27.969</v>
      </c>
      <c r="AC708" s="5" t="n">
        <v>0</v>
      </c>
      <c r="AD708" s="5" t="n">
        <v>1</v>
      </c>
      <c r="AE708" s="5" t="n">
        <v>22.853</v>
      </c>
      <c r="AF708" s="5" t="n">
        <v>4.551</v>
      </c>
      <c r="AG708" s="5" t="n">
        <v>5.116</v>
      </c>
      <c r="AH708" s="5" t="n">
        <v>27.969</v>
      </c>
      <c r="AI708" s="5" t="n">
        <v>0</v>
      </c>
      <c r="AJ708" s="5" t="n">
        <v>1</v>
      </c>
      <c r="AK708" s="5" t="n">
        <v>27.981</v>
      </c>
      <c r="AL708" s="5" t="n">
        <v>13.861</v>
      </c>
      <c r="AM708" s="5" t="n">
        <v>-2.404</v>
      </c>
      <c r="AN708" s="5" t="n">
        <v>31.203</v>
      </c>
      <c r="AO708" s="5" t="n">
        <v>0.22</v>
      </c>
      <c r="AP708" s="5" t="n">
        <v>1</v>
      </c>
      <c r="AQ708" s="5" t="n">
        <v>0.76</v>
      </c>
      <c r="AR708" s="5" t="n">
        <v>0.129</v>
      </c>
      <c r="AS708" s="5" t="n">
        <v>0.524</v>
      </c>
      <c r="AT708" s="5" t="n">
        <v>1.567</v>
      </c>
      <c r="AU708" s="5" t="n">
        <v>0.22</v>
      </c>
      <c r="AV708" s="5" t="n">
        <v>1</v>
      </c>
      <c r="AW708" s="5" t="n">
        <v>0.8110000000000001</v>
      </c>
      <c r="AX708" s="5" t="n">
        <v>0.129</v>
      </c>
      <c r="AY708" s="5" t="n">
        <v>0.5570000000000001</v>
      </c>
      <c r="AZ708" s="5" t="n">
        <v>1.669</v>
      </c>
      <c r="BA708" s="5" t="n">
        <v>0.22</v>
      </c>
      <c r="BB708" s="5" t="n">
        <v>1</v>
      </c>
      <c r="BC708" s="5" t="n">
        <v>0.535</v>
      </c>
      <c r="BD708" s="5" t="n">
        <v>0.129</v>
      </c>
      <c r="BE708" s="5" t="n">
        <v>0.253</v>
      </c>
      <c r="BF708" s="5" t="n">
        <v>0.961</v>
      </c>
      <c r="BG708" s="5" t="n">
        <v>0.22</v>
      </c>
      <c r="BH708" s="5" t="n">
        <v>1</v>
      </c>
      <c r="BI708" s="5" t="n">
        <v>0.579</v>
      </c>
      <c r="BJ708" s="5" t="n">
        <v>0.129</v>
      </c>
      <c r="BK708" s="5" t="n">
        <v>0.402</v>
      </c>
      <c r="BL708" s="5" t="n">
        <v>1.197</v>
      </c>
      <c r="BM708" s="5" t="n">
        <v>0.22</v>
      </c>
      <c r="BN708" s="5" t="n">
        <v>1</v>
      </c>
      <c r="BO708" s="5" t="n">
        <v>0</v>
      </c>
      <c r="BP708" s="5" t="n">
        <v>0.008</v>
      </c>
      <c r="BQ708" s="5" t="n">
        <v>0.199</v>
      </c>
      <c r="BR708" s="5" t="n">
        <v>0</v>
      </c>
      <c r="BS708" s="5" t="n">
        <v>1</v>
      </c>
      <c r="BT708" s="5" t="n">
        <v>0</v>
      </c>
      <c r="BU708" s="5" t="n">
        <v>0.013</v>
      </c>
      <c r="BV708" s="5" t="n">
        <v>0.218</v>
      </c>
      <c r="BW708" s="5" t="n">
        <v>0.22</v>
      </c>
      <c r="BX708" s="5" t="n">
        <v>1</v>
      </c>
      <c r="BY708" s="5" t="n">
        <v>13.254</v>
      </c>
      <c r="BZ708" s="5" t="n">
        <v>0</v>
      </c>
      <c r="CA708" s="5" t="n">
        <v>13.254</v>
      </c>
      <c r="CB708" s="5" t="n">
        <v>0</v>
      </c>
      <c r="CC708" s="5" t="n">
        <v>83.248</v>
      </c>
      <c r="CD708" s="5" t="n">
        <v>7.95</v>
      </c>
      <c r="CE708" s="5" t="n">
        <v>116.427</v>
      </c>
      <c r="CF708" s="5" t="n">
        <v>243.604</v>
      </c>
      <c r="CG708" s="5" t="n">
        <v>0.22</v>
      </c>
      <c r="CH708" s="5" t="n">
        <v>1</v>
      </c>
      <c r="CI708" s="5" t="n">
        <v>0</v>
      </c>
      <c r="CJ708" s="5" t="n">
        <v>0</v>
      </c>
      <c r="CK708" s="5" t="n">
        <v>0</v>
      </c>
      <c r="CL708" s="5" t="n">
        <v>0</v>
      </c>
      <c r="CM708" s="5" t="n">
        <v>0</v>
      </c>
      <c r="CN708" s="5" t="n">
        <v>0</v>
      </c>
      <c r="CO708" s="5" t="n">
        <v>0</v>
      </c>
      <c r="CP708" s="5" t="n">
        <v>0.72</v>
      </c>
      <c r="CQ708" s="5" t="n">
        <v>1.348</v>
      </c>
      <c r="CR708" s="5" t="n">
        <v>0</v>
      </c>
      <c r="CS708" s="5" t="n">
        <v>5.37</v>
      </c>
      <c r="CT708" s="5" t="n">
        <v>9.867000000000001</v>
      </c>
      <c r="CU708" s="5" t="n">
        <v>19.961</v>
      </c>
    </row>
    <row r="709">
      <c r="A709" s="5" t="inlineStr">
        <is>
          <t>SVN2024</t>
        </is>
      </c>
      <c r="B709" s="5" t="inlineStr">
        <is>
          <t>SVN</t>
        </is>
      </c>
      <c r="C709" s="5" t="inlineStr">
        <is>
          <t>SVN</t>
        </is>
      </c>
      <c r="D709" s="5" t="inlineStr">
        <is>
          <t>Slovenia</t>
        </is>
      </c>
      <c r="E709" s="5" t="n">
        <v>2024</v>
      </c>
      <c r="F709" s="5" t="n">
        <v>0.22</v>
      </c>
      <c r="G709" s="5" t="n">
        <v>4.007</v>
      </c>
      <c r="H709" s="5" t="n">
        <v>0.847</v>
      </c>
      <c r="I709" s="5" t="n">
        <v>6.495</v>
      </c>
      <c r="J709" s="5" t="n">
        <v>10.503</v>
      </c>
      <c r="K709" s="5" t="n">
        <v>0</v>
      </c>
      <c r="L709" s="5" t="n">
        <v>1</v>
      </c>
      <c r="M709" s="5" t="n">
        <v>4.423</v>
      </c>
      <c r="N709" s="5" t="n">
        <v>2.541</v>
      </c>
      <c r="O709" s="5" t="n">
        <v>6.739</v>
      </c>
      <c r="P709" s="5" t="n">
        <v>11.161</v>
      </c>
      <c r="Q709" s="5" t="n">
        <v>0</v>
      </c>
      <c r="R709" s="5" t="n">
        <v>1</v>
      </c>
      <c r="S709" s="5" t="n">
        <v>8.242000000000001</v>
      </c>
      <c r="T709" s="5" t="n">
        <v>5.082</v>
      </c>
      <c r="U709" s="5" t="n">
        <v>3.123</v>
      </c>
      <c r="V709" s="5" t="n">
        <v>13.463</v>
      </c>
      <c r="W709" s="5" t="n">
        <v>0.22</v>
      </c>
      <c r="X709" s="5" t="n">
        <v>1</v>
      </c>
      <c r="Y709" s="5" t="n">
        <v>15.716</v>
      </c>
      <c r="Z709" s="5" t="n">
        <v>1.984</v>
      </c>
      <c r="AA709" s="5" t="n">
        <v>5.339</v>
      </c>
      <c r="AB709" s="5" t="n">
        <v>21.055</v>
      </c>
      <c r="AC709" s="5" t="n">
        <v>0</v>
      </c>
      <c r="AD709" s="5" t="n">
        <v>1</v>
      </c>
      <c r="AE709" s="5" t="n">
        <v>15.716</v>
      </c>
      <c r="AF709" s="5" t="n">
        <v>3.443</v>
      </c>
      <c r="AG709" s="5" t="n">
        <v>5.339</v>
      </c>
      <c r="AH709" s="5" t="n">
        <v>21.055</v>
      </c>
      <c r="AI709" s="5" t="n">
        <v>0</v>
      </c>
      <c r="AJ709" s="5" t="n">
        <v>1</v>
      </c>
      <c r="AK709" s="5" t="n">
        <v>20.995</v>
      </c>
      <c r="AL709" s="5" t="n">
        <v>10.679</v>
      </c>
      <c r="AM709" s="5" t="n">
        <v>2.19</v>
      </c>
      <c r="AN709" s="5" t="n">
        <v>28.286</v>
      </c>
      <c r="AO709" s="5" t="n">
        <v>0.22</v>
      </c>
      <c r="AP709" s="5" t="n">
        <v>1</v>
      </c>
      <c r="AQ709" s="5" t="n">
        <v>0.724</v>
      </c>
      <c r="AR709" s="5" t="n">
        <v>0.132</v>
      </c>
      <c r="AS709" s="5" t="n">
        <v>0.6</v>
      </c>
      <c r="AT709" s="5" t="n">
        <v>1.616</v>
      </c>
      <c r="AU709" s="5" t="n">
        <v>0.22</v>
      </c>
      <c r="AV709" s="5" t="n">
        <v>1</v>
      </c>
      <c r="AW709" s="5" t="n">
        <v>0.75</v>
      </c>
      <c r="AX709" s="5" t="n">
        <v>0.132</v>
      </c>
      <c r="AY709" s="5" t="n">
        <v>0.604</v>
      </c>
      <c r="AZ709" s="5" t="n">
        <v>1.652</v>
      </c>
      <c r="BA709" s="5" t="n">
        <v>0.22</v>
      </c>
      <c r="BB709" s="5" t="n">
        <v>1</v>
      </c>
      <c r="BC709" s="5" t="n">
        <v>0.513</v>
      </c>
      <c r="BD709" s="5" t="n">
        <v>0.132</v>
      </c>
      <c r="BE709" s="5" t="n">
        <v>0.259</v>
      </c>
      <c r="BF709" s="5" t="n">
        <v>0.9409999999999999</v>
      </c>
      <c r="BG709" s="5" t="n">
        <v>0.22</v>
      </c>
      <c r="BH709" s="5" t="n">
        <v>1</v>
      </c>
      <c r="BI709" s="5" t="n">
        <v>0.591</v>
      </c>
      <c r="BJ709" s="5" t="n">
        <v>0.132</v>
      </c>
      <c r="BK709" s="5" t="n">
        <v>0.367</v>
      </c>
      <c r="BL709" s="5" t="n">
        <v>1.169</v>
      </c>
      <c r="BM709" s="5" t="n">
        <v>0.22</v>
      </c>
      <c r="BN709" s="5" t="n">
        <v>1</v>
      </c>
      <c r="BO709" s="5" t="n">
        <v>0</v>
      </c>
      <c r="BP709" s="5" t="n">
        <v>0.008</v>
      </c>
      <c r="BQ709" s="5" t="n">
        <v>0.158</v>
      </c>
      <c r="BR709" s="5" t="n">
        <v>0</v>
      </c>
      <c r="BS709" s="5" t="n">
        <v>1</v>
      </c>
      <c r="BT709" s="5" t="n">
        <v>0</v>
      </c>
      <c r="BU709" s="5" t="n">
        <v>0.003</v>
      </c>
      <c r="BV709" s="5" t="n">
        <v>0.221</v>
      </c>
      <c r="BW709" s="5" t="n">
        <v>0.22</v>
      </c>
      <c r="BX709" s="5" t="n">
        <v>1</v>
      </c>
      <c r="BY709" s="5" t="n">
        <v>13.646</v>
      </c>
      <c r="BZ709" s="5" t="n">
        <v>0</v>
      </c>
      <c r="CA709" s="5" t="n">
        <v>13.646</v>
      </c>
      <c r="CB709" s="5" t="n">
        <v>0</v>
      </c>
      <c r="CC709" s="5" t="n">
        <v>82.58799999999999</v>
      </c>
      <c r="CD709" s="5" t="n">
        <v>7.95</v>
      </c>
      <c r="CE709" s="5" t="n">
        <v>107.233</v>
      </c>
      <c r="CF709" s="5" t="n">
        <v>231.582</v>
      </c>
      <c r="CG709" s="5" t="n">
        <v>0.22</v>
      </c>
      <c r="CH709" s="5" t="n">
        <v>1</v>
      </c>
      <c r="CI709" s="5" t="n">
        <v>0</v>
      </c>
      <c r="CJ709" s="5" t="n">
        <v>0</v>
      </c>
      <c r="CK709" s="5" t="n">
        <v>0</v>
      </c>
      <c r="CL709" s="5" t="n">
        <v>0</v>
      </c>
      <c r="CM709" s="5" t="n">
        <v>0</v>
      </c>
      <c r="CN709" s="5" t="n">
        <v>0</v>
      </c>
      <c r="CO709" s="5" t="n">
        <v>0</v>
      </c>
      <c r="CP709" s="5" t="n">
        <v>0.72</v>
      </c>
      <c r="CQ709" s="5" t="n">
        <v>1.387</v>
      </c>
      <c r="CR709" s="5" t="n">
        <v>0</v>
      </c>
      <c r="CS709" s="5" t="n">
        <v>5.529</v>
      </c>
      <c r="CT709" s="5" t="n">
        <v>7.721</v>
      </c>
      <c r="CU709" s="5" t="n">
        <v>12.028</v>
      </c>
    </row>
    <row r="710">
      <c r="A710" s="5" t="inlineStr">
        <is>
          <t>SLB2021</t>
        </is>
      </c>
      <c r="B710" s="5" t="inlineStr">
        <is>
          <t>SLB</t>
        </is>
      </c>
      <c r="C710" s="5" t="inlineStr">
        <is>
          <t>SLB</t>
        </is>
      </c>
      <c r="D710" s="5" t="inlineStr">
        <is>
          <t>Solomon Islands</t>
        </is>
      </c>
      <c r="E710" s="5" t="n">
        <v>2021</v>
      </c>
      <c r="F710" s="5" t="n">
        <v>0</v>
      </c>
      <c r="G710" s="5" t="n">
        <v>4.747</v>
      </c>
      <c r="H710" s="5" t="n">
        <v>1.143</v>
      </c>
      <c r="I710" s="5" t="n">
        <v>0</v>
      </c>
      <c r="J710" s="5" t="n">
        <v>4.747</v>
      </c>
      <c r="K710" s="5" t="n">
        <v>0</v>
      </c>
      <c r="L710" s="5" t="n">
        <v>1</v>
      </c>
      <c r="M710" s="5" t="n">
        <v>7.964</v>
      </c>
      <c r="N710" s="5" t="n">
        <v>3.43</v>
      </c>
      <c r="O710" s="5" t="n">
        <v>0</v>
      </c>
      <c r="P710" s="5" t="n">
        <v>7.964</v>
      </c>
      <c r="Q710" s="5" t="n">
        <v>0</v>
      </c>
      <c r="R710" s="5" t="n">
        <v>1</v>
      </c>
      <c r="S710" s="5" t="n">
        <v>10.464</v>
      </c>
      <c r="T710" s="5" t="n">
        <v>6.86</v>
      </c>
      <c r="U710" s="5" t="n">
        <v>0</v>
      </c>
      <c r="V710" s="5" t="n">
        <v>10.464</v>
      </c>
      <c r="W710" s="5" t="n">
        <v>0</v>
      </c>
      <c r="X710" s="5" t="n">
        <v>1</v>
      </c>
      <c r="Y710" s="5" t="n">
        <v>5.989</v>
      </c>
      <c r="Z710" s="5" t="n">
        <v>0.739</v>
      </c>
      <c r="AA710" s="5" t="n">
        <v>0</v>
      </c>
      <c r="AB710" s="5" t="n">
        <v>5.989</v>
      </c>
      <c r="AC710" s="5" t="n">
        <v>0</v>
      </c>
      <c r="AD710" s="5" t="n">
        <v>1</v>
      </c>
      <c r="AE710" s="5" t="n">
        <v>7.132</v>
      </c>
      <c r="AF710" s="5" t="n">
        <v>1.555</v>
      </c>
      <c r="AG710" s="5" t="n">
        <v>0</v>
      </c>
      <c r="AH710" s="5" t="n">
        <v>7.132</v>
      </c>
      <c r="AI710" s="5" t="n">
        <v>0</v>
      </c>
      <c r="AJ710" s="5" t="n">
        <v>1</v>
      </c>
      <c r="AK710" s="5" t="n">
        <v>13.992</v>
      </c>
      <c r="AL710" s="5" t="n">
        <v>7.26</v>
      </c>
      <c r="AM710" s="5" t="n">
        <v>0</v>
      </c>
      <c r="AN710" s="5" t="n">
        <v>13.992</v>
      </c>
      <c r="AO710" s="5" t="n">
        <v>0</v>
      </c>
      <c r="AP710" s="5" t="n">
        <v>1</v>
      </c>
      <c r="AQ710" s="5" t="n">
        <v>0.621</v>
      </c>
      <c r="AR710" s="5" t="n">
        <v>0.114</v>
      </c>
      <c r="AS710" s="5" t="n">
        <v>0</v>
      </c>
      <c r="AT710" s="5" t="n">
        <v>0.621</v>
      </c>
      <c r="AU710" s="5" t="n">
        <v>0</v>
      </c>
      <c r="AV710" s="5" t="n">
        <v>1</v>
      </c>
      <c r="AW710" s="5" t="n">
        <v>0.593</v>
      </c>
      <c r="AX710" s="5" t="n">
        <v>0.114</v>
      </c>
      <c r="AY710" s="5" t="n">
        <v>0</v>
      </c>
      <c r="AZ710" s="5" t="n">
        <v>0.593</v>
      </c>
      <c r="BA710" s="5" t="n">
        <v>0</v>
      </c>
      <c r="BB710" s="5" t="n">
        <v>1</v>
      </c>
      <c r="BC710" s="5" t="n">
        <v>0.44</v>
      </c>
      <c r="BD710" s="5" t="n">
        <v>0.114</v>
      </c>
      <c r="BE710" s="5" t="n">
        <v>0</v>
      </c>
      <c r="BF710" s="5" t="n">
        <v>0.44</v>
      </c>
      <c r="BG710" s="5" t="n">
        <v>0</v>
      </c>
      <c r="BH710" s="5" t="n">
        <v>1</v>
      </c>
      <c r="BI710" s="5" t="n">
        <v>0.5600000000000001</v>
      </c>
      <c r="BJ710" s="5" t="n">
        <v>0.114</v>
      </c>
      <c r="BK710" s="5" t="n">
        <v>0</v>
      </c>
      <c r="BL710" s="5" t="n">
        <v>0.5600000000000001</v>
      </c>
      <c r="BM710" s="5" t="n">
        <v>0</v>
      </c>
      <c r="BN710" s="5" t="n">
        <v>1</v>
      </c>
      <c r="BO710" s="5" t="n">
        <v>0</v>
      </c>
      <c r="BP710" s="5" t="n">
        <v>0</v>
      </c>
      <c r="BQ710" s="5" t="n">
        <v>0</v>
      </c>
      <c r="BR710" s="5" t="n">
        <v>0</v>
      </c>
      <c r="BS710" s="5" t="n">
        <v>1</v>
      </c>
      <c r="BT710" s="5" t="n">
        <v>0</v>
      </c>
      <c r="BU710" s="5" t="n">
        <v>0</v>
      </c>
      <c r="BV710" s="5" t="n">
        <v>0</v>
      </c>
      <c r="BW710" s="5" t="n">
        <v>0</v>
      </c>
      <c r="BX710" s="5" t="n">
        <v>1</v>
      </c>
      <c r="BY710" s="5" t="n">
        <v>11.787</v>
      </c>
      <c r="BZ710" s="5" t="n">
        <v>0</v>
      </c>
      <c r="CA710" s="5" t="n">
        <v>11.787</v>
      </c>
      <c r="CB710" s="5" t="n">
        <v>0</v>
      </c>
      <c r="CC710" s="5" t="n">
        <v>81.69499999999999</v>
      </c>
      <c r="CD710" s="5" t="n">
        <v>7.95</v>
      </c>
      <c r="CE710" s="5" t="n">
        <v>0</v>
      </c>
      <c r="CF710" s="5" t="n">
        <v>81.69499999999999</v>
      </c>
      <c r="CG710" s="5" t="n">
        <v>0</v>
      </c>
      <c r="CH710" s="5" t="n">
        <v>1</v>
      </c>
      <c r="CI710" s="5" t="n">
        <v>0</v>
      </c>
      <c r="CJ710" s="5" t="n">
        <v>0</v>
      </c>
      <c r="CK710" s="5" t="n">
        <v>0</v>
      </c>
      <c r="CL710" s="5" t="n">
        <v>0</v>
      </c>
      <c r="CM710" s="5" t="n">
        <v>0</v>
      </c>
      <c r="CN710" s="5" t="n">
        <v>0</v>
      </c>
      <c r="CO710" s="5" t="n">
        <v>0</v>
      </c>
      <c r="CP710" s="5" t="n">
        <v>0</v>
      </c>
      <c r="CQ710" s="5" t="n">
        <v>1.198</v>
      </c>
      <c r="CR710" s="5" t="n">
        <v>0</v>
      </c>
      <c r="CS710" s="5" t="n">
        <v>4.776</v>
      </c>
      <c r="CT710" s="5" t="n">
        <v>3.604</v>
      </c>
      <c r="CU710" s="5" t="n">
        <v>9.407999999999999</v>
      </c>
    </row>
    <row r="711">
      <c r="A711" s="5" t="inlineStr">
        <is>
          <t>SLB2022</t>
        </is>
      </c>
      <c r="B711" s="5" t="inlineStr">
        <is>
          <t>SLB</t>
        </is>
      </c>
      <c r="C711" s="5" t="inlineStr">
        <is>
          <t>SLB</t>
        </is>
      </c>
      <c r="D711" s="5" t="inlineStr">
        <is>
          <t>Solomon Islands</t>
        </is>
      </c>
      <c r="E711" s="5" t="n">
        <v>2022</v>
      </c>
      <c r="F711" s="5" t="n">
        <v>0</v>
      </c>
      <c r="G711" s="5" t="n">
        <v>8.788</v>
      </c>
      <c r="H711" s="5" t="n">
        <v>1.235</v>
      </c>
      <c r="I711" s="5" t="n">
        <v>0</v>
      </c>
      <c r="J711" s="5" t="n">
        <v>8.788</v>
      </c>
      <c r="K711" s="5" t="n">
        <v>0</v>
      </c>
      <c r="L711" s="5" t="n">
        <v>1</v>
      </c>
      <c r="M711" s="5" t="n">
        <v>9.782999999999999</v>
      </c>
      <c r="N711" s="5" t="n">
        <v>3.704</v>
      </c>
      <c r="O711" s="5" t="n">
        <v>0</v>
      </c>
      <c r="P711" s="5" t="n">
        <v>9.782999999999999</v>
      </c>
      <c r="Q711" s="5" t="n">
        <v>0</v>
      </c>
      <c r="R711" s="5" t="n">
        <v>1</v>
      </c>
      <c r="S711" s="5" t="n">
        <v>14.962</v>
      </c>
      <c r="T711" s="5" t="n">
        <v>7.408</v>
      </c>
      <c r="U711" s="5" t="n">
        <v>0</v>
      </c>
      <c r="V711" s="5" t="n">
        <v>14.962</v>
      </c>
      <c r="W711" s="5" t="n">
        <v>0</v>
      </c>
      <c r="X711" s="5" t="n">
        <v>1</v>
      </c>
      <c r="Y711" s="5" t="n">
        <v>6.765</v>
      </c>
      <c r="Z711" s="5" t="n">
        <v>0.835</v>
      </c>
      <c r="AA711" s="5" t="n">
        <v>0</v>
      </c>
      <c r="AB711" s="5" t="n">
        <v>6.765</v>
      </c>
      <c r="AC711" s="5" t="n">
        <v>0</v>
      </c>
      <c r="AD711" s="5" t="n">
        <v>1</v>
      </c>
      <c r="AE711" s="5" t="n">
        <v>7.999</v>
      </c>
      <c r="AF711" s="5" t="n">
        <v>1.744</v>
      </c>
      <c r="AG711" s="5" t="n">
        <v>0</v>
      </c>
      <c r="AH711" s="5" t="n">
        <v>7.999</v>
      </c>
      <c r="AI711" s="5" t="n">
        <v>0</v>
      </c>
      <c r="AJ711" s="5" t="n">
        <v>1</v>
      </c>
      <c r="AK711" s="5" t="n">
        <v>15.407</v>
      </c>
      <c r="AL711" s="5" t="n">
        <v>7.995</v>
      </c>
      <c r="AM711" s="5" t="n">
        <v>0</v>
      </c>
      <c r="AN711" s="5" t="n">
        <v>15.407</v>
      </c>
      <c r="AO711" s="5" t="n">
        <v>0</v>
      </c>
      <c r="AP711" s="5" t="n">
        <v>1</v>
      </c>
      <c r="AQ711" s="5" t="n">
        <v>0.847</v>
      </c>
      <c r="AR711" s="5" t="n">
        <v>0.123</v>
      </c>
      <c r="AS711" s="5" t="n">
        <v>0</v>
      </c>
      <c r="AT711" s="5" t="n">
        <v>0.847</v>
      </c>
      <c r="AU711" s="5" t="n">
        <v>0</v>
      </c>
      <c r="AV711" s="5" t="n">
        <v>1</v>
      </c>
      <c r="AW711" s="5" t="n">
        <v>0.947</v>
      </c>
      <c r="AX711" s="5" t="n">
        <v>0.123</v>
      </c>
      <c r="AY711" s="5" t="n">
        <v>0</v>
      </c>
      <c r="AZ711" s="5" t="n">
        <v>0.947</v>
      </c>
      <c r="BA711" s="5" t="n">
        <v>0</v>
      </c>
      <c r="BB711" s="5" t="n">
        <v>1</v>
      </c>
      <c r="BC711" s="5" t="n">
        <v>0.589</v>
      </c>
      <c r="BD711" s="5" t="n">
        <v>0.123</v>
      </c>
      <c r="BE711" s="5" t="n">
        <v>0</v>
      </c>
      <c r="BF711" s="5" t="n">
        <v>0.589</v>
      </c>
      <c r="BG711" s="5" t="n">
        <v>0</v>
      </c>
      <c r="BH711" s="5" t="n">
        <v>1</v>
      </c>
      <c r="BI711" s="5" t="n">
        <v>0.6889999999999999</v>
      </c>
      <c r="BJ711" s="5" t="n">
        <v>0.123</v>
      </c>
      <c r="BK711" s="5" t="n">
        <v>0</v>
      </c>
      <c r="BL711" s="5" t="n">
        <v>0.6889999999999999</v>
      </c>
      <c r="BM711" s="5" t="n">
        <v>0</v>
      </c>
      <c r="BN711" s="5" t="n">
        <v>1</v>
      </c>
      <c r="BO711" s="5" t="n">
        <v>0</v>
      </c>
      <c r="BP711" s="5" t="n">
        <v>0</v>
      </c>
      <c r="BQ711" s="5" t="n">
        <v>0</v>
      </c>
      <c r="BR711" s="5" t="n">
        <v>0</v>
      </c>
      <c r="BS711" s="5" t="n">
        <v>1</v>
      </c>
      <c r="BT711" s="5" t="n">
        <v>0</v>
      </c>
      <c r="BU711" s="5" t="n">
        <v>0</v>
      </c>
      <c r="BV711" s="5" t="n">
        <v>0</v>
      </c>
      <c r="BW711" s="5" t="n">
        <v>0</v>
      </c>
      <c r="BX711" s="5" t="n">
        <v>1</v>
      </c>
      <c r="BY711" s="5" t="n">
        <v>12.729</v>
      </c>
      <c r="BZ711" s="5" t="n">
        <v>0</v>
      </c>
      <c r="CA711" s="5" t="n">
        <v>12.729</v>
      </c>
      <c r="CB711" s="5" t="n">
        <v>0</v>
      </c>
      <c r="CC711" s="5" t="n">
        <v>102.477</v>
      </c>
      <c r="CD711" s="5" t="n">
        <v>7.95</v>
      </c>
      <c r="CE711" s="5" t="n">
        <v>0</v>
      </c>
      <c r="CF711" s="5" t="n">
        <v>102.477</v>
      </c>
      <c r="CG711" s="5" t="n">
        <v>0</v>
      </c>
      <c r="CH711" s="5" t="n">
        <v>1</v>
      </c>
      <c r="CI711" s="5" t="n">
        <v>0</v>
      </c>
      <c r="CJ711" s="5" t="n">
        <v>0</v>
      </c>
      <c r="CK711" s="5" t="n">
        <v>0</v>
      </c>
      <c r="CL711" s="5" t="n">
        <v>0</v>
      </c>
      <c r="CM711" s="5" t="n">
        <v>0</v>
      </c>
      <c r="CN711" s="5" t="n">
        <v>0</v>
      </c>
      <c r="CO711" s="5" t="n">
        <v>0</v>
      </c>
      <c r="CP711" s="5" t="n">
        <v>0</v>
      </c>
      <c r="CQ711" s="5" t="n">
        <v>1.294</v>
      </c>
      <c r="CR711" s="5" t="n">
        <v>0</v>
      </c>
      <c r="CS711" s="5" t="n">
        <v>5.158</v>
      </c>
      <c r="CT711" s="5" t="n">
        <v>7.554</v>
      </c>
      <c r="CU711" s="5" t="n">
        <v>16.097</v>
      </c>
    </row>
    <row r="712">
      <c r="A712" s="5" t="inlineStr">
        <is>
          <t>SLB2023</t>
        </is>
      </c>
      <c r="B712" s="5" t="inlineStr">
        <is>
          <t>SLB</t>
        </is>
      </c>
      <c r="C712" s="5" t="inlineStr">
        <is>
          <t>SLB</t>
        </is>
      </c>
      <c r="D712" s="5" t="inlineStr">
        <is>
          <t>Solomon Islands</t>
        </is>
      </c>
      <c r="E712" s="5" t="n">
        <v>2023</v>
      </c>
      <c r="F712" s="5" t="n">
        <v>0</v>
      </c>
      <c r="G712" s="5" t="n">
        <v>5.77</v>
      </c>
      <c r="H712" s="5" t="n">
        <v>1.286</v>
      </c>
      <c r="I712" s="5" t="n">
        <v>0</v>
      </c>
      <c r="J712" s="5" t="n">
        <v>5.77</v>
      </c>
      <c r="K712" s="5" t="n">
        <v>0</v>
      </c>
      <c r="L712" s="5" t="n">
        <v>1</v>
      </c>
      <c r="M712" s="5" t="n">
        <v>7.886</v>
      </c>
      <c r="N712" s="5" t="n">
        <v>3.857</v>
      </c>
      <c r="O712" s="5" t="n">
        <v>0</v>
      </c>
      <c r="P712" s="5" t="n">
        <v>7.886</v>
      </c>
      <c r="Q712" s="5" t="n">
        <v>0</v>
      </c>
      <c r="R712" s="5" t="n">
        <v>1</v>
      </c>
      <c r="S712" s="5" t="n">
        <v>12.198</v>
      </c>
      <c r="T712" s="5" t="n">
        <v>7.714</v>
      </c>
      <c r="U712" s="5" t="n">
        <v>0</v>
      </c>
      <c r="V712" s="5" t="n">
        <v>12.198</v>
      </c>
      <c r="W712" s="5" t="n">
        <v>0</v>
      </c>
      <c r="X712" s="5" t="n">
        <v>1</v>
      </c>
      <c r="Y712" s="5" t="n">
        <v>6.832</v>
      </c>
      <c r="Z712" s="5" t="n">
        <v>0.843</v>
      </c>
      <c r="AA712" s="5" t="n">
        <v>0</v>
      </c>
      <c r="AB712" s="5" t="n">
        <v>6.832</v>
      </c>
      <c r="AC712" s="5" t="n">
        <v>0</v>
      </c>
      <c r="AD712" s="5" t="n">
        <v>1</v>
      </c>
      <c r="AE712" s="5" t="n">
        <v>8.118</v>
      </c>
      <c r="AF712" s="5" t="n">
        <v>1.77</v>
      </c>
      <c r="AG712" s="5" t="n">
        <v>0</v>
      </c>
      <c r="AH712" s="5" t="n">
        <v>8.118</v>
      </c>
      <c r="AI712" s="5" t="n">
        <v>0</v>
      </c>
      <c r="AJ712" s="5" t="n">
        <v>1</v>
      </c>
      <c r="AK712" s="5" t="n">
        <v>15.832</v>
      </c>
      <c r="AL712" s="5" t="n">
        <v>8.215</v>
      </c>
      <c r="AM712" s="5" t="n">
        <v>0</v>
      </c>
      <c r="AN712" s="5" t="n">
        <v>15.832</v>
      </c>
      <c r="AO712" s="5" t="n">
        <v>0</v>
      </c>
      <c r="AP712" s="5" t="n">
        <v>1</v>
      </c>
      <c r="AQ712" s="5" t="n">
        <v>0.749</v>
      </c>
      <c r="AR712" s="5" t="n">
        <v>0.129</v>
      </c>
      <c r="AS712" s="5" t="n">
        <v>0</v>
      </c>
      <c r="AT712" s="5" t="n">
        <v>0.749</v>
      </c>
      <c r="AU712" s="5" t="n">
        <v>0</v>
      </c>
      <c r="AV712" s="5" t="n">
        <v>1</v>
      </c>
      <c r="AW712" s="5" t="n">
        <v>0.783</v>
      </c>
      <c r="AX712" s="5" t="n">
        <v>0.129</v>
      </c>
      <c r="AY712" s="5" t="n">
        <v>0</v>
      </c>
      <c r="AZ712" s="5" t="n">
        <v>0.783</v>
      </c>
      <c r="BA712" s="5" t="n">
        <v>0</v>
      </c>
      <c r="BB712" s="5" t="n">
        <v>1</v>
      </c>
      <c r="BC712" s="5" t="n">
        <v>0.527</v>
      </c>
      <c r="BD712" s="5" t="n">
        <v>0.129</v>
      </c>
      <c r="BE712" s="5" t="n">
        <v>0</v>
      </c>
      <c r="BF712" s="5" t="n">
        <v>0.527</v>
      </c>
      <c r="BG712" s="5" t="n">
        <v>0</v>
      </c>
      <c r="BH712" s="5" t="n">
        <v>1</v>
      </c>
      <c r="BI712" s="5" t="n">
        <v>0.64</v>
      </c>
      <c r="BJ712" s="5" t="n">
        <v>0.129</v>
      </c>
      <c r="BK712" s="5" t="n">
        <v>0</v>
      </c>
      <c r="BL712" s="5" t="n">
        <v>0.64</v>
      </c>
      <c r="BM712" s="5" t="n">
        <v>0</v>
      </c>
      <c r="BN712" s="5" t="n">
        <v>1</v>
      </c>
      <c r="BO712" s="5" t="n">
        <v>0</v>
      </c>
      <c r="BP712" s="5" t="n">
        <v>0</v>
      </c>
      <c r="BQ712" s="5" t="n">
        <v>0</v>
      </c>
      <c r="BR712" s="5" t="n">
        <v>0</v>
      </c>
      <c r="BS712" s="5" t="n">
        <v>1</v>
      </c>
      <c r="BT712" s="5" t="n">
        <v>0</v>
      </c>
      <c r="BU712" s="5" t="n">
        <v>0</v>
      </c>
      <c r="BV712" s="5" t="n">
        <v>0</v>
      </c>
      <c r="BW712" s="5" t="n">
        <v>0</v>
      </c>
      <c r="BX712" s="5" t="n">
        <v>1</v>
      </c>
      <c r="BY712" s="5" t="n">
        <v>13.254</v>
      </c>
      <c r="BZ712" s="5" t="n">
        <v>0</v>
      </c>
      <c r="CA712" s="5" t="n">
        <v>13.254</v>
      </c>
      <c r="CB712" s="5" t="n">
        <v>0</v>
      </c>
      <c r="CC712" s="5" t="n">
        <v>87.07899999999999</v>
      </c>
      <c r="CD712" s="5" t="n">
        <v>7.95</v>
      </c>
      <c r="CE712" s="5" t="n">
        <v>0</v>
      </c>
      <c r="CF712" s="5" t="n">
        <v>87.07899999999999</v>
      </c>
      <c r="CG712" s="5" t="n">
        <v>0</v>
      </c>
      <c r="CH712" s="5" t="n">
        <v>1</v>
      </c>
      <c r="CI712" s="5" t="n">
        <v>0</v>
      </c>
      <c r="CJ712" s="5" t="n">
        <v>0</v>
      </c>
      <c r="CK712" s="5" t="n">
        <v>0</v>
      </c>
      <c r="CL712" s="5" t="n">
        <v>0</v>
      </c>
      <c r="CM712" s="5" t="n">
        <v>0</v>
      </c>
      <c r="CN712" s="5" t="n">
        <v>0</v>
      </c>
      <c r="CO712" s="5" t="n">
        <v>0</v>
      </c>
      <c r="CP712" s="5" t="n">
        <v>0</v>
      </c>
      <c r="CQ712" s="5" t="n">
        <v>1.348</v>
      </c>
      <c r="CR712" s="5" t="n">
        <v>0</v>
      </c>
      <c r="CS712" s="5" t="n">
        <v>5.37</v>
      </c>
      <c r="CT712" s="5" t="n">
        <v>4.484</v>
      </c>
      <c r="CU712" s="5" t="n">
        <v>12.529</v>
      </c>
    </row>
    <row r="713">
      <c r="A713" s="5" t="inlineStr">
        <is>
          <t>SLB2024</t>
        </is>
      </c>
      <c r="B713" s="5" t="inlineStr">
        <is>
          <t>SLB</t>
        </is>
      </c>
      <c r="C713" s="5" t="inlineStr">
        <is>
          <t>SLB</t>
        </is>
      </c>
      <c r="D713" s="5" t="inlineStr">
        <is>
          <t>Solomon Islands</t>
        </is>
      </c>
      <c r="E713" s="5" t="n">
        <v>2024</v>
      </c>
      <c r="F713" s="5" t="n">
        <v>0</v>
      </c>
      <c r="G713" s="5" t="n">
        <v>4.833</v>
      </c>
      <c r="H713" s="5" t="n">
        <v>1.324</v>
      </c>
      <c r="I713" s="5" t="n">
        <v>0</v>
      </c>
      <c r="J713" s="5" t="n">
        <v>4.833</v>
      </c>
      <c r="K713" s="5" t="n">
        <v>0</v>
      </c>
      <c r="L713" s="5" t="n">
        <v>1</v>
      </c>
      <c r="M713" s="5" t="n">
        <v>7.124</v>
      </c>
      <c r="N713" s="5" t="n">
        <v>3.971</v>
      </c>
      <c r="O713" s="5" t="n">
        <v>0</v>
      </c>
      <c r="P713" s="5" t="n">
        <v>7.124</v>
      </c>
      <c r="Q713" s="5" t="n">
        <v>0</v>
      </c>
      <c r="R713" s="5" t="n">
        <v>1</v>
      </c>
      <c r="S713" s="5" t="n">
        <v>11.451</v>
      </c>
      <c r="T713" s="5" t="n">
        <v>7.942</v>
      </c>
      <c r="U713" s="5" t="n">
        <v>0</v>
      </c>
      <c r="V713" s="5" t="n">
        <v>11.451</v>
      </c>
      <c r="W713" s="5" t="n">
        <v>0</v>
      </c>
      <c r="X713" s="5" t="n">
        <v>1</v>
      </c>
      <c r="Y713" s="5" t="n">
        <v>6.934</v>
      </c>
      <c r="Z713" s="5" t="n">
        <v>0.856</v>
      </c>
      <c r="AA713" s="5" t="n">
        <v>0</v>
      </c>
      <c r="AB713" s="5" t="n">
        <v>6.934</v>
      </c>
      <c r="AC713" s="5" t="n">
        <v>0</v>
      </c>
      <c r="AD713" s="5" t="n">
        <v>1</v>
      </c>
      <c r="AE713" s="5" t="n">
        <v>8.257</v>
      </c>
      <c r="AF713" s="5" t="n">
        <v>1.8</v>
      </c>
      <c r="AG713" s="5" t="n">
        <v>0</v>
      </c>
      <c r="AH713" s="5" t="n">
        <v>8.257</v>
      </c>
      <c r="AI713" s="5" t="n">
        <v>0</v>
      </c>
      <c r="AJ713" s="5" t="n">
        <v>1</v>
      </c>
      <c r="AK713" s="5" t="n">
        <v>16.199</v>
      </c>
      <c r="AL713" s="5" t="n">
        <v>8.404999999999999</v>
      </c>
      <c r="AM713" s="5" t="n">
        <v>0</v>
      </c>
      <c r="AN713" s="5" t="n">
        <v>16.199</v>
      </c>
      <c r="AO713" s="5" t="n">
        <v>0</v>
      </c>
      <c r="AP713" s="5" t="n">
        <v>1</v>
      </c>
      <c r="AQ713" s="5" t="n">
        <v>0.72</v>
      </c>
      <c r="AR713" s="5" t="n">
        <v>0.132</v>
      </c>
      <c r="AS713" s="5" t="n">
        <v>0</v>
      </c>
      <c r="AT713" s="5" t="n">
        <v>0.72</v>
      </c>
      <c r="AU713" s="5" t="n">
        <v>0</v>
      </c>
      <c r="AV713" s="5" t="n">
        <v>1</v>
      </c>
      <c r="AW713" s="5" t="n">
        <v>0.734</v>
      </c>
      <c r="AX713" s="5" t="n">
        <v>0.132</v>
      </c>
      <c r="AY713" s="5" t="n">
        <v>0</v>
      </c>
      <c r="AZ713" s="5" t="n">
        <v>0.734</v>
      </c>
      <c r="BA713" s="5" t="n">
        <v>0</v>
      </c>
      <c r="BB713" s="5" t="n">
        <v>1</v>
      </c>
      <c r="BC713" s="5" t="n">
        <v>0.51</v>
      </c>
      <c r="BD713" s="5" t="n">
        <v>0.132</v>
      </c>
      <c r="BE713" s="5" t="n">
        <v>0</v>
      </c>
      <c r="BF713" s="5" t="n">
        <v>0.51</v>
      </c>
      <c r="BG713" s="5" t="n">
        <v>0</v>
      </c>
      <c r="BH713" s="5" t="n">
        <v>1</v>
      </c>
      <c r="BI713" s="5" t="n">
        <v>0.652</v>
      </c>
      <c r="BJ713" s="5" t="n">
        <v>0.132</v>
      </c>
      <c r="BK713" s="5" t="n">
        <v>0</v>
      </c>
      <c r="BL713" s="5" t="n">
        <v>0.652</v>
      </c>
      <c r="BM713" s="5" t="n">
        <v>0</v>
      </c>
      <c r="BN713" s="5" t="n">
        <v>1</v>
      </c>
      <c r="BO713" s="5" t="n">
        <v>0</v>
      </c>
      <c r="BP713" s="5" t="n">
        <v>0</v>
      </c>
      <c r="BQ713" s="5" t="n">
        <v>0</v>
      </c>
      <c r="BR713" s="5" t="n">
        <v>0</v>
      </c>
      <c r="BS713" s="5" t="n">
        <v>1</v>
      </c>
      <c r="BT713" s="5" t="n">
        <v>0</v>
      </c>
      <c r="BU713" s="5" t="n">
        <v>0</v>
      </c>
      <c r="BV713" s="5" t="n">
        <v>0</v>
      </c>
      <c r="BW713" s="5" t="n">
        <v>0</v>
      </c>
      <c r="BX713" s="5" t="n">
        <v>1</v>
      </c>
      <c r="BY713" s="5" t="n">
        <v>13.646</v>
      </c>
      <c r="BZ713" s="5" t="n">
        <v>0</v>
      </c>
      <c r="CA713" s="5" t="n">
        <v>13.646</v>
      </c>
      <c r="CB713" s="5" t="n">
        <v>0</v>
      </c>
      <c r="CC713" s="5" t="n">
        <v>86.38500000000001</v>
      </c>
      <c r="CD713" s="5" t="n">
        <v>7.95</v>
      </c>
      <c r="CE713" s="5" t="n">
        <v>0</v>
      </c>
      <c r="CF713" s="5" t="n">
        <v>86.38500000000001</v>
      </c>
      <c r="CG713" s="5" t="n">
        <v>0</v>
      </c>
      <c r="CH713" s="5" t="n">
        <v>1</v>
      </c>
      <c r="CI713" s="5" t="n">
        <v>0</v>
      </c>
      <c r="CJ713" s="5" t="n">
        <v>0</v>
      </c>
      <c r="CK713" s="5" t="n">
        <v>0</v>
      </c>
      <c r="CL713" s="5" t="n">
        <v>0</v>
      </c>
      <c r="CM713" s="5" t="n">
        <v>0</v>
      </c>
      <c r="CN713" s="5" t="n">
        <v>0</v>
      </c>
      <c r="CO713" s="5" t="n">
        <v>0</v>
      </c>
      <c r="CP713" s="5" t="n">
        <v>0</v>
      </c>
      <c r="CQ713" s="5" t="n">
        <v>1.387</v>
      </c>
      <c r="CR713" s="5" t="n">
        <v>0</v>
      </c>
      <c r="CS713" s="5" t="n">
        <v>5.529</v>
      </c>
      <c r="CT713" s="5" t="n">
        <v>3.509</v>
      </c>
      <c r="CU713" s="5" t="n">
        <v>10.896</v>
      </c>
    </row>
    <row r="714">
      <c r="A714" s="5" t="inlineStr">
        <is>
          <t>SOM2021</t>
        </is>
      </c>
      <c r="B714" s="5" t="inlineStr">
        <is>
          <t>SOM</t>
        </is>
      </c>
      <c r="C714" s="5" t="inlineStr">
        <is>
          <t>SOM</t>
        </is>
      </c>
      <c r="D714" s="5" t="inlineStr">
        <is>
          <t>Somalia</t>
        </is>
      </c>
      <c r="E714" s="5" t="n">
        <v>2021</v>
      </c>
      <c r="F714" s="5" t="n">
        <v>0</v>
      </c>
      <c r="G714" s="5" t="n">
        <v>5.897</v>
      </c>
      <c r="H714" s="5" t="n">
        <v>1.143</v>
      </c>
      <c r="I714" s="5" t="n">
        <v>0</v>
      </c>
      <c r="J714" s="5" t="n">
        <v>5.897</v>
      </c>
      <c r="K714" s="5" t="n">
        <v>0</v>
      </c>
      <c r="L714" s="5" t="n">
        <v>1</v>
      </c>
      <c r="M714" s="5" t="n">
        <v>7.964</v>
      </c>
      <c r="N714" s="5" t="n">
        <v>3.43</v>
      </c>
      <c r="O714" s="5" t="n">
        <v>0</v>
      </c>
      <c r="P714" s="5" t="n">
        <v>7.964</v>
      </c>
      <c r="Q714" s="5" t="n">
        <v>0</v>
      </c>
      <c r="R714" s="5" t="n">
        <v>1</v>
      </c>
      <c r="S714" s="5" t="n">
        <v>11.613</v>
      </c>
      <c r="T714" s="5" t="n">
        <v>6.86</v>
      </c>
      <c r="U714" s="5" t="n">
        <v>0</v>
      </c>
      <c r="V714" s="5" t="n">
        <v>11.613</v>
      </c>
      <c r="W714" s="5" t="n">
        <v>0</v>
      </c>
      <c r="X714" s="5" t="n">
        <v>1</v>
      </c>
      <c r="Y714" s="5" t="n">
        <v>16.305</v>
      </c>
      <c r="Z714" s="5" t="n">
        <v>2.204</v>
      </c>
      <c r="AA714" s="5" t="n">
        <v>0</v>
      </c>
      <c r="AB714" s="5" t="n">
        <v>16.305</v>
      </c>
      <c r="AC714" s="5" t="n">
        <v>0</v>
      </c>
      <c r="AD714" s="5" t="n">
        <v>1</v>
      </c>
      <c r="AE714" s="5" t="n">
        <v>17.449</v>
      </c>
      <c r="AF714" s="5" t="n">
        <v>4.08</v>
      </c>
      <c r="AG714" s="5" t="n">
        <v>0</v>
      </c>
      <c r="AH714" s="5" t="n">
        <v>17.449</v>
      </c>
      <c r="AI714" s="5" t="n">
        <v>0</v>
      </c>
      <c r="AJ714" s="5" t="n">
        <v>1</v>
      </c>
      <c r="AK714" s="5" t="n">
        <v>24.309</v>
      </c>
      <c r="AL714" s="5" t="n">
        <v>12.947</v>
      </c>
      <c r="AM714" s="5" t="n">
        <v>0</v>
      </c>
      <c r="AN714" s="5" t="n">
        <v>24.309</v>
      </c>
      <c r="AO714" s="5" t="n">
        <v>0</v>
      </c>
      <c r="AP714" s="5" t="n">
        <v>1</v>
      </c>
      <c r="AQ714" s="5" t="n">
        <v>0.619</v>
      </c>
      <c r="AR714" s="5" t="n">
        <v>0.114</v>
      </c>
      <c r="AS714" s="5" t="n">
        <v>0.287</v>
      </c>
      <c r="AT714" s="5" t="n">
        <v>0.906</v>
      </c>
      <c r="AU714" s="5" t="n">
        <v>0</v>
      </c>
      <c r="AV714" s="5" t="n">
        <v>1</v>
      </c>
      <c r="AW714" s="5" t="n">
        <v>0.599</v>
      </c>
      <c r="AX714" s="5" t="n">
        <v>0.114</v>
      </c>
      <c r="AY714" s="5" t="n">
        <v>0.016</v>
      </c>
      <c r="AZ714" s="5" t="n">
        <v>0.616</v>
      </c>
      <c r="BA714" s="5" t="n">
        <v>0</v>
      </c>
      <c r="BB714" s="5" t="n">
        <v>0</v>
      </c>
      <c r="BC714" s="5" t="n">
        <v>0.439</v>
      </c>
      <c r="BD714" s="5" t="n">
        <v>0.114</v>
      </c>
      <c r="BE714" s="5" t="n">
        <v>0</v>
      </c>
      <c r="BF714" s="5" t="n">
        <v>0.439</v>
      </c>
      <c r="BG714" s="5" t="n">
        <v>0</v>
      </c>
      <c r="BH714" s="5" t="n">
        <v>1</v>
      </c>
      <c r="BI714" s="5" t="n">
        <v>0.505</v>
      </c>
      <c r="BJ714" s="5" t="n">
        <v>0.114</v>
      </c>
      <c r="BK714" s="5" t="n">
        <v>0.531</v>
      </c>
      <c r="BL714" s="5" t="n">
        <v>1.036</v>
      </c>
      <c r="BM714" s="5" t="n">
        <v>0</v>
      </c>
      <c r="BN714" s="5" t="n">
        <v>1</v>
      </c>
      <c r="BO714" s="5" t="n">
        <v>0</v>
      </c>
      <c r="BP714" s="5" t="n">
        <v>0</v>
      </c>
      <c r="BQ714" s="5" t="n">
        <v>0.079</v>
      </c>
      <c r="BR714" s="5" t="n">
        <v>0</v>
      </c>
      <c r="BS714" s="5" t="n">
        <v>0.667</v>
      </c>
      <c r="BT714" s="5" t="n">
        <v>0</v>
      </c>
      <c r="BU714" s="5" t="n">
        <v>0</v>
      </c>
      <c r="BV714" s="5" t="n">
        <v>0.079</v>
      </c>
      <c r="BW714" s="5" t="n">
        <v>0</v>
      </c>
      <c r="BX714" s="5" t="n">
        <v>0.667</v>
      </c>
      <c r="BY714" s="5" t="n">
        <v>11.787</v>
      </c>
      <c r="BZ714" s="5" t="n">
        <v>0</v>
      </c>
      <c r="CA714" s="5" t="n">
        <v>11.787</v>
      </c>
      <c r="CB714" s="5" t="n">
        <v>0</v>
      </c>
      <c r="CC714" s="5" t="n">
        <v>78.125</v>
      </c>
      <c r="CD714" s="5" t="n">
        <v>7.95</v>
      </c>
      <c r="CE714" s="5" t="n">
        <v>0</v>
      </c>
      <c r="CF714" s="5" t="n">
        <v>78.125</v>
      </c>
      <c r="CG714" s="5" t="n">
        <v>0</v>
      </c>
      <c r="CH714" s="5" t="n">
        <v>1</v>
      </c>
      <c r="CI714" s="5" t="n">
        <v>0</v>
      </c>
      <c r="CJ714" s="5" t="n">
        <v>0</v>
      </c>
      <c r="CK714" s="5" t="n">
        <v>0</v>
      </c>
      <c r="CL714" s="5" t="n">
        <v>0</v>
      </c>
      <c r="CM714" s="5" t="n">
        <v>0</v>
      </c>
      <c r="CN714" s="5" t="n">
        <v>0</v>
      </c>
      <c r="CO714" s="5" t="n">
        <v>0</v>
      </c>
      <c r="CP714" s="5" t="n">
        <v>0</v>
      </c>
      <c r="CQ714" s="5" t="n">
        <v>1.198</v>
      </c>
      <c r="CR714" s="5" t="n">
        <v>0</v>
      </c>
      <c r="CS714" s="5" t="n">
        <v>3.908</v>
      </c>
      <c r="CT714" s="5" t="n">
        <v>4.753</v>
      </c>
      <c r="CU714" s="5" t="n">
        <v>15.162</v>
      </c>
    </row>
    <row r="715">
      <c r="A715" s="5" t="inlineStr">
        <is>
          <t>SOM2022</t>
        </is>
      </c>
      <c r="B715" s="5" t="inlineStr">
        <is>
          <t>SOM</t>
        </is>
      </c>
      <c r="C715" s="5" t="inlineStr">
        <is>
          <t>SOM</t>
        </is>
      </c>
      <c r="D715" s="5" t="inlineStr">
        <is>
          <t>Somalia</t>
        </is>
      </c>
      <c r="E715" s="5" t="n">
        <v>2022</v>
      </c>
      <c r="F715" s="5" t="n">
        <v>0</v>
      </c>
      <c r="G715" s="5" t="n">
        <v>11.72</v>
      </c>
      <c r="H715" s="5" t="n">
        <v>1.235</v>
      </c>
      <c r="I715" s="5" t="n">
        <v>0</v>
      </c>
      <c r="J715" s="5" t="n">
        <v>11.72</v>
      </c>
      <c r="K715" s="5" t="n">
        <v>0</v>
      </c>
      <c r="L715" s="5" t="n">
        <v>1</v>
      </c>
      <c r="M715" s="5" t="n">
        <v>9.782999999999999</v>
      </c>
      <c r="N715" s="5" t="n">
        <v>3.704</v>
      </c>
      <c r="O715" s="5" t="n">
        <v>0</v>
      </c>
      <c r="P715" s="5" t="n">
        <v>9.782999999999999</v>
      </c>
      <c r="Q715" s="5" t="n">
        <v>0</v>
      </c>
      <c r="R715" s="5" t="n">
        <v>1</v>
      </c>
      <c r="S715" s="5" t="n">
        <v>17.893</v>
      </c>
      <c r="T715" s="5" t="n">
        <v>7.408</v>
      </c>
      <c r="U715" s="5" t="n">
        <v>0</v>
      </c>
      <c r="V715" s="5" t="n">
        <v>17.893</v>
      </c>
      <c r="W715" s="5" t="n">
        <v>0</v>
      </c>
      <c r="X715" s="5" t="n">
        <v>1</v>
      </c>
      <c r="Y715" s="5" t="n">
        <v>32.56</v>
      </c>
      <c r="Z715" s="5" t="n">
        <v>4.401</v>
      </c>
      <c r="AA715" s="5" t="n">
        <v>0</v>
      </c>
      <c r="AB715" s="5" t="n">
        <v>32.56</v>
      </c>
      <c r="AC715" s="5" t="n">
        <v>0</v>
      </c>
      <c r="AD715" s="5" t="n">
        <v>1</v>
      </c>
      <c r="AE715" s="5" t="n">
        <v>33.795</v>
      </c>
      <c r="AF715" s="5" t="n">
        <v>7.902</v>
      </c>
      <c r="AG715" s="5" t="n">
        <v>0</v>
      </c>
      <c r="AH715" s="5" t="n">
        <v>33.795</v>
      </c>
      <c r="AI715" s="5" t="n">
        <v>0</v>
      </c>
      <c r="AJ715" s="5" t="n">
        <v>1</v>
      </c>
      <c r="AK715" s="5" t="n">
        <v>41.203</v>
      </c>
      <c r="AL715" s="5" t="n">
        <v>21.945</v>
      </c>
      <c r="AM715" s="5" t="n">
        <v>0</v>
      </c>
      <c r="AN715" s="5" t="n">
        <v>41.203</v>
      </c>
      <c r="AO715" s="5" t="n">
        <v>0</v>
      </c>
      <c r="AP715" s="5" t="n">
        <v>1</v>
      </c>
      <c r="AQ715" s="5" t="n">
        <v>0.861</v>
      </c>
      <c r="AR715" s="5" t="n">
        <v>0.123</v>
      </c>
      <c r="AS715" s="5" t="n">
        <v>0.366</v>
      </c>
      <c r="AT715" s="5" t="n">
        <v>1.228</v>
      </c>
      <c r="AU715" s="5" t="n">
        <v>0</v>
      </c>
      <c r="AV715" s="5" t="n">
        <v>1</v>
      </c>
      <c r="AW715" s="5" t="n">
        <v>0.986</v>
      </c>
      <c r="AX715" s="5" t="n">
        <v>0.123</v>
      </c>
      <c r="AY715" s="5" t="n">
        <v>-0.389</v>
      </c>
      <c r="AZ715" s="5" t="n">
        <v>0.598</v>
      </c>
      <c r="BA715" s="5" t="n">
        <v>0</v>
      </c>
      <c r="BB715" s="5" t="n">
        <v>0</v>
      </c>
      <c r="BC715" s="5" t="n">
        <v>0.598</v>
      </c>
      <c r="BD715" s="5" t="n">
        <v>0.123</v>
      </c>
      <c r="BE715" s="5" t="n">
        <v>0</v>
      </c>
      <c r="BF715" s="5" t="n">
        <v>0.598</v>
      </c>
      <c r="BG715" s="5" t="n">
        <v>0</v>
      </c>
      <c r="BH715" s="5" t="n">
        <v>1</v>
      </c>
      <c r="BI715" s="5" t="n">
        <v>0.612</v>
      </c>
      <c r="BJ715" s="5" t="n">
        <v>0.123</v>
      </c>
      <c r="BK715" s="5" t="n">
        <v>0.393</v>
      </c>
      <c r="BL715" s="5" t="n">
        <v>1.005</v>
      </c>
      <c r="BM715" s="5" t="n">
        <v>0</v>
      </c>
      <c r="BN715" s="5" t="n">
        <v>1</v>
      </c>
      <c r="BO715" s="5" t="n">
        <v>0</v>
      </c>
      <c r="BP715" s="5" t="n">
        <v>0</v>
      </c>
      <c r="BQ715" s="5" t="n">
        <v>0.079</v>
      </c>
      <c r="BR715" s="5" t="n">
        <v>0</v>
      </c>
      <c r="BS715" s="5" t="n">
        <v>0.667</v>
      </c>
      <c r="BT715" s="5" t="n">
        <v>0</v>
      </c>
      <c r="BU715" s="5" t="n">
        <v>0</v>
      </c>
      <c r="BV715" s="5" t="n">
        <v>0.079</v>
      </c>
      <c r="BW715" s="5" t="n">
        <v>0</v>
      </c>
      <c r="BX715" s="5" t="n">
        <v>0.667</v>
      </c>
      <c r="BY715" s="5" t="n">
        <v>12.729</v>
      </c>
      <c r="BZ715" s="5" t="n">
        <v>0</v>
      </c>
      <c r="CA715" s="5" t="n">
        <v>12.729</v>
      </c>
      <c r="CB715" s="5" t="n">
        <v>0</v>
      </c>
      <c r="CC715" s="5" t="n">
        <v>97.90000000000001</v>
      </c>
      <c r="CD715" s="5" t="n">
        <v>7.95</v>
      </c>
      <c r="CE715" s="5" t="n">
        <v>0</v>
      </c>
      <c r="CF715" s="5" t="n">
        <v>97.90000000000001</v>
      </c>
      <c r="CG715" s="5" t="n">
        <v>0</v>
      </c>
      <c r="CH715" s="5" t="n">
        <v>1</v>
      </c>
      <c r="CI715" s="5" t="n">
        <v>0</v>
      </c>
      <c r="CJ715" s="5" t="n">
        <v>0</v>
      </c>
      <c r="CK715" s="5" t="n">
        <v>0</v>
      </c>
      <c r="CL715" s="5" t="n">
        <v>0</v>
      </c>
      <c r="CM715" s="5" t="n">
        <v>0</v>
      </c>
      <c r="CN715" s="5" t="n">
        <v>0</v>
      </c>
      <c r="CO715" s="5" t="n">
        <v>0</v>
      </c>
      <c r="CP715" s="5" t="n">
        <v>0</v>
      </c>
      <c r="CQ715" s="5" t="n">
        <v>1.294</v>
      </c>
      <c r="CR715" s="5" t="n">
        <v>0</v>
      </c>
      <c r="CS715" s="5" t="n">
        <v>4.221</v>
      </c>
      <c r="CT715" s="5" t="n">
        <v>10.485</v>
      </c>
      <c r="CU715" s="5" t="n">
        <v>31.326</v>
      </c>
    </row>
    <row r="716">
      <c r="A716" s="5" t="inlineStr">
        <is>
          <t>SOM2023</t>
        </is>
      </c>
      <c r="B716" s="5" t="inlineStr">
        <is>
          <t>SOM</t>
        </is>
      </c>
      <c r="C716" s="5" t="inlineStr">
        <is>
          <t>SOM</t>
        </is>
      </c>
      <c r="D716" s="5" t="inlineStr">
        <is>
          <t>Somalia</t>
        </is>
      </c>
      <c r="E716" s="5" t="n">
        <v>2023</v>
      </c>
      <c r="F716" s="5" t="n">
        <v>0</v>
      </c>
      <c r="G716" s="5" t="n">
        <v>6.147</v>
      </c>
      <c r="H716" s="5" t="n">
        <v>1.286</v>
      </c>
      <c r="I716" s="5" t="n">
        <v>0</v>
      </c>
      <c r="J716" s="5" t="n">
        <v>6.147</v>
      </c>
      <c r="K716" s="5" t="n">
        <v>0</v>
      </c>
      <c r="L716" s="5" t="n">
        <v>1</v>
      </c>
      <c r="M716" s="5" t="n">
        <v>7.886</v>
      </c>
      <c r="N716" s="5" t="n">
        <v>3.857</v>
      </c>
      <c r="O716" s="5" t="n">
        <v>0</v>
      </c>
      <c r="P716" s="5" t="n">
        <v>7.886</v>
      </c>
      <c r="Q716" s="5" t="n">
        <v>0</v>
      </c>
      <c r="R716" s="5" t="n">
        <v>1</v>
      </c>
      <c r="S716" s="5" t="n">
        <v>12.575</v>
      </c>
      <c r="T716" s="5" t="n">
        <v>7.714</v>
      </c>
      <c r="U716" s="5" t="n">
        <v>0</v>
      </c>
      <c r="V716" s="5" t="n">
        <v>12.575</v>
      </c>
      <c r="W716" s="5" t="n">
        <v>0</v>
      </c>
      <c r="X716" s="5" t="n">
        <v>1</v>
      </c>
      <c r="Y716" s="5" t="n">
        <v>12.908</v>
      </c>
      <c r="Z716" s="5" t="n">
        <v>1.745</v>
      </c>
      <c r="AA716" s="5" t="n">
        <v>0</v>
      </c>
      <c r="AB716" s="5" t="n">
        <v>12.908</v>
      </c>
      <c r="AC716" s="5" t="n">
        <v>0</v>
      </c>
      <c r="AD716" s="5" t="n">
        <v>1</v>
      </c>
      <c r="AE716" s="5" t="n">
        <v>14.194</v>
      </c>
      <c r="AF716" s="5" t="n">
        <v>3.319</v>
      </c>
      <c r="AG716" s="5" t="n">
        <v>0</v>
      </c>
      <c r="AH716" s="5" t="n">
        <v>14.194</v>
      </c>
      <c r="AI716" s="5" t="n">
        <v>0</v>
      </c>
      <c r="AJ716" s="5" t="n">
        <v>1</v>
      </c>
      <c r="AK716" s="5" t="n">
        <v>21.908</v>
      </c>
      <c r="AL716" s="5" t="n">
        <v>11.668</v>
      </c>
      <c r="AM716" s="5" t="n">
        <v>0</v>
      </c>
      <c r="AN716" s="5" t="n">
        <v>21.908</v>
      </c>
      <c r="AO716" s="5" t="n">
        <v>0</v>
      </c>
      <c r="AP716" s="5" t="n">
        <v>1</v>
      </c>
      <c r="AQ716" s="5" t="n">
        <v>0.76</v>
      </c>
      <c r="AR716" s="5" t="n">
        <v>0.129</v>
      </c>
      <c r="AS716" s="5" t="n">
        <v>0.437</v>
      </c>
      <c r="AT716" s="5" t="n">
        <v>1.197</v>
      </c>
      <c r="AU716" s="5" t="n">
        <v>0</v>
      </c>
      <c r="AV716" s="5" t="n">
        <v>1</v>
      </c>
      <c r="AW716" s="5" t="n">
        <v>0.8110000000000001</v>
      </c>
      <c r="AX716" s="5" t="n">
        <v>0.129</v>
      </c>
      <c r="AY716" s="5" t="n">
        <v>-0.221</v>
      </c>
      <c r="AZ716" s="5" t="n">
        <v>0.59</v>
      </c>
      <c r="BA716" s="5" t="n">
        <v>0</v>
      </c>
      <c r="BB716" s="5" t="n">
        <v>0</v>
      </c>
      <c r="BC716" s="5" t="n">
        <v>0.535</v>
      </c>
      <c r="BD716" s="5" t="n">
        <v>0.129</v>
      </c>
      <c r="BE716" s="5" t="n">
        <v>0</v>
      </c>
      <c r="BF716" s="5" t="n">
        <v>0.535</v>
      </c>
      <c r="BG716" s="5" t="n">
        <v>0</v>
      </c>
      <c r="BH716" s="5" t="n">
        <v>1</v>
      </c>
      <c r="BI716" s="5" t="n">
        <v>0.579</v>
      </c>
      <c r="BJ716" s="5" t="n">
        <v>0.129</v>
      </c>
      <c r="BK716" s="5" t="n">
        <v>0.413</v>
      </c>
      <c r="BL716" s="5" t="n">
        <v>0.992</v>
      </c>
      <c r="BM716" s="5" t="n">
        <v>0</v>
      </c>
      <c r="BN716" s="5" t="n">
        <v>1</v>
      </c>
      <c r="BO716" s="5" t="n">
        <v>0</v>
      </c>
      <c r="BP716" s="5" t="n">
        <v>0</v>
      </c>
      <c r="BQ716" s="5" t="n">
        <v>0.08</v>
      </c>
      <c r="BR716" s="5" t="n">
        <v>0</v>
      </c>
      <c r="BS716" s="5" t="n">
        <v>0.667</v>
      </c>
      <c r="BT716" s="5" t="n">
        <v>0</v>
      </c>
      <c r="BU716" s="5" t="n">
        <v>0</v>
      </c>
      <c r="BV716" s="5" t="n">
        <v>0.08</v>
      </c>
      <c r="BW716" s="5" t="n">
        <v>0</v>
      </c>
      <c r="BX716" s="5" t="n">
        <v>0.667</v>
      </c>
      <c r="BY716" s="5" t="n">
        <v>13.254</v>
      </c>
      <c r="BZ716" s="5" t="n">
        <v>0</v>
      </c>
      <c r="CA716" s="5" t="n">
        <v>13.254</v>
      </c>
      <c r="CB716" s="5" t="n">
        <v>0</v>
      </c>
      <c r="CC716" s="5" t="n">
        <v>83.248</v>
      </c>
      <c r="CD716" s="5" t="n">
        <v>7.95</v>
      </c>
      <c r="CE716" s="5" t="n">
        <v>0</v>
      </c>
      <c r="CF716" s="5" t="n">
        <v>83.248</v>
      </c>
      <c r="CG716" s="5" t="n">
        <v>0</v>
      </c>
      <c r="CH716" s="5" t="n">
        <v>1</v>
      </c>
      <c r="CI716" s="5" t="n">
        <v>0</v>
      </c>
      <c r="CJ716" s="5" t="n">
        <v>0</v>
      </c>
      <c r="CK716" s="5" t="n">
        <v>0</v>
      </c>
      <c r="CL716" s="5" t="n">
        <v>0</v>
      </c>
      <c r="CM716" s="5" t="n">
        <v>0</v>
      </c>
      <c r="CN716" s="5" t="n">
        <v>0</v>
      </c>
      <c r="CO716" s="5" t="n">
        <v>0</v>
      </c>
      <c r="CP716" s="5" t="n">
        <v>0</v>
      </c>
      <c r="CQ716" s="5" t="n">
        <v>1.348</v>
      </c>
      <c r="CR716" s="5" t="n">
        <v>0</v>
      </c>
      <c r="CS716" s="5" t="n">
        <v>4.395</v>
      </c>
      <c r="CT716" s="5" t="n">
        <v>4.861</v>
      </c>
      <c r="CU716" s="5" t="n">
        <v>11.622</v>
      </c>
    </row>
    <row r="717">
      <c r="A717" s="5" t="inlineStr">
        <is>
          <t>SOM2024</t>
        </is>
      </c>
      <c r="B717" s="5" t="inlineStr">
        <is>
          <t>SOM</t>
        </is>
      </c>
      <c r="C717" s="5" t="inlineStr">
        <is>
          <t>SOM</t>
        </is>
      </c>
      <c r="D717" s="5" t="inlineStr">
        <is>
          <t>Somalia</t>
        </is>
      </c>
      <c r="E717" s="5" t="n">
        <v>2024</v>
      </c>
      <c r="F717" s="5" t="n">
        <v>0</v>
      </c>
      <c r="G717" s="5" t="n">
        <v>5.575</v>
      </c>
      <c r="H717" s="5" t="n">
        <v>1.324</v>
      </c>
      <c r="I717" s="5" t="n">
        <v>0</v>
      </c>
      <c r="J717" s="5" t="n">
        <v>5.575</v>
      </c>
      <c r="K717" s="5" t="n">
        <v>0</v>
      </c>
      <c r="L717" s="5" t="n">
        <v>1</v>
      </c>
      <c r="M717" s="5" t="n">
        <v>7.124</v>
      </c>
      <c r="N717" s="5" t="n">
        <v>3.971</v>
      </c>
      <c r="O717" s="5" t="n">
        <v>0</v>
      </c>
      <c r="P717" s="5" t="n">
        <v>7.124</v>
      </c>
      <c r="Q717" s="5" t="n">
        <v>0</v>
      </c>
      <c r="R717" s="5" t="n">
        <v>1</v>
      </c>
      <c r="S717" s="5" t="n">
        <v>12.193</v>
      </c>
      <c r="T717" s="5" t="n">
        <v>7.942</v>
      </c>
      <c r="U717" s="5" t="n">
        <v>0</v>
      </c>
      <c r="V717" s="5" t="n">
        <v>12.193</v>
      </c>
      <c r="W717" s="5" t="n">
        <v>0</v>
      </c>
      <c r="X717" s="5" t="n">
        <v>1</v>
      </c>
      <c r="Y717" s="5" t="n">
        <v>11.492</v>
      </c>
      <c r="Z717" s="5" t="n">
        <v>1.553</v>
      </c>
      <c r="AA717" s="5" t="n">
        <v>0</v>
      </c>
      <c r="AB717" s="5" t="n">
        <v>11.492</v>
      </c>
      <c r="AC717" s="5" t="n">
        <v>0</v>
      </c>
      <c r="AD717" s="5" t="n">
        <v>1</v>
      </c>
      <c r="AE717" s="5" t="n">
        <v>12.815</v>
      </c>
      <c r="AF717" s="5" t="n">
        <v>2.997</v>
      </c>
      <c r="AG717" s="5" t="n">
        <v>0</v>
      </c>
      <c r="AH717" s="5" t="n">
        <v>12.815</v>
      </c>
      <c r="AI717" s="5" t="n">
        <v>0</v>
      </c>
      <c r="AJ717" s="5" t="n">
        <v>1</v>
      </c>
      <c r="AK717" s="5" t="n">
        <v>20.757</v>
      </c>
      <c r="AL717" s="5" t="n">
        <v>11.055</v>
      </c>
      <c r="AM717" s="5" t="n">
        <v>0</v>
      </c>
      <c r="AN717" s="5" t="n">
        <v>20.757</v>
      </c>
      <c r="AO717" s="5" t="n">
        <v>0</v>
      </c>
      <c r="AP717" s="5" t="n">
        <v>1</v>
      </c>
      <c r="AQ717" s="5" t="n">
        <v>0.724</v>
      </c>
      <c r="AR717" s="5" t="n">
        <v>0.132</v>
      </c>
      <c r="AS717" s="5" t="n">
        <v>0.397</v>
      </c>
      <c r="AT717" s="5" t="n">
        <v>1.121</v>
      </c>
      <c r="AU717" s="5" t="n">
        <v>0</v>
      </c>
      <c r="AV717" s="5" t="n">
        <v>1</v>
      </c>
      <c r="AW717" s="5" t="n">
        <v>0.75</v>
      </c>
      <c r="AX717" s="5" t="n">
        <v>0.132</v>
      </c>
      <c r="AY717" s="5" t="n">
        <v>-0.18</v>
      </c>
      <c r="AZ717" s="5" t="n">
        <v>0.57</v>
      </c>
      <c r="BA717" s="5" t="n">
        <v>0</v>
      </c>
      <c r="BB717" s="5" t="n">
        <v>0</v>
      </c>
      <c r="BC717" s="5" t="n">
        <v>0.513</v>
      </c>
      <c r="BD717" s="5" t="n">
        <v>0.132</v>
      </c>
      <c r="BE717" s="5" t="n">
        <v>0</v>
      </c>
      <c r="BF717" s="5" t="n">
        <v>0.513</v>
      </c>
      <c r="BG717" s="5" t="n">
        <v>0</v>
      </c>
      <c r="BH717" s="5" t="n">
        <v>1</v>
      </c>
      <c r="BI717" s="5" t="n">
        <v>0.591</v>
      </c>
      <c r="BJ717" s="5" t="n">
        <v>0.132</v>
      </c>
      <c r="BK717" s="5" t="n">
        <v>0.368</v>
      </c>
      <c r="BL717" s="5" t="n">
        <v>0.959</v>
      </c>
      <c r="BM717" s="5" t="n">
        <v>0</v>
      </c>
      <c r="BN717" s="5" t="n">
        <v>1</v>
      </c>
      <c r="BO717" s="5" t="n">
        <v>0</v>
      </c>
      <c r="BP717" s="5" t="n">
        <v>0</v>
      </c>
      <c r="BQ717" s="5" t="n">
        <v>0.082</v>
      </c>
      <c r="BR717" s="5" t="n">
        <v>0</v>
      </c>
      <c r="BS717" s="5" t="n">
        <v>0.667</v>
      </c>
      <c r="BT717" s="5" t="n">
        <v>0</v>
      </c>
      <c r="BU717" s="5" t="n">
        <v>0</v>
      </c>
      <c r="BV717" s="5" t="n">
        <v>0.082</v>
      </c>
      <c r="BW717" s="5" t="n">
        <v>0</v>
      </c>
      <c r="BX717" s="5" t="n">
        <v>0.667</v>
      </c>
      <c r="BY717" s="5" t="n">
        <v>13.646</v>
      </c>
      <c r="BZ717" s="5" t="n">
        <v>0</v>
      </c>
      <c r="CA717" s="5" t="n">
        <v>13.646</v>
      </c>
      <c r="CB717" s="5" t="n">
        <v>0</v>
      </c>
      <c r="CC717" s="5" t="n">
        <v>82.58799999999999</v>
      </c>
      <c r="CD717" s="5" t="n">
        <v>7.95</v>
      </c>
      <c r="CE717" s="5" t="n">
        <v>0</v>
      </c>
      <c r="CF717" s="5" t="n">
        <v>82.58799999999999</v>
      </c>
      <c r="CG717" s="5" t="n">
        <v>0</v>
      </c>
      <c r="CH717" s="5" t="n">
        <v>1</v>
      </c>
      <c r="CI717" s="5" t="n">
        <v>0</v>
      </c>
      <c r="CJ717" s="5" t="n">
        <v>0</v>
      </c>
      <c r="CK717" s="5" t="n">
        <v>0</v>
      </c>
      <c r="CL717" s="5" t="n">
        <v>0</v>
      </c>
      <c r="CM717" s="5" t="n">
        <v>0</v>
      </c>
      <c r="CN717" s="5" t="n">
        <v>0</v>
      </c>
      <c r="CO717" s="5" t="n">
        <v>0</v>
      </c>
      <c r="CP717" s="5" t="n">
        <v>0</v>
      </c>
      <c r="CQ717" s="5" t="n">
        <v>1.387</v>
      </c>
      <c r="CR717" s="5" t="n">
        <v>0</v>
      </c>
      <c r="CS717" s="5" t="n">
        <v>4.525</v>
      </c>
      <c r="CT717" s="5" t="n">
        <v>4.251</v>
      </c>
      <c r="CU717" s="5" t="n">
        <v>10.168</v>
      </c>
    </row>
    <row r="718">
      <c r="A718" s="5" t="inlineStr">
        <is>
          <t>ZAF2021</t>
        </is>
      </c>
      <c r="B718" s="5" t="inlineStr">
        <is>
          <t>ZAF</t>
        </is>
      </c>
      <c r="C718" s="5" t="inlineStr">
        <is>
          <t>ZAF</t>
        </is>
      </c>
      <c r="D718" s="5" t="inlineStr">
        <is>
          <t>South Africa</t>
        </is>
      </c>
      <c r="E718" s="5" t="n">
        <v>2021</v>
      </c>
      <c r="F718" s="5" t="n">
        <v>0.15</v>
      </c>
      <c r="G718" s="5" t="n">
        <v>1.909</v>
      </c>
      <c r="H718" s="5" t="n">
        <v>0.583</v>
      </c>
      <c r="I718" s="5" t="n">
        <v>0.492</v>
      </c>
      <c r="J718" s="5" t="n">
        <v>2.401</v>
      </c>
      <c r="K718" s="5" t="n">
        <v>0</v>
      </c>
      <c r="L718" s="5" t="n">
        <v>1</v>
      </c>
      <c r="M718" s="5" t="n">
        <v>1.91</v>
      </c>
      <c r="N718" s="5" t="n">
        <v>0.583</v>
      </c>
      <c r="O718" s="5" t="n">
        <v>0.492</v>
      </c>
      <c r="P718" s="5" t="n">
        <v>2.402</v>
      </c>
      <c r="Q718" s="5" t="n">
        <v>0</v>
      </c>
      <c r="R718" s="5" t="n">
        <v>1</v>
      </c>
      <c r="S718" s="5" t="n">
        <v>4.242</v>
      </c>
      <c r="T718" s="5" t="n">
        <v>2.916</v>
      </c>
      <c r="U718" s="5" t="n">
        <v>0.492</v>
      </c>
      <c r="V718" s="5" t="n">
        <v>5.444</v>
      </c>
      <c r="W718" s="5" t="n">
        <v>0.15</v>
      </c>
      <c r="X718" s="5" t="n">
        <v>1</v>
      </c>
      <c r="Y718" s="5" t="n">
        <v>8.449</v>
      </c>
      <c r="Z718" s="5" t="n">
        <v>1.929</v>
      </c>
      <c r="AA718" s="5" t="n">
        <v>0.291</v>
      </c>
      <c r="AB718" s="5" t="n">
        <v>8.741</v>
      </c>
      <c r="AC718" s="5" t="n">
        <v>0</v>
      </c>
      <c r="AD718" s="5" t="n">
        <v>1</v>
      </c>
      <c r="AE718" s="5" t="n">
        <v>9.59</v>
      </c>
      <c r="AF718" s="5" t="n">
        <v>3.496</v>
      </c>
      <c r="AG718" s="5" t="n">
        <v>0.291</v>
      </c>
      <c r="AH718" s="5" t="n">
        <v>9.881</v>
      </c>
      <c r="AI718" s="5" t="n">
        <v>0</v>
      </c>
      <c r="AJ718" s="5" t="n">
        <v>1</v>
      </c>
      <c r="AK718" s="5" t="n">
        <v>16.434</v>
      </c>
      <c r="AL718" s="5" t="n">
        <v>11.189</v>
      </c>
      <c r="AM718" s="5" t="n">
        <v>0.291</v>
      </c>
      <c r="AN718" s="5" t="n">
        <v>19.234</v>
      </c>
      <c r="AO718" s="5" t="n">
        <v>0.15</v>
      </c>
      <c r="AP718" s="5" t="n">
        <v>1</v>
      </c>
      <c r="AQ718" s="5" t="n">
        <v>0.619</v>
      </c>
      <c r="AR718" s="5" t="n">
        <v>0.114</v>
      </c>
      <c r="AS718" s="5" t="n">
        <v>0.414</v>
      </c>
      <c r="AT718" s="5" t="n">
        <v>1.033</v>
      </c>
      <c r="AU718" s="5" t="n">
        <v>0</v>
      </c>
      <c r="AV718" s="5" t="n">
        <v>1</v>
      </c>
      <c r="AW718" s="5" t="n">
        <v>0.599</v>
      </c>
      <c r="AX718" s="5" t="n">
        <v>0.114</v>
      </c>
      <c r="AY718" s="5" t="n">
        <v>0.301</v>
      </c>
      <c r="AZ718" s="5" t="n">
        <v>0.9</v>
      </c>
      <c r="BA718" s="5" t="n">
        <v>0</v>
      </c>
      <c r="BB718" s="5" t="n">
        <v>1</v>
      </c>
      <c r="BC718" s="5" t="n">
        <v>0.439</v>
      </c>
      <c r="BD718" s="5" t="n">
        <v>0.114</v>
      </c>
      <c r="BE718" s="5" t="n">
        <v>0.398</v>
      </c>
      <c r="BF718" s="5" t="n">
        <v>0.963</v>
      </c>
      <c r="BG718" s="5" t="n">
        <v>0.15</v>
      </c>
      <c r="BH718" s="5" t="n">
        <v>1</v>
      </c>
      <c r="BI718" s="5" t="n">
        <v>0.505</v>
      </c>
      <c r="BJ718" s="5" t="n">
        <v>0.114</v>
      </c>
      <c r="BK718" s="5" t="n">
        <v>-0.061</v>
      </c>
      <c r="BL718" s="5" t="n">
        <v>0.51</v>
      </c>
      <c r="BM718" s="5" t="n">
        <v>0.15</v>
      </c>
      <c r="BN718" s="5" t="n">
        <v>1</v>
      </c>
      <c r="BO718" s="5" t="n">
        <v>0</v>
      </c>
      <c r="BP718" s="5" t="n">
        <v>-0.001</v>
      </c>
      <c r="BQ718" s="5" t="n">
        <v>0.049</v>
      </c>
      <c r="BR718" s="5" t="n">
        <v>0</v>
      </c>
      <c r="BS718" s="5" t="n">
        <v>1</v>
      </c>
      <c r="BT718" s="5" t="n">
        <v>0</v>
      </c>
      <c r="BU718" s="5" t="n">
        <v>-0.001</v>
      </c>
      <c r="BV718" s="5" t="n">
        <v>0.173</v>
      </c>
      <c r="BW718" s="5" t="n">
        <v>0.15</v>
      </c>
      <c r="BX718" s="5" t="n">
        <v>1</v>
      </c>
      <c r="BY718" s="5" t="n">
        <v>11.787</v>
      </c>
      <c r="BZ718" s="5" t="n">
        <v>0</v>
      </c>
      <c r="CA718" s="5" t="n">
        <v>11.787</v>
      </c>
      <c r="CB718" s="5" t="n">
        <v>0</v>
      </c>
      <c r="CC718" s="5" t="n">
        <v>78.125</v>
      </c>
      <c r="CD718" s="5" t="n">
        <v>7.95</v>
      </c>
      <c r="CE718" s="5" t="n">
        <v>7.269</v>
      </c>
      <c r="CF718" s="5" t="n">
        <v>98.203</v>
      </c>
      <c r="CG718" s="5" t="n">
        <v>0.15</v>
      </c>
      <c r="CH718" s="5" t="n">
        <v>1</v>
      </c>
      <c r="CI718" s="5" t="n">
        <v>0</v>
      </c>
      <c r="CJ718" s="5" t="n">
        <v>0</v>
      </c>
      <c r="CK718" s="5" t="n">
        <v>0</v>
      </c>
      <c r="CL718" s="5" t="n">
        <v>0</v>
      </c>
      <c r="CM718" s="5" t="n">
        <v>0</v>
      </c>
      <c r="CN718" s="5" t="n">
        <v>0</v>
      </c>
      <c r="CO718" s="5" t="n">
        <v>0</v>
      </c>
      <c r="CP718" s="5" t="n">
        <v>0.98</v>
      </c>
      <c r="CQ718" s="5" t="n">
        <v>1.25</v>
      </c>
      <c r="CR718" s="5" t="n">
        <v>0.005</v>
      </c>
      <c r="CS718" s="5" t="n">
        <v>7.309</v>
      </c>
      <c r="CT718" s="5" t="n">
        <v>4.998</v>
      </c>
      <c r="CU718" s="5" t="n">
        <v>7.309</v>
      </c>
    </row>
    <row r="719">
      <c r="A719" s="5" t="inlineStr">
        <is>
          <t>ZAF2022</t>
        </is>
      </c>
      <c r="B719" s="5" t="inlineStr">
        <is>
          <t>ZAF</t>
        </is>
      </c>
      <c r="C719" s="5" t="inlineStr">
        <is>
          <t>ZAF</t>
        </is>
      </c>
      <c r="D719" s="5" t="inlineStr">
        <is>
          <t>South Africa</t>
        </is>
      </c>
      <c r="E719" s="5" t="n">
        <v>2022</v>
      </c>
      <c r="F719" s="5" t="n">
        <v>0.15</v>
      </c>
      <c r="G719" s="5" t="n">
        <v>2.11</v>
      </c>
      <c r="H719" s="5" t="n">
        <v>0.626</v>
      </c>
      <c r="I719" s="5" t="n">
        <v>0.742</v>
      </c>
      <c r="J719" s="5" t="n">
        <v>2.852</v>
      </c>
      <c r="K719" s="5" t="n">
        <v>0</v>
      </c>
      <c r="L719" s="5" t="n">
        <v>1</v>
      </c>
      <c r="M719" s="5" t="n">
        <v>2.093</v>
      </c>
      <c r="N719" s="5" t="n">
        <v>0.626</v>
      </c>
      <c r="O719" s="5" t="n">
        <v>0.742</v>
      </c>
      <c r="P719" s="5" t="n">
        <v>2.835</v>
      </c>
      <c r="Q719" s="5" t="n">
        <v>0</v>
      </c>
      <c r="R719" s="5" t="n">
        <v>1</v>
      </c>
      <c r="S719" s="5" t="n">
        <v>4.614</v>
      </c>
      <c r="T719" s="5" t="n">
        <v>3.129</v>
      </c>
      <c r="U719" s="5" t="n">
        <v>0.801</v>
      </c>
      <c r="V719" s="5" t="n">
        <v>6.159</v>
      </c>
      <c r="W719" s="5" t="n">
        <v>0.15</v>
      </c>
      <c r="X719" s="5" t="n">
        <v>1</v>
      </c>
      <c r="Y719" s="5" t="n">
        <v>18.417</v>
      </c>
      <c r="Z719" s="5" t="n">
        <v>4.205</v>
      </c>
      <c r="AA719" s="5" t="n">
        <v>0.439</v>
      </c>
      <c r="AB719" s="5" t="n">
        <v>18.856</v>
      </c>
      <c r="AC719" s="5" t="n">
        <v>0</v>
      </c>
      <c r="AD719" s="5" t="n">
        <v>1</v>
      </c>
      <c r="AE719" s="5" t="n">
        <v>19.65</v>
      </c>
      <c r="AF719" s="5" t="n">
        <v>7.164</v>
      </c>
      <c r="AG719" s="5" t="n">
        <v>0.439</v>
      </c>
      <c r="AH719" s="5" t="n">
        <v>20.089</v>
      </c>
      <c r="AI719" s="5" t="n">
        <v>0</v>
      </c>
      <c r="AJ719" s="5" t="n">
        <v>1</v>
      </c>
      <c r="AK719" s="5" t="n">
        <v>27.046</v>
      </c>
      <c r="AL719" s="5" t="n">
        <v>18.413</v>
      </c>
      <c r="AM719" s="5" t="n">
        <v>0.744</v>
      </c>
      <c r="AN719" s="5" t="n">
        <v>31.608</v>
      </c>
      <c r="AO719" s="5" t="n">
        <v>0.15</v>
      </c>
      <c r="AP719" s="5" t="n">
        <v>1</v>
      </c>
      <c r="AQ719" s="5" t="n">
        <v>0.861</v>
      </c>
      <c r="AR719" s="5" t="n">
        <v>0.123</v>
      </c>
      <c r="AS719" s="5" t="n">
        <v>0.386</v>
      </c>
      <c r="AT719" s="5" t="n">
        <v>1.247</v>
      </c>
      <c r="AU719" s="5" t="n">
        <v>0</v>
      </c>
      <c r="AV719" s="5" t="n">
        <v>1</v>
      </c>
      <c r="AW719" s="5" t="n">
        <v>0.986</v>
      </c>
      <c r="AX719" s="5" t="n">
        <v>0.123</v>
      </c>
      <c r="AY719" s="5" t="n">
        <v>0.235</v>
      </c>
      <c r="AZ719" s="5" t="n">
        <v>1.221</v>
      </c>
      <c r="BA719" s="5" t="n">
        <v>0</v>
      </c>
      <c r="BB719" s="5" t="n">
        <v>1</v>
      </c>
      <c r="BC719" s="5" t="n">
        <v>0.598</v>
      </c>
      <c r="BD719" s="5" t="n">
        <v>0.123</v>
      </c>
      <c r="BE719" s="5" t="n">
        <v>0.425</v>
      </c>
      <c r="BF719" s="5" t="n">
        <v>1.164</v>
      </c>
      <c r="BG719" s="5" t="n">
        <v>0.15</v>
      </c>
      <c r="BH719" s="5" t="n">
        <v>1</v>
      </c>
      <c r="BI719" s="5" t="n">
        <v>0.612</v>
      </c>
      <c r="BJ719" s="5" t="n">
        <v>0.123</v>
      </c>
      <c r="BK719" s="5" t="n">
        <v>0.191</v>
      </c>
      <c r="BL719" s="5" t="n">
        <v>0.924</v>
      </c>
      <c r="BM719" s="5" t="n">
        <v>0.15</v>
      </c>
      <c r="BN719" s="5" t="n">
        <v>1</v>
      </c>
      <c r="BO719" s="5" t="n">
        <v>0</v>
      </c>
      <c r="BP719" s="5" t="n">
        <v>-0.032</v>
      </c>
      <c r="BQ719" s="5" t="n">
        <v>0.049</v>
      </c>
      <c r="BR719" s="5" t="n">
        <v>0</v>
      </c>
      <c r="BS719" s="5" t="n">
        <v>1</v>
      </c>
      <c r="BT719" s="5" t="n">
        <v>0</v>
      </c>
      <c r="BU719" s="5" t="n">
        <v>-0.032</v>
      </c>
      <c r="BV719" s="5" t="n">
        <v>0.17</v>
      </c>
      <c r="BW719" s="5" t="n">
        <v>0.15</v>
      </c>
      <c r="BX719" s="5" t="n">
        <v>1</v>
      </c>
      <c r="BY719" s="5" t="n">
        <v>12.729</v>
      </c>
      <c r="BZ719" s="5" t="n">
        <v>0</v>
      </c>
      <c r="CA719" s="5" t="n">
        <v>12.729</v>
      </c>
      <c r="CB719" s="5" t="n">
        <v>0</v>
      </c>
      <c r="CC719" s="5" t="n">
        <v>97.90000000000001</v>
      </c>
      <c r="CD719" s="5" t="n">
        <v>7.95</v>
      </c>
      <c r="CE719" s="5" t="n">
        <v>10.898</v>
      </c>
      <c r="CF719" s="5" t="n">
        <v>123.743</v>
      </c>
      <c r="CG719" s="5" t="n">
        <v>0.15</v>
      </c>
      <c r="CH719" s="5" t="n">
        <v>1</v>
      </c>
      <c r="CI719" s="5" t="n">
        <v>0</v>
      </c>
      <c r="CJ719" s="5" t="n">
        <v>0</v>
      </c>
      <c r="CK719" s="5" t="n">
        <v>0</v>
      </c>
      <c r="CL719" s="5" t="n">
        <v>0</v>
      </c>
      <c r="CM719" s="5" t="n">
        <v>0</v>
      </c>
      <c r="CN719" s="5" t="n">
        <v>0</v>
      </c>
      <c r="CO719" s="5" t="n">
        <v>0</v>
      </c>
      <c r="CP719" s="5" t="n">
        <v>0.986</v>
      </c>
      <c r="CQ719" s="5" t="n">
        <v>1.35</v>
      </c>
      <c r="CR719" s="5" t="n">
        <v>0.003</v>
      </c>
      <c r="CS719" s="5" t="n">
        <v>8.709</v>
      </c>
      <c r="CT719" s="5" t="n">
        <v>11.066</v>
      </c>
      <c r="CU719" s="5" t="n">
        <v>17.239</v>
      </c>
    </row>
    <row r="720">
      <c r="A720" s="5" t="inlineStr">
        <is>
          <t>ZAF2023</t>
        </is>
      </c>
      <c r="B720" s="5" t="inlineStr">
        <is>
          <t>ZAF</t>
        </is>
      </c>
      <c r="C720" s="5" t="inlineStr">
        <is>
          <t>ZAF</t>
        </is>
      </c>
      <c r="D720" s="5" t="inlineStr">
        <is>
          <t>South Africa</t>
        </is>
      </c>
      <c r="E720" s="5" t="n">
        <v>2023</v>
      </c>
      <c r="F720" s="5" t="n">
        <v>0.15</v>
      </c>
      <c r="G720" s="5" t="n">
        <v>2.123</v>
      </c>
      <c r="H720" s="5" t="n">
        <v>0.653</v>
      </c>
      <c r="I720" s="5" t="n">
        <v>0.701</v>
      </c>
      <c r="J720" s="5" t="n">
        <v>2.824</v>
      </c>
      <c r="K720" s="5" t="n">
        <v>0</v>
      </c>
      <c r="L720" s="5" t="n">
        <v>1</v>
      </c>
      <c r="M720" s="5" t="n">
        <v>2.12</v>
      </c>
      <c r="N720" s="5" t="n">
        <v>0.653</v>
      </c>
      <c r="O720" s="5" t="n">
        <v>0.701</v>
      </c>
      <c r="P720" s="5" t="n">
        <v>2.821</v>
      </c>
      <c r="Q720" s="5" t="n">
        <v>0</v>
      </c>
      <c r="R720" s="5" t="n">
        <v>1</v>
      </c>
      <c r="S720" s="5" t="n">
        <v>4.737</v>
      </c>
      <c r="T720" s="5" t="n">
        <v>3.267</v>
      </c>
      <c r="U720" s="5" t="n">
        <v>0.791</v>
      </c>
      <c r="V720" s="5" t="n">
        <v>6.253</v>
      </c>
      <c r="W720" s="5" t="n">
        <v>0.15</v>
      </c>
      <c r="X720" s="5" t="n">
        <v>1</v>
      </c>
      <c r="Y720" s="5" t="n">
        <v>7.192</v>
      </c>
      <c r="Z720" s="5" t="n">
        <v>1.642</v>
      </c>
      <c r="AA720" s="5" t="n">
        <v>0.414</v>
      </c>
      <c r="AB720" s="5" t="n">
        <v>7.606</v>
      </c>
      <c r="AC720" s="5" t="n">
        <v>0</v>
      </c>
      <c r="AD720" s="5" t="n">
        <v>1</v>
      </c>
      <c r="AE720" s="5" t="n">
        <v>8.476000000000001</v>
      </c>
      <c r="AF720" s="5" t="n">
        <v>3.09</v>
      </c>
      <c r="AG720" s="5" t="n">
        <v>0.414</v>
      </c>
      <c r="AH720" s="5" t="n">
        <v>8.890000000000001</v>
      </c>
      <c r="AI720" s="5" t="n">
        <v>0</v>
      </c>
      <c r="AJ720" s="5" t="n">
        <v>1</v>
      </c>
      <c r="AK720" s="5" t="n">
        <v>16.178</v>
      </c>
      <c r="AL720" s="5" t="n">
        <v>11.014</v>
      </c>
      <c r="AM720" s="5" t="n">
        <v>0.6899999999999999</v>
      </c>
      <c r="AN720" s="5" t="n">
        <v>19.082</v>
      </c>
      <c r="AO720" s="5" t="n">
        <v>0.15</v>
      </c>
      <c r="AP720" s="5" t="n">
        <v>1</v>
      </c>
      <c r="AQ720" s="5" t="n">
        <v>0.76</v>
      </c>
      <c r="AR720" s="5" t="n">
        <v>0.129</v>
      </c>
      <c r="AS720" s="5" t="n">
        <v>0.362</v>
      </c>
      <c r="AT720" s="5" t="n">
        <v>1.123</v>
      </c>
      <c r="AU720" s="5" t="n">
        <v>0</v>
      </c>
      <c r="AV720" s="5" t="n">
        <v>1</v>
      </c>
      <c r="AW720" s="5" t="n">
        <v>0.8110000000000001</v>
      </c>
      <c r="AX720" s="5" t="n">
        <v>0.129</v>
      </c>
      <c r="AY720" s="5" t="n">
        <v>0.231</v>
      </c>
      <c r="AZ720" s="5" t="n">
        <v>1.043</v>
      </c>
      <c r="BA720" s="5" t="n">
        <v>0</v>
      </c>
      <c r="BB720" s="5" t="n">
        <v>1</v>
      </c>
      <c r="BC720" s="5" t="n">
        <v>0.535</v>
      </c>
      <c r="BD720" s="5" t="n">
        <v>0.129</v>
      </c>
      <c r="BE720" s="5" t="n">
        <v>0.459</v>
      </c>
      <c r="BF720" s="5" t="n">
        <v>1.124</v>
      </c>
      <c r="BG720" s="5" t="n">
        <v>0.15</v>
      </c>
      <c r="BH720" s="5" t="n">
        <v>1</v>
      </c>
      <c r="BI720" s="5" t="n">
        <v>0.579</v>
      </c>
      <c r="BJ720" s="5" t="n">
        <v>0.129</v>
      </c>
      <c r="BK720" s="5" t="n">
        <v>0.102</v>
      </c>
      <c r="BL720" s="5" t="n">
        <v>0.783</v>
      </c>
      <c r="BM720" s="5" t="n">
        <v>0.15</v>
      </c>
      <c r="BN720" s="5" t="n">
        <v>1</v>
      </c>
      <c r="BO720" s="5" t="n">
        <v>0</v>
      </c>
      <c r="BP720" s="5" t="n">
        <v>0</v>
      </c>
      <c r="BQ720" s="5" t="n">
        <v>0.035</v>
      </c>
      <c r="BR720" s="5" t="n">
        <v>0</v>
      </c>
      <c r="BS720" s="5" t="n">
        <v>1</v>
      </c>
      <c r="BT720" s="5" t="n">
        <v>0</v>
      </c>
      <c r="BU720" s="5" t="n">
        <v>0</v>
      </c>
      <c r="BV720" s="5" t="n">
        <v>0.154</v>
      </c>
      <c r="BW720" s="5" t="n">
        <v>0.15</v>
      </c>
      <c r="BX720" s="5" t="n">
        <v>1</v>
      </c>
      <c r="BY720" s="5" t="n">
        <v>13.254</v>
      </c>
      <c r="BZ720" s="5" t="n">
        <v>0</v>
      </c>
      <c r="CA720" s="5" t="n">
        <v>13.254</v>
      </c>
      <c r="CB720" s="5" t="n">
        <v>0</v>
      </c>
      <c r="CC720" s="5" t="n">
        <v>83.248</v>
      </c>
      <c r="CD720" s="5" t="n">
        <v>7.95</v>
      </c>
      <c r="CE720" s="5" t="n">
        <v>9.856</v>
      </c>
      <c r="CF720" s="5" t="n">
        <v>105.321</v>
      </c>
      <c r="CG720" s="5" t="n">
        <v>0.15</v>
      </c>
      <c r="CH720" s="5" t="n">
        <v>1</v>
      </c>
      <c r="CI720" s="5" t="n">
        <v>0</v>
      </c>
      <c r="CJ720" s="5" t="n">
        <v>0</v>
      </c>
      <c r="CK720" s="5" t="n">
        <v>0</v>
      </c>
      <c r="CL720" s="5" t="n">
        <v>0</v>
      </c>
      <c r="CM720" s="5" t="n">
        <v>0</v>
      </c>
      <c r="CN720" s="5" t="n">
        <v>0</v>
      </c>
      <c r="CO720" s="5" t="n">
        <v>0</v>
      </c>
      <c r="CP720" s="5" t="n">
        <v>0.983</v>
      </c>
      <c r="CQ720" s="5" t="n">
        <v>1.406</v>
      </c>
      <c r="CR720" s="5" t="n">
        <v>0.003</v>
      </c>
      <c r="CS720" s="5" t="n">
        <v>5.919</v>
      </c>
      <c r="CT720" s="5" t="n">
        <v>5.267</v>
      </c>
      <c r="CU720" s="5" t="n">
        <v>5.919</v>
      </c>
    </row>
    <row r="721">
      <c r="A721" s="5" t="inlineStr">
        <is>
          <t>ZAF2024</t>
        </is>
      </c>
      <c r="B721" s="5" t="inlineStr">
        <is>
          <t>ZAF</t>
        </is>
      </c>
      <c r="C721" s="5" t="inlineStr">
        <is>
          <t>ZAF</t>
        </is>
      </c>
      <c r="D721" s="5" t="inlineStr">
        <is>
          <t>South Africa</t>
        </is>
      </c>
      <c r="E721" s="5" t="n">
        <v>2024</v>
      </c>
      <c r="F721" s="5" t="n">
        <v>0.15</v>
      </c>
      <c r="G721" s="5" t="n">
        <v>2.171</v>
      </c>
      <c r="H721" s="5" t="n">
        <v>0.673</v>
      </c>
      <c r="I721" s="5" t="n">
        <v>0.8159999999999999</v>
      </c>
      <c r="J721" s="5" t="n">
        <v>2.986</v>
      </c>
      <c r="K721" s="5" t="n">
        <v>0</v>
      </c>
      <c r="L721" s="5" t="n">
        <v>1</v>
      </c>
      <c r="M721" s="5" t="n">
        <v>2.167</v>
      </c>
      <c r="N721" s="5" t="n">
        <v>0.673</v>
      </c>
      <c r="O721" s="5" t="n">
        <v>0.8159999999999999</v>
      </c>
      <c r="P721" s="5" t="n">
        <v>2.983</v>
      </c>
      <c r="Q721" s="5" t="n">
        <v>0</v>
      </c>
      <c r="R721" s="5" t="n">
        <v>1</v>
      </c>
      <c r="S721" s="5" t="n">
        <v>4.862</v>
      </c>
      <c r="T721" s="5" t="n">
        <v>3.364</v>
      </c>
      <c r="U721" s="5" t="n">
        <v>0.9320000000000001</v>
      </c>
      <c r="V721" s="5" t="n">
        <v>6.529</v>
      </c>
      <c r="W721" s="5" t="n">
        <v>0.15</v>
      </c>
      <c r="X721" s="5" t="n">
        <v>1</v>
      </c>
      <c r="Y721" s="5" t="n">
        <v>6.32</v>
      </c>
      <c r="Z721" s="5" t="n">
        <v>1.443</v>
      </c>
      <c r="AA721" s="5" t="n">
        <v>0.482</v>
      </c>
      <c r="AB721" s="5" t="n">
        <v>6.802</v>
      </c>
      <c r="AC721" s="5" t="n">
        <v>0</v>
      </c>
      <c r="AD721" s="5" t="n">
        <v>1</v>
      </c>
      <c r="AE721" s="5" t="n">
        <v>7.641</v>
      </c>
      <c r="AF721" s="5" t="n">
        <v>2.786</v>
      </c>
      <c r="AG721" s="5" t="n">
        <v>0.482</v>
      </c>
      <c r="AH721" s="5" t="n">
        <v>8.124000000000001</v>
      </c>
      <c r="AI721" s="5" t="n">
        <v>0</v>
      </c>
      <c r="AJ721" s="5" t="n">
        <v>1</v>
      </c>
      <c r="AK721" s="5" t="n">
        <v>15.572</v>
      </c>
      <c r="AL721" s="5" t="n">
        <v>10.601</v>
      </c>
      <c r="AM721" s="5" t="n">
        <v>0.8100000000000001</v>
      </c>
      <c r="AN721" s="5" t="n">
        <v>18.462</v>
      </c>
      <c r="AO721" s="5" t="n">
        <v>0.15</v>
      </c>
      <c r="AP721" s="5" t="n">
        <v>1</v>
      </c>
      <c r="AQ721" s="5" t="n">
        <v>0.724</v>
      </c>
      <c r="AR721" s="5" t="n">
        <v>0.132</v>
      </c>
      <c r="AS721" s="5" t="n">
        <v>0.402</v>
      </c>
      <c r="AT721" s="5" t="n">
        <v>1.127</v>
      </c>
      <c r="AU721" s="5" t="n">
        <v>0</v>
      </c>
      <c r="AV721" s="5" t="n">
        <v>1</v>
      </c>
      <c r="AW721" s="5" t="n">
        <v>0.75</v>
      </c>
      <c r="AX721" s="5" t="n">
        <v>0.132</v>
      </c>
      <c r="AY721" s="5" t="n">
        <v>0.313</v>
      </c>
      <c r="AZ721" s="5" t="n">
        <v>1.063</v>
      </c>
      <c r="BA721" s="5" t="n">
        <v>0</v>
      </c>
      <c r="BB721" s="5" t="n">
        <v>1</v>
      </c>
      <c r="BC721" s="5" t="n">
        <v>0.513</v>
      </c>
      <c r="BD721" s="5" t="n">
        <v>0.132</v>
      </c>
      <c r="BE721" s="5" t="n">
        <v>0.481</v>
      </c>
      <c r="BF721" s="5" t="n">
        <v>1.12</v>
      </c>
      <c r="BG721" s="5" t="n">
        <v>0.15</v>
      </c>
      <c r="BH721" s="5" t="n">
        <v>1</v>
      </c>
      <c r="BI721" s="5" t="n">
        <v>0.591</v>
      </c>
      <c r="BJ721" s="5" t="n">
        <v>0.132</v>
      </c>
      <c r="BK721" s="5" t="n">
        <v>0.056</v>
      </c>
      <c r="BL721" s="5" t="n">
        <v>0.744</v>
      </c>
      <c r="BM721" s="5" t="n">
        <v>0.15</v>
      </c>
      <c r="BN721" s="5" t="n">
        <v>1</v>
      </c>
      <c r="BO721" s="5" t="n">
        <v>0</v>
      </c>
      <c r="BP721" s="5" t="n">
        <v>0</v>
      </c>
      <c r="BQ721" s="5" t="n">
        <v>0.07000000000000001</v>
      </c>
      <c r="BR721" s="5" t="n">
        <v>0</v>
      </c>
      <c r="BS721" s="5" t="n">
        <v>1</v>
      </c>
      <c r="BT721" s="5" t="n">
        <v>0</v>
      </c>
      <c r="BU721" s="5" t="n">
        <v>0</v>
      </c>
      <c r="BV721" s="5" t="n">
        <v>0.169</v>
      </c>
      <c r="BW721" s="5" t="n">
        <v>0.15</v>
      </c>
      <c r="BX721" s="5" t="n">
        <v>1</v>
      </c>
      <c r="BY721" s="5" t="n">
        <v>13.646</v>
      </c>
      <c r="BZ721" s="5" t="n">
        <v>0</v>
      </c>
      <c r="CA721" s="5" t="n">
        <v>13.646</v>
      </c>
      <c r="CB721" s="5" t="n">
        <v>0</v>
      </c>
      <c r="CC721" s="5" t="n">
        <v>82.58799999999999</v>
      </c>
      <c r="CD721" s="5" t="n">
        <v>7.95</v>
      </c>
      <c r="CE721" s="5" t="n">
        <v>10.717</v>
      </c>
      <c r="CF721" s="5" t="n">
        <v>105.152</v>
      </c>
      <c r="CG721" s="5" t="n">
        <v>0.15</v>
      </c>
      <c r="CH721" s="5" t="n">
        <v>1</v>
      </c>
      <c r="CI721" s="5" t="n">
        <v>0</v>
      </c>
      <c r="CJ721" s="5" t="n">
        <v>0</v>
      </c>
      <c r="CK721" s="5" t="n">
        <v>0</v>
      </c>
      <c r="CL721" s="5" t="n">
        <v>0</v>
      </c>
      <c r="CM721" s="5" t="n">
        <v>0</v>
      </c>
      <c r="CN721" s="5" t="n">
        <v>0</v>
      </c>
      <c r="CO721" s="5" t="n">
        <v>0</v>
      </c>
      <c r="CP721" s="5" t="n">
        <v>0.983</v>
      </c>
      <c r="CQ721" s="5" t="n">
        <v>1.447</v>
      </c>
      <c r="CR721" s="5" t="n">
        <v>0.003</v>
      </c>
      <c r="CS721" s="5" t="n">
        <v>5.004</v>
      </c>
      <c r="CT721" s="5" t="n">
        <v>4.5</v>
      </c>
      <c r="CU721" s="5" t="n">
        <v>5.004</v>
      </c>
    </row>
    <row r="722">
      <c r="A722" s="5" t="inlineStr">
        <is>
          <t>SSD2021</t>
        </is>
      </c>
      <c r="B722" s="5" t="inlineStr">
        <is>
          <t>SSD</t>
        </is>
      </c>
      <c r="C722" s="5" t="inlineStr">
        <is>
          <t>SSD</t>
        </is>
      </c>
      <c r="D722" s="5" t="inlineStr">
        <is>
          <t>South Sudan</t>
        </is>
      </c>
      <c r="E722" s="5" t="n">
        <v>2021</v>
      </c>
      <c r="F722" s="5" t="n">
        <v>0.15</v>
      </c>
      <c r="G722" s="5" t="n">
        <v>5.897</v>
      </c>
      <c r="H722" s="5" t="n">
        <v>1.143</v>
      </c>
      <c r="I722" s="5" t="n">
        <v>0</v>
      </c>
      <c r="J722" s="5" t="n">
        <v>5.897</v>
      </c>
      <c r="K722" s="5" t="n">
        <v>0</v>
      </c>
      <c r="L722" s="5" t="n">
        <v>1</v>
      </c>
      <c r="M722" s="5" t="n">
        <v>7.964</v>
      </c>
      <c r="N722" s="5" t="n">
        <v>3.43</v>
      </c>
      <c r="O722" s="5" t="n">
        <v>0</v>
      </c>
      <c r="P722" s="5" t="n">
        <v>7.964</v>
      </c>
      <c r="Q722" s="5" t="n">
        <v>0</v>
      </c>
      <c r="R722" s="5" t="n">
        <v>1</v>
      </c>
      <c r="S722" s="5" t="n">
        <v>11.613</v>
      </c>
      <c r="T722" s="5" t="n">
        <v>6.86</v>
      </c>
      <c r="U722" s="5" t="n">
        <v>0</v>
      </c>
      <c r="V722" s="5" t="n">
        <v>13.355</v>
      </c>
      <c r="W722" s="5" t="n">
        <v>0.15</v>
      </c>
      <c r="X722" s="5" t="n">
        <v>1</v>
      </c>
      <c r="Y722" s="5" t="n">
        <v>16.305</v>
      </c>
      <c r="Z722" s="5" t="n">
        <v>2.204</v>
      </c>
      <c r="AA722" s="5" t="n">
        <v>0</v>
      </c>
      <c r="AB722" s="5" t="n">
        <v>16.305</v>
      </c>
      <c r="AC722" s="5" t="n">
        <v>0</v>
      </c>
      <c r="AD722" s="5" t="n">
        <v>1</v>
      </c>
      <c r="AE722" s="5" t="n">
        <v>17.449</v>
      </c>
      <c r="AF722" s="5" t="n">
        <v>4.08</v>
      </c>
      <c r="AG722" s="5" t="n">
        <v>0</v>
      </c>
      <c r="AH722" s="5" t="n">
        <v>17.449</v>
      </c>
      <c r="AI722" s="5" t="n">
        <v>0</v>
      </c>
      <c r="AJ722" s="5" t="n">
        <v>1</v>
      </c>
      <c r="AK722" s="5" t="n">
        <v>24.309</v>
      </c>
      <c r="AL722" s="5" t="n">
        <v>12.947</v>
      </c>
      <c r="AM722" s="5" t="n">
        <v>0</v>
      </c>
      <c r="AN722" s="5" t="n">
        <v>27.955</v>
      </c>
      <c r="AO722" s="5" t="n">
        <v>0.15</v>
      </c>
      <c r="AP722" s="5" t="n">
        <v>1</v>
      </c>
      <c r="AQ722" s="5" t="n">
        <v>0.619</v>
      </c>
      <c r="AR722" s="5" t="n">
        <v>0.114</v>
      </c>
      <c r="AS722" s="5" t="n">
        <v>0.748</v>
      </c>
      <c r="AT722" s="5" t="n">
        <v>1.572</v>
      </c>
      <c r="AU722" s="5" t="n">
        <v>0.15</v>
      </c>
      <c r="AV722" s="5" t="n">
        <v>1</v>
      </c>
      <c r="AW722" s="5" t="n">
        <v>0.599</v>
      </c>
      <c r="AX722" s="5" t="n">
        <v>0.114</v>
      </c>
      <c r="AY722" s="5" t="n">
        <v>0.655</v>
      </c>
      <c r="AZ722" s="5" t="n">
        <v>1.443</v>
      </c>
      <c r="BA722" s="5" t="n">
        <v>0.15</v>
      </c>
      <c r="BB722" s="5" t="n">
        <v>1</v>
      </c>
      <c r="BC722" s="5" t="n">
        <v>0.439</v>
      </c>
      <c r="BD722" s="5" t="n">
        <v>0.114</v>
      </c>
      <c r="BE722" s="5" t="n">
        <v>0</v>
      </c>
      <c r="BF722" s="5" t="n">
        <v>0.505</v>
      </c>
      <c r="BG722" s="5" t="n">
        <v>0.15</v>
      </c>
      <c r="BH722" s="5" t="n">
        <v>1</v>
      </c>
      <c r="BI722" s="5" t="n">
        <v>0.505</v>
      </c>
      <c r="BJ722" s="5" t="n">
        <v>0.114</v>
      </c>
      <c r="BK722" s="5" t="n">
        <v>0.826</v>
      </c>
      <c r="BL722" s="5" t="n">
        <v>1.531</v>
      </c>
      <c r="BM722" s="5" t="n">
        <v>0.15</v>
      </c>
      <c r="BN722" s="5" t="n">
        <v>1</v>
      </c>
      <c r="BO722" s="5" t="n">
        <v>0</v>
      </c>
      <c r="BP722" s="5" t="n">
        <v>0</v>
      </c>
      <c r="BQ722" s="5" t="n">
        <v>0</v>
      </c>
      <c r="BR722" s="5" t="n">
        <v>0</v>
      </c>
      <c r="BS722" s="5" t="n">
        <v>1</v>
      </c>
      <c r="BT722" s="5" t="n">
        <v>0</v>
      </c>
      <c r="BU722" s="5" t="n">
        <v>0</v>
      </c>
      <c r="BV722" s="5" t="n">
        <v>0</v>
      </c>
      <c r="BW722" s="5" t="n">
        <v>0.15</v>
      </c>
      <c r="BX722" s="5" t="n">
        <v>1</v>
      </c>
      <c r="BY722" s="5" t="n">
        <v>11.787</v>
      </c>
      <c r="BZ722" s="5" t="n">
        <v>0</v>
      </c>
      <c r="CA722" s="5" t="n">
        <v>11.787</v>
      </c>
      <c r="CB722" s="5" t="n">
        <v>0</v>
      </c>
      <c r="CC722" s="5" t="n">
        <v>78.125</v>
      </c>
      <c r="CD722" s="5" t="n">
        <v>7.95</v>
      </c>
      <c r="CE722" s="5" t="n">
        <v>0</v>
      </c>
      <c r="CF722" s="5" t="n">
        <v>89.84399999999999</v>
      </c>
      <c r="CG722" s="5" t="n">
        <v>0.15</v>
      </c>
      <c r="CH722" s="5" t="n">
        <v>1</v>
      </c>
      <c r="CI722" s="5" t="n">
        <v>0</v>
      </c>
      <c r="CJ722" s="5" t="n">
        <v>0</v>
      </c>
      <c r="CK722" s="5" t="n">
        <v>0</v>
      </c>
      <c r="CL722" s="5" t="n">
        <v>0</v>
      </c>
      <c r="CM722" s="5" t="n">
        <v>0</v>
      </c>
      <c r="CN722" s="5" t="n">
        <v>0</v>
      </c>
      <c r="CO722" s="5" t="n">
        <v>0</v>
      </c>
      <c r="CP722" s="5" t="n">
        <v>0</v>
      </c>
      <c r="CQ722" s="5" t="n">
        <v>1.198</v>
      </c>
      <c r="CR722" s="5" t="n">
        <v>0</v>
      </c>
      <c r="CS722" s="5" t="n">
        <v>4.776</v>
      </c>
      <c r="CT722" s="5" t="n">
        <v>4.753</v>
      </c>
      <c r="CU722" s="5" t="n">
        <v>15.162</v>
      </c>
    </row>
    <row r="723">
      <c r="A723" s="5" t="inlineStr">
        <is>
          <t>SSD2022</t>
        </is>
      </c>
      <c r="B723" s="5" t="inlineStr">
        <is>
          <t>SSD</t>
        </is>
      </c>
      <c r="C723" s="5" t="inlineStr">
        <is>
          <t>SSD</t>
        </is>
      </c>
      <c r="D723" s="5" t="inlineStr">
        <is>
          <t>South Sudan</t>
        </is>
      </c>
      <c r="E723" s="5" t="n">
        <v>2022</v>
      </c>
      <c r="F723" s="5" t="n">
        <v>0.18</v>
      </c>
      <c r="G723" s="5" t="n">
        <v>11.72</v>
      </c>
      <c r="H723" s="5" t="n">
        <v>1.235</v>
      </c>
      <c r="I723" s="5" t="n">
        <v>0</v>
      </c>
      <c r="J723" s="5" t="n">
        <v>11.72</v>
      </c>
      <c r="K723" s="5" t="n">
        <v>0</v>
      </c>
      <c r="L723" s="5" t="n">
        <v>1</v>
      </c>
      <c r="M723" s="5" t="n">
        <v>9.782999999999999</v>
      </c>
      <c r="N723" s="5" t="n">
        <v>3.704</v>
      </c>
      <c r="O723" s="5" t="n">
        <v>0</v>
      </c>
      <c r="P723" s="5" t="n">
        <v>9.782999999999999</v>
      </c>
      <c r="Q723" s="5" t="n">
        <v>0</v>
      </c>
      <c r="R723" s="5" t="n">
        <v>1</v>
      </c>
      <c r="S723" s="5" t="n">
        <v>17.893</v>
      </c>
      <c r="T723" s="5" t="n">
        <v>7.408</v>
      </c>
      <c r="U723" s="5" t="n">
        <v>0.238</v>
      </c>
      <c r="V723" s="5" t="n">
        <v>21.114</v>
      </c>
      <c r="W723" s="5" t="n">
        <v>0.18</v>
      </c>
      <c r="X723" s="5" t="n">
        <v>1</v>
      </c>
      <c r="Y723" s="5" t="n">
        <v>32.56</v>
      </c>
      <c r="Z723" s="5" t="n">
        <v>4.401</v>
      </c>
      <c r="AA723" s="5" t="n">
        <v>0</v>
      </c>
      <c r="AB723" s="5" t="n">
        <v>32.56</v>
      </c>
      <c r="AC723" s="5" t="n">
        <v>0</v>
      </c>
      <c r="AD723" s="5" t="n">
        <v>1</v>
      </c>
      <c r="AE723" s="5" t="n">
        <v>33.795</v>
      </c>
      <c r="AF723" s="5" t="n">
        <v>7.902</v>
      </c>
      <c r="AG723" s="5" t="n">
        <v>0</v>
      </c>
      <c r="AH723" s="5" t="n">
        <v>33.795</v>
      </c>
      <c r="AI723" s="5" t="n">
        <v>0</v>
      </c>
      <c r="AJ723" s="5" t="n">
        <v>1</v>
      </c>
      <c r="AK723" s="5" t="n">
        <v>41.203</v>
      </c>
      <c r="AL723" s="5" t="n">
        <v>21.945</v>
      </c>
      <c r="AM723" s="5" t="n">
        <v>0.549</v>
      </c>
      <c r="AN723" s="5" t="n">
        <v>48.62</v>
      </c>
      <c r="AO723" s="5" t="n">
        <v>0.18</v>
      </c>
      <c r="AP723" s="5" t="n">
        <v>1</v>
      </c>
      <c r="AQ723" s="5" t="n">
        <v>0.861</v>
      </c>
      <c r="AR723" s="5" t="n">
        <v>0.123</v>
      </c>
      <c r="AS723" s="5" t="n">
        <v>0.762</v>
      </c>
      <c r="AT723" s="5" t="n">
        <v>1.89</v>
      </c>
      <c r="AU723" s="5" t="n">
        <v>0.18</v>
      </c>
      <c r="AV723" s="5" t="n">
        <v>1</v>
      </c>
      <c r="AW723" s="5" t="n">
        <v>0.986</v>
      </c>
      <c r="AX723" s="5" t="n">
        <v>0.123</v>
      </c>
      <c r="AY723" s="5" t="n">
        <v>0.643</v>
      </c>
      <c r="AZ723" s="5" t="n">
        <v>1.897</v>
      </c>
      <c r="BA723" s="5" t="n">
        <v>0.18</v>
      </c>
      <c r="BB723" s="5" t="n">
        <v>1</v>
      </c>
      <c r="BC723" s="5" t="n">
        <v>0.598</v>
      </c>
      <c r="BD723" s="5" t="n">
        <v>0.123</v>
      </c>
      <c r="BE723" s="5" t="n">
        <v>0.008</v>
      </c>
      <c r="BF723" s="5" t="n">
        <v>0.705</v>
      </c>
      <c r="BG723" s="5" t="n">
        <v>0.18</v>
      </c>
      <c r="BH723" s="5" t="n">
        <v>1</v>
      </c>
      <c r="BI723" s="5" t="n">
        <v>0.612</v>
      </c>
      <c r="BJ723" s="5" t="n">
        <v>0.123</v>
      </c>
      <c r="BK723" s="5" t="n">
        <v>0.865</v>
      </c>
      <c r="BL723" s="5" t="n">
        <v>1.72</v>
      </c>
      <c r="BM723" s="5" t="n">
        <v>0.18</v>
      </c>
      <c r="BN723" s="5" t="n">
        <v>1</v>
      </c>
      <c r="BO723" s="5" t="n">
        <v>0</v>
      </c>
      <c r="BP723" s="5" t="n">
        <v>0</v>
      </c>
      <c r="BQ723" s="5" t="n">
        <v>0</v>
      </c>
      <c r="BR723" s="5" t="n">
        <v>0</v>
      </c>
      <c r="BS723" s="5" t="n">
        <v>1</v>
      </c>
      <c r="BT723" s="5" t="n">
        <v>0</v>
      </c>
      <c r="BU723" s="5" t="n">
        <v>0</v>
      </c>
      <c r="BV723" s="5" t="n">
        <v>0</v>
      </c>
      <c r="BW723" s="5" t="n">
        <v>0.18</v>
      </c>
      <c r="BX723" s="5" t="n">
        <v>1</v>
      </c>
      <c r="BY723" s="5" t="n">
        <v>12.729</v>
      </c>
      <c r="BZ723" s="5" t="n">
        <v>0</v>
      </c>
      <c r="CA723" s="5" t="n">
        <v>12.729</v>
      </c>
      <c r="CB723" s="5" t="n">
        <v>0</v>
      </c>
      <c r="CC723" s="5" t="n">
        <v>97.90000000000001</v>
      </c>
      <c r="CD723" s="5" t="n">
        <v>7.95</v>
      </c>
      <c r="CE723" s="5" t="n">
        <v>1.304</v>
      </c>
      <c r="CF723" s="5" t="n">
        <v>115.522</v>
      </c>
      <c r="CG723" s="5" t="n">
        <v>0.18</v>
      </c>
      <c r="CH723" s="5" t="n">
        <v>1</v>
      </c>
      <c r="CI723" s="5" t="n">
        <v>0</v>
      </c>
      <c r="CJ723" s="5" t="n">
        <v>0</v>
      </c>
      <c r="CK723" s="5" t="n">
        <v>0</v>
      </c>
      <c r="CL723" s="5" t="n">
        <v>0</v>
      </c>
      <c r="CM723" s="5" t="n">
        <v>0</v>
      </c>
      <c r="CN723" s="5" t="n">
        <v>0</v>
      </c>
      <c r="CO723" s="5" t="n">
        <v>0</v>
      </c>
      <c r="CP723" s="5" t="n">
        <v>0</v>
      </c>
      <c r="CQ723" s="5" t="n">
        <v>1.294</v>
      </c>
      <c r="CR723" s="5" t="n">
        <v>0</v>
      </c>
      <c r="CS723" s="5" t="n">
        <v>5.158</v>
      </c>
      <c r="CT723" s="5" t="n">
        <v>10.485</v>
      </c>
      <c r="CU723" s="5" t="n">
        <v>31.326</v>
      </c>
    </row>
    <row r="724">
      <c r="A724" s="5" t="inlineStr">
        <is>
          <t>SSD2023</t>
        </is>
      </c>
      <c r="B724" s="5" t="inlineStr">
        <is>
          <t>SSD</t>
        </is>
      </c>
      <c r="C724" s="5" t="inlineStr">
        <is>
          <t>SSD</t>
        </is>
      </c>
      <c r="D724" s="5" t="inlineStr">
        <is>
          <t>South Sudan</t>
        </is>
      </c>
      <c r="E724" s="5" t="n">
        <v>2023</v>
      </c>
      <c r="F724" s="5" t="n">
        <v>0.18</v>
      </c>
      <c r="G724" s="5" t="n">
        <v>6.147</v>
      </c>
      <c r="H724" s="5" t="n">
        <v>1.286</v>
      </c>
      <c r="I724" s="5" t="n">
        <v>0</v>
      </c>
      <c r="J724" s="5" t="n">
        <v>6.147</v>
      </c>
      <c r="K724" s="5" t="n">
        <v>0</v>
      </c>
      <c r="L724" s="5" t="n">
        <v>1</v>
      </c>
      <c r="M724" s="5" t="n">
        <v>7.886</v>
      </c>
      <c r="N724" s="5" t="n">
        <v>3.857</v>
      </c>
      <c r="O724" s="5" t="n">
        <v>0</v>
      </c>
      <c r="P724" s="5" t="n">
        <v>7.886</v>
      </c>
      <c r="Q724" s="5" t="n">
        <v>0</v>
      </c>
      <c r="R724" s="5" t="n">
        <v>1</v>
      </c>
      <c r="S724" s="5" t="n">
        <v>12.575</v>
      </c>
      <c r="T724" s="5" t="n">
        <v>7.714</v>
      </c>
      <c r="U724" s="5" t="n">
        <v>0.251</v>
      </c>
      <c r="V724" s="5" t="n">
        <v>14.839</v>
      </c>
      <c r="W724" s="5" t="n">
        <v>0.18</v>
      </c>
      <c r="X724" s="5" t="n">
        <v>1</v>
      </c>
      <c r="Y724" s="5" t="n">
        <v>12.908</v>
      </c>
      <c r="Z724" s="5" t="n">
        <v>1.745</v>
      </c>
      <c r="AA724" s="5" t="n">
        <v>0</v>
      </c>
      <c r="AB724" s="5" t="n">
        <v>12.908</v>
      </c>
      <c r="AC724" s="5" t="n">
        <v>0</v>
      </c>
      <c r="AD724" s="5" t="n">
        <v>1</v>
      </c>
      <c r="AE724" s="5" t="n">
        <v>14.194</v>
      </c>
      <c r="AF724" s="5" t="n">
        <v>3.319</v>
      </c>
      <c r="AG724" s="5" t="n">
        <v>0</v>
      </c>
      <c r="AH724" s="5" t="n">
        <v>14.194</v>
      </c>
      <c r="AI724" s="5" t="n">
        <v>0</v>
      </c>
      <c r="AJ724" s="5" t="n">
        <v>1</v>
      </c>
      <c r="AK724" s="5" t="n">
        <v>21.908</v>
      </c>
      <c r="AL724" s="5" t="n">
        <v>11.668</v>
      </c>
      <c r="AM724" s="5" t="n">
        <v>0.437</v>
      </c>
      <c r="AN724" s="5" t="n">
        <v>25.851</v>
      </c>
      <c r="AO724" s="5" t="n">
        <v>0.18</v>
      </c>
      <c r="AP724" s="5" t="n">
        <v>1</v>
      </c>
      <c r="AQ724" s="5" t="n">
        <v>0.76</v>
      </c>
      <c r="AR724" s="5" t="n">
        <v>0.129</v>
      </c>
      <c r="AS724" s="5" t="n">
        <v>0.823</v>
      </c>
      <c r="AT724" s="5" t="n">
        <v>1.832</v>
      </c>
      <c r="AU724" s="5" t="n">
        <v>0.18</v>
      </c>
      <c r="AV724" s="5" t="n">
        <v>1</v>
      </c>
      <c r="AW724" s="5" t="n">
        <v>0.8110000000000001</v>
      </c>
      <c r="AX724" s="5" t="n">
        <v>0.129</v>
      </c>
      <c r="AY724" s="5" t="n">
        <v>0.71</v>
      </c>
      <c r="AZ724" s="5" t="n">
        <v>1.76</v>
      </c>
      <c r="BA724" s="5" t="n">
        <v>0.18</v>
      </c>
      <c r="BB724" s="5" t="n">
        <v>1</v>
      </c>
      <c r="BC724" s="5" t="n">
        <v>0.535</v>
      </c>
      <c r="BD724" s="5" t="n">
        <v>0.129</v>
      </c>
      <c r="BE724" s="5" t="n">
        <v>0.011</v>
      </c>
      <c r="BF724" s="5" t="n">
        <v>0.631</v>
      </c>
      <c r="BG724" s="5" t="n">
        <v>0.18</v>
      </c>
      <c r="BH724" s="5" t="n">
        <v>1</v>
      </c>
      <c r="BI724" s="5" t="n">
        <v>0.579</v>
      </c>
      <c r="BJ724" s="5" t="n">
        <v>0.129</v>
      </c>
      <c r="BK724" s="5" t="n">
        <v>0.919</v>
      </c>
      <c r="BL724" s="5" t="n">
        <v>1.733</v>
      </c>
      <c r="BM724" s="5" t="n">
        <v>0.18</v>
      </c>
      <c r="BN724" s="5" t="n">
        <v>1</v>
      </c>
      <c r="BO724" s="5" t="n">
        <v>0</v>
      </c>
      <c r="BP724" s="5" t="n">
        <v>0</v>
      </c>
      <c r="BQ724" s="5" t="n">
        <v>0</v>
      </c>
      <c r="BR724" s="5" t="n">
        <v>0</v>
      </c>
      <c r="BS724" s="5" t="n">
        <v>1</v>
      </c>
      <c r="BT724" s="5" t="n">
        <v>0</v>
      </c>
      <c r="BU724" s="5" t="n">
        <v>0</v>
      </c>
      <c r="BV724" s="5" t="n">
        <v>0</v>
      </c>
      <c r="BW724" s="5" t="n">
        <v>0.18</v>
      </c>
      <c r="BX724" s="5" t="n">
        <v>1</v>
      </c>
      <c r="BY724" s="5" t="n">
        <v>13.254</v>
      </c>
      <c r="BZ724" s="5" t="n">
        <v>0</v>
      </c>
      <c r="CA724" s="5" t="n">
        <v>13.254</v>
      </c>
      <c r="CB724" s="5" t="n">
        <v>0</v>
      </c>
      <c r="CC724" s="5" t="n">
        <v>83.248</v>
      </c>
      <c r="CD724" s="5" t="n">
        <v>7.95</v>
      </c>
      <c r="CE724" s="5" t="n">
        <v>1.659</v>
      </c>
      <c r="CF724" s="5" t="n">
        <v>98.233</v>
      </c>
      <c r="CG724" s="5" t="n">
        <v>0.18</v>
      </c>
      <c r="CH724" s="5" t="n">
        <v>1</v>
      </c>
      <c r="CI724" s="5" t="n">
        <v>0</v>
      </c>
      <c r="CJ724" s="5" t="n">
        <v>0</v>
      </c>
      <c r="CK724" s="5" t="n">
        <v>0</v>
      </c>
      <c r="CL724" s="5" t="n">
        <v>0</v>
      </c>
      <c r="CM724" s="5" t="n">
        <v>0</v>
      </c>
      <c r="CN724" s="5" t="n">
        <v>0</v>
      </c>
      <c r="CO724" s="5" t="n">
        <v>0</v>
      </c>
      <c r="CP724" s="5" t="n">
        <v>0</v>
      </c>
      <c r="CQ724" s="5" t="n">
        <v>1.348</v>
      </c>
      <c r="CR724" s="5" t="n">
        <v>0</v>
      </c>
      <c r="CS724" s="5" t="n">
        <v>5.37</v>
      </c>
      <c r="CT724" s="5" t="n">
        <v>4.861</v>
      </c>
      <c r="CU724" s="5" t="n">
        <v>11.622</v>
      </c>
    </row>
    <row r="725">
      <c r="A725" s="5" t="inlineStr">
        <is>
          <t>SSD2024</t>
        </is>
      </c>
      <c r="B725" s="5" t="inlineStr">
        <is>
          <t>SSD</t>
        </is>
      </c>
      <c r="C725" s="5" t="inlineStr">
        <is>
          <t>SSD</t>
        </is>
      </c>
      <c r="D725" s="5" t="inlineStr">
        <is>
          <t>South Sudan</t>
        </is>
      </c>
      <c r="E725" s="5" t="n">
        <v>2024</v>
      </c>
      <c r="F725" s="5" t="n">
        <v>0.18</v>
      </c>
      <c r="G725" s="5" t="n">
        <v>5.575</v>
      </c>
      <c r="H725" s="5" t="n">
        <v>1.324</v>
      </c>
      <c r="I725" s="5" t="n">
        <v>0</v>
      </c>
      <c r="J725" s="5" t="n">
        <v>5.575</v>
      </c>
      <c r="K725" s="5" t="n">
        <v>0</v>
      </c>
      <c r="L725" s="5" t="n">
        <v>1</v>
      </c>
      <c r="M725" s="5" t="n">
        <v>7.124</v>
      </c>
      <c r="N725" s="5" t="n">
        <v>3.971</v>
      </c>
      <c r="O725" s="5" t="n">
        <v>0</v>
      </c>
      <c r="P725" s="5" t="n">
        <v>7.124</v>
      </c>
      <c r="Q725" s="5" t="n">
        <v>0</v>
      </c>
      <c r="R725" s="5" t="n">
        <v>1</v>
      </c>
      <c r="S725" s="5" t="n">
        <v>12.193</v>
      </c>
      <c r="T725" s="5" t="n">
        <v>7.942</v>
      </c>
      <c r="U725" s="5" t="n">
        <v>0.299</v>
      </c>
      <c r="V725" s="5" t="n">
        <v>14.388</v>
      </c>
      <c r="W725" s="5" t="n">
        <v>0.18</v>
      </c>
      <c r="X725" s="5" t="n">
        <v>1</v>
      </c>
      <c r="Y725" s="5" t="n">
        <v>11.492</v>
      </c>
      <c r="Z725" s="5" t="n">
        <v>1.553</v>
      </c>
      <c r="AA725" s="5" t="n">
        <v>0</v>
      </c>
      <c r="AB725" s="5" t="n">
        <v>11.492</v>
      </c>
      <c r="AC725" s="5" t="n">
        <v>0</v>
      </c>
      <c r="AD725" s="5" t="n">
        <v>1</v>
      </c>
      <c r="AE725" s="5" t="n">
        <v>12.815</v>
      </c>
      <c r="AF725" s="5" t="n">
        <v>2.997</v>
      </c>
      <c r="AG725" s="5" t="n">
        <v>0</v>
      </c>
      <c r="AH725" s="5" t="n">
        <v>12.815</v>
      </c>
      <c r="AI725" s="5" t="n">
        <v>0</v>
      </c>
      <c r="AJ725" s="5" t="n">
        <v>1</v>
      </c>
      <c r="AK725" s="5" t="n">
        <v>20.757</v>
      </c>
      <c r="AL725" s="5" t="n">
        <v>11.055</v>
      </c>
      <c r="AM725" s="5" t="n">
        <v>0.509</v>
      </c>
      <c r="AN725" s="5" t="n">
        <v>24.493</v>
      </c>
      <c r="AO725" s="5" t="n">
        <v>0.18</v>
      </c>
      <c r="AP725" s="5" t="n">
        <v>1</v>
      </c>
      <c r="AQ725" s="5" t="n">
        <v>0.724</v>
      </c>
      <c r="AR725" s="5" t="n">
        <v>0.132</v>
      </c>
      <c r="AS725" s="5" t="n">
        <v>0.862</v>
      </c>
      <c r="AT725" s="5" t="n">
        <v>1.827</v>
      </c>
      <c r="AU725" s="5" t="n">
        <v>0.18</v>
      </c>
      <c r="AV725" s="5" t="n">
        <v>1</v>
      </c>
      <c r="AW725" s="5" t="n">
        <v>0.75</v>
      </c>
      <c r="AX725" s="5" t="n">
        <v>0.132</v>
      </c>
      <c r="AY725" s="5" t="n">
        <v>0.749</v>
      </c>
      <c r="AZ725" s="5" t="n">
        <v>1.727</v>
      </c>
      <c r="BA725" s="5" t="n">
        <v>0.18</v>
      </c>
      <c r="BB725" s="5" t="n">
        <v>1</v>
      </c>
      <c r="BC725" s="5" t="n">
        <v>0.513</v>
      </c>
      <c r="BD725" s="5" t="n">
        <v>0.132</v>
      </c>
      <c r="BE725" s="5" t="n">
        <v>0.013</v>
      </c>
      <c r="BF725" s="5" t="n">
        <v>0.605</v>
      </c>
      <c r="BG725" s="5" t="n">
        <v>0.18</v>
      </c>
      <c r="BH725" s="5" t="n">
        <v>1</v>
      </c>
      <c r="BI725" s="5" t="n">
        <v>0.591</v>
      </c>
      <c r="BJ725" s="5" t="n">
        <v>0.132</v>
      </c>
      <c r="BK725" s="5" t="n">
        <v>0.953</v>
      </c>
      <c r="BL725" s="5" t="n">
        <v>1.779</v>
      </c>
      <c r="BM725" s="5" t="n">
        <v>0.18</v>
      </c>
      <c r="BN725" s="5" t="n">
        <v>1</v>
      </c>
      <c r="BO725" s="5" t="n">
        <v>0</v>
      </c>
      <c r="BP725" s="5" t="n">
        <v>0</v>
      </c>
      <c r="BQ725" s="5" t="n">
        <v>0</v>
      </c>
      <c r="BR725" s="5" t="n">
        <v>0</v>
      </c>
      <c r="BS725" s="5" t="n">
        <v>1</v>
      </c>
      <c r="BT725" s="5" t="n">
        <v>0</v>
      </c>
      <c r="BU725" s="5" t="n">
        <v>0</v>
      </c>
      <c r="BV725" s="5" t="n">
        <v>0</v>
      </c>
      <c r="BW725" s="5" t="n">
        <v>0.18</v>
      </c>
      <c r="BX725" s="5" t="n">
        <v>1</v>
      </c>
      <c r="BY725" s="5" t="n">
        <v>13.646</v>
      </c>
      <c r="BZ725" s="5" t="n">
        <v>0</v>
      </c>
      <c r="CA725" s="5" t="n">
        <v>13.646</v>
      </c>
      <c r="CB725" s="5" t="n">
        <v>0</v>
      </c>
      <c r="CC725" s="5" t="n">
        <v>82.58799999999999</v>
      </c>
      <c r="CD725" s="5" t="n">
        <v>7.95</v>
      </c>
      <c r="CE725" s="5" t="n">
        <v>2.025</v>
      </c>
      <c r="CF725" s="5" t="n">
        <v>97.45399999999999</v>
      </c>
      <c r="CG725" s="5" t="n">
        <v>0.18</v>
      </c>
      <c r="CH725" s="5" t="n">
        <v>1</v>
      </c>
      <c r="CI725" s="5" t="n">
        <v>0</v>
      </c>
      <c r="CJ725" s="5" t="n">
        <v>0</v>
      </c>
      <c r="CK725" s="5" t="n">
        <v>0</v>
      </c>
      <c r="CL725" s="5" t="n">
        <v>0</v>
      </c>
      <c r="CM725" s="5" t="n">
        <v>0</v>
      </c>
      <c r="CN725" s="5" t="n">
        <v>0</v>
      </c>
      <c r="CO725" s="5" t="n">
        <v>0</v>
      </c>
      <c r="CP725" s="5" t="n">
        <v>0</v>
      </c>
      <c r="CQ725" s="5" t="n">
        <v>1.387</v>
      </c>
      <c r="CR725" s="5" t="n">
        <v>0</v>
      </c>
      <c r="CS725" s="5" t="n">
        <v>5.529</v>
      </c>
      <c r="CT725" s="5" t="n">
        <v>4.251</v>
      </c>
      <c r="CU725" s="5" t="n">
        <v>10.168</v>
      </c>
    </row>
    <row r="726">
      <c r="A726" s="5" t="inlineStr">
        <is>
          <t>ESP2021</t>
        </is>
      </c>
      <c r="B726" s="5" t="inlineStr">
        <is>
          <t>ESP</t>
        </is>
      </c>
      <c r="C726" s="5" t="inlineStr">
        <is>
          <t>ESP</t>
        </is>
      </c>
      <c r="D726" s="5" t="inlineStr">
        <is>
          <t>Spain</t>
        </is>
      </c>
      <c r="E726" s="5" t="n">
        <v>2021</v>
      </c>
      <c r="F726" s="5" t="n">
        <v>0.21</v>
      </c>
      <c r="G726" s="5" t="n">
        <v>6.437</v>
      </c>
      <c r="H726" s="5" t="n">
        <v>1.143</v>
      </c>
      <c r="I726" s="5" t="n">
        <v>1.538</v>
      </c>
      <c r="J726" s="5" t="n">
        <v>7.975</v>
      </c>
      <c r="K726" s="5" t="n">
        <v>0</v>
      </c>
      <c r="L726" s="5" t="n">
        <v>1</v>
      </c>
      <c r="M726" s="5" t="n">
        <v>9.757</v>
      </c>
      <c r="N726" s="5" t="n">
        <v>3.43</v>
      </c>
      <c r="O726" s="5" t="n">
        <v>1.556</v>
      </c>
      <c r="P726" s="5" t="n">
        <v>11.313</v>
      </c>
      <c r="Q726" s="5" t="n">
        <v>0</v>
      </c>
      <c r="R726" s="5" t="n">
        <v>1</v>
      </c>
      <c r="S726" s="5" t="n">
        <v>12.153</v>
      </c>
      <c r="T726" s="5" t="n">
        <v>6.86</v>
      </c>
      <c r="U726" s="5" t="n">
        <v>0.418</v>
      </c>
      <c r="V726" s="5" t="n">
        <v>15.211</v>
      </c>
      <c r="W726" s="5" t="n">
        <v>0.21</v>
      </c>
      <c r="X726" s="5" t="n">
        <v>1</v>
      </c>
      <c r="Y726" s="5" t="n">
        <v>19.623</v>
      </c>
      <c r="Z726" s="5" t="n">
        <v>2.168</v>
      </c>
      <c r="AA726" s="5" t="n">
        <v>-9.301</v>
      </c>
      <c r="AB726" s="5" t="n">
        <v>10.323</v>
      </c>
      <c r="AC726" s="5" t="n">
        <v>0</v>
      </c>
      <c r="AD726" s="5" t="n">
        <v>1</v>
      </c>
      <c r="AE726" s="5" t="n">
        <v>19.58</v>
      </c>
      <c r="AF726" s="5" t="n">
        <v>3.853</v>
      </c>
      <c r="AG726" s="5" t="n">
        <v>-9.257</v>
      </c>
      <c r="AH726" s="5" t="n">
        <v>10.323</v>
      </c>
      <c r="AI726" s="5" t="n">
        <v>0</v>
      </c>
      <c r="AJ726" s="5" t="n">
        <v>1</v>
      </c>
      <c r="AK726" s="5" t="n">
        <v>28.28</v>
      </c>
      <c r="AL726" s="5" t="n">
        <v>13.88</v>
      </c>
      <c r="AM726" s="5" t="n">
        <v>-4.203</v>
      </c>
      <c r="AN726" s="5" t="n">
        <v>29.132</v>
      </c>
      <c r="AO726" s="5" t="n">
        <v>0.21</v>
      </c>
      <c r="AP726" s="5" t="n">
        <v>1</v>
      </c>
      <c r="AQ726" s="5" t="n">
        <v>0.619</v>
      </c>
      <c r="AR726" s="5" t="n">
        <v>0.114</v>
      </c>
      <c r="AS726" s="5" t="n">
        <v>0.73</v>
      </c>
      <c r="AT726" s="5" t="n">
        <v>1.632</v>
      </c>
      <c r="AU726" s="5" t="n">
        <v>0.21</v>
      </c>
      <c r="AV726" s="5" t="n">
        <v>1</v>
      </c>
      <c r="AW726" s="5" t="n">
        <v>0.599</v>
      </c>
      <c r="AX726" s="5" t="n">
        <v>0.114</v>
      </c>
      <c r="AY726" s="5" t="n">
        <v>0.618</v>
      </c>
      <c r="AZ726" s="5" t="n">
        <v>1.473</v>
      </c>
      <c r="BA726" s="5" t="n">
        <v>0.21</v>
      </c>
      <c r="BB726" s="5" t="n">
        <v>1</v>
      </c>
      <c r="BC726" s="5" t="n">
        <v>0.439</v>
      </c>
      <c r="BD726" s="5" t="n">
        <v>0.114</v>
      </c>
      <c r="BE726" s="5" t="n">
        <v>0.302</v>
      </c>
      <c r="BF726" s="5" t="n">
        <v>0.896</v>
      </c>
      <c r="BG726" s="5" t="n">
        <v>0.21</v>
      </c>
      <c r="BH726" s="5" t="n">
        <v>1</v>
      </c>
      <c r="BI726" s="5" t="n">
        <v>0.505</v>
      </c>
      <c r="BJ726" s="5" t="n">
        <v>0.114</v>
      </c>
      <c r="BK726" s="5" t="n">
        <v>0.205</v>
      </c>
      <c r="BL726" s="5" t="n">
        <v>0.859</v>
      </c>
      <c r="BM726" s="5" t="n">
        <v>0.21</v>
      </c>
      <c r="BN726" s="5" t="n">
        <v>1</v>
      </c>
      <c r="BO726" s="5" t="n">
        <v>0</v>
      </c>
      <c r="BP726" s="5" t="n">
        <v>0.022</v>
      </c>
      <c r="BQ726" s="5" t="n">
        <v>0.125</v>
      </c>
      <c r="BR726" s="5" t="n">
        <v>0</v>
      </c>
      <c r="BS726" s="5" t="n">
        <v>1</v>
      </c>
      <c r="BT726" s="5" t="n">
        <v>0</v>
      </c>
      <c r="BU726" s="5" t="n">
        <v>0.07099999999999999</v>
      </c>
      <c r="BV726" s="5" t="n">
        <v>0.304</v>
      </c>
      <c r="BW726" s="5" t="n">
        <v>0.21</v>
      </c>
      <c r="BX726" s="5" t="n">
        <v>1</v>
      </c>
      <c r="BY726" s="5" t="n">
        <v>11.787</v>
      </c>
      <c r="BZ726" s="5" t="n">
        <v>0</v>
      </c>
      <c r="CA726" s="5" t="n">
        <v>11.787</v>
      </c>
      <c r="CB726" s="5" t="n">
        <v>0</v>
      </c>
      <c r="CC726" s="5" t="n">
        <v>78.125</v>
      </c>
      <c r="CD726" s="5" t="n">
        <v>7.95</v>
      </c>
      <c r="CE726" s="5" t="n">
        <v>41.391</v>
      </c>
      <c r="CF726" s="5" t="n">
        <v>144.614</v>
      </c>
      <c r="CG726" s="5" t="n">
        <v>0.21</v>
      </c>
      <c r="CH726" s="5" t="n">
        <v>1</v>
      </c>
      <c r="CI726" s="5" t="n">
        <v>0</v>
      </c>
      <c r="CJ726" s="5" t="n">
        <v>0</v>
      </c>
      <c r="CK726" s="5" t="n">
        <v>0</v>
      </c>
      <c r="CL726" s="5" t="n">
        <v>0</v>
      </c>
      <c r="CM726" s="5" t="n">
        <v>0.155</v>
      </c>
      <c r="CN726" s="5" t="n">
        <v>0</v>
      </c>
      <c r="CO726" s="5" t="n">
        <v>0</v>
      </c>
      <c r="CP726" s="5" t="n">
        <v>0</v>
      </c>
      <c r="CQ726" s="5" t="n">
        <v>1.198</v>
      </c>
      <c r="CR726" s="5" t="n">
        <v>0</v>
      </c>
      <c r="CS726" s="5" t="n">
        <v>4.776</v>
      </c>
      <c r="CT726" s="5" t="n">
        <v>5.294</v>
      </c>
      <c r="CU726" s="5" t="n">
        <v>15.658</v>
      </c>
    </row>
    <row r="727">
      <c r="A727" s="5" t="inlineStr">
        <is>
          <t>ESP2022</t>
        </is>
      </c>
      <c r="B727" s="5" t="inlineStr">
        <is>
          <t>ESP</t>
        </is>
      </c>
      <c r="C727" s="5" t="inlineStr">
        <is>
          <t>ESP</t>
        </is>
      </c>
      <c r="D727" s="5" t="inlineStr">
        <is>
          <t>Spain</t>
        </is>
      </c>
      <c r="E727" s="5" t="n">
        <v>2022</v>
      </c>
      <c r="F727" s="5" t="n">
        <v>0.21</v>
      </c>
      <c r="G727" s="5" t="n">
        <v>12.249</v>
      </c>
      <c r="H727" s="5" t="n">
        <v>1.235</v>
      </c>
      <c r="I727" s="5" t="n">
        <v>8.206</v>
      </c>
      <c r="J727" s="5" t="n">
        <v>20.455</v>
      </c>
      <c r="K727" s="5" t="n">
        <v>0</v>
      </c>
      <c r="L727" s="5" t="n">
        <v>1</v>
      </c>
      <c r="M727" s="5" t="n">
        <v>13.529</v>
      </c>
      <c r="N727" s="5" t="n">
        <v>3.704</v>
      </c>
      <c r="O727" s="5" t="n">
        <v>8.292</v>
      </c>
      <c r="P727" s="5" t="n">
        <v>21.822</v>
      </c>
      <c r="Q727" s="5" t="n">
        <v>0</v>
      </c>
      <c r="R727" s="5" t="n">
        <v>1</v>
      </c>
      <c r="S727" s="5" t="n">
        <v>18.423</v>
      </c>
      <c r="T727" s="5" t="n">
        <v>7.408</v>
      </c>
      <c r="U727" s="5" t="n">
        <v>0.698</v>
      </c>
      <c r="V727" s="5" t="n">
        <v>22.783</v>
      </c>
      <c r="W727" s="5" t="n">
        <v>0.21</v>
      </c>
      <c r="X727" s="5" t="n">
        <v>1</v>
      </c>
      <c r="Y727" s="5" t="n">
        <v>33.323</v>
      </c>
      <c r="Z727" s="5" t="n">
        <v>3.496</v>
      </c>
      <c r="AA727" s="5" t="n">
        <v>-2.525</v>
      </c>
      <c r="AB727" s="5" t="n">
        <v>30.798</v>
      </c>
      <c r="AC727" s="5" t="n">
        <v>0</v>
      </c>
      <c r="AD727" s="5" t="n">
        <v>1</v>
      </c>
      <c r="AE727" s="5" t="n">
        <v>33.37</v>
      </c>
      <c r="AF727" s="5" t="n">
        <v>6.186</v>
      </c>
      <c r="AG727" s="5" t="n">
        <v>-2.573</v>
      </c>
      <c r="AH727" s="5" t="n">
        <v>30.798</v>
      </c>
      <c r="AI727" s="5" t="n">
        <v>0</v>
      </c>
      <c r="AJ727" s="5" t="n">
        <v>1</v>
      </c>
      <c r="AK727" s="5" t="n">
        <v>42.618</v>
      </c>
      <c r="AL727" s="5" t="n">
        <v>20.352</v>
      </c>
      <c r="AM727" s="5" t="n">
        <v>-12.75</v>
      </c>
      <c r="AN727" s="5" t="n">
        <v>36.14</v>
      </c>
      <c r="AO727" s="5" t="n">
        <v>0.21</v>
      </c>
      <c r="AP727" s="5" t="n">
        <v>1</v>
      </c>
      <c r="AQ727" s="5" t="n">
        <v>0.861</v>
      </c>
      <c r="AR727" s="5" t="n">
        <v>0.123</v>
      </c>
      <c r="AS727" s="5" t="n">
        <v>0.6889999999999999</v>
      </c>
      <c r="AT727" s="5" t="n">
        <v>1.875</v>
      </c>
      <c r="AU727" s="5" t="n">
        <v>0.21</v>
      </c>
      <c r="AV727" s="5" t="n">
        <v>1</v>
      </c>
      <c r="AW727" s="5" t="n">
        <v>0.986</v>
      </c>
      <c r="AX727" s="5" t="n">
        <v>0.123</v>
      </c>
      <c r="AY727" s="5" t="n">
        <v>0.576</v>
      </c>
      <c r="AZ727" s="5" t="n">
        <v>1.89</v>
      </c>
      <c r="BA727" s="5" t="n">
        <v>0.21</v>
      </c>
      <c r="BB727" s="5" t="n">
        <v>1</v>
      </c>
      <c r="BC727" s="5" t="n">
        <v>0.598</v>
      </c>
      <c r="BD727" s="5" t="n">
        <v>0.123</v>
      </c>
      <c r="BE727" s="5" t="n">
        <v>0.266</v>
      </c>
      <c r="BF727" s="5" t="n">
        <v>1.045</v>
      </c>
      <c r="BG727" s="5" t="n">
        <v>0.21</v>
      </c>
      <c r="BH727" s="5" t="n">
        <v>1</v>
      </c>
      <c r="BI727" s="5" t="n">
        <v>0.612</v>
      </c>
      <c r="BJ727" s="5" t="n">
        <v>0.123</v>
      </c>
      <c r="BK727" s="5" t="n">
        <v>0.511</v>
      </c>
      <c r="BL727" s="5" t="n">
        <v>1.359</v>
      </c>
      <c r="BM727" s="5" t="n">
        <v>0.21</v>
      </c>
      <c r="BN727" s="5" t="n">
        <v>1</v>
      </c>
      <c r="BO727" s="5" t="n">
        <v>0</v>
      </c>
      <c r="BP727" s="5" t="n">
        <v>0.014</v>
      </c>
      <c r="BQ727" s="5" t="n">
        <v>0.223</v>
      </c>
      <c r="BR727" s="5" t="n">
        <v>0</v>
      </c>
      <c r="BS727" s="5" t="n">
        <v>1</v>
      </c>
      <c r="BT727" s="5" t="n">
        <v>0</v>
      </c>
      <c r="BU727" s="5" t="n">
        <v>0.025</v>
      </c>
      <c r="BV727" s="5" t="n">
        <v>0.338</v>
      </c>
      <c r="BW727" s="5" t="n">
        <v>0.21</v>
      </c>
      <c r="BX727" s="5" t="n">
        <v>1</v>
      </c>
      <c r="BY727" s="5" t="n">
        <v>12.729</v>
      </c>
      <c r="BZ727" s="5" t="n">
        <v>0</v>
      </c>
      <c r="CA727" s="5" t="n">
        <v>12.729</v>
      </c>
      <c r="CB727" s="5" t="n">
        <v>0</v>
      </c>
      <c r="CC727" s="5" t="n">
        <v>97.90000000000001</v>
      </c>
      <c r="CD727" s="5" t="n">
        <v>7.95</v>
      </c>
      <c r="CE727" s="5" t="n">
        <v>113.713</v>
      </c>
      <c r="CF727" s="5" t="n">
        <v>256.052</v>
      </c>
      <c r="CG727" s="5" t="n">
        <v>0.21</v>
      </c>
      <c r="CH727" s="5" t="n">
        <v>1</v>
      </c>
      <c r="CI727" s="5" t="n">
        <v>0</v>
      </c>
      <c r="CJ727" s="5" t="n">
        <v>0</v>
      </c>
      <c r="CK727" s="5" t="n">
        <v>0</v>
      </c>
      <c r="CL727" s="5" t="n">
        <v>0</v>
      </c>
      <c r="CM727" s="5" t="n">
        <v>0.167</v>
      </c>
      <c r="CN727" s="5" t="n">
        <v>0</v>
      </c>
      <c r="CO727" s="5" t="n">
        <v>0</v>
      </c>
      <c r="CP727" s="5" t="n">
        <v>0</v>
      </c>
      <c r="CQ727" s="5" t="n">
        <v>1.294</v>
      </c>
      <c r="CR727" s="5" t="n">
        <v>0</v>
      </c>
      <c r="CS727" s="5" t="n">
        <v>5.158</v>
      </c>
      <c r="CT727" s="5" t="n">
        <v>11.015</v>
      </c>
      <c r="CU727" s="5" t="n">
        <v>29.266</v>
      </c>
    </row>
    <row r="728">
      <c r="A728" s="5" t="inlineStr">
        <is>
          <t>ESP2023</t>
        </is>
      </c>
      <c r="B728" s="5" t="inlineStr">
        <is>
          <t>ESP</t>
        </is>
      </c>
      <c r="C728" s="5" t="inlineStr">
        <is>
          <t>ESP</t>
        </is>
      </c>
      <c r="D728" s="5" t="inlineStr">
        <is>
          <t>Spain</t>
        </is>
      </c>
      <c r="E728" s="5" t="n">
        <v>2023</v>
      </c>
      <c r="F728" s="5" t="n">
        <v>0.21</v>
      </c>
      <c r="G728" s="5" t="n">
        <v>8.535</v>
      </c>
      <c r="H728" s="5" t="n">
        <v>1.286</v>
      </c>
      <c r="I728" s="5" t="n">
        <v>9.504</v>
      </c>
      <c r="J728" s="5" t="n">
        <v>18.039</v>
      </c>
      <c r="K728" s="5" t="n">
        <v>0</v>
      </c>
      <c r="L728" s="5" t="n">
        <v>1</v>
      </c>
      <c r="M728" s="5" t="n">
        <v>10.851</v>
      </c>
      <c r="N728" s="5" t="n">
        <v>3.857</v>
      </c>
      <c r="O728" s="5" t="n">
        <v>9.603999999999999</v>
      </c>
      <c r="P728" s="5" t="n">
        <v>20.455</v>
      </c>
      <c r="Q728" s="5" t="n">
        <v>0</v>
      </c>
      <c r="R728" s="5" t="n">
        <v>1</v>
      </c>
      <c r="S728" s="5" t="n">
        <v>14.964</v>
      </c>
      <c r="T728" s="5" t="n">
        <v>7.714</v>
      </c>
      <c r="U728" s="5" t="n">
        <v>0.748</v>
      </c>
      <c r="V728" s="5" t="n">
        <v>18.579</v>
      </c>
      <c r="W728" s="5" t="n">
        <v>0.21</v>
      </c>
      <c r="X728" s="5" t="n">
        <v>1</v>
      </c>
      <c r="Y728" s="5" t="n">
        <v>15.827</v>
      </c>
      <c r="Z728" s="5" t="n">
        <v>1.773</v>
      </c>
      <c r="AA728" s="5" t="n">
        <v>8.339</v>
      </c>
      <c r="AB728" s="5" t="n">
        <v>24.166</v>
      </c>
      <c r="AC728" s="5" t="n">
        <v>0</v>
      </c>
      <c r="AD728" s="5" t="n">
        <v>1</v>
      </c>
      <c r="AE728" s="5" t="n">
        <v>15.926</v>
      </c>
      <c r="AF728" s="5" t="n">
        <v>3.172</v>
      </c>
      <c r="AG728" s="5" t="n">
        <v>8.24</v>
      </c>
      <c r="AH728" s="5" t="n">
        <v>24.166</v>
      </c>
      <c r="AI728" s="5" t="n">
        <v>0</v>
      </c>
      <c r="AJ728" s="5" t="n">
        <v>1</v>
      </c>
      <c r="AK728" s="5" t="n">
        <v>25.48</v>
      </c>
      <c r="AL728" s="5" t="n">
        <v>12.622</v>
      </c>
      <c r="AM728" s="5" t="n">
        <v>0.423</v>
      </c>
      <c r="AN728" s="5" t="n">
        <v>31.342</v>
      </c>
      <c r="AO728" s="5" t="n">
        <v>0.21</v>
      </c>
      <c r="AP728" s="5" t="n">
        <v>1</v>
      </c>
      <c r="AQ728" s="5" t="n">
        <v>0.76</v>
      </c>
      <c r="AR728" s="5" t="n">
        <v>0.129</v>
      </c>
      <c r="AS728" s="5" t="n">
        <v>0.702</v>
      </c>
      <c r="AT728" s="5" t="n">
        <v>1.769</v>
      </c>
      <c r="AU728" s="5" t="n">
        <v>0.21</v>
      </c>
      <c r="AV728" s="5" t="n">
        <v>1</v>
      </c>
      <c r="AW728" s="5" t="n">
        <v>0.8110000000000001</v>
      </c>
      <c r="AX728" s="5" t="n">
        <v>0.129</v>
      </c>
      <c r="AY728" s="5" t="n">
        <v>0.584</v>
      </c>
      <c r="AZ728" s="5" t="n">
        <v>1.688</v>
      </c>
      <c r="BA728" s="5" t="n">
        <v>0.21</v>
      </c>
      <c r="BB728" s="5" t="n">
        <v>1</v>
      </c>
      <c r="BC728" s="5" t="n">
        <v>0.535</v>
      </c>
      <c r="BD728" s="5" t="n">
        <v>0.129</v>
      </c>
      <c r="BE728" s="5" t="n">
        <v>0.321</v>
      </c>
      <c r="BF728" s="5" t="n">
        <v>1.036</v>
      </c>
      <c r="BG728" s="5" t="n">
        <v>0.21</v>
      </c>
      <c r="BH728" s="5" t="n">
        <v>1</v>
      </c>
      <c r="BI728" s="5" t="n">
        <v>0.579</v>
      </c>
      <c r="BJ728" s="5" t="n">
        <v>0.129</v>
      </c>
      <c r="BK728" s="5" t="n">
        <v>0.362</v>
      </c>
      <c r="BL728" s="5" t="n">
        <v>1.139</v>
      </c>
      <c r="BM728" s="5" t="n">
        <v>0.21</v>
      </c>
      <c r="BN728" s="5" t="n">
        <v>1</v>
      </c>
      <c r="BO728" s="5" t="n">
        <v>0</v>
      </c>
      <c r="BP728" s="5" t="n">
        <v>0.005</v>
      </c>
      <c r="BQ728" s="5" t="n">
        <v>0.134</v>
      </c>
      <c r="BR728" s="5" t="n">
        <v>0</v>
      </c>
      <c r="BS728" s="5" t="n">
        <v>1</v>
      </c>
      <c r="BT728" s="5" t="n">
        <v>0</v>
      </c>
      <c r="BU728" s="5" t="n">
        <v>0.017</v>
      </c>
      <c r="BV728" s="5" t="n">
        <v>0.26</v>
      </c>
      <c r="BW728" s="5" t="n">
        <v>0.21</v>
      </c>
      <c r="BX728" s="5" t="n">
        <v>1</v>
      </c>
      <c r="BY728" s="5" t="n">
        <v>13.254</v>
      </c>
      <c r="BZ728" s="5" t="n">
        <v>0</v>
      </c>
      <c r="CA728" s="5" t="n">
        <v>13.254</v>
      </c>
      <c r="CB728" s="5" t="n">
        <v>0</v>
      </c>
      <c r="CC728" s="5" t="n">
        <v>83.248</v>
      </c>
      <c r="CD728" s="5" t="n">
        <v>7.95</v>
      </c>
      <c r="CE728" s="5" t="n">
        <v>105.416</v>
      </c>
      <c r="CF728" s="5" t="n">
        <v>228.283</v>
      </c>
      <c r="CG728" s="5" t="n">
        <v>0.21</v>
      </c>
      <c r="CH728" s="5" t="n">
        <v>1</v>
      </c>
      <c r="CI728" s="5" t="n">
        <v>0</v>
      </c>
      <c r="CJ728" s="5" t="n">
        <v>0</v>
      </c>
      <c r="CK728" s="5" t="n">
        <v>0</v>
      </c>
      <c r="CL728" s="5" t="n">
        <v>0</v>
      </c>
      <c r="CM728" s="5" t="n">
        <v>0.174</v>
      </c>
      <c r="CN728" s="5" t="n">
        <v>0</v>
      </c>
      <c r="CO728" s="5" t="n">
        <v>0</v>
      </c>
      <c r="CP728" s="5" t="n">
        <v>0</v>
      </c>
      <c r="CQ728" s="5" t="n">
        <v>1.348</v>
      </c>
      <c r="CR728" s="5" t="n">
        <v>0</v>
      </c>
      <c r="CS728" s="5" t="n">
        <v>5.37</v>
      </c>
      <c r="CT728" s="5" t="n">
        <v>7.25</v>
      </c>
      <c r="CU728" s="5" t="n">
        <v>11.72</v>
      </c>
    </row>
    <row r="729">
      <c r="A729" s="5" t="inlineStr">
        <is>
          <t>ESP2024</t>
        </is>
      </c>
      <c r="B729" s="5" t="inlineStr">
        <is>
          <t>ESP</t>
        </is>
      </c>
      <c r="C729" s="5" t="inlineStr">
        <is>
          <t>ESP</t>
        </is>
      </c>
      <c r="D729" s="5" t="inlineStr">
        <is>
          <t>Spain</t>
        </is>
      </c>
      <c r="E729" s="5" t="n">
        <v>2024</v>
      </c>
      <c r="F729" s="5" t="n">
        <v>0.21</v>
      </c>
      <c r="G729" s="5" t="n">
        <v>7.095</v>
      </c>
      <c r="H729" s="5" t="n">
        <v>1.324</v>
      </c>
      <c r="I729" s="5" t="n">
        <v>6.247</v>
      </c>
      <c r="J729" s="5" t="n">
        <v>13.341</v>
      </c>
      <c r="K729" s="5" t="n">
        <v>0</v>
      </c>
      <c r="L729" s="5" t="n">
        <v>1</v>
      </c>
      <c r="M729" s="5" t="n">
        <v>10.26</v>
      </c>
      <c r="N729" s="5" t="n">
        <v>3.971</v>
      </c>
      <c r="O729" s="5" t="n">
        <v>6.312</v>
      </c>
      <c r="P729" s="5" t="n">
        <v>16.572</v>
      </c>
      <c r="Q729" s="5" t="n">
        <v>0</v>
      </c>
      <c r="R729" s="5" t="n">
        <v>1</v>
      </c>
      <c r="S729" s="5" t="n">
        <v>13.713</v>
      </c>
      <c r="T729" s="5" t="n">
        <v>7.942</v>
      </c>
      <c r="U729" s="5" t="n">
        <v>0.796</v>
      </c>
      <c r="V729" s="5" t="n">
        <v>17.067</v>
      </c>
      <c r="W729" s="5" t="n">
        <v>0.21</v>
      </c>
      <c r="X729" s="5" t="n">
        <v>1</v>
      </c>
      <c r="Y729" s="5" t="n">
        <v>13.578</v>
      </c>
      <c r="Z729" s="5" t="n">
        <v>1.714</v>
      </c>
      <c r="AA729" s="5" t="n">
        <v>4.38</v>
      </c>
      <c r="AB729" s="5" t="n">
        <v>17.958</v>
      </c>
      <c r="AC729" s="5" t="n">
        <v>0</v>
      </c>
      <c r="AD729" s="5" t="n">
        <v>1</v>
      </c>
      <c r="AE729" s="5" t="n">
        <v>13.578</v>
      </c>
      <c r="AF729" s="5" t="n">
        <v>2.974</v>
      </c>
      <c r="AG729" s="5" t="n">
        <v>4.38</v>
      </c>
      <c r="AH729" s="5" t="n">
        <v>17.958</v>
      </c>
      <c r="AI729" s="5" t="n">
        <v>0</v>
      </c>
      <c r="AJ729" s="5" t="n">
        <v>1</v>
      </c>
      <c r="AK729" s="5" t="n">
        <v>20.49</v>
      </c>
      <c r="AL729" s="5" t="n">
        <v>10.422</v>
      </c>
      <c r="AM729" s="5" t="n">
        <v>1.357</v>
      </c>
      <c r="AN729" s="5" t="n">
        <v>26.434</v>
      </c>
      <c r="AO729" s="5" t="n">
        <v>0.21</v>
      </c>
      <c r="AP729" s="5" t="n">
        <v>1</v>
      </c>
      <c r="AQ729" s="5" t="n">
        <v>0.724</v>
      </c>
      <c r="AR729" s="5" t="n">
        <v>0.132</v>
      </c>
      <c r="AS729" s="5" t="n">
        <v>0.6870000000000001</v>
      </c>
      <c r="AT729" s="5" t="n">
        <v>1.708</v>
      </c>
      <c r="AU729" s="5" t="n">
        <v>0.21</v>
      </c>
      <c r="AV729" s="5" t="n">
        <v>1</v>
      </c>
      <c r="AW729" s="5" t="n">
        <v>0.75</v>
      </c>
      <c r="AX729" s="5" t="n">
        <v>0.132</v>
      </c>
      <c r="AY729" s="5" t="n">
        <v>0.5659999999999999</v>
      </c>
      <c r="AZ729" s="5" t="n">
        <v>1.592</v>
      </c>
      <c r="BA729" s="5" t="n">
        <v>0.21</v>
      </c>
      <c r="BB729" s="5" t="n">
        <v>1</v>
      </c>
      <c r="BC729" s="5" t="n">
        <v>0.513</v>
      </c>
      <c r="BD729" s="5" t="n">
        <v>0.132</v>
      </c>
      <c r="BE729" s="5" t="n">
        <v>0.334</v>
      </c>
      <c r="BF729" s="5" t="n">
        <v>1.025</v>
      </c>
      <c r="BG729" s="5" t="n">
        <v>0.21</v>
      </c>
      <c r="BH729" s="5" t="n">
        <v>1</v>
      </c>
      <c r="BI729" s="5" t="n">
        <v>0.591</v>
      </c>
      <c r="BJ729" s="5" t="n">
        <v>0.132</v>
      </c>
      <c r="BK729" s="5" t="n">
        <v>0.279</v>
      </c>
      <c r="BL729" s="5" t="n">
        <v>1.053</v>
      </c>
      <c r="BM729" s="5" t="n">
        <v>0.21</v>
      </c>
      <c r="BN729" s="5" t="n">
        <v>1</v>
      </c>
      <c r="BO729" s="5" t="n">
        <v>0</v>
      </c>
      <c r="BP729" s="5" t="n">
        <v>0.01</v>
      </c>
      <c r="BQ729" s="5" t="n">
        <v>0.116</v>
      </c>
      <c r="BR729" s="5" t="n">
        <v>0</v>
      </c>
      <c r="BS729" s="5" t="n">
        <v>1</v>
      </c>
      <c r="BT729" s="5" t="n">
        <v>0</v>
      </c>
      <c r="BU729" s="5" t="n">
        <v>0.032</v>
      </c>
      <c r="BV729" s="5" t="n">
        <v>0.262</v>
      </c>
      <c r="BW729" s="5" t="n">
        <v>0.21</v>
      </c>
      <c r="BX729" s="5" t="n">
        <v>1</v>
      </c>
      <c r="BY729" s="5" t="n">
        <v>13.646</v>
      </c>
      <c r="BZ729" s="5" t="n">
        <v>0</v>
      </c>
      <c r="CA729" s="5" t="n">
        <v>13.646</v>
      </c>
      <c r="CB729" s="5" t="n">
        <v>0</v>
      </c>
      <c r="CC729" s="5" t="n">
        <v>82.58799999999999</v>
      </c>
      <c r="CD729" s="5" t="n">
        <v>7.95</v>
      </c>
      <c r="CE729" s="5" t="n">
        <v>82.75700000000001</v>
      </c>
      <c r="CF729" s="5" t="n">
        <v>200.067</v>
      </c>
      <c r="CG729" s="5" t="n">
        <v>0.21</v>
      </c>
      <c r="CH729" s="5" t="n">
        <v>1</v>
      </c>
      <c r="CI729" s="5" t="n">
        <v>0</v>
      </c>
      <c r="CJ729" s="5" t="n">
        <v>0</v>
      </c>
      <c r="CK729" s="5" t="n">
        <v>0</v>
      </c>
      <c r="CL729" s="5" t="n">
        <v>0</v>
      </c>
      <c r="CM729" s="5" t="n">
        <v>0.179</v>
      </c>
      <c r="CN729" s="5" t="n">
        <v>0</v>
      </c>
      <c r="CO729" s="5" t="n">
        <v>0</v>
      </c>
      <c r="CP729" s="5" t="n">
        <v>0</v>
      </c>
      <c r="CQ729" s="5" t="n">
        <v>1.387</v>
      </c>
      <c r="CR729" s="5" t="n">
        <v>0</v>
      </c>
      <c r="CS729" s="5" t="n">
        <v>5.529</v>
      </c>
      <c r="CT729" s="5" t="n">
        <v>5.771</v>
      </c>
      <c r="CU729" s="5" t="n">
        <v>9.494999999999999</v>
      </c>
    </row>
    <row r="730">
      <c r="A730" s="5" t="inlineStr">
        <is>
          <t>LKA2021</t>
        </is>
      </c>
      <c r="B730" s="5" t="inlineStr">
        <is>
          <t>LKA</t>
        </is>
      </c>
      <c r="C730" s="5" t="inlineStr">
        <is>
          <t>LKA</t>
        </is>
      </c>
      <c r="D730" s="5" t="inlineStr">
        <is>
          <t>Sri Lanka</t>
        </is>
      </c>
      <c r="E730" s="5" t="n">
        <v>2021</v>
      </c>
      <c r="F730" s="5" t="n">
        <v>0.08</v>
      </c>
      <c r="G730" s="5" t="n">
        <v>4.606</v>
      </c>
      <c r="H730" s="5" t="n">
        <v>1.116</v>
      </c>
      <c r="I730" s="5" t="n">
        <v>0</v>
      </c>
      <c r="J730" s="5" t="n">
        <v>4.606</v>
      </c>
      <c r="K730" s="5" t="n">
        <v>0</v>
      </c>
      <c r="L730" s="5" t="n">
        <v>1</v>
      </c>
      <c r="M730" s="5" t="n">
        <v>7.724</v>
      </c>
      <c r="N730" s="5" t="n">
        <v>3.348</v>
      </c>
      <c r="O730" s="5" t="n">
        <v>0</v>
      </c>
      <c r="P730" s="5" t="n">
        <v>7.724</v>
      </c>
      <c r="Q730" s="5" t="n">
        <v>0</v>
      </c>
      <c r="R730" s="5" t="n">
        <v>1</v>
      </c>
      <c r="S730" s="5" t="n">
        <v>10.187</v>
      </c>
      <c r="T730" s="5" t="n">
        <v>6.697</v>
      </c>
      <c r="U730" s="5" t="n">
        <v>0</v>
      </c>
      <c r="V730" s="5" t="n">
        <v>11.001</v>
      </c>
      <c r="W730" s="5" t="n">
        <v>0.08</v>
      </c>
      <c r="X730" s="5" t="n">
        <v>1</v>
      </c>
      <c r="Y730" s="5" t="n">
        <v>4.783</v>
      </c>
      <c r="Z730" s="5" t="n">
        <v>0.5590000000000001</v>
      </c>
      <c r="AA730" s="5" t="n">
        <v>0</v>
      </c>
      <c r="AB730" s="5" t="n">
        <v>4.783</v>
      </c>
      <c r="AC730" s="5" t="n">
        <v>0</v>
      </c>
      <c r="AD730" s="5" t="n">
        <v>1</v>
      </c>
      <c r="AE730" s="5" t="n">
        <v>5.926</v>
      </c>
      <c r="AF730" s="5" t="n">
        <v>1.225</v>
      </c>
      <c r="AG730" s="5" t="n">
        <v>0</v>
      </c>
      <c r="AH730" s="5" t="n">
        <v>5.926</v>
      </c>
      <c r="AI730" s="5" t="n">
        <v>0</v>
      </c>
      <c r="AJ730" s="5" t="n">
        <v>1</v>
      </c>
      <c r="AK730" s="5" t="n">
        <v>12.786</v>
      </c>
      <c r="AL730" s="5" t="n">
        <v>6.372</v>
      </c>
      <c r="AM730" s="5" t="n">
        <v>0</v>
      </c>
      <c r="AN730" s="5" t="n">
        <v>13.809</v>
      </c>
      <c r="AO730" s="5" t="n">
        <v>0.08</v>
      </c>
      <c r="AP730" s="5" t="n">
        <v>1</v>
      </c>
      <c r="AQ730" s="5" t="n">
        <v>0.621</v>
      </c>
      <c r="AR730" s="5" t="n">
        <v>0.114</v>
      </c>
      <c r="AS730" s="5" t="n">
        <v>0.137</v>
      </c>
      <c r="AT730" s="5" t="n">
        <v>0.758</v>
      </c>
      <c r="AU730" s="5" t="n">
        <v>0</v>
      </c>
      <c r="AV730" s="5" t="n">
        <v>1</v>
      </c>
      <c r="AW730" s="5" t="n">
        <v>0.593</v>
      </c>
      <c r="AX730" s="5" t="n">
        <v>0.114</v>
      </c>
      <c r="AY730" s="5" t="n">
        <v>0.022</v>
      </c>
      <c r="AZ730" s="5" t="n">
        <v>0.615</v>
      </c>
      <c r="BA730" s="5" t="n">
        <v>0</v>
      </c>
      <c r="BB730" s="5" t="n">
        <v>1</v>
      </c>
      <c r="BC730" s="5" t="n">
        <v>0.44</v>
      </c>
      <c r="BD730" s="5" t="n">
        <v>0.114</v>
      </c>
      <c r="BE730" s="5" t="n">
        <v>0</v>
      </c>
      <c r="BF730" s="5" t="n">
        <v>0.475</v>
      </c>
      <c r="BG730" s="5" t="n">
        <v>0.08</v>
      </c>
      <c r="BH730" s="5" t="n">
        <v>1</v>
      </c>
      <c r="BI730" s="5" t="n">
        <v>0.5600000000000001</v>
      </c>
      <c r="BJ730" s="5" t="n">
        <v>0.114</v>
      </c>
      <c r="BK730" s="5" t="n">
        <v>-0.208</v>
      </c>
      <c r="BL730" s="5" t="n">
        <v>0.352</v>
      </c>
      <c r="BM730" s="5" t="n">
        <v>0</v>
      </c>
      <c r="BN730" s="5" t="n">
        <v>1</v>
      </c>
      <c r="BO730" s="5" t="n">
        <v>0</v>
      </c>
      <c r="BP730" s="5" t="n">
        <v>-0.03</v>
      </c>
      <c r="BQ730" s="5" t="n">
        <v>0.074</v>
      </c>
      <c r="BR730" s="5" t="n">
        <v>0</v>
      </c>
      <c r="BS730" s="5" t="n">
        <v>0.833</v>
      </c>
      <c r="BT730" s="5" t="n">
        <v>0</v>
      </c>
      <c r="BU730" s="5" t="n">
        <v>-0.03</v>
      </c>
      <c r="BV730" s="5" t="n">
        <v>0.075</v>
      </c>
      <c r="BW730" s="5" t="n">
        <v>0</v>
      </c>
      <c r="BX730" s="5" t="n">
        <v>0.833</v>
      </c>
      <c r="BY730" s="5" t="n">
        <v>11.787</v>
      </c>
      <c r="BZ730" s="5" t="n">
        <v>0</v>
      </c>
      <c r="CA730" s="5" t="n">
        <v>11.787</v>
      </c>
      <c r="CB730" s="5" t="n">
        <v>0</v>
      </c>
      <c r="CC730" s="5" t="n">
        <v>81.69499999999999</v>
      </c>
      <c r="CD730" s="5" t="n">
        <v>7.95</v>
      </c>
      <c r="CE730" s="5" t="n">
        <v>-15.969</v>
      </c>
      <c r="CF730" s="5" t="n">
        <v>70.985</v>
      </c>
      <c r="CG730" s="5" t="n">
        <v>0.08</v>
      </c>
      <c r="CH730" s="5" t="n">
        <v>1</v>
      </c>
      <c r="CI730" s="5" t="n">
        <v>0</v>
      </c>
      <c r="CJ730" s="5" t="n">
        <v>0</v>
      </c>
      <c r="CK730" s="5" t="n">
        <v>0</v>
      </c>
      <c r="CL730" s="5" t="n">
        <v>0</v>
      </c>
      <c r="CM730" s="5" t="n">
        <v>0</v>
      </c>
      <c r="CN730" s="5" t="n">
        <v>0</v>
      </c>
      <c r="CO730" s="5" t="n">
        <v>0</v>
      </c>
      <c r="CP730" s="5" t="n">
        <v>0.048</v>
      </c>
      <c r="CQ730" s="5" t="n">
        <v>1.198</v>
      </c>
      <c r="CR730" s="5" t="n">
        <v>0</v>
      </c>
      <c r="CS730" s="5" t="n">
        <v>4.776</v>
      </c>
      <c r="CT730" s="5" t="n">
        <v>3.604</v>
      </c>
      <c r="CU730" s="5" t="n">
        <v>16.843</v>
      </c>
    </row>
    <row r="731">
      <c r="A731" s="5" t="inlineStr">
        <is>
          <t>LKA2022</t>
        </is>
      </c>
      <c r="B731" s="5" t="inlineStr">
        <is>
          <t>LKA</t>
        </is>
      </c>
      <c r="C731" s="5" t="inlineStr">
        <is>
          <t>LKA</t>
        </is>
      </c>
      <c r="D731" s="5" t="inlineStr">
        <is>
          <t>Sri Lanka</t>
        </is>
      </c>
      <c r="E731" s="5" t="n">
        <v>2022</v>
      </c>
      <c r="F731" s="5" t="n">
        <v>0.08</v>
      </c>
      <c r="G731" s="5" t="n">
        <v>8.781000000000001</v>
      </c>
      <c r="H731" s="5" t="n">
        <v>1.234</v>
      </c>
      <c r="I731" s="5" t="n">
        <v>0</v>
      </c>
      <c r="J731" s="5" t="n">
        <v>8.781000000000001</v>
      </c>
      <c r="K731" s="5" t="n">
        <v>0</v>
      </c>
      <c r="L731" s="5" t="n">
        <v>1</v>
      </c>
      <c r="M731" s="5" t="n">
        <v>9.775</v>
      </c>
      <c r="N731" s="5" t="n">
        <v>3.702</v>
      </c>
      <c r="O731" s="5" t="n">
        <v>0</v>
      </c>
      <c r="P731" s="5" t="n">
        <v>9.775</v>
      </c>
      <c r="Q731" s="5" t="n">
        <v>0</v>
      </c>
      <c r="R731" s="5" t="n">
        <v>1</v>
      </c>
      <c r="S731" s="5" t="n">
        <v>14.95</v>
      </c>
      <c r="T731" s="5" t="n">
        <v>7.404</v>
      </c>
      <c r="U731" s="5" t="n">
        <v>0.089</v>
      </c>
      <c r="V731" s="5" t="n">
        <v>16.147</v>
      </c>
      <c r="W731" s="5" t="n">
        <v>0.08</v>
      </c>
      <c r="X731" s="5" t="n">
        <v>1</v>
      </c>
      <c r="Y731" s="5" t="n">
        <v>5.165</v>
      </c>
      <c r="Z731" s="5" t="n">
        <v>0.603</v>
      </c>
      <c r="AA731" s="5" t="n">
        <v>0</v>
      </c>
      <c r="AB731" s="5" t="n">
        <v>5.165</v>
      </c>
      <c r="AC731" s="5" t="n">
        <v>0</v>
      </c>
      <c r="AD731" s="5" t="n">
        <v>1</v>
      </c>
      <c r="AE731" s="5" t="n">
        <v>6.4</v>
      </c>
      <c r="AF731" s="5" t="n">
        <v>1.323</v>
      </c>
      <c r="AG731" s="5" t="n">
        <v>0</v>
      </c>
      <c r="AH731" s="5" t="n">
        <v>6.4</v>
      </c>
      <c r="AI731" s="5" t="n">
        <v>0</v>
      </c>
      <c r="AJ731" s="5" t="n">
        <v>1</v>
      </c>
      <c r="AK731" s="5" t="n">
        <v>13.808</v>
      </c>
      <c r="AL731" s="5" t="n">
        <v>6.881</v>
      </c>
      <c r="AM731" s="5" t="n">
        <v>0.082</v>
      </c>
      <c r="AN731" s="5" t="n">
        <v>14.912</v>
      </c>
      <c r="AO731" s="5" t="n">
        <v>0.08</v>
      </c>
      <c r="AP731" s="5" t="n">
        <v>1</v>
      </c>
      <c r="AQ731" s="5" t="n">
        <v>0.847</v>
      </c>
      <c r="AR731" s="5" t="n">
        <v>0.123</v>
      </c>
      <c r="AS731" s="5" t="n">
        <v>0.313</v>
      </c>
      <c r="AT731" s="5" t="n">
        <v>1.16</v>
      </c>
      <c r="AU731" s="5" t="n">
        <v>0</v>
      </c>
      <c r="AV731" s="5" t="n">
        <v>1</v>
      </c>
      <c r="AW731" s="5" t="n">
        <v>0.947</v>
      </c>
      <c r="AX731" s="5" t="n">
        <v>0.123</v>
      </c>
      <c r="AY731" s="5" t="n">
        <v>0.149</v>
      </c>
      <c r="AZ731" s="5" t="n">
        <v>1.096</v>
      </c>
      <c r="BA731" s="5" t="n">
        <v>0</v>
      </c>
      <c r="BB731" s="5" t="n">
        <v>1</v>
      </c>
      <c r="BC731" s="5" t="n">
        <v>0.589</v>
      </c>
      <c r="BD731" s="5" t="n">
        <v>0.123</v>
      </c>
      <c r="BE731" s="5" t="n">
        <v>0.003</v>
      </c>
      <c r="BF731" s="5" t="n">
        <v>0.636</v>
      </c>
      <c r="BG731" s="5" t="n">
        <v>0.08</v>
      </c>
      <c r="BH731" s="5" t="n">
        <v>1</v>
      </c>
      <c r="BI731" s="5" t="n">
        <v>0.6889999999999999</v>
      </c>
      <c r="BJ731" s="5" t="n">
        <v>0.123</v>
      </c>
      <c r="BK731" s="5" t="n">
        <v>-0.095</v>
      </c>
      <c r="BL731" s="5" t="n">
        <v>0.594</v>
      </c>
      <c r="BM731" s="5" t="n">
        <v>0</v>
      </c>
      <c r="BN731" s="5" t="n">
        <v>1</v>
      </c>
      <c r="BO731" s="5" t="n">
        <v>0</v>
      </c>
      <c r="BP731" s="5" t="n">
        <v>-0.099</v>
      </c>
      <c r="BQ731" s="5" t="n">
        <v>0.06900000000000001</v>
      </c>
      <c r="BR731" s="5" t="n">
        <v>0</v>
      </c>
      <c r="BS731" s="5" t="n">
        <v>0.833</v>
      </c>
      <c r="BT731" s="5" t="n">
        <v>0</v>
      </c>
      <c r="BU731" s="5" t="n">
        <v>-0.099</v>
      </c>
      <c r="BV731" s="5" t="n">
        <v>0.075</v>
      </c>
      <c r="BW731" s="5" t="n">
        <v>0</v>
      </c>
      <c r="BX731" s="5" t="n">
        <v>0.833</v>
      </c>
      <c r="BY731" s="5" t="n">
        <v>12.729</v>
      </c>
      <c r="BZ731" s="5" t="n">
        <v>0</v>
      </c>
      <c r="CA731" s="5" t="n">
        <v>12.729</v>
      </c>
      <c r="CB731" s="5" t="n">
        <v>0</v>
      </c>
      <c r="CC731" s="5" t="n">
        <v>102.477</v>
      </c>
      <c r="CD731" s="5" t="n">
        <v>7.95</v>
      </c>
      <c r="CE731" s="5" t="n">
        <v>30.002</v>
      </c>
      <c r="CF731" s="5" t="n">
        <v>143.077</v>
      </c>
      <c r="CG731" s="5" t="n">
        <v>0.08</v>
      </c>
      <c r="CH731" s="5" t="n">
        <v>1</v>
      </c>
      <c r="CI731" s="5" t="n">
        <v>0</v>
      </c>
      <c r="CJ731" s="5" t="n">
        <v>0</v>
      </c>
      <c r="CK731" s="5" t="n">
        <v>0</v>
      </c>
      <c r="CL731" s="5" t="n">
        <v>0</v>
      </c>
      <c r="CM731" s="5" t="n">
        <v>0</v>
      </c>
      <c r="CN731" s="5" t="n">
        <v>0</v>
      </c>
      <c r="CO731" s="5" t="n">
        <v>0</v>
      </c>
      <c r="CP731" s="5" t="n">
        <v>0.001</v>
      </c>
      <c r="CQ731" s="5" t="n">
        <v>1.294</v>
      </c>
      <c r="CR731" s="5" t="n">
        <v>0</v>
      </c>
      <c r="CS731" s="5" t="n">
        <v>5.158</v>
      </c>
      <c r="CT731" s="5" t="n">
        <v>7.554</v>
      </c>
      <c r="CU731" s="5" t="n">
        <v>30.149</v>
      </c>
    </row>
    <row r="732">
      <c r="A732" s="5" t="inlineStr">
        <is>
          <t>LKA2023</t>
        </is>
      </c>
      <c r="B732" s="5" t="inlineStr">
        <is>
          <t>LKA</t>
        </is>
      </c>
      <c r="C732" s="5" t="inlineStr">
        <is>
          <t>LKA</t>
        </is>
      </c>
      <c r="D732" s="5" t="inlineStr">
        <is>
          <t>Sri Lanka</t>
        </is>
      </c>
      <c r="E732" s="5" t="n">
        <v>2023</v>
      </c>
      <c r="F732" s="5" t="n">
        <v>0.08</v>
      </c>
      <c r="G732" s="5" t="n">
        <v>5.641</v>
      </c>
      <c r="H732" s="5" t="n">
        <v>1.264</v>
      </c>
      <c r="I732" s="5" t="n">
        <v>0</v>
      </c>
      <c r="J732" s="5" t="n">
        <v>5.641</v>
      </c>
      <c r="K732" s="5" t="n">
        <v>0</v>
      </c>
      <c r="L732" s="5" t="n">
        <v>1</v>
      </c>
      <c r="M732" s="5" t="n">
        <v>7.729</v>
      </c>
      <c r="N732" s="5" t="n">
        <v>3.791</v>
      </c>
      <c r="O732" s="5" t="n">
        <v>0</v>
      </c>
      <c r="P732" s="5" t="n">
        <v>7.729</v>
      </c>
      <c r="Q732" s="5" t="n">
        <v>0</v>
      </c>
      <c r="R732" s="5" t="n">
        <v>1</v>
      </c>
      <c r="S732" s="5" t="n">
        <v>11.96</v>
      </c>
      <c r="T732" s="5" t="n">
        <v>7.582</v>
      </c>
      <c r="U732" s="5" t="n">
        <v>0.106</v>
      </c>
      <c r="V732" s="5" t="n">
        <v>12.916</v>
      </c>
      <c r="W732" s="5" t="n">
        <v>0.08</v>
      </c>
      <c r="X732" s="5" t="n">
        <v>1</v>
      </c>
      <c r="Y732" s="5" t="n">
        <v>5.378</v>
      </c>
      <c r="Z732" s="5" t="n">
        <v>0.628</v>
      </c>
      <c r="AA732" s="5" t="n">
        <v>0</v>
      </c>
      <c r="AB732" s="5" t="n">
        <v>5.378</v>
      </c>
      <c r="AC732" s="5" t="n">
        <v>0</v>
      </c>
      <c r="AD732" s="5" t="n">
        <v>1</v>
      </c>
      <c r="AE732" s="5" t="n">
        <v>6.664</v>
      </c>
      <c r="AF732" s="5" t="n">
        <v>1.378</v>
      </c>
      <c r="AG732" s="5" t="n">
        <v>0</v>
      </c>
      <c r="AH732" s="5" t="n">
        <v>6.664</v>
      </c>
      <c r="AI732" s="5" t="n">
        <v>0</v>
      </c>
      <c r="AJ732" s="5" t="n">
        <v>1</v>
      </c>
      <c r="AK732" s="5" t="n">
        <v>14.378</v>
      </c>
      <c r="AL732" s="5" t="n">
        <v>7.165</v>
      </c>
      <c r="AM732" s="5" t="n">
        <v>0.127</v>
      </c>
      <c r="AN732" s="5" t="n">
        <v>15.528</v>
      </c>
      <c r="AO732" s="5" t="n">
        <v>0.08</v>
      </c>
      <c r="AP732" s="5" t="n">
        <v>1</v>
      </c>
      <c r="AQ732" s="5" t="n">
        <v>0.749</v>
      </c>
      <c r="AR732" s="5" t="n">
        <v>0.129</v>
      </c>
      <c r="AS732" s="5" t="n">
        <v>0.409</v>
      </c>
      <c r="AT732" s="5" t="n">
        <v>1.158</v>
      </c>
      <c r="AU732" s="5" t="n">
        <v>0</v>
      </c>
      <c r="AV732" s="5" t="n">
        <v>1</v>
      </c>
      <c r="AW732" s="5" t="n">
        <v>0.783</v>
      </c>
      <c r="AX732" s="5" t="n">
        <v>0.129</v>
      </c>
      <c r="AY732" s="5" t="n">
        <v>0.355</v>
      </c>
      <c r="AZ732" s="5" t="n">
        <v>1.138</v>
      </c>
      <c r="BA732" s="5" t="n">
        <v>0</v>
      </c>
      <c r="BB732" s="5" t="n">
        <v>1</v>
      </c>
      <c r="BC732" s="5" t="n">
        <v>0.527</v>
      </c>
      <c r="BD732" s="5" t="n">
        <v>0.129</v>
      </c>
      <c r="BE732" s="5" t="n">
        <v>0.005</v>
      </c>
      <c r="BF732" s="5" t="n">
        <v>0.57</v>
      </c>
      <c r="BG732" s="5" t="n">
        <v>0.08</v>
      </c>
      <c r="BH732" s="5" t="n">
        <v>1</v>
      </c>
      <c r="BI732" s="5" t="n">
        <v>0.64</v>
      </c>
      <c r="BJ732" s="5" t="n">
        <v>0.129</v>
      </c>
      <c r="BK732" s="5" t="n">
        <v>0.168</v>
      </c>
      <c r="BL732" s="5" t="n">
        <v>0.8080000000000001</v>
      </c>
      <c r="BM732" s="5" t="n">
        <v>0</v>
      </c>
      <c r="BN732" s="5" t="n">
        <v>1</v>
      </c>
      <c r="BO732" s="5" t="n">
        <v>0</v>
      </c>
      <c r="BP732" s="5" t="n">
        <v>-0.042</v>
      </c>
      <c r="BQ732" s="5" t="n">
        <v>0.068</v>
      </c>
      <c r="BR732" s="5" t="n">
        <v>0</v>
      </c>
      <c r="BS732" s="5" t="n">
        <v>0.833</v>
      </c>
      <c r="BT732" s="5" t="n">
        <v>0</v>
      </c>
      <c r="BU732" s="5" t="n">
        <v>-0.042</v>
      </c>
      <c r="BV732" s="5" t="n">
        <v>0.074</v>
      </c>
      <c r="BW732" s="5" t="n">
        <v>0</v>
      </c>
      <c r="BX732" s="5" t="n">
        <v>0.833</v>
      </c>
      <c r="BY732" s="5" t="n">
        <v>13.254</v>
      </c>
      <c r="BZ732" s="5" t="n">
        <v>0</v>
      </c>
      <c r="CA732" s="5" t="n">
        <v>13.254</v>
      </c>
      <c r="CB732" s="5" t="n">
        <v>0</v>
      </c>
      <c r="CC732" s="5" t="n">
        <v>87.07899999999999</v>
      </c>
      <c r="CD732" s="5" t="n">
        <v>7.95</v>
      </c>
      <c r="CE732" s="5" t="n">
        <v>15.299</v>
      </c>
      <c r="CF732" s="5" t="n">
        <v>110.568</v>
      </c>
      <c r="CG732" s="5" t="n">
        <v>0.08</v>
      </c>
      <c r="CH732" s="5" t="n">
        <v>1</v>
      </c>
      <c r="CI732" s="5" t="n">
        <v>0</v>
      </c>
      <c r="CJ732" s="5" t="n">
        <v>0</v>
      </c>
      <c r="CK732" s="5" t="n">
        <v>0</v>
      </c>
      <c r="CL732" s="5" t="n">
        <v>0</v>
      </c>
      <c r="CM732" s="5" t="n">
        <v>0</v>
      </c>
      <c r="CN732" s="5" t="n">
        <v>0</v>
      </c>
      <c r="CO732" s="5" t="n">
        <v>0</v>
      </c>
      <c r="CP732" s="5" t="n">
        <v>0.034</v>
      </c>
      <c r="CQ732" s="5" t="n">
        <v>1.348</v>
      </c>
      <c r="CR732" s="5" t="n">
        <v>0</v>
      </c>
      <c r="CS732" s="5" t="n">
        <v>5.37</v>
      </c>
      <c r="CT732" s="5" t="n">
        <v>4.484</v>
      </c>
      <c r="CU732" s="5" t="n">
        <v>12.392</v>
      </c>
    </row>
    <row r="733">
      <c r="A733" s="5" t="inlineStr">
        <is>
          <t>LKA2024</t>
        </is>
      </c>
      <c r="B733" s="5" t="inlineStr">
        <is>
          <t>LKA</t>
        </is>
      </c>
      <c r="C733" s="5" t="inlineStr">
        <is>
          <t>LKA</t>
        </is>
      </c>
      <c r="D733" s="5" t="inlineStr">
        <is>
          <t>Sri Lanka</t>
        </is>
      </c>
      <c r="E733" s="5" t="n">
        <v>2024</v>
      </c>
      <c r="F733" s="5" t="n">
        <v>0.08</v>
      </c>
      <c r="G733" s="5" t="n">
        <v>4.738</v>
      </c>
      <c r="H733" s="5" t="n">
        <v>1.301</v>
      </c>
      <c r="I733" s="5" t="n">
        <v>0</v>
      </c>
      <c r="J733" s="5" t="n">
        <v>4.738</v>
      </c>
      <c r="K733" s="5" t="n">
        <v>0</v>
      </c>
      <c r="L733" s="5" t="n">
        <v>1</v>
      </c>
      <c r="M733" s="5" t="n">
        <v>6.996</v>
      </c>
      <c r="N733" s="5" t="n">
        <v>3.903</v>
      </c>
      <c r="O733" s="5" t="n">
        <v>0</v>
      </c>
      <c r="P733" s="5" t="n">
        <v>6.996</v>
      </c>
      <c r="Q733" s="5" t="n">
        <v>0</v>
      </c>
      <c r="R733" s="5" t="n">
        <v>1</v>
      </c>
      <c r="S733" s="5" t="n">
        <v>11.243</v>
      </c>
      <c r="T733" s="5" t="n">
        <v>7.806</v>
      </c>
      <c r="U733" s="5" t="n">
        <v>0.123</v>
      </c>
      <c r="V733" s="5" t="n">
        <v>12.142</v>
      </c>
      <c r="W733" s="5" t="n">
        <v>0.08</v>
      </c>
      <c r="X733" s="5" t="n">
        <v>1</v>
      </c>
      <c r="Y733" s="5" t="n">
        <v>5.537</v>
      </c>
      <c r="Z733" s="5" t="n">
        <v>0.647</v>
      </c>
      <c r="AA733" s="5" t="n">
        <v>0</v>
      </c>
      <c r="AB733" s="5" t="n">
        <v>5.537</v>
      </c>
      <c r="AC733" s="5" t="n">
        <v>0</v>
      </c>
      <c r="AD733" s="5" t="n">
        <v>1</v>
      </c>
      <c r="AE733" s="5" t="n">
        <v>6.861</v>
      </c>
      <c r="AF733" s="5" t="n">
        <v>1.419</v>
      </c>
      <c r="AG733" s="5" t="n">
        <v>0</v>
      </c>
      <c r="AH733" s="5" t="n">
        <v>6.861</v>
      </c>
      <c r="AI733" s="5" t="n">
        <v>0</v>
      </c>
      <c r="AJ733" s="5" t="n">
        <v>1</v>
      </c>
      <c r="AK733" s="5" t="n">
        <v>14.802</v>
      </c>
      <c r="AL733" s="5" t="n">
        <v>7.377</v>
      </c>
      <c r="AM733" s="5" t="n">
        <v>0.161</v>
      </c>
      <c r="AN733" s="5" t="n">
        <v>15.986</v>
      </c>
      <c r="AO733" s="5" t="n">
        <v>0.08</v>
      </c>
      <c r="AP733" s="5" t="n">
        <v>1</v>
      </c>
      <c r="AQ733" s="5" t="n">
        <v>0.72</v>
      </c>
      <c r="AR733" s="5" t="n">
        <v>0.132</v>
      </c>
      <c r="AS733" s="5" t="n">
        <v>0.463</v>
      </c>
      <c r="AT733" s="5" t="n">
        <v>1.183</v>
      </c>
      <c r="AU733" s="5" t="n">
        <v>0</v>
      </c>
      <c r="AV733" s="5" t="n">
        <v>1</v>
      </c>
      <c r="AW733" s="5" t="n">
        <v>0.734</v>
      </c>
      <c r="AX733" s="5" t="n">
        <v>0.132</v>
      </c>
      <c r="AY733" s="5" t="n">
        <v>0.393</v>
      </c>
      <c r="AZ733" s="5" t="n">
        <v>1.127</v>
      </c>
      <c r="BA733" s="5" t="n">
        <v>0</v>
      </c>
      <c r="BB733" s="5" t="n">
        <v>1</v>
      </c>
      <c r="BC733" s="5" t="n">
        <v>0.51</v>
      </c>
      <c r="BD733" s="5" t="n">
        <v>0.132</v>
      </c>
      <c r="BE733" s="5" t="n">
        <v>0.006</v>
      </c>
      <c r="BF733" s="5" t="n">
        <v>0.551</v>
      </c>
      <c r="BG733" s="5" t="n">
        <v>0.08</v>
      </c>
      <c r="BH733" s="5" t="n">
        <v>1</v>
      </c>
      <c r="BI733" s="5" t="n">
        <v>0.652</v>
      </c>
      <c r="BJ733" s="5" t="n">
        <v>0.132</v>
      </c>
      <c r="BK733" s="5" t="n">
        <v>-0.027</v>
      </c>
      <c r="BL733" s="5" t="n">
        <v>0.625</v>
      </c>
      <c r="BM733" s="5" t="n">
        <v>0</v>
      </c>
      <c r="BN733" s="5" t="n">
        <v>1</v>
      </c>
      <c r="BO733" s="5" t="n">
        <v>0</v>
      </c>
      <c r="BP733" s="5" t="n">
        <v>-0.044</v>
      </c>
      <c r="BQ733" s="5" t="n">
        <v>0.095</v>
      </c>
      <c r="BR733" s="5" t="n">
        <v>0</v>
      </c>
      <c r="BS733" s="5" t="n">
        <v>0.833</v>
      </c>
      <c r="BT733" s="5" t="n">
        <v>0</v>
      </c>
      <c r="BU733" s="5" t="n">
        <v>-0.044</v>
      </c>
      <c r="BV733" s="5" t="n">
        <v>0.094</v>
      </c>
      <c r="BW733" s="5" t="n">
        <v>0</v>
      </c>
      <c r="BX733" s="5" t="n">
        <v>0.833</v>
      </c>
      <c r="BY733" s="5" t="n">
        <v>13.646</v>
      </c>
      <c r="BZ733" s="5" t="n">
        <v>0</v>
      </c>
      <c r="CA733" s="5" t="n">
        <v>13.646</v>
      </c>
      <c r="CB733" s="5" t="n">
        <v>0</v>
      </c>
      <c r="CC733" s="5" t="n">
        <v>86.38500000000001</v>
      </c>
      <c r="CD733" s="5" t="n">
        <v>7.95</v>
      </c>
      <c r="CE733" s="5" t="n">
        <v>3.675</v>
      </c>
      <c r="CF733" s="5" t="n">
        <v>97.26600000000001</v>
      </c>
      <c r="CG733" s="5" t="n">
        <v>0.08</v>
      </c>
      <c r="CH733" s="5" t="n">
        <v>1</v>
      </c>
      <c r="CI733" s="5" t="n">
        <v>0</v>
      </c>
      <c r="CJ733" s="5" t="n">
        <v>0</v>
      </c>
      <c r="CK733" s="5" t="n">
        <v>0</v>
      </c>
      <c r="CL733" s="5" t="n">
        <v>0</v>
      </c>
      <c r="CM733" s="5" t="n">
        <v>0</v>
      </c>
      <c r="CN733" s="5" t="n">
        <v>0</v>
      </c>
      <c r="CO733" s="5" t="n">
        <v>0</v>
      </c>
      <c r="CP733" s="5" t="n">
        <v>0.034</v>
      </c>
      <c r="CQ733" s="5" t="n">
        <v>1.387</v>
      </c>
      <c r="CR733" s="5" t="n">
        <v>0</v>
      </c>
      <c r="CS733" s="5" t="n">
        <v>5.529</v>
      </c>
      <c r="CT733" s="5" t="n">
        <v>3.509</v>
      </c>
      <c r="CU733" s="5" t="n">
        <v>10.792</v>
      </c>
    </row>
    <row r="734">
      <c r="A734" s="5" t="inlineStr">
        <is>
          <t>KNA2021</t>
        </is>
      </c>
      <c r="B734" s="5" t="inlineStr">
        <is>
          <t>KNA</t>
        </is>
      </c>
      <c r="C734" s="5" t="inlineStr">
        <is>
          <t>KNA</t>
        </is>
      </c>
      <c r="D734" s="5" t="inlineStr">
        <is>
          <t>St. Kitts and Nevis</t>
        </is>
      </c>
      <c r="E734" s="5" t="n">
        <v>2021</v>
      </c>
      <c r="F734" s="5" t="n">
        <v>0.17</v>
      </c>
      <c r="G734" s="5" t="n">
        <v>5.897</v>
      </c>
      <c r="H734" s="5" t="n">
        <v>1.143</v>
      </c>
      <c r="I734" s="5" t="n">
        <v>0</v>
      </c>
      <c r="J734" s="5" t="n">
        <v>5.897</v>
      </c>
      <c r="K734" s="5" t="n">
        <v>0</v>
      </c>
      <c r="L734" s="5" t="n">
        <v>1</v>
      </c>
      <c r="M734" s="5" t="n">
        <v>7.964</v>
      </c>
      <c r="N734" s="5" t="n">
        <v>3.43</v>
      </c>
      <c r="O734" s="5" t="n">
        <v>0</v>
      </c>
      <c r="P734" s="5" t="n">
        <v>7.964</v>
      </c>
      <c r="Q734" s="5" t="n">
        <v>0</v>
      </c>
      <c r="R734" s="5" t="n">
        <v>1</v>
      </c>
      <c r="S734" s="5" t="n">
        <v>11.613</v>
      </c>
      <c r="T734" s="5" t="n">
        <v>6.86</v>
      </c>
      <c r="U734" s="5" t="n">
        <v>0</v>
      </c>
      <c r="V734" s="5" t="n">
        <v>13.588</v>
      </c>
      <c r="W734" s="5" t="n">
        <v>0.17</v>
      </c>
      <c r="X734" s="5" t="n">
        <v>1</v>
      </c>
      <c r="Y734" s="5" t="n">
        <v>17.127</v>
      </c>
      <c r="Z734" s="5" t="n">
        <v>2.304</v>
      </c>
      <c r="AA734" s="5" t="n">
        <v>0</v>
      </c>
      <c r="AB734" s="5" t="n">
        <v>17.127</v>
      </c>
      <c r="AC734" s="5" t="n">
        <v>0</v>
      </c>
      <c r="AD734" s="5" t="n">
        <v>1</v>
      </c>
      <c r="AE734" s="5" t="n">
        <v>18.27</v>
      </c>
      <c r="AF734" s="5" t="n">
        <v>4.278</v>
      </c>
      <c r="AG734" s="5" t="n">
        <v>0</v>
      </c>
      <c r="AH734" s="5" t="n">
        <v>18.27</v>
      </c>
      <c r="AI734" s="5" t="n">
        <v>0</v>
      </c>
      <c r="AJ734" s="5" t="n">
        <v>1</v>
      </c>
      <c r="AK734" s="5" t="n">
        <v>25.13</v>
      </c>
      <c r="AL734" s="5" t="n">
        <v>13.503</v>
      </c>
      <c r="AM734" s="5" t="n">
        <v>0</v>
      </c>
      <c r="AN734" s="5" t="n">
        <v>29.402</v>
      </c>
      <c r="AO734" s="5" t="n">
        <v>0.17</v>
      </c>
      <c r="AP734" s="5" t="n">
        <v>1</v>
      </c>
      <c r="AQ734" s="5" t="n">
        <v>0.649</v>
      </c>
      <c r="AR734" s="5" t="n">
        <v>0.114</v>
      </c>
      <c r="AS734" s="5" t="n">
        <v>0</v>
      </c>
      <c r="AT734" s="5" t="n">
        <v>0.759</v>
      </c>
      <c r="AU734" s="5" t="n">
        <v>0.17</v>
      </c>
      <c r="AV734" s="5" t="n">
        <v>1</v>
      </c>
      <c r="AW734" s="5" t="n">
        <v>0.577</v>
      </c>
      <c r="AX734" s="5" t="n">
        <v>0.114</v>
      </c>
      <c r="AY734" s="5" t="n">
        <v>0</v>
      </c>
      <c r="AZ734" s="5" t="n">
        <v>0.675</v>
      </c>
      <c r="BA734" s="5" t="n">
        <v>0.17</v>
      </c>
      <c r="BB734" s="5" t="n">
        <v>1</v>
      </c>
      <c r="BC734" s="5" t="n">
        <v>0.458</v>
      </c>
      <c r="BD734" s="5" t="n">
        <v>0.114</v>
      </c>
      <c r="BE734" s="5" t="n">
        <v>0</v>
      </c>
      <c r="BF734" s="5" t="n">
        <v>0.536</v>
      </c>
      <c r="BG734" s="5" t="n">
        <v>0.17</v>
      </c>
      <c r="BH734" s="5" t="n">
        <v>1</v>
      </c>
      <c r="BI734" s="5" t="n">
        <v>0.491</v>
      </c>
      <c r="BJ734" s="5" t="n">
        <v>0.114</v>
      </c>
      <c r="BK734" s="5" t="n">
        <v>0</v>
      </c>
      <c r="BL734" s="5" t="n">
        <v>0.575</v>
      </c>
      <c r="BM734" s="5" t="n">
        <v>0.17</v>
      </c>
      <c r="BN734" s="5" t="n">
        <v>1</v>
      </c>
      <c r="BO734" s="5" t="n">
        <v>0</v>
      </c>
      <c r="BP734" s="5" t="n">
        <v>0</v>
      </c>
      <c r="BQ734" s="5" t="n">
        <v>0</v>
      </c>
      <c r="BR734" s="5" t="n">
        <v>0</v>
      </c>
      <c r="BS734" s="5" t="n">
        <v>1</v>
      </c>
      <c r="BT734" s="5" t="n">
        <v>0</v>
      </c>
      <c r="BU734" s="5" t="n">
        <v>0</v>
      </c>
      <c r="BV734" s="5" t="n">
        <v>0</v>
      </c>
      <c r="BW734" s="5" t="n">
        <v>0.17</v>
      </c>
      <c r="BX734" s="5" t="n">
        <v>1</v>
      </c>
      <c r="BY734" s="5" t="n">
        <v>11.787</v>
      </c>
      <c r="BZ734" s="5" t="n">
        <v>0</v>
      </c>
      <c r="CA734" s="5" t="n">
        <v>11.787</v>
      </c>
      <c r="CB734" s="5" t="n">
        <v>0</v>
      </c>
      <c r="CC734" s="5" t="n">
        <v>78.125</v>
      </c>
      <c r="CD734" s="5" t="n">
        <v>7.95</v>
      </c>
      <c r="CE734" s="5" t="n">
        <v>0</v>
      </c>
      <c r="CF734" s="5" t="n">
        <v>91.40600000000001</v>
      </c>
      <c r="CG734" s="5" t="n">
        <v>0.17</v>
      </c>
      <c r="CH734" s="5" t="n">
        <v>1</v>
      </c>
      <c r="CI734" s="5" t="n">
        <v>0</v>
      </c>
      <c r="CJ734" s="5" t="n">
        <v>0</v>
      </c>
      <c r="CK734" s="5" t="n">
        <v>0</v>
      </c>
      <c r="CL734" s="5" t="n">
        <v>0</v>
      </c>
      <c r="CM734" s="5" t="n">
        <v>0</v>
      </c>
      <c r="CN734" s="5" t="n">
        <v>0</v>
      </c>
      <c r="CO734" s="5" t="n">
        <v>0</v>
      </c>
      <c r="CP734" s="5" t="n">
        <v>0</v>
      </c>
      <c r="CQ734" s="5" t="n">
        <v>1.198</v>
      </c>
      <c r="CR734" s="5" t="n">
        <v>0</v>
      </c>
      <c r="CS734" s="5" t="n">
        <v>4.776</v>
      </c>
      <c r="CT734" s="5" t="n">
        <v>4.753</v>
      </c>
      <c r="CU734" s="5" t="n">
        <v>15.983</v>
      </c>
    </row>
    <row r="735">
      <c r="A735" s="5" t="inlineStr">
        <is>
          <t>KNA2022</t>
        </is>
      </c>
      <c r="B735" s="5" t="inlineStr">
        <is>
          <t>KNA</t>
        </is>
      </c>
      <c r="C735" s="5" t="inlineStr">
        <is>
          <t>KNA</t>
        </is>
      </c>
      <c r="D735" s="5" t="inlineStr">
        <is>
          <t>St. Kitts and Nevis</t>
        </is>
      </c>
      <c r="E735" s="5" t="n">
        <v>2022</v>
      </c>
      <c r="F735" s="5" t="n">
        <v>0.17</v>
      </c>
      <c r="G735" s="5" t="n">
        <v>11.72</v>
      </c>
      <c r="H735" s="5" t="n">
        <v>1.235</v>
      </c>
      <c r="I735" s="5" t="n">
        <v>0</v>
      </c>
      <c r="J735" s="5" t="n">
        <v>11.72</v>
      </c>
      <c r="K735" s="5" t="n">
        <v>0</v>
      </c>
      <c r="L735" s="5" t="n">
        <v>1</v>
      </c>
      <c r="M735" s="5" t="n">
        <v>9.782999999999999</v>
      </c>
      <c r="N735" s="5" t="n">
        <v>3.704</v>
      </c>
      <c r="O735" s="5" t="n">
        <v>0</v>
      </c>
      <c r="P735" s="5" t="n">
        <v>9.782999999999999</v>
      </c>
      <c r="Q735" s="5" t="n">
        <v>0</v>
      </c>
      <c r="R735" s="5" t="n">
        <v>1</v>
      </c>
      <c r="S735" s="5" t="n">
        <v>17.893</v>
      </c>
      <c r="T735" s="5" t="n">
        <v>7.408</v>
      </c>
      <c r="U735" s="5" t="n">
        <v>0.225</v>
      </c>
      <c r="V735" s="5" t="n">
        <v>20.935</v>
      </c>
      <c r="W735" s="5" t="n">
        <v>0.17</v>
      </c>
      <c r="X735" s="5" t="n">
        <v>1</v>
      </c>
      <c r="Y735" s="5" t="n">
        <v>30.728</v>
      </c>
      <c r="Z735" s="5" t="n">
        <v>4.133</v>
      </c>
      <c r="AA735" s="5" t="n">
        <v>0</v>
      </c>
      <c r="AB735" s="5" t="n">
        <v>30.728</v>
      </c>
      <c r="AC735" s="5" t="n">
        <v>0</v>
      </c>
      <c r="AD735" s="5" t="n">
        <v>1</v>
      </c>
      <c r="AE735" s="5" t="n">
        <v>31.963</v>
      </c>
      <c r="AF735" s="5" t="n">
        <v>7.485</v>
      </c>
      <c r="AG735" s="5" t="n">
        <v>0</v>
      </c>
      <c r="AH735" s="5" t="n">
        <v>31.963</v>
      </c>
      <c r="AI735" s="5" t="n">
        <v>0</v>
      </c>
      <c r="AJ735" s="5" t="n">
        <v>1</v>
      </c>
      <c r="AK735" s="5" t="n">
        <v>39.371</v>
      </c>
      <c r="AL735" s="5" t="n">
        <v>21.155</v>
      </c>
      <c r="AM735" s="5" t="n">
        <v>0.495</v>
      </c>
      <c r="AN735" s="5" t="n">
        <v>46.064</v>
      </c>
      <c r="AO735" s="5" t="n">
        <v>0.17</v>
      </c>
      <c r="AP735" s="5" t="n">
        <v>1</v>
      </c>
      <c r="AQ735" s="5" t="n">
        <v>0.896</v>
      </c>
      <c r="AR735" s="5" t="n">
        <v>0.123</v>
      </c>
      <c r="AS735" s="5" t="n">
        <v>0.011</v>
      </c>
      <c r="AT735" s="5" t="n">
        <v>1.048</v>
      </c>
      <c r="AU735" s="5" t="n">
        <v>0.17</v>
      </c>
      <c r="AV735" s="5" t="n">
        <v>1</v>
      </c>
      <c r="AW735" s="5" t="n">
        <v>0.89</v>
      </c>
      <c r="AX735" s="5" t="n">
        <v>0.123</v>
      </c>
      <c r="AY735" s="5" t="n">
        <v>0.011</v>
      </c>
      <c r="AZ735" s="5" t="n">
        <v>1.041</v>
      </c>
      <c r="BA735" s="5" t="n">
        <v>0.17</v>
      </c>
      <c r="BB735" s="5" t="n">
        <v>1</v>
      </c>
      <c r="BC735" s="5" t="n">
        <v>0.62</v>
      </c>
      <c r="BD735" s="5" t="n">
        <v>0.123</v>
      </c>
      <c r="BE735" s="5" t="n">
        <v>0.008</v>
      </c>
      <c r="BF735" s="5" t="n">
        <v>0.726</v>
      </c>
      <c r="BG735" s="5" t="n">
        <v>0.17</v>
      </c>
      <c r="BH735" s="5" t="n">
        <v>1</v>
      </c>
      <c r="BI735" s="5" t="n">
        <v>0.608</v>
      </c>
      <c r="BJ735" s="5" t="n">
        <v>0.123</v>
      </c>
      <c r="BK735" s="5" t="n">
        <v>0.008</v>
      </c>
      <c r="BL735" s="5" t="n">
        <v>0.711</v>
      </c>
      <c r="BM735" s="5" t="n">
        <v>0.17</v>
      </c>
      <c r="BN735" s="5" t="n">
        <v>1</v>
      </c>
      <c r="BO735" s="5" t="n">
        <v>0</v>
      </c>
      <c r="BP735" s="5" t="n">
        <v>0</v>
      </c>
      <c r="BQ735" s="5" t="n">
        <v>0</v>
      </c>
      <c r="BR735" s="5" t="n">
        <v>0</v>
      </c>
      <c r="BS735" s="5" t="n">
        <v>1</v>
      </c>
      <c r="BT735" s="5" t="n">
        <v>0</v>
      </c>
      <c r="BU735" s="5" t="n">
        <v>0</v>
      </c>
      <c r="BV735" s="5" t="n">
        <v>0</v>
      </c>
      <c r="BW735" s="5" t="n">
        <v>0.17</v>
      </c>
      <c r="BX735" s="5" t="n">
        <v>1</v>
      </c>
      <c r="BY735" s="5" t="n">
        <v>12.729</v>
      </c>
      <c r="BZ735" s="5" t="n">
        <v>0</v>
      </c>
      <c r="CA735" s="5" t="n">
        <v>12.729</v>
      </c>
      <c r="CB735" s="5" t="n">
        <v>0</v>
      </c>
      <c r="CC735" s="5" t="n">
        <v>97.90000000000001</v>
      </c>
      <c r="CD735" s="5" t="n">
        <v>7.95</v>
      </c>
      <c r="CE735" s="5" t="n">
        <v>1.232</v>
      </c>
      <c r="CF735" s="5" t="n">
        <v>114.543</v>
      </c>
      <c r="CG735" s="5" t="n">
        <v>0.17</v>
      </c>
      <c r="CH735" s="5" t="n">
        <v>1</v>
      </c>
      <c r="CI735" s="5" t="n">
        <v>0</v>
      </c>
      <c r="CJ735" s="5" t="n">
        <v>0</v>
      </c>
      <c r="CK735" s="5" t="n">
        <v>0</v>
      </c>
      <c r="CL735" s="5" t="n">
        <v>0</v>
      </c>
      <c r="CM735" s="5" t="n">
        <v>0</v>
      </c>
      <c r="CN735" s="5" t="n">
        <v>0</v>
      </c>
      <c r="CO735" s="5" t="n">
        <v>0</v>
      </c>
      <c r="CP735" s="5" t="n">
        <v>0</v>
      </c>
      <c r="CQ735" s="5" t="n">
        <v>1.294</v>
      </c>
      <c r="CR735" s="5" t="n">
        <v>0</v>
      </c>
      <c r="CS735" s="5" t="n">
        <v>5.158</v>
      </c>
      <c r="CT735" s="5" t="n">
        <v>10.485</v>
      </c>
      <c r="CU735" s="5" t="n">
        <v>29.494</v>
      </c>
    </row>
    <row r="736">
      <c r="A736" s="5" t="inlineStr">
        <is>
          <t>KNA2023</t>
        </is>
      </c>
      <c r="B736" s="5" t="inlineStr">
        <is>
          <t>KNA</t>
        </is>
      </c>
      <c r="C736" s="5" t="inlineStr">
        <is>
          <t>KNA</t>
        </is>
      </c>
      <c r="D736" s="5" t="inlineStr">
        <is>
          <t>St. Kitts and Nevis</t>
        </is>
      </c>
      <c r="E736" s="5" t="n">
        <v>2023</v>
      </c>
      <c r="F736" s="5" t="n">
        <v>0.17</v>
      </c>
      <c r="G736" s="5" t="n">
        <v>6.147</v>
      </c>
      <c r="H736" s="5" t="n">
        <v>1.286</v>
      </c>
      <c r="I736" s="5" t="n">
        <v>0</v>
      </c>
      <c r="J736" s="5" t="n">
        <v>6.147</v>
      </c>
      <c r="K736" s="5" t="n">
        <v>0</v>
      </c>
      <c r="L736" s="5" t="n">
        <v>1</v>
      </c>
      <c r="M736" s="5" t="n">
        <v>7.886</v>
      </c>
      <c r="N736" s="5" t="n">
        <v>3.857</v>
      </c>
      <c r="O736" s="5" t="n">
        <v>0</v>
      </c>
      <c r="P736" s="5" t="n">
        <v>7.886</v>
      </c>
      <c r="Q736" s="5" t="n">
        <v>0</v>
      </c>
      <c r="R736" s="5" t="n">
        <v>1</v>
      </c>
      <c r="S736" s="5" t="n">
        <v>12.575</v>
      </c>
      <c r="T736" s="5" t="n">
        <v>7.714</v>
      </c>
      <c r="U736" s="5" t="n">
        <v>0.237</v>
      </c>
      <c r="V736" s="5" t="n">
        <v>14.713</v>
      </c>
      <c r="W736" s="5" t="n">
        <v>0.17</v>
      </c>
      <c r="X736" s="5" t="n">
        <v>1</v>
      </c>
      <c r="Y736" s="5" t="n">
        <v>12.478</v>
      </c>
      <c r="Z736" s="5" t="n">
        <v>1.678</v>
      </c>
      <c r="AA736" s="5" t="n">
        <v>0</v>
      </c>
      <c r="AB736" s="5" t="n">
        <v>12.478</v>
      </c>
      <c r="AC736" s="5" t="n">
        <v>0</v>
      </c>
      <c r="AD736" s="5" t="n">
        <v>1</v>
      </c>
      <c r="AE736" s="5" t="n">
        <v>13.763</v>
      </c>
      <c r="AF736" s="5" t="n">
        <v>3.223</v>
      </c>
      <c r="AG736" s="5" t="n">
        <v>0</v>
      </c>
      <c r="AH736" s="5" t="n">
        <v>13.763</v>
      </c>
      <c r="AI736" s="5" t="n">
        <v>0</v>
      </c>
      <c r="AJ736" s="5" t="n">
        <v>1</v>
      </c>
      <c r="AK736" s="5" t="n">
        <v>21.477</v>
      </c>
      <c r="AL736" s="5" t="n">
        <v>11.54</v>
      </c>
      <c r="AM736" s="5" t="n">
        <v>0.404</v>
      </c>
      <c r="AN736" s="5" t="n">
        <v>25.129</v>
      </c>
      <c r="AO736" s="5" t="n">
        <v>0.17</v>
      </c>
      <c r="AP736" s="5" t="n">
        <v>1</v>
      </c>
      <c r="AQ736" s="5" t="n">
        <v>0.791</v>
      </c>
      <c r="AR736" s="5" t="n">
        <v>0.129</v>
      </c>
      <c r="AS736" s="5" t="n">
        <v>0.015</v>
      </c>
      <c r="AT736" s="5" t="n">
        <v>0.925</v>
      </c>
      <c r="AU736" s="5" t="n">
        <v>0.17</v>
      </c>
      <c r="AV736" s="5" t="n">
        <v>1</v>
      </c>
      <c r="AW736" s="5" t="n">
        <v>0.618</v>
      </c>
      <c r="AX736" s="5" t="n">
        <v>0.129</v>
      </c>
      <c r="AY736" s="5" t="n">
        <v>0.012</v>
      </c>
      <c r="AZ736" s="5" t="n">
        <v>0.723</v>
      </c>
      <c r="BA736" s="5" t="n">
        <v>0.17</v>
      </c>
      <c r="BB736" s="5" t="n">
        <v>1</v>
      </c>
      <c r="BC736" s="5" t="n">
        <v>0.554</v>
      </c>
      <c r="BD736" s="5" t="n">
        <v>0.129</v>
      </c>
      <c r="BE736" s="5" t="n">
        <v>0.01</v>
      </c>
      <c r="BF736" s="5" t="n">
        <v>0.649</v>
      </c>
      <c r="BG736" s="5" t="n">
        <v>0.17</v>
      </c>
      <c r="BH736" s="5" t="n">
        <v>1</v>
      </c>
      <c r="BI736" s="5" t="n">
        <v>0.5570000000000001</v>
      </c>
      <c r="BJ736" s="5" t="n">
        <v>0.129</v>
      </c>
      <c r="BK736" s="5" t="n">
        <v>0.01</v>
      </c>
      <c r="BL736" s="5" t="n">
        <v>0.652</v>
      </c>
      <c r="BM736" s="5" t="n">
        <v>0.17</v>
      </c>
      <c r="BN736" s="5" t="n">
        <v>1</v>
      </c>
      <c r="BO736" s="5" t="n">
        <v>0</v>
      </c>
      <c r="BP736" s="5" t="n">
        <v>0</v>
      </c>
      <c r="BQ736" s="5" t="n">
        <v>0</v>
      </c>
      <c r="BR736" s="5" t="n">
        <v>0</v>
      </c>
      <c r="BS736" s="5" t="n">
        <v>1</v>
      </c>
      <c r="BT736" s="5" t="n">
        <v>0</v>
      </c>
      <c r="BU736" s="5" t="n">
        <v>0</v>
      </c>
      <c r="BV736" s="5" t="n">
        <v>0</v>
      </c>
      <c r="BW736" s="5" t="n">
        <v>0.17</v>
      </c>
      <c r="BX736" s="5" t="n">
        <v>1</v>
      </c>
      <c r="BY736" s="5" t="n">
        <v>13.254</v>
      </c>
      <c r="BZ736" s="5" t="n">
        <v>0</v>
      </c>
      <c r="CA736" s="5" t="n">
        <v>13.254</v>
      </c>
      <c r="CB736" s="5" t="n">
        <v>0</v>
      </c>
      <c r="CC736" s="5" t="n">
        <v>83.248</v>
      </c>
      <c r="CD736" s="5" t="n">
        <v>7.95</v>
      </c>
      <c r="CE736" s="5" t="n">
        <v>1.567</v>
      </c>
      <c r="CF736" s="5" t="n">
        <v>97.40000000000001</v>
      </c>
      <c r="CG736" s="5" t="n">
        <v>0.17</v>
      </c>
      <c r="CH736" s="5" t="n">
        <v>1</v>
      </c>
      <c r="CI736" s="5" t="n">
        <v>0</v>
      </c>
      <c r="CJ736" s="5" t="n">
        <v>0</v>
      </c>
      <c r="CK736" s="5" t="n">
        <v>0</v>
      </c>
      <c r="CL736" s="5" t="n">
        <v>0</v>
      </c>
      <c r="CM736" s="5" t="n">
        <v>0</v>
      </c>
      <c r="CN736" s="5" t="n">
        <v>0</v>
      </c>
      <c r="CO736" s="5" t="n">
        <v>0</v>
      </c>
      <c r="CP736" s="5" t="n">
        <v>0</v>
      </c>
      <c r="CQ736" s="5" t="n">
        <v>1.348</v>
      </c>
      <c r="CR736" s="5" t="n">
        <v>0</v>
      </c>
      <c r="CS736" s="5" t="n">
        <v>5.37</v>
      </c>
      <c r="CT736" s="5" t="n">
        <v>4.861</v>
      </c>
      <c r="CU736" s="5" t="n">
        <v>11.192</v>
      </c>
    </row>
    <row r="737">
      <c r="A737" s="5" t="inlineStr">
        <is>
          <t>KNA2024</t>
        </is>
      </c>
      <c r="B737" s="5" t="inlineStr">
        <is>
          <t>KNA</t>
        </is>
      </c>
      <c r="C737" s="5" t="inlineStr">
        <is>
          <t>KNA</t>
        </is>
      </c>
      <c r="D737" s="5" t="inlineStr">
        <is>
          <t>St. Kitts and Nevis</t>
        </is>
      </c>
      <c r="E737" s="5" t="n">
        <v>2024</v>
      </c>
      <c r="F737" s="5" t="n">
        <v>0.17</v>
      </c>
      <c r="G737" s="5" t="n">
        <v>5.575</v>
      </c>
      <c r="H737" s="5" t="n">
        <v>1.324</v>
      </c>
      <c r="I737" s="5" t="n">
        <v>0</v>
      </c>
      <c r="J737" s="5" t="n">
        <v>5.575</v>
      </c>
      <c r="K737" s="5" t="n">
        <v>0</v>
      </c>
      <c r="L737" s="5" t="n">
        <v>1</v>
      </c>
      <c r="M737" s="5" t="n">
        <v>7.124</v>
      </c>
      <c r="N737" s="5" t="n">
        <v>3.971</v>
      </c>
      <c r="O737" s="5" t="n">
        <v>0</v>
      </c>
      <c r="P737" s="5" t="n">
        <v>7.124</v>
      </c>
      <c r="Q737" s="5" t="n">
        <v>0</v>
      </c>
      <c r="R737" s="5" t="n">
        <v>1</v>
      </c>
      <c r="S737" s="5" t="n">
        <v>12.193</v>
      </c>
      <c r="T737" s="5" t="n">
        <v>7.942</v>
      </c>
      <c r="U737" s="5" t="n">
        <v>0.282</v>
      </c>
      <c r="V737" s="5" t="n">
        <v>14.266</v>
      </c>
      <c r="W737" s="5" t="n">
        <v>0.17</v>
      </c>
      <c r="X737" s="5" t="n">
        <v>1</v>
      </c>
      <c r="Y737" s="5" t="n">
        <v>11.447</v>
      </c>
      <c r="Z737" s="5" t="n">
        <v>1.54</v>
      </c>
      <c r="AA737" s="5" t="n">
        <v>0</v>
      </c>
      <c r="AB737" s="5" t="n">
        <v>11.447</v>
      </c>
      <c r="AC737" s="5" t="n">
        <v>0</v>
      </c>
      <c r="AD737" s="5" t="n">
        <v>1</v>
      </c>
      <c r="AE737" s="5" t="n">
        <v>12.771</v>
      </c>
      <c r="AF737" s="5" t="n">
        <v>2.991</v>
      </c>
      <c r="AG737" s="5" t="n">
        <v>0</v>
      </c>
      <c r="AH737" s="5" t="n">
        <v>12.771</v>
      </c>
      <c r="AI737" s="5" t="n">
        <v>0</v>
      </c>
      <c r="AJ737" s="5" t="n">
        <v>1</v>
      </c>
      <c r="AK737" s="5" t="n">
        <v>20.712</v>
      </c>
      <c r="AL737" s="5" t="n">
        <v>11.129</v>
      </c>
      <c r="AM737" s="5" t="n">
        <v>0.48</v>
      </c>
      <c r="AN737" s="5" t="n">
        <v>24.233</v>
      </c>
      <c r="AO737" s="5" t="n">
        <v>0.17</v>
      </c>
      <c r="AP737" s="5" t="n">
        <v>1</v>
      </c>
      <c r="AQ737" s="5" t="n">
        <v>0.756</v>
      </c>
      <c r="AR737" s="5" t="n">
        <v>0.132</v>
      </c>
      <c r="AS737" s="5" t="n">
        <v>0.018</v>
      </c>
      <c r="AT737" s="5" t="n">
        <v>0.885</v>
      </c>
      <c r="AU737" s="5" t="n">
        <v>0.17</v>
      </c>
      <c r="AV737" s="5" t="n">
        <v>1</v>
      </c>
      <c r="AW737" s="5" t="n">
        <v>0.655</v>
      </c>
      <c r="AX737" s="5" t="n">
        <v>0.132</v>
      </c>
      <c r="AY737" s="5" t="n">
        <v>0.015</v>
      </c>
      <c r="AZ737" s="5" t="n">
        <v>0.767</v>
      </c>
      <c r="BA737" s="5" t="n">
        <v>0.17</v>
      </c>
      <c r="BB737" s="5" t="n">
        <v>1</v>
      </c>
      <c r="BC737" s="5" t="n">
        <v>0.534</v>
      </c>
      <c r="BD737" s="5" t="n">
        <v>0.132</v>
      </c>
      <c r="BE737" s="5" t="n">
        <v>0.012</v>
      </c>
      <c r="BF737" s="5" t="n">
        <v>0.624</v>
      </c>
      <c r="BG737" s="5" t="n">
        <v>0.17</v>
      </c>
      <c r="BH737" s="5" t="n">
        <v>1</v>
      </c>
      <c r="BI737" s="5" t="n">
        <v>0.5679999999999999</v>
      </c>
      <c r="BJ737" s="5" t="n">
        <v>0.132</v>
      </c>
      <c r="BK737" s="5" t="n">
        <v>0.013</v>
      </c>
      <c r="BL737" s="5" t="n">
        <v>0.664</v>
      </c>
      <c r="BM737" s="5" t="n">
        <v>0.17</v>
      </c>
      <c r="BN737" s="5" t="n">
        <v>1</v>
      </c>
      <c r="BO737" s="5" t="n">
        <v>0</v>
      </c>
      <c r="BP737" s="5" t="n">
        <v>0</v>
      </c>
      <c r="BQ737" s="5" t="n">
        <v>0</v>
      </c>
      <c r="BR737" s="5" t="n">
        <v>0</v>
      </c>
      <c r="BS737" s="5" t="n">
        <v>1</v>
      </c>
      <c r="BT737" s="5" t="n">
        <v>0</v>
      </c>
      <c r="BU737" s="5" t="n">
        <v>0</v>
      </c>
      <c r="BV737" s="5" t="n">
        <v>0</v>
      </c>
      <c r="BW737" s="5" t="n">
        <v>0.17</v>
      </c>
      <c r="BX737" s="5" t="n">
        <v>1</v>
      </c>
      <c r="BY737" s="5" t="n">
        <v>13.646</v>
      </c>
      <c r="BZ737" s="5" t="n">
        <v>0</v>
      </c>
      <c r="CA737" s="5" t="n">
        <v>13.646</v>
      </c>
      <c r="CB737" s="5" t="n">
        <v>0</v>
      </c>
      <c r="CC737" s="5" t="n">
        <v>82.58799999999999</v>
      </c>
      <c r="CD737" s="5" t="n">
        <v>7.95</v>
      </c>
      <c r="CE737" s="5" t="n">
        <v>1.912</v>
      </c>
      <c r="CF737" s="5" t="n">
        <v>96.628</v>
      </c>
      <c r="CG737" s="5" t="n">
        <v>0.17</v>
      </c>
      <c r="CH737" s="5" t="n">
        <v>1</v>
      </c>
      <c r="CI737" s="5" t="n">
        <v>0</v>
      </c>
      <c r="CJ737" s="5" t="n">
        <v>0</v>
      </c>
      <c r="CK737" s="5" t="n">
        <v>0</v>
      </c>
      <c r="CL737" s="5" t="n">
        <v>0</v>
      </c>
      <c r="CM737" s="5" t="n">
        <v>0</v>
      </c>
      <c r="CN737" s="5" t="n">
        <v>0</v>
      </c>
      <c r="CO737" s="5" t="n">
        <v>0</v>
      </c>
      <c r="CP737" s="5" t="n">
        <v>0</v>
      </c>
      <c r="CQ737" s="5" t="n">
        <v>1.387</v>
      </c>
      <c r="CR737" s="5" t="n">
        <v>0</v>
      </c>
      <c r="CS737" s="5" t="n">
        <v>5.529</v>
      </c>
      <c r="CT737" s="5" t="n">
        <v>4.251</v>
      </c>
      <c r="CU737" s="5" t="n">
        <v>10.123</v>
      </c>
    </row>
    <row r="738">
      <c r="A738" s="5" t="inlineStr">
        <is>
          <t>LCA2021</t>
        </is>
      </c>
      <c r="B738" s="5" t="inlineStr">
        <is>
          <t>LCA</t>
        </is>
      </c>
      <c r="C738" s="5" t="inlineStr">
        <is>
          <t>LCA</t>
        </is>
      </c>
      <c r="D738" s="5" t="inlineStr">
        <is>
          <t>St. Lucia</t>
        </is>
      </c>
      <c r="E738" s="5" t="n">
        <v>2021</v>
      </c>
      <c r="F738" s="5" t="n">
        <v>0.125</v>
      </c>
      <c r="G738" s="5" t="n">
        <v>5.897</v>
      </c>
      <c r="H738" s="5" t="n">
        <v>1.143</v>
      </c>
      <c r="I738" s="5" t="n">
        <v>0</v>
      </c>
      <c r="J738" s="5" t="n">
        <v>5.897</v>
      </c>
      <c r="K738" s="5" t="n">
        <v>0</v>
      </c>
      <c r="L738" s="5" t="n">
        <v>1</v>
      </c>
      <c r="M738" s="5" t="n">
        <v>7.964</v>
      </c>
      <c r="N738" s="5" t="n">
        <v>3.43</v>
      </c>
      <c r="O738" s="5" t="n">
        <v>0</v>
      </c>
      <c r="P738" s="5" t="n">
        <v>7.964</v>
      </c>
      <c r="Q738" s="5" t="n">
        <v>0</v>
      </c>
      <c r="R738" s="5" t="n">
        <v>1</v>
      </c>
      <c r="S738" s="5" t="n">
        <v>11.613</v>
      </c>
      <c r="T738" s="5" t="n">
        <v>6.86</v>
      </c>
      <c r="U738" s="5" t="n">
        <v>0</v>
      </c>
      <c r="V738" s="5" t="n">
        <v>13.065</v>
      </c>
      <c r="W738" s="5" t="n">
        <v>0.125</v>
      </c>
      <c r="X738" s="5" t="n">
        <v>1</v>
      </c>
      <c r="Y738" s="5" t="n">
        <v>17.127</v>
      </c>
      <c r="Z738" s="5" t="n">
        <v>2.304</v>
      </c>
      <c r="AA738" s="5" t="n">
        <v>0</v>
      </c>
      <c r="AB738" s="5" t="n">
        <v>17.127</v>
      </c>
      <c r="AC738" s="5" t="n">
        <v>0</v>
      </c>
      <c r="AD738" s="5" t="n">
        <v>1</v>
      </c>
      <c r="AE738" s="5" t="n">
        <v>18.27</v>
      </c>
      <c r="AF738" s="5" t="n">
        <v>4.278</v>
      </c>
      <c r="AG738" s="5" t="n">
        <v>0</v>
      </c>
      <c r="AH738" s="5" t="n">
        <v>18.27</v>
      </c>
      <c r="AI738" s="5" t="n">
        <v>0</v>
      </c>
      <c r="AJ738" s="5" t="n">
        <v>1</v>
      </c>
      <c r="AK738" s="5" t="n">
        <v>25.13</v>
      </c>
      <c r="AL738" s="5" t="n">
        <v>13.503</v>
      </c>
      <c r="AM738" s="5" t="n">
        <v>0</v>
      </c>
      <c r="AN738" s="5" t="n">
        <v>28.271</v>
      </c>
      <c r="AO738" s="5" t="n">
        <v>0.125</v>
      </c>
      <c r="AP738" s="5" t="n">
        <v>1</v>
      </c>
      <c r="AQ738" s="5" t="n">
        <v>0.649</v>
      </c>
      <c r="AR738" s="5" t="n">
        <v>0.114</v>
      </c>
      <c r="AS738" s="5" t="n">
        <v>0.456</v>
      </c>
      <c r="AT738" s="5" t="n">
        <v>1.105</v>
      </c>
      <c r="AU738" s="5" t="n">
        <v>0</v>
      </c>
      <c r="AV738" s="5" t="n">
        <v>1</v>
      </c>
      <c r="AW738" s="5" t="n">
        <v>0.577</v>
      </c>
      <c r="AX738" s="5" t="n">
        <v>0.114</v>
      </c>
      <c r="AY738" s="5" t="n">
        <v>0.439</v>
      </c>
      <c r="AZ738" s="5" t="n">
        <v>1.016</v>
      </c>
      <c r="BA738" s="5" t="n">
        <v>0</v>
      </c>
      <c r="BB738" s="5" t="n">
        <v>1</v>
      </c>
      <c r="BC738" s="5" t="n">
        <v>0.458</v>
      </c>
      <c r="BD738" s="5" t="n">
        <v>0.114</v>
      </c>
      <c r="BE738" s="5" t="n">
        <v>0.282</v>
      </c>
      <c r="BF738" s="5" t="n">
        <v>0.74</v>
      </c>
      <c r="BG738" s="5" t="n">
        <v>0</v>
      </c>
      <c r="BH738" s="5" t="n">
        <v>1</v>
      </c>
      <c r="BI738" s="5" t="n">
        <v>0.491</v>
      </c>
      <c r="BJ738" s="5" t="n">
        <v>0.114</v>
      </c>
      <c r="BK738" s="5" t="n">
        <v>0.187</v>
      </c>
      <c r="BL738" s="5" t="n">
        <v>0.678</v>
      </c>
      <c r="BM738" s="5" t="n">
        <v>0</v>
      </c>
      <c r="BN738" s="5" t="n">
        <v>1</v>
      </c>
      <c r="BO738" s="5" t="n">
        <v>0</v>
      </c>
      <c r="BP738" s="5" t="n">
        <v>0</v>
      </c>
      <c r="BQ738" s="5" t="n">
        <v>0.322</v>
      </c>
      <c r="BR738" s="5" t="n">
        <v>0</v>
      </c>
      <c r="BS738" s="5" t="n">
        <v>1</v>
      </c>
      <c r="BT738" s="5" t="n">
        <v>0</v>
      </c>
      <c r="BU738" s="5" t="n">
        <v>0</v>
      </c>
      <c r="BV738" s="5" t="n">
        <v>0.264</v>
      </c>
      <c r="BW738" s="5" t="n">
        <v>0</v>
      </c>
      <c r="BX738" s="5" t="n">
        <v>1</v>
      </c>
      <c r="BY738" s="5" t="n">
        <v>11.787</v>
      </c>
      <c r="BZ738" s="5" t="n">
        <v>0</v>
      </c>
      <c r="CA738" s="5" t="n">
        <v>11.787</v>
      </c>
      <c r="CB738" s="5" t="n">
        <v>0</v>
      </c>
      <c r="CC738" s="5" t="n">
        <v>78.125</v>
      </c>
      <c r="CD738" s="5" t="n">
        <v>7.95</v>
      </c>
      <c r="CE738" s="5" t="n">
        <v>0</v>
      </c>
      <c r="CF738" s="5" t="n">
        <v>87.89100000000001</v>
      </c>
      <c r="CG738" s="5" t="n">
        <v>0.125</v>
      </c>
      <c r="CH738" s="5" t="n">
        <v>1</v>
      </c>
      <c r="CI738" s="5" t="n">
        <v>0</v>
      </c>
      <c r="CJ738" s="5" t="n">
        <v>0</v>
      </c>
      <c r="CK738" s="5" t="n">
        <v>0</v>
      </c>
      <c r="CL738" s="5" t="n">
        <v>0</v>
      </c>
      <c r="CM738" s="5" t="n">
        <v>0</v>
      </c>
      <c r="CN738" s="5" t="n">
        <v>0</v>
      </c>
      <c r="CO738" s="5" t="n">
        <v>0</v>
      </c>
      <c r="CP738" s="5" t="n">
        <v>0</v>
      </c>
      <c r="CQ738" s="5" t="n">
        <v>1.198</v>
      </c>
      <c r="CR738" s="5" t="n">
        <v>0</v>
      </c>
      <c r="CS738" s="5" t="n">
        <v>4.776</v>
      </c>
      <c r="CT738" s="5" t="n">
        <v>4.753</v>
      </c>
      <c r="CU738" s="5" t="n">
        <v>15.983</v>
      </c>
    </row>
    <row r="739">
      <c r="A739" s="5" t="inlineStr">
        <is>
          <t>LCA2022</t>
        </is>
      </c>
      <c r="B739" s="5" t="inlineStr">
        <is>
          <t>LCA</t>
        </is>
      </c>
      <c r="C739" s="5" t="inlineStr">
        <is>
          <t>LCA</t>
        </is>
      </c>
      <c r="D739" s="5" t="inlineStr">
        <is>
          <t>St. Lucia</t>
        </is>
      </c>
      <c r="E739" s="5" t="n">
        <v>2022</v>
      </c>
      <c r="F739" s="5" t="n">
        <v>0.125</v>
      </c>
      <c r="G739" s="5" t="n">
        <v>11.72</v>
      </c>
      <c r="H739" s="5" t="n">
        <v>1.235</v>
      </c>
      <c r="I739" s="5" t="n">
        <v>0</v>
      </c>
      <c r="J739" s="5" t="n">
        <v>11.72</v>
      </c>
      <c r="K739" s="5" t="n">
        <v>0</v>
      </c>
      <c r="L739" s="5" t="n">
        <v>1</v>
      </c>
      <c r="M739" s="5" t="n">
        <v>9.782999999999999</v>
      </c>
      <c r="N739" s="5" t="n">
        <v>3.704</v>
      </c>
      <c r="O739" s="5" t="n">
        <v>0</v>
      </c>
      <c r="P739" s="5" t="n">
        <v>9.782999999999999</v>
      </c>
      <c r="Q739" s="5" t="n">
        <v>0</v>
      </c>
      <c r="R739" s="5" t="n">
        <v>1</v>
      </c>
      <c r="S739" s="5" t="n">
        <v>17.893</v>
      </c>
      <c r="T739" s="5" t="n">
        <v>7.408</v>
      </c>
      <c r="U739" s="5" t="n">
        <v>0.166</v>
      </c>
      <c r="V739" s="5" t="n">
        <v>20.13</v>
      </c>
      <c r="W739" s="5" t="n">
        <v>0.125</v>
      </c>
      <c r="X739" s="5" t="n">
        <v>1</v>
      </c>
      <c r="Y739" s="5" t="n">
        <v>30.728</v>
      </c>
      <c r="Z739" s="5" t="n">
        <v>4.133</v>
      </c>
      <c r="AA739" s="5" t="n">
        <v>0</v>
      </c>
      <c r="AB739" s="5" t="n">
        <v>30.728</v>
      </c>
      <c r="AC739" s="5" t="n">
        <v>0</v>
      </c>
      <c r="AD739" s="5" t="n">
        <v>1</v>
      </c>
      <c r="AE739" s="5" t="n">
        <v>31.963</v>
      </c>
      <c r="AF739" s="5" t="n">
        <v>7.485</v>
      </c>
      <c r="AG739" s="5" t="n">
        <v>0</v>
      </c>
      <c r="AH739" s="5" t="n">
        <v>31.963</v>
      </c>
      <c r="AI739" s="5" t="n">
        <v>0</v>
      </c>
      <c r="AJ739" s="5" t="n">
        <v>1</v>
      </c>
      <c r="AK739" s="5" t="n">
        <v>39.371</v>
      </c>
      <c r="AL739" s="5" t="n">
        <v>21.155</v>
      </c>
      <c r="AM739" s="5" t="n">
        <v>0.364</v>
      </c>
      <c r="AN739" s="5" t="n">
        <v>44.293</v>
      </c>
      <c r="AO739" s="5" t="n">
        <v>0.125</v>
      </c>
      <c r="AP739" s="5" t="n">
        <v>1</v>
      </c>
      <c r="AQ739" s="5" t="n">
        <v>0.896</v>
      </c>
      <c r="AR739" s="5" t="n">
        <v>0.123</v>
      </c>
      <c r="AS739" s="5" t="n">
        <v>0.445</v>
      </c>
      <c r="AT739" s="5" t="n">
        <v>1.341</v>
      </c>
      <c r="AU739" s="5" t="n">
        <v>0</v>
      </c>
      <c r="AV739" s="5" t="n">
        <v>1</v>
      </c>
      <c r="AW739" s="5" t="n">
        <v>0.89</v>
      </c>
      <c r="AX739" s="5" t="n">
        <v>0.123</v>
      </c>
      <c r="AY739" s="5" t="n">
        <v>0.413</v>
      </c>
      <c r="AZ739" s="5" t="n">
        <v>1.303</v>
      </c>
      <c r="BA739" s="5" t="n">
        <v>0</v>
      </c>
      <c r="BB739" s="5" t="n">
        <v>1</v>
      </c>
      <c r="BC739" s="5" t="n">
        <v>0.62</v>
      </c>
      <c r="BD739" s="5" t="n">
        <v>0.123</v>
      </c>
      <c r="BE739" s="5" t="n">
        <v>0.295</v>
      </c>
      <c r="BF739" s="5" t="n">
        <v>0.915</v>
      </c>
      <c r="BG739" s="5" t="n">
        <v>0</v>
      </c>
      <c r="BH739" s="5" t="n">
        <v>1</v>
      </c>
      <c r="BI739" s="5" t="n">
        <v>0.608</v>
      </c>
      <c r="BJ739" s="5" t="n">
        <v>0.123</v>
      </c>
      <c r="BK739" s="5" t="n">
        <v>0.574</v>
      </c>
      <c r="BL739" s="5" t="n">
        <v>1.181</v>
      </c>
      <c r="BM739" s="5" t="n">
        <v>0</v>
      </c>
      <c r="BN739" s="5" t="n">
        <v>1</v>
      </c>
      <c r="BO739" s="5" t="n">
        <v>0</v>
      </c>
      <c r="BP739" s="5" t="n">
        <v>0</v>
      </c>
      <c r="BQ739" s="5" t="n">
        <v>0.348</v>
      </c>
      <c r="BR739" s="5" t="n">
        <v>0</v>
      </c>
      <c r="BS739" s="5" t="n">
        <v>1</v>
      </c>
      <c r="BT739" s="5" t="n">
        <v>0</v>
      </c>
      <c r="BU739" s="5" t="n">
        <v>0</v>
      </c>
      <c r="BV739" s="5" t="n">
        <v>0.285</v>
      </c>
      <c r="BW739" s="5" t="n">
        <v>0</v>
      </c>
      <c r="BX739" s="5" t="n">
        <v>1</v>
      </c>
      <c r="BY739" s="5" t="n">
        <v>12.729</v>
      </c>
      <c r="BZ739" s="5" t="n">
        <v>0</v>
      </c>
      <c r="CA739" s="5" t="n">
        <v>12.729</v>
      </c>
      <c r="CB739" s="5" t="n">
        <v>0</v>
      </c>
      <c r="CC739" s="5" t="n">
        <v>97.90000000000001</v>
      </c>
      <c r="CD739" s="5" t="n">
        <v>7.95</v>
      </c>
      <c r="CE739" s="5" t="n">
        <v>0.906</v>
      </c>
      <c r="CF739" s="5" t="n">
        <v>110.138</v>
      </c>
      <c r="CG739" s="5" t="n">
        <v>0.125</v>
      </c>
      <c r="CH739" s="5" t="n">
        <v>1</v>
      </c>
      <c r="CI739" s="5" t="n">
        <v>0</v>
      </c>
      <c r="CJ739" s="5" t="n">
        <v>0</v>
      </c>
      <c r="CK739" s="5" t="n">
        <v>0</v>
      </c>
      <c r="CL739" s="5" t="n">
        <v>0</v>
      </c>
      <c r="CM739" s="5" t="n">
        <v>0</v>
      </c>
      <c r="CN739" s="5" t="n">
        <v>0</v>
      </c>
      <c r="CO739" s="5" t="n">
        <v>0</v>
      </c>
      <c r="CP739" s="5" t="n">
        <v>0</v>
      </c>
      <c r="CQ739" s="5" t="n">
        <v>1.294</v>
      </c>
      <c r="CR739" s="5" t="n">
        <v>0</v>
      </c>
      <c r="CS739" s="5" t="n">
        <v>5.158</v>
      </c>
      <c r="CT739" s="5" t="n">
        <v>10.485</v>
      </c>
      <c r="CU739" s="5" t="n">
        <v>29.494</v>
      </c>
    </row>
    <row r="740">
      <c r="A740" s="5" t="inlineStr">
        <is>
          <t>LCA2023</t>
        </is>
      </c>
      <c r="B740" s="5" t="inlineStr">
        <is>
          <t>LCA</t>
        </is>
      </c>
      <c r="C740" s="5" t="inlineStr">
        <is>
          <t>LCA</t>
        </is>
      </c>
      <c r="D740" s="5" t="inlineStr">
        <is>
          <t>St. Lucia</t>
        </is>
      </c>
      <c r="E740" s="5" t="n">
        <v>2023</v>
      </c>
      <c r="F740" s="5" t="n">
        <v>0.125</v>
      </c>
      <c r="G740" s="5" t="n">
        <v>6.147</v>
      </c>
      <c r="H740" s="5" t="n">
        <v>1.286</v>
      </c>
      <c r="I740" s="5" t="n">
        <v>0</v>
      </c>
      <c r="J740" s="5" t="n">
        <v>6.147</v>
      </c>
      <c r="K740" s="5" t="n">
        <v>0</v>
      </c>
      <c r="L740" s="5" t="n">
        <v>1</v>
      </c>
      <c r="M740" s="5" t="n">
        <v>7.886</v>
      </c>
      <c r="N740" s="5" t="n">
        <v>3.857</v>
      </c>
      <c r="O740" s="5" t="n">
        <v>0</v>
      </c>
      <c r="P740" s="5" t="n">
        <v>7.886</v>
      </c>
      <c r="Q740" s="5" t="n">
        <v>0</v>
      </c>
      <c r="R740" s="5" t="n">
        <v>1</v>
      </c>
      <c r="S740" s="5" t="n">
        <v>12.575</v>
      </c>
      <c r="T740" s="5" t="n">
        <v>7.714</v>
      </c>
      <c r="U740" s="5" t="n">
        <v>0.174</v>
      </c>
      <c r="V740" s="5" t="n">
        <v>14.147</v>
      </c>
      <c r="W740" s="5" t="n">
        <v>0.125</v>
      </c>
      <c r="X740" s="5" t="n">
        <v>1</v>
      </c>
      <c r="Y740" s="5" t="n">
        <v>12.478</v>
      </c>
      <c r="Z740" s="5" t="n">
        <v>1.678</v>
      </c>
      <c r="AA740" s="5" t="n">
        <v>0</v>
      </c>
      <c r="AB740" s="5" t="n">
        <v>12.478</v>
      </c>
      <c r="AC740" s="5" t="n">
        <v>0</v>
      </c>
      <c r="AD740" s="5" t="n">
        <v>1</v>
      </c>
      <c r="AE740" s="5" t="n">
        <v>13.763</v>
      </c>
      <c r="AF740" s="5" t="n">
        <v>3.223</v>
      </c>
      <c r="AG740" s="5" t="n">
        <v>0</v>
      </c>
      <c r="AH740" s="5" t="n">
        <v>13.763</v>
      </c>
      <c r="AI740" s="5" t="n">
        <v>0</v>
      </c>
      <c r="AJ740" s="5" t="n">
        <v>1</v>
      </c>
      <c r="AK740" s="5" t="n">
        <v>21.477</v>
      </c>
      <c r="AL740" s="5" t="n">
        <v>11.54</v>
      </c>
      <c r="AM740" s="5" t="n">
        <v>0.297</v>
      </c>
      <c r="AN740" s="5" t="n">
        <v>24.162</v>
      </c>
      <c r="AO740" s="5" t="n">
        <v>0.125</v>
      </c>
      <c r="AP740" s="5" t="n">
        <v>1</v>
      </c>
      <c r="AQ740" s="5" t="n">
        <v>0.791</v>
      </c>
      <c r="AR740" s="5" t="n">
        <v>0.129</v>
      </c>
      <c r="AS740" s="5" t="n">
        <v>0.5629999999999999</v>
      </c>
      <c r="AT740" s="5" t="n">
        <v>1.354</v>
      </c>
      <c r="AU740" s="5" t="n">
        <v>0</v>
      </c>
      <c r="AV740" s="5" t="n">
        <v>1</v>
      </c>
      <c r="AW740" s="5" t="n">
        <v>0.618</v>
      </c>
      <c r="AX740" s="5" t="n">
        <v>0.129</v>
      </c>
      <c r="AY740" s="5" t="n">
        <v>0.678</v>
      </c>
      <c r="AZ740" s="5" t="n">
        <v>1.296</v>
      </c>
      <c r="BA740" s="5" t="n">
        <v>0</v>
      </c>
      <c r="BB740" s="5" t="n">
        <v>1</v>
      </c>
      <c r="BC740" s="5" t="n">
        <v>0.554</v>
      </c>
      <c r="BD740" s="5" t="n">
        <v>0.129</v>
      </c>
      <c r="BE740" s="5" t="n">
        <v>0.314</v>
      </c>
      <c r="BF740" s="5" t="n">
        <v>0.868</v>
      </c>
      <c r="BG740" s="5" t="n">
        <v>0</v>
      </c>
      <c r="BH740" s="5" t="n">
        <v>1</v>
      </c>
      <c r="BI740" s="5" t="n">
        <v>0.5570000000000001</v>
      </c>
      <c r="BJ740" s="5" t="n">
        <v>0.129</v>
      </c>
      <c r="BK740" s="5" t="n">
        <v>0.442</v>
      </c>
      <c r="BL740" s="5" t="n">
        <v>0.999</v>
      </c>
      <c r="BM740" s="5" t="n">
        <v>0</v>
      </c>
      <c r="BN740" s="5" t="n">
        <v>1</v>
      </c>
      <c r="BO740" s="5" t="n">
        <v>0</v>
      </c>
      <c r="BP740" s="5" t="n">
        <v>0</v>
      </c>
      <c r="BQ740" s="5" t="n">
        <v>0.362</v>
      </c>
      <c r="BR740" s="5" t="n">
        <v>0</v>
      </c>
      <c r="BS740" s="5" t="n">
        <v>1</v>
      </c>
      <c r="BT740" s="5" t="n">
        <v>0</v>
      </c>
      <c r="BU740" s="5" t="n">
        <v>0</v>
      </c>
      <c r="BV740" s="5" t="n">
        <v>0.296</v>
      </c>
      <c r="BW740" s="5" t="n">
        <v>0</v>
      </c>
      <c r="BX740" s="5" t="n">
        <v>1</v>
      </c>
      <c r="BY740" s="5" t="n">
        <v>13.254</v>
      </c>
      <c r="BZ740" s="5" t="n">
        <v>0</v>
      </c>
      <c r="CA740" s="5" t="n">
        <v>13.254</v>
      </c>
      <c r="CB740" s="5" t="n">
        <v>0</v>
      </c>
      <c r="CC740" s="5" t="n">
        <v>83.248</v>
      </c>
      <c r="CD740" s="5" t="n">
        <v>7.95</v>
      </c>
      <c r="CE740" s="5" t="n">
        <v>1.152</v>
      </c>
      <c r="CF740" s="5" t="n">
        <v>93.654</v>
      </c>
      <c r="CG740" s="5" t="n">
        <v>0.125</v>
      </c>
      <c r="CH740" s="5" t="n">
        <v>1</v>
      </c>
      <c r="CI740" s="5" t="n">
        <v>0</v>
      </c>
      <c r="CJ740" s="5" t="n">
        <v>0</v>
      </c>
      <c r="CK740" s="5" t="n">
        <v>0</v>
      </c>
      <c r="CL740" s="5" t="n">
        <v>0</v>
      </c>
      <c r="CM740" s="5" t="n">
        <v>0</v>
      </c>
      <c r="CN740" s="5" t="n">
        <v>0</v>
      </c>
      <c r="CO740" s="5" t="n">
        <v>0</v>
      </c>
      <c r="CP740" s="5" t="n">
        <v>0</v>
      </c>
      <c r="CQ740" s="5" t="n">
        <v>1.348</v>
      </c>
      <c r="CR740" s="5" t="n">
        <v>0</v>
      </c>
      <c r="CS740" s="5" t="n">
        <v>5.37</v>
      </c>
      <c r="CT740" s="5" t="n">
        <v>4.861</v>
      </c>
      <c r="CU740" s="5" t="n">
        <v>11.192</v>
      </c>
    </row>
    <row r="741">
      <c r="A741" s="5" t="inlineStr">
        <is>
          <t>LCA2024</t>
        </is>
      </c>
      <c r="B741" s="5" t="inlineStr">
        <is>
          <t>LCA</t>
        </is>
      </c>
      <c r="C741" s="5" t="inlineStr">
        <is>
          <t>LCA</t>
        </is>
      </c>
      <c r="D741" s="5" t="inlineStr">
        <is>
          <t>St. Lucia</t>
        </is>
      </c>
      <c r="E741" s="5" t="n">
        <v>2024</v>
      </c>
      <c r="F741" s="5" t="n">
        <v>0.125</v>
      </c>
      <c r="G741" s="5" t="n">
        <v>5.575</v>
      </c>
      <c r="H741" s="5" t="n">
        <v>1.324</v>
      </c>
      <c r="I741" s="5" t="n">
        <v>0</v>
      </c>
      <c r="J741" s="5" t="n">
        <v>5.575</v>
      </c>
      <c r="K741" s="5" t="n">
        <v>0</v>
      </c>
      <c r="L741" s="5" t="n">
        <v>1</v>
      </c>
      <c r="M741" s="5" t="n">
        <v>7.124</v>
      </c>
      <c r="N741" s="5" t="n">
        <v>3.971</v>
      </c>
      <c r="O741" s="5" t="n">
        <v>0</v>
      </c>
      <c r="P741" s="5" t="n">
        <v>7.124</v>
      </c>
      <c r="Q741" s="5" t="n">
        <v>0</v>
      </c>
      <c r="R741" s="5" t="n">
        <v>1</v>
      </c>
      <c r="S741" s="5" t="n">
        <v>12.193</v>
      </c>
      <c r="T741" s="5" t="n">
        <v>7.942</v>
      </c>
      <c r="U741" s="5" t="n">
        <v>0.208</v>
      </c>
      <c r="V741" s="5" t="n">
        <v>13.717</v>
      </c>
      <c r="W741" s="5" t="n">
        <v>0.125</v>
      </c>
      <c r="X741" s="5" t="n">
        <v>1</v>
      </c>
      <c r="Y741" s="5" t="n">
        <v>11.447</v>
      </c>
      <c r="Z741" s="5" t="n">
        <v>1.54</v>
      </c>
      <c r="AA741" s="5" t="n">
        <v>0</v>
      </c>
      <c r="AB741" s="5" t="n">
        <v>11.447</v>
      </c>
      <c r="AC741" s="5" t="n">
        <v>0</v>
      </c>
      <c r="AD741" s="5" t="n">
        <v>1</v>
      </c>
      <c r="AE741" s="5" t="n">
        <v>12.771</v>
      </c>
      <c r="AF741" s="5" t="n">
        <v>2.991</v>
      </c>
      <c r="AG741" s="5" t="n">
        <v>0</v>
      </c>
      <c r="AH741" s="5" t="n">
        <v>12.771</v>
      </c>
      <c r="AI741" s="5" t="n">
        <v>0</v>
      </c>
      <c r="AJ741" s="5" t="n">
        <v>1</v>
      </c>
      <c r="AK741" s="5" t="n">
        <v>20.712</v>
      </c>
      <c r="AL741" s="5" t="n">
        <v>11.129</v>
      </c>
      <c r="AM741" s="5" t="n">
        <v>0.353</v>
      </c>
      <c r="AN741" s="5" t="n">
        <v>23.301</v>
      </c>
      <c r="AO741" s="5" t="n">
        <v>0.125</v>
      </c>
      <c r="AP741" s="5" t="n">
        <v>1</v>
      </c>
      <c r="AQ741" s="5" t="n">
        <v>0.756</v>
      </c>
      <c r="AR741" s="5" t="n">
        <v>0.132</v>
      </c>
      <c r="AS741" s="5" t="n">
        <v>0.586</v>
      </c>
      <c r="AT741" s="5" t="n">
        <v>1.342</v>
      </c>
      <c r="AU741" s="5" t="n">
        <v>0</v>
      </c>
      <c r="AV741" s="5" t="n">
        <v>1</v>
      </c>
      <c r="AW741" s="5" t="n">
        <v>0.655</v>
      </c>
      <c r="AX741" s="5" t="n">
        <v>0.132</v>
      </c>
      <c r="AY741" s="5" t="n">
        <v>0.643</v>
      </c>
      <c r="AZ741" s="5" t="n">
        <v>1.299</v>
      </c>
      <c r="BA741" s="5" t="n">
        <v>0</v>
      </c>
      <c r="BB741" s="5" t="n">
        <v>1</v>
      </c>
      <c r="BC741" s="5" t="n">
        <v>0.534</v>
      </c>
      <c r="BD741" s="5" t="n">
        <v>0.132</v>
      </c>
      <c r="BE741" s="5" t="n">
        <v>0.326</v>
      </c>
      <c r="BF741" s="5" t="n">
        <v>0.859</v>
      </c>
      <c r="BG741" s="5" t="n">
        <v>0</v>
      </c>
      <c r="BH741" s="5" t="n">
        <v>1</v>
      </c>
      <c r="BI741" s="5" t="n">
        <v>0.5679999999999999</v>
      </c>
      <c r="BJ741" s="5" t="n">
        <v>0.132</v>
      </c>
      <c r="BK741" s="5" t="n">
        <v>0.371</v>
      </c>
      <c r="BL741" s="5" t="n">
        <v>0.9389999999999999</v>
      </c>
      <c r="BM741" s="5" t="n">
        <v>0</v>
      </c>
      <c r="BN741" s="5" t="n">
        <v>1</v>
      </c>
      <c r="BO741" s="5" t="n">
        <v>0</v>
      </c>
      <c r="BP741" s="5" t="n">
        <v>0</v>
      </c>
      <c r="BQ741" s="5" t="n">
        <v>0.373</v>
      </c>
      <c r="BR741" s="5" t="n">
        <v>0</v>
      </c>
      <c r="BS741" s="5" t="n">
        <v>1</v>
      </c>
      <c r="BT741" s="5" t="n">
        <v>0</v>
      </c>
      <c r="BU741" s="5" t="n">
        <v>0</v>
      </c>
      <c r="BV741" s="5" t="n">
        <v>0.305</v>
      </c>
      <c r="BW741" s="5" t="n">
        <v>0</v>
      </c>
      <c r="BX741" s="5" t="n">
        <v>1</v>
      </c>
      <c r="BY741" s="5" t="n">
        <v>13.646</v>
      </c>
      <c r="BZ741" s="5" t="n">
        <v>0</v>
      </c>
      <c r="CA741" s="5" t="n">
        <v>13.646</v>
      </c>
      <c r="CB741" s="5" t="n">
        <v>0</v>
      </c>
      <c r="CC741" s="5" t="n">
        <v>82.58799999999999</v>
      </c>
      <c r="CD741" s="5" t="n">
        <v>7.95</v>
      </c>
      <c r="CE741" s="5" t="n">
        <v>1.406</v>
      </c>
      <c r="CF741" s="5" t="n">
        <v>92.91200000000001</v>
      </c>
      <c r="CG741" s="5" t="n">
        <v>0.125</v>
      </c>
      <c r="CH741" s="5" t="n">
        <v>1</v>
      </c>
      <c r="CI741" s="5" t="n">
        <v>0</v>
      </c>
      <c r="CJ741" s="5" t="n">
        <v>0</v>
      </c>
      <c r="CK741" s="5" t="n">
        <v>0</v>
      </c>
      <c r="CL741" s="5" t="n">
        <v>0</v>
      </c>
      <c r="CM741" s="5" t="n">
        <v>0</v>
      </c>
      <c r="CN741" s="5" t="n">
        <v>0</v>
      </c>
      <c r="CO741" s="5" t="n">
        <v>0</v>
      </c>
      <c r="CP741" s="5" t="n">
        <v>0</v>
      </c>
      <c r="CQ741" s="5" t="n">
        <v>1.387</v>
      </c>
      <c r="CR741" s="5" t="n">
        <v>0</v>
      </c>
      <c r="CS741" s="5" t="n">
        <v>5.529</v>
      </c>
      <c r="CT741" s="5" t="n">
        <v>4.251</v>
      </c>
      <c r="CU741" s="5" t="n">
        <v>10.123</v>
      </c>
    </row>
    <row r="742">
      <c r="A742" s="5" t="inlineStr">
        <is>
          <t>MAF2021</t>
        </is>
      </c>
      <c r="B742" s="5" t="inlineStr">
        <is>
          <t>MAF</t>
        </is>
      </c>
      <c r="C742" s="5" t="inlineStr">
        <is>
          <t>MAF</t>
        </is>
      </c>
      <c r="D742" s="5" t="inlineStr">
        <is>
          <t>St. Martin (French part)</t>
        </is>
      </c>
      <c r="E742" s="5" t="n">
        <v>2021</v>
      </c>
      <c r="F742" s="5" t="n">
        <v>0.05</v>
      </c>
      <c r="G742" s="5" t="n">
        <v>5.897</v>
      </c>
      <c r="H742" s="5" t="n">
        <v>1.143</v>
      </c>
      <c r="I742" s="5" t="n">
        <v>0</v>
      </c>
      <c r="J742" s="5" t="n">
        <v>5.897</v>
      </c>
      <c r="K742" s="5" t="n">
        <v>0</v>
      </c>
      <c r="L742" s="5" t="n">
        <v>1</v>
      </c>
      <c r="M742" s="5" t="n">
        <v>7.964</v>
      </c>
      <c r="N742" s="5" t="n">
        <v>3.43</v>
      </c>
      <c r="O742" s="5" t="n">
        <v>0</v>
      </c>
      <c r="P742" s="5" t="n">
        <v>7.964</v>
      </c>
      <c r="Q742" s="5" t="n">
        <v>0</v>
      </c>
      <c r="R742" s="5" t="n">
        <v>1</v>
      </c>
      <c r="S742" s="5" t="n">
        <v>11.613</v>
      </c>
      <c r="T742" s="5" t="n">
        <v>6.86</v>
      </c>
      <c r="U742" s="5" t="n">
        <v>0</v>
      </c>
      <c r="V742" s="5" t="n">
        <v>12.194</v>
      </c>
      <c r="W742" s="5" t="n">
        <v>0.05</v>
      </c>
      <c r="X742" s="5" t="n">
        <v>1</v>
      </c>
      <c r="Y742" s="5" t="n">
        <v>17.127</v>
      </c>
      <c r="Z742" s="5" t="n">
        <v>2.304</v>
      </c>
      <c r="AA742" s="5" t="n">
        <v>0</v>
      </c>
      <c r="AB742" s="5" t="n">
        <v>17.127</v>
      </c>
      <c r="AC742" s="5" t="n">
        <v>0</v>
      </c>
      <c r="AD742" s="5" t="n">
        <v>1</v>
      </c>
      <c r="AE742" s="5" t="n">
        <v>18.27</v>
      </c>
      <c r="AF742" s="5" t="n">
        <v>4.278</v>
      </c>
      <c r="AG742" s="5" t="n">
        <v>0</v>
      </c>
      <c r="AH742" s="5" t="n">
        <v>18.27</v>
      </c>
      <c r="AI742" s="5" t="n">
        <v>0</v>
      </c>
      <c r="AJ742" s="5" t="n">
        <v>1</v>
      </c>
      <c r="AK742" s="5" t="n">
        <v>25.13</v>
      </c>
      <c r="AL742" s="5" t="n">
        <v>13.503</v>
      </c>
      <c r="AM742" s="5" t="n">
        <v>0</v>
      </c>
      <c r="AN742" s="5" t="n">
        <v>26.386</v>
      </c>
      <c r="AO742" s="5" t="n">
        <v>0.05</v>
      </c>
      <c r="AP742" s="5" t="n">
        <v>1</v>
      </c>
      <c r="AQ742" s="5" t="n">
        <v>0.649</v>
      </c>
      <c r="AR742" s="5" t="n">
        <v>0.114</v>
      </c>
      <c r="AS742" s="5" t="n">
        <v>0</v>
      </c>
      <c r="AT742" s="5" t="n">
        <v>0.681</v>
      </c>
      <c r="AU742" s="5" t="n">
        <v>0.05</v>
      </c>
      <c r="AV742" s="5" t="n">
        <v>1</v>
      </c>
      <c r="AW742" s="5" t="n">
        <v>0.577</v>
      </c>
      <c r="AX742" s="5" t="n">
        <v>0.114</v>
      </c>
      <c r="AY742" s="5" t="n">
        <v>0</v>
      </c>
      <c r="AZ742" s="5" t="n">
        <v>0.605</v>
      </c>
      <c r="BA742" s="5" t="n">
        <v>0.05</v>
      </c>
      <c r="BB742" s="5" t="n">
        <v>1</v>
      </c>
      <c r="BC742" s="5" t="n">
        <v>0.458</v>
      </c>
      <c r="BD742" s="5" t="n">
        <v>0.114</v>
      </c>
      <c r="BE742" s="5" t="n">
        <v>0</v>
      </c>
      <c r="BF742" s="5" t="n">
        <v>0.481</v>
      </c>
      <c r="BG742" s="5" t="n">
        <v>0.05</v>
      </c>
      <c r="BH742" s="5" t="n">
        <v>1</v>
      </c>
      <c r="BI742" s="5" t="n">
        <v>0.491</v>
      </c>
      <c r="BJ742" s="5" t="n">
        <v>0.114</v>
      </c>
      <c r="BK742" s="5" t="n">
        <v>0</v>
      </c>
      <c r="BL742" s="5" t="n">
        <v>0.516</v>
      </c>
      <c r="BM742" s="5" t="n">
        <v>0.05</v>
      </c>
      <c r="BN742" s="5" t="n">
        <v>1</v>
      </c>
      <c r="BO742" s="5" t="n">
        <v>0</v>
      </c>
      <c r="BP742" s="5" t="n">
        <v>0</v>
      </c>
      <c r="BQ742" s="5" t="n">
        <v>0</v>
      </c>
      <c r="BR742" s="5" t="n">
        <v>0</v>
      </c>
      <c r="BS742" s="5" t="n">
        <v>1</v>
      </c>
      <c r="BT742" s="5" t="n">
        <v>0</v>
      </c>
      <c r="BU742" s="5" t="n">
        <v>0</v>
      </c>
      <c r="BV742" s="5" t="n">
        <v>0</v>
      </c>
      <c r="BW742" s="5" t="n">
        <v>0.05</v>
      </c>
      <c r="BX742" s="5" t="n">
        <v>1</v>
      </c>
      <c r="BY742" s="5" t="n">
        <v>11.787</v>
      </c>
      <c r="BZ742" s="5" t="n">
        <v>0</v>
      </c>
      <c r="CA742" s="5" t="n">
        <v>11.787</v>
      </c>
      <c r="CB742" s="5" t="n">
        <v>0</v>
      </c>
      <c r="CC742" s="5" t="n">
        <v>78.125</v>
      </c>
      <c r="CD742" s="5" t="n">
        <v>7.95</v>
      </c>
      <c r="CE742" s="5" t="n">
        <v>0</v>
      </c>
      <c r="CF742" s="5" t="n">
        <v>82.03100000000001</v>
      </c>
      <c r="CG742" s="5" t="n">
        <v>0.05</v>
      </c>
      <c r="CH742" s="5" t="n">
        <v>1</v>
      </c>
      <c r="CI742" s="5" t="n">
        <v>0</v>
      </c>
      <c r="CJ742" s="5" t="n">
        <v>0</v>
      </c>
      <c r="CK742" s="5" t="n">
        <v>0</v>
      </c>
      <c r="CL742" s="5" t="n">
        <v>0</v>
      </c>
      <c r="CM742" s="5" t="n">
        <v>0</v>
      </c>
      <c r="CN742" s="5" t="n">
        <v>0</v>
      </c>
      <c r="CO742" s="5" t="n">
        <v>0</v>
      </c>
      <c r="CP742" s="5" t="n">
        <v>0</v>
      </c>
      <c r="CQ742" s="5" t="n">
        <v>1.198</v>
      </c>
      <c r="CR742" s="5" t="n">
        <v>0</v>
      </c>
      <c r="CS742" s="5" t="n">
        <v>4.776</v>
      </c>
      <c r="CT742" s="5" t="n">
        <v>4.753</v>
      </c>
      <c r="CU742" s="5" t="n">
        <v>15.983</v>
      </c>
    </row>
    <row r="743">
      <c r="A743" s="5" t="inlineStr">
        <is>
          <t>MAF2022</t>
        </is>
      </c>
      <c r="B743" s="5" t="inlineStr">
        <is>
          <t>MAF</t>
        </is>
      </c>
      <c r="C743" s="5" t="inlineStr">
        <is>
          <t>MAF</t>
        </is>
      </c>
      <c r="D743" s="5" t="inlineStr">
        <is>
          <t>St. Martin (French part)</t>
        </is>
      </c>
      <c r="E743" s="5" t="n">
        <v>2022</v>
      </c>
      <c r="F743" s="5" t="n">
        <v>0.05</v>
      </c>
      <c r="G743" s="5" t="n">
        <v>11.72</v>
      </c>
      <c r="H743" s="5" t="n">
        <v>1.235</v>
      </c>
      <c r="I743" s="5" t="n">
        <v>0</v>
      </c>
      <c r="J743" s="5" t="n">
        <v>11.72</v>
      </c>
      <c r="K743" s="5" t="n">
        <v>0</v>
      </c>
      <c r="L743" s="5" t="n">
        <v>1</v>
      </c>
      <c r="M743" s="5" t="n">
        <v>9.782999999999999</v>
      </c>
      <c r="N743" s="5" t="n">
        <v>3.704</v>
      </c>
      <c r="O743" s="5" t="n">
        <v>0</v>
      </c>
      <c r="P743" s="5" t="n">
        <v>9.782999999999999</v>
      </c>
      <c r="Q743" s="5" t="n">
        <v>0</v>
      </c>
      <c r="R743" s="5" t="n">
        <v>1</v>
      </c>
      <c r="S743" s="5" t="n">
        <v>17.893</v>
      </c>
      <c r="T743" s="5" t="n">
        <v>7.408</v>
      </c>
      <c r="U743" s="5" t="n">
        <v>0.066</v>
      </c>
      <c r="V743" s="5" t="n">
        <v>18.788</v>
      </c>
      <c r="W743" s="5" t="n">
        <v>0.05</v>
      </c>
      <c r="X743" s="5" t="n">
        <v>1</v>
      </c>
      <c r="Y743" s="5" t="n">
        <v>30.728</v>
      </c>
      <c r="Z743" s="5" t="n">
        <v>4.133</v>
      </c>
      <c r="AA743" s="5" t="n">
        <v>0</v>
      </c>
      <c r="AB743" s="5" t="n">
        <v>30.728</v>
      </c>
      <c r="AC743" s="5" t="n">
        <v>0</v>
      </c>
      <c r="AD743" s="5" t="n">
        <v>1</v>
      </c>
      <c r="AE743" s="5" t="n">
        <v>31.963</v>
      </c>
      <c r="AF743" s="5" t="n">
        <v>7.485</v>
      </c>
      <c r="AG743" s="5" t="n">
        <v>0</v>
      </c>
      <c r="AH743" s="5" t="n">
        <v>31.963</v>
      </c>
      <c r="AI743" s="5" t="n">
        <v>0</v>
      </c>
      <c r="AJ743" s="5" t="n">
        <v>1</v>
      </c>
      <c r="AK743" s="5" t="n">
        <v>39.371</v>
      </c>
      <c r="AL743" s="5" t="n">
        <v>21.155</v>
      </c>
      <c r="AM743" s="5" t="n">
        <v>0.146</v>
      </c>
      <c r="AN743" s="5" t="n">
        <v>41.34</v>
      </c>
      <c r="AO743" s="5" t="n">
        <v>0.05</v>
      </c>
      <c r="AP743" s="5" t="n">
        <v>1</v>
      </c>
      <c r="AQ743" s="5" t="n">
        <v>0.896</v>
      </c>
      <c r="AR743" s="5" t="n">
        <v>0.123</v>
      </c>
      <c r="AS743" s="5" t="n">
        <v>0.003</v>
      </c>
      <c r="AT743" s="5" t="n">
        <v>0.9409999999999999</v>
      </c>
      <c r="AU743" s="5" t="n">
        <v>0.05</v>
      </c>
      <c r="AV743" s="5" t="n">
        <v>1</v>
      </c>
      <c r="AW743" s="5" t="n">
        <v>0.89</v>
      </c>
      <c r="AX743" s="5" t="n">
        <v>0.123</v>
      </c>
      <c r="AY743" s="5" t="n">
        <v>0.003</v>
      </c>
      <c r="AZ743" s="5" t="n">
        <v>0.9350000000000001</v>
      </c>
      <c r="BA743" s="5" t="n">
        <v>0.05</v>
      </c>
      <c r="BB743" s="5" t="n">
        <v>1</v>
      </c>
      <c r="BC743" s="5" t="n">
        <v>0.62</v>
      </c>
      <c r="BD743" s="5" t="n">
        <v>0.123</v>
      </c>
      <c r="BE743" s="5" t="n">
        <v>0.002</v>
      </c>
      <c r="BF743" s="5" t="n">
        <v>0.651</v>
      </c>
      <c r="BG743" s="5" t="n">
        <v>0.05</v>
      </c>
      <c r="BH743" s="5" t="n">
        <v>1</v>
      </c>
      <c r="BI743" s="5" t="n">
        <v>0.608</v>
      </c>
      <c r="BJ743" s="5" t="n">
        <v>0.123</v>
      </c>
      <c r="BK743" s="5" t="n">
        <v>0.002</v>
      </c>
      <c r="BL743" s="5" t="n">
        <v>0.638</v>
      </c>
      <c r="BM743" s="5" t="n">
        <v>0.05</v>
      </c>
      <c r="BN743" s="5" t="n">
        <v>1</v>
      </c>
      <c r="BO743" s="5" t="n">
        <v>0</v>
      </c>
      <c r="BP743" s="5" t="n">
        <v>0</v>
      </c>
      <c r="BQ743" s="5" t="n">
        <v>0</v>
      </c>
      <c r="BR743" s="5" t="n">
        <v>0</v>
      </c>
      <c r="BS743" s="5" t="n">
        <v>1</v>
      </c>
      <c r="BT743" s="5" t="n">
        <v>0</v>
      </c>
      <c r="BU743" s="5" t="n">
        <v>0</v>
      </c>
      <c r="BV743" s="5" t="n">
        <v>0</v>
      </c>
      <c r="BW743" s="5" t="n">
        <v>0.05</v>
      </c>
      <c r="BX743" s="5" t="n">
        <v>1</v>
      </c>
      <c r="BY743" s="5" t="n">
        <v>12.729</v>
      </c>
      <c r="BZ743" s="5" t="n">
        <v>0</v>
      </c>
      <c r="CA743" s="5" t="n">
        <v>12.729</v>
      </c>
      <c r="CB743" s="5" t="n">
        <v>0</v>
      </c>
      <c r="CC743" s="5" t="n">
        <v>97.90000000000001</v>
      </c>
      <c r="CD743" s="5" t="n">
        <v>7.95</v>
      </c>
      <c r="CE743" s="5" t="n">
        <v>0.362</v>
      </c>
      <c r="CF743" s="5" t="n">
        <v>102.795</v>
      </c>
      <c r="CG743" s="5" t="n">
        <v>0.05</v>
      </c>
      <c r="CH743" s="5" t="n">
        <v>1</v>
      </c>
      <c r="CI743" s="5" t="n">
        <v>0</v>
      </c>
      <c r="CJ743" s="5" t="n">
        <v>0</v>
      </c>
      <c r="CK743" s="5" t="n">
        <v>0</v>
      </c>
      <c r="CL743" s="5" t="n">
        <v>0</v>
      </c>
      <c r="CM743" s="5" t="n">
        <v>0</v>
      </c>
      <c r="CN743" s="5" t="n">
        <v>0</v>
      </c>
      <c r="CO743" s="5" t="n">
        <v>0</v>
      </c>
      <c r="CP743" s="5" t="n">
        <v>0</v>
      </c>
      <c r="CQ743" s="5" t="n">
        <v>1.294</v>
      </c>
      <c r="CR743" s="5" t="n">
        <v>0</v>
      </c>
      <c r="CS743" s="5" t="n">
        <v>5.158</v>
      </c>
      <c r="CT743" s="5" t="n">
        <v>10.485</v>
      </c>
      <c r="CU743" s="5" t="n">
        <v>29.494</v>
      </c>
    </row>
    <row r="744">
      <c r="A744" s="5" t="inlineStr">
        <is>
          <t>MAF2023</t>
        </is>
      </c>
      <c r="B744" s="5" t="inlineStr">
        <is>
          <t>MAF</t>
        </is>
      </c>
      <c r="C744" s="5" t="inlineStr">
        <is>
          <t>MAF</t>
        </is>
      </c>
      <c r="D744" s="5" t="inlineStr">
        <is>
          <t>St. Martin (French part)</t>
        </is>
      </c>
      <c r="E744" s="5" t="n">
        <v>2023</v>
      </c>
      <c r="F744" s="5" t="n">
        <v>0.05</v>
      </c>
      <c r="G744" s="5" t="n">
        <v>6.147</v>
      </c>
      <c r="H744" s="5" t="n">
        <v>1.286</v>
      </c>
      <c r="I744" s="5" t="n">
        <v>0</v>
      </c>
      <c r="J744" s="5" t="n">
        <v>6.147</v>
      </c>
      <c r="K744" s="5" t="n">
        <v>0</v>
      </c>
      <c r="L744" s="5" t="n">
        <v>1</v>
      </c>
      <c r="M744" s="5" t="n">
        <v>7.886</v>
      </c>
      <c r="N744" s="5" t="n">
        <v>3.857</v>
      </c>
      <c r="O744" s="5" t="n">
        <v>0</v>
      </c>
      <c r="P744" s="5" t="n">
        <v>7.886</v>
      </c>
      <c r="Q744" s="5" t="n">
        <v>0</v>
      </c>
      <c r="R744" s="5" t="n">
        <v>1</v>
      </c>
      <c r="S744" s="5" t="n">
        <v>12.575</v>
      </c>
      <c r="T744" s="5" t="n">
        <v>7.714</v>
      </c>
      <c r="U744" s="5" t="n">
        <v>0.07000000000000001</v>
      </c>
      <c r="V744" s="5" t="n">
        <v>13.204</v>
      </c>
      <c r="W744" s="5" t="n">
        <v>0.05</v>
      </c>
      <c r="X744" s="5" t="n">
        <v>1</v>
      </c>
      <c r="Y744" s="5" t="n">
        <v>12.478</v>
      </c>
      <c r="Z744" s="5" t="n">
        <v>1.678</v>
      </c>
      <c r="AA744" s="5" t="n">
        <v>0</v>
      </c>
      <c r="AB744" s="5" t="n">
        <v>12.478</v>
      </c>
      <c r="AC744" s="5" t="n">
        <v>0</v>
      </c>
      <c r="AD744" s="5" t="n">
        <v>1</v>
      </c>
      <c r="AE744" s="5" t="n">
        <v>13.763</v>
      </c>
      <c r="AF744" s="5" t="n">
        <v>3.223</v>
      </c>
      <c r="AG744" s="5" t="n">
        <v>0</v>
      </c>
      <c r="AH744" s="5" t="n">
        <v>13.763</v>
      </c>
      <c r="AI744" s="5" t="n">
        <v>0</v>
      </c>
      <c r="AJ744" s="5" t="n">
        <v>1</v>
      </c>
      <c r="AK744" s="5" t="n">
        <v>21.477</v>
      </c>
      <c r="AL744" s="5" t="n">
        <v>11.54</v>
      </c>
      <c r="AM744" s="5" t="n">
        <v>0.119</v>
      </c>
      <c r="AN744" s="5" t="n">
        <v>22.551</v>
      </c>
      <c r="AO744" s="5" t="n">
        <v>0.05</v>
      </c>
      <c r="AP744" s="5" t="n">
        <v>1</v>
      </c>
      <c r="AQ744" s="5" t="n">
        <v>0.791</v>
      </c>
      <c r="AR744" s="5" t="n">
        <v>0.129</v>
      </c>
      <c r="AS744" s="5" t="n">
        <v>0.004</v>
      </c>
      <c r="AT744" s="5" t="n">
        <v>0.83</v>
      </c>
      <c r="AU744" s="5" t="n">
        <v>0.05</v>
      </c>
      <c r="AV744" s="5" t="n">
        <v>1</v>
      </c>
      <c r="AW744" s="5" t="n">
        <v>0.618</v>
      </c>
      <c r="AX744" s="5" t="n">
        <v>0.129</v>
      </c>
      <c r="AY744" s="5" t="n">
        <v>0.003</v>
      </c>
      <c r="AZ744" s="5" t="n">
        <v>0.649</v>
      </c>
      <c r="BA744" s="5" t="n">
        <v>0.05</v>
      </c>
      <c r="BB744" s="5" t="n">
        <v>1</v>
      </c>
      <c r="BC744" s="5" t="n">
        <v>0.554</v>
      </c>
      <c r="BD744" s="5" t="n">
        <v>0.129</v>
      </c>
      <c r="BE744" s="5" t="n">
        <v>0.003</v>
      </c>
      <c r="BF744" s="5" t="n">
        <v>0.582</v>
      </c>
      <c r="BG744" s="5" t="n">
        <v>0.05</v>
      </c>
      <c r="BH744" s="5" t="n">
        <v>1</v>
      </c>
      <c r="BI744" s="5" t="n">
        <v>0.5570000000000001</v>
      </c>
      <c r="BJ744" s="5" t="n">
        <v>0.129</v>
      </c>
      <c r="BK744" s="5" t="n">
        <v>0.003</v>
      </c>
      <c r="BL744" s="5" t="n">
        <v>0.585</v>
      </c>
      <c r="BM744" s="5" t="n">
        <v>0.05</v>
      </c>
      <c r="BN744" s="5" t="n">
        <v>1</v>
      </c>
      <c r="BO744" s="5" t="n">
        <v>0</v>
      </c>
      <c r="BP744" s="5" t="n">
        <v>0</v>
      </c>
      <c r="BQ744" s="5" t="n">
        <v>0</v>
      </c>
      <c r="BR744" s="5" t="n">
        <v>0</v>
      </c>
      <c r="BS744" s="5" t="n">
        <v>1</v>
      </c>
      <c r="BT744" s="5" t="n">
        <v>0</v>
      </c>
      <c r="BU744" s="5" t="n">
        <v>0</v>
      </c>
      <c r="BV744" s="5" t="n">
        <v>0</v>
      </c>
      <c r="BW744" s="5" t="n">
        <v>0.05</v>
      </c>
      <c r="BX744" s="5" t="n">
        <v>1</v>
      </c>
      <c r="BY744" s="5" t="n">
        <v>13.254</v>
      </c>
      <c r="BZ744" s="5" t="n">
        <v>0</v>
      </c>
      <c r="CA744" s="5" t="n">
        <v>13.254</v>
      </c>
      <c r="CB744" s="5" t="n">
        <v>0</v>
      </c>
      <c r="CC744" s="5" t="n">
        <v>83.248</v>
      </c>
      <c r="CD744" s="5" t="n">
        <v>7.95</v>
      </c>
      <c r="CE744" s="5" t="n">
        <v>0.461</v>
      </c>
      <c r="CF744" s="5" t="n">
        <v>87.41</v>
      </c>
      <c r="CG744" s="5" t="n">
        <v>0.05</v>
      </c>
      <c r="CH744" s="5" t="n">
        <v>1</v>
      </c>
      <c r="CI744" s="5" t="n">
        <v>0</v>
      </c>
      <c r="CJ744" s="5" t="n">
        <v>0</v>
      </c>
      <c r="CK744" s="5" t="n">
        <v>0</v>
      </c>
      <c r="CL744" s="5" t="n">
        <v>0</v>
      </c>
      <c r="CM744" s="5" t="n">
        <v>0</v>
      </c>
      <c r="CN744" s="5" t="n">
        <v>0</v>
      </c>
      <c r="CO744" s="5" t="n">
        <v>0</v>
      </c>
      <c r="CP744" s="5" t="n">
        <v>0</v>
      </c>
      <c r="CQ744" s="5" t="n">
        <v>1.348</v>
      </c>
      <c r="CR744" s="5" t="n">
        <v>0</v>
      </c>
      <c r="CS744" s="5" t="n">
        <v>5.37</v>
      </c>
      <c r="CT744" s="5" t="n">
        <v>4.861</v>
      </c>
      <c r="CU744" s="5" t="n">
        <v>11.192</v>
      </c>
    </row>
    <row r="745">
      <c r="A745" s="5" t="inlineStr">
        <is>
          <t>MAF2024</t>
        </is>
      </c>
      <c r="B745" s="5" t="inlineStr">
        <is>
          <t>MAF</t>
        </is>
      </c>
      <c r="C745" s="5" t="inlineStr">
        <is>
          <t>MAF</t>
        </is>
      </c>
      <c r="D745" s="5" t="inlineStr">
        <is>
          <t>St. Martin (French part)</t>
        </is>
      </c>
      <c r="E745" s="5" t="n">
        <v>2024</v>
      </c>
      <c r="F745" s="5" t="n">
        <v>0.05</v>
      </c>
      <c r="G745" s="5" t="n">
        <v>5.575</v>
      </c>
      <c r="H745" s="5" t="n">
        <v>1.324</v>
      </c>
      <c r="I745" s="5" t="n">
        <v>0</v>
      </c>
      <c r="J745" s="5" t="n">
        <v>5.575</v>
      </c>
      <c r="K745" s="5" t="n">
        <v>0</v>
      </c>
      <c r="L745" s="5" t="n">
        <v>1</v>
      </c>
      <c r="M745" s="5" t="n">
        <v>7.124</v>
      </c>
      <c r="N745" s="5" t="n">
        <v>3.971</v>
      </c>
      <c r="O745" s="5" t="n">
        <v>0</v>
      </c>
      <c r="P745" s="5" t="n">
        <v>7.124</v>
      </c>
      <c r="Q745" s="5" t="n">
        <v>0</v>
      </c>
      <c r="R745" s="5" t="n">
        <v>1</v>
      </c>
      <c r="S745" s="5" t="n">
        <v>12.193</v>
      </c>
      <c r="T745" s="5" t="n">
        <v>7.942</v>
      </c>
      <c r="U745" s="5" t="n">
        <v>0.083</v>
      </c>
      <c r="V745" s="5" t="n">
        <v>12.802</v>
      </c>
      <c r="W745" s="5" t="n">
        <v>0.05</v>
      </c>
      <c r="X745" s="5" t="n">
        <v>1</v>
      </c>
      <c r="Y745" s="5" t="n">
        <v>11.447</v>
      </c>
      <c r="Z745" s="5" t="n">
        <v>1.54</v>
      </c>
      <c r="AA745" s="5" t="n">
        <v>0</v>
      </c>
      <c r="AB745" s="5" t="n">
        <v>11.447</v>
      </c>
      <c r="AC745" s="5" t="n">
        <v>0</v>
      </c>
      <c r="AD745" s="5" t="n">
        <v>1</v>
      </c>
      <c r="AE745" s="5" t="n">
        <v>12.771</v>
      </c>
      <c r="AF745" s="5" t="n">
        <v>2.991</v>
      </c>
      <c r="AG745" s="5" t="n">
        <v>0</v>
      </c>
      <c r="AH745" s="5" t="n">
        <v>12.771</v>
      </c>
      <c r="AI745" s="5" t="n">
        <v>0</v>
      </c>
      <c r="AJ745" s="5" t="n">
        <v>1</v>
      </c>
      <c r="AK745" s="5" t="n">
        <v>20.712</v>
      </c>
      <c r="AL745" s="5" t="n">
        <v>11.129</v>
      </c>
      <c r="AM745" s="5" t="n">
        <v>0.141</v>
      </c>
      <c r="AN745" s="5" t="n">
        <v>21.748</v>
      </c>
      <c r="AO745" s="5" t="n">
        <v>0.05</v>
      </c>
      <c r="AP745" s="5" t="n">
        <v>1</v>
      </c>
      <c r="AQ745" s="5" t="n">
        <v>0.756</v>
      </c>
      <c r="AR745" s="5" t="n">
        <v>0.132</v>
      </c>
      <c r="AS745" s="5" t="n">
        <v>0.005</v>
      </c>
      <c r="AT745" s="5" t="n">
        <v>0.794</v>
      </c>
      <c r="AU745" s="5" t="n">
        <v>0.05</v>
      </c>
      <c r="AV745" s="5" t="n">
        <v>1</v>
      </c>
      <c r="AW745" s="5" t="n">
        <v>0.655</v>
      </c>
      <c r="AX745" s="5" t="n">
        <v>0.132</v>
      </c>
      <c r="AY745" s="5" t="n">
        <v>0.004</v>
      </c>
      <c r="AZ745" s="5" t="n">
        <v>0.6879999999999999</v>
      </c>
      <c r="BA745" s="5" t="n">
        <v>0.05</v>
      </c>
      <c r="BB745" s="5" t="n">
        <v>1</v>
      </c>
      <c r="BC745" s="5" t="n">
        <v>0.534</v>
      </c>
      <c r="BD745" s="5" t="n">
        <v>0.132</v>
      </c>
      <c r="BE745" s="5" t="n">
        <v>0.004</v>
      </c>
      <c r="BF745" s="5" t="n">
        <v>0.5600000000000001</v>
      </c>
      <c r="BG745" s="5" t="n">
        <v>0.05</v>
      </c>
      <c r="BH745" s="5" t="n">
        <v>1</v>
      </c>
      <c r="BI745" s="5" t="n">
        <v>0.5679999999999999</v>
      </c>
      <c r="BJ745" s="5" t="n">
        <v>0.132</v>
      </c>
      <c r="BK745" s="5" t="n">
        <v>0.004</v>
      </c>
      <c r="BL745" s="5" t="n">
        <v>0.596</v>
      </c>
      <c r="BM745" s="5" t="n">
        <v>0.05</v>
      </c>
      <c r="BN745" s="5" t="n">
        <v>1</v>
      </c>
      <c r="BO745" s="5" t="n">
        <v>0</v>
      </c>
      <c r="BP745" s="5" t="n">
        <v>0</v>
      </c>
      <c r="BQ745" s="5" t="n">
        <v>0</v>
      </c>
      <c r="BR745" s="5" t="n">
        <v>0</v>
      </c>
      <c r="BS745" s="5" t="n">
        <v>1</v>
      </c>
      <c r="BT745" s="5" t="n">
        <v>0</v>
      </c>
      <c r="BU745" s="5" t="n">
        <v>0</v>
      </c>
      <c r="BV745" s="5" t="n">
        <v>0</v>
      </c>
      <c r="BW745" s="5" t="n">
        <v>0.05</v>
      </c>
      <c r="BX745" s="5" t="n">
        <v>1</v>
      </c>
      <c r="BY745" s="5" t="n">
        <v>13.646</v>
      </c>
      <c r="BZ745" s="5" t="n">
        <v>0</v>
      </c>
      <c r="CA745" s="5" t="n">
        <v>13.646</v>
      </c>
      <c r="CB745" s="5" t="n">
        <v>0</v>
      </c>
      <c r="CC745" s="5" t="n">
        <v>82.58799999999999</v>
      </c>
      <c r="CD745" s="5" t="n">
        <v>7.95</v>
      </c>
      <c r="CE745" s="5" t="n">
        <v>0.5620000000000001</v>
      </c>
      <c r="CF745" s="5" t="n">
        <v>86.717</v>
      </c>
      <c r="CG745" s="5" t="n">
        <v>0.05</v>
      </c>
      <c r="CH745" s="5" t="n">
        <v>1</v>
      </c>
      <c r="CI745" s="5" t="n">
        <v>0</v>
      </c>
      <c r="CJ745" s="5" t="n">
        <v>0</v>
      </c>
      <c r="CK745" s="5" t="n">
        <v>0</v>
      </c>
      <c r="CL745" s="5" t="n">
        <v>0</v>
      </c>
      <c r="CM745" s="5" t="n">
        <v>0</v>
      </c>
      <c r="CN745" s="5" t="n">
        <v>0</v>
      </c>
      <c r="CO745" s="5" t="n">
        <v>0</v>
      </c>
      <c r="CP745" s="5" t="n">
        <v>0</v>
      </c>
      <c r="CQ745" s="5" t="n">
        <v>1.387</v>
      </c>
      <c r="CR745" s="5" t="n">
        <v>0</v>
      </c>
      <c r="CS745" s="5" t="n">
        <v>5.529</v>
      </c>
      <c r="CT745" s="5" t="n">
        <v>4.251</v>
      </c>
      <c r="CU745" s="5" t="n">
        <v>10.123</v>
      </c>
    </row>
    <row r="746">
      <c r="A746" s="5" t="inlineStr">
        <is>
          <t>VCT2021</t>
        </is>
      </c>
      <c r="B746" s="5" t="inlineStr">
        <is>
          <t>VCT</t>
        </is>
      </c>
      <c r="C746" s="5" t="inlineStr">
        <is>
          <t>VCT</t>
        </is>
      </c>
      <c r="D746" s="5" t="inlineStr">
        <is>
          <t>St. Vincent and the Grenadines</t>
        </is>
      </c>
      <c r="E746" s="5" t="n">
        <v>2021</v>
      </c>
      <c r="F746" s="5" t="n">
        <v>0.16</v>
      </c>
      <c r="G746" s="5" t="n">
        <v>5.897</v>
      </c>
      <c r="H746" s="5" t="n">
        <v>1.143</v>
      </c>
      <c r="I746" s="5" t="n">
        <v>0</v>
      </c>
      <c r="J746" s="5" t="n">
        <v>5.897</v>
      </c>
      <c r="K746" s="5" t="n">
        <v>0</v>
      </c>
      <c r="L746" s="5" t="n">
        <v>1</v>
      </c>
      <c r="M746" s="5" t="n">
        <v>7.964</v>
      </c>
      <c r="N746" s="5" t="n">
        <v>3.43</v>
      </c>
      <c r="O746" s="5" t="n">
        <v>0</v>
      </c>
      <c r="P746" s="5" t="n">
        <v>7.964</v>
      </c>
      <c r="Q746" s="5" t="n">
        <v>0</v>
      </c>
      <c r="R746" s="5" t="n">
        <v>1</v>
      </c>
      <c r="S746" s="5" t="n">
        <v>11.613</v>
      </c>
      <c r="T746" s="5" t="n">
        <v>6.86</v>
      </c>
      <c r="U746" s="5" t="n">
        <v>0</v>
      </c>
      <c r="V746" s="5" t="n">
        <v>13.471</v>
      </c>
      <c r="W746" s="5" t="n">
        <v>0.16</v>
      </c>
      <c r="X746" s="5" t="n">
        <v>1</v>
      </c>
      <c r="Y746" s="5" t="n">
        <v>5.849</v>
      </c>
      <c r="Z746" s="5" t="n">
        <v>0.787</v>
      </c>
      <c r="AA746" s="5" t="n">
        <v>0</v>
      </c>
      <c r="AB746" s="5" t="n">
        <v>5.849</v>
      </c>
      <c r="AC746" s="5" t="n">
        <v>0</v>
      </c>
      <c r="AD746" s="5" t="n">
        <v>1</v>
      </c>
      <c r="AE746" s="5" t="n">
        <v>6.992</v>
      </c>
      <c r="AF746" s="5" t="n">
        <v>1.637</v>
      </c>
      <c r="AG746" s="5" t="n">
        <v>0</v>
      </c>
      <c r="AH746" s="5" t="n">
        <v>6.992</v>
      </c>
      <c r="AI746" s="5" t="n">
        <v>0</v>
      </c>
      <c r="AJ746" s="5" t="n">
        <v>1</v>
      </c>
      <c r="AK746" s="5" t="n">
        <v>13.852</v>
      </c>
      <c r="AL746" s="5" t="n">
        <v>7.443</v>
      </c>
      <c r="AM746" s="5" t="n">
        <v>0</v>
      </c>
      <c r="AN746" s="5" t="n">
        <v>16.068</v>
      </c>
      <c r="AO746" s="5" t="n">
        <v>0.16</v>
      </c>
      <c r="AP746" s="5" t="n">
        <v>1</v>
      </c>
      <c r="AQ746" s="5" t="n">
        <v>0.649</v>
      </c>
      <c r="AR746" s="5" t="n">
        <v>0.114</v>
      </c>
      <c r="AS746" s="5" t="n">
        <v>0</v>
      </c>
      <c r="AT746" s="5" t="n">
        <v>0.753</v>
      </c>
      <c r="AU746" s="5" t="n">
        <v>0.16</v>
      </c>
      <c r="AV746" s="5" t="n">
        <v>1</v>
      </c>
      <c r="AW746" s="5" t="n">
        <v>0.577</v>
      </c>
      <c r="AX746" s="5" t="n">
        <v>0.114</v>
      </c>
      <c r="AY746" s="5" t="n">
        <v>0</v>
      </c>
      <c r="AZ746" s="5" t="n">
        <v>0.669</v>
      </c>
      <c r="BA746" s="5" t="n">
        <v>0.16</v>
      </c>
      <c r="BB746" s="5" t="n">
        <v>1</v>
      </c>
      <c r="BC746" s="5" t="n">
        <v>0.458</v>
      </c>
      <c r="BD746" s="5" t="n">
        <v>0.114</v>
      </c>
      <c r="BE746" s="5" t="n">
        <v>0</v>
      </c>
      <c r="BF746" s="5" t="n">
        <v>0.531</v>
      </c>
      <c r="BG746" s="5" t="n">
        <v>0.16</v>
      </c>
      <c r="BH746" s="5" t="n">
        <v>1</v>
      </c>
      <c r="BI746" s="5" t="n">
        <v>0.491</v>
      </c>
      <c r="BJ746" s="5" t="n">
        <v>0.114</v>
      </c>
      <c r="BK746" s="5" t="n">
        <v>0</v>
      </c>
      <c r="BL746" s="5" t="n">
        <v>0.57</v>
      </c>
      <c r="BM746" s="5" t="n">
        <v>0.16</v>
      </c>
      <c r="BN746" s="5" t="n">
        <v>1</v>
      </c>
      <c r="BO746" s="5" t="n">
        <v>0</v>
      </c>
      <c r="BP746" s="5" t="n">
        <v>0</v>
      </c>
      <c r="BQ746" s="5" t="n">
        <v>0</v>
      </c>
      <c r="BR746" s="5" t="n">
        <v>0</v>
      </c>
      <c r="BS746" s="5" t="n">
        <v>1</v>
      </c>
      <c r="BT746" s="5" t="n">
        <v>0</v>
      </c>
      <c r="BU746" s="5" t="n">
        <v>0</v>
      </c>
      <c r="BV746" s="5" t="n">
        <v>0</v>
      </c>
      <c r="BW746" s="5" t="n">
        <v>0.16</v>
      </c>
      <c r="BX746" s="5" t="n">
        <v>1</v>
      </c>
      <c r="BY746" s="5" t="n">
        <v>11.787</v>
      </c>
      <c r="BZ746" s="5" t="n">
        <v>0</v>
      </c>
      <c r="CA746" s="5" t="n">
        <v>11.787</v>
      </c>
      <c r="CB746" s="5" t="n">
        <v>0</v>
      </c>
      <c r="CC746" s="5" t="n">
        <v>78.125</v>
      </c>
      <c r="CD746" s="5" t="n">
        <v>7.95</v>
      </c>
      <c r="CE746" s="5" t="n">
        <v>0</v>
      </c>
      <c r="CF746" s="5" t="n">
        <v>90.625</v>
      </c>
      <c r="CG746" s="5" t="n">
        <v>0.16</v>
      </c>
      <c r="CH746" s="5" t="n">
        <v>1</v>
      </c>
      <c r="CI746" s="5" t="n">
        <v>0</v>
      </c>
      <c r="CJ746" s="5" t="n">
        <v>0</v>
      </c>
      <c r="CK746" s="5" t="n">
        <v>0</v>
      </c>
      <c r="CL746" s="5" t="n">
        <v>0</v>
      </c>
      <c r="CM746" s="5" t="n">
        <v>0</v>
      </c>
      <c r="CN746" s="5" t="n">
        <v>0</v>
      </c>
      <c r="CO746" s="5" t="n">
        <v>0</v>
      </c>
      <c r="CP746" s="5" t="n">
        <v>0</v>
      </c>
      <c r="CQ746" s="5" t="n">
        <v>1.198</v>
      </c>
      <c r="CR746" s="5" t="n">
        <v>0</v>
      </c>
      <c r="CS746" s="5" t="n">
        <v>4.776</v>
      </c>
      <c r="CT746" s="5" t="n">
        <v>4.753</v>
      </c>
      <c r="CU746" s="5" t="n">
        <v>15.983</v>
      </c>
    </row>
    <row r="747">
      <c r="A747" s="5" t="inlineStr">
        <is>
          <t>VCT2022</t>
        </is>
      </c>
      <c r="B747" s="5" t="inlineStr">
        <is>
          <t>VCT</t>
        </is>
      </c>
      <c r="C747" s="5" t="inlineStr">
        <is>
          <t>VCT</t>
        </is>
      </c>
      <c r="D747" s="5" t="inlineStr">
        <is>
          <t>St. Vincent and the Grenadines</t>
        </is>
      </c>
      <c r="E747" s="5" t="n">
        <v>2022</v>
      </c>
      <c r="F747" s="5" t="n">
        <v>0.16</v>
      </c>
      <c r="G747" s="5" t="n">
        <v>11.72</v>
      </c>
      <c r="H747" s="5" t="n">
        <v>1.235</v>
      </c>
      <c r="I747" s="5" t="n">
        <v>0</v>
      </c>
      <c r="J747" s="5" t="n">
        <v>11.72</v>
      </c>
      <c r="K747" s="5" t="n">
        <v>0</v>
      </c>
      <c r="L747" s="5" t="n">
        <v>1</v>
      </c>
      <c r="M747" s="5" t="n">
        <v>9.782999999999999</v>
      </c>
      <c r="N747" s="5" t="n">
        <v>3.704</v>
      </c>
      <c r="O747" s="5" t="n">
        <v>0</v>
      </c>
      <c r="P747" s="5" t="n">
        <v>9.782999999999999</v>
      </c>
      <c r="Q747" s="5" t="n">
        <v>0</v>
      </c>
      <c r="R747" s="5" t="n">
        <v>1</v>
      </c>
      <c r="S747" s="5" t="n">
        <v>17.893</v>
      </c>
      <c r="T747" s="5" t="n">
        <v>7.408</v>
      </c>
      <c r="U747" s="5" t="n">
        <v>0.212</v>
      </c>
      <c r="V747" s="5" t="n">
        <v>20.756</v>
      </c>
      <c r="W747" s="5" t="n">
        <v>0.16</v>
      </c>
      <c r="X747" s="5" t="n">
        <v>1</v>
      </c>
      <c r="Y747" s="5" t="n">
        <v>6.316</v>
      </c>
      <c r="Z747" s="5" t="n">
        <v>0.85</v>
      </c>
      <c r="AA747" s="5" t="n">
        <v>0</v>
      </c>
      <c r="AB747" s="5" t="n">
        <v>6.316</v>
      </c>
      <c r="AC747" s="5" t="n">
        <v>0</v>
      </c>
      <c r="AD747" s="5" t="n">
        <v>1</v>
      </c>
      <c r="AE747" s="5" t="n">
        <v>7.551</v>
      </c>
      <c r="AF747" s="5" t="n">
        <v>1.768</v>
      </c>
      <c r="AG747" s="5" t="n">
        <v>0</v>
      </c>
      <c r="AH747" s="5" t="n">
        <v>7.551</v>
      </c>
      <c r="AI747" s="5" t="n">
        <v>0</v>
      </c>
      <c r="AJ747" s="5" t="n">
        <v>1</v>
      </c>
      <c r="AK747" s="5" t="n">
        <v>14.959</v>
      </c>
      <c r="AL747" s="5" t="n">
        <v>8.038</v>
      </c>
      <c r="AM747" s="5" t="n">
        <v>0.177</v>
      </c>
      <c r="AN747" s="5" t="n">
        <v>17.352</v>
      </c>
      <c r="AO747" s="5" t="n">
        <v>0.16</v>
      </c>
      <c r="AP747" s="5" t="n">
        <v>1</v>
      </c>
      <c r="AQ747" s="5" t="n">
        <v>0.896</v>
      </c>
      <c r="AR747" s="5" t="n">
        <v>0.123</v>
      </c>
      <c r="AS747" s="5" t="n">
        <v>0.011</v>
      </c>
      <c r="AT747" s="5" t="n">
        <v>1.039</v>
      </c>
      <c r="AU747" s="5" t="n">
        <v>0.16</v>
      </c>
      <c r="AV747" s="5" t="n">
        <v>1</v>
      </c>
      <c r="AW747" s="5" t="n">
        <v>0.89</v>
      </c>
      <c r="AX747" s="5" t="n">
        <v>0.123</v>
      </c>
      <c r="AY747" s="5" t="n">
        <v>0.011</v>
      </c>
      <c r="AZ747" s="5" t="n">
        <v>1.033</v>
      </c>
      <c r="BA747" s="5" t="n">
        <v>0.16</v>
      </c>
      <c r="BB747" s="5" t="n">
        <v>1</v>
      </c>
      <c r="BC747" s="5" t="n">
        <v>0.62</v>
      </c>
      <c r="BD747" s="5" t="n">
        <v>0.123</v>
      </c>
      <c r="BE747" s="5" t="n">
        <v>0.007</v>
      </c>
      <c r="BF747" s="5" t="n">
        <v>0.72</v>
      </c>
      <c r="BG747" s="5" t="n">
        <v>0.16</v>
      </c>
      <c r="BH747" s="5" t="n">
        <v>1</v>
      </c>
      <c r="BI747" s="5" t="n">
        <v>0.608</v>
      </c>
      <c r="BJ747" s="5" t="n">
        <v>0.123</v>
      </c>
      <c r="BK747" s="5" t="n">
        <v>0.007</v>
      </c>
      <c r="BL747" s="5" t="n">
        <v>0.705</v>
      </c>
      <c r="BM747" s="5" t="n">
        <v>0.16</v>
      </c>
      <c r="BN747" s="5" t="n">
        <v>1</v>
      </c>
      <c r="BO747" s="5" t="n">
        <v>0</v>
      </c>
      <c r="BP747" s="5" t="n">
        <v>0</v>
      </c>
      <c r="BQ747" s="5" t="n">
        <v>0</v>
      </c>
      <c r="BR747" s="5" t="n">
        <v>0</v>
      </c>
      <c r="BS747" s="5" t="n">
        <v>1</v>
      </c>
      <c r="BT747" s="5" t="n">
        <v>0</v>
      </c>
      <c r="BU747" s="5" t="n">
        <v>0</v>
      </c>
      <c r="BV747" s="5" t="n">
        <v>0</v>
      </c>
      <c r="BW747" s="5" t="n">
        <v>0.16</v>
      </c>
      <c r="BX747" s="5" t="n">
        <v>1</v>
      </c>
      <c r="BY747" s="5" t="n">
        <v>12.729</v>
      </c>
      <c r="BZ747" s="5" t="n">
        <v>0</v>
      </c>
      <c r="CA747" s="5" t="n">
        <v>12.729</v>
      </c>
      <c r="CB747" s="5" t="n">
        <v>0</v>
      </c>
      <c r="CC747" s="5" t="n">
        <v>97.90000000000001</v>
      </c>
      <c r="CD747" s="5" t="n">
        <v>7.95</v>
      </c>
      <c r="CE747" s="5" t="n">
        <v>1.159</v>
      </c>
      <c r="CF747" s="5" t="n">
        <v>113.564</v>
      </c>
      <c r="CG747" s="5" t="n">
        <v>0.16</v>
      </c>
      <c r="CH747" s="5" t="n">
        <v>1</v>
      </c>
      <c r="CI747" s="5" t="n">
        <v>0</v>
      </c>
      <c r="CJ747" s="5" t="n">
        <v>0</v>
      </c>
      <c r="CK747" s="5" t="n">
        <v>0</v>
      </c>
      <c r="CL747" s="5" t="n">
        <v>0</v>
      </c>
      <c r="CM747" s="5" t="n">
        <v>0</v>
      </c>
      <c r="CN747" s="5" t="n">
        <v>0</v>
      </c>
      <c r="CO747" s="5" t="n">
        <v>0</v>
      </c>
      <c r="CP747" s="5" t="n">
        <v>0</v>
      </c>
      <c r="CQ747" s="5" t="n">
        <v>1.294</v>
      </c>
      <c r="CR747" s="5" t="n">
        <v>0</v>
      </c>
      <c r="CS747" s="5" t="n">
        <v>5.158</v>
      </c>
      <c r="CT747" s="5" t="n">
        <v>10.485</v>
      </c>
      <c r="CU747" s="5" t="n">
        <v>29.494</v>
      </c>
    </row>
    <row r="748">
      <c r="A748" s="5" t="inlineStr">
        <is>
          <t>VCT2023</t>
        </is>
      </c>
      <c r="B748" s="5" t="inlineStr">
        <is>
          <t>VCT</t>
        </is>
      </c>
      <c r="C748" s="5" t="inlineStr">
        <is>
          <t>VCT</t>
        </is>
      </c>
      <c r="D748" s="5" t="inlineStr">
        <is>
          <t>St. Vincent and the Grenadines</t>
        </is>
      </c>
      <c r="E748" s="5" t="n">
        <v>2023</v>
      </c>
      <c r="F748" s="5" t="n">
        <v>0.16</v>
      </c>
      <c r="G748" s="5" t="n">
        <v>6.147</v>
      </c>
      <c r="H748" s="5" t="n">
        <v>1.286</v>
      </c>
      <c r="I748" s="5" t="n">
        <v>0</v>
      </c>
      <c r="J748" s="5" t="n">
        <v>6.147</v>
      </c>
      <c r="K748" s="5" t="n">
        <v>0</v>
      </c>
      <c r="L748" s="5" t="n">
        <v>1</v>
      </c>
      <c r="M748" s="5" t="n">
        <v>7.886</v>
      </c>
      <c r="N748" s="5" t="n">
        <v>3.857</v>
      </c>
      <c r="O748" s="5" t="n">
        <v>0</v>
      </c>
      <c r="P748" s="5" t="n">
        <v>7.886</v>
      </c>
      <c r="Q748" s="5" t="n">
        <v>0</v>
      </c>
      <c r="R748" s="5" t="n">
        <v>1</v>
      </c>
      <c r="S748" s="5" t="n">
        <v>12.575</v>
      </c>
      <c r="T748" s="5" t="n">
        <v>7.714</v>
      </c>
      <c r="U748" s="5" t="n">
        <v>0.223</v>
      </c>
      <c r="V748" s="5" t="n">
        <v>14.587</v>
      </c>
      <c r="W748" s="5" t="n">
        <v>0.16</v>
      </c>
      <c r="X748" s="5" t="n">
        <v>1</v>
      </c>
      <c r="Y748" s="5" t="n">
        <v>6.577</v>
      </c>
      <c r="Z748" s="5" t="n">
        <v>0.885</v>
      </c>
      <c r="AA748" s="5" t="n">
        <v>0</v>
      </c>
      <c r="AB748" s="5" t="n">
        <v>6.577</v>
      </c>
      <c r="AC748" s="5" t="n">
        <v>0</v>
      </c>
      <c r="AD748" s="5" t="n">
        <v>1</v>
      </c>
      <c r="AE748" s="5" t="n">
        <v>7.862</v>
      </c>
      <c r="AF748" s="5" t="n">
        <v>1.841</v>
      </c>
      <c r="AG748" s="5" t="n">
        <v>0</v>
      </c>
      <c r="AH748" s="5" t="n">
        <v>7.862</v>
      </c>
      <c r="AI748" s="5" t="n">
        <v>0</v>
      </c>
      <c r="AJ748" s="5" t="n">
        <v>1</v>
      </c>
      <c r="AK748" s="5" t="n">
        <v>15.576</v>
      </c>
      <c r="AL748" s="5" t="n">
        <v>8.369999999999999</v>
      </c>
      <c r="AM748" s="5" t="n">
        <v>0.276</v>
      </c>
      <c r="AN748" s="5" t="n">
        <v>18.069</v>
      </c>
      <c r="AO748" s="5" t="n">
        <v>0.16</v>
      </c>
      <c r="AP748" s="5" t="n">
        <v>1</v>
      </c>
      <c r="AQ748" s="5" t="n">
        <v>0.791</v>
      </c>
      <c r="AR748" s="5" t="n">
        <v>0.129</v>
      </c>
      <c r="AS748" s="5" t="n">
        <v>0.014</v>
      </c>
      <c r="AT748" s="5" t="n">
        <v>0.917</v>
      </c>
      <c r="AU748" s="5" t="n">
        <v>0.16</v>
      </c>
      <c r="AV748" s="5" t="n">
        <v>1</v>
      </c>
      <c r="AW748" s="5" t="n">
        <v>0.618</v>
      </c>
      <c r="AX748" s="5" t="n">
        <v>0.129</v>
      </c>
      <c r="AY748" s="5" t="n">
        <v>0.011</v>
      </c>
      <c r="AZ748" s="5" t="n">
        <v>0.717</v>
      </c>
      <c r="BA748" s="5" t="n">
        <v>0.16</v>
      </c>
      <c r="BB748" s="5" t="n">
        <v>1</v>
      </c>
      <c r="BC748" s="5" t="n">
        <v>0.554</v>
      </c>
      <c r="BD748" s="5" t="n">
        <v>0.129</v>
      </c>
      <c r="BE748" s="5" t="n">
        <v>0.01</v>
      </c>
      <c r="BF748" s="5" t="n">
        <v>0.643</v>
      </c>
      <c r="BG748" s="5" t="n">
        <v>0.16</v>
      </c>
      <c r="BH748" s="5" t="n">
        <v>1</v>
      </c>
      <c r="BI748" s="5" t="n">
        <v>0.5570000000000001</v>
      </c>
      <c r="BJ748" s="5" t="n">
        <v>0.129</v>
      </c>
      <c r="BK748" s="5" t="n">
        <v>0.01</v>
      </c>
      <c r="BL748" s="5" t="n">
        <v>0.646</v>
      </c>
      <c r="BM748" s="5" t="n">
        <v>0.16</v>
      </c>
      <c r="BN748" s="5" t="n">
        <v>1</v>
      </c>
      <c r="BO748" s="5" t="n">
        <v>0</v>
      </c>
      <c r="BP748" s="5" t="n">
        <v>0</v>
      </c>
      <c r="BQ748" s="5" t="n">
        <v>0</v>
      </c>
      <c r="BR748" s="5" t="n">
        <v>0</v>
      </c>
      <c r="BS748" s="5" t="n">
        <v>1</v>
      </c>
      <c r="BT748" s="5" t="n">
        <v>0</v>
      </c>
      <c r="BU748" s="5" t="n">
        <v>0</v>
      </c>
      <c r="BV748" s="5" t="n">
        <v>0</v>
      </c>
      <c r="BW748" s="5" t="n">
        <v>0.16</v>
      </c>
      <c r="BX748" s="5" t="n">
        <v>1</v>
      </c>
      <c r="BY748" s="5" t="n">
        <v>13.254</v>
      </c>
      <c r="BZ748" s="5" t="n">
        <v>0</v>
      </c>
      <c r="CA748" s="5" t="n">
        <v>13.254</v>
      </c>
      <c r="CB748" s="5" t="n">
        <v>0</v>
      </c>
      <c r="CC748" s="5" t="n">
        <v>83.248</v>
      </c>
      <c r="CD748" s="5" t="n">
        <v>7.95</v>
      </c>
      <c r="CE748" s="5" t="n">
        <v>1.475</v>
      </c>
      <c r="CF748" s="5" t="n">
        <v>96.568</v>
      </c>
      <c r="CG748" s="5" t="n">
        <v>0.16</v>
      </c>
      <c r="CH748" s="5" t="n">
        <v>1</v>
      </c>
      <c r="CI748" s="5" t="n">
        <v>0</v>
      </c>
      <c r="CJ748" s="5" t="n">
        <v>0</v>
      </c>
      <c r="CK748" s="5" t="n">
        <v>0</v>
      </c>
      <c r="CL748" s="5" t="n">
        <v>0</v>
      </c>
      <c r="CM748" s="5" t="n">
        <v>0</v>
      </c>
      <c r="CN748" s="5" t="n">
        <v>0</v>
      </c>
      <c r="CO748" s="5" t="n">
        <v>0</v>
      </c>
      <c r="CP748" s="5" t="n">
        <v>0</v>
      </c>
      <c r="CQ748" s="5" t="n">
        <v>1.348</v>
      </c>
      <c r="CR748" s="5" t="n">
        <v>0</v>
      </c>
      <c r="CS748" s="5" t="n">
        <v>5.37</v>
      </c>
      <c r="CT748" s="5" t="n">
        <v>4.861</v>
      </c>
      <c r="CU748" s="5" t="n">
        <v>11.192</v>
      </c>
    </row>
    <row r="749">
      <c r="A749" s="5" t="inlineStr">
        <is>
          <t>VCT2024</t>
        </is>
      </c>
      <c r="B749" s="5" t="inlineStr">
        <is>
          <t>VCT</t>
        </is>
      </c>
      <c r="C749" s="5" t="inlineStr">
        <is>
          <t>VCT</t>
        </is>
      </c>
      <c r="D749" s="5" t="inlineStr">
        <is>
          <t>St. Vincent and the Grenadines</t>
        </is>
      </c>
      <c r="E749" s="5" t="n">
        <v>2024</v>
      </c>
      <c r="F749" s="5" t="n">
        <v>0.16</v>
      </c>
      <c r="G749" s="5" t="n">
        <v>5.575</v>
      </c>
      <c r="H749" s="5" t="n">
        <v>1.324</v>
      </c>
      <c r="I749" s="5" t="n">
        <v>0</v>
      </c>
      <c r="J749" s="5" t="n">
        <v>5.575</v>
      </c>
      <c r="K749" s="5" t="n">
        <v>0</v>
      </c>
      <c r="L749" s="5" t="n">
        <v>1</v>
      </c>
      <c r="M749" s="5" t="n">
        <v>7.124</v>
      </c>
      <c r="N749" s="5" t="n">
        <v>3.971</v>
      </c>
      <c r="O749" s="5" t="n">
        <v>0</v>
      </c>
      <c r="P749" s="5" t="n">
        <v>7.124</v>
      </c>
      <c r="Q749" s="5" t="n">
        <v>0</v>
      </c>
      <c r="R749" s="5" t="n">
        <v>1</v>
      </c>
      <c r="S749" s="5" t="n">
        <v>12.193</v>
      </c>
      <c r="T749" s="5" t="n">
        <v>7.942</v>
      </c>
      <c r="U749" s="5" t="n">
        <v>0.266</v>
      </c>
      <c r="V749" s="5" t="n">
        <v>14.144</v>
      </c>
      <c r="W749" s="5" t="n">
        <v>0.16</v>
      </c>
      <c r="X749" s="5" t="n">
        <v>1</v>
      </c>
      <c r="Y749" s="5" t="n">
        <v>6.771</v>
      </c>
      <c r="Z749" s="5" t="n">
        <v>0.911</v>
      </c>
      <c r="AA749" s="5" t="n">
        <v>0</v>
      </c>
      <c r="AB749" s="5" t="n">
        <v>6.771</v>
      </c>
      <c r="AC749" s="5" t="n">
        <v>0</v>
      </c>
      <c r="AD749" s="5" t="n">
        <v>1</v>
      </c>
      <c r="AE749" s="5" t="n">
        <v>8.095000000000001</v>
      </c>
      <c r="AF749" s="5" t="n">
        <v>1.896</v>
      </c>
      <c r="AG749" s="5" t="n">
        <v>0</v>
      </c>
      <c r="AH749" s="5" t="n">
        <v>8.095000000000001</v>
      </c>
      <c r="AI749" s="5" t="n">
        <v>0</v>
      </c>
      <c r="AJ749" s="5" t="n">
        <v>1</v>
      </c>
      <c r="AK749" s="5" t="n">
        <v>16.036</v>
      </c>
      <c r="AL749" s="5" t="n">
        <v>8.617000000000001</v>
      </c>
      <c r="AM749" s="5" t="n">
        <v>0.349</v>
      </c>
      <c r="AN749" s="5" t="n">
        <v>18.602</v>
      </c>
      <c r="AO749" s="5" t="n">
        <v>0.16</v>
      </c>
      <c r="AP749" s="5" t="n">
        <v>1</v>
      </c>
      <c r="AQ749" s="5" t="n">
        <v>0.756</v>
      </c>
      <c r="AR749" s="5" t="n">
        <v>0.132</v>
      </c>
      <c r="AS749" s="5" t="n">
        <v>0.016</v>
      </c>
      <c r="AT749" s="5" t="n">
        <v>0.877</v>
      </c>
      <c r="AU749" s="5" t="n">
        <v>0.16</v>
      </c>
      <c r="AV749" s="5" t="n">
        <v>1</v>
      </c>
      <c r="AW749" s="5" t="n">
        <v>0.655</v>
      </c>
      <c r="AX749" s="5" t="n">
        <v>0.132</v>
      </c>
      <c r="AY749" s="5" t="n">
        <v>0.014</v>
      </c>
      <c r="AZ749" s="5" t="n">
        <v>0.76</v>
      </c>
      <c r="BA749" s="5" t="n">
        <v>0.16</v>
      </c>
      <c r="BB749" s="5" t="n">
        <v>1</v>
      </c>
      <c r="BC749" s="5" t="n">
        <v>0.534</v>
      </c>
      <c r="BD749" s="5" t="n">
        <v>0.132</v>
      </c>
      <c r="BE749" s="5" t="n">
        <v>0.012</v>
      </c>
      <c r="BF749" s="5" t="n">
        <v>0.619</v>
      </c>
      <c r="BG749" s="5" t="n">
        <v>0.16</v>
      </c>
      <c r="BH749" s="5" t="n">
        <v>1</v>
      </c>
      <c r="BI749" s="5" t="n">
        <v>0.5679999999999999</v>
      </c>
      <c r="BJ749" s="5" t="n">
        <v>0.132</v>
      </c>
      <c r="BK749" s="5" t="n">
        <v>0.012</v>
      </c>
      <c r="BL749" s="5" t="n">
        <v>0.659</v>
      </c>
      <c r="BM749" s="5" t="n">
        <v>0.16</v>
      </c>
      <c r="BN749" s="5" t="n">
        <v>1</v>
      </c>
      <c r="BO749" s="5" t="n">
        <v>0</v>
      </c>
      <c r="BP749" s="5" t="n">
        <v>0</v>
      </c>
      <c r="BQ749" s="5" t="n">
        <v>0</v>
      </c>
      <c r="BR749" s="5" t="n">
        <v>0</v>
      </c>
      <c r="BS749" s="5" t="n">
        <v>1</v>
      </c>
      <c r="BT749" s="5" t="n">
        <v>0</v>
      </c>
      <c r="BU749" s="5" t="n">
        <v>0</v>
      </c>
      <c r="BV749" s="5" t="n">
        <v>0</v>
      </c>
      <c r="BW749" s="5" t="n">
        <v>0.16</v>
      </c>
      <c r="BX749" s="5" t="n">
        <v>1</v>
      </c>
      <c r="BY749" s="5" t="n">
        <v>13.646</v>
      </c>
      <c r="BZ749" s="5" t="n">
        <v>0</v>
      </c>
      <c r="CA749" s="5" t="n">
        <v>13.646</v>
      </c>
      <c r="CB749" s="5" t="n">
        <v>0</v>
      </c>
      <c r="CC749" s="5" t="n">
        <v>82.58799999999999</v>
      </c>
      <c r="CD749" s="5" t="n">
        <v>7.95</v>
      </c>
      <c r="CE749" s="5" t="n">
        <v>1.8</v>
      </c>
      <c r="CF749" s="5" t="n">
        <v>95.80200000000001</v>
      </c>
      <c r="CG749" s="5" t="n">
        <v>0.16</v>
      </c>
      <c r="CH749" s="5" t="n">
        <v>1</v>
      </c>
      <c r="CI749" s="5" t="n">
        <v>0</v>
      </c>
      <c r="CJ749" s="5" t="n">
        <v>0</v>
      </c>
      <c r="CK749" s="5" t="n">
        <v>0</v>
      </c>
      <c r="CL749" s="5" t="n">
        <v>0</v>
      </c>
      <c r="CM749" s="5" t="n">
        <v>0</v>
      </c>
      <c r="CN749" s="5" t="n">
        <v>0</v>
      </c>
      <c r="CO749" s="5" t="n">
        <v>0</v>
      </c>
      <c r="CP749" s="5" t="n">
        <v>0</v>
      </c>
      <c r="CQ749" s="5" t="n">
        <v>1.387</v>
      </c>
      <c r="CR749" s="5" t="n">
        <v>0</v>
      </c>
      <c r="CS749" s="5" t="n">
        <v>5.529</v>
      </c>
      <c r="CT749" s="5" t="n">
        <v>4.251</v>
      </c>
      <c r="CU749" s="5" t="n">
        <v>10.123</v>
      </c>
    </row>
    <row r="750">
      <c r="A750" s="5" t="inlineStr">
        <is>
          <t>SDN2021</t>
        </is>
      </c>
      <c r="B750" s="5" t="inlineStr">
        <is>
          <t>SDN</t>
        </is>
      </c>
      <c r="C750" s="5" t="inlineStr">
        <is>
          <t>SDN</t>
        </is>
      </c>
      <c r="D750" s="5" t="inlineStr">
        <is>
          <t>Sudan</t>
        </is>
      </c>
      <c r="E750" s="5" t="n">
        <v>2021</v>
      </c>
      <c r="F750" s="5" t="n">
        <v>0.17</v>
      </c>
      <c r="G750" s="5" t="n">
        <v>5.897</v>
      </c>
      <c r="H750" s="5" t="n">
        <v>1.143</v>
      </c>
      <c r="I750" s="5" t="n">
        <v>0</v>
      </c>
      <c r="J750" s="5" t="n">
        <v>5.897</v>
      </c>
      <c r="K750" s="5" t="n">
        <v>0</v>
      </c>
      <c r="L750" s="5" t="n">
        <v>1</v>
      </c>
      <c r="M750" s="5" t="n">
        <v>7.964</v>
      </c>
      <c r="N750" s="5" t="n">
        <v>3.43</v>
      </c>
      <c r="O750" s="5" t="n">
        <v>0</v>
      </c>
      <c r="P750" s="5" t="n">
        <v>7.964</v>
      </c>
      <c r="Q750" s="5" t="n">
        <v>0</v>
      </c>
      <c r="R750" s="5" t="n">
        <v>1</v>
      </c>
      <c r="S750" s="5" t="n">
        <v>11.613</v>
      </c>
      <c r="T750" s="5" t="n">
        <v>6.86</v>
      </c>
      <c r="U750" s="5" t="n">
        <v>0</v>
      </c>
      <c r="V750" s="5" t="n">
        <v>13.588</v>
      </c>
      <c r="W750" s="5" t="n">
        <v>0.17</v>
      </c>
      <c r="X750" s="5" t="n">
        <v>1</v>
      </c>
      <c r="Y750" s="5" t="n">
        <v>15.47</v>
      </c>
      <c r="Z750" s="5" t="n">
        <v>2.091</v>
      </c>
      <c r="AA750" s="5" t="n">
        <v>0</v>
      </c>
      <c r="AB750" s="5" t="n">
        <v>15.47</v>
      </c>
      <c r="AC750" s="5" t="n">
        <v>0</v>
      </c>
      <c r="AD750" s="5" t="n">
        <v>1</v>
      </c>
      <c r="AE750" s="5" t="n">
        <v>16.613</v>
      </c>
      <c r="AF750" s="5" t="n">
        <v>3.885</v>
      </c>
      <c r="AG750" s="5" t="n">
        <v>0</v>
      </c>
      <c r="AH750" s="5" t="n">
        <v>16.613</v>
      </c>
      <c r="AI750" s="5" t="n">
        <v>0</v>
      </c>
      <c r="AJ750" s="5" t="n">
        <v>1</v>
      </c>
      <c r="AK750" s="5" t="n">
        <v>23.473</v>
      </c>
      <c r="AL750" s="5" t="n">
        <v>12.502</v>
      </c>
      <c r="AM750" s="5" t="n">
        <v>0</v>
      </c>
      <c r="AN750" s="5" t="n">
        <v>27.463</v>
      </c>
      <c r="AO750" s="5" t="n">
        <v>0.17</v>
      </c>
      <c r="AP750" s="5" t="n">
        <v>1</v>
      </c>
      <c r="AQ750" s="5" t="n">
        <v>0.619</v>
      </c>
      <c r="AR750" s="5" t="n">
        <v>0.114</v>
      </c>
      <c r="AS750" s="5" t="n">
        <v>-0.474</v>
      </c>
      <c r="AT750" s="5" t="n">
        <v>0.145</v>
      </c>
      <c r="AU750" s="5" t="n">
        <v>0</v>
      </c>
      <c r="AV750" s="5" t="n">
        <v>1</v>
      </c>
      <c r="AW750" s="5" t="n">
        <v>0.599</v>
      </c>
      <c r="AX750" s="5" t="n">
        <v>0.114</v>
      </c>
      <c r="AY750" s="5" t="n">
        <v>-0.504</v>
      </c>
      <c r="AZ750" s="5" t="n">
        <v>0.096</v>
      </c>
      <c r="BA750" s="5" t="n">
        <v>0</v>
      </c>
      <c r="BB750" s="5" t="n">
        <v>1</v>
      </c>
      <c r="BC750" s="5" t="n">
        <v>0.439</v>
      </c>
      <c r="BD750" s="5" t="n">
        <v>0.114</v>
      </c>
      <c r="BE750" s="5" t="n">
        <v>0</v>
      </c>
      <c r="BF750" s="5" t="n">
        <v>0.514</v>
      </c>
      <c r="BG750" s="5" t="n">
        <v>0.17</v>
      </c>
      <c r="BH750" s="5" t="n">
        <v>1</v>
      </c>
      <c r="BI750" s="5" t="n">
        <v>0.505</v>
      </c>
      <c r="BJ750" s="5" t="n">
        <v>0.114</v>
      </c>
      <c r="BK750" s="5" t="n">
        <v>0</v>
      </c>
      <c r="BL750" s="5" t="n">
        <v>0.591</v>
      </c>
      <c r="BM750" s="5" t="n">
        <v>0.17</v>
      </c>
      <c r="BN750" s="5" t="n">
        <v>1</v>
      </c>
      <c r="BO750" s="5" t="n">
        <v>0</v>
      </c>
      <c r="BP750" s="5" t="n">
        <v>0</v>
      </c>
      <c r="BQ750" s="5" t="n">
        <v>0</v>
      </c>
      <c r="BR750" s="5" t="n">
        <v>0</v>
      </c>
      <c r="BS750" s="5" t="n">
        <v>1</v>
      </c>
      <c r="BT750" s="5" t="n">
        <v>0</v>
      </c>
      <c r="BU750" s="5" t="n">
        <v>0</v>
      </c>
      <c r="BV750" s="5" t="n">
        <v>0</v>
      </c>
      <c r="BW750" s="5" t="n">
        <v>0.17</v>
      </c>
      <c r="BX750" s="5" t="n">
        <v>1</v>
      </c>
      <c r="BY750" s="5" t="n">
        <v>11.787</v>
      </c>
      <c r="BZ750" s="5" t="n">
        <v>0</v>
      </c>
      <c r="CA750" s="5" t="n">
        <v>11.787</v>
      </c>
      <c r="CB750" s="5" t="n">
        <v>0</v>
      </c>
      <c r="CC750" s="5" t="n">
        <v>78.125</v>
      </c>
      <c r="CD750" s="5" t="n">
        <v>7.95</v>
      </c>
      <c r="CE750" s="5" t="n">
        <v>0</v>
      </c>
      <c r="CF750" s="5" t="n">
        <v>91.40600000000001</v>
      </c>
      <c r="CG750" s="5" t="n">
        <v>0.17</v>
      </c>
      <c r="CH750" s="5" t="n">
        <v>1</v>
      </c>
      <c r="CI750" s="5" t="n">
        <v>0</v>
      </c>
      <c r="CJ750" s="5" t="n">
        <v>0</v>
      </c>
      <c r="CK750" s="5" t="n">
        <v>0</v>
      </c>
      <c r="CL750" s="5" t="n">
        <v>0</v>
      </c>
      <c r="CM750" s="5" t="n">
        <v>0</v>
      </c>
      <c r="CN750" s="5" t="n">
        <v>0</v>
      </c>
      <c r="CO750" s="5" t="n">
        <v>0</v>
      </c>
      <c r="CP750" s="5" t="n">
        <v>0</v>
      </c>
      <c r="CQ750" s="5" t="n">
        <v>1.198</v>
      </c>
      <c r="CR750" s="5" t="n">
        <v>0</v>
      </c>
      <c r="CS750" s="5" t="n">
        <v>4.776</v>
      </c>
      <c r="CT750" s="5" t="n">
        <v>4.753</v>
      </c>
      <c r="CU750" s="5" t="n">
        <v>15.162</v>
      </c>
    </row>
    <row r="751">
      <c r="A751" s="5" t="inlineStr">
        <is>
          <t>SDN2022</t>
        </is>
      </c>
      <c r="B751" s="5" t="inlineStr">
        <is>
          <t>SDN</t>
        </is>
      </c>
      <c r="C751" s="5" t="inlineStr">
        <is>
          <t>SDN</t>
        </is>
      </c>
      <c r="D751" s="5" t="inlineStr">
        <is>
          <t>Sudan</t>
        </is>
      </c>
      <c r="E751" s="5" t="n">
        <v>2022</v>
      </c>
      <c r="F751" s="5" t="n">
        <v>0.17</v>
      </c>
      <c r="G751" s="5" t="n">
        <v>11.72</v>
      </c>
      <c r="H751" s="5" t="n">
        <v>1.82</v>
      </c>
      <c r="I751" s="5" t="n">
        <v>0</v>
      </c>
      <c r="J751" s="5" t="n">
        <v>11.72</v>
      </c>
      <c r="K751" s="5" t="n">
        <v>0</v>
      </c>
      <c r="L751" s="5" t="n">
        <v>1</v>
      </c>
      <c r="M751" s="5" t="n">
        <v>9.782999999999999</v>
      </c>
      <c r="N751" s="5" t="n">
        <v>4.04</v>
      </c>
      <c r="O751" s="5" t="n">
        <v>0</v>
      </c>
      <c r="P751" s="5" t="n">
        <v>9.782999999999999</v>
      </c>
      <c r="Q751" s="5" t="n">
        <v>0</v>
      </c>
      <c r="R751" s="5" t="n">
        <v>1</v>
      </c>
      <c r="S751" s="5" t="n">
        <v>17.893</v>
      </c>
      <c r="T751" s="5" t="n">
        <v>8.763999999999999</v>
      </c>
      <c r="U751" s="5" t="n">
        <v>0.225</v>
      </c>
      <c r="V751" s="5" t="n">
        <v>20.935</v>
      </c>
      <c r="W751" s="5" t="n">
        <v>0.17</v>
      </c>
      <c r="X751" s="5" t="n">
        <v>1</v>
      </c>
      <c r="Y751" s="5" t="n">
        <v>30.455</v>
      </c>
      <c r="Z751" s="5" t="n">
        <v>3.195</v>
      </c>
      <c r="AA751" s="5" t="n">
        <v>0</v>
      </c>
      <c r="AB751" s="5" t="n">
        <v>30.455</v>
      </c>
      <c r="AC751" s="5" t="n">
        <v>0</v>
      </c>
      <c r="AD751" s="5" t="n">
        <v>1</v>
      </c>
      <c r="AE751" s="5" t="n">
        <v>31.69</v>
      </c>
      <c r="AF751" s="5" t="n">
        <v>5.875</v>
      </c>
      <c r="AG751" s="5" t="n">
        <v>0</v>
      </c>
      <c r="AH751" s="5" t="n">
        <v>31.69</v>
      </c>
      <c r="AI751" s="5" t="n">
        <v>0</v>
      </c>
      <c r="AJ751" s="5" t="n">
        <v>1</v>
      </c>
      <c r="AK751" s="5" t="n">
        <v>39.098</v>
      </c>
      <c r="AL751" s="5" t="n">
        <v>18.671</v>
      </c>
      <c r="AM751" s="5" t="n">
        <v>0.492</v>
      </c>
      <c r="AN751" s="5" t="n">
        <v>45.744</v>
      </c>
      <c r="AO751" s="5" t="n">
        <v>0.17</v>
      </c>
      <c r="AP751" s="5" t="n">
        <v>1</v>
      </c>
      <c r="AQ751" s="5" t="n">
        <v>0.861</v>
      </c>
      <c r="AR751" s="5" t="n">
        <v>0.123</v>
      </c>
      <c r="AS751" s="5" t="n">
        <v>0.146</v>
      </c>
      <c r="AT751" s="5" t="n">
        <v>1.007</v>
      </c>
      <c r="AU751" s="5" t="n">
        <v>0</v>
      </c>
      <c r="AV751" s="5" t="n">
        <v>1</v>
      </c>
      <c r="AW751" s="5" t="n">
        <v>0.986</v>
      </c>
      <c r="AX751" s="5" t="n">
        <v>0.128</v>
      </c>
      <c r="AY751" s="5" t="n">
        <v>0.168</v>
      </c>
      <c r="AZ751" s="5" t="n">
        <v>1.154</v>
      </c>
      <c r="BA751" s="5" t="n">
        <v>0</v>
      </c>
      <c r="BB751" s="5" t="n">
        <v>1</v>
      </c>
      <c r="BC751" s="5" t="n">
        <v>0.598</v>
      </c>
      <c r="BD751" s="5" t="n">
        <v>0.123</v>
      </c>
      <c r="BE751" s="5" t="n">
        <v>0.008</v>
      </c>
      <c r="BF751" s="5" t="n">
        <v>0.699</v>
      </c>
      <c r="BG751" s="5" t="n">
        <v>0.17</v>
      </c>
      <c r="BH751" s="5" t="n">
        <v>1</v>
      </c>
      <c r="BI751" s="5" t="n">
        <v>0.612</v>
      </c>
      <c r="BJ751" s="5" t="n">
        <v>0.119</v>
      </c>
      <c r="BK751" s="5" t="n">
        <v>0.008</v>
      </c>
      <c r="BL751" s="5" t="n">
        <v>0.716</v>
      </c>
      <c r="BM751" s="5" t="n">
        <v>0.17</v>
      </c>
      <c r="BN751" s="5" t="n">
        <v>1</v>
      </c>
      <c r="BO751" s="5" t="n">
        <v>0</v>
      </c>
      <c r="BP751" s="5" t="n">
        <v>0</v>
      </c>
      <c r="BQ751" s="5" t="n">
        <v>0</v>
      </c>
      <c r="BR751" s="5" t="n">
        <v>0</v>
      </c>
      <c r="BS751" s="5" t="n">
        <v>1</v>
      </c>
      <c r="BT751" s="5" t="n">
        <v>0</v>
      </c>
      <c r="BU751" s="5" t="n">
        <v>0</v>
      </c>
      <c r="BV751" s="5" t="n">
        <v>0</v>
      </c>
      <c r="BW751" s="5" t="n">
        <v>0.17</v>
      </c>
      <c r="BX751" s="5" t="n">
        <v>1</v>
      </c>
      <c r="BY751" s="5" t="n">
        <v>12.729</v>
      </c>
      <c r="BZ751" s="5" t="n">
        <v>0</v>
      </c>
      <c r="CA751" s="5" t="n">
        <v>12.729</v>
      </c>
      <c r="CB751" s="5" t="n">
        <v>0</v>
      </c>
      <c r="CC751" s="5" t="n">
        <v>97.90000000000001</v>
      </c>
      <c r="CD751" s="5" t="n">
        <v>7.95</v>
      </c>
      <c r="CE751" s="5" t="n">
        <v>1.232</v>
      </c>
      <c r="CF751" s="5" t="n">
        <v>114.543</v>
      </c>
      <c r="CG751" s="5" t="n">
        <v>0.17</v>
      </c>
      <c r="CH751" s="5" t="n">
        <v>1</v>
      </c>
      <c r="CI751" s="5" t="n">
        <v>1</v>
      </c>
      <c r="CJ751" s="5" t="n">
        <v>1</v>
      </c>
      <c r="CK751" s="5" t="n">
        <v>0</v>
      </c>
      <c r="CL751" s="5" t="n">
        <v>0</v>
      </c>
      <c r="CM751" s="5" t="n">
        <v>0</v>
      </c>
      <c r="CN751" s="5" t="n">
        <v>0</v>
      </c>
      <c r="CO751" s="5" t="n">
        <v>0</v>
      </c>
      <c r="CP751" s="5" t="n">
        <v>0</v>
      </c>
      <c r="CQ751" s="5" t="n">
        <v>1.294</v>
      </c>
      <c r="CR751" s="5" t="n">
        <v>0</v>
      </c>
      <c r="CS751" s="5" t="n">
        <v>5.158</v>
      </c>
      <c r="CT751" s="5" t="n">
        <v>10.485</v>
      </c>
      <c r="CU751" s="5" t="n">
        <v>31.326</v>
      </c>
    </row>
    <row r="752">
      <c r="A752" s="5" t="inlineStr">
        <is>
          <t>SDN2023</t>
        </is>
      </c>
      <c r="B752" s="5" t="inlineStr">
        <is>
          <t>SDN</t>
        </is>
      </c>
      <c r="C752" s="5" t="inlineStr">
        <is>
          <t>SDN</t>
        </is>
      </c>
      <c r="D752" s="5" t="inlineStr">
        <is>
          <t>Sudan</t>
        </is>
      </c>
      <c r="E752" s="5" t="n">
        <v>2023</v>
      </c>
      <c r="F752" s="5" t="n">
        <v>0.17</v>
      </c>
      <c r="G752" s="5" t="n">
        <v>6.147</v>
      </c>
      <c r="H752" s="5" t="n">
        <v>1.4</v>
      </c>
      <c r="I752" s="5" t="n">
        <v>0</v>
      </c>
      <c r="J752" s="5" t="n">
        <v>6.147</v>
      </c>
      <c r="K752" s="5" t="n">
        <v>0</v>
      </c>
      <c r="L752" s="5" t="n">
        <v>1</v>
      </c>
      <c r="M752" s="5" t="n">
        <v>7.886</v>
      </c>
      <c r="N752" s="5" t="n">
        <v>3.911</v>
      </c>
      <c r="O752" s="5" t="n">
        <v>0</v>
      </c>
      <c r="P752" s="5" t="n">
        <v>7.886</v>
      </c>
      <c r="Q752" s="5" t="n">
        <v>0</v>
      </c>
      <c r="R752" s="5" t="n">
        <v>1</v>
      </c>
      <c r="S752" s="5" t="n">
        <v>12.575</v>
      </c>
      <c r="T752" s="5" t="n">
        <v>7.886</v>
      </c>
      <c r="U752" s="5" t="n">
        <v>0.237</v>
      </c>
      <c r="V752" s="5" t="n">
        <v>14.713</v>
      </c>
      <c r="W752" s="5" t="n">
        <v>0.17</v>
      </c>
      <c r="X752" s="5" t="n">
        <v>1</v>
      </c>
      <c r="Y752" s="5" t="n">
        <v>12.405</v>
      </c>
      <c r="Z752" s="5" t="n">
        <v>1.39</v>
      </c>
      <c r="AA752" s="5" t="n">
        <v>0</v>
      </c>
      <c r="AB752" s="5" t="n">
        <v>12.405</v>
      </c>
      <c r="AC752" s="5" t="n">
        <v>0</v>
      </c>
      <c r="AD752" s="5" t="n">
        <v>1</v>
      </c>
      <c r="AE752" s="5" t="n">
        <v>13.691</v>
      </c>
      <c r="AF752" s="5" t="n">
        <v>2.727</v>
      </c>
      <c r="AG752" s="5" t="n">
        <v>0</v>
      </c>
      <c r="AH752" s="5" t="n">
        <v>13.691</v>
      </c>
      <c r="AI752" s="5" t="n">
        <v>0</v>
      </c>
      <c r="AJ752" s="5" t="n">
        <v>1</v>
      </c>
      <c r="AK752" s="5" t="n">
        <v>21.405</v>
      </c>
      <c r="AL752" s="5" t="n">
        <v>10.603</v>
      </c>
      <c r="AM752" s="5" t="n">
        <v>0.403</v>
      </c>
      <c r="AN752" s="5" t="n">
        <v>25.043</v>
      </c>
      <c r="AO752" s="5" t="n">
        <v>0.17</v>
      </c>
      <c r="AP752" s="5" t="n">
        <v>1</v>
      </c>
      <c r="AQ752" s="5" t="n">
        <v>0.76</v>
      </c>
      <c r="AR752" s="5" t="n">
        <v>0.128</v>
      </c>
      <c r="AS752" s="5" t="n">
        <v>0.129</v>
      </c>
      <c r="AT752" s="5" t="n">
        <v>0.89</v>
      </c>
      <c r="AU752" s="5" t="n">
        <v>0</v>
      </c>
      <c r="AV752" s="5" t="n">
        <v>1</v>
      </c>
      <c r="AW752" s="5" t="n">
        <v>0.8110000000000001</v>
      </c>
      <c r="AX752" s="5" t="n">
        <v>0.139</v>
      </c>
      <c r="AY752" s="5" t="n">
        <v>0.138</v>
      </c>
      <c r="AZ752" s="5" t="n">
        <v>0.949</v>
      </c>
      <c r="BA752" s="5" t="n">
        <v>0</v>
      </c>
      <c r="BB752" s="5" t="n">
        <v>1</v>
      </c>
      <c r="BC752" s="5" t="n">
        <v>0.535</v>
      </c>
      <c r="BD752" s="5" t="n">
        <v>0.129</v>
      </c>
      <c r="BE752" s="5" t="n">
        <v>0.01</v>
      </c>
      <c r="BF752" s="5" t="n">
        <v>0.626</v>
      </c>
      <c r="BG752" s="5" t="n">
        <v>0.17</v>
      </c>
      <c r="BH752" s="5" t="n">
        <v>1</v>
      </c>
      <c r="BI752" s="5" t="n">
        <v>0.579</v>
      </c>
      <c r="BJ752" s="5" t="n">
        <v>0.126</v>
      </c>
      <c r="BK752" s="5" t="n">
        <v>0.011</v>
      </c>
      <c r="BL752" s="5" t="n">
        <v>0.678</v>
      </c>
      <c r="BM752" s="5" t="n">
        <v>0.17</v>
      </c>
      <c r="BN752" s="5" t="n">
        <v>1</v>
      </c>
      <c r="BO752" s="5" t="n">
        <v>0</v>
      </c>
      <c r="BP752" s="5" t="n">
        <v>0</v>
      </c>
      <c r="BQ752" s="5" t="n">
        <v>0</v>
      </c>
      <c r="BR752" s="5" t="n">
        <v>0</v>
      </c>
      <c r="BS752" s="5" t="n">
        <v>1</v>
      </c>
      <c r="BT752" s="5" t="n">
        <v>0</v>
      </c>
      <c r="BU752" s="5" t="n">
        <v>0</v>
      </c>
      <c r="BV752" s="5" t="n">
        <v>0</v>
      </c>
      <c r="BW752" s="5" t="n">
        <v>0.17</v>
      </c>
      <c r="BX752" s="5" t="n">
        <v>1</v>
      </c>
      <c r="BY752" s="5" t="n">
        <v>13.254</v>
      </c>
      <c r="BZ752" s="5" t="n">
        <v>0</v>
      </c>
      <c r="CA752" s="5" t="n">
        <v>13.254</v>
      </c>
      <c r="CB752" s="5" t="n">
        <v>0</v>
      </c>
      <c r="CC752" s="5" t="n">
        <v>83.248</v>
      </c>
      <c r="CD752" s="5" t="n">
        <v>7.95</v>
      </c>
      <c r="CE752" s="5" t="n">
        <v>1.567</v>
      </c>
      <c r="CF752" s="5" t="n">
        <v>97.40000000000001</v>
      </c>
      <c r="CG752" s="5" t="n">
        <v>0.17</v>
      </c>
      <c r="CH752" s="5" t="n">
        <v>1</v>
      </c>
      <c r="CI752" s="5" t="n">
        <v>1</v>
      </c>
      <c r="CJ752" s="5" t="n">
        <v>1</v>
      </c>
      <c r="CK752" s="5" t="n">
        <v>0</v>
      </c>
      <c r="CL752" s="5" t="n">
        <v>0</v>
      </c>
      <c r="CM752" s="5" t="n">
        <v>0</v>
      </c>
      <c r="CN752" s="5" t="n">
        <v>0</v>
      </c>
      <c r="CO752" s="5" t="n">
        <v>0</v>
      </c>
      <c r="CP752" s="5" t="n">
        <v>0</v>
      </c>
      <c r="CQ752" s="5" t="n">
        <v>1.348</v>
      </c>
      <c r="CR752" s="5" t="n">
        <v>0</v>
      </c>
      <c r="CS752" s="5" t="n">
        <v>5.37</v>
      </c>
      <c r="CT752" s="5" t="n">
        <v>4.861</v>
      </c>
      <c r="CU752" s="5" t="n">
        <v>11.622</v>
      </c>
    </row>
    <row r="753">
      <c r="A753" s="5" t="inlineStr">
        <is>
          <t>SDN2024</t>
        </is>
      </c>
      <c r="B753" s="5" t="inlineStr">
        <is>
          <t>SDN</t>
        </is>
      </c>
      <c r="C753" s="5" t="inlineStr">
        <is>
          <t>SDN</t>
        </is>
      </c>
      <c r="D753" s="5" t="inlineStr">
        <is>
          <t>Sudan</t>
        </is>
      </c>
      <c r="E753" s="5" t="n">
        <v>2024</v>
      </c>
      <c r="F753" s="5" t="n">
        <v>0.17</v>
      </c>
      <c r="G753" s="5" t="n">
        <v>5.575</v>
      </c>
      <c r="H753" s="5" t="n">
        <v>1.412</v>
      </c>
      <c r="I753" s="5" t="n">
        <v>0</v>
      </c>
      <c r="J753" s="5" t="n">
        <v>5.575</v>
      </c>
      <c r="K753" s="5" t="n">
        <v>0</v>
      </c>
      <c r="L753" s="5" t="n">
        <v>1</v>
      </c>
      <c r="M753" s="5" t="n">
        <v>7.124</v>
      </c>
      <c r="N753" s="5" t="n">
        <v>3.881</v>
      </c>
      <c r="O753" s="5" t="n">
        <v>0</v>
      </c>
      <c r="P753" s="5" t="n">
        <v>7.124</v>
      </c>
      <c r="Q753" s="5" t="n">
        <v>0</v>
      </c>
      <c r="R753" s="5" t="n">
        <v>1</v>
      </c>
      <c r="S753" s="5" t="n">
        <v>12.193</v>
      </c>
      <c r="T753" s="5" t="n">
        <v>8.071999999999999</v>
      </c>
      <c r="U753" s="5" t="n">
        <v>0.282</v>
      </c>
      <c r="V753" s="5" t="n">
        <v>14.266</v>
      </c>
      <c r="W753" s="5" t="n">
        <v>0.17</v>
      </c>
      <c r="X753" s="5" t="n">
        <v>1</v>
      </c>
      <c r="Y753" s="5" t="n">
        <v>11.119</v>
      </c>
      <c r="Z753" s="5" t="n">
        <v>1.404</v>
      </c>
      <c r="AA753" s="5" t="n">
        <v>0</v>
      </c>
      <c r="AB753" s="5" t="n">
        <v>11.119</v>
      </c>
      <c r="AC753" s="5" t="n">
        <v>0</v>
      </c>
      <c r="AD753" s="5" t="n">
        <v>1</v>
      </c>
      <c r="AE753" s="5" t="n">
        <v>12.442</v>
      </c>
      <c r="AF753" s="5" t="n">
        <v>2.726</v>
      </c>
      <c r="AG753" s="5" t="n">
        <v>0</v>
      </c>
      <c r="AH753" s="5" t="n">
        <v>12.442</v>
      </c>
      <c r="AI753" s="5" t="n">
        <v>0</v>
      </c>
      <c r="AJ753" s="5" t="n">
        <v>1</v>
      </c>
      <c r="AK753" s="5" t="n">
        <v>20.384</v>
      </c>
      <c r="AL753" s="5" t="n">
        <v>10.368</v>
      </c>
      <c r="AM753" s="5" t="n">
        <v>0.472</v>
      </c>
      <c r="AN753" s="5" t="n">
        <v>23.849</v>
      </c>
      <c r="AO753" s="5" t="n">
        <v>0.17</v>
      </c>
      <c r="AP753" s="5" t="n">
        <v>1</v>
      </c>
      <c r="AQ753" s="5" t="n">
        <v>0.724</v>
      </c>
      <c r="AR753" s="5" t="n">
        <v>0.132</v>
      </c>
      <c r="AS753" s="5" t="n">
        <v>0.123</v>
      </c>
      <c r="AT753" s="5" t="n">
        <v>0.847</v>
      </c>
      <c r="AU753" s="5" t="n">
        <v>0</v>
      </c>
      <c r="AV753" s="5" t="n">
        <v>1</v>
      </c>
      <c r="AW753" s="5" t="n">
        <v>0.75</v>
      </c>
      <c r="AX753" s="5" t="n">
        <v>0.138</v>
      </c>
      <c r="AY753" s="5" t="n">
        <v>0.128</v>
      </c>
      <c r="AZ753" s="5" t="n">
        <v>0.878</v>
      </c>
      <c r="BA753" s="5" t="n">
        <v>0</v>
      </c>
      <c r="BB753" s="5" t="n">
        <v>1</v>
      </c>
      <c r="BC753" s="5" t="n">
        <v>0.513</v>
      </c>
      <c r="BD753" s="5" t="n">
        <v>0.132</v>
      </c>
      <c r="BE753" s="5" t="n">
        <v>0.012</v>
      </c>
      <c r="BF753" s="5" t="n">
        <v>0.6</v>
      </c>
      <c r="BG753" s="5" t="n">
        <v>0.17</v>
      </c>
      <c r="BH753" s="5" t="n">
        <v>1</v>
      </c>
      <c r="BI753" s="5" t="n">
        <v>0.591</v>
      </c>
      <c r="BJ753" s="5" t="n">
        <v>0.13</v>
      </c>
      <c r="BK753" s="5" t="n">
        <v>0.014</v>
      </c>
      <c r="BL753" s="5" t="n">
        <v>0.6919999999999999</v>
      </c>
      <c r="BM753" s="5" t="n">
        <v>0.17</v>
      </c>
      <c r="BN753" s="5" t="n">
        <v>1</v>
      </c>
      <c r="BO753" s="5" t="n">
        <v>0</v>
      </c>
      <c r="BP753" s="5" t="n">
        <v>0</v>
      </c>
      <c r="BQ753" s="5" t="n">
        <v>0</v>
      </c>
      <c r="BR753" s="5" t="n">
        <v>0</v>
      </c>
      <c r="BS753" s="5" t="n">
        <v>1</v>
      </c>
      <c r="BT753" s="5" t="n">
        <v>0</v>
      </c>
      <c r="BU753" s="5" t="n">
        <v>0</v>
      </c>
      <c r="BV753" s="5" t="n">
        <v>0</v>
      </c>
      <c r="BW753" s="5" t="n">
        <v>0.17</v>
      </c>
      <c r="BX753" s="5" t="n">
        <v>1</v>
      </c>
      <c r="BY753" s="5" t="n">
        <v>13.646</v>
      </c>
      <c r="BZ753" s="5" t="n">
        <v>0</v>
      </c>
      <c r="CA753" s="5" t="n">
        <v>13.646</v>
      </c>
      <c r="CB753" s="5" t="n">
        <v>0</v>
      </c>
      <c r="CC753" s="5" t="n">
        <v>82.58799999999999</v>
      </c>
      <c r="CD753" s="5" t="n">
        <v>7.95</v>
      </c>
      <c r="CE753" s="5" t="n">
        <v>1.912</v>
      </c>
      <c r="CF753" s="5" t="n">
        <v>96.628</v>
      </c>
      <c r="CG753" s="5" t="n">
        <v>0.17</v>
      </c>
      <c r="CH753" s="5" t="n">
        <v>1</v>
      </c>
      <c r="CI753" s="5" t="n">
        <v>1</v>
      </c>
      <c r="CJ753" s="5" t="n">
        <v>1</v>
      </c>
      <c r="CK753" s="5" t="n">
        <v>0</v>
      </c>
      <c r="CL753" s="5" t="n">
        <v>0</v>
      </c>
      <c r="CM753" s="5" t="n">
        <v>0</v>
      </c>
      <c r="CN753" s="5" t="n">
        <v>0</v>
      </c>
      <c r="CO753" s="5" t="n">
        <v>0</v>
      </c>
      <c r="CP753" s="5" t="n">
        <v>0</v>
      </c>
      <c r="CQ753" s="5" t="n">
        <v>1.387</v>
      </c>
      <c r="CR753" s="5" t="n">
        <v>0</v>
      </c>
      <c r="CS753" s="5" t="n">
        <v>5.529</v>
      </c>
      <c r="CT753" s="5" t="n">
        <v>4.251</v>
      </c>
      <c r="CU753" s="5" t="n">
        <v>10.168</v>
      </c>
    </row>
    <row r="754">
      <c r="A754" s="5" t="inlineStr">
        <is>
          <t>SUR2021</t>
        </is>
      </c>
      <c r="B754" s="5" t="inlineStr">
        <is>
          <t>SUR</t>
        </is>
      </c>
      <c r="C754" s="5" t="inlineStr">
        <is>
          <t>SUR</t>
        </is>
      </c>
      <c r="D754" s="5" t="inlineStr">
        <is>
          <t>Suriname</t>
        </is>
      </c>
      <c r="E754" s="5" t="n">
        <v>2021</v>
      </c>
      <c r="F754" s="5" t="n">
        <v>0.1</v>
      </c>
      <c r="G754" s="5" t="n">
        <v>5.897</v>
      </c>
      <c r="H754" s="5" t="n">
        <v>1.143</v>
      </c>
      <c r="I754" s="5" t="n">
        <v>0</v>
      </c>
      <c r="J754" s="5" t="n">
        <v>5.897</v>
      </c>
      <c r="K754" s="5" t="n">
        <v>0</v>
      </c>
      <c r="L754" s="5" t="n">
        <v>1</v>
      </c>
      <c r="M754" s="5" t="n">
        <v>7.964</v>
      </c>
      <c r="N754" s="5" t="n">
        <v>3.43</v>
      </c>
      <c r="O754" s="5" t="n">
        <v>0</v>
      </c>
      <c r="P754" s="5" t="n">
        <v>7.964</v>
      </c>
      <c r="Q754" s="5" t="n">
        <v>0</v>
      </c>
      <c r="R754" s="5" t="n">
        <v>1</v>
      </c>
      <c r="S754" s="5" t="n">
        <v>11.613</v>
      </c>
      <c r="T754" s="5" t="n">
        <v>6.86</v>
      </c>
      <c r="U754" s="5" t="n">
        <v>0</v>
      </c>
      <c r="V754" s="5" t="n">
        <v>12.775</v>
      </c>
      <c r="W754" s="5" t="n">
        <v>0.1</v>
      </c>
      <c r="X754" s="5" t="n">
        <v>1</v>
      </c>
      <c r="Y754" s="5" t="n">
        <v>5.347</v>
      </c>
      <c r="Z754" s="5" t="n">
        <v>0.389</v>
      </c>
      <c r="AA754" s="5" t="n">
        <v>0</v>
      </c>
      <c r="AB754" s="5" t="n">
        <v>5.347</v>
      </c>
      <c r="AC754" s="5" t="n">
        <v>0</v>
      </c>
      <c r="AD754" s="5" t="n">
        <v>1</v>
      </c>
      <c r="AE754" s="5" t="n">
        <v>5.919</v>
      </c>
      <c r="AF754" s="5" t="n">
        <v>0.796</v>
      </c>
      <c r="AG754" s="5" t="n">
        <v>0</v>
      </c>
      <c r="AH754" s="5" t="n">
        <v>5.919</v>
      </c>
      <c r="AI754" s="5" t="n">
        <v>0</v>
      </c>
      <c r="AJ754" s="5" t="n">
        <v>1</v>
      </c>
      <c r="AK754" s="5" t="n">
        <v>9.349</v>
      </c>
      <c r="AL754" s="5" t="n">
        <v>3.497</v>
      </c>
      <c r="AM754" s="5" t="n">
        <v>0</v>
      </c>
      <c r="AN754" s="5" t="n">
        <v>10.284</v>
      </c>
      <c r="AO754" s="5" t="n">
        <v>0.1</v>
      </c>
      <c r="AP754" s="5" t="n">
        <v>1</v>
      </c>
      <c r="AQ754" s="5" t="n">
        <v>0.649</v>
      </c>
      <c r="AR754" s="5" t="n">
        <v>0.114</v>
      </c>
      <c r="AS754" s="5" t="n">
        <v>0.139</v>
      </c>
      <c r="AT754" s="5" t="n">
        <v>0.867</v>
      </c>
      <c r="AU754" s="5" t="n">
        <v>0.1</v>
      </c>
      <c r="AV754" s="5" t="n">
        <v>1</v>
      </c>
      <c r="AW754" s="5" t="n">
        <v>0.577</v>
      </c>
      <c r="AX754" s="5" t="n">
        <v>0.114</v>
      </c>
      <c r="AY754" s="5" t="n">
        <v>0.12</v>
      </c>
      <c r="AZ754" s="5" t="n">
        <v>0.766</v>
      </c>
      <c r="BA754" s="5" t="n">
        <v>0.1</v>
      </c>
      <c r="BB754" s="5" t="n">
        <v>1</v>
      </c>
      <c r="BC754" s="5" t="n">
        <v>0.458</v>
      </c>
      <c r="BD754" s="5" t="n">
        <v>0.114</v>
      </c>
      <c r="BE754" s="5" t="n">
        <v>0</v>
      </c>
      <c r="BF754" s="5" t="n">
        <v>0.504</v>
      </c>
      <c r="BG754" s="5" t="n">
        <v>0.1</v>
      </c>
      <c r="BH754" s="5" t="n">
        <v>1</v>
      </c>
      <c r="BI754" s="5" t="n">
        <v>0.491</v>
      </c>
      <c r="BJ754" s="5" t="n">
        <v>0.114</v>
      </c>
      <c r="BK754" s="5" t="n">
        <v>0</v>
      </c>
      <c r="BL754" s="5" t="n">
        <v>0.54</v>
      </c>
      <c r="BM754" s="5" t="n">
        <v>0.1</v>
      </c>
      <c r="BN754" s="5" t="n">
        <v>1</v>
      </c>
      <c r="BO754" s="5" t="n">
        <v>0</v>
      </c>
      <c r="BP754" s="5" t="n">
        <v>0</v>
      </c>
      <c r="BQ754" s="5" t="n">
        <v>0.06900000000000001</v>
      </c>
      <c r="BR754" s="5" t="n">
        <v>0</v>
      </c>
      <c r="BS754" s="5" t="n">
        <v>1</v>
      </c>
      <c r="BT754" s="5" t="n">
        <v>0</v>
      </c>
      <c r="BU754" s="5" t="n">
        <v>0</v>
      </c>
      <c r="BV754" s="5" t="n">
        <v>0.031</v>
      </c>
      <c r="BW754" s="5" t="n">
        <v>0</v>
      </c>
      <c r="BX754" s="5" t="n">
        <v>1</v>
      </c>
      <c r="BY754" s="5" t="n">
        <v>11.787</v>
      </c>
      <c r="BZ754" s="5" t="n">
        <v>0</v>
      </c>
      <c r="CA754" s="5" t="n">
        <v>11.787</v>
      </c>
      <c r="CB754" s="5" t="n">
        <v>0</v>
      </c>
      <c r="CC754" s="5" t="n">
        <v>78.125</v>
      </c>
      <c r="CD754" s="5" t="n">
        <v>7.95</v>
      </c>
      <c r="CE754" s="5" t="n">
        <v>-5.776</v>
      </c>
      <c r="CF754" s="5" t="n">
        <v>79.584</v>
      </c>
      <c r="CG754" s="5" t="n">
        <v>0.1</v>
      </c>
      <c r="CH754" s="5" t="n">
        <v>1</v>
      </c>
      <c r="CI754" s="5" t="n">
        <v>0</v>
      </c>
      <c r="CJ754" s="5" t="n">
        <v>0</v>
      </c>
      <c r="CK754" s="5" t="n">
        <v>0</v>
      </c>
      <c r="CL754" s="5" t="n">
        <v>0</v>
      </c>
      <c r="CM754" s="5" t="n">
        <v>0</v>
      </c>
      <c r="CN754" s="5" t="n">
        <v>0</v>
      </c>
      <c r="CO754" s="5" t="n">
        <v>0</v>
      </c>
      <c r="CP754" s="5" t="n">
        <v>0</v>
      </c>
      <c r="CQ754" s="5" t="n">
        <v>1.198</v>
      </c>
      <c r="CR754" s="5" t="n">
        <v>1</v>
      </c>
      <c r="CS754" s="5" t="n">
        <v>4.776</v>
      </c>
      <c r="CT754" s="5" t="n">
        <v>4.753</v>
      </c>
      <c r="CU754" s="5" t="n">
        <v>15.983</v>
      </c>
    </row>
    <row r="755">
      <c r="A755" s="5" t="inlineStr">
        <is>
          <t>SUR2022</t>
        </is>
      </c>
      <c r="B755" s="5" t="inlineStr">
        <is>
          <t>SUR</t>
        </is>
      </c>
      <c r="C755" s="5" t="inlineStr">
        <is>
          <t>SUR</t>
        </is>
      </c>
      <c r="D755" s="5" t="inlineStr">
        <is>
          <t>Suriname</t>
        </is>
      </c>
      <c r="E755" s="5" t="n">
        <v>2022</v>
      </c>
      <c r="F755" s="5" t="n">
        <v>0.1</v>
      </c>
      <c r="G755" s="5" t="n">
        <v>11.72</v>
      </c>
      <c r="H755" s="5" t="n">
        <v>1.235</v>
      </c>
      <c r="I755" s="5" t="n">
        <v>0</v>
      </c>
      <c r="J755" s="5" t="n">
        <v>11.72</v>
      </c>
      <c r="K755" s="5" t="n">
        <v>0</v>
      </c>
      <c r="L755" s="5" t="n">
        <v>1</v>
      </c>
      <c r="M755" s="5" t="n">
        <v>9.782999999999999</v>
      </c>
      <c r="N755" s="5" t="n">
        <v>3.704</v>
      </c>
      <c r="O755" s="5" t="n">
        <v>0</v>
      </c>
      <c r="P755" s="5" t="n">
        <v>9.782999999999999</v>
      </c>
      <c r="Q755" s="5" t="n">
        <v>0</v>
      </c>
      <c r="R755" s="5" t="n">
        <v>1</v>
      </c>
      <c r="S755" s="5" t="n">
        <v>17.893</v>
      </c>
      <c r="T755" s="5" t="n">
        <v>7.408</v>
      </c>
      <c r="U755" s="5" t="n">
        <v>0.132</v>
      </c>
      <c r="V755" s="5" t="n">
        <v>19.683</v>
      </c>
      <c r="W755" s="5" t="n">
        <v>0.1</v>
      </c>
      <c r="X755" s="5" t="n">
        <v>1</v>
      </c>
      <c r="Y755" s="5" t="n">
        <v>5.775</v>
      </c>
      <c r="Z755" s="5" t="n">
        <v>0.42</v>
      </c>
      <c r="AA755" s="5" t="n">
        <v>0</v>
      </c>
      <c r="AB755" s="5" t="n">
        <v>5.775</v>
      </c>
      <c r="AC755" s="5" t="n">
        <v>0</v>
      </c>
      <c r="AD755" s="5" t="n">
        <v>1</v>
      </c>
      <c r="AE755" s="5" t="n">
        <v>6.392</v>
      </c>
      <c r="AF755" s="5" t="n">
        <v>0.86</v>
      </c>
      <c r="AG755" s="5" t="n">
        <v>0</v>
      </c>
      <c r="AH755" s="5" t="n">
        <v>6.392</v>
      </c>
      <c r="AI755" s="5" t="n">
        <v>0</v>
      </c>
      <c r="AJ755" s="5" t="n">
        <v>1</v>
      </c>
      <c r="AK755" s="5" t="n">
        <v>10.096</v>
      </c>
      <c r="AL755" s="5" t="n">
        <v>3.776</v>
      </c>
      <c r="AM755" s="5" t="n">
        <v>0.075</v>
      </c>
      <c r="AN755" s="5" t="n">
        <v>11.106</v>
      </c>
      <c r="AO755" s="5" t="n">
        <v>0.1</v>
      </c>
      <c r="AP755" s="5" t="n">
        <v>1</v>
      </c>
      <c r="AQ755" s="5" t="n">
        <v>0.896</v>
      </c>
      <c r="AR755" s="5" t="n">
        <v>0.123</v>
      </c>
      <c r="AS755" s="5" t="n">
        <v>0.039</v>
      </c>
      <c r="AT755" s="5" t="n">
        <v>1.028</v>
      </c>
      <c r="AU755" s="5" t="n">
        <v>0.1</v>
      </c>
      <c r="AV755" s="5" t="n">
        <v>1</v>
      </c>
      <c r="AW755" s="5" t="n">
        <v>0.89</v>
      </c>
      <c r="AX755" s="5" t="n">
        <v>0.123</v>
      </c>
      <c r="AY755" s="5" t="n">
        <v>-0.176</v>
      </c>
      <c r="AZ755" s="5" t="n">
        <v>0.786</v>
      </c>
      <c r="BA755" s="5" t="n">
        <v>0.1</v>
      </c>
      <c r="BB755" s="5" t="n">
        <v>1</v>
      </c>
      <c r="BC755" s="5" t="n">
        <v>0.62</v>
      </c>
      <c r="BD755" s="5" t="n">
        <v>0.123</v>
      </c>
      <c r="BE755" s="5" t="n">
        <v>0.005</v>
      </c>
      <c r="BF755" s="5" t="n">
        <v>0.6820000000000001</v>
      </c>
      <c r="BG755" s="5" t="n">
        <v>0.1</v>
      </c>
      <c r="BH755" s="5" t="n">
        <v>1</v>
      </c>
      <c r="BI755" s="5" t="n">
        <v>0.608</v>
      </c>
      <c r="BJ755" s="5" t="n">
        <v>0.123</v>
      </c>
      <c r="BK755" s="5" t="n">
        <v>0.004</v>
      </c>
      <c r="BL755" s="5" t="n">
        <v>0.668</v>
      </c>
      <c r="BM755" s="5" t="n">
        <v>0.1</v>
      </c>
      <c r="BN755" s="5" t="n">
        <v>1</v>
      </c>
      <c r="BO755" s="5" t="n">
        <v>0</v>
      </c>
      <c r="BP755" s="5" t="n">
        <v>0</v>
      </c>
      <c r="BQ755" s="5" t="n">
        <v>0.074</v>
      </c>
      <c r="BR755" s="5" t="n">
        <v>0</v>
      </c>
      <c r="BS755" s="5" t="n">
        <v>1</v>
      </c>
      <c r="BT755" s="5" t="n">
        <v>0</v>
      </c>
      <c r="BU755" s="5" t="n">
        <v>0</v>
      </c>
      <c r="BV755" s="5" t="n">
        <v>0.032</v>
      </c>
      <c r="BW755" s="5" t="n">
        <v>0</v>
      </c>
      <c r="BX755" s="5" t="n">
        <v>1</v>
      </c>
      <c r="BY755" s="5" t="n">
        <v>12.729</v>
      </c>
      <c r="BZ755" s="5" t="n">
        <v>0</v>
      </c>
      <c r="CA755" s="5" t="n">
        <v>12.729</v>
      </c>
      <c r="CB755" s="5" t="n">
        <v>0</v>
      </c>
      <c r="CC755" s="5" t="n">
        <v>97.90000000000001</v>
      </c>
      <c r="CD755" s="5" t="n">
        <v>7.95</v>
      </c>
      <c r="CE755" s="5" t="n">
        <v>-6.798</v>
      </c>
      <c r="CF755" s="5" t="n">
        <v>99.476</v>
      </c>
      <c r="CG755" s="5" t="n">
        <v>0.1</v>
      </c>
      <c r="CH755" s="5" t="n">
        <v>1</v>
      </c>
      <c r="CI755" s="5" t="n">
        <v>0</v>
      </c>
      <c r="CJ755" s="5" t="n">
        <v>0</v>
      </c>
      <c r="CK755" s="5" t="n">
        <v>0</v>
      </c>
      <c r="CL755" s="5" t="n">
        <v>0</v>
      </c>
      <c r="CM755" s="5" t="n">
        <v>0</v>
      </c>
      <c r="CN755" s="5" t="n">
        <v>0</v>
      </c>
      <c r="CO755" s="5" t="n">
        <v>0</v>
      </c>
      <c r="CP755" s="5" t="n">
        <v>0</v>
      </c>
      <c r="CQ755" s="5" t="n">
        <v>1.294</v>
      </c>
      <c r="CR755" s="5" t="n">
        <v>1</v>
      </c>
      <c r="CS755" s="5" t="n">
        <v>5.158</v>
      </c>
      <c r="CT755" s="5" t="n">
        <v>10.485</v>
      </c>
      <c r="CU755" s="5" t="n">
        <v>29.494</v>
      </c>
    </row>
    <row r="756">
      <c r="A756" s="5" t="inlineStr">
        <is>
          <t>SUR2023</t>
        </is>
      </c>
      <c r="B756" s="5" t="inlineStr">
        <is>
          <t>SUR</t>
        </is>
      </c>
      <c r="C756" s="5" t="inlineStr">
        <is>
          <t>SUR</t>
        </is>
      </c>
      <c r="D756" s="5" t="inlineStr">
        <is>
          <t>Suriname</t>
        </is>
      </c>
      <c r="E756" s="5" t="n">
        <v>2023</v>
      </c>
      <c r="F756" s="5" t="n">
        <v>0.1</v>
      </c>
      <c r="G756" s="5" t="n">
        <v>6.147</v>
      </c>
      <c r="H756" s="5" t="n">
        <v>1.286</v>
      </c>
      <c r="I756" s="5" t="n">
        <v>0</v>
      </c>
      <c r="J756" s="5" t="n">
        <v>6.147</v>
      </c>
      <c r="K756" s="5" t="n">
        <v>0</v>
      </c>
      <c r="L756" s="5" t="n">
        <v>1</v>
      </c>
      <c r="M756" s="5" t="n">
        <v>7.886</v>
      </c>
      <c r="N756" s="5" t="n">
        <v>3.857</v>
      </c>
      <c r="O756" s="5" t="n">
        <v>0</v>
      </c>
      <c r="P756" s="5" t="n">
        <v>7.886</v>
      </c>
      <c r="Q756" s="5" t="n">
        <v>0</v>
      </c>
      <c r="R756" s="5" t="n">
        <v>1</v>
      </c>
      <c r="S756" s="5" t="n">
        <v>12.575</v>
      </c>
      <c r="T756" s="5" t="n">
        <v>7.714</v>
      </c>
      <c r="U756" s="5" t="n">
        <v>0.139</v>
      </c>
      <c r="V756" s="5" t="n">
        <v>13.833</v>
      </c>
      <c r="W756" s="5" t="n">
        <v>0.1</v>
      </c>
      <c r="X756" s="5" t="n">
        <v>1</v>
      </c>
      <c r="Y756" s="5" t="n">
        <v>6.013</v>
      </c>
      <c r="Z756" s="5" t="n">
        <v>0.438</v>
      </c>
      <c r="AA756" s="5" t="n">
        <v>0</v>
      </c>
      <c r="AB756" s="5" t="n">
        <v>6.013</v>
      </c>
      <c r="AC756" s="5" t="n">
        <v>0</v>
      </c>
      <c r="AD756" s="5" t="n">
        <v>1</v>
      </c>
      <c r="AE756" s="5" t="n">
        <v>6.656</v>
      </c>
      <c r="AF756" s="5" t="n">
        <v>0.895</v>
      </c>
      <c r="AG756" s="5" t="n">
        <v>0</v>
      </c>
      <c r="AH756" s="5" t="n">
        <v>6.656</v>
      </c>
      <c r="AI756" s="5" t="n">
        <v>0</v>
      </c>
      <c r="AJ756" s="5" t="n">
        <v>1</v>
      </c>
      <c r="AK756" s="5" t="n">
        <v>10.513</v>
      </c>
      <c r="AL756" s="5" t="n">
        <v>3.932</v>
      </c>
      <c r="AM756" s="5" t="n">
        <v>0.116</v>
      </c>
      <c r="AN756" s="5" t="n">
        <v>11.564</v>
      </c>
      <c r="AO756" s="5" t="n">
        <v>0.1</v>
      </c>
      <c r="AP756" s="5" t="n">
        <v>1</v>
      </c>
      <c r="AQ756" s="5" t="n">
        <v>0.791</v>
      </c>
      <c r="AR756" s="5" t="n">
        <v>0.129</v>
      </c>
      <c r="AS756" s="5" t="n">
        <v>0.263</v>
      </c>
      <c r="AT756" s="5" t="n">
        <v>1.159</v>
      </c>
      <c r="AU756" s="5" t="n">
        <v>0.1</v>
      </c>
      <c r="AV756" s="5" t="n">
        <v>1</v>
      </c>
      <c r="AW756" s="5" t="n">
        <v>0.618</v>
      </c>
      <c r="AX756" s="5" t="n">
        <v>0.129</v>
      </c>
      <c r="AY756" s="5" t="n">
        <v>0.316</v>
      </c>
      <c r="AZ756" s="5" t="n">
        <v>1.027</v>
      </c>
      <c r="BA756" s="5" t="n">
        <v>0.1</v>
      </c>
      <c r="BB756" s="5" t="n">
        <v>1</v>
      </c>
      <c r="BC756" s="5" t="n">
        <v>0.554</v>
      </c>
      <c r="BD756" s="5" t="n">
        <v>0.129</v>
      </c>
      <c r="BE756" s="5" t="n">
        <v>0.006</v>
      </c>
      <c r="BF756" s="5" t="n">
        <v>0.61</v>
      </c>
      <c r="BG756" s="5" t="n">
        <v>0.1</v>
      </c>
      <c r="BH756" s="5" t="n">
        <v>1</v>
      </c>
      <c r="BI756" s="5" t="n">
        <v>0.5570000000000001</v>
      </c>
      <c r="BJ756" s="5" t="n">
        <v>0.129</v>
      </c>
      <c r="BK756" s="5" t="n">
        <v>0.006</v>
      </c>
      <c r="BL756" s="5" t="n">
        <v>0.613</v>
      </c>
      <c r="BM756" s="5" t="n">
        <v>0.1</v>
      </c>
      <c r="BN756" s="5" t="n">
        <v>1</v>
      </c>
      <c r="BO756" s="5" t="n">
        <v>0</v>
      </c>
      <c r="BP756" s="5" t="n">
        <v>0</v>
      </c>
      <c r="BQ756" s="5" t="n">
        <v>0.077</v>
      </c>
      <c r="BR756" s="5" t="n">
        <v>0</v>
      </c>
      <c r="BS756" s="5" t="n">
        <v>1</v>
      </c>
      <c r="BT756" s="5" t="n">
        <v>0</v>
      </c>
      <c r="BU756" s="5" t="n">
        <v>0</v>
      </c>
      <c r="BV756" s="5" t="n">
        <v>0.036</v>
      </c>
      <c r="BW756" s="5" t="n">
        <v>0</v>
      </c>
      <c r="BX756" s="5" t="n">
        <v>1</v>
      </c>
      <c r="BY756" s="5" t="n">
        <v>13.254</v>
      </c>
      <c r="BZ756" s="5" t="n">
        <v>0</v>
      </c>
      <c r="CA756" s="5" t="n">
        <v>13.254</v>
      </c>
      <c r="CB756" s="5" t="n">
        <v>0</v>
      </c>
      <c r="CC756" s="5" t="n">
        <v>83.248</v>
      </c>
      <c r="CD756" s="5" t="n">
        <v>7.95</v>
      </c>
      <c r="CE756" s="5" t="n">
        <v>-5.222</v>
      </c>
      <c r="CF756" s="5" t="n">
        <v>84.889</v>
      </c>
      <c r="CG756" s="5" t="n">
        <v>0.1</v>
      </c>
      <c r="CH756" s="5" t="n">
        <v>1</v>
      </c>
      <c r="CI756" s="5" t="n">
        <v>0</v>
      </c>
      <c r="CJ756" s="5" t="n">
        <v>0</v>
      </c>
      <c r="CK756" s="5" t="n">
        <v>0</v>
      </c>
      <c r="CL756" s="5" t="n">
        <v>0</v>
      </c>
      <c r="CM756" s="5" t="n">
        <v>0</v>
      </c>
      <c r="CN756" s="5" t="n">
        <v>0</v>
      </c>
      <c r="CO756" s="5" t="n">
        <v>0</v>
      </c>
      <c r="CP756" s="5" t="n">
        <v>0</v>
      </c>
      <c r="CQ756" s="5" t="n">
        <v>1.348</v>
      </c>
      <c r="CR756" s="5" t="n">
        <v>1</v>
      </c>
      <c r="CS756" s="5" t="n">
        <v>5.37</v>
      </c>
      <c r="CT756" s="5" t="n">
        <v>4.861</v>
      </c>
      <c r="CU756" s="5" t="n">
        <v>11.192</v>
      </c>
    </row>
    <row r="757">
      <c r="A757" s="5" t="inlineStr">
        <is>
          <t>SUR2024</t>
        </is>
      </c>
      <c r="B757" s="5" t="inlineStr">
        <is>
          <t>SUR</t>
        </is>
      </c>
      <c r="C757" s="5" t="inlineStr">
        <is>
          <t>SUR</t>
        </is>
      </c>
      <c r="D757" s="5" t="inlineStr">
        <is>
          <t>Suriname</t>
        </is>
      </c>
      <c r="E757" s="5" t="n">
        <v>2024</v>
      </c>
      <c r="F757" s="5" t="n">
        <v>0.1</v>
      </c>
      <c r="G757" s="5" t="n">
        <v>5.575</v>
      </c>
      <c r="H757" s="5" t="n">
        <v>1.324</v>
      </c>
      <c r="I757" s="5" t="n">
        <v>0</v>
      </c>
      <c r="J757" s="5" t="n">
        <v>5.575</v>
      </c>
      <c r="K757" s="5" t="n">
        <v>0</v>
      </c>
      <c r="L757" s="5" t="n">
        <v>1</v>
      </c>
      <c r="M757" s="5" t="n">
        <v>7.124</v>
      </c>
      <c r="N757" s="5" t="n">
        <v>3.971</v>
      </c>
      <c r="O757" s="5" t="n">
        <v>0</v>
      </c>
      <c r="P757" s="5" t="n">
        <v>7.124</v>
      </c>
      <c r="Q757" s="5" t="n">
        <v>0</v>
      </c>
      <c r="R757" s="5" t="n">
        <v>1</v>
      </c>
      <c r="S757" s="5" t="n">
        <v>12.193</v>
      </c>
      <c r="T757" s="5" t="n">
        <v>7.942</v>
      </c>
      <c r="U757" s="5" t="n">
        <v>0.166</v>
      </c>
      <c r="V757" s="5" t="n">
        <v>13.412</v>
      </c>
      <c r="W757" s="5" t="n">
        <v>0.1</v>
      </c>
      <c r="X757" s="5" t="n">
        <v>1</v>
      </c>
      <c r="Y757" s="5" t="n">
        <v>6.191</v>
      </c>
      <c r="Z757" s="5" t="n">
        <v>0.451</v>
      </c>
      <c r="AA757" s="5" t="n">
        <v>0</v>
      </c>
      <c r="AB757" s="5" t="n">
        <v>6.191</v>
      </c>
      <c r="AC757" s="5" t="n">
        <v>0</v>
      </c>
      <c r="AD757" s="5" t="n">
        <v>1</v>
      </c>
      <c r="AE757" s="5" t="n">
        <v>6.853</v>
      </c>
      <c r="AF757" s="5" t="n">
        <v>0.922</v>
      </c>
      <c r="AG757" s="5" t="n">
        <v>0</v>
      </c>
      <c r="AH757" s="5" t="n">
        <v>6.853</v>
      </c>
      <c r="AI757" s="5" t="n">
        <v>0</v>
      </c>
      <c r="AJ757" s="5" t="n">
        <v>1</v>
      </c>
      <c r="AK757" s="5" t="n">
        <v>10.823</v>
      </c>
      <c r="AL757" s="5" t="n">
        <v>4.048</v>
      </c>
      <c r="AM757" s="5" t="n">
        <v>0.147</v>
      </c>
      <c r="AN757" s="5" t="n">
        <v>11.906</v>
      </c>
      <c r="AO757" s="5" t="n">
        <v>0.1</v>
      </c>
      <c r="AP757" s="5" t="n">
        <v>1</v>
      </c>
      <c r="AQ757" s="5" t="n">
        <v>0.756</v>
      </c>
      <c r="AR757" s="5" t="n">
        <v>0.132</v>
      </c>
      <c r="AS757" s="5" t="n">
        <v>0.445</v>
      </c>
      <c r="AT757" s="5" t="n">
        <v>1.321</v>
      </c>
      <c r="AU757" s="5" t="n">
        <v>0.1</v>
      </c>
      <c r="AV757" s="5" t="n">
        <v>1</v>
      </c>
      <c r="AW757" s="5" t="n">
        <v>0.655</v>
      </c>
      <c r="AX757" s="5" t="n">
        <v>0.132</v>
      </c>
      <c r="AY757" s="5" t="n">
        <v>0.426</v>
      </c>
      <c r="AZ757" s="5" t="n">
        <v>1.19</v>
      </c>
      <c r="BA757" s="5" t="n">
        <v>0.1</v>
      </c>
      <c r="BB757" s="5" t="n">
        <v>1</v>
      </c>
      <c r="BC757" s="5" t="n">
        <v>0.534</v>
      </c>
      <c r="BD757" s="5" t="n">
        <v>0.132</v>
      </c>
      <c r="BE757" s="5" t="n">
        <v>0.007</v>
      </c>
      <c r="BF757" s="5" t="n">
        <v>0.587</v>
      </c>
      <c r="BG757" s="5" t="n">
        <v>0.1</v>
      </c>
      <c r="BH757" s="5" t="n">
        <v>1</v>
      </c>
      <c r="BI757" s="5" t="n">
        <v>0.5679999999999999</v>
      </c>
      <c r="BJ757" s="5" t="n">
        <v>0.132</v>
      </c>
      <c r="BK757" s="5" t="n">
        <v>0.008</v>
      </c>
      <c r="BL757" s="5" t="n">
        <v>0.625</v>
      </c>
      <c r="BM757" s="5" t="n">
        <v>0.1</v>
      </c>
      <c r="BN757" s="5" t="n">
        <v>1</v>
      </c>
      <c r="BO757" s="5" t="n">
        <v>0</v>
      </c>
      <c r="BP757" s="5" t="n">
        <v>0</v>
      </c>
      <c r="BQ757" s="5" t="n">
        <v>0.079</v>
      </c>
      <c r="BR757" s="5" t="n">
        <v>0</v>
      </c>
      <c r="BS757" s="5" t="n">
        <v>1</v>
      </c>
      <c r="BT757" s="5" t="n">
        <v>0</v>
      </c>
      <c r="BU757" s="5" t="n">
        <v>0</v>
      </c>
      <c r="BV757" s="5" t="n">
        <v>0.073</v>
      </c>
      <c r="BW757" s="5" t="n">
        <v>0</v>
      </c>
      <c r="BX757" s="5" t="n">
        <v>1</v>
      </c>
      <c r="BY757" s="5" t="n">
        <v>13.646</v>
      </c>
      <c r="BZ757" s="5" t="n">
        <v>0</v>
      </c>
      <c r="CA757" s="5" t="n">
        <v>13.646</v>
      </c>
      <c r="CB757" s="5" t="n">
        <v>0</v>
      </c>
      <c r="CC757" s="5" t="n">
        <v>82.58799999999999</v>
      </c>
      <c r="CD757" s="5" t="n">
        <v>7.95</v>
      </c>
      <c r="CE757" s="5" t="n">
        <v>-4.928</v>
      </c>
      <c r="CF757" s="5" t="n">
        <v>84.27800000000001</v>
      </c>
      <c r="CG757" s="5" t="n">
        <v>0.1</v>
      </c>
      <c r="CH757" s="5" t="n">
        <v>1</v>
      </c>
      <c r="CI757" s="5" t="n">
        <v>0</v>
      </c>
      <c r="CJ757" s="5" t="n">
        <v>0</v>
      </c>
      <c r="CK757" s="5" t="n">
        <v>0</v>
      </c>
      <c r="CL757" s="5" t="n">
        <v>0</v>
      </c>
      <c r="CM757" s="5" t="n">
        <v>0</v>
      </c>
      <c r="CN757" s="5" t="n">
        <v>0</v>
      </c>
      <c r="CO757" s="5" t="n">
        <v>0</v>
      </c>
      <c r="CP757" s="5" t="n">
        <v>0</v>
      </c>
      <c r="CQ757" s="5" t="n">
        <v>1.387</v>
      </c>
      <c r="CR757" s="5" t="n">
        <v>1</v>
      </c>
      <c r="CS757" s="5" t="n">
        <v>5.529</v>
      </c>
      <c r="CT757" s="5" t="n">
        <v>4.251</v>
      </c>
      <c r="CU757" s="5" t="n">
        <v>10.123</v>
      </c>
    </row>
    <row r="758">
      <c r="A758" s="5" t="inlineStr">
        <is>
          <t>SWE2021</t>
        </is>
      </c>
      <c r="B758" s="5" t="inlineStr">
        <is>
          <t>SWE</t>
        </is>
      </c>
      <c r="C758" s="5" t="inlineStr">
        <is>
          <t>SWE</t>
        </is>
      </c>
      <c r="D758" s="5" t="inlineStr">
        <is>
          <t>Sweden</t>
        </is>
      </c>
      <c r="E758" s="5" t="n">
        <v>2021</v>
      </c>
      <c r="F758" s="5" t="n">
        <v>0.25</v>
      </c>
      <c r="G758" s="5" t="n">
        <v>7.214</v>
      </c>
      <c r="H758" s="5" t="n">
        <v>1.097</v>
      </c>
      <c r="I758" s="5" t="n">
        <v>0.454</v>
      </c>
      <c r="J758" s="5" t="n">
        <v>7.668</v>
      </c>
      <c r="K758" s="5" t="n">
        <v>0</v>
      </c>
      <c r="L758" s="5" t="n">
        <v>1</v>
      </c>
      <c r="M758" s="5" t="n">
        <v>8.506</v>
      </c>
      <c r="N758" s="5" t="n">
        <v>3.29</v>
      </c>
      <c r="O758" s="5" t="n">
        <v>0.774</v>
      </c>
      <c r="P758" s="5" t="n">
        <v>9.279999999999999</v>
      </c>
      <c r="Q758" s="5" t="n">
        <v>0</v>
      </c>
      <c r="R758" s="5" t="n">
        <v>1</v>
      </c>
      <c r="S758" s="5" t="n">
        <v>12.697</v>
      </c>
      <c r="T758" s="5" t="n">
        <v>6.579</v>
      </c>
      <c r="U758" s="5" t="n">
        <v>11.458</v>
      </c>
      <c r="V758" s="5" t="n">
        <v>30.193</v>
      </c>
      <c r="W758" s="5" t="n">
        <v>0.25</v>
      </c>
      <c r="X758" s="5" t="n">
        <v>1</v>
      </c>
      <c r="Y758" s="5" t="n">
        <v>16.459</v>
      </c>
      <c r="Z758" s="5" t="n">
        <v>1.818</v>
      </c>
      <c r="AA758" s="5" t="n">
        <v>11.814</v>
      </c>
      <c r="AB758" s="5" t="n">
        <v>28.273</v>
      </c>
      <c r="AC758" s="5" t="n">
        <v>0</v>
      </c>
      <c r="AD758" s="5" t="n">
        <v>1</v>
      </c>
      <c r="AE758" s="5" t="n">
        <v>16.416</v>
      </c>
      <c r="AF758" s="5" t="n">
        <v>3.23</v>
      </c>
      <c r="AG758" s="5" t="n">
        <v>11.858</v>
      </c>
      <c r="AH758" s="5" t="n">
        <v>28.273</v>
      </c>
      <c r="AI758" s="5" t="n">
        <v>0</v>
      </c>
      <c r="AJ758" s="5" t="n">
        <v>1</v>
      </c>
      <c r="AK758" s="5" t="n">
        <v>27.803</v>
      </c>
      <c r="AL758" s="5" t="n">
        <v>13.646</v>
      </c>
      <c r="AM758" s="5" t="n">
        <v>18.149</v>
      </c>
      <c r="AN758" s="5" t="n">
        <v>57.441</v>
      </c>
      <c r="AO758" s="5" t="n">
        <v>0.25</v>
      </c>
      <c r="AP758" s="5" t="n">
        <v>1</v>
      </c>
      <c r="AQ758" s="5" t="n">
        <v>0.619</v>
      </c>
      <c r="AR758" s="5" t="n">
        <v>0.114</v>
      </c>
      <c r="AS758" s="5" t="n">
        <v>0.904</v>
      </c>
      <c r="AT758" s="5" t="n">
        <v>1.904</v>
      </c>
      <c r="AU758" s="5" t="n">
        <v>0.25</v>
      </c>
      <c r="AV758" s="5" t="n">
        <v>1</v>
      </c>
      <c r="AW758" s="5" t="n">
        <v>0.599</v>
      </c>
      <c r="AX758" s="5" t="n">
        <v>0.114</v>
      </c>
      <c r="AY758" s="5" t="n">
        <v>0.987</v>
      </c>
      <c r="AZ758" s="5" t="n">
        <v>1.984</v>
      </c>
      <c r="BA758" s="5" t="n">
        <v>0.25</v>
      </c>
      <c r="BB758" s="5" t="n">
        <v>1</v>
      </c>
      <c r="BC758" s="5" t="n">
        <v>0.439</v>
      </c>
      <c r="BD758" s="5" t="n">
        <v>0.114</v>
      </c>
      <c r="BE758" s="5" t="n">
        <v>0.656</v>
      </c>
      <c r="BF758" s="5" t="n">
        <v>1.369</v>
      </c>
      <c r="BG758" s="5" t="n">
        <v>0.25</v>
      </c>
      <c r="BH758" s="5" t="n">
        <v>1</v>
      </c>
      <c r="BI758" s="5" t="n">
        <v>0.505</v>
      </c>
      <c r="BJ758" s="5" t="n">
        <v>0.114</v>
      </c>
      <c r="BK758" s="5" t="n">
        <v>1.099</v>
      </c>
      <c r="BL758" s="5" t="n">
        <v>2.005</v>
      </c>
      <c r="BM758" s="5" t="n">
        <v>0.25</v>
      </c>
      <c r="BN758" s="5" t="n">
        <v>1</v>
      </c>
      <c r="BO758" s="5" t="n">
        <v>0</v>
      </c>
      <c r="BP758" s="5" t="n">
        <v>0.001</v>
      </c>
      <c r="BQ758" s="5" t="n">
        <v>0.079</v>
      </c>
      <c r="BR758" s="5" t="n">
        <v>0</v>
      </c>
      <c r="BS758" s="5" t="n">
        <v>1</v>
      </c>
      <c r="BT758" s="5" t="n">
        <v>0</v>
      </c>
      <c r="BU758" s="5" t="n">
        <v>0.042</v>
      </c>
      <c r="BV758" s="5" t="n">
        <v>0.279</v>
      </c>
      <c r="BW758" s="5" t="n">
        <v>0.25</v>
      </c>
      <c r="BX758" s="5" t="n">
        <v>1</v>
      </c>
      <c r="BY758" s="5" t="n">
        <v>11.787</v>
      </c>
      <c r="BZ758" s="5" t="n">
        <v>0</v>
      </c>
      <c r="CA758" s="5" t="n">
        <v>11.787</v>
      </c>
      <c r="CB758" s="5" t="n">
        <v>0</v>
      </c>
      <c r="CC758" s="5" t="n">
        <v>78.125</v>
      </c>
      <c r="CD758" s="5" t="n">
        <v>7.95</v>
      </c>
      <c r="CE758" s="5" t="n">
        <v>99.11199999999999</v>
      </c>
      <c r="CF758" s="5" t="n">
        <v>221.546</v>
      </c>
      <c r="CG758" s="5" t="n">
        <v>0.25</v>
      </c>
      <c r="CH758" s="5" t="n">
        <v>1</v>
      </c>
      <c r="CI758" s="5" t="n">
        <v>0</v>
      </c>
      <c r="CJ758" s="5" t="n">
        <v>0</v>
      </c>
      <c r="CK758" s="5" t="n">
        <v>0</v>
      </c>
      <c r="CL758" s="5" t="n">
        <v>0</v>
      </c>
      <c r="CM758" s="5" t="n">
        <v>0</v>
      </c>
      <c r="CN758" s="5" t="n">
        <v>0</v>
      </c>
      <c r="CO758" s="5" t="n">
        <v>0</v>
      </c>
      <c r="CP758" s="5" t="n">
        <v>0.082</v>
      </c>
      <c r="CQ758" s="5" t="n">
        <v>1.198</v>
      </c>
      <c r="CR758" s="5" t="n">
        <v>0</v>
      </c>
      <c r="CS758" s="5" t="n">
        <v>4.776</v>
      </c>
      <c r="CT758" s="5" t="n">
        <v>6.555</v>
      </c>
      <c r="CU758" s="5" t="n">
        <v>7.507</v>
      </c>
    </row>
    <row r="759">
      <c r="A759" s="5" t="inlineStr">
        <is>
          <t>SWE2022</t>
        </is>
      </c>
      <c r="B759" s="5" t="inlineStr">
        <is>
          <t>SWE</t>
        </is>
      </c>
      <c r="C759" s="5" t="inlineStr">
        <is>
          <t>SWE</t>
        </is>
      </c>
      <c r="D759" s="5" t="inlineStr">
        <is>
          <t>Sweden</t>
        </is>
      </c>
      <c r="E759" s="5" t="n">
        <v>2022</v>
      </c>
      <c r="F759" s="5" t="n">
        <v>0.25</v>
      </c>
      <c r="G759" s="5" t="n">
        <v>17.95</v>
      </c>
      <c r="H759" s="5" t="n">
        <v>1.235</v>
      </c>
      <c r="I759" s="5" t="n">
        <v>11.97</v>
      </c>
      <c r="J759" s="5" t="n">
        <v>29.92</v>
      </c>
      <c r="K759" s="5" t="n">
        <v>0</v>
      </c>
      <c r="L759" s="5" t="n">
        <v>1</v>
      </c>
      <c r="M759" s="5" t="n">
        <v>13.647</v>
      </c>
      <c r="N759" s="5" t="n">
        <v>3.704</v>
      </c>
      <c r="O759" s="5" t="n">
        <v>8.747999999999999</v>
      </c>
      <c r="P759" s="5" t="n">
        <v>22.395</v>
      </c>
      <c r="Q759" s="5" t="n">
        <v>0</v>
      </c>
      <c r="R759" s="5" t="n">
        <v>1</v>
      </c>
      <c r="S759" s="5" t="n">
        <v>24.123</v>
      </c>
      <c r="T759" s="5" t="n">
        <v>7.408</v>
      </c>
      <c r="U759" s="5" t="n">
        <v>13.305</v>
      </c>
      <c r="V759" s="5" t="n">
        <v>45.935</v>
      </c>
      <c r="W759" s="5" t="n">
        <v>0.25</v>
      </c>
      <c r="X759" s="5" t="n">
        <v>1</v>
      </c>
      <c r="Y759" s="5" t="n">
        <v>43.753</v>
      </c>
      <c r="Z759" s="5" t="n">
        <v>4.59</v>
      </c>
      <c r="AA759" s="5" t="n">
        <v>6.287</v>
      </c>
      <c r="AB759" s="5" t="n">
        <v>50.039</v>
      </c>
      <c r="AC759" s="5" t="n">
        <v>0</v>
      </c>
      <c r="AD759" s="5" t="n">
        <v>1</v>
      </c>
      <c r="AE759" s="5" t="n">
        <v>43.8</v>
      </c>
      <c r="AF759" s="5" t="n">
        <v>8.119999999999999</v>
      </c>
      <c r="AG759" s="5" t="n">
        <v>6.239</v>
      </c>
      <c r="AH759" s="5" t="n">
        <v>50.039</v>
      </c>
      <c r="AI759" s="5" t="n">
        <v>0</v>
      </c>
      <c r="AJ759" s="5" t="n">
        <v>1</v>
      </c>
      <c r="AK759" s="5" t="n">
        <v>55.736</v>
      </c>
      <c r="AL759" s="5" t="n">
        <v>26.616</v>
      </c>
      <c r="AM759" s="5" t="n">
        <v>2.376</v>
      </c>
      <c r="AN759" s="5" t="n">
        <v>72.64</v>
      </c>
      <c r="AO759" s="5" t="n">
        <v>0.25</v>
      </c>
      <c r="AP759" s="5" t="n">
        <v>1</v>
      </c>
      <c r="AQ759" s="5" t="n">
        <v>0.861</v>
      </c>
      <c r="AR759" s="5" t="n">
        <v>0.123</v>
      </c>
      <c r="AS759" s="5" t="n">
        <v>0.772</v>
      </c>
      <c r="AT759" s="5" t="n">
        <v>2.042</v>
      </c>
      <c r="AU759" s="5" t="n">
        <v>0.25</v>
      </c>
      <c r="AV759" s="5" t="n">
        <v>1</v>
      </c>
      <c r="AW759" s="5" t="n">
        <v>0.986</v>
      </c>
      <c r="AX759" s="5" t="n">
        <v>0.123</v>
      </c>
      <c r="AY759" s="5" t="n">
        <v>0.948</v>
      </c>
      <c r="AZ759" s="5" t="n">
        <v>2.417</v>
      </c>
      <c r="BA759" s="5" t="n">
        <v>0.25</v>
      </c>
      <c r="BB759" s="5" t="n">
        <v>1</v>
      </c>
      <c r="BC759" s="5" t="n">
        <v>0.598</v>
      </c>
      <c r="BD759" s="5" t="n">
        <v>0.123</v>
      </c>
      <c r="BE759" s="5" t="n">
        <v>0.452</v>
      </c>
      <c r="BF759" s="5" t="n">
        <v>1.312</v>
      </c>
      <c r="BG759" s="5" t="n">
        <v>0.25</v>
      </c>
      <c r="BH759" s="5" t="n">
        <v>1</v>
      </c>
      <c r="BI759" s="5" t="n">
        <v>0.612</v>
      </c>
      <c r="BJ759" s="5" t="n">
        <v>0.123</v>
      </c>
      <c r="BK759" s="5" t="n">
        <v>0.75</v>
      </c>
      <c r="BL759" s="5" t="n">
        <v>1.702</v>
      </c>
      <c r="BM759" s="5" t="n">
        <v>0.25</v>
      </c>
      <c r="BN759" s="5" t="n">
        <v>1</v>
      </c>
      <c r="BO759" s="5" t="n">
        <v>0</v>
      </c>
      <c r="BP759" s="5" t="n">
        <v>0.001</v>
      </c>
      <c r="BQ759" s="5" t="n">
        <v>0.115</v>
      </c>
      <c r="BR759" s="5" t="n">
        <v>0</v>
      </c>
      <c r="BS759" s="5" t="n">
        <v>1</v>
      </c>
      <c r="BT759" s="5" t="n">
        <v>0</v>
      </c>
      <c r="BU759" s="5" t="n">
        <v>-0.028</v>
      </c>
      <c r="BV759" s="5" t="n">
        <v>0.264</v>
      </c>
      <c r="BW759" s="5" t="n">
        <v>0.25</v>
      </c>
      <c r="BX759" s="5" t="n">
        <v>1</v>
      </c>
      <c r="BY759" s="5" t="n">
        <v>12.729</v>
      </c>
      <c r="BZ759" s="5" t="n">
        <v>0</v>
      </c>
      <c r="CA759" s="5" t="n">
        <v>12.729</v>
      </c>
      <c r="CB759" s="5" t="n">
        <v>0</v>
      </c>
      <c r="CC759" s="5" t="n">
        <v>97.90000000000001</v>
      </c>
      <c r="CD759" s="5" t="n">
        <v>7.95</v>
      </c>
      <c r="CE759" s="5" t="n">
        <v>151.168</v>
      </c>
      <c r="CF759" s="5" t="n">
        <v>311.335</v>
      </c>
      <c r="CG759" s="5" t="n">
        <v>0.25</v>
      </c>
      <c r="CH759" s="5" t="n">
        <v>1</v>
      </c>
      <c r="CI759" s="5" t="n">
        <v>0</v>
      </c>
      <c r="CJ759" s="5" t="n">
        <v>0</v>
      </c>
      <c r="CK759" s="5" t="n">
        <v>0</v>
      </c>
      <c r="CL759" s="5" t="n">
        <v>0</v>
      </c>
      <c r="CM759" s="5" t="n">
        <v>0</v>
      </c>
      <c r="CN759" s="5" t="n">
        <v>0</v>
      </c>
      <c r="CO759" s="5" t="n">
        <v>0</v>
      </c>
      <c r="CP759" s="5" t="n">
        <v>0</v>
      </c>
      <c r="CQ759" s="5" t="n">
        <v>1.294</v>
      </c>
      <c r="CR759" s="5" t="n">
        <v>0</v>
      </c>
      <c r="CS759" s="5" t="n">
        <v>5.158</v>
      </c>
      <c r="CT759" s="5" t="n">
        <v>16.715</v>
      </c>
      <c r="CU759" s="5" t="n">
        <v>34.708</v>
      </c>
    </row>
    <row r="760">
      <c r="A760" s="5" t="inlineStr">
        <is>
          <t>SWE2023</t>
        </is>
      </c>
      <c r="B760" s="5" t="inlineStr">
        <is>
          <t>SWE</t>
        </is>
      </c>
      <c r="C760" s="5" t="inlineStr">
        <is>
          <t>SWE</t>
        </is>
      </c>
      <c r="D760" s="5" t="inlineStr">
        <is>
          <t>Sweden</t>
        </is>
      </c>
      <c r="E760" s="5" t="n">
        <v>2023</v>
      </c>
      <c r="F760" s="5" t="n">
        <v>0.25</v>
      </c>
      <c r="G760" s="5" t="n">
        <v>12.102</v>
      </c>
      <c r="H760" s="5" t="n">
        <v>1.259</v>
      </c>
      <c r="I760" s="5" t="n">
        <v>13.076</v>
      </c>
      <c r="J760" s="5" t="n">
        <v>25.178</v>
      </c>
      <c r="K760" s="5" t="n">
        <v>0</v>
      </c>
      <c r="L760" s="5" t="n">
        <v>1</v>
      </c>
      <c r="M760" s="5" t="n">
        <v>10.303</v>
      </c>
      <c r="N760" s="5" t="n">
        <v>3.778</v>
      </c>
      <c r="O760" s="5" t="n">
        <v>10.245</v>
      </c>
      <c r="P760" s="5" t="n">
        <v>20.549</v>
      </c>
      <c r="Q760" s="5" t="n">
        <v>0</v>
      </c>
      <c r="R760" s="5" t="n">
        <v>1</v>
      </c>
      <c r="S760" s="5" t="n">
        <v>18.398</v>
      </c>
      <c r="T760" s="5" t="n">
        <v>7.555</v>
      </c>
      <c r="U760" s="5" t="n">
        <v>14.429</v>
      </c>
      <c r="V760" s="5" t="n">
        <v>39.928</v>
      </c>
      <c r="W760" s="5" t="n">
        <v>0.25</v>
      </c>
      <c r="X760" s="5" t="n">
        <v>1</v>
      </c>
      <c r="Y760" s="5" t="n">
        <v>24.649</v>
      </c>
      <c r="Z760" s="5" t="n">
        <v>2.761</v>
      </c>
      <c r="AA760" s="5" t="n">
        <v>18.078</v>
      </c>
      <c r="AB760" s="5" t="n">
        <v>42.727</v>
      </c>
      <c r="AC760" s="5" t="n">
        <v>0</v>
      </c>
      <c r="AD760" s="5" t="n">
        <v>1</v>
      </c>
      <c r="AE760" s="5" t="n">
        <v>24.747</v>
      </c>
      <c r="AF760" s="5" t="n">
        <v>4.929</v>
      </c>
      <c r="AG760" s="5" t="n">
        <v>17.98</v>
      </c>
      <c r="AH760" s="5" t="n">
        <v>42.727</v>
      </c>
      <c r="AI760" s="5" t="n">
        <v>0</v>
      </c>
      <c r="AJ760" s="5" t="n">
        <v>1</v>
      </c>
      <c r="AK760" s="5" t="n">
        <v>36.989</v>
      </c>
      <c r="AL760" s="5" t="n">
        <v>18.323</v>
      </c>
      <c r="AM760" s="5" t="n">
        <v>14.182</v>
      </c>
      <c r="AN760" s="5" t="n">
        <v>63.964</v>
      </c>
      <c r="AO760" s="5" t="n">
        <v>0.25</v>
      </c>
      <c r="AP760" s="5" t="n">
        <v>1</v>
      </c>
      <c r="AQ760" s="5" t="n">
        <v>0.76</v>
      </c>
      <c r="AR760" s="5" t="n">
        <v>0.129</v>
      </c>
      <c r="AS760" s="5" t="n">
        <v>0.745</v>
      </c>
      <c r="AT760" s="5" t="n">
        <v>1.881</v>
      </c>
      <c r="AU760" s="5" t="n">
        <v>0.25</v>
      </c>
      <c r="AV760" s="5" t="n">
        <v>1</v>
      </c>
      <c r="AW760" s="5" t="n">
        <v>0.8110000000000001</v>
      </c>
      <c r="AX760" s="5" t="n">
        <v>0.129</v>
      </c>
      <c r="AY760" s="5" t="n">
        <v>0.9389999999999999</v>
      </c>
      <c r="AZ760" s="5" t="n">
        <v>2.188</v>
      </c>
      <c r="BA760" s="5" t="n">
        <v>0.25</v>
      </c>
      <c r="BB760" s="5" t="n">
        <v>1</v>
      </c>
      <c r="BC760" s="5" t="n">
        <v>0.535</v>
      </c>
      <c r="BD760" s="5" t="n">
        <v>0.129</v>
      </c>
      <c r="BE760" s="5" t="n">
        <v>0.478</v>
      </c>
      <c r="BF760" s="5" t="n">
        <v>1.267</v>
      </c>
      <c r="BG760" s="5" t="n">
        <v>0.25</v>
      </c>
      <c r="BH760" s="5" t="n">
        <v>1</v>
      </c>
      <c r="BI760" s="5" t="n">
        <v>0.579</v>
      </c>
      <c r="BJ760" s="5" t="n">
        <v>0.129</v>
      </c>
      <c r="BK760" s="5" t="n">
        <v>0.5610000000000001</v>
      </c>
      <c r="BL760" s="5" t="n">
        <v>1.426</v>
      </c>
      <c r="BM760" s="5" t="n">
        <v>0.25</v>
      </c>
      <c r="BN760" s="5" t="n">
        <v>1</v>
      </c>
      <c r="BO760" s="5" t="n">
        <v>0</v>
      </c>
      <c r="BP760" s="5" t="n">
        <v>0.001</v>
      </c>
      <c r="BQ760" s="5" t="n">
        <v>0.089</v>
      </c>
      <c r="BR760" s="5" t="n">
        <v>0</v>
      </c>
      <c r="BS760" s="5" t="n">
        <v>1</v>
      </c>
      <c r="BT760" s="5" t="n">
        <v>0</v>
      </c>
      <c r="BU760" s="5" t="n">
        <v>0.037</v>
      </c>
      <c r="BV760" s="5" t="n">
        <v>0.262</v>
      </c>
      <c r="BW760" s="5" t="n">
        <v>0.25</v>
      </c>
      <c r="BX760" s="5" t="n">
        <v>1</v>
      </c>
      <c r="BY760" s="5" t="n">
        <v>13.254</v>
      </c>
      <c r="BZ760" s="5" t="n">
        <v>0</v>
      </c>
      <c r="CA760" s="5" t="n">
        <v>13.254</v>
      </c>
      <c r="CB760" s="5" t="n">
        <v>0</v>
      </c>
      <c r="CC760" s="5" t="n">
        <v>83.248</v>
      </c>
      <c r="CD760" s="5" t="n">
        <v>7.95</v>
      </c>
      <c r="CE760" s="5" t="n">
        <v>135.655</v>
      </c>
      <c r="CF760" s="5" t="n">
        <v>273.628</v>
      </c>
      <c r="CG760" s="5" t="n">
        <v>0.25</v>
      </c>
      <c r="CH760" s="5" t="n">
        <v>1</v>
      </c>
      <c r="CI760" s="5" t="n">
        <v>0</v>
      </c>
      <c r="CJ760" s="5" t="n">
        <v>0</v>
      </c>
      <c r="CK760" s="5" t="n">
        <v>0</v>
      </c>
      <c r="CL760" s="5" t="n">
        <v>0</v>
      </c>
      <c r="CM760" s="5" t="n">
        <v>0</v>
      </c>
      <c r="CN760" s="5" t="n">
        <v>0</v>
      </c>
      <c r="CO760" s="5" t="n">
        <v>0</v>
      </c>
      <c r="CP760" s="5" t="n">
        <v>0.041</v>
      </c>
      <c r="CQ760" s="5" t="n">
        <v>1.348</v>
      </c>
      <c r="CR760" s="5" t="n">
        <v>0</v>
      </c>
      <c r="CS760" s="5" t="n">
        <v>5.37</v>
      </c>
      <c r="CT760" s="5" t="n">
        <v>11.25</v>
      </c>
      <c r="CU760" s="5" t="n">
        <v>15.553</v>
      </c>
    </row>
    <row r="761">
      <c r="A761" s="5" t="inlineStr">
        <is>
          <t>SWE2024</t>
        </is>
      </c>
      <c r="B761" s="5" t="inlineStr">
        <is>
          <t>SWE</t>
        </is>
      </c>
      <c r="C761" s="5" t="inlineStr">
        <is>
          <t>SWE</t>
        </is>
      </c>
      <c r="D761" s="5" t="inlineStr">
        <is>
          <t>Sweden</t>
        </is>
      </c>
      <c r="E761" s="5" t="n">
        <v>2024</v>
      </c>
      <c r="F761" s="5" t="n">
        <v>0.25</v>
      </c>
      <c r="G761" s="5" t="n">
        <v>8.964</v>
      </c>
      <c r="H761" s="5" t="n">
        <v>1.296</v>
      </c>
      <c r="I761" s="5" t="n">
        <v>10.859</v>
      </c>
      <c r="J761" s="5" t="n">
        <v>19.823</v>
      </c>
      <c r="K761" s="5" t="n">
        <v>0</v>
      </c>
      <c r="L761" s="5" t="n">
        <v>1</v>
      </c>
      <c r="M761" s="5" t="n">
        <v>10.582</v>
      </c>
      <c r="N761" s="5" t="n">
        <v>3.889</v>
      </c>
      <c r="O761" s="5" t="n">
        <v>6.956</v>
      </c>
      <c r="P761" s="5" t="n">
        <v>17.538</v>
      </c>
      <c r="Q761" s="5" t="n">
        <v>0</v>
      </c>
      <c r="R761" s="5" t="n">
        <v>1</v>
      </c>
      <c r="S761" s="5" t="n">
        <v>15.446</v>
      </c>
      <c r="T761" s="5" t="n">
        <v>7.778</v>
      </c>
      <c r="U761" s="5" t="n">
        <v>15.34</v>
      </c>
      <c r="V761" s="5" t="n">
        <v>37.215</v>
      </c>
      <c r="W761" s="5" t="n">
        <v>0.25</v>
      </c>
      <c r="X761" s="5" t="n">
        <v>1</v>
      </c>
      <c r="Y761" s="5" t="n">
        <v>22.024</v>
      </c>
      <c r="Z761" s="5" t="n">
        <v>2.781</v>
      </c>
      <c r="AA761" s="5" t="n">
        <v>12.965</v>
      </c>
      <c r="AB761" s="5" t="n">
        <v>34.989</v>
      </c>
      <c r="AC761" s="5" t="n">
        <v>0</v>
      </c>
      <c r="AD761" s="5" t="n">
        <v>1</v>
      </c>
      <c r="AE761" s="5" t="n">
        <v>22.024</v>
      </c>
      <c r="AF761" s="5" t="n">
        <v>4.825</v>
      </c>
      <c r="AG761" s="5" t="n">
        <v>12.965</v>
      </c>
      <c r="AH761" s="5" t="n">
        <v>34.989</v>
      </c>
      <c r="AI761" s="5" t="n">
        <v>0</v>
      </c>
      <c r="AJ761" s="5" t="n">
        <v>1</v>
      </c>
      <c r="AK761" s="5" t="n">
        <v>34.633</v>
      </c>
      <c r="AL761" s="5" t="n">
        <v>17.615</v>
      </c>
      <c r="AM761" s="5" t="n">
        <v>9.298</v>
      </c>
      <c r="AN761" s="5" t="n">
        <v>54.913</v>
      </c>
      <c r="AO761" s="5" t="n">
        <v>0.25</v>
      </c>
      <c r="AP761" s="5" t="n">
        <v>1</v>
      </c>
      <c r="AQ761" s="5" t="n">
        <v>0.724</v>
      </c>
      <c r="AR761" s="5" t="n">
        <v>0.132</v>
      </c>
      <c r="AS761" s="5" t="n">
        <v>0.64</v>
      </c>
      <c r="AT761" s="5" t="n">
        <v>1.705</v>
      </c>
      <c r="AU761" s="5" t="n">
        <v>0.25</v>
      </c>
      <c r="AV761" s="5" t="n">
        <v>1</v>
      </c>
      <c r="AW761" s="5" t="n">
        <v>0.75</v>
      </c>
      <c r="AX761" s="5" t="n">
        <v>0.132</v>
      </c>
      <c r="AY761" s="5" t="n">
        <v>0.614</v>
      </c>
      <c r="AZ761" s="5" t="n">
        <v>1.705</v>
      </c>
      <c r="BA761" s="5" t="n">
        <v>0.25</v>
      </c>
      <c r="BB761" s="5" t="n">
        <v>1</v>
      </c>
      <c r="BC761" s="5" t="n">
        <v>0.513</v>
      </c>
      <c r="BD761" s="5" t="n">
        <v>0.132</v>
      </c>
      <c r="BE761" s="5" t="n">
        <v>0.539</v>
      </c>
      <c r="BF761" s="5" t="n">
        <v>1.315</v>
      </c>
      <c r="BG761" s="5" t="n">
        <v>0.25</v>
      </c>
      <c r="BH761" s="5" t="n">
        <v>1</v>
      </c>
      <c r="BI761" s="5" t="n">
        <v>0.591</v>
      </c>
      <c r="BJ761" s="5" t="n">
        <v>0.132</v>
      </c>
      <c r="BK761" s="5" t="n">
        <v>0.419</v>
      </c>
      <c r="BL761" s="5" t="n">
        <v>1.263</v>
      </c>
      <c r="BM761" s="5" t="n">
        <v>0.25</v>
      </c>
      <c r="BN761" s="5" t="n">
        <v>1</v>
      </c>
      <c r="BO761" s="5" t="n">
        <v>0</v>
      </c>
      <c r="BP761" s="5" t="n">
        <v>0.001</v>
      </c>
      <c r="BQ761" s="5" t="n">
        <v>0.07199999999999999</v>
      </c>
      <c r="BR761" s="5" t="n">
        <v>0</v>
      </c>
      <c r="BS761" s="5" t="n">
        <v>1</v>
      </c>
      <c r="BT761" s="5" t="n">
        <v>0</v>
      </c>
      <c r="BU761" s="5" t="n">
        <v>0.041</v>
      </c>
      <c r="BV761" s="5" t="n">
        <v>0.259</v>
      </c>
      <c r="BW761" s="5" t="n">
        <v>0.25</v>
      </c>
      <c r="BX761" s="5" t="n">
        <v>1</v>
      </c>
      <c r="BY761" s="5" t="n">
        <v>13.646</v>
      </c>
      <c r="BZ761" s="5" t="n">
        <v>0</v>
      </c>
      <c r="CA761" s="5" t="n">
        <v>13.646</v>
      </c>
      <c r="CB761" s="5" t="n">
        <v>0</v>
      </c>
      <c r="CC761" s="5" t="n">
        <v>82.58799999999999</v>
      </c>
      <c r="CD761" s="5" t="n">
        <v>7.95</v>
      </c>
      <c r="CE761" s="5" t="n">
        <v>115.913</v>
      </c>
      <c r="CF761" s="5" t="n">
        <v>248.126</v>
      </c>
      <c r="CG761" s="5" t="n">
        <v>0.25</v>
      </c>
      <c r="CH761" s="5" t="n">
        <v>1</v>
      </c>
      <c r="CI761" s="5" t="n">
        <v>0</v>
      </c>
      <c r="CJ761" s="5" t="n">
        <v>0</v>
      </c>
      <c r="CK761" s="5" t="n">
        <v>0</v>
      </c>
      <c r="CL761" s="5" t="n">
        <v>0</v>
      </c>
      <c r="CM761" s="5" t="n">
        <v>0</v>
      </c>
      <c r="CN761" s="5" t="n">
        <v>0</v>
      </c>
      <c r="CO761" s="5" t="n">
        <v>0</v>
      </c>
      <c r="CP761" s="5" t="n">
        <v>0.041</v>
      </c>
      <c r="CQ761" s="5" t="n">
        <v>1.387</v>
      </c>
      <c r="CR761" s="5" t="n">
        <v>0</v>
      </c>
      <c r="CS761" s="5" t="n">
        <v>5.529</v>
      </c>
      <c r="CT761" s="5" t="n">
        <v>7.937</v>
      </c>
      <c r="CU761" s="5" t="n">
        <v>11.8</v>
      </c>
    </row>
    <row r="762">
      <c r="A762" s="5" t="inlineStr">
        <is>
          <t>CHE2021</t>
        </is>
      </c>
      <c r="B762" s="5" t="inlineStr">
        <is>
          <t>CHE</t>
        </is>
      </c>
      <c r="C762" s="5" t="inlineStr">
        <is>
          <t>CHE</t>
        </is>
      </c>
      <c r="D762" s="5" t="inlineStr">
        <is>
          <t>Switzerland</t>
        </is>
      </c>
      <c r="E762" s="5" t="n">
        <v>2021</v>
      </c>
      <c r="F762" s="5" t="n">
        <v>0.077</v>
      </c>
      <c r="G762" s="5" t="n">
        <v>2.702</v>
      </c>
      <c r="H762" s="5" t="n">
        <v>0.591</v>
      </c>
      <c r="I762" s="5" t="n">
        <v>4.24</v>
      </c>
      <c r="J762" s="5" t="n">
        <v>6.941</v>
      </c>
      <c r="K762" s="5" t="n">
        <v>0</v>
      </c>
      <c r="L762" s="5" t="n">
        <v>1</v>
      </c>
      <c r="M762" s="5" t="n">
        <v>7.964</v>
      </c>
      <c r="N762" s="5" t="n">
        <v>3.43</v>
      </c>
      <c r="O762" s="5" t="n">
        <v>-1.023</v>
      </c>
      <c r="P762" s="5" t="n">
        <v>6.941</v>
      </c>
      <c r="Q762" s="5" t="n">
        <v>0</v>
      </c>
      <c r="R762" s="5" t="n">
        <v>1</v>
      </c>
      <c r="S762" s="5" t="n">
        <v>11.679</v>
      </c>
      <c r="T762" s="5" t="n">
        <v>6.86</v>
      </c>
      <c r="U762" s="5" t="n">
        <v>2.755</v>
      </c>
      <c r="V762" s="5" t="n">
        <v>15.545</v>
      </c>
      <c r="W762" s="5" t="n">
        <v>0.077</v>
      </c>
      <c r="X762" s="5" t="n">
        <v>1</v>
      </c>
      <c r="Y762" s="5" t="n">
        <v>37.109</v>
      </c>
      <c r="Z762" s="5" t="n">
        <v>4.099</v>
      </c>
      <c r="AA762" s="5" t="n">
        <v>-16.548</v>
      </c>
      <c r="AB762" s="5" t="n">
        <v>20.561</v>
      </c>
      <c r="AC762" s="5" t="n">
        <v>0</v>
      </c>
      <c r="AD762" s="5" t="n">
        <v>1</v>
      </c>
      <c r="AE762" s="5" t="n">
        <v>37.066</v>
      </c>
      <c r="AF762" s="5" t="n">
        <v>7.294</v>
      </c>
      <c r="AG762" s="5" t="n">
        <v>-16.505</v>
      </c>
      <c r="AH762" s="5" t="n">
        <v>20.561</v>
      </c>
      <c r="AI762" s="5" t="n">
        <v>0</v>
      </c>
      <c r="AJ762" s="5" t="n">
        <v>1</v>
      </c>
      <c r="AK762" s="5" t="n">
        <v>40.75</v>
      </c>
      <c r="AL762" s="5" t="n">
        <v>20</v>
      </c>
      <c r="AM762" s="5" t="n">
        <v>-11.342</v>
      </c>
      <c r="AN762" s="5" t="n">
        <v>31.672</v>
      </c>
      <c r="AO762" s="5" t="n">
        <v>0.077</v>
      </c>
      <c r="AP762" s="5" t="n">
        <v>1</v>
      </c>
      <c r="AQ762" s="5" t="n">
        <v>0.619</v>
      </c>
      <c r="AR762" s="5" t="n">
        <v>0.114</v>
      </c>
      <c r="AS762" s="5" t="n">
        <v>0.98</v>
      </c>
      <c r="AT762" s="5" t="n">
        <v>1.722</v>
      </c>
      <c r="AU762" s="5" t="n">
        <v>0.077</v>
      </c>
      <c r="AV762" s="5" t="n">
        <v>1</v>
      </c>
      <c r="AW762" s="5" t="n">
        <v>0.599</v>
      </c>
      <c r="AX762" s="5" t="n">
        <v>0.114</v>
      </c>
      <c r="AY762" s="5" t="n">
        <v>1.056</v>
      </c>
      <c r="AZ762" s="5" t="n">
        <v>1.783</v>
      </c>
      <c r="BA762" s="5" t="n">
        <v>0.077</v>
      </c>
      <c r="BB762" s="5" t="n">
        <v>1</v>
      </c>
      <c r="BC762" s="5" t="n">
        <v>0.439</v>
      </c>
      <c r="BD762" s="5" t="n">
        <v>0.114</v>
      </c>
      <c r="BE762" s="5" t="n">
        <v>0.526</v>
      </c>
      <c r="BF762" s="5" t="n">
        <v>1.04</v>
      </c>
      <c r="BG762" s="5" t="n">
        <v>0.077</v>
      </c>
      <c r="BH762" s="5" t="n">
        <v>1</v>
      </c>
      <c r="BI762" s="5" t="n">
        <v>0.505</v>
      </c>
      <c r="BJ762" s="5" t="n">
        <v>0.114</v>
      </c>
      <c r="BK762" s="5" t="n">
        <v>0.363</v>
      </c>
      <c r="BL762" s="5" t="n">
        <v>0.9350000000000001</v>
      </c>
      <c r="BM762" s="5" t="n">
        <v>0.077</v>
      </c>
      <c r="BN762" s="5" t="n">
        <v>1</v>
      </c>
      <c r="BO762" s="5" t="n">
        <v>0</v>
      </c>
      <c r="BP762" s="5" t="n">
        <v>0.03</v>
      </c>
      <c r="BQ762" s="5" t="n">
        <v>0.171</v>
      </c>
      <c r="BR762" s="5" t="n">
        <v>0</v>
      </c>
      <c r="BS762" s="5" t="n">
        <v>0.833</v>
      </c>
      <c r="BT762" s="5" t="n">
        <v>0</v>
      </c>
      <c r="BU762" s="5" t="n">
        <v>0.025</v>
      </c>
      <c r="BV762" s="5" t="n">
        <v>0.23</v>
      </c>
      <c r="BW762" s="5" t="n">
        <v>0.077</v>
      </c>
      <c r="BX762" s="5" t="n">
        <v>0.833</v>
      </c>
      <c r="BY762" s="5" t="n">
        <v>11.787</v>
      </c>
      <c r="BZ762" s="5" t="n">
        <v>0</v>
      </c>
      <c r="CA762" s="5" t="n">
        <v>11.787</v>
      </c>
      <c r="CB762" s="5" t="n">
        <v>0</v>
      </c>
      <c r="CC762" s="5" t="n">
        <v>78.125</v>
      </c>
      <c r="CD762" s="5" t="n">
        <v>7.95</v>
      </c>
      <c r="CE762" s="5" t="n">
        <v>-25.812</v>
      </c>
      <c r="CF762" s="5" t="n">
        <v>56.342</v>
      </c>
      <c r="CG762" s="5" t="n">
        <v>0.077</v>
      </c>
      <c r="CH762" s="5" t="n">
        <v>1</v>
      </c>
      <c r="CI762" s="5" t="n">
        <v>0</v>
      </c>
      <c r="CJ762" s="5" t="n">
        <v>0</v>
      </c>
      <c r="CK762" s="5" t="n">
        <v>0</v>
      </c>
      <c r="CL762" s="5" t="n">
        <v>0</v>
      </c>
      <c r="CM762" s="5" t="n">
        <v>0</v>
      </c>
      <c r="CN762" s="5" t="n">
        <v>0</v>
      </c>
      <c r="CO762" s="5" t="n">
        <v>0</v>
      </c>
      <c r="CP762" s="5" t="n">
        <v>0</v>
      </c>
      <c r="CQ762" s="5" t="n">
        <v>1.198</v>
      </c>
      <c r="CR762" s="5" t="n">
        <v>0</v>
      </c>
      <c r="CS762" s="5" t="n">
        <v>4.776</v>
      </c>
      <c r="CT762" s="5" t="n">
        <v>4.819</v>
      </c>
      <c r="CU762" s="5" t="n">
        <v>26.806</v>
      </c>
    </row>
    <row r="763">
      <c r="A763" s="5" t="inlineStr">
        <is>
          <t>CHE2022</t>
        </is>
      </c>
      <c r="B763" s="5" t="inlineStr">
        <is>
          <t>CHE</t>
        </is>
      </c>
      <c r="C763" s="5" t="inlineStr">
        <is>
          <t>CHE</t>
        </is>
      </c>
      <c r="D763" s="5" t="inlineStr">
        <is>
          <t>Switzerland</t>
        </is>
      </c>
      <c r="E763" s="5" t="n">
        <v>2022</v>
      </c>
      <c r="F763" s="5" t="n">
        <v>0.077</v>
      </c>
      <c r="G763" s="5" t="n">
        <v>12.303</v>
      </c>
      <c r="H763" s="5" t="n">
        <v>1.911</v>
      </c>
      <c r="I763" s="5" t="n">
        <v>6.457</v>
      </c>
      <c r="J763" s="5" t="n">
        <v>18.761</v>
      </c>
      <c r="K763" s="5" t="n">
        <v>0</v>
      </c>
      <c r="L763" s="5" t="n">
        <v>1</v>
      </c>
      <c r="M763" s="5" t="n">
        <v>9.782999999999999</v>
      </c>
      <c r="N763" s="5" t="n">
        <v>3.704</v>
      </c>
      <c r="O763" s="5" t="n">
        <v>8.978</v>
      </c>
      <c r="P763" s="5" t="n">
        <v>18.761</v>
      </c>
      <c r="Q763" s="5" t="n">
        <v>0</v>
      </c>
      <c r="R763" s="5" t="n">
        <v>1</v>
      </c>
      <c r="S763" s="5" t="n">
        <v>18.971</v>
      </c>
      <c r="T763" s="5" t="n">
        <v>7.408</v>
      </c>
      <c r="U763" s="5" t="n">
        <v>12.503</v>
      </c>
      <c r="V763" s="5" t="n">
        <v>33.705</v>
      </c>
      <c r="W763" s="5" t="n">
        <v>0.077</v>
      </c>
      <c r="X763" s="5" t="n">
        <v>1</v>
      </c>
      <c r="Y763" s="5" t="n">
        <v>73.622</v>
      </c>
      <c r="Z763" s="5" t="n">
        <v>7.723</v>
      </c>
      <c r="AA763" s="5" t="n">
        <v>-37.234</v>
      </c>
      <c r="AB763" s="5" t="n">
        <v>36.388</v>
      </c>
      <c r="AC763" s="5" t="n">
        <v>0</v>
      </c>
      <c r="AD763" s="5" t="n">
        <v>1</v>
      </c>
      <c r="AE763" s="5" t="n">
        <v>73.67</v>
      </c>
      <c r="AF763" s="5" t="n">
        <v>13.657</v>
      </c>
      <c r="AG763" s="5" t="n">
        <v>-37.282</v>
      </c>
      <c r="AH763" s="5" t="n">
        <v>36.388</v>
      </c>
      <c r="AI763" s="5" t="n">
        <v>0</v>
      </c>
      <c r="AJ763" s="5" t="n">
        <v>1</v>
      </c>
      <c r="AK763" s="5" t="n">
        <v>77.902</v>
      </c>
      <c r="AL763" s="5" t="n">
        <v>37.202</v>
      </c>
      <c r="AM763" s="5" t="n">
        <v>-35.346</v>
      </c>
      <c r="AN763" s="5" t="n">
        <v>45.834</v>
      </c>
      <c r="AO763" s="5" t="n">
        <v>0.077</v>
      </c>
      <c r="AP763" s="5" t="n">
        <v>1</v>
      </c>
      <c r="AQ763" s="5" t="n">
        <v>0.861</v>
      </c>
      <c r="AR763" s="5" t="n">
        <v>0.123</v>
      </c>
      <c r="AS763" s="5" t="n">
        <v>1.039</v>
      </c>
      <c r="AT763" s="5" t="n">
        <v>2.046</v>
      </c>
      <c r="AU763" s="5" t="n">
        <v>0.077</v>
      </c>
      <c r="AV763" s="5" t="n">
        <v>1</v>
      </c>
      <c r="AW763" s="5" t="n">
        <v>0.986</v>
      </c>
      <c r="AX763" s="5" t="n">
        <v>0.123</v>
      </c>
      <c r="AY763" s="5" t="n">
        <v>1.091</v>
      </c>
      <c r="AZ763" s="5" t="n">
        <v>2.237</v>
      </c>
      <c r="BA763" s="5" t="n">
        <v>0.077</v>
      </c>
      <c r="BB763" s="5" t="n">
        <v>1</v>
      </c>
      <c r="BC763" s="5" t="n">
        <v>0.598</v>
      </c>
      <c r="BD763" s="5" t="n">
        <v>0.123</v>
      </c>
      <c r="BE763" s="5" t="n">
        <v>0.517</v>
      </c>
      <c r="BF763" s="5" t="n">
        <v>1.2</v>
      </c>
      <c r="BG763" s="5" t="n">
        <v>0.077</v>
      </c>
      <c r="BH763" s="5" t="n">
        <v>1</v>
      </c>
      <c r="BI763" s="5" t="n">
        <v>0.612</v>
      </c>
      <c r="BJ763" s="5" t="n">
        <v>0.123</v>
      </c>
      <c r="BK763" s="5" t="n">
        <v>0.738</v>
      </c>
      <c r="BL763" s="5" t="n">
        <v>1.454</v>
      </c>
      <c r="BM763" s="5" t="n">
        <v>0.077</v>
      </c>
      <c r="BN763" s="5" t="n">
        <v>1</v>
      </c>
      <c r="BO763" s="5" t="n">
        <v>0</v>
      </c>
      <c r="BP763" s="5" t="n">
        <v>0.029</v>
      </c>
      <c r="BQ763" s="5" t="n">
        <v>0.188</v>
      </c>
      <c r="BR763" s="5" t="n">
        <v>0</v>
      </c>
      <c r="BS763" s="5" t="n">
        <v>0.833</v>
      </c>
      <c r="BT763" s="5" t="n">
        <v>0</v>
      </c>
      <c r="BU763" s="5" t="n">
        <v>0.024</v>
      </c>
      <c r="BV763" s="5" t="n">
        <v>0.246</v>
      </c>
      <c r="BW763" s="5" t="n">
        <v>0.077</v>
      </c>
      <c r="BX763" s="5" t="n">
        <v>0.833</v>
      </c>
      <c r="BY763" s="5" t="n">
        <v>12.729</v>
      </c>
      <c r="BZ763" s="5" t="n">
        <v>0</v>
      </c>
      <c r="CA763" s="5" t="n">
        <v>12.729</v>
      </c>
      <c r="CB763" s="5" t="n">
        <v>0</v>
      </c>
      <c r="CC763" s="5" t="n">
        <v>97.90000000000001</v>
      </c>
      <c r="CD763" s="5" t="n">
        <v>7.95</v>
      </c>
      <c r="CE763" s="5" t="n">
        <v>-25.237</v>
      </c>
      <c r="CF763" s="5" t="n">
        <v>78.258</v>
      </c>
      <c r="CG763" s="5" t="n">
        <v>0.077</v>
      </c>
      <c r="CH763" s="5" t="n">
        <v>1</v>
      </c>
      <c r="CI763" s="5" t="n">
        <v>0</v>
      </c>
      <c r="CJ763" s="5" t="n">
        <v>0</v>
      </c>
      <c r="CK763" s="5" t="n">
        <v>0</v>
      </c>
      <c r="CL763" s="5" t="n">
        <v>0</v>
      </c>
      <c r="CM763" s="5" t="n">
        <v>0</v>
      </c>
      <c r="CN763" s="5" t="n">
        <v>0</v>
      </c>
      <c r="CO763" s="5" t="n">
        <v>0</v>
      </c>
      <c r="CP763" s="5" t="n">
        <v>0</v>
      </c>
      <c r="CQ763" s="5" t="n">
        <v>1.294</v>
      </c>
      <c r="CR763" s="5" t="n">
        <v>0</v>
      </c>
      <c r="CS763" s="5" t="n">
        <v>5.158</v>
      </c>
      <c r="CT763" s="5" t="n">
        <v>11.563</v>
      </c>
      <c r="CU763" s="5" t="n">
        <v>63.228</v>
      </c>
    </row>
    <row r="764">
      <c r="A764" s="5" t="inlineStr">
        <is>
          <t>CHE2023</t>
        </is>
      </c>
      <c r="B764" s="5" t="inlineStr">
        <is>
          <t>CHE</t>
        </is>
      </c>
      <c r="C764" s="5" t="inlineStr">
        <is>
          <t>CHE</t>
        </is>
      </c>
      <c r="D764" s="5" t="inlineStr">
        <is>
          <t>Switzerland</t>
        </is>
      </c>
      <c r="E764" s="5" t="n">
        <v>2023</v>
      </c>
      <c r="F764" s="5" t="n">
        <v>0.077</v>
      </c>
      <c r="G764" s="5" t="n">
        <v>6.64</v>
      </c>
      <c r="H764" s="5" t="n">
        <v>1.512</v>
      </c>
      <c r="I764" s="5" t="n">
        <v>9.534000000000001</v>
      </c>
      <c r="J764" s="5" t="n">
        <v>16.174</v>
      </c>
      <c r="K764" s="5" t="n">
        <v>0</v>
      </c>
      <c r="L764" s="5" t="n">
        <v>1</v>
      </c>
      <c r="M764" s="5" t="n">
        <v>7.886</v>
      </c>
      <c r="N764" s="5" t="n">
        <v>3.857</v>
      </c>
      <c r="O764" s="5" t="n">
        <v>8.288</v>
      </c>
      <c r="P764" s="5" t="n">
        <v>16.174</v>
      </c>
      <c r="Q764" s="5" t="n">
        <v>0</v>
      </c>
      <c r="R764" s="5" t="n">
        <v>1</v>
      </c>
      <c r="S764" s="5" t="n">
        <v>12.818</v>
      </c>
      <c r="T764" s="5" t="n">
        <v>7.714</v>
      </c>
      <c r="U764" s="5" t="n">
        <v>13.099</v>
      </c>
      <c r="V764" s="5" t="n">
        <v>27.676</v>
      </c>
      <c r="W764" s="5" t="n">
        <v>0.077</v>
      </c>
      <c r="X764" s="5" t="n">
        <v>1</v>
      </c>
      <c r="Y764" s="5" t="n">
        <v>47.533</v>
      </c>
      <c r="Z764" s="5" t="n">
        <v>5.324</v>
      </c>
      <c r="AA764" s="5" t="n">
        <v>3.905</v>
      </c>
      <c r="AB764" s="5" t="n">
        <v>51.438</v>
      </c>
      <c r="AC764" s="5" t="n">
        <v>0</v>
      </c>
      <c r="AD764" s="5" t="n">
        <v>1</v>
      </c>
      <c r="AE764" s="5" t="n">
        <v>47.632</v>
      </c>
      <c r="AF764" s="5" t="n">
        <v>9.486000000000001</v>
      </c>
      <c r="AG764" s="5" t="n">
        <v>3.806</v>
      </c>
      <c r="AH764" s="5" t="n">
        <v>51.438</v>
      </c>
      <c r="AI764" s="5" t="n">
        <v>0</v>
      </c>
      <c r="AJ764" s="5" t="n">
        <v>1</v>
      </c>
      <c r="AK764" s="5" t="n">
        <v>52.17</v>
      </c>
      <c r="AL764" s="5" t="n">
        <v>25.844</v>
      </c>
      <c r="AM764" s="5" t="n">
        <v>0.616</v>
      </c>
      <c r="AN764" s="5" t="n">
        <v>56.851</v>
      </c>
      <c r="AO764" s="5" t="n">
        <v>0.077</v>
      </c>
      <c r="AP764" s="5" t="n">
        <v>1</v>
      </c>
      <c r="AQ764" s="5" t="n">
        <v>0.76</v>
      </c>
      <c r="AR764" s="5" t="n">
        <v>0.129</v>
      </c>
      <c r="AS764" s="5" t="n">
        <v>1.132</v>
      </c>
      <c r="AT764" s="5" t="n">
        <v>2.038</v>
      </c>
      <c r="AU764" s="5" t="n">
        <v>0.077</v>
      </c>
      <c r="AV764" s="5" t="n">
        <v>1</v>
      </c>
      <c r="AW764" s="5" t="n">
        <v>0.8110000000000001</v>
      </c>
      <c r="AX764" s="5" t="n">
        <v>0.129</v>
      </c>
      <c r="AY764" s="5" t="n">
        <v>1.233</v>
      </c>
      <c r="AZ764" s="5" t="n">
        <v>2.201</v>
      </c>
      <c r="BA764" s="5" t="n">
        <v>0.077</v>
      </c>
      <c r="BB764" s="5" t="n">
        <v>1</v>
      </c>
      <c r="BC764" s="5" t="n">
        <v>0.535</v>
      </c>
      <c r="BD764" s="5" t="n">
        <v>0.129</v>
      </c>
      <c r="BE764" s="5" t="n">
        <v>0.757</v>
      </c>
      <c r="BF764" s="5" t="n">
        <v>1.391</v>
      </c>
      <c r="BG764" s="5" t="n">
        <v>0.077</v>
      </c>
      <c r="BH764" s="5" t="n">
        <v>1</v>
      </c>
      <c r="BI764" s="5" t="n">
        <v>0.579</v>
      </c>
      <c r="BJ764" s="5" t="n">
        <v>0.129</v>
      </c>
      <c r="BK764" s="5" t="n">
        <v>0.609</v>
      </c>
      <c r="BL764" s="5" t="n">
        <v>1.28</v>
      </c>
      <c r="BM764" s="5" t="n">
        <v>0.077</v>
      </c>
      <c r="BN764" s="5" t="n">
        <v>1</v>
      </c>
      <c r="BO764" s="5" t="n">
        <v>0</v>
      </c>
      <c r="BP764" s="5" t="n">
        <v>0.035</v>
      </c>
      <c r="BQ764" s="5" t="n">
        <v>0.257</v>
      </c>
      <c r="BR764" s="5" t="n">
        <v>0</v>
      </c>
      <c r="BS764" s="5" t="n">
        <v>0.833</v>
      </c>
      <c r="BT764" s="5" t="n">
        <v>0</v>
      </c>
      <c r="BU764" s="5" t="n">
        <v>0.026</v>
      </c>
      <c r="BV764" s="5" t="n">
        <v>0.338</v>
      </c>
      <c r="BW764" s="5" t="n">
        <v>0.077</v>
      </c>
      <c r="BX764" s="5" t="n">
        <v>0.833</v>
      </c>
      <c r="BY764" s="5" t="n">
        <v>13.254</v>
      </c>
      <c r="BZ764" s="5" t="n">
        <v>0</v>
      </c>
      <c r="CA764" s="5" t="n">
        <v>13.254</v>
      </c>
      <c r="CB764" s="5" t="n">
        <v>0</v>
      </c>
      <c r="CC764" s="5" t="n">
        <v>83.248</v>
      </c>
      <c r="CD764" s="5" t="n">
        <v>7.95</v>
      </c>
      <c r="CE764" s="5" t="n">
        <v>6.171</v>
      </c>
      <c r="CF764" s="5" t="n">
        <v>96.30500000000001</v>
      </c>
      <c r="CG764" s="5" t="n">
        <v>0.077</v>
      </c>
      <c r="CH764" s="5" t="n">
        <v>1</v>
      </c>
      <c r="CI764" s="5" t="n">
        <v>0</v>
      </c>
      <c r="CJ764" s="5" t="n">
        <v>0</v>
      </c>
      <c r="CK764" s="5" t="n">
        <v>0</v>
      </c>
      <c r="CL764" s="5" t="n">
        <v>0</v>
      </c>
      <c r="CM764" s="5" t="n">
        <v>0</v>
      </c>
      <c r="CN764" s="5" t="n">
        <v>0</v>
      </c>
      <c r="CO764" s="5" t="n">
        <v>0</v>
      </c>
      <c r="CP764" s="5" t="n">
        <v>0</v>
      </c>
      <c r="CQ764" s="5" t="n">
        <v>1.348</v>
      </c>
      <c r="CR764" s="5" t="n">
        <v>0</v>
      </c>
      <c r="CS764" s="5" t="n">
        <v>5.37</v>
      </c>
      <c r="CT764" s="5" t="n">
        <v>5.104</v>
      </c>
      <c r="CU764" s="5" t="n">
        <v>37.088</v>
      </c>
    </row>
    <row r="765">
      <c r="A765" s="5" t="inlineStr">
        <is>
          <t>CHE2024</t>
        </is>
      </c>
      <c r="B765" s="5" t="inlineStr">
        <is>
          <t>CHE</t>
        </is>
      </c>
      <c r="C765" s="5" t="inlineStr">
        <is>
          <t>CHE</t>
        </is>
      </c>
      <c r="D765" s="5" t="inlineStr">
        <is>
          <t>Switzerland</t>
        </is>
      </c>
      <c r="E765" s="5" t="n">
        <v>2024</v>
      </c>
      <c r="F765" s="5" t="n">
        <v>0.077</v>
      </c>
      <c r="G765" s="5" t="n">
        <v>5.47</v>
      </c>
      <c r="H765" s="5" t="n">
        <v>1.386</v>
      </c>
      <c r="I765" s="5" t="n">
        <v>6.199</v>
      </c>
      <c r="J765" s="5" t="n">
        <v>11.669</v>
      </c>
      <c r="K765" s="5" t="n">
        <v>0</v>
      </c>
      <c r="L765" s="5" t="n">
        <v>1</v>
      </c>
      <c r="M765" s="5" t="n">
        <v>7.124</v>
      </c>
      <c r="N765" s="5" t="n">
        <v>3.971</v>
      </c>
      <c r="O765" s="5" t="n">
        <v>4.546</v>
      </c>
      <c r="P765" s="5" t="n">
        <v>11.669</v>
      </c>
      <c r="Q765" s="5" t="n">
        <v>0</v>
      </c>
      <c r="R765" s="5" t="n">
        <v>1</v>
      </c>
      <c r="S765" s="5" t="n">
        <v>12.405</v>
      </c>
      <c r="T765" s="5" t="n">
        <v>7.942</v>
      </c>
      <c r="U765" s="5" t="n">
        <v>13.657</v>
      </c>
      <c r="V765" s="5" t="n">
        <v>27.778</v>
      </c>
      <c r="W765" s="5" t="n">
        <v>0.077</v>
      </c>
      <c r="X765" s="5" t="n">
        <v>1</v>
      </c>
      <c r="Y765" s="5" t="n">
        <v>40.254</v>
      </c>
      <c r="Z765" s="5" t="n">
        <v>5.083</v>
      </c>
      <c r="AA765" s="5" t="n">
        <v>3.591</v>
      </c>
      <c r="AB765" s="5" t="n">
        <v>43.845</v>
      </c>
      <c r="AC765" s="5" t="n">
        <v>0</v>
      </c>
      <c r="AD765" s="5" t="n">
        <v>1</v>
      </c>
      <c r="AE765" s="5" t="n">
        <v>40.254</v>
      </c>
      <c r="AF765" s="5" t="n">
        <v>8.818</v>
      </c>
      <c r="AG765" s="5" t="n">
        <v>3.591</v>
      </c>
      <c r="AH765" s="5" t="n">
        <v>43.845</v>
      </c>
      <c r="AI765" s="5" t="n">
        <v>0</v>
      </c>
      <c r="AJ765" s="5" t="n">
        <v>1</v>
      </c>
      <c r="AK765" s="5" t="n">
        <v>43.282</v>
      </c>
      <c r="AL765" s="5" t="n">
        <v>22.014</v>
      </c>
      <c r="AM765" s="5" t="n">
        <v>5.992</v>
      </c>
      <c r="AN765" s="5" t="n">
        <v>53.068</v>
      </c>
      <c r="AO765" s="5" t="n">
        <v>0.077</v>
      </c>
      <c r="AP765" s="5" t="n">
        <v>1</v>
      </c>
      <c r="AQ765" s="5" t="n">
        <v>0.724</v>
      </c>
      <c r="AR765" s="5" t="n">
        <v>0.132</v>
      </c>
      <c r="AS765" s="5" t="n">
        <v>1.186</v>
      </c>
      <c r="AT765" s="5" t="n">
        <v>2.057</v>
      </c>
      <c r="AU765" s="5" t="n">
        <v>0.077</v>
      </c>
      <c r="AV765" s="5" t="n">
        <v>1</v>
      </c>
      <c r="AW765" s="5" t="n">
        <v>0.75</v>
      </c>
      <c r="AX765" s="5" t="n">
        <v>0.132</v>
      </c>
      <c r="AY765" s="5" t="n">
        <v>1.265</v>
      </c>
      <c r="AZ765" s="5" t="n">
        <v>2.171</v>
      </c>
      <c r="BA765" s="5" t="n">
        <v>0.077</v>
      </c>
      <c r="BB765" s="5" t="n">
        <v>1</v>
      </c>
      <c r="BC765" s="5" t="n">
        <v>0.513</v>
      </c>
      <c r="BD765" s="5" t="n">
        <v>0.132</v>
      </c>
      <c r="BE765" s="5" t="n">
        <v>0.6870000000000001</v>
      </c>
      <c r="BF765" s="5" t="n">
        <v>1.293</v>
      </c>
      <c r="BG765" s="5" t="n">
        <v>0.077</v>
      </c>
      <c r="BH765" s="5" t="n">
        <v>1</v>
      </c>
      <c r="BI765" s="5" t="n">
        <v>0.591</v>
      </c>
      <c r="BJ765" s="5" t="n">
        <v>0.132</v>
      </c>
      <c r="BK765" s="5" t="n">
        <v>0.55</v>
      </c>
      <c r="BL765" s="5" t="n">
        <v>1.229</v>
      </c>
      <c r="BM765" s="5" t="n">
        <v>0.077</v>
      </c>
      <c r="BN765" s="5" t="n">
        <v>1</v>
      </c>
      <c r="BO765" s="5" t="n">
        <v>0</v>
      </c>
      <c r="BP765" s="5" t="n">
        <v>0.044</v>
      </c>
      <c r="BQ765" s="5" t="n">
        <v>0.315</v>
      </c>
      <c r="BR765" s="5" t="n">
        <v>0</v>
      </c>
      <c r="BS765" s="5" t="n">
        <v>0.833</v>
      </c>
      <c r="BT765" s="5" t="n">
        <v>0</v>
      </c>
      <c r="BU765" s="5" t="n">
        <v>0.027</v>
      </c>
      <c r="BV765" s="5" t="n">
        <v>0.382</v>
      </c>
      <c r="BW765" s="5" t="n">
        <v>0.077</v>
      </c>
      <c r="BX765" s="5" t="n">
        <v>0.833</v>
      </c>
      <c r="BY765" s="5" t="n">
        <v>13.646</v>
      </c>
      <c r="BZ765" s="5" t="n">
        <v>0</v>
      </c>
      <c r="CA765" s="5" t="n">
        <v>13.646</v>
      </c>
      <c r="CB765" s="5" t="n">
        <v>0</v>
      </c>
      <c r="CC765" s="5" t="n">
        <v>82.58799999999999</v>
      </c>
      <c r="CD765" s="5" t="n">
        <v>7.95</v>
      </c>
      <c r="CE765" s="5" t="n">
        <v>-11.844</v>
      </c>
      <c r="CF765" s="5" t="n">
        <v>76.191</v>
      </c>
      <c r="CG765" s="5" t="n">
        <v>0.077</v>
      </c>
      <c r="CH765" s="5" t="n">
        <v>1</v>
      </c>
      <c r="CI765" s="5" t="n">
        <v>0</v>
      </c>
      <c r="CJ765" s="5" t="n">
        <v>0</v>
      </c>
      <c r="CK765" s="5" t="n">
        <v>0</v>
      </c>
      <c r="CL765" s="5" t="n">
        <v>0</v>
      </c>
      <c r="CM765" s="5" t="n">
        <v>0</v>
      </c>
      <c r="CN765" s="5" t="n">
        <v>0</v>
      </c>
      <c r="CO765" s="5" t="n">
        <v>0</v>
      </c>
      <c r="CP765" s="5" t="n">
        <v>0</v>
      </c>
      <c r="CQ765" s="5" t="n">
        <v>1.387</v>
      </c>
      <c r="CR765" s="5" t="n">
        <v>0</v>
      </c>
      <c r="CS765" s="5" t="n">
        <v>5.529</v>
      </c>
      <c r="CT765" s="5" t="n">
        <v>4.463</v>
      </c>
      <c r="CU765" s="5" t="n">
        <v>31.353</v>
      </c>
    </row>
    <row r="766">
      <c r="A766" s="5" t="inlineStr">
        <is>
          <t>SYR2021</t>
        </is>
      </c>
      <c r="B766" s="5" t="inlineStr">
        <is>
          <t>SYR</t>
        </is>
      </c>
      <c r="C766" s="5" t="inlineStr">
        <is>
          <t>SYR</t>
        </is>
      </c>
      <c r="D766" s="5" t="inlineStr">
        <is>
          <t>Syria</t>
        </is>
      </c>
      <c r="E766" s="5" t="n">
        <v>2021</v>
      </c>
      <c r="F766" s="5" t="n">
        <v>0</v>
      </c>
      <c r="G766" s="5" t="n">
        <v>5.897</v>
      </c>
      <c r="H766" s="5" t="n">
        <v>1.143</v>
      </c>
      <c r="I766" s="5" t="n">
        <v>0</v>
      </c>
      <c r="J766" s="5" t="n">
        <v>5.897</v>
      </c>
      <c r="K766" s="5" t="n">
        <v>0</v>
      </c>
      <c r="L766" s="5" t="n">
        <v>1</v>
      </c>
      <c r="M766" s="5" t="n">
        <v>7.964</v>
      </c>
      <c r="N766" s="5" t="n">
        <v>3.43</v>
      </c>
      <c r="O766" s="5" t="n">
        <v>0</v>
      </c>
      <c r="P766" s="5" t="n">
        <v>7.964</v>
      </c>
      <c r="Q766" s="5" t="n">
        <v>0</v>
      </c>
      <c r="R766" s="5" t="n">
        <v>1</v>
      </c>
      <c r="S766" s="5" t="n">
        <v>11.613</v>
      </c>
      <c r="T766" s="5" t="n">
        <v>6.86</v>
      </c>
      <c r="U766" s="5" t="n">
        <v>0</v>
      </c>
      <c r="V766" s="5" t="n">
        <v>11.613</v>
      </c>
      <c r="W766" s="5" t="n">
        <v>0</v>
      </c>
      <c r="X766" s="5" t="n">
        <v>1</v>
      </c>
      <c r="Y766" s="5" t="n">
        <v>5.347</v>
      </c>
      <c r="Z766" s="5" t="n">
        <v>0.484</v>
      </c>
      <c r="AA766" s="5" t="n">
        <v>0</v>
      </c>
      <c r="AB766" s="5" t="n">
        <v>5.347</v>
      </c>
      <c r="AC766" s="5" t="n">
        <v>0</v>
      </c>
      <c r="AD766" s="5" t="n">
        <v>1</v>
      </c>
      <c r="AE766" s="5" t="n">
        <v>5.919</v>
      </c>
      <c r="AF766" s="5" t="n">
        <v>0.966</v>
      </c>
      <c r="AG766" s="5" t="n">
        <v>0</v>
      </c>
      <c r="AH766" s="5" t="n">
        <v>5.919</v>
      </c>
      <c r="AI766" s="5" t="n">
        <v>0</v>
      </c>
      <c r="AJ766" s="5" t="n">
        <v>1</v>
      </c>
      <c r="AK766" s="5" t="n">
        <v>9.349</v>
      </c>
      <c r="AL766" s="5" t="n">
        <v>3.931</v>
      </c>
      <c r="AM766" s="5" t="n">
        <v>0</v>
      </c>
      <c r="AN766" s="5" t="n">
        <v>9.349</v>
      </c>
      <c r="AO766" s="5" t="n">
        <v>0</v>
      </c>
      <c r="AP766" s="5" t="n">
        <v>1</v>
      </c>
      <c r="AQ766" s="5" t="n">
        <v>0.621</v>
      </c>
      <c r="AR766" s="5" t="n">
        <v>0.114</v>
      </c>
      <c r="AS766" s="5" t="n">
        <v>0.127</v>
      </c>
      <c r="AT766" s="5" t="n">
        <v>0.748</v>
      </c>
      <c r="AU766" s="5" t="n">
        <v>0</v>
      </c>
      <c r="AV766" s="5" t="n">
        <v>1</v>
      </c>
      <c r="AW766" s="5" t="n">
        <v>0.593</v>
      </c>
      <c r="AX766" s="5" t="n">
        <v>0.114</v>
      </c>
      <c r="AY766" s="5" t="n">
        <v>0.212</v>
      </c>
      <c r="AZ766" s="5" t="n">
        <v>0.806</v>
      </c>
      <c r="BA766" s="5" t="n">
        <v>0</v>
      </c>
      <c r="BB766" s="5" t="n">
        <v>1</v>
      </c>
      <c r="BC766" s="5" t="n">
        <v>0.44</v>
      </c>
      <c r="BD766" s="5" t="n">
        <v>0.114</v>
      </c>
      <c r="BE766" s="5" t="n">
        <v>-0.338</v>
      </c>
      <c r="BF766" s="5" t="n">
        <v>0.102</v>
      </c>
      <c r="BG766" s="5" t="n">
        <v>0</v>
      </c>
      <c r="BH766" s="5" t="n">
        <v>0</v>
      </c>
      <c r="BI766" s="5" t="n">
        <v>0.5600000000000001</v>
      </c>
      <c r="BJ766" s="5" t="n">
        <v>0.114</v>
      </c>
      <c r="BK766" s="5" t="n">
        <v>0</v>
      </c>
      <c r="BL766" s="5" t="n">
        <v>0.5600000000000001</v>
      </c>
      <c r="BM766" s="5" t="n">
        <v>0</v>
      </c>
      <c r="BN766" s="5" t="n">
        <v>1</v>
      </c>
      <c r="BO766" s="5" t="n">
        <v>0</v>
      </c>
      <c r="BP766" s="5" t="n">
        <v>0</v>
      </c>
      <c r="BQ766" s="5" t="n">
        <v>0.08799999999999999</v>
      </c>
      <c r="BR766" s="5" t="n">
        <v>0</v>
      </c>
      <c r="BS766" s="5" t="n">
        <v>1</v>
      </c>
      <c r="BT766" s="5" t="n">
        <v>0</v>
      </c>
      <c r="BU766" s="5" t="n">
        <v>0</v>
      </c>
      <c r="BV766" s="5" t="n">
        <v>0.031</v>
      </c>
      <c r="BW766" s="5" t="n">
        <v>0</v>
      </c>
      <c r="BX766" s="5" t="n">
        <v>1</v>
      </c>
      <c r="BY766" s="5" t="n">
        <v>11.787</v>
      </c>
      <c r="BZ766" s="5" t="n">
        <v>0</v>
      </c>
      <c r="CA766" s="5" t="n">
        <v>11.787</v>
      </c>
      <c r="CB766" s="5" t="n">
        <v>0</v>
      </c>
      <c r="CC766" s="5" t="n">
        <v>81.69499999999999</v>
      </c>
      <c r="CD766" s="5" t="n">
        <v>7.95</v>
      </c>
      <c r="CE766" s="5" t="n">
        <v>0</v>
      </c>
      <c r="CF766" s="5" t="n">
        <v>81.69499999999999</v>
      </c>
      <c r="CG766" s="5" t="n">
        <v>0</v>
      </c>
      <c r="CH766" s="5" t="n">
        <v>1</v>
      </c>
      <c r="CI766" s="5" t="n">
        <v>0</v>
      </c>
      <c r="CJ766" s="5" t="n">
        <v>0</v>
      </c>
      <c r="CK766" s="5" t="n">
        <v>0</v>
      </c>
      <c r="CL766" s="5" t="n">
        <v>0</v>
      </c>
      <c r="CM766" s="5" t="n">
        <v>0</v>
      </c>
      <c r="CN766" s="5" t="n">
        <v>0</v>
      </c>
      <c r="CO766" s="5" t="n">
        <v>0</v>
      </c>
      <c r="CP766" s="5" t="n">
        <v>0</v>
      </c>
      <c r="CQ766" s="5" t="n">
        <v>1.198</v>
      </c>
      <c r="CR766" s="5" t="n">
        <v>1</v>
      </c>
      <c r="CS766" s="5" t="n">
        <v>4.776</v>
      </c>
      <c r="CT766" s="5" t="n">
        <v>4.753</v>
      </c>
      <c r="CU766" s="5" t="n">
        <v>14.162</v>
      </c>
    </row>
    <row r="767">
      <c r="A767" s="5" t="inlineStr">
        <is>
          <t>SYR2022</t>
        </is>
      </c>
      <c r="B767" s="5" t="inlineStr">
        <is>
          <t>SYR</t>
        </is>
      </c>
      <c r="C767" s="5" t="inlineStr">
        <is>
          <t>SYR</t>
        </is>
      </c>
      <c r="D767" s="5" t="inlineStr">
        <is>
          <t>Syria</t>
        </is>
      </c>
      <c r="E767" s="5" t="n">
        <v>2022</v>
      </c>
      <c r="F767" s="5" t="n">
        <v>0</v>
      </c>
      <c r="G767" s="5" t="n">
        <v>11.72</v>
      </c>
      <c r="H767" s="5" t="n">
        <v>1.235</v>
      </c>
      <c r="I767" s="5" t="n">
        <v>0</v>
      </c>
      <c r="J767" s="5" t="n">
        <v>11.72</v>
      </c>
      <c r="K767" s="5" t="n">
        <v>0</v>
      </c>
      <c r="L767" s="5" t="n">
        <v>1</v>
      </c>
      <c r="M767" s="5" t="n">
        <v>9.782999999999999</v>
      </c>
      <c r="N767" s="5" t="n">
        <v>3.704</v>
      </c>
      <c r="O767" s="5" t="n">
        <v>0</v>
      </c>
      <c r="P767" s="5" t="n">
        <v>9.782999999999999</v>
      </c>
      <c r="Q767" s="5" t="n">
        <v>0</v>
      </c>
      <c r="R767" s="5" t="n">
        <v>1</v>
      </c>
      <c r="S767" s="5" t="n">
        <v>17.893</v>
      </c>
      <c r="T767" s="5" t="n">
        <v>7.408</v>
      </c>
      <c r="U767" s="5" t="n">
        <v>0</v>
      </c>
      <c r="V767" s="5" t="n">
        <v>17.893</v>
      </c>
      <c r="W767" s="5" t="n">
        <v>0</v>
      </c>
      <c r="X767" s="5" t="n">
        <v>1</v>
      </c>
      <c r="Y767" s="5" t="n">
        <v>5.775</v>
      </c>
      <c r="Z767" s="5" t="n">
        <v>0.523</v>
      </c>
      <c r="AA767" s="5" t="n">
        <v>0</v>
      </c>
      <c r="AB767" s="5" t="n">
        <v>5.775</v>
      </c>
      <c r="AC767" s="5" t="n">
        <v>0</v>
      </c>
      <c r="AD767" s="5" t="n">
        <v>1</v>
      </c>
      <c r="AE767" s="5" t="n">
        <v>6.392</v>
      </c>
      <c r="AF767" s="5" t="n">
        <v>1.043</v>
      </c>
      <c r="AG767" s="5" t="n">
        <v>0</v>
      </c>
      <c r="AH767" s="5" t="n">
        <v>6.392</v>
      </c>
      <c r="AI767" s="5" t="n">
        <v>0</v>
      </c>
      <c r="AJ767" s="5" t="n">
        <v>1</v>
      </c>
      <c r="AK767" s="5" t="n">
        <v>10.096</v>
      </c>
      <c r="AL767" s="5" t="n">
        <v>4.245</v>
      </c>
      <c r="AM767" s="5" t="n">
        <v>0</v>
      </c>
      <c r="AN767" s="5" t="n">
        <v>10.096</v>
      </c>
      <c r="AO767" s="5" t="n">
        <v>0</v>
      </c>
      <c r="AP767" s="5" t="n">
        <v>1</v>
      </c>
      <c r="AQ767" s="5" t="n">
        <v>0.847</v>
      </c>
      <c r="AR767" s="5" t="n">
        <v>0.123</v>
      </c>
      <c r="AS767" s="5" t="n">
        <v>0.638</v>
      </c>
      <c r="AT767" s="5" t="n">
        <v>1.484</v>
      </c>
      <c r="AU767" s="5" t="n">
        <v>0</v>
      </c>
      <c r="AV767" s="5" t="n">
        <v>1</v>
      </c>
      <c r="AW767" s="5" t="n">
        <v>0.947</v>
      </c>
      <c r="AX767" s="5" t="n">
        <v>0.123</v>
      </c>
      <c r="AY767" s="5" t="n">
        <v>-0.188</v>
      </c>
      <c r="AZ767" s="5" t="n">
        <v>0.759</v>
      </c>
      <c r="BA767" s="5" t="n">
        <v>0</v>
      </c>
      <c r="BB767" s="5" t="n">
        <v>1</v>
      </c>
      <c r="BC767" s="5" t="n">
        <v>0.589</v>
      </c>
      <c r="BD767" s="5" t="n">
        <v>0.123</v>
      </c>
      <c r="BE767" s="5" t="n">
        <v>-0.538</v>
      </c>
      <c r="BF767" s="5" t="n">
        <v>0.051</v>
      </c>
      <c r="BG767" s="5" t="n">
        <v>0</v>
      </c>
      <c r="BH767" s="5" t="n">
        <v>0</v>
      </c>
      <c r="BI767" s="5" t="n">
        <v>0.6889999999999999</v>
      </c>
      <c r="BJ767" s="5" t="n">
        <v>0.123</v>
      </c>
      <c r="BK767" s="5" t="n">
        <v>0</v>
      </c>
      <c r="BL767" s="5" t="n">
        <v>0.6889999999999999</v>
      </c>
      <c r="BM767" s="5" t="n">
        <v>0</v>
      </c>
      <c r="BN767" s="5" t="n">
        <v>1</v>
      </c>
      <c r="BO767" s="5" t="n">
        <v>0</v>
      </c>
      <c r="BP767" s="5" t="n">
        <v>0</v>
      </c>
      <c r="BQ767" s="5" t="n">
        <v>0.044</v>
      </c>
      <c r="BR767" s="5" t="n">
        <v>0</v>
      </c>
      <c r="BS767" s="5" t="n">
        <v>1</v>
      </c>
      <c r="BT767" s="5" t="n">
        <v>0</v>
      </c>
      <c r="BU767" s="5" t="n">
        <v>0</v>
      </c>
      <c r="BV767" s="5" t="n">
        <v>0.016</v>
      </c>
      <c r="BW767" s="5" t="n">
        <v>0</v>
      </c>
      <c r="BX767" s="5" t="n">
        <v>1</v>
      </c>
      <c r="BY767" s="5" t="n">
        <v>12.729</v>
      </c>
      <c r="BZ767" s="5" t="n">
        <v>0</v>
      </c>
      <c r="CA767" s="5" t="n">
        <v>12.729</v>
      </c>
      <c r="CB767" s="5" t="n">
        <v>0</v>
      </c>
      <c r="CC767" s="5" t="n">
        <v>102.477</v>
      </c>
      <c r="CD767" s="5" t="n">
        <v>7.95</v>
      </c>
      <c r="CE767" s="5" t="n">
        <v>0</v>
      </c>
      <c r="CF767" s="5" t="n">
        <v>102.477</v>
      </c>
      <c r="CG767" s="5" t="n">
        <v>0</v>
      </c>
      <c r="CH767" s="5" t="n">
        <v>1</v>
      </c>
      <c r="CI767" s="5" t="n">
        <v>0</v>
      </c>
      <c r="CJ767" s="5" t="n">
        <v>0</v>
      </c>
      <c r="CK767" s="5" t="n">
        <v>0</v>
      </c>
      <c r="CL767" s="5" t="n">
        <v>0</v>
      </c>
      <c r="CM767" s="5" t="n">
        <v>0</v>
      </c>
      <c r="CN767" s="5" t="n">
        <v>0</v>
      </c>
      <c r="CO767" s="5" t="n">
        <v>0</v>
      </c>
      <c r="CP767" s="5" t="n">
        <v>0</v>
      </c>
      <c r="CQ767" s="5" t="n">
        <v>1.294</v>
      </c>
      <c r="CR767" s="5" t="n">
        <v>1</v>
      </c>
      <c r="CS767" s="5" t="n">
        <v>5.158</v>
      </c>
      <c r="CT767" s="5" t="n">
        <v>10.485</v>
      </c>
      <c r="CU767" s="5" t="n">
        <v>30.326</v>
      </c>
    </row>
    <row r="768">
      <c r="A768" s="5" t="inlineStr">
        <is>
          <t>SYR2023</t>
        </is>
      </c>
      <c r="B768" s="5" t="inlineStr">
        <is>
          <t>SYR</t>
        </is>
      </c>
      <c r="C768" s="5" t="inlineStr">
        <is>
          <t>SYR</t>
        </is>
      </c>
      <c r="D768" s="5" t="inlineStr">
        <is>
          <t>Syria</t>
        </is>
      </c>
      <c r="E768" s="5" t="n">
        <v>2023</v>
      </c>
      <c r="F768" s="5" t="n">
        <v>0</v>
      </c>
      <c r="G768" s="5" t="n">
        <v>6.147</v>
      </c>
      <c r="H768" s="5" t="n">
        <v>1.286</v>
      </c>
      <c r="I768" s="5" t="n">
        <v>0</v>
      </c>
      <c r="J768" s="5" t="n">
        <v>6.147</v>
      </c>
      <c r="K768" s="5" t="n">
        <v>0</v>
      </c>
      <c r="L768" s="5" t="n">
        <v>1</v>
      </c>
      <c r="M768" s="5" t="n">
        <v>7.886</v>
      </c>
      <c r="N768" s="5" t="n">
        <v>3.857</v>
      </c>
      <c r="O768" s="5" t="n">
        <v>0</v>
      </c>
      <c r="P768" s="5" t="n">
        <v>7.886</v>
      </c>
      <c r="Q768" s="5" t="n">
        <v>0</v>
      </c>
      <c r="R768" s="5" t="n">
        <v>1</v>
      </c>
      <c r="S768" s="5" t="n">
        <v>12.575</v>
      </c>
      <c r="T768" s="5" t="n">
        <v>7.714</v>
      </c>
      <c r="U768" s="5" t="n">
        <v>0</v>
      </c>
      <c r="V768" s="5" t="n">
        <v>12.575</v>
      </c>
      <c r="W768" s="5" t="n">
        <v>0</v>
      </c>
      <c r="X768" s="5" t="n">
        <v>1</v>
      </c>
      <c r="Y768" s="5" t="n">
        <v>6.013</v>
      </c>
      <c r="Z768" s="5" t="n">
        <v>0.545</v>
      </c>
      <c r="AA768" s="5" t="n">
        <v>0</v>
      </c>
      <c r="AB768" s="5" t="n">
        <v>6.013</v>
      </c>
      <c r="AC768" s="5" t="n">
        <v>0</v>
      </c>
      <c r="AD768" s="5" t="n">
        <v>1</v>
      </c>
      <c r="AE768" s="5" t="n">
        <v>6.656</v>
      </c>
      <c r="AF768" s="5" t="n">
        <v>1.086</v>
      </c>
      <c r="AG768" s="5" t="n">
        <v>0</v>
      </c>
      <c r="AH768" s="5" t="n">
        <v>6.656</v>
      </c>
      <c r="AI768" s="5" t="n">
        <v>0</v>
      </c>
      <c r="AJ768" s="5" t="n">
        <v>1</v>
      </c>
      <c r="AK768" s="5" t="n">
        <v>10.513</v>
      </c>
      <c r="AL768" s="5" t="n">
        <v>4.42</v>
      </c>
      <c r="AM768" s="5" t="n">
        <v>0</v>
      </c>
      <c r="AN768" s="5" t="n">
        <v>10.513</v>
      </c>
      <c r="AO768" s="5" t="n">
        <v>0</v>
      </c>
      <c r="AP768" s="5" t="n">
        <v>1</v>
      </c>
      <c r="AQ768" s="5" t="n">
        <v>0.749</v>
      </c>
      <c r="AR768" s="5" t="n">
        <v>0.129</v>
      </c>
      <c r="AS768" s="5" t="n">
        <v>0.664</v>
      </c>
      <c r="AT768" s="5" t="n">
        <v>1.413</v>
      </c>
      <c r="AU768" s="5" t="n">
        <v>0</v>
      </c>
      <c r="AV768" s="5" t="n">
        <v>1</v>
      </c>
      <c r="AW768" s="5" t="n">
        <v>0.783</v>
      </c>
      <c r="AX768" s="5" t="n">
        <v>0.129</v>
      </c>
      <c r="AY768" s="5" t="n">
        <v>-0.07199999999999999</v>
      </c>
      <c r="AZ768" s="5" t="n">
        <v>0.711</v>
      </c>
      <c r="BA768" s="5" t="n">
        <v>0</v>
      </c>
      <c r="BB768" s="5" t="n">
        <v>1</v>
      </c>
      <c r="BC768" s="5" t="n">
        <v>0.527</v>
      </c>
      <c r="BD768" s="5" t="n">
        <v>0.129</v>
      </c>
      <c r="BE768" s="5" t="n">
        <v>-0.477</v>
      </c>
      <c r="BF768" s="5" t="n">
        <v>0.05</v>
      </c>
      <c r="BG768" s="5" t="n">
        <v>0</v>
      </c>
      <c r="BH768" s="5" t="n">
        <v>0</v>
      </c>
      <c r="BI768" s="5" t="n">
        <v>0.64</v>
      </c>
      <c r="BJ768" s="5" t="n">
        <v>0.129</v>
      </c>
      <c r="BK768" s="5" t="n">
        <v>0</v>
      </c>
      <c r="BL768" s="5" t="n">
        <v>0.64</v>
      </c>
      <c r="BM768" s="5" t="n">
        <v>0</v>
      </c>
      <c r="BN768" s="5" t="n">
        <v>1</v>
      </c>
      <c r="BO768" s="5" t="n">
        <v>0</v>
      </c>
      <c r="BP768" s="5" t="n">
        <v>0</v>
      </c>
      <c r="BQ768" s="5" t="n">
        <v>0.046</v>
      </c>
      <c r="BR768" s="5" t="n">
        <v>0</v>
      </c>
      <c r="BS768" s="5" t="n">
        <v>1</v>
      </c>
      <c r="BT768" s="5" t="n">
        <v>0</v>
      </c>
      <c r="BU768" s="5" t="n">
        <v>0</v>
      </c>
      <c r="BV768" s="5" t="n">
        <v>0.016</v>
      </c>
      <c r="BW768" s="5" t="n">
        <v>0</v>
      </c>
      <c r="BX768" s="5" t="n">
        <v>1</v>
      </c>
      <c r="BY768" s="5" t="n">
        <v>13.254</v>
      </c>
      <c r="BZ768" s="5" t="n">
        <v>0</v>
      </c>
      <c r="CA768" s="5" t="n">
        <v>13.254</v>
      </c>
      <c r="CB768" s="5" t="n">
        <v>0</v>
      </c>
      <c r="CC768" s="5" t="n">
        <v>87.07899999999999</v>
      </c>
      <c r="CD768" s="5" t="n">
        <v>7.95</v>
      </c>
      <c r="CE768" s="5" t="n">
        <v>0</v>
      </c>
      <c r="CF768" s="5" t="n">
        <v>87.07899999999999</v>
      </c>
      <c r="CG768" s="5" t="n">
        <v>0</v>
      </c>
      <c r="CH768" s="5" t="n">
        <v>1</v>
      </c>
      <c r="CI768" s="5" t="n">
        <v>0</v>
      </c>
      <c r="CJ768" s="5" t="n">
        <v>0</v>
      </c>
      <c r="CK768" s="5" t="n">
        <v>0</v>
      </c>
      <c r="CL768" s="5" t="n">
        <v>0</v>
      </c>
      <c r="CM768" s="5" t="n">
        <v>0</v>
      </c>
      <c r="CN768" s="5" t="n">
        <v>0</v>
      </c>
      <c r="CO768" s="5" t="n">
        <v>0</v>
      </c>
      <c r="CP768" s="5" t="n">
        <v>0</v>
      </c>
      <c r="CQ768" s="5" t="n">
        <v>1.348</v>
      </c>
      <c r="CR768" s="5" t="n">
        <v>1</v>
      </c>
      <c r="CS768" s="5" t="n">
        <v>5.37</v>
      </c>
      <c r="CT768" s="5" t="n">
        <v>4.861</v>
      </c>
      <c r="CU768" s="5" t="n">
        <v>10.622</v>
      </c>
    </row>
    <row r="769">
      <c r="A769" s="5" t="inlineStr">
        <is>
          <t>SYR2024</t>
        </is>
      </c>
      <c r="B769" s="5" t="inlineStr">
        <is>
          <t>SYR</t>
        </is>
      </c>
      <c r="C769" s="5" t="inlineStr">
        <is>
          <t>SYR</t>
        </is>
      </c>
      <c r="D769" s="5" t="inlineStr">
        <is>
          <t>Syria</t>
        </is>
      </c>
      <c r="E769" s="5" t="n">
        <v>2024</v>
      </c>
      <c r="F769" s="5" t="n">
        <v>0</v>
      </c>
      <c r="G769" s="5" t="n">
        <v>5.575</v>
      </c>
      <c r="H769" s="5" t="n">
        <v>1.324</v>
      </c>
      <c r="I769" s="5" t="n">
        <v>0</v>
      </c>
      <c r="J769" s="5" t="n">
        <v>5.575</v>
      </c>
      <c r="K769" s="5" t="n">
        <v>0</v>
      </c>
      <c r="L769" s="5" t="n">
        <v>1</v>
      </c>
      <c r="M769" s="5" t="n">
        <v>7.124</v>
      </c>
      <c r="N769" s="5" t="n">
        <v>3.971</v>
      </c>
      <c r="O769" s="5" t="n">
        <v>0</v>
      </c>
      <c r="P769" s="5" t="n">
        <v>7.124</v>
      </c>
      <c r="Q769" s="5" t="n">
        <v>0</v>
      </c>
      <c r="R769" s="5" t="n">
        <v>1</v>
      </c>
      <c r="S769" s="5" t="n">
        <v>12.193</v>
      </c>
      <c r="T769" s="5" t="n">
        <v>7.942</v>
      </c>
      <c r="U769" s="5" t="n">
        <v>0</v>
      </c>
      <c r="V769" s="5" t="n">
        <v>12.193</v>
      </c>
      <c r="W769" s="5" t="n">
        <v>0</v>
      </c>
      <c r="X769" s="5" t="n">
        <v>1</v>
      </c>
      <c r="Y769" s="5" t="n">
        <v>6.191</v>
      </c>
      <c r="Z769" s="5" t="n">
        <v>0.5610000000000001</v>
      </c>
      <c r="AA769" s="5" t="n">
        <v>0</v>
      </c>
      <c r="AB769" s="5" t="n">
        <v>6.191</v>
      </c>
      <c r="AC769" s="5" t="n">
        <v>0</v>
      </c>
      <c r="AD769" s="5" t="n">
        <v>1</v>
      </c>
      <c r="AE769" s="5" t="n">
        <v>6.853</v>
      </c>
      <c r="AF769" s="5" t="n">
        <v>1.118</v>
      </c>
      <c r="AG769" s="5" t="n">
        <v>0</v>
      </c>
      <c r="AH769" s="5" t="n">
        <v>6.853</v>
      </c>
      <c r="AI769" s="5" t="n">
        <v>0</v>
      </c>
      <c r="AJ769" s="5" t="n">
        <v>1</v>
      </c>
      <c r="AK769" s="5" t="n">
        <v>10.823</v>
      </c>
      <c r="AL769" s="5" t="n">
        <v>4.55</v>
      </c>
      <c r="AM769" s="5" t="n">
        <v>0</v>
      </c>
      <c r="AN769" s="5" t="n">
        <v>10.823</v>
      </c>
      <c r="AO769" s="5" t="n">
        <v>0</v>
      </c>
      <c r="AP769" s="5" t="n">
        <v>1</v>
      </c>
      <c r="AQ769" s="5" t="n">
        <v>0.72</v>
      </c>
      <c r="AR769" s="5" t="n">
        <v>0.132</v>
      </c>
      <c r="AS769" s="5" t="n">
        <v>0.6830000000000001</v>
      </c>
      <c r="AT769" s="5" t="n">
        <v>1.403</v>
      </c>
      <c r="AU769" s="5" t="n">
        <v>0</v>
      </c>
      <c r="AV769" s="5" t="n">
        <v>1</v>
      </c>
      <c r="AW769" s="5" t="n">
        <v>0.734</v>
      </c>
      <c r="AX769" s="5" t="n">
        <v>0.132</v>
      </c>
      <c r="AY769" s="5" t="n">
        <v>-0.03</v>
      </c>
      <c r="AZ769" s="5" t="n">
        <v>0.704</v>
      </c>
      <c r="BA769" s="5" t="n">
        <v>0</v>
      </c>
      <c r="BB769" s="5" t="n">
        <v>1</v>
      </c>
      <c r="BC769" s="5" t="n">
        <v>0.51</v>
      </c>
      <c r="BD769" s="5" t="n">
        <v>0.132</v>
      </c>
      <c r="BE769" s="5" t="n">
        <v>-0.459</v>
      </c>
      <c r="BF769" s="5" t="n">
        <v>0.051</v>
      </c>
      <c r="BG769" s="5" t="n">
        <v>0</v>
      </c>
      <c r="BH769" s="5" t="n">
        <v>0</v>
      </c>
      <c r="BI769" s="5" t="n">
        <v>0.652</v>
      </c>
      <c r="BJ769" s="5" t="n">
        <v>0.132</v>
      </c>
      <c r="BK769" s="5" t="n">
        <v>0</v>
      </c>
      <c r="BL769" s="5" t="n">
        <v>0.652</v>
      </c>
      <c r="BM769" s="5" t="n">
        <v>0</v>
      </c>
      <c r="BN769" s="5" t="n">
        <v>1</v>
      </c>
      <c r="BO769" s="5" t="n">
        <v>0</v>
      </c>
      <c r="BP769" s="5" t="n">
        <v>0</v>
      </c>
      <c r="BQ769" s="5" t="n">
        <v>0.047</v>
      </c>
      <c r="BR769" s="5" t="n">
        <v>0</v>
      </c>
      <c r="BS769" s="5" t="n">
        <v>1</v>
      </c>
      <c r="BT769" s="5" t="n">
        <v>0</v>
      </c>
      <c r="BU769" s="5" t="n">
        <v>0</v>
      </c>
      <c r="BV769" s="5" t="n">
        <v>0.017</v>
      </c>
      <c r="BW769" s="5" t="n">
        <v>0</v>
      </c>
      <c r="BX769" s="5" t="n">
        <v>1</v>
      </c>
      <c r="BY769" s="5" t="n">
        <v>13.646</v>
      </c>
      <c r="BZ769" s="5" t="n">
        <v>0</v>
      </c>
      <c r="CA769" s="5" t="n">
        <v>13.646</v>
      </c>
      <c r="CB769" s="5" t="n">
        <v>0</v>
      </c>
      <c r="CC769" s="5" t="n">
        <v>86.38500000000001</v>
      </c>
      <c r="CD769" s="5" t="n">
        <v>7.95</v>
      </c>
      <c r="CE769" s="5" t="n">
        <v>0</v>
      </c>
      <c r="CF769" s="5" t="n">
        <v>86.38500000000001</v>
      </c>
      <c r="CG769" s="5" t="n">
        <v>0</v>
      </c>
      <c r="CH769" s="5" t="n">
        <v>1</v>
      </c>
      <c r="CI769" s="5" t="n">
        <v>0</v>
      </c>
      <c r="CJ769" s="5" t="n">
        <v>0</v>
      </c>
      <c r="CK769" s="5" t="n">
        <v>0</v>
      </c>
      <c r="CL769" s="5" t="n">
        <v>0</v>
      </c>
      <c r="CM769" s="5" t="n">
        <v>0</v>
      </c>
      <c r="CN769" s="5" t="n">
        <v>0</v>
      </c>
      <c r="CO769" s="5" t="n">
        <v>0</v>
      </c>
      <c r="CP769" s="5" t="n">
        <v>0</v>
      </c>
      <c r="CQ769" s="5" t="n">
        <v>1.387</v>
      </c>
      <c r="CR769" s="5" t="n">
        <v>1</v>
      </c>
      <c r="CS769" s="5" t="n">
        <v>5.529</v>
      </c>
      <c r="CT769" s="5" t="n">
        <v>4.251</v>
      </c>
      <c r="CU769" s="5" t="n">
        <v>9.167999999999999</v>
      </c>
    </row>
    <row r="770">
      <c r="A770" s="5" t="inlineStr">
        <is>
          <t>STP2021</t>
        </is>
      </c>
      <c r="B770" s="5" t="inlineStr">
        <is>
          <t>STP</t>
        </is>
      </c>
      <c r="C770" s="5" t="inlineStr">
        <is>
          <t>STP</t>
        </is>
      </c>
      <c r="D770" s="5" t="inlineStr">
        <is>
          <t>São Tomé and Príncipe</t>
        </is>
      </c>
      <c r="E770" s="5" t="n">
        <v>2021</v>
      </c>
      <c r="F770" s="5" t="n">
        <v>0</v>
      </c>
      <c r="G770" s="5" t="n">
        <v>5.897</v>
      </c>
      <c r="H770" s="5" t="n">
        <v>1.143</v>
      </c>
      <c r="I770" s="5" t="n">
        <v>0</v>
      </c>
      <c r="J770" s="5" t="n">
        <v>5.897</v>
      </c>
      <c r="K770" s="5" t="n">
        <v>0</v>
      </c>
      <c r="L770" s="5" t="n">
        <v>1</v>
      </c>
      <c r="M770" s="5" t="n">
        <v>7.964</v>
      </c>
      <c r="N770" s="5" t="n">
        <v>3.43</v>
      </c>
      <c r="O770" s="5" t="n">
        <v>0</v>
      </c>
      <c r="P770" s="5" t="n">
        <v>7.964</v>
      </c>
      <c r="Q770" s="5" t="n">
        <v>0</v>
      </c>
      <c r="R770" s="5" t="n">
        <v>1</v>
      </c>
      <c r="S770" s="5" t="n">
        <v>11.613</v>
      </c>
      <c r="T770" s="5" t="n">
        <v>6.86</v>
      </c>
      <c r="U770" s="5" t="n">
        <v>0</v>
      </c>
      <c r="V770" s="5" t="n">
        <v>11.613</v>
      </c>
      <c r="W770" s="5" t="n">
        <v>0</v>
      </c>
      <c r="X770" s="5" t="n">
        <v>1</v>
      </c>
      <c r="Y770" s="5" t="n">
        <v>15.393</v>
      </c>
      <c r="Z770" s="5" t="n">
        <v>2.08</v>
      </c>
      <c r="AA770" s="5" t="n">
        <v>0</v>
      </c>
      <c r="AB770" s="5" t="n">
        <v>15.393</v>
      </c>
      <c r="AC770" s="5" t="n">
        <v>0</v>
      </c>
      <c r="AD770" s="5" t="n">
        <v>1</v>
      </c>
      <c r="AE770" s="5" t="n">
        <v>16.536</v>
      </c>
      <c r="AF770" s="5" t="n">
        <v>3.867</v>
      </c>
      <c r="AG770" s="5" t="n">
        <v>0</v>
      </c>
      <c r="AH770" s="5" t="n">
        <v>16.536</v>
      </c>
      <c r="AI770" s="5" t="n">
        <v>0</v>
      </c>
      <c r="AJ770" s="5" t="n">
        <v>1</v>
      </c>
      <c r="AK770" s="5" t="n">
        <v>23.396</v>
      </c>
      <c r="AL770" s="5" t="n">
        <v>12.461</v>
      </c>
      <c r="AM770" s="5" t="n">
        <v>0</v>
      </c>
      <c r="AN770" s="5" t="n">
        <v>23.396</v>
      </c>
      <c r="AO770" s="5" t="n">
        <v>0</v>
      </c>
      <c r="AP770" s="5" t="n">
        <v>1</v>
      </c>
      <c r="AQ770" s="5" t="n">
        <v>0.619</v>
      </c>
      <c r="AR770" s="5" t="n">
        <v>0.114</v>
      </c>
      <c r="AS770" s="5" t="n">
        <v>0.8149999999999999</v>
      </c>
      <c r="AT770" s="5" t="n">
        <v>1.434</v>
      </c>
      <c r="AU770" s="5" t="n">
        <v>0</v>
      </c>
      <c r="AV770" s="5" t="n">
        <v>1</v>
      </c>
      <c r="AW770" s="5" t="n">
        <v>0.599</v>
      </c>
      <c r="AX770" s="5" t="n">
        <v>0.114</v>
      </c>
      <c r="AY770" s="5" t="n">
        <v>0.539</v>
      </c>
      <c r="AZ770" s="5" t="n">
        <v>1.138</v>
      </c>
      <c r="BA770" s="5" t="n">
        <v>0</v>
      </c>
      <c r="BB770" s="5" t="n">
        <v>1</v>
      </c>
      <c r="BC770" s="5" t="n">
        <v>0.439</v>
      </c>
      <c r="BD770" s="5" t="n">
        <v>0.114</v>
      </c>
      <c r="BE770" s="5" t="n">
        <v>0</v>
      </c>
      <c r="BF770" s="5" t="n">
        <v>0.439</v>
      </c>
      <c r="BG770" s="5" t="n">
        <v>0</v>
      </c>
      <c r="BH770" s="5" t="n">
        <v>1</v>
      </c>
      <c r="BI770" s="5" t="n">
        <v>0.505</v>
      </c>
      <c r="BJ770" s="5" t="n">
        <v>0.114</v>
      </c>
      <c r="BK770" s="5" t="n">
        <v>0.238</v>
      </c>
      <c r="BL770" s="5" t="n">
        <v>0.743</v>
      </c>
      <c r="BM770" s="5" t="n">
        <v>0</v>
      </c>
      <c r="BN770" s="5" t="n">
        <v>1</v>
      </c>
      <c r="BO770" s="5" t="n">
        <v>0</v>
      </c>
      <c r="BP770" s="5" t="n">
        <v>0</v>
      </c>
      <c r="BQ770" s="5" t="n">
        <v>0.166</v>
      </c>
      <c r="BR770" s="5" t="n">
        <v>0</v>
      </c>
      <c r="BS770" s="5" t="n">
        <v>0.833</v>
      </c>
      <c r="BT770" s="5" t="n">
        <v>0</v>
      </c>
      <c r="BU770" s="5" t="n">
        <v>0</v>
      </c>
      <c r="BV770" s="5" t="n">
        <v>0.118</v>
      </c>
      <c r="BW770" s="5" t="n">
        <v>0</v>
      </c>
      <c r="BX770" s="5" t="n">
        <v>0.833</v>
      </c>
      <c r="BY770" s="5" t="n">
        <v>11.787</v>
      </c>
      <c r="BZ770" s="5" t="n">
        <v>0</v>
      </c>
      <c r="CA770" s="5" t="n">
        <v>11.787</v>
      </c>
      <c r="CB770" s="5" t="n">
        <v>0</v>
      </c>
      <c r="CC770" s="5" t="n">
        <v>78.125</v>
      </c>
      <c r="CD770" s="5" t="n">
        <v>7.95</v>
      </c>
      <c r="CE770" s="5" t="n">
        <v>0</v>
      </c>
      <c r="CF770" s="5" t="n">
        <v>78.125</v>
      </c>
      <c r="CG770" s="5" t="n">
        <v>0</v>
      </c>
      <c r="CH770" s="5" t="n">
        <v>1</v>
      </c>
      <c r="CI770" s="5" t="n">
        <v>0</v>
      </c>
      <c r="CJ770" s="5" t="n">
        <v>0</v>
      </c>
      <c r="CK770" s="5" t="n">
        <v>0</v>
      </c>
      <c r="CL770" s="5" t="n">
        <v>0</v>
      </c>
      <c r="CM770" s="5" t="n">
        <v>0</v>
      </c>
      <c r="CN770" s="5" t="n">
        <v>0</v>
      </c>
      <c r="CO770" s="5" t="n">
        <v>0</v>
      </c>
      <c r="CP770" s="5" t="n">
        <v>0</v>
      </c>
      <c r="CQ770" s="5" t="n">
        <v>1.198</v>
      </c>
      <c r="CR770" s="5" t="n">
        <v>0</v>
      </c>
      <c r="CS770" s="5" t="n">
        <v>4.776</v>
      </c>
      <c r="CT770" s="5" t="n">
        <v>4.753</v>
      </c>
      <c r="CU770" s="5" t="n">
        <v>15.162</v>
      </c>
    </row>
    <row r="771">
      <c r="A771" s="5" t="inlineStr">
        <is>
          <t>STP2022</t>
        </is>
      </c>
      <c r="B771" s="5" t="inlineStr">
        <is>
          <t>STP</t>
        </is>
      </c>
      <c r="C771" s="5" t="inlineStr">
        <is>
          <t>STP</t>
        </is>
      </c>
      <c r="D771" s="5" t="inlineStr">
        <is>
          <t>São Tomé and Príncipe</t>
        </is>
      </c>
      <c r="E771" s="5" t="n">
        <v>2022</v>
      </c>
      <c r="F771" s="5" t="n">
        <v>0</v>
      </c>
      <c r="G771" s="5" t="n">
        <v>11.72</v>
      </c>
      <c r="H771" s="5" t="n">
        <v>1.235</v>
      </c>
      <c r="I771" s="5" t="n">
        <v>0</v>
      </c>
      <c r="J771" s="5" t="n">
        <v>11.72</v>
      </c>
      <c r="K771" s="5" t="n">
        <v>0</v>
      </c>
      <c r="L771" s="5" t="n">
        <v>1</v>
      </c>
      <c r="M771" s="5" t="n">
        <v>9.782999999999999</v>
      </c>
      <c r="N771" s="5" t="n">
        <v>3.704</v>
      </c>
      <c r="O771" s="5" t="n">
        <v>0</v>
      </c>
      <c r="P771" s="5" t="n">
        <v>9.782999999999999</v>
      </c>
      <c r="Q771" s="5" t="n">
        <v>0</v>
      </c>
      <c r="R771" s="5" t="n">
        <v>1</v>
      </c>
      <c r="S771" s="5" t="n">
        <v>17.893</v>
      </c>
      <c r="T771" s="5" t="n">
        <v>7.408</v>
      </c>
      <c r="U771" s="5" t="n">
        <v>0</v>
      </c>
      <c r="V771" s="5" t="n">
        <v>17.893</v>
      </c>
      <c r="W771" s="5" t="n">
        <v>0</v>
      </c>
      <c r="X771" s="5" t="n">
        <v>1</v>
      </c>
      <c r="Y771" s="5" t="n">
        <v>29.904</v>
      </c>
      <c r="Z771" s="5" t="n">
        <v>4.042</v>
      </c>
      <c r="AA771" s="5" t="n">
        <v>0</v>
      </c>
      <c r="AB771" s="5" t="n">
        <v>29.904</v>
      </c>
      <c r="AC771" s="5" t="n">
        <v>0</v>
      </c>
      <c r="AD771" s="5" t="n">
        <v>1</v>
      </c>
      <c r="AE771" s="5" t="n">
        <v>31.139</v>
      </c>
      <c r="AF771" s="5" t="n">
        <v>7.281</v>
      </c>
      <c r="AG771" s="5" t="n">
        <v>0</v>
      </c>
      <c r="AH771" s="5" t="n">
        <v>31.139</v>
      </c>
      <c r="AI771" s="5" t="n">
        <v>0</v>
      </c>
      <c r="AJ771" s="5" t="n">
        <v>1</v>
      </c>
      <c r="AK771" s="5" t="n">
        <v>38.547</v>
      </c>
      <c r="AL771" s="5" t="n">
        <v>20.53</v>
      </c>
      <c r="AM771" s="5" t="n">
        <v>0</v>
      </c>
      <c r="AN771" s="5" t="n">
        <v>38.547</v>
      </c>
      <c r="AO771" s="5" t="n">
        <v>0</v>
      </c>
      <c r="AP771" s="5" t="n">
        <v>1</v>
      </c>
      <c r="AQ771" s="5" t="n">
        <v>0.861</v>
      </c>
      <c r="AR771" s="5" t="n">
        <v>0.123</v>
      </c>
      <c r="AS771" s="5" t="n">
        <v>0.88</v>
      </c>
      <c r="AT771" s="5" t="n">
        <v>1.741</v>
      </c>
      <c r="AU771" s="5" t="n">
        <v>0</v>
      </c>
      <c r="AV771" s="5" t="n">
        <v>1</v>
      </c>
      <c r="AW771" s="5" t="n">
        <v>0.986</v>
      </c>
      <c r="AX771" s="5" t="n">
        <v>0.123</v>
      </c>
      <c r="AY771" s="5" t="n">
        <v>0.488</v>
      </c>
      <c r="AZ771" s="5" t="n">
        <v>1.475</v>
      </c>
      <c r="BA771" s="5" t="n">
        <v>0</v>
      </c>
      <c r="BB771" s="5" t="n">
        <v>1</v>
      </c>
      <c r="BC771" s="5" t="n">
        <v>0.598</v>
      </c>
      <c r="BD771" s="5" t="n">
        <v>0.123</v>
      </c>
      <c r="BE771" s="5" t="n">
        <v>0</v>
      </c>
      <c r="BF771" s="5" t="n">
        <v>0.598</v>
      </c>
      <c r="BG771" s="5" t="n">
        <v>0</v>
      </c>
      <c r="BH771" s="5" t="n">
        <v>1</v>
      </c>
      <c r="BI771" s="5" t="n">
        <v>0.612</v>
      </c>
      <c r="BJ771" s="5" t="n">
        <v>0.123</v>
      </c>
      <c r="BK771" s="5" t="n">
        <v>0.23</v>
      </c>
      <c r="BL771" s="5" t="n">
        <v>0.843</v>
      </c>
      <c r="BM771" s="5" t="n">
        <v>0</v>
      </c>
      <c r="BN771" s="5" t="n">
        <v>1</v>
      </c>
      <c r="BO771" s="5" t="n">
        <v>0</v>
      </c>
      <c r="BP771" s="5" t="n">
        <v>0</v>
      </c>
      <c r="BQ771" s="5" t="n">
        <v>0.147</v>
      </c>
      <c r="BR771" s="5" t="n">
        <v>0</v>
      </c>
      <c r="BS771" s="5" t="n">
        <v>0.833</v>
      </c>
      <c r="BT771" s="5" t="n">
        <v>0</v>
      </c>
      <c r="BU771" s="5" t="n">
        <v>0</v>
      </c>
      <c r="BV771" s="5" t="n">
        <v>0.105</v>
      </c>
      <c r="BW771" s="5" t="n">
        <v>0</v>
      </c>
      <c r="BX771" s="5" t="n">
        <v>0.833</v>
      </c>
      <c r="BY771" s="5" t="n">
        <v>12.729</v>
      </c>
      <c r="BZ771" s="5" t="n">
        <v>0</v>
      </c>
      <c r="CA771" s="5" t="n">
        <v>12.729</v>
      </c>
      <c r="CB771" s="5" t="n">
        <v>0</v>
      </c>
      <c r="CC771" s="5" t="n">
        <v>97.90000000000001</v>
      </c>
      <c r="CD771" s="5" t="n">
        <v>7.95</v>
      </c>
      <c r="CE771" s="5" t="n">
        <v>0</v>
      </c>
      <c r="CF771" s="5" t="n">
        <v>97.90000000000001</v>
      </c>
      <c r="CG771" s="5" t="n">
        <v>0</v>
      </c>
      <c r="CH771" s="5" t="n">
        <v>1</v>
      </c>
      <c r="CI771" s="5" t="n">
        <v>0</v>
      </c>
      <c r="CJ771" s="5" t="n">
        <v>0</v>
      </c>
      <c r="CK771" s="5" t="n">
        <v>0</v>
      </c>
      <c r="CL771" s="5" t="n">
        <v>0</v>
      </c>
      <c r="CM771" s="5" t="n">
        <v>0</v>
      </c>
      <c r="CN771" s="5" t="n">
        <v>0</v>
      </c>
      <c r="CO771" s="5" t="n">
        <v>0</v>
      </c>
      <c r="CP771" s="5" t="n">
        <v>0</v>
      </c>
      <c r="CQ771" s="5" t="n">
        <v>1.294</v>
      </c>
      <c r="CR771" s="5" t="n">
        <v>0</v>
      </c>
      <c r="CS771" s="5" t="n">
        <v>5.158</v>
      </c>
      <c r="CT771" s="5" t="n">
        <v>10.485</v>
      </c>
      <c r="CU771" s="5" t="n">
        <v>31.326</v>
      </c>
    </row>
    <row r="772">
      <c r="A772" s="5" t="inlineStr">
        <is>
          <t>STP2023</t>
        </is>
      </c>
      <c r="B772" s="5" t="inlineStr">
        <is>
          <t>STP</t>
        </is>
      </c>
      <c r="C772" s="5" t="inlineStr">
        <is>
          <t>STP</t>
        </is>
      </c>
      <c r="D772" s="5" t="inlineStr">
        <is>
          <t>São Tomé and Príncipe</t>
        </is>
      </c>
      <c r="E772" s="5" t="n">
        <v>2023</v>
      </c>
      <c r="F772" s="5" t="n">
        <v>0</v>
      </c>
      <c r="G772" s="5" t="n">
        <v>6.147</v>
      </c>
      <c r="H772" s="5" t="n">
        <v>1.286</v>
      </c>
      <c r="I772" s="5" t="n">
        <v>0</v>
      </c>
      <c r="J772" s="5" t="n">
        <v>6.147</v>
      </c>
      <c r="K772" s="5" t="n">
        <v>0</v>
      </c>
      <c r="L772" s="5" t="n">
        <v>1</v>
      </c>
      <c r="M772" s="5" t="n">
        <v>7.886</v>
      </c>
      <c r="N772" s="5" t="n">
        <v>3.857</v>
      </c>
      <c r="O772" s="5" t="n">
        <v>0</v>
      </c>
      <c r="P772" s="5" t="n">
        <v>7.886</v>
      </c>
      <c r="Q772" s="5" t="n">
        <v>0</v>
      </c>
      <c r="R772" s="5" t="n">
        <v>1</v>
      </c>
      <c r="S772" s="5" t="n">
        <v>12.575</v>
      </c>
      <c r="T772" s="5" t="n">
        <v>7.714</v>
      </c>
      <c r="U772" s="5" t="n">
        <v>0</v>
      </c>
      <c r="V772" s="5" t="n">
        <v>12.575</v>
      </c>
      <c r="W772" s="5" t="n">
        <v>0</v>
      </c>
      <c r="X772" s="5" t="n">
        <v>1</v>
      </c>
      <c r="Y772" s="5" t="n">
        <v>12.273</v>
      </c>
      <c r="Z772" s="5" t="n">
        <v>1.659</v>
      </c>
      <c r="AA772" s="5" t="n">
        <v>0</v>
      </c>
      <c r="AB772" s="5" t="n">
        <v>12.273</v>
      </c>
      <c r="AC772" s="5" t="n">
        <v>0</v>
      </c>
      <c r="AD772" s="5" t="n">
        <v>1</v>
      </c>
      <c r="AE772" s="5" t="n">
        <v>13.559</v>
      </c>
      <c r="AF772" s="5" t="n">
        <v>3.171</v>
      </c>
      <c r="AG772" s="5" t="n">
        <v>0</v>
      </c>
      <c r="AH772" s="5" t="n">
        <v>13.559</v>
      </c>
      <c r="AI772" s="5" t="n">
        <v>0</v>
      </c>
      <c r="AJ772" s="5" t="n">
        <v>1</v>
      </c>
      <c r="AK772" s="5" t="n">
        <v>21.273</v>
      </c>
      <c r="AL772" s="5" t="n">
        <v>11.33</v>
      </c>
      <c r="AM772" s="5" t="n">
        <v>0</v>
      </c>
      <c r="AN772" s="5" t="n">
        <v>21.273</v>
      </c>
      <c r="AO772" s="5" t="n">
        <v>0</v>
      </c>
      <c r="AP772" s="5" t="n">
        <v>1</v>
      </c>
      <c r="AQ772" s="5" t="n">
        <v>0.76</v>
      </c>
      <c r="AR772" s="5" t="n">
        <v>0.129</v>
      </c>
      <c r="AS772" s="5" t="n">
        <v>0.916</v>
      </c>
      <c r="AT772" s="5" t="n">
        <v>1.676</v>
      </c>
      <c r="AU772" s="5" t="n">
        <v>0</v>
      </c>
      <c r="AV772" s="5" t="n">
        <v>1</v>
      </c>
      <c r="AW772" s="5" t="n">
        <v>0.8110000000000001</v>
      </c>
      <c r="AX772" s="5" t="n">
        <v>0.129</v>
      </c>
      <c r="AY772" s="5" t="n">
        <v>0.5679999999999999</v>
      </c>
      <c r="AZ772" s="5" t="n">
        <v>1.38</v>
      </c>
      <c r="BA772" s="5" t="n">
        <v>0</v>
      </c>
      <c r="BB772" s="5" t="n">
        <v>1</v>
      </c>
      <c r="BC772" s="5" t="n">
        <v>0.535</v>
      </c>
      <c r="BD772" s="5" t="n">
        <v>0.129</v>
      </c>
      <c r="BE772" s="5" t="n">
        <v>0</v>
      </c>
      <c r="BF772" s="5" t="n">
        <v>0.535</v>
      </c>
      <c r="BG772" s="5" t="n">
        <v>0</v>
      </c>
      <c r="BH772" s="5" t="n">
        <v>1</v>
      </c>
      <c r="BI772" s="5" t="n">
        <v>0.579</v>
      </c>
      <c r="BJ772" s="5" t="n">
        <v>0.129</v>
      </c>
      <c r="BK772" s="5" t="n">
        <v>0.263</v>
      </c>
      <c r="BL772" s="5" t="n">
        <v>0.842</v>
      </c>
      <c r="BM772" s="5" t="n">
        <v>0</v>
      </c>
      <c r="BN772" s="5" t="n">
        <v>1</v>
      </c>
      <c r="BO772" s="5" t="n">
        <v>0</v>
      </c>
      <c r="BP772" s="5" t="n">
        <v>0</v>
      </c>
      <c r="BQ772" s="5" t="n">
        <v>0.151</v>
      </c>
      <c r="BR772" s="5" t="n">
        <v>0</v>
      </c>
      <c r="BS772" s="5" t="n">
        <v>0.833</v>
      </c>
      <c r="BT772" s="5" t="n">
        <v>0</v>
      </c>
      <c r="BU772" s="5" t="n">
        <v>0</v>
      </c>
      <c r="BV772" s="5" t="n">
        <v>0.108</v>
      </c>
      <c r="BW772" s="5" t="n">
        <v>0</v>
      </c>
      <c r="BX772" s="5" t="n">
        <v>0.833</v>
      </c>
      <c r="BY772" s="5" t="n">
        <v>13.254</v>
      </c>
      <c r="BZ772" s="5" t="n">
        <v>0</v>
      </c>
      <c r="CA772" s="5" t="n">
        <v>13.254</v>
      </c>
      <c r="CB772" s="5" t="n">
        <v>0</v>
      </c>
      <c r="CC772" s="5" t="n">
        <v>83.248</v>
      </c>
      <c r="CD772" s="5" t="n">
        <v>7.95</v>
      </c>
      <c r="CE772" s="5" t="n">
        <v>0</v>
      </c>
      <c r="CF772" s="5" t="n">
        <v>83.248</v>
      </c>
      <c r="CG772" s="5" t="n">
        <v>0</v>
      </c>
      <c r="CH772" s="5" t="n">
        <v>1</v>
      </c>
      <c r="CI772" s="5" t="n">
        <v>0</v>
      </c>
      <c r="CJ772" s="5" t="n">
        <v>0</v>
      </c>
      <c r="CK772" s="5" t="n">
        <v>0</v>
      </c>
      <c r="CL772" s="5" t="n">
        <v>0</v>
      </c>
      <c r="CM772" s="5" t="n">
        <v>0</v>
      </c>
      <c r="CN772" s="5" t="n">
        <v>0</v>
      </c>
      <c r="CO772" s="5" t="n">
        <v>0</v>
      </c>
      <c r="CP772" s="5" t="n">
        <v>0</v>
      </c>
      <c r="CQ772" s="5" t="n">
        <v>1.348</v>
      </c>
      <c r="CR772" s="5" t="n">
        <v>0</v>
      </c>
      <c r="CS772" s="5" t="n">
        <v>5.37</v>
      </c>
      <c r="CT772" s="5" t="n">
        <v>4.861</v>
      </c>
      <c r="CU772" s="5" t="n">
        <v>11.622</v>
      </c>
    </row>
    <row r="773">
      <c r="A773" s="5" t="inlineStr">
        <is>
          <t>STP2024</t>
        </is>
      </c>
      <c r="B773" s="5" t="inlineStr">
        <is>
          <t>STP</t>
        </is>
      </c>
      <c r="C773" s="5" t="inlineStr">
        <is>
          <t>STP</t>
        </is>
      </c>
      <c r="D773" s="5" t="inlineStr">
        <is>
          <t>São Tomé and Príncipe</t>
        </is>
      </c>
      <c r="E773" s="5" t="n">
        <v>2024</v>
      </c>
      <c r="F773" s="5" t="n">
        <v>0</v>
      </c>
      <c r="G773" s="5" t="n">
        <v>5.575</v>
      </c>
      <c r="H773" s="5" t="n">
        <v>1.324</v>
      </c>
      <c r="I773" s="5" t="n">
        <v>0</v>
      </c>
      <c r="J773" s="5" t="n">
        <v>5.575</v>
      </c>
      <c r="K773" s="5" t="n">
        <v>0</v>
      </c>
      <c r="L773" s="5" t="n">
        <v>1</v>
      </c>
      <c r="M773" s="5" t="n">
        <v>7.124</v>
      </c>
      <c r="N773" s="5" t="n">
        <v>3.971</v>
      </c>
      <c r="O773" s="5" t="n">
        <v>0</v>
      </c>
      <c r="P773" s="5" t="n">
        <v>7.124</v>
      </c>
      <c r="Q773" s="5" t="n">
        <v>0</v>
      </c>
      <c r="R773" s="5" t="n">
        <v>1</v>
      </c>
      <c r="S773" s="5" t="n">
        <v>12.193</v>
      </c>
      <c r="T773" s="5" t="n">
        <v>7.942</v>
      </c>
      <c r="U773" s="5" t="n">
        <v>0</v>
      </c>
      <c r="V773" s="5" t="n">
        <v>12.193</v>
      </c>
      <c r="W773" s="5" t="n">
        <v>0</v>
      </c>
      <c r="X773" s="5" t="n">
        <v>1</v>
      </c>
      <c r="Y773" s="5" t="n">
        <v>11.021</v>
      </c>
      <c r="Z773" s="5" t="n">
        <v>1.49</v>
      </c>
      <c r="AA773" s="5" t="n">
        <v>0</v>
      </c>
      <c r="AB773" s="5" t="n">
        <v>11.021</v>
      </c>
      <c r="AC773" s="5" t="n">
        <v>0</v>
      </c>
      <c r="AD773" s="5" t="n">
        <v>1</v>
      </c>
      <c r="AE773" s="5" t="n">
        <v>12.345</v>
      </c>
      <c r="AF773" s="5" t="n">
        <v>2.887</v>
      </c>
      <c r="AG773" s="5" t="n">
        <v>0</v>
      </c>
      <c r="AH773" s="5" t="n">
        <v>12.345</v>
      </c>
      <c r="AI773" s="5" t="n">
        <v>0</v>
      </c>
      <c r="AJ773" s="5" t="n">
        <v>1</v>
      </c>
      <c r="AK773" s="5" t="n">
        <v>20.286</v>
      </c>
      <c r="AL773" s="5" t="n">
        <v>10.804</v>
      </c>
      <c r="AM773" s="5" t="n">
        <v>0</v>
      </c>
      <c r="AN773" s="5" t="n">
        <v>20.286</v>
      </c>
      <c r="AO773" s="5" t="n">
        <v>0</v>
      </c>
      <c r="AP773" s="5" t="n">
        <v>1</v>
      </c>
      <c r="AQ773" s="5" t="n">
        <v>0.724</v>
      </c>
      <c r="AR773" s="5" t="n">
        <v>0.132</v>
      </c>
      <c r="AS773" s="5" t="n">
        <v>0.9429999999999999</v>
      </c>
      <c r="AT773" s="5" t="n">
        <v>1.667</v>
      </c>
      <c r="AU773" s="5" t="n">
        <v>0</v>
      </c>
      <c r="AV773" s="5" t="n">
        <v>1</v>
      </c>
      <c r="AW773" s="5" t="n">
        <v>0.75</v>
      </c>
      <c r="AX773" s="5" t="n">
        <v>0.132</v>
      </c>
      <c r="AY773" s="5" t="n">
        <v>0.608</v>
      </c>
      <c r="AZ773" s="5" t="n">
        <v>1.359</v>
      </c>
      <c r="BA773" s="5" t="n">
        <v>0</v>
      </c>
      <c r="BB773" s="5" t="n">
        <v>1</v>
      </c>
      <c r="BC773" s="5" t="n">
        <v>0.513</v>
      </c>
      <c r="BD773" s="5" t="n">
        <v>0.132</v>
      </c>
      <c r="BE773" s="5" t="n">
        <v>0</v>
      </c>
      <c r="BF773" s="5" t="n">
        <v>0.513</v>
      </c>
      <c r="BG773" s="5" t="n">
        <v>0</v>
      </c>
      <c r="BH773" s="5" t="n">
        <v>1</v>
      </c>
      <c r="BI773" s="5" t="n">
        <v>0.591</v>
      </c>
      <c r="BJ773" s="5" t="n">
        <v>0.132</v>
      </c>
      <c r="BK773" s="5" t="n">
        <v>0.273</v>
      </c>
      <c r="BL773" s="5" t="n">
        <v>0.864</v>
      </c>
      <c r="BM773" s="5" t="n">
        <v>0</v>
      </c>
      <c r="BN773" s="5" t="n">
        <v>1</v>
      </c>
      <c r="BO773" s="5" t="n">
        <v>0</v>
      </c>
      <c r="BP773" s="5" t="n">
        <v>0</v>
      </c>
      <c r="BQ773" s="5" t="n">
        <v>0.151</v>
      </c>
      <c r="BR773" s="5" t="n">
        <v>0</v>
      </c>
      <c r="BS773" s="5" t="n">
        <v>0.833</v>
      </c>
      <c r="BT773" s="5" t="n">
        <v>0</v>
      </c>
      <c r="BU773" s="5" t="n">
        <v>0</v>
      </c>
      <c r="BV773" s="5" t="n">
        <v>0.108</v>
      </c>
      <c r="BW773" s="5" t="n">
        <v>0</v>
      </c>
      <c r="BX773" s="5" t="n">
        <v>0.833</v>
      </c>
      <c r="BY773" s="5" t="n">
        <v>13.646</v>
      </c>
      <c r="BZ773" s="5" t="n">
        <v>0</v>
      </c>
      <c r="CA773" s="5" t="n">
        <v>13.646</v>
      </c>
      <c r="CB773" s="5" t="n">
        <v>0</v>
      </c>
      <c r="CC773" s="5" t="n">
        <v>82.58799999999999</v>
      </c>
      <c r="CD773" s="5" t="n">
        <v>7.95</v>
      </c>
      <c r="CE773" s="5" t="n">
        <v>0</v>
      </c>
      <c r="CF773" s="5" t="n">
        <v>82.58799999999999</v>
      </c>
      <c r="CG773" s="5" t="n">
        <v>0</v>
      </c>
      <c r="CH773" s="5" t="n">
        <v>1</v>
      </c>
      <c r="CI773" s="5" t="n">
        <v>0</v>
      </c>
      <c r="CJ773" s="5" t="n">
        <v>0</v>
      </c>
      <c r="CK773" s="5" t="n">
        <v>0</v>
      </c>
      <c r="CL773" s="5" t="n">
        <v>0</v>
      </c>
      <c r="CM773" s="5" t="n">
        <v>0</v>
      </c>
      <c r="CN773" s="5" t="n">
        <v>0</v>
      </c>
      <c r="CO773" s="5" t="n">
        <v>0</v>
      </c>
      <c r="CP773" s="5" t="n">
        <v>0</v>
      </c>
      <c r="CQ773" s="5" t="n">
        <v>1.387</v>
      </c>
      <c r="CR773" s="5" t="n">
        <v>0</v>
      </c>
      <c r="CS773" s="5" t="n">
        <v>5.529</v>
      </c>
      <c r="CT773" s="5" t="n">
        <v>4.251</v>
      </c>
      <c r="CU773" s="5" t="n">
        <v>10.168</v>
      </c>
    </row>
    <row r="774">
      <c r="A774" s="5" t="inlineStr">
        <is>
          <t>TWN2021</t>
        </is>
      </c>
      <c r="B774" s="5" t="inlineStr">
        <is>
          <t>TWN</t>
        </is>
      </c>
      <c r="C774" s="5" t="inlineStr">
        <is>
          <t>TWN</t>
        </is>
      </c>
      <c r="D774" s="5" t="inlineStr">
        <is>
          <t>Taiwan Province of China</t>
        </is>
      </c>
      <c r="E774" s="5" t="n">
        <v>2021</v>
      </c>
      <c r="F774" s="5" t="n">
        <v>0.05</v>
      </c>
      <c r="G774" s="5" t="n">
        <v>5.74</v>
      </c>
      <c r="H774" s="5" t="n">
        <v>1.143</v>
      </c>
      <c r="I774" s="5" t="n">
        <v>-0.287</v>
      </c>
      <c r="J774" s="5" t="n">
        <v>5.453</v>
      </c>
      <c r="K774" s="5" t="n">
        <v>0</v>
      </c>
      <c r="L774" s="5" t="n">
        <v>1</v>
      </c>
      <c r="M774" s="5" t="n">
        <v>9.509</v>
      </c>
      <c r="N774" s="5" t="n">
        <v>3.43</v>
      </c>
      <c r="O774" s="5" t="n">
        <v>-0.257</v>
      </c>
      <c r="P774" s="5" t="n">
        <v>9.252000000000001</v>
      </c>
      <c r="Q774" s="5" t="n">
        <v>0</v>
      </c>
      <c r="R774" s="5" t="n">
        <v>1</v>
      </c>
      <c r="S774" s="5" t="n">
        <v>11.456</v>
      </c>
      <c r="T774" s="5" t="n">
        <v>6.86</v>
      </c>
      <c r="U774" s="5" t="n">
        <v>-0.287</v>
      </c>
      <c r="V774" s="5" t="n">
        <v>11.728</v>
      </c>
      <c r="W774" s="5" t="n">
        <v>0.05</v>
      </c>
      <c r="X774" s="5" t="n">
        <v>1</v>
      </c>
      <c r="Y774" s="5" t="n">
        <v>13.238</v>
      </c>
      <c r="Z774" s="5" t="n">
        <v>1.462</v>
      </c>
      <c r="AA774" s="5" t="n">
        <v>-5.041</v>
      </c>
      <c r="AB774" s="5" t="n">
        <v>8.196999999999999</v>
      </c>
      <c r="AC774" s="5" t="n">
        <v>0</v>
      </c>
      <c r="AD774" s="5" t="n">
        <v>1</v>
      </c>
      <c r="AE774" s="5" t="n">
        <v>10</v>
      </c>
      <c r="AF774" s="5" t="n">
        <v>1.968</v>
      </c>
      <c r="AG774" s="5" t="n">
        <v>-2.298</v>
      </c>
      <c r="AH774" s="5" t="n">
        <v>7.702</v>
      </c>
      <c r="AI774" s="5" t="n">
        <v>0</v>
      </c>
      <c r="AJ774" s="5" t="n">
        <v>1</v>
      </c>
      <c r="AK774" s="5" t="n">
        <v>14.207</v>
      </c>
      <c r="AL774" s="5" t="n">
        <v>6.973</v>
      </c>
      <c r="AM774" s="5" t="n">
        <v>-5.862</v>
      </c>
      <c r="AN774" s="5" t="n">
        <v>8.762</v>
      </c>
      <c r="AO774" s="5" t="n">
        <v>0</v>
      </c>
      <c r="AP774" s="5" t="n">
        <v>0</v>
      </c>
      <c r="AQ774" s="5" t="n">
        <v>0.621</v>
      </c>
      <c r="AR774" s="5" t="n">
        <v>0.114</v>
      </c>
      <c r="AS774" s="5" t="n">
        <v>0.361</v>
      </c>
      <c r="AT774" s="5" t="n">
        <v>1.03</v>
      </c>
      <c r="AU774" s="5" t="n">
        <v>0.05</v>
      </c>
      <c r="AV774" s="5" t="n">
        <v>1</v>
      </c>
      <c r="AW774" s="5" t="n">
        <v>0.593</v>
      </c>
      <c r="AX774" s="5" t="n">
        <v>0.114</v>
      </c>
      <c r="AY774" s="5" t="n">
        <v>0.249</v>
      </c>
      <c r="AZ774" s="5" t="n">
        <v>0.885</v>
      </c>
      <c r="BA774" s="5" t="n">
        <v>0.05</v>
      </c>
      <c r="BB774" s="5" t="n">
        <v>1</v>
      </c>
      <c r="BC774" s="5" t="n">
        <v>0.44</v>
      </c>
      <c r="BD774" s="5" t="n">
        <v>0.114</v>
      </c>
      <c r="BE774" s="5" t="n">
        <v>0.056</v>
      </c>
      <c r="BF774" s="5" t="n">
        <v>0.521</v>
      </c>
      <c r="BG774" s="5" t="n">
        <v>0.05</v>
      </c>
      <c r="BH774" s="5" t="n">
        <v>0</v>
      </c>
      <c r="BI774" s="5" t="n">
        <v>0.5600000000000001</v>
      </c>
      <c r="BJ774" s="5" t="n">
        <v>0.114</v>
      </c>
      <c r="BK774" s="5" t="n">
        <v>0.5679999999999999</v>
      </c>
      <c r="BL774" s="5" t="n">
        <v>1.184</v>
      </c>
      <c r="BM774" s="5" t="n">
        <v>0.05</v>
      </c>
      <c r="BN774" s="5" t="n">
        <v>1</v>
      </c>
      <c r="BO774" s="5" t="n">
        <v>0</v>
      </c>
      <c r="BP774" s="5" t="n">
        <v>-0.006</v>
      </c>
      <c r="BQ774" s="5" t="n">
        <v>0.091</v>
      </c>
      <c r="BR774" s="5" t="n">
        <v>0</v>
      </c>
      <c r="BS774" s="5" t="n">
        <v>0.667</v>
      </c>
      <c r="BT774" s="5" t="n">
        <v>0</v>
      </c>
      <c r="BU774" s="5" t="n">
        <v>-0.006</v>
      </c>
      <c r="BV774" s="5" t="n">
        <v>0.09</v>
      </c>
      <c r="BW774" s="5" t="n">
        <v>0.05</v>
      </c>
      <c r="BX774" s="5" t="n">
        <v>0.833</v>
      </c>
      <c r="BY774" s="5" t="n">
        <v>11.787</v>
      </c>
      <c r="BZ774" s="5" t="n">
        <v>0</v>
      </c>
      <c r="CA774" s="5" t="n">
        <v>11.787</v>
      </c>
      <c r="CB774" s="5" t="n">
        <v>0</v>
      </c>
      <c r="CC774" s="5" t="n">
        <v>81.69499999999999</v>
      </c>
      <c r="CD774" s="5" t="n">
        <v>7.95</v>
      </c>
      <c r="CE774" s="5" t="n">
        <v>-3.178</v>
      </c>
      <c r="CF774" s="5" t="n">
        <v>82.444</v>
      </c>
      <c r="CG774" s="5" t="n">
        <v>0.05</v>
      </c>
      <c r="CH774" s="5" t="n">
        <v>1</v>
      </c>
      <c r="CI774" s="5" t="n">
        <v>0</v>
      </c>
      <c r="CJ774" s="5" t="n">
        <v>0</v>
      </c>
      <c r="CK774" s="5" t="n">
        <v>0</v>
      </c>
      <c r="CL774" s="5" t="n">
        <v>0</v>
      </c>
      <c r="CM774" s="5" t="n">
        <v>0</v>
      </c>
      <c r="CN774" s="5" t="n">
        <v>0</v>
      </c>
      <c r="CO774" s="5" t="n">
        <v>0</v>
      </c>
      <c r="CP774" s="5" t="n">
        <v>0</v>
      </c>
      <c r="CQ774" s="5" t="n">
        <v>1.198</v>
      </c>
      <c r="CR774" s="5" t="n">
        <v>0</v>
      </c>
      <c r="CS774" s="5" t="n">
        <v>6.576</v>
      </c>
      <c r="CT774" s="5" t="n">
        <v>4.597</v>
      </c>
      <c r="CU774" s="5" t="n">
        <v>12.71</v>
      </c>
    </row>
    <row r="775">
      <c r="A775" s="5" t="inlineStr">
        <is>
          <t>TWN2022</t>
        </is>
      </c>
      <c r="B775" s="5" t="inlineStr">
        <is>
          <t>TWN</t>
        </is>
      </c>
      <c r="C775" s="5" t="inlineStr">
        <is>
          <t>TWN</t>
        </is>
      </c>
      <c r="D775" s="5" t="inlineStr">
        <is>
          <t>Taiwan Province of China</t>
        </is>
      </c>
      <c r="E775" s="5" t="n">
        <v>2022</v>
      </c>
      <c r="F775" s="5" t="n">
        <v>0.05</v>
      </c>
      <c r="G775" s="5" t="n">
        <v>11.661</v>
      </c>
      <c r="H775" s="5" t="n">
        <v>1.235</v>
      </c>
      <c r="I775" s="5" t="n">
        <v>-1.919</v>
      </c>
      <c r="J775" s="5" t="n">
        <v>9.742000000000001</v>
      </c>
      <c r="K775" s="5" t="n">
        <v>0</v>
      </c>
      <c r="L775" s="5" t="n">
        <v>1</v>
      </c>
      <c r="M775" s="5" t="n">
        <v>13.326</v>
      </c>
      <c r="N775" s="5" t="n">
        <v>3.704</v>
      </c>
      <c r="O775" s="5" t="n">
        <v>-1.867</v>
      </c>
      <c r="P775" s="5" t="n">
        <v>11.459</v>
      </c>
      <c r="Q775" s="5" t="n">
        <v>0</v>
      </c>
      <c r="R775" s="5" t="n">
        <v>1</v>
      </c>
      <c r="S775" s="5" t="n">
        <v>17.834</v>
      </c>
      <c r="T775" s="5" t="n">
        <v>7.408</v>
      </c>
      <c r="U775" s="5" t="n">
        <v>-1.86</v>
      </c>
      <c r="V775" s="5" t="n">
        <v>16.711</v>
      </c>
      <c r="W775" s="5" t="n">
        <v>0.05</v>
      </c>
      <c r="X775" s="5" t="n">
        <v>1</v>
      </c>
      <c r="Y775" s="5" t="n">
        <v>22.485</v>
      </c>
      <c r="Z775" s="5" t="n">
        <v>2.359</v>
      </c>
      <c r="AA775" s="5" t="n">
        <v>-7.48</v>
      </c>
      <c r="AB775" s="5" t="n">
        <v>15.005</v>
      </c>
      <c r="AC775" s="5" t="n">
        <v>0</v>
      </c>
      <c r="AD775" s="5" t="n">
        <v>1</v>
      </c>
      <c r="AE775" s="5" t="n">
        <v>19.339</v>
      </c>
      <c r="AF775" s="5" t="n">
        <v>3.585</v>
      </c>
      <c r="AG775" s="5" t="n">
        <v>-11.958</v>
      </c>
      <c r="AH775" s="5" t="n">
        <v>7.381</v>
      </c>
      <c r="AI775" s="5" t="n">
        <v>0</v>
      </c>
      <c r="AJ775" s="5" t="n">
        <v>1</v>
      </c>
      <c r="AK775" s="5" t="n">
        <v>24.094</v>
      </c>
      <c r="AL775" s="5" t="n">
        <v>11.506</v>
      </c>
      <c r="AM775" s="5" t="n">
        <v>-16.115</v>
      </c>
      <c r="AN775" s="5" t="n">
        <v>8.378</v>
      </c>
      <c r="AO775" s="5" t="n">
        <v>0</v>
      </c>
      <c r="AP775" s="5" t="n">
        <v>0</v>
      </c>
      <c r="AQ775" s="5" t="n">
        <v>0.847</v>
      </c>
      <c r="AR775" s="5" t="n">
        <v>0.123</v>
      </c>
      <c r="AS775" s="5" t="n">
        <v>0.15</v>
      </c>
      <c r="AT775" s="5" t="n">
        <v>1.047</v>
      </c>
      <c r="AU775" s="5" t="n">
        <v>0.05</v>
      </c>
      <c r="AV775" s="5" t="n">
        <v>1</v>
      </c>
      <c r="AW775" s="5" t="n">
        <v>0.947</v>
      </c>
      <c r="AX775" s="5" t="n">
        <v>0.123</v>
      </c>
      <c r="AY775" s="5" t="n">
        <v>-0.06900000000000001</v>
      </c>
      <c r="AZ775" s="5" t="n">
        <v>0.921</v>
      </c>
      <c r="BA775" s="5" t="n">
        <v>0.05</v>
      </c>
      <c r="BB775" s="5" t="n">
        <v>1</v>
      </c>
      <c r="BC775" s="5" t="n">
        <v>0.589</v>
      </c>
      <c r="BD775" s="5" t="n">
        <v>0.123</v>
      </c>
      <c r="BE775" s="5" t="n">
        <v>-0.122</v>
      </c>
      <c r="BF775" s="5" t="n">
        <v>0.49</v>
      </c>
      <c r="BG775" s="5" t="n">
        <v>0.05</v>
      </c>
      <c r="BH775" s="5" t="n">
        <v>0</v>
      </c>
      <c r="BI775" s="5" t="n">
        <v>0.6889999999999999</v>
      </c>
      <c r="BJ775" s="5" t="n">
        <v>0.123</v>
      </c>
      <c r="BK775" s="5" t="n">
        <v>0.909</v>
      </c>
      <c r="BL775" s="5" t="n">
        <v>1.678</v>
      </c>
      <c r="BM775" s="5" t="n">
        <v>0.05</v>
      </c>
      <c r="BN775" s="5" t="n">
        <v>1</v>
      </c>
      <c r="BO775" s="5" t="n">
        <v>0</v>
      </c>
      <c r="BP775" s="5" t="n">
        <v>-0.03</v>
      </c>
      <c r="BQ775" s="5" t="n">
        <v>0.091</v>
      </c>
      <c r="BR775" s="5" t="n">
        <v>0</v>
      </c>
      <c r="BS775" s="5" t="n">
        <v>0.667</v>
      </c>
      <c r="BT775" s="5" t="n">
        <v>0</v>
      </c>
      <c r="BU775" s="5" t="n">
        <v>-0.03</v>
      </c>
      <c r="BV775" s="5" t="n">
        <v>0.08599999999999999</v>
      </c>
      <c r="BW775" s="5" t="n">
        <v>0.05</v>
      </c>
      <c r="BX775" s="5" t="n">
        <v>0.833</v>
      </c>
      <c r="BY775" s="5" t="n">
        <v>12.729</v>
      </c>
      <c r="BZ775" s="5" t="n">
        <v>0</v>
      </c>
      <c r="CA775" s="5" t="n">
        <v>12.729</v>
      </c>
      <c r="CB775" s="5" t="n">
        <v>0</v>
      </c>
      <c r="CC775" s="5" t="n">
        <v>102.477</v>
      </c>
      <c r="CD775" s="5" t="n">
        <v>7.95</v>
      </c>
      <c r="CE775" s="5" t="n">
        <v>0.502</v>
      </c>
      <c r="CF775" s="5" t="n">
        <v>108.127</v>
      </c>
      <c r="CG775" s="5" t="n">
        <v>0.05</v>
      </c>
      <c r="CH775" s="5" t="n">
        <v>1</v>
      </c>
      <c r="CI775" s="5" t="n">
        <v>0</v>
      </c>
      <c r="CJ775" s="5" t="n">
        <v>0</v>
      </c>
      <c r="CK775" s="5" t="n">
        <v>0</v>
      </c>
      <c r="CL775" s="5" t="n">
        <v>0</v>
      </c>
      <c r="CM775" s="5" t="n">
        <v>0</v>
      </c>
      <c r="CN775" s="5" t="n">
        <v>0</v>
      </c>
      <c r="CO775" s="5" t="n">
        <v>0</v>
      </c>
      <c r="CP775" s="5" t="n">
        <v>0</v>
      </c>
      <c r="CQ775" s="5" t="n">
        <v>1.294</v>
      </c>
      <c r="CR775" s="5" t="n">
        <v>0</v>
      </c>
      <c r="CS775" s="5" t="n">
        <v>7.101</v>
      </c>
      <c r="CT775" s="5" t="n">
        <v>10.426</v>
      </c>
      <c r="CU775" s="5" t="n">
        <v>21.866</v>
      </c>
    </row>
    <row r="776">
      <c r="A776" s="5" t="inlineStr">
        <is>
          <t>TWN2023</t>
        </is>
      </c>
      <c r="B776" s="5" t="inlineStr">
        <is>
          <t>TWN</t>
        </is>
      </c>
      <c r="C776" s="5" t="inlineStr">
        <is>
          <t>TWN</t>
        </is>
      </c>
      <c r="D776" s="5" t="inlineStr">
        <is>
          <t>Taiwan Province of China</t>
        </is>
      </c>
      <c r="E776" s="5" t="n">
        <v>2023</v>
      </c>
      <c r="F776" s="5" t="n">
        <v>0.05</v>
      </c>
      <c r="G776" s="5" t="n">
        <v>8.884</v>
      </c>
      <c r="H776" s="5" t="n">
        <v>1.272</v>
      </c>
      <c r="I776" s="5" t="n">
        <v>-0.134</v>
      </c>
      <c r="J776" s="5" t="n">
        <v>8.75</v>
      </c>
      <c r="K776" s="5" t="n">
        <v>0</v>
      </c>
      <c r="L776" s="5" t="n">
        <v>1</v>
      </c>
      <c r="M776" s="5" t="n">
        <v>10.507</v>
      </c>
      <c r="N776" s="5" t="n">
        <v>3.817</v>
      </c>
      <c r="O776" s="5" t="n">
        <v>-0.096</v>
      </c>
      <c r="P776" s="5" t="n">
        <v>10.411</v>
      </c>
      <c r="Q776" s="5" t="n">
        <v>0</v>
      </c>
      <c r="R776" s="5" t="n">
        <v>1</v>
      </c>
      <c r="S776" s="5" t="n">
        <v>15.246</v>
      </c>
      <c r="T776" s="5" t="n">
        <v>7.634</v>
      </c>
      <c r="U776" s="5" t="n">
        <v>-0.05</v>
      </c>
      <c r="V776" s="5" t="n">
        <v>15.868</v>
      </c>
      <c r="W776" s="5" t="n">
        <v>0.05</v>
      </c>
      <c r="X776" s="5" t="n">
        <v>1</v>
      </c>
      <c r="Y776" s="5" t="n">
        <v>14.584</v>
      </c>
      <c r="Z776" s="5" t="n">
        <v>1.634</v>
      </c>
      <c r="AA776" s="5" t="n">
        <v>1.219</v>
      </c>
      <c r="AB776" s="5" t="n">
        <v>15.803</v>
      </c>
      <c r="AC776" s="5" t="n">
        <v>0</v>
      </c>
      <c r="AD776" s="5" t="n">
        <v>1</v>
      </c>
      <c r="AE776" s="5" t="n">
        <v>11.489</v>
      </c>
      <c r="AF776" s="5" t="n">
        <v>2.288</v>
      </c>
      <c r="AG776" s="5" t="n">
        <v>-4.428</v>
      </c>
      <c r="AH776" s="5" t="n">
        <v>7.061</v>
      </c>
      <c r="AI776" s="5" t="n">
        <v>0</v>
      </c>
      <c r="AJ776" s="5" t="n">
        <v>1</v>
      </c>
      <c r="AK776" s="5" t="n">
        <v>16.55</v>
      </c>
      <c r="AL776" s="5" t="n">
        <v>8.198</v>
      </c>
      <c r="AM776" s="5" t="n">
        <v>-8.917</v>
      </c>
      <c r="AN776" s="5" t="n">
        <v>8.015000000000001</v>
      </c>
      <c r="AO776" s="5" t="n">
        <v>0</v>
      </c>
      <c r="AP776" s="5" t="n">
        <v>0</v>
      </c>
      <c r="AQ776" s="5" t="n">
        <v>0.749</v>
      </c>
      <c r="AR776" s="5" t="n">
        <v>0.129</v>
      </c>
      <c r="AS776" s="5" t="n">
        <v>0.202</v>
      </c>
      <c r="AT776" s="5" t="n">
        <v>0.999</v>
      </c>
      <c r="AU776" s="5" t="n">
        <v>0.05</v>
      </c>
      <c r="AV776" s="5" t="n">
        <v>1</v>
      </c>
      <c r="AW776" s="5" t="n">
        <v>0.783</v>
      </c>
      <c r="AX776" s="5" t="n">
        <v>0.129</v>
      </c>
      <c r="AY776" s="5" t="n">
        <v>0.065</v>
      </c>
      <c r="AZ776" s="5" t="n">
        <v>0.889</v>
      </c>
      <c r="BA776" s="5" t="n">
        <v>0.05</v>
      </c>
      <c r="BB776" s="5" t="n">
        <v>1</v>
      </c>
      <c r="BC776" s="5" t="n">
        <v>0.527</v>
      </c>
      <c r="BD776" s="5" t="n">
        <v>0.129</v>
      </c>
      <c r="BE776" s="5" t="n">
        <v>-0.081</v>
      </c>
      <c r="BF776" s="5" t="n">
        <v>0.469</v>
      </c>
      <c r="BG776" s="5" t="n">
        <v>0.05</v>
      </c>
      <c r="BH776" s="5" t="n">
        <v>0</v>
      </c>
      <c r="BI776" s="5" t="n">
        <v>0.64</v>
      </c>
      <c r="BJ776" s="5" t="n">
        <v>0.129</v>
      </c>
      <c r="BK776" s="5" t="n">
        <v>0.788</v>
      </c>
      <c r="BL776" s="5" t="n">
        <v>1.499</v>
      </c>
      <c r="BM776" s="5" t="n">
        <v>0.05</v>
      </c>
      <c r="BN776" s="5" t="n">
        <v>1</v>
      </c>
      <c r="BO776" s="5" t="n">
        <v>0</v>
      </c>
      <c r="BP776" s="5" t="n">
        <v>-0.004</v>
      </c>
      <c r="BQ776" s="5" t="n">
        <v>0.102</v>
      </c>
      <c r="BR776" s="5" t="n">
        <v>0</v>
      </c>
      <c r="BS776" s="5" t="n">
        <v>0.667</v>
      </c>
      <c r="BT776" s="5" t="n">
        <v>0</v>
      </c>
      <c r="BU776" s="5" t="n">
        <v>-0.004</v>
      </c>
      <c r="BV776" s="5" t="n">
        <v>0.08400000000000001</v>
      </c>
      <c r="BW776" s="5" t="n">
        <v>0.05</v>
      </c>
      <c r="BX776" s="5" t="n">
        <v>0.833</v>
      </c>
      <c r="BY776" s="5" t="n">
        <v>13.254</v>
      </c>
      <c r="BZ776" s="5" t="n">
        <v>0</v>
      </c>
      <c r="CA776" s="5" t="n">
        <v>13.254</v>
      </c>
      <c r="CB776" s="5" t="n">
        <v>0</v>
      </c>
      <c r="CC776" s="5" t="n">
        <v>87.07899999999999</v>
      </c>
      <c r="CD776" s="5" t="n">
        <v>7.95</v>
      </c>
      <c r="CE776" s="5" t="n">
        <v>7.882</v>
      </c>
      <c r="CF776" s="5" t="n">
        <v>99.70999999999999</v>
      </c>
      <c r="CG776" s="5" t="n">
        <v>0.05</v>
      </c>
      <c r="CH776" s="5" t="n">
        <v>1</v>
      </c>
      <c r="CI776" s="5" t="n">
        <v>0</v>
      </c>
      <c r="CJ776" s="5" t="n">
        <v>0</v>
      </c>
      <c r="CK776" s="5" t="n">
        <v>0</v>
      </c>
      <c r="CL776" s="5" t="n">
        <v>0</v>
      </c>
      <c r="CM776" s="5" t="n">
        <v>0</v>
      </c>
      <c r="CN776" s="5" t="n">
        <v>0</v>
      </c>
      <c r="CO776" s="5" t="n">
        <v>0</v>
      </c>
      <c r="CP776" s="5" t="n">
        <v>0.021</v>
      </c>
      <c r="CQ776" s="5" t="n">
        <v>1.348</v>
      </c>
      <c r="CR776" s="5" t="n">
        <v>0</v>
      </c>
      <c r="CS776" s="5" t="n">
        <v>7.394</v>
      </c>
      <c r="CT776" s="5" t="n">
        <v>7.744</v>
      </c>
      <c r="CU776" s="5" t="n">
        <v>13.914</v>
      </c>
    </row>
    <row r="777">
      <c r="A777" s="5" t="inlineStr">
        <is>
          <t>TWN2024</t>
        </is>
      </c>
      <c r="B777" s="5" t="inlineStr">
        <is>
          <t>TWN</t>
        </is>
      </c>
      <c r="C777" s="5" t="inlineStr">
        <is>
          <t>TWN</t>
        </is>
      </c>
      <c r="D777" s="5" t="inlineStr">
        <is>
          <t>Taiwan Province of China</t>
        </is>
      </c>
      <c r="E777" s="5" t="n">
        <v>2024</v>
      </c>
      <c r="F777" s="5" t="n">
        <v>0.05</v>
      </c>
      <c r="G777" s="5" t="n">
        <v>7.138</v>
      </c>
      <c r="H777" s="5" t="n">
        <v>1.31</v>
      </c>
      <c r="I777" s="5" t="n">
        <v>-0.122</v>
      </c>
      <c r="J777" s="5" t="n">
        <v>7.016</v>
      </c>
      <c r="K777" s="5" t="n">
        <v>0</v>
      </c>
      <c r="L777" s="5" t="n">
        <v>1</v>
      </c>
      <c r="M777" s="5" t="n">
        <v>10.498</v>
      </c>
      <c r="N777" s="5" t="n">
        <v>3.93</v>
      </c>
      <c r="O777" s="5" t="n">
        <v>-0.09</v>
      </c>
      <c r="P777" s="5" t="n">
        <v>10.409</v>
      </c>
      <c r="Q777" s="5" t="n">
        <v>0</v>
      </c>
      <c r="R777" s="5" t="n">
        <v>1</v>
      </c>
      <c r="S777" s="5" t="n">
        <v>13.688</v>
      </c>
      <c r="T777" s="5" t="n">
        <v>7.859</v>
      </c>
      <c r="U777" s="5" t="n">
        <v>-0.03</v>
      </c>
      <c r="V777" s="5" t="n">
        <v>14.243</v>
      </c>
      <c r="W777" s="5" t="n">
        <v>0.05</v>
      </c>
      <c r="X777" s="5" t="n">
        <v>1</v>
      </c>
      <c r="Y777" s="5" t="n">
        <v>12.519</v>
      </c>
      <c r="Z777" s="5" t="n">
        <v>1.581</v>
      </c>
      <c r="AA777" s="5" t="n">
        <v>0.103</v>
      </c>
      <c r="AB777" s="5" t="n">
        <v>12.622</v>
      </c>
      <c r="AC777" s="5" t="n">
        <v>0</v>
      </c>
      <c r="AD777" s="5" t="n">
        <v>1</v>
      </c>
      <c r="AE777" s="5" t="n">
        <v>8.909000000000001</v>
      </c>
      <c r="AF777" s="5" t="n">
        <v>1.952</v>
      </c>
      <c r="AG777" s="5" t="n">
        <v>-0.01</v>
      </c>
      <c r="AH777" s="5" t="n">
        <v>8.898999999999999</v>
      </c>
      <c r="AI777" s="5" t="n">
        <v>0</v>
      </c>
      <c r="AJ777" s="5" t="n">
        <v>1</v>
      </c>
      <c r="AK777" s="5" t="n">
        <v>14.196</v>
      </c>
      <c r="AL777" s="5" t="n">
        <v>7.22</v>
      </c>
      <c r="AM777" s="5" t="n">
        <v>-4.845</v>
      </c>
      <c r="AN777" s="5" t="n">
        <v>9.818</v>
      </c>
      <c r="AO777" s="5" t="n">
        <v>0</v>
      </c>
      <c r="AP777" s="5" t="n">
        <v>0</v>
      </c>
      <c r="AQ777" s="5" t="n">
        <v>0.72</v>
      </c>
      <c r="AR777" s="5" t="n">
        <v>0.132</v>
      </c>
      <c r="AS777" s="5" t="n">
        <v>0.191</v>
      </c>
      <c r="AT777" s="5" t="n">
        <v>0.956</v>
      </c>
      <c r="AU777" s="5" t="n">
        <v>0.05</v>
      </c>
      <c r="AV777" s="5" t="n">
        <v>1</v>
      </c>
      <c r="AW777" s="5" t="n">
        <v>0.734</v>
      </c>
      <c r="AX777" s="5" t="n">
        <v>0.132</v>
      </c>
      <c r="AY777" s="5" t="n">
        <v>0.074</v>
      </c>
      <c r="AZ777" s="5" t="n">
        <v>0.848</v>
      </c>
      <c r="BA777" s="5" t="n">
        <v>0.05</v>
      </c>
      <c r="BB777" s="5" t="n">
        <v>1</v>
      </c>
      <c r="BC777" s="5" t="n">
        <v>0.51</v>
      </c>
      <c r="BD777" s="5" t="n">
        <v>0.132</v>
      </c>
      <c r="BE777" s="5" t="n">
        <v>-0.077</v>
      </c>
      <c r="BF777" s="5" t="n">
        <v>0.455</v>
      </c>
      <c r="BG777" s="5" t="n">
        <v>0.05</v>
      </c>
      <c r="BH777" s="5" t="n">
        <v>0</v>
      </c>
      <c r="BI777" s="5" t="n">
        <v>0.652</v>
      </c>
      <c r="BJ777" s="5" t="n">
        <v>0.132</v>
      </c>
      <c r="BK777" s="5" t="n">
        <v>0.6909999999999999</v>
      </c>
      <c r="BL777" s="5" t="n">
        <v>1.41</v>
      </c>
      <c r="BM777" s="5" t="n">
        <v>0.05</v>
      </c>
      <c r="BN777" s="5" t="n">
        <v>1</v>
      </c>
      <c r="BO777" s="5" t="n">
        <v>0</v>
      </c>
      <c r="BP777" s="5" t="n">
        <v>-0.003</v>
      </c>
      <c r="BQ777" s="5" t="n">
        <v>0.128</v>
      </c>
      <c r="BR777" s="5" t="n">
        <v>0</v>
      </c>
      <c r="BS777" s="5" t="n">
        <v>0.667</v>
      </c>
      <c r="BT777" s="5" t="n">
        <v>0</v>
      </c>
      <c r="BU777" s="5" t="n">
        <v>-0.005</v>
      </c>
      <c r="BV777" s="5" t="n">
        <v>0.08699999999999999</v>
      </c>
      <c r="BW777" s="5" t="n">
        <v>0.05</v>
      </c>
      <c r="BX777" s="5" t="n">
        <v>0.833</v>
      </c>
      <c r="BY777" s="5" t="n">
        <v>13.646</v>
      </c>
      <c r="BZ777" s="5" t="n">
        <v>0</v>
      </c>
      <c r="CA777" s="5" t="n">
        <v>13.646</v>
      </c>
      <c r="CB777" s="5" t="n">
        <v>0</v>
      </c>
      <c r="CC777" s="5" t="n">
        <v>86.38500000000001</v>
      </c>
      <c r="CD777" s="5" t="n">
        <v>7.95</v>
      </c>
      <c r="CE777" s="5" t="n">
        <v>2.875</v>
      </c>
      <c r="CF777" s="5" t="n">
        <v>93.724</v>
      </c>
      <c r="CG777" s="5" t="n">
        <v>0.05</v>
      </c>
      <c r="CH777" s="5" t="n">
        <v>1</v>
      </c>
      <c r="CI777" s="5" t="n">
        <v>0</v>
      </c>
      <c r="CJ777" s="5" t="n">
        <v>0</v>
      </c>
      <c r="CK777" s="5" t="n">
        <v>0</v>
      </c>
      <c r="CL777" s="5" t="n">
        <v>0</v>
      </c>
      <c r="CM777" s="5" t="n">
        <v>0</v>
      </c>
      <c r="CN777" s="5" t="n">
        <v>0</v>
      </c>
      <c r="CO777" s="5" t="n">
        <v>0</v>
      </c>
      <c r="CP777" s="5" t="n">
        <v>0.021</v>
      </c>
      <c r="CQ777" s="5" t="n">
        <v>1.387</v>
      </c>
      <c r="CR777" s="5" t="n">
        <v>0</v>
      </c>
      <c r="CS777" s="5" t="n">
        <v>7.613</v>
      </c>
      <c r="CT777" s="5" t="n">
        <v>5.922</v>
      </c>
      <c r="CU777" s="5" t="n">
        <v>12.217</v>
      </c>
    </row>
    <row r="778">
      <c r="A778" s="5" t="inlineStr">
        <is>
          <t>TJK2021</t>
        </is>
      </c>
      <c r="B778" s="5" t="inlineStr">
        <is>
          <t>TJK</t>
        </is>
      </c>
      <c r="C778" s="5" t="inlineStr">
        <is>
          <t>TJK</t>
        </is>
      </c>
      <c r="D778" s="5" t="inlineStr">
        <is>
          <t>Tajikistan</t>
        </is>
      </c>
      <c r="E778" s="5" t="n">
        <v>2021</v>
      </c>
      <c r="F778" s="5" t="n">
        <v>0.18</v>
      </c>
      <c r="G778" s="5" t="n">
        <v>1.939</v>
      </c>
      <c r="H778" s="5" t="n">
        <v>0.597</v>
      </c>
      <c r="I778" s="5" t="n">
        <v>0</v>
      </c>
      <c r="J778" s="5" t="n">
        <v>1.939</v>
      </c>
      <c r="K778" s="5" t="n">
        <v>0</v>
      </c>
      <c r="L778" s="5" t="n">
        <v>1</v>
      </c>
      <c r="M778" s="5" t="n">
        <v>3.14</v>
      </c>
      <c r="N778" s="5" t="n">
        <v>1.792</v>
      </c>
      <c r="O778" s="5" t="n">
        <v>0</v>
      </c>
      <c r="P778" s="5" t="n">
        <v>3.14</v>
      </c>
      <c r="Q778" s="5" t="n">
        <v>0</v>
      </c>
      <c r="R778" s="5" t="n">
        <v>1</v>
      </c>
      <c r="S778" s="5" t="n">
        <v>4.926</v>
      </c>
      <c r="T778" s="5" t="n">
        <v>3.584</v>
      </c>
      <c r="U778" s="5" t="n">
        <v>-0.422</v>
      </c>
      <c r="V778" s="5" t="n">
        <v>4.503</v>
      </c>
      <c r="W778" s="5" t="n">
        <v>0</v>
      </c>
      <c r="X778" s="5" t="n">
        <v>1</v>
      </c>
      <c r="Y778" s="5" t="n">
        <v>5.856</v>
      </c>
      <c r="Z778" s="5" t="n">
        <v>0.57</v>
      </c>
      <c r="AA778" s="5" t="n">
        <v>0</v>
      </c>
      <c r="AB778" s="5" t="n">
        <v>5.856</v>
      </c>
      <c r="AC778" s="5" t="n">
        <v>0</v>
      </c>
      <c r="AD778" s="5" t="n">
        <v>1</v>
      </c>
      <c r="AE778" s="5" t="n">
        <v>6.998</v>
      </c>
      <c r="AF778" s="5" t="n">
        <v>1.216</v>
      </c>
      <c r="AG778" s="5" t="n">
        <v>0</v>
      </c>
      <c r="AH778" s="5" t="n">
        <v>6.998</v>
      </c>
      <c r="AI778" s="5" t="n">
        <v>0</v>
      </c>
      <c r="AJ778" s="5" t="n">
        <v>1</v>
      </c>
      <c r="AK778" s="5" t="n">
        <v>13.848</v>
      </c>
      <c r="AL778" s="5" t="n">
        <v>6.041</v>
      </c>
      <c r="AM778" s="5" t="n">
        <v>0</v>
      </c>
      <c r="AN778" s="5" t="n">
        <v>16.34</v>
      </c>
      <c r="AO778" s="5" t="n">
        <v>0.18</v>
      </c>
      <c r="AP778" s="5" t="n">
        <v>1</v>
      </c>
      <c r="AQ778" s="5" t="n">
        <v>0.619</v>
      </c>
      <c r="AR778" s="5" t="n">
        <v>0.114</v>
      </c>
      <c r="AS778" s="5" t="n">
        <v>0.044</v>
      </c>
      <c r="AT778" s="5" t="n">
        <v>0.782</v>
      </c>
      <c r="AU778" s="5" t="n">
        <v>0.18</v>
      </c>
      <c r="AV778" s="5" t="n">
        <v>1</v>
      </c>
      <c r="AW778" s="5" t="n">
        <v>0.599</v>
      </c>
      <c r="AX778" s="5" t="n">
        <v>0.114</v>
      </c>
      <c r="AY778" s="5" t="n">
        <v>0.11</v>
      </c>
      <c r="AZ778" s="5" t="n">
        <v>0.837</v>
      </c>
      <c r="BA778" s="5" t="n">
        <v>0.18</v>
      </c>
      <c r="BB778" s="5" t="n">
        <v>1</v>
      </c>
      <c r="BC778" s="5" t="n">
        <v>0.439</v>
      </c>
      <c r="BD778" s="5" t="n">
        <v>0.114</v>
      </c>
      <c r="BE778" s="5" t="n">
        <v>-0.028</v>
      </c>
      <c r="BF778" s="5" t="n">
        <v>0.411</v>
      </c>
      <c r="BG778" s="5" t="n">
        <v>0</v>
      </c>
      <c r="BH778" s="5" t="n">
        <v>1</v>
      </c>
      <c r="BI778" s="5" t="n">
        <v>0.505</v>
      </c>
      <c r="BJ778" s="5" t="n">
        <v>0.114</v>
      </c>
      <c r="BK778" s="5" t="n">
        <v>0.619</v>
      </c>
      <c r="BL778" s="5" t="n">
        <v>1.326</v>
      </c>
      <c r="BM778" s="5" t="n">
        <v>0.18</v>
      </c>
      <c r="BN778" s="5" t="n">
        <v>1</v>
      </c>
      <c r="BO778" s="5" t="n">
        <v>0</v>
      </c>
      <c r="BP778" s="5" t="n">
        <v>0</v>
      </c>
      <c r="BQ778" s="5" t="n">
        <v>0.05</v>
      </c>
      <c r="BR778" s="5" t="n">
        <v>0</v>
      </c>
      <c r="BS778" s="5" t="n">
        <v>0.833</v>
      </c>
      <c r="BT778" s="5" t="n">
        <v>0</v>
      </c>
      <c r="BU778" s="5" t="n">
        <v>0</v>
      </c>
      <c r="BV778" s="5" t="n">
        <v>0.021</v>
      </c>
      <c r="BW778" s="5" t="n">
        <v>0.18</v>
      </c>
      <c r="BX778" s="5" t="n">
        <v>0.833</v>
      </c>
      <c r="BY778" s="5" t="n">
        <v>11.787</v>
      </c>
      <c r="BZ778" s="5" t="n">
        <v>0</v>
      </c>
      <c r="CA778" s="5" t="n">
        <v>11.787</v>
      </c>
      <c r="CB778" s="5" t="n">
        <v>0</v>
      </c>
      <c r="CC778" s="5" t="n">
        <v>78.125</v>
      </c>
      <c r="CD778" s="5" t="n">
        <v>7.95</v>
      </c>
      <c r="CE778" s="5" t="n">
        <v>0</v>
      </c>
      <c r="CF778" s="5" t="n">
        <v>92.188</v>
      </c>
      <c r="CG778" s="5" t="n">
        <v>0.18</v>
      </c>
      <c r="CH778" s="5" t="n">
        <v>1</v>
      </c>
      <c r="CI778" s="5" t="n">
        <v>0</v>
      </c>
      <c r="CJ778" s="5" t="n">
        <v>0</v>
      </c>
      <c r="CK778" s="5" t="n">
        <v>0</v>
      </c>
      <c r="CL778" s="5" t="n">
        <v>0</v>
      </c>
      <c r="CM778" s="5" t="n">
        <v>0</v>
      </c>
      <c r="CN778" s="5" t="n">
        <v>0</v>
      </c>
      <c r="CO778" s="5" t="n">
        <v>0</v>
      </c>
      <c r="CP778" s="5" t="n">
        <v>0.955</v>
      </c>
      <c r="CQ778" s="5" t="n">
        <v>1.198</v>
      </c>
      <c r="CR778" s="5" t="n">
        <v>0.003</v>
      </c>
      <c r="CS778" s="5" t="n">
        <v>4.776</v>
      </c>
      <c r="CT778" s="5" t="n">
        <v>4.41</v>
      </c>
      <c r="CU778" s="5" t="n">
        <v>15.162</v>
      </c>
    </row>
    <row r="779">
      <c r="A779" s="5" t="inlineStr">
        <is>
          <t>TJK2022</t>
        </is>
      </c>
      <c r="B779" s="5" t="inlineStr">
        <is>
          <t>TJK</t>
        </is>
      </c>
      <c r="C779" s="5" t="inlineStr">
        <is>
          <t>TJK</t>
        </is>
      </c>
      <c r="D779" s="5" t="inlineStr">
        <is>
          <t>Tajikistan</t>
        </is>
      </c>
      <c r="E779" s="5" t="n">
        <v>2022</v>
      </c>
      <c r="F779" s="5" t="n">
        <v>0.18</v>
      </c>
      <c r="G779" s="5" t="n">
        <v>2.162</v>
      </c>
      <c r="H779" s="5" t="n">
        <v>0.647</v>
      </c>
      <c r="I779" s="5" t="n">
        <v>0</v>
      </c>
      <c r="J779" s="5" t="n">
        <v>2.162</v>
      </c>
      <c r="K779" s="5" t="n">
        <v>0</v>
      </c>
      <c r="L779" s="5" t="n">
        <v>1</v>
      </c>
      <c r="M779" s="5" t="n">
        <v>3.467</v>
      </c>
      <c r="N779" s="5" t="n">
        <v>1.942</v>
      </c>
      <c r="O779" s="5" t="n">
        <v>0</v>
      </c>
      <c r="P779" s="5" t="n">
        <v>3.467</v>
      </c>
      <c r="Q779" s="5" t="n">
        <v>0</v>
      </c>
      <c r="R779" s="5" t="n">
        <v>1</v>
      </c>
      <c r="S779" s="5" t="n">
        <v>5.398</v>
      </c>
      <c r="T779" s="5" t="n">
        <v>3.883</v>
      </c>
      <c r="U779" s="5" t="n">
        <v>-0.442</v>
      </c>
      <c r="V779" s="5" t="n">
        <v>4.956</v>
      </c>
      <c r="W779" s="5" t="n">
        <v>0</v>
      </c>
      <c r="X779" s="5" t="n">
        <v>1</v>
      </c>
      <c r="Y779" s="5" t="n">
        <v>6.324</v>
      </c>
      <c r="Z779" s="5" t="n">
        <v>0.616</v>
      </c>
      <c r="AA779" s="5" t="n">
        <v>0</v>
      </c>
      <c r="AB779" s="5" t="n">
        <v>6.324</v>
      </c>
      <c r="AC779" s="5" t="n">
        <v>0</v>
      </c>
      <c r="AD779" s="5" t="n">
        <v>1</v>
      </c>
      <c r="AE779" s="5" t="n">
        <v>7.557</v>
      </c>
      <c r="AF779" s="5" t="n">
        <v>1.313</v>
      </c>
      <c r="AG779" s="5" t="n">
        <v>0</v>
      </c>
      <c r="AH779" s="5" t="n">
        <v>7.557</v>
      </c>
      <c r="AI779" s="5" t="n">
        <v>0</v>
      </c>
      <c r="AJ779" s="5" t="n">
        <v>1</v>
      </c>
      <c r="AK779" s="5" t="n">
        <v>14.951</v>
      </c>
      <c r="AL779" s="5" t="n">
        <v>6.522</v>
      </c>
      <c r="AM779" s="5" t="n">
        <v>0.199</v>
      </c>
      <c r="AN779" s="5" t="n">
        <v>17.643</v>
      </c>
      <c r="AO779" s="5" t="n">
        <v>0.18</v>
      </c>
      <c r="AP779" s="5" t="n">
        <v>1</v>
      </c>
      <c r="AQ779" s="5" t="n">
        <v>0.861</v>
      </c>
      <c r="AR779" s="5" t="n">
        <v>0.123</v>
      </c>
      <c r="AS779" s="5" t="n">
        <v>0.03</v>
      </c>
      <c r="AT779" s="5" t="n">
        <v>1.037</v>
      </c>
      <c r="AU779" s="5" t="n">
        <v>0.18</v>
      </c>
      <c r="AV779" s="5" t="n">
        <v>1</v>
      </c>
      <c r="AW779" s="5" t="n">
        <v>0.986</v>
      </c>
      <c r="AX779" s="5" t="n">
        <v>0.123</v>
      </c>
      <c r="AY779" s="5" t="n">
        <v>0.081</v>
      </c>
      <c r="AZ779" s="5" t="n">
        <v>1.243</v>
      </c>
      <c r="BA779" s="5" t="n">
        <v>0.18</v>
      </c>
      <c r="BB779" s="5" t="n">
        <v>1</v>
      </c>
      <c r="BC779" s="5" t="n">
        <v>0.598</v>
      </c>
      <c r="BD779" s="5" t="n">
        <v>0.123</v>
      </c>
      <c r="BE779" s="5" t="n">
        <v>-0.03</v>
      </c>
      <c r="BF779" s="5" t="n">
        <v>0.5679999999999999</v>
      </c>
      <c r="BG779" s="5" t="n">
        <v>0</v>
      </c>
      <c r="BH779" s="5" t="n">
        <v>1</v>
      </c>
      <c r="BI779" s="5" t="n">
        <v>0.612</v>
      </c>
      <c r="BJ779" s="5" t="n">
        <v>0.123</v>
      </c>
      <c r="BK779" s="5" t="n">
        <v>0.675</v>
      </c>
      <c r="BL779" s="5" t="n">
        <v>1.499</v>
      </c>
      <c r="BM779" s="5" t="n">
        <v>0.18</v>
      </c>
      <c r="BN779" s="5" t="n">
        <v>1</v>
      </c>
      <c r="BO779" s="5" t="n">
        <v>0</v>
      </c>
      <c r="BP779" s="5" t="n">
        <v>0</v>
      </c>
      <c r="BQ779" s="5" t="n">
        <v>0.051</v>
      </c>
      <c r="BR779" s="5" t="n">
        <v>0</v>
      </c>
      <c r="BS779" s="5" t="n">
        <v>0.833</v>
      </c>
      <c r="BT779" s="5" t="n">
        <v>0</v>
      </c>
      <c r="BU779" s="5" t="n">
        <v>0</v>
      </c>
      <c r="BV779" s="5" t="n">
        <v>0.021</v>
      </c>
      <c r="BW779" s="5" t="n">
        <v>0.18</v>
      </c>
      <c r="BX779" s="5" t="n">
        <v>0.833</v>
      </c>
      <c r="BY779" s="5" t="n">
        <v>12.729</v>
      </c>
      <c r="BZ779" s="5" t="n">
        <v>0</v>
      </c>
      <c r="CA779" s="5" t="n">
        <v>12.729</v>
      </c>
      <c r="CB779" s="5" t="n">
        <v>0</v>
      </c>
      <c r="CC779" s="5" t="n">
        <v>97.90000000000001</v>
      </c>
      <c r="CD779" s="5" t="n">
        <v>7.95</v>
      </c>
      <c r="CE779" s="5" t="n">
        <v>1.087</v>
      </c>
      <c r="CF779" s="5" t="n">
        <v>112.585</v>
      </c>
      <c r="CG779" s="5" t="n">
        <v>0.15</v>
      </c>
      <c r="CH779" s="5" t="n">
        <v>1</v>
      </c>
      <c r="CI779" s="5" t="n">
        <v>0</v>
      </c>
      <c r="CJ779" s="5" t="n">
        <v>0</v>
      </c>
      <c r="CK779" s="5" t="n">
        <v>0</v>
      </c>
      <c r="CL779" s="5" t="n">
        <v>0</v>
      </c>
      <c r="CM779" s="5" t="n">
        <v>0</v>
      </c>
      <c r="CN779" s="5" t="n">
        <v>0</v>
      </c>
      <c r="CO779" s="5" t="n">
        <v>0</v>
      </c>
      <c r="CP779" s="5" t="n">
        <v>0.952</v>
      </c>
      <c r="CQ779" s="5" t="n">
        <v>1.294</v>
      </c>
      <c r="CR779" s="5" t="n">
        <v>0.004</v>
      </c>
      <c r="CS779" s="5" t="n">
        <v>5.158</v>
      </c>
      <c r="CT779" s="5" t="n">
        <v>5.842</v>
      </c>
      <c r="CU779" s="5" t="n">
        <v>31.326</v>
      </c>
    </row>
    <row r="780">
      <c r="A780" s="5" t="inlineStr">
        <is>
          <t>TJK2023</t>
        </is>
      </c>
      <c r="B780" s="5" t="inlineStr">
        <is>
          <t>TJK</t>
        </is>
      </c>
      <c r="C780" s="5" t="inlineStr">
        <is>
          <t>TJK</t>
        </is>
      </c>
      <c r="D780" s="5" t="inlineStr">
        <is>
          <t>Tajikistan</t>
        </is>
      </c>
      <c r="E780" s="5" t="n">
        <v>2023</v>
      </c>
      <c r="F780" s="5" t="n">
        <v>0.18</v>
      </c>
      <c r="G780" s="5" t="n">
        <v>2.124</v>
      </c>
      <c r="H780" s="5" t="n">
        <v>0.674</v>
      </c>
      <c r="I780" s="5" t="n">
        <v>0</v>
      </c>
      <c r="J780" s="5" t="n">
        <v>2.124</v>
      </c>
      <c r="K780" s="5" t="n">
        <v>0</v>
      </c>
      <c r="L780" s="5" t="n">
        <v>1</v>
      </c>
      <c r="M780" s="5" t="n">
        <v>3.499</v>
      </c>
      <c r="N780" s="5" t="n">
        <v>2.022</v>
      </c>
      <c r="O780" s="5" t="n">
        <v>0</v>
      </c>
      <c r="P780" s="5" t="n">
        <v>3.499</v>
      </c>
      <c r="Q780" s="5" t="n">
        <v>0</v>
      </c>
      <c r="R780" s="5" t="n">
        <v>1</v>
      </c>
      <c r="S780" s="5" t="n">
        <v>5.494</v>
      </c>
      <c r="T780" s="5" t="n">
        <v>4.044</v>
      </c>
      <c r="U780" s="5" t="n">
        <v>-0.483</v>
      </c>
      <c r="V780" s="5" t="n">
        <v>5.011</v>
      </c>
      <c r="W780" s="5" t="n">
        <v>0</v>
      </c>
      <c r="X780" s="5" t="n">
        <v>1</v>
      </c>
      <c r="Y780" s="5" t="n">
        <v>6.585</v>
      </c>
      <c r="Z780" s="5" t="n">
        <v>0.641</v>
      </c>
      <c r="AA780" s="5" t="n">
        <v>0</v>
      </c>
      <c r="AB780" s="5" t="n">
        <v>6.585</v>
      </c>
      <c r="AC780" s="5" t="n">
        <v>0</v>
      </c>
      <c r="AD780" s="5" t="n">
        <v>1</v>
      </c>
      <c r="AE780" s="5" t="n">
        <v>7.869</v>
      </c>
      <c r="AF780" s="5" t="n">
        <v>1.367</v>
      </c>
      <c r="AG780" s="5" t="n">
        <v>0</v>
      </c>
      <c r="AH780" s="5" t="n">
        <v>7.869</v>
      </c>
      <c r="AI780" s="5" t="n">
        <v>0</v>
      </c>
      <c r="AJ780" s="5" t="n">
        <v>1</v>
      </c>
      <c r="AK780" s="5" t="n">
        <v>15.569</v>
      </c>
      <c r="AL780" s="5" t="n">
        <v>6.792</v>
      </c>
      <c r="AM780" s="5" t="n">
        <v>0.31</v>
      </c>
      <c r="AN780" s="5" t="n">
        <v>18.371</v>
      </c>
      <c r="AO780" s="5" t="n">
        <v>0.18</v>
      </c>
      <c r="AP780" s="5" t="n">
        <v>1</v>
      </c>
      <c r="AQ780" s="5" t="n">
        <v>0.76</v>
      </c>
      <c r="AR780" s="5" t="n">
        <v>0.129</v>
      </c>
      <c r="AS780" s="5" t="n">
        <v>0.055</v>
      </c>
      <c r="AT780" s="5" t="n">
        <v>0.944</v>
      </c>
      <c r="AU780" s="5" t="n">
        <v>0.18</v>
      </c>
      <c r="AV780" s="5" t="n">
        <v>1</v>
      </c>
      <c r="AW780" s="5" t="n">
        <v>0.8110000000000001</v>
      </c>
      <c r="AX780" s="5" t="n">
        <v>0.129</v>
      </c>
      <c r="AY780" s="5" t="n">
        <v>0.121</v>
      </c>
      <c r="AZ780" s="5" t="n">
        <v>1.079</v>
      </c>
      <c r="BA780" s="5" t="n">
        <v>0.18</v>
      </c>
      <c r="BB780" s="5" t="n">
        <v>1</v>
      </c>
      <c r="BC780" s="5" t="n">
        <v>0.535</v>
      </c>
      <c r="BD780" s="5" t="n">
        <v>0.129</v>
      </c>
      <c r="BE780" s="5" t="n">
        <v>-0.031</v>
      </c>
      <c r="BF780" s="5" t="n">
        <v>0.504</v>
      </c>
      <c r="BG780" s="5" t="n">
        <v>0</v>
      </c>
      <c r="BH780" s="5" t="n">
        <v>1</v>
      </c>
      <c r="BI780" s="5" t="n">
        <v>0.579</v>
      </c>
      <c r="BJ780" s="5" t="n">
        <v>0.129</v>
      </c>
      <c r="BK780" s="5" t="n">
        <v>0.719</v>
      </c>
      <c r="BL780" s="5" t="n">
        <v>1.502</v>
      </c>
      <c r="BM780" s="5" t="n">
        <v>0.18</v>
      </c>
      <c r="BN780" s="5" t="n">
        <v>1</v>
      </c>
      <c r="BO780" s="5" t="n">
        <v>0</v>
      </c>
      <c r="BP780" s="5" t="n">
        <v>0</v>
      </c>
      <c r="BQ780" s="5" t="n">
        <v>0.059</v>
      </c>
      <c r="BR780" s="5" t="n">
        <v>0</v>
      </c>
      <c r="BS780" s="5" t="n">
        <v>0.833</v>
      </c>
      <c r="BT780" s="5" t="n">
        <v>0</v>
      </c>
      <c r="BU780" s="5" t="n">
        <v>0</v>
      </c>
      <c r="BV780" s="5" t="n">
        <v>0.025</v>
      </c>
      <c r="BW780" s="5" t="n">
        <v>0.18</v>
      </c>
      <c r="BX780" s="5" t="n">
        <v>0.833</v>
      </c>
      <c r="BY780" s="5" t="n">
        <v>13.254</v>
      </c>
      <c r="BZ780" s="5" t="n">
        <v>0</v>
      </c>
      <c r="CA780" s="5" t="n">
        <v>13.254</v>
      </c>
      <c r="CB780" s="5" t="n">
        <v>0</v>
      </c>
      <c r="CC780" s="5" t="n">
        <v>83.248</v>
      </c>
      <c r="CD780" s="5" t="n">
        <v>7.95</v>
      </c>
      <c r="CE780" s="5" t="n">
        <v>1.383</v>
      </c>
      <c r="CF780" s="5" t="n">
        <v>95.735</v>
      </c>
      <c r="CG780" s="5" t="n">
        <v>0.15</v>
      </c>
      <c r="CH780" s="5" t="n">
        <v>1</v>
      </c>
      <c r="CI780" s="5" t="n">
        <v>0</v>
      </c>
      <c r="CJ780" s="5" t="n">
        <v>0</v>
      </c>
      <c r="CK780" s="5" t="n">
        <v>0</v>
      </c>
      <c r="CL780" s="5" t="n">
        <v>0</v>
      </c>
      <c r="CM780" s="5" t="n">
        <v>0</v>
      </c>
      <c r="CN780" s="5" t="n">
        <v>0</v>
      </c>
      <c r="CO780" s="5" t="n">
        <v>0</v>
      </c>
      <c r="CP780" s="5" t="n">
        <v>0.952</v>
      </c>
      <c r="CQ780" s="5" t="n">
        <v>1.348</v>
      </c>
      <c r="CR780" s="5" t="n">
        <v>0.004</v>
      </c>
      <c r="CS780" s="5" t="n">
        <v>5.37</v>
      </c>
      <c r="CT780" s="5" t="n">
        <v>3.466</v>
      </c>
      <c r="CU780" s="5" t="n">
        <v>11.622</v>
      </c>
    </row>
    <row r="781">
      <c r="A781" s="5" t="inlineStr">
        <is>
          <t>TJK2024</t>
        </is>
      </c>
      <c r="B781" s="5" t="inlineStr">
        <is>
          <t>TJK</t>
        </is>
      </c>
      <c r="C781" s="5" t="inlineStr">
        <is>
          <t>TJK</t>
        </is>
      </c>
      <c r="D781" s="5" t="inlineStr">
        <is>
          <t>Tajikistan</t>
        </is>
      </c>
      <c r="E781" s="5" t="n">
        <v>2024</v>
      </c>
      <c r="F781" s="5" t="n">
        <v>0.18</v>
      </c>
      <c r="G781" s="5" t="n">
        <v>2.161</v>
      </c>
      <c r="H781" s="5" t="n">
        <v>0.694</v>
      </c>
      <c r="I781" s="5" t="n">
        <v>0</v>
      </c>
      <c r="J781" s="5" t="n">
        <v>2.161</v>
      </c>
      <c r="K781" s="5" t="n">
        <v>0</v>
      </c>
      <c r="L781" s="5" t="n">
        <v>1</v>
      </c>
      <c r="M781" s="5" t="n">
        <v>3.554</v>
      </c>
      <c r="N781" s="5" t="n">
        <v>2.082</v>
      </c>
      <c r="O781" s="5" t="n">
        <v>0</v>
      </c>
      <c r="P781" s="5" t="n">
        <v>3.554</v>
      </c>
      <c r="Q781" s="5" t="n">
        <v>0</v>
      </c>
      <c r="R781" s="5" t="n">
        <v>1</v>
      </c>
      <c r="S781" s="5" t="n">
        <v>5.63</v>
      </c>
      <c r="T781" s="5" t="n">
        <v>4.163</v>
      </c>
      <c r="U781" s="5" t="n">
        <v>-0.502</v>
      </c>
      <c r="V781" s="5" t="n">
        <v>5.128</v>
      </c>
      <c r="W781" s="5" t="n">
        <v>0</v>
      </c>
      <c r="X781" s="5" t="n">
        <v>1</v>
      </c>
      <c r="Y781" s="5" t="n">
        <v>6.78</v>
      </c>
      <c r="Z781" s="5" t="n">
        <v>0.66</v>
      </c>
      <c r="AA781" s="5" t="n">
        <v>0</v>
      </c>
      <c r="AB781" s="5" t="n">
        <v>6.78</v>
      </c>
      <c r="AC781" s="5" t="n">
        <v>0</v>
      </c>
      <c r="AD781" s="5" t="n">
        <v>1</v>
      </c>
      <c r="AE781" s="5" t="n">
        <v>8.101000000000001</v>
      </c>
      <c r="AF781" s="5" t="n">
        <v>1.407</v>
      </c>
      <c r="AG781" s="5" t="n">
        <v>0</v>
      </c>
      <c r="AH781" s="5" t="n">
        <v>8.101000000000001</v>
      </c>
      <c r="AI781" s="5" t="n">
        <v>0</v>
      </c>
      <c r="AJ781" s="5" t="n">
        <v>1</v>
      </c>
      <c r="AK781" s="5" t="n">
        <v>16.028</v>
      </c>
      <c r="AL781" s="5" t="n">
        <v>6.992</v>
      </c>
      <c r="AM781" s="5" t="n">
        <v>0.393</v>
      </c>
      <c r="AN781" s="5" t="n">
        <v>18.913</v>
      </c>
      <c r="AO781" s="5" t="n">
        <v>0.18</v>
      </c>
      <c r="AP781" s="5" t="n">
        <v>1</v>
      </c>
      <c r="AQ781" s="5" t="n">
        <v>0.724</v>
      </c>
      <c r="AR781" s="5" t="n">
        <v>0.132</v>
      </c>
      <c r="AS781" s="5" t="n">
        <v>0.06900000000000001</v>
      </c>
      <c r="AT781" s="5" t="n">
        <v>0.913</v>
      </c>
      <c r="AU781" s="5" t="n">
        <v>0.18</v>
      </c>
      <c r="AV781" s="5" t="n">
        <v>1</v>
      </c>
      <c r="AW781" s="5" t="n">
        <v>0.75</v>
      </c>
      <c r="AX781" s="5" t="n">
        <v>0.132</v>
      </c>
      <c r="AY781" s="5" t="n">
        <v>0.14</v>
      </c>
      <c r="AZ781" s="5" t="n">
        <v>1.025</v>
      </c>
      <c r="BA781" s="5" t="n">
        <v>0.18</v>
      </c>
      <c r="BB781" s="5" t="n">
        <v>1</v>
      </c>
      <c r="BC781" s="5" t="n">
        <v>0.513</v>
      </c>
      <c r="BD781" s="5" t="n">
        <v>0.132</v>
      </c>
      <c r="BE781" s="5" t="n">
        <v>-0.032</v>
      </c>
      <c r="BF781" s="5" t="n">
        <v>0.481</v>
      </c>
      <c r="BG781" s="5" t="n">
        <v>0</v>
      </c>
      <c r="BH781" s="5" t="n">
        <v>1</v>
      </c>
      <c r="BI781" s="5" t="n">
        <v>0.591</v>
      </c>
      <c r="BJ781" s="5" t="n">
        <v>0.132</v>
      </c>
      <c r="BK781" s="5" t="n">
        <v>0.747</v>
      </c>
      <c r="BL781" s="5" t="n">
        <v>1.542</v>
      </c>
      <c r="BM781" s="5" t="n">
        <v>0.18</v>
      </c>
      <c r="BN781" s="5" t="n">
        <v>1</v>
      </c>
      <c r="BO781" s="5" t="n">
        <v>0</v>
      </c>
      <c r="BP781" s="5" t="n">
        <v>0</v>
      </c>
      <c r="BQ781" s="5" t="n">
        <v>0.061</v>
      </c>
      <c r="BR781" s="5" t="n">
        <v>0</v>
      </c>
      <c r="BS781" s="5" t="n">
        <v>0.833</v>
      </c>
      <c r="BT781" s="5" t="n">
        <v>0</v>
      </c>
      <c r="BU781" s="5" t="n">
        <v>0</v>
      </c>
      <c r="BV781" s="5" t="n">
        <v>0.025</v>
      </c>
      <c r="BW781" s="5" t="n">
        <v>0.18</v>
      </c>
      <c r="BX781" s="5" t="n">
        <v>0.833</v>
      </c>
      <c r="BY781" s="5" t="n">
        <v>13.646</v>
      </c>
      <c r="BZ781" s="5" t="n">
        <v>0</v>
      </c>
      <c r="CA781" s="5" t="n">
        <v>13.646</v>
      </c>
      <c r="CB781" s="5" t="n">
        <v>0</v>
      </c>
      <c r="CC781" s="5" t="n">
        <v>82.58799999999999</v>
      </c>
      <c r="CD781" s="5" t="n">
        <v>7.95</v>
      </c>
      <c r="CE781" s="5" t="n">
        <v>1.687</v>
      </c>
      <c r="CF781" s="5" t="n">
        <v>94.976</v>
      </c>
      <c r="CG781" s="5" t="n">
        <v>0.15</v>
      </c>
      <c r="CH781" s="5" t="n">
        <v>1</v>
      </c>
      <c r="CI781" s="5" t="n">
        <v>0</v>
      </c>
      <c r="CJ781" s="5" t="n">
        <v>0</v>
      </c>
      <c r="CK781" s="5" t="n">
        <v>0</v>
      </c>
      <c r="CL781" s="5" t="n">
        <v>0</v>
      </c>
      <c r="CM781" s="5" t="n">
        <v>0</v>
      </c>
      <c r="CN781" s="5" t="n">
        <v>0</v>
      </c>
      <c r="CO781" s="5" t="n">
        <v>0</v>
      </c>
      <c r="CP781" s="5" t="n">
        <v>0.952</v>
      </c>
      <c r="CQ781" s="5" t="n">
        <v>1.387</v>
      </c>
      <c r="CR781" s="5" t="n">
        <v>0.004</v>
      </c>
      <c r="CS781" s="5" t="n">
        <v>5.529</v>
      </c>
      <c r="CT781" s="5" t="n">
        <v>3.027</v>
      </c>
      <c r="CU781" s="5" t="n">
        <v>10.168</v>
      </c>
    </row>
    <row r="782">
      <c r="A782" s="5" t="inlineStr">
        <is>
          <t>TZA2021</t>
        </is>
      </c>
      <c r="B782" s="5" t="inlineStr">
        <is>
          <t>TZA</t>
        </is>
      </c>
      <c r="C782" s="5" t="inlineStr">
        <is>
          <t>TZA</t>
        </is>
      </c>
      <c r="D782" s="5" t="inlineStr">
        <is>
          <t>Tanzania</t>
        </is>
      </c>
      <c r="E782" s="5" t="n">
        <v>2021</v>
      </c>
      <c r="F782" s="5" t="n">
        <v>0.18</v>
      </c>
      <c r="G782" s="5" t="n">
        <v>1.77</v>
      </c>
      <c r="H782" s="5" t="n">
        <v>0.572</v>
      </c>
      <c r="I782" s="5" t="n">
        <v>0</v>
      </c>
      <c r="J782" s="5" t="n">
        <v>1.77</v>
      </c>
      <c r="K782" s="5" t="n">
        <v>0</v>
      </c>
      <c r="L782" s="5" t="n">
        <v>1</v>
      </c>
      <c r="M782" s="5" t="n">
        <v>2.913</v>
      </c>
      <c r="N782" s="5" t="n">
        <v>1.715</v>
      </c>
      <c r="O782" s="5" t="n">
        <v>0</v>
      </c>
      <c r="P782" s="5" t="n">
        <v>2.913</v>
      </c>
      <c r="Q782" s="5" t="n">
        <v>0</v>
      </c>
      <c r="R782" s="5" t="n">
        <v>1</v>
      </c>
      <c r="S782" s="5" t="n">
        <v>4.628</v>
      </c>
      <c r="T782" s="5" t="n">
        <v>3.43</v>
      </c>
      <c r="U782" s="5" t="n">
        <v>0</v>
      </c>
      <c r="V782" s="5" t="n">
        <v>5.461</v>
      </c>
      <c r="W782" s="5" t="n">
        <v>0.18</v>
      </c>
      <c r="X782" s="5" t="n">
        <v>1</v>
      </c>
      <c r="Y782" s="5" t="n">
        <v>2.092</v>
      </c>
      <c r="Z782" s="5" t="n">
        <v>0.154</v>
      </c>
      <c r="AA782" s="5" t="n">
        <v>7.294</v>
      </c>
      <c r="AB782" s="5" t="n">
        <v>9.385999999999999</v>
      </c>
      <c r="AC782" s="5" t="n">
        <v>0</v>
      </c>
      <c r="AD782" s="5" t="n">
        <v>1</v>
      </c>
      <c r="AE782" s="5" t="n">
        <v>2.664</v>
      </c>
      <c r="AF782" s="5" t="n">
        <v>0.36</v>
      </c>
      <c r="AG782" s="5" t="n">
        <v>6.722</v>
      </c>
      <c r="AH782" s="5" t="n">
        <v>9.385999999999999</v>
      </c>
      <c r="AI782" s="5" t="n">
        <v>0</v>
      </c>
      <c r="AJ782" s="5" t="n">
        <v>1</v>
      </c>
      <c r="AK782" s="5" t="n">
        <v>6.093</v>
      </c>
      <c r="AL782" s="5" t="n">
        <v>2.264</v>
      </c>
      <c r="AM782" s="5" t="n">
        <v>6.221</v>
      </c>
      <c r="AN782" s="5" t="n">
        <v>14.531</v>
      </c>
      <c r="AO782" s="5" t="n">
        <v>0.18</v>
      </c>
      <c r="AP782" s="5" t="n">
        <v>1</v>
      </c>
      <c r="AQ782" s="5" t="n">
        <v>0.619</v>
      </c>
      <c r="AR782" s="5" t="n">
        <v>0.114</v>
      </c>
      <c r="AS782" s="5" t="n">
        <v>0.359</v>
      </c>
      <c r="AT782" s="5" t="n">
        <v>0.978</v>
      </c>
      <c r="AU782" s="5" t="n">
        <v>0</v>
      </c>
      <c r="AV782" s="5" t="n">
        <v>1</v>
      </c>
      <c r="AW782" s="5" t="n">
        <v>0.599</v>
      </c>
      <c r="AX782" s="5" t="n">
        <v>0.114</v>
      </c>
      <c r="AY782" s="5" t="n">
        <v>0.319</v>
      </c>
      <c r="AZ782" s="5" t="n">
        <v>0.918</v>
      </c>
      <c r="BA782" s="5" t="n">
        <v>0</v>
      </c>
      <c r="BB782" s="5" t="n">
        <v>1</v>
      </c>
      <c r="BC782" s="5" t="n">
        <v>0.439</v>
      </c>
      <c r="BD782" s="5" t="n">
        <v>0.114</v>
      </c>
      <c r="BE782" s="5" t="n">
        <v>0</v>
      </c>
      <c r="BF782" s="5" t="n">
        <v>0.518</v>
      </c>
      <c r="BG782" s="5" t="n">
        <v>0.18</v>
      </c>
      <c r="BH782" s="5" t="n">
        <v>1</v>
      </c>
      <c r="BI782" s="5" t="n">
        <v>0.505</v>
      </c>
      <c r="BJ782" s="5" t="n">
        <v>0.114</v>
      </c>
      <c r="BK782" s="5" t="n">
        <v>0.373</v>
      </c>
      <c r="BL782" s="5" t="n">
        <v>0.877</v>
      </c>
      <c r="BM782" s="5" t="n">
        <v>0</v>
      </c>
      <c r="BN782" s="5" t="n">
        <v>1</v>
      </c>
      <c r="BO782" s="5" t="n">
        <v>0</v>
      </c>
      <c r="BP782" s="5" t="n">
        <v>0.015</v>
      </c>
      <c r="BQ782" s="5" t="n">
        <v>0.068</v>
      </c>
      <c r="BR782" s="5" t="n">
        <v>0</v>
      </c>
      <c r="BS782" s="5" t="n">
        <v>0</v>
      </c>
      <c r="BT782" s="5" t="n">
        <v>0</v>
      </c>
      <c r="BU782" s="5" t="n">
        <v>0.022</v>
      </c>
      <c r="BV782" s="5" t="n">
        <v>0.102</v>
      </c>
      <c r="BW782" s="5" t="n">
        <v>0.18</v>
      </c>
      <c r="BX782" s="5" t="n">
        <v>0</v>
      </c>
      <c r="BY782" s="5" t="n">
        <v>11.787</v>
      </c>
      <c r="BZ782" s="5" t="n">
        <v>0</v>
      </c>
      <c r="CA782" s="5" t="n">
        <v>11.787</v>
      </c>
      <c r="CB782" s="5" t="n">
        <v>0</v>
      </c>
      <c r="CC782" s="5" t="n">
        <v>78.125</v>
      </c>
      <c r="CD782" s="5" t="n">
        <v>7.95</v>
      </c>
      <c r="CE782" s="5" t="n">
        <v>41.185</v>
      </c>
      <c r="CF782" s="5" t="n">
        <v>140.786</v>
      </c>
      <c r="CG782" s="5" t="n">
        <v>0.18</v>
      </c>
      <c r="CH782" s="5" t="n">
        <v>1</v>
      </c>
      <c r="CI782" s="5" t="n">
        <v>0</v>
      </c>
      <c r="CJ782" s="5" t="n">
        <v>0</v>
      </c>
      <c r="CK782" s="5" t="n">
        <v>0</v>
      </c>
      <c r="CL782" s="5" t="n">
        <v>0</v>
      </c>
      <c r="CM782" s="5" t="n">
        <v>0</v>
      </c>
      <c r="CN782" s="5" t="n">
        <v>0</v>
      </c>
      <c r="CO782" s="5" t="n">
        <v>0</v>
      </c>
      <c r="CP782" s="5" t="n">
        <v>1</v>
      </c>
      <c r="CQ782" s="5" t="n">
        <v>1.198</v>
      </c>
      <c r="CR782" s="5" t="n">
        <v>1</v>
      </c>
      <c r="CS782" s="5" t="n">
        <v>1.52</v>
      </c>
      <c r="CT782" s="5" t="n">
        <v>4.753</v>
      </c>
      <c r="CU782" s="5" t="n">
        <v>15.162</v>
      </c>
    </row>
    <row r="783">
      <c r="A783" s="5" t="inlineStr">
        <is>
          <t>TZA2022</t>
        </is>
      </c>
      <c r="B783" s="5" t="inlineStr">
        <is>
          <t>TZA</t>
        </is>
      </c>
      <c r="C783" s="5" t="inlineStr">
        <is>
          <t>TZA</t>
        </is>
      </c>
      <c r="D783" s="5" t="inlineStr">
        <is>
          <t>Tanzania</t>
        </is>
      </c>
      <c r="E783" s="5" t="n">
        <v>2022</v>
      </c>
      <c r="F783" s="5" t="n">
        <v>0.18</v>
      </c>
      <c r="G783" s="5" t="n">
        <v>1.911</v>
      </c>
      <c r="H783" s="5" t="n">
        <v>0.617</v>
      </c>
      <c r="I783" s="5" t="n">
        <v>0</v>
      </c>
      <c r="J783" s="5" t="n">
        <v>1.911</v>
      </c>
      <c r="K783" s="5" t="n">
        <v>0</v>
      </c>
      <c r="L783" s="5" t="n">
        <v>1</v>
      </c>
      <c r="M783" s="5" t="n">
        <v>3.146</v>
      </c>
      <c r="N783" s="5" t="n">
        <v>1.852</v>
      </c>
      <c r="O783" s="5" t="n">
        <v>0</v>
      </c>
      <c r="P783" s="5" t="n">
        <v>3.146</v>
      </c>
      <c r="Q783" s="5" t="n">
        <v>0</v>
      </c>
      <c r="R783" s="5" t="n">
        <v>1</v>
      </c>
      <c r="S783" s="5" t="n">
        <v>4.998</v>
      </c>
      <c r="T783" s="5" t="n">
        <v>3.704</v>
      </c>
      <c r="U783" s="5" t="n">
        <v>0.067</v>
      </c>
      <c r="V783" s="5" t="n">
        <v>5.898</v>
      </c>
      <c r="W783" s="5" t="n">
        <v>0.18</v>
      </c>
      <c r="X783" s="5" t="n">
        <v>1</v>
      </c>
      <c r="Y783" s="5" t="n">
        <v>2.259</v>
      </c>
      <c r="Z783" s="5" t="n">
        <v>0.166</v>
      </c>
      <c r="AA783" s="5" t="n">
        <v>13.738</v>
      </c>
      <c r="AB783" s="5" t="n">
        <v>15.997</v>
      </c>
      <c r="AC783" s="5" t="n">
        <v>0</v>
      </c>
      <c r="AD783" s="5" t="n">
        <v>1</v>
      </c>
      <c r="AE783" s="5" t="n">
        <v>2.876</v>
      </c>
      <c r="AF783" s="5" t="n">
        <v>0.389</v>
      </c>
      <c r="AG783" s="5" t="n">
        <v>13.121</v>
      </c>
      <c r="AH783" s="5" t="n">
        <v>15.997</v>
      </c>
      <c r="AI783" s="5" t="n">
        <v>0</v>
      </c>
      <c r="AJ783" s="5" t="n">
        <v>1</v>
      </c>
      <c r="AK783" s="5" t="n">
        <v>6.581</v>
      </c>
      <c r="AL783" s="5" t="n">
        <v>2.445</v>
      </c>
      <c r="AM783" s="5" t="n">
        <v>11.688</v>
      </c>
      <c r="AN783" s="5" t="n">
        <v>21.557</v>
      </c>
      <c r="AO783" s="5" t="n">
        <v>0.18</v>
      </c>
      <c r="AP783" s="5" t="n">
        <v>1</v>
      </c>
      <c r="AQ783" s="5" t="n">
        <v>0.861</v>
      </c>
      <c r="AR783" s="5" t="n">
        <v>0.123</v>
      </c>
      <c r="AS783" s="5" t="n">
        <v>0.267</v>
      </c>
      <c r="AT783" s="5" t="n">
        <v>1.128</v>
      </c>
      <c r="AU783" s="5" t="n">
        <v>0</v>
      </c>
      <c r="AV783" s="5" t="n">
        <v>1</v>
      </c>
      <c r="AW783" s="5" t="n">
        <v>0.986</v>
      </c>
      <c r="AX783" s="5" t="n">
        <v>0.123</v>
      </c>
      <c r="AY783" s="5" t="n">
        <v>0.091</v>
      </c>
      <c r="AZ783" s="5" t="n">
        <v>1.077</v>
      </c>
      <c r="BA783" s="5" t="n">
        <v>0</v>
      </c>
      <c r="BB783" s="5" t="n">
        <v>1</v>
      </c>
      <c r="BC783" s="5" t="n">
        <v>0.598</v>
      </c>
      <c r="BD783" s="5" t="n">
        <v>0.123</v>
      </c>
      <c r="BE783" s="5" t="n">
        <v>0.008</v>
      </c>
      <c r="BF783" s="5" t="n">
        <v>0.705</v>
      </c>
      <c r="BG783" s="5" t="n">
        <v>0.18</v>
      </c>
      <c r="BH783" s="5" t="n">
        <v>1</v>
      </c>
      <c r="BI783" s="5" t="n">
        <v>0.612</v>
      </c>
      <c r="BJ783" s="5" t="n">
        <v>0.123</v>
      </c>
      <c r="BK783" s="5" t="n">
        <v>0.438</v>
      </c>
      <c r="BL783" s="5" t="n">
        <v>1.05</v>
      </c>
      <c r="BM783" s="5" t="n">
        <v>0</v>
      </c>
      <c r="BN783" s="5" t="n">
        <v>1</v>
      </c>
      <c r="BO783" s="5" t="n">
        <v>0</v>
      </c>
      <c r="BP783" s="5" t="n">
        <v>0.015</v>
      </c>
      <c r="BQ783" s="5" t="n">
        <v>0.068</v>
      </c>
      <c r="BR783" s="5" t="n">
        <v>0</v>
      </c>
      <c r="BS783" s="5" t="n">
        <v>0</v>
      </c>
      <c r="BT783" s="5" t="n">
        <v>0</v>
      </c>
      <c r="BU783" s="5" t="n">
        <v>0.022</v>
      </c>
      <c r="BV783" s="5" t="n">
        <v>0.102</v>
      </c>
      <c r="BW783" s="5" t="n">
        <v>0.18</v>
      </c>
      <c r="BX783" s="5" t="n">
        <v>0</v>
      </c>
      <c r="BY783" s="5" t="n">
        <v>12.729</v>
      </c>
      <c r="BZ783" s="5" t="n">
        <v>0</v>
      </c>
      <c r="CA783" s="5" t="n">
        <v>12.729</v>
      </c>
      <c r="CB783" s="5" t="n">
        <v>0</v>
      </c>
      <c r="CC783" s="5" t="n">
        <v>97.90000000000001</v>
      </c>
      <c r="CD783" s="5" t="n">
        <v>7.95</v>
      </c>
      <c r="CE783" s="5" t="n">
        <v>75.864</v>
      </c>
      <c r="CF783" s="5" t="n">
        <v>205.042</v>
      </c>
      <c r="CG783" s="5" t="n">
        <v>0.18</v>
      </c>
      <c r="CH783" s="5" t="n">
        <v>1</v>
      </c>
      <c r="CI783" s="5" t="n">
        <v>0</v>
      </c>
      <c r="CJ783" s="5" t="n">
        <v>0</v>
      </c>
      <c r="CK783" s="5" t="n">
        <v>0</v>
      </c>
      <c r="CL783" s="5" t="n">
        <v>0</v>
      </c>
      <c r="CM783" s="5" t="n">
        <v>0</v>
      </c>
      <c r="CN783" s="5" t="n">
        <v>0</v>
      </c>
      <c r="CO783" s="5" t="n">
        <v>0</v>
      </c>
      <c r="CP783" s="5" t="n">
        <v>1</v>
      </c>
      <c r="CQ783" s="5" t="n">
        <v>1.294</v>
      </c>
      <c r="CR783" s="5" t="n">
        <v>1</v>
      </c>
      <c r="CS783" s="5" t="n">
        <v>1.642</v>
      </c>
      <c r="CT783" s="5" t="n">
        <v>10.485</v>
      </c>
      <c r="CU783" s="5" t="n">
        <v>31.326</v>
      </c>
    </row>
    <row r="784">
      <c r="A784" s="5" t="inlineStr">
        <is>
          <t>TZA2023</t>
        </is>
      </c>
      <c r="B784" s="5" t="inlineStr">
        <is>
          <t>TZA</t>
        </is>
      </c>
      <c r="C784" s="5" t="inlineStr">
        <is>
          <t>TZA</t>
        </is>
      </c>
      <c r="D784" s="5" t="inlineStr">
        <is>
          <t>Tanzania</t>
        </is>
      </c>
      <c r="E784" s="5" t="n">
        <v>2023</v>
      </c>
      <c r="F784" s="5" t="n">
        <v>0.18</v>
      </c>
      <c r="G784" s="5" t="n">
        <v>1.99</v>
      </c>
      <c r="H784" s="5" t="n">
        <v>0.643</v>
      </c>
      <c r="I784" s="5" t="n">
        <v>0</v>
      </c>
      <c r="J784" s="5" t="n">
        <v>1.99</v>
      </c>
      <c r="K784" s="5" t="n">
        <v>0</v>
      </c>
      <c r="L784" s="5" t="n">
        <v>1</v>
      </c>
      <c r="M784" s="5" t="n">
        <v>3.276</v>
      </c>
      <c r="N784" s="5" t="n">
        <v>1.928</v>
      </c>
      <c r="O784" s="5" t="n">
        <v>0</v>
      </c>
      <c r="P784" s="5" t="n">
        <v>3.276</v>
      </c>
      <c r="Q784" s="5" t="n">
        <v>0</v>
      </c>
      <c r="R784" s="5" t="n">
        <v>1</v>
      </c>
      <c r="S784" s="5" t="n">
        <v>5.205</v>
      </c>
      <c r="T784" s="5" t="n">
        <v>3.857</v>
      </c>
      <c r="U784" s="5" t="n">
        <v>0.104</v>
      </c>
      <c r="V784" s="5" t="n">
        <v>6.141</v>
      </c>
      <c r="W784" s="5" t="n">
        <v>0.18</v>
      </c>
      <c r="X784" s="5" t="n">
        <v>1</v>
      </c>
      <c r="Y784" s="5" t="n">
        <v>2.352</v>
      </c>
      <c r="Z784" s="5" t="n">
        <v>0.173</v>
      </c>
      <c r="AA784" s="5" t="n">
        <v>2.122</v>
      </c>
      <c r="AB784" s="5" t="n">
        <v>4.474</v>
      </c>
      <c r="AC784" s="5" t="n">
        <v>0</v>
      </c>
      <c r="AD784" s="5" t="n">
        <v>1</v>
      </c>
      <c r="AE784" s="5" t="n">
        <v>2.995</v>
      </c>
      <c r="AF784" s="5" t="n">
        <v>0.405</v>
      </c>
      <c r="AG784" s="5" t="n">
        <v>4.815</v>
      </c>
      <c r="AH784" s="5" t="n">
        <v>7.81</v>
      </c>
      <c r="AI784" s="5" t="n">
        <v>0</v>
      </c>
      <c r="AJ784" s="5" t="n">
        <v>1</v>
      </c>
      <c r="AK784" s="5" t="n">
        <v>6.852</v>
      </c>
      <c r="AL784" s="5" t="n">
        <v>2.546</v>
      </c>
      <c r="AM784" s="5" t="n">
        <v>4.256</v>
      </c>
      <c r="AN784" s="5" t="n">
        <v>13.107</v>
      </c>
      <c r="AO784" s="5" t="n">
        <v>0.18</v>
      </c>
      <c r="AP784" s="5" t="n">
        <v>1</v>
      </c>
      <c r="AQ784" s="5" t="n">
        <v>0.76</v>
      </c>
      <c r="AR784" s="5" t="n">
        <v>0.129</v>
      </c>
      <c r="AS784" s="5" t="n">
        <v>0.503</v>
      </c>
      <c r="AT784" s="5" t="n">
        <v>1.264</v>
      </c>
      <c r="AU784" s="5" t="n">
        <v>0</v>
      </c>
      <c r="AV784" s="5" t="n">
        <v>1</v>
      </c>
      <c r="AW784" s="5" t="n">
        <v>0.8110000000000001</v>
      </c>
      <c r="AX784" s="5" t="n">
        <v>0.129</v>
      </c>
      <c r="AY784" s="5" t="n">
        <v>0.531</v>
      </c>
      <c r="AZ784" s="5" t="n">
        <v>1.342</v>
      </c>
      <c r="BA784" s="5" t="n">
        <v>0</v>
      </c>
      <c r="BB784" s="5" t="n">
        <v>1</v>
      </c>
      <c r="BC784" s="5" t="n">
        <v>0.535</v>
      </c>
      <c r="BD784" s="5" t="n">
        <v>0.129</v>
      </c>
      <c r="BE784" s="5" t="n">
        <v>0.011</v>
      </c>
      <c r="BF784" s="5" t="n">
        <v>0.631</v>
      </c>
      <c r="BG784" s="5" t="n">
        <v>0.18</v>
      </c>
      <c r="BH784" s="5" t="n">
        <v>1</v>
      </c>
      <c r="BI784" s="5" t="n">
        <v>0.579</v>
      </c>
      <c r="BJ784" s="5" t="n">
        <v>0.129</v>
      </c>
      <c r="BK784" s="5" t="n">
        <v>0.754</v>
      </c>
      <c r="BL784" s="5" t="n">
        <v>1.334</v>
      </c>
      <c r="BM784" s="5" t="n">
        <v>0</v>
      </c>
      <c r="BN784" s="5" t="n">
        <v>1</v>
      </c>
      <c r="BO784" s="5" t="n">
        <v>0</v>
      </c>
      <c r="BP784" s="5" t="n">
        <v>0.014</v>
      </c>
      <c r="BQ784" s="5" t="n">
        <v>0.065</v>
      </c>
      <c r="BR784" s="5" t="n">
        <v>0</v>
      </c>
      <c r="BS784" s="5" t="n">
        <v>0</v>
      </c>
      <c r="BT784" s="5" t="n">
        <v>0</v>
      </c>
      <c r="BU784" s="5" t="n">
        <v>0.022</v>
      </c>
      <c r="BV784" s="5" t="n">
        <v>0.098</v>
      </c>
      <c r="BW784" s="5" t="n">
        <v>0.18</v>
      </c>
      <c r="BX784" s="5" t="n">
        <v>0</v>
      </c>
      <c r="BY784" s="5" t="n">
        <v>13.254</v>
      </c>
      <c r="BZ784" s="5" t="n">
        <v>0</v>
      </c>
      <c r="CA784" s="5" t="n">
        <v>13.254</v>
      </c>
      <c r="CB784" s="5" t="n">
        <v>0</v>
      </c>
      <c r="CC784" s="5" t="n">
        <v>83.248</v>
      </c>
      <c r="CD784" s="5" t="n">
        <v>7.95</v>
      </c>
      <c r="CE784" s="5" t="n">
        <v>85.849</v>
      </c>
      <c r="CF784" s="5" t="n">
        <v>199.534</v>
      </c>
      <c r="CG784" s="5" t="n">
        <v>0.18</v>
      </c>
      <c r="CH784" s="5" t="n">
        <v>1</v>
      </c>
      <c r="CI784" s="5" t="n">
        <v>0</v>
      </c>
      <c r="CJ784" s="5" t="n">
        <v>0</v>
      </c>
      <c r="CK784" s="5" t="n">
        <v>0</v>
      </c>
      <c r="CL784" s="5" t="n">
        <v>0</v>
      </c>
      <c r="CM784" s="5" t="n">
        <v>0</v>
      </c>
      <c r="CN784" s="5" t="n">
        <v>0</v>
      </c>
      <c r="CO784" s="5" t="n">
        <v>0</v>
      </c>
      <c r="CP784" s="5" t="n">
        <v>1</v>
      </c>
      <c r="CQ784" s="5" t="n">
        <v>1.348</v>
      </c>
      <c r="CR784" s="5" t="n">
        <v>1</v>
      </c>
      <c r="CS784" s="5" t="n">
        <v>1.71</v>
      </c>
      <c r="CT784" s="5" t="n">
        <v>4.861</v>
      </c>
      <c r="CU784" s="5" t="n">
        <v>11.622</v>
      </c>
    </row>
    <row r="785">
      <c r="A785" s="5" t="inlineStr">
        <is>
          <t>TZA2024</t>
        </is>
      </c>
      <c r="B785" s="5" t="inlineStr">
        <is>
          <t>TZA</t>
        </is>
      </c>
      <c r="C785" s="5" t="inlineStr">
        <is>
          <t>TZA</t>
        </is>
      </c>
      <c r="D785" s="5" t="inlineStr">
        <is>
          <t>Tanzania</t>
        </is>
      </c>
      <c r="E785" s="5" t="n">
        <v>2024</v>
      </c>
      <c r="F785" s="5" t="n">
        <v>0.18</v>
      </c>
      <c r="G785" s="5" t="n">
        <v>2.049</v>
      </c>
      <c r="H785" s="5" t="n">
        <v>0.662</v>
      </c>
      <c r="I785" s="5" t="n">
        <v>0</v>
      </c>
      <c r="J785" s="5" t="n">
        <v>2.049</v>
      </c>
      <c r="K785" s="5" t="n">
        <v>0</v>
      </c>
      <c r="L785" s="5" t="n">
        <v>1</v>
      </c>
      <c r="M785" s="5" t="n">
        <v>3.373</v>
      </c>
      <c r="N785" s="5" t="n">
        <v>1.985</v>
      </c>
      <c r="O785" s="5" t="n">
        <v>0</v>
      </c>
      <c r="P785" s="5" t="n">
        <v>3.373</v>
      </c>
      <c r="Q785" s="5" t="n">
        <v>0</v>
      </c>
      <c r="R785" s="5" t="n">
        <v>1</v>
      </c>
      <c r="S785" s="5" t="n">
        <v>5.358</v>
      </c>
      <c r="T785" s="5" t="n">
        <v>3.971</v>
      </c>
      <c r="U785" s="5" t="n">
        <v>0.131</v>
      </c>
      <c r="V785" s="5" t="n">
        <v>6.323</v>
      </c>
      <c r="W785" s="5" t="n">
        <v>0.18</v>
      </c>
      <c r="X785" s="5" t="n">
        <v>1</v>
      </c>
      <c r="Y785" s="5" t="n">
        <v>2.422</v>
      </c>
      <c r="Z785" s="5" t="n">
        <v>0.178</v>
      </c>
      <c r="AA785" s="5" t="n">
        <v>2.184</v>
      </c>
      <c r="AB785" s="5" t="n">
        <v>4.606</v>
      </c>
      <c r="AC785" s="5" t="n">
        <v>0</v>
      </c>
      <c r="AD785" s="5" t="n">
        <v>1</v>
      </c>
      <c r="AE785" s="5" t="n">
        <v>3.084</v>
      </c>
      <c r="AF785" s="5" t="n">
        <v>0.417</v>
      </c>
      <c r="AG785" s="5" t="n">
        <v>4.957</v>
      </c>
      <c r="AH785" s="5" t="n">
        <v>8.041</v>
      </c>
      <c r="AI785" s="5" t="n">
        <v>0</v>
      </c>
      <c r="AJ785" s="5" t="n">
        <v>1</v>
      </c>
      <c r="AK785" s="5" t="n">
        <v>7.054</v>
      </c>
      <c r="AL785" s="5" t="n">
        <v>2.621</v>
      </c>
      <c r="AM785" s="5" t="n">
        <v>4.662</v>
      </c>
      <c r="AN785" s="5" t="n">
        <v>13.494</v>
      </c>
      <c r="AO785" s="5" t="n">
        <v>0.18</v>
      </c>
      <c r="AP785" s="5" t="n">
        <v>1</v>
      </c>
      <c r="AQ785" s="5" t="n">
        <v>0.724</v>
      </c>
      <c r="AR785" s="5" t="n">
        <v>0.132</v>
      </c>
      <c r="AS785" s="5" t="n">
        <v>0.494</v>
      </c>
      <c r="AT785" s="5" t="n">
        <v>1.219</v>
      </c>
      <c r="AU785" s="5" t="n">
        <v>0</v>
      </c>
      <c r="AV785" s="5" t="n">
        <v>1</v>
      </c>
      <c r="AW785" s="5" t="n">
        <v>0.75</v>
      </c>
      <c r="AX785" s="5" t="n">
        <v>0.132</v>
      </c>
      <c r="AY785" s="5" t="n">
        <v>0.454</v>
      </c>
      <c r="AZ785" s="5" t="n">
        <v>1.204</v>
      </c>
      <c r="BA785" s="5" t="n">
        <v>0</v>
      </c>
      <c r="BB785" s="5" t="n">
        <v>1</v>
      </c>
      <c r="BC785" s="5" t="n">
        <v>0.513</v>
      </c>
      <c r="BD785" s="5" t="n">
        <v>0.132</v>
      </c>
      <c r="BE785" s="5" t="n">
        <v>0.013</v>
      </c>
      <c r="BF785" s="5" t="n">
        <v>0.605</v>
      </c>
      <c r="BG785" s="5" t="n">
        <v>0.18</v>
      </c>
      <c r="BH785" s="5" t="n">
        <v>1</v>
      </c>
      <c r="BI785" s="5" t="n">
        <v>0.591</v>
      </c>
      <c r="BJ785" s="5" t="n">
        <v>0.132</v>
      </c>
      <c r="BK785" s="5" t="n">
        <v>0.575</v>
      </c>
      <c r="BL785" s="5" t="n">
        <v>1.166</v>
      </c>
      <c r="BM785" s="5" t="n">
        <v>0</v>
      </c>
      <c r="BN785" s="5" t="n">
        <v>1</v>
      </c>
      <c r="BO785" s="5" t="n">
        <v>0</v>
      </c>
      <c r="BP785" s="5" t="n">
        <v>0.013</v>
      </c>
      <c r="BQ785" s="5" t="n">
        <v>0.06</v>
      </c>
      <c r="BR785" s="5" t="n">
        <v>0</v>
      </c>
      <c r="BS785" s="5" t="n">
        <v>0</v>
      </c>
      <c r="BT785" s="5" t="n">
        <v>0</v>
      </c>
      <c r="BU785" s="5" t="n">
        <v>0.02</v>
      </c>
      <c r="BV785" s="5" t="n">
        <v>0.09</v>
      </c>
      <c r="BW785" s="5" t="n">
        <v>0.18</v>
      </c>
      <c r="BX785" s="5" t="n">
        <v>0</v>
      </c>
      <c r="BY785" s="5" t="n">
        <v>13.646</v>
      </c>
      <c r="BZ785" s="5" t="n">
        <v>0</v>
      </c>
      <c r="CA785" s="5" t="n">
        <v>13.646</v>
      </c>
      <c r="CB785" s="5" t="n">
        <v>0</v>
      </c>
      <c r="CC785" s="5" t="n">
        <v>82.58799999999999</v>
      </c>
      <c r="CD785" s="5" t="n">
        <v>7.95</v>
      </c>
      <c r="CE785" s="5" t="n">
        <v>79.34099999999999</v>
      </c>
      <c r="CF785" s="5" t="n">
        <v>191.076</v>
      </c>
      <c r="CG785" s="5" t="n">
        <v>0.18</v>
      </c>
      <c r="CH785" s="5" t="n">
        <v>1</v>
      </c>
      <c r="CI785" s="5" t="n">
        <v>0</v>
      </c>
      <c r="CJ785" s="5" t="n">
        <v>0</v>
      </c>
      <c r="CK785" s="5" t="n">
        <v>0</v>
      </c>
      <c r="CL785" s="5" t="n">
        <v>0</v>
      </c>
      <c r="CM785" s="5" t="n">
        <v>0</v>
      </c>
      <c r="CN785" s="5" t="n">
        <v>0</v>
      </c>
      <c r="CO785" s="5" t="n">
        <v>0</v>
      </c>
      <c r="CP785" s="5" t="n">
        <v>1</v>
      </c>
      <c r="CQ785" s="5" t="n">
        <v>1.387</v>
      </c>
      <c r="CR785" s="5" t="n">
        <v>1</v>
      </c>
      <c r="CS785" s="5" t="n">
        <v>1.76</v>
      </c>
      <c r="CT785" s="5" t="n">
        <v>4.251</v>
      </c>
      <c r="CU785" s="5" t="n">
        <v>10.168</v>
      </c>
    </row>
    <row r="786">
      <c r="A786" s="5" t="inlineStr">
        <is>
          <t>THA2021</t>
        </is>
      </c>
      <c r="B786" s="5" t="inlineStr">
        <is>
          <t>THA</t>
        </is>
      </c>
      <c r="C786" s="5" t="inlineStr">
        <is>
          <t>THA</t>
        </is>
      </c>
      <c r="D786" s="5" t="inlineStr">
        <is>
          <t>Thailand</t>
        </is>
      </c>
      <c r="E786" s="5" t="n">
        <v>2021</v>
      </c>
      <c r="F786" s="5" t="n">
        <v>0.07000000000000001</v>
      </c>
      <c r="G786" s="5" t="n">
        <v>6.669</v>
      </c>
      <c r="H786" s="5" t="n">
        <v>1.143</v>
      </c>
      <c r="I786" s="5" t="n">
        <v>-0.86</v>
      </c>
      <c r="J786" s="5" t="n">
        <v>5.809</v>
      </c>
      <c r="K786" s="5" t="n">
        <v>0</v>
      </c>
      <c r="L786" s="5" t="n">
        <v>1</v>
      </c>
      <c r="M786" s="5" t="n">
        <v>7.964</v>
      </c>
      <c r="N786" s="5" t="n">
        <v>3.43</v>
      </c>
      <c r="O786" s="5" t="n">
        <v>-1.86</v>
      </c>
      <c r="P786" s="5" t="n">
        <v>6.104</v>
      </c>
      <c r="Q786" s="5" t="n">
        <v>0</v>
      </c>
      <c r="R786" s="5" t="n">
        <v>1</v>
      </c>
      <c r="S786" s="5" t="n">
        <v>10.464</v>
      </c>
      <c r="T786" s="5" t="n">
        <v>6.86</v>
      </c>
      <c r="U786" s="5" t="n">
        <v>-1.86</v>
      </c>
      <c r="V786" s="5" t="n">
        <v>9.206</v>
      </c>
      <c r="W786" s="5" t="n">
        <v>0.07000000000000001</v>
      </c>
      <c r="X786" s="5" t="n">
        <v>1</v>
      </c>
      <c r="Y786" s="5" t="n">
        <v>10.907</v>
      </c>
      <c r="Z786" s="5" t="n">
        <v>0.728</v>
      </c>
      <c r="AA786" s="5" t="n">
        <v>0</v>
      </c>
      <c r="AB786" s="5" t="n">
        <v>10.907</v>
      </c>
      <c r="AC786" s="5" t="n">
        <v>0</v>
      </c>
      <c r="AD786" s="5" t="n">
        <v>1</v>
      </c>
      <c r="AE786" s="5" t="n">
        <v>11.676</v>
      </c>
      <c r="AF786" s="5" t="n">
        <v>1.449</v>
      </c>
      <c r="AG786" s="5" t="n">
        <v>0</v>
      </c>
      <c r="AH786" s="5" t="n">
        <v>11.676</v>
      </c>
      <c r="AI786" s="5" t="n">
        <v>0</v>
      </c>
      <c r="AJ786" s="5" t="n">
        <v>1</v>
      </c>
      <c r="AK786" s="5" t="n">
        <v>14.754</v>
      </c>
      <c r="AL786" s="5" t="n">
        <v>7.241</v>
      </c>
      <c r="AM786" s="5" t="n">
        <v>-6.208</v>
      </c>
      <c r="AN786" s="5" t="n">
        <v>9.144</v>
      </c>
      <c r="AO786" s="5" t="n">
        <v>0</v>
      </c>
      <c r="AP786" s="5" t="n">
        <v>0</v>
      </c>
      <c r="AQ786" s="5" t="n">
        <v>0.621</v>
      </c>
      <c r="AR786" s="5" t="n">
        <v>0.114</v>
      </c>
      <c r="AS786" s="5" t="n">
        <v>0.21</v>
      </c>
      <c r="AT786" s="5" t="n">
        <v>0.889</v>
      </c>
      <c r="AU786" s="5" t="n">
        <v>0.07000000000000001</v>
      </c>
      <c r="AV786" s="5" t="n">
        <v>1</v>
      </c>
      <c r="AW786" s="5" t="n">
        <v>0.593</v>
      </c>
      <c r="AX786" s="5" t="n">
        <v>0.114</v>
      </c>
      <c r="AY786" s="5" t="n">
        <v>0.213</v>
      </c>
      <c r="AZ786" s="5" t="n">
        <v>0.862</v>
      </c>
      <c r="BA786" s="5" t="n">
        <v>0.07000000000000001</v>
      </c>
      <c r="BB786" s="5" t="n">
        <v>1</v>
      </c>
      <c r="BC786" s="5" t="n">
        <v>0.421</v>
      </c>
      <c r="BD786" s="5" t="n">
        <v>0.109</v>
      </c>
      <c r="BE786" s="5" t="n">
        <v>-0.123</v>
      </c>
      <c r="BF786" s="5" t="n">
        <v>0.319</v>
      </c>
      <c r="BG786" s="5" t="n">
        <v>0</v>
      </c>
      <c r="BH786" s="5" t="n">
        <v>1</v>
      </c>
      <c r="BI786" s="5" t="n">
        <v>0.5600000000000001</v>
      </c>
      <c r="BJ786" s="5" t="n">
        <v>0.114</v>
      </c>
      <c r="BK786" s="5" t="n">
        <v>-0.109</v>
      </c>
      <c r="BL786" s="5" t="n">
        <v>0.482</v>
      </c>
      <c r="BM786" s="5" t="n">
        <v>0.07000000000000001</v>
      </c>
      <c r="BN786" s="5" t="n">
        <v>1</v>
      </c>
      <c r="BO786" s="5" t="n">
        <v>0</v>
      </c>
      <c r="BP786" s="5" t="n">
        <v>0</v>
      </c>
      <c r="BQ786" s="5" t="n">
        <v>0.094</v>
      </c>
      <c r="BR786" s="5" t="n">
        <v>0</v>
      </c>
      <c r="BS786" s="5" t="n">
        <v>1</v>
      </c>
      <c r="BT786" s="5" t="n">
        <v>0</v>
      </c>
      <c r="BU786" s="5" t="n">
        <v>0</v>
      </c>
      <c r="BV786" s="5" t="n">
        <v>0.118</v>
      </c>
      <c r="BW786" s="5" t="n">
        <v>0.07000000000000001</v>
      </c>
      <c r="BX786" s="5" t="n">
        <v>0.833</v>
      </c>
      <c r="BY786" s="5" t="n">
        <v>11.787</v>
      </c>
      <c r="BZ786" s="5" t="n">
        <v>0</v>
      </c>
      <c r="CA786" s="5" t="n">
        <v>11.787</v>
      </c>
      <c r="CB786" s="5" t="n">
        <v>0</v>
      </c>
      <c r="CC786" s="5" t="n">
        <v>81.69499999999999</v>
      </c>
      <c r="CD786" s="5" t="n">
        <v>7.95</v>
      </c>
      <c r="CE786" s="5" t="n">
        <v>37.903</v>
      </c>
      <c r="CF786" s="5" t="n">
        <v>127.971</v>
      </c>
      <c r="CG786" s="5" t="n">
        <v>0.07000000000000001</v>
      </c>
      <c r="CH786" s="5" t="n">
        <v>1</v>
      </c>
      <c r="CI786" s="5" t="n">
        <v>0</v>
      </c>
      <c r="CJ786" s="5" t="n">
        <v>0</v>
      </c>
      <c r="CK786" s="5" t="n">
        <v>0</v>
      </c>
      <c r="CL786" s="5" t="n">
        <v>0</v>
      </c>
      <c r="CM786" s="5" t="n">
        <v>0</v>
      </c>
      <c r="CN786" s="5" t="n">
        <v>0</v>
      </c>
      <c r="CO786" s="5" t="n">
        <v>0</v>
      </c>
      <c r="CP786" s="5" t="n">
        <v>0</v>
      </c>
      <c r="CQ786" s="5" t="n">
        <v>1.198</v>
      </c>
      <c r="CR786" s="5" t="n">
        <v>0.654</v>
      </c>
      <c r="CS786" s="5" t="n">
        <v>7.139</v>
      </c>
      <c r="CT786" s="5" t="n">
        <v>3.604</v>
      </c>
      <c r="CU786" s="5" t="n">
        <v>20.842</v>
      </c>
    </row>
    <row r="787">
      <c r="A787" s="5" t="inlineStr">
        <is>
          <t>THA2022</t>
        </is>
      </c>
      <c r="B787" s="5" t="inlineStr">
        <is>
          <t>THA</t>
        </is>
      </c>
      <c r="C787" s="5" t="inlineStr">
        <is>
          <t>THA</t>
        </is>
      </c>
      <c r="D787" s="5" t="inlineStr">
        <is>
          <t>Thailand</t>
        </is>
      </c>
      <c r="E787" s="5" t="n">
        <v>2022</v>
      </c>
      <c r="F787" s="5" t="n">
        <v>0.07000000000000001</v>
      </c>
      <c r="G787" s="5" t="n">
        <v>9.582000000000001</v>
      </c>
      <c r="H787" s="5" t="n">
        <v>1.12</v>
      </c>
      <c r="I787" s="5" t="n">
        <v>-0.6889999999999999</v>
      </c>
      <c r="J787" s="5" t="n">
        <v>8.893000000000001</v>
      </c>
      <c r="K787" s="5" t="n">
        <v>0</v>
      </c>
      <c r="L787" s="5" t="n">
        <v>1</v>
      </c>
      <c r="M787" s="5" t="n">
        <v>8.545999999999999</v>
      </c>
      <c r="N787" s="5" t="n">
        <v>3.359</v>
      </c>
      <c r="O787" s="5" t="n">
        <v>-1.769</v>
      </c>
      <c r="P787" s="5" t="n">
        <v>6.777</v>
      </c>
      <c r="Q787" s="5" t="n">
        <v>0</v>
      </c>
      <c r="R787" s="5" t="n">
        <v>1</v>
      </c>
      <c r="S787" s="5" t="n">
        <v>13.105</v>
      </c>
      <c r="T787" s="5" t="n">
        <v>6.718</v>
      </c>
      <c r="U787" s="5" t="n">
        <v>-1.71</v>
      </c>
      <c r="V787" s="5" t="n">
        <v>12.13</v>
      </c>
      <c r="W787" s="5" t="n">
        <v>0.07000000000000001</v>
      </c>
      <c r="X787" s="5" t="n">
        <v>1</v>
      </c>
      <c r="Y787" s="5" t="n">
        <v>17.559</v>
      </c>
      <c r="Z787" s="5" t="n">
        <v>1.172</v>
      </c>
      <c r="AA787" s="5" t="n">
        <v>-3.802</v>
      </c>
      <c r="AB787" s="5" t="n">
        <v>13.757</v>
      </c>
      <c r="AC787" s="5" t="n">
        <v>0</v>
      </c>
      <c r="AD787" s="5" t="n">
        <v>1</v>
      </c>
      <c r="AE787" s="5" t="n">
        <v>18.419</v>
      </c>
      <c r="AF787" s="5" t="n">
        <v>2.286</v>
      </c>
      <c r="AG787" s="5" t="n">
        <v>-3.802</v>
      </c>
      <c r="AH787" s="5" t="n">
        <v>14.617</v>
      </c>
      <c r="AI787" s="5" t="n">
        <v>0</v>
      </c>
      <c r="AJ787" s="5" t="n">
        <v>1</v>
      </c>
      <c r="AK787" s="5" t="n">
        <v>21.86</v>
      </c>
      <c r="AL787" s="5" t="n">
        <v>10.439</v>
      </c>
      <c r="AM787" s="5" t="n">
        <v>-13.276</v>
      </c>
      <c r="AN787" s="5" t="n">
        <v>9.185</v>
      </c>
      <c r="AO787" s="5" t="n">
        <v>0</v>
      </c>
      <c r="AP787" s="5" t="n">
        <v>0</v>
      </c>
      <c r="AQ787" s="5" t="n">
        <v>0.847</v>
      </c>
      <c r="AR787" s="5" t="n">
        <v>0.123</v>
      </c>
      <c r="AS787" s="5" t="n">
        <v>0.156</v>
      </c>
      <c r="AT787" s="5" t="n">
        <v>1.073</v>
      </c>
      <c r="AU787" s="5" t="n">
        <v>0.07000000000000001</v>
      </c>
      <c r="AV787" s="5" t="n">
        <v>1</v>
      </c>
      <c r="AW787" s="5" t="n">
        <v>0.947</v>
      </c>
      <c r="AX787" s="5" t="n">
        <v>0.123</v>
      </c>
      <c r="AY787" s="5" t="n">
        <v>-0.034</v>
      </c>
      <c r="AZ787" s="5" t="n">
        <v>0.977</v>
      </c>
      <c r="BA787" s="5" t="n">
        <v>0.07000000000000001</v>
      </c>
      <c r="BB787" s="5" t="n">
        <v>1</v>
      </c>
      <c r="BC787" s="5" t="n">
        <v>0.473</v>
      </c>
      <c r="BD787" s="5" t="n">
        <v>0.098</v>
      </c>
      <c r="BE787" s="5" t="n">
        <v>-0.155</v>
      </c>
      <c r="BF787" s="5" t="n">
        <v>0.341</v>
      </c>
      <c r="BG787" s="5" t="n">
        <v>0</v>
      </c>
      <c r="BH787" s="5" t="n">
        <v>1</v>
      </c>
      <c r="BI787" s="5" t="n">
        <v>0.6889999999999999</v>
      </c>
      <c r="BJ787" s="5" t="n">
        <v>0.123</v>
      </c>
      <c r="BK787" s="5" t="n">
        <v>0.066</v>
      </c>
      <c r="BL787" s="5" t="n">
        <v>0.8080000000000001</v>
      </c>
      <c r="BM787" s="5" t="n">
        <v>0.07000000000000001</v>
      </c>
      <c r="BN787" s="5" t="n">
        <v>1</v>
      </c>
      <c r="BO787" s="5" t="n">
        <v>0</v>
      </c>
      <c r="BP787" s="5" t="n">
        <v>-0.034</v>
      </c>
      <c r="BQ787" s="5" t="n">
        <v>0.099</v>
      </c>
      <c r="BR787" s="5" t="n">
        <v>0</v>
      </c>
      <c r="BS787" s="5" t="n">
        <v>1</v>
      </c>
      <c r="BT787" s="5" t="n">
        <v>0</v>
      </c>
      <c r="BU787" s="5" t="n">
        <v>-0.034</v>
      </c>
      <c r="BV787" s="5" t="n">
        <v>0.121</v>
      </c>
      <c r="BW787" s="5" t="n">
        <v>0.07000000000000001</v>
      </c>
      <c r="BX787" s="5" t="n">
        <v>0.833</v>
      </c>
      <c r="BY787" s="5" t="n">
        <v>12.729</v>
      </c>
      <c r="BZ787" s="5" t="n">
        <v>0</v>
      </c>
      <c r="CA787" s="5" t="n">
        <v>12.729</v>
      </c>
      <c r="CB787" s="5" t="n">
        <v>0</v>
      </c>
      <c r="CC787" s="5" t="n">
        <v>102.477</v>
      </c>
      <c r="CD787" s="5" t="n">
        <v>7.95</v>
      </c>
      <c r="CE787" s="5" t="n">
        <v>37.759</v>
      </c>
      <c r="CF787" s="5" t="n">
        <v>149.279</v>
      </c>
      <c r="CG787" s="5" t="n">
        <v>0.07000000000000001</v>
      </c>
      <c r="CH787" s="5" t="n">
        <v>1</v>
      </c>
      <c r="CI787" s="5" t="n">
        <v>0</v>
      </c>
      <c r="CJ787" s="5" t="n">
        <v>0</v>
      </c>
      <c r="CK787" s="5" t="n">
        <v>0</v>
      </c>
      <c r="CL787" s="5" t="n">
        <v>0</v>
      </c>
      <c r="CM787" s="5" t="n">
        <v>0</v>
      </c>
      <c r="CN787" s="5" t="n">
        <v>0</v>
      </c>
      <c r="CO787" s="5" t="n">
        <v>0</v>
      </c>
      <c r="CP787" s="5" t="n">
        <v>0.186</v>
      </c>
      <c r="CQ787" s="5" t="n">
        <v>1.294</v>
      </c>
      <c r="CR787" s="5" t="n">
        <v>0.606</v>
      </c>
      <c r="CS787" s="5" t="n">
        <v>7.71</v>
      </c>
      <c r="CT787" s="5" t="n">
        <v>7.554</v>
      </c>
      <c r="CU787" s="5" t="n">
        <v>37.311</v>
      </c>
    </row>
    <row r="788">
      <c r="A788" s="5" t="inlineStr">
        <is>
          <t>THA2023</t>
        </is>
      </c>
      <c r="B788" s="5" t="inlineStr">
        <is>
          <t>THA</t>
        </is>
      </c>
      <c r="C788" s="5" t="inlineStr">
        <is>
          <t>THA</t>
        </is>
      </c>
      <c r="D788" s="5" t="inlineStr">
        <is>
          <t>Thailand</t>
        </is>
      </c>
      <c r="E788" s="5" t="n">
        <v>2023</v>
      </c>
      <c r="F788" s="5" t="n">
        <v>0.07000000000000001</v>
      </c>
      <c r="G788" s="5" t="n">
        <v>7.144</v>
      </c>
      <c r="H788" s="5" t="n">
        <v>1.152</v>
      </c>
      <c r="I788" s="5" t="n">
        <v>0.5600000000000001</v>
      </c>
      <c r="J788" s="5" t="n">
        <v>7.704</v>
      </c>
      <c r="K788" s="5" t="n">
        <v>0</v>
      </c>
      <c r="L788" s="5" t="n">
        <v>1</v>
      </c>
      <c r="M788" s="5" t="n">
        <v>6.926</v>
      </c>
      <c r="N788" s="5" t="n">
        <v>3.455</v>
      </c>
      <c r="O788" s="5" t="n">
        <v>-0.5649999999999999</v>
      </c>
      <c r="P788" s="5" t="n">
        <v>6.362</v>
      </c>
      <c r="Q788" s="5" t="n">
        <v>0</v>
      </c>
      <c r="R788" s="5" t="n">
        <v>1</v>
      </c>
      <c r="S788" s="5" t="n">
        <v>10.742</v>
      </c>
      <c r="T788" s="5" t="n">
        <v>6.911</v>
      </c>
      <c r="U788" s="5" t="n">
        <v>-0.486</v>
      </c>
      <c r="V788" s="5" t="n">
        <v>10.89</v>
      </c>
      <c r="W788" s="5" t="n">
        <v>0.07000000000000001</v>
      </c>
      <c r="X788" s="5" t="n">
        <v>1</v>
      </c>
      <c r="Y788" s="5" t="n">
        <v>11.311</v>
      </c>
      <c r="Z788" s="5" t="n">
        <v>0.755</v>
      </c>
      <c r="AA788" s="5" t="n">
        <v>-0.851</v>
      </c>
      <c r="AB788" s="5" t="n">
        <v>10.459</v>
      </c>
      <c r="AC788" s="5" t="n">
        <v>0</v>
      </c>
      <c r="AD788" s="5" t="n">
        <v>1</v>
      </c>
      <c r="AE788" s="5" t="n">
        <v>12.246</v>
      </c>
      <c r="AF788" s="5" t="n">
        <v>1.52</v>
      </c>
      <c r="AG788" s="5" t="n">
        <v>-0.851</v>
      </c>
      <c r="AH788" s="5" t="n">
        <v>11.395</v>
      </c>
      <c r="AI788" s="5" t="n">
        <v>0</v>
      </c>
      <c r="AJ788" s="5" t="n">
        <v>1</v>
      </c>
      <c r="AK788" s="5" t="n">
        <v>15.99</v>
      </c>
      <c r="AL788" s="5" t="n">
        <v>7.921</v>
      </c>
      <c r="AM788" s="5" t="n">
        <v>-6.148</v>
      </c>
      <c r="AN788" s="5" t="n">
        <v>10.531</v>
      </c>
      <c r="AO788" s="5" t="n">
        <v>0</v>
      </c>
      <c r="AP788" s="5" t="n">
        <v>0</v>
      </c>
      <c r="AQ788" s="5" t="n">
        <v>0.749</v>
      </c>
      <c r="AR788" s="5" t="n">
        <v>0.129</v>
      </c>
      <c r="AS788" s="5" t="n">
        <v>0.23</v>
      </c>
      <c r="AT788" s="5" t="n">
        <v>1.047</v>
      </c>
      <c r="AU788" s="5" t="n">
        <v>0.07000000000000001</v>
      </c>
      <c r="AV788" s="5" t="n">
        <v>1</v>
      </c>
      <c r="AW788" s="5" t="n">
        <v>0.783</v>
      </c>
      <c r="AX788" s="5" t="n">
        <v>0.129</v>
      </c>
      <c r="AY788" s="5" t="n">
        <v>0.107</v>
      </c>
      <c r="AZ788" s="5" t="n">
        <v>0.952</v>
      </c>
      <c r="BA788" s="5" t="n">
        <v>0.07000000000000001</v>
      </c>
      <c r="BB788" s="5" t="n">
        <v>1</v>
      </c>
      <c r="BC788" s="5" t="n">
        <v>0.41</v>
      </c>
      <c r="BD788" s="5" t="n">
        <v>0.098</v>
      </c>
      <c r="BE788" s="5" t="n">
        <v>-0.037</v>
      </c>
      <c r="BF788" s="5" t="n">
        <v>0.399</v>
      </c>
      <c r="BG788" s="5" t="n">
        <v>0</v>
      </c>
      <c r="BH788" s="5" t="n">
        <v>1</v>
      </c>
      <c r="BI788" s="5" t="n">
        <v>0.64</v>
      </c>
      <c r="BJ788" s="5" t="n">
        <v>0.129</v>
      </c>
      <c r="BK788" s="5" t="n">
        <v>-0.012</v>
      </c>
      <c r="BL788" s="5" t="n">
        <v>0.671</v>
      </c>
      <c r="BM788" s="5" t="n">
        <v>0.07000000000000001</v>
      </c>
      <c r="BN788" s="5" t="n">
        <v>1</v>
      </c>
      <c r="BO788" s="5" t="n">
        <v>0</v>
      </c>
      <c r="BP788" s="5" t="n">
        <v>0</v>
      </c>
      <c r="BQ788" s="5" t="n">
        <v>0.116</v>
      </c>
      <c r="BR788" s="5" t="n">
        <v>0</v>
      </c>
      <c r="BS788" s="5" t="n">
        <v>1</v>
      </c>
      <c r="BT788" s="5" t="n">
        <v>0</v>
      </c>
      <c r="BU788" s="5" t="n">
        <v>0</v>
      </c>
      <c r="BV788" s="5" t="n">
        <v>0.133</v>
      </c>
      <c r="BW788" s="5" t="n">
        <v>0.07000000000000001</v>
      </c>
      <c r="BX788" s="5" t="n">
        <v>0.833</v>
      </c>
      <c r="BY788" s="5" t="n">
        <v>13.254</v>
      </c>
      <c r="BZ788" s="5" t="n">
        <v>0</v>
      </c>
      <c r="CA788" s="5" t="n">
        <v>13.254</v>
      </c>
      <c r="CB788" s="5" t="n">
        <v>0</v>
      </c>
      <c r="CC788" s="5" t="n">
        <v>87.07899999999999</v>
      </c>
      <c r="CD788" s="5" t="n">
        <v>7.95</v>
      </c>
      <c r="CE788" s="5" t="n">
        <v>44.946</v>
      </c>
      <c r="CF788" s="5" t="n">
        <v>140.181</v>
      </c>
      <c r="CG788" s="5" t="n">
        <v>0.07000000000000001</v>
      </c>
      <c r="CH788" s="5" t="n">
        <v>1</v>
      </c>
      <c r="CI788" s="5" t="n">
        <v>0</v>
      </c>
      <c r="CJ788" s="5" t="n">
        <v>0</v>
      </c>
      <c r="CK788" s="5" t="n">
        <v>0</v>
      </c>
      <c r="CL788" s="5" t="n">
        <v>0</v>
      </c>
      <c r="CM788" s="5" t="n">
        <v>0</v>
      </c>
      <c r="CN788" s="5" t="n">
        <v>0</v>
      </c>
      <c r="CO788" s="5" t="n">
        <v>0</v>
      </c>
      <c r="CP788" s="5" t="n">
        <v>0.208</v>
      </c>
      <c r="CQ788" s="5" t="n">
        <v>1.348</v>
      </c>
      <c r="CR788" s="5" t="n">
        <v>0.544</v>
      </c>
      <c r="CS788" s="5" t="n">
        <v>8.028</v>
      </c>
      <c r="CT788" s="5" t="n">
        <v>4.484</v>
      </c>
      <c r="CU788" s="5" t="n">
        <v>15.087</v>
      </c>
    </row>
    <row r="789">
      <c r="A789" s="5" t="inlineStr">
        <is>
          <t>THA2024</t>
        </is>
      </c>
      <c r="B789" s="5" t="inlineStr">
        <is>
          <t>THA</t>
        </is>
      </c>
      <c r="C789" s="5" t="inlineStr">
        <is>
          <t>THA</t>
        </is>
      </c>
      <c r="D789" s="5" t="inlineStr">
        <is>
          <t>Thailand</t>
        </is>
      </c>
      <c r="E789" s="5" t="n">
        <v>2024</v>
      </c>
      <c r="F789" s="5" t="n">
        <v>0.07000000000000001</v>
      </c>
      <c r="G789" s="5" t="n">
        <v>6.478</v>
      </c>
      <c r="H789" s="5" t="n">
        <v>1.186</v>
      </c>
      <c r="I789" s="5" t="n">
        <v>0.641</v>
      </c>
      <c r="J789" s="5" t="n">
        <v>7.119</v>
      </c>
      <c r="K789" s="5" t="n">
        <v>0</v>
      </c>
      <c r="L789" s="5" t="n">
        <v>1</v>
      </c>
      <c r="M789" s="5" t="n">
        <v>6.343</v>
      </c>
      <c r="N789" s="5" t="n">
        <v>3.557</v>
      </c>
      <c r="O789" s="5" t="n">
        <v>-0.517</v>
      </c>
      <c r="P789" s="5" t="n">
        <v>5.826</v>
      </c>
      <c r="Q789" s="5" t="n">
        <v>0</v>
      </c>
      <c r="R789" s="5" t="n">
        <v>1</v>
      </c>
      <c r="S789" s="5" t="n">
        <v>10.182</v>
      </c>
      <c r="T789" s="5" t="n">
        <v>7.115</v>
      </c>
      <c r="U789" s="5" t="n">
        <v>-0.425</v>
      </c>
      <c r="V789" s="5" t="n">
        <v>10.342</v>
      </c>
      <c r="W789" s="5" t="n">
        <v>0.07000000000000001</v>
      </c>
      <c r="X789" s="5" t="n">
        <v>1</v>
      </c>
      <c r="Y789" s="5" t="n">
        <v>10.691</v>
      </c>
      <c r="Z789" s="5" t="n">
        <v>0.713</v>
      </c>
      <c r="AA789" s="5" t="n">
        <v>-0.78</v>
      </c>
      <c r="AB789" s="5" t="n">
        <v>9.911</v>
      </c>
      <c r="AC789" s="5" t="n">
        <v>0</v>
      </c>
      <c r="AD789" s="5" t="n">
        <v>1</v>
      </c>
      <c r="AE789" s="5" t="n">
        <v>11.654</v>
      </c>
      <c r="AF789" s="5" t="n">
        <v>1.446</v>
      </c>
      <c r="AG789" s="5" t="n">
        <v>-0.78</v>
      </c>
      <c r="AH789" s="5" t="n">
        <v>10.875</v>
      </c>
      <c r="AI789" s="5" t="n">
        <v>0</v>
      </c>
      <c r="AJ789" s="5" t="n">
        <v>1</v>
      </c>
      <c r="AK789" s="5" t="n">
        <v>14.027</v>
      </c>
      <c r="AL789" s="5" t="n">
        <v>7.134</v>
      </c>
      <c r="AM789" s="5" t="n">
        <v>-4.13</v>
      </c>
      <c r="AN789" s="5" t="n">
        <v>10.589</v>
      </c>
      <c r="AO789" s="5" t="n">
        <v>0</v>
      </c>
      <c r="AP789" s="5" t="n">
        <v>0</v>
      </c>
      <c r="AQ789" s="5" t="n">
        <v>0.72</v>
      </c>
      <c r="AR789" s="5" t="n">
        <v>0.132</v>
      </c>
      <c r="AS789" s="5" t="n">
        <v>0.258</v>
      </c>
      <c r="AT789" s="5" t="n">
        <v>1.046</v>
      </c>
      <c r="AU789" s="5" t="n">
        <v>0.07000000000000001</v>
      </c>
      <c r="AV789" s="5" t="n">
        <v>1</v>
      </c>
      <c r="AW789" s="5" t="n">
        <v>0.734</v>
      </c>
      <c r="AX789" s="5" t="n">
        <v>0.132</v>
      </c>
      <c r="AY789" s="5" t="n">
        <v>0.154</v>
      </c>
      <c r="AZ789" s="5" t="n">
        <v>0.95</v>
      </c>
      <c r="BA789" s="5" t="n">
        <v>0.07000000000000001</v>
      </c>
      <c r="BB789" s="5" t="n">
        <v>1</v>
      </c>
      <c r="BC789" s="5" t="n">
        <v>0.407</v>
      </c>
      <c r="BD789" s="5" t="n">
        <v>0.105</v>
      </c>
      <c r="BE789" s="5" t="n">
        <v>-0.037</v>
      </c>
      <c r="BF789" s="5" t="n">
        <v>0.396</v>
      </c>
      <c r="BG789" s="5" t="n">
        <v>0</v>
      </c>
      <c r="BH789" s="5" t="n">
        <v>1</v>
      </c>
      <c r="BI789" s="5" t="n">
        <v>0.652</v>
      </c>
      <c r="BJ789" s="5" t="n">
        <v>0.132</v>
      </c>
      <c r="BK789" s="5" t="n">
        <v>-0.006</v>
      </c>
      <c r="BL789" s="5" t="n">
        <v>0.6850000000000001</v>
      </c>
      <c r="BM789" s="5" t="n">
        <v>0.07000000000000001</v>
      </c>
      <c r="BN789" s="5" t="n">
        <v>1</v>
      </c>
      <c r="BO789" s="5" t="n">
        <v>0</v>
      </c>
      <c r="BP789" s="5" t="n">
        <v>0</v>
      </c>
      <c r="BQ789" s="5" t="n">
        <v>0.1</v>
      </c>
      <c r="BR789" s="5" t="n">
        <v>0</v>
      </c>
      <c r="BS789" s="5" t="n">
        <v>1</v>
      </c>
      <c r="BT789" s="5" t="n">
        <v>0</v>
      </c>
      <c r="BU789" s="5" t="n">
        <v>0</v>
      </c>
      <c r="BV789" s="5" t="n">
        <v>0.122</v>
      </c>
      <c r="BW789" s="5" t="n">
        <v>0.07000000000000001</v>
      </c>
      <c r="BX789" s="5" t="n">
        <v>0.833</v>
      </c>
      <c r="BY789" s="5" t="n">
        <v>13.646</v>
      </c>
      <c r="BZ789" s="5" t="n">
        <v>0</v>
      </c>
      <c r="CA789" s="5" t="n">
        <v>13.646</v>
      </c>
      <c r="CB789" s="5" t="n">
        <v>0</v>
      </c>
      <c r="CC789" s="5" t="n">
        <v>86.38500000000001</v>
      </c>
      <c r="CD789" s="5" t="n">
        <v>7.95</v>
      </c>
      <c r="CE789" s="5" t="n">
        <v>47.384</v>
      </c>
      <c r="CF789" s="5" t="n">
        <v>141.781</v>
      </c>
      <c r="CG789" s="5" t="n">
        <v>0.07000000000000001</v>
      </c>
      <c r="CH789" s="5" t="n">
        <v>1</v>
      </c>
      <c r="CI789" s="5" t="n">
        <v>0</v>
      </c>
      <c r="CJ789" s="5" t="n">
        <v>0</v>
      </c>
      <c r="CK789" s="5" t="n">
        <v>0</v>
      </c>
      <c r="CL789" s="5" t="n">
        <v>0</v>
      </c>
      <c r="CM789" s="5" t="n">
        <v>0</v>
      </c>
      <c r="CN789" s="5" t="n">
        <v>0</v>
      </c>
      <c r="CO789" s="5" t="n">
        <v>0</v>
      </c>
      <c r="CP789" s="5" t="n">
        <v>0.208</v>
      </c>
      <c r="CQ789" s="5" t="n">
        <v>1.387</v>
      </c>
      <c r="CR789" s="5" t="n">
        <v>0.544</v>
      </c>
      <c r="CS789" s="5" t="n">
        <v>8.265000000000001</v>
      </c>
      <c r="CT789" s="5" t="n">
        <v>3.509</v>
      </c>
      <c r="CU789" s="5" t="n">
        <v>13.12</v>
      </c>
    </row>
    <row r="790">
      <c r="A790" s="5" t="inlineStr">
        <is>
          <t>TLS2021</t>
        </is>
      </c>
      <c r="B790" s="5" t="inlineStr">
        <is>
          <t>TLS</t>
        </is>
      </c>
      <c r="C790" s="5" t="inlineStr">
        <is>
          <t>TLS</t>
        </is>
      </c>
      <c r="D790" s="5" t="inlineStr">
        <is>
          <t>Timor-Leste</t>
        </is>
      </c>
      <c r="E790" s="5" t="n">
        <v>2021</v>
      </c>
      <c r="F790" s="5" t="n">
        <v>0.025</v>
      </c>
      <c r="G790" s="5" t="n">
        <v>4.747</v>
      </c>
      <c r="H790" s="5" t="n">
        <v>1.143</v>
      </c>
      <c r="I790" s="5" t="n">
        <v>0</v>
      </c>
      <c r="J790" s="5" t="n">
        <v>4.747</v>
      </c>
      <c r="K790" s="5" t="n">
        <v>0</v>
      </c>
      <c r="L790" s="5" t="n">
        <v>1</v>
      </c>
      <c r="M790" s="5" t="n">
        <v>7.964</v>
      </c>
      <c r="N790" s="5" t="n">
        <v>3.43</v>
      </c>
      <c r="O790" s="5" t="n">
        <v>0</v>
      </c>
      <c r="P790" s="5" t="n">
        <v>7.964</v>
      </c>
      <c r="Q790" s="5" t="n">
        <v>0</v>
      </c>
      <c r="R790" s="5" t="n">
        <v>1</v>
      </c>
      <c r="S790" s="5" t="n">
        <v>10.464</v>
      </c>
      <c r="T790" s="5" t="n">
        <v>6.86</v>
      </c>
      <c r="U790" s="5" t="n">
        <v>0</v>
      </c>
      <c r="V790" s="5" t="n">
        <v>10.726</v>
      </c>
      <c r="W790" s="5" t="n">
        <v>0.025</v>
      </c>
      <c r="X790" s="5" t="n">
        <v>1</v>
      </c>
      <c r="Y790" s="5" t="n">
        <v>10.535</v>
      </c>
      <c r="Z790" s="5" t="n">
        <v>1.3</v>
      </c>
      <c r="AA790" s="5" t="n">
        <v>0</v>
      </c>
      <c r="AB790" s="5" t="n">
        <v>10.535</v>
      </c>
      <c r="AC790" s="5" t="n">
        <v>0</v>
      </c>
      <c r="AD790" s="5" t="n">
        <v>1</v>
      </c>
      <c r="AE790" s="5" t="n">
        <v>11.678</v>
      </c>
      <c r="AF790" s="5" t="n">
        <v>2.546</v>
      </c>
      <c r="AG790" s="5" t="n">
        <v>0</v>
      </c>
      <c r="AH790" s="5" t="n">
        <v>11.678</v>
      </c>
      <c r="AI790" s="5" t="n">
        <v>0</v>
      </c>
      <c r="AJ790" s="5" t="n">
        <v>1</v>
      </c>
      <c r="AK790" s="5" t="n">
        <v>18.538</v>
      </c>
      <c r="AL790" s="5" t="n">
        <v>9.619</v>
      </c>
      <c r="AM790" s="5" t="n">
        <v>0</v>
      </c>
      <c r="AN790" s="5" t="n">
        <v>19.002</v>
      </c>
      <c r="AO790" s="5" t="n">
        <v>0.025</v>
      </c>
      <c r="AP790" s="5" t="n">
        <v>1</v>
      </c>
      <c r="AQ790" s="5" t="n">
        <v>0.621</v>
      </c>
      <c r="AR790" s="5" t="n">
        <v>0.114</v>
      </c>
      <c r="AS790" s="5" t="n">
        <v>0</v>
      </c>
      <c r="AT790" s="5" t="n">
        <v>0.636</v>
      </c>
      <c r="AU790" s="5" t="n">
        <v>0.025</v>
      </c>
      <c r="AV790" s="5" t="n">
        <v>1</v>
      </c>
      <c r="AW790" s="5" t="n">
        <v>0.593</v>
      </c>
      <c r="AX790" s="5" t="n">
        <v>0.114</v>
      </c>
      <c r="AY790" s="5" t="n">
        <v>0</v>
      </c>
      <c r="AZ790" s="5" t="n">
        <v>0.608</v>
      </c>
      <c r="BA790" s="5" t="n">
        <v>0.025</v>
      </c>
      <c r="BB790" s="5" t="n">
        <v>1</v>
      </c>
      <c r="BC790" s="5" t="n">
        <v>0.44</v>
      </c>
      <c r="BD790" s="5" t="n">
        <v>0.114</v>
      </c>
      <c r="BE790" s="5" t="n">
        <v>0</v>
      </c>
      <c r="BF790" s="5" t="n">
        <v>0.451</v>
      </c>
      <c r="BG790" s="5" t="n">
        <v>0.025</v>
      </c>
      <c r="BH790" s="5" t="n">
        <v>1</v>
      </c>
      <c r="BI790" s="5" t="n">
        <v>0.5600000000000001</v>
      </c>
      <c r="BJ790" s="5" t="n">
        <v>0.114</v>
      </c>
      <c r="BK790" s="5" t="n">
        <v>0</v>
      </c>
      <c r="BL790" s="5" t="n">
        <v>0.574</v>
      </c>
      <c r="BM790" s="5" t="n">
        <v>0.025</v>
      </c>
      <c r="BN790" s="5" t="n">
        <v>1</v>
      </c>
      <c r="BO790" s="5" t="n">
        <v>0</v>
      </c>
      <c r="BP790" s="5" t="n">
        <v>0</v>
      </c>
      <c r="BQ790" s="5" t="n">
        <v>0</v>
      </c>
      <c r="BR790" s="5" t="n">
        <v>0</v>
      </c>
      <c r="BS790" s="5" t="n">
        <v>1</v>
      </c>
      <c r="BT790" s="5" t="n">
        <v>0</v>
      </c>
      <c r="BU790" s="5" t="n">
        <v>0</v>
      </c>
      <c r="BV790" s="5" t="n">
        <v>0</v>
      </c>
      <c r="BW790" s="5" t="n">
        <v>0.025</v>
      </c>
      <c r="BX790" s="5" t="n">
        <v>1</v>
      </c>
      <c r="BY790" s="5" t="n">
        <v>11.787</v>
      </c>
      <c r="BZ790" s="5" t="n">
        <v>0</v>
      </c>
      <c r="CA790" s="5" t="n">
        <v>11.787</v>
      </c>
      <c r="CB790" s="5" t="n">
        <v>0</v>
      </c>
      <c r="CC790" s="5" t="n">
        <v>81.69499999999999</v>
      </c>
      <c r="CD790" s="5" t="n">
        <v>7.95</v>
      </c>
      <c r="CE790" s="5" t="n">
        <v>0</v>
      </c>
      <c r="CF790" s="5" t="n">
        <v>83.738</v>
      </c>
      <c r="CG790" s="5" t="n">
        <v>0.025</v>
      </c>
      <c r="CH790" s="5" t="n">
        <v>1</v>
      </c>
      <c r="CI790" s="5" t="n">
        <v>0</v>
      </c>
      <c r="CJ790" s="5" t="n">
        <v>0</v>
      </c>
      <c r="CK790" s="5" t="n">
        <v>0</v>
      </c>
      <c r="CL790" s="5" t="n">
        <v>0</v>
      </c>
      <c r="CM790" s="5" t="n">
        <v>0</v>
      </c>
      <c r="CN790" s="5" t="n">
        <v>0</v>
      </c>
      <c r="CO790" s="5" t="n">
        <v>0</v>
      </c>
      <c r="CP790" s="5" t="n">
        <v>0</v>
      </c>
      <c r="CQ790" s="5" t="n">
        <v>1.198</v>
      </c>
      <c r="CR790" s="5" t="n">
        <v>0</v>
      </c>
      <c r="CS790" s="5" t="n">
        <v>4.776</v>
      </c>
      <c r="CT790" s="5" t="n">
        <v>3.604</v>
      </c>
      <c r="CU790" s="5" t="n">
        <v>9.407999999999999</v>
      </c>
    </row>
    <row r="791">
      <c r="A791" s="5" t="inlineStr">
        <is>
          <t>TLS2022</t>
        </is>
      </c>
      <c r="B791" s="5" t="inlineStr">
        <is>
          <t>TLS</t>
        </is>
      </c>
      <c r="C791" s="5" t="inlineStr">
        <is>
          <t>TLS</t>
        </is>
      </c>
      <c r="D791" s="5" t="inlineStr">
        <is>
          <t>Timor-Leste</t>
        </is>
      </c>
      <c r="E791" s="5" t="n">
        <v>2022</v>
      </c>
      <c r="F791" s="5" t="n">
        <v>0.025</v>
      </c>
      <c r="G791" s="5" t="n">
        <v>8.788</v>
      </c>
      <c r="H791" s="5" t="n">
        <v>1.235</v>
      </c>
      <c r="I791" s="5" t="n">
        <v>0</v>
      </c>
      <c r="J791" s="5" t="n">
        <v>8.788</v>
      </c>
      <c r="K791" s="5" t="n">
        <v>0</v>
      </c>
      <c r="L791" s="5" t="n">
        <v>1</v>
      </c>
      <c r="M791" s="5" t="n">
        <v>9.782999999999999</v>
      </c>
      <c r="N791" s="5" t="n">
        <v>3.704</v>
      </c>
      <c r="O791" s="5" t="n">
        <v>0</v>
      </c>
      <c r="P791" s="5" t="n">
        <v>9.782999999999999</v>
      </c>
      <c r="Q791" s="5" t="n">
        <v>0</v>
      </c>
      <c r="R791" s="5" t="n">
        <v>1</v>
      </c>
      <c r="S791" s="5" t="n">
        <v>14.962</v>
      </c>
      <c r="T791" s="5" t="n">
        <v>7.408</v>
      </c>
      <c r="U791" s="5" t="n">
        <v>0.028</v>
      </c>
      <c r="V791" s="5" t="n">
        <v>15.336</v>
      </c>
      <c r="W791" s="5" t="n">
        <v>0.025</v>
      </c>
      <c r="X791" s="5" t="n">
        <v>1</v>
      </c>
      <c r="Y791" s="5" t="n">
        <v>8.529</v>
      </c>
      <c r="Z791" s="5" t="n">
        <v>1.052</v>
      </c>
      <c r="AA791" s="5" t="n">
        <v>0</v>
      </c>
      <c r="AB791" s="5" t="n">
        <v>8.529</v>
      </c>
      <c r="AC791" s="5" t="n">
        <v>0</v>
      </c>
      <c r="AD791" s="5" t="n">
        <v>1</v>
      </c>
      <c r="AE791" s="5" t="n">
        <v>9.763</v>
      </c>
      <c r="AF791" s="5" t="n">
        <v>2.128</v>
      </c>
      <c r="AG791" s="5" t="n">
        <v>0</v>
      </c>
      <c r="AH791" s="5" t="n">
        <v>9.763</v>
      </c>
      <c r="AI791" s="5" t="n">
        <v>0</v>
      </c>
      <c r="AJ791" s="5" t="n">
        <v>1</v>
      </c>
      <c r="AK791" s="5" t="n">
        <v>17.171</v>
      </c>
      <c r="AL791" s="5" t="n">
        <v>8.91</v>
      </c>
      <c r="AM791" s="5" t="n">
        <v>0.032</v>
      </c>
      <c r="AN791" s="5" t="n">
        <v>17.601</v>
      </c>
      <c r="AO791" s="5" t="n">
        <v>0.025</v>
      </c>
      <c r="AP791" s="5" t="n">
        <v>1</v>
      </c>
      <c r="AQ791" s="5" t="n">
        <v>0.847</v>
      </c>
      <c r="AR791" s="5" t="n">
        <v>0.123</v>
      </c>
      <c r="AS791" s="5" t="n">
        <v>0.002</v>
      </c>
      <c r="AT791" s="5" t="n">
        <v>0.868</v>
      </c>
      <c r="AU791" s="5" t="n">
        <v>0.025</v>
      </c>
      <c r="AV791" s="5" t="n">
        <v>1</v>
      </c>
      <c r="AW791" s="5" t="n">
        <v>0.947</v>
      </c>
      <c r="AX791" s="5" t="n">
        <v>0.123</v>
      </c>
      <c r="AY791" s="5" t="n">
        <v>0.002</v>
      </c>
      <c r="AZ791" s="5" t="n">
        <v>0.97</v>
      </c>
      <c r="BA791" s="5" t="n">
        <v>0.025</v>
      </c>
      <c r="BB791" s="5" t="n">
        <v>1</v>
      </c>
      <c r="BC791" s="5" t="n">
        <v>0.589</v>
      </c>
      <c r="BD791" s="5" t="n">
        <v>0.123</v>
      </c>
      <c r="BE791" s="5" t="n">
        <v>0.001</v>
      </c>
      <c r="BF791" s="5" t="n">
        <v>0.603</v>
      </c>
      <c r="BG791" s="5" t="n">
        <v>0.025</v>
      </c>
      <c r="BH791" s="5" t="n">
        <v>1</v>
      </c>
      <c r="BI791" s="5" t="n">
        <v>0.6889999999999999</v>
      </c>
      <c r="BJ791" s="5" t="n">
        <v>0.123</v>
      </c>
      <c r="BK791" s="5" t="n">
        <v>0.001</v>
      </c>
      <c r="BL791" s="5" t="n">
        <v>0.706</v>
      </c>
      <c r="BM791" s="5" t="n">
        <v>0.025</v>
      </c>
      <c r="BN791" s="5" t="n">
        <v>1</v>
      </c>
      <c r="BO791" s="5" t="n">
        <v>0</v>
      </c>
      <c r="BP791" s="5" t="n">
        <v>0</v>
      </c>
      <c r="BQ791" s="5" t="n">
        <v>0</v>
      </c>
      <c r="BR791" s="5" t="n">
        <v>0</v>
      </c>
      <c r="BS791" s="5" t="n">
        <v>1</v>
      </c>
      <c r="BT791" s="5" t="n">
        <v>0</v>
      </c>
      <c r="BU791" s="5" t="n">
        <v>0</v>
      </c>
      <c r="BV791" s="5" t="n">
        <v>0</v>
      </c>
      <c r="BW791" s="5" t="n">
        <v>0.025</v>
      </c>
      <c r="BX791" s="5" t="n">
        <v>1</v>
      </c>
      <c r="BY791" s="5" t="n">
        <v>12.729</v>
      </c>
      <c r="BZ791" s="5" t="n">
        <v>0</v>
      </c>
      <c r="CA791" s="5" t="n">
        <v>12.729</v>
      </c>
      <c r="CB791" s="5" t="n">
        <v>0</v>
      </c>
      <c r="CC791" s="5" t="n">
        <v>102.477</v>
      </c>
      <c r="CD791" s="5" t="n">
        <v>7.95</v>
      </c>
      <c r="CE791" s="5" t="n">
        <v>0.19</v>
      </c>
      <c r="CF791" s="5" t="n">
        <v>105.038</v>
      </c>
      <c r="CG791" s="5" t="n">
        <v>0.025</v>
      </c>
      <c r="CH791" s="5" t="n">
        <v>1</v>
      </c>
      <c r="CI791" s="5" t="n">
        <v>0</v>
      </c>
      <c r="CJ791" s="5" t="n">
        <v>0</v>
      </c>
      <c r="CK791" s="5" t="n">
        <v>0</v>
      </c>
      <c r="CL791" s="5" t="n">
        <v>0</v>
      </c>
      <c r="CM791" s="5" t="n">
        <v>0</v>
      </c>
      <c r="CN791" s="5" t="n">
        <v>0</v>
      </c>
      <c r="CO791" s="5" t="n">
        <v>0</v>
      </c>
      <c r="CP791" s="5" t="n">
        <v>0</v>
      </c>
      <c r="CQ791" s="5" t="n">
        <v>1.294</v>
      </c>
      <c r="CR791" s="5" t="n">
        <v>0</v>
      </c>
      <c r="CS791" s="5" t="n">
        <v>5.158</v>
      </c>
      <c r="CT791" s="5" t="n">
        <v>7.554</v>
      </c>
      <c r="CU791" s="5" t="n">
        <v>16.097</v>
      </c>
    </row>
    <row r="792">
      <c r="A792" s="5" t="inlineStr">
        <is>
          <t>TLS2023</t>
        </is>
      </c>
      <c r="B792" s="5" t="inlineStr">
        <is>
          <t>TLS</t>
        </is>
      </c>
      <c r="C792" s="5" t="inlineStr">
        <is>
          <t>TLS</t>
        </is>
      </c>
      <c r="D792" s="5" t="inlineStr">
        <is>
          <t>Timor-Leste</t>
        </is>
      </c>
      <c r="E792" s="5" t="n">
        <v>2023</v>
      </c>
      <c r="F792" s="5" t="n">
        <v>0.025</v>
      </c>
      <c r="G792" s="5" t="n">
        <v>5.77</v>
      </c>
      <c r="H792" s="5" t="n">
        <v>1.286</v>
      </c>
      <c r="I792" s="5" t="n">
        <v>0</v>
      </c>
      <c r="J792" s="5" t="n">
        <v>5.77</v>
      </c>
      <c r="K792" s="5" t="n">
        <v>0</v>
      </c>
      <c r="L792" s="5" t="n">
        <v>1</v>
      </c>
      <c r="M792" s="5" t="n">
        <v>7.886</v>
      </c>
      <c r="N792" s="5" t="n">
        <v>3.857</v>
      </c>
      <c r="O792" s="5" t="n">
        <v>0</v>
      </c>
      <c r="P792" s="5" t="n">
        <v>7.886</v>
      </c>
      <c r="Q792" s="5" t="n">
        <v>0</v>
      </c>
      <c r="R792" s="5" t="n">
        <v>1</v>
      </c>
      <c r="S792" s="5" t="n">
        <v>12.198</v>
      </c>
      <c r="T792" s="5" t="n">
        <v>7.714</v>
      </c>
      <c r="U792" s="5" t="n">
        <v>0.034</v>
      </c>
      <c r="V792" s="5" t="n">
        <v>12.503</v>
      </c>
      <c r="W792" s="5" t="n">
        <v>0.025</v>
      </c>
      <c r="X792" s="5" t="n">
        <v>1</v>
      </c>
      <c r="Y792" s="5" t="n">
        <v>8.093999999999999</v>
      </c>
      <c r="Z792" s="5" t="n">
        <v>0.999</v>
      </c>
      <c r="AA792" s="5" t="n">
        <v>0</v>
      </c>
      <c r="AB792" s="5" t="n">
        <v>8.093999999999999</v>
      </c>
      <c r="AC792" s="5" t="n">
        <v>0</v>
      </c>
      <c r="AD792" s="5" t="n">
        <v>1</v>
      </c>
      <c r="AE792" s="5" t="n">
        <v>9.380000000000001</v>
      </c>
      <c r="AF792" s="5" t="n">
        <v>2.045</v>
      </c>
      <c r="AG792" s="5" t="n">
        <v>0</v>
      </c>
      <c r="AH792" s="5" t="n">
        <v>9.380000000000001</v>
      </c>
      <c r="AI792" s="5" t="n">
        <v>0</v>
      </c>
      <c r="AJ792" s="5" t="n">
        <v>1</v>
      </c>
      <c r="AK792" s="5" t="n">
        <v>17.094</v>
      </c>
      <c r="AL792" s="5" t="n">
        <v>8.869999999999999</v>
      </c>
      <c r="AM792" s="5" t="n">
        <v>0.047</v>
      </c>
      <c r="AN792" s="5" t="n">
        <v>17.521</v>
      </c>
      <c r="AO792" s="5" t="n">
        <v>0.025</v>
      </c>
      <c r="AP792" s="5" t="n">
        <v>1</v>
      </c>
      <c r="AQ792" s="5" t="n">
        <v>0.749</v>
      </c>
      <c r="AR792" s="5" t="n">
        <v>0.129</v>
      </c>
      <c r="AS792" s="5" t="n">
        <v>0.002</v>
      </c>
      <c r="AT792" s="5" t="n">
        <v>0.768</v>
      </c>
      <c r="AU792" s="5" t="n">
        <v>0.025</v>
      </c>
      <c r="AV792" s="5" t="n">
        <v>1</v>
      </c>
      <c r="AW792" s="5" t="n">
        <v>0.783</v>
      </c>
      <c r="AX792" s="5" t="n">
        <v>0.129</v>
      </c>
      <c r="AY792" s="5" t="n">
        <v>0.002</v>
      </c>
      <c r="AZ792" s="5" t="n">
        <v>0.802</v>
      </c>
      <c r="BA792" s="5" t="n">
        <v>0.025</v>
      </c>
      <c r="BB792" s="5" t="n">
        <v>1</v>
      </c>
      <c r="BC792" s="5" t="n">
        <v>0.527</v>
      </c>
      <c r="BD792" s="5" t="n">
        <v>0.129</v>
      </c>
      <c r="BE792" s="5" t="n">
        <v>0.001</v>
      </c>
      <c r="BF792" s="5" t="n">
        <v>0.541</v>
      </c>
      <c r="BG792" s="5" t="n">
        <v>0.025</v>
      </c>
      <c r="BH792" s="5" t="n">
        <v>1</v>
      </c>
      <c r="BI792" s="5" t="n">
        <v>0.64</v>
      </c>
      <c r="BJ792" s="5" t="n">
        <v>0.129</v>
      </c>
      <c r="BK792" s="5" t="n">
        <v>0.002</v>
      </c>
      <c r="BL792" s="5" t="n">
        <v>0.656</v>
      </c>
      <c r="BM792" s="5" t="n">
        <v>0.025</v>
      </c>
      <c r="BN792" s="5" t="n">
        <v>1</v>
      </c>
      <c r="BO792" s="5" t="n">
        <v>0</v>
      </c>
      <c r="BP792" s="5" t="n">
        <v>0</v>
      </c>
      <c r="BQ792" s="5" t="n">
        <v>0</v>
      </c>
      <c r="BR792" s="5" t="n">
        <v>0</v>
      </c>
      <c r="BS792" s="5" t="n">
        <v>1</v>
      </c>
      <c r="BT792" s="5" t="n">
        <v>0</v>
      </c>
      <c r="BU792" s="5" t="n">
        <v>0</v>
      </c>
      <c r="BV792" s="5" t="n">
        <v>0</v>
      </c>
      <c r="BW792" s="5" t="n">
        <v>0.025</v>
      </c>
      <c r="BX792" s="5" t="n">
        <v>1</v>
      </c>
      <c r="BY792" s="5" t="n">
        <v>13.254</v>
      </c>
      <c r="BZ792" s="5" t="n">
        <v>0</v>
      </c>
      <c r="CA792" s="5" t="n">
        <v>13.254</v>
      </c>
      <c r="CB792" s="5" t="n">
        <v>0</v>
      </c>
      <c r="CC792" s="5" t="n">
        <v>87.07899999999999</v>
      </c>
      <c r="CD792" s="5" t="n">
        <v>7.95</v>
      </c>
      <c r="CE792" s="5" t="n">
        <v>0.241</v>
      </c>
      <c r="CF792" s="5" t="n">
        <v>89.256</v>
      </c>
      <c r="CG792" s="5" t="n">
        <v>0.025</v>
      </c>
      <c r="CH792" s="5" t="n">
        <v>1</v>
      </c>
      <c r="CI792" s="5" t="n">
        <v>0</v>
      </c>
      <c r="CJ792" s="5" t="n">
        <v>0</v>
      </c>
      <c r="CK792" s="5" t="n">
        <v>0</v>
      </c>
      <c r="CL792" s="5" t="n">
        <v>0</v>
      </c>
      <c r="CM792" s="5" t="n">
        <v>0</v>
      </c>
      <c r="CN792" s="5" t="n">
        <v>0</v>
      </c>
      <c r="CO792" s="5" t="n">
        <v>0</v>
      </c>
      <c r="CP792" s="5" t="n">
        <v>0</v>
      </c>
      <c r="CQ792" s="5" t="n">
        <v>1.348</v>
      </c>
      <c r="CR792" s="5" t="n">
        <v>0</v>
      </c>
      <c r="CS792" s="5" t="n">
        <v>5.37</v>
      </c>
      <c r="CT792" s="5" t="n">
        <v>4.484</v>
      </c>
      <c r="CU792" s="5" t="n">
        <v>12.529</v>
      </c>
    </row>
    <row r="793">
      <c r="A793" s="5" t="inlineStr">
        <is>
          <t>TLS2024</t>
        </is>
      </c>
      <c r="B793" s="5" t="inlineStr">
        <is>
          <t>TLS</t>
        </is>
      </c>
      <c r="C793" s="5" t="inlineStr">
        <is>
          <t>TLS</t>
        </is>
      </c>
      <c r="D793" s="5" t="inlineStr">
        <is>
          <t>Timor-Leste</t>
        </is>
      </c>
      <c r="E793" s="5" t="n">
        <v>2024</v>
      </c>
      <c r="F793" s="5" t="n">
        <v>0.025</v>
      </c>
      <c r="G793" s="5" t="n">
        <v>4.833</v>
      </c>
      <c r="H793" s="5" t="n">
        <v>1.324</v>
      </c>
      <c r="I793" s="5" t="n">
        <v>0</v>
      </c>
      <c r="J793" s="5" t="n">
        <v>4.833</v>
      </c>
      <c r="K793" s="5" t="n">
        <v>0</v>
      </c>
      <c r="L793" s="5" t="n">
        <v>1</v>
      </c>
      <c r="M793" s="5" t="n">
        <v>7.124</v>
      </c>
      <c r="N793" s="5" t="n">
        <v>3.971</v>
      </c>
      <c r="O793" s="5" t="n">
        <v>0</v>
      </c>
      <c r="P793" s="5" t="n">
        <v>7.124</v>
      </c>
      <c r="Q793" s="5" t="n">
        <v>0</v>
      </c>
      <c r="R793" s="5" t="n">
        <v>1</v>
      </c>
      <c r="S793" s="5" t="n">
        <v>11.451</v>
      </c>
      <c r="T793" s="5" t="n">
        <v>7.942</v>
      </c>
      <c r="U793" s="5" t="n">
        <v>0.039</v>
      </c>
      <c r="V793" s="5" t="n">
        <v>11.737</v>
      </c>
      <c r="W793" s="5" t="n">
        <v>0.025</v>
      </c>
      <c r="X793" s="5" t="n">
        <v>1</v>
      </c>
      <c r="Y793" s="5" t="n">
        <v>7.751</v>
      </c>
      <c r="Z793" s="5" t="n">
        <v>0.956</v>
      </c>
      <c r="AA793" s="5" t="n">
        <v>0</v>
      </c>
      <c r="AB793" s="5" t="n">
        <v>7.751</v>
      </c>
      <c r="AC793" s="5" t="n">
        <v>0</v>
      </c>
      <c r="AD793" s="5" t="n">
        <v>1</v>
      </c>
      <c r="AE793" s="5" t="n">
        <v>9.074999999999999</v>
      </c>
      <c r="AF793" s="5" t="n">
        <v>1.978</v>
      </c>
      <c r="AG793" s="5" t="n">
        <v>0</v>
      </c>
      <c r="AH793" s="5" t="n">
        <v>9.074999999999999</v>
      </c>
      <c r="AI793" s="5" t="n">
        <v>0</v>
      </c>
      <c r="AJ793" s="5" t="n">
        <v>1</v>
      </c>
      <c r="AK793" s="5" t="n">
        <v>17.016</v>
      </c>
      <c r="AL793" s="5" t="n">
        <v>8.829000000000001</v>
      </c>
      <c r="AM793" s="5" t="n">
        <v>0.058</v>
      </c>
      <c r="AN793" s="5" t="n">
        <v>17.442</v>
      </c>
      <c r="AO793" s="5" t="n">
        <v>0.025</v>
      </c>
      <c r="AP793" s="5" t="n">
        <v>1</v>
      </c>
      <c r="AQ793" s="5" t="n">
        <v>0.72</v>
      </c>
      <c r="AR793" s="5" t="n">
        <v>0.132</v>
      </c>
      <c r="AS793" s="5" t="n">
        <v>0.002</v>
      </c>
      <c r="AT793" s="5" t="n">
        <v>0.738</v>
      </c>
      <c r="AU793" s="5" t="n">
        <v>0.025</v>
      </c>
      <c r="AV793" s="5" t="n">
        <v>1</v>
      </c>
      <c r="AW793" s="5" t="n">
        <v>0.734</v>
      </c>
      <c r="AX793" s="5" t="n">
        <v>0.132</v>
      </c>
      <c r="AY793" s="5" t="n">
        <v>0.002</v>
      </c>
      <c r="AZ793" s="5" t="n">
        <v>0.752</v>
      </c>
      <c r="BA793" s="5" t="n">
        <v>0.025</v>
      </c>
      <c r="BB793" s="5" t="n">
        <v>1</v>
      </c>
      <c r="BC793" s="5" t="n">
        <v>0.51</v>
      </c>
      <c r="BD793" s="5" t="n">
        <v>0.132</v>
      </c>
      <c r="BE793" s="5" t="n">
        <v>0.002</v>
      </c>
      <c r="BF793" s="5" t="n">
        <v>0.523</v>
      </c>
      <c r="BG793" s="5" t="n">
        <v>0.025</v>
      </c>
      <c r="BH793" s="5" t="n">
        <v>1</v>
      </c>
      <c r="BI793" s="5" t="n">
        <v>0.652</v>
      </c>
      <c r="BJ793" s="5" t="n">
        <v>0.132</v>
      </c>
      <c r="BK793" s="5" t="n">
        <v>0.002</v>
      </c>
      <c r="BL793" s="5" t="n">
        <v>0.668</v>
      </c>
      <c r="BM793" s="5" t="n">
        <v>0.025</v>
      </c>
      <c r="BN793" s="5" t="n">
        <v>1</v>
      </c>
      <c r="BO793" s="5" t="n">
        <v>0</v>
      </c>
      <c r="BP793" s="5" t="n">
        <v>0</v>
      </c>
      <c r="BQ793" s="5" t="n">
        <v>0</v>
      </c>
      <c r="BR793" s="5" t="n">
        <v>0</v>
      </c>
      <c r="BS793" s="5" t="n">
        <v>1</v>
      </c>
      <c r="BT793" s="5" t="n">
        <v>0</v>
      </c>
      <c r="BU793" s="5" t="n">
        <v>0</v>
      </c>
      <c r="BV793" s="5" t="n">
        <v>0</v>
      </c>
      <c r="BW793" s="5" t="n">
        <v>0.025</v>
      </c>
      <c r="BX793" s="5" t="n">
        <v>1</v>
      </c>
      <c r="BY793" s="5" t="n">
        <v>13.646</v>
      </c>
      <c r="BZ793" s="5" t="n">
        <v>0</v>
      </c>
      <c r="CA793" s="5" t="n">
        <v>13.646</v>
      </c>
      <c r="CB793" s="5" t="n">
        <v>0</v>
      </c>
      <c r="CC793" s="5" t="n">
        <v>86.38500000000001</v>
      </c>
      <c r="CD793" s="5" t="n">
        <v>7.95</v>
      </c>
      <c r="CE793" s="5" t="n">
        <v>0.294</v>
      </c>
      <c r="CF793" s="5" t="n">
        <v>88.545</v>
      </c>
      <c r="CG793" s="5" t="n">
        <v>0.025</v>
      </c>
      <c r="CH793" s="5" t="n">
        <v>1</v>
      </c>
      <c r="CI793" s="5" t="n">
        <v>0</v>
      </c>
      <c r="CJ793" s="5" t="n">
        <v>0</v>
      </c>
      <c r="CK793" s="5" t="n">
        <v>0</v>
      </c>
      <c r="CL793" s="5" t="n">
        <v>0</v>
      </c>
      <c r="CM793" s="5" t="n">
        <v>0</v>
      </c>
      <c r="CN793" s="5" t="n">
        <v>0</v>
      </c>
      <c r="CO793" s="5" t="n">
        <v>0</v>
      </c>
      <c r="CP793" s="5" t="n">
        <v>0</v>
      </c>
      <c r="CQ793" s="5" t="n">
        <v>1.387</v>
      </c>
      <c r="CR793" s="5" t="n">
        <v>0</v>
      </c>
      <c r="CS793" s="5" t="n">
        <v>5.529</v>
      </c>
      <c r="CT793" s="5" t="n">
        <v>3.509</v>
      </c>
      <c r="CU793" s="5" t="n">
        <v>10.896</v>
      </c>
    </row>
    <row r="794">
      <c r="A794" s="5" t="inlineStr">
        <is>
          <t>TGO2021</t>
        </is>
      </c>
      <c r="B794" s="5" t="inlineStr">
        <is>
          <t>TGO</t>
        </is>
      </c>
      <c r="C794" s="5" t="inlineStr">
        <is>
          <t>TGO</t>
        </is>
      </c>
      <c r="D794" s="5" t="inlineStr">
        <is>
          <t>Togo</t>
        </is>
      </c>
      <c r="E794" s="5" t="n">
        <v>2021</v>
      </c>
      <c r="F794" s="5" t="n">
        <v>0.18</v>
      </c>
      <c r="G794" s="5" t="n">
        <v>5.897</v>
      </c>
      <c r="H794" s="5" t="n">
        <v>1.143</v>
      </c>
      <c r="I794" s="5" t="n">
        <v>0</v>
      </c>
      <c r="J794" s="5" t="n">
        <v>5.897</v>
      </c>
      <c r="K794" s="5" t="n">
        <v>0</v>
      </c>
      <c r="L794" s="5" t="n">
        <v>1</v>
      </c>
      <c r="M794" s="5" t="n">
        <v>7.964</v>
      </c>
      <c r="N794" s="5" t="n">
        <v>3.43</v>
      </c>
      <c r="O794" s="5" t="n">
        <v>0</v>
      </c>
      <c r="P794" s="5" t="n">
        <v>7.964</v>
      </c>
      <c r="Q794" s="5" t="n">
        <v>0</v>
      </c>
      <c r="R794" s="5" t="n">
        <v>1</v>
      </c>
      <c r="S794" s="5" t="n">
        <v>11.613</v>
      </c>
      <c r="T794" s="5" t="n">
        <v>6.86</v>
      </c>
      <c r="U794" s="5" t="n">
        <v>-3.887</v>
      </c>
      <c r="V794" s="5" t="n">
        <v>9.117000000000001</v>
      </c>
      <c r="W794" s="5" t="n">
        <v>0</v>
      </c>
      <c r="X794" s="5" t="n">
        <v>0</v>
      </c>
      <c r="Y794" s="5" t="n">
        <v>3.845</v>
      </c>
      <c r="Z794" s="5" t="n">
        <v>0.52</v>
      </c>
      <c r="AA794" s="5" t="n">
        <v>0</v>
      </c>
      <c r="AB794" s="5" t="n">
        <v>3.845</v>
      </c>
      <c r="AC794" s="5" t="n">
        <v>0</v>
      </c>
      <c r="AD794" s="5" t="n">
        <v>1</v>
      </c>
      <c r="AE794" s="5" t="n">
        <v>4.988</v>
      </c>
      <c r="AF794" s="5" t="n">
        <v>1.166</v>
      </c>
      <c r="AG794" s="5" t="n">
        <v>0</v>
      </c>
      <c r="AH794" s="5" t="n">
        <v>4.988</v>
      </c>
      <c r="AI794" s="5" t="n">
        <v>0</v>
      </c>
      <c r="AJ794" s="5" t="n">
        <v>1</v>
      </c>
      <c r="AK794" s="5" t="n">
        <v>11.848</v>
      </c>
      <c r="AL794" s="5" t="n">
        <v>6.31</v>
      </c>
      <c r="AM794" s="5" t="n">
        <v>0</v>
      </c>
      <c r="AN794" s="5" t="n">
        <v>13.981</v>
      </c>
      <c r="AO794" s="5" t="n">
        <v>0.18</v>
      </c>
      <c r="AP794" s="5" t="n">
        <v>1</v>
      </c>
      <c r="AQ794" s="5" t="n">
        <v>0.619</v>
      </c>
      <c r="AR794" s="5" t="n">
        <v>0.114</v>
      </c>
      <c r="AS794" s="5" t="n">
        <v>0.102</v>
      </c>
      <c r="AT794" s="5" t="n">
        <v>0.851</v>
      </c>
      <c r="AU794" s="5" t="n">
        <v>0.18</v>
      </c>
      <c r="AV794" s="5" t="n">
        <v>1</v>
      </c>
      <c r="AW794" s="5" t="n">
        <v>0.599</v>
      </c>
      <c r="AX794" s="5" t="n">
        <v>0.114</v>
      </c>
      <c r="AY794" s="5" t="n">
        <v>0.151</v>
      </c>
      <c r="AZ794" s="5" t="n">
        <v>0.885</v>
      </c>
      <c r="BA794" s="5" t="n">
        <v>0.18</v>
      </c>
      <c r="BB794" s="5" t="n">
        <v>1</v>
      </c>
      <c r="BC794" s="5" t="n">
        <v>0.439</v>
      </c>
      <c r="BD794" s="5" t="n">
        <v>0.114</v>
      </c>
      <c r="BE794" s="5" t="n">
        <v>-0.021</v>
      </c>
      <c r="BF794" s="5" t="n">
        <v>0.494</v>
      </c>
      <c r="BG794" s="5" t="n">
        <v>0.18</v>
      </c>
      <c r="BH794" s="5" t="n">
        <v>1</v>
      </c>
      <c r="BI794" s="5" t="n">
        <v>0.505</v>
      </c>
      <c r="BJ794" s="5" t="n">
        <v>0.114</v>
      </c>
      <c r="BK794" s="5" t="n">
        <v>0.091</v>
      </c>
      <c r="BL794" s="5" t="n">
        <v>0.703</v>
      </c>
      <c r="BM794" s="5" t="n">
        <v>0.18</v>
      </c>
      <c r="BN794" s="5" t="n">
        <v>1</v>
      </c>
      <c r="BO794" s="5" t="n">
        <v>0</v>
      </c>
      <c r="BP794" s="5" t="n">
        <v>0</v>
      </c>
      <c r="BQ794" s="5" t="n">
        <v>0.157</v>
      </c>
      <c r="BR794" s="5" t="n">
        <v>0</v>
      </c>
      <c r="BS794" s="5" t="n">
        <v>0.5</v>
      </c>
      <c r="BT794" s="5" t="n">
        <v>0</v>
      </c>
      <c r="BU794" s="5" t="n">
        <v>0</v>
      </c>
      <c r="BV794" s="5" t="n">
        <v>0.23</v>
      </c>
      <c r="BW794" s="5" t="n">
        <v>0.18</v>
      </c>
      <c r="BX794" s="5" t="n">
        <v>0.333</v>
      </c>
      <c r="BY794" s="5" t="n">
        <v>11.787</v>
      </c>
      <c r="BZ794" s="5" t="n">
        <v>0</v>
      </c>
      <c r="CA794" s="5" t="n">
        <v>11.787</v>
      </c>
      <c r="CB794" s="5" t="n">
        <v>0</v>
      </c>
      <c r="CC794" s="5" t="n">
        <v>78.125</v>
      </c>
      <c r="CD794" s="5" t="n">
        <v>7.95</v>
      </c>
      <c r="CE794" s="5" t="n">
        <v>0</v>
      </c>
      <c r="CF794" s="5" t="n">
        <v>92.188</v>
      </c>
      <c r="CG794" s="5" t="n">
        <v>0.18</v>
      </c>
      <c r="CH794" s="5" t="n">
        <v>1</v>
      </c>
      <c r="CI794" s="5" t="n">
        <v>0</v>
      </c>
      <c r="CJ794" s="5" t="n">
        <v>0</v>
      </c>
      <c r="CK794" s="5" t="n">
        <v>0</v>
      </c>
      <c r="CL794" s="5" t="n">
        <v>0</v>
      </c>
      <c r="CM794" s="5" t="n">
        <v>0</v>
      </c>
      <c r="CN794" s="5" t="n">
        <v>0</v>
      </c>
      <c r="CO794" s="5" t="n">
        <v>0</v>
      </c>
      <c r="CP794" s="5" t="n">
        <v>0</v>
      </c>
      <c r="CQ794" s="5" t="n">
        <v>1.198</v>
      </c>
      <c r="CR794" s="5" t="n">
        <v>0</v>
      </c>
      <c r="CS794" s="5" t="n">
        <v>4.776</v>
      </c>
      <c r="CT794" s="5" t="n">
        <v>4.753</v>
      </c>
      <c r="CU794" s="5" t="n">
        <v>15.162</v>
      </c>
    </row>
    <row r="795">
      <c r="A795" s="5" t="inlineStr">
        <is>
          <t>TGO2022</t>
        </is>
      </c>
      <c r="B795" s="5" t="inlineStr">
        <is>
          <t>TGO</t>
        </is>
      </c>
      <c r="C795" s="5" t="inlineStr">
        <is>
          <t>TGO</t>
        </is>
      </c>
      <c r="D795" s="5" t="inlineStr">
        <is>
          <t>Togo</t>
        </is>
      </c>
      <c r="E795" s="5" t="n">
        <v>2022</v>
      </c>
      <c r="F795" s="5" t="n">
        <v>0.18</v>
      </c>
      <c r="G795" s="5" t="n">
        <v>11.72</v>
      </c>
      <c r="H795" s="5" t="n">
        <v>1.235</v>
      </c>
      <c r="I795" s="5" t="n">
        <v>0</v>
      </c>
      <c r="J795" s="5" t="n">
        <v>11.72</v>
      </c>
      <c r="K795" s="5" t="n">
        <v>0</v>
      </c>
      <c r="L795" s="5" t="n">
        <v>1</v>
      </c>
      <c r="M795" s="5" t="n">
        <v>9.782999999999999</v>
      </c>
      <c r="N795" s="5" t="n">
        <v>3.704</v>
      </c>
      <c r="O795" s="5" t="n">
        <v>0</v>
      </c>
      <c r="P795" s="5" t="n">
        <v>9.782999999999999</v>
      </c>
      <c r="Q795" s="5" t="n">
        <v>0</v>
      </c>
      <c r="R795" s="5" t="n">
        <v>1</v>
      </c>
      <c r="S795" s="5" t="n">
        <v>17.893</v>
      </c>
      <c r="T795" s="5" t="n">
        <v>7.408</v>
      </c>
      <c r="U795" s="5" t="n">
        <v>-8.955</v>
      </c>
      <c r="V795" s="5" t="n">
        <v>10.547</v>
      </c>
      <c r="W795" s="5" t="n">
        <v>0</v>
      </c>
      <c r="X795" s="5" t="n">
        <v>0</v>
      </c>
      <c r="Y795" s="5" t="n">
        <v>4.152</v>
      </c>
      <c r="Z795" s="5" t="n">
        <v>0.5610000000000001</v>
      </c>
      <c r="AA795" s="5" t="n">
        <v>0</v>
      </c>
      <c r="AB795" s="5" t="n">
        <v>4.152</v>
      </c>
      <c r="AC795" s="5" t="n">
        <v>0</v>
      </c>
      <c r="AD795" s="5" t="n">
        <v>1</v>
      </c>
      <c r="AE795" s="5" t="n">
        <v>5.387</v>
      </c>
      <c r="AF795" s="5" t="n">
        <v>1.26</v>
      </c>
      <c r="AG795" s="5" t="n">
        <v>0</v>
      </c>
      <c r="AH795" s="5" t="n">
        <v>5.387</v>
      </c>
      <c r="AI795" s="5" t="n">
        <v>0</v>
      </c>
      <c r="AJ795" s="5" t="n">
        <v>1</v>
      </c>
      <c r="AK795" s="5" t="n">
        <v>12.795</v>
      </c>
      <c r="AL795" s="5" t="n">
        <v>6.815</v>
      </c>
      <c r="AM795" s="5" t="n">
        <v>0.17</v>
      </c>
      <c r="AN795" s="5" t="n">
        <v>15.098</v>
      </c>
      <c r="AO795" s="5" t="n">
        <v>0.18</v>
      </c>
      <c r="AP795" s="5" t="n">
        <v>1</v>
      </c>
      <c r="AQ795" s="5" t="n">
        <v>0.861</v>
      </c>
      <c r="AR795" s="5" t="n">
        <v>0.123</v>
      </c>
      <c r="AS795" s="5" t="n">
        <v>-0.005</v>
      </c>
      <c r="AT795" s="5" t="n">
        <v>1.01</v>
      </c>
      <c r="AU795" s="5" t="n">
        <v>0.18</v>
      </c>
      <c r="AV795" s="5" t="n">
        <v>1</v>
      </c>
      <c r="AW795" s="5" t="n">
        <v>0.986</v>
      </c>
      <c r="AX795" s="5" t="n">
        <v>0.123</v>
      </c>
      <c r="AY795" s="5" t="n">
        <v>-0.014</v>
      </c>
      <c r="AZ795" s="5" t="n">
        <v>1.147</v>
      </c>
      <c r="BA795" s="5" t="n">
        <v>0.18</v>
      </c>
      <c r="BB795" s="5" t="n">
        <v>1</v>
      </c>
      <c r="BC795" s="5" t="n">
        <v>0.598</v>
      </c>
      <c r="BD795" s="5" t="n">
        <v>0.123</v>
      </c>
      <c r="BE795" s="5" t="n">
        <v>-0.134</v>
      </c>
      <c r="BF795" s="5" t="n">
        <v>0.548</v>
      </c>
      <c r="BG795" s="5" t="n">
        <v>0.18</v>
      </c>
      <c r="BH795" s="5" t="n">
        <v>1</v>
      </c>
      <c r="BI795" s="5" t="n">
        <v>0.612</v>
      </c>
      <c r="BJ795" s="5" t="n">
        <v>0.123</v>
      </c>
      <c r="BK795" s="5" t="n">
        <v>0.159</v>
      </c>
      <c r="BL795" s="5" t="n">
        <v>0.91</v>
      </c>
      <c r="BM795" s="5" t="n">
        <v>0.18</v>
      </c>
      <c r="BN795" s="5" t="n">
        <v>1</v>
      </c>
      <c r="BO795" s="5" t="n">
        <v>0</v>
      </c>
      <c r="BP795" s="5" t="n">
        <v>0</v>
      </c>
      <c r="BQ795" s="5" t="n">
        <v>0.14</v>
      </c>
      <c r="BR795" s="5" t="n">
        <v>0</v>
      </c>
      <c r="BS795" s="5" t="n">
        <v>0.5</v>
      </c>
      <c r="BT795" s="5" t="n">
        <v>0</v>
      </c>
      <c r="BU795" s="5" t="n">
        <v>0</v>
      </c>
      <c r="BV795" s="5" t="n">
        <v>0.205</v>
      </c>
      <c r="BW795" s="5" t="n">
        <v>0.18</v>
      </c>
      <c r="BX795" s="5" t="n">
        <v>0.333</v>
      </c>
      <c r="BY795" s="5" t="n">
        <v>12.729</v>
      </c>
      <c r="BZ795" s="5" t="n">
        <v>0</v>
      </c>
      <c r="CA795" s="5" t="n">
        <v>12.729</v>
      </c>
      <c r="CB795" s="5" t="n">
        <v>0</v>
      </c>
      <c r="CC795" s="5" t="n">
        <v>97.90000000000001</v>
      </c>
      <c r="CD795" s="5" t="n">
        <v>7.95</v>
      </c>
      <c r="CE795" s="5" t="n">
        <v>1.304</v>
      </c>
      <c r="CF795" s="5" t="n">
        <v>115.522</v>
      </c>
      <c r="CG795" s="5" t="n">
        <v>0.18</v>
      </c>
      <c r="CH795" s="5" t="n">
        <v>1</v>
      </c>
      <c r="CI795" s="5" t="n">
        <v>0</v>
      </c>
      <c r="CJ795" s="5" t="n">
        <v>0</v>
      </c>
      <c r="CK795" s="5" t="n">
        <v>0</v>
      </c>
      <c r="CL795" s="5" t="n">
        <v>0</v>
      </c>
      <c r="CM795" s="5" t="n">
        <v>0</v>
      </c>
      <c r="CN795" s="5" t="n">
        <v>0</v>
      </c>
      <c r="CO795" s="5" t="n">
        <v>0</v>
      </c>
      <c r="CP795" s="5" t="n">
        <v>0</v>
      </c>
      <c r="CQ795" s="5" t="n">
        <v>1.294</v>
      </c>
      <c r="CR795" s="5" t="n">
        <v>0</v>
      </c>
      <c r="CS795" s="5" t="n">
        <v>5.158</v>
      </c>
      <c r="CT795" s="5" t="n">
        <v>10.485</v>
      </c>
      <c r="CU795" s="5" t="n">
        <v>31.326</v>
      </c>
    </row>
    <row r="796">
      <c r="A796" s="5" t="inlineStr">
        <is>
          <t>TGO2023</t>
        </is>
      </c>
      <c r="B796" s="5" t="inlineStr">
        <is>
          <t>TGO</t>
        </is>
      </c>
      <c r="C796" s="5" t="inlineStr">
        <is>
          <t>TGO</t>
        </is>
      </c>
      <c r="D796" s="5" t="inlineStr">
        <is>
          <t>Togo</t>
        </is>
      </c>
      <c r="E796" s="5" t="n">
        <v>2023</v>
      </c>
      <c r="F796" s="5" t="n">
        <v>0.18</v>
      </c>
      <c r="G796" s="5" t="n">
        <v>6.147</v>
      </c>
      <c r="H796" s="5" t="n">
        <v>1.286</v>
      </c>
      <c r="I796" s="5" t="n">
        <v>0</v>
      </c>
      <c r="J796" s="5" t="n">
        <v>6.147</v>
      </c>
      <c r="K796" s="5" t="n">
        <v>0</v>
      </c>
      <c r="L796" s="5" t="n">
        <v>1</v>
      </c>
      <c r="M796" s="5" t="n">
        <v>7.886</v>
      </c>
      <c r="N796" s="5" t="n">
        <v>3.857</v>
      </c>
      <c r="O796" s="5" t="n">
        <v>0</v>
      </c>
      <c r="P796" s="5" t="n">
        <v>7.886</v>
      </c>
      <c r="Q796" s="5" t="n">
        <v>0</v>
      </c>
      <c r="R796" s="5" t="n">
        <v>1</v>
      </c>
      <c r="S796" s="5" t="n">
        <v>12.575</v>
      </c>
      <c r="T796" s="5" t="n">
        <v>7.714</v>
      </c>
      <c r="U796" s="5" t="n">
        <v>-3.114</v>
      </c>
      <c r="V796" s="5" t="n">
        <v>11.164</v>
      </c>
      <c r="W796" s="5" t="n">
        <v>0</v>
      </c>
      <c r="X796" s="5" t="n">
        <v>0</v>
      </c>
      <c r="Y796" s="5" t="n">
        <v>4.324</v>
      </c>
      <c r="Z796" s="5" t="n">
        <v>0.584</v>
      </c>
      <c r="AA796" s="5" t="n">
        <v>0</v>
      </c>
      <c r="AB796" s="5" t="n">
        <v>4.324</v>
      </c>
      <c r="AC796" s="5" t="n">
        <v>0</v>
      </c>
      <c r="AD796" s="5" t="n">
        <v>1</v>
      </c>
      <c r="AE796" s="5" t="n">
        <v>5.609</v>
      </c>
      <c r="AF796" s="5" t="n">
        <v>1.312</v>
      </c>
      <c r="AG796" s="5" t="n">
        <v>0</v>
      </c>
      <c r="AH796" s="5" t="n">
        <v>5.609</v>
      </c>
      <c r="AI796" s="5" t="n">
        <v>0</v>
      </c>
      <c r="AJ796" s="5" t="n">
        <v>1</v>
      </c>
      <c r="AK796" s="5" t="n">
        <v>13.323</v>
      </c>
      <c r="AL796" s="5" t="n">
        <v>7.096</v>
      </c>
      <c r="AM796" s="5" t="n">
        <v>0.266</v>
      </c>
      <c r="AN796" s="5" t="n">
        <v>15.722</v>
      </c>
      <c r="AO796" s="5" t="n">
        <v>0.18</v>
      </c>
      <c r="AP796" s="5" t="n">
        <v>1</v>
      </c>
      <c r="AQ796" s="5" t="n">
        <v>0.76</v>
      </c>
      <c r="AR796" s="5" t="n">
        <v>0.129</v>
      </c>
      <c r="AS796" s="5" t="n">
        <v>0.218</v>
      </c>
      <c r="AT796" s="5" t="n">
        <v>1.154</v>
      </c>
      <c r="AU796" s="5" t="n">
        <v>0.18</v>
      </c>
      <c r="AV796" s="5" t="n">
        <v>1</v>
      </c>
      <c r="AW796" s="5" t="n">
        <v>0.8110000000000001</v>
      </c>
      <c r="AX796" s="5" t="n">
        <v>0.129</v>
      </c>
      <c r="AY796" s="5" t="n">
        <v>0.306</v>
      </c>
      <c r="AZ796" s="5" t="n">
        <v>1.319</v>
      </c>
      <c r="BA796" s="5" t="n">
        <v>0.18</v>
      </c>
      <c r="BB796" s="5" t="n">
        <v>1</v>
      </c>
      <c r="BC796" s="5" t="n">
        <v>0.535</v>
      </c>
      <c r="BD796" s="5" t="n">
        <v>0.129</v>
      </c>
      <c r="BE796" s="5" t="n">
        <v>0.08599999999999999</v>
      </c>
      <c r="BF796" s="5" t="n">
        <v>0.732</v>
      </c>
      <c r="BG796" s="5" t="n">
        <v>0.18</v>
      </c>
      <c r="BH796" s="5" t="n">
        <v>1</v>
      </c>
      <c r="BI796" s="5" t="n">
        <v>0.579</v>
      </c>
      <c r="BJ796" s="5" t="n">
        <v>0.129</v>
      </c>
      <c r="BK796" s="5" t="n">
        <v>0.329</v>
      </c>
      <c r="BL796" s="5" t="n">
        <v>1.072</v>
      </c>
      <c r="BM796" s="5" t="n">
        <v>0.18</v>
      </c>
      <c r="BN796" s="5" t="n">
        <v>1</v>
      </c>
      <c r="BO796" s="5" t="n">
        <v>0</v>
      </c>
      <c r="BP796" s="5" t="n">
        <v>0</v>
      </c>
      <c r="BQ796" s="5" t="n">
        <v>0.189</v>
      </c>
      <c r="BR796" s="5" t="n">
        <v>0</v>
      </c>
      <c r="BS796" s="5" t="n">
        <v>0.5</v>
      </c>
      <c r="BT796" s="5" t="n">
        <v>0</v>
      </c>
      <c r="BU796" s="5" t="n">
        <v>0</v>
      </c>
      <c r="BV796" s="5" t="n">
        <v>0.211</v>
      </c>
      <c r="BW796" s="5" t="n">
        <v>0.18</v>
      </c>
      <c r="BX796" s="5" t="n">
        <v>0.333</v>
      </c>
      <c r="BY796" s="5" t="n">
        <v>13.254</v>
      </c>
      <c r="BZ796" s="5" t="n">
        <v>0</v>
      </c>
      <c r="CA796" s="5" t="n">
        <v>13.254</v>
      </c>
      <c r="CB796" s="5" t="n">
        <v>0</v>
      </c>
      <c r="CC796" s="5" t="n">
        <v>83.248</v>
      </c>
      <c r="CD796" s="5" t="n">
        <v>7.95</v>
      </c>
      <c r="CE796" s="5" t="n">
        <v>1.659</v>
      </c>
      <c r="CF796" s="5" t="n">
        <v>98.233</v>
      </c>
      <c r="CG796" s="5" t="n">
        <v>0.18</v>
      </c>
      <c r="CH796" s="5" t="n">
        <v>1</v>
      </c>
      <c r="CI796" s="5" t="n">
        <v>0</v>
      </c>
      <c r="CJ796" s="5" t="n">
        <v>0</v>
      </c>
      <c r="CK796" s="5" t="n">
        <v>0</v>
      </c>
      <c r="CL796" s="5" t="n">
        <v>0</v>
      </c>
      <c r="CM796" s="5" t="n">
        <v>0</v>
      </c>
      <c r="CN796" s="5" t="n">
        <v>0</v>
      </c>
      <c r="CO796" s="5" t="n">
        <v>0</v>
      </c>
      <c r="CP796" s="5" t="n">
        <v>0</v>
      </c>
      <c r="CQ796" s="5" t="n">
        <v>1.348</v>
      </c>
      <c r="CR796" s="5" t="n">
        <v>0</v>
      </c>
      <c r="CS796" s="5" t="n">
        <v>5.37</v>
      </c>
      <c r="CT796" s="5" t="n">
        <v>4.861</v>
      </c>
      <c r="CU796" s="5" t="n">
        <v>11.622</v>
      </c>
    </row>
    <row r="797">
      <c r="A797" s="5" t="inlineStr">
        <is>
          <t>TGO2024</t>
        </is>
      </c>
      <c r="B797" s="5" t="inlineStr">
        <is>
          <t>TGO</t>
        </is>
      </c>
      <c r="C797" s="5" t="inlineStr">
        <is>
          <t>TGO</t>
        </is>
      </c>
      <c r="D797" s="5" t="inlineStr">
        <is>
          <t>Togo</t>
        </is>
      </c>
      <c r="E797" s="5" t="n">
        <v>2024</v>
      </c>
      <c r="F797" s="5" t="n">
        <v>0.18</v>
      </c>
      <c r="G797" s="5" t="n">
        <v>5.575</v>
      </c>
      <c r="H797" s="5" t="n">
        <v>1.324</v>
      </c>
      <c r="I797" s="5" t="n">
        <v>0</v>
      </c>
      <c r="J797" s="5" t="n">
        <v>5.575</v>
      </c>
      <c r="K797" s="5" t="n">
        <v>0</v>
      </c>
      <c r="L797" s="5" t="n">
        <v>1</v>
      </c>
      <c r="M797" s="5" t="n">
        <v>7.124</v>
      </c>
      <c r="N797" s="5" t="n">
        <v>3.971</v>
      </c>
      <c r="O797" s="5" t="n">
        <v>0</v>
      </c>
      <c r="P797" s="5" t="n">
        <v>7.124</v>
      </c>
      <c r="Q797" s="5" t="n">
        <v>0</v>
      </c>
      <c r="R797" s="5" t="n">
        <v>1</v>
      </c>
      <c r="S797" s="5" t="n">
        <v>12.193</v>
      </c>
      <c r="T797" s="5" t="n">
        <v>7.942</v>
      </c>
      <c r="U797" s="5" t="n">
        <v>-2.9</v>
      </c>
      <c r="V797" s="5" t="n">
        <v>10.966</v>
      </c>
      <c r="W797" s="5" t="n">
        <v>0</v>
      </c>
      <c r="X797" s="5" t="n">
        <v>0</v>
      </c>
      <c r="Y797" s="5" t="n">
        <v>11.492</v>
      </c>
      <c r="Z797" s="5" t="n">
        <v>1.553</v>
      </c>
      <c r="AA797" s="5" t="n">
        <v>0</v>
      </c>
      <c r="AB797" s="5" t="n">
        <v>11.492</v>
      </c>
      <c r="AC797" s="5" t="n">
        <v>0</v>
      </c>
      <c r="AD797" s="5" t="n">
        <v>1</v>
      </c>
      <c r="AE797" s="5" t="n">
        <v>12.815</v>
      </c>
      <c r="AF797" s="5" t="n">
        <v>2.997</v>
      </c>
      <c r="AG797" s="5" t="n">
        <v>0</v>
      </c>
      <c r="AH797" s="5" t="n">
        <v>12.815</v>
      </c>
      <c r="AI797" s="5" t="n">
        <v>0</v>
      </c>
      <c r="AJ797" s="5" t="n">
        <v>1</v>
      </c>
      <c r="AK797" s="5" t="n">
        <v>20.757</v>
      </c>
      <c r="AL797" s="5" t="n">
        <v>11.055</v>
      </c>
      <c r="AM797" s="5" t="n">
        <v>0.509</v>
      </c>
      <c r="AN797" s="5" t="n">
        <v>24.493</v>
      </c>
      <c r="AO797" s="5" t="n">
        <v>0.18</v>
      </c>
      <c r="AP797" s="5" t="n">
        <v>1</v>
      </c>
      <c r="AQ797" s="5" t="n">
        <v>0.724</v>
      </c>
      <c r="AR797" s="5" t="n">
        <v>0.132</v>
      </c>
      <c r="AS797" s="5" t="n">
        <v>0.252</v>
      </c>
      <c r="AT797" s="5" t="n">
        <v>1.152</v>
      </c>
      <c r="AU797" s="5" t="n">
        <v>0.18</v>
      </c>
      <c r="AV797" s="5" t="n">
        <v>1</v>
      </c>
      <c r="AW797" s="5" t="n">
        <v>0.75</v>
      </c>
      <c r="AX797" s="5" t="n">
        <v>0.132</v>
      </c>
      <c r="AY797" s="5" t="n">
        <v>0.324</v>
      </c>
      <c r="AZ797" s="5" t="n">
        <v>1.267</v>
      </c>
      <c r="BA797" s="5" t="n">
        <v>0.18</v>
      </c>
      <c r="BB797" s="5" t="n">
        <v>1</v>
      </c>
      <c r="BC797" s="5" t="n">
        <v>0.513</v>
      </c>
      <c r="BD797" s="5" t="n">
        <v>0.132</v>
      </c>
      <c r="BE797" s="5" t="n">
        <v>0.08</v>
      </c>
      <c r="BF797" s="5" t="n">
        <v>0.7</v>
      </c>
      <c r="BG797" s="5" t="n">
        <v>0.18</v>
      </c>
      <c r="BH797" s="5" t="n">
        <v>1</v>
      </c>
      <c r="BI797" s="5" t="n">
        <v>0.591</v>
      </c>
      <c r="BJ797" s="5" t="n">
        <v>0.132</v>
      </c>
      <c r="BK797" s="5" t="n">
        <v>0.317</v>
      </c>
      <c r="BL797" s="5" t="n">
        <v>1.072</v>
      </c>
      <c r="BM797" s="5" t="n">
        <v>0.18</v>
      </c>
      <c r="BN797" s="5" t="n">
        <v>1</v>
      </c>
      <c r="BO797" s="5" t="n">
        <v>0</v>
      </c>
      <c r="BP797" s="5" t="n">
        <v>0</v>
      </c>
      <c r="BQ797" s="5" t="n">
        <v>0.152</v>
      </c>
      <c r="BR797" s="5" t="n">
        <v>0</v>
      </c>
      <c r="BS797" s="5" t="n">
        <v>0.5</v>
      </c>
      <c r="BT797" s="5" t="n">
        <v>0</v>
      </c>
      <c r="BU797" s="5" t="n">
        <v>0</v>
      </c>
      <c r="BV797" s="5" t="n">
        <v>0.211</v>
      </c>
      <c r="BW797" s="5" t="n">
        <v>0.18</v>
      </c>
      <c r="BX797" s="5" t="n">
        <v>0.333</v>
      </c>
      <c r="BY797" s="5" t="n">
        <v>13.646</v>
      </c>
      <c r="BZ797" s="5" t="n">
        <v>0</v>
      </c>
      <c r="CA797" s="5" t="n">
        <v>13.646</v>
      </c>
      <c r="CB797" s="5" t="n">
        <v>0</v>
      </c>
      <c r="CC797" s="5" t="n">
        <v>82.58799999999999</v>
      </c>
      <c r="CD797" s="5" t="n">
        <v>7.95</v>
      </c>
      <c r="CE797" s="5" t="n">
        <v>2.025</v>
      </c>
      <c r="CF797" s="5" t="n">
        <v>97.45399999999999</v>
      </c>
      <c r="CG797" s="5" t="n">
        <v>0.18</v>
      </c>
      <c r="CH797" s="5" t="n">
        <v>1</v>
      </c>
      <c r="CI797" s="5" t="n">
        <v>0</v>
      </c>
      <c r="CJ797" s="5" t="n">
        <v>0</v>
      </c>
      <c r="CK797" s="5" t="n">
        <v>0</v>
      </c>
      <c r="CL797" s="5" t="n">
        <v>0</v>
      </c>
      <c r="CM797" s="5" t="n">
        <v>0</v>
      </c>
      <c r="CN797" s="5" t="n">
        <v>0</v>
      </c>
      <c r="CO797" s="5" t="n">
        <v>0</v>
      </c>
      <c r="CP797" s="5" t="n">
        <v>0</v>
      </c>
      <c r="CQ797" s="5" t="n">
        <v>1.387</v>
      </c>
      <c r="CR797" s="5" t="n">
        <v>0</v>
      </c>
      <c r="CS797" s="5" t="n">
        <v>5.529</v>
      </c>
      <c r="CT797" s="5" t="n">
        <v>4.251</v>
      </c>
      <c r="CU797" s="5" t="n">
        <v>10.168</v>
      </c>
    </row>
    <row r="798">
      <c r="A798" s="5" t="inlineStr">
        <is>
          <t>TON2021</t>
        </is>
      </c>
      <c r="B798" s="5" t="inlineStr">
        <is>
          <t>TON</t>
        </is>
      </c>
      <c r="C798" s="5" t="inlineStr">
        <is>
          <t>TON</t>
        </is>
      </c>
      <c r="D798" s="5" t="inlineStr">
        <is>
          <t>Tonga</t>
        </is>
      </c>
      <c r="E798" s="5" t="n">
        <v>2021</v>
      </c>
      <c r="F798" s="5" t="n">
        <v>0.15</v>
      </c>
      <c r="G798" s="5" t="n">
        <v>4.747</v>
      </c>
      <c r="H798" s="5" t="n">
        <v>1.143</v>
      </c>
      <c r="I798" s="5" t="n">
        <v>0</v>
      </c>
      <c r="J798" s="5" t="n">
        <v>4.747</v>
      </c>
      <c r="K798" s="5" t="n">
        <v>0</v>
      </c>
      <c r="L798" s="5" t="n">
        <v>1</v>
      </c>
      <c r="M798" s="5" t="n">
        <v>7.964</v>
      </c>
      <c r="N798" s="5" t="n">
        <v>3.43</v>
      </c>
      <c r="O798" s="5" t="n">
        <v>0</v>
      </c>
      <c r="P798" s="5" t="n">
        <v>7.964</v>
      </c>
      <c r="Q798" s="5" t="n">
        <v>0</v>
      </c>
      <c r="R798" s="5" t="n">
        <v>1</v>
      </c>
      <c r="S798" s="5" t="n">
        <v>10.464</v>
      </c>
      <c r="T798" s="5" t="n">
        <v>6.86</v>
      </c>
      <c r="U798" s="5" t="n">
        <v>0</v>
      </c>
      <c r="V798" s="5" t="n">
        <v>12.034</v>
      </c>
      <c r="W798" s="5" t="n">
        <v>0.15</v>
      </c>
      <c r="X798" s="5" t="n">
        <v>1</v>
      </c>
      <c r="Y798" s="5" t="n">
        <v>5.584</v>
      </c>
      <c r="Z798" s="5" t="n">
        <v>0.6889999999999999</v>
      </c>
      <c r="AA798" s="5" t="n">
        <v>0</v>
      </c>
      <c r="AB798" s="5" t="n">
        <v>5.584</v>
      </c>
      <c r="AC798" s="5" t="n">
        <v>0</v>
      </c>
      <c r="AD798" s="5" t="n">
        <v>1</v>
      </c>
      <c r="AE798" s="5" t="n">
        <v>6.727</v>
      </c>
      <c r="AF798" s="5" t="n">
        <v>1.467</v>
      </c>
      <c r="AG798" s="5" t="n">
        <v>0</v>
      </c>
      <c r="AH798" s="5" t="n">
        <v>6.727</v>
      </c>
      <c r="AI798" s="5" t="n">
        <v>0</v>
      </c>
      <c r="AJ798" s="5" t="n">
        <v>1</v>
      </c>
      <c r="AK798" s="5" t="n">
        <v>13.587</v>
      </c>
      <c r="AL798" s="5" t="n">
        <v>7.05</v>
      </c>
      <c r="AM798" s="5" t="n">
        <v>0</v>
      </c>
      <c r="AN798" s="5" t="n">
        <v>15.625</v>
      </c>
      <c r="AO798" s="5" t="n">
        <v>0.15</v>
      </c>
      <c r="AP798" s="5" t="n">
        <v>1</v>
      </c>
      <c r="AQ798" s="5" t="n">
        <v>0.621</v>
      </c>
      <c r="AR798" s="5" t="n">
        <v>0.114</v>
      </c>
      <c r="AS798" s="5" t="n">
        <v>0</v>
      </c>
      <c r="AT798" s="5" t="n">
        <v>0.714</v>
      </c>
      <c r="AU798" s="5" t="n">
        <v>0.15</v>
      </c>
      <c r="AV798" s="5" t="n">
        <v>1</v>
      </c>
      <c r="AW798" s="5" t="n">
        <v>0.593</v>
      </c>
      <c r="AX798" s="5" t="n">
        <v>0.114</v>
      </c>
      <c r="AY798" s="5" t="n">
        <v>0</v>
      </c>
      <c r="AZ798" s="5" t="n">
        <v>0.6820000000000001</v>
      </c>
      <c r="BA798" s="5" t="n">
        <v>0.15</v>
      </c>
      <c r="BB798" s="5" t="n">
        <v>1</v>
      </c>
      <c r="BC798" s="5" t="n">
        <v>0.44</v>
      </c>
      <c r="BD798" s="5" t="n">
        <v>0.114</v>
      </c>
      <c r="BE798" s="5" t="n">
        <v>0</v>
      </c>
      <c r="BF798" s="5" t="n">
        <v>0.506</v>
      </c>
      <c r="BG798" s="5" t="n">
        <v>0.15</v>
      </c>
      <c r="BH798" s="5" t="n">
        <v>1</v>
      </c>
      <c r="BI798" s="5" t="n">
        <v>0.5600000000000001</v>
      </c>
      <c r="BJ798" s="5" t="n">
        <v>0.114</v>
      </c>
      <c r="BK798" s="5" t="n">
        <v>0</v>
      </c>
      <c r="BL798" s="5" t="n">
        <v>0.644</v>
      </c>
      <c r="BM798" s="5" t="n">
        <v>0.15</v>
      </c>
      <c r="BN798" s="5" t="n">
        <v>1</v>
      </c>
      <c r="BO798" s="5" t="n">
        <v>0</v>
      </c>
      <c r="BP798" s="5" t="n">
        <v>0</v>
      </c>
      <c r="BQ798" s="5" t="n">
        <v>0</v>
      </c>
      <c r="BR798" s="5" t="n">
        <v>0</v>
      </c>
      <c r="BS798" s="5" t="n">
        <v>1</v>
      </c>
      <c r="BT798" s="5" t="n">
        <v>0</v>
      </c>
      <c r="BU798" s="5" t="n">
        <v>0</v>
      </c>
      <c r="BV798" s="5" t="n">
        <v>0</v>
      </c>
      <c r="BW798" s="5" t="n">
        <v>0.15</v>
      </c>
      <c r="BX798" s="5" t="n">
        <v>1</v>
      </c>
      <c r="BY798" s="5" t="n">
        <v>11.787</v>
      </c>
      <c r="BZ798" s="5" t="n">
        <v>0</v>
      </c>
      <c r="CA798" s="5" t="n">
        <v>11.787</v>
      </c>
      <c r="CB798" s="5" t="n">
        <v>0</v>
      </c>
      <c r="CC798" s="5" t="n">
        <v>81.69499999999999</v>
      </c>
      <c r="CD798" s="5" t="n">
        <v>7.95</v>
      </c>
      <c r="CE798" s="5" t="n">
        <v>0</v>
      </c>
      <c r="CF798" s="5" t="n">
        <v>93.95</v>
      </c>
      <c r="CG798" s="5" t="n">
        <v>0.15</v>
      </c>
      <c r="CH798" s="5" t="n">
        <v>1</v>
      </c>
      <c r="CI798" s="5" t="n">
        <v>0</v>
      </c>
      <c r="CJ798" s="5" t="n">
        <v>0</v>
      </c>
      <c r="CK798" s="5" t="n">
        <v>0</v>
      </c>
      <c r="CL798" s="5" t="n">
        <v>0</v>
      </c>
      <c r="CM798" s="5" t="n">
        <v>0</v>
      </c>
      <c r="CN798" s="5" t="n">
        <v>0</v>
      </c>
      <c r="CO798" s="5" t="n">
        <v>0</v>
      </c>
      <c r="CP798" s="5" t="n">
        <v>0</v>
      </c>
      <c r="CQ798" s="5" t="n">
        <v>1.198</v>
      </c>
      <c r="CR798" s="5" t="n">
        <v>0</v>
      </c>
      <c r="CS798" s="5" t="n">
        <v>4.776</v>
      </c>
      <c r="CT798" s="5" t="n">
        <v>3.604</v>
      </c>
      <c r="CU798" s="5" t="n">
        <v>9.407999999999999</v>
      </c>
    </row>
    <row r="799">
      <c r="A799" s="5" t="inlineStr">
        <is>
          <t>TON2022</t>
        </is>
      </c>
      <c r="B799" s="5" t="inlineStr">
        <is>
          <t>TON</t>
        </is>
      </c>
      <c r="C799" s="5" t="inlineStr">
        <is>
          <t>TON</t>
        </is>
      </c>
      <c r="D799" s="5" t="inlineStr">
        <is>
          <t>Tonga</t>
        </is>
      </c>
      <c r="E799" s="5" t="n">
        <v>2022</v>
      </c>
      <c r="F799" s="5" t="n">
        <v>0.15</v>
      </c>
      <c r="G799" s="5" t="n">
        <v>8.788</v>
      </c>
      <c r="H799" s="5" t="n">
        <v>1.235</v>
      </c>
      <c r="I799" s="5" t="n">
        <v>0</v>
      </c>
      <c r="J799" s="5" t="n">
        <v>8.788</v>
      </c>
      <c r="K799" s="5" t="n">
        <v>0</v>
      </c>
      <c r="L799" s="5" t="n">
        <v>1</v>
      </c>
      <c r="M799" s="5" t="n">
        <v>9.782999999999999</v>
      </c>
      <c r="N799" s="5" t="n">
        <v>3.704</v>
      </c>
      <c r="O799" s="5" t="n">
        <v>0</v>
      </c>
      <c r="P799" s="5" t="n">
        <v>9.782999999999999</v>
      </c>
      <c r="Q799" s="5" t="n">
        <v>0</v>
      </c>
      <c r="R799" s="5" t="n">
        <v>1</v>
      </c>
      <c r="S799" s="5" t="n">
        <v>14.962</v>
      </c>
      <c r="T799" s="5" t="n">
        <v>7.408</v>
      </c>
      <c r="U799" s="5" t="n">
        <v>0.166</v>
      </c>
      <c r="V799" s="5" t="n">
        <v>17.206</v>
      </c>
      <c r="W799" s="5" t="n">
        <v>0.15</v>
      </c>
      <c r="X799" s="5" t="n">
        <v>1</v>
      </c>
      <c r="Y799" s="5" t="n">
        <v>6.03</v>
      </c>
      <c r="Z799" s="5" t="n">
        <v>0.744</v>
      </c>
      <c r="AA799" s="5" t="n">
        <v>0</v>
      </c>
      <c r="AB799" s="5" t="n">
        <v>6.03</v>
      </c>
      <c r="AC799" s="5" t="n">
        <v>0</v>
      </c>
      <c r="AD799" s="5" t="n">
        <v>1</v>
      </c>
      <c r="AE799" s="5" t="n">
        <v>7.265</v>
      </c>
      <c r="AF799" s="5" t="n">
        <v>1.584</v>
      </c>
      <c r="AG799" s="5" t="n">
        <v>0</v>
      </c>
      <c r="AH799" s="5" t="n">
        <v>7.265</v>
      </c>
      <c r="AI799" s="5" t="n">
        <v>0</v>
      </c>
      <c r="AJ799" s="5" t="n">
        <v>1</v>
      </c>
      <c r="AK799" s="5" t="n">
        <v>14.673</v>
      </c>
      <c r="AL799" s="5" t="n">
        <v>7.614</v>
      </c>
      <c r="AM799" s="5" t="n">
        <v>0.163</v>
      </c>
      <c r="AN799" s="5" t="n">
        <v>16.874</v>
      </c>
      <c r="AO799" s="5" t="n">
        <v>0.15</v>
      </c>
      <c r="AP799" s="5" t="n">
        <v>1</v>
      </c>
      <c r="AQ799" s="5" t="n">
        <v>0.847</v>
      </c>
      <c r="AR799" s="5" t="n">
        <v>0.123</v>
      </c>
      <c r="AS799" s="5" t="n">
        <v>0.008999999999999999</v>
      </c>
      <c r="AT799" s="5" t="n">
        <v>0.974</v>
      </c>
      <c r="AU799" s="5" t="n">
        <v>0.15</v>
      </c>
      <c r="AV799" s="5" t="n">
        <v>1</v>
      </c>
      <c r="AW799" s="5" t="n">
        <v>0.947</v>
      </c>
      <c r="AX799" s="5" t="n">
        <v>0.123</v>
      </c>
      <c r="AY799" s="5" t="n">
        <v>0.011</v>
      </c>
      <c r="AZ799" s="5" t="n">
        <v>1.089</v>
      </c>
      <c r="BA799" s="5" t="n">
        <v>0.15</v>
      </c>
      <c r="BB799" s="5" t="n">
        <v>1</v>
      </c>
      <c r="BC799" s="5" t="n">
        <v>0.589</v>
      </c>
      <c r="BD799" s="5" t="n">
        <v>0.123</v>
      </c>
      <c r="BE799" s="5" t="n">
        <v>0.007</v>
      </c>
      <c r="BF799" s="5" t="n">
        <v>0.677</v>
      </c>
      <c r="BG799" s="5" t="n">
        <v>0.15</v>
      </c>
      <c r="BH799" s="5" t="n">
        <v>1</v>
      </c>
      <c r="BI799" s="5" t="n">
        <v>0.6889999999999999</v>
      </c>
      <c r="BJ799" s="5" t="n">
        <v>0.123</v>
      </c>
      <c r="BK799" s="5" t="n">
        <v>0.008</v>
      </c>
      <c r="BL799" s="5" t="n">
        <v>0.792</v>
      </c>
      <c r="BM799" s="5" t="n">
        <v>0.15</v>
      </c>
      <c r="BN799" s="5" t="n">
        <v>1</v>
      </c>
      <c r="BO799" s="5" t="n">
        <v>0</v>
      </c>
      <c r="BP799" s="5" t="n">
        <v>0</v>
      </c>
      <c r="BQ799" s="5" t="n">
        <v>0</v>
      </c>
      <c r="BR799" s="5" t="n">
        <v>0</v>
      </c>
      <c r="BS799" s="5" t="n">
        <v>1</v>
      </c>
      <c r="BT799" s="5" t="n">
        <v>0</v>
      </c>
      <c r="BU799" s="5" t="n">
        <v>0</v>
      </c>
      <c r="BV799" s="5" t="n">
        <v>0</v>
      </c>
      <c r="BW799" s="5" t="n">
        <v>0.15</v>
      </c>
      <c r="BX799" s="5" t="n">
        <v>1</v>
      </c>
      <c r="BY799" s="5" t="n">
        <v>12.729</v>
      </c>
      <c r="BZ799" s="5" t="n">
        <v>0</v>
      </c>
      <c r="CA799" s="5" t="n">
        <v>12.729</v>
      </c>
      <c r="CB799" s="5" t="n">
        <v>0</v>
      </c>
      <c r="CC799" s="5" t="n">
        <v>102.477</v>
      </c>
      <c r="CD799" s="5" t="n">
        <v>7.95</v>
      </c>
      <c r="CE799" s="5" t="n">
        <v>1.138</v>
      </c>
      <c r="CF799" s="5" t="n">
        <v>117.848</v>
      </c>
      <c r="CG799" s="5" t="n">
        <v>0.15</v>
      </c>
      <c r="CH799" s="5" t="n">
        <v>1</v>
      </c>
      <c r="CI799" s="5" t="n">
        <v>0</v>
      </c>
      <c r="CJ799" s="5" t="n">
        <v>0</v>
      </c>
      <c r="CK799" s="5" t="n">
        <v>0</v>
      </c>
      <c r="CL799" s="5" t="n">
        <v>0</v>
      </c>
      <c r="CM799" s="5" t="n">
        <v>0</v>
      </c>
      <c r="CN799" s="5" t="n">
        <v>0</v>
      </c>
      <c r="CO799" s="5" t="n">
        <v>0</v>
      </c>
      <c r="CP799" s="5" t="n">
        <v>0</v>
      </c>
      <c r="CQ799" s="5" t="n">
        <v>1.294</v>
      </c>
      <c r="CR799" s="5" t="n">
        <v>0</v>
      </c>
      <c r="CS799" s="5" t="n">
        <v>5.158</v>
      </c>
      <c r="CT799" s="5" t="n">
        <v>7.554</v>
      </c>
      <c r="CU799" s="5" t="n">
        <v>16.097</v>
      </c>
    </row>
    <row r="800">
      <c r="A800" s="5" t="inlineStr">
        <is>
          <t>TON2023</t>
        </is>
      </c>
      <c r="B800" s="5" t="inlineStr">
        <is>
          <t>TON</t>
        </is>
      </c>
      <c r="C800" s="5" t="inlineStr">
        <is>
          <t>TON</t>
        </is>
      </c>
      <c r="D800" s="5" t="inlineStr">
        <is>
          <t>Tonga</t>
        </is>
      </c>
      <c r="E800" s="5" t="n">
        <v>2023</v>
      </c>
      <c r="F800" s="5" t="n">
        <v>0.15</v>
      </c>
      <c r="G800" s="5" t="n">
        <v>5.77</v>
      </c>
      <c r="H800" s="5" t="n">
        <v>1.286</v>
      </c>
      <c r="I800" s="5" t="n">
        <v>0</v>
      </c>
      <c r="J800" s="5" t="n">
        <v>5.77</v>
      </c>
      <c r="K800" s="5" t="n">
        <v>0</v>
      </c>
      <c r="L800" s="5" t="n">
        <v>1</v>
      </c>
      <c r="M800" s="5" t="n">
        <v>7.886</v>
      </c>
      <c r="N800" s="5" t="n">
        <v>3.857</v>
      </c>
      <c r="O800" s="5" t="n">
        <v>0</v>
      </c>
      <c r="P800" s="5" t="n">
        <v>7.886</v>
      </c>
      <c r="Q800" s="5" t="n">
        <v>0</v>
      </c>
      <c r="R800" s="5" t="n">
        <v>1</v>
      </c>
      <c r="S800" s="5" t="n">
        <v>12.198</v>
      </c>
      <c r="T800" s="5" t="n">
        <v>7.714</v>
      </c>
      <c r="U800" s="5" t="n">
        <v>0.203</v>
      </c>
      <c r="V800" s="5" t="n">
        <v>14.028</v>
      </c>
      <c r="W800" s="5" t="n">
        <v>0.15</v>
      </c>
      <c r="X800" s="5" t="n">
        <v>1</v>
      </c>
      <c r="Y800" s="5" t="n">
        <v>6.279</v>
      </c>
      <c r="Z800" s="5" t="n">
        <v>0.775</v>
      </c>
      <c r="AA800" s="5" t="n">
        <v>0</v>
      </c>
      <c r="AB800" s="5" t="n">
        <v>6.279</v>
      </c>
      <c r="AC800" s="5" t="n">
        <v>0</v>
      </c>
      <c r="AD800" s="5" t="n">
        <v>1</v>
      </c>
      <c r="AE800" s="5" t="n">
        <v>7.565</v>
      </c>
      <c r="AF800" s="5" t="n">
        <v>1.649</v>
      </c>
      <c r="AG800" s="5" t="n">
        <v>0</v>
      </c>
      <c r="AH800" s="5" t="n">
        <v>7.565</v>
      </c>
      <c r="AI800" s="5" t="n">
        <v>0</v>
      </c>
      <c r="AJ800" s="5" t="n">
        <v>1</v>
      </c>
      <c r="AK800" s="5" t="n">
        <v>15.279</v>
      </c>
      <c r="AL800" s="5" t="n">
        <v>7.928</v>
      </c>
      <c r="AM800" s="5" t="n">
        <v>0.254</v>
      </c>
      <c r="AN800" s="5" t="n">
        <v>17.571</v>
      </c>
      <c r="AO800" s="5" t="n">
        <v>0.15</v>
      </c>
      <c r="AP800" s="5" t="n">
        <v>1</v>
      </c>
      <c r="AQ800" s="5" t="n">
        <v>0.749</v>
      </c>
      <c r="AR800" s="5" t="n">
        <v>0.129</v>
      </c>
      <c r="AS800" s="5" t="n">
        <v>0.012</v>
      </c>
      <c r="AT800" s="5" t="n">
        <v>0.861</v>
      </c>
      <c r="AU800" s="5" t="n">
        <v>0.15</v>
      </c>
      <c r="AV800" s="5" t="n">
        <v>1</v>
      </c>
      <c r="AW800" s="5" t="n">
        <v>0.783</v>
      </c>
      <c r="AX800" s="5" t="n">
        <v>0.129</v>
      </c>
      <c r="AY800" s="5" t="n">
        <v>0.013</v>
      </c>
      <c r="AZ800" s="5" t="n">
        <v>0.9</v>
      </c>
      <c r="BA800" s="5" t="n">
        <v>0.15</v>
      </c>
      <c r="BB800" s="5" t="n">
        <v>1</v>
      </c>
      <c r="BC800" s="5" t="n">
        <v>0.527</v>
      </c>
      <c r="BD800" s="5" t="n">
        <v>0.129</v>
      </c>
      <c r="BE800" s="5" t="n">
        <v>0.008999999999999999</v>
      </c>
      <c r="BF800" s="5" t="n">
        <v>0.607</v>
      </c>
      <c r="BG800" s="5" t="n">
        <v>0.15</v>
      </c>
      <c r="BH800" s="5" t="n">
        <v>1</v>
      </c>
      <c r="BI800" s="5" t="n">
        <v>0.64</v>
      </c>
      <c r="BJ800" s="5" t="n">
        <v>0.129</v>
      </c>
      <c r="BK800" s="5" t="n">
        <v>0.011</v>
      </c>
      <c r="BL800" s="5" t="n">
        <v>0.736</v>
      </c>
      <c r="BM800" s="5" t="n">
        <v>0.15</v>
      </c>
      <c r="BN800" s="5" t="n">
        <v>1</v>
      </c>
      <c r="BO800" s="5" t="n">
        <v>0</v>
      </c>
      <c r="BP800" s="5" t="n">
        <v>0</v>
      </c>
      <c r="BQ800" s="5" t="n">
        <v>0</v>
      </c>
      <c r="BR800" s="5" t="n">
        <v>0</v>
      </c>
      <c r="BS800" s="5" t="n">
        <v>1</v>
      </c>
      <c r="BT800" s="5" t="n">
        <v>0</v>
      </c>
      <c r="BU800" s="5" t="n">
        <v>0</v>
      </c>
      <c r="BV800" s="5" t="n">
        <v>0</v>
      </c>
      <c r="BW800" s="5" t="n">
        <v>0.15</v>
      </c>
      <c r="BX800" s="5" t="n">
        <v>1</v>
      </c>
      <c r="BY800" s="5" t="n">
        <v>13.254</v>
      </c>
      <c r="BZ800" s="5" t="n">
        <v>0</v>
      </c>
      <c r="CA800" s="5" t="n">
        <v>13.254</v>
      </c>
      <c r="CB800" s="5" t="n">
        <v>0</v>
      </c>
      <c r="CC800" s="5" t="n">
        <v>87.07899999999999</v>
      </c>
      <c r="CD800" s="5" t="n">
        <v>7.95</v>
      </c>
      <c r="CE800" s="5" t="n">
        <v>1.446</v>
      </c>
      <c r="CF800" s="5" t="n">
        <v>100.141</v>
      </c>
      <c r="CG800" s="5" t="n">
        <v>0.15</v>
      </c>
      <c r="CH800" s="5" t="n">
        <v>1</v>
      </c>
      <c r="CI800" s="5" t="n">
        <v>0</v>
      </c>
      <c r="CJ800" s="5" t="n">
        <v>0</v>
      </c>
      <c r="CK800" s="5" t="n">
        <v>0</v>
      </c>
      <c r="CL800" s="5" t="n">
        <v>0</v>
      </c>
      <c r="CM800" s="5" t="n">
        <v>0</v>
      </c>
      <c r="CN800" s="5" t="n">
        <v>0</v>
      </c>
      <c r="CO800" s="5" t="n">
        <v>0</v>
      </c>
      <c r="CP800" s="5" t="n">
        <v>0</v>
      </c>
      <c r="CQ800" s="5" t="n">
        <v>1.348</v>
      </c>
      <c r="CR800" s="5" t="n">
        <v>0</v>
      </c>
      <c r="CS800" s="5" t="n">
        <v>5.37</v>
      </c>
      <c r="CT800" s="5" t="n">
        <v>4.484</v>
      </c>
      <c r="CU800" s="5" t="n">
        <v>12.529</v>
      </c>
    </row>
    <row r="801">
      <c r="A801" s="5" t="inlineStr">
        <is>
          <t>TON2024</t>
        </is>
      </c>
      <c r="B801" s="5" t="inlineStr">
        <is>
          <t>TON</t>
        </is>
      </c>
      <c r="C801" s="5" t="inlineStr">
        <is>
          <t>TON</t>
        </is>
      </c>
      <c r="D801" s="5" t="inlineStr">
        <is>
          <t>Tonga</t>
        </is>
      </c>
      <c r="E801" s="5" t="n">
        <v>2024</v>
      </c>
      <c r="F801" s="5" t="n">
        <v>0.15</v>
      </c>
      <c r="G801" s="5" t="n">
        <v>4.833</v>
      </c>
      <c r="H801" s="5" t="n">
        <v>1.324</v>
      </c>
      <c r="I801" s="5" t="n">
        <v>0</v>
      </c>
      <c r="J801" s="5" t="n">
        <v>4.833</v>
      </c>
      <c r="K801" s="5" t="n">
        <v>0</v>
      </c>
      <c r="L801" s="5" t="n">
        <v>1</v>
      </c>
      <c r="M801" s="5" t="n">
        <v>7.124</v>
      </c>
      <c r="N801" s="5" t="n">
        <v>3.971</v>
      </c>
      <c r="O801" s="5" t="n">
        <v>0</v>
      </c>
      <c r="P801" s="5" t="n">
        <v>7.124</v>
      </c>
      <c r="Q801" s="5" t="n">
        <v>0</v>
      </c>
      <c r="R801" s="5" t="n">
        <v>1</v>
      </c>
      <c r="S801" s="5" t="n">
        <v>11.451</v>
      </c>
      <c r="T801" s="5" t="n">
        <v>7.942</v>
      </c>
      <c r="U801" s="5" t="n">
        <v>0.234</v>
      </c>
      <c r="V801" s="5" t="n">
        <v>13.168</v>
      </c>
      <c r="W801" s="5" t="n">
        <v>0.15</v>
      </c>
      <c r="X801" s="5" t="n">
        <v>1</v>
      </c>
      <c r="Y801" s="5" t="n">
        <v>6.465</v>
      </c>
      <c r="Z801" s="5" t="n">
        <v>0.798</v>
      </c>
      <c r="AA801" s="5" t="n">
        <v>0</v>
      </c>
      <c r="AB801" s="5" t="n">
        <v>6.465</v>
      </c>
      <c r="AC801" s="5" t="n">
        <v>0</v>
      </c>
      <c r="AD801" s="5" t="n">
        <v>1</v>
      </c>
      <c r="AE801" s="5" t="n">
        <v>7.788</v>
      </c>
      <c r="AF801" s="5" t="n">
        <v>1.698</v>
      </c>
      <c r="AG801" s="5" t="n">
        <v>0</v>
      </c>
      <c r="AH801" s="5" t="n">
        <v>7.788</v>
      </c>
      <c r="AI801" s="5" t="n">
        <v>0</v>
      </c>
      <c r="AJ801" s="5" t="n">
        <v>1</v>
      </c>
      <c r="AK801" s="5" t="n">
        <v>15.73</v>
      </c>
      <c r="AL801" s="5" t="n">
        <v>8.162000000000001</v>
      </c>
      <c r="AM801" s="5" t="n">
        <v>0.321</v>
      </c>
      <c r="AN801" s="5" t="n">
        <v>18.09</v>
      </c>
      <c r="AO801" s="5" t="n">
        <v>0.15</v>
      </c>
      <c r="AP801" s="5" t="n">
        <v>1</v>
      </c>
      <c r="AQ801" s="5" t="n">
        <v>0.72</v>
      </c>
      <c r="AR801" s="5" t="n">
        <v>0.132</v>
      </c>
      <c r="AS801" s="5" t="n">
        <v>0.015</v>
      </c>
      <c r="AT801" s="5" t="n">
        <v>0.828</v>
      </c>
      <c r="AU801" s="5" t="n">
        <v>0.15</v>
      </c>
      <c r="AV801" s="5" t="n">
        <v>1</v>
      </c>
      <c r="AW801" s="5" t="n">
        <v>0.734</v>
      </c>
      <c r="AX801" s="5" t="n">
        <v>0.132</v>
      </c>
      <c r="AY801" s="5" t="n">
        <v>0.015</v>
      </c>
      <c r="AZ801" s="5" t="n">
        <v>0.844</v>
      </c>
      <c r="BA801" s="5" t="n">
        <v>0.15</v>
      </c>
      <c r="BB801" s="5" t="n">
        <v>1</v>
      </c>
      <c r="BC801" s="5" t="n">
        <v>0.51</v>
      </c>
      <c r="BD801" s="5" t="n">
        <v>0.132</v>
      </c>
      <c r="BE801" s="5" t="n">
        <v>0.01</v>
      </c>
      <c r="BF801" s="5" t="n">
        <v>0.587</v>
      </c>
      <c r="BG801" s="5" t="n">
        <v>0.15</v>
      </c>
      <c r="BH801" s="5" t="n">
        <v>1</v>
      </c>
      <c r="BI801" s="5" t="n">
        <v>0.652</v>
      </c>
      <c r="BJ801" s="5" t="n">
        <v>0.132</v>
      </c>
      <c r="BK801" s="5" t="n">
        <v>0.013</v>
      </c>
      <c r="BL801" s="5" t="n">
        <v>0.75</v>
      </c>
      <c r="BM801" s="5" t="n">
        <v>0.15</v>
      </c>
      <c r="BN801" s="5" t="n">
        <v>1</v>
      </c>
      <c r="BO801" s="5" t="n">
        <v>0</v>
      </c>
      <c r="BP801" s="5" t="n">
        <v>0</v>
      </c>
      <c r="BQ801" s="5" t="n">
        <v>0</v>
      </c>
      <c r="BR801" s="5" t="n">
        <v>0</v>
      </c>
      <c r="BS801" s="5" t="n">
        <v>1</v>
      </c>
      <c r="BT801" s="5" t="n">
        <v>0</v>
      </c>
      <c r="BU801" s="5" t="n">
        <v>0</v>
      </c>
      <c r="BV801" s="5" t="n">
        <v>0</v>
      </c>
      <c r="BW801" s="5" t="n">
        <v>0.15</v>
      </c>
      <c r="BX801" s="5" t="n">
        <v>1</v>
      </c>
      <c r="BY801" s="5" t="n">
        <v>13.646</v>
      </c>
      <c r="BZ801" s="5" t="n">
        <v>0</v>
      </c>
      <c r="CA801" s="5" t="n">
        <v>13.646</v>
      </c>
      <c r="CB801" s="5" t="n">
        <v>0</v>
      </c>
      <c r="CC801" s="5" t="n">
        <v>86.38500000000001</v>
      </c>
      <c r="CD801" s="5" t="n">
        <v>7.95</v>
      </c>
      <c r="CE801" s="5" t="n">
        <v>1.765</v>
      </c>
      <c r="CF801" s="5" t="n">
        <v>99.343</v>
      </c>
      <c r="CG801" s="5" t="n">
        <v>0.15</v>
      </c>
      <c r="CH801" s="5" t="n">
        <v>1</v>
      </c>
      <c r="CI801" s="5" t="n">
        <v>0</v>
      </c>
      <c r="CJ801" s="5" t="n">
        <v>0</v>
      </c>
      <c r="CK801" s="5" t="n">
        <v>0</v>
      </c>
      <c r="CL801" s="5" t="n">
        <v>0</v>
      </c>
      <c r="CM801" s="5" t="n">
        <v>0</v>
      </c>
      <c r="CN801" s="5" t="n">
        <v>0</v>
      </c>
      <c r="CO801" s="5" t="n">
        <v>0</v>
      </c>
      <c r="CP801" s="5" t="n">
        <v>0</v>
      </c>
      <c r="CQ801" s="5" t="n">
        <v>1.387</v>
      </c>
      <c r="CR801" s="5" t="n">
        <v>0</v>
      </c>
      <c r="CS801" s="5" t="n">
        <v>5.529</v>
      </c>
      <c r="CT801" s="5" t="n">
        <v>3.509</v>
      </c>
      <c r="CU801" s="5" t="n">
        <v>10.896</v>
      </c>
    </row>
    <row r="802">
      <c r="A802" s="5" t="inlineStr">
        <is>
          <t>TTO2021</t>
        </is>
      </c>
      <c r="B802" s="5" t="inlineStr">
        <is>
          <t>TTO</t>
        </is>
      </c>
      <c r="C802" s="5" t="inlineStr">
        <is>
          <t>TTO</t>
        </is>
      </c>
      <c r="D802" s="5" t="inlineStr">
        <is>
          <t>Trinidad and Tobago</t>
        </is>
      </c>
      <c r="E802" s="5" t="n">
        <v>2021</v>
      </c>
      <c r="F802" s="5" t="n">
        <v>0.125</v>
      </c>
      <c r="G802" s="5" t="n">
        <v>5.897</v>
      </c>
      <c r="H802" s="5" t="n">
        <v>1.143</v>
      </c>
      <c r="I802" s="5" t="n">
        <v>0</v>
      </c>
      <c r="J802" s="5" t="n">
        <v>5.897</v>
      </c>
      <c r="K802" s="5" t="n">
        <v>0</v>
      </c>
      <c r="L802" s="5" t="n">
        <v>1</v>
      </c>
      <c r="M802" s="5" t="n">
        <v>7.964</v>
      </c>
      <c r="N802" s="5" t="n">
        <v>3.43</v>
      </c>
      <c r="O802" s="5" t="n">
        <v>0</v>
      </c>
      <c r="P802" s="5" t="n">
        <v>7.964</v>
      </c>
      <c r="Q802" s="5" t="n">
        <v>0</v>
      </c>
      <c r="R802" s="5" t="n">
        <v>1</v>
      </c>
      <c r="S802" s="5" t="n">
        <v>11.613</v>
      </c>
      <c r="T802" s="5" t="n">
        <v>6.86</v>
      </c>
      <c r="U802" s="5" t="n">
        <v>0</v>
      </c>
      <c r="V802" s="5" t="n">
        <v>13.065</v>
      </c>
      <c r="W802" s="5" t="n">
        <v>0.125</v>
      </c>
      <c r="X802" s="5" t="n">
        <v>1</v>
      </c>
      <c r="Y802" s="5" t="n">
        <v>7.417</v>
      </c>
      <c r="Z802" s="5" t="n">
        <v>0.8139999999999999</v>
      </c>
      <c r="AA802" s="5" t="n">
        <v>0</v>
      </c>
      <c r="AB802" s="5" t="n">
        <v>7.417</v>
      </c>
      <c r="AC802" s="5" t="n">
        <v>0</v>
      </c>
      <c r="AD802" s="5" t="n">
        <v>1</v>
      </c>
      <c r="AE802" s="5" t="n">
        <v>7.988</v>
      </c>
      <c r="AF802" s="5" t="n">
        <v>1.553</v>
      </c>
      <c r="AG802" s="5" t="n">
        <v>0</v>
      </c>
      <c r="AH802" s="5" t="n">
        <v>7.988</v>
      </c>
      <c r="AI802" s="5" t="n">
        <v>0</v>
      </c>
      <c r="AJ802" s="5" t="n">
        <v>1</v>
      </c>
      <c r="AK802" s="5" t="n">
        <v>11.418</v>
      </c>
      <c r="AL802" s="5" t="n">
        <v>5.386</v>
      </c>
      <c r="AM802" s="5" t="n">
        <v>0</v>
      </c>
      <c r="AN802" s="5" t="n">
        <v>12.845</v>
      </c>
      <c r="AO802" s="5" t="n">
        <v>0.125</v>
      </c>
      <c r="AP802" s="5" t="n">
        <v>1</v>
      </c>
      <c r="AQ802" s="5" t="n">
        <v>0.649</v>
      </c>
      <c r="AR802" s="5" t="n">
        <v>0.114</v>
      </c>
      <c r="AS802" s="5" t="n">
        <v>-0.25</v>
      </c>
      <c r="AT802" s="5" t="n">
        <v>0.449</v>
      </c>
      <c r="AU802" s="5" t="n">
        <v>0</v>
      </c>
      <c r="AV802" s="5" t="n">
        <v>0</v>
      </c>
      <c r="AW802" s="5" t="n">
        <v>0.577</v>
      </c>
      <c r="AX802" s="5" t="n">
        <v>0.114</v>
      </c>
      <c r="AY802" s="5" t="n">
        <v>-0.133</v>
      </c>
      <c r="AZ802" s="5" t="n">
        <v>0.499</v>
      </c>
      <c r="BA802" s="5" t="n">
        <v>0</v>
      </c>
      <c r="BB802" s="5" t="n">
        <v>1</v>
      </c>
      <c r="BC802" s="5" t="n">
        <v>0.458</v>
      </c>
      <c r="BD802" s="5" t="n">
        <v>0.114</v>
      </c>
      <c r="BE802" s="5" t="n">
        <v>-0.244</v>
      </c>
      <c r="BF802" s="5" t="n">
        <v>0.215</v>
      </c>
      <c r="BG802" s="5" t="n">
        <v>0</v>
      </c>
      <c r="BH802" s="5" t="n">
        <v>0</v>
      </c>
      <c r="BI802" s="5" t="n">
        <v>0.491</v>
      </c>
      <c r="BJ802" s="5" t="n">
        <v>0.114</v>
      </c>
      <c r="BK802" s="5" t="n">
        <v>-0.137</v>
      </c>
      <c r="BL802" s="5" t="n">
        <v>0.354</v>
      </c>
      <c r="BM802" s="5" t="n">
        <v>0</v>
      </c>
      <c r="BN802" s="5" t="n">
        <v>0</v>
      </c>
      <c r="BO802" s="5" t="n">
        <v>0</v>
      </c>
      <c r="BP802" s="5" t="n">
        <v>-0.032</v>
      </c>
      <c r="BQ802" s="5" t="n">
        <v>0.053</v>
      </c>
      <c r="BR802" s="5" t="n">
        <v>0</v>
      </c>
      <c r="BS802" s="5" t="n">
        <v>0</v>
      </c>
      <c r="BT802" s="5" t="n">
        <v>0</v>
      </c>
      <c r="BU802" s="5" t="n">
        <v>-0.032</v>
      </c>
      <c r="BV802" s="5" t="n">
        <v>0.052</v>
      </c>
      <c r="BW802" s="5" t="n">
        <v>0</v>
      </c>
      <c r="BX802" s="5" t="n">
        <v>0.167</v>
      </c>
      <c r="BY802" s="5" t="n">
        <v>11.787</v>
      </c>
      <c r="BZ802" s="5" t="n">
        <v>0</v>
      </c>
      <c r="CA802" s="5" t="n">
        <v>11.787</v>
      </c>
      <c r="CB802" s="5" t="n">
        <v>0</v>
      </c>
      <c r="CC802" s="5" t="n">
        <v>78.125</v>
      </c>
      <c r="CD802" s="5" t="n">
        <v>7.95</v>
      </c>
      <c r="CE802" s="5" t="n">
        <v>-31.153</v>
      </c>
      <c r="CF802" s="5" t="n">
        <v>46.972</v>
      </c>
      <c r="CG802" s="5" t="n">
        <v>0</v>
      </c>
      <c r="CH802" s="5" t="n">
        <v>0</v>
      </c>
      <c r="CI802" s="5" t="n">
        <v>0</v>
      </c>
      <c r="CJ802" s="5" t="n">
        <v>0</v>
      </c>
      <c r="CK802" s="5" t="n">
        <v>0</v>
      </c>
      <c r="CL802" s="5" t="n">
        <v>0</v>
      </c>
      <c r="CM802" s="5" t="n">
        <v>0</v>
      </c>
      <c r="CN802" s="5" t="n">
        <v>0</v>
      </c>
      <c r="CO802" s="5" t="n">
        <v>0</v>
      </c>
      <c r="CP802" s="5" t="n">
        <v>0</v>
      </c>
      <c r="CQ802" s="5" t="n">
        <v>1.198</v>
      </c>
      <c r="CR802" s="5" t="n">
        <v>1</v>
      </c>
      <c r="CS802" s="5" t="n">
        <v>6.845</v>
      </c>
      <c r="CT802" s="5" t="n">
        <v>4.753</v>
      </c>
      <c r="CU802" s="5" t="n">
        <v>14.129</v>
      </c>
    </row>
    <row r="803">
      <c r="A803" s="5" t="inlineStr">
        <is>
          <t>TTO2022</t>
        </is>
      </c>
      <c r="B803" s="5" t="inlineStr">
        <is>
          <t>TTO</t>
        </is>
      </c>
      <c r="C803" s="5" t="inlineStr">
        <is>
          <t>TTO</t>
        </is>
      </c>
      <c r="D803" s="5" t="inlineStr">
        <is>
          <t>Trinidad and Tobago</t>
        </is>
      </c>
      <c r="E803" s="5" t="n">
        <v>2022</v>
      </c>
      <c r="F803" s="5" t="n">
        <v>0.125</v>
      </c>
      <c r="G803" s="5" t="n">
        <v>11.72</v>
      </c>
      <c r="H803" s="5" t="n">
        <v>1.235</v>
      </c>
      <c r="I803" s="5" t="n">
        <v>0</v>
      </c>
      <c r="J803" s="5" t="n">
        <v>11.72</v>
      </c>
      <c r="K803" s="5" t="n">
        <v>0</v>
      </c>
      <c r="L803" s="5" t="n">
        <v>1</v>
      </c>
      <c r="M803" s="5" t="n">
        <v>9.782999999999999</v>
      </c>
      <c r="N803" s="5" t="n">
        <v>3.704</v>
      </c>
      <c r="O803" s="5" t="n">
        <v>0</v>
      </c>
      <c r="P803" s="5" t="n">
        <v>9.782999999999999</v>
      </c>
      <c r="Q803" s="5" t="n">
        <v>0</v>
      </c>
      <c r="R803" s="5" t="n">
        <v>1</v>
      </c>
      <c r="S803" s="5" t="n">
        <v>17.893</v>
      </c>
      <c r="T803" s="5" t="n">
        <v>7.408</v>
      </c>
      <c r="U803" s="5" t="n">
        <v>0.166</v>
      </c>
      <c r="V803" s="5" t="n">
        <v>20.13</v>
      </c>
      <c r="W803" s="5" t="n">
        <v>0.125</v>
      </c>
      <c r="X803" s="5" t="n">
        <v>1</v>
      </c>
      <c r="Y803" s="5" t="n">
        <v>8.009</v>
      </c>
      <c r="Z803" s="5" t="n">
        <v>0.879</v>
      </c>
      <c r="AA803" s="5" t="n">
        <v>0</v>
      </c>
      <c r="AB803" s="5" t="n">
        <v>8.009</v>
      </c>
      <c r="AC803" s="5" t="n">
        <v>0</v>
      </c>
      <c r="AD803" s="5" t="n">
        <v>1</v>
      </c>
      <c r="AE803" s="5" t="n">
        <v>8.627000000000001</v>
      </c>
      <c r="AF803" s="5" t="n">
        <v>1.678</v>
      </c>
      <c r="AG803" s="5" t="n">
        <v>0</v>
      </c>
      <c r="AH803" s="5" t="n">
        <v>8.627000000000001</v>
      </c>
      <c r="AI803" s="5" t="n">
        <v>0</v>
      </c>
      <c r="AJ803" s="5" t="n">
        <v>1</v>
      </c>
      <c r="AK803" s="5" t="n">
        <v>12.331</v>
      </c>
      <c r="AL803" s="5" t="n">
        <v>5.817</v>
      </c>
      <c r="AM803" s="5" t="n">
        <v>0.114</v>
      </c>
      <c r="AN803" s="5" t="n">
        <v>13.872</v>
      </c>
      <c r="AO803" s="5" t="n">
        <v>0.125</v>
      </c>
      <c r="AP803" s="5" t="n">
        <v>1</v>
      </c>
      <c r="AQ803" s="5" t="n">
        <v>0.896</v>
      </c>
      <c r="AR803" s="5" t="n">
        <v>0.123</v>
      </c>
      <c r="AS803" s="5" t="n">
        <v>-0.281</v>
      </c>
      <c r="AT803" s="5" t="n">
        <v>0.6929999999999999</v>
      </c>
      <c r="AU803" s="5" t="n">
        <v>0</v>
      </c>
      <c r="AV803" s="5" t="n">
        <v>0</v>
      </c>
      <c r="AW803" s="5" t="n">
        <v>0.89</v>
      </c>
      <c r="AX803" s="5" t="n">
        <v>0.123</v>
      </c>
      <c r="AY803" s="5" t="n">
        <v>-0.383</v>
      </c>
      <c r="AZ803" s="5" t="n">
        <v>0.57</v>
      </c>
      <c r="BA803" s="5" t="n">
        <v>0</v>
      </c>
      <c r="BB803" s="5" t="n">
        <v>1</v>
      </c>
      <c r="BC803" s="5" t="n">
        <v>0.62</v>
      </c>
      <c r="BD803" s="5" t="n">
        <v>0.123</v>
      </c>
      <c r="BE803" s="5" t="n">
        <v>-0.263</v>
      </c>
      <c r="BF803" s="5" t="n">
        <v>0.357</v>
      </c>
      <c r="BG803" s="5" t="n">
        <v>0</v>
      </c>
      <c r="BH803" s="5" t="n">
        <v>0</v>
      </c>
      <c r="BI803" s="5" t="n">
        <v>0.608</v>
      </c>
      <c r="BJ803" s="5" t="n">
        <v>0.123</v>
      </c>
      <c r="BK803" s="5" t="n">
        <v>-0.148</v>
      </c>
      <c r="BL803" s="5" t="n">
        <v>0.46</v>
      </c>
      <c r="BM803" s="5" t="n">
        <v>0</v>
      </c>
      <c r="BN803" s="5" t="n">
        <v>0</v>
      </c>
      <c r="BO803" s="5" t="n">
        <v>0</v>
      </c>
      <c r="BP803" s="5" t="n">
        <v>-0.032</v>
      </c>
      <c r="BQ803" s="5" t="n">
        <v>0.053</v>
      </c>
      <c r="BR803" s="5" t="n">
        <v>0</v>
      </c>
      <c r="BS803" s="5" t="n">
        <v>0</v>
      </c>
      <c r="BT803" s="5" t="n">
        <v>0</v>
      </c>
      <c r="BU803" s="5" t="n">
        <v>-0.032</v>
      </c>
      <c r="BV803" s="5" t="n">
        <v>0.052</v>
      </c>
      <c r="BW803" s="5" t="n">
        <v>0</v>
      </c>
      <c r="BX803" s="5" t="n">
        <v>0.167</v>
      </c>
      <c r="BY803" s="5" t="n">
        <v>12.729</v>
      </c>
      <c r="BZ803" s="5" t="n">
        <v>0</v>
      </c>
      <c r="CA803" s="5" t="n">
        <v>12.729</v>
      </c>
      <c r="CB803" s="5" t="n">
        <v>0</v>
      </c>
      <c r="CC803" s="5" t="n">
        <v>97.90000000000001</v>
      </c>
      <c r="CD803" s="5" t="n">
        <v>7.95</v>
      </c>
      <c r="CE803" s="5" t="n">
        <v>-33.643</v>
      </c>
      <c r="CF803" s="5" t="n">
        <v>64.25700000000001</v>
      </c>
      <c r="CG803" s="5" t="n">
        <v>0</v>
      </c>
      <c r="CH803" s="5" t="n">
        <v>0</v>
      </c>
      <c r="CI803" s="5" t="n">
        <v>0</v>
      </c>
      <c r="CJ803" s="5" t="n">
        <v>0</v>
      </c>
      <c r="CK803" s="5" t="n">
        <v>0</v>
      </c>
      <c r="CL803" s="5" t="n">
        <v>0</v>
      </c>
      <c r="CM803" s="5" t="n">
        <v>0</v>
      </c>
      <c r="CN803" s="5" t="n">
        <v>0</v>
      </c>
      <c r="CO803" s="5" t="n">
        <v>0</v>
      </c>
      <c r="CP803" s="5" t="n">
        <v>0</v>
      </c>
      <c r="CQ803" s="5" t="n">
        <v>1.294</v>
      </c>
      <c r="CR803" s="5" t="n">
        <v>1</v>
      </c>
      <c r="CS803" s="5" t="n">
        <v>7.392</v>
      </c>
      <c r="CT803" s="5" t="n">
        <v>10.485</v>
      </c>
      <c r="CU803" s="5" t="n">
        <v>28.059</v>
      </c>
    </row>
    <row r="804">
      <c r="A804" s="5" t="inlineStr">
        <is>
          <t>TTO2023</t>
        </is>
      </c>
      <c r="B804" s="5" t="inlineStr">
        <is>
          <t>TTO</t>
        </is>
      </c>
      <c r="C804" s="5" t="inlineStr">
        <is>
          <t>TTO</t>
        </is>
      </c>
      <c r="D804" s="5" t="inlineStr">
        <is>
          <t>Trinidad and Tobago</t>
        </is>
      </c>
      <c r="E804" s="5" t="n">
        <v>2023</v>
      </c>
      <c r="F804" s="5" t="n">
        <v>0.125</v>
      </c>
      <c r="G804" s="5" t="n">
        <v>6.147</v>
      </c>
      <c r="H804" s="5" t="n">
        <v>1.286</v>
      </c>
      <c r="I804" s="5" t="n">
        <v>0</v>
      </c>
      <c r="J804" s="5" t="n">
        <v>6.147</v>
      </c>
      <c r="K804" s="5" t="n">
        <v>0</v>
      </c>
      <c r="L804" s="5" t="n">
        <v>1</v>
      </c>
      <c r="M804" s="5" t="n">
        <v>7.886</v>
      </c>
      <c r="N804" s="5" t="n">
        <v>3.857</v>
      </c>
      <c r="O804" s="5" t="n">
        <v>0</v>
      </c>
      <c r="P804" s="5" t="n">
        <v>7.886</v>
      </c>
      <c r="Q804" s="5" t="n">
        <v>0</v>
      </c>
      <c r="R804" s="5" t="n">
        <v>1</v>
      </c>
      <c r="S804" s="5" t="n">
        <v>12.575</v>
      </c>
      <c r="T804" s="5" t="n">
        <v>7.714</v>
      </c>
      <c r="U804" s="5" t="n">
        <v>0.174</v>
      </c>
      <c r="V804" s="5" t="n">
        <v>14.147</v>
      </c>
      <c r="W804" s="5" t="n">
        <v>0.125</v>
      </c>
      <c r="X804" s="5" t="n">
        <v>1</v>
      </c>
      <c r="Y804" s="5" t="n">
        <v>8.34</v>
      </c>
      <c r="Z804" s="5" t="n">
        <v>0.915</v>
      </c>
      <c r="AA804" s="5" t="n">
        <v>0</v>
      </c>
      <c r="AB804" s="5" t="n">
        <v>8.34</v>
      </c>
      <c r="AC804" s="5" t="n">
        <v>0</v>
      </c>
      <c r="AD804" s="5" t="n">
        <v>1</v>
      </c>
      <c r="AE804" s="5" t="n">
        <v>8.983000000000001</v>
      </c>
      <c r="AF804" s="5" t="n">
        <v>1.747</v>
      </c>
      <c r="AG804" s="5" t="n">
        <v>0</v>
      </c>
      <c r="AH804" s="5" t="n">
        <v>8.983000000000001</v>
      </c>
      <c r="AI804" s="5" t="n">
        <v>0</v>
      </c>
      <c r="AJ804" s="5" t="n">
        <v>1</v>
      </c>
      <c r="AK804" s="5" t="n">
        <v>12.84</v>
      </c>
      <c r="AL804" s="5" t="n">
        <v>6.057</v>
      </c>
      <c r="AM804" s="5" t="n">
        <v>0.178</v>
      </c>
      <c r="AN804" s="5" t="n">
        <v>14.445</v>
      </c>
      <c r="AO804" s="5" t="n">
        <v>0.125</v>
      </c>
      <c r="AP804" s="5" t="n">
        <v>1</v>
      </c>
      <c r="AQ804" s="5" t="n">
        <v>0.791</v>
      </c>
      <c r="AR804" s="5" t="n">
        <v>0.129</v>
      </c>
      <c r="AS804" s="5" t="n">
        <v>-0.196</v>
      </c>
      <c r="AT804" s="5" t="n">
        <v>0.595</v>
      </c>
      <c r="AU804" s="5" t="n">
        <v>0</v>
      </c>
      <c r="AV804" s="5" t="n">
        <v>0</v>
      </c>
      <c r="AW804" s="5" t="n">
        <v>0.618</v>
      </c>
      <c r="AX804" s="5" t="n">
        <v>0.129</v>
      </c>
      <c r="AY804" s="5" t="n">
        <v>-0.042</v>
      </c>
      <c r="AZ804" s="5" t="n">
        <v>0.576</v>
      </c>
      <c r="BA804" s="5" t="n">
        <v>0</v>
      </c>
      <c r="BB804" s="5" t="n">
        <v>1</v>
      </c>
      <c r="BC804" s="5" t="n">
        <v>0.554</v>
      </c>
      <c r="BD804" s="5" t="n">
        <v>0.129</v>
      </c>
      <c r="BE804" s="5" t="n">
        <v>-0.274</v>
      </c>
      <c r="BF804" s="5" t="n">
        <v>0.281</v>
      </c>
      <c r="BG804" s="5" t="n">
        <v>0</v>
      </c>
      <c r="BH804" s="5" t="n">
        <v>0</v>
      </c>
      <c r="BI804" s="5" t="n">
        <v>0.5570000000000001</v>
      </c>
      <c r="BJ804" s="5" t="n">
        <v>0.129</v>
      </c>
      <c r="BK804" s="5" t="n">
        <v>-0.154</v>
      </c>
      <c r="BL804" s="5" t="n">
        <v>0.403</v>
      </c>
      <c r="BM804" s="5" t="n">
        <v>0</v>
      </c>
      <c r="BN804" s="5" t="n">
        <v>0</v>
      </c>
      <c r="BO804" s="5" t="n">
        <v>0</v>
      </c>
      <c r="BP804" s="5" t="n">
        <v>-0.032</v>
      </c>
      <c r="BQ804" s="5" t="n">
        <v>0.053</v>
      </c>
      <c r="BR804" s="5" t="n">
        <v>0</v>
      </c>
      <c r="BS804" s="5" t="n">
        <v>0</v>
      </c>
      <c r="BT804" s="5" t="n">
        <v>0</v>
      </c>
      <c r="BU804" s="5" t="n">
        <v>-0.032</v>
      </c>
      <c r="BV804" s="5" t="n">
        <v>0.052</v>
      </c>
      <c r="BW804" s="5" t="n">
        <v>0</v>
      </c>
      <c r="BX804" s="5" t="n">
        <v>0.167</v>
      </c>
      <c r="BY804" s="5" t="n">
        <v>13.254</v>
      </c>
      <c r="BZ804" s="5" t="n">
        <v>0</v>
      </c>
      <c r="CA804" s="5" t="n">
        <v>13.254</v>
      </c>
      <c r="CB804" s="5" t="n">
        <v>0</v>
      </c>
      <c r="CC804" s="5" t="n">
        <v>83.248</v>
      </c>
      <c r="CD804" s="5" t="n">
        <v>7.95</v>
      </c>
      <c r="CE804" s="5" t="n">
        <v>-35.031</v>
      </c>
      <c r="CF804" s="5" t="n">
        <v>48.217</v>
      </c>
      <c r="CG804" s="5" t="n">
        <v>0</v>
      </c>
      <c r="CH804" s="5" t="n">
        <v>0</v>
      </c>
      <c r="CI804" s="5" t="n">
        <v>0</v>
      </c>
      <c r="CJ804" s="5" t="n">
        <v>0</v>
      </c>
      <c r="CK804" s="5" t="n">
        <v>0</v>
      </c>
      <c r="CL804" s="5" t="n">
        <v>0</v>
      </c>
      <c r="CM804" s="5" t="n">
        <v>0</v>
      </c>
      <c r="CN804" s="5" t="n">
        <v>0</v>
      </c>
      <c r="CO804" s="5" t="n">
        <v>0</v>
      </c>
      <c r="CP804" s="5" t="n">
        <v>0</v>
      </c>
      <c r="CQ804" s="5" t="n">
        <v>1.348</v>
      </c>
      <c r="CR804" s="5" t="n">
        <v>1</v>
      </c>
      <c r="CS804" s="5" t="n">
        <v>7.697</v>
      </c>
      <c r="CT804" s="5" t="n">
        <v>4.861</v>
      </c>
      <c r="CU804" s="5" t="n">
        <v>9.260999999999999</v>
      </c>
    </row>
    <row r="805">
      <c r="A805" s="5" t="inlineStr">
        <is>
          <t>TTO2024</t>
        </is>
      </c>
      <c r="B805" s="5" t="inlineStr">
        <is>
          <t>TTO</t>
        </is>
      </c>
      <c r="C805" s="5" t="inlineStr">
        <is>
          <t>TTO</t>
        </is>
      </c>
      <c r="D805" s="5" t="inlineStr">
        <is>
          <t>Trinidad and Tobago</t>
        </is>
      </c>
      <c r="E805" s="5" t="n">
        <v>2024</v>
      </c>
      <c r="F805" s="5" t="n">
        <v>0.125</v>
      </c>
      <c r="G805" s="5" t="n">
        <v>5.575</v>
      </c>
      <c r="H805" s="5" t="n">
        <v>1.324</v>
      </c>
      <c r="I805" s="5" t="n">
        <v>0</v>
      </c>
      <c r="J805" s="5" t="n">
        <v>5.575</v>
      </c>
      <c r="K805" s="5" t="n">
        <v>0</v>
      </c>
      <c r="L805" s="5" t="n">
        <v>1</v>
      </c>
      <c r="M805" s="5" t="n">
        <v>7.124</v>
      </c>
      <c r="N805" s="5" t="n">
        <v>3.971</v>
      </c>
      <c r="O805" s="5" t="n">
        <v>0</v>
      </c>
      <c r="P805" s="5" t="n">
        <v>7.124</v>
      </c>
      <c r="Q805" s="5" t="n">
        <v>0</v>
      </c>
      <c r="R805" s="5" t="n">
        <v>1</v>
      </c>
      <c r="S805" s="5" t="n">
        <v>12.193</v>
      </c>
      <c r="T805" s="5" t="n">
        <v>7.942</v>
      </c>
      <c r="U805" s="5" t="n">
        <v>0.208</v>
      </c>
      <c r="V805" s="5" t="n">
        <v>13.717</v>
      </c>
      <c r="W805" s="5" t="n">
        <v>0.125</v>
      </c>
      <c r="X805" s="5" t="n">
        <v>1</v>
      </c>
      <c r="Y805" s="5" t="n">
        <v>8.26</v>
      </c>
      <c r="Z805" s="5" t="n">
        <v>0.906</v>
      </c>
      <c r="AA805" s="5" t="n">
        <v>0</v>
      </c>
      <c r="AB805" s="5" t="n">
        <v>8.26</v>
      </c>
      <c r="AC805" s="5" t="n">
        <v>0</v>
      </c>
      <c r="AD805" s="5" t="n">
        <v>1</v>
      </c>
      <c r="AE805" s="5" t="n">
        <v>8.922000000000001</v>
      </c>
      <c r="AF805" s="5" t="n">
        <v>1.735</v>
      </c>
      <c r="AG805" s="5" t="n">
        <v>0</v>
      </c>
      <c r="AH805" s="5" t="n">
        <v>8.922000000000001</v>
      </c>
      <c r="AI805" s="5" t="n">
        <v>0</v>
      </c>
      <c r="AJ805" s="5" t="n">
        <v>1</v>
      </c>
      <c r="AK805" s="5" t="n">
        <v>12.892</v>
      </c>
      <c r="AL805" s="5" t="n">
        <v>6.082</v>
      </c>
      <c r="AM805" s="5" t="n">
        <v>0.22</v>
      </c>
      <c r="AN805" s="5" t="n">
        <v>14.504</v>
      </c>
      <c r="AO805" s="5" t="n">
        <v>0.125</v>
      </c>
      <c r="AP805" s="5" t="n">
        <v>1</v>
      </c>
      <c r="AQ805" s="5" t="n">
        <v>0.756</v>
      </c>
      <c r="AR805" s="5" t="n">
        <v>0.132</v>
      </c>
      <c r="AS805" s="5" t="n">
        <v>-0.195</v>
      </c>
      <c r="AT805" s="5" t="n">
        <v>0.5610000000000001</v>
      </c>
      <c r="AU805" s="5" t="n">
        <v>0</v>
      </c>
      <c r="AV805" s="5" t="n">
        <v>0</v>
      </c>
      <c r="AW805" s="5" t="n">
        <v>0.655</v>
      </c>
      <c r="AX805" s="5" t="n">
        <v>0.132</v>
      </c>
      <c r="AY805" s="5" t="n">
        <v>-0.061</v>
      </c>
      <c r="AZ805" s="5" t="n">
        <v>0.594</v>
      </c>
      <c r="BA805" s="5" t="n">
        <v>0</v>
      </c>
      <c r="BB805" s="5" t="n">
        <v>1</v>
      </c>
      <c r="BC805" s="5" t="n">
        <v>0.534</v>
      </c>
      <c r="BD805" s="5" t="n">
        <v>0.132</v>
      </c>
      <c r="BE805" s="5" t="n">
        <v>-0.282</v>
      </c>
      <c r="BF805" s="5" t="n">
        <v>0.252</v>
      </c>
      <c r="BG805" s="5" t="n">
        <v>0</v>
      </c>
      <c r="BH805" s="5" t="n">
        <v>0</v>
      </c>
      <c r="BI805" s="5" t="n">
        <v>0.5679999999999999</v>
      </c>
      <c r="BJ805" s="5" t="n">
        <v>0.132</v>
      </c>
      <c r="BK805" s="5" t="n">
        <v>-0.158</v>
      </c>
      <c r="BL805" s="5" t="n">
        <v>0.409</v>
      </c>
      <c r="BM805" s="5" t="n">
        <v>0</v>
      </c>
      <c r="BN805" s="5" t="n">
        <v>0</v>
      </c>
      <c r="BO805" s="5" t="n">
        <v>0</v>
      </c>
      <c r="BP805" s="5" t="n">
        <v>-0.033</v>
      </c>
      <c r="BQ805" s="5" t="n">
        <v>0.053</v>
      </c>
      <c r="BR805" s="5" t="n">
        <v>0</v>
      </c>
      <c r="BS805" s="5" t="n">
        <v>0</v>
      </c>
      <c r="BT805" s="5" t="n">
        <v>0</v>
      </c>
      <c r="BU805" s="5" t="n">
        <v>-0.033</v>
      </c>
      <c r="BV805" s="5" t="n">
        <v>0.055</v>
      </c>
      <c r="BW805" s="5" t="n">
        <v>0</v>
      </c>
      <c r="BX805" s="5" t="n">
        <v>0.167</v>
      </c>
      <c r="BY805" s="5" t="n">
        <v>13.646</v>
      </c>
      <c r="BZ805" s="5" t="n">
        <v>0</v>
      </c>
      <c r="CA805" s="5" t="n">
        <v>13.646</v>
      </c>
      <c r="CB805" s="5" t="n">
        <v>0</v>
      </c>
      <c r="CC805" s="5" t="n">
        <v>82.58799999999999</v>
      </c>
      <c r="CD805" s="5" t="n">
        <v>7.95</v>
      </c>
      <c r="CE805" s="5" t="n">
        <v>-36.065</v>
      </c>
      <c r="CF805" s="5" t="n">
        <v>46.523</v>
      </c>
      <c r="CG805" s="5" t="n">
        <v>0</v>
      </c>
      <c r="CH805" s="5" t="n">
        <v>0</v>
      </c>
      <c r="CI805" s="5" t="n">
        <v>0</v>
      </c>
      <c r="CJ805" s="5" t="n">
        <v>0</v>
      </c>
      <c r="CK805" s="5" t="n">
        <v>0</v>
      </c>
      <c r="CL805" s="5" t="n">
        <v>0</v>
      </c>
      <c r="CM805" s="5" t="n">
        <v>0</v>
      </c>
      <c r="CN805" s="5" t="n">
        <v>0</v>
      </c>
      <c r="CO805" s="5" t="n">
        <v>0</v>
      </c>
      <c r="CP805" s="5" t="n">
        <v>0</v>
      </c>
      <c r="CQ805" s="5" t="n">
        <v>1.387</v>
      </c>
      <c r="CR805" s="5" t="n">
        <v>1</v>
      </c>
      <c r="CS805" s="5" t="n">
        <v>7.598</v>
      </c>
      <c r="CT805" s="5" t="n">
        <v>4.251</v>
      </c>
      <c r="CU805" s="5" t="n">
        <v>7.598</v>
      </c>
    </row>
    <row r="806">
      <c r="A806" s="5" t="inlineStr">
        <is>
          <t>TUN2021</t>
        </is>
      </c>
      <c r="B806" s="5" t="inlineStr">
        <is>
          <t>TUN</t>
        </is>
      </c>
      <c r="C806" s="5" t="inlineStr">
        <is>
          <t>TUN</t>
        </is>
      </c>
      <c r="D806" s="5" t="inlineStr">
        <is>
          <t>Tunisia</t>
        </is>
      </c>
      <c r="E806" s="5" t="n">
        <v>2021</v>
      </c>
      <c r="F806" s="5" t="n">
        <v>0.19</v>
      </c>
      <c r="G806" s="5" t="n">
        <v>5.897</v>
      </c>
      <c r="H806" s="5" t="n">
        <v>1.143</v>
      </c>
      <c r="I806" s="5" t="n">
        <v>0</v>
      </c>
      <c r="J806" s="5" t="n">
        <v>5.897</v>
      </c>
      <c r="K806" s="5" t="n">
        <v>0</v>
      </c>
      <c r="L806" s="5" t="n">
        <v>1</v>
      </c>
      <c r="M806" s="5" t="n">
        <v>7.964</v>
      </c>
      <c r="N806" s="5" t="n">
        <v>3.43</v>
      </c>
      <c r="O806" s="5" t="n">
        <v>0</v>
      </c>
      <c r="P806" s="5" t="n">
        <v>7.964</v>
      </c>
      <c r="Q806" s="5" t="n">
        <v>0</v>
      </c>
      <c r="R806" s="5" t="n">
        <v>1</v>
      </c>
      <c r="S806" s="5" t="n">
        <v>11.613</v>
      </c>
      <c r="T806" s="5" t="n">
        <v>6.86</v>
      </c>
      <c r="U806" s="5" t="n">
        <v>0</v>
      </c>
      <c r="V806" s="5" t="n">
        <v>13.82</v>
      </c>
      <c r="W806" s="5" t="n">
        <v>0.19</v>
      </c>
      <c r="X806" s="5" t="n">
        <v>1</v>
      </c>
      <c r="Y806" s="5" t="n">
        <v>6.869</v>
      </c>
      <c r="Z806" s="5" t="n">
        <v>0.913</v>
      </c>
      <c r="AA806" s="5" t="n">
        <v>1.348</v>
      </c>
      <c r="AB806" s="5" t="n">
        <v>8.217000000000001</v>
      </c>
      <c r="AC806" s="5" t="n">
        <v>0</v>
      </c>
      <c r="AD806" s="5" t="n">
        <v>1</v>
      </c>
      <c r="AE806" s="5" t="n">
        <v>7.788</v>
      </c>
      <c r="AF806" s="5" t="n">
        <v>1.788</v>
      </c>
      <c r="AG806" s="5" t="n">
        <v>0.429</v>
      </c>
      <c r="AH806" s="5" t="n">
        <v>8.217000000000001</v>
      </c>
      <c r="AI806" s="5" t="n">
        <v>0</v>
      </c>
      <c r="AJ806" s="5" t="n">
        <v>1</v>
      </c>
      <c r="AK806" s="5" t="n">
        <v>13.299</v>
      </c>
      <c r="AL806" s="5" t="n">
        <v>6.969</v>
      </c>
      <c r="AM806" s="5" t="n">
        <v>-9.521000000000001</v>
      </c>
      <c r="AN806" s="5" t="n">
        <v>4.496</v>
      </c>
      <c r="AO806" s="5" t="n">
        <v>0</v>
      </c>
      <c r="AP806" s="5" t="n">
        <v>0</v>
      </c>
      <c r="AQ806" s="5" t="n">
        <v>0.621</v>
      </c>
      <c r="AR806" s="5" t="n">
        <v>0.114</v>
      </c>
      <c r="AS806" s="5" t="n">
        <v>-0.045</v>
      </c>
      <c r="AT806" s="5" t="n">
        <v>0.6850000000000001</v>
      </c>
      <c r="AU806" s="5" t="n">
        <v>0.19</v>
      </c>
      <c r="AV806" s="5" t="n">
        <v>1</v>
      </c>
      <c r="AW806" s="5" t="n">
        <v>0.593</v>
      </c>
      <c r="AX806" s="5" t="n">
        <v>0.114</v>
      </c>
      <c r="AY806" s="5" t="n">
        <v>-0.103</v>
      </c>
      <c r="AZ806" s="5" t="n">
        <v>0.583</v>
      </c>
      <c r="BA806" s="5" t="n">
        <v>0</v>
      </c>
      <c r="BB806" s="5" t="n">
        <v>1</v>
      </c>
      <c r="BC806" s="5" t="n">
        <v>0.44</v>
      </c>
      <c r="BD806" s="5" t="n">
        <v>0.114</v>
      </c>
      <c r="BE806" s="5" t="n">
        <v>-0.348</v>
      </c>
      <c r="BF806" s="5" t="n">
        <v>0.109</v>
      </c>
      <c r="BG806" s="5" t="n">
        <v>0</v>
      </c>
      <c r="BH806" s="5" t="n">
        <v>0</v>
      </c>
      <c r="BI806" s="5" t="n">
        <v>0.5600000000000001</v>
      </c>
      <c r="BJ806" s="5" t="n">
        <v>0.114</v>
      </c>
      <c r="BK806" s="5" t="n">
        <v>-0.317</v>
      </c>
      <c r="BL806" s="5" t="n">
        <v>0.29</v>
      </c>
      <c r="BM806" s="5" t="n">
        <v>0</v>
      </c>
      <c r="BN806" s="5" t="n">
        <v>0</v>
      </c>
      <c r="BO806" s="5" t="n">
        <v>0</v>
      </c>
      <c r="BP806" s="5" t="n">
        <v>0</v>
      </c>
      <c r="BQ806" s="5" t="n">
        <v>0.097</v>
      </c>
      <c r="BR806" s="5" t="n">
        <v>0</v>
      </c>
      <c r="BS806" s="5" t="n">
        <v>0.667</v>
      </c>
      <c r="BT806" s="5" t="n">
        <v>0</v>
      </c>
      <c r="BU806" s="5" t="n">
        <v>0</v>
      </c>
      <c r="BV806" s="5" t="n">
        <v>0.022</v>
      </c>
      <c r="BW806" s="5" t="n">
        <v>0.19</v>
      </c>
      <c r="BX806" s="5" t="n">
        <v>0.333</v>
      </c>
      <c r="BY806" s="5" t="n">
        <v>11.787</v>
      </c>
      <c r="BZ806" s="5" t="n">
        <v>0</v>
      </c>
      <c r="CA806" s="5" t="n">
        <v>11.787</v>
      </c>
      <c r="CB806" s="5" t="n">
        <v>0</v>
      </c>
      <c r="CC806" s="5" t="n">
        <v>81.69499999999999</v>
      </c>
      <c r="CD806" s="5" t="n">
        <v>7.95</v>
      </c>
      <c r="CE806" s="5" t="n">
        <v>-44.854</v>
      </c>
      <c r="CF806" s="5" t="n">
        <v>43.842</v>
      </c>
      <c r="CG806" s="5" t="n">
        <v>0</v>
      </c>
      <c r="CH806" s="5" t="n">
        <v>0</v>
      </c>
      <c r="CI806" s="5" t="n">
        <v>0</v>
      </c>
      <c r="CJ806" s="5" t="n">
        <v>0</v>
      </c>
      <c r="CK806" s="5" t="n">
        <v>0</v>
      </c>
      <c r="CL806" s="5" t="n">
        <v>0</v>
      </c>
      <c r="CM806" s="5" t="n">
        <v>0</v>
      </c>
      <c r="CN806" s="5" t="n">
        <v>0</v>
      </c>
      <c r="CO806" s="5" t="n">
        <v>0</v>
      </c>
      <c r="CP806" s="5" t="n">
        <v>0</v>
      </c>
      <c r="CQ806" s="5" t="n">
        <v>1.198</v>
      </c>
      <c r="CR806" s="5" t="n">
        <v>0.393</v>
      </c>
      <c r="CS806" s="5" t="n">
        <v>5.951</v>
      </c>
      <c r="CT806" s="5" t="n">
        <v>4.753</v>
      </c>
      <c r="CU806" s="5" t="n">
        <v>14.162</v>
      </c>
    </row>
    <row r="807">
      <c r="A807" s="5" t="inlineStr">
        <is>
          <t>TUN2022</t>
        </is>
      </c>
      <c r="B807" s="5" t="inlineStr">
        <is>
          <t>TUN</t>
        </is>
      </c>
      <c r="C807" s="5" t="inlineStr">
        <is>
          <t>TUN</t>
        </is>
      </c>
      <c r="D807" s="5" t="inlineStr">
        <is>
          <t>Tunisia</t>
        </is>
      </c>
      <c r="E807" s="5" t="n">
        <v>2022</v>
      </c>
      <c r="F807" s="5" t="n">
        <v>0.19</v>
      </c>
      <c r="G807" s="5" t="n">
        <v>11.72</v>
      </c>
      <c r="H807" s="5" t="n">
        <v>1.235</v>
      </c>
      <c r="I807" s="5" t="n">
        <v>0</v>
      </c>
      <c r="J807" s="5" t="n">
        <v>11.72</v>
      </c>
      <c r="K807" s="5" t="n">
        <v>0</v>
      </c>
      <c r="L807" s="5" t="n">
        <v>1</v>
      </c>
      <c r="M807" s="5" t="n">
        <v>9.782999999999999</v>
      </c>
      <c r="N807" s="5" t="n">
        <v>3.704</v>
      </c>
      <c r="O807" s="5" t="n">
        <v>0</v>
      </c>
      <c r="P807" s="5" t="n">
        <v>9.782999999999999</v>
      </c>
      <c r="Q807" s="5" t="n">
        <v>0</v>
      </c>
      <c r="R807" s="5" t="n">
        <v>1</v>
      </c>
      <c r="S807" s="5" t="n">
        <v>17.893</v>
      </c>
      <c r="T807" s="5" t="n">
        <v>7.408</v>
      </c>
      <c r="U807" s="5" t="n">
        <v>0.252</v>
      </c>
      <c r="V807" s="5" t="n">
        <v>21.293</v>
      </c>
      <c r="W807" s="5" t="n">
        <v>0.19</v>
      </c>
      <c r="X807" s="5" t="n">
        <v>1</v>
      </c>
      <c r="Y807" s="5" t="n">
        <v>7.425</v>
      </c>
      <c r="Z807" s="5" t="n">
        <v>0.987</v>
      </c>
      <c r="AA807" s="5" t="n">
        <v>0.741</v>
      </c>
      <c r="AB807" s="5" t="n">
        <v>8.167</v>
      </c>
      <c r="AC807" s="5" t="n">
        <v>0</v>
      </c>
      <c r="AD807" s="5" t="n">
        <v>1</v>
      </c>
      <c r="AE807" s="5" t="n">
        <v>8.423999999999999</v>
      </c>
      <c r="AF807" s="5" t="n">
        <v>1.934</v>
      </c>
      <c r="AG807" s="5" t="n">
        <v>-0.257</v>
      </c>
      <c r="AH807" s="5" t="n">
        <v>8.167</v>
      </c>
      <c r="AI807" s="5" t="n">
        <v>0</v>
      </c>
      <c r="AJ807" s="5" t="n">
        <v>1</v>
      </c>
      <c r="AK807" s="5" t="n">
        <v>14.416</v>
      </c>
      <c r="AL807" s="5" t="n">
        <v>7.554</v>
      </c>
      <c r="AM807" s="5" t="n">
        <v>-10.788</v>
      </c>
      <c r="AN807" s="5" t="n">
        <v>4.318</v>
      </c>
      <c r="AO807" s="5" t="n">
        <v>0</v>
      </c>
      <c r="AP807" s="5" t="n">
        <v>0</v>
      </c>
      <c r="AQ807" s="5" t="n">
        <v>0.847</v>
      </c>
      <c r="AR807" s="5" t="n">
        <v>0.123</v>
      </c>
      <c r="AS807" s="5" t="n">
        <v>-0.257</v>
      </c>
      <c r="AT807" s="5" t="n">
        <v>0.702</v>
      </c>
      <c r="AU807" s="5" t="n">
        <v>0.19</v>
      </c>
      <c r="AV807" s="5" t="n">
        <v>1</v>
      </c>
      <c r="AW807" s="5" t="n">
        <v>0.947</v>
      </c>
      <c r="AX807" s="5" t="n">
        <v>0.123</v>
      </c>
      <c r="AY807" s="5" t="n">
        <v>-0.443</v>
      </c>
      <c r="AZ807" s="5" t="n">
        <v>0.599</v>
      </c>
      <c r="BA807" s="5" t="n">
        <v>0</v>
      </c>
      <c r="BB807" s="5" t="n">
        <v>1</v>
      </c>
      <c r="BC807" s="5" t="n">
        <v>0.589</v>
      </c>
      <c r="BD807" s="5" t="n">
        <v>0.123</v>
      </c>
      <c r="BE807" s="5" t="n">
        <v>-0.495</v>
      </c>
      <c r="BF807" s="5" t="n">
        <v>0.111</v>
      </c>
      <c r="BG807" s="5" t="n">
        <v>0</v>
      </c>
      <c r="BH807" s="5" t="n">
        <v>0</v>
      </c>
      <c r="BI807" s="5" t="n">
        <v>0.6889999999999999</v>
      </c>
      <c r="BJ807" s="5" t="n">
        <v>0.123</v>
      </c>
      <c r="BK807" s="5" t="n">
        <v>-0.457</v>
      </c>
      <c r="BL807" s="5" t="n">
        <v>0.276</v>
      </c>
      <c r="BM807" s="5" t="n">
        <v>0</v>
      </c>
      <c r="BN807" s="5" t="n">
        <v>0</v>
      </c>
      <c r="BO807" s="5" t="n">
        <v>0</v>
      </c>
      <c r="BP807" s="5" t="n">
        <v>0</v>
      </c>
      <c r="BQ807" s="5" t="n">
        <v>0.094</v>
      </c>
      <c r="BR807" s="5" t="n">
        <v>0</v>
      </c>
      <c r="BS807" s="5" t="n">
        <v>0.667</v>
      </c>
      <c r="BT807" s="5" t="n">
        <v>0</v>
      </c>
      <c r="BU807" s="5" t="n">
        <v>0</v>
      </c>
      <c r="BV807" s="5" t="n">
        <v>0.02</v>
      </c>
      <c r="BW807" s="5" t="n">
        <v>0.19</v>
      </c>
      <c r="BX807" s="5" t="n">
        <v>0.333</v>
      </c>
      <c r="BY807" s="5" t="n">
        <v>12.729</v>
      </c>
      <c r="BZ807" s="5" t="n">
        <v>0</v>
      </c>
      <c r="CA807" s="5" t="n">
        <v>12.729</v>
      </c>
      <c r="CB807" s="5" t="n">
        <v>0</v>
      </c>
      <c r="CC807" s="5" t="n">
        <v>102.477</v>
      </c>
      <c r="CD807" s="5" t="n">
        <v>7.95</v>
      </c>
      <c r="CE807" s="5" t="n">
        <v>-63.257</v>
      </c>
      <c r="CF807" s="5" t="n">
        <v>46.672</v>
      </c>
      <c r="CG807" s="5" t="n">
        <v>0</v>
      </c>
      <c r="CH807" s="5" t="n">
        <v>0</v>
      </c>
      <c r="CI807" s="5" t="n">
        <v>0</v>
      </c>
      <c r="CJ807" s="5" t="n">
        <v>0</v>
      </c>
      <c r="CK807" s="5" t="n">
        <v>0</v>
      </c>
      <c r="CL807" s="5" t="n">
        <v>0</v>
      </c>
      <c r="CM807" s="5" t="n">
        <v>0</v>
      </c>
      <c r="CN807" s="5" t="n">
        <v>0</v>
      </c>
      <c r="CO807" s="5" t="n">
        <v>0</v>
      </c>
      <c r="CP807" s="5" t="n">
        <v>0</v>
      </c>
      <c r="CQ807" s="5" t="n">
        <v>1.294</v>
      </c>
      <c r="CR807" s="5" t="n">
        <v>0.382</v>
      </c>
      <c r="CS807" s="5" t="n">
        <v>6.427</v>
      </c>
      <c r="CT807" s="5" t="n">
        <v>10.485</v>
      </c>
      <c r="CU807" s="5" t="n">
        <v>30.326</v>
      </c>
    </row>
    <row r="808">
      <c r="A808" s="5" t="inlineStr">
        <is>
          <t>TUN2023</t>
        </is>
      </c>
      <c r="B808" s="5" t="inlineStr">
        <is>
          <t>TUN</t>
        </is>
      </c>
      <c r="C808" s="5" t="inlineStr">
        <is>
          <t>TUN</t>
        </is>
      </c>
      <c r="D808" s="5" t="inlineStr">
        <is>
          <t>Tunisia</t>
        </is>
      </c>
      <c r="E808" s="5" t="n">
        <v>2023</v>
      </c>
      <c r="F808" s="5" t="n">
        <v>0.19</v>
      </c>
      <c r="G808" s="5" t="n">
        <v>6.147</v>
      </c>
      <c r="H808" s="5" t="n">
        <v>1.286</v>
      </c>
      <c r="I808" s="5" t="n">
        <v>0</v>
      </c>
      <c r="J808" s="5" t="n">
        <v>6.147</v>
      </c>
      <c r="K808" s="5" t="n">
        <v>0</v>
      </c>
      <c r="L808" s="5" t="n">
        <v>1</v>
      </c>
      <c r="M808" s="5" t="n">
        <v>7.886</v>
      </c>
      <c r="N808" s="5" t="n">
        <v>3.857</v>
      </c>
      <c r="O808" s="5" t="n">
        <v>0</v>
      </c>
      <c r="P808" s="5" t="n">
        <v>7.886</v>
      </c>
      <c r="Q808" s="5" t="n">
        <v>0</v>
      </c>
      <c r="R808" s="5" t="n">
        <v>1</v>
      </c>
      <c r="S808" s="5" t="n">
        <v>12.575</v>
      </c>
      <c r="T808" s="5" t="n">
        <v>7.714</v>
      </c>
      <c r="U808" s="5" t="n">
        <v>0.265</v>
      </c>
      <c r="V808" s="5" t="n">
        <v>14.964</v>
      </c>
      <c r="W808" s="5" t="n">
        <v>0.19</v>
      </c>
      <c r="X808" s="5" t="n">
        <v>1</v>
      </c>
      <c r="Y808" s="5" t="n">
        <v>7.747</v>
      </c>
      <c r="Z808" s="5" t="n">
        <v>1.03</v>
      </c>
      <c r="AA808" s="5" t="n">
        <v>0.797</v>
      </c>
      <c r="AB808" s="5" t="n">
        <v>8.544</v>
      </c>
      <c r="AC808" s="5" t="n">
        <v>0</v>
      </c>
      <c r="AD808" s="5" t="n">
        <v>1</v>
      </c>
      <c r="AE808" s="5" t="n">
        <v>8.802</v>
      </c>
      <c r="AF808" s="5" t="n">
        <v>2.021</v>
      </c>
      <c r="AG808" s="5" t="n">
        <v>-0.258</v>
      </c>
      <c r="AH808" s="5" t="n">
        <v>8.544</v>
      </c>
      <c r="AI808" s="5" t="n">
        <v>0</v>
      </c>
      <c r="AJ808" s="5" t="n">
        <v>1</v>
      </c>
      <c r="AK808" s="5" t="n">
        <v>15.132</v>
      </c>
      <c r="AL808" s="5" t="n">
        <v>7.929</v>
      </c>
      <c r="AM808" s="5" t="n">
        <v>-11.666</v>
      </c>
      <c r="AN808" s="5" t="n">
        <v>4.124</v>
      </c>
      <c r="AO808" s="5" t="n">
        <v>0</v>
      </c>
      <c r="AP808" s="5" t="n">
        <v>0</v>
      </c>
      <c r="AQ808" s="5" t="n">
        <v>0.749</v>
      </c>
      <c r="AR808" s="5" t="n">
        <v>0.129</v>
      </c>
      <c r="AS808" s="5" t="n">
        <v>-0.105</v>
      </c>
      <c r="AT808" s="5" t="n">
        <v>0.766</v>
      </c>
      <c r="AU808" s="5" t="n">
        <v>0.19</v>
      </c>
      <c r="AV808" s="5" t="n">
        <v>1</v>
      </c>
      <c r="AW808" s="5" t="n">
        <v>0.783</v>
      </c>
      <c r="AX808" s="5" t="n">
        <v>0.129</v>
      </c>
      <c r="AY808" s="5" t="n">
        <v>-0.228</v>
      </c>
      <c r="AZ808" s="5" t="n">
        <v>0.66</v>
      </c>
      <c r="BA808" s="5" t="n">
        <v>0</v>
      </c>
      <c r="BB808" s="5" t="n">
        <v>1</v>
      </c>
      <c r="BC808" s="5" t="n">
        <v>0.527</v>
      </c>
      <c r="BD808" s="5" t="n">
        <v>0.129</v>
      </c>
      <c r="BE808" s="5" t="n">
        <v>-0.431</v>
      </c>
      <c r="BF808" s="5" t="n">
        <v>0.115</v>
      </c>
      <c r="BG808" s="5" t="n">
        <v>0</v>
      </c>
      <c r="BH808" s="5" t="n">
        <v>0</v>
      </c>
      <c r="BI808" s="5" t="n">
        <v>0.64</v>
      </c>
      <c r="BJ808" s="5" t="n">
        <v>0.129</v>
      </c>
      <c r="BK808" s="5" t="n">
        <v>-0.383</v>
      </c>
      <c r="BL808" s="5" t="n">
        <v>0.306</v>
      </c>
      <c r="BM808" s="5" t="n">
        <v>0</v>
      </c>
      <c r="BN808" s="5" t="n">
        <v>0</v>
      </c>
      <c r="BO808" s="5" t="n">
        <v>0</v>
      </c>
      <c r="BP808" s="5" t="n">
        <v>0</v>
      </c>
      <c r="BQ808" s="5" t="n">
        <v>0.094</v>
      </c>
      <c r="BR808" s="5" t="n">
        <v>0</v>
      </c>
      <c r="BS808" s="5" t="n">
        <v>0.667</v>
      </c>
      <c r="BT808" s="5" t="n">
        <v>0</v>
      </c>
      <c r="BU808" s="5" t="n">
        <v>0</v>
      </c>
      <c r="BV808" s="5" t="n">
        <v>0.02</v>
      </c>
      <c r="BW808" s="5" t="n">
        <v>0.19</v>
      </c>
      <c r="BX808" s="5" t="n">
        <v>0.333</v>
      </c>
      <c r="BY808" s="5" t="n">
        <v>13.254</v>
      </c>
      <c r="BZ808" s="5" t="n">
        <v>0</v>
      </c>
      <c r="CA808" s="5" t="n">
        <v>13.254</v>
      </c>
      <c r="CB808" s="5" t="n">
        <v>0</v>
      </c>
      <c r="CC808" s="5" t="n">
        <v>87.07899999999999</v>
      </c>
      <c r="CD808" s="5" t="n">
        <v>7.95</v>
      </c>
      <c r="CE808" s="5" t="n">
        <v>-45.856</v>
      </c>
      <c r="CF808" s="5" t="n">
        <v>49.056</v>
      </c>
      <c r="CG808" s="5" t="n">
        <v>0</v>
      </c>
      <c r="CH808" s="5" t="n">
        <v>0</v>
      </c>
      <c r="CI808" s="5" t="n">
        <v>0</v>
      </c>
      <c r="CJ808" s="5" t="n">
        <v>0</v>
      </c>
      <c r="CK808" s="5" t="n">
        <v>0</v>
      </c>
      <c r="CL808" s="5" t="n">
        <v>0</v>
      </c>
      <c r="CM808" s="5" t="n">
        <v>0</v>
      </c>
      <c r="CN808" s="5" t="n">
        <v>0</v>
      </c>
      <c r="CO808" s="5" t="n">
        <v>0</v>
      </c>
      <c r="CP808" s="5" t="n">
        <v>0</v>
      </c>
      <c r="CQ808" s="5" t="n">
        <v>1.348</v>
      </c>
      <c r="CR808" s="5" t="n">
        <v>0.359</v>
      </c>
      <c r="CS808" s="5" t="n">
        <v>6.692</v>
      </c>
      <c r="CT808" s="5" t="n">
        <v>4.861</v>
      </c>
      <c r="CU808" s="5" t="n">
        <v>10.622</v>
      </c>
    </row>
    <row r="809">
      <c r="A809" s="5" t="inlineStr">
        <is>
          <t>TUN2024</t>
        </is>
      </c>
      <c r="B809" s="5" t="inlineStr">
        <is>
          <t>TUN</t>
        </is>
      </c>
      <c r="C809" s="5" t="inlineStr">
        <is>
          <t>TUN</t>
        </is>
      </c>
      <c r="D809" s="5" t="inlineStr">
        <is>
          <t>Tunisia</t>
        </is>
      </c>
      <c r="E809" s="5" t="n">
        <v>2024</v>
      </c>
      <c r="F809" s="5" t="n">
        <v>0.19</v>
      </c>
      <c r="G809" s="5" t="n">
        <v>5.575</v>
      </c>
      <c r="H809" s="5" t="n">
        <v>1.324</v>
      </c>
      <c r="I809" s="5" t="n">
        <v>0</v>
      </c>
      <c r="J809" s="5" t="n">
        <v>5.575</v>
      </c>
      <c r="K809" s="5" t="n">
        <v>0</v>
      </c>
      <c r="L809" s="5" t="n">
        <v>1</v>
      </c>
      <c r="M809" s="5" t="n">
        <v>7.124</v>
      </c>
      <c r="N809" s="5" t="n">
        <v>3.971</v>
      </c>
      <c r="O809" s="5" t="n">
        <v>0</v>
      </c>
      <c r="P809" s="5" t="n">
        <v>7.124</v>
      </c>
      <c r="Q809" s="5" t="n">
        <v>0</v>
      </c>
      <c r="R809" s="5" t="n">
        <v>1</v>
      </c>
      <c r="S809" s="5" t="n">
        <v>12.193</v>
      </c>
      <c r="T809" s="5" t="n">
        <v>7.942</v>
      </c>
      <c r="U809" s="5" t="n">
        <v>0.316</v>
      </c>
      <c r="V809" s="5" t="n">
        <v>14.509</v>
      </c>
      <c r="W809" s="5" t="n">
        <v>0.19</v>
      </c>
      <c r="X809" s="5" t="n">
        <v>1</v>
      </c>
      <c r="Y809" s="5" t="n">
        <v>7.975</v>
      </c>
      <c r="Z809" s="5" t="n">
        <v>1.06</v>
      </c>
      <c r="AA809" s="5" t="n">
        <v>0.82</v>
      </c>
      <c r="AB809" s="5" t="n">
        <v>8.795999999999999</v>
      </c>
      <c r="AC809" s="5" t="n">
        <v>0</v>
      </c>
      <c r="AD809" s="5" t="n">
        <v>1</v>
      </c>
      <c r="AE809" s="5" t="n">
        <v>9.061999999999999</v>
      </c>
      <c r="AF809" s="5" t="n">
        <v>2.081</v>
      </c>
      <c r="AG809" s="5" t="n">
        <v>-0.266</v>
      </c>
      <c r="AH809" s="5" t="n">
        <v>8.795999999999999</v>
      </c>
      <c r="AI809" s="5" t="n">
        <v>0</v>
      </c>
      <c r="AJ809" s="5" t="n">
        <v>1</v>
      </c>
      <c r="AK809" s="5" t="n">
        <v>15.579</v>
      </c>
      <c r="AL809" s="5" t="n">
        <v>8.163</v>
      </c>
      <c r="AM809" s="5" t="n">
        <v>-11.333</v>
      </c>
      <c r="AN809" s="5" t="n">
        <v>4.246</v>
      </c>
      <c r="AO809" s="5" t="n">
        <v>0</v>
      </c>
      <c r="AP809" s="5" t="n">
        <v>0</v>
      </c>
      <c r="AQ809" s="5" t="n">
        <v>0.72</v>
      </c>
      <c r="AR809" s="5" t="n">
        <v>0.132</v>
      </c>
      <c r="AS809" s="5" t="n">
        <v>-0.078</v>
      </c>
      <c r="AT809" s="5" t="n">
        <v>0.764</v>
      </c>
      <c r="AU809" s="5" t="n">
        <v>0.19</v>
      </c>
      <c r="AV809" s="5" t="n">
        <v>1</v>
      </c>
      <c r="AW809" s="5" t="n">
        <v>0.734</v>
      </c>
      <c r="AX809" s="5" t="n">
        <v>0.132</v>
      </c>
      <c r="AY809" s="5" t="n">
        <v>-0.178</v>
      </c>
      <c r="AZ809" s="5" t="n">
        <v>0.661</v>
      </c>
      <c r="BA809" s="5" t="n">
        <v>0</v>
      </c>
      <c r="BB809" s="5" t="n">
        <v>1</v>
      </c>
      <c r="BC809" s="5" t="n">
        <v>0.51</v>
      </c>
      <c r="BD809" s="5" t="n">
        <v>0.132</v>
      </c>
      <c r="BE809" s="5" t="n">
        <v>-0.414</v>
      </c>
      <c r="BF809" s="5" t="n">
        <v>0.115</v>
      </c>
      <c r="BG809" s="5" t="n">
        <v>0</v>
      </c>
      <c r="BH809" s="5" t="n">
        <v>0</v>
      </c>
      <c r="BI809" s="5" t="n">
        <v>0.652</v>
      </c>
      <c r="BJ809" s="5" t="n">
        <v>0.132</v>
      </c>
      <c r="BK809" s="5" t="n">
        <v>-0.338</v>
      </c>
      <c r="BL809" s="5" t="n">
        <v>0.314</v>
      </c>
      <c r="BM809" s="5" t="n">
        <v>0</v>
      </c>
      <c r="BN809" s="5" t="n">
        <v>0</v>
      </c>
      <c r="BO809" s="5" t="n">
        <v>0</v>
      </c>
      <c r="BP809" s="5" t="n">
        <v>0</v>
      </c>
      <c r="BQ809" s="5" t="n">
        <v>0.099</v>
      </c>
      <c r="BR809" s="5" t="n">
        <v>0</v>
      </c>
      <c r="BS809" s="5" t="n">
        <v>0.667</v>
      </c>
      <c r="BT809" s="5" t="n">
        <v>0</v>
      </c>
      <c r="BU809" s="5" t="n">
        <v>0</v>
      </c>
      <c r="BV809" s="5" t="n">
        <v>0.018</v>
      </c>
      <c r="BW809" s="5" t="n">
        <v>0.19</v>
      </c>
      <c r="BX809" s="5" t="n">
        <v>0.333</v>
      </c>
      <c r="BY809" s="5" t="n">
        <v>13.646</v>
      </c>
      <c r="BZ809" s="5" t="n">
        <v>0</v>
      </c>
      <c r="CA809" s="5" t="n">
        <v>13.646</v>
      </c>
      <c r="CB809" s="5" t="n">
        <v>0</v>
      </c>
      <c r="CC809" s="5" t="n">
        <v>86.38500000000001</v>
      </c>
      <c r="CD809" s="5" t="n">
        <v>7.95</v>
      </c>
      <c r="CE809" s="5" t="n">
        <v>-54.53</v>
      </c>
      <c r="CF809" s="5" t="n">
        <v>37.908</v>
      </c>
      <c r="CG809" s="5" t="n">
        <v>0</v>
      </c>
      <c r="CH809" s="5" t="n">
        <v>0</v>
      </c>
      <c r="CI809" s="5" t="n">
        <v>0</v>
      </c>
      <c r="CJ809" s="5" t="n">
        <v>0</v>
      </c>
      <c r="CK809" s="5" t="n">
        <v>0</v>
      </c>
      <c r="CL809" s="5" t="n">
        <v>0</v>
      </c>
      <c r="CM809" s="5" t="n">
        <v>0</v>
      </c>
      <c r="CN809" s="5" t="n">
        <v>0</v>
      </c>
      <c r="CO809" s="5" t="n">
        <v>0</v>
      </c>
      <c r="CP809" s="5" t="n">
        <v>0</v>
      </c>
      <c r="CQ809" s="5" t="n">
        <v>1.387</v>
      </c>
      <c r="CR809" s="5" t="n">
        <v>0.359</v>
      </c>
      <c r="CS809" s="5" t="n">
        <v>6.889</v>
      </c>
      <c r="CT809" s="5" t="n">
        <v>4.251</v>
      </c>
      <c r="CU809" s="5" t="n">
        <v>9.167999999999999</v>
      </c>
    </row>
    <row r="810">
      <c r="A810" s="5" t="inlineStr">
        <is>
          <t>TUR2021</t>
        </is>
      </c>
      <c r="B810" s="5" t="inlineStr">
        <is>
          <t>TUR</t>
        </is>
      </c>
      <c r="C810" s="5" t="inlineStr">
        <is>
          <t>TUR</t>
        </is>
      </c>
      <c r="D810" s="5" t="inlineStr">
        <is>
          <t>Turkiye</t>
        </is>
      </c>
      <c r="E810" s="5" t="n">
        <v>2021</v>
      </c>
      <c r="F810" s="5" t="n">
        <v>0.18</v>
      </c>
      <c r="G810" s="5" t="n">
        <v>0.786</v>
      </c>
      <c r="H810" s="5" t="n">
        <v>0.172</v>
      </c>
      <c r="I810" s="5" t="n">
        <v>-0.148</v>
      </c>
      <c r="J810" s="5" t="n">
        <v>0.637</v>
      </c>
      <c r="K810" s="5" t="n">
        <v>0</v>
      </c>
      <c r="L810" s="5" t="n">
        <v>1</v>
      </c>
      <c r="M810" s="5" t="n">
        <v>2.255</v>
      </c>
      <c r="N810" s="5" t="n">
        <v>1.022</v>
      </c>
      <c r="O810" s="5" t="n">
        <v>0</v>
      </c>
      <c r="P810" s="5" t="n">
        <v>2.255</v>
      </c>
      <c r="Q810" s="5" t="n">
        <v>0</v>
      </c>
      <c r="R810" s="5" t="n">
        <v>1</v>
      </c>
      <c r="S810" s="5" t="n">
        <v>3.306</v>
      </c>
      <c r="T810" s="5" t="n">
        <v>2.049</v>
      </c>
      <c r="U810" s="5" t="n">
        <v>-0.755</v>
      </c>
      <c r="V810" s="5" t="n">
        <v>3.01</v>
      </c>
      <c r="W810" s="5" t="n">
        <v>0</v>
      </c>
      <c r="X810" s="5" t="n">
        <v>1</v>
      </c>
      <c r="Y810" s="5" t="n">
        <v>16.094</v>
      </c>
      <c r="Z810" s="5" t="n">
        <v>2.175</v>
      </c>
      <c r="AA810" s="5" t="n">
        <v>-9.529999999999999</v>
      </c>
      <c r="AB810" s="5" t="n">
        <v>6.564</v>
      </c>
      <c r="AC810" s="5" t="n">
        <v>0</v>
      </c>
      <c r="AD810" s="5" t="n">
        <v>1</v>
      </c>
      <c r="AE810" s="5" t="n">
        <v>17.228</v>
      </c>
      <c r="AF810" s="5" t="n">
        <v>4.028</v>
      </c>
      <c r="AG810" s="5" t="n">
        <v>-10.665</v>
      </c>
      <c r="AH810" s="5" t="n">
        <v>6.564</v>
      </c>
      <c r="AI810" s="5" t="n">
        <v>0</v>
      </c>
      <c r="AJ810" s="5" t="n">
        <v>1</v>
      </c>
      <c r="AK810" s="5" t="n">
        <v>21.765</v>
      </c>
      <c r="AL810" s="5" t="n">
        <v>10.682</v>
      </c>
      <c r="AM810" s="5" t="n">
        <v>-16.601</v>
      </c>
      <c r="AN810" s="5" t="n">
        <v>6.094</v>
      </c>
      <c r="AO810" s="5" t="n">
        <v>0</v>
      </c>
      <c r="AP810" s="5" t="n">
        <v>0</v>
      </c>
      <c r="AQ810" s="5" t="n">
        <v>0.619</v>
      </c>
      <c r="AR810" s="5" t="n">
        <v>0.114</v>
      </c>
      <c r="AS810" s="5" t="n">
        <v>0.139</v>
      </c>
      <c r="AT810" s="5" t="n">
        <v>0.895</v>
      </c>
      <c r="AU810" s="5" t="n">
        <v>0.18</v>
      </c>
      <c r="AV810" s="5" t="n">
        <v>1</v>
      </c>
      <c r="AW810" s="5" t="n">
        <v>0.599</v>
      </c>
      <c r="AX810" s="5" t="n">
        <v>0.114</v>
      </c>
      <c r="AY810" s="5" t="n">
        <v>0.117</v>
      </c>
      <c r="AZ810" s="5" t="n">
        <v>0.845</v>
      </c>
      <c r="BA810" s="5" t="n">
        <v>0.18</v>
      </c>
      <c r="BB810" s="5" t="n">
        <v>1</v>
      </c>
      <c r="BC810" s="5" t="n">
        <v>0.439</v>
      </c>
      <c r="BD810" s="5" t="n">
        <v>0.114</v>
      </c>
      <c r="BE810" s="5" t="n">
        <v>0.046</v>
      </c>
      <c r="BF810" s="5" t="n">
        <v>0.572</v>
      </c>
      <c r="BG810" s="5" t="n">
        <v>0.18</v>
      </c>
      <c r="BH810" s="5" t="n">
        <v>1</v>
      </c>
      <c r="BI810" s="5" t="n">
        <v>0.505</v>
      </c>
      <c r="BJ810" s="5" t="n">
        <v>0.114</v>
      </c>
      <c r="BK810" s="5" t="n">
        <v>0.226</v>
      </c>
      <c r="BL810" s="5" t="n">
        <v>0.862</v>
      </c>
      <c r="BM810" s="5" t="n">
        <v>0.18</v>
      </c>
      <c r="BN810" s="5" t="n">
        <v>1</v>
      </c>
      <c r="BO810" s="5" t="n">
        <v>0</v>
      </c>
      <c r="BP810" s="5" t="n">
        <v>0.002</v>
      </c>
      <c r="BQ810" s="5" t="n">
        <v>0.076</v>
      </c>
      <c r="BR810" s="5" t="n">
        <v>0</v>
      </c>
      <c r="BS810" s="5" t="n">
        <v>1</v>
      </c>
      <c r="BT810" s="5" t="n">
        <v>0</v>
      </c>
      <c r="BU810" s="5" t="n">
        <v>0.004</v>
      </c>
      <c r="BV810" s="5" t="n">
        <v>0.096</v>
      </c>
      <c r="BW810" s="5" t="n">
        <v>0.18</v>
      </c>
      <c r="BX810" s="5" t="n">
        <v>1</v>
      </c>
      <c r="BY810" s="5" t="n">
        <v>11.787</v>
      </c>
      <c r="BZ810" s="5" t="n">
        <v>0</v>
      </c>
      <c r="CA810" s="5" t="n">
        <v>11.787</v>
      </c>
      <c r="CB810" s="5" t="n">
        <v>0</v>
      </c>
      <c r="CC810" s="5" t="n">
        <v>78.125</v>
      </c>
      <c r="CD810" s="5" t="n">
        <v>7.95</v>
      </c>
      <c r="CE810" s="5" t="n">
        <v>25.739</v>
      </c>
      <c r="CF810" s="5" t="n">
        <v>122.559</v>
      </c>
      <c r="CG810" s="5" t="n">
        <v>0.18</v>
      </c>
      <c r="CH810" s="5" t="n">
        <v>1</v>
      </c>
      <c r="CI810" s="5" t="n">
        <v>0</v>
      </c>
      <c r="CJ810" s="5" t="n">
        <v>0</v>
      </c>
      <c r="CK810" s="5" t="n">
        <v>0</v>
      </c>
      <c r="CL810" s="5" t="n">
        <v>0.213</v>
      </c>
      <c r="CM810" s="5" t="n">
        <v>0</v>
      </c>
      <c r="CN810" s="5" t="n">
        <v>0.046</v>
      </c>
      <c r="CO810" s="5" t="n">
        <v>0.102</v>
      </c>
      <c r="CP810" s="5" t="n">
        <v>0</v>
      </c>
      <c r="CQ810" s="5" t="n">
        <v>1.198</v>
      </c>
      <c r="CR810" s="5" t="n">
        <v>0</v>
      </c>
      <c r="CS810" s="5" t="n">
        <v>2.456</v>
      </c>
      <c r="CT810" s="5" t="n">
        <v>4.41</v>
      </c>
      <c r="CU810" s="5" t="n">
        <v>15.162</v>
      </c>
    </row>
    <row r="811">
      <c r="A811" s="5" t="inlineStr">
        <is>
          <t>TUR2022</t>
        </is>
      </c>
      <c r="B811" s="5" t="inlineStr">
        <is>
          <t>TUR</t>
        </is>
      </c>
      <c r="C811" s="5" t="inlineStr">
        <is>
          <t>TUR</t>
        </is>
      </c>
      <c r="D811" s="5" t="inlineStr">
        <is>
          <t>Turkiye</t>
        </is>
      </c>
      <c r="E811" s="5" t="n">
        <v>2022</v>
      </c>
      <c r="F811" s="5" t="n">
        <v>0.18</v>
      </c>
      <c r="G811" s="5" t="n">
        <v>0.713</v>
      </c>
      <c r="H811" s="5" t="n">
        <v>0.111</v>
      </c>
      <c r="I811" s="5" t="n">
        <v>-0.09</v>
      </c>
      <c r="J811" s="5" t="n">
        <v>0.623</v>
      </c>
      <c r="K811" s="5" t="n">
        <v>0</v>
      </c>
      <c r="L811" s="5" t="n">
        <v>1</v>
      </c>
      <c r="M811" s="5" t="n">
        <v>2.942</v>
      </c>
      <c r="N811" s="5" t="n">
        <v>1.215</v>
      </c>
      <c r="O811" s="5" t="n">
        <v>0</v>
      </c>
      <c r="P811" s="5" t="n">
        <v>2.942</v>
      </c>
      <c r="Q811" s="5" t="n">
        <v>0</v>
      </c>
      <c r="R811" s="5" t="n">
        <v>1</v>
      </c>
      <c r="S811" s="5" t="n">
        <v>4.042</v>
      </c>
      <c r="T811" s="5" t="n">
        <v>1.98</v>
      </c>
      <c r="U811" s="5" t="n">
        <v>-0.547</v>
      </c>
      <c r="V811" s="5" t="n">
        <v>4.124</v>
      </c>
      <c r="W811" s="5" t="n">
        <v>0</v>
      </c>
      <c r="X811" s="5" t="n">
        <v>1</v>
      </c>
      <c r="Y811" s="5" t="n">
        <v>32.56</v>
      </c>
      <c r="Z811" s="5" t="n">
        <v>4.4</v>
      </c>
      <c r="AA811" s="5" t="n">
        <v>-12.85</v>
      </c>
      <c r="AB811" s="5" t="n">
        <v>19.71</v>
      </c>
      <c r="AC811" s="5" t="n">
        <v>0</v>
      </c>
      <c r="AD811" s="5" t="n">
        <v>1</v>
      </c>
      <c r="AE811" s="5" t="n">
        <v>33.795</v>
      </c>
      <c r="AF811" s="5" t="n">
        <v>7.901</v>
      </c>
      <c r="AG811" s="5" t="n">
        <v>-14.085</v>
      </c>
      <c r="AH811" s="5" t="n">
        <v>19.71</v>
      </c>
      <c r="AI811" s="5" t="n">
        <v>0</v>
      </c>
      <c r="AJ811" s="5" t="n">
        <v>1</v>
      </c>
      <c r="AK811" s="5" t="n">
        <v>38.734</v>
      </c>
      <c r="AL811" s="5" t="n">
        <v>18.497</v>
      </c>
      <c r="AM811" s="5" t="n">
        <v>-33.019</v>
      </c>
      <c r="AN811" s="5" t="n">
        <v>6.743</v>
      </c>
      <c r="AO811" s="5" t="n">
        <v>0</v>
      </c>
      <c r="AP811" s="5" t="n">
        <v>0</v>
      </c>
      <c r="AQ811" s="5" t="n">
        <v>0.861</v>
      </c>
      <c r="AR811" s="5" t="n">
        <v>0.123</v>
      </c>
      <c r="AS811" s="5" t="n">
        <v>0.167</v>
      </c>
      <c r="AT811" s="5" t="n">
        <v>1.213</v>
      </c>
      <c r="AU811" s="5" t="n">
        <v>0.18</v>
      </c>
      <c r="AV811" s="5" t="n">
        <v>1</v>
      </c>
      <c r="AW811" s="5" t="n">
        <v>0.986</v>
      </c>
      <c r="AX811" s="5" t="n">
        <v>0.123</v>
      </c>
      <c r="AY811" s="5" t="n">
        <v>0.16</v>
      </c>
      <c r="AZ811" s="5" t="n">
        <v>1.353</v>
      </c>
      <c r="BA811" s="5" t="n">
        <v>0.18</v>
      </c>
      <c r="BB811" s="5" t="n">
        <v>1</v>
      </c>
      <c r="BC811" s="5" t="n">
        <v>0.598</v>
      </c>
      <c r="BD811" s="5" t="n">
        <v>0.123</v>
      </c>
      <c r="BE811" s="5" t="n">
        <v>-0.049</v>
      </c>
      <c r="BF811" s="5" t="n">
        <v>0.648</v>
      </c>
      <c r="BG811" s="5" t="n">
        <v>0.18</v>
      </c>
      <c r="BH811" s="5" t="n">
        <v>1</v>
      </c>
      <c r="BI811" s="5" t="n">
        <v>0.612</v>
      </c>
      <c r="BJ811" s="5" t="n">
        <v>0.123</v>
      </c>
      <c r="BK811" s="5" t="n">
        <v>0.477</v>
      </c>
      <c r="BL811" s="5" t="n">
        <v>1.285</v>
      </c>
      <c r="BM811" s="5" t="n">
        <v>0.18</v>
      </c>
      <c r="BN811" s="5" t="n">
        <v>1</v>
      </c>
      <c r="BO811" s="5" t="n">
        <v>0</v>
      </c>
      <c r="BP811" s="5" t="n">
        <v>0.001</v>
      </c>
      <c r="BQ811" s="5" t="n">
        <v>0.161</v>
      </c>
      <c r="BR811" s="5" t="n">
        <v>0</v>
      </c>
      <c r="BS811" s="5" t="n">
        <v>1</v>
      </c>
      <c r="BT811" s="5" t="n">
        <v>0</v>
      </c>
      <c r="BU811" s="5" t="n">
        <v>0.003</v>
      </c>
      <c r="BV811" s="5" t="n">
        <v>0.095</v>
      </c>
      <c r="BW811" s="5" t="n">
        <v>0.18</v>
      </c>
      <c r="BX811" s="5" t="n">
        <v>1</v>
      </c>
      <c r="BY811" s="5" t="n">
        <v>12.729</v>
      </c>
      <c r="BZ811" s="5" t="n">
        <v>0</v>
      </c>
      <c r="CA811" s="5" t="n">
        <v>12.729</v>
      </c>
      <c r="CB811" s="5" t="n">
        <v>0</v>
      </c>
      <c r="CC811" s="5" t="n">
        <v>97.90000000000001</v>
      </c>
      <c r="CD811" s="5" t="n">
        <v>7.95</v>
      </c>
      <c r="CE811" s="5" t="n">
        <v>43.515</v>
      </c>
      <c r="CF811" s="5" t="n">
        <v>166.87</v>
      </c>
      <c r="CG811" s="5" t="n">
        <v>0.18</v>
      </c>
      <c r="CH811" s="5" t="n">
        <v>1</v>
      </c>
      <c r="CI811" s="5" t="n">
        <v>0</v>
      </c>
      <c r="CJ811" s="5" t="n">
        <v>0</v>
      </c>
      <c r="CK811" s="5" t="n">
        <v>0</v>
      </c>
      <c r="CL811" s="5" t="n">
        <v>0.231</v>
      </c>
      <c r="CM811" s="5" t="n">
        <v>0</v>
      </c>
      <c r="CN811" s="5" t="n">
        <v>0.049</v>
      </c>
      <c r="CO811" s="5" t="n">
        <v>0.116</v>
      </c>
      <c r="CP811" s="5" t="n">
        <v>0</v>
      </c>
      <c r="CQ811" s="5" t="n">
        <v>1.294</v>
      </c>
      <c r="CR811" s="5" t="n">
        <v>0</v>
      </c>
      <c r="CS811" s="5" t="n">
        <v>2.652</v>
      </c>
      <c r="CT811" s="5" t="n">
        <v>5.842</v>
      </c>
      <c r="CU811" s="5" t="n">
        <v>31.326</v>
      </c>
    </row>
    <row r="812">
      <c r="A812" s="5" t="inlineStr">
        <is>
          <t>TUR2023</t>
        </is>
      </c>
      <c r="B812" s="5" t="inlineStr">
        <is>
          <t>TUR</t>
        </is>
      </c>
      <c r="C812" s="5" t="inlineStr">
        <is>
          <t>TUR</t>
        </is>
      </c>
      <c r="D812" s="5" t="inlineStr">
        <is>
          <t>Turkiye</t>
        </is>
      </c>
      <c r="E812" s="5" t="n">
        <v>2023</v>
      </c>
      <c r="F812" s="5" t="n">
        <v>0.18</v>
      </c>
      <c r="G812" s="5" t="n">
        <v>1.246</v>
      </c>
      <c r="H812" s="5" t="n">
        <v>0.284</v>
      </c>
      <c r="I812" s="5" t="n">
        <v>-0.032</v>
      </c>
      <c r="J812" s="5" t="n">
        <v>1.214</v>
      </c>
      <c r="K812" s="5" t="n">
        <v>0</v>
      </c>
      <c r="L812" s="5" t="n">
        <v>1</v>
      </c>
      <c r="M812" s="5" t="n">
        <v>3.116</v>
      </c>
      <c r="N812" s="5" t="n">
        <v>1.546</v>
      </c>
      <c r="O812" s="5" t="n">
        <v>0</v>
      </c>
      <c r="P812" s="5" t="n">
        <v>3.116</v>
      </c>
      <c r="Q812" s="5" t="n">
        <v>0</v>
      </c>
      <c r="R812" s="5" t="n">
        <v>1</v>
      </c>
      <c r="S812" s="5" t="n">
        <v>3.762</v>
      </c>
      <c r="T812" s="5" t="n">
        <v>2.359</v>
      </c>
      <c r="U812" s="5" t="n">
        <v>-0.34</v>
      </c>
      <c r="V812" s="5" t="n">
        <v>4.038</v>
      </c>
      <c r="W812" s="5" t="n">
        <v>0</v>
      </c>
      <c r="X812" s="5" t="n">
        <v>1</v>
      </c>
      <c r="Y812" s="5" t="n">
        <v>12.908</v>
      </c>
      <c r="Z812" s="5" t="n">
        <v>1.744</v>
      </c>
      <c r="AA812" s="5" t="n">
        <v>-0.051</v>
      </c>
      <c r="AB812" s="5" t="n">
        <v>12.857</v>
      </c>
      <c r="AC812" s="5" t="n">
        <v>0</v>
      </c>
      <c r="AD812" s="5" t="n">
        <v>1</v>
      </c>
      <c r="AE812" s="5" t="n">
        <v>14.194</v>
      </c>
      <c r="AF812" s="5" t="n">
        <v>3.318</v>
      </c>
      <c r="AG812" s="5" t="n">
        <v>-1.336</v>
      </c>
      <c r="AH812" s="5" t="n">
        <v>12.857</v>
      </c>
      <c r="AI812" s="5" t="n">
        <v>0</v>
      </c>
      <c r="AJ812" s="5" t="n">
        <v>1</v>
      </c>
      <c r="AK812" s="5" t="n">
        <v>19.336</v>
      </c>
      <c r="AL812" s="5" t="n">
        <v>9.579000000000001</v>
      </c>
      <c r="AM812" s="5" t="n">
        <v>-14.166</v>
      </c>
      <c r="AN812" s="5" t="n">
        <v>6.101</v>
      </c>
      <c r="AO812" s="5" t="n">
        <v>0</v>
      </c>
      <c r="AP812" s="5" t="n">
        <v>0</v>
      </c>
      <c r="AQ812" s="5" t="n">
        <v>0.76</v>
      </c>
      <c r="AR812" s="5" t="n">
        <v>0.129</v>
      </c>
      <c r="AS812" s="5" t="n">
        <v>0.239</v>
      </c>
      <c r="AT812" s="5" t="n">
        <v>1.179</v>
      </c>
      <c r="AU812" s="5" t="n">
        <v>0.18</v>
      </c>
      <c r="AV812" s="5" t="n">
        <v>1</v>
      </c>
      <c r="AW812" s="5" t="n">
        <v>0.8110000000000001</v>
      </c>
      <c r="AX812" s="5" t="n">
        <v>0.129</v>
      </c>
      <c r="AY812" s="5" t="n">
        <v>0.218</v>
      </c>
      <c r="AZ812" s="5" t="n">
        <v>1.215</v>
      </c>
      <c r="BA812" s="5" t="n">
        <v>0.18</v>
      </c>
      <c r="BB812" s="5" t="n">
        <v>1</v>
      </c>
      <c r="BC812" s="5" t="n">
        <v>0.535</v>
      </c>
      <c r="BD812" s="5" t="n">
        <v>0.129</v>
      </c>
      <c r="BE812" s="5" t="n">
        <v>-0.034</v>
      </c>
      <c r="BF812" s="5" t="n">
        <v>0.591</v>
      </c>
      <c r="BG812" s="5" t="n">
        <v>0.18</v>
      </c>
      <c r="BH812" s="5" t="n">
        <v>1</v>
      </c>
      <c r="BI812" s="5" t="n">
        <v>0.579</v>
      </c>
      <c r="BJ812" s="5" t="n">
        <v>0.129</v>
      </c>
      <c r="BK812" s="5" t="n">
        <v>0.382</v>
      </c>
      <c r="BL812" s="5" t="n">
        <v>1.134</v>
      </c>
      <c r="BM812" s="5" t="n">
        <v>0.18</v>
      </c>
      <c r="BN812" s="5" t="n">
        <v>1</v>
      </c>
      <c r="BO812" s="5" t="n">
        <v>0</v>
      </c>
      <c r="BP812" s="5" t="n">
        <v>0.001</v>
      </c>
      <c r="BQ812" s="5" t="n">
        <v>0.112</v>
      </c>
      <c r="BR812" s="5" t="n">
        <v>0</v>
      </c>
      <c r="BS812" s="5" t="n">
        <v>1</v>
      </c>
      <c r="BT812" s="5" t="n">
        <v>0</v>
      </c>
      <c r="BU812" s="5" t="n">
        <v>0.002</v>
      </c>
      <c r="BV812" s="5" t="n">
        <v>0.076</v>
      </c>
      <c r="BW812" s="5" t="n">
        <v>0.18</v>
      </c>
      <c r="BX812" s="5" t="n">
        <v>1</v>
      </c>
      <c r="BY812" s="5" t="n">
        <v>13.254</v>
      </c>
      <c r="BZ812" s="5" t="n">
        <v>0</v>
      </c>
      <c r="CA812" s="5" t="n">
        <v>13.254</v>
      </c>
      <c r="CB812" s="5" t="n">
        <v>0</v>
      </c>
      <c r="CC812" s="5" t="n">
        <v>83.248</v>
      </c>
      <c r="CD812" s="5" t="n">
        <v>7.95</v>
      </c>
      <c r="CE812" s="5" t="n">
        <v>42.358</v>
      </c>
      <c r="CF812" s="5" t="n">
        <v>149.472</v>
      </c>
      <c r="CG812" s="5" t="n">
        <v>0.19</v>
      </c>
      <c r="CH812" s="5" t="n">
        <v>1</v>
      </c>
      <c r="CI812" s="5" t="n">
        <v>0</v>
      </c>
      <c r="CJ812" s="5" t="n">
        <v>0</v>
      </c>
      <c r="CK812" s="5" t="n">
        <v>0</v>
      </c>
      <c r="CL812" s="5" t="n">
        <v>0.24</v>
      </c>
      <c r="CM812" s="5" t="n">
        <v>0</v>
      </c>
      <c r="CN812" s="5" t="n">
        <v>0.194</v>
      </c>
      <c r="CO812" s="5" t="n">
        <v>0.14</v>
      </c>
      <c r="CP812" s="5" t="n">
        <v>0</v>
      </c>
      <c r="CQ812" s="5" t="n">
        <v>1.348</v>
      </c>
      <c r="CR812" s="5" t="n">
        <v>0</v>
      </c>
      <c r="CS812" s="5" t="n">
        <v>2.762</v>
      </c>
      <c r="CT812" s="5" t="n">
        <v>3.466</v>
      </c>
      <c r="CU812" s="5" t="n">
        <v>11.622</v>
      </c>
    </row>
    <row r="813">
      <c r="A813" s="5" t="inlineStr">
        <is>
          <t>TUR2024</t>
        </is>
      </c>
      <c r="B813" s="5" t="inlineStr">
        <is>
          <t>TUR</t>
        </is>
      </c>
      <c r="C813" s="5" t="inlineStr">
        <is>
          <t>TUR</t>
        </is>
      </c>
      <c r="D813" s="5" t="inlineStr">
        <is>
          <t>Turkiye</t>
        </is>
      </c>
      <c r="E813" s="5" t="n">
        <v>2024</v>
      </c>
      <c r="F813" s="5" t="n">
        <v>0.18</v>
      </c>
      <c r="G813" s="5" t="n">
        <v>1.025</v>
      </c>
      <c r="H813" s="5" t="n">
        <v>0.26</v>
      </c>
      <c r="I813" s="5" t="n">
        <v>-0.081</v>
      </c>
      <c r="J813" s="5" t="n">
        <v>0.944</v>
      </c>
      <c r="K813" s="5" t="n">
        <v>0</v>
      </c>
      <c r="L813" s="5" t="n">
        <v>1</v>
      </c>
      <c r="M813" s="5" t="n">
        <v>3.313</v>
      </c>
      <c r="N813" s="5" t="n">
        <v>1.805</v>
      </c>
      <c r="O813" s="5" t="n">
        <v>0.172</v>
      </c>
      <c r="P813" s="5" t="n">
        <v>3.484</v>
      </c>
      <c r="Q813" s="5" t="n">
        <v>0</v>
      </c>
      <c r="R813" s="5" t="n">
        <v>1</v>
      </c>
      <c r="S813" s="5" t="n">
        <v>4.506</v>
      </c>
      <c r="T813" s="5" t="n">
        <v>2.983</v>
      </c>
      <c r="U813" s="5" t="n">
        <v>-0.877</v>
      </c>
      <c r="V813" s="5" t="n">
        <v>4.282</v>
      </c>
      <c r="W813" s="5" t="n">
        <v>0</v>
      </c>
      <c r="X813" s="5" t="n">
        <v>1</v>
      </c>
      <c r="Y813" s="5" t="n">
        <v>9.196999999999999</v>
      </c>
      <c r="Z813" s="5" t="n">
        <v>1.161</v>
      </c>
      <c r="AA813" s="5" t="n">
        <v>0.262</v>
      </c>
      <c r="AB813" s="5" t="n">
        <v>9.460000000000001</v>
      </c>
      <c r="AC813" s="5" t="n">
        <v>0</v>
      </c>
      <c r="AD813" s="5" t="n">
        <v>1</v>
      </c>
      <c r="AE813" s="5" t="n">
        <v>9.196999999999999</v>
      </c>
      <c r="AF813" s="5" t="n">
        <v>2.015</v>
      </c>
      <c r="AG813" s="5" t="n">
        <v>0.262</v>
      </c>
      <c r="AH813" s="5" t="n">
        <v>9.460000000000001</v>
      </c>
      <c r="AI813" s="5" t="n">
        <v>0</v>
      </c>
      <c r="AJ813" s="5" t="n">
        <v>1</v>
      </c>
      <c r="AK813" s="5" t="n">
        <v>9.548</v>
      </c>
      <c r="AL813" s="5" t="n">
        <v>4.857</v>
      </c>
      <c r="AM813" s="5" t="n">
        <v>-4.764</v>
      </c>
      <c r="AN813" s="5" t="n">
        <v>5.645</v>
      </c>
      <c r="AO813" s="5" t="n">
        <v>0</v>
      </c>
      <c r="AP813" s="5" t="n">
        <v>0</v>
      </c>
      <c r="AQ813" s="5" t="n">
        <v>0.724</v>
      </c>
      <c r="AR813" s="5" t="n">
        <v>0.132</v>
      </c>
      <c r="AS813" s="5" t="n">
        <v>0.364</v>
      </c>
      <c r="AT813" s="5" t="n">
        <v>1.284</v>
      </c>
      <c r="AU813" s="5" t="n">
        <v>0.18</v>
      </c>
      <c r="AV813" s="5" t="n">
        <v>1</v>
      </c>
      <c r="AW813" s="5" t="n">
        <v>0.75</v>
      </c>
      <c r="AX813" s="5" t="n">
        <v>0.132</v>
      </c>
      <c r="AY813" s="5" t="n">
        <v>0.341</v>
      </c>
      <c r="AZ813" s="5" t="n">
        <v>1.287</v>
      </c>
      <c r="BA813" s="5" t="n">
        <v>0.18</v>
      </c>
      <c r="BB813" s="5" t="n">
        <v>1</v>
      </c>
      <c r="BC813" s="5" t="n">
        <v>0.513</v>
      </c>
      <c r="BD813" s="5" t="n">
        <v>0.132</v>
      </c>
      <c r="BE813" s="5" t="n">
        <v>0.078</v>
      </c>
      <c r="BF813" s="5" t="n">
        <v>0.698</v>
      </c>
      <c r="BG813" s="5" t="n">
        <v>0.18</v>
      </c>
      <c r="BH813" s="5" t="n">
        <v>1</v>
      </c>
      <c r="BI813" s="5" t="n">
        <v>0.591</v>
      </c>
      <c r="BJ813" s="5" t="n">
        <v>0.132</v>
      </c>
      <c r="BK813" s="5" t="n">
        <v>0.359</v>
      </c>
      <c r="BL813" s="5" t="n">
        <v>1.122</v>
      </c>
      <c r="BM813" s="5" t="n">
        <v>0.18</v>
      </c>
      <c r="BN813" s="5" t="n">
        <v>1</v>
      </c>
      <c r="BO813" s="5" t="n">
        <v>0</v>
      </c>
      <c r="BP813" s="5" t="n">
        <v>0.001</v>
      </c>
      <c r="BQ813" s="5" t="n">
        <v>0.08799999999999999</v>
      </c>
      <c r="BR813" s="5" t="n">
        <v>0</v>
      </c>
      <c r="BS813" s="5" t="n">
        <v>1</v>
      </c>
      <c r="BT813" s="5" t="n">
        <v>0</v>
      </c>
      <c r="BU813" s="5" t="n">
        <v>0.001</v>
      </c>
      <c r="BV813" s="5" t="n">
        <v>0.06</v>
      </c>
      <c r="BW813" s="5" t="n">
        <v>0.18</v>
      </c>
      <c r="BX813" s="5" t="n">
        <v>1</v>
      </c>
      <c r="BY813" s="5" t="n">
        <v>13.646</v>
      </c>
      <c r="BZ813" s="5" t="n">
        <v>0</v>
      </c>
      <c r="CA813" s="5" t="n">
        <v>13.646</v>
      </c>
      <c r="CB813" s="5" t="n">
        <v>0</v>
      </c>
      <c r="CC813" s="5" t="n">
        <v>82.58799999999999</v>
      </c>
      <c r="CD813" s="5" t="n">
        <v>7.95</v>
      </c>
      <c r="CE813" s="5" t="n">
        <v>41.944</v>
      </c>
      <c r="CF813" s="5" t="n">
        <v>148.193</v>
      </c>
      <c r="CG813" s="5" t="n">
        <v>0.19</v>
      </c>
      <c r="CH813" s="5" t="n">
        <v>1</v>
      </c>
      <c r="CI813" s="5" t="n">
        <v>0</v>
      </c>
      <c r="CJ813" s="5" t="n">
        <v>0</v>
      </c>
      <c r="CK813" s="5" t="n">
        <v>0</v>
      </c>
      <c r="CL813" s="5" t="n">
        <v>0.247</v>
      </c>
      <c r="CM813" s="5" t="n">
        <v>0</v>
      </c>
      <c r="CN813" s="5" t="n">
        <v>0.339</v>
      </c>
      <c r="CO813" s="5" t="n">
        <v>0.156</v>
      </c>
      <c r="CP813" s="5" t="n">
        <v>0</v>
      </c>
      <c r="CQ813" s="5" t="n">
        <v>1.387</v>
      </c>
      <c r="CR813" s="5" t="n">
        <v>0</v>
      </c>
      <c r="CS813" s="5" t="n">
        <v>2.843</v>
      </c>
      <c r="CT813" s="5" t="n">
        <v>3.027</v>
      </c>
      <c r="CU813" s="5" t="n">
        <v>10.168</v>
      </c>
    </row>
    <row r="814">
      <c r="A814" s="5" t="inlineStr">
        <is>
          <t>TKM2021</t>
        </is>
      </c>
      <c r="B814" s="5" t="inlineStr">
        <is>
          <t>TKM</t>
        </is>
      </c>
      <c r="C814" s="5" t="inlineStr">
        <is>
          <t>TKM</t>
        </is>
      </c>
      <c r="D814" s="5" t="inlineStr">
        <is>
          <t>Turkmenistan</t>
        </is>
      </c>
      <c r="E814" s="5" t="n">
        <v>2021</v>
      </c>
      <c r="F814" s="5" t="n">
        <v>0.15</v>
      </c>
      <c r="G814" s="5" t="n">
        <v>5.553</v>
      </c>
      <c r="H814" s="5" t="n">
        <v>1.143</v>
      </c>
      <c r="I814" s="5" t="n">
        <v>0.028</v>
      </c>
      <c r="J814" s="5" t="n">
        <v>5.581</v>
      </c>
      <c r="K814" s="5" t="n">
        <v>0</v>
      </c>
      <c r="L814" s="5" t="n">
        <v>1</v>
      </c>
      <c r="M814" s="5" t="n">
        <v>7.964</v>
      </c>
      <c r="N814" s="5" t="n">
        <v>3.43</v>
      </c>
      <c r="O814" s="5" t="n">
        <v>0.04</v>
      </c>
      <c r="P814" s="5" t="n">
        <v>8.005000000000001</v>
      </c>
      <c r="Q814" s="5" t="n">
        <v>0</v>
      </c>
      <c r="R814" s="5" t="n">
        <v>1</v>
      </c>
      <c r="S814" s="5" t="n">
        <v>11.27</v>
      </c>
      <c r="T814" s="5" t="n">
        <v>6.86</v>
      </c>
      <c r="U814" s="5" t="n">
        <v>0.028</v>
      </c>
      <c r="V814" s="5" t="n">
        <v>12.992</v>
      </c>
      <c r="W814" s="5" t="n">
        <v>0.15</v>
      </c>
      <c r="X814" s="5" t="n">
        <v>1</v>
      </c>
      <c r="Y814" s="5" t="n">
        <v>7.656</v>
      </c>
      <c r="Z814" s="5" t="n">
        <v>0.84</v>
      </c>
      <c r="AA814" s="5" t="n">
        <v>-5.659</v>
      </c>
      <c r="AB814" s="5" t="n">
        <v>1.997</v>
      </c>
      <c r="AC814" s="5" t="n">
        <v>0</v>
      </c>
      <c r="AD814" s="5" t="n">
        <v>0</v>
      </c>
      <c r="AE814" s="5" t="n">
        <v>7.847</v>
      </c>
      <c r="AF814" s="5" t="n">
        <v>1.526</v>
      </c>
      <c r="AG814" s="5" t="n">
        <v>-5.659</v>
      </c>
      <c r="AH814" s="5" t="n">
        <v>2.188</v>
      </c>
      <c r="AI814" s="5" t="n">
        <v>0</v>
      </c>
      <c r="AJ814" s="5" t="n">
        <v>0</v>
      </c>
      <c r="AK814" s="5" t="n">
        <v>6.92</v>
      </c>
      <c r="AL814" s="5" t="n">
        <v>3.264</v>
      </c>
      <c r="AM814" s="5" t="n">
        <v>-4.621</v>
      </c>
      <c r="AN814" s="5" t="n">
        <v>2.299</v>
      </c>
      <c r="AO814" s="5" t="n">
        <v>0</v>
      </c>
      <c r="AP814" s="5" t="n">
        <v>0</v>
      </c>
      <c r="AQ814" s="5" t="n">
        <v>0.619</v>
      </c>
      <c r="AR814" s="5" t="n">
        <v>0.114</v>
      </c>
      <c r="AS814" s="5" t="n">
        <v>-0.285</v>
      </c>
      <c r="AT814" s="5" t="n">
        <v>0.384</v>
      </c>
      <c r="AU814" s="5" t="n">
        <v>0</v>
      </c>
      <c r="AV814" s="5" t="n">
        <v>0</v>
      </c>
      <c r="AW814" s="5" t="n">
        <v>0.599</v>
      </c>
      <c r="AX814" s="5" t="n">
        <v>0.114</v>
      </c>
      <c r="AY814" s="5" t="n">
        <v>-0.273</v>
      </c>
      <c r="AZ814" s="5" t="n">
        <v>0.375</v>
      </c>
      <c r="BA814" s="5" t="n">
        <v>0</v>
      </c>
      <c r="BB814" s="5" t="n">
        <v>0</v>
      </c>
      <c r="BC814" s="5" t="n">
        <v>0.439</v>
      </c>
      <c r="BD814" s="5" t="n">
        <v>0.114</v>
      </c>
      <c r="BE814" s="5" t="n">
        <v>0</v>
      </c>
      <c r="BF814" s="5" t="n">
        <v>0.505</v>
      </c>
      <c r="BG814" s="5" t="n">
        <v>0.15</v>
      </c>
      <c r="BH814" s="5" t="n">
        <v>1</v>
      </c>
      <c r="BI814" s="5" t="n">
        <v>0.505</v>
      </c>
      <c r="BJ814" s="5" t="n">
        <v>0.114</v>
      </c>
      <c r="BK814" s="5" t="n">
        <v>0</v>
      </c>
      <c r="BL814" s="5" t="n">
        <v>0.58</v>
      </c>
      <c r="BM814" s="5" t="n">
        <v>0.15</v>
      </c>
      <c r="BN814" s="5" t="n">
        <v>1</v>
      </c>
      <c r="BO814" s="5" t="n">
        <v>0</v>
      </c>
      <c r="BP814" s="5" t="n">
        <v>-0.073</v>
      </c>
      <c r="BQ814" s="5" t="n">
        <v>0</v>
      </c>
      <c r="BR814" s="5" t="n">
        <v>0</v>
      </c>
      <c r="BS814" s="5" t="n">
        <v>1</v>
      </c>
      <c r="BT814" s="5" t="n">
        <v>0</v>
      </c>
      <c r="BU814" s="5" t="n">
        <v>-0.073</v>
      </c>
      <c r="BV814" s="5" t="n">
        <v>0</v>
      </c>
      <c r="BW814" s="5" t="n">
        <v>0.15</v>
      </c>
      <c r="BX814" s="5" t="n">
        <v>1</v>
      </c>
      <c r="BY814" s="5" t="n">
        <v>11.787</v>
      </c>
      <c r="BZ814" s="5" t="n">
        <v>0</v>
      </c>
      <c r="CA814" s="5" t="n">
        <v>11.787</v>
      </c>
      <c r="CB814" s="5" t="n">
        <v>0</v>
      </c>
      <c r="CC814" s="5" t="n">
        <v>78.125</v>
      </c>
      <c r="CD814" s="5" t="n">
        <v>7.95</v>
      </c>
      <c r="CE814" s="5" t="n">
        <v>0</v>
      </c>
      <c r="CF814" s="5" t="n">
        <v>89.84399999999999</v>
      </c>
      <c r="CG814" s="5" t="n">
        <v>0.15</v>
      </c>
      <c r="CH814" s="5" t="n">
        <v>1</v>
      </c>
      <c r="CI814" s="5" t="n">
        <v>0</v>
      </c>
      <c r="CJ814" s="5" t="n">
        <v>0</v>
      </c>
      <c r="CK814" s="5" t="n">
        <v>0</v>
      </c>
      <c r="CL814" s="5" t="n">
        <v>0</v>
      </c>
      <c r="CM814" s="5" t="n">
        <v>0</v>
      </c>
      <c r="CN814" s="5" t="n">
        <v>0</v>
      </c>
      <c r="CO814" s="5" t="n">
        <v>0</v>
      </c>
      <c r="CP814" s="5" t="n">
        <v>0</v>
      </c>
      <c r="CQ814" s="5" t="n">
        <v>1.198</v>
      </c>
      <c r="CR814" s="5" t="n">
        <v>1</v>
      </c>
      <c r="CS814" s="5" t="n">
        <v>2.347</v>
      </c>
      <c r="CT814" s="5" t="n">
        <v>4.41</v>
      </c>
      <c r="CU814" s="5" t="n">
        <v>14.129</v>
      </c>
    </row>
    <row r="815">
      <c r="A815" s="5" t="inlineStr">
        <is>
          <t>TKM2022</t>
        </is>
      </c>
      <c r="B815" s="5" t="inlineStr">
        <is>
          <t>TKM</t>
        </is>
      </c>
      <c r="C815" s="5" t="inlineStr">
        <is>
          <t>TKM</t>
        </is>
      </c>
      <c r="D815" s="5" t="inlineStr">
        <is>
          <t>Turkmenistan</t>
        </is>
      </c>
      <c r="E815" s="5" t="n">
        <v>2022</v>
      </c>
      <c r="F815" s="5" t="n">
        <v>0.15</v>
      </c>
      <c r="G815" s="5" t="n">
        <v>7.077</v>
      </c>
      <c r="H815" s="5" t="n">
        <v>1.235</v>
      </c>
      <c r="I815" s="5" t="n">
        <v>0.043</v>
      </c>
      <c r="J815" s="5" t="n">
        <v>7.12</v>
      </c>
      <c r="K815" s="5" t="n">
        <v>0</v>
      </c>
      <c r="L815" s="5" t="n">
        <v>1</v>
      </c>
      <c r="M815" s="5" t="n">
        <v>9.782999999999999</v>
      </c>
      <c r="N815" s="5" t="n">
        <v>3.704</v>
      </c>
      <c r="O815" s="5" t="n">
        <v>0.058</v>
      </c>
      <c r="P815" s="5" t="n">
        <v>9.84</v>
      </c>
      <c r="Q815" s="5" t="n">
        <v>0</v>
      </c>
      <c r="R815" s="5" t="n">
        <v>1</v>
      </c>
      <c r="S815" s="5" t="n">
        <v>13.25</v>
      </c>
      <c r="T815" s="5" t="n">
        <v>7.408</v>
      </c>
      <c r="U815" s="5" t="n">
        <v>0.191</v>
      </c>
      <c r="V815" s="5" t="n">
        <v>15.288</v>
      </c>
      <c r="W815" s="5" t="n">
        <v>0.15</v>
      </c>
      <c r="X815" s="5" t="n">
        <v>1</v>
      </c>
      <c r="Y815" s="5" t="n">
        <v>8.268000000000001</v>
      </c>
      <c r="Z815" s="5" t="n">
        <v>0.907</v>
      </c>
      <c r="AA815" s="5" t="n">
        <v>-6.111</v>
      </c>
      <c r="AB815" s="5" t="n">
        <v>2.157</v>
      </c>
      <c r="AC815" s="5" t="n">
        <v>0</v>
      </c>
      <c r="AD815" s="5" t="n">
        <v>0</v>
      </c>
      <c r="AE815" s="5" t="n">
        <v>8.474</v>
      </c>
      <c r="AF815" s="5" t="n">
        <v>1.648</v>
      </c>
      <c r="AG815" s="5" t="n">
        <v>-6.111</v>
      </c>
      <c r="AH815" s="5" t="n">
        <v>2.363</v>
      </c>
      <c r="AI815" s="5" t="n">
        <v>0</v>
      </c>
      <c r="AJ815" s="5" t="n">
        <v>0</v>
      </c>
      <c r="AK815" s="5" t="n">
        <v>7.473</v>
      </c>
      <c r="AL815" s="5" t="n">
        <v>3.525</v>
      </c>
      <c r="AM815" s="5" t="n">
        <v>-4.99</v>
      </c>
      <c r="AN815" s="5" t="n">
        <v>2.483</v>
      </c>
      <c r="AO815" s="5" t="n">
        <v>0</v>
      </c>
      <c r="AP815" s="5" t="n">
        <v>0</v>
      </c>
      <c r="AQ815" s="5" t="n">
        <v>0.861</v>
      </c>
      <c r="AR815" s="5" t="n">
        <v>0.123</v>
      </c>
      <c r="AS815" s="5" t="n">
        <v>-0.47</v>
      </c>
      <c r="AT815" s="5" t="n">
        <v>0.45</v>
      </c>
      <c r="AU815" s="5" t="n">
        <v>0</v>
      </c>
      <c r="AV815" s="5" t="n">
        <v>0</v>
      </c>
      <c r="AW815" s="5" t="n">
        <v>0.986</v>
      </c>
      <c r="AX815" s="5" t="n">
        <v>0.123</v>
      </c>
      <c r="AY815" s="5" t="n">
        <v>-0.652</v>
      </c>
      <c r="AZ815" s="5" t="n">
        <v>0.385</v>
      </c>
      <c r="BA815" s="5" t="n">
        <v>0</v>
      </c>
      <c r="BB815" s="5" t="n">
        <v>0</v>
      </c>
      <c r="BC815" s="5" t="n">
        <v>0.598</v>
      </c>
      <c r="BD815" s="5" t="n">
        <v>0.123</v>
      </c>
      <c r="BE815" s="5" t="n">
        <v>0.007</v>
      </c>
      <c r="BF815" s="5" t="n">
        <v>0.6879999999999999</v>
      </c>
      <c r="BG815" s="5" t="n">
        <v>0.15</v>
      </c>
      <c r="BH815" s="5" t="n">
        <v>1</v>
      </c>
      <c r="BI815" s="5" t="n">
        <v>0.612</v>
      </c>
      <c r="BJ815" s="5" t="n">
        <v>0.123</v>
      </c>
      <c r="BK815" s="5" t="n">
        <v>0.007</v>
      </c>
      <c r="BL815" s="5" t="n">
        <v>0.704</v>
      </c>
      <c r="BM815" s="5" t="n">
        <v>0.15</v>
      </c>
      <c r="BN815" s="5" t="n">
        <v>1</v>
      </c>
      <c r="BO815" s="5" t="n">
        <v>0</v>
      </c>
      <c r="BP815" s="5" t="n">
        <v>-0.073</v>
      </c>
      <c r="BQ815" s="5" t="n">
        <v>0</v>
      </c>
      <c r="BR815" s="5" t="n">
        <v>0</v>
      </c>
      <c r="BS815" s="5" t="n">
        <v>1</v>
      </c>
      <c r="BT815" s="5" t="n">
        <v>0</v>
      </c>
      <c r="BU815" s="5" t="n">
        <v>-0.073</v>
      </c>
      <c r="BV815" s="5" t="n">
        <v>0</v>
      </c>
      <c r="BW815" s="5" t="n">
        <v>0.15</v>
      </c>
      <c r="BX815" s="5" t="n">
        <v>1</v>
      </c>
      <c r="BY815" s="5" t="n">
        <v>12.729</v>
      </c>
      <c r="BZ815" s="5" t="n">
        <v>0</v>
      </c>
      <c r="CA815" s="5" t="n">
        <v>12.729</v>
      </c>
      <c r="CB815" s="5" t="n">
        <v>0</v>
      </c>
      <c r="CC815" s="5" t="n">
        <v>97.90000000000001</v>
      </c>
      <c r="CD815" s="5" t="n">
        <v>7.95</v>
      </c>
      <c r="CE815" s="5" t="n">
        <v>1.087</v>
      </c>
      <c r="CF815" s="5" t="n">
        <v>112.585</v>
      </c>
      <c r="CG815" s="5" t="n">
        <v>0.15</v>
      </c>
      <c r="CH815" s="5" t="n">
        <v>1</v>
      </c>
      <c r="CI815" s="5" t="n">
        <v>0</v>
      </c>
      <c r="CJ815" s="5" t="n">
        <v>0</v>
      </c>
      <c r="CK815" s="5" t="n">
        <v>0</v>
      </c>
      <c r="CL815" s="5" t="n">
        <v>0</v>
      </c>
      <c r="CM815" s="5" t="n">
        <v>0</v>
      </c>
      <c r="CN815" s="5" t="n">
        <v>0</v>
      </c>
      <c r="CO815" s="5" t="n">
        <v>0</v>
      </c>
      <c r="CP815" s="5" t="n">
        <v>0</v>
      </c>
      <c r="CQ815" s="5" t="n">
        <v>1.294</v>
      </c>
      <c r="CR815" s="5" t="n">
        <v>1</v>
      </c>
      <c r="CS815" s="5" t="n">
        <v>2.535</v>
      </c>
      <c r="CT815" s="5" t="n">
        <v>5.842</v>
      </c>
      <c r="CU815" s="5" t="n">
        <v>28.059</v>
      </c>
    </row>
    <row r="816">
      <c r="A816" s="5" t="inlineStr">
        <is>
          <t>TKM2023</t>
        </is>
      </c>
      <c r="B816" s="5" t="inlineStr">
        <is>
          <t>TKM</t>
        </is>
      </c>
      <c r="C816" s="5" t="inlineStr">
        <is>
          <t>TKM</t>
        </is>
      </c>
      <c r="D816" s="5" t="inlineStr">
        <is>
          <t>Turkmenistan</t>
        </is>
      </c>
      <c r="E816" s="5" t="n">
        <v>2023</v>
      </c>
      <c r="F816" s="5" t="n">
        <v>0.15</v>
      </c>
      <c r="G816" s="5" t="n">
        <v>4.752</v>
      </c>
      <c r="H816" s="5" t="n">
        <v>1.286</v>
      </c>
      <c r="I816" s="5" t="n">
        <v>0.027</v>
      </c>
      <c r="J816" s="5" t="n">
        <v>4.778</v>
      </c>
      <c r="K816" s="5" t="n">
        <v>0</v>
      </c>
      <c r="L816" s="5" t="n">
        <v>1</v>
      </c>
      <c r="M816" s="5" t="n">
        <v>7.886</v>
      </c>
      <c r="N816" s="5" t="n">
        <v>3.857</v>
      </c>
      <c r="O816" s="5" t="n">
        <v>0.04</v>
      </c>
      <c r="P816" s="5" t="n">
        <v>7.926</v>
      </c>
      <c r="Q816" s="5" t="n">
        <v>0</v>
      </c>
      <c r="R816" s="5" t="n">
        <v>1</v>
      </c>
      <c r="S816" s="5" t="n">
        <v>11.18</v>
      </c>
      <c r="T816" s="5" t="n">
        <v>7.714</v>
      </c>
      <c r="U816" s="5" t="n">
        <v>0.213</v>
      </c>
      <c r="V816" s="5" t="n">
        <v>12.888</v>
      </c>
      <c r="W816" s="5" t="n">
        <v>0.15</v>
      </c>
      <c r="X816" s="5" t="n">
        <v>1</v>
      </c>
      <c r="Y816" s="5" t="n">
        <v>8.609</v>
      </c>
      <c r="Z816" s="5" t="n">
        <v>0.945</v>
      </c>
      <c r="AA816" s="5" t="n">
        <v>-6.363</v>
      </c>
      <c r="AB816" s="5" t="n">
        <v>2.246</v>
      </c>
      <c r="AC816" s="5" t="n">
        <v>0</v>
      </c>
      <c r="AD816" s="5" t="n">
        <v>0</v>
      </c>
      <c r="AE816" s="5" t="n">
        <v>8.824</v>
      </c>
      <c r="AF816" s="5" t="n">
        <v>1.716</v>
      </c>
      <c r="AG816" s="5" t="n">
        <v>-6.363</v>
      </c>
      <c r="AH816" s="5" t="n">
        <v>2.461</v>
      </c>
      <c r="AI816" s="5" t="n">
        <v>0</v>
      </c>
      <c r="AJ816" s="5" t="n">
        <v>0</v>
      </c>
      <c r="AK816" s="5" t="n">
        <v>7.782</v>
      </c>
      <c r="AL816" s="5" t="n">
        <v>3.671</v>
      </c>
      <c r="AM816" s="5" t="n">
        <v>-5.196</v>
      </c>
      <c r="AN816" s="5" t="n">
        <v>2.586</v>
      </c>
      <c r="AO816" s="5" t="n">
        <v>0</v>
      </c>
      <c r="AP816" s="5" t="n">
        <v>0</v>
      </c>
      <c r="AQ816" s="5" t="n">
        <v>0.76</v>
      </c>
      <c r="AR816" s="5" t="n">
        <v>0.129</v>
      </c>
      <c r="AS816" s="5" t="n">
        <v>-0.292</v>
      </c>
      <c r="AT816" s="5" t="n">
        <v>0.468</v>
      </c>
      <c r="AU816" s="5" t="n">
        <v>0</v>
      </c>
      <c r="AV816" s="5" t="n">
        <v>0</v>
      </c>
      <c r="AW816" s="5" t="n">
        <v>0.8110000000000001</v>
      </c>
      <c r="AX816" s="5" t="n">
        <v>0.129</v>
      </c>
      <c r="AY816" s="5" t="n">
        <v>-0.411</v>
      </c>
      <c r="AZ816" s="5" t="n">
        <v>0.401</v>
      </c>
      <c r="BA816" s="5" t="n">
        <v>0</v>
      </c>
      <c r="BB816" s="5" t="n">
        <v>0</v>
      </c>
      <c r="BC816" s="5" t="n">
        <v>0.535</v>
      </c>
      <c r="BD816" s="5" t="n">
        <v>0.129</v>
      </c>
      <c r="BE816" s="5" t="n">
        <v>0.008999999999999999</v>
      </c>
      <c r="BF816" s="5" t="n">
        <v>0.615</v>
      </c>
      <c r="BG816" s="5" t="n">
        <v>0.15</v>
      </c>
      <c r="BH816" s="5" t="n">
        <v>1</v>
      </c>
      <c r="BI816" s="5" t="n">
        <v>0.579</v>
      </c>
      <c r="BJ816" s="5" t="n">
        <v>0.129</v>
      </c>
      <c r="BK816" s="5" t="n">
        <v>0.01</v>
      </c>
      <c r="BL816" s="5" t="n">
        <v>0.666</v>
      </c>
      <c r="BM816" s="5" t="n">
        <v>0.15</v>
      </c>
      <c r="BN816" s="5" t="n">
        <v>1</v>
      </c>
      <c r="BO816" s="5" t="n">
        <v>0</v>
      </c>
      <c r="BP816" s="5" t="n">
        <v>-0.073</v>
      </c>
      <c r="BQ816" s="5" t="n">
        <v>0</v>
      </c>
      <c r="BR816" s="5" t="n">
        <v>0</v>
      </c>
      <c r="BS816" s="5" t="n">
        <v>1</v>
      </c>
      <c r="BT816" s="5" t="n">
        <v>0</v>
      </c>
      <c r="BU816" s="5" t="n">
        <v>-0.073</v>
      </c>
      <c r="BV816" s="5" t="n">
        <v>0</v>
      </c>
      <c r="BW816" s="5" t="n">
        <v>0.15</v>
      </c>
      <c r="BX816" s="5" t="n">
        <v>1</v>
      </c>
      <c r="BY816" s="5" t="n">
        <v>13.254</v>
      </c>
      <c r="BZ816" s="5" t="n">
        <v>0</v>
      </c>
      <c r="CA816" s="5" t="n">
        <v>13.254</v>
      </c>
      <c r="CB816" s="5" t="n">
        <v>0</v>
      </c>
      <c r="CC816" s="5" t="n">
        <v>83.248</v>
      </c>
      <c r="CD816" s="5" t="n">
        <v>7.95</v>
      </c>
      <c r="CE816" s="5" t="n">
        <v>1.383</v>
      </c>
      <c r="CF816" s="5" t="n">
        <v>95.735</v>
      </c>
      <c r="CG816" s="5" t="n">
        <v>0.15</v>
      </c>
      <c r="CH816" s="5" t="n">
        <v>1</v>
      </c>
      <c r="CI816" s="5" t="n">
        <v>0</v>
      </c>
      <c r="CJ816" s="5" t="n">
        <v>0</v>
      </c>
      <c r="CK816" s="5" t="n">
        <v>0</v>
      </c>
      <c r="CL816" s="5" t="n">
        <v>0</v>
      </c>
      <c r="CM816" s="5" t="n">
        <v>0</v>
      </c>
      <c r="CN816" s="5" t="n">
        <v>0</v>
      </c>
      <c r="CO816" s="5" t="n">
        <v>0</v>
      </c>
      <c r="CP816" s="5" t="n">
        <v>0</v>
      </c>
      <c r="CQ816" s="5" t="n">
        <v>1.348</v>
      </c>
      <c r="CR816" s="5" t="n">
        <v>1</v>
      </c>
      <c r="CS816" s="5" t="n">
        <v>2.639</v>
      </c>
      <c r="CT816" s="5" t="n">
        <v>3.466</v>
      </c>
      <c r="CU816" s="5" t="n">
        <v>9.260999999999999</v>
      </c>
    </row>
    <row r="817">
      <c r="A817" s="5" t="inlineStr">
        <is>
          <t>TKM2024</t>
        </is>
      </c>
      <c r="B817" s="5" t="inlineStr">
        <is>
          <t>TKM</t>
        </is>
      </c>
      <c r="C817" s="5" t="inlineStr">
        <is>
          <t>TKM</t>
        </is>
      </c>
      <c r="D817" s="5" t="inlineStr">
        <is>
          <t>Turkmenistan</t>
        </is>
      </c>
      <c r="E817" s="5" t="n">
        <v>2024</v>
      </c>
      <c r="F817" s="5" t="n">
        <v>0.15</v>
      </c>
      <c r="G817" s="5" t="n">
        <v>4.351</v>
      </c>
      <c r="H817" s="5" t="n">
        <v>1.324</v>
      </c>
      <c r="I817" s="5" t="n">
        <v>0.021</v>
      </c>
      <c r="J817" s="5" t="n">
        <v>4.371</v>
      </c>
      <c r="K817" s="5" t="n">
        <v>0</v>
      </c>
      <c r="L817" s="5" t="n">
        <v>1</v>
      </c>
      <c r="M817" s="5" t="n">
        <v>7.124</v>
      </c>
      <c r="N817" s="5" t="n">
        <v>3.971</v>
      </c>
      <c r="O817" s="5" t="n">
        <v>0.028</v>
      </c>
      <c r="P817" s="5" t="n">
        <v>7.151</v>
      </c>
      <c r="Q817" s="5" t="n">
        <v>0</v>
      </c>
      <c r="R817" s="5" t="n">
        <v>1</v>
      </c>
      <c r="S817" s="5" t="n">
        <v>10.969</v>
      </c>
      <c r="T817" s="5" t="n">
        <v>7.942</v>
      </c>
      <c r="U817" s="5" t="n">
        <v>0.245</v>
      </c>
      <c r="V817" s="5" t="n">
        <v>12.638</v>
      </c>
      <c r="W817" s="5" t="n">
        <v>0.15</v>
      </c>
      <c r="X817" s="5" t="n">
        <v>1</v>
      </c>
      <c r="Y817" s="5" t="n">
        <v>8.864000000000001</v>
      </c>
      <c r="Z817" s="5" t="n">
        <v>0.973</v>
      </c>
      <c r="AA817" s="5" t="n">
        <v>-6.551</v>
      </c>
      <c r="AB817" s="5" t="n">
        <v>2.312</v>
      </c>
      <c r="AC817" s="5" t="n">
        <v>0</v>
      </c>
      <c r="AD817" s="5" t="n">
        <v>0</v>
      </c>
      <c r="AE817" s="5" t="n">
        <v>9.084</v>
      </c>
      <c r="AF817" s="5" t="n">
        <v>1.767</v>
      </c>
      <c r="AG817" s="5" t="n">
        <v>-6.551</v>
      </c>
      <c r="AH817" s="5" t="n">
        <v>2.533</v>
      </c>
      <c r="AI817" s="5" t="n">
        <v>0</v>
      </c>
      <c r="AJ817" s="5" t="n">
        <v>0</v>
      </c>
      <c r="AK817" s="5" t="n">
        <v>8.012</v>
      </c>
      <c r="AL817" s="5" t="n">
        <v>3.779</v>
      </c>
      <c r="AM817" s="5" t="n">
        <v>-5.35</v>
      </c>
      <c r="AN817" s="5" t="n">
        <v>2.662</v>
      </c>
      <c r="AO817" s="5" t="n">
        <v>0</v>
      </c>
      <c r="AP817" s="5" t="n">
        <v>0</v>
      </c>
      <c r="AQ817" s="5" t="n">
        <v>0.724</v>
      </c>
      <c r="AR817" s="5" t="n">
        <v>0.132</v>
      </c>
      <c r="AS817" s="5" t="n">
        <v>-0.242</v>
      </c>
      <c r="AT817" s="5" t="n">
        <v>0.482</v>
      </c>
      <c r="AU817" s="5" t="n">
        <v>0</v>
      </c>
      <c r="AV817" s="5" t="n">
        <v>0</v>
      </c>
      <c r="AW817" s="5" t="n">
        <v>0.75</v>
      </c>
      <c r="AX817" s="5" t="n">
        <v>0.132</v>
      </c>
      <c r="AY817" s="5" t="n">
        <v>-0.338</v>
      </c>
      <c r="AZ817" s="5" t="n">
        <v>0.412</v>
      </c>
      <c r="BA817" s="5" t="n">
        <v>0</v>
      </c>
      <c r="BB817" s="5" t="n">
        <v>0</v>
      </c>
      <c r="BC817" s="5" t="n">
        <v>0.513</v>
      </c>
      <c r="BD817" s="5" t="n">
        <v>0.132</v>
      </c>
      <c r="BE817" s="5" t="n">
        <v>0.01</v>
      </c>
      <c r="BF817" s="5" t="n">
        <v>0.59</v>
      </c>
      <c r="BG817" s="5" t="n">
        <v>0.15</v>
      </c>
      <c r="BH817" s="5" t="n">
        <v>1</v>
      </c>
      <c r="BI817" s="5" t="n">
        <v>0.591</v>
      </c>
      <c r="BJ817" s="5" t="n">
        <v>0.132</v>
      </c>
      <c r="BK817" s="5" t="n">
        <v>0.012</v>
      </c>
      <c r="BL817" s="5" t="n">
        <v>0.68</v>
      </c>
      <c r="BM817" s="5" t="n">
        <v>0.15</v>
      </c>
      <c r="BN817" s="5" t="n">
        <v>1</v>
      </c>
      <c r="BO817" s="5" t="n">
        <v>0</v>
      </c>
      <c r="BP817" s="5" t="n">
        <v>-0.075</v>
      </c>
      <c r="BQ817" s="5" t="n">
        <v>0</v>
      </c>
      <c r="BR817" s="5" t="n">
        <v>0</v>
      </c>
      <c r="BS817" s="5" t="n">
        <v>1</v>
      </c>
      <c r="BT817" s="5" t="n">
        <v>0</v>
      </c>
      <c r="BU817" s="5" t="n">
        <v>-0.075</v>
      </c>
      <c r="BV817" s="5" t="n">
        <v>0</v>
      </c>
      <c r="BW817" s="5" t="n">
        <v>0.15</v>
      </c>
      <c r="BX817" s="5" t="n">
        <v>1</v>
      </c>
      <c r="BY817" s="5" t="n">
        <v>13.646</v>
      </c>
      <c r="BZ817" s="5" t="n">
        <v>0</v>
      </c>
      <c r="CA817" s="5" t="n">
        <v>13.646</v>
      </c>
      <c r="CB817" s="5" t="n">
        <v>0</v>
      </c>
      <c r="CC817" s="5" t="n">
        <v>82.58799999999999</v>
      </c>
      <c r="CD817" s="5" t="n">
        <v>7.95</v>
      </c>
      <c r="CE817" s="5" t="n">
        <v>1.687</v>
      </c>
      <c r="CF817" s="5" t="n">
        <v>94.976</v>
      </c>
      <c r="CG817" s="5" t="n">
        <v>0.15</v>
      </c>
      <c r="CH817" s="5" t="n">
        <v>1</v>
      </c>
      <c r="CI817" s="5" t="n">
        <v>0</v>
      </c>
      <c r="CJ817" s="5" t="n">
        <v>0</v>
      </c>
      <c r="CK817" s="5" t="n">
        <v>0</v>
      </c>
      <c r="CL817" s="5" t="n">
        <v>0</v>
      </c>
      <c r="CM817" s="5" t="n">
        <v>0</v>
      </c>
      <c r="CN817" s="5" t="n">
        <v>0</v>
      </c>
      <c r="CO817" s="5" t="n">
        <v>0</v>
      </c>
      <c r="CP817" s="5" t="n">
        <v>0</v>
      </c>
      <c r="CQ817" s="5" t="n">
        <v>1.387</v>
      </c>
      <c r="CR817" s="5" t="n">
        <v>1</v>
      </c>
      <c r="CS817" s="5" t="n">
        <v>2.717</v>
      </c>
      <c r="CT817" s="5" t="n">
        <v>3.027</v>
      </c>
      <c r="CU817" s="5" t="n">
        <v>7.598</v>
      </c>
    </row>
    <row r="818">
      <c r="A818" s="5" t="inlineStr">
        <is>
          <t>TCA2021</t>
        </is>
      </c>
      <c r="B818" s="5" t="inlineStr">
        <is>
          <t>TCA</t>
        </is>
      </c>
      <c r="C818" s="5" t="inlineStr">
        <is>
          <t>TCA</t>
        </is>
      </c>
      <c r="D818" s="5" t="inlineStr">
        <is>
          <t>Turks and Caicos Islands</t>
        </is>
      </c>
      <c r="E818" s="5" t="n">
        <v>2021</v>
      </c>
      <c r="F818" s="5" t="n">
        <v>0</v>
      </c>
      <c r="G818" s="5" t="n">
        <v>5.897</v>
      </c>
      <c r="H818" s="5" t="n">
        <v>1.143</v>
      </c>
      <c r="I818" s="5" t="n">
        <v>0</v>
      </c>
      <c r="J818" s="5" t="n">
        <v>5.897</v>
      </c>
      <c r="K818" s="5" t="n">
        <v>0</v>
      </c>
      <c r="L818" s="5" t="n">
        <v>1</v>
      </c>
      <c r="M818" s="5" t="n">
        <v>7.964</v>
      </c>
      <c r="N818" s="5" t="n">
        <v>3.43</v>
      </c>
      <c r="O818" s="5" t="n">
        <v>0</v>
      </c>
      <c r="P818" s="5" t="n">
        <v>7.964</v>
      </c>
      <c r="Q818" s="5" t="n">
        <v>0</v>
      </c>
      <c r="R818" s="5" t="n">
        <v>1</v>
      </c>
      <c r="S818" s="5" t="n">
        <v>11.613</v>
      </c>
      <c r="T818" s="5" t="n">
        <v>6.86</v>
      </c>
      <c r="U818" s="5" t="n">
        <v>0</v>
      </c>
      <c r="V818" s="5" t="n">
        <v>11.613</v>
      </c>
      <c r="W818" s="5" t="n">
        <v>0</v>
      </c>
      <c r="X818" s="5" t="n">
        <v>1</v>
      </c>
      <c r="Y818" s="5" t="n">
        <v>17.127</v>
      </c>
      <c r="Z818" s="5" t="n">
        <v>2.304</v>
      </c>
      <c r="AA818" s="5" t="n">
        <v>0</v>
      </c>
      <c r="AB818" s="5" t="n">
        <v>17.127</v>
      </c>
      <c r="AC818" s="5" t="n">
        <v>0</v>
      </c>
      <c r="AD818" s="5" t="n">
        <v>1</v>
      </c>
      <c r="AE818" s="5" t="n">
        <v>18.27</v>
      </c>
      <c r="AF818" s="5" t="n">
        <v>4.278</v>
      </c>
      <c r="AG818" s="5" t="n">
        <v>0</v>
      </c>
      <c r="AH818" s="5" t="n">
        <v>18.27</v>
      </c>
      <c r="AI818" s="5" t="n">
        <v>0</v>
      </c>
      <c r="AJ818" s="5" t="n">
        <v>1</v>
      </c>
      <c r="AK818" s="5" t="n">
        <v>25.13</v>
      </c>
      <c r="AL818" s="5" t="n">
        <v>13.503</v>
      </c>
      <c r="AM818" s="5" t="n">
        <v>0</v>
      </c>
      <c r="AN818" s="5" t="n">
        <v>25.13</v>
      </c>
      <c r="AO818" s="5" t="n">
        <v>0</v>
      </c>
      <c r="AP818" s="5" t="n">
        <v>1</v>
      </c>
      <c r="AQ818" s="5" t="n">
        <v>0.649</v>
      </c>
      <c r="AR818" s="5" t="n">
        <v>0.114</v>
      </c>
      <c r="AS818" s="5" t="n">
        <v>0</v>
      </c>
      <c r="AT818" s="5" t="n">
        <v>0.649</v>
      </c>
      <c r="AU818" s="5" t="n">
        <v>0</v>
      </c>
      <c r="AV818" s="5" t="n">
        <v>1</v>
      </c>
      <c r="AW818" s="5" t="n">
        <v>0.577</v>
      </c>
      <c r="AX818" s="5" t="n">
        <v>0.114</v>
      </c>
      <c r="AY818" s="5" t="n">
        <v>0</v>
      </c>
      <c r="AZ818" s="5" t="n">
        <v>0.577</v>
      </c>
      <c r="BA818" s="5" t="n">
        <v>0</v>
      </c>
      <c r="BB818" s="5" t="n">
        <v>1</v>
      </c>
      <c r="BC818" s="5" t="n">
        <v>0.458</v>
      </c>
      <c r="BD818" s="5" t="n">
        <v>0.114</v>
      </c>
      <c r="BE818" s="5" t="n">
        <v>0</v>
      </c>
      <c r="BF818" s="5" t="n">
        <v>0.458</v>
      </c>
      <c r="BG818" s="5" t="n">
        <v>0</v>
      </c>
      <c r="BH818" s="5" t="n">
        <v>1</v>
      </c>
      <c r="BI818" s="5" t="n">
        <v>0.491</v>
      </c>
      <c r="BJ818" s="5" t="n">
        <v>0.114</v>
      </c>
      <c r="BK818" s="5" t="n">
        <v>0</v>
      </c>
      <c r="BL818" s="5" t="n">
        <v>0.491</v>
      </c>
      <c r="BM818" s="5" t="n">
        <v>0</v>
      </c>
      <c r="BN818" s="5" t="n">
        <v>1</v>
      </c>
      <c r="BO818" s="5" t="n">
        <v>0</v>
      </c>
      <c r="BP818" s="5" t="n">
        <v>0</v>
      </c>
      <c r="BQ818" s="5" t="n">
        <v>0</v>
      </c>
      <c r="BR818" s="5" t="n">
        <v>0</v>
      </c>
      <c r="BS818" s="5" t="n">
        <v>1</v>
      </c>
      <c r="BT818" s="5" t="n">
        <v>0</v>
      </c>
      <c r="BU818" s="5" t="n">
        <v>0</v>
      </c>
      <c r="BV818" s="5" t="n">
        <v>0</v>
      </c>
      <c r="BW818" s="5" t="n">
        <v>0</v>
      </c>
      <c r="BX818" s="5" t="n">
        <v>1</v>
      </c>
      <c r="BY818" s="5" t="n">
        <v>11.787</v>
      </c>
      <c r="BZ818" s="5" t="n">
        <v>0</v>
      </c>
      <c r="CA818" s="5" t="n">
        <v>11.787</v>
      </c>
      <c r="CB818" s="5" t="n">
        <v>0</v>
      </c>
      <c r="CC818" s="5" t="n">
        <v>78.125</v>
      </c>
      <c r="CD818" s="5" t="n">
        <v>7.95</v>
      </c>
      <c r="CE818" s="5" t="n">
        <v>0</v>
      </c>
      <c r="CF818" s="5" t="n">
        <v>78.125</v>
      </c>
      <c r="CG818" s="5" t="n">
        <v>0</v>
      </c>
      <c r="CH818" s="5" t="n">
        <v>1</v>
      </c>
      <c r="CI818" s="5" t="n">
        <v>0</v>
      </c>
      <c r="CJ818" s="5" t="n">
        <v>0</v>
      </c>
      <c r="CK818" s="5" t="n">
        <v>0</v>
      </c>
      <c r="CL818" s="5" t="n">
        <v>0</v>
      </c>
      <c r="CM818" s="5" t="n">
        <v>0</v>
      </c>
      <c r="CN818" s="5" t="n">
        <v>0</v>
      </c>
      <c r="CO818" s="5" t="n">
        <v>0</v>
      </c>
      <c r="CP818" s="5" t="n">
        <v>0</v>
      </c>
      <c r="CQ818" s="5" t="n">
        <v>1.198</v>
      </c>
      <c r="CR818" s="5" t="n">
        <v>0</v>
      </c>
      <c r="CS818" s="5" t="n">
        <v>4.776</v>
      </c>
      <c r="CT818" s="5" t="n">
        <v>4.753</v>
      </c>
      <c r="CU818" s="5" t="n">
        <v>15.983</v>
      </c>
    </row>
    <row r="819">
      <c r="A819" s="5" t="inlineStr">
        <is>
          <t>TCA2022</t>
        </is>
      </c>
      <c r="B819" s="5" t="inlineStr">
        <is>
          <t>TCA</t>
        </is>
      </c>
      <c r="C819" s="5" t="inlineStr">
        <is>
          <t>TCA</t>
        </is>
      </c>
      <c r="D819" s="5" t="inlineStr">
        <is>
          <t>Turks and Caicos Islands</t>
        </is>
      </c>
      <c r="E819" s="5" t="n">
        <v>2022</v>
      </c>
      <c r="F819" s="5" t="n">
        <v>0</v>
      </c>
      <c r="G819" s="5" t="n">
        <v>11.72</v>
      </c>
      <c r="H819" s="5" t="n">
        <v>1.235</v>
      </c>
      <c r="I819" s="5" t="n">
        <v>0</v>
      </c>
      <c r="J819" s="5" t="n">
        <v>11.72</v>
      </c>
      <c r="K819" s="5" t="n">
        <v>0</v>
      </c>
      <c r="L819" s="5" t="n">
        <v>1</v>
      </c>
      <c r="M819" s="5" t="n">
        <v>9.782999999999999</v>
      </c>
      <c r="N819" s="5" t="n">
        <v>3.704</v>
      </c>
      <c r="O819" s="5" t="n">
        <v>0</v>
      </c>
      <c r="P819" s="5" t="n">
        <v>9.782999999999999</v>
      </c>
      <c r="Q819" s="5" t="n">
        <v>0</v>
      </c>
      <c r="R819" s="5" t="n">
        <v>1</v>
      </c>
      <c r="S819" s="5" t="n">
        <v>17.893</v>
      </c>
      <c r="T819" s="5" t="n">
        <v>7.408</v>
      </c>
      <c r="U819" s="5" t="n">
        <v>0</v>
      </c>
      <c r="V819" s="5" t="n">
        <v>17.893</v>
      </c>
      <c r="W819" s="5" t="n">
        <v>0</v>
      </c>
      <c r="X819" s="5" t="n">
        <v>1</v>
      </c>
      <c r="Y819" s="5" t="n">
        <v>30.728</v>
      </c>
      <c r="Z819" s="5" t="n">
        <v>4.133</v>
      </c>
      <c r="AA819" s="5" t="n">
        <v>0</v>
      </c>
      <c r="AB819" s="5" t="n">
        <v>30.728</v>
      </c>
      <c r="AC819" s="5" t="n">
        <v>0</v>
      </c>
      <c r="AD819" s="5" t="n">
        <v>1</v>
      </c>
      <c r="AE819" s="5" t="n">
        <v>31.963</v>
      </c>
      <c r="AF819" s="5" t="n">
        <v>7.485</v>
      </c>
      <c r="AG819" s="5" t="n">
        <v>0</v>
      </c>
      <c r="AH819" s="5" t="n">
        <v>31.963</v>
      </c>
      <c r="AI819" s="5" t="n">
        <v>0</v>
      </c>
      <c r="AJ819" s="5" t="n">
        <v>1</v>
      </c>
      <c r="AK819" s="5" t="n">
        <v>39.371</v>
      </c>
      <c r="AL819" s="5" t="n">
        <v>21.155</v>
      </c>
      <c r="AM819" s="5" t="n">
        <v>0</v>
      </c>
      <c r="AN819" s="5" t="n">
        <v>39.371</v>
      </c>
      <c r="AO819" s="5" t="n">
        <v>0</v>
      </c>
      <c r="AP819" s="5" t="n">
        <v>1</v>
      </c>
      <c r="AQ819" s="5" t="n">
        <v>0.896</v>
      </c>
      <c r="AR819" s="5" t="n">
        <v>0.123</v>
      </c>
      <c r="AS819" s="5" t="n">
        <v>0</v>
      </c>
      <c r="AT819" s="5" t="n">
        <v>0.896</v>
      </c>
      <c r="AU819" s="5" t="n">
        <v>0</v>
      </c>
      <c r="AV819" s="5" t="n">
        <v>1</v>
      </c>
      <c r="AW819" s="5" t="n">
        <v>0.89</v>
      </c>
      <c r="AX819" s="5" t="n">
        <v>0.123</v>
      </c>
      <c r="AY819" s="5" t="n">
        <v>0</v>
      </c>
      <c r="AZ819" s="5" t="n">
        <v>0.89</v>
      </c>
      <c r="BA819" s="5" t="n">
        <v>0</v>
      </c>
      <c r="BB819" s="5" t="n">
        <v>1</v>
      </c>
      <c r="BC819" s="5" t="n">
        <v>0.62</v>
      </c>
      <c r="BD819" s="5" t="n">
        <v>0.123</v>
      </c>
      <c r="BE819" s="5" t="n">
        <v>0</v>
      </c>
      <c r="BF819" s="5" t="n">
        <v>0.62</v>
      </c>
      <c r="BG819" s="5" t="n">
        <v>0</v>
      </c>
      <c r="BH819" s="5" t="n">
        <v>1</v>
      </c>
      <c r="BI819" s="5" t="n">
        <v>0.608</v>
      </c>
      <c r="BJ819" s="5" t="n">
        <v>0.123</v>
      </c>
      <c r="BK819" s="5" t="n">
        <v>0</v>
      </c>
      <c r="BL819" s="5" t="n">
        <v>0.608</v>
      </c>
      <c r="BM819" s="5" t="n">
        <v>0</v>
      </c>
      <c r="BN819" s="5" t="n">
        <v>1</v>
      </c>
      <c r="BO819" s="5" t="n">
        <v>0</v>
      </c>
      <c r="BP819" s="5" t="n">
        <v>0</v>
      </c>
      <c r="BQ819" s="5" t="n">
        <v>0</v>
      </c>
      <c r="BR819" s="5" t="n">
        <v>0</v>
      </c>
      <c r="BS819" s="5" t="n">
        <v>1</v>
      </c>
      <c r="BT819" s="5" t="n">
        <v>0</v>
      </c>
      <c r="BU819" s="5" t="n">
        <v>0</v>
      </c>
      <c r="BV819" s="5" t="n">
        <v>0</v>
      </c>
      <c r="BW819" s="5" t="n">
        <v>0</v>
      </c>
      <c r="BX819" s="5" t="n">
        <v>1</v>
      </c>
      <c r="BY819" s="5" t="n">
        <v>12.729</v>
      </c>
      <c r="BZ819" s="5" t="n">
        <v>0</v>
      </c>
      <c r="CA819" s="5" t="n">
        <v>12.729</v>
      </c>
      <c r="CB819" s="5" t="n">
        <v>0</v>
      </c>
      <c r="CC819" s="5" t="n">
        <v>97.90000000000001</v>
      </c>
      <c r="CD819" s="5" t="n">
        <v>7.95</v>
      </c>
      <c r="CE819" s="5" t="n">
        <v>0</v>
      </c>
      <c r="CF819" s="5" t="n">
        <v>97.90000000000001</v>
      </c>
      <c r="CG819" s="5" t="n">
        <v>0</v>
      </c>
      <c r="CH819" s="5" t="n">
        <v>1</v>
      </c>
      <c r="CI819" s="5" t="n">
        <v>0</v>
      </c>
      <c r="CJ819" s="5" t="n">
        <v>0</v>
      </c>
      <c r="CK819" s="5" t="n">
        <v>0</v>
      </c>
      <c r="CL819" s="5" t="n">
        <v>0</v>
      </c>
      <c r="CM819" s="5" t="n">
        <v>0</v>
      </c>
      <c r="CN819" s="5" t="n">
        <v>0</v>
      </c>
      <c r="CO819" s="5" t="n">
        <v>0</v>
      </c>
      <c r="CP819" s="5" t="n">
        <v>0</v>
      </c>
      <c r="CQ819" s="5" t="n">
        <v>1.294</v>
      </c>
      <c r="CR819" s="5" t="n">
        <v>0</v>
      </c>
      <c r="CS819" s="5" t="n">
        <v>5.158</v>
      </c>
      <c r="CT819" s="5" t="n">
        <v>10.485</v>
      </c>
      <c r="CU819" s="5" t="n">
        <v>29.494</v>
      </c>
    </row>
    <row r="820">
      <c r="A820" s="5" t="inlineStr">
        <is>
          <t>TCA2023</t>
        </is>
      </c>
      <c r="B820" s="5" t="inlineStr">
        <is>
          <t>TCA</t>
        </is>
      </c>
      <c r="C820" s="5" t="inlineStr">
        <is>
          <t>TCA</t>
        </is>
      </c>
      <c r="D820" s="5" t="inlineStr">
        <is>
          <t>Turks and Caicos Islands</t>
        </is>
      </c>
      <c r="E820" s="5" t="n">
        <v>2023</v>
      </c>
      <c r="F820" s="5" t="n">
        <v>0</v>
      </c>
      <c r="G820" s="5" t="n">
        <v>6.147</v>
      </c>
      <c r="H820" s="5" t="n">
        <v>1.286</v>
      </c>
      <c r="I820" s="5" t="n">
        <v>0</v>
      </c>
      <c r="J820" s="5" t="n">
        <v>6.147</v>
      </c>
      <c r="K820" s="5" t="n">
        <v>0</v>
      </c>
      <c r="L820" s="5" t="n">
        <v>1</v>
      </c>
      <c r="M820" s="5" t="n">
        <v>7.886</v>
      </c>
      <c r="N820" s="5" t="n">
        <v>3.857</v>
      </c>
      <c r="O820" s="5" t="n">
        <v>0</v>
      </c>
      <c r="P820" s="5" t="n">
        <v>7.886</v>
      </c>
      <c r="Q820" s="5" t="n">
        <v>0</v>
      </c>
      <c r="R820" s="5" t="n">
        <v>1</v>
      </c>
      <c r="S820" s="5" t="n">
        <v>12.575</v>
      </c>
      <c r="T820" s="5" t="n">
        <v>7.714</v>
      </c>
      <c r="U820" s="5" t="n">
        <v>0</v>
      </c>
      <c r="V820" s="5" t="n">
        <v>12.575</v>
      </c>
      <c r="W820" s="5" t="n">
        <v>0</v>
      </c>
      <c r="X820" s="5" t="n">
        <v>1</v>
      </c>
      <c r="Y820" s="5" t="n">
        <v>12.478</v>
      </c>
      <c r="Z820" s="5" t="n">
        <v>1.678</v>
      </c>
      <c r="AA820" s="5" t="n">
        <v>0</v>
      </c>
      <c r="AB820" s="5" t="n">
        <v>12.478</v>
      </c>
      <c r="AC820" s="5" t="n">
        <v>0</v>
      </c>
      <c r="AD820" s="5" t="n">
        <v>1</v>
      </c>
      <c r="AE820" s="5" t="n">
        <v>13.763</v>
      </c>
      <c r="AF820" s="5" t="n">
        <v>3.223</v>
      </c>
      <c r="AG820" s="5" t="n">
        <v>0</v>
      </c>
      <c r="AH820" s="5" t="n">
        <v>13.763</v>
      </c>
      <c r="AI820" s="5" t="n">
        <v>0</v>
      </c>
      <c r="AJ820" s="5" t="n">
        <v>1</v>
      </c>
      <c r="AK820" s="5" t="n">
        <v>21.477</v>
      </c>
      <c r="AL820" s="5" t="n">
        <v>11.54</v>
      </c>
      <c r="AM820" s="5" t="n">
        <v>0</v>
      </c>
      <c r="AN820" s="5" t="n">
        <v>21.477</v>
      </c>
      <c r="AO820" s="5" t="n">
        <v>0</v>
      </c>
      <c r="AP820" s="5" t="n">
        <v>1</v>
      </c>
      <c r="AQ820" s="5" t="n">
        <v>0.791</v>
      </c>
      <c r="AR820" s="5" t="n">
        <v>0.129</v>
      </c>
      <c r="AS820" s="5" t="n">
        <v>0</v>
      </c>
      <c r="AT820" s="5" t="n">
        <v>0.791</v>
      </c>
      <c r="AU820" s="5" t="n">
        <v>0</v>
      </c>
      <c r="AV820" s="5" t="n">
        <v>1</v>
      </c>
      <c r="AW820" s="5" t="n">
        <v>0.618</v>
      </c>
      <c r="AX820" s="5" t="n">
        <v>0.129</v>
      </c>
      <c r="AY820" s="5" t="n">
        <v>0</v>
      </c>
      <c r="AZ820" s="5" t="n">
        <v>0.618</v>
      </c>
      <c r="BA820" s="5" t="n">
        <v>0</v>
      </c>
      <c r="BB820" s="5" t="n">
        <v>1</v>
      </c>
      <c r="BC820" s="5" t="n">
        <v>0.554</v>
      </c>
      <c r="BD820" s="5" t="n">
        <v>0.129</v>
      </c>
      <c r="BE820" s="5" t="n">
        <v>0</v>
      </c>
      <c r="BF820" s="5" t="n">
        <v>0.554</v>
      </c>
      <c r="BG820" s="5" t="n">
        <v>0</v>
      </c>
      <c r="BH820" s="5" t="n">
        <v>1</v>
      </c>
      <c r="BI820" s="5" t="n">
        <v>0.5570000000000001</v>
      </c>
      <c r="BJ820" s="5" t="n">
        <v>0.129</v>
      </c>
      <c r="BK820" s="5" t="n">
        <v>0</v>
      </c>
      <c r="BL820" s="5" t="n">
        <v>0.5570000000000001</v>
      </c>
      <c r="BM820" s="5" t="n">
        <v>0</v>
      </c>
      <c r="BN820" s="5" t="n">
        <v>1</v>
      </c>
      <c r="BO820" s="5" t="n">
        <v>0</v>
      </c>
      <c r="BP820" s="5" t="n">
        <v>0</v>
      </c>
      <c r="BQ820" s="5" t="n">
        <v>0</v>
      </c>
      <c r="BR820" s="5" t="n">
        <v>0</v>
      </c>
      <c r="BS820" s="5" t="n">
        <v>1</v>
      </c>
      <c r="BT820" s="5" t="n">
        <v>0</v>
      </c>
      <c r="BU820" s="5" t="n">
        <v>0</v>
      </c>
      <c r="BV820" s="5" t="n">
        <v>0</v>
      </c>
      <c r="BW820" s="5" t="n">
        <v>0</v>
      </c>
      <c r="BX820" s="5" t="n">
        <v>1</v>
      </c>
      <c r="BY820" s="5" t="n">
        <v>13.254</v>
      </c>
      <c r="BZ820" s="5" t="n">
        <v>0</v>
      </c>
      <c r="CA820" s="5" t="n">
        <v>13.254</v>
      </c>
      <c r="CB820" s="5" t="n">
        <v>0</v>
      </c>
      <c r="CC820" s="5" t="n">
        <v>83.248</v>
      </c>
      <c r="CD820" s="5" t="n">
        <v>7.95</v>
      </c>
      <c r="CE820" s="5" t="n">
        <v>0</v>
      </c>
      <c r="CF820" s="5" t="n">
        <v>83.248</v>
      </c>
      <c r="CG820" s="5" t="n">
        <v>0</v>
      </c>
      <c r="CH820" s="5" t="n">
        <v>1</v>
      </c>
      <c r="CI820" s="5" t="n">
        <v>0</v>
      </c>
      <c r="CJ820" s="5" t="n">
        <v>0</v>
      </c>
      <c r="CK820" s="5" t="n">
        <v>0</v>
      </c>
      <c r="CL820" s="5" t="n">
        <v>0</v>
      </c>
      <c r="CM820" s="5" t="n">
        <v>0</v>
      </c>
      <c r="CN820" s="5" t="n">
        <v>0</v>
      </c>
      <c r="CO820" s="5" t="n">
        <v>0</v>
      </c>
      <c r="CP820" s="5" t="n">
        <v>0</v>
      </c>
      <c r="CQ820" s="5" t="n">
        <v>1.348</v>
      </c>
      <c r="CR820" s="5" t="n">
        <v>0</v>
      </c>
      <c r="CS820" s="5" t="n">
        <v>5.37</v>
      </c>
      <c r="CT820" s="5" t="n">
        <v>4.861</v>
      </c>
      <c r="CU820" s="5" t="n">
        <v>11.192</v>
      </c>
    </row>
    <row r="821">
      <c r="A821" s="5" t="inlineStr">
        <is>
          <t>TCA2024</t>
        </is>
      </c>
      <c r="B821" s="5" t="inlineStr">
        <is>
          <t>TCA</t>
        </is>
      </c>
      <c r="C821" s="5" t="inlineStr">
        <is>
          <t>TCA</t>
        </is>
      </c>
      <c r="D821" s="5" t="inlineStr">
        <is>
          <t>Turks and Caicos Islands</t>
        </is>
      </c>
      <c r="E821" s="5" t="n">
        <v>2024</v>
      </c>
      <c r="F821" s="5" t="n">
        <v>0</v>
      </c>
      <c r="G821" s="5" t="n">
        <v>5.575</v>
      </c>
      <c r="H821" s="5" t="n">
        <v>1.324</v>
      </c>
      <c r="I821" s="5" t="n">
        <v>0</v>
      </c>
      <c r="J821" s="5" t="n">
        <v>5.575</v>
      </c>
      <c r="K821" s="5" t="n">
        <v>0</v>
      </c>
      <c r="L821" s="5" t="n">
        <v>1</v>
      </c>
      <c r="M821" s="5" t="n">
        <v>7.124</v>
      </c>
      <c r="N821" s="5" t="n">
        <v>3.971</v>
      </c>
      <c r="O821" s="5" t="n">
        <v>0</v>
      </c>
      <c r="P821" s="5" t="n">
        <v>7.124</v>
      </c>
      <c r="Q821" s="5" t="n">
        <v>0</v>
      </c>
      <c r="R821" s="5" t="n">
        <v>1</v>
      </c>
      <c r="S821" s="5" t="n">
        <v>12.193</v>
      </c>
      <c r="T821" s="5" t="n">
        <v>7.942</v>
      </c>
      <c r="U821" s="5" t="n">
        <v>0</v>
      </c>
      <c r="V821" s="5" t="n">
        <v>12.193</v>
      </c>
      <c r="W821" s="5" t="n">
        <v>0</v>
      </c>
      <c r="X821" s="5" t="n">
        <v>1</v>
      </c>
      <c r="Y821" s="5" t="n">
        <v>11.447</v>
      </c>
      <c r="Z821" s="5" t="n">
        <v>1.54</v>
      </c>
      <c r="AA821" s="5" t="n">
        <v>0</v>
      </c>
      <c r="AB821" s="5" t="n">
        <v>11.447</v>
      </c>
      <c r="AC821" s="5" t="n">
        <v>0</v>
      </c>
      <c r="AD821" s="5" t="n">
        <v>1</v>
      </c>
      <c r="AE821" s="5" t="n">
        <v>12.771</v>
      </c>
      <c r="AF821" s="5" t="n">
        <v>2.991</v>
      </c>
      <c r="AG821" s="5" t="n">
        <v>0</v>
      </c>
      <c r="AH821" s="5" t="n">
        <v>12.771</v>
      </c>
      <c r="AI821" s="5" t="n">
        <v>0</v>
      </c>
      <c r="AJ821" s="5" t="n">
        <v>1</v>
      </c>
      <c r="AK821" s="5" t="n">
        <v>20.712</v>
      </c>
      <c r="AL821" s="5" t="n">
        <v>11.129</v>
      </c>
      <c r="AM821" s="5" t="n">
        <v>0</v>
      </c>
      <c r="AN821" s="5" t="n">
        <v>20.712</v>
      </c>
      <c r="AO821" s="5" t="n">
        <v>0</v>
      </c>
      <c r="AP821" s="5" t="n">
        <v>1</v>
      </c>
      <c r="AQ821" s="5" t="n">
        <v>0.756</v>
      </c>
      <c r="AR821" s="5" t="n">
        <v>0.132</v>
      </c>
      <c r="AS821" s="5" t="n">
        <v>0</v>
      </c>
      <c r="AT821" s="5" t="n">
        <v>0.756</v>
      </c>
      <c r="AU821" s="5" t="n">
        <v>0</v>
      </c>
      <c r="AV821" s="5" t="n">
        <v>1</v>
      </c>
      <c r="AW821" s="5" t="n">
        <v>0.655</v>
      </c>
      <c r="AX821" s="5" t="n">
        <v>0.132</v>
      </c>
      <c r="AY821" s="5" t="n">
        <v>0</v>
      </c>
      <c r="AZ821" s="5" t="n">
        <v>0.655</v>
      </c>
      <c r="BA821" s="5" t="n">
        <v>0</v>
      </c>
      <c r="BB821" s="5" t="n">
        <v>1</v>
      </c>
      <c r="BC821" s="5" t="n">
        <v>0.534</v>
      </c>
      <c r="BD821" s="5" t="n">
        <v>0.132</v>
      </c>
      <c r="BE821" s="5" t="n">
        <v>0</v>
      </c>
      <c r="BF821" s="5" t="n">
        <v>0.534</v>
      </c>
      <c r="BG821" s="5" t="n">
        <v>0</v>
      </c>
      <c r="BH821" s="5" t="n">
        <v>1</v>
      </c>
      <c r="BI821" s="5" t="n">
        <v>0.5679999999999999</v>
      </c>
      <c r="BJ821" s="5" t="n">
        <v>0.132</v>
      </c>
      <c r="BK821" s="5" t="n">
        <v>0</v>
      </c>
      <c r="BL821" s="5" t="n">
        <v>0.5679999999999999</v>
      </c>
      <c r="BM821" s="5" t="n">
        <v>0</v>
      </c>
      <c r="BN821" s="5" t="n">
        <v>1</v>
      </c>
      <c r="BO821" s="5" t="n">
        <v>0</v>
      </c>
      <c r="BP821" s="5" t="n">
        <v>0</v>
      </c>
      <c r="BQ821" s="5" t="n">
        <v>0</v>
      </c>
      <c r="BR821" s="5" t="n">
        <v>0</v>
      </c>
      <c r="BS821" s="5" t="n">
        <v>1</v>
      </c>
      <c r="BT821" s="5" t="n">
        <v>0</v>
      </c>
      <c r="BU821" s="5" t="n">
        <v>0</v>
      </c>
      <c r="BV821" s="5" t="n">
        <v>0</v>
      </c>
      <c r="BW821" s="5" t="n">
        <v>0</v>
      </c>
      <c r="BX821" s="5" t="n">
        <v>1</v>
      </c>
      <c r="BY821" s="5" t="n">
        <v>13.646</v>
      </c>
      <c r="BZ821" s="5" t="n">
        <v>0</v>
      </c>
      <c r="CA821" s="5" t="n">
        <v>13.646</v>
      </c>
      <c r="CB821" s="5" t="n">
        <v>0</v>
      </c>
      <c r="CC821" s="5" t="n">
        <v>82.58799999999999</v>
      </c>
      <c r="CD821" s="5" t="n">
        <v>7.95</v>
      </c>
      <c r="CE821" s="5" t="n">
        <v>0</v>
      </c>
      <c r="CF821" s="5" t="n">
        <v>82.58799999999999</v>
      </c>
      <c r="CG821" s="5" t="n">
        <v>0</v>
      </c>
      <c r="CH821" s="5" t="n">
        <v>1</v>
      </c>
      <c r="CI821" s="5" t="n">
        <v>0</v>
      </c>
      <c r="CJ821" s="5" t="n">
        <v>0</v>
      </c>
      <c r="CK821" s="5" t="n">
        <v>0</v>
      </c>
      <c r="CL821" s="5" t="n">
        <v>0</v>
      </c>
      <c r="CM821" s="5" t="n">
        <v>0</v>
      </c>
      <c r="CN821" s="5" t="n">
        <v>0</v>
      </c>
      <c r="CO821" s="5" t="n">
        <v>0</v>
      </c>
      <c r="CP821" s="5" t="n">
        <v>0</v>
      </c>
      <c r="CQ821" s="5" t="n">
        <v>1.387</v>
      </c>
      <c r="CR821" s="5" t="n">
        <v>0</v>
      </c>
      <c r="CS821" s="5" t="n">
        <v>5.529</v>
      </c>
      <c r="CT821" s="5" t="n">
        <v>4.251</v>
      </c>
      <c r="CU821" s="5" t="n">
        <v>10.123</v>
      </c>
    </row>
    <row r="822">
      <c r="A822" s="5" t="inlineStr">
        <is>
          <t>TUV2021</t>
        </is>
      </c>
      <c r="B822" s="5" t="inlineStr">
        <is>
          <t>TUV</t>
        </is>
      </c>
      <c r="C822" s="5" t="inlineStr">
        <is>
          <t>TUV</t>
        </is>
      </c>
      <c r="D822" s="5" t="inlineStr">
        <is>
          <t>Tuvalu</t>
        </is>
      </c>
      <c r="E822" s="5" t="n">
        <v>2021</v>
      </c>
      <c r="F822" s="5" t="n">
        <v>0</v>
      </c>
      <c r="G822" s="5" t="n">
        <v>4.747</v>
      </c>
      <c r="H822" s="5" t="n">
        <v>1.143</v>
      </c>
      <c r="I822" s="5" t="n">
        <v>0</v>
      </c>
      <c r="J822" s="5" t="n">
        <v>4.747</v>
      </c>
      <c r="K822" s="5" t="n">
        <v>0</v>
      </c>
      <c r="L822" s="5" t="n">
        <v>1</v>
      </c>
      <c r="M822" s="5" t="n">
        <v>7.964</v>
      </c>
      <c r="N822" s="5" t="n">
        <v>3.43</v>
      </c>
      <c r="O822" s="5" t="n">
        <v>0</v>
      </c>
      <c r="P822" s="5" t="n">
        <v>7.964</v>
      </c>
      <c r="Q822" s="5" t="n">
        <v>0</v>
      </c>
      <c r="R822" s="5" t="n">
        <v>1</v>
      </c>
      <c r="S822" s="5" t="n">
        <v>10.464</v>
      </c>
      <c r="T822" s="5" t="n">
        <v>6.86</v>
      </c>
      <c r="U822" s="5" t="n">
        <v>0</v>
      </c>
      <c r="V822" s="5" t="n">
        <v>10.464</v>
      </c>
      <c r="W822" s="5" t="n">
        <v>0</v>
      </c>
      <c r="X822" s="5" t="n">
        <v>1</v>
      </c>
      <c r="Y822" s="5" t="n">
        <v>10.551</v>
      </c>
      <c r="Z822" s="5" t="n">
        <v>1.302</v>
      </c>
      <c r="AA822" s="5" t="n">
        <v>0</v>
      </c>
      <c r="AB822" s="5" t="n">
        <v>10.551</v>
      </c>
      <c r="AC822" s="5" t="n">
        <v>0</v>
      </c>
      <c r="AD822" s="5" t="n">
        <v>1</v>
      </c>
      <c r="AE822" s="5" t="n">
        <v>11.694</v>
      </c>
      <c r="AF822" s="5" t="n">
        <v>2.549</v>
      </c>
      <c r="AG822" s="5" t="n">
        <v>0</v>
      </c>
      <c r="AH822" s="5" t="n">
        <v>11.694</v>
      </c>
      <c r="AI822" s="5" t="n">
        <v>0</v>
      </c>
      <c r="AJ822" s="5" t="n">
        <v>1</v>
      </c>
      <c r="AK822" s="5" t="n">
        <v>18.554</v>
      </c>
      <c r="AL822" s="5" t="n">
        <v>9.627000000000001</v>
      </c>
      <c r="AM822" s="5" t="n">
        <v>0</v>
      </c>
      <c r="AN822" s="5" t="n">
        <v>18.554</v>
      </c>
      <c r="AO822" s="5" t="n">
        <v>0</v>
      </c>
      <c r="AP822" s="5" t="n">
        <v>1</v>
      </c>
      <c r="AQ822" s="5" t="n">
        <v>0.621</v>
      </c>
      <c r="AR822" s="5" t="n">
        <v>0.114</v>
      </c>
      <c r="AS822" s="5" t="n">
        <v>0</v>
      </c>
      <c r="AT822" s="5" t="n">
        <v>0.621</v>
      </c>
      <c r="AU822" s="5" t="n">
        <v>0</v>
      </c>
      <c r="AV822" s="5" t="n">
        <v>1</v>
      </c>
      <c r="AW822" s="5" t="n">
        <v>0.593</v>
      </c>
      <c r="AX822" s="5" t="n">
        <v>0.114</v>
      </c>
      <c r="AY822" s="5" t="n">
        <v>0</v>
      </c>
      <c r="AZ822" s="5" t="n">
        <v>0.593</v>
      </c>
      <c r="BA822" s="5" t="n">
        <v>0</v>
      </c>
      <c r="BB822" s="5" t="n">
        <v>1</v>
      </c>
      <c r="BC822" s="5" t="n">
        <v>0.44</v>
      </c>
      <c r="BD822" s="5" t="n">
        <v>0.114</v>
      </c>
      <c r="BE822" s="5" t="n">
        <v>0</v>
      </c>
      <c r="BF822" s="5" t="n">
        <v>0.44</v>
      </c>
      <c r="BG822" s="5" t="n">
        <v>0</v>
      </c>
      <c r="BH822" s="5" t="n">
        <v>1</v>
      </c>
      <c r="BI822" s="5" t="n">
        <v>0.5600000000000001</v>
      </c>
      <c r="BJ822" s="5" t="n">
        <v>0.114</v>
      </c>
      <c r="BK822" s="5" t="n">
        <v>0</v>
      </c>
      <c r="BL822" s="5" t="n">
        <v>0.5600000000000001</v>
      </c>
      <c r="BM822" s="5" t="n">
        <v>0</v>
      </c>
      <c r="BN822" s="5" t="n">
        <v>1</v>
      </c>
      <c r="BO822" s="5" t="n">
        <v>0</v>
      </c>
      <c r="BP822" s="5" t="n">
        <v>0</v>
      </c>
      <c r="BQ822" s="5" t="n">
        <v>0</v>
      </c>
      <c r="BR822" s="5" t="n">
        <v>0</v>
      </c>
      <c r="BS822" s="5" t="n">
        <v>1</v>
      </c>
      <c r="BT822" s="5" t="n">
        <v>0</v>
      </c>
      <c r="BU822" s="5" t="n">
        <v>0</v>
      </c>
      <c r="BV822" s="5" t="n">
        <v>0</v>
      </c>
      <c r="BW822" s="5" t="n">
        <v>0</v>
      </c>
      <c r="BX822" s="5" t="n">
        <v>1</v>
      </c>
      <c r="BY822" s="5" t="n">
        <v>11.787</v>
      </c>
      <c r="BZ822" s="5" t="n">
        <v>0</v>
      </c>
      <c r="CA822" s="5" t="n">
        <v>11.787</v>
      </c>
      <c r="CB822" s="5" t="n">
        <v>0</v>
      </c>
      <c r="CC822" s="5" t="n">
        <v>81.69499999999999</v>
      </c>
      <c r="CD822" s="5" t="n">
        <v>7.95</v>
      </c>
      <c r="CE822" s="5" t="n">
        <v>0</v>
      </c>
      <c r="CF822" s="5" t="n">
        <v>81.69499999999999</v>
      </c>
      <c r="CG822" s="5" t="n">
        <v>0</v>
      </c>
      <c r="CH822" s="5" t="n">
        <v>1</v>
      </c>
      <c r="CI822" s="5" t="n">
        <v>0</v>
      </c>
      <c r="CJ822" s="5" t="n">
        <v>0</v>
      </c>
      <c r="CK822" s="5" t="n">
        <v>0</v>
      </c>
      <c r="CL822" s="5" t="n">
        <v>0</v>
      </c>
      <c r="CM822" s="5" t="n">
        <v>0</v>
      </c>
      <c r="CN822" s="5" t="n">
        <v>0</v>
      </c>
      <c r="CO822" s="5" t="n">
        <v>0</v>
      </c>
      <c r="CP822" s="5" t="n">
        <v>0</v>
      </c>
      <c r="CQ822" s="5" t="n">
        <v>1.198</v>
      </c>
      <c r="CR822" s="5" t="n">
        <v>0</v>
      </c>
      <c r="CS822" s="5" t="n">
        <v>4.776</v>
      </c>
      <c r="CT822" s="5" t="n">
        <v>3.604</v>
      </c>
      <c r="CU822" s="5" t="n">
        <v>9.407999999999999</v>
      </c>
    </row>
    <row r="823">
      <c r="A823" s="5" t="inlineStr">
        <is>
          <t>TUV2022</t>
        </is>
      </c>
      <c r="B823" s="5" t="inlineStr">
        <is>
          <t>TUV</t>
        </is>
      </c>
      <c r="C823" s="5" t="inlineStr">
        <is>
          <t>TUV</t>
        </is>
      </c>
      <c r="D823" s="5" t="inlineStr">
        <is>
          <t>Tuvalu</t>
        </is>
      </c>
      <c r="E823" s="5" t="n">
        <v>2022</v>
      </c>
      <c r="F823" s="5" t="n">
        <v>0</v>
      </c>
      <c r="G823" s="5" t="n">
        <v>8.788</v>
      </c>
      <c r="H823" s="5" t="n">
        <v>1.235</v>
      </c>
      <c r="I823" s="5" t="n">
        <v>0</v>
      </c>
      <c r="J823" s="5" t="n">
        <v>8.788</v>
      </c>
      <c r="K823" s="5" t="n">
        <v>0</v>
      </c>
      <c r="L823" s="5" t="n">
        <v>1</v>
      </c>
      <c r="M823" s="5" t="n">
        <v>9.782999999999999</v>
      </c>
      <c r="N823" s="5" t="n">
        <v>3.704</v>
      </c>
      <c r="O823" s="5" t="n">
        <v>0</v>
      </c>
      <c r="P823" s="5" t="n">
        <v>9.782999999999999</v>
      </c>
      <c r="Q823" s="5" t="n">
        <v>0</v>
      </c>
      <c r="R823" s="5" t="n">
        <v>1</v>
      </c>
      <c r="S823" s="5" t="n">
        <v>14.962</v>
      </c>
      <c r="T823" s="5" t="n">
        <v>7.408</v>
      </c>
      <c r="U823" s="5" t="n">
        <v>0</v>
      </c>
      <c r="V823" s="5" t="n">
        <v>14.962</v>
      </c>
      <c r="W823" s="5" t="n">
        <v>0</v>
      </c>
      <c r="X823" s="5" t="n">
        <v>1</v>
      </c>
      <c r="Y823" s="5" t="n">
        <v>17.332</v>
      </c>
      <c r="Z823" s="5" t="n">
        <v>2.139</v>
      </c>
      <c r="AA823" s="5" t="n">
        <v>0</v>
      </c>
      <c r="AB823" s="5" t="n">
        <v>17.332</v>
      </c>
      <c r="AC823" s="5" t="n">
        <v>0</v>
      </c>
      <c r="AD823" s="5" t="n">
        <v>1</v>
      </c>
      <c r="AE823" s="5" t="n">
        <v>18.566</v>
      </c>
      <c r="AF823" s="5" t="n">
        <v>4.048</v>
      </c>
      <c r="AG823" s="5" t="n">
        <v>0</v>
      </c>
      <c r="AH823" s="5" t="n">
        <v>18.566</v>
      </c>
      <c r="AI823" s="5" t="n">
        <v>0</v>
      </c>
      <c r="AJ823" s="5" t="n">
        <v>1</v>
      </c>
      <c r="AK823" s="5" t="n">
        <v>25.974</v>
      </c>
      <c r="AL823" s="5" t="n">
        <v>13.478</v>
      </c>
      <c r="AM823" s="5" t="n">
        <v>0</v>
      </c>
      <c r="AN823" s="5" t="n">
        <v>25.974</v>
      </c>
      <c r="AO823" s="5" t="n">
        <v>0</v>
      </c>
      <c r="AP823" s="5" t="n">
        <v>1</v>
      </c>
      <c r="AQ823" s="5" t="n">
        <v>0.847</v>
      </c>
      <c r="AR823" s="5" t="n">
        <v>0.123</v>
      </c>
      <c r="AS823" s="5" t="n">
        <v>0</v>
      </c>
      <c r="AT823" s="5" t="n">
        <v>0.847</v>
      </c>
      <c r="AU823" s="5" t="n">
        <v>0</v>
      </c>
      <c r="AV823" s="5" t="n">
        <v>1</v>
      </c>
      <c r="AW823" s="5" t="n">
        <v>0.947</v>
      </c>
      <c r="AX823" s="5" t="n">
        <v>0.123</v>
      </c>
      <c r="AY823" s="5" t="n">
        <v>0</v>
      </c>
      <c r="AZ823" s="5" t="n">
        <v>0.947</v>
      </c>
      <c r="BA823" s="5" t="n">
        <v>0</v>
      </c>
      <c r="BB823" s="5" t="n">
        <v>1</v>
      </c>
      <c r="BC823" s="5" t="n">
        <v>0.589</v>
      </c>
      <c r="BD823" s="5" t="n">
        <v>0.123</v>
      </c>
      <c r="BE823" s="5" t="n">
        <v>0</v>
      </c>
      <c r="BF823" s="5" t="n">
        <v>0.589</v>
      </c>
      <c r="BG823" s="5" t="n">
        <v>0</v>
      </c>
      <c r="BH823" s="5" t="n">
        <v>1</v>
      </c>
      <c r="BI823" s="5" t="n">
        <v>0.6889999999999999</v>
      </c>
      <c r="BJ823" s="5" t="n">
        <v>0.123</v>
      </c>
      <c r="BK823" s="5" t="n">
        <v>0</v>
      </c>
      <c r="BL823" s="5" t="n">
        <v>0.6889999999999999</v>
      </c>
      <c r="BM823" s="5" t="n">
        <v>0</v>
      </c>
      <c r="BN823" s="5" t="n">
        <v>1</v>
      </c>
      <c r="BO823" s="5" t="n">
        <v>0</v>
      </c>
      <c r="BP823" s="5" t="n">
        <v>0</v>
      </c>
      <c r="BQ823" s="5" t="n">
        <v>0</v>
      </c>
      <c r="BR823" s="5" t="n">
        <v>0</v>
      </c>
      <c r="BS823" s="5" t="n">
        <v>1</v>
      </c>
      <c r="BT823" s="5" t="n">
        <v>0</v>
      </c>
      <c r="BU823" s="5" t="n">
        <v>0</v>
      </c>
      <c r="BV823" s="5" t="n">
        <v>0</v>
      </c>
      <c r="BW823" s="5" t="n">
        <v>0</v>
      </c>
      <c r="BX823" s="5" t="n">
        <v>1</v>
      </c>
      <c r="BY823" s="5" t="n">
        <v>12.729</v>
      </c>
      <c r="BZ823" s="5" t="n">
        <v>0</v>
      </c>
      <c r="CA823" s="5" t="n">
        <v>12.729</v>
      </c>
      <c r="CB823" s="5" t="n">
        <v>0</v>
      </c>
      <c r="CC823" s="5" t="n">
        <v>102.477</v>
      </c>
      <c r="CD823" s="5" t="n">
        <v>7.95</v>
      </c>
      <c r="CE823" s="5" t="n">
        <v>0</v>
      </c>
      <c r="CF823" s="5" t="n">
        <v>102.477</v>
      </c>
      <c r="CG823" s="5" t="n">
        <v>0</v>
      </c>
      <c r="CH823" s="5" t="n">
        <v>1</v>
      </c>
      <c r="CI823" s="5" t="n">
        <v>0</v>
      </c>
      <c r="CJ823" s="5" t="n">
        <v>0</v>
      </c>
      <c r="CK823" s="5" t="n">
        <v>0</v>
      </c>
      <c r="CL823" s="5" t="n">
        <v>0</v>
      </c>
      <c r="CM823" s="5" t="n">
        <v>0</v>
      </c>
      <c r="CN823" s="5" t="n">
        <v>0</v>
      </c>
      <c r="CO823" s="5" t="n">
        <v>0</v>
      </c>
      <c r="CP823" s="5" t="n">
        <v>0</v>
      </c>
      <c r="CQ823" s="5" t="n">
        <v>1.294</v>
      </c>
      <c r="CR823" s="5" t="n">
        <v>0</v>
      </c>
      <c r="CS823" s="5" t="n">
        <v>5.158</v>
      </c>
      <c r="CT823" s="5" t="n">
        <v>7.554</v>
      </c>
      <c r="CU823" s="5" t="n">
        <v>16.097</v>
      </c>
    </row>
    <row r="824">
      <c r="A824" s="5" t="inlineStr">
        <is>
          <t>TUV2023</t>
        </is>
      </c>
      <c r="B824" s="5" t="inlineStr">
        <is>
          <t>TUV</t>
        </is>
      </c>
      <c r="C824" s="5" t="inlineStr">
        <is>
          <t>TUV</t>
        </is>
      </c>
      <c r="D824" s="5" t="inlineStr">
        <is>
          <t>Tuvalu</t>
        </is>
      </c>
      <c r="E824" s="5" t="n">
        <v>2023</v>
      </c>
      <c r="F824" s="5" t="n">
        <v>0</v>
      </c>
      <c r="G824" s="5" t="n">
        <v>5.77</v>
      </c>
      <c r="H824" s="5" t="n">
        <v>1.286</v>
      </c>
      <c r="I824" s="5" t="n">
        <v>0</v>
      </c>
      <c r="J824" s="5" t="n">
        <v>5.77</v>
      </c>
      <c r="K824" s="5" t="n">
        <v>0</v>
      </c>
      <c r="L824" s="5" t="n">
        <v>1</v>
      </c>
      <c r="M824" s="5" t="n">
        <v>7.886</v>
      </c>
      <c r="N824" s="5" t="n">
        <v>3.857</v>
      </c>
      <c r="O824" s="5" t="n">
        <v>0</v>
      </c>
      <c r="P824" s="5" t="n">
        <v>7.886</v>
      </c>
      <c r="Q824" s="5" t="n">
        <v>0</v>
      </c>
      <c r="R824" s="5" t="n">
        <v>1</v>
      </c>
      <c r="S824" s="5" t="n">
        <v>12.198</v>
      </c>
      <c r="T824" s="5" t="n">
        <v>7.714</v>
      </c>
      <c r="U824" s="5" t="n">
        <v>0</v>
      </c>
      <c r="V824" s="5" t="n">
        <v>12.198</v>
      </c>
      <c r="W824" s="5" t="n">
        <v>0</v>
      </c>
      <c r="X824" s="5" t="n">
        <v>1</v>
      </c>
      <c r="Y824" s="5" t="n">
        <v>13.814</v>
      </c>
      <c r="Z824" s="5" t="n">
        <v>1.705</v>
      </c>
      <c r="AA824" s="5" t="n">
        <v>0</v>
      </c>
      <c r="AB824" s="5" t="n">
        <v>13.814</v>
      </c>
      <c r="AC824" s="5" t="n">
        <v>0</v>
      </c>
      <c r="AD824" s="5" t="n">
        <v>1</v>
      </c>
      <c r="AE824" s="5" t="n">
        <v>15.1</v>
      </c>
      <c r="AF824" s="5" t="n">
        <v>3.292</v>
      </c>
      <c r="AG824" s="5" t="n">
        <v>0</v>
      </c>
      <c r="AH824" s="5" t="n">
        <v>15.1</v>
      </c>
      <c r="AI824" s="5" t="n">
        <v>0</v>
      </c>
      <c r="AJ824" s="5" t="n">
        <v>1</v>
      </c>
      <c r="AK824" s="5" t="n">
        <v>22.814</v>
      </c>
      <c r="AL824" s="5" t="n">
        <v>11.838</v>
      </c>
      <c r="AM824" s="5" t="n">
        <v>0</v>
      </c>
      <c r="AN824" s="5" t="n">
        <v>22.814</v>
      </c>
      <c r="AO824" s="5" t="n">
        <v>0</v>
      </c>
      <c r="AP824" s="5" t="n">
        <v>1</v>
      </c>
      <c r="AQ824" s="5" t="n">
        <v>0.749</v>
      </c>
      <c r="AR824" s="5" t="n">
        <v>0.129</v>
      </c>
      <c r="AS824" s="5" t="n">
        <v>0</v>
      </c>
      <c r="AT824" s="5" t="n">
        <v>0.749</v>
      </c>
      <c r="AU824" s="5" t="n">
        <v>0</v>
      </c>
      <c r="AV824" s="5" t="n">
        <v>1</v>
      </c>
      <c r="AW824" s="5" t="n">
        <v>0.783</v>
      </c>
      <c r="AX824" s="5" t="n">
        <v>0.129</v>
      </c>
      <c r="AY824" s="5" t="n">
        <v>0</v>
      </c>
      <c r="AZ824" s="5" t="n">
        <v>0.783</v>
      </c>
      <c r="BA824" s="5" t="n">
        <v>0</v>
      </c>
      <c r="BB824" s="5" t="n">
        <v>1</v>
      </c>
      <c r="BC824" s="5" t="n">
        <v>0.527</v>
      </c>
      <c r="BD824" s="5" t="n">
        <v>0.129</v>
      </c>
      <c r="BE824" s="5" t="n">
        <v>0</v>
      </c>
      <c r="BF824" s="5" t="n">
        <v>0.527</v>
      </c>
      <c r="BG824" s="5" t="n">
        <v>0</v>
      </c>
      <c r="BH824" s="5" t="n">
        <v>1</v>
      </c>
      <c r="BI824" s="5" t="n">
        <v>0.64</v>
      </c>
      <c r="BJ824" s="5" t="n">
        <v>0.129</v>
      </c>
      <c r="BK824" s="5" t="n">
        <v>0</v>
      </c>
      <c r="BL824" s="5" t="n">
        <v>0.64</v>
      </c>
      <c r="BM824" s="5" t="n">
        <v>0</v>
      </c>
      <c r="BN824" s="5" t="n">
        <v>1</v>
      </c>
      <c r="BO824" s="5" t="n">
        <v>0</v>
      </c>
      <c r="BP824" s="5" t="n">
        <v>0</v>
      </c>
      <c r="BQ824" s="5" t="n">
        <v>0</v>
      </c>
      <c r="BR824" s="5" t="n">
        <v>0</v>
      </c>
      <c r="BS824" s="5" t="n">
        <v>1</v>
      </c>
      <c r="BT824" s="5" t="n">
        <v>0</v>
      </c>
      <c r="BU824" s="5" t="n">
        <v>0</v>
      </c>
      <c r="BV824" s="5" t="n">
        <v>0</v>
      </c>
      <c r="BW824" s="5" t="n">
        <v>0</v>
      </c>
      <c r="BX824" s="5" t="n">
        <v>1</v>
      </c>
      <c r="BY824" s="5" t="n">
        <v>13.254</v>
      </c>
      <c r="BZ824" s="5" t="n">
        <v>0</v>
      </c>
      <c r="CA824" s="5" t="n">
        <v>13.254</v>
      </c>
      <c r="CB824" s="5" t="n">
        <v>0</v>
      </c>
      <c r="CC824" s="5" t="n">
        <v>87.07899999999999</v>
      </c>
      <c r="CD824" s="5" t="n">
        <v>7.95</v>
      </c>
      <c r="CE824" s="5" t="n">
        <v>0</v>
      </c>
      <c r="CF824" s="5" t="n">
        <v>87.07899999999999</v>
      </c>
      <c r="CG824" s="5" t="n">
        <v>0</v>
      </c>
      <c r="CH824" s="5" t="n">
        <v>1</v>
      </c>
      <c r="CI824" s="5" t="n">
        <v>0</v>
      </c>
      <c r="CJ824" s="5" t="n">
        <v>0</v>
      </c>
      <c r="CK824" s="5" t="n">
        <v>0</v>
      </c>
      <c r="CL824" s="5" t="n">
        <v>0</v>
      </c>
      <c r="CM824" s="5" t="n">
        <v>0</v>
      </c>
      <c r="CN824" s="5" t="n">
        <v>0</v>
      </c>
      <c r="CO824" s="5" t="n">
        <v>0</v>
      </c>
      <c r="CP824" s="5" t="n">
        <v>0</v>
      </c>
      <c r="CQ824" s="5" t="n">
        <v>1.348</v>
      </c>
      <c r="CR824" s="5" t="n">
        <v>0</v>
      </c>
      <c r="CS824" s="5" t="n">
        <v>5.37</v>
      </c>
      <c r="CT824" s="5" t="n">
        <v>4.484</v>
      </c>
      <c r="CU824" s="5" t="n">
        <v>12.529</v>
      </c>
    </row>
    <row r="825">
      <c r="A825" s="5" t="inlineStr">
        <is>
          <t>TUV2024</t>
        </is>
      </c>
      <c r="B825" s="5" t="inlineStr">
        <is>
          <t>TUV</t>
        </is>
      </c>
      <c r="C825" s="5" t="inlineStr">
        <is>
          <t>TUV</t>
        </is>
      </c>
      <c r="D825" s="5" t="inlineStr">
        <is>
          <t>Tuvalu</t>
        </is>
      </c>
      <c r="E825" s="5" t="n">
        <v>2024</v>
      </c>
      <c r="F825" s="5" t="n">
        <v>0</v>
      </c>
      <c r="G825" s="5" t="n">
        <v>4.833</v>
      </c>
      <c r="H825" s="5" t="n">
        <v>1.324</v>
      </c>
      <c r="I825" s="5" t="n">
        <v>0</v>
      </c>
      <c r="J825" s="5" t="n">
        <v>4.833</v>
      </c>
      <c r="K825" s="5" t="n">
        <v>0</v>
      </c>
      <c r="L825" s="5" t="n">
        <v>1</v>
      </c>
      <c r="M825" s="5" t="n">
        <v>7.124</v>
      </c>
      <c r="N825" s="5" t="n">
        <v>3.971</v>
      </c>
      <c r="O825" s="5" t="n">
        <v>0</v>
      </c>
      <c r="P825" s="5" t="n">
        <v>7.124</v>
      </c>
      <c r="Q825" s="5" t="n">
        <v>0</v>
      </c>
      <c r="R825" s="5" t="n">
        <v>1</v>
      </c>
      <c r="S825" s="5" t="n">
        <v>11.451</v>
      </c>
      <c r="T825" s="5" t="n">
        <v>7.942</v>
      </c>
      <c r="U825" s="5" t="n">
        <v>0</v>
      </c>
      <c r="V825" s="5" t="n">
        <v>11.451</v>
      </c>
      <c r="W825" s="5" t="n">
        <v>0</v>
      </c>
      <c r="X825" s="5" t="n">
        <v>1</v>
      </c>
      <c r="Y825" s="5" t="n">
        <v>12.219</v>
      </c>
      <c r="Z825" s="5" t="n">
        <v>1.508</v>
      </c>
      <c r="AA825" s="5" t="n">
        <v>0</v>
      </c>
      <c r="AB825" s="5" t="n">
        <v>12.219</v>
      </c>
      <c r="AC825" s="5" t="n">
        <v>0</v>
      </c>
      <c r="AD825" s="5" t="n">
        <v>1</v>
      </c>
      <c r="AE825" s="5" t="n">
        <v>13.543</v>
      </c>
      <c r="AF825" s="5" t="n">
        <v>2.952</v>
      </c>
      <c r="AG825" s="5" t="n">
        <v>0</v>
      </c>
      <c r="AH825" s="5" t="n">
        <v>13.543</v>
      </c>
      <c r="AI825" s="5" t="n">
        <v>0</v>
      </c>
      <c r="AJ825" s="5" t="n">
        <v>1</v>
      </c>
      <c r="AK825" s="5" t="n">
        <v>21.484</v>
      </c>
      <c r="AL825" s="5" t="n">
        <v>11.148</v>
      </c>
      <c r="AM825" s="5" t="n">
        <v>0</v>
      </c>
      <c r="AN825" s="5" t="n">
        <v>21.484</v>
      </c>
      <c r="AO825" s="5" t="n">
        <v>0</v>
      </c>
      <c r="AP825" s="5" t="n">
        <v>1</v>
      </c>
      <c r="AQ825" s="5" t="n">
        <v>0.72</v>
      </c>
      <c r="AR825" s="5" t="n">
        <v>0.132</v>
      </c>
      <c r="AS825" s="5" t="n">
        <v>0</v>
      </c>
      <c r="AT825" s="5" t="n">
        <v>0.72</v>
      </c>
      <c r="AU825" s="5" t="n">
        <v>0</v>
      </c>
      <c r="AV825" s="5" t="n">
        <v>1</v>
      </c>
      <c r="AW825" s="5" t="n">
        <v>0.734</v>
      </c>
      <c r="AX825" s="5" t="n">
        <v>0.132</v>
      </c>
      <c r="AY825" s="5" t="n">
        <v>0</v>
      </c>
      <c r="AZ825" s="5" t="n">
        <v>0.734</v>
      </c>
      <c r="BA825" s="5" t="n">
        <v>0</v>
      </c>
      <c r="BB825" s="5" t="n">
        <v>1</v>
      </c>
      <c r="BC825" s="5" t="n">
        <v>0.51</v>
      </c>
      <c r="BD825" s="5" t="n">
        <v>0.132</v>
      </c>
      <c r="BE825" s="5" t="n">
        <v>0</v>
      </c>
      <c r="BF825" s="5" t="n">
        <v>0.51</v>
      </c>
      <c r="BG825" s="5" t="n">
        <v>0</v>
      </c>
      <c r="BH825" s="5" t="n">
        <v>1</v>
      </c>
      <c r="BI825" s="5" t="n">
        <v>0.652</v>
      </c>
      <c r="BJ825" s="5" t="n">
        <v>0.132</v>
      </c>
      <c r="BK825" s="5" t="n">
        <v>0</v>
      </c>
      <c r="BL825" s="5" t="n">
        <v>0.652</v>
      </c>
      <c r="BM825" s="5" t="n">
        <v>0</v>
      </c>
      <c r="BN825" s="5" t="n">
        <v>1</v>
      </c>
      <c r="BO825" s="5" t="n">
        <v>0</v>
      </c>
      <c r="BP825" s="5" t="n">
        <v>0</v>
      </c>
      <c r="BQ825" s="5" t="n">
        <v>0</v>
      </c>
      <c r="BR825" s="5" t="n">
        <v>0</v>
      </c>
      <c r="BS825" s="5" t="n">
        <v>1</v>
      </c>
      <c r="BT825" s="5" t="n">
        <v>0</v>
      </c>
      <c r="BU825" s="5" t="n">
        <v>0</v>
      </c>
      <c r="BV825" s="5" t="n">
        <v>0</v>
      </c>
      <c r="BW825" s="5" t="n">
        <v>0</v>
      </c>
      <c r="BX825" s="5" t="n">
        <v>1</v>
      </c>
      <c r="BY825" s="5" t="n">
        <v>13.646</v>
      </c>
      <c r="BZ825" s="5" t="n">
        <v>0</v>
      </c>
      <c r="CA825" s="5" t="n">
        <v>13.646</v>
      </c>
      <c r="CB825" s="5" t="n">
        <v>0</v>
      </c>
      <c r="CC825" s="5" t="n">
        <v>86.38500000000001</v>
      </c>
      <c r="CD825" s="5" t="n">
        <v>7.95</v>
      </c>
      <c r="CE825" s="5" t="n">
        <v>0</v>
      </c>
      <c r="CF825" s="5" t="n">
        <v>86.38500000000001</v>
      </c>
      <c r="CG825" s="5" t="n">
        <v>0</v>
      </c>
      <c r="CH825" s="5" t="n">
        <v>1</v>
      </c>
      <c r="CI825" s="5" t="n">
        <v>0</v>
      </c>
      <c r="CJ825" s="5" t="n">
        <v>0</v>
      </c>
      <c r="CK825" s="5" t="n">
        <v>0</v>
      </c>
      <c r="CL825" s="5" t="n">
        <v>0</v>
      </c>
      <c r="CM825" s="5" t="n">
        <v>0</v>
      </c>
      <c r="CN825" s="5" t="n">
        <v>0</v>
      </c>
      <c r="CO825" s="5" t="n">
        <v>0</v>
      </c>
      <c r="CP825" s="5" t="n">
        <v>0</v>
      </c>
      <c r="CQ825" s="5" t="n">
        <v>1.387</v>
      </c>
      <c r="CR825" s="5" t="n">
        <v>0</v>
      </c>
      <c r="CS825" s="5" t="n">
        <v>5.529</v>
      </c>
      <c r="CT825" s="5" t="n">
        <v>3.509</v>
      </c>
      <c r="CU825" s="5" t="n">
        <v>10.896</v>
      </c>
    </row>
    <row r="826">
      <c r="A826" s="5" t="inlineStr">
        <is>
          <t>UGA2021</t>
        </is>
      </c>
      <c r="B826" s="5" t="inlineStr">
        <is>
          <t>UGA</t>
        </is>
      </c>
      <c r="C826" s="5" t="inlineStr">
        <is>
          <t>UGA</t>
        </is>
      </c>
      <c r="D826" s="5" t="inlineStr">
        <is>
          <t>Uganda</t>
        </is>
      </c>
      <c r="E826" s="5" t="n">
        <v>2021</v>
      </c>
      <c r="F826" s="5" t="n">
        <v>0.18</v>
      </c>
      <c r="G826" s="5" t="n">
        <v>5.897</v>
      </c>
      <c r="H826" s="5" t="n">
        <v>1.143</v>
      </c>
      <c r="I826" s="5" t="n">
        <v>0</v>
      </c>
      <c r="J826" s="5" t="n">
        <v>5.897</v>
      </c>
      <c r="K826" s="5" t="n">
        <v>0</v>
      </c>
      <c r="L826" s="5" t="n">
        <v>1</v>
      </c>
      <c r="M826" s="5" t="n">
        <v>7.964</v>
      </c>
      <c r="N826" s="5" t="n">
        <v>3.43</v>
      </c>
      <c r="O826" s="5" t="n">
        <v>0</v>
      </c>
      <c r="P826" s="5" t="n">
        <v>7.964</v>
      </c>
      <c r="Q826" s="5" t="n">
        <v>0</v>
      </c>
      <c r="R826" s="5" t="n">
        <v>1</v>
      </c>
      <c r="S826" s="5" t="n">
        <v>11.613</v>
      </c>
      <c r="T826" s="5" t="n">
        <v>6.86</v>
      </c>
      <c r="U826" s="5" t="n">
        <v>0</v>
      </c>
      <c r="V826" s="5" t="n">
        <v>13.704</v>
      </c>
      <c r="W826" s="5" t="n">
        <v>0.18</v>
      </c>
      <c r="X826" s="5" t="n">
        <v>1</v>
      </c>
      <c r="Y826" s="5" t="n">
        <v>16.222</v>
      </c>
      <c r="Z826" s="5" t="n">
        <v>2.193</v>
      </c>
      <c r="AA826" s="5" t="n">
        <v>0</v>
      </c>
      <c r="AB826" s="5" t="n">
        <v>16.222</v>
      </c>
      <c r="AC826" s="5" t="n">
        <v>0</v>
      </c>
      <c r="AD826" s="5" t="n">
        <v>1</v>
      </c>
      <c r="AE826" s="5" t="n">
        <v>17.366</v>
      </c>
      <c r="AF826" s="5" t="n">
        <v>4.061</v>
      </c>
      <c r="AG826" s="5" t="n">
        <v>0</v>
      </c>
      <c r="AH826" s="5" t="n">
        <v>17.366</v>
      </c>
      <c r="AI826" s="5" t="n">
        <v>0</v>
      </c>
      <c r="AJ826" s="5" t="n">
        <v>1</v>
      </c>
      <c r="AK826" s="5" t="n">
        <v>24.226</v>
      </c>
      <c r="AL826" s="5" t="n">
        <v>12.902</v>
      </c>
      <c r="AM826" s="5" t="n">
        <v>0</v>
      </c>
      <c r="AN826" s="5" t="n">
        <v>28.586</v>
      </c>
      <c r="AO826" s="5" t="n">
        <v>0.18</v>
      </c>
      <c r="AP826" s="5" t="n">
        <v>1</v>
      </c>
      <c r="AQ826" s="5" t="n">
        <v>0.619</v>
      </c>
      <c r="AR826" s="5" t="n">
        <v>0.114</v>
      </c>
      <c r="AS826" s="5" t="n">
        <v>0.332</v>
      </c>
      <c r="AT826" s="5" t="n">
        <v>1.123</v>
      </c>
      <c r="AU826" s="5" t="n">
        <v>0.18</v>
      </c>
      <c r="AV826" s="5" t="n">
        <v>1</v>
      </c>
      <c r="AW826" s="5" t="n">
        <v>0.599</v>
      </c>
      <c r="AX826" s="5" t="n">
        <v>0.114</v>
      </c>
      <c r="AY826" s="5" t="n">
        <v>0.273</v>
      </c>
      <c r="AZ826" s="5" t="n">
        <v>1.029</v>
      </c>
      <c r="BA826" s="5" t="n">
        <v>0.18</v>
      </c>
      <c r="BB826" s="5" t="n">
        <v>1</v>
      </c>
      <c r="BC826" s="5" t="n">
        <v>0.439</v>
      </c>
      <c r="BD826" s="5" t="n">
        <v>0.114</v>
      </c>
      <c r="BE826" s="5" t="n">
        <v>0</v>
      </c>
      <c r="BF826" s="5" t="n">
        <v>0.518</v>
      </c>
      <c r="BG826" s="5" t="n">
        <v>0.18</v>
      </c>
      <c r="BH826" s="5" t="n">
        <v>1</v>
      </c>
      <c r="BI826" s="5" t="n">
        <v>0.505</v>
      </c>
      <c r="BJ826" s="5" t="n">
        <v>0.114</v>
      </c>
      <c r="BK826" s="5" t="n">
        <v>0.275</v>
      </c>
      <c r="BL826" s="5" t="n">
        <v>0.921</v>
      </c>
      <c r="BM826" s="5" t="n">
        <v>0.18</v>
      </c>
      <c r="BN826" s="5" t="n">
        <v>1</v>
      </c>
      <c r="BO826" s="5" t="n">
        <v>0</v>
      </c>
      <c r="BP826" s="5" t="n">
        <v>0</v>
      </c>
      <c r="BQ826" s="5" t="n">
        <v>0.097</v>
      </c>
      <c r="BR826" s="5" t="n">
        <v>0</v>
      </c>
      <c r="BS826" s="5" t="n">
        <v>0.833</v>
      </c>
      <c r="BT826" s="5" t="n">
        <v>0</v>
      </c>
      <c r="BU826" s="5" t="n">
        <v>0</v>
      </c>
      <c r="BV826" s="5" t="n">
        <v>0.208</v>
      </c>
      <c r="BW826" s="5" t="n">
        <v>0.18</v>
      </c>
      <c r="BX826" s="5" t="n">
        <v>1</v>
      </c>
      <c r="BY826" s="5" t="n">
        <v>11.787</v>
      </c>
      <c r="BZ826" s="5" t="n">
        <v>0</v>
      </c>
      <c r="CA826" s="5" t="n">
        <v>11.787</v>
      </c>
      <c r="CB826" s="5" t="n">
        <v>0</v>
      </c>
      <c r="CC826" s="5" t="n">
        <v>78.125</v>
      </c>
      <c r="CD826" s="5" t="n">
        <v>7.95</v>
      </c>
      <c r="CE826" s="5" t="n">
        <v>38.776</v>
      </c>
      <c r="CF826" s="5" t="n">
        <v>137.943</v>
      </c>
      <c r="CG826" s="5" t="n">
        <v>0.18</v>
      </c>
      <c r="CH826" s="5" t="n">
        <v>1</v>
      </c>
      <c r="CI826" s="5" t="n">
        <v>0</v>
      </c>
      <c r="CJ826" s="5" t="n">
        <v>0</v>
      </c>
      <c r="CK826" s="5" t="n">
        <v>0</v>
      </c>
      <c r="CL826" s="5" t="n">
        <v>0</v>
      </c>
      <c r="CM826" s="5" t="n">
        <v>0</v>
      </c>
      <c r="CN826" s="5" t="n">
        <v>0</v>
      </c>
      <c r="CO826" s="5" t="n">
        <v>0</v>
      </c>
      <c r="CP826" s="5" t="n">
        <v>0</v>
      </c>
      <c r="CQ826" s="5" t="n">
        <v>1.198</v>
      </c>
      <c r="CR826" s="5" t="n">
        <v>0</v>
      </c>
      <c r="CS826" s="5" t="n">
        <v>4.776</v>
      </c>
      <c r="CT826" s="5" t="n">
        <v>4.753</v>
      </c>
      <c r="CU826" s="5" t="n">
        <v>15.162</v>
      </c>
    </row>
    <row r="827">
      <c r="A827" s="5" t="inlineStr">
        <is>
          <t>UGA2022</t>
        </is>
      </c>
      <c r="B827" s="5" t="inlineStr">
        <is>
          <t>UGA</t>
        </is>
      </c>
      <c r="C827" s="5" t="inlineStr">
        <is>
          <t>UGA</t>
        </is>
      </c>
      <c r="D827" s="5" t="inlineStr">
        <is>
          <t>Uganda</t>
        </is>
      </c>
      <c r="E827" s="5" t="n">
        <v>2022</v>
      </c>
      <c r="F827" s="5" t="n">
        <v>0.18</v>
      </c>
      <c r="G827" s="5" t="n">
        <v>11.72</v>
      </c>
      <c r="H827" s="5" t="n">
        <v>1.235</v>
      </c>
      <c r="I827" s="5" t="n">
        <v>0</v>
      </c>
      <c r="J827" s="5" t="n">
        <v>11.72</v>
      </c>
      <c r="K827" s="5" t="n">
        <v>0</v>
      </c>
      <c r="L827" s="5" t="n">
        <v>1</v>
      </c>
      <c r="M827" s="5" t="n">
        <v>9.782999999999999</v>
      </c>
      <c r="N827" s="5" t="n">
        <v>3.704</v>
      </c>
      <c r="O827" s="5" t="n">
        <v>0</v>
      </c>
      <c r="P827" s="5" t="n">
        <v>9.782999999999999</v>
      </c>
      <c r="Q827" s="5" t="n">
        <v>0</v>
      </c>
      <c r="R827" s="5" t="n">
        <v>1</v>
      </c>
      <c r="S827" s="5" t="n">
        <v>17.893</v>
      </c>
      <c r="T827" s="5" t="n">
        <v>7.408</v>
      </c>
      <c r="U827" s="5" t="n">
        <v>0.238</v>
      </c>
      <c r="V827" s="5" t="n">
        <v>21.114</v>
      </c>
      <c r="W827" s="5" t="n">
        <v>0.18</v>
      </c>
      <c r="X827" s="5" t="n">
        <v>1</v>
      </c>
      <c r="Y827" s="5" t="n">
        <v>32.521</v>
      </c>
      <c r="Z827" s="5" t="n">
        <v>4.395</v>
      </c>
      <c r="AA827" s="5" t="n">
        <v>0</v>
      </c>
      <c r="AB827" s="5" t="n">
        <v>32.521</v>
      </c>
      <c r="AC827" s="5" t="n">
        <v>0</v>
      </c>
      <c r="AD827" s="5" t="n">
        <v>1</v>
      </c>
      <c r="AE827" s="5" t="n">
        <v>33.755</v>
      </c>
      <c r="AF827" s="5" t="n">
        <v>7.893</v>
      </c>
      <c r="AG827" s="5" t="n">
        <v>0</v>
      </c>
      <c r="AH827" s="5" t="n">
        <v>33.755</v>
      </c>
      <c r="AI827" s="5" t="n">
        <v>0</v>
      </c>
      <c r="AJ827" s="5" t="n">
        <v>1</v>
      </c>
      <c r="AK827" s="5" t="n">
        <v>41.163</v>
      </c>
      <c r="AL827" s="5" t="n">
        <v>21.923</v>
      </c>
      <c r="AM827" s="5" t="n">
        <v>0.548</v>
      </c>
      <c r="AN827" s="5" t="n">
        <v>48.573</v>
      </c>
      <c r="AO827" s="5" t="n">
        <v>0.18</v>
      </c>
      <c r="AP827" s="5" t="n">
        <v>1</v>
      </c>
      <c r="AQ827" s="5" t="n">
        <v>0.861</v>
      </c>
      <c r="AR827" s="5" t="n">
        <v>0.123</v>
      </c>
      <c r="AS827" s="5" t="n">
        <v>0.386</v>
      </c>
      <c r="AT827" s="5" t="n">
        <v>1.472</v>
      </c>
      <c r="AU827" s="5" t="n">
        <v>0.18</v>
      </c>
      <c r="AV827" s="5" t="n">
        <v>1</v>
      </c>
      <c r="AW827" s="5" t="n">
        <v>0.986</v>
      </c>
      <c r="AX827" s="5" t="n">
        <v>0.123</v>
      </c>
      <c r="AY827" s="5" t="n">
        <v>0.183</v>
      </c>
      <c r="AZ827" s="5" t="n">
        <v>1.38</v>
      </c>
      <c r="BA827" s="5" t="n">
        <v>0.18</v>
      </c>
      <c r="BB827" s="5" t="n">
        <v>1</v>
      </c>
      <c r="BC827" s="5" t="n">
        <v>0.598</v>
      </c>
      <c r="BD827" s="5" t="n">
        <v>0.123</v>
      </c>
      <c r="BE827" s="5" t="n">
        <v>0.008</v>
      </c>
      <c r="BF827" s="5" t="n">
        <v>0.705</v>
      </c>
      <c r="BG827" s="5" t="n">
        <v>0.18</v>
      </c>
      <c r="BH827" s="5" t="n">
        <v>1</v>
      </c>
      <c r="BI827" s="5" t="n">
        <v>0.612</v>
      </c>
      <c r="BJ827" s="5" t="n">
        <v>0.123</v>
      </c>
      <c r="BK827" s="5" t="n">
        <v>0.216</v>
      </c>
      <c r="BL827" s="5" t="n">
        <v>0.977</v>
      </c>
      <c r="BM827" s="5" t="n">
        <v>0.18</v>
      </c>
      <c r="BN827" s="5" t="n">
        <v>1</v>
      </c>
      <c r="BO827" s="5" t="n">
        <v>0</v>
      </c>
      <c r="BP827" s="5" t="n">
        <v>0</v>
      </c>
      <c r="BQ827" s="5" t="n">
        <v>0.102</v>
      </c>
      <c r="BR827" s="5" t="n">
        <v>0</v>
      </c>
      <c r="BS827" s="5" t="n">
        <v>0.833</v>
      </c>
      <c r="BT827" s="5" t="n">
        <v>0</v>
      </c>
      <c r="BU827" s="5" t="n">
        <v>0</v>
      </c>
      <c r="BV827" s="5" t="n">
        <v>0.222</v>
      </c>
      <c r="BW827" s="5" t="n">
        <v>0.18</v>
      </c>
      <c r="BX827" s="5" t="n">
        <v>1</v>
      </c>
      <c r="BY827" s="5" t="n">
        <v>12.729</v>
      </c>
      <c r="BZ827" s="5" t="n">
        <v>0</v>
      </c>
      <c r="CA827" s="5" t="n">
        <v>12.729</v>
      </c>
      <c r="CB827" s="5" t="n">
        <v>0</v>
      </c>
      <c r="CC827" s="5" t="n">
        <v>97.90000000000001</v>
      </c>
      <c r="CD827" s="5" t="n">
        <v>7.95</v>
      </c>
      <c r="CE827" s="5" t="n">
        <v>53.103</v>
      </c>
      <c r="CF827" s="5" t="n">
        <v>178.184</v>
      </c>
      <c r="CG827" s="5" t="n">
        <v>0.18</v>
      </c>
      <c r="CH827" s="5" t="n">
        <v>1</v>
      </c>
      <c r="CI827" s="5" t="n">
        <v>0</v>
      </c>
      <c r="CJ827" s="5" t="n">
        <v>0</v>
      </c>
      <c r="CK827" s="5" t="n">
        <v>0</v>
      </c>
      <c r="CL827" s="5" t="n">
        <v>0</v>
      </c>
      <c r="CM827" s="5" t="n">
        <v>0</v>
      </c>
      <c r="CN827" s="5" t="n">
        <v>0</v>
      </c>
      <c r="CO827" s="5" t="n">
        <v>0</v>
      </c>
      <c r="CP827" s="5" t="n">
        <v>0</v>
      </c>
      <c r="CQ827" s="5" t="n">
        <v>1.294</v>
      </c>
      <c r="CR827" s="5" t="n">
        <v>0</v>
      </c>
      <c r="CS827" s="5" t="n">
        <v>5.158</v>
      </c>
      <c r="CT827" s="5" t="n">
        <v>10.485</v>
      </c>
      <c r="CU827" s="5" t="n">
        <v>31.326</v>
      </c>
    </row>
    <row r="828">
      <c r="A828" s="5" t="inlineStr">
        <is>
          <t>UGA2023</t>
        </is>
      </c>
      <c r="B828" s="5" t="inlineStr">
        <is>
          <t>UGA</t>
        </is>
      </c>
      <c r="C828" s="5" t="inlineStr">
        <is>
          <t>UGA</t>
        </is>
      </c>
      <c r="D828" s="5" t="inlineStr">
        <is>
          <t>Uganda</t>
        </is>
      </c>
      <c r="E828" s="5" t="n">
        <v>2023</v>
      </c>
      <c r="F828" s="5" t="n">
        <v>0.18</v>
      </c>
      <c r="G828" s="5" t="n">
        <v>6.147</v>
      </c>
      <c r="H828" s="5" t="n">
        <v>1.286</v>
      </c>
      <c r="I828" s="5" t="n">
        <v>0</v>
      </c>
      <c r="J828" s="5" t="n">
        <v>6.147</v>
      </c>
      <c r="K828" s="5" t="n">
        <v>0</v>
      </c>
      <c r="L828" s="5" t="n">
        <v>1</v>
      </c>
      <c r="M828" s="5" t="n">
        <v>7.886</v>
      </c>
      <c r="N828" s="5" t="n">
        <v>3.857</v>
      </c>
      <c r="O828" s="5" t="n">
        <v>0</v>
      </c>
      <c r="P828" s="5" t="n">
        <v>7.886</v>
      </c>
      <c r="Q828" s="5" t="n">
        <v>0</v>
      </c>
      <c r="R828" s="5" t="n">
        <v>1</v>
      </c>
      <c r="S828" s="5" t="n">
        <v>12.575</v>
      </c>
      <c r="T828" s="5" t="n">
        <v>7.714</v>
      </c>
      <c r="U828" s="5" t="n">
        <v>0.251</v>
      </c>
      <c r="V828" s="5" t="n">
        <v>14.839</v>
      </c>
      <c r="W828" s="5" t="n">
        <v>0.18</v>
      </c>
      <c r="X828" s="5" t="n">
        <v>1</v>
      </c>
      <c r="Y828" s="5" t="n">
        <v>12.019</v>
      </c>
      <c r="Z828" s="5" t="n">
        <v>1.624</v>
      </c>
      <c r="AA828" s="5" t="n">
        <v>0</v>
      </c>
      <c r="AB828" s="5" t="n">
        <v>12.019</v>
      </c>
      <c r="AC828" s="5" t="n">
        <v>0</v>
      </c>
      <c r="AD828" s="5" t="n">
        <v>1</v>
      </c>
      <c r="AE828" s="5" t="n">
        <v>13.305</v>
      </c>
      <c r="AF828" s="5" t="n">
        <v>3.111</v>
      </c>
      <c r="AG828" s="5" t="n">
        <v>0</v>
      </c>
      <c r="AH828" s="5" t="n">
        <v>13.305</v>
      </c>
      <c r="AI828" s="5" t="n">
        <v>0</v>
      </c>
      <c r="AJ828" s="5" t="n">
        <v>1</v>
      </c>
      <c r="AK828" s="5" t="n">
        <v>21.019</v>
      </c>
      <c r="AL828" s="5" t="n">
        <v>11.194</v>
      </c>
      <c r="AM828" s="5" t="n">
        <v>0.419</v>
      </c>
      <c r="AN828" s="5" t="n">
        <v>24.802</v>
      </c>
      <c r="AO828" s="5" t="n">
        <v>0.18</v>
      </c>
      <c r="AP828" s="5" t="n">
        <v>1</v>
      </c>
      <c r="AQ828" s="5" t="n">
        <v>0.76</v>
      </c>
      <c r="AR828" s="5" t="n">
        <v>0.129</v>
      </c>
      <c r="AS828" s="5" t="n">
        <v>0.458</v>
      </c>
      <c r="AT828" s="5" t="n">
        <v>1.438</v>
      </c>
      <c r="AU828" s="5" t="n">
        <v>0.18</v>
      </c>
      <c r="AV828" s="5" t="n">
        <v>1</v>
      </c>
      <c r="AW828" s="5" t="n">
        <v>0.8110000000000001</v>
      </c>
      <c r="AX828" s="5" t="n">
        <v>0.129</v>
      </c>
      <c r="AY828" s="5" t="n">
        <v>0.292</v>
      </c>
      <c r="AZ828" s="5" t="n">
        <v>1.302</v>
      </c>
      <c r="BA828" s="5" t="n">
        <v>0.18</v>
      </c>
      <c r="BB828" s="5" t="n">
        <v>1</v>
      </c>
      <c r="BC828" s="5" t="n">
        <v>0.535</v>
      </c>
      <c r="BD828" s="5" t="n">
        <v>0.129</v>
      </c>
      <c r="BE828" s="5" t="n">
        <v>0.011</v>
      </c>
      <c r="BF828" s="5" t="n">
        <v>0.631</v>
      </c>
      <c r="BG828" s="5" t="n">
        <v>0.18</v>
      </c>
      <c r="BH828" s="5" t="n">
        <v>1</v>
      </c>
      <c r="BI828" s="5" t="n">
        <v>0.579</v>
      </c>
      <c r="BJ828" s="5" t="n">
        <v>0.129</v>
      </c>
      <c r="BK828" s="5" t="n">
        <v>0.259</v>
      </c>
      <c r="BL828" s="5" t="n">
        <v>0.97</v>
      </c>
      <c r="BM828" s="5" t="n">
        <v>0.18</v>
      </c>
      <c r="BN828" s="5" t="n">
        <v>1</v>
      </c>
      <c r="BO828" s="5" t="n">
        <v>0</v>
      </c>
      <c r="BP828" s="5" t="n">
        <v>0</v>
      </c>
      <c r="BQ828" s="5" t="n">
        <v>0.106</v>
      </c>
      <c r="BR828" s="5" t="n">
        <v>0</v>
      </c>
      <c r="BS828" s="5" t="n">
        <v>0.833</v>
      </c>
      <c r="BT828" s="5" t="n">
        <v>0</v>
      </c>
      <c r="BU828" s="5" t="n">
        <v>0</v>
      </c>
      <c r="BV828" s="5" t="n">
        <v>0.217</v>
      </c>
      <c r="BW828" s="5" t="n">
        <v>0.18</v>
      </c>
      <c r="BX828" s="5" t="n">
        <v>1</v>
      </c>
      <c r="BY828" s="5" t="n">
        <v>13.254</v>
      </c>
      <c r="BZ828" s="5" t="n">
        <v>0</v>
      </c>
      <c r="CA828" s="5" t="n">
        <v>13.254</v>
      </c>
      <c r="CB828" s="5" t="n">
        <v>0</v>
      </c>
      <c r="CC828" s="5" t="n">
        <v>83.248</v>
      </c>
      <c r="CD828" s="5" t="n">
        <v>7.95</v>
      </c>
      <c r="CE828" s="5" t="n">
        <v>65.199</v>
      </c>
      <c r="CF828" s="5" t="n">
        <v>171.745</v>
      </c>
      <c r="CG828" s="5" t="n">
        <v>0.18</v>
      </c>
      <c r="CH828" s="5" t="n">
        <v>1</v>
      </c>
      <c r="CI828" s="5" t="n">
        <v>0</v>
      </c>
      <c r="CJ828" s="5" t="n">
        <v>0</v>
      </c>
      <c r="CK828" s="5" t="n">
        <v>0</v>
      </c>
      <c r="CL828" s="5" t="n">
        <v>0</v>
      </c>
      <c r="CM828" s="5" t="n">
        <v>0</v>
      </c>
      <c r="CN828" s="5" t="n">
        <v>0</v>
      </c>
      <c r="CO828" s="5" t="n">
        <v>0</v>
      </c>
      <c r="CP828" s="5" t="n">
        <v>0</v>
      </c>
      <c r="CQ828" s="5" t="n">
        <v>1.348</v>
      </c>
      <c r="CR828" s="5" t="n">
        <v>0</v>
      </c>
      <c r="CS828" s="5" t="n">
        <v>5.37</v>
      </c>
      <c r="CT828" s="5" t="n">
        <v>4.861</v>
      </c>
      <c r="CU828" s="5" t="n">
        <v>11.622</v>
      </c>
    </row>
    <row r="829">
      <c r="A829" s="5" t="inlineStr">
        <is>
          <t>UGA2024</t>
        </is>
      </c>
      <c r="B829" s="5" t="inlineStr">
        <is>
          <t>UGA</t>
        </is>
      </c>
      <c r="C829" s="5" t="inlineStr">
        <is>
          <t>UGA</t>
        </is>
      </c>
      <c r="D829" s="5" t="inlineStr">
        <is>
          <t>Uganda</t>
        </is>
      </c>
      <c r="E829" s="5" t="n">
        <v>2024</v>
      </c>
      <c r="F829" s="5" t="n">
        <v>0.18</v>
      </c>
      <c r="G829" s="5" t="n">
        <v>5.575</v>
      </c>
      <c r="H829" s="5" t="n">
        <v>1.324</v>
      </c>
      <c r="I829" s="5" t="n">
        <v>0</v>
      </c>
      <c r="J829" s="5" t="n">
        <v>5.575</v>
      </c>
      <c r="K829" s="5" t="n">
        <v>0</v>
      </c>
      <c r="L829" s="5" t="n">
        <v>1</v>
      </c>
      <c r="M829" s="5" t="n">
        <v>7.124</v>
      </c>
      <c r="N829" s="5" t="n">
        <v>3.971</v>
      </c>
      <c r="O829" s="5" t="n">
        <v>0</v>
      </c>
      <c r="P829" s="5" t="n">
        <v>7.124</v>
      </c>
      <c r="Q829" s="5" t="n">
        <v>0</v>
      </c>
      <c r="R829" s="5" t="n">
        <v>1</v>
      </c>
      <c r="S829" s="5" t="n">
        <v>12.193</v>
      </c>
      <c r="T829" s="5" t="n">
        <v>7.942</v>
      </c>
      <c r="U829" s="5" t="n">
        <v>0.299</v>
      </c>
      <c r="V829" s="5" t="n">
        <v>14.388</v>
      </c>
      <c r="W829" s="5" t="n">
        <v>0.18</v>
      </c>
      <c r="X829" s="5" t="n">
        <v>1</v>
      </c>
      <c r="Y829" s="5" t="n">
        <v>10.789</v>
      </c>
      <c r="Z829" s="5" t="n">
        <v>1.458</v>
      </c>
      <c r="AA829" s="5" t="n">
        <v>0</v>
      </c>
      <c r="AB829" s="5" t="n">
        <v>10.789</v>
      </c>
      <c r="AC829" s="5" t="n">
        <v>0</v>
      </c>
      <c r="AD829" s="5" t="n">
        <v>1</v>
      </c>
      <c r="AE829" s="5" t="n">
        <v>12.112</v>
      </c>
      <c r="AF829" s="5" t="n">
        <v>2.832</v>
      </c>
      <c r="AG829" s="5" t="n">
        <v>0</v>
      </c>
      <c r="AH829" s="5" t="n">
        <v>12.112</v>
      </c>
      <c r="AI829" s="5" t="n">
        <v>0</v>
      </c>
      <c r="AJ829" s="5" t="n">
        <v>1</v>
      </c>
      <c r="AK829" s="5" t="n">
        <v>20.054</v>
      </c>
      <c r="AL829" s="5" t="n">
        <v>10.681</v>
      </c>
      <c r="AM829" s="5" t="n">
        <v>0.492</v>
      </c>
      <c r="AN829" s="5" t="n">
        <v>23.664</v>
      </c>
      <c r="AO829" s="5" t="n">
        <v>0.18</v>
      </c>
      <c r="AP829" s="5" t="n">
        <v>1</v>
      </c>
      <c r="AQ829" s="5" t="n">
        <v>0.724</v>
      </c>
      <c r="AR829" s="5" t="n">
        <v>0.132</v>
      </c>
      <c r="AS829" s="5" t="n">
        <v>0.513</v>
      </c>
      <c r="AT829" s="5" t="n">
        <v>1.425</v>
      </c>
      <c r="AU829" s="5" t="n">
        <v>0.18</v>
      </c>
      <c r="AV829" s="5" t="n">
        <v>1</v>
      </c>
      <c r="AW829" s="5" t="n">
        <v>0.75</v>
      </c>
      <c r="AX829" s="5" t="n">
        <v>0.132</v>
      </c>
      <c r="AY829" s="5" t="n">
        <v>0.36</v>
      </c>
      <c r="AZ829" s="5" t="n">
        <v>1.279</v>
      </c>
      <c r="BA829" s="5" t="n">
        <v>0.18</v>
      </c>
      <c r="BB829" s="5" t="n">
        <v>1</v>
      </c>
      <c r="BC829" s="5" t="n">
        <v>0.513</v>
      </c>
      <c r="BD829" s="5" t="n">
        <v>0.132</v>
      </c>
      <c r="BE829" s="5" t="n">
        <v>0.013</v>
      </c>
      <c r="BF829" s="5" t="n">
        <v>0.605</v>
      </c>
      <c r="BG829" s="5" t="n">
        <v>0.18</v>
      </c>
      <c r="BH829" s="5" t="n">
        <v>1</v>
      </c>
      <c r="BI829" s="5" t="n">
        <v>0.591</v>
      </c>
      <c r="BJ829" s="5" t="n">
        <v>0.132</v>
      </c>
      <c r="BK829" s="5" t="n">
        <v>0.272</v>
      </c>
      <c r="BL829" s="5" t="n">
        <v>0.994</v>
      </c>
      <c r="BM829" s="5" t="n">
        <v>0.18</v>
      </c>
      <c r="BN829" s="5" t="n">
        <v>1</v>
      </c>
      <c r="BO829" s="5" t="n">
        <v>0</v>
      </c>
      <c r="BP829" s="5" t="n">
        <v>0</v>
      </c>
      <c r="BQ829" s="5" t="n">
        <v>0.08400000000000001</v>
      </c>
      <c r="BR829" s="5" t="n">
        <v>0</v>
      </c>
      <c r="BS829" s="5" t="n">
        <v>0.833</v>
      </c>
      <c r="BT829" s="5" t="n">
        <v>0</v>
      </c>
      <c r="BU829" s="5" t="n">
        <v>0</v>
      </c>
      <c r="BV829" s="5" t="n">
        <v>0.195</v>
      </c>
      <c r="BW829" s="5" t="n">
        <v>0.18</v>
      </c>
      <c r="BX829" s="5" t="n">
        <v>1</v>
      </c>
      <c r="BY829" s="5" t="n">
        <v>13.646</v>
      </c>
      <c r="BZ829" s="5" t="n">
        <v>0</v>
      </c>
      <c r="CA829" s="5" t="n">
        <v>13.646</v>
      </c>
      <c r="CB829" s="5" t="n">
        <v>0</v>
      </c>
      <c r="CC829" s="5" t="n">
        <v>82.58799999999999</v>
      </c>
      <c r="CD829" s="5" t="n">
        <v>7.95</v>
      </c>
      <c r="CE829" s="5" t="n">
        <v>68.931</v>
      </c>
      <c r="CF829" s="5" t="n">
        <v>174.514</v>
      </c>
      <c r="CG829" s="5" t="n">
        <v>0.18</v>
      </c>
      <c r="CH829" s="5" t="n">
        <v>1</v>
      </c>
      <c r="CI829" s="5" t="n">
        <v>0</v>
      </c>
      <c r="CJ829" s="5" t="n">
        <v>0</v>
      </c>
      <c r="CK829" s="5" t="n">
        <v>0</v>
      </c>
      <c r="CL829" s="5" t="n">
        <v>0</v>
      </c>
      <c r="CM829" s="5" t="n">
        <v>0</v>
      </c>
      <c r="CN829" s="5" t="n">
        <v>0</v>
      </c>
      <c r="CO829" s="5" t="n">
        <v>0</v>
      </c>
      <c r="CP829" s="5" t="n">
        <v>0</v>
      </c>
      <c r="CQ829" s="5" t="n">
        <v>1.387</v>
      </c>
      <c r="CR829" s="5" t="n">
        <v>0</v>
      </c>
      <c r="CS829" s="5" t="n">
        <v>5.529</v>
      </c>
      <c r="CT829" s="5" t="n">
        <v>4.251</v>
      </c>
      <c r="CU829" s="5" t="n">
        <v>10.168</v>
      </c>
    </row>
    <row r="830">
      <c r="A830" s="5" t="inlineStr">
        <is>
          <t>UKR2021</t>
        </is>
      </c>
      <c r="B830" s="5" t="inlineStr">
        <is>
          <t>UKR</t>
        </is>
      </c>
      <c r="C830" s="5" t="inlineStr">
        <is>
          <t>UKR</t>
        </is>
      </c>
      <c r="D830" s="5" t="inlineStr">
        <is>
          <t>Ukraine</t>
        </is>
      </c>
      <c r="E830" s="5" t="n">
        <v>2021</v>
      </c>
      <c r="F830" s="5" t="n">
        <v>0.2</v>
      </c>
      <c r="G830" s="5" t="n">
        <v>4.082</v>
      </c>
      <c r="H830" s="5" t="n">
        <v>0.921</v>
      </c>
      <c r="I830" s="5" t="n">
        <v>0.027</v>
      </c>
      <c r="J830" s="5" t="n">
        <v>4.109</v>
      </c>
      <c r="K830" s="5" t="n">
        <v>0</v>
      </c>
      <c r="L830" s="5" t="n">
        <v>1</v>
      </c>
      <c r="M830" s="5" t="n">
        <v>6</v>
      </c>
      <c r="N830" s="5" t="n">
        <v>2.763</v>
      </c>
      <c r="O830" s="5" t="n">
        <v>0.028</v>
      </c>
      <c r="P830" s="5" t="n">
        <v>6.028</v>
      </c>
      <c r="Q830" s="5" t="n">
        <v>0</v>
      </c>
      <c r="R830" s="5" t="n">
        <v>1</v>
      </c>
      <c r="S830" s="5" t="n">
        <v>8.686999999999999</v>
      </c>
      <c r="T830" s="5" t="n">
        <v>5.526</v>
      </c>
      <c r="U830" s="5" t="n">
        <v>-0.639</v>
      </c>
      <c r="V830" s="5" t="n">
        <v>9.657</v>
      </c>
      <c r="W830" s="5" t="n">
        <v>0.2</v>
      </c>
      <c r="X830" s="5" t="n">
        <v>1</v>
      </c>
      <c r="Y830" s="5" t="n">
        <v>5.302</v>
      </c>
      <c r="Z830" s="5" t="n">
        <v>0.528</v>
      </c>
      <c r="AA830" s="5" t="n">
        <v>1.836</v>
      </c>
      <c r="AB830" s="5" t="n">
        <v>7.138</v>
      </c>
      <c r="AC830" s="5" t="n">
        <v>0</v>
      </c>
      <c r="AD830" s="5" t="n">
        <v>1</v>
      </c>
      <c r="AE830" s="5" t="n">
        <v>6.026</v>
      </c>
      <c r="AF830" s="5" t="n">
        <v>1.072</v>
      </c>
      <c r="AG830" s="5" t="n">
        <v>1.112</v>
      </c>
      <c r="AH830" s="5" t="n">
        <v>7.138</v>
      </c>
      <c r="AI830" s="5" t="n">
        <v>0</v>
      </c>
      <c r="AJ830" s="5" t="n">
        <v>1</v>
      </c>
      <c r="AK830" s="5" t="n">
        <v>10.371</v>
      </c>
      <c r="AL830" s="5" t="n">
        <v>4.636</v>
      </c>
      <c r="AM830" s="5" t="n">
        <v>-2.885</v>
      </c>
      <c r="AN830" s="5" t="n">
        <v>8.984</v>
      </c>
      <c r="AO830" s="5" t="n">
        <v>0</v>
      </c>
      <c r="AP830" s="5" t="n">
        <v>0</v>
      </c>
      <c r="AQ830" s="5" t="n">
        <v>0.619</v>
      </c>
      <c r="AR830" s="5" t="n">
        <v>0.114</v>
      </c>
      <c r="AS830" s="5" t="n">
        <v>0.274</v>
      </c>
      <c r="AT830" s="5" t="n">
        <v>1.072</v>
      </c>
      <c r="AU830" s="5" t="n">
        <v>0.2</v>
      </c>
      <c r="AV830" s="5" t="n">
        <v>1</v>
      </c>
      <c r="AW830" s="5" t="n">
        <v>0.599</v>
      </c>
      <c r="AX830" s="5" t="n">
        <v>0.114</v>
      </c>
      <c r="AY830" s="5" t="n">
        <v>0.26</v>
      </c>
      <c r="AZ830" s="5" t="n">
        <v>1.031</v>
      </c>
      <c r="BA830" s="5" t="n">
        <v>0.2</v>
      </c>
      <c r="BB830" s="5" t="n">
        <v>1</v>
      </c>
      <c r="BC830" s="5" t="n">
        <v>0.439</v>
      </c>
      <c r="BD830" s="5" t="n">
        <v>0.114</v>
      </c>
      <c r="BE830" s="5" t="n">
        <v>0.063</v>
      </c>
      <c r="BF830" s="5" t="n">
        <v>0.602</v>
      </c>
      <c r="BG830" s="5" t="n">
        <v>0.2</v>
      </c>
      <c r="BH830" s="5" t="n">
        <v>1</v>
      </c>
      <c r="BI830" s="5" t="n">
        <v>0.505</v>
      </c>
      <c r="BJ830" s="5" t="n">
        <v>0.114</v>
      </c>
      <c r="BK830" s="5" t="n">
        <v>0</v>
      </c>
      <c r="BL830" s="5" t="n">
        <v>0.606</v>
      </c>
      <c r="BM830" s="5" t="n">
        <v>0.2</v>
      </c>
      <c r="BN830" s="5" t="n">
        <v>1</v>
      </c>
      <c r="BO830" s="5" t="n">
        <v>0</v>
      </c>
      <c r="BP830" s="5" t="n">
        <v>0</v>
      </c>
      <c r="BQ830" s="5" t="n">
        <v>0</v>
      </c>
      <c r="BR830" s="5" t="n">
        <v>0</v>
      </c>
      <c r="BS830" s="5" t="n">
        <v>1</v>
      </c>
      <c r="BT830" s="5" t="n">
        <v>0</v>
      </c>
      <c r="BU830" s="5" t="n">
        <v>-0.032</v>
      </c>
      <c r="BV830" s="5" t="n">
        <v>0.057</v>
      </c>
      <c r="BW830" s="5" t="n">
        <v>0</v>
      </c>
      <c r="BX830" s="5" t="n">
        <v>1</v>
      </c>
      <c r="BY830" s="5" t="n">
        <v>11.787</v>
      </c>
      <c r="BZ830" s="5" t="n">
        <v>0</v>
      </c>
      <c r="CA830" s="5" t="n">
        <v>11.787</v>
      </c>
      <c r="CB830" s="5" t="n">
        <v>0</v>
      </c>
      <c r="CC830" s="5" t="n">
        <v>78.125</v>
      </c>
      <c r="CD830" s="5" t="n">
        <v>7.95</v>
      </c>
      <c r="CE830" s="5" t="n">
        <v>0.751</v>
      </c>
      <c r="CF830" s="5" t="n">
        <v>94.651</v>
      </c>
      <c r="CG830" s="5" t="n">
        <v>0.2</v>
      </c>
      <c r="CH830" s="5" t="n">
        <v>1</v>
      </c>
      <c r="CI830" s="5" t="n">
        <v>0</v>
      </c>
      <c r="CJ830" s="5" t="n">
        <v>0</v>
      </c>
      <c r="CK830" s="5" t="n">
        <v>0</v>
      </c>
      <c r="CL830" s="5" t="n">
        <v>0.18</v>
      </c>
      <c r="CM830" s="5" t="n">
        <v>0</v>
      </c>
      <c r="CN830" s="5" t="n">
        <v>0</v>
      </c>
      <c r="CO830" s="5" t="n">
        <v>0</v>
      </c>
      <c r="CP830" s="5" t="n">
        <v>0.389</v>
      </c>
      <c r="CQ830" s="5" t="n">
        <v>1.198</v>
      </c>
      <c r="CR830" s="5" t="n">
        <v>0.733</v>
      </c>
      <c r="CS830" s="5" t="n">
        <v>4.823</v>
      </c>
      <c r="CT830" s="5" t="n">
        <v>4.41</v>
      </c>
      <c r="CU830" s="5" t="n">
        <v>15.162</v>
      </c>
    </row>
    <row r="831">
      <c r="A831" s="5" t="inlineStr">
        <is>
          <t>UKR2022</t>
        </is>
      </c>
      <c r="B831" s="5" t="inlineStr">
        <is>
          <t>UKR</t>
        </is>
      </c>
      <c r="C831" s="5" t="inlineStr">
        <is>
          <t>UKR</t>
        </is>
      </c>
      <c r="D831" s="5" t="inlineStr">
        <is>
          <t>Ukraine</t>
        </is>
      </c>
      <c r="E831" s="5" t="n">
        <v>2022</v>
      </c>
      <c r="F831" s="5" t="n">
        <v>0.2</v>
      </c>
      <c r="G831" s="5" t="n">
        <v>3.588</v>
      </c>
      <c r="H831" s="5" t="n">
        <v>0.8179999999999999</v>
      </c>
      <c r="I831" s="5" t="n">
        <v>0.083</v>
      </c>
      <c r="J831" s="5" t="n">
        <v>3.671</v>
      </c>
      <c r="K831" s="5" t="n">
        <v>0</v>
      </c>
      <c r="L831" s="5" t="n">
        <v>1</v>
      </c>
      <c r="M831" s="5" t="n">
        <v>5.3</v>
      </c>
      <c r="N831" s="5" t="n">
        <v>2.453</v>
      </c>
      <c r="O831" s="5" t="n">
        <v>0.08400000000000001</v>
      </c>
      <c r="P831" s="5" t="n">
        <v>5.384</v>
      </c>
      <c r="Q831" s="5" t="n">
        <v>0</v>
      </c>
      <c r="R831" s="5" t="n">
        <v>1</v>
      </c>
      <c r="S831" s="5" t="n">
        <v>7.677</v>
      </c>
      <c r="T831" s="5" t="n">
        <v>4.906</v>
      </c>
      <c r="U831" s="5" t="n">
        <v>-0.351</v>
      </c>
      <c r="V831" s="5" t="n">
        <v>8.663</v>
      </c>
      <c r="W831" s="5" t="n">
        <v>0.2</v>
      </c>
      <c r="X831" s="5" t="n">
        <v>1</v>
      </c>
      <c r="Y831" s="5" t="n">
        <v>5.91</v>
      </c>
      <c r="Z831" s="5" t="n">
        <v>0.588</v>
      </c>
      <c r="AA831" s="5" t="n">
        <v>1.843</v>
      </c>
      <c r="AB831" s="5" t="n">
        <v>7.753</v>
      </c>
      <c r="AC831" s="5" t="n">
        <v>0</v>
      </c>
      <c r="AD831" s="5" t="n">
        <v>1</v>
      </c>
      <c r="AE831" s="5" t="n">
        <v>6.632</v>
      </c>
      <c r="AF831" s="5" t="n">
        <v>1.18</v>
      </c>
      <c r="AG831" s="5" t="n">
        <v>9.459</v>
      </c>
      <c r="AH831" s="5" t="n">
        <v>16.09</v>
      </c>
      <c r="AI831" s="5" t="n">
        <v>0</v>
      </c>
      <c r="AJ831" s="5" t="n">
        <v>1</v>
      </c>
      <c r="AK831" s="5" t="n">
        <v>10.964</v>
      </c>
      <c r="AL831" s="5" t="n">
        <v>4.901</v>
      </c>
      <c r="AM831" s="5" t="n">
        <v>-3.614</v>
      </c>
      <c r="AN831" s="5" t="n">
        <v>8.82</v>
      </c>
      <c r="AO831" s="5" t="n">
        <v>0</v>
      </c>
      <c r="AP831" s="5" t="n">
        <v>0</v>
      </c>
      <c r="AQ831" s="5" t="n">
        <v>0.861</v>
      </c>
      <c r="AR831" s="5" t="n">
        <v>0.123</v>
      </c>
      <c r="AS831" s="5" t="n">
        <v>0.275</v>
      </c>
      <c r="AT831" s="5" t="n">
        <v>1.364</v>
      </c>
      <c r="AU831" s="5" t="n">
        <v>0.2</v>
      </c>
      <c r="AV831" s="5" t="n">
        <v>1</v>
      </c>
      <c r="AW831" s="5" t="n">
        <v>0.986</v>
      </c>
      <c r="AX831" s="5" t="n">
        <v>0.123</v>
      </c>
      <c r="AY831" s="5" t="n">
        <v>0.232</v>
      </c>
      <c r="AZ831" s="5" t="n">
        <v>1.462</v>
      </c>
      <c r="BA831" s="5" t="n">
        <v>0.2</v>
      </c>
      <c r="BB831" s="5" t="n">
        <v>1</v>
      </c>
      <c r="BC831" s="5" t="n">
        <v>0.598</v>
      </c>
      <c r="BD831" s="5" t="n">
        <v>0.123</v>
      </c>
      <c r="BE831" s="5" t="n">
        <v>0.124</v>
      </c>
      <c r="BF831" s="5" t="n">
        <v>0.866</v>
      </c>
      <c r="BG831" s="5" t="n">
        <v>0.2</v>
      </c>
      <c r="BH831" s="5" t="n">
        <v>1</v>
      </c>
      <c r="BI831" s="5" t="n">
        <v>0.612</v>
      </c>
      <c r="BJ831" s="5" t="n">
        <v>0.123</v>
      </c>
      <c r="BK831" s="5" t="n">
        <v>0.008999999999999999</v>
      </c>
      <c r="BL831" s="5" t="n">
        <v>0.735</v>
      </c>
      <c r="BM831" s="5" t="n">
        <v>0.2</v>
      </c>
      <c r="BN831" s="5" t="n">
        <v>1</v>
      </c>
      <c r="BO831" s="5" t="n">
        <v>0</v>
      </c>
      <c r="BP831" s="5" t="n">
        <v>-0.007</v>
      </c>
      <c r="BQ831" s="5" t="n">
        <v>0</v>
      </c>
      <c r="BR831" s="5" t="n">
        <v>0</v>
      </c>
      <c r="BS831" s="5" t="n">
        <v>1</v>
      </c>
      <c r="BT831" s="5" t="n">
        <v>0</v>
      </c>
      <c r="BU831" s="5" t="n">
        <v>-0.035</v>
      </c>
      <c r="BV831" s="5" t="n">
        <v>0.049</v>
      </c>
      <c r="BW831" s="5" t="n">
        <v>0</v>
      </c>
      <c r="BX831" s="5" t="n">
        <v>1</v>
      </c>
      <c r="BY831" s="5" t="n">
        <v>12.729</v>
      </c>
      <c r="BZ831" s="5" t="n">
        <v>0</v>
      </c>
      <c r="CA831" s="5" t="n">
        <v>12.729</v>
      </c>
      <c r="CB831" s="5" t="n">
        <v>0</v>
      </c>
      <c r="CC831" s="5" t="n">
        <v>97.90000000000001</v>
      </c>
      <c r="CD831" s="5" t="n">
        <v>7.95</v>
      </c>
      <c r="CE831" s="5" t="n">
        <v>2.647</v>
      </c>
      <c r="CF831" s="5" t="n">
        <v>118.897</v>
      </c>
      <c r="CG831" s="5" t="n">
        <v>0.2</v>
      </c>
      <c r="CH831" s="5" t="n">
        <v>1</v>
      </c>
      <c r="CI831" s="5" t="n">
        <v>0</v>
      </c>
      <c r="CJ831" s="5" t="n">
        <v>0</v>
      </c>
      <c r="CK831" s="5" t="n">
        <v>0</v>
      </c>
      <c r="CL831" s="5" t="n">
        <v>0.195</v>
      </c>
      <c r="CM831" s="5" t="n">
        <v>0</v>
      </c>
      <c r="CN831" s="5" t="n">
        <v>0</v>
      </c>
      <c r="CO831" s="5" t="n">
        <v>0</v>
      </c>
      <c r="CP831" s="5" t="n">
        <v>0.675</v>
      </c>
      <c r="CQ831" s="5" t="n">
        <v>1.294</v>
      </c>
      <c r="CR831" s="5" t="n">
        <v>0.83</v>
      </c>
      <c r="CS831" s="5" t="n">
        <v>5.209</v>
      </c>
      <c r="CT831" s="5" t="n">
        <v>5.842</v>
      </c>
      <c r="CU831" s="5" t="n">
        <v>31.326</v>
      </c>
    </row>
    <row r="832">
      <c r="A832" s="5" t="inlineStr">
        <is>
          <t>UKR2023</t>
        </is>
      </c>
      <c r="B832" s="5" t="inlineStr">
        <is>
          <t>UKR</t>
        </is>
      </c>
      <c r="C832" s="5" t="inlineStr">
        <is>
          <t>UKR</t>
        </is>
      </c>
      <c r="D832" s="5" t="inlineStr">
        <is>
          <t>Ukraine</t>
        </is>
      </c>
      <c r="E832" s="5" t="n">
        <v>2023</v>
      </c>
      <c r="F832" s="5" t="n">
        <v>0.2</v>
      </c>
      <c r="G832" s="5" t="n">
        <v>2.767</v>
      </c>
      <c r="H832" s="5" t="n">
        <v>0.824</v>
      </c>
      <c r="I832" s="5" t="n">
        <v>0.07099999999999999</v>
      </c>
      <c r="J832" s="5" t="n">
        <v>2.838</v>
      </c>
      <c r="K832" s="5" t="n">
        <v>0</v>
      </c>
      <c r="L832" s="5" t="n">
        <v>1</v>
      </c>
      <c r="M832" s="5" t="n">
        <v>4.572</v>
      </c>
      <c r="N832" s="5" t="n">
        <v>2.471</v>
      </c>
      <c r="O832" s="5" t="n">
        <v>0.073</v>
      </c>
      <c r="P832" s="5" t="n">
        <v>4.645</v>
      </c>
      <c r="Q832" s="5" t="n">
        <v>0</v>
      </c>
      <c r="R832" s="5" t="n">
        <v>1</v>
      </c>
      <c r="S832" s="5" t="n">
        <v>6.885</v>
      </c>
      <c r="T832" s="5" t="n">
        <v>4.941</v>
      </c>
      <c r="U832" s="5" t="n">
        <v>-0.196</v>
      </c>
      <c r="V832" s="5" t="n">
        <v>7.852</v>
      </c>
      <c r="W832" s="5" t="n">
        <v>0.2</v>
      </c>
      <c r="X832" s="5" t="n">
        <v>1</v>
      </c>
      <c r="Y832" s="5" t="n">
        <v>5.899</v>
      </c>
      <c r="Z832" s="5" t="n">
        <v>0.587</v>
      </c>
      <c r="AA832" s="5" t="n">
        <v>2.113</v>
      </c>
      <c r="AB832" s="5" t="n">
        <v>8.012</v>
      </c>
      <c r="AC832" s="5" t="n">
        <v>0</v>
      </c>
      <c r="AD832" s="5" t="n">
        <v>1</v>
      </c>
      <c r="AE832" s="5" t="n">
        <v>6.679</v>
      </c>
      <c r="AF832" s="5" t="n">
        <v>1.189</v>
      </c>
      <c r="AG832" s="5" t="n">
        <v>1.127</v>
      </c>
      <c r="AH832" s="5" t="n">
        <v>7.807</v>
      </c>
      <c r="AI832" s="5" t="n">
        <v>0</v>
      </c>
      <c r="AJ832" s="5" t="n">
        <v>1</v>
      </c>
      <c r="AK832" s="5" t="n">
        <v>11.364</v>
      </c>
      <c r="AL832" s="5" t="n">
        <v>5.08</v>
      </c>
      <c r="AM832" s="5" t="n">
        <v>-5.279</v>
      </c>
      <c r="AN832" s="5" t="n">
        <v>7.302</v>
      </c>
      <c r="AO832" s="5" t="n">
        <v>0</v>
      </c>
      <c r="AP832" s="5" t="n">
        <v>0</v>
      </c>
      <c r="AQ832" s="5" t="n">
        <v>0.76</v>
      </c>
      <c r="AR832" s="5" t="n">
        <v>0.129</v>
      </c>
      <c r="AS832" s="5" t="n">
        <v>0.391</v>
      </c>
      <c r="AT832" s="5" t="n">
        <v>1.381</v>
      </c>
      <c r="AU832" s="5" t="n">
        <v>0.2</v>
      </c>
      <c r="AV832" s="5" t="n">
        <v>1</v>
      </c>
      <c r="AW832" s="5" t="n">
        <v>0.8110000000000001</v>
      </c>
      <c r="AX832" s="5" t="n">
        <v>0.129</v>
      </c>
      <c r="AY832" s="5" t="n">
        <v>0.348</v>
      </c>
      <c r="AZ832" s="5" t="n">
        <v>1.392</v>
      </c>
      <c r="BA832" s="5" t="n">
        <v>0.2</v>
      </c>
      <c r="BB832" s="5" t="n">
        <v>1</v>
      </c>
      <c r="BC832" s="5" t="n">
        <v>0.535</v>
      </c>
      <c r="BD832" s="5" t="n">
        <v>0.129</v>
      </c>
      <c r="BE832" s="5" t="n">
        <v>0.05</v>
      </c>
      <c r="BF832" s="5" t="n">
        <v>0.701</v>
      </c>
      <c r="BG832" s="5" t="n">
        <v>0.2</v>
      </c>
      <c r="BH832" s="5" t="n">
        <v>1</v>
      </c>
      <c r="BI832" s="5" t="n">
        <v>0.579</v>
      </c>
      <c r="BJ832" s="5" t="n">
        <v>0.129</v>
      </c>
      <c r="BK832" s="5" t="n">
        <v>0.013</v>
      </c>
      <c r="BL832" s="5" t="n">
        <v>0.695</v>
      </c>
      <c r="BM832" s="5" t="n">
        <v>0.2</v>
      </c>
      <c r="BN832" s="5" t="n">
        <v>1</v>
      </c>
      <c r="BO832" s="5" t="n">
        <v>0</v>
      </c>
      <c r="BP832" s="5" t="n">
        <v>-0.007</v>
      </c>
      <c r="BQ832" s="5" t="n">
        <v>0</v>
      </c>
      <c r="BR832" s="5" t="n">
        <v>0</v>
      </c>
      <c r="BS832" s="5" t="n">
        <v>1</v>
      </c>
      <c r="BT832" s="5" t="n">
        <v>0</v>
      </c>
      <c r="BU832" s="5" t="n">
        <v>-0.035</v>
      </c>
      <c r="BV832" s="5" t="n">
        <v>0.065</v>
      </c>
      <c r="BW832" s="5" t="n">
        <v>0</v>
      </c>
      <c r="BX832" s="5" t="n">
        <v>1</v>
      </c>
      <c r="BY832" s="5" t="n">
        <v>13.254</v>
      </c>
      <c r="BZ832" s="5" t="n">
        <v>0</v>
      </c>
      <c r="CA832" s="5" t="n">
        <v>13.254</v>
      </c>
      <c r="CB832" s="5" t="n">
        <v>0</v>
      </c>
      <c r="CC832" s="5" t="n">
        <v>83.248</v>
      </c>
      <c r="CD832" s="5" t="n">
        <v>7.95</v>
      </c>
      <c r="CE832" s="5" t="n">
        <v>2.897</v>
      </c>
      <c r="CF832" s="5" t="n">
        <v>101.135</v>
      </c>
      <c r="CG832" s="5" t="n">
        <v>0.2</v>
      </c>
      <c r="CH832" s="5" t="n">
        <v>1</v>
      </c>
      <c r="CI832" s="5" t="n">
        <v>0</v>
      </c>
      <c r="CJ832" s="5" t="n">
        <v>0</v>
      </c>
      <c r="CK832" s="5" t="n">
        <v>0</v>
      </c>
      <c r="CL832" s="5" t="n">
        <v>0.203</v>
      </c>
      <c r="CM832" s="5" t="n">
        <v>0</v>
      </c>
      <c r="CN832" s="5" t="n">
        <v>0</v>
      </c>
      <c r="CO832" s="5" t="n">
        <v>0</v>
      </c>
      <c r="CP832" s="5" t="n">
        <v>0.719</v>
      </c>
      <c r="CQ832" s="5" t="n">
        <v>1.348</v>
      </c>
      <c r="CR832" s="5" t="n">
        <v>0.786</v>
      </c>
      <c r="CS832" s="5" t="n">
        <v>5.424</v>
      </c>
      <c r="CT832" s="5" t="n">
        <v>3.466</v>
      </c>
      <c r="CU832" s="5" t="n">
        <v>11.622</v>
      </c>
    </row>
    <row r="833">
      <c r="A833" s="5" t="inlineStr">
        <is>
          <t>UKR2024</t>
        </is>
      </c>
      <c r="B833" s="5" t="inlineStr">
        <is>
          <t>UKR</t>
        </is>
      </c>
      <c r="C833" s="5" t="inlineStr">
        <is>
          <t>UKR</t>
        </is>
      </c>
      <c r="D833" s="5" t="inlineStr">
        <is>
          <t>Ukraine</t>
        </is>
      </c>
      <c r="E833" s="5" t="n">
        <v>2024</v>
      </c>
      <c r="F833" s="5" t="n">
        <v>0.2</v>
      </c>
      <c r="G833" s="5" t="n">
        <v>2.696</v>
      </c>
      <c r="H833" s="5" t="n">
        <v>0.848</v>
      </c>
      <c r="I833" s="5" t="n">
        <v>0.06900000000000001</v>
      </c>
      <c r="J833" s="5" t="n">
        <v>2.765</v>
      </c>
      <c r="K833" s="5" t="n">
        <v>0</v>
      </c>
      <c r="L833" s="5" t="n">
        <v>1</v>
      </c>
      <c r="M833" s="5" t="n">
        <v>4.427</v>
      </c>
      <c r="N833" s="5" t="n">
        <v>2.544</v>
      </c>
      <c r="O833" s="5" t="n">
        <v>0.07000000000000001</v>
      </c>
      <c r="P833" s="5" t="n">
        <v>4.497</v>
      </c>
      <c r="Q833" s="5" t="n">
        <v>0</v>
      </c>
      <c r="R833" s="5" t="n">
        <v>1</v>
      </c>
      <c r="S833" s="5" t="n">
        <v>6.936</v>
      </c>
      <c r="T833" s="5" t="n">
        <v>5.087</v>
      </c>
      <c r="U833" s="5" t="n">
        <v>-0.165</v>
      </c>
      <c r="V833" s="5" t="n">
        <v>7.909</v>
      </c>
      <c r="W833" s="5" t="n">
        <v>0.2</v>
      </c>
      <c r="X833" s="5" t="n">
        <v>1</v>
      </c>
      <c r="Y833" s="5" t="n">
        <v>6.073</v>
      </c>
      <c r="Z833" s="5" t="n">
        <v>0.605</v>
      </c>
      <c r="AA833" s="5" t="n">
        <v>2.175</v>
      </c>
      <c r="AB833" s="5" t="n">
        <v>8.247999999999999</v>
      </c>
      <c r="AC833" s="5" t="n">
        <v>0</v>
      </c>
      <c r="AD833" s="5" t="n">
        <v>1</v>
      </c>
      <c r="AE833" s="5" t="n">
        <v>6.877</v>
      </c>
      <c r="AF833" s="5" t="n">
        <v>1.224</v>
      </c>
      <c r="AG833" s="5" t="n">
        <v>0.39</v>
      </c>
      <c r="AH833" s="5" t="n">
        <v>7.267</v>
      </c>
      <c r="AI833" s="5" t="n">
        <v>0</v>
      </c>
      <c r="AJ833" s="5" t="n">
        <v>1</v>
      </c>
      <c r="AK833" s="5" t="n">
        <v>11.699</v>
      </c>
      <c r="AL833" s="5" t="n">
        <v>5.23</v>
      </c>
      <c r="AM833" s="5" t="n">
        <v>-5.694</v>
      </c>
      <c r="AN833" s="5" t="n">
        <v>7.206</v>
      </c>
      <c r="AO833" s="5" t="n">
        <v>0</v>
      </c>
      <c r="AP833" s="5" t="n">
        <v>0</v>
      </c>
      <c r="AQ833" s="5" t="n">
        <v>0.724</v>
      </c>
      <c r="AR833" s="5" t="n">
        <v>0.132</v>
      </c>
      <c r="AS833" s="5" t="n">
        <v>0.465</v>
      </c>
      <c r="AT833" s="5" t="n">
        <v>1.427</v>
      </c>
      <c r="AU833" s="5" t="n">
        <v>0.2</v>
      </c>
      <c r="AV833" s="5" t="n">
        <v>1</v>
      </c>
      <c r="AW833" s="5" t="n">
        <v>0.75</v>
      </c>
      <c r="AX833" s="5" t="n">
        <v>0.132</v>
      </c>
      <c r="AY833" s="5" t="n">
        <v>0.4</v>
      </c>
      <c r="AZ833" s="5" t="n">
        <v>1.38</v>
      </c>
      <c r="BA833" s="5" t="n">
        <v>0.2</v>
      </c>
      <c r="BB833" s="5" t="n">
        <v>1</v>
      </c>
      <c r="BC833" s="5" t="n">
        <v>0.513</v>
      </c>
      <c r="BD833" s="5" t="n">
        <v>0.132</v>
      </c>
      <c r="BE833" s="5" t="n">
        <v>0.12</v>
      </c>
      <c r="BF833" s="5" t="n">
        <v>0.76</v>
      </c>
      <c r="BG833" s="5" t="n">
        <v>0.2</v>
      </c>
      <c r="BH833" s="5" t="n">
        <v>1</v>
      </c>
      <c r="BI833" s="5" t="n">
        <v>0.591</v>
      </c>
      <c r="BJ833" s="5" t="n">
        <v>0.132</v>
      </c>
      <c r="BK833" s="5" t="n">
        <v>0.016</v>
      </c>
      <c r="BL833" s="5" t="n">
        <v>0.71</v>
      </c>
      <c r="BM833" s="5" t="n">
        <v>0.2</v>
      </c>
      <c r="BN833" s="5" t="n">
        <v>1</v>
      </c>
      <c r="BO833" s="5" t="n">
        <v>0</v>
      </c>
      <c r="BP833" s="5" t="n">
        <v>-0.008</v>
      </c>
      <c r="BQ833" s="5" t="n">
        <v>0</v>
      </c>
      <c r="BR833" s="5" t="n">
        <v>0</v>
      </c>
      <c r="BS833" s="5" t="n">
        <v>1</v>
      </c>
      <c r="BT833" s="5" t="n">
        <v>0</v>
      </c>
      <c r="BU833" s="5" t="n">
        <v>-0.051</v>
      </c>
      <c r="BV833" s="5" t="n">
        <v>0.089</v>
      </c>
      <c r="BW833" s="5" t="n">
        <v>0</v>
      </c>
      <c r="BX833" s="5" t="n">
        <v>1</v>
      </c>
      <c r="BY833" s="5" t="n">
        <v>13.646</v>
      </c>
      <c r="BZ833" s="5" t="n">
        <v>0</v>
      </c>
      <c r="CA833" s="5" t="n">
        <v>13.646</v>
      </c>
      <c r="CB833" s="5" t="n">
        <v>0</v>
      </c>
      <c r="CC833" s="5" t="n">
        <v>82.58799999999999</v>
      </c>
      <c r="CD833" s="5" t="n">
        <v>7.95</v>
      </c>
      <c r="CE833" s="5" t="n">
        <v>3.29</v>
      </c>
      <c r="CF833" s="5" t="n">
        <v>100.32</v>
      </c>
      <c r="CG833" s="5" t="n">
        <v>0.2</v>
      </c>
      <c r="CH833" s="5" t="n">
        <v>1</v>
      </c>
      <c r="CI833" s="5" t="n">
        <v>0</v>
      </c>
      <c r="CJ833" s="5" t="n">
        <v>0</v>
      </c>
      <c r="CK833" s="5" t="n">
        <v>0</v>
      </c>
      <c r="CL833" s="5" t="n">
        <v>0.209</v>
      </c>
      <c r="CM833" s="5" t="n">
        <v>0</v>
      </c>
      <c r="CN833" s="5" t="n">
        <v>0</v>
      </c>
      <c r="CO833" s="5" t="n">
        <v>0</v>
      </c>
      <c r="CP833" s="5" t="n">
        <v>0.719</v>
      </c>
      <c r="CQ833" s="5" t="n">
        <v>1.387</v>
      </c>
      <c r="CR833" s="5" t="n">
        <v>0.786</v>
      </c>
      <c r="CS833" s="5" t="n">
        <v>5.584</v>
      </c>
      <c r="CT833" s="5" t="n">
        <v>3.027</v>
      </c>
      <c r="CU833" s="5" t="n">
        <v>10.168</v>
      </c>
    </row>
    <row r="834">
      <c r="A834" s="5" t="inlineStr">
        <is>
          <t>ARE2021</t>
        </is>
      </c>
      <c r="B834" s="5" t="inlineStr">
        <is>
          <t>ARE</t>
        </is>
      </c>
      <c r="C834" s="5" t="inlineStr">
        <is>
          <t>ARE</t>
        </is>
      </c>
      <c r="D834" s="5" t="inlineStr">
        <is>
          <t>United Arab Emirates</t>
        </is>
      </c>
      <c r="E834" s="5" t="n">
        <v>2021</v>
      </c>
      <c r="F834" s="5" t="n">
        <v>0.05</v>
      </c>
      <c r="G834" s="5" t="n">
        <v>5.897</v>
      </c>
      <c r="H834" s="5" t="n">
        <v>1.143</v>
      </c>
      <c r="I834" s="5" t="n">
        <v>0.238</v>
      </c>
      <c r="J834" s="5" t="n">
        <v>6.134</v>
      </c>
      <c r="K834" s="5" t="n">
        <v>0</v>
      </c>
      <c r="L834" s="5" t="n">
        <v>1</v>
      </c>
      <c r="M834" s="5" t="n">
        <v>7.964</v>
      </c>
      <c r="N834" s="5" t="n">
        <v>3.43</v>
      </c>
      <c r="O834" s="5" t="n">
        <v>0.227</v>
      </c>
      <c r="P834" s="5" t="n">
        <v>8.191000000000001</v>
      </c>
      <c r="Q834" s="5" t="n">
        <v>0</v>
      </c>
      <c r="R834" s="5" t="n">
        <v>1</v>
      </c>
      <c r="S834" s="5" t="n">
        <v>11.613</v>
      </c>
      <c r="T834" s="5" t="n">
        <v>6.86</v>
      </c>
      <c r="U834" s="5" t="n">
        <v>0.238</v>
      </c>
      <c r="V834" s="5" t="n">
        <v>12.444</v>
      </c>
      <c r="W834" s="5" t="n">
        <v>0.05</v>
      </c>
      <c r="X834" s="5" t="n">
        <v>1</v>
      </c>
      <c r="Y834" s="5" t="n">
        <v>6.345</v>
      </c>
      <c r="Z834" s="5" t="n">
        <v>0.718</v>
      </c>
      <c r="AA834" s="5" t="n">
        <v>-2.843</v>
      </c>
      <c r="AB834" s="5" t="n">
        <v>3.501</v>
      </c>
      <c r="AC834" s="5" t="n">
        <v>0</v>
      </c>
      <c r="AD834" s="5" t="n">
        <v>0</v>
      </c>
      <c r="AE834" s="5" t="n">
        <v>7.088</v>
      </c>
      <c r="AF834" s="5" t="n">
        <v>1.412</v>
      </c>
      <c r="AG834" s="5" t="n">
        <v>-4.125</v>
      </c>
      <c r="AH834" s="5" t="n">
        <v>2.963</v>
      </c>
      <c r="AI834" s="5" t="n">
        <v>0</v>
      </c>
      <c r="AJ834" s="5" t="n">
        <v>0</v>
      </c>
      <c r="AK834" s="5" t="n">
        <v>11.55</v>
      </c>
      <c r="AL834" s="5" t="n">
        <v>5.538</v>
      </c>
      <c r="AM834" s="5" t="n">
        <v>-4.43</v>
      </c>
      <c r="AN834" s="5" t="n">
        <v>7.12</v>
      </c>
      <c r="AO834" s="5" t="n">
        <v>0</v>
      </c>
      <c r="AP834" s="5" t="n">
        <v>0</v>
      </c>
      <c r="AQ834" s="5" t="n">
        <v>0.621</v>
      </c>
      <c r="AR834" s="5" t="n">
        <v>0.114</v>
      </c>
      <c r="AS834" s="5" t="n">
        <v>-0.029</v>
      </c>
      <c r="AT834" s="5" t="n">
        <v>0.621</v>
      </c>
      <c r="AU834" s="5" t="n">
        <v>0.05</v>
      </c>
      <c r="AV834" s="5" t="n">
        <v>1</v>
      </c>
      <c r="AW834" s="5" t="n">
        <v>0.593</v>
      </c>
      <c r="AX834" s="5" t="n">
        <v>0.114</v>
      </c>
      <c r="AY834" s="5" t="n">
        <v>0.018</v>
      </c>
      <c r="AZ834" s="5" t="n">
        <v>0.642</v>
      </c>
      <c r="BA834" s="5" t="n">
        <v>0.05</v>
      </c>
      <c r="BB834" s="5" t="n">
        <v>1</v>
      </c>
      <c r="BC834" s="5" t="n">
        <v>0.44</v>
      </c>
      <c r="BD834" s="5" t="n">
        <v>0.114</v>
      </c>
      <c r="BE834" s="5" t="n">
        <v>0</v>
      </c>
      <c r="BF834" s="5" t="n">
        <v>0.462</v>
      </c>
      <c r="BG834" s="5" t="n">
        <v>0.05</v>
      </c>
      <c r="BH834" s="5" t="n">
        <v>1</v>
      </c>
      <c r="BI834" s="5" t="n">
        <v>0.5600000000000001</v>
      </c>
      <c r="BJ834" s="5" t="n">
        <v>0.114</v>
      </c>
      <c r="BK834" s="5" t="n">
        <v>0</v>
      </c>
      <c r="BL834" s="5" t="n">
        <v>0.588</v>
      </c>
      <c r="BM834" s="5" t="n">
        <v>0.05</v>
      </c>
      <c r="BN834" s="5" t="n">
        <v>1</v>
      </c>
      <c r="BO834" s="5" t="n">
        <v>0</v>
      </c>
      <c r="BP834" s="5" t="n">
        <v>-0.017</v>
      </c>
      <c r="BQ834" s="5" t="n">
        <v>0.063</v>
      </c>
      <c r="BR834" s="5" t="n">
        <v>0</v>
      </c>
      <c r="BS834" s="5" t="n">
        <v>0.333</v>
      </c>
      <c r="BT834" s="5" t="n">
        <v>0</v>
      </c>
      <c r="BU834" s="5" t="n">
        <v>-0.017</v>
      </c>
      <c r="BV834" s="5" t="n">
        <v>0.063</v>
      </c>
      <c r="BW834" s="5" t="n">
        <v>0</v>
      </c>
      <c r="BX834" s="5" t="n">
        <v>0.167</v>
      </c>
      <c r="BY834" s="5" t="n">
        <v>11.787</v>
      </c>
      <c r="BZ834" s="5" t="n">
        <v>0</v>
      </c>
      <c r="CA834" s="5" t="n">
        <v>11.787</v>
      </c>
      <c r="CB834" s="5" t="n">
        <v>0</v>
      </c>
      <c r="CC834" s="5" t="n">
        <v>81.69499999999999</v>
      </c>
      <c r="CD834" s="5" t="n">
        <v>7.95</v>
      </c>
      <c r="CE834" s="5" t="n">
        <v>0</v>
      </c>
      <c r="CF834" s="5" t="n">
        <v>85.78</v>
      </c>
      <c r="CG834" s="5" t="n">
        <v>0.05</v>
      </c>
      <c r="CH834" s="5" t="n">
        <v>1</v>
      </c>
      <c r="CI834" s="5" t="n">
        <v>0</v>
      </c>
      <c r="CJ834" s="5" t="n">
        <v>0</v>
      </c>
      <c r="CK834" s="5" t="n">
        <v>0</v>
      </c>
      <c r="CL834" s="5" t="n">
        <v>0</v>
      </c>
      <c r="CM834" s="5" t="n">
        <v>0</v>
      </c>
      <c r="CN834" s="5" t="n">
        <v>0</v>
      </c>
      <c r="CO834" s="5" t="n">
        <v>0</v>
      </c>
      <c r="CP834" s="5" t="n">
        <v>0</v>
      </c>
      <c r="CQ834" s="5" t="n">
        <v>1.198</v>
      </c>
      <c r="CR834" s="5" t="n">
        <v>0.699</v>
      </c>
      <c r="CS834" s="5" t="n">
        <v>3.639</v>
      </c>
      <c r="CT834" s="5" t="n">
        <v>4.753</v>
      </c>
      <c r="CU834" s="5" t="n">
        <v>14.162</v>
      </c>
    </row>
    <row r="835">
      <c r="A835" s="5" t="inlineStr">
        <is>
          <t>ARE2022</t>
        </is>
      </c>
      <c r="B835" s="5" t="inlineStr">
        <is>
          <t>ARE</t>
        </is>
      </c>
      <c r="C835" s="5" t="inlineStr">
        <is>
          <t>ARE</t>
        </is>
      </c>
      <c r="D835" s="5" t="inlineStr">
        <is>
          <t>United Arab Emirates</t>
        </is>
      </c>
      <c r="E835" s="5" t="n">
        <v>2022</v>
      </c>
      <c r="F835" s="5" t="n">
        <v>0.05</v>
      </c>
      <c r="G835" s="5" t="n">
        <v>11.72</v>
      </c>
      <c r="H835" s="5" t="n">
        <v>1.235</v>
      </c>
      <c r="I835" s="5" t="n">
        <v>0.5659999999999999</v>
      </c>
      <c r="J835" s="5" t="n">
        <v>12.286</v>
      </c>
      <c r="K835" s="5" t="n">
        <v>0</v>
      </c>
      <c r="L835" s="5" t="n">
        <v>1</v>
      </c>
      <c r="M835" s="5" t="n">
        <v>9.782999999999999</v>
      </c>
      <c r="N835" s="5" t="n">
        <v>3.704</v>
      </c>
      <c r="O835" s="5" t="n">
        <v>0.328</v>
      </c>
      <c r="P835" s="5" t="n">
        <v>10.111</v>
      </c>
      <c r="Q835" s="5" t="n">
        <v>0</v>
      </c>
      <c r="R835" s="5" t="n">
        <v>1</v>
      </c>
      <c r="S835" s="5" t="n">
        <v>17.893</v>
      </c>
      <c r="T835" s="5" t="n">
        <v>7.408</v>
      </c>
      <c r="U835" s="5" t="n">
        <v>0.634</v>
      </c>
      <c r="V835" s="5" t="n">
        <v>19.382</v>
      </c>
      <c r="W835" s="5" t="n">
        <v>0.05</v>
      </c>
      <c r="X835" s="5" t="n">
        <v>1</v>
      </c>
      <c r="Y835" s="5" t="n">
        <v>6.025</v>
      </c>
      <c r="Z835" s="5" t="n">
        <v>0.6820000000000001</v>
      </c>
      <c r="AA835" s="5" t="n">
        <v>-3.071</v>
      </c>
      <c r="AB835" s="5" t="n">
        <v>2.955</v>
      </c>
      <c r="AC835" s="5" t="n">
        <v>0</v>
      </c>
      <c r="AD835" s="5" t="n">
        <v>0</v>
      </c>
      <c r="AE835" s="5" t="n">
        <v>6.824</v>
      </c>
      <c r="AF835" s="5" t="n">
        <v>1.36</v>
      </c>
      <c r="AG835" s="5" t="n">
        <v>-4.455</v>
      </c>
      <c r="AH835" s="5" t="n">
        <v>2.37</v>
      </c>
      <c r="AI835" s="5" t="n">
        <v>0</v>
      </c>
      <c r="AJ835" s="5" t="n">
        <v>0</v>
      </c>
      <c r="AK835" s="5" t="n">
        <v>11.618</v>
      </c>
      <c r="AL835" s="5" t="n">
        <v>5.571</v>
      </c>
      <c r="AM835" s="5" t="n">
        <v>-4.575</v>
      </c>
      <c r="AN835" s="5" t="n">
        <v>7.043</v>
      </c>
      <c r="AO835" s="5" t="n">
        <v>0</v>
      </c>
      <c r="AP835" s="5" t="n">
        <v>0</v>
      </c>
      <c r="AQ835" s="5" t="n">
        <v>0.847</v>
      </c>
      <c r="AR835" s="5" t="n">
        <v>0.123</v>
      </c>
      <c r="AS835" s="5" t="n">
        <v>0.037</v>
      </c>
      <c r="AT835" s="5" t="n">
        <v>0.927</v>
      </c>
      <c r="AU835" s="5" t="n">
        <v>0.05</v>
      </c>
      <c r="AV835" s="5" t="n">
        <v>1</v>
      </c>
      <c r="AW835" s="5" t="n">
        <v>0.947</v>
      </c>
      <c r="AX835" s="5" t="n">
        <v>0.123</v>
      </c>
      <c r="AY835" s="5" t="n">
        <v>0.031</v>
      </c>
      <c r="AZ835" s="5" t="n">
        <v>1.027</v>
      </c>
      <c r="BA835" s="5" t="n">
        <v>0.05</v>
      </c>
      <c r="BB835" s="5" t="n">
        <v>1</v>
      </c>
      <c r="BC835" s="5" t="n">
        <v>0.589</v>
      </c>
      <c r="BD835" s="5" t="n">
        <v>0.123</v>
      </c>
      <c r="BE835" s="5" t="n">
        <v>0.002</v>
      </c>
      <c r="BF835" s="5" t="n">
        <v>0.618</v>
      </c>
      <c r="BG835" s="5" t="n">
        <v>0.05</v>
      </c>
      <c r="BH835" s="5" t="n">
        <v>1</v>
      </c>
      <c r="BI835" s="5" t="n">
        <v>0.6889999999999999</v>
      </c>
      <c r="BJ835" s="5" t="n">
        <v>0.123</v>
      </c>
      <c r="BK835" s="5" t="n">
        <v>0.003</v>
      </c>
      <c r="BL835" s="5" t="n">
        <v>0.723</v>
      </c>
      <c r="BM835" s="5" t="n">
        <v>0.05</v>
      </c>
      <c r="BN835" s="5" t="n">
        <v>1</v>
      </c>
      <c r="BO835" s="5" t="n">
        <v>0</v>
      </c>
      <c r="BP835" s="5" t="n">
        <v>-0.017</v>
      </c>
      <c r="BQ835" s="5" t="n">
        <v>0.063</v>
      </c>
      <c r="BR835" s="5" t="n">
        <v>0</v>
      </c>
      <c r="BS835" s="5" t="n">
        <v>0.333</v>
      </c>
      <c r="BT835" s="5" t="n">
        <v>0</v>
      </c>
      <c r="BU835" s="5" t="n">
        <v>-0.017</v>
      </c>
      <c r="BV835" s="5" t="n">
        <v>0.063</v>
      </c>
      <c r="BW835" s="5" t="n">
        <v>0</v>
      </c>
      <c r="BX835" s="5" t="n">
        <v>0.167</v>
      </c>
      <c r="BY835" s="5" t="n">
        <v>12.729</v>
      </c>
      <c r="BZ835" s="5" t="n">
        <v>0</v>
      </c>
      <c r="CA835" s="5" t="n">
        <v>12.729</v>
      </c>
      <c r="CB835" s="5" t="n">
        <v>0</v>
      </c>
      <c r="CC835" s="5" t="n">
        <v>102.477</v>
      </c>
      <c r="CD835" s="5" t="n">
        <v>7.95</v>
      </c>
      <c r="CE835" s="5" t="n">
        <v>0.379</v>
      </c>
      <c r="CF835" s="5" t="n">
        <v>107.6</v>
      </c>
      <c r="CG835" s="5" t="n">
        <v>0.05</v>
      </c>
      <c r="CH835" s="5" t="n">
        <v>1</v>
      </c>
      <c r="CI835" s="5" t="n">
        <v>0</v>
      </c>
      <c r="CJ835" s="5" t="n">
        <v>0</v>
      </c>
      <c r="CK835" s="5" t="n">
        <v>0</v>
      </c>
      <c r="CL835" s="5" t="n">
        <v>0</v>
      </c>
      <c r="CM835" s="5" t="n">
        <v>0</v>
      </c>
      <c r="CN835" s="5" t="n">
        <v>0</v>
      </c>
      <c r="CO835" s="5" t="n">
        <v>0</v>
      </c>
      <c r="CP835" s="5" t="n">
        <v>0</v>
      </c>
      <c r="CQ835" s="5" t="n">
        <v>1.294</v>
      </c>
      <c r="CR835" s="5" t="n">
        <v>0.706</v>
      </c>
      <c r="CS835" s="5" t="n">
        <v>3.93</v>
      </c>
      <c r="CT835" s="5" t="n">
        <v>10.485</v>
      </c>
      <c r="CU835" s="5" t="n">
        <v>30.326</v>
      </c>
    </row>
    <row r="836">
      <c r="A836" s="5" t="inlineStr">
        <is>
          <t>ARE2023</t>
        </is>
      </c>
      <c r="B836" s="5" t="inlineStr">
        <is>
          <t>ARE</t>
        </is>
      </c>
      <c r="C836" s="5" t="inlineStr">
        <is>
          <t>ARE</t>
        </is>
      </c>
      <c r="D836" s="5" t="inlineStr">
        <is>
          <t>United Arab Emirates</t>
        </is>
      </c>
      <c r="E836" s="5" t="n">
        <v>2023</v>
      </c>
      <c r="F836" s="5" t="n">
        <v>0.05</v>
      </c>
      <c r="G836" s="5" t="n">
        <v>6.147</v>
      </c>
      <c r="H836" s="5" t="n">
        <v>1.286</v>
      </c>
      <c r="I836" s="5" t="n">
        <v>0.273</v>
      </c>
      <c r="J836" s="5" t="n">
        <v>6.42</v>
      </c>
      <c r="K836" s="5" t="n">
        <v>0</v>
      </c>
      <c r="L836" s="5" t="n">
        <v>1</v>
      </c>
      <c r="M836" s="5" t="n">
        <v>7.886</v>
      </c>
      <c r="N836" s="5" t="n">
        <v>3.857</v>
      </c>
      <c r="O836" s="5" t="n">
        <v>0.227</v>
      </c>
      <c r="P836" s="5" t="n">
        <v>8.113</v>
      </c>
      <c r="Q836" s="5" t="n">
        <v>0</v>
      </c>
      <c r="R836" s="5" t="n">
        <v>1</v>
      </c>
      <c r="S836" s="5" t="n">
        <v>12.575</v>
      </c>
      <c r="T836" s="5" t="n">
        <v>7.714</v>
      </c>
      <c r="U836" s="5" t="n">
        <v>0.344</v>
      </c>
      <c r="V836" s="5" t="n">
        <v>13.491</v>
      </c>
      <c r="W836" s="5" t="n">
        <v>0.05</v>
      </c>
      <c r="X836" s="5" t="n">
        <v>1</v>
      </c>
      <c r="Y836" s="5" t="n">
        <v>6.143</v>
      </c>
      <c r="Z836" s="5" t="n">
        <v>0.695</v>
      </c>
      <c r="AA836" s="5" t="n">
        <v>-2.785</v>
      </c>
      <c r="AB836" s="5" t="n">
        <v>3.358</v>
      </c>
      <c r="AC836" s="5" t="n">
        <v>0</v>
      </c>
      <c r="AD836" s="5" t="n">
        <v>0</v>
      </c>
      <c r="AE836" s="5" t="n">
        <v>6.975</v>
      </c>
      <c r="AF836" s="5" t="n">
        <v>1.39</v>
      </c>
      <c r="AG836" s="5" t="n">
        <v>-4.226</v>
      </c>
      <c r="AH836" s="5" t="n">
        <v>2.749</v>
      </c>
      <c r="AI836" s="5" t="n">
        <v>0</v>
      </c>
      <c r="AJ836" s="5" t="n">
        <v>0</v>
      </c>
      <c r="AK836" s="5" t="n">
        <v>11.962</v>
      </c>
      <c r="AL836" s="5" t="n">
        <v>5.736</v>
      </c>
      <c r="AM836" s="5" t="n">
        <v>-5.097</v>
      </c>
      <c r="AN836" s="5" t="n">
        <v>6.865</v>
      </c>
      <c r="AO836" s="5" t="n">
        <v>0</v>
      </c>
      <c r="AP836" s="5" t="n">
        <v>0</v>
      </c>
      <c r="AQ836" s="5" t="n">
        <v>0.749</v>
      </c>
      <c r="AR836" s="5" t="n">
        <v>0.129</v>
      </c>
      <c r="AS836" s="5" t="n">
        <v>0.022</v>
      </c>
      <c r="AT836" s="5" t="n">
        <v>0.8090000000000001</v>
      </c>
      <c r="AU836" s="5" t="n">
        <v>0.05</v>
      </c>
      <c r="AV836" s="5" t="n">
        <v>1</v>
      </c>
      <c r="AW836" s="5" t="n">
        <v>0.783</v>
      </c>
      <c r="AX836" s="5" t="n">
        <v>0.129</v>
      </c>
      <c r="AY836" s="5" t="n">
        <v>0.031</v>
      </c>
      <c r="AZ836" s="5" t="n">
        <v>0.854</v>
      </c>
      <c r="BA836" s="5" t="n">
        <v>0.05</v>
      </c>
      <c r="BB836" s="5" t="n">
        <v>1</v>
      </c>
      <c r="BC836" s="5" t="n">
        <v>0.527</v>
      </c>
      <c r="BD836" s="5" t="n">
        <v>0.129</v>
      </c>
      <c r="BE836" s="5" t="n">
        <v>0.003</v>
      </c>
      <c r="BF836" s="5" t="n">
        <v>0.554</v>
      </c>
      <c r="BG836" s="5" t="n">
        <v>0.05</v>
      </c>
      <c r="BH836" s="5" t="n">
        <v>1</v>
      </c>
      <c r="BI836" s="5" t="n">
        <v>0.64</v>
      </c>
      <c r="BJ836" s="5" t="n">
        <v>0.129</v>
      </c>
      <c r="BK836" s="5" t="n">
        <v>0.004</v>
      </c>
      <c r="BL836" s="5" t="n">
        <v>0.672</v>
      </c>
      <c r="BM836" s="5" t="n">
        <v>0.05</v>
      </c>
      <c r="BN836" s="5" t="n">
        <v>1</v>
      </c>
      <c r="BO836" s="5" t="n">
        <v>0</v>
      </c>
      <c r="BP836" s="5" t="n">
        <v>-0.017</v>
      </c>
      <c r="BQ836" s="5" t="n">
        <v>0.063</v>
      </c>
      <c r="BR836" s="5" t="n">
        <v>0</v>
      </c>
      <c r="BS836" s="5" t="n">
        <v>0.333</v>
      </c>
      <c r="BT836" s="5" t="n">
        <v>0</v>
      </c>
      <c r="BU836" s="5" t="n">
        <v>-0.017</v>
      </c>
      <c r="BV836" s="5" t="n">
        <v>0.063</v>
      </c>
      <c r="BW836" s="5" t="n">
        <v>0</v>
      </c>
      <c r="BX836" s="5" t="n">
        <v>0.167</v>
      </c>
      <c r="BY836" s="5" t="n">
        <v>13.254</v>
      </c>
      <c r="BZ836" s="5" t="n">
        <v>0</v>
      </c>
      <c r="CA836" s="5" t="n">
        <v>13.254</v>
      </c>
      <c r="CB836" s="5" t="n">
        <v>0</v>
      </c>
      <c r="CC836" s="5" t="n">
        <v>87.07899999999999</v>
      </c>
      <c r="CD836" s="5" t="n">
        <v>7.95</v>
      </c>
      <c r="CE836" s="5" t="n">
        <v>0.482</v>
      </c>
      <c r="CF836" s="5" t="n">
        <v>91.43300000000001</v>
      </c>
      <c r="CG836" s="5" t="n">
        <v>0.05</v>
      </c>
      <c r="CH836" s="5" t="n">
        <v>1</v>
      </c>
      <c r="CI836" s="5" t="n">
        <v>0</v>
      </c>
      <c r="CJ836" s="5" t="n">
        <v>0</v>
      </c>
      <c r="CK836" s="5" t="n">
        <v>0</v>
      </c>
      <c r="CL836" s="5" t="n">
        <v>0</v>
      </c>
      <c r="CM836" s="5" t="n">
        <v>0</v>
      </c>
      <c r="CN836" s="5" t="n">
        <v>0</v>
      </c>
      <c r="CO836" s="5" t="n">
        <v>0</v>
      </c>
      <c r="CP836" s="5" t="n">
        <v>0</v>
      </c>
      <c r="CQ836" s="5" t="n">
        <v>1.348</v>
      </c>
      <c r="CR836" s="5" t="n">
        <v>0.707</v>
      </c>
      <c r="CS836" s="5" t="n">
        <v>4.093</v>
      </c>
      <c r="CT836" s="5" t="n">
        <v>4.861</v>
      </c>
      <c r="CU836" s="5" t="n">
        <v>10.622</v>
      </c>
    </row>
    <row r="837">
      <c r="A837" s="5" t="inlineStr">
        <is>
          <t>ARE2024</t>
        </is>
      </c>
      <c r="B837" s="5" t="inlineStr">
        <is>
          <t>ARE</t>
        </is>
      </c>
      <c r="C837" s="5" t="inlineStr">
        <is>
          <t>ARE</t>
        </is>
      </c>
      <c r="D837" s="5" t="inlineStr">
        <is>
          <t>United Arab Emirates</t>
        </is>
      </c>
      <c r="E837" s="5" t="n">
        <v>2024</v>
      </c>
      <c r="F837" s="5" t="n">
        <v>0.05</v>
      </c>
      <c r="G837" s="5" t="n">
        <v>5.575</v>
      </c>
      <c r="H837" s="5" t="n">
        <v>1.324</v>
      </c>
      <c r="I837" s="5" t="n">
        <v>0.213</v>
      </c>
      <c r="J837" s="5" t="n">
        <v>5.787</v>
      </c>
      <c r="K837" s="5" t="n">
        <v>0</v>
      </c>
      <c r="L837" s="5" t="n">
        <v>1</v>
      </c>
      <c r="M837" s="5" t="n">
        <v>7.124</v>
      </c>
      <c r="N837" s="5" t="n">
        <v>3.971</v>
      </c>
      <c r="O837" s="5" t="n">
        <v>0.158</v>
      </c>
      <c r="P837" s="5" t="n">
        <v>7.281</v>
      </c>
      <c r="Q837" s="5" t="n">
        <v>0</v>
      </c>
      <c r="R837" s="5" t="n">
        <v>1</v>
      </c>
      <c r="S837" s="5" t="n">
        <v>12.193</v>
      </c>
      <c r="T837" s="5" t="n">
        <v>7.942</v>
      </c>
      <c r="U837" s="5" t="n">
        <v>0.297</v>
      </c>
      <c r="V837" s="5" t="n">
        <v>13.026</v>
      </c>
      <c r="W837" s="5" t="n">
        <v>0.05</v>
      </c>
      <c r="X837" s="5" t="n">
        <v>1</v>
      </c>
      <c r="Y837" s="5" t="n">
        <v>5.975</v>
      </c>
      <c r="Z837" s="5" t="n">
        <v>0.676</v>
      </c>
      <c r="AA837" s="5" t="n">
        <v>-2.868</v>
      </c>
      <c r="AB837" s="5" t="n">
        <v>3.108</v>
      </c>
      <c r="AC837" s="5" t="n">
        <v>0</v>
      </c>
      <c r="AD837" s="5" t="n">
        <v>0</v>
      </c>
      <c r="AE837" s="5" t="n">
        <v>6.831</v>
      </c>
      <c r="AF837" s="5" t="n">
        <v>1.361</v>
      </c>
      <c r="AG837" s="5" t="n">
        <v>-4.291</v>
      </c>
      <c r="AH837" s="5" t="n">
        <v>2.54</v>
      </c>
      <c r="AI837" s="5" t="n">
        <v>0</v>
      </c>
      <c r="AJ837" s="5" t="n">
        <v>0</v>
      </c>
      <c r="AK837" s="5" t="n">
        <v>11.966</v>
      </c>
      <c r="AL837" s="5" t="n">
        <v>5.738</v>
      </c>
      <c r="AM837" s="5" t="n">
        <v>-4.904</v>
      </c>
      <c r="AN837" s="5" t="n">
        <v>7.062</v>
      </c>
      <c r="AO837" s="5" t="n">
        <v>0</v>
      </c>
      <c r="AP837" s="5" t="n">
        <v>0</v>
      </c>
      <c r="AQ837" s="5" t="n">
        <v>0.72</v>
      </c>
      <c r="AR837" s="5" t="n">
        <v>0.132</v>
      </c>
      <c r="AS837" s="5" t="n">
        <v>0.013</v>
      </c>
      <c r="AT837" s="5" t="n">
        <v>0.77</v>
      </c>
      <c r="AU837" s="5" t="n">
        <v>0.05</v>
      </c>
      <c r="AV837" s="5" t="n">
        <v>1</v>
      </c>
      <c r="AW837" s="5" t="n">
        <v>0.734</v>
      </c>
      <c r="AX837" s="5" t="n">
        <v>0.132</v>
      </c>
      <c r="AY837" s="5" t="n">
        <v>0.017</v>
      </c>
      <c r="AZ837" s="5" t="n">
        <v>0.788</v>
      </c>
      <c r="BA837" s="5" t="n">
        <v>0.05</v>
      </c>
      <c r="BB837" s="5" t="n">
        <v>1</v>
      </c>
      <c r="BC837" s="5" t="n">
        <v>0.51</v>
      </c>
      <c r="BD837" s="5" t="n">
        <v>0.132</v>
      </c>
      <c r="BE837" s="5" t="n">
        <v>0.003</v>
      </c>
      <c r="BF837" s="5" t="n">
        <v>0.536</v>
      </c>
      <c r="BG837" s="5" t="n">
        <v>0.05</v>
      </c>
      <c r="BH837" s="5" t="n">
        <v>1</v>
      </c>
      <c r="BI837" s="5" t="n">
        <v>0.652</v>
      </c>
      <c r="BJ837" s="5" t="n">
        <v>0.132</v>
      </c>
      <c r="BK837" s="5" t="n">
        <v>0.004</v>
      </c>
      <c r="BL837" s="5" t="n">
        <v>0.6850000000000001</v>
      </c>
      <c r="BM837" s="5" t="n">
        <v>0.05</v>
      </c>
      <c r="BN837" s="5" t="n">
        <v>1</v>
      </c>
      <c r="BO837" s="5" t="n">
        <v>0</v>
      </c>
      <c r="BP837" s="5" t="n">
        <v>-0.018</v>
      </c>
      <c r="BQ837" s="5" t="n">
        <v>0.07099999999999999</v>
      </c>
      <c r="BR837" s="5" t="n">
        <v>0</v>
      </c>
      <c r="BS837" s="5" t="n">
        <v>0.333</v>
      </c>
      <c r="BT837" s="5" t="n">
        <v>0</v>
      </c>
      <c r="BU837" s="5" t="n">
        <v>-0.018</v>
      </c>
      <c r="BV837" s="5" t="n">
        <v>0.062</v>
      </c>
      <c r="BW837" s="5" t="n">
        <v>0</v>
      </c>
      <c r="BX837" s="5" t="n">
        <v>0.167</v>
      </c>
      <c r="BY837" s="5" t="n">
        <v>13.646</v>
      </c>
      <c r="BZ837" s="5" t="n">
        <v>0</v>
      </c>
      <c r="CA837" s="5" t="n">
        <v>13.646</v>
      </c>
      <c r="CB837" s="5" t="n">
        <v>0</v>
      </c>
      <c r="CC837" s="5" t="n">
        <v>86.38500000000001</v>
      </c>
      <c r="CD837" s="5" t="n">
        <v>7.95</v>
      </c>
      <c r="CE837" s="5" t="n">
        <v>0.588</v>
      </c>
      <c r="CF837" s="5" t="n">
        <v>90.705</v>
      </c>
      <c r="CG837" s="5" t="n">
        <v>0.05</v>
      </c>
      <c r="CH837" s="5" t="n">
        <v>1</v>
      </c>
      <c r="CI837" s="5" t="n">
        <v>0</v>
      </c>
      <c r="CJ837" s="5" t="n">
        <v>0</v>
      </c>
      <c r="CK837" s="5" t="n">
        <v>0</v>
      </c>
      <c r="CL837" s="5" t="n">
        <v>0</v>
      </c>
      <c r="CM837" s="5" t="n">
        <v>0</v>
      </c>
      <c r="CN837" s="5" t="n">
        <v>0</v>
      </c>
      <c r="CO837" s="5" t="n">
        <v>0</v>
      </c>
      <c r="CP837" s="5" t="n">
        <v>0</v>
      </c>
      <c r="CQ837" s="5" t="n">
        <v>1.387</v>
      </c>
      <c r="CR837" s="5" t="n">
        <v>0.707</v>
      </c>
      <c r="CS837" s="5" t="n">
        <v>4.213</v>
      </c>
      <c r="CT837" s="5" t="n">
        <v>4.251</v>
      </c>
      <c r="CU837" s="5" t="n">
        <v>9.167999999999999</v>
      </c>
    </row>
    <row r="838">
      <c r="A838" s="5" t="inlineStr">
        <is>
          <t>GBR2021</t>
        </is>
      </c>
      <c r="B838" s="5" t="inlineStr">
        <is>
          <t>GBR</t>
        </is>
      </c>
      <c r="C838" s="5" t="inlineStr">
        <is>
          <t>GBR</t>
        </is>
      </c>
      <c r="D838" s="5" t="inlineStr">
        <is>
          <t>United Kingdom</t>
        </is>
      </c>
      <c r="E838" s="5" t="n">
        <v>2021</v>
      </c>
      <c r="F838" s="5" t="n">
        <v>0.2</v>
      </c>
      <c r="G838" s="5" t="n">
        <v>4.347</v>
      </c>
      <c r="H838" s="5" t="n">
        <v>0.951</v>
      </c>
      <c r="I838" s="5" t="n">
        <v>4.105</v>
      </c>
      <c r="J838" s="5" t="n">
        <v>8.452</v>
      </c>
      <c r="K838" s="5" t="n">
        <v>0</v>
      </c>
      <c r="L838" s="5" t="n">
        <v>1</v>
      </c>
      <c r="M838" s="5" t="n">
        <v>4.719</v>
      </c>
      <c r="N838" s="5" t="n">
        <v>2.139</v>
      </c>
      <c r="O838" s="5" t="n">
        <v>2.239</v>
      </c>
      <c r="P838" s="5" t="n">
        <v>6.958</v>
      </c>
      <c r="Q838" s="5" t="n">
        <v>0</v>
      </c>
      <c r="R838" s="5" t="n">
        <v>1</v>
      </c>
      <c r="S838" s="5" t="n">
        <v>16.992</v>
      </c>
      <c r="T838" s="5" t="n">
        <v>10.53</v>
      </c>
      <c r="U838" s="5" t="n">
        <v>0.095</v>
      </c>
      <c r="V838" s="5" t="n">
        <v>20.504</v>
      </c>
      <c r="W838" s="5" t="n">
        <v>0.2</v>
      </c>
      <c r="X838" s="5" t="n">
        <v>1</v>
      </c>
      <c r="Y838" s="5" t="n">
        <v>25.664</v>
      </c>
      <c r="Z838" s="5" t="n">
        <v>2.835</v>
      </c>
      <c r="AA838" s="5" t="n">
        <v>-10.255</v>
      </c>
      <c r="AB838" s="5" t="n">
        <v>15.409</v>
      </c>
      <c r="AC838" s="5" t="n">
        <v>0</v>
      </c>
      <c r="AD838" s="5" t="n">
        <v>1</v>
      </c>
      <c r="AE838" s="5" t="n">
        <v>20.76</v>
      </c>
      <c r="AF838" s="5" t="n">
        <v>4.085</v>
      </c>
      <c r="AG838" s="5" t="n">
        <v>-7.711</v>
      </c>
      <c r="AH838" s="5" t="n">
        <v>13.049</v>
      </c>
      <c r="AI838" s="5" t="n">
        <v>0</v>
      </c>
      <c r="AJ838" s="5" t="n">
        <v>1</v>
      </c>
      <c r="AK838" s="5" t="n">
        <v>27.865</v>
      </c>
      <c r="AL838" s="5" t="n">
        <v>13.676</v>
      </c>
      <c r="AM838" s="5" t="n">
        <v>-12.644</v>
      </c>
      <c r="AN838" s="5" t="n">
        <v>18.265</v>
      </c>
      <c r="AO838" s="5" t="n">
        <v>0.2</v>
      </c>
      <c r="AP838" s="5" t="n">
        <v>1</v>
      </c>
      <c r="AQ838" s="5" t="n">
        <v>0.619</v>
      </c>
      <c r="AR838" s="5" t="n">
        <v>0.114</v>
      </c>
      <c r="AS838" s="5" t="n">
        <v>0.892</v>
      </c>
      <c r="AT838" s="5" t="n">
        <v>1.813</v>
      </c>
      <c r="AU838" s="5" t="n">
        <v>0.2</v>
      </c>
      <c r="AV838" s="5" t="n">
        <v>1</v>
      </c>
      <c r="AW838" s="5" t="n">
        <v>0.599</v>
      </c>
      <c r="AX838" s="5" t="n">
        <v>0.114</v>
      </c>
      <c r="AY838" s="5" t="n">
        <v>0.944</v>
      </c>
      <c r="AZ838" s="5" t="n">
        <v>1.852</v>
      </c>
      <c r="BA838" s="5" t="n">
        <v>0.2</v>
      </c>
      <c r="BB838" s="5" t="n">
        <v>1</v>
      </c>
      <c r="BC838" s="5" t="n">
        <v>0.439</v>
      </c>
      <c r="BD838" s="5" t="n">
        <v>0.114</v>
      </c>
      <c r="BE838" s="5" t="n">
        <v>0.319</v>
      </c>
      <c r="BF838" s="5" t="n">
        <v>0.909</v>
      </c>
      <c r="BG838" s="5" t="n">
        <v>0.2</v>
      </c>
      <c r="BH838" s="5" t="n">
        <v>1</v>
      </c>
      <c r="BI838" s="5" t="n">
        <v>0.505</v>
      </c>
      <c r="BJ838" s="5" t="n">
        <v>0.114</v>
      </c>
      <c r="BK838" s="5" t="n">
        <v>0.078</v>
      </c>
      <c r="BL838" s="5" t="n">
        <v>0.699</v>
      </c>
      <c r="BM838" s="5" t="n">
        <v>0.2</v>
      </c>
      <c r="BN838" s="5" t="n">
        <v>1</v>
      </c>
      <c r="BO838" s="5" t="n">
        <v>0</v>
      </c>
      <c r="BP838" s="5" t="n">
        <v>0.045</v>
      </c>
      <c r="BQ838" s="5" t="n">
        <v>0.188</v>
      </c>
      <c r="BR838" s="5" t="n">
        <v>0</v>
      </c>
      <c r="BS838" s="5" t="n">
        <v>1</v>
      </c>
      <c r="BT838" s="5" t="n">
        <v>0</v>
      </c>
      <c r="BU838" s="5" t="n">
        <v>0.048</v>
      </c>
      <c r="BV838" s="5" t="n">
        <v>0.291</v>
      </c>
      <c r="BW838" s="5" t="n">
        <v>0.05</v>
      </c>
      <c r="BX838" s="5" t="n">
        <v>1</v>
      </c>
      <c r="BY838" s="5" t="n">
        <v>11.787</v>
      </c>
      <c r="BZ838" s="5" t="n">
        <v>0</v>
      </c>
      <c r="CA838" s="5" t="n">
        <v>11.787</v>
      </c>
      <c r="CB838" s="5" t="n">
        <v>0</v>
      </c>
      <c r="CC838" s="5" t="n">
        <v>78.125</v>
      </c>
      <c r="CD838" s="5" t="n">
        <v>7.95</v>
      </c>
      <c r="CE838" s="5" t="n">
        <v>39.721</v>
      </c>
      <c r="CF838" s="5" t="n">
        <v>141.415</v>
      </c>
      <c r="CG838" s="5" t="n">
        <v>0.2</v>
      </c>
      <c r="CH838" s="5" t="n">
        <v>1</v>
      </c>
      <c r="CI838" s="5" t="n">
        <v>0</v>
      </c>
      <c r="CJ838" s="5" t="n">
        <v>0</v>
      </c>
      <c r="CK838" s="5" t="n">
        <v>0</v>
      </c>
      <c r="CL838" s="5" t="n">
        <v>0</v>
      </c>
      <c r="CM838" s="5" t="n">
        <v>0</v>
      </c>
      <c r="CN838" s="5" t="n">
        <v>0.914</v>
      </c>
      <c r="CO838" s="5" t="n">
        <v>1.816</v>
      </c>
      <c r="CP838" s="5" t="n">
        <v>0</v>
      </c>
      <c r="CQ838" s="5" t="n">
        <v>1.198</v>
      </c>
      <c r="CR838" s="5" t="n">
        <v>0</v>
      </c>
      <c r="CS838" s="5" t="n">
        <v>5.221</v>
      </c>
      <c r="CT838" s="5" t="n">
        <v>7.447</v>
      </c>
      <c r="CU838" s="5" t="n">
        <v>14.931</v>
      </c>
    </row>
    <row r="839">
      <c r="A839" s="5" t="inlineStr">
        <is>
          <t>GBR2022</t>
        </is>
      </c>
      <c r="B839" s="5" t="inlineStr">
        <is>
          <t>GBR</t>
        </is>
      </c>
      <c r="C839" s="5" t="inlineStr">
        <is>
          <t>GBR</t>
        </is>
      </c>
      <c r="D839" s="5" t="inlineStr">
        <is>
          <t>United Kingdom</t>
        </is>
      </c>
      <c r="E839" s="5" t="n">
        <v>2022</v>
      </c>
      <c r="F839" s="5" t="n">
        <v>0.2</v>
      </c>
      <c r="G839" s="5" t="n">
        <v>7.85</v>
      </c>
      <c r="H839" s="5" t="n">
        <v>1.219</v>
      </c>
      <c r="I839" s="5" t="n">
        <v>11.883</v>
      </c>
      <c r="J839" s="5" t="n">
        <v>19.733</v>
      </c>
      <c r="K839" s="5" t="n">
        <v>0</v>
      </c>
      <c r="L839" s="5" t="n">
        <v>1</v>
      </c>
      <c r="M839" s="5" t="n">
        <v>9.981</v>
      </c>
      <c r="N839" s="5" t="n">
        <v>4.121</v>
      </c>
      <c r="O839" s="5" t="n">
        <v>9.68</v>
      </c>
      <c r="P839" s="5" t="n">
        <v>19.661</v>
      </c>
      <c r="Q839" s="5" t="n">
        <v>0</v>
      </c>
      <c r="R839" s="5" t="n">
        <v>1</v>
      </c>
      <c r="S839" s="5" t="n">
        <v>20.41</v>
      </c>
      <c r="T839" s="5" t="n">
        <v>9.996</v>
      </c>
      <c r="U839" s="5" t="n">
        <v>0.108</v>
      </c>
      <c r="V839" s="5" t="n">
        <v>24.622</v>
      </c>
      <c r="W839" s="5" t="n">
        <v>0.2</v>
      </c>
      <c r="X839" s="5" t="n">
        <v>1</v>
      </c>
      <c r="Y839" s="5" t="n">
        <v>35.24</v>
      </c>
      <c r="Z839" s="5" t="n">
        <v>3.697</v>
      </c>
      <c r="AA839" s="5" t="n">
        <v>-5.161</v>
      </c>
      <c r="AB839" s="5" t="n">
        <v>30.078</v>
      </c>
      <c r="AC839" s="5" t="n">
        <v>0</v>
      </c>
      <c r="AD839" s="5" t="n">
        <v>1</v>
      </c>
      <c r="AE839" s="5" t="n">
        <v>30.427</v>
      </c>
      <c r="AF839" s="5" t="n">
        <v>5.641</v>
      </c>
      <c r="AG839" s="5" t="n">
        <v>-6.571</v>
      </c>
      <c r="AH839" s="5" t="n">
        <v>23.856</v>
      </c>
      <c r="AI839" s="5" t="n">
        <v>0</v>
      </c>
      <c r="AJ839" s="5" t="n">
        <v>1</v>
      </c>
      <c r="AK839" s="5" t="n">
        <v>38.08</v>
      </c>
      <c r="AL839" s="5" t="n">
        <v>18.185</v>
      </c>
      <c r="AM839" s="5" t="n">
        <v>-11.196</v>
      </c>
      <c r="AN839" s="5" t="n">
        <v>32.261</v>
      </c>
      <c r="AO839" s="5" t="n">
        <v>0.2</v>
      </c>
      <c r="AP839" s="5" t="n">
        <v>1</v>
      </c>
      <c r="AQ839" s="5" t="n">
        <v>0.861</v>
      </c>
      <c r="AR839" s="5" t="n">
        <v>0.123</v>
      </c>
      <c r="AS839" s="5" t="n">
        <v>0.836</v>
      </c>
      <c r="AT839" s="5" t="n">
        <v>2.037</v>
      </c>
      <c r="AU839" s="5" t="n">
        <v>0.2</v>
      </c>
      <c r="AV839" s="5" t="n">
        <v>1</v>
      </c>
      <c r="AW839" s="5" t="n">
        <v>0.986</v>
      </c>
      <c r="AX839" s="5" t="n">
        <v>0.123</v>
      </c>
      <c r="AY839" s="5" t="n">
        <v>0.853</v>
      </c>
      <c r="AZ839" s="5" t="n">
        <v>2.208</v>
      </c>
      <c r="BA839" s="5" t="n">
        <v>0.2</v>
      </c>
      <c r="BB839" s="5" t="n">
        <v>1</v>
      </c>
      <c r="BC839" s="5" t="n">
        <v>0.598</v>
      </c>
      <c r="BD839" s="5" t="n">
        <v>0.123</v>
      </c>
      <c r="BE839" s="5" t="n">
        <v>0.154</v>
      </c>
      <c r="BF839" s="5" t="n">
        <v>0.902</v>
      </c>
      <c r="BG839" s="5" t="n">
        <v>0.2</v>
      </c>
      <c r="BH839" s="5" t="n">
        <v>1</v>
      </c>
      <c r="BI839" s="5" t="n">
        <v>0.612</v>
      </c>
      <c r="BJ839" s="5" t="n">
        <v>0.123</v>
      </c>
      <c r="BK839" s="5" t="n">
        <v>0.327</v>
      </c>
      <c r="BL839" s="5" t="n">
        <v>1.127</v>
      </c>
      <c r="BM839" s="5" t="n">
        <v>0.2</v>
      </c>
      <c r="BN839" s="5" t="n">
        <v>1</v>
      </c>
      <c r="BO839" s="5" t="n">
        <v>0</v>
      </c>
      <c r="BP839" s="5" t="n">
        <v>0.034</v>
      </c>
      <c r="BQ839" s="5" t="n">
        <v>0.254</v>
      </c>
      <c r="BR839" s="5" t="n">
        <v>0</v>
      </c>
      <c r="BS839" s="5" t="n">
        <v>1</v>
      </c>
      <c r="BT839" s="5" t="n">
        <v>0</v>
      </c>
      <c r="BU839" s="5" t="n">
        <v>0.043</v>
      </c>
      <c r="BV839" s="5" t="n">
        <v>0.415</v>
      </c>
      <c r="BW839" s="5" t="n">
        <v>0.05</v>
      </c>
      <c r="BX839" s="5" t="n">
        <v>1</v>
      </c>
      <c r="BY839" s="5" t="n">
        <v>12.729</v>
      </c>
      <c r="BZ839" s="5" t="n">
        <v>0</v>
      </c>
      <c r="CA839" s="5" t="n">
        <v>12.729</v>
      </c>
      <c r="CB839" s="5" t="n">
        <v>0</v>
      </c>
      <c r="CC839" s="5" t="n">
        <v>97.90000000000001</v>
      </c>
      <c r="CD839" s="5" t="n">
        <v>7.95</v>
      </c>
      <c r="CE839" s="5" t="n">
        <v>95.393</v>
      </c>
      <c r="CF839" s="5" t="n">
        <v>231.952</v>
      </c>
      <c r="CG839" s="5" t="n">
        <v>0.2</v>
      </c>
      <c r="CH839" s="5" t="n">
        <v>1</v>
      </c>
      <c r="CI839" s="5" t="n">
        <v>0</v>
      </c>
      <c r="CJ839" s="5" t="n">
        <v>0</v>
      </c>
      <c r="CK839" s="5" t="n">
        <v>0</v>
      </c>
      <c r="CL839" s="5" t="n">
        <v>0</v>
      </c>
      <c r="CM839" s="5" t="n">
        <v>0</v>
      </c>
      <c r="CN839" s="5" t="n">
        <v>1.12</v>
      </c>
      <c r="CO839" s="5" t="n">
        <v>1.89</v>
      </c>
      <c r="CP839" s="5" t="n">
        <v>0</v>
      </c>
      <c r="CQ839" s="5" t="n">
        <v>1.294</v>
      </c>
      <c r="CR839" s="5" t="n">
        <v>0</v>
      </c>
      <c r="CS839" s="5" t="n">
        <v>5.638</v>
      </c>
      <c r="CT839" s="5" t="n">
        <v>19.027</v>
      </c>
      <c r="CU839" s="5" t="n">
        <v>24.415</v>
      </c>
    </row>
    <row r="840">
      <c r="A840" s="5" t="inlineStr">
        <is>
          <t>GBR2023</t>
        </is>
      </c>
      <c r="B840" s="5" t="inlineStr">
        <is>
          <t>GBR</t>
        </is>
      </c>
      <c r="C840" s="5" t="inlineStr">
        <is>
          <t>GBR</t>
        </is>
      </c>
      <c r="D840" s="5" t="inlineStr">
        <is>
          <t>United Kingdom</t>
        </is>
      </c>
      <c r="E840" s="5" t="n">
        <v>2023</v>
      </c>
      <c r="F840" s="5" t="n">
        <v>0.2</v>
      </c>
      <c r="G840" s="5" t="n">
        <v>12.936</v>
      </c>
      <c r="H840" s="5" t="n">
        <v>2.946</v>
      </c>
      <c r="I840" s="5" t="n">
        <v>11.178</v>
      </c>
      <c r="J840" s="5" t="n">
        <v>24.114</v>
      </c>
      <c r="K840" s="5" t="n">
        <v>0</v>
      </c>
      <c r="L840" s="5" t="n">
        <v>1</v>
      </c>
      <c r="M840" s="5" t="n">
        <v>14.03</v>
      </c>
      <c r="N840" s="5" t="n">
        <v>6.958</v>
      </c>
      <c r="O840" s="5" t="n">
        <v>9.073</v>
      </c>
      <c r="P840" s="5" t="n">
        <v>23.103</v>
      </c>
      <c r="Q840" s="5" t="n">
        <v>0</v>
      </c>
      <c r="R840" s="5" t="n">
        <v>1</v>
      </c>
      <c r="S840" s="5" t="n">
        <v>30.588</v>
      </c>
      <c r="T840" s="5" t="n">
        <v>19.182</v>
      </c>
      <c r="U840" s="5" t="n">
        <v>0.122</v>
      </c>
      <c r="V840" s="5" t="n">
        <v>36.852</v>
      </c>
      <c r="W840" s="5" t="n">
        <v>0.2</v>
      </c>
      <c r="X840" s="5" t="n">
        <v>1</v>
      </c>
      <c r="Y840" s="5" t="n">
        <v>22.551</v>
      </c>
      <c r="Z840" s="5" t="n">
        <v>2.526</v>
      </c>
      <c r="AA840" s="5" t="n">
        <v>9.079000000000001</v>
      </c>
      <c r="AB840" s="5" t="n">
        <v>31.63</v>
      </c>
      <c r="AC840" s="5" t="n">
        <v>0</v>
      </c>
      <c r="AD840" s="5" t="n">
        <v>1</v>
      </c>
      <c r="AE840" s="5" t="n">
        <v>17.789</v>
      </c>
      <c r="AF840" s="5" t="n">
        <v>3.543</v>
      </c>
      <c r="AG840" s="5" t="n">
        <v>7.601</v>
      </c>
      <c r="AH840" s="5" t="n">
        <v>25.39</v>
      </c>
      <c r="AI840" s="5" t="n">
        <v>0</v>
      </c>
      <c r="AJ840" s="5" t="n">
        <v>1</v>
      </c>
      <c r="AK840" s="5" t="n">
        <v>25.748</v>
      </c>
      <c r="AL840" s="5" t="n">
        <v>12.755</v>
      </c>
      <c r="AM840" s="5" t="n">
        <v>2.682</v>
      </c>
      <c r="AN840" s="5" t="n">
        <v>34.116</v>
      </c>
      <c r="AO840" s="5" t="n">
        <v>0.2</v>
      </c>
      <c r="AP840" s="5" t="n">
        <v>1</v>
      </c>
      <c r="AQ840" s="5" t="n">
        <v>0.76</v>
      </c>
      <c r="AR840" s="5" t="n">
        <v>0.129</v>
      </c>
      <c r="AS840" s="5" t="n">
        <v>0.772</v>
      </c>
      <c r="AT840" s="5" t="n">
        <v>1.839</v>
      </c>
      <c r="AU840" s="5" t="n">
        <v>0.2</v>
      </c>
      <c r="AV840" s="5" t="n">
        <v>1</v>
      </c>
      <c r="AW840" s="5" t="n">
        <v>0.8110000000000001</v>
      </c>
      <c r="AX840" s="5" t="n">
        <v>0.129</v>
      </c>
      <c r="AY840" s="5" t="n">
        <v>0.841</v>
      </c>
      <c r="AZ840" s="5" t="n">
        <v>1.983</v>
      </c>
      <c r="BA840" s="5" t="n">
        <v>0.2</v>
      </c>
      <c r="BB840" s="5" t="n">
        <v>1</v>
      </c>
      <c r="BC840" s="5" t="n">
        <v>0.535</v>
      </c>
      <c r="BD840" s="5" t="n">
        <v>0.129</v>
      </c>
      <c r="BE840" s="5" t="n">
        <v>0.264</v>
      </c>
      <c r="BF840" s="5" t="n">
        <v>0.958</v>
      </c>
      <c r="BG840" s="5" t="n">
        <v>0.2</v>
      </c>
      <c r="BH840" s="5" t="n">
        <v>1</v>
      </c>
      <c r="BI840" s="5" t="n">
        <v>0.579</v>
      </c>
      <c r="BJ840" s="5" t="n">
        <v>0.129</v>
      </c>
      <c r="BK840" s="5" t="n">
        <v>0.183</v>
      </c>
      <c r="BL840" s="5" t="n">
        <v>0.915</v>
      </c>
      <c r="BM840" s="5" t="n">
        <v>0.2</v>
      </c>
      <c r="BN840" s="5" t="n">
        <v>1</v>
      </c>
      <c r="BO840" s="5" t="n">
        <v>0</v>
      </c>
      <c r="BP840" s="5" t="n">
        <v>0.037</v>
      </c>
      <c r="BQ840" s="5" t="n">
        <v>0.345</v>
      </c>
      <c r="BR840" s="5" t="n">
        <v>0</v>
      </c>
      <c r="BS840" s="5" t="n">
        <v>1</v>
      </c>
      <c r="BT840" s="5" t="n">
        <v>0</v>
      </c>
      <c r="BU840" s="5" t="n">
        <v>0.07199999999999999</v>
      </c>
      <c r="BV840" s="5" t="n">
        <v>0.433</v>
      </c>
      <c r="BW840" s="5" t="n">
        <v>0.05</v>
      </c>
      <c r="BX840" s="5" t="n">
        <v>1</v>
      </c>
      <c r="BY840" s="5" t="n">
        <v>13.254</v>
      </c>
      <c r="BZ840" s="5" t="n">
        <v>0</v>
      </c>
      <c r="CA840" s="5" t="n">
        <v>13.254</v>
      </c>
      <c r="CB840" s="5" t="n">
        <v>0</v>
      </c>
      <c r="CC840" s="5" t="n">
        <v>83.248</v>
      </c>
      <c r="CD840" s="5" t="n">
        <v>7.95</v>
      </c>
      <c r="CE840" s="5" t="n">
        <v>83.386</v>
      </c>
      <c r="CF840" s="5" t="n">
        <v>199.961</v>
      </c>
      <c r="CG840" s="5" t="n">
        <v>0.2</v>
      </c>
      <c r="CH840" s="5" t="n">
        <v>1</v>
      </c>
      <c r="CI840" s="5" t="n">
        <v>0</v>
      </c>
      <c r="CJ840" s="5" t="n">
        <v>0</v>
      </c>
      <c r="CK840" s="5" t="n">
        <v>0</v>
      </c>
      <c r="CL840" s="5" t="n">
        <v>0</v>
      </c>
      <c r="CM840" s="5" t="n">
        <v>0</v>
      </c>
      <c r="CN840" s="5" t="n">
        <v>0.989</v>
      </c>
      <c r="CO840" s="5" t="n">
        <v>1.703</v>
      </c>
      <c r="CP840" s="5" t="n">
        <v>0</v>
      </c>
      <c r="CQ840" s="5" t="n">
        <v>1.348</v>
      </c>
      <c r="CR840" s="5" t="n">
        <v>0</v>
      </c>
      <c r="CS840" s="5" t="n">
        <v>5.871</v>
      </c>
      <c r="CT840" s="5" t="n">
        <v>9.154999999999999</v>
      </c>
      <c r="CU840" s="5" t="n">
        <v>11.675</v>
      </c>
    </row>
    <row r="841">
      <c r="A841" s="5" t="inlineStr">
        <is>
          <t>GBR2024</t>
        </is>
      </c>
      <c r="B841" s="5" t="inlineStr">
        <is>
          <t>GBR</t>
        </is>
      </c>
      <c r="C841" s="5" t="inlineStr">
        <is>
          <t>GBR</t>
        </is>
      </c>
      <c r="D841" s="5" t="inlineStr">
        <is>
          <t>United Kingdom</t>
        </is>
      </c>
      <c r="E841" s="5" t="n">
        <v>2024</v>
      </c>
      <c r="F841" s="5" t="n">
        <v>0.2</v>
      </c>
      <c r="G841" s="5" t="n">
        <v>13.133</v>
      </c>
      <c r="H841" s="5" t="n">
        <v>3.327</v>
      </c>
      <c r="I841" s="5" t="n">
        <v>7.055</v>
      </c>
      <c r="J841" s="5" t="n">
        <v>20.188</v>
      </c>
      <c r="K841" s="5" t="n">
        <v>0</v>
      </c>
      <c r="L841" s="5" t="n">
        <v>1</v>
      </c>
      <c r="M841" s="5" t="n">
        <v>14.313</v>
      </c>
      <c r="N841" s="5" t="n">
        <v>7.797</v>
      </c>
      <c r="O841" s="5" t="n">
        <v>4.935</v>
      </c>
      <c r="P841" s="5" t="n">
        <v>19.248</v>
      </c>
      <c r="Q841" s="5" t="n">
        <v>0</v>
      </c>
      <c r="R841" s="5" t="n">
        <v>1</v>
      </c>
      <c r="S841" s="5" t="n">
        <v>31.19</v>
      </c>
      <c r="T841" s="5" t="n">
        <v>20.649</v>
      </c>
      <c r="U841" s="5" t="n">
        <v>0.125</v>
      </c>
      <c r="V841" s="5" t="n">
        <v>37.578</v>
      </c>
      <c r="W841" s="5" t="n">
        <v>0.2</v>
      </c>
      <c r="X841" s="5" t="n">
        <v>1</v>
      </c>
      <c r="Y841" s="5" t="n">
        <v>32.277</v>
      </c>
      <c r="Z841" s="5" t="n">
        <v>4.076</v>
      </c>
      <c r="AA841" s="5" t="n">
        <v>2.671</v>
      </c>
      <c r="AB841" s="5" t="n">
        <v>34.948</v>
      </c>
      <c r="AC841" s="5" t="n">
        <v>0</v>
      </c>
      <c r="AD841" s="5" t="n">
        <v>1</v>
      </c>
      <c r="AE841" s="5" t="n">
        <v>19.634</v>
      </c>
      <c r="AF841" s="5" t="n">
        <v>4.301</v>
      </c>
      <c r="AG841" s="5" t="n">
        <v>2.779</v>
      </c>
      <c r="AH841" s="5" t="n">
        <v>22.414</v>
      </c>
      <c r="AI841" s="5" t="n">
        <v>0</v>
      </c>
      <c r="AJ841" s="5" t="n">
        <v>1</v>
      </c>
      <c r="AK841" s="5" t="n">
        <v>27.108</v>
      </c>
      <c r="AL841" s="5" t="n">
        <v>13.788</v>
      </c>
      <c r="AM841" s="5" t="n">
        <v>-5.664</v>
      </c>
      <c r="AN841" s="5" t="n">
        <v>25.733</v>
      </c>
      <c r="AO841" s="5" t="n">
        <v>0.2</v>
      </c>
      <c r="AP841" s="5" t="n">
        <v>1</v>
      </c>
      <c r="AQ841" s="5" t="n">
        <v>0.724</v>
      </c>
      <c r="AR841" s="5" t="n">
        <v>0.132</v>
      </c>
      <c r="AS841" s="5" t="n">
        <v>0.785</v>
      </c>
      <c r="AT841" s="5" t="n">
        <v>1.811</v>
      </c>
      <c r="AU841" s="5" t="n">
        <v>0.2</v>
      </c>
      <c r="AV841" s="5" t="n">
        <v>1</v>
      </c>
      <c r="AW841" s="5" t="n">
        <v>0.75</v>
      </c>
      <c r="AX841" s="5" t="n">
        <v>0.132</v>
      </c>
      <c r="AY841" s="5" t="n">
        <v>0.839</v>
      </c>
      <c r="AZ841" s="5" t="n">
        <v>1.908</v>
      </c>
      <c r="BA841" s="5" t="n">
        <v>0.2</v>
      </c>
      <c r="BB841" s="5" t="n">
        <v>1</v>
      </c>
      <c r="BC841" s="5" t="n">
        <v>0.513</v>
      </c>
      <c r="BD841" s="5" t="n">
        <v>0.132</v>
      </c>
      <c r="BE841" s="5" t="n">
        <v>0.413</v>
      </c>
      <c r="BF841" s="5" t="n">
        <v>1.111</v>
      </c>
      <c r="BG841" s="5" t="n">
        <v>0.2</v>
      </c>
      <c r="BH841" s="5" t="n">
        <v>1</v>
      </c>
      <c r="BI841" s="5" t="n">
        <v>0.591</v>
      </c>
      <c r="BJ841" s="5" t="n">
        <v>0.132</v>
      </c>
      <c r="BK841" s="5" t="n">
        <v>0.114</v>
      </c>
      <c r="BL841" s="5" t="n">
        <v>0.846</v>
      </c>
      <c r="BM841" s="5" t="n">
        <v>0.2</v>
      </c>
      <c r="BN841" s="5" t="n">
        <v>1</v>
      </c>
      <c r="BO841" s="5" t="n">
        <v>0</v>
      </c>
      <c r="BP841" s="5" t="n">
        <v>0.044</v>
      </c>
      <c r="BQ841" s="5" t="n">
        <v>0.338</v>
      </c>
      <c r="BR841" s="5" t="n">
        <v>0</v>
      </c>
      <c r="BS841" s="5" t="n">
        <v>1</v>
      </c>
      <c r="BT841" s="5" t="n">
        <v>0</v>
      </c>
      <c r="BU841" s="5" t="n">
        <v>0.053</v>
      </c>
      <c r="BV841" s="5" t="n">
        <v>0.384</v>
      </c>
      <c r="BW841" s="5" t="n">
        <v>0.05</v>
      </c>
      <c r="BX841" s="5" t="n">
        <v>1</v>
      </c>
      <c r="BY841" s="5" t="n">
        <v>13.646</v>
      </c>
      <c r="BZ841" s="5" t="n">
        <v>0</v>
      </c>
      <c r="CA841" s="5" t="n">
        <v>13.646</v>
      </c>
      <c r="CB841" s="5" t="n">
        <v>0</v>
      </c>
      <c r="CC841" s="5" t="n">
        <v>82.58799999999999</v>
      </c>
      <c r="CD841" s="5" t="n">
        <v>7.95</v>
      </c>
      <c r="CE841" s="5" t="n">
        <v>61.413</v>
      </c>
      <c r="CF841" s="5" t="n">
        <v>172.801</v>
      </c>
      <c r="CG841" s="5" t="n">
        <v>0.2</v>
      </c>
      <c r="CH841" s="5" t="n">
        <v>1</v>
      </c>
      <c r="CI841" s="5" t="n">
        <v>0</v>
      </c>
      <c r="CJ841" s="5" t="n">
        <v>0</v>
      </c>
      <c r="CK841" s="5" t="n">
        <v>0</v>
      </c>
      <c r="CL841" s="5" t="n">
        <v>0</v>
      </c>
      <c r="CM841" s="5" t="n">
        <v>0</v>
      </c>
      <c r="CN841" s="5" t="n">
        <v>0.985</v>
      </c>
      <c r="CO841" s="5" t="n">
        <v>1.796</v>
      </c>
      <c r="CP841" s="5" t="n">
        <v>0</v>
      </c>
      <c r="CQ841" s="5" t="n">
        <v>1.387</v>
      </c>
      <c r="CR841" s="5" t="n">
        <v>0</v>
      </c>
      <c r="CS841" s="5" t="n">
        <v>6.044</v>
      </c>
      <c r="CT841" s="5" t="n">
        <v>7.164</v>
      </c>
      <c r="CU841" s="5" t="n">
        <v>10.029</v>
      </c>
    </row>
    <row r="842">
      <c r="A842" s="5" t="inlineStr">
        <is>
          <t>USA2021</t>
        </is>
      </c>
      <c r="B842" s="5" t="inlineStr">
        <is>
          <t>USA</t>
        </is>
      </c>
      <c r="C842" s="5" t="inlineStr">
        <is>
          <t>USA</t>
        </is>
      </c>
      <c r="D842" s="5" t="inlineStr">
        <is>
          <t>United States</t>
        </is>
      </c>
      <c r="E842" s="5" t="n">
        <v>2021</v>
      </c>
      <c r="F842" s="5" t="n">
        <v>0.07000000000000001</v>
      </c>
      <c r="G842" s="5" t="n">
        <v>1.586</v>
      </c>
      <c r="H842" s="5" t="n">
        <v>0.347</v>
      </c>
      <c r="I842" s="5" t="n">
        <v>0.187</v>
      </c>
      <c r="J842" s="5" t="n">
        <v>1.774</v>
      </c>
      <c r="K842" s="5" t="n">
        <v>0</v>
      </c>
      <c r="L842" s="5" t="n">
        <v>1</v>
      </c>
      <c r="M842" s="5" t="n">
        <v>2.349</v>
      </c>
      <c r="N842" s="5" t="n">
        <v>1.065</v>
      </c>
      <c r="O842" s="5" t="n">
        <v>0.113</v>
      </c>
      <c r="P842" s="5" t="n">
        <v>2.462</v>
      </c>
      <c r="Q842" s="5" t="n">
        <v>0</v>
      </c>
      <c r="R842" s="5" t="n">
        <v>1</v>
      </c>
      <c r="S842" s="5" t="n">
        <v>4.852</v>
      </c>
      <c r="T842" s="5" t="n">
        <v>3.468</v>
      </c>
      <c r="U842" s="5" t="n">
        <v>0.08699999999999999</v>
      </c>
      <c r="V842" s="5" t="n">
        <v>5.284</v>
      </c>
      <c r="W842" s="5" t="n">
        <v>0.07000000000000001</v>
      </c>
      <c r="X842" s="5" t="n">
        <v>1</v>
      </c>
      <c r="Y842" s="5" t="n">
        <v>4.712</v>
      </c>
      <c r="Z842" s="5" t="n">
        <v>0.521</v>
      </c>
      <c r="AA842" s="5" t="n">
        <v>0.11</v>
      </c>
      <c r="AB842" s="5" t="n">
        <v>4.822</v>
      </c>
      <c r="AC842" s="5" t="n">
        <v>0</v>
      </c>
      <c r="AD842" s="5" t="n">
        <v>1</v>
      </c>
      <c r="AE842" s="5" t="n">
        <v>8.75</v>
      </c>
      <c r="AF842" s="5" t="n">
        <v>1.722</v>
      </c>
      <c r="AG842" s="5" t="n">
        <v>0.062</v>
      </c>
      <c r="AH842" s="5" t="n">
        <v>8.811999999999999</v>
      </c>
      <c r="AI842" s="5" t="n">
        <v>0</v>
      </c>
      <c r="AJ842" s="5" t="n">
        <v>1</v>
      </c>
      <c r="AK842" s="5" t="n">
        <v>11.64</v>
      </c>
      <c r="AL842" s="5" t="n">
        <v>5.713</v>
      </c>
      <c r="AM842" s="5" t="n">
        <v>-1.191</v>
      </c>
      <c r="AN842" s="5" t="n">
        <v>11.181</v>
      </c>
      <c r="AO842" s="5" t="n">
        <v>0</v>
      </c>
      <c r="AP842" s="5" t="n">
        <v>1</v>
      </c>
      <c r="AQ842" s="5" t="n">
        <v>0.6840000000000001</v>
      </c>
      <c r="AR842" s="5" t="n">
        <v>0.114</v>
      </c>
      <c r="AS842" s="5" t="n">
        <v>0.146</v>
      </c>
      <c r="AT842" s="5" t="n">
        <v>0.888</v>
      </c>
      <c r="AU842" s="5" t="n">
        <v>0.07000000000000001</v>
      </c>
      <c r="AV842" s="5" t="n">
        <v>1</v>
      </c>
      <c r="AW842" s="5" t="n">
        <v>0.577</v>
      </c>
      <c r="AX842" s="5" t="n">
        <v>0.114</v>
      </c>
      <c r="AY842" s="5" t="n">
        <v>0.216</v>
      </c>
      <c r="AZ842" s="5" t="n">
        <v>0.848</v>
      </c>
      <c r="BA842" s="5" t="n">
        <v>0.07000000000000001</v>
      </c>
      <c r="BB842" s="5" t="n">
        <v>1</v>
      </c>
      <c r="BC842" s="5" t="n">
        <v>0.48</v>
      </c>
      <c r="BD842" s="5" t="n">
        <v>0.114</v>
      </c>
      <c r="BE842" s="5" t="n">
        <v>0.002</v>
      </c>
      <c r="BF842" s="5" t="n">
        <v>0.516</v>
      </c>
      <c r="BG842" s="5" t="n">
        <v>0.07000000000000001</v>
      </c>
      <c r="BH842" s="5" t="n">
        <v>1</v>
      </c>
      <c r="BI842" s="5" t="n">
        <v>0.5590000000000001</v>
      </c>
      <c r="BJ842" s="5" t="n">
        <v>0.114</v>
      </c>
      <c r="BK842" s="5" t="n">
        <v>0.218</v>
      </c>
      <c r="BL842" s="5" t="n">
        <v>0.831</v>
      </c>
      <c r="BM842" s="5" t="n">
        <v>0.07000000000000001</v>
      </c>
      <c r="BN842" s="5" t="n">
        <v>1</v>
      </c>
      <c r="BO842" s="5" t="n">
        <v>0</v>
      </c>
      <c r="BP842" s="5" t="n">
        <v>0.003</v>
      </c>
      <c r="BQ842" s="5" t="n">
        <v>0.116</v>
      </c>
      <c r="BR842" s="5" t="n">
        <v>0</v>
      </c>
      <c r="BS842" s="5" t="n">
        <v>1</v>
      </c>
      <c r="BT842" s="5" t="n">
        <v>0</v>
      </c>
      <c r="BU842" s="5" t="n">
        <v>-0.003</v>
      </c>
      <c r="BV842" s="5" t="n">
        <v>0.156</v>
      </c>
      <c r="BW842" s="5" t="n">
        <v>0.07000000000000001</v>
      </c>
      <c r="BX842" s="5" t="n">
        <v>1</v>
      </c>
      <c r="BY842" s="5" t="n">
        <v>11.787</v>
      </c>
      <c r="BZ842" s="5" t="n">
        <v>0</v>
      </c>
      <c r="CA842" s="5" t="n">
        <v>11.787</v>
      </c>
      <c r="CB842" s="5" t="n">
        <v>0</v>
      </c>
      <c r="CC842" s="5" t="n">
        <v>67.79000000000001</v>
      </c>
      <c r="CD842" s="5" t="n">
        <v>7.95</v>
      </c>
      <c r="CE842" s="5" t="n">
        <v>10.466</v>
      </c>
      <c r="CF842" s="5" t="n">
        <v>83.73399999999999</v>
      </c>
      <c r="CG842" s="5" t="n">
        <v>0.07000000000000001</v>
      </c>
      <c r="CH842" s="5" t="n">
        <v>1</v>
      </c>
      <c r="CI842" s="5" t="n">
        <v>0</v>
      </c>
      <c r="CJ842" s="5" t="n">
        <v>0</v>
      </c>
      <c r="CK842" s="5" t="n">
        <v>0</v>
      </c>
      <c r="CL842" s="5" t="n">
        <v>0.229</v>
      </c>
      <c r="CM842" s="5" t="n">
        <v>0</v>
      </c>
      <c r="CN842" s="5" t="n">
        <v>1.013</v>
      </c>
      <c r="CO842" s="5" t="n">
        <v>1.649</v>
      </c>
      <c r="CP842" s="5" t="n">
        <v>0</v>
      </c>
      <c r="CQ842" s="5" t="n">
        <v>1.364</v>
      </c>
      <c r="CR842" s="5" t="n">
        <v>0</v>
      </c>
      <c r="CS842" s="5" t="n">
        <v>3.624</v>
      </c>
      <c r="CT842" s="5" t="n">
        <v>3.136</v>
      </c>
      <c r="CU842" s="5" t="n">
        <v>3.624</v>
      </c>
    </row>
    <row r="843">
      <c r="A843" s="5" t="inlineStr">
        <is>
          <t>USA2022</t>
        </is>
      </c>
      <c r="B843" s="5" t="inlineStr">
        <is>
          <t>USA</t>
        </is>
      </c>
      <c r="C843" s="5" t="inlineStr">
        <is>
          <t>USA</t>
        </is>
      </c>
      <c r="D843" s="5" t="inlineStr">
        <is>
          <t>United States</t>
        </is>
      </c>
      <c r="E843" s="5" t="n">
        <v>2022</v>
      </c>
      <c r="F843" s="5" t="n">
        <v>0.07000000000000001</v>
      </c>
      <c r="G843" s="5" t="n">
        <v>1.892</v>
      </c>
      <c r="H843" s="5" t="n">
        <v>0.294</v>
      </c>
      <c r="I843" s="5" t="n">
        <v>0.217</v>
      </c>
      <c r="J843" s="5" t="n">
        <v>2.109</v>
      </c>
      <c r="K843" s="5" t="n">
        <v>0</v>
      </c>
      <c r="L843" s="5" t="n">
        <v>1</v>
      </c>
      <c r="M843" s="5" t="n">
        <v>2.833</v>
      </c>
      <c r="N843" s="5" t="n">
        <v>1.17</v>
      </c>
      <c r="O843" s="5" t="n">
        <v>0.2</v>
      </c>
      <c r="P843" s="5" t="n">
        <v>3.033</v>
      </c>
      <c r="Q843" s="5" t="n">
        <v>0</v>
      </c>
      <c r="R843" s="5" t="n">
        <v>1</v>
      </c>
      <c r="S843" s="5" t="n">
        <v>5.296</v>
      </c>
      <c r="T843" s="5" t="n">
        <v>3.756</v>
      </c>
      <c r="U843" s="5" t="n">
        <v>0.183</v>
      </c>
      <c r="V843" s="5" t="n">
        <v>5.833</v>
      </c>
      <c r="W843" s="5" t="n">
        <v>0.07000000000000001</v>
      </c>
      <c r="X843" s="5" t="n">
        <v>1</v>
      </c>
      <c r="Y843" s="5" t="n">
        <v>6.835</v>
      </c>
      <c r="Z843" s="5" t="n">
        <v>0.717</v>
      </c>
      <c r="AA843" s="5" t="n">
        <v>0.127</v>
      </c>
      <c r="AB843" s="5" t="n">
        <v>6.962</v>
      </c>
      <c r="AC843" s="5" t="n">
        <v>0</v>
      </c>
      <c r="AD843" s="5" t="n">
        <v>1</v>
      </c>
      <c r="AE843" s="5" t="n">
        <v>12.431</v>
      </c>
      <c r="AF843" s="5" t="n">
        <v>2.304</v>
      </c>
      <c r="AG843" s="5" t="n">
        <v>0.109</v>
      </c>
      <c r="AH843" s="5" t="n">
        <v>12.54</v>
      </c>
      <c r="AI843" s="5" t="n">
        <v>0</v>
      </c>
      <c r="AJ843" s="5" t="n">
        <v>1</v>
      </c>
      <c r="AK843" s="5" t="n">
        <v>15.546</v>
      </c>
      <c r="AL843" s="5" t="n">
        <v>7.424</v>
      </c>
      <c r="AM843" s="5" t="n">
        <v>-1.527</v>
      </c>
      <c r="AN843" s="5" t="n">
        <v>15</v>
      </c>
      <c r="AO843" s="5" t="n">
        <v>0</v>
      </c>
      <c r="AP843" s="5" t="n">
        <v>1</v>
      </c>
      <c r="AQ843" s="5" t="n">
        <v>0.9370000000000001</v>
      </c>
      <c r="AR843" s="5" t="n">
        <v>0.123</v>
      </c>
      <c r="AS843" s="5" t="n">
        <v>0.111</v>
      </c>
      <c r="AT843" s="5" t="n">
        <v>1.121</v>
      </c>
      <c r="AU843" s="5" t="n">
        <v>0.07000000000000001</v>
      </c>
      <c r="AV843" s="5" t="n">
        <v>1</v>
      </c>
      <c r="AW843" s="5" t="n">
        <v>0.89</v>
      </c>
      <c r="AX843" s="5" t="n">
        <v>0.123</v>
      </c>
      <c r="AY843" s="5" t="n">
        <v>0.334</v>
      </c>
      <c r="AZ843" s="5" t="n">
        <v>1.31</v>
      </c>
      <c r="BA843" s="5" t="n">
        <v>0.07000000000000001</v>
      </c>
      <c r="BB843" s="5" t="n">
        <v>1</v>
      </c>
      <c r="BC843" s="5" t="n">
        <v>0.646</v>
      </c>
      <c r="BD843" s="5" t="n">
        <v>0.123</v>
      </c>
      <c r="BE843" s="5" t="n">
        <v>0.007</v>
      </c>
      <c r="BF843" s="5" t="n">
        <v>0.695</v>
      </c>
      <c r="BG843" s="5" t="n">
        <v>0.07000000000000001</v>
      </c>
      <c r="BH843" s="5" t="n">
        <v>1</v>
      </c>
      <c r="BI843" s="5" t="n">
        <v>0.8</v>
      </c>
      <c r="BJ843" s="5" t="n">
        <v>0.123</v>
      </c>
      <c r="BK843" s="5" t="n">
        <v>0.414</v>
      </c>
      <c r="BL843" s="5" t="n">
        <v>1.299</v>
      </c>
      <c r="BM843" s="5" t="n">
        <v>0.07000000000000001</v>
      </c>
      <c r="BN843" s="5" t="n">
        <v>1</v>
      </c>
      <c r="BO843" s="5" t="n">
        <v>0</v>
      </c>
      <c r="BP843" s="5" t="n">
        <v>0.003</v>
      </c>
      <c r="BQ843" s="5" t="n">
        <v>0.14</v>
      </c>
      <c r="BR843" s="5" t="n">
        <v>0</v>
      </c>
      <c r="BS843" s="5" t="n">
        <v>1</v>
      </c>
      <c r="BT843" s="5" t="n">
        <v>0</v>
      </c>
      <c r="BU843" s="5" t="n">
        <v>-0.004</v>
      </c>
      <c r="BV843" s="5" t="n">
        <v>0.173</v>
      </c>
      <c r="BW843" s="5" t="n">
        <v>0.07000000000000001</v>
      </c>
      <c r="BX843" s="5" t="n">
        <v>1</v>
      </c>
      <c r="BY843" s="5" t="n">
        <v>12.729</v>
      </c>
      <c r="BZ843" s="5" t="n">
        <v>0</v>
      </c>
      <c r="CA843" s="5" t="n">
        <v>12.729</v>
      </c>
      <c r="CB843" s="5" t="n">
        <v>0</v>
      </c>
      <c r="CC843" s="5" t="n">
        <v>84.79000000000001</v>
      </c>
      <c r="CD843" s="5" t="n">
        <v>7.95</v>
      </c>
      <c r="CE843" s="5" t="n">
        <v>27.65</v>
      </c>
      <c r="CF843" s="5" t="n">
        <v>120.311</v>
      </c>
      <c r="CG843" s="5" t="n">
        <v>0.07000000000000001</v>
      </c>
      <c r="CH843" s="5" t="n">
        <v>1</v>
      </c>
      <c r="CI843" s="5" t="n">
        <v>0</v>
      </c>
      <c r="CJ843" s="5" t="n">
        <v>0</v>
      </c>
      <c r="CK843" s="5" t="n">
        <v>0</v>
      </c>
      <c r="CL843" s="5" t="n">
        <v>0.248</v>
      </c>
      <c r="CM843" s="5" t="n">
        <v>0</v>
      </c>
      <c r="CN843" s="5" t="n">
        <v>1.151</v>
      </c>
      <c r="CO843" s="5" t="n">
        <v>1.902</v>
      </c>
      <c r="CP843" s="5" t="n">
        <v>0</v>
      </c>
      <c r="CQ843" s="5" t="n">
        <v>1.473</v>
      </c>
      <c r="CR843" s="5" t="n">
        <v>0</v>
      </c>
      <c r="CS843" s="5" t="n">
        <v>6.122</v>
      </c>
      <c r="CT843" s="5" t="n">
        <v>6.323</v>
      </c>
      <c r="CU843" s="5" t="n">
        <v>6.122</v>
      </c>
    </row>
    <row r="844">
      <c r="A844" s="5" t="inlineStr">
        <is>
          <t>USA2023</t>
        </is>
      </c>
      <c r="B844" s="5" t="inlineStr">
        <is>
          <t>USA</t>
        </is>
      </c>
      <c r="C844" s="5" t="inlineStr">
        <is>
          <t>USA</t>
        </is>
      </c>
      <c r="D844" s="5" t="inlineStr">
        <is>
          <t>United States</t>
        </is>
      </c>
      <c r="E844" s="5" t="n">
        <v>2023</v>
      </c>
      <c r="F844" s="5" t="n">
        <v>0.07000000000000001</v>
      </c>
      <c r="G844" s="5" t="n">
        <v>2.008</v>
      </c>
      <c r="H844" s="5" t="n">
        <v>0.457</v>
      </c>
      <c r="I844" s="5" t="n">
        <v>0.246</v>
      </c>
      <c r="J844" s="5" t="n">
        <v>2.254</v>
      </c>
      <c r="K844" s="5" t="n">
        <v>0</v>
      </c>
      <c r="L844" s="5" t="n">
        <v>1</v>
      </c>
      <c r="M844" s="5" t="n">
        <v>3.383</v>
      </c>
      <c r="N844" s="5" t="n">
        <v>1.678</v>
      </c>
      <c r="O844" s="5" t="n">
        <v>0.288</v>
      </c>
      <c r="P844" s="5" t="n">
        <v>3.671</v>
      </c>
      <c r="Q844" s="5" t="n">
        <v>0</v>
      </c>
      <c r="R844" s="5" t="n">
        <v>1</v>
      </c>
      <c r="S844" s="5" t="n">
        <v>5.451</v>
      </c>
      <c r="T844" s="5" t="n">
        <v>3.894</v>
      </c>
      <c r="U844" s="5" t="n">
        <v>0.268</v>
      </c>
      <c r="V844" s="5" t="n">
        <v>6.072</v>
      </c>
      <c r="W844" s="5" t="n">
        <v>0.07000000000000001</v>
      </c>
      <c r="X844" s="5" t="n">
        <v>1</v>
      </c>
      <c r="Y844" s="5" t="n">
        <v>3.187</v>
      </c>
      <c r="Z844" s="5" t="n">
        <v>0.357</v>
      </c>
      <c r="AA844" s="5" t="n">
        <v>0.144</v>
      </c>
      <c r="AB844" s="5" t="n">
        <v>3.331</v>
      </c>
      <c r="AC844" s="5" t="n">
        <v>0</v>
      </c>
      <c r="AD844" s="5" t="n">
        <v>1</v>
      </c>
      <c r="AE844" s="5" t="n">
        <v>9.375</v>
      </c>
      <c r="AF844" s="5" t="n">
        <v>1.867</v>
      </c>
      <c r="AG844" s="5" t="n">
        <v>0.156</v>
      </c>
      <c r="AH844" s="5" t="n">
        <v>9.531000000000001</v>
      </c>
      <c r="AI844" s="5" t="n">
        <v>0</v>
      </c>
      <c r="AJ844" s="5" t="n">
        <v>1</v>
      </c>
      <c r="AK844" s="5" t="n">
        <v>12.623</v>
      </c>
      <c r="AL844" s="5" t="n">
        <v>6.253</v>
      </c>
      <c r="AM844" s="5" t="n">
        <v>-1.265</v>
      </c>
      <c r="AN844" s="5" t="n">
        <v>12.153</v>
      </c>
      <c r="AO844" s="5" t="n">
        <v>0</v>
      </c>
      <c r="AP844" s="5" t="n">
        <v>1</v>
      </c>
      <c r="AQ844" s="5" t="n">
        <v>0.8139999999999999</v>
      </c>
      <c r="AR844" s="5" t="n">
        <v>0.129</v>
      </c>
      <c r="AS844" s="5" t="n">
        <v>0.13</v>
      </c>
      <c r="AT844" s="5" t="n">
        <v>1.01</v>
      </c>
      <c r="AU844" s="5" t="n">
        <v>0.07000000000000001</v>
      </c>
      <c r="AV844" s="5" t="n">
        <v>1</v>
      </c>
      <c r="AW844" s="5" t="n">
        <v>0.618</v>
      </c>
      <c r="AX844" s="5" t="n">
        <v>0.129</v>
      </c>
      <c r="AY844" s="5" t="n">
        <v>0.422</v>
      </c>
      <c r="AZ844" s="5" t="n">
        <v>1.113</v>
      </c>
      <c r="BA844" s="5" t="n">
        <v>0.07000000000000001</v>
      </c>
      <c r="BB844" s="5" t="n">
        <v>1</v>
      </c>
      <c r="BC844" s="5" t="n">
        <v>0.569</v>
      </c>
      <c r="BD844" s="5" t="n">
        <v>0.129</v>
      </c>
      <c r="BE844" s="5" t="n">
        <v>0.008999999999999999</v>
      </c>
      <c r="BF844" s="5" t="n">
        <v>0.614</v>
      </c>
      <c r="BG844" s="5" t="n">
        <v>0.07000000000000001</v>
      </c>
      <c r="BH844" s="5" t="n">
        <v>1</v>
      </c>
      <c r="BI844" s="5" t="n">
        <v>0.697</v>
      </c>
      <c r="BJ844" s="5" t="n">
        <v>0.129</v>
      </c>
      <c r="BK844" s="5" t="n">
        <v>0.321</v>
      </c>
      <c r="BL844" s="5" t="n">
        <v>1.089</v>
      </c>
      <c r="BM844" s="5" t="n">
        <v>0.07000000000000001</v>
      </c>
      <c r="BN844" s="5" t="n">
        <v>1</v>
      </c>
      <c r="BO844" s="5" t="n">
        <v>0</v>
      </c>
      <c r="BP844" s="5" t="n">
        <v>0.003</v>
      </c>
      <c r="BQ844" s="5" t="n">
        <v>0.144</v>
      </c>
      <c r="BR844" s="5" t="n">
        <v>0</v>
      </c>
      <c r="BS844" s="5" t="n">
        <v>1</v>
      </c>
      <c r="BT844" s="5" t="n">
        <v>0</v>
      </c>
      <c r="BU844" s="5" t="n">
        <v>-0.004</v>
      </c>
      <c r="BV844" s="5" t="n">
        <v>0.169</v>
      </c>
      <c r="BW844" s="5" t="n">
        <v>0.07000000000000001</v>
      </c>
      <c r="BX844" s="5" t="n">
        <v>1</v>
      </c>
      <c r="BY844" s="5" t="n">
        <v>13.254</v>
      </c>
      <c r="BZ844" s="5" t="n">
        <v>0</v>
      </c>
      <c r="CA844" s="5" t="n">
        <v>13.254</v>
      </c>
      <c r="CB844" s="5" t="n">
        <v>0</v>
      </c>
      <c r="CC844" s="5" t="n">
        <v>68.569</v>
      </c>
      <c r="CD844" s="5" t="n">
        <v>7.95</v>
      </c>
      <c r="CE844" s="5" t="n">
        <v>41.73</v>
      </c>
      <c r="CF844" s="5" t="n">
        <v>118.02</v>
      </c>
      <c r="CG844" s="5" t="n">
        <v>0.07000000000000001</v>
      </c>
      <c r="CH844" s="5" t="n">
        <v>1</v>
      </c>
      <c r="CI844" s="5" t="n">
        <v>0</v>
      </c>
      <c r="CJ844" s="5" t="n">
        <v>0</v>
      </c>
      <c r="CK844" s="5" t="n">
        <v>0</v>
      </c>
      <c r="CL844" s="5" t="n">
        <v>0.258</v>
      </c>
      <c r="CM844" s="5" t="n">
        <v>0</v>
      </c>
      <c r="CN844" s="5" t="n">
        <v>1.25</v>
      </c>
      <c r="CO844" s="5" t="n">
        <v>2.124</v>
      </c>
      <c r="CP844" s="5" t="n">
        <v>0</v>
      </c>
      <c r="CQ844" s="5" t="n">
        <v>1.534</v>
      </c>
      <c r="CR844" s="5" t="n">
        <v>0</v>
      </c>
      <c r="CS844" s="5" t="n">
        <v>2.445</v>
      </c>
      <c r="CT844" s="5" t="n">
        <v>3.961</v>
      </c>
      <c r="CU844" s="5" t="n">
        <v>2.445</v>
      </c>
    </row>
    <row r="845">
      <c r="A845" s="5" t="inlineStr">
        <is>
          <t>USA2024</t>
        </is>
      </c>
      <c r="B845" s="5" t="inlineStr">
        <is>
          <t>USA</t>
        </is>
      </c>
      <c r="C845" s="5" t="inlineStr">
        <is>
          <t>USA</t>
        </is>
      </c>
      <c r="D845" s="5" t="inlineStr">
        <is>
          <t>United States</t>
        </is>
      </c>
      <c r="E845" s="5" t="n">
        <v>2024</v>
      </c>
      <c r="F845" s="5" t="n">
        <v>0.07000000000000001</v>
      </c>
      <c r="G845" s="5" t="n">
        <v>1.746</v>
      </c>
      <c r="H845" s="5" t="n">
        <v>0.442</v>
      </c>
      <c r="I845" s="5" t="n">
        <v>0.253</v>
      </c>
      <c r="J845" s="5" t="n">
        <v>1.999</v>
      </c>
      <c r="K845" s="5" t="n">
        <v>0</v>
      </c>
      <c r="L845" s="5" t="n">
        <v>1</v>
      </c>
      <c r="M845" s="5" t="n">
        <v>2.845</v>
      </c>
      <c r="N845" s="5" t="n">
        <v>1.55</v>
      </c>
      <c r="O845" s="5" t="n">
        <v>0.297</v>
      </c>
      <c r="P845" s="5" t="n">
        <v>3.141</v>
      </c>
      <c r="Q845" s="5" t="n">
        <v>0</v>
      </c>
      <c r="R845" s="5" t="n">
        <v>1</v>
      </c>
      <c r="S845" s="5" t="n">
        <v>5.618</v>
      </c>
      <c r="T845" s="5" t="n">
        <v>4.009</v>
      </c>
      <c r="U845" s="5" t="n">
        <v>0.286</v>
      </c>
      <c r="V845" s="5" t="n">
        <v>6.258</v>
      </c>
      <c r="W845" s="5" t="n">
        <v>0.07000000000000001</v>
      </c>
      <c r="X845" s="5" t="n">
        <v>1</v>
      </c>
      <c r="Y845" s="5" t="n">
        <v>2.492</v>
      </c>
      <c r="Z845" s="5" t="n">
        <v>0.315</v>
      </c>
      <c r="AA845" s="5" t="n">
        <v>0.148</v>
      </c>
      <c r="AB845" s="5" t="n">
        <v>2.64</v>
      </c>
      <c r="AC845" s="5" t="n">
        <v>0</v>
      </c>
      <c r="AD845" s="5" t="n">
        <v>1</v>
      </c>
      <c r="AE845" s="5" t="n">
        <v>8.52</v>
      </c>
      <c r="AF845" s="5" t="n">
        <v>1.866</v>
      </c>
      <c r="AG845" s="5" t="n">
        <v>0.161</v>
      </c>
      <c r="AH845" s="5" t="n">
        <v>8.680999999999999</v>
      </c>
      <c r="AI845" s="5" t="n">
        <v>0</v>
      </c>
      <c r="AJ845" s="5" t="n">
        <v>1</v>
      </c>
      <c r="AK845" s="5" t="n">
        <v>11.864</v>
      </c>
      <c r="AL845" s="5" t="n">
        <v>6.034</v>
      </c>
      <c r="AM845" s="5" t="n">
        <v>-1.285</v>
      </c>
      <c r="AN845" s="5" t="n">
        <v>11.319</v>
      </c>
      <c r="AO845" s="5" t="n">
        <v>0</v>
      </c>
      <c r="AP845" s="5" t="n">
        <v>1</v>
      </c>
      <c r="AQ845" s="5" t="n">
        <v>0.75</v>
      </c>
      <c r="AR845" s="5" t="n">
        <v>0.132</v>
      </c>
      <c r="AS845" s="5" t="n">
        <v>0.148</v>
      </c>
      <c r="AT845" s="5" t="n">
        <v>0.96</v>
      </c>
      <c r="AU845" s="5" t="n">
        <v>0.07000000000000001</v>
      </c>
      <c r="AV845" s="5" t="n">
        <v>1</v>
      </c>
      <c r="AW845" s="5" t="n">
        <v>0.655</v>
      </c>
      <c r="AX845" s="5" t="n">
        <v>0.132</v>
      </c>
      <c r="AY845" s="5" t="n">
        <v>0.275</v>
      </c>
      <c r="AZ845" s="5" t="n">
        <v>0.995</v>
      </c>
      <c r="BA845" s="5" t="n">
        <v>0.07000000000000001</v>
      </c>
      <c r="BB845" s="5" t="n">
        <v>1</v>
      </c>
      <c r="BC845" s="5" t="n">
        <v>0.529</v>
      </c>
      <c r="BD845" s="5" t="n">
        <v>0.132</v>
      </c>
      <c r="BE845" s="5" t="n">
        <v>0.01</v>
      </c>
      <c r="BF845" s="5" t="n">
        <v>0.572</v>
      </c>
      <c r="BG845" s="5" t="n">
        <v>0.07000000000000001</v>
      </c>
      <c r="BH845" s="5" t="n">
        <v>1</v>
      </c>
      <c r="BI845" s="5" t="n">
        <v>0.666</v>
      </c>
      <c r="BJ845" s="5" t="n">
        <v>0.132</v>
      </c>
      <c r="BK845" s="5" t="n">
        <v>0.284</v>
      </c>
      <c r="BL845" s="5" t="n">
        <v>1.016</v>
      </c>
      <c r="BM845" s="5" t="n">
        <v>0.07000000000000001</v>
      </c>
      <c r="BN845" s="5" t="n">
        <v>1</v>
      </c>
      <c r="BO845" s="5" t="n">
        <v>0</v>
      </c>
      <c r="BP845" s="5" t="n">
        <v>0.003</v>
      </c>
      <c r="BQ845" s="5" t="n">
        <v>0.149</v>
      </c>
      <c r="BR845" s="5" t="n">
        <v>0</v>
      </c>
      <c r="BS845" s="5" t="n">
        <v>1</v>
      </c>
      <c r="BT845" s="5" t="n">
        <v>0</v>
      </c>
      <c r="BU845" s="5" t="n">
        <v>-0.004</v>
      </c>
      <c r="BV845" s="5" t="n">
        <v>0.187</v>
      </c>
      <c r="BW845" s="5" t="n">
        <v>0.07000000000000001</v>
      </c>
      <c r="BX845" s="5" t="n">
        <v>1</v>
      </c>
      <c r="BY845" s="5" t="n">
        <v>13.646</v>
      </c>
      <c r="BZ845" s="5" t="n">
        <v>0</v>
      </c>
      <c r="CA845" s="5" t="n">
        <v>13.646</v>
      </c>
      <c r="CB845" s="5" t="n">
        <v>0</v>
      </c>
      <c r="CC845" s="5" t="n">
        <v>66.652</v>
      </c>
      <c r="CD845" s="5" t="n">
        <v>7.95</v>
      </c>
      <c r="CE845" s="5" t="n">
        <v>35.22</v>
      </c>
      <c r="CF845" s="5" t="n">
        <v>109.003</v>
      </c>
      <c r="CG845" s="5" t="n">
        <v>0.07000000000000001</v>
      </c>
      <c r="CH845" s="5" t="n">
        <v>1</v>
      </c>
      <c r="CI845" s="5" t="n">
        <v>0</v>
      </c>
      <c r="CJ845" s="5" t="n">
        <v>0</v>
      </c>
      <c r="CK845" s="5" t="n">
        <v>0</v>
      </c>
      <c r="CL845" s="5" t="n">
        <v>0.266</v>
      </c>
      <c r="CM845" s="5" t="n">
        <v>0</v>
      </c>
      <c r="CN845" s="5" t="n">
        <v>1.28</v>
      </c>
      <c r="CO845" s="5" t="n">
        <v>2.256</v>
      </c>
      <c r="CP845" s="5" t="n">
        <v>0</v>
      </c>
      <c r="CQ845" s="5" t="n">
        <v>1.579</v>
      </c>
      <c r="CR845" s="5" t="n">
        <v>0</v>
      </c>
      <c r="CS845" s="5" t="n">
        <v>2.211</v>
      </c>
      <c r="CT845" s="5" t="n">
        <v>4.658</v>
      </c>
      <c r="CU845" s="5" t="n">
        <v>2.211</v>
      </c>
    </row>
    <row r="846">
      <c r="A846" s="5" t="inlineStr">
        <is>
          <t>URY2021</t>
        </is>
      </c>
      <c r="B846" s="5" t="inlineStr">
        <is>
          <t>URY</t>
        </is>
      </c>
      <c r="C846" s="5" t="inlineStr">
        <is>
          <t>URY</t>
        </is>
      </c>
      <c r="D846" s="5" t="inlineStr">
        <is>
          <t>Uruguay</t>
        </is>
      </c>
      <c r="E846" s="5" t="n">
        <v>2021</v>
      </c>
      <c r="F846" s="5" t="n">
        <v>0.22</v>
      </c>
      <c r="G846" s="5" t="n">
        <v>5.897</v>
      </c>
      <c r="H846" s="5" t="n">
        <v>1.143</v>
      </c>
      <c r="I846" s="5" t="n">
        <v>0</v>
      </c>
      <c r="J846" s="5" t="n">
        <v>5.897</v>
      </c>
      <c r="K846" s="5" t="n">
        <v>0</v>
      </c>
      <c r="L846" s="5" t="n">
        <v>1</v>
      </c>
      <c r="M846" s="5" t="n">
        <v>7.964</v>
      </c>
      <c r="N846" s="5" t="n">
        <v>3.43</v>
      </c>
      <c r="O846" s="5" t="n">
        <v>0</v>
      </c>
      <c r="P846" s="5" t="n">
        <v>7.964</v>
      </c>
      <c r="Q846" s="5" t="n">
        <v>0</v>
      </c>
      <c r="R846" s="5" t="n">
        <v>1</v>
      </c>
      <c r="S846" s="5" t="n">
        <v>11.613</v>
      </c>
      <c r="T846" s="5" t="n">
        <v>6.86</v>
      </c>
      <c r="U846" s="5" t="n">
        <v>0</v>
      </c>
      <c r="V846" s="5" t="n">
        <v>14.168</v>
      </c>
      <c r="W846" s="5" t="n">
        <v>0.22</v>
      </c>
      <c r="X846" s="5" t="n">
        <v>1</v>
      </c>
      <c r="Y846" s="5" t="n">
        <v>5.919</v>
      </c>
      <c r="Z846" s="5" t="n">
        <v>0.796</v>
      </c>
      <c r="AA846" s="5" t="n">
        <v>17.006</v>
      </c>
      <c r="AB846" s="5" t="n">
        <v>22.925</v>
      </c>
      <c r="AC846" s="5" t="n">
        <v>0</v>
      </c>
      <c r="AD846" s="5" t="n">
        <v>1</v>
      </c>
      <c r="AE846" s="5" t="n">
        <v>7.062</v>
      </c>
      <c r="AF846" s="5" t="n">
        <v>1.654</v>
      </c>
      <c r="AG846" s="5" t="n">
        <v>15.862</v>
      </c>
      <c r="AH846" s="5" t="n">
        <v>22.925</v>
      </c>
      <c r="AI846" s="5" t="n">
        <v>0</v>
      </c>
      <c r="AJ846" s="5" t="n">
        <v>1</v>
      </c>
      <c r="AK846" s="5" t="n">
        <v>13.922</v>
      </c>
      <c r="AL846" s="5" t="n">
        <v>7.481</v>
      </c>
      <c r="AM846" s="5" t="n">
        <v>15.412</v>
      </c>
      <c r="AN846" s="5" t="n">
        <v>35.788</v>
      </c>
      <c r="AO846" s="5" t="n">
        <v>0.22</v>
      </c>
      <c r="AP846" s="5" t="n">
        <v>1</v>
      </c>
      <c r="AQ846" s="5" t="n">
        <v>0.649</v>
      </c>
      <c r="AR846" s="5" t="n">
        <v>0.114</v>
      </c>
      <c r="AS846" s="5" t="n">
        <v>0.836</v>
      </c>
      <c r="AT846" s="5" t="n">
        <v>1.485</v>
      </c>
      <c r="AU846" s="5" t="n">
        <v>0</v>
      </c>
      <c r="AV846" s="5" t="n">
        <v>1</v>
      </c>
      <c r="AW846" s="5" t="n">
        <v>0.577</v>
      </c>
      <c r="AX846" s="5" t="n">
        <v>0.114</v>
      </c>
      <c r="AY846" s="5" t="n">
        <v>0.277</v>
      </c>
      <c r="AZ846" s="5" t="n">
        <v>1.041</v>
      </c>
      <c r="BA846" s="5" t="n">
        <v>0.22</v>
      </c>
      <c r="BB846" s="5" t="n">
        <v>1</v>
      </c>
      <c r="BC846" s="5" t="n">
        <v>0.458</v>
      </c>
      <c r="BD846" s="5" t="n">
        <v>0.114</v>
      </c>
      <c r="BE846" s="5" t="n">
        <v>0.057</v>
      </c>
      <c r="BF846" s="5" t="n">
        <v>0.629</v>
      </c>
      <c r="BG846" s="5" t="n">
        <v>0.22</v>
      </c>
      <c r="BH846" s="5" t="n">
        <v>1</v>
      </c>
      <c r="BI846" s="5" t="n">
        <v>0.491</v>
      </c>
      <c r="BJ846" s="5" t="n">
        <v>0.114</v>
      </c>
      <c r="BK846" s="5" t="n">
        <v>0.495</v>
      </c>
      <c r="BL846" s="5" t="n">
        <v>0.986</v>
      </c>
      <c r="BM846" s="5" t="n">
        <v>0</v>
      </c>
      <c r="BN846" s="5" t="n">
        <v>1</v>
      </c>
      <c r="BO846" s="5" t="n">
        <v>0</v>
      </c>
      <c r="BP846" s="5" t="n">
        <v>0</v>
      </c>
      <c r="BQ846" s="5" t="n">
        <v>0.127</v>
      </c>
      <c r="BR846" s="5" t="n">
        <v>0</v>
      </c>
      <c r="BS846" s="5" t="n">
        <v>1</v>
      </c>
      <c r="BT846" s="5" t="n">
        <v>0</v>
      </c>
      <c r="BU846" s="5" t="n">
        <v>0</v>
      </c>
      <c r="BV846" s="5" t="n">
        <v>0.174</v>
      </c>
      <c r="BW846" s="5" t="n">
        <v>0.22</v>
      </c>
      <c r="BX846" s="5" t="n">
        <v>1</v>
      </c>
      <c r="BY846" s="5" t="n">
        <v>11.787</v>
      </c>
      <c r="BZ846" s="5" t="n">
        <v>0</v>
      </c>
      <c r="CA846" s="5" t="n">
        <v>11.787</v>
      </c>
      <c r="CB846" s="5" t="n">
        <v>0</v>
      </c>
      <c r="CC846" s="5" t="n">
        <v>78.125</v>
      </c>
      <c r="CD846" s="5" t="n">
        <v>7.95</v>
      </c>
      <c r="CE846" s="5" t="n">
        <v>-4.62</v>
      </c>
      <c r="CF846" s="5" t="n">
        <v>89.676</v>
      </c>
      <c r="CG846" s="5" t="n">
        <v>0.22</v>
      </c>
      <c r="CH846" s="5" t="n">
        <v>1</v>
      </c>
      <c r="CI846" s="5" t="n">
        <v>0</v>
      </c>
      <c r="CJ846" s="5" t="n">
        <v>0</v>
      </c>
      <c r="CK846" s="5" t="n">
        <v>0</v>
      </c>
      <c r="CL846" s="5" t="n">
        <v>0</v>
      </c>
      <c r="CM846" s="5" t="n">
        <v>0</v>
      </c>
      <c r="CN846" s="5" t="n">
        <v>0</v>
      </c>
      <c r="CO846" s="5" t="n">
        <v>0</v>
      </c>
      <c r="CP846" s="5" t="n">
        <v>0</v>
      </c>
      <c r="CQ846" s="5" t="n">
        <v>1.198</v>
      </c>
      <c r="CR846" s="5" t="n">
        <v>0</v>
      </c>
      <c r="CS846" s="5" t="n">
        <v>4.776</v>
      </c>
      <c r="CT846" s="5" t="n">
        <v>4.753</v>
      </c>
      <c r="CU846" s="5" t="n">
        <v>15.983</v>
      </c>
    </row>
    <row r="847">
      <c r="A847" s="5" t="inlineStr">
        <is>
          <t>URY2022</t>
        </is>
      </c>
      <c r="B847" s="5" t="inlineStr">
        <is>
          <t>URY</t>
        </is>
      </c>
      <c r="C847" s="5" t="inlineStr">
        <is>
          <t>URY</t>
        </is>
      </c>
      <c r="D847" s="5" t="inlineStr">
        <is>
          <t>Uruguay</t>
        </is>
      </c>
      <c r="E847" s="5" t="n">
        <v>2022</v>
      </c>
      <c r="F847" s="5" t="n">
        <v>0.22</v>
      </c>
      <c r="G847" s="5" t="n">
        <v>11.72</v>
      </c>
      <c r="H847" s="5" t="n">
        <v>1.235</v>
      </c>
      <c r="I847" s="5" t="n">
        <v>0</v>
      </c>
      <c r="J847" s="5" t="n">
        <v>11.72</v>
      </c>
      <c r="K847" s="5" t="n">
        <v>0</v>
      </c>
      <c r="L847" s="5" t="n">
        <v>1</v>
      </c>
      <c r="M847" s="5" t="n">
        <v>9.782999999999999</v>
      </c>
      <c r="N847" s="5" t="n">
        <v>3.704</v>
      </c>
      <c r="O847" s="5" t="n">
        <v>0</v>
      </c>
      <c r="P847" s="5" t="n">
        <v>9.782999999999999</v>
      </c>
      <c r="Q847" s="5" t="n">
        <v>0</v>
      </c>
      <c r="R847" s="5" t="n">
        <v>1</v>
      </c>
      <c r="S847" s="5" t="n">
        <v>17.893</v>
      </c>
      <c r="T847" s="5" t="n">
        <v>7.408</v>
      </c>
      <c r="U847" s="5" t="n">
        <v>0.291</v>
      </c>
      <c r="V847" s="5" t="n">
        <v>21.83</v>
      </c>
      <c r="W847" s="5" t="n">
        <v>0.22</v>
      </c>
      <c r="X847" s="5" t="n">
        <v>1</v>
      </c>
      <c r="Y847" s="5" t="n">
        <v>6.392</v>
      </c>
      <c r="Z847" s="5" t="n">
        <v>0.86</v>
      </c>
      <c r="AA847" s="5" t="n">
        <v>18.365</v>
      </c>
      <c r="AB847" s="5" t="n">
        <v>24.757</v>
      </c>
      <c r="AC847" s="5" t="n">
        <v>0</v>
      </c>
      <c r="AD847" s="5" t="n">
        <v>1</v>
      </c>
      <c r="AE847" s="5" t="n">
        <v>7.627</v>
      </c>
      <c r="AF847" s="5" t="n">
        <v>1.786</v>
      </c>
      <c r="AG847" s="5" t="n">
        <v>17.13</v>
      </c>
      <c r="AH847" s="5" t="n">
        <v>24.757</v>
      </c>
      <c r="AI847" s="5" t="n">
        <v>0</v>
      </c>
      <c r="AJ847" s="5" t="n">
        <v>1</v>
      </c>
      <c r="AK847" s="5" t="n">
        <v>15.035</v>
      </c>
      <c r="AL847" s="5" t="n">
        <v>8.079000000000001</v>
      </c>
      <c r="AM847" s="5" t="n">
        <v>17.16</v>
      </c>
      <c r="AN847" s="5" t="n">
        <v>38.649</v>
      </c>
      <c r="AO847" s="5" t="n">
        <v>0.22</v>
      </c>
      <c r="AP847" s="5" t="n">
        <v>1</v>
      </c>
      <c r="AQ847" s="5" t="n">
        <v>0.896</v>
      </c>
      <c r="AR847" s="5" t="n">
        <v>0.123</v>
      </c>
      <c r="AS847" s="5" t="n">
        <v>0.885</v>
      </c>
      <c r="AT847" s="5" t="n">
        <v>1.781</v>
      </c>
      <c r="AU847" s="5" t="n">
        <v>0</v>
      </c>
      <c r="AV847" s="5" t="n">
        <v>1</v>
      </c>
      <c r="AW847" s="5" t="n">
        <v>0.89</v>
      </c>
      <c r="AX847" s="5" t="n">
        <v>0.123</v>
      </c>
      <c r="AY847" s="5" t="n">
        <v>0.19</v>
      </c>
      <c r="AZ847" s="5" t="n">
        <v>1.318</v>
      </c>
      <c r="BA847" s="5" t="n">
        <v>0.22</v>
      </c>
      <c r="BB847" s="5" t="n">
        <v>1</v>
      </c>
      <c r="BC847" s="5" t="n">
        <v>0.62</v>
      </c>
      <c r="BD847" s="5" t="n">
        <v>0.123</v>
      </c>
      <c r="BE847" s="5" t="n">
        <v>-0.021</v>
      </c>
      <c r="BF847" s="5" t="n">
        <v>0.731</v>
      </c>
      <c r="BG847" s="5" t="n">
        <v>0.22</v>
      </c>
      <c r="BH847" s="5" t="n">
        <v>1</v>
      </c>
      <c r="BI847" s="5" t="n">
        <v>0.608</v>
      </c>
      <c r="BJ847" s="5" t="n">
        <v>0.123</v>
      </c>
      <c r="BK847" s="5" t="n">
        <v>0.575</v>
      </c>
      <c r="BL847" s="5" t="n">
        <v>1.183</v>
      </c>
      <c r="BM847" s="5" t="n">
        <v>0</v>
      </c>
      <c r="BN847" s="5" t="n">
        <v>1</v>
      </c>
      <c r="BO847" s="5" t="n">
        <v>0</v>
      </c>
      <c r="BP847" s="5" t="n">
        <v>0</v>
      </c>
      <c r="BQ847" s="5" t="n">
        <v>0.14</v>
      </c>
      <c r="BR847" s="5" t="n">
        <v>0</v>
      </c>
      <c r="BS847" s="5" t="n">
        <v>1</v>
      </c>
      <c r="BT847" s="5" t="n">
        <v>0</v>
      </c>
      <c r="BU847" s="5" t="n">
        <v>0</v>
      </c>
      <c r="BV847" s="5" t="n">
        <v>0.191</v>
      </c>
      <c r="BW847" s="5" t="n">
        <v>0.22</v>
      </c>
      <c r="BX847" s="5" t="n">
        <v>1</v>
      </c>
      <c r="BY847" s="5" t="n">
        <v>12.729</v>
      </c>
      <c r="BZ847" s="5" t="n">
        <v>0</v>
      </c>
      <c r="CA847" s="5" t="n">
        <v>12.729</v>
      </c>
      <c r="CB847" s="5" t="n">
        <v>0</v>
      </c>
      <c r="CC847" s="5" t="n">
        <v>97.90000000000001</v>
      </c>
      <c r="CD847" s="5" t="n">
        <v>7.95</v>
      </c>
      <c r="CE847" s="5" t="n">
        <v>-6.28</v>
      </c>
      <c r="CF847" s="5" t="n">
        <v>111.777</v>
      </c>
      <c r="CG847" s="5" t="n">
        <v>0.22</v>
      </c>
      <c r="CH847" s="5" t="n">
        <v>1</v>
      </c>
      <c r="CI847" s="5" t="n">
        <v>0</v>
      </c>
      <c r="CJ847" s="5" t="n">
        <v>0</v>
      </c>
      <c r="CK847" s="5" t="n">
        <v>0</v>
      </c>
      <c r="CL847" s="5" t="n">
        <v>0</v>
      </c>
      <c r="CM847" s="5" t="n">
        <v>0</v>
      </c>
      <c r="CN847" s="5" t="n">
        <v>0</v>
      </c>
      <c r="CO847" s="5" t="n">
        <v>0</v>
      </c>
      <c r="CP847" s="5" t="n">
        <v>0</v>
      </c>
      <c r="CQ847" s="5" t="n">
        <v>1.294</v>
      </c>
      <c r="CR847" s="5" t="n">
        <v>0</v>
      </c>
      <c r="CS847" s="5" t="n">
        <v>5.158</v>
      </c>
      <c r="CT847" s="5" t="n">
        <v>10.485</v>
      </c>
      <c r="CU847" s="5" t="n">
        <v>29.494</v>
      </c>
    </row>
    <row r="848">
      <c r="A848" s="5" t="inlineStr">
        <is>
          <t>URY2023</t>
        </is>
      </c>
      <c r="B848" s="5" t="inlineStr">
        <is>
          <t>URY</t>
        </is>
      </c>
      <c r="C848" s="5" t="inlineStr">
        <is>
          <t>URY</t>
        </is>
      </c>
      <c r="D848" s="5" t="inlineStr">
        <is>
          <t>Uruguay</t>
        </is>
      </c>
      <c r="E848" s="5" t="n">
        <v>2023</v>
      </c>
      <c r="F848" s="5" t="n">
        <v>0.22</v>
      </c>
      <c r="G848" s="5" t="n">
        <v>5.067</v>
      </c>
      <c r="H848" s="5" t="n">
        <v>1.119</v>
      </c>
      <c r="I848" s="5" t="n">
        <v>0</v>
      </c>
      <c r="J848" s="5" t="n">
        <v>5.067</v>
      </c>
      <c r="K848" s="5" t="n">
        <v>0</v>
      </c>
      <c r="L848" s="5" t="n">
        <v>1</v>
      </c>
      <c r="M848" s="5" t="n">
        <v>6.689</v>
      </c>
      <c r="N848" s="5" t="n">
        <v>3.356</v>
      </c>
      <c r="O848" s="5" t="n">
        <v>0</v>
      </c>
      <c r="P848" s="5" t="n">
        <v>6.689</v>
      </c>
      <c r="Q848" s="5" t="n">
        <v>0</v>
      </c>
      <c r="R848" s="5" t="n">
        <v>1</v>
      </c>
      <c r="S848" s="5" t="n">
        <v>10.661</v>
      </c>
      <c r="T848" s="5" t="n">
        <v>6.712</v>
      </c>
      <c r="U848" s="5" t="n">
        <v>0.26</v>
      </c>
      <c r="V848" s="5" t="n">
        <v>13.006</v>
      </c>
      <c r="W848" s="5" t="n">
        <v>0.22</v>
      </c>
      <c r="X848" s="5" t="n">
        <v>1</v>
      </c>
      <c r="Y848" s="5" t="n">
        <v>6.656</v>
      </c>
      <c r="Z848" s="5" t="n">
        <v>0.895</v>
      </c>
      <c r="AA848" s="5" t="n">
        <v>19.123</v>
      </c>
      <c r="AB848" s="5" t="n">
        <v>25.779</v>
      </c>
      <c r="AC848" s="5" t="n">
        <v>0</v>
      </c>
      <c r="AD848" s="5" t="n">
        <v>1</v>
      </c>
      <c r="AE848" s="5" t="n">
        <v>7.942</v>
      </c>
      <c r="AF848" s="5" t="n">
        <v>1.86</v>
      </c>
      <c r="AG848" s="5" t="n">
        <v>17.837</v>
      </c>
      <c r="AH848" s="5" t="n">
        <v>25.779</v>
      </c>
      <c r="AI848" s="5" t="n">
        <v>0</v>
      </c>
      <c r="AJ848" s="5" t="n">
        <v>1</v>
      </c>
      <c r="AK848" s="5" t="n">
        <v>15.656</v>
      </c>
      <c r="AL848" s="5" t="n">
        <v>8.412000000000001</v>
      </c>
      <c r="AM848" s="5" t="n">
        <v>18.135</v>
      </c>
      <c r="AN848" s="5" t="n">
        <v>40.244</v>
      </c>
      <c r="AO848" s="5" t="n">
        <v>0.22</v>
      </c>
      <c r="AP848" s="5" t="n">
        <v>1</v>
      </c>
      <c r="AQ848" s="5" t="n">
        <v>0.791</v>
      </c>
      <c r="AR848" s="5" t="n">
        <v>0.129</v>
      </c>
      <c r="AS848" s="5" t="n">
        <v>1.077</v>
      </c>
      <c r="AT848" s="5" t="n">
        <v>1.868</v>
      </c>
      <c r="AU848" s="5" t="n">
        <v>0</v>
      </c>
      <c r="AV848" s="5" t="n">
        <v>1</v>
      </c>
      <c r="AW848" s="5" t="n">
        <v>0.618</v>
      </c>
      <c r="AX848" s="5" t="n">
        <v>0.129</v>
      </c>
      <c r="AY848" s="5" t="n">
        <v>0.544</v>
      </c>
      <c r="AZ848" s="5" t="n">
        <v>1.418</v>
      </c>
      <c r="BA848" s="5" t="n">
        <v>0.22</v>
      </c>
      <c r="BB848" s="5" t="n">
        <v>1</v>
      </c>
      <c r="BC848" s="5" t="n">
        <v>0.554</v>
      </c>
      <c r="BD848" s="5" t="n">
        <v>0.129</v>
      </c>
      <c r="BE848" s="5" t="n">
        <v>0.251</v>
      </c>
      <c r="BF848" s="5" t="n">
        <v>0.983</v>
      </c>
      <c r="BG848" s="5" t="n">
        <v>0.22</v>
      </c>
      <c r="BH848" s="5" t="n">
        <v>1</v>
      </c>
      <c r="BI848" s="5" t="n">
        <v>0.5570000000000001</v>
      </c>
      <c r="BJ848" s="5" t="n">
        <v>0.129</v>
      </c>
      <c r="BK848" s="5" t="n">
        <v>0.88</v>
      </c>
      <c r="BL848" s="5" t="n">
        <v>1.437</v>
      </c>
      <c r="BM848" s="5" t="n">
        <v>0</v>
      </c>
      <c r="BN848" s="5" t="n">
        <v>1</v>
      </c>
      <c r="BO848" s="5" t="n">
        <v>0</v>
      </c>
      <c r="BP848" s="5" t="n">
        <v>0</v>
      </c>
      <c r="BQ848" s="5" t="n">
        <v>0.155</v>
      </c>
      <c r="BR848" s="5" t="n">
        <v>0</v>
      </c>
      <c r="BS848" s="5" t="n">
        <v>1</v>
      </c>
      <c r="BT848" s="5" t="n">
        <v>0</v>
      </c>
      <c r="BU848" s="5" t="n">
        <v>0</v>
      </c>
      <c r="BV848" s="5" t="n">
        <v>0.219</v>
      </c>
      <c r="BW848" s="5" t="n">
        <v>0.22</v>
      </c>
      <c r="BX848" s="5" t="n">
        <v>1</v>
      </c>
      <c r="BY848" s="5" t="n">
        <v>13.254</v>
      </c>
      <c r="BZ848" s="5" t="n">
        <v>0</v>
      </c>
      <c r="CA848" s="5" t="n">
        <v>13.254</v>
      </c>
      <c r="CB848" s="5" t="n">
        <v>0</v>
      </c>
      <c r="CC848" s="5" t="n">
        <v>83.248</v>
      </c>
      <c r="CD848" s="5" t="n">
        <v>7.95</v>
      </c>
      <c r="CE848" s="5" t="n">
        <v>15.681</v>
      </c>
      <c r="CF848" s="5" t="n">
        <v>120.693</v>
      </c>
      <c r="CG848" s="5" t="n">
        <v>0.22</v>
      </c>
      <c r="CH848" s="5" t="n">
        <v>1</v>
      </c>
      <c r="CI848" s="5" t="n">
        <v>0</v>
      </c>
      <c r="CJ848" s="5" t="n">
        <v>0</v>
      </c>
      <c r="CK848" s="5" t="n">
        <v>0</v>
      </c>
      <c r="CL848" s="5" t="n">
        <v>0</v>
      </c>
      <c r="CM848" s="5" t="n">
        <v>0</v>
      </c>
      <c r="CN848" s="5" t="n">
        <v>0</v>
      </c>
      <c r="CO848" s="5" t="n">
        <v>0</v>
      </c>
      <c r="CP848" s="5" t="n">
        <v>0.26</v>
      </c>
      <c r="CQ848" s="5" t="n">
        <v>1.348</v>
      </c>
      <c r="CR848" s="5" t="n">
        <v>0</v>
      </c>
      <c r="CS848" s="5" t="n">
        <v>5.37</v>
      </c>
      <c r="CT848" s="5" t="n">
        <v>4.861</v>
      </c>
      <c r="CU848" s="5" t="n">
        <v>11.192</v>
      </c>
    </row>
    <row r="849">
      <c r="A849" s="5" t="inlineStr">
        <is>
          <t>URY2024</t>
        </is>
      </c>
      <c r="B849" s="5" t="inlineStr">
        <is>
          <t>URY</t>
        </is>
      </c>
      <c r="C849" s="5" t="inlineStr">
        <is>
          <t>URY</t>
        </is>
      </c>
      <c r="D849" s="5" t="inlineStr">
        <is>
          <t>Uruguay</t>
        </is>
      </c>
      <c r="E849" s="5" t="n">
        <v>2024</v>
      </c>
      <c r="F849" s="5" t="n">
        <v>0.22</v>
      </c>
      <c r="G849" s="5" t="n">
        <v>4.659</v>
      </c>
      <c r="H849" s="5" t="n">
        <v>1.152</v>
      </c>
      <c r="I849" s="5" t="n">
        <v>0</v>
      </c>
      <c r="J849" s="5" t="n">
        <v>4.659</v>
      </c>
      <c r="K849" s="5" t="n">
        <v>0</v>
      </c>
      <c r="L849" s="5" t="n">
        <v>1</v>
      </c>
      <c r="M849" s="5" t="n">
        <v>6.149</v>
      </c>
      <c r="N849" s="5" t="n">
        <v>3.455</v>
      </c>
      <c r="O849" s="5" t="n">
        <v>0</v>
      </c>
      <c r="P849" s="5" t="n">
        <v>6.149</v>
      </c>
      <c r="Q849" s="5" t="n">
        <v>0</v>
      </c>
      <c r="R849" s="5" t="n">
        <v>1</v>
      </c>
      <c r="S849" s="5" t="n">
        <v>10.418</v>
      </c>
      <c r="T849" s="5" t="n">
        <v>6.91</v>
      </c>
      <c r="U849" s="5" t="n">
        <v>0.312</v>
      </c>
      <c r="V849" s="5" t="n">
        <v>12.71</v>
      </c>
      <c r="W849" s="5" t="n">
        <v>0.22</v>
      </c>
      <c r="X849" s="5" t="n">
        <v>1</v>
      </c>
      <c r="Y849" s="5" t="n">
        <v>6.853</v>
      </c>
      <c r="Z849" s="5" t="n">
        <v>0.922</v>
      </c>
      <c r="AA849" s="5" t="n">
        <v>19.687</v>
      </c>
      <c r="AB849" s="5" t="n">
        <v>26.54</v>
      </c>
      <c r="AC849" s="5" t="n">
        <v>0</v>
      </c>
      <c r="AD849" s="5" t="n">
        <v>1</v>
      </c>
      <c r="AE849" s="5" t="n">
        <v>8.176</v>
      </c>
      <c r="AF849" s="5" t="n">
        <v>1.915</v>
      </c>
      <c r="AG849" s="5" t="n">
        <v>18.364</v>
      </c>
      <c r="AH849" s="5" t="n">
        <v>26.54</v>
      </c>
      <c r="AI849" s="5" t="n">
        <v>0</v>
      </c>
      <c r="AJ849" s="5" t="n">
        <v>1</v>
      </c>
      <c r="AK849" s="5" t="n">
        <v>16.118</v>
      </c>
      <c r="AL849" s="5" t="n">
        <v>8.66</v>
      </c>
      <c r="AM849" s="5" t="n">
        <v>18.861</v>
      </c>
      <c r="AN849" s="5" t="n">
        <v>41.432</v>
      </c>
      <c r="AO849" s="5" t="n">
        <v>0.22</v>
      </c>
      <c r="AP849" s="5" t="n">
        <v>1</v>
      </c>
      <c r="AQ849" s="5" t="n">
        <v>0.756</v>
      </c>
      <c r="AR849" s="5" t="n">
        <v>0.132</v>
      </c>
      <c r="AS849" s="5" t="n">
        <v>1.136</v>
      </c>
      <c r="AT849" s="5" t="n">
        <v>1.892</v>
      </c>
      <c r="AU849" s="5" t="n">
        <v>0</v>
      </c>
      <c r="AV849" s="5" t="n">
        <v>1</v>
      </c>
      <c r="AW849" s="5" t="n">
        <v>0.655</v>
      </c>
      <c r="AX849" s="5" t="n">
        <v>0.132</v>
      </c>
      <c r="AY849" s="5" t="n">
        <v>0.379</v>
      </c>
      <c r="AZ849" s="5" t="n">
        <v>1.262</v>
      </c>
      <c r="BA849" s="5" t="n">
        <v>0.22</v>
      </c>
      <c r="BB849" s="5" t="n">
        <v>1</v>
      </c>
      <c r="BC849" s="5" t="n">
        <v>0.534</v>
      </c>
      <c r="BD849" s="5" t="n">
        <v>0.132</v>
      </c>
      <c r="BE849" s="5" t="n">
        <v>0.316</v>
      </c>
      <c r="BF849" s="5" t="n">
        <v>1.037</v>
      </c>
      <c r="BG849" s="5" t="n">
        <v>0.22</v>
      </c>
      <c r="BH849" s="5" t="n">
        <v>1</v>
      </c>
      <c r="BI849" s="5" t="n">
        <v>0.5679999999999999</v>
      </c>
      <c r="BJ849" s="5" t="n">
        <v>0.132</v>
      </c>
      <c r="BK849" s="5" t="n">
        <v>0.8120000000000001</v>
      </c>
      <c r="BL849" s="5" t="n">
        <v>1.38</v>
      </c>
      <c r="BM849" s="5" t="n">
        <v>0</v>
      </c>
      <c r="BN849" s="5" t="n">
        <v>1</v>
      </c>
      <c r="BO849" s="5" t="n">
        <v>0</v>
      </c>
      <c r="BP849" s="5" t="n">
        <v>0</v>
      </c>
      <c r="BQ849" s="5" t="n">
        <v>0.153</v>
      </c>
      <c r="BR849" s="5" t="n">
        <v>0</v>
      </c>
      <c r="BS849" s="5" t="n">
        <v>1</v>
      </c>
      <c r="BT849" s="5" t="n">
        <v>0</v>
      </c>
      <c r="BU849" s="5" t="n">
        <v>0</v>
      </c>
      <c r="BV849" s="5" t="n">
        <v>0.228</v>
      </c>
      <c r="BW849" s="5" t="n">
        <v>0.22</v>
      </c>
      <c r="BX849" s="5" t="n">
        <v>1</v>
      </c>
      <c r="BY849" s="5" t="n">
        <v>13.646</v>
      </c>
      <c r="BZ849" s="5" t="n">
        <v>0</v>
      </c>
      <c r="CA849" s="5" t="n">
        <v>13.646</v>
      </c>
      <c r="CB849" s="5" t="n">
        <v>0</v>
      </c>
      <c r="CC849" s="5" t="n">
        <v>82.58799999999999</v>
      </c>
      <c r="CD849" s="5" t="n">
        <v>7.95</v>
      </c>
      <c r="CE849" s="5" t="n">
        <v>13.137</v>
      </c>
      <c r="CF849" s="5" t="n">
        <v>116.785</v>
      </c>
      <c r="CG849" s="5" t="n">
        <v>0.22</v>
      </c>
      <c r="CH849" s="5" t="n">
        <v>1</v>
      </c>
      <c r="CI849" s="5" t="n">
        <v>0</v>
      </c>
      <c r="CJ849" s="5" t="n">
        <v>0</v>
      </c>
      <c r="CK849" s="5" t="n">
        <v>0</v>
      </c>
      <c r="CL849" s="5" t="n">
        <v>0</v>
      </c>
      <c r="CM849" s="5" t="n">
        <v>0</v>
      </c>
      <c r="CN849" s="5" t="n">
        <v>0</v>
      </c>
      <c r="CO849" s="5" t="n">
        <v>0</v>
      </c>
      <c r="CP849" s="5" t="n">
        <v>0.26</v>
      </c>
      <c r="CQ849" s="5" t="n">
        <v>1.387</v>
      </c>
      <c r="CR849" s="5" t="n">
        <v>0</v>
      </c>
      <c r="CS849" s="5" t="n">
        <v>5.529</v>
      </c>
      <c r="CT849" s="5" t="n">
        <v>4.251</v>
      </c>
      <c r="CU849" s="5" t="n">
        <v>10.123</v>
      </c>
    </row>
    <row r="850">
      <c r="A850" s="5" t="inlineStr">
        <is>
          <t>UZB2021</t>
        </is>
      </c>
      <c r="B850" s="5" t="inlineStr">
        <is>
          <t>UZB</t>
        </is>
      </c>
      <c r="C850" s="5" t="inlineStr">
        <is>
          <t>UZB</t>
        </is>
      </c>
      <c r="D850" s="5" t="inlineStr">
        <is>
          <t>Uzbekistan</t>
        </is>
      </c>
      <c r="E850" s="5" t="n">
        <v>2021</v>
      </c>
      <c r="F850" s="5" t="n">
        <v>0.2</v>
      </c>
      <c r="G850" s="5" t="n">
        <v>3.136</v>
      </c>
      <c r="H850" s="5" t="n">
        <v>0.778</v>
      </c>
      <c r="I850" s="5" t="n">
        <v>0.01</v>
      </c>
      <c r="J850" s="5" t="n">
        <v>3.146</v>
      </c>
      <c r="K850" s="5" t="n">
        <v>0</v>
      </c>
      <c r="L850" s="5" t="n">
        <v>1</v>
      </c>
      <c r="M850" s="5" t="n">
        <v>4.737</v>
      </c>
      <c r="N850" s="5" t="n">
        <v>2.334</v>
      </c>
      <c r="O850" s="5" t="n">
        <v>0.015</v>
      </c>
      <c r="P850" s="5" t="n">
        <v>4.752</v>
      </c>
      <c r="Q850" s="5" t="n">
        <v>0</v>
      </c>
      <c r="R850" s="5" t="n">
        <v>1</v>
      </c>
      <c r="S850" s="5" t="n">
        <v>7.026</v>
      </c>
      <c r="T850" s="5" t="n">
        <v>4.668</v>
      </c>
      <c r="U850" s="5" t="n">
        <v>0.01</v>
      </c>
      <c r="V850" s="5" t="n">
        <v>8.444000000000001</v>
      </c>
      <c r="W850" s="5" t="n">
        <v>0.2</v>
      </c>
      <c r="X850" s="5" t="n">
        <v>1</v>
      </c>
      <c r="Y850" s="5" t="n">
        <v>13.661</v>
      </c>
      <c r="Z850" s="5" t="n">
        <v>1.513</v>
      </c>
      <c r="AA850" s="5" t="n">
        <v>-4.056</v>
      </c>
      <c r="AB850" s="5" t="n">
        <v>9.605</v>
      </c>
      <c r="AC850" s="5" t="n">
        <v>0</v>
      </c>
      <c r="AD850" s="5" t="n">
        <v>0</v>
      </c>
      <c r="AE850" s="5" t="n">
        <v>13.05</v>
      </c>
      <c r="AF850" s="5" t="n">
        <v>2.56</v>
      </c>
      <c r="AG850" s="5" t="n">
        <v>-4.056</v>
      </c>
      <c r="AH850" s="5" t="n">
        <v>8.994</v>
      </c>
      <c r="AI850" s="5" t="n">
        <v>0</v>
      </c>
      <c r="AJ850" s="5" t="n">
        <v>0</v>
      </c>
      <c r="AK850" s="5" t="n">
        <v>9.384</v>
      </c>
      <c r="AL850" s="5" t="n">
        <v>4.455</v>
      </c>
      <c r="AM850" s="5" t="n">
        <v>-8.596</v>
      </c>
      <c r="AN850" s="5" t="n">
        <v>0.945</v>
      </c>
      <c r="AO850" s="5" t="n">
        <v>0</v>
      </c>
      <c r="AP850" s="5" t="n">
        <v>0</v>
      </c>
      <c r="AQ850" s="5" t="n">
        <v>0.619</v>
      </c>
      <c r="AR850" s="5" t="n">
        <v>0.114</v>
      </c>
      <c r="AS850" s="5" t="n">
        <v>0.041</v>
      </c>
      <c r="AT850" s="5" t="n">
        <v>0.792</v>
      </c>
      <c r="AU850" s="5" t="n">
        <v>0.2</v>
      </c>
      <c r="AV850" s="5" t="n">
        <v>1</v>
      </c>
      <c r="AW850" s="5" t="n">
        <v>0.599</v>
      </c>
      <c r="AX850" s="5" t="n">
        <v>0.114</v>
      </c>
      <c r="AY850" s="5" t="n">
        <v>0.005</v>
      </c>
      <c r="AZ850" s="5" t="n">
        <v>0.725</v>
      </c>
      <c r="BA850" s="5" t="n">
        <v>0.2</v>
      </c>
      <c r="BB850" s="5" t="n">
        <v>1</v>
      </c>
      <c r="BC850" s="5" t="n">
        <v>0.439</v>
      </c>
      <c r="BD850" s="5" t="n">
        <v>0.114</v>
      </c>
      <c r="BE850" s="5" t="n">
        <v>0</v>
      </c>
      <c r="BF850" s="5" t="n">
        <v>0.527</v>
      </c>
      <c r="BG850" s="5" t="n">
        <v>0.2</v>
      </c>
      <c r="BH850" s="5" t="n">
        <v>1</v>
      </c>
      <c r="BI850" s="5" t="n">
        <v>0.505</v>
      </c>
      <c r="BJ850" s="5" t="n">
        <v>0.114</v>
      </c>
      <c r="BK850" s="5" t="n">
        <v>0</v>
      </c>
      <c r="BL850" s="5" t="n">
        <v>0.606</v>
      </c>
      <c r="BM850" s="5" t="n">
        <v>0.2</v>
      </c>
      <c r="BN850" s="5" t="n">
        <v>1</v>
      </c>
      <c r="BO850" s="5" t="n">
        <v>0</v>
      </c>
      <c r="BP850" s="5" t="n">
        <v>-0.037</v>
      </c>
      <c r="BQ850" s="5" t="n">
        <v>0.042</v>
      </c>
      <c r="BR850" s="5" t="n">
        <v>0</v>
      </c>
      <c r="BS850" s="5" t="n">
        <v>0.333</v>
      </c>
      <c r="BT850" s="5" t="n">
        <v>0</v>
      </c>
      <c r="BU850" s="5" t="n">
        <v>-0.037</v>
      </c>
      <c r="BV850" s="5" t="n">
        <v>0.028</v>
      </c>
      <c r="BW850" s="5" t="n">
        <v>0</v>
      </c>
      <c r="BX850" s="5" t="n">
        <v>0.333</v>
      </c>
      <c r="BY850" s="5" t="n">
        <v>11.787</v>
      </c>
      <c r="BZ850" s="5" t="n">
        <v>0</v>
      </c>
      <c r="CA850" s="5" t="n">
        <v>11.787</v>
      </c>
      <c r="CB850" s="5" t="n">
        <v>0</v>
      </c>
      <c r="CC850" s="5" t="n">
        <v>78.125</v>
      </c>
      <c r="CD850" s="5" t="n">
        <v>7.95</v>
      </c>
      <c r="CE850" s="5" t="n">
        <v>0</v>
      </c>
      <c r="CF850" s="5" t="n">
        <v>93.75</v>
      </c>
      <c r="CG850" s="5" t="n">
        <v>0.2</v>
      </c>
      <c r="CH850" s="5" t="n">
        <v>1</v>
      </c>
      <c r="CI850" s="5" t="n">
        <v>0</v>
      </c>
      <c r="CJ850" s="5" t="n">
        <v>0</v>
      </c>
      <c r="CK850" s="5" t="n">
        <v>0</v>
      </c>
      <c r="CL850" s="5" t="n">
        <v>0</v>
      </c>
      <c r="CM850" s="5" t="n">
        <v>0</v>
      </c>
      <c r="CN850" s="5" t="n">
        <v>0</v>
      </c>
      <c r="CO850" s="5" t="n">
        <v>0</v>
      </c>
      <c r="CP850" s="5" t="n">
        <v>0.639</v>
      </c>
      <c r="CQ850" s="5" t="n">
        <v>1.198</v>
      </c>
      <c r="CR850" s="5" t="n">
        <v>0.956</v>
      </c>
      <c r="CS850" s="5" t="n">
        <v>4.715</v>
      </c>
      <c r="CT850" s="5" t="n">
        <v>4.41</v>
      </c>
      <c r="CU850" s="5" t="n">
        <v>14.129</v>
      </c>
    </row>
    <row r="851">
      <c r="A851" s="5" t="inlineStr">
        <is>
          <t>UZB2022</t>
        </is>
      </c>
      <c r="B851" s="5" t="inlineStr">
        <is>
          <t>UZB</t>
        </is>
      </c>
      <c r="C851" s="5" t="inlineStr">
        <is>
          <t>UZB</t>
        </is>
      </c>
      <c r="D851" s="5" t="inlineStr">
        <is>
          <t>Uzbekistan</t>
        </is>
      </c>
      <c r="E851" s="5" t="n">
        <v>2022</v>
      </c>
      <c r="F851" s="5" t="n">
        <v>0.2</v>
      </c>
      <c r="G851" s="5" t="n">
        <v>3.709</v>
      </c>
      <c r="H851" s="5" t="n">
        <v>0.832</v>
      </c>
      <c r="I851" s="5" t="n">
        <v>0.015</v>
      </c>
      <c r="J851" s="5" t="n">
        <v>3.724</v>
      </c>
      <c r="K851" s="5" t="n">
        <v>0</v>
      </c>
      <c r="L851" s="5" t="n">
        <v>1</v>
      </c>
      <c r="M851" s="5" t="n">
        <v>5.456</v>
      </c>
      <c r="N851" s="5" t="n">
        <v>2.497</v>
      </c>
      <c r="O851" s="5" t="n">
        <v>0.02</v>
      </c>
      <c r="P851" s="5" t="n">
        <v>5.476</v>
      </c>
      <c r="Q851" s="5" t="n">
        <v>0</v>
      </c>
      <c r="R851" s="5" t="n">
        <v>1</v>
      </c>
      <c r="S851" s="5" t="n">
        <v>7.87</v>
      </c>
      <c r="T851" s="5" t="n">
        <v>4.993</v>
      </c>
      <c r="U851" s="5" t="n">
        <v>0.132</v>
      </c>
      <c r="V851" s="5" t="n">
        <v>9.462</v>
      </c>
      <c r="W851" s="5" t="n">
        <v>0.2</v>
      </c>
      <c r="X851" s="5" t="n">
        <v>1</v>
      </c>
      <c r="Y851" s="5" t="n">
        <v>14.752</v>
      </c>
      <c r="Z851" s="5" t="n">
        <v>1.634</v>
      </c>
      <c r="AA851" s="5" t="n">
        <v>-4.374</v>
      </c>
      <c r="AB851" s="5" t="n">
        <v>10.378</v>
      </c>
      <c r="AC851" s="5" t="n">
        <v>0</v>
      </c>
      <c r="AD851" s="5" t="n">
        <v>0</v>
      </c>
      <c r="AE851" s="5" t="n">
        <v>14.092</v>
      </c>
      <c r="AF851" s="5" t="n">
        <v>2.764</v>
      </c>
      <c r="AG851" s="5" t="n">
        <v>-4.374</v>
      </c>
      <c r="AH851" s="5" t="n">
        <v>9.718</v>
      </c>
      <c r="AI851" s="5" t="n">
        <v>0</v>
      </c>
      <c r="AJ851" s="5" t="n">
        <v>0</v>
      </c>
      <c r="AK851" s="5" t="n">
        <v>10.135</v>
      </c>
      <c r="AL851" s="5" t="n">
        <v>4.811</v>
      </c>
      <c r="AM851" s="5" t="n">
        <v>-9.378</v>
      </c>
      <c r="AN851" s="5" t="n">
        <v>0.908</v>
      </c>
      <c r="AO851" s="5" t="n">
        <v>0</v>
      </c>
      <c r="AP851" s="5" t="n">
        <v>0</v>
      </c>
      <c r="AQ851" s="5" t="n">
        <v>0.861</v>
      </c>
      <c r="AR851" s="5" t="n">
        <v>0.123</v>
      </c>
      <c r="AS851" s="5" t="n">
        <v>-0.062</v>
      </c>
      <c r="AT851" s="5" t="n">
        <v>0.959</v>
      </c>
      <c r="AU851" s="5" t="n">
        <v>0.2</v>
      </c>
      <c r="AV851" s="5" t="n">
        <v>1</v>
      </c>
      <c r="AW851" s="5" t="n">
        <v>0.986</v>
      </c>
      <c r="AX851" s="5" t="n">
        <v>0.123</v>
      </c>
      <c r="AY851" s="5" t="n">
        <v>-0.108</v>
      </c>
      <c r="AZ851" s="5" t="n">
        <v>1.054</v>
      </c>
      <c r="BA851" s="5" t="n">
        <v>0.2</v>
      </c>
      <c r="BB851" s="5" t="n">
        <v>1</v>
      </c>
      <c r="BC851" s="5" t="n">
        <v>0.598</v>
      </c>
      <c r="BD851" s="5" t="n">
        <v>0.123</v>
      </c>
      <c r="BE851" s="5" t="n">
        <v>0.008999999999999999</v>
      </c>
      <c r="BF851" s="5" t="n">
        <v>0.717</v>
      </c>
      <c r="BG851" s="5" t="n">
        <v>0.2</v>
      </c>
      <c r="BH851" s="5" t="n">
        <v>1</v>
      </c>
      <c r="BI851" s="5" t="n">
        <v>0.612</v>
      </c>
      <c r="BJ851" s="5" t="n">
        <v>0.123</v>
      </c>
      <c r="BK851" s="5" t="n">
        <v>0.008999999999999999</v>
      </c>
      <c r="BL851" s="5" t="n">
        <v>0.735</v>
      </c>
      <c r="BM851" s="5" t="n">
        <v>0.2</v>
      </c>
      <c r="BN851" s="5" t="n">
        <v>1</v>
      </c>
      <c r="BO851" s="5" t="n">
        <v>0</v>
      </c>
      <c r="BP851" s="5" t="n">
        <v>-0.037</v>
      </c>
      <c r="BQ851" s="5" t="n">
        <v>0.041</v>
      </c>
      <c r="BR851" s="5" t="n">
        <v>0</v>
      </c>
      <c r="BS851" s="5" t="n">
        <v>0.333</v>
      </c>
      <c r="BT851" s="5" t="n">
        <v>0</v>
      </c>
      <c r="BU851" s="5" t="n">
        <v>-0.037</v>
      </c>
      <c r="BV851" s="5" t="n">
        <v>0.027</v>
      </c>
      <c r="BW851" s="5" t="n">
        <v>0</v>
      </c>
      <c r="BX851" s="5" t="n">
        <v>0.333</v>
      </c>
      <c r="BY851" s="5" t="n">
        <v>12.729</v>
      </c>
      <c r="BZ851" s="5" t="n">
        <v>0</v>
      </c>
      <c r="CA851" s="5" t="n">
        <v>12.729</v>
      </c>
      <c r="CB851" s="5" t="n">
        <v>0</v>
      </c>
      <c r="CC851" s="5" t="n">
        <v>97.90000000000001</v>
      </c>
      <c r="CD851" s="5" t="n">
        <v>7.95</v>
      </c>
      <c r="CE851" s="5" t="n">
        <v>1.449</v>
      </c>
      <c r="CF851" s="5" t="n">
        <v>117.48</v>
      </c>
      <c r="CG851" s="5" t="n">
        <v>0.2</v>
      </c>
      <c r="CH851" s="5" t="n">
        <v>1</v>
      </c>
      <c r="CI851" s="5" t="n">
        <v>0</v>
      </c>
      <c r="CJ851" s="5" t="n">
        <v>0</v>
      </c>
      <c r="CK851" s="5" t="n">
        <v>0</v>
      </c>
      <c r="CL851" s="5" t="n">
        <v>0</v>
      </c>
      <c r="CM851" s="5" t="n">
        <v>0</v>
      </c>
      <c r="CN851" s="5" t="n">
        <v>0</v>
      </c>
      <c r="CO851" s="5" t="n">
        <v>0</v>
      </c>
      <c r="CP851" s="5" t="n">
        <v>0.652</v>
      </c>
      <c r="CQ851" s="5" t="n">
        <v>1.294</v>
      </c>
      <c r="CR851" s="5" t="n">
        <v>0.956</v>
      </c>
      <c r="CS851" s="5" t="n">
        <v>5.091</v>
      </c>
      <c r="CT851" s="5" t="n">
        <v>5.842</v>
      </c>
      <c r="CU851" s="5" t="n">
        <v>28.059</v>
      </c>
    </row>
    <row r="852">
      <c r="A852" s="5" t="inlineStr">
        <is>
          <t>UZB2023</t>
        </is>
      </c>
      <c r="B852" s="5" t="inlineStr">
        <is>
          <t>UZB</t>
        </is>
      </c>
      <c r="C852" s="5" t="inlineStr">
        <is>
          <t>UZB</t>
        </is>
      </c>
      <c r="D852" s="5" t="inlineStr">
        <is>
          <t>Uzbekistan</t>
        </is>
      </c>
      <c r="E852" s="5" t="n">
        <v>2023</v>
      </c>
      <c r="F852" s="5" t="n">
        <v>0.2</v>
      </c>
      <c r="G852" s="5" t="n">
        <v>2.871</v>
      </c>
      <c r="H852" s="5" t="n">
        <v>0.848</v>
      </c>
      <c r="I852" s="5" t="n">
        <v>0.008999999999999999</v>
      </c>
      <c r="J852" s="5" t="n">
        <v>2.88</v>
      </c>
      <c r="K852" s="5" t="n">
        <v>0</v>
      </c>
      <c r="L852" s="5" t="n">
        <v>1</v>
      </c>
      <c r="M852" s="5" t="n">
        <v>4.746</v>
      </c>
      <c r="N852" s="5" t="n">
        <v>2.544</v>
      </c>
      <c r="O852" s="5" t="n">
        <v>0.013</v>
      </c>
      <c r="P852" s="5" t="n">
        <v>4.759</v>
      </c>
      <c r="Q852" s="5" t="n">
        <v>0</v>
      </c>
      <c r="R852" s="5" t="n">
        <v>1</v>
      </c>
      <c r="S852" s="5" t="n">
        <v>7.11</v>
      </c>
      <c r="T852" s="5" t="n">
        <v>5.087</v>
      </c>
      <c r="U852" s="5" t="n">
        <v>0.166</v>
      </c>
      <c r="V852" s="5" t="n">
        <v>8.542999999999999</v>
      </c>
      <c r="W852" s="5" t="n">
        <v>0.2</v>
      </c>
      <c r="X852" s="5" t="n">
        <v>1</v>
      </c>
      <c r="Y852" s="5" t="n">
        <v>15.342</v>
      </c>
      <c r="Z852" s="5" t="n">
        <v>1.699</v>
      </c>
      <c r="AA852" s="5" t="n">
        <v>-4.563</v>
      </c>
      <c r="AB852" s="5" t="n">
        <v>10.779</v>
      </c>
      <c r="AC852" s="5" t="n">
        <v>0</v>
      </c>
      <c r="AD852" s="5" t="n">
        <v>0</v>
      </c>
      <c r="AE852" s="5" t="n">
        <v>14.663</v>
      </c>
      <c r="AF852" s="5" t="n">
        <v>2.877</v>
      </c>
      <c r="AG852" s="5" t="n">
        <v>-4.563</v>
      </c>
      <c r="AH852" s="5" t="n">
        <v>10.1</v>
      </c>
      <c r="AI852" s="5" t="n">
        <v>0</v>
      </c>
      <c r="AJ852" s="5" t="n">
        <v>0</v>
      </c>
      <c r="AK852" s="5" t="n">
        <v>10.563</v>
      </c>
      <c r="AL852" s="5" t="n">
        <v>5.014</v>
      </c>
      <c r="AM852" s="5" t="n">
        <v>-9.851000000000001</v>
      </c>
      <c r="AN852" s="5" t="n">
        <v>0.855</v>
      </c>
      <c r="AO852" s="5" t="n">
        <v>0</v>
      </c>
      <c r="AP852" s="5" t="n">
        <v>0</v>
      </c>
      <c r="AQ852" s="5" t="n">
        <v>0.76</v>
      </c>
      <c r="AR852" s="5" t="n">
        <v>0.129</v>
      </c>
      <c r="AS852" s="5" t="n">
        <v>0.016</v>
      </c>
      <c r="AT852" s="5" t="n">
        <v>0.931</v>
      </c>
      <c r="AU852" s="5" t="n">
        <v>0.2</v>
      </c>
      <c r="AV852" s="5" t="n">
        <v>1</v>
      </c>
      <c r="AW852" s="5" t="n">
        <v>0.8110000000000001</v>
      </c>
      <c r="AX852" s="5" t="n">
        <v>0.129</v>
      </c>
      <c r="AY852" s="5" t="n">
        <v>0.003</v>
      </c>
      <c r="AZ852" s="5" t="n">
        <v>0.978</v>
      </c>
      <c r="BA852" s="5" t="n">
        <v>0.2</v>
      </c>
      <c r="BB852" s="5" t="n">
        <v>1</v>
      </c>
      <c r="BC852" s="5" t="n">
        <v>0.535</v>
      </c>
      <c r="BD852" s="5" t="n">
        <v>0.129</v>
      </c>
      <c r="BE852" s="5" t="n">
        <v>0.012</v>
      </c>
      <c r="BF852" s="5" t="n">
        <v>0.642</v>
      </c>
      <c r="BG852" s="5" t="n">
        <v>0.2</v>
      </c>
      <c r="BH852" s="5" t="n">
        <v>1</v>
      </c>
      <c r="BI852" s="5" t="n">
        <v>0.579</v>
      </c>
      <c r="BJ852" s="5" t="n">
        <v>0.129</v>
      </c>
      <c r="BK852" s="5" t="n">
        <v>0.013</v>
      </c>
      <c r="BL852" s="5" t="n">
        <v>0.695</v>
      </c>
      <c r="BM852" s="5" t="n">
        <v>0.2</v>
      </c>
      <c r="BN852" s="5" t="n">
        <v>1</v>
      </c>
      <c r="BO852" s="5" t="n">
        <v>0</v>
      </c>
      <c r="BP852" s="5" t="n">
        <v>-0.037</v>
      </c>
      <c r="BQ852" s="5" t="n">
        <v>0.038</v>
      </c>
      <c r="BR852" s="5" t="n">
        <v>0</v>
      </c>
      <c r="BS852" s="5" t="n">
        <v>0.333</v>
      </c>
      <c r="BT852" s="5" t="n">
        <v>0</v>
      </c>
      <c r="BU852" s="5" t="n">
        <v>-0.037</v>
      </c>
      <c r="BV852" s="5" t="n">
        <v>0.025</v>
      </c>
      <c r="BW852" s="5" t="n">
        <v>0</v>
      </c>
      <c r="BX852" s="5" t="n">
        <v>0.333</v>
      </c>
      <c r="BY852" s="5" t="n">
        <v>13.254</v>
      </c>
      <c r="BZ852" s="5" t="n">
        <v>0</v>
      </c>
      <c r="CA852" s="5" t="n">
        <v>13.254</v>
      </c>
      <c r="CB852" s="5" t="n">
        <v>0</v>
      </c>
      <c r="CC852" s="5" t="n">
        <v>83.248</v>
      </c>
      <c r="CD852" s="5" t="n">
        <v>7.95</v>
      </c>
      <c r="CE852" s="5" t="n">
        <v>1.843</v>
      </c>
      <c r="CF852" s="5" t="n">
        <v>99.898</v>
      </c>
      <c r="CG852" s="5" t="n">
        <v>0.2</v>
      </c>
      <c r="CH852" s="5" t="n">
        <v>1</v>
      </c>
      <c r="CI852" s="5" t="n">
        <v>0</v>
      </c>
      <c r="CJ852" s="5" t="n">
        <v>0</v>
      </c>
      <c r="CK852" s="5" t="n">
        <v>0</v>
      </c>
      <c r="CL852" s="5" t="n">
        <v>0</v>
      </c>
      <c r="CM852" s="5" t="n">
        <v>0</v>
      </c>
      <c r="CN852" s="5" t="n">
        <v>0</v>
      </c>
      <c r="CO852" s="5" t="n">
        <v>0</v>
      </c>
      <c r="CP852" s="5" t="n">
        <v>0.681</v>
      </c>
      <c r="CQ852" s="5" t="n">
        <v>1.348</v>
      </c>
      <c r="CR852" s="5" t="n">
        <v>0.952</v>
      </c>
      <c r="CS852" s="5" t="n">
        <v>5.302</v>
      </c>
      <c r="CT852" s="5" t="n">
        <v>3.466</v>
      </c>
      <c r="CU852" s="5" t="n">
        <v>9.260999999999999</v>
      </c>
    </row>
    <row r="853">
      <c r="A853" s="5" t="inlineStr">
        <is>
          <t>UZB2024</t>
        </is>
      </c>
      <c r="B853" s="5" t="inlineStr">
        <is>
          <t>UZB</t>
        </is>
      </c>
      <c r="C853" s="5" t="inlineStr">
        <is>
          <t>UZB</t>
        </is>
      </c>
      <c r="D853" s="5" t="inlineStr">
        <is>
          <t>Uzbekistan</t>
        </is>
      </c>
      <c r="E853" s="5" t="n">
        <v>2024</v>
      </c>
      <c r="F853" s="5" t="n">
        <v>0.2</v>
      </c>
      <c r="G853" s="5" t="n">
        <v>2.783</v>
      </c>
      <c r="H853" s="5" t="n">
        <v>0.873</v>
      </c>
      <c r="I853" s="5" t="n">
        <v>0.007</v>
      </c>
      <c r="J853" s="5" t="n">
        <v>2.79</v>
      </c>
      <c r="K853" s="5" t="n">
        <v>0</v>
      </c>
      <c r="L853" s="5" t="n">
        <v>1</v>
      </c>
      <c r="M853" s="5" t="n">
        <v>4.569</v>
      </c>
      <c r="N853" s="5" t="n">
        <v>2.619</v>
      </c>
      <c r="O853" s="5" t="n">
        <v>0.008999999999999999</v>
      </c>
      <c r="P853" s="5" t="n">
        <v>4.578</v>
      </c>
      <c r="Q853" s="5" t="n">
        <v>0</v>
      </c>
      <c r="R853" s="5" t="n">
        <v>1</v>
      </c>
      <c r="S853" s="5" t="n">
        <v>7.147</v>
      </c>
      <c r="T853" s="5" t="n">
        <v>5.237</v>
      </c>
      <c r="U853" s="5" t="n">
        <v>0.202</v>
      </c>
      <c r="V853" s="5" t="n">
        <v>8.585000000000001</v>
      </c>
      <c r="W853" s="5" t="n">
        <v>0.2</v>
      </c>
      <c r="X853" s="5" t="n">
        <v>1</v>
      </c>
      <c r="Y853" s="5" t="n">
        <v>15.773</v>
      </c>
      <c r="Z853" s="5" t="n">
        <v>1.747</v>
      </c>
      <c r="AA853" s="5" t="n">
        <v>-4.178</v>
      </c>
      <c r="AB853" s="5" t="n">
        <v>11.595</v>
      </c>
      <c r="AC853" s="5" t="n">
        <v>0</v>
      </c>
      <c r="AD853" s="5" t="n">
        <v>0</v>
      </c>
      <c r="AE853" s="5" t="n">
        <v>15.077</v>
      </c>
      <c r="AF853" s="5" t="n">
        <v>2.958</v>
      </c>
      <c r="AG853" s="5" t="n">
        <v>-4.178</v>
      </c>
      <c r="AH853" s="5" t="n">
        <v>10.899</v>
      </c>
      <c r="AI853" s="5" t="n">
        <v>0</v>
      </c>
      <c r="AJ853" s="5" t="n">
        <v>0</v>
      </c>
      <c r="AK853" s="5" t="n">
        <v>10.867</v>
      </c>
      <c r="AL853" s="5" t="n">
        <v>5.159</v>
      </c>
      <c r="AM853" s="5" t="n">
        <v>-10.128</v>
      </c>
      <c r="AN853" s="5" t="n">
        <v>0.887</v>
      </c>
      <c r="AO853" s="5" t="n">
        <v>0</v>
      </c>
      <c r="AP853" s="5" t="n">
        <v>0</v>
      </c>
      <c r="AQ853" s="5" t="n">
        <v>0.724</v>
      </c>
      <c r="AR853" s="5" t="n">
        <v>0.132</v>
      </c>
      <c r="AS853" s="5" t="n">
        <v>-0.054</v>
      </c>
      <c r="AT853" s="5" t="n">
        <v>0.804</v>
      </c>
      <c r="AU853" s="5" t="n">
        <v>0.2</v>
      </c>
      <c r="AV853" s="5" t="n">
        <v>1</v>
      </c>
      <c r="AW853" s="5" t="n">
        <v>0.75</v>
      </c>
      <c r="AX853" s="5" t="n">
        <v>0.132</v>
      </c>
      <c r="AY853" s="5" t="n">
        <v>0.032</v>
      </c>
      <c r="AZ853" s="5" t="n">
        <v>0.9389999999999999</v>
      </c>
      <c r="BA853" s="5" t="n">
        <v>0.2</v>
      </c>
      <c r="BB853" s="5" t="n">
        <v>1</v>
      </c>
      <c r="BC853" s="5" t="n">
        <v>0.513</v>
      </c>
      <c r="BD853" s="5" t="n">
        <v>0.132</v>
      </c>
      <c r="BE853" s="5" t="n">
        <v>0.014</v>
      </c>
      <c r="BF853" s="5" t="n">
        <v>0.616</v>
      </c>
      <c r="BG853" s="5" t="n">
        <v>0.2</v>
      </c>
      <c r="BH853" s="5" t="n">
        <v>1</v>
      </c>
      <c r="BI853" s="5" t="n">
        <v>0.591</v>
      </c>
      <c r="BJ853" s="5" t="n">
        <v>0.132</v>
      </c>
      <c r="BK853" s="5" t="n">
        <v>0.016</v>
      </c>
      <c r="BL853" s="5" t="n">
        <v>0.71</v>
      </c>
      <c r="BM853" s="5" t="n">
        <v>0.2</v>
      </c>
      <c r="BN853" s="5" t="n">
        <v>1</v>
      </c>
      <c r="BO853" s="5" t="n">
        <v>0</v>
      </c>
      <c r="BP853" s="5" t="n">
        <v>-0.038</v>
      </c>
      <c r="BQ853" s="5" t="n">
        <v>0.065</v>
      </c>
      <c r="BR853" s="5" t="n">
        <v>0</v>
      </c>
      <c r="BS853" s="5" t="n">
        <v>0.333</v>
      </c>
      <c r="BT853" s="5" t="n">
        <v>0</v>
      </c>
      <c r="BU853" s="5" t="n">
        <v>-0.038</v>
      </c>
      <c r="BV853" s="5" t="n">
        <v>0.034</v>
      </c>
      <c r="BW853" s="5" t="n">
        <v>0</v>
      </c>
      <c r="BX853" s="5" t="n">
        <v>0.333</v>
      </c>
      <c r="BY853" s="5" t="n">
        <v>13.646</v>
      </c>
      <c r="BZ853" s="5" t="n">
        <v>0</v>
      </c>
      <c r="CA853" s="5" t="n">
        <v>13.646</v>
      </c>
      <c r="CB853" s="5" t="n">
        <v>0</v>
      </c>
      <c r="CC853" s="5" t="n">
        <v>82.58799999999999</v>
      </c>
      <c r="CD853" s="5" t="n">
        <v>7.95</v>
      </c>
      <c r="CE853" s="5" t="n">
        <v>2.25</v>
      </c>
      <c r="CF853" s="5" t="n">
        <v>99.10599999999999</v>
      </c>
      <c r="CG853" s="5" t="n">
        <v>0.2</v>
      </c>
      <c r="CH853" s="5" t="n">
        <v>1</v>
      </c>
      <c r="CI853" s="5" t="n">
        <v>0</v>
      </c>
      <c r="CJ853" s="5" t="n">
        <v>0</v>
      </c>
      <c r="CK853" s="5" t="n">
        <v>0</v>
      </c>
      <c r="CL853" s="5" t="n">
        <v>0</v>
      </c>
      <c r="CM853" s="5" t="n">
        <v>0</v>
      </c>
      <c r="CN853" s="5" t="n">
        <v>0</v>
      </c>
      <c r="CO853" s="5" t="n">
        <v>0</v>
      </c>
      <c r="CP853" s="5" t="n">
        <v>0.681</v>
      </c>
      <c r="CQ853" s="5" t="n">
        <v>1.387</v>
      </c>
      <c r="CR853" s="5" t="n">
        <v>0.952</v>
      </c>
      <c r="CS853" s="5" t="n">
        <v>5.458</v>
      </c>
      <c r="CT853" s="5" t="n">
        <v>3.027</v>
      </c>
      <c r="CU853" s="5" t="n">
        <v>7.598</v>
      </c>
    </row>
    <row r="854">
      <c r="A854" s="5" t="inlineStr">
        <is>
          <t>VUT2021</t>
        </is>
      </c>
      <c r="B854" s="5" t="inlineStr">
        <is>
          <t>VUT</t>
        </is>
      </c>
      <c r="C854" s="5" t="inlineStr">
        <is>
          <t>VUT</t>
        </is>
      </c>
      <c r="D854" s="5" t="inlineStr">
        <is>
          <t>Vanuatu</t>
        </is>
      </c>
      <c r="E854" s="5" t="n">
        <v>2021</v>
      </c>
      <c r="F854" s="5" t="n">
        <v>0.15</v>
      </c>
      <c r="G854" s="5" t="n">
        <v>4.747</v>
      </c>
      <c r="H854" s="5" t="n">
        <v>1.143</v>
      </c>
      <c r="I854" s="5" t="n">
        <v>0</v>
      </c>
      <c r="J854" s="5" t="n">
        <v>4.747</v>
      </c>
      <c r="K854" s="5" t="n">
        <v>0</v>
      </c>
      <c r="L854" s="5" t="n">
        <v>1</v>
      </c>
      <c r="M854" s="5" t="n">
        <v>7.964</v>
      </c>
      <c r="N854" s="5" t="n">
        <v>3.43</v>
      </c>
      <c r="O854" s="5" t="n">
        <v>0</v>
      </c>
      <c r="P854" s="5" t="n">
        <v>7.964</v>
      </c>
      <c r="Q854" s="5" t="n">
        <v>0</v>
      </c>
      <c r="R854" s="5" t="n">
        <v>1</v>
      </c>
      <c r="S854" s="5" t="n">
        <v>10.464</v>
      </c>
      <c r="T854" s="5" t="n">
        <v>6.86</v>
      </c>
      <c r="U854" s="5" t="n">
        <v>0</v>
      </c>
      <c r="V854" s="5" t="n">
        <v>12.034</v>
      </c>
      <c r="W854" s="5" t="n">
        <v>0.15</v>
      </c>
      <c r="X854" s="5" t="n">
        <v>1</v>
      </c>
      <c r="Y854" s="5" t="n">
        <v>10.551</v>
      </c>
      <c r="Z854" s="5" t="n">
        <v>1.302</v>
      </c>
      <c r="AA854" s="5" t="n">
        <v>0</v>
      </c>
      <c r="AB854" s="5" t="n">
        <v>10.551</v>
      </c>
      <c r="AC854" s="5" t="n">
        <v>0</v>
      </c>
      <c r="AD854" s="5" t="n">
        <v>1</v>
      </c>
      <c r="AE854" s="5" t="n">
        <v>11.694</v>
      </c>
      <c r="AF854" s="5" t="n">
        <v>2.549</v>
      </c>
      <c r="AG854" s="5" t="n">
        <v>0</v>
      </c>
      <c r="AH854" s="5" t="n">
        <v>11.694</v>
      </c>
      <c r="AI854" s="5" t="n">
        <v>0</v>
      </c>
      <c r="AJ854" s="5" t="n">
        <v>1</v>
      </c>
      <c r="AK854" s="5" t="n">
        <v>18.554</v>
      </c>
      <c r="AL854" s="5" t="n">
        <v>9.627000000000001</v>
      </c>
      <c r="AM854" s="5" t="n">
        <v>0</v>
      </c>
      <c r="AN854" s="5" t="n">
        <v>21.337</v>
      </c>
      <c r="AO854" s="5" t="n">
        <v>0.15</v>
      </c>
      <c r="AP854" s="5" t="n">
        <v>1</v>
      </c>
      <c r="AQ854" s="5" t="n">
        <v>0.621</v>
      </c>
      <c r="AR854" s="5" t="n">
        <v>0.114</v>
      </c>
      <c r="AS854" s="5" t="n">
        <v>0.404</v>
      </c>
      <c r="AT854" s="5" t="n">
        <v>1.179</v>
      </c>
      <c r="AU854" s="5" t="n">
        <v>0.15</v>
      </c>
      <c r="AV854" s="5" t="n">
        <v>1</v>
      </c>
      <c r="AW854" s="5" t="n">
        <v>0.593</v>
      </c>
      <c r="AX854" s="5" t="n">
        <v>0.114</v>
      </c>
      <c r="AY854" s="5" t="n">
        <v>0.456</v>
      </c>
      <c r="AZ854" s="5" t="n">
        <v>1.206</v>
      </c>
      <c r="BA854" s="5" t="n">
        <v>0.15</v>
      </c>
      <c r="BB854" s="5" t="n">
        <v>1</v>
      </c>
      <c r="BC854" s="5" t="n">
        <v>0.44</v>
      </c>
      <c r="BD854" s="5" t="n">
        <v>0.114</v>
      </c>
      <c r="BE854" s="5" t="n">
        <v>0</v>
      </c>
      <c r="BF854" s="5" t="n">
        <v>0.506</v>
      </c>
      <c r="BG854" s="5" t="n">
        <v>0.15</v>
      </c>
      <c r="BH854" s="5" t="n">
        <v>1</v>
      </c>
      <c r="BI854" s="5" t="n">
        <v>0.5600000000000001</v>
      </c>
      <c r="BJ854" s="5" t="n">
        <v>0.114</v>
      </c>
      <c r="BK854" s="5" t="n">
        <v>0</v>
      </c>
      <c r="BL854" s="5" t="n">
        <v>0.644</v>
      </c>
      <c r="BM854" s="5" t="n">
        <v>0.15</v>
      </c>
      <c r="BN854" s="5" t="n">
        <v>1</v>
      </c>
      <c r="BO854" s="5" t="n">
        <v>0</v>
      </c>
      <c r="BP854" s="5" t="n">
        <v>0</v>
      </c>
      <c r="BQ854" s="5" t="n">
        <v>0</v>
      </c>
      <c r="BR854" s="5" t="n">
        <v>0</v>
      </c>
      <c r="BS854" s="5" t="n">
        <v>1</v>
      </c>
      <c r="BT854" s="5" t="n">
        <v>0</v>
      </c>
      <c r="BU854" s="5" t="n">
        <v>0</v>
      </c>
      <c r="BV854" s="5" t="n">
        <v>0</v>
      </c>
      <c r="BW854" s="5" t="n">
        <v>0.15</v>
      </c>
      <c r="BX854" s="5" t="n">
        <v>1</v>
      </c>
      <c r="BY854" s="5" t="n">
        <v>11.787</v>
      </c>
      <c r="BZ854" s="5" t="n">
        <v>0</v>
      </c>
      <c r="CA854" s="5" t="n">
        <v>11.787</v>
      </c>
      <c r="CB854" s="5" t="n">
        <v>0</v>
      </c>
      <c r="CC854" s="5" t="n">
        <v>81.69499999999999</v>
      </c>
      <c r="CD854" s="5" t="n">
        <v>7.95</v>
      </c>
      <c r="CE854" s="5" t="n">
        <v>0</v>
      </c>
      <c r="CF854" s="5" t="n">
        <v>93.95</v>
      </c>
      <c r="CG854" s="5" t="n">
        <v>0.15</v>
      </c>
      <c r="CH854" s="5" t="n">
        <v>1</v>
      </c>
      <c r="CI854" s="5" t="n">
        <v>0</v>
      </c>
      <c r="CJ854" s="5" t="n">
        <v>0</v>
      </c>
      <c r="CK854" s="5" t="n">
        <v>0</v>
      </c>
      <c r="CL854" s="5" t="n">
        <v>0</v>
      </c>
      <c r="CM854" s="5" t="n">
        <v>0</v>
      </c>
      <c r="CN854" s="5" t="n">
        <v>0</v>
      </c>
      <c r="CO854" s="5" t="n">
        <v>0</v>
      </c>
      <c r="CP854" s="5" t="n">
        <v>0</v>
      </c>
      <c r="CQ854" s="5" t="n">
        <v>1.198</v>
      </c>
      <c r="CR854" s="5" t="n">
        <v>0</v>
      </c>
      <c r="CS854" s="5" t="n">
        <v>4.776</v>
      </c>
      <c r="CT854" s="5" t="n">
        <v>3.604</v>
      </c>
      <c r="CU854" s="5" t="n">
        <v>9.407999999999999</v>
      </c>
    </row>
    <row r="855">
      <c r="A855" s="5" t="inlineStr">
        <is>
          <t>VUT2022</t>
        </is>
      </c>
      <c r="B855" s="5" t="inlineStr">
        <is>
          <t>VUT</t>
        </is>
      </c>
      <c r="C855" s="5" t="inlineStr">
        <is>
          <t>VUT</t>
        </is>
      </c>
      <c r="D855" s="5" t="inlineStr">
        <is>
          <t>Vanuatu</t>
        </is>
      </c>
      <c r="E855" s="5" t="n">
        <v>2022</v>
      </c>
      <c r="F855" s="5" t="n">
        <v>0.15</v>
      </c>
      <c r="G855" s="5" t="n">
        <v>8.788</v>
      </c>
      <c r="H855" s="5" t="n">
        <v>1.235</v>
      </c>
      <c r="I855" s="5" t="n">
        <v>0</v>
      </c>
      <c r="J855" s="5" t="n">
        <v>8.788</v>
      </c>
      <c r="K855" s="5" t="n">
        <v>0</v>
      </c>
      <c r="L855" s="5" t="n">
        <v>1</v>
      </c>
      <c r="M855" s="5" t="n">
        <v>9.782999999999999</v>
      </c>
      <c r="N855" s="5" t="n">
        <v>3.704</v>
      </c>
      <c r="O855" s="5" t="n">
        <v>0</v>
      </c>
      <c r="P855" s="5" t="n">
        <v>9.782999999999999</v>
      </c>
      <c r="Q855" s="5" t="n">
        <v>0</v>
      </c>
      <c r="R855" s="5" t="n">
        <v>1</v>
      </c>
      <c r="S855" s="5" t="n">
        <v>14.962</v>
      </c>
      <c r="T855" s="5" t="n">
        <v>7.408</v>
      </c>
      <c r="U855" s="5" t="n">
        <v>0.166</v>
      </c>
      <c r="V855" s="5" t="n">
        <v>17.206</v>
      </c>
      <c r="W855" s="5" t="n">
        <v>0.15</v>
      </c>
      <c r="X855" s="5" t="n">
        <v>1</v>
      </c>
      <c r="Y855" s="5" t="n">
        <v>17.332</v>
      </c>
      <c r="Z855" s="5" t="n">
        <v>2.139</v>
      </c>
      <c r="AA855" s="5" t="n">
        <v>0</v>
      </c>
      <c r="AB855" s="5" t="n">
        <v>17.332</v>
      </c>
      <c r="AC855" s="5" t="n">
        <v>0</v>
      </c>
      <c r="AD855" s="5" t="n">
        <v>1</v>
      </c>
      <c r="AE855" s="5" t="n">
        <v>18.566</v>
      </c>
      <c r="AF855" s="5" t="n">
        <v>4.048</v>
      </c>
      <c r="AG855" s="5" t="n">
        <v>0</v>
      </c>
      <c r="AH855" s="5" t="n">
        <v>18.566</v>
      </c>
      <c r="AI855" s="5" t="n">
        <v>0</v>
      </c>
      <c r="AJ855" s="5" t="n">
        <v>1</v>
      </c>
      <c r="AK855" s="5" t="n">
        <v>25.974</v>
      </c>
      <c r="AL855" s="5" t="n">
        <v>13.478</v>
      </c>
      <c r="AM855" s="5" t="n">
        <v>0.288</v>
      </c>
      <c r="AN855" s="5" t="n">
        <v>29.871</v>
      </c>
      <c r="AO855" s="5" t="n">
        <v>0.15</v>
      </c>
      <c r="AP855" s="5" t="n">
        <v>1</v>
      </c>
      <c r="AQ855" s="5" t="n">
        <v>0.847</v>
      </c>
      <c r="AR855" s="5" t="n">
        <v>0.123</v>
      </c>
      <c r="AS855" s="5" t="n">
        <v>0.457</v>
      </c>
      <c r="AT855" s="5" t="n">
        <v>1.5</v>
      </c>
      <c r="AU855" s="5" t="n">
        <v>0.15</v>
      </c>
      <c r="AV855" s="5" t="n">
        <v>1</v>
      </c>
      <c r="AW855" s="5" t="n">
        <v>0.947</v>
      </c>
      <c r="AX855" s="5" t="n">
        <v>0.123</v>
      </c>
      <c r="AY855" s="5" t="n">
        <v>0.433</v>
      </c>
      <c r="AZ855" s="5" t="n">
        <v>1.586</v>
      </c>
      <c r="BA855" s="5" t="n">
        <v>0.15</v>
      </c>
      <c r="BB855" s="5" t="n">
        <v>1</v>
      </c>
      <c r="BC855" s="5" t="n">
        <v>0.589</v>
      </c>
      <c r="BD855" s="5" t="n">
        <v>0.123</v>
      </c>
      <c r="BE855" s="5" t="n">
        <v>0.007</v>
      </c>
      <c r="BF855" s="5" t="n">
        <v>0.677</v>
      </c>
      <c r="BG855" s="5" t="n">
        <v>0.15</v>
      </c>
      <c r="BH855" s="5" t="n">
        <v>1</v>
      </c>
      <c r="BI855" s="5" t="n">
        <v>0.6889999999999999</v>
      </c>
      <c r="BJ855" s="5" t="n">
        <v>0.123</v>
      </c>
      <c r="BK855" s="5" t="n">
        <v>0.008</v>
      </c>
      <c r="BL855" s="5" t="n">
        <v>0.792</v>
      </c>
      <c r="BM855" s="5" t="n">
        <v>0.15</v>
      </c>
      <c r="BN855" s="5" t="n">
        <v>1</v>
      </c>
      <c r="BO855" s="5" t="n">
        <v>0</v>
      </c>
      <c r="BP855" s="5" t="n">
        <v>0</v>
      </c>
      <c r="BQ855" s="5" t="n">
        <v>0</v>
      </c>
      <c r="BR855" s="5" t="n">
        <v>0</v>
      </c>
      <c r="BS855" s="5" t="n">
        <v>1</v>
      </c>
      <c r="BT855" s="5" t="n">
        <v>0</v>
      </c>
      <c r="BU855" s="5" t="n">
        <v>0</v>
      </c>
      <c r="BV855" s="5" t="n">
        <v>0</v>
      </c>
      <c r="BW855" s="5" t="n">
        <v>0.15</v>
      </c>
      <c r="BX855" s="5" t="n">
        <v>1</v>
      </c>
      <c r="BY855" s="5" t="n">
        <v>12.729</v>
      </c>
      <c r="BZ855" s="5" t="n">
        <v>0</v>
      </c>
      <c r="CA855" s="5" t="n">
        <v>12.729</v>
      </c>
      <c r="CB855" s="5" t="n">
        <v>0</v>
      </c>
      <c r="CC855" s="5" t="n">
        <v>102.477</v>
      </c>
      <c r="CD855" s="5" t="n">
        <v>7.95</v>
      </c>
      <c r="CE855" s="5" t="n">
        <v>1.138</v>
      </c>
      <c r="CF855" s="5" t="n">
        <v>117.848</v>
      </c>
      <c r="CG855" s="5" t="n">
        <v>0.15</v>
      </c>
      <c r="CH855" s="5" t="n">
        <v>1</v>
      </c>
      <c r="CI855" s="5" t="n">
        <v>0</v>
      </c>
      <c r="CJ855" s="5" t="n">
        <v>0</v>
      </c>
      <c r="CK855" s="5" t="n">
        <v>0</v>
      </c>
      <c r="CL855" s="5" t="n">
        <v>0</v>
      </c>
      <c r="CM855" s="5" t="n">
        <v>0</v>
      </c>
      <c r="CN855" s="5" t="n">
        <v>0</v>
      </c>
      <c r="CO855" s="5" t="n">
        <v>0</v>
      </c>
      <c r="CP855" s="5" t="n">
        <v>0</v>
      </c>
      <c r="CQ855" s="5" t="n">
        <v>1.294</v>
      </c>
      <c r="CR855" s="5" t="n">
        <v>0</v>
      </c>
      <c r="CS855" s="5" t="n">
        <v>5.158</v>
      </c>
      <c r="CT855" s="5" t="n">
        <v>7.554</v>
      </c>
      <c r="CU855" s="5" t="n">
        <v>16.097</v>
      </c>
    </row>
    <row r="856">
      <c r="A856" s="5" t="inlineStr">
        <is>
          <t>VUT2023</t>
        </is>
      </c>
      <c r="B856" s="5" t="inlineStr">
        <is>
          <t>VUT</t>
        </is>
      </c>
      <c r="C856" s="5" t="inlineStr">
        <is>
          <t>VUT</t>
        </is>
      </c>
      <c r="D856" s="5" t="inlineStr">
        <is>
          <t>Vanuatu</t>
        </is>
      </c>
      <c r="E856" s="5" t="n">
        <v>2023</v>
      </c>
      <c r="F856" s="5" t="n">
        <v>0.15</v>
      </c>
      <c r="G856" s="5" t="n">
        <v>5.77</v>
      </c>
      <c r="H856" s="5" t="n">
        <v>1.286</v>
      </c>
      <c r="I856" s="5" t="n">
        <v>0</v>
      </c>
      <c r="J856" s="5" t="n">
        <v>5.77</v>
      </c>
      <c r="K856" s="5" t="n">
        <v>0</v>
      </c>
      <c r="L856" s="5" t="n">
        <v>1</v>
      </c>
      <c r="M856" s="5" t="n">
        <v>7.886</v>
      </c>
      <c r="N856" s="5" t="n">
        <v>3.857</v>
      </c>
      <c r="O856" s="5" t="n">
        <v>0</v>
      </c>
      <c r="P856" s="5" t="n">
        <v>7.886</v>
      </c>
      <c r="Q856" s="5" t="n">
        <v>0</v>
      </c>
      <c r="R856" s="5" t="n">
        <v>1</v>
      </c>
      <c r="S856" s="5" t="n">
        <v>12.198</v>
      </c>
      <c r="T856" s="5" t="n">
        <v>7.714</v>
      </c>
      <c r="U856" s="5" t="n">
        <v>0.203</v>
      </c>
      <c r="V856" s="5" t="n">
        <v>14.028</v>
      </c>
      <c r="W856" s="5" t="n">
        <v>0.15</v>
      </c>
      <c r="X856" s="5" t="n">
        <v>1</v>
      </c>
      <c r="Y856" s="5" t="n">
        <v>13.814</v>
      </c>
      <c r="Z856" s="5" t="n">
        <v>1.705</v>
      </c>
      <c r="AA856" s="5" t="n">
        <v>0</v>
      </c>
      <c r="AB856" s="5" t="n">
        <v>13.814</v>
      </c>
      <c r="AC856" s="5" t="n">
        <v>0</v>
      </c>
      <c r="AD856" s="5" t="n">
        <v>1</v>
      </c>
      <c r="AE856" s="5" t="n">
        <v>15.1</v>
      </c>
      <c r="AF856" s="5" t="n">
        <v>3.292</v>
      </c>
      <c r="AG856" s="5" t="n">
        <v>0</v>
      </c>
      <c r="AH856" s="5" t="n">
        <v>15.1</v>
      </c>
      <c r="AI856" s="5" t="n">
        <v>0</v>
      </c>
      <c r="AJ856" s="5" t="n">
        <v>1</v>
      </c>
      <c r="AK856" s="5" t="n">
        <v>22.814</v>
      </c>
      <c r="AL856" s="5" t="n">
        <v>11.838</v>
      </c>
      <c r="AM856" s="5" t="n">
        <v>0.379</v>
      </c>
      <c r="AN856" s="5" t="n">
        <v>26.236</v>
      </c>
      <c r="AO856" s="5" t="n">
        <v>0.15</v>
      </c>
      <c r="AP856" s="5" t="n">
        <v>1</v>
      </c>
      <c r="AQ856" s="5" t="n">
        <v>0.749</v>
      </c>
      <c r="AR856" s="5" t="n">
        <v>0.129</v>
      </c>
      <c r="AS856" s="5" t="n">
        <v>0.675</v>
      </c>
      <c r="AT856" s="5" t="n">
        <v>1.637</v>
      </c>
      <c r="AU856" s="5" t="n">
        <v>0.15</v>
      </c>
      <c r="AV856" s="5" t="n">
        <v>1</v>
      </c>
      <c r="AW856" s="5" t="n">
        <v>0.783</v>
      </c>
      <c r="AX856" s="5" t="n">
        <v>0.129</v>
      </c>
      <c r="AY856" s="5" t="n">
        <v>0.714</v>
      </c>
      <c r="AZ856" s="5" t="n">
        <v>1.721</v>
      </c>
      <c r="BA856" s="5" t="n">
        <v>0.15</v>
      </c>
      <c r="BB856" s="5" t="n">
        <v>1</v>
      </c>
      <c r="BC856" s="5" t="n">
        <v>0.527</v>
      </c>
      <c r="BD856" s="5" t="n">
        <v>0.129</v>
      </c>
      <c r="BE856" s="5" t="n">
        <v>0.008999999999999999</v>
      </c>
      <c r="BF856" s="5" t="n">
        <v>0.607</v>
      </c>
      <c r="BG856" s="5" t="n">
        <v>0.15</v>
      </c>
      <c r="BH856" s="5" t="n">
        <v>1</v>
      </c>
      <c r="BI856" s="5" t="n">
        <v>0.64</v>
      </c>
      <c r="BJ856" s="5" t="n">
        <v>0.129</v>
      </c>
      <c r="BK856" s="5" t="n">
        <v>0.011</v>
      </c>
      <c r="BL856" s="5" t="n">
        <v>0.736</v>
      </c>
      <c r="BM856" s="5" t="n">
        <v>0.15</v>
      </c>
      <c r="BN856" s="5" t="n">
        <v>1</v>
      </c>
      <c r="BO856" s="5" t="n">
        <v>0</v>
      </c>
      <c r="BP856" s="5" t="n">
        <v>0</v>
      </c>
      <c r="BQ856" s="5" t="n">
        <v>0</v>
      </c>
      <c r="BR856" s="5" t="n">
        <v>0</v>
      </c>
      <c r="BS856" s="5" t="n">
        <v>1</v>
      </c>
      <c r="BT856" s="5" t="n">
        <v>0</v>
      </c>
      <c r="BU856" s="5" t="n">
        <v>0</v>
      </c>
      <c r="BV856" s="5" t="n">
        <v>0</v>
      </c>
      <c r="BW856" s="5" t="n">
        <v>0.15</v>
      </c>
      <c r="BX856" s="5" t="n">
        <v>1</v>
      </c>
      <c r="BY856" s="5" t="n">
        <v>13.254</v>
      </c>
      <c r="BZ856" s="5" t="n">
        <v>0</v>
      </c>
      <c r="CA856" s="5" t="n">
        <v>13.254</v>
      </c>
      <c r="CB856" s="5" t="n">
        <v>0</v>
      </c>
      <c r="CC856" s="5" t="n">
        <v>87.07899999999999</v>
      </c>
      <c r="CD856" s="5" t="n">
        <v>7.95</v>
      </c>
      <c r="CE856" s="5" t="n">
        <v>1.446</v>
      </c>
      <c r="CF856" s="5" t="n">
        <v>100.141</v>
      </c>
      <c r="CG856" s="5" t="n">
        <v>0.15</v>
      </c>
      <c r="CH856" s="5" t="n">
        <v>1</v>
      </c>
      <c r="CI856" s="5" t="n">
        <v>0</v>
      </c>
      <c r="CJ856" s="5" t="n">
        <v>0</v>
      </c>
      <c r="CK856" s="5" t="n">
        <v>0</v>
      </c>
      <c r="CL856" s="5" t="n">
        <v>0</v>
      </c>
      <c r="CM856" s="5" t="n">
        <v>0</v>
      </c>
      <c r="CN856" s="5" t="n">
        <v>0</v>
      </c>
      <c r="CO856" s="5" t="n">
        <v>0</v>
      </c>
      <c r="CP856" s="5" t="n">
        <v>0</v>
      </c>
      <c r="CQ856" s="5" t="n">
        <v>1.348</v>
      </c>
      <c r="CR856" s="5" t="n">
        <v>0</v>
      </c>
      <c r="CS856" s="5" t="n">
        <v>5.37</v>
      </c>
      <c r="CT856" s="5" t="n">
        <v>4.484</v>
      </c>
      <c r="CU856" s="5" t="n">
        <v>12.529</v>
      </c>
    </row>
    <row r="857">
      <c r="A857" s="5" t="inlineStr">
        <is>
          <t>VUT2024</t>
        </is>
      </c>
      <c r="B857" s="5" t="inlineStr">
        <is>
          <t>VUT</t>
        </is>
      </c>
      <c r="C857" s="5" t="inlineStr">
        <is>
          <t>VUT</t>
        </is>
      </c>
      <c r="D857" s="5" t="inlineStr">
        <is>
          <t>Vanuatu</t>
        </is>
      </c>
      <c r="E857" s="5" t="n">
        <v>2024</v>
      </c>
      <c r="F857" s="5" t="n">
        <v>0.15</v>
      </c>
      <c r="G857" s="5" t="n">
        <v>4.833</v>
      </c>
      <c r="H857" s="5" t="n">
        <v>1.324</v>
      </c>
      <c r="I857" s="5" t="n">
        <v>0</v>
      </c>
      <c r="J857" s="5" t="n">
        <v>4.833</v>
      </c>
      <c r="K857" s="5" t="n">
        <v>0</v>
      </c>
      <c r="L857" s="5" t="n">
        <v>1</v>
      </c>
      <c r="M857" s="5" t="n">
        <v>7.124</v>
      </c>
      <c r="N857" s="5" t="n">
        <v>3.971</v>
      </c>
      <c r="O857" s="5" t="n">
        <v>0</v>
      </c>
      <c r="P857" s="5" t="n">
        <v>7.124</v>
      </c>
      <c r="Q857" s="5" t="n">
        <v>0</v>
      </c>
      <c r="R857" s="5" t="n">
        <v>1</v>
      </c>
      <c r="S857" s="5" t="n">
        <v>11.451</v>
      </c>
      <c r="T857" s="5" t="n">
        <v>7.942</v>
      </c>
      <c r="U857" s="5" t="n">
        <v>0.234</v>
      </c>
      <c r="V857" s="5" t="n">
        <v>13.168</v>
      </c>
      <c r="W857" s="5" t="n">
        <v>0.15</v>
      </c>
      <c r="X857" s="5" t="n">
        <v>1</v>
      </c>
      <c r="Y857" s="5" t="n">
        <v>12.219</v>
      </c>
      <c r="Z857" s="5" t="n">
        <v>1.508</v>
      </c>
      <c r="AA857" s="5" t="n">
        <v>0</v>
      </c>
      <c r="AB857" s="5" t="n">
        <v>12.219</v>
      </c>
      <c r="AC857" s="5" t="n">
        <v>0</v>
      </c>
      <c r="AD857" s="5" t="n">
        <v>1</v>
      </c>
      <c r="AE857" s="5" t="n">
        <v>13.543</v>
      </c>
      <c r="AF857" s="5" t="n">
        <v>2.952</v>
      </c>
      <c r="AG857" s="5" t="n">
        <v>0</v>
      </c>
      <c r="AH857" s="5" t="n">
        <v>13.543</v>
      </c>
      <c r="AI857" s="5" t="n">
        <v>0</v>
      </c>
      <c r="AJ857" s="5" t="n">
        <v>1</v>
      </c>
      <c r="AK857" s="5" t="n">
        <v>21.484</v>
      </c>
      <c r="AL857" s="5" t="n">
        <v>11.148</v>
      </c>
      <c r="AM857" s="5" t="n">
        <v>0.439</v>
      </c>
      <c r="AN857" s="5" t="n">
        <v>24.707</v>
      </c>
      <c r="AO857" s="5" t="n">
        <v>0.15</v>
      </c>
      <c r="AP857" s="5" t="n">
        <v>1</v>
      </c>
      <c r="AQ857" s="5" t="n">
        <v>0.72</v>
      </c>
      <c r="AR857" s="5" t="n">
        <v>0.132</v>
      </c>
      <c r="AS857" s="5" t="n">
        <v>0.616</v>
      </c>
      <c r="AT857" s="5" t="n">
        <v>1.536</v>
      </c>
      <c r="AU857" s="5" t="n">
        <v>0.15</v>
      </c>
      <c r="AV857" s="5" t="n">
        <v>1</v>
      </c>
      <c r="AW857" s="5" t="n">
        <v>0.734</v>
      </c>
      <c r="AX857" s="5" t="n">
        <v>0.132</v>
      </c>
      <c r="AY857" s="5" t="n">
        <v>0.595</v>
      </c>
      <c r="AZ857" s="5" t="n">
        <v>1.528</v>
      </c>
      <c r="BA857" s="5" t="n">
        <v>0.15</v>
      </c>
      <c r="BB857" s="5" t="n">
        <v>1</v>
      </c>
      <c r="BC857" s="5" t="n">
        <v>0.51</v>
      </c>
      <c r="BD857" s="5" t="n">
        <v>0.132</v>
      </c>
      <c r="BE857" s="5" t="n">
        <v>0.01</v>
      </c>
      <c r="BF857" s="5" t="n">
        <v>0.587</v>
      </c>
      <c r="BG857" s="5" t="n">
        <v>0.15</v>
      </c>
      <c r="BH857" s="5" t="n">
        <v>1</v>
      </c>
      <c r="BI857" s="5" t="n">
        <v>0.652</v>
      </c>
      <c r="BJ857" s="5" t="n">
        <v>0.132</v>
      </c>
      <c r="BK857" s="5" t="n">
        <v>0.013</v>
      </c>
      <c r="BL857" s="5" t="n">
        <v>0.75</v>
      </c>
      <c r="BM857" s="5" t="n">
        <v>0.15</v>
      </c>
      <c r="BN857" s="5" t="n">
        <v>1</v>
      </c>
      <c r="BO857" s="5" t="n">
        <v>0</v>
      </c>
      <c r="BP857" s="5" t="n">
        <v>0</v>
      </c>
      <c r="BQ857" s="5" t="n">
        <v>0</v>
      </c>
      <c r="BR857" s="5" t="n">
        <v>0</v>
      </c>
      <c r="BS857" s="5" t="n">
        <v>1</v>
      </c>
      <c r="BT857" s="5" t="n">
        <v>0</v>
      </c>
      <c r="BU857" s="5" t="n">
        <v>0</v>
      </c>
      <c r="BV857" s="5" t="n">
        <v>0</v>
      </c>
      <c r="BW857" s="5" t="n">
        <v>0.15</v>
      </c>
      <c r="BX857" s="5" t="n">
        <v>1</v>
      </c>
      <c r="BY857" s="5" t="n">
        <v>13.646</v>
      </c>
      <c r="BZ857" s="5" t="n">
        <v>0</v>
      </c>
      <c r="CA857" s="5" t="n">
        <v>13.646</v>
      </c>
      <c r="CB857" s="5" t="n">
        <v>0</v>
      </c>
      <c r="CC857" s="5" t="n">
        <v>86.38500000000001</v>
      </c>
      <c r="CD857" s="5" t="n">
        <v>7.95</v>
      </c>
      <c r="CE857" s="5" t="n">
        <v>1.765</v>
      </c>
      <c r="CF857" s="5" t="n">
        <v>99.343</v>
      </c>
      <c r="CG857" s="5" t="n">
        <v>0.15</v>
      </c>
      <c r="CH857" s="5" t="n">
        <v>1</v>
      </c>
      <c r="CI857" s="5" t="n">
        <v>0</v>
      </c>
      <c r="CJ857" s="5" t="n">
        <v>0</v>
      </c>
      <c r="CK857" s="5" t="n">
        <v>0</v>
      </c>
      <c r="CL857" s="5" t="n">
        <v>0</v>
      </c>
      <c r="CM857" s="5" t="n">
        <v>0</v>
      </c>
      <c r="CN857" s="5" t="n">
        <v>0</v>
      </c>
      <c r="CO857" s="5" t="n">
        <v>0</v>
      </c>
      <c r="CP857" s="5" t="n">
        <v>0</v>
      </c>
      <c r="CQ857" s="5" t="n">
        <v>1.387</v>
      </c>
      <c r="CR857" s="5" t="n">
        <v>0</v>
      </c>
      <c r="CS857" s="5" t="n">
        <v>5.529</v>
      </c>
      <c r="CT857" s="5" t="n">
        <v>3.509</v>
      </c>
      <c r="CU857" s="5" t="n">
        <v>10.896</v>
      </c>
    </row>
    <row r="858">
      <c r="A858" s="5" t="inlineStr">
        <is>
          <t>VEN2021</t>
        </is>
      </c>
      <c r="B858" s="5" t="inlineStr">
        <is>
          <t>VEN</t>
        </is>
      </c>
      <c r="C858" s="5" t="inlineStr">
        <is>
          <t>VEN</t>
        </is>
      </c>
      <c r="D858" s="5" t="inlineStr">
        <is>
          <t>Venezuela</t>
        </is>
      </c>
      <c r="E858" s="5" t="n">
        <v>2021</v>
      </c>
      <c r="F858" s="5" t="n">
        <v>0.16</v>
      </c>
      <c r="G858" s="5" t="n">
        <v>1.77</v>
      </c>
      <c r="H858" s="5" t="n">
        <v>0.572</v>
      </c>
      <c r="I858" s="5" t="n">
        <v>0</v>
      </c>
      <c r="J858" s="5" t="n">
        <v>1.77</v>
      </c>
      <c r="K858" s="5" t="n">
        <v>0</v>
      </c>
      <c r="L858" s="5" t="n">
        <v>1</v>
      </c>
      <c r="M858" s="5" t="n">
        <v>2.913</v>
      </c>
      <c r="N858" s="5" t="n">
        <v>1.715</v>
      </c>
      <c r="O858" s="5" t="n">
        <v>0</v>
      </c>
      <c r="P858" s="5" t="n">
        <v>2.913</v>
      </c>
      <c r="Q858" s="5" t="n">
        <v>0</v>
      </c>
      <c r="R858" s="5" t="n">
        <v>1</v>
      </c>
      <c r="S858" s="5" t="n">
        <v>4.628</v>
      </c>
      <c r="T858" s="5" t="n">
        <v>3.43</v>
      </c>
      <c r="U858" s="5" t="n">
        <v>0</v>
      </c>
      <c r="V858" s="5" t="n">
        <v>5.369</v>
      </c>
      <c r="W858" s="5" t="n">
        <v>0.16</v>
      </c>
      <c r="X858" s="5" t="n">
        <v>1</v>
      </c>
      <c r="Y858" s="5" t="n">
        <v>6.395</v>
      </c>
      <c r="Z858" s="5" t="n">
        <v>0.469</v>
      </c>
      <c r="AA858" s="5" t="n">
        <v>-1.675</v>
      </c>
      <c r="AB858" s="5" t="n">
        <v>4.72</v>
      </c>
      <c r="AC858" s="5" t="n">
        <v>0</v>
      </c>
      <c r="AD858" s="5" t="n">
        <v>0</v>
      </c>
      <c r="AE858" s="5" t="n">
        <v>6.966</v>
      </c>
      <c r="AF858" s="5" t="n">
        <v>0.944</v>
      </c>
      <c r="AG858" s="5" t="n">
        <v>-1.675</v>
      </c>
      <c r="AH858" s="5" t="n">
        <v>5.292</v>
      </c>
      <c r="AI858" s="5" t="n">
        <v>0</v>
      </c>
      <c r="AJ858" s="5" t="n">
        <v>0</v>
      </c>
      <c r="AK858" s="5" t="n">
        <v>10.396</v>
      </c>
      <c r="AL858" s="5" t="n">
        <v>3.907</v>
      </c>
      <c r="AM858" s="5" t="n">
        <v>-0.011</v>
      </c>
      <c r="AN858" s="5" t="n">
        <v>10.385</v>
      </c>
      <c r="AO858" s="5" t="n">
        <v>0</v>
      </c>
      <c r="AP858" s="5" t="n">
        <v>1</v>
      </c>
      <c r="AQ858" s="5" t="n">
        <v>0.649</v>
      </c>
      <c r="AR858" s="5" t="n">
        <v>0.114</v>
      </c>
      <c r="AS858" s="5" t="n">
        <v>-0.64</v>
      </c>
      <c r="AT858" s="5" t="n">
        <v>0.01</v>
      </c>
      <c r="AU858" s="5" t="n">
        <v>0</v>
      </c>
      <c r="AV858" s="5" t="n">
        <v>0</v>
      </c>
      <c r="AW858" s="5" t="n">
        <v>0.577</v>
      </c>
      <c r="AX858" s="5" t="n">
        <v>0.114</v>
      </c>
      <c r="AY858" s="5" t="n">
        <v>-0.5669999999999999</v>
      </c>
      <c r="AZ858" s="5" t="n">
        <v>0.01</v>
      </c>
      <c r="BA858" s="5" t="n">
        <v>0</v>
      </c>
      <c r="BB858" s="5" t="n">
        <v>0</v>
      </c>
      <c r="BC858" s="5" t="n">
        <v>0.458</v>
      </c>
      <c r="BD858" s="5" t="n">
        <v>0.114</v>
      </c>
      <c r="BE858" s="5" t="n">
        <v>-0.431</v>
      </c>
      <c r="BF858" s="5" t="n">
        <v>0.032</v>
      </c>
      <c r="BG858" s="5" t="n">
        <v>0</v>
      </c>
      <c r="BH858" s="5" t="n">
        <v>0</v>
      </c>
      <c r="BI858" s="5" t="n">
        <v>0.491</v>
      </c>
      <c r="BJ858" s="5" t="n">
        <v>0.114</v>
      </c>
      <c r="BK858" s="5" t="n">
        <v>0.095</v>
      </c>
      <c r="BL858" s="5" t="n">
        <v>0.68</v>
      </c>
      <c r="BM858" s="5" t="n">
        <v>0.16</v>
      </c>
      <c r="BN858" s="5" t="n">
        <v>1</v>
      </c>
      <c r="BO858" s="5" t="n">
        <v>0</v>
      </c>
      <c r="BP858" s="5" t="n">
        <v>-0.081</v>
      </c>
      <c r="BQ858" s="5" t="n">
        <v>0.119</v>
      </c>
      <c r="BR858" s="5" t="n">
        <v>0</v>
      </c>
      <c r="BS858" s="5" t="n">
        <v>1</v>
      </c>
      <c r="BT858" s="5" t="n">
        <v>0</v>
      </c>
      <c r="BU858" s="5" t="n">
        <v>-0.081</v>
      </c>
      <c r="BV858" s="5" t="n">
        <v>0.045</v>
      </c>
      <c r="BW858" s="5" t="n">
        <v>0</v>
      </c>
      <c r="BX858" s="5" t="n">
        <v>0.833</v>
      </c>
      <c r="BY858" s="5" t="n">
        <v>11.787</v>
      </c>
      <c r="BZ858" s="5" t="n">
        <v>0</v>
      </c>
      <c r="CA858" s="5" t="n">
        <v>11.787</v>
      </c>
      <c r="CB858" s="5" t="n">
        <v>0</v>
      </c>
      <c r="CC858" s="5" t="n">
        <v>78.125</v>
      </c>
      <c r="CD858" s="5" t="n">
        <v>7.95</v>
      </c>
      <c r="CE858" s="5" t="n">
        <v>0</v>
      </c>
      <c r="CF858" s="5" t="n">
        <v>90.625</v>
      </c>
      <c r="CG858" s="5" t="n">
        <v>0.16</v>
      </c>
      <c r="CH858" s="5" t="n">
        <v>1</v>
      </c>
      <c r="CI858" s="5" t="n">
        <v>0</v>
      </c>
      <c r="CJ858" s="5" t="n">
        <v>0</v>
      </c>
      <c r="CK858" s="5" t="n">
        <v>0</v>
      </c>
      <c r="CL858" s="5" t="n">
        <v>0</v>
      </c>
      <c r="CM858" s="5" t="n">
        <v>0</v>
      </c>
      <c r="CN858" s="5" t="n">
        <v>0</v>
      </c>
      <c r="CO858" s="5" t="n">
        <v>0</v>
      </c>
      <c r="CP858" s="5" t="n">
        <v>1</v>
      </c>
      <c r="CQ858" s="5" t="n">
        <v>1.198</v>
      </c>
      <c r="CR858" s="5" t="n">
        <v>1</v>
      </c>
      <c r="CS858" s="5" t="n">
        <v>5.823</v>
      </c>
      <c r="CT858" s="5" t="n">
        <v>4.753</v>
      </c>
      <c r="CU858" s="5" t="n">
        <v>15.983</v>
      </c>
    </row>
    <row r="859">
      <c r="A859" s="5" t="inlineStr">
        <is>
          <t>VEN2022</t>
        </is>
      </c>
      <c r="B859" s="5" t="inlineStr">
        <is>
          <t>VEN</t>
        </is>
      </c>
      <c r="C859" s="5" t="inlineStr">
        <is>
          <t>VEN</t>
        </is>
      </c>
      <c r="D859" s="5" t="inlineStr">
        <is>
          <t>Venezuela</t>
        </is>
      </c>
      <c r="E859" s="5" t="n">
        <v>2022</v>
      </c>
      <c r="F859" s="5" t="n">
        <v>0.16</v>
      </c>
      <c r="G859" s="5" t="n">
        <v>1.911</v>
      </c>
      <c r="H859" s="5" t="n">
        <v>0.617</v>
      </c>
      <c r="I859" s="5" t="n">
        <v>0</v>
      </c>
      <c r="J859" s="5" t="n">
        <v>1.911</v>
      </c>
      <c r="K859" s="5" t="n">
        <v>0</v>
      </c>
      <c r="L859" s="5" t="n">
        <v>1</v>
      </c>
      <c r="M859" s="5" t="n">
        <v>3.146</v>
      </c>
      <c r="N859" s="5" t="n">
        <v>1.852</v>
      </c>
      <c r="O859" s="5" t="n">
        <v>0</v>
      </c>
      <c r="P859" s="5" t="n">
        <v>3.146</v>
      </c>
      <c r="Q859" s="5" t="n">
        <v>0</v>
      </c>
      <c r="R859" s="5" t="n">
        <v>1</v>
      </c>
      <c r="S859" s="5" t="n">
        <v>4.998</v>
      </c>
      <c r="T859" s="5" t="n">
        <v>3.704</v>
      </c>
      <c r="U859" s="5" t="n">
        <v>0.059</v>
      </c>
      <c r="V859" s="5" t="n">
        <v>5.798</v>
      </c>
      <c r="W859" s="5" t="n">
        <v>0.16</v>
      </c>
      <c r="X859" s="5" t="n">
        <v>1</v>
      </c>
      <c r="Y859" s="5" t="n">
        <v>6.906</v>
      </c>
      <c r="Z859" s="5" t="n">
        <v>0.506</v>
      </c>
      <c r="AA859" s="5" t="n">
        <v>-1.808</v>
      </c>
      <c r="AB859" s="5" t="n">
        <v>5.097</v>
      </c>
      <c r="AC859" s="5" t="n">
        <v>0</v>
      </c>
      <c r="AD859" s="5" t="n">
        <v>0</v>
      </c>
      <c r="AE859" s="5" t="n">
        <v>7.523</v>
      </c>
      <c r="AF859" s="5" t="n">
        <v>1.019</v>
      </c>
      <c r="AG859" s="5" t="n">
        <v>-1.808</v>
      </c>
      <c r="AH859" s="5" t="n">
        <v>5.715</v>
      </c>
      <c r="AI859" s="5" t="n">
        <v>0</v>
      </c>
      <c r="AJ859" s="5" t="n">
        <v>0</v>
      </c>
      <c r="AK859" s="5" t="n">
        <v>11.227</v>
      </c>
      <c r="AL859" s="5" t="n">
        <v>4.22</v>
      </c>
      <c r="AM859" s="5" t="n">
        <v>-0.012</v>
      </c>
      <c r="AN859" s="5" t="n">
        <v>11.215</v>
      </c>
      <c r="AO859" s="5" t="n">
        <v>0</v>
      </c>
      <c r="AP859" s="5" t="n">
        <v>1</v>
      </c>
      <c r="AQ859" s="5" t="n">
        <v>0.896</v>
      </c>
      <c r="AR859" s="5" t="n">
        <v>0.123</v>
      </c>
      <c r="AS859" s="5" t="n">
        <v>-0.876</v>
      </c>
      <c r="AT859" s="5" t="n">
        <v>0.023</v>
      </c>
      <c r="AU859" s="5" t="n">
        <v>0</v>
      </c>
      <c r="AV859" s="5" t="n">
        <v>0</v>
      </c>
      <c r="AW859" s="5" t="n">
        <v>0.89</v>
      </c>
      <c r="AX859" s="5" t="n">
        <v>0.123</v>
      </c>
      <c r="AY859" s="5" t="n">
        <v>-0.872</v>
      </c>
      <c r="AZ859" s="5" t="n">
        <v>0.021</v>
      </c>
      <c r="BA859" s="5" t="n">
        <v>0</v>
      </c>
      <c r="BB859" s="5" t="n">
        <v>0</v>
      </c>
      <c r="BC859" s="5" t="n">
        <v>0.62</v>
      </c>
      <c r="BD859" s="5" t="n">
        <v>0.123</v>
      </c>
      <c r="BE859" s="5" t="n">
        <v>-0.569</v>
      </c>
      <c r="BF859" s="5" t="n">
        <v>0.06</v>
      </c>
      <c r="BG859" s="5" t="n">
        <v>0</v>
      </c>
      <c r="BH859" s="5" t="n">
        <v>0</v>
      </c>
      <c r="BI859" s="5" t="n">
        <v>0.608</v>
      </c>
      <c r="BJ859" s="5" t="n">
        <v>0.123</v>
      </c>
      <c r="BK859" s="5" t="n">
        <v>0.101</v>
      </c>
      <c r="BL859" s="5" t="n">
        <v>0.8120000000000001</v>
      </c>
      <c r="BM859" s="5" t="n">
        <v>0.16</v>
      </c>
      <c r="BN859" s="5" t="n">
        <v>1</v>
      </c>
      <c r="BO859" s="5" t="n">
        <v>0</v>
      </c>
      <c r="BP859" s="5" t="n">
        <v>-0.081</v>
      </c>
      <c r="BQ859" s="5" t="n">
        <v>0.132</v>
      </c>
      <c r="BR859" s="5" t="n">
        <v>0</v>
      </c>
      <c r="BS859" s="5" t="n">
        <v>1</v>
      </c>
      <c r="BT859" s="5" t="n">
        <v>0</v>
      </c>
      <c r="BU859" s="5" t="n">
        <v>-0.081</v>
      </c>
      <c r="BV859" s="5" t="n">
        <v>0.046</v>
      </c>
      <c r="BW859" s="5" t="n">
        <v>0</v>
      </c>
      <c r="BX859" s="5" t="n">
        <v>0.833</v>
      </c>
      <c r="BY859" s="5" t="n">
        <v>12.729</v>
      </c>
      <c r="BZ859" s="5" t="n">
        <v>0</v>
      </c>
      <c r="CA859" s="5" t="n">
        <v>12.729</v>
      </c>
      <c r="CB859" s="5" t="n">
        <v>0</v>
      </c>
      <c r="CC859" s="5" t="n">
        <v>97.90000000000001</v>
      </c>
      <c r="CD859" s="5" t="n">
        <v>7.95</v>
      </c>
      <c r="CE859" s="5" t="n">
        <v>1.159</v>
      </c>
      <c r="CF859" s="5" t="n">
        <v>113.564</v>
      </c>
      <c r="CG859" s="5" t="n">
        <v>0.16</v>
      </c>
      <c r="CH859" s="5" t="n">
        <v>1</v>
      </c>
      <c r="CI859" s="5" t="n">
        <v>0</v>
      </c>
      <c r="CJ859" s="5" t="n">
        <v>0</v>
      </c>
      <c r="CK859" s="5" t="n">
        <v>0</v>
      </c>
      <c r="CL859" s="5" t="n">
        <v>0</v>
      </c>
      <c r="CM859" s="5" t="n">
        <v>0</v>
      </c>
      <c r="CN859" s="5" t="n">
        <v>0</v>
      </c>
      <c r="CO859" s="5" t="n">
        <v>0</v>
      </c>
      <c r="CP859" s="5" t="n">
        <v>1</v>
      </c>
      <c r="CQ859" s="5" t="n">
        <v>1.294</v>
      </c>
      <c r="CR859" s="5" t="n">
        <v>1</v>
      </c>
      <c r="CS859" s="5" t="n">
        <v>6.288</v>
      </c>
      <c r="CT859" s="5" t="n">
        <v>10.485</v>
      </c>
      <c r="CU859" s="5" t="n">
        <v>29.494</v>
      </c>
    </row>
    <row r="860">
      <c r="A860" s="5" t="inlineStr">
        <is>
          <t>VEN2023</t>
        </is>
      </c>
      <c r="B860" s="5" t="inlineStr">
        <is>
          <t>VEN</t>
        </is>
      </c>
      <c r="C860" s="5" t="inlineStr">
        <is>
          <t>VEN</t>
        </is>
      </c>
      <c r="D860" s="5" t="inlineStr">
        <is>
          <t>Venezuela</t>
        </is>
      </c>
      <c r="E860" s="5" t="n">
        <v>2023</v>
      </c>
      <c r="F860" s="5" t="n">
        <v>0.16</v>
      </c>
      <c r="G860" s="5" t="n">
        <v>1.99</v>
      </c>
      <c r="H860" s="5" t="n">
        <v>0.643</v>
      </c>
      <c r="I860" s="5" t="n">
        <v>0</v>
      </c>
      <c r="J860" s="5" t="n">
        <v>1.99</v>
      </c>
      <c r="K860" s="5" t="n">
        <v>0</v>
      </c>
      <c r="L860" s="5" t="n">
        <v>1</v>
      </c>
      <c r="M860" s="5" t="n">
        <v>3.276</v>
      </c>
      <c r="N860" s="5" t="n">
        <v>1.928</v>
      </c>
      <c r="O860" s="5" t="n">
        <v>0</v>
      </c>
      <c r="P860" s="5" t="n">
        <v>3.276</v>
      </c>
      <c r="Q860" s="5" t="n">
        <v>0</v>
      </c>
      <c r="R860" s="5" t="n">
        <v>1</v>
      </c>
      <c r="S860" s="5" t="n">
        <v>5.205</v>
      </c>
      <c r="T860" s="5" t="n">
        <v>3.857</v>
      </c>
      <c r="U860" s="5" t="n">
        <v>0.092</v>
      </c>
      <c r="V860" s="5" t="n">
        <v>6.037</v>
      </c>
      <c r="W860" s="5" t="n">
        <v>0.16</v>
      </c>
      <c r="X860" s="5" t="n">
        <v>1</v>
      </c>
      <c r="Y860" s="5" t="n">
        <v>7.191</v>
      </c>
      <c r="Z860" s="5" t="n">
        <v>0.527</v>
      </c>
      <c r="AA860" s="5" t="n">
        <v>-1.883</v>
      </c>
      <c r="AB860" s="5" t="n">
        <v>5.308</v>
      </c>
      <c r="AC860" s="5" t="n">
        <v>0</v>
      </c>
      <c r="AD860" s="5" t="n">
        <v>0</v>
      </c>
      <c r="AE860" s="5" t="n">
        <v>7.834</v>
      </c>
      <c r="AF860" s="5" t="n">
        <v>1.061</v>
      </c>
      <c r="AG860" s="5" t="n">
        <v>-1.883</v>
      </c>
      <c r="AH860" s="5" t="n">
        <v>5.951</v>
      </c>
      <c r="AI860" s="5" t="n">
        <v>0</v>
      </c>
      <c r="AJ860" s="5" t="n">
        <v>0</v>
      </c>
      <c r="AK860" s="5" t="n">
        <v>11.691</v>
      </c>
      <c r="AL860" s="5" t="n">
        <v>4.394</v>
      </c>
      <c r="AM860" s="5" t="n">
        <v>-0.013</v>
      </c>
      <c r="AN860" s="5" t="n">
        <v>11.678</v>
      </c>
      <c r="AO860" s="5" t="n">
        <v>0</v>
      </c>
      <c r="AP860" s="5" t="n">
        <v>1</v>
      </c>
      <c r="AQ860" s="5" t="n">
        <v>0.791</v>
      </c>
      <c r="AR860" s="5" t="n">
        <v>0.129</v>
      </c>
      <c r="AS860" s="5" t="n">
        <v>-0.767</v>
      </c>
      <c r="AT860" s="5" t="n">
        <v>0.024</v>
      </c>
      <c r="AU860" s="5" t="n">
        <v>0</v>
      </c>
      <c r="AV860" s="5" t="n">
        <v>0</v>
      </c>
      <c r="AW860" s="5" t="n">
        <v>0.618</v>
      </c>
      <c r="AX860" s="5" t="n">
        <v>0.129</v>
      </c>
      <c r="AY860" s="5" t="n">
        <v>-0.609</v>
      </c>
      <c r="AZ860" s="5" t="n">
        <v>0.01</v>
      </c>
      <c r="BA860" s="5" t="n">
        <v>0</v>
      </c>
      <c r="BB860" s="5" t="n">
        <v>0</v>
      </c>
      <c r="BC860" s="5" t="n">
        <v>0.554</v>
      </c>
      <c r="BD860" s="5" t="n">
        <v>0.129</v>
      </c>
      <c r="BE860" s="5" t="n">
        <v>-0.492</v>
      </c>
      <c r="BF860" s="5" t="n">
        <v>0.062</v>
      </c>
      <c r="BG860" s="5" t="n">
        <v>0</v>
      </c>
      <c r="BH860" s="5" t="n">
        <v>0</v>
      </c>
      <c r="BI860" s="5" t="n">
        <v>0.5570000000000001</v>
      </c>
      <c r="BJ860" s="5" t="n">
        <v>0.129</v>
      </c>
      <c r="BK860" s="5" t="n">
        <v>0.118</v>
      </c>
      <c r="BL860" s="5" t="n">
        <v>0.77</v>
      </c>
      <c r="BM860" s="5" t="n">
        <v>0.16</v>
      </c>
      <c r="BN860" s="5" t="n">
        <v>1</v>
      </c>
      <c r="BO860" s="5" t="n">
        <v>0</v>
      </c>
      <c r="BP860" s="5" t="n">
        <v>-0.081</v>
      </c>
      <c r="BQ860" s="5" t="n">
        <v>0.237</v>
      </c>
      <c r="BR860" s="5" t="n">
        <v>0</v>
      </c>
      <c r="BS860" s="5" t="n">
        <v>1</v>
      </c>
      <c r="BT860" s="5" t="n">
        <v>0</v>
      </c>
      <c r="BU860" s="5" t="n">
        <v>-0.081</v>
      </c>
      <c r="BV860" s="5" t="n">
        <v>0.032</v>
      </c>
      <c r="BW860" s="5" t="n">
        <v>0</v>
      </c>
      <c r="BX860" s="5" t="n">
        <v>0.833</v>
      </c>
      <c r="BY860" s="5" t="n">
        <v>13.254</v>
      </c>
      <c r="BZ860" s="5" t="n">
        <v>0</v>
      </c>
      <c r="CA860" s="5" t="n">
        <v>13.254</v>
      </c>
      <c r="CB860" s="5" t="n">
        <v>0</v>
      </c>
      <c r="CC860" s="5" t="n">
        <v>83.248</v>
      </c>
      <c r="CD860" s="5" t="n">
        <v>7.95</v>
      </c>
      <c r="CE860" s="5" t="n">
        <v>1.475</v>
      </c>
      <c r="CF860" s="5" t="n">
        <v>96.568</v>
      </c>
      <c r="CG860" s="5" t="n">
        <v>0.16</v>
      </c>
      <c r="CH860" s="5" t="n">
        <v>1</v>
      </c>
      <c r="CI860" s="5" t="n">
        <v>0</v>
      </c>
      <c r="CJ860" s="5" t="n">
        <v>0</v>
      </c>
      <c r="CK860" s="5" t="n">
        <v>0</v>
      </c>
      <c r="CL860" s="5" t="n">
        <v>0</v>
      </c>
      <c r="CM860" s="5" t="n">
        <v>0</v>
      </c>
      <c r="CN860" s="5" t="n">
        <v>0</v>
      </c>
      <c r="CO860" s="5" t="n">
        <v>0</v>
      </c>
      <c r="CP860" s="5" t="n">
        <v>1</v>
      </c>
      <c r="CQ860" s="5" t="n">
        <v>1.348</v>
      </c>
      <c r="CR860" s="5" t="n">
        <v>1</v>
      </c>
      <c r="CS860" s="5" t="n">
        <v>6.548</v>
      </c>
      <c r="CT860" s="5" t="n">
        <v>4.861</v>
      </c>
      <c r="CU860" s="5" t="n">
        <v>11.192</v>
      </c>
    </row>
    <row r="861">
      <c r="A861" s="5" t="inlineStr">
        <is>
          <t>VEN2024</t>
        </is>
      </c>
      <c r="B861" s="5" t="inlineStr">
        <is>
          <t>VEN</t>
        </is>
      </c>
      <c r="C861" s="5" t="inlineStr">
        <is>
          <t>VEN</t>
        </is>
      </c>
      <c r="D861" s="5" t="inlineStr">
        <is>
          <t>Venezuela</t>
        </is>
      </c>
      <c r="E861" s="5" t="n">
        <v>2024</v>
      </c>
      <c r="F861" s="5" t="n">
        <v>0.16</v>
      </c>
      <c r="G861" s="5" t="n">
        <v>2.049</v>
      </c>
      <c r="H861" s="5" t="n">
        <v>0.662</v>
      </c>
      <c r="I861" s="5" t="n">
        <v>0</v>
      </c>
      <c r="J861" s="5" t="n">
        <v>2.049</v>
      </c>
      <c r="K861" s="5" t="n">
        <v>0</v>
      </c>
      <c r="L861" s="5" t="n">
        <v>1</v>
      </c>
      <c r="M861" s="5" t="n">
        <v>3.373</v>
      </c>
      <c r="N861" s="5" t="n">
        <v>1.985</v>
      </c>
      <c r="O861" s="5" t="n">
        <v>0</v>
      </c>
      <c r="P861" s="5" t="n">
        <v>3.373</v>
      </c>
      <c r="Q861" s="5" t="n">
        <v>0</v>
      </c>
      <c r="R861" s="5" t="n">
        <v>1</v>
      </c>
      <c r="S861" s="5" t="n">
        <v>5.358</v>
      </c>
      <c r="T861" s="5" t="n">
        <v>3.971</v>
      </c>
      <c r="U861" s="5" t="n">
        <v>0.117</v>
      </c>
      <c r="V861" s="5" t="n">
        <v>6.215</v>
      </c>
      <c r="W861" s="5" t="n">
        <v>0.16</v>
      </c>
      <c r="X861" s="5" t="n">
        <v>1</v>
      </c>
      <c r="Y861" s="5" t="n">
        <v>7.403</v>
      </c>
      <c r="Z861" s="5" t="n">
        <v>0.543</v>
      </c>
      <c r="AA861" s="5" t="n">
        <v>-1.724</v>
      </c>
      <c r="AB861" s="5" t="n">
        <v>5.679</v>
      </c>
      <c r="AC861" s="5" t="n">
        <v>0</v>
      </c>
      <c r="AD861" s="5" t="n">
        <v>0</v>
      </c>
      <c r="AE861" s="5" t="n">
        <v>8.065</v>
      </c>
      <c r="AF861" s="5" t="n">
        <v>1.092</v>
      </c>
      <c r="AG861" s="5" t="n">
        <v>-1.724</v>
      </c>
      <c r="AH861" s="5" t="n">
        <v>6.341</v>
      </c>
      <c r="AI861" s="5" t="n">
        <v>0</v>
      </c>
      <c r="AJ861" s="5" t="n">
        <v>0</v>
      </c>
      <c r="AK861" s="5" t="n">
        <v>12.036</v>
      </c>
      <c r="AL861" s="5" t="n">
        <v>4.523</v>
      </c>
      <c r="AM861" s="5" t="n">
        <v>-0.074</v>
      </c>
      <c r="AN861" s="5" t="n">
        <v>11.962</v>
      </c>
      <c r="AO861" s="5" t="n">
        <v>0</v>
      </c>
      <c r="AP861" s="5" t="n">
        <v>1</v>
      </c>
      <c r="AQ861" s="5" t="n">
        <v>0.756</v>
      </c>
      <c r="AR861" s="5" t="n">
        <v>0.132</v>
      </c>
      <c r="AS861" s="5" t="n">
        <v>-0.731</v>
      </c>
      <c r="AT861" s="5" t="n">
        <v>0.025</v>
      </c>
      <c r="AU861" s="5" t="n">
        <v>0</v>
      </c>
      <c r="AV861" s="5" t="n">
        <v>0</v>
      </c>
      <c r="AW861" s="5" t="n">
        <v>0.655</v>
      </c>
      <c r="AX861" s="5" t="n">
        <v>0.132</v>
      </c>
      <c r="AY861" s="5" t="n">
        <v>-0.646</v>
      </c>
      <c r="AZ861" s="5" t="n">
        <v>0.01</v>
      </c>
      <c r="BA861" s="5" t="n">
        <v>0</v>
      </c>
      <c r="BB861" s="5" t="n">
        <v>0</v>
      </c>
      <c r="BC861" s="5" t="n">
        <v>0.534</v>
      </c>
      <c r="BD861" s="5" t="n">
        <v>0.132</v>
      </c>
      <c r="BE861" s="5" t="n">
        <v>-0.469</v>
      </c>
      <c r="BF861" s="5" t="n">
        <v>0.064</v>
      </c>
      <c r="BG861" s="5" t="n">
        <v>0</v>
      </c>
      <c r="BH861" s="5" t="n">
        <v>0</v>
      </c>
      <c r="BI861" s="5" t="n">
        <v>0.5679999999999999</v>
      </c>
      <c r="BJ861" s="5" t="n">
        <v>0.132</v>
      </c>
      <c r="BK861" s="5" t="n">
        <v>0.125</v>
      </c>
      <c r="BL861" s="5" t="n">
        <v>0.787</v>
      </c>
      <c r="BM861" s="5" t="n">
        <v>0.16</v>
      </c>
      <c r="BN861" s="5" t="n">
        <v>1</v>
      </c>
      <c r="BO861" s="5" t="n">
        <v>0</v>
      </c>
      <c r="BP861" s="5" t="n">
        <v>-0.08400000000000001</v>
      </c>
      <c r="BQ861" s="5" t="n">
        <v>0.244</v>
      </c>
      <c r="BR861" s="5" t="n">
        <v>0</v>
      </c>
      <c r="BS861" s="5" t="n">
        <v>1</v>
      </c>
      <c r="BT861" s="5" t="n">
        <v>0</v>
      </c>
      <c r="BU861" s="5" t="n">
        <v>-0.08400000000000001</v>
      </c>
      <c r="BV861" s="5" t="n">
        <v>0.033</v>
      </c>
      <c r="BW861" s="5" t="n">
        <v>0</v>
      </c>
      <c r="BX861" s="5" t="n">
        <v>0.833</v>
      </c>
      <c r="BY861" s="5" t="n">
        <v>13.646</v>
      </c>
      <c r="BZ861" s="5" t="n">
        <v>0</v>
      </c>
      <c r="CA861" s="5" t="n">
        <v>13.646</v>
      </c>
      <c r="CB861" s="5" t="n">
        <v>0</v>
      </c>
      <c r="CC861" s="5" t="n">
        <v>82.58799999999999</v>
      </c>
      <c r="CD861" s="5" t="n">
        <v>7.95</v>
      </c>
      <c r="CE861" s="5" t="n">
        <v>1.8</v>
      </c>
      <c r="CF861" s="5" t="n">
        <v>95.80200000000001</v>
      </c>
      <c r="CG861" s="5" t="n">
        <v>0.16</v>
      </c>
      <c r="CH861" s="5" t="n">
        <v>1</v>
      </c>
      <c r="CI861" s="5" t="n">
        <v>0</v>
      </c>
      <c r="CJ861" s="5" t="n">
        <v>0</v>
      </c>
      <c r="CK861" s="5" t="n">
        <v>0</v>
      </c>
      <c r="CL861" s="5" t="n">
        <v>0</v>
      </c>
      <c r="CM861" s="5" t="n">
        <v>0</v>
      </c>
      <c r="CN861" s="5" t="n">
        <v>0</v>
      </c>
      <c r="CO861" s="5" t="n">
        <v>0</v>
      </c>
      <c r="CP861" s="5" t="n">
        <v>1</v>
      </c>
      <c r="CQ861" s="5" t="n">
        <v>1.387</v>
      </c>
      <c r="CR861" s="5" t="n">
        <v>1</v>
      </c>
      <c r="CS861" s="5" t="n">
        <v>6.741</v>
      </c>
      <c r="CT861" s="5" t="n">
        <v>4.251</v>
      </c>
      <c r="CU861" s="5" t="n">
        <v>10.123</v>
      </c>
    </row>
    <row r="862">
      <c r="A862" s="5" t="inlineStr">
        <is>
          <t>VNM2021</t>
        </is>
      </c>
      <c r="B862" s="5" t="inlineStr">
        <is>
          <t>VNM</t>
        </is>
      </c>
      <c r="C862" s="5" t="inlineStr">
        <is>
          <t>VNM</t>
        </is>
      </c>
      <c r="D862" s="5" t="inlineStr">
        <is>
          <t>Vietnam</t>
        </is>
      </c>
      <c r="E862" s="5" t="n">
        <v>2021</v>
      </c>
      <c r="F862" s="5" t="n">
        <v>0.1</v>
      </c>
      <c r="G862" s="5" t="n">
        <v>6.151</v>
      </c>
      <c r="H862" s="5" t="n">
        <v>0.804</v>
      </c>
      <c r="I862" s="5" t="n">
        <v>-0.127</v>
      </c>
      <c r="J862" s="5" t="n">
        <v>6.024</v>
      </c>
      <c r="K862" s="5" t="n">
        <v>0</v>
      </c>
      <c r="L862" s="5" t="n">
        <v>1</v>
      </c>
      <c r="M862" s="5" t="n">
        <v>7.086</v>
      </c>
      <c r="N862" s="5" t="n">
        <v>2.412</v>
      </c>
      <c r="O862" s="5" t="n">
        <v>-0.119</v>
      </c>
      <c r="P862" s="5" t="n">
        <v>6.967</v>
      </c>
      <c r="Q862" s="5" t="n">
        <v>0</v>
      </c>
      <c r="R862" s="5" t="n">
        <v>1</v>
      </c>
      <c r="S862" s="5" t="n">
        <v>7.001</v>
      </c>
      <c r="T862" s="5" t="n">
        <v>4.825</v>
      </c>
      <c r="U862" s="5" t="n">
        <v>-1.127</v>
      </c>
      <c r="V862" s="5" t="n">
        <v>6.462</v>
      </c>
      <c r="W862" s="5" t="n">
        <v>0.1</v>
      </c>
      <c r="X862" s="5" t="n">
        <v>1</v>
      </c>
      <c r="Y862" s="5" t="n">
        <v>3.937</v>
      </c>
      <c r="Z862" s="5" t="n">
        <v>0.26</v>
      </c>
      <c r="AA862" s="5" t="n">
        <v>-0.073</v>
      </c>
      <c r="AB862" s="5" t="n">
        <v>3.863</v>
      </c>
      <c r="AC862" s="5" t="n">
        <v>0</v>
      </c>
      <c r="AD862" s="5" t="n">
        <v>1</v>
      </c>
      <c r="AE862" s="5" t="n">
        <v>4.508</v>
      </c>
      <c r="AF862" s="5" t="n">
        <v>0.556</v>
      </c>
      <c r="AG862" s="5" t="n">
        <v>-0.073</v>
      </c>
      <c r="AH862" s="5" t="n">
        <v>4.435</v>
      </c>
      <c r="AI862" s="5" t="n">
        <v>0</v>
      </c>
      <c r="AJ862" s="5" t="n">
        <v>1</v>
      </c>
      <c r="AK862" s="5" t="n">
        <v>7.938</v>
      </c>
      <c r="AL862" s="5" t="n">
        <v>2.815</v>
      </c>
      <c r="AM862" s="5" t="n">
        <v>-0.067</v>
      </c>
      <c r="AN862" s="5" t="n">
        <v>8.659000000000001</v>
      </c>
      <c r="AO862" s="5" t="n">
        <v>0.1</v>
      </c>
      <c r="AP862" s="5" t="n">
        <v>1</v>
      </c>
      <c r="AQ862" s="5" t="n">
        <v>0.621</v>
      </c>
      <c r="AR862" s="5" t="n">
        <v>0.114</v>
      </c>
      <c r="AS862" s="5" t="n">
        <v>0.052</v>
      </c>
      <c r="AT862" s="5" t="n">
        <v>0.74</v>
      </c>
      <c r="AU862" s="5" t="n">
        <v>0.1</v>
      </c>
      <c r="AV862" s="5" t="n">
        <v>1</v>
      </c>
      <c r="AW862" s="5" t="n">
        <v>0.593</v>
      </c>
      <c r="AX862" s="5" t="n">
        <v>0.114</v>
      </c>
      <c r="AY862" s="5" t="n">
        <v>-0.057</v>
      </c>
      <c r="AZ862" s="5" t="n">
        <v>0.59</v>
      </c>
      <c r="BA862" s="5" t="n">
        <v>0.1</v>
      </c>
      <c r="BB862" s="5" t="n">
        <v>1</v>
      </c>
      <c r="BC862" s="5" t="n">
        <v>0.44</v>
      </c>
      <c r="BD862" s="5" t="n">
        <v>0.114</v>
      </c>
      <c r="BE862" s="5" t="n">
        <v>0.226</v>
      </c>
      <c r="BF862" s="5" t="n">
        <v>0.732</v>
      </c>
      <c r="BG862" s="5" t="n">
        <v>0.1</v>
      </c>
      <c r="BH862" s="5" t="n">
        <v>1</v>
      </c>
      <c r="BI862" s="5" t="n">
        <v>0.5600000000000001</v>
      </c>
      <c r="BJ862" s="5" t="n">
        <v>0.114</v>
      </c>
      <c r="BK862" s="5" t="n">
        <v>-0.06</v>
      </c>
      <c r="BL862" s="5" t="n">
        <v>0.55</v>
      </c>
      <c r="BM862" s="5" t="n">
        <v>0.1</v>
      </c>
      <c r="BN862" s="5" t="n">
        <v>1</v>
      </c>
      <c r="BO862" s="5" t="n">
        <v>0</v>
      </c>
      <c r="BP862" s="5" t="n">
        <v>-0.016</v>
      </c>
      <c r="BQ862" s="5" t="n">
        <v>0.081</v>
      </c>
      <c r="BR862" s="5" t="n">
        <v>0</v>
      </c>
      <c r="BS862" s="5" t="n">
        <v>0.833</v>
      </c>
      <c r="BT862" s="5" t="n">
        <v>0</v>
      </c>
      <c r="BU862" s="5" t="n">
        <v>-0.016</v>
      </c>
      <c r="BV862" s="5" t="n">
        <v>0.1</v>
      </c>
      <c r="BW862" s="5" t="n">
        <v>0</v>
      </c>
      <c r="BX862" s="5" t="n">
        <v>0.833</v>
      </c>
      <c r="BY862" s="5" t="n">
        <v>11.787</v>
      </c>
      <c r="BZ862" s="5" t="n">
        <v>0</v>
      </c>
      <c r="CA862" s="5" t="n">
        <v>11.787</v>
      </c>
      <c r="CB862" s="5" t="n">
        <v>0</v>
      </c>
      <c r="CC862" s="5" t="n">
        <v>81.69499999999999</v>
      </c>
      <c r="CD862" s="5" t="n">
        <v>7.95</v>
      </c>
      <c r="CE862" s="5" t="n">
        <v>-0.963</v>
      </c>
      <c r="CF862" s="5" t="n">
        <v>88.806</v>
      </c>
      <c r="CG862" s="5" t="n">
        <v>0.1</v>
      </c>
      <c r="CH862" s="5" t="n">
        <v>1</v>
      </c>
      <c r="CI862" s="5" t="n">
        <v>0</v>
      </c>
      <c r="CJ862" s="5" t="n">
        <v>0</v>
      </c>
      <c r="CK862" s="5" t="n">
        <v>0</v>
      </c>
      <c r="CL862" s="5" t="n">
        <v>0</v>
      </c>
      <c r="CM862" s="5" t="n">
        <v>0</v>
      </c>
      <c r="CN862" s="5" t="n">
        <v>0</v>
      </c>
      <c r="CO862" s="5" t="n">
        <v>0</v>
      </c>
      <c r="CP862" s="5" t="n">
        <v>0.593</v>
      </c>
      <c r="CQ862" s="5" t="n">
        <v>1.198</v>
      </c>
      <c r="CR862" s="5" t="n">
        <v>1</v>
      </c>
      <c r="CS862" s="5" t="n">
        <v>3.365</v>
      </c>
      <c r="CT862" s="5" t="n">
        <v>3.604</v>
      </c>
      <c r="CU862" s="5" t="n">
        <v>9.407999999999999</v>
      </c>
    </row>
    <row r="863">
      <c r="A863" s="5" t="inlineStr">
        <is>
          <t>VNM2022</t>
        </is>
      </c>
      <c r="B863" s="5" t="inlineStr">
        <is>
          <t>VNM</t>
        </is>
      </c>
      <c r="C863" s="5" t="inlineStr">
        <is>
          <t>VNM</t>
        </is>
      </c>
      <c r="D863" s="5" t="inlineStr">
        <is>
          <t>Vietnam</t>
        </is>
      </c>
      <c r="E863" s="5" t="n">
        <v>2022</v>
      </c>
      <c r="F863" s="5" t="n">
        <v>0.1</v>
      </c>
      <c r="G863" s="5" t="n">
        <v>7.846</v>
      </c>
      <c r="H863" s="5" t="n">
        <v>0.843</v>
      </c>
      <c r="I863" s="5" t="n">
        <v>-5.687</v>
      </c>
      <c r="J863" s="5" t="n">
        <v>2.16</v>
      </c>
      <c r="K863" s="5" t="n">
        <v>0</v>
      </c>
      <c r="L863" s="5" t="n">
        <v>1</v>
      </c>
      <c r="M863" s="5" t="n">
        <v>7.858</v>
      </c>
      <c r="N863" s="5" t="n">
        <v>2.528</v>
      </c>
      <c r="O863" s="5" t="n">
        <v>-5.698</v>
      </c>
      <c r="P863" s="5" t="n">
        <v>2.16</v>
      </c>
      <c r="Q863" s="5" t="n">
        <v>0</v>
      </c>
      <c r="R863" s="5" t="n">
        <v>1</v>
      </c>
      <c r="S863" s="5" t="n">
        <v>8.637</v>
      </c>
      <c r="T863" s="5" t="n">
        <v>5.057</v>
      </c>
      <c r="U863" s="5" t="n">
        <v>-6.753</v>
      </c>
      <c r="V863" s="5" t="n">
        <v>2.057</v>
      </c>
      <c r="W863" s="5" t="n">
        <v>0.1</v>
      </c>
      <c r="X863" s="5" t="n">
        <v>1</v>
      </c>
      <c r="Y863" s="5" t="n">
        <v>4.251</v>
      </c>
      <c r="Z863" s="5" t="n">
        <v>0.281</v>
      </c>
      <c r="AA863" s="5" t="n">
        <v>-0.079</v>
      </c>
      <c r="AB863" s="5" t="n">
        <v>4.172</v>
      </c>
      <c r="AC863" s="5" t="n">
        <v>0</v>
      </c>
      <c r="AD863" s="5" t="n">
        <v>1</v>
      </c>
      <c r="AE863" s="5" t="n">
        <v>4.869</v>
      </c>
      <c r="AF863" s="5" t="n">
        <v>0.601</v>
      </c>
      <c r="AG863" s="5" t="n">
        <v>-0.079</v>
      </c>
      <c r="AH863" s="5" t="n">
        <v>4.79</v>
      </c>
      <c r="AI863" s="5" t="n">
        <v>0</v>
      </c>
      <c r="AJ863" s="5" t="n">
        <v>1</v>
      </c>
      <c r="AK863" s="5" t="n">
        <v>8.573</v>
      </c>
      <c r="AL863" s="5" t="n">
        <v>3.04</v>
      </c>
      <c r="AM863" s="5" t="n">
        <v>-0.008999999999999999</v>
      </c>
      <c r="AN863" s="5" t="n">
        <v>9.351000000000001</v>
      </c>
      <c r="AO863" s="5" t="n">
        <v>0.1</v>
      </c>
      <c r="AP863" s="5" t="n">
        <v>1</v>
      </c>
      <c r="AQ863" s="5" t="n">
        <v>0.847</v>
      </c>
      <c r="AR863" s="5" t="n">
        <v>0.123</v>
      </c>
      <c r="AS863" s="5" t="n">
        <v>0.017</v>
      </c>
      <c r="AT863" s="5" t="n">
        <v>0.95</v>
      </c>
      <c r="AU863" s="5" t="n">
        <v>0.1</v>
      </c>
      <c r="AV863" s="5" t="n">
        <v>1</v>
      </c>
      <c r="AW863" s="5" t="n">
        <v>0.947</v>
      </c>
      <c r="AX863" s="5" t="n">
        <v>0.123</v>
      </c>
      <c r="AY863" s="5" t="n">
        <v>-0.119</v>
      </c>
      <c r="AZ863" s="5" t="n">
        <v>0.91</v>
      </c>
      <c r="BA863" s="5" t="n">
        <v>0.1</v>
      </c>
      <c r="BB863" s="5" t="n">
        <v>1</v>
      </c>
      <c r="BC863" s="5" t="n">
        <v>0.589</v>
      </c>
      <c r="BD863" s="5" t="n">
        <v>0.123</v>
      </c>
      <c r="BE863" s="5" t="n">
        <v>0.197</v>
      </c>
      <c r="BF863" s="5" t="n">
        <v>0.857</v>
      </c>
      <c r="BG863" s="5" t="n">
        <v>0.1</v>
      </c>
      <c r="BH863" s="5" t="n">
        <v>1</v>
      </c>
      <c r="BI863" s="5" t="n">
        <v>0.6889999999999999</v>
      </c>
      <c r="BJ863" s="5" t="n">
        <v>0.123</v>
      </c>
      <c r="BK863" s="5" t="n">
        <v>0.111</v>
      </c>
      <c r="BL863" s="5" t="n">
        <v>0.88</v>
      </c>
      <c r="BM863" s="5" t="n">
        <v>0.1</v>
      </c>
      <c r="BN863" s="5" t="n">
        <v>1</v>
      </c>
      <c r="BO863" s="5" t="n">
        <v>0</v>
      </c>
      <c r="BP863" s="5" t="n">
        <v>-0.016</v>
      </c>
      <c r="BQ863" s="5" t="n">
        <v>0.079</v>
      </c>
      <c r="BR863" s="5" t="n">
        <v>0</v>
      </c>
      <c r="BS863" s="5" t="n">
        <v>0.833</v>
      </c>
      <c r="BT863" s="5" t="n">
        <v>0</v>
      </c>
      <c r="BU863" s="5" t="n">
        <v>-0.016</v>
      </c>
      <c r="BV863" s="5" t="n">
        <v>0.098</v>
      </c>
      <c r="BW863" s="5" t="n">
        <v>0</v>
      </c>
      <c r="BX863" s="5" t="n">
        <v>0.833</v>
      </c>
      <c r="BY863" s="5" t="n">
        <v>12.729</v>
      </c>
      <c r="BZ863" s="5" t="n">
        <v>0</v>
      </c>
      <c r="CA863" s="5" t="n">
        <v>12.729</v>
      </c>
      <c r="CB863" s="5" t="n">
        <v>0</v>
      </c>
      <c r="CC863" s="5" t="n">
        <v>102.477</v>
      </c>
      <c r="CD863" s="5" t="n">
        <v>7.95</v>
      </c>
      <c r="CE863" s="5" t="n">
        <v>-6.959</v>
      </c>
      <c r="CF863" s="5" t="n">
        <v>105.07</v>
      </c>
      <c r="CG863" s="5" t="n">
        <v>0.1</v>
      </c>
      <c r="CH863" s="5" t="n">
        <v>1</v>
      </c>
      <c r="CI863" s="5" t="n">
        <v>0</v>
      </c>
      <c r="CJ863" s="5" t="n">
        <v>0</v>
      </c>
      <c r="CK863" s="5" t="n">
        <v>0</v>
      </c>
      <c r="CL863" s="5" t="n">
        <v>0</v>
      </c>
      <c r="CM863" s="5" t="n">
        <v>0</v>
      </c>
      <c r="CN863" s="5" t="n">
        <v>0</v>
      </c>
      <c r="CO863" s="5" t="n">
        <v>0</v>
      </c>
      <c r="CP863" s="5" t="n">
        <v>0.635</v>
      </c>
      <c r="CQ863" s="5" t="n">
        <v>1.294</v>
      </c>
      <c r="CR863" s="5" t="n">
        <v>1</v>
      </c>
      <c r="CS863" s="5" t="n">
        <v>3.634</v>
      </c>
      <c r="CT863" s="5" t="n">
        <v>7.554</v>
      </c>
      <c r="CU863" s="5" t="n">
        <v>16.097</v>
      </c>
    </row>
    <row r="864">
      <c r="A864" s="5" t="inlineStr">
        <is>
          <t>VNM2023</t>
        </is>
      </c>
      <c r="B864" s="5" t="inlineStr">
        <is>
          <t>VNM</t>
        </is>
      </c>
      <c r="C864" s="5" t="inlineStr">
        <is>
          <t>VNM</t>
        </is>
      </c>
      <c r="D864" s="5" t="inlineStr">
        <is>
          <t>Vietnam</t>
        </is>
      </c>
      <c r="E864" s="5" t="n">
        <v>2023</v>
      </c>
      <c r="F864" s="5" t="n">
        <v>0.1</v>
      </c>
      <c r="G864" s="5" t="n">
        <v>6.983</v>
      </c>
      <c r="H864" s="5" t="n">
        <v>0.886</v>
      </c>
      <c r="I864" s="5" t="n">
        <v>1.163</v>
      </c>
      <c r="J864" s="5" t="n">
        <v>8.146000000000001</v>
      </c>
      <c r="K864" s="5" t="n">
        <v>0</v>
      </c>
      <c r="L864" s="5" t="n">
        <v>1</v>
      </c>
      <c r="M864" s="5" t="n">
        <v>7.4</v>
      </c>
      <c r="N864" s="5" t="n">
        <v>2.657</v>
      </c>
      <c r="O864" s="5" t="n">
        <v>1.159</v>
      </c>
      <c r="P864" s="5" t="n">
        <v>8.558999999999999</v>
      </c>
      <c r="Q864" s="5" t="n">
        <v>0</v>
      </c>
      <c r="R864" s="5" t="n">
        <v>1</v>
      </c>
      <c r="S864" s="5" t="n">
        <v>7.846</v>
      </c>
      <c r="T864" s="5" t="n">
        <v>5.314</v>
      </c>
      <c r="U864" s="5" t="n">
        <v>0.125</v>
      </c>
      <c r="V864" s="5" t="n">
        <v>8.672000000000001</v>
      </c>
      <c r="W864" s="5" t="n">
        <v>0.1</v>
      </c>
      <c r="X864" s="5" t="n">
        <v>1</v>
      </c>
      <c r="Y864" s="5" t="n">
        <v>4.427</v>
      </c>
      <c r="Z864" s="5" t="n">
        <v>0.293</v>
      </c>
      <c r="AA864" s="5" t="n">
        <v>-0.082</v>
      </c>
      <c r="AB864" s="5" t="n">
        <v>4.344</v>
      </c>
      <c r="AC864" s="5" t="n">
        <v>0</v>
      </c>
      <c r="AD864" s="5" t="n">
        <v>1</v>
      </c>
      <c r="AE864" s="5" t="n">
        <v>5.07</v>
      </c>
      <c r="AF864" s="5" t="n">
        <v>0.626</v>
      </c>
      <c r="AG864" s="5" t="n">
        <v>-0.082</v>
      </c>
      <c r="AH864" s="5" t="n">
        <v>4.987</v>
      </c>
      <c r="AI864" s="5" t="n">
        <v>0</v>
      </c>
      <c r="AJ864" s="5" t="n">
        <v>1</v>
      </c>
      <c r="AK864" s="5" t="n">
        <v>8.927</v>
      </c>
      <c r="AL864" s="5" t="n">
        <v>3.166</v>
      </c>
      <c r="AM864" s="5" t="n">
        <v>0.023</v>
      </c>
      <c r="AN864" s="5" t="n">
        <v>9.737</v>
      </c>
      <c r="AO864" s="5" t="n">
        <v>0.1</v>
      </c>
      <c r="AP864" s="5" t="n">
        <v>1</v>
      </c>
      <c r="AQ864" s="5" t="n">
        <v>0.749</v>
      </c>
      <c r="AR864" s="5" t="n">
        <v>0.129</v>
      </c>
      <c r="AS864" s="5" t="n">
        <v>0.015</v>
      </c>
      <c r="AT864" s="5" t="n">
        <v>0.84</v>
      </c>
      <c r="AU864" s="5" t="n">
        <v>0.1</v>
      </c>
      <c r="AV864" s="5" t="n">
        <v>1</v>
      </c>
      <c r="AW864" s="5" t="n">
        <v>0.783</v>
      </c>
      <c r="AX864" s="5" t="n">
        <v>0.129</v>
      </c>
      <c r="AY864" s="5" t="n">
        <v>-0.073</v>
      </c>
      <c r="AZ864" s="5" t="n">
        <v>0.78</v>
      </c>
      <c r="BA864" s="5" t="n">
        <v>0.1</v>
      </c>
      <c r="BB864" s="5" t="n">
        <v>1</v>
      </c>
      <c r="BC864" s="5" t="n">
        <v>0.527</v>
      </c>
      <c r="BD864" s="5" t="n">
        <v>0.129</v>
      </c>
      <c r="BE864" s="5" t="n">
        <v>0.247</v>
      </c>
      <c r="BF864" s="5" t="n">
        <v>0.843</v>
      </c>
      <c r="BG864" s="5" t="n">
        <v>0.1</v>
      </c>
      <c r="BH864" s="5" t="n">
        <v>1</v>
      </c>
      <c r="BI864" s="5" t="n">
        <v>0.64</v>
      </c>
      <c r="BJ864" s="5" t="n">
        <v>0.129</v>
      </c>
      <c r="BK864" s="5" t="n">
        <v>0.079</v>
      </c>
      <c r="BL864" s="5" t="n">
        <v>0.79</v>
      </c>
      <c r="BM864" s="5" t="n">
        <v>0.1</v>
      </c>
      <c r="BN864" s="5" t="n">
        <v>1</v>
      </c>
      <c r="BO864" s="5" t="n">
        <v>0</v>
      </c>
      <c r="BP864" s="5" t="n">
        <v>-0.016</v>
      </c>
      <c r="BQ864" s="5" t="n">
        <v>0.082</v>
      </c>
      <c r="BR864" s="5" t="n">
        <v>0</v>
      </c>
      <c r="BS864" s="5" t="n">
        <v>0.833</v>
      </c>
      <c r="BT864" s="5" t="n">
        <v>0</v>
      </c>
      <c r="BU864" s="5" t="n">
        <v>-0.016</v>
      </c>
      <c r="BV864" s="5" t="n">
        <v>0.101</v>
      </c>
      <c r="BW864" s="5" t="n">
        <v>0</v>
      </c>
      <c r="BX864" s="5" t="n">
        <v>0.833</v>
      </c>
      <c r="BY864" s="5" t="n">
        <v>13.254</v>
      </c>
      <c r="BZ864" s="5" t="n">
        <v>0</v>
      </c>
      <c r="CA864" s="5" t="n">
        <v>13.254</v>
      </c>
      <c r="CB864" s="5" t="n">
        <v>0</v>
      </c>
      <c r="CC864" s="5" t="n">
        <v>87.07899999999999</v>
      </c>
      <c r="CD864" s="5" t="n">
        <v>7.95</v>
      </c>
      <c r="CE864" s="5" t="n">
        <v>-5.573</v>
      </c>
      <c r="CF864" s="5" t="n">
        <v>89.657</v>
      </c>
      <c r="CG864" s="5" t="n">
        <v>0.1</v>
      </c>
      <c r="CH864" s="5" t="n">
        <v>1</v>
      </c>
      <c r="CI864" s="5" t="n">
        <v>0</v>
      </c>
      <c r="CJ864" s="5" t="n">
        <v>0</v>
      </c>
      <c r="CK864" s="5" t="n">
        <v>0</v>
      </c>
      <c r="CL864" s="5" t="n">
        <v>0</v>
      </c>
      <c r="CM864" s="5" t="n">
        <v>0</v>
      </c>
      <c r="CN864" s="5" t="n">
        <v>0</v>
      </c>
      <c r="CO864" s="5" t="n">
        <v>0</v>
      </c>
      <c r="CP864" s="5" t="n">
        <v>0.622</v>
      </c>
      <c r="CQ864" s="5" t="n">
        <v>1.348</v>
      </c>
      <c r="CR864" s="5" t="n">
        <v>1</v>
      </c>
      <c r="CS864" s="5" t="n">
        <v>3.784</v>
      </c>
      <c r="CT864" s="5" t="n">
        <v>4.484</v>
      </c>
      <c r="CU864" s="5" t="n">
        <v>12.529</v>
      </c>
    </row>
    <row r="865">
      <c r="A865" s="5" t="inlineStr">
        <is>
          <t>VNM2024</t>
        </is>
      </c>
      <c r="B865" s="5" t="inlineStr">
        <is>
          <t>VNM</t>
        </is>
      </c>
      <c r="C865" s="5" t="inlineStr">
        <is>
          <t>VNM</t>
        </is>
      </c>
      <c r="D865" s="5" t="inlineStr">
        <is>
          <t>Vietnam</t>
        </is>
      </c>
      <c r="E865" s="5" t="n">
        <v>2024</v>
      </c>
      <c r="F865" s="5" t="n">
        <v>0.1</v>
      </c>
      <c r="G865" s="5" t="n">
        <v>6.771</v>
      </c>
      <c r="H865" s="5" t="n">
        <v>0.912</v>
      </c>
      <c r="I865" s="5" t="n">
        <v>1.184</v>
      </c>
      <c r="J865" s="5" t="n">
        <v>7.955</v>
      </c>
      <c r="K865" s="5" t="n">
        <v>0</v>
      </c>
      <c r="L865" s="5" t="n">
        <v>1</v>
      </c>
      <c r="M865" s="5" t="n">
        <v>7.243</v>
      </c>
      <c r="N865" s="5" t="n">
        <v>2.735</v>
      </c>
      <c r="O865" s="5" t="n">
        <v>1.182</v>
      </c>
      <c r="P865" s="5" t="n">
        <v>8.423999999999999</v>
      </c>
      <c r="Q865" s="5" t="n">
        <v>0</v>
      </c>
      <c r="R865" s="5" t="n">
        <v>1</v>
      </c>
      <c r="S865" s="5" t="n">
        <v>7.659</v>
      </c>
      <c r="T865" s="5" t="n">
        <v>5.471</v>
      </c>
      <c r="U865" s="5" t="n">
        <v>0.131</v>
      </c>
      <c r="V865" s="5" t="n">
        <v>8.454000000000001</v>
      </c>
      <c r="W865" s="5" t="n">
        <v>0.1</v>
      </c>
      <c r="X865" s="5" t="n">
        <v>1</v>
      </c>
      <c r="Y865" s="5" t="n">
        <v>4.558</v>
      </c>
      <c r="Z865" s="5" t="n">
        <v>0.301</v>
      </c>
      <c r="AA865" s="5" t="n">
        <v>-0.075</v>
      </c>
      <c r="AB865" s="5" t="n">
        <v>4.482</v>
      </c>
      <c r="AC865" s="5" t="n">
        <v>0</v>
      </c>
      <c r="AD865" s="5" t="n">
        <v>1</v>
      </c>
      <c r="AE865" s="5" t="n">
        <v>5.219</v>
      </c>
      <c r="AF865" s="5" t="n">
        <v>0.644</v>
      </c>
      <c r="AG865" s="5" t="n">
        <v>-0.075</v>
      </c>
      <c r="AH865" s="5" t="n">
        <v>5.144</v>
      </c>
      <c r="AI865" s="5" t="n">
        <v>0</v>
      </c>
      <c r="AJ865" s="5" t="n">
        <v>1</v>
      </c>
      <c r="AK865" s="5" t="n">
        <v>9.19</v>
      </c>
      <c r="AL865" s="5" t="n">
        <v>3.259</v>
      </c>
      <c r="AM865" s="5" t="n">
        <v>0.049</v>
      </c>
      <c r="AN865" s="5" t="n">
        <v>10.026</v>
      </c>
      <c r="AO865" s="5" t="n">
        <v>0.1</v>
      </c>
      <c r="AP865" s="5" t="n">
        <v>1</v>
      </c>
      <c r="AQ865" s="5" t="n">
        <v>0.72</v>
      </c>
      <c r="AR865" s="5" t="n">
        <v>0.132</v>
      </c>
      <c r="AS865" s="5" t="n">
        <v>0.016</v>
      </c>
      <c r="AT865" s="5" t="n">
        <v>0.8100000000000001</v>
      </c>
      <c r="AU865" s="5" t="n">
        <v>0.1</v>
      </c>
      <c r="AV865" s="5" t="n">
        <v>1</v>
      </c>
      <c r="AW865" s="5" t="n">
        <v>0.734</v>
      </c>
      <c r="AX865" s="5" t="n">
        <v>0.132</v>
      </c>
      <c r="AY865" s="5" t="n">
        <v>-0.052</v>
      </c>
      <c r="AZ865" s="5" t="n">
        <v>0.75</v>
      </c>
      <c r="BA865" s="5" t="n">
        <v>0.1</v>
      </c>
      <c r="BB865" s="5" t="n">
        <v>1</v>
      </c>
      <c r="BC865" s="5" t="n">
        <v>0.51</v>
      </c>
      <c r="BD865" s="5" t="n">
        <v>0.132</v>
      </c>
      <c r="BE865" s="5" t="n">
        <v>0.272</v>
      </c>
      <c r="BF865" s="5" t="n">
        <v>0.849</v>
      </c>
      <c r="BG865" s="5" t="n">
        <v>0.1</v>
      </c>
      <c r="BH865" s="5" t="n">
        <v>1</v>
      </c>
      <c r="BI865" s="5" t="n">
        <v>0.652</v>
      </c>
      <c r="BJ865" s="5" t="n">
        <v>0.132</v>
      </c>
      <c r="BK865" s="5" t="n">
        <v>0.03</v>
      </c>
      <c r="BL865" s="5" t="n">
        <v>0.75</v>
      </c>
      <c r="BM865" s="5" t="n">
        <v>0.1</v>
      </c>
      <c r="BN865" s="5" t="n">
        <v>1</v>
      </c>
      <c r="BO865" s="5" t="n">
        <v>0</v>
      </c>
      <c r="BP865" s="5" t="n">
        <v>-0.016</v>
      </c>
      <c r="BQ865" s="5" t="n">
        <v>0.083</v>
      </c>
      <c r="BR865" s="5" t="n">
        <v>0</v>
      </c>
      <c r="BS865" s="5" t="n">
        <v>0.833</v>
      </c>
      <c r="BT865" s="5" t="n">
        <v>0</v>
      </c>
      <c r="BU865" s="5" t="n">
        <v>-0.016</v>
      </c>
      <c r="BV865" s="5" t="n">
        <v>0.103</v>
      </c>
      <c r="BW865" s="5" t="n">
        <v>0</v>
      </c>
      <c r="BX865" s="5" t="n">
        <v>0.833</v>
      </c>
      <c r="BY865" s="5" t="n">
        <v>13.646</v>
      </c>
      <c r="BZ865" s="5" t="n">
        <v>0</v>
      </c>
      <c r="CA865" s="5" t="n">
        <v>13.646</v>
      </c>
      <c r="CB865" s="5" t="n">
        <v>0</v>
      </c>
      <c r="CC865" s="5" t="n">
        <v>86.38500000000001</v>
      </c>
      <c r="CD865" s="5" t="n">
        <v>7.95</v>
      </c>
      <c r="CE865" s="5" t="n">
        <v>-5.647</v>
      </c>
      <c r="CF865" s="5" t="n">
        <v>88.813</v>
      </c>
      <c r="CG865" s="5" t="n">
        <v>0.1</v>
      </c>
      <c r="CH865" s="5" t="n">
        <v>1</v>
      </c>
      <c r="CI865" s="5" t="n">
        <v>0</v>
      </c>
      <c r="CJ865" s="5" t="n">
        <v>0</v>
      </c>
      <c r="CK865" s="5" t="n">
        <v>0</v>
      </c>
      <c r="CL865" s="5" t="n">
        <v>0</v>
      </c>
      <c r="CM865" s="5" t="n">
        <v>0</v>
      </c>
      <c r="CN865" s="5" t="n">
        <v>0</v>
      </c>
      <c r="CO865" s="5" t="n">
        <v>0</v>
      </c>
      <c r="CP865" s="5" t="n">
        <v>0.622</v>
      </c>
      <c r="CQ865" s="5" t="n">
        <v>1.387</v>
      </c>
      <c r="CR865" s="5" t="n">
        <v>1</v>
      </c>
      <c r="CS865" s="5" t="n">
        <v>3.896</v>
      </c>
      <c r="CT865" s="5" t="n">
        <v>3.509</v>
      </c>
      <c r="CU865" s="5" t="n">
        <v>10.896</v>
      </c>
    </row>
    <row r="866">
      <c r="A866" s="5" t="inlineStr">
        <is>
          <t>VIR2021</t>
        </is>
      </c>
      <c r="B866" s="5" t="inlineStr">
        <is>
          <t>VIR</t>
        </is>
      </c>
      <c r="C866" s="5" t="inlineStr">
        <is>
          <t>VIR</t>
        </is>
      </c>
      <c r="D866" s="5" t="inlineStr">
        <is>
          <t>Virgin Islands (U.S.)</t>
        </is>
      </c>
      <c r="E866" s="5" t="n">
        <v>2021</v>
      </c>
      <c r="F866" s="5" t="n">
        <v>0.055</v>
      </c>
      <c r="G866" s="5" t="n">
        <v>5.897</v>
      </c>
      <c r="H866" s="5" t="n">
        <v>1.143</v>
      </c>
      <c r="I866" s="5" t="n">
        <v>0</v>
      </c>
      <c r="J866" s="5" t="n">
        <v>5.897</v>
      </c>
      <c r="K866" s="5" t="n">
        <v>0</v>
      </c>
      <c r="L866" s="5" t="n">
        <v>1</v>
      </c>
      <c r="M866" s="5" t="n">
        <v>7.964</v>
      </c>
      <c r="N866" s="5" t="n">
        <v>3.43</v>
      </c>
      <c r="O866" s="5" t="n">
        <v>0</v>
      </c>
      <c r="P866" s="5" t="n">
        <v>7.964</v>
      </c>
      <c r="Q866" s="5" t="n">
        <v>0</v>
      </c>
      <c r="R866" s="5" t="n">
        <v>1</v>
      </c>
      <c r="S866" s="5" t="n">
        <v>11.613</v>
      </c>
      <c r="T866" s="5" t="n">
        <v>6.86</v>
      </c>
      <c r="U866" s="5" t="n">
        <v>0</v>
      </c>
      <c r="V866" s="5" t="n">
        <v>12.252</v>
      </c>
      <c r="W866" s="5" t="n">
        <v>0.055</v>
      </c>
      <c r="X866" s="5" t="n">
        <v>1</v>
      </c>
      <c r="Y866" s="5" t="n">
        <v>17.127</v>
      </c>
      <c r="Z866" s="5" t="n">
        <v>2.304</v>
      </c>
      <c r="AA866" s="5" t="n">
        <v>0</v>
      </c>
      <c r="AB866" s="5" t="n">
        <v>17.127</v>
      </c>
      <c r="AC866" s="5" t="n">
        <v>0</v>
      </c>
      <c r="AD866" s="5" t="n">
        <v>1</v>
      </c>
      <c r="AE866" s="5" t="n">
        <v>18.27</v>
      </c>
      <c r="AF866" s="5" t="n">
        <v>4.278</v>
      </c>
      <c r="AG866" s="5" t="n">
        <v>0</v>
      </c>
      <c r="AH866" s="5" t="n">
        <v>18.27</v>
      </c>
      <c r="AI866" s="5" t="n">
        <v>0</v>
      </c>
      <c r="AJ866" s="5" t="n">
        <v>1</v>
      </c>
      <c r="AK866" s="5" t="n">
        <v>25.13</v>
      </c>
      <c r="AL866" s="5" t="n">
        <v>13.503</v>
      </c>
      <c r="AM866" s="5" t="n">
        <v>0</v>
      </c>
      <c r="AN866" s="5" t="n">
        <v>26.512</v>
      </c>
      <c r="AO866" s="5" t="n">
        <v>0.055</v>
      </c>
      <c r="AP866" s="5" t="n">
        <v>1</v>
      </c>
      <c r="AQ866" s="5" t="n">
        <v>0.649</v>
      </c>
      <c r="AR866" s="5" t="n">
        <v>0.114</v>
      </c>
      <c r="AS866" s="5" t="n">
        <v>0</v>
      </c>
      <c r="AT866" s="5" t="n">
        <v>0.6850000000000001</v>
      </c>
      <c r="AU866" s="5" t="n">
        <v>0.055</v>
      </c>
      <c r="AV866" s="5" t="n">
        <v>1</v>
      </c>
      <c r="AW866" s="5" t="n">
        <v>0.577</v>
      </c>
      <c r="AX866" s="5" t="n">
        <v>0.114</v>
      </c>
      <c r="AY866" s="5" t="n">
        <v>0</v>
      </c>
      <c r="AZ866" s="5" t="n">
        <v>0.608</v>
      </c>
      <c r="BA866" s="5" t="n">
        <v>0.055</v>
      </c>
      <c r="BB866" s="5" t="n">
        <v>1</v>
      </c>
      <c r="BC866" s="5" t="n">
        <v>0.458</v>
      </c>
      <c r="BD866" s="5" t="n">
        <v>0.114</v>
      </c>
      <c r="BE866" s="5" t="n">
        <v>0</v>
      </c>
      <c r="BF866" s="5" t="n">
        <v>0.483</v>
      </c>
      <c r="BG866" s="5" t="n">
        <v>0.055</v>
      </c>
      <c r="BH866" s="5" t="n">
        <v>1</v>
      </c>
      <c r="BI866" s="5" t="n">
        <v>0.491</v>
      </c>
      <c r="BJ866" s="5" t="n">
        <v>0.114</v>
      </c>
      <c r="BK866" s="5" t="n">
        <v>0</v>
      </c>
      <c r="BL866" s="5" t="n">
        <v>0.518</v>
      </c>
      <c r="BM866" s="5" t="n">
        <v>0.055</v>
      </c>
      <c r="BN866" s="5" t="n">
        <v>1</v>
      </c>
      <c r="BO866" s="5" t="n">
        <v>0</v>
      </c>
      <c r="BP866" s="5" t="n">
        <v>0</v>
      </c>
      <c r="BQ866" s="5" t="n">
        <v>0</v>
      </c>
      <c r="BR866" s="5" t="n">
        <v>0</v>
      </c>
      <c r="BS866" s="5" t="n">
        <v>1</v>
      </c>
      <c r="BT866" s="5" t="n">
        <v>0</v>
      </c>
      <c r="BU866" s="5" t="n">
        <v>0</v>
      </c>
      <c r="BV866" s="5" t="n">
        <v>0</v>
      </c>
      <c r="BW866" s="5" t="n">
        <v>0.055</v>
      </c>
      <c r="BX866" s="5" t="n">
        <v>1</v>
      </c>
      <c r="BY866" s="5" t="n">
        <v>11.787</v>
      </c>
      <c r="BZ866" s="5" t="n">
        <v>0</v>
      </c>
      <c r="CA866" s="5" t="n">
        <v>11.787</v>
      </c>
      <c r="CB866" s="5" t="n">
        <v>0</v>
      </c>
      <c r="CC866" s="5" t="n">
        <v>78.125</v>
      </c>
      <c r="CD866" s="5" t="n">
        <v>7.95</v>
      </c>
      <c r="CE866" s="5" t="n">
        <v>0</v>
      </c>
      <c r="CF866" s="5" t="n">
        <v>82.422</v>
      </c>
      <c r="CG866" s="5" t="n">
        <v>0.055</v>
      </c>
      <c r="CH866" s="5" t="n">
        <v>1</v>
      </c>
      <c r="CI866" s="5" t="n">
        <v>0</v>
      </c>
      <c r="CJ866" s="5" t="n">
        <v>0</v>
      </c>
      <c r="CK866" s="5" t="n">
        <v>0</v>
      </c>
      <c r="CL866" s="5" t="n">
        <v>0</v>
      </c>
      <c r="CM866" s="5" t="n">
        <v>0</v>
      </c>
      <c r="CN866" s="5" t="n">
        <v>0</v>
      </c>
      <c r="CO866" s="5" t="n">
        <v>0</v>
      </c>
      <c r="CP866" s="5" t="n">
        <v>0</v>
      </c>
      <c r="CQ866" s="5" t="n">
        <v>1.198</v>
      </c>
      <c r="CR866" s="5" t="n">
        <v>0</v>
      </c>
      <c r="CS866" s="5" t="n">
        <v>4.776</v>
      </c>
      <c r="CT866" s="5" t="n">
        <v>4.753</v>
      </c>
      <c r="CU866" s="5" t="n">
        <v>15.983</v>
      </c>
    </row>
    <row r="867">
      <c r="A867" s="5" t="inlineStr">
        <is>
          <t>VIR2022</t>
        </is>
      </c>
      <c r="B867" s="5" t="inlineStr">
        <is>
          <t>VIR</t>
        </is>
      </c>
      <c r="C867" s="5" t="inlineStr">
        <is>
          <t>VIR</t>
        </is>
      </c>
      <c r="D867" s="5" t="inlineStr">
        <is>
          <t>Virgin Islands (U.S.)</t>
        </is>
      </c>
      <c r="E867" s="5" t="n">
        <v>2022</v>
      </c>
      <c r="F867" s="5" t="n">
        <v>0.055</v>
      </c>
      <c r="G867" s="5" t="n">
        <v>11.72</v>
      </c>
      <c r="H867" s="5" t="n">
        <v>1.235</v>
      </c>
      <c r="I867" s="5" t="n">
        <v>0</v>
      </c>
      <c r="J867" s="5" t="n">
        <v>11.72</v>
      </c>
      <c r="K867" s="5" t="n">
        <v>0</v>
      </c>
      <c r="L867" s="5" t="n">
        <v>1</v>
      </c>
      <c r="M867" s="5" t="n">
        <v>9.782999999999999</v>
      </c>
      <c r="N867" s="5" t="n">
        <v>3.704</v>
      </c>
      <c r="O867" s="5" t="n">
        <v>0</v>
      </c>
      <c r="P867" s="5" t="n">
        <v>9.782999999999999</v>
      </c>
      <c r="Q867" s="5" t="n">
        <v>0</v>
      </c>
      <c r="R867" s="5" t="n">
        <v>1</v>
      </c>
      <c r="S867" s="5" t="n">
        <v>17.893</v>
      </c>
      <c r="T867" s="5" t="n">
        <v>7.408</v>
      </c>
      <c r="U867" s="5" t="n">
        <v>0.073</v>
      </c>
      <c r="V867" s="5" t="n">
        <v>18.877</v>
      </c>
      <c r="W867" s="5" t="n">
        <v>0.055</v>
      </c>
      <c r="X867" s="5" t="n">
        <v>1</v>
      </c>
      <c r="Y867" s="5" t="n">
        <v>30.728</v>
      </c>
      <c r="Z867" s="5" t="n">
        <v>4.133</v>
      </c>
      <c r="AA867" s="5" t="n">
        <v>0</v>
      </c>
      <c r="AB867" s="5" t="n">
        <v>30.728</v>
      </c>
      <c r="AC867" s="5" t="n">
        <v>0</v>
      </c>
      <c r="AD867" s="5" t="n">
        <v>1</v>
      </c>
      <c r="AE867" s="5" t="n">
        <v>31.963</v>
      </c>
      <c r="AF867" s="5" t="n">
        <v>7.485</v>
      </c>
      <c r="AG867" s="5" t="n">
        <v>0</v>
      </c>
      <c r="AH867" s="5" t="n">
        <v>31.963</v>
      </c>
      <c r="AI867" s="5" t="n">
        <v>0</v>
      </c>
      <c r="AJ867" s="5" t="n">
        <v>1</v>
      </c>
      <c r="AK867" s="5" t="n">
        <v>39.371</v>
      </c>
      <c r="AL867" s="5" t="n">
        <v>21.155</v>
      </c>
      <c r="AM867" s="5" t="n">
        <v>0.16</v>
      </c>
      <c r="AN867" s="5" t="n">
        <v>41.537</v>
      </c>
      <c r="AO867" s="5" t="n">
        <v>0.055</v>
      </c>
      <c r="AP867" s="5" t="n">
        <v>1</v>
      </c>
      <c r="AQ867" s="5" t="n">
        <v>0.896</v>
      </c>
      <c r="AR867" s="5" t="n">
        <v>0.123</v>
      </c>
      <c r="AS867" s="5" t="n">
        <v>0.004</v>
      </c>
      <c r="AT867" s="5" t="n">
        <v>0.945</v>
      </c>
      <c r="AU867" s="5" t="n">
        <v>0.055</v>
      </c>
      <c r="AV867" s="5" t="n">
        <v>1</v>
      </c>
      <c r="AW867" s="5" t="n">
        <v>0.89</v>
      </c>
      <c r="AX867" s="5" t="n">
        <v>0.123</v>
      </c>
      <c r="AY867" s="5" t="n">
        <v>0.004</v>
      </c>
      <c r="AZ867" s="5" t="n">
        <v>0.9389999999999999</v>
      </c>
      <c r="BA867" s="5" t="n">
        <v>0.055</v>
      </c>
      <c r="BB867" s="5" t="n">
        <v>1</v>
      </c>
      <c r="BC867" s="5" t="n">
        <v>0.62</v>
      </c>
      <c r="BD867" s="5" t="n">
        <v>0.123</v>
      </c>
      <c r="BE867" s="5" t="n">
        <v>0.003</v>
      </c>
      <c r="BF867" s="5" t="n">
        <v>0.654</v>
      </c>
      <c r="BG867" s="5" t="n">
        <v>0.055</v>
      </c>
      <c r="BH867" s="5" t="n">
        <v>1</v>
      </c>
      <c r="BI867" s="5" t="n">
        <v>0.608</v>
      </c>
      <c r="BJ867" s="5" t="n">
        <v>0.123</v>
      </c>
      <c r="BK867" s="5" t="n">
        <v>0.002</v>
      </c>
      <c r="BL867" s="5" t="n">
        <v>0.641</v>
      </c>
      <c r="BM867" s="5" t="n">
        <v>0.055</v>
      </c>
      <c r="BN867" s="5" t="n">
        <v>1</v>
      </c>
      <c r="BO867" s="5" t="n">
        <v>0</v>
      </c>
      <c r="BP867" s="5" t="n">
        <v>0</v>
      </c>
      <c r="BQ867" s="5" t="n">
        <v>0</v>
      </c>
      <c r="BR867" s="5" t="n">
        <v>0</v>
      </c>
      <c r="BS867" s="5" t="n">
        <v>1</v>
      </c>
      <c r="BT867" s="5" t="n">
        <v>0</v>
      </c>
      <c r="BU867" s="5" t="n">
        <v>0</v>
      </c>
      <c r="BV867" s="5" t="n">
        <v>0</v>
      </c>
      <c r="BW867" s="5" t="n">
        <v>0.055</v>
      </c>
      <c r="BX867" s="5" t="n">
        <v>1</v>
      </c>
      <c r="BY867" s="5" t="n">
        <v>12.729</v>
      </c>
      <c r="BZ867" s="5" t="n">
        <v>0</v>
      </c>
      <c r="CA867" s="5" t="n">
        <v>12.729</v>
      </c>
      <c r="CB867" s="5" t="n">
        <v>0</v>
      </c>
      <c r="CC867" s="5" t="n">
        <v>97.90000000000001</v>
      </c>
      <c r="CD867" s="5" t="n">
        <v>7.95</v>
      </c>
      <c r="CE867" s="5" t="n">
        <v>0.399</v>
      </c>
      <c r="CF867" s="5" t="n">
        <v>103.285</v>
      </c>
      <c r="CG867" s="5" t="n">
        <v>0.055</v>
      </c>
      <c r="CH867" s="5" t="n">
        <v>1</v>
      </c>
      <c r="CI867" s="5" t="n">
        <v>0</v>
      </c>
      <c r="CJ867" s="5" t="n">
        <v>0</v>
      </c>
      <c r="CK867" s="5" t="n">
        <v>0</v>
      </c>
      <c r="CL867" s="5" t="n">
        <v>0</v>
      </c>
      <c r="CM867" s="5" t="n">
        <v>0</v>
      </c>
      <c r="CN867" s="5" t="n">
        <v>0</v>
      </c>
      <c r="CO867" s="5" t="n">
        <v>0</v>
      </c>
      <c r="CP867" s="5" t="n">
        <v>0</v>
      </c>
      <c r="CQ867" s="5" t="n">
        <v>1.294</v>
      </c>
      <c r="CR867" s="5" t="n">
        <v>0</v>
      </c>
      <c r="CS867" s="5" t="n">
        <v>5.158</v>
      </c>
      <c r="CT867" s="5" t="n">
        <v>10.485</v>
      </c>
      <c r="CU867" s="5" t="n">
        <v>29.494</v>
      </c>
    </row>
    <row r="868">
      <c r="A868" s="5" t="inlineStr">
        <is>
          <t>VIR2023</t>
        </is>
      </c>
      <c r="B868" s="5" t="inlineStr">
        <is>
          <t>VIR</t>
        </is>
      </c>
      <c r="C868" s="5" t="inlineStr">
        <is>
          <t>VIR</t>
        </is>
      </c>
      <c r="D868" s="5" t="inlineStr">
        <is>
          <t>Virgin Islands (U.S.)</t>
        </is>
      </c>
      <c r="E868" s="5" t="n">
        <v>2023</v>
      </c>
      <c r="F868" s="5" t="n">
        <v>0.055</v>
      </c>
      <c r="G868" s="5" t="n">
        <v>6.147</v>
      </c>
      <c r="H868" s="5" t="n">
        <v>1.286</v>
      </c>
      <c r="I868" s="5" t="n">
        <v>0</v>
      </c>
      <c r="J868" s="5" t="n">
        <v>6.147</v>
      </c>
      <c r="K868" s="5" t="n">
        <v>0</v>
      </c>
      <c r="L868" s="5" t="n">
        <v>1</v>
      </c>
      <c r="M868" s="5" t="n">
        <v>7.886</v>
      </c>
      <c r="N868" s="5" t="n">
        <v>3.857</v>
      </c>
      <c r="O868" s="5" t="n">
        <v>0</v>
      </c>
      <c r="P868" s="5" t="n">
        <v>7.886</v>
      </c>
      <c r="Q868" s="5" t="n">
        <v>0</v>
      </c>
      <c r="R868" s="5" t="n">
        <v>1</v>
      </c>
      <c r="S868" s="5" t="n">
        <v>12.575</v>
      </c>
      <c r="T868" s="5" t="n">
        <v>7.714</v>
      </c>
      <c r="U868" s="5" t="n">
        <v>0.077</v>
      </c>
      <c r="V868" s="5" t="n">
        <v>13.267</v>
      </c>
      <c r="W868" s="5" t="n">
        <v>0.055</v>
      </c>
      <c r="X868" s="5" t="n">
        <v>1</v>
      </c>
      <c r="Y868" s="5" t="n">
        <v>12.478</v>
      </c>
      <c r="Z868" s="5" t="n">
        <v>1.678</v>
      </c>
      <c r="AA868" s="5" t="n">
        <v>0</v>
      </c>
      <c r="AB868" s="5" t="n">
        <v>12.478</v>
      </c>
      <c r="AC868" s="5" t="n">
        <v>0</v>
      </c>
      <c r="AD868" s="5" t="n">
        <v>1</v>
      </c>
      <c r="AE868" s="5" t="n">
        <v>13.763</v>
      </c>
      <c r="AF868" s="5" t="n">
        <v>3.223</v>
      </c>
      <c r="AG868" s="5" t="n">
        <v>0</v>
      </c>
      <c r="AH868" s="5" t="n">
        <v>13.763</v>
      </c>
      <c r="AI868" s="5" t="n">
        <v>0</v>
      </c>
      <c r="AJ868" s="5" t="n">
        <v>1</v>
      </c>
      <c r="AK868" s="5" t="n">
        <v>21.477</v>
      </c>
      <c r="AL868" s="5" t="n">
        <v>11.54</v>
      </c>
      <c r="AM868" s="5" t="n">
        <v>0.131</v>
      </c>
      <c r="AN868" s="5" t="n">
        <v>22.659</v>
      </c>
      <c r="AO868" s="5" t="n">
        <v>0.055</v>
      </c>
      <c r="AP868" s="5" t="n">
        <v>1</v>
      </c>
      <c r="AQ868" s="5" t="n">
        <v>0.791</v>
      </c>
      <c r="AR868" s="5" t="n">
        <v>0.129</v>
      </c>
      <c r="AS868" s="5" t="n">
        <v>0.005</v>
      </c>
      <c r="AT868" s="5" t="n">
        <v>0.834</v>
      </c>
      <c r="AU868" s="5" t="n">
        <v>0.055</v>
      </c>
      <c r="AV868" s="5" t="n">
        <v>1</v>
      </c>
      <c r="AW868" s="5" t="n">
        <v>0.618</v>
      </c>
      <c r="AX868" s="5" t="n">
        <v>0.129</v>
      </c>
      <c r="AY868" s="5" t="n">
        <v>0.004</v>
      </c>
      <c r="AZ868" s="5" t="n">
        <v>0.652</v>
      </c>
      <c r="BA868" s="5" t="n">
        <v>0.055</v>
      </c>
      <c r="BB868" s="5" t="n">
        <v>1</v>
      </c>
      <c r="BC868" s="5" t="n">
        <v>0.554</v>
      </c>
      <c r="BD868" s="5" t="n">
        <v>0.129</v>
      </c>
      <c r="BE868" s="5" t="n">
        <v>0.003</v>
      </c>
      <c r="BF868" s="5" t="n">
        <v>0.585</v>
      </c>
      <c r="BG868" s="5" t="n">
        <v>0.055</v>
      </c>
      <c r="BH868" s="5" t="n">
        <v>1</v>
      </c>
      <c r="BI868" s="5" t="n">
        <v>0.5570000000000001</v>
      </c>
      <c r="BJ868" s="5" t="n">
        <v>0.129</v>
      </c>
      <c r="BK868" s="5" t="n">
        <v>0.003</v>
      </c>
      <c r="BL868" s="5" t="n">
        <v>0.588</v>
      </c>
      <c r="BM868" s="5" t="n">
        <v>0.055</v>
      </c>
      <c r="BN868" s="5" t="n">
        <v>1</v>
      </c>
      <c r="BO868" s="5" t="n">
        <v>0</v>
      </c>
      <c r="BP868" s="5" t="n">
        <v>0</v>
      </c>
      <c r="BQ868" s="5" t="n">
        <v>0</v>
      </c>
      <c r="BR868" s="5" t="n">
        <v>0</v>
      </c>
      <c r="BS868" s="5" t="n">
        <v>1</v>
      </c>
      <c r="BT868" s="5" t="n">
        <v>0</v>
      </c>
      <c r="BU868" s="5" t="n">
        <v>0</v>
      </c>
      <c r="BV868" s="5" t="n">
        <v>0</v>
      </c>
      <c r="BW868" s="5" t="n">
        <v>0.055</v>
      </c>
      <c r="BX868" s="5" t="n">
        <v>1</v>
      </c>
      <c r="BY868" s="5" t="n">
        <v>13.254</v>
      </c>
      <c r="BZ868" s="5" t="n">
        <v>0</v>
      </c>
      <c r="CA868" s="5" t="n">
        <v>13.254</v>
      </c>
      <c r="CB868" s="5" t="n">
        <v>0</v>
      </c>
      <c r="CC868" s="5" t="n">
        <v>83.248</v>
      </c>
      <c r="CD868" s="5" t="n">
        <v>7.95</v>
      </c>
      <c r="CE868" s="5" t="n">
        <v>0.507</v>
      </c>
      <c r="CF868" s="5" t="n">
        <v>87.827</v>
      </c>
      <c r="CG868" s="5" t="n">
        <v>0.055</v>
      </c>
      <c r="CH868" s="5" t="n">
        <v>1</v>
      </c>
      <c r="CI868" s="5" t="n">
        <v>0</v>
      </c>
      <c r="CJ868" s="5" t="n">
        <v>0</v>
      </c>
      <c r="CK868" s="5" t="n">
        <v>0</v>
      </c>
      <c r="CL868" s="5" t="n">
        <v>0</v>
      </c>
      <c r="CM868" s="5" t="n">
        <v>0</v>
      </c>
      <c r="CN868" s="5" t="n">
        <v>0</v>
      </c>
      <c r="CO868" s="5" t="n">
        <v>0</v>
      </c>
      <c r="CP868" s="5" t="n">
        <v>0</v>
      </c>
      <c r="CQ868" s="5" t="n">
        <v>1.348</v>
      </c>
      <c r="CR868" s="5" t="n">
        <v>0</v>
      </c>
      <c r="CS868" s="5" t="n">
        <v>5.37</v>
      </c>
      <c r="CT868" s="5" t="n">
        <v>4.861</v>
      </c>
      <c r="CU868" s="5" t="n">
        <v>11.192</v>
      </c>
    </row>
    <row r="869">
      <c r="A869" s="5" t="inlineStr">
        <is>
          <t>VIR2024</t>
        </is>
      </c>
      <c r="B869" s="5" t="inlineStr">
        <is>
          <t>VIR</t>
        </is>
      </c>
      <c r="C869" s="5" t="inlineStr">
        <is>
          <t>VIR</t>
        </is>
      </c>
      <c r="D869" s="5" t="inlineStr">
        <is>
          <t>Virgin Islands (U.S.)</t>
        </is>
      </c>
      <c r="E869" s="5" t="n">
        <v>2024</v>
      </c>
      <c r="F869" s="5" t="n">
        <v>0.055</v>
      </c>
      <c r="G869" s="5" t="n">
        <v>5.575</v>
      </c>
      <c r="H869" s="5" t="n">
        <v>1.324</v>
      </c>
      <c r="I869" s="5" t="n">
        <v>0</v>
      </c>
      <c r="J869" s="5" t="n">
        <v>5.575</v>
      </c>
      <c r="K869" s="5" t="n">
        <v>0</v>
      </c>
      <c r="L869" s="5" t="n">
        <v>1</v>
      </c>
      <c r="M869" s="5" t="n">
        <v>7.124</v>
      </c>
      <c r="N869" s="5" t="n">
        <v>3.971</v>
      </c>
      <c r="O869" s="5" t="n">
        <v>0</v>
      </c>
      <c r="P869" s="5" t="n">
        <v>7.124</v>
      </c>
      <c r="Q869" s="5" t="n">
        <v>0</v>
      </c>
      <c r="R869" s="5" t="n">
        <v>1</v>
      </c>
      <c r="S869" s="5" t="n">
        <v>12.193</v>
      </c>
      <c r="T869" s="5" t="n">
        <v>7.942</v>
      </c>
      <c r="U869" s="5" t="n">
        <v>0.091</v>
      </c>
      <c r="V869" s="5" t="n">
        <v>12.863</v>
      </c>
      <c r="W869" s="5" t="n">
        <v>0.055</v>
      </c>
      <c r="X869" s="5" t="n">
        <v>1</v>
      </c>
      <c r="Y869" s="5" t="n">
        <v>11.447</v>
      </c>
      <c r="Z869" s="5" t="n">
        <v>1.54</v>
      </c>
      <c r="AA869" s="5" t="n">
        <v>0</v>
      </c>
      <c r="AB869" s="5" t="n">
        <v>11.447</v>
      </c>
      <c r="AC869" s="5" t="n">
        <v>0</v>
      </c>
      <c r="AD869" s="5" t="n">
        <v>1</v>
      </c>
      <c r="AE869" s="5" t="n">
        <v>12.771</v>
      </c>
      <c r="AF869" s="5" t="n">
        <v>2.991</v>
      </c>
      <c r="AG869" s="5" t="n">
        <v>0</v>
      </c>
      <c r="AH869" s="5" t="n">
        <v>12.771</v>
      </c>
      <c r="AI869" s="5" t="n">
        <v>0</v>
      </c>
      <c r="AJ869" s="5" t="n">
        <v>1</v>
      </c>
      <c r="AK869" s="5" t="n">
        <v>20.712</v>
      </c>
      <c r="AL869" s="5" t="n">
        <v>11.129</v>
      </c>
      <c r="AM869" s="5" t="n">
        <v>0.155</v>
      </c>
      <c r="AN869" s="5" t="n">
        <v>21.852</v>
      </c>
      <c r="AO869" s="5" t="n">
        <v>0.055</v>
      </c>
      <c r="AP869" s="5" t="n">
        <v>1</v>
      </c>
      <c r="AQ869" s="5" t="n">
        <v>0.756</v>
      </c>
      <c r="AR869" s="5" t="n">
        <v>0.132</v>
      </c>
      <c r="AS869" s="5" t="n">
        <v>0.006</v>
      </c>
      <c r="AT869" s="5" t="n">
        <v>0.798</v>
      </c>
      <c r="AU869" s="5" t="n">
        <v>0.055</v>
      </c>
      <c r="AV869" s="5" t="n">
        <v>1</v>
      </c>
      <c r="AW869" s="5" t="n">
        <v>0.655</v>
      </c>
      <c r="AX869" s="5" t="n">
        <v>0.132</v>
      </c>
      <c r="AY869" s="5" t="n">
        <v>0.005</v>
      </c>
      <c r="AZ869" s="5" t="n">
        <v>0.6909999999999999</v>
      </c>
      <c r="BA869" s="5" t="n">
        <v>0.055</v>
      </c>
      <c r="BB869" s="5" t="n">
        <v>1</v>
      </c>
      <c r="BC869" s="5" t="n">
        <v>0.534</v>
      </c>
      <c r="BD869" s="5" t="n">
        <v>0.132</v>
      </c>
      <c r="BE869" s="5" t="n">
        <v>0.004</v>
      </c>
      <c r="BF869" s="5" t="n">
        <v>0.5629999999999999</v>
      </c>
      <c r="BG869" s="5" t="n">
        <v>0.055</v>
      </c>
      <c r="BH869" s="5" t="n">
        <v>1</v>
      </c>
      <c r="BI869" s="5" t="n">
        <v>0.5679999999999999</v>
      </c>
      <c r="BJ869" s="5" t="n">
        <v>0.132</v>
      </c>
      <c r="BK869" s="5" t="n">
        <v>0.004</v>
      </c>
      <c r="BL869" s="5" t="n">
        <v>0.599</v>
      </c>
      <c r="BM869" s="5" t="n">
        <v>0.055</v>
      </c>
      <c r="BN869" s="5" t="n">
        <v>1</v>
      </c>
      <c r="BO869" s="5" t="n">
        <v>0</v>
      </c>
      <c r="BP869" s="5" t="n">
        <v>0</v>
      </c>
      <c r="BQ869" s="5" t="n">
        <v>0</v>
      </c>
      <c r="BR869" s="5" t="n">
        <v>0</v>
      </c>
      <c r="BS869" s="5" t="n">
        <v>1</v>
      </c>
      <c r="BT869" s="5" t="n">
        <v>0</v>
      </c>
      <c r="BU869" s="5" t="n">
        <v>0</v>
      </c>
      <c r="BV869" s="5" t="n">
        <v>0</v>
      </c>
      <c r="BW869" s="5" t="n">
        <v>0.055</v>
      </c>
      <c r="BX869" s="5" t="n">
        <v>1</v>
      </c>
      <c r="BY869" s="5" t="n">
        <v>13.646</v>
      </c>
      <c r="BZ869" s="5" t="n">
        <v>0</v>
      </c>
      <c r="CA869" s="5" t="n">
        <v>13.646</v>
      </c>
      <c r="CB869" s="5" t="n">
        <v>0</v>
      </c>
      <c r="CC869" s="5" t="n">
        <v>82.58799999999999</v>
      </c>
      <c r="CD869" s="5" t="n">
        <v>7.95</v>
      </c>
      <c r="CE869" s="5" t="n">
        <v>0.619</v>
      </c>
      <c r="CF869" s="5" t="n">
        <v>87.13</v>
      </c>
      <c r="CG869" s="5" t="n">
        <v>0.055</v>
      </c>
      <c r="CH869" s="5" t="n">
        <v>1</v>
      </c>
      <c r="CI869" s="5" t="n">
        <v>0</v>
      </c>
      <c r="CJ869" s="5" t="n">
        <v>0</v>
      </c>
      <c r="CK869" s="5" t="n">
        <v>0</v>
      </c>
      <c r="CL869" s="5" t="n">
        <v>0</v>
      </c>
      <c r="CM869" s="5" t="n">
        <v>0</v>
      </c>
      <c r="CN869" s="5" t="n">
        <v>0</v>
      </c>
      <c r="CO869" s="5" t="n">
        <v>0</v>
      </c>
      <c r="CP869" s="5" t="n">
        <v>0</v>
      </c>
      <c r="CQ869" s="5" t="n">
        <v>1.387</v>
      </c>
      <c r="CR869" s="5" t="n">
        <v>0</v>
      </c>
      <c r="CS869" s="5" t="n">
        <v>5.529</v>
      </c>
      <c r="CT869" s="5" t="n">
        <v>4.251</v>
      </c>
      <c r="CU869" s="5" t="n">
        <v>10.123</v>
      </c>
    </row>
    <row r="870">
      <c r="A870" s="5" t="inlineStr">
        <is>
          <t>PSE2021</t>
        </is>
      </c>
      <c r="B870" s="5" t="inlineStr">
        <is>
          <t>PSE</t>
        </is>
      </c>
      <c r="C870" s="5" t="inlineStr">
        <is>
          <t>PSE</t>
        </is>
      </c>
      <c r="D870" s="5" t="inlineStr">
        <is>
          <t>West Bank and Gaza</t>
        </is>
      </c>
      <c r="E870" s="5" t="n">
        <v>2021</v>
      </c>
      <c r="F870" s="5" t="n">
        <v>0.16</v>
      </c>
      <c r="G870" s="5" t="n">
        <v>5.897</v>
      </c>
      <c r="H870" s="5" t="n">
        <v>1.143</v>
      </c>
      <c r="I870" s="5" t="n">
        <v>0</v>
      </c>
      <c r="J870" s="5" t="n">
        <v>5.897</v>
      </c>
      <c r="K870" s="5" t="n">
        <v>0</v>
      </c>
      <c r="L870" s="5" t="n">
        <v>1</v>
      </c>
      <c r="M870" s="5" t="n">
        <v>7.964</v>
      </c>
      <c r="N870" s="5" t="n">
        <v>3.43</v>
      </c>
      <c r="O870" s="5" t="n">
        <v>0</v>
      </c>
      <c r="P870" s="5" t="n">
        <v>7.964</v>
      </c>
      <c r="Q870" s="5" t="n">
        <v>0</v>
      </c>
      <c r="R870" s="5" t="n">
        <v>1</v>
      </c>
      <c r="S870" s="5" t="n">
        <v>11.613</v>
      </c>
      <c r="T870" s="5" t="n">
        <v>6.86</v>
      </c>
      <c r="U870" s="5" t="n">
        <v>0</v>
      </c>
      <c r="V870" s="5" t="n">
        <v>13.471</v>
      </c>
      <c r="W870" s="5" t="n">
        <v>0.16</v>
      </c>
      <c r="X870" s="5" t="n">
        <v>1</v>
      </c>
      <c r="Y870" s="5" t="n">
        <v>15.299</v>
      </c>
      <c r="Z870" s="5" t="n">
        <v>2.496</v>
      </c>
      <c r="AA870" s="5" t="n">
        <v>0</v>
      </c>
      <c r="AB870" s="5" t="n">
        <v>15.299</v>
      </c>
      <c r="AC870" s="5" t="n">
        <v>0</v>
      </c>
      <c r="AD870" s="5" t="n">
        <v>1</v>
      </c>
      <c r="AE870" s="5" t="n">
        <v>16.442</v>
      </c>
      <c r="AF870" s="5" t="n">
        <v>4.506</v>
      </c>
      <c r="AG870" s="5" t="n">
        <v>0</v>
      </c>
      <c r="AH870" s="5" t="n">
        <v>16.442</v>
      </c>
      <c r="AI870" s="5" t="n">
        <v>0</v>
      </c>
      <c r="AJ870" s="5" t="n">
        <v>1</v>
      </c>
      <c r="AK870" s="5" t="n">
        <v>23.302</v>
      </c>
      <c r="AL870" s="5" t="n">
        <v>13.551</v>
      </c>
      <c r="AM870" s="5" t="n">
        <v>0</v>
      </c>
      <c r="AN870" s="5" t="n">
        <v>27.03</v>
      </c>
      <c r="AO870" s="5" t="n">
        <v>0.16</v>
      </c>
      <c r="AP870" s="5" t="n">
        <v>1</v>
      </c>
      <c r="AQ870" s="5" t="n">
        <v>0.621</v>
      </c>
      <c r="AR870" s="5" t="n">
        <v>0.114</v>
      </c>
      <c r="AS870" s="5" t="n">
        <v>0</v>
      </c>
      <c r="AT870" s="5" t="n">
        <v>0.72</v>
      </c>
      <c r="AU870" s="5" t="n">
        <v>0.16</v>
      </c>
      <c r="AV870" s="5" t="n">
        <v>1</v>
      </c>
      <c r="AW870" s="5" t="n">
        <v>0.593</v>
      </c>
      <c r="AX870" s="5" t="n">
        <v>0.114</v>
      </c>
      <c r="AY870" s="5" t="n">
        <v>0.798</v>
      </c>
      <c r="AZ870" s="5" t="n">
        <v>1.614</v>
      </c>
      <c r="BA870" s="5" t="n">
        <v>0.16</v>
      </c>
      <c r="BB870" s="5" t="n">
        <v>1</v>
      </c>
      <c r="BC870" s="5" t="n">
        <v>0.44</v>
      </c>
      <c r="BD870" s="5" t="n">
        <v>0.114</v>
      </c>
      <c r="BE870" s="5" t="n">
        <v>0</v>
      </c>
      <c r="BF870" s="5" t="n">
        <v>0.51</v>
      </c>
      <c r="BG870" s="5" t="n">
        <v>0.16</v>
      </c>
      <c r="BH870" s="5" t="n">
        <v>1</v>
      </c>
      <c r="BI870" s="5" t="n">
        <v>0.5600000000000001</v>
      </c>
      <c r="BJ870" s="5" t="n">
        <v>0.114</v>
      </c>
      <c r="BK870" s="5" t="n">
        <v>0</v>
      </c>
      <c r="BL870" s="5" t="n">
        <v>0.65</v>
      </c>
      <c r="BM870" s="5" t="n">
        <v>0.16</v>
      </c>
      <c r="BN870" s="5" t="n">
        <v>1</v>
      </c>
      <c r="BO870" s="5" t="n">
        <v>0</v>
      </c>
      <c r="BP870" s="5" t="n">
        <v>0</v>
      </c>
      <c r="BQ870" s="5" t="n">
        <v>0</v>
      </c>
      <c r="BR870" s="5" t="n">
        <v>0</v>
      </c>
      <c r="BS870" s="5" t="n">
        <v>1</v>
      </c>
      <c r="BT870" s="5" t="n">
        <v>0</v>
      </c>
      <c r="BU870" s="5" t="n">
        <v>0</v>
      </c>
      <c r="BV870" s="5" t="n">
        <v>0</v>
      </c>
      <c r="BW870" s="5" t="n">
        <v>0.16</v>
      </c>
      <c r="BX870" s="5" t="n">
        <v>1</v>
      </c>
      <c r="BY870" s="5" t="n">
        <v>11.787</v>
      </c>
      <c r="BZ870" s="5" t="n">
        <v>0</v>
      </c>
      <c r="CA870" s="5" t="n">
        <v>11.787</v>
      </c>
      <c r="CB870" s="5" t="n">
        <v>0</v>
      </c>
      <c r="CC870" s="5" t="n">
        <v>81.69499999999999</v>
      </c>
      <c r="CD870" s="5" t="n">
        <v>7.95</v>
      </c>
      <c r="CE870" s="5" t="n">
        <v>0</v>
      </c>
      <c r="CF870" s="5" t="n">
        <v>94.767</v>
      </c>
      <c r="CG870" s="5" t="n">
        <v>0.16</v>
      </c>
      <c r="CH870" s="5" t="n">
        <v>1</v>
      </c>
      <c r="CI870" s="5" t="n">
        <v>0</v>
      </c>
      <c r="CJ870" s="5" t="n">
        <v>0</v>
      </c>
      <c r="CK870" s="5" t="n">
        <v>0</v>
      </c>
      <c r="CL870" s="5" t="n">
        <v>0</v>
      </c>
      <c r="CM870" s="5" t="n">
        <v>0</v>
      </c>
      <c r="CN870" s="5" t="n">
        <v>0</v>
      </c>
      <c r="CO870" s="5" t="n">
        <v>0</v>
      </c>
      <c r="CP870" s="5" t="n">
        <v>0</v>
      </c>
      <c r="CQ870" s="5" t="n">
        <v>1.198</v>
      </c>
      <c r="CR870" s="5" t="n">
        <v>0</v>
      </c>
      <c r="CS870" s="5" t="n">
        <v>4.776</v>
      </c>
      <c r="CT870" s="5" t="n">
        <v>4.753</v>
      </c>
      <c r="CU870" s="5" t="n">
        <v>14.162</v>
      </c>
    </row>
    <row r="871">
      <c r="A871" s="5" t="inlineStr">
        <is>
          <t>PSE2022</t>
        </is>
      </c>
      <c r="B871" s="5" t="inlineStr">
        <is>
          <t>PSE</t>
        </is>
      </c>
      <c r="C871" s="5" t="inlineStr">
        <is>
          <t>PSE</t>
        </is>
      </c>
      <c r="D871" s="5" t="inlineStr">
        <is>
          <t>West Bank and Gaza</t>
        </is>
      </c>
      <c r="E871" s="5" t="n">
        <v>2022</v>
      </c>
      <c r="F871" s="5" t="n">
        <v>0.16</v>
      </c>
      <c r="G871" s="5" t="n">
        <v>11.72</v>
      </c>
      <c r="H871" s="5" t="n">
        <v>1.235</v>
      </c>
      <c r="I871" s="5" t="n">
        <v>0</v>
      </c>
      <c r="J871" s="5" t="n">
        <v>11.72</v>
      </c>
      <c r="K871" s="5" t="n">
        <v>0</v>
      </c>
      <c r="L871" s="5" t="n">
        <v>1</v>
      </c>
      <c r="M871" s="5" t="n">
        <v>9.782999999999999</v>
      </c>
      <c r="N871" s="5" t="n">
        <v>3.704</v>
      </c>
      <c r="O871" s="5" t="n">
        <v>0</v>
      </c>
      <c r="P871" s="5" t="n">
        <v>9.782999999999999</v>
      </c>
      <c r="Q871" s="5" t="n">
        <v>0</v>
      </c>
      <c r="R871" s="5" t="n">
        <v>1</v>
      </c>
      <c r="S871" s="5" t="n">
        <v>17.893</v>
      </c>
      <c r="T871" s="5" t="n">
        <v>7.408</v>
      </c>
      <c r="U871" s="5" t="n">
        <v>0.212</v>
      </c>
      <c r="V871" s="5" t="n">
        <v>20.756</v>
      </c>
      <c r="W871" s="5" t="n">
        <v>0.16</v>
      </c>
      <c r="X871" s="5" t="n">
        <v>1</v>
      </c>
      <c r="Y871" s="5" t="n">
        <v>31.56</v>
      </c>
      <c r="Z871" s="5" t="n">
        <v>5.148</v>
      </c>
      <c r="AA871" s="5" t="n">
        <v>0</v>
      </c>
      <c r="AB871" s="5" t="n">
        <v>31.56</v>
      </c>
      <c r="AC871" s="5" t="n">
        <v>0</v>
      </c>
      <c r="AD871" s="5" t="n">
        <v>1</v>
      </c>
      <c r="AE871" s="5" t="n">
        <v>32.795</v>
      </c>
      <c r="AF871" s="5" t="n">
        <v>8.988</v>
      </c>
      <c r="AG871" s="5" t="n">
        <v>0</v>
      </c>
      <c r="AH871" s="5" t="n">
        <v>32.795</v>
      </c>
      <c r="AI871" s="5" t="n">
        <v>0</v>
      </c>
      <c r="AJ871" s="5" t="n">
        <v>1</v>
      </c>
      <c r="AK871" s="5" t="n">
        <v>40.203</v>
      </c>
      <c r="AL871" s="5" t="n">
        <v>23.38</v>
      </c>
      <c r="AM871" s="5" t="n">
        <v>0.476</v>
      </c>
      <c r="AN871" s="5" t="n">
        <v>46.635</v>
      </c>
      <c r="AO871" s="5" t="n">
        <v>0.16</v>
      </c>
      <c r="AP871" s="5" t="n">
        <v>1</v>
      </c>
      <c r="AQ871" s="5" t="n">
        <v>0.847</v>
      </c>
      <c r="AR871" s="5" t="n">
        <v>0.123</v>
      </c>
      <c r="AS871" s="5" t="n">
        <v>0.01</v>
      </c>
      <c r="AT871" s="5" t="n">
        <v>0.982</v>
      </c>
      <c r="AU871" s="5" t="n">
        <v>0.16</v>
      </c>
      <c r="AV871" s="5" t="n">
        <v>1</v>
      </c>
      <c r="AW871" s="5" t="n">
        <v>0.947</v>
      </c>
      <c r="AX871" s="5" t="n">
        <v>0.123</v>
      </c>
      <c r="AY871" s="5" t="n">
        <v>0.581</v>
      </c>
      <c r="AZ871" s="5" t="n">
        <v>1.772</v>
      </c>
      <c r="BA871" s="5" t="n">
        <v>0.16</v>
      </c>
      <c r="BB871" s="5" t="n">
        <v>1</v>
      </c>
      <c r="BC871" s="5" t="n">
        <v>0.589</v>
      </c>
      <c r="BD871" s="5" t="n">
        <v>0.123</v>
      </c>
      <c r="BE871" s="5" t="n">
        <v>0.007</v>
      </c>
      <c r="BF871" s="5" t="n">
        <v>0.6830000000000001</v>
      </c>
      <c r="BG871" s="5" t="n">
        <v>0.16</v>
      </c>
      <c r="BH871" s="5" t="n">
        <v>1</v>
      </c>
      <c r="BI871" s="5" t="n">
        <v>0.6889999999999999</v>
      </c>
      <c r="BJ871" s="5" t="n">
        <v>0.123</v>
      </c>
      <c r="BK871" s="5" t="n">
        <v>0.008</v>
      </c>
      <c r="BL871" s="5" t="n">
        <v>0.799</v>
      </c>
      <c r="BM871" s="5" t="n">
        <v>0.16</v>
      </c>
      <c r="BN871" s="5" t="n">
        <v>1</v>
      </c>
      <c r="BO871" s="5" t="n">
        <v>0</v>
      </c>
      <c r="BP871" s="5" t="n">
        <v>0</v>
      </c>
      <c r="BQ871" s="5" t="n">
        <v>0</v>
      </c>
      <c r="BR871" s="5" t="n">
        <v>0</v>
      </c>
      <c r="BS871" s="5" t="n">
        <v>1</v>
      </c>
      <c r="BT871" s="5" t="n">
        <v>0</v>
      </c>
      <c r="BU871" s="5" t="n">
        <v>0</v>
      </c>
      <c r="BV871" s="5" t="n">
        <v>0</v>
      </c>
      <c r="BW871" s="5" t="n">
        <v>0.16</v>
      </c>
      <c r="BX871" s="5" t="n">
        <v>1</v>
      </c>
      <c r="BY871" s="5" t="n">
        <v>12.729</v>
      </c>
      <c r="BZ871" s="5" t="n">
        <v>0</v>
      </c>
      <c r="CA871" s="5" t="n">
        <v>12.729</v>
      </c>
      <c r="CB871" s="5" t="n">
        <v>0</v>
      </c>
      <c r="CC871" s="5" t="n">
        <v>102.477</v>
      </c>
      <c r="CD871" s="5" t="n">
        <v>7.95</v>
      </c>
      <c r="CE871" s="5" t="n">
        <v>1.213</v>
      </c>
      <c r="CF871" s="5" t="n">
        <v>118.873</v>
      </c>
      <c r="CG871" s="5" t="n">
        <v>0.16</v>
      </c>
      <c r="CH871" s="5" t="n">
        <v>1</v>
      </c>
      <c r="CI871" s="5" t="n">
        <v>0</v>
      </c>
      <c r="CJ871" s="5" t="n">
        <v>0</v>
      </c>
      <c r="CK871" s="5" t="n">
        <v>0</v>
      </c>
      <c r="CL871" s="5" t="n">
        <v>0</v>
      </c>
      <c r="CM871" s="5" t="n">
        <v>0</v>
      </c>
      <c r="CN871" s="5" t="n">
        <v>0</v>
      </c>
      <c r="CO871" s="5" t="n">
        <v>0</v>
      </c>
      <c r="CP871" s="5" t="n">
        <v>0</v>
      </c>
      <c r="CQ871" s="5" t="n">
        <v>1.294</v>
      </c>
      <c r="CR871" s="5" t="n">
        <v>0</v>
      </c>
      <c r="CS871" s="5" t="n">
        <v>5.158</v>
      </c>
      <c r="CT871" s="5" t="n">
        <v>10.485</v>
      </c>
      <c r="CU871" s="5" t="n">
        <v>30.326</v>
      </c>
    </row>
    <row r="872">
      <c r="A872" s="5" t="inlineStr">
        <is>
          <t>PSE2023</t>
        </is>
      </c>
      <c r="B872" s="5" t="inlineStr">
        <is>
          <t>PSE</t>
        </is>
      </c>
      <c r="C872" s="5" t="inlineStr">
        <is>
          <t>PSE</t>
        </is>
      </c>
      <c r="D872" s="5" t="inlineStr">
        <is>
          <t>West Bank and Gaza</t>
        </is>
      </c>
      <c r="E872" s="5" t="n">
        <v>2023</v>
      </c>
      <c r="F872" s="5" t="n">
        <v>0.16</v>
      </c>
      <c r="G872" s="5" t="n">
        <v>6.147</v>
      </c>
      <c r="H872" s="5" t="n">
        <v>1.286</v>
      </c>
      <c r="I872" s="5" t="n">
        <v>0</v>
      </c>
      <c r="J872" s="5" t="n">
        <v>6.147</v>
      </c>
      <c r="K872" s="5" t="n">
        <v>0</v>
      </c>
      <c r="L872" s="5" t="n">
        <v>1</v>
      </c>
      <c r="M872" s="5" t="n">
        <v>7.886</v>
      </c>
      <c r="N872" s="5" t="n">
        <v>3.857</v>
      </c>
      <c r="O872" s="5" t="n">
        <v>0</v>
      </c>
      <c r="P872" s="5" t="n">
        <v>7.886</v>
      </c>
      <c r="Q872" s="5" t="n">
        <v>0</v>
      </c>
      <c r="R872" s="5" t="n">
        <v>1</v>
      </c>
      <c r="S872" s="5" t="n">
        <v>12.575</v>
      </c>
      <c r="T872" s="5" t="n">
        <v>7.714</v>
      </c>
      <c r="U872" s="5" t="n">
        <v>0.223</v>
      </c>
      <c r="V872" s="5" t="n">
        <v>14.587</v>
      </c>
      <c r="W872" s="5" t="n">
        <v>0.16</v>
      </c>
      <c r="X872" s="5" t="n">
        <v>1</v>
      </c>
      <c r="Y872" s="5" t="n">
        <v>11.897</v>
      </c>
      <c r="Z872" s="5" t="n">
        <v>1.941</v>
      </c>
      <c r="AA872" s="5" t="n">
        <v>0</v>
      </c>
      <c r="AB872" s="5" t="n">
        <v>11.897</v>
      </c>
      <c r="AC872" s="5" t="n">
        <v>0</v>
      </c>
      <c r="AD872" s="5" t="n">
        <v>1</v>
      </c>
      <c r="AE872" s="5" t="n">
        <v>13.183</v>
      </c>
      <c r="AF872" s="5" t="n">
        <v>3.613</v>
      </c>
      <c r="AG872" s="5" t="n">
        <v>0</v>
      </c>
      <c r="AH872" s="5" t="n">
        <v>13.183</v>
      </c>
      <c r="AI872" s="5" t="n">
        <v>0</v>
      </c>
      <c r="AJ872" s="5" t="n">
        <v>1</v>
      </c>
      <c r="AK872" s="5" t="n">
        <v>20.897</v>
      </c>
      <c r="AL872" s="5" t="n">
        <v>12.153</v>
      </c>
      <c r="AM872" s="5" t="n">
        <v>0.37</v>
      </c>
      <c r="AN872" s="5" t="n">
        <v>24.24</v>
      </c>
      <c r="AO872" s="5" t="n">
        <v>0.16</v>
      </c>
      <c r="AP872" s="5" t="n">
        <v>1</v>
      </c>
      <c r="AQ872" s="5" t="n">
        <v>0.749</v>
      </c>
      <c r="AR872" s="5" t="n">
        <v>0.129</v>
      </c>
      <c r="AS872" s="5" t="n">
        <v>0.013</v>
      </c>
      <c r="AT872" s="5" t="n">
        <v>0.869</v>
      </c>
      <c r="AU872" s="5" t="n">
        <v>0.16</v>
      </c>
      <c r="AV872" s="5" t="n">
        <v>1</v>
      </c>
      <c r="AW872" s="5" t="n">
        <v>0.783</v>
      </c>
      <c r="AX872" s="5" t="n">
        <v>0.129</v>
      </c>
      <c r="AY872" s="5" t="n">
        <v>0.665</v>
      </c>
      <c r="AZ872" s="5" t="n">
        <v>1.68</v>
      </c>
      <c r="BA872" s="5" t="n">
        <v>0.16</v>
      </c>
      <c r="BB872" s="5" t="n">
        <v>1</v>
      </c>
      <c r="BC872" s="5" t="n">
        <v>0.527</v>
      </c>
      <c r="BD872" s="5" t="n">
        <v>0.129</v>
      </c>
      <c r="BE872" s="5" t="n">
        <v>0.008999999999999999</v>
      </c>
      <c r="BF872" s="5" t="n">
        <v>0.612</v>
      </c>
      <c r="BG872" s="5" t="n">
        <v>0.16</v>
      </c>
      <c r="BH872" s="5" t="n">
        <v>1</v>
      </c>
      <c r="BI872" s="5" t="n">
        <v>0.64</v>
      </c>
      <c r="BJ872" s="5" t="n">
        <v>0.129</v>
      </c>
      <c r="BK872" s="5" t="n">
        <v>0.011</v>
      </c>
      <c r="BL872" s="5" t="n">
        <v>0.742</v>
      </c>
      <c r="BM872" s="5" t="n">
        <v>0.16</v>
      </c>
      <c r="BN872" s="5" t="n">
        <v>1</v>
      </c>
      <c r="BO872" s="5" t="n">
        <v>0</v>
      </c>
      <c r="BP872" s="5" t="n">
        <v>0</v>
      </c>
      <c r="BQ872" s="5" t="n">
        <v>0</v>
      </c>
      <c r="BR872" s="5" t="n">
        <v>0</v>
      </c>
      <c r="BS872" s="5" t="n">
        <v>1</v>
      </c>
      <c r="BT872" s="5" t="n">
        <v>0</v>
      </c>
      <c r="BU872" s="5" t="n">
        <v>0</v>
      </c>
      <c r="BV872" s="5" t="n">
        <v>0</v>
      </c>
      <c r="BW872" s="5" t="n">
        <v>0.16</v>
      </c>
      <c r="BX872" s="5" t="n">
        <v>1</v>
      </c>
      <c r="BY872" s="5" t="n">
        <v>13.254</v>
      </c>
      <c r="BZ872" s="5" t="n">
        <v>0</v>
      </c>
      <c r="CA872" s="5" t="n">
        <v>13.254</v>
      </c>
      <c r="CB872" s="5" t="n">
        <v>0</v>
      </c>
      <c r="CC872" s="5" t="n">
        <v>87.07899999999999</v>
      </c>
      <c r="CD872" s="5" t="n">
        <v>7.95</v>
      </c>
      <c r="CE872" s="5" t="n">
        <v>1.543</v>
      </c>
      <c r="CF872" s="5" t="n">
        <v>101.012</v>
      </c>
      <c r="CG872" s="5" t="n">
        <v>0.16</v>
      </c>
      <c r="CH872" s="5" t="n">
        <v>1</v>
      </c>
      <c r="CI872" s="5" t="n">
        <v>0</v>
      </c>
      <c r="CJ872" s="5" t="n">
        <v>0</v>
      </c>
      <c r="CK872" s="5" t="n">
        <v>0</v>
      </c>
      <c r="CL872" s="5" t="n">
        <v>0</v>
      </c>
      <c r="CM872" s="5" t="n">
        <v>0</v>
      </c>
      <c r="CN872" s="5" t="n">
        <v>0</v>
      </c>
      <c r="CO872" s="5" t="n">
        <v>0</v>
      </c>
      <c r="CP872" s="5" t="n">
        <v>0</v>
      </c>
      <c r="CQ872" s="5" t="n">
        <v>1.348</v>
      </c>
      <c r="CR872" s="5" t="n">
        <v>0</v>
      </c>
      <c r="CS872" s="5" t="n">
        <v>5.37</v>
      </c>
      <c r="CT872" s="5" t="n">
        <v>4.861</v>
      </c>
      <c r="CU872" s="5" t="n">
        <v>10.622</v>
      </c>
    </row>
    <row r="873">
      <c r="A873" s="5" t="inlineStr">
        <is>
          <t>PSE2024</t>
        </is>
      </c>
      <c r="B873" s="5" t="inlineStr">
        <is>
          <t>PSE</t>
        </is>
      </c>
      <c r="C873" s="5" t="inlineStr">
        <is>
          <t>PSE</t>
        </is>
      </c>
      <c r="D873" s="5" t="inlineStr">
        <is>
          <t>West Bank and Gaza</t>
        </is>
      </c>
      <c r="E873" s="5" t="n">
        <v>2024</v>
      </c>
      <c r="F873" s="5" t="n">
        <v>0.16</v>
      </c>
      <c r="G873" s="5" t="n">
        <v>5.575</v>
      </c>
      <c r="H873" s="5" t="n">
        <v>1.324</v>
      </c>
      <c r="I873" s="5" t="n">
        <v>0</v>
      </c>
      <c r="J873" s="5" t="n">
        <v>5.575</v>
      </c>
      <c r="K873" s="5" t="n">
        <v>0</v>
      </c>
      <c r="L873" s="5" t="n">
        <v>1</v>
      </c>
      <c r="M873" s="5" t="n">
        <v>7.124</v>
      </c>
      <c r="N873" s="5" t="n">
        <v>3.971</v>
      </c>
      <c r="O873" s="5" t="n">
        <v>0</v>
      </c>
      <c r="P873" s="5" t="n">
        <v>7.124</v>
      </c>
      <c r="Q873" s="5" t="n">
        <v>0</v>
      </c>
      <c r="R873" s="5" t="n">
        <v>1</v>
      </c>
      <c r="S873" s="5" t="n">
        <v>12.193</v>
      </c>
      <c r="T873" s="5" t="n">
        <v>7.942</v>
      </c>
      <c r="U873" s="5" t="n">
        <v>0.266</v>
      </c>
      <c r="V873" s="5" t="n">
        <v>14.144</v>
      </c>
      <c r="W873" s="5" t="n">
        <v>0.16</v>
      </c>
      <c r="X873" s="5" t="n">
        <v>1</v>
      </c>
      <c r="Y873" s="5" t="n">
        <v>10.483</v>
      </c>
      <c r="Z873" s="5" t="n">
        <v>1.71</v>
      </c>
      <c r="AA873" s="5" t="n">
        <v>0</v>
      </c>
      <c r="AB873" s="5" t="n">
        <v>10.483</v>
      </c>
      <c r="AC873" s="5" t="n">
        <v>0</v>
      </c>
      <c r="AD873" s="5" t="n">
        <v>1</v>
      </c>
      <c r="AE873" s="5" t="n">
        <v>11.807</v>
      </c>
      <c r="AF873" s="5" t="n">
        <v>3.236</v>
      </c>
      <c r="AG873" s="5" t="n">
        <v>0</v>
      </c>
      <c r="AH873" s="5" t="n">
        <v>11.807</v>
      </c>
      <c r="AI873" s="5" t="n">
        <v>0</v>
      </c>
      <c r="AJ873" s="5" t="n">
        <v>1</v>
      </c>
      <c r="AK873" s="5" t="n">
        <v>19.748</v>
      </c>
      <c r="AL873" s="5" t="n">
        <v>11.485</v>
      </c>
      <c r="AM873" s="5" t="n">
        <v>0.43</v>
      </c>
      <c r="AN873" s="5" t="n">
        <v>22.908</v>
      </c>
      <c r="AO873" s="5" t="n">
        <v>0.16</v>
      </c>
      <c r="AP873" s="5" t="n">
        <v>1</v>
      </c>
      <c r="AQ873" s="5" t="n">
        <v>0.72</v>
      </c>
      <c r="AR873" s="5" t="n">
        <v>0.132</v>
      </c>
      <c r="AS873" s="5" t="n">
        <v>0.016</v>
      </c>
      <c r="AT873" s="5" t="n">
        <v>0.835</v>
      </c>
      <c r="AU873" s="5" t="n">
        <v>0.16</v>
      </c>
      <c r="AV873" s="5" t="n">
        <v>1</v>
      </c>
      <c r="AW873" s="5" t="n">
        <v>0.734</v>
      </c>
      <c r="AX873" s="5" t="n">
        <v>0.132</v>
      </c>
      <c r="AY873" s="5" t="n">
        <v>0.72</v>
      </c>
      <c r="AZ873" s="5" t="n">
        <v>1.686</v>
      </c>
      <c r="BA873" s="5" t="n">
        <v>0.16</v>
      </c>
      <c r="BB873" s="5" t="n">
        <v>1</v>
      </c>
      <c r="BC873" s="5" t="n">
        <v>0.51</v>
      </c>
      <c r="BD873" s="5" t="n">
        <v>0.132</v>
      </c>
      <c r="BE873" s="5" t="n">
        <v>0.011</v>
      </c>
      <c r="BF873" s="5" t="n">
        <v>0.592</v>
      </c>
      <c r="BG873" s="5" t="n">
        <v>0.16</v>
      </c>
      <c r="BH873" s="5" t="n">
        <v>1</v>
      </c>
      <c r="BI873" s="5" t="n">
        <v>0.652</v>
      </c>
      <c r="BJ873" s="5" t="n">
        <v>0.132</v>
      </c>
      <c r="BK873" s="5" t="n">
        <v>0.014</v>
      </c>
      <c r="BL873" s="5" t="n">
        <v>0.757</v>
      </c>
      <c r="BM873" s="5" t="n">
        <v>0.16</v>
      </c>
      <c r="BN873" s="5" t="n">
        <v>1</v>
      </c>
      <c r="BO873" s="5" t="n">
        <v>0</v>
      </c>
      <c r="BP873" s="5" t="n">
        <v>0</v>
      </c>
      <c r="BQ873" s="5" t="n">
        <v>0</v>
      </c>
      <c r="BR873" s="5" t="n">
        <v>0</v>
      </c>
      <c r="BS873" s="5" t="n">
        <v>1</v>
      </c>
      <c r="BT873" s="5" t="n">
        <v>0</v>
      </c>
      <c r="BU873" s="5" t="n">
        <v>0</v>
      </c>
      <c r="BV873" s="5" t="n">
        <v>0</v>
      </c>
      <c r="BW873" s="5" t="n">
        <v>0.16</v>
      </c>
      <c r="BX873" s="5" t="n">
        <v>1</v>
      </c>
      <c r="BY873" s="5" t="n">
        <v>13.646</v>
      </c>
      <c r="BZ873" s="5" t="n">
        <v>0</v>
      </c>
      <c r="CA873" s="5" t="n">
        <v>13.646</v>
      </c>
      <c r="CB873" s="5" t="n">
        <v>0</v>
      </c>
      <c r="CC873" s="5" t="n">
        <v>86.38500000000001</v>
      </c>
      <c r="CD873" s="5" t="n">
        <v>7.95</v>
      </c>
      <c r="CE873" s="5" t="n">
        <v>1.883</v>
      </c>
      <c r="CF873" s="5" t="n">
        <v>100.207</v>
      </c>
      <c r="CG873" s="5" t="n">
        <v>0.16</v>
      </c>
      <c r="CH873" s="5" t="n">
        <v>1</v>
      </c>
      <c r="CI873" s="5" t="n">
        <v>0</v>
      </c>
      <c r="CJ873" s="5" t="n">
        <v>0</v>
      </c>
      <c r="CK873" s="5" t="n">
        <v>0</v>
      </c>
      <c r="CL873" s="5" t="n">
        <v>0</v>
      </c>
      <c r="CM873" s="5" t="n">
        <v>0</v>
      </c>
      <c r="CN873" s="5" t="n">
        <v>0</v>
      </c>
      <c r="CO873" s="5" t="n">
        <v>0</v>
      </c>
      <c r="CP873" s="5" t="n">
        <v>0</v>
      </c>
      <c r="CQ873" s="5" t="n">
        <v>1.387</v>
      </c>
      <c r="CR873" s="5" t="n">
        <v>0</v>
      </c>
      <c r="CS873" s="5" t="n">
        <v>5.529</v>
      </c>
      <c r="CT873" s="5" t="n">
        <v>4.251</v>
      </c>
      <c r="CU873" s="5" t="n">
        <v>9.167999999999999</v>
      </c>
    </row>
    <row r="874">
      <c r="A874" s="5" t="inlineStr">
        <is>
          <t>YEM2021</t>
        </is>
      </c>
      <c r="B874" s="5" t="inlineStr">
        <is>
          <t>YEM</t>
        </is>
      </c>
      <c r="C874" s="5" t="inlineStr">
        <is>
          <t>YEM</t>
        </is>
      </c>
      <c r="D874" s="5" t="inlineStr">
        <is>
          <t>Yemen</t>
        </is>
      </c>
      <c r="E874" s="5" t="n">
        <v>2021</v>
      </c>
      <c r="F874" s="5" t="n">
        <v>0.05</v>
      </c>
      <c r="G874" s="5" t="n">
        <v>5.897</v>
      </c>
      <c r="H874" s="5" t="n">
        <v>1.143</v>
      </c>
      <c r="I874" s="5" t="n">
        <v>0</v>
      </c>
      <c r="J874" s="5" t="n">
        <v>5.897</v>
      </c>
      <c r="K874" s="5" t="n">
        <v>0</v>
      </c>
      <c r="L874" s="5" t="n">
        <v>1</v>
      </c>
      <c r="M874" s="5" t="n">
        <v>7.964</v>
      </c>
      <c r="N874" s="5" t="n">
        <v>3.43</v>
      </c>
      <c r="O874" s="5" t="n">
        <v>0</v>
      </c>
      <c r="P874" s="5" t="n">
        <v>7.964</v>
      </c>
      <c r="Q874" s="5" t="n">
        <v>0</v>
      </c>
      <c r="R874" s="5" t="n">
        <v>1</v>
      </c>
      <c r="S874" s="5" t="n">
        <v>11.613</v>
      </c>
      <c r="T874" s="5" t="n">
        <v>6.86</v>
      </c>
      <c r="U874" s="5" t="n">
        <v>0</v>
      </c>
      <c r="V874" s="5" t="n">
        <v>12.194</v>
      </c>
      <c r="W874" s="5" t="n">
        <v>0.05</v>
      </c>
      <c r="X874" s="5" t="n">
        <v>1</v>
      </c>
      <c r="Y874" s="5" t="n">
        <v>5.456</v>
      </c>
      <c r="Z874" s="5" t="n">
        <v>0.599</v>
      </c>
      <c r="AA874" s="5" t="n">
        <v>0</v>
      </c>
      <c r="AB874" s="5" t="n">
        <v>5.456</v>
      </c>
      <c r="AC874" s="5" t="n">
        <v>0</v>
      </c>
      <c r="AD874" s="5" t="n">
        <v>1</v>
      </c>
      <c r="AE874" s="5" t="n">
        <v>6.028</v>
      </c>
      <c r="AF874" s="5" t="n">
        <v>1.172</v>
      </c>
      <c r="AG874" s="5" t="n">
        <v>0</v>
      </c>
      <c r="AH874" s="5" t="n">
        <v>6.028</v>
      </c>
      <c r="AI874" s="5" t="n">
        <v>0</v>
      </c>
      <c r="AJ874" s="5" t="n">
        <v>1</v>
      </c>
      <c r="AK874" s="5" t="n">
        <v>9.458</v>
      </c>
      <c r="AL874" s="5" t="n">
        <v>4.461</v>
      </c>
      <c r="AM874" s="5" t="n">
        <v>0</v>
      </c>
      <c r="AN874" s="5" t="n">
        <v>9.93</v>
      </c>
      <c r="AO874" s="5" t="n">
        <v>0.05</v>
      </c>
      <c r="AP874" s="5" t="n">
        <v>1</v>
      </c>
      <c r="AQ874" s="5" t="n">
        <v>0.621</v>
      </c>
      <c r="AR874" s="5" t="n">
        <v>0.114</v>
      </c>
      <c r="AS874" s="5" t="n">
        <v>0.25</v>
      </c>
      <c r="AT874" s="5" t="n">
        <v>0.914</v>
      </c>
      <c r="AU874" s="5" t="n">
        <v>0.05</v>
      </c>
      <c r="AV874" s="5" t="n">
        <v>1</v>
      </c>
      <c r="AW874" s="5" t="n">
        <v>0.593</v>
      </c>
      <c r="AX874" s="5" t="n">
        <v>0.114</v>
      </c>
      <c r="AY874" s="5" t="n">
        <v>0.179</v>
      </c>
      <c r="AZ874" s="5" t="n">
        <v>0.8110000000000001</v>
      </c>
      <c r="BA874" s="5" t="n">
        <v>0.05</v>
      </c>
      <c r="BB874" s="5" t="n">
        <v>1</v>
      </c>
      <c r="BC874" s="5" t="n">
        <v>0.44</v>
      </c>
      <c r="BD874" s="5" t="n">
        <v>0.114</v>
      </c>
      <c r="BE874" s="5" t="n">
        <v>0</v>
      </c>
      <c r="BF874" s="5" t="n">
        <v>0.462</v>
      </c>
      <c r="BG874" s="5" t="n">
        <v>0.05</v>
      </c>
      <c r="BH874" s="5" t="n">
        <v>1</v>
      </c>
      <c r="BI874" s="5" t="n">
        <v>0.5600000000000001</v>
      </c>
      <c r="BJ874" s="5" t="n">
        <v>0.114</v>
      </c>
      <c r="BK874" s="5" t="n">
        <v>0</v>
      </c>
      <c r="BL874" s="5" t="n">
        <v>0.588</v>
      </c>
      <c r="BM874" s="5" t="n">
        <v>0.05</v>
      </c>
      <c r="BN874" s="5" t="n">
        <v>1</v>
      </c>
      <c r="BO874" s="5" t="n">
        <v>0</v>
      </c>
      <c r="BP874" s="5" t="n">
        <v>0</v>
      </c>
      <c r="BQ874" s="5" t="n">
        <v>0</v>
      </c>
      <c r="BR874" s="5" t="n">
        <v>0</v>
      </c>
      <c r="BS874" s="5" t="n">
        <v>1</v>
      </c>
      <c r="BT874" s="5" t="n">
        <v>0</v>
      </c>
      <c r="BU874" s="5" t="n">
        <v>0</v>
      </c>
      <c r="BV874" s="5" t="n">
        <v>0</v>
      </c>
      <c r="BW874" s="5" t="n">
        <v>0.05</v>
      </c>
      <c r="BX874" s="5" t="n">
        <v>1</v>
      </c>
      <c r="BY874" s="5" t="n">
        <v>11.787</v>
      </c>
      <c r="BZ874" s="5" t="n">
        <v>0</v>
      </c>
      <c r="CA874" s="5" t="n">
        <v>11.787</v>
      </c>
      <c r="CB874" s="5" t="n">
        <v>0</v>
      </c>
      <c r="CC874" s="5" t="n">
        <v>81.69499999999999</v>
      </c>
      <c r="CD874" s="5" t="n">
        <v>7.95</v>
      </c>
      <c r="CE874" s="5" t="n">
        <v>0</v>
      </c>
      <c r="CF874" s="5" t="n">
        <v>85.78</v>
      </c>
      <c r="CG874" s="5" t="n">
        <v>0.05</v>
      </c>
      <c r="CH874" s="5" t="n">
        <v>1</v>
      </c>
      <c r="CI874" s="5" t="n">
        <v>0</v>
      </c>
      <c r="CJ874" s="5" t="n">
        <v>0</v>
      </c>
      <c r="CK874" s="5" t="n">
        <v>0</v>
      </c>
      <c r="CL874" s="5" t="n">
        <v>0</v>
      </c>
      <c r="CM874" s="5" t="n">
        <v>0</v>
      </c>
      <c r="CN874" s="5" t="n">
        <v>0</v>
      </c>
      <c r="CO874" s="5" t="n">
        <v>0</v>
      </c>
      <c r="CP874" s="5" t="n">
        <v>0</v>
      </c>
      <c r="CQ874" s="5" t="n">
        <v>1.198</v>
      </c>
      <c r="CR874" s="5" t="n">
        <v>1</v>
      </c>
      <c r="CS874" s="5" t="n">
        <v>4.884</v>
      </c>
      <c r="CT874" s="5" t="n">
        <v>4.753</v>
      </c>
      <c r="CU874" s="5" t="n">
        <v>14.129</v>
      </c>
    </row>
    <row r="875">
      <c r="A875" s="5" t="inlineStr">
        <is>
          <t>YEM2022</t>
        </is>
      </c>
      <c r="B875" s="5" t="inlineStr">
        <is>
          <t>YEM</t>
        </is>
      </c>
      <c r="C875" s="5" t="inlineStr">
        <is>
          <t>YEM</t>
        </is>
      </c>
      <c r="D875" s="5" t="inlineStr">
        <is>
          <t>Yemen</t>
        </is>
      </c>
      <c r="E875" s="5" t="n">
        <v>2022</v>
      </c>
      <c r="F875" s="5" t="n">
        <v>0.05</v>
      </c>
      <c r="G875" s="5" t="n">
        <v>11.72</v>
      </c>
      <c r="H875" s="5" t="n">
        <v>1.235</v>
      </c>
      <c r="I875" s="5" t="n">
        <v>0</v>
      </c>
      <c r="J875" s="5" t="n">
        <v>11.72</v>
      </c>
      <c r="K875" s="5" t="n">
        <v>0</v>
      </c>
      <c r="L875" s="5" t="n">
        <v>1</v>
      </c>
      <c r="M875" s="5" t="n">
        <v>9.782999999999999</v>
      </c>
      <c r="N875" s="5" t="n">
        <v>3.704</v>
      </c>
      <c r="O875" s="5" t="n">
        <v>0</v>
      </c>
      <c r="P875" s="5" t="n">
        <v>9.782999999999999</v>
      </c>
      <c r="Q875" s="5" t="n">
        <v>0</v>
      </c>
      <c r="R875" s="5" t="n">
        <v>1</v>
      </c>
      <c r="S875" s="5" t="n">
        <v>17.893</v>
      </c>
      <c r="T875" s="5" t="n">
        <v>7.408</v>
      </c>
      <c r="U875" s="5" t="n">
        <v>0.066</v>
      </c>
      <c r="V875" s="5" t="n">
        <v>18.788</v>
      </c>
      <c r="W875" s="5" t="n">
        <v>0.05</v>
      </c>
      <c r="X875" s="5" t="n">
        <v>1</v>
      </c>
      <c r="Y875" s="5" t="n">
        <v>5.892</v>
      </c>
      <c r="Z875" s="5" t="n">
        <v>0.647</v>
      </c>
      <c r="AA875" s="5" t="n">
        <v>0</v>
      </c>
      <c r="AB875" s="5" t="n">
        <v>5.892</v>
      </c>
      <c r="AC875" s="5" t="n">
        <v>0</v>
      </c>
      <c r="AD875" s="5" t="n">
        <v>1</v>
      </c>
      <c r="AE875" s="5" t="n">
        <v>6.509</v>
      </c>
      <c r="AF875" s="5" t="n">
        <v>1.266</v>
      </c>
      <c r="AG875" s="5" t="n">
        <v>0</v>
      </c>
      <c r="AH875" s="5" t="n">
        <v>6.509</v>
      </c>
      <c r="AI875" s="5" t="n">
        <v>0</v>
      </c>
      <c r="AJ875" s="5" t="n">
        <v>1</v>
      </c>
      <c r="AK875" s="5" t="n">
        <v>10.213</v>
      </c>
      <c r="AL875" s="5" t="n">
        <v>4.818</v>
      </c>
      <c r="AM875" s="5" t="n">
        <v>0.038</v>
      </c>
      <c r="AN875" s="5" t="n">
        <v>10.724</v>
      </c>
      <c r="AO875" s="5" t="n">
        <v>0.05</v>
      </c>
      <c r="AP875" s="5" t="n">
        <v>1</v>
      </c>
      <c r="AQ875" s="5" t="n">
        <v>0.847</v>
      </c>
      <c r="AR875" s="5" t="n">
        <v>0.123</v>
      </c>
      <c r="AS875" s="5" t="n">
        <v>0.266</v>
      </c>
      <c r="AT875" s="5" t="n">
        <v>1.164</v>
      </c>
      <c r="AU875" s="5" t="n">
        <v>0.05</v>
      </c>
      <c r="AV875" s="5" t="n">
        <v>1</v>
      </c>
      <c r="AW875" s="5" t="n">
        <v>0.947</v>
      </c>
      <c r="AX875" s="5" t="n">
        <v>0.123</v>
      </c>
      <c r="AY875" s="5" t="n">
        <v>0.183</v>
      </c>
      <c r="AZ875" s="5" t="n">
        <v>1.182</v>
      </c>
      <c r="BA875" s="5" t="n">
        <v>0.05</v>
      </c>
      <c r="BB875" s="5" t="n">
        <v>1</v>
      </c>
      <c r="BC875" s="5" t="n">
        <v>0.589</v>
      </c>
      <c r="BD875" s="5" t="n">
        <v>0.123</v>
      </c>
      <c r="BE875" s="5" t="n">
        <v>0.002</v>
      </c>
      <c r="BF875" s="5" t="n">
        <v>0.618</v>
      </c>
      <c r="BG875" s="5" t="n">
        <v>0.05</v>
      </c>
      <c r="BH875" s="5" t="n">
        <v>1</v>
      </c>
      <c r="BI875" s="5" t="n">
        <v>0.6889999999999999</v>
      </c>
      <c r="BJ875" s="5" t="n">
        <v>0.123</v>
      </c>
      <c r="BK875" s="5" t="n">
        <v>0.003</v>
      </c>
      <c r="BL875" s="5" t="n">
        <v>0.723</v>
      </c>
      <c r="BM875" s="5" t="n">
        <v>0.05</v>
      </c>
      <c r="BN875" s="5" t="n">
        <v>1</v>
      </c>
      <c r="BO875" s="5" t="n">
        <v>0</v>
      </c>
      <c r="BP875" s="5" t="n">
        <v>0</v>
      </c>
      <c r="BQ875" s="5" t="n">
        <v>0</v>
      </c>
      <c r="BR875" s="5" t="n">
        <v>0</v>
      </c>
      <c r="BS875" s="5" t="n">
        <v>1</v>
      </c>
      <c r="BT875" s="5" t="n">
        <v>0</v>
      </c>
      <c r="BU875" s="5" t="n">
        <v>0</v>
      </c>
      <c r="BV875" s="5" t="n">
        <v>0</v>
      </c>
      <c r="BW875" s="5" t="n">
        <v>0.05</v>
      </c>
      <c r="BX875" s="5" t="n">
        <v>1</v>
      </c>
      <c r="BY875" s="5" t="n">
        <v>12.729</v>
      </c>
      <c r="BZ875" s="5" t="n">
        <v>0</v>
      </c>
      <c r="CA875" s="5" t="n">
        <v>12.729</v>
      </c>
      <c r="CB875" s="5" t="n">
        <v>0</v>
      </c>
      <c r="CC875" s="5" t="n">
        <v>102.477</v>
      </c>
      <c r="CD875" s="5" t="n">
        <v>7.95</v>
      </c>
      <c r="CE875" s="5" t="n">
        <v>0.379</v>
      </c>
      <c r="CF875" s="5" t="n">
        <v>107.6</v>
      </c>
      <c r="CG875" s="5" t="n">
        <v>0.05</v>
      </c>
      <c r="CH875" s="5" t="n">
        <v>1</v>
      </c>
      <c r="CI875" s="5" t="n">
        <v>0</v>
      </c>
      <c r="CJ875" s="5" t="n">
        <v>0</v>
      </c>
      <c r="CK875" s="5" t="n">
        <v>0</v>
      </c>
      <c r="CL875" s="5" t="n">
        <v>0</v>
      </c>
      <c r="CM875" s="5" t="n">
        <v>0</v>
      </c>
      <c r="CN875" s="5" t="n">
        <v>0</v>
      </c>
      <c r="CO875" s="5" t="n">
        <v>0</v>
      </c>
      <c r="CP875" s="5" t="n">
        <v>0</v>
      </c>
      <c r="CQ875" s="5" t="n">
        <v>1.294</v>
      </c>
      <c r="CR875" s="5" t="n">
        <v>1</v>
      </c>
      <c r="CS875" s="5" t="n">
        <v>5.275</v>
      </c>
      <c r="CT875" s="5" t="n">
        <v>10.485</v>
      </c>
      <c r="CU875" s="5" t="n">
        <v>28.059</v>
      </c>
    </row>
    <row r="876">
      <c r="A876" s="5" t="inlineStr">
        <is>
          <t>YEM2023</t>
        </is>
      </c>
      <c r="B876" s="5" t="inlineStr">
        <is>
          <t>YEM</t>
        </is>
      </c>
      <c r="C876" s="5" t="inlineStr">
        <is>
          <t>YEM</t>
        </is>
      </c>
      <c r="D876" s="5" t="inlineStr">
        <is>
          <t>Yemen</t>
        </is>
      </c>
      <c r="E876" s="5" t="n">
        <v>2023</v>
      </c>
      <c r="F876" s="5" t="n">
        <v>0.05</v>
      </c>
      <c r="G876" s="5" t="n">
        <v>6.147</v>
      </c>
      <c r="H876" s="5" t="n">
        <v>1.286</v>
      </c>
      <c r="I876" s="5" t="n">
        <v>0</v>
      </c>
      <c r="J876" s="5" t="n">
        <v>6.147</v>
      </c>
      <c r="K876" s="5" t="n">
        <v>0</v>
      </c>
      <c r="L876" s="5" t="n">
        <v>1</v>
      </c>
      <c r="M876" s="5" t="n">
        <v>7.886</v>
      </c>
      <c r="N876" s="5" t="n">
        <v>3.857</v>
      </c>
      <c r="O876" s="5" t="n">
        <v>0</v>
      </c>
      <c r="P876" s="5" t="n">
        <v>7.886</v>
      </c>
      <c r="Q876" s="5" t="n">
        <v>0</v>
      </c>
      <c r="R876" s="5" t="n">
        <v>1</v>
      </c>
      <c r="S876" s="5" t="n">
        <v>12.575</v>
      </c>
      <c r="T876" s="5" t="n">
        <v>7.714</v>
      </c>
      <c r="U876" s="5" t="n">
        <v>0.07000000000000001</v>
      </c>
      <c r="V876" s="5" t="n">
        <v>13.204</v>
      </c>
      <c r="W876" s="5" t="n">
        <v>0.05</v>
      </c>
      <c r="X876" s="5" t="n">
        <v>1</v>
      </c>
      <c r="Y876" s="5" t="n">
        <v>6.135</v>
      </c>
      <c r="Z876" s="5" t="n">
        <v>0.673</v>
      </c>
      <c r="AA876" s="5" t="n">
        <v>0</v>
      </c>
      <c r="AB876" s="5" t="n">
        <v>6.135</v>
      </c>
      <c r="AC876" s="5" t="n">
        <v>0</v>
      </c>
      <c r="AD876" s="5" t="n">
        <v>1</v>
      </c>
      <c r="AE876" s="5" t="n">
        <v>6.778</v>
      </c>
      <c r="AF876" s="5" t="n">
        <v>1.318</v>
      </c>
      <c r="AG876" s="5" t="n">
        <v>0</v>
      </c>
      <c r="AH876" s="5" t="n">
        <v>6.778</v>
      </c>
      <c r="AI876" s="5" t="n">
        <v>0</v>
      </c>
      <c r="AJ876" s="5" t="n">
        <v>1</v>
      </c>
      <c r="AK876" s="5" t="n">
        <v>10.635</v>
      </c>
      <c r="AL876" s="5" t="n">
        <v>5.017</v>
      </c>
      <c r="AM876" s="5" t="n">
        <v>0.059</v>
      </c>
      <c r="AN876" s="5" t="n">
        <v>11.167</v>
      </c>
      <c r="AO876" s="5" t="n">
        <v>0.05</v>
      </c>
      <c r="AP876" s="5" t="n">
        <v>1</v>
      </c>
      <c r="AQ876" s="5" t="n">
        <v>0.749</v>
      </c>
      <c r="AR876" s="5" t="n">
        <v>0.129</v>
      </c>
      <c r="AS876" s="5" t="n">
        <v>0.285</v>
      </c>
      <c r="AT876" s="5" t="n">
        <v>1.079</v>
      </c>
      <c r="AU876" s="5" t="n">
        <v>0.05</v>
      </c>
      <c r="AV876" s="5" t="n">
        <v>1</v>
      </c>
      <c r="AW876" s="5" t="n">
        <v>0.783</v>
      </c>
      <c r="AX876" s="5" t="n">
        <v>0.129</v>
      </c>
      <c r="AY876" s="5" t="n">
        <v>0.202</v>
      </c>
      <c r="AZ876" s="5" t="n">
        <v>1.028</v>
      </c>
      <c r="BA876" s="5" t="n">
        <v>0.05</v>
      </c>
      <c r="BB876" s="5" t="n">
        <v>1</v>
      </c>
      <c r="BC876" s="5" t="n">
        <v>0.527</v>
      </c>
      <c r="BD876" s="5" t="n">
        <v>0.129</v>
      </c>
      <c r="BE876" s="5" t="n">
        <v>0.003</v>
      </c>
      <c r="BF876" s="5" t="n">
        <v>0.554</v>
      </c>
      <c r="BG876" s="5" t="n">
        <v>0.05</v>
      </c>
      <c r="BH876" s="5" t="n">
        <v>1</v>
      </c>
      <c r="BI876" s="5" t="n">
        <v>0.64</v>
      </c>
      <c r="BJ876" s="5" t="n">
        <v>0.129</v>
      </c>
      <c r="BK876" s="5" t="n">
        <v>0.004</v>
      </c>
      <c r="BL876" s="5" t="n">
        <v>0.672</v>
      </c>
      <c r="BM876" s="5" t="n">
        <v>0.05</v>
      </c>
      <c r="BN876" s="5" t="n">
        <v>1</v>
      </c>
      <c r="BO876" s="5" t="n">
        <v>0</v>
      </c>
      <c r="BP876" s="5" t="n">
        <v>0</v>
      </c>
      <c r="BQ876" s="5" t="n">
        <v>0</v>
      </c>
      <c r="BR876" s="5" t="n">
        <v>0</v>
      </c>
      <c r="BS876" s="5" t="n">
        <v>1</v>
      </c>
      <c r="BT876" s="5" t="n">
        <v>0</v>
      </c>
      <c r="BU876" s="5" t="n">
        <v>0</v>
      </c>
      <c r="BV876" s="5" t="n">
        <v>0</v>
      </c>
      <c r="BW876" s="5" t="n">
        <v>0.05</v>
      </c>
      <c r="BX876" s="5" t="n">
        <v>1</v>
      </c>
      <c r="BY876" s="5" t="n">
        <v>13.254</v>
      </c>
      <c r="BZ876" s="5" t="n">
        <v>0</v>
      </c>
      <c r="CA876" s="5" t="n">
        <v>13.254</v>
      </c>
      <c r="CB876" s="5" t="n">
        <v>0</v>
      </c>
      <c r="CC876" s="5" t="n">
        <v>87.07899999999999</v>
      </c>
      <c r="CD876" s="5" t="n">
        <v>7.95</v>
      </c>
      <c r="CE876" s="5" t="n">
        <v>0.482</v>
      </c>
      <c r="CF876" s="5" t="n">
        <v>91.43300000000001</v>
      </c>
      <c r="CG876" s="5" t="n">
        <v>0.05</v>
      </c>
      <c r="CH876" s="5" t="n">
        <v>1</v>
      </c>
      <c r="CI876" s="5" t="n">
        <v>0</v>
      </c>
      <c r="CJ876" s="5" t="n">
        <v>0</v>
      </c>
      <c r="CK876" s="5" t="n">
        <v>0</v>
      </c>
      <c r="CL876" s="5" t="n">
        <v>0</v>
      </c>
      <c r="CM876" s="5" t="n">
        <v>0</v>
      </c>
      <c r="CN876" s="5" t="n">
        <v>0</v>
      </c>
      <c r="CO876" s="5" t="n">
        <v>0</v>
      </c>
      <c r="CP876" s="5" t="n">
        <v>0</v>
      </c>
      <c r="CQ876" s="5" t="n">
        <v>1.348</v>
      </c>
      <c r="CR876" s="5" t="n">
        <v>1</v>
      </c>
      <c r="CS876" s="5" t="n">
        <v>5.492</v>
      </c>
      <c r="CT876" s="5" t="n">
        <v>4.861</v>
      </c>
      <c r="CU876" s="5" t="n">
        <v>9.260999999999999</v>
      </c>
    </row>
    <row r="877">
      <c r="A877" s="5" t="inlineStr">
        <is>
          <t>YEM2024</t>
        </is>
      </c>
      <c r="B877" s="5" t="inlineStr">
        <is>
          <t>YEM</t>
        </is>
      </c>
      <c r="C877" s="5" t="inlineStr">
        <is>
          <t>YEM</t>
        </is>
      </c>
      <c r="D877" s="5" t="inlineStr">
        <is>
          <t>Yemen</t>
        </is>
      </c>
      <c r="E877" s="5" t="n">
        <v>2024</v>
      </c>
      <c r="F877" s="5" t="n">
        <v>0.05</v>
      </c>
      <c r="G877" s="5" t="n">
        <v>5.575</v>
      </c>
      <c r="H877" s="5" t="n">
        <v>1.324</v>
      </c>
      <c r="I877" s="5" t="n">
        <v>0</v>
      </c>
      <c r="J877" s="5" t="n">
        <v>5.575</v>
      </c>
      <c r="K877" s="5" t="n">
        <v>0</v>
      </c>
      <c r="L877" s="5" t="n">
        <v>1</v>
      </c>
      <c r="M877" s="5" t="n">
        <v>7.124</v>
      </c>
      <c r="N877" s="5" t="n">
        <v>3.971</v>
      </c>
      <c r="O877" s="5" t="n">
        <v>0</v>
      </c>
      <c r="P877" s="5" t="n">
        <v>7.124</v>
      </c>
      <c r="Q877" s="5" t="n">
        <v>0</v>
      </c>
      <c r="R877" s="5" t="n">
        <v>1</v>
      </c>
      <c r="S877" s="5" t="n">
        <v>12.193</v>
      </c>
      <c r="T877" s="5" t="n">
        <v>7.942</v>
      </c>
      <c r="U877" s="5" t="n">
        <v>0.083</v>
      </c>
      <c r="V877" s="5" t="n">
        <v>12.802</v>
      </c>
      <c r="W877" s="5" t="n">
        <v>0.05</v>
      </c>
      <c r="X877" s="5" t="n">
        <v>1</v>
      </c>
      <c r="Y877" s="5" t="n">
        <v>6.316</v>
      </c>
      <c r="Z877" s="5" t="n">
        <v>0.6929999999999999</v>
      </c>
      <c r="AA877" s="5" t="n">
        <v>0</v>
      </c>
      <c r="AB877" s="5" t="n">
        <v>6.316</v>
      </c>
      <c r="AC877" s="5" t="n">
        <v>0</v>
      </c>
      <c r="AD877" s="5" t="n">
        <v>1</v>
      </c>
      <c r="AE877" s="5" t="n">
        <v>6.978</v>
      </c>
      <c r="AF877" s="5" t="n">
        <v>1.357</v>
      </c>
      <c r="AG877" s="5" t="n">
        <v>0</v>
      </c>
      <c r="AH877" s="5" t="n">
        <v>6.978</v>
      </c>
      <c r="AI877" s="5" t="n">
        <v>0</v>
      </c>
      <c r="AJ877" s="5" t="n">
        <v>1</v>
      </c>
      <c r="AK877" s="5" t="n">
        <v>10.949</v>
      </c>
      <c r="AL877" s="5" t="n">
        <v>5.165</v>
      </c>
      <c r="AM877" s="5" t="n">
        <v>0.075</v>
      </c>
      <c r="AN877" s="5" t="n">
        <v>11.496</v>
      </c>
      <c r="AO877" s="5" t="n">
        <v>0.05</v>
      </c>
      <c r="AP877" s="5" t="n">
        <v>1</v>
      </c>
      <c r="AQ877" s="5" t="n">
        <v>0.72</v>
      </c>
      <c r="AR877" s="5" t="n">
        <v>0.132</v>
      </c>
      <c r="AS877" s="5" t="n">
        <v>0.297</v>
      </c>
      <c r="AT877" s="5" t="n">
        <v>1.06</v>
      </c>
      <c r="AU877" s="5" t="n">
        <v>0.05</v>
      </c>
      <c r="AV877" s="5" t="n">
        <v>1</v>
      </c>
      <c r="AW877" s="5" t="n">
        <v>0.734</v>
      </c>
      <c r="AX877" s="5" t="n">
        <v>0.132</v>
      </c>
      <c r="AY877" s="5" t="n">
        <v>0.212</v>
      </c>
      <c r="AZ877" s="5" t="n">
        <v>0.986</v>
      </c>
      <c r="BA877" s="5" t="n">
        <v>0.05</v>
      </c>
      <c r="BB877" s="5" t="n">
        <v>1</v>
      </c>
      <c r="BC877" s="5" t="n">
        <v>0.51</v>
      </c>
      <c r="BD877" s="5" t="n">
        <v>0.132</v>
      </c>
      <c r="BE877" s="5" t="n">
        <v>0.003</v>
      </c>
      <c r="BF877" s="5" t="n">
        <v>0.536</v>
      </c>
      <c r="BG877" s="5" t="n">
        <v>0.05</v>
      </c>
      <c r="BH877" s="5" t="n">
        <v>1</v>
      </c>
      <c r="BI877" s="5" t="n">
        <v>0.652</v>
      </c>
      <c r="BJ877" s="5" t="n">
        <v>0.132</v>
      </c>
      <c r="BK877" s="5" t="n">
        <v>0.004</v>
      </c>
      <c r="BL877" s="5" t="n">
        <v>0.6850000000000001</v>
      </c>
      <c r="BM877" s="5" t="n">
        <v>0.05</v>
      </c>
      <c r="BN877" s="5" t="n">
        <v>1</v>
      </c>
      <c r="BO877" s="5" t="n">
        <v>0</v>
      </c>
      <c r="BP877" s="5" t="n">
        <v>0</v>
      </c>
      <c r="BQ877" s="5" t="n">
        <v>0</v>
      </c>
      <c r="BR877" s="5" t="n">
        <v>0</v>
      </c>
      <c r="BS877" s="5" t="n">
        <v>1</v>
      </c>
      <c r="BT877" s="5" t="n">
        <v>0</v>
      </c>
      <c r="BU877" s="5" t="n">
        <v>0</v>
      </c>
      <c r="BV877" s="5" t="n">
        <v>0</v>
      </c>
      <c r="BW877" s="5" t="n">
        <v>0.05</v>
      </c>
      <c r="BX877" s="5" t="n">
        <v>1</v>
      </c>
      <c r="BY877" s="5" t="n">
        <v>13.646</v>
      </c>
      <c r="BZ877" s="5" t="n">
        <v>0</v>
      </c>
      <c r="CA877" s="5" t="n">
        <v>13.646</v>
      </c>
      <c r="CB877" s="5" t="n">
        <v>0</v>
      </c>
      <c r="CC877" s="5" t="n">
        <v>86.38500000000001</v>
      </c>
      <c r="CD877" s="5" t="n">
        <v>7.95</v>
      </c>
      <c r="CE877" s="5" t="n">
        <v>0.588</v>
      </c>
      <c r="CF877" s="5" t="n">
        <v>90.705</v>
      </c>
      <c r="CG877" s="5" t="n">
        <v>0.05</v>
      </c>
      <c r="CH877" s="5" t="n">
        <v>1</v>
      </c>
      <c r="CI877" s="5" t="n">
        <v>0</v>
      </c>
      <c r="CJ877" s="5" t="n">
        <v>0</v>
      </c>
      <c r="CK877" s="5" t="n">
        <v>0</v>
      </c>
      <c r="CL877" s="5" t="n">
        <v>0</v>
      </c>
      <c r="CM877" s="5" t="n">
        <v>0</v>
      </c>
      <c r="CN877" s="5" t="n">
        <v>0</v>
      </c>
      <c r="CO877" s="5" t="n">
        <v>0</v>
      </c>
      <c r="CP877" s="5" t="n">
        <v>0</v>
      </c>
      <c r="CQ877" s="5" t="n">
        <v>1.387</v>
      </c>
      <c r="CR877" s="5" t="n">
        <v>1</v>
      </c>
      <c r="CS877" s="5" t="n">
        <v>5.654</v>
      </c>
      <c r="CT877" s="5" t="n">
        <v>4.251</v>
      </c>
      <c r="CU877" s="5" t="n">
        <v>7.598</v>
      </c>
    </row>
    <row r="878">
      <c r="A878" s="5" t="inlineStr">
        <is>
          <t>ZMB2021</t>
        </is>
      </c>
      <c r="B878" s="5" t="inlineStr">
        <is>
          <t>ZMB</t>
        </is>
      </c>
      <c r="C878" s="5" t="inlineStr">
        <is>
          <t>ZMB</t>
        </is>
      </c>
      <c r="D878" s="5" t="inlineStr">
        <is>
          <t>Zambia</t>
        </is>
      </c>
      <c r="E878" s="5" t="n">
        <v>2021</v>
      </c>
      <c r="F878" s="5" t="n">
        <v>0.16</v>
      </c>
      <c r="G878" s="5" t="n">
        <v>2.093</v>
      </c>
      <c r="H878" s="5" t="n">
        <v>0.616</v>
      </c>
      <c r="I878" s="5" t="n">
        <v>0.169</v>
      </c>
      <c r="J878" s="5" t="n">
        <v>2.261</v>
      </c>
      <c r="K878" s="5" t="n">
        <v>0</v>
      </c>
      <c r="L878" s="5" t="n">
        <v>1</v>
      </c>
      <c r="M878" s="5" t="n">
        <v>3.308</v>
      </c>
      <c r="N878" s="5" t="n">
        <v>1.849</v>
      </c>
      <c r="O878" s="5" t="n">
        <v>0.166</v>
      </c>
      <c r="P878" s="5" t="n">
        <v>3.474</v>
      </c>
      <c r="Q878" s="5" t="n">
        <v>0</v>
      </c>
      <c r="R878" s="5" t="n">
        <v>1</v>
      </c>
      <c r="S878" s="5" t="n">
        <v>5.174</v>
      </c>
      <c r="T878" s="5" t="n">
        <v>3.698</v>
      </c>
      <c r="U878" s="5" t="n">
        <v>0</v>
      </c>
      <c r="V878" s="5" t="n">
        <v>6.002</v>
      </c>
      <c r="W878" s="5" t="n">
        <v>0.16</v>
      </c>
      <c r="X878" s="5" t="n">
        <v>1</v>
      </c>
      <c r="Y878" s="5" t="n">
        <v>16.166</v>
      </c>
      <c r="Z878" s="5" t="n">
        <v>2.185</v>
      </c>
      <c r="AA878" s="5" t="n">
        <v>0</v>
      </c>
      <c r="AB878" s="5" t="n">
        <v>16.166</v>
      </c>
      <c r="AC878" s="5" t="n">
        <v>0</v>
      </c>
      <c r="AD878" s="5" t="n">
        <v>1</v>
      </c>
      <c r="AE878" s="5" t="n">
        <v>17.31</v>
      </c>
      <c r="AF878" s="5" t="n">
        <v>4.047</v>
      </c>
      <c r="AG878" s="5" t="n">
        <v>0</v>
      </c>
      <c r="AH878" s="5" t="n">
        <v>17.31</v>
      </c>
      <c r="AI878" s="5" t="n">
        <v>0</v>
      </c>
      <c r="AJ878" s="5" t="n">
        <v>1</v>
      </c>
      <c r="AK878" s="5" t="n">
        <v>24.169</v>
      </c>
      <c r="AL878" s="5" t="n">
        <v>12.872</v>
      </c>
      <c r="AM878" s="5" t="n">
        <v>0</v>
      </c>
      <c r="AN878" s="5" t="n">
        <v>28.036</v>
      </c>
      <c r="AO878" s="5" t="n">
        <v>0.16</v>
      </c>
      <c r="AP878" s="5" t="n">
        <v>1</v>
      </c>
      <c r="AQ878" s="5" t="n">
        <v>0.619</v>
      </c>
      <c r="AR878" s="5" t="n">
        <v>0.114</v>
      </c>
      <c r="AS878" s="5" t="n">
        <v>0.276</v>
      </c>
      <c r="AT878" s="5" t="n">
        <v>0.895</v>
      </c>
      <c r="AU878" s="5" t="n">
        <v>0</v>
      </c>
      <c r="AV878" s="5" t="n">
        <v>1</v>
      </c>
      <c r="AW878" s="5" t="n">
        <v>0.599</v>
      </c>
      <c r="AX878" s="5" t="n">
        <v>0.114</v>
      </c>
      <c r="AY878" s="5" t="n">
        <v>0.198</v>
      </c>
      <c r="AZ878" s="5" t="n">
        <v>0.798</v>
      </c>
      <c r="BA878" s="5" t="n">
        <v>0</v>
      </c>
      <c r="BB878" s="5" t="n">
        <v>1</v>
      </c>
      <c r="BC878" s="5" t="n">
        <v>0.439</v>
      </c>
      <c r="BD878" s="5" t="n">
        <v>0.114</v>
      </c>
      <c r="BE878" s="5" t="n">
        <v>0.075</v>
      </c>
      <c r="BF878" s="5" t="n">
        <v>0.596</v>
      </c>
      <c r="BG878" s="5" t="n">
        <v>0.16</v>
      </c>
      <c r="BH878" s="5" t="n">
        <v>1</v>
      </c>
      <c r="BI878" s="5" t="n">
        <v>0.505</v>
      </c>
      <c r="BJ878" s="5" t="n">
        <v>0.114</v>
      </c>
      <c r="BK878" s="5" t="n">
        <v>0.264</v>
      </c>
      <c r="BL878" s="5" t="n">
        <v>0.769</v>
      </c>
      <c r="BM878" s="5" t="n">
        <v>0</v>
      </c>
      <c r="BN878" s="5" t="n">
        <v>1</v>
      </c>
      <c r="BO878" s="5" t="n">
        <v>0</v>
      </c>
      <c r="BP878" s="5" t="n">
        <v>0</v>
      </c>
      <c r="BQ878" s="5" t="n">
        <v>0.093</v>
      </c>
      <c r="BR878" s="5" t="n">
        <v>0</v>
      </c>
      <c r="BS878" s="5" t="n">
        <v>0.833</v>
      </c>
      <c r="BT878" s="5" t="n">
        <v>0</v>
      </c>
      <c r="BU878" s="5" t="n">
        <v>0</v>
      </c>
      <c r="BV878" s="5" t="n">
        <v>0.055</v>
      </c>
      <c r="BW878" s="5" t="n">
        <v>0.16</v>
      </c>
      <c r="BX878" s="5" t="n">
        <v>1</v>
      </c>
      <c r="BY878" s="5" t="n">
        <v>11.787</v>
      </c>
      <c r="BZ878" s="5" t="n">
        <v>0</v>
      </c>
      <c r="CA878" s="5" t="n">
        <v>11.787</v>
      </c>
      <c r="CB878" s="5" t="n">
        <v>0</v>
      </c>
      <c r="CC878" s="5" t="n">
        <v>78.125</v>
      </c>
      <c r="CD878" s="5" t="n">
        <v>7.95</v>
      </c>
      <c r="CE878" s="5" t="n">
        <v>27.252</v>
      </c>
      <c r="CF878" s="5" t="n">
        <v>122.238</v>
      </c>
      <c r="CG878" s="5" t="n">
        <v>0.16</v>
      </c>
      <c r="CH878" s="5" t="n">
        <v>1</v>
      </c>
      <c r="CI878" s="5" t="n">
        <v>0</v>
      </c>
      <c r="CJ878" s="5" t="n">
        <v>0</v>
      </c>
      <c r="CK878" s="5" t="n">
        <v>0</v>
      </c>
      <c r="CL878" s="5" t="n">
        <v>0</v>
      </c>
      <c r="CM878" s="5" t="n">
        <v>0</v>
      </c>
      <c r="CN878" s="5" t="n">
        <v>0</v>
      </c>
      <c r="CO878" s="5" t="n">
        <v>0</v>
      </c>
      <c r="CP878" s="5" t="n">
        <v>0.922</v>
      </c>
      <c r="CQ878" s="5" t="n">
        <v>1.198</v>
      </c>
      <c r="CR878" s="5" t="n">
        <v>0</v>
      </c>
      <c r="CS878" s="5" t="n">
        <v>4.776</v>
      </c>
      <c r="CT878" s="5" t="n">
        <v>4.753</v>
      </c>
      <c r="CU878" s="5" t="n">
        <v>15.162</v>
      </c>
    </row>
    <row r="879">
      <c r="A879" s="5" t="inlineStr">
        <is>
          <t>ZMB2022</t>
        </is>
      </c>
      <c r="B879" s="5" t="inlineStr">
        <is>
          <t>ZMB</t>
        </is>
      </c>
      <c r="C879" s="5" t="inlineStr">
        <is>
          <t>ZMB</t>
        </is>
      </c>
      <c r="D879" s="5" t="inlineStr">
        <is>
          <t>Zambia</t>
        </is>
      </c>
      <c r="E879" s="5" t="n">
        <v>2022</v>
      </c>
      <c r="F879" s="5" t="n">
        <v>0.16</v>
      </c>
      <c r="G879" s="5" t="n">
        <v>2.711</v>
      </c>
      <c r="H879" s="5" t="n">
        <v>0.668</v>
      </c>
      <c r="I879" s="5" t="n">
        <v>0.25</v>
      </c>
      <c r="J879" s="5" t="n">
        <v>2.961</v>
      </c>
      <c r="K879" s="5" t="n">
        <v>0</v>
      </c>
      <c r="L879" s="5" t="n">
        <v>1</v>
      </c>
      <c r="M879" s="5" t="n">
        <v>3.687</v>
      </c>
      <c r="N879" s="5" t="n">
        <v>2.003</v>
      </c>
      <c r="O879" s="5" t="n">
        <v>0.196</v>
      </c>
      <c r="P879" s="5" t="n">
        <v>3.883</v>
      </c>
      <c r="Q879" s="5" t="n">
        <v>0</v>
      </c>
      <c r="R879" s="5" t="n">
        <v>1</v>
      </c>
      <c r="S879" s="5" t="n">
        <v>6.049</v>
      </c>
      <c r="T879" s="5" t="n">
        <v>4.006</v>
      </c>
      <c r="U879" s="5" t="n">
        <v>0.07199999999999999</v>
      </c>
      <c r="V879" s="5" t="n">
        <v>7.017</v>
      </c>
      <c r="W879" s="5" t="n">
        <v>0.16</v>
      </c>
      <c r="X879" s="5" t="n">
        <v>1</v>
      </c>
      <c r="Y879" s="5" t="n">
        <v>32.248</v>
      </c>
      <c r="Z879" s="5" t="n">
        <v>4.359</v>
      </c>
      <c r="AA879" s="5" t="n">
        <v>0</v>
      </c>
      <c r="AB879" s="5" t="n">
        <v>32.248</v>
      </c>
      <c r="AC879" s="5" t="n">
        <v>0</v>
      </c>
      <c r="AD879" s="5" t="n">
        <v>1</v>
      </c>
      <c r="AE879" s="5" t="n">
        <v>33.483</v>
      </c>
      <c r="AF879" s="5" t="n">
        <v>7.829</v>
      </c>
      <c r="AG879" s="5" t="n">
        <v>0</v>
      </c>
      <c r="AH879" s="5" t="n">
        <v>33.483</v>
      </c>
      <c r="AI879" s="5" t="n">
        <v>0</v>
      </c>
      <c r="AJ879" s="5" t="n">
        <v>1</v>
      </c>
      <c r="AK879" s="5" t="n">
        <v>40.891</v>
      </c>
      <c r="AL879" s="5" t="n">
        <v>21.778</v>
      </c>
      <c r="AM879" s="5" t="n">
        <v>0.484</v>
      </c>
      <c r="AN879" s="5" t="n">
        <v>47.434</v>
      </c>
      <c r="AO879" s="5" t="n">
        <v>0.16</v>
      </c>
      <c r="AP879" s="5" t="n">
        <v>1</v>
      </c>
      <c r="AQ879" s="5" t="n">
        <v>0.861</v>
      </c>
      <c r="AR879" s="5" t="n">
        <v>0.123</v>
      </c>
      <c r="AS879" s="5" t="n">
        <v>0.339</v>
      </c>
      <c r="AT879" s="5" t="n">
        <v>1.392</v>
      </c>
      <c r="AU879" s="5" t="n">
        <v>0.16</v>
      </c>
      <c r="AV879" s="5" t="n">
        <v>1</v>
      </c>
      <c r="AW879" s="5" t="n">
        <v>0.986</v>
      </c>
      <c r="AX879" s="5" t="n">
        <v>0.123</v>
      </c>
      <c r="AY879" s="5" t="n">
        <v>0.265</v>
      </c>
      <c r="AZ879" s="5" t="n">
        <v>1.452</v>
      </c>
      <c r="BA879" s="5" t="n">
        <v>0.16</v>
      </c>
      <c r="BB879" s="5" t="n">
        <v>1</v>
      </c>
      <c r="BC879" s="5" t="n">
        <v>0.598</v>
      </c>
      <c r="BD879" s="5" t="n">
        <v>0.123</v>
      </c>
      <c r="BE879" s="5" t="n">
        <v>0.107</v>
      </c>
      <c r="BF879" s="5" t="n">
        <v>0.8080000000000001</v>
      </c>
      <c r="BG879" s="5" t="n">
        <v>0.16</v>
      </c>
      <c r="BH879" s="5" t="n">
        <v>1</v>
      </c>
      <c r="BI879" s="5" t="n">
        <v>0.612</v>
      </c>
      <c r="BJ879" s="5" t="n">
        <v>0.123</v>
      </c>
      <c r="BK879" s="5" t="n">
        <v>0.3</v>
      </c>
      <c r="BL879" s="5" t="n">
        <v>1.059</v>
      </c>
      <c r="BM879" s="5" t="n">
        <v>0.16</v>
      </c>
      <c r="BN879" s="5" t="n">
        <v>1</v>
      </c>
      <c r="BO879" s="5" t="n">
        <v>0</v>
      </c>
      <c r="BP879" s="5" t="n">
        <v>0</v>
      </c>
      <c r="BQ879" s="5" t="n">
        <v>0.062</v>
      </c>
      <c r="BR879" s="5" t="n">
        <v>0</v>
      </c>
      <c r="BS879" s="5" t="n">
        <v>0.833</v>
      </c>
      <c r="BT879" s="5" t="n">
        <v>0</v>
      </c>
      <c r="BU879" s="5" t="n">
        <v>0</v>
      </c>
      <c r="BV879" s="5" t="n">
        <v>0.052</v>
      </c>
      <c r="BW879" s="5" t="n">
        <v>0.16</v>
      </c>
      <c r="BX879" s="5" t="n">
        <v>1</v>
      </c>
      <c r="BY879" s="5" t="n">
        <v>12.729</v>
      </c>
      <c r="BZ879" s="5" t="n">
        <v>0</v>
      </c>
      <c r="CA879" s="5" t="n">
        <v>12.729</v>
      </c>
      <c r="CB879" s="5" t="n">
        <v>0</v>
      </c>
      <c r="CC879" s="5" t="n">
        <v>97.90000000000001</v>
      </c>
      <c r="CD879" s="5" t="n">
        <v>7.95</v>
      </c>
      <c r="CE879" s="5" t="n">
        <v>47.961</v>
      </c>
      <c r="CF879" s="5" t="n">
        <v>169.198</v>
      </c>
      <c r="CG879" s="5" t="n">
        <v>0.16</v>
      </c>
      <c r="CH879" s="5" t="n">
        <v>1</v>
      </c>
      <c r="CI879" s="5" t="n">
        <v>0</v>
      </c>
      <c r="CJ879" s="5" t="n">
        <v>0</v>
      </c>
      <c r="CK879" s="5" t="n">
        <v>0</v>
      </c>
      <c r="CL879" s="5" t="n">
        <v>0</v>
      </c>
      <c r="CM879" s="5" t="n">
        <v>0</v>
      </c>
      <c r="CN879" s="5" t="n">
        <v>0</v>
      </c>
      <c r="CO879" s="5" t="n">
        <v>0</v>
      </c>
      <c r="CP879" s="5" t="n">
        <v>0.918</v>
      </c>
      <c r="CQ879" s="5" t="n">
        <v>1.294</v>
      </c>
      <c r="CR879" s="5" t="n">
        <v>0</v>
      </c>
      <c r="CS879" s="5" t="n">
        <v>5.158</v>
      </c>
      <c r="CT879" s="5" t="n">
        <v>10.485</v>
      </c>
      <c r="CU879" s="5" t="n">
        <v>31.326</v>
      </c>
    </row>
    <row r="880">
      <c r="A880" s="5" t="inlineStr">
        <is>
          <t>ZMB2023</t>
        </is>
      </c>
      <c r="B880" s="5" t="inlineStr">
        <is>
          <t>ZMB</t>
        </is>
      </c>
      <c r="C880" s="5" t="inlineStr">
        <is>
          <t>ZMB</t>
        </is>
      </c>
      <c r="D880" s="5" t="inlineStr">
        <is>
          <t>Zambia</t>
        </is>
      </c>
      <c r="E880" s="5" t="n">
        <v>2023</v>
      </c>
      <c r="F880" s="5" t="n">
        <v>0.16</v>
      </c>
      <c r="G880" s="5" t="n">
        <v>2.428</v>
      </c>
      <c r="H880" s="5" t="n">
        <v>0.71</v>
      </c>
      <c r="I880" s="5" t="n">
        <v>0.204</v>
      </c>
      <c r="J880" s="5" t="n">
        <v>2.631</v>
      </c>
      <c r="K880" s="5" t="n">
        <v>0</v>
      </c>
      <c r="L880" s="5" t="n">
        <v>1</v>
      </c>
      <c r="M880" s="5" t="n">
        <v>3.761</v>
      </c>
      <c r="N880" s="5" t="n">
        <v>2.131</v>
      </c>
      <c r="O880" s="5" t="n">
        <v>0.19</v>
      </c>
      <c r="P880" s="5" t="n">
        <v>3.951</v>
      </c>
      <c r="Q880" s="5" t="n">
        <v>0</v>
      </c>
      <c r="R880" s="5" t="n">
        <v>1</v>
      </c>
      <c r="S880" s="5" t="n">
        <v>5.98</v>
      </c>
      <c r="T880" s="5" t="n">
        <v>4.263</v>
      </c>
      <c r="U880" s="5" t="n">
        <v>0.106</v>
      </c>
      <c r="V880" s="5" t="n">
        <v>6.936</v>
      </c>
      <c r="W880" s="5" t="n">
        <v>0.16</v>
      </c>
      <c r="X880" s="5" t="n">
        <v>1</v>
      </c>
      <c r="Y880" s="5" t="n">
        <v>9.936999999999999</v>
      </c>
      <c r="Z880" s="5" t="n">
        <v>1.343</v>
      </c>
      <c r="AA880" s="5" t="n">
        <v>0</v>
      </c>
      <c r="AB880" s="5" t="n">
        <v>9.936999999999999</v>
      </c>
      <c r="AC880" s="5" t="n">
        <v>0</v>
      </c>
      <c r="AD880" s="5" t="n">
        <v>1</v>
      </c>
      <c r="AE880" s="5" t="n">
        <v>11.222</v>
      </c>
      <c r="AF880" s="5" t="n">
        <v>2.624</v>
      </c>
      <c r="AG880" s="5" t="n">
        <v>0</v>
      </c>
      <c r="AH880" s="5" t="n">
        <v>11.222</v>
      </c>
      <c r="AI880" s="5" t="n">
        <v>0</v>
      </c>
      <c r="AJ880" s="5" t="n">
        <v>1</v>
      </c>
      <c r="AK880" s="5" t="n">
        <v>18.936</v>
      </c>
      <c r="AL880" s="5" t="n">
        <v>10.085</v>
      </c>
      <c r="AM880" s="5" t="n">
        <v>0.335</v>
      </c>
      <c r="AN880" s="5" t="n">
        <v>21.966</v>
      </c>
      <c r="AO880" s="5" t="n">
        <v>0.16</v>
      </c>
      <c r="AP880" s="5" t="n">
        <v>1</v>
      </c>
      <c r="AQ880" s="5" t="n">
        <v>0.76</v>
      </c>
      <c r="AR880" s="5" t="n">
        <v>0.129</v>
      </c>
      <c r="AS880" s="5" t="n">
        <v>0.412</v>
      </c>
      <c r="AT880" s="5" t="n">
        <v>1.36</v>
      </c>
      <c r="AU880" s="5" t="n">
        <v>0.16</v>
      </c>
      <c r="AV880" s="5" t="n">
        <v>1</v>
      </c>
      <c r="AW880" s="5" t="n">
        <v>0.8110000000000001</v>
      </c>
      <c r="AX880" s="5" t="n">
        <v>0.129</v>
      </c>
      <c r="AY880" s="5" t="n">
        <v>0.325</v>
      </c>
      <c r="AZ880" s="5" t="n">
        <v>1.318</v>
      </c>
      <c r="BA880" s="5" t="n">
        <v>0.16</v>
      </c>
      <c r="BB880" s="5" t="n">
        <v>1</v>
      </c>
      <c r="BC880" s="5" t="n">
        <v>0.535</v>
      </c>
      <c r="BD880" s="5" t="n">
        <v>0.129</v>
      </c>
      <c r="BE880" s="5" t="n">
        <v>0.101</v>
      </c>
      <c r="BF880" s="5" t="n">
        <v>0.725</v>
      </c>
      <c r="BG880" s="5" t="n">
        <v>0.16</v>
      </c>
      <c r="BH880" s="5" t="n">
        <v>1</v>
      </c>
      <c r="BI880" s="5" t="n">
        <v>0.579</v>
      </c>
      <c r="BJ880" s="5" t="n">
        <v>0.129</v>
      </c>
      <c r="BK880" s="5" t="n">
        <v>0.301</v>
      </c>
      <c r="BL880" s="5" t="n">
        <v>1.022</v>
      </c>
      <c r="BM880" s="5" t="n">
        <v>0.16</v>
      </c>
      <c r="BN880" s="5" t="n">
        <v>1</v>
      </c>
      <c r="BO880" s="5" t="n">
        <v>0</v>
      </c>
      <c r="BP880" s="5" t="n">
        <v>0</v>
      </c>
      <c r="BQ880" s="5" t="n">
        <v>0.06900000000000001</v>
      </c>
      <c r="BR880" s="5" t="n">
        <v>0</v>
      </c>
      <c r="BS880" s="5" t="n">
        <v>0.833</v>
      </c>
      <c r="BT880" s="5" t="n">
        <v>0</v>
      </c>
      <c r="BU880" s="5" t="n">
        <v>0</v>
      </c>
      <c r="BV880" s="5" t="n">
        <v>0.054</v>
      </c>
      <c r="BW880" s="5" t="n">
        <v>0.16</v>
      </c>
      <c r="BX880" s="5" t="n">
        <v>1</v>
      </c>
      <c r="BY880" s="5" t="n">
        <v>13.254</v>
      </c>
      <c r="BZ880" s="5" t="n">
        <v>0</v>
      </c>
      <c r="CA880" s="5" t="n">
        <v>13.254</v>
      </c>
      <c r="CB880" s="5" t="n">
        <v>0</v>
      </c>
      <c r="CC880" s="5" t="n">
        <v>83.248</v>
      </c>
      <c r="CD880" s="5" t="n">
        <v>7.95</v>
      </c>
      <c r="CE880" s="5" t="n">
        <v>56.954</v>
      </c>
      <c r="CF880" s="5" t="n">
        <v>162.634</v>
      </c>
      <c r="CG880" s="5" t="n">
        <v>0.16</v>
      </c>
      <c r="CH880" s="5" t="n">
        <v>1</v>
      </c>
      <c r="CI880" s="5" t="n">
        <v>0</v>
      </c>
      <c r="CJ880" s="5" t="n">
        <v>0</v>
      </c>
      <c r="CK880" s="5" t="n">
        <v>0</v>
      </c>
      <c r="CL880" s="5" t="n">
        <v>0</v>
      </c>
      <c r="CM880" s="5" t="n">
        <v>0</v>
      </c>
      <c r="CN880" s="5" t="n">
        <v>0</v>
      </c>
      <c r="CO880" s="5" t="n">
        <v>0</v>
      </c>
      <c r="CP880" s="5" t="n">
        <v>0.895</v>
      </c>
      <c r="CQ880" s="5" t="n">
        <v>1.348</v>
      </c>
      <c r="CR880" s="5" t="n">
        <v>0</v>
      </c>
      <c r="CS880" s="5" t="n">
        <v>5.37</v>
      </c>
      <c r="CT880" s="5" t="n">
        <v>4.861</v>
      </c>
      <c r="CU880" s="5" t="n">
        <v>11.622</v>
      </c>
    </row>
    <row r="881">
      <c r="A881" s="5" t="inlineStr">
        <is>
          <t>ZMB2024</t>
        </is>
      </c>
      <c r="B881" s="5" t="inlineStr">
        <is>
          <t>ZMB</t>
        </is>
      </c>
      <c r="C881" s="5" t="inlineStr">
        <is>
          <t>ZMB</t>
        </is>
      </c>
      <c r="D881" s="5" t="inlineStr">
        <is>
          <t>Zambia</t>
        </is>
      </c>
      <c r="E881" s="5" t="n">
        <v>2024</v>
      </c>
      <c r="F881" s="5" t="n">
        <v>0.16</v>
      </c>
      <c r="G881" s="5" t="n">
        <v>2.42</v>
      </c>
      <c r="H881" s="5" t="n">
        <v>0.731</v>
      </c>
      <c r="I881" s="5" t="n">
        <v>0.198</v>
      </c>
      <c r="J881" s="5" t="n">
        <v>2.618</v>
      </c>
      <c r="K881" s="5" t="n">
        <v>0</v>
      </c>
      <c r="L881" s="5" t="n">
        <v>1</v>
      </c>
      <c r="M881" s="5" t="n">
        <v>3.767</v>
      </c>
      <c r="N881" s="5" t="n">
        <v>2.194</v>
      </c>
      <c r="O881" s="5" t="n">
        <v>0.18</v>
      </c>
      <c r="P881" s="5" t="n">
        <v>3.948</v>
      </c>
      <c r="Q881" s="5" t="n">
        <v>0</v>
      </c>
      <c r="R881" s="5" t="n">
        <v>1</v>
      </c>
      <c r="S881" s="5" t="n">
        <v>6.077</v>
      </c>
      <c r="T881" s="5" t="n">
        <v>4.388</v>
      </c>
      <c r="U881" s="5" t="n">
        <v>0.132</v>
      </c>
      <c r="V881" s="5" t="n">
        <v>7.049</v>
      </c>
      <c r="W881" s="5" t="n">
        <v>0.16</v>
      </c>
      <c r="X881" s="5" t="n">
        <v>1</v>
      </c>
      <c r="Y881" s="5" t="n">
        <v>9.287000000000001</v>
      </c>
      <c r="Z881" s="5" t="n">
        <v>1.255</v>
      </c>
      <c r="AA881" s="5" t="n">
        <v>0</v>
      </c>
      <c r="AB881" s="5" t="n">
        <v>9.287000000000001</v>
      </c>
      <c r="AC881" s="5" t="n">
        <v>0</v>
      </c>
      <c r="AD881" s="5" t="n">
        <v>1</v>
      </c>
      <c r="AE881" s="5" t="n">
        <v>10.611</v>
      </c>
      <c r="AF881" s="5" t="n">
        <v>2.481</v>
      </c>
      <c r="AG881" s="5" t="n">
        <v>0</v>
      </c>
      <c r="AH881" s="5" t="n">
        <v>10.611</v>
      </c>
      <c r="AI881" s="5" t="n">
        <v>0</v>
      </c>
      <c r="AJ881" s="5" t="n">
        <v>1</v>
      </c>
      <c r="AK881" s="5" t="n">
        <v>18.552</v>
      </c>
      <c r="AL881" s="5" t="n">
        <v>9.881</v>
      </c>
      <c r="AM881" s="5" t="n">
        <v>0.404</v>
      </c>
      <c r="AN881" s="5" t="n">
        <v>21.521</v>
      </c>
      <c r="AO881" s="5" t="n">
        <v>0.16</v>
      </c>
      <c r="AP881" s="5" t="n">
        <v>1</v>
      </c>
      <c r="AQ881" s="5" t="n">
        <v>0.724</v>
      </c>
      <c r="AR881" s="5" t="n">
        <v>0.132</v>
      </c>
      <c r="AS881" s="5" t="n">
        <v>0.36</v>
      </c>
      <c r="AT881" s="5" t="n">
        <v>1.258</v>
      </c>
      <c r="AU881" s="5" t="n">
        <v>0.16</v>
      </c>
      <c r="AV881" s="5" t="n">
        <v>1</v>
      </c>
      <c r="AW881" s="5" t="n">
        <v>0.75</v>
      </c>
      <c r="AX881" s="5" t="n">
        <v>0.132</v>
      </c>
      <c r="AY881" s="5" t="n">
        <v>0.242</v>
      </c>
      <c r="AZ881" s="5" t="n">
        <v>1.151</v>
      </c>
      <c r="BA881" s="5" t="n">
        <v>0.16</v>
      </c>
      <c r="BB881" s="5" t="n">
        <v>1</v>
      </c>
      <c r="BC881" s="5" t="n">
        <v>0.513</v>
      </c>
      <c r="BD881" s="5" t="n">
        <v>0.132</v>
      </c>
      <c r="BE881" s="5" t="n">
        <v>0.1</v>
      </c>
      <c r="BF881" s="5" t="n">
        <v>0.696</v>
      </c>
      <c r="BG881" s="5" t="n">
        <v>0.16</v>
      </c>
      <c r="BH881" s="5" t="n">
        <v>1</v>
      </c>
      <c r="BI881" s="5" t="n">
        <v>0.591</v>
      </c>
      <c r="BJ881" s="5" t="n">
        <v>0.132</v>
      </c>
      <c r="BK881" s="5" t="n">
        <v>0.242</v>
      </c>
      <c r="BL881" s="5" t="n">
        <v>0.967</v>
      </c>
      <c r="BM881" s="5" t="n">
        <v>0.16</v>
      </c>
      <c r="BN881" s="5" t="n">
        <v>1</v>
      </c>
      <c r="BO881" s="5" t="n">
        <v>0</v>
      </c>
      <c r="BP881" s="5" t="n">
        <v>0</v>
      </c>
      <c r="BQ881" s="5" t="n">
        <v>0.065</v>
      </c>
      <c r="BR881" s="5" t="n">
        <v>0</v>
      </c>
      <c r="BS881" s="5" t="n">
        <v>0.833</v>
      </c>
      <c r="BT881" s="5" t="n">
        <v>0</v>
      </c>
      <c r="BU881" s="5" t="n">
        <v>0</v>
      </c>
      <c r="BV881" s="5" t="n">
        <v>0.049</v>
      </c>
      <c r="BW881" s="5" t="n">
        <v>0.16</v>
      </c>
      <c r="BX881" s="5" t="n">
        <v>1</v>
      </c>
      <c r="BY881" s="5" t="n">
        <v>13.646</v>
      </c>
      <c r="BZ881" s="5" t="n">
        <v>0</v>
      </c>
      <c r="CA881" s="5" t="n">
        <v>13.646</v>
      </c>
      <c r="CB881" s="5" t="n">
        <v>0</v>
      </c>
      <c r="CC881" s="5" t="n">
        <v>82.58799999999999</v>
      </c>
      <c r="CD881" s="5" t="n">
        <v>7.95</v>
      </c>
      <c r="CE881" s="5" t="n">
        <v>49.614</v>
      </c>
      <c r="CF881" s="5" t="n">
        <v>153.355</v>
      </c>
      <c r="CG881" s="5" t="n">
        <v>0.16</v>
      </c>
      <c r="CH881" s="5" t="n">
        <v>1</v>
      </c>
      <c r="CI881" s="5" t="n">
        <v>0</v>
      </c>
      <c r="CJ881" s="5" t="n">
        <v>0</v>
      </c>
      <c r="CK881" s="5" t="n">
        <v>0</v>
      </c>
      <c r="CL881" s="5" t="n">
        <v>0</v>
      </c>
      <c r="CM881" s="5" t="n">
        <v>0</v>
      </c>
      <c r="CN881" s="5" t="n">
        <v>0</v>
      </c>
      <c r="CO881" s="5" t="n">
        <v>0</v>
      </c>
      <c r="CP881" s="5" t="n">
        <v>0.895</v>
      </c>
      <c r="CQ881" s="5" t="n">
        <v>1.387</v>
      </c>
      <c r="CR881" s="5" t="n">
        <v>0</v>
      </c>
      <c r="CS881" s="5" t="n">
        <v>5.529</v>
      </c>
      <c r="CT881" s="5" t="n">
        <v>4.251</v>
      </c>
      <c r="CU881" s="5" t="n">
        <v>10.168</v>
      </c>
    </row>
    <row r="882">
      <c r="A882" s="5" t="inlineStr">
        <is>
          <t>ZWE2021</t>
        </is>
      </c>
      <c r="B882" s="5" t="inlineStr">
        <is>
          <t>ZWE</t>
        </is>
      </c>
      <c r="C882" s="5" t="inlineStr">
        <is>
          <t>ZWE</t>
        </is>
      </c>
      <c r="D882" s="5" t="inlineStr">
        <is>
          <t>Zimbabwe</t>
        </is>
      </c>
      <c r="E882" s="5" t="n">
        <v>2021</v>
      </c>
      <c r="F882" s="5" t="n">
        <v>0.145</v>
      </c>
      <c r="G882" s="5" t="n">
        <v>1.775</v>
      </c>
      <c r="H882" s="5" t="n">
        <v>0.572</v>
      </c>
      <c r="I882" s="5" t="n">
        <v>0</v>
      </c>
      <c r="J882" s="5" t="n">
        <v>1.775</v>
      </c>
      <c r="K882" s="5" t="n">
        <v>0</v>
      </c>
      <c r="L882" s="5" t="n">
        <v>1</v>
      </c>
      <c r="M882" s="5" t="n">
        <v>2.919</v>
      </c>
      <c r="N882" s="5" t="n">
        <v>1.717</v>
      </c>
      <c r="O882" s="5" t="n">
        <v>0</v>
      </c>
      <c r="P882" s="5" t="n">
        <v>2.919</v>
      </c>
      <c r="Q882" s="5" t="n">
        <v>0</v>
      </c>
      <c r="R882" s="5" t="n">
        <v>1</v>
      </c>
      <c r="S882" s="5" t="n">
        <v>4.636</v>
      </c>
      <c r="T882" s="5" t="n">
        <v>3.434</v>
      </c>
      <c r="U882" s="5" t="n">
        <v>0</v>
      </c>
      <c r="V882" s="5" t="n">
        <v>5.309</v>
      </c>
      <c r="W882" s="5" t="n">
        <v>0.145</v>
      </c>
      <c r="X882" s="5" t="n">
        <v>1</v>
      </c>
      <c r="Y882" s="5" t="n">
        <v>16.248</v>
      </c>
      <c r="Z882" s="5" t="n">
        <v>2.196</v>
      </c>
      <c r="AA882" s="5" t="n">
        <v>0</v>
      </c>
      <c r="AB882" s="5" t="n">
        <v>16.248</v>
      </c>
      <c r="AC882" s="5" t="n">
        <v>0</v>
      </c>
      <c r="AD882" s="5" t="n">
        <v>1</v>
      </c>
      <c r="AE882" s="5" t="n">
        <v>17.391</v>
      </c>
      <c r="AF882" s="5" t="n">
        <v>4.067</v>
      </c>
      <c r="AG882" s="5" t="n">
        <v>0</v>
      </c>
      <c r="AH882" s="5" t="n">
        <v>17.391</v>
      </c>
      <c r="AI882" s="5" t="n">
        <v>0</v>
      </c>
      <c r="AJ882" s="5" t="n">
        <v>1</v>
      </c>
      <c r="AK882" s="5" t="n">
        <v>24.251</v>
      </c>
      <c r="AL882" s="5" t="n">
        <v>12.916</v>
      </c>
      <c r="AM882" s="5" t="n">
        <v>0</v>
      </c>
      <c r="AN882" s="5" t="n">
        <v>27.767</v>
      </c>
      <c r="AO882" s="5" t="n">
        <v>0.145</v>
      </c>
      <c r="AP882" s="5" t="n">
        <v>1</v>
      </c>
      <c r="AQ882" s="5" t="n">
        <v>0.619</v>
      </c>
      <c r="AR882" s="5" t="n">
        <v>0.114</v>
      </c>
      <c r="AS882" s="5" t="n">
        <v>0.534</v>
      </c>
      <c r="AT882" s="5" t="n">
        <v>1.32</v>
      </c>
      <c r="AU882" s="5" t="n">
        <v>0</v>
      </c>
      <c r="AV882" s="5" t="n">
        <v>0</v>
      </c>
      <c r="AW882" s="5" t="n">
        <v>0.599</v>
      </c>
      <c r="AX882" s="5" t="n">
        <v>0.114</v>
      </c>
      <c r="AY882" s="5" t="n">
        <v>0.541</v>
      </c>
      <c r="AZ882" s="5" t="n">
        <v>1.305</v>
      </c>
      <c r="BA882" s="5" t="n">
        <v>0</v>
      </c>
      <c r="BB882" s="5" t="n">
        <v>0</v>
      </c>
      <c r="BC882" s="5" t="n">
        <v>0.439</v>
      </c>
      <c r="BD882" s="5" t="n">
        <v>0.114</v>
      </c>
      <c r="BE882" s="5" t="n">
        <v>0</v>
      </c>
      <c r="BF882" s="5" t="n">
        <v>0.503</v>
      </c>
      <c r="BG882" s="5" t="n">
        <v>0.145</v>
      </c>
      <c r="BH882" s="5" t="n">
        <v>1</v>
      </c>
      <c r="BI882" s="5" t="n">
        <v>0.505</v>
      </c>
      <c r="BJ882" s="5" t="n">
        <v>0.114</v>
      </c>
      <c r="BK882" s="5" t="n">
        <v>-0.495</v>
      </c>
      <c r="BL882" s="5" t="n">
        <v>0.01</v>
      </c>
      <c r="BM882" s="5" t="n">
        <v>0</v>
      </c>
      <c r="BN882" s="5" t="n">
        <v>0</v>
      </c>
      <c r="BO882" s="5" t="n">
        <v>0</v>
      </c>
      <c r="BP882" s="5" t="n">
        <v>0</v>
      </c>
      <c r="BQ882" s="5" t="n">
        <v>0.113</v>
      </c>
      <c r="BR882" s="5" t="n">
        <v>0</v>
      </c>
      <c r="BS882" s="5" t="n">
        <v>0.667</v>
      </c>
      <c r="BT882" s="5" t="n">
        <v>0</v>
      </c>
      <c r="BU882" s="5" t="n">
        <v>0</v>
      </c>
      <c r="BV882" s="5" t="n">
        <v>0.119</v>
      </c>
      <c r="BW882" s="5" t="n">
        <v>0.145</v>
      </c>
      <c r="BX882" s="5" t="n">
        <v>0.667</v>
      </c>
      <c r="BY882" s="5" t="n">
        <v>11.787</v>
      </c>
      <c r="BZ882" s="5" t="n">
        <v>0</v>
      </c>
      <c r="CA882" s="5" t="n">
        <v>11.787</v>
      </c>
      <c r="CB882" s="5" t="n">
        <v>0</v>
      </c>
      <c r="CC882" s="5" t="n">
        <v>78.125</v>
      </c>
      <c r="CD882" s="5" t="n">
        <v>7.95</v>
      </c>
      <c r="CE882" s="5" t="n">
        <v>0</v>
      </c>
      <c r="CF882" s="5" t="n">
        <v>89.453</v>
      </c>
      <c r="CG882" s="5" t="n">
        <v>0.145</v>
      </c>
      <c r="CH882" s="5" t="n">
        <v>1</v>
      </c>
      <c r="CI882" s="5" t="n">
        <v>0</v>
      </c>
      <c r="CJ882" s="5" t="n">
        <v>0</v>
      </c>
      <c r="CK882" s="5" t="n">
        <v>0</v>
      </c>
      <c r="CL882" s="5" t="n">
        <v>0</v>
      </c>
      <c r="CM882" s="5" t="n">
        <v>0</v>
      </c>
      <c r="CN882" s="5" t="n">
        <v>0</v>
      </c>
      <c r="CO882" s="5" t="n">
        <v>0</v>
      </c>
      <c r="CP882" s="5" t="n">
        <v>0.999</v>
      </c>
      <c r="CQ882" s="5" t="n">
        <v>1.198</v>
      </c>
      <c r="CR882" s="5" t="n">
        <v>0</v>
      </c>
      <c r="CS882" s="5" t="n">
        <v>4.776</v>
      </c>
      <c r="CT882" s="5" t="n">
        <v>4.753</v>
      </c>
      <c r="CU882" s="5" t="n">
        <v>15.162</v>
      </c>
    </row>
    <row r="883">
      <c r="A883" s="5" t="inlineStr">
        <is>
          <t>ZWE2022</t>
        </is>
      </c>
      <c r="B883" s="5" t="inlineStr">
        <is>
          <t>ZWE</t>
        </is>
      </c>
      <c r="C883" s="5" t="inlineStr">
        <is>
          <t>ZWE</t>
        </is>
      </c>
      <c r="D883" s="5" t="inlineStr">
        <is>
          <t>Zimbabwe</t>
        </is>
      </c>
      <c r="E883" s="5" t="n">
        <v>2022</v>
      </c>
      <c r="F883" s="5" t="n">
        <v>0.145</v>
      </c>
      <c r="G883" s="5" t="n">
        <v>1.918</v>
      </c>
      <c r="H883" s="5" t="n">
        <v>0.618</v>
      </c>
      <c r="I883" s="5" t="n">
        <v>0</v>
      </c>
      <c r="J883" s="5" t="n">
        <v>1.918</v>
      </c>
      <c r="K883" s="5" t="n">
        <v>0</v>
      </c>
      <c r="L883" s="5" t="n">
        <v>1</v>
      </c>
      <c r="M883" s="5" t="n">
        <v>3.151</v>
      </c>
      <c r="N883" s="5" t="n">
        <v>1.853</v>
      </c>
      <c r="O883" s="5" t="n">
        <v>0</v>
      </c>
      <c r="P883" s="5" t="n">
        <v>3.151</v>
      </c>
      <c r="Q883" s="5" t="n">
        <v>0</v>
      </c>
      <c r="R883" s="5" t="n">
        <v>1</v>
      </c>
      <c r="S883" s="5" t="n">
        <v>5.007</v>
      </c>
      <c r="T883" s="5" t="n">
        <v>3.707</v>
      </c>
      <c r="U883" s="5" t="n">
        <v>0.054</v>
      </c>
      <c r="V883" s="5" t="n">
        <v>5.733</v>
      </c>
      <c r="W883" s="5" t="n">
        <v>0.145</v>
      </c>
      <c r="X883" s="5" t="n">
        <v>1</v>
      </c>
      <c r="Y883" s="5" t="n">
        <v>32.431</v>
      </c>
      <c r="Z883" s="5" t="n">
        <v>4.383</v>
      </c>
      <c r="AA883" s="5" t="n">
        <v>0</v>
      </c>
      <c r="AB883" s="5" t="n">
        <v>32.431</v>
      </c>
      <c r="AC883" s="5" t="n">
        <v>0</v>
      </c>
      <c r="AD883" s="5" t="n">
        <v>1</v>
      </c>
      <c r="AE883" s="5" t="n">
        <v>33.666</v>
      </c>
      <c r="AF883" s="5" t="n">
        <v>7.872</v>
      </c>
      <c r="AG883" s="5" t="n">
        <v>0</v>
      </c>
      <c r="AH883" s="5" t="n">
        <v>33.666</v>
      </c>
      <c r="AI883" s="5" t="n">
        <v>0</v>
      </c>
      <c r="AJ883" s="5" t="n">
        <v>1</v>
      </c>
      <c r="AK883" s="5" t="n">
        <v>41.074</v>
      </c>
      <c r="AL883" s="5" t="n">
        <v>21.876</v>
      </c>
      <c r="AM883" s="5" t="n">
        <v>0.441</v>
      </c>
      <c r="AN883" s="5" t="n">
        <v>47.03</v>
      </c>
      <c r="AO883" s="5" t="n">
        <v>0.145</v>
      </c>
      <c r="AP883" s="5" t="n">
        <v>1</v>
      </c>
      <c r="AQ883" s="5" t="n">
        <v>0.861</v>
      </c>
      <c r="AR883" s="5" t="n">
        <v>0.123</v>
      </c>
      <c r="AS883" s="5" t="n">
        <v>0.475</v>
      </c>
      <c r="AT883" s="5" t="n">
        <v>1.529</v>
      </c>
      <c r="AU883" s="5" t="n">
        <v>0</v>
      </c>
      <c r="AV883" s="5" t="n">
        <v>0</v>
      </c>
      <c r="AW883" s="5" t="n">
        <v>0.986</v>
      </c>
      <c r="AX883" s="5" t="n">
        <v>0.123</v>
      </c>
      <c r="AY883" s="5" t="n">
        <v>0.463</v>
      </c>
      <c r="AZ883" s="5" t="n">
        <v>1.66</v>
      </c>
      <c r="BA883" s="5" t="n">
        <v>0</v>
      </c>
      <c r="BB883" s="5" t="n">
        <v>0</v>
      </c>
      <c r="BC883" s="5" t="n">
        <v>0.598</v>
      </c>
      <c r="BD883" s="5" t="n">
        <v>0.123</v>
      </c>
      <c r="BE883" s="5" t="n">
        <v>0.006</v>
      </c>
      <c r="BF883" s="5" t="n">
        <v>0.6850000000000001</v>
      </c>
      <c r="BG883" s="5" t="n">
        <v>0.145</v>
      </c>
      <c r="BH883" s="5" t="n">
        <v>1</v>
      </c>
      <c r="BI883" s="5" t="n">
        <v>0.612</v>
      </c>
      <c r="BJ883" s="5" t="n">
        <v>0.123</v>
      </c>
      <c r="BK883" s="5" t="n">
        <v>-0.572</v>
      </c>
      <c r="BL883" s="5" t="n">
        <v>0.041</v>
      </c>
      <c r="BM883" s="5" t="n">
        <v>0</v>
      </c>
      <c r="BN883" s="5" t="n">
        <v>0</v>
      </c>
      <c r="BO883" s="5" t="n">
        <v>0</v>
      </c>
      <c r="BP883" s="5" t="n">
        <v>0</v>
      </c>
      <c r="BQ883" s="5" t="n">
        <v>0.106</v>
      </c>
      <c r="BR883" s="5" t="n">
        <v>0</v>
      </c>
      <c r="BS883" s="5" t="n">
        <v>0.667</v>
      </c>
      <c r="BT883" s="5" t="n">
        <v>0</v>
      </c>
      <c r="BU883" s="5" t="n">
        <v>0</v>
      </c>
      <c r="BV883" s="5" t="n">
        <v>0.106</v>
      </c>
      <c r="BW883" s="5" t="n">
        <v>0.145</v>
      </c>
      <c r="BX883" s="5" t="n">
        <v>0.667</v>
      </c>
      <c r="BY883" s="5" t="n">
        <v>12.729</v>
      </c>
      <c r="BZ883" s="5" t="n">
        <v>0</v>
      </c>
      <c r="CA883" s="5" t="n">
        <v>12.729</v>
      </c>
      <c r="CB883" s="5" t="n">
        <v>0</v>
      </c>
      <c r="CC883" s="5" t="n">
        <v>97.90000000000001</v>
      </c>
      <c r="CD883" s="5" t="n">
        <v>7.95</v>
      </c>
      <c r="CE883" s="5" t="n">
        <v>1.051</v>
      </c>
      <c r="CF883" s="5" t="n">
        <v>112.095</v>
      </c>
      <c r="CG883" s="5" t="n">
        <v>0.145</v>
      </c>
      <c r="CH883" s="5" t="n">
        <v>1</v>
      </c>
      <c r="CI883" s="5" t="n">
        <v>0</v>
      </c>
      <c r="CJ883" s="5" t="n">
        <v>0</v>
      </c>
      <c r="CK883" s="5" t="n">
        <v>0</v>
      </c>
      <c r="CL883" s="5" t="n">
        <v>0</v>
      </c>
      <c r="CM883" s="5" t="n">
        <v>0</v>
      </c>
      <c r="CN883" s="5" t="n">
        <v>0</v>
      </c>
      <c r="CO883" s="5" t="n">
        <v>0</v>
      </c>
      <c r="CP883" s="5" t="n">
        <v>0.999</v>
      </c>
      <c r="CQ883" s="5" t="n">
        <v>1.294</v>
      </c>
      <c r="CR883" s="5" t="n">
        <v>0</v>
      </c>
      <c r="CS883" s="5" t="n">
        <v>5.158</v>
      </c>
      <c r="CT883" s="5" t="n">
        <v>10.485</v>
      </c>
      <c r="CU883" s="5" t="n">
        <v>31.326</v>
      </c>
    </row>
    <row r="884">
      <c r="A884" s="5" t="inlineStr">
        <is>
          <t>ZWE2023</t>
        </is>
      </c>
      <c r="B884" s="5" t="inlineStr">
        <is>
          <t>ZWE</t>
        </is>
      </c>
      <c r="C884" s="5" t="inlineStr">
        <is>
          <t>ZWE</t>
        </is>
      </c>
      <c r="D884" s="5" t="inlineStr">
        <is>
          <t>Zimbabwe</t>
        </is>
      </c>
      <c r="E884" s="5" t="n">
        <v>2023</v>
      </c>
      <c r="F884" s="5" t="n">
        <v>0.145</v>
      </c>
      <c r="G884" s="5" t="n">
        <v>1.992</v>
      </c>
      <c r="H884" s="5" t="n">
        <v>0.643</v>
      </c>
      <c r="I884" s="5" t="n">
        <v>0</v>
      </c>
      <c r="J884" s="5" t="n">
        <v>1.992</v>
      </c>
      <c r="K884" s="5" t="n">
        <v>0</v>
      </c>
      <c r="L884" s="5" t="n">
        <v>1</v>
      </c>
      <c r="M884" s="5" t="n">
        <v>3.278</v>
      </c>
      <c r="N884" s="5" t="n">
        <v>1.929</v>
      </c>
      <c r="O884" s="5" t="n">
        <v>0</v>
      </c>
      <c r="P884" s="5" t="n">
        <v>3.278</v>
      </c>
      <c r="Q884" s="5" t="n">
        <v>0</v>
      </c>
      <c r="R884" s="5" t="n">
        <v>1</v>
      </c>
      <c r="S884" s="5" t="n">
        <v>5.208</v>
      </c>
      <c r="T884" s="5" t="n">
        <v>3.859</v>
      </c>
      <c r="U884" s="5" t="n">
        <v>0.08400000000000001</v>
      </c>
      <c r="V884" s="5" t="n">
        <v>5.963</v>
      </c>
      <c r="W884" s="5" t="n">
        <v>0.145</v>
      </c>
      <c r="X884" s="5" t="n">
        <v>1</v>
      </c>
      <c r="Y884" s="5" t="n">
        <v>12.868</v>
      </c>
      <c r="Z884" s="5" t="n">
        <v>1.739</v>
      </c>
      <c r="AA884" s="5" t="n">
        <v>0</v>
      </c>
      <c r="AB884" s="5" t="n">
        <v>12.868</v>
      </c>
      <c r="AC884" s="5" t="n">
        <v>0</v>
      </c>
      <c r="AD884" s="5" t="n">
        <v>1</v>
      </c>
      <c r="AE884" s="5" t="n">
        <v>14.153</v>
      </c>
      <c r="AF884" s="5" t="n">
        <v>3.309</v>
      </c>
      <c r="AG884" s="5" t="n">
        <v>0</v>
      </c>
      <c r="AH884" s="5" t="n">
        <v>14.153</v>
      </c>
      <c r="AI884" s="5" t="n">
        <v>0</v>
      </c>
      <c r="AJ884" s="5" t="n">
        <v>1</v>
      </c>
      <c r="AK884" s="5" t="n">
        <v>21.867</v>
      </c>
      <c r="AL884" s="5" t="n">
        <v>11.646</v>
      </c>
      <c r="AM884" s="5" t="n">
        <v>0.351</v>
      </c>
      <c r="AN884" s="5" t="n">
        <v>25.038</v>
      </c>
      <c r="AO884" s="5" t="n">
        <v>0.145</v>
      </c>
      <c r="AP884" s="5" t="n">
        <v>1</v>
      </c>
      <c r="AQ884" s="5" t="n">
        <v>0.76</v>
      </c>
      <c r="AR884" s="5" t="n">
        <v>0.129</v>
      </c>
      <c r="AS884" s="5" t="n">
        <v>-0.383</v>
      </c>
      <c r="AT884" s="5" t="n">
        <v>0.432</v>
      </c>
      <c r="AU884" s="5" t="n">
        <v>0</v>
      </c>
      <c r="AV884" s="5" t="n">
        <v>0</v>
      </c>
      <c r="AW884" s="5" t="n">
        <v>0.8110000000000001</v>
      </c>
      <c r="AX884" s="5" t="n">
        <v>0.129</v>
      </c>
      <c r="AY884" s="5" t="n">
        <v>-0.417</v>
      </c>
      <c r="AZ884" s="5" t="n">
        <v>0.451</v>
      </c>
      <c r="BA884" s="5" t="n">
        <v>0</v>
      </c>
      <c r="BB884" s="5" t="n">
        <v>0</v>
      </c>
      <c r="BC884" s="5" t="n">
        <v>0.535</v>
      </c>
      <c r="BD884" s="5" t="n">
        <v>0.129</v>
      </c>
      <c r="BE884" s="5" t="n">
        <v>0.008999999999999999</v>
      </c>
      <c r="BF884" s="5" t="n">
        <v>0.613</v>
      </c>
      <c r="BG884" s="5" t="n">
        <v>0.145</v>
      </c>
      <c r="BH884" s="5" t="n">
        <v>1</v>
      </c>
      <c r="BI884" s="5" t="n">
        <v>0.579</v>
      </c>
      <c r="BJ884" s="5" t="n">
        <v>0.129</v>
      </c>
      <c r="BK884" s="5" t="n">
        <v>-0.569</v>
      </c>
      <c r="BL884" s="5" t="n">
        <v>0.01</v>
      </c>
      <c r="BM884" s="5" t="n">
        <v>0</v>
      </c>
      <c r="BN884" s="5" t="n">
        <v>0</v>
      </c>
      <c r="BO884" s="5" t="n">
        <v>0</v>
      </c>
      <c r="BP884" s="5" t="n">
        <v>0</v>
      </c>
      <c r="BQ884" s="5" t="n">
        <v>0.106</v>
      </c>
      <c r="BR884" s="5" t="n">
        <v>0</v>
      </c>
      <c r="BS884" s="5" t="n">
        <v>0.667</v>
      </c>
      <c r="BT884" s="5" t="n">
        <v>0</v>
      </c>
      <c r="BU884" s="5" t="n">
        <v>0</v>
      </c>
      <c r="BV884" s="5" t="n">
        <v>0.106</v>
      </c>
      <c r="BW884" s="5" t="n">
        <v>0.145</v>
      </c>
      <c r="BX884" s="5" t="n">
        <v>0.667</v>
      </c>
      <c r="BY884" s="5" t="n">
        <v>13.254</v>
      </c>
      <c r="BZ884" s="5" t="n">
        <v>0</v>
      </c>
      <c r="CA884" s="5" t="n">
        <v>13.254</v>
      </c>
      <c r="CB884" s="5" t="n">
        <v>0</v>
      </c>
      <c r="CC884" s="5" t="n">
        <v>83.248</v>
      </c>
      <c r="CD884" s="5" t="n">
        <v>7.95</v>
      </c>
      <c r="CE884" s="5" t="n">
        <v>1.336</v>
      </c>
      <c r="CF884" s="5" t="n">
        <v>95.319</v>
      </c>
      <c r="CG884" s="5" t="n">
        <v>0.145</v>
      </c>
      <c r="CH884" s="5" t="n">
        <v>1</v>
      </c>
      <c r="CI884" s="5" t="n">
        <v>0</v>
      </c>
      <c r="CJ884" s="5" t="n">
        <v>0</v>
      </c>
      <c r="CK884" s="5" t="n">
        <v>0</v>
      </c>
      <c r="CL884" s="5" t="n">
        <v>0</v>
      </c>
      <c r="CM884" s="5" t="n">
        <v>0</v>
      </c>
      <c r="CN884" s="5" t="n">
        <v>0</v>
      </c>
      <c r="CO884" s="5" t="n">
        <v>0</v>
      </c>
      <c r="CP884" s="5" t="n">
        <v>1</v>
      </c>
      <c r="CQ884" s="5" t="n">
        <v>1.348</v>
      </c>
      <c r="CR884" s="5" t="n">
        <v>0</v>
      </c>
      <c r="CS884" s="5" t="n">
        <v>5.37</v>
      </c>
      <c r="CT884" s="5" t="n">
        <v>4.861</v>
      </c>
      <c r="CU884" s="5" t="n">
        <v>11.622</v>
      </c>
    </row>
    <row r="885">
      <c r="A885" s="5" t="inlineStr">
        <is>
          <t>ZWE2024</t>
        </is>
      </c>
      <c r="B885" s="5" t="inlineStr">
        <is>
          <t>ZWE</t>
        </is>
      </c>
      <c r="C885" s="5" t="inlineStr">
        <is>
          <t>ZWE</t>
        </is>
      </c>
      <c r="D885" s="5" t="inlineStr">
        <is>
          <t>Zimbabwe</t>
        </is>
      </c>
      <c r="E885" s="5" t="n">
        <v>2024</v>
      </c>
      <c r="F885" s="5" t="n">
        <v>0.145</v>
      </c>
      <c r="G885" s="5" t="n">
        <v>2.051</v>
      </c>
      <c r="H885" s="5" t="n">
        <v>0.662</v>
      </c>
      <c r="I885" s="5" t="n">
        <v>0</v>
      </c>
      <c r="J885" s="5" t="n">
        <v>2.051</v>
      </c>
      <c r="K885" s="5" t="n">
        <v>0</v>
      </c>
      <c r="L885" s="5" t="n">
        <v>1</v>
      </c>
      <c r="M885" s="5" t="n">
        <v>3.374</v>
      </c>
      <c r="N885" s="5" t="n">
        <v>1.986</v>
      </c>
      <c r="O885" s="5" t="n">
        <v>0</v>
      </c>
      <c r="P885" s="5" t="n">
        <v>3.374</v>
      </c>
      <c r="Q885" s="5" t="n">
        <v>0</v>
      </c>
      <c r="R885" s="5" t="n">
        <v>1</v>
      </c>
      <c r="S885" s="5" t="n">
        <v>5.361</v>
      </c>
      <c r="T885" s="5" t="n">
        <v>3.973</v>
      </c>
      <c r="U885" s="5" t="n">
        <v>0.106</v>
      </c>
      <c r="V885" s="5" t="n">
        <v>6.139</v>
      </c>
      <c r="W885" s="5" t="n">
        <v>0.145</v>
      </c>
      <c r="X885" s="5" t="n">
        <v>1</v>
      </c>
      <c r="Y885" s="5" t="n">
        <v>11.458</v>
      </c>
      <c r="Z885" s="5" t="n">
        <v>1.549</v>
      </c>
      <c r="AA885" s="5" t="n">
        <v>0</v>
      </c>
      <c r="AB885" s="5" t="n">
        <v>11.458</v>
      </c>
      <c r="AC885" s="5" t="n">
        <v>0</v>
      </c>
      <c r="AD885" s="5" t="n">
        <v>1</v>
      </c>
      <c r="AE885" s="5" t="n">
        <v>12.782</v>
      </c>
      <c r="AF885" s="5" t="n">
        <v>2.989</v>
      </c>
      <c r="AG885" s="5" t="n">
        <v>0</v>
      </c>
      <c r="AH885" s="5" t="n">
        <v>12.782</v>
      </c>
      <c r="AI885" s="5" t="n">
        <v>0</v>
      </c>
      <c r="AJ885" s="5" t="n">
        <v>1</v>
      </c>
      <c r="AK885" s="5" t="n">
        <v>20.724</v>
      </c>
      <c r="AL885" s="5" t="n">
        <v>11.037</v>
      </c>
      <c r="AM885" s="5" t="n">
        <v>0.409</v>
      </c>
      <c r="AN885" s="5" t="n">
        <v>23.728</v>
      </c>
      <c r="AO885" s="5" t="n">
        <v>0.145</v>
      </c>
      <c r="AP885" s="5" t="n">
        <v>1</v>
      </c>
      <c r="AQ885" s="5" t="n">
        <v>0.724</v>
      </c>
      <c r="AR885" s="5" t="n">
        <v>0.132</v>
      </c>
      <c r="AS885" s="5" t="n">
        <v>-0.301</v>
      </c>
      <c r="AT885" s="5" t="n">
        <v>0.485</v>
      </c>
      <c r="AU885" s="5" t="n">
        <v>0</v>
      </c>
      <c r="AV885" s="5" t="n">
        <v>0</v>
      </c>
      <c r="AW885" s="5" t="n">
        <v>0.75</v>
      </c>
      <c r="AX885" s="5" t="n">
        <v>0.132</v>
      </c>
      <c r="AY885" s="5" t="n">
        <v>-0.318</v>
      </c>
      <c r="AZ885" s="5" t="n">
        <v>0.495</v>
      </c>
      <c r="BA885" s="5" t="n">
        <v>0</v>
      </c>
      <c r="BB885" s="5" t="n">
        <v>0</v>
      </c>
      <c r="BC885" s="5" t="n">
        <v>0.513</v>
      </c>
      <c r="BD885" s="5" t="n">
        <v>0.132</v>
      </c>
      <c r="BE885" s="5" t="n">
        <v>0.01</v>
      </c>
      <c r="BF885" s="5" t="n">
        <v>0.587</v>
      </c>
      <c r="BG885" s="5" t="n">
        <v>0.145</v>
      </c>
      <c r="BH885" s="5" t="n">
        <v>1</v>
      </c>
      <c r="BI885" s="5" t="n">
        <v>0.591</v>
      </c>
      <c r="BJ885" s="5" t="n">
        <v>0.132</v>
      </c>
      <c r="BK885" s="5" t="n">
        <v>-0.581</v>
      </c>
      <c r="BL885" s="5" t="n">
        <v>0.01</v>
      </c>
      <c r="BM885" s="5" t="n">
        <v>0</v>
      </c>
      <c r="BN885" s="5" t="n">
        <v>0</v>
      </c>
      <c r="BO885" s="5" t="n">
        <v>0</v>
      </c>
      <c r="BP885" s="5" t="n">
        <v>0</v>
      </c>
      <c r="BQ885" s="5" t="n">
        <v>0.109</v>
      </c>
      <c r="BR885" s="5" t="n">
        <v>0</v>
      </c>
      <c r="BS885" s="5" t="n">
        <v>0.667</v>
      </c>
      <c r="BT885" s="5" t="n">
        <v>0</v>
      </c>
      <c r="BU885" s="5" t="n">
        <v>0</v>
      </c>
      <c r="BV885" s="5" t="n">
        <v>0.078</v>
      </c>
      <c r="BW885" s="5" t="n">
        <v>0.145</v>
      </c>
      <c r="BX885" s="5" t="n">
        <v>0.667</v>
      </c>
      <c r="BY885" s="5" t="n">
        <v>13.646</v>
      </c>
      <c r="BZ885" s="5" t="n">
        <v>0</v>
      </c>
      <c r="CA885" s="5" t="n">
        <v>13.646</v>
      </c>
      <c r="CB885" s="5" t="n">
        <v>0</v>
      </c>
      <c r="CC885" s="5" t="n">
        <v>82.58799999999999</v>
      </c>
      <c r="CD885" s="5" t="n">
        <v>7.95</v>
      </c>
      <c r="CE885" s="5" t="n">
        <v>1.631</v>
      </c>
      <c r="CF885" s="5" t="n">
        <v>94.563</v>
      </c>
      <c r="CG885" s="5" t="n">
        <v>0.145</v>
      </c>
      <c r="CH885" s="5" t="n">
        <v>1</v>
      </c>
      <c r="CI885" s="5" t="n">
        <v>0</v>
      </c>
      <c r="CJ885" s="5" t="n">
        <v>0</v>
      </c>
      <c r="CK885" s="5" t="n">
        <v>0</v>
      </c>
      <c r="CL885" s="5" t="n">
        <v>0</v>
      </c>
      <c r="CM885" s="5" t="n">
        <v>0</v>
      </c>
      <c r="CN885" s="5" t="n">
        <v>0</v>
      </c>
      <c r="CO885" s="5" t="n">
        <v>0</v>
      </c>
      <c r="CP885" s="5" t="n">
        <v>1</v>
      </c>
      <c r="CQ885" s="5" t="n">
        <v>1.387</v>
      </c>
      <c r="CR885" s="5" t="n">
        <v>0</v>
      </c>
      <c r="CS885" s="5" t="n">
        <v>5.529</v>
      </c>
      <c r="CT885" s="5" t="n">
        <v>4.251</v>
      </c>
      <c r="CU885" s="5" t="n">
        <v>10.168</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3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s>
  <sheetData>
    <row r="1">
      <c r="A1" s="5" t="inlineStr">
        <is>
          <t>Source: legacy Mitigation rows 583-602 via kernel v1.6 Data_Energy (Egypt only so far)</t>
        </is>
      </c>
    </row>
    <row r="2">
      <c r="A2" s="1" t="inlineStr">
        <is>
          <t>Base-year energy use by subsector and fuel (ktoe)</t>
        </is>
      </c>
      <c r="B2" s="2" t="n"/>
      <c r="C2" s="2" t="n"/>
      <c r="D2" s="2" t="n"/>
      <c r="E2" s="2" t="n"/>
      <c r="F2" s="2" t="n"/>
      <c r="G2" s="2" t="n"/>
    </row>
    <row r="3">
      <c r="A3" s="7" t="inlineStr">
        <is>
          <t>key</t>
        </is>
      </c>
      <c r="B3" s="7" t="inlineStr">
        <is>
          <t>country</t>
        </is>
      </c>
      <c r="C3" s="7" t="inlineStr">
        <is>
          <t>year</t>
        </is>
      </c>
      <c r="D3" s="7" t="inlineStr">
        <is>
          <t>subsector</t>
        </is>
      </c>
      <c r="E3" s="7" t="inlineStr">
        <is>
          <t>fuel</t>
        </is>
      </c>
      <c r="F3" s="7" t="inlineStr">
        <is>
          <t>ktoe</t>
        </is>
      </c>
      <c r="G3" s="7" t="inlineStr">
        <is>
          <t>source</t>
        </is>
      </c>
    </row>
    <row r="4">
      <c r="A4" s="5" t="inlineStr">
        <is>
          <t>EGY|2022|rod|coa</t>
        </is>
      </c>
      <c r="B4" s="5" t="inlineStr">
        <is>
          <t>EGY</t>
        </is>
      </c>
      <c r="C4" s="5" t="n">
        <v>2022</v>
      </c>
      <c r="D4" s="5" t="inlineStr">
        <is>
          <t>rod</t>
        </is>
      </c>
      <c r="E4" s="5" t="inlineStr">
        <is>
          <t>coa</t>
        </is>
      </c>
      <c r="F4" s="5" t="n">
        <v>0</v>
      </c>
      <c r="G4" s="5" t="inlineStr">
        <is>
          <t>Kernel v1.6 Data_Energy = legacy Mitigation rows 583-602</t>
        </is>
      </c>
    </row>
    <row r="5">
      <c r="A5" s="5" t="inlineStr">
        <is>
          <t>EGY|2022|ral|coa</t>
        </is>
      </c>
      <c r="B5" s="5" t="inlineStr">
        <is>
          <t>EGY</t>
        </is>
      </c>
      <c r="C5" s="5" t="n">
        <v>2022</v>
      </c>
      <c r="D5" s="5" t="inlineStr">
        <is>
          <t>ral</t>
        </is>
      </c>
      <c r="E5" s="5" t="inlineStr">
        <is>
          <t>coa</t>
        </is>
      </c>
      <c r="F5" s="5" t="n">
        <v>0</v>
      </c>
      <c r="G5" s="5" t="inlineStr">
        <is>
          <t>Kernel v1.6 Data_Energy = legacy Mitigation rows 583-602</t>
        </is>
      </c>
    </row>
    <row r="6">
      <c r="A6" s="5" t="inlineStr">
        <is>
          <t>EGY|2022|avi|coa</t>
        </is>
      </c>
      <c r="B6" s="5" t="inlineStr">
        <is>
          <t>EGY</t>
        </is>
      </c>
      <c r="C6" s="5" t="n">
        <v>2022</v>
      </c>
      <c r="D6" s="5" t="inlineStr">
        <is>
          <t>avi</t>
        </is>
      </c>
      <c r="E6" s="5" t="inlineStr">
        <is>
          <t>coa</t>
        </is>
      </c>
      <c r="F6" s="5" t="n">
        <v>0</v>
      </c>
      <c r="G6" s="5" t="inlineStr">
        <is>
          <t>Kernel v1.6 Data_Energy = legacy Mitigation rows 583-602</t>
        </is>
      </c>
    </row>
    <row r="7">
      <c r="A7" s="5" t="inlineStr">
        <is>
          <t>EGY|2022|nav|coa</t>
        </is>
      </c>
      <c r="B7" s="5" t="inlineStr">
        <is>
          <t>EGY</t>
        </is>
      </c>
      <c r="C7" s="5" t="n">
        <v>2022</v>
      </c>
      <c r="D7" s="5" t="inlineStr">
        <is>
          <t>nav</t>
        </is>
      </c>
      <c r="E7" s="5" t="inlineStr">
        <is>
          <t>coa</t>
        </is>
      </c>
      <c r="F7" s="5" t="n">
        <v>0</v>
      </c>
      <c r="G7" s="5" t="inlineStr">
        <is>
          <t>Kernel v1.6 Data_Energy = legacy Mitigation rows 583-602</t>
        </is>
      </c>
    </row>
    <row r="8">
      <c r="A8" s="5" t="inlineStr">
        <is>
          <t>EGY|2022|res|coa</t>
        </is>
      </c>
      <c r="B8" s="5" t="inlineStr">
        <is>
          <t>EGY</t>
        </is>
      </c>
      <c r="C8" s="5" t="n">
        <v>2022</v>
      </c>
      <c r="D8" s="5" t="inlineStr">
        <is>
          <t>res</t>
        </is>
      </c>
      <c r="E8" s="5" t="inlineStr">
        <is>
          <t>coa</t>
        </is>
      </c>
      <c r="F8" s="5" t="n">
        <v>1.67290731426795</v>
      </c>
      <c r="G8" s="5" t="inlineStr">
        <is>
          <t>Kernel v1.6 Data_Energy = legacy Mitigation rows 583-602</t>
        </is>
      </c>
    </row>
    <row r="9">
      <c r="A9" s="5" t="inlineStr">
        <is>
          <t>EGY|2022|foo|coa</t>
        </is>
      </c>
      <c r="B9" s="5" t="inlineStr">
        <is>
          <t>EGY</t>
        </is>
      </c>
      <c r="C9" s="5" t="n">
        <v>2022</v>
      </c>
      <c r="D9" s="5" t="inlineStr">
        <is>
          <t>foo</t>
        </is>
      </c>
      <c r="E9" s="5" t="inlineStr">
        <is>
          <t>coa</t>
        </is>
      </c>
      <c r="F9" s="5" t="n">
        <v>0</v>
      </c>
      <c r="G9" s="5" t="inlineStr">
        <is>
          <t>Kernel v1.6 Data_Energy = legacy Mitigation rows 583-602</t>
        </is>
      </c>
    </row>
    <row r="10">
      <c r="A10" s="5" t="inlineStr">
        <is>
          <t>EGY|2022|srv|coa</t>
        </is>
      </c>
      <c r="B10" s="5" t="inlineStr">
        <is>
          <t>EGY</t>
        </is>
      </c>
      <c r="C10" s="5" t="n">
        <v>2022</v>
      </c>
      <c r="D10" s="5" t="inlineStr">
        <is>
          <t>srv</t>
        </is>
      </c>
      <c r="E10" s="5" t="inlineStr">
        <is>
          <t>coa</t>
        </is>
      </c>
      <c r="F10" s="5" t="n">
        <v>0</v>
      </c>
      <c r="G10" s="5" t="inlineStr">
        <is>
          <t>Kernel v1.6 Data_Energy = legacy Mitigation rows 583-602</t>
        </is>
      </c>
    </row>
    <row r="11">
      <c r="A11" s="5" t="inlineStr">
        <is>
          <t>EGY|2022|mch|coa</t>
        </is>
      </c>
      <c r="B11" s="5" t="inlineStr">
        <is>
          <t>EGY</t>
        </is>
      </c>
      <c r="C11" s="5" t="n">
        <v>2022</v>
      </c>
      <c r="D11" s="5" t="inlineStr">
        <is>
          <t>mch</t>
        </is>
      </c>
      <c r="E11" s="5" t="inlineStr">
        <is>
          <t>coa</t>
        </is>
      </c>
      <c r="F11" s="5" t="n">
        <v>0</v>
      </c>
      <c r="G11" s="5" t="inlineStr">
        <is>
          <t>Kernel v1.6 Data_Energy = legacy Mitigation rows 583-602</t>
        </is>
      </c>
    </row>
    <row r="12">
      <c r="A12" s="5" t="inlineStr">
        <is>
          <t>EGY|2022|irn|coa</t>
        </is>
      </c>
      <c r="B12" s="5" t="inlineStr">
        <is>
          <t>EGY</t>
        </is>
      </c>
      <c r="C12" s="5" t="n">
        <v>2022</v>
      </c>
      <c r="D12" s="5" t="inlineStr">
        <is>
          <t>irn</t>
        </is>
      </c>
      <c r="E12" s="5" t="inlineStr">
        <is>
          <t>coa</t>
        </is>
      </c>
      <c r="F12" s="5" t="n">
        <v>232.657354770131</v>
      </c>
      <c r="G12" s="5" t="inlineStr">
        <is>
          <t>Kernel v1.6 Data_Energy = legacy Mitigation rows 583-602</t>
        </is>
      </c>
    </row>
    <row r="13">
      <c r="A13" s="5" t="inlineStr">
        <is>
          <t>EGY|2022|nfm|coa</t>
        </is>
      </c>
      <c r="B13" s="5" t="inlineStr">
        <is>
          <t>EGY</t>
        </is>
      </c>
      <c r="C13" s="5" t="n">
        <v>2022</v>
      </c>
      <c r="D13" s="5" t="inlineStr">
        <is>
          <t>nfm</t>
        </is>
      </c>
      <c r="E13" s="5" t="inlineStr">
        <is>
          <t>coa</t>
        </is>
      </c>
      <c r="F13" s="5" t="n">
        <v>0</v>
      </c>
      <c r="G13" s="5" t="inlineStr">
        <is>
          <t>Kernel v1.6 Data_Energy = legacy Mitigation rows 583-602</t>
        </is>
      </c>
    </row>
    <row r="14">
      <c r="A14" s="5" t="inlineStr">
        <is>
          <t>EGY|2022|mac|coa</t>
        </is>
      </c>
      <c r="B14" s="5" t="inlineStr">
        <is>
          <t>EGY</t>
        </is>
      </c>
      <c r="C14" s="5" t="n">
        <v>2022</v>
      </c>
      <c r="D14" s="5" t="inlineStr">
        <is>
          <t>mac</t>
        </is>
      </c>
      <c r="E14" s="5" t="inlineStr">
        <is>
          <t>coa</t>
        </is>
      </c>
      <c r="F14" s="5" t="n">
        <v>0</v>
      </c>
      <c r="G14" s="5" t="inlineStr">
        <is>
          <t>Kernel v1.6 Data_Energy = legacy Mitigation rows 583-602</t>
        </is>
      </c>
    </row>
    <row r="15">
      <c r="A15" s="5" t="inlineStr">
        <is>
          <t>EGY|2022|cem|coa</t>
        </is>
      </c>
      <c r="B15" s="5" t="inlineStr">
        <is>
          <t>EGY</t>
        </is>
      </c>
      <c r="C15" s="5" t="n">
        <v>2022</v>
      </c>
      <c r="D15" s="5" t="inlineStr">
        <is>
          <t>cem</t>
        </is>
      </c>
      <c r="E15" s="5" t="inlineStr">
        <is>
          <t>coa</t>
        </is>
      </c>
      <c r="F15" s="5" t="n">
        <v>1463.05522446279</v>
      </c>
      <c r="G15" s="5" t="inlineStr">
        <is>
          <t>Kernel v1.6 Data_Energy = legacy Mitigation rows 583-602</t>
        </is>
      </c>
    </row>
    <row r="16">
      <c r="A16" s="5" t="inlineStr">
        <is>
          <t>EGY|2022|omn|coa</t>
        </is>
      </c>
      <c r="B16" s="5" t="inlineStr">
        <is>
          <t>EGY</t>
        </is>
      </c>
      <c r="C16" s="5" t="n">
        <v>2022</v>
      </c>
      <c r="D16" s="5" t="inlineStr">
        <is>
          <t>omn</t>
        </is>
      </c>
      <c r="E16" s="5" t="inlineStr">
        <is>
          <t>coa</t>
        </is>
      </c>
      <c r="F16" s="5" t="n">
        <v>0</v>
      </c>
      <c r="G16" s="5" t="inlineStr">
        <is>
          <t>Kernel v1.6 Data_Energy = legacy Mitigation rows 583-602</t>
        </is>
      </c>
    </row>
    <row r="17">
      <c r="A17" s="5" t="inlineStr">
        <is>
          <t>EGY|2022|cst|coa</t>
        </is>
      </c>
      <c r="B17" s="5" t="inlineStr">
        <is>
          <t>EGY</t>
        </is>
      </c>
      <c r="C17" s="5" t="n">
        <v>2022</v>
      </c>
      <c r="D17" s="5" t="inlineStr">
        <is>
          <t>cst</t>
        </is>
      </c>
      <c r="E17" s="5" t="inlineStr">
        <is>
          <t>coa</t>
        </is>
      </c>
      <c r="F17" s="5" t="n">
        <v>0</v>
      </c>
      <c r="G17" s="5" t="inlineStr">
        <is>
          <t>Kernel v1.6 Data_Energy = legacy Mitigation rows 583-602</t>
        </is>
      </c>
    </row>
    <row r="18">
      <c r="A18" s="5" t="inlineStr">
        <is>
          <t>EGY|2022|ftr|coa</t>
        </is>
      </c>
      <c r="B18" s="5" t="inlineStr">
        <is>
          <t>EGY</t>
        </is>
      </c>
      <c r="C18" s="5" t="n">
        <v>2022</v>
      </c>
      <c r="D18" s="5" t="inlineStr">
        <is>
          <t>ftr</t>
        </is>
      </c>
      <c r="E18" s="5" t="inlineStr">
        <is>
          <t>coa</t>
        </is>
      </c>
      <c r="F18" s="5" t="n">
        <v>0</v>
      </c>
      <c r="G18" s="5" t="inlineStr">
        <is>
          <t>Kernel v1.6 Data_Energy = legacy Mitigation rows 583-602</t>
        </is>
      </c>
    </row>
    <row r="19">
      <c r="A19" s="5" t="inlineStr">
        <is>
          <t>EGY|2022|oen|coa</t>
        </is>
      </c>
      <c r="B19" s="5" t="inlineStr">
        <is>
          <t>EGY</t>
        </is>
      </c>
      <c r="C19" s="5" t="n">
        <v>2022</v>
      </c>
      <c r="D19" s="5" t="inlineStr">
        <is>
          <t>oen</t>
        </is>
      </c>
      <c r="E19" s="5" t="inlineStr">
        <is>
          <t>coa</t>
        </is>
      </c>
      <c r="F19" s="5" t="n">
        <v>0</v>
      </c>
      <c r="G19" s="5" t="inlineStr">
        <is>
          <t>Kernel v1.6 Data_Energy = legacy Mitigation rows 583-602</t>
        </is>
      </c>
    </row>
    <row r="20">
      <c r="A20" s="5" t="inlineStr">
        <is>
          <t>EGY|2022|rod|nga</t>
        </is>
      </c>
      <c r="B20" s="5" t="inlineStr">
        <is>
          <t>EGY</t>
        </is>
      </c>
      <c r="C20" s="5" t="n">
        <v>2022</v>
      </c>
      <c r="D20" s="5" t="inlineStr">
        <is>
          <t>rod</t>
        </is>
      </c>
      <c r="E20" s="5" t="inlineStr">
        <is>
          <t>nga</t>
        </is>
      </c>
      <c r="F20" s="5" t="n">
        <v>541.703992516236</v>
      </c>
      <c r="G20" s="5" t="inlineStr">
        <is>
          <t>Kernel v1.6 Data_Energy = legacy Mitigation rows 583-602</t>
        </is>
      </c>
    </row>
    <row r="21">
      <c r="A21" s="5" t="inlineStr">
        <is>
          <t>EGY|2022|ral|nga</t>
        </is>
      </c>
      <c r="B21" s="5" t="inlineStr">
        <is>
          <t>EGY</t>
        </is>
      </c>
      <c r="C21" s="5" t="n">
        <v>2022</v>
      </c>
      <c r="D21" s="5" t="inlineStr">
        <is>
          <t>ral</t>
        </is>
      </c>
      <c r="E21" s="5" t="inlineStr">
        <is>
          <t>nga</t>
        </is>
      </c>
      <c r="F21" s="5" t="n">
        <v>0</v>
      </c>
      <c r="G21" s="5" t="inlineStr">
        <is>
          <t>Kernel v1.6 Data_Energy = legacy Mitigation rows 583-602</t>
        </is>
      </c>
    </row>
    <row r="22">
      <c r="A22" s="5" t="inlineStr">
        <is>
          <t>EGY|2022|avi|nga</t>
        </is>
      </c>
      <c r="B22" s="5" t="inlineStr">
        <is>
          <t>EGY</t>
        </is>
      </c>
      <c r="C22" s="5" t="n">
        <v>2022</v>
      </c>
      <c r="D22" s="5" t="inlineStr">
        <is>
          <t>avi</t>
        </is>
      </c>
      <c r="E22" s="5" t="inlineStr">
        <is>
          <t>nga</t>
        </is>
      </c>
      <c r="F22" s="5" t="n">
        <v>0</v>
      </c>
      <c r="G22" s="5" t="inlineStr">
        <is>
          <t>Kernel v1.6 Data_Energy = legacy Mitigation rows 583-602</t>
        </is>
      </c>
    </row>
    <row r="23">
      <c r="A23" s="5" t="inlineStr">
        <is>
          <t>EGY|2022|nav|nga</t>
        </is>
      </c>
      <c r="B23" s="5" t="inlineStr">
        <is>
          <t>EGY</t>
        </is>
      </c>
      <c r="C23" s="5" t="n">
        <v>2022</v>
      </c>
      <c r="D23" s="5" t="inlineStr">
        <is>
          <t>nav</t>
        </is>
      </c>
      <c r="E23" s="5" t="inlineStr">
        <is>
          <t>nga</t>
        </is>
      </c>
      <c r="F23" s="5" t="n">
        <v>0</v>
      </c>
      <c r="G23" s="5" t="inlineStr">
        <is>
          <t>Kernel v1.6 Data_Energy = legacy Mitigation rows 583-602</t>
        </is>
      </c>
    </row>
    <row r="24">
      <c r="A24" s="5" t="inlineStr">
        <is>
          <t>EGY|2022|res|nga</t>
        </is>
      </c>
      <c r="B24" s="5" t="inlineStr">
        <is>
          <t>EGY</t>
        </is>
      </c>
      <c r="C24" s="5" t="n">
        <v>2022</v>
      </c>
      <c r="D24" s="5" t="inlineStr">
        <is>
          <t>res</t>
        </is>
      </c>
      <c r="E24" s="5" t="inlineStr">
        <is>
          <t>nga</t>
        </is>
      </c>
      <c r="F24" s="5" t="n">
        <v>2035.46041977272</v>
      </c>
      <c r="G24" s="5" t="inlineStr">
        <is>
          <t>Kernel v1.6 Data_Energy = legacy Mitigation rows 583-602</t>
        </is>
      </c>
    </row>
    <row r="25">
      <c r="A25" s="5" t="inlineStr">
        <is>
          <t>EGY|2022|foo|nga</t>
        </is>
      </c>
      <c r="B25" s="5" t="inlineStr">
        <is>
          <t>EGY</t>
        </is>
      </c>
      <c r="C25" s="5" t="n">
        <v>2022</v>
      </c>
      <c r="D25" s="5" t="inlineStr">
        <is>
          <t>foo</t>
        </is>
      </c>
      <c r="E25" s="5" t="inlineStr">
        <is>
          <t>nga</t>
        </is>
      </c>
      <c r="F25" s="5" t="n">
        <v>0</v>
      </c>
      <c r="G25" s="5" t="inlineStr">
        <is>
          <t>Kernel v1.6 Data_Energy = legacy Mitigation rows 583-602</t>
        </is>
      </c>
    </row>
    <row r="26">
      <c r="A26" s="5" t="inlineStr">
        <is>
          <t>EGY|2022|srv|nga</t>
        </is>
      </c>
      <c r="B26" s="5" t="inlineStr">
        <is>
          <t>EGY</t>
        </is>
      </c>
      <c r="C26" s="5" t="n">
        <v>2022</v>
      </c>
      <c r="D26" s="5" t="inlineStr">
        <is>
          <t>srv</t>
        </is>
      </c>
      <c r="E26" s="5" t="inlineStr">
        <is>
          <t>nga</t>
        </is>
      </c>
      <c r="F26" s="5" t="n">
        <v>0</v>
      </c>
      <c r="G26" s="5" t="inlineStr">
        <is>
          <t>Kernel v1.6 Data_Energy = legacy Mitigation rows 583-602</t>
        </is>
      </c>
    </row>
    <row r="27">
      <c r="A27" s="5" t="inlineStr">
        <is>
          <t>EGY|2022|mch|nga</t>
        </is>
      </c>
      <c r="B27" s="5" t="inlineStr">
        <is>
          <t>EGY</t>
        </is>
      </c>
      <c r="C27" s="5" t="n">
        <v>2022</v>
      </c>
      <c r="D27" s="5" t="inlineStr">
        <is>
          <t>mch</t>
        </is>
      </c>
      <c r="E27" s="5" t="inlineStr">
        <is>
          <t>nga</t>
        </is>
      </c>
      <c r="F27" s="5" t="n">
        <v>0</v>
      </c>
      <c r="G27" s="5" t="inlineStr">
        <is>
          <t>Kernel v1.6 Data_Energy = legacy Mitigation rows 583-602</t>
        </is>
      </c>
    </row>
    <row r="28">
      <c r="A28" s="5" t="inlineStr">
        <is>
          <t>EGY|2022|irn|nga</t>
        </is>
      </c>
      <c r="B28" s="5" t="inlineStr">
        <is>
          <t>EGY</t>
        </is>
      </c>
      <c r="C28" s="5" t="n">
        <v>2022</v>
      </c>
      <c r="D28" s="5" t="inlineStr">
        <is>
          <t>irn</t>
        </is>
      </c>
      <c r="E28" s="5" t="inlineStr">
        <is>
          <t>nga</t>
        </is>
      </c>
      <c r="F28" s="5" t="n">
        <v>1669.05671904213</v>
      </c>
      <c r="G28" s="5" t="inlineStr">
        <is>
          <t>Kernel v1.6 Data_Energy = legacy Mitigation rows 583-602</t>
        </is>
      </c>
    </row>
    <row r="29">
      <c r="A29" s="5" t="inlineStr">
        <is>
          <t>EGY|2022|nfm|nga</t>
        </is>
      </c>
      <c r="B29" s="5" t="inlineStr">
        <is>
          <t>EGY</t>
        </is>
      </c>
      <c r="C29" s="5" t="n">
        <v>2022</v>
      </c>
      <c r="D29" s="5" t="inlineStr">
        <is>
          <t>nfm</t>
        </is>
      </c>
      <c r="E29" s="5" t="inlineStr">
        <is>
          <t>nga</t>
        </is>
      </c>
      <c r="F29" s="5" t="n">
        <v>0</v>
      </c>
      <c r="G29" s="5" t="inlineStr">
        <is>
          <t>Kernel v1.6 Data_Energy = legacy Mitigation rows 583-602</t>
        </is>
      </c>
    </row>
    <row r="30">
      <c r="A30" s="5" t="inlineStr">
        <is>
          <t>EGY|2022|mac|nga</t>
        </is>
      </c>
      <c r="B30" s="5" t="inlineStr">
        <is>
          <t>EGY</t>
        </is>
      </c>
      <c r="C30" s="5" t="n">
        <v>2022</v>
      </c>
      <c r="D30" s="5" t="inlineStr">
        <is>
          <t>mac</t>
        </is>
      </c>
      <c r="E30" s="5" t="inlineStr">
        <is>
          <t>nga</t>
        </is>
      </c>
      <c r="F30" s="5" t="n">
        <v>0</v>
      </c>
      <c r="G30" s="5" t="inlineStr">
        <is>
          <t>Kernel v1.6 Data_Energy = legacy Mitigation rows 583-602</t>
        </is>
      </c>
    </row>
    <row r="31">
      <c r="A31" s="5" t="inlineStr">
        <is>
          <t>EGY|2022|cem|nga</t>
        </is>
      </c>
      <c r="B31" s="5" t="inlineStr">
        <is>
          <t>EGY</t>
        </is>
      </c>
      <c r="C31" s="5" t="n">
        <v>2022</v>
      </c>
      <c r="D31" s="5" t="inlineStr">
        <is>
          <t>cem</t>
        </is>
      </c>
      <c r="E31" s="5" t="inlineStr">
        <is>
          <t>nga</t>
        </is>
      </c>
      <c r="F31" s="5" t="n">
        <v>1747.39153476208</v>
      </c>
      <c r="G31" s="5" t="inlineStr">
        <is>
          <t>Kernel v1.6 Data_Energy = legacy Mitigation rows 583-602</t>
        </is>
      </c>
    </row>
    <row r="32">
      <c r="A32" s="5" t="inlineStr">
        <is>
          <t>EGY|2022|omn|nga</t>
        </is>
      </c>
      <c r="B32" s="5" t="inlineStr">
        <is>
          <t>EGY</t>
        </is>
      </c>
      <c r="C32" s="5" t="n">
        <v>2022</v>
      </c>
      <c r="D32" s="5" t="inlineStr">
        <is>
          <t>omn</t>
        </is>
      </c>
      <c r="E32" s="5" t="inlineStr">
        <is>
          <t>nga</t>
        </is>
      </c>
      <c r="F32" s="5" t="n">
        <v>960.1300372147859</v>
      </c>
      <c r="G32" s="5" t="inlineStr">
        <is>
          <t>Kernel v1.6 Data_Energy = legacy Mitigation rows 583-602</t>
        </is>
      </c>
    </row>
    <row r="33">
      <c r="A33" s="5" t="inlineStr">
        <is>
          <t>EGY|2022|cst|nga</t>
        </is>
      </c>
      <c r="B33" s="5" t="inlineStr">
        <is>
          <t>EGY</t>
        </is>
      </c>
      <c r="C33" s="5" t="n">
        <v>2022</v>
      </c>
      <c r="D33" s="5" t="inlineStr">
        <is>
          <t>cst</t>
        </is>
      </c>
      <c r="E33" s="5" t="inlineStr">
        <is>
          <t>nga</t>
        </is>
      </c>
      <c r="F33" s="5" t="n">
        <v>0</v>
      </c>
      <c r="G33" s="5" t="inlineStr">
        <is>
          <t>Kernel v1.6 Data_Energy = legacy Mitigation rows 583-602</t>
        </is>
      </c>
    </row>
    <row r="34">
      <c r="A34" s="5" t="inlineStr">
        <is>
          <t>EGY|2022|ftr|nga</t>
        </is>
      </c>
      <c r="B34" s="5" t="inlineStr">
        <is>
          <t>EGY</t>
        </is>
      </c>
      <c r="C34" s="5" t="n">
        <v>2022</v>
      </c>
      <c r="D34" s="5" t="inlineStr">
        <is>
          <t>ftr</t>
        </is>
      </c>
      <c r="E34" s="5" t="inlineStr">
        <is>
          <t>nga</t>
        </is>
      </c>
      <c r="F34" s="5" t="n">
        <v>7454.00582946635</v>
      </c>
      <c r="G34" s="5" t="inlineStr">
        <is>
          <t>Kernel v1.6 Data_Energy = legacy Mitigation rows 583-602</t>
        </is>
      </c>
    </row>
    <row r="35">
      <c r="A35" s="5" t="inlineStr">
        <is>
          <t>EGY|2022|oen|nga</t>
        </is>
      </c>
      <c r="B35" s="5" t="inlineStr">
        <is>
          <t>EGY</t>
        </is>
      </c>
      <c r="C35" s="5" t="n">
        <v>2022</v>
      </c>
      <c r="D35" s="5" t="inlineStr">
        <is>
          <t>oen</t>
        </is>
      </c>
      <c r="E35" s="5" t="inlineStr">
        <is>
          <t>nga</t>
        </is>
      </c>
      <c r="F35" s="5" t="n">
        <v>0</v>
      </c>
      <c r="G35" s="5" t="inlineStr">
        <is>
          <t>Kernel v1.6 Data_Energy = legacy Mitigation rows 583-602</t>
        </is>
      </c>
    </row>
    <row r="36">
      <c r="A36" s="5" t="inlineStr">
        <is>
          <t>EGY|2022|rod|oop</t>
        </is>
      </c>
      <c r="B36" s="5" t="inlineStr">
        <is>
          <t>EGY</t>
        </is>
      </c>
      <c r="C36" s="5" t="n">
        <v>2022</v>
      </c>
      <c r="D36" s="5" t="inlineStr">
        <is>
          <t>rod</t>
        </is>
      </c>
      <c r="E36" s="5" t="inlineStr">
        <is>
          <t>oop</t>
        </is>
      </c>
      <c r="F36" s="5" t="n">
        <v>0</v>
      </c>
      <c r="G36" s="5" t="inlineStr">
        <is>
          <t>Kernel v1.6 Data_Energy = legacy Mitigation rows 583-602</t>
        </is>
      </c>
    </row>
    <row r="37">
      <c r="A37" s="5" t="inlineStr">
        <is>
          <t>EGY|2022|ral|oop</t>
        </is>
      </c>
      <c r="B37" s="5" t="inlineStr">
        <is>
          <t>EGY</t>
        </is>
      </c>
      <c r="C37" s="5" t="n">
        <v>2022</v>
      </c>
      <c r="D37" s="5" t="inlineStr">
        <is>
          <t>ral</t>
        </is>
      </c>
      <c r="E37" s="5" t="inlineStr">
        <is>
          <t>oop</t>
        </is>
      </c>
      <c r="F37" s="5" t="n">
        <v>0</v>
      </c>
      <c r="G37" s="5" t="inlineStr">
        <is>
          <t>Kernel v1.6 Data_Energy = legacy Mitigation rows 583-602</t>
        </is>
      </c>
    </row>
    <row r="38">
      <c r="A38" s="5" t="inlineStr">
        <is>
          <t>EGY|2022|avi|oop</t>
        </is>
      </c>
      <c r="B38" s="5" t="inlineStr">
        <is>
          <t>EGY</t>
        </is>
      </c>
      <c r="C38" s="5" t="n">
        <v>2022</v>
      </c>
      <c r="D38" s="5" t="inlineStr">
        <is>
          <t>avi</t>
        </is>
      </c>
      <c r="E38" s="5" t="inlineStr">
        <is>
          <t>oop</t>
        </is>
      </c>
      <c r="F38" s="5" t="n">
        <v>0</v>
      </c>
      <c r="G38" s="5" t="inlineStr">
        <is>
          <t>Kernel v1.6 Data_Energy = legacy Mitigation rows 583-602</t>
        </is>
      </c>
    </row>
    <row r="39">
      <c r="A39" s="5" t="inlineStr">
        <is>
          <t>EGY|2022|nav|oop</t>
        </is>
      </c>
      <c r="B39" s="5" t="inlineStr">
        <is>
          <t>EGY</t>
        </is>
      </c>
      <c r="C39" s="5" t="n">
        <v>2022</v>
      </c>
      <c r="D39" s="5" t="inlineStr">
        <is>
          <t>nav</t>
        </is>
      </c>
      <c r="E39" s="5" t="inlineStr">
        <is>
          <t>oop</t>
        </is>
      </c>
      <c r="F39" s="5" t="n">
        <v>290.709497169709</v>
      </c>
      <c r="G39" s="5" t="inlineStr">
        <is>
          <t>Kernel v1.6 Data_Energy = legacy Mitigation rows 583-602</t>
        </is>
      </c>
    </row>
    <row r="40">
      <c r="A40" s="5" t="inlineStr">
        <is>
          <t>EGY|2022|res|oop</t>
        </is>
      </c>
      <c r="B40" s="5" t="inlineStr">
        <is>
          <t>EGY</t>
        </is>
      </c>
      <c r="C40" s="5" t="n">
        <v>2022</v>
      </c>
      <c r="D40" s="5" t="inlineStr">
        <is>
          <t>res</t>
        </is>
      </c>
      <c r="E40" s="5" t="inlineStr">
        <is>
          <t>oop</t>
        </is>
      </c>
      <c r="F40" s="5" t="n">
        <v>0</v>
      </c>
      <c r="G40" s="5" t="inlineStr">
        <is>
          <t>Kernel v1.6 Data_Energy = legacy Mitigation rows 583-602</t>
        </is>
      </c>
    </row>
    <row r="41">
      <c r="A41" s="5" t="inlineStr">
        <is>
          <t>EGY|2022|foo|oop</t>
        </is>
      </c>
      <c r="B41" s="5" t="inlineStr">
        <is>
          <t>EGY</t>
        </is>
      </c>
      <c r="C41" s="5" t="n">
        <v>2022</v>
      </c>
      <c r="D41" s="5" t="inlineStr">
        <is>
          <t>foo</t>
        </is>
      </c>
      <c r="E41" s="5" t="inlineStr">
        <is>
          <t>oop</t>
        </is>
      </c>
      <c r="F41" s="5" t="n">
        <v>0</v>
      </c>
      <c r="G41" s="5" t="inlineStr">
        <is>
          <t>Kernel v1.6 Data_Energy = legacy Mitigation rows 583-602</t>
        </is>
      </c>
    </row>
    <row r="42">
      <c r="A42" s="5" t="inlineStr">
        <is>
          <t>EGY|2022|srv|oop</t>
        </is>
      </c>
      <c r="B42" s="5" t="inlineStr">
        <is>
          <t>EGY</t>
        </is>
      </c>
      <c r="C42" s="5" t="n">
        <v>2022</v>
      </c>
      <c r="D42" s="5" t="inlineStr">
        <is>
          <t>srv</t>
        </is>
      </c>
      <c r="E42" s="5" t="inlineStr">
        <is>
          <t>oop</t>
        </is>
      </c>
      <c r="F42" s="5" t="n">
        <v>0</v>
      </c>
      <c r="G42" s="5" t="inlineStr">
        <is>
          <t>Kernel v1.6 Data_Energy = legacy Mitigation rows 583-602</t>
        </is>
      </c>
    </row>
    <row r="43">
      <c r="A43" s="5" t="inlineStr">
        <is>
          <t>EGY|2022|mch|oop</t>
        </is>
      </c>
      <c r="B43" s="5" t="inlineStr">
        <is>
          <t>EGY</t>
        </is>
      </c>
      <c r="C43" s="5" t="n">
        <v>2022</v>
      </c>
      <c r="D43" s="5" t="inlineStr">
        <is>
          <t>mch</t>
        </is>
      </c>
      <c r="E43" s="5" t="inlineStr">
        <is>
          <t>oop</t>
        </is>
      </c>
      <c r="F43" s="5" t="n">
        <v>0</v>
      </c>
      <c r="G43" s="5" t="inlineStr">
        <is>
          <t>Kernel v1.6 Data_Energy = legacy Mitigation rows 583-602</t>
        </is>
      </c>
    </row>
    <row r="44">
      <c r="A44" s="5" t="inlineStr">
        <is>
          <t>EGY|2022|irn|oop</t>
        </is>
      </c>
      <c r="B44" s="5" t="inlineStr">
        <is>
          <t>EGY</t>
        </is>
      </c>
      <c r="C44" s="5" t="n">
        <v>2022</v>
      </c>
      <c r="D44" s="5" t="inlineStr">
        <is>
          <t>irn</t>
        </is>
      </c>
      <c r="E44" s="5" t="inlineStr">
        <is>
          <t>oop</t>
        </is>
      </c>
      <c r="F44" s="5" t="n">
        <v>0</v>
      </c>
      <c r="G44" s="5" t="inlineStr">
        <is>
          <t>Kernel v1.6 Data_Energy = legacy Mitigation rows 583-602</t>
        </is>
      </c>
    </row>
    <row r="45">
      <c r="A45" s="5" t="inlineStr">
        <is>
          <t>EGY|2022|nfm|oop</t>
        </is>
      </c>
      <c r="B45" s="5" t="inlineStr">
        <is>
          <t>EGY</t>
        </is>
      </c>
      <c r="C45" s="5" t="n">
        <v>2022</v>
      </c>
      <c r="D45" s="5" t="inlineStr">
        <is>
          <t>nfm</t>
        </is>
      </c>
      <c r="E45" s="5" t="inlineStr">
        <is>
          <t>oop</t>
        </is>
      </c>
      <c r="F45" s="5" t="n">
        <v>0</v>
      </c>
      <c r="G45" s="5" t="inlineStr">
        <is>
          <t>Kernel v1.6 Data_Energy = legacy Mitigation rows 583-602</t>
        </is>
      </c>
    </row>
    <row r="46">
      <c r="A46" s="5" t="inlineStr">
        <is>
          <t>EGY|2022|mac|oop</t>
        </is>
      </c>
      <c r="B46" s="5" t="inlineStr">
        <is>
          <t>EGY</t>
        </is>
      </c>
      <c r="C46" s="5" t="n">
        <v>2022</v>
      </c>
      <c r="D46" s="5" t="inlineStr">
        <is>
          <t>mac</t>
        </is>
      </c>
      <c r="E46" s="5" t="inlineStr">
        <is>
          <t>oop</t>
        </is>
      </c>
      <c r="F46" s="5" t="n">
        <v>0</v>
      </c>
      <c r="G46" s="5" t="inlineStr">
        <is>
          <t>Kernel v1.6 Data_Energy = legacy Mitigation rows 583-602</t>
        </is>
      </c>
    </row>
    <row r="47">
      <c r="A47" s="5" t="inlineStr">
        <is>
          <t>EGY|2022|cem|oop</t>
        </is>
      </c>
      <c r="B47" s="5" t="inlineStr">
        <is>
          <t>EGY</t>
        </is>
      </c>
      <c r="C47" s="5" t="n">
        <v>2022</v>
      </c>
      <c r="D47" s="5" t="inlineStr">
        <is>
          <t>cem</t>
        </is>
      </c>
      <c r="E47" s="5" t="inlineStr">
        <is>
          <t>oop</t>
        </is>
      </c>
      <c r="F47" s="5" t="n">
        <v>0</v>
      </c>
      <c r="G47" s="5" t="inlineStr">
        <is>
          <t>Kernel v1.6 Data_Energy = legacy Mitigation rows 583-602</t>
        </is>
      </c>
    </row>
    <row r="48">
      <c r="A48" s="5" t="inlineStr">
        <is>
          <t>EGY|2022|omn|oop</t>
        </is>
      </c>
      <c r="B48" s="5" t="inlineStr">
        <is>
          <t>EGY</t>
        </is>
      </c>
      <c r="C48" s="5" t="n">
        <v>2022</v>
      </c>
      <c r="D48" s="5" t="inlineStr">
        <is>
          <t>omn</t>
        </is>
      </c>
      <c r="E48" s="5" t="inlineStr">
        <is>
          <t>oop</t>
        </is>
      </c>
      <c r="F48" s="5" t="n">
        <v>2347.52754403714</v>
      </c>
      <c r="G48" s="5" t="inlineStr">
        <is>
          <t>Kernel v1.6 Data_Energy = legacy Mitigation rows 583-602</t>
        </is>
      </c>
    </row>
    <row r="49">
      <c r="A49" s="5" t="inlineStr">
        <is>
          <t>EGY|2022|cst|oop</t>
        </is>
      </c>
      <c r="B49" s="5" t="inlineStr">
        <is>
          <t>EGY</t>
        </is>
      </c>
      <c r="C49" s="5" t="n">
        <v>2022</v>
      </c>
      <c r="D49" s="5" t="inlineStr">
        <is>
          <t>cst</t>
        </is>
      </c>
      <c r="E49" s="5" t="inlineStr">
        <is>
          <t>oop</t>
        </is>
      </c>
      <c r="F49" s="5" t="n">
        <v>0</v>
      </c>
      <c r="G49" s="5" t="inlineStr">
        <is>
          <t>Kernel v1.6 Data_Energy = legacy Mitigation rows 583-602</t>
        </is>
      </c>
    </row>
    <row r="50">
      <c r="A50" s="5" t="inlineStr">
        <is>
          <t>EGY|2022|ftr|oop</t>
        </is>
      </c>
      <c r="B50" s="5" t="inlineStr">
        <is>
          <t>EGY</t>
        </is>
      </c>
      <c r="C50" s="5" t="n">
        <v>2022</v>
      </c>
      <c r="D50" s="5" t="inlineStr">
        <is>
          <t>ftr</t>
        </is>
      </c>
      <c r="E50" s="5" t="inlineStr">
        <is>
          <t>oop</t>
        </is>
      </c>
      <c r="F50" s="5" t="n">
        <v>293.099212219656</v>
      </c>
      <c r="G50" s="5" t="inlineStr">
        <is>
          <t>Kernel v1.6 Data_Energy = legacy Mitigation rows 583-602</t>
        </is>
      </c>
    </row>
    <row r="51">
      <c r="A51" s="5" t="inlineStr">
        <is>
          <t>EGY|2022|oen|oop</t>
        </is>
      </c>
      <c r="B51" s="5" t="inlineStr">
        <is>
          <t>EGY</t>
        </is>
      </c>
      <c r="C51" s="5" t="n">
        <v>2022</v>
      </c>
      <c r="D51" s="5" t="inlineStr">
        <is>
          <t>oen</t>
        </is>
      </c>
      <c r="E51" s="5" t="inlineStr">
        <is>
          <t>oop</t>
        </is>
      </c>
      <c r="F51" s="5" t="n">
        <v>100.678839675172</v>
      </c>
      <c r="G51" s="5" t="inlineStr">
        <is>
          <t>Kernel v1.6 Data_Energy = legacy Mitigation rows 583-602</t>
        </is>
      </c>
    </row>
    <row r="52">
      <c r="A52" s="5" t="inlineStr">
        <is>
          <t>EGY|2022|rod|gso</t>
        </is>
      </c>
      <c r="B52" s="5" t="inlineStr">
        <is>
          <t>EGY</t>
        </is>
      </c>
      <c r="C52" s="5" t="n">
        <v>2022</v>
      </c>
      <c r="D52" s="5" t="inlineStr">
        <is>
          <t>rod</t>
        </is>
      </c>
      <c r="E52" s="5" t="inlineStr">
        <is>
          <t>gso</t>
        </is>
      </c>
      <c r="F52" s="5" t="n">
        <v>7577.29644334562</v>
      </c>
      <c r="G52" s="5" t="inlineStr">
        <is>
          <t>Kernel v1.6 Data_Energy = legacy Mitigation rows 583-602</t>
        </is>
      </c>
    </row>
    <row r="53">
      <c r="A53" s="5" t="inlineStr">
        <is>
          <t>EGY|2022|ral|gso</t>
        </is>
      </c>
      <c r="B53" s="5" t="inlineStr">
        <is>
          <t>EGY</t>
        </is>
      </c>
      <c r="C53" s="5" t="n">
        <v>2022</v>
      </c>
      <c r="D53" s="5" t="inlineStr">
        <is>
          <t>ral</t>
        </is>
      </c>
      <c r="E53" s="5" t="inlineStr">
        <is>
          <t>gso</t>
        </is>
      </c>
      <c r="F53" s="5" t="n">
        <v>0</v>
      </c>
      <c r="G53" s="5" t="inlineStr">
        <is>
          <t>Kernel v1.6 Data_Energy = legacy Mitigation rows 583-602</t>
        </is>
      </c>
    </row>
    <row r="54">
      <c r="A54" s="5" t="inlineStr">
        <is>
          <t>EGY|2022|avi|gso</t>
        </is>
      </c>
      <c r="B54" s="5" t="inlineStr">
        <is>
          <t>EGY</t>
        </is>
      </c>
      <c r="C54" s="5" t="n">
        <v>2022</v>
      </c>
      <c r="D54" s="5" t="inlineStr">
        <is>
          <t>avi</t>
        </is>
      </c>
      <c r="E54" s="5" t="inlineStr">
        <is>
          <t>gso</t>
        </is>
      </c>
      <c r="F54" s="5" t="n">
        <v>0</v>
      </c>
      <c r="G54" s="5" t="inlineStr">
        <is>
          <t>Kernel v1.6 Data_Energy = legacy Mitigation rows 583-602</t>
        </is>
      </c>
    </row>
    <row r="55">
      <c r="A55" s="5" t="inlineStr">
        <is>
          <t>EGY|2022|nav|gso</t>
        </is>
      </c>
      <c r="B55" s="5" t="inlineStr">
        <is>
          <t>EGY</t>
        </is>
      </c>
      <c r="C55" s="5" t="n">
        <v>2022</v>
      </c>
      <c r="D55" s="5" t="inlineStr">
        <is>
          <t>nav</t>
        </is>
      </c>
      <c r="E55" s="5" t="inlineStr">
        <is>
          <t>gso</t>
        </is>
      </c>
      <c r="F55" s="5" t="n">
        <v>0</v>
      </c>
      <c r="G55" s="5" t="inlineStr">
        <is>
          <t>Kernel v1.6 Data_Energy = legacy Mitigation rows 583-602</t>
        </is>
      </c>
    </row>
    <row r="56">
      <c r="A56" s="5" t="inlineStr">
        <is>
          <t>EGY|2022|res|gso</t>
        </is>
      </c>
      <c r="B56" s="5" t="inlineStr">
        <is>
          <t>EGY</t>
        </is>
      </c>
      <c r="C56" s="5" t="n">
        <v>2022</v>
      </c>
      <c r="D56" s="5" t="inlineStr">
        <is>
          <t>res</t>
        </is>
      </c>
      <c r="E56" s="5" t="inlineStr">
        <is>
          <t>gso</t>
        </is>
      </c>
      <c r="F56" s="5" t="n">
        <v>0</v>
      </c>
      <c r="G56" s="5" t="inlineStr">
        <is>
          <t>Kernel v1.6 Data_Energy = legacy Mitigation rows 583-602</t>
        </is>
      </c>
    </row>
    <row r="57">
      <c r="A57" s="5" t="inlineStr">
        <is>
          <t>EGY|2022|foo|gso</t>
        </is>
      </c>
      <c r="B57" s="5" t="inlineStr">
        <is>
          <t>EGY</t>
        </is>
      </c>
      <c r="C57" s="5" t="n">
        <v>2022</v>
      </c>
      <c r="D57" s="5" t="inlineStr">
        <is>
          <t>foo</t>
        </is>
      </c>
      <c r="E57" s="5" t="inlineStr">
        <is>
          <t>gso</t>
        </is>
      </c>
      <c r="F57" s="5" t="n">
        <v>0</v>
      </c>
      <c r="G57" s="5" t="inlineStr">
        <is>
          <t>Kernel v1.6 Data_Energy = legacy Mitigation rows 583-602</t>
        </is>
      </c>
    </row>
    <row r="58">
      <c r="A58" s="5" t="inlineStr">
        <is>
          <t>EGY|2022|srv|gso</t>
        </is>
      </c>
      <c r="B58" s="5" t="inlineStr">
        <is>
          <t>EGY</t>
        </is>
      </c>
      <c r="C58" s="5" t="n">
        <v>2022</v>
      </c>
      <c r="D58" s="5" t="inlineStr">
        <is>
          <t>srv</t>
        </is>
      </c>
      <c r="E58" s="5" t="inlineStr">
        <is>
          <t>gso</t>
        </is>
      </c>
      <c r="F58" s="5" t="n">
        <v>0</v>
      </c>
      <c r="G58" s="5" t="inlineStr">
        <is>
          <t>Kernel v1.6 Data_Energy = legacy Mitigation rows 583-602</t>
        </is>
      </c>
    </row>
    <row r="59">
      <c r="A59" s="5" t="inlineStr">
        <is>
          <t>EGY|2022|mch|gso</t>
        </is>
      </c>
      <c r="B59" s="5" t="inlineStr">
        <is>
          <t>EGY</t>
        </is>
      </c>
      <c r="C59" s="5" t="n">
        <v>2022</v>
      </c>
      <c r="D59" s="5" t="inlineStr">
        <is>
          <t>mch</t>
        </is>
      </c>
      <c r="E59" s="5" t="inlineStr">
        <is>
          <t>gso</t>
        </is>
      </c>
      <c r="F59" s="5" t="n">
        <v>0</v>
      </c>
      <c r="G59" s="5" t="inlineStr">
        <is>
          <t>Kernel v1.6 Data_Energy = legacy Mitigation rows 583-602</t>
        </is>
      </c>
    </row>
    <row r="60">
      <c r="A60" s="5" t="inlineStr">
        <is>
          <t>EGY|2022|irn|gso</t>
        </is>
      </c>
      <c r="B60" s="5" t="inlineStr">
        <is>
          <t>EGY</t>
        </is>
      </c>
      <c r="C60" s="5" t="n">
        <v>2022</v>
      </c>
      <c r="D60" s="5" t="inlineStr">
        <is>
          <t>irn</t>
        </is>
      </c>
      <c r="E60" s="5" t="inlineStr">
        <is>
          <t>gso</t>
        </is>
      </c>
      <c r="F60" s="5" t="n">
        <v>0</v>
      </c>
      <c r="G60" s="5" t="inlineStr">
        <is>
          <t>Kernel v1.6 Data_Energy = legacy Mitigation rows 583-602</t>
        </is>
      </c>
    </row>
    <row r="61">
      <c r="A61" s="5" t="inlineStr">
        <is>
          <t>EGY|2022|nfm|gso</t>
        </is>
      </c>
      <c r="B61" s="5" t="inlineStr">
        <is>
          <t>EGY</t>
        </is>
      </c>
      <c r="C61" s="5" t="n">
        <v>2022</v>
      </c>
      <c r="D61" s="5" t="inlineStr">
        <is>
          <t>nfm</t>
        </is>
      </c>
      <c r="E61" s="5" t="inlineStr">
        <is>
          <t>gso</t>
        </is>
      </c>
      <c r="F61" s="5" t="n">
        <v>0</v>
      </c>
      <c r="G61" s="5" t="inlineStr">
        <is>
          <t>Kernel v1.6 Data_Energy = legacy Mitigation rows 583-602</t>
        </is>
      </c>
    </row>
    <row r="62">
      <c r="A62" s="5" t="inlineStr">
        <is>
          <t>EGY|2022|mac|gso</t>
        </is>
      </c>
      <c r="B62" s="5" t="inlineStr">
        <is>
          <t>EGY</t>
        </is>
      </c>
      <c r="C62" s="5" t="n">
        <v>2022</v>
      </c>
      <c r="D62" s="5" t="inlineStr">
        <is>
          <t>mac</t>
        </is>
      </c>
      <c r="E62" s="5" t="inlineStr">
        <is>
          <t>gso</t>
        </is>
      </c>
      <c r="F62" s="5" t="n">
        <v>0</v>
      </c>
      <c r="G62" s="5" t="inlineStr">
        <is>
          <t>Kernel v1.6 Data_Energy = legacy Mitigation rows 583-602</t>
        </is>
      </c>
    </row>
    <row r="63">
      <c r="A63" s="5" t="inlineStr">
        <is>
          <t>EGY|2022|cem|gso</t>
        </is>
      </c>
      <c r="B63" s="5" t="inlineStr">
        <is>
          <t>EGY</t>
        </is>
      </c>
      <c r="C63" s="5" t="n">
        <v>2022</v>
      </c>
      <c r="D63" s="5" t="inlineStr">
        <is>
          <t>cem</t>
        </is>
      </c>
      <c r="E63" s="5" t="inlineStr">
        <is>
          <t>gso</t>
        </is>
      </c>
      <c r="F63" s="5" t="n">
        <v>0</v>
      </c>
      <c r="G63" s="5" t="inlineStr">
        <is>
          <t>Kernel v1.6 Data_Energy = legacy Mitigation rows 583-602</t>
        </is>
      </c>
    </row>
    <row r="64">
      <c r="A64" s="5" t="inlineStr">
        <is>
          <t>EGY|2022|omn|gso</t>
        </is>
      </c>
      <c r="B64" s="5" t="inlineStr">
        <is>
          <t>EGY</t>
        </is>
      </c>
      <c r="C64" s="5" t="n">
        <v>2022</v>
      </c>
      <c r="D64" s="5" t="inlineStr">
        <is>
          <t>omn</t>
        </is>
      </c>
      <c r="E64" s="5" t="inlineStr">
        <is>
          <t>gso</t>
        </is>
      </c>
      <c r="F64" s="5" t="n">
        <v>0</v>
      </c>
      <c r="G64" s="5" t="inlineStr">
        <is>
          <t>Kernel v1.6 Data_Energy = legacy Mitigation rows 583-602</t>
        </is>
      </c>
    </row>
    <row r="65">
      <c r="A65" s="5" t="inlineStr">
        <is>
          <t>EGY|2022|cst|gso</t>
        </is>
      </c>
      <c r="B65" s="5" t="inlineStr">
        <is>
          <t>EGY</t>
        </is>
      </c>
      <c r="C65" s="5" t="n">
        <v>2022</v>
      </c>
      <c r="D65" s="5" t="inlineStr">
        <is>
          <t>cst</t>
        </is>
      </c>
      <c r="E65" s="5" t="inlineStr">
        <is>
          <t>gso</t>
        </is>
      </c>
      <c r="F65" s="5" t="n">
        <v>0</v>
      </c>
      <c r="G65" s="5" t="inlineStr">
        <is>
          <t>Kernel v1.6 Data_Energy = legacy Mitigation rows 583-602</t>
        </is>
      </c>
    </row>
    <row r="66">
      <c r="A66" s="5" t="inlineStr">
        <is>
          <t>EGY|2022|ftr|gso</t>
        </is>
      </c>
      <c r="B66" s="5" t="inlineStr">
        <is>
          <t>EGY</t>
        </is>
      </c>
      <c r="C66" s="5" t="n">
        <v>2022</v>
      </c>
      <c r="D66" s="5" t="inlineStr">
        <is>
          <t>ftr</t>
        </is>
      </c>
      <c r="E66" s="5" t="inlineStr">
        <is>
          <t>gso</t>
        </is>
      </c>
      <c r="F66" s="5" t="n">
        <v>0</v>
      </c>
      <c r="G66" s="5" t="inlineStr">
        <is>
          <t>Kernel v1.6 Data_Energy = legacy Mitigation rows 583-602</t>
        </is>
      </c>
    </row>
    <row r="67">
      <c r="A67" s="5" t="inlineStr">
        <is>
          <t>EGY|2022|oen|gso</t>
        </is>
      </c>
      <c r="B67" s="5" t="inlineStr">
        <is>
          <t>EGY</t>
        </is>
      </c>
      <c r="C67" s="5" t="n">
        <v>2022</v>
      </c>
      <c r="D67" s="5" t="inlineStr">
        <is>
          <t>oen</t>
        </is>
      </c>
      <c r="E67" s="5" t="inlineStr">
        <is>
          <t>gso</t>
        </is>
      </c>
      <c r="F67" s="5" t="n">
        <v>0</v>
      </c>
      <c r="G67" s="5" t="inlineStr">
        <is>
          <t>Kernel v1.6 Data_Energy = legacy Mitigation rows 583-602</t>
        </is>
      </c>
    </row>
    <row r="68">
      <c r="A68" s="5" t="inlineStr">
        <is>
          <t>EGY|2022|rod|die</t>
        </is>
      </c>
      <c r="B68" s="5" t="inlineStr">
        <is>
          <t>EGY</t>
        </is>
      </c>
      <c r="C68" s="5" t="n">
        <v>2022</v>
      </c>
      <c r="D68" s="5" t="inlineStr">
        <is>
          <t>rod</t>
        </is>
      </c>
      <c r="E68" s="5" t="inlineStr">
        <is>
          <t>die</t>
        </is>
      </c>
      <c r="F68" s="5" t="n">
        <v>10207.6320601434</v>
      </c>
      <c r="G68" s="5" t="inlineStr">
        <is>
          <t>Kernel v1.6 Data_Energy = legacy Mitigation rows 583-602</t>
        </is>
      </c>
    </row>
    <row r="69">
      <c r="A69" s="5" t="inlineStr">
        <is>
          <t>EGY|2022|ral|die</t>
        </is>
      </c>
      <c r="B69" s="5" t="inlineStr">
        <is>
          <t>EGY</t>
        </is>
      </c>
      <c r="C69" s="5" t="n">
        <v>2022</v>
      </c>
      <c r="D69" s="5" t="inlineStr">
        <is>
          <t>ral</t>
        </is>
      </c>
      <c r="E69" s="5" t="inlineStr">
        <is>
          <t>die</t>
        </is>
      </c>
      <c r="F69" s="5" t="n">
        <v>0</v>
      </c>
      <c r="G69" s="5" t="inlineStr">
        <is>
          <t>Kernel v1.6 Data_Energy = legacy Mitigation rows 583-602</t>
        </is>
      </c>
    </row>
    <row r="70">
      <c r="A70" s="5" t="inlineStr">
        <is>
          <t>EGY|2022|avi|die</t>
        </is>
      </c>
      <c r="B70" s="5" t="inlineStr">
        <is>
          <t>EGY</t>
        </is>
      </c>
      <c r="C70" s="5" t="n">
        <v>2022</v>
      </c>
      <c r="D70" s="5" t="inlineStr">
        <is>
          <t>avi</t>
        </is>
      </c>
      <c r="E70" s="5" t="inlineStr">
        <is>
          <t>die</t>
        </is>
      </c>
      <c r="F70" s="5" t="n">
        <v>0</v>
      </c>
      <c r="G70" s="5" t="inlineStr">
        <is>
          <t>Kernel v1.6 Data_Energy = legacy Mitigation rows 583-602</t>
        </is>
      </c>
    </row>
    <row r="71">
      <c r="A71" s="5" t="inlineStr">
        <is>
          <t>EGY|2022|nav|die</t>
        </is>
      </c>
      <c r="B71" s="5" t="inlineStr">
        <is>
          <t>EGY</t>
        </is>
      </c>
      <c r="C71" s="5" t="n">
        <v>2022</v>
      </c>
      <c r="D71" s="5" t="inlineStr">
        <is>
          <t>nav</t>
        </is>
      </c>
      <c r="E71" s="5" t="inlineStr">
        <is>
          <t>die</t>
        </is>
      </c>
      <c r="F71" s="5" t="n">
        <v>0</v>
      </c>
      <c r="G71" s="5" t="inlineStr">
        <is>
          <t>Kernel v1.6 Data_Energy = legacy Mitigation rows 583-602</t>
        </is>
      </c>
    </row>
    <row r="72">
      <c r="A72" s="5" t="inlineStr">
        <is>
          <t>EGY|2022|res|die</t>
        </is>
      </c>
      <c r="B72" s="5" t="inlineStr">
        <is>
          <t>EGY</t>
        </is>
      </c>
      <c r="C72" s="5" t="n">
        <v>2022</v>
      </c>
      <c r="D72" s="5" t="inlineStr">
        <is>
          <t>res</t>
        </is>
      </c>
      <c r="E72" s="5" t="inlineStr">
        <is>
          <t>die</t>
        </is>
      </c>
      <c r="F72" s="5" t="n">
        <v>0</v>
      </c>
      <c r="G72" s="5" t="inlineStr">
        <is>
          <t>Kernel v1.6 Data_Energy = legacy Mitigation rows 583-602</t>
        </is>
      </c>
    </row>
    <row r="73">
      <c r="A73" s="5" t="inlineStr">
        <is>
          <t>EGY|2022|foo|die</t>
        </is>
      </c>
      <c r="B73" s="5" t="inlineStr">
        <is>
          <t>EGY</t>
        </is>
      </c>
      <c r="C73" s="5" t="n">
        <v>2022</v>
      </c>
      <c r="D73" s="5" t="inlineStr">
        <is>
          <t>foo</t>
        </is>
      </c>
      <c r="E73" s="5" t="inlineStr">
        <is>
          <t>die</t>
        </is>
      </c>
      <c r="F73" s="5" t="n">
        <v>927.0217281782579</v>
      </c>
      <c r="G73" s="5" t="inlineStr">
        <is>
          <t>Kernel v1.6 Data_Energy = legacy Mitigation rows 583-602</t>
        </is>
      </c>
    </row>
    <row r="74">
      <c r="A74" s="5" t="inlineStr">
        <is>
          <t>EGY|2022|srv|die</t>
        </is>
      </c>
      <c r="B74" s="5" t="inlineStr">
        <is>
          <t>EGY</t>
        </is>
      </c>
      <c r="C74" s="5" t="n">
        <v>2022</v>
      </c>
      <c r="D74" s="5" t="inlineStr">
        <is>
          <t>srv</t>
        </is>
      </c>
      <c r="E74" s="5" t="inlineStr">
        <is>
          <t>die</t>
        </is>
      </c>
      <c r="F74" s="5" t="n">
        <v>0</v>
      </c>
      <c r="G74" s="5" t="inlineStr">
        <is>
          <t>Kernel v1.6 Data_Energy = legacy Mitigation rows 583-602</t>
        </is>
      </c>
    </row>
    <row r="75">
      <c r="A75" s="5" t="inlineStr">
        <is>
          <t>EGY|2022|mch|die</t>
        </is>
      </c>
      <c r="B75" s="5" t="inlineStr">
        <is>
          <t>EGY</t>
        </is>
      </c>
      <c r="C75" s="5" t="n">
        <v>2022</v>
      </c>
      <c r="D75" s="5" t="inlineStr">
        <is>
          <t>mch</t>
        </is>
      </c>
      <c r="E75" s="5" t="inlineStr">
        <is>
          <t>die</t>
        </is>
      </c>
      <c r="F75" s="5" t="n">
        <v>0</v>
      </c>
      <c r="G75" s="5" t="inlineStr">
        <is>
          <t>Kernel v1.6 Data_Energy = legacy Mitigation rows 583-602</t>
        </is>
      </c>
    </row>
    <row r="76">
      <c r="A76" s="5" t="inlineStr">
        <is>
          <t>EGY|2022|irn|die</t>
        </is>
      </c>
      <c r="B76" s="5" t="inlineStr">
        <is>
          <t>EGY</t>
        </is>
      </c>
      <c r="C76" s="5" t="n">
        <v>2022</v>
      </c>
      <c r="D76" s="5" t="inlineStr">
        <is>
          <t>irn</t>
        </is>
      </c>
      <c r="E76" s="5" t="inlineStr">
        <is>
          <t>die</t>
        </is>
      </c>
      <c r="F76" s="5" t="n">
        <v>0</v>
      </c>
      <c r="G76" s="5" t="inlineStr">
        <is>
          <t>Kernel v1.6 Data_Energy = legacy Mitigation rows 583-602</t>
        </is>
      </c>
    </row>
    <row r="77">
      <c r="A77" s="5" t="inlineStr">
        <is>
          <t>EGY|2022|nfm|die</t>
        </is>
      </c>
      <c r="B77" s="5" t="inlineStr">
        <is>
          <t>EGY</t>
        </is>
      </c>
      <c r="C77" s="5" t="n">
        <v>2022</v>
      </c>
      <c r="D77" s="5" t="inlineStr">
        <is>
          <t>nfm</t>
        </is>
      </c>
      <c r="E77" s="5" t="inlineStr">
        <is>
          <t>die</t>
        </is>
      </c>
      <c r="F77" s="5" t="n">
        <v>0</v>
      </c>
      <c r="G77" s="5" t="inlineStr">
        <is>
          <t>Kernel v1.6 Data_Energy = legacy Mitigation rows 583-602</t>
        </is>
      </c>
    </row>
    <row r="78">
      <c r="A78" s="5" t="inlineStr">
        <is>
          <t>EGY|2022|mac|die</t>
        </is>
      </c>
      <c r="B78" s="5" t="inlineStr">
        <is>
          <t>EGY</t>
        </is>
      </c>
      <c r="C78" s="5" t="n">
        <v>2022</v>
      </c>
      <c r="D78" s="5" t="inlineStr">
        <is>
          <t>mac</t>
        </is>
      </c>
      <c r="E78" s="5" t="inlineStr">
        <is>
          <t>die</t>
        </is>
      </c>
      <c r="F78" s="5" t="n">
        <v>0</v>
      </c>
      <c r="G78" s="5" t="inlineStr">
        <is>
          <t>Kernel v1.6 Data_Energy = legacy Mitigation rows 583-602</t>
        </is>
      </c>
    </row>
    <row r="79">
      <c r="A79" s="5" t="inlineStr">
        <is>
          <t>EGY|2022|cem|die</t>
        </is>
      </c>
      <c r="B79" s="5" t="inlineStr">
        <is>
          <t>EGY</t>
        </is>
      </c>
      <c r="C79" s="5" t="n">
        <v>2022</v>
      </c>
      <c r="D79" s="5" t="inlineStr">
        <is>
          <t>cem</t>
        </is>
      </c>
      <c r="E79" s="5" t="inlineStr">
        <is>
          <t>die</t>
        </is>
      </c>
      <c r="F79" s="5" t="n">
        <v>0</v>
      </c>
      <c r="G79" s="5" t="inlineStr">
        <is>
          <t>Kernel v1.6 Data_Energy = legacy Mitigation rows 583-602</t>
        </is>
      </c>
    </row>
    <row r="80">
      <c r="A80" s="5" t="inlineStr">
        <is>
          <t>EGY|2022|omn|die</t>
        </is>
      </c>
      <c r="B80" s="5" t="inlineStr">
        <is>
          <t>EGY</t>
        </is>
      </c>
      <c r="C80" s="5" t="n">
        <v>2022</v>
      </c>
      <c r="D80" s="5" t="inlineStr">
        <is>
          <t>omn</t>
        </is>
      </c>
      <c r="E80" s="5" t="inlineStr">
        <is>
          <t>die</t>
        </is>
      </c>
      <c r="F80" s="5" t="n">
        <v>3819.23416175079</v>
      </c>
      <c r="G80" s="5" t="inlineStr">
        <is>
          <t>Kernel v1.6 Data_Energy = legacy Mitigation rows 583-602</t>
        </is>
      </c>
    </row>
    <row r="81">
      <c r="A81" s="5" t="inlineStr">
        <is>
          <t>EGY|2022|cst|die</t>
        </is>
      </c>
      <c r="B81" s="5" t="inlineStr">
        <is>
          <t>EGY</t>
        </is>
      </c>
      <c r="C81" s="5" t="n">
        <v>2022</v>
      </c>
      <c r="D81" s="5" t="inlineStr">
        <is>
          <t>cst</t>
        </is>
      </c>
      <c r="E81" s="5" t="inlineStr">
        <is>
          <t>die</t>
        </is>
      </c>
      <c r="F81" s="5" t="n">
        <v>0</v>
      </c>
      <c r="G81" s="5" t="inlineStr">
        <is>
          <t>Kernel v1.6 Data_Energy = legacy Mitigation rows 583-602</t>
        </is>
      </c>
    </row>
    <row r="82">
      <c r="A82" s="5" t="inlineStr">
        <is>
          <t>EGY|2022|ftr|die</t>
        </is>
      </c>
      <c r="B82" s="5" t="inlineStr">
        <is>
          <t>EGY</t>
        </is>
      </c>
      <c r="C82" s="5" t="n">
        <v>2022</v>
      </c>
      <c r="D82" s="5" t="inlineStr">
        <is>
          <t>ftr</t>
        </is>
      </c>
      <c r="E82" s="5" t="inlineStr">
        <is>
          <t>die</t>
        </is>
      </c>
      <c r="F82" s="5" t="n">
        <v>824.800093567561</v>
      </c>
      <c r="G82" s="5" t="inlineStr">
        <is>
          <t>Kernel v1.6 Data_Energy = legacy Mitigation rows 583-602</t>
        </is>
      </c>
    </row>
    <row r="83">
      <c r="A83" s="5" t="inlineStr">
        <is>
          <t>EGY|2022|oen|die</t>
        </is>
      </c>
      <c r="B83" s="5" t="inlineStr">
        <is>
          <t>EGY</t>
        </is>
      </c>
      <c r="C83" s="5" t="n">
        <v>2022</v>
      </c>
      <c r="D83" s="5" t="inlineStr">
        <is>
          <t>oen</t>
        </is>
      </c>
      <c r="E83" s="5" t="inlineStr">
        <is>
          <t>die</t>
        </is>
      </c>
      <c r="F83" s="5" t="n">
        <v>0</v>
      </c>
      <c r="G83" s="5" t="inlineStr">
        <is>
          <t>Kernel v1.6 Data_Energy = legacy Mitigation rows 583-602</t>
        </is>
      </c>
    </row>
    <row r="84">
      <c r="A84" s="5" t="inlineStr">
        <is>
          <t>EGY|2022|rod|ker</t>
        </is>
      </c>
      <c r="B84" s="5" t="inlineStr">
        <is>
          <t>EGY</t>
        </is>
      </c>
      <c r="C84" s="5" t="n">
        <v>2022</v>
      </c>
      <c r="D84" s="5" t="inlineStr">
        <is>
          <t>rod</t>
        </is>
      </c>
      <c r="E84" s="5" t="inlineStr">
        <is>
          <t>ker</t>
        </is>
      </c>
      <c r="F84" s="5" t="n">
        <v>0</v>
      </c>
      <c r="G84" s="5" t="inlineStr">
        <is>
          <t>Kernel v1.6 Data_Energy = legacy Mitigation rows 583-602</t>
        </is>
      </c>
    </row>
    <row r="85">
      <c r="A85" s="5" t="inlineStr">
        <is>
          <t>EGY|2022|ral|ker</t>
        </is>
      </c>
      <c r="B85" s="5" t="inlineStr">
        <is>
          <t>EGY</t>
        </is>
      </c>
      <c r="C85" s="5" t="n">
        <v>2022</v>
      </c>
      <c r="D85" s="5" t="inlineStr">
        <is>
          <t>ral</t>
        </is>
      </c>
      <c r="E85" s="5" t="inlineStr">
        <is>
          <t>ker</t>
        </is>
      </c>
      <c r="F85" s="5" t="n">
        <v>0</v>
      </c>
      <c r="G85" s="5" t="inlineStr">
        <is>
          <t>Kernel v1.6 Data_Energy = legacy Mitigation rows 583-602</t>
        </is>
      </c>
    </row>
    <row r="86">
      <c r="A86" s="5" t="inlineStr">
        <is>
          <t>EGY|2022|avi|ker</t>
        </is>
      </c>
      <c r="B86" s="5" t="inlineStr">
        <is>
          <t>EGY</t>
        </is>
      </c>
      <c r="C86" s="5" t="n">
        <v>2022</v>
      </c>
      <c r="D86" s="5" t="inlineStr">
        <is>
          <t>avi</t>
        </is>
      </c>
      <c r="E86" s="5" t="inlineStr">
        <is>
          <t>ker</t>
        </is>
      </c>
      <c r="F86" s="5" t="n">
        <v>0</v>
      </c>
      <c r="G86" s="5" t="inlineStr">
        <is>
          <t>Kernel v1.6 Data_Energy = legacy Mitigation rows 583-602</t>
        </is>
      </c>
    </row>
    <row r="87">
      <c r="A87" s="5" t="inlineStr">
        <is>
          <t>EGY|2022|nav|ker</t>
        </is>
      </c>
      <c r="B87" s="5" t="inlineStr">
        <is>
          <t>EGY</t>
        </is>
      </c>
      <c r="C87" s="5" t="n">
        <v>2022</v>
      </c>
      <c r="D87" s="5" t="inlineStr">
        <is>
          <t>nav</t>
        </is>
      </c>
      <c r="E87" s="5" t="inlineStr">
        <is>
          <t>ker</t>
        </is>
      </c>
      <c r="F87" s="5" t="n">
        <v>0</v>
      </c>
      <c r="G87" s="5" t="inlineStr">
        <is>
          <t>Kernel v1.6 Data_Energy = legacy Mitigation rows 583-602</t>
        </is>
      </c>
    </row>
    <row r="88">
      <c r="A88" s="5" t="inlineStr">
        <is>
          <t>EGY|2022|res|ker</t>
        </is>
      </c>
      <c r="B88" s="5" t="inlineStr">
        <is>
          <t>EGY</t>
        </is>
      </c>
      <c r="C88" s="5" t="n">
        <v>2022</v>
      </c>
      <c r="D88" s="5" t="inlineStr">
        <is>
          <t>res</t>
        </is>
      </c>
      <c r="E88" s="5" t="inlineStr">
        <is>
          <t>ker</t>
        </is>
      </c>
      <c r="F88" s="5" t="n">
        <v>2.76900540691173</v>
      </c>
      <c r="G88" s="5" t="inlineStr">
        <is>
          <t>Kernel v1.6 Data_Energy = legacy Mitigation rows 583-602</t>
        </is>
      </c>
    </row>
    <row r="89">
      <c r="A89" s="5" t="inlineStr">
        <is>
          <t>EGY|2022|foo|ker</t>
        </is>
      </c>
      <c r="B89" s="5" t="inlineStr">
        <is>
          <t>EGY</t>
        </is>
      </c>
      <c r="C89" s="5" t="n">
        <v>2022</v>
      </c>
      <c r="D89" s="5" t="inlineStr">
        <is>
          <t>foo</t>
        </is>
      </c>
      <c r="E89" s="5" t="inlineStr">
        <is>
          <t>ker</t>
        </is>
      </c>
      <c r="F89" s="5" t="n">
        <v>0.344296494287579</v>
      </c>
      <c r="G89" s="5" t="inlineStr">
        <is>
          <t>Kernel v1.6 Data_Energy = legacy Mitigation rows 583-602</t>
        </is>
      </c>
    </row>
    <row r="90">
      <c r="A90" s="5" t="inlineStr">
        <is>
          <t>EGY|2022|srv|ker</t>
        </is>
      </c>
      <c r="B90" s="5" t="inlineStr">
        <is>
          <t>EGY</t>
        </is>
      </c>
      <c r="C90" s="5" t="n">
        <v>2022</v>
      </c>
      <c r="D90" s="5" t="inlineStr">
        <is>
          <t>srv</t>
        </is>
      </c>
      <c r="E90" s="5" t="inlineStr">
        <is>
          <t>ker</t>
        </is>
      </c>
      <c r="F90" s="5" t="n">
        <v>0</v>
      </c>
      <c r="G90" s="5" t="inlineStr">
        <is>
          <t>Kernel v1.6 Data_Energy = legacy Mitigation rows 583-602</t>
        </is>
      </c>
    </row>
    <row r="91">
      <c r="A91" s="5" t="inlineStr">
        <is>
          <t>EGY|2022|mch|ker</t>
        </is>
      </c>
      <c r="B91" s="5" t="inlineStr">
        <is>
          <t>EGY</t>
        </is>
      </c>
      <c r="C91" s="5" t="n">
        <v>2022</v>
      </c>
      <c r="D91" s="5" t="inlineStr">
        <is>
          <t>mch</t>
        </is>
      </c>
      <c r="E91" s="5" t="inlineStr">
        <is>
          <t>ker</t>
        </is>
      </c>
      <c r="F91" s="5" t="n">
        <v>0</v>
      </c>
      <c r="G91" s="5" t="inlineStr">
        <is>
          <t>Kernel v1.6 Data_Energy = legacy Mitigation rows 583-602</t>
        </is>
      </c>
    </row>
    <row r="92">
      <c r="A92" s="5" t="inlineStr">
        <is>
          <t>EGY|2022|irn|ker</t>
        </is>
      </c>
      <c r="B92" s="5" t="inlineStr">
        <is>
          <t>EGY</t>
        </is>
      </c>
      <c r="C92" s="5" t="n">
        <v>2022</v>
      </c>
      <c r="D92" s="5" t="inlineStr">
        <is>
          <t>irn</t>
        </is>
      </c>
      <c r="E92" s="5" t="inlineStr">
        <is>
          <t>ker</t>
        </is>
      </c>
      <c r="F92" s="5" t="n">
        <v>0</v>
      </c>
      <c r="G92" s="5" t="inlineStr">
        <is>
          <t>Kernel v1.6 Data_Energy = legacy Mitigation rows 583-602</t>
        </is>
      </c>
    </row>
    <row r="93">
      <c r="A93" s="5" t="inlineStr">
        <is>
          <t>EGY|2022|nfm|ker</t>
        </is>
      </c>
      <c r="B93" s="5" t="inlineStr">
        <is>
          <t>EGY</t>
        </is>
      </c>
      <c r="C93" s="5" t="n">
        <v>2022</v>
      </c>
      <c r="D93" s="5" t="inlineStr">
        <is>
          <t>nfm</t>
        </is>
      </c>
      <c r="E93" s="5" t="inlineStr">
        <is>
          <t>ker</t>
        </is>
      </c>
      <c r="F93" s="5" t="n">
        <v>0</v>
      </c>
      <c r="G93" s="5" t="inlineStr">
        <is>
          <t>Kernel v1.6 Data_Energy = legacy Mitigation rows 583-602</t>
        </is>
      </c>
    </row>
    <row r="94">
      <c r="A94" s="5" t="inlineStr">
        <is>
          <t>EGY|2022|mac|ker</t>
        </is>
      </c>
      <c r="B94" s="5" t="inlineStr">
        <is>
          <t>EGY</t>
        </is>
      </c>
      <c r="C94" s="5" t="n">
        <v>2022</v>
      </c>
      <c r="D94" s="5" t="inlineStr">
        <is>
          <t>mac</t>
        </is>
      </c>
      <c r="E94" s="5" t="inlineStr">
        <is>
          <t>ker</t>
        </is>
      </c>
      <c r="F94" s="5" t="n">
        <v>0</v>
      </c>
      <c r="G94" s="5" t="inlineStr">
        <is>
          <t>Kernel v1.6 Data_Energy = legacy Mitigation rows 583-602</t>
        </is>
      </c>
    </row>
    <row r="95">
      <c r="A95" s="5" t="inlineStr">
        <is>
          <t>EGY|2022|cem|ker</t>
        </is>
      </c>
      <c r="B95" s="5" t="inlineStr">
        <is>
          <t>EGY</t>
        </is>
      </c>
      <c r="C95" s="5" t="n">
        <v>2022</v>
      </c>
      <c r="D95" s="5" t="inlineStr">
        <is>
          <t>cem</t>
        </is>
      </c>
      <c r="E95" s="5" t="inlineStr">
        <is>
          <t>ker</t>
        </is>
      </c>
      <c r="F95" s="5" t="n">
        <v>0</v>
      </c>
      <c r="G95" s="5" t="inlineStr">
        <is>
          <t>Kernel v1.6 Data_Energy = legacy Mitigation rows 583-602</t>
        </is>
      </c>
    </row>
    <row r="96">
      <c r="A96" s="5" t="inlineStr">
        <is>
          <t>EGY|2022|omn|ker</t>
        </is>
      </c>
      <c r="B96" s="5" t="inlineStr">
        <is>
          <t>EGY</t>
        </is>
      </c>
      <c r="C96" s="5" t="n">
        <v>2022</v>
      </c>
      <c r="D96" s="5" t="inlineStr">
        <is>
          <t>omn</t>
        </is>
      </c>
      <c r="E96" s="5" t="inlineStr">
        <is>
          <t>ker</t>
        </is>
      </c>
      <c r="F96" s="5" t="n">
        <v>4.38372614857524</v>
      </c>
      <c r="G96" s="5" t="inlineStr">
        <is>
          <t>Kernel v1.6 Data_Energy = legacy Mitigation rows 583-602</t>
        </is>
      </c>
    </row>
    <row r="97">
      <c r="A97" s="5" t="inlineStr">
        <is>
          <t>EGY|2022|cst|ker</t>
        </is>
      </c>
      <c r="B97" s="5" t="inlineStr">
        <is>
          <t>EGY</t>
        </is>
      </c>
      <c r="C97" s="5" t="n">
        <v>2022</v>
      </c>
      <c r="D97" s="5" t="inlineStr">
        <is>
          <t>cst</t>
        </is>
      </c>
      <c r="E97" s="5" t="inlineStr">
        <is>
          <t>ker</t>
        </is>
      </c>
      <c r="F97" s="5" t="n">
        <v>0</v>
      </c>
      <c r="G97" s="5" t="inlineStr">
        <is>
          <t>Kernel v1.6 Data_Energy = legacy Mitigation rows 583-602</t>
        </is>
      </c>
    </row>
    <row r="98">
      <c r="A98" s="5" t="inlineStr">
        <is>
          <t>EGY|2022|ftr|ker</t>
        </is>
      </c>
      <c r="B98" s="5" t="inlineStr">
        <is>
          <t>EGY</t>
        </is>
      </c>
      <c r="C98" s="5" t="n">
        <v>2022</v>
      </c>
      <c r="D98" s="5" t="inlineStr">
        <is>
          <t>ftr</t>
        </is>
      </c>
      <c r="E98" s="5" t="inlineStr">
        <is>
          <t>ker</t>
        </is>
      </c>
      <c r="F98" s="5" t="n">
        <v>0</v>
      </c>
      <c r="G98" s="5" t="inlineStr">
        <is>
          <t>Kernel v1.6 Data_Energy = legacy Mitigation rows 583-602</t>
        </is>
      </c>
    </row>
    <row r="99">
      <c r="A99" s="5" t="inlineStr">
        <is>
          <t>EGY|2022|oen|ker</t>
        </is>
      </c>
      <c r="B99" s="5" t="inlineStr">
        <is>
          <t>EGY</t>
        </is>
      </c>
      <c r="C99" s="5" t="n">
        <v>2022</v>
      </c>
      <c r="D99" s="5" t="inlineStr">
        <is>
          <t>oen</t>
        </is>
      </c>
      <c r="E99" s="5" t="inlineStr">
        <is>
          <t>ker</t>
        </is>
      </c>
      <c r="F99" s="5" t="n">
        <v>0</v>
      </c>
      <c r="G99" s="5" t="inlineStr">
        <is>
          <t>Kernel v1.6 Data_Energy = legacy Mitigation rows 583-602</t>
        </is>
      </c>
    </row>
    <row r="100">
      <c r="A100" s="5" t="inlineStr">
        <is>
          <t>EGY|2022|rod|lpg</t>
        </is>
      </c>
      <c r="B100" s="5" t="inlineStr">
        <is>
          <t>EGY</t>
        </is>
      </c>
      <c r="C100" s="5" t="n">
        <v>2022</v>
      </c>
      <c r="D100" s="5" t="inlineStr">
        <is>
          <t>rod</t>
        </is>
      </c>
      <c r="E100" s="5" t="inlineStr">
        <is>
          <t>lpg</t>
        </is>
      </c>
      <c r="F100" s="5" t="n">
        <v>0</v>
      </c>
      <c r="G100" s="5" t="inlineStr">
        <is>
          <t>Kernel v1.6 Data_Energy = legacy Mitigation rows 583-602</t>
        </is>
      </c>
    </row>
    <row r="101">
      <c r="A101" s="5" t="inlineStr">
        <is>
          <t>EGY|2022|ral|lpg</t>
        </is>
      </c>
      <c r="B101" s="5" t="inlineStr">
        <is>
          <t>EGY</t>
        </is>
      </c>
      <c r="C101" s="5" t="n">
        <v>2022</v>
      </c>
      <c r="D101" s="5" t="inlineStr">
        <is>
          <t>ral</t>
        </is>
      </c>
      <c r="E101" s="5" t="inlineStr">
        <is>
          <t>lpg</t>
        </is>
      </c>
      <c r="F101" s="5" t="n">
        <v>0</v>
      </c>
      <c r="G101" s="5" t="inlineStr">
        <is>
          <t>Kernel v1.6 Data_Energy = legacy Mitigation rows 583-602</t>
        </is>
      </c>
    </row>
    <row r="102">
      <c r="A102" s="5" t="inlineStr">
        <is>
          <t>EGY|2022|avi|lpg</t>
        </is>
      </c>
      <c r="B102" s="5" t="inlineStr">
        <is>
          <t>EGY</t>
        </is>
      </c>
      <c r="C102" s="5" t="n">
        <v>2022</v>
      </c>
      <c r="D102" s="5" t="inlineStr">
        <is>
          <t>avi</t>
        </is>
      </c>
      <c r="E102" s="5" t="inlineStr">
        <is>
          <t>lpg</t>
        </is>
      </c>
      <c r="F102" s="5" t="n">
        <v>0</v>
      </c>
      <c r="G102" s="5" t="inlineStr">
        <is>
          <t>Kernel v1.6 Data_Energy = legacy Mitigation rows 583-602</t>
        </is>
      </c>
    </row>
    <row r="103">
      <c r="A103" s="5" t="inlineStr">
        <is>
          <t>EGY|2022|nav|lpg</t>
        </is>
      </c>
      <c r="B103" s="5" t="inlineStr">
        <is>
          <t>EGY</t>
        </is>
      </c>
      <c r="C103" s="5" t="n">
        <v>2022</v>
      </c>
      <c r="D103" s="5" t="inlineStr">
        <is>
          <t>nav</t>
        </is>
      </c>
      <c r="E103" s="5" t="inlineStr">
        <is>
          <t>lpg</t>
        </is>
      </c>
      <c r="F103" s="5" t="n">
        <v>0</v>
      </c>
      <c r="G103" s="5" t="inlineStr">
        <is>
          <t>Kernel v1.6 Data_Energy = legacy Mitigation rows 583-602</t>
        </is>
      </c>
    </row>
    <row r="104">
      <c r="A104" s="5" t="inlineStr">
        <is>
          <t>EGY|2022|res|lpg</t>
        </is>
      </c>
      <c r="B104" s="5" t="inlineStr">
        <is>
          <t>EGY</t>
        </is>
      </c>
      <c r="C104" s="5" t="n">
        <v>2022</v>
      </c>
      <c r="D104" s="5" t="inlineStr">
        <is>
          <t>res</t>
        </is>
      </c>
      <c r="E104" s="5" t="inlineStr">
        <is>
          <t>lpg</t>
        </is>
      </c>
      <c r="F104" s="5" t="n">
        <v>3182.2559195641</v>
      </c>
      <c r="G104" s="5" t="inlineStr">
        <is>
          <t>Kernel v1.6 Data_Energy = legacy Mitigation rows 583-602</t>
        </is>
      </c>
    </row>
    <row r="105">
      <c r="A105" s="5" t="inlineStr">
        <is>
          <t>EGY|2022|foo|lpg</t>
        </is>
      </c>
      <c r="B105" s="5" t="inlineStr">
        <is>
          <t>EGY</t>
        </is>
      </c>
      <c r="C105" s="5" t="n">
        <v>2022</v>
      </c>
      <c r="D105" s="5" t="inlineStr">
        <is>
          <t>foo</t>
        </is>
      </c>
      <c r="E105" s="5" t="inlineStr">
        <is>
          <t>lpg</t>
        </is>
      </c>
      <c r="F105" s="5" t="n">
        <v>0</v>
      </c>
      <c r="G105" s="5" t="inlineStr">
        <is>
          <t>Kernel v1.6 Data_Energy = legacy Mitigation rows 583-602</t>
        </is>
      </c>
    </row>
    <row r="106">
      <c r="A106" s="5" t="inlineStr">
        <is>
          <t>EGY|2022|srv|lpg</t>
        </is>
      </c>
      <c r="B106" s="5" t="inlineStr">
        <is>
          <t>EGY</t>
        </is>
      </c>
      <c r="C106" s="5" t="n">
        <v>2022</v>
      </c>
      <c r="D106" s="5" t="inlineStr">
        <is>
          <t>srv</t>
        </is>
      </c>
      <c r="E106" s="5" t="inlineStr">
        <is>
          <t>lpg</t>
        </is>
      </c>
      <c r="F106" s="5" t="n">
        <v>0</v>
      </c>
      <c r="G106" s="5" t="inlineStr">
        <is>
          <t>Kernel v1.6 Data_Energy = legacy Mitigation rows 583-602</t>
        </is>
      </c>
    </row>
    <row r="107">
      <c r="A107" s="5" t="inlineStr">
        <is>
          <t>EGY|2022|mch|lpg</t>
        </is>
      </c>
      <c r="B107" s="5" t="inlineStr">
        <is>
          <t>EGY</t>
        </is>
      </c>
      <c r="C107" s="5" t="n">
        <v>2022</v>
      </c>
      <c r="D107" s="5" t="inlineStr">
        <is>
          <t>mch</t>
        </is>
      </c>
      <c r="E107" s="5" t="inlineStr">
        <is>
          <t>lpg</t>
        </is>
      </c>
      <c r="F107" s="5" t="n">
        <v>0</v>
      </c>
      <c r="G107" s="5" t="inlineStr">
        <is>
          <t>Kernel v1.6 Data_Energy = legacy Mitigation rows 583-602</t>
        </is>
      </c>
    </row>
    <row r="108">
      <c r="A108" s="5" t="inlineStr">
        <is>
          <t>EGY|2022|irn|lpg</t>
        </is>
      </c>
      <c r="B108" s="5" t="inlineStr">
        <is>
          <t>EGY</t>
        </is>
      </c>
      <c r="C108" s="5" t="n">
        <v>2022</v>
      </c>
      <c r="D108" s="5" t="inlineStr">
        <is>
          <t>irn</t>
        </is>
      </c>
      <c r="E108" s="5" t="inlineStr">
        <is>
          <t>lpg</t>
        </is>
      </c>
      <c r="F108" s="5" t="n">
        <v>0</v>
      </c>
      <c r="G108" s="5" t="inlineStr">
        <is>
          <t>Kernel v1.6 Data_Energy = legacy Mitigation rows 583-602</t>
        </is>
      </c>
    </row>
    <row r="109">
      <c r="A109" s="5" t="inlineStr">
        <is>
          <t>EGY|2022|nfm|lpg</t>
        </is>
      </c>
      <c r="B109" s="5" t="inlineStr">
        <is>
          <t>EGY</t>
        </is>
      </c>
      <c r="C109" s="5" t="n">
        <v>2022</v>
      </c>
      <c r="D109" s="5" t="inlineStr">
        <is>
          <t>nfm</t>
        </is>
      </c>
      <c r="E109" s="5" t="inlineStr">
        <is>
          <t>lpg</t>
        </is>
      </c>
      <c r="F109" s="5" t="n">
        <v>0</v>
      </c>
      <c r="G109" s="5" t="inlineStr">
        <is>
          <t>Kernel v1.6 Data_Energy = legacy Mitigation rows 583-602</t>
        </is>
      </c>
    </row>
    <row r="110">
      <c r="A110" s="5" t="inlineStr">
        <is>
          <t>EGY|2022|mac|lpg</t>
        </is>
      </c>
      <c r="B110" s="5" t="inlineStr">
        <is>
          <t>EGY</t>
        </is>
      </c>
      <c r="C110" s="5" t="n">
        <v>2022</v>
      </c>
      <c r="D110" s="5" t="inlineStr">
        <is>
          <t>mac</t>
        </is>
      </c>
      <c r="E110" s="5" t="inlineStr">
        <is>
          <t>lpg</t>
        </is>
      </c>
      <c r="F110" s="5" t="n">
        <v>0</v>
      </c>
      <c r="G110" s="5" t="inlineStr">
        <is>
          <t>Kernel v1.6 Data_Energy = legacy Mitigation rows 583-602</t>
        </is>
      </c>
    </row>
    <row r="111">
      <c r="A111" s="5" t="inlineStr">
        <is>
          <t>EGY|2022|cem|lpg</t>
        </is>
      </c>
      <c r="B111" s="5" t="inlineStr">
        <is>
          <t>EGY</t>
        </is>
      </c>
      <c r="C111" s="5" t="n">
        <v>2022</v>
      </c>
      <c r="D111" s="5" t="inlineStr">
        <is>
          <t>cem</t>
        </is>
      </c>
      <c r="E111" s="5" t="inlineStr">
        <is>
          <t>lpg</t>
        </is>
      </c>
      <c r="F111" s="5" t="n">
        <v>0</v>
      </c>
      <c r="G111" s="5" t="inlineStr">
        <is>
          <t>Kernel v1.6 Data_Energy = legacy Mitigation rows 583-602</t>
        </is>
      </c>
    </row>
    <row r="112">
      <c r="A112" s="5" t="inlineStr">
        <is>
          <t>EGY|2022|omn|lpg</t>
        </is>
      </c>
      <c r="B112" s="5" t="inlineStr">
        <is>
          <t>EGY</t>
        </is>
      </c>
      <c r="C112" s="5" t="n">
        <v>2022</v>
      </c>
      <c r="D112" s="5" t="inlineStr">
        <is>
          <t>omn</t>
        </is>
      </c>
      <c r="E112" s="5" t="inlineStr">
        <is>
          <t>lpg</t>
        </is>
      </c>
      <c r="F112" s="5" t="n">
        <v>17.4320828436885</v>
      </c>
      <c r="G112" s="5" t="inlineStr">
        <is>
          <t>Kernel v1.6 Data_Energy = legacy Mitigation rows 583-602</t>
        </is>
      </c>
    </row>
    <row r="113">
      <c r="A113" s="5" t="inlineStr">
        <is>
          <t>EGY|2022|cst|lpg</t>
        </is>
      </c>
      <c r="B113" s="5" t="inlineStr">
        <is>
          <t>EGY</t>
        </is>
      </c>
      <c r="C113" s="5" t="n">
        <v>2022</v>
      </c>
      <c r="D113" s="5" t="inlineStr">
        <is>
          <t>cst</t>
        </is>
      </c>
      <c r="E113" s="5" t="inlineStr">
        <is>
          <t>lpg</t>
        </is>
      </c>
      <c r="F113" s="5" t="n">
        <v>0</v>
      </c>
      <c r="G113" s="5" t="inlineStr">
        <is>
          <t>Kernel v1.6 Data_Energy = legacy Mitigation rows 583-602</t>
        </is>
      </c>
    </row>
    <row r="114">
      <c r="A114" s="5" t="inlineStr">
        <is>
          <t>EGY|2022|ftr|lpg</t>
        </is>
      </c>
      <c r="B114" s="5" t="inlineStr">
        <is>
          <t>EGY</t>
        </is>
      </c>
      <c r="C114" s="5" t="n">
        <v>2022</v>
      </c>
      <c r="D114" s="5" t="inlineStr">
        <is>
          <t>ftr</t>
        </is>
      </c>
      <c r="E114" s="5" t="inlineStr">
        <is>
          <t>lpg</t>
        </is>
      </c>
      <c r="F114" s="5" t="n">
        <v>2465.7623559049</v>
      </c>
      <c r="G114" s="5" t="inlineStr">
        <is>
          <t>Kernel v1.6 Data_Energy = legacy Mitigation rows 583-602</t>
        </is>
      </c>
    </row>
    <row r="115">
      <c r="A115" s="5" t="inlineStr">
        <is>
          <t>EGY|2022|oen|lpg</t>
        </is>
      </c>
      <c r="B115" s="5" t="inlineStr">
        <is>
          <t>EGY</t>
        </is>
      </c>
      <c r="C115" s="5" t="n">
        <v>2022</v>
      </c>
      <c r="D115" s="5" t="inlineStr">
        <is>
          <t>oen</t>
        </is>
      </c>
      <c r="E115" s="5" t="inlineStr">
        <is>
          <t>lpg</t>
        </is>
      </c>
      <c r="F115" s="5" t="n">
        <v>0</v>
      </c>
      <c r="G115" s="5" t="inlineStr">
        <is>
          <t>Kernel v1.6 Data_Energy = legacy Mitigation rows 583-602</t>
        </is>
      </c>
    </row>
    <row r="116">
      <c r="A116" s="5" t="inlineStr">
        <is>
          <t>EGY|2022|rod|bio</t>
        </is>
      </c>
      <c r="B116" s="5" t="inlineStr">
        <is>
          <t>EGY</t>
        </is>
      </c>
      <c r="C116" s="5" t="n">
        <v>2022</v>
      </c>
      <c r="D116" s="5" t="inlineStr">
        <is>
          <t>rod</t>
        </is>
      </c>
      <c r="E116" s="5" t="inlineStr">
        <is>
          <t>bio</t>
        </is>
      </c>
      <c r="F116" s="5" t="n">
        <v>0</v>
      </c>
      <c r="G116" s="5" t="inlineStr">
        <is>
          <t>Kernel v1.6 Data_Energy = legacy Mitigation rows 583-602</t>
        </is>
      </c>
    </row>
    <row r="117">
      <c r="A117" s="5" t="inlineStr">
        <is>
          <t>EGY|2022|ral|bio</t>
        </is>
      </c>
      <c r="B117" s="5" t="inlineStr">
        <is>
          <t>EGY</t>
        </is>
      </c>
      <c r="C117" s="5" t="n">
        <v>2022</v>
      </c>
      <c r="D117" s="5" t="inlineStr">
        <is>
          <t>ral</t>
        </is>
      </c>
      <c r="E117" s="5" t="inlineStr">
        <is>
          <t>bio</t>
        </is>
      </c>
      <c r="F117" s="5" t="n">
        <v>0</v>
      </c>
      <c r="G117" s="5" t="inlineStr">
        <is>
          <t>Kernel v1.6 Data_Energy = legacy Mitigation rows 583-602</t>
        </is>
      </c>
    </row>
    <row r="118">
      <c r="A118" s="5" t="inlineStr">
        <is>
          <t>EGY|2022|avi|bio</t>
        </is>
      </c>
      <c r="B118" s="5" t="inlineStr">
        <is>
          <t>EGY</t>
        </is>
      </c>
      <c r="C118" s="5" t="n">
        <v>2022</v>
      </c>
      <c r="D118" s="5" t="inlineStr">
        <is>
          <t>avi</t>
        </is>
      </c>
      <c r="E118" s="5" t="inlineStr">
        <is>
          <t>bio</t>
        </is>
      </c>
      <c r="F118" s="5" t="n">
        <v>0</v>
      </c>
      <c r="G118" s="5" t="inlineStr">
        <is>
          <t>Kernel v1.6 Data_Energy = legacy Mitigation rows 583-602</t>
        </is>
      </c>
    </row>
    <row r="119">
      <c r="A119" s="5" t="inlineStr">
        <is>
          <t>EGY|2022|nav|bio</t>
        </is>
      </c>
      <c r="B119" s="5" t="inlineStr">
        <is>
          <t>EGY</t>
        </is>
      </c>
      <c r="C119" s="5" t="n">
        <v>2022</v>
      </c>
      <c r="D119" s="5" t="inlineStr">
        <is>
          <t>nav</t>
        </is>
      </c>
      <c r="E119" s="5" t="inlineStr">
        <is>
          <t>bio</t>
        </is>
      </c>
      <c r="F119" s="5" t="n">
        <v>0</v>
      </c>
      <c r="G119" s="5" t="inlineStr">
        <is>
          <t>Kernel v1.6 Data_Energy = legacy Mitigation rows 583-602</t>
        </is>
      </c>
    </row>
    <row r="120">
      <c r="A120" s="5" t="inlineStr">
        <is>
          <t>EGY|2022|res|bio</t>
        </is>
      </c>
      <c r="B120" s="5" t="inlineStr">
        <is>
          <t>EGY</t>
        </is>
      </c>
      <c r="C120" s="5" t="n">
        <v>2022</v>
      </c>
      <c r="D120" s="5" t="inlineStr">
        <is>
          <t>res</t>
        </is>
      </c>
      <c r="E120" s="5" t="inlineStr">
        <is>
          <t>bio</t>
        </is>
      </c>
      <c r="F120" s="5" t="n">
        <v>1579.83074407564</v>
      </c>
      <c r="G120" s="5" t="inlineStr">
        <is>
          <t>Kernel v1.6 Data_Energy = legacy Mitigation rows 583-602</t>
        </is>
      </c>
    </row>
    <row r="121">
      <c r="A121" s="5" t="inlineStr">
        <is>
          <t>EGY|2022|foo|bio</t>
        </is>
      </c>
      <c r="B121" s="5" t="inlineStr">
        <is>
          <t>EGY</t>
        </is>
      </c>
      <c r="C121" s="5" t="n">
        <v>2022</v>
      </c>
      <c r="D121" s="5" t="inlineStr">
        <is>
          <t>foo</t>
        </is>
      </c>
      <c r="E121" s="5" t="inlineStr">
        <is>
          <t>bio</t>
        </is>
      </c>
      <c r="F121" s="5" t="n">
        <v>0</v>
      </c>
      <c r="G121" s="5" t="inlineStr">
        <is>
          <t>Kernel v1.6 Data_Energy = legacy Mitigation rows 583-602</t>
        </is>
      </c>
    </row>
    <row r="122">
      <c r="A122" s="5" t="inlineStr">
        <is>
          <t>EGY|2022|srv|bio</t>
        </is>
      </c>
      <c r="B122" s="5" t="inlineStr">
        <is>
          <t>EGY</t>
        </is>
      </c>
      <c r="C122" s="5" t="n">
        <v>2022</v>
      </c>
      <c r="D122" s="5" t="inlineStr">
        <is>
          <t>srv</t>
        </is>
      </c>
      <c r="E122" s="5" t="inlineStr">
        <is>
          <t>bio</t>
        </is>
      </c>
      <c r="F122" s="5" t="n">
        <v>0</v>
      </c>
      <c r="G122" s="5" t="inlineStr">
        <is>
          <t>Kernel v1.6 Data_Energy = legacy Mitigation rows 583-602</t>
        </is>
      </c>
    </row>
    <row r="123">
      <c r="A123" s="5" t="inlineStr">
        <is>
          <t>EGY|2022|mch|bio</t>
        </is>
      </c>
      <c r="B123" s="5" t="inlineStr">
        <is>
          <t>EGY</t>
        </is>
      </c>
      <c r="C123" s="5" t="n">
        <v>2022</v>
      </c>
      <c r="D123" s="5" t="inlineStr">
        <is>
          <t>mch</t>
        </is>
      </c>
      <c r="E123" s="5" t="inlineStr">
        <is>
          <t>bio</t>
        </is>
      </c>
      <c r="F123" s="5" t="n">
        <v>0</v>
      </c>
      <c r="G123" s="5" t="inlineStr">
        <is>
          <t>Kernel v1.6 Data_Energy = legacy Mitigation rows 583-602</t>
        </is>
      </c>
    </row>
    <row r="124">
      <c r="A124" s="5" t="inlineStr">
        <is>
          <t>EGY|2022|irn|bio</t>
        </is>
      </c>
      <c r="B124" s="5" t="inlineStr">
        <is>
          <t>EGY</t>
        </is>
      </c>
      <c r="C124" s="5" t="n">
        <v>2022</v>
      </c>
      <c r="D124" s="5" t="inlineStr">
        <is>
          <t>irn</t>
        </is>
      </c>
      <c r="E124" s="5" t="inlineStr">
        <is>
          <t>bio</t>
        </is>
      </c>
      <c r="F124" s="5" t="n">
        <v>0</v>
      </c>
      <c r="G124" s="5" t="inlineStr">
        <is>
          <t>Kernel v1.6 Data_Energy = legacy Mitigation rows 583-602</t>
        </is>
      </c>
    </row>
    <row r="125">
      <c r="A125" s="5" t="inlineStr">
        <is>
          <t>EGY|2022|nfm|bio</t>
        </is>
      </c>
      <c r="B125" s="5" t="inlineStr">
        <is>
          <t>EGY</t>
        </is>
      </c>
      <c r="C125" s="5" t="n">
        <v>2022</v>
      </c>
      <c r="D125" s="5" t="inlineStr">
        <is>
          <t>nfm</t>
        </is>
      </c>
      <c r="E125" s="5" t="inlineStr">
        <is>
          <t>bio</t>
        </is>
      </c>
      <c r="F125" s="5" t="n">
        <v>0</v>
      </c>
      <c r="G125" s="5" t="inlineStr">
        <is>
          <t>Kernel v1.6 Data_Energy = legacy Mitigation rows 583-602</t>
        </is>
      </c>
    </row>
    <row r="126">
      <c r="A126" s="5" t="inlineStr">
        <is>
          <t>EGY|2022|mac|bio</t>
        </is>
      </c>
      <c r="B126" s="5" t="inlineStr">
        <is>
          <t>EGY</t>
        </is>
      </c>
      <c r="C126" s="5" t="n">
        <v>2022</v>
      </c>
      <c r="D126" s="5" t="inlineStr">
        <is>
          <t>mac</t>
        </is>
      </c>
      <c r="E126" s="5" t="inlineStr">
        <is>
          <t>bio</t>
        </is>
      </c>
      <c r="F126" s="5" t="n">
        <v>0</v>
      </c>
      <c r="G126" s="5" t="inlineStr">
        <is>
          <t>Kernel v1.6 Data_Energy = legacy Mitigation rows 583-602</t>
        </is>
      </c>
    </row>
    <row r="127">
      <c r="A127" s="5" t="inlineStr">
        <is>
          <t>EGY|2022|cem|bio</t>
        </is>
      </c>
      <c r="B127" s="5" t="inlineStr">
        <is>
          <t>EGY</t>
        </is>
      </c>
      <c r="C127" s="5" t="n">
        <v>2022</v>
      </c>
      <c r="D127" s="5" t="inlineStr">
        <is>
          <t>cem</t>
        </is>
      </c>
      <c r="E127" s="5" t="inlineStr">
        <is>
          <t>bio</t>
        </is>
      </c>
      <c r="F127" s="5" t="n">
        <v>0</v>
      </c>
      <c r="G127" s="5" t="inlineStr">
        <is>
          <t>Kernel v1.6 Data_Energy = legacy Mitigation rows 583-602</t>
        </is>
      </c>
    </row>
    <row r="128">
      <c r="A128" s="5" t="inlineStr">
        <is>
          <t>EGY|2022|omn|bio</t>
        </is>
      </c>
      <c r="B128" s="5" t="inlineStr">
        <is>
          <t>EGY</t>
        </is>
      </c>
      <c r="C128" s="5" t="n">
        <v>2022</v>
      </c>
      <c r="D128" s="5" t="inlineStr">
        <is>
          <t>omn</t>
        </is>
      </c>
      <c r="E128" s="5" t="inlineStr">
        <is>
          <t>bio</t>
        </is>
      </c>
      <c r="F128" s="5" t="n">
        <v>0</v>
      </c>
      <c r="G128" s="5" t="inlineStr">
        <is>
          <t>Kernel v1.6 Data_Energy = legacy Mitigation rows 583-602</t>
        </is>
      </c>
    </row>
    <row r="129">
      <c r="A129" s="5" t="inlineStr">
        <is>
          <t>EGY|2022|cst|bio</t>
        </is>
      </c>
      <c r="B129" s="5" t="inlineStr">
        <is>
          <t>EGY</t>
        </is>
      </c>
      <c r="C129" s="5" t="n">
        <v>2022</v>
      </c>
      <c r="D129" s="5" t="inlineStr">
        <is>
          <t>cst</t>
        </is>
      </c>
      <c r="E129" s="5" t="inlineStr">
        <is>
          <t>bio</t>
        </is>
      </c>
      <c r="F129" s="5" t="n">
        <v>0</v>
      </c>
      <c r="G129" s="5" t="inlineStr">
        <is>
          <t>Kernel v1.6 Data_Energy = legacy Mitigation rows 583-602</t>
        </is>
      </c>
    </row>
    <row r="130">
      <c r="A130" s="5" t="inlineStr">
        <is>
          <t>EGY|2022|ftr|bio</t>
        </is>
      </c>
      <c r="B130" s="5" t="inlineStr">
        <is>
          <t>EGY</t>
        </is>
      </c>
      <c r="C130" s="5" t="n">
        <v>2022</v>
      </c>
      <c r="D130" s="5" t="inlineStr">
        <is>
          <t>ftr</t>
        </is>
      </c>
      <c r="E130" s="5" t="inlineStr">
        <is>
          <t>bio</t>
        </is>
      </c>
      <c r="F130" s="5" t="n">
        <v>0</v>
      </c>
      <c r="G130" s="5" t="inlineStr">
        <is>
          <t>Kernel v1.6 Data_Energy = legacy Mitigation rows 583-602</t>
        </is>
      </c>
    </row>
    <row r="131">
      <c r="A131" s="5" t="inlineStr">
        <is>
          <t>EGY|2022|oen|bio</t>
        </is>
      </c>
      <c r="B131" s="5" t="inlineStr">
        <is>
          <t>EGY</t>
        </is>
      </c>
      <c r="C131" s="5" t="n">
        <v>2022</v>
      </c>
      <c r="D131" s="5" t="inlineStr">
        <is>
          <t>oen</t>
        </is>
      </c>
      <c r="E131" s="5" t="inlineStr">
        <is>
          <t>bio</t>
        </is>
      </c>
      <c r="F131" s="5" t="n">
        <v>0</v>
      </c>
      <c r="G131" s="5" t="inlineStr">
        <is>
          <t>Kernel v1.6 Data_Energy = legacy Mitigation rows 583-602</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D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s>
  <sheetData>
    <row r="1">
      <c r="A1" s="5" t="inlineStr">
        <is>
          <t>Source: legacy Mitigation row 2446 via kernel v1.6 Data_Macro (Egypt only so far)</t>
        </is>
      </c>
    </row>
    <row r="2">
      <c r="A2" s="1" t="inlineStr">
        <is>
          <t>Macro series by country (real GDP growth)</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row>
    <row r="3">
      <c r="A3" s="7" t="inlineStr">
        <is>
          <t>key</t>
        </is>
      </c>
      <c r="B3" s="7" t="inlineStr">
        <is>
          <t>country</t>
        </is>
      </c>
      <c r="C3" s="7" t="inlineStr">
        <is>
          <t>variable</t>
        </is>
      </c>
      <c r="D3" s="7" t="inlineStr">
        <is>
          <t>unit</t>
        </is>
      </c>
      <c r="E3" s="7" t="inlineStr">
        <is>
          <t>source</t>
        </is>
      </c>
      <c r="F3" s="7" t="n">
        <v>2021</v>
      </c>
      <c r="G3" s="7" t="n">
        <v>2022</v>
      </c>
      <c r="H3" s="7" t="n">
        <v>2023</v>
      </c>
      <c r="I3" s="7" t="n">
        <v>2024</v>
      </c>
      <c r="J3" s="7" t="n">
        <v>2025</v>
      </c>
      <c r="K3" s="7" t="n">
        <v>2026</v>
      </c>
      <c r="L3" s="7" t="n">
        <v>2027</v>
      </c>
      <c r="M3" s="7" t="n">
        <v>2028</v>
      </c>
      <c r="N3" s="7" t="n">
        <v>2029</v>
      </c>
      <c r="O3" s="7" t="n">
        <v>2030</v>
      </c>
      <c r="P3" s="7" t="n">
        <v>2031</v>
      </c>
      <c r="Q3" s="7" t="n">
        <v>2032</v>
      </c>
      <c r="R3" s="7" t="n">
        <v>2033</v>
      </c>
      <c r="S3" s="7" t="n">
        <v>2034</v>
      </c>
      <c r="T3" s="7" t="n">
        <v>2035</v>
      </c>
      <c r="U3" s="7" t="n">
        <v>2036</v>
      </c>
      <c r="V3" s="7" t="n">
        <v>2037</v>
      </c>
      <c r="W3" s="7" t="n">
        <v>2038</v>
      </c>
      <c r="X3" s="7" t="n">
        <v>2039</v>
      </c>
      <c r="Y3" s="7" t="n">
        <v>2040</v>
      </c>
      <c r="Z3" s="7" t="n">
        <v>2041</v>
      </c>
      <c r="AA3" s="7" t="n">
        <v>2042</v>
      </c>
      <c r="AB3" s="7" t="n">
        <v>2043</v>
      </c>
      <c r="AC3" s="7" t="n">
        <v>2044</v>
      </c>
      <c r="AD3" s="7" t="n">
        <v>2045</v>
      </c>
    </row>
    <row r="4">
      <c r="A4" s="5" t="inlineStr">
        <is>
          <t>EGY|gdp_growth</t>
        </is>
      </c>
      <c r="B4" s="5" t="inlineStr">
        <is>
          <t>EGY</t>
        </is>
      </c>
      <c r="C4" s="5" t="inlineStr">
        <is>
          <t>Real GDP growth</t>
        </is>
      </c>
      <c r="D4" s="5" t="inlineStr">
        <is>
          <t>fraction</t>
        </is>
      </c>
      <c r="E4" s="5" t="inlineStr">
        <is>
          <t>Kernel v1.6 Data_Macro egy.mit.gdp.pos.pct.1 = legacy Mitigation row 2446</t>
        </is>
      </c>
      <c r="F4" s="5" t="n"/>
      <c r="G4" s="5" t="n">
        <v>0.06651345</v>
      </c>
      <c r="H4" s="5" t="n">
        <v>0.03760281</v>
      </c>
      <c r="I4" s="5" t="n">
        <v>0.02398801</v>
      </c>
      <c r="J4" s="5" t="n">
        <v>0.04392387</v>
      </c>
      <c r="K4" s="5" t="n">
        <v>0.04239706</v>
      </c>
      <c r="L4" s="5" t="n">
        <v>0.04829218</v>
      </c>
      <c r="M4" s="5" t="n">
        <v>0.05535316</v>
      </c>
      <c r="N4" s="5" t="n">
        <v>0.05226606</v>
      </c>
      <c r="O4" s="5" t="n">
        <v>0.04841877</v>
      </c>
      <c r="P4" s="5" t="n">
        <v>0.04788736</v>
      </c>
      <c r="Q4" s="5" t="n">
        <v>0.04735595</v>
      </c>
      <c r="R4" s="5" t="n">
        <v>0.04682454</v>
      </c>
      <c r="S4" s="5" t="n">
        <v>0.04629313</v>
      </c>
      <c r="T4" s="5" t="n">
        <v>0.04576172</v>
      </c>
      <c r="U4" s="5" t="n">
        <v>0.04523031</v>
      </c>
      <c r="V4" s="5" t="n">
        <v>0.0446989</v>
      </c>
      <c r="W4" s="5" t="n">
        <v>0.04416749</v>
      </c>
      <c r="X4" s="5" t="n">
        <v>0.04363608</v>
      </c>
      <c r="Y4" s="5" t="n">
        <v>0.04310467</v>
      </c>
      <c r="Z4" s="5" t="n">
        <v>0.04257326</v>
      </c>
      <c r="AA4" s="5" t="n"/>
      <c r="AB4" s="5" t="n"/>
      <c r="AC4" s="5" t="n"/>
      <c r="AD4" s="5" t="n"/>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s>
  <sheetData>
    <row r="1">
      <c r="A1" s="5" t="inlineStr">
        <is>
          <t>Source: legacy Mitigation rows 980-1009 (Egypt only so far; no inventory adjustment)</t>
        </is>
      </c>
    </row>
    <row r="2">
      <c r="A2" s="1" t="inlineStr">
        <is>
          <t>Fuel CO2 emission factors, IIASA (tCO2/GJ), by country, fuel and EF sector</t>
        </is>
      </c>
      <c r="B2" s="2" t="n"/>
      <c r="C2" s="2" t="n"/>
      <c r="D2" s="2" t="n"/>
      <c r="E2" s="2" t="n"/>
      <c r="F2" s="2" t="n"/>
    </row>
    <row r="3">
      <c r="A3" s="7" t="inlineStr">
        <is>
          <t>key</t>
        </is>
      </c>
      <c r="B3" s="7" t="inlineStr">
        <is>
          <t>country</t>
        </is>
      </c>
      <c r="C3" s="7" t="inlineStr">
        <is>
          <t>fuel</t>
        </is>
      </c>
      <c r="D3" s="7" t="inlineStr">
        <is>
          <t>ef_sector</t>
        </is>
      </c>
      <c r="E3" s="7" t="inlineStr">
        <is>
          <t>ef_tco2_per_gj</t>
        </is>
      </c>
      <c r="F3" s="7" t="inlineStr">
        <is>
          <t>source</t>
        </is>
      </c>
    </row>
    <row r="4">
      <c r="A4" s="5" t="inlineStr">
        <is>
          <t>EGY|coa|pow</t>
        </is>
      </c>
      <c r="B4" s="5" t="inlineStr">
        <is>
          <t>EGY</t>
        </is>
      </c>
      <c r="C4" s="5" t="inlineStr">
        <is>
          <t>coa</t>
        </is>
      </c>
      <c r="D4" s="5" t="inlineStr">
        <is>
          <t>pow</t>
        </is>
      </c>
      <c r="E4" s="5" t="n">
        <v>0.094308</v>
      </c>
      <c r="F4" s="5" t="inlineStr">
        <is>
          <t>Mitigation row 980 (egy.mit.ef.coa.pow)</t>
        </is>
      </c>
    </row>
    <row r="5">
      <c r="A5" s="5" t="inlineStr">
        <is>
          <t>EGY|nga|pow</t>
        </is>
      </c>
      <c r="B5" s="5" t="inlineStr">
        <is>
          <t>EGY</t>
        </is>
      </c>
      <c r="C5" s="5" t="inlineStr">
        <is>
          <t>nga</t>
        </is>
      </c>
      <c r="D5" s="5" t="inlineStr">
        <is>
          <t>pow</t>
        </is>
      </c>
      <c r="E5" s="5" t="n">
        <v>0.0558</v>
      </c>
      <c r="F5" s="5" t="inlineStr">
        <is>
          <t>Mitigation row 981 (egy.mit.ef.nga.pow)</t>
        </is>
      </c>
    </row>
    <row r="6">
      <c r="A6" s="5" t="inlineStr">
        <is>
          <t>EGY|gso|pow</t>
        </is>
      </c>
      <c r="B6" s="5" t="inlineStr">
        <is>
          <t>EGY</t>
        </is>
      </c>
      <c r="C6" s="5" t="inlineStr">
        <is>
          <t>gso</t>
        </is>
      </c>
      <c r="D6" s="5" t="inlineStr">
        <is>
          <t>pow</t>
        </is>
      </c>
      <c r="E6" s="5" t="n">
        <v>0.06859999999999999</v>
      </c>
      <c r="F6" s="5" t="inlineStr">
        <is>
          <t>Mitigation row 982 (egy.mit.ef.gso.pow)</t>
        </is>
      </c>
    </row>
    <row r="7">
      <c r="A7" s="5" t="inlineStr">
        <is>
          <t>EGY|die|pow</t>
        </is>
      </c>
      <c r="B7" s="5" t="inlineStr">
        <is>
          <t>EGY</t>
        </is>
      </c>
      <c r="C7" s="5" t="inlineStr">
        <is>
          <t>die</t>
        </is>
      </c>
      <c r="D7" s="5" t="inlineStr">
        <is>
          <t>pow</t>
        </is>
      </c>
      <c r="E7" s="5" t="n">
        <v>0.07340000000000001</v>
      </c>
      <c r="F7" s="5" t="inlineStr">
        <is>
          <t>Mitigation row 983 (egy.mit.ef.die.pow)</t>
        </is>
      </c>
    </row>
    <row r="8">
      <c r="A8" s="5" t="inlineStr">
        <is>
          <t>EGY|lpg|pow</t>
        </is>
      </c>
      <c r="B8" s="5" t="inlineStr">
        <is>
          <t>EGY</t>
        </is>
      </c>
      <c r="C8" s="5" t="inlineStr">
        <is>
          <t>lpg</t>
        </is>
      </c>
      <c r="D8" s="5" t="inlineStr">
        <is>
          <t>pow</t>
        </is>
      </c>
      <c r="E8" s="5" t="n">
        <v>0.06859999999999999</v>
      </c>
      <c r="F8" s="5" t="inlineStr">
        <is>
          <t>Mitigation row 984 (egy.mit.ef.lpg.pow)</t>
        </is>
      </c>
    </row>
    <row r="9">
      <c r="A9" s="5" t="inlineStr">
        <is>
          <t>EGY|ker|pow</t>
        </is>
      </c>
      <c r="B9" s="5" t="inlineStr">
        <is>
          <t>EGY</t>
        </is>
      </c>
      <c r="C9" s="5" t="inlineStr">
        <is>
          <t>ker</t>
        </is>
      </c>
      <c r="D9" s="5" t="inlineStr">
        <is>
          <t>pow</t>
        </is>
      </c>
      <c r="E9" s="5" t="n">
        <v>0.068555</v>
      </c>
      <c r="F9" s="5" t="inlineStr">
        <is>
          <t>Mitigation row 985 (egy.mit.ef.ker.pow)</t>
        </is>
      </c>
    </row>
    <row r="10">
      <c r="A10" s="5" t="inlineStr">
        <is>
          <t>EGY|oop|pow</t>
        </is>
      </c>
      <c r="B10" s="5" t="inlineStr">
        <is>
          <t>EGY</t>
        </is>
      </c>
      <c r="C10" s="5" t="inlineStr">
        <is>
          <t>oop</t>
        </is>
      </c>
      <c r="D10" s="5" t="inlineStr">
        <is>
          <t>pow</t>
        </is>
      </c>
      <c r="E10" s="5" t="n">
        <v>0.0767</v>
      </c>
      <c r="F10" s="5" t="inlineStr">
        <is>
          <t>Mitigation row 986 (egy.mit.ef.oop.pow)</t>
        </is>
      </c>
    </row>
    <row r="11">
      <c r="A11" s="5" t="inlineStr">
        <is>
          <t>EGY|coa|rod</t>
        </is>
      </c>
      <c r="B11" s="5" t="inlineStr">
        <is>
          <t>EGY</t>
        </is>
      </c>
      <c r="C11" s="5" t="inlineStr">
        <is>
          <t>coa</t>
        </is>
      </c>
      <c r="D11" s="5" t="inlineStr">
        <is>
          <t>rod</t>
        </is>
      </c>
      <c r="E11" s="5" t="n">
        <v>0.094308</v>
      </c>
      <c r="F11" s="5" t="inlineStr">
        <is>
          <t>Mitigation row 987 (egy.mit.ef.coa.rod)</t>
        </is>
      </c>
    </row>
    <row r="12">
      <c r="A12" s="5" t="inlineStr">
        <is>
          <t>EGY|nga|rod</t>
        </is>
      </c>
      <c r="B12" s="5" t="inlineStr">
        <is>
          <t>EGY</t>
        </is>
      </c>
      <c r="C12" s="5" t="inlineStr">
        <is>
          <t>nga</t>
        </is>
      </c>
      <c r="D12" s="5" t="inlineStr">
        <is>
          <t>rod</t>
        </is>
      </c>
      <c r="E12" s="5" t="n">
        <v>0.0558</v>
      </c>
      <c r="F12" s="5" t="inlineStr">
        <is>
          <t>Mitigation row 988 (egy.mit.ef.nga.rod)</t>
        </is>
      </c>
    </row>
    <row r="13">
      <c r="A13" s="5" t="inlineStr">
        <is>
          <t>EGY|gso|rod</t>
        </is>
      </c>
      <c r="B13" s="5" t="inlineStr">
        <is>
          <t>EGY</t>
        </is>
      </c>
      <c r="C13" s="5" t="inlineStr">
        <is>
          <t>gso</t>
        </is>
      </c>
      <c r="D13" s="5" t="inlineStr">
        <is>
          <t>rod</t>
        </is>
      </c>
      <c r="E13" s="5" t="n">
        <v>0.066178</v>
      </c>
      <c r="F13" s="5" t="inlineStr">
        <is>
          <t>Mitigation row 989 (egy.mit.ef.gso.rod)</t>
        </is>
      </c>
    </row>
    <row r="14">
      <c r="A14" s="5" t="inlineStr">
        <is>
          <t>EGY|die|rod</t>
        </is>
      </c>
      <c r="B14" s="5" t="inlineStr">
        <is>
          <t>EGY</t>
        </is>
      </c>
      <c r="C14" s="5" t="inlineStr">
        <is>
          <t>die</t>
        </is>
      </c>
      <c r="D14" s="5" t="inlineStr">
        <is>
          <t>rod</t>
        </is>
      </c>
      <c r="E14" s="5" t="n">
        <v>0.070809</v>
      </c>
      <c r="F14" s="5" t="inlineStr">
        <is>
          <t>Mitigation row 990 (egy.mit.ef.die.rod)</t>
        </is>
      </c>
    </row>
    <row r="15">
      <c r="A15" s="5" t="inlineStr">
        <is>
          <t>EGY|lpg|rod</t>
        </is>
      </c>
      <c r="B15" s="5" t="inlineStr">
        <is>
          <t>EGY</t>
        </is>
      </c>
      <c r="C15" s="5" t="inlineStr">
        <is>
          <t>lpg</t>
        </is>
      </c>
      <c r="D15" s="5" t="inlineStr">
        <is>
          <t>rod</t>
        </is>
      </c>
      <c r="E15" s="5" t="n">
        <v>0.06859999999999999</v>
      </c>
      <c r="F15" s="5" t="inlineStr">
        <is>
          <t>Mitigation row 991 (egy.mit.ef.lpg.rod)</t>
        </is>
      </c>
    </row>
    <row r="16">
      <c r="A16" s="5" t="inlineStr">
        <is>
          <t>EGY|ker|rod</t>
        </is>
      </c>
      <c r="B16" s="5" t="inlineStr">
        <is>
          <t>EGY</t>
        </is>
      </c>
      <c r="C16" s="5" t="inlineStr">
        <is>
          <t>ker</t>
        </is>
      </c>
      <c r="D16" s="5" t="inlineStr">
        <is>
          <t>rod</t>
        </is>
      </c>
      <c r="E16" s="5" t="n">
        <v>0.068555</v>
      </c>
      <c r="F16" s="5" t="inlineStr">
        <is>
          <t>Mitigation row 992 (egy.mit.ef.ker.rod)</t>
        </is>
      </c>
    </row>
    <row r="17">
      <c r="A17" s="5" t="inlineStr">
        <is>
          <t>EGY|oop|rod</t>
        </is>
      </c>
      <c r="B17" s="5" t="inlineStr">
        <is>
          <t>EGY</t>
        </is>
      </c>
      <c r="C17" s="5" t="inlineStr">
        <is>
          <t>oop</t>
        </is>
      </c>
      <c r="D17" s="5" t="inlineStr">
        <is>
          <t>rod</t>
        </is>
      </c>
      <c r="E17" s="5" t="n">
        <v>0.070809</v>
      </c>
      <c r="F17" s="5" t="inlineStr">
        <is>
          <t>Mitigation row 993 (egy.mit.ef.oop.rod)</t>
        </is>
      </c>
    </row>
    <row r="18">
      <c r="A18" s="5" t="inlineStr">
        <is>
          <t>EGY|coa|res</t>
        </is>
      </c>
      <c r="B18" s="5" t="inlineStr">
        <is>
          <t>EGY</t>
        </is>
      </c>
      <c r="C18" s="5" t="inlineStr">
        <is>
          <t>coa</t>
        </is>
      </c>
      <c r="D18" s="5" t="inlineStr">
        <is>
          <t>res</t>
        </is>
      </c>
      <c r="E18" s="5" t="n">
        <v>0.09429999999999999</v>
      </c>
      <c r="F18" s="5" t="inlineStr">
        <is>
          <t>Mitigation row 994 (egy.mit.ef.coa.res)</t>
        </is>
      </c>
    </row>
    <row r="19">
      <c r="A19" s="5" t="inlineStr">
        <is>
          <t>EGY|nga|res</t>
        </is>
      </c>
      <c r="B19" s="5" t="inlineStr">
        <is>
          <t>EGY</t>
        </is>
      </c>
      <c r="C19" s="5" t="inlineStr">
        <is>
          <t>nga</t>
        </is>
      </c>
      <c r="D19" s="5" t="inlineStr">
        <is>
          <t>res</t>
        </is>
      </c>
      <c r="E19" s="5" t="n">
        <v>0.0558</v>
      </c>
      <c r="F19" s="5" t="inlineStr">
        <is>
          <t>Mitigation row 995 (egy.mit.ef.nga.res)</t>
        </is>
      </c>
    </row>
    <row r="20">
      <c r="A20" s="5" t="inlineStr">
        <is>
          <t>EGY|gso|res</t>
        </is>
      </c>
      <c r="B20" s="5" t="inlineStr">
        <is>
          <t>EGY</t>
        </is>
      </c>
      <c r="C20" s="5" t="inlineStr">
        <is>
          <t>gso</t>
        </is>
      </c>
      <c r="D20" s="5" t="inlineStr">
        <is>
          <t>res</t>
        </is>
      </c>
      <c r="E20" s="5" t="n">
        <v>0.068555</v>
      </c>
      <c r="F20" s="5" t="inlineStr">
        <is>
          <t>Mitigation row 996 (egy.mit.ef.gso.res)</t>
        </is>
      </c>
    </row>
    <row r="21">
      <c r="A21" s="5" t="inlineStr">
        <is>
          <t>EGY|die|res</t>
        </is>
      </c>
      <c r="B21" s="5" t="inlineStr">
        <is>
          <t>EGY</t>
        </is>
      </c>
      <c r="C21" s="5" t="inlineStr">
        <is>
          <t>die</t>
        </is>
      </c>
      <c r="D21" s="5" t="inlineStr">
        <is>
          <t>res</t>
        </is>
      </c>
      <c r="E21" s="5" t="n">
        <v>0.07340000000000001</v>
      </c>
      <c r="F21" s="5" t="inlineStr">
        <is>
          <t>Mitigation row 997 (egy.mit.ef.die.res)</t>
        </is>
      </c>
    </row>
    <row r="22">
      <c r="A22" s="5" t="inlineStr">
        <is>
          <t>EGY|lpg|res</t>
        </is>
      </c>
      <c r="B22" s="5" t="inlineStr">
        <is>
          <t>EGY</t>
        </is>
      </c>
      <c r="C22" s="5" t="inlineStr">
        <is>
          <t>lpg</t>
        </is>
      </c>
      <c r="D22" s="5" t="inlineStr">
        <is>
          <t>res</t>
        </is>
      </c>
      <c r="E22" s="5" t="n">
        <v>0.06859999999999999</v>
      </c>
      <c r="F22" s="5" t="inlineStr">
        <is>
          <t>Mitigation row 998 (egy.mit.ef.lpg.res)</t>
        </is>
      </c>
    </row>
    <row r="23">
      <c r="A23" s="5" t="inlineStr">
        <is>
          <t>EGY|ker|res</t>
        </is>
      </c>
      <c r="B23" s="5" t="inlineStr">
        <is>
          <t>EGY</t>
        </is>
      </c>
      <c r="C23" s="5" t="inlineStr">
        <is>
          <t>ker</t>
        </is>
      </c>
      <c r="D23" s="5" t="inlineStr">
        <is>
          <t>res</t>
        </is>
      </c>
      <c r="E23" s="5" t="n">
        <v>0.068555</v>
      </c>
      <c r="F23" s="5" t="inlineStr">
        <is>
          <t>Mitigation row 999 (egy.mit.ef.ker.res)</t>
        </is>
      </c>
    </row>
    <row r="24">
      <c r="A24" s="5" t="inlineStr">
        <is>
          <t>EGY|oop|res</t>
        </is>
      </c>
      <c r="B24" s="5" t="inlineStr">
        <is>
          <t>EGY</t>
        </is>
      </c>
      <c r="C24" s="5" t="inlineStr">
        <is>
          <t>oop</t>
        </is>
      </c>
      <c r="D24" s="5" t="inlineStr">
        <is>
          <t>res</t>
        </is>
      </c>
      <c r="E24" s="5" t="n">
        <v>0.0767</v>
      </c>
      <c r="F24" s="5" t="inlineStr">
        <is>
          <t>Mitigation row 1000 (egy.mit.ef.oop.res)</t>
        </is>
      </c>
    </row>
    <row r="25">
      <c r="A25" s="5" t="inlineStr">
        <is>
          <t>EGY|coa|ind</t>
        </is>
      </c>
      <c r="B25" s="5" t="inlineStr">
        <is>
          <t>EGY</t>
        </is>
      </c>
      <c r="C25" s="5" t="inlineStr">
        <is>
          <t>coa</t>
        </is>
      </c>
      <c r="D25" s="5" t="inlineStr">
        <is>
          <t>ind</t>
        </is>
      </c>
      <c r="E25" s="5" t="n">
        <v>0.1</v>
      </c>
      <c r="F25" s="5" t="inlineStr">
        <is>
          <t>Mitigation row 1001 (egy.mit.ef.coa.ind)</t>
        </is>
      </c>
    </row>
    <row r="26">
      <c r="A26" s="5" t="inlineStr">
        <is>
          <t>EGY|nga|ind</t>
        </is>
      </c>
      <c r="B26" s="5" t="inlineStr">
        <is>
          <t>EGY</t>
        </is>
      </c>
      <c r="C26" s="5" t="inlineStr">
        <is>
          <t>nga</t>
        </is>
      </c>
      <c r="D26" s="5" t="inlineStr">
        <is>
          <t>ind</t>
        </is>
      </c>
      <c r="E26" s="5" t="n">
        <v>0.0558</v>
      </c>
      <c r="F26" s="5" t="inlineStr">
        <is>
          <t>Mitigation row 1002 (egy.mit.ef.nga.ind)</t>
        </is>
      </c>
    </row>
    <row r="27">
      <c r="A27" s="5" t="inlineStr">
        <is>
          <t>EGY|gso|ind</t>
        </is>
      </c>
      <c r="B27" s="5" t="inlineStr">
        <is>
          <t>EGY</t>
        </is>
      </c>
      <c r="C27" s="5" t="inlineStr">
        <is>
          <t>gso</t>
        </is>
      </c>
      <c r="D27" s="5" t="inlineStr">
        <is>
          <t>ind</t>
        </is>
      </c>
      <c r="E27" s="5" t="n">
        <v>0.06779300000000001</v>
      </c>
      <c r="F27" s="5" t="inlineStr">
        <is>
          <t>Mitigation row 1003 (egy.mit.ef.gso.ind)</t>
        </is>
      </c>
    </row>
    <row r="28">
      <c r="A28" s="5" t="inlineStr">
        <is>
          <t>EGY|die|ind</t>
        </is>
      </c>
      <c r="B28" s="5" t="inlineStr">
        <is>
          <t>EGY</t>
        </is>
      </c>
      <c r="C28" s="5" t="inlineStr">
        <is>
          <t>die</t>
        </is>
      </c>
      <c r="D28" s="5" t="inlineStr">
        <is>
          <t>ind</t>
        </is>
      </c>
      <c r="E28" s="5" t="n">
        <v>0.07184499999999999</v>
      </c>
      <c r="F28" s="5" t="inlineStr">
        <is>
          <t>Mitigation row 1004 (egy.mit.ef.die.ind)</t>
        </is>
      </c>
    </row>
    <row r="29">
      <c r="A29" s="5" t="inlineStr">
        <is>
          <t>EGY|lpg|ind</t>
        </is>
      </c>
      <c r="B29" s="5" t="inlineStr">
        <is>
          <t>EGY</t>
        </is>
      </c>
      <c r="C29" s="5" t="inlineStr">
        <is>
          <t>lpg</t>
        </is>
      </c>
      <c r="D29" s="5" t="inlineStr">
        <is>
          <t>ind</t>
        </is>
      </c>
      <c r="E29" s="5" t="n">
        <v>0.06859999999999999</v>
      </c>
      <c r="F29" s="5" t="inlineStr">
        <is>
          <t>Mitigation row 1005 (egy.mit.ef.lpg.ind)</t>
        </is>
      </c>
    </row>
    <row r="30">
      <c r="A30" s="5" t="inlineStr">
        <is>
          <t>EGY|ker|ind</t>
        </is>
      </c>
      <c r="B30" s="5" t="inlineStr">
        <is>
          <t>EGY</t>
        </is>
      </c>
      <c r="C30" s="5" t="inlineStr">
        <is>
          <t>ker</t>
        </is>
      </c>
      <c r="D30" s="5" t="inlineStr">
        <is>
          <t>ind</t>
        </is>
      </c>
      <c r="E30" s="5" t="n">
        <v>0.06779300000000001</v>
      </c>
      <c r="F30" s="5" t="inlineStr">
        <is>
          <t>Mitigation row 1006 (egy.mit.ef.ker.ind)</t>
        </is>
      </c>
    </row>
    <row r="31">
      <c r="A31" s="5" t="inlineStr">
        <is>
          <t>EGY|oop|ind</t>
        </is>
      </c>
      <c r="B31" s="5" t="inlineStr">
        <is>
          <t>EGY</t>
        </is>
      </c>
      <c r="C31" s="5" t="inlineStr">
        <is>
          <t>oop</t>
        </is>
      </c>
      <c r="D31" s="5" t="inlineStr">
        <is>
          <t>ind</t>
        </is>
      </c>
      <c r="E31" s="5" t="n">
        <v>0.0767</v>
      </c>
      <c r="F31" s="5" t="inlineStr">
        <is>
          <t>Mitigation row 1007 (egy.mit.ef.oop.ind)</t>
        </is>
      </c>
    </row>
    <row r="32">
      <c r="A32" s="5" t="inlineStr">
        <is>
          <t>EGY|bio|pow</t>
        </is>
      </c>
      <c r="B32" s="5" t="inlineStr">
        <is>
          <t>EGY</t>
        </is>
      </c>
      <c r="C32" s="5" t="inlineStr">
        <is>
          <t>bio</t>
        </is>
      </c>
      <c r="D32" s="5" t="inlineStr">
        <is>
          <t>pow</t>
        </is>
      </c>
      <c r="E32" s="5" t="n">
        <v>0</v>
      </c>
      <c r="F32" s="5" t="inlineStr">
        <is>
          <t>Mitigation row 1009 (egy.mit.ef.bio.all)</t>
        </is>
      </c>
    </row>
    <row r="33">
      <c r="A33" s="5" t="inlineStr">
        <is>
          <t>EGY|bio|rod</t>
        </is>
      </c>
      <c r="B33" s="5" t="inlineStr">
        <is>
          <t>EGY</t>
        </is>
      </c>
      <c r="C33" s="5" t="inlineStr">
        <is>
          <t>bio</t>
        </is>
      </c>
      <c r="D33" s="5" t="inlineStr">
        <is>
          <t>rod</t>
        </is>
      </c>
      <c r="E33" s="5" t="n">
        <v>0</v>
      </c>
      <c r="F33" s="5" t="inlineStr">
        <is>
          <t>Mitigation row 1009 (egy.mit.ef.bio.all)</t>
        </is>
      </c>
    </row>
    <row r="34">
      <c r="A34" s="5" t="inlineStr">
        <is>
          <t>EGY|bio|res</t>
        </is>
      </c>
      <c r="B34" s="5" t="inlineStr">
        <is>
          <t>EGY</t>
        </is>
      </c>
      <c r="C34" s="5" t="inlineStr">
        <is>
          <t>bio</t>
        </is>
      </c>
      <c r="D34" s="5" t="inlineStr">
        <is>
          <t>res</t>
        </is>
      </c>
      <c r="E34" s="5" t="n">
        <v>0</v>
      </c>
      <c r="F34" s="5" t="inlineStr">
        <is>
          <t>Mitigation row 1009 (egy.mit.ef.bio.all)</t>
        </is>
      </c>
    </row>
    <row r="35">
      <c r="A35" s="5" t="inlineStr">
        <is>
          <t>EGY|bio|ind</t>
        </is>
      </c>
      <c r="B35" s="5" t="inlineStr">
        <is>
          <t>EGY</t>
        </is>
      </c>
      <c r="C35" s="5" t="inlineStr">
        <is>
          <t>bio</t>
        </is>
      </c>
      <c r="D35" s="5" t="inlineStr">
        <is>
          <t>ind</t>
        </is>
      </c>
      <c r="E35" s="5" t="n">
        <v>0</v>
      </c>
      <c r="F35" s="5" t="inlineStr">
        <is>
          <t>Mitigation row 1009 (egy.mit.ef.bio.all)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2026-10-08T17:23:37Z</dcterms:created>
  <dcterms:modified xmlns:dcterms="http://purl.org/dc/terms/" xmlns:xsi="http://www.w3.org/2001/XMLSchema-instance" xsi:type="dcterms:W3CDTF">2026-10-08T17:23:38Z</dcterms:modified>
</cp:coreProperties>
</file>